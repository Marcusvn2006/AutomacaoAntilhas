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1.xml" ContentType="application/vnd.openxmlformats-officedocument.spreadsheetml.comments+xml"/>
  <Override PartName="/xl/worksheets/sheet10.xml" ContentType="application/vnd.openxmlformats-officedocument.spreadsheetml.worksheet+xml"/>
  <Override PartName="/xl/comments/comment2.xml" ContentType="application/vnd.openxmlformats-officedocument.spreadsheetml.comments+xml"/>
  <Override PartName="/xl/worksheets/sheet11.xml" ContentType="application/vnd.openxmlformats-officedocument.spreadsheetml.worksheet+xml"/>
  <Override PartName="/xl/comments/comment3.xml" ContentType="application/vnd.openxmlformats-officedocument.spreadsheetml.comments+xml"/>
  <Override PartName="/xl/worksheets/sheet12.xml" ContentType="application/vnd.openxmlformats-officedocument.spreadsheetml.worksheet+xml"/>
  <Override PartName="/xl/comments/comment4.xml" ContentType="application/vnd.openxmlformats-officedocument.spreadsheetml.comments+xml"/>
  <Override PartName="/xl/worksheets/sheet13.xml" ContentType="application/vnd.openxmlformats-officedocument.spreadsheetml.worksheet+xml"/>
  <Override PartName="/xl/comments/comment5.xml" ContentType="application/vnd.openxmlformats-officedocument.spreadsheetml.comments+xml"/>
  <Override PartName="/xl/worksheets/sheet14.xml" ContentType="application/vnd.openxmlformats-officedocument.spreadsheetml.worksheet+xml"/>
  <Override PartName="/xl/comments/comment6.xml" ContentType="application/vnd.openxmlformats-officedocument.spreadsheetml.comments+xml"/>
  <Override PartName="/xl/worksheets/sheet15.xml" ContentType="application/vnd.openxmlformats-officedocument.spreadsheetml.worksheet+xml"/>
  <Override PartName="/xl/comments/comment7.xml" ContentType="application/vnd.openxmlformats-officedocument.spreadsheetml.comments+xml"/>
  <Override PartName="/xl/worksheets/sheet16.xml" ContentType="application/vnd.openxmlformats-officedocument.spreadsheetml.worksheet+xml"/>
  <Override PartName="/xl/comments/comment8.xml" ContentType="application/vnd.openxmlformats-officedocument.spreadsheetml.comments+xml"/>
  <Override PartName="/xl/worksheets/sheet17.xml" ContentType="application/vnd.openxmlformats-officedocument.spreadsheetml.worksheet+xml"/>
  <Override PartName="/xl/comments/comment9.xml" ContentType="application/vnd.openxmlformats-officedocument.spreadsheetml.comments+xml"/>
  <Override PartName="/xl/worksheets/sheet18.xml" ContentType="application/vnd.openxmlformats-officedocument.spreadsheetml.worksheet+xml"/>
  <Override PartName="/xl/comments/comment10.xml" ContentType="application/vnd.openxmlformats-officedocument.spreadsheetml.comments+xml"/>
  <Override PartName="/xl/worksheets/sheet19.xml" ContentType="application/vnd.openxmlformats-officedocument.spreadsheetml.worksheet+xml"/>
  <Override PartName="/xl/comments/comment11.xml" ContentType="application/vnd.openxmlformats-officedocument.spreadsheetml.comments+xml"/>
  <Override PartName="/xl/worksheets/sheet20.xml" ContentType="application/vnd.openxmlformats-officedocument.spreadsheetml.worksheet+xml"/>
  <Override PartName="/xl/comments/comment12.xml" ContentType="application/vnd.openxmlformats-officedocument.spreadsheetml.comments+xml"/>
  <Override PartName="/xl/worksheets/sheet21.xml" ContentType="application/vnd.openxmlformats-officedocument.spreadsheetml.worksheet+xml"/>
  <Override PartName="/xl/comments/comment13.xml" ContentType="application/vnd.openxmlformats-officedocument.spreadsheetml.comments+xml"/>
  <Override PartName="/xl/worksheets/sheet22.xml" ContentType="application/vnd.openxmlformats-officedocument.spreadsheetml.worksheet+xml"/>
  <Override PartName="/xl/comments/comment14.xml" ContentType="application/vnd.openxmlformats-officedocument.spreadsheetml.comments+xml"/>
  <Override PartName="/xl/worksheets/sheet23.xml" ContentType="application/vnd.openxmlformats-officedocument.spreadsheetml.worksheet+xml"/>
  <Override PartName="/xl/comments/comment15.xml" ContentType="application/vnd.openxmlformats-officedocument.spreadsheetml.comments+xml"/>
  <Override PartName="/xl/worksheets/sheet24.xml" ContentType="application/vnd.openxmlformats-officedocument.spreadsheetml.worksheet+xml"/>
  <Override PartName="/xl/comments/comment16.xml" ContentType="application/vnd.openxmlformats-officedocument.spreadsheetml.comments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1840" windowHeight="13020" tabRatio="935" firstSheet="0" activeTab="2" autoFilterDateGrouping="1"/>
  </bookViews>
  <sheets>
    <sheet name="AUXILIAR" sheetId="1" state="visible" r:id="rId1"/>
    <sheet name="__BKP__AUXILIAR" sheetId="2" state="veryHidden" r:id="rId2"/>
    <sheet name="AUXILIAR VD'S" sheetId="3" state="visible" r:id="rId3"/>
    <sheet name="__BKP__AUXILIAR VD'S" sheetId="4" state="veryHidden" r:id="rId4"/>
    <sheet name=" PL 12973" sheetId="5" state="visible" r:id="rId5"/>
    <sheet name="__BKP__ PL 12973" sheetId="6" state="veryHidden" r:id="rId6"/>
    <sheet name="BOQ 11734" sheetId="7" state="visible" r:id="rId7"/>
    <sheet name="__BKP__BOQ 11734" sheetId="8" state="veryHidden" r:id="rId8"/>
    <sheet name="TP 14462" sheetId="9" state="visible" r:id="rId9"/>
    <sheet name="__BKP__TP 14462" sheetId="10" state="veryHidden" r:id="rId10"/>
    <sheet name="PB 5418" sheetId="11" state="visible" r:id="rId11"/>
    <sheet name="__BKP__PB 5418" sheetId="12" state="veryHidden" r:id="rId12"/>
    <sheet name="MG 11733" sheetId="13" state="visible" r:id="rId13"/>
    <sheet name="__BKP__MG 11733" sheetId="14" state="veryHidden" r:id="rId14"/>
    <sheet name="ATC - 23012" sheetId="15" state="visible" r:id="rId15"/>
    <sheet name="__BKP__ATC - 23012" sheetId="16" state="veryHidden" r:id="rId16"/>
    <sheet name="CDP - 24790" sheetId="17" state="visible" r:id="rId17"/>
    <sheet name="__BKP__CDP - 24790" sheetId="18" state="veryHidden" r:id="rId18"/>
    <sheet name="ER BOQ - 23614" sheetId="19" state="visible" r:id="rId19"/>
    <sheet name="__BKP__ER BOQ - 23614" sheetId="20" state="veryHidden" r:id="rId20"/>
    <sheet name="ER PBE - 23343" sheetId="21" state="visible" r:id="rId21"/>
    <sheet name="__BKP__ER PBE - 23343" sheetId="22" state="veryHidden" r:id="rId22"/>
    <sheet name="ER MG - 24119" sheetId="23" state="visible" r:id="rId23"/>
    <sheet name="__BKP__ER MG - 24119" sheetId="24" state="veryHidden" r:id="rId24"/>
    <sheet name="TOTAL DE ITENS DOADOS 2026" sheetId="25" state="visible" r:id="rId25"/>
    <sheet name="TOTAL ITENS DOADOS NATAL 2022" sheetId="26" state="hidden" r:id="rId26"/>
    <sheet name="TOTAL ITENS DOADOS MÃES" sheetId="27" state="hidden" r:id="rId27"/>
    <sheet name="TOTAL ITENS DOADOS NAMORADOS" sheetId="28" state="hidden" r:id="rId28"/>
    <sheet name="TOTAL ITENS DOADOS PAIS" sheetId="29" state="hidden" r:id="rId29"/>
    <sheet name="LOJAS PRAIA" sheetId="30" state="visible" r:id="rId30"/>
    <sheet name="__BKP__LOJAS PRAIA" sheetId="31" state="veryHidden" r:id="rId31"/>
    <sheet name="TOTAL ITENS DOADOS DISNEY" sheetId="32" state="hidden" r:id="rId32"/>
    <sheet name="TOTAL ITENS DOADOS NATAL" sheetId="33" state="hidden" r:id="rId33"/>
  </sheets>
  <definedNames>
    <definedName name="__ABAS_PROCESSADAS__">"AUXILIAR|AUXILIAR VD'S| PL 12973|BOQ 11734|TP 14462|PB 5418|MG 11733|ATC - 23012|CDP - 24790|ER BOQ - 23614|ER PBE - 23343|ER MG - 24119|LOJAS PRAIA"</definedName>
    <definedName name="_xlnm.Print_Area" localSheetId="4">' PL 12973'!$A$1:$BE$22</definedName>
    <definedName name="_xlnm.Print_Area" localSheetId="5">'__BKP__ PL 12973'!$A$1:$BD$22</definedName>
    <definedName name="_xlnm.Print_Area" localSheetId="6">'BOQ 11734'!$A$1:$GB$22</definedName>
    <definedName name="_xlnm.Print_Area" localSheetId="7">'__BKP__BOQ 11734'!$A$1:$GA$22</definedName>
    <definedName name="_xlnm.Print_Area" localSheetId="8">'TP 14462'!$A$1:$FL$22</definedName>
    <definedName name="_xlnm.Print_Area" localSheetId="9">'__BKP__TP 14462'!$A$1:$FK$22</definedName>
    <definedName name="_xlnm.Print_Area" localSheetId="10">'PB 5418'!$A$1:$FO$22</definedName>
    <definedName name="_xlnm.Print_Area" localSheetId="11">'__BKP__PB 5418'!$A$1:$FN$22</definedName>
    <definedName name="_xlnm.Print_Area" localSheetId="12">'MG 11733'!$A$1:$FE$22</definedName>
    <definedName name="_xlnm.Print_Area" localSheetId="13">'__BKP__MG 11733'!$A$1:$FD$22</definedName>
    <definedName name="_xlnm.Print_Area" localSheetId="14">'ATC - 23012'!$A$1:$EZ$22</definedName>
    <definedName name="_xlnm.Print_Area" localSheetId="15">'__BKP__ATC - 23012'!$A$1:$EY$22</definedName>
    <definedName name="_xlnm.Print_Area" localSheetId="16">'CDP - 24790'!$A$1:$CH$39</definedName>
    <definedName name="_xlnm.Print_Area" localSheetId="17">'__BKP__CDP - 24790'!$A$1:$CG$39</definedName>
    <definedName name="_xlnm.Print_Area" localSheetId="18">'ER BOQ - 23614'!$A$1:$CH$42</definedName>
    <definedName name="_xlnm.Print_Area" localSheetId="19">'__BKP__ER BOQ - 23614'!$A$1:$CG$42</definedName>
    <definedName name="_xlnm.Print_Area" localSheetId="20">'ER PBE - 23343'!$A$1:$CG$43</definedName>
    <definedName name="_xlnm.Print_Area" localSheetId="21">'__BKP__ER PBE - 23343'!$A$1:$CF$43</definedName>
    <definedName name="_xlnm.Print_Area" localSheetId="22">'ER MG - 24119'!$A$1:$AQ$38</definedName>
    <definedName name="_xlnm.Print_Area" localSheetId="23">'__BKP__ER MG - 24119'!$A$1:$AP$38</definedName>
    <definedName name="_xlnm.Print_Area" localSheetId="29">'LOJAS PRAIA'!$A$1:$F$56</definedName>
    <definedName name="_xlnm.Print_Area" localSheetId="30">'__BKP__LOJAS PRAIA'!$A$1:$F$56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_-&quot;R$&quot;\ * #,##0.00_-;\-&quot;R$&quot;\ * #,##0.00_-;_-&quot;R$&quot;\ * &quot;-&quot;??_-;_-@_-"/>
    <numFmt numFmtId="165" formatCode="dd/mm"/>
    <numFmt numFmtId="166" formatCode="0;\-0;0"/>
    <numFmt numFmtId="167" formatCode="DD/MM"/>
  </numFmts>
  <fonts count="68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4"/>
      <scheme val="minor"/>
    </font>
    <font>
      <name val="Calibri"/>
      <family val="2"/>
      <sz val="14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i val="1"/>
      <sz val="14"/>
      <scheme val="minor"/>
    </font>
    <font>
      <name val="Calibri"/>
      <family val="2"/>
      <b val="1"/>
      <color rgb="FFC00000"/>
      <sz val="14"/>
      <scheme val="minor"/>
    </font>
    <font>
      <name val="Calibri"/>
      <family val="2"/>
      <color rgb="FFC00000"/>
      <sz val="14"/>
      <scheme val="minor"/>
    </font>
    <font>
      <name val="Calibri"/>
      <family val="2"/>
      <color rgb="FF0070C0"/>
      <sz val="14"/>
      <scheme val="minor"/>
    </font>
    <font>
      <name val="Calibri"/>
      <family val="2"/>
      <b val="1"/>
      <color rgb="FF00B050"/>
      <sz val="14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color rgb="FF00B050"/>
      <sz val="14"/>
      <scheme val="minor"/>
    </font>
    <font>
      <name val="Calibri"/>
      <family val="2"/>
      <color rgb="FF00B0F0"/>
      <sz val="14"/>
      <scheme val="minor"/>
    </font>
    <font>
      <name val="Calibri"/>
      <family val="2"/>
      <color theme="8" tint="-0.249977111117893"/>
      <sz val="14"/>
      <scheme val="minor"/>
    </font>
    <font>
      <name val="Calibri"/>
      <family val="2"/>
      <color rgb="FF000000"/>
      <sz val="11"/>
    </font>
    <font>
      <name val="Calibri"/>
      <family val="2"/>
      <color rgb="FFFF0000"/>
      <sz val="14"/>
      <scheme val="minor"/>
    </font>
    <font>
      <name val="Calibri"/>
      <family val="2"/>
      <b val="1"/>
      <color theme="1" tint="0.0499893185216834"/>
      <sz val="14"/>
      <scheme val="minor"/>
    </font>
    <font>
      <name val="Calibri"/>
      <family val="2"/>
      <sz val="8"/>
      <scheme val="minor"/>
    </font>
    <font>
      <name val="Calibri"/>
      <family val="2"/>
      <color rgb="FF7030A0"/>
      <sz val="14"/>
      <scheme val="minor"/>
    </font>
    <font>
      <name val="Arial"/>
      <family val="2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rgb="FF000000"/>
      <sz val="14"/>
    </font>
    <font>
      <name val="Calibri"/>
      <family val="2"/>
      <color rgb="FFFF0000"/>
      <sz val="12"/>
      <scheme val="minor"/>
    </font>
    <font>
      <name val="Calibri"/>
      <family val="2"/>
      <color theme="4" tint="-0.249977111117893"/>
      <sz val="14"/>
      <scheme val="minor"/>
    </font>
    <font>
      <name val="Calibri"/>
      <family val="2"/>
      <b val="1"/>
      <color rgb="FF0070C0"/>
      <sz val="14"/>
      <scheme val="minor"/>
    </font>
    <font>
      <name val="Calibri"/>
      <family val="2"/>
      <sz val="11"/>
      <scheme val="minor"/>
    </font>
    <font>
      <name val="Calibri"/>
      <family val="2"/>
      <b val="1"/>
      <color rgb="FFFF0000"/>
      <sz val="12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4"/>
      <scheme val="minor"/>
    </font>
    <font>
      <name val="Calibri"/>
      <family val="2"/>
      <b val="1"/>
      <color rgb="FF000000"/>
      <sz val="14"/>
    </font>
    <font>
      <name val="Calibri"/>
      <family val="2"/>
      <color rgb="FF990099"/>
      <sz val="14"/>
    </font>
    <font>
      <name val="Calibri"/>
      <family val="2"/>
      <color rgb="FF00B0F0"/>
      <sz val="14"/>
    </font>
    <font>
      <name val="Calibri"/>
      <family val="2"/>
      <b val="1"/>
      <color rgb="FFCC0099"/>
      <sz val="14"/>
      <scheme val="minor"/>
    </font>
    <font>
      <name val="Arial"/>
      <family val="2"/>
      <color rgb="FF000000"/>
      <sz val="10"/>
    </font>
    <font>
      <name val="Calibri"/>
      <family val="2"/>
      <b val="1"/>
      <color rgb="FFFFC000"/>
      <sz val="12"/>
      <scheme val="minor"/>
    </font>
    <font>
      <name val="Calibri"/>
      <family val="2"/>
      <b val="1"/>
      <color rgb="FFFF0000"/>
      <sz val="14"/>
    </font>
    <font>
      <name val="Calibri"/>
      <family val="2"/>
      <b val="1"/>
      <color theme="9" tint="-0.499984740745262"/>
      <sz val="14"/>
    </font>
    <font>
      <name val="Calibri"/>
      <family val="2"/>
      <b val="1"/>
      <color theme="0"/>
      <sz val="11"/>
      <scheme val="minor"/>
    </font>
    <font>
      <name val="Calibri"/>
      <family val="2"/>
      <b val="1"/>
      <sz val="11"/>
      <scheme val="minor"/>
    </font>
    <font>
      <name val="Arial"/>
      <family val="2"/>
      <b val="1"/>
      <color indexed="8"/>
      <sz val="14"/>
    </font>
    <font>
      <name val="Calibri"/>
      <family val="2"/>
      <b val="1"/>
      <color theme="9" tint="-0.249977111117893"/>
      <sz val="14"/>
      <scheme val="minor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Calibri"/>
      <family val="2"/>
      <b val="1"/>
      <color theme="1"/>
      <sz val="11"/>
      <scheme val="minor"/>
    </font>
    <font>
      <name val="Segoe UI"/>
      <family val="2"/>
      <b val="1"/>
      <color indexed="81"/>
      <sz val="16"/>
    </font>
    <font>
      <name val="Segoe UI"/>
      <family val="2"/>
      <color indexed="81"/>
      <sz val="16"/>
    </font>
    <font>
      <name val="Calibri"/>
      <family val="2"/>
      <b val="1"/>
      <color theme="9" tint="-0.499984740745262"/>
      <sz val="14"/>
      <scheme val="minor"/>
    </font>
    <font>
      <name val="Calibri"/>
      <family val="2"/>
      <color rgb="FFFF0000"/>
      <sz val="11"/>
      <scheme val="minor"/>
    </font>
    <font>
      <name val="Segoe UI"/>
      <family val="2"/>
      <b val="1"/>
      <color indexed="81"/>
      <sz val="10"/>
    </font>
    <font>
      <name val="Segoe UI"/>
      <family val="2"/>
      <b val="1"/>
      <color indexed="81"/>
      <sz val="11"/>
    </font>
    <font>
      <name val="Segoe UI"/>
      <family val="2"/>
      <color indexed="81"/>
      <sz val="11"/>
    </font>
    <font>
      <name val="Calibri"/>
      <family val="2"/>
      <b val="1"/>
      <color theme="4"/>
      <sz val="14"/>
    </font>
    <font>
      <name val="Calibri"/>
      <family val="2"/>
      <b val="1"/>
      <color rgb="FF960096"/>
      <sz val="14"/>
      <scheme val="minor"/>
    </font>
    <font>
      <name val="Segoe UI"/>
      <family val="2"/>
      <color indexed="81"/>
      <sz val="10"/>
    </font>
    <font>
      <name val="Calibri"/>
      <family val="2"/>
      <b val="1"/>
      <color theme="0" tint="-0.0499893185216834"/>
      <sz val="14"/>
      <scheme val="minor"/>
    </font>
    <font>
      <name val="Calibri"/>
      <family val="2"/>
      <b val="1"/>
      <color rgb="FFFFFFFF"/>
      <sz val="11"/>
      <scheme val="minor"/>
    </font>
    <font>
      <name val="Aptos Narrow"/>
      <family val="2"/>
      <b val="1"/>
      <color rgb="FFFFFFFF"/>
      <sz val="11"/>
    </font>
    <font>
      <name val="Aptos Narrow"/>
      <family val="2"/>
      <color theme="1"/>
      <sz val="11"/>
    </font>
    <font>
      <name val="Aptos Narrow"/>
      <family val="2"/>
      <b val="1"/>
      <color theme="1"/>
      <sz val="11"/>
    </font>
    <font>
      <name val="Segoe UI"/>
      <charset val="1"/>
      <color indexed="81"/>
      <sz val="9"/>
    </font>
    <font>
      <name val="Segoe UI"/>
      <charset val="1"/>
      <b val="1"/>
      <color indexed="81"/>
      <sz val="9"/>
    </font>
  </fonts>
  <fills count="49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theme="9" tint="0.5999938962981048"/>
        <bgColor rgb="FFFFFFFF"/>
      </patternFill>
    </fill>
    <fill>
      <patternFill patternType="solid">
        <fgColor theme="8" tint="0.5999938962981048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9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/>
      <top/>
      <bottom/>
      <diagonal/>
    </border>
    <border>
      <left style="thin">
        <color rgb="FF990099"/>
      </left>
      <right style="thin">
        <color rgb="FF990099"/>
      </right>
      <top/>
      <bottom/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/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7" fillId="0" borderId="0"/>
    <xf numFmtId="0" fontId="22" fillId="0" borderId="0"/>
    <xf numFmtId="44" fontId="7" fillId="0" borderId="0"/>
    <xf numFmtId="0" fontId="17" fillId="0" borderId="0"/>
    <xf numFmtId="0" fontId="22" fillId="0" borderId="0"/>
    <xf numFmtId="0" fontId="40" fillId="0" borderId="0"/>
    <xf numFmtId="44" fontId="17" fillId="0" borderId="0"/>
    <xf numFmtId="0" fontId="40" fillId="0" borderId="0"/>
    <xf numFmtId="44" fontId="17" fillId="0" borderId="0"/>
    <xf numFmtId="44" fontId="17" fillId="0" borderId="0"/>
    <xf numFmtId="44" fontId="17" fillId="0" borderId="0"/>
    <xf numFmtId="44" fontId="17" fillId="0" borderId="0"/>
    <xf numFmtId="44" fontId="7" fillId="0" borderId="0"/>
    <xf numFmtId="0" fontId="22" fillId="0" borderId="0"/>
    <xf numFmtId="44" fontId="17" fillId="0" borderId="0"/>
    <xf numFmtId="44" fontId="17" fillId="0" borderId="0"/>
  </cellStyleXfs>
  <cellXfs count="772">
    <xf numFmtId="0" fontId="0" fillId="0" borderId="0" pivotButton="0" quotePrefix="0" xfId="0"/>
    <xf numFmtId="0" fontId="4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vertical="center"/>
    </xf>
    <xf numFmtId="0" fontId="5" fillId="0" borderId="0" applyAlignment="1" applyProtection="1" pivotButton="0" quotePrefix="0" xfId="0">
      <alignment horizontal="center" vertical="center"/>
      <protection locked="0" hidden="0"/>
    </xf>
    <xf numFmtId="0" fontId="5" fillId="0" borderId="0" applyAlignment="1" applyProtection="1" pivotButton="0" quotePrefix="0" xfId="0">
      <alignment vertical="center"/>
      <protection locked="0" hidden="0"/>
    </xf>
    <xf numFmtId="0" fontId="3" fillId="0" borderId="0" pivotButton="0" quotePrefix="0" xfId="0"/>
    <xf numFmtId="0" fontId="4" fillId="3" borderId="6" applyAlignment="1" pivotButton="0" quotePrefix="0" xfId="0">
      <alignment horizontal="center" vertical="center"/>
    </xf>
    <xf numFmtId="0" fontId="4" fillId="3" borderId="7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164" fontId="3" fillId="0" borderId="0" pivotButton="0" quotePrefix="0" xfId="2"/>
    <xf numFmtId="0" fontId="9" fillId="0" borderId="0" applyAlignment="1" applyProtection="1" pivotButton="0" quotePrefix="0" xfId="0">
      <alignment horizontal="center" vertical="center"/>
      <protection locked="0" hidden="0"/>
    </xf>
    <xf numFmtId="0" fontId="2" fillId="2" borderId="1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4" fontId="3" fillId="0" borderId="0" pivotButton="0" quotePrefix="0" xfId="2"/>
    <xf numFmtId="0" fontId="9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horizontal="center" vertical="center"/>
      <protection locked="0" hidden="0"/>
    </xf>
    <xf numFmtId="0" fontId="12" fillId="0" borderId="1" applyAlignment="1" applyProtection="1" pivotButton="0" quotePrefix="0" xfId="0">
      <alignment horizontal="center" vertical="center"/>
      <protection locked="0" hidden="0"/>
    </xf>
    <xf numFmtId="0" fontId="13" fillId="0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horizontal="center" vertical="center"/>
    </xf>
    <xf numFmtId="165" fontId="4" fillId="5" borderId="1" applyAlignment="1" pivotButton="0" quotePrefix="0" xfId="0">
      <alignment horizontal="center" vertical="center"/>
    </xf>
    <xf numFmtId="0" fontId="12" fillId="4" borderId="1" applyAlignment="1" pivotButton="0" quotePrefix="0" xfId="0">
      <alignment horizontal="center" vertical="center"/>
    </xf>
    <xf numFmtId="0" fontId="15" fillId="0" borderId="1" applyAlignment="1" applyProtection="1" pivotButton="0" quotePrefix="0" xfId="0">
      <alignment horizontal="center" vertical="center"/>
      <protection locked="0" hidden="0"/>
    </xf>
    <xf numFmtId="0" fontId="15" fillId="0" borderId="0" applyAlignment="1" applyProtection="1" pivotButton="0" quotePrefix="0" xfId="0">
      <alignment horizontal="center" vertical="center"/>
      <protection locked="0" hidden="0"/>
    </xf>
    <xf numFmtId="0" fontId="15" fillId="0" borderId="0" applyAlignment="1" pivotButton="0" quotePrefix="0" xfId="0">
      <alignment vertical="center"/>
    </xf>
    <xf numFmtId="0" fontId="13" fillId="0" borderId="0" applyAlignment="1" applyProtection="1" pivotButton="0" quotePrefix="0" xfId="0">
      <alignment horizontal="center" vertical="center"/>
      <protection locked="0" hidden="0"/>
    </xf>
    <xf numFmtId="0" fontId="11" fillId="0" borderId="1" applyAlignment="1" applyProtection="1" pivotButton="0" quotePrefix="0" xfId="0">
      <alignment horizontal="center" vertical="center"/>
      <protection locked="0" hidden="0"/>
    </xf>
    <xf numFmtId="0" fontId="4" fillId="3" borderId="6" applyAlignment="1" pivotButton="0" quotePrefix="0" xfId="0">
      <alignment horizontal="left" vertical="center"/>
    </xf>
    <xf numFmtId="0" fontId="5" fillId="0" borderId="3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4" fillId="3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5" fontId="4" fillId="11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/>
    </xf>
    <xf numFmtId="0" fontId="5" fillId="0" borderId="8" applyAlignment="1" applyProtection="1" pivotButton="0" quotePrefix="0" xfId="0">
      <alignment horizontal="center" vertical="center"/>
      <protection locked="0" hidden="0"/>
    </xf>
    <xf numFmtId="0" fontId="5" fillId="0" borderId="1" applyAlignment="1" applyProtection="1" pivotButton="0" quotePrefix="0" xfId="0">
      <alignment horizontal="center" vertical="center"/>
      <protection locked="0" hidden="0"/>
    </xf>
    <xf numFmtId="0" fontId="15" fillId="0" borderId="1" applyAlignment="1" applyProtection="1" pivotButton="0" quotePrefix="0" xfId="0">
      <alignment horizontal="center"/>
      <protection locked="0" hidden="0"/>
    </xf>
    <xf numFmtId="0" fontId="4" fillId="3" borderId="2" applyAlignment="1" pivotButton="0" quotePrefix="0" xfId="0">
      <alignment horizontal="left" vertical="center"/>
    </xf>
    <xf numFmtId="0" fontId="5" fillId="12" borderId="1" applyAlignment="1" pivotButton="0" quotePrefix="0" xfId="0">
      <alignment horizontal="left" vertical="center"/>
    </xf>
    <xf numFmtId="164" fontId="4" fillId="3" borderId="1" applyAlignment="1" pivotButton="0" quotePrefix="0" xfId="2">
      <alignment vertical="center"/>
    </xf>
    <xf numFmtId="0" fontId="3" fillId="0" borderId="1" applyAlignment="1" pivotButton="0" quotePrefix="0" xfId="0">
      <alignment horizontal="left"/>
    </xf>
    <xf numFmtId="0" fontId="4" fillId="3" borderId="7" applyAlignment="1" pivotButton="0" quotePrefix="0" xfId="0">
      <alignment horizontal="left" vertical="center"/>
    </xf>
    <xf numFmtId="164" fontId="5" fillId="0" borderId="0" applyAlignment="1" pivotButton="0" quotePrefix="0" xfId="2">
      <alignment horizontal="center" vertical="center"/>
    </xf>
    <xf numFmtId="164" fontId="4" fillId="3" borderId="1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5" fillId="0" borderId="1" applyAlignment="1" pivotButton="0" quotePrefix="0" xfId="2">
      <alignment horizontal="center" vertical="center"/>
    </xf>
    <xf numFmtId="0" fontId="3" fillId="0" borderId="0" applyProtection="1" pivotButton="0" quotePrefix="0" xfId="0">
      <protection locked="0" hidden="0"/>
    </xf>
    <xf numFmtId="0" fontId="19" fillId="10" borderId="1" applyAlignment="1" pivotButton="0" quotePrefix="0" xfId="0">
      <alignment horizontal="left" vertical="center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vertical="center"/>
    </xf>
    <xf numFmtId="165" fontId="5" fillId="0" borderId="0" applyAlignment="1" pivotButton="0" quotePrefix="0" xfId="0">
      <alignment vertical="center"/>
    </xf>
    <xf numFmtId="0" fontId="14" fillId="0" borderId="0" applyProtection="1" pivotButton="0" quotePrefix="0" xfId="0">
      <protection locked="0" hidden="0"/>
    </xf>
    <xf numFmtId="0" fontId="10" fillId="8" borderId="0" applyProtection="1" pivotButton="0" quotePrefix="0" xfId="0">
      <protection locked="0" hidden="0"/>
    </xf>
    <xf numFmtId="0" fontId="3" fillId="8" borderId="0" pivotButton="0" quotePrefix="0" xfId="0"/>
    <xf numFmtId="0" fontId="5" fillId="8" borderId="0" applyProtection="1" pivotButton="0" quotePrefix="0" xfId="0">
      <protection locked="0" hidden="0"/>
    </xf>
    <xf numFmtId="0" fontId="5" fillId="8" borderId="0" pivotButton="0" quotePrefix="0" xfId="0"/>
    <xf numFmtId="0" fontId="4" fillId="8" borderId="0" applyAlignment="1" applyProtection="1" pivotButton="0" quotePrefix="0" xfId="0">
      <alignment horizontal="center"/>
      <protection locked="0" hidden="0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5" fillId="0" borderId="0" applyProtection="1" pivotButton="0" quotePrefix="0" xfId="0">
      <protection locked="0" hidden="0"/>
    </xf>
    <xf numFmtId="0" fontId="11" fillId="0" borderId="0" applyAlignment="1" pivotButton="0" quotePrefix="0" xfId="0">
      <alignment vertical="center"/>
    </xf>
    <xf numFmtId="0" fontId="16" fillId="0" borderId="1" applyAlignment="1" applyProtection="1" pivotButton="0" quotePrefix="0" xfId="0">
      <alignment horizontal="center" vertical="center"/>
      <protection locked="0" hidden="0"/>
    </xf>
    <xf numFmtId="164" fontId="3" fillId="0" borderId="1" applyAlignment="1" pivotButton="0" quotePrefix="0" xfId="2">
      <alignment horizontal="center"/>
    </xf>
    <xf numFmtId="0" fontId="9" fillId="0" borderId="0" applyAlignment="1" pivotButton="0" quotePrefix="0" xfId="0">
      <alignment horizontal="center" vertical="center"/>
    </xf>
    <xf numFmtId="0" fontId="10" fillId="0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applyProtection="1" pivotButton="0" quotePrefix="0" xfId="0">
      <alignment horizontal="center"/>
      <protection locked="0" hidden="0"/>
    </xf>
    <xf numFmtId="0" fontId="15" fillId="8" borderId="1" applyAlignment="1" applyProtection="1" pivotButton="0" quotePrefix="0" xfId="0">
      <alignment horizontal="center" vertical="center"/>
      <protection locked="0" hidden="0"/>
    </xf>
    <xf numFmtId="164" fontId="5" fillId="0" borderId="8" applyAlignment="1" pivotButton="0" quotePrefix="0" xfId="2">
      <alignment horizontal="center" vertical="center"/>
    </xf>
    <xf numFmtId="164" fontId="5" fillId="0" borderId="1" applyAlignment="1" pivotButton="0" quotePrefix="0" xfId="2">
      <alignment vertical="center"/>
    </xf>
    <xf numFmtId="164" fontId="3" fillId="0" borderId="1" applyAlignment="1" pivotButton="0" quotePrefix="0" xfId="2">
      <alignment horizontal="center"/>
    </xf>
    <xf numFmtId="0" fontId="4" fillId="9" borderId="0" applyAlignment="1" pivotButton="0" quotePrefix="0" xfId="0">
      <alignment vertical="center"/>
    </xf>
    <xf numFmtId="0" fontId="8" fillId="9" borderId="0" applyAlignment="1" pivotButton="0" quotePrefix="0" xfId="0">
      <alignment vertical="center"/>
    </xf>
    <xf numFmtId="16" fontId="4" fillId="3" borderId="1" applyAlignment="1" pivotButton="0" quotePrefix="0" xfId="0">
      <alignment horizontal="center" vertical="center"/>
    </xf>
    <xf numFmtId="0" fontId="1" fillId="0" borderId="0" applyAlignment="1" applyProtection="1" pivotButton="0" quotePrefix="0" xfId="0">
      <alignment horizontal="center" vertical="center"/>
      <protection locked="0" hidden="0"/>
    </xf>
    <xf numFmtId="16" fontId="23" fillId="13" borderId="13" applyAlignment="1" pivotButton="0" quotePrefix="0" xfId="0">
      <alignment horizontal="center" vertical="center"/>
    </xf>
    <xf numFmtId="0" fontId="24" fillId="0" borderId="6" applyAlignment="1" pivotButton="0" quotePrefix="0" xfId="0">
      <alignment horizontal="left" vertical="center"/>
    </xf>
    <xf numFmtId="0" fontId="25" fillId="0" borderId="1" applyAlignment="1" pivotButton="0" quotePrefix="0" xfId="0">
      <alignment horizontal="center"/>
    </xf>
    <xf numFmtId="0" fontId="25" fillId="14" borderId="1" applyAlignment="1" pivotButton="0" quotePrefix="0" xfId="0">
      <alignment horizontal="center"/>
    </xf>
    <xf numFmtId="0" fontId="24" fillId="0" borderId="3" applyAlignment="1" pivotButton="0" quotePrefix="0" xfId="0">
      <alignment horizontal="left" vertical="center"/>
    </xf>
    <xf numFmtId="0" fontId="24" fillId="0" borderId="4" applyAlignment="1" pivotButton="0" quotePrefix="0" xfId="0">
      <alignment horizontal="left" vertical="center"/>
    </xf>
    <xf numFmtId="0" fontId="24" fillId="0" borderId="1" applyAlignment="1" pivotButton="0" quotePrefix="0" xfId="0">
      <alignment horizontal="left" vertical="center"/>
    </xf>
    <xf numFmtId="0" fontId="23" fillId="13" borderId="13" applyAlignment="1" pivotButton="0" quotePrefix="0" xfId="0">
      <alignment horizontal="center" vertical="center" wrapText="1"/>
    </xf>
    <xf numFmtId="0" fontId="26" fillId="14" borderId="1" applyAlignment="1" pivotButton="0" quotePrefix="0" xfId="0">
      <alignment horizontal="left" vertical="center"/>
    </xf>
    <xf numFmtId="0" fontId="27" fillId="14" borderId="1" applyAlignment="1" pivotButton="0" quotePrefix="0" xfId="0">
      <alignment horizontal="center"/>
    </xf>
    <xf numFmtId="16" fontId="3" fillId="0" borderId="0" pivotButton="0" quotePrefix="0" xfId="0"/>
    <xf numFmtId="16" fontId="4" fillId="4" borderId="1" applyAlignment="1" pivotButton="0" quotePrefix="0" xfId="0">
      <alignment horizontal="center" vertical="center"/>
    </xf>
    <xf numFmtId="16" fontId="23" fillId="6" borderId="13" applyAlignment="1" pivotButton="0" quotePrefix="0" xfId="0">
      <alignment horizontal="center" vertical="center"/>
    </xf>
    <xf numFmtId="0" fontId="23" fillId="6" borderId="13" applyAlignment="1" pivotButton="0" quotePrefix="0" xfId="0">
      <alignment horizontal="center" vertical="center" wrapText="1"/>
    </xf>
    <xf numFmtId="3" fontId="25" fillId="0" borderId="1" applyAlignment="1" pivotButton="0" quotePrefix="0" xfId="0">
      <alignment horizontal="center"/>
    </xf>
    <xf numFmtId="0" fontId="25" fillId="4" borderId="1" applyAlignment="1" pivotButton="0" quotePrefix="0" xfId="0">
      <alignment horizontal="center"/>
    </xf>
    <xf numFmtId="0" fontId="26" fillId="4" borderId="1" applyAlignment="1" pivotButton="0" quotePrefix="0" xfId="0">
      <alignment horizontal="left" vertical="center"/>
    </xf>
    <xf numFmtId="0" fontId="27" fillId="4" borderId="1" applyAlignment="1" pivotButton="0" quotePrefix="0" xfId="0">
      <alignment horizontal="center"/>
    </xf>
    <xf numFmtId="16" fontId="23" fillId="0" borderId="0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 wrapText="1"/>
    </xf>
    <xf numFmtId="0" fontId="24" fillId="0" borderId="0" applyAlignment="1" pivotButton="0" quotePrefix="0" xfId="0">
      <alignment horizontal="left" vertical="center"/>
    </xf>
    <xf numFmtId="0" fontId="25" fillId="0" borderId="0" applyAlignment="1" pivotButton="0" quotePrefix="0" xfId="0">
      <alignment horizontal="center"/>
    </xf>
    <xf numFmtId="0" fontId="26" fillId="0" borderId="0" applyAlignment="1" pivotButton="0" quotePrefix="0" xfId="0">
      <alignment horizontal="left" vertical="center"/>
    </xf>
    <xf numFmtId="0" fontId="27" fillId="0" borderId="0" applyAlignment="1" pivotButton="0" quotePrefix="0" xfId="0">
      <alignment horizontal="center"/>
    </xf>
    <xf numFmtId="0" fontId="23" fillId="0" borderId="0" applyAlignment="1" pivotButton="0" quotePrefix="0" xfId="0">
      <alignment vertical="center"/>
    </xf>
    <xf numFmtId="0" fontId="29" fillId="0" borderId="1" applyAlignment="1" pivotButton="0" quotePrefix="0" xfId="0">
      <alignment horizontal="left" vertical="center"/>
    </xf>
    <xf numFmtId="3" fontId="25" fillId="4" borderId="1" applyAlignment="1" pivotButton="0" quotePrefix="0" xfId="0">
      <alignment horizontal="center"/>
    </xf>
    <xf numFmtId="0" fontId="3" fillId="0" borderId="0" pivotButton="0" quotePrefix="0" xfId="2"/>
    <xf numFmtId="0" fontId="24" fillId="0" borderId="1" applyAlignment="1" applyProtection="1" pivotButton="0" quotePrefix="0" xfId="0">
      <alignment horizontal="left" vertical="center"/>
      <protection locked="0" hidden="0"/>
    </xf>
    <xf numFmtId="164" fontId="3" fillId="0" borderId="0" applyAlignment="1" pivotButton="0" quotePrefix="0" xfId="2">
      <alignment horizontal="center"/>
    </xf>
    <xf numFmtId="0" fontId="16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/>
    </xf>
    <xf numFmtId="0" fontId="12" fillId="0" borderId="1" applyAlignment="1" pivotButton="0" quotePrefix="0" xfId="0">
      <alignment horizontal="center"/>
    </xf>
    <xf numFmtId="165" fontId="2" fillId="16" borderId="1" applyAlignment="1" pivotButton="0" quotePrefix="0" xfId="0">
      <alignment horizontal="center" vertical="center"/>
    </xf>
    <xf numFmtId="0" fontId="21" fillId="0" borderId="0" applyAlignment="1" pivotButton="0" quotePrefix="0" xfId="0">
      <alignment wrapText="1"/>
    </xf>
    <xf numFmtId="16" fontId="5" fillId="0" borderId="0" applyAlignment="1" pivotButton="0" quotePrefix="0" xfId="0">
      <alignment vertical="center"/>
    </xf>
    <xf numFmtId="0" fontId="31" fillId="0" borderId="0" applyAlignment="1" applyProtection="1" pivotButton="0" quotePrefix="0" xfId="0">
      <alignment horizontal="center" vertical="center"/>
      <protection locked="0" hidden="0"/>
    </xf>
    <xf numFmtId="0" fontId="28" fillId="0" borderId="1" applyAlignment="1" applyProtection="1" pivotButton="0" quotePrefix="0" xfId="0">
      <alignment horizontal="center" vertical="center"/>
      <protection locked="0" hidden="0"/>
    </xf>
    <xf numFmtId="0" fontId="5" fillId="4" borderId="1" applyAlignment="1" applyProtection="1" pivotButton="0" quotePrefix="0" xfId="0">
      <alignment horizontal="center" vertical="center"/>
      <protection locked="0" hidden="0"/>
    </xf>
    <xf numFmtId="164" fontId="5" fillId="0" borderId="0" pivotButton="0" quotePrefix="0" xfId="2"/>
    <xf numFmtId="0" fontId="5" fillId="0" borderId="0" pivotButton="0" quotePrefix="0" xfId="0"/>
    <xf numFmtId="0" fontId="32" fillId="0" borderId="0" pivotButton="0" quotePrefix="0" xfId="0"/>
    <xf numFmtId="0" fontId="5" fillId="0" borderId="1" applyAlignment="1" applyProtection="1" pivotButton="0" quotePrefix="0" xfId="0">
      <alignment horizontal="center" vertical="center" wrapText="1"/>
      <protection locked="0" hidden="0"/>
    </xf>
    <xf numFmtId="0" fontId="5" fillId="0" borderId="9" applyAlignment="1" pivotButton="0" quotePrefix="0" xfId="0">
      <alignment horizontal="left" vertical="center"/>
    </xf>
    <xf numFmtId="0" fontId="13" fillId="0" borderId="1" applyAlignment="1" applyProtection="1" pivotButton="0" quotePrefix="0" xfId="0">
      <alignment horizontal="center" vertical="center" wrapText="1"/>
      <protection locked="0" hidden="0"/>
    </xf>
    <xf numFmtId="164" fontId="3" fillId="0" borderId="0" pivotButton="0" quotePrefix="0" xfId="2"/>
    <xf numFmtId="16" fontId="2" fillId="0" borderId="0" applyAlignment="1" pivotButton="0" quotePrefix="0" xfId="0">
      <alignment horizontal="center" vertical="center"/>
    </xf>
    <xf numFmtId="0" fontId="31" fillId="0" borderId="0" applyAlignment="1" applyProtection="1" pivotButton="0" quotePrefix="0" xfId="0">
      <alignment horizontal="center" vertical="center" wrapText="1"/>
      <protection locked="0" hidden="0"/>
    </xf>
    <xf numFmtId="165" fontId="2" fillId="0" borderId="0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0" fontId="9" fillId="0" borderId="1" applyAlignment="1" applyProtection="1" pivotButton="0" quotePrefix="0" xfId="0">
      <alignment horizontal="center" vertical="center"/>
      <protection locked="0" hidden="0"/>
    </xf>
    <xf numFmtId="0" fontId="5" fillId="0" borderId="8" applyAlignment="1" pivotButton="0" quotePrefix="0" xfId="0">
      <alignment horizontal="center" vertical="center"/>
    </xf>
    <xf numFmtId="0" fontId="23" fillId="13" borderId="15" applyAlignment="1" pivotButton="0" quotePrefix="0" xfId="0">
      <alignment horizontal="center" vertical="center"/>
    </xf>
    <xf numFmtId="0" fontId="24" fillId="0" borderId="3" applyAlignment="1" pivotButton="0" quotePrefix="0" xfId="0">
      <alignment vertical="center"/>
    </xf>
    <xf numFmtId="0" fontId="2" fillId="17" borderId="1" applyAlignment="1" pivotButton="0" quotePrefix="0" xfId="0">
      <alignment horizontal="left" vertical="center"/>
    </xf>
    <xf numFmtId="0" fontId="2" fillId="17" borderId="1" applyAlignment="1" pivotButton="0" quotePrefix="0" xfId="0">
      <alignment horizontal="center" vertical="center"/>
    </xf>
    <xf numFmtId="0" fontId="13" fillId="18" borderId="1" applyAlignment="1" pivotButton="0" quotePrefix="0" xfId="0">
      <alignment horizontal="left" vertical="center"/>
    </xf>
    <xf numFmtId="0" fontId="13" fillId="18" borderId="1" applyAlignment="1" pivotButton="0" quotePrefix="0" xfId="0">
      <alignment horizontal="center" vertical="center"/>
    </xf>
    <xf numFmtId="0" fontId="5" fillId="0" borderId="3" applyAlignment="1" pivotButton="0" quotePrefix="0" xfId="0">
      <alignment horizontal="left"/>
    </xf>
    <xf numFmtId="0" fontId="5" fillId="0" borderId="1" applyAlignment="1" applyProtection="1" pivotButton="0" quotePrefix="0" xfId="0">
      <alignment horizontal="center"/>
      <protection locked="0" hidden="0"/>
    </xf>
    <xf numFmtId="0" fontId="5" fillId="0" borderId="8" applyAlignment="1" applyProtection="1" pivotButton="0" quotePrefix="0" xfId="0">
      <alignment horizontal="center"/>
      <protection locked="0" hidden="0"/>
    </xf>
    <xf numFmtId="0" fontId="5" fillId="0" borderId="4" applyAlignment="1" pivotButton="0" quotePrefix="0" xfId="0">
      <alignment horizontal="left"/>
    </xf>
    <xf numFmtId="0" fontId="4" fillId="3" borderId="2" applyAlignment="1" pivotButton="0" quotePrefix="0" xfId="0">
      <alignment horizontal="left"/>
    </xf>
    <xf numFmtId="0" fontId="4" fillId="3" borderId="10" pivotButton="0" quotePrefix="0" xfId="0"/>
    <xf numFmtId="0" fontId="4" fillId="3" borderId="11" pivotButton="0" quotePrefix="0" xfId="0"/>
    <xf numFmtId="0" fontId="5" fillId="0" borderId="1" applyAlignment="1" pivotButton="0" quotePrefix="0" xfId="0">
      <alignment horizontal="left"/>
    </xf>
    <xf numFmtId="0" fontId="5" fillId="0" borderId="5" applyAlignment="1" pivotButton="0" quotePrefix="0" xfId="0">
      <alignment horizontal="left"/>
    </xf>
    <xf numFmtId="0" fontId="4" fillId="3" borderId="5" applyAlignment="1" pivotButton="0" quotePrefix="0" xfId="0">
      <alignment horizontal="center" vertical="center"/>
    </xf>
    <xf numFmtId="0" fontId="35" fillId="15" borderId="1" applyAlignment="1" pivotButton="0" quotePrefix="0" xfId="0">
      <alignment horizontal="center" vertical="center" wrapText="1"/>
    </xf>
    <xf numFmtId="164" fontId="5" fillId="0" borderId="0" applyAlignment="1" pivotButton="0" quotePrefix="0" xfId="2">
      <alignment vertical="center"/>
    </xf>
    <xf numFmtId="0" fontId="18" fillId="0" borderId="0" applyProtection="1" pivotButton="0" quotePrefix="0" xfId="0">
      <protection locked="0" hidden="0"/>
    </xf>
    <xf numFmtId="0" fontId="3" fillId="8" borderId="1" applyAlignment="1" pivotButton="0" quotePrefix="0" xfId="0">
      <alignment horizontal="center"/>
    </xf>
    <xf numFmtId="164" fontId="3" fillId="8" borderId="1" applyAlignment="1" pivotButton="0" quotePrefix="0" xfId="2">
      <alignment horizontal="center"/>
    </xf>
    <xf numFmtId="0" fontId="25" fillId="0" borderId="5" applyAlignment="1" pivotButton="0" quotePrefix="0" xfId="0">
      <alignment horizontal="center"/>
    </xf>
    <xf numFmtId="0" fontId="3" fillId="9" borderId="10" applyAlignment="1" pivotButton="0" quotePrefix="0" xfId="0">
      <alignment horizontal="center" vertical="center"/>
    </xf>
    <xf numFmtId="0" fontId="3" fillId="9" borderId="11" applyAlignment="1" pivotButton="0" quotePrefix="0" xfId="0">
      <alignment horizontal="center" vertical="center"/>
    </xf>
    <xf numFmtId="0" fontId="4" fillId="20" borderId="1" applyAlignment="1" applyProtection="1" pivotButton="0" quotePrefix="0" xfId="0">
      <alignment horizontal="center" vertical="center"/>
      <protection locked="0" hidden="0"/>
    </xf>
    <xf numFmtId="165" fontId="4" fillId="5" borderId="1" applyAlignment="1" pivotButton="0" quotePrefix="0" xfId="0">
      <alignment horizontal="center"/>
    </xf>
    <xf numFmtId="0" fontId="4" fillId="20" borderId="1" applyAlignment="1" pivotButton="0" quotePrefix="0" xfId="0">
      <alignment horizontal="center" vertical="center"/>
    </xf>
    <xf numFmtId="0" fontId="4" fillId="3" borderId="2" applyAlignment="1" pivotButton="0" quotePrefix="0" xfId="0">
      <alignment vertical="center"/>
    </xf>
    <xf numFmtId="0" fontId="5" fillId="0" borderId="1" applyAlignment="1" pivotButton="0" quotePrefix="0" xfId="0">
      <alignment horizontal="center"/>
    </xf>
    <xf numFmtId="0" fontId="5" fillId="0" borderId="6" applyAlignment="1" pivotButton="0" quotePrefix="0" xfId="0">
      <alignment horizontal="left" vertical="center"/>
    </xf>
    <xf numFmtId="0" fontId="5" fillId="0" borderId="21" applyAlignment="1" applyProtection="1" pivotButton="0" quotePrefix="0" xfId="0">
      <alignment horizontal="center" vertical="center"/>
      <protection locked="0" hidden="0"/>
    </xf>
    <xf numFmtId="0" fontId="4" fillId="17" borderId="8" applyAlignment="1" pivotButton="0" quotePrefix="0" xfId="0">
      <alignment vertical="center"/>
    </xf>
    <xf numFmtId="0" fontId="5" fillId="0" borderId="6" applyAlignment="1" pivotButton="0" quotePrefix="0" xfId="0">
      <alignment horizontal="left"/>
    </xf>
    <xf numFmtId="0" fontId="28" fillId="21" borderId="22" applyAlignment="1" applyProtection="1" pivotButton="0" quotePrefix="0" xfId="0">
      <alignment horizontal="left" vertical="center"/>
      <protection locked="0" hidden="0"/>
    </xf>
    <xf numFmtId="0" fontId="36" fillId="22" borderId="22" applyAlignment="1" applyProtection="1" pivotButton="0" quotePrefix="0" xfId="0">
      <alignment horizontal="center" vertical="center"/>
      <protection locked="0" hidden="0"/>
    </xf>
    <xf numFmtId="0" fontId="28" fillId="0" borderId="22" applyAlignment="1" applyProtection="1" pivotButton="0" quotePrefix="0" xfId="0">
      <alignment horizontal="center" vertical="center"/>
      <protection locked="0" hidden="0"/>
    </xf>
    <xf numFmtId="0" fontId="5" fillId="8" borderId="0" applyAlignment="1" applyProtection="1" pivotButton="0" quotePrefix="0" xfId="0">
      <alignment horizontal="right"/>
      <protection locked="0" hidden="0"/>
    </xf>
    <xf numFmtId="0" fontId="5" fillId="8" borderId="0" applyAlignment="1" applyProtection="1" pivotButton="0" quotePrefix="0" xfId="0">
      <alignment horizontal="center"/>
      <protection locked="0" hidden="0"/>
    </xf>
    <xf numFmtId="0" fontId="11" fillId="0" borderId="0" applyProtection="1" pivotButton="0" quotePrefix="0" xfId="0">
      <protection locked="0" hidden="0"/>
    </xf>
    <xf numFmtId="0" fontId="28" fillId="21" borderId="23" applyAlignment="1" applyProtection="1" pivotButton="0" quotePrefix="0" xfId="0">
      <alignment horizontal="left" vertical="center"/>
      <protection locked="0" hidden="0"/>
    </xf>
    <xf numFmtId="0" fontId="36" fillId="22" borderId="23" applyAlignment="1" applyProtection="1" pivotButton="0" quotePrefix="0" xfId="0">
      <alignment horizontal="center" vertical="center"/>
      <protection locked="0" hidden="0"/>
    </xf>
    <xf numFmtId="0" fontId="28" fillId="0" borderId="23" applyAlignment="1" applyProtection="1" pivotButton="0" quotePrefix="0" xfId="0">
      <alignment horizontal="center" vertical="center"/>
      <protection locked="0" hidden="0"/>
    </xf>
    <xf numFmtId="0" fontId="28" fillId="0" borderId="23" applyAlignment="1" applyProtection="1" pivotButton="0" quotePrefix="0" xfId="0">
      <alignment horizontal="left" vertical="center"/>
      <protection locked="0" hidden="0"/>
    </xf>
    <xf numFmtId="0" fontId="10" fillId="0" borderId="0" applyProtection="1" pivotButton="0" quotePrefix="0" xfId="0">
      <protection locked="0" hidden="0"/>
    </xf>
    <xf numFmtId="0" fontId="3" fillId="8" borderId="0" applyAlignment="1" pivotButton="0" quotePrefix="0" xfId="0">
      <alignment horizontal="center"/>
    </xf>
    <xf numFmtId="0" fontId="3" fillId="8" borderId="0" applyProtection="1" pivotButton="0" quotePrefix="0" xfId="0">
      <protection locked="0" hidden="0"/>
    </xf>
    <xf numFmtId="0" fontId="37" fillId="23" borderId="23" applyAlignment="1" applyProtection="1" pivotButton="0" quotePrefix="0" xfId="0">
      <alignment horizontal="left" vertical="center"/>
      <protection locked="0" hidden="0"/>
    </xf>
    <xf numFmtId="0" fontId="37" fillId="24" borderId="1" applyAlignment="1" applyProtection="1" pivotButton="0" quotePrefix="0" xfId="0">
      <alignment horizontal="left" vertical="center"/>
      <protection locked="0" hidden="0"/>
    </xf>
    <xf numFmtId="0" fontId="36" fillId="22" borderId="1" applyAlignment="1" applyProtection="1" pivotButton="0" quotePrefix="0" xfId="0">
      <alignment horizontal="center" vertical="center"/>
      <protection locked="0" hidden="0"/>
    </xf>
    <xf numFmtId="0" fontId="12" fillId="0" borderId="1" applyAlignment="1" applyProtection="1" pivotButton="0" quotePrefix="0" xfId="0">
      <alignment horizontal="center"/>
      <protection locked="0" hidden="0"/>
    </xf>
    <xf numFmtId="165" fontId="4" fillId="19" borderId="1" applyAlignment="1" pivotButton="0" quotePrefix="0" xfId="0">
      <alignment horizontal="center"/>
    </xf>
    <xf numFmtId="0" fontId="24" fillId="0" borderId="8" applyAlignment="1" applyProtection="1" pivotButton="0" quotePrefix="0" xfId="0">
      <alignment horizontal="left" vertical="center"/>
      <protection locked="0" hidden="0"/>
    </xf>
    <xf numFmtId="0" fontId="25" fillId="0" borderId="8" applyAlignment="1" pivotButton="0" quotePrefix="0" xfId="0">
      <alignment horizontal="center"/>
    </xf>
    <xf numFmtId="0" fontId="25" fillId="4" borderId="8" applyAlignment="1" pivotButton="0" quotePrefix="0" xfId="0">
      <alignment horizontal="center"/>
    </xf>
    <xf numFmtId="3" fontId="41" fillId="15" borderId="8" applyAlignment="1" pivotButton="0" quotePrefix="0" xfId="0">
      <alignment horizontal="center"/>
    </xf>
    <xf numFmtId="3" fontId="41" fillId="25" borderId="8" applyAlignment="1" pivotButton="0" quotePrefix="0" xfId="0">
      <alignment horizontal="center"/>
    </xf>
    <xf numFmtId="3" fontId="41" fillId="25" borderId="1" applyAlignment="1" pivotButton="0" quotePrefix="0" xfId="0">
      <alignment horizontal="center"/>
    </xf>
    <xf numFmtId="3" fontId="5" fillId="0" borderId="1" applyAlignment="1" applyProtection="1" pivotButton="0" quotePrefix="0" xfId="0">
      <alignment horizontal="center" vertical="center"/>
      <protection locked="0" hidden="0"/>
    </xf>
    <xf numFmtId="3" fontId="4" fillId="20" borderId="1" applyAlignment="1" applyProtection="1" pivotButton="0" quotePrefix="0" xfId="0">
      <alignment horizontal="center" vertical="center"/>
      <protection locked="0" hidden="0"/>
    </xf>
    <xf numFmtId="0" fontId="3" fillId="9" borderId="30" applyAlignment="1" pivotButton="0" quotePrefix="0" xfId="0">
      <alignment horizontal="center" vertical="center"/>
    </xf>
    <xf numFmtId="0" fontId="5" fillId="26" borderId="1" applyAlignment="1" pivotButton="0" quotePrefix="0" xfId="0">
      <alignment horizontal="center" vertical="center"/>
    </xf>
    <xf numFmtId="0" fontId="28" fillId="0" borderId="0" applyAlignment="1" applyProtection="1" pivotButton="0" quotePrefix="0" xfId="0">
      <alignment horizontal="center" vertical="center"/>
      <protection locked="0" hidden="0"/>
    </xf>
    <xf numFmtId="0" fontId="36" fillId="22" borderId="26" applyAlignment="1" applyProtection="1" pivotButton="0" quotePrefix="0" xfId="0">
      <alignment horizontal="center" vertical="center"/>
      <protection locked="0" hidden="0"/>
    </xf>
    <xf numFmtId="0" fontId="39" fillId="0" borderId="1" applyAlignment="1" pivotButton="0" quotePrefix="0" xfId="0">
      <alignment vertical="center"/>
    </xf>
    <xf numFmtId="3" fontId="23" fillId="27" borderId="8" applyAlignment="1" pivotButton="0" quotePrefix="0" xfId="0">
      <alignment horizontal="center"/>
    </xf>
    <xf numFmtId="3" fontId="26" fillId="7" borderId="8" applyAlignment="1" pivotButton="0" quotePrefix="0" xfId="0">
      <alignment horizontal="center"/>
    </xf>
    <xf numFmtId="0" fontId="23" fillId="27" borderId="1" applyAlignment="1" pivotButton="0" quotePrefix="0" xfId="0">
      <alignment horizontal="center"/>
    </xf>
    <xf numFmtId="16" fontId="23" fillId="27" borderId="1" applyAlignment="1" pivotButton="0" quotePrefix="0" xfId="0">
      <alignment horizontal="center" vertical="center"/>
    </xf>
    <xf numFmtId="16" fontId="23" fillId="27" borderId="2" applyAlignment="1" pivotButton="0" quotePrefix="0" xfId="0">
      <alignment horizontal="center" vertical="center"/>
    </xf>
    <xf numFmtId="0" fontId="23" fillId="27" borderId="10" applyAlignment="1" pivotButton="0" quotePrefix="0" xfId="0">
      <alignment horizontal="center" vertical="center" wrapText="1"/>
    </xf>
    <xf numFmtId="3" fontId="23" fillId="27" borderId="1" applyAlignment="1" pivotButton="0" quotePrefix="0" xfId="0">
      <alignment horizontal="center"/>
    </xf>
    <xf numFmtId="0" fontId="23" fillId="27" borderId="35" applyAlignment="1" pivotButton="0" quotePrefix="0" xfId="0">
      <alignment horizontal="center" vertical="center" wrapText="1"/>
    </xf>
    <xf numFmtId="0" fontId="2" fillId="28" borderId="1" applyAlignment="1" pivotButton="0" quotePrefix="0" xfId="0">
      <alignment horizontal="left" vertical="center"/>
    </xf>
    <xf numFmtId="0" fontId="2" fillId="28" borderId="1" applyAlignment="1" pivotButton="0" quotePrefix="0" xfId="0">
      <alignment horizontal="center" vertical="center"/>
    </xf>
    <xf numFmtId="3" fontId="3" fillId="8" borderId="1" applyAlignment="1" pivotButton="0" quotePrefix="0" xfId="0">
      <alignment horizontal="center"/>
    </xf>
    <xf numFmtId="0" fontId="4" fillId="7" borderId="1" applyAlignment="1" pivotButton="0" quotePrefix="0" xfId="0">
      <alignment horizontal="center" vertical="center"/>
    </xf>
    <xf numFmtId="164" fontId="5" fillId="0" borderId="1" applyAlignment="1" pivotButton="0" quotePrefix="0" xfId="2">
      <alignment horizontal="center" vertical="center"/>
    </xf>
    <xf numFmtId="0" fontId="25" fillId="0" borderId="1" applyAlignment="1" pivotButton="0" quotePrefix="0" xfId="0">
      <alignment horizontal="left"/>
    </xf>
    <xf numFmtId="0" fontId="4" fillId="29" borderId="1" applyAlignment="1" pivotButton="0" quotePrefix="0" xfId="0">
      <alignment horizontal="left" vertical="center"/>
    </xf>
    <xf numFmtId="165" fontId="2" fillId="2" borderId="1" applyAlignment="1" pivotButton="0" quotePrefix="0" xfId="0">
      <alignment horizontal="center" vertical="center"/>
    </xf>
    <xf numFmtId="0" fontId="5" fillId="8" borderId="4" applyAlignment="1" pivotButton="0" quotePrefix="0" xfId="0">
      <alignment horizontal="left" vertical="center"/>
    </xf>
    <xf numFmtId="0" fontId="5" fillId="8" borderId="1" applyAlignment="1" pivotButton="0" quotePrefix="0" xfId="0">
      <alignment horizontal="center" vertical="center"/>
    </xf>
    <xf numFmtId="164" fontId="5" fillId="8" borderId="1" applyAlignment="1" pivotButton="0" quotePrefix="0" xfId="2">
      <alignment vertical="center"/>
    </xf>
    <xf numFmtId="0" fontId="24" fillId="8" borderId="4" applyAlignment="1" pivotButton="0" quotePrefix="0" xfId="0">
      <alignment horizontal="left" vertical="center"/>
    </xf>
    <xf numFmtId="16" fontId="4" fillId="6" borderId="1" applyAlignment="1" pivotButton="0" quotePrefix="0" xfId="0">
      <alignment horizontal="center" vertical="center"/>
    </xf>
    <xf numFmtId="0" fontId="43" fillId="0" borderId="1" applyAlignment="1" applyProtection="1" pivotButton="0" quotePrefix="0" xfId="0">
      <alignment horizontal="left" vertical="center"/>
      <protection locked="0" hidden="0"/>
    </xf>
    <xf numFmtId="0" fontId="2" fillId="13" borderId="5" applyAlignment="1" pivotButton="0" quotePrefix="0" xfId="0">
      <alignment horizontal="center" vertical="center"/>
    </xf>
    <xf numFmtId="165" fontId="2" fillId="13" borderId="5" applyAlignment="1" pivotButton="0" quotePrefix="0" xfId="2">
      <alignment horizontal="center" vertical="center" wrapText="1"/>
    </xf>
    <xf numFmtId="164" fontId="5" fillId="0" borderId="0" applyAlignment="1" pivotButton="0" quotePrefix="0" xfId="2">
      <alignment horizontal="center" vertical="center"/>
    </xf>
    <xf numFmtId="0" fontId="45" fillId="0" borderId="1" applyAlignment="1" pivotButton="0" quotePrefix="0" xfId="0">
      <alignment horizontal="center"/>
    </xf>
    <xf numFmtId="165" fontId="45" fillId="0" borderId="1" applyAlignment="1" pivotButton="0" quotePrefix="0" xfId="0">
      <alignment horizontal="center"/>
    </xf>
    <xf numFmtId="0" fontId="27" fillId="4" borderId="8" applyAlignment="1" pivotButton="0" quotePrefix="0" xfId="0">
      <alignment horizontal="center"/>
    </xf>
    <xf numFmtId="0" fontId="13" fillId="0" borderId="0" pivotButton="0" quotePrefix="0" xfId="0"/>
    <xf numFmtId="0" fontId="2" fillId="31" borderId="1" applyAlignment="1" pivotButton="0" quotePrefix="0" xfId="0">
      <alignment horizontal="left" vertical="center"/>
    </xf>
    <xf numFmtId="0" fontId="2" fillId="31" borderId="1" applyAlignment="1" pivotButton="0" quotePrefix="0" xfId="0">
      <alignment horizontal="center" vertical="center"/>
    </xf>
    <xf numFmtId="16" fontId="23" fillId="31" borderId="1" applyAlignment="1" pivotButton="0" quotePrefix="0" xfId="0">
      <alignment horizontal="center" vertical="center"/>
    </xf>
    <xf numFmtId="16" fontId="23" fillId="31" borderId="2" applyAlignment="1" pivotButton="0" quotePrefix="0" xfId="0">
      <alignment horizontal="center" vertical="center"/>
    </xf>
    <xf numFmtId="0" fontId="23" fillId="31" borderId="10" applyAlignment="1" pivotButton="0" quotePrefix="0" xfId="0">
      <alignment horizontal="center" vertical="center" wrapText="1"/>
    </xf>
    <xf numFmtId="3" fontId="23" fillId="31" borderId="8" applyAlignment="1" pivotButton="0" quotePrefix="0" xfId="0">
      <alignment horizontal="center"/>
    </xf>
    <xf numFmtId="3" fontId="23" fillId="31" borderId="1" applyAlignment="1" pivotButton="0" quotePrefix="0" xfId="0">
      <alignment horizontal="center"/>
    </xf>
    <xf numFmtId="0" fontId="4" fillId="3" borderId="1" pivotButton="0" quotePrefix="0" xfId="0"/>
    <xf numFmtId="3" fontId="28" fillId="0" borderId="1" applyAlignment="1" applyProtection="1" pivotButton="0" quotePrefix="0" xfId="0">
      <alignment horizontal="center" vertical="center"/>
      <protection locked="0" hidden="0"/>
    </xf>
    <xf numFmtId="0" fontId="4" fillId="32" borderId="1" applyAlignment="1" applyProtection="1" pivotButton="0" quotePrefix="0" xfId="0">
      <alignment horizontal="center" vertical="center"/>
      <protection locked="0" hidden="0"/>
    </xf>
    <xf numFmtId="0" fontId="13" fillId="26" borderId="1" applyAlignment="1" applyProtection="1" pivotButton="0" quotePrefix="0" xfId="0">
      <alignment horizontal="center" vertical="center"/>
      <protection locked="0" hidden="0"/>
    </xf>
    <xf numFmtId="16" fontId="4" fillId="26" borderId="1" applyAlignment="1" pivotButton="0" quotePrefix="0" xfId="0">
      <alignment horizontal="center" vertical="center"/>
    </xf>
    <xf numFmtId="0" fontId="5" fillId="0" borderId="0" applyAlignment="1" applyProtection="1" pivotButton="0" quotePrefix="0" xfId="0">
      <alignment horizontal="center"/>
      <protection locked="0" hidden="0"/>
    </xf>
    <xf numFmtId="0" fontId="1" fillId="3" borderId="1" applyAlignment="1" pivotButton="0" quotePrefix="0" xfId="0">
      <alignment horizontal="center"/>
    </xf>
    <xf numFmtId="0" fontId="46" fillId="3" borderId="1" applyAlignment="1" applyProtection="1" pivotButton="0" quotePrefix="0" xfId="0">
      <alignment horizontal="center" wrapText="1" readingOrder="1"/>
      <protection locked="0" hidden="0"/>
    </xf>
    <xf numFmtId="0" fontId="3" fillId="0" borderId="1" pivotButton="0" quotePrefix="0" xfId="0"/>
    <xf numFmtId="0" fontId="4" fillId="19" borderId="1" applyAlignment="1" applyProtection="1" pivotButton="0" quotePrefix="0" xfId="0">
      <alignment horizontal="center"/>
      <protection locked="0" hidden="0"/>
    </xf>
    <xf numFmtId="165" fontId="4" fillId="19" borderId="1" applyAlignment="1" pivotButton="0" quotePrefix="0" xfId="0">
      <alignment horizontal="center" vertical="center"/>
    </xf>
    <xf numFmtId="0" fontId="4" fillId="19" borderId="1" applyAlignment="1" applyProtection="1" pivotButton="0" quotePrefix="0" xfId="0">
      <alignment horizontal="center" vertical="center"/>
      <protection locked="0" hidden="0"/>
    </xf>
    <xf numFmtId="165" fontId="4" fillId="33" borderId="1" applyAlignment="1" pivotButton="0" quotePrefix="0" xfId="0">
      <alignment horizontal="center" vertical="center"/>
    </xf>
    <xf numFmtId="0" fontId="47" fillId="0" borderId="1" applyAlignment="1" pivotButton="0" quotePrefix="0" xfId="0">
      <alignment horizontal="left" vertical="center"/>
    </xf>
    <xf numFmtId="0" fontId="47" fillId="0" borderId="1" applyAlignment="1" pivotButton="0" quotePrefix="0" xfId="0">
      <alignment horizontal="center" vertical="center"/>
    </xf>
    <xf numFmtId="164" fontId="47" fillId="0" borderId="1" applyAlignment="1" pivotButton="0" quotePrefix="0" xfId="2">
      <alignment vertical="center"/>
    </xf>
    <xf numFmtId="0" fontId="5" fillId="20" borderId="1" applyAlignment="1" applyProtection="1" pivotButton="0" quotePrefix="0" xfId="0">
      <alignment horizontal="center" vertical="center"/>
      <protection locked="0" hidden="0"/>
    </xf>
    <xf numFmtId="0" fontId="39" fillId="0" borderId="1" applyAlignment="1" pivotButton="0" quotePrefix="0" xfId="0">
      <alignment horizontal="left" vertical="center"/>
    </xf>
    <xf numFmtId="0" fontId="39" fillId="0" borderId="1" applyAlignment="1" pivotButton="0" quotePrefix="0" xfId="0">
      <alignment horizontal="center" vertical="center"/>
    </xf>
    <xf numFmtId="164" fontId="39" fillId="0" borderId="8" applyAlignment="1" pivotButton="0" quotePrefix="0" xfId="2">
      <alignment horizontal="center" vertical="center"/>
    </xf>
    <xf numFmtId="0" fontId="4" fillId="0" borderId="1" applyAlignment="1" pivotButton="0" quotePrefix="0" xfId="0">
      <alignment horizontal="left" vertical="center"/>
    </xf>
    <xf numFmtId="0" fontId="4" fillId="0" borderId="1" applyAlignment="1" pivotButton="0" quotePrefix="0" xfId="0">
      <alignment horizontal="center" vertical="center"/>
    </xf>
    <xf numFmtId="164" fontId="4" fillId="0" borderId="1" applyAlignment="1" pivotButton="0" quotePrefix="0" xfId="2">
      <alignment horizontal="center" vertical="center"/>
    </xf>
    <xf numFmtId="0" fontId="3" fillId="0" borderId="1" applyAlignment="1" applyProtection="1" pivotButton="0" quotePrefix="0" xfId="0">
      <alignment horizontal="center"/>
      <protection locked="0" hidden="0"/>
    </xf>
    <xf numFmtId="16" fontId="3" fillId="0" borderId="0" applyAlignment="1" applyProtection="1" pivotButton="0" quotePrefix="0" xfId="0">
      <alignment horizontal="center"/>
      <protection locked="0" hidden="0"/>
    </xf>
    <xf numFmtId="165" fontId="2" fillId="31" borderId="1" applyAlignment="1" pivotButton="0" quotePrefix="0" xfId="0">
      <alignment horizontal="center"/>
    </xf>
    <xf numFmtId="0" fontId="4" fillId="0" borderId="1" applyAlignment="1" applyProtection="1" pivotButton="0" quotePrefix="0" xfId="0">
      <alignment horizontal="center" vertical="center"/>
      <protection locked="0" hidden="0"/>
    </xf>
    <xf numFmtId="0" fontId="14" fillId="0" borderId="0" applyAlignment="1" applyProtection="1" pivotButton="0" quotePrefix="0" xfId="0">
      <alignment horizontal="center" vertical="center"/>
      <protection locked="0" hidden="0"/>
    </xf>
    <xf numFmtId="0" fontId="14" fillId="0" borderId="0" applyAlignment="1" pivotButton="0" quotePrefix="0" xfId="0">
      <alignment horizontal="center" vertical="center"/>
    </xf>
    <xf numFmtId="0" fontId="4" fillId="29" borderId="1" applyAlignment="1" pivotButton="0" quotePrefix="0" xfId="0">
      <alignment horizontal="center"/>
    </xf>
    <xf numFmtId="0" fontId="4" fillId="0" borderId="1" applyAlignment="1" applyProtection="1" pivotButton="0" quotePrefix="0" xfId="0">
      <alignment horizontal="center"/>
      <protection locked="0" hidden="0"/>
    </xf>
    <xf numFmtId="0" fontId="5" fillId="26" borderId="1" applyAlignment="1" applyProtection="1" pivotButton="0" quotePrefix="0" xfId="0">
      <alignment horizontal="center" vertical="center"/>
      <protection locked="0" hidden="0"/>
    </xf>
    <xf numFmtId="0" fontId="5" fillId="26" borderId="1" applyAlignment="1" applyProtection="1" pivotButton="0" quotePrefix="0" xfId="0">
      <alignment horizontal="center" vertical="center" wrapText="1"/>
      <protection locked="0" hidden="0"/>
    </xf>
    <xf numFmtId="0" fontId="4" fillId="18" borderId="1" applyAlignment="1" applyProtection="1" pivotButton="0" quotePrefix="0" xfId="0">
      <alignment horizontal="center" vertical="center"/>
      <protection locked="0" hidden="0"/>
    </xf>
    <xf numFmtId="0" fontId="18" fillId="0" borderId="0" applyAlignment="1" pivotButton="0" quotePrefix="0" xfId="0">
      <alignment horizontal="center" wrapText="1"/>
    </xf>
    <xf numFmtId="165" fontId="2" fillId="13" borderId="1" applyAlignment="1" pivotButton="0" quotePrefix="0" xfId="0">
      <alignment horizontal="center" vertical="center"/>
    </xf>
    <xf numFmtId="165" fontId="2" fillId="13" borderId="1" applyAlignment="1" pivotButton="0" quotePrefix="0" xfId="0">
      <alignment horizontal="center"/>
    </xf>
    <xf numFmtId="0" fontId="4" fillId="7" borderId="1" applyAlignment="1" pivotButton="0" quotePrefix="0" xfId="0">
      <alignment horizontal="left" vertical="center"/>
    </xf>
    <xf numFmtId="0" fontId="4" fillId="0" borderId="0" applyProtection="1" pivotButton="0" quotePrefix="0" xfId="0">
      <protection locked="0" hidden="0"/>
    </xf>
    <xf numFmtId="0" fontId="4" fillId="0" borderId="0" pivotButton="0" quotePrefix="0" xfId="0"/>
    <xf numFmtId="16" fontId="4" fillId="3" borderId="2" applyAlignment="1" pivotButton="0" quotePrefix="0" xfId="0">
      <alignment horizontal="center" vertical="center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pivotButton="0" quotePrefix="0" xfId="0">
      <alignment vertical="center"/>
    </xf>
    <xf numFmtId="165" fontId="4" fillId="0" borderId="0" applyAlignment="1" pivotButton="0" quotePrefix="0" xfId="0">
      <alignment horizontal="center" vertical="center"/>
    </xf>
    <xf numFmtId="0" fontId="4" fillId="0" borderId="1" applyAlignment="1" pivotButton="0" quotePrefix="0" xfId="2">
      <alignment horizontal="center" vertical="center"/>
    </xf>
    <xf numFmtId="0" fontId="45" fillId="0" borderId="1" pivotButton="0" quotePrefix="0" xfId="0"/>
    <xf numFmtId="0" fontId="4" fillId="0" borderId="1" applyProtection="1" pivotButton="0" quotePrefix="0" xfId="0">
      <protection locked="0" hidden="0"/>
    </xf>
    <xf numFmtId="165" fontId="4" fillId="7" borderId="8" applyAlignment="1" pivotButton="0" quotePrefix="0" xfId="0">
      <alignment horizontal="center" vertical="center"/>
    </xf>
    <xf numFmtId="0" fontId="12" fillId="0" borderId="11" applyAlignment="1" applyProtection="1" pivotButton="0" quotePrefix="0" xfId="0">
      <alignment horizontal="center" vertical="center"/>
      <protection locked="0" hidden="0"/>
    </xf>
    <xf numFmtId="0" fontId="4" fillId="0" borderId="5" applyProtection="1" pivotButton="0" quotePrefix="0" xfId="0">
      <protection locked="0" hidden="0"/>
    </xf>
    <xf numFmtId="0" fontId="4" fillId="0" borderId="8" applyAlignment="1" pivotButton="0" quotePrefix="0" xfId="2">
      <alignment horizontal="center" vertical="center"/>
    </xf>
    <xf numFmtId="0" fontId="5" fillId="0" borderId="10" applyAlignment="1" applyProtection="1" pivotButton="0" quotePrefix="0" xfId="0">
      <alignment horizontal="center" vertical="center"/>
      <protection locked="0" hidden="0"/>
    </xf>
    <xf numFmtId="0" fontId="5" fillId="0" borderId="10" applyAlignment="1" pivotButton="0" quotePrefix="0" xfId="0">
      <alignment vertical="center"/>
    </xf>
    <xf numFmtId="0" fontId="13" fillId="3" borderId="1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0" borderId="0" applyAlignment="1" applyProtection="1" pivotButton="0" quotePrefix="0" xfId="0">
      <alignment horizontal="center"/>
      <protection locked="0" hidden="0"/>
    </xf>
    <xf numFmtId="16" fontId="4" fillId="0" borderId="0" applyAlignment="1" applyProtection="1" pivotButton="0" quotePrefix="0" xfId="0">
      <alignment horizontal="center"/>
      <protection locked="0" hidden="0"/>
    </xf>
    <xf numFmtId="165" fontId="4" fillId="7" borderId="5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4" fillId="8" borderId="0" applyAlignment="1" pivotButton="0" quotePrefix="0" xfId="0">
      <alignment horizontal="center"/>
    </xf>
    <xf numFmtId="0" fontId="45" fillId="0" borderId="0" applyAlignment="1" pivotButton="0" quotePrefix="0" xfId="0">
      <alignment horizontal="center"/>
    </xf>
    <xf numFmtId="0" fontId="4" fillId="5" borderId="1" applyAlignment="1" applyProtection="1" pivotButton="0" quotePrefix="0" xfId="0">
      <alignment horizontal="center" vertical="center"/>
      <protection locked="0" hidden="0"/>
    </xf>
    <xf numFmtId="0" fontId="4" fillId="5" borderId="1" applyAlignment="1" pivotButton="0" quotePrefix="0" xfId="0">
      <alignment horizontal="center"/>
    </xf>
    <xf numFmtId="0" fontId="26" fillId="7" borderId="27" applyAlignment="1" pivotButton="0" quotePrefix="0" xfId="0">
      <alignment horizontal="center" vertical="center" wrapText="1"/>
    </xf>
    <xf numFmtId="16" fontId="26" fillId="7" borderId="27" applyAlignment="1" pivotButton="0" quotePrefix="0" xfId="0">
      <alignment horizontal="center" vertical="center"/>
    </xf>
    <xf numFmtId="3" fontId="27" fillId="34" borderId="8" applyAlignment="1" pivotButton="0" quotePrefix="0" xfId="0">
      <alignment horizontal="center"/>
    </xf>
    <xf numFmtId="3" fontId="27" fillId="34" borderId="1" applyAlignment="1" pivotButton="0" quotePrefix="0" xfId="0">
      <alignment horizontal="center"/>
    </xf>
    <xf numFmtId="0" fontId="50" fillId="0" borderId="1" pivotButton="0" quotePrefix="0" xfId="0"/>
    <xf numFmtId="14" fontId="50" fillId="0" borderId="1" pivotButton="0" quotePrefix="0" xfId="0"/>
    <xf numFmtId="165" fontId="4" fillId="0" borderId="1" applyAlignment="1" pivotButton="0" quotePrefix="0" xfId="0">
      <alignment horizontal="center"/>
    </xf>
    <xf numFmtId="0" fontId="18" fillId="0" borderId="1" applyAlignment="1" applyProtection="1" pivotButton="0" quotePrefix="0" xfId="0">
      <alignment horizontal="center" vertical="center"/>
      <protection locked="0" hidden="0"/>
    </xf>
    <xf numFmtId="0" fontId="26" fillId="4" borderId="1" applyAlignment="1" pivotButton="0" quotePrefix="0" xfId="0">
      <alignment horizontal="center" vertical="center"/>
    </xf>
    <xf numFmtId="0" fontId="23" fillId="15" borderId="27" applyAlignment="1" pivotButton="0" quotePrefix="0" xfId="0">
      <alignment horizontal="center" vertical="center"/>
    </xf>
    <xf numFmtId="0" fontId="23" fillId="15" borderId="27" applyAlignment="1" pivotButton="0" quotePrefix="0" xfId="0">
      <alignment horizontal="center" vertical="center" wrapText="1"/>
    </xf>
    <xf numFmtId="16" fontId="23" fillId="15" borderId="27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/>
    </xf>
    <xf numFmtId="16" fontId="23" fillId="15" borderId="1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 wrapText="1"/>
    </xf>
    <xf numFmtId="3" fontId="41" fillId="15" borderId="1" applyAlignment="1" pivotButton="0" quotePrefix="0" xfId="0">
      <alignment horizontal="center"/>
    </xf>
    <xf numFmtId="165" fontId="2" fillId="15" borderId="1" applyAlignment="1" pivotButton="0" quotePrefix="0" xfId="0">
      <alignment horizontal="center" vertical="center"/>
    </xf>
    <xf numFmtId="165" fontId="2" fillId="15" borderId="1" applyAlignment="1" pivotButton="0" quotePrefix="0" xfId="0">
      <alignment horizontal="center"/>
    </xf>
    <xf numFmtId="0" fontId="4" fillId="35" borderId="1" applyAlignment="1" applyProtection="1" pivotButton="0" quotePrefix="0" xfId="0">
      <alignment horizontal="center" vertical="center"/>
      <protection locked="0" hidden="0"/>
    </xf>
    <xf numFmtId="164" fontId="4" fillId="0" borderId="0" pivotButton="0" quotePrefix="0" xfId="2"/>
    <xf numFmtId="0" fontId="45" fillId="0" borderId="0" pivotButton="0" quotePrefix="0" xfId="0"/>
    <xf numFmtId="0" fontId="4" fillId="8" borderId="0" applyProtection="1" pivotButton="0" quotePrefix="0" xfId="0">
      <protection locked="0" hidden="0"/>
    </xf>
    <xf numFmtId="164" fontId="18" fillId="0" borderId="0" pivotButton="0" quotePrefix="0" xfId="2"/>
    <xf numFmtId="0" fontId="13" fillId="0" borderId="1" applyAlignment="1" applyProtection="1" pivotButton="0" quotePrefix="0" xfId="0">
      <alignment vertical="center" wrapText="1"/>
      <protection locked="0" hidden="0"/>
    </xf>
    <xf numFmtId="49" fontId="15" fillId="0" borderId="1" applyAlignment="1" applyProtection="1" pivotButton="0" quotePrefix="0" xfId="0">
      <alignment horizontal="center" vertical="center"/>
      <protection locked="0" hidden="0"/>
    </xf>
    <xf numFmtId="0" fontId="13" fillId="0" borderId="0" applyProtection="1" pivotButton="0" quotePrefix="0" xfId="0">
      <protection locked="0" hidden="0"/>
    </xf>
    <xf numFmtId="0" fontId="34" fillId="15" borderId="1" applyAlignment="1" pivotButton="0" quotePrefix="0" xfId="0">
      <alignment vertical="center"/>
    </xf>
    <xf numFmtId="0" fontId="2" fillId="16" borderId="2" applyAlignment="1" pivotButton="0" quotePrefix="0" xfId="0">
      <alignment vertical="center"/>
    </xf>
    <xf numFmtId="0" fontId="2" fillId="16" borderId="10" applyAlignment="1" pivotButton="0" quotePrefix="0" xfId="0">
      <alignment vertical="center"/>
    </xf>
    <xf numFmtId="0" fontId="2" fillId="16" borderId="11" applyAlignment="1" pivotButton="0" quotePrefix="0" xfId="0">
      <alignment vertical="center"/>
    </xf>
    <xf numFmtId="0" fontId="30" fillId="0" borderId="2" applyAlignment="1" pivotButton="0" quotePrefix="0" xfId="0">
      <alignment vertical="center"/>
    </xf>
    <xf numFmtId="0" fontId="30" fillId="0" borderId="10" applyAlignment="1" pivotButton="0" quotePrefix="0" xfId="0">
      <alignment vertical="center"/>
    </xf>
    <xf numFmtId="0" fontId="30" fillId="0" borderId="11" applyAlignment="1" pivotButton="0" quotePrefix="0" xfId="0">
      <alignment vertical="center"/>
    </xf>
    <xf numFmtId="0" fontId="9" fillId="3" borderId="7" applyAlignment="1" pivotButton="0" quotePrefix="0" xfId="0">
      <alignment horizontal="center" vertical="center"/>
    </xf>
    <xf numFmtId="3" fontId="9" fillId="3" borderId="1" applyAlignment="1" pivotButton="0" quotePrefix="0" xfId="0">
      <alignment horizontal="center" vertical="center"/>
    </xf>
    <xf numFmtId="3" fontId="9" fillId="0" borderId="1" applyAlignment="1" pivotButton="0" quotePrefix="0" xfId="2">
      <alignment horizontal="center" vertical="center"/>
    </xf>
    <xf numFmtId="3" fontId="9" fillId="0" borderId="0" applyAlignment="1" pivotButton="0" quotePrefix="0" xfId="2">
      <alignment horizontal="center" vertical="center"/>
    </xf>
    <xf numFmtId="3" fontId="9" fillId="0" borderId="0" applyAlignment="1" pivotButton="0" quotePrefix="0" xfId="2">
      <alignment horizontal="center" vertical="center"/>
    </xf>
    <xf numFmtId="3" fontId="9" fillId="0" borderId="8" applyAlignment="1" pivotButton="0" quotePrefix="0" xfId="2">
      <alignment horizontal="center" vertical="center"/>
    </xf>
    <xf numFmtId="0" fontId="37" fillId="0" borderId="2" applyAlignment="1" applyProtection="1" pivotButton="0" quotePrefix="0" xfId="0">
      <alignment vertical="center"/>
      <protection locked="0" hidden="0"/>
    </xf>
    <xf numFmtId="0" fontId="37" fillId="0" borderId="10" applyAlignment="1" applyProtection="1" pivotButton="0" quotePrefix="0" xfId="0">
      <alignment vertical="center"/>
      <protection locked="0" hidden="0"/>
    </xf>
    <xf numFmtId="0" fontId="37" fillId="0" borderId="31" applyAlignment="1" applyProtection="1" pivotButton="0" quotePrefix="0" xfId="0">
      <alignment vertical="center"/>
      <protection locked="0" hidden="0"/>
    </xf>
    <xf numFmtId="0" fontId="37" fillId="0" borderId="25" applyAlignment="1" applyProtection="1" pivotButton="0" quotePrefix="0" xfId="0">
      <alignment vertical="center"/>
      <protection locked="0" hidden="0"/>
    </xf>
    <xf numFmtId="0" fontId="37" fillId="0" borderId="24" applyAlignment="1" applyProtection="1" pivotButton="0" quotePrefix="0" xfId="0">
      <alignment vertical="center"/>
      <protection locked="0" hidden="0"/>
    </xf>
    <xf numFmtId="0" fontId="28" fillId="0" borderId="24" applyAlignment="1" applyProtection="1" pivotButton="0" quotePrefix="0" xfId="0">
      <alignment vertical="center"/>
      <protection locked="0" hidden="0"/>
    </xf>
    <xf numFmtId="0" fontId="28" fillId="0" borderId="25" applyAlignment="1" applyProtection="1" pivotButton="0" quotePrefix="0" xfId="0">
      <alignment vertical="center"/>
      <protection locked="0" hidden="0"/>
    </xf>
    <xf numFmtId="0" fontId="24" fillId="0" borderId="8" applyAlignment="1" applyProtection="1" pivotButton="0" quotePrefix="0" xfId="0">
      <alignment horizontal="center" vertical="center"/>
      <protection locked="0" hidden="0"/>
    </xf>
    <xf numFmtId="0" fontId="24" fillId="0" borderId="1" applyAlignment="1" applyProtection="1" pivotButton="0" quotePrefix="0" xfId="0">
      <alignment horizontal="center" vertical="center"/>
      <protection locked="0" hidden="0"/>
    </xf>
    <xf numFmtId="0" fontId="0" fillId="0" borderId="1" pivotButton="0" quotePrefix="0" xfId="0"/>
    <xf numFmtId="0" fontId="53" fillId="0" borderId="1" applyAlignment="1" pivotButton="0" quotePrefix="0" xfId="0">
      <alignment horizontal="left" vertical="center"/>
    </xf>
    <xf numFmtId="0" fontId="53" fillId="0" borderId="1" applyAlignment="1" pivotButton="0" quotePrefix="0" xfId="0">
      <alignment horizontal="center" vertical="center"/>
    </xf>
    <xf numFmtId="164" fontId="47" fillId="0" borderId="1" applyAlignment="1" pivotButton="0" quotePrefix="0" xfId="2">
      <alignment horizontal="center" vertical="center"/>
    </xf>
    <xf numFmtId="3" fontId="13" fillId="0" borderId="1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vertical="center"/>
    </xf>
    <xf numFmtId="0" fontId="38" fillId="0" borderId="1" applyAlignment="1" applyProtection="1" pivotButton="0" quotePrefix="0" xfId="0">
      <alignment vertical="center"/>
      <protection locked="0" hidden="0"/>
    </xf>
    <xf numFmtId="0" fontId="37" fillId="23" borderId="1" applyAlignment="1" applyProtection="1" pivotButton="0" quotePrefix="0" xfId="0">
      <alignment horizontal="left" vertical="center"/>
      <protection locked="0" hidden="0"/>
    </xf>
    <xf numFmtId="0" fontId="28" fillId="22" borderId="1" applyAlignment="1" applyProtection="1" pivotButton="0" quotePrefix="0" xfId="0">
      <alignment horizontal="center" vertical="center"/>
      <protection locked="0" hidden="0"/>
    </xf>
    <xf numFmtId="0" fontId="42" fillId="0" borderId="1" applyAlignment="1" applyProtection="1" pivotButton="0" quotePrefix="0" xfId="0">
      <alignment horizontal="left" vertical="center"/>
      <protection locked="0" hidden="0"/>
    </xf>
    <xf numFmtId="0" fontId="13" fillId="0" borderId="1" applyAlignment="1" pivotButton="0" quotePrefix="0" xfId="0">
      <alignment horizontal="left" vertical="center"/>
    </xf>
    <xf numFmtId="164" fontId="13" fillId="0" borderId="1" applyAlignment="1" pivotButton="0" quotePrefix="0" xfId="2">
      <alignment horizontal="center" vertical="center"/>
    </xf>
    <xf numFmtId="0" fontId="54" fillId="0" borderId="1" pivotButton="0" quotePrefix="0" xfId="0"/>
    <xf numFmtId="165" fontId="2" fillId="36" borderId="1" applyAlignment="1" pivotButton="0" quotePrefix="0" xfId="0">
      <alignment horizontal="center"/>
    </xf>
    <xf numFmtId="0" fontId="14" fillId="0" borderId="1" applyAlignment="1" applyProtection="1" pivotButton="0" quotePrefix="0" xfId="0">
      <alignment horizontal="center" vertical="center"/>
      <protection locked="0" hidden="0"/>
    </xf>
    <xf numFmtId="0" fontId="2" fillId="30" borderId="1" applyAlignment="1" pivotButton="0" quotePrefix="0" xfId="0">
      <alignment horizontal="center" vertical="center"/>
    </xf>
    <xf numFmtId="0" fontId="3" fillId="4" borderId="1" applyAlignment="1" pivotButton="0" quotePrefix="0" xfId="0">
      <alignment horizontal="center"/>
    </xf>
    <xf numFmtId="165" fontId="2" fillId="27" borderId="1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28" fillId="21" borderId="1" applyAlignment="1" applyProtection="1" pivotButton="0" quotePrefix="0" xfId="0">
      <alignment horizontal="left" vertical="center"/>
      <protection locked="0" hidden="0"/>
    </xf>
    <xf numFmtId="0" fontId="28" fillId="0" borderId="1" applyAlignment="1" applyProtection="1" pivotButton="0" quotePrefix="0" xfId="0">
      <alignment vertical="center"/>
      <protection locked="0" hidden="0"/>
    </xf>
    <xf numFmtId="0" fontId="43" fillId="0" borderId="0" applyAlignment="1" applyProtection="1" pivotButton="0" quotePrefix="0" xfId="0">
      <alignment horizontal="left" vertical="center"/>
      <protection locked="0" hidden="0"/>
    </xf>
    <xf numFmtId="0" fontId="58" fillId="0" borderId="1" applyAlignment="1" applyProtection="1" pivotButton="0" quotePrefix="0" xfId="0">
      <alignment horizontal="left" vertical="center"/>
      <protection locked="0" hidden="0"/>
    </xf>
    <xf numFmtId="0" fontId="4" fillId="29" borderId="1" applyAlignment="1" pivotButton="0" quotePrefix="0" xfId="0">
      <alignment horizontal="center" vertical="center"/>
    </xf>
    <xf numFmtId="165" fontId="4" fillId="18" borderId="1" applyAlignment="1" pivotButton="0" quotePrefix="0" xfId="0">
      <alignment horizontal="center"/>
    </xf>
    <xf numFmtId="0" fontId="4" fillId="14" borderId="1" applyAlignment="1" applyProtection="1" pivotButton="0" quotePrefix="0" xfId="0">
      <alignment horizontal="center" vertical="center"/>
      <protection locked="0" hidden="0"/>
    </xf>
    <xf numFmtId="0" fontId="59" fillId="0" borderId="1" applyAlignment="1" pivotButton="0" quotePrefix="0" xfId="0">
      <alignment horizontal="left" vertical="center"/>
    </xf>
    <xf numFmtId="0" fontId="59" fillId="0" borderId="1" applyAlignment="1" pivotButton="0" quotePrefix="0" xfId="0">
      <alignment horizontal="center" vertical="center"/>
    </xf>
    <xf numFmtId="164" fontId="59" fillId="0" borderId="1" applyAlignment="1" pivotButton="0" quotePrefix="0" xfId="2">
      <alignment horizontal="center" vertical="center"/>
    </xf>
    <xf numFmtId="0" fontId="37" fillId="0" borderId="23" applyAlignment="1" applyProtection="1" pivotButton="0" quotePrefix="0" xfId="0">
      <alignment horizontal="left" vertical="center"/>
      <protection locked="0" hidden="0"/>
    </xf>
    <xf numFmtId="0" fontId="12" fillId="0" borderId="2" applyAlignment="1" applyProtection="1" pivotButton="0" quotePrefix="0" xfId="0">
      <alignment horizontal="center" vertical="center"/>
      <protection locked="0" hidden="0"/>
    </xf>
    <xf numFmtId="165" fontId="2" fillId="37" borderId="1" applyAlignment="1" pivotButton="0" quotePrefix="0" xfId="0">
      <alignment horizontal="center" vertical="center"/>
    </xf>
    <xf numFmtId="0" fontId="2" fillId="37" borderId="1" applyAlignment="1" pivotButton="0" quotePrefix="0" xfId="0">
      <alignment horizontal="left" vertical="center"/>
    </xf>
    <xf numFmtId="0" fontId="2" fillId="37" borderId="1" applyAlignment="1" pivotButton="0" quotePrefix="0" xfId="0">
      <alignment horizontal="center" vertical="center"/>
    </xf>
    <xf numFmtId="0" fontId="4" fillId="29" borderId="1" applyAlignment="1" applyProtection="1" pivotButton="0" quotePrefix="0" xfId="0">
      <alignment horizontal="center" vertical="center"/>
      <protection locked="0" hidden="0"/>
    </xf>
    <xf numFmtId="165" fontId="2" fillId="6" borderId="1" applyAlignment="1" pivotButton="0" quotePrefix="0" xfId="0">
      <alignment horizontal="center"/>
    </xf>
    <xf numFmtId="0" fontId="4" fillId="38" borderId="1" applyAlignment="1" applyProtection="1" pivotButton="0" quotePrefix="0" xfId="0">
      <alignment horizontal="center" vertical="center"/>
      <protection locked="0" hidden="0"/>
    </xf>
    <xf numFmtId="16" fontId="23" fillId="37" borderId="1" applyAlignment="1" pivotButton="0" quotePrefix="0" xfId="0">
      <alignment horizontal="center" vertical="center"/>
    </xf>
    <xf numFmtId="0" fontId="23" fillId="37" borderId="35" applyAlignment="1" pivotButton="0" quotePrefix="0" xfId="0">
      <alignment horizontal="center" vertical="center" wrapText="1"/>
    </xf>
    <xf numFmtId="16" fontId="23" fillId="37" borderId="2" applyAlignment="1" pivotButton="0" quotePrefix="0" xfId="0">
      <alignment horizontal="center" vertical="center"/>
    </xf>
    <xf numFmtId="0" fontId="23" fillId="37" borderId="10" applyAlignment="1" pivotButton="0" quotePrefix="0" xfId="0">
      <alignment horizontal="center" vertical="center" wrapText="1"/>
    </xf>
    <xf numFmtId="3" fontId="26" fillId="29" borderId="8" applyAlignment="1" pivotButton="0" quotePrefix="0" xfId="0">
      <alignment horizontal="center"/>
    </xf>
    <xf numFmtId="3" fontId="23" fillId="6" borderId="8" applyAlignment="1" pivotButton="0" quotePrefix="0" xfId="0">
      <alignment horizontal="center"/>
    </xf>
    <xf numFmtId="3" fontId="23" fillId="6" borderId="1" applyAlignment="1" pivotButton="0" quotePrefix="0" xfId="0">
      <alignment horizontal="center"/>
    </xf>
    <xf numFmtId="0" fontId="23" fillId="6" borderId="1" applyAlignment="1" pivotButton="0" quotePrefix="0" xfId="0">
      <alignment horizontal="center"/>
    </xf>
    <xf numFmtId="0" fontId="34" fillId="15" borderId="2" applyAlignment="1" pivotButton="0" quotePrefix="0" xfId="0">
      <alignment horizontal="center" vertical="center"/>
    </xf>
    <xf numFmtId="0" fontId="34" fillId="15" borderId="10" applyAlignment="1" pivotButton="0" quotePrefix="0" xfId="0">
      <alignment horizontal="center" vertical="center"/>
    </xf>
    <xf numFmtId="0" fontId="34" fillId="15" borderId="11" applyAlignment="1" pivotButton="0" quotePrefix="0" xfId="0">
      <alignment horizontal="center" vertical="center"/>
    </xf>
    <xf numFmtId="165" fontId="2" fillId="30" borderId="5" applyAlignment="1" pivotButton="0" quotePrefix="0" xfId="2">
      <alignment horizontal="center" vertical="center" wrapText="1"/>
    </xf>
    <xf numFmtId="165" fontId="2" fillId="30" borderId="1" applyAlignment="1" pivotButton="0" quotePrefix="0" xfId="0">
      <alignment horizontal="center"/>
    </xf>
    <xf numFmtId="0" fontId="4" fillId="0" borderId="5" applyAlignment="1" applyProtection="1" pivotButton="0" quotePrefix="0" xfId="0">
      <alignment horizontal="center" vertical="center"/>
      <protection locked="0" hidden="0"/>
    </xf>
    <xf numFmtId="0" fontId="1" fillId="0" borderId="1" applyAlignment="1" pivotButton="0" quotePrefix="0" xfId="0">
      <alignment horizontal="center"/>
    </xf>
    <xf numFmtId="16" fontId="39" fillId="3" borderId="1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3" fontId="12" fillId="0" borderId="1" applyAlignment="1" applyProtection="1" pivotButton="0" quotePrefix="0" xfId="0">
      <alignment horizontal="center" vertical="center"/>
      <protection locked="0" hidden="0"/>
    </xf>
    <xf numFmtId="3" fontId="12" fillId="0" borderId="0" applyAlignment="1" applyProtection="1" pivotButton="0" quotePrefix="0" xfId="0">
      <alignment horizontal="center" vertical="center"/>
      <protection locked="0" hidden="0"/>
    </xf>
    <xf numFmtId="3" fontId="9" fillId="0" borderId="0" applyAlignment="1" pivotButton="0" quotePrefix="0" xfId="2">
      <alignment horizontal="center" vertical="center"/>
    </xf>
    <xf numFmtId="0" fontId="3" fillId="0" borderId="1" applyProtection="1" pivotButton="0" quotePrefix="0" xfId="0">
      <protection locked="0" hidden="0"/>
    </xf>
    <xf numFmtId="0" fontId="5" fillId="26" borderId="0" applyAlignment="1" applyProtection="1" pivotButton="0" quotePrefix="0" xfId="0">
      <alignment horizontal="center" vertical="center"/>
      <protection locked="0" hidden="0"/>
    </xf>
    <xf numFmtId="3" fontId="26" fillId="39" borderId="8" applyAlignment="1" pivotButton="0" quotePrefix="0" xfId="0">
      <alignment horizontal="center"/>
    </xf>
    <xf numFmtId="0" fontId="4" fillId="20" borderId="1" applyAlignment="1" applyProtection="1" pivotButton="0" quotePrefix="0" xfId="0">
      <alignment horizont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2" fillId="40" borderId="1" applyAlignment="1" pivotButton="0" quotePrefix="0" xfId="0">
      <alignment horizontal="left" vertical="center"/>
    </xf>
    <xf numFmtId="0" fontId="2" fillId="40" borderId="1" applyAlignment="1" pivotButton="0" quotePrefix="0" xfId="0">
      <alignment horizontal="center" vertical="center"/>
    </xf>
    <xf numFmtId="0" fontId="2" fillId="41" borderId="1" applyAlignment="1" pivotButton="0" quotePrefix="0" xfId="0">
      <alignment horizontal="left" vertical="center"/>
    </xf>
    <xf numFmtId="0" fontId="2" fillId="41" borderId="1" applyAlignment="1" pivotButton="0" quotePrefix="0" xfId="0">
      <alignment horizontal="center" vertical="center"/>
    </xf>
    <xf numFmtId="0" fontId="2" fillId="30" borderId="1" applyAlignment="1" pivotButton="0" quotePrefix="0" xfId="0">
      <alignment horizontal="left" vertical="center"/>
    </xf>
    <xf numFmtId="16" fontId="1" fillId="0" borderId="0" applyAlignment="1" applyProtection="1" pivotButton="0" quotePrefix="0" xfId="0">
      <alignment horizontal="center"/>
      <protection locked="0" hidden="0"/>
    </xf>
    <xf numFmtId="0" fontId="3" fillId="0" borderId="0" applyAlignment="1" pivotButton="0" quotePrefix="0" xfId="0">
      <alignment horizontal="center" wrapText="1"/>
    </xf>
    <xf numFmtId="0" fontId="4" fillId="19" borderId="1" applyAlignment="1" pivotButton="0" quotePrefix="0" xfId="0">
      <alignment horizontal="center" vertical="center"/>
    </xf>
    <xf numFmtId="16" fontId="4" fillId="19" borderId="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/>
    </xf>
    <xf numFmtId="165" fontId="2" fillId="41" borderId="1" applyAlignment="1" pivotButton="0" quotePrefix="0" xfId="0">
      <alignment horizontal="center" vertical="center"/>
    </xf>
    <xf numFmtId="165" fontId="61" fillId="30" borderId="1" applyAlignment="1" pivotButton="0" quotePrefix="0" xfId="0">
      <alignment horizontal="center" vertical="center"/>
    </xf>
    <xf numFmtId="0" fontId="4" fillId="42" borderId="1" applyAlignment="1" applyProtection="1" pivotButton="0" quotePrefix="0" xfId="0">
      <alignment horizontal="center" vertical="center"/>
      <protection locked="0" hidden="0"/>
    </xf>
    <xf numFmtId="0" fontId="30" fillId="0" borderId="2" applyAlignment="1" pivotButton="0" quotePrefix="0" xfId="0">
      <alignment horizontal="left" vertical="center"/>
    </xf>
    <xf numFmtId="0" fontId="30" fillId="0" borderId="10" applyAlignment="1" pivotButton="0" quotePrefix="0" xfId="0">
      <alignment horizontal="left" vertical="center"/>
    </xf>
    <xf numFmtId="0" fontId="30" fillId="0" borderId="11" applyAlignment="1" pivotButton="0" quotePrefix="0" xfId="0">
      <alignment horizontal="left" vertical="center"/>
    </xf>
    <xf numFmtId="3" fontId="5" fillId="0" borderId="1" applyAlignment="1" pivotButton="0" quotePrefix="0" xfId="0">
      <alignment horizontal="center" vertical="center"/>
    </xf>
    <xf numFmtId="3" fontId="5" fillId="20" borderId="1" applyAlignment="1" applyProtection="1" pivotButton="0" quotePrefix="0" xfId="0">
      <alignment horizontal="center" vertical="center"/>
      <protection locked="0" hidden="0"/>
    </xf>
    <xf numFmtId="3" fontId="5" fillId="26" borderId="1" applyAlignment="1" applyProtection="1" pivotButton="0" quotePrefix="0" xfId="0">
      <alignment horizontal="center" vertical="center"/>
      <protection locked="0" hidden="0"/>
    </xf>
    <xf numFmtId="0" fontId="13" fillId="26" borderId="1" applyAlignment="1" pivotButton="0" quotePrefix="0" xfId="0">
      <alignment horizontal="center" vertical="center"/>
    </xf>
    <xf numFmtId="0" fontId="4" fillId="7" borderId="11" applyAlignment="1" pivotButton="0" quotePrefix="0" xfId="0">
      <alignment horizontal="center" vertical="center"/>
    </xf>
    <xf numFmtId="0" fontId="33" fillId="0" borderId="0" applyAlignment="1" pivotButton="0" quotePrefix="0" xfId="0">
      <alignment horizontal="center" vertical="center" wrapText="1"/>
    </xf>
    <xf numFmtId="0" fontId="50" fillId="0" borderId="0" applyAlignment="1" pivotButton="0" quotePrefix="0" xfId="0">
      <alignment horizontal="left"/>
    </xf>
    <xf numFmtId="0" fontId="62" fillId="44" borderId="0" applyAlignment="1" pivotButton="0" quotePrefix="0" xfId="0">
      <alignment horizontal="center" vertical="center"/>
    </xf>
    <xf numFmtId="0" fontId="62" fillId="11" borderId="0" applyAlignment="1" pivotButton="0" quotePrefix="0" xfId="0">
      <alignment horizontal="center" vertical="center"/>
    </xf>
    <xf numFmtId="0" fontId="62" fillId="6" borderId="0" applyAlignment="1" pivotButton="0" quotePrefix="0" xfId="0">
      <alignment horizontal="center" vertical="center"/>
    </xf>
    <xf numFmtId="0" fontId="62" fillId="45" borderId="0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/>
    </xf>
    <xf numFmtId="166" fontId="0" fillId="26" borderId="0" applyAlignment="1" pivotButton="0" quotePrefix="0" xfId="0">
      <alignment horizontal="center"/>
    </xf>
    <xf numFmtId="0" fontId="50" fillId="46" borderId="0" pivotButton="0" quotePrefix="0" xfId="0"/>
    <xf numFmtId="166" fontId="50" fillId="46" borderId="0" applyAlignment="1" pivotButton="0" quotePrefix="0" xfId="0">
      <alignment horizontal="center"/>
    </xf>
    <xf numFmtId="0" fontId="63" fillId="47" borderId="51" applyAlignment="1" pivotButton="0" quotePrefix="0" xfId="0">
      <alignment horizontal="left"/>
    </xf>
    <xf numFmtId="0" fontId="63" fillId="44" borderId="51" applyAlignment="1" pivotButton="0" quotePrefix="0" xfId="0">
      <alignment horizontal="center" vertical="center"/>
    </xf>
    <xf numFmtId="0" fontId="63" fillId="11" borderId="51" applyAlignment="1" pivotButton="0" quotePrefix="0" xfId="0">
      <alignment horizontal="center" vertical="center"/>
    </xf>
    <xf numFmtId="0" fontId="63" fillId="45" borderId="51" applyAlignment="1" pivotButton="0" quotePrefix="0" xfId="0">
      <alignment horizontal="center" vertical="center"/>
    </xf>
    <xf numFmtId="0" fontId="64" fillId="48" borderId="51" pivotButton="0" quotePrefix="0" xfId="0"/>
    <xf numFmtId="166" fontId="64" fillId="48" borderId="51" applyAlignment="1" pivotButton="0" quotePrefix="0" xfId="0">
      <alignment horizontal="center"/>
    </xf>
    <xf numFmtId="166" fontId="64" fillId="26" borderId="51" applyAlignment="1" pivotButton="0" quotePrefix="0" xfId="0">
      <alignment horizontal="center"/>
    </xf>
    <xf numFmtId="0" fontId="64" fillId="46" borderId="51" pivotButton="0" quotePrefix="0" xfId="0"/>
    <xf numFmtId="166" fontId="64" fillId="46" borderId="51" applyAlignment="1" pivotButton="0" quotePrefix="0" xfId="0">
      <alignment horizontal="center"/>
    </xf>
    <xf numFmtId="0" fontId="64" fillId="43" borderId="51" pivotButton="0" quotePrefix="0" xfId="0"/>
    <xf numFmtId="166" fontId="64" fillId="43" borderId="51" applyAlignment="1" pivotButton="0" quotePrefix="0" xfId="0">
      <alignment horizontal="center"/>
    </xf>
    <xf numFmtId="0" fontId="64" fillId="11" borderId="52" pivotButton="0" quotePrefix="0" xfId="0"/>
    <xf numFmtId="166" fontId="64" fillId="11" borderId="52" applyAlignment="1" pivotButton="0" quotePrefix="0" xfId="0">
      <alignment horizontal="center"/>
    </xf>
    <xf numFmtId="0" fontId="64" fillId="48" borderId="53" pivotButton="0" quotePrefix="0" xfId="0"/>
    <xf numFmtId="166" fontId="64" fillId="48" borderId="54" applyAlignment="1" pivotButton="0" quotePrefix="0" xfId="0">
      <alignment horizontal="center"/>
    </xf>
    <xf numFmtId="166" fontId="64" fillId="26" borderId="54" applyAlignment="1" pivotButton="0" quotePrefix="0" xfId="0">
      <alignment horizontal="center"/>
    </xf>
    <xf numFmtId="166" fontId="64" fillId="26" borderId="55" applyAlignment="1" pivotButton="0" quotePrefix="0" xfId="0">
      <alignment horizontal="center"/>
    </xf>
    <xf numFmtId="0" fontId="64" fillId="46" borderId="56" pivotButton="0" quotePrefix="0" xfId="0"/>
    <xf numFmtId="166" fontId="64" fillId="26" borderId="57" applyAlignment="1" pivotButton="0" quotePrefix="0" xfId="0">
      <alignment horizontal="center"/>
    </xf>
    <xf numFmtId="0" fontId="64" fillId="48" borderId="56" pivotButton="0" quotePrefix="0" xfId="0"/>
    <xf numFmtId="0" fontId="64" fillId="46" borderId="58" pivotButton="0" quotePrefix="0" xfId="0"/>
    <xf numFmtId="166" fontId="64" fillId="46" borderId="59" applyAlignment="1" pivotButton="0" quotePrefix="0" xfId="0">
      <alignment horizontal="center"/>
    </xf>
    <xf numFmtId="166" fontId="64" fillId="26" borderId="59" applyAlignment="1" pivotButton="0" quotePrefix="0" xfId="0">
      <alignment horizontal="center"/>
    </xf>
    <xf numFmtId="166" fontId="64" fillId="26" borderId="60" applyAlignment="1" pivotButton="0" quotePrefix="0" xfId="0">
      <alignment horizontal="center"/>
    </xf>
    <xf numFmtId="0" fontId="64" fillId="48" borderId="58" pivotButton="0" quotePrefix="0" xfId="0"/>
    <xf numFmtId="166" fontId="64" fillId="48" borderId="59" applyAlignment="1" pivotButton="0" quotePrefix="0" xfId="0">
      <alignment horizontal="center"/>
    </xf>
    <xf numFmtId="0" fontId="64" fillId="46" borderId="53" pivotButton="0" quotePrefix="0" xfId="0"/>
    <xf numFmtId="166" fontId="64" fillId="46" borderId="54" applyAlignment="1" pivotButton="0" quotePrefix="0" xfId="0">
      <alignment horizontal="center"/>
    </xf>
    <xf numFmtId="0" fontId="64" fillId="46" borderId="61" pivotButton="0" quotePrefix="0" xfId="0"/>
    <xf numFmtId="166" fontId="64" fillId="46" borderId="62" applyAlignment="1" pivotButton="0" quotePrefix="0" xfId="0">
      <alignment horizontal="center"/>
    </xf>
    <xf numFmtId="166" fontId="64" fillId="26" borderId="62" applyAlignment="1" pivotButton="0" quotePrefix="0" xfId="0">
      <alignment horizontal="center"/>
    </xf>
    <xf numFmtId="166" fontId="64" fillId="26" borderId="63" applyAlignment="1" pivotButton="0" quotePrefix="0" xfId="0">
      <alignment horizontal="center"/>
    </xf>
    <xf numFmtId="0" fontId="64" fillId="48" borderId="64" pivotButton="0" quotePrefix="0" xfId="0"/>
    <xf numFmtId="166" fontId="64" fillId="48" borderId="65" applyAlignment="1" pivotButton="0" quotePrefix="0" xfId="0">
      <alignment horizontal="center"/>
    </xf>
    <xf numFmtId="166" fontId="64" fillId="48" borderId="66" applyAlignment="1" pivotButton="0" quotePrefix="0" xfId="0">
      <alignment horizontal="center"/>
    </xf>
    <xf numFmtId="0" fontId="64" fillId="46" borderId="67" pivotButton="0" quotePrefix="0" xfId="0"/>
    <xf numFmtId="166" fontId="64" fillId="46" borderId="68" applyAlignment="1" pivotButton="0" quotePrefix="0" xfId="0">
      <alignment horizontal="center"/>
    </xf>
    <xf numFmtId="0" fontId="64" fillId="48" borderId="67" pivotButton="0" quotePrefix="0" xfId="0"/>
    <xf numFmtId="166" fontId="64" fillId="48" borderId="68" applyAlignment="1" pivotButton="0" quotePrefix="0" xfId="0">
      <alignment horizontal="center"/>
    </xf>
    <xf numFmtId="0" fontId="64" fillId="46" borderId="69" pivotButton="0" quotePrefix="0" xfId="0"/>
    <xf numFmtId="166" fontId="64" fillId="46" borderId="70" applyAlignment="1" pivotButton="0" quotePrefix="0" xfId="0">
      <alignment horizontal="center"/>
    </xf>
    <xf numFmtId="166" fontId="64" fillId="46" borderId="71" applyAlignment="1" pivotButton="0" quotePrefix="0" xfId="0">
      <alignment horizontal="center"/>
    </xf>
    <xf numFmtId="0" fontId="64" fillId="48" borderId="72" pivotButton="0" quotePrefix="0" xfId="0"/>
    <xf numFmtId="166" fontId="64" fillId="48" borderId="72" applyAlignment="1" pivotButton="0" quotePrefix="0" xfId="0">
      <alignment horizontal="center"/>
    </xf>
    <xf numFmtId="0" fontId="65" fillId="48" borderId="51" pivotButton="0" quotePrefix="0" xfId="0"/>
    <xf numFmtId="166" fontId="65" fillId="48" borderId="51" applyAlignment="1" pivotButton="0" quotePrefix="0" xfId="0">
      <alignment horizontal="center"/>
    </xf>
    <xf numFmtId="0" fontId="64" fillId="0" borderId="0" pivotButton="0" quotePrefix="0" xfId="0"/>
    <xf numFmtId="0" fontId="4" fillId="7" borderId="10" applyAlignment="1" pivotButton="0" quotePrefix="0" xfId="0">
      <alignment horizontal="center" vertical="center"/>
    </xf>
    <xf numFmtId="0" fontId="9" fillId="26" borderId="1" applyAlignment="1" applyProtection="1" pivotButton="0" quotePrefix="0" xfId="0">
      <alignment horizontal="center" vertical="center"/>
      <protection locked="0" hidden="0"/>
    </xf>
    <xf numFmtId="0" fontId="30" fillId="0" borderId="2" applyAlignment="1" pivotButton="0" quotePrefix="0" xfId="0">
      <alignment horizontal="left" vertical="center"/>
    </xf>
    <xf numFmtId="0" fontId="30" fillId="0" borderId="10" applyAlignment="1" pivotButton="0" quotePrefix="0" xfId="0">
      <alignment horizontal="left" vertical="center"/>
    </xf>
    <xf numFmtId="0" fontId="30" fillId="0" borderId="11" applyAlignment="1" pivotButton="0" quotePrefix="0" xfId="0">
      <alignment horizontal="left" vertical="center"/>
    </xf>
    <xf numFmtId="0" fontId="34" fillId="15" borderId="2" applyAlignment="1" pivotButton="0" quotePrefix="0" xfId="0">
      <alignment horizontal="center" vertical="center"/>
    </xf>
    <xf numFmtId="0" fontId="34" fillId="15" borderId="10" applyAlignment="1" pivotButton="0" quotePrefix="0" xfId="0">
      <alignment horizontal="center" vertical="center"/>
    </xf>
    <xf numFmtId="0" fontId="34" fillId="15" borderId="11" applyAlignment="1" pivotButton="0" quotePrefix="0" xfId="0">
      <alignment horizontal="center" vertical="center"/>
    </xf>
    <xf numFmtId="0" fontId="1" fillId="0" borderId="2" applyAlignment="1" applyProtection="1" pivotButton="0" quotePrefix="0" xfId="0">
      <alignment horizontal="center" vertical="center"/>
      <protection locked="0" hidden="0"/>
    </xf>
    <xf numFmtId="0" fontId="1" fillId="0" borderId="10" applyAlignment="1" applyProtection="1" pivotButton="0" quotePrefix="0" xfId="0">
      <alignment horizontal="center" vertical="center"/>
      <protection locked="0" hidden="0"/>
    </xf>
    <xf numFmtId="0" fontId="1" fillId="0" borderId="11" applyAlignment="1" applyProtection="1" pivotButton="0" quotePrefix="0" xfId="0">
      <alignment horizontal="center" vertical="center"/>
      <protection locked="0" hidden="0"/>
    </xf>
    <xf numFmtId="0" fontId="3" fillId="0" borderId="2" applyAlignment="1" applyProtection="1" pivotButton="0" quotePrefix="0" xfId="0">
      <alignment horizontal="center"/>
      <protection locked="0" hidden="0"/>
    </xf>
    <xf numFmtId="0" fontId="3" fillId="0" borderId="10" applyAlignment="1" applyProtection="1" pivotButton="0" quotePrefix="0" xfId="0">
      <alignment horizontal="center"/>
      <protection locked="0" hidden="0"/>
    </xf>
    <xf numFmtId="0" fontId="3" fillId="0" borderId="11" applyAlignment="1" applyProtection="1" pivotButton="0" quotePrefix="0" xfId="0">
      <alignment horizontal="center"/>
      <protection locked="0" hidden="0"/>
    </xf>
    <xf numFmtId="0" fontId="4" fillId="9" borderId="5" applyAlignment="1" pivotButton="0" quotePrefix="0" xfId="0">
      <alignment horizontal="left" vertical="center"/>
    </xf>
    <xf numFmtId="0" fontId="4" fillId="9" borderId="8" applyAlignment="1" pivotButton="0" quotePrefix="0" xfId="0">
      <alignment horizontal="left" vertical="center"/>
    </xf>
    <xf numFmtId="164" fontId="4" fillId="9" borderId="5" applyAlignment="1" pivotButton="0" quotePrefix="0" xfId="2">
      <alignment horizontal="center" vertical="center" wrapText="1"/>
    </xf>
    <xf numFmtId="164" fontId="4" fillId="9" borderId="8" applyAlignment="1" pivotButton="0" quotePrefix="0" xfId="2">
      <alignment horizontal="center" vertical="center" wrapText="1"/>
    </xf>
    <xf numFmtId="164" fontId="9" fillId="9" borderId="5" applyAlignment="1" pivotButton="0" quotePrefix="0" xfId="2">
      <alignment horizontal="center" vertical="center" wrapText="1"/>
    </xf>
    <xf numFmtId="164" fontId="9" fillId="9" borderId="8" applyAlignment="1" pivotButton="0" quotePrefix="0" xfId="2">
      <alignment horizontal="center" vertical="center" wrapText="1"/>
    </xf>
    <xf numFmtId="0" fontId="4" fillId="7" borderId="2" applyAlignment="1" pivotButton="0" quotePrefix="0" xfId="0">
      <alignment horizontal="center" vertical="center"/>
    </xf>
    <xf numFmtId="0" fontId="4" fillId="7" borderId="10" applyAlignment="1" pivotButton="0" quotePrefix="0" xfId="0">
      <alignment horizontal="center" vertical="center"/>
    </xf>
    <xf numFmtId="0" fontId="2" fillId="16" borderId="2" applyAlignment="1" pivotButton="0" quotePrefix="0" xfId="0">
      <alignment horizontal="center" vertical="center"/>
    </xf>
    <xf numFmtId="0" fontId="2" fillId="16" borderId="10" applyAlignment="1" pivotButton="0" quotePrefix="0" xfId="0">
      <alignment horizontal="center" vertical="center"/>
    </xf>
    <xf numFmtId="0" fontId="2" fillId="16" borderId="11" applyAlignment="1" pivotButton="0" quotePrefix="0" xfId="0">
      <alignment horizontal="center" vertical="center"/>
    </xf>
    <xf numFmtId="0" fontId="3" fillId="9" borderId="2" applyAlignment="1" pivotButton="0" quotePrefix="0" xfId="0">
      <alignment horizontal="center" vertical="center"/>
    </xf>
    <xf numFmtId="0" fontId="3" fillId="9" borderId="10" applyAlignment="1" pivotButton="0" quotePrefix="0" xfId="0">
      <alignment horizontal="center" vertical="center"/>
    </xf>
    <xf numFmtId="0" fontId="4" fillId="9" borderId="5" applyAlignment="1" pivotButton="0" quotePrefix="0" xfId="0">
      <alignment horizontal="center" vertical="center"/>
    </xf>
    <xf numFmtId="0" fontId="4" fillId="9" borderId="8" applyAlignment="1" pivotButton="0" quotePrefix="0" xfId="0">
      <alignment horizontal="center" vertical="center"/>
    </xf>
    <xf numFmtId="0" fontId="33" fillId="0" borderId="0" applyAlignment="1" pivotButton="0" quotePrefix="0" xfId="0">
      <alignment horizontal="center" vertical="center" wrapText="1"/>
    </xf>
    <xf numFmtId="3" fontId="9" fillId="0" borderId="5" applyAlignment="1" pivotButton="0" quotePrefix="0" xfId="2">
      <alignment horizontal="center" vertical="center" wrapText="1"/>
    </xf>
    <xf numFmtId="3" fontId="9" fillId="0" borderId="7" applyAlignment="1" pivotButton="0" quotePrefix="0" xfId="2">
      <alignment horizontal="center" vertical="center" wrapText="1"/>
    </xf>
    <xf numFmtId="3" fontId="9" fillId="0" borderId="8" applyAlignment="1" pivotButton="0" quotePrefix="0" xfId="2">
      <alignment horizontal="center" vertical="center" wrapText="1"/>
    </xf>
    <xf numFmtId="0" fontId="9" fillId="26" borderId="5" applyAlignment="1" applyProtection="1" pivotButton="0" quotePrefix="0" xfId="0">
      <alignment horizontal="center" vertical="center" wrapText="1"/>
      <protection locked="0" hidden="0"/>
    </xf>
    <xf numFmtId="0" fontId="9" fillId="26" borderId="7" applyAlignment="1" applyProtection="1" pivotButton="0" quotePrefix="0" xfId="0">
      <alignment horizontal="center" vertical="center" wrapText="1"/>
      <protection locked="0" hidden="0"/>
    </xf>
    <xf numFmtId="0" fontId="9" fillId="26" borderId="8" applyAlignment="1" applyProtection="1" pivotButton="0" quotePrefix="0" xfId="0">
      <alignment horizontal="center" vertical="center" wrapText="1"/>
      <protection locked="0" hidden="0"/>
    </xf>
    <xf numFmtId="0" fontId="4" fillId="43" borderId="45" applyAlignment="1" pivotButton="0" quotePrefix="0" xfId="0">
      <alignment horizontal="center" vertical="center" wrapText="1"/>
    </xf>
    <xf numFmtId="0" fontId="4" fillId="43" borderId="46" applyAlignment="1" pivotButton="0" quotePrefix="0" xfId="0">
      <alignment horizontal="center" vertical="center" wrapText="1"/>
    </xf>
    <xf numFmtId="0" fontId="4" fillId="43" borderId="47" applyAlignment="1" pivotButton="0" quotePrefix="0" xfId="0">
      <alignment horizontal="center" vertical="center" wrapText="1"/>
    </xf>
    <xf numFmtId="0" fontId="4" fillId="43" borderId="48" applyAlignment="1" pivotButton="0" quotePrefix="0" xfId="0">
      <alignment horizontal="center" vertical="center" wrapText="1"/>
    </xf>
    <xf numFmtId="0" fontId="4" fillId="43" borderId="49" applyAlignment="1" pivotButton="0" quotePrefix="0" xfId="0">
      <alignment horizontal="center" vertical="center" wrapText="1"/>
    </xf>
    <xf numFmtId="0" fontId="4" fillId="43" borderId="50" applyAlignment="1" pivotButton="0" quotePrefix="0" xfId="0">
      <alignment horizontal="center" vertical="center" wrapText="1"/>
    </xf>
    <xf numFmtId="0" fontId="1" fillId="43" borderId="45" applyAlignment="1" pivotButton="0" quotePrefix="0" xfId="0">
      <alignment horizontal="center" vertical="center" wrapText="1"/>
    </xf>
    <xf numFmtId="0" fontId="1" fillId="43" borderId="46" applyAlignment="1" pivotButton="0" quotePrefix="0" xfId="0">
      <alignment horizontal="center" vertical="center" wrapText="1"/>
    </xf>
    <xf numFmtId="0" fontId="1" fillId="43" borderId="47" applyAlignment="1" pivotButton="0" quotePrefix="0" xfId="0">
      <alignment horizontal="center" vertical="center" wrapText="1"/>
    </xf>
    <xf numFmtId="0" fontId="1" fillId="43" borderId="48" applyAlignment="1" pivotButton="0" quotePrefix="0" xfId="0">
      <alignment horizontal="center" vertical="center" wrapText="1"/>
    </xf>
    <xf numFmtId="0" fontId="1" fillId="43" borderId="49" applyAlignment="1" pivotButton="0" quotePrefix="0" xfId="0">
      <alignment horizontal="center" vertical="center" wrapText="1"/>
    </xf>
    <xf numFmtId="0" fontId="1" fillId="43" borderId="50" applyAlignment="1" pivotButton="0" quotePrefix="0" xfId="0">
      <alignment horizontal="center" vertical="center" wrapText="1"/>
    </xf>
    <xf numFmtId="0" fontId="23" fillId="13" borderId="18" applyAlignment="1" pivotButton="0" quotePrefix="0" xfId="0">
      <alignment horizontal="center" vertical="center"/>
    </xf>
    <xf numFmtId="0" fontId="23" fillId="13" borderId="19" applyAlignment="1" pivotButton="0" quotePrefix="0" xfId="0">
      <alignment horizontal="center" vertical="center"/>
    </xf>
    <xf numFmtId="0" fontId="23" fillId="13" borderId="13" applyAlignment="1" pivotButton="0" quotePrefix="0" xfId="0">
      <alignment horizontal="center" vertical="center"/>
    </xf>
    <xf numFmtId="0" fontId="23" fillId="13" borderId="20" applyAlignment="1" pivotButton="0" quotePrefix="0" xfId="0">
      <alignment horizontal="center" vertical="center"/>
    </xf>
    <xf numFmtId="0" fontId="23" fillId="13" borderId="12" applyAlignment="1" pivotButton="0" quotePrefix="0" xfId="0">
      <alignment horizontal="center" vertical="center"/>
    </xf>
    <xf numFmtId="0" fontId="23" fillId="13" borderId="14" applyAlignment="1" pivotButton="0" quotePrefix="0" xfId="0">
      <alignment horizontal="center" vertical="center"/>
    </xf>
    <xf numFmtId="0" fontId="23" fillId="13" borderId="15" applyAlignment="1" pivotButton="0" quotePrefix="0" xfId="0">
      <alignment horizontal="center" vertical="center"/>
    </xf>
    <xf numFmtId="0" fontId="23" fillId="13" borderId="17" applyAlignment="1" pivotButton="0" quotePrefix="0" xfId="0">
      <alignment horizontal="center" vertical="center"/>
    </xf>
    <xf numFmtId="0" fontId="23" fillId="6" borderId="13" applyAlignment="1" pivotButton="0" quotePrefix="0" xfId="0">
      <alignment horizontal="center" vertical="center"/>
    </xf>
    <xf numFmtId="0" fontId="23" fillId="6" borderId="17" applyAlignment="1" pivotButton="0" quotePrefix="0" xfId="0">
      <alignment horizontal="center" vertical="center"/>
    </xf>
    <xf numFmtId="0" fontId="23" fillId="6" borderId="12" applyAlignment="1" pivotButton="0" quotePrefix="0" xfId="0">
      <alignment horizontal="center" vertical="center"/>
    </xf>
    <xf numFmtId="0" fontId="23" fillId="6" borderId="14" applyAlignment="1" pivotButton="0" quotePrefix="0" xfId="0">
      <alignment horizontal="center" vertical="center"/>
    </xf>
    <xf numFmtId="0" fontId="23" fillId="6" borderId="15" applyAlignment="1" pivotButton="0" quotePrefix="0" xfId="0">
      <alignment horizontal="center" vertical="center"/>
    </xf>
    <xf numFmtId="0" fontId="23" fillId="6" borderId="16" applyAlignment="1" pivotButton="0" quotePrefix="0" xfId="0">
      <alignment horizontal="center" vertical="center"/>
    </xf>
    <xf numFmtId="0" fontId="23" fillId="6" borderId="0" applyAlignment="1" pivotButton="0" quotePrefix="0" xfId="0">
      <alignment horizontal="center" vertical="center"/>
    </xf>
    <xf numFmtId="0" fontId="26" fillId="7" borderId="27" applyAlignment="1" pivotButton="0" quotePrefix="0" xfId="0">
      <alignment horizontal="center" vertical="center"/>
    </xf>
    <xf numFmtId="0" fontId="26" fillId="7" borderId="28" applyAlignment="1" pivotButton="0" quotePrefix="0" xfId="0">
      <alignment horizontal="center" vertical="center"/>
    </xf>
    <xf numFmtId="0" fontId="26" fillId="7" borderId="29" applyAlignment="1" pivotButton="0" quotePrefix="0" xfId="0">
      <alignment horizontal="center" vertical="center"/>
    </xf>
    <xf numFmtId="0" fontId="26" fillId="7" borderId="42" applyAlignment="1" pivotButton="0" quotePrefix="0" xfId="0">
      <alignment horizontal="center" vertical="center"/>
    </xf>
    <xf numFmtId="0" fontId="26" fillId="7" borderId="27" applyAlignment="1" pivotButton="0" quotePrefix="0" xfId="0">
      <alignment horizontal="center" vertical="center" wrapText="1"/>
    </xf>
    <xf numFmtId="0" fontId="50" fillId="0" borderId="2" applyAlignment="1" pivotButton="0" quotePrefix="0" xfId="0">
      <alignment horizontal="center"/>
    </xf>
    <xf numFmtId="0" fontId="50" fillId="0" borderId="11" applyAlignment="1" pivotButton="0" quotePrefix="0" xfId="0">
      <alignment horizontal="center"/>
    </xf>
    <xf numFmtId="0" fontId="23" fillId="15" borderId="28" applyAlignment="1" pivotButton="0" quotePrefix="0" xfId="0">
      <alignment horizontal="center" vertical="center"/>
    </xf>
    <xf numFmtId="0" fontId="23" fillId="15" borderId="29" applyAlignment="1" pivotButton="0" quotePrefix="0" xfId="0">
      <alignment horizontal="center" vertical="center"/>
    </xf>
    <xf numFmtId="0" fontId="23" fillId="15" borderId="27" applyAlignment="1" pivotButton="0" quotePrefix="0" xfId="0">
      <alignment horizontal="center" vertical="center"/>
    </xf>
    <xf numFmtId="0" fontId="23" fillId="15" borderId="27" applyAlignment="1" pivotButton="0" quotePrefix="0" xfId="0">
      <alignment horizontal="center" vertical="center" wrapText="1"/>
    </xf>
    <xf numFmtId="0" fontId="23" fillId="15" borderId="1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 wrapText="1"/>
    </xf>
    <xf numFmtId="0" fontId="23" fillId="15" borderId="9" applyAlignment="1" pivotButton="0" quotePrefix="0" xfId="0">
      <alignment horizontal="center" vertical="center"/>
    </xf>
    <xf numFmtId="0" fontId="23" fillId="15" borderId="43" applyAlignment="1" pivotButton="0" quotePrefix="0" xfId="0">
      <alignment horizontal="center" vertical="center"/>
    </xf>
    <xf numFmtId="0" fontId="23" fillId="15" borderId="21" applyAlignment="1" pivotButton="0" quotePrefix="0" xfId="0">
      <alignment horizontal="center" vertical="center"/>
    </xf>
    <xf numFmtId="0" fontId="23" fillId="27" borderId="39" applyAlignment="1" pivotButton="0" quotePrefix="0" xfId="0">
      <alignment horizontal="center" vertical="center"/>
    </xf>
    <xf numFmtId="0" fontId="23" fillId="27" borderId="40" applyAlignment="1" pivotButton="0" quotePrefix="0" xfId="0">
      <alignment horizontal="center" vertical="center"/>
    </xf>
    <xf numFmtId="0" fontId="23" fillId="27" borderId="41" applyAlignment="1" pivotButton="0" quotePrefix="0" xfId="0">
      <alignment horizontal="center" vertical="center"/>
    </xf>
    <xf numFmtId="0" fontId="23" fillId="27" borderId="32" applyAlignment="1" pivotButton="0" quotePrefix="0" xfId="0">
      <alignment horizontal="center" vertical="center"/>
    </xf>
    <xf numFmtId="0" fontId="23" fillId="27" borderId="38" applyAlignment="1" pivotButton="0" quotePrefix="0" xfId="0">
      <alignment horizontal="center" vertical="center"/>
    </xf>
    <xf numFmtId="0" fontId="23" fillId="27" borderId="2" applyAlignment="1" pivotButton="0" quotePrefix="0" xfId="0">
      <alignment horizontal="center" vertical="center"/>
    </xf>
    <xf numFmtId="0" fontId="23" fillId="27" borderId="10" applyAlignment="1" pivotButton="0" quotePrefix="0" xfId="0">
      <alignment horizontal="center" vertical="center"/>
    </xf>
    <xf numFmtId="0" fontId="23" fillId="27" borderId="11" applyAlignment="1" pivotButton="0" quotePrefix="0" xfId="0">
      <alignment horizontal="center" vertical="center"/>
    </xf>
    <xf numFmtId="0" fontId="23" fillId="27" borderId="34" applyAlignment="1" pivotButton="0" quotePrefix="0" xfId="0">
      <alignment horizontal="center" vertical="center" wrapText="1"/>
    </xf>
    <xf numFmtId="0" fontId="23" fillId="27" borderId="36" applyAlignment="1" pivotButton="0" quotePrefix="0" xfId="0">
      <alignment horizontal="center" vertical="center" wrapText="1"/>
    </xf>
    <xf numFmtId="0" fontId="23" fillId="27" borderId="33" applyAlignment="1" pivotButton="0" quotePrefix="0" xfId="0">
      <alignment horizontal="center" vertical="center" wrapText="1"/>
    </xf>
    <xf numFmtId="0" fontId="23" fillId="27" borderId="37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0" fontId="3" fillId="0" borderId="2" pivotButton="0" quotePrefix="0" xfId="0"/>
    <xf numFmtId="0" fontId="3" fillId="0" borderId="11" pivotButton="0" quotePrefix="0" xfId="0"/>
    <xf numFmtId="0" fontId="2" fillId="28" borderId="2" applyAlignment="1" pivotButton="0" quotePrefix="0" xfId="0">
      <alignment horizontal="center" vertical="center"/>
    </xf>
    <xf numFmtId="0" fontId="2" fillId="28" borderId="11" applyAlignment="1" pivotButton="0" quotePrefix="0" xfId="0">
      <alignment horizontal="center" vertical="center"/>
    </xf>
    <xf numFmtId="0" fontId="5" fillId="12" borderId="2" applyAlignment="1" pivotButton="0" quotePrefix="0" xfId="0">
      <alignment horizontal="left"/>
    </xf>
    <xf numFmtId="0" fontId="5" fillId="12" borderId="11" applyAlignment="1" pivotButton="0" quotePrefix="0" xfId="0">
      <alignment horizontal="left"/>
    </xf>
    <xf numFmtId="0" fontId="5" fillId="12" borderId="1" applyAlignment="1" pivotButton="0" quotePrefix="0" xfId="0">
      <alignment horizontal="left"/>
    </xf>
    <xf numFmtId="0" fontId="2" fillId="17" borderId="8" applyAlignment="1" pivotButton="0" quotePrefix="0" xfId="0">
      <alignment horizontal="left" vertical="center"/>
    </xf>
    <xf numFmtId="0" fontId="5" fillId="12" borderId="1" applyAlignment="1" pivotButton="0" quotePrefix="0" xfId="0">
      <alignment horizontal="left" vertical="center"/>
    </xf>
    <xf numFmtId="0" fontId="13" fillId="18" borderId="1" applyAlignment="1" pivotButton="0" quotePrefix="0" xfId="0">
      <alignment horizontal="left" vertical="center"/>
    </xf>
    <xf numFmtId="0" fontId="2" fillId="17" borderId="1" applyAlignment="1" pivotButton="0" quotePrefix="0" xfId="0">
      <alignment horizontal="left" vertical="center"/>
    </xf>
    <xf numFmtId="0" fontId="3" fillId="0" borderId="2" applyAlignment="1" pivotButton="0" quotePrefix="0" xfId="0">
      <alignment horizontal="left"/>
    </xf>
    <xf numFmtId="0" fontId="3" fillId="0" borderId="11" applyAlignment="1" pivotButton="0" quotePrefix="0" xfId="0">
      <alignment horizontal="left"/>
    </xf>
    <xf numFmtId="0" fontId="23" fillId="37" borderId="2" applyAlignment="1" pivotButton="0" quotePrefix="0" xfId="0">
      <alignment horizontal="center" vertical="center"/>
    </xf>
    <xf numFmtId="0" fontId="23" fillId="37" borderId="10" applyAlignment="1" pivotButton="0" quotePrefix="0" xfId="0">
      <alignment horizontal="center" vertical="center"/>
    </xf>
    <xf numFmtId="0" fontId="23" fillId="37" borderId="11" applyAlignment="1" pivotButton="0" quotePrefix="0" xfId="0">
      <alignment horizontal="center" vertical="center"/>
    </xf>
    <xf numFmtId="0" fontId="23" fillId="37" borderId="5" applyAlignment="1" pivotButton="0" quotePrefix="0" xfId="0">
      <alignment horizontal="center" vertical="center"/>
    </xf>
    <xf numFmtId="0" fontId="23" fillId="37" borderId="8" applyAlignment="1" pivotButton="0" quotePrefix="0" xfId="0">
      <alignment horizontal="center" vertical="center"/>
    </xf>
    <xf numFmtId="0" fontId="23" fillId="37" borderId="5" applyAlignment="1" pivotButton="0" quotePrefix="0" xfId="0">
      <alignment horizontal="center" vertical="center" wrapText="1"/>
    </xf>
    <xf numFmtId="0" fontId="23" fillId="37" borderId="8" applyAlignment="1" pivotButton="0" quotePrefix="0" xfId="0">
      <alignment horizontal="center" vertical="center" wrapText="1"/>
    </xf>
    <xf numFmtId="0" fontId="23" fillId="31" borderId="39" applyAlignment="1" pivotButton="0" quotePrefix="0" xfId="0">
      <alignment horizontal="center" vertical="center"/>
    </xf>
    <xf numFmtId="0" fontId="23" fillId="31" borderId="40" applyAlignment="1" pivotButton="0" quotePrefix="0" xfId="0">
      <alignment horizontal="center" vertical="center"/>
    </xf>
    <xf numFmtId="0" fontId="23" fillId="31" borderId="41" applyAlignment="1" pivotButton="0" quotePrefix="0" xfId="0">
      <alignment horizontal="center" vertical="center"/>
    </xf>
    <xf numFmtId="0" fontId="23" fillId="31" borderId="32" applyAlignment="1" pivotButton="0" quotePrefix="0" xfId="0">
      <alignment horizontal="center" vertical="center"/>
    </xf>
    <xf numFmtId="0" fontId="23" fillId="31" borderId="38" applyAlignment="1" pivotButton="0" quotePrefix="0" xfId="0">
      <alignment horizontal="center" vertical="center"/>
    </xf>
    <xf numFmtId="0" fontId="23" fillId="31" borderId="2" applyAlignment="1" pivotButton="0" quotePrefix="0" xfId="0">
      <alignment horizontal="center" vertical="center"/>
    </xf>
    <xf numFmtId="0" fontId="23" fillId="31" borderId="10" applyAlignment="1" pivotButton="0" quotePrefix="0" xfId="0">
      <alignment horizontal="center" vertical="center"/>
    </xf>
    <xf numFmtId="0" fontId="23" fillId="31" borderId="11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23" fillId="31" borderId="34" applyAlignment="1" pivotButton="0" quotePrefix="0" xfId="0">
      <alignment horizontal="center" vertical="center" wrapText="1"/>
    </xf>
    <xf numFmtId="0" fontId="23" fillId="31" borderId="36" applyAlignment="1" pivotButton="0" quotePrefix="0" xfId="0">
      <alignment horizontal="center" vertical="center" wrapText="1"/>
    </xf>
    <xf numFmtId="0" fontId="23" fillId="31" borderId="33" applyAlignment="1" pivotButton="0" quotePrefix="0" xfId="0">
      <alignment horizontal="center" vertical="center" wrapText="1"/>
    </xf>
    <xf numFmtId="0" fontId="23" fillId="31" borderId="37" applyAlignment="1" pivotButton="0" quotePrefix="0" xfId="0">
      <alignment horizontal="center" vertical="center" wrapText="1"/>
    </xf>
    <xf numFmtId="0" fontId="44" fillId="30" borderId="2" applyAlignment="1" pivotButton="0" quotePrefix="0" xfId="0">
      <alignment horizontal="center"/>
    </xf>
    <xf numFmtId="0" fontId="44" fillId="30" borderId="11" applyAlignment="1" pivotButton="0" quotePrefix="0" xfId="0">
      <alignment horizontal="center"/>
    </xf>
    <xf numFmtId="166" fontId="0" fillId="26" borderId="0" applyAlignment="1" pivotButton="0" quotePrefix="0" xfId="0">
      <alignment horizontal="center"/>
    </xf>
    <xf numFmtId="166" fontId="0" fillId="0" borderId="0" applyAlignment="1" pivotButton="0" quotePrefix="0" xfId="0">
      <alignment horizontal="center"/>
    </xf>
    <xf numFmtId="166" fontId="50" fillId="46" borderId="0" applyAlignment="1" pivotButton="0" quotePrefix="0" xfId="0">
      <alignment horizontal="center"/>
    </xf>
    <xf numFmtId="166" fontId="64" fillId="48" borderId="51" applyAlignment="1" pivotButton="0" quotePrefix="0" xfId="0">
      <alignment horizontal="center"/>
    </xf>
    <xf numFmtId="166" fontId="64" fillId="26" borderId="51" applyAlignment="1" pivotButton="0" quotePrefix="0" xfId="0">
      <alignment horizontal="center"/>
    </xf>
    <xf numFmtId="166" fontId="64" fillId="46" borderId="51" applyAlignment="1" pivotButton="0" quotePrefix="0" xfId="0">
      <alignment horizontal="center"/>
    </xf>
    <xf numFmtId="166" fontId="64" fillId="43" borderId="51" applyAlignment="1" pivotButton="0" quotePrefix="0" xfId="0">
      <alignment horizontal="center"/>
    </xf>
    <xf numFmtId="166" fontId="64" fillId="11" borderId="52" applyAlignment="1" pivotButton="0" quotePrefix="0" xfId="0">
      <alignment horizontal="center"/>
    </xf>
    <xf numFmtId="166" fontId="64" fillId="48" borderId="54" applyAlignment="1" pivotButton="0" quotePrefix="0" xfId="0">
      <alignment horizontal="center"/>
    </xf>
    <xf numFmtId="166" fontId="64" fillId="26" borderId="54" applyAlignment="1" pivotButton="0" quotePrefix="0" xfId="0">
      <alignment horizontal="center"/>
    </xf>
    <xf numFmtId="166" fontId="64" fillId="26" borderId="55" applyAlignment="1" pivotButton="0" quotePrefix="0" xfId="0">
      <alignment horizontal="center"/>
    </xf>
    <xf numFmtId="166" fontId="64" fillId="26" borderId="57" applyAlignment="1" pivotButton="0" quotePrefix="0" xfId="0">
      <alignment horizontal="center"/>
    </xf>
    <xf numFmtId="166" fontId="64" fillId="46" borderId="59" applyAlignment="1" pivotButton="0" quotePrefix="0" xfId="0">
      <alignment horizontal="center"/>
    </xf>
    <xf numFmtId="166" fontId="64" fillId="26" borderId="59" applyAlignment="1" pivotButton="0" quotePrefix="0" xfId="0">
      <alignment horizontal="center"/>
    </xf>
    <xf numFmtId="166" fontId="64" fillId="26" borderId="60" applyAlignment="1" pivotButton="0" quotePrefix="0" xfId="0">
      <alignment horizontal="center"/>
    </xf>
    <xf numFmtId="166" fontId="64" fillId="48" borderId="59" applyAlignment="1" pivotButton="0" quotePrefix="0" xfId="0">
      <alignment horizontal="center"/>
    </xf>
    <xf numFmtId="166" fontId="64" fillId="46" borderId="54" applyAlignment="1" pivotButton="0" quotePrefix="0" xfId="0">
      <alignment horizontal="center"/>
    </xf>
    <xf numFmtId="166" fontId="64" fillId="46" borderId="62" applyAlignment="1" pivotButton="0" quotePrefix="0" xfId="0">
      <alignment horizontal="center"/>
    </xf>
    <xf numFmtId="166" fontId="64" fillId="26" borderId="62" applyAlignment="1" pivotButton="0" quotePrefix="0" xfId="0">
      <alignment horizontal="center"/>
    </xf>
    <xf numFmtId="166" fontId="64" fillId="26" borderId="63" applyAlignment="1" pivotButton="0" quotePrefix="0" xfId="0">
      <alignment horizontal="center"/>
    </xf>
    <xf numFmtId="166" fontId="64" fillId="48" borderId="65" applyAlignment="1" pivotButton="0" quotePrefix="0" xfId="0">
      <alignment horizontal="center"/>
    </xf>
    <xf numFmtId="166" fontId="64" fillId="48" borderId="66" applyAlignment="1" pivotButton="0" quotePrefix="0" xfId="0">
      <alignment horizontal="center"/>
    </xf>
    <xf numFmtId="166" fontId="64" fillId="46" borderId="68" applyAlignment="1" pivotButton="0" quotePrefix="0" xfId="0">
      <alignment horizontal="center"/>
    </xf>
    <xf numFmtId="166" fontId="64" fillId="48" borderId="68" applyAlignment="1" pivotButton="0" quotePrefix="0" xfId="0">
      <alignment horizontal="center"/>
    </xf>
    <xf numFmtId="166" fontId="64" fillId="46" borderId="70" applyAlignment="1" pivotButton="0" quotePrefix="0" xfId="0">
      <alignment horizontal="center"/>
    </xf>
    <xf numFmtId="166" fontId="64" fillId="46" borderId="71" applyAlignment="1" pivotButton="0" quotePrefix="0" xfId="0">
      <alignment horizontal="center"/>
    </xf>
    <xf numFmtId="166" fontId="64" fillId="48" borderId="72" applyAlignment="1" pivotButton="0" quotePrefix="0" xfId="0">
      <alignment horizontal="center"/>
    </xf>
    <xf numFmtId="166" fontId="65" fillId="48" borderId="51" applyAlignment="1" pivotButton="0" quotePrefix="0" xfId="0">
      <alignment horizontal="center"/>
    </xf>
    <xf numFmtId="0" fontId="1" fillId="0" borderId="1" applyAlignment="1" applyProtection="1" pivotButton="0" quotePrefix="0" xfId="0">
      <alignment horizontal="center" vertical="center"/>
      <protection locked="0" hidden="0"/>
    </xf>
    <xf numFmtId="0" fontId="0" fillId="0" borderId="10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164" fontId="3" fillId="0" borderId="0" pivotButton="0" quotePrefix="0" xfId="2"/>
    <xf numFmtId="0" fontId="4" fillId="9" borderId="1" applyAlignment="1" pivotButton="0" quotePrefix="0" xfId="0">
      <alignment horizontal="left" vertical="center"/>
    </xf>
    <xf numFmtId="164" fontId="4" fillId="9" borderId="1" applyAlignment="1" pivotButton="0" quotePrefix="0" xfId="2">
      <alignment horizontal="center" vertical="center" wrapText="1"/>
    </xf>
    <xf numFmtId="164" fontId="9" fillId="9" borderId="1" applyAlignment="1" pivotButton="0" quotePrefix="0" xfId="2">
      <alignment horizontal="center" vertical="center" wrapText="1"/>
    </xf>
    <xf numFmtId="165" fontId="4" fillId="5" borderId="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/>
    </xf>
    <xf numFmtId="165" fontId="4" fillId="19" borderId="1" applyAlignment="1" pivotButton="0" quotePrefix="0" xfId="0">
      <alignment horizontal="center" vertical="center"/>
    </xf>
    <xf numFmtId="0" fontId="0" fillId="0" borderId="8" pivotButton="0" quotePrefix="0" xfId="0"/>
    <xf numFmtId="165" fontId="4" fillId="7" borderId="1" applyAlignment="1" pivotButton="0" quotePrefix="0" xfId="0">
      <alignment horizontal="center" vertical="center"/>
    </xf>
    <xf numFmtId="167" fontId="4" fillId="7" borderId="1" applyAlignment="1" pivotButton="0" quotePrefix="0" xfId="0">
      <alignment horizontal="center" vertical="center"/>
    </xf>
    <xf numFmtId="165" fontId="4" fillId="11" borderId="1" applyAlignment="1" pivotButton="0" quotePrefix="0" xfId="0">
      <alignment horizontal="center" vertical="center"/>
    </xf>
    <xf numFmtId="165" fontId="5" fillId="0" borderId="0" applyAlignment="1" pivotButton="0" quotePrefix="0" xfId="0">
      <alignment vertical="center"/>
    </xf>
    <xf numFmtId="165" fontId="4" fillId="5" borderId="1" applyAlignment="1" pivotButton="0" quotePrefix="0" xfId="0">
      <alignment horizontal="center"/>
    </xf>
    <xf numFmtId="165" fontId="4" fillId="19" borderId="1" applyAlignment="1" pivotButton="0" quotePrefix="0" xfId="0">
      <alignment horizontal="center"/>
    </xf>
    <xf numFmtId="165" fontId="2" fillId="2" borderId="1" applyAlignment="1" pivotButton="0" quotePrefix="0" xfId="0">
      <alignment horizontal="center" vertical="center"/>
    </xf>
    <xf numFmtId="0" fontId="7" fillId="0" borderId="10" pivotButton="0" quotePrefix="0" xfId="0"/>
    <xf numFmtId="0" fontId="0" fillId="0" borderId="10" pivotButton="0" quotePrefix="0" xfId="0"/>
    <xf numFmtId="164" fontId="5" fillId="0" borderId="1" applyAlignment="1" pivotButton="0" quotePrefix="0" xfId="2">
      <alignment vertical="center"/>
    </xf>
    <xf numFmtId="165" fontId="4" fillId="33" borderId="1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5" fillId="0" borderId="1" applyAlignment="1" pivotButton="0" quotePrefix="0" xfId="2">
      <alignment horizontal="center" vertical="center"/>
    </xf>
    <xf numFmtId="0" fontId="28" fillId="0" borderId="1" applyAlignment="1" pivotButton="0" quotePrefix="0" xfId="0">
      <alignment horizontal="center" vertical="center"/>
    </xf>
    <xf numFmtId="164" fontId="5" fillId="0" borderId="0" applyAlignment="1" pivotButton="0" quotePrefix="0" xfId="2">
      <alignment vertical="center"/>
    </xf>
    <xf numFmtId="164" fontId="5" fillId="0" borderId="8" applyAlignment="1" pivotButton="0" quotePrefix="0" xfId="2">
      <alignment horizontal="center" vertical="center"/>
    </xf>
    <xf numFmtId="164" fontId="39" fillId="0" borderId="8" applyAlignment="1" pivotButton="0" quotePrefix="0" xfId="2">
      <alignment horizontal="center" vertical="center"/>
    </xf>
    <xf numFmtId="164" fontId="4" fillId="0" borderId="1" applyAlignment="1" pivotButton="0" quotePrefix="0" xfId="2">
      <alignment horizontal="center" vertical="center"/>
    </xf>
    <xf numFmtId="164" fontId="3" fillId="0" borderId="1" applyAlignment="1" pivotButton="0" quotePrefix="0" xfId="2">
      <alignment horizontal="center"/>
    </xf>
    <xf numFmtId="0" fontId="34" fillId="15" borderId="1" applyAlignment="1" pivotButton="0" quotePrefix="0" xfId="0">
      <alignment horizontal="center" vertical="center"/>
    </xf>
    <xf numFmtId="0" fontId="0" fillId="0" borderId="11" pivotButton="0" quotePrefix="0" xfId="0"/>
    <xf numFmtId="165" fontId="2" fillId="16" borderId="1" applyAlignment="1" pivotButton="0" quotePrefix="0" xfId="0">
      <alignment horizontal="center" vertical="center"/>
    </xf>
    <xf numFmtId="167" fontId="2" fillId="16" borderId="1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 vertical="center"/>
    </xf>
    <xf numFmtId="0" fontId="30" fillId="0" borderId="1" applyAlignment="1" pivotButton="0" quotePrefix="0" xfId="0">
      <alignment horizontal="left" vertical="center"/>
    </xf>
    <xf numFmtId="164" fontId="3" fillId="0" borderId="0" pivotButton="0" quotePrefix="0" xfId="0"/>
    <xf numFmtId="164" fontId="4" fillId="0" borderId="0" pivotButton="0" quotePrefix="0" xfId="2"/>
    <xf numFmtId="167" fontId="4" fillId="5" borderId="1" applyAlignment="1" pivotButton="0" quotePrefix="0" xfId="0">
      <alignment horizontal="center" vertical="center"/>
    </xf>
    <xf numFmtId="165" fontId="2" fillId="30" borderId="5" applyAlignment="1" pivotButton="0" quotePrefix="0" xfId="2">
      <alignment horizontal="center" vertical="center" wrapText="1"/>
    </xf>
    <xf numFmtId="165" fontId="2" fillId="37" borderId="1" applyAlignment="1" pivotButton="0" quotePrefix="0" xfId="0">
      <alignment horizontal="center" vertical="center"/>
    </xf>
    <xf numFmtId="165" fontId="2" fillId="13" borderId="1" applyAlignment="1" pivotButton="0" quotePrefix="0" xfId="0">
      <alignment horizontal="center" vertical="center"/>
    </xf>
    <xf numFmtId="165" fontId="2" fillId="27" borderId="1" applyAlignment="1" pivotButton="0" quotePrefix="0" xfId="0">
      <alignment horizontal="center"/>
    </xf>
    <xf numFmtId="165" fontId="4" fillId="18" borderId="1" applyAlignment="1" pivotButton="0" quotePrefix="0" xfId="0">
      <alignment horizontal="center"/>
    </xf>
    <xf numFmtId="165" fontId="2" fillId="15" borderId="1" applyAlignment="1" pivotButton="0" quotePrefix="0" xfId="0">
      <alignment horizontal="center" vertical="center"/>
    </xf>
    <xf numFmtId="165" fontId="4" fillId="7" borderId="5" applyAlignment="1" pivotButton="0" quotePrefix="0" xfId="0">
      <alignment horizontal="center" vertical="center"/>
    </xf>
    <xf numFmtId="165" fontId="2" fillId="31" borderId="1" applyAlignment="1" pivotButton="0" quotePrefix="0" xfId="0">
      <alignment horizontal="center"/>
    </xf>
    <xf numFmtId="165" fontId="4" fillId="7" borderId="8" applyAlignment="1" pivotButton="0" quotePrefix="0" xfId="0">
      <alignment horizontal="center" vertical="center"/>
    </xf>
    <xf numFmtId="165" fontId="2" fillId="30" borderId="1" applyAlignment="1" pivotButton="0" quotePrefix="0" xfId="0">
      <alignment horizontal="center"/>
    </xf>
    <xf numFmtId="165" fontId="2" fillId="6" borderId="1" applyAlignment="1" pivotButton="0" quotePrefix="0" xfId="0">
      <alignment horizontal="center"/>
    </xf>
    <xf numFmtId="165" fontId="2" fillId="13" borderId="1" applyAlignment="1" pivotButton="0" quotePrefix="0" xfId="0">
      <alignment horizontal="center"/>
    </xf>
    <xf numFmtId="165" fontId="2" fillId="15" borderId="1" applyAlignment="1" pivotButton="0" quotePrefix="0" xfId="0">
      <alignment horizontal="center"/>
    </xf>
    <xf numFmtId="0" fontId="12" fillId="0" borderId="1" applyAlignment="1" pivotButton="0" quotePrefix="0" xfId="0">
      <alignment horizontal="center" vertical="center"/>
    </xf>
    <xf numFmtId="0" fontId="15" fillId="0" borderId="0" applyAlignment="1" pivotButton="0" quotePrefix="0" xfId="0">
      <alignment horizontal="center" vertical="center"/>
    </xf>
    <xf numFmtId="164" fontId="4" fillId="3" borderId="1" applyAlignment="1" pivotButton="0" quotePrefix="0" xfId="2">
      <alignment horizontal="center" vertical="center"/>
    </xf>
    <xf numFmtId="164" fontId="4" fillId="3" borderId="1" applyAlignment="1" pivotButton="0" quotePrefix="0" xfId="2">
      <alignment vertical="center"/>
    </xf>
    <xf numFmtId="164" fontId="47" fillId="0" borderId="1" applyAlignment="1" pivotButton="0" quotePrefix="0" xfId="2">
      <alignment vertical="center"/>
    </xf>
    <xf numFmtId="0" fontId="10" fillId="8" borderId="0" pivotButton="0" quotePrefix="0" xfId="0"/>
    <xf numFmtId="164" fontId="47" fillId="0" borderId="1" applyAlignment="1" pivotButton="0" quotePrefix="0" xfId="2">
      <alignment horizontal="center" vertical="center"/>
    </xf>
    <xf numFmtId="164" fontId="59" fillId="0" borderId="1" applyAlignment="1" pivotButton="0" quotePrefix="0" xfId="2">
      <alignment horizontal="center" vertical="center"/>
    </xf>
    <xf numFmtId="0" fontId="2" fillId="16" borderId="1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0" fontId="4" fillId="9" borderId="1" applyAlignment="1" pivotButton="0" quotePrefix="0" xfId="0">
      <alignment horizontal="center" vertical="center"/>
    </xf>
    <xf numFmtId="167" fontId="4" fillId="5" borderId="1" applyAlignment="1" pivotButton="0" quotePrefix="0" xfId="2">
      <alignment horizontal="center" vertical="center"/>
    </xf>
    <xf numFmtId="0" fontId="12" fillId="0" borderId="1" applyAlignment="1" pivotButton="0" quotePrefix="0" xfId="2">
      <alignment horizontal="center" vertical="center"/>
    </xf>
    <xf numFmtId="165" fontId="2" fillId="36" borderId="1" applyAlignment="1" pivotButton="0" quotePrefix="0" xfId="0">
      <alignment horizontal="center"/>
    </xf>
    <xf numFmtId="164" fontId="13" fillId="0" borderId="1" applyAlignment="1" pivotButton="0" quotePrefix="0" xfId="2">
      <alignment horizontal="center" vertical="center"/>
    </xf>
    <xf numFmtId="164" fontId="18" fillId="0" borderId="0" pivotButton="0" quotePrefix="0" xfId="2"/>
    <xf numFmtId="164" fontId="18" fillId="0" borderId="0" pivotButton="0" quotePrefix="0" xfId="0"/>
    <xf numFmtId="167" fontId="4" fillId="5" borderId="1" applyAlignment="1" pivotButton="0" quotePrefix="0" xfId="0">
      <alignment horizontal="center"/>
    </xf>
    <xf numFmtId="3" fontId="28" fillId="0" borderId="1" applyAlignment="1" pivotButton="0" quotePrefix="0" xfId="0">
      <alignment horizontal="center" vertical="center"/>
    </xf>
    <xf numFmtId="165" fontId="61" fillId="30" borderId="1" applyAlignment="1" pivotButton="0" quotePrefix="0" xfId="0">
      <alignment horizontal="center" vertical="center"/>
    </xf>
    <xf numFmtId="165" fontId="2" fillId="41" borderId="1" applyAlignment="1" pivotButton="0" quotePrefix="0" xfId="0">
      <alignment horizontal="center" vertical="center"/>
    </xf>
    <xf numFmtId="165" fontId="2" fillId="13" borderId="5" applyAlignment="1" pivotButton="0" quotePrefix="0" xfId="2">
      <alignment horizontal="center" vertical="center" wrapText="1"/>
    </xf>
    <xf numFmtId="164" fontId="5" fillId="8" borderId="1" applyAlignment="1" pivotButton="0" quotePrefix="0" xfId="2">
      <alignment vertical="center"/>
    </xf>
    <xf numFmtId="164" fontId="5" fillId="0" borderId="0" pivotButton="0" quotePrefix="0" xfId="2"/>
    <xf numFmtId="0" fontId="5" fillId="0" borderId="1" applyAlignment="1" pivotButton="0" quotePrefix="0" xfId="0">
      <alignment horizontal="center" vertical="center" wrapText="1"/>
    </xf>
    <xf numFmtId="167" fontId="4" fillId="5" borderId="1" applyAlignment="1" applyProtection="1" pivotButton="0" quotePrefix="0" xfId="0">
      <alignment horizontal="center"/>
      <protection locked="0" hidden="0"/>
    </xf>
    <xf numFmtId="0" fontId="4" fillId="43" borderId="74" applyAlignment="1" pivotButton="0" quotePrefix="0" xfId="0">
      <alignment horizontal="center" vertical="center" wrapText="1"/>
    </xf>
    <xf numFmtId="0" fontId="0" fillId="0" borderId="46" pivotButton="0" quotePrefix="0" xfId="0"/>
    <xf numFmtId="0" fontId="0" fillId="0" borderId="47" pivotButton="0" quotePrefix="0" xfId="0"/>
    <xf numFmtId="0" fontId="0" fillId="0" borderId="48" pivotButton="0" quotePrefix="0" xfId="0"/>
    <xf numFmtId="0" fontId="0" fillId="0" borderId="49" pivotButton="0" quotePrefix="0" xfId="0"/>
    <xf numFmtId="0" fontId="0" fillId="0" borderId="50" pivotButton="0" quotePrefix="0" xfId="0"/>
    <xf numFmtId="165" fontId="4" fillId="0" borderId="0" applyAlignment="1" pivotButton="0" quotePrefix="0" xfId="0">
      <alignment horizontal="center" vertical="center"/>
    </xf>
    <xf numFmtId="164" fontId="3" fillId="0" borderId="0" applyAlignment="1" pivotButton="0" quotePrefix="0" xfId="2">
      <alignment horizontal="center"/>
    </xf>
    <xf numFmtId="0" fontId="12" fillId="0" borderId="0" applyAlignment="1" pivotButton="0" quotePrefix="0" xfId="0">
      <alignment horizontal="center" vertical="center"/>
    </xf>
    <xf numFmtId="164" fontId="3" fillId="8" borderId="1" applyAlignment="1" pivotButton="0" quotePrefix="0" xfId="2">
      <alignment horizontal="center"/>
    </xf>
    <xf numFmtId="3" fontId="9" fillId="0" borderId="1" applyAlignment="1" pivotButton="0" quotePrefix="0" xfId="2">
      <alignment horizontal="center" vertical="center" wrapText="1"/>
    </xf>
    <xf numFmtId="0" fontId="9" fillId="26" borderId="1" applyAlignment="1" applyProtection="1" pivotButton="0" quotePrefix="0" xfId="0">
      <alignment horizontal="center" vertical="center" wrapText="1"/>
      <protection locked="0" hidden="0"/>
    </xf>
    <xf numFmtId="0" fontId="0" fillId="0" borderId="7" pivotButton="0" quotePrefix="0" xfId="0"/>
    <xf numFmtId="0" fontId="0" fillId="0" borderId="7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165" fontId="4" fillId="0" borderId="1" applyAlignment="1" pivotButton="0" quotePrefix="0" xfId="0">
      <alignment horizontal="center"/>
    </xf>
    <xf numFmtId="0" fontId="1" fillId="43" borderId="74" applyAlignment="1" pivotButton="0" quotePrefix="0" xfId="0">
      <alignment horizontal="center" vertical="center" wrapText="1"/>
    </xf>
    <xf numFmtId="0" fontId="0" fillId="0" borderId="19" pivotButton="0" quotePrefix="0" xfId="0"/>
    <xf numFmtId="0" fontId="23" fillId="13" borderId="76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15" pivotButton="0" quotePrefix="0" xfId="0"/>
    <xf numFmtId="0" fontId="0" fillId="0" borderId="17" pivotButton="0" quotePrefix="0" xfId="0"/>
    <xf numFmtId="0" fontId="23" fillId="13" borderId="79" applyAlignment="1" pivotButton="0" quotePrefix="0" xfId="0">
      <alignment horizontal="center" vertical="center"/>
    </xf>
    <xf numFmtId="0" fontId="0" fillId="0" borderId="20" pivotButton="0" quotePrefix="0" xfId="0"/>
    <xf numFmtId="0" fontId="23" fillId="6" borderId="76" applyAlignment="1" pivotButton="0" quotePrefix="0" xfId="0">
      <alignment horizontal="center" vertical="center"/>
    </xf>
    <xf numFmtId="0" fontId="0" fillId="0" borderId="29" pivotButton="0" quotePrefix="0" xfId="0"/>
    <xf numFmtId="0" fontId="0" fillId="0" borderId="42" pivotButton="0" quotePrefix="0" xfId="0"/>
    <xf numFmtId="0" fontId="50" fillId="0" borderId="1" applyAlignment="1" pivotButton="0" quotePrefix="0" xfId="0">
      <alignment horizontal="center"/>
    </xf>
    <xf numFmtId="0" fontId="0" fillId="0" borderId="85" pivotButton="0" quotePrefix="0" xfId="0"/>
    <xf numFmtId="0" fontId="23" fillId="15" borderId="8" applyAlignment="1" pivotButton="0" quotePrefix="0" xfId="0">
      <alignment horizontal="center" vertical="center"/>
    </xf>
    <xf numFmtId="0" fontId="0" fillId="0" borderId="43" pivotButton="0" quotePrefix="0" xfId="0"/>
    <xf numFmtId="0" fontId="0" fillId="0" borderId="21" pivotButton="0" quotePrefix="0" xfId="0"/>
    <xf numFmtId="0" fontId="23" fillId="27" borderId="87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41" pivotButton="0" quotePrefix="0" xfId="0"/>
    <xf numFmtId="0" fontId="23" fillId="27" borderId="1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90" pivotButton="0" quotePrefix="0" xfId="0"/>
    <xf numFmtId="0" fontId="0" fillId="0" borderId="92" pivotButton="0" quotePrefix="0" xfId="0"/>
    <xf numFmtId="0" fontId="23" fillId="37" borderId="1" applyAlignment="1" pivotButton="0" quotePrefix="0" xfId="0">
      <alignment horizontal="center" vertical="center"/>
    </xf>
    <xf numFmtId="0" fontId="23" fillId="37" borderId="1" applyAlignment="1" pivotButton="0" quotePrefix="0" xfId="0">
      <alignment horizontal="center" vertical="center" wrapText="1"/>
    </xf>
    <xf numFmtId="0" fontId="23" fillId="31" borderId="87" applyAlignment="1" pivotButton="0" quotePrefix="0" xfId="0">
      <alignment horizontal="center" vertical="center"/>
    </xf>
    <xf numFmtId="0" fontId="44" fillId="30" borderId="1" applyAlignment="1" pivotButton="0" quotePrefix="0" xfId="0">
      <alignment horizontal="center"/>
    </xf>
    <xf numFmtId="0" fontId="23" fillId="31" borderId="1" applyAlignment="1" pivotButton="0" quotePrefix="0" xfId="0">
      <alignment horizontal="center" vertical="center"/>
    </xf>
    <xf numFmtId="165" fontId="45" fillId="0" borderId="1" applyAlignment="1" pivotButton="0" quotePrefix="0" xfId="0">
      <alignment horizontal="center"/>
    </xf>
    <xf numFmtId="0" fontId="0" fillId="0" borderId="44" pivotButton="0" quotePrefix="0" xfId="0"/>
    <xf numFmtId="0" fontId="0" fillId="0" borderId="93" pivotButton="0" quotePrefix="0" xfId="0"/>
    <xf numFmtId="0" fontId="0" fillId="0" borderId="73" pivotButton="0" quotePrefix="0" xfId="0"/>
    <xf numFmtId="0" fontId="0" fillId="0" borderId="86" pivotButton="0" quotePrefix="0" xfId="0"/>
    <xf numFmtId="0" fontId="0" fillId="0" borderId="9" pivotButton="0" quotePrefix="0" xfId="0"/>
    <xf numFmtId="0" fontId="0" fillId="0" borderId="73" applyProtection="1" pivotButton="0" quotePrefix="0" xfId="0">
      <protection locked="0" hidden="0"/>
    </xf>
    <xf numFmtId="0" fontId="0" fillId="0" borderId="44" applyProtection="1" pivotButton="0" quotePrefix="0" xfId="0">
      <protection locked="0" hidden="0"/>
    </xf>
    <xf numFmtId="0" fontId="0" fillId="0" borderId="86" applyProtection="1" pivotButton="0" quotePrefix="0" xfId="0">
      <protection locked="0" hidden="0"/>
    </xf>
    <xf numFmtId="0" fontId="0" fillId="0" borderId="9" applyProtection="1" pivotButton="0" quotePrefix="0" xfId="0">
      <protection locked="0" hidden="0"/>
    </xf>
    <xf numFmtId="0" fontId="0" fillId="0" borderId="21" applyProtection="1" pivotButton="0" quotePrefix="0" xfId="0">
      <protection locked="0" hidden="0"/>
    </xf>
  </cellXfs>
  <cellStyles count="16">
    <cellStyle name="Normal" xfId="0" builtinId="0"/>
    <cellStyle name="Normal 2" xfId="1"/>
    <cellStyle name="Moeda" xfId="2" builtinId="4"/>
    <cellStyle name="Normal 3" xfId="3"/>
    <cellStyle name="Normal 4" xfId="4"/>
    <cellStyle name="Normal 2 2" xfId="5"/>
    <cellStyle name="Moeda 2" xfId="6"/>
    <cellStyle name="Normal 4 2" xfId="7"/>
    <cellStyle name="Moeda 2 2" xfId="8"/>
    <cellStyle name="Moeda 2 3" xfId="9"/>
    <cellStyle name="Moeda 2 4" xfId="10"/>
    <cellStyle name="Moeda 2 6" xfId="11"/>
    <cellStyle name="Moeda 2 5" xfId="12"/>
    <cellStyle name="Normal 4 3" xfId="13"/>
    <cellStyle name="Moeda 2 7" xfId="14"/>
    <cellStyle name="Moeda 2 8" xfId="15"/>
  </cellStyles>
  <dxfs count="98"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styles" Target="styles.xml" Id="rId34" /><Relationship Type="http://schemas.openxmlformats.org/officeDocument/2006/relationships/theme" Target="theme/theme1.xml" Id="rId35" /><Relationship Type="http://schemas.microsoft.com/office/2006/relationships/vbaProject" Target="vbaProject.bin" Id="rId36" /></Relationships>
</file>

<file path=xl/comments/comment1.xml><?xml version="1.0" encoding="utf-8"?>
<comments xmlns="http://schemas.openxmlformats.org/spreadsheetml/2006/main">
  <authors>
    <author>Stiphanie da Silva Lima</author>
  </authors>
  <commentList>
    <comment ref="S20" authorId="0" shapeId="0">
      <text>
        <t xml:space="preserve">Stiphanie da Silva Lima:
03/04 - ENTRADA DE INVENTÁRIO = 141 UNIDADES </t>
      </text>
    </comment>
    <comment ref="S21" authorId="0" shapeId="0">
      <text>
        <t xml:space="preserve">Stiphanie da Silva Lima:
03/04 - ENTRADA DE INVENTÁRO = 94 UNIDADES </t>
      </text>
    </comment>
  </commentList>
</comments>
</file>

<file path=xl/comments/comment2.xml><?xml version="1.0" encoding="utf-8"?>
<comments xmlns="http://schemas.openxmlformats.org/spreadsheetml/2006/main">
  <authors>
    <author>Stiphanie da Silva Lima</author>
  </authors>
  <commentList>
    <comment ref="S20" authorId="0" shapeId="0">
      <text>
        <t xml:space="preserve">Stiphanie da Silva Lima:
03/04 - ENTRADA DE INVENTÁRIO = 141 UNIDADES </t>
      </text>
    </comment>
    <comment ref="S21" authorId="0" shapeId="0">
      <text>
        <t xml:space="preserve">Stiphanie da Silva Lima:
03/04 - ENTRADA DE INVENTÁRO = 94 UNIDADES </t>
      </text>
    </comment>
  </commentList>
</comments>
</file>

<file path=xl/comments/comment3.xml><?xml version="1.0" encoding="utf-8"?>
<comments xmlns="http://schemas.openxmlformats.org/spreadsheetml/2006/main">
  <authors>
    <author>Stiphanie da Silva Lima</author>
  </authors>
  <commentList>
    <comment ref="U20" authorId="0" shapeId="0">
      <text>
        <t>Stiphanie da Silva Lima:
08/04 - SAÍDA DE INVENTÁRIO = 106 UNI - PEDI P/ MARI AJUSTAR</t>
      </text>
    </comment>
    <comment ref="U21" authorId="0" shapeId="0">
      <text>
        <t xml:space="preserve">Stiphanie da Silva Lima:
08/04 - SAÍDA DE INVENTÁRIO = 148 UNI - PEDI P/ MARI AJUSTAR </t>
      </text>
    </comment>
  </commentList>
</comments>
</file>

<file path=xl/comments/comment4.xml><?xml version="1.0" encoding="utf-8"?>
<comments xmlns="http://schemas.openxmlformats.org/spreadsheetml/2006/main">
  <authors>
    <author>Stiphanie da Silva Lima</author>
  </authors>
  <commentList>
    <comment ref="U20" authorId="0" shapeId="0">
      <text>
        <t>Stiphanie da Silva Lima:
08/04 - SAÍDA DE INVENTÁRIO = 106 UNI - PEDI P/ MARI AJUSTAR</t>
      </text>
    </comment>
    <comment ref="U21" authorId="0" shapeId="0">
      <text>
        <t xml:space="preserve">Stiphanie da Silva Lima:
08/04 - SAÍDA DE INVENTÁRIO = 148 UNI - PEDI P/ MARI AJUSTAR </t>
      </text>
    </comment>
  </commentList>
</comments>
</file>

<file path=xl/comments/comment5.xml><?xml version="1.0" encoding="utf-8"?>
<comments xmlns="http://schemas.openxmlformats.org/spreadsheetml/2006/main">
  <authors>
    <author>Stiphanie da Silva Lima</author>
  </authors>
  <commentList>
    <comment ref="BO11" authorId="0" shapeId="0">
      <text>
        <t xml:space="preserve">Stiphanie da Silva Lima:
100 UND DE SACOLA G EUDORA 
PATRICIA VAI PEDIR PARA O ER CORRIGIR </t>
      </text>
    </comment>
    <comment ref="AQ20" authorId="0" shapeId="0">
      <text>
        <t xml:space="preserve">Stiphanie da Silva Lima:
ENTRADA DE INVENTÁRIO DE 150 UNIDADES </t>
      </text>
    </comment>
  </commentList>
</comments>
</file>

<file path=xl/comments/comment6.xml><?xml version="1.0" encoding="utf-8"?>
<comments xmlns="http://schemas.openxmlformats.org/spreadsheetml/2006/main">
  <authors>
    <author>Stiphanie da Silva Lima</author>
  </authors>
  <commentList>
    <comment ref="BO11" authorId="0" shapeId="0">
      <text>
        <t xml:space="preserve">Stiphanie da Silva Lima:
100 UND DE SACOLA G EUDORA 
PATRICIA VAI PEDIR PARA O ER CORRIGIR </t>
      </text>
    </comment>
    <comment ref="AQ20" authorId="0" shapeId="0">
      <text>
        <t xml:space="preserve">Stiphanie da Silva Lima:
ENTRADA DE INVENTÁRIO DE 150 UNIDADES </t>
      </text>
    </comment>
  </commentList>
</comments>
</file>

<file path=xl/comments/comment7.xml><?xml version="1.0" encoding="utf-8"?>
<comments xmlns="http://schemas.openxmlformats.org/spreadsheetml/2006/main">
  <authors>
    <author>Stiphanie da Silva Lima</author>
  </authors>
  <commentList>
    <comment ref="AA9" authorId="0" shapeId="0">
      <text>
        <t>Stiphanie da Silva Lima:
FIZ AJUSTE NA CONTAGEM DA SEMANA PASSADA, POIS CONFIRMEI COM A LOJA E REALMENTE TEM ESSA QUANTIDADE.</t>
      </text>
    </comment>
  </commentList>
</comments>
</file>

<file path=xl/comments/comment8.xml><?xml version="1.0" encoding="utf-8"?>
<comments xmlns="http://schemas.openxmlformats.org/spreadsheetml/2006/main">
  <authors>
    <author>Stiphanie da Silva Lima</author>
  </authors>
  <commentList>
    <comment ref="AA9" authorId="0" shapeId="0">
      <text>
        <t>Stiphanie da Silva Lima:
FIZ AJUSTE NA CONTAGEM DA SEMANA PASSADA, POIS CONFIRMEI COM A LOJA E REALMENTE TEM ESSA QUANTIDADE.</t>
      </text>
    </comment>
  </commentList>
</comments>
</file>

<file path=xl/comments/comment9.xml><?xml version="1.0" encoding="utf-8"?>
<comments xmlns="http://schemas.openxmlformats.org/spreadsheetml/2006/main">
  <authors>
    <author>Stiphanie da Silva Lima</author>
  </authors>
  <commentList>
    <comment ref="EB9" authorId="0" shapeId="0">
      <text>
        <t xml:space="preserve">Stiphanie da Silva Lima:
SACOLA G 
</t>
      </text>
    </comment>
    <comment ref="ED9" authorId="0" shapeId="0">
      <text>
        <t>Stiphanie da Silva Lima:
SACOLA G</t>
      </text>
    </comment>
    <comment ref="CQ10" authorId="0" shapeId="0">
      <text>
        <t>Stiphanie da Silva Lima:
CONSUMO</t>
      </text>
    </comment>
    <comment ref="EB10" authorId="0" shapeId="0">
      <text>
        <t>Stiphanie da Silva Lima:
TAG</t>
      </text>
    </comment>
    <comment ref="ED10" authorId="0" shapeId="0">
      <text>
        <t>Stiphanie da Silva Lima:
TAG</t>
      </text>
    </comment>
    <comment ref="EB11" authorId="0" shapeId="0">
      <text>
        <t>Stiphanie da Silva Lima:
CARTUCHO P</t>
      </text>
    </comment>
    <comment ref="ED11" authorId="0" shapeId="0">
      <text>
        <t>Stiphanie da Silva Lima:
CARTUCHO P</t>
      </text>
    </comment>
    <comment ref="CQ23" authorId="0" shapeId="0">
      <text>
        <t>Stiphanie da Silva Lima:
VENDA</t>
      </text>
    </comment>
    <comment ref="CQ27" authorId="0" shapeId="0">
      <text>
        <t>Stiphanie da Silva Lima:
2 PCT C/ 1000 UND - CONSUMO</t>
      </text>
    </comment>
    <comment ref="BY28" authorId="0" shapeId="0">
      <text>
        <t xml:space="preserve">Stiphanie da Silva Lima:
15/05 - QUEBRA INVENTÁRIO = 34 UNIDADES
CÓD. 45033 = 21 UNIDADS
CÓD. 30194 = 13 UNIDADES
</t>
      </text>
    </comment>
    <comment ref="CQ31" authorId="0" shapeId="0">
      <text>
        <t>Stiphanie da Silva Lima:
CARTUCHO P</t>
      </text>
    </comment>
    <comment ref="CI53" authorId="0" shapeId="0">
      <text>
        <t xml:space="preserve">Stiphanie da Silva Lima:
ALE PEDIU PARA SÓ FAZER PEDIDO QUANDO TIVER CAMPANHA OBRIGATÓRIA OU SOLICITAÇÃO DA STELLY </t>
      </text>
    </comment>
    <comment ref="CJ53" authorId="0" shapeId="0">
      <text>
        <t xml:space="preserve">Stiphanie da Silva Lima:
ALE PEDIU PARA SÓ FAZER PEDIDO QUANDO TIVER CAMPANHA OBRIGATÓRIA OU SOLICITAÇÃO DA STELLY </t>
      </text>
    </comment>
    <comment ref="AF64" authorId="0" shapeId="0">
      <text>
        <t>Stiphanie da Silva Lima:
04/07 - ENTRADA DE INVENTÁRIO = 15 UNIDADES</t>
      </text>
    </comment>
    <comment ref="AF65" authorId="0" shapeId="0">
      <text>
        <t>Stiphanie da Silva Lima:
04/07 - SAÍDA DE INVENTÁRIO = 15 UNIDADES</t>
      </text>
    </comment>
  </commentList>
</comments>
</file>

<file path=xl/comments/comment10.xml><?xml version="1.0" encoding="utf-8"?>
<comments xmlns="http://schemas.openxmlformats.org/spreadsheetml/2006/main">
  <authors>
    <author>Stiphanie da Silva Lima</author>
  </authors>
  <commentList>
    <comment ref="DX9" authorId="0" shapeId="0">
      <text>
        <t xml:space="preserve">Stiphanie da Silva Lima:
SACOLA G 
</t>
      </text>
    </comment>
    <comment ref="DZ9" authorId="0" shapeId="0">
      <text>
        <t>Stiphanie da Silva Lima:
SACOLA G</t>
      </text>
    </comment>
    <comment ref="CM10" authorId="0" shapeId="0">
      <text>
        <t>Stiphanie da Silva Lima:
CONSUMO</t>
      </text>
    </comment>
    <comment ref="DX10" authorId="0" shapeId="0">
      <text>
        <t>Stiphanie da Silva Lima:
TAG</t>
      </text>
    </comment>
    <comment ref="DZ10" authorId="0" shapeId="0">
      <text>
        <t>Stiphanie da Silva Lima:
TAG</t>
      </text>
    </comment>
    <comment ref="DX11" authorId="0" shapeId="0">
      <text>
        <t>Stiphanie da Silva Lima:
CARTUCHO P</t>
      </text>
    </comment>
    <comment ref="DZ11" authorId="0" shapeId="0">
      <text>
        <t>Stiphanie da Silva Lima:
CARTUCHO P</t>
      </text>
    </comment>
    <comment ref="CM23" authorId="0" shapeId="0">
      <text>
        <t>Stiphanie da Silva Lima:
VENDA</t>
      </text>
    </comment>
    <comment ref="CM27" authorId="0" shapeId="0">
      <text>
        <t>Stiphanie da Silva Lima:
2 PCT C/ 1000 UND - CONSUMO</t>
      </text>
    </comment>
    <comment ref="BY28" authorId="0" shapeId="0">
      <text>
        <t xml:space="preserve">Stiphanie da Silva Lima:
15/05 - QUEBRA INVENTÁRIO = 34 UNIDADES
CÓD. 45033 = 21 UNIDADS
CÓD. 30194 = 13 UNIDADES
</t>
      </text>
    </comment>
    <comment ref="CM31" authorId="0" shapeId="0">
      <text>
        <t>Stiphanie da Silva Lima:
CARTUCHO P</t>
      </text>
    </comment>
    <comment ref="CE53" authorId="0" shapeId="0">
      <text>
        <t xml:space="preserve">Stiphanie da Silva Lima:
ALE PEDIU PARA SÓ FAZER PEDIDO QUANDO TIVER CAMPANHA OBRIGATÓRIA OU SOLICITAÇÃO DA STELLY </t>
      </text>
    </comment>
    <comment ref="CF53" authorId="0" shapeId="0">
      <text>
        <t xml:space="preserve">Stiphanie da Silva Lima:
ALE PEDIU PARA SÓ FAZER PEDIDO QUANDO TIVER CAMPANHA OBRIGATÓRIA OU SOLICITAÇÃO DA STELLY </t>
      </text>
    </comment>
    <comment ref="AF64" authorId="0" shapeId="0">
      <text>
        <t>Stiphanie da Silva Lima:
04/07 - ENTRADA DE INVENTÁRIO = 15 UNIDADES</t>
      </text>
    </comment>
    <comment ref="AF65" authorId="0" shapeId="0">
      <text>
        <t>Stiphanie da Silva Lima:
04/07 - SAÍDA DE INVENTÁRIO = 15 UNIDADES</t>
      </text>
    </comment>
  </commentList>
</comments>
</file>

<file path=xl/comments/comment11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nos ultimos meses quase não estão usando sacola M. por isso não temos um parâmetro melhor. Ir acompanhando e ajustar conforme uso.</t>
      </text>
    </comment>
    <comment ref="CT10" authorId="1" shapeId="0">
      <text>
        <t>Stiphanie da Silva Lima:
CONSUMO</t>
      </text>
    </comment>
    <comment ref="EJ11" authorId="1" shapeId="0">
      <text>
        <t xml:space="preserve">Stiphanie da Silva Lima:
SACOLA G 
</t>
      </text>
    </comment>
    <comment ref="EJ12" authorId="1" shapeId="0">
      <text>
        <t>Stiphanie da Silva Lima:
TAG</t>
      </text>
    </comment>
    <comment ref="EJ13" authorId="1" shapeId="0">
      <text>
        <t>Stiphanie da Silva Lima:
CARTUCHO P</t>
      </text>
    </comment>
    <comment ref="CT17" authorId="1" shapeId="0">
      <text>
        <t>Stiphanie da Silva Lima:
2 PCT C/ 1000 UND - CONSUMO</t>
      </text>
    </comment>
    <comment ref="CT29" authorId="1" shapeId="0">
      <text>
        <t>Stiphanie da Silva Lima:
VENDA</t>
      </text>
    </comment>
    <comment ref="AF37" authorId="1" shapeId="0">
      <text>
        <t>Stiphanie da Silva Lima:
05/07 - SAÍDA DE INVENTÁRIO = 01 UNIDADE</t>
      </text>
    </comment>
    <comment ref="AF38" authorId="1" shapeId="0">
      <text>
        <t>Stiphanie da Silva Lima:
05/07 - SAÍDA DE INVENTÁRIO = 08 UNIDADES</t>
      </text>
    </comment>
    <comment ref="AF78" authorId="1" shapeId="0">
      <text>
        <t>Stiphanie da Silva Lima:
05/07 - ENTRADA DE INVENTÁRIO = 30 UNIDADES</t>
      </text>
    </comment>
    <comment ref="AA79" authorId="1" shapeId="0">
      <text>
        <t xml:space="preserve">Stiphanie da Silva Lima:
VOU VERIFICAR COM MARILZA </t>
      </text>
    </comment>
  </commentList>
</comments>
</file>

<file path=xl/comments/comment12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nos ultimos meses quase não estão usando sacola M. por isso não temos um parâmetro melhor. Ir acompanhando e ajustar conforme uso.</t>
      </text>
    </comment>
    <comment ref="CP10" authorId="1" shapeId="0">
      <text>
        <t>Stiphanie da Silva Lima:
CONSUMO</t>
      </text>
    </comment>
    <comment ref="EF11" authorId="1" shapeId="0">
      <text>
        <t xml:space="preserve">Stiphanie da Silva Lima:
SACOLA G 
</t>
      </text>
    </comment>
    <comment ref="EF12" authorId="1" shapeId="0">
      <text>
        <t>Stiphanie da Silva Lima:
TAG</t>
      </text>
    </comment>
    <comment ref="EF13" authorId="1" shapeId="0">
      <text>
        <t>Stiphanie da Silva Lima:
CARTUCHO P</t>
      </text>
    </comment>
    <comment ref="CP17" authorId="1" shapeId="0">
      <text>
        <t>Stiphanie da Silva Lima:
2 PCT C/ 1000 UND - CONSUMO</t>
      </text>
    </comment>
    <comment ref="CP29" authorId="1" shapeId="0">
      <text>
        <t>Stiphanie da Silva Lima:
VENDA</t>
      </text>
    </comment>
    <comment ref="AF37" authorId="1" shapeId="0">
      <text>
        <t>Stiphanie da Silva Lima:
05/07 - SAÍDA DE INVENTÁRIO = 01 UNIDADE</t>
      </text>
    </comment>
    <comment ref="AF38" authorId="1" shapeId="0">
      <text>
        <t>Stiphanie da Silva Lima:
05/07 - SAÍDA DE INVENTÁRIO = 08 UNIDADES</t>
      </text>
    </comment>
    <comment ref="AF78" authorId="1" shapeId="0">
      <text>
        <t>Stiphanie da Silva Lima:
05/07 - ENTRADA DE INVENTÁRIO = 30 UNIDADES</t>
      </text>
    </comment>
    <comment ref="AA79" authorId="1" shapeId="0">
      <text>
        <t xml:space="preserve">Stiphanie da Silva Lima:
VOU VERIFICAR COM MARILZA </t>
      </text>
    </comment>
  </commentList>
</comments>
</file>

<file path=xl/comments/comment13.xml><?xml version="1.0" encoding="utf-8"?>
<comments xmlns="http://schemas.openxmlformats.org/spreadsheetml/2006/main">
  <authors>
    <author>Stiphanie da Silva Lima</author>
  </authors>
  <commentList>
    <comment ref="CS10" authorId="0" shapeId="0">
      <text>
        <t>Stiphanie da Silva Lima:
CONSUMO</t>
      </text>
    </comment>
    <comment ref="DY11" authorId="0" shapeId="0">
      <text>
        <t xml:space="preserve">Stiphanie da Silva Lima:
SACOLA G 
</t>
      </text>
    </comment>
    <comment ref="DY12" authorId="0" shapeId="0">
      <text>
        <t>Stiphanie da Silva Lima:
TAG</t>
      </text>
    </comment>
    <comment ref="DY13" authorId="0" shapeId="0">
      <text>
        <t>Stiphanie da Silva Lima:
CARTUCHO P</t>
      </text>
    </comment>
    <comment ref="CS17" authorId="0" shapeId="0">
      <text>
        <t>Stiphanie da Silva Lima:
1 PCT C/ 1000 UND - CONSUMO</t>
      </text>
    </comment>
    <comment ref="CS29" authorId="0" shapeId="0">
      <text>
        <t>Stiphanie da Silva Lima:
VENDA</t>
      </text>
    </comment>
    <comment ref="AG38" authorId="0" shapeId="0">
      <text>
        <t>Stiphanie da Silva Lima:
12/07 - SAÍDA DE INVENTÁRIO = 115 UNIDADES</t>
      </text>
    </comment>
  </commentList>
</comments>
</file>

<file path=xl/comments/comment14.xml><?xml version="1.0" encoding="utf-8"?>
<comments xmlns="http://schemas.openxmlformats.org/spreadsheetml/2006/main">
  <authors>
    <author>Stiphanie da Silva Lima</author>
  </authors>
  <commentList>
    <comment ref="CO10" authorId="0" shapeId="0">
      <text>
        <t>Stiphanie da Silva Lima:
CONSUMO</t>
      </text>
    </comment>
    <comment ref="DU11" authorId="0" shapeId="0">
      <text>
        <t xml:space="preserve">Stiphanie da Silva Lima:
SACOLA G 
</t>
      </text>
    </comment>
    <comment ref="DU12" authorId="0" shapeId="0">
      <text>
        <t>Stiphanie da Silva Lima:
TAG</t>
      </text>
    </comment>
    <comment ref="DU13" authorId="0" shapeId="0">
      <text>
        <t>Stiphanie da Silva Lima:
CARTUCHO P</t>
      </text>
    </comment>
    <comment ref="CO17" authorId="0" shapeId="0">
      <text>
        <t>Stiphanie da Silva Lima:
1 PCT C/ 1000 UND - CONSUMO</t>
      </text>
    </comment>
    <comment ref="CO29" authorId="0" shapeId="0">
      <text>
        <t>Stiphanie da Silva Lima:
VENDA</t>
      </text>
    </comment>
    <comment ref="AG38" authorId="0" shapeId="0">
      <text>
        <t>Stiphanie da Silva Lima:
12/07 - SAÍDA DE INVENTÁRIO = 115 UNIDADES</t>
      </text>
    </comment>
  </commentList>
</comments>
</file>

<file path=xl/comments/comment15.xml><?xml version="1.0" encoding="utf-8"?>
<comments xmlns="http://schemas.openxmlformats.org/spreadsheetml/2006/main">
  <authors>
    <author>Stiphanie da Silva Lima</author>
  </authors>
  <commentList>
    <comment ref="BB10" authorId="0" shapeId="0">
      <text>
        <t>Stiphanie da Silva Lima:
CONSUMO</t>
      </text>
    </comment>
    <comment ref="BB17" authorId="0" shapeId="0">
      <text>
        <t>Stiphanie da Silva Lima:
1 PCT C/ 1000 UND - CONSUMO</t>
      </text>
    </comment>
  </commentList>
</comments>
</file>

<file path=xl/comments/comment16.xml><?xml version="1.0" encoding="utf-8"?>
<comments xmlns="http://schemas.openxmlformats.org/spreadsheetml/2006/main">
  <authors>
    <author>Stiphanie da Silva Lima</author>
  </authors>
  <commentList>
    <comment ref="AX10" authorId="0" shapeId="0">
      <text>
        <t>Stiphanie da Silva Lima:
CONSUMO</t>
      </text>
    </comment>
    <comment ref="AX17" authorId="0" shapeId="0">
      <text>
        <t>Stiphanie da Silva Lima:
1 PCT C/ 1000 UND - CONSUMO</t>
      </text>
    </comment>
  </commentList>
</comments>
</file>

<file path=xl/tables/table1.xml><?xml version="1.0" encoding="utf-8"?>
<table xmlns="http://schemas.openxmlformats.org/spreadsheetml/2006/main" id="1" name="saldo_estoque_18_05_2026" displayName="saldo_estoque_18_05_2026" ref="A1:X30" headerRowCount="1" totalsRowShown="0" headerRowDxfId="97" dataDxfId="96">
  <tableColumns count="24">
    <tableColumn id="1" name="Produtos" dataDxfId="95"/>
    <tableColumn id="2" name="12973" dataDxfId="94"/>
    <tableColumn id="3" name="11734" dataDxfId="93"/>
    <tableColumn id="4" name="14462" dataDxfId="92"/>
    <tableColumn id="5" name="5418" dataDxfId="91"/>
    <tableColumn id="6" name="11733" dataDxfId="90"/>
    <tableColumn id="7" name="23012" dataDxfId="89"/>
    <tableColumn id="8" name="6700" dataDxfId="88"/>
    <tableColumn id="9" name="13868" dataDxfId="87"/>
    <tableColumn id="10" name="13370" dataDxfId="86"/>
    <tableColumn id="11" name="20000" dataDxfId="85"/>
    <tableColumn id="12" name="23049" dataDxfId="84"/>
    <tableColumn id="13" name="6727" dataDxfId="83"/>
    <tableColumn id="14" name="12466" dataDxfId="82"/>
    <tableColumn id="15" name="12942" dataDxfId="81"/>
    <tableColumn id="16" name="3822" dataDxfId="80"/>
    <tableColumn id="17" name="14446" dataDxfId="79"/>
    <tableColumn id="18" name="12066" dataDxfId="78"/>
    <tableColumn id="19" name="23048" dataDxfId="77"/>
    <tableColumn id="20" name="11722" dataDxfId="76"/>
    <tableColumn id="21" name="14553" dataDxfId="75"/>
    <tableColumn id="22" name="7529" dataDxfId="74"/>
    <tableColumn id="23" name="6942" dataDxfId="73"/>
    <tableColumn id="24" name="6954" dataDxfId="7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aldo_estoque_18_05_20264" displayName="saldo_estoque_18_05_20264" ref="A1:X30" headerRowCount="1" totalsRowShown="0" headerRowDxfId="71" dataDxfId="70">
  <tableColumns count="24">
    <tableColumn id="1" name="Produtos" dataDxfId="69"/>
    <tableColumn id="2" name="12973" dataDxfId="68"/>
    <tableColumn id="3" name="11734" dataDxfId="67"/>
    <tableColumn id="4" name="14462" dataDxfId="66"/>
    <tableColumn id="5" name="5418" dataDxfId="65"/>
    <tableColumn id="6" name="11733" dataDxfId="64"/>
    <tableColumn id="7" name="23012" dataDxfId="63"/>
    <tableColumn id="8" name="6700" dataDxfId="62"/>
    <tableColumn id="9" name="13868" dataDxfId="61"/>
    <tableColumn id="10" name="13370" dataDxfId="60"/>
    <tableColumn id="11" name="20000" dataDxfId="59"/>
    <tableColumn id="12" name="23049" dataDxfId="58"/>
    <tableColumn id="13" name="6727" dataDxfId="57"/>
    <tableColumn id="14" name="12466" dataDxfId="56"/>
    <tableColumn id="15" name="12942" dataDxfId="55"/>
    <tableColumn id="16" name="3822" dataDxfId="54"/>
    <tableColumn id="17" name="14446" dataDxfId="53"/>
    <tableColumn id="18" name="12066" dataDxfId="52"/>
    <tableColumn id="19" name="23048" dataDxfId="51"/>
    <tableColumn id="20" name="11722" dataDxfId="50"/>
    <tableColumn id="21" name="14553" dataDxfId="49"/>
    <tableColumn id="22" name="7529" dataDxfId="48"/>
    <tableColumn id="23" name="6942" dataDxfId="47"/>
    <tableColumn id="24" name="6954" dataDxfId="4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6.xml" Id="comments" /><Relationship Type="http://schemas.openxmlformats.org/officeDocument/2006/relationships/vmlDrawing" Target="/xl/drawings/vmlDrawing6.vml" Id="anysvml" 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7.xml" Id="comments" /><Relationship Type="http://schemas.openxmlformats.org/officeDocument/2006/relationships/vmlDrawing" Target="/xl/drawings/vmlDrawing7.vml" Id="anysvml" 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8.xml" Id="comments" /><Relationship Type="http://schemas.openxmlformats.org/officeDocument/2006/relationships/vmlDrawing" Target="/xl/drawings/vmlDrawing8.vml" Id="anysvml" 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9.xml" Id="comments" /><Relationship Type="http://schemas.openxmlformats.org/officeDocument/2006/relationships/vmlDrawing" Target="/xl/drawings/vmlDrawing9.vml" Id="anysvml" 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0.xml" Id="comments" /><Relationship Type="http://schemas.openxmlformats.org/officeDocument/2006/relationships/vmlDrawing" Target="/xl/drawings/vmlDrawing10.vml" Id="anysvml" 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1.xml" Id="comments" /><Relationship Type="http://schemas.openxmlformats.org/officeDocument/2006/relationships/vmlDrawing" Target="/xl/drawings/vmlDrawing11.vml" Id="anysvml" 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2.xml" Id="comments" /><Relationship Type="http://schemas.openxmlformats.org/officeDocument/2006/relationships/vmlDrawing" Target="/xl/drawings/vmlDrawing12.vml" Id="anysvml" 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3.xml" Id="comments" /><Relationship Type="http://schemas.openxmlformats.org/officeDocument/2006/relationships/vmlDrawing" Target="/xl/drawings/vmlDrawing13.vml" Id="anysvml" 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14.xml" Id="comments" /><Relationship Type="http://schemas.openxmlformats.org/officeDocument/2006/relationships/vmlDrawing" Target="/xl/drawings/vmlDrawing14.vml" Id="anysvml" 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15.xml" Id="comments" /><Relationship Type="http://schemas.openxmlformats.org/officeDocument/2006/relationships/vmlDrawing" Target="/xl/drawings/vmlDrawing15.vml" Id="anysvml" 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16.xml" Id="comments" /><Relationship Type="http://schemas.openxmlformats.org/officeDocument/2006/relationships/vmlDrawing" Target="/xl/drawings/vmlDrawing16.vml" Id="anysvml" /></Relationships>
</file>

<file path=xl/worksheets/sheet1.xml><?xml version="1.0" encoding="utf-8"?>
<worksheet xmlns="http://schemas.openxmlformats.org/spreadsheetml/2006/main">
  <sheetPr codeName="Planilha19">
    <outlinePr summaryBelow="1" summaryRight="1"/>
    <pageSetUpPr/>
  </sheetPr>
  <dimension ref="A1:X31"/>
  <sheetViews>
    <sheetView workbookViewId="0">
      <selection activeCell="A1" sqref="A1:AA1048576"/>
    </sheetView>
  </sheetViews>
  <sheetFormatPr baseColWidth="8" defaultRowHeight="15"/>
  <cols>
    <col width="63.42578125" customWidth="1" min="1" max="1"/>
    <col width="5.28515625" customWidth="1" min="2" max="7"/>
    <col hidden="1" width="5.28515625" customWidth="1" min="8" max="24"/>
  </cols>
  <sheetData>
    <row r="1">
      <c r="A1" s="428" t="inlineStr">
        <is>
          <t>Produtos</t>
        </is>
      </c>
      <c r="B1" s="429" t="inlineStr">
        <is>
          <t>12973</t>
        </is>
      </c>
      <c r="C1" s="429" t="inlineStr">
        <is>
          <t>11734</t>
        </is>
      </c>
      <c r="D1" s="429" t="inlineStr">
        <is>
          <t>14462</t>
        </is>
      </c>
      <c r="E1" s="429" t="inlineStr">
        <is>
          <t>5418</t>
        </is>
      </c>
      <c r="F1" s="429" t="inlineStr">
        <is>
          <t>11733</t>
        </is>
      </c>
      <c r="G1" s="429" t="inlineStr">
        <is>
          <t>23012</t>
        </is>
      </c>
      <c r="H1" s="430" t="inlineStr">
        <is>
          <t>6700</t>
        </is>
      </c>
      <c r="I1" s="430" t="inlineStr">
        <is>
          <t>13868</t>
        </is>
      </c>
      <c r="J1" s="430" t="inlineStr">
        <is>
          <t>13370</t>
        </is>
      </c>
      <c r="K1" s="430" t="inlineStr">
        <is>
          <t>20000</t>
        </is>
      </c>
      <c r="L1" s="430" t="inlineStr">
        <is>
          <t>23049</t>
        </is>
      </c>
      <c r="M1" s="430" t="inlineStr">
        <is>
          <t>6727</t>
        </is>
      </c>
      <c r="N1" s="430" t="inlineStr">
        <is>
          <t>12466</t>
        </is>
      </c>
      <c r="O1" s="430" t="inlineStr">
        <is>
          <t>12942</t>
        </is>
      </c>
      <c r="P1" s="431" t="inlineStr">
        <is>
          <t>3822</t>
        </is>
      </c>
      <c r="Q1" s="431" t="inlineStr">
        <is>
          <t>14446</t>
        </is>
      </c>
      <c r="R1" s="431" t="inlineStr">
        <is>
          <t>12066</t>
        </is>
      </c>
      <c r="S1" s="432" t="inlineStr">
        <is>
          <t>23048</t>
        </is>
      </c>
      <c r="T1" s="432" t="inlineStr">
        <is>
          <t>11722</t>
        </is>
      </c>
      <c r="U1" s="432" t="inlineStr">
        <is>
          <t>14553</t>
        </is>
      </c>
      <c r="V1" s="432" t="inlineStr">
        <is>
          <t>7529</t>
        </is>
      </c>
      <c r="W1" s="432" t="inlineStr">
        <is>
          <t>6942</t>
        </is>
      </c>
      <c r="X1" s="432" t="inlineStr">
        <is>
          <t>6954</t>
        </is>
      </c>
    </row>
    <row r="2">
      <c r="A2" t="inlineStr">
        <is>
          <t>00000000089402 - CAIXA PRESENTE P BOT INST/25 VDA</t>
        </is>
      </c>
      <c r="B2" s="611" t="n">
        <v>184</v>
      </c>
      <c r="C2" s="611" t="n">
        <v>182</v>
      </c>
      <c r="D2" s="611" t="n">
        <v>33</v>
      </c>
      <c r="E2" s="611" t="n">
        <v>77</v>
      </c>
      <c r="F2" s="611" t="n">
        <v>16</v>
      </c>
      <c r="G2" s="611" t="n">
        <v>49</v>
      </c>
      <c r="H2" s="611" t="n">
        <v>260</v>
      </c>
      <c r="I2" s="611" t="n">
        <v>254</v>
      </c>
      <c r="J2" s="612" t="n">
        <v>0</v>
      </c>
      <c r="K2" s="612" t="n">
        <v>0</v>
      </c>
      <c r="L2" s="611" t="n">
        <v>158</v>
      </c>
      <c r="M2" s="611" t="n">
        <v>149</v>
      </c>
      <c r="N2" s="611" t="n">
        <v>122</v>
      </c>
      <c r="O2" s="611" t="n">
        <v>150</v>
      </c>
      <c r="P2" s="611" t="n">
        <v>46</v>
      </c>
      <c r="Q2" s="611" t="n">
        <v>208</v>
      </c>
      <c r="R2" s="611" t="n">
        <v>198</v>
      </c>
      <c r="S2" s="611" t="n">
        <v>118</v>
      </c>
      <c r="T2" s="611" t="n">
        <v>217</v>
      </c>
      <c r="U2" s="611" t="n">
        <v>95</v>
      </c>
      <c r="V2" s="611" t="n">
        <v>80</v>
      </c>
      <c r="W2" s="611" t="n">
        <v>100</v>
      </c>
      <c r="X2" s="611" t="n">
        <v>76</v>
      </c>
    </row>
    <row r="3">
      <c r="A3" t="inlineStr">
        <is>
          <t>00000000003517 - CAIXA P INST 2021 VERDE ECONOMICA</t>
        </is>
      </c>
      <c r="B3" s="612" t="n">
        <v>0</v>
      </c>
      <c r="C3" s="612" t="n">
        <v>0</v>
      </c>
      <c r="D3" s="612" t="n">
        <v>-16</v>
      </c>
      <c r="E3" s="612" t="n">
        <v>-1</v>
      </c>
      <c r="F3" s="612" t="n">
        <v>-13</v>
      </c>
      <c r="G3" s="612" t="n">
        <v>-1</v>
      </c>
      <c r="H3" s="612" t="n">
        <v>0</v>
      </c>
      <c r="I3" s="612" t="n">
        <v>0</v>
      </c>
      <c r="J3" s="611" t="n">
        <v>165</v>
      </c>
      <c r="K3" s="611" t="n">
        <v>116</v>
      </c>
      <c r="L3" s="612" t="n">
        <v>0</v>
      </c>
      <c r="M3" s="612" t="n">
        <v>-7</v>
      </c>
      <c r="N3" s="612" t="n">
        <v>0</v>
      </c>
      <c r="O3" s="611" t="n">
        <v>16</v>
      </c>
      <c r="P3" s="612" t="n">
        <v>0</v>
      </c>
      <c r="Q3" s="612" t="n">
        <v>0</v>
      </c>
      <c r="R3" s="612" t="n">
        <v>0</v>
      </c>
      <c r="S3" s="611" t="n">
        <v>1</v>
      </c>
      <c r="T3" s="612" t="n">
        <v>0</v>
      </c>
      <c r="U3" s="612" t="n">
        <v>0</v>
      </c>
      <c r="V3" s="612" t="n">
        <v>0</v>
      </c>
      <c r="W3" s="612" t="n">
        <v>0</v>
      </c>
      <c r="X3" s="612" t="n">
        <v>0</v>
      </c>
    </row>
    <row r="4">
      <c r="A4" t="inlineStr">
        <is>
          <t>00000000089401 - CX PRESENTE M BOTI INST/25 VDA</t>
        </is>
      </c>
      <c r="B4" s="611" t="n">
        <v>295</v>
      </c>
      <c r="C4" s="611" t="n">
        <v>300</v>
      </c>
      <c r="D4" s="611" t="n">
        <v>95</v>
      </c>
      <c r="E4" s="611" t="n">
        <v>99</v>
      </c>
      <c r="F4" s="611" t="n">
        <v>66</v>
      </c>
      <c r="G4" s="611" t="n">
        <v>123</v>
      </c>
      <c r="H4" s="611" t="n">
        <v>307</v>
      </c>
      <c r="I4" s="611" t="n">
        <v>141</v>
      </c>
      <c r="J4" s="611" t="n">
        <v>185</v>
      </c>
      <c r="K4" s="611" t="n">
        <v>266</v>
      </c>
      <c r="L4" s="611" t="n">
        <v>143</v>
      </c>
      <c r="M4" s="611" t="n">
        <v>190</v>
      </c>
      <c r="N4" s="611" t="n">
        <v>235</v>
      </c>
      <c r="O4" s="611" t="n">
        <v>68</v>
      </c>
      <c r="P4" s="611" t="n">
        <v>67</v>
      </c>
      <c r="Q4" s="611" t="n">
        <v>253</v>
      </c>
      <c r="R4" s="611" t="n">
        <v>248</v>
      </c>
      <c r="S4" s="611" t="n">
        <v>191</v>
      </c>
      <c r="T4" s="611" t="n">
        <v>130</v>
      </c>
      <c r="U4" s="611" t="n">
        <v>27</v>
      </c>
      <c r="V4" s="611" t="n">
        <v>76</v>
      </c>
      <c r="W4" s="611" t="n">
        <v>65</v>
      </c>
      <c r="X4" s="611" t="n">
        <v>27</v>
      </c>
    </row>
    <row r="5">
      <c r="A5" t="inlineStr">
        <is>
          <t>00000000003530 - CAIXA M INST 2021 VERDE ECONOMICA</t>
        </is>
      </c>
      <c r="B5" s="612" t="n">
        <v>0</v>
      </c>
      <c r="C5" s="612" t="n">
        <v>0</v>
      </c>
      <c r="D5" s="612" t="n">
        <v>-2</v>
      </c>
      <c r="E5" s="612" t="n">
        <v>0</v>
      </c>
      <c r="F5" s="612" t="n">
        <v>0</v>
      </c>
      <c r="G5" s="612" t="n">
        <v>0</v>
      </c>
      <c r="H5" s="612" t="n">
        <v>0</v>
      </c>
      <c r="I5" s="611" t="n">
        <v>4</v>
      </c>
      <c r="J5" s="612" t="n">
        <v>0</v>
      </c>
      <c r="K5" s="612" t="n">
        <v>0</v>
      </c>
      <c r="L5" s="612" t="n">
        <v>0</v>
      </c>
      <c r="M5" s="612" t="n">
        <v>0</v>
      </c>
      <c r="N5" s="612" t="n">
        <v>0</v>
      </c>
      <c r="O5" s="612" t="n">
        <v>0</v>
      </c>
      <c r="P5" s="612" t="n">
        <v>0</v>
      </c>
      <c r="Q5" s="611" t="n">
        <v>0</v>
      </c>
      <c r="R5" s="612" t="n">
        <v>0</v>
      </c>
      <c r="S5" s="611" t="n">
        <v>2</v>
      </c>
      <c r="T5" s="612" t="n">
        <v>0</v>
      </c>
      <c r="U5" s="612" t="n">
        <v>0</v>
      </c>
      <c r="V5" s="612" t="n">
        <v>0</v>
      </c>
      <c r="W5" s="612" t="n">
        <v>0</v>
      </c>
      <c r="X5" s="612" t="n">
        <v>0</v>
      </c>
    </row>
    <row r="6">
      <c r="A6" t="inlineStr">
        <is>
          <t>00000000003554 - CAIXA G INST 2021 VERDE ECONOMICA</t>
        </is>
      </c>
      <c r="B6" s="611" t="n">
        <v>51</v>
      </c>
      <c r="C6" s="611" t="n">
        <v>45</v>
      </c>
      <c r="D6" s="611" t="n">
        <v>1</v>
      </c>
      <c r="E6" s="611" t="n">
        <v>2</v>
      </c>
      <c r="F6" s="611" t="n">
        <v>19</v>
      </c>
      <c r="G6" s="611" t="n">
        <v>28</v>
      </c>
      <c r="H6" s="611" t="n">
        <v>20</v>
      </c>
      <c r="I6" s="611" t="n">
        <v>20</v>
      </c>
      <c r="J6" s="611" t="n">
        <v>68</v>
      </c>
      <c r="K6" s="611" t="n">
        <v>8</v>
      </c>
      <c r="L6" s="611" t="n">
        <v>-4</v>
      </c>
      <c r="M6" s="611" t="n">
        <v>46</v>
      </c>
      <c r="N6" s="611" t="n">
        <v>11</v>
      </c>
      <c r="O6" s="611" t="n">
        <v>8</v>
      </c>
      <c r="P6" s="611" t="n">
        <v>17</v>
      </c>
      <c r="Q6" s="611" t="n">
        <v>13</v>
      </c>
      <c r="R6" s="611" t="n">
        <v>47</v>
      </c>
      <c r="S6" s="611" t="n">
        <v>17</v>
      </c>
      <c r="T6" s="611" t="n">
        <v>57</v>
      </c>
      <c r="U6" s="611" t="n">
        <v>12</v>
      </c>
      <c r="V6" s="611" t="n">
        <v>5</v>
      </c>
      <c r="W6" s="611" t="n">
        <v>4</v>
      </c>
      <c r="X6" s="611" t="n">
        <v>8</v>
      </c>
    </row>
    <row r="7">
      <c r="A7" t="inlineStr">
        <is>
          <t>00000000089400 - ENVELOPE PRESENTE M BOTI INST/25 VDA</t>
        </is>
      </c>
      <c r="B7" s="612" t="n">
        <v>0</v>
      </c>
      <c r="C7" s="612" t="n">
        <v>0</v>
      </c>
      <c r="D7" s="612" t="n">
        <v>0</v>
      </c>
      <c r="E7" s="612" t="n">
        <v>0</v>
      </c>
      <c r="F7" s="612" t="n">
        <v>0</v>
      </c>
      <c r="G7" s="612" t="n">
        <v>0</v>
      </c>
      <c r="H7" s="611" t="n">
        <v>216</v>
      </c>
      <c r="I7" s="611" t="n">
        <v>272</v>
      </c>
      <c r="J7" s="611" t="n">
        <v>85</v>
      </c>
      <c r="K7" s="611" t="n">
        <v>450</v>
      </c>
      <c r="L7" s="611" t="n">
        <v>130</v>
      </c>
      <c r="M7" s="611" t="n">
        <v>57</v>
      </c>
      <c r="N7" s="611" t="n">
        <v>175</v>
      </c>
      <c r="O7" s="611" t="n">
        <v>23</v>
      </c>
      <c r="P7" s="611" t="n">
        <v>110</v>
      </c>
      <c r="Q7" s="611" t="n">
        <v>111</v>
      </c>
      <c r="R7" s="611" t="n">
        <v>168</v>
      </c>
      <c r="S7" s="611" t="n">
        <v>0</v>
      </c>
      <c r="T7" s="611" t="n">
        <v>-3</v>
      </c>
      <c r="U7" s="611" t="n">
        <v>1</v>
      </c>
      <c r="V7" s="611" t="n">
        <v>40</v>
      </c>
      <c r="W7" s="611" t="n">
        <v>0</v>
      </c>
      <c r="X7" s="611" t="n">
        <v>0</v>
      </c>
    </row>
    <row r="8">
      <c r="A8" t="inlineStr">
        <is>
          <t>00000000086027 - CAIXA DIVERTIDAMENTE M INFANTIL 2024</t>
        </is>
      </c>
      <c r="B8" s="611" t="n">
        <v>12</v>
      </c>
      <c r="C8" s="612" t="n">
        <v>0</v>
      </c>
      <c r="D8" s="612" t="n">
        <v>0</v>
      </c>
      <c r="E8" s="612" t="n">
        <v>0</v>
      </c>
      <c r="F8" s="612" t="n">
        <v>3</v>
      </c>
      <c r="G8" s="612" t="n">
        <v>4</v>
      </c>
      <c r="H8" s="611" t="n">
        <v>359</v>
      </c>
      <c r="I8" s="611" t="n">
        <v>272</v>
      </c>
      <c r="J8" s="611" t="n">
        <v>66</v>
      </c>
      <c r="K8" s="611" t="n">
        <v>146</v>
      </c>
      <c r="L8" s="611" t="n">
        <v>118</v>
      </c>
      <c r="M8" s="611" t="n">
        <v>170</v>
      </c>
      <c r="N8" s="611" t="n">
        <v>91</v>
      </c>
      <c r="O8" s="611" t="n">
        <v>133</v>
      </c>
      <c r="P8" s="611" t="n">
        <v>39</v>
      </c>
      <c r="Q8" s="611" t="n">
        <v>0</v>
      </c>
      <c r="R8" s="611" t="n">
        <v>80</v>
      </c>
      <c r="S8" s="611" t="n">
        <v>188</v>
      </c>
      <c r="T8" s="611" t="n">
        <v>347</v>
      </c>
      <c r="U8" s="611" t="n">
        <v>18</v>
      </c>
      <c r="V8" s="611" t="n">
        <v>102</v>
      </c>
      <c r="W8" s="611" t="n">
        <v>124</v>
      </c>
      <c r="X8" s="611" t="n">
        <v>15</v>
      </c>
    </row>
    <row r="9">
      <c r="A9" t="inlineStr">
        <is>
          <t>00000000087691 - COLECIONAV BOT NAT/24 CONE ARVORE UNIT</t>
        </is>
      </c>
      <c r="B9" s="611" t="n">
        <v>97</v>
      </c>
      <c r="C9" s="611" t="n">
        <v>12</v>
      </c>
      <c r="D9" s="611" t="n">
        <v>68</v>
      </c>
      <c r="E9" s="612" t="n">
        <v>0</v>
      </c>
      <c r="F9" s="612" t="n">
        <v>0</v>
      </c>
      <c r="G9" s="612" t="n">
        <v>0</v>
      </c>
      <c r="H9" s="612" t="n">
        <v>0</v>
      </c>
      <c r="I9" s="612" t="n">
        <v>0</v>
      </c>
      <c r="J9" s="612" t="n">
        <v>0</v>
      </c>
      <c r="K9" s="612" t="n">
        <v>0</v>
      </c>
      <c r="L9" s="612" t="n">
        <v>3</v>
      </c>
      <c r="M9" s="612" t="n">
        <v>8</v>
      </c>
      <c r="N9" s="612" t="n">
        <v>2</v>
      </c>
      <c r="O9" s="612" t="n">
        <v>8</v>
      </c>
      <c r="P9" s="612" t="n">
        <v>0</v>
      </c>
      <c r="Q9" s="612" t="n">
        <v>0</v>
      </c>
      <c r="R9" s="612" t="n">
        <v>0</v>
      </c>
      <c r="S9" s="612" t="n">
        <v>0</v>
      </c>
      <c r="T9" s="612" t="n">
        <v>0</v>
      </c>
      <c r="U9" s="612" t="n">
        <v>0</v>
      </c>
      <c r="V9" s="612" t="n">
        <v>0</v>
      </c>
      <c r="W9" s="612" t="n">
        <v>0</v>
      </c>
      <c r="X9" s="612" t="n">
        <v>0</v>
      </c>
    </row>
    <row r="10">
      <c r="A10" t="inlineStr">
        <is>
          <t>00000000087694 - COLECIONAVEIS BOT NAT/24 BOLA UNITARIA</t>
        </is>
      </c>
      <c r="B10" s="611" t="n">
        <v>2</v>
      </c>
      <c r="C10" s="611" t="n">
        <v>5</v>
      </c>
      <c r="D10" s="611" t="n">
        <v>7</v>
      </c>
      <c r="E10" s="612" t="n">
        <v>0</v>
      </c>
      <c r="F10" s="612" t="n">
        <v>0</v>
      </c>
      <c r="G10" s="612" t="n">
        <v>0</v>
      </c>
      <c r="H10" s="612" t="n">
        <v>0</v>
      </c>
      <c r="I10" s="612" t="n">
        <v>0</v>
      </c>
      <c r="J10" s="612" t="n">
        <v>0</v>
      </c>
      <c r="K10" s="612" t="n">
        <v>0</v>
      </c>
      <c r="L10" s="612" t="n">
        <v>6</v>
      </c>
      <c r="M10" s="612" t="n">
        <v>6</v>
      </c>
      <c r="N10" s="612" t="n">
        <v>1</v>
      </c>
      <c r="O10" s="612" t="n">
        <v>0</v>
      </c>
      <c r="P10" s="612" t="n">
        <v>0</v>
      </c>
      <c r="Q10" s="612" t="n">
        <v>0</v>
      </c>
      <c r="R10" s="612" t="n">
        <v>0</v>
      </c>
      <c r="S10" s="612" t="n">
        <v>0</v>
      </c>
      <c r="T10" s="612" t="n">
        <v>0</v>
      </c>
      <c r="U10" s="612" t="n">
        <v>0</v>
      </c>
      <c r="V10" s="612" t="n">
        <v>0</v>
      </c>
      <c r="W10" s="611" t="n">
        <v>2</v>
      </c>
      <c r="X10" s="612" t="n">
        <v>0</v>
      </c>
    </row>
    <row r="11">
      <c r="A11" t="inlineStr">
        <is>
          <t>00000000090774 - PIN MELHOR PAI O BOTICARIO PAIS/25 UNIT</t>
        </is>
      </c>
      <c r="B11" s="612" t="n">
        <v>0</v>
      </c>
      <c r="C11" s="612" t="n">
        <v>0</v>
      </c>
      <c r="D11" s="612" t="n">
        <v>0</v>
      </c>
      <c r="E11" s="612" t="n">
        <v>0</v>
      </c>
      <c r="F11" s="612" t="n">
        <v>0</v>
      </c>
      <c r="G11" s="612" t="n">
        <v>0</v>
      </c>
      <c r="H11" s="612" t="n">
        <v>0</v>
      </c>
      <c r="I11" s="612" t="n">
        <v>0</v>
      </c>
      <c r="J11" s="612" t="n">
        <v>0</v>
      </c>
      <c r="K11" s="612" t="n">
        <v>0</v>
      </c>
      <c r="L11" s="612" t="n">
        <v>0</v>
      </c>
      <c r="M11" s="612" t="n">
        <v>0</v>
      </c>
      <c r="N11" s="612" t="n">
        <v>0</v>
      </c>
      <c r="O11" s="612" t="n">
        <v>0</v>
      </c>
      <c r="P11" s="611" t="n">
        <v>15</v>
      </c>
      <c r="Q11" s="612" t="n">
        <v>0</v>
      </c>
      <c r="R11" s="612" t="n">
        <v>0</v>
      </c>
      <c r="S11" s="612" t="n">
        <v>0</v>
      </c>
      <c r="T11" s="612" t="n">
        <v>0</v>
      </c>
      <c r="U11" s="612" t="n">
        <v>0</v>
      </c>
      <c r="V11" s="612" t="n">
        <v>0</v>
      </c>
      <c r="W11" s="612" t="n">
        <v>0</v>
      </c>
      <c r="X11" s="612" t="n">
        <v>0</v>
      </c>
    </row>
    <row r="12">
      <c r="A12" t="inlineStr">
        <is>
          <t>00000000090770 - PIN BALAO O BOTICARIO PAIS/25 UNIT</t>
        </is>
      </c>
      <c r="B12" s="612" t="n">
        <v>0</v>
      </c>
      <c r="C12" s="612" t="n">
        <v>0</v>
      </c>
      <c r="D12" s="612" t="n">
        <v>0</v>
      </c>
      <c r="E12" s="612" t="n">
        <v>0</v>
      </c>
      <c r="F12" s="612" t="n">
        <v>0</v>
      </c>
      <c r="G12" s="612" t="n">
        <v>0</v>
      </c>
      <c r="H12" s="612" t="n">
        <v>0</v>
      </c>
      <c r="I12" s="612" t="n">
        <v>0</v>
      </c>
      <c r="J12" s="612" t="n">
        <v>0</v>
      </c>
      <c r="K12" s="612" t="n">
        <v>0</v>
      </c>
      <c r="L12" s="612" t="n">
        <v>0</v>
      </c>
      <c r="M12" s="612" t="n">
        <v>0</v>
      </c>
      <c r="N12" s="612" t="n">
        <v>0</v>
      </c>
      <c r="O12" s="612" t="n">
        <v>0</v>
      </c>
      <c r="P12" s="611" t="n">
        <v>10</v>
      </c>
      <c r="Q12" s="612" t="n">
        <v>0</v>
      </c>
      <c r="R12" s="612" t="n">
        <v>0</v>
      </c>
      <c r="S12" s="612" t="n">
        <v>0</v>
      </c>
      <c r="T12" s="612" t="n">
        <v>0</v>
      </c>
      <c r="U12" s="612" t="n">
        <v>0</v>
      </c>
      <c r="V12" s="612" t="n">
        <v>0</v>
      </c>
      <c r="W12" s="612" t="n">
        <v>0</v>
      </c>
      <c r="X12" s="612" t="n">
        <v>0</v>
      </c>
    </row>
    <row r="13">
      <c r="A13" t="inlineStr">
        <is>
          <t>00000000090772 - PIN AMOR O BOTICARIO PAIS/25 UNIT</t>
        </is>
      </c>
      <c r="B13" s="612" t="n">
        <v>0</v>
      </c>
      <c r="C13" s="612" t="n">
        <v>0</v>
      </c>
      <c r="D13" s="612" t="n">
        <v>0</v>
      </c>
      <c r="E13" s="612" t="n">
        <v>0</v>
      </c>
      <c r="F13" s="612" t="n">
        <v>0</v>
      </c>
      <c r="G13" s="612" t="n">
        <v>0</v>
      </c>
      <c r="H13" s="612" t="n">
        <v>0</v>
      </c>
      <c r="I13" s="612" t="n">
        <v>0</v>
      </c>
      <c r="J13" s="612" t="n">
        <v>0</v>
      </c>
      <c r="K13" s="612" t="n">
        <v>0</v>
      </c>
      <c r="L13" s="612" t="n">
        <v>0</v>
      </c>
      <c r="M13" s="612" t="n">
        <v>0</v>
      </c>
      <c r="N13" s="612" t="n">
        <v>0</v>
      </c>
      <c r="O13" s="612" t="n">
        <v>0</v>
      </c>
      <c r="P13" s="611" t="n">
        <v>13</v>
      </c>
      <c r="Q13" s="612" t="n">
        <v>0</v>
      </c>
      <c r="R13" s="612" t="n">
        <v>0</v>
      </c>
      <c r="S13" s="612" t="n">
        <v>0</v>
      </c>
      <c r="T13" s="612" t="n">
        <v>0</v>
      </c>
      <c r="U13" s="612" t="n">
        <v>0</v>
      </c>
      <c r="V13" s="612" t="n">
        <v>0</v>
      </c>
      <c r="W13" s="612" t="n">
        <v>0</v>
      </c>
      <c r="X13" s="612" t="n">
        <v>0</v>
      </c>
    </row>
    <row r="14">
      <c r="A14" t="inlineStr">
        <is>
          <t>00000000090821 - SACOLA P BOTICARIO INST/25</t>
        </is>
      </c>
      <c r="B14" s="612" t="n">
        <v>0</v>
      </c>
      <c r="C14" s="612" t="n">
        <v>0</v>
      </c>
      <c r="D14" s="612" t="n">
        <v>0</v>
      </c>
      <c r="E14" s="612" t="n">
        <v>800</v>
      </c>
      <c r="F14" s="612" t="n">
        <v>0</v>
      </c>
      <c r="G14" s="612" t="n">
        <v>0</v>
      </c>
      <c r="H14" s="612" t="n">
        <v>0</v>
      </c>
      <c r="I14" s="612" t="n">
        <v>0</v>
      </c>
      <c r="J14" s="612" t="n">
        <v>0</v>
      </c>
      <c r="K14" s="612" t="n">
        <v>0</v>
      </c>
      <c r="L14" s="612" t="n">
        <v>0</v>
      </c>
      <c r="M14" s="612" t="n">
        <v>0</v>
      </c>
      <c r="N14" s="612" t="n">
        <v>0</v>
      </c>
      <c r="O14" s="612" t="n">
        <v>0</v>
      </c>
      <c r="P14" s="612" t="n">
        <v>0</v>
      </c>
      <c r="Q14" s="612" t="n">
        <v>0</v>
      </c>
      <c r="R14" s="612" t="n">
        <v>0</v>
      </c>
      <c r="S14" s="612" t="n">
        <v>0</v>
      </c>
      <c r="T14" s="612" t="n">
        <v>0</v>
      </c>
      <c r="U14" s="612" t="n">
        <v>0</v>
      </c>
      <c r="V14" s="612" t="n">
        <v>0</v>
      </c>
      <c r="W14" s="612" t="n">
        <v>0</v>
      </c>
      <c r="X14" s="612" t="n">
        <v>0</v>
      </c>
    </row>
    <row r="15">
      <c r="A15" t="inlineStr">
        <is>
          <t>00000000090822 - SACOLA M BOTICARIO INST/25</t>
        </is>
      </c>
      <c r="B15" s="612" t="n">
        <v>0</v>
      </c>
      <c r="C15" s="612" t="n">
        <v>0</v>
      </c>
      <c r="D15" s="612" t="n">
        <v>0</v>
      </c>
      <c r="E15" s="612" t="n">
        <v>400</v>
      </c>
      <c r="F15" s="612" t="n">
        <v>0</v>
      </c>
      <c r="G15" s="612" t="n">
        <v>0</v>
      </c>
      <c r="H15" s="612" t="n">
        <v>0</v>
      </c>
      <c r="I15" s="612" t="n">
        <v>0</v>
      </c>
      <c r="J15" s="612" t="n">
        <v>0</v>
      </c>
      <c r="K15" s="612" t="n">
        <v>0</v>
      </c>
      <c r="L15" s="612" t="n">
        <v>0</v>
      </c>
      <c r="M15" s="612" t="n">
        <v>0</v>
      </c>
      <c r="N15" s="612" t="n">
        <v>0</v>
      </c>
      <c r="O15" s="612" t="n">
        <v>0</v>
      </c>
      <c r="P15" s="612" t="n">
        <v>0</v>
      </c>
      <c r="Q15" s="612" t="n">
        <v>0</v>
      </c>
      <c r="R15" s="612" t="n">
        <v>0</v>
      </c>
      <c r="S15" s="612" t="n">
        <v>0</v>
      </c>
      <c r="T15" s="612" t="n">
        <v>0</v>
      </c>
      <c r="U15" s="612" t="n">
        <v>0</v>
      </c>
      <c r="V15" s="612" t="n">
        <v>0</v>
      </c>
      <c r="W15" s="612" t="n">
        <v>0</v>
      </c>
      <c r="X15" s="612" t="n">
        <v>0</v>
      </c>
    </row>
    <row r="16">
      <c r="A16" t="inlineStr">
        <is>
          <t>00000000094389 - PAPEL SEDA BOTI INSTIT 2025 UNIT</t>
        </is>
      </c>
      <c r="B16" s="612" t="n">
        <v>0</v>
      </c>
      <c r="C16" s="612" t="n">
        <v>0</v>
      </c>
      <c r="D16" s="612" t="n">
        <v>0</v>
      </c>
      <c r="E16" s="612" t="n">
        <v>800</v>
      </c>
      <c r="F16" s="612" t="n">
        <v>0</v>
      </c>
      <c r="G16" s="612" t="n">
        <v>0</v>
      </c>
      <c r="H16" s="612" t="n">
        <v>0</v>
      </c>
      <c r="I16" s="612" t="n">
        <v>0</v>
      </c>
      <c r="J16" s="612" t="n">
        <v>0</v>
      </c>
      <c r="K16" s="612" t="n">
        <v>0</v>
      </c>
      <c r="L16" s="612" t="n">
        <v>0</v>
      </c>
      <c r="M16" s="612" t="n">
        <v>0</v>
      </c>
      <c r="N16" s="612" t="n">
        <v>0</v>
      </c>
      <c r="O16" s="612" t="n">
        <v>0</v>
      </c>
      <c r="P16" s="612" t="n">
        <v>0</v>
      </c>
      <c r="Q16" s="612" t="n">
        <v>0</v>
      </c>
      <c r="R16" s="612" t="n">
        <v>0</v>
      </c>
      <c r="S16" s="612" t="n">
        <v>0</v>
      </c>
      <c r="T16" s="612" t="n">
        <v>0</v>
      </c>
      <c r="U16" s="612" t="n">
        <v>0</v>
      </c>
      <c r="V16" s="612" t="n">
        <v>0</v>
      </c>
      <c r="W16" s="612" t="n">
        <v>0</v>
      </c>
      <c r="X16" s="612" t="n">
        <v>0</v>
      </c>
    </row>
    <row r="17">
      <c r="A17" t="inlineStr">
        <is>
          <t>00000000094802 - CAIXA LAÃ‡O M BOTI DORAMA 2025 UNIT</t>
        </is>
      </c>
      <c r="B17" s="612" t="n">
        <v>0</v>
      </c>
      <c r="C17" s="612" t="n">
        <v>0</v>
      </c>
      <c r="D17" s="612" t="n">
        <v>0</v>
      </c>
      <c r="E17" s="612" t="n">
        <v>0</v>
      </c>
      <c r="F17" s="612" t="n">
        <v>0</v>
      </c>
      <c r="G17" s="612" t="n">
        <v>0</v>
      </c>
      <c r="H17" s="612" t="n">
        <v>0</v>
      </c>
      <c r="I17" s="612" t="n">
        <v>0</v>
      </c>
      <c r="J17" s="612" t="n">
        <v>0</v>
      </c>
      <c r="K17" s="612" t="n">
        <v>0</v>
      </c>
      <c r="L17" s="612" t="n">
        <v>0</v>
      </c>
      <c r="M17" s="612" t="n">
        <v>0</v>
      </c>
      <c r="N17" s="612" t="n">
        <v>0</v>
      </c>
      <c r="O17" s="612" t="n">
        <v>0</v>
      </c>
      <c r="P17" s="612" t="n">
        <v>0</v>
      </c>
      <c r="Q17" s="612" t="n">
        <v>0</v>
      </c>
      <c r="R17" s="612" t="n">
        <v>0</v>
      </c>
      <c r="S17" s="612" t="n">
        <v>0</v>
      </c>
      <c r="T17" s="611" t="n">
        <v>8</v>
      </c>
      <c r="U17" s="612" t="n">
        <v>0</v>
      </c>
      <c r="V17" s="612" t="n">
        <v>0</v>
      </c>
      <c r="W17" s="611" t="n">
        <v>8</v>
      </c>
      <c r="X17" s="612" t="n">
        <v>0</v>
      </c>
    </row>
    <row r="18">
      <c r="A18" t="inlineStr">
        <is>
          <t>00000000094682 - CAIXA LACO M BOTI ARANHA 2025 UNIT</t>
        </is>
      </c>
      <c r="B18" s="612" t="n">
        <v>11</v>
      </c>
      <c r="C18" s="612" t="n">
        <v>0</v>
      </c>
      <c r="D18" s="612" t="n">
        <v>0</v>
      </c>
      <c r="E18" s="612" t="n">
        <v>0</v>
      </c>
      <c r="F18" s="612" t="n">
        <v>0</v>
      </c>
      <c r="G18" s="612" t="n">
        <v>4</v>
      </c>
      <c r="H18" s="612" t="n">
        <v>0</v>
      </c>
      <c r="I18" s="612" t="n">
        <v>7</v>
      </c>
      <c r="J18" s="612" t="n">
        <v>2</v>
      </c>
      <c r="K18" s="612" t="n">
        <v>0</v>
      </c>
      <c r="L18" s="612" t="n">
        <v>1</v>
      </c>
      <c r="M18" s="612" t="n">
        <v>1</v>
      </c>
      <c r="N18" s="612" t="n">
        <v>7</v>
      </c>
      <c r="O18" s="612" t="n">
        <v>0</v>
      </c>
      <c r="P18" s="612" t="n">
        <v>0</v>
      </c>
      <c r="Q18" s="612" t="n">
        <v>0</v>
      </c>
      <c r="R18" s="611" t="n">
        <v>4</v>
      </c>
      <c r="S18" s="612" t="n">
        <v>0</v>
      </c>
      <c r="T18" s="611" t="n">
        <v>11</v>
      </c>
      <c r="U18" s="611" t="n">
        <v>5</v>
      </c>
      <c r="V18" s="612" t="n">
        <v>0</v>
      </c>
      <c r="W18" s="611" t="n">
        <v>4</v>
      </c>
      <c r="X18" s="612" t="n">
        <v>0</v>
      </c>
    </row>
    <row r="19">
      <c r="A19" t="inlineStr">
        <is>
          <t>00000000094775 - CAIXA LACO P NATAL 2025 BOTI UNIT</t>
        </is>
      </c>
      <c r="B19" s="612" t="n">
        <v>0</v>
      </c>
      <c r="C19" s="612" t="n">
        <v>0</v>
      </c>
      <c r="D19" s="612" t="n">
        <v>0</v>
      </c>
      <c r="E19" s="612" t="n">
        <v>0</v>
      </c>
      <c r="F19" s="612" t="n">
        <v>0</v>
      </c>
      <c r="G19" s="611" t="n">
        <v>19</v>
      </c>
      <c r="H19" s="612" t="n">
        <v>0</v>
      </c>
      <c r="I19" s="612" t="n">
        <v>0</v>
      </c>
      <c r="J19" s="612" t="n">
        <v>4</v>
      </c>
      <c r="K19" s="612" t="n">
        <v>0</v>
      </c>
      <c r="L19" s="612" t="n">
        <v>0</v>
      </c>
      <c r="M19" s="611" t="n">
        <v>4</v>
      </c>
      <c r="N19" s="612" t="n">
        <v>0</v>
      </c>
      <c r="O19" s="612" t="n">
        <v>0</v>
      </c>
      <c r="P19" s="611" t="n">
        <v>90</v>
      </c>
      <c r="Q19" s="612" t="n">
        <v>0</v>
      </c>
      <c r="R19" s="611" t="n">
        <v>40</v>
      </c>
      <c r="S19" s="612" t="n">
        <v>0</v>
      </c>
      <c r="T19" s="611" t="n">
        <v>3</v>
      </c>
      <c r="U19" s="612" t="n">
        <v>0</v>
      </c>
      <c r="V19" s="612" t="n">
        <v>0</v>
      </c>
      <c r="W19" s="611" t="n">
        <v>15</v>
      </c>
      <c r="X19" s="612" t="n">
        <v>0</v>
      </c>
    </row>
    <row r="20">
      <c r="A20" t="inlineStr">
        <is>
          <t>00000000094776 - CAIXA LACO M NATAL 2025 BOTI UNIT</t>
        </is>
      </c>
      <c r="B20" s="612" t="n">
        <v>0</v>
      </c>
      <c r="C20" s="612" t="n">
        <v>0</v>
      </c>
      <c r="D20" s="612" t="n">
        <v>1</v>
      </c>
      <c r="E20" s="612" t="n">
        <v>0</v>
      </c>
      <c r="F20" s="612" t="n">
        <v>0</v>
      </c>
      <c r="G20" s="611" t="n">
        <v>5</v>
      </c>
      <c r="H20" s="612" t="n">
        <v>0</v>
      </c>
      <c r="I20" s="612" t="n">
        <v>3</v>
      </c>
      <c r="J20" s="612" t="n">
        <v>7</v>
      </c>
      <c r="K20" s="612" t="n">
        <v>0</v>
      </c>
      <c r="L20" s="612" t="n">
        <v>0</v>
      </c>
      <c r="M20" s="612" t="n">
        <v>0</v>
      </c>
      <c r="N20" s="612" t="n">
        <v>0</v>
      </c>
      <c r="O20" s="611" t="n">
        <v>1</v>
      </c>
      <c r="P20" s="611" t="n">
        <v>162</v>
      </c>
      <c r="Q20" s="612" t="n">
        <v>0</v>
      </c>
      <c r="R20" s="612" t="n">
        <v>0</v>
      </c>
      <c r="S20" s="612" t="n">
        <v>0</v>
      </c>
      <c r="T20" s="611" t="n">
        <v>31</v>
      </c>
      <c r="U20" s="612" t="n">
        <v>0</v>
      </c>
      <c r="V20" s="612" t="n">
        <v>0</v>
      </c>
      <c r="W20" s="611" t="n">
        <v>41</v>
      </c>
      <c r="X20" s="612" t="n">
        <v>0</v>
      </c>
    </row>
    <row r="21">
      <c r="A21" t="inlineStr">
        <is>
          <t>00000000094777 - CAIXA LACO G NATAL 2025 BOTI UNIT</t>
        </is>
      </c>
      <c r="B21" s="611" t="n">
        <v>4</v>
      </c>
      <c r="C21" s="611" t="n">
        <v>3</v>
      </c>
      <c r="D21" s="612" t="n">
        <v>0</v>
      </c>
      <c r="E21" s="612" t="n">
        <v>0</v>
      </c>
      <c r="F21" s="612" t="n">
        <v>0</v>
      </c>
      <c r="G21" s="611" t="n">
        <v>9</v>
      </c>
      <c r="H21" s="612" t="n">
        <v>0</v>
      </c>
      <c r="I21" s="612" t="n">
        <v>0</v>
      </c>
      <c r="J21" s="612" t="n">
        <v>0</v>
      </c>
      <c r="K21" s="612" t="n">
        <v>0</v>
      </c>
      <c r="L21" s="612" t="n">
        <v>0</v>
      </c>
      <c r="M21" s="612" t="n">
        <v>0</v>
      </c>
      <c r="N21" s="612" t="n">
        <v>0</v>
      </c>
      <c r="O21" s="612" t="n">
        <v>0</v>
      </c>
      <c r="P21" s="612" t="n">
        <v>0</v>
      </c>
      <c r="Q21" s="612" t="n">
        <v>0</v>
      </c>
      <c r="R21" s="612" t="n">
        <v>0</v>
      </c>
      <c r="S21" s="612" t="n">
        <v>0</v>
      </c>
      <c r="T21" s="612" t="n">
        <v>0</v>
      </c>
      <c r="U21" s="612" t="n">
        <v>0</v>
      </c>
      <c r="V21" s="612" t="n">
        <v>0</v>
      </c>
      <c r="W21" s="612" t="n">
        <v>0</v>
      </c>
      <c r="X21" s="612" t="n">
        <v>0</v>
      </c>
    </row>
    <row r="22">
      <c r="A22" t="inlineStr">
        <is>
          <t>00000000094778 - ENVELOPE P NATAL 2025 BOT UNIT</t>
        </is>
      </c>
      <c r="B22" s="612" t="n">
        <v>0</v>
      </c>
      <c r="C22" s="612" t="n">
        <v>0</v>
      </c>
      <c r="D22" s="612" t="n">
        <v>0</v>
      </c>
      <c r="E22" s="612" t="n">
        <v>0</v>
      </c>
      <c r="F22" s="612" t="n">
        <v>0</v>
      </c>
      <c r="G22" s="612" t="n">
        <v>0</v>
      </c>
      <c r="H22" s="612" t="n">
        <v>0</v>
      </c>
      <c r="I22" s="612" t="n">
        <v>0</v>
      </c>
      <c r="J22" s="612" t="n">
        <v>0</v>
      </c>
      <c r="K22" s="612" t="n">
        <v>0</v>
      </c>
      <c r="L22" s="611" t="n">
        <v>35</v>
      </c>
      <c r="M22" s="612" t="n">
        <v>0</v>
      </c>
      <c r="N22" s="612" t="n">
        <v>0</v>
      </c>
      <c r="O22" s="612" t="n">
        <v>0</v>
      </c>
      <c r="P22" s="612" t="n">
        <v>0</v>
      </c>
      <c r="Q22" s="612" t="n">
        <v>0</v>
      </c>
      <c r="R22" s="612" t="n">
        <v>0</v>
      </c>
      <c r="S22" s="612" t="n">
        <v>0</v>
      </c>
      <c r="T22" s="612" t="n">
        <v>0</v>
      </c>
      <c r="U22" s="612" t="n">
        <v>0</v>
      </c>
      <c r="V22" s="612" t="n">
        <v>0</v>
      </c>
      <c r="W22" s="612" t="n">
        <v>0</v>
      </c>
      <c r="X22" s="612" t="n">
        <v>0</v>
      </c>
    </row>
    <row r="23">
      <c r="A23" t="inlineStr">
        <is>
          <t>00000000094779 - ENVELOPE M NATAL 2025 BOTI UNIT</t>
        </is>
      </c>
      <c r="B23" s="612" t="n">
        <v>0</v>
      </c>
      <c r="C23" s="612" t="n">
        <v>0</v>
      </c>
      <c r="D23" s="612" t="n">
        <v>0</v>
      </c>
      <c r="E23" s="612" t="n">
        <v>0</v>
      </c>
      <c r="F23" s="612" t="n">
        <v>0</v>
      </c>
      <c r="G23" s="612" t="n">
        <v>1</v>
      </c>
      <c r="H23" s="612" t="n">
        <v>0</v>
      </c>
      <c r="I23" s="612" t="n">
        <v>0</v>
      </c>
      <c r="J23" s="612" t="n">
        <v>0</v>
      </c>
      <c r="K23" s="612" t="n">
        <v>0</v>
      </c>
      <c r="L23" s="611" t="n">
        <v>1</v>
      </c>
      <c r="M23" s="612" t="n">
        <v>0</v>
      </c>
      <c r="N23" s="612" t="n">
        <v>1</v>
      </c>
      <c r="O23" s="612" t="n">
        <v>0</v>
      </c>
      <c r="P23" s="612" t="n">
        <v>0</v>
      </c>
      <c r="Q23" s="612" t="n">
        <v>0</v>
      </c>
      <c r="R23" s="612" t="n">
        <v>0</v>
      </c>
      <c r="S23" s="612" t="n">
        <v>0</v>
      </c>
      <c r="T23" s="612" t="n">
        <v>0</v>
      </c>
      <c r="U23" s="612" t="n">
        <v>0</v>
      </c>
      <c r="V23" s="612" t="n">
        <v>0</v>
      </c>
      <c r="W23" s="612" t="n">
        <v>0</v>
      </c>
      <c r="X23" s="612" t="n">
        <v>0</v>
      </c>
    </row>
    <row r="24">
      <c r="A24" t="inlineStr">
        <is>
          <t>00000000095151 - PIN BOTI NATAL 2025 UNIT</t>
        </is>
      </c>
      <c r="B24" s="612" t="n">
        <v>0</v>
      </c>
      <c r="C24" s="612" t="n">
        <v>0</v>
      </c>
      <c r="D24" s="612" t="n">
        <v>0</v>
      </c>
      <c r="E24" s="612" t="n">
        <v>0</v>
      </c>
      <c r="F24" s="612" t="n">
        <v>0</v>
      </c>
      <c r="G24" s="612" t="n">
        <v>0</v>
      </c>
      <c r="H24" s="612" t="n">
        <v>0</v>
      </c>
      <c r="I24" s="612" t="n">
        <v>0</v>
      </c>
      <c r="J24" s="612" t="n">
        <v>0</v>
      </c>
      <c r="K24" s="612" t="n">
        <v>0</v>
      </c>
      <c r="L24" s="612" t="n">
        <v>0</v>
      </c>
      <c r="M24" s="611" t="n">
        <v>14</v>
      </c>
      <c r="N24" s="611" t="n">
        <v>6</v>
      </c>
      <c r="O24" s="612" t="n">
        <v>0</v>
      </c>
      <c r="P24" s="611" t="n">
        <v>1</v>
      </c>
      <c r="Q24" s="611" t="n">
        <v>3</v>
      </c>
      <c r="R24" s="611" t="n">
        <v>5</v>
      </c>
      <c r="S24" s="611" t="n">
        <v>4</v>
      </c>
      <c r="T24" s="611" t="n">
        <v>5</v>
      </c>
      <c r="U24" s="612" t="n">
        <v>0</v>
      </c>
      <c r="V24" s="612" t="n">
        <v>0</v>
      </c>
      <c r="W24" s="612" t="n">
        <v>0</v>
      </c>
      <c r="X24" s="612" t="n">
        <v>0</v>
      </c>
    </row>
    <row r="25">
      <c r="A25" t="inlineStr">
        <is>
          <t>00000000096437 - CAIXA LACO P MAES/26 BOTI UNIT</t>
        </is>
      </c>
      <c r="B25" s="611" t="n">
        <v>17</v>
      </c>
      <c r="C25" s="611" t="n">
        <v>0</v>
      </c>
      <c r="D25" s="611" t="n">
        <v>-33</v>
      </c>
      <c r="E25" s="611" t="n">
        <v>101</v>
      </c>
      <c r="F25" s="611" t="n">
        <v>-3</v>
      </c>
      <c r="G25" s="611" t="n">
        <v>0</v>
      </c>
      <c r="H25" s="611" t="n">
        <v>82</v>
      </c>
      <c r="I25" s="611" t="n">
        <v>49</v>
      </c>
      <c r="J25" s="611" t="n">
        <v>50</v>
      </c>
      <c r="K25" s="611" t="n">
        <v>89</v>
      </c>
      <c r="L25" s="611" t="n">
        <v>-1</v>
      </c>
      <c r="M25" s="611" t="n">
        <v>69</v>
      </c>
      <c r="N25" s="611" t="n">
        <v>1</v>
      </c>
      <c r="O25" s="611" t="n">
        <v>20</v>
      </c>
      <c r="P25" s="611" t="n">
        <v>0</v>
      </c>
      <c r="Q25" s="611" t="n">
        <v>0</v>
      </c>
      <c r="R25" s="611" t="n">
        <v>0</v>
      </c>
      <c r="S25" s="611" t="n">
        <v>3</v>
      </c>
      <c r="T25" s="611" t="n">
        <v>3</v>
      </c>
      <c r="U25" s="611" t="n">
        <v>0</v>
      </c>
      <c r="V25" s="611" t="n">
        <v>0</v>
      </c>
      <c r="W25" s="611" t="n">
        <v>1</v>
      </c>
      <c r="X25" s="611" t="n">
        <v>-1</v>
      </c>
    </row>
    <row r="26">
      <c r="A26" t="inlineStr">
        <is>
          <t>00000000096438 - CAIXA LACO M MAES/26 BOTI UNIT</t>
        </is>
      </c>
      <c r="B26" s="611" t="n">
        <v>2</v>
      </c>
      <c r="C26" s="611" t="n">
        <v>18</v>
      </c>
      <c r="D26" s="611" t="n">
        <v>-10</v>
      </c>
      <c r="E26" s="611" t="n">
        <v>15</v>
      </c>
      <c r="F26" s="611" t="n">
        <v>-1</v>
      </c>
      <c r="G26" s="611" t="n">
        <v>-1</v>
      </c>
      <c r="H26" s="611" t="n">
        <v>160</v>
      </c>
      <c r="I26" s="611" t="n">
        <v>177</v>
      </c>
      <c r="J26" s="611" t="n">
        <v>53</v>
      </c>
      <c r="K26" s="611" t="n">
        <v>40</v>
      </c>
      <c r="L26" s="611" t="n">
        <v>3</v>
      </c>
      <c r="M26" s="611" t="n">
        <v>49</v>
      </c>
      <c r="N26" s="611" t="n">
        <v>3</v>
      </c>
      <c r="O26" s="611" t="n">
        <v>9</v>
      </c>
      <c r="P26" s="611" t="n">
        <v>6</v>
      </c>
      <c r="Q26" s="611" t="n">
        <v>8</v>
      </c>
      <c r="R26" s="611" t="n">
        <v>5</v>
      </c>
      <c r="S26" s="611" t="n">
        <v>3</v>
      </c>
      <c r="T26" s="611" t="n">
        <v>-1</v>
      </c>
      <c r="U26" s="611" t="n">
        <v>2</v>
      </c>
      <c r="V26" s="611" t="n">
        <v>-2</v>
      </c>
      <c r="W26" s="611" t="n">
        <v>1</v>
      </c>
      <c r="X26" s="611" t="n">
        <v>1</v>
      </c>
    </row>
    <row r="27">
      <c r="A27" t="inlineStr">
        <is>
          <t>00000000096440 - ENVELOPE P MAES 2026 BOTI UNIT</t>
        </is>
      </c>
      <c r="B27" s="611" t="n">
        <v>0</v>
      </c>
      <c r="C27" s="611" t="n">
        <v>0</v>
      </c>
      <c r="D27" s="611" t="n">
        <v>0</v>
      </c>
      <c r="E27" s="611" t="n">
        <v>0</v>
      </c>
      <c r="F27" s="611" t="n">
        <v>0</v>
      </c>
      <c r="G27" s="611" t="n">
        <v>0</v>
      </c>
      <c r="H27" s="611" t="n">
        <v>46</v>
      </c>
      <c r="I27" s="611" t="n">
        <v>22</v>
      </c>
      <c r="J27" s="611" t="n">
        <v>49</v>
      </c>
      <c r="K27" s="611" t="n">
        <v>55</v>
      </c>
      <c r="L27" s="611" t="n">
        <v>69</v>
      </c>
      <c r="M27" s="611" t="n">
        <v>14</v>
      </c>
      <c r="N27" s="611" t="n">
        <v>0</v>
      </c>
      <c r="O27" s="611" t="n">
        <v>22</v>
      </c>
      <c r="P27" s="611" t="n">
        <v>0</v>
      </c>
      <c r="Q27" s="611" t="n">
        <v>0</v>
      </c>
      <c r="R27" s="611" t="n">
        <v>1</v>
      </c>
      <c r="S27" s="611" t="n">
        <v>4</v>
      </c>
      <c r="T27" s="611" t="n">
        <v>-5</v>
      </c>
      <c r="U27" s="611" t="n">
        <v>2</v>
      </c>
      <c r="V27" s="611" t="n">
        <v>-1</v>
      </c>
      <c r="W27" s="611" t="n">
        <v>0</v>
      </c>
      <c r="X27" s="611" t="n">
        <v>0</v>
      </c>
    </row>
    <row r="28">
      <c r="A28" t="inlineStr">
        <is>
          <t>00000000096441 - ENVELOPE M MAES 2026 BOTI UNIT</t>
        </is>
      </c>
      <c r="B28" s="611" t="n">
        <v>0</v>
      </c>
      <c r="C28" s="611" t="n">
        <v>1</v>
      </c>
      <c r="D28" s="611" t="n">
        <v>3</v>
      </c>
      <c r="E28" s="611" t="n">
        <v>-1</v>
      </c>
      <c r="F28" s="611" t="n">
        <v>-2</v>
      </c>
      <c r="G28" s="611" t="n">
        <v>7</v>
      </c>
      <c r="H28" s="611" t="n">
        <v>7</v>
      </c>
      <c r="I28" s="611" t="n">
        <v>20</v>
      </c>
      <c r="J28" s="611" t="n">
        <v>54</v>
      </c>
      <c r="K28" s="611" t="n">
        <v>1</v>
      </c>
      <c r="L28" s="611" t="n">
        <v>6</v>
      </c>
      <c r="M28" s="611" t="n">
        <v>12</v>
      </c>
      <c r="N28" s="611" t="n">
        <v>5</v>
      </c>
      <c r="O28" s="611" t="n">
        <v>94</v>
      </c>
      <c r="P28" s="611" t="n">
        <v>4</v>
      </c>
      <c r="Q28" s="611" t="n">
        <v>0</v>
      </c>
      <c r="R28" s="611" t="n">
        <v>0</v>
      </c>
      <c r="S28" s="611" t="n">
        <v>-2</v>
      </c>
      <c r="T28" s="611" t="n">
        <v>-4</v>
      </c>
      <c r="U28" s="611" t="n">
        <v>1</v>
      </c>
      <c r="V28" s="611" t="n">
        <v>0</v>
      </c>
      <c r="W28" s="611" t="n">
        <v>3</v>
      </c>
      <c r="X28" s="611" t="n">
        <v>1</v>
      </c>
    </row>
    <row r="29">
      <c r="A29" t="inlineStr">
        <is>
          <t>00000000086009 - CAIXA LACO G NAT/24</t>
        </is>
      </c>
      <c r="B29" s="611" t="n">
        <v>1</v>
      </c>
      <c r="C29" s="612" t="n">
        <v>0</v>
      </c>
      <c r="D29" s="612" t="n">
        <v>0</v>
      </c>
      <c r="E29" s="612" t="n">
        <v>0</v>
      </c>
      <c r="F29" s="612" t="n">
        <v>0</v>
      </c>
      <c r="G29" s="612" t="n">
        <v>0</v>
      </c>
      <c r="H29" s="612" t="n">
        <v>0</v>
      </c>
      <c r="I29" s="612" t="n">
        <v>0</v>
      </c>
      <c r="J29" s="612" t="n">
        <v>0</v>
      </c>
      <c r="K29" s="612" t="n">
        <v>0</v>
      </c>
      <c r="L29" s="612" t="n">
        <v>0</v>
      </c>
      <c r="M29" s="612" t="n">
        <v>0</v>
      </c>
      <c r="N29" s="612" t="n">
        <v>0</v>
      </c>
      <c r="O29" s="612" t="n">
        <v>0</v>
      </c>
      <c r="P29" s="612" t="n">
        <v>0</v>
      </c>
      <c r="Q29" s="612" t="n">
        <v>0</v>
      </c>
      <c r="R29" s="612" t="n">
        <v>0</v>
      </c>
      <c r="S29" s="612" t="n">
        <v>0</v>
      </c>
      <c r="T29" s="612" t="n">
        <v>0</v>
      </c>
      <c r="U29" s="612" t="n">
        <v>0</v>
      </c>
      <c r="V29" s="612" t="n">
        <v>0</v>
      </c>
      <c r="W29" s="612" t="n">
        <v>0</v>
      </c>
      <c r="X29" s="612" t="n">
        <v>0</v>
      </c>
    </row>
    <row r="30">
      <c r="A30" t="inlineStr">
        <is>
          <t>00000000096583 - ENVELOPE M AMOR 2026 BOTI UNIT</t>
        </is>
      </c>
      <c r="B30" s="612" t="n">
        <v>300</v>
      </c>
      <c r="C30" s="612" t="n">
        <v>50</v>
      </c>
      <c r="D30" s="612" t="n">
        <v>0</v>
      </c>
      <c r="E30" s="612" t="n">
        <v>100</v>
      </c>
      <c r="F30" s="612" t="n">
        <v>50</v>
      </c>
      <c r="G30" s="612" t="n">
        <v>0</v>
      </c>
      <c r="H30" s="612" t="n">
        <v>100</v>
      </c>
      <c r="I30" s="612" t="n">
        <v>100</v>
      </c>
      <c r="J30" s="612" t="n">
        <v>0</v>
      </c>
      <c r="K30" s="612" t="n">
        <v>50</v>
      </c>
      <c r="L30" s="612" t="n">
        <v>0</v>
      </c>
      <c r="M30" s="612" t="n">
        <v>0</v>
      </c>
      <c r="N30" s="612" t="n">
        <v>0</v>
      </c>
      <c r="O30" s="612" t="n">
        <v>0</v>
      </c>
      <c r="P30" s="612" t="n">
        <v>0</v>
      </c>
      <c r="Q30" s="612" t="n">
        <v>50</v>
      </c>
      <c r="R30" s="612" t="n">
        <v>50</v>
      </c>
      <c r="S30" s="612" t="n">
        <v>50</v>
      </c>
      <c r="T30" s="612" t="n">
        <v>100</v>
      </c>
      <c r="U30" s="612" t="n">
        <v>50</v>
      </c>
      <c r="V30" s="612" t="n">
        <v>50</v>
      </c>
      <c r="W30" s="612" t="n">
        <v>0</v>
      </c>
      <c r="X30" s="612" t="n">
        <v>100</v>
      </c>
    </row>
    <row r="31">
      <c r="A31" s="435" t="inlineStr">
        <is>
          <t>Total</t>
        </is>
      </c>
      <c r="B31" s="613" t="n">
        <v>1276</v>
      </c>
      <c r="C31" s="613" t="n">
        <v>766</v>
      </c>
      <c r="D31" s="613" t="n">
        <v>246</v>
      </c>
      <c r="E31" s="613" t="n">
        <v>2542</v>
      </c>
      <c r="F31" s="613" t="n">
        <v>285</v>
      </c>
      <c r="G31" s="613" t="n">
        <v>347</v>
      </c>
      <c r="H31" s="613" t="n">
        <v>1712</v>
      </c>
      <c r="I31" s="613" t="n">
        <v>1545</v>
      </c>
      <c r="J31" s="613" t="n">
        <v>792</v>
      </c>
      <c r="K31" s="613" t="n">
        <v>1275</v>
      </c>
      <c r="L31" s="613" t="n">
        <v>672</v>
      </c>
      <c r="M31" s="613" t="n">
        <v>788</v>
      </c>
      <c r="N31" s="613" t="n">
        <v>664</v>
      </c>
      <c r="O31" s="613" t="n">
        <v>555</v>
      </c>
      <c r="P31" s="613" t="n">
        <v>580</v>
      </c>
      <c r="Q31" s="613" t="n">
        <v>696</v>
      </c>
      <c r="R31" s="613" t="n">
        <v>901</v>
      </c>
      <c r="S31" s="613" t="n">
        <v>629</v>
      </c>
      <c r="T31" s="613" t="n">
        <v>954</v>
      </c>
      <c r="U31" s="613" t="n">
        <v>264</v>
      </c>
      <c r="V31" s="613" t="n">
        <v>400</v>
      </c>
      <c r="W31" s="613" t="n">
        <v>369</v>
      </c>
      <c r="X31" s="613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21">
    <outlinePr summaryBelow="1" summaryRight="1"/>
    <pageSetUpPr/>
  </sheetPr>
  <dimension ref="A1:X31"/>
  <sheetViews>
    <sheetView topLeftCell="A10" workbookViewId="0">
      <selection activeCell="G18" sqref="G18"/>
    </sheetView>
  </sheetViews>
  <sheetFormatPr baseColWidth="8" defaultRowHeight="15"/>
  <cols>
    <col width="63.42578125" customWidth="1" min="1" max="1"/>
    <col width="5.28515625" customWidth="1" min="2" max="7"/>
    <col hidden="1" width="5.28515625" customWidth="1" min="8" max="24"/>
  </cols>
  <sheetData>
    <row r="1">
      <c r="A1" s="428" t="inlineStr">
        <is>
          <t>Produtos</t>
        </is>
      </c>
      <c r="B1" s="429" t="inlineStr">
        <is>
          <t>12973</t>
        </is>
      </c>
      <c r="C1" s="429" t="inlineStr">
        <is>
          <t>11734</t>
        </is>
      </c>
      <c r="D1" s="429" t="inlineStr">
        <is>
          <t>14462</t>
        </is>
      </c>
      <c r="E1" s="429" t="inlineStr">
        <is>
          <t>5418</t>
        </is>
      </c>
      <c r="F1" s="429" t="inlineStr">
        <is>
          <t>11733</t>
        </is>
      </c>
      <c r="G1" s="429" t="inlineStr">
        <is>
          <t>23012</t>
        </is>
      </c>
      <c r="H1" s="430" t="inlineStr">
        <is>
          <t>6700</t>
        </is>
      </c>
      <c r="I1" s="430" t="inlineStr">
        <is>
          <t>13868</t>
        </is>
      </c>
      <c r="J1" s="430" t="inlineStr">
        <is>
          <t>13370</t>
        </is>
      </c>
      <c r="K1" s="430" t="inlineStr">
        <is>
          <t>20000</t>
        </is>
      </c>
      <c r="L1" s="430" t="inlineStr">
        <is>
          <t>23049</t>
        </is>
      </c>
      <c r="M1" s="430" t="inlineStr">
        <is>
          <t>6727</t>
        </is>
      </c>
      <c r="N1" s="430" t="inlineStr">
        <is>
          <t>12466</t>
        </is>
      </c>
      <c r="O1" s="430" t="inlineStr">
        <is>
          <t>12942</t>
        </is>
      </c>
      <c r="P1" s="431" t="inlineStr">
        <is>
          <t>3822</t>
        </is>
      </c>
      <c r="Q1" s="431" t="inlineStr">
        <is>
          <t>14446</t>
        </is>
      </c>
      <c r="R1" s="431" t="inlineStr">
        <is>
          <t>12066</t>
        </is>
      </c>
      <c r="S1" s="432" t="inlineStr">
        <is>
          <t>23048</t>
        </is>
      </c>
      <c r="T1" s="432" t="inlineStr">
        <is>
          <t>11722</t>
        </is>
      </c>
      <c r="U1" s="432" t="inlineStr">
        <is>
          <t>14553</t>
        </is>
      </c>
      <c r="V1" s="432" t="inlineStr">
        <is>
          <t>7529</t>
        </is>
      </c>
      <c r="W1" s="432" t="inlineStr">
        <is>
          <t>6942</t>
        </is>
      </c>
      <c r="X1" s="432" t="inlineStr">
        <is>
          <t>6954</t>
        </is>
      </c>
    </row>
    <row r="2">
      <c r="A2" t="inlineStr">
        <is>
          <t>00000000089402 - CAIXA PRESENTE P BOT INST/25 VDA</t>
        </is>
      </c>
      <c r="B2" s="611" t="n">
        <v>184</v>
      </c>
      <c r="C2" s="611" t="n">
        <v>182</v>
      </c>
      <c r="D2" s="611" t="n">
        <v>33</v>
      </c>
      <c r="E2" s="611" t="n">
        <v>77</v>
      </c>
      <c r="F2" s="611" t="n">
        <v>16</v>
      </c>
      <c r="G2" s="611" t="n">
        <v>49</v>
      </c>
      <c r="H2" s="611" t="n">
        <v>260</v>
      </c>
      <c r="I2" s="611" t="n">
        <v>254</v>
      </c>
      <c r="J2" s="612" t="n">
        <v>0</v>
      </c>
      <c r="K2" s="612" t="n">
        <v>0</v>
      </c>
      <c r="L2" s="611" t="n">
        <v>158</v>
      </c>
      <c r="M2" s="611" t="n">
        <v>149</v>
      </c>
      <c r="N2" s="611" t="n">
        <v>122</v>
      </c>
      <c r="O2" s="611" t="n">
        <v>150</v>
      </c>
      <c r="P2" s="611" t="n">
        <v>46</v>
      </c>
      <c r="Q2" s="611" t="n">
        <v>208</v>
      </c>
      <c r="R2" s="611" t="n">
        <v>198</v>
      </c>
      <c r="S2" s="611" t="n">
        <v>118</v>
      </c>
      <c r="T2" s="611" t="n">
        <v>217</v>
      </c>
      <c r="U2" s="611" t="n">
        <v>95</v>
      </c>
      <c r="V2" s="611" t="n">
        <v>80</v>
      </c>
      <c r="W2" s="611" t="n">
        <v>100</v>
      </c>
      <c r="X2" s="611" t="n">
        <v>76</v>
      </c>
    </row>
    <row r="3">
      <c r="A3" t="inlineStr">
        <is>
          <t>00000000003517 - CAIXA P INST 2021 VERDE ECONOMICA</t>
        </is>
      </c>
      <c r="B3" s="612" t="n">
        <v>0</v>
      </c>
      <c r="C3" s="612" t="n">
        <v>0</v>
      </c>
      <c r="D3" s="612" t="n">
        <v>-16</v>
      </c>
      <c r="E3" s="612" t="n">
        <v>-1</v>
      </c>
      <c r="F3" s="612" t="n">
        <v>-13</v>
      </c>
      <c r="G3" s="612" t="n">
        <v>-1</v>
      </c>
      <c r="H3" s="612" t="n">
        <v>0</v>
      </c>
      <c r="I3" s="612" t="n">
        <v>0</v>
      </c>
      <c r="J3" s="611" t="n">
        <v>165</v>
      </c>
      <c r="K3" s="611" t="n">
        <v>116</v>
      </c>
      <c r="L3" s="612" t="n">
        <v>0</v>
      </c>
      <c r="M3" s="612" t="n">
        <v>-7</v>
      </c>
      <c r="N3" s="612" t="n">
        <v>0</v>
      </c>
      <c r="O3" s="611" t="n">
        <v>16</v>
      </c>
      <c r="P3" s="612" t="n">
        <v>0</v>
      </c>
      <c r="Q3" s="612" t="n">
        <v>0</v>
      </c>
      <c r="R3" s="612" t="n">
        <v>0</v>
      </c>
      <c r="S3" s="611" t="n">
        <v>1</v>
      </c>
      <c r="T3" s="612" t="n">
        <v>0</v>
      </c>
      <c r="U3" s="612" t="n">
        <v>0</v>
      </c>
      <c r="V3" s="612" t="n">
        <v>0</v>
      </c>
      <c r="W3" s="612" t="n">
        <v>0</v>
      </c>
      <c r="X3" s="612" t="n">
        <v>0</v>
      </c>
    </row>
    <row r="4">
      <c r="A4" t="inlineStr">
        <is>
          <t>00000000089401 - CX PRESENTE M BOTI INST/25 VDA</t>
        </is>
      </c>
      <c r="B4" s="611" t="n">
        <v>295</v>
      </c>
      <c r="C4" s="611" t="n">
        <v>300</v>
      </c>
      <c r="D4" s="611" t="n">
        <v>95</v>
      </c>
      <c r="E4" s="611" t="n">
        <v>99</v>
      </c>
      <c r="F4" s="611" t="n">
        <v>66</v>
      </c>
      <c r="G4" s="611" t="n">
        <v>123</v>
      </c>
      <c r="H4" s="611" t="n">
        <v>307</v>
      </c>
      <c r="I4" s="611" t="n">
        <v>141</v>
      </c>
      <c r="J4" s="611" t="n">
        <v>185</v>
      </c>
      <c r="K4" s="611" t="n">
        <v>266</v>
      </c>
      <c r="L4" s="611" t="n">
        <v>143</v>
      </c>
      <c r="M4" s="611" t="n">
        <v>190</v>
      </c>
      <c r="N4" s="611" t="n">
        <v>235</v>
      </c>
      <c r="O4" s="611" t="n">
        <v>68</v>
      </c>
      <c r="P4" s="611" t="n">
        <v>67</v>
      </c>
      <c r="Q4" s="611" t="n">
        <v>253</v>
      </c>
      <c r="R4" s="611" t="n">
        <v>248</v>
      </c>
      <c r="S4" s="611" t="n">
        <v>191</v>
      </c>
      <c r="T4" s="611" t="n">
        <v>130</v>
      </c>
      <c r="U4" s="611" t="n">
        <v>27</v>
      </c>
      <c r="V4" s="611" t="n">
        <v>76</v>
      </c>
      <c r="W4" s="611" t="n">
        <v>65</v>
      </c>
      <c r="X4" s="611" t="n">
        <v>27</v>
      </c>
    </row>
    <row r="5">
      <c r="A5" t="inlineStr">
        <is>
          <t>00000000003530 - CAIXA M INST 2021 VERDE ECONOMICA</t>
        </is>
      </c>
      <c r="B5" s="612" t="n">
        <v>0</v>
      </c>
      <c r="C5" s="612" t="n">
        <v>0</v>
      </c>
      <c r="D5" s="612" t="n">
        <v>-2</v>
      </c>
      <c r="E5" s="612" t="n">
        <v>0</v>
      </c>
      <c r="F5" s="612" t="n">
        <v>0</v>
      </c>
      <c r="G5" s="612" t="n">
        <v>0</v>
      </c>
      <c r="H5" s="612" t="n">
        <v>0</v>
      </c>
      <c r="I5" s="611" t="n">
        <v>4</v>
      </c>
      <c r="J5" s="612" t="n">
        <v>0</v>
      </c>
      <c r="K5" s="612" t="n">
        <v>0</v>
      </c>
      <c r="L5" s="612" t="n">
        <v>0</v>
      </c>
      <c r="M5" s="612" t="n">
        <v>0</v>
      </c>
      <c r="N5" s="612" t="n">
        <v>0</v>
      </c>
      <c r="O5" s="612" t="n">
        <v>0</v>
      </c>
      <c r="P5" s="612" t="n">
        <v>0</v>
      </c>
      <c r="Q5" s="611" t="n">
        <v>0</v>
      </c>
      <c r="R5" s="612" t="n">
        <v>0</v>
      </c>
      <c r="S5" s="611" t="n">
        <v>2</v>
      </c>
      <c r="T5" s="612" t="n">
        <v>0</v>
      </c>
      <c r="U5" s="612" t="n">
        <v>0</v>
      </c>
      <c r="V5" s="612" t="n">
        <v>0</v>
      </c>
      <c r="W5" s="612" t="n">
        <v>0</v>
      </c>
      <c r="X5" s="612" t="n">
        <v>0</v>
      </c>
    </row>
    <row r="6">
      <c r="A6" t="inlineStr">
        <is>
          <t>00000000003554 - CAIXA G INST 2021 VERDE ECONOMICA</t>
        </is>
      </c>
      <c r="B6" s="611" t="n">
        <v>51</v>
      </c>
      <c r="C6" s="611" t="n">
        <v>45</v>
      </c>
      <c r="D6" s="611" t="n">
        <v>1</v>
      </c>
      <c r="E6" s="611" t="n">
        <v>2</v>
      </c>
      <c r="F6" s="611" t="n">
        <v>19</v>
      </c>
      <c r="G6" s="611" t="n">
        <v>28</v>
      </c>
      <c r="H6" s="611" t="n">
        <v>20</v>
      </c>
      <c r="I6" s="611" t="n">
        <v>20</v>
      </c>
      <c r="J6" s="611" t="n">
        <v>68</v>
      </c>
      <c r="K6" s="611" t="n">
        <v>8</v>
      </c>
      <c r="L6" s="611" t="n">
        <v>-4</v>
      </c>
      <c r="M6" s="611" t="n">
        <v>46</v>
      </c>
      <c r="N6" s="611" t="n">
        <v>11</v>
      </c>
      <c r="O6" s="611" t="n">
        <v>8</v>
      </c>
      <c r="P6" s="611" t="n">
        <v>17</v>
      </c>
      <c r="Q6" s="611" t="n">
        <v>13</v>
      </c>
      <c r="R6" s="611" t="n">
        <v>47</v>
      </c>
      <c r="S6" s="611" t="n">
        <v>17</v>
      </c>
      <c r="T6" s="611" t="n">
        <v>57</v>
      </c>
      <c r="U6" s="611" t="n">
        <v>12</v>
      </c>
      <c r="V6" s="611" t="n">
        <v>5</v>
      </c>
      <c r="W6" s="611" t="n">
        <v>4</v>
      </c>
      <c r="X6" s="611" t="n">
        <v>8</v>
      </c>
    </row>
    <row r="7">
      <c r="A7" t="inlineStr">
        <is>
          <t>00000000089400 - ENVELOPE PRESENTE M BOTI INST/25 VDA</t>
        </is>
      </c>
      <c r="B7" s="612" t="n">
        <v>0</v>
      </c>
      <c r="C7" s="612" t="n">
        <v>0</v>
      </c>
      <c r="D7" s="612" t="n">
        <v>0</v>
      </c>
      <c r="E7" s="612" t="n">
        <v>0</v>
      </c>
      <c r="F7" s="612" t="n">
        <v>0</v>
      </c>
      <c r="G7" s="612" t="n">
        <v>0</v>
      </c>
      <c r="H7" s="611" t="n">
        <v>216</v>
      </c>
      <c r="I7" s="611" t="n">
        <v>272</v>
      </c>
      <c r="J7" s="611" t="n">
        <v>85</v>
      </c>
      <c r="K7" s="611" t="n">
        <v>450</v>
      </c>
      <c r="L7" s="611" t="n">
        <v>130</v>
      </c>
      <c r="M7" s="611" t="n">
        <v>57</v>
      </c>
      <c r="N7" s="611" t="n">
        <v>175</v>
      </c>
      <c r="O7" s="611" t="n">
        <v>23</v>
      </c>
      <c r="P7" s="611" t="n">
        <v>110</v>
      </c>
      <c r="Q7" s="611" t="n">
        <v>111</v>
      </c>
      <c r="R7" s="611" t="n">
        <v>168</v>
      </c>
      <c r="S7" s="611" t="n">
        <v>0</v>
      </c>
      <c r="T7" s="611" t="n">
        <v>-3</v>
      </c>
      <c r="U7" s="611" t="n">
        <v>1</v>
      </c>
      <c r="V7" s="611" t="n">
        <v>40</v>
      </c>
      <c r="W7" s="611" t="n">
        <v>0</v>
      </c>
      <c r="X7" s="611" t="n">
        <v>0</v>
      </c>
    </row>
    <row r="8">
      <c r="A8" t="inlineStr">
        <is>
          <t>00000000086027 - CAIXA DIVERTIDAMENTE M INFANTIL 2024</t>
        </is>
      </c>
      <c r="B8" s="611" t="n">
        <v>12</v>
      </c>
      <c r="C8" s="612" t="n">
        <v>0</v>
      </c>
      <c r="D8" s="612" t="n">
        <v>0</v>
      </c>
      <c r="E8" s="612" t="n">
        <v>0</v>
      </c>
      <c r="F8" s="612" t="n">
        <v>3</v>
      </c>
      <c r="G8" s="612" t="n">
        <v>4</v>
      </c>
      <c r="H8" s="611" t="n">
        <v>359</v>
      </c>
      <c r="I8" s="611" t="n">
        <v>272</v>
      </c>
      <c r="J8" s="611" t="n">
        <v>66</v>
      </c>
      <c r="K8" s="611" t="n">
        <v>146</v>
      </c>
      <c r="L8" s="611" t="n">
        <v>118</v>
      </c>
      <c r="M8" s="611" t="n">
        <v>170</v>
      </c>
      <c r="N8" s="611" t="n">
        <v>91</v>
      </c>
      <c r="O8" s="611" t="n">
        <v>133</v>
      </c>
      <c r="P8" s="611" t="n">
        <v>39</v>
      </c>
      <c r="Q8" s="611" t="n">
        <v>0</v>
      </c>
      <c r="R8" s="611" t="n">
        <v>80</v>
      </c>
      <c r="S8" s="611" t="n">
        <v>188</v>
      </c>
      <c r="T8" s="611" t="n">
        <v>347</v>
      </c>
      <c r="U8" s="611" t="n">
        <v>18</v>
      </c>
      <c r="V8" s="611" t="n">
        <v>102</v>
      </c>
      <c r="W8" s="611" t="n">
        <v>124</v>
      </c>
      <c r="X8" s="611" t="n">
        <v>15</v>
      </c>
    </row>
    <row r="9">
      <c r="A9" t="inlineStr">
        <is>
          <t>00000000087691 - COLECIONAV BOT NAT/24 CONE ARVORE UNIT</t>
        </is>
      </c>
      <c r="B9" s="611" t="n">
        <v>97</v>
      </c>
      <c r="C9" s="611" t="n">
        <v>12</v>
      </c>
      <c r="D9" s="611" t="n">
        <v>68</v>
      </c>
      <c r="E9" s="612" t="n">
        <v>0</v>
      </c>
      <c r="F9" s="612" t="n">
        <v>0</v>
      </c>
      <c r="G9" s="612" t="n">
        <v>0</v>
      </c>
      <c r="H9" s="612" t="n">
        <v>0</v>
      </c>
      <c r="I9" s="612" t="n">
        <v>0</v>
      </c>
      <c r="J9" s="612" t="n">
        <v>0</v>
      </c>
      <c r="K9" s="612" t="n">
        <v>0</v>
      </c>
      <c r="L9" s="612" t="n">
        <v>3</v>
      </c>
      <c r="M9" s="612" t="n">
        <v>8</v>
      </c>
      <c r="N9" s="612" t="n">
        <v>2</v>
      </c>
      <c r="O9" s="612" t="n">
        <v>8</v>
      </c>
      <c r="P9" s="612" t="n">
        <v>0</v>
      </c>
      <c r="Q9" s="612" t="n">
        <v>0</v>
      </c>
      <c r="R9" s="612" t="n">
        <v>0</v>
      </c>
      <c r="S9" s="612" t="n">
        <v>0</v>
      </c>
      <c r="T9" s="612" t="n">
        <v>0</v>
      </c>
      <c r="U9" s="612" t="n">
        <v>0</v>
      </c>
      <c r="V9" s="612" t="n">
        <v>0</v>
      </c>
      <c r="W9" s="612" t="n">
        <v>0</v>
      </c>
      <c r="X9" s="612" t="n">
        <v>0</v>
      </c>
    </row>
    <row r="10">
      <c r="A10" t="inlineStr">
        <is>
          <t>00000000087694 - COLECIONAVEIS BOT NAT/24 BOLA UNITARIA</t>
        </is>
      </c>
      <c r="B10" s="611" t="n">
        <v>2</v>
      </c>
      <c r="C10" s="611" t="n">
        <v>5</v>
      </c>
      <c r="D10" s="611" t="n">
        <v>7</v>
      </c>
      <c r="E10" s="612" t="n">
        <v>0</v>
      </c>
      <c r="F10" s="612" t="n">
        <v>0</v>
      </c>
      <c r="G10" s="612" t="n">
        <v>0</v>
      </c>
      <c r="H10" s="612" t="n">
        <v>0</v>
      </c>
      <c r="I10" s="612" t="n">
        <v>0</v>
      </c>
      <c r="J10" s="612" t="n">
        <v>0</v>
      </c>
      <c r="K10" s="612" t="n">
        <v>0</v>
      </c>
      <c r="L10" s="612" t="n">
        <v>6</v>
      </c>
      <c r="M10" s="612" t="n">
        <v>6</v>
      </c>
      <c r="N10" s="612" t="n">
        <v>1</v>
      </c>
      <c r="O10" s="612" t="n">
        <v>0</v>
      </c>
      <c r="P10" s="612" t="n">
        <v>0</v>
      </c>
      <c r="Q10" s="612" t="n">
        <v>0</v>
      </c>
      <c r="R10" s="612" t="n">
        <v>0</v>
      </c>
      <c r="S10" s="612" t="n">
        <v>0</v>
      </c>
      <c r="T10" s="612" t="n">
        <v>0</v>
      </c>
      <c r="U10" s="612" t="n">
        <v>0</v>
      </c>
      <c r="V10" s="612" t="n">
        <v>0</v>
      </c>
      <c r="W10" s="611" t="n">
        <v>2</v>
      </c>
      <c r="X10" s="612" t="n">
        <v>0</v>
      </c>
    </row>
    <row r="11">
      <c r="A11" t="inlineStr">
        <is>
          <t>00000000090774 - PIN MELHOR PAI O BOTICARIO PAIS/25 UNIT</t>
        </is>
      </c>
      <c r="B11" s="612" t="n">
        <v>0</v>
      </c>
      <c r="C11" s="612" t="n">
        <v>0</v>
      </c>
      <c r="D11" s="612" t="n">
        <v>0</v>
      </c>
      <c r="E11" s="612" t="n">
        <v>0</v>
      </c>
      <c r="F11" s="612" t="n">
        <v>0</v>
      </c>
      <c r="G11" s="612" t="n">
        <v>0</v>
      </c>
      <c r="H11" s="612" t="n">
        <v>0</v>
      </c>
      <c r="I11" s="612" t="n">
        <v>0</v>
      </c>
      <c r="J11" s="612" t="n">
        <v>0</v>
      </c>
      <c r="K11" s="612" t="n">
        <v>0</v>
      </c>
      <c r="L11" s="612" t="n">
        <v>0</v>
      </c>
      <c r="M11" s="612" t="n">
        <v>0</v>
      </c>
      <c r="N11" s="612" t="n">
        <v>0</v>
      </c>
      <c r="O11" s="612" t="n">
        <v>0</v>
      </c>
      <c r="P11" s="611" t="n">
        <v>15</v>
      </c>
      <c r="Q11" s="612" t="n">
        <v>0</v>
      </c>
      <c r="R11" s="612" t="n">
        <v>0</v>
      </c>
      <c r="S11" s="612" t="n">
        <v>0</v>
      </c>
      <c r="T11" s="612" t="n">
        <v>0</v>
      </c>
      <c r="U11" s="612" t="n">
        <v>0</v>
      </c>
      <c r="V11" s="612" t="n">
        <v>0</v>
      </c>
      <c r="W11" s="612" t="n">
        <v>0</v>
      </c>
      <c r="X11" s="612" t="n">
        <v>0</v>
      </c>
    </row>
    <row r="12">
      <c r="A12" t="inlineStr">
        <is>
          <t>00000000090770 - PIN BALAO O BOTICARIO PAIS/25 UNIT</t>
        </is>
      </c>
      <c r="B12" s="612" t="n">
        <v>0</v>
      </c>
      <c r="C12" s="612" t="n">
        <v>0</v>
      </c>
      <c r="D12" s="612" t="n">
        <v>0</v>
      </c>
      <c r="E12" s="612" t="n">
        <v>0</v>
      </c>
      <c r="F12" s="612" t="n">
        <v>0</v>
      </c>
      <c r="G12" s="612" t="n">
        <v>0</v>
      </c>
      <c r="H12" s="612" t="n">
        <v>0</v>
      </c>
      <c r="I12" s="612" t="n">
        <v>0</v>
      </c>
      <c r="J12" s="612" t="n">
        <v>0</v>
      </c>
      <c r="K12" s="612" t="n">
        <v>0</v>
      </c>
      <c r="L12" s="612" t="n">
        <v>0</v>
      </c>
      <c r="M12" s="612" t="n">
        <v>0</v>
      </c>
      <c r="N12" s="612" t="n">
        <v>0</v>
      </c>
      <c r="O12" s="612" t="n">
        <v>0</v>
      </c>
      <c r="P12" s="611" t="n">
        <v>10</v>
      </c>
      <c r="Q12" s="612" t="n">
        <v>0</v>
      </c>
      <c r="R12" s="612" t="n">
        <v>0</v>
      </c>
      <c r="S12" s="612" t="n">
        <v>0</v>
      </c>
      <c r="T12" s="612" t="n">
        <v>0</v>
      </c>
      <c r="U12" s="612" t="n">
        <v>0</v>
      </c>
      <c r="V12" s="612" t="n">
        <v>0</v>
      </c>
      <c r="W12" s="612" t="n">
        <v>0</v>
      </c>
      <c r="X12" s="612" t="n">
        <v>0</v>
      </c>
    </row>
    <row r="13">
      <c r="A13" t="inlineStr">
        <is>
          <t>00000000090772 - PIN AMOR O BOTICARIO PAIS/25 UNIT</t>
        </is>
      </c>
      <c r="B13" s="612" t="n">
        <v>0</v>
      </c>
      <c r="C13" s="612" t="n">
        <v>0</v>
      </c>
      <c r="D13" s="612" t="n">
        <v>0</v>
      </c>
      <c r="E13" s="612" t="n">
        <v>0</v>
      </c>
      <c r="F13" s="612" t="n">
        <v>0</v>
      </c>
      <c r="G13" s="612" t="n">
        <v>0</v>
      </c>
      <c r="H13" s="612" t="n">
        <v>0</v>
      </c>
      <c r="I13" s="612" t="n">
        <v>0</v>
      </c>
      <c r="J13" s="612" t="n">
        <v>0</v>
      </c>
      <c r="K13" s="612" t="n">
        <v>0</v>
      </c>
      <c r="L13" s="612" t="n">
        <v>0</v>
      </c>
      <c r="M13" s="612" t="n">
        <v>0</v>
      </c>
      <c r="N13" s="612" t="n">
        <v>0</v>
      </c>
      <c r="O13" s="612" t="n">
        <v>0</v>
      </c>
      <c r="P13" s="611" t="n">
        <v>13</v>
      </c>
      <c r="Q13" s="612" t="n">
        <v>0</v>
      </c>
      <c r="R13" s="612" t="n">
        <v>0</v>
      </c>
      <c r="S13" s="612" t="n">
        <v>0</v>
      </c>
      <c r="T13" s="612" t="n">
        <v>0</v>
      </c>
      <c r="U13" s="612" t="n">
        <v>0</v>
      </c>
      <c r="V13" s="612" t="n">
        <v>0</v>
      </c>
      <c r="W13" s="612" t="n">
        <v>0</v>
      </c>
      <c r="X13" s="612" t="n">
        <v>0</v>
      </c>
    </row>
    <row r="14">
      <c r="A14" t="inlineStr">
        <is>
          <t>00000000090821 - SACOLA P BOTICARIO INST/25</t>
        </is>
      </c>
      <c r="B14" s="612" t="n">
        <v>0</v>
      </c>
      <c r="C14" s="612" t="n">
        <v>0</v>
      </c>
      <c r="D14" s="612" t="n">
        <v>0</v>
      </c>
      <c r="E14" s="612" t="n">
        <v>800</v>
      </c>
      <c r="F14" s="612" t="n">
        <v>0</v>
      </c>
      <c r="G14" s="612" t="n">
        <v>0</v>
      </c>
      <c r="H14" s="612" t="n">
        <v>0</v>
      </c>
      <c r="I14" s="612" t="n">
        <v>0</v>
      </c>
      <c r="J14" s="612" t="n">
        <v>0</v>
      </c>
      <c r="K14" s="612" t="n">
        <v>0</v>
      </c>
      <c r="L14" s="612" t="n">
        <v>0</v>
      </c>
      <c r="M14" s="612" t="n">
        <v>0</v>
      </c>
      <c r="N14" s="612" t="n">
        <v>0</v>
      </c>
      <c r="O14" s="612" t="n">
        <v>0</v>
      </c>
      <c r="P14" s="612" t="n">
        <v>0</v>
      </c>
      <c r="Q14" s="612" t="n">
        <v>0</v>
      </c>
      <c r="R14" s="612" t="n">
        <v>0</v>
      </c>
      <c r="S14" s="612" t="n">
        <v>0</v>
      </c>
      <c r="T14" s="612" t="n">
        <v>0</v>
      </c>
      <c r="U14" s="612" t="n">
        <v>0</v>
      </c>
      <c r="V14" s="612" t="n">
        <v>0</v>
      </c>
      <c r="W14" s="612" t="n">
        <v>0</v>
      </c>
      <c r="X14" s="612" t="n">
        <v>0</v>
      </c>
    </row>
    <row r="15">
      <c r="A15" t="inlineStr">
        <is>
          <t>00000000090822 - SACOLA M BOTICARIO INST/25</t>
        </is>
      </c>
      <c r="B15" s="612" t="n">
        <v>0</v>
      </c>
      <c r="C15" s="612" t="n">
        <v>0</v>
      </c>
      <c r="D15" s="612" t="n">
        <v>0</v>
      </c>
      <c r="E15" s="612" t="n">
        <v>400</v>
      </c>
      <c r="F15" s="612" t="n">
        <v>0</v>
      </c>
      <c r="G15" s="612" t="n">
        <v>0</v>
      </c>
      <c r="H15" s="612" t="n">
        <v>0</v>
      </c>
      <c r="I15" s="612" t="n">
        <v>0</v>
      </c>
      <c r="J15" s="612" t="n">
        <v>0</v>
      </c>
      <c r="K15" s="612" t="n">
        <v>0</v>
      </c>
      <c r="L15" s="612" t="n">
        <v>0</v>
      </c>
      <c r="M15" s="612" t="n">
        <v>0</v>
      </c>
      <c r="N15" s="612" t="n">
        <v>0</v>
      </c>
      <c r="O15" s="612" t="n">
        <v>0</v>
      </c>
      <c r="P15" s="612" t="n">
        <v>0</v>
      </c>
      <c r="Q15" s="612" t="n">
        <v>0</v>
      </c>
      <c r="R15" s="612" t="n">
        <v>0</v>
      </c>
      <c r="S15" s="612" t="n">
        <v>0</v>
      </c>
      <c r="T15" s="612" t="n">
        <v>0</v>
      </c>
      <c r="U15" s="612" t="n">
        <v>0</v>
      </c>
      <c r="V15" s="612" t="n">
        <v>0</v>
      </c>
      <c r="W15" s="612" t="n">
        <v>0</v>
      </c>
      <c r="X15" s="612" t="n">
        <v>0</v>
      </c>
    </row>
    <row r="16">
      <c r="A16" t="inlineStr">
        <is>
          <t>00000000094389 - PAPEL SEDA BOTI INSTIT 2025 UNIT</t>
        </is>
      </c>
      <c r="B16" s="612" t="n">
        <v>0</v>
      </c>
      <c r="C16" s="612" t="n">
        <v>0</v>
      </c>
      <c r="D16" s="612" t="n">
        <v>0</v>
      </c>
      <c r="E16" s="612" t="n">
        <v>800</v>
      </c>
      <c r="F16" s="612" t="n">
        <v>0</v>
      </c>
      <c r="G16" s="612" t="n">
        <v>0</v>
      </c>
      <c r="H16" s="612" t="n">
        <v>0</v>
      </c>
      <c r="I16" s="612" t="n">
        <v>0</v>
      </c>
      <c r="J16" s="612" t="n">
        <v>0</v>
      </c>
      <c r="K16" s="612" t="n">
        <v>0</v>
      </c>
      <c r="L16" s="612" t="n">
        <v>0</v>
      </c>
      <c r="M16" s="612" t="n">
        <v>0</v>
      </c>
      <c r="N16" s="612" t="n">
        <v>0</v>
      </c>
      <c r="O16" s="612" t="n">
        <v>0</v>
      </c>
      <c r="P16" s="612" t="n">
        <v>0</v>
      </c>
      <c r="Q16" s="612" t="n">
        <v>0</v>
      </c>
      <c r="R16" s="612" t="n">
        <v>0</v>
      </c>
      <c r="S16" s="612" t="n">
        <v>0</v>
      </c>
      <c r="T16" s="612" t="n">
        <v>0</v>
      </c>
      <c r="U16" s="612" t="n">
        <v>0</v>
      </c>
      <c r="V16" s="612" t="n">
        <v>0</v>
      </c>
      <c r="W16" s="612" t="n">
        <v>0</v>
      </c>
      <c r="X16" s="612" t="n">
        <v>0</v>
      </c>
    </row>
    <row r="17">
      <c r="A17" t="inlineStr">
        <is>
          <t>00000000094802 - CAIXA LAÃ‡O M BOTI DORAMA 2025 UNIT</t>
        </is>
      </c>
      <c r="B17" s="612" t="n">
        <v>0</v>
      </c>
      <c r="C17" s="612" t="n">
        <v>0</v>
      </c>
      <c r="D17" s="612" t="n">
        <v>0</v>
      </c>
      <c r="E17" s="612" t="n">
        <v>0</v>
      </c>
      <c r="F17" s="612" t="n">
        <v>0</v>
      </c>
      <c r="G17" s="612" t="n">
        <v>0</v>
      </c>
      <c r="H17" s="612" t="n">
        <v>0</v>
      </c>
      <c r="I17" s="612" t="n">
        <v>0</v>
      </c>
      <c r="J17" s="612" t="n">
        <v>0</v>
      </c>
      <c r="K17" s="612" t="n">
        <v>0</v>
      </c>
      <c r="L17" s="612" t="n">
        <v>0</v>
      </c>
      <c r="M17" s="612" t="n">
        <v>0</v>
      </c>
      <c r="N17" s="612" t="n">
        <v>0</v>
      </c>
      <c r="O17" s="612" t="n">
        <v>0</v>
      </c>
      <c r="P17" s="612" t="n">
        <v>0</v>
      </c>
      <c r="Q17" s="612" t="n">
        <v>0</v>
      </c>
      <c r="R17" s="612" t="n">
        <v>0</v>
      </c>
      <c r="S17" s="612" t="n">
        <v>0</v>
      </c>
      <c r="T17" s="611" t="n">
        <v>8</v>
      </c>
      <c r="U17" s="612" t="n">
        <v>0</v>
      </c>
      <c r="V17" s="612" t="n">
        <v>0</v>
      </c>
      <c r="W17" s="611" t="n">
        <v>8</v>
      </c>
      <c r="X17" s="612" t="n">
        <v>0</v>
      </c>
    </row>
    <row r="18">
      <c r="A18" t="inlineStr">
        <is>
          <t>00000000094682 - CAIXA LACO M BOTI ARANHA 2025 UNIT</t>
        </is>
      </c>
      <c r="B18" s="612" t="n">
        <v>11</v>
      </c>
      <c r="C18" s="612" t="n">
        <v>0</v>
      </c>
      <c r="D18" s="612" t="n">
        <v>0</v>
      </c>
      <c r="E18" s="612" t="n">
        <v>0</v>
      </c>
      <c r="F18" s="612" t="n">
        <v>0</v>
      </c>
      <c r="G18" s="612" t="n">
        <v>4</v>
      </c>
      <c r="H18" s="612" t="n">
        <v>0</v>
      </c>
      <c r="I18" s="612" t="n">
        <v>7</v>
      </c>
      <c r="J18" s="612" t="n">
        <v>2</v>
      </c>
      <c r="K18" s="612" t="n">
        <v>0</v>
      </c>
      <c r="L18" s="612" t="n">
        <v>1</v>
      </c>
      <c r="M18" s="612" t="n">
        <v>1</v>
      </c>
      <c r="N18" s="612" t="n">
        <v>7</v>
      </c>
      <c r="O18" s="612" t="n">
        <v>0</v>
      </c>
      <c r="P18" s="612" t="n">
        <v>0</v>
      </c>
      <c r="Q18" s="612" t="n">
        <v>0</v>
      </c>
      <c r="R18" s="611" t="n">
        <v>4</v>
      </c>
      <c r="S18" s="612" t="n">
        <v>0</v>
      </c>
      <c r="T18" s="611" t="n">
        <v>11</v>
      </c>
      <c r="U18" s="611" t="n">
        <v>5</v>
      </c>
      <c r="V18" s="612" t="n">
        <v>0</v>
      </c>
      <c r="W18" s="611" t="n">
        <v>4</v>
      </c>
      <c r="X18" s="612" t="n">
        <v>0</v>
      </c>
    </row>
    <row r="19">
      <c r="A19" t="inlineStr">
        <is>
          <t>00000000094775 - CAIXA LACO P NATAL 2025 BOTI UNIT</t>
        </is>
      </c>
      <c r="B19" s="612" t="n">
        <v>0</v>
      </c>
      <c r="C19" s="612" t="n">
        <v>0</v>
      </c>
      <c r="D19" s="612" t="n">
        <v>0</v>
      </c>
      <c r="E19" s="612" t="n">
        <v>0</v>
      </c>
      <c r="F19" s="612" t="n">
        <v>0</v>
      </c>
      <c r="G19" s="611" t="n">
        <v>19</v>
      </c>
      <c r="H19" s="612" t="n">
        <v>0</v>
      </c>
      <c r="I19" s="612" t="n">
        <v>0</v>
      </c>
      <c r="J19" s="612" t="n">
        <v>4</v>
      </c>
      <c r="K19" s="612" t="n">
        <v>0</v>
      </c>
      <c r="L19" s="612" t="n">
        <v>0</v>
      </c>
      <c r="M19" s="611" t="n">
        <v>4</v>
      </c>
      <c r="N19" s="612" t="n">
        <v>0</v>
      </c>
      <c r="O19" s="612" t="n">
        <v>0</v>
      </c>
      <c r="P19" s="611" t="n">
        <v>90</v>
      </c>
      <c r="Q19" s="612" t="n">
        <v>0</v>
      </c>
      <c r="R19" s="611" t="n">
        <v>40</v>
      </c>
      <c r="S19" s="612" t="n">
        <v>0</v>
      </c>
      <c r="T19" s="611" t="n">
        <v>3</v>
      </c>
      <c r="U19" s="612" t="n">
        <v>0</v>
      </c>
      <c r="V19" s="612" t="n">
        <v>0</v>
      </c>
      <c r="W19" s="611" t="n">
        <v>15</v>
      </c>
      <c r="X19" s="612" t="n">
        <v>0</v>
      </c>
    </row>
    <row r="20">
      <c r="A20" t="inlineStr">
        <is>
          <t>00000000094776 - CAIXA LACO M NATAL 2025 BOTI UNIT</t>
        </is>
      </c>
      <c r="B20" s="612" t="n">
        <v>0</v>
      </c>
      <c r="C20" s="612" t="n">
        <v>0</v>
      </c>
      <c r="D20" s="612" t="n">
        <v>1</v>
      </c>
      <c r="E20" s="612" t="n">
        <v>0</v>
      </c>
      <c r="F20" s="612" t="n">
        <v>0</v>
      </c>
      <c r="G20" s="611" t="n">
        <v>5</v>
      </c>
      <c r="H20" s="612" t="n">
        <v>0</v>
      </c>
      <c r="I20" s="612" t="n">
        <v>3</v>
      </c>
      <c r="J20" s="612" t="n">
        <v>7</v>
      </c>
      <c r="K20" s="612" t="n">
        <v>0</v>
      </c>
      <c r="L20" s="612" t="n">
        <v>0</v>
      </c>
      <c r="M20" s="612" t="n">
        <v>0</v>
      </c>
      <c r="N20" s="612" t="n">
        <v>0</v>
      </c>
      <c r="O20" s="611" t="n">
        <v>1</v>
      </c>
      <c r="P20" s="611" t="n">
        <v>162</v>
      </c>
      <c r="Q20" s="612" t="n">
        <v>0</v>
      </c>
      <c r="R20" s="612" t="n">
        <v>0</v>
      </c>
      <c r="S20" s="612" t="n">
        <v>0</v>
      </c>
      <c r="T20" s="611" t="n">
        <v>31</v>
      </c>
      <c r="U20" s="612" t="n">
        <v>0</v>
      </c>
      <c r="V20" s="612" t="n">
        <v>0</v>
      </c>
      <c r="W20" s="611" t="n">
        <v>41</v>
      </c>
      <c r="X20" s="612" t="n">
        <v>0</v>
      </c>
    </row>
    <row r="21">
      <c r="A21" t="inlineStr">
        <is>
          <t>00000000094777 - CAIXA LACO G NATAL 2025 BOTI UNIT</t>
        </is>
      </c>
      <c r="B21" s="611" t="n">
        <v>4</v>
      </c>
      <c r="C21" s="611" t="n">
        <v>3</v>
      </c>
      <c r="D21" s="612" t="n">
        <v>0</v>
      </c>
      <c r="E21" s="612" t="n">
        <v>0</v>
      </c>
      <c r="F21" s="612" t="n">
        <v>0</v>
      </c>
      <c r="G21" s="611" t="n">
        <v>9</v>
      </c>
      <c r="H21" s="612" t="n">
        <v>0</v>
      </c>
      <c r="I21" s="612" t="n">
        <v>0</v>
      </c>
      <c r="J21" s="612" t="n">
        <v>0</v>
      </c>
      <c r="K21" s="612" t="n">
        <v>0</v>
      </c>
      <c r="L21" s="612" t="n">
        <v>0</v>
      </c>
      <c r="M21" s="612" t="n">
        <v>0</v>
      </c>
      <c r="N21" s="612" t="n">
        <v>0</v>
      </c>
      <c r="O21" s="612" t="n">
        <v>0</v>
      </c>
      <c r="P21" s="612" t="n">
        <v>0</v>
      </c>
      <c r="Q21" s="612" t="n">
        <v>0</v>
      </c>
      <c r="R21" s="612" t="n">
        <v>0</v>
      </c>
      <c r="S21" s="612" t="n">
        <v>0</v>
      </c>
      <c r="T21" s="612" t="n">
        <v>0</v>
      </c>
      <c r="U21" s="612" t="n">
        <v>0</v>
      </c>
      <c r="V21" s="612" t="n">
        <v>0</v>
      </c>
      <c r="W21" s="612" t="n">
        <v>0</v>
      </c>
      <c r="X21" s="612" t="n">
        <v>0</v>
      </c>
    </row>
    <row r="22">
      <c r="A22" t="inlineStr">
        <is>
          <t>00000000094778 - ENVELOPE P NATAL 2025 BOT UNIT</t>
        </is>
      </c>
      <c r="B22" s="612" t="n">
        <v>0</v>
      </c>
      <c r="C22" s="612" t="n">
        <v>0</v>
      </c>
      <c r="D22" s="612" t="n">
        <v>0</v>
      </c>
      <c r="E22" s="612" t="n">
        <v>0</v>
      </c>
      <c r="F22" s="612" t="n">
        <v>0</v>
      </c>
      <c r="G22" s="612" t="n">
        <v>0</v>
      </c>
      <c r="H22" s="612" t="n">
        <v>0</v>
      </c>
      <c r="I22" s="612" t="n">
        <v>0</v>
      </c>
      <c r="J22" s="612" t="n">
        <v>0</v>
      </c>
      <c r="K22" s="612" t="n">
        <v>0</v>
      </c>
      <c r="L22" s="611" t="n">
        <v>35</v>
      </c>
      <c r="M22" s="612" t="n">
        <v>0</v>
      </c>
      <c r="N22" s="612" t="n">
        <v>0</v>
      </c>
      <c r="O22" s="612" t="n">
        <v>0</v>
      </c>
      <c r="P22" s="612" t="n">
        <v>0</v>
      </c>
      <c r="Q22" s="612" t="n">
        <v>0</v>
      </c>
      <c r="R22" s="612" t="n">
        <v>0</v>
      </c>
      <c r="S22" s="612" t="n">
        <v>0</v>
      </c>
      <c r="T22" s="612" t="n">
        <v>0</v>
      </c>
      <c r="U22" s="612" t="n">
        <v>0</v>
      </c>
      <c r="V22" s="612" t="n">
        <v>0</v>
      </c>
      <c r="W22" s="612" t="n">
        <v>0</v>
      </c>
      <c r="X22" s="612" t="n">
        <v>0</v>
      </c>
    </row>
    <row r="23">
      <c r="A23" t="inlineStr">
        <is>
          <t>00000000094779 - ENVELOPE M NATAL 2025 BOTI UNIT</t>
        </is>
      </c>
      <c r="B23" s="612" t="n">
        <v>0</v>
      </c>
      <c r="C23" s="612" t="n">
        <v>0</v>
      </c>
      <c r="D23" s="612" t="n">
        <v>0</v>
      </c>
      <c r="E23" s="612" t="n">
        <v>0</v>
      </c>
      <c r="F23" s="612" t="n">
        <v>0</v>
      </c>
      <c r="G23" s="612" t="n">
        <v>1</v>
      </c>
      <c r="H23" s="612" t="n">
        <v>0</v>
      </c>
      <c r="I23" s="612" t="n">
        <v>0</v>
      </c>
      <c r="J23" s="612" t="n">
        <v>0</v>
      </c>
      <c r="K23" s="612" t="n">
        <v>0</v>
      </c>
      <c r="L23" s="611" t="n">
        <v>1</v>
      </c>
      <c r="M23" s="612" t="n">
        <v>0</v>
      </c>
      <c r="N23" s="612" t="n">
        <v>1</v>
      </c>
      <c r="O23" s="612" t="n">
        <v>0</v>
      </c>
      <c r="P23" s="612" t="n">
        <v>0</v>
      </c>
      <c r="Q23" s="612" t="n">
        <v>0</v>
      </c>
      <c r="R23" s="612" t="n">
        <v>0</v>
      </c>
      <c r="S23" s="612" t="n">
        <v>0</v>
      </c>
      <c r="T23" s="612" t="n">
        <v>0</v>
      </c>
      <c r="U23" s="612" t="n">
        <v>0</v>
      </c>
      <c r="V23" s="612" t="n">
        <v>0</v>
      </c>
      <c r="W23" s="612" t="n">
        <v>0</v>
      </c>
      <c r="X23" s="612" t="n">
        <v>0</v>
      </c>
    </row>
    <row r="24">
      <c r="A24" t="inlineStr">
        <is>
          <t>00000000095151 - PIN BOTI NATAL 2025 UNIT</t>
        </is>
      </c>
      <c r="B24" s="612" t="n">
        <v>0</v>
      </c>
      <c r="C24" s="612" t="n">
        <v>0</v>
      </c>
      <c r="D24" s="612" t="n">
        <v>0</v>
      </c>
      <c r="E24" s="612" t="n">
        <v>0</v>
      </c>
      <c r="F24" s="612" t="n">
        <v>0</v>
      </c>
      <c r="G24" s="612" t="n">
        <v>0</v>
      </c>
      <c r="H24" s="612" t="n">
        <v>0</v>
      </c>
      <c r="I24" s="612" t="n">
        <v>0</v>
      </c>
      <c r="J24" s="612" t="n">
        <v>0</v>
      </c>
      <c r="K24" s="612" t="n">
        <v>0</v>
      </c>
      <c r="L24" s="612" t="n">
        <v>0</v>
      </c>
      <c r="M24" s="611" t="n">
        <v>14</v>
      </c>
      <c r="N24" s="611" t="n">
        <v>6</v>
      </c>
      <c r="O24" s="612" t="n">
        <v>0</v>
      </c>
      <c r="P24" s="611" t="n">
        <v>1</v>
      </c>
      <c r="Q24" s="611" t="n">
        <v>3</v>
      </c>
      <c r="R24" s="611" t="n">
        <v>5</v>
      </c>
      <c r="S24" s="611" t="n">
        <v>4</v>
      </c>
      <c r="T24" s="611" t="n">
        <v>5</v>
      </c>
      <c r="U24" s="612" t="n">
        <v>0</v>
      </c>
      <c r="V24" s="612" t="n">
        <v>0</v>
      </c>
      <c r="W24" s="612" t="n">
        <v>0</v>
      </c>
      <c r="X24" s="612" t="n">
        <v>0</v>
      </c>
    </row>
    <row r="25">
      <c r="A25" t="inlineStr">
        <is>
          <t>00000000096437 - CAIXA LACO P MAES/26 BOTI UNIT</t>
        </is>
      </c>
      <c r="B25" s="611" t="n">
        <v>17</v>
      </c>
      <c r="C25" s="611" t="n">
        <v>0</v>
      </c>
      <c r="D25" s="611" t="n">
        <v>-33</v>
      </c>
      <c r="E25" s="611" t="n">
        <v>101</v>
      </c>
      <c r="F25" s="611" t="n">
        <v>-3</v>
      </c>
      <c r="G25" s="611" t="n">
        <v>0</v>
      </c>
      <c r="H25" s="611" t="n">
        <v>82</v>
      </c>
      <c r="I25" s="611" t="n">
        <v>49</v>
      </c>
      <c r="J25" s="611" t="n">
        <v>50</v>
      </c>
      <c r="K25" s="611" t="n">
        <v>89</v>
      </c>
      <c r="L25" s="611" t="n">
        <v>-1</v>
      </c>
      <c r="M25" s="611" t="n">
        <v>69</v>
      </c>
      <c r="N25" s="611" t="n">
        <v>1</v>
      </c>
      <c r="O25" s="611" t="n">
        <v>20</v>
      </c>
      <c r="P25" s="611" t="n">
        <v>0</v>
      </c>
      <c r="Q25" s="611" t="n">
        <v>0</v>
      </c>
      <c r="R25" s="611" t="n">
        <v>0</v>
      </c>
      <c r="S25" s="611" t="n">
        <v>3</v>
      </c>
      <c r="T25" s="611" t="n">
        <v>3</v>
      </c>
      <c r="U25" s="611" t="n">
        <v>0</v>
      </c>
      <c r="V25" s="611" t="n">
        <v>0</v>
      </c>
      <c r="W25" s="611" t="n">
        <v>1</v>
      </c>
      <c r="X25" s="611" t="n">
        <v>-1</v>
      </c>
    </row>
    <row r="26">
      <c r="A26" t="inlineStr">
        <is>
          <t>00000000096438 - CAIXA LACO M MAES/26 BOTI UNIT</t>
        </is>
      </c>
      <c r="B26" s="611" t="n">
        <v>2</v>
      </c>
      <c r="C26" s="611" t="n">
        <v>18</v>
      </c>
      <c r="D26" s="611" t="n">
        <v>-10</v>
      </c>
      <c r="E26" s="611" t="n">
        <v>15</v>
      </c>
      <c r="F26" s="611" t="n">
        <v>-1</v>
      </c>
      <c r="G26" s="611" t="n">
        <v>-1</v>
      </c>
      <c r="H26" s="611" t="n">
        <v>160</v>
      </c>
      <c r="I26" s="611" t="n">
        <v>177</v>
      </c>
      <c r="J26" s="611" t="n">
        <v>53</v>
      </c>
      <c r="K26" s="611" t="n">
        <v>40</v>
      </c>
      <c r="L26" s="611" t="n">
        <v>3</v>
      </c>
      <c r="M26" s="611" t="n">
        <v>49</v>
      </c>
      <c r="N26" s="611" t="n">
        <v>3</v>
      </c>
      <c r="O26" s="611" t="n">
        <v>9</v>
      </c>
      <c r="P26" s="611" t="n">
        <v>6</v>
      </c>
      <c r="Q26" s="611" t="n">
        <v>8</v>
      </c>
      <c r="R26" s="611" t="n">
        <v>5</v>
      </c>
      <c r="S26" s="611" t="n">
        <v>3</v>
      </c>
      <c r="T26" s="611" t="n">
        <v>-1</v>
      </c>
      <c r="U26" s="611" t="n">
        <v>2</v>
      </c>
      <c r="V26" s="611" t="n">
        <v>-2</v>
      </c>
      <c r="W26" s="611" t="n">
        <v>1</v>
      </c>
      <c r="X26" s="611" t="n">
        <v>1</v>
      </c>
    </row>
    <row r="27">
      <c r="A27" t="inlineStr">
        <is>
          <t>00000000096440 - ENVELOPE P MAES 2026 BOTI UNIT</t>
        </is>
      </c>
      <c r="B27" s="611" t="n">
        <v>0</v>
      </c>
      <c r="C27" s="611" t="n">
        <v>0</v>
      </c>
      <c r="D27" s="611" t="n">
        <v>0</v>
      </c>
      <c r="E27" s="611" t="n">
        <v>0</v>
      </c>
      <c r="F27" s="611" t="n">
        <v>0</v>
      </c>
      <c r="G27" s="611" t="n">
        <v>0</v>
      </c>
      <c r="H27" s="611" t="n">
        <v>46</v>
      </c>
      <c r="I27" s="611" t="n">
        <v>22</v>
      </c>
      <c r="J27" s="611" t="n">
        <v>49</v>
      </c>
      <c r="K27" s="611" t="n">
        <v>55</v>
      </c>
      <c r="L27" s="611" t="n">
        <v>69</v>
      </c>
      <c r="M27" s="611" t="n">
        <v>14</v>
      </c>
      <c r="N27" s="611" t="n">
        <v>0</v>
      </c>
      <c r="O27" s="611" t="n">
        <v>22</v>
      </c>
      <c r="P27" s="611" t="n">
        <v>0</v>
      </c>
      <c r="Q27" s="611" t="n">
        <v>0</v>
      </c>
      <c r="R27" s="611" t="n">
        <v>1</v>
      </c>
      <c r="S27" s="611" t="n">
        <v>4</v>
      </c>
      <c r="T27" s="611" t="n">
        <v>-5</v>
      </c>
      <c r="U27" s="611" t="n">
        <v>2</v>
      </c>
      <c r="V27" s="611" t="n">
        <v>-1</v>
      </c>
      <c r="W27" s="611" t="n">
        <v>0</v>
      </c>
      <c r="X27" s="611" t="n">
        <v>0</v>
      </c>
    </row>
    <row r="28">
      <c r="A28" t="inlineStr">
        <is>
          <t>00000000096441 - ENVELOPE M MAES 2026 BOTI UNIT</t>
        </is>
      </c>
      <c r="B28" s="611" t="n">
        <v>0</v>
      </c>
      <c r="C28" s="611" t="n">
        <v>1</v>
      </c>
      <c r="D28" s="611" t="n">
        <v>3</v>
      </c>
      <c r="E28" s="611" t="n">
        <v>-1</v>
      </c>
      <c r="F28" s="611" t="n">
        <v>-2</v>
      </c>
      <c r="G28" s="611" t="n">
        <v>7</v>
      </c>
      <c r="H28" s="611" t="n">
        <v>7</v>
      </c>
      <c r="I28" s="611" t="n">
        <v>20</v>
      </c>
      <c r="J28" s="611" t="n">
        <v>54</v>
      </c>
      <c r="K28" s="611" t="n">
        <v>1</v>
      </c>
      <c r="L28" s="611" t="n">
        <v>6</v>
      </c>
      <c r="M28" s="611" t="n">
        <v>12</v>
      </c>
      <c r="N28" s="611" t="n">
        <v>5</v>
      </c>
      <c r="O28" s="611" t="n">
        <v>94</v>
      </c>
      <c r="P28" s="611" t="n">
        <v>4</v>
      </c>
      <c r="Q28" s="611" t="n">
        <v>0</v>
      </c>
      <c r="R28" s="611" t="n">
        <v>0</v>
      </c>
      <c r="S28" s="611" t="n">
        <v>-2</v>
      </c>
      <c r="T28" s="611" t="n">
        <v>-4</v>
      </c>
      <c r="U28" s="611" t="n">
        <v>1</v>
      </c>
      <c r="V28" s="611" t="n">
        <v>0</v>
      </c>
      <c r="W28" s="611" t="n">
        <v>3</v>
      </c>
      <c r="X28" s="611" t="n">
        <v>1</v>
      </c>
    </row>
    <row r="29">
      <c r="A29" t="inlineStr">
        <is>
          <t>00000000086009 - CAIXA LACO G NAT/24</t>
        </is>
      </c>
      <c r="B29" s="611" t="n">
        <v>1</v>
      </c>
      <c r="C29" s="612" t="n">
        <v>0</v>
      </c>
      <c r="D29" s="612" t="n">
        <v>0</v>
      </c>
      <c r="E29" s="612" t="n">
        <v>0</v>
      </c>
      <c r="F29" s="612" t="n">
        <v>0</v>
      </c>
      <c r="G29" s="612" t="n">
        <v>0</v>
      </c>
      <c r="H29" s="612" t="n">
        <v>0</v>
      </c>
      <c r="I29" s="612" t="n">
        <v>0</v>
      </c>
      <c r="J29" s="612" t="n">
        <v>0</v>
      </c>
      <c r="K29" s="612" t="n">
        <v>0</v>
      </c>
      <c r="L29" s="612" t="n">
        <v>0</v>
      </c>
      <c r="M29" s="612" t="n">
        <v>0</v>
      </c>
      <c r="N29" s="612" t="n">
        <v>0</v>
      </c>
      <c r="O29" s="612" t="n">
        <v>0</v>
      </c>
      <c r="P29" s="612" t="n">
        <v>0</v>
      </c>
      <c r="Q29" s="612" t="n">
        <v>0</v>
      </c>
      <c r="R29" s="612" t="n">
        <v>0</v>
      </c>
      <c r="S29" s="612" t="n">
        <v>0</v>
      </c>
      <c r="T29" s="612" t="n">
        <v>0</v>
      </c>
      <c r="U29" s="612" t="n">
        <v>0</v>
      </c>
      <c r="V29" s="612" t="n">
        <v>0</v>
      </c>
      <c r="W29" s="612" t="n">
        <v>0</v>
      </c>
      <c r="X29" s="612" t="n">
        <v>0</v>
      </c>
    </row>
    <row r="30">
      <c r="A30" t="inlineStr">
        <is>
          <t>00000000096583 - ENVELOPE M AMOR 2026 BOTI UNIT</t>
        </is>
      </c>
      <c r="B30" s="612" t="n">
        <v>300</v>
      </c>
      <c r="C30" s="612" t="n">
        <v>50</v>
      </c>
      <c r="D30" s="612" t="n">
        <v>0</v>
      </c>
      <c r="E30" s="612" t="n">
        <v>100</v>
      </c>
      <c r="F30" s="612" t="n">
        <v>50</v>
      </c>
      <c r="G30" s="612" t="n">
        <v>0</v>
      </c>
      <c r="H30" s="612" t="n">
        <v>100</v>
      </c>
      <c r="I30" s="612" t="n">
        <v>100</v>
      </c>
      <c r="J30" s="612" t="n">
        <v>0</v>
      </c>
      <c r="K30" s="612" t="n">
        <v>50</v>
      </c>
      <c r="L30" s="612" t="n">
        <v>0</v>
      </c>
      <c r="M30" s="612" t="n">
        <v>0</v>
      </c>
      <c r="N30" s="612" t="n">
        <v>0</v>
      </c>
      <c r="O30" s="612" t="n">
        <v>0</v>
      </c>
      <c r="P30" s="612" t="n">
        <v>0</v>
      </c>
      <c r="Q30" s="612" t="n">
        <v>50</v>
      </c>
      <c r="R30" s="612" t="n">
        <v>50</v>
      </c>
      <c r="S30" s="612" t="n">
        <v>50</v>
      </c>
      <c r="T30" s="612" t="n">
        <v>100</v>
      </c>
      <c r="U30" s="612" t="n">
        <v>50</v>
      </c>
      <c r="V30" s="612" t="n">
        <v>50</v>
      </c>
      <c r="W30" s="612" t="n">
        <v>0</v>
      </c>
      <c r="X30" s="612" t="n">
        <v>100</v>
      </c>
    </row>
    <row r="31">
      <c r="A31" s="435" t="inlineStr">
        <is>
          <t>Total</t>
        </is>
      </c>
      <c r="B31" s="613" t="n">
        <v>1276</v>
      </c>
      <c r="C31" s="613" t="n">
        <v>766</v>
      </c>
      <c r="D31" s="613" t="n">
        <v>246</v>
      </c>
      <c r="E31" s="613" t="n">
        <v>2542</v>
      </c>
      <c r="F31" s="613" t="n">
        <v>285</v>
      </c>
      <c r="G31" s="613" t="n">
        <v>347</v>
      </c>
      <c r="H31" s="613" t="n">
        <v>1712</v>
      </c>
      <c r="I31" s="613" t="n">
        <v>1545</v>
      </c>
      <c r="J31" s="613" t="n">
        <v>792</v>
      </c>
      <c r="K31" s="613" t="n">
        <v>1275</v>
      </c>
      <c r="L31" s="613" t="n">
        <v>672</v>
      </c>
      <c r="M31" s="613" t="n">
        <v>788</v>
      </c>
      <c r="N31" s="613" t="n">
        <v>664</v>
      </c>
      <c r="O31" s="613" t="n">
        <v>555</v>
      </c>
      <c r="P31" s="613" t="n">
        <v>580</v>
      </c>
      <c r="Q31" s="613" t="n">
        <v>696</v>
      </c>
      <c r="R31" s="613" t="n">
        <v>901</v>
      </c>
      <c r="S31" s="613" t="n">
        <v>629</v>
      </c>
      <c r="T31" s="613" t="n">
        <v>954</v>
      </c>
      <c r="U31" s="613" t="n">
        <v>264</v>
      </c>
      <c r="V31" s="613" t="n">
        <v>400</v>
      </c>
      <c r="W31" s="613" t="n">
        <v>369</v>
      </c>
      <c r="X31" s="613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20">
    <outlinePr summaryBelow="1" summaryRight="1"/>
    <pageSetUpPr/>
  </sheetPr>
  <dimension ref="A1:K82"/>
  <sheetViews>
    <sheetView tabSelected="1" topLeftCell="A27" workbookViewId="0">
      <selection activeCell="M37" sqref="M37:M39"/>
    </sheetView>
  </sheetViews>
  <sheetFormatPr baseColWidth="8" defaultRowHeight="15"/>
  <cols>
    <col width="60.85546875" customWidth="1" style="483" min="1" max="1"/>
    <col hidden="1" width="7.28515625" customWidth="1" style="483" min="2" max="2"/>
    <col width="7.28515625" customWidth="1" style="483" min="3" max="6"/>
    <col hidden="1" width="7.28515625" customWidth="1" style="483" min="7" max="11"/>
  </cols>
  <sheetData>
    <row r="1">
      <c r="A1" s="437" t="inlineStr">
        <is>
          <t>Produtos</t>
        </is>
      </c>
      <c r="B1" s="438" t="n">
        <v>14356</v>
      </c>
      <c r="C1" s="438" t="n">
        <v>24790</v>
      </c>
      <c r="D1" s="438" t="n">
        <v>23614</v>
      </c>
      <c r="E1" s="438" t="n">
        <v>23343</v>
      </c>
      <c r="F1" s="438" t="n">
        <v>24119</v>
      </c>
      <c r="G1" s="439" t="n">
        <v>23280</v>
      </c>
      <c r="H1" s="439" t="n">
        <v>22851</v>
      </c>
      <c r="I1" s="440" t="n">
        <v>23091</v>
      </c>
      <c r="J1" s="440" t="n">
        <v>22838</v>
      </c>
      <c r="K1" s="440" t="n">
        <v>24137</v>
      </c>
    </row>
    <row r="2">
      <c r="A2" s="441" t="inlineStr">
        <is>
          <t>00000000090819 - SACOLA PP BOTICARIO INST/25</t>
        </is>
      </c>
      <c r="B2" s="614" t="n">
        <v>0</v>
      </c>
      <c r="C2" s="615" t="n">
        <v>79</v>
      </c>
      <c r="D2" s="615" t="n">
        <v>106</v>
      </c>
      <c r="E2" s="615" t="n">
        <v>190</v>
      </c>
      <c r="F2" s="615" t="n">
        <v>0</v>
      </c>
      <c r="G2" s="615" t="n">
        <v>12</v>
      </c>
      <c r="H2" s="614" t="n">
        <v>0</v>
      </c>
      <c r="I2" s="615" t="n">
        <v>147</v>
      </c>
      <c r="J2" s="615" t="n">
        <v>153</v>
      </c>
      <c r="K2" s="615" t="n">
        <v>40</v>
      </c>
    </row>
    <row r="3">
      <c r="A3" s="444" t="inlineStr">
        <is>
          <t>00000000090821 - SACOLA P BOTICARIO INST/25</t>
        </is>
      </c>
      <c r="B3" s="616" t="n">
        <v>0</v>
      </c>
      <c r="C3" s="615" t="n">
        <v>126</v>
      </c>
      <c r="D3" s="615" t="n">
        <v>561</v>
      </c>
      <c r="E3" s="615" t="n">
        <v>200</v>
      </c>
      <c r="F3" s="615" t="n">
        <v>200</v>
      </c>
      <c r="G3" s="615" t="n">
        <v>354</v>
      </c>
      <c r="H3" s="616" t="n">
        <v>0</v>
      </c>
      <c r="I3" s="616" t="n">
        <v>0</v>
      </c>
      <c r="J3" s="615" t="n">
        <v>252</v>
      </c>
      <c r="K3" s="616" t="n">
        <v>0</v>
      </c>
    </row>
    <row r="4">
      <c r="A4" s="441" t="inlineStr">
        <is>
          <t>00000000090822 - SACOLA M BOTICARIO INST/25</t>
        </is>
      </c>
      <c r="B4" s="614" t="n">
        <v>0</v>
      </c>
      <c r="C4" s="615" t="n">
        <v>132</v>
      </c>
      <c r="D4" s="615" t="n">
        <v>370</v>
      </c>
      <c r="E4" s="615" t="n">
        <v>200</v>
      </c>
      <c r="F4" s="615" t="n">
        <v>200</v>
      </c>
      <c r="G4" s="615" t="n">
        <v>0</v>
      </c>
      <c r="H4" s="614" t="n">
        <v>0</v>
      </c>
      <c r="I4" s="614" t="n">
        <v>0</v>
      </c>
      <c r="J4" s="615" t="n">
        <v>395</v>
      </c>
      <c r="K4" s="614" t="n">
        <v>0</v>
      </c>
    </row>
    <row r="5">
      <c r="A5" s="444" t="inlineStr">
        <is>
          <t>00000000003591 - KIT SACOLA PP INST 2021 VERDE C/10</t>
        </is>
      </c>
      <c r="B5" s="616" t="n">
        <v>0</v>
      </c>
      <c r="C5" s="616" t="n">
        <v>0</v>
      </c>
      <c r="D5" s="615" t="n">
        <v>4</v>
      </c>
      <c r="E5" s="615" t="n">
        <v>23</v>
      </c>
      <c r="F5" s="616" t="n">
        <v>0</v>
      </c>
      <c r="G5" s="616" t="n">
        <v>0</v>
      </c>
      <c r="H5" s="616" t="n">
        <v>0</v>
      </c>
      <c r="I5" s="616" t="n">
        <v>0</v>
      </c>
      <c r="J5" s="616" t="n">
        <v>0</v>
      </c>
      <c r="K5" s="616" t="n">
        <v>0</v>
      </c>
    </row>
    <row r="6">
      <c r="A6" s="441" t="inlineStr">
        <is>
          <t>00000000003608 - KIT SACOLA P INST 2021 VERDE C/10</t>
        </is>
      </c>
      <c r="B6" s="614" t="n">
        <v>0</v>
      </c>
      <c r="C6" s="614" t="n">
        <v>3</v>
      </c>
      <c r="D6" s="615" t="n">
        <v>6</v>
      </c>
      <c r="E6" s="615" t="n">
        <v>11</v>
      </c>
      <c r="F6" s="614" t="n">
        <v>0</v>
      </c>
      <c r="G6" s="614" t="n">
        <v>0</v>
      </c>
      <c r="H6" s="614" t="n">
        <v>0</v>
      </c>
      <c r="I6" s="614" t="n">
        <v>0</v>
      </c>
      <c r="J6" s="614" t="n">
        <v>0</v>
      </c>
      <c r="K6" s="614" t="n">
        <v>0</v>
      </c>
    </row>
    <row r="7">
      <c r="A7" s="444" t="inlineStr">
        <is>
          <t>00000000003610 - KIT SACOLA M INST 2021 VERDE C/10</t>
        </is>
      </c>
      <c r="B7" s="616" t="n">
        <v>0</v>
      </c>
      <c r="C7" s="616" t="n">
        <v>0</v>
      </c>
      <c r="D7" s="615" t="n">
        <v>10</v>
      </c>
      <c r="E7" s="615" t="n">
        <v>28</v>
      </c>
      <c r="F7" s="616" t="n">
        <v>0</v>
      </c>
      <c r="G7" s="616" t="n">
        <v>0</v>
      </c>
      <c r="H7" s="616" t="n">
        <v>0</v>
      </c>
      <c r="I7" s="616" t="n">
        <v>0</v>
      </c>
      <c r="J7" s="615" t="n">
        <v>9</v>
      </c>
      <c r="K7" s="616" t="n">
        <v>0</v>
      </c>
    </row>
    <row r="8">
      <c r="A8" s="441" t="inlineStr">
        <is>
          <t>00000000094389 - PAPEL SEDA BOTI INSTIT 2025 UNIT</t>
        </is>
      </c>
      <c r="B8" s="614" t="n">
        <v>0</v>
      </c>
      <c r="C8" s="614" t="n">
        <v>0</v>
      </c>
      <c r="D8" s="614" t="n">
        <v>0</v>
      </c>
      <c r="E8" s="614" t="n">
        <v>0</v>
      </c>
      <c r="F8" s="614" t="n">
        <v>0</v>
      </c>
      <c r="G8" s="615" t="n">
        <v>9</v>
      </c>
      <c r="H8" s="615" t="n">
        <v>140</v>
      </c>
      <c r="I8" s="614" t="n">
        <v>0</v>
      </c>
      <c r="J8" s="614" t="n">
        <v>0</v>
      </c>
      <c r="K8" s="615" t="n">
        <v>38</v>
      </c>
    </row>
    <row r="9">
      <c r="A9" s="444" t="inlineStr">
        <is>
          <t>00000000043673 - KIT VD INSTITUCIONAL PAPEL DE SEDA C/25</t>
        </is>
      </c>
      <c r="B9" s="616" t="n">
        <v>0</v>
      </c>
      <c r="C9" s="615" t="n">
        <v>42</v>
      </c>
      <c r="D9" s="615" t="n">
        <v>24</v>
      </c>
      <c r="E9" s="615" t="n">
        <v>8</v>
      </c>
      <c r="F9" s="615" t="n">
        <v>12</v>
      </c>
      <c r="G9" s="616" t="n">
        <v>0</v>
      </c>
      <c r="H9" s="616" t="n">
        <v>0</v>
      </c>
      <c r="I9" s="616" t="n">
        <v>0</v>
      </c>
      <c r="J9" s="616" t="n">
        <v>0</v>
      </c>
      <c r="K9" s="616" t="n">
        <v>0</v>
      </c>
    </row>
    <row r="10">
      <c r="A10" s="441" t="inlineStr">
        <is>
          <t>00000000030190 - CART ADESIVOS INST 2021 C/50</t>
        </is>
      </c>
      <c r="B10" s="614" t="n">
        <v>0</v>
      </c>
      <c r="C10" s="615" t="n">
        <v>38</v>
      </c>
      <c r="D10" s="615" t="n">
        <v>58</v>
      </c>
      <c r="E10" s="615" t="n">
        <v>1</v>
      </c>
      <c r="F10" s="615" t="n">
        <v>33</v>
      </c>
      <c r="G10" s="615" t="n">
        <v>0</v>
      </c>
      <c r="H10" s="614" t="n">
        <v>0</v>
      </c>
      <c r="I10" s="614" t="n">
        <v>0</v>
      </c>
      <c r="J10" s="614" t="n">
        <v>0</v>
      </c>
      <c r="K10" s="614" t="n">
        <v>0</v>
      </c>
    </row>
    <row r="11">
      <c r="A11" s="444" t="inlineStr">
        <is>
          <t>00000000045033 - KIT TAG INST. VD S/ FIT C/20 UN</t>
        </is>
      </c>
      <c r="B11" s="616" t="n">
        <v>0</v>
      </c>
      <c r="C11" s="616" t="n">
        <v>0</v>
      </c>
      <c r="D11" s="616" t="n">
        <v>0</v>
      </c>
      <c r="E11" s="615" t="n">
        <v>23</v>
      </c>
      <c r="F11" s="616" t="n">
        <v>0</v>
      </c>
      <c r="G11" s="616" t="n">
        <v>0</v>
      </c>
      <c r="H11" s="616" t="n">
        <v>0</v>
      </c>
      <c r="I11" s="616" t="n">
        <v>0</v>
      </c>
      <c r="J11" s="616" t="n">
        <v>0</v>
      </c>
      <c r="K11" s="616" t="n">
        <v>0</v>
      </c>
    </row>
    <row r="12">
      <c r="A12" s="441" t="inlineStr">
        <is>
          <t>00000000043763 - KIT VD INST TAG C/50</t>
        </is>
      </c>
      <c r="B12" s="614" t="n">
        <v>0</v>
      </c>
      <c r="C12" s="614" t="n">
        <v>0</v>
      </c>
      <c r="D12" s="614" t="n">
        <v>0</v>
      </c>
      <c r="E12" s="615" t="n">
        <v>15</v>
      </c>
      <c r="F12" s="614" t="n">
        <v>0</v>
      </c>
      <c r="G12" s="615" t="n">
        <v>9</v>
      </c>
      <c r="H12" s="614" t="n">
        <v>0</v>
      </c>
      <c r="I12" s="614" t="n">
        <v>0</v>
      </c>
      <c r="J12" s="615" t="n">
        <v>1</v>
      </c>
      <c r="K12" s="614" t="n">
        <v>0</v>
      </c>
    </row>
    <row r="13">
      <c r="A13" s="444" t="inlineStr">
        <is>
          <t>00000000030194 - TAG P/SACOLA INST 2021 KIT C/50 UN VD</t>
        </is>
      </c>
      <c r="B13" s="616" t="n">
        <v>0</v>
      </c>
      <c r="C13" s="615" t="n">
        <v>63</v>
      </c>
      <c r="D13" s="615" t="n">
        <v>42</v>
      </c>
      <c r="E13" s="616" t="n">
        <v>0</v>
      </c>
      <c r="F13" s="616" t="n">
        <v>0</v>
      </c>
      <c r="G13" s="616" t="n">
        <v>0</v>
      </c>
      <c r="H13" s="616" t="n">
        <v>0</v>
      </c>
      <c r="I13" s="616" t="n">
        <v>0</v>
      </c>
      <c r="J13" s="616" t="n">
        <v>0</v>
      </c>
      <c r="K13" s="616" t="n">
        <v>0</v>
      </c>
    </row>
    <row r="14">
      <c r="A14" s="441" t="inlineStr">
        <is>
          <t>00000000089402 - CAIXA PRESENTE P BOT INST/25 VDA</t>
        </is>
      </c>
      <c r="B14" s="614" t="n">
        <v>0</v>
      </c>
      <c r="C14" s="614" t="n">
        <v>0</v>
      </c>
      <c r="D14" s="614" t="n">
        <v>0</v>
      </c>
      <c r="E14" s="614" t="n">
        <v>0</v>
      </c>
      <c r="F14" s="614" t="n">
        <v>0</v>
      </c>
      <c r="G14" s="615" t="n">
        <v>125</v>
      </c>
      <c r="H14" s="615" t="n">
        <v>104</v>
      </c>
      <c r="I14" s="615" t="n">
        <v>100</v>
      </c>
      <c r="J14" s="614" t="n">
        <v>0</v>
      </c>
      <c r="K14" s="614" t="n">
        <v>0</v>
      </c>
    </row>
    <row r="15">
      <c r="A15" s="444" t="inlineStr">
        <is>
          <t>00000000003682 - KIT CAIXA P INST 2021 VERDE VD</t>
        </is>
      </c>
      <c r="B15" s="616" t="n">
        <v>0</v>
      </c>
      <c r="C15" s="616" t="n">
        <v>0</v>
      </c>
      <c r="D15" s="616" t="n">
        <v>4</v>
      </c>
      <c r="E15" s="616" t="n">
        <v>0</v>
      </c>
      <c r="F15" s="616" t="n">
        <v>0</v>
      </c>
      <c r="G15" s="616" t="n">
        <v>0</v>
      </c>
      <c r="H15" s="616" t="n">
        <v>0</v>
      </c>
      <c r="I15" s="616" t="n">
        <v>0</v>
      </c>
      <c r="J15" s="616" t="n">
        <v>0</v>
      </c>
      <c r="K15" s="615" t="n">
        <v>5</v>
      </c>
    </row>
    <row r="16">
      <c r="A16" s="441" t="inlineStr">
        <is>
          <t>00000000089401 - CX PRESENTE M BOTI INST/25 VDA</t>
        </is>
      </c>
      <c r="B16" s="614" t="n">
        <v>0</v>
      </c>
      <c r="C16" s="614" t="n">
        <v>0</v>
      </c>
      <c r="D16" s="614" t="n">
        <v>0</v>
      </c>
      <c r="E16" s="614" t="n">
        <v>0</v>
      </c>
      <c r="F16" s="614" t="n">
        <v>0</v>
      </c>
      <c r="G16" s="615" t="n">
        <v>45</v>
      </c>
      <c r="H16" s="614" t="n">
        <v>0</v>
      </c>
      <c r="I16" s="615" t="n">
        <v>48</v>
      </c>
      <c r="J16" s="615" t="n">
        <v>73</v>
      </c>
      <c r="K16" s="614" t="n">
        <v>0</v>
      </c>
    </row>
    <row r="17">
      <c r="A17" s="444" t="inlineStr">
        <is>
          <t>00000000003704 - KIT CAIXA G INST 2021 VERDE VD</t>
        </is>
      </c>
      <c r="B17" s="616" t="n">
        <v>0</v>
      </c>
      <c r="C17" s="616" t="n">
        <v>0</v>
      </c>
      <c r="D17" s="616" t="n">
        <v>0</v>
      </c>
      <c r="E17" s="616" t="n">
        <v>0</v>
      </c>
      <c r="F17" s="616" t="n">
        <v>0</v>
      </c>
      <c r="G17" s="615" t="n">
        <v>0</v>
      </c>
      <c r="H17" s="616" t="n">
        <v>0</v>
      </c>
      <c r="I17" s="616" t="n">
        <v>0</v>
      </c>
      <c r="J17" s="616" t="n">
        <v>0</v>
      </c>
      <c r="K17" s="615" t="n">
        <v>2</v>
      </c>
    </row>
    <row r="18">
      <c r="A18" s="441" t="inlineStr">
        <is>
          <t>00000000054572 - KIT OVERBAG BOTI PRESENTEAR ECOMMERCE M</t>
        </is>
      </c>
      <c r="B18" s="614" t="n">
        <v>0</v>
      </c>
      <c r="C18" s="614" t="n">
        <v>0</v>
      </c>
      <c r="D18" s="614" t="n">
        <v>0</v>
      </c>
      <c r="E18" s="614" t="n">
        <v>0</v>
      </c>
      <c r="F18" s="614" t="n">
        <v>0</v>
      </c>
      <c r="G18" s="615" t="n">
        <v>23</v>
      </c>
      <c r="H18" s="614" t="n">
        <v>0</v>
      </c>
      <c r="I18" s="614" t="n">
        <v>0</v>
      </c>
      <c r="J18" s="615" t="n">
        <v>8</v>
      </c>
      <c r="K18" s="614" t="n">
        <v>0</v>
      </c>
    </row>
    <row r="19">
      <c r="A19" s="444" t="inlineStr">
        <is>
          <t>00000000046885 - O.U.i SACOLA P 2021</t>
        </is>
      </c>
      <c r="B19" s="616" t="n">
        <v>0</v>
      </c>
      <c r="C19" s="615" t="n">
        <v>4</v>
      </c>
      <c r="D19" s="615" t="n">
        <v>12</v>
      </c>
      <c r="E19" s="615" t="n">
        <v>23</v>
      </c>
      <c r="F19" s="615" t="n">
        <v>0</v>
      </c>
      <c r="G19" s="615" t="n">
        <v>38</v>
      </c>
      <c r="H19" s="615" t="n">
        <v>3</v>
      </c>
      <c r="I19" s="615" t="n">
        <v>116</v>
      </c>
      <c r="J19" s="615" t="n">
        <v>0</v>
      </c>
      <c r="K19" s="615" t="n">
        <v>2</v>
      </c>
    </row>
    <row r="20">
      <c r="A20" s="441" t="inlineStr">
        <is>
          <t>00000000046886 - O.U.I SACOLA M 2021</t>
        </is>
      </c>
      <c r="B20" s="614" t="n">
        <v>0</v>
      </c>
      <c r="C20" s="615" t="n">
        <v>9</v>
      </c>
      <c r="D20" s="615" t="n">
        <v>19</v>
      </c>
      <c r="E20" s="615" t="n">
        <v>11</v>
      </c>
      <c r="F20" s="615" t="n">
        <v>0</v>
      </c>
      <c r="G20" s="615" t="n">
        <v>18</v>
      </c>
      <c r="H20" s="615" t="n">
        <v>12</v>
      </c>
      <c r="I20" s="615" t="n">
        <v>79</v>
      </c>
      <c r="J20" s="615" t="n">
        <v>0</v>
      </c>
      <c r="K20" s="615" t="n">
        <v>0</v>
      </c>
    </row>
    <row r="21">
      <c r="A21" s="444" t="inlineStr">
        <is>
          <t>00000000046887 - O.U.I SACOLA G 2021</t>
        </is>
      </c>
      <c r="B21" s="616" t="n">
        <v>0</v>
      </c>
      <c r="C21" s="615" t="n">
        <v>7</v>
      </c>
      <c r="D21" s="615" t="n">
        <v>13</v>
      </c>
      <c r="E21" s="615" t="n">
        <v>18</v>
      </c>
      <c r="F21" s="615" t="n">
        <v>0</v>
      </c>
      <c r="G21" s="615" t="n">
        <v>0</v>
      </c>
      <c r="H21" s="615" t="n">
        <v>0</v>
      </c>
      <c r="I21" s="615" t="n">
        <v>7</v>
      </c>
      <c r="J21" s="615" t="n">
        <v>0</v>
      </c>
      <c r="K21" s="615" t="n">
        <v>3</v>
      </c>
    </row>
    <row r="22">
      <c r="A22" s="441" t="inlineStr">
        <is>
          <t>00000000046888 - O.U.I KIT CAIXA P 2021</t>
        </is>
      </c>
      <c r="B22" s="614" t="n">
        <v>0</v>
      </c>
      <c r="C22" s="615" t="n">
        <v>19</v>
      </c>
      <c r="D22" s="615" t="n">
        <v>57</v>
      </c>
      <c r="E22" s="615" t="n">
        <v>16</v>
      </c>
      <c r="F22" s="615" t="n">
        <v>5</v>
      </c>
      <c r="G22" s="615" t="n">
        <v>46</v>
      </c>
      <c r="H22" s="615" t="n">
        <v>81</v>
      </c>
      <c r="I22" s="615" t="n">
        <v>39</v>
      </c>
      <c r="J22" s="615" t="n">
        <v>21</v>
      </c>
      <c r="K22" s="615" t="n">
        <v>6</v>
      </c>
    </row>
    <row r="23">
      <c r="A23" s="444" t="inlineStr">
        <is>
          <t>00000000046890 - O.U.I KIT CAIXA M 2021</t>
        </is>
      </c>
      <c r="B23" s="616" t="n">
        <v>0</v>
      </c>
      <c r="C23" s="615" t="n">
        <v>9</v>
      </c>
      <c r="D23" s="615" t="n">
        <v>32</v>
      </c>
      <c r="E23" s="615" t="n">
        <v>23</v>
      </c>
      <c r="F23" s="615" t="n">
        <v>2</v>
      </c>
      <c r="G23" s="615" t="n">
        <v>3</v>
      </c>
      <c r="H23" s="615" t="n">
        <v>86</v>
      </c>
      <c r="I23" s="615" t="n">
        <v>46</v>
      </c>
      <c r="J23" s="615" t="n">
        <v>1</v>
      </c>
      <c r="K23" s="615" t="n">
        <v>6</v>
      </c>
    </row>
    <row r="24">
      <c r="A24" s="441" t="inlineStr">
        <is>
          <t>00000000046891 - O.U.I KIT CAIXA G 2021</t>
        </is>
      </c>
      <c r="B24" s="614" t="n">
        <v>0</v>
      </c>
      <c r="C24" s="615" t="n">
        <v>15</v>
      </c>
      <c r="D24" s="615" t="n">
        <v>48</v>
      </c>
      <c r="E24" s="615" t="n">
        <v>6</v>
      </c>
      <c r="F24" s="615" t="n">
        <v>3</v>
      </c>
      <c r="G24" s="615" t="n">
        <v>44</v>
      </c>
      <c r="H24" s="615" t="n">
        <v>40</v>
      </c>
      <c r="I24" s="615" t="n">
        <v>19</v>
      </c>
      <c r="J24" s="615" t="n">
        <v>28</v>
      </c>
      <c r="K24" s="615" t="n">
        <v>9</v>
      </c>
    </row>
    <row r="25">
      <c r="A25" s="444" t="inlineStr">
        <is>
          <t>00000000047162 - OUI CAIXA M 2021</t>
        </is>
      </c>
      <c r="B25" s="616" t="n">
        <v>0</v>
      </c>
      <c r="C25" s="616" t="n">
        <v>0</v>
      </c>
      <c r="D25" s="616" t="n">
        <v>0</v>
      </c>
      <c r="E25" s="616" t="n">
        <v>0</v>
      </c>
      <c r="F25" s="616" t="n">
        <v>0</v>
      </c>
      <c r="G25" s="616" t="n">
        <v>0</v>
      </c>
      <c r="H25" s="616" t="n">
        <v>0</v>
      </c>
      <c r="I25" s="616" t="n">
        <v>0</v>
      </c>
      <c r="J25" s="616" t="n">
        <v>2</v>
      </c>
      <c r="K25" s="616" t="n">
        <v>0</v>
      </c>
    </row>
    <row r="26">
      <c r="A26" s="441" t="inlineStr">
        <is>
          <t>00000000050110 - CAIXA QDB P INSTITUCIONAL/21</t>
        </is>
      </c>
      <c r="B26" s="614" t="n">
        <v>0</v>
      </c>
      <c r="C26" s="614" t="n">
        <v>0</v>
      </c>
      <c r="D26" s="614" t="n">
        <v>0</v>
      </c>
      <c r="E26" s="614" t="n">
        <v>0</v>
      </c>
      <c r="F26" s="614" t="n">
        <v>0</v>
      </c>
      <c r="G26" s="615" t="n">
        <v>9</v>
      </c>
      <c r="H26" s="614" t="n">
        <v>0</v>
      </c>
      <c r="I26" s="614" t="n">
        <v>0</v>
      </c>
      <c r="J26" s="615" t="n">
        <v>1</v>
      </c>
      <c r="K26" s="614" t="n">
        <v>0</v>
      </c>
    </row>
    <row r="27">
      <c r="A27" s="444" t="inlineStr">
        <is>
          <t>00000000056369 - CAIXA QDB P INST 2023</t>
        </is>
      </c>
      <c r="B27" s="616" t="n">
        <v>0</v>
      </c>
      <c r="C27" s="616" t="n">
        <v>0</v>
      </c>
      <c r="D27" s="616" t="n">
        <v>0</v>
      </c>
      <c r="E27" s="615" t="n">
        <v>4</v>
      </c>
      <c r="F27" s="615" t="n">
        <v>5</v>
      </c>
      <c r="G27" s="615" t="n">
        <v>73</v>
      </c>
      <c r="H27" s="615" t="n">
        <v>18</v>
      </c>
      <c r="I27" s="616" t="n">
        <v>0</v>
      </c>
      <c r="J27" s="615" t="n">
        <v>10</v>
      </c>
      <c r="K27" s="615" t="n">
        <v>17</v>
      </c>
    </row>
    <row r="28">
      <c r="A28" s="441" t="inlineStr">
        <is>
          <t>00000000056375 - KIT QDB CAIXA P INST 2023 VD</t>
        </is>
      </c>
      <c r="B28" s="614" t="n">
        <v>0</v>
      </c>
      <c r="C28" s="614" t="n">
        <v>0</v>
      </c>
      <c r="D28" s="614" t="n">
        <v>0</v>
      </c>
      <c r="E28" s="614" t="n">
        <v>0</v>
      </c>
      <c r="F28" s="614" t="n">
        <v>0</v>
      </c>
      <c r="G28" s="615" t="n">
        <v>20</v>
      </c>
      <c r="H28" s="614" t="n">
        <v>0</v>
      </c>
      <c r="I28" s="615" t="n">
        <v>0</v>
      </c>
      <c r="J28" s="615" t="n">
        <v>0</v>
      </c>
      <c r="K28" s="614" t="n">
        <v>0</v>
      </c>
    </row>
    <row r="29">
      <c r="A29" s="444" t="inlineStr">
        <is>
          <t>00000000056376 - CAIXA QDB  G INST 2023</t>
        </is>
      </c>
      <c r="B29" s="616" t="n">
        <v>0</v>
      </c>
      <c r="C29" s="616" t="n">
        <v>0</v>
      </c>
      <c r="D29" s="616" t="n">
        <v>0</v>
      </c>
      <c r="E29" s="615" t="n">
        <v>20</v>
      </c>
      <c r="F29" s="616" t="n">
        <v>0</v>
      </c>
      <c r="G29" s="615" t="n">
        <v>94</v>
      </c>
      <c r="H29" s="615" t="n">
        <v>15</v>
      </c>
      <c r="I29" s="615" t="n">
        <v>2</v>
      </c>
      <c r="J29" s="615" t="n">
        <v>20</v>
      </c>
      <c r="K29" s="616" t="n">
        <v>0</v>
      </c>
    </row>
    <row r="30">
      <c r="A30" s="441" t="inlineStr">
        <is>
          <t>00000000056378 - KIT CAIXA QDB M INST 2023 VD</t>
        </is>
      </c>
      <c r="B30" s="614" t="n">
        <v>0</v>
      </c>
      <c r="C30" s="614" t="n">
        <v>0</v>
      </c>
      <c r="D30" s="614" t="n">
        <v>0</v>
      </c>
      <c r="E30" s="615" t="n">
        <v>10</v>
      </c>
      <c r="F30" s="614" t="n">
        <v>0</v>
      </c>
      <c r="G30" s="615" t="n">
        <v>40</v>
      </c>
      <c r="H30" s="615" t="n">
        <v>12</v>
      </c>
      <c r="I30" s="615" t="n">
        <v>22</v>
      </c>
      <c r="J30" s="614" t="n">
        <v>0</v>
      </c>
      <c r="K30" s="615" t="n">
        <v>9</v>
      </c>
    </row>
    <row r="31">
      <c r="A31" s="446" t="inlineStr">
        <is>
          <t>00000000053651 - KIT SACOLA EUDORA  INST 2022 P</t>
        </is>
      </c>
      <c r="B31" s="617" t="n">
        <v>0</v>
      </c>
      <c r="C31" s="617" t="n">
        <v>0</v>
      </c>
      <c r="D31" s="617" t="n">
        <v>0</v>
      </c>
      <c r="E31" s="617" t="n">
        <v>127</v>
      </c>
      <c r="F31" s="617" t="n">
        <v>0</v>
      </c>
      <c r="G31" s="617" t="n">
        <v>0</v>
      </c>
      <c r="H31" s="617" t="n">
        <v>0</v>
      </c>
      <c r="I31" s="616" t="n">
        <v>0</v>
      </c>
      <c r="J31" s="616" t="n">
        <v>0</v>
      </c>
      <c r="K31" s="616" t="n">
        <v>0</v>
      </c>
    </row>
    <row r="32">
      <c r="A32" s="446" t="inlineStr">
        <is>
          <t>00000000053944 - KIT SACOLA EUDORA M UNIT INST 2022</t>
        </is>
      </c>
      <c r="B32" s="617" t="n">
        <v>0</v>
      </c>
      <c r="C32" s="617" t="n">
        <v>0</v>
      </c>
      <c r="D32" s="617" t="n">
        <v>-37</v>
      </c>
      <c r="E32" s="617" t="n">
        <v>0</v>
      </c>
      <c r="F32" s="617" t="n">
        <v>0</v>
      </c>
      <c r="G32" s="617" t="n">
        <v>0</v>
      </c>
      <c r="H32" s="617" t="n">
        <v>0</v>
      </c>
      <c r="I32" s="614" t="n">
        <v>0</v>
      </c>
      <c r="J32" s="614" t="n">
        <v>0</v>
      </c>
      <c r="K32" s="614" t="n">
        <v>0</v>
      </c>
    </row>
    <row r="33">
      <c r="A33" s="444" t="inlineStr">
        <is>
          <t>00000000052276 - KIT SACOLA P INST EUD 2022 C/10 VD</t>
        </is>
      </c>
      <c r="B33" s="616" t="n">
        <v>0</v>
      </c>
      <c r="C33" s="615" t="n">
        <v>54</v>
      </c>
      <c r="D33" s="615" t="n">
        <v>16</v>
      </c>
      <c r="E33" s="615" t="n">
        <v>24</v>
      </c>
      <c r="F33" s="615" t="n">
        <v>0</v>
      </c>
      <c r="G33" s="615" t="n">
        <v>19</v>
      </c>
      <c r="H33" s="615" t="n">
        <v>36</v>
      </c>
      <c r="I33" s="615" t="n">
        <v>17</v>
      </c>
      <c r="J33" s="615" t="n">
        <v>30</v>
      </c>
      <c r="K33" s="615" t="n">
        <v>0</v>
      </c>
    </row>
    <row r="34">
      <c r="A34" s="441" t="inlineStr">
        <is>
          <t>00000000052288 - KIT SACOLA M EUD INST 2022 C/10 VD</t>
        </is>
      </c>
      <c r="B34" s="614" t="n">
        <v>0</v>
      </c>
      <c r="C34" s="615" t="n">
        <v>35</v>
      </c>
      <c r="D34" s="615" t="n">
        <v>60</v>
      </c>
      <c r="E34" s="615" t="n">
        <v>40</v>
      </c>
      <c r="F34" s="615" t="n">
        <v>0</v>
      </c>
      <c r="G34" s="615" t="n">
        <v>0</v>
      </c>
      <c r="H34" s="615" t="n">
        <v>17</v>
      </c>
      <c r="I34" s="615" t="n">
        <v>34</v>
      </c>
      <c r="J34" s="615" t="n">
        <v>15</v>
      </c>
      <c r="K34" s="615" t="n">
        <v>2</v>
      </c>
    </row>
    <row r="35">
      <c r="A35" s="444" t="inlineStr">
        <is>
          <t>00000000053653 - KIT SACOLA EUDORA G UNIT INST 2022</t>
        </is>
      </c>
      <c r="B35" s="616" t="n">
        <v>0</v>
      </c>
      <c r="C35" s="615" t="n">
        <v>44</v>
      </c>
      <c r="D35" s="615" t="n">
        <v>9</v>
      </c>
      <c r="E35" s="615" t="n">
        <v>0</v>
      </c>
      <c r="F35" s="615" t="n">
        <v>0</v>
      </c>
      <c r="G35" s="615" t="n">
        <v>0</v>
      </c>
      <c r="H35" s="615" t="n">
        <v>0</v>
      </c>
      <c r="I35" s="615" t="n">
        <v>0</v>
      </c>
      <c r="J35" s="615" t="n">
        <v>0</v>
      </c>
      <c r="K35" s="615" t="n">
        <v>0</v>
      </c>
    </row>
    <row r="36">
      <c r="A36" s="441" t="inlineStr">
        <is>
          <t>00000000053654 - KIT CAIXA P EUDORA INST 2022</t>
        </is>
      </c>
      <c r="B36" s="614" t="n">
        <v>0</v>
      </c>
      <c r="C36" s="615" t="n">
        <v>135</v>
      </c>
      <c r="D36" s="615" t="n">
        <v>118</v>
      </c>
      <c r="E36" s="615" t="n">
        <v>0</v>
      </c>
      <c r="F36" s="615" t="n">
        <v>1</v>
      </c>
      <c r="G36" s="615" t="n">
        <v>77</v>
      </c>
      <c r="H36" s="615" t="n">
        <v>29</v>
      </c>
      <c r="I36" s="615" t="n">
        <v>142</v>
      </c>
      <c r="J36" s="615" t="n">
        <v>8</v>
      </c>
      <c r="K36" s="615" t="n">
        <v>6</v>
      </c>
    </row>
    <row r="37">
      <c r="A37" s="444" t="inlineStr">
        <is>
          <t>00000000053655 - KIT CAIXA  EUDORA INST 2022 M</t>
        </is>
      </c>
      <c r="B37" s="616" t="n">
        <v>0</v>
      </c>
      <c r="C37" s="615" t="n">
        <v>66</v>
      </c>
      <c r="D37" s="615" t="n">
        <v>25</v>
      </c>
      <c r="E37" s="615" t="n">
        <v>3</v>
      </c>
      <c r="F37" s="615" t="n">
        <v>0</v>
      </c>
      <c r="G37" s="615" t="n">
        <v>27</v>
      </c>
      <c r="H37" s="615" t="n">
        <v>88</v>
      </c>
      <c r="I37" s="615" t="n">
        <v>0</v>
      </c>
      <c r="J37" s="615" t="n">
        <v>16</v>
      </c>
      <c r="K37" s="615" t="n">
        <v>0</v>
      </c>
    </row>
    <row r="38">
      <c r="A38" s="441" t="inlineStr">
        <is>
          <t>00000000053656 - KIT CAIXA G EUDORA INST 2022</t>
        </is>
      </c>
      <c r="B38" s="614" t="n">
        <v>0</v>
      </c>
      <c r="C38" s="615" t="n">
        <v>38</v>
      </c>
      <c r="D38" s="615" t="n">
        <v>0</v>
      </c>
      <c r="E38" s="615" t="n">
        <v>9</v>
      </c>
      <c r="F38" s="615" t="n">
        <v>15</v>
      </c>
      <c r="G38" s="615" t="n">
        <v>28</v>
      </c>
      <c r="H38" s="615" t="n">
        <v>23</v>
      </c>
      <c r="I38" s="615" t="n">
        <v>30</v>
      </c>
      <c r="J38" s="615" t="n">
        <v>17</v>
      </c>
      <c r="K38" s="615" t="n">
        <v>10</v>
      </c>
    </row>
    <row r="39" ht="15.75" customHeight="1" thickBot="1">
      <c r="A39" s="448" t="n"/>
      <c r="B39" s="618" t="n"/>
      <c r="C39" s="618" t="n"/>
      <c r="D39" s="618" t="n"/>
      <c r="E39" s="618" t="n"/>
      <c r="F39" s="618" t="n"/>
      <c r="G39" s="618" t="n"/>
      <c r="H39" s="618" t="n"/>
      <c r="I39" s="618" t="n"/>
      <c r="J39" s="618" t="n"/>
      <c r="K39" s="618" t="n"/>
    </row>
    <row r="40">
      <c r="A40" s="450" t="inlineStr">
        <is>
          <t>00000000094371 - SACOLA M EUDORA UNIT MAES 2026</t>
        </is>
      </c>
      <c r="B40" s="619" t="n">
        <v>0</v>
      </c>
      <c r="C40" s="620" t="n">
        <v>9</v>
      </c>
      <c r="D40" s="620" t="n">
        <v>-45</v>
      </c>
      <c r="E40" s="620" t="n">
        <v>0</v>
      </c>
      <c r="F40" s="620" t="n">
        <v>0</v>
      </c>
      <c r="G40" s="620" t="n">
        <v>0</v>
      </c>
      <c r="H40" s="620" t="n">
        <v>0</v>
      </c>
      <c r="I40" s="620" t="n">
        <v>0</v>
      </c>
      <c r="J40" s="620" t="n">
        <v>0</v>
      </c>
      <c r="K40" s="621" t="n">
        <v>32</v>
      </c>
    </row>
    <row r="41">
      <c r="A41" s="454" t="inlineStr">
        <is>
          <t>00000000095162 - KIT TAG VD REVEND EUD INSTIT 2025 C/20</t>
        </is>
      </c>
      <c r="B41" s="616" t="n">
        <v>0</v>
      </c>
      <c r="C41" s="615" t="n">
        <v>0</v>
      </c>
      <c r="D41" s="615" t="n">
        <v>0</v>
      </c>
      <c r="E41" s="615" t="n">
        <v>0</v>
      </c>
      <c r="F41" s="615" t="n">
        <v>0</v>
      </c>
      <c r="G41" s="615" t="n">
        <v>0</v>
      </c>
      <c r="H41" s="615" t="n">
        <v>0</v>
      </c>
      <c r="I41" s="615" t="n">
        <v>5</v>
      </c>
      <c r="J41" s="615" t="n">
        <v>8</v>
      </c>
      <c r="K41" s="622" t="n">
        <v>3</v>
      </c>
    </row>
    <row r="42">
      <c r="A42" s="456" t="inlineStr">
        <is>
          <t>00000000088796 - CAIXA EUDORA M INST/25 UNIT</t>
        </is>
      </c>
      <c r="B42" s="614" t="n">
        <v>0</v>
      </c>
      <c r="C42" s="615" t="n">
        <v>44</v>
      </c>
      <c r="D42" s="615" t="n">
        <v>29</v>
      </c>
      <c r="E42" s="615" t="n">
        <v>14</v>
      </c>
      <c r="F42" s="615" t="n">
        <v>0</v>
      </c>
      <c r="G42" s="615" t="n">
        <v>49</v>
      </c>
      <c r="H42" s="615" t="n">
        <v>50</v>
      </c>
      <c r="I42" s="615" t="n">
        <v>96</v>
      </c>
      <c r="J42" s="615" t="n">
        <v>40</v>
      </c>
      <c r="K42" s="622" t="n">
        <v>49</v>
      </c>
    </row>
    <row r="43" ht="15.75" customHeight="1" thickBot="1">
      <c r="A43" s="457" t="inlineStr">
        <is>
          <t>00000000088799 - ENVELOPE EUDORA P INST/25 UNIT</t>
        </is>
      </c>
      <c r="B43" s="623" t="n">
        <v>0</v>
      </c>
      <c r="C43" s="624" t="n">
        <v>114</v>
      </c>
      <c r="D43" s="624" t="n">
        <v>0</v>
      </c>
      <c r="E43" s="624" t="n">
        <v>0</v>
      </c>
      <c r="F43" s="624" t="n">
        <v>0</v>
      </c>
      <c r="G43" s="624" t="n">
        <v>142</v>
      </c>
      <c r="H43" s="624" t="n">
        <v>31</v>
      </c>
      <c r="I43" s="624" t="n">
        <v>21</v>
      </c>
      <c r="J43" s="624" t="n">
        <v>65</v>
      </c>
      <c r="K43" s="625" t="n">
        <v>49</v>
      </c>
    </row>
    <row r="44">
      <c r="A44" s="450" t="inlineStr">
        <is>
          <t>00000000096442 - SACOLA P MAES 2026 2025 BOTI UNIT</t>
        </is>
      </c>
      <c r="B44" s="619" t="n">
        <v>0</v>
      </c>
      <c r="C44" s="620" t="n">
        <v>211</v>
      </c>
      <c r="D44" s="620" t="n">
        <v>414</v>
      </c>
      <c r="E44" s="620" t="n">
        <v>80</v>
      </c>
      <c r="F44" s="620" t="n">
        <v>0</v>
      </c>
      <c r="G44" s="620" t="n">
        <v>82</v>
      </c>
      <c r="H44" s="620" t="n">
        <v>10</v>
      </c>
      <c r="I44" s="620" t="n">
        <v>0</v>
      </c>
      <c r="J44" s="620" t="n">
        <v>119</v>
      </c>
      <c r="K44" s="621" t="n">
        <v>0</v>
      </c>
    </row>
    <row r="45">
      <c r="A45" s="454" t="inlineStr">
        <is>
          <t>00000000096443 - SACOLA M MAES/26 BOTI UNIT</t>
        </is>
      </c>
      <c r="B45" s="616" t="n">
        <v>0</v>
      </c>
      <c r="C45" s="615" t="n">
        <v>424</v>
      </c>
      <c r="D45" s="615" t="n">
        <v>743</v>
      </c>
      <c r="E45" s="615" t="n">
        <v>189</v>
      </c>
      <c r="F45" s="615" t="n">
        <v>0</v>
      </c>
      <c r="G45" s="615" t="n">
        <v>10</v>
      </c>
      <c r="H45" s="615" t="n">
        <v>15</v>
      </c>
      <c r="I45" s="615" t="n">
        <v>0</v>
      </c>
      <c r="J45" s="615" t="n">
        <v>0</v>
      </c>
      <c r="K45" s="622" t="n">
        <v>0</v>
      </c>
    </row>
    <row r="46">
      <c r="A46" s="456" t="inlineStr">
        <is>
          <t>00000000096444 - SACOLA G MAES 2026 BOTI UNIT</t>
        </is>
      </c>
      <c r="B46" s="614" t="n">
        <v>0</v>
      </c>
      <c r="C46" s="615" t="n">
        <v>0</v>
      </c>
      <c r="D46" s="615" t="n">
        <v>64</v>
      </c>
      <c r="E46" s="615" t="n">
        <v>0</v>
      </c>
      <c r="F46" s="615" t="n">
        <v>0</v>
      </c>
      <c r="G46" s="615" t="n">
        <v>0</v>
      </c>
      <c r="H46" s="615" t="n">
        <v>0</v>
      </c>
      <c r="I46" s="615" t="n">
        <v>0</v>
      </c>
      <c r="J46" s="615" t="n">
        <v>0</v>
      </c>
      <c r="K46" s="622" t="n">
        <v>0</v>
      </c>
    </row>
    <row r="47">
      <c r="A47" s="454" t="inlineStr">
        <is>
          <t>00000000097241 - KIT PAPEL SEDA BOTI MAES 2026 C/20 VD</t>
        </is>
      </c>
      <c r="B47" s="616" t="n">
        <v>0</v>
      </c>
      <c r="C47" s="615" t="n">
        <v>0</v>
      </c>
      <c r="D47" s="615" t="n">
        <v>4</v>
      </c>
      <c r="E47" s="615" t="n">
        <v>0</v>
      </c>
      <c r="F47" s="615" t="n">
        <v>1</v>
      </c>
      <c r="G47" s="615" t="n">
        <v>0</v>
      </c>
      <c r="H47" s="615" t="n">
        <v>0</v>
      </c>
      <c r="I47" s="615" t="n">
        <v>0</v>
      </c>
      <c r="J47" s="615" t="n">
        <v>0</v>
      </c>
      <c r="K47" s="622" t="n">
        <v>1</v>
      </c>
    </row>
    <row r="48">
      <c r="A48" s="456" t="inlineStr">
        <is>
          <t>00000000096437 - CAIXA LACO P MAES/26 BOTI UNIT</t>
        </is>
      </c>
      <c r="B48" s="614" t="n">
        <v>0</v>
      </c>
      <c r="C48" s="615" t="n">
        <v>0</v>
      </c>
      <c r="D48" s="615" t="n">
        <v>0</v>
      </c>
      <c r="E48" s="615" t="n">
        <v>1</v>
      </c>
      <c r="F48" s="615" t="n">
        <v>3</v>
      </c>
      <c r="G48" s="615" t="n">
        <v>31</v>
      </c>
      <c r="H48" s="615" t="n">
        <v>63</v>
      </c>
      <c r="I48" s="615" t="n">
        <v>0</v>
      </c>
      <c r="J48" s="615" t="n">
        <v>77</v>
      </c>
      <c r="K48" s="622" t="n">
        <v>0</v>
      </c>
    </row>
    <row r="49">
      <c r="A49" s="454" t="inlineStr">
        <is>
          <t>00000000096438 - CAIXA LACO M MAES/26 BOTI UNIT</t>
        </is>
      </c>
      <c r="B49" s="616" t="n">
        <v>0</v>
      </c>
      <c r="C49" s="615" t="n">
        <v>0</v>
      </c>
      <c r="D49" s="615" t="n">
        <v>0</v>
      </c>
      <c r="E49" s="615" t="n">
        <v>10</v>
      </c>
      <c r="F49" s="615" t="n">
        <v>3</v>
      </c>
      <c r="G49" s="615" t="n">
        <v>0</v>
      </c>
      <c r="H49" s="615" t="n">
        <v>0</v>
      </c>
      <c r="I49" s="615" t="n">
        <v>0</v>
      </c>
      <c r="J49" s="615" t="n">
        <v>82</v>
      </c>
      <c r="K49" s="622" t="n">
        <v>13</v>
      </c>
    </row>
    <row r="50" ht="15.75" customHeight="1" thickBot="1">
      <c r="A50" s="461" t="inlineStr">
        <is>
          <t>00000000096441 - ENVELOPE M MAES 2026 BOTI UNIT</t>
        </is>
      </c>
      <c r="B50" s="626" t="n">
        <v>0</v>
      </c>
      <c r="C50" s="624" t="n">
        <v>0</v>
      </c>
      <c r="D50" s="624" t="n">
        <v>0</v>
      </c>
      <c r="E50" s="624" t="n">
        <v>0</v>
      </c>
      <c r="F50" s="624" t="n">
        <v>0</v>
      </c>
      <c r="G50" s="624" t="n">
        <v>0</v>
      </c>
      <c r="H50" s="624" t="n">
        <v>0</v>
      </c>
      <c r="I50" s="624" t="n">
        <v>0</v>
      </c>
      <c r="J50" s="624" t="n">
        <v>34</v>
      </c>
      <c r="K50" s="625" t="n">
        <v>30</v>
      </c>
    </row>
    <row r="51">
      <c r="A51" s="463" t="inlineStr">
        <is>
          <t>00000000085706 - KIT SACOLA M EUDORA UNIT NATAL 2025</t>
        </is>
      </c>
      <c r="B51" s="627" t="n">
        <v>0</v>
      </c>
      <c r="C51" s="620" t="n">
        <v>0</v>
      </c>
      <c r="D51" s="620" t="n">
        <v>0</v>
      </c>
      <c r="E51" s="620" t="n">
        <v>0</v>
      </c>
      <c r="F51" s="620" t="n">
        <v>0</v>
      </c>
      <c r="G51" s="620" t="n">
        <v>0</v>
      </c>
      <c r="H51" s="620" t="n">
        <v>0</v>
      </c>
      <c r="I51" s="620" t="n">
        <v>0</v>
      </c>
      <c r="J51" s="620" t="n">
        <v>0</v>
      </c>
      <c r="K51" s="621" t="n">
        <v>13</v>
      </c>
    </row>
    <row r="52">
      <c r="A52" s="456" t="inlineStr">
        <is>
          <t>00000000094959 - PAPEL DE SEDA EUDORA UNITARIO NATAL 25</t>
        </is>
      </c>
      <c r="B52" s="614" t="n">
        <v>0</v>
      </c>
      <c r="C52" s="615" t="n">
        <v>0</v>
      </c>
      <c r="D52" s="615" t="n">
        <v>0</v>
      </c>
      <c r="E52" s="615" t="n">
        <v>0</v>
      </c>
      <c r="F52" s="615" t="n">
        <v>0</v>
      </c>
      <c r="G52" s="615" t="n">
        <v>99</v>
      </c>
      <c r="H52" s="615" t="n">
        <v>0</v>
      </c>
      <c r="I52" s="615" t="n">
        <v>0</v>
      </c>
      <c r="J52" s="615" t="n">
        <v>136</v>
      </c>
      <c r="K52" s="622" t="n">
        <v>130</v>
      </c>
    </row>
    <row r="53">
      <c r="A53" s="454" t="inlineStr">
        <is>
          <t>00000000095150 - KIT TAG VD REVEN EUD INST 2025 MOD C/200</t>
        </is>
      </c>
      <c r="B53" s="616" t="n">
        <v>0</v>
      </c>
      <c r="C53" s="615" t="n">
        <v>0</v>
      </c>
      <c r="D53" s="615" t="n">
        <v>0</v>
      </c>
      <c r="E53" s="615" t="n">
        <v>0</v>
      </c>
      <c r="F53" s="615" t="n">
        <v>0</v>
      </c>
      <c r="G53" s="615" t="n">
        <v>5</v>
      </c>
      <c r="H53" s="615" t="n">
        <v>5</v>
      </c>
      <c r="I53" s="615" t="n">
        <v>0</v>
      </c>
      <c r="J53" s="615" t="n">
        <v>0</v>
      </c>
      <c r="K53" s="622" t="n">
        <v>0</v>
      </c>
    </row>
    <row r="54">
      <c r="A54" s="456" t="inlineStr">
        <is>
          <t>00000000085705 - KIT CAIXA M EUDORA UNIT NATAL 2025</t>
        </is>
      </c>
      <c r="B54" s="614" t="n">
        <v>0</v>
      </c>
      <c r="C54" s="615" t="n">
        <v>60</v>
      </c>
      <c r="D54" s="615" t="n">
        <v>27</v>
      </c>
      <c r="E54" s="615" t="n">
        <v>27</v>
      </c>
      <c r="F54" s="615" t="n">
        <v>10</v>
      </c>
      <c r="G54" s="615" t="n">
        <v>43</v>
      </c>
      <c r="H54" s="615" t="n">
        <v>29</v>
      </c>
      <c r="I54" s="615" t="n">
        <v>39</v>
      </c>
      <c r="J54" s="615" t="n">
        <v>105</v>
      </c>
      <c r="K54" s="622" t="n">
        <v>23</v>
      </c>
    </row>
    <row r="55" ht="15.75" customHeight="1" thickBot="1">
      <c r="A55" s="457" t="inlineStr">
        <is>
          <t>00000000085704 - ENVELOPE P EUDORA UNIT NATAL 2025</t>
        </is>
      </c>
      <c r="B55" s="623" t="n">
        <v>0</v>
      </c>
      <c r="C55" s="624" t="n">
        <v>0</v>
      </c>
      <c r="D55" s="624" t="n">
        <v>7</v>
      </c>
      <c r="E55" s="624" t="n">
        <v>0</v>
      </c>
      <c r="F55" s="624" t="n">
        <v>6</v>
      </c>
      <c r="G55" s="624" t="n">
        <v>163</v>
      </c>
      <c r="H55" s="624" t="n">
        <v>82</v>
      </c>
      <c r="I55" s="624" t="n">
        <v>75</v>
      </c>
      <c r="J55" s="624" t="n">
        <v>180</v>
      </c>
      <c r="K55" s="625" t="n">
        <v>21</v>
      </c>
    </row>
    <row r="56">
      <c r="A56" s="450" t="inlineStr">
        <is>
          <t>00000000094783 - SACOLA P NATAL 2025 BOTI UNIT</t>
        </is>
      </c>
      <c r="B56" s="619" t="n">
        <v>0</v>
      </c>
      <c r="C56" s="620" t="n">
        <v>0</v>
      </c>
      <c r="D56" s="620" t="n">
        <v>0</v>
      </c>
      <c r="E56" s="620" t="n">
        <v>0</v>
      </c>
      <c r="F56" s="620" t="n">
        <v>0</v>
      </c>
      <c r="G56" s="620" t="n">
        <v>2</v>
      </c>
      <c r="H56" s="620" t="n">
        <v>0</v>
      </c>
      <c r="I56" s="620" t="n">
        <v>0</v>
      </c>
      <c r="J56" s="620" t="n">
        <v>0</v>
      </c>
      <c r="K56" s="621" t="n">
        <v>0</v>
      </c>
    </row>
    <row r="57">
      <c r="A57" s="454" t="inlineStr">
        <is>
          <t>00000000094781 - SACOLA M NATAL 2025 BOTI UNIT</t>
        </is>
      </c>
      <c r="B57" s="616" t="n">
        <v>0</v>
      </c>
      <c r="C57" s="615" t="n">
        <v>0</v>
      </c>
      <c r="D57" s="615" t="n">
        <v>0</v>
      </c>
      <c r="E57" s="615" t="n">
        <v>0</v>
      </c>
      <c r="F57" s="615" t="n">
        <v>0</v>
      </c>
      <c r="G57" s="615" t="n">
        <v>33</v>
      </c>
      <c r="H57" s="615" t="n">
        <v>0</v>
      </c>
      <c r="I57" s="615" t="n">
        <v>0</v>
      </c>
      <c r="J57" s="615" t="n">
        <v>0</v>
      </c>
      <c r="K57" s="622" t="n">
        <v>0</v>
      </c>
    </row>
    <row r="58">
      <c r="A58" s="456" t="inlineStr">
        <is>
          <t>00000000094775 - CAIXA LACO P NATAL 2025 BOTI UNIT</t>
        </is>
      </c>
      <c r="B58" s="614" t="n">
        <v>0</v>
      </c>
      <c r="C58" s="615" t="n">
        <v>0</v>
      </c>
      <c r="D58" s="615" t="n">
        <v>0</v>
      </c>
      <c r="E58" s="615" t="n">
        <v>0</v>
      </c>
      <c r="F58" s="615" t="n">
        <v>0</v>
      </c>
      <c r="G58" s="615" t="n">
        <v>5</v>
      </c>
      <c r="H58" s="615" t="n">
        <v>26</v>
      </c>
      <c r="I58" s="615" t="n">
        <v>49</v>
      </c>
      <c r="J58" s="615" t="n">
        <v>99</v>
      </c>
      <c r="K58" s="622" t="n">
        <v>15</v>
      </c>
    </row>
    <row r="59">
      <c r="A59" s="454" t="inlineStr">
        <is>
          <t>00000000094776 - CAIXA LACO M NATAL 2025 BOTI UNIT</t>
        </is>
      </c>
      <c r="B59" s="616" t="n">
        <v>0</v>
      </c>
      <c r="C59" s="615" t="n">
        <v>0</v>
      </c>
      <c r="D59" s="615" t="n">
        <v>0</v>
      </c>
      <c r="E59" s="615" t="n">
        <v>0</v>
      </c>
      <c r="F59" s="615" t="n">
        <v>0</v>
      </c>
      <c r="G59" s="615" t="n">
        <v>0</v>
      </c>
      <c r="H59" s="615" t="n">
        <v>0</v>
      </c>
      <c r="I59" s="615" t="n">
        <v>0</v>
      </c>
      <c r="J59" s="615" t="n">
        <v>40</v>
      </c>
      <c r="K59" s="622" t="n">
        <v>22</v>
      </c>
    </row>
    <row r="60">
      <c r="A60" s="456" t="inlineStr">
        <is>
          <t>00000000094778 - ENVELOPE P NATAL 2025 BOT UNIT</t>
        </is>
      </c>
      <c r="B60" s="614" t="n">
        <v>0</v>
      </c>
      <c r="C60" s="615" t="n">
        <v>0</v>
      </c>
      <c r="D60" s="615" t="n">
        <v>0</v>
      </c>
      <c r="E60" s="615" t="n">
        <v>0</v>
      </c>
      <c r="F60" s="615" t="n">
        <v>0</v>
      </c>
      <c r="G60" s="615" t="n">
        <v>0</v>
      </c>
      <c r="H60" s="615" t="n">
        <v>0</v>
      </c>
      <c r="I60" s="615" t="n">
        <v>3</v>
      </c>
      <c r="J60" s="615" t="n">
        <v>13</v>
      </c>
      <c r="K60" s="622" t="n">
        <v>1</v>
      </c>
    </row>
    <row r="61" ht="15.75" customHeight="1" thickBot="1">
      <c r="A61" s="465" t="inlineStr">
        <is>
          <t>00000000094779 - ENVELOPE M NATAL 2025 BOTI UNIT</t>
        </is>
      </c>
      <c r="B61" s="628" t="n">
        <v>0</v>
      </c>
      <c r="C61" s="629" t="n">
        <v>0</v>
      </c>
      <c r="D61" s="629" t="n">
        <v>0</v>
      </c>
      <c r="E61" s="629" t="n">
        <v>0</v>
      </c>
      <c r="F61" s="629" t="n">
        <v>0</v>
      </c>
      <c r="G61" s="629" t="n">
        <v>0</v>
      </c>
      <c r="H61" s="629" t="n">
        <v>0</v>
      </c>
      <c r="I61" s="629" t="n">
        <v>11</v>
      </c>
      <c r="J61" s="629" t="n">
        <v>51</v>
      </c>
      <c r="K61" s="630" t="n">
        <v>30</v>
      </c>
    </row>
    <row r="62">
      <c r="A62" s="469" t="inlineStr">
        <is>
          <t>00000000096584 - SACOLA M AMOR 2026 2025 BOTI UNIT</t>
        </is>
      </c>
      <c r="B62" s="631" t="n">
        <v>0</v>
      </c>
      <c r="C62" s="631" t="n">
        <v>0</v>
      </c>
      <c r="D62" s="631" t="n">
        <v>0</v>
      </c>
      <c r="E62" s="631" t="n">
        <v>0</v>
      </c>
      <c r="F62" s="631" t="n">
        <v>0</v>
      </c>
      <c r="G62" s="631" t="n">
        <v>0</v>
      </c>
      <c r="H62" s="631" t="n">
        <v>0</v>
      </c>
      <c r="I62" s="631" t="n">
        <v>200</v>
      </c>
      <c r="J62" s="631" t="n">
        <v>0</v>
      </c>
      <c r="K62" s="632" t="n">
        <v>0</v>
      </c>
    </row>
    <row r="63">
      <c r="A63" s="472" t="inlineStr">
        <is>
          <t>00000000097579 - SEDA BOTI VD REVEND AMOR 2026 MOD C/20</t>
        </is>
      </c>
      <c r="B63" s="616" t="n">
        <v>0</v>
      </c>
      <c r="C63" s="616" t="n">
        <v>0</v>
      </c>
      <c r="D63" s="616" t="n">
        <v>0</v>
      </c>
      <c r="E63" s="616" t="n">
        <v>0</v>
      </c>
      <c r="F63" s="616" t="n">
        <v>0</v>
      </c>
      <c r="G63" s="616" t="n">
        <v>0</v>
      </c>
      <c r="H63" s="616" t="n">
        <v>0</v>
      </c>
      <c r="I63" s="616" t="n">
        <v>10</v>
      </c>
      <c r="J63" s="616" t="n">
        <v>0</v>
      </c>
      <c r="K63" s="633" t="n">
        <v>0</v>
      </c>
    </row>
    <row r="64">
      <c r="A64" s="474" t="inlineStr">
        <is>
          <t>00000000097622 - ADES SACOLA REV BOTI AMOR/26 MOD C/20 VD</t>
        </is>
      </c>
      <c r="B64" s="614" t="n">
        <v>0</v>
      </c>
      <c r="C64" s="614" t="n">
        <v>0</v>
      </c>
      <c r="D64" s="614" t="n">
        <v>0</v>
      </c>
      <c r="E64" s="614" t="n">
        <v>0</v>
      </c>
      <c r="F64" s="614" t="n">
        <v>0</v>
      </c>
      <c r="G64" s="614" t="n">
        <v>0</v>
      </c>
      <c r="H64" s="614" t="n">
        <v>0</v>
      </c>
      <c r="I64" s="614" t="n">
        <v>10</v>
      </c>
      <c r="J64" s="614" t="n">
        <v>0</v>
      </c>
      <c r="K64" s="634" t="n">
        <v>0</v>
      </c>
    </row>
    <row r="65" ht="15.75" customHeight="1" thickBot="1">
      <c r="A65" s="476" t="inlineStr">
        <is>
          <t>00000000096583 - ENVELOPE M AMOR 2026 BOTI UNIT</t>
        </is>
      </c>
      <c r="B65" s="635" t="n">
        <v>0</v>
      </c>
      <c r="C65" s="635" t="n">
        <v>0</v>
      </c>
      <c r="D65" s="635" t="n">
        <v>0</v>
      </c>
      <c r="E65" s="635" t="n">
        <v>0</v>
      </c>
      <c r="F65" s="635" t="n">
        <v>0</v>
      </c>
      <c r="G65" s="635" t="n">
        <v>0</v>
      </c>
      <c r="H65" s="635" t="n">
        <v>0</v>
      </c>
      <c r="I65" s="635" t="n">
        <v>50</v>
      </c>
      <c r="J65" s="635" t="n">
        <v>0</v>
      </c>
      <c r="K65" s="636" t="n">
        <v>0</v>
      </c>
    </row>
    <row r="66">
      <c r="A66" s="479" t="inlineStr">
        <is>
          <t>00000000053657 - EUDORA ENVELOPE INST 2022 P</t>
        </is>
      </c>
      <c r="B66" s="637" t="n">
        <v>0</v>
      </c>
      <c r="C66" s="637" t="n">
        <v>0</v>
      </c>
      <c r="D66" s="637" t="n">
        <v>0</v>
      </c>
      <c r="E66" s="637" t="n">
        <v>0</v>
      </c>
      <c r="F66" s="637" t="n">
        <v>0</v>
      </c>
      <c r="G66" s="637" t="n">
        <v>0</v>
      </c>
      <c r="H66" s="637" t="n">
        <v>1</v>
      </c>
      <c r="I66" s="637" t="n">
        <v>0</v>
      </c>
      <c r="J66" s="637" t="n">
        <v>0</v>
      </c>
      <c r="K66" s="637" t="n">
        <v>0</v>
      </c>
    </row>
    <row r="67">
      <c r="A67" s="444" t="inlineStr">
        <is>
          <t>00000000086027 - CAIXA DIVERTIDAMENTE M INFANTIL 2024</t>
        </is>
      </c>
      <c r="B67" s="616" t="n">
        <v>0</v>
      </c>
      <c r="C67" s="616" t="n">
        <v>0</v>
      </c>
      <c r="D67" s="616" t="n">
        <v>22</v>
      </c>
      <c r="E67" s="616" t="n">
        <v>0</v>
      </c>
      <c r="F67" s="616" t="n">
        <v>0</v>
      </c>
      <c r="G67" s="616" t="n">
        <v>0</v>
      </c>
      <c r="H67" s="616" t="n">
        <v>0</v>
      </c>
      <c r="I67" s="616" t="n">
        <v>0</v>
      </c>
      <c r="J67" s="616" t="n">
        <v>0</v>
      </c>
      <c r="K67" s="616" t="n">
        <v>0</v>
      </c>
    </row>
    <row r="68">
      <c r="A68" s="441" t="inlineStr">
        <is>
          <t>00000000087691 - COLECIONAV BOT NAT/24 CONE ARVORE UNIT</t>
        </is>
      </c>
      <c r="B68" s="614" t="n">
        <v>0</v>
      </c>
      <c r="C68" s="614" t="n">
        <v>0</v>
      </c>
      <c r="D68" s="614" t="n">
        <v>3</v>
      </c>
      <c r="E68" s="614" t="n">
        <v>8</v>
      </c>
      <c r="F68" s="614" t="n">
        <v>0</v>
      </c>
      <c r="G68" s="614" t="n">
        <v>0</v>
      </c>
      <c r="H68" s="614" t="n">
        <v>161</v>
      </c>
      <c r="I68" s="614" t="n">
        <v>0</v>
      </c>
      <c r="J68" s="614" t="n">
        <v>208</v>
      </c>
      <c r="K68" s="614" t="n">
        <v>6</v>
      </c>
    </row>
    <row r="69">
      <c r="A69" s="444" t="inlineStr">
        <is>
          <t>00000000089713 - KIT TAG BOTI NAMORADOS 25 C/10 VD</t>
        </is>
      </c>
      <c r="B69" s="616" t="n">
        <v>0</v>
      </c>
      <c r="C69" s="616" t="n">
        <v>0</v>
      </c>
      <c r="D69" s="616" t="n">
        <v>5</v>
      </c>
      <c r="E69" s="616" t="n">
        <v>0</v>
      </c>
      <c r="F69" s="616" t="n">
        <v>0</v>
      </c>
      <c r="G69" s="616" t="n">
        <v>0</v>
      </c>
      <c r="H69" s="616" t="n">
        <v>0</v>
      </c>
      <c r="I69" s="616" t="n">
        <v>0</v>
      </c>
      <c r="J69" s="616" t="n">
        <v>0</v>
      </c>
      <c r="K69" s="616" t="n">
        <v>0</v>
      </c>
    </row>
    <row r="70">
      <c r="A70" s="444" t="inlineStr">
        <is>
          <t>00000000087694 - COLECIONAVEIS BOT NAT/24 BOLA UNITARIA</t>
        </is>
      </c>
      <c r="B70" s="616" t="n">
        <v>0</v>
      </c>
      <c r="C70" s="616" t="n">
        <v>0</v>
      </c>
      <c r="D70" s="616" t="n">
        <v>0</v>
      </c>
      <c r="E70" s="616" t="n">
        <v>1</v>
      </c>
      <c r="F70" s="616" t="n">
        <v>0</v>
      </c>
      <c r="G70" s="616" t="n">
        <v>0</v>
      </c>
      <c r="H70" s="616" t="n">
        <v>9</v>
      </c>
      <c r="I70" s="616" t="n">
        <v>0</v>
      </c>
      <c r="J70" s="616" t="n">
        <v>36</v>
      </c>
      <c r="K70" s="616" t="n">
        <v>14</v>
      </c>
    </row>
    <row r="71">
      <c r="A71" s="441" t="inlineStr">
        <is>
          <t>00000000090451 - CINTA P/CX M QDB MSP 2025</t>
        </is>
      </c>
      <c r="B71" s="614" t="n">
        <v>0</v>
      </c>
      <c r="C71" s="614" t="n">
        <v>0</v>
      </c>
      <c r="D71" s="614" t="n">
        <v>0</v>
      </c>
      <c r="E71" s="614" t="n">
        <v>0</v>
      </c>
      <c r="F71" s="614" t="n">
        <v>0</v>
      </c>
      <c r="G71" s="614" t="n">
        <v>0</v>
      </c>
      <c r="H71" s="614" t="n">
        <v>146</v>
      </c>
      <c r="I71" s="614" t="n">
        <v>0</v>
      </c>
      <c r="J71" s="614" t="n">
        <v>146</v>
      </c>
      <c r="K71" s="614" t="n">
        <v>0</v>
      </c>
    </row>
    <row r="72">
      <c r="A72" s="444" t="inlineStr">
        <is>
          <t>00000000090452 - CARTUCHO PRESENTE QDB MSP 2025</t>
        </is>
      </c>
      <c r="B72" s="616" t="n">
        <v>0</v>
      </c>
      <c r="C72" s="616" t="n">
        <v>0</v>
      </c>
      <c r="D72" s="616" t="n">
        <v>0</v>
      </c>
      <c r="E72" s="616" t="n">
        <v>0</v>
      </c>
      <c r="F72" s="616" t="n">
        <v>0</v>
      </c>
      <c r="G72" s="616" t="n">
        <v>0</v>
      </c>
      <c r="H72" s="616" t="n">
        <v>73</v>
      </c>
      <c r="I72" s="616" t="n">
        <v>0</v>
      </c>
      <c r="J72" s="616" t="n">
        <v>1</v>
      </c>
      <c r="K72" s="616" t="n">
        <v>0</v>
      </c>
    </row>
    <row r="73">
      <c r="A73" s="441" t="inlineStr">
        <is>
          <t>00000000090763 - KIT PAPEL SEDA BOTICARIO PAIS/25 C/20 VD</t>
        </is>
      </c>
      <c r="B73" s="614" t="n">
        <v>0</v>
      </c>
      <c r="C73" s="614" t="n">
        <v>0</v>
      </c>
      <c r="D73" s="614" t="n">
        <v>0</v>
      </c>
      <c r="E73" s="614" t="n">
        <v>10</v>
      </c>
      <c r="F73" s="614" t="n">
        <v>13</v>
      </c>
      <c r="G73" s="614" t="n">
        <v>0</v>
      </c>
      <c r="H73" s="614" t="n">
        <v>0</v>
      </c>
      <c r="I73" s="614" t="n">
        <v>0</v>
      </c>
      <c r="J73" s="614" t="n">
        <v>0</v>
      </c>
      <c r="K73" s="614" t="n">
        <v>0</v>
      </c>
    </row>
    <row r="74">
      <c r="A74" s="444" t="inlineStr">
        <is>
          <t>00000000094684 - SACOLA UNIT M ARANHA 2025 BOTI</t>
        </is>
      </c>
      <c r="B74" s="616" t="n">
        <v>0</v>
      </c>
      <c r="C74" s="616" t="n">
        <v>0</v>
      </c>
      <c r="D74" s="616" t="n">
        <v>0</v>
      </c>
      <c r="E74" s="616" t="n">
        <v>0</v>
      </c>
      <c r="F74" s="616" t="n">
        <v>0</v>
      </c>
      <c r="G74" s="615" t="n">
        <v>69</v>
      </c>
      <c r="H74" s="616" t="n">
        <v>0</v>
      </c>
      <c r="I74" s="616" t="n">
        <v>0</v>
      </c>
      <c r="J74" s="616" t="n">
        <v>0</v>
      </c>
      <c r="K74" s="616" t="n">
        <v>0</v>
      </c>
    </row>
    <row r="75">
      <c r="A75" s="441" t="inlineStr">
        <is>
          <t>00000000094682 - CAIXA LACO M BOTI ARANHA 2025 UNIT</t>
        </is>
      </c>
      <c r="B75" s="614" t="n">
        <v>0</v>
      </c>
      <c r="C75" s="614" t="n">
        <v>0</v>
      </c>
      <c r="D75" s="615" t="n">
        <v>16</v>
      </c>
      <c r="E75" s="614" t="n">
        <v>0</v>
      </c>
      <c r="F75" s="614" t="n">
        <v>0</v>
      </c>
      <c r="G75" s="615" t="n">
        <v>50</v>
      </c>
      <c r="H75" s="615" t="n">
        <v>15</v>
      </c>
      <c r="I75" s="614" t="n">
        <v>0</v>
      </c>
      <c r="J75" s="615" t="n">
        <v>29</v>
      </c>
      <c r="K75" s="615" t="n">
        <v>30</v>
      </c>
    </row>
    <row r="76">
      <c r="A76" s="444" t="inlineStr">
        <is>
          <t>00000000094688 - CAR PRESENTE QDB H/POTTER 2025</t>
        </is>
      </c>
      <c r="B76" s="616" t="n">
        <v>0</v>
      </c>
      <c r="C76" s="616" t="n">
        <v>0</v>
      </c>
      <c r="D76" s="615" t="n">
        <v>22</v>
      </c>
      <c r="E76" s="615" t="n">
        <v>10</v>
      </c>
      <c r="F76" s="616" t="n">
        <v>0</v>
      </c>
      <c r="G76" s="615" t="n">
        <v>65</v>
      </c>
      <c r="H76" s="615" t="n">
        <v>32</v>
      </c>
      <c r="I76" s="616" t="n">
        <v>0</v>
      </c>
      <c r="J76" s="615" t="n">
        <v>49</v>
      </c>
      <c r="K76" s="615" t="n">
        <v>10</v>
      </c>
    </row>
    <row r="77">
      <c r="A77" s="441" t="inlineStr">
        <is>
          <t>00000000095139 - KIT PAPEL SEDA BOTI NATAL 2025 C/20 VD</t>
        </is>
      </c>
      <c r="B77" s="614" t="n">
        <v>0</v>
      </c>
      <c r="C77" s="614" t="n">
        <v>0</v>
      </c>
      <c r="D77" s="614" t="n">
        <v>0</v>
      </c>
      <c r="E77" s="614" t="n">
        <v>0</v>
      </c>
      <c r="F77" s="614" t="n">
        <v>3</v>
      </c>
      <c r="G77" s="614" t="n">
        <v>0</v>
      </c>
      <c r="H77" s="614" t="n">
        <v>0</v>
      </c>
      <c r="I77" s="614" t="n">
        <v>0</v>
      </c>
      <c r="J77" s="614" t="n">
        <v>0</v>
      </c>
      <c r="K77" s="614" t="n">
        <v>0</v>
      </c>
    </row>
    <row r="78">
      <c r="A78" s="444" t="inlineStr">
        <is>
          <t>00000000044742 - FITA DE VEDACAO VOID DEVOLUCAO</t>
        </is>
      </c>
      <c r="B78" s="616" t="n">
        <v>0</v>
      </c>
      <c r="C78" s="616" t="n">
        <v>0</v>
      </c>
      <c r="D78" s="616" t="n">
        <v>0</v>
      </c>
      <c r="E78" s="616" t="n">
        <v>0</v>
      </c>
      <c r="F78" s="616" t="n">
        <v>0</v>
      </c>
      <c r="G78" s="616" t="n">
        <v>1</v>
      </c>
      <c r="H78" s="616" t="n">
        <v>1</v>
      </c>
      <c r="I78" s="616" t="n">
        <v>1</v>
      </c>
      <c r="J78" s="616" t="n">
        <v>0</v>
      </c>
      <c r="K78" s="616" t="n">
        <v>0</v>
      </c>
    </row>
    <row r="79">
      <c r="A79" s="441" t="inlineStr">
        <is>
          <t>00000000046054 - CAIXA PAPELAO TAMPA LIGADA DEVOLUCAO PCK</t>
        </is>
      </c>
      <c r="B79" s="614" t="n">
        <v>0</v>
      </c>
      <c r="C79" s="614" t="n">
        <v>0</v>
      </c>
      <c r="D79" s="614" t="n">
        <v>0</v>
      </c>
      <c r="E79" s="614" t="n">
        <v>0</v>
      </c>
      <c r="F79" s="614" t="n">
        <v>0</v>
      </c>
      <c r="G79" s="614" t="n">
        <v>0</v>
      </c>
      <c r="H79" s="614" t="n">
        <v>0</v>
      </c>
      <c r="I79" s="614" t="n">
        <v>24</v>
      </c>
      <c r="J79" s="614" t="n">
        <v>0</v>
      </c>
      <c r="K79" s="614" t="n">
        <v>0</v>
      </c>
    </row>
    <row r="80">
      <c r="A80" s="444" t="inlineStr">
        <is>
          <t>00000000053652 - KIT SACOLA EUDORA UNIT NATAL 2022 M</t>
        </is>
      </c>
      <c r="B80" s="616" t="n">
        <v>0</v>
      </c>
      <c r="C80" s="616" t="n">
        <v>50</v>
      </c>
      <c r="D80" s="616" t="n">
        <v>0</v>
      </c>
      <c r="E80" s="616" t="n">
        <v>0</v>
      </c>
      <c r="F80" s="616" t="n">
        <v>0</v>
      </c>
      <c r="G80" s="616" t="n">
        <v>0</v>
      </c>
      <c r="H80" s="616" t="n">
        <v>0</v>
      </c>
      <c r="I80" s="616" t="n">
        <v>0</v>
      </c>
      <c r="J80" s="616" t="n">
        <v>0</v>
      </c>
      <c r="K80" s="616" t="n">
        <v>0</v>
      </c>
    </row>
    <row r="81">
      <c r="A81" s="441" t="inlineStr">
        <is>
          <t>00000000089843 - ENVELOPE M BOTI PAIS 2025 UNIT</t>
        </is>
      </c>
      <c r="B81" s="614" t="n">
        <v>0</v>
      </c>
      <c r="C81" s="614" t="n">
        <v>0</v>
      </c>
      <c r="D81" s="614" t="n">
        <v>0</v>
      </c>
      <c r="E81" s="614" t="n">
        <v>0</v>
      </c>
      <c r="F81" s="614" t="n">
        <v>0</v>
      </c>
      <c r="G81" s="614" t="n">
        <v>9</v>
      </c>
      <c r="H81" s="614" t="n">
        <v>0</v>
      </c>
      <c r="I81" s="614" t="n">
        <v>0</v>
      </c>
      <c r="J81" s="614" t="n">
        <v>0</v>
      </c>
      <c r="K81" s="614" t="n">
        <v>0</v>
      </c>
    </row>
    <row r="82">
      <c r="A82" s="481" t="inlineStr">
        <is>
          <t>Total</t>
        </is>
      </c>
      <c r="B82" s="638" t="n">
        <v>0</v>
      </c>
      <c r="C82" s="638" t="n">
        <v>1830</v>
      </c>
      <c r="D82" s="638" t="n">
        <v>2868</v>
      </c>
      <c r="E82" s="638" t="n">
        <v>1384</v>
      </c>
      <c r="F82" s="638" t="n">
        <v>515</v>
      </c>
      <c r="G82" s="638" t="n">
        <v>1971</v>
      </c>
      <c r="H82" s="638" t="n">
        <v>1453</v>
      </c>
      <c r="I82" s="638" t="n">
        <v>1442</v>
      </c>
      <c r="J82" s="638" t="n">
        <v>2578</v>
      </c>
      <c r="K82" s="638" t="n">
        <v>647</v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22">
    <outlinePr summaryBelow="1" summaryRight="1"/>
    <pageSetUpPr/>
  </sheetPr>
  <dimension ref="A1:K82"/>
  <sheetViews>
    <sheetView topLeftCell="A51" workbookViewId="0">
      <selection activeCell="E76" sqref="E76"/>
    </sheetView>
  </sheetViews>
  <sheetFormatPr baseColWidth="8" defaultRowHeight="15"/>
  <cols>
    <col width="60.85546875" customWidth="1" style="483" min="1" max="1"/>
    <col hidden="1" width="7.28515625" customWidth="1" style="483" min="2" max="2"/>
    <col width="7.28515625" customWidth="1" style="483" min="3" max="6"/>
    <col hidden="1" width="7.28515625" customWidth="1" style="483" min="7" max="11"/>
  </cols>
  <sheetData>
    <row r="1">
      <c r="A1" s="437" t="inlineStr">
        <is>
          <t>Produtos</t>
        </is>
      </c>
      <c r="B1" s="438" t="n">
        <v>14356</v>
      </c>
      <c r="C1" s="438" t="n">
        <v>24790</v>
      </c>
      <c r="D1" s="438" t="n">
        <v>23614</v>
      </c>
      <c r="E1" s="438" t="n">
        <v>23343</v>
      </c>
      <c r="F1" s="438" t="n">
        <v>24119</v>
      </c>
      <c r="G1" s="439" t="n">
        <v>23280</v>
      </c>
      <c r="H1" s="439" t="n">
        <v>22851</v>
      </c>
      <c r="I1" s="440" t="n">
        <v>23091</v>
      </c>
      <c r="J1" s="440" t="n">
        <v>22838</v>
      </c>
      <c r="K1" s="440" t="n">
        <v>24137</v>
      </c>
    </row>
    <row r="2">
      <c r="A2" s="441" t="inlineStr">
        <is>
          <t>00000000090819 - SACOLA PP BOTICARIO INST/25</t>
        </is>
      </c>
      <c r="B2" s="614" t="n">
        <v>0</v>
      </c>
      <c r="C2" s="615" t="n">
        <v>79</v>
      </c>
      <c r="D2" s="615" t="n">
        <v>106</v>
      </c>
      <c r="E2" s="615" t="n">
        <v>190</v>
      </c>
      <c r="F2" s="615" t="n">
        <v>0</v>
      </c>
      <c r="G2" s="615" t="n">
        <v>12</v>
      </c>
      <c r="H2" s="614" t="n">
        <v>0</v>
      </c>
      <c r="I2" s="615" t="n">
        <v>147</v>
      </c>
      <c r="J2" s="615" t="n">
        <v>153</v>
      </c>
      <c r="K2" s="615" t="n">
        <v>40</v>
      </c>
    </row>
    <row r="3">
      <c r="A3" s="444" t="inlineStr">
        <is>
          <t>00000000090821 - SACOLA P BOTICARIO INST/25</t>
        </is>
      </c>
      <c r="B3" s="616" t="n">
        <v>0</v>
      </c>
      <c r="C3" s="615" t="n">
        <v>126</v>
      </c>
      <c r="D3" s="615" t="n">
        <v>561</v>
      </c>
      <c r="E3" s="615" t="n">
        <v>200</v>
      </c>
      <c r="F3" s="615" t="n">
        <v>200</v>
      </c>
      <c r="G3" s="615" t="n">
        <v>354</v>
      </c>
      <c r="H3" s="616" t="n">
        <v>0</v>
      </c>
      <c r="I3" s="616" t="n">
        <v>0</v>
      </c>
      <c r="J3" s="615" t="n">
        <v>252</v>
      </c>
      <c r="K3" s="616" t="n">
        <v>0</v>
      </c>
    </row>
    <row r="4">
      <c r="A4" s="441" t="inlineStr">
        <is>
          <t>00000000090822 - SACOLA M BOTICARIO INST/25</t>
        </is>
      </c>
      <c r="B4" s="614" t="n">
        <v>0</v>
      </c>
      <c r="C4" s="615" t="n">
        <v>132</v>
      </c>
      <c r="D4" s="615" t="n">
        <v>370</v>
      </c>
      <c r="E4" s="615" t="n">
        <v>200</v>
      </c>
      <c r="F4" s="615" t="n">
        <v>200</v>
      </c>
      <c r="G4" s="615" t="n">
        <v>0</v>
      </c>
      <c r="H4" s="614" t="n">
        <v>0</v>
      </c>
      <c r="I4" s="614" t="n">
        <v>0</v>
      </c>
      <c r="J4" s="615" t="n">
        <v>395</v>
      </c>
      <c r="K4" s="614" t="n">
        <v>0</v>
      </c>
    </row>
    <row r="5">
      <c r="A5" s="444" t="inlineStr">
        <is>
          <t>00000000003591 - KIT SACOLA PP INST 2021 VERDE C/10</t>
        </is>
      </c>
      <c r="B5" s="616" t="n">
        <v>0</v>
      </c>
      <c r="C5" s="616" t="n">
        <v>0</v>
      </c>
      <c r="D5" s="615" t="n">
        <v>4</v>
      </c>
      <c r="E5" s="615" t="n">
        <v>23</v>
      </c>
      <c r="F5" s="616" t="n">
        <v>0</v>
      </c>
      <c r="G5" s="616" t="n">
        <v>0</v>
      </c>
      <c r="H5" s="616" t="n">
        <v>0</v>
      </c>
      <c r="I5" s="616" t="n">
        <v>0</v>
      </c>
      <c r="J5" s="616" t="n">
        <v>0</v>
      </c>
      <c r="K5" s="616" t="n">
        <v>0</v>
      </c>
    </row>
    <row r="6">
      <c r="A6" s="441" t="inlineStr">
        <is>
          <t>00000000003608 - KIT SACOLA P INST 2021 VERDE C/10</t>
        </is>
      </c>
      <c r="B6" s="614" t="n">
        <v>0</v>
      </c>
      <c r="C6" s="614" t="n">
        <v>3</v>
      </c>
      <c r="D6" s="615" t="n">
        <v>6</v>
      </c>
      <c r="E6" s="615" t="n">
        <v>11</v>
      </c>
      <c r="F6" s="614" t="n">
        <v>0</v>
      </c>
      <c r="G6" s="614" t="n">
        <v>0</v>
      </c>
      <c r="H6" s="614" t="n">
        <v>0</v>
      </c>
      <c r="I6" s="614" t="n">
        <v>0</v>
      </c>
      <c r="J6" s="614" t="n">
        <v>0</v>
      </c>
      <c r="K6" s="614" t="n">
        <v>0</v>
      </c>
    </row>
    <row r="7">
      <c r="A7" s="444" t="inlineStr">
        <is>
          <t>00000000003610 - KIT SACOLA M INST 2021 VERDE C/10</t>
        </is>
      </c>
      <c r="B7" s="616" t="n">
        <v>0</v>
      </c>
      <c r="C7" s="616" t="n">
        <v>0</v>
      </c>
      <c r="D7" s="615" t="n">
        <v>10</v>
      </c>
      <c r="E7" s="615" t="n">
        <v>28</v>
      </c>
      <c r="F7" s="616" t="n">
        <v>0</v>
      </c>
      <c r="G7" s="616" t="n">
        <v>0</v>
      </c>
      <c r="H7" s="616" t="n">
        <v>0</v>
      </c>
      <c r="I7" s="616" t="n">
        <v>0</v>
      </c>
      <c r="J7" s="615" t="n">
        <v>9</v>
      </c>
      <c r="K7" s="616" t="n">
        <v>0</v>
      </c>
    </row>
    <row r="8">
      <c r="A8" s="441" t="inlineStr">
        <is>
          <t>00000000094389 - PAPEL SEDA BOTI INSTIT 2025 UNIT</t>
        </is>
      </c>
      <c r="B8" s="614" t="n">
        <v>0</v>
      </c>
      <c r="C8" s="614" t="n">
        <v>0</v>
      </c>
      <c r="D8" s="614" t="n">
        <v>0</v>
      </c>
      <c r="E8" s="614" t="n">
        <v>0</v>
      </c>
      <c r="F8" s="614" t="n">
        <v>0</v>
      </c>
      <c r="G8" s="615" t="n">
        <v>9</v>
      </c>
      <c r="H8" s="615" t="n">
        <v>140</v>
      </c>
      <c r="I8" s="614" t="n">
        <v>0</v>
      </c>
      <c r="J8" s="614" t="n">
        <v>0</v>
      </c>
      <c r="K8" s="615" t="n">
        <v>38</v>
      </c>
    </row>
    <row r="9">
      <c r="A9" s="444" t="inlineStr">
        <is>
          <t>00000000043673 - KIT VD INSTITUCIONAL PAPEL DE SEDA C/25</t>
        </is>
      </c>
      <c r="B9" s="616" t="n">
        <v>0</v>
      </c>
      <c r="C9" s="615" t="n">
        <v>42</v>
      </c>
      <c r="D9" s="615" t="n">
        <v>24</v>
      </c>
      <c r="E9" s="615" t="n">
        <v>8</v>
      </c>
      <c r="F9" s="615" t="n">
        <v>12</v>
      </c>
      <c r="G9" s="616" t="n">
        <v>0</v>
      </c>
      <c r="H9" s="616" t="n">
        <v>0</v>
      </c>
      <c r="I9" s="616" t="n">
        <v>0</v>
      </c>
      <c r="J9" s="616" t="n">
        <v>0</v>
      </c>
      <c r="K9" s="616" t="n">
        <v>0</v>
      </c>
    </row>
    <row r="10">
      <c r="A10" s="441" t="inlineStr">
        <is>
          <t>00000000030190 - CART ADESIVOS INST 2021 C/50</t>
        </is>
      </c>
      <c r="B10" s="614" t="n">
        <v>0</v>
      </c>
      <c r="C10" s="615" t="n">
        <v>38</v>
      </c>
      <c r="D10" s="615" t="n">
        <v>58</v>
      </c>
      <c r="E10" s="615" t="n">
        <v>1</v>
      </c>
      <c r="F10" s="615" t="n">
        <v>33</v>
      </c>
      <c r="G10" s="615" t="n">
        <v>0</v>
      </c>
      <c r="H10" s="614" t="n">
        <v>0</v>
      </c>
      <c r="I10" s="614" t="n">
        <v>0</v>
      </c>
      <c r="J10" s="614" t="n">
        <v>0</v>
      </c>
      <c r="K10" s="614" t="n">
        <v>0</v>
      </c>
    </row>
    <row r="11">
      <c r="A11" s="444" t="inlineStr">
        <is>
          <t>00000000045033 - KIT TAG INST. VD S/ FIT C/20 UN</t>
        </is>
      </c>
      <c r="B11" s="616" t="n">
        <v>0</v>
      </c>
      <c r="C11" s="616" t="n">
        <v>0</v>
      </c>
      <c r="D11" s="616" t="n">
        <v>0</v>
      </c>
      <c r="E11" s="615" t="n">
        <v>23</v>
      </c>
      <c r="F11" s="616" t="n">
        <v>0</v>
      </c>
      <c r="G11" s="616" t="n">
        <v>0</v>
      </c>
      <c r="H11" s="616" t="n">
        <v>0</v>
      </c>
      <c r="I11" s="616" t="n">
        <v>0</v>
      </c>
      <c r="J11" s="616" t="n">
        <v>0</v>
      </c>
      <c r="K11" s="616" t="n">
        <v>0</v>
      </c>
    </row>
    <row r="12">
      <c r="A12" s="441" t="inlineStr">
        <is>
          <t>00000000043763 - KIT VD INST TAG C/50</t>
        </is>
      </c>
      <c r="B12" s="614" t="n">
        <v>0</v>
      </c>
      <c r="C12" s="614" t="n">
        <v>0</v>
      </c>
      <c r="D12" s="614" t="n">
        <v>0</v>
      </c>
      <c r="E12" s="615" t="n">
        <v>15</v>
      </c>
      <c r="F12" s="614" t="n">
        <v>0</v>
      </c>
      <c r="G12" s="615" t="n">
        <v>9</v>
      </c>
      <c r="H12" s="614" t="n">
        <v>0</v>
      </c>
      <c r="I12" s="614" t="n">
        <v>0</v>
      </c>
      <c r="J12" s="615" t="n">
        <v>1</v>
      </c>
      <c r="K12" s="614" t="n">
        <v>0</v>
      </c>
    </row>
    <row r="13">
      <c r="A13" s="444" t="inlineStr">
        <is>
          <t>00000000030194 - TAG P/SACOLA INST 2021 KIT C/50 UN VD</t>
        </is>
      </c>
      <c r="B13" s="616" t="n">
        <v>0</v>
      </c>
      <c r="C13" s="615" t="n">
        <v>63</v>
      </c>
      <c r="D13" s="615" t="n">
        <v>42</v>
      </c>
      <c r="E13" s="616" t="n">
        <v>0</v>
      </c>
      <c r="F13" s="616" t="n">
        <v>0</v>
      </c>
      <c r="G13" s="616" t="n">
        <v>0</v>
      </c>
      <c r="H13" s="616" t="n">
        <v>0</v>
      </c>
      <c r="I13" s="616" t="n">
        <v>0</v>
      </c>
      <c r="J13" s="616" t="n">
        <v>0</v>
      </c>
      <c r="K13" s="616" t="n">
        <v>0</v>
      </c>
    </row>
    <row r="14">
      <c r="A14" s="441" t="inlineStr">
        <is>
          <t>00000000089402 - CAIXA PRESENTE P BOT INST/25 VDA</t>
        </is>
      </c>
      <c r="B14" s="614" t="n">
        <v>0</v>
      </c>
      <c r="C14" s="614" t="n">
        <v>0</v>
      </c>
      <c r="D14" s="614" t="n">
        <v>0</v>
      </c>
      <c r="E14" s="614" t="n">
        <v>0</v>
      </c>
      <c r="F14" s="614" t="n">
        <v>0</v>
      </c>
      <c r="G14" s="615" t="n">
        <v>125</v>
      </c>
      <c r="H14" s="615" t="n">
        <v>104</v>
      </c>
      <c r="I14" s="615" t="n">
        <v>100</v>
      </c>
      <c r="J14" s="614" t="n">
        <v>0</v>
      </c>
      <c r="K14" s="614" t="n">
        <v>0</v>
      </c>
    </row>
    <row r="15">
      <c r="A15" s="444" t="inlineStr">
        <is>
          <t>00000000003682 - KIT CAIXA P INST 2021 VERDE VD</t>
        </is>
      </c>
      <c r="B15" s="616" t="n">
        <v>0</v>
      </c>
      <c r="C15" s="616" t="n">
        <v>0</v>
      </c>
      <c r="D15" s="616" t="n">
        <v>4</v>
      </c>
      <c r="E15" s="616" t="n">
        <v>0</v>
      </c>
      <c r="F15" s="616" t="n">
        <v>0</v>
      </c>
      <c r="G15" s="616" t="n">
        <v>0</v>
      </c>
      <c r="H15" s="616" t="n">
        <v>0</v>
      </c>
      <c r="I15" s="616" t="n">
        <v>0</v>
      </c>
      <c r="J15" s="616" t="n">
        <v>0</v>
      </c>
      <c r="K15" s="615" t="n">
        <v>5</v>
      </c>
    </row>
    <row r="16">
      <c r="A16" s="441" t="inlineStr">
        <is>
          <t>00000000089401 - CX PRESENTE M BOTI INST/25 VDA</t>
        </is>
      </c>
      <c r="B16" s="614" t="n">
        <v>0</v>
      </c>
      <c r="C16" s="614" t="n">
        <v>0</v>
      </c>
      <c r="D16" s="614" t="n">
        <v>0</v>
      </c>
      <c r="E16" s="614" t="n">
        <v>0</v>
      </c>
      <c r="F16" s="614" t="n">
        <v>0</v>
      </c>
      <c r="G16" s="615" t="n">
        <v>45</v>
      </c>
      <c r="H16" s="614" t="n">
        <v>0</v>
      </c>
      <c r="I16" s="615" t="n">
        <v>48</v>
      </c>
      <c r="J16" s="615" t="n">
        <v>73</v>
      </c>
      <c r="K16" s="614" t="n">
        <v>0</v>
      </c>
    </row>
    <row r="17">
      <c r="A17" s="444" t="inlineStr">
        <is>
          <t>00000000003704 - KIT CAIXA G INST 2021 VERDE VD</t>
        </is>
      </c>
      <c r="B17" s="616" t="n">
        <v>0</v>
      </c>
      <c r="C17" s="616" t="n">
        <v>0</v>
      </c>
      <c r="D17" s="616" t="n">
        <v>0</v>
      </c>
      <c r="E17" s="616" t="n">
        <v>0</v>
      </c>
      <c r="F17" s="616" t="n">
        <v>0</v>
      </c>
      <c r="G17" s="615" t="n">
        <v>0</v>
      </c>
      <c r="H17" s="616" t="n">
        <v>0</v>
      </c>
      <c r="I17" s="616" t="n">
        <v>0</v>
      </c>
      <c r="J17" s="616" t="n">
        <v>0</v>
      </c>
      <c r="K17" s="615" t="n">
        <v>2</v>
      </c>
    </row>
    <row r="18">
      <c r="A18" s="441" t="inlineStr">
        <is>
          <t>00000000054572 - KIT OVERBAG BOTI PRESENTEAR ECOMMERCE M</t>
        </is>
      </c>
      <c r="B18" s="614" t="n">
        <v>0</v>
      </c>
      <c r="C18" s="614" t="n">
        <v>0</v>
      </c>
      <c r="D18" s="614" t="n">
        <v>0</v>
      </c>
      <c r="E18" s="614" t="n">
        <v>0</v>
      </c>
      <c r="F18" s="614" t="n">
        <v>0</v>
      </c>
      <c r="G18" s="615" t="n">
        <v>23</v>
      </c>
      <c r="H18" s="614" t="n">
        <v>0</v>
      </c>
      <c r="I18" s="614" t="n">
        <v>0</v>
      </c>
      <c r="J18" s="615" t="n">
        <v>8</v>
      </c>
      <c r="K18" s="614" t="n">
        <v>0</v>
      </c>
    </row>
    <row r="19">
      <c r="A19" s="444" t="inlineStr">
        <is>
          <t>00000000046885 - O.U.i SACOLA P 2021</t>
        </is>
      </c>
      <c r="B19" s="616" t="n">
        <v>0</v>
      </c>
      <c r="C19" s="615" t="n">
        <v>4</v>
      </c>
      <c r="D19" s="615" t="n">
        <v>12</v>
      </c>
      <c r="E19" s="615" t="n">
        <v>23</v>
      </c>
      <c r="F19" s="615" t="n">
        <v>0</v>
      </c>
      <c r="G19" s="615" t="n">
        <v>38</v>
      </c>
      <c r="H19" s="615" t="n">
        <v>3</v>
      </c>
      <c r="I19" s="615" t="n">
        <v>116</v>
      </c>
      <c r="J19" s="615" t="n">
        <v>0</v>
      </c>
      <c r="K19" s="615" t="n">
        <v>2</v>
      </c>
    </row>
    <row r="20">
      <c r="A20" s="441" t="inlineStr">
        <is>
          <t>00000000046886 - O.U.I SACOLA M 2021</t>
        </is>
      </c>
      <c r="B20" s="614" t="n">
        <v>0</v>
      </c>
      <c r="C20" s="615" t="n">
        <v>9</v>
      </c>
      <c r="D20" s="615" t="n">
        <v>19</v>
      </c>
      <c r="E20" s="615" t="n">
        <v>11</v>
      </c>
      <c r="F20" s="615" t="n">
        <v>0</v>
      </c>
      <c r="G20" s="615" t="n">
        <v>18</v>
      </c>
      <c r="H20" s="615" t="n">
        <v>12</v>
      </c>
      <c r="I20" s="615" t="n">
        <v>79</v>
      </c>
      <c r="J20" s="615" t="n">
        <v>0</v>
      </c>
      <c r="K20" s="615" t="n">
        <v>0</v>
      </c>
    </row>
    <row r="21">
      <c r="A21" s="444" t="inlineStr">
        <is>
          <t>00000000046887 - O.U.I SACOLA G 2021</t>
        </is>
      </c>
      <c r="B21" s="616" t="n">
        <v>0</v>
      </c>
      <c r="C21" s="615" t="n">
        <v>7</v>
      </c>
      <c r="D21" s="615" t="n">
        <v>13</v>
      </c>
      <c r="E21" s="615" t="n">
        <v>18</v>
      </c>
      <c r="F21" s="615" t="n">
        <v>0</v>
      </c>
      <c r="G21" s="615" t="n">
        <v>0</v>
      </c>
      <c r="H21" s="615" t="n">
        <v>0</v>
      </c>
      <c r="I21" s="615" t="n">
        <v>7</v>
      </c>
      <c r="J21" s="615" t="n">
        <v>0</v>
      </c>
      <c r="K21" s="615" t="n">
        <v>3</v>
      </c>
    </row>
    <row r="22">
      <c r="A22" s="441" t="inlineStr">
        <is>
          <t>00000000046888 - O.U.I KIT CAIXA P 2021</t>
        </is>
      </c>
      <c r="B22" s="614" t="n">
        <v>0</v>
      </c>
      <c r="C22" s="615" t="n">
        <v>19</v>
      </c>
      <c r="D22" s="615" t="n">
        <v>57</v>
      </c>
      <c r="E22" s="615" t="n">
        <v>16</v>
      </c>
      <c r="F22" s="615" t="n">
        <v>5</v>
      </c>
      <c r="G22" s="615" t="n">
        <v>46</v>
      </c>
      <c r="H22" s="615" t="n">
        <v>81</v>
      </c>
      <c r="I22" s="615" t="n">
        <v>39</v>
      </c>
      <c r="J22" s="615" t="n">
        <v>21</v>
      </c>
      <c r="K22" s="615" t="n">
        <v>6</v>
      </c>
    </row>
    <row r="23">
      <c r="A23" s="444" t="inlineStr">
        <is>
          <t>00000000046890 - O.U.I KIT CAIXA M 2021</t>
        </is>
      </c>
      <c r="B23" s="616" t="n">
        <v>0</v>
      </c>
      <c r="C23" s="615" t="n">
        <v>9</v>
      </c>
      <c r="D23" s="615" t="n">
        <v>32</v>
      </c>
      <c r="E23" s="615" t="n">
        <v>23</v>
      </c>
      <c r="F23" s="615" t="n">
        <v>2</v>
      </c>
      <c r="G23" s="615" t="n">
        <v>3</v>
      </c>
      <c r="H23" s="615" t="n">
        <v>86</v>
      </c>
      <c r="I23" s="615" t="n">
        <v>46</v>
      </c>
      <c r="J23" s="615" t="n">
        <v>1</v>
      </c>
      <c r="K23" s="615" t="n">
        <v>6</v>
      </c>
    </row>
    <row r="24">
      <c r="A24" s="441" t="inlineStr">
        <is>
          <t>00000000046891 - O.U.I KIT CAIXA G 2021</t>
        </is>
      </c>
      <c r="B24" s="614" t="n">
        <v>0</v>
      </c>
      <c r="C24" s="615" t="n">
        <v>15</v>
      </c>
      <c r="D24" s="615" t="n">
        <v>48</v>
      </c>
      <c r="E24" s="615" t="n">
        <v>6</v>
      </c>
      <c r="F24" s="615" t="n">
        <v>3</v>
      </c>
      <c r="G24" s="615" t="n">
        <v>44</v>
      </c>
      <c r="H24" s="615" t="n">
        <v>40</v>
      </c>
      <c r="I24" s="615" t="n">
        <v>19</v>
      </c>
      <c r="J24" s="615" t="n">
        <v>28</v>
      </c>
      <c r="K24" s="615" t="n">
        <v>9</v>
      </c>
    </row>
    <row r="25">
      <c r="A25" s="444" t="inlineStr">
        <is>
          <t>00000000047162 - OUI CAIXA M 2021</t>
        </is>
      </c>
      <c r="B25" s="616" t="n">
        <v>0</v>
      </c>
      <c r="C25" s="616" t="n">
        <v>0</v>
      </c>
      <c r="D25" s="616" t="n">
        <v>0</v>
      </c>
      <c r="E25" s="616" t="n">
        <v>0</v>
      </c>
      <c r="F25" s="616" t="n">
        <v>0</v>
      </c>
      <c r="G25" s="616" t="n">
        <v>0</v>
      </c>
      <c r="H25" s="616" t="n">
        <v>0</v>
      </c>
      <c r="I25" s="616" t="n">
        <v>0</v>
      </c>
      <c r="J25" s="616" t="n">
        <v>2</v>
      </c>
      <c r="K25" s="616" t="n">
        <v>0</v>
      </c>
    </row>
    <row r="26">
      <c r="A26" s="441" t="inlineStr">
        <is>
          <t>00000000050110 - CAIXA QDB P INSTITUCIONAL/21</t>
        </is>
      </c>
      <c r="B26" s="614" t="n">
        <v>0</v>
      </c>
      <c r="C26" s="614" t="n">
        <v>0</v>
      </c>
      <c r="D26" s="614" t="n">
        <v>0</v>
      </c>
      <c r="E26" s="614" t="n">
        <v>0</v>
      </c>
      <c r="F26" s="614" t="n">
        <v>0</v>
      </c>
      <c r="G26" s="615" t="n">
        <v>9</v>
      </c>
      <c r="H26" s="614" t="n">
        <v>0</v>
      </c>
      <c r="I26" s="614" t="n">
        <v>0</v>
      </c>
      <c r="J26" s="615" t="n">
        <v>1</v>
      </c>
      <c r="K26" s="614" t="n">
        <v>0</v>
      </c>
    </row>
    <row r="27">
      <c r="A27" s="444" t="inlineStr">
        <is>
          <t>00000000056369 - CAIXA QDB P INST 2023</t>
        </is>
      </c>
      <c r="B27" s="616" t="n">
        <v>0</v>
      </c>
      <c r="C27" s="616" t="n">
        <v>0</v>
      </c>
      <c r="D27" s="616" t="n">
        <v>0</v>
      </c>
      <c r="E27" s="615" t="n">
        <v>4</v>
      </c>
      <c r="F27" s="615" t="n">
        <v>5</v>
      </c>
      <c r="G27" s="615" t="n">
        <v>73</v>
      </c>
      <c r="H27" s="615" t="n">
        <v>18</v>
      </c>
      <c r="I27" s="616" t="n">
        <v>0</v>
      </c>
      <c r="J27" s="615" t="n">
        <v>10</v>
      </c>
      <c r="K27" s="615" t="n">
        <v>17</v>
      </c>
    </row>
    <row r="28">
      <c r="A28" s="441" t="inlineStr">
        <is>
          <t>00000000056375 - KIT QDB CAIXA P INST 2023 VD</t>
        </is>
      </c>
      <c r="B28" s="614" t="n">
        <v>0</v>
      </c>
      <c r="C28" s="614" t="n">
        <v>0</v>
      </c>
      <c r="D28" s="614" t="n">
        <v>0</v>
      </c>
      <c r="E28" s="614" t="n">
        <v>0</v>
      </c>
      <c r="F28" s="614" t="n">
        <v>0</v>
      </c>
      <c r="G28" s="615" t="n">
        <v>20</v>
      </c>
      <c r="H28" s="614" t="n">
        <v>0</v>
      </c>
      <c r="I28" s="615" t="n">
        <v>0</v>
      </c>
      <c r="J28" s="615" t="n">
        <v>0</v>
      </c>
      <c r="K28" s="614" t="n">
        <v>0</v>
      </c>
    </row>
    <row r="29">
      <c r="A29" s="444" t="inlineStr">
        <is>
          <t>00000000056376 - CAIXA QDB  G INST 2023</t>
        </is>
      </c>
      <c r="B29" s="616" t="n">
        <v>0</v>
      </c>
      <c r="C29" s="616" t="n">
        <v>0</v>
      </c>
      <c r="D29" s="616" t="n">
        <v>0</v>
      </c>
      <c r="E29" s="615" t="n">
        <v>20</v>
      </c>
      <c r="F29" s="616" t="n">
        <v>0</v>
      </c>
      <c r="G29" s="615" t="n">
        <v>94</v>
      </c>
      <c r="H29" s="615" t="n">
        <v>15</v>
      </c>
      <c r="I29" s="615" t="n">
        <v>2</v>
      </c>
      <c r="J29" s="615" t="n">
        <v>20</v>
      </c>
      <c r="K29" s="616" t="n">
        <v>0</v>
      </c>
    </row>
    <row r="30">
      <c r="A30" s="441" t="inlineStr">
        <is>
          <t>00000000056378 - KIT CAIXA QDB M INST 2023 VD</t>
        </is>
      </c>
      <c r="B30" s="614" t="n">
        <v>0</v>
      </c>
      <c r="C30" s="614" t="n">
        <v>0</v>
      </c>
      <c r="D30" s="614" t="n">
        <v>0</v>
      </c>
      <c r="E30" s="615" t="n">
        <v>10</v>
      </c>
      <c r="F30" s="614" t="n">
        <v>0</v>
      </c>
      <c r="G30" s="615" t="n">
        <v>40</v>
      </c>
      <c r="H30" s="615" t="n">
        <v>12</v>
      </c>
      <c r="I30" s="615" t="n">
        <v>22</v>
      </c>
      <c r="J30" s="614" t="n">
        <v>0</v>
      </c>
      <c r="K30" s="615" t="n">
        <v>9</v>
      </c>
    </row>
    <row r="31">
      <c r="A31" s="446" t="inlineStr">
        <is>
          <t>00000000053651 - KIT SACOLA EUDORA  INST 2022 P</t>
        </is>
      </c>
      <c r="B31" s="617" t="n">
        <v>0</v>
      </c>
      <c r="C31" s="617" t="n">
        <v>0</v>
      </c>
      <c r="D31" s="617" t="n">
        <v>0</v>
      </c>
      <c r="E31" s="617" t="n">
        <v>127</v>
      </c>
      <c r="F31" s="617" t="n">
        <v>0</v>
      </c>
      <c r="G31" s="617" t="n">
        <v>0</v>
      </c>
      <c r="H31" s="617" t="n">
        <v>0</v>
      </c>
      <c r="I31" s="616" t="n">
        <v>0</v>
      </c>
      <c r="J31" s="616" t="n">
        <v>0</v>
      </c>
      <c r="K31" s="616" t="n">
        <v>0</v>
      </c>
    </row>
    <row r="32">
      <c r="A32" s="446" t="inlineStr">
        <is>
          <t>00000000053944 - KIT SACOLA EUDORA M UNIT INST 2022</t>
        </is>
      </c>
      <c r="B32" s="617" t="n">
        <v>0</v>
      </c>
      <c r="C32" s="617" t="n">
        <v>0</v>
      </c>
      <c r="D32" s="617" t="n">
        <v>-37</v>
      </c>
      <c r="E32" s="617" t="n">
        <v>0</v>
      </c>
      <c r="F32" s="617" t="n">
        <v>0</v>
      </c>
      <c r="G32" s="617" t="n">
        <v>0</v>
      </c>
      <c r="H32" s="617" t="n">
        <v>0</v>
      </c>
      <c r="I32" s="614" t="n">
        <v>0</v>
      </c>
      <c r="J32" s="614" t="n">
        <v>0</v>
      </c>
      <c r="K32" s="614" t="n">
        <v>0</v>
      </c>
    </row>
    <row r="33">
      <c r="A33" s="444" t="inlineStr">
        <is>
          <t>00000000052276 - KIT SACOLA P INST EUD 2022 C/10 VD</t>
        </is>
      </c>
      <c r="B33" s="616" t="n">
        <v>0</v>
      </c>
      <c r="C33" s="615" t="n">
        <v>54</v>
      </c>
      <c r="D33" s="615" t="n">
        <v>16</v>
      </c>
      <c r="E33" s="615" t="n">
        <v>24</v>
      </c>
      <c r="F33" s="615" t="n">
        <v>0</v>
      </c>
      <c r="G33" s="615" t="n">
        <v>19</v>
      </c>
      <c r="H33" s="615" t="n">
        <v>36</v>
      </c>
      <c r="I33" s="615" t="n">
        <v>17</v>
      </c>
      <c r="J33" s="615" t="n">
        <v>30</v>
      </c>
      <c r="K33" s="615" t="n">
        <v>0</v>
      </c>
    </row>
    <row r="34">
      <c r="A34" s="441" t="inlineStr">
        <is>
          <t>00000000052288 - KIT SACOLA M EUD INST 2022 C/10 VD</t>
        </is>
      </c>
      <c r="B34" s="614" t="n">
        <v>0</v>
      </c>
      <c r="C34" s="615" t="n">
        <v>35</v>
      </c>
      <c r="D34" s="615" t="n">
        <v>60</v>
      </c>
      <c r="E34" s="615" t="n">
        <v>40</v>
      </c>
      <c r="F34" s="615" t="n">
        <v>0</v>
      </c>
      <c r="G34" s="615" t="n">
        <v>0</v>
      </c>
      <c r="H34" s="615" t="n">
        <v>17</v>
      </c>
      <c r="I34" s="615" t="n">
        <v>34</v>
      </c>
      <c r="J34" s="615" t="n">
        <v>15</v>
      </c>
      <c r="K34" s="615" t="n">
        <v>2</v>
      </c>
    </row>
    <row r="35">
      <c r="A35" s="444" t="inlineStr">
        <is>
          <t>00000000053653 - KIT SACOLA EUDORA G UNIT INST 2022</t>
        </is>
      </c>
      <c r="B35" s="616" t="n">
        <v>0</v>
      </c>
      <c r="C35" s="615" t="n">
        <v>44</v>
      </c>
      <c r="D35" s="615" t="n">
        <v>9</v>
      </c>
      <c r="E35" s="615" t="n">
        <v>0</v>
      </c>
      <c r="F35" s="615" t="n">
        <v>0</v>
      </c>
      <c r="G35" s="615" t="n">
        <v>0</v>
      </c>
      <c r="H35" s="615" t="n">
        <v>0</v>
      </c>
      <c r="I35" s="615" t="n">
        <v>0</v>
      </c>
      <c r="J35" s="615" t="n">
        <v>0</v>
      </c>
      <c r="K35" s="615" t="n">
        <v>0</v>
      </c>
    </row>
    <row r="36">
      <c r="A36" s="441" t="inlineStr">
        <is>
          <t>00000000053654 - KIT CAIXA P EUDORA INST 2022</t>
        </is>
      </c>
      <c r="B36" s="614" t="n">
        <v>0</v>
      </c>
      <c r="C36" s="615" t="n">
        <v>135</v>
      </c>
      <c r="D36" s="615" t="n">
        <v>118</v>
      </c>
      <c r="E36" s="615" t="n">
        <v>0</v>
      </c>
      <c r="F36" s="615" t="n">
        <v>1</v>
      </c>
      <c r="G36" s="615" t="n">
        <v>77</v>
      </c>
      <c r="H36" s="615" t="n">
        <v>29</v>
      </c>
      <c r="I36" s="615" t="n">
        <v>142</v>
      </c>
      <c r="J36" s="615" t="n">
        <v>8</v>
      </c>
      <c r="K36" s="615" t="n">
        <v>6</v>
      </c>
    </row>
    <row r="37">
      <c r="A37" s="444" t="inlineStr">
        <is>
          <t>00000000053655 - KIT CAIXA  EUDORA INST 2022 M</t>
        </is>
      </c>
      <c r="B37" s="616" t="n">
        <v>0</v>
      </c>
      <c r="C37" s="615" t="n">
        <v>66</v>
      </c>
      <c r="D37" s="615" t="n">
        <v>25</v>
      </c>
      <c r="E37" s="615" t="n">
        <v>3</v>
      </c>
      <c r="F37" s="615" t="n">
        <v>0</v>
      </c>
      <c r="G37" s="615" t="n">
        <v>27</v>
      </c>
      <c r="H37" s="615" t="n">
        <v>88</v>
      </c>
      <c r="I37" s="615" t="n">
        <v>0</v>
      </c>
      <c r="J37" s="615" t="n">
        <v>16</v>
      </c>
      <c r="K37" s="615" t="n">
        <v>0</v>
      </c>
    </row>
    <row r="38">
      <c r="A38" s="441" t="inlineStr">
        <is>
          <t>00000000053656 - KIT CAIXA G EUDORA INST 2022</t>
        </is>
      </c>
      <c r="B38" s="614" t="n">
        <v>0</v>
      </c>
      <c r="C38" s="615" t="n">
        <v>38</v>
      </c>
      <c r="D38" s="615" t="n">
        <v>0</v>
      </c>
      <c r="E38" s="615" t="n">
        <v>9</v>
      </c>
      <c r="F38" s="615" t="n">
        <v>15</v>
      </c>
      <c r="G38" s="615" t="n">
        <v>28</v>
      </c>
      <c r="H38" s="615" t="n">
        <v>23</v>
      </c>
      <c r="I38" s="615" t="n">
        <v>30</v>
      </c>
      <c r="J38" s="615" t="n">
        <v>17</v>
      </c>
      <c r="K38" s="615" t="n">
        <v>10</v>
      </c>
    </row>
    <row r="39" ht="15.75" customHeight="1" thickBot="1">
      <c r="A39" s="448" t="n"/>
      <c r="B39" s="618" t="n"/>
      <c r="C39" s="618" t="n"/>
      <c r="D39" s="618" t="n"/>
      <c r="E39" s="618" t="n"/>
      <c r="F39" s="618" t="n"/>
      <c r="G39" s="618" t="n"/>
      <c r="H39" s="618" t="n"/>
      <c r="I39" s="618" t="n"/>
      <c r="J39" s="618" t="n"/>
      <c r="K39" s="618" t="n"/>
    </row>
    <row r="40">
      <c r="A40" s="450" t="inlineStr">
        <is>
          <t>00000000094371 - SACOLA M EUDORA UNIT MAES 2026</t>
        </is>
      </c>
      <c r="B40" s="619" t="n">
        <v>0</v>
      </c>
      <c r="C40" s="620" t="n">
        <v>9</v>
      </c>
      <c r="D40" s="620" t="n">
        <v>-45</v>
      </c>
      <c r="E40" s="620" t="n">
        <v>0</v>
      </c>
      <c r="F40" s="620" t="n">
        <v>0</v>
      </c>
      <c r="G40" s="620" t="n">
        <v>0</v>
      </c>
      <c r="H40" s="620" t="n">
        <v>0</v>
      </c>
      <c r="I40" s="620" t="n">
        <v>0</v>
      </c>
      <c r="J40" s="620" t="n">
        <v>0</v>
      </c>
      <c r="K40" s="621" t="n">
        <v>32</v>
      </c>
    </row>
    <row r="41">
      <c r="A41" s="454" t="inlineStr">
        <is>
          <t>00000000095162 - KIT TAG VD REVEND EUD INSTIT 2025 C/20</t>
        </is>
      </c>
      <c r="B41" s="616" t="n">
        <v>0</v>
      </c>
      <c r="C41" s="615" t="n">
        <v>0</v>
      </c>
      <c r="D41" s="615" t="n">
        <v>0</v>
      </c>
      <c r="E41" s="615" t="n">
        <v>0</v>
      </c>
      <c r="F41" s="615" t="n">
        <v>0</v>
      </c>
      <c r="G41" s="615" t="n">
        <v>0</v>
      </c>
      <c r="H41" s="615" t="n">
        <v>0</v>
      </c>
      <c r="I41" s="615" t="n">
        <v>5</v>
      </c>
      <c r="J41" s="615" t="n">
        <v>8</v>
      </c>
      <c r="K41" s="622" t="n">
        <v>3</v>
      </c>
    </row>
    <row r="42">
      <c r="A42" s="456" t="inlineStr">
        <is>
          <t>00000000088796 - CAIXA EUDORA M INST/25 UNIT</t>
        </is>
      </c>
      <c r="B42" s="614" t="n">
        <v>0</v>
      </c>
      <c r="C42" s="615" t="n">
        <v>44</v>
      </c>
      <c r="D42" s="615" t="n">
        <v>29</v>
      </c>
      <c r="E42" s="615" t="n">
        <v>14</v>
      </c>
      <c r="F42" s="615" t="n">
        <v>0</v>
      </c>
      <c r="G42" s="615" t="n">
        <v>49</v>
      </c>
      <c r="H42" s="615" t="n">
        <v>50</v>
      </c>
      <c r="I42" s="615" t="n">
        <v>96</v>
      </c>
      <c r="J42" s="615" t="n">
        <v>40</v>
      </c>
      <c r="K42" s="622" t="n">
        <v>49</v>
      </c>
    </row>
    <row r="43" ht="15.75" customHeight="1" thickBot="1">
      <c r="A43" s="457" t="inlineStr">
        <is>
          <t>00000000088799 - ENVELOPE EUDORA P INST/25 UNIT</t>
        </is>
      </c>
      <c r="B43" s="623" t="n">
        <v>0</v>
      </c>
      <c r="C43" s="624" t="n">
        <v>114</v>
      </c>
      <c r="D43" s="624" t="n">
        <v>0</v>
      </c>
      <c r="E43" s="624" t="n">
        <v>0</v>
      </c>
      <c r="F43" s="624" t="n">
        <v>0</v>
      </c>
      <c r="G43" s="624" t="n">
        <v>142</v>
      </c>
      <c r="H43" s="624" t="n">
        <v>31</v>
      </c>
      <c r="I43" s="624" t="n">
        <v>21</v>
      </c>
      <c r="J43" s="624" t="n">
        <v>65</v>
      </c>
      <c r="K43" s="625" t="n">
        <v>49</v>
      </c>
    </row>
    <row r="44">
      <c r="A44" s="450" t="inlineStr">
        <is>
          <t>00000000096442 - SACOLA P MAES 2026 2025 BOTI UNIT</t>
        </is>
      </c>
      <c r="B44" s="619" t="n">
        <v>0</v>
      </c>
      <c r="C44" s="620" t="n">
        <v>211</v>
      </c>
      <c r="D44" s="620" t="n">
        <v>414</v>
      </c>
      <c r="E44" s="620" t="n">
        <v>80</v>
      </c>
      <c r="F44" s="620" t="n">
        <v>0</v>
      </c>
      <c r="G44" s="620" t="n">
        <v>82</v>
      </c>
      <c r="H44" s="620" t="n">
        <v>10</v>
      </c>
      <c r="I44" s="620" t="n">
        <v>0</v>
      </c>
      <c r="J44" s="620" t="n">
        <v>119</v>
      </c>
      <c r="K44" s="621" t="n">
        <v>0</v>
      </c>
    </row>
    <row r="45">
      <c r="A45" s="454" t="inlineStr">
        <is>
          <t>00000000096443 - SACOLA M MAES/26 BOTI UNIT</t>
        </is>
      </c>
      <c r="B45" s="616" t="n">
        <v>0</v>
      </c>
      <c r="C45" s="615" t="n">
        <v>424</v>
      </c>
      <c r="D45" s="615" t="n">
        <v>743</v>
      </c>
      <c r="E45" s="615" t="n">
        <v>189</v>
      </c>
      <c r="F45" s="615" t="n">
        <v>0</v>
      </c>
      <c r="G45" s="615" t="n">
        <v>10</v>
      </c>
      <c r="H45" s="615" t="n">
        <v>15</v>
      </c>
      <c r="I45" s="615" t="n">
        <v>0</v>
      </c>
      <c r="J45" s="615" t="n">
        <v>0</v>
      </c>
      <c r="K45" s="622" t="n">
        <v>0</v>
      </c>
    </row>
    <row r="46">
      <c r="A46" s="456" t="inlineStr">
        <is>
          <t>00000000096444 - SACOLA G MAES 2026 BOTI UNIT</t>
        </is>
      </c>
      <c r="B46" s="614" t="n">
        <v>0</v>
      </c>
      <c r="C46" s="615" t="n">
        <v>0</v>
      </c>
      <c r="D46" s="615" t="n">
        <v>64</v>
      </c>
      <c r="E46" s="615" t="n">
        <v>0</v>
      </c>
      <c r="F46" s="615" t="n">
        <v>0</v>
      </c>
      <c r="G46" s="615" t="n">
        <v>0</v>
      </c>
      <c r="H46" s="615" t="n">
        <v>0</v>
      </c>
      <c r="I46" s="615" t="n">
        <v>0</v>
      </c>
      <c r="J46" s="615" t="n">
        <v>0</v>
      </c>
      <c r="K46" s="622" t="n">
        <v>0</v>
      </c>
    </row>
    <row r="47">
      <c r="A47" s="454" t="inlineStr">
        <is>
          <t>00000000097241 - KIT PAPEL SEDA BOTI MAES 2026 C/20 VD</t>
        </is>
      </c>
      <c r="B47" s="616" t="n">
        <v>0</v>
      </c>
      <c r="C47" s="615" t="n">
        <v>0</v>
      </c>
      <c r="D47" s="615" t="n">
        <v>4</v>
      </c>
      <c r="E47" s="615" t="n">
        <v>0</v>
      </c>
      <c r="F47" s="615" t="n">
        <v>1</v>
      </c>
      <c r="G47" s="615" t="n">
        <v>0</v>
      </c>
      <c r="H47" s="615" t="n">
        <v>0</v>
      </c>
      <c r="I47" s="615" t="n">
        <v>0</v>
      </c>
      <c r="J47" s="615" t="n">
        <v>0</v>
      </c>
      <c r="K47" s="622" t="n">
        <v>1</v>
      </c>
    </row>
    <row r="48">
      <c r="A48" s="456" t="inlineStr">
        <is>
          <t>00000000096437 - CAIXA LACO P MAES/26 BOTI UNIT</t>
        </is>
      </c>
      <c r="B48" s="614" t="n">
        <v>0</v>
      </c>
      <c r="C48" s="615" t="n">
        <v>0</v>
      </c>
      <c r="D48" s="615" t="n">
        <v>0</v>
      </c>
      <c r="E48" s="615" t="n">
        <v>1</v>
      </c>
      <c r="F48" s="615" t="n">
        <v>3</v>
      </c>
      <c r="G48" s="615" t="n">
        <v>31</v>
      </c>
      <c r="H48" s="615" t="n">
        <v>63</v>
      </c>
      <c r="I48" s="615" t="n">
        <v>0</v>
      </c>
      <c r="J48" s="615" t="n">
        <v>77</v>
      </c>
      <c r="K48" s="622" t="n">
        <v>0</v>
      </c>
    </row>
    <row r="49">
      <c r="A49" s="454" t="inlineStr">
        <is>
          <t>00000000096438 - CAIXA LACO M MAES/26 BOTI UNIT</t>
        </is>
      </c>
      <c r="B49" s="616" t="n">
        <v>0</v>
      </c>
      <c r="C49" s="615" t="n">
        <v>0</v>
      </c>
      <c r="D49" s="615" t="n">
        <v>0</v>
      </c>
      <c r="E49" s="615" t="n">
        <v>10</v>
      </c>
      <c r="F49" s="615" t="n">
        <v>3</v>
      </c>
      <c r="G49" s="615" t="n">
        <v>0</v>
      </c>
      <c r="H49" s="615" t="n">
        <v>0</v>
      </c>
      <c r="I49" s="615" t="n">
        <v>0</v>
      </c>
      <c r="J49" s="615" t="n">
        <v>82</v>
      </c>
      <c r="K49" s="622" t="n">
        <v>13</v>
      </c>
    </row>
    <row r="50" ht="15.75" customHeight="1" thickBot="1">
      <c r="A50" s="461" t="inlineStr">
        <is>
          <t>00000000096441 - ENVELOPE M MAES 2026 BOTI UNIT</t>
        </is>
      </c>
      <c r="B50" s="626" t="n">
        <v>0</v>
      </c>
      <c r="C50" s="624" t="n">
        <v>0</v>
      </c>
      <c r="D50" s="624" t="n">
        <v>0</v>
      </c>
      <c r="E50" s="624" t="n">
        <v>0</v>
      </c>
      <c r="F50" s="624" t="n">
        <v>0</v>
      </c>
      <c r="G50" s="624" t="n">
        <v>0</v>
      </c>
      <c r="H50" s="624" t="n">
        <v>0</v>
      </c>
      <c r="I50" s="624" t="n">
        <v>0</v>
      </c>
      <c r="J50" s="624" t="n">
        <v>34</v>
      </c>
      <c r="K50" s="625" t="n">
        <v>30</v>
      </c>
    </row>
    <row r="51">
      <c r="A51" s="463" t="inlineStr">
        <is>
          <t>00000000085706 - KIT SACOLA M EUDORA UNIT NATAL 2025</t>
        </is>
      </c>
      <c r="B51" s="627" t="n">
        <v>0</v>
      </c>
      <c r="C51" s="620" t="n">
        <v>0</v>
      </c>
      <c r="D51" s="620" t="n">
        <v>0</v>
      </c>
      <c r="E51" s="620" t="n">
        <v>0</v>
      </c>
      <c r="F51" s="620" t="n">
        <v>0</v>
      </c>
      <c r="G51" s="620" t="n">
        <v>0</v>
      </c>
      <c r="H51" s="620" t="n">
        <v>0</v>
      </c>
      <c r="I51" s="620" t="n">
        <v>0</v>
      </c>
      <c r="J51" s="620" t="n">
        <v>0</v>
      </c>
      <c r="K51" s="621" t="n">
        <v>13</v>
      </c>
    </row>
    <row r="52">
      <c r="A52" s="456" t="inlineStr">
        <is>
          <t>00000000094959 - PAPEL DE SEDA EUDORA UNITARIO NATAL 25</t>
        </is>
      </c>
      <c r="B52" s="614" t="n">
        <v>0</v>
      </c>
      <c r="C52" s="615" t="n">
        <v>0</v>
      </c>
      <c r="D52" s="615" t="n">
        <v>0</v>
      </c>
      <c r="E52" s="615" t="n">
        <v>0</v>
      </c>
      <c r="F52" s="615" t="n">
        <v>0</v>
      </c>
      <c r="G52" s="615" t="n">
        <v>99</v>
      </c>
      <c r="H52" s="615" t="n">
        <v>0</v>
      </c>
      <c r="I52" s="615" t="n">
        <v>0</v>
      </c>
      <c r="J52" s="615" t="n">
        <v>136</v>
      </c>
      <c r="K52" s="622" t="n">
        <v>130</v>
      </c>
    </row>
    <row r="53">
      <c r="A53" s="454" t="inlineStr">
        <is>
          <t>00000000095150 - KIT TAG VD REVEN EUD INST 2025 MOD C/200</t>
        </is>
      </c>
      <c r="B53" s="616" t="n">
        <v>0</v>
      </c>
      <c r="C53" s="615" t="n">
        <v>0</v>
      </c>
      <c r="D53" s="615" t="n">
        <v>0</v>
      </c>
      <c r="E53" s="615" t="n">
        <v>0</v>
      </c>
      <c r="F53" s="615" t="n">
        <v>0</v>
      </c>
      <c r="G53" s="615" t="n">
        <v>5</v>
      </c>
      <c r="H53" s="615" t="n">
        <v>5</v>
      </c>
      <c r="I53" s="615" t="n">
        <v>0</v>
      </c>
      <c r="J53" s="615" t="n">
        <v>0</v>
      </c>
      <c r="K53" s="622" t="n">
        <v>0</v>
      </c>
    </row>
    <row r="54">
      <c r="A54" s="456" t="inlineStr">
        <is>
          <t>00000000085705 - KIT CAIXA M EUDORA UNIT NATAL 2025</t>
        </is>
      </c>
      <c r="B54" s="614" t="n">
        <v>0</v>
      </c>
      <c r="C54" s="615" t="n">
        <v>60</v>
      </c>
      <c r="D54" s="615" t="n">
        <v>27</v>
      </c>
      <c r="E54" s="615" t="n">
        <v>27</v>
      </c>
      <c r="F54" s="615" t="n">
        <v>10</v>
      </c>
      <c r="G54" s="615" t="n">
        <v>43</v>
      </c>
      <c r="H54" s="615" t="n">
        <v>29</v>
      </c>
      <c r="I54" s="615" t="n">
        <v>39</v>
      </c>
      <c r="J54" s="615" t="n">
        <v>105</v>
      </c>
      <c r="K54" s="622" t="n">
        <v>23</v>
      </c>
    </row>
    <row r="55" ht="15.75" customHeight="1" thickBot="1">
      <c r="A55" s="457" t="inlineStr">
        <is>
          <t>00000000085704 - ENVELOPE P EUDORA UNIT NATAL 2025</t>
        </is>
      </c>
      <c r="B55" s="623" t="n">
        <v>0</v>
      </c>
      <c r="C55" s="624" t="n">
        <v>0</v>
      </c>
      <c r="D55" s="624" t="n">
        <v>7</v>
      </c>
      <c r="E55" s="624" t="n">
        <v>0</v>
      </c>
      <c r="F55" s="624" t="n">
        <v>6</v>
      </c>
      <c r="G55" s="624" t="n">
        <v>163</v>
      </c>
      <c r="H55" s="624" t="n">
        <v>82</v>
      </c>
      <c r="I55" s="624" t="n">
        <v>75</v>
      </c>
      <c r="J55" s="624" t="n">
        <v>180</v>
      </c>
      <c r="K55" s="625" t="n">
        <v>21</v>
      </c>
    </row>
    <row r="56">
      <c r="A56" s="450" t="inlineStr">
        <is>
          <t>00000000094783 - SACOLA P NATAL 2025 BOTI UNIT</t>
        </is>
      </c>
      <c r="B56" s="619" t="n">
        <v>0</v>
      </c>
      <c r="C56" s="620" t="n">
        <v>0</v>
      </c>
      <c r="D56" s="620" t="n">
        <v>0</v>
      </c>
      <c r="E56" s="620" t="n">
        <v>0</v>
      </c>
      <c r="F56" s="620" t="n">
        <v>0</v>
      </c>
      <c r="G56" s="620" t="n">
        <v>2</v>
      </c>
      <c r="H56" s="620" t="n">
        <v>0</v>
      </c>
      <c r="I56" s="620" t="n">
        <v>0</v>
      </c>
      <c r="J56" s="620" t="n">
        <v>0</v>
      </c>
      <c r="K56" s="621" t="n">
        <v>0</v>
      </c>
    </row>
    <row r="57">
      <c r="A57" s="454" t="inlineStr">
        <is>
          <t>00000000094781 - SACOLA M NATAL 2025 BOTI UNIT</t>
        </is>
      </c>
      <c r="B57" s="616" t="n">
        <v>0</v>
      </c>
      <c r="C57" s="615" t="n">
        <v>0</v>
      </c>
      <c r="D57" s="615" t="n">
        <v>0</v>
      </c>
      <c r="E57" s="615" t="n">
        <v>0</v>
      </c>
      <c r="F57" s="615" t="n">
        <v>0</v>
      </c>
      <c r="G57" s="615" t="n">
        <v>33</v>
      </c>
      <c r="H57" s="615" t="n">
        <v>0</v>
      </c>
      <c r="I57" s="615" t="n">
        <v>0</v>
      </c>
      <c r="J57" s="615" t="n">
        <v>0</v>
      </c>
      <c r="K57" s="622" t="n">
        <v>0</v>
      </c>
    </row>
    <row r="58">
      <c r="A58" s="456" t="inlineStr">
        <is>
          <t>00000000094775 - CAIXA LACO P NATAL 2025 BOTI UNIT</t>
        </is>
      </c>
      <c r="B58" s="614" t="n">
        <v>0</v>
      </c>
      <c r="C58" s="615" t="n">
        <v>0</v>
      </c>
      <c r="D58" s="615" t="n">
        <v>0</v>
      </c>
      <c r="E58" s="615" t="n">
        <v>0</v>
      </c>
      <c r="F58" s="615" t="n">
        <v>0</v>
      </c>
      <c r="G58" s="615" t="n">
        <v>5</v>
      </c>
      <c r="H58" s="615" t="n">
        <v>26</v>
      </c>
      <c r="I58" s="615" t="n">
        <v>49</v>
      </c>
      <c r="J58" s="615" t="n">
        <v>99</v>
      </c>
      <c r="K58" s="622" t="n">
        <v>15</v>
      </c>
    </row>
    <row r="59">
      <c r="A59" s="454" t="inlineStr">
        <is>
          <t>00000000094776 - CAIXA LACO M NATAL 2025 BOTI UNIT</t>
        </is>
      </c>
      <c r="B59" s="616" t="n">
        <v>0</v>
      </c>
      <c r="C59" s="615" t="n">
        <v>0</v>
      </c>
      <c r="D59" s="615" t="n">
        <v>0</v>
      </c>
      <c r="E59" s="615" t="n">
        <v>0</v>
      </c>
      <c r="F59" s="615" t="n">
        <v>0</v>
      </c>
      <c r="G59" s="615" t="n">
        <v>0</v>
      </c>
      <c r="H59" s="615" t="n">
        <v>0</v>
      </c>
      <c r="I59" s="615" t="n">
        <v>0</v>
      </c>
      <c r="J59" s="615" t="n">
        <v>40</v>
      </c>
      <c r="K59" s="622" t="n">
        <v>22</v>
      </c>
    </row>
    <row r="60">
      <c r="A60" s="456" t="inlineStr">
        <is>
          <t>00000000094778 - ENVELOPE P NATAL 2025 BOT UNIT</t>
        </is>
      </c>
      <c r="B60" s="614" t="n">
        <v>0</v>
      </c>
      <c r="C60" s="615" t="n">
        <v>0</v>
      </c>
      <c r="D60" s="615" t="n">
        <v>0</v>
      </c>
      <c r="E60" s="615" t="n">
        <v>0</v>
      </c>
      <c r="F60" s="615" t="n">
        <v>0</v>
      </c>
      <c r="G60" s="615" t="n">
        <v>0</v>
      </c>
      <c r="H60" s="615" t="n">
        <v>0</v>
      </c>
      <c r="I60" s="615" t="n">
        <v>3</v>
      </c>
      <c r="J60" s="615" t="n">
        <v>13</v>
      </c>
      <c r="K60" s="622" t="n">
        <v>1</v>
      </c>
    </row>
    <row r="61" ht="15.75" customHeight="1" thickBot="1">
      <c r="A61" s="465" t="inlineStr">
        <is>
          <t>00000000094779 - ENVELOPE M NATAL 2025 BOTI UNIT</t>
        </is>
      </c>
      <c r="B61" s="628" t="n">
        <v>0</v>
      </c>
      <c r="C61" s="629" t="n">
        <v>0</v>
      </c>
      <c r="D61" s="629" t="n">
        <v>0</v>
      </c>
      <c r="E61" s="629" t="n">
        <v>0</v>
      </c>
      <c r="F61" s="629" t="n">
        <v>0</v>
      </c>
      <c r="G61" s="629" t="n">
        <v>0</v>
      </c>
      <c r="H61" s="629" t="n">
        <v>0</v>
      </c>
      <c r="I61" s="629" t="n">
        <v>11</v>
      </c>
      <c r="J61" s="629" t="n">
        <v>51</v>
      </c>
      <c r="K61" s="630" t="n">
        <v>30</v>
      </c>
    </row>
    <row r="62">
      <c r="A62" s="469" t="inlineStr">
        <is>
          <t>00000000096584 - SACOLA M AMOR 2026 2025 BOTI UNIT</t>
        </is>
      </c>
      <c r="B62" s="631" t="n">
        <v>0</v>
      </c>
      <c r="C62" s="631" t="n">
        <v>0</v>
      </c>
      <c r="D62" s="631" t="n">
        <v>0</v>
      </c>
      <c r="E62" s="631" t="n">
        <v>0</v>
      </c>
      <c r="F62" s="631" t="n">
        <v>0</v>
      </c>
      <c r="G62" s="631" t="n">
        <v>0</v>
      </c>
      <c r="H62" s="631" t="n">
        <v>0</v>
      </c>
      <c r="I62" s="631" t="n">
        <v>200</v>
      </c>
      <c r="J62" s="631" t="n">
        <v>0</v>
      </c>
      <c r="K62" s="632" t="n">
        <v>0</v>
      </c>
    </row>
    <row r="63">
      <c r="A63" s="472" t="inlineStr">
        <is>
          <t>00000000097579 - SEDA BOTI VD REVEND AMOR 2026 MOD C/20</t>
        </is>
      </c>
      <c r="B63" s="616" t="n">
        <v>0</v>
      </c>
      <c r="C63" s="616" t="n">
        <v>0</v>
      </c>
      <c r="D63" s="616" t="n">
        <v>0</v>
      </c>
      <c r="E63" s="616" t="n">
        <v>0</v>
      </c>
      <c r="F63" s="616" t="n">
        <v>0</v>
      </c>
      <c r="G63" s="616" t="n">
        <v>0</v>
      </c>
      <c r="H63" s="616" t="n">
        <v>0</v>
      </c>
      <c r="I63" s="616" t="n">
        <v>10</v>
      </c>
      <c r="J63" s="616" t="n">
        <v>0</v>
      </c>
      <c r="K63" s="633" t="n">
        <v>0</v>
      </c>
    </row>
    <row r="64">
      <c r="A64" s="474" t="inlineStr">
        <is>
          <t>00000000097622 - ADES SACOLA REV BOTI AMOR/26 MOD C/20 VD</t>
        </is>
      </c>
      <c r="B64" s="614" t="n">
        <v>0</v>
      </c>
      <c r="C64" s="614" t="n">
        <v>0</v>
      </c>
      <c r="D64" s="614" t="n">
        <v>0</v>
      </c>
      <c r="E64" s="614" t="n">
        <v>0</v>
      </c>
      <c r="F64" s="614" t="n">
        <v>0</v>
      </c>
      <c r="G64" s="614" t="n">
        <v>0</v>
      </c>
      <c r="H64" s="614" t="n">
        <v>0</v>
      </c>
      <c r="I64" s="614" t="n">
        <v>10</v>
      </c>
      <c r="J64" s="614" t="n">
        <v>0</v>
      </c>
      <c r="K64" s="634" t="n">
        <v>0</v>
      </c>
    </row>
    <row r="65" ht="15.75" customHeight="1" thickBot="1">
      <c r="A65" s="476" t="inlineStr">
        <is>
          <t>00000000096583 - ENVELOPE M AMOR 2026 BOTI UNIT</t>
        </is>
      </c>
      <c r="B65" s="635" t="n">
        <v>0</v>
      </c>
      <c r="C65" s="635" t="n">
        <v>0</v>
      </c>
      <c r="D65" s="635" t="n">
        <v>0</v>
      </c>
      <c r="E65" s="635" t="n">
        <v>0</v>
      </c>
      <c r="F65" s="635" t="n">
        <v>0</v>
      </c>
      <c r="G65" s="635" t="n">
        <v>0</v>
      </c>
      <c r="H65" s="635" t="n">
        <v>0</v>
      </c>
      <c r="I65" s="635" t="n">
        <v>50</v>
      </c>
      <c r="J65" s="635" t="n">
        <v>0</v>
      </c>
      <c r="K65" s="636" t="n">
        <v>0</v>
      </c>
    </row>
    <row r="66">
      <c r="A66" s="479" t="inlineStr">
        <is>
          <t>00000000053657 - EUDORA ENVELOPE INST 2022 P</t>
        </is>
      </c>
      <c r="B66" s="637" t="n">
        <v>0</v>
      </c>
      <c r="C66" s="637" t="n">
        <v>0</v>
      </c>
      <c r="D66" s="637" t="n">
        <v>0</v>
      </c>
      <c r="E66" s="637" t="n">
        <v>0</v>
      </c>
      <c r="F66" s="637" t="n">
        <v>0</v>
      </c>
      <c r="G66" s="637" t="n">
        <v>0</v>
      </c>
      <c r="H66" s="637" t="n">
        <v>1</v>
      </c>
      <c r="I66" s="637" t="n">
        <v>0</v>
      </c>
      <c r="J66" s="637" t="n">
        <v>0</v>
      </c>
      <c r="K66" s="637" t="n">
        <v>0</v>
      </c>
    </row>
    <row r="67">
      <c r="A67" s="444" t="inlineStr">
        <is>
          <t>00000000086027 - CAIXA DIVERTIDAMENTE M INFANTIL 2024</t>
        </is>
      </c>
      <c r="B67" s="616" t="n">
        <v>0</v>
      </c>
      <c r="C67" s="616" t="n">
        <v>0</v>
      </c>
      <c r="D67" s="616" t="n">
        <v>22</v>
      </c>
      <c r="E67" s="616" t="n">
        <v>0</v>
      </c>
      <c r="F67" s="616" t="n">
        <v>0</v>
      </c>
      <c r="G67" s="616" t="n">
        <v>0</v>
      </c>
      <c r="H67" s="616" t="n">
        <v>0</v>
      </c>
      <c r="I67" s="616" t="n">
        <v>0</v>
      </c>
      <c r="J67" s="616" t="n">
        <v>0</v>
      </c>
      <c r="K67" s="616" t="n">
        <v>0</v>
      </c>
    </row>
    <row r="68">
      <c r="A68" s="441" t="inlineStr">
        <is>
          <t>00000000087691 - COLECIONAV BOT NAT/24 CONE ARVORE UNIT</t>
        </is>
      </c>
      <c r="B68" s="614" t="n">
        <v>0</v>
      </c>
      <c r="C68" s="614" t="n">
        <v>0</v>
      </c>
      <c r="D68" s="614" t="n">
        <v>3</v>
      </c>
      <c r="E68" s="614" t="n">
        <v>8</v>
      </c>
      <c r="F68" s="614" t="n">
        <v>0</v>
      </c>
      <c r="G68" s="614" t="n">
        <v>0</v>
      </c>
      <c r="H68" s="614" t="n">
        <v>161</v>
      </c>
      <c r="I68" s="614" t="n">
        <v>0</v>
      </c>
      <c r="J68" s="614" t="n">
        <v>208</v>
      </c>
      <c r="K68" s="614" t="n">
        <v>6</v>
      </c>
    </row>
    <row r="69">
      <c r="A69" s="444" t="inlineStr">
        <is>
          <t>00000000089713 - KIT TAG BOTI NAMORADOS 25 C/10 VD</t>
        </is>
      </c>
      <c r="B69" s="616" t="n">
        <v>0</v>
      </c>
      <c r="C69" s="616" t="n">
        <v>0</v>
      </c>
      <c r="D69" s="616" t="n">
        <v>5</v>
      </c>
      <c r="E69" s="616" t="n">
        <v>0</v>
      </c>
      <c r="F69" s="616" t="n">
        <v>0</v>
      </c>
      <c r="G69" s="616" t="n">
        <v>0</v>
      </c>
      <c r="H69" s="616" t="n">
        <v>0</v>
      </c>
      <c r="I69" s="616" t="n">
        <v>0</v>
      </c>
      <c r="J69" s="616" t="n">
        <v>0</v>
      </c>
      <c r="K69" s="616" t="n">
        <v>0</v>
      </c>
    </row>
    <row r="70">
      <c r="A70" s="444" t="inlineStr">
        <is>
          <t>00000000087694 - COLECIONAVEIS BOT NAT/24 BOLA UNITARIA</t>
        </is>
      </c>
      <c r="B70" s="616" t="n">
        <v>0</v>
      </c>
      <c r="C70" s="616" t="n">
        <v>0</v>
      </c>
      <c r="D70" s="616" t="n">
        <v>0</v>
      </c>
      <c r="E70" s="616" t="n">
        <v>1</v>
      </c>
      <c r="F70" s="616" t="n">
        <v>0</v>
      </c>
      <c r="G70" s="616" t="n">
        <v>0</v>
      </c>
      <c r="H70" s="616" t="n">
        <v>9</v>
      </c>
      <c r="I70" s="616" t="n">
        <v>0</v>
      </c>
      <c r="J70" s="616" t="n">
        <v>36</v>
      </c>
      <c r="K70" s="616" t="n">
        <v>14</v>
      </c>
    </row>
    <row r="71">
      <c r="A71" s="441" t="inlineStr">
        <is>
          <t>00000000090451 - CINTA P/CX M QDB MSP 2025</t>
        </is>
      </c>
      <c r="B71" s="614" t="n">
        <v>0</v>
      </c>
      <c r="C71" s="614" t="n">
        <v>0</v>
      </c>
      <c r="D71" s="614" t="n">
        <v>0</v>
      </c>
      <c r="E71" s="614" t="n">
        <v>0</v>
      </c>
      <c r="F71" s="614" t="n">
        <v>0</v>
      </c>
      <c r="G71" s="614" t="n">
        <v>0</v>
      </c>
      <c r="H71" s="614" t="n">
        <v>146</v>
      </c>
      <c r="I71" s="614" t="n">
        <v>0</v>
      </c>
      <c r="J71" s="614" t="n">
        <v>146</v>
      </c>
      <c r="K71" s="614" t="n">
        <v>0</v>
      </c>
    </row>
    <row r="72">
      <c r="A72" s="444" t="inlineStr">
        <is>
          <t>00000000090452 - CARTUCHO PRESENTE QDB MSP 2025</t>
        </is>
      </c>
      <c r="B72" s="616" t="n">
        <v>0</v>
      </c>
      <c r="C72" s="616" t="n">
        <v>0</v>
      </c>
      <c r="D72" s="616" t="n">
        <v>0</v>
      </c>
      <c r="E72" s="616" t="n">
        <v>0</v>
      </c>
      <c r="F72" s="616" t="n">
        <v>0</v>
      </c>
      <c r="G72" s="616" t="n">
        <v>0</v>
      </c>
      <c r="H72" s="616" t="n">
        <v>73</v>
      </c>
      <c r="I72" s="616" t="n">
        <v>0</v>
      </c>
      <c r="J72" s="616" t="n">
        <v>1</v>
      </c>
      <c r="K72" s="616" t="n">
        <v>0</v>
      </c>
    </row>
    <row r="73">
      <c r="A73" s="441" t="inlineStr">
        <is>
          <t>00000000090763 - KIT PAPEL SEDA BOTICARIO PAIS/25 C/20 VD</t>
        </is>
      </c>
      <c r="B73" s="614" t="n">
        <v>0</v>
      </c>
      <c r="C73" s="614" t="n">
        <v>0</v>
      </c>
      <c r="D73" s="614" t="n">
        <v>0</v>
      </c>
      <c r="E73" s="614" t="n">
        <v>10</v>
      </c>
      <c r="F73" s="614" t="n">
        <v>13</v>
      </c>
      <c r="G73" s="614" t="n">
        <v>0</v>
      </c>
      <c r="H73" s="614" t="n">
        <v>0</v>
      </c>
      <c r="I73" s="614" t="n">
        <v>0</v>
      </c>
      <c r="J73" s="614" t="n">
        <v>0</v>
      </c>
      <c r="K73" s="614" t="n">
        <v>0</v>
      </c>
    </row>
    <row r="74">
      <c r="A74" s="444" t="inlineStr">
        <is>
          <t>00000000094684 - SACOLA UNIT M ARANHA 2025 BOTI</t>
        </is>
      </c>
      <c r="B74" s="616" t="n">
        <v>0</v>
      </c>
      <c r="C74" s="616" t="n">
        <v>0</v>
      </c>
      <c r="D74" s="616" t="n">
        <v>0</v>
      </c>
      <c r="E74" s="616" t="n">
        <v>0</v>
      </c>
      <c r="F74" s="616" t="n">
        <v>0</v>
      </c>
      <c r="G74" s="615" t="n">
        <v>69</v>
      </c>
      <c r="H74" s="616" t="n">
        <v>0</v>
      </c>
      <c r="I74" s="616" t="n">
        <v>0</v>
      </c>
      <c r="J74" s="616" t="n">
        <v>0</v>
      </c>
      <c r="K74" s="616" t="n">
        <v>0</v>
      </c>
    </row>
    <row r="75">
      <c r="A75" s="441" t="inlineStr">
        <is>
          <t>00000000094682 - CAIXA LACO M BOTI ARANHA 2025 UNIT</t>
        </is>
      </c>
      <c r="B75" s="614" t="n">
        <v>0</v>
      </c>
      <c r="C75" s="614" t="n">
        <v>0</v>
      </c>
      <c r="D75" s="615" t="n">
        <v>16</v>
      </c>
      <c r="E75" s="614" t="n">
        <v>0</v>
      </c>
      <c r="F75" s="614" t="n">
        <v>0</v>
      </c>
      <c r="G75" s="615" t="n">
        <v>50</v>
      </c>
      <c r="H75" s="615" t="n">
        <v>15</v>
      </c>
      <c r="I75" s="614" t="n">
        <v>0</v>
      </c>
      <c r="J75" s="615" t="n">
        <v>29</v>
      </c>
      <c r="K75" s="615" t="n">
        <v>30</v>
      </c>
    </row>
    <row r="76">
      <c r="A76" s="444" t="inlineStr">
        <is>
          <t>00000000094688 - CAR PRESENTE QDB H/POTTER 2025</t>
        </is>
      </c>
      <c r="B76" s="616" t="n">
        <v>0</v>
      </c>
      <c r="C76" s="616" t="n">
        <v>0</v>
      </c>
      <c r="D76" s="615" t="n">
        <v>22</v>
      </c>
      <c r="E76" s="615" t="n">
        <v>10</v>
      </c>
      <c r="F76" s="616" t="n">
        <v>0</v>
      </c>
      <c r="G76" s="615" t="n">
        <v>65</v>
      </c>
      <c r="H76" s="615" t="n">
        <v>32</v>
      </c>
      <c r="I76" s="616" t="n">
        <v>0</v>
      </c>
      <c r="J76" s="615" t="n">
        <v>49</v>
      </c>
      <c r="K76" s="615" t="n">
        <v>10</v>
      </c>
    </row>
    <row r="77">
      <c r="A77" s="441" t="inlineStr">
        <is>
          <t>00000000095139 - KIT PAPEL SEDA BOTI NATAL 2025 C/20 VD</t>
        </is>
      </c>
      <c r="B77" s="614" t="n">
        <v>0</v>
      </c>
      <c r="C77" s="614" t="n">
        <v>0</v>
      </c>
      <c r="D77" s="614" t="n">
        <v>0</v>
      </c>
      <c r="E77" s="614" t="n">
        <v>0</v>
      </c>
      <c r="F77" s="614" t="n">
        <v>3</v>
      </c>
      <c r="G77" s="614" t="n">
        <v>0</v>
      </c>
      <c r="H77" s="614" t="n">
        <v>0</v>
      </c>
      <c r="I77" s="614" t="n">
        <v>0</v>
      </c>
      <c r="J77" s="614" t="n">
        <v>0</v>
      </c>
      <c r="K77" s="614" t="n">
        <v>0</v>
      </c>
    </row>
    <row r="78">
      <c r="A78" s="444" t="inlineStr">
        <is>
          <t>00000000044742 - FITA DE VEDACAO VOID DEVOLUCAO</t>
        </is>
      </c>
      <c r="B78" s="616" t="n">
        <v>0</v>
      </c>
      <c r="C78" s="616" t="n">
        <v>0</v>
      </c>
      <c r="D78" s="616" t="n">
        <v>0</v>
      </c>
      <c r="E78" s="616" t="n">
        <v>0</v>
      </c>
      <c r="F78" s="616" t="n">
        <v>0</v>
      </c>
      <c r="G78" s="616" t="n">
        <v>1</v>
      </c>
      <c r="H78" s="616" t="n">
        <v>1</v>
      </c>
      <c r="I78" s="616" t="n">
        <v>1</v>
      </c>
      <c r="J78" s="616" t="n">
        <v>0</v>
      </c>
      <c r="K78" s="616" t="n">
        <v>0</v>
      </c>
    </row>
    <row r="79">
      <c r="A79" s="441" t="inlineStr">
        <is>
          <t>00000000046054 - CAIXA PAPELAO TAMPA LIGADA DEVOLUCAO PCK</t>
        </is>
      </c>
      <c r="B79" s="614" t="n">
        <v>0</v>
      </c>
      <c r="C79" s="614" t="n">
        <v>0</v>
      </c>
      <c r="D79" s="614" t="n">
        <v>0</v>
      </c>
      <c r="E79" s="614" t="n">
        <v>0</v>
      </c>
      <c r="F79" s="614" t="n">
        <v>0</v>
      </c>
      <c r="G79" s="614" t="n">
        <v>0</v>
      </c>
      <c r="H79" s="614" t="n">
        <v>0</v>
      </c>
      <c r="I79" s="614" t="n">
        <v>24</v>
      </c>
      <c r="J79" s="614" t="n">
        <v>0</v>
      </c>
      <c r="K79" s="614" t="n">
        <v>0</v>
      </c>
    </row>
    <row r="80">
      <c r="A80" s="444" t="inlineStr">
        <is>
          <t>00000000053652 - KIT SACOLA EUDORA UNIT NATAL 2022 M</t>
        </is>
      </c>
      <c r="B80" s="616" t="n">
        <v>0</v>
      </c>
      <c r="C80" s="616" t="n">
        <v>50</v>
      </c>
      <c r="D80" s="616" t="n">
        <v>0</v>
      </c>
      <c r="E80" s="616" t="n">
        <v>0</v>
      </c>
      <c r="F80" s="616" t="n">
        <v>0</v>
      </c>
      <c r="G80" s="616" t="n">
        <v>0</v>
      </c>
      <c r="H80" s="616" t="n">
        <v>0</v>
      </c>
      <c r="I80" s="616" t="n">
        <v>0</v>
      </c>
      <c r="J80" s="616" t="n">
        <v>0</v>
      </c>
      <c r="K80" s="616" t="n">
        <v>0</v>
      </c>
    </row>
    <row r="81">
      <c r="A81" s="441" t="inlineStr">
        <is>
          <t>00000000089843 - ENVELOPE M BOTI PAIS 2025 UNIT</t>
        </is>
      </c>
      <c r="B81" s="614" t="n">
        <v>0</v>
      </c>
      <c r="C81" s="614" t="n">
        <v>0</v>
      </c>
      <c r="D81" s="614" t="n">
        <v>0</v>
      </c>
      <c r="E81" s="614" t="n">
        <v>0</v>
      </c>
      <c r="F81" s="614" t="n">
        <v>0</v>
      </c>
      <c r="G81" s="614" t="n">
        <v>9</v>
      </c>
      <c r="H81" s="614" t="n">
        <v>0</v>
      </c>
      <c r="I81" s="614" t="n">
        <v>0</v>
      </c>
      <c r="J81" s="614" t="n">
        <v>0</v>
      </c>
      <c r="K81" s="614" t="n">
        <v>0</v>
      </c>
    </row>
    <row r="82">
      <c r="A82" s="481" t="inlineStr">
        <is>
          <t>Total</t>
        </is>
      </c>
      <c r="B82" s="638" t="n">
        <v>0</v>
      </c>
      <c r="C82" s="638" t="n">
        <v>1830</v>
      </c>
      <c r="D82" s="638" t="n">
        <v>2868</v>
      </c>
      <c r="E82" s="638" t="n">
        <v>1384</v>
      </c>
      <c r="F82" s="638" t="n">
        <v>515</v>
      </c>
      <c r="G82" s="638" t="n">
        <v>1971</v>
      </c>
      <c r="H82" s="638" t="n">
        <v>1453</v>
      </c>
      <c r="I82" s="638" t="n">
        <v>1442</v>
      </c>
      <c r="J82" s="638" t="n">
        <v>2578</v>
      </c>
      <c r="K82" s="638" t="n">
        <v>647</v>
      </c>
    </row>
  </sheetData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 codeName="Planilha3">
    <tabColor theme="9"/>
    <outlinePr summaryBelow="1" summaryRight="1"/>
    <pageSetUpPr/>
  </sheetPr>
  <dimension ref="A1:IS65"/>
  <sheetViews>
    <sheetView showGridLines="0" topLeftCell="A15" zoomScale="80" zoomScaleNormal="80" workbookViewId="0">
      <selection activeCell="AD1" sqref="AD1:AD1048576"/>
    </sheetView>
  </sheetViews>
  <sheetFormatPr baseColWidth="8" defaultColWidth="9.140625" defaultRowHeight="18.75"/>
  <cols>
    <col width="29.7109375" customWidth="1" min="1" max="1"/>
    <col width="11" customWidth="1" min="2" max="2"/>
    <col hidden="1" width="14.5703125" customWidth="1" min="3" max="3"/>
    <col width="14.5703125" customWidth="1" min="4" max="4"/>
    <col width="2.140625" customWidth="1" min="5" max="5"/>
    <col hidden="1" width="9.5703125" customWidth="1" min="6" max="6"/>
    <col hidden="1" width="13" customWidth="1" min="7" max="7"/>
    <col hidden="1" width="13" customWidth="1" min="8" max="8"/>
    <col hidden="1" width="13" customWidth="1" min="9" max="9"/>
    <col hidden="1" width="8.140625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8.140625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width="13" customWidth="1" min="32" max="32"/>
    <col width="13" customWidth="1" min="33" max="33"/>
    <col width="9.42578125" customWidth="1" min="34" max="34"/>
    <col width="1.5703125" customWidth="1" min="35" max="35"/>
    <col width="23.85546875" customWidth="1" min="36" max="36"/>
    <col width="14.28515625" customWidth="1" min="37" max="37"/>
    <col width="2.42578125" customWidth="1" min="39" max="39"/>
    <col width="3" customWidth="1" min="40" max="40"/>
    <col width="8.140625" customWidth="1" min="41" max="41"/>
    <col width="8.7109375" customWidth="1" min="46" max="46"/>
    <col hidden="1" width="8.140625" customWidth="1" min="47" max="47"/>
    <col hidden="1" width="13.7109375" customWidth="1" min="49" max="49"/>
    <col hidden="1" width="8.140625" customWidth="1" min="50" max="50"/>
    <col width="4.7109375" customWidth="1" min="61" max="61"/>
    <col width="3.42578125" customWidth="1" min="62" max="62"/>
    <col width="15" customWidth="1" min="63" max="63"/>
    <col width="4.85546875" customWidth="1" min="64" max="64"/>
    <col width="21.85546875" customWidth="1" min="65" max="65"/>
    <col width="9.140625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9.140625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width="13" customWidth="1" min="77" max="77"/>
    <col width="13" customWidth="1" min="78" max="78"/>
    <col width="4" customWidth="1" min="80" max="80"/>
    <col width="9.140625" customWidth="1" min="81" max="81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K1" s="74" t="n"/>
    </row>
    <row r="2">
      <c r="A2" s="50" t="inlineStr">
        <is>
          <t>LOJA:</t>
        </is>
      </c>
      <c r="B2" s="639" t="inlineStr">
        <is>
          <t>PLAZA</t>
        </is>
      </c>
      <c r="C2" s="640" t="n"/>
      <c r="D2" s="641" t="n"/>
      <c r="E2" s="77" t="n"/>
      <c r="AI2" s="6" t="n"/>
      <c r="AJ2" s="6" t="n"/>
      <c r="AK2" s="6" t="n"/>
      <c r="AL2" s="6" t="n"/>
      <c r="AO2" s="6" t="n"/>
      <c r="AP2" s="6" t="n"/>
      <c r="AQ2" s="6" t="n"/>
      <c r="AR2" s="6" t="n"/>
      <c r="AS2" s="6" t="n"/>
      <c r="AU2" s="6" t="n"/>
      <c r="AV2" s="6" t="n"/>
      <c r="AW2" s="6" t="n"/>
      <c r="AX2" s="6" t="n"/>
      <c r="AY2" s="6" t="n"/>
      <c r="AZ2" s="6" t="n"/>
      <c r="BA2" s="6" t="n"/>
      <c r="BB2" s="6" t="n"/>
      <c r="BC2" s="6" t="n"/>
      <c r="BD2" s="6" t="n"/>
      <c r="BE2" s="6" t="n"/>
      <c r="BF2" s="6" t="n"/>
      <c r="BG2" s="6" t="n"/>
      <c r="BH2" s="6" t="n"/>
      <c r="BK2" s="6" t="n"/>
    </row>
    <row r="3">
      <c r="A3" s="50" t="inlineStr">
        <is>
          <t>Responsável:</t>
        </is>
      </c>
      <c r="B3" s="253" t="inlineStr">
        <is>
          <t>INGRID E YRLA</t>
        </is>
      </c>
      <c r="C3" s="640" t="n"/>
      <c r="D3" s="641" t="n"/>
      <c r="E3" s="51" t="n"/>
      <c r="F3" s="105" t="n"/>
      <c r="G3" s="105" t="n"/>
      <c r="H3" s="105" t="n"/>
      <c r="I3" s="105" t="n"/>
      <c r="J3" s="105" t="n"/>
      <c r="K3" s="105" t="n"/>
      <c r="L3" s="105" t="n"/>
      <c r="M3" s="105" t="n"/>
      <c r="N3" s="105" t="n"/>
      <c r="O3" s="105" t="n"/>
      <c r="P3" s="105" t="n"/>
      <c r="Q3" s="105" t="n"/>
      <c r="R3" s="105" t="n"/>
      <c r="S3" s="105" t="n"/>
      <c r="T3" s="105" t="n"/>
      <c r="U3" s="105" t="n"/>
      <c r="V3" s="105" t="n"/>
      <c r="W3" s="105" t="n"/>
      <c r="X3" s="105" t="n"/>
      <c r="Y3" s="105" t="n"/>
      <c r="Z3" s="105" t="n"/>
      <c r="AA3" s="105" t="n"/>
      <c r="AB3" s="105" t="n"/>
      <c r="AC3" s="105" t="n"/>
      <c r="AD3" s="105" t="n"/>
      <c r="AE3" s="6" t="n"/>
      <c r="AF3" s="6" t="n"/>
      <c r="AG3" s="6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</row>
    <row r="4">
      <c r="AI4" s="6" t="n"/>
      <c r="AJ4" s="6" t="n"/>
      <c r="AK4" s="6" t="n"/>
      <c r="AL4" s="6" t="n"/>
      <c r="AO4" s="6" t="n"/>
      <c r="AP4" s="6" t="n"/>
      <c r="AQ4" s="6" t="n"/>
      <c r="AR4" s="6" t="n"/>
      <c r="AS4" s="6" t="n"/>
      <c r="AT4" s="254" t="n"/>
      <c r="AU4" s="6" t="n"/>
      <c r="AV4" s="6" t="n"/>
      <c r="AW4" s="6" t="n"/>
      <c r="AX4" s="6" t="n"/>
      <c r="AY4" s="6" t="n"/>
      <c r="AZ4" s="6" t="n"/>
      <c r="BA4" s="6" t="n"/>
      <c r="BB4" s="6" t="n"/>
      <c r="BC4" s="6" t="n"/>
      <c r="BD4" s="6" t="n"/>
      <c r="BE4" s="6" t="n"/>
      <c r="BF4" s="6" t="n"/>
      <c r="BG4" s="6" t="n"/>
      <c r="BH4" s="6" t="n"/>
      <c r="BK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10" t="n"/>
      <c r="G5" s="510" t="n"/>
      <c r="H5" s="510" t="n"/>
      <c r="I5" s="510" t="n"/>
      <c r="J5" s="510" t="n"/>
      <c r="K5" s="510" t="n"/>
      <c r="L5" s="510" t="n"/>
      <c r="M5" s="510" t="n"/>
      <c r="N5" s="510" t="n"/>
      <c r="O5" s="510" t="n"/>
      <c r="P5" s="510" t="n"/>
      <c r="Q5" s="510" t="n"/>
      <c r="R5" s="510" t="n"/>
      <c r="S5" s="510" t="n"/>
      <c r="T5" s="510" t="n"/>
      <c r="U5" s="510" t="n"/>
      <c r="V5" s="510" t="n"/>
      <c r="W5" s="510" t="n"/>
      <c r="X5" s="510" t="n"/>
      <c r="Y5" s="510" t="n"/>
      <c r="Z5" s="510" t="n"/>
      <c r="AA5" s="510" t="n"/>
      <c r="AB5" s="510" t="n"/>
      <c r="AC5" s="510" t="n"/>
      <c r="AD5" s="510" t="n"/>
      <c r="AE5" s="510" t="n"/>
      <c r="AF5" s="510" t="n"/>
      <c r="AG5" s="510" t="n"/>
      <c r="AH5" s="153" t="n"/>
      <c r="AI5" s="109" t="n"/>
      <c r="AJ5" s="413" t="inlineStr">
        <is>
          <t>TRANSFERÊNCIA</t>
        </is>
      </c>
      <c r="AK5" s="35" t="inlineStr">
        <is>
          <t>Pendências</t>
        </is>
      </c>
      <c r="AL5" s="35" t="inlineStr">
        <is>
          <t>Pendências</t>
        </is>
      </c>
      <c r="AO5" s="646" t="n">
        <v>46156</v>
      </c>
      <c r="AP5" s="646" t="n">
        <v>46149</v>
      </c>
      <c r="AQ5" s="646" t="n">
        <v>46142</v>
      </c>
      <c r="AR5" s="646" t="n">
        <v>46114</v>
      </c>
      <c r="AS5" s="646" t="n">
        <v>46107</v>
      </c>
      <c r="AT5" s="647" t="n">
        <v>46065</v>
      </c>
      <c r="AU5" s="646" t="n">
        <v>46099</v>
      </c>
      <c r="AV5" s="646" t="n">
        <v>46092</v>
      </c>
      <c r="AW5" s="648" t="inlineStr">
        <is>
          <t>TRANSF.</t>
        </is>
      </c>
      <c r="AX5" s="646" t="n">
        <v>46071</v>
      </c>
      <c r="AY5" s="646" t="n">
        <v>46056</v>
      </c>
      <c r="AZ5" s="646" t="n">
        <v>46048</v>
      </c>
      <c r="BA5" s="646" t="n">
        <v>46043</v>
      </c>
      <c r="BB5" s="646" t="n">
        <v>46035</v>
      </c>
      <c r="BC5" s="646" t="n">
        <v>46029</v>
      </c>
      <c r="BD5" s="646" t="n">
        <v>46017</v>
      </c>
      <c r="BE5" s="646" t="n">
        <v>46007</v>
      </c>
      <c r="BF5" s="646" t="n">
        <v>46001</v>
      </c>
      <c r="BG5" s="646" t="n">
        <v>45994</v>
      </c>
      <c r="BH5" s="646" t="n">
        <v>45986</v>
      </c>
      <c r="BK5" s="12" t="inlineStr">
        <is>
          <t>Novo Pedido</t>
        </is>
      </c>
    </row>
    <row r="6" ht="21.75" customFormat="1" customHeight="1" s="3">
      <c r="A6" s="649" t="n"/>
      <c r="B6" s="649" t="n"/>
      <c r="C6" s="649" t="n"/>
      <c r="D6" s="649" t="n"/>
      <c r="F6" s="650" t="n">
        <v>46006</v>
      </c>
      <c r="G6" s="650" t="n">
        <v>46013</v>
      </c>
      <c r="H6" s="650" t="n">
        <v>46020</v>
      </c>
      <c r="I6" s="650" t="n">
        <v>46027</v>
      </c>
      <c r="J6" s="650" t="n">
        <v>46034</v>
      </c>
      <c r="K6" s="650" t="n">
        <v>46041</v>
      </c>
      <c r="L6" s="650" t="n">
        <v>46048</v>
      </c>
      <c r="M6" s="650" t="n">
        <v>46055</v>
      </c>
      <c r="N6" s="650" t="n">
        <v>46062</v>
      </c>
      <c r="O6" s="650" t="n">
        <v>46069</v>
      </c>
      <c r="P6" s="650" t="n">
        <v>46076</v>
      </c>
      <c r="Q6" s="650" t="n">
        <v>46083</v>
      </c>
      <c r="R6" s="650" t="n">
        <v>46090</v>
      </c>
      <c r="S6" s="650" t="n">
        <v>46097</v>
      </c>
      <c r="T6" s="650" t="n">
        <v>46104</v>
      </c>
      <c r="U6" s="650" t="n">
        <v>46111</v>
      </c>
      <c r="V6" s="650" t="n">
        <v>46118</v>
      </c>
      <c r="W6" s="650" t="n">
        <v>46125</v>
      </c>
      <c r="X6" s="650" t="n">
        <v>46132</v>
      </c>
      <c r="Y6" s="650" t="n">
        <v>46139</v>
      </c>
      <c r="Z6" s="650" t="n">
        <v>46146</v>
      </c>
      <c r="AA6" s="650" t="n">
        <v>46154</v>
      </c>
      <c r="AB6" s="650" t="n">
        <v>46160</v>
      </c>
      <c r="AC6" s="650" t="n">
        <v>46160</v>
      </c>
      <c r="AD6" s="650" t="n">
        <v>46160</v>
      </c>
      <c r="AE6" s="651" t="n">
        <v>46161.4800257176</v>
      </c>
      <c r="AF6" s="651" t="n">
        <v>46161.48070568287</v>
      </c>
      <c r="AG6" s="651" t="n">
        <v>46161.4828639603</v>
      </c>
      <c r="AH6" s="652" t="inlineStr">
        <is>
          <t>USOU</t>
        </is>
      </c>
      <c r="AI6" s="124" t="n"/>
      <c r="AJ6" s="414" t="inlineStr">
        <is>
          <t>SUGESTÃO</t>
        </is>
      </c>
      <c r="AK6" s="214" t="n">
        <v>46156</v>
      </c>
      <c r="AL6" s="214" t="n">
        <v>46149</v>
      </c>
      <c r="AM6" s="653" t="n"/>
      <c r="AN6" s="653" t="n"/>
      <c r="AO6" s="654" t="n"/>
      <c r="AP6" s="654" t="n"/>
      <c r="AQ6" s="654" t="n">
        <v>46148</v>
      </c>
      <c r="AR6" s="654" t="n">
        <v>46121</v>
      </c>
      <c r="AS6" s="654" t="n">
        <v>46111</v>
      </c>
      <c r="AT6" s="647" t="n">
        <v>46107</v>
      </c>
      <c r="AU6" s="654" t="n">
        <v>46105</v>
      </c>
      <c r="AV6" s="654" t="n">
        <v>46097</v>
      </c>
      <c r="AW6" s="655" t="n">
        <v>46079</v>
      </c>
      <c r="AX6" s="654" t="n">
        <v>46073</v>
      </c>
      <c r="AY6" s="654" t="n">
        <v>46057</v>
      </c>
      <c r="AZ6" s="654" t="n">
        <v>46050</v>
      </c>
      <c r="BA6" s="654" t="n">
        <v>46051</v>
      </c>
      <c r="BB6" s="654" t="n">
        <v>46041</v>
      </c>
      <c r="BC6" s="654" t="n">
        <v>46037</v>
      </c>
      <c r="BD6" s="654" t="n">
        <v>46030</v>
      </c>
      <c r="BE6" s="654" t="n">
        <v>46010</v>
      </c>
      <c r="BF6" s="654" t="n">
        <v>46007</v>
      </c>
      <c r="BG6" s="654" t="n">
        <v>46001</v>
      </c>
      <c r="BH6" s="654" t="n">
        <v>45994</v>
      </c>
      <c r="BK6" s="656" t="n"/>
      <c r="BL6" s="6" t="n"/>
      <c r="BM6" s="6" t="n"/>
      <c r="BN6" s="6" t="n"/>
      <c r="BO6" s="6" t="n"/>
      <c r="BP6" s="6" t="n"/>
      <c r="BQ6" s="6" t="n"/>
      <c r="BR6" s="6" t="n"/>
      <c r="BS6" s="6" t="n"/>
      <c r="BT6" s="6" t="n"/>
      <c r="BU6" s="6" t="n"/>
      <c r="BV6" s="6" t="n"/>
      <c r="BW6" s="6" t="n"/>
      <c r="BX6" s="6" t="n"/>
      <c r="BY6" s="6" t="n"/>
      <c r="BZ6" s="6" t="n"/>
      <c r="CA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F7" s="76" t="n"/>
      <c r="G7" s="76" t="n"/>
      <c r="H7" s="76" t="n"/>
      <c r="I7" s="76" t="n"/>
      <c r="J7" s="76" t="n"/>
      <c r="K7" s="76" t="n"/>
      <c r="L7" s="76" t="n"/>
      <c r="M7" s="76" t="n"/>
      <c r="N7" s="76" t="n"/>
      <c r="O7" s="76" t="n"/>
      <c r="P7" s="76" t="n"/>
      <c r="Q7" s="76" t="n"/>
      <c r="R7" s="76" t="n"/>
      <c r="S7" s="76" t="n"/>
      <c r="T7" s="76" t="n"/>
      <c r="U7" s="76" t="n"/>
      <c r="V7" s="76" t="n"/>
      <c r="W7" s="76" t="n"/>
      <c r="X7" s="76" t="n"/>
      <c r="Y7" s="76" t="n"/>
      <c r="Z7" s="76" t="n"/>
      <c r="AA7" s="76" t="n"/>
      <c r="AB7" s="76" t="n"/>
      <c r="AC7" s="76" t="n"/>
      <c r="AD7" s="76" t="n"/>
      <c r="AE7" s="76" t="n"/>
      <c r="AF7" s="76" t="n"/>
      <c r="AG7" s="76" t="n"/>
      <c r="AH7" s="76" t="n"/>
      <c r="AI7" s="1" t="n"/>
      <c r="AJ7" s="89" t="n"/>
      <c r="AK7" s="89" t="n"/>
      <c r="AL7" s="89" t="n"/>
      <c r="AM7" s="6" t="n"/>
      <c r="AN7" s="6" t="n"/>
      <c r="AO7" s="283" t="n"/>
      <c r="AP7" s="283" t="n"/>
      <c r="AQ7" s="283" t="n"/>
      <c r="AR7" s="283" t="n"/>
      <c r="AS7" s="283" t="n"/>
      <c r="AT7" s="575" t="inlineStr">
        <is>
          <t>MÃES</t>
        </is>
      </c>
      <c r="AU7" s="283" t="n"/>
      <c r="AV7" s="283" t="n"/>
      <c r="AW7" s="283" t="n"/>
      <c r="AX7" s="283" t="n"/>
      <c r="AY7" s="283" t="n"/>
      <c r="AZ7" s="283" t="n"/>
      <c r="BA7" s="283" t="n"/>
      <c r="BB7" s="283" t="n"/>
      <c r="BC7" s="283" t="n"/>
      <c r="BD7" s="283" t="n"/>
      <c r="BE7" s="283" t="n"/>
      <c r="BF7" s="283" t="n"/>
      <c r="BG7" s="283" t="n"/>
      <c r="BH7" s="283" t="n"/>
      <c r="BK7" s="20" t="n"/>
      <c r="BL7" s="657" t="n"/>
      <c r="BM7" s="658" t="n"/>
      <c r="BN7" s="658" t="n"/>
      <c r="BO7" s="658" t="n"/>
      <c r="BP7" s="658" t="n"/>
      <c r="BQ7" s="658" t="n"/>
      <c r="BR7" s="658" t="n"/>
      <c r="BS7" s="670" t="n"/>
      <c r="BT7" s="658" t="n"/>
      <c r="BU7" s="658" t="n"/>
      <c r="BV7" s="505" t="n"/>
      <c r="BW7" s="505" t="n"/>
      <c r="BX7" s="505" t="n"/>
      <c r="BY7" s="505" t="n"/>
      <c r="BZ7" s="505" t="n"/>
      <c r="CA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600</v>
      </c>
      <c r="F8" s="187" t="n">
        <v>900</v>
      </c>
      <c r="G8" s="187" t="n">
        <v>800</v>
      </c>
      <c r="H8" s="187" t="n">
        <v>1200</v>
      </c>
      <c r="I8" s="187" t="n">
        <v>2100</v>
      </c>
      <c r="J8" s="187" t="n">
        <v>1800</v>
      </c>
      <c r="K8" s="187" t="n">
        <v>1800</v>
      </c>
      <c r="L8" s="187" t="n">
        <v>1800</v>
      </c>
      <c r="M8" s="187" t="n">
        <v>1500</v>
      </c>
      <c r="N8" s="187" t="n">
        <v>1500</v>
      </c>
      <c r="O8" s="187" t="n">
        <v>1200</v>
      </c>
      <c r="P8" s="187">
        <f>1500-300</f>
        <v/>
      </c>
      <c r="Q8" s="187" t="n">
        <v>1200</v>
      </c>
      <c r="R8" s="187" t="n">
        <v>1200</v>
      </c>
      <c r="S8" s="187" t="n">
        <v>900</v>
      </c>
      <c r="T8" s="187" t="n">
        <v>900</v>
      </c>
      <c r="U8" s="187" t="n">
        <v>900</v>
      </c>
      <c r="V8" s="187" t="n">
        <v>900</v>
      </c>
      <c r="W8" s="187" t="n">
        <v>300</v>
      </c>
      <c r="X8" s="187" t="n">
        <v>300</v>
      </c>
      <c r="Y8" s="187" t="n">
        <v>160</v>
      </c>
      <c r="Z8" s="187">
        <f>160+AN8</f>
        <v/>
      </c>
      <c r="AA8" s="187" t="n">
        <v>160</v>
      </c>
      <c r="AB8" s="187" t="n"/>
      <c r="AC8" s="187" t="n"/>
      <c r="AD8" s="187" t="n"/>
      <c r="AE8" s="422" t="n"/>
      <c r="AF8" s="422" t="n"/>
      <c r="AG8" s="422" t="n"/>
      <c r="AH8" s="188">
        <f>AF8+IF(NOT(ISBLANK(OFFSET(AH8,0,6))),N(OFFSET(AH8,0,6)),N(OFFSET(AH8,0,7)))-AG8</f>
        <v/>
      </c>
      <c r="AI8" s="114" t="n"/>
      <c r="AJ8" s="19" t="n"/>
      <c r="AK8" s="19" t="n">
        <v>900</v>
      </c>
      <c r="AL8" s="19" t="n"/>
      <c r="AM8" s="6" t="n"/>
      <c r="AN8" s="6" t="n"/>
      <c r="AO8" s="18" t="n">
        <v>0</v>
      </c>
      <c r="AP8" s="18" t="n">
        <v>0</v>
      </c>
      <c r="AQ8" s="18" t="n">
        <v>600</v>
      </c>
      <c r="AR8" s="18" t="n"/>
      <c r="AS8" s="18" t="n"/>
      <c r="AT8" s="356" t="n"/>
      <c r="AU8" s="18" t="n"/>
      <c r="AV8" s="18" t="n"/>
      <c r="AW8" s="154" t="inlineStr">
        <is>
          <t>300 P/ PBE</t>
        </is>
      </c>
      <c r="AX8" s="18" t="n">
        <v>300</v>
      </c>
      <c r="AY8" s="18" t="n"/>
      <c r="AZ8" s="18" t="n"/>
      <c r="BA8" s="18" t="n"/>
      <c r="BB8" s="18" t="n"/>
      <c r="BC8" s="18" t="n"/>
      <c r="BD8" s="18" t="n">
        <v>900</v>
      </c>
      <c r="BE8" s="18" t="n"/>
      <c r="BF8" s="18" t="n">
        <v>1200</v>
      </c>
      <c r="BG8" s="18" t="n"/>
      <c r="BH8" s="18" t="n">
        <v>900</v>
      </c>
      <c r="BK8" s="23" t="n"/>
      <c r="BL8" s="651" t="n">
        <v>46161.48286239778</v>
      </c>
      <c r="BM8" s="267" t="inlineStr">
        <is>
          <t xml:space="preserve">SACOLAS </t>
        </is>
      </c>
      <c r="BN8" s="205" t="inlineStr">
        <is>
          <t>PCT</t>
        </is>
      </c>
      <c r="BO8" s="650" t="n">
        <v>46118</v>
      </c>
      <c r="BP8" s="650" t="n">
        <v>46125</v>
      </c>
      <c r="BQ8" s="650" t="n">
        <v>46132</v>
      </c>
      <c r="BR8" s="650" t="n">
        <v>46139</v>
      </c>
      <c r="BS8" s="650" t="n">
        <v>46146</v>
      </c>
      <c r="BT8" s="650" t="n">
        <v>46154</v>
      </c>
      <c r="BU8" s="650" t="n">
        <v>46160</v>
      </c>
      <c r="BV8" s="650" t="n">
        <v>46160</v>
      </c>
      <c r="BW8" s="650" t="n">
        <v>46160</v>
      </c>
      <c r="BX8" s="651" t="n">
        <v>46161.48002518518</v>
      </c>
      <c r="BY8" s="651" t="n">
        <v>46161.48070527778</v>
      </c>
      <c r="BZ8" s="651" t="n">
        <v>46161.48286354478</v>
      </c>
      <c r="CA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1400</v>
      </c>
      <c r="F9" s="187" t="n">
        <v>600</v>
      </c>
      <c r="G9" s="187" t="n">
        <v>1000</v>
      </c>
      <c r="H9" s="187" t="n">
        <v>0</v>
      </c>
      <c r="I9" s="187" t="n">
        <v>1600</v>
      </c>
      <c r="J9" s="187" t="n">
        <v>1200</v>
      </c>
      <c r="K9" s="187">
        <f>1200+AY9</f>
        <v/>
      </c>
      <c r="L9" s="187" t="n">
        <v>800</v>
      </c>
      <c r="M9" s="187" t="n">
        <v>2200</v>
      </c>
      <c r="N9" s="187" t="n">
        <v>1800</v>
      </c>
      <c r="O9" s="187" t="n">
        <v>1600</v>
      </c>
      <c r="P9" s="187" t="n">
        <v>3200</v>
      </c>
      <c r="Q9" s="187" t="n">
        <v>3200</v>
      </c>
      <c r="R9" s="187" t="n">
        <v>2200</v>
      </c>
      <c r="S9" s="187" t="n">
        <v>1800</v>
      </c>
      <c r="T9" s="187" t="n">
        <v>1000</v>
      </c>
      <c r="U9" s="187">
        <f>800+AP9</f>
        <v/>
      </c>
      <c r="V9" s="187" t="n">
        <v>800</v>
      </c>
      <c r="W9" s="187" t="n">
        <v>1200</v>
      </c>
      <c r="X9" s="187" t="n">
        <v>1200</v>
      </c>
      <c r="Y9" s="187" t="n">
        <v>1200</v>
      </c>
      <c r="Z9" s="187" t="n">
        <v>1000</v>
      </c>
      <c r="AA9" s="187" t="n">
        <v>1000</v>
      </c>
      <c r="AB9" s="187" t="n"/>
      <c r="AC9" s="187" t="n"/>
      <c r="AD9" s="187" t="n"/>
      <c r="AE9" s="422" t="n"/>
      <c r="AF9" s="422" t="n"/>
      <c r="AG9" s="422" t="n"/>
      <c r="AH9" s="188">
        <f>AF9+IF(NOT(ISBLANK(OFFSET(AH9,0,6))),N(OFFSET(AH9,0,6)),N(OFFSET(AH9,0,7)))-AG9</f>
        <v/>
      </c>
      <c r="AI9" s="114" t="n"/>
      <c r="AJ9" s="19" t="n"/>
      <c r="AK9" s="19" t="n"/>
      <c r="AL9" s="19" t="n"/>
      <c r="AM9" s="6" t="n"/>
      <c r="AN9" s="6" t="n"/>
      <c r="AO9" s="18" t="n">
        <v>0</v>
      </c>
      <c r="AP9" s="18" t="n">
        <v>0</v>
      </c>
      <c r="AQ9" s="18" t="n">
        <v>0</v>
      </c>
      <c r="AR9" s="18" t="n">
        <v>600</v>
      </c>
      <c r="AS9" s="18" t="n">
        <v>1000</v>
      </c>
      <c r="AT9" s="256" t="n">
        <v>4000</v>
      </c>
      <c r="AU9" s="18" t="n"/>
      <c r="AV9" s="18" t="n"/>
      <c r="AW9" s="18" t="n"/>
      <c r="AX9" s="18" t="n">
        <v>2000</v>
      </c>
      <c r="AY9" s="18" t="n">
        <v>600</v>
      </c>
      <c r="AZ9" s="18" t="n">
        <v>1400</v>
      </c>
      <c r="BA9" s="18" t="n">
        <v>600</v>
      </c>
      <c r="BB9" s="18" t="n">
        <v>600</v>
      </c>
      <c r="BC9" s="18" t="n">
        <v>400</v>
      </c>
      <c r="BD9" s="18" t="n">
        <v>1600</v>
      </c>
      <c r="BE9" s="18" t="n">
        <v>1000</v>
      </c>
      <c r="BF9" s="18" t="n">
        <v>1600</v>
      </c>
      <c r="BG9" s="18" t="n">
        <v>400</v>
      </c>
      <c r="BH9" s="18" t="n"/>
      <c r="BK9" s="23" t="n"/>
      <c r="BL9" s="9" t="n"/>
      <c r="BM9" s="159" t="inlineStr">
        <is>
          <t xml:space="preserve">SACOLA P </t>
        </is>
      </c>
      <c r="BN9" s="129" t="n">
        <v>200</v>
      </c>
      <c r="BO9" s="38">
        <f>AQ9</f>
        <v/>
      </c>
      <c r="BP9" s="38" t="n">
        <v>3800</v>
      </c>
      <c r="BQ9" s="38" t="n">
        <v>3000</v>
      </c>
      <c r="BR9" s="38" t="n">
        <v>2600</v>
      </c>
      <c r="BS9" s="38" t="n">
        <v>2400</v>
      </c>
      <c r="BT9" s="38" t="n">
        <v>800</v>
      </c>
      <c r="BU9" s="38" t="n"/>
      <c r="BV9" s="38" t="n"/>
      <c r="BW9" s="38" t="n"/>
      <c r="BX9" s="9" t="n"/>
      <c r="BY9" s="9" t="n"/>
      <c r="BZ9" s="9" t="n"/>
      <c r="CA9" s="246">
        <f>BY9+IF(NOT(ISBLANK(OFFSET(CA9,0,6))),N(OFFSET(CA9,0,6)),N(OFFSET(CA9,0,7)))-BZ9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1000</v>
      </c>
      <c r="F10" s="187" t="n">
        <v>800</v>
      </c>
      <c r="G10" s="187" t="n">
        <v>0</v>
      </c>
      <c r="H10" s="187" t="n">
        <v>0</v>
      </c>
      <c r="I10" s="187" t="n">
        <v>1000</v>
      </c>
      <c r="J10" s="187" t="n">
        <v>800</v>
      </c>
      <c r="K10" s="187">
        <f>400+AY10</f>
        <v/>
      </c>
      <c r="L10" s="187" t="n">
        <v>600</v>
      </c>
      <c r="M10" s="187" t="n">
        <v>600</v>
      </c>
      <c r="N10" s="187" t="n">
        <v>1000</v>
      </c>
      <c r="O10" s="187" t="n">
        <v>800</v>
      </c>
      <c r="P10" s="187">
        <f>1400+400</f>
        <v/>
      </c>
      <c r="Q10" s="187" t="n">
        <v>1400</v>
      </c>
      <c r="R10" s="187" t="n">
        <v>1200</v>
      </c>
      <c r="S10" s="187" t="n">
        <v>800</v>
      </c>
      <c r="T10" s="187">
        <f>400+AR10</f>
        <v/>
      </c>
      <c r="U10" s="187">
        <f>200+AP10</f>
        <v/>
      </c>
      <c r="V10" s="187" t="n">
        <v>400</v>
      </c>
      <c r="W10" s="187" t="n">
        <v>1000</v>
      </c>
      <c r="X10" s="187" t="n">
        <v>1000</v>
      </c>
      <c r="Y10" s="187" t="n">
        <v>1000</v>
      </c>
      <c r="Z10" s="187" t="n">
        <v>1000</v>
      </c>
      <c r="AA10" s="187" t="n">
        <v>1000</v>
      </c>
      <c r="AB10" s="187" t="n"/>
      <c r="AC10" s="187" t="n"/>
      <c r="AD10" s="187" t="n"/>
      <c r="AE10" s="422" t="n"/>
      <c r="AF10" s="422" t="n"/>
      <c r="AG10" s="422" t="n"/>
      <c r="AH10" s="188">
        <f>AF10+IF(NOT(ISBLANK(OFFSET(AH10,0,6))),N(OFFSET(AH10,0,6)),N(OFFSET(AH10,0,7)))-AG10</f>
        <v/>
      </c>
      <c r="AJ10" s="19" t="n"/>
      <c r="AK10" s="19" t="n"/>
      <c r="AL10" s="19" t="n"/>
      <c r="AM10" s="6" t="n"/>
      <c r="AN10" s="6" t="n"/>
      <c r="AO10" s="18" t="n">
        <v>0</v>
      </c>
      <c r="AP10" s="18" t="n">
        <v>0</v>
      </c>
      <c r="AQ10" s="18" t="n">
        <v>0</v>
      </c>
      <c r="AR10" s="18" t="n">
        <v>600</v>
      </c>
      <c r="AS10" s="18" t="n">
        <v>600</v>
      </c>
      <c r="AT10" s="256" t="n">
        <v>3000</v>
      </c>
      <c r="AU10" s="18" t="n">
        <v>200</v>
      </c>
      <c r="AV10" s="18" t="n"/>
      <c r="AW10" s="154" t="inlineStr">
        <is>
          <t>400 DE MG</t>
        </is>
      </c>
      <c r="AX10" s="18" t="n">
        <v>600</v>
      </c>
      <c r="AY10" s="18" t="n">
        <v>1000</v>
      </c>
      <c r="AZ10" s="18" t="n"/>
      <c r="BA10" s="18" t="n">
        <v>600</v>
      </c>
      <c r="BB10" s="18" t="n">
        <v>400</v>
      </c>
      <c r="BC10" s="18" t="n">
        <v>200</v>
      </c>
      <c r="BD10" s="18" t="n">
        <v>1000</v>
      </c>
      <c r="BE10" s="18" t="n"/>
      <c r="BF10" s="18" t="n">
        <v>200</v>
      </c>
      <c r="BG10" s="18" t="n"/>
      <c r="BH10" s="18" t="n"/>
      <c r="BK10" s="23" t="n"/>
      <c r="BL10" s="9" t="n"/>
      <c r="BM10" s="29" t="inlineStr">
        <is>
          <t xml:space="preserve">SACOLA M </t>
        </is>
      </c>
      <c r="BN10" s="9" t="n">
        <v>200</v>
      </c>
      <c r="BO10" s="38">
        <f>AQ10</f>
        <v/>
      </c>
      <c r="BP10" s="38" t="n">
        <v>2600</v>
      </c>
      <c r="BQ10" s="38" t="n">
        <v>2000</v>
      </c>
      <c r="BR10" s="38" t="n">
        <v>1600</v>
      </c>
      <c r="BS10" s="38" t="n">
        <v>1400</v>
      </c>
      <c r="BT10" s="38" t="n">
        <v>0</v>
      </c>
      <c r="BU10" s="38" t="n"/>
      <c r="BV10" s="38" t="n"/>
      <c r="BW10" s="38" t="n"/>
      <c r="BX10" s="9" t="n"/>
      <c r="BY10" s="9" t="n"/>
      <c r="BZ10" s="9" t="n"/>
      <c r="CA10" s="246">
        <f>BY10+IF(NOT(ISBLANK(OFFSET(CA10,0,6))),N(OFFSET(CA10,0,6)),N(OFFSET(CA10,0,7)))-BZ10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200</v>
      </c>
      <c r="F11" s="187" t="n">
        <v>100</v>
      </c>
      <c r="G11" s="187" t="n">
        <v>0</v>
      </c>
      <c r="H11" s="187" t="n">
        <v>200</v>
      </c>
      <c r="I11" s="187" t="n">
        <v>300</v>
      </c>
      <c r="J11" s="187" t="n">
        <v>300</v>
      </c>
      <c r="K11" s="187" t="n">
        <v>300</v>
      </c>
      <c r="L11" s="187" t="n">
        <v>200</v>
      </c>
      <c r="M11" s="187" t="n">
        <v>100</v>
      </c>
      <c r="N11" s="187" t="n">
        <v>200</v>
      </c>
      <c r="O11" s="187" t="n">
        <v>200</v>
      </c>
      <c r="P11" s="187">
        <f>300+100</f>
        <v/>
      </c>
      <c r="Q11" s="187" t="n">
        <v>400</v>
      </c>
      <c r="R11" s="187" t="n">
        <v>400</v>
      </c>
      <c r="S11" s="187" t="n">
        <v>400</v>
      </c>
      <c r="T11" s="187" t="n">
        <v>400</v>
      </c>
      <c r="U11" s="187" t="n">
        <v>400</v>
      </c>
      <c r="V11" s="187" t="n">
        <v>400</v>
      </c>
      <c r="W11" s="187" t="n">
        <v>300</v>
      </c>
      <c r="X11" s="187" t="n">
        <v>300</v>
      </c>
      <c r="Y11" s="187" t="n">
        <v>200</v>
      </c>
      <c r="Z11" s="187" t="n">
        <v>200</v>
      </c>
      <c r="AA11" s="187" t="n">
        <v>100</v>
      </c>
      <c r="AB11" s="187" t="n"/>
      <c r="AC11" s="187" t="n"/>
      <c r="AD11" s="187" t="n"/>
      <c r="AE11" s="422" t="n"/>
      <c r="AF11" s="422" t="n"/>
      <c r="AG11" s="422" t="n"/>
      <c r="AH11" s="188">
        <f>AF11+IF(NOT(ISBLANK(OFFSET(AH11,0,6))),N(OFFSET(AH11,0,6)),N(OFFSET(AH11,0,7)))-AG11</f>
        <v/>
      </c>
      <c r="AJ11" s="19" t="n"/>
      <c r="AK11" s="19" t="n"/>
      <c r="AL11" s="19" t="n">
        <v>200</v>
      </c>
      <c r="AM11" s="6" t="n"/>
      <c r="AN11" s="6" t="n"/>
      <c r="AO11" s="18" t="n">
        <v>0</v>
      </c>
      <c r="AP11" s="18" t="n">
        <v>0</v>
      </c>
      <c r="AQ11" s="18" t="n">
        <v>0</v>
      </c>
      <c r="AR11" s="18" t="n"/>
      <c r="AS11" s="18" t="n"/>
      <c r="AT11" s="256" t="n">
        <v>300</v>
      </c>
      <c r="AU11" s="18" t="n"/>
      <c r="AV11" s="18" t="n"/>
      <c r="AW11" s="154" t="inlineStr">
        <is>
          <t>100 DE MG</t>
        </is>
      </c>
      <c r="AX11" s="18" t="n">
        <v>100</v>
      </c>
      <c r="AY11" s="18" t="n">
        <v>200</v>
      </c>
      <c r="AZ11" s="18" t="n"/>
      <c r="BA11" s="18" t="n"/>
      <c r="BB11" s="18" t="n"/>
      <c r="BC11" s="18" t="n"/>
      <c r="BD11" s="18" t="n">
        <v>200</v>
      </c>
      <c r="BE11" s="18" t="n">
        <v>300</v>
      </c>
      <c r="BF11" s="18" t="n"/>
      <c r="BG11" s="18" t="n"/>
      <c r="BH11" s="18" t="n"/>
      <c r="BK11" s="23" t="n"/>
      <c r="BL11" s="9" t="n"/>
      <c r="BM11" s="30" t="inlineStr">
        <is>
          <t xml:space="preserve">SACOLA G </t>
        </is>
      </c>
      <c r="BN11" s="9" t="n">
        <v>100</v>
      </c>
      <c r="BO11" s="38">
        <f>AQ11</f>
        <v/>
      </c>
      <c r="BP11" s="38" t="n">
        <v>300</v>
      </c>
      <c r="BQ11" s="38" t="n">
        <v>300</v>
      </c>
      <c r="BR11" s="38" t="n">
        <v>100</v>
      </c>
      <c r="BS11" s="38" t="n">
        <v>0</v>
      </c>
      <c r="BT11" s="38" t="n">
        <v>0</v>
      </c>
      <c r="BU11" s="38" t="n"/>
      <c r="BV11" s="38" t="n"/>
      <c r="BW11" s="38" t="n"/>
      <c r="BX11" s="9" t="n"/>
      <c r="BY11" s="9" t="n"/>
      <c r="BZ11" s="9" t="n"/>
      <c r="CA11" s="246">
        <f>BY11+IF(NOT(ISBLANK(OFFSET(CA11,0,6))),N(OFFSET(CA11,0,6)),N(OFFSET(CA11,0,7)))-BZ11</f>
        <v/>
      </c>
    </row>
    <row r="12" ht="18.75" customFormat="1" customHeight="1" s="3">
      <c r="A12" s="31" t="n"/>
      <c r="B12" s="2" t="n"/>
      <c r="C12" s="661" t="n"/>
      <c r="D12" s="398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2" t="n"/>
      <c r="AF12" s="2" t="n"/>
      <c r="AG12" s="2" t="n"/>
      <c r="AH12" s="4" t="n"/>
      <c r="AI12" s="11" t="n"/>
      <c r="AJ12" s="11" t="n"/>
      <c r="AK12" s="11" t="n"/>
      <c r="AL12" s="11" t="n"/>
      <c r="AM12" s="6" t="n"/>
      <c r="AN12" s="6" t="n"/>
      <c r="AO12" s="24" t="n"/>
      <c r="AP12" s="24" t="n"/>
      <c r="AQ12" s="24" t="n"/>
      <c r="AR12" s="24" t="n"/>
      <c r="AS12" s="24" t="n"/>
      <c r="AT12" s="257" t="n"/>
      <c r="AU12" s="24" t="n"/>
      <c r="AV12" s="24" t="n"/>
      <c r="AW12" s="24" t="n"/>
      <c r="AX12" s="24" t="n"/>
      <c r="AY12" s="24" t="n"/>
      <c r="AZ12" s="24" t="n"/>
      <c r="BA12" s="24" t="n"/>
      <c r="BB12" s="24" t="n"/>
      <c r="BC12" s="24" t="n"/>
      <c r="BD12" s="24" t="n"/>
      <c r="BE12" s="24" t="n"/>
      <c r="BF12" s="24" t="n"/>
      <c r="BG12" s="24" t="n"/>
      <c r="BH12" s="24" t="n"/>
      <c r="BK12" s="24" t="n"/>
      <c r="BL12" s="2" t="n"/>
      <c r="BM12" s="31" t="n"/>
      <c r="BN12" s="2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2" t="n"/>
      <c r="BY12" s="2" t="n"/>
      <c r="BZ12" s="2" t="n"/>
    </row>
    <row r="13" ht="18.75" customFormat="1" customHeight="1" s="3">
      <c r="A13" s="32" t="inlineStr">
        <is>
          <t>DIVERSOS</t>
        </is>
      </c>
      <c r="B13" s="575" t="inlineStr">
        <is>
          <t>PCT</t>
        </is>
      </c>
      <c r="C13" s="575" t="inlineStr">
        <is>
          <t>R$</t>
        </is>
      </c>
      <c r="D13" s="328" t="n"/>
      <c r="F13" s="650" t="n">
        <v>46006</v>
      </c>
      <c r="G13" s="650" t="n">
        <v>46013</v>
      </c>
      <c r="H13" s="650" t="n">
        <v>46020</v>
      </c>
      <c r="I13" s="650" t="n">
        <v>46027</v>
      </c>
      <c r="J13" s="650" t="n">
        <v>46034</v>
      </c>
      <c r="K13" s="650" t="n">
        <v>46041</v>
      </c>
      <c r="L13" s="650" t="n">
        <v>46048</v>
      </c>
      <c r="M13" s="650" t="n">
        <v>46055</v>
      </c>
      <c r="N13" s="650" t="n">
        <v>46062</v>
      </c>
      <c r="O13" s="650" t="n">
        <v>46069</v>
      </c>
      <c r="P13" s="650" t="n">
        <v>46076</v>
      </c>
      <c r="Q13" s="650" t="n">
        <v>46083</v>
      </c>
      <c r="R13" s="650" t="n">
        <v>46090</v>
      </c>
      <c r="S13" s="650" t="n">
        <v>46097</v>
      </c>
      <c r="T13" s="650" t="n">
        <v>46104</v>
      </c>
      <c r="U13" s="650" t="n">
        <v>46111</v>
      </c>
      <c r="V13" s="650" t="n">
        <v>46118</v>
      </c>
      <c r="W13" s="650" t="n">
        <v>46125</v>
      </c>
      <c r="X13" s="650" t="n">
        <v>46132</v>
      </c>
      <c r="Y13" s="650" t="n">
        <v>46139</v>
      </c>
      <c r="Z13" s="650" t="n">
        <v>46146</v>
      </c>
      <c r="AA13" s="650" t="n">
        <v>46154</v>
      </c>
      <c r="AB13" s="650" t="n">
        <v>46160</v>
      </c>
      <c r="AC13" s="650" t="n">
        <v>46160</v>
      </c>
      <c r="AD13" s="650" t="n">
        <v>46160</v>
      </c>
      <c r="AE13" s="651" t="n">
        <v>46161.4800257176</v>
      </c>
      <c r="AF13" s="651" t="n">
        <v>46161.48070568287</v>
      </c>
      <c r="AG13" s="651" t="n">
        <v>46161.48286396058</v>
      </c>
      <c r="AH13" s="652" t="inlineStr">
        <is>
          <t>USOU</t>
        </is>
      </c>
      <c r="AI13" s="109" t="n"/>
      <c r="AJ13" s="413" t="inlineStr">
        <is>
          <t>TRANSFERÊNCIA</t>
        </is>
      </c>
      <c r="AK13" s="35" t="inlineStr">
        <is>
          <t>Pendências</t>
        </is>
      </c>
      <c r="AL13" s="35" t="inlineStr">
        <is>
          <t>Pendências</t>
        </is>
      </c>
      <c r="AM13" s="6" t="n"/>
      <c r="AN13" s="6" t="n"/>
      <c r="AO13" s="646" t="n">
        <v>46156</v>
      </c>
      <c r="AP13" s="646" t="n">
        <v>46149</v>
      </c>
      <c r="AQ13" s="646" t="n">
        <v>46142</v>
      </c>
      <c r="AR13" s="646" t="n">
        <v>46114</v>
      </c>
      <c r="AS13" s="646" t="n">
        <v>46107</v>
      </c>
      <c r="AT13" s="647" t="n">
        <v>46065</v>
      </c>
      <c r="AU13" s="646" t="n">
        <v>46099</v>
      </c>
      <c r="AV13" s="646" t="n">
        <v>46092</v>
      </c>
      <c r="AW13" s="655" t="n">
        <v>46079</v>
      </c>
      <c r="AX13" s="646" t="n">
        <v>46071</v>
      </c>
      <c r="AY13" s="646" t="n">
        <v>46056</v>
      </c>
      <c r="AZ13" s="646" t="n">
        <v>46048</v>
      </c>
      <c r="BA13" s="646" t="n">
        <v>46043</v>
      </c>
      <c r="BB13" s="646" t="n">
        <v>46035</v>
      </c>
      <c r="BC13" s="646" t="n">
        <v>46029</v>
      </c>
      <c r="BD13" s="646" t="n">
        <v>46017</v>
      </c>
      <c r="BE13" s="646" t="n">
        <v>46007</v>
      </c>
      <c r="BF13" s="646" t="n">
        <v>46001</v>
      </c>
      <c r="BG13" s="646" t="n">
        <v>45994</v>
      </c>
      <c r="BH13" s="646" t="n">
        <v>45986</v>
      </c>
      <c r="BK13" s="12" t="inlineStr">
        <is>
          <t>Novo Pedido</t>
        </is>
      </c>
      <c r="BL13" s="651" t="n">
        <v>46161.48286239818</v>
      </c>
      <c r="BM13" s="267" t="inlineStr">
        <is>
          <t>DIVERSOS</t>
        </is>
      </c>
      <c r="BN13" s="205" t="inlineStr">
        <is>
          <t>PCT</t>
        </is>
      </c>
      <c r="BO13" s="650" t="n">
        <v>46118</v>
      </c>
      <c r="BP13" s="650" t="n">
        <v>46125</v>
      </c>
      <c r="BQ13" s="650" t="n">
        <v>46132</v>
      </c>
      <c r="BR13" s="650" t="n">
        <v>46139</v>
      </c>
      <c r="BS13" s="650" t="n">
        <v>46146</v>
      </c>
      <c r="BT13" s="650" t="n">
        <v>46154</v>
      </c>
      <c r="BU13" s="650" t="n">
        <v>46160</v>
      </c>
      <c r="BV13" s="650" t="n">
        <v>46160</v>
      </c>
      <c r="BW13" s="650" t="n">
        <v>46160</v>
      </c>
      <c r="BX13" s="651" t="n">
        <v>46161.48002518518</v>
      </c>
      <c r="BY13" s="651" t="n">
        <v>46161.48070527778</v>
      </c>
      <c r="BZ13" s="651" t="n">
        <v>46161.48286354505</v>
      </c>
      <c r="CA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15</v>
      </c>
      <c r="F14" s="115" t="n">
        <v>0</v>
      </c>
      <c r="G14" s="115" t="n">
        <v>0</v>
      </c>
      <c r="H14" s="115" t="n">
        <v>0</v>
      </c>
      <c r="I14" s="115" t="n">
        <v>15</v>
      </c>
      <c r="J14" s="115" t="n">
        <v>11</v>
      </c>
      <c r="K14" s="115">
        <f>6+AY14</f>
        <v/>
      </c>
      <c r="L14" s="115" t="n">
        <v>13</v>
      </c>
      <c r="M14" s="115" t="n">
        <v>16</v>
      </c>
      <c r="N14" s="115" t="n">
        <v>16</v>
      </c>
      <c r="O14" s="115" t="n">
        <v>13</v>
      </c>
      <c r="P14" s="115">
        <f>16+6</f>
        <v/>
      </c>
      <c r="Q14" s="115" t="n">
        <v>20</v>
      </c>
      <c r="R14" s="115" t="n">
        <v>15</v>
      </c>
      <c r="S14" s="115">
        <f>11+AS14</f>
        <v/>
      </c>
      <c r="T14" s="115">
        <f>11+AR14</f>
        <v/>
      </c>
      <c r="U14" s="115" t="n">
        <v>13</v>
      </c>
      <c r="V14" s="115" t="n">
        <v>9</v>
      </c>
      <c r="W14" s="115" t="n">
        <v>11</v>
      </c>
      <c r="X14" s="115" t="n">
        <v>11</v>
      </c>
      <c r="Y14" s="115" t="n">
        <v>10</v>
      </c>
      <c r="Z14" s="115">
        <f>9+AN14</f>
        <v/>
      </c>
      <c r="AA14" s="115" t="n">
        <v>16</v>
      </c>
      <c r="AB14" s="115" t="n"/>
      <c r="AC14" s="115" t="n"/>
      <c r="AD14" s="115" t="n"/>
      <c r="AE14" s="663" t="n"/>
      <c r="AF14" s="663" t="n"/>
      <c r="AG14" s="663" t="n"/>
      <c r="AH14" s="154">
        <f>AF14+IF(NOT(ISBLANK(OFFSET(AH14,0,6))),N(OFFSET(AH14,0,6)),N(OFFSET(AH14,0,7)))-AG14</f>
        <v/>
      </c>
      <c r="AI14" s="114" t="n"/>
      <c r="AJ14" s="19" t="n"/>
      <c r="AK14" s="19" t="n"/>
      <c r="AL14" s="19" t="n"/>
      <c r="AM14" s="642" t="n"/>
      <c r="AN14" s="642" t="n"/>
      <c r="AO14" s="18" t="n">
        <v>0</v>
      </c>
      <c r="AP14" s="18" t="n">
        <v>0</v>
      </c>
      <c r="AQ14" s="18" t="n">
        <v>10</v>
      </c>
      <c r="AR14" s="18" t="n">
        <v>5</v>
      </c>
      <c r="AS14" s="18" t="n"/>
      <c r="AT14" s="256" t="n">
        <v>30</v>
      </c>
      <c r="AU14" s="18" t="n">
        <v>5</v>
      </c>
      <c r="AV14" s="18" t="n">
        <v>5</v>
      </c>
      <c r="AW14" s="154" t="inlineStr">
        <is>
          <t>06 DE MG</t>
        </is>
      </c>
      <c r="AX14" s="18" t="n">
        <v>5</v>
      </c>
      <c r="AY14" s="18" t="n">
        <v>4</v>
      </c>
      <c r="AZ14" s="18" t="n"/>
      <c r="BA14" s="18" t="n">
        <v>6</v>
      </c>
      <c r="BB14" s="18" t="n">
        <v>10</v>
      </c>
      <c r="BC14" s="18" t="n"/>
      <c r="BD14" s="18" t="n">
        <v>15</v>
      </c>
      <c r="BE14" s="18" t="n">
        <v>5</v>
      </c>
      <c r="BF14" s="18" t="n"/>
      <c r="BG14" s="18" t="n"/>
      <c r="BH14" s="18" t="n">
        <v>2</v>
      </c>
      <c r="BK14" s="23" t="n"/>
      <c r="BL14" s="9" t="n"/>
      <c r="BM14" s="159" t="inlineStr">
        <is>
          <t>PAPEL DE SEDA</t>
        </is>
      </c>
      <c r="BN14" s="129" t="n">
        <v>200</v>
      </c>
      <c r="BO14" s="38">
        <f>AQ14</f>
        <v/>
      </c>
      <c r="BP14" s="38" t="n">
        <v>27</v>
      </c>
      <c r="BQ14" s="38" t="n">
        <v>25</v>
      </c>
      <c r="BR14" s="38" t="n">
        <v>19</v>
      </c>
      <c r="BS14" s="38" t="n">
        <v>19</v>
      </c>
      <c r="BT14" s="38" t="n">
        <v>0</v>
      </c>
      <c r="BU14" s="38" t="n"/>
      <c r="BV14" s="38" t="n"/>
      <c r="BW14" s="38" t="n"/>
      <c r="BX14" s="9" t="n"/>
      <c r="BY14" s="9" t="n"/>
      <c r="BZ14" s="9" t="n"/>
      <c r="CA14" s="246">
        <f>BY14+IF(NOT(ISBLANK(OFFSET(CA14,0,6))),N(OFFSET(CA14,0,6)),N(OFFSET(CA14,0,7)))-BZ14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30</v>
      </c>
      <c r="F15" s="115" t="n">
        <v>1</v>
      </c>
      <c r="G15" s="115" t="n">
        <v>0</v>
      </c>
      <c r="H15" s="115" t="n">
        <v>5</v>
      </c>
      <c r="I15" s="115" t="n">
        <v>20</v>
      </c>
      <c r="J15" s="115" t="n">
        <v>20</v>
      </c>
      <c r="K15" s="115" t="n">
        <v>20</v>
      </c>
      <c r="L15" s="115" t="n">
        <v>20</v>
      </c>
      <c r="M15" s="115" t="n">
        <v>20</v>
      </c>
      <c r="N15" s="115" t="n">
        <v>20</v>
      </c>
      <c r="O15" s="115" t="n">
        <v>20</v>
      </c>
      <c r="P15" s="115" t="n">
        <v>20</v>
      </c>
      <c r="Q15" s="115" t="n">
        <v>20</v>
      </c>
      <c r="R15" s="115" t="n">
        <v>18</v>
      </c>
      <c r="S15" s="115" t="n">
        <v>17</v>
      </c>
      <c r="T15" s="115" t="n">
        <v>16</v>
      </c>
      <c r="U15" s="115" t="n">
        <v>11</v>
      </c>
      <c r="V15" s="115" t="n">
        <v>12</v>
      </c>
      <c r="W15" s="115" t="n">
        <v>14</v>
      </c>
      <c r="X15" s="115" t="n">
        <v>14</v>
      </c>
      <c r="Y15" s="115" t="n">
        <v>12</v>
      </c>
      <c r="Z15" s="115" t="n">
        <v>11</v>
      </c>
      <c r="AA15" s="115" t="n">
        <v>7</v>
      </c>
      <c r="AB15" s="115" t="n"/>
      <c r="AC15" s="115" t="n"/>
      <c r="AD15" s="115" t="n"/>
      <c r="AE15" s="663" t="n"/>
      <c r="AF15" s="663" t="n"/>
      <c r="AG15" s="663" t="n"/>
      <c r="AH15" s="154">
        <f>AF15+IF(NOT(ISBLANK(OFFSET(AH15,0,6))),N(OFFSET(AH15,0,6)),N(OFFSET(AH15,0,7)))-AG15</f>
        <v/>
      </c>
      <c r="AI15" s="114" t="n"/>
      <c r="AJ15" s="19" t="n"/>
      <c r="AK15" s="19" t="n"/>
      <c r="AL15" s="19" t="n"/>
      <c r="AM15" s="642" t="n"/>
      <c r="AN15" s="642" t="n"/>
      <c r="AO15" s="18" t="n">
        <v>0</v>
      </c>
      <c r="AP15" s="18" t="n">
        <v>0</v>
      </c>
      <c r="AQ15" s="18" t="n">
        <v>0</v>
      </c>
      <c r="AR15" s="18" t="n"/>
      <c r="AS15" s="18" t="n"/>
      <c r="AT15" s="256" t="n">
        <v>6</v>
      </c>
      <c r="AU15" s="18" t="n"/>
      <c r="AV15" s="18" t="n"/>
      <c r="AW15" s="18" t="n"/>
      <c r="AX15" s="18" t="n"/>
      <c r="AY15" s="18" t="n"/>
      <c r="AZ15" s="18" t="n"/>
      <c r="BA15" s="18" t="n"/>
      <c r="BB15" s="18" t="n"/>
      <c r="BC15" s="18" t="n"/>
      <c r="BD15" s="18" t="n">
        <v>15</v>
      </c>
      <c r="BE15" s="18" t="n">
        <v>3</v>
      </c>
      <c r="BF15" s="18" t="n"/>
      <c r="BG15" s="18" t="n">
        <v>3</v>
      </c>
      <c r="BH15" s="18" t="n"/>
      <c r="BK15" s="23" t="n"/>
      <c r="BL15" s="9" t="n"/>
      <c r="BM15" s="29" t="inlineStr">
        <is>
          <t>ADESIVOS</t>
        </is>
      </c>
      <c r="BN15" s="9" t="n">
        <v>200</v>
      </c>
      <c r="BO15" s="38">
        <f>AQ15</f>
        <v/>
      </c>
      <c r="BP15" s="38" t="n">
        <v>5</v>
      </c>
      <c r="BQ15" s="38" t="n">
        <v>5</v>
      </c>
      <c r="BR15" s="38" t="n">
        <v>4</v>
      </c>
      <c r="BS15" s="38" t="n">
        <v>2</v>
      </c>
      <c r="BT15" s="38" t="n">
        <v>0</v>
      </c>
      <c r="BU15" s="38" t="n"/>
      <c r="BV15" s="38" t="n"/>
      <c r="BW15" s="38" t="n"/>
      <c r="BX15" s="9" t="n"/>
      <c r="BY15" s="9" t="n"/>
      <c r="BZ15" s="9" t="n"/>
      <c r="CA15" s="246">
        <f>BY15+IF(NOT(ISBLANK(OFFSET(CA15,0,6))),N(OFFSET(CA15,0,6)),N(OFFSET(CA15,0,7)))-BZ15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6</v>
      </c>
      <c r="F16" s="115" t="n">
        <v>7</v>
      </c>
      <c r="G16" s="115" t="n">
        <v>8</v>
      </c>
      <c r="H16" s="115" t="n">
        <v>2</v>
      </c>
      <c r="I16" s="115" t="n">
        <v>6</v>
      </c>
      <c r="J16" s="115" t="n">
        <v>5</v>
      </c>
      <c r="K16" s="115">
        <f>5+AY16</f>
        <v/>
      </c>
      <c r="L16" s="115" t="n">
        <v>9</v>
      </c>
      <c r="M16" s="115" t="n">
        <v>12</v>
      </c>
      <c r="N16" s="115" t="n">
        <v>11</v>
      </c>
      <c r="O16" s="115" t="n">
        <v>9</v>
      </c>
      <c r="P16" s="115">
        <f>9+2</f>
        <v/>
      </c>
      <c r="Q16" s="115" t="n">
        <v>11</v>
      </c>
      <c r="R16" s="115" t="n">
        <v>9</v>
      </c>
      <c r="S16" s="115" t="n">
        <v>8</v>
      </c>
      <c r="T16" s="115" t="n">
        <v>8</v>
      </c>
      <c r="U16" s="115" t="n">
        <v>5</v>
      </c>
      <c r="V16" s="115" t="n">
        <v>5</v>
      </c>
      <c r="W16" s="115" t="n">
        <v>10</v>
      </c>
      <c r="X16" s="115" t="n">
        <v>10</v>
      </c>
      <c r="Y16" s="115" t="n">
        <v>8</v>
      </c>
      <c r="Z16" s="115" t="n">
        <v>6</v>
      </c>
      <c r="AA16" s="115" t="n">
        <v>3</v>
      </c>
      <c r="AB16" s="115" t="n"/>
      <c r="AC16" s="115" t="n"/>
      <c r="AD16" s="115" t="n"/>
      <c r="AE16" s="663" t="n"/>
      <c r="AF16" s="663" t="n"/>
      <c r="AG16" s="663" t="n"/>
      <c r="AH16" s="154">
        <f>AF16+IF(NOT(ISBLANK(OFFSET(AH16,0,6))),N(OFFSET(AH16,0,6)),N(OFFSET(AH16,0,7)))-AG16</f>
        <v/>
      </c>
      <c r="AI16" s="114" t="n"/>
      <c r="AJ16" s="19" t="n"/>
      <c r="AK16" s="19" t="n">
        <v>2</v>
      </c>
      <c r="AL16" s="19" t="n">
        <v>2</v>
      </c>
      <c r="AM16" s="2" t="n"/>
      <c r="AN16" s="2" t="n"/>
      <c r="AO16" s="18" t="n">
        <v>0</v>
      </c>
      <c r="AP16" s="18" t="n">
        <v>0</v>
      </c>
      <c r="AQ16" s="18" t="n">
        <v>0</v>
      </c>
      <c r="AR16" s="18" t="n">
        <v>6</v>
      </c>
      <c r="AS16" s="18" t="n"/>
      <c r="AT16" s="356" t="n"/>
      <c r="AU16" s="18" t="n"/>
      <c r="AV16" s="18" t="n"/>
      <c r="AW16" s="154" t="inlineStr">
        <is>
          <t>02 DE PBE</t>
        </is>
      </c>
      <c r="AX16" s="18" t="n"/>
      <c r="AY16" s="18" t="n"/>
      <c r="AZ16" s="18" t="n"/>
      <c r="BA16" s="18" t="n">
        <v>4</v>
      </c>
      <c r="BB16" s="18" t="n">
        <v>2</v>
      </c>
      <c r="BC16" s="18" t="n">
        <v>3</v>
      </c>
      <c r="BD16" s="18" t="n">
        <v>4</v>
      </c>
      <c r="BE16" s="18" t="n">
        <v>3</v>
      </c>
      <c r="BF16" s="18" t="n"/>
      <c r="BG16" s="18" t="n"/>
      <c r="BH16" s="18" t="n">
        <v>6</v>
      </c>
      <c r="BK16" s="70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4</v>
      </c>
      <c r="F17" s="115" t="n">
        <v>6</v>
      </c>
      <c r="G17" s="115" t="n">
        <v>2</v>
      </c>
      <c r="H17" s="115" t="n">
        <v>1</v>
      </c>
      <c r="I17" s="115" t="n">
        <v>6</v>
      </c>
      <c r="J17" s="115" t="n">
        <v>4</v>
      </c>
      <c r="K17" s="115">
        <f>6+AY17</f>
        <v/>
      </c>
      <c r="L17" s="115" t="n">
        <v>6</v>
      </c>
      <c r="M17" s="115" t="n">
        <v>7</v>
      </c>
      <c r="N17" s="115" t="n">
        <v>6</v>
      </c>
      <c r="O17" s="115" t="n">
        <v>4</v>
      </c>
      <c r="P17" s="115">
        <f>3+4</f>
        <v/>
      </c>
      <c r="Q17" s="115" t="n">
        <v>5</v>
      </c>
      <c r="R17" s="115" t="n">
        <v>3</v>
      </c>
      <c r="S17" s="115">
        <f>1+AS17</f>
        <v/>
      </c>
      <c r="T17" s="115">
        <f>4+AR17</f>
        <v/>
      </c>
      <c r="U17" s="115" t="n">
        <v>6</v>
      </c>
      <c r="V17" s="115" t="n">
        <v>3</v>
      </c>
      <c r="W17" s="115" t="n">
        <v>6</v>
      </c>
      <c r="X17" s="115" t="n">
        <v>6</v>
      </c>
      <c r="Y17" s="115" t="n">
        <v>3</v>
      </c>
      <c r="Z17" s="115">
        <f>1+AN17</f>
        <v/>
      </c>
      <c r="AA17" s="115" t="n">
        <v>1</v>
      </c>
      <c r="AB17" s="115" t="n"/>
      <c r="AC17" s="115" t="n"/>
      <c r="AD17" s="115" t="n"/>
      <c r="AE17" s="663" t="n"/>
      <c r="AF17" s="663" t="n"/>
      <c r="AG17" s="663" t="n"/>
      <c r="AH17" s="154">
        <f>AF17+IF(NOT(ISBLANK(OFFSET(AH17,0,6))),N(OFFSET(AH17,0,6)),N(OFFSET(AH17,0,7)))-AG17</f>
        <v/>
      </c>
      <c r="AJ17" s="19" t="n"/>
      <c r="AK17" s="19" t="n">
        <v>4</v>
      </c>
      <c r="AL17" s="19" t="n"/>
      <c r="AM17" s="2" t="n"/>
      <c r="AN17" s="2" t="n"/>
      <c r="AO17" s="18" t="n">
        <v>0</v>
      </c>
      <c r="AP17" s="18" t="n">
        <v>0</v>
      </c>
      <c r="AQ17" s="18" t="n">
        <v>5</v>
      </c>
      <c r="AR17" s="18" t="n">
        <v>3</v>
      </c>
      <c r="AS17" s="18" t="n"/>
      <c r="AT17" s="356" t="n"/>
      <c r="AU17" s="18" t="n">
        <v>3</v>
      </c>
      <c r="AV17" s="18" t="n">
        <v>4</v>
      </c>
      <c r="AW17" s="154" t="inlineStr">
        <is>
          <t>04 DE MG</t>
        </is>
      </c>
      <c r="AX17" s="18" t="n"/>
      <c r="AY17" s="18" t="n"/>
      <c r="AZ17" s="18" t="n">
        <v>4</v>
      </c>
      <c r="BA17" s="18" t="n"/>
      <c r="BB17" s="18" t="n">
        <v>3</v>
      </c>
      <c r="BC17" s="18" t="n">
        <v>2</v>
      </c>
      <c r="BD17" s="18" t="n">
        <v>5</v>
      </c>
      <c r="BE17" s="18" t="n"/>
      <c r="BF17" s="18" t="n"/>
      <c r="BG17" s="18" t="n">
        <v>3</v>
      </c>
      <c r="BH17" s="18" t="n">
        <v>5</v>
      </c>
      <c r="BK17" s="23" t="n"/>
    </row>
    <row r="18" ht="18.75" customFormat="1" customHeight="1" s="3">
      <c r="A18" s="31" t="n"/>
      <c r="C18" s="664" t="n"/>
      <c r="D18" s="398" t="n"/>
      <c r="F18" s="113" t="n"/>
      <c r="G18" s="113" t="n"/>
      <c r="H18" s="113" t="n"/>
      <c r="I18" s="113" t="n"/>
      <c r="J18" s="113" t="n"/>
      <c r="K18" s="113" t="n"/>
      <c r="L18" s="113" t="n"/>
      <c r="M18" s="113" t="n"/>
      <c r="N18" s="113" t="n"/>
      <c r="O18" s="113" t="n"/>
      <c r="P18" s="113" t="n"/>
      <c r="Q18" s="113" t="n"/>
      <c r="R18" s="113" t="n"/>
      <c r="S18" s="113" t="n"/>
      <c r="T18" s="113" t="n"/>
      <c r="U18" s="113" t="n"/>
      <c r="V18" s="113" t="n"/>
      <c r="W18" s="113" t="n"/>
      <c r="X18" s="113" t="n"/>
      <c r="Y18" s="113" t="n"/>
      <c r="Z18" s="113" t="n"/>
      <c r="AA18" s="113" t="n"/>
      <c r="AB18" s="113" t="n"/>
      <c r="AC18" s="113" t="n"/>
      <c r="AD18" s="113" t="n"/>
      <c r="AE18" s="113" t="n"/>
      <c r="AF18" s="113" t="n"/>
      <c r="AG18" s="113" t="n"/>
      <c r="AI18" s="16" t="n"/>
      <c r="AJ18" s="16" t="n"/>
      <c r="AK18" s="16" t="n"/>
      <c r="AL18" s="16" t="n"/>
      <c r="AO18" s="16" t="n"/>
      <c r="AP18" s="16" t="n"/>
      <c r="AQ18" s="16" t="n"/>
      <c r="AR18" s="16" t="n"/>
      <c r="AS18" s="16" t="n"/>
      <c r="AT18" s="258" t="n"/>
      <c r="AU18" s="16" t="n"/>
      <c r="AV18" s="16" t="n"/>
      <c r="AW18" s="16" t="n"/>
      <c r="AX18" s="16" t="n"/>
      <c r="AY18" s="16" t="n"/>
      <c r="AZ18" s="16" t="n"/>
      <c r="BA18" s="16" t="n"/>
      <c r="BB18" s="16" t="n"/>
      <c r="BC18" s="16" t="n"/>
      <c r="BD18" s="16" t="n"/>
      <c r="BE18" s="16" t="n"/>
      <c r="BF18" s="16" t="n"/>
      <c r="BG18" s="16" t="n"/>
      <c r="BH18" s="16" t="n"/>
      <c r="BK18" s="25" t="n"/>
    </row>
    <row r="19" ht="18.75" customFormat="1" customHeight="1" s="3">
      <c r="A19" s="32" t="inlineStr">
        <is>
          <t>CAIXAS</t>
        </is>
      </c>
      <c r="B19" s="575" t="inlineStr">
        <is>
          <t>PCT</t>
        </is>
      </c>
      <c r="C19" s="575" t="inlineStr">
        <is>
          <t>R$</t>
        </is>
      </c>
      <c r="D19" s="328" t="n"/>
      <c r="F19" s="650" t="n">
        <v>46006</v>
      </c>
      <c r="G19" s="650" t="n">
        <v>46013</v>
      </c>
      <c r="H19" s="650" t="n">
        <v>46020</v>
      </c>
      <c r="I19" s="650" t="n">
        <v>46027</v>
      </c>
      <c r="J19" s="650" t="n">
        <v>46034</v>
      </c>
      <c r="K19" s="650" t="n">
        <v>46041</v>
      </c>
      <c r="L19" s="650" t="n">
        <v>46048</v>
      </c>
      <c r="M19" s="650" t="n">
        <v>46055</v>
      </c>
      <c r="N19" s="650" t="n">
        <v>46062</v>
      </c>
      <c r="O19" s="650" t="n">
        <v>46069</v>
      </c>
      <c r="P19" s="650" t="n">
        <v>46076</v>
      </c>
      <c r="Q19" s="650" t="n">
        <v>46083</v>
      </c>
      <c r="R19" s="650" t="n">
        <v>46090</v>
      </c>
      <c r="S19" s="650" t="n">
        <v>46097</v>
      </c>
      <c r="T19" s="650" t="n">
        <v>46104</v>
      </c>
      <c r="U19" s="650" t="n">
        <v>46111</v>
      </c>
      <c r="V19" s="650" t="n">
        <v>46118</v>
      </c>
      <c r="W19" s="650" t="n">
        <v>46125</v>
      </c>
      <c r="X19" s="650" t="n">
        <v>46132</v>
      </c>
      <c r="Y19" s="650" t="n">
        <v>46139</v>
      </c>
      <c r="Z19" s="650" t="n">
        <v>46146</v>
      </c>
      <c r="AA19" s="650" t="n">
        <v>46154</v>
      </c>
      <c r="AB19" s="650" t="n">
        <v>46160</v>
      </c>
      <c r="AC19" s="650" t="n">
        <v>46160</v>
      </c>
      <c r="AD19" s="650" t="n">
        <v>46160</v>
      </c>
      <c r="AE19" s="651" t="n">
        <v>46161.4800257176</v>
      </c>
      <c r="AF19" s="651" t="n">
        <v>46161.48070568287</v>
      </c>
      <c r="AG19" s="651" t="n">
        <v>46161.48286396071</v>
      </c>
      <c r="AH19" s="652" t="inlineStr">
        <is>
          <t>USOU</t>
        </is>
      </c>
      <c r="AI19" s="109" t="n"/>
      <c r="AJ19" s="413" t="inlineStr">
        <is>
          <t>TRANSFERÊNCIA</t>
        </is>
      </c>
      <c r="AK19" s="35" t="inlineStr">
        <is>
          <t>Pendências</t>
        </is>
      </c>
      <c r="AL19" s="35" t="inlineStr">
        <is>
          <t>Pendências</t>
        </is>
      </c>
      <c r="AM19" s="6" t="n"/>
      <c r="AN19" s="6" t="n"/>
      <c r="AO19" s="646" t="n">
        <v>46156</v>
      </c>
      <c r="AP19" s="646" t="n">
        <v>46149</v>
      </c>
      <c r="AQ19" s="646" t="n">
        <v>46142</v>
      </c>
      <c r="AR19" s="646" t="n">
        <v>46114</v>
      </c>
      <c r="AS19" s="646" t="n">
        <v>46107</v>
      </c>
      <c r="AT19" s="647" t="n">
        <v>46065</v>
      </c>
      <c r="AU19" s="646" t="n">
        <v>46099</v>
      </c>
      <c r="AV19" s="646" t="n">
        <v>46092</v>
      </c>
      <c r="AW19" s="655" t="n">
        <v>46079</v>
      </c>
      <c r="AX19" s="646" t="n">
        <v>46071</v>
      </c>
      <c r="AY19" s="646" t="n">
        <v>46056</v>
      </c>
      <c r="AZ19" s="646" t="n">
        <v>46048</v>
      </c>
      <c r="BA19" s="646" t="n">
        <v>46043</v>
      </c>
      <c r="BB19" s="646" t="n">
        <v>46035</v>
      </c>
      <c r="BC19" s="646" t="n">
        <v>46029</v>
      </c>
      <c r="BD19" s="646" t="n">
        <v>46017</v>
      </c>
      <c r="BE19" s="646" t="n">
        <v>46007</v>
      </c>
      <c r="BF19" s="646" t="n">
        <v>46001</v>
      </c>
      <c r="BG19" s="646" t="n">
        <v>45994</v>
      </c>
      <c r="BH19" s="646" t="n">
        <v>45986</v>
      </c>
      <c r="BK19" s="12" t="inlineStr">
        <is>
          <t>Novo Pedido</t>
        </is>
      </c>
      <c r="BL19" s="651" t="n">
        <v>46161.48286239846</v>
      </c>
      <c r="BM19" s="267" t="inlineStr">
        <is>
          <t>CAIXAS</t>
        </is>
      </c>
      <c r="BN19" s="205" t="inlineStr">
        <is>
          <t>PCT</t>
        </is>
      </c>
      <c r="BO19" s="650" t="n">
        <v>46118</v>
      </c>
      <c r="BP19" s="650" t="n">
        <v>46125</v>
      </c>
      <c r="BQ19" s="650" t="n">
        <v>46132</v>
      </c>
      <c r="BR19" s="650" t="n">
        <v>46139</v>
      </c>
      <c r="BS19" s="650" t="n">
        <v>46146</v>
      </c>
      <c r="BT19" s="650" t="n">
        <v>46154</v>
      </c>
      <c r="BU19" s="650" t="n">
        <v>46160</v>
      </c>
      <c r="BV19" s="650" t="n">
        <v>46160</v>
      </c>
      <c r="BW19" s="650" t="n">
        <v>46160</v>
      </c>
      <c r="BX19" s="651" t="n">
        <v>46161.48002518518</v>
      </c>
      <c r="BY19" s="651" t="n">
        <v>46161.48070527778</v>
      </c>
      <c r="BZ19" s="651" t="n">
        <v>46161.48286354518</v>
      </c>
      <c r="CA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</v>
      </c>
      <c r="D20" s="329" t="n">
        <v>300</v>
      </c>
      <c r="F20" s="38" t="n">
        <v>405</v>
      </c>
      <c r="G20" s="38" t="n">
        <v>555</v>
      </c>
      <c r="H20" s="38" t="n">
        <v>554</v>
      </c>
      <c r="I20" s="38" t="n">
        <v>530</v>
      </c>
      <c r="J20" s="38" t="n">
        <v>485</v>
      </c>
      <c r="K20" s="38" t="n">
        <v>287</v>
      </c>
      <c r="L20" s="38" t="n">
        <v>269</v>
      </c>
      <c r="M20" s="38" t="n">
        <v>356</v>
      </c>
      <c r="N20" s="38" t="n">
        <v>297</v>
      </c>
      <c r="O20" s="38" t="n">
        <v>271</v>
      </c>
      <c r="P20" s="38">
        <f>220+AU20</f>
        <v/>
      </c>
      <c r="Q20" s="38" t="n">
        <v>319</v>
      </c>
      <c r="R20" s="261" t="n">
        <v>409</v>
      </c>
      <c r="S20" s="38" t="n">
        <v>387</v>
      </c>
      <c r="T20" s="38" t="n">
        <v>298</v>
      </c>
      <c r="U20" s="38" t="n">
        <v>236</v>
      </c>
      <c r="V20" s="38" t="n"/>
      <c r="W20" s="38" t="n"/>
      <c r="X20" s="38" t="n"/>
      <c r="Y20" s="38" t="n">
        <v>260</v>
      </c>
      <c r="Z20" s="38" t="n">
        <v>254</v>
      </c>
      <c r="AA20" s="38" t="n">
        <v>206</v>
      </c>
      <c r="AB20" s="38" t="n">
        <v>184</v>
      </c>
      <c r="AC20" s="38" t="n">
        <v>184</v>
      </c>
      <c r="AD20" s="38" t="n">
        <v>184</v>
      </c>
      <c r="AE20" s="9" t="n">
        <v>184</v>
      </c>
      <c r="AF20" s="9" t="n">
        <v>184</v>
      </c>
      <c r="AG20" s="9" t="n">
        <v>184</v>
      </c>
      <c r="AH20" s="154">
        <f>AF20+IF(NOT(ISBLANK(OFFSET(AH20,0,6))),N(OFFSET(AH20,0,6)),N(OFFSET(AH20,0,7)))-AG20</f>
        <v/>
      </c>
      <c r="AI20" s="114" t="n"/>
      <c r="AJ20" s="122" t="inlineStr">
        <is>
          <t>20 MÃES P/ TP</t>
        </is>
      </c>
      <c r="AK20" s="122" t="n">
        <v>150</v>
      </c>
      <c r="AL20" s="122" t="n"/>
      <c r="AM20" s="2" t="n"/>
      <c r="AN20" s="2" t="n"/>
      <c r="AO20" s="18" t="n">
        <v>0</v>
      </c>
      <c r="AP20" s="18" t="n">
        <v>0</v>
      </c>
      <c r="AQ20" s="18" t="n">
        <v>0</v>
      </c>
      <c r="AR20" s="18" t="n">
        <v>150</v>
      </c>
      <c r="AS20" s="18" t="n"/>
      <c r="AT20" s="256" t="n">
        <v>450</v>
      </c>
      <c r="AU20" s="18" t="n"/>
      <c r="AV20" s="18" t="n"/>
      <c r="AW20" s="18" t="n"/>
      <c r="AX20" s="18" t="n">
        <v>150</v>
      </c>
      <c r="AY20" s="18" t="n"/>
      <c r="AZ20" s="18" t="n"/>
      <c r="BA20" s="18" t="n">
        <v>150</v>
      </c>
      <c r="BB20" s="18" t="n"/>
      <c r="BC20" s="18" t="n"/>
      <c r="BD20" s="18" t="n"/>
      <c r="BE20" s="18" t="n">
        <v>150</v>
      </c>
      <c r="BF20" s="18" t="n"/>
      <c r="BG20" s="18" t="n"/>
      <c r="BH20" s="18" t="n"/>
      <c r="BK20" s="23" t="n"/>
      <c r="BL20" s="9" t="n"/>
      <c r="BM20" s="159" t="inlineStr">
        <is>
          <t>CAIXA P</t>
        </is>
      </c>
      <c r="BN20" s="129" t="n">
        <v>150</v>
      </c>
      <c r="BO20" s="38">
        <f>AQ20</f>
        <v/>
      </c>
      <c r="BP20" s="38" t="n"/>
      <c r="BQ20" s="38" t="n"/>
      <c r="BR20" s="38" t="n">
        <v>373</v>
      </c>
      <c r="BS20" s="38" t="n">
        <v>332</v>
      </c>
      <c r="BT20" s="38" t="n">
        <v>44</v>
      </c>
      <c r="BU20" s="38" t="n">
        <v>17</v>
      </c>
      <c r="BV20" s="38" t="n"/>
      <c r="BW20" s="38" t="n"/>
      <c r="BX20" s="9" t="n"/>
      <c r="BY20" s="9" t="n"/>
      <c r="BZ20" s="9" t="n"/>
      <c r="CA20" s="246">
        <f>BY20+IF(NOT(ISBLANK(OFFSET(CA20,0,6))),N(OFFSET(CA20,0,6)),N(OFFSET(CA20,0,7)))-BZ20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300</v>
      </c>
      <c r="F21" s="38" t="n">
        <v>300</v>
      </c>
      <c r="G21" s="38" t="n">
        <v>303</v>
      </c>
      <c r="H21" s="38" t="n">
        <v>396</v>
      </c>
      <c r="I21" s="38" t="n">
        <v>365</v>
      </c>
      <c r="J21" s="38" t="n">
        <v>293</v>
      </c>
      <c r="K21" s="38">
        <f>232+AY21</f>
        <v/>
      </c>
      <c r="L21" s="38" t="n">
        <v>386</v>
      </c>
      <c r="M21" s="38" t="n">
        <v>317</v>
      </c>
      <c r="N21" s="261" t="n">
        <v>353</v>
      </c>
      <c r="O21" s="38" t="n">
        <v>298</v>
      </c>
      <c r="P21" s="38">
        <f>236+AU21</f>
        <v/>
      </c>
      <c r="Q21" s="38" t="n">
        <v>246</v>
      </c>
      <c r="R21" s="261" t="n">
        <v>107</v>
      </c>
      <c r="S21" s="38">
        <f>19+AS21</f>
        <v/>
      </c>
      <c r="T21" s="38" t="n">
        <v>217</v>
      </c>
      <c r="U21" s="38" t="n">
        <v>402</v>
      </c>
      <c r="V21" s="38" t="n"/>
      <c r="W21" s="38" t="n"/>
      <c r="X21" s="38" t="n"/>
      <c r="Y21" s="38" t="n">
        <v>436</v>
      </c>
      <c r="Z21" s="38" t="n">
        <v>432</v>
      </c>
      <c r="AA21" s="38" t="n">
        <v>338</v>
      </c>
      <c r="AB21" s="38" t="n">
        <v>295</v>
      </c>
      <c r="AC21" s="38" t="n">
        <v>295</v>
      </c>
      <c r="AD21" s="38" t="n">
        <v>295</v>
      </c>
      <c r="AE21" s="9" t="n">
        <v>295</v>
      </c>
      <c r="AF21" s="9" t="n">
        <v>295</v>
      </c>
      <c r="AG21" s="9" t="n">
        <v>295</v>
      </c>
      <c r="AH21" s="154">
        <f>AF21+IF(NOT(ISBLANK(OFFSET(AH21,0,6))),N(OFFSET(AH21,0,6)),N(OFFSET(AH21,0,7)))-AG21</f>
        <v/>
      </c>
      <c r="AI21" s="125" t="n"/>
      <c r="AJ21" s="19" t="n"/>
      <c r="AK21" s="19" t="n"/>
      <c r="AL21" s="19" t="n"/>
      <c r="AM21" s="2" t="n"/>
      <c r="AN21" s="2" t="n"/>
      <c r="AO21" s="18" t="n">
        <v>0</v>
      </c>
      <c r="AP21" s="18" t="n">
        <v>0</v>
      </c>
      <c r="AQ21" s="18" t="n">
        <v>0</v>
      </c>
      <c r="AR21" s="18" t="n">
        <v>200</v>
      </c>
      <c r="AS21" s="18" t="n">
        <v>200</v>
      </c>
      <c r="AT21" s="256" t="n">
        <v>700</v>
      </c>
      <c r="AU21" s="18" t="n"/>
      <c r="AV21" s="18" t="n">
        <v>300</v>
      </c>
      <c r="AW21" s="18" t="n"/>
      <c r="AX21" s="18" t="n">
        <v>100</v>
      </c>
      <c r="AY21" s="18" t="n"/>
      <c r="AZ21" s="18" t="n"/>
      <c r="BA21" s="18" t="n"/>
      <c r="BB21" s="18" t="n">
        <v>200</v>
      </c>
      <c r="BC21" s="18" t="n"/>
      <c r="BD21" s="18" t="n"/>
      <c r="BE21" s="18" t="n">
        <v>100</v>
      </c>
      <c r="BF21" s="18" t="n"/>
      <c r="BG21" s="18" t="n"/>
      <c r="BH21" s="18" t="n"/>
      <c r="BK21" s="23" t="n"/>
      <c r="BL21" s="9" t="n"/>
      <c r="BM21" s="29" t="inlineStr">
        <is>
          <t>CAIXA M</t>
        </is>
      </c>
      <c r="BN21" s="9" t="n">
        <v>100</v>
      </c>
      <c r="BO21" s="38">
        <f>AQ21</f>
        <v/>
      </c>
      <c r="BP21" s="38" t="n"/>
      <c r="BQ21" s="38" t="n"/>
      <c r="BR21" s="38" t="n">
        <v>542</v>
      </c>
      <c r="BS21" s="38" t="n">
        <v>440</v>
      </c>
      <c r="BT21" s="38" t="n">
        <v>34</v>
      </c>
      <c r="BU21" s="38" t="n">
        <v>2</v>
      </c>
      <c r="BV21" s="38" t="n"/>
      <c r="BW21" s="38" t="n"/>
      <c r="BX21" s="9" t="n"/>
      <c r="BY21" s="9" t="n"/>
      <c r="BZ21" s="9" t="n"/>
      <c r="CA21" s="246">
        <f>BY21+IF(NOT(ISBLANK(OFFSET(CA21,0,6))),N(OFFSET(CA21,0,6)),N(OFFSET(CA21,0,7)))-BZ21</f>
        <v/>
      </c>
    </row>
    <row r="22" ht="19.1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50</v>
      </c>
      <c r="F22" s="38" t="n">
        <v>50</v>
      </c>
      <c r="G22" s="38" t="n">
        <v>50</v>
      </c>
      <c r="H22" s="38" t="n">
        <v>50</v>
      </c>
      <c r="I22" s="38" t="n">
        <v>50</v>
      </c>
      <c r="J22" s="38" t="n">
        <v>50</v>
      </c>
      <c r="K22" s="38" t="n">
        <v>90</v>
      </c>
      <c r="L22" s="38" t="n">
        <v>83</v>
      </c>
      <c r="M22" s="38" t="n">
        <v>83</v>
      </c>
      <c r="N22" s="38" t="n">
        <v>83</v>
      </c>
      <c r="O22" s="38" t="n">
        <v>83</v>
      </c>
      <c r="P22" s="38" t="n">
        <v>83</v>
      </c>
      <c r="Q22" s="38" t="n">
        <v>83</v>
      </c>
      <c r="R22" s="38" t="n">
        <v>83</v>
      </c>
      <c r="S22" s="38" t="n">
        <v>83</v>
      </c>
      <c r="T22" s="38" t="n">
        <v>83</v>
      </c>
      <c r="U22" s="38" t="n">
        <v>83</v>
      </c>
      <c r="V22" s="38" t="n">
        <v>83</v>
      </c>
      <c r="W22" s="38" t="n">
        <v>54</v>
      </c>
      <c r="X22" s="38" t="n">
        <v>54</v>
      </c>
      <c r="Y22" s="38" t="n">
        <v>54</v>
      </c>
      <c r="Z22" s="38" t="n">
        <v>54</v>
      </c>
      <c r="AA22" s="38" t="n">
        <v>54</v>
      </c>
      <c r="AB22" s="38" t="n">
        <v>51</v>
      </c>
      <c r="AC22" s="38" t="n">
        <v>51</v>
      </c>
      <c r="AD22" s="38" t="n">
        <v>51</v>
      </c>
      <c r="AE22" s="9" t="n">
        <v>51</v>
      </c>
      <c r="AF22" s="9" t="n">
        <v>51</v>
      </c>
      <c r="AG22" s="9" t="n">
        <v>51</v>
      </c>
      <c r="AH22" s="154">
        <f>AF22+IF(NOT(ISBLANK(OFFSET(AH22,0,6))),N(OFFSET(AH22,0,6)),N(OFFSET(AH22,0,7)))-AG22</f>
        <v/>
      </c>
      <c r="AI22" s="125" t="n"/>
      <c r="AJ22" s="19" t="n"/>
      <c r="AK22" s="19" t="n"/>
      <c r="AL22" s="19" t="n"/>
      <c r="AM22" s="642" t="n"/>
      <c r="AN22" s="642" t="n"/>
      <c r="AO22" s="18" t="n">
        <v>0</v>
      </c>
      <c r="AP22" s="18" t="n">
        <v>0</v>
      </c>
      <c r="AQ22" s="18" t="n">
        <v>0</v>
      </c>
      <c r="AR22" s="18" t="n"/>
      <c r="AS22" s="18" t="n"/>
      <c r="AT22" s="256" t="n"/>
      <c r="AU22" s="18" t="n"/>
      <c r="AV22" s="18" t="n"/>
      <c r="AW22" s="18" t="n"/>
      <c r="AX22" s="18" t="n"/>
      <c r="AY22" s="18" t="n"/>
      <c r="AZ22" s="18" t="n"/>
      <c r="BA22" s="18" t="n"/>
      <c r="BB22" s="18" t="n"/>
      <c r="BC22" s="18" t="n"/>
      <c r="BD22" s="18" t="n"/>
      <c r="BE22" s="18" t="n"/>
      <c r="BF22" s="18" t="n"/>
      <c r="BG22" s="18" t="n"/>
      <c r="BH22" s="18" t="n"/>
      <c r="BK22" s="23" t="n"/>
      <c r="BL22" s="9" t="n">
        <v>0</v>
      </c>
      <c r="BM22" s="30" t="inlineStr">
        <is>
          <t>CARTUCHO P</t>
        </is>
      </c>
      <c r="BN22" s="9" t="n">
        <v>200</v>
      </c>
      <c r="BO22" s="38" t="n">
        <v>0</v>
      </c>
      <c r="BP22" s="38" t="n"/>
      <c r="BQ22" s="38" t="n"/>
      <c r="BR22" s="38" t="n">
        <v>0</v>
      </c>
      <c r="BS22" s="38" t="n">
        <v>0</v>
      </c>
      <c r="BT22" s="38" t="n">
        <v>0</v>
      </c>
      <c r="BU22" s="38" t="n">
        <v>0</v>
      </c>
      <c r="BV22" s="38" t="n"/>
      <c r="BW22" s="38" t="n"/>
      <c r="BX22" s="9" t="n"/>
      <c r="BY22" s="9" t="n"/>
      <c r="BZ22" s="9" t="n"/>
      <c r="CA22" s="246">
        <f>BY22+IF(NOT(ISBLANK(OFFSET(CA22,0,6))),N(OFFSET(CA22,0,6)),N(OFFSET(CA22,0,7)))-BZ22</f>
        <v/>
      </c>
    </row>
    <row r="23" ht="18.75" customHeight="1">
      <c r="AI23" s="6" t="n"/>
      <c r="AJ23" s="6" t="n"/>
      <c r="AK23" s="6" t="n"/>
      <c r="AL23" s="6" t="n"/>
      <c r="AO23" s="6" t="n"/>
      <c r="AP23" s="6" t="n"/>
      <c r="AQ23" s="6" t="n"/>
      <c r="AR23" s="6" t="n"/>
      <c r="AS23" s="6" t="n"/>
      <c r="AT23" s="256" t="n">
        <v>300</v>
      </c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E23" s="6" t="n"/>
      <c r="BF23" s="6" t="n"/>
      <c r="BG23" s="6" t="n"/>
      <c r="BH23" s="6" t="n"/>
      <c r="BK23" s="6" t="n"/>
      <c r="BL23" s="9" t="n"/>
      <c r="BM23" s="30" t="inlineStr">
        <is>
          <t>CARTUCHO M</t>
        </is>
      </c>
      <c r="BN23" s="9" t="n">
        <v>150</v>
      </c>
      <c r="BO23" s="38">
        <f>AQ23</f>
        <v/>
      </c>
      <c r="BP23" s="38" t="n"/>
      <c r="BQ23" s="38" t="n"/>
      <c r="BR23" s="38" t="n">
        <v>213</v>
      </c>
      <c r="BS23" s="38" t="n">
        <v>106</v>
      </c>
      <c r="BT23" s="38" t="n">
        <v>3</v>
      </c>
      <c r="BU23" s="38" t="n">
        <v>0</v>
      </c>
      <c r="BV23" s="38" t="n"/>
      <c r="BW23" s="38" t="n"/>
      <c r="BX23" s="9" t="n"/>
      <c r="BY23" s="9" t="n"/>
      <c r="BZ23" s="9" t="n"/>
      <c r="CA23" s="246">
        <f>BY23+IF(NOT(ISBLANK(OFFSET(CA23,0,6))),N(OFFSET(CA23,0,6)),N(OFFSET(CA23,0,7)))-BZ23</f>
        <v/>
      </c>
    </row>
    <row r="24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46006</v>
      </c>
      <c r="G24" s="650" t="n">
        <v>46013</v>
      </c>
      <c r="H24" s="650" t="n">
        <v>46020</v>
      </c>
      <c r="I24" s="650" t="n">
        <v>46027</v>
      </c>
      <c r="J24" s="650" t="n">
        <v>46034</v>
      </c>
      <c r="K24" s="650" t="n">
        <v>46041</v>
      </c>
      <c r="L24" s="650" t="n">
        <v>46048</v>
      </c>
      <c r="M24" s="650" t="n">
        <v>46055</v>
      </c>
      <c r="N24" s="650" t="n">
        <v>46062</v>
      </c>
      <c r="O24" s="650" t="n">
        <v>46069</v>
      </c>
      <c r="P24" s="650" t="n">
        <v>46076</v>
      </c>
      <c r="Q24" s="650" t="n">
        <v>46083</v>
      </c>
      <c r="R24" s="650" t="n">
        <v>46090</v>
      </c>
      <c r="S24" s="650" t="n">
        <v>46097</v>
      </c>
      <c r="T24" s="650" t="n">
        <v>46104</v>
      </c>
      <c r="U24" s="650" t="n">
        <v>46111</v>
      </c>
      <c r="V24" s="650" t="n">
        <v>46118</v>
      </c>
      <c r="W24" s="650" t="n">
        <v>46125</v>
      </c>
      <c r="X24" s="650" t="n">
        <v>46132</v>
      </c>
      <c r="Y24" s="650" t="n">
        <v>46139</v>
      </c>
      <c r="Z24" s="650" t="n">
        <v>46146</v>
      </c>
      <c r="AA24" s="650" t="n">
        <v>46154</v>
      </c>
      <c r="AB24" s="650" t="n">
        <v>46160</v>
      </c>
      <c r="AC24" s="650" t="n">
        <v>46160</v>
      </c>
      <c r="AD24" s="650" t="n">
        <v>46160</v>
      </c>
      <c r="AE24" s="651" t="n">
        <v>46161.4800257176</v>
      </c>
      <c r="AF24" s="651" t="n">
        <v>46161.48070569444</v>
      </c>
      <c r="AG24" s="651" t="n">
        <v>46161.4828639609</v>
      </c>
      <c r="AH24" s="660" t="inlineStr">
        <is>
          <t>USOU</t>
        </is>
      </c>
      <c r="AI24" s="6" t="n"/>
      <c r="AJ24" s="6" t="n"/>
      <c r="AK24" s="6" t="n"/>
      <c r="AL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E24" s="6" t="n"/>
      <c r="BF24" s="6" t="n"/>
      <c r="BG24" s="6" t="n"/>
      <c r="BH24" s="6" t="n"/>
      <c r="BK24" s="6" t="n"/>
    </row>
    <row r="25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F25" s="38" t="n">
        <v>58</v>
      </c>
      <c r="G25" s="38" t="n">
        <v>58</v>
      </c>
      <c r="H25" s="38" t="n">
        <v>58</v>
      </c>
      <c r="I25" s="38" t="n">
        <v>0</v>
      </c>
      <c r="J25" s="38" t="n">
        <v>0</v>
      </c>
      <c r="K25" s="38" t="n">
        <v>20</v>
      </c>
      <c r="L25" s="38" t="n">
        <v>7</v>
      </c>
      <c r="M25" s="38" t="n">
        <v>7</v>
      </c>
      <c r="N25" s="38" t="n">
        <v>7</v>
      </c>
      <c r="O25" s="38" t="n">
        <v>7</v>
      </c>
      <c r="P25" s="38" t="n">
        <v>7</v>
      </c>
      <c r="Q25" s="38" t="n">
        <v>28</v>
      </c>
      <c r="R25" s="38" t="n">
        <v>28</v>
      </c>
      <c r="S25" s="38" t="n">
        <v>28</v>
      </c>
      <c r="T25" s="38" t="n">
        <v>28</v>
      </c>
      <c r="U25" s="38" t="n">
        <v>28</v>
      </c>
      <c r="V25" s="38" t="n">
        <v>28</v>
      </c>
      <c r="W25" s="38" t="n">
        <v>10</v>
      </c>
      <c r="X25" s="38" t="n">
        <v>2</v>
      </c>
      <c r="Y25" s="38" t="n">
        <v>2</v>
      </c>
      <c r="Z25" s="38" t="n">
        <v>2</v>
      </c>
      <c r="AA25" s="38" t="n">
        <v>2</v>
      </c>
      <c r="AB25" s="38" t="n">
        <v>12</v>
      </c>
      <c r="AC25" s="38" t="n">
        <v>12</v>
      </c>
      <c r="AD25" s="38" t="n">
        <v>12</v>
      </c>
      <c r="AE25" s="9" t="n">
        <v>12</v>
      </c>
      <c r="AF25" s="9" t="n">
        <v>12</v>
      </c>
      <c r="AG25" s="9" t="n">
        <v>12</v>
      </c>
      <c r="AH25" s="246">
        <f>AF25+IF(NOT(ISBLANK(OFFSET(AH25,0,6))),N(OFFSET(AH25,0,6)),N(OFFSET(AH25,0,7)))-AG25</f>
        <v/>
      </c>
      <c r="AI25" s="6" t="n"/>
      <c r="AJ25" s="6" t="n"/>
      <c r="AK25" s="6" t="n"/>
      <c r="AL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E25" s="6" t="n"/>
      <c r="BF25" s="6" t="n"/>
      <c r="BG25" s="6" t="n"/>
      <c r="BH25" s="6" t="n"/>
      <c r="BK25" s="6" t="n"/>
    </row>
    <row r="26">
      <c r="A26" s="250" t="inlineStr">
        <is>
          <t>ÁRVORE</t>
        </is>
      </c>
      <c r="B26" s="251" t="n">
        <v>100</v>
      </c>
      <c r="C26" s="667" t="n">
        <v>295</v>
      </c>
      <c r="D26" s="342" t="n"/>
      <c r="F26" s="38" t="n">
        <v>137</v>
      </c>
      <c r="G26" s="38" t="n">
        <v>130</v>
      </c>
      <c r="H26" s="38" t="n">
        <v>127</v>
      </c>
      <c r="I26" s="38" t="n">
        <v>127</v>
      </c>
      <c r="J26" s="38" t="n">
        <v>127</v>
      </c>
      <c r="K26" s="38" t="n">
        <v>97</v>
      </c>
      <c r="L26" s="38" t="n">
        <v>97</v>
      </c>
      <c r="M26" s="38" t="n">
        <v>97</v>
      </c>
      <c r="N26" s="38" t="n">
        <v>97</v>
      </c>
      <c r="O26" s="38" t="n">
        <v>97</v>
      </c>
      <c r="P26" s="38" t="n">
        <v>97</v>
      </c>
      <c r="Q26" s="38" t="n">
        <v>97</v>
      </c>
      <c r="R26" s="38" t="n">
        <v>97</v>
      </c>
      <c r="S26" s="38" t="n">
        <v>97</v>
      </c>
      <c r="T26" s="38" t="n">
        <v>97</v>
      </c>
      <c r="U26" s="38" t="n">
        <v>97</v>
      </c>
      <c r="V26" s="38" t="n">
        <v>97</v>
      </c>
      <c r="W26" s="38" t="n">
        <v>97</v>
      </c>
      <c r="X26" s="38" t="n">
        <v>97</v>
      </c>
      <c r="Y26" s="38" t="n">
        <v>97</v>
      </c>
      <c r="Z26" s="38" t="n">
        <v>97</v>
      </c>
      <c r="AA26" s="38" t="n">
        <v>97</v>
      </c>
      <c r="AB26" s="38" t="n">
        <v>97</v>
      </c>
      <c r="AC26" s="38" t="n">
        <v>97</v>
      </c>
      <c r="AD26" s="38" t="n">
        <v>97</v>
      </c>
      <c r="AE26" s="9" t="n">
        <v>97</v>
      </c>
      <c r="AF26" s="9" t="n">
        <v>97</v>
      </c>
      <c r="AG26" s="9" t="n">
        <v>97</v>
      </c>
      <c r="AH26" s="246">
        <f>AF26+IF(NOT(ISBLANK(OFFSET(AH26,0,6))),N(OFFSET(AH26,0,6)),N(OFFSET(AH26,0,7)))-AG26</f>
        <v/>
      </c>
      <c r="AT26" s="6" t="n"/>
    </row>
    <row r="27">
      <c r="A27" s="250" t="inlineStr">
        <is>
          <t>BOLA</t>
        </is>
      </c>
      <c r="B27" s="251" t="n">
        <v>100</v>
      </c>
      <c r="C27" s="667" t="n">
        <v>283</v>
      </c>
      <c r="D27" s="342" t="n"/>
      <c r="F27" s="38" t="n">
        <v>15</v>
      </c>
      <c r="G27" s="38" t="n">
        <v>10</v>
      </c>
      <c r="H27" s="38" t="n">
        <v>10</v>
      </c>
      <c r="I27" s="38" t="n">
        <v>10</v>
      </c>
      <c r="J27" s="38" t="n">
        <v>10</v>
      </c>
      <c r="K27" s="38" t="n">
        <v>2</v>
      </c>
      <c r="L27" s="38" t="n">
        <v>2</v>
      </c>
      <c r="M27" s="38" t="n">
        <v>2</v>
      </c>
      <c r="N27" s="38" t="n">
        <v>2</v>
      </c>
      <c r="O27" s="38" t="n">
        <v>2</v>
      </c>
      <c r="P27" s="38" t="n">
        <v>2</v>
      </c>
      <c r="Q27" s="38" t="n">
        <v>2</v>
      </c>
      <c r="R27" s="38" t="n">
        <v>2</v>
      </c>
      <c r="S27" s="38" t="n">
        <v>2</v>
      </c>
      <c r="T27" s="38" t="n">
        <v>2</v>
      </c>
      <c r="U27" s="38" t="n">
        <v>2</v>
      </c>
      <c r="V27" s="38" t="n">
        <v>2</v>
      </c>
      <c r="W27" s="38" t="n">
        <v>2</v>
      </c>
      <c r="X27" s="38" t="n">
        <v>2</v>
      </c>
      <c r="Y27" s="38" t="n">
        <v>2</v>
      </c>
      <c r="Z27" s="38" t="n">
        <v>2</v>
      </c>
      <c r="AA27" s="38" t="n">
        <v>2</v>
      </c>
      <c r="AB27" s="38" t="n">
        <v>2</v>
      </c>
      <c r="AC27" s="38" t="n">
        <v>2</v>
      </c>
      <c r="AD27" s="38" t="n">
        <v>2</v>
      </c>
      <c r="AE27" s="9" t="n">
        <v>2</v>
      </c>
      <c r="AF27" s="9" t="n">
        <v>2</v>
      </c>
      <c r="AG27" s="9" t="n">
        <v>2</v>
      </c>
      <c r="AH27" s="246">
        <f>AF27+IF(NOT(ISBLANK(OFFSET(AH27,0,6))),N(OFFSET(AH27,0,6)),N(OFFSET(AH27,0,7)))-AG27</f>
        <v/>
      </c>
      <c r="AT27" s="6" t="n"/>
    </row>
    <row r="28" hidden="1">
      <c r="A28" s="33" t="inlineStr">
        <is>
          <t>CAIXA P NATAL/25</t>
        </is>
      </c>
      <c r="B28" s="9" t="n">
        <v>150</v>
      </c>
      <c r="C28" s="668" t="n">
        <v>805.35</v>
      </c>
      <c r="D28" s="342" t="n"/>
      <c r="F28" s="9" t="n">
        <v>606</v>
      </c>
      <c r="G28" s="9" t="n">
        <v>417</v>
      </c>
      <c r="H28" s="38" t="n">
        <v>250</v>
      </c>
      <c r="I28" s="38" t="n">
        <v>243</v>
      </c>
      <c r="J28" s="38" t="n">
        <v>234</v>
      </c>
      <c r="K28" s="38" t="n">
        <v>125</v>
      </c>
      <c r="L28" s="38" t="n">
        <v>89</v>
      </c>
      <c r="M28" s="38" t="n">
        <v>76</v>
      </c>
      <c r="N28" s="38" t="n">
        <v>30</v>
      </c>
      <c r="O28" s="38" t="n">
        <v>11</v>
      </c>
      <c r="P28" s="38" t="n">
        <v>3</v>
      </c>
      <c r="Q28" s="38" t="n">
        <v>-10</v>
      </c>
      <c r="R28" s="261" t="n">
        <v>24</v>
      </c>
      <c r="S28" s="38" t="n">
        <v>0</v>
      </c>
      <c r="T28" s="38" t="n">
        <v>0</v>
      </c>
      <c r="U28" s="38" t="n">
        <v>0</v>
      </c>
      <c r="V28" s="38" t="n"/>
      <c r="W28" s="38" t="n"/>
      <c r="X28" s="38" t="n"/>
      <c r="Y28" s="38" t="n"/>
      <c r="Z28" s="38" t="n"/>
      <c r="AA28" s="38" t="n"/>
      <c r="AB28" s="38" t="n"/>
      <c r="AC28" s="38" t="n"/>
      <c r="AD28" s="38" t="n"/>
      <c r="AE28" s="9" t="n"/>
      <c r="AF28" s="9" t="n"/>
      <c r="AG28" s="9" t="n"/>
      <c r="AH28" s="246">
        <f>AF28+IF(NOT(ISBLANK(OFFSET(AH28,0,6))),N(OFFSET(AH28,0,6)),N(OFFSET(AH28,0,7)))-AG28</f>
        <v/>
      </c>
      <c r="AM28" s="57" t="n"/>
      <c r="AN28" s="57" t="n"/>
      <c r="AO28" s="57" t="n"/>
      <c r="AP28" s="57" t="n"/>
      <c r="AQ28" s="57" t="n"/>
      <c r="AR28" s="57" t="n"/>
      <c r="AS28" s="57" t="n"/>
      <c r="AT28" s="6" t="n"/>
      <c r="AU28" s="57" t="n"/>
      <c r="AV28" s="57" t="n"/>
      <c r="AW28" s="57" t="n"/>
      <c r="AX28" s="57" t="n"/>
      <c r="AY28" s="57" t="n"/>
      <c r="AZ28" s="57" t="n"/>
      <c r="BA28" s="57" t="n"/>
      <c r="BB28" s="57" t="n"/>
      <c r="BC28" s="57" t="n"/>
      <c r="BD28" s="57" t="n"/>
      <c r="BE28" s="57" t="n"/>
      <c r="BF28" s="57" t="n"/>
      <c r="BG28" s="57" t="n"/>
      <c r="BH28" s="57" t="n"/>
      <c r="BK28" s="57" t="n"/>
    </row>
    <row r="29" hidden="1">
      <c r="A29" s="33" t="inlineStr">
        <is>
          <t>CAIXA M NATAL/25</t>
        </is>
      </c>
      <c r="B29" s="9" t="n">
        <v>100</v>
      </c>
      <c r="C29" s="668" t="n">
        <v>792.2</v>
      </c>
      <c r="D29" s="342" t="n"/>
      <c r="F29" s="9" t="n">
        <v>703</v>
      </c>
      <c r="G29" s="9" t="n">
        <v>413</v>
      </c>
      <c r="H29" s="9" t="n">
        <v>146</v>
      </c>
      <c r="I29" s="9" t="n">
        <v>122</v>
      </c>
      <c r="J29" s="9" t="n">
        <v>106</v>
      </c>
      <c r="K29" s="9" t="n">
        <v>92</v>
      </c>
      <c r="L29" s="9" t="n">
        <v>46</v>
      </c>
      <c r="M29" s="9" t="n">
        <v>30</v>
      </c>
      <c r="N29" s="9" t="n">
        <v>6</v>
      </c>
      <c r="O29" s="9" t="n">
        <v>6</v>
      </c>
      <c r="P29" s="9" t="n">
        <v>5</v>
      </c>
      <c r="Q29" s="9" t="n">
        <v>4</v>
      </c>
      <c r="R29" s="9" t="n">
        <v>0</v>
      </c>
      <c r="S29" s="9" t="n">
        <v>0</v>
      </c>
      <c r="T29" s="9" t="n">
        <v>0</v>
      </c>
      <c r="U29" s="9" t="n">
        <v>0</v>
      </c>
      <c r="V29" s="9" t="n"/>
      <c r="W29" s="9" t="n"/>
      <c r="X29" s="9" t="n"/>
      <c r="Y29" s="9" t="n"/>
      <c r="Z29" s="9" t="n"/>
      <c r="AA29" s="9" t="n"/>
      <c r="AB29" s="9" t="n"/>
      <c r="AC29" s="9" t="n"/>
      <c r="AD29" s="9" t="n"/>
      <c r="AE29" s="9" t="n"/>
      <c r="AF29" s="9" t="n"/>
      <c r="AG29" s="9" t="n"/>
      <c r="AH29" s="246">
        <f>AF29+IF(NOT(ISBLANK(OFFSET(AH29,0,6))),N(OFFSET(AH29,0,6)),N(OFFSET(AH29,0,7)))-AG29</f>
        <v/>
      </c>
      <c r="AM29" s="57" t="n"/>
      <c r="AN29" s="57" t="n"/>
      <c r="AO29" s="57" t="n"/>
      <c r="AP29" s="57" t="n"/>
      <c r="AQ29" s="57" t="n"/>
      <c r="AR29" s="57" t="n"/>
      <c r="AS29" s="57" t="n"/>
      <c r="AT29" s="6" t="n"/>
      <c r="AU29" s="57" t="n"/>
      <c r="AV29" s="57" t="n"/>
      <c r="AW29" s="57" t="n"/>
      <c r="AX29" s="57" t="n"/>
      <c r="AY29" s="57" t="n"/>
      <c r="AZ29" s="57" t="n"/>
      <c r="BA29" s="57" t="n"/>
      <c r="BB29" s="57" t="n"/>
      <c r="BC29" s="57" t="n"/>
      <c r="BD29" s="57" t="n"/>
      <c r="BE29" s="57" t="n"/>
      <c r="BF29" s="57" t="n"/>
      <c r="BG29" s="57" t="n"/>
      <c r="BH29" s="57" t="n"/>
      <c r="BK29" s="57" t="n"/>
    </row>
    <row r="30">
      <c r="A30" s="33" t="inlineStr">
        <is>
          <t>CAIXA G NATAL/25</t>
        </is>
      </c>
      <c r="B30" s="9" t="n">
        <v>50</v>
      </c>
      <c r="C30" s="668" t="n"/>
      <c r="D30" s="342" t="n"/>
      <c r="F30" s="9" t="n">
        <v>48</v>
      </c>
      <c r="G30" s="9" t="n">
        <v>44</v>
      </c>
      <c r="H30" s="9" t="n">
        <v>34</v>
      </c>
      <c r="I30" s="9" t="n">
        <v>34</v>
      </c>
      <c r="J30" s="9" t="n">
        <v>33</v>
      </c>
      <c r="K30" s="9" t="n">
        <v>25</v>
      </c>
      <c r="L30" s="9" t="n">
        <v>24</v>
      </c>
      <c r="M30" s="9" t="n">
        <v>24</v>
      </c>
      <c r="N30" s="9" t="n">
        <v>20</v>
      </c>
      <c r="O30" s="9" t="n">
        <v>20</v>
      </c>
      <c r="P30" s="9" t="n">
        <v>20</v>
      </c>
      <c r="Q30" s="9" t="n">
        <v>18</v>
      </c>
      <c r="R30" s="9" t="n">
        <v>15</v>
      </c>
      <c r="S30" s="9" t="n">
        <v>18</v>
      </c>
      <c r="T30" s="9" t="n">
        <v>18</v>
      </c>
      <c r="U30" s="9" t="n">
        <v>17</v>
      </c>
      <c r="V30" s="9" t="n">
        <v>17</v>
      </c>
      <c r="W30" s="9" t="n">
        <v>17</v>
      </c>
      <c r="X30" s="9" t="n">
        <v>17</v>
      </c>
      <c r="Y30" s="9" t="n">
        <v>10</v>
      </c>
      <c r="Z30" s="9" t="n">
        <v>7</v>
      </c>
      <c r="AA30" s="9" t="n">
        <v>4</v>
      </c>
      <c r="AB30" s="9" t="n">
        <v>4</v>
      </c>
      <c r="AC30" s="9" t="n">
        <v>0</v>
      </c>
      <c r="AD30" s="9" t="n">
        <v>0</v>
      </c>
      <c r="AE30" s="9" t="n">
        <v>0</v>
      </c>
      <c r="AF30" s="9" t="n">
        <v>0</v>
      </c>
      <c r="AG30" s="9" t="n">
        <v>0</v>
      </c>
      <c r="AH30" s="246">
        <f>AF30+IF(NOT(ISBLANK(OFFSET(AH30,0,6))),N(OFFSET(AH30,0,6)),N(OFFSET(AH30,0,7)))-AG30</f>
        <v/>
      </c>
      <c r="AM30" s="57" t="n"/>
      <c r="AN30" s="57" t="n"/>
      <c r="AO30" s="57" t="n"/>
      <c r="AP30" s="57" t="n"/>
      <c r="AQ30" s="57" t="n"/>
      <c r="AR30" s="57" t="n"/>
      <c r="AS30" s="57" t="n"/>
      <c r="AT30" s="6" t="n"/>
      <c r="AU30" s="57" t="n"/>
      <c r="AV30" s="57" t="n"/>
      <c r="AW30" s="57" t="n"/>
      <c r="AX30" s="57" t="n"/>
      <c r="AY30" s="57" t="n"/>
      <c r="AZ30" s="57" t="n"/>
      <c r="BA30" s="57" t="n"/>
      <c r="BB30" s="57" t="n"/>
      <c r="BC30" s="57" t="n"/>
      <c r="BD30" s="57" t="n"/>
      <c r="BE30" s="57" t="n"/>
      <c r="BF30" s="57" t="n"/>
      <c r="BG30" s="57" t="n"/>
      <c r="BH30" s="57" t="n"/>
      <c r="BK30" s="57" t="n"/>
    </row>
    <row r="31">
      <c r="A31" s="33" t="inlineStr">
        <is>
          <t>CARTUCHO P NATAL/25</t>
        </is>
      </c>
      <c r="B31" s="9" t="n">
        <v>200</v>
      </c>
      <c r="C31" s="668" t="n">
        <v>487.2</v>
      </c>
      <c r="D31" s="342" t="n"/>
      <c r="F31" s="9" t="n">
        <v>5</v>
      </c>
      <c r="G31" s="9" t="n">
        <v>5</v>
      </c>
      <c r="H31" s="38" t="n">
        <v>4</v>
      </c>
      <c r="I31" s="38" t="n">
        <v>3</v>
      </c>
      <c r="J31" s="38" t="n">
        <v>2</v>
      </c>
      <c r="K31" s="38" t="n">
        <v>0</v>
      </c>
      <c r="L31" s="38" t="n">
        <v>0</v>
      </c>
      <c r="M31" s="38" t="n">
        <v>0</v>
      </c>
      <c r="N31" s="38" t="n">
        <v>0</v>
      </c>
      <c r="O31" s="38" t="n">
        <v>0</v>
      </c>
      <c r="P31" s="38" t="n">
        <v>0</v>
      </c>
      <c r="Q31" s="38" t="n">
        <v>0</v>
      </c>
      <c r="R31" s="38" t="n">
        <v>0</v>
      </c>
      <c r="S31" s="38" t="n">
        <v>1</v>
      </c>
      <c r="T31" s="38" t="n">
        <v>1</v>
      </c>
      <c r="U31" s="38" t="n">
        <v>1</v>
      </c>
      <c r="V31" s="38" t="n">
        <v>1</v>
      </c>
      <c r="W31" s="38" t="n">
        <v>1</v>
      </c>
      <c r="X31" s="38" t="n">
        <v>1</v>
      </c>
      <c r="Y31" s="38" t="n">
        <v>0</v>
      </c>
      <c r="Z31" s="38" t="n">
        <v>0</v>
      </c>
      <c r="AA31" s="38" t="n">
        <v>0</v>
      </c>
      <c r="AB31" s="38" t="n">
        <v>0</v>
      </c>
      <c r="AC31" s="38" t="n">
        <v>0</v>
      </c>
      <c r="AD31" s="38" t="n">
        <v>0</v>
      </c>
      <c r="AE31" s="9" t="n">
        <v>0</v>
      </c>
      <c r="AF31" s="9" t="n">
        <v>0</v>
      </c>
      <c r="AG31" s="9" t="n">
        <v>0</v>
      </c>
      <c r="AH31" s="246">
        <f>AF31+IF(NOT(ISBLANK(OFFSET(AH31,0,6))),N(OFFSET(AH31,0,6)),N(OFFSET(AH31,0,7)))-AG31</f>
        <v/>
      </c>
      <c r="AM31" s="57" t="n"/>
      <c r="AN31" s="57" t="n"/>
      <c r="AO31" s="57" t="n"/>
      <c r="AP31" s="57" t="n"/>
      <c r="AQ31" s="57" t="n"/>
      <c r="AR31" s="57" t="n"/>
      <c r="AS31" s="57" t="n"/>
      <c r="AT31" s="6" t="n"/>
      <c r="AU31" s="57" t="n"/>
      <c r="AV31" s="57" t="n"/>
      <c r="AW31" s="57" t="n"/>
      <c r="AX31" s="57" t="n"/>
      <c r="AY31" s="57" t="n"/>
      <c r="AZ31" s="57" t="n"/>
      <c r="BA31" s="57" t="n"/>
      <c r="BB31" s="57" t="n"/>
      <c r="BC31" s="57" t="n"/>
      <c r="BD31" s="57" t="n"/>
      <c r="BE31" s="57" t="n"/>
      <c r="BF31" s="57" t="n"/>
      <c r="BG31" s="57" t="n"/>
      <c r="BH31" s="57" t="n"/>
      <c r="BK31" s="57" t="n"/>
    </row>
    <row r="32">
      <c r="A32" s="33" t="inlineStr">
        <is>
          <t>CARTUCHO M NATAL/25</t>
        </is>
      </c>
      <c r="B32" s="9" t="n">
        <v>150</v>
      </c>
      <c r="C32" s="668" t="n">
        <v>460.35</v>
      </c>
      <c r="D32" s="342" t="n"/>
      <c r="F32" s="9" t="n">
        <v>90</v>
      </c>
      <c r="G32" s="9" t="n">
        <v>27</v>
      </c>
      <c r="H32" s="9" t="n">
        <v>7</v>
      </c>
      <c r="I32" s="9" t="n">
        <v>7</v>
      </c>
      <c r="J32" s="9" t="n">
        <v>7</v>
      </c>
      <c r="K32" s="9" t="n">
        <v>0</v>
      </c>
      <c r="L32" s="9" t="n">
        <v>0</v>
      </c>
      <c r="M32" s="9" t="n">
        <v>0</v>
      </c>
      <c r="N32" s="9" t="n">
        <v>1</v>
      </c>
      <c r="O32" s="9" t="n">
        <v>1</v>
      </c>
      <c r="P32" s="9" t="n">
        <v>1</v>
      </c>
      <c r="Q32" s="9" t="n">
        <v>1</v>
      </c>
      <c r="R32" s="9" t="n">
        <v>9</v>
      </c>
      <c r="S32" s="9" t="n">
        <v>6</v>
      </c>
      <c r="T32" s="9" t="n">
        <v>3</v>
      </c>
      <c r="U32" s="9" t="n">
        <v>1</v>
      </c>
      <c r="V32" s="9" t="n">
        <v>1</v>
      </c>
      <c r="W32" s="9" t="n">
        <v>1</v>
      </c>
      <c r="X32" s="9" t="n">
        <v>1</v>
      </c>
      <c r="Y32" s="9" t="n">
        <v>1</v>
      </c>
      <c r="Z32" s="9" t="n">
        <v>1</v>
      </c>
      <c r="AA32" s="9" t="n">
        <v>1</v>
      </c>
      <c r="AB32" s="9" t="n">
        <v>0</v>
      </c>
      <c r="AC32" s="9" t="n">
        <v>0</v>
      </c>
      <c r="AD32" s="9" t="n">
        <v>0</v>
      </c>
      <c r="AE32" s="9" t="n">
        <v>0</v>
      </c>
      <c r="AF32" s="9" t="n">
        <v>0</v>
      </c>
      <c r="AG32" s="9" t="n">
        <v>0</v>
      </c>
      <c r="AH32" s="246">
        <f>AF32+IF(NOT(ISBLANK(OFFSET(AH32,0,6))),N(OFFSET(AH32,0,6)),N(OFFSET(AH32,0,7)))-AG32</f>
        <v/>
      </c>
      <c r="AM32" s="57" t="n"/>
      <c r="AN32" s="57" t="n"/>
      <c r="AO32" s="57" t="n"/>
      <c r="AP32" s="57" t="n"/>
      <c r="AQ32" s="57" t="n"/>
      <c r="AR32" s="57" t="n"/>
      <c r="AS32" s="57" t="n"/>
      <c r="AT32" s="6" t="n"/>
      <c r="AU32" s="57" t="n"/>
      <c r="AV32" s="57" t="n"/>
      <c r="AW32" s="57" t="n"/>
      <c r="AX32" s="57" t="n"/>
      <c r="AY32" s="57" t="n"/>
      <c r="AZ32" s="57" t="n"/>
      <c r="BA32" s="57" t="n"/>
      <c r="BB32" s="57" t="n"/>
      <c r="BC32" s="57" t="n"/>
      <c r="BD32" s="57" t="n"/>
      <c r="BE32" s="57" t="n"/>
      <c r="BF32" s="57" t="n"/>
      <c r="BG32" s="57" t="n"/>
      <c r="BH32" s="57" t="n"/>
      <c r="BK32" s="57" t="n"/>
    </row>
    <row r="33">
      <c r="A33" s="33" t="inlineStr">
        <is>
          <t>PIN NATAL/25</t>
        </is>
      </c>
      <c r="B33" s="9" t="n">
        <v>10</v>
      </c>
      <c r="C33" s="668" t="n">
        <v>120</v>
      </c>
      <c r="D33" s="342" t="n"/>
      <c r="F33" s="9" t="n"/>
      <c r="G33" s="9" t="n"/>
      <c r="H33" s="9" t="n"/>
      <c r="I33" s="9" t="n">
        <v>0</v>
      </c>
      <c r="J33" s="9" t="n">
        <v>0</v>
      </c>
      <c r="K33" s="9" t="n">
        <v>0</v>
      </c>
      <c r="L33" s="9" t="n">
        <v>0</v>
      </c>
      <c r="M33" s="9" t="n">
        <v>0</v>
      </c>
      <c r="N33" s="9" t="n">
        <v>0</v>
      </c>
      <c r="O33" s="9" t="n">
        <v>0</v>
      </c>
      <c r="P33" s="9" t="n">
        <v>0</v>
      </c>
      <c r="Q33" s="9" t="n">
        <v>0</v>
      </c>
      <c r="R33" s="9" t="n">
        <v>5</v>
      </c>
      <c r="S33" s="9" t="n">
        <v>5</v>
      </c>
      <c r="T33" s="9" t="n">
        <v>5</v>
      </c>
      <c r="U33" s="9" t="n">
        <v>5</v>
      </c>
      <c r="V33" s="9" t="n">
        <v>5</v>
      </c>
      <c r="W33" s="9" t="n">
        <v>5</v>
      </c>
      <c r="X33" s="9" t="n">
        <v>5</v>
      </c>
      <c r="Y33" s="9" t="n">
        <v>3</v>
      </c>
      <c r="Z33" s="9" t="n">
        <v>3</v>
      </c>
      <c r="AA33" s="9" t="n">
        <v>3</v>
      </c>
      <c r="AB33" s="9" t="n">
        <v>0</v>
      </c>
      <c r="AC33" s="9" t="n">
        <v>0</v>
      </c>
      <c r="AD33" s="9" t="n">
        <v>0</v>
      </c>
      <c r="AE33" s="9" t="n">
        <v>0</v>
      </c>
      <c r="AF33" s="9" t="n">
        <v>0</v>
      </c>
      <c r="AG33" s="9" t="n">
        <v>0</v>
      </c>
      <c r="AH33" s="246">
        <f>AF33+IF(NOT(ISBLANK(OFFSET(AH33,0,6))),N(OFFSET(AH33,0,6)),N(OFFSET(AH33,0,7)))-AG33</f>
        <v/>
      </c>
      <c r="AM33" s="57" t="n"/>
      <c r="AN33" s="57" t="n"/>
      <c r="AO33" s="57" t="n"/>
      <c r="AP33" s="57" t="n"/>
      <c r="AQ33" s="57" t="n"/>
      <c r="AR33" s="57" t="n"/>
      <c r="AS33" s="57" t="n"/>
      <c r="AT33" s="6" t="n"/>
      <c r="AU33" s="57" t="n"/>
      <c r="AV33" s="57" t="n"/>
      <c r="AW33" s="57" t="n"/>
      <c r="AX33" s="57" t="n"/>
      <c r="AY33" s="57" t="n"/>
      <c r="AZ33" s="57" t="n"/>
      <c r="BA33" s="57" t="n"/>
      <c r="BB33" s="57" t="n"/>
      <c r="BC33" s="57" t="n"/>
      <c r="BD33" s="57" t="n"/>
      <c r="BE33" s="57" t="n"/>
      <c r="BF33" s="57" t="n"/>
      <c r="BG33" s="57" t="n"/>
      <c r="BH33" s="57" t="n"/>
      <c r="BK33" s="57" t="n"/>
    </row>
    <row r="34">
      <c r="F34" s="4" t="n"/>
      <c r="G34" s="4" t="n"/>
      <c r="AH34" s="4" t="n"/>
      <c r="AM34" s="57" t="n"/>
      <c r="AN34" s="57" t="n"/>
      <c r="AO34" s="57" t="n"/>
      <c r="AP34" s="57" t="n"/>
      <c r="AQ34" s="57" t="n"/>
      <c r="AR34" s="57" t="n"/>
      <c r="AS34" s="57" t="n"/>
      <c r="AT34" s="6" t="n"/>
      <c r="AU34" s="57" t="n"/>
      <c r="AV34" s="57" t="n"/>
      <c r="AW34" s="57" t="n"/>
      <c r="AX34" s="57" t="n"/>
      <c r="AY34" s="57" t="n"/>
      <c r="AZ34" s="57" t="n"/>
      <c r="BA34" s="57" t="n"/>
      <c r="BB34" s="57" t="n"/>
      <c r="BC34" s="57" t="n"/>
      <c r="BD34" s="57" t="n"/>
      <c r="BE34" s="57" t="n"/>
      <c r="BF34" s="57" t="n"/>
      <c r="BG34" s="57" t="n"/>
      <c r="BH34" s="57" t="n"/>
      <c r="BK34" s="57" t="n"/>
    </row>
    <row r="35" ht="27" customHeight="1">
      <c r="A35" s="669" t="inlineStr">
        <is>
          <t>SOBRAS DATAS COMEMORATIVAS</t>
        </is>
      </c>
      <c r="B35" s="658" t="n"/>
      <c r="C35" s="670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2" t="n"/>
      <c r="AF35" s="2" t="n"/>
      <c r="AG35" s="2" t="n"/>
      <c r="AM35" s="57" t="n"/>
      <c r="AN35" s="57" t="n"/>
      <c r="AO35" s="61" t="n"/>
      <c r="AP35" s="61" t="n"/>
      <c r="AQ35" s="61" t="n"/>
      <c r="AR35" s="61" t="n"/>
      <c r="AS35" s="61" t="n"/>
      <c r="AT35" s="6" t="n"/>
      <c r="AU35" s="61" t="n"/>
      <c r="AV35" s="61" t="n"/>
      <c r="AW35" s="61" t="n"/>
      <c r="AX35" s="61" t="n"/>
      <c r="AY35" s="61" t="n"/>
      <c r="AZ35" s="61" t="n"/>
      <c r="BA35" s="61" t="n"/>
      <c r="BB35" s="61" t="n"/>
      <c r="BC35" s="61" t="n"/>
      <c r="BD35" s="61" t="n"/>
      <c r="BE35" s="61" t="n"/>
      <c r="BF35" s="61" t="n"/>
      <c r="BG35" s="61" t="n"/>
      <c r="BH35" s="61" t="n"/>
      <c r="BK35" s="59" t="n"/>
    </row>
    <row r="36" ht="45.75" customHeight="1">
      <c r="A36" s="146" t="inlineStr">
        <is>
          <t>ITENS</t>
        </is>
      </c>
      <c r="B36" s="146" t="n"/>
      <c r="C36" s="146" t="inlineStr">
        <is>
          <t>TEMOS EM ESTOQUE</t>
        </is>
      </c>
      <c r="AM36" s="57" t="n"/>
      <c r="AN36" s="57" t="n"/>
      <c r="AO36" s="61" t="n"/>
      <c r="AP36" s="61" t="n"/>
      <c r="AQ36" s="61" t="n"/>
      <c r="AR36" s="61" t="n"/>
      <c r="AS36" s="61" t="n"/>
      <c r="AT36" s="6" t="n"/>
      <c r="AU36" s="61" t="n"/>
      <c r="AV36" s="61" t="n"/>
      <c r="AW36" s="61" t="n"/>
      <c r="AX36" s="61" t="n"/>
      <c r="AY36" s="61" t="n"/>
      <c r="AZ36" s="61" t="n"/>
      <c r="BA36" s="61" t="n"/>
      <c r="BB36" s="61" t="n"/>
      <c r="BC36" s="61" t="n"/>
      <c r="BD36" s="61" t="n"/>
      <c r="BE36" s="61" t="n"/>
      <c r="BF36" s="61" t="n"/>
      <c r="BG36" s="61" t="n"/>
      <c r="BH36" s="61" t="n"/>
      <c r="BK36" s="59" t="n"/>
    </row>
    <row r="37">
      <c r="A37" s="348" t="n"/>
      <c r="B37" s="348" t="n"/>
      <c r="C37" s="348" t="n"/>
      <c r="AT37" s="6" t="n"/>
      <c r="BI37" s="148" t="n"/>
      <c r="CU37" s="49" t="n"/>
      <c r="CV37" s="49" t="n"/>
      <c r="CW37" s="49" t="n"/>
      <c r="CX37" s="49" t="n"/>
      <c r="CY37" s="49" t="n"/>
      <c r="CZ37" s="49" t="n"/>
      <c r="DA37" s="49" t="n"/>
      <c r="DB37" s="49" t="n"/>
      <c r="DC37" s="49" t="n"/>
      <c r="DD37" s="49" t="n"/>
      <c r="DE37" s="49" t="n"/>
      <c r="DG37" s="148" t="n"/>
      <c r="DH37" s="148" t="n"/>
      <c r="DI37" s="148" t="n"/>
      <c r="DJ37" s="148" t="n"/>
      <c r="DK37" s="148" t="n"/>
      <c r="DL37" s="148" t="n"/>
      <c r="DM37" s="148" t="n"/>
      <c r="DN37" s="148" t="n"/>
      <c r="DO37" s="148" t="n"/>
      <c r="DP37" s="148" t="n"/>
      <c r="DQ37" s="148" t="n"/>
      <c r="DR37" s="148" t="n"/>
      <c r="DS37" s="148" t="n"/>
      <c r="DT37" s="148" t="n"/>
      <c r="DU37" s="148" t="n"/>
      <c r="DY37" s="57" t="n"/>
      <c r="DZ37" s="166" t="n"/>
      <c r="EA37" s="60" t="n"/>
      <c r="EB37" s="167" t="n"/>
      <c r="EC37" s="167" t="n"/>
      <c r="ED37" s="167" t="n"/>
      <c r="EE37" s="167" t="n"/>
      <c r="EF37" s="167" t="n"/>
      <c r="EG37" s="167" t="n"/>
      <c r="EH37" s="167" t="n"/>
      <c r="EI37" s="167" t="n"/>
      <c r="EJ37" s="167" t="n"/>
      <c r="EK37" s="167" t="n"/>
      <c r="EL37" s="167" t="n"/>
      <c r="EM37" s="167" t="n"/>
      <c r="EN37" s="167" t="n"/>
      <c r="EO37" s="167" t="n"/>
      <c r="EP37" s="167" t="n"/>
      <c r="EQ37" s="167" t="n"/>
      <c r="ER37" s="167" t="n"/>
      <c r="ES37" s="167" t="n"/>
      <c r="ET37" s="167" t="n"/>
      <c r="EU37" s="167" t="n"/>
      <c r="EV37" s="167" t="n"/>
      <c r="EW37" s="167" t="n"/>
      <c r="EX37" s="167" t="n"/>
      <c r="EY37" s="167" t="n"/>
      <c r="EZ37" s="167" t="n"/>
      <c r="FA37" s="167" t="n"/>
      <c r="FB37" s="167" t="n"/>
      <c r="FC37" s="167" t="n"/>
      <c r="FD37" s="167" t="n"/>
      <c r="FE37" s="167" t="n"/>
      <c r="FF37" s="167" t="n"/>
      <c r="FG37" s="167" t="n"/>
      <c r="FH37" s="167" t="n"/>
      <c r="FI37" s="167" t="n"/>
      <c r="FJ37" s="167" t="n"/>
      <c r="FK37" s="167" t="n"/>
      <c r="FL37" s="167" t="n"/>
      <c r="FM37" s="167" t="n"/>
      <c r="FN37" s="167" t="n"/>
      <c r="FO37" s="167" t="n"/>
      <c r="FP37" s="167" t="n"/>
      <c r="FQ37" s="167" t="n"/>
      <c r="FR37" s="167" t="n"/>
      <c r="FS37" s="167" t="n"/>
      <c r="FT37" s="167" t="n"/>
      <c r="FU37" s="167" t="n"/>
      <c r="FV37" s="167" t="n"/>
      <c r="FW37" s="167" t="n"/>
      <c r="FX37" s="167" t="n"/>
      <c r="FY37" s="167" t="n"/>
      <c r="FZ37" s="168" t="n"/>
      <c r="GA37" s="167" t="n"/>
      <c r="GB37" s="167" t="n"/>
      <c r="GC37" s="167" t="n"/>
      <c r="GD37" s="167" t="n"/>
      <c r="GE37" s="167" t="n"/>
      <c r="GF37" s="167" t="n"/>
      <c r="GG37" s="167" t="n"/>
      <c r="GH37" s="167" t="n"/>
      <c r="GI37" s="167" t="n"/>
      <c r="GJ37" s="167" t="n"/>
      <c r="GK37" s="167" t="n"/>
      <c r="GL37" s="167" t="n"/>
      <c r="GM37" s="167" t="n"/>
      <c r="GN37" s="167" t="n"/>
      <c r="GO37" s="167" t="n"/>
      <c r="GP37" s="167" t="n"/>
      <c r="GQ37" s="167" t="n"/>
      <c r="GR37" s="167" t="n"/>
      <c r="GS37" s="167" t="n"/>
      <c r="GT37" s="167" t="n"/>
      <c r="GU37" s="167" t="n"/>
      <c r="GV37" s="167" t="n"/>
      <c r="GW37" s="167" t="n"/>
      <c r="GX37" s="167" t="n"/>
      <c r="GY37" s="167" t="n"/>
      <c r="GZ37" s="167" t="n"/>
      <c r="HA37" s="167" t="n"/>
      <c r="HB37" s="167" t="n"/>
      <c r="HC37" s="167" t="n"/>
      <c r="HD37" s="167" t="n"/>
      <c r="HE37" s="167" t="n"/>
      <c r="HF37" s="167" t="n"/>
      <c r="HG37" s="167" t="n"/>
      <c r="HH37" s="167" t="n"/>
      <c r="HI37" s="167" t="n"/>
      <c r="HJ37" s="167" t="n"/>
      <c r="HK37" s="167" t="n"/>
      <c r="HL37" s="167" t="n"/>
      <c r="HM37" s="167" t="n"/>
      <c r="HN37" s="167" t="n"/>
      <c r="HO37" s="167" t="n"/>
      <c r="HP37" s="167" t="n"/>
      <c r="HQ37" s="167" t="n"/>
      <c r="HR37" s="167" t="n"/>
      <c r="HS37" s="167" t="n"/>
      <c r="HT37" s="167" t="n"/>
      <c r="HU37" s="167" t="n"/>
      <c r="HV37" s="167" t="n"/>
      <c r="HW37" s="167" t="n"/>
      <c r="HX37" s="167" t="n"/>
      <c r="HY37" s="167" t="n"/>
      <c r="HZ37" s="167" t="n"/>
      <c r="IA37" s="167" t="n"/>
      <c r="IB37" s="167" t="n"/>
      <c r="IC37" s="167" t="n"/>
      <c r="ID37" s="167" t="n"/>
      <c r="IE37" s="167" t="n"/>
      <c r="IF37" s="167" t="n"/>
      <c r="IG37" s="167" t="n"/>
      <c r="IH37" s="167" t="n"/>
      <c r="II37" s="167" t="n"/>
      <c r="IJ37" s="167" t="n"/>
      <c r="IK37" s="167" t="n"/>
      <c r="IL37" s="167" t="n"/>
      <c r="IM37" s="167" t="n"/>
      <c r="IN37" s="167" t="n"/>
      <c r="IO37" s="167" t="n"/>
      <c r="IP37" s="167" t="n"/>
      <c r="IQ37" s="167" t="n"/>
      <c r="IR37" s="167" t="n"/>
      <c r="IS37" s="167" t="n"/>
    </row>
    <row r="38">
      <c r="A38" s="349" t="inlineStr">
        <is>
          <t>SAC. G NATAL 23</t>
        </is>
      </c>
      <c r="B38" s="178" t="n"/>
      <c r="C38" s="115" t="n">
        <v>100</v>
      </c>
      <c r="AT38" s="6" t="n"/>
      <c r="BI38" s="148" t="n"/>
      <c r="CU38" s="49" t="n"/>
      <c r="CV38" s="49" t="n"/>
      <c r="CW38" s="49" t="n"/>
      <c r="CX38" s="49" t="n"/>
      <c r="CY38" s="49" t="n"/>
      <c r="CZ38" s="49" t="n"/>
      <c r="DA38" s="49" t="n"/>
      <c r="DB38" s="49" t="n"/>
      <c r="DC38" s="49" t="n"/>
      <c r="DD38" s="49" t="n"/>
      <c r="DE38" s="49" t="n"/>
      <c r="DG38" s="148" t="n"/>
      <c r="DH38" s="148" t="n"/>
      <c r="DI38" s="148" t="n"/>
      <c r="DJ38" s="148" t="n"/>
      <c r="DK38" s="148" t="n"/>
      <c r="DL38" s="148" t="n"/>
      <c r="DM38" s="148" t="n"/>
      <c r="DN38" s="148" t="n"/>
      <c r="DO38" s="148" t="n"/>
      <c r="DP38" s="148" t="n"/>
      <c r="DQ38" s="148" t="n"/>
      <c r="DR38" s="148" t="n"/>
      <c r="DS38" s="148" t="n"/>
      <c r="DT38" s="148" t="n"/>
      <c r="DU38" s="148" t="n"/>
      <c r="DY38" s="57" t="n"/>
      <c r="DZ38" s="166" t="n"/>
      <c r="EA38" s="60" t="n"/>
      <c r="EB38" s="167" t="n"/>
      <c r="EC38" s="167" t="n"/>
      <c r="ED38" s="167" t="n"/>
      <c r="EE38" s="167" t="n"/>
      <c r="EF38" s="167" t="n"/>
      <c r="EG38" s="167" t="n"/>
      <c r="EH38" s="167" t="n"/>
      <c r="EI38" s="167" t="n"/>
      <c r="EJ38" s="167" t="n"/>
      <c r="EK38" s="167" t="n"/>
      <c r="EL38" s="167" t="n"/>
      <c r="EM38" s="167" t="n"/>
      <c r="EN38" s="167" t="n"/>
      <c r="EO38" s="167" t="n"/>
      <c r="EP38" s="167" t="n"/>
      <c r="EQ38" s="167" t="n"/>
      <c r="ER38" s="167" t="n"/>
      <c r="ES38" s="167" t="n"/>
      <c r="ET38" s="167" t="n"/>
      <c r="EU38" s="167" t="n"/>
      <c r="EV38" s="167" t="n"/>
      <c r="EW38" s="167" t="n"/>
      <c r="EX38" s="167" t="n"/>
      <c r="EY38" s="167" t="n"/>
      <c r="EZ38" s="167" t="n"/>
      <c r="FA38" s="167" t="n"/>
      <c r="FB38" s="167" t="n"/>
      <c r="FC38" s="167" t="n"/>
      <c r="FD38" s="167" t="n"/>
      <c r="FE38" s="167" t="n"/>
      <c r="FF38" s="167" t="n"/>
      <c r="FG38" s="167" t="n"/>
      <c r="FH38" s="167" t="n"/>
      <c r="FI38" s="167" t="n"/>
      <c r="FJ38" s="167" t="n"/>
      <c r="FK38" s="167" t="n"/>
      <c r="FL38" s="167" t="n"/>
      <c r="FM38" s="167" t="n"/>
      <c r="FN38" s="57" t="n"/>
      <c r="FO38" s="167" t="n"/>
      <c r="FP38" s="167" t="n"/>
      <c r="FQ38" s="167" t="n"/>
      <c r="FR38" s="167" t="n"/>
      <c r="FS38" s="167" t="n"/>
      <c r="FT38" s="167" t="n"/>
      <c r="FU38" s="167" t="n"/>
      <c r="FV38" s="167" t="n"/>
      <c r="FW38" s="167" t="n"/>
      <c r="FX38" s="167" t="n"/>
      <c r="FY38" s="167" t="n"/>
      <c r="FZ38" s="168" t="n"/>
      <c r="GA38" s="167" t="n"/>
      <c r="GB38" s="167" t="n"/>
      <c r="GC38" s="167" t="n"/>
      <c r="GD38" s="167" t="n"/>
      <c r="GE38" s="167" t="n"/>
      <c r="GF38" s="167" t="n"/>
      <c r="GG38" s="167" t="n"/>
      <c r="GH38" s="167" t="n"/>
      <c r="GI38" s="167" t="n"/>
      <c r="GJ38" s="167" t="n"/>
      <c r="GK38" s="167" t="n"/>
      <c r="GL38" s="167" t="n"/>
      <c r="GM38" s="167" t="n"/>
      <c r="GN38" s="167" t="n"/>
      <c r="GO38" s="167" t="n"/>
      <c r="GP38" s="167" t="n"/>
      <c r="GQ38" s="167" t="n"/>
      <c r="GR38" s="167" t="n"/>
      <c r="GS38" s="167" t="n"/>
      <c r="GT38" s="167" t="n"/>
      <c r="GU38" s="167" t="n"/>
      <c r="GV38" s="167" t="n"/>
      <c r="GW38" s="167" t="n"/>
      <c r="GX38" s="167" t="n"/>
      <c r="GY38" s="167" t="n"/>
      <c r="GZ38" s="167" t="n"/>
      <c r="HA38" s="167" t="n"/>
      <c r="HB38" s="167" t="n"/>
      <c r="HC38" s="167" t="n"/>
      <c r="HD38" s="167" t="n"/>
      <c r="HE38" s="167" t="n"/>
      <c r="HF38" s="167" t="n"/>
      <c r="HG38" s="167" t="n"/>
      <c r="HH38" s="167" t="n"/>
      <c r="HI38" s="167" t="n"/>
      <c r="HJ38" s="167" t="n"/>
      <c r="HK38" s="167" t="n"/>
      <c r="HL38" s="167" t="n"/>
      <c r="HM38" s="167" t="n"/>
      <c r="HN38" s="167" t="n"/>
      <c r="HO38" s="167" t="n"/>
      <c r="HP38" s="167" t="n"/>
      <c r="HQ38" s="167" t="n"/>
      <c r="HR38" s="167" t="n"/>
      <c r="HS38" s="167" t="n"/>
      <c r="HT38" s="167" t="n"/>
      <c r="HU38" s="167" t="n"/>
      <c r="HV38" s="167" t="n"/>
      <c r="HW38" s="167" t="n"/>
      <c r="HX38" s="167" t="n"/>
      <c r="HY38" s="167" t="n"/>
      <c r="HZ38" s="167" t="n"/>
      <c r="IA38" s="167" t="n"/>
      <c r="IB38" s="167" t="n"/>
      <c r="IC38" s="167" t="n"/>
      <c r="ID38" s="167" t="n"/>
      <c r="IE38" s="167" t="n"/>
      <c r="IF38" s="167" t="n"/>
      <c r="IG38" s="167" t="n"/>
      <c r="IH38" s="167" t="n"/>
      <c r="II38" s="167" t="n"/>
      <c r="IJ38" s="167" t="n"/>
      <c r="IK38" s="167" t="n"/>
      <c r="IL38" s="167" t="n"/>
      <c r="IM38" s="167" t="n"/>
      <c r="IN38" s="167" t="n"/>
      <c r="IO38" s="167" t="n"/>
      <c r="IP38" s="167" t="n"/>
      <c r="IQ38" s="167" t="n"/>
      <c r="IR38" s="167" t="n"/>
      <c r="IS38" s="167" t="n"/>
    </row>
    <row r="39">
      <c r="A39" s="348" t="n"/>
      <c r="B39" s="348" t="n"/>
      <c r="C39" s="348" t="n"/>
      <c r="AT39" s="360" t="n"/>
      <c r="BI39" s="49" t="n"/>
      <c r="CU39" s="49" t="n"/>
      <c r="CV39" s="49" t="n"/>
      <c r="CW39" s="49" t="n"/>
      <c r="CX39" s="49" t="n"/>
      <c r="CY39" s="49" t="n"/>
      <c r="CZ39" s="49" t="n"/>
      <c r="DA39" s="49" t="n"/>
      <c r="DB39" s="49" t="n"/>
      <c r="DC39" s="49" t="n"/>
      <c r="DD39" s="49" t="n"/>
      <c r="DE39" s="49" t="n"/>
      <c r="DG39" s="148" t="n"/>
      <c r="DH39" s="148" t="n"/>
      <c r="DI39" s="148" t="n"/>
      <c r="DJ39" s="148" t="n"/>
      <c r="DK39" s="148" t="n"/>
      <c r="DL39" s="148" t="n"/>
      <c r="DM39" s="148" t="n"/>
      <c r="DN39" s="148" t="n"/>
      <c r="DO39" s="148" t="n"/>
      <c r="DP39" s="148" t="n"/>
      <c r="DQ39" s="148" t="n"/>
      <c r="DR39" s="148" t="n"/>
      <c r="DS39" s="148" t="n"/>
      <c r="DT39" s="148" t="n"/>
      <c r="DU39" s="148" t="n"/>
      <c r="DW39" s="173" t="n"/>
      <c r="DX39" s="57" t="n"/>
      <c r="DY39" s="174" t="n"/>
      <c r="DZ39" s="175" t="n"/>
      <c r="EA39" s="174" t="n"/>
      <c r="EB39" s="57" t="n"/>
      <c r="EC39" s="57" t="n"/>
      <c r="ED39" s="57" t="n"/>
      <c r="EE39" s="57" t="n"/>
      <c r="EF39" s="57" t="n"/>
      <c r="EG39" s="57" t="n"/>
      <c r="EH39" s="57" t="n"/>
      <c r="EI39" s="57" t="n"/>
      <c r="EJ39" s="57" t="n"/>
      <c r="EK39" s="57" t="n"/>
      <c r="EL39" s="57" t="n"/>
      <c r="EM39" s="57" t="n"/>
      <c r="EN39" s="57" t="n"/>
      <c r="EO39" s="57" t="n"/>
      <c r="EP39" s="57" t="n"/>
      <c r="EQ39" s="57" t="n"/>
      <c r="ER39" s="57" t="n"/>
      <c r="ES39" s="57" t="n"/>
      <c r="ET39" s="57" t="n"/>
      <c r="EU39" s="57" t="n"/>
      <c r="EV39" s="57" t="n"/>
      <c r="EW39" s="57" t="n"/>
      <c r="EX39" s="57" t="n"/>
      <c r="EY39" s="57" t="n"/>
      <c r="EZ39" s="57" t="n"/>
      <c r="FA39" s="57" t="n"/>
      <c r="FB39" s="57" t="n"/>
      <c r="FC39" s="57" t="n"/>
      <c r="FD39" s="57" t="n"/>
      <c r="FE39" s="57" t="n"/>
      <c r="FF39" s="57" t="n"/>
      <c r="FG39" s="57" t="n"/>
      <c r="FH39" s="57" t="n"/>
      <c r="FI39" s="57" t="n"/>
      <c r="FJ39" s="57" t="n"/>
      <c r="FK39" s="57" t="n"/>
      <c r="FL39" s="57" t="n"/>
      <c r="FM39" s="57" t="n"/>
      <c r="FN39" s="57" t="n"/>
      <c r="FO39" s="57" t="n"/>
      <c r="FP39" s="57" t="n"/>
      <c r="FQ39" s="57" t="n"/>
      <c r="FR39" s="57" t="n"/>
      <c r="FS39" s="57" t="n"/>
      <c r="FT39" s="57" t="n"/>
      <c r="FU39" s="57" t="n"/>
      <c r="FV39" s="57" t="n"/>
      <c r="FW39" s="57" t="n"/>
      <c r="FX39" s="57" t="n"/>
      <c r="FY39" s="57" t="n"/>
      <c r="FZ39" s="168" t="n"/>
      <c r="GA39" s="57" t="n"/>
      <c r="GB39" s="57" t="n"/>
      <c r="GC39" s="57" t="n"/>
      <c r="GD39" s="57" t="n"/>
      <c r="GE39" s="57" t="n"/>
      <c r="GF39" s="57" t="n"/>
      <c r="GG39" s="57" t="n"/>
      <c r="GH39" s="57" t="n"/>
      <c r="GI39" s="57" t="n"/>
      <c r="GJ39" s="57" t="n"/>
      <c r="GK39" s="57" t="n"/>
      <c r="GL39" s="57" t="n"/>
      <c r="GM39" s="57" t="n"/>
      <c r="GN39" s="57" t="n"/>
      <c r="GO39" s="57" t="n"/>
      <c r="GP39" s="57" t="n"/>
      <c r="GQ39" s="57" t="n"/>
      <c r="GR39" s="57" t="n"/>
      <c r="GS39" s="57" t="n"/>
      <c r="GT39" s="57" t="n"/>
      <c r="GU39" s="57" t="n"/>
      <c r="GV39" s="57" t="n"/>
      <c r="GW39" s="57" t="n"/>
      <c r="GX39" s="57" t="n"/>
      <c r="GY39" s="57" t="n"/>
      <c r="GZ39" s="57" t="n"/>
      <c r="HA39" s="57" t="n"/>
      <c r="HB39" s="57" t="n"/>
      <c r="HC39" s="57" t="n"/>
      <c r="HD39" s="57" t="n"/>
      <c r="HE39" s="57" t="n"/>
      <c r="HF39" s="57" t="n"/>
      <c r="HG39" s="57" t="n"/>
      <c r="HH39" s="57" t="n"/>
      <c r="HI39" s="57" t="n"/>
      <c r="HJ39" s="57" t="n"/>
      <c r="HK39" s="57" t="n"/>
      <c r="HL39" s="57" t="n"/>
      <c r="HM39" s="57" t="n"/>
      <c r="HN39" s="57" t="n"/>
      <c r="HO39" s="57" t="n"/>
      <c r="HP39" s="57" t="n"/>
      <c r="HQ39" s="57" t="n"/>
      <c r="HR39" s="57" t="n"/>
      <c r="HS39" s="57" t="n"/>
      <c r="HT39" s="57" t="n"/>
      <c r="HU39" s="57" t="n"/>
      <c r="HV39" s="57" t="n"/>
      <c r="HW39" s="57" t="n"/>
      <c r="HX39" s="57" t="n"/>
      <c r="HY39" s="57" t="n"/>
      <c r="HZ39" s="57" t="n"/>
      <c r="IA39" s="57" t="n"/>
      <c r="IB39" s="57" t="n"/>
      <c r="IC39" s="57" t="n"/>
      <c r="ID39" s="57" t="n"/>
      <c r="IE39" s="57" t="n"/>
      <c r="IF39" s="57" t="n"/>
      <c r="IG39" s="57" t="n"/>
      <c r="IH39" s="57" t="n"/>
      <c r="II39" s="57" t="n"/>
      <c r="IJ39" s="57" t="n"/>
      <c r="IK39" s="57" t="n"/>
      <c r="IL39" s="57" t="n"/>
      <c r="IM39" s="57" t="n"/>
      <c r="IN39" s="57" t="n"/>
      <c r="IO39" s="57" t="n"/>
      <c r="IP39" s="57" t="n"/>
      <c r="IQ39" s="57" t="n"/>
      <c r="IR39" s="57" t="n"/>
      <c r="IS39" s="57" t="n"/>
    </row>
    <row r="40">
      <c r="A40" s="349" t="inlineStr">
        <is>
          <t>TAG DISNEY</t>
        </is>
      </c>
      <c r="B40" s="350" t="n"/>
      <c r="C40" s="115" t="n">
        <v>50</v>
      </c>
      <c r="AT40" s="360" t="n"/>
      <c r="BI40" s="49" t="n"/>
      <c r="CU40" s="49" t="n"/>
      <c r="CV40" s="49" t="n"/>
      <c r="CW40" s="49" t="n"/>
      <c r="CX40" s="49" t="n"/>
      <c r="CY40" s="49" t="n"/>
      <c r="CZ40" s="49" t="n"/>
      <c r="DA40" s="49" t="n"/>
      <c r="DB40" s="49" t="n"/>
      <c r="DC40" s="49" t="n"/>
      <c r="DD40" s="49" t="n"/>
      <c r="DE40" s="49" t="n"/>
      <c r="DG40" s="148" t="n"/>
      <c r="DH40" s="148" t="n"/>
      <c r="DI40" s="148" t="n"/>
      <c r="DJ40" s="148" t="n"/>
      <c r="DK40" s="148" t="n"/>
      <c r="DL40" s="148" t="n"/>
      <c r="DM40" s="148" t="n"/>
      <c r="DN40" s="148" t="n"/>
      <c r="DO40" s="148" t="n"/>
      <c r="DP40" s="148" t="n"/>
      <c r="DQ40" s="148" t="n"/>
      <c r="DR40" s="148" t="n"/>
      <c r="DS40" s="148" t="n"/>
      <c r="DT40" s="148" t="n"/>
      <c r="DU40" s="148" t="n"/>
      <c r="DW40" s="173" t="n"/>
      <c r="DX40" s="57" t="n"/>
      <c r="DY40" s="174" t="n"/>
      <c r="DZ40" s="175" t="n"/>
      <c r="EA40" s="174" t="n"/>
      <c r="EB40" s="57" t="n"/>
      <c r="EC40" s="57" t="n"/>
      <c r="ED40" s="57" t="n"/>
      <c r="EE40" s="57" t="n"/>
      <c r="EF40" s="57" t="n"/>
      <c r="EG40" s="57" t="n"/>
      <c r="EH40" s="57" t="n"/>
      <c r="EI40" s="57" t="n"/>
      <c r="EJ40" s="57" t="n"/>
      <c r="EK40" s="57" t="n"/>
      <c r="EL40" s="57" t="n"/>
      <c r="EM40" s="57" t="n"/>
      <c r="EN40" s="57" t="n"/>
      <c r="EO40" s="57" t="n"/>
      <c r="EP40" s="57" t="n"/>
      <c r="EQ40" s="57" t="n"/>
      <c r="ER40" s="57" t="n"/>
      <c r="ES40" s="57" t="n"/>
      <c r="ET40" s="57" t="n"/>
      <c r="EU40" s="57" t="n"/>
      <c r="EV40" s="57" t="n"/>
      <c r="EW40" s="57" t="n"/>
      <c r="EX40" s="57" t="n"/>
      <c r="EY40" s="57" t="n"/>
      <c r="EZ40" s="57" t="n"/>
      <c r="FA40" s="57" t="n"/>
      <c r="FB40" s="57" t="n"/>
      <c r="FC40" s="57" t="n"/>
      <c r="FD40" s="57" t="n"/>
      <c r="FE40" s="57" t="n"/>
      <c r="FF40" s="57" t="n"/>
      <c r="FG40" s="57" t="n"/>
      <c r="FH40" s="57" t="n"/>
      <c r="FI40" s="57" t="n"/>
      <c r="FJ40" s="57" t="n"/>
      <c r="FK40" s="57" t="n"/>
      <c r="FL40" s="57" t="n"/>
      <c r="FM40" s="57" t="n"/>
      <c r="FN40" s="173" t="n"/>
      <c r="FO40" s="57" t="n"/>
      <c r="FP40" s="57" t="n"/>
      <c r="FQ40" s="57" t="n"/>
      <c r="FR40" s="57" t="n"/>
      <c r="FS40" s="57" t="n"/>
      <c r="FT40" s="57" t="n"/>
      <c r="FU40" s="57" t="n"/>
      <c r="FV40" s="57" t="n"/>
      <c r="FW40" s="57" t="n"/>
      <c r="FX40" s="57" t="n"/>
      <c r="FY40" s="57" t="n"/>
      <c r="FZ40" s="168" t="n"/>
      <c r="GA40" s="57" t="n"/>
      <c r="GB40" s="57" t="n"/>
      <c r="GC40" s="57" t="n"/>
      <c r="GD40" s="57" t="n"/>
      <c r="GE40" s="57" t="n"/>
      <c r="GF40" s="57" t="n"/>
      <c r="GG40" s="57" t="n"/>
      <c r="GH40" s="57" t="n"/>
      <c r="GI40" s="57" t="n"/>
      <c r="GJ40" s="57" t="n"/>
      <c r="GK40" s="57" t="n"/>
      <c r="GL40" s="57" t="n"/>
      <c r="GM40" s="57" t="n"/>
      <c r="GN40" s="57" t="n"/>
      <c r="GO40" s="57" t="n"/>
      <c r="GP40" s="57" t="n"/>
      <c r="GQ40" s="57" t="n"/>
      <c r="GR40" s="57" t="n"/>
      <c r="GS40" s="57" t="n"/>
      <c r="GT40" s="57" t="n"/>
      <c r="GU40" s="57" t="n"/>
      <c r="GV40" s="57" t="n"/>
      <c r="GW40" s="57" t="n"/>
      <c r="GX40" s="57" t="n"/>
      <c r="GY40" s="57" t="n"/>
      <c r="GZ40" s="57" t="n"/>
      <c r="HA40" s="57" t="n"/>
      <c r="HB40" s="57" t="n"/>
      <c r="HC40" s="57" t="n"/>
      <c r="HD40" s="57" t="n"/>
      <c r="HE40" s="57" t="n"/>
      <c r="HF40" s="57" t="n"/>
      <c r="HG40" s="57" t="n"/>
      <c r="HH40" s="57" t="n"/>
      <c r="HI40" s="57" t="n"/>
      <c r="HJ40" s="57" t="n"/>
      <c r="HK40" s="57" t="n"/>
      <c r="HL40" s="57" t="n"/>
      <c r="HM40" s="57" t="n"/>
      <c r="HN40" s="57" t="n"/>
      <c r="HO40" s="57" t="n"/>
      <c r="HP40" s="57" t="n"/>
      <c r="HQ40" s="57" t="n"/>
      <c r="HR40" s="57" t="n"/>
      <c r="HS40" s="57" t="n"/>
      <c r="HT40" s="57" t="n"/>
      <c r="HU40" s="57" t="n"/>
      <c r="HV40" s="57" t="n"/>
      <c r="HW40" s="57" t="n"/>
      <c r="HX40" s="57" t="n"/>
      <c r="HY40" s="57" t="n"/>
      <c r="HZ40" s="57" t="n"/>
      <c r="IA40" s="57" t="n"/>
      <c r="IB40" s="57" t="n"/>
      <c r="IC40" s="57" t="n"/>
      <c r="ID40" s="57" t="n"/>
      <c r="IE40" s="57" t="n"/>
      <c r="IF40" s="57" t="n"/>
      <c r="IG40" s="57" t="n"/>
      <c r="IH40" s="57" t="n"/>
      <c r="II40" s="57" t="n"/>
      <c r="IJ40" s="57" t="n"/>
      <c r="IK40" s="57" t="n"/>
      <c r="IL40" s="57" t="n"/>
      <c r="IM40" s="57" t="n"/>
      <c r="IN40" s="57" t="n"/>
      <c r="IO40" s="57" t="n"/>
      <c r="IP40" s="57" t="n"/>
      <c r="IQ40" s="57" t="n"/>
      <c r="IR40" s="57" t="n"/>
      <c r="IS40" s="57" t="n"/>
    </row>
    <row r="41">
      <c r="A41" s="348" t="n"/>
      <c r="B41" s="348" t="n"/>
      <c r="C41" s="348" t="n"/>
      <c r="E41" s="53" t="n"/>
      <c r="AI41" s="6" t="n"/>
      <c r="AJ41" s="6" t="n"/>
      <c r="AK41" s="6" t="n"/>
      <c r="AL41" s="6" t="n"/>
      <c r="AO41" s="6" t="n"/>
      <c r="AP41" s="6" t="n"/>
      <c r="AQ41" s="6" t="n"/>
      <c r="AR41" s="6" t="n"/>
      <c r="AS41" s="6" t="n"/>
      <c r="AT41" s="53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6" t="n"/>
      <c r="BF41" s="6" t="n"/>
      <c r="BG41" s="6" t="n"/>
      <c r="BH41" s="6" t="n"/>
      <c r="BI41" s="49" t="n"/>
      <c r="BK41" s="6" t="n"/>
      <c r="BL41" s="53" t="n"/>
      <c r="BM41" s="53" t="n"/>
      <c r="BN41" s="53" t="n"/>
      <c r="BO41" s="53" t="n"/>
      <c r="BP41" s="53" t="n"/>
      <c r="BQ41" s="53" t="n"/>
      <c r="BR41" s="53" t="n"/>
      <c r="BS41" s="53" t="n"/>
      <c r="BT41" s="53" t="n"/>
      <c r="BU41" s="53" t="n"/>
      <c r="BV41" s="53" t="n"/>
      <c r="BW41" s="53" t="n"/>
      <c r="BX41" s="53" t="n"/>
      <c r="BY41" s="53" t="n"/>
      <c r="BZ41" s="53" t="n"/>
      <c r="CA41" s="53" t="n"/>
      <c r="CU41" s="49" t="n"/>
      <c r="CV41" s="49" t="n"/>
      <c r="CW41" s="49" t="n"/>
      <c r="CX41" s="49" t="n"/>
      <c r="CY41" s="49" t="n"/>
      <c r="CZ41" s="49" t="n"/>
      <c r="DA41" s="49" t="n"/>
      <c r="DB41" s="49" t="n"/>
      <c r="DC41" s="49" t="n"/>
      <c r="DD41" s="49" t="n"/>
      <c r="DE41" s="49" t="n"/>
      <c r="DG41" s="49" t="n"/>
      <c r="DH41" s="49" t="n"/>
      <c r="DI41" s="49" t="n"/>
      <c r="DJ41" s="49" t="n"/>
      <c r="DK41" s="49" t="n"/>
      <c r="DL41" s="49" t="n"/>
      <c r="DM41" s="49" t="n"/>
      <c r="DN41" s="49" t="n"/>
      <c r="DO41" s="49" t="n"/>
      <c r="DP41" s="49" t="n"/>
      <c r="DQ41" s="49" t="n"/>
      <c r="DR41" s="49" t="n"/>
      <c r="DS41" s="49" t="n"/>
      <c r="DT41" s="49" t="n"/>
      <c r="DU41" s="49" t="n"/>
      <c r="DW41" s="49" t="n"/>
      <c r="DX41" s="49" t="n"/>
      <c r="DZ41" s="49" t="n"/>
      <c r="EB41" s="49" t="n"/>
      <c r="EC41" s="49" t="n"/>
      <c r="ED41" s="49" t="n"/>
      <c r="EE41" s="49" t="n"/>
      <c r="EF41" s="49" t="n"/>
      <c r="EG41" s="49" t="n"/>
      <c r="EH41" s="49" t="n"/>
      <c r="EI41" s="49" t="n"/>
      <c r="EJ41" s="49" t="n"/>
      <c r="EK41" s="49" t="n"/>
      <c r="EL41" s="49" t="n"/>
      <c r="EM41" s="49" t="n"/>
      <c r="EN41" s="49" t="n"/>
      <c r="EO41" s="49" t="n"/>
      <c r="EP41" s="49" t="n"/>
      <c r="EQ41" s="49" t="n"/>
      <c r="ER41" s="49" t="n"/>
      <c r="ES41" s="49" t="n"/>
      <c r="ET41" s="49" t="n"/>
      <c r="EU41" s="49" t="n"/>
      <c r="EV41" s="49" t="n"/>
      <c r="EW41" s="49" t="n"/>
      <c r="EX41" s="49" t="n"/>
      <c r="EY41" s="49" t="n"/>
      <c r="EZ41" s="49" t="n"/>
      <c r="FA41" s="49" t="n"/>
      <c r="FB41" s="49" t="n"/>
      <c r="FC41" s="49" t="n"/>
      <c r="FD41" s="49" t="n"/>
      <c r="FE41" s="49" t="n"/>
      <c r="FF41" s="49" t="n"/>
      <c r="FG41" s="49" t="n"/>
      <c r="FH41" s="49" t="n"/>
      <c r="FI41" s="49" t="n"/>
      <c r="FJ41" s="49" t="n"/>
      <c r="FK41" s="49" t="n"/>
      <c r="FL41" s="49" t="n"/>
      <c r="FM41" s="49" t="n"/>
      <c r="FN41" s="49" t="n"/>
      <c r="FO41" s="49" t="n"/>
      <c r="FP41" s="49" t="n"/>
      <c r="FQ41" s="49" t="n"/>
      <c r="FR41" s="49" t="n"/>
      <c r="FS41" s="49" t="n"/>
      <c r="FT41" s="49" t="n"/>
      <c r="FU41" s="49" t="n"/>
      <c r="FV41" s="49" t="n"/>
      <c r="FW41" s="49" t="n"/>
      <c r="FX41" s="49" t="n"/>
      <c r="FY41" s="49" t="n"/>
      <c r="FZ41" s="168" t="n"/>
      <c r="GA41" s="49" t="n"/>
      <c r="GB41" s="49" t="n"/>
      <c r="GC41" s="49" t="n"/>
      <c r="GD41" s="49" t="n"/>
      <c r="GE41" s="49" t="n"/>
      <c r="GF41" s="49" t="n"/>
      <c r="GG41" s="49" t="n"/>
      <c r="GH41" s="49" t="n"/>
      <c r="GI41" s="49" t="n"/>
      <c r="GJ41" s="49" t="n"/>
      <c r="GK41" s="49" t="n"/>
      <c r="GL41" s="49" t="n"/>
      <c r="GM41" s="49" t="n"/>
      <c r="GN41" s="49" t="n"/>
      <c r="GO41" s="49" t="n"/>
      <c r="GP41" s="49" t="n"/>
      <c r="GQ41" s="49" t="n"/>
      <c r="GR41" s="49" t="n"/>
      <c r="GS41" s="49" t="n"/>
      <c r="GT41" s="49" t="n"/>
      <c r="GU41" s="49" t="n"/>
      <c r="GV41" s="49" t="n"/>
      <c r="GW41" s="49" t="n"/>
      <c r="GX41" s="49" t="n"/>
      <c r="GY41" s="49" t="n"/>
      <c r="GZ41" s="49" t="n"/>
      <c r="HA41" s="49" t="n"/>
      <c r="HB41" s="49" t="n"/>
      <c r="HC41" s="49" t="n"/>
      <c r="HD41" s="49" t="n"/>
      <c r="HE41" s="49" t="n"/>
      <c r="HF41" s="49" t="n"/>
      <c r="HG41" s="49" t="n"/>
      <c r="HH41" s="49" t="n"/>
      <c r="HI41" s="49" t="n"/>
      <c r="HJ41" s="49" t="n"/>
      <c r="HK41" s="49" t="n"/>
      <c r="HL41" s="49" t="n"/>
      <c r="HM41" s="49" t="n"/>
      <c r="HN41" s="49" t="n"/>
      <c r="HO41" s="49" t="n"/>
      <c r="HP41" s="49" t="n"/>
      <c r="HQ41" s="49" t="n"/>
      <c r="HR41" s="49" t="n"/>
      <c r="HS41" s="49" t="n"/>
      <c r="HT41" s="49" t="n"/>
      <c r="HU41" s="49" t="n"/>
      <c r="HV41" s="49" t="n"/>
      <c r="HW41" s="49" t="n"/>
      <c r="HX41" s="49" t="n"/>
      <c r="HY41" s="49" t="n"/>
      <c r="HZ41" s="49" t="n"/>
      <c r="IA41" s="49" t="n"/>
      <c r="IB41" s="49" t="n"/>
      <c r="IC41" s="49" t="n"/>
      <c r="ID41" s="49" t="n"/>
      <c r="IE41" s="49" t="n"/>
      <c r="IF41" s="49" t="n"/>
      <c r="IG41" s="49" t="n"/>
      <c r="IH41" s="49" t="n"/>
      <c r="II41" s="49" t="n"/>
      <c r="IJ41" s="49" t="n"/>
      <c r="IK41" s="49" t="n"/>
      <c r="IL41" s="49" t="n"/>
      <c r="IM41" s="49" t="n"/>
      <c r="IN41" s="49" t="n"/>
      <c r="IO41" s="49" t="n"/>
      <c r="IP41" s="49" t="n"/>
      <c r="IQ41" s="49" t="n"/>
      <c r="IR41" s="49" t="n"/>
      <c r="IS41" s="49" t="n"/>
    </row>
    <row r="42">
      <c r="A42" s="349" t="inlineStr">
        <is>
          <t>TAG CRIANÇAS PANTERA NE</t>
        </is>
      </c>
      <c r="B42" s="350" t="n"/>
      <c r="C42" s="115" t="n">
        <v>100</v>
      </c>
      <c r="E42" s="53" t="n"/>
      <c r="AI42" s="6" t="n"/>
      <c r="AJ42" s="6" t="n"/>
      <c r="AK42" s="6" t="n"/>
      <c r="AL42" s="6" t="n"/>
      <c r="AO42" s="6" t="n"/>
      <c r="AP42" s="6" t="n"/>
      <c r="AQ42" s="6" t="n"/>
      <c r="AR42" s="6" t="n"/>
      <c r="AS42" s="6" t="n"/>
      <c r="AT42" s="53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6" t="n"/>
      <c r="BF42" s="6" t="n"/>
      <c r="BG42" s="6" t="n"/>
      <c r="BH42" s="6" t="n"/>
      <c r="BI42" s="49" t="n"/>
      <c r="BK42" s="6" t="n"/>
      <c r="BL42" s="53" t="n"/>
      <c r="BM42" s="53" t="n"/>
      <c r="BN42" s="53" t="n"/>
      <c r="BO42" s="53" t="n"/>
      <c r="BP42" s="53" t="n"/>
      <c r="BQ42" s="53" t="n"/>
      <c r="BR42" s="53" t="n"/>
      <c r="BS42" s="53" t="n"/>
      <c r="BT42" s="53" t="n"/>
      <c r="BU42" s="53" t="n"/>
      <c r="BV42" s="53" t="n"/>
      <c r="BW42" s="53" t="n"/>
      <c r="BX42" s="53" t="n"/>
      <c r="BY42" s="53" t="n"/>
      <c r="BZ42" s="53" t="n"/>
      <c r="CA42" s="53" t="n"/>
      <c r="CU42" s="49" t="n"/>
      <c r="CV42" s="49" t="n"/>
      <c r="CW42" s="49" t="n"/>
      <c r="CX42" s="49" t="n"/>
      <c r="CY42" s="49" t="n"/>
      <c r="CZ42" s="49" t="n"/>
      <c r="DA42" s="49" t="n"/>
      <c r="DB42" s="49" t="n"/>
      <c r="DC42" s="49" t="n"/>
      <c r="DD42" s="49" t="n"/>
      <c r="DE42" s="49" t="n"/>
      <c r="DG42" s="49" t="n"/>
      <c r="DH42" s="49" t="n"/>
      <c r="DI42" s="49" t="n"/>
      <c r="DJ42" s="49" t="n"/>
      <c r="DK42" s="49" t="n"/>
      <c r="DL42" s="49" t="n"/>
      <c r="DM42" s="49" t="n"/>
      <c r="DN42" s="49" t="n"/>
      <c r="DO42" s="49" t="n"/>
      <c r="DP42" s="49" t="n"/>
      <c r="DQ42" s="49" t="n"/>
      <c r="DR42" s="49" t="n"/>
      <c r="DS42" s="49" t="n"/>
      <c r="DT42" s="49" t="n"/>
      <c r="DU42" s="49" t="n"/>
      <c r="DW42" s="49" t="n"/>
      <c r="DX42" s="49" t="n"/>
      <c r="DZ42" s="49" t="n"/>
      <c r="EB42" s="49" t="n"/>
      <c r="EC42" s="49" t="n"/>
      <c r="ED42" s="49" t="n"/>
      <c r="EE42" s="49" t="n"/>
      <c r="EF42" s="49" t="n"/>
      <c r="EG42" s="49" t="n"/>
      <c r="EH42" s="49" t="n"/>
      <c r="EI42" s="49" t="n"/>
      <c r="EJ42" s="49" t="n"/>
      <c r="EK42" s="49" t="n"/>
      <c r="EL42" s="49" t="n"/>
      <c r="EM42" s="49" t="n"/>
      <c r="EN42" s="49" t="n"/>
      <c r="EO42" s="49" t="n"/>
      <c r="EP42" s="49" t="n"/>
      <c r="EQ42" s="49" t="n"/>
      <c r="ER42" s="49" t="n"/>
      <c r="ES42" s="49" t="n"/>
      <c r="ET42" s="49" t="n"/>
      <c r="EU42" s="49" t="n"/>
      <c r="EV42" s="49" t="n"/>
      <c r="EW42" s="49" t="n"/>
      <c r="EX42" s="49" t="n"/>
      <c r="EY42" s="49" t="n"/>
      <c r="EZ42" s="49" t="n"/>
      <c r="FA42" s="49" t="n"/>
      <c r="FB42" s="49" t="n"/>
      <c r="FC42" s="49" t="n"/>
      <c r="FD42" s="49" t="n"/>
      <c r="FE42" s="49" t="n"/>
      <c r="FF42" s="49" t="n"/>
      <c r="FG42" s="49" t="n"/>
      <c r="FH42" s="49" t="n"/>
      <c r="FI42" s="49" t="n"/>
      <c r="FJ42" s="49" t="n"/>
      <c r="FK42" s="49" t="n"/>
      <c r="FL42" s="49" t="n"/>
      <c r="FM42" s="49" t="n"/>
      <c r="FN42" s="49" t="n"/>
      <c r="FO42" s="49" t="n"/>
      <c r="FP42" s="49" t="n"/>
      <c r="FQ42" s="49" t="n"/>
      <c r="FR42" s="49" t="n"/>
      <c r="FS42" s="49" t="n"/>
      <c r="FT42" s="49" t="n"/>
      <c r="FU42" s="49" t="n"/>
      <c r="FV42" s="49" t="n"/>
      <c r="FW42" s="49" t="n"/>
      <c r="FX42" s="49" t="n"/>
      <c r="FY42" s="49" t="n"/>
      <c r="FZ42" s="168" t="n"/>
      <c r="GA42" s="49" t="n"/>
      <c r="GB42" s="49" t="n"/>
      <c r="GC42" s="49" t="n"/>
      <c r="GD42" s="49" t="n"/>
      <c r="GE42" s="49" t="n"/>
      <c r="GF42" s="49" t="n"/>
      <c r="GG42" s="49" t="n"/>
      <c r="GH42" s="49" t="n"/>
      <c r="GI42" s="49" t="n"/>
      <c r="GJ42" s="49" t="n"/>
      <c r="GK42" s="49" t="n"/>
      <c r="GL42" s="49" t="n"/>
      <c r="GM42" s="49" t="n"/>
      <c r="GN42" s="49" t="n"/>
      <c r="GO42" s="49" t="n"/>
      <c r="GP42" s="49" t="n"/>
      <c r="GQ42" s="49" t="n"/>
      <c r="GR42" s="49" t="n"/>
      <c r="GS42" s="49" t="n"/>
      <c r="GT42" s="49" t="n"/>
      <c r="GU42" s="49" t="n"/>
      <c r="GV42" s="49" t="n"/>
      <c r="GW42" s="49" t="n"/>
      <c r="GX42" s="49" t="n"/>
      <c r="GY42" s="49" t="n"/>
      <c r="GZ42" s="49" t="n"/>
      <c r="HA42" s="49" t="n"/>
      <c r="HB42" s="49" t="n"/>
      <c r="HC42" s="49" t="n"/>
      <c r="HD42" s="49" t="n"/>
      <c r="HE42" s="49" t="n"/>
      <c r="HF42" s="49" t="n"/>
      <c r="HG42" s="49" t="n"/>
      <c r="HH42" s="49" t="n"/>
      <c r="HI42" s="49" t="n"/>
      <c r="HJ42" s="49" t="n"/>
      <c r="HK42" s="49" t="n"/>
      <c r="HL42" s="49" t="n"/>
      <c r="HM42" s="49" t="n"/>
      <c r="HN42" s="49" t="n"/>
      <c r="HO42" s="49" t="n"/>
      <c r="HP42" s="49" t="n"/>
      <c r="HQ42" s="49" t="n"/>
      <c r="HR42" s="49" t="n"/>
      <c r="HS42" s="49" t="n"/>
      <c r="HT42" s="49" t="n"/>
      <c r="HU42" s="49" t="n"/>
      <c r="HV42" s="49" t="n"/>
      <c r="HW42" s="49" t="n"/>
      <c r="HX42" s="49" t="n"/>
      <c r="HY42" s="49" t="n"/>
      <c r="HZ42" s="49" t="n"/>
      <c r="IA42" s="49" t="n"/>
      <c r="IB42" s="49" t="n"/>
      <c r="IC42" s="49" t="n"/>
      <c r="ID42" s="49" t="n"/>
      <c r="IE42" s="49" t="n"/>
      <c r="IF42" s="49" t="n"/>
      <c r="IG42" s="49" t="n"/>
      <c r="IH42" s="49" t="n"/>
      <c r="II42" s="49" t="n"/>
      <c r="IJ42" s="49" t="n"/>
      <c r="IK42" s="49" t="n"/>
      <c r="IL42" s="49" t="n"/>
      <c r="IM42" s="49" t="n"/>
      <c r="IN42" s="49" t="n"/>
      <c r="IO42" s="49" t="n"/>
      <c r="IP42" s="49" t="n"/>
      <c r="IQ42" s="49" t="n"/>
      <c r="IR42" s="49" t="n"/>
      <c r="IS42" s="49" t="n"/>
    </row>
    <row r="43">
      <c r="A43" s="348" t="n"/>
      <c r="B43" s="348" t="n"/>
      <c r="C43" s="348" t="n"/>
      <c r="E43" s="53" t="n"/>
      <c r="AI43" s="6" t="n"/>
      <c r="AJ43" s="6" t="n"/>
      <c r="AK43" s="6" t="n"/>
      <c r="AL43" s="6" t="n"/>
      <c r="AO43" s="6" t="n"/>
      <c r="AP43" s="6" t="n"/>
      <c r="AQ43" s="6" t="n"/>
      <c r="AR43" s="6" t="n"/>
      <c r="AS43" s="6" t="n"/>
      <c r="AT43" s="53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6" t="n"/>
      <c r="BF43" s="6" t="n"/>
      <c r="BG43" s="6" t="n"/>
      <c r="BH43" s="6" t="n"/>
      <c r="BI43" s="49" t="n"/>
      <c r="BK43" s="6" t="n"/>
      <c r="BL43" s="53" t="n"/>
      <c r="BM43" s="53" t="n"/>
      <c r="BN43" s="53" t="n"/>
      <c r="BO43" s="53" t="n"/>
      <c r="BP43" s="53" t="n"/>
      <c r="BQ43" s="53" t="n"/>
      <c r="BR43" s="53" t="n"/>
      <c r="BS43" s="53" t="n"/>
      <c r="BT43" s="53" t="n"/>
      <c r="BU43" s="53" t="n"/>
      <c r="BV43" s="53" t="n"/>
      <c r="BW43" s="53" t="n"/>
      <c r="BX43" s="53" t="n"/>
      <c r="BY43" s="53" t="n"/>
      <c r="BZ43" s="53" t="n"/>
      <c r="CA43" s="53" t="n"/>
      <c r="CU43" s="49" t="n"/>
      <c r="CV43" s="49" t="n"/>
      <c r="CW43" s="49" t="n"/>
      <c r="CX43" s="49" t="n"/>
      <c r="CY43" s="49" t="n"/>
      <c r="CZ43" s="49" t="n"/>
      <c r="DA43" s="49" t="n"/>
      <c r="DB43" s="49" t="n"/>
      <c r="DC43" s="49" t="n"/>
      <c r="DD43" s="49" t="n"/>
      <c r="DE43" s="49" t="n"/>
      <c r="DG43" s="49" t="n"/>
      <c r="DH43" s="49" t="n"/>
      <c r="DI43" s="49" t="n"/>
      <c r="DJ43" s="49" t="n"/>
      <c r="DK43" s="49" t="n"/>
      <c r="DL43" s="49" t="n"/>
      <c r="DM43" s="49" t="n"/>
      <c r="DN43" s="49" t="n"/>
      <c r="DO43" s="49" t="n"/>
      <c r="DP43" s="49" t="n"/>
      <c r="DQ43" s="49" t="n"/>
      <c r="DR43" s="49" t="n"/>
      <c r="DS43" s="49" t="n"/>
      <c r="DT43" s="49" t="n"/>
      <c r="DU43" s="49" t="n"/>
      <c r="DW43" s="49" t="n"/>
      <c r="DX43" s="49" t="n"/>
      <c r="DZ43" s="49" t="n"/>
      <c r="EB43" s="49" t="n"/>
      <c r="EC43" s="49" t="n"/>
      <c r="ED43" s="49" t="n"/>
      <c r="EE43" s="49" t="n"/>
      <c r="EF43" s="49" t="n"/>
      <c r="EG43" s="49" t="n"/>
      <c r="EH43" s="49" t="n"/>
      <c r="EI43" s="49" t="n"/>
      <c r="EJ43" s="49" t="n"/>
      <c r="EK43" s="49" t="n"/>
      <c r="EL43" s="49" t="n"/>
      <c r="EM43" s="49" t="n"/>
      <c r="EN43" s="49" t="n"/>
      <c r="EO43" s="49" t="n"/>
      <c r="EP43" s="49" t="n"/>
      <c r="EQ43" s="49" t="n"/>
      <c r="ER43" s="49" t="n"/>
      <c r="ES43" s="49" t="n"/>
      <c r="ET43" s="49" t="n"/>
      <c r="EU43" s="49" t="n"/>
      <c r="EV43" s="49" t="n"/>
      <c r="EW43" s="49" t="n"/>
      <c r="EX43" s="49" t="n"/>
      <c r="EY43" s="49" t="n"/>
      <c r="EZ43" s="49" t="n"/>
      <c r="FA43" s="49" t="n"/>
      <c r="FB43" s="49" t="n"/>
      <c r="FC43" s="49" t="n"/>
      <c r="FD43" s="49" t="n"/>
      <c r="FE43" s="49" t="n"/>
      <c r="FF43" s="49" t="n"/>
      <c r="FG43" s="49" t="n"/>
      <c r="FH43" s="49" t="n"/>
      <c r="FI43" s="49" t="n"/>
      <c r="FJ43" s="49" t="n"/>
      <c r="FK43" s="49" t="n"/>
      <c r="FL43" s="49" t="n"/>
      <c r="FM43" s="49" t="n"/>
      <c r="FN43" s="49" t="n"/>
      <c r="FO43" s="49" t="n"/>
      <c r="FP43" s="49" t="n"/>
      <c r="FQ43" s="49" t="n"/>
      <c r="FR43" s="49" t="n"/>
      <c r="FS43" s="49" t="n"/>
      <c r="FT43" s="49" t="n"/>
      <c r="FU43" s="49" t="n"/>
      <c r="FV43" s="49" t="n"/>
      <c r="FW43" s="49" t="n"/>
      <c r="FX43" s="49" t="n"/>
      <c r="FY43" s="49" t="n"/>
      <c r="FZ43" s="168" t="n"/>
      <c r="GA43" s="49" t="n"/>
      <c r="GB43" s="49" t="n"/>
      <c r="GC43" s="49" t="n"/>
      <c r="GD43" s="49" t="n"/>
      <c r="GE43" s="49" t="n"/>
      <c r="GF43" s="49" t="n"/>
      <c r="GG43" s="49" t="n"/>
      <c r="GH43" s="49" t="n"/>
      <c r="GI43" s="49" t="n"/>
      <c r="GJ43" s="49" t="n"/>
      <c r="GK43" s="49" t="n"/>
      <c r="GL43" s="49" t="n"/>
      <c r="GM43" s="49" t="n"/>
      <c r="GN43" s="49" t="n"/>
      <c r="GO43" s="49" t="n"/>
      <c r="GP43" s="49" t="n"/>
      <c r="GQ43" s="49" t="n"/>
      <c r="GR43" s="49" t="n"/>
      <c r="GS43" s="49" t="n"/>
      <c r="GT43" s="49" t="n"/>
      <c r="GU43" s="49" t="n"/>
      <c r="GV43" s="49" t="n"/>
      <c r="GW43" s="49" t="n"/>
      <c r="GX43" s="49" t="n"/>
      <c r="GY43" s="49" t="n"/>
      <c r="GZ43" s="49" t="n"/>
      <c r="HA43" s="49" t="n"/>
      <c r="HB43" s="49" t="n"/>
      <c r="HC43" s="49" t="n"/>
      <c r="HD43" s="49" t="n"/>
      <c r="HE43" s="49" t="n"/>
      <c r="HF43" s="49" t="n"/>
      <c r="HG43" s="49" t="n"/>
      <c r="HH43" s="49" t="n"/>
      <c r="HI43" s="49" t="n"/>
      <c r="HJ43" s="49" t="n"/>
      <c r="HK43" s="49" t="n"/>
      <c r="HL43" s="49" t="n"/>
      <c r="HM43" s="49" t="n"/>
      <c r="HN43" s="49" t="n"/>
      <c r="HO43" s="49" t="n"/>
      <c r="HP43" s="49" t="n"/>
      <c r="HQ43" s="49" t="n"/>
      <c r="HR43" s="49" t="n"/>
      <c r="HS43" s="49" t="n"/>
      <c r="HT43" s="49" t="n"/>
      <c r="HU43" s="49" t="n"/>
      <c r="HV43" s="49" t="n"/>
      <c r="HW43" s="49" t="n"/>
      <c r="HX43" s="49" t="n"/>
      <c r="HY43" s="49" t="n"/>
      <c r="HZ43" s="49" t="n"/>
      <c r="IA43" s="49" t="n"/>
      <c r="IB43" s="49" t="n"/>
      <c r="IC43" s="49" t="n"/>
      <c r="ID43" s="49" t="n"/>
      <c r="IE43" s="49" t="n"/>
      <c r="IF43" s="49" t="n"/>
      <c r="IG43" s="49" t="n"/>
      <c r="IH43" s="49" t="n"/>
      <c r="II43" s="49" t="n"/>
      <c r="IJ43" s="49" t="n"/>
      <c r="IK43" s="49" t="n"/>
      <c r="IL43" s="49" t="n"/>
      <c r="IM43" s="49" t="n"/>
      <c r="IN43" s="49" t="n"/>
      <c r="IO43" s="49" t="n"/>
      <c r="IP43" s="49" t="n"/>
      <c r="IQ43" s="49" t="n"/>
      <c r="IR43" s="49" t="n"/>
      <c r="IS43" s="49" t="n"/>
    </row>
    <row r="44">
      <c r="A44" s="349" t="inlineStr">
        <is>
          <t>CINTA M DOURADA</t>
        </is>
      </c>
      <c r="B44" s="350" t="n"/>
      <c r="C44" s="115" t="n">
        <v>200</v>
      </c>
      <c r="AI44" s="6" t="n"/>
      <c r="AJ44" s="6" t="n"/>
      <c r="AK44" s="6" t="n"/>
      <c r="AL44" s="6" t="n"/>
      <c r="AO44" s="6" t="n"/>
      <c r="AP44" s="6" t="n"/>
      <c r="AQ44" s="6" t="n"/>
      <c r="AR44" s="6" t="n"/>
      <c r="AS44" s="6" t="n"/>
      <c r="AT44" s="53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6" t="n"/>
      <c r="BF44" s="6" t="n"/>
      <c r="BG44" s="6" t="n"/>
      <c r="BH44" s="6" t="n"/>
      <c r="BI44" s="49" t="n"/>
      <c r="BK44" s="6" t="n"/>
      <c r="BL44" s="53" t="n"/>
      <c r="BM44" s="53" t="n"/>
      <c r="BN44" s="53" t="n"/>
      <c r="BO44" s="53" t="n"/>
      <c r="BP44" s="53" t="n"/>
      <c r="BQ44" s="53" t="n"/>
      <c r="BR44" s="53" t="n"/>
      <c r="BS44" s="53" t="n"/>
      <c r="BT44" s="53" t="n"/>
      <c r="BU44" s="53" t="n"/>
      <c r="BV44" s="53" t="n"/>
      <c r="BW44" s="53" t="n"/>
      <c r="BX44" s="53" t="n"/>
      <c r="BY44" s="53" t="n"/>
      <c r="BZ44" s="53" t="n"/>
      <c r="CA44" s="53" t="n"/>
      <c r="CU44" s="49" t="n"/>
      <c r="CV44" s="49" t="n"/>
      <c r="CW44" s="49" t="n"/>
      <c r="CX44" s="49" t="n"/>
      <c r="CY44" s="49" t="n"/>
      <c r="CZ44" s="49" t="n"/>
      <c r="DA44" s="49" t="n"/>
      <c r="DB44" s="49" t="n"/>
      <c r="DC44" s="49" t="n"/>
      <c r="DD44" s="49" t="n"/>
      <c r="DE44" s="49" t="n"/>
      <c r="DG44" s="49" t="n"/>
      <c r="DH44" s="49" t="n"/>
      <c r="DI44" s="49" t="n"/>
      <c r="DJ44" s="49" t="n"/>
      <c r="DK44" s="49" t="n"/>
      <c r="DL44" s="49" t="n"/>
      <c r="DM44" s="49" t="n"/>
      <c r="DN44" s="49" t="n"/>
      <c r="DO44" s="49" t="n"/>
      <c r="DP44" s="49" t="n"/>
      <c r="DQ44" s="49" t="n"/>
      <c r="DR44" s="49" t="n"/>
      <c r="DS44" s="49" t="n"/>
      <c r="DT44" s="49" t="n"/>
      <c r="DU44" s="49" t="n"/>
      <c r="DW44" s="49" t="n"/>
      <c r="DX44" s="49" t="n"/>
      <c r="DZ44" s="49" t="n"/>
      <c r="EB44" s="49" t="n"/>
      <c r="EC44" s="49" t="n"/>
      <c r="ED44" s="49" t="n"/>
      <c r="EE44" s="49" t="n"/>
      <c r="EF44" s="49" t="n"/>
      <c r="EG44" s="49" t="n"/>
      <c r="EH44" s="49" t="n"/>
      <c r="EI44" s="49" t="n"/>
      <c r="EJ44" s="49" t="n"/>
      <c r="EK44" s="49" t="n"/>
      <c r="EL44" s="49" t="n"/>
      <c r="EM44" s="49" t="n"/>
      <c r="EN44" s="49" t="n"/>
      <c r="EO44" s="49" t="n"/>
      <c r="EP44" s="49" t="n"/>
      <c r="EQ44" s="49" t="n"/>
      <c r="ER44" s="49" t="n"/>
      <c r="ES44" s="49" t="n"/>
      <c r="ET44" s="49" t="n"/>
      <c r="EU44" s="49" t="n"/>
      <c r="EV44" s="49" t="n"/>
      <c r="EW44" s="49" t="n"/>
      <c r="EX44" s="49" t="n"/>
      <c r="EY44" s="49" t="n"/>
      <c r="EZ44" s="49" t="n"/>
      <c r="FA44" s="49" t="n"/>
      <c r="FB44" s="49" t="n"/>
      <c r="FC44" s="49" t="n"/>
      <c r="FD44" s="49" t="n"/>
      <c r="FE44" s="49" t="n"/>
      <c r="FF44" s="49" t="n"/>
      <c r="FG44" s="49" t="n"/>
      <c r="FH44" s="49" t="n"/>
      <c r="FI44" s="49" t="n"/>
      <c r="FJ44" s="49" t="n"/>
      <c r="FK44" s="49" t="n"/>
      <c r="FL44" s="49" t="n"/>
      <c r="FM44" s="49" t="n"/>
      <c r="FN44" s="49" t="n"/>
      <c r="FO44" s="49" t="n"/>
      <c r="FP44" s="49" t="n"/>
      <c r="FQ44" s="49" t="n"/>
      <c r="FR44" s="49" t="n"/>
      <c r="FS44" s="49" t="n"/>
      <c r="FT44" s="49" t="n"/>
      <c r="FU44" s="49" t="n"/>
      <c r="FV44" s="49" t="n"/>
      <c r="FW44" s="49" t="n"/>
      <c r="FX44" s="49" t="n"/>
      <c r="FY44" s="49" t="n"/>
      <c r="FZ44" s="168" t="n"/>
      <c r="GA44" s="49" t="n"/>
      <c r="GB44" s="49" t="n"/>
      <c r="GC44" s="49" t="n"/>
      <c r="GD44" s="49" t="n"/>
      <c r="GE44" s="49" t="n"/>
      <c r="GF44" s="49" t="n"/>
      <c r="GG44" s="49" t="n"/>
      <c r="GH44" s="49" t="n"/>
      <c r="GI44" s="49" t="n"/>
      <c r="GJ44" s="49" t="n"/>
      <c r="GK44" s="49" t="n"/>
      <c r="GL44" s="49" t="n"/>
      <c r="GM44" s="49" t="n"/>
      <c r="GN44" s="49" t="n"/>
      <c r="GO44" s="49" t="n"/>
      <c r="GP44" s="49" t="n"/>
      <c r="GQ44" s="49" t="n"/>
      <c r="GR44" s="49" t="n"/>
      <c r="GS44" s="49" t="n"/>
      <c r="GT44" s="49" t="n"/>
      <c r="GU44" s="49" t="n"/>
      <c r="GV44" s="49" t="n"/>
      <c r="GW44" s="49" t="n"/>
      <c r="GX44" s="49" t="n"/>
      <c r="GY44" s="49" t="n"/>
      <c r="GZ44" s="49" t="n"/>
      <c r="HA44" s="49" t="n"/>
      <c r="HB44" s="49" t="n"/>
      <c r="HC44" s="49" t="n"/>
      <c r="HD44" s="49" t="n"/>
      <c r="HE44" s="49" t="n"/>
      <c r="HF44" s="49" t="n"/>
      <c r="HG44" s="49" t="n"/>
      <c r="HH44" s="49" t="n"/>
      <c r="HI44" s="49" t="n"/>
      <c r="HJ44" s="49" t="n"/>
      <c r="HK44" s="49" t="n"/>
      <c r="HL44" s="49" t="n"/>
      <c r="HM44" s="49" t="n"/>
      <c r="HN44" s="49" t="n"/>
      <c r="HO44" s="49" t="n"/>
      <c r="HP44" s="49" t="n"/>
      <c r="HQ44" s="49" t="n"/>
      <c r="HR44" s="49" t="n"/>
      <c r="HS44" s="49" t="n"/>
      <c r="HT44" s="49" t="n"/>
      <c r="HU44" s="49" t="n"/>
      <c r="HV44" s="49" t="n"/>
      <c r="HW44" s="49" t="n"/>
      <c r="HX44" s="49" t="n"/>
      <c r="HY44" s="49" t="n"/>
      <c r="HZ44" s="49" t="n"/>
      <c r="IA44" s="49" t="n"/>
      <c r="IB44" s="49" t="n"/>
      <c r="IC44" s="49" t="n"/>
      <c r="ID44" s="49" t="n"/>
      <c r="IE44" s="49" t="n"/>
      <c r="IF44" s="49" t="n"/>
      <c r="IG44" s="49" t="n"/>
      <c r="IH44" s="49" t="n"/>
      <c r="II44" s="49" t="n"/>
      <c r="IJ44" s="49" t="n"/>
      <c r="IK44" s="49" t="n"/>
      <c r="IL44" s="49" t="n"/>
      <c r="IM44" s="49" t="n"/>
      <c r="IN44" s="49" t="n"/>
      <c r="IO44" s="49" t="n"/>
      <c r="IP44" s="49" t="n"/>
      <c r="IQ44" s="49" t="n"/>
      <c r="IR44" s="49" t="n"/>
      <c r="IS44" s="49" t="n"/>
    </row>
    <row r="45">
      <c r="A45" s="348" t="n"/>
      <c r="B45" s="348" t="n"/>
      <c r="C45" s="348" t="n"/>
      <c r="AI45" s="6" t="n"/>
      <c r="AJ45" s="6" t="n"/>
      <c r="AK45" s="6" t="n"/>
      <c r="AL45" s="6" t="n"/>
      <c r="AO45" s="6" t="n"/>
      <c r="AP45" s="6" t="n"/>
      <c r="AQ45" s="6" t="n"/>
      <c r="AR45" s="6" t="n"/>
      <c r="AS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6" t="n"/>
      <c r="BF45" s="6" t="n"/>
      <c r="BG45" s="6" t="n"/>
      <c r="BH45" s="6" t="n"/>
      <c r="BI45" s="49" t="n"/>
      <c r="BK45" s="6" t="n"/>
      <c r="CU45" s="49" t="n"/>
      <c r="CV45" s="49" t="n"/>
      <c r="CW45" s="49" t="n"/>
      <c r="CX45" s="49" t="n"/>
      <c r="CY45" s="49" t="n"/>
      <c r="CZ45" s="49" t="n"/>
      <c r="DA45" s="49" t="n"/>
      <c r="DB45" s="49" t="n"/>
      <c r="DC45" s="49" t="n"/>
      <c r="DD45" s="49" t="n"/>
      <c r="DE45" s="49" t="n"/>
      <c r="DG45" s="49" t="n"/>
      <c r="DH45" s="49" t="n"/>
      <c r="DI45" s="49" t="n"/>
      <c r="DJ45" s="49" t="n"/>
      <c r="DK45" s="49" t="n"/>
      <c r="DL45" s="49" t="n"/>
      <c r="DM45" s="49" t="n"/>
      <c r="DN45" s="49" t="n"/>
      <c r="DO45" s="49" t="n"/>
      <c r="DP45" s="49" t="n"/>
      <c r="DQ45" s="49" t="n"/>
      <c r="DR45" s="49" t="n"/>
      <c r="DS45" s="49" t="n"/>
      <c r="DT45" s="49" t="n"/>
      <c r="DU45" s="49" t="n"/>
      <c r="DW45" s="49" t="n"/>
      <c r="DX45" s="49" t="n"/>
      <c r="DZ45" s="49" t="n"/>
      <c r="EB45" s="49" t="n"/>
      <c r="EC45" s="49" t="n"/>
      <c r="ED45" s="49" t="n"/>
      <c r="EE45" s="49" t="n"/>
      <c r="EF45" s="49" t="n"/>
      <c r="EG45" s="49" t="n"/>
      <c r="EH45" s="49" t="n"/>
      <c r="EI45" s="49" t="n"/>
      <c r="EJ45" s="49" t="n"/>
      <c r="EK45" s="49" t="n"/>
      <c r="EL45" s="49" t="n"/>
      <c r="EM45" s="49" t="n"/>
      <c r="EN45" s="49" t="n"/>
      <c r="EO45" s="49" t="n"/>
      <c r="EP45" s="49" t="n"/>
      <c r="EQ45" s="49" t="n"/>
      <c r="ER45" s="49" t="n"/>
      <c r="ES45" s="49" t="n"/>
      <c r="ET45" s="49" t="n"/>
      <c r="EU45" s="49" t="n"/>
      <c r="EV45" s="49" t="n"/>
      <c r="EW45" s="49" t="n"/>
      <c r="EX45" s="49" t="n"/>
      <c r="EY45" s="49" t="n"/>
      <c r="EZ45" s="49" t="n"/>
      <c r="FA45" s="49" t="n"/>
      <c r="FB45" s="49" t="n"/>
      <c r="FC45" s="49" t="n"/>
      <c r="FD45" s="49" t="n"/>
      <c r="FE45" s="49" t="n"/>
      <c r="FF45" s="49" t="n"/>
      <c r="FG45" s="49" t="n"/>
      <c r="FH45" s="49" t="n"/>
      <c r="FI45" s="49" t="n"/>
      <c r="FJ45" s="49" t="n"/>
      <c r="FK45" s="49" t="n"/>
      <c r="FL45" s="49" t="n"/>
      <c r="FM45" s="49" t="n"/>
      <c r="FN45" s="49" t="n"/>
      <c r="FO45" s="49" t="n"/>
      <c r="FP45" s="49" t="n"/>
      <c r="FQ45" s="49" t="n"/>
      <c r="FR45" s="49" t="n"/>
      <c r="FS45" s="49" t="n"/>
      <c r="FT45" s="49" t="n"/>
      <c r="FU45" s="49" t="n"/>
      <c r="FV45" s="49" t="n"/>
      <c r="FW45" s="49" t="n"/>
      <c r="FX45" s="49" t="n"/>
      <c r="FY45" s="49" t="n"/>
      <c r="FZ45" s="168" t="n"/>
      <c r="GA45" s="49" t="n"/>
      <c r="GB45" s="49" t="n"/>
      <c r="GC45" s="49" t="n"/>
      <c r="GD45" s="49" t="n"/>
      <c r="GE45" s="49" t="n"/>
      <c r="GF45" s="49" t="n"/>
      <c r="GG45" s="49" t="n"/>
      <c r="GH45" s="49" t="n"/>
      <c r="GI45" s="49" t="n"/>
      <c r="GJ45" s="49" t="n"/>
      <c r="GK45" s="49" t="n"/>
      <c r="GL45" s="49" t="n"/>
      <c r="GM45" s="49" t="n"/>
      <c r="GN45" s="49" t="n"/>
      <c r="GO45" s="49" t="n"/>
      <c r="GP45" s="49" t="n"/>
      <c r="GQ45" s="49" t="n"/>
      <c r="GR45" s="49" t="n"/>
      <c r="GS45" s="49" t="n"/>
      <c r="GT45" s="49" t="n"/>
      <c r="GU45" s="49" t="n"/>
      <c r="GV45" s="49" t="n"/>
      <c r="GW45" s="49" t="n"/>
      <c r="GX45" s="49" t="n"/>
      <c r="GY45" s="49" t="n"/>
      <c r="GZ45" s="49" t="n"/>
      <c r="HA45" s="49" t="n"/>
      <c r="HB45" s="49" t="n"/>
      <c r="HC45" s="49" t="n"/>
      <c r="HD45" s="49" t="n"/>
      <c r="HE45" s="49" t="n"/>
      <c r="HF45" s="49" t="n"/>
      <c r="HG45" s="49" t="n"/>
      <c r="HH45" s="49" t="n"/>
      <c r="HI45" s="49" t="n"/>
      <c r="HJ45" s="49" t="n"/>
      <c r="HK45" s="49" t="n"/>
      <c r="HL45" s="49" t="n"/>
      <c r="HM45" s="49" t="n"/>
      <c r="HN45" s="49" t="n"/>
      <c r="HO45" s="49" t="n"/>
      <c r="HP45" s="49" t="n"/>
      <c r="HQ45" s="49" t="n"/>
      <c r="HR45" s="49" t="n"/>
      <c r="HS45" s="49" t="n"/>
      <c r="HT45" s="49" t="n"/>
      <c r="HU45" s="49" t="n"/>
      <c r="HV45" s="49" t="n"/>
      <c r="HW45" s="49" t="n"/>
      <c r="HX45" s="49" t="n"/>
      <c r="HY45" s="49" t="n"/>
      <c r="HZ45" s="49" t="n"/>
      <c r="IA45" s="49" t="n"/>
      <c r="IB45" s="49" t="n"/>
      <c r="IC45" s="49" t="n"/>
      <c r="ID45" s="49" t="n"/>
      <c r="IE45" s="49" t="n"/>
      <c r="IF45" s="49" t="n"/>
      <c r="IG45" s="49" t="n"/>
      <c r="IH45" s="49" t="n"/>
      <c r="II45" s="49" t="n"/>
      <c r="IJ45" s="49" t="n"/>
      <c r="IK45" s="49" t="n"/>
      <c r="IL45" s="49" t="n"/>
      <c r="IM45" s="49" t="n"/>
      <c r="IN45" s="49" t="n"/>
      <c r="IO45" s="49" t="n"/>
      <c r="IP45" s="49" t="n"/>
      <c r="IQ45" s="49" t="n"/>
      <c r="IR45" s="49" t="n"/>
      <c r="IS45" s="49" t="n"/>
    </row>
    <row r="46">
      <c r="A46" s="351" t="inlineStr">
        <is>
          <t>TAG NAMORADOS/24</t>
        </is>
      </c>
      <c r="B46" s="350" t="n"/>
      <c r="C46" s="115" t="n">
        <v>140</v>
      </c>
      <c r="AI46" s="6" t="n"/>
      <c r="AJ46" s="6" t="n"/>
      <c r="AK46" s="6" t="n"/>
      <c r="AL46" s="6" t="n"/>
      <c r="AO46" s="6" t="n"/>
      <c r="AP46" s="6" t="n"/>
      <c r="AQ46" s="6" t="n"/>
      <c r="AR46" s="6" t="n"/>
      <c r="AS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6" t="n"/>
      <c r="BF46" s="6" t="n"/>
      <c r="BG46" s="6" t="n"/>
      <c r="BH46" s="6" t="n"/>
      <c r="BI46" s="49" t="n"/>
      <c r="BK46" s="6" t="n"/>
      <c r="CU46" s="49" t="n"/>
      <c r="CV46" s="49" t="n"/>
      <c r="CW46" s="49" t="n"/>
      <c r="CX46" s="49" t="n"/>
      <c r="CY46" s="49" t="n"/>
      <c r="CZ46" s="49" t="n"/>
      <c r="DA46" s="49" t="n"/>
      <c r="DB46" s="49" t="n"/>
      <c r="DC46" s="49" t="n"/>
      <c r="DD46" s="49" t="n"/>
      <c r="DE46" s="49" t="n"/>
      <c r="DG46" s="49" t="n"/>
      <c r="DH46" s="49" t="n"/>
      <c r="DI46" s="49" t="n"/>
      <c r="DJ46" s="49" t="n"/>
      <c r="DK46" s="49" t="n"/>
      <c r="DL46" s="49" t="n"/>
      <c r="DM46" s="49" t="n"/>
      <c r="DN46" s="49" t="n"/>
      <c r="DO46" s="49" t="n"/>
      <c r="DP46" s="49" t="n"/>
      <c r="DQ46" s="49" t="n"/>
      <c r="DR46" s="49" t="n"/>
      <c r="DS46" s="49" t="n"/>
      <c r="DT46" s="49" t="n"/>
      <c r="DU46" s="49" t="n"/>
      <c r="DW46" s="49" t="n"/>
      <c r="DX46" s="49" t="n"/>
      <c r="DZ46" s="49" t="n"/>
      <c r="EB46" s="49" t="n"/>
      <c r="EC46" s="49" t="n"/>
      <c r="ED46" s="49" t="n"/>
      <c r="EE46" s="49" t="n"/>
      <c r="EF46" s="49" t="n"/>
      <c r="EG46" s="49" t="n"/>
      <c r="EH46" s="49" t="n"/>
      <c r="EI46" s="49" t="n"/>
      <c r="EJ46" s="49" t="n"/>
      <c r="EK46" s="49" t="n"/>
      <c r="EL46" s="49" t="n"/>
      <c r="EM46" s="49" t="n"/>
      <c r="EN46" s="49" t="n"/>
      <c r="EO46" s="49" t="n"/>
      <c r="EP46" s="49" t="n"/>
      <c r="EQ46" s="49" t="n"/>
      <c r="ER46" s="49" t="n"/>
      <c r="ES46" s="49" t="n"/>
      <c r="ET46" s="49" t="n"/>
      <c r="EU46" s="49" t="n"/>
      <c r="EV46" s="49" t="n"/>
      <c r="EW46" s="49" t="n"/>
      <c r="EX46" s="49" t="n"/>
      <c r="EY46" s="49" t="n"/>
      <c r="EZ46" s="49" t="n"/>
      <c r="FA46" s="49" t="n"/>
      <c r="FB46" s="49" t="n"/>
      <c r="FC46" s="49" t="n"/>
      <c r="FD46" s="49" t="n"/>
      <c r="FE46" s="49" t="n"/>
      <c r="FF46" s="49" t="n"/>
      <c r="FG46" s="49" t="n"/>
      <c r="FH46" s="49" t="n"/>
      <c r="FI46" s="49" t="n"/>
      <c r="FJ46" s="49" t="n"/>
      <c r="FK46" s="49" t="n"/>
      <c r="FL46" s="49" t="n"/>
      <c r="FM46" s="49" t="n"/>
      <c r="FN46" s="49" t="n"/>
      <c r="FO46" s="49" t="n"/>
      <c r="FP46" s="49" t="n"/>
      <c r="FQ46" s="49" t="n"/>
      <c r="FR46" s="49" t="n"/>
      <c r="FS46" s="49" t="n"/>
      <c r="FT46" s="49" t="n"/>
      <c r="FU46" s="49" t="n"/>
      <c r="FV46" s="49" t="n"/>
      <c r="FW46" s="49" t="n"/>
      <c r="FX46" s="49" t="n"/>
      <c r="FY46" s="49" t="n"/>
      <c r="FZ46" s="168" t="n"/>
      <c r="GA46" s="49" t="n"/>
      <c r="GB46" s="49" t="n"/>
      <c r="GC46" s="49" t="n"/>
      <c r="GD46" s="49" t="n"/>
      <c r="GE46" s="49" t="n"/>
      <c r="GF46" s="49" t="n"/>
      <c r="GG46" s="49" t="n"/>
      <c r="GH46" s="49" t="n"/>
      <c r="GI46" s="49" t="n"/>
      <c r="GJ46" s="49" t="n"/>
      <c r="GK46" s="49" t="n"/>
      <c r="GL46" s="49" t="n"/>
      <c r="GM46" s="49" t="n"/>
      <c r="GN46" s="49" t="n"/>
      <c r="GO46" s="49" t="n"/>
      <c r="GP46" s="49" t="n"/>
      <c r="GQ46" s="49" t="n"/>
      <c r="GR46" s="49" t="n"/>
      <c r="GS46" s="49" t="n"/>
      <c r="GT46" s="49" t="n"/>
      <c r="GU46" s="49" t="n"/>
      <c r="GV46" s="49" t="n"/>
      <c r="GW46" s="49" t="n"/>
      <c r="GX46" s="49" t="n"/>
      <c r="GY46" s="49" t="n"/>
      <c r="GZ46" s="49" t="n"/>
      <c r="HA46" s="49" t="n"/>
      <c r="HB46" s="49" t="n"/>
      <c r="HC46" s="49" t="n"/>
      <c r="HD46" s="49" t="n"/>
      <c r="HE46" s="49" t="n"/>
      <c r="HF46" s="49" t="n"/>
      <c r="HG46" s="49" t="n"/>
      <c r="HH46" s="49" t="n"/>
      <c r="HI46" s="49" t="n"/>
      <c r="HJ46" s="49" t="n"/>
      <c r="HK46" s="49" t="n"/>
      <c r="HL46" s="49" t="n"/>
      <c r="HM46" s="49" t="n"/>
      <c r="HN46" s="49" t="n"/>
      <c r="HO46" s="49" t="n"/>
      <c r="HP46" s="49" t="n"/>
      <c r="HQ46" s="49" t="n"/>
      <c r="HR46" s="49" t="n"/>
      <c r="HS46" s="49" t="n"/>
      <c r="HT46" s="49" t="n"/>
      <c r="HU46" s="49" t="n"/>
      <c r="HV46" s="49" t="n"/>
      <c r="HW46" s="49" t="n"/>
      <c r="HX46" s="49" t="n"/>
      <c r="HY46" s="49" t="n"/>
      <c r="HZ46" s="49" t="n"/>
      <c r="IA46" s="49" t="n"/>
      <c r="IB46" s="49" t="n"/>
      <c r="IC46" s="49" t="n"/>
      <c r="ID46" s="49" t="n"/>
      <c r="IE46" s="49" t="n"/>
      <c r="IF46" s="49" t="n"/>
      <c r="IG46" s="49" t="n"/>
      <c r="IH46" s="49" t="n"/>
      <c r="II46" s="49" t="n"/>
      <c r="IJ46" s="49" t="n"/>
      <c r="IK46" s="49" t="n"/>
      <c r="IL46" s="49" t="n"/>
      <c r="IM46" s="49" t="n"/>
      <c r="IN46" s="49" t="n"/>
      <c r="IO46" s="49" t="n"/>
      <c r="IP46" s="49" t="n"/>
      <c r="IQ46" s="49" t="n"/>
      <c r="IR46" s="49" t="n"/>
      <c r="IS46" s="49" t="n"/>
    </row>
    <row r="47">
      <c r="A47" s="348" t="n"/>
      <c r="B47" s="348" t="n"/>
      <c r="C47" s="348" t="n"/>
      <c r="AI47" s="6" t="n"/>
      <c r="AJ47" s="6" t="n"/>
      <c r="AK47" s="6" t="n"/>
      <c r="AL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6" t="n"/>
      <c r="BF47" s="6" t="n"/>
      <c r="BG47" s="6" t="n"/>
      <c r="BH47" s="6" t="n"/>
      <c r="BI47" s="49" t="n"/>
      <c r="BK47" s="6" t="n"/>
      <c r="CU47" s="49" t="n"/>
      <c r="CV47" s="49" t="n"/>
      <c r="CW47" s="49" t="n"/>
      <c r="CX47" s="49" t="n"/>
      <c r="CY47" s="49" t="n"/>
      <c r="CZ47" s="49" t="n"/>
      <c r="DA47" s="49" t="n"/>
      <c r="DB47" s="49" t="n"/>
      <c r="DC47" s="49" t="n"/>
      <c r="DD47" s="49" t="n"/>
      <c r="DE47" s="49" t="n"/>
      <c r="DG47" s="49" t="n"/>
      <c r="DH47" s="49" t="n"/>
      <c r="DI47" s="49" t="n"/>
      <c r="DJ47" s="49" t="n"/>
      <c r="DK47" s="49" t="n"/>
      <c r="DL47" s="49" t="n"/>
      <c r="DM47" s="49" t="n"/>
      <c r="DN47" s="49" t="n"/>
      <c r="DO47" s="49" t="n"/>
      <c r="DP47" s="49" t="n"/>
      <c r="DQ47" s="49" t="n"/>
      <c r="DR47" s="49" t="n"/>
      <c r="DS47" s="49" t="n"/>
      <c r="DT47" s="49" t="n"/>
      <c r="DU47" s="49" t="n"/>
      <c r="DW47" s="49" t="n"/>
      <c r="DX47" s="49" t="n"/>
      <c r="DZ47" s="49" t="n"/>
      <c r="EB47" s="49" t="n"/>
      <c r="EC47" s="49" t="n"/>
      <c r="ED47" s="49" t="n"/>
      <c r="EE47" s="49" t="n"/>
      <c r="EF47" s="49" t="n"/>
      <c r="EG47" s="49" t="n"/>
      <c r="EH47" s="49" t="n"/>
      <c r="EI47" s="49" t="n"/>
      <c r="EJ47" s="49" t="n"/>
      <c r="EK47" s="49" t="n"/>
      <c r="EL47" s="49" t="n"/>
      <c r="EM47" s="49" t="n"/>
      <c r="EN47" s="49" t="n"/>
      <c r="EO47" s="49" t="n"/>
      <c r="EP47" s="49" t="n"/>
      <c r="EQ47" s="49" t="n"/>
      <c r="ER47" s="49" t="n"/>
      <c r="ES47" s="49" t="n"/>
      <c r="ET47" s="49" t="n"/>
      <c r="EU47" s="49" t="n"/>
      <c r="EV47" s="49" t="n"/>
      <c r="EW47" s="49" t="n"/>
      <c r="EX47" s="49" t="n"/>
      <c r="EY47" s="49" t="n"/>
      <c r="EZ47" s="49" t="n"/>
      <c r="FA47" s="49" t="n"/>
      <c r="FB47" s="49" t="n"/>
      <c r="FC47" s="49" t="n"/>
      <c r="FD47" s="49" t="n"/>
      <c r="FE47" s="49" t="n"/>
      <c r="FF47" s="49" t="n"/>
      <c r="FG47" s="49" t="n"/>
      <c r="FH47" s="49" t="n"/>
      <c r="FI47" s="49" t="n"/>
      <c r="FJ47" s="49" t="n"/>
      <c r="FK47" s="49" t="n"/>
      <c r="FL47" s="49" t="n"/>
      <c r="FM47" s="49" t="n"/>
      <c r="FN47" s="49" t="n"/>
      <c r="FO47" s="49" t="n"/>
      <c r="FP47" s="49" t="n"/>
      <c r="FQ47" s="49" t="n"/>
      <c r="FR47" s="49" t="n"/>
      <c r="FS47" s="49" t="n"/>
      <c r="FT47" s="49" t="n"/>
      <c r="FU47" s="49" t="n"/>
      <c r="FV47" s="49" t="n"/>
      <c r="FW47" s="49" t="n"/>
      <c r="FX47" s="49" t="n"/>
      <c r="FY47" s="49" t="n"/>
      <c r="FZ47" s="168" t="n"/>
      <c r="GA47" s="49" t="n"/>
      <c r="GB47" s="49" t="n"/>
      <c r="GC47" s="49" t="n"/>
      <c r="GD47" s="49" t="n"/>
      <c r="GE47" s="49" t="n"/>
      <c r="GF47" s="49" t="n"/>
      <c r="GG47" s="49" t="n"/>
      <c r="GH47" s="49" t="n"/>
      <c r="GI47" s="49" t="n"/>
      <c r="GJ47" s="49" t="n"/>
      <c r="GK47" s="49" t="n"/>
      <c r="GL47" s="49" t="n"/>
      <c r="GM47" s="49" t="n"/>
      <c r="GN47" s="49" t="n"/>
      <c r="GO47" s="49" t="n"/>
      <c r="GP47" s="49" t="n"/>
      <c r="GQ47" s="49" t="n"/>
      <c r="GR47" s="49" t="n"/>
      <c r="GS47" s="49" t="n"/>
      <c r="GT47" s="49" t="n"/>
      <c r="GU47" s="49" t="n"/>
      <c r="GV47" s="49" t="n"/>
      <c r="GW47" s="49" t="n"/>
      <c r="GX47" s="49" t="n"/>
      <c r="GY47" s="49" t="n"/>
      <c r="GZ47" s="49" t="n"/>
      <c r="HA47" s="49" t="n"/>
      <c r="HB47" s="49" t="n"/>
      <c r="HC47" s="49" t="n"/>
      <c r="HD47" s="49" t="n"/>
      <c r="HE47" s="49" t="n"/>
      <c r="HF47" s="49" t="n"/>
      <c r="HG47" s="49" t="n"/>
      <c r="HH47" s="49" t="n"/>
      <c r="HI47" s="49" t="n"/>
      <c r="HJ47" s="49" t="n"/>
      <c r="HK47" s="49" t="n"/>
      <c r="HL47" s="49" t="n"/>
      <c r="HM47" s="49" t="n"/>
      <c r="HN47" s="49" t="n"/>
      <c r="HO47" s="49" t="n"/>
      <c r="HP47" s="49" t="n"/>
      <c r="HQ47" s="49" t="n"/>
      <c r="HR47" s="49" t="n"/>
      <c r="HS47" s="49" t="n"/>
      <c r="HT47" s="49" t="n"/>
      <c r="HU47" s="49" t="n"/>
      <c r="HV47" s="49" t="n"/>
      <c r="HW47" s="49" t="n"/>
      <c r="HX47" s="49" t="n"/>
      <c r="HY47" s="49" t="n"/>
      <c r="HZ47" s="49" t="n"/>
      <c r="IA47" s="49" t="n"/>
      <c r="IB47" s="49" t="n"/>
      <c r="IC47" s="49" t="n"/>
      <c r="ID47" s="49" t="n"/>
      <c r="IE47" s="49" t="n"/>
      <c r="IF47" s="49" t="n"/>
      <c r="IG47" s="49" t="n"/>
      <c r="IH47" s="49" t="n"/>
      <c r="II47" s="49" t="n"/>
      <c r="IJ47" s="49" t="n"/>
      <c r="IK47" s="49" t="n"/>
      <c r="IL47" s="49" t="n"/>
      <c r="IM47" s="49" t="n"/>
      <c r="IN47" s="49" t="n"/>
      <c r="IO47" s="49" t="n"/>
      <c r="IP47" s="49" t="n"/>
      <c r="IQ47" s="49" t="n"/>
      <c r="IR47" s="49" t="n"/>
      <c r="IS47" s="49" t="n"/>
    </row>
    <row r="48">
      <c r="A48" s="215" t="inlineStr">
        <is>
          <t>TAG PAIS/24</t>
        </is>
      </c>
      <c r="B48" s="350" t="n"/>
      <c r="C48" s="115" t="n">
        <v>50</v>
      </c>
      <c r="AI48" s="6" t="n"/>
      <c r="AJ48" s="6" t="n"/>
      <c r="AK48" s="6" t="n"/>
      <c r="AL48" s="6" t="n"/>
      <c r="AO48" s="6" t="n"/>
      <c r="AP48" s="6" t="n"/>
      <c r="AQ48" s="6" t="n"/>
      <c r="AR48" s="6" t="n"/>
      <c r="AS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6" t="n"/>
      <c r="BF48" s="6" t="n"/>
      <c r="BG48" s="6" t="n"/>
      <c r="BH48" s="6" t="n"/>
      <c r="BI48" s="49" t="n"/>
      <c r="BK48" s="6" t="n"/>
      <c r="CU48" s="49" t="n"/>
      <c r="CV48" s="49" t="n"/>
      <c r="CW48" s="49" t="n"/>
      <c r="CX48" s="49" t="n"/>
      <c r="CY48" s="49" t="n"/>
      <c r="CZ48" s="49" t="n"/>
      <c r="DA48" s="49" t="n"/>
      <c r="DB48" s="49" t="n"/>
      <c r="DC48" s="49" t="n"/>
      <c r="DD48" s="49" t="n"/>
      <c r="DE48" s="49" t="n"/>
      <c r="DG48" s="49" t="n"/>
      <c r="DH48" s="49" t="n"/>
      <c r="DI48" s="49" t="n"/>
      <c r="DJ48" s="49" t="n"/>
      <c r="DK48" s="49" t="n"/>
      <c r="DL48" s="49" t="n"/>
      <c r="DM48" s="49" t="n"/>
      <c r="DN48" s="49" t="n"/>
      <c r="DO48" s="49" t="n"/>
      <c r="DP48" s="49" t="n"/>
      <c r="DQ48" s="49" t="n"/>
      <c r="DR48" s="49" t="n"/>
      <c r="DS48" s="49" t="n"/>
      <c r="DT48" s="49" t="n"/>
      <c r="DU48" s="49" t="n"/>
      <c r="DW48" s="49" t="n"/>
      <c r="DX48" s="49" t="n"/>
      <c r="DZ48" s="49" t="n"/>
      <c r="EB48" s="49" t="n"/>
      <c r="EC48" s="49" t="n"/>
      <c r="ED48" s="49" t="n"/>
      <c r="EE48" s="49" t="n"/>
      <c r="EF48" s="49" t="n"/>
      <c r="EG48" s="49" t="n"/>
      <c r="EH48" s="49" t="n"/>
      <c r="EI48" s="49" t="n"/>
      <c r="EJ48" s="49" t="n"/>
      <c r="EK48" s="49" t="n"/>
      <c r="EL48" s="49" t="n"/>
      <c r="EM48" s="49" t="n"/>
      <c r="EN48" s="49" t="n"/>
      <c r="EO48" s="49" t="n"/>
      <c r="EP48" s="49" t="n"/>
      <c r="EQ48" s="49" t="n"/>
      <c r="ER48" s="49" t="n"/>
      <c r="ES48" s="49" t="n"/>
      <c r="ET48" s="49" t="n"/>
      <c r="EU48" s="49" t="n"/>
      <c r="EV48" s="49" t="n"/>
      <c r="EW48" s="49" t="n"/>
      <c r="EX48" s="49" t="n"/>
      <c r="EY48" s="49" t="n"/>
      <c r="EZ48" s="49" t="n"/>
      <c r="FA48" s="49" t="n"/>
      <c r="FB48" s="49" t="n"/>
      <c r="FC48" s="49" t="n"/>
      <c r="FD48" s="49" t="n"/>
      <c r="FE48" s="49" t="n"/>
      <c r="FF48" s="49" t="n"/>
      <c r="FG48" s="49" t="n"/>
      <c r="FH48" s="49" t="n"/>
      <c r="FI48" s="49" t="n"/>
      <c r="FJ48" s="49" t="n"/>
      <c r="FK48" s="49" t="n"/>
      <c r="FL48" s="49" t="n"/>
      <c r="FM48" s="49" t="n"/>
      <c r="FN48" s="49" t="n"/>
      <c r="FO48" s="49" t="n"/>
      <c r="FP48" s="49" t="n"/>
      <c r="FQ48" s="49" t="n"/>
      <c r="FR48" s="49" t="n"/>
      <c r="FS48" s="49" t="n"/>
      <c r="FT48" s="49" t="n"/>
      <c r="FU48" s="49" t="n"/>
      <c r="FV48" s="49" t="n"/>
      <c r="FW48" s="49" t="n"/>
      <c r="FX48" s="49" t="n"/>
      <c r="FY48" s="49" t="n"/>
      <c r="FZ48" s="168" t="n"/>
      <c r="GA48" s="49" t="n"/>
      <c r="GB48" s="49" t="n"/>
      <c r="GC48" s="49" t="n"/>
      <c r="GD48" s="49" t="n"/>
      <c r="GE48" s="49" t="n"/>
      <c r="GF48" s="49" t="n"/>
      <c r="GG48" s="49" t="n"/>
      <c r="GH48" s="49" t="n"/>
      <c r="GI48" s="49" t="n"/>
      <c r="GJ48" s="49" t="n"/>
      <c r="GK48" s="49" t="n"/>
      <c r="GL48" s="49" t="n"/>
      <c r="GM48" s="49" t="n"/>
      <c r="GN48" s="49" t="n"/>
      <c r="GO48" s="49" t="n"/>
      <c r="GP48" s="49" t="n"/>
      <c r="GQ48" s="49" t="n"/>
      <c r="GR48" s="49" t="n"/>
      <c r="GS48" s="49" t="n"/>
      <c r="GT48" s="49" t="n"/>
      <c r="GU48" s="49" t="n"/>
      <c r="GV48" s="49" t="n"/>
      <c r="GW48" s="49" t="n"/>
      <c r="GX48" s="49" t="n"/>
      <c r="GY48" s="49" t="n"/>
      <c r="GZ48" s="49" t="n"/>
      <c r="HA48" s="49" t="n"/>
      <c r="HB48" s="49" t="n"/>
      <c r="HC48" s="49" t="n"/>
      <c r="HD48" s="49" t="n"/>
      <c r="HE48" s="49" t="n"/>
      <c r="HF48" s="49" t="n"/>
      <c r="HG48" s="49" t="n"/>
      <c r="HH48" s="49" t="n"/>
      <c r="HI48" s="49" t="n"/>
      <c r="HJ48" s="49" t="n"/>
      <c r="HK48" s="49" t="n"/>
      <c r="HL48" s="49" t="n"/>
      <c r="HM48" s="49" t="n"/>
      <c r="HN48" s="49" t="n"/>
      <c r="HO48" s="49" t="n"/>
      <c r="HP48" s="49" t="n"/>
      <c r="HQ48" s="49" t="n"/>
      <c r="HR48" s="49" t="n"/>
      <c r="HS48" s="49" t="n"/>
      <c r="HT48" s="49" t="n"/>
      <c r="HU48" s="49" t="n"/>
      <c r="HV48" s="49" t="n"/>
      <c r="HW48" s="49" t="n"/>
      <c r="HX48" s="49" t="n"/>
      <c r="HY48" s="49" t="n"/>
      <c r="HZ48" s="49" t="n"/>
      <c r="IA48" s="49" t="n"/>
      <c r="IB48" s="49" t="n"/>
      <c r="IC48" s="49" t="n"/>
      <c r="ID48" s="49" t="n"/>
      <c r="IE48" s="49" t="n"/>
      <c r="IF48" s="49" t="n"/>
      <c r="IG48" s="49" t="n"/>
      <c r="IH48" s="49" t="n"/>
      <c r="II48" s="49" t="n"/>
      <c r="IJ48" s="49" t="n"/>
      <c r="IK48" s="49" t="n"/>
      <c r="IL48" s="49" t="n"/>
      <c r="IM48" s="49" t="n"/>
      <c r="IN48" s="49" t="n"/>
      <c r="IO48" s="49" t="n"/>
      <c r="IP48" s="49" t="n"/>
      <c r="IQ48" s="49" t="n"/>
      <c r="IR48" s="49" t="n"/>
      <c r="IS48" s="49" t="n"/>
    </row>
    <row r="49">
      <c r="A49" s="215" t="inlineStr">
        <is>
          <t>ADESIVOS PAIS/24</t>
        </is>
      </c>
      <c r="B49" s="350" t="n"/>
      <c r="C49" s="115" t="n">
        <v>100</v>
      </c>
      <c r="AI49" s="6" t="n"/>
      <c r="AJ49" s="6" t="n"/>
      <c r="AK49" s="6" t="n"/>
      <c r="AL49" s="6" t="n"/>
      <c r="AO49" s="6" t="n"/>
      <c r="AP49" s="6" t="n"/>
      <c r="AQ49" s="6" t="n"/>
      <c r="AR49" s="6" t="n"/>
      <c r="AS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6" t="n"/>
      <c r="BF49" s="6" t="n"/>
      <c r="BG49" s="6" t="n"/>
      <c r="BH49" s="6" t="n"/>
      <c r="BI49" s="49" t="n"/>
      <c r="BK49" s="6" t="n"/>
      <c r="CU49" s="49" t="n"/>
      <c r="CV49" s="49" t="n"/>
      <c r="CW49" s="49" t="n"/>
      <c r="CX49" s="49" t="n"/>
      <c r="CY49" s="49" t="n"/>
      <c r="CZ49" s="49" t="n"/>
      <c r="DA49" s="49" t="n"/>
      <c r="DB49" s="49" t="n"/>
      <c r="DC49" s="49" t="n"/>
      <c r="DD49" s="49" t="n"/>
      <c r="DE49" s="49" t="n"/>
      <c r="DG49" s="49" t="n"/>
      <c r="DH49" s="49" t="n"/>
      <c r="DI49" s="49" t="n"/>
      <c r="DJ49" s="49" t="n"/>
      <c r="DK49" s="49" t="n"/>
      <c r="DL49" s="49" t="n"/>
      <c r="DM49" s="49" t="n"/>
      <c r="DN49" s="49" t="n"/>
      <c r="DO49" s="49" t="n"/>
      <c r="DP49" s="49" t="n"/>
      <c r="DQ49" s="49" t="n"/>
      <c r="DR49" s="49" t="n"/>
      <c r="DS49" s="49" t="n"/>
      <c r="DT49" s="49" t="n"/>
      <c r="DU49" s="49" t="n"/>
      <c r="DW49" s="49" t="n"/>
      <c r="DX49" s="49" t="n"/>
      <c r="DZ49" s="49" t="n"/>
      <c r="EB49" s="49" t="n"/>
      <c r="EC49" s="49" t="n"/>
      <c r="ED49" s="49" t="n"/>
      <c r="EE49" s="49" t="n"/>
      <c r="EF49" s="49" t="n"/>
      <c r="EG49" s="49" t="n"/>
      <c r="EH49" s="49" t="n"/>
      <c r="EI49" s="49" t="n"/>
      <c r="EJ49" s="49" t="n"/>
      <c r="EK49" s="49" t="n"/>
      <c r="EL49" s="49" t="n"/>
      <c r="EM49" s="49" t="n"/>
      <c r="EN49" s="49" t="n"/>
      <c r="EO49" s="49" t="n"/>
      <c r="EP49" s="49" t="n"/>
      <c r="EQ49" s="49" t="n"/>
      <c r="ER49" s="49" t="n"/>
      <c r="ES49" s="49" t="n"/>
      <c r="ET49" s="49" t="n"/>
      <c r="EU49" s="49" t="n"/>
      <c r="EV49" s="49" t="n"/>
      <c r="EW49" s="49" t="n"/>
      <c r="EX49" s="49" t="n"/>
      <c r="EY49" s="49" t="n"/>
      <c r="EZ49" s="49" t="n"/>
      <c r="FA49" s="49" t="n"/>
      <c r="FB49" s="49" t="n"/>
      <c r="FC49" s="49" t="n"/>
      <c r="FD49" s="49" t="n"/>
      <c r="FE49" s="49" t="n"/>
      <c r="FF49" s="49" t="n"/>
      <c r="FG49" s="49" t="n"/>
      <c r="FH49" s="49" t="n"/>
      <c r="FI49" s="49" t="n"/>
      <c r="FJ49" s="49" t="n"/>
      <c r="FK49" s="49" t="n"/>
      <c r="FL49" s="49" t="n"/>
      <c r="FM49" s="49" t="n"/>
      <c r="FN49" s="57" t="n"/>
      <c r="FO49" s="49" t="n"/>
      <c r="FP49" s="49" t="n"/>
      <c r="FQ49" s="49" t="n"/>
      <c r="FR49" s="49" t="n"/>
      <c r="FS49" s="49" t="n"/>
      <c r="FT49" s="49" t="n"/>
      <c r="FU49" s="49" t="n"/>
      <c r="FV49" s="49" t="n"/>
      <c r="FW49" s="49" t="n"/>
      <c r="FX49" s="49" t="n"/>
      <c r="FY49" s="49" t="n"/>
      <c r="FZ49" s="168" t="n"/>
      <c r="GA49" s="49" t="n"/>
      <c r="GB49" s="49" t="n"/>
      <c r="GC49" s="49" t="n"/>
      <c r="GD49" s="49" t="n"/>
      <c r="GE49" s="49" t="n"/>
      <c r="GF49" s="49" t="n"/>
      <c r="GG49" s="49" t="n"/>
      <c r="GH49" s="49" t="n"/>
      <c r="GI49" s="49" t="n"/>
      <c r="GJ49" s="49" t="n"/>
      <c r="GK49" s="49" t="n"/>
      <c r="GL49" s="49" t="n"/>
      <c r="GM49" s="49" t="n"/>
      <c r="GN49" s="49" t="n"/>
      <c r="GO49" s="49" t="n"/>
      <c r="GP49" s="49" t="n"/>
      <c r="GQ49" s="49" t="n"/>
      <c r="GR49" s="49" t="n"/>
      <c r="GS49" s="49" t="n"/>
      <c r="GT49" s="49" t="n"/>
      <c r="GU49" s="49" t="n"/>
      <c r="GV49" s="49" t="n"/>
      <c r="GW49" s="49" t="n"/>
      <c r="GX49" s="49" t="n"/>
      <c r="GY49" s="49" t="n"/>
      <c r="GZ49" s="49" t="n"/>
      <c r="HA49" s="49" t="n"/>
      <c r="HB49" s="49" t="n"/>
      <c r="HC49" s="49" t="n"/>
      <c r="HD49" s="49" t="n"/>
      <c r="HE49" s="49" t="n"/>
      <c r="HF49" s="49" t="n"/>
      <c r="HG49" s="49" t="n"/>
      <c r="HH49" s="49" t="n"/>
      <c r="HI49" s="49" t="n"/>
      <c r="HJ49" s="49" t="n"/>
      <c r="HK49" s="49" t="n"/>
      <c r="HL49" s="49" t="n"/>
      <c r="HM49" s="49" t="n"/>
      <c r="HN49" s="49" t="n"/>
      <c r="HO49" s="49" t="n"/>
      <c r="HP49" s="49" t="n"/>
      <c r="HQ49" s="49" t="n"/>
      <c r="HR49" s="49" t="n"/>
      <c r="HS49" s="49" t="n"/>
      <c r="HT49" s="49" t="n"/>
      <c r="HU49" s="49" t="n"/>
      <c r="HV49" s="49" t="n"/>
      <c r="HW49" s="49" t="n"/>
      <c r="HX49" s="49" t="n"/>
      <c r="HY49" s="49" t="n"/>
      <c r="HZ49" s="49" t="n"/>
      <c r="IA49" s="49" t="n"/>
      <c r="IB49" s="49" t="n"/>
      <c r="IC49" s="49" t="n"/>
      <c r="ID49" s="49" t="n"/>
      <c r="IE49" s="49" t="n"/>
      <c r="IF49" s="49" t="n"/>
      <c r="IG49" s="49" t="n"/>
      <c r="IH49" s="49" t="n"/>
      <c r="II49" s="49" t="n"/>
      <c r="IJ49" s="49" t="n"/>
      <c r="IK49" s="49" t="n"/>
      <c r="IL49" s="49" t="n"/>
      <c r="IM49" s="49" t="n"/>
      <c r="IN49" s="49" t="n"/>
      <c r="IO49" s="49" t="n"/>
      <c r="IP49" s="49" t="n"/>
      <c r="IQ49" s="49" t="n"/>
      <c r="IR49" s="49" t="n"/>
      <c r="IS49" s="49" t="n"/>
    </row>
    <row r="50">
      <c r="A50" s="215" t="n"/>
      <c r="B50" s="350" t="n"/>
      <c r="C50" s="115" t="n"/>
      <c r="AI50" s="6" t="n"/>
      <c r="AJ50" s="6" t="n"/>
      <c r="AK50" s="6" t="n"/>
      <c r="AL50" s="6" t="n"/>
      <c r="AO50" s="6" t="n"/>
      <c r="AP50" s="6" t="n"/>
      <c r="AQ50" s="6" t="n"/>
      <c r="AR50" s="6" t="n"/>
      <c r="AS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6" t="n"/>
      <c r="BF50" s="6" t="n"/>
      <c r="BG50" s="6" t="n"/>
      <c r="BH50" s="6" t="n"/>
      <c r="BI50" s="49" t="n"/>
      <c r="BK50" s="6" t="n"/>
      <c r="CU50" s="49" t="n"/>
      <c r="CV50" s="49" t="n"/>
      <c r="CW50" s="49" t="n"/>
      <c r="CX50" s="49" t="n"/>
      <c r="CY50" s="49" t="n"/>
      <c r="CZ50" s="49" t="n"/>
      <c r="DA50" s="49" t="n"/>
      <c r="DB50" s="49" t="n"/>
      <c r="DC50" s="49" t="n"/>
      <c r="DD50" s="49" t="n"/>
      <c r="DE50" s="49" t="n"/>
      <c r="DG50" s="49" t="n"/>
      <c r="DH50" s="49" t="n"/>
      <c r="DI50" s="49" t="n"/>
      <c r="DJ50" s="49" t="n"/>
      <c r="DK50" s="49" t="n"/>
      <c r="DL50" s="49" t="n"/>
      <c r="DM50" s="49" t="n"/>
      <c r="DN50" s="49" t="n"/>
      <c r="DO50" s="49" t="n"/>
      <c r="DP50" s="49" t="n"/>
      <c r="DQ50" s="49" t="n"/>
      <c r="DR50" s="49" t="n"/>
      <c r="DS50" s="49" t="n"/>
      <c r="DT50" s="49" t="n"/>
      <c r="DU50" s="49" t="n"/>
      <c r="DW50" s="49" t="n"/>
      <c r="DX50" s="49" t="n"/>
      <c r="DZ50" s="49" t="n"/>
      <c r="EB50" s="49" t="n"/>
      <c r="EC50" s="49" t="n"/>
      <c r="ED50" s="49" t="n"/>
      <c r="EE50" s="49" t="n"/>
      <c r="EF50" s="49" t="n"/>
      <c r="EG50" s="49" t="n"/>
      <c r="EH50" s="49" t="n"/>
      <c r="EI50" s="49" t="n"/>
      <c r="EJ50" s="49" t="n"/>
      <c r="EK50" s="49" t="n"/>
      <c r="EL50" s="49" t="n"/>
      <c r="EM50" s="49" t="n"/>
      <c r="EN50" s="49" t="n"/>
      <c r="EO50" s="49" t="n"/>
      <c r="EP50" s="49" t="n"/>
      <c r="EQ50" s="49" t="n"/>
      <c r="ER50" s="49" t="n"/>
      <c r="ES50" s="49" t="n"/>
      <c r="ET50" s="49" t="n"/>
      <c r="EU50" s="49" t="n"/>
      <c r="EV50" s="49" t="n"/>
      <c r="EW50" s="49" t="n"/>
      <c r="EX50" s="49" t="n"/>
      <c r="EY50" s="49" t="n"/>
      <c r="EZ50" s="49" t="n"/>
      <c r="FA50" s="49" t="n"/>
      <c r="FB50" s="49" t="n"/>
      <c r="FC50" s="49" t="n"/>
      <c r="FD50" s="49" t="n"/>
      <c r="FE50" s="49" t="n"/>
      <c r="FF50" s="49" t="n"/>
      <c r="FG50" s="49" t="n"/>
      <c r="FH50" s="49" t="n"/>
      <c r="FI50" s="49" t="n"/>
      <c r="FJ50" s="49" t="n"/>
      <c r="FK50" s="49" t="n"/>
      <c r="FL50" s="49" t="n"/>
      <c r="FM50" s="49" t="n"/>
      <c r="FN50" s="57" t="n"/>
      <c r="FO50" s="49" t="n"/>
      <c r="FP50" s="49" t="n"/>
      <c r="FQ50" s="49" t="n"/>
      <c r="FR50" s="49" t="n"/>
      <c r="FS50" s="49" t="n"/>
      <c r="FT50" s="49" t="n"/>
      <c r="FU50" s="49" t="n"/>
      <c r="FV50" s="49" t="n"/>
      <c r="FW50" s="49" t="n"/>
      <c r="FX50" s="49" t="n"/>
      <c r="FY50" s="49" t="n"/>
      <c r="FZ50" s="168" t="n"/>
      <c r="GA50" s="49" t="n"/>
      <c r="GB50" s="49" t="n"/>
      <c r="GC50" s="49" t="n"/>
      <c r="GD50" s="49" t="n"/>
      <c r="GE50" s="49" t="n"/>
      <c r="GF50" s="49" t="n"/>
      <c r="GG50" s="49" t="n"/>
      <c r="GH50" s="49" t="n"/>
      <c r="GI50" s="49" t="n"/>
      <c r="GJ50" s="49" t="n"/>
      <c r="GK50" s="49" t="n"/>
      <c r="GL50" s="49" t="n"/>
      <c r="GM50" s="49" t="n"/>
      <c r="GN50" s="49" t="n"/>
      <c r="GO50" s="49" t="n"/>
      <c r="GP50" s="49" t="n"/>
      <c r="GQ50" s="49" t="n"/>
      <c r="GR50" s="49" t="n"/>
      <c r="GS50" s="49" t="n"/>
      <c r="GT50" s="49" t="n"/>
      <c r="GU50" s="49" t="n"/>
      <c r="GV50" s="49" t="n"/>
      <c r="GW50" s="49" t="n"/>
      <c r="GX50" s="49" t="n"/>
      <c r="GY50" s="49" t="n"/>
      <c r="GZ50" s="49" t="n"/>
      <c r="HA50" s="49" t="n"/>
      <c r="HB50" s="49" t="n"/>
      <c r="HC50" s="49" t="n"/>
      <c r="HD50" s="49" t="n"/>
      <c r="HE50" s="49" t="n"/>
      <c r="HF50" s="49" t="n"/>
      <c r="HG50" s="49" t="n"/>
      <c r="HH50" s="49" t="n"/>
      <c r="HI50" s="49" t="n"/>
      <c r="HJ50" s="49" t="n"/>
      <c r="HK50" s="49" t="n"/>
      <c r="HL50" s="49" t="n"/>
      <c r="HM50" s="49" t="n"/>
      <c r="HN50" s="49" t="n"/>
      <c r="HO50" s="49" t="n"/>
      <c r="HP50" s="49" t="n"/>
      <c r="HQ50" s="49" t="n"/>
      <c r="HR50" s="49" t="n"/>
      <c r="HS50" s="49" t="n"/>
      <c r="HT50" s="49" t="n"/>
      <c r="HU50" s="49" t="n"/>
      <c r="HV50" s="49" t="n"/>
      <c r="HW50" s="49" t="n"/>
      <c r="HX50" s="49" t="n"/>
      <c r="HY50" s="49" t="n"/>
      <c r="HZ50" s="49" t="n"/>
      <c r="IA50" s="49" t="n"/>
      <c r="IB50" s="49" t="n"/>
      <c r="IC50" s="49" t="n"/>
      <c r="ID50" s="49" t="n"/>
      <c r="IE50" s="49" t="n"/>
      <c r="IF50" s="49" t="n"/>
      <c r="IG50" s="49" t="n"/>
      <c r="IH50" s="49" t="n"/>
      <c r="II50" s="49" t="n"/>
      <c r="IJ50" s="49" t="n"/>
      <c r="IK50" s="49" t="n"/>
      <c r="IL50" s="49" t="n"/>
      <c r="IM50" s="49" t="n"/>
      <c r="IN50" s="49" t="n"/>
      <c r="IO50" s="49" t="n"/>
      <c r="IP50" s="49" t="n"/>
      <c r="IQ50" s="49" t="n"/>
      <c r="IR50" s="49" t="n"/>
      <c r="IS50" s="49" t="n"/>
    </row>
    <row r="51">
      <c r="A51" s="351" t="inlineStr">
        <is>
          <t>TAG NAMO/25</t>
        </is>
      </c>
      <c r="B51" s="350" t="n"/>
      <c r="C51" s="115" t="n">
        <v>300</v>
      </c>
      <c r="AI51" s="6" t="n"/>
      <c r="AJ51" s="6" t="n"/>
      <c r="AK51" s="6" t="n"/>
      <c r="AL51" s="6" t="n"/>
      <c r="AO51" s="6" t="n"/>
      <c r="AP51" s="6" t="n"/>
      <c r="AQ51" s="6" t="n"/>
      <c r="AR51" s="6" t="n"/>
      <c r="AS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6" t="n"/>
      <c r="BF51" s="6" t="n"/>
      <c r="BG51" s="6" t="n"/>
      <c r="BH51" s="6" t="n"/>
      <c r="BI51" s="49" t="n"/>
      <c r="BK51" s="6" t="n"/>
      <c r="CU51" s="49" t="n"/>
      <c r="CV51" s="49" t="n"/>
      <c r="CW51" s="49" t="n"/>
      <c r="CX51" s="49" t="n"/>
      <c r="CY51" s="49" t="n"/>
      <c r="CZ51" s="49" t="n"/>
      <c r="DA51" s="49" t="n"/>
      <c r="DB51" s="49" t="n"/>
      <c r="DC51" s="49" t="n"/>
      <c r="DD51" s="49" t="n"/>
      <c r="DE51" s="49" t="n"/>
      <c r="DG51" s="49" t="n"/>
      <c r="DH51" s="49" t="n"/>
      <c r="DI51" s="49" t="n"/>
      <c r="DJ51" s="49" t="n"/>
      <c r="DK51" s="49" t="n"/>
      <c r="DL51" s="49" t="n"/>
      <c r="DM51" s="49" t="n"/>
      <c r="DN51" s="49" t="n"/>
      <c r="DO51" s="49" t="n"/>
      <c r="DP51" s="49" t="n"/>
      <c r="DQ51" s="49" t="n"/>
      <c r="DR51" s="49" t="n"/>
      <c r="DS51" s="49" t="n"/>
      <c r="DT51" s="49" t="n"/>
      <c r="DU51" s="49" t="n"/>
      <c r="DW51" s="49" t="n"/>
      <c r="DX51" s="49" t="n"/>
      <c r="DZ51" s="49" t="n"/>
      <c r="EB51" s="49" t="n"/>
      <c r="EC51" s="49" t="n"/>
      <c r="ED51" s="49" t="n"/>
      <c r="EE51" s="49" t="n"/>
      <c r="EF51" s="49" t="n"/>
      <c r="EG51" s="49" t="n"/>
      <c r="EH51" s="49" t="n"/>
      <c r="EI51" s="49" t="n"/>
      <c r="EJ51" s="49" t="n"/>
      <c r="EK51" s="49" t="n"/>
      <c r="EL51" s="49" t="n"/>
      <c r="EM51" s="49" t="n"/>
      <c r="EN51" s="49" t="n"/>
      <c r="EO51" s="49" t="n"/>
      <c r="EP51" s="49" t="n"/>
      <c r="EQ51" s="49" t="n"/>
      <c r="ER51" s="49" t="n"/>
      <c r="ES51" s="49" t="n"/>
      <c r="ET51" s="49" t="n"/>
      <c r="EU51" s="49" t="n"/>
      <c r="EV51" s="49" t="n"/>
      <c r="EW51" s="49" t="n"/>
      <c r="EX51" s="49" t="n"/>
      <c r="EY51" s="49" t="n"/>
      <c r="EZ51" s="49" t="n"/>
      <c r="FA51" s="49" t="n"/>
      <c r="FB51" s="49" t="n"/>
      <c r="FC51" s="49" t="n"/>
      <c r="FD51" s="49" t="n"/>
      <c r="FE51" s="49" t="n"/>
      <c r="FF51" s="49" t="n"/>
      <c r="FG51" s="49" t="n"/>
      <c r="FH51" s="49" t="n"/>
      <c r="FI51" s="49" t="n"/>
      <c r="FJ51" s="49" t="n"/>
      <c r="FK51" s="49" t="n"/>
      <c r="FL51" s="49" t="n"/>
      <c r="FM51" s="49" t="n"/>
      <c r="FN51" s="57" t="n"/>
      <c r="FO51" s="49" t="n"/>
      <c r="FP51" s="49" t="n"/>
      <c r="FQ51" s="49" t="n"/>
      <c r="FR51" s="49" t="n"/>
      <c r="FS51" s="49" t="n"/>
      <c r="FT51" s="49" t="n"/>
      <c r="FU51" s="49" t="n"/>
      <c r="FV51" s="49" t="n"/>
      <c r="FW51" s="49" t="n"/>
      <c r="FX51" s="49" t="n"/>
      <c r="FY51" s="49" t="n"/>
      <c r="FZ51" s="168" t="n"/>
      <c r="GA51" s="49" t="n"/>
      <c r="GB51" s="49" t="n"/>
      <c r="GC51" s="49" t="n"/>
      <c r="GD51" s="49" t="n"/>
      <c r="GE51" s="49" t="n"/>
      <c r="GF51" s="49" t="n"/>
      <c r="GG51" s="49" t="n"/>
      <c r="GH51" s="49" t="n"/>
      <c r="GI51" s="49" t="n"/>
      <c r="GJ51" s="49" t="n"/>
      <c r="GK51" s="49" t="n"/>
      <c r="GL51" s="49" t="n"/>
      <c r="GM51" s="49" t="n"/>
      <c r="GN51" s="49" t="n"/>
      <c r="GO51" s="49" t="n"/>
      <c r="GP51" s="49" t="n"/>
      <c r="GQ51" s="49" t="n"/>
      <c r="GR51" s="49" t="n"/>
      <c r="GS51" s="49" t="n"/>
      <c r="GT51" s="49" t="n"/>
      <c r="GU51" s="49" t="n"/>
      <c r="GV51" s="49" t="n"/>
      <c r="GW51" s="49" t="n"/>
      <c r="GX51" s="49" t="n"/>
      <c r="GY51" s="49" t="n"/>
      <c r="GZ51" s="49" t="n"/>
      <c r="HA51" s="49" t="n"/>
      <c r="HB51" s="49" t="n"/>
      <c r="HC51" s="49" t="n"/>
      <c r="HD51" s="49" t="n"/>
      <c r="HE51" s="49" t="n"/>
      <c r="HF51" s="49" t="n"/>
      <c r="HG51" s="49" t="n"/>
      <c r="HH51" s="49" t="n"/>
      <c r="HI51" s="49" t="n"/>
      <c r="HJ51" s="49" t="n"/>
      <c r="HK51" s="49" t="n"/>
      <c r="HL51" s="49" t="n"/>
      <c r="HM51" s="49" t="n"/>
      <c r="HN51" s="49" t="n"/>
      <c r="HO51" s="49" t="n"/>
      <c r="HP51" s="49" t="n"/>
      <c r="HQ51" s="49" t="n"/>
      <c r="HR51" s="49" t="n"/>
      <c r="HS51" s="49" t="n"/>
      <c r="HT51" s="49" t="n"/>
      <c r="HU51" s="49" t="n"/>
      <c r="HV51" s="49" t="n"/>
      <c r="HW51" s="49" t="n"/>
      <c r="HX51" s="49" t="n"/>
      <c r="HY51" s="49" t="n"/>
      <c r="HZ51" s="49" t="n"/>
      <c r="IA51" s="49" t="n"/>
      <c r="IB51" s="49" t="n"/>
      <c r="IC51" s="49" t="n"/>
      <c r="ID51" s="49" t="n"/>
      <c r="IE51" s="49" t="n"/>
      <c r="IF51" s="49" t="n"/>
      <c r="IG51" s="49" t="n"/>
      <c r="IH51" s="49" t="n"/>
      <c r="II51" s="49" t="n"/>
      <c r="IJ51" s="49" t="n"/>
      <c r="IK51" s="49" t="n"/>
      <c r="IL51" s="49" t="n"/>
      <c r="IM51" s="49" t="n"/>
      <c r="IN51" s="49" t="n"/>
      <c r="IO51" s="49" t="n"/>
      <c r="IP51" s="49" t="n"/>
      <c r="IQ51" s="49" t="n"/>
      <c r="IR51" s="49" t="n"/>
      <c r="IS51" s="49" t="n"/>
    </row>
    <row r="52"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J52" s="6" t="n"/>
      <c r="AK52" s="6" t="n"/>
      <c r="AL52" s="6" t="n"/>
      <c r="AT52" s="51" t="n"/>
      <c r="BL52" s="6" t="n"/>
      <c r="BM52" s="6" t="n"/>
      <c r="BN52" s="6" t="n"/>
      <c r="BO52" s="6" t="n"/>
      <c r="BP52" s="6" t="n"/>
      <c r="BQ52" s="6" t="n"/>
      <c r="BR52" s="6" t="n"/>
      <c r="BS52" s="6" t="n"/>
      <c r="BT52" s="6" t="n"/>
      <c r="BU52" s="6" t="n"/>
      <c r="BV52" s="6" t="n"/>
      <c r="BW52" s="6" t="n"/>
      <c r="BX52" s="6" t="n"/>
      <c r="BY52" s="6" t="n"/>
      <c r="BZ52" s="6" t="n"/>
      <c r="CA52" s="6" t="n"/>
    </row>
    <row r="53">
      <c r="A53" s="321" t="inlineStr">
        <is>
          <t>FLACONETES</t>
        </is>
      </c>
      <c r="B53" s="322" t="n"/>
      <c r="C53" s="322" t="n"/>
      <c r="D53" s="323" t="n"/>
      <c r="F53" s="671" t="n">
        <v>46006</v>
      </c>
      <c r="G53" s="671" t="n">
        <v>46013</v>
      </c>
      <c r="H53" s="671" t="n">
        <v>46051</v>
      </c>
      <c r="I53" s="671" t="n">
        <v>46027</v>
      </c>
      <c r="J53" s="671" t="n">
        <v>46034</v>
      </c>
      <c r="K53" s="671" t="n">
        <v>46041</v>
      </c>
      <c r="L53" s="671" t="n">
        <v>46048</v>
      </c>
      <c r="M53" s="671" t="n">
        <v>46055</v>
      </c>
      <c r="N53" s="671" t="n">
        <v>46062</v>
      </c>
      <c r="O53" s="671" t="n">
        <v>46069</v>
      </c>
      <c r="P53" s="671" t="n">
        <v>46076</v>
      </c>
      <c r="Q53" s="671" t="n">
        <v>46083</v>
      </c>
      <c r="R53" s="671" t="n">
        <v>46090</v>
      </c>
      <c r="S53" s="671" t="n">
        <v>46097</v>
      </c>
      <c r="T53" s="671" t="n">
        <v>46104</v>
      </c>
      <c r="U53" s="671" t="n">
        <v>46111</v>
      </c>
      <c r="V53" s="671" t="n">
        <v>46118</v>
      </c>
      <c r="W53" s="671" t="n">
        <v>46125</v>
      </c>
      <c r="X53" s="671" t="n">
        <v>46132</v>
      </c>
      <c r="Y53" s="671" t="n">
        <v>46139</v>
      </c>
      <c r="Z53" s="671" t="n">
        <v>46146</v>
      </c>
      <c r="AA53" s="671" t="n">
        <v>46154</v>
      </c>
      <c r="AB53" s="671" t="n">
        <v>46160</v>
      </c>
      <c r="AC53" s="671" t="n">
        <v>46160</v>
      </c>
      <c r="AD53" s="671" t="n">
        <v>46160</v>
      </c>
      <c r="AE53" s="672" t="n">
        <v>46161.4800257176</v>
      </c>
      <c r="AF53" s="672" t="n">
        <v>46161.48070569444</v>
      </c>
      <c r="AG53" s="672" t="n">
        <v>46161.48286396122</v>
      </c>
      <c r="AI53" s="6" t="n"/>
      <c r="AO53" s="6" t="n"/>
      <c r="AP53" s="6" t="n"/>
      <c r="AQ53" s="6" t="n"/>
      <c r="AR53" s="6" t="n"/>
      <c r="AS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6" t="n"/>
      <c r="BF53" s="6" t="n"/>
      <c r="BG53" s="6" t="n"/>
      <c r="BH53" s="6" t="n"/>
      <c r="BI53" s="49" t="n"/>
      <c r="BK53" s="6" t="n"/>
      <c r="CU53" s="49" t="n"/>
      <c r="CV53" s="49" t="n"/>
      <c r="CW53" s="49" t="n"/>
      <c r="CX53" s="49" t="n"/>
      <c r="CY53" s="49" t="n"/>
      <c r="CZ53" s="49" t="n"/>
      <c r="DA53" s="49" t="n"/>
      <c r="DB53" s="49" t="n"/>
      <c r="DC53" s="49" t="n"/>
      <c r="DD53" s="49" t="n"/>
      <c r="DE53" s="49" t="n"/>
      <c r="DG53" s="49" t="n"/>
      <c r="DH53" s="49" t="n"/>
      <c r="DI53" s="49" t="n"/>
      <c r="DJ53" s="49" t="n"/>
      <c r="DK53" s="49" t="n"/>
      <c r="DL53" s="49" t="n"/>
      <c r="DM53" s="49" t="n"/>
      <c r="DN53" s="49" t="n"/>
      <c r="DO53" s="49" t="n"/>
      <c r="DP53" s="49" t="n"/>
      <c r="DQ53" s="49" t="n"/>
      <c r="DR53" s="49" t="n"/>
      <c r="DS53" s="49" t="n"/>
      <c r="DT53" s="49" t="n"/>
      <c r="DU53" s="49" t="n"/>
      <c r="DW53" s="49" t="n"/>
      <c r="DX53" s="49" t="n"/>
      <c r="DZ53" s="49" t="n"/>
      <c r="EB53" s="49" t="n"/>
      <c r="EC53" s="49" t="n"/>
      <c r="ED53" s="49" t="n"/>
      <c r="EE53" s="49" t="n"/>
      <c r="EF53" s="49" t="n"/>
      <c r="EG53" s="49" t="n"/>
      <c r="EH53" s="49" t="n"/>
      <c r="EI53" s="49" t="n"/>
      <c r="EJ53" s="49" t="n"/>
      <c r="EK53" s="49" t="n"/>
      <c r="EL53" s="49" t="n"/>
      <c r="EM53" s="49" t="n"/>
      <c r="EN53" s="49" t="n"/>
      <c r="EO53" s="49" t="n"/>
      <c r="EP53" s="49" t="n"/>
      <c r="EQ53" s="49" t="n"/>
      <c r="ER53" s="49" t="n"/>
      <c r="ES53" s="49" t="n"/>
      <c r="ET53" s="49" t="n"/>
      <c r="EU53" s="49" t="n"/>
      <c r="EV53" s="49" t="n"/>
      <c r="EW53" s="49" t="n"/>
      <c r="EX53" s="49" t="n"/>
      <c r="EY53" s="49" t="n"/>
      <c r="EZ53" s="49" t="n"/>
      <c r="FA53" s="49" t="n"/>
      <c r="FB53" s="49" t="n"/>
      <c r="FC53" s="49" t="n"/>
      <c r="FD53" s="49" t="n"/>
      <c r="FE53" s="49" t="n"/>
      <c r="FF53" s="49" t="n"/>
      <c r="FG53" s="49" t="n"/>
      <c r="FH53" s="49" t="n"/>
      <c r="FI53" s="49" t="n"/>
      <c r="FJ53" s="49" t="n"/>
      <c r="FK53" s="49" t="n"/>
      <c r="FL53" s="49" t="n"/>
      <c r="FM53" s="49" t="n"/>
      <c r="FN53" s="57" t="n"/>
      <c r="FO53" s="49" t="n"/>
      <c r="FP53" s="49" t="n"/>
      <c r="FQ53" s="49" t="n"/>
      <c r="FR53" s="49" t="n"/>
      <c r="FS53" s="49" t="n"/>
      <c r="FT53" s="49" t="n"/>
      <c r="FU53" s="49" t="n"/>
      <c r="FV53" s="49" t="n"/>
      <c r="FW53" s="49" t="n"/>
      <c r="FX53" s="49" t="n"/>
      <c r="FY53" s="49" t="n"/>
      <c r="FZ53" s="168" t="n"/>
      <c r="GA53" s="49" t="n"/>
      <c r="GB53" s="49" t="n"/>
      <c r="GC53" s="49" t="n"/>
      <c r="GD53" s="49" t="n"/>
      <c r="GE53" s="49" t="n"/>
      <c r="GF53" s="49" t="n"/>
      <c r="GG53" s="49" t="n"/>
      <c r="GH53" s="49" t="n"/>
      <c r="GI53" s="49" t="n"/>
      <c r="GJ53" s="49" t="n"/>
      <c r="GK53" s="49" t="n"/>
      <c r="GL53" s="49" t="n"/>
      <c r="GM53" s="49" t="n"/>
      <c r="GN53" s="49" t="n"/>
      <c r="GO53" s="49" t="n"/>
      <c r="GP53" s="49" t="n"/>
      <c r="GQ53" s="49" t="n"/>
      <c r="GR53" s="49" t="n"/>
      <c r="GS53" s="49" t="n"/>
      <c r="GT53" s="49" t="n"/>
      <c r="GU53" s="49" t="n"/>
      <c r="GV53" s="49" t="n"/>
      <c r="GW53" s="49" t="n"/>
      <c r="GX53" s="49" t="n"/>
      <c r="GY53" s="49" t="n"/>
      <c r="GZ53" s="49" t="n"/>
      <c r="HA53" s="49" t="n"/>
      <c r="HB53" s="49" t="n"/>
      <c r="HC53" s="49" t="n"/>
      <c r="HD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J53" s="49" t="n"/>
      <c r="IK53" s="49" t="n"/>
      <c r="IL53" s="49" t="n"/>
      <c r="IM53" s="49" t="n"/>
      <c r="IN53" s="49" t="n"/>
      <c r="IO53" s="49" t="n"/>
      <c r="IP53" s="49" t="n"/>
      <c r="IQ53" s="49" t="n"/>
      <c r="IR53" s="49" t="n"/>
      <c r="IS53" s="49" t="n"/>
    </row>
    <row r="54">
      <c r="A54" s="324" t="inlineStr">
        <is>
          <t>LILY BLANCHE</t>
        </is>
      </c>
      <c r="B54" s="325" t="n"/>
      <c r="C54" s="325" t="n"/>
      <c r="D54" s="326" t="n"/>
      <c r="F54" s="116" t="n">
        <v>0</v>
      </c>
      <c r="G54" s="116" t="n">
        <v>0</v>
      </c>
      <c r="H54" s="116" t="n">
        <v>0</v>
      </c>
      <c r="I54" s="116" t="n">
        <v>0</v>
      </c>
      <c r="J54" s="116" t="n">
        <v>0</v>
      </c>
      <c r="K54" s="116" t="n">
        <v>0</v>
      </c>
      <c r="L54" s="116" t="n">
        <v>0</v>
      </c>
      <c r="M54" s="116" t="n">
        <v>0</v>
      </c>
      <c r="N54" s="116" t="n">
        <v>0</v>
      </c>
      <c r="O54" s="116" t="n">
        <v>0</v>
      </c>
      <c r="P54" s="116" t="n">
        <v>0</v>
      </c>
      <c r="Q54" s="116" t="n">
        <v>0</v>
      </c>
      <c r="R54" s="116" t="n">
        <v>0</v>
      </c>
      <c r="S54" s="116" t="n">
        <v>0</v>
      </c>
      <c r="T54" s="116" t="n">
        <v>0</v>
      </c>
      <c r="U54" s="116" t="n">
        <v>0</v>
      </c>
      <c r="V54" s="116" t="n">
        <v>0</v>
      </c>
      <c r="W54" s="116" t="n">
        <v>0</v>
      </c>
      <c r="X54" s="116" t="n">
        <v>0</v>
      </c>
      <c r="Y54" s="116" t="n">
        <v>0</v>
      </c>
      <c r="Z54" s="116" t="n">
        <v>0</v>
      </c>
      <c r="AA54" s="116" t="n">
        <v>0</v>
      </c>
      <c r="AB54" s="116" t="n"/>
      <c r="AC54" s="116" t="n"/>
      <c r="AD54" s="116" t="n"/>
      <c r="AE54" s="673" t="n"/>
      <c r="AF54" s="673" t="n"/>
      <c r="AG54" s="673" t="n"/>
    </row>
    <row r="55">
      <c r="A55" s="324" t="inlineStr">
        <is>
          <t>MEN NBA</t>
        </is>
      </c>
      <c r="B55" s="325" t="n"/>
      <c r="C55" s="325" t="n"/>
      <c r="D55" s="326" t="n"/>
      <c r="F55" s="116" t="n">
        <v>0</v>
      </c>
      <c r="G55" s="116" t="n">
        <v>0</v>
      </c>
      <c r="H55" s="116" t="n">
        <v>0</v>
      </c>
      <c r="I55" s="116" t="n">
        <v>0</v>
      </c>
      <c r="J55" s="116" t="n">
        <v>0</v>
      </c>
      <c r="K55" s="116" t="n">
        <v>0</v>
      </c>
      <c r="L55" s="116" t="n">
        <v>0</v>
      </c>
      <c r="M55" s="116" t="n">
        <v>0</v>
      </c>
      <c r="N55" s="116" t="n">
        <v>0</v>
      </c>
      <c r="O55" s="116" t="n">
        <v>0</v>
      </c>
      <c r="P55" s="116" t="n">
        <v>0</v>
      </c>
      <c r="Q55" s="116" t="n">
        <v>0</v>
      </c>
      <c r="R55" s="116" t="n">
        <v>0</v>
      </c>
      <c r="S55" s="116" t="n">
        <v>0</v>
      </c>
      <c r="T55" s="116" t="n">
        <v>0</v>
      </c>
      <c r="U55" s="116" t="n">
        <v>0</v>
      </c>
      <c r="V55" s="116" t="n">
        <v>0</v>
      </c>
      <c r="W55" s="116" t="n">
        <v>0</v>
      </c>
      <c r="X55" s="116" t="n">
        <v>0</v>
      </c>
      <c r="Y55" s="116" t="n">
        <v>0</v>
      </c>
      <c r="Z55" s="116" t="n">
        <v>0</v>
      </c>
      <c r="AA55" s="116" t="n">
        <v>0</v>
      </c>
      <c r="AB55" s="116" t="n"/>
      <c r="AC55" s="116" t="n"/>
      <c r="AD55" s="116" t="n"/>
      <c r="AE55" s="673" t="n"/>
      <c r="AF55" s="673" t="n"/>
      <c r="AG55" s="673" t="n"/>
    </row>
    <row r="56">
      <c r="A56" s="324" t="inlineStr">
        <is>
          <t>QUASAR DEEP BLUE</t>
        </is>
      </c>
      <c r="B56" s="325" t="n"/>
      <c r="C56" s="325" t="n"/>
      <c r="D56" s="326" t="n"/>
      <c r="F56" s="116" t="n">
        <v>0</v>
      </c>
      <c r="G56" s="116" t="n">
        <v>0</v>
      </c>
      <c r="H56" s="116" t="n">
        <v>0</v>
      </c>
      <c r="I56" s="116" t="n">
        <v>0</v>
      </c>
      <c r="J56" s="116" t="n">
        <v>0</v>
      </c>
      <c r="K56" s="116" t="n">
        <v>0</v>
      </c>
      <c r="L56" s="116" t="n">
        <v>0</v>
      </c>
      <c r="M56" s="116" t="n">
        <v>0</v>
      </c>
      <c r="N56" s="116" t="n">
        <v>0</v>
      </c>
      <c r="O56" s="116" t="n">
        <v>0</v>
      </c>
      <c r="P56" s="116" t="n">
        <v>0</v>
      </c>
      <c r="Q56" s="116" t="n">
        <v>0</v>
      </c>
      <c r="R56" s="116" t="n">
        <v>0</v>
      </c>
      <c r="S56" s="116" t="n">
        <v>0</v>
      </c>
      <c r="T56" s="116" t="n">
        <v>0</v>
      </c>
      <c r="U56" s="116" t="n">
        <v>0</v>
      </c>
      <c r="V56" s="116" t="n">
        <v>0</v>
      </c>
      <c r="W56" s="116" t="n">
        <v>0</v>
      </c>
      <c r="X56" s="116" t="n">
        <v>0</v>
      </c>
      <c r="Y56" s="116" t="n">
        <v>0</v>
      </c>
      <c r="Z56" s="116" t="n">
        <v>0</v>
      </c>
      <c r="AA56" s="116" t="n">
        <v>0</v>
      </c>
      <c r="AB56" s="116" t="n"/>
      <c r="AC56" s="116" t="n"/>
      <c r="AD56" s="116" t="n"/>
      <c r="AE56" s="673" t="n"/>
      <c r="AF56" s="673" t="n"/>
      <c r="AG56" s="673" t="n"/>
    </row>
    <row r="57">
      <c r="A57" s="324" t="inlineStr">
        <is>
          <t>ARBO ATLANTICA</t>
        </is>
      </c>
      <c r="B57" s="325" t="n"/>
      <c r="C57" s="325" t="n"/>
      <c r="D57" s="326" t="n"/>
      <c r="F57" s="116" t="n">
        <v>0</v>
      </c>
      <c r="G57" s="116" t="n">
        <v>0</v>
      </c>
      <c r="H57" s="116" t="n">
        <v>0</v>
      </c>
      <c r="I57" s="116" t="n">
        <v>0</v>
      </c>
      <c r="J57" s="116" t="n">
        <v>0</v>
      </c>
      <c r="K57" s="116" t="n">
        <v>0</v>
      </c>
      <c r="L57" s="116" t="n">
        <v>0</v>
      </c>
      <c r="M57" s="116" t="n">
        <v>0</v>
      </c>
      <c r="N57" s="116" t="n">
        <v>0</v>
      </c>
      <c r="O57" s="116" t="n">
        <v>0</v>
      </c>
      <c r="P57" s="116" t="n">
        <v>0</v>
      </c>
      <c r="Q57" s="116" t="n">
        <v>0</v>
      </c>
      <c r="R57" s="116" t="n">
        <v>0</v>
      </c>
      <c r="S57" s="116" t="n">
        <v>0</v>
      </c>
      <c r="T57" s="116" t="n">
        <v>0</v>
      </c>
      <c r="U57" s="116" t="n">
        <v>0</v>
      </c>
      <c r="V57" s="116" t="n">
        <v>0</v>
      </c>
      <c r="W57" s="116" t="n">
        <v>0</v>
      </c>
      <c r="X57" s="116" t="n">
        <v>0</v>
      </c>
      <c r="Y57" s="116" t="n">
        <v>0</v>
      </c>
      <c r="Z57" s="116" t="n">
        <v>0</v>
      </c>
      <c r="AA57" s="116" t="n">
        <v>0</v>
      </c>
      <c r="AB57" s="116" t="n"/>
      <c r="AC57" s="116" t="n"/>
      <c r="AD57" s="116" t="n"/>
      <c r="AE57" s="673" t="n"/>
      <c r="AF57" s="673" t="n"/>
      <c r="AG57" s="673" t="n"/>
    </row>
    <row r="58">
      <c r="A58" s="324" t="inlineStr">
        <is>
          <t xml:space="preserve">ZAAD INTENSE </t>
        </is>
      </c>
      <c r="B58" s="325" t="n"/>
      <c r="C58" s="325" t="n"/>
      <c r="D58" s="326" t="n"/>
      <c r="F58" s="116" t="n">
        <v>0</v>
      </c>
      <c r="G58" s="116" t="n">
        <v>0</v>
      </c>
      <c r="H58" s="116" t="n">
        <v>0</v>
      </c>
      <c r="I58" s="116" t="n">
        <v>0</v>
      </c>
      <c r="J58" s="116" t="n">
        <v>0</v>
      </c>
      <c r="K58" s="116" t="n">
        <v>0</v>
      </c>
      <c r="L58" s="116" t="n">
        <v>0</v>
      </c>
      <c r="M58" s="116" t="n">
        <v>0</v>
      </c>
      <c r="N58" s="116" t="n">
        <v>0</v>
      </c>
      <c r="O58" s="116" t="n">
        <v>0</v>
      </c>
      <c r="P58" s="116" t="n">
        <v>0</v>
      </c>
      <c r="Q58" s="116" t="n">
        <v>0</v>
      </c>
      <c r="R58" s="116" t="n">
        <v>0</v>
      </c>
      <c r="S58" s="116" t="n">
        <v>0</v>
      </c>
      <c r="T58" s="116" t="n">
        <v>0</v>
      </c>
      <c r="U58" s="116" t="n">
        <v>0</v>
      </c>
      <c r="V58" s="116" t="n">
        <v>0</v>
      </c>
      <c r="W58" s="116" t="n">
        <v>0</v>
      </c>
      <c r="X58" s="116" t="n">
        <v>0</v>
      </c>
      <c r="Y58" s="116" t="n">
        <v>0</v>
      </c>
      <c r="Z58" s="116" t="n">
        <v>0</v>
      </c>
      <c r="AA58" s="116" t="n">
        <v>0</v>
      </c>
      <c r="AB58" s="116" t="n"/>
      <c r="AC58" s="116" t="n"/>
      <c r="AD58" s="116" t="n"/>
      <c r="AE58" s="673" t="n"/>
      <c r="AF58" s="673" t="n"/>
      <c r="AG58" s="673" t="n"/>
    </row>
    <row r="59">
      <c r="A59" s="674" t="inlineStr">
        <is>
          <t>HER CODE CLIMAX</t>
        </is>
      </c>
      <c r="B59" s="658" t="n"/>
      <c r="C59" s="658" t="n"/>
      <c r="D59" s="670" t="n"/>
      <c r="F59" s="116" t="n">
        <v>0</v>
      </c>
      <c r="G59" s="116" t="n">
        <v>0</v>
      </c>
      <c r="H59" s="116" t="n">
        <v>0</v>
      </c>
      <c r="I59" s="116" t="n">
        <v>0</v>
      </c>
      <c r="J59" s="116" t="n">
        <v>0</v>
      </c>
      <c r="K59" s="116" t="n">
        <v>0</v>
      </c>
      <c r="L59" s="116" t="n">
        <v>0</v>
      </c>
      <c r="M59" s="116" t="n">
        <v>0</v>
      </c>
      <c r="N59" s="116" t="n">
        <v>0</v>
      </c>
      <c r="O59" s="116" t="n">
        <v>0</v>
      </c>
      <c r="P59" s="116" t="n">
        <v>0</v>
      </c>
      <c r="Q59" s="116" t="n">
        <v>0</v>
      </c>
      <c r="R59" s="116" t="n">
        <v>0</v>
      </c>
      <c r="S59" s="116" t="n">
        <v>0</v>
      </c>
      <c r="T59" s="116" t="n">
        <v>0</v>
      </c>
      <c r="U59" s="116" t="n">
        <v>0</v>
      </c>
      <c r="V59" s="116" t="n">
        <v>0</v>
      </c>
      <c r="W59" s="116" t="n">
        <v>0</v>
      </c>
      <c r="X59" s="116" t="n">
        <v>0</v>
      </c>
      <c r="Y59" s="116" t="n">
        <v>0</v>
      </c>
      <c r="Z59" s="116" t="n">
        <v>0</v>
      </c>
      <c r="AA59" s="116" t="n">
        <v>0</v>
      </c>
      <c r="AB59" s="116" t="n"/>
      <c r="AC59" s="116" t="n"/>
      <c r="AD59" s="116" t="n"/>
      <c r="AE59" s="673" t="n"/>
      <c r="AF59" s="673" t="n"/>
      <c r="AG59" s="673" t="n"/>
    </row>
    <row r="60">
      <c r="A60" s="674" t="inlineStr">
        <is>
          <t>AMOURUDA SACHE</t>
        </is>
      </c>
      <c r="B60" s="658" t="n"/>
      <c r="C60" s="658" t="n"/>
      <c r="D60" s="670" t="n"/>
      <c r="L60" s="116" t="n">
        <v>0</v>
      </c>
      <c r="M60" s="116" t="n">
        <v>112</v>
      </c>
      <c r="N60" s="116" t="n">
        <v>112</v>
      </c>
      <c r="O60" s="116" t="n">
        <v>112</v>
      </c>
      <c r="P60" s="116" t="n">
        <v>112</v>
      </c>
      <c r="Q60" s="116" t="n">
        <v>100</v>
      </c>
      <c r="R60" s="116" t="n">
        <v>80</v>
      </c>
      <c r="S60" s="116" t="n">
        <v>20</v>
      </c>
      <c r="T60" s="116" t="n">
        <v>20</v>
      </c>
      <c r="U60" s="116" t="n">
        <v>20</v>
      </c>
      <c r="V60" s="116" t="n">
        <v>0</v>
      </c>
      <c r="W60" s="116" t="n">
        <v>0</v>
      </c>
      <c r="X60" s="116" t="n">
        <v>0</v>
      </c>
      <c r="Y60" s="116" t="n">
        <v>0</v>
      </c>
      <c r="Z60" s="116" t="n">
        <v>0</v>
      </c>
      <c r="AA60" s="116" t="n">
        <v>0</v>
      </c>
      <c r="AB60" s="116" t="n"/>
      <c r="AC60" s="116" t="n"/>
      <c r="AD60" s="116" t="n"/>
      <c r="AE60" s="673" t="n"/>
      <c r="AF60" s="673" t="n"/>
      <c r="AG60" s="673" t="n"/>
    </row>
    <row r="61">
      <c r="A61" s="674" t="inlineStr">
        <is>
          <t>AMEIXA DOURADA SACHE</t>
        </is>
      </c>
      <c r="B61" s="658" t="n"/>
      <c r="C61" s="658" t="n"/>
      <c r="D61" s="670" t="n"/>
      <c r="L61" s="116" t="n"/>
      <c r="M61" s="116" t="n">
        <v>0</v>
      </c>
      <c r="N61" s="116" t="n">
        <v>100</v>
      </c>
      <c r="O61" s="116" t="n">
        <v>100</v>
      </c>
      <c r="P61" s="116" t="n">
        <v>100</v>
      </c>
      <c r="Q61" s="116" t="n">
        <v>90</v>
      </c>
      <c r="R61" s="116" t="n">
        <v>80</v>
      </c>
      <c r="S61" s="116" t="n">
        <v>30</v>
      </c>
      <c r="T61" s="116" t="n">
        <v>30</v>
      </c>
      <c r="U61" s="116" t="n">
        <v>30</v>
      </c>
      <c r="V61" s="116" t="n">
        <v>0</v>
      </c>
      <c r="W61" s="116" t="n">
        <v>0</v>
      </c>
      <c r="X61" s="116" t="n">
        <v>0</v>
      </c>
      <c r="Y61" s="116" t="n">
        <v>0</v>
      </c>
      <c r="Z61" s="116" t="n">
        <v>0</v>
      </c>
      <c r="AA61" s="116" t="n">
        <v>0</v>
      </c>
      <c r="AB61" s="116" t="n"/>
      <c r="AC61" s="116" t="n"/>
      <c r="AD61" s="116" t="n"/>
      <c r="AE61" s="673" t="n"/>
      <c r="AF61" s="673" t="n"/>
      <c r="AG61" s="673" t="n"/>
    </row>
    <row r="62">
      <c r="A62" s="674" t="inlineStr">
        <is>
          <t>SACHÊ CEREJA DE FASES</t>
        </is>
      </c>
      <c r="B62" s="658" t="n"/>
      <c r="C62" s="658" t="n"/>
      <c r="D62" s="670" t="n"/>
      <c r="T62" s="116" t="n">
        <v>0</v>
      </c>
      <c r="U62" s="116" t="n">
        <v>0</v>
      </c>
      <c r="V62" s="116" t="n">
        <v>0</v>
      </c>
      <c r="W62" s="116" t="n">
        <v>222</v>
      </c>
      <c r="X62" s="116" t="n">
        <v>222</v>
      </c>
      <c r="Y62" s="116" t="n">
        <v>200</v>
      </c>
      <c r="Z62" s="116" t="n">
        <v>200</v>
      </c>
      <c r="AA62" s="116" t="n">
        <v>90</v>
      </c>
      <c r="AB62" s="116" t="n"/>
      <c r="AC62" s="116" t="n"/>
      <c r="AD62" s="116" t="n"/>
      <c r="AE62" s="673" t="n"/>
      <c r="AF62" s="673" t="n"/>
      <c r="AG62" s="673" t="n"/>
    </row>
    <row r="63">
      <c r="A63" s="674" t="n"/>
      <c r="B63" s="658" t="n"/>
      <c r="C63" s="658" t="n"/>
      <c r="D63" s="670" t="n"/>
      <c r="T63" s="116" t="n"/>
      <c r="U63" s="116" t="n"/>
      <c r="V63" s="116" t="n"/>
      <c r="W63" s="116" t="n"/>
      <c r="X63" s="116" t="n"/>
      <c r="Y63" s="116" t="n"/>
      <c r="Z63" s="116" t="n"/>
      <c r="AA63" s="116" t="n"/>
      <c r="AB63" s="116" t="n"/>
      <c r="AC63" s="116" t="n"/>
      <c r="AD63" s="116" t="n"/>
      <c r="AE63" s="673" t="n"/>
      <c r="AF63" s="673" t="n"/>
      <c r="AG63" s="673" t="n"/>
    </row>
    <row r="64">
      <c r="A64" s="674" t="n"/>
      <c r="B64" s="658" t="n"/>
      <c r="C64" s="658" t="n"/>
      <c r="D64" s="670" t="n"/>
      <c r="T64" s="116" t="n"/>
      <c r="U64" s="116" t="n"/>
      <c r="V64" s="116" t="n"/>
      <c r="W64" s="116" t="n"/>
      <c r="X64" s="116" t="n"/>
      <c r="Y64" s="116" t="n"/>
      <c r="Z64" s="116" t="n"/>
      <c r="AA64" s="116" t="n"/>
      <c r="AB64" s="116" t="n"/>
      <c r="AC64" s="116" t="n"/>
      <c r="AD64" s="116" t="n"/>
      <c r="AE64" s="673" t="n"/>
      <c r="AF64" s="673" t="n"/>
      <c r="AG64" s="673" t="n"/>
    </row>
    <row r="65">
      <c r="A65" s="674" t="n"/>
      <c r="B65" s="658" t="n"/>
      <c r="C65" s="658" t="n"/>
      <c r="D65" s="670" t="n"/>
      <c r="T65" s="116" t="n"/>
      <c r="U65" s="116" t="n"/>
      <c r="V65" s="116" t="n"/>
      <c r="W65" s="116" t="n"/>
      <c r="X65" s="116" t="n"/>
      <c r="Y65" s="116" t="n"/>
      <c r="Z65" s="116" t="n"/>
      <c r="AA65" s="116" t="n"/>
      <c r="AB65" s="116" t="n"/>
      <c r="AC65" s="116" t="n"/>
      <c r="AD65" s="116" t="n"/>
      <c r="AE65" s="673" t="n"/>
      <c r="AF65" s="673" t="n"/>
      <c r="AG65" s="673" t="n"/>
    </row>
  </sheetData>
  <mergeCells count="15">
    <mergeCell ref="A5:A6"/>
    <mergeCell ref="B3:D3"/>
    <mergeCell ref="A61:D61"/>
    <mergeCell ref="BJ7:BR7"/>
    <mergeCell ref="A62:D62"/>
    <mergeCell ref="A64:D64"/>
    <mergeCell ref="A59:D59"/>
    <mergeCell ref="A65:D65"/>
    <mergeCell ref="A63:D63"/>
    <mergeCell ref="A35:C35"/>
    <mergeCell ref="D5:D6"/>
    <mergeCell ref="A60:D60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8" fitToHeight="0"/>
</worksheet>
</file>

<file path=xl/worksheets/sheet6.xml><?xml version="1.0" encoding="utf-8"?>
<worksheet xmlns="http://schemas.openxmlformats.org/spreadsheetml/2006/main">
  <sheetPr codeName="Planilha23">
    <tabColor theme="9"/>
    <outlinePr summaryBelow="1" summaryRight="1"/>
    <pageSetUpPr/>
  </sheetPr>
  <dimension ref="A1:IK65"/>
  <sheetViews>
    <sheetView showGridLines="0" zoomScale="80" zoomScaleNormal="80" workbookViewId="0">
      <selection activeCell="AC1" sqref="AC1:AC1048576"/>
    </sheetView>
  </sheetViews>
  <sheetFormatPr baseColWidth="8" defaultColWidth="9.140625" defaultRowHeight="18.75"/>
  <cols>
    <col width="29.7109375" customWidth="1" style="52" min="1" max="1"/>
    <col width="11" customWidth="1" style="6" min="2" max="2"/>
    <col hidden="1" width="14.5703125" customWidth="1" style="6" min="3" max="3"/>
    <col width="14.5703125" customWidth="1" style="6" min="4" max="4"/>
    <col width="2.140625" customWidth="1" style="6" min="5" max="5"/>
    <col hidden="1" width="9.5703125" customWidth="1" style="6" min="6" max="9"/>
    <col hidden="1" width="8.140625" customWidth="1" style="6" min="10" max="26"/>
    <col width="8.140625" customWidth="1" style="6" min="27" max="29"/>
    <col width="9.42578125" customWidth="1" style="6" min="30" max="30"/>
    <col width="1.5703125" customWidth="1" style="49" min="31" max="31"/>
    <col width="23.85546875" customWidth="1" style="49" min="32" max="32"/>
    <col width="14.28515625" bestFit="1" customWidth="1" style="49" min="33" max="34"/>
    <col width="2.42578125" customWidth="1" style="6" min="35" max="35"/>
    <col width="3" customWidth="1" style="6" min="36" max="36"/>
    <col width="8.140625" customWidth="1" style="49" min="37" max="41"/>
    <col width="8.7109375" customWidth="1" style="51" min="42" max="42"/>
    <col hidden="1" width="8.140625" customWidth="1" style="49" min="43" max="44"/>
    <col hidden="1" width="13.7109375" customWidth="1" style="49" min="45" max="45"/>
    <col hidden="1" width="8.140625" customWidth="1" style="49" min="46" max="56"/>
    <col width="4.7109375" customWidth="1" style="6" min="57" max="57"/>
    <col width="3.42578125" customWidth="1" min="58" max="58"/>
    <col width="15" customWidth="1" style="49" min="59" max="59"/>
    <col width="4.85546875" customWidth="1" min="60" max="60"/>
    <col width="21.85546875" bestFit="1" customWidth="1" style="6" min="61" max="61"/>
    <col width="9.140625" customWidth="1" style="6" min="62" max="62"/>
    <col hidden="1" width="13" customWidth="1" style="6" min="63" max="67"/>
    <col width="9.140625" customWidth="1" style="6" min="68" max="71"/>
    <col width="4" customWidth="1" style="6" min="72" max="72"/>
    <col width="9.140625" customWidth="1" style="6" min="73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G1" s="74" t="n"/>
    </row>
    <row r="2">
      <c r="A2" s="50" t="inlineStr">
        <is>
          <t>LOJA:</t>
        </is>
      </c>
      <c r="B2" s="639" t="inlineStr">
        <is>
          <t>PLAZA</t>
        </is>
      </c>
      <c r="C2" s="640" t="n"/>
      <c r="D2" s="641" t="n"/>
      <c r="E2" s="77" t="n"/>
      <c r="AE2" s="6" t="n"/>
      <c r="AF2" s="6" t="n"/>
      <c r="AG2" s="6" t="n"/>
      <c r="AH2" s="6" t="n"/>
      <c r="AK2" s="6" t="n"/>
      <c r="AL2" s="6" t="n"/>
      <c r="AM2" s="6" t="n"/>
      <c r="AN2" s="6" t="n"/>
      <c r="AO2" s="6" t="n"/>
      <c r="AQ2" s="6" t="n"/>
      <c r="AR2" s="6" t="n"/>
      <c r="AS2" s="6" t="n"/>
      <c r="AT2" s="6" t="n"/>
      <c r="AU2" s="6" t="n"/>
      <c r="AV2" s="6" t="n"/>
      <c r="AW2" s="6" t="n"/>
      <c r="AX2" s="6" t="n"/>
      <c r="AY2" s="6" t="n"/>
      <c r="AZ2" s="6" t="n"/>
      <c r="BA2" s="6" t="n"/>
      <c r="BB2" s="6" t="n"/>
      <c r="BC2" s="6" t="n"/>
      <c r="BD2" s="6" t="n"/>
      <c r="BG2" s="6" t="n"/>
    </row>
    <row r="3">
      <c r="A3" s="50" t="inlineStr">
        <is>
          <t>Responsável:</t>
        </is>
      </c>
      <c r="B3" s="253" t="inlineStr">
        <is>
          <t>INGRID E YRLA</t>
        </is>
      </c>
      <c r="C3" s="640" t="n"/>
      <c r="D3" s="641" t="n"/>
      <c r="E3" s="51" t="n"/>
      <c r="F3" s="105" t="n"/>
      <c r="G3" s="105" t="n"/>
      <c r="H3" s="105" t="n"/>
      <c r="I3" s="105" t="n"/>
      <c r="J3" s="105" t="n"/>
      <c r="K3" s="105" t="n"/>
      <c r="L3" s="105" t="n"/>
      <c r="M3" s="105" t="n"/>
      <c r="N3" s="105" t="n"/>
      <c r="O3" s="105" t="n"/>
      <c r="P3" s="105" t="n"/>
      <c r="Q3" s="105" t="n"/>
      <c r="R3" s="105" t="n"/>
      <c r="S3" s="105" t="n"/>
      <c r="T3" s="105" t="n"/>
      <c r="U3" s="105" t="n"/>
      <c r="V3" s="105" t="n"/>
      <c r="W3" s="105" t="n"/>
      <c r="X3" s="105" t="n"/>
      <c r="Y3" s="105" t="n"/>
      <c r="Z3" s="105" t="n"/>
      <c r="AA3" s="105" t="n"/>
      <c r="AB3" s="105" t="n"/>
      <c r="AC3" s="105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</row>
    <row r="4">
      <c r="AE4" s="6" t="n"/>
      <c r="AF4" s="6" t="n"/>
      <c r="AG4" s="6" t="n"/>
      <c r="AH4" s="6" t="n"/>
      <c r="AK4" s="6" t="n"/>
      <c r="AL4" s="6" t="n"/>
      <c r="AM4" s="6" t="n"/>
      <c r="AN4" s="6" t="n"/>
      <c r="AO4" s="6" t="n"/>
      <c r="AP4" s="254" t="n"/>
      <c r="AQ4" s="6" t="n"/>
      <c r="AR4" s="6" t="n"/>
      <c r="AS4" s="6" t="n"/>
      <c r="AT4" s="6" t="n"/>
      <c r="AU4" s="6" t="n"/>
      <c r="AV4" s="6" t="n"/>
      <c r="AW4" s="6" t="n"/>
      <c r="AX4" s="6" t="n"/>
      <c r="AY4" s="6" t="n"/>
      <c r="AZ4" s="6" t="n"/>
      <c r="BA4" s="6" t="n"/>
      <c r="BB4" s="6" t="n"/>
      <c r="BC4" s="6" t="n"/>
      <c r="BD4" s="6" t="n"/>
      <c r="BG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10" t="n"/>
      <c r="G5" s="510" t="n"/>
      <c r="H5" s="510" t="n"/>
      <c r="I5" s="510" t="n"/>
      <c r="J5" s="510" t="n"/>
      <c r="K5" s="510" t="n"/>
      <c r="L5" s="510" t="n"/>
      <c r="M5" s="510" t="n"/>
      <c r="N5" s="510" t="n"/>
      <c r="O5" s="510" t="n"/>
      <c r="P5" s="510" t="n"/>
      <c r="Q5" s="510" t="n"/>
      <c r="R5" s="510" t="n"/>
      <c r="S5" s="510" t="n"/>
      <c r="T5" s="510" t="n"/>
      <c r="U5" s="510" t="n"/>
      <c r="V5" s="510" t="n"/>
      <c r="W5" s="510" t="n"/>
      <c r="X5" s="510" t="n"/>
      <c r="Y5" s="510" t="n"/>
      <c r="Z5" s="510" t="n"/>
      <c r="AA5" s="510" t="n"/>
      <c r="AB5" s="510" t="n"/>
      <c r="AC5" s="510" t="n"/>
      <c r="AD5" s="153" t="n"/>
      <c r="AE5" s="109" t="n"/>
      <c r="AF5" s="413" t="inlineStr">
        <is>
          <t>TRANSFERÊNCIA</t>
        </is>
      </c>
      <c r="AG5" s="35" t="inlineStr">
        <is>
          <t>Pendências</t>
        </is>
      </c>
      <c r="AH5" s="35" t="inlineStr">
        <is>
          <t>Pendências</t>
        </is>
      </c>
      <c r="AK5" s="646" t="n">
        <v>46156</v>
      </c>
      <c r="AL5" s="646" t="n">
        <v>46149</v>
      </c>
      <c r="AM5" s="646" t="n">
        <v>46142</v>
      </c>
      <c r="AN5" s="646" t="n">
        <v>46114</v>
      </c>
      <c r="AO5" s="646" t="n">
        <v>46107</v>
      </c>
      <c r="AP5" s="647" t="n">
        <v>46065</v>
      </c>
      <c r="AQ5" s="646" t="n">
        <v>46099</v>
      </c>
      <c r="AR5" s="646" t="n">
        <v>46092</v>
      </c>
      <c r="AS5" s="648" t="inlineStr">
        <is>
          <t>TRANSF.</t>
        </is>
      </c>
      <c r="AT5" s="646" t="n">
        <v>46071</v>
      </c>
      <c r="AU5" s="646" t="n">
        <v>46056</v>
      </c>
      <c r="AV5" s="646" t="n">
        <v>46048</v>
      </c>
      <c r="AW5" s="646" t="n">
        <v>46043</v>
      </c>
      <c r="AX5" s="646" t="n">
        <v>46035</v>
      </c>
      <c r="AY5" s="646" t="n">
        <v>46029</v>
      </c>
      <c r="AZ5" s="646" t="n">
        <v>46017</v>
      </c>
      <c r="BA5" s="646" t="n">
        <v>46007</v>
      </c>
      <c r="BB5" s="646" t="n">
        <v>46001</v>
      </c>
      <c r="BC5" s="646" t="n">
        <v>45994</v>
      </c>
      <c r="BD5" s="646" t="n">
        <v>45986</v>
      </c>
      <c r="BG5" s="12" t="inlineStr">
        <is>
          <t>Novo Pedido</t>
        </is>
      </c>
    </row>
    <row r="6" ht="21.75" customFormat="1" customHeight="1" s="3">
      <c r="A6" s="649" t="n"/>
      <c r="B6" s="649" t="n"/>
      <c r="C6" s="649" t="n"/>
      <c r="D6" s="649" t="n"/>
      <c r="F6" s="650" t="n">
        <v>46006</v>
      </c>
      <c r="G6" s="650" t="n">
        <v>46013</v>
      </c>
      <c r="H6" s="650" t="n">
        <v>46020</v>
      </c>
      <c r="I6" s="650" t="n">
        <v>46027</v>
      </c>
      <c r="J6" s="650" t="n">
        <v>46034</v>
      </c>
      <c r="K6" s="650" t="n">
        <v>46041</v>
      </c>
      <c r="L6" s="650" t="n">
        <v>46048</v>
      </c>
      <c r="M6" s="650" t="n">
        <v>46055</v>
      </c>
      <c r="N6" s="650" t="n">
        <v>46062</v>
      </c>
      <c r="O6" s="650" t="n">
        <v>46069</v>
      </c>
      <c r="P6" s="650" t="n">
        <v>46076</v>
      </c>
      <c r="Q6" s="650" t="n">
        <v>46083</v>
      </c>
      <c r="R6" s="650" t="n">
        <v>46090</v>
      </c>
      <c r="S6" s="650" t="n">
        <v>46097</v>
      </c>
      <c r="T6" s="650" t="n">
        <v>46104</v>
      </c>
      <c r="U6" s="650" t="n">
        <v>46111</v>
      </c>
      <c r="V6" s="650" t="n">
        <v>46118</v>
      </c>
      <c r="W6" s="650" t="n">
        <v>46125</v>
      </c>
      <c r="X6" s="650" t="n">
        <v>46132</v>
      </c>
      <c r="Y6" s="650" t="n">
        <v>46139</v>
      </c>
      <c r="Z6" s="650" t="n">
        <v>46146</v>
      </c>
      <c r="AA6" s="650" t="n">
        <v>46154</v>
      </c>
      <c r="AB6" s="650" t="n">
        <v>46160</v>
      </c>
      <c r="AC6" s="650" t="n">
        <v>46160</v>
      </c>
      <c r="AD6" s="652" t="inlineStr">
        <is>
          <t>USOU</t>
        </is>
      </c>
      <c r="AE6" s="124" t="n"/>
      <c r="AF6" s="414" t="inlineStr">
        <is>
          <t>SUGESTÃO</t>
        </is>
      </c>
      <c r="AG6" s="214" t="n">
        <v>46156</v>
      </c>
      <c r="AH6" s="214" t="n">
        <v>46149</v>
      </c>
      <c r="AI6" s="653" t="n"/>
      <c r="AJ6" s="653" t="n"/>
      <c r="AK6" s="654" t="n"/>
      <c r="AL6" s="654" t="n"/>
      <c r="AM6" s="654" t="n">
        <v>46148</v>
      </c>
      <c r="AN6" s="654" t="n">
        <v>46121</v>
      </c>
      <c r="AO6" s="654" t="n">
        <v>46111</v>
      </c>
      <c r="AP6" s="647" t="n">
        <v>46107</v>
      </c>
      <c r="AQ6" s="654" t="n">
        <v>46105</v>
      </c>
      <c r="AR6" s="654" t="n">
        <v>46097</v>
      </c>
      <c r="AS6" s="655" t="n">
        <v>46079</v>
      </c>
      <c r="AT6" s="654" t="n">
        <v>46073</v>
      </c>
      <c r="AU6" s="654" t="n">
        <v>46057</v>
      </c>
      <c r="AV6" s="654" t="n">
        <v>46050</v>
      </c>
      <c r="AW6" s="654" t="n">
        <v>46051</v>
      </c>
      <c r="AX6" s="654" t="n">
        <v>46041</v>
      </c>
      <c r="AY6" s="654" t="n">
        <v>46037</v>
      </c>
      <c r="AZ6" s="654" t="n">
        <v>46030</v>
      </c>
      <c r="BA6" s="654" t="n">
        <v>46010</v>
      </c>
      <c r="BB6" s="654" t="n">
        <v>46007</v>
      </c>
      <c r="BC6" s="654" t="n">
        <v>46001</v>
      </c>
      <c r="BD6" s="654" t="n">
        <v>45994</v>
      </c>
      <c r="BG6" s="656" t="n"/>
      <c r="BI6" s="6" t="n"/>
      <c r="BJ6" s="6" t="n"/>
      <c r="BK6" s="6" t="n"/>
      <c r="BL6" s="6" t="n"/>
      <c r="BM6" s="6" t="n"/>
      <c r="BN6" s="6" t="n"/>
      <c r="BO6" s="6" t="n"/>
      <c r="BP6" s="6" t="n"/>
      <c r="BQ6" s="6" t="n"/>
      <c r="BR6" s="6" t="n"/>
      <c r="BS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F7" s="76" t="n"/>
      <c r="G7" s="76" t="n"/>
      <c r="H7" s="76" t="n"/>
      <c r="I7" s="76" t="n"/>
      <c r="J7" s="76" t="n"/>
      <c r="K7" s="76" t="n"/>
      <c r="L7" s="76" t="n"/>
      <c r="M7" s="76" t="n"/>
      <c r="N7" s="76" t="n"/>
      <c r="O7" s="76" t="n"/>
      <c r="P7" s="76" t="n"/>
      <c r="Q7" s="76" t="n"/>
      <c r="R7" s="76" t="n"/>
      <c r="S7" s="76" t="n"/>
      <c r="T7" s="76" t="n"/>
      <c r="U7" s="76" t="n"/>
      <c r="V7" s="76" t="n"/>
      <c r="W7" s="76" t="n"/>
      <c r="X7" s="76" t="n"/>
      <c r="Y7" s="76" t="n"/>
      <c r="Z7" s="76" t="n"/>
      <c r="AA7" s="76" t="n"/>
      <c r="AB7" s="76" t="n"/>
      <c r="AC7" s="76" t="n"/>
      <c r="AD7" s="76" t="n"/>
      <c r="AE7" s="1" t="n"/>
      <c r="AF7" s="89" t="n"/>
      <c r="AG7" s="89" t="n"/>
      <c r="AH7" s="89" t="n"/>
      <c r="AI7" s="6" t="n"/>
      <c r="AJ7" s="6" t="n"/>
      <c r="AK7" s="283" t="n"/>
      <c r="AL7" s="283" t="n"/>
      <c r="AM7" s="283" t="n"/>
      <c r="AN7" s="283" t="n"/>
      <c r="AO7" s="283" t="n"/>
      <c r="AP7" s="575" t="inlineStr">
        <is>
          <t>MÃES</t>
        </is>
      </c>
      <c r="AQ7" s="283" t="n"/>
      <c r="AR7" s="283" t="n"/>
      <c r="AS7" s="283" t="n"/>
      <c r="AT7" s="283" t="n"/>
      <c r="AU7" s="283" t="n"/>
      <c r="AV7" s="283" t="n"/>
      <c r="AW7" s="283" t="n"/>
      <c r="AX7" s="283" t="n"/>
      <c r="AY7" s="283" t="n"/>
      <c r="AZ7" s="283" t="n"/>
      <c r="BA7" s="283" t="n"/>
      <c r="BB7" s="283" t="n"/>
      <c r="BC7" s="283" t="n"/>
      <c r="BD7" s="283" t="n"/>
      <c r="BG7" s="20" t="n"/>
      <c r="BI7" s="504" t="inlineStr">
        <is>
          <t>MÃES 2026</t>
        </is>
      </c>
      <c r="BJ7" s="658" t="n"/>
      <c r="BK7" s="658" t="n"/>
      <c r="BL7" s="658" t="n"/>
      <c r="BM7" s="658" t="n"/>
      <c r="BN7" s="658" t="n"/>
      <c r="BO7" s="658" t="n"/>
      <c r="BP7" s="658" t="n"/>
      <c r="BQ7" s="658" t="n"/>
      <c r="BR7" s="505" t="n"/>
      <c r="BS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600</v>
      </c>
      <c r="F8" s="187" t="n">
        <v>900</v>
      </c>
      <c r="G8" s="187" t="n">
        <v>800</v>
      </c>
      <c r="H8" s="187" t="n">
        <v>1200</v>
      </c>
      <c r="I8" s="187" t="n">
        <v>2100</v>
      </c>
      <c r="J8" s="187" t="n">
        <v>1800</v>
      </c>
      <c r="K8" s="187" t="n">
        <v>1800</v>
      </c>
      <c r="L8" s="187" t="n">
        <v>1800</v>
      </c>
      <c r="M8" s="187" t="n">
        <v>1500</v>
      </c>
      <c r="N8" s="187" t="n">
        <v>1500</v>
      </c>
      <c r="O8" s="187" t="n">
        <v>1200</v>
      </c>
      <c r="P8" s="187">
        <f>1500-300</f>
        <v/>
      </c>
      <c r="Q8" s="187" t="n">
        <v>1200</v>
      </c>
      <c r="R8" s="187" t="n">
        <v>1200</v>
      </c>
      <c r="S8" s="187" t="n">
        <v>900</v>
      </c>
      <c r="T8" s="187" t="n">
        <v>900</v>
      </c>
      <c r="U8" s="187" t="n">
        <v>900</v>
      </c>
      <c r="V8" s="187" t="n">
        <v>900</v>
      </c>
      <c r="W8" s="187" t="n">
        <v>300</v>
      </c>
      <c r="X8" s="187" t="n">
        <v>300</v>
      </c>
      <c r="Y8" s="187" t="n">
        <v>160</v>
      </c>
      <c r="Z8" s="187">
        <f>160+AM8</f>
        <v/>
      </c>
      <c r="AA8" s="187" t="n">
        <v>160</v>
      </c>
      <c r="AB8" s="187" t="n"/>
      <c r="AC8" s="187" t="n"/>
      <c r="AD8" s="188">
        <f>AB8+IF(NOT(ISBLANK(OFFSET(AD8,0,6))),N(OFFSET(AD8,0,6)),N(OFFSET(AD8,0,7)))-AC8</f>
        <v/>
      </c>
      <c r="AE8" s="114" t="n"/>
      <c r="AF8" s="19" t="n"/>
      <c r="AG8" s="19" t="n">
        <v>900</v>
      </c>
      <c r="AH8" s="19" t="n"/>
      <c r="AI8" s="6" t="n"/>
      <c r="AJ8" s="6" t="n"/>
      <c r="AK8" s="18" t="n">
        <v>0</v>
      </c>
      <c r="AL8" s="18" t="n">
        <v>0</v>
      </c>
      <c r="AM8" s="18" t="n">
        <v>600</v>
      </c>
      <c r="AN8" s="18" t="n"/>
      <c r="AO8" s="18" t="n"/>
      <c r="AP8" s="356" t="n"/>
      <c r="AQ8" s="18" t="n"/>
      <c r="AR8" s="18" t="n"/>
      <c r="AS8" s="154" t="inlineStr">
        <is>
          <t>300 P/ PBE</t>
        </is>
      </c>
      <c r="AT8" s="18" t="n">
        <v>300</v>
      </c>
      <c r="AU8" s="18" t="n"/>
      <c r="AV8" s="18" t="n"/>
      <c r="AW8" s="18" t="n"/>
      <c r="AX8" s="18" t="n"/>
      <c r="AY8" s="18" t="n"/>
      <c r="AZ8" s="18" t="n">
        <v>900</v>
      </c>
      <c r="BA8" s="18" t="n"/>
      <c r="BB8" s="18" t="n">
        <v>1200</v>
      </c>
      <c r="BC8" s="18" t="n"/>
      <c r="BD8" s="18" t="n">
        <v>900</v>
      </c>
      <c r="BG8" s="23" t="n"/>
      <c r="BI8" s="267" t="inlineStr">
        <is>
          <t xml:space="preserve">SACOLAS </t>
        </is>
      </c>
      <c r="BJ8" s="205" t="inlineStr">
        <is>
          <t>PCT</t>
        </is>
      </c>
      <c r="BK8" s="650" t="n">
        <v>46118</v>
      </c>
      <c r="BL8" s="650" t="n">
        <v>46125</v>
      </c>
      <c r="BM8" s="650" t="n">
        <v>46132</v>
      </c>
      <c r="BN8" s="650" t="n">
        <v>46139</v>
      </c>
      <c r="BO8" s="650" t="n">
        <v>46146</v>
      </c>
      <c r="BP8" s="650" t="n">
        <v>46154</v>
      </c>
      <c r="BQ8" s="650" t="n">
        <v>46160</v>
      </c>
      <c r="BR8" s="650" t="n">
        <v>46160</v>
      </c>
      <c r="BS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1400</v>
      </c>
      <c r="F9" s="187" t="n">
        <v>600</v>
      </c>
      <c r="G9" s="187" t="n">
        <v>1000</v>
      </c>
      <c r="H9" s="187" t="n">
        <v>0</v>
      </c>
      <c r="I9" s="187" t="n">
        <v>1600</v>
      </c>
      <c r="J9" s="187" t="n">
        <v>1200</v>
      </c>
      <c r="K9" s="187">
        <f>1200+AX9</f>
        <v/>
      </c>
      <c r="L9" s="187" t="n">
        <v>800</v>
      </c>
      <c r="M9" s="187" t="n">
        <v>2200</v>
      </c>
      <c r="N9" s="187" t="n">
        <v>1800</v>
      </c>
      <c r="O9" s="187" t="n">
        <v>1600</v>
      </c>
      <c r="P9" s="187" t="n">
        <v>3200</v>
      </c>
      <c r="Q9" s="187" t="n">
        <v>3200</v>
      </c>
      <c r="R9" s="187" t="n">
        <v>2200</v>
      </c>
      <c r="S9" s="187" t="n">
        <v>1800</v>
      </c>
      <c r="T9" s="187" t="n">
        <v>1000</v>
      </c>
      <c r="U9" s="187">
        <f>800+AO9</f>
        <v/>
      </c>
      <c r="V9" s="187" t="n">
        <v>800</v>
      </c>
      <c r="W9" s="187" t="n">
        <v>1200</v>
      </c>
      <c r="X9" s="187" t="n">
        <v>1200</v>
      </c>
      <c r="Y9" s="187" t="n">
        <v>1200</v>
      </c>
      <c r="Z9" s="187" t="n">
        <v>1000</v>
      </c>
      <c r="AA9" s="187" t="n">
        <v>1000</v>
      </c>
      <c r="AB9" s="187" t="n"/>
      <c r="AC9" s="187" t="n"/>
      <c r="AD9" s="188">
        <f>AB9+IF(NOT(ISBLANK(OFFSET(AD9,0,6))),N(OFFSET(AD9,0,6)),N(OFFSET(AD9,0,7)))-AC9</f>
        <v/>
      </c>
      <c r="AE9" s="114" t="n"/>
      <c r="AF9" s="19" t="n"/>
      <c r="AG9" s="19" t="n"/>
      <c r="AH9" s="19" t="n"/>
      <c r="AI9" s="6" t="n"/>
      <c r="AJ9" s="6" t="n"/>
      <c r="AK9" s="18" t="n">
        <v>0</v>
      </c>
      <c r="AL9" s="18" t="n">
        <v>0</v>
      </c>
      <c r="AM9" s="18" t="n">
        <v>0</v>
      </c>
      <c r="AN9" s="18" t="n">
        <v>600</v>
      </c>
      <c r="AO9" s="18" t="n">
        <v>1000</v>
      </c>
      <c r="AP9" s="256" t="n">
        <v>4000</v>
      </c>
      <c r="AQ9" s="18" t="n"/>
      <c r="AR9" s="18" t="n"/>
      <c r="AS9" s="18" t="n"/>
      <c r="AT9" s="18" t="n">
        <v>2000</v>
      </c>
      <c r="AU9" s="18" t="n">
        <v>600</v>
      </c>
      <c r="AV9" s="18" t="n">
        <v>1400</v>
      </c>
      <c r="AW9" s="18" t="n">
        <v>600</v>
      </c>
      <c r="AX9" s="18" t="n">
        <v>600</v>
      </c>
      <c r="AY9" s="18" t="n">
        <v>400</v>
      </c>
      <c r="AZ9" s="18" t="n">
        <v>1600</v>
      </c>
      <c r="BA9" s="18" t="n">
        <v>1000</v>
      </c>
      <c r="BB9" s="18" t="n">
        <v>1600</v>
      </c>
      <c r="BC9" s="18" t="n">
        <v>400</v>
      </c>
      <c r="BD9" s="18" t="n"/>
      <c r="BG9" s="23" t="n"/>
      <c r="BI9" s="159" t="inlineStr">
        <is>
          <t xml:space="preserve">SACOLA P </t>
        </is>
      </c>
      <c r="BJ9" s="129" t="n">
        <v>200</v>
      </c>
      <c r="BK9" s="38">
        <f>AP9</f>
        <v/>
      </c>
      <c r="BL9" s="38" t="n">
        <v>3800</v>
      </c>
      <c r="BM9" s="38" t="n">
        <v>3000</v>
      </c>
      <c r="BN9" s="38" t="n">
        <v>2600</v>
      </c>
      <c r="BO9" s="38" t="n">
        <v>2400</v>
      </c>
      <c r="BP9" s="38" t="n">
        <v>800</v>
      </c>
      <c r="BQ9" s="38" t="n"/>
      <c r="BR9" s="38" t="n"/>
      <c r="BS9" s="246">
        <f>BQ9+IF(NOT(ISBLANK(OFFSET(BS9,0,6))),N(OFFSET(BS9,0,6)),N(OFFSET(BS9,0,7)))-BR9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1000</v>
      </c>
      <c r="F10" s="187" t="n">
        <v>800</v>
      </c>
      <c r="G10" s="187" t="n">
        <v>0</v>
      </c>
      <c r="H10" s="187" t="n">
        <v>0</v>
      </c>
      <c r="I10" s="187" t="n">
        <v>1000</v>
      </c>
      <c r="J10" s="187" t="n">
        <v>800</v>
      </c>
      <c r="K10" s="187">
        <f>400+AX10</f>
        <v/>
      </c>
      <c r="L10" s="187" t="n">
        <v>600</v>
      </c>
      <c r="M10" s="187" t="n">
        <v>600</v>
      </c>
      <c r="N10" s="187" t="n">
        <v>1000</v>
      </c>
      <c r="O10" s="187" t="n">
        <v>800</v>
      </c>
      <c r="P10" s="187">
        <f>1400+400</f>
        <v/>
      </c>
      <c r="Q10" s="187" t="n">
        <v>1400</v>
      </c>
      <c r="R10" s="187" t="n">
        <v>1200</v>
      </c>
      <c r="S10" s="187" t="n">
        <v>800</v>
      </c>
      <c r="T10" s="187">
        <f>400+AQ10</f>
        <v/>
      </c>
      <c r="U10" s="187">
        <f>200+AO10</f>
        <v/>
      </c>
      <c r="V10" s="187" t="n">
        <v>400</v>
      </c>
      <c r="W10" s="187" t="n">
        <v>1000</v>
      </c>
      <c r="X10" s="187" t="n">
        <v>1000</v>
      </c>
      <c r="Y10" s="187" t="n">
        <v>1000</v>
      </c>
      <c r="Z10" s="187" t="n">
        <v>1000</v>
      </c>
      <c r="AA10" s="187" t="n">
        <v>1000</v>
      </c>
      <c r="AB10" s="187" t="n"/>
      <c r="AC10" s="187" t="n"/>
      <c r="AD10" s="188">
        <f>AB10+IF(NOT(ISBLANK(OFFSET(AD10,0,6))),N(OFFSET(AD10,0,6)),N(OFFSET(AD10,0,7)))-AC10</f>
        <v/>
      </c>
      <c r="AF10" s="19" t="n"/>
      <c r="AG10" s="19" t="n"/>
      <c r="AH10" s="19" t="n"/>
      <c r="AI10" s="6" t="n"/>
      <c r="AJ10" s="6" t="n"/>
      <c r="AK10" s="18" t="n">
        <v>0</v>
      </c>
      <c r="AL10" s="18" t="n">
        <v>0</v>
      </c>
      <c r="AM10" s="18" t="n">
        <v>0</v>
      </c>
      <c r="AN10" s="18" t="n">
        <v>600</v>
      </c>
      <c r="AO10" s="18" t="n">
        <v>600</v>
      </c>
      <c r="AP10" s="256" t="n">
        <v>3000</v>
      </c>
      <c r="AQ10" s="18" t="n">
        <v>200</v>
      </c>
      <c r="AR10" s="18" t="n"/>
      <c r="AS10" s="154" t="inlineStr">
        <is>
          <t>400 DE MG</t>
        </is>
      </c>
      <c r="AT10" s="18" t="n">
        <v>600</v>
      </c>
      <c r="AU10" s="18" t="n">
        <v>1000</v>
      </c>
      <c r="AV10" s="18" t="n"/>
      <c r="AW10" s="18" t="n">
        <v>600</v>
      </c>
      <c r="AX10" s="18" t="n">
        <v>400</v>
      </c>
      <c r="AY10" s="18" t="n">
        <v>200</v>
      </c>
      <c r="AZ10" s="18" t="n">
        <v>1000</v>
      </c>
      <c r="BA10" s="18" t="n"/>
      <c r="BB10" s="18" t="n">
        <v>200</v>
      </c>
      <c r="BC10" s="18" t="n"/>
      <c r="BD10" s="18" t="n"/>
      <c r="BG10" s="23" t="n"/>
      <c r="BI10" s="29" t="inlineStr">
        <is>
          <t xml:space="preserve">SACOLA M </t>
        </is>
      </c>
      <c r="BJ10" s="9" t="n">
        <v>200</v>
      </c>
      <c r="BK10" s="38">
        <f>AP10</f>
        <v/>
      </c>
      <c r="BL10" s="38" t="n">
        <v>2600</v>
      </c>
      <c r="BM10" s="38" t="n">
        <v>2000</v>
      </c>
      <c r="BN10" s="38" t="n">
        <v>1600</v>
      </c>
      <c r="BO10" s="38" t="n">
        <v>1400</v>
      </c>
      <c r="BP10" s="38" t="n">
        <v>0</v>
      </c>
      <c r="BQ10" s="38" t="n"/>
      <c r="BR10" s="38" t="n"/>
      <c r="BS10" s="246">
        <f>BQ10+IF(NOT(ISBLANK(OFFSET(BS10,0,6))),N(OFFSET(BS10,0,6)),N(OFFSET(BS10,0,7)))-BR10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200</v>
      </c>
      <c r="F11" s="187" t="n">
        <v>100</v>
      </c>
      <c r="G11" s="187" t="n">
        <v>0</v>
      </c>
      <c r="H11" s="187" t="n">
        <v>200</v>
      </c>
      <c r="I11" s="187" t="n">
        <v>300</v>
      </c>
      <c r="J11" s="187" t="n">
        <v>300</v>
      </c>
      <c r="K11" s="187" t="n">
        <v>300</v>
      </c>
      <c r="L11" s="187" t="n">
        <v>200</v>
      </c>
      <c r="M11" s="187" t="n">
        <v>100</v>
      </c>
      <c r="N11" s="187" t="n">
        <v>200</v>
      </c>
      <c r="O11" s="187" t="n">
        <v>200</v>
      </c>
      <c r="P11" s="187">
        <f>300+100</f>
        <v/>
      </c>
      <c r="Q11" s="187" t="n">
        <v>400</v>
      </c>
      <c r="R11" s="187" t="n">
        <v>400</v>
      </c>
      <c r="S11" s="187" t="n">
        <v>400</v>
      </c>
      <c r="T11" s="187" t="n">
        <v>400</v>
      </c>
      <c r="U11" s="187" t="n">
        <v>400</v>
      </c>
      <c r="V11" s="187" t="n">
        <v>400</v>
      </c>
      <c r="W11" s="187" t="n">
        <v>300</v>
      </c>
      <c r="X11" s="187" t="n">
        <v>300</v>
      </c>
      <c r="Y11" s="187" t="n">
        <v>200</v>
      </c>
      <c r="Z11" s="187" t="n">
        <v>200</v>
      </c>
      <c r="AA11" s="187" t="n">
        <v>100</v>
      </c>
      <c r="AB11" s="187" t="n"/>
      <c r="AC11" s="187" t="n"/>
      <c r="AD11" s="188">
        <f>AB11+IF(NOT(ISBLANK(OFFSET(AD11,0,6))),N(OFFSET(AD11,0,6)),N(OFFSET(AD11,0,7)))-AC11</f>
        <v/>
      </c>
      <c r="AF11" s="19" t="n"/>
      <c r="AG11" s="19" t="n"/>
      <c r="AH11" s="19" t="n">
        <v>200</v>
      </c>
      <c r="AI11" s="6" t="n"/>
      <c r="AJ11" s="6" t="n"/>
      <c r="AK11" s="18" t="n">
        <v>0</v>
      </c>
      <c r="AL11" s="18" t="n">
        <v>0</v>
      </c>
      <c r="AM11" s="18" t="n">
        <v>0</v>
      </c>
      <c r="AN11" s="18" t="n"/>
      <c r="AO11" s="18" t="n"/>
      <c r="AP11" s="256" t="n">
        <v>300</v>
      </c>
      <c r="AQ11" s="18" t="n"/>
      <c r="AR11" s="18" t="n"/>
      <c r="AS11" s="154" t="inlineStr">
        <is>
          <t>100 DE MG</t>
        </is>
      </c>
      <c r="AT11" s="18" t="n">
        <v>100</v>
      </c>
      <c r="AU11" s="18" t="n">
        <v>200</v>
      </c>
      <c r="AV11" s="18" t="n"/>
      <c r="AW11" s="18" t="n"/>
      <c r="AX11" s="18" t="n"/>
      <c r="AY11" s="18" t="n"/>
      <c r="AZ11" s="18" t="n">
        <v>200</v>
      </c>
      <c r="BA11" s="18" t="n">
        <v>300</v>
      </c>
      <c r="BB11" s="18" t="n"/>
      <c r="BC11" s="18" t="n"/>
      <c r="BD11" s="18" t="n"/>
      <c r="BG11" s="23" t="n"/>
      <c r="BI11" s="30" t="inlineStr">
        <is>
          <t xml:space="preserve">SACOLA G </t>
        </is>
      </c>
      <c r="BJ11" s="9" t="n">
        <v>100</v>
      </c>
      <c r="BK11" s="38">
        <f>AP11</f>
        <v/>
      </c>
      <c r="BL11" s="38" t="n">
        <v>300</v>
      </c>
      <c r="BM11" s="38" t="n">
        <v>300</v>
      </c>
      <c r="BN11" s="38" t="n">
        <v>100</v>
      </c>
      <c r="BO11" s="38" t="n">
        <v>0</v>
      </c>
      <c r="BP11" s="38" t="n">
        <v>0</v>
      </c>
      <c r="BQ11" s="38" t="n"/>
      <c r="BR11" s="38" t="n"/>
      <c r="BS11" s="246">
        <f>BQ11+IF(NOT(ISBLANK(OFFSET(BS11,0,6))),N(OFFSET(BS11,0,6)),N(OFFSET(BS11,0,7)))-BR11</f>
        <v/>
      </c>
    </row>
    <row r="12" ht="18.75" customFormat="1" customHeight="1" s="3">
      <c r="A12" s="31" t="n"/>
      <c r="B12" s="2" t="n"/>
      <c r="C12" s="661" t="n"/>
      <c r="D12" s="398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11" t="n"/>
      <c r="AF12" s="11" t="n"/>
      <c r="AG12" s="11" t="n"/>
      <c r="AH12" s="11" t="n"/>
      <c r="AI12" s="6" t="n"/>
      <c r="AJ12" s="6" t="n"/>
      <c r="AK12" s="24" t="n"/>
      <c r="AL12" s="24" t="n"/>
      <c r="AM12" s="24" t="n"/>
      <c r="AN12" s="24" t="n"/>
      <c r="AO12" s="24" t="n"/>
      <c r="AP12" s="257" t="n"/>
      <c r="AQ12" s="24" t="n"/>
      <c r="AR12" s="24" t="n"/>
      <c r="AS12" s="24" t="n"/>
      <c r="AT12" s="24" t="n"/>
      <c r="AU12" s="24" t="n"/>
      <c r="AV12" s="24" t="n"/>
      <c r="AW12" s="24" t="n"/>
      <c r="AX12" s="24" t="n"/>
      <c r="AY12" s="24" t="n"/>
      <c r="AZ12" s="24" t="n"/>
      <c r="BA12" s="24" t="n"/>
      <c r="BB12" s="24" t="n"/>
      <c r="BC12" s="24" t="n"/>
      <c r="BD12" s="24" t="n"/>
      <c r="BG12" s="24" t="n"/>
      <c r="BI12" s="31" t="n"/>
      <c r="BJ12" s="2" t="n"/>
      <c r="BK12" s="4" t="n"/>
      <c r="BL12" s="4" t="n"/>
      <c r="BM12" s="4" t="n"/>
      <c r="BN12" s="4" t="n"/>
      <c r="BO12" s="4" t="n"/>
      <c r="BP12" s="4" t="n"/>
      <c r="BQ12" s="4" t="n"/>
      <c r="BR12" s="4" t="n"/>
    </row>
    <row r="13" ht="18.75" customFormat="1" customHeight="1" s="3">
      <c r="A13" s="32" t="inlineStr">
        <is>
          <t>DIVERSOS</t>
        </is>
      </c>
      <c r="B13" s="575" t="inlineStr">
        <is>
          <t>PCT</t>
        </is>
      </c>
      <c r="C13" s="575" t="inlineStr">
        <is>
          <t>R$</t>
        </is>
      </c>
      <c r="D13" s="328" t="n"/>
      <c r="F13" s="650" t="n">
        <v>46006</v>
      </c>
      <c r="G13" s="650" t="n">
        <v>46013</v>
      </c>
      <c r="H13" s="650" t="n">
        <v>46020</v>
      </c>
      <c r="I13" s="650" t="n">
        <v>46027</v>
      </c>
      <c r="J13" s="650" t="n">
        <v>46034</v>
      </c>
      <c r="K13" s="650" t="n">
        <v>46041</v>
      </c>
      <c r="L13" s="650" t="n">
        <v>46048</v>
      </c>
      <c r="M13" s="650" t="n">
        <v>46055</v>
      </c>
      <c r="N13" s="650" t="n">
        <v>46062</v>
      </c>
      <c r="O13" s="650" t="n">
        <v>46069</v>
      </c>
      <c r="P13" s="650" t="n">
        <v>46076</v>
      </c>
      <c r="Q13" s="650" t="n">
        <v>46083</v>
      </c>
      <c r="R13" s="650" t="n">
        <v>46090</v>
      </c>
      <c r="S13" s="650" t="n">
        <v>46097</v>
      </c>
      <c r="T13" s="650" t="n">
        <v>46104</v>
      </c>
      <c r="U13" s="650" t="n">
        <v>46111</v>
      </c>
      <c r="V13" s="650" t="n">
        <v>46118</v>
      </c>
      <c r="W13" s="650" t="n">
        <v>46125</v>
      </c>
      <c r="X13" s="650" t="n">
        <v>46132</v>
      </c>
      <c r="Y13" s="650" t="n">
        <v>46139</v>
      </c>
      <c r="Z13" s="650" t="n">
        <v>46146</v>
      </c>
      <c r="AA13" s="650" t="n">
        <v>46154</v>
      </c>
      <c r="AB13" s="650" t="n">
        <v>46160</v>
      </c>
      <c r="AC13" s="650" t="n">
        <v>46160</v>
      </c>
      <c r="AD13" s="652" t="inlineStr">
        <is>
          <t>USOU</t>
        </is>
      </c>
      <c r="AE13" s="109" t="n"/>
      <c r="AF13" s="413" t="inlineStr">
        <is>
          <t>TRANSFERÊNCIA</t>
        </is>
      </c>
      <c r="AG13" s="35" t="inlineStr">
        <is>
          <t>Pendências</t>
        </is>
      </c>
      <c r="AH13" s="35" t="inlineStr">
        <is>
          <t>Pendências</t>
        </is>
      </c>
      <c r="AI13" s="6" t="n"/>
      <c r="AJ13" s="6" t="n"/>
      <c r="AK13" s="646" t="n">
        <v>46156</v>
      </c>
      <c r="AL13" s="646" t="n">
        <v>46149</v>
      </c>
      <c r="AM13" s="646" t="n">
        <v>46142</v>
      </c>
      <c r="AN13" s="646" t="n">
        <v>46114</v>
      </c>
      <c r="AO13" s="646" t="n">
        <v>46107</v>
      </c>
      <c r="AP13" s="647" t="n">
        <v>46065</v>
      </c>
      <c r="AQ13" s="646" t="n">
        <v>46099</v>
      </c>
      <c r="AR13" s="646" t="n">
        <v>46092</v>
      </c>
      <c r="AS13" s="655" t="n">
        <v>46079</v>
      </c>
      <c r="AT13" s="646" t="n">
        <v>46071</v>
      </c>
      <c r="AU13" s="646" t="n">
        <v>46056</v>
      </c>
      <c r="AV13" s="646" t="n">
        <v>46048</v>
      </c>
      <c r="AW13" s="646" t="n">
        <v>46043</v>
      </c>
      <c r="AX13" s="646" t="n">
        <v>46035</v>
      </c>
      <c r="AY13" s="646" t="n">
        <v>46029</v>
      </c>
      <c r="AZ13" s="646" t="n">
        <v>46017</v>
      </c>
      <c r="BA13" s="646" t="n">
        <v>46007</v>
      </c>
      <c r="BB13" s="646" t="n">
        <v>46001</v>
      </c>
      <c r="BC13" s="646" t="n">
        <v>45994</v>
      </c>
      <c r="BD13" s="646" t="n">
        <v>45986</v>
      </c>
      <c r="BG13" s="12" t="inlineStr">
        <is>
          <t>Novo Pedido</t>
        </is>
      </c>
      <c r="BI13" s="267" t="inlineStr">
        <is>
          <t>DIVERSOS</t>
        </is>
      </c>
      <c r="BJ13" s="205" t="inlineStr">
        <is>
          <t>PCT</t>
        </is>
      </c>
      <c r="BK13" s="650" t="n">
        <v>46118</v>
      </c>
      <c r="BL13" s="650" t="n">
        <v>46125</v>
      </c>
      <c r="BM13" s="650" t="n">
        <v>46132</v>
      </c>
      <c r="BN13" s="650" t="n">
        <v>46139</v>
      </c>
      <c r="BO13" s="650" t="n">
        <v>46146</v>
      </c>
      <c r="BP13" s="650" t="n">
        <v>46154</v>
      </c>
      <c r="BQ13" s="650" t="n">
        <v>46160</v>
      </c>
      <c r="BR13" s="650" t="n">
        <v>46160</v>
      </c>
      <c r="BS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15</v>
      </c>
      <c r="F14" s="115" t="n">
        <v>0</v>
      </c>
      <c r="G14" s="115" t="n">
        <v>0</v>
      </c>
      <c r="H14" s="115" t="n">
        <v>0</v>
      </c>
      <c r="I14" s="115" t="n">
        <v>15</v>
      </c>
      <c r="J14" s="115" t="n">
        <v>11</v>
      </c>
      <c r="K14" s="115">
        <f>6+AX14</f>
        <v/>
      </c>
      <c r="L14" s="115" t="n">
        <v>13</v>
      </c>
      <c r="M14" s="115" t="n">
        <v>16</v>
      </c>
      <c r="N14" s="115" t="n">
        <v>16</v>
      </c>
      <c r="O14" s="115" t="n">
        <v>13</v>
      </c>
      <c r="P14" s="115">
        <f>16+6</f>
        <v/>
      </c>
      <c r="Q14" s="115" t="n">
        <v>20</v>
      </c>
      <c r="R14" s="115" t="n">
        <v>15</v>
      </c>
      <c r="S14" s="115">
        <f>11+AR14</f>
        <v/>
      </c>
      <c r="T14" s="115">
        <f>11+AQ14</f>
        <v/>
      </c>
      <c r="U14" s="115" t="n">
        <v>13</v>
      </c>
      <c r="V14" s="115" t="n">
        <v>9</v>
      </c>
      <c r="W14" s="115" t="n">
        <v>11</v>
      </c>
      <c r="X14" s="115" t="n">
        <v>11</v>
      </c>
      <c r="Y14" s="115" t="n">
        <v>10</v>
      </c>
      <c r="Z14" s="115">
        <f>9+AM14</f>
        <v/>
      </c>
      <c r="AA14" s="115" t="n">
        <v>16</v>
      </c>
      <c r="AB14" s="115" t="n"/>
      <c r="AC14" s="115" t="n"/>
      <c r="AD14" s="154">
        <f>AB14+IF(NOT(ISBLANK(OFFSET(AD14,0,6))),N(OFFSET(AD14,0,6)),N(OFFSET(AD14,0,7)))-AC14</f>
        <v/>
      </c>
      <c r="AE14" s="114" t="n"/>
      <c r="AF14" s="19" t="n"/>
      <c r="AG14" s="19" t="n"/>
      <c r="AH14" s="19" t="n"/>
      <c r="AI14" s="642" t="n"/>
      <c r="AJ14" s="642" t="n"/>
      <c r="AK14" s="18" t="n">
        <v>0</v>
      </c>
      <c r="AL14" s="18" t="n">
        <v>0</v>
      </c>
      <c r="AM14" s="18" t="n">
        <v>10</v>
      </c>
      <c r="AN14" s="18" t="n">
        <v>5</v>
      </c>
      <c r="AO14" s="18" t="n"/>
      <c r="AP14" s="256" t="n">
        <v>30</v>
      </c>
      <c r="AQ14" s="18" t="n">
        <v>5</v>
      </c>
      <c r="AR14" s="18" t="n">
        <v>5</v>
      </c>
      <c r="AS14" s="154" t="inlineStr">
        <is>
          <t>06 DE MG</t>
        </is>
      </c>
      <c r="AT14" s="18" t="n">
        <v>5</v>
      </c>
      <c r="AU14" s="18" t="n">
        <v>4</v>
      </c>
      <c r="AV14" s="18" t="n"/>
      <c r="AW14" s="18" t="n">
        <v>6</v>
      </c>
      <c r="AX14" s="18" t="n">
        <v>10</v>
      </c>
      <c r="AY14" s="18" t="n"/>
      <c r="AZ14" s="18" t="n">
        <v>15</v>
      </c>
      <c r="BA14" s="18" t="n">
        <v>5</v>
      </c>
      <c r="BB14" s="18" t="n"/>
      <c r="BC14" s="18" t="n"/>
      <c r="BD14" s="18" t="n">
        <v>2</v>
      </c>
      <c r="BG14" s="23" t="n"/>
      <c r="BI14" s="159" t="inlineStr">
        <is>
          <t>PAPEL DE SEDA</t>
        </is>
      </c>
      <c r="BJ14" s="129" t="n">
        <v>200</v>
      </c>
      <c r="BK14" s="38">
        <f>AP14</f>
        <v/>
      </c>
      <c r="BL14" s="38" t="n">
        <v>27</v>
      </c>
      <c r="BM14" s="38" t="n">
        <v>25</v>
      </c>
      <c r="BN14" s="38" t="n">
        <v>19</v>
      </c>
      <c r="BO14" s="38" t="n">
        <v>19</v>
      </c>
      <c r="BP14" s="38" t="n">
        <v>0</v>
      </c>
      <c r="BQ14" s="38" t="n"/>
      <c r="BR14" s="38" t="n"/>
      <c r="BS14" s="246">
        <f>BQ14+IF(NOT(ISBLANK(OFFSET(BS14,0,6))),N(OFFSET(BS14,0,6)),N(OFFSET(BS14,0,7)))-BR14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30</v>
      </c>
      <c r="F15" s="115" t="n">
        <v>1</v>
      </c>
      <c r="G15" s="115" t="n">
        <v>0</v>
      </c>
      <c r="H15" s="115" t="n">
        <v>5</v>
      </c>
      <c r="I15" s="115" t="n">
        <v>20</v>
      </c>
      <c r="J15" s="115" t="n">
        <v>20</v>
      </c>
      <c r="K15" s="115" t="n">
        <v>20</v>
      </c>
      <c r="L15" s="115" t="n">
        <v>20</v>
      </c>
      <c r="M15" s="115" t="n">
        <v>20</v>
      </c>
      <c r="N15" s="115" t="n">
        <v>20</v>
      </c>
      <c r="O15" s="115" t="n">
        <v>20</v>
      </c>
      <c r="P15" s="115" t="n">
        <v>20</v>
      </c>
      <c r="Q15" s="115" t="n">
        <v>20</v>
      </c>
      <c r="R15" s="115" t="n">
        <v>18</v>
      </c>
      <c r="S15" s="115" t="n">
        <v>17</v>
      </c>
      <c r="T15" s="115" t="n">
        <v>16</v>
      </c>
      <c r="U15" s="115" t="n">
        <v>11</v>
      </c>
      <c r="V15" s="115" t="n">
        <v>12</v>
      </c>
      <c r="W15" s="115" t="n">
        <v>14</v>
      </c>
      <c r="X15" s="115" t="n">
        <v>14</v>
      </c>
      <c r="Y15" s="115" t="n">
        <v>12</v>
      </c>
      <c r="Z15" s="115" t="n">
        <v>11</v>
      </c>
      <c r="AA15" s="115" t="n">
        <v>7</v>
      </c>
      <c r="AB15" s="115" t="n"/>
      <c r="AC15" s="115" t="n"/>
      <c r="AD15" s="154">
        <f>AB15+IF(NOT(ISBLANK(OFFSET(AD15,0,6))),N(OFFSET(AD15,0,6)),N(OFFSET(AD15,0,7)))-AC15</f>
        <v/>
      </c>
      <c r="AE15" s="114" t="n"/>
      <c r="AF15" s="19" t="n"/>
      <c r="AG15" s="19" t="n"/>
      <c r="AH15" s="19" t="n"/>
      <c r="AI15" s="642" t="n"/>
      <c r="AJ15" s="642" t="n"/>
      <c r="AK15" s="18" t="n">
        <v>0</v>
      </c>
      <c r="AL15" s="18" t="n">
        <v>0</v>
      </c>
      <c r="AM15" s="18" t="n">
        <v>0</v>
      </c>
      <c r="AN15" s="18" t="n"/>
      <c r="AO15" s="18" t="n"/>
      <c r="AP15" s="256" t="n">
        <v>6</v>
      </c>
      <c r="AQ15" s="18" t="n"/>
      <c r="AR15" s="18" t="n"/>
      <c r="AS15" s="18" t="n"/>
      <c r="AT15" s="18" t="n"/>
      <c r="AU15" s="18" t="n"/>
      <c r="AV15" s="18" t="n"/>
      <c r="AW15" s="18" t="n"/>
      <c r="AX15" s="18" t="n"/>
      <c r="AY15" s="18" t="n"/>
      <c r="AZ15" s="18" t="n">
        <v>15</v>
      </c>
      <c r="BA15" s="18" t="n">
        <v>3</v>
      </c>
      <c r="BB15" s="18" t="n"/>
      <c r="BC15" s="18" t="n">
        <v>3</v>
      </c>
      <c r="BD15" s="18" t="n"/>
      <c r="BG15" s="23" t="n"/>
      <c r="BI15" s="29" t="inlineStr">
        <is>
          <t>ADESIVOS</t>
        </is>
      </c>
      <c r="BJ15" s="9" t="n">
        <v>200</v>
      </c>
      <c r="BK15" s="38">
        <f>AP15</f>
        <v/>
      </c>
      <c r="BL15" s="38" t="n">
        <v>5</v>
      </c>
      <c r="BM15" s="38" t="n">
        <v>5</v>
      </c>
      <c r="BN15" s="38" t="n">
        <v>4</v>
      </c>
      <c r="BO15" s="38" t="n">
        <v>2</v>
      </c>
      <c r="BP15" s="38" t="n">
        <v>0</v>
      </c>
      <c r="BQ15" s="38" t="n"/>
      <c r="BR15" s="38" t="n"/>
      <c r="BS15" s="246">
        <f>BQ15+IF(NOT(ISBLANK(OFFSET(BS15,0,6))),N(OFFSET(BS15,0,6)),N(OFFSET(BS15,0,7)))-BR15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6</v>
      </c>
      <c r="F16" s="115" t="n">
        <v>7</v>
      </c>
      <c r="G16" s="115" t="n">
        <v>8</v>
      </c>
      <c r="H16" s="115" t="n">
        <v>2</v>
      </c>
      <c r="I16" s="115" t="n">
        <v>6</v>
      </c>
      <c r="J16" s="115" t="n">
        <v>5</v>
      </c>
      <c r="K16" s="115">
        <f>5+AX16</f>
        <v/>
      </c>
      <c r="L16" s="115" t="n">
        <v>9</v>
      </c>
      <c r="M16" s="115" t="n">
        <v>12</v>
      </c>
      <c r="N16" s="115" t="n">
        <v>11</v>
      </c>
      <c r="O16" s="115" t="n">
        <v>9</v>
      </c>
      <c r="P16" s="115">
        <f>9+2</f>
        <v/>
      </c>
      <c r="Q16" s="115" t="n">
        <v>11</v>
      </c>
      <c r="R16" s="115" t="n">
        <v>9</v>
      </c>
      <c r="S16" s="115" t="n">
        <v>8</v>
      </c>
      <c r="T16" s="115" t="n">
        <v>8</v>
      </c>
      <c r="U16" s="115" t="n">
        <v>5</v>
      </c>
      <c r="V16" s="115" t="n">
        <v>5</v>
      </c>
      <c r="W16" s="115" t="n">
        <v>10</v>
      </c>
      <c r="X16" s="115" t="n">
        <v>10</v>
      </c>
      <c r="Y16" s="115" t="n">
        <v>8</v>
      </c>
      <c r="Z16" s="115" t="n">
        <v>6</v>
      </c>
      <c r="AA16" s="115" t="n">
        <v>3</v>
      </c>
      <c r="AB16" s="115" t="n"/>
      <c r="AC16" s="115" t="n"/>
      <c r="AD16" s="154">
        <f>AB16+IF(NOT(ISBLANK(OFFSET(AD16,0,6))),N(OFFSET(AD16,0,6)),N(OFFSET(AD16,0,7)))-AC16</f>
        <v/>
      </c>
      <c r="AE16" s="114" t="n"/>
      <c r="AF16" s="19" t="n"/>
      <c r="AG16" s="19" t="n">
        <v>2</v>
      </c>
      <c r="AH16" s="19" t="n">
        <v>2</v>
      </c>
      <c r="AI16" s="2" t="n"/>
      <c r="AJ16" s="2" t="n"/>
      <c r="AK16" s="18" t="n">
        <v>0</v>
      </c>
      <c r="AL16" s="18" t="n">
        <v>0</v>
      </c>
      <c r="AM16" s="18" t="n">
        <v>0</v>
      </c>
      <c r="AN16" s="18" t="n">
        <v>6</v>
      </c>
      <c r="AO16" s="18" t="n"/>
      <c r="AP16" s="356" t="n"/>
      <c r="AQ16" s="18" t="n"/>
      <c r="AR16" s="18" t="n"/>
      <c r="AS16" s="154" t="inlineStr">
        <is>
          <t>02 DE PBE</t>
        </is>
      </c>
      <c r="AT16" s="18" t="n"/>
      <c r="AU16" s="18" t="n"/>
      <c r="AV16" s="18" t="n"/>
      <c r="AW16" s="18" t="n">
        <v>4</v>
      </c>
      <c r="AX16" s="18" t="n">
        <v>2</v>
      </c>
      <c r="AY16" s="18" t="n">
        <v>3</v>
      </c>
      <c r="AZ16" s="18" t="n">
        <v>4</v>
      </c>
      <c r="BA16" s="18" t="n">
        <v>3</v>
      </c>
      <c r="BB16" s="18" t="n"/>
      <c r="BC16" s="18" t="n"/>
      <c r="BD16" s="18" t="n">
        <v>6</v>
      </c>
      <c r="BG16" s="70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4</v>
      </c>
      <c r="F17" s="115" t="n">
        <v>6</v>
      </c>
      <c r="G17" s="115" t="n">
        <v>2</v>
      </c>
      <c r="H17" s="115" t="n">
        <v>1</v>
      </c>
      <c r="I17" s="115" t="n">
        <v>6</v>
      </c>
      <c r="J17" s="115" t="n">
        <v>4</v>
      </c>
      <c r="K17" s="115">
        <f>6+AX17</f>
        <v/>
      </c>
      <c r="L17" s="115" t="n">
        <v>6</v>
      </c>
      <c r="M17" s="115" t="n">
        <v>7</v>
      </c>
      <c r="N17" s="115" t="n">
        <v>6</v>
      </c>
      <c r="O17" s="115" t="n">
        <v>4</v>
      </c>
      <c r="P17" s="115">
        <f>3+4</f>
        <v/>
      </c>
      <c r="Q17" s="115" t="n">
        <v>5</v>
      </c>
      <c r="R17" s="115" t="n">
        <v>3</v>
      </c>
      <c r="S17" s="115">
        <f>1+AR17</f>
        <v/>
      </c>
      <c r="T17" s="115">
        <f>4+AQ17</f>
        <v/>
      </c>
      <c r="U17" s="115" t="n">
        <v>6</v>
      </c>
      <c r="V17" s="115" t="n">
        <v>3</v>
      </c>
      <c r="W17" s="115" t="n">
        <v>6</v>
      </c>
      <c r="X17" s="115" t="n">
        <v>6</v>
      </c>
      <c r="Y17" s="115" t="n">
        <v>3</v>
      </c>
      <c r="Z17" s="115">
        <f>1+AM17</f>
        <v/>
      </c>
      <c r="AA17" s="115" t="n">
        <v>1</v>
      </c>
      <c r="AB17" s="115" t="n"/>
      <c r="AC17" s="115" t="n"/>
      <c r="AD17" s="154">
        <f>AB17+IF(NOT(ISBLANK(OFFSET(AD17,0,6))),N(OFFSET(AD17,0,6)),N(OFFSET(AD17,0,7)))-AC17</f>
        <v/>
      </c>
      <c r="AF17" s="19" t="n"/>
      <c r="AG17" s="19" t="n">
        <v>4</v>
      </c>
      <c r="AH17" s="19" t="n"/>
      <c r="AI17" s="2" t="n"/>
      <c r="AJ17" s="2" t="n"/>
      <c r="AK17" s="18" t="n">
        <v>0</v>
      </c>
      <c r="AL17" s="18" t="n">
        <v>0</v>
      </c>
      <c r="AM17" s="18" t="n">
        <v>5</v>
      </c>
      <c r="AN17" s="18" t="n">
        <v>3</v>
      </c>
      <c r="AO17" s="18" t="n"/>
      <c r="AP17" s="356" t="n"/>
      <c r="AQ17" s="18" t="n">
        <v>3</v>
      </c>
      <c r="AR17" s="18" t="n">
        <v>4</v>
      </c>
      <c r="AS17" s="154" t="inlineStr">
        <is>
          <t>04 DE MG</t>
        </is>
      </c>
      <c r="AT17" s="18" t="n"/>
      <c r="AU17" s="18" t="n"/>
      <c r="AV17" s="18" t="n">
        <v>4</v>
      </c>
      <c r="AW17" s="18" t="n"/>
      <c r="AX17" s="18" t="n">
        <v>3</v>
      </c>
      <c r="AY17" s="18" t="n">
        <v>2</v>
      </c>
      <c r="AZ17" s="18" t="n">
        <v>5</v>
      </c>
      <c r="BA17" s="18" t="n"/>
      <c r="BB17" s="18" t="n"/>
      <c r="BC17" s="18" t="n">
        <v>3</v>
      </c>
      <c r="BD17" s="18" t="n">
        <v>5</v>
      </c>
      <c r="BG17" s="23" t="n"/>
    </row>
    <row r="18" ht="18.75" customFormat="1" customHeight="1" s="3">
      <c r="A18" s="31" t="n"/>
      <c r="C18" s="664" t="n"/>
      <c r="D18" s="398" t="n"/>
      <c r="F18" s="113" t="n"/>
      <c r="G18" s="113" t="n"/>
      <c r="H18" s="113" t="n"/>
      <c r="I18" s="113" t="n"/>
      <c r="J18" s="113" t="n"/>
      <c r="K18" s="113" t="n"/>
      <c r="L18" s="113" t="n"/>
      <c r="M18" s="113" t="n"/>
      <c r="N18" s="113" t="n"/>
      <c r="O18" s="113" t="n"/>
      <c r="P18" s="113" t="n"/>
      <c r="Q18" s="113" t="n"/>
      <c r="R18" s="113" t="n"/>
      <c r="S18" s="113" t="n"/>
      <c r="T18" s="113" t="n"/>
      <c r="U18" s="113" t="n"/>
      <c r="V18" s="113" t="n"/>
      <c r="W18" s="113" t="n"/>
      <c r="X18" s="113" t="n"/>
      <c r="Y18" s="113" t="n"/>
      <c r="Z18" s="113" t="n"/>
      <c r="AA18" s="113" t="n"/>
      <c r="AB18" s="113" t="n"/>
      <c r="AC18" s="113" t="n"/>
      <c r="AE18" s="16" t="n"/>
      <c r="AF18" s="16" t="n"/>
      <c r="AG18" s="16" t="n"/>
      <c r="AH18" s="16" t="n"/>
      <c r="AK18" s="16" t="n"/>
      <c r="AL18" s="16" t="n"/>
      <c r="AM18" s="16" t="n"/>
      <c r="AN18" s="16" t="n"/>
      <c r="AO18" s="16" t="n"/>
      <c r="AP18" s="258" t="n"/>
      <c r="AQ18" s="16" t="n"/>
      <c r="AR18" s="16" t="n"/>
      <c r="AS18" s="16" t="n"/>
      <c r="AT18" s="16" t="n"/>
      <c r="AU18" s="16" t="n"/>
      <c r="AV18" s="16" t="n"/>
      <c r="AW18" s="16" t="n"/>
      <c r="AX18" s="16" t="n"/>
      <c r="AY18" s="16" t="n"/>
      <c r="AZ18" s="16" t="n"/>
      <c r="BA18" s="16" t="n"/>
      <c r="BB18" s="16" t="n"/>
      <c r="BC18" s="16" t="n"/>
      <c r="BD18" s="16" t="n"/>
      <c r="BG18" s="25" t="n"/>
    </row>
    <row r="19" ht="18.75" customFormat="1" customHeight="1" s="3">
      <c r="A19" s="32" t="inlineStr">
        <is>
          <t>CAIXAS</t>
        </is>
      </c>
      <c r="B19" s="575" t="inlineStr">
        <is>
          <t>PCT</t>
        </is>
      </c>
      <c r="C19" s="575" t="inlineStr">
        <is>
          <t>R$</t>
        </is>
      </c>
      <c r="D19" s="328" t="n"/>
      <c r="F19" s="650" t="n">
        <v>46006</v>
      </c>
      <c r="G19" s="650" t="n">
        <v>46013</v>
      </c>
      <c r="H19" s="650" t="n">
        <v>46020</v>
      </c>
      <c r="I19" s="650" t="n">
        <v>46027</v>
      </c>
      <c r="J19" s="650" t="n">
        <v>46034</v>
      </c>
      <c r="K19" s="650" t="n">
        <v>46041</v>
      </c>
      <c r="L19" s="650" t="n">
        <v>46048</v>
      </c>
      <c r="M19" s="650" t="n">
        <v>46055</v>
      </c>
      <c r="N19" s="650" t="n">
        <v>46062</v>
      </c>
      <c r="O19" s="650" t="n">
        <v>46069</v>
      </c>
      <c r="P19" s="650" t="n">
        <v>46076</v>
      </c>
      <c r="Q19" s="650" t="n">
        <v>46083</v>
      </c>
      <c r="R19" s="650" t="n">
        <v>46090</v>
      </c>
      <c r="S19" s="650" t="n">
        <v>46097</v>
      </c>
      <c r="T19" s="650" t="n">
        <v>46104</v>
      </c>
      <c r="U19" s="650" t="n">
        <v>46111</v>
      </c>
      <c r="V19" s="650" t="n">
        <v>46118</v>
      </c>
      <c r="W19" s="650" t="n">
        <v>46125</v>
      </c>
      <c r="X19" s="650" t="n">
        <v>46132</v>
      </c>
      <c r="Y19" s="650" t="n">
        <v>46139</v>
      </c>
      <c r="Z19" s="650" t="n">
        <v>46146</v>
      </c>
      <c r="AA19" s="650" t="n">
        <v>46154</v>
      </c>
      <c r="AB19" s="650" t="n">
        <v>46160</v>
      </c>
      <c r="AC19" s="650" t="n">
        <v>46160</v>
      </c>
      <c r="AD19" s="652" t="inlineStr">
        <is>
          <t>USOU</t>
        </is>
      </c>
      <c r="AE19" s="109" t="n"/>
      <c r="AF19" s="413" t="inlineStr">
        <is>
          <t>TRANSFERÊNCIA</t>
        </is>
      </c>
      <c r="AG19" s="35" t="inlineStr">
        <is>
          <t>Pendências</t>
        </is>
      </c>
      <c r="AH19" s="35" t="inlineStr">
        <is>
          <t>Pendências</t>
        </is>
      </c>
      <c r="AI19" s="6" t="n"/>
      <c r="AJ19" s="6" t="n"/>
      <c r="AK19" s="646" t="n">
        <v>46156</v>
      </c>
      <c r="AL19" s="646" t="n">
        <v>46149</v>
      </c>
      <c r="AM19" s="646" t="n">
        <v>46142</v>
      </c>
      <c r="AN19" s="646" t="n">
        <v>46114</v>
      </c>
      <c r="AO19" s="646" t="n">
        <v>46107</v>
      </c>
      <c r="AP19" s="647" t="n">
        <v>46065</v>
      </c>
      <c r="AQ19" s="646" t="n">
        <v>46099</v>
      </c>
      <c r="AR19" s="646" t="n">
        <v>46092</v>
      </c>
      <c r="AS19" s="655" t="n">
        <v>46079</v>
      </c>
      <c r="AT19" s="646" t="n">
        <v>46071</v>
      </c>
      <c r="AU19" s="646" t="n">
        <v>46056</v>
      </c>
      <c r="AV19" s="646" t="n">
        <v>46048</v>
      </c>
      <c r="AW19" s="646" t="n">
        <v>46043</v>
      </c>
      <c r="AX19" s="646" t="n">
        <v>46035</v>
      </c>
      <c r="AY19" s="646" t="n">
        <v>46029</v>
      </c>
      <c r="AZ19" s="646" t="n">
        <v>46017</v>
      </c>
      <c r="BA19" s="646" t="n">
        <v>46007</v>
      </c>
      <c r="BB19" s="646" t="n">
        <v>46001</v>
      </c>
      <c r="BC19" s="646" t="n">
        <v>45994</v>
      </c>
      <c r="BD19" s="646" t="n">
        <v>45986</v>
      </c>
      <c r="BG19" s="12" t="inlineStr">
        <is>
          <t>Novo Pedido</t>
        </is>
      </c>
      <c r="BI19" s="267" t="inlineStr">
        <is>
          <t>CAIXAS</t>
        </is>
      </c>
      <c r="BJ19" s="205" t="inlineStr">
        <is>
          <t>PCT</t>
        </is>
      </c>
      <c r="BK19" s="650" t="n">
        <v>46118</v>
      </c>
      <c r="BL19" s="650" t="n">
        <v>46125</v>
      </c>
      <c r="BM19" s="650" t="n">
        <v>46132</v>
      </c>
      <c r="BN19" s="650" t="n">
        <v>46139</v>
      </c>
      <c r="BO19" s="650" t="n">
        <v>46146</v>
      </c>
      <c r="BP19" s="650" t="n">
        <v>46154</v>
      </c>
      <c r="BQ19" s="650" t="n">
        <v>46160</v>
      </c>
      <c r="BR19" s="650" t="n">
        <v>46160</v>
      </c>
      <c r="BS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</v>
      </c>
      <c r="D20" s="329" t="n">
        <v>300</v>
      </c>
      <c r="F20" s="38" t="n">
        <v>405</v>
      </c>
      <c r="G20" s="38" t="n">
        <v>555</v>
      </c>
      <c r="H20" s="38" t="n">
        <v>554</v>
      </c>
      <c r="I20" s="38" t="n">
        <v>530</v>
      </c>
      <c r="J20" s="38" t="n">
        <v>485</v>
      </c>
      <c r="K20" s="38" t="n">
        <v>287</v>
      </c>
      <c r="L20" s="38" t="n">
        <v>269</v>
      </c>
      <c r="M20" s="38" t="n">
        <v>356</v>
      </c>
      <c r="N20" s="38" t="n">
        <v>297</v>
      </c>
      <c r="O20" s="38" t="n">
        <v>271</v>
      </c>
      <c r="P20" s="38">
        <f>220+AT20</f>
        <v/>
      </c>
      <c r="Q20" s="38" t="n">
        <v>319</v>
      </c>
      <c r="R20" s="261" t="n">
        <v>409</v>
      </c>
      <c r="S20" s="38" t="n">
        <v>387</v>
      </c>
      <c r="T20" s="38" t="n">
        <v>298</v>
      </c>
      <c r="U20" s="38" t="n">
        <v>236</v>
      </c>
      <c r="V20" s="38" t="n"/>
      <c r="W20" s="38" t="n"/>
      <c r="X20" s="38" t="n"/>
      <c r="Y20" s="38" t="n">
        <v>260</v>
      </c>
      <c r="Z20" s="38" t="n">
        <v>254</v>
      </c>
      <c r="AA20" s="38" t="n">
        <v>206</v>
      </c>
      <c r="AB20" s="38" t="n">
        <v>184</v>
      </c>
      <c r="AC20" s="38" t="n">
        <v>184</v>
      </c>
      <c r="AD20" s="154">
        <f>AB20+IF(NOT(ISBLANK(OFFSET(AD20,0,6))),N(OFFSET(AD20,0,6)),N(OFFSET(AD20,0,7)))-AC20</f>
        <v/>
      </c>
      <c r="AE20" s="114" t="n"/>
      <c r="AF20" s="122" t="inlineStr">
        <is>
          <t>20 MÃES P/ TP</t>
        </is>
      </c>
      <c r="AG20" s="122" t="n">
        <v>150</v>
      </c>
      <c r="AH20" s="122" t="n"/>
      <c r="AI20" s="2" t="n"/>
      <c r="AJ20" s="2" t="n"/>
      <c r="AK20" s="18" t="n">
        <v>0</v>
      </c>
      <c r="AL20" s="18" t="n">
        <v>0</v>
      </c>
      <c r="AM20" s="18" t="n">
        <v>0</v>
      </c>
      <c r="AN20" s="18" t="n">
        <v>150</v>
      </c>
      <c r="AO20" s="18" t="n"/>
      <c r="AP20" s="256" t="n">
        <v>450</v>
      </c>
      <c r="AQ20" s="18" t="n"/>
      <c r="AR20" s="18" t="n"/>
      <c r="AS20" s="18" t="n"/>
      <c r="AT20" s="18" t="n">
        <v>150</v>
      </c>
      <c r="AU20" s="18" t="n"/>
      <c r="AV20" s="18" t="n"/>
      <c r="AW20" s="18" t="n">
        <v>150</v>
      </c>
      <c r="AX20" s="18" t="n"/>
      <c r="AY20" s="18" t="n"/>
      <c r="AZ20" s="18" t="n"/>
      <c r="BA20" s="18" t="n">
        <v>150</v>
      </c>
      <c r="BB20" s="18" t="n"/>
      <c r="BC20" s="18" t="n"/>
      <c r="BD20" s="18" t="n"/>
      <c r="BG20" s="23" t="n"/>
      <c r="BI20" s="159" t="inlineStr">
        <is>
          <t>CAIXA P</t>
        </is>
      </c>
      <c r="BJ20" s="129" t="n">
        <v>150</v>
      </c>
      <c r="BK20" s="38">
        <f>AP20</f>
        <v/>
      </c>
      <c r="BL20" s="38" t="n"/>
      <c r="BM20" s="38" t="n"/>
      <c r="BN20" s="38" t="n">
        <v>373</v>
      </c>
      <c r="BO20" s="38" t="n">
        <v>332</v>
      </c>
      <c r="BP20" s="38" t="n">
        <v>44</v>
      </c>
      <c r="BQ20" s="38" t="n">
        <v>17</v>
      </c>
      <c r="BR20" s="38" t="n"/>
      <c r="BS20" s="246">
        <f>BQ20+IF(NOT(ISBLANK(OFFSET(BS20,0,6))),N(OFFSET(BS20,0,6)),N(OFFSET(BS20,0,7)))-BR20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300</v>
      </c>
      <c r="F21" s="38" t="n">
        <v>300</v>
      </c>
      <c r="G21" s="38" t="n">
        <v>303</v>
      </c>
      <c r="H21" s="38" t="n">
        <v>396</v>
      </c>
      <c r="I21" s="38" t="n">
        <v>365</v>
      </c>
      <c r="J21" s="38" t="n">
        <v>293</v>
      </c>
      <c r="K21" s="38">
        <f>232+AX21</f>
        <v/>
      </c>
      <c r="L21" s="38" t="n">
        <v>386</v>
      </c>
      <c r="M21" s="38" t="n">
        <v>317</v>
      </c>
      <c r="N21" s="261" t="n">
        <v>353</v>
      </c>
      <c r="O21" s="38" t="n">
        <v>298</v>
      </c>
      <c r="P21" s="38">
        <f>236+AT21</f>
        <v/>
      </c>
      <c r="Q21" s="38" t="n">
        <v>246</v>
      </c>
      <c r="R21" s="261" t="n">
        <v>107</v>
      </c>
      <c r="S21" s="38">
        <f>19+AR21</f>
        <v/>
      </c>
      <c r="T21" s="38" t="n">
        <v>217</v>
      </c>
      <c r="U21" s="38" t="n">
        <v>402</v>
      </c>
      <c r="V21" s="38" t="n"/>
      <c r="W21" s="38" t="n"/>
      <c r="X21" s="38" t="n"/>
      <c r="Y21" s="38" t="n">
        <v>436</v>
      </c>
      <c r="Z21" s="38" t="n">
        <v>432</v>
      </c>
      <c r="AA21" s="38" t="n">
        <v>338</v>
      </c>
      <c r="AB21" s="38" t="n">
        <v>295</v>
      </c>
      <c r="AC21" s="38" t="n">
        <v>295</v>
      </c>
      <c r="AD21" s="154">
        <f>AB21+IF(NOT(ISBLANK(OFFSET(AD21,0,6))),N(OFFSET(AD21,0,6)),N(OFFSET(AD21,0,7)))-AC21</f>
        <v/>
      </c>
      <c r="AE21" s="125" t="n"/>
      <c r="AF21" s="19" t="n"/>
      <c r="AG21" s="19" t="n"/>
      <c r="AH21" s="19" t="n"/>
      <c r="AI21" s="2" t="n"/>
      <c r="AJ21" s="2" t="n"/>
      <c r="AK21" s="18" t="n">
        <v>0</v>
      </c>
      <c r="AL21" s="18" t="n">
        <v>0</v>
      </c>
      <c r="AM21" s="18" t="n">
        <v>0</v>
      </c>
      <c r="AN21" s="18" t="n">
        <v>200</v>
      </c>
      <c r="AO21" s="18" t="n">
        <v>200</v>
      </c>
      <c r="AP21" s="256" t="n">
        <v>700</v>
      </c>
      <c r="AQ21" s="18" t="n"/>
      <c r="AR21" s="18" t="n">
        <v>300</v>
      </c>
      <c r="AS21" s="18" t="n"/>
      <c r="AT21" s="18" t="n">
        <v>100</v>
      </c>
      <c r="AU21" s="18" t="n"/>
      <c r="AV21" s="18" t="n"/>
      <c r="AW21" s="18" t="n"/>
      <c r="AX21" s="18" t="n">
        <v>200</v>
      </c>
      <c r="AY21" s="18" t="n"/>
      <c r="AZ21" s="18" t="n"/>
      <c r="BA21" s="18" t="n">
        <v>100</v>
      </c>
      <c r="BB21" s="18" t="n"/>
      <c r="BC21" s="18" t="n"/>
      <c r="BD21" s="18" t="n"/>
      <c r="BG21" s="23" t="n"/>
      <c r="BI21" s="29" t="inlineStr">
        <is>
          <t>CAIXA M</t>
        </is>
      </c>
      <c r="BJ21" s="9" t="n">
        <v>100</v>
      </c>
      <c r="BK21" s="38">
        <f>AP21</f>
        <v/>
      </c>
      <c r="BL21" s="38" t="n"/>
      <c r="BM21" s="38" t="n"/>
      <c r="BN21" s="38" t="n">
        <v>542</v>
      </c>
      <c r="BO21" s="38" t="n">
        <v>440</v>
      </c>
      <c r="BP21" s="38" t="n">
        <v>34</v>
      </c>
      <c r="BQ21" s="38" t="n">
        <v>2</v>
      </c>
      <c r="BR21" s="38" t="n"/>
      <c r="BS21" s="246">
        <f>BQ21+IF(NOT(ISBLANK(OFFSET(BS21,0,6))),N(OFFSET(BS21,0,6)),N(OFFSET(BS21,0,7)))-BR21</f>
        <v/>
      </c>
    </row>
    <row r="22" ht="19.1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50</v>
      </c>
      <c r="F22" s="38" t="n">
        <v>50</v>
      </c>
      <c r="G22" s="38" t="n">
        <v>50</v>
      </c>
      <c r="H22" s="38" t="n">
        <v>50</v>
      </c>
      <c r="I22" s="38" t="n">
        <v>50</v>
      </c>
      <c r="J22" s="38" t="n">
        <v>50</v>
      </c>
      <c r="K22" s="38" t="n">
        <v>90</v>
      </c>
      <c r="L22" s="38" t="n">
        <v>83</v>
      </c>
      <c r="M22" s="38" t="n">
        <v>83</v>
      </c>
      <c r="N22" s="38" t="n">
        <v>83</v>
      </c>
      <c r="O22" s="38" t="n">
        <v>83</v>
      </c>
      <c r="P22" s="38" t="n">
        <v>83</v>
      </c>
      <c r="Q22" s="38" t="n">
        <v>83</v>
      </c>
      <c r="R22" s="38" t="n">
        <v>83</v>
      </c>
      <c r="S22" s="38" t="n">
        <v>83</v>
      </c>
      <c r="T22" s="38" t="n">
        <v>83</v>
      </c>
      <c r="U22" s="38" t="n">
        <v>83</v>
      </c>
      <c r="V22" s="38" t="n">
        <v>83</v>
      </c>
      <c r="W22" s="38" t="n">
        <v>54</v>
      </c>
      <c r="X22" s="38" t="n">
        <v>54</v>
      </c>
      <c r="Y22" s="38" t="n">
        <v>54</v>
      </c>
      <c r="Z22" s="38" t="n">
        <v>54</v>
      </c>
      <c r="AA22" s="38" t="n">
        <v>54</v>
      </c>
      <c r="AB22" s="38" t="n">
        <v>51</v>
      </c>
      <c r="AC22" s="38" t="n">
        <v>51</v>
      </c>
      <c r="AD22" s="154">
        <f>AB22+IF(NOT(ISBLANK(OFFSET(AD22,0,6))),N(OFFSET(AD22,0,6)),N(OFFSET(AD22,0,7)))-AC22</f>
        <v/>
      </c>
      <c r="AE22" s="125" t="n"/>
      <c r="AF22" s="19" t="n"/>
      <c r="AG22" s="19" t="n"/>
      <c r="AH22" s="19" t="n"/>
      <c r="AI22" s="642" t="n"/>
      <c r="AJ22" s="642" t="n"/>
      <c r="AK22" s="18" t="n">
        <v>0</v>
      </c>
      <c r="AL22" s="18" t="n">
        <v>0</v>
      </c>
      <c r="AM22" s="18" t="n">
        <v>0</v>
      </c>
      <c r="AN22" s="18" t="n"/>
      <c r="AO22" s="18" t="n"/>
      <c r="AP22" s="256" t="n"/>
      <c r="AQ22" s="18" t="n"/>
      <c r="AR22" s="18" t="n"/>
      <c r="AS22" s="18" t="n"/>
      <c r="AT22" s="18" t="n"/>
      <c r="AU22" s="18" t="n"/>
      <c r="AV22" s="18" t="n"/>
      <c r="AW22" s="18" t="n"/>
      <c r="AX22" s="18" t="n"/>
      <c r="AY22" s="18" t="n"/>
      <c r="AZ22" s="18" t="n"/>
      <c r="BA22" s="18" t="n"/>
      <c r="BB22" s="18" t="n"/>
      <c r="BC22" s="18" t="n"/>
      <c r="BD22" s="18" t="n"/>
      <c r="BG22" s="23" t="n"/>
      <c r="BI22" s="30" t="inlineStr">
        <is>
          <t>CARTUCHO P</t>
        </is>
      </c>
      <c r="BJ22" s="9" t="n">
        <v>200</v>
      </c>
      <c r="BK22" s="38" t="n">
        <v>0</v>
      </c>
      <c r="BL22" s="38" t="n"/>
      <c r="BM22" s="38" t="n"/>
      <c r="BN22" s="38" t="n">
        <v>0</v>
      </c>
      <c r="BO22" s="38" t="n">
        <v>0</v>
      </c>
      <c r="BP22" s="38" t="n">
        <v>0</v>
      </c>
      <c r="BQ22" s="38" t="n">
        <v>0</v>
      </c>
      <c r="BR22" s="38" t="n"/>
      <c r="BS22" s="246">
        <f>BQ22+IF(NOT(ISBLANK(OFFSET(BS22,0,6))),N(OFFSET(BS22,0,6)),N(OFFSET(BS22,0,7)))-BR22</f>
        <v/>
      </c>
    </row>
    <row r="23" ht="18.75" customHeight="1">
      <c r="AE23" s="6" t="n"/>
      <c r="AF23" s="6" t="n"/>
      <c r="AG23" s="6" t="n"/>
      <c r="AH23" s="6" t="n"/>
      <c r="AK23" s="6" t="n"/>
      <c r="AL23" s="6" t="n"/>
      <c r="AM23" s="6" t="n"/>
      <c r="AN23" s="6" t="n"/>
      <c r="AO23" s="6" t="n"/>
      <c r="AP23" s="256" t="n">
        <v>300</v>
      </c>
      <c r="AQ23" s="6" t="n"/>
      <c r="AR23" s="6" t="n"/>
      <c r="AS23" s="6" t="n"/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G23" s="6" t="n"/>
      <c r="BI23" s="30" t="inlineStr">
        <is>
          <t>CARTUCHO M</t>
        </is>
      </c>
      <c r="BJ23" s="9" t="n">
        <v>150</v>
      </c>
      <c r="BK23" s="38">
        <f>AP23</f>
        <v/>
      </c>
      <c r="BL23" s="38" t="n"/>
      <c r="BM23" s="38" t="n"/>
      <c r="BN23" s="38" t="n">
        <v>213</v>
      </c>
      <c r="BO23" s="38" t="n">
        <v>106</v>
      </c>
      <c r="BP23" s="38" t="n">
        <v>3</v>
      </c>
      <c r="BQ23" s="38" t="n">
        <v>0</v>
      </c>
      <c r="BR23" s="38" t="n"/>
      <c r="BS23" s="246">
        <f>BQ23+IF(NOT(ISBLANK(OFFSET(BS23,0,6))),N(OFFSET(BS23,0,6)),N(OFFSET(BS23,0,7)))-BR23</f>
        <v/>
      </c>
    </row>
    <row r="24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46006</v>
      </c>
      <c r="G24" s="650" t="n">
        <v>46013</v>
      </c>
      <c r="H24" s="650" t="n">
        <v>46020</v>
      </c>
      <c r="I24" s="650" t="n">
        <v>46027</v>
      </c>
      <c r="J24" s="650" t="n">
        <v>46034</v>
      </c>
      <c r="K24" s="650" t="n">
        <v>46041</v>
      </c>
      <c r="L24" s="650" t="n">
        <v>46048</v>
      </c>
      <c r="M24" s="650" t="n">
        <v>46055</v>
      </c>
      <c r="N24" s="650" t="n">
        <v>46062</v>
      </c>
      <c r="O24" s="650" t="n">
        <v>46069</v>
      </c>
      <c r="P24" s="650" t="n">
        <v>46076</v>
      </c>
      <c r="Q24" s="650" t="n">
        <v>46083</v>
      </c>
      <c r="R24" s="650" t="n">
        <v>46090</v>
      </c>
      <c r="S24" s="650" t="n">
        <v>46097</v>
      </c>
      <c r="T24" s="650" t="n">
        <v>46104</v>
      </c>
      <c r="U24" s="650" t="n">
        <v>46111</v>
      </c>
      <c r="V24" s="650" t="n">
        <v>46118</v>
      </c>
      <c r="W24" s="650" t="n">
        <v>46125</v>
      </c>
      <c r="X24" s="650" t="n">
        <v>46132</v>
      </c>
      <c r="Y24" s="650" t="n">
        <v>46139</v>
      </c>
      <c r="Z24" s="650" t="n">
        <v>46146</v>
      </c>
      <c r="AA24" s="650" t="n">
        <v>46154</v>
      </c>
      <c r="AB24" s="650" t="n">
        <v>46160</v>
      </c>
      <c r="AC24" s="650" t="n">
        <v>46160</v>
      </c>
      <c r="AD24" s="660" t="inlineStr">
        <is>
          <t>USOU</t>
        </is>
      </c>
      <c r="AE24" s="6" t="n"/>
      <c r="AF24" s="6" t="n"/>
      <c r="AG24" s="6" t="n"/>
      <c r="AH24" s="6" t="n"/>
      <c r="AK24" s="6" t="n"/>
      <c r="AL24" s="6" t="n"/>
      <c r="AM24" s="6" t="n"/>
      <c r="AN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G24" s="6" t="n"/>
    </row>
    <row r="25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F25" s="38" t="n">
        <v>58</v>
      </c>
      <c r="G25" s="38" t="n">
        <v>58</v>
      </c>
      <c r="H25" s="38" t="n">
        <v>58</v>
      </c>
      <c r="I25" s="38" t="n">
        <v>0</v>
      </c>
      <c r="J25" s="38" t="n">
        <v>0</v>
      </c>
      <c r="K25" s="38" t="n">
        <v>20</v>
      </c>
      <c r="L25" s="38" t="n">
        <v>7</v>
      </c>
      <c r="M25" s="38" t="n">
        <v>7</v>
      </c>
      <c r="N25" s="38" t="n">
        <v>7</v>
      </c>
      <c r="O25" s="38" t="n">
        <v>7</v>
      </c>
      <c r="P25" s="38" t="n">
        <v>7</v>
      </c>
      <c r="Q25" s="38" t="n">
        <v>28</v>
      </c>
      <c r="R25" s="38" t="n">
        <v>28</v>
      </c>
      <c r="S25" s="38" t="n">
        <v>28</v>
      </c>
      <c r="T25" s="38" t="n">
        <v>28</v>
      </c>
      <c r="U25" s="38" t="n">
        <v>28</v>
      </c>
      <c r="V25" s="38" t="n">
        <v>28</v>
      </c>
      <c r="W25" s="38" t="n">
        <v>10</v>
      </c>
      <c r="X25" s="38" t="n">
        <v>2</v>
      </c>
      <c r="Y25" s="38" t="n">
        <v>2</v>
      </c>
      <c r="Z25" s="38" t="n">
        <v>2</v>
      </c>
      <c r="AA25" s="38" t="n">
        <v>2</v>
      </c>
      <c r="AB25" s="38" t="n">
        <v>12</v>
      </c>
      <c r="AC25" s="38" t="n">
        <v>12</v>
      </c>
      <c r="AD25" s="246">
        <f>AB25+IF(NOT(ISBLANK(OFFSET(AD25,0,6))),N(OFFSET(AD25,0,6)),N(OFFSET(AD25,0,7)))-AC25</f>
        <v/>
      </c>
      <c r="AE25" s="6" t="n"/>
      <c r="AF25" s="6" t="n"/>
      <c r="AG25" s="6" t="n"/>
      <c r="AH25" s="6" t="n"/>
      <c r="AK25" s="6" t="n"/>
      <c r="AL25" s="6" t="n"/>
      <c r="AM25" s="6" t="n"/>
      <c r="AN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G25" s="6" t="n"/>
    </row>
    <row r="26">
      <c r="A26" s="250" t="inlineStr">
        <is>
          <t>ÁRVORE</t>
        </is>
      </c>
      <c r="B26" s="251" t="n">
        <v>100</v>
      </c>
      <c r="C26" s="667" t="n">
        <v>295</v>
      </c>
      <c r="D26" s="342" t="n"/>
      <c r="F26" s="38" t="n">
        <v>137</v>
      </c>
      <c r="G26" s="38" t="n">
        <v>130</v>
      </c>
      <c r="H26" s="38" t="n">
        <v>127</v>
      </c>
      <c r="I26" s="38" t="n">
        <v>127</v>
      </c>
      <c r="J26" s="38" t="n">
        <v>127</v>
      </c>
      <c r="K26" s="38" t="n">
        <v>97</v>
      </c>
      <c r="L26" s="38" t="n">
        <v>97</v>
      </c>
      <c r="M26" s="38" t="n">
        <v>97</v>
      </c>
      <c r="N26" s="38" t="n">
        <v>97</v>
      </c>
      <c r="O26" s="38" t="n">
        <v>97</v>
      </c>
      <c r="P26" s="38" t="n">
        <v>97</v>
      </c>
      <c r="Q26" s="38" t="n">
        <v>97</v>
      </c>
      <c r="R26" s="38" t="n">
        <v>97</v>
      </c>
      <c r="S26" s="38" t="n">
        <v>97</v>
      </c>
      <c r="T26" s="38" t="n">
        <v>97</v>
      </c>
      <c r="U26" s="38" t="n">
        <v>97</v>
      </c>
      <c r="V26" s="38" t="n">
        <v>97</v>
      </c>
      <c r="W26" s="38" t="n">
        <v>97</v>
      </c>
      <c r="X26" s="38" t="n">
        <v>97</v>
      </c>
      <c r="Y26" s="38" t="n">
        <v>97</v>
      </c>
      <c r="Z26" s="38" t="n">
        <v>97</v>
      </c>
      <c r="AA26" s="38" t="n">
        <v>97</v>
      </c>
      <c r="AB26" s="38" t="n">
        <v>97</v>
      </c>
      <c r="AC26" s="38" t="n">
        <v>97</v>
      </c>
      <c r="AD26" s="246">
        <f>AB26+IF(NOT(ISBLANK(OFFSET(AD26,0,6))),N(OFFSET(AD26,0,6)),N(OFFSET(AD26,0,7)))-AC26</f>
        <v/>
      </c>
      <c r="AP26" s="6" t="n"/>
    </row>
    <row r="27">
      <c r="A27" s="250" t="inlineStr">
        <is>
          <t>BOLA</t>
        </is>
      </c>
      <c r="B27" s="251" t="n">
        <v>100</v>
      </c>
      <c r="C27" s="667" t="n">
        <v>283</v>
      </c>
      <c r="D27" s="342" t="n"/>
      <c r="F27" s="38" t="n">
        <v>15</v>
      </c>
      <c r="G27" s="38" t="n">
        <v>10</v>
      </c>
      <c r="H27" s="38" t="n">
        <v>10</v>
      </c>
      <c r="I27" s="38" t="n">
        <v>10</v>
      </c>
      <c r="J27" s="38" t="n">
        <v>10</v>
      </c>
      <c r="K27" s="38" t="n">
        <v>2</v>
      </c>
      <c r="L27" s="38" t="n">
        <v>2</v>
      </c>
      <c r="M27" s="38" t="n">
        <v>2</v>
      </c>
      <c r="N27" s="38" t="n">
        <v>2</v>
      </c>
      <c r="O27" s="38" t="n">
        <v>2</v>
      </c>
      <c r="P27" s="38" t="n">
        <v>2</v>
      </c>
      <c r="Q27" s="38" t="n">
        <v>2</v>
      </c>
      <c r="R27" s="38" t="n">
        <v>2</v>
      </c>
      <c r="S27" s="38" t="n">
        <v>2</v>
      </c>
      <c r="T27" s="38" t="n">
        <v>2</v>
      </c>
      <c r="U27" s="38" t="n">
        <v>2</v>
      </c>
      <c r="V27" s="38" t="n">
        <v>2</v>
      </c>
      <c r="W27" s="38" t="n">
        <v>2</v>
      </c>
      <c r="X27" s="38" t="n">
        <v>2</v>
      </c>
      <c r="Y27" s="38" t="n">
        <v>2</v>
      </c>
      <c r="Z27" s="38" t="n">
        <v>2</v>
      </c>
      <c r="AA27" s="38" t="n">
        <v>2</v>
      </c>
      <c r="AB27" s="38" t="n">
        <v>2</v>
      </c>
      <c r="AC27" s="38" t="n">
        <v>2</v>
      </c>
      <c r="AD27" s="246">
        <f>AB27+IF(NOT(ISBLANK(OFFSET(AD27,0,6))),N(OFFSET(AD27,0,6)),N(OFFSET(AD27,0,7)))-AC27</f>
        <v/>
      </c>
      <c r="AP27" s="6" t="n"/>
    </row>
    <row r="28" hidden="1">
      <c r="A28" s="33" t="inlineStr">
        <is>
          <t>CAIXA P NATAL/25</t>
        </is>
      </c>
      <c r="B28" s="9" t="n">
        <v>150</v>
      </c>
      <c r="C28" s="668" t="n">
        <v>805.35</v>
      </c>
      <c r="D28" s="342" t="n"/>
      <c r="F28" s="9" t="n">
        <v>606</v>
      </c>
      <c r="G28" s="9" t="n">
        <v>417</v>
      </c>
      <c r="H28" s="38" t="n">
        <v>250</v>
      </c>
      <c r="I28" s="38" t="n">
        <v>243</v>
      </c>
      <c r="J28" s="38" t="n">
        <v>234</v>
      </c>
      <c r="K28" s="38" t="n">
        <v>125</v>
      </c>
      <c r="L28" s="38" t="n">
        <v>89</v>
      </c>
      <c r="M28" s="38" t="n">
        <v>76</v>
      </c>
      <c r="N28" s="38" t="n">
        <v>30</v>
      </c>
      <c r="O28" s="38" t="n">
        <v>11</v>
      </c>
      <c r="P28" s="38" t="n">
        <v>3</v>
      </c>
      <c r="Q28" s="38" t="n">
        <v>-10</v>
      </c>
      <c r="R28" s="261" t="n">
        <v>24</v>
      </c>
      <c r="S28" s="38" t="n">
        <v>0</v>
      </c>
      <c r="T28" s="38" t="n">
        <v>0</v>
      </c>
      <c r="U28" s="38" t="n">
        <v>0</v>
      </c>
      <c r="V28" s="38" t="n"/>
      <c r="W28" s="38" t="n"/>
      <c r="X28" s="38" t="n"/>
      <c r="Y28" s="38" t="n"/>
      <c r="Z28" s="38" t="n"/>
      <c r="AA28" s="38" t="n"/>
      <c r="AB28" s="38" t="n"/>
      <c r="AC28" s="38" t="n"/>
      <c r="AD28" s="246">
        <f>AB28+IF(NOT(ISBLANK(OFFSET(AD28,0,6))),N(OFFSET(AD28,0,6)),N(OFFSET(AD28,0,7)))-AC28</f>
        <v/>
      </c>
      <c r="AI28" s="57" t="n"/>
      <c r="AJ28" s="57" t="n"/>
      <c r="AK28" s="57" t="n"/>
      <c r="AL28" s="57" t="n"/>
      <c r="AM28" s="57" t="n"/>
      <c r="AN28" s="57" t="n"/>
      <c r="AO28" s="57" t="n"/>
      <c r="AP28" s="6" t="n"/>
      <c r="AQ28" s="57" t="n"/>
      <c r="AR28" s="57" t="n"/>
      <c r="AS28" s="57" t="n"/>
      <c r="AT28" s="57" t="n"/>
      <c r="AU28" s="57" t="n"/>
      <c r="AV28" s="57" t="n"/>
      <c r="AW28" s="57" t="n"/>
      <c r="AX28" s="57" t="n"/>
      <c r="AY28" s="57" t="n"/>
      <c r="AZ28" s="57" t="n"/>
      <c r="BA28" s="57" t="n"/>
      <c r="BB28" s="57" t="n"/>
      <c r="BC28" s="57" t="n"/>
      <c r="BD28" s="57" t="n"/>
      <c r="BG28" s="57" t="n"/>
    </row>
    <row r="29" hidden="1">
      <c r="A29" s="33" t="inlineStr">
        <is>
          <t>CAIXA M NATAL/25</t>
        </is>
      </c>
      <c r="B29" s="9" t="n">
        <v>100</v>
      </c>
      <c r="C29" s="668" t="n">
        <v>792.2</v>
      </c>
      <c r="D29" s="342" t="n"/>
      <c r="F29" s="9" t="n">
        <v>703</v>
      </c>
      <c r="G29" s="9" t="n">
        <v>413</v>
      </c>
      <c r="H29" s="9" t="n">
        <v>146</v>
      </c>
      <c r="I29" s="9" t="n">
        <v>122</v>
      </c>
      <c r="J29" s="9" t="n">
        <v>106</v>
      </c>
      <c r="K29" s="9" t="n">
        <v>92</v>
      </c>
      <c r="L29" s="9" t="n">
        <v>46</v>
      </c>
      <c r="M29" s="9" t="n">
        <v>30</v>
      </c>
      <c r="N29" s="9" t="n">
        <v>6</v>
      </c>
      <c r="O29" s="9" t="n">
        <v>6</v>
      </c>
      <c r="P29" s="9" t="n">
        <v>5</v>
      </c>
      <c r="Q29" s="9" t="n">
        <v>4</v>
      </c>
      <c r="R29" s="9" t="n">
        <v>0</v>
      </c>
      <c r="S29" s="9" t="n">
        <v>0</v>
      </c>
      <c r="T29" s="9" t="n">
        <v>0</v>
      </c>
      <c r="U29" s="9" t="n">
        <v>0</v>
      </c>
      <c r="V29" s="9" t="n"/>
      <c r="W29" s="9" t="n"/>
      <c r="X29" s="9" t="n"/>
      <c r="Y29" s="9" t="n"/>
      <c r="Z29" s="9" t="n"/>
      <c r="AA29" s="9" t="n"/>
      <c r="AB29" s="9" t="n"/>
      <c r="AC29" s="9" t="n"/>
      <c r="AD29" s="246">
        <f>AB29+IF(NOT(ISBLANK(OFFSET(AD29,0,6))),N(OFFSET(AD29,0,6)),N(OFFSET(AD29,0,7)))-AC29</f>
        <v/>
      </c>
      <c r="AI29" s="57" t="n"/>
      <c r="AJ29" s="57" t="n"/>
      <c r="AK29" s="57" t="n"/>
      <c r="AL29" s="57" t="n"/>
      <c r="AM29" s="57" t="n"/>
      <c r="AN29" s="57" t="n"/>
      <c r="AO29" s="57" t="n"/>
      <c r="AP29" s="6" t="n"/>
      <c r="AQ29" s="57" t="n"/>
      <c r="AR29" s="57" t="n"/>
      <c r="AS29" s="57" t="n"/>
      <c r="AT29" s="57" t="n"/>
      <c r="AU29" s="57" t="n"/>
      <c r="AV29" s="57" t="n"/>
      <c r="AW29" s="57" t="n"/>
      <c r="AX29" s="57" t="n"/>
      <c r="AY29" s="57" t="n"/>
      <c r="AZ29" s="57" t="n"/>
      <c r="BA29" s="57" t="n"/>
      <c r="BB29" s="57" t="n"/>
      <c r="BC29" s="57" t="n"/>
      <c r="BD29" s="57" t="n"/>
      <c r="BG29" s="57" t="n"/>
    </row>
    <row r="30">
      <c r="A30" s="33" t="inlineStr">
        <is>
          <t>CAIXA G NATAL/25</t>
        </is>
      </c>
      <c r="B30" s="9" t="n">
        <v>50</v>
      </c>
      <c r="C30" s="668" t="n"/>
      <c r="D30" s="342" t="n"/>
      <c r="F30" s="9" t="n">
        <v>48</v>
      </c>
      <c r="G30" s="9" t="n">
        <v>44</v>
      </c>
      <c r="H30" s="9" t="n">
        <v>34</v>
      </c>
      <c r="I30" s="9" t="n">
        <v>34</v>
      </c>
      <c r="J30" s="9" t="n">
        <v>33</v>
      </c>
      <c r="K30" s="9" t="n">
        <v>25</v>
      </c>
      <c r="L30" s="9" t="n">
        <v>24</v>
      </c>
      <c r="M30" s="9" t="n">
        <v>24</v>
      </c>
      <c r="N30" s="9" t="n">
        <v>20</v>
      </c>
      <c r="O30" s="9" t="n">
        <v>20</v>
      </c>
      <c r="P30" s="9" t="n">
        <v>20</v>
      </c>
      <c r="Q30" s="9" t="n">
        <v>18</v>
      </c>
      <c r="R30" s="9" t="n">
        <v>15</v>
      </c>
      <c r="S30" s="9" t="n">
        <v>18</v>
      </c>
      <c r="T30" s="9" t="n">
        <v>18</v>
      </c>
      <c r="U30" s="9" t="n">
        <v>17</v>
      </c>
      <c r="V30" s="9" t="n">
        <v>17</v>
      </c>
      <c r="W30" s="9" t="n">
        <v>17</v>
      </c>
      <c r="X30" s="9" t="n">
        <v>17</v>
      </c>
      <c r="Y30" s="9" t="n">
        <v>10</v>
      </c>
      <c r="Z30" s="9" t="n">
        <v>7</v>
      </c>
      <c r="AA30" s="9" t="n">
        <v>4</v>
      </c>
      <c r="AB30" s="9" t="n">
        <v>4</v>
      </c>
      <c r="AC30" s="9" t="n">
        <v>0</v>
      </c>
      <c r="AD30" s="246">
        <f>AB30+IF(NOT(ISBLANK(OFFSET(AD30,0,6))),N(OFFSET(AD30,0,6)),N(OFFSET(AD30,0,7)))-AC30</f>
        <v/>
      </c>
      <c r="AI30" s="57" t="n"/>
      <c r="AJ30" s="57" t="n"/>
      <c r="AK30" s="57" t="n"/>
      <c r="AL30" s="57" t="n"/>
      <c r="AM30" s="57" t="n"/>
      <c r="AN30" s="57" t="n"/>
      <c r="AO30" s="57" t="n"/>
      <c r="AP30" s="6" t="n"/>
      <c r="AQ30" s="57" t="n"/>
      <c r="AR30" s="57" t="n"/>
      <c r="AS30" s="57" t="n"/>
      <c r="AT30" s="57" t="n"/>
      <c r="AU30" s="57" t="n"/>
      <c r="AV30" s="57" t="n"/>
      <c r="AW30" s="57" t="n"/>
      <c r="AX30" s="57" t="n"/>
      <c r="AY30" s="57" t="n"/>
      <c r="AZ30" s="57" t="n"/>
      <c r="BA30" s="57" t="n"/>
      <c r="BB30" s="57" t="n"/>
      <c r="BC30" s="57" t="n"/>
      <c r="BD30" s="57" t="n"/>
      <c r="BG30" s="57" t="n"/>
    </row>
    <row r="31">
      <c r="A31" s="33" t="inlineStr">
        <is>
          <t>CARTUCHO P NATAL/25</t>
        </is>
      </c>
      <c r="B31" s="9" t="n">
        <v>200</v>
      </c>
      <c r="C31" s="668" t="n">
        <v>487.2</v>
      </c>
      <c r="D31" s="342" t="n"/>
      <c r="F31" s="9" t="n">
        <v>5</v>
      </c>
      <c r="G31" s="9" t="n">
        <v>5</v>
      </c>
      <c r="H31" s="38" t="n">
        <v>4</v>
      </c>
      <c r="I31" s="38" t="n">
        <v>3</v>
      </c>
      <c r="J31" s="38" t="n">
        <v>2</v>
      </c>
      <c r="K31" s="38" t="n">
        <v>0</v>
      </c>
      <c r="L31" s="38" t="n">
        <v>0</v>
      </c>
      <c r="M31" s="38" t="n">
        <v>0</v>
      </c>
      <c r="N31" s="38" t="n">
        <v>0</v>
      </c>
      <c r="O31" s="38" t="n">
        <v>0</v>
      </c>
      <c r="P31" s="38" t="n">
        <v>0</v>
      </c>
      <c r="Q31" s="38" t="n">
        <v>0</v>
      </c>
      <c r="R31" s="38" t="n">
        <v>0</v>
      </c>
      <c r="S31" s="38" t="n">
        <v>1</v>
      </c>
      <c r="T31" s="38" t="n">
        <v>1</v>
      </c>
      <c r="U31" s="38" t="n">
        <v>1</v>
      </c>
      <c r="V31" s="38" t="n">
        <v>1</v>
      </c>
      <c r="W31" s="38" t="n">
        <v>1</v>
      </c>
      <c r="X31" s="38" t="n">
        <v>1</v>
      </c>
      <c r="Y31" s="38" t="n">
        <v>0</v>
      </c>
      <c r="Z31" s="38" t="n">
        <v>0</v>
      </c>
      <c r="AA31" s="38" t="n">
        <v>0</v>
      </c>
      <c r="AB31" s="38" t="n">
        <v>0</v>
      </c>
      <c r="AC31" s="38" t="n">
        <v>0</v>
      </c>
      <c r="AD31" s="246">
        <f>AB31+IF(NOT(ISBLANK(OFFSET(AD31,0,6))),N(OFFSET(AD31,0,6)),N(OFFSET(AD31,0,7)))-AC31</f>
        <v/>
      </c>
      <c r="AI31" s="57" t="n"/>
      <c r="AJ31" s="57" t="n"/>
      <c r="AK31" s="57" t="n"/>
      <c r="AL31" s="57" t="n"/>
      <c r="AM31" s="57" t="n"/>
      <c r="AN31" s="57" t="n"/>
      <c r="AO31" s="57" t="n"/>
      <c r="AP31" s="6" t="n"/>
      <c r="AQ31" s="57" t="n"/>
      <c r="AR31" s="57" t="n"/>
      <c r="AS31" s="57" t="n"/>
      <c r="AT31" s="57" t="n"/>
      <c r="AU31" s="57" t="n"/>
      <c r="AV31" s="57" t="n"/>
      <c r="AW31" s="57" t="n"/>
      <c r="AX31" s="57" t="n"/>
      <c r="AY31" s="57" t="n"/>
      <c r="AZ31" s="57" t="n"/>
      <c r="BA31" s="57" t="n"/>
      <c r="BB31" s="57" t="n"/>
      <c r="BC31" s="57" t="n"/>
      <c r="BD31" s="57" t="n"/>
      <c r="BG31" s="57" t="n"/>
    </row>
    <row r="32">
      <c r="A32" s="33" t="inlineStr">
        <is>
          <t>CARTUCHO M NATAL/25</t>
        </is>
      </c>
      <c r="B32" s="9" t="n">
        <v>150</v>
      </c>
      <c r="C32" s="668" t="n">
        <v>460.35</v>
      </c>
      <c r="D32" s="342" t="n"/>
      <c r="F32" s="9" t="n">
        <v>90</v>
      </c>
      <c r="G32" s="9" t="n">
        <v>27</v>
      </c>
      <c r="H32" s="9" t="n">
        <v>7</v>
      </c>
      <c r="I32" s="9" t="n">
        <v>7</v>
      </c>
      <c r="J32" s="9" t="n">
        <v>7</v>
      </c>
      <c r="K32" s="9" t="n">
        <v>0</v>
      </c>
      <c r="L32" s="9" t="n">
        <v>0</v>
      </c>
      <c r="M32" s="9" t="n">
        <v>0</v>
      </c>
      <c r="N32" s="9" t="n">
        <v>1</v>
      </c>
      <c r="O32" s="9" t="n">
        <v>1</v>
      </c>
      <c r="P32" s="9" t="n">
        <v>1</v>
      </c>
      <c r="Q32" s="9" t="n">
        <v>1</v>
      </c>
      <c r="R32" s="9" t="n">
        <v>9</v>
      </c>
      <c r="S32" s="9" t="n">
        <v>6</v>
      </c>
      <c r="T32" s="9" t="n">
        <v>3</v>
      </c>
      <c r="U32" s="9" t="n">
        <v>1</v>
      </c>
      <c r="V32" s="9" t="n">
        <v>1</v>
      </c>
      <c r="W32" s="9" t="n">
        <v>1</v>
      </c>
      <c r="X32" s="9" t="n">
        <v>1</v>
      </c>
      <c r="Y32" s="9" t="n">
        <v>1</v>
      </c>
      <c r="Z32" s="9" t="n">
        <v>1</v>
      </c>
      <c r="AA32" s="9" t="n">
        <v>1</v>
      </c>
      <c r="AB32" s="9" t="n">
        <v>0</v>
      </c>
      <c r="AC32" s="9" t="n">
        <v>0</v>
      </c>
      <c r="AD32" s="246">
        <f>AB32+IF(NOT(ISBLANK(OFFSET(AD32,0,6))),N(OFFSET(AD32,0,6)),N(OFFSET(AD32,0,7)))-AC32</f>
        <v/>
      </c>
      <c r="AI32" s="57" t="n"/>
      <c r="AJ32" s="57" t="n"/>
      <c r="AK32" s="57" t="n"/>
      <c r="AL32" s="57" t="n"/>
      <c r="AM32" s="57" t="n"/>
      <c r="AN32" s="57" t="n"/>
      <c r="AO32" s="57" t="n"/>
      <c r="AP32" s="6" t="n"/>
      <c r="AQ32" s="57" t="n"/>
      <c r="AR32" s="57" t="n"/>
      <c r="AS32" s="57" t="n"/>
      <c r="AT32" s="57" t="n"/>
      <c r="AU32" s="57" t="n"/>
      <c r="AV32" s="57" t="n"/>
      <c r="AW32" s="57" t="n"/>
      <c r="AX32" s="57" t="n"/>
      <c r="AY32" s="57" t="n"/>
      <c r="AZ32" s="57" t="n"/>
      <c r="BA32" s="57" t="n"/>
      <c r="BB32" s="57" t="n"/>
      <c r="BC32" s="57" t="n"/>
      <c r="BD32" s="57" t="n"/>
      <c r="BG32" s="57" t="n"/>
    </row>
    <row r="33">
      <c r="A33" s="33" t="inlineStr">
        <is>
          <t>PIN NATAL/25</t>
        </is>
      </c>
      <c r="B33" s="9" t="n">
        <v>10</v>
      </c>
      <c r="C33" s="668" t="n">
        <v>120</v>
      </c>
      <c r="D33" s="342" t="n"/>
      <c r="F33" s="9" t="n"/>
      <c r="G33" s="9" t="n"/>
      <c r="H33" s="9" t="n"/>
      <c r="I33" s="9" t="n">
        <v>0</v>
      </c>
      <c r="J33" s="9" t="n">
        <v>0</v>
      </c>
      <c r="K33" s="9" t="n">
        <v>0</v>
      </c>
      <c r="L33" s="9" t="n">
        <v>0</v>
      </c>
      <c r="M33" s="9" t="n">
        <v>0</v>
      </c>
      <c r="N33" s="9" t="n">
        <v>0</v>
      </c>
      <c r="O33" s="9" t="n">
        <v>0</v>
      </c>
      <c r="P33" s="9" t="n">
        <v>0</v>
      </c>
      <c r="Q33" s="9" t="n">
        <v>0</v>
      </c>
      <c r="R33" s="9" t="n">
        <v>5</v>
      </c>
      <c r="S33" s="9" t="n">
        <v>5</v>
      </c>
      <c r="T33" s="9" t="n">
        <v>5</v>
      </c>
      <c r="U33" s="9" t="n">
        <v>5</v>
      </c>
      <c r="V33" s="9" t="n">
        <v>5</v>
      </c>
      <c r="W33" s="9" t="n">
        <v>5</v>
      </c>
      <c r="X33" s="9" t="n">
        <v>5</v>
      </c>
      <c r="Y33" s="9" t="n">
        <v>3</v>
      </c>
      <c r="Z33" s="9" t="n">
        <v>3</v>
      </c>
      <c r="AA33" s="9" t="n">
        <v>3</v>
      </c>
      <c r="AB33" s="9" t="n">
        <v>0</v>
      </c>
      <c r="AC33" s="9" t="n">
        <v>0</v>
      </c>
      <c r="AD33" s="246">
        <f>AB33+IF(NOT(ISBLANK(OFFSET(AD33,0,6))),N(OFFSET(AD33,0,6)),N(OFFSET(AD33,0,7)))-AC33</f>
        <v/>
      </c>
      <c r="AI33" s="57" t="n"/>
      <c r="AJ33" s="57" t="n"/>
      <c r="AK33" s="57" t="n"/>
      <c r="AL33" s="57" t="n"/>
      <c r="AM33" s="57" t="n"/>
      <c r="AN33" s="57" t="n"/>
      <c r="AO33" s="57" t="n"/>
      <c r="AP33" s="6" t="n"/>
      <c r="AQ33" s="57" t="n"/>
      <c r="AR33" s="57" t="n"/>
      <c r="AS33" s="57" t="n"/>
      <c r="AT33" s="57" t="n"/>
      <c r="AU33" s="57" t="n"/>
      <c r="AV33" s="57" t="n"/>
      <c r="AW33" s="57" t="n"/>
      <c r="AX33" s="57" t="n"/>
      <c r="AY33" s="57" t="n"/>
      <c r="AZ33" s="57" t="n"/>
      <c r="BA33" s="57" t="n"/>
      <c r="BB33" s="57" t="n"/>
      <c r="BC33" s="57" t="n"/>
      <c r="BD33" s="57" t="n"/>
      <c r="BG33" s="57" t="n"/>
    </row>
    <row r="34">
      <c r="F34" s="4" t="n"/>
      <c r="G34" s="4" t="n"/>
      <c r="AD34" s="4" t="n"/>
      <c r="AI34" s="57" t="n"/>
      <c r="AJ34" s="57" t="n"/>
      <c r="AK34" s="57" t="n"/>
      <c r="AL34" s="57" t="n"/>
      <c r="AM34" s="57" t="n"/>
      <c r="AN34" s="57" t="n"/>
      <c r="AO34" s="57" t="n"/>
      <c r="AP34" s="6" t="n"/>
      <c r="AQ34" s="57" t="n"/>
      <c r="AR34" s="57" t="n"/>
      <c r="AS34" s="57" t="n"/>
      <c r="AT34" s="57" t="n"/>
      <c r="AU34" s="57" t="n"/>
      <c r="AV34" s="57" t="n"/>
      <c r="AW34" s="57" t="n"/>
      <c r="AX34" s="57" t="n"/>
      <c r="AY34" s="57" t="n"/>
      <c r="AZ34" s="57" t="n"/>
      <c r="BA34" s="57" t="n"/>
      <c r="BB34" s="57" t="n"/>
      <c r="BC34" s="57" t="n"/>
      <c r="BD34" s="57" t="n"/>
      <c r="BG34" s="57" t="n"/>
    </row>
    <row r="35" ht="27" customHeight="1">
      <c r="A35" s="669" t="inlineStr">
        <is>
          <t>SOBRAS DATAS COMEMORATIVAS</t>
        </is>
      </c>
      <c r="B35" s="658" t="n"/>
      <c r="C35" s="670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I35" s="57" t="n"/>
      <c r="AJ35" s="57" t="n"/>
      <c r="AK35" s="61" t="n"/>
      <c r="AL35" s="61" t="n"/>
      <c r="AM35" s="61" t="n"/>
      <c r="AN35" s="61" t="n"/>
      <c r="AO35" s="61" t="n"/>
      <c r="AP35" s="6" t="n"/>
      <c r="AQ35" s="61" t="n"/>
      <c r="AR35" s="61" t="n"/>
      <c r="AS35" s="61" t="n"/>
      <c r="AT35" s="61" t="n"/>
      <c r="AU35" s="61" t="n"/>
      <c r="AV35" s="61" t="n"/>
      <c r="AW35" s="61" t="n"/>
      <c r="AX35" s="61" t="n"/>
      <c r="AY35" s="61" t="n"/>
      <c r="AZ35" s="61" t="n"/>
      <c r="BA35" s="61" t="n"/>
      <c r="BB35" s="61" t="n"/>
      <c r="BC35" s="61" t="n"/>
      <c r="BD35" s="61" t="n"/>
      <c r="BG35" s="59" t="n"/>
    </row>
    <row r="36" ht="45.75" customHeight="1">
      <c r="A36" s="146" t="inlineStr">
        <is>
          <t>ITENS</t>
        </is>
      </c>
      <c r="B36" s="146" t="n"/>
      <c r="C36" s="146" t="inlineStr">
        <is>
          <t>TEMOS EM ESTOQUE</t>
        </is>
      </c>
      <c r="AI36" s="57" t="n"/>
      <c r="AJ36" s="57" t="n"/>
      <c r="AK36" s="61" t="n"/>
      <c r="AL36" s="61" t="n"/>
      <c r="AM36" s="61" t="n"/>
      <c r="AN36" s="61" t="n"/>
      <c r="AO36" s="61" t="n"/>
      <c r="AP36" s="6" t="n"/>
      <c r="AQ36" s="61" t="n"/>
      <c r="AR36" s="61" t="n"/>
      <c r="AS36" s="61" t="n"/>
      <c r="AT36" s="61" t="n"/>
      <c r="AU36" s="61" t="n"/>
      <c r="AV36" s="61" t="n"/>
      <c r="AW36" s="61" t="n"/>
      <c r="AX36" s="61" t="n"/>
      <c r="AY36" s="61" t="n"/>
      <c r="AZ36" s="61" t="n"/>
      <c r="BA36" s="61" t="n"/>
      <c r="BB36" s="61" t="n"/>
      <c r="BC36" s="61" t="n"/>
      <c r="BD36" s="61" t="n"/>
      <c r="BG36" s="59" t="n"/>
    </row>
    <row r="37">
      <c r="A37" s="348" t="n"/>
      <c r="B37" s="348" t="n"/>
      <c r="C37" s="348" t="n"/>
      <c r="AP37" s="6" t="n"/>
      <c r="BE37" s="148" t="n"/>
      <c r="CM37" s="49" t="n"/>
      <c r="CN37" s="49" t="n"/>
      <c r="CO37" s="49" t="n"/>
      <c r="CP37" s="49" t="n"/>
      <c r="CQ37" s="49" t="n"/>
      <c r="CR37" s="49" t="n"/>
      <c r="CS37" s="49" t="n"/>
      <c r="CT37" s="49" t="n"/>
      <c r="CU37" s="49" t="n"/>
      <c r="CV37" s="49" t="n"/>
      <c r="CW37" s="49" t="n"/>
      <c r="CY37" s="148" t="n"/>
      <c r="CZ37" s="148" t="n"/>
      <c r="DA37" s="148" t="n"/>
      <c r="DB37" s="148" t="n"/>
      <c r="DC37" s="148" t="n"/>
      <c r="DD37" s="148" t="n"/>
      <c r="DE37" s="148" t="n"/>
      <c r="DF37" s="148" t="n"/>
      <c r="DG37" s="148" t="n"/>
      <c r="DH37" s="148" t="n"/>
      <c r="DI37" s="148" t="n"/>
      <c r="DJ37" s="148" t="n"/>
      <c r="DK37" s="148" t="n"/>
      <c r="DL37" s="148" t="n"/>
      <c r="DM37" s="148" t="n"/>
      <c r="DQ37" s="57" t="n"/>
      <c r="DR37" s="166" t="n"/>
      <c r="DS37" s="60" t="n"/>
      <c r="DT37" s="167" t="n"/>
      <c r="DU37" s="167" t="n"/>
      <c r="DV37" s="167" t="n"/>
      <c r="DW37" s="167" t="n"/>
      <c r="DX37" s="167" t="n"/>
      <c r="DY37" s="167" t="n"/>
      <c r="DZ37" s="167" t="n"/>
      <c r="EA37" s="167" t="n"/>
      <c r="EB37" s="167" t="n"/>
      <c r="EC37" s="167" t="n"/>
      <c r="ED37" s="167" t="n"/>
      <c r="EE37" s="167" t="n"/>
      <c r="EF37" s="167" t="n"/>
      <c r="EG37" s="167" t="n"/>
      <c r="EH37" s="167" t="n"/>
      <c r="EI37" s="167" t="n"/>
      <c r="EJ37" s="167" t="n"/>
      <c r="EK37" s="167" t="n"/>
      <c r="EL37" s="167" t="n"/>
      <c r="EM37" s="167" t="n"/>
      <c r="EN37" s="167" t="n"/>
      <c r="EO37" s="167" t="n"/>
      <c r="EP37" s="167" t="n"/>
      <c r="EQ37" s="167" t="n"/>
      <c r="ER37" s="167" t="n"/>
      <c r="ES37" s="167" t="n"/>
      <c r="ET37" s="167" t="n"/>
      <c r="EU37" s="167" t="n"/>
      <c r="EV37" s="167" t="n"/>
      <c r="EW37" s="167" t="n"/>
      <c r="EX37" s="167" t="n"/>
      <c r="EY37" s="167" t="n"/>
      <c r="EZ37" s="167" t="n"/>
      <c r="FA37" s="167" t="n"/>
      <c r="FB37" s="167" t="n"/>
      <c r="FC37" s="167" t="n"/>
      <c r="FD37" s="167" t="n"/>
      <c r="FE37" s="167" t="n"/>
      <c r="FF37" s="167" t="n"/>
      <c r="FG37" s="167" t="n"/>
      <c r="FH37" s="167" t="n"/>
      <c r="FI37" s="167" t="n"/>
      <c r="FJ37" s="167" t="n"/>
      <c r="FK37" s="167" t="n"/>
      <c r="FL37" s="167" t="n"/>
      <c r="FM37" s="167" t="n"/>
      <c r="FN37" s="167" t="n"/>
      <c r="FO37" s="167" t="n"/>
      <c r="FP37" s="167" t="n"/>
      <c r="FQ37" s="167" t="n"/>
      <c r="FR37" s="168" t="n"/>
      <c r="FS37" s="167" t="n"/>
      <c r="FT37" s="167" t="n"/>
      <c r="FU37" s="167" t="n"/>
      <c r="FV37" s="167" t="n"/>
      <c r="FW37" s="167" t="n"/>
      <c r="FX37" s="167" t="n"/>
      <c r="FY37" s="167" t="n"/>
      <c r="FZ37" s="167" t="n"/>
      <c r="GA37" s="167" t="n"/>
      <c r="GB37" s="167" t="n"/>
      <c r="GC37" s="167" t="n"/>
      <c r="GD37" s="167" t="n"/>
      <c r="GE37" s="167" t="n"/>
      <c r="GF37" s="167" t="n"/>
      <c r="GG37" s="167" t="n"/>
      <c r="GH37" s="167" t="n"/>
      <c r="GI37" s="167" t="n"/>
      <c r="GJ37" s="167" t="n"/>
      <c r="GK37" s="167" t="n"/>
      <c r="GL37" s="167" t="n"/>
      <c r="GM37" s="167" t="n"/>
      <c r="GN37" s="167" t="n"/>
      <c r="GO37" s="167" t="n"/>
      <c r="GP37" s="167" t="n"/>
      <c r="GQ37" s="167" t="n"/>
      <c r="GR37" s="167" t="n"/>
      <c r="GS37" s="167" t="n"/>
      <c r="GT37" s="167" t="n"/>
      <c r="GU37" s="167" t="n"/>
      <c r="GV37" s="167" t="n"/>
      <c r="GW37" s="167" t="n"/>
      <c r="GX37" s="167" t="n"/>
      <c r="GY37" s="167" t="n"/>
      <c r="GZ37" s="167" t="n"/>
      <c r="HA37" s="167" t="n"/>
      <c r="HB37" s="167" t="n"/>
      <c r="HC37" s="167" t="n"/>
      <c r="HD37" s="167" t="n"/>
      <c r="HE37" s="167" t="n"/>
      <c r="HF37" s="167" t="n"/>
      <c r="HG37" s="167" t="n"/>
      <c r="HH37" s="167" t="n"/>
      <c r="HI37" s="167" t="n"/>
      <c r="HJ37" s="167" t="n"/>
      <c r="HK37" s="167" t="n"/>
      <c r="HL37" s="167" t="n"/>
      <c r="HM37" s="167" t="n"/>
      <c r="HN37" s="167" t="n"/>
      <c r="HO37" s="167" t="n"/>
      <c r="HP37" s="167" t="n"/>
      <c r="HQ37" s="167" t="n"/>
      <c r="HR37" s="167" t="n"/>
      <c r="HS37" s="167" t="n"/>
      <c r="HT37" s="167" t="n"/>
      <c r="HU37" s="167" t="n"/>
      <c r="HV37" s="167" t="n"/>
      <c r="HW37" s="167" t="n"/>
      <c r="HX37" s="167" t="n"/>
      <c r="HY37" s="167" t="n"/>
      <c r="HZ37" s="167" t="n"/>
      <c r="IA37" s="167" t="n"/>
      <c r="IB37" s="167" t="n"/>
      <c r="IC37" s="167" t="n"/>
      <c r="ID37" s="167" t="n"/>
      <c r="IE37" s="167" t="n"/>
      <c r="IF37" s="167" t="n"/>
      <c r="IG37" s="167" t="n"/>
      <c r="IH37" s="167" t="n"/>
      <c r="II37" s="167" t="n"/>
      <c r="IJ37" s="167" t="n"/>
      <c r="IK37" s="167" t="n"/>
    </row>
    <row r="38">
      <c r="A38" s="349" t="inlineStr">
        <is>
          <t>SAC. G NATAL 23</t>
        </is>
      </c>
      <c r="B38" s="178" t="n"/>
      <c r="C38" s="115" t="n">
        <v>100</v>
      </c>
      <c r="AP38" s="6" t="n"/>
      <c r="BE38" s="148" t="n"/>
      <c r="CM38" s="49" t="n"/>
      <c r="CN38" s="49" t="n"/>
      <c r="CO38" s="49" t="n"/>
      <c r="CP38" s="49" t="n"/>
      <c r="CQ38" s="49" t="n"/>
      <c r="CR38" s="49" t="n"/>
      <c r="CS38" s="49" t="n"/>
      <c r="CT38" s="49" t="n"/>
      <c r="CU38" s="49" t="n"/>
      <c r="CV38" s="49" t="n"/>
      <c r="CW38" s="49" t="n"/>
      <c r="CY38" s="148" t="n"/>
      <c r="CZ38" s="148" t="n"/>
      <c r="DA38" s="148" t="n"/>
      <c r="DB38" s="148" t="n"/>
      <c r="DC38" s="148" t="n"/>
      <c r="DD38" s="148" t="n"/>
      <c r="DE38" s="148" t="n"/>
      <c r="DF38" s="148" t="n"/>
      <c r="DG38" s="148" t="n"/>
      <c r="DH38" s="148" t="n"/>
      <c r="DI38" s="148" t="n"/>
      <c r="DJ38" s="148" t="n"/>
      <c r="DK38" s="148" t="n"/>
      <c r="DL38" s="148" t="n"/>
      <c r="DM38" s="148" t="n"/>
      <c r="DQ38" s="57" t="n"/>
      <c r="DR38" s="166" t="n"/>
      <c r="DS38" s="60" t="n"/>
      <c r="DT38" s="167" t="n"/>
      <c r="DU38" s="167" t="n"/>
      <c r="DV38" s="167" t="n"/>
      <c r="DW38" s="167" t="n"/>
      <c r="DX38" s="167" t="n"/>
      <c r="DY38" s="167" t="n"/>
      <c r="DZ38" s="167" t="n"/>
      <c r="EA38" s="167" t="n"/>
      <c r="EB38" s="167" t="n"/>
      <c r="EC38" s="167" t="n"/>
      <c r="ED38" s="167" t="n"/>
      <c r="EE38" s="167" t="n"/>
      <c r="EF38" s="167" t="n"/>
      <c r="EG38" s="167" t="n"/>
      <c r="EH38" s="167" t="n"/>
      <c r="EI38" s="167" t="n"/>
      <c r="EJ38" s="167" t="n"/>
      <c r="EK38" s="167" t="n"/>
      <c r="EL38" s="167" t="n"/>
      <c r="EM38" s="167" t="n"/>
      <c r="EN38" s="167" t="n"/>
      <c r="EO38" s="167" t="n"/>
      <c r="EP38" s="167" t="n"/>
      <c r="EQ38" s="167" t="n"/>
      <c r="ER38" s="167" t="n"/>
      <c r="ES38" s="167" t="n"/>
      <c r="ET38" s="167" t="n"/>
      <c r="EU38" s="167" t="n"/>
      <c r="EV38" s="167" t="n"/>
      <c r="EW38" s="167" t="n"/>
      <c r="EX38" s="167" t="n"/>
      <c r="EY38" s="167" t="n"/>
      <c r="EZ38" s="167" t="n"/>
      <c r="FA38" s="167" t="n"/>
      <c r="FB38" s="167" t="n"/>
      <c r="FC38" s="167" t="n"/>
      <c r="FD38" s="167" t="n"/>
      <c r="FE38" s="167" t="n"/>
      <c r="FF38" s="57" t="n"/>
      <c r="FG38" s="167" t="n"/>
      <c r="FH38" s="167" t="n"/>
      <c r="FI38" s="167" t="n"/>
      <c r="FJ38" s="167" t="n"/>
      <c r="FK38" s="167" t="n"/>
      <c r="FL38" s="167" t="n"/>
      <c r="FM38" s="167" t="n"/>
      <c r="FN38" s="167" t="n"/>
      <c r="FO38" s="167" t="n"/>
      <c r="FP38" s="167" t="n"/>
      <c r="FQ38" s="167" t="n"/>
      <c r="FR38" s="168" t="n"/>
      <c r="FS38" s="167" t="n"/>
      <c r="FT38" s="167" t="n"/>
      <c r="FU38" s="167" t="n"/>
      <c r="FV38" s="167" t="n"/>
      <c r="FW38" s="167" t="n"/>
      <c r="FX38" s="167" t="n"/>
      <c r="FY38" s="167" t="n"/>
      <c r="FZ38" s="167" t="n"/>
      <c r="GA38" s="167" t="n"/>
      <c r="GB38" s="167" t="n"/>
      <c r="GC38" s="167" t="n"/>
      <c r="GD38" s="167" t="n"/>
      <c r="GE38" s="167" t="n"/>
      <c r="GF38" s="167" t="n"/>
      <c r="GG38" s="167" t="n"/>
      <c r="GH38" s="167" t="n"/>
      <c r="GI38" s="167" t="n"/>
      <c r="GJ38" s="167" t="n"/>
      <c r="GK38" s="167" t="n"/>
      <c r="GL38" s="167" t="n"/>
      <c r="GM38" s="167" t="n"/>
      <c r="GN38" s="167" t="n"/>
      <c r="GO38" s="167" t="n"/>
      <c r="GP38" s="167" t="n"/>
      <c r="GQ38" s="167" t="n"/>
      <c r="GR38" s="167" t="n"/>
      <c r="GS38" s="167" t="n"/>
      <c r="GT38" s="167" t="n"/>
      <c r="GU38" s="167" t="n"/>
      <c r="GV38" s="167" t="n"/>
      <c r="GW38" s="167" t="n"/>
      <c r="GX38" s="167" t="n"/>
      <c r="GY38" s="167" t="n"/>
      <c r="GZ38" s="167" t="n"/>
      <c r="HA38" s="167" t="n"/>
      <c r="HB38" s="167" t="n"/>
      <c r="HC38" s="167" t="n"/>
      <c r="HD38" s="167" t="n"/>
      <c r="HE38" s="167" t="n"/>
      <c r="HF38" s="167" t="n"/>
      <c r="HG38" s="167" t="n"/>
      <c r="HH38" s="167" t="n"/>
      <c r="HI38" s="167" t="n"/>
      <c r="HJ38" s="167" t="n"/>
      <c r="HK38" s="167" t="n"/>
      <c r="HL38" s="167" t="n"/>
      <c r="HM38" s="167" t="n"/>
      <c r="HN38" s="167" t="n"/>
      <c r="HO38" s="167" t="n"/>
      <c r="HP38" s="167" t="n"/>
      <c r="HQ38" s="167" t="n"/>
      <c r="HR38" s="167" t="n"/>
      <c r="HS38" s="167" t="n"/>
      <c r="HT38" s="167" t="n"/>
      <c r="HU38" s="167" t="n"/>
      <c r="HV38" s="167" t="n"/>
      <c r="HW38" s="167" t="n"/>
      <c r="HX38" s="167" t="n"/>
      <c r="HY38" s="167" t="n"/>
      <c r="HZ38" s="167" t="n"/>
      <c r="IA38" s="167" t="n"/>
      <c r="IB38" s="167" t="n"/>
      <c r="IC38" s="167" t="n"/>
      <c r="ID38" s="167" t="n"/>
      <c r="IE38" s="167" t="n"/>
      <c r="IF38" s="167" t="n"/>
      <c r="IG38" s="167" t="n"/>
      <c r="IH38" s="167" t="n"/>
      <c r="II38" s="167" t="n"/>
      <c r="IJ38" s="167" t="n"/>
      <c r="IK38" s="167" t="n"/>
    </row>
    <row r="39">
      <c r="A39" s="348" t="n"/>
      <c r="B39" s="348" t="n"/>
      <c r="C39" s="348" t="n"/>
      <c r="AP39" s="360" t="n"/>
      <c r="BE39" s="49" t="n"/>
      <c r="CM39" s="49" t="n"/>
      <c r="CN39" s="49" t="n"/>
      <c r="CO39" s="49" t="n"/>
      <c r="CP39" s="49" t="n"/>
      <c r="CQ39" s="49" t="n"/>
      <c r="CR39" s="49" t="n"/>
      <c r="CS39" s="49" t="n"/>
      <c r="CT39" s="49" t="n"/>
      <c r="CU39" s="49" t="n"/>
      <c r="CV39" s="49" t="n"/>
      <c r="CW39" s="49" t="n"/>
      <c r="CY39" s="148" t="n"/>
      <c r="CZ39" s="148" t="n"/>
      <c r="DA39" s="148" t="n"/>
      <c r="DB39" s="148" t="n"/>
      <c r="DC39" s="148" t="n"/>
      <c r="DD39" s="148" t="n"/>
      <c r="DE39" s="148" t="n"/>
      <c r="DF39" s="148" t="n"/>
      <c r="DG39" s="148" t="n"/>
      <c r="DH39" s="148" t="n"/>
      <c r="DI39" s="148" t="n"/>
      <c r="DJ39" s="148" t="n"/>
      <c r="DK39" s="148" t="n"/>
      <c r="DL39" s="148" t="n"/>
      <c r="DM39" s="148" t="n"/>
      <c r="DO39" s="173" t="n"/>
      <c r="DP39" s="57" t="n"/>
      <c r="DQ39" s="174" t="n"/>
      <c r="DR39" s="175" t="n"/>
      <c r="DS39" s="174" t="n"/>
      <c r="DT39" s="57" t="n"/>
      <c r="DU39" s="57" t="n"/>
      <c r="DV39" s="57" t="n"/>
      <c r="DW39" s="57" t="n"/>
      <c r="DX39" s="57" t="n"/>
      <c r="DY39" s="57" t="n"/>
      <c r="DZ39" s="57" t="n"/>
      <c r="EA39" s="57" t="n"/>
      <c r="EB39" s="57" t="n"/>
      <c r="EC39" s="57" t="n"/>
      <c r="ED39" s="57" t="n"/>
      <c r="EE39" s="57" t="n"/>
      <c r="EF39" s="57" t="n"/>
      <c r="EG39" s="57" t="n"/>
      <c r="EH39" s="57" t="n"/>
      <c r="EI39" s="57" t="n"/>
      <c r="EJ39" s="57" t="n"/>
      <c r="EK39" s="57" t="n"/>
      <c r="EL39" s="57" t="n"/>
      <c r="EM39" s="57" t="n"/>
      <c r="EN39" s="57" t="n"/>
      <c r="EO39" s="57" t="n"/>
      <c r="EP39" s="57" t="n"/>
      <c r="EQ39" s="57" t="n"/>
      <c r="ER39" s="57" t="n"/>
      <c r="ES39" s="57" t="n"/>
      <c r="ET39" s="57" t="n"/>
      <c r="EU39" s="57" t="n"/>
      <c r="EV39" s="57" t="n"/>
      <c r="EW39" s="57" t="n"/>
      <c r="EX39" s="57" t="n"/>
      <c r="EY39" s="57" t="n"/>
      <c r="EZ39" s="57" t="n"/>
      <c r="FA39" s="57" t="n"/>
      <c r="FB39" s="57" t="n"/>
      <c r="FC39" s="57" t="n"/>
      <c r="FD39" s="57" t="n"/>
      <c r="FE39" s="57" t="n"/>
      <c r="FF39" s="57" t="n"/>
      <c r="FG39" s="57" t="n"/>
      <c r="FH39" s="57" t="n"/>
      <c r="FI39" s="57" t="n"/>
      <c r="FJ39" s="57" t="n"/>
      <c r="FK39" s="57" t="n"/>
      <c r="FL39" s="57" t="n"/>
      <c r="FM39" s="57" t="n"/>
      <c r="FN39" s="57" t="n"/>
      <c r="FO39" s="57" t="n"/>
      <c r="FP39" s="57" t="n"/>
      <c r="FQ39" s="57" t="n"/>
      <c r="FR39" s="168" t="n"/>
      <c r="FS39" s="57" t="n"/>
      <c r="FT39" s="57" t="n"/>
      <c r="FU39" s="57" t="n"/>
      <c r="FV39" s="57" t="n"/>
      <c r="FW39" s="57" t="n"/>
      <c r="FX39" s="57" t="n"/>
      <c r="FY39" s="57" t="n"/>
      <c r="FZ39" s="57" t="n"/>
      <c r="GA39" s="57" t="n"/>
      <c r="GB39" s="57" t="n"/>
      <c r="GC39" s="57" t="n"/>
      <c r="GD39" s="57" t="n"/>
      <c r="GE39" s="57" t="n"/>
      <c r="GF39" s="57" t="n"/>
      <c r="GG39" s="57" t="n"/>
      <c r="GH39" s="57" t="n"/>
      <c r="GI39" s="57" t="n"/>
      <c r="GJ39" s="57" t="n"/>
      <c r="GK39" s="57" t="n"/>
      <c r="GL39" s="57" t="n"/>
      <c r="GM39" s="57" t="n"/>
      <c r="GN39" s="57" t="n"/>
      <c r="GO39" s="57" t="n"/>
      <c r="GP39" s="57" t="n"/>
      <c r="GQ39" s="57" t="n"/>
      <c r="GR39" s="57" t="n"/>
      <c r="GS39" s="57" t="n"/>
      <c r="GT39" s="57" t="n"/>
      <c r="GU39" s="57" t="n"/>
      <c r="GV39" s="57" t="n"/>
      <c r="GW39" s="57" t="n"/>
      <c r="GX39" s="57" t="n"/>
      <c r="GY39" s="57" t="n"/>
      <c r="GZ39" s="57" t="n"/>
      <c r="HA39" s="57" t="n"/>
      <c r="HB39" s="57" t="n"/>
      <c r="HC39" s="57" t="n"/>
      <c r="HD39" s="57" t="n"/>
      <c r="HE39" s="57" t="n"/>
      <c r="HF39" s="57" t="n"/>
      <c r="HG39" s="57" t="n"/>
      <c r="HH39" s="57" t="n"/>
      <c r="HI39" s="57" t="n"/>
      <c r="HJ39" s="57" t="n"/>
      <c r="HK39" s="57" t="n"/>
      <c r="HL39" s="57" t="n"/>
      <c r="HM39" s="57" t="n"/>
      <c r="HN39" s="57" t="n"/>
      <c r="HO39" s="57" t="n"/>
      <c r="HP39" s="57" t="n"/>
      <c r="HQ39" s="57" t="n"/>
      <c r="HR39" s="57" t="n"/>
      <c r="HS39" s="57" t="n"/>
      <c r="HT39" s="57" t="n"/>
      <c r="HU39" s="57" t="n"/>
      <c r="HV39" s="57" t="n"/>
      <c r="HW39" s="57" t="n"/>
      <c r="HX39" s="57" t="n"/>
      <c r="HY39" s="57" t="n"/>
      <c r="HZ39" s="57" t="n"/>
      <c r="IA39" s="57" t="n"/>
      <c r="IB39" s="57" t="n"/>
      <c r="IC39" s="57" t="n"/>
      <c r="ID39" s="57" t="n"/>
      <c r="IE39" s="57" t="n"/>
      <c r="IF39" s="57" t="n"/>
      <c r="IG39" s="57" t="n"/>
      <c r="IH39" s="57" t="n"/>
      <c r="II39" s="57" t="n"/>
      <c r="IJ39" s="57" t="n"/>
      <c r="IK39" s="57" t="n"/>
    </row>
    <row r="40">
      <c r="A40" s="349" t="inlineStr">
        <is>
          <t>TAG DISNEY</t>
        </is>
      </c>
      <c r="B40" s="350" t="n"/>
      <c r="C40" s="115" t="n">
        <v>50</v>
      </c>
      <c r="AP40" s="360" t="n"/>
      <c r="BE40" s="49" t="n"/>
      <c r="CM40" s="49" t="n"/>
      <c r="CN40" s="49" t="n"/>
      <c r="CO40" s="49" t="n"/>
      <c r="CP40" s="49" t="n"/>
      <c r="CQ40" s="49" t="n"/>
      <c r="CR40" s="49" t="n"/>
      <c r="CS40" s="49" t="n"/>
      <c r="CT40" s="49" t="n"/>
      <c r="CU40" s="49" t="n"/>
      <c r="CV40" s="49" t="n"/>
      <c r="CW40" s="49" t="n"/>
      <c r="CY40" s="148" t="n"/>
      <c r="CZ40" s="148" t="n"/>
      <c r="DA40" s="148" t="n"/>
      <c r="DB40" s="148" t="n"/>
      <c r="DC40" s="148" t="n"/>
      <c r="DD40" s="148" t="n"/>
      <c r="DE40" s="148" t="n"/>
      <c r="DF40" s="148" t="n"/>
      <c r="DG40" s="148" t="n"/>
      <c r="DH40" s="148" t="n"/>
      <c r="DI40" s="148" t="n"/>
      <c r="DJ40" s="148" t="n"/>
      <c r="DK40" s="148" t="n"/>
      <c r="DL40" s="148" t="n"/>
      <c r="DM40" s="148" t="n"/>
      <c r="DO40" s="173" t="n"/>
      <c r="DP40" s="57" t="n"/>
      <c r="DQ40" s="174" t="n"/>
      <c r="DR40" s="175" t="n"/>
      <c r="DS40" s="174" t="n"/>
      <c r="DT40" s="57" t="n"/>
      <c r="DU40" s="57" t="n"/>
      <c r="DV40" s="57" t="n"/>
      <c r="DW40" s="57" t="n"/>
      <c r="DX40" s="57" t="n"/>
      <c r="DY40" s="57" t="n"/>
      <c r="DZ40" s="57" t="n"/>
      <c r="EA40" s="57" t="n"/>
      <c r="EB40" s="57" t="n"/>
      <c r="EC40" s="57" t="n"/>
      <c r="ED40" s="57" t="n"/>
      <c r="EE40" s="57" t="n"/>
      <c r="EF40" s="57" t="n"/>
      <c r="EG40" s="57" t="n"/>
      <c r="EH40" s="57" t="n"/>
      <c r="EI40" s="57" t="n"/>
      <c r="EJ40" s="57" t="n"/>
      <c r="EK40" s="57" t="n"/>
      <c r="EL40" s="57" t="n"/>
      <c r="EM40" s="57" t="n"/>
      <c r="EN40" s="57" t="n"/>
      <c r="EO40" s="57" t="n"/>
      <c r="EP40" s="57" t="n"/>
      <c r="EQ40" s="57" t="n"/>
      <c r="ER40" s="57" t="n"/>
      <c r="ES40" s="57" t="n"/>
      <c r="ET40" s="57" t="n"/>
      <c r="EU40" s="57" t="n"/>
      <c r="EV40" s="57" t="n"/>
      <c r="EW40" s="57" t="n"/>
      <c r="EX40" s="57" t="n"/>
      <c r="EY40" s="57" t="n"/>
      <c r="EZ40" s="57" t="n"/>
      <c r="FA40" s="57" t="n"/>
      <c r="FB40" s="57" t="n"/>
      <c r="FC40" s="57" t="n"/>
      <c r="FD40" s="57" t="n"/>
      <c r="FE40" s="57" t="n"/>
      <c r="FF40" s="173" t="n"/>
      <c r="FG40" s="57" t="n"/>
      <c r="FH40" s="57" t="n"/>
      <c r="FI40" s="57" t="n"/>
      <c r="FJ40" s="57" t="n"/>
      <c r="FK40" s="57" t="n"/>
      <c r="FL40" s="57" t="n"/>
      <c r="FM40" s="57" t="n"/>
      <c r="FN40" s="57" t="n"/>
      <c r="FO40" s="57" t="n"/>
      <c r="FP40" s="57" t="n"/>
      <c r="FQ40" s="57" t="n"/>
      <c r="FR40" s="168" t="n"/>
      <c r="FS40" s="57" t="n"/>
      <c r="FT40" s="57" t="n"/>
      <c r="FU40" s="57" t="n"/>
      <c r="FV40" s="57" t="n"/>
      <c r="FW40" s="57" t="n"/>
      <c r="FX40" s="57" t="n"/>
      <c r="FY40" s="57" t="n"/>
      <c r="FZ40" s="57" t="n"/>
      <c r="GA40" s="57" t="n"/>
      <c r="GB40" s="57" t="n"/>
      <c r="GC40" s="57" t="n"/>
      <c r="GD40" s="57" t="n"/>
      <c r="GE40" s="57" t="n"/>
      <c r="GF40" s="57" t="n"/>
      <c r="GG40" s="57" t="n"/>
      <c r="GH40" s="57" t="n"/>
      <c r="GI40" s="57" t="n"/>
      <c r="GJ40" s="57" t="n"/>
      <c r="GK40" s="57" t="n"/>
      <c r="GL40" s="57" t="n"/>
      <c r="GM40" s="57" t="n"/>
      <c r="GN40" s="57" t="n"/>
      <c r="GO40" s="57" t="n"/>
      <c r="GP40" s="57" t="n"/>
      <c r="GQ40" s="57" t="n"/>
      <c r="GR40" s="57" t="n"/>
      <c r="GS40" s="57" t="n"/>
      <c r="GT40" s="57" t="n"/>
      <c r="GU40" s="57" t="n"/>
      <c r="GV40" s="57" t="n"/>
      <c r="GW40" s="57" t="n"/>
      <c r="GX40" s="57" t="n"/>
      <c r="GY40" s="57" t="n"/>
      <c r="GZ40" s="57" t="n"/>
      <c r="HA40" s="57" t="n"/>
      <c r="HB40" s="57" t="n"/>
      <c r="HC40" s="57" t="n"/>
      <c r="HD40" s="57" t="n"/>
      <c r="HE40" s="57" t="n"/>
      <c r="HF40" s="57" t="n"/>
      <c r="HG40" s="57" t="n"/>
      <c r="HH40" s="57" t="n"/>
      <c r="HI40" s="57" t="n"/>
      <c r="HJ40" s="57" t="n"/>
      <c r="HK40" s="57" t="n"/>
      <c r="HL40" s="57" t="n"/>
      <c r="HM40" s="57" t="n"/>
      <c r="HN40" s="57" t="n"/>
      <c r="HO40" s="57" t="n"/>
      <c r="HP40" s="57" t="n"/>
      <c r="HQ40" s="57" t="n"/>
      <c r="HR40" s="57" t="n"/>
      <c r="HS40" s="57" t="n"/>
      <c r="HT40" s="57" t="n"/>
      <c r="HU40" s="57" t="n"/>
      <c r="HV40" s="57" t="n"/>
      <c r="HW40" s="57" t="n"/>
      <c r="HX40" s="57" t="n"/>
      <c r="HY40" s="57" t="n"/>
      <c r="HZ40" s="57" t="n"/>
      <c r="IA40" s="57" t="n"/>
      <c r="IB40" s="57" t="n"/>
      <c r="IC40" s="57" t="n"/>
      <c r="ID40" s="57" t="n"/>
      <c r="IE40" s="57" t="n"/>
      <c r="IF40" s="57" t="n"/>
      <c r="IG40" s="57" t="n"/>
      <c r="IH40" s="57" t="n"/>
      <c r="II40" s="57" t="n"/>
      <c r="IJ40" s="57" t="n"/>
      <c r="IK40" s="57" t="n"/>
    </row>
    <row r="41">
      <c r="A41" s="348" t="n"/>
      <c r="B41" s="348" t="n"/>
      <c r="C41" s="348" t="n"/>
      <c r="E41" s="53" t="n"/>
      <c r="AE41" s="6" t="n"/>
      <c r="AF41" s="6" t="n"/>
      <c r="AG41" s="6" t="n"/>
      <c r="AH41" s="6" t="n"/>
      <c r="AK41" s="6" t="n"/>
      <c r="AL41" s="6" t="n"/>
      <c r="AM41" s="6" t="n"/>
      <c r="AN41" s="6" t="n"/>
      <c r="AO41" s="6" t="n"/>
      <c r="AP41" s="53" t="n"/>
      <c r="AQ41" s="6" t="n"/>
      <c r="AR41" s="6" t="n"/>
      <c r="AS41" s="6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49" t="n"/>
      <c r="BG41" s="6" t="n"/>
      <c r="BI41" s="53" t="n"/>
      <c r="BJ41" s="53" t="n"/>
      <c r="BK41" s="53" t="n"/>
      <c r="BL41" s="53" t="n"/>
      <c r="BM41" s="53" t="n"/>
      <c r="BN41" s="53" t="n"/>
      <c r="BO41" s="53" t="n"/>
      <c r="BP41" s="53" t="n"/>
      <c r="BQ41" s="53" t="n"/>
      <c r="BR41" s="53" t="n"/>
      <c r="BS41" s="53" t="n"/>
      <c r="CM41" s="49" t="n"/>
      <c r="CN41" s="49" t="n"/>
      <c r="CO41" s="49" t="n"/>
      <c r="CP41" s="49" t="n"/>
      <c r="CQ41" s="49" t="n"/>
      <c r="CR41" s="49" t="n"/>
      <c r="CS41" s="49" t="n"/>
      <c r="CT41" s="49" t="n"/>
      <c r="CU41" s="49" t="n"/>
      <c r="CV41" s="49" t="n"/>
      <c r="CW41" s="49" t="n"/>
      <c r="CY41" s="49" t="n"/>
      <c r="CZ41" s="49" t="n"/>
      <c r="DA41" s="49" t="n"/>
      <c r="DB41" s="49" t="n"/>
      <c r="DC41" s="49" t="n"/>
      <c r="DD41" s="49" t="n"/>
      <c r="DE41" s="49" t="n"/>
      <c r="DF41" s="49" t="n"/>
      <c r="DG41" s="49" t="n"/>
      <c r="DH41" s="49" t="n"/>
      <c r="DI41" s="49" t="n"/>
      <c r="DJ41" s="49" t="n"/>
      <c r="DK41" s="49" t="n"/>
      <c r="DL41" s="49" t="n"/>
      <c r="DM41" s="49" t="n"/>
      <c r="DO41" s="49" t="n"/>
      <c r="DP41" s="49" t="n"/>
      <c r="DR41" s="49" t="n"/>
      <c r="DT41" s="49" t="n"/>
      <c r="DU41" s="49" t="n"/>
      <c r="DV41" s="49" t="n"/>
      <c r="DW41" s="49" t="n"/>
      <c r="DX41" s="49" t="n"/>
      <c r="DY41" s="49" t="n"/>
      <c r="DZ41" s="49" t="n"/>
      <c r="EA41" s="49" t="n"/>
      <c r="EB41" s="49" t="n"/>
      <c r="EC41" s="49" t="n"/>
      <c r="ED41" s="49" t="n"/>
      <c r="EE41" s="49" t="n"/>
      <c r="EF41" s="49" t="n"/>
      <c r="EG41" s="49" t="n"/>
      <c r="EH41" s="49" t="n"/>
      <c r="EI41" s="49" t="n"/>
      <c r="EJ41" s="49" t="n"/>
      <c r="EK41" s="49" t="n"/>
      <c r="EL41" s="49" t="n"/>
      <c r="EM41" s="49" t="n"/>
      <c r="EN41" s="49" t="n"/>
      <c r="EO41" s="49" t="n"/>
      <c r="EP41" s="49" t="n"/>
      <c r="EQ41" s="49" t="n"/>
      <c r="ER41" s="49" t="n"/>
      <c r="ES41" s="49" t="n"/>
      <c r="ET41" s="49" t="n"/>
      <c r="EU41" s="49" t="n"/>
      <c r="EV41" s="49" t="n"/>
      <c r="EW41" s="49" t="n"/>
      <c r="EX41" s="49" t="n"/>
      <c r="EY41" s="49" t="n"/>
      <c r="EZ41" s="49" t="n"/>
      <c r="FA41" s="49" t="n"/>
      <c r="FB41" s="49" t="n"/>
      <c r="FC41" s="49" t="n"/>
      <c r="FD41" s="49" t="n"/>
      <c r="FE41" s="49" t="n"/>
      <c r="FF41" s="49" t="n"/>
      <c r="FG41" s="49" t="n"/>
      <c r="FH41" s="49" t="n"/>
      <c r="FI41" s="49" t="n"/>
      <c r="FJ41" s="49" t="n"/>
      <c r="FK41" s="49" t="n"/>
      <c r="FL41" s="49" t="n"/>
      <c r="FM41" s="49" t="n"/>
      <c r="FN41" s="49" t="n"/>
      <c r="FO41" s="49" t="n"/>
      <c r="FP41" s="49" t="n"/>
      <c r="FQ41" s="49" t="n"/>
      <c r="FR41" s="168" t="n"/>
      <c r="FS41" s="49" t="n"/>
      <c r="FT41" s="49" t="n"/>
      <c r="FU41" s="49" t="n"/>
      <c r="FV41" s="49" t="n"/>
      <c r="FW41" s="49" t="n"/>
      <c r="FX41" s="49" t="n"/>
      <c r="FY41" s="49" t="n"/>
      <c r="FZ41" s="49" t="n"/>
      <c r="GA41" s="49" t="n"/>
      <c r="GB41" s="49" t="n"/>
      <c r="GC41" s="49" t="n"/>
      <c r="GD41" s="49" t="n"/>
      <c r="GE41" s="49" t="n"/>
      <c r="GF41" s="49" t="n"/>
      <c r="GG41" s="49" t="n"/>
      <c r="GH41" s="49" t="n"/>
      <c r="GI41" s="49" t="n"/>
      <c r="GJ41" s="49" t="n"/>
      <c r="GK41" s="49" t="n"/>
      <c r="GL41" s="49" t="n"/>
      <c r="GM41" s="49" t="n"/>
      <c r="GN41" s="49" t="n"/>
      <c r="GO41" s="49" t="n"/>
      <c r="GP41" s="49" t="n"/>
      <c r="GQ41" s="49" t="n"/>
      <c r="GR41" s="49" t="n"/>
      <c r="GS41" s="49" t="n"/>
      <c r="GT41" s="49" t="n"/>
      <c r="GU41" s="49" t="n"/>
      <c r="GV41" s="49" t="n"/>
      <c r="GW41" s="49" t="n"/>
      <c r="GX41" s="49" t="n"/>
      <c r="GY41" s="49" t="n"/>
      <c r="GZ41" s="49" t="n"/>
      <c r="HA41" s="49" t="n"/>
      <c r="HB41" s="49" t="n"/>
      <c r="HC41" s="49" t="n"/>
      <c r="HD41" s="49" t="n"/>
      <c r="HE41" s="49" t="n"/>
      <c r="HF41" s="49" t="n"/>
      <c r="HG41" s="49" t="n"/>
      <c r="HH41" s="49" t="n"/>
      <c r="HI41" s="49" t="n"/>
      <c r="HJ41" s="49" t="n"/>
      <c r="HK41" s="49" t="n"/>
      <c r="HL41" s="49" t="n"/>
      <c r="HM41" s="49" t="n"/>
      <c r="HN41" s="49" t="n"/>
      <c r="HO41" s="49" t="n"/>
      <c r="HP41" s="49" t="n"/>
      <c r="HQ41" s="49" t="n"/>
      <c r="HR41" s="49" t="n"/>
      <c r="HS41" s="49" t="n"/>
      <c r="HT41" s="49" t="n"/>
      <c r="HU41" s="49" t="n"/>
      <c r="HV41" s="49" t="n"/>
      <c r="HW41" s="49" t="n"/>
      <c r="HX41" s="49" t="n"/>
      <c r="HY41" s="49" t="n"/>
      <c r="HZ41" s="49" t="n"/>
      <c r="IA41" s="49" t="n"/>
      <c r="IB41" s="49" t="n"/>
      <c r="IC41" s="49" t="n"/>
      <c r="ID41" s="49" t="n"/>
      <c r="IE41" s="49" t="n"/>
      <c r="IF41" s="49" t="n"/>
      <c r="IG41" s="49" t="n"/>
      <c r="IH41" s="49" t="n"/>
      <c r="II41" s="49" t="n"/>
      <c r="IJ41" s="49" t="n"/>
      <c r="IK41" s="49" t="n"/>
    </row>
    <row r="42">
      <c r="A42" s="349" t="inlineStr">
        <is>
          <t>TAG CRIANÇAS PANTERA NE</t>
        </is>
      </c>
      <c r="B42" s="350" t="n"/>
      <c r="C42" s="115" t="n">
        <v>100</v>
      </c>
      <c r="E42" s="53" t="n"/>
      <c r="AE42" s="6" t="n"/>
      <c r="AF42" s="6" t="n"/>
      <c r="AG42" s="6" t="n"/>
      <c r="AH42" s="6" t="n"/>
      <c r="AK42" s="6" t="n"/>
      <c r="AL42" s="6" t="n"/>
      <c r="AM42" s="6" t="n"/>
      <c r="AN42" s="6" t="n"/>
      <c r="AO42" s="6" t="n"/>
      <c r="AP42" s="53" t="n"/>
      <c r="AQ42" s="6" t="n"/>
      <c r="AR42" s="6" t="n"/>
      <c r="AS42" s="6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49" t="n"/>
      <c r="BG42" s="6" t="n"/>
      <c r="BI42" s="53" t="n"/>
      <c r="BJ42" s="53" t="n"/>
      <c r="BK42" s="53" t="n"/>
      <c r="BL42" s="53" t="n"/>
      <c r="BM42" s="53" t="n"/>
      <c r="BN42" s="53" t="n"/>
      <c r="BO42" s="53" t="n"/>
      <c r="BP42" s="53" t="n"/>
      <c r="BQ42" s="53" t="n"/>
      <c r="BR42" s="53" t="n"/>
      <c r="BS42" s="53" t="n"/>
      <c r="CM42" s="49" t="n"/>
      <c r="CN42" s="49" t="n"/>
      <c r="CO42" s="49" t="n"/>
      <c r="CP42" s="49" t="n"/>
      <c r="CQ42" s="49" t="n"/>
      <c r="CR42" s="49" t="n"/>
      <c r="CS42" s="49" t="n"/>
      <c r="CT42" s="49" t="n"/>
      <c r="CU42" s="49" t="n"/>
      <c r="CV42" s="49" t="n"/>
      <c r="CW42" s="49" t="n"/>
      <c r="CY42" s="49" t="n"/>
      <c r="CZ42" s="49" t="n"/>
      <c r="DA42" s="49" t="n"/>
      <c r="DB42" s="49" t="n"/>
      <c r="DC42" s="49" t="n"/>
      <c r="DD42" s="49" t="n"/>
      <c r="DE42" s="49" t="n"/>
      <c r="DF42" s="49" t="n"/>
      <c r="DG42" s="49" t="n"/>
      <c r="DH42" s="49" t="n"/>
      <c r="DI42" s="49" t="n"/>
      <c r="DJ42" s="49" t="n"/>
      <c r="DK42" s="49" t="n"/>
      <c r="DL42" s="49" t="n"/>
      <c r="DM42" s="49" t="n"/>
      <c r="DO42" s="49" t="n"/>
      <c r="DP42" s="49" t="n"/>
      <c r="DR42" s="49" t="n"/>
      <c r="DT42" s="49" t="n"/>
      <c r="DU42" s="49" t="n"/>
      <c r="DV42" s="49" t="n"/>
      <c r="DW42" s="49" t="n"/>
      <c r="DX42" s="49" t="n"/>
      <c r="DY42" s="49" t="n"/>
      <c r="DZ42" s="49" t="n"/>
      <c r="EA42" s="49" t="n"/>
      <c r="EB42" s="49" t="n"/>
      <c r="EC42" s="49" t="n"/>
      <c r="ED42" s="49" t="n"/>
      <c r="EE42" s="49" t="n"/>
      <c r="EF42" s="49" t="n"/>
      <c r="EG42" s="49" t="n"/>
      <c r="EH42" s="49" t="n"/>
      <c r="EI42" s="49" t="n"/>
      <c r="EJ42" s="49" t="n"/>
      <c r="EK42" s="49" t="n"/>
      <c r="EL42" s="49" t="n"/>
      <c r="EM42" s="49" t="n"/>
      <c r="EN42" s="49" t="n"/>
      <c r="EO42" s="49" t="n"/>
      <c r="EP42" s="49" t="n"/>
      <c r="EQ42" s="49" t="n"/>
      <c r="ER42" s="49" t="n"/>
      <c r="ES42" s="49" t="n"/>
      <c r="ET42" s="49" t="n"/>
      <c r="EU42" s="49" t="n"/>
      <c r="EV42" s="49" t="n"/>
      <c r="EW42" s="49" t="n"/>
      <c r="EX42" s="49" t="n"/>
      <c r="EY42" s="49" t="n"/>
      <c r="EZ42" s="49" t="n"/>
      <c r="FA42" s="49" t="n"/>
      <c r="FB42" s="49" t="n"/>
      <c r="FC42" s="49" t="n"/>
      <c r="FD42" s="49" t="n"/>
      <c r="FE42" s="49" t="n"/>
      <c r="FF42" s="49" t="n"/>
      <c r="FG42" s="49" t="n"/>
      <c r="FH42" s="49" t="n"/>
      <c r="FI42" s="49" t="n"/>
      <c r="FJ42" s="49" t="n"/>
      <c r="FK42" s="49" t="n"/>
      <c r="FL42" s="49" t="n"/>
      <c r="FM42" s="49" t="n"/>
      <c r="FN42" s="49" t="n"/>
      <c r="FO42" s="49" t="n"/>
      <c r="FP42" s="49" t="n"/>
      <c r="FQ42" s="49" t="n"/>
      <c r="FR42" s="168" t="n"/>
      <c r="FS42" s="49" t="n"/>
      <c r="FT42" s="49" t="n"/>
      <c r="FU42" s="49" t="n"/>
      <c r="FV42" s="49" t="n"/>
      <c r="FW42" s="49" t="n"/>
      <c r="FX42" s="49" t="n"/>
      <c r="FY42" s="49" t="n"/>
      <c r="FZ42" s="49" t="n"/>
      <c r="GA42" s="49" t="n"/>
      <c r="GB42" s="49" t="n"/>
      <c r="GC42" s="49" t="n"/>
      <c r="GD42" s="49" t="n"/>
      <c r="GE42" s="49" t="n"/>
      <c r="GF42" s="49" t="n"/>
      <c r="GG42" s="49" t="n"/>
      <c r="GH42" s="49" t="n"/>
      <c r="GI42" s="49" t="n"/>
      <c r="GJ42" s="49" t="n"/>
      <c r="GK42" s="49" t="n"/>
      <c r="GL42" s="49" t="n"/>
      <c r="GM42" s="49" t="n"/>
      <c r="GN42" s="49" t="n"/>
      <c r="GO42" s="49" t="n"/>
      <c r="GP42" s="49" t="n"/>
      <c r="GQ42" s="49" t="n"/>
      <c r="GR42" s="49" t="n"/>
      <c r="GS42" s="49" t="n"/>
      <c r="GT42" s="49" t="n"/>
      <c r="GU42" s="49" t="n"/>
      <c r="GV42" s="49" t="n"/>
      <c r="GW42" s="49" t="n"/>
      <c r="GX42" s="49" t="n"/>
      <c r="GY42" s="49" t="n"/>
      <c r="GZ42" s="49" t="n"/>
      <c r="HA42" s="49" t="n"/>
      <c r="HB42" s="49" t="n"/>
      <c r="HC42" s="49" t="n"/>
      <c r="HD42" s="49" t="n"/>
      <c r="HE42" s="49" t="n"/>
      <c r="HF42" s="49" t="n"/>
      <c r="HG42" s="49" t="n"/>
      <c r="HH42" s="49" t="n"/>
      <c r="HI42" s="49" t="n"/>
      <c r="HJ42" s="49" t="n"/>
      <c r="HK42" s="49" t="n"/>
      <c r="HL42" s="49" t="n"/>
      <c r="HM42" s="49" t="n"/>
      <c r="HN42" s="49" t="n"/>
      <c r="HO42" s="49" t="n"/>
      <c r="HP42" s="49" t="n"/>
      <c r="HQ42" s="49" t="n"/>
      <c r="HR42" s="49" t="n"/>
      <c r="HS42" s="49" t="n"/>
      <c r="HT42" s="49" t="n"/>
      <c r="HU42" s="49" t="n"/>
      <c r="HV42" s="49" t="n"/>
      <c r="HW42" s="49" t="n"/>
      <c r="HX42" s="49" t="n"/>
      <c r="HY42" s="49" t="n"/>
      <c r="HZ42" s="49" t="n"/>
      <c r="IA42" s="49" t="n"/>
      <c r="IB42" s="49" t="n"/>
      <c r="IC42" s="49" t="n"/>
      <c r="ID42" s="49" t="n"/>
      <c r="IE42" s="49" t="n"/>
      <c r="IF42" s="49" t="n"/>
      <c r="IG42" s="49" t="n"/>
      <c r="IH42" s="49" t="n"/>
      <c r="II42" s="49" t="n"/>
      <c r="IJ42" s="49" t="n"/>
      <c r="IK42" s="49" t="n"/>
    </row>
    <row r="43">
      <c r="A43" s="348" t="n"/>
      <c r="B43" s="348" t="n"/>
      <c r="C43" s="348" t="n"/>
      <c r="E43" s="53" t="n"/>
      <c r="AE43" s="6" t="n"/>
      <c r="AF43" s="6" t="n"/>
      <c r="AG43" s="6" t="n"/>
      <c r="AH43" s="6" t="n"/>
      <c r="AK43" s="6" t="n"/>
      <c r="AL43" s="6" t="n"/>
      <c r="AM43" s="6" t="n"/>
      <c r="AN43" s="6" t="n"/>
      <c r="AO43" s="6" t="n"/>
      <c r="AP43" s="53" t="n"/>
      <c r="AQ43" s="6" t="n"/>
      <c r="AR43" s="6" t="n"/>
      <c r="AS43" s="6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49" t="n"/>
      <c r="BG43" s="6" t="n"/>
      <c r="BI43" s="53" t="n"/>
      <c r="BJ43" s="53" t="n"/>
      <c r="BK43" s="53" t="n"/>
      <c r="BL43" s="53" t="n"/>
      <c r="BM43" s="53" t="n"/>
      <c r="BN43" s="53" t="n"/>
      <c r="BO43" s="53" t="n"/>
      <c r="BP43" s="53" t="n"/>
      <c r="BQ43" s="53" t="n"/>
      <c r="BR43" s="53" t="n"/>
      <c r="BS43" s="53" t="n"/>
      <c r="CM43" s="49" t="n"/>
      <c r="CN43" s="49" t="n"/>
      <c r="CO43" s="49" t="n"/>
      <c r="CP43" s="49" t="n"/>
      <c r="CQ43" s="49" t="n"/>
      <c r="CR43" s="49" t="n"/>
      <c r="CS43" s="49" t="n"/>
      <c r="CT43" s="49" t="n"/>
      <c r="CU43" s="49" t="n"/>
      <c r="CV43" s="49" t="n"/>
      <c r="CW43" s="49" t="n"/>
      <c r="CY43" s="49" t="n"/>
      <c r="CZ43" s="49" t="n"/>
      <c r="DA43" s="49" t="n"/>
      <c r="DB43" s="49" t="n"/>
      <c r="DC43" s="49" t="n"/>
      <c r="DD43" s="49" t="n"/>
      <c r="DE43" s="49" t="n"/>
      <c r="DF43" s="49" t="n"/>
      <c r="DG43" s="49" t="n"/>
      <c r="DH43" s="49" t="n"/>
      <c r="DI43" s="49" t="n"/>
      <c r="DJ43" s="49" t="n"/>
      <c r="DK43" s="49" t="n"/>
      <c r="DL43" s="49" t="n"/>
      <c r="DM43" s="49" t="n"/>
      <c r="DO43" s="49" t="n"/>
      <c r="DP43" s="49" t="n"/>
      <c r="DR43" s="49" t="n"/>
      <c r="DT43" s="49" t="n"/>
      <c r="DU43" s="49" t="n"/>
      <c r="DV43" s="49" t="n"/>
      <c r="DW43" s="49" t="n"/>
      <c r="DX43" s="49" t="n"/>
      <c r="DY43" s="49" t="n"/>
      <c r="DZ43" s="49" t="n"/>
      <c r="EA43" s="49" t="n"/>
      <c r="EB43" s="49" t="n"/>
      <c r="EC43" s="49" t="n"/>
      <c r="ED43" s="49" t="n"/>
      <c r="EE43" s="49" t="n"/>
      <c r="EF43" s="49" t="n"/>
      <c r="EG43" s="49" t="n"/>
      <c r="EH43" s="49" t="n"/>
      <c r="EI43" s="49" t="n"/>
      <c r="EJ43" s="49" t="n"/>
      <c r="EK43" s="49" t="n"/>
      <c r="EL43" s="49" t="n"/>
      <c r="EM43" s="49" t="n"/>
      <c r="EN43" s="49" t="n"/>
      <c r="EO43" s="49" t="n"/>
      <c r="EP43" s="49" t="n"/>
      <c r="EQ43" s="49" t="n"/>
      <c r="ER43" s="49" t="n"/>
      <c r="ES43" s="49" t="n"/>
      <c r="ET43" s="49" t="n"/>
      <c r="EU43" s="49" t="n"/>
      <c r="EV43" s="49" t="n"/>
      <c r="EW43" s="49" t="n"/>
      <c r="EX43" s="49" t="n"/>
      <c r="EY43" s="49" t="n"/>
      <c r="EZ43" s="49" t="n"/>
      <c r="FA43" s="49" t="n"/>
      <c r="FB43" s="49" t="n"/>
      <c r="FC43" s="49" t="n"/>
      <c r="FD43" s="49" t="n"/>
      <c r="FE43" s="49" t="n"/>
      <c r="FF43" s="49" t="n"/>
      <c r="FG43" s="49" t="n"/>
      <c r="FH43" s="49" t="n"/>
      <c r="FI43" s="49" t="n"/>
      <c r="FJ43" s="49" t="n"/>
      <c r="FK43" s="49" t="n"/>
      <c r="FL43" s="49" t="n"/>
      <c r="FM43" s="49" t="n"/>
      <c r="FN43" s="49" t="n"/>
      <c r="FO43" s="49" t="n"/>
      <c r="FP43" s="49" t="n"/>
      <c r="FQ43" s="49" t="n"/>
      <c r="FR43" s="168" t="n"/>
      <c r="FS43" s="49" t="n"/>
      <c r="FT43" s="49" t="n"/>
      <c r="FU43" s="49" t="n"/>
      <c r="FV43" s="49" t="n"/>
      <c r="FW43" s="49" t="n"/>
      <c r="FX43" s="49" t="n"/>
      <c r="FY43" s="49" t="n"/>
      <c r="FZ43" s="49" t="n"/>
      <c r="GA43" s="49" t="n"/>
      <c r="GB43" s="49" t="n"/>
      <c r="GC43" s="49" t="n"/>
      <c r="GD43" s="49" t="n"/>
      <c r="GE43" s="49" t="n"/>
      <c r="GF43" s="49" t="n"/>
      <c r="GG43" s="49" t="n"/>
      <c r="GH43" s="49" t="n"/>
      <c r="GI43" s="49" t="n"/>
      <c r="GJ43" s="49" t="n"/>
      <c r="GK43" s="49" t="n"/>
      <c r="GL43" s="49" t="n"/>
      <c r="GM43" s="49" t="n"/>
      <c r="GN43" s="49" t="n"/>
      <c r="GO43" s="49" t="n"/>
      <c r="GP43" s="49" t="n"/>
      <c r="GQ43" s="49" t="n"/>
      <c r="GR43" s="49" t="n"/>
      <c r="GS43" s="49" t="n"/>
      <c r="GT43" s="49" t="n"/>
      <c r="GU43" s="49" t="n"/>
      <c r="GV43" s="49" t="n"/>
      <c r="GW43" s="49" t="n"/>
      <c r="GX43" s="49" t="n"/>
      <c r="GY43" s="49" t="n"/>
      <c r="GZ43" s="49" t="n"/>
      <c r="HA43" s="49" t="n"/>
      <c r="HB43" s="49" t="n"/>
      <c r="HC43" s="49" t="n"/>
      <c r="HD43" s="49" t="n"/>
      <c r="HE43" s="49" t="n"/>
      <c r="HF43" s="49" t="n"/>
      <c r="HG43" s="49" t="n"/>
      <c r="HH43" s="49" t="n"/>
      <c r="HI43" s="49" t="n"/>
      <c r="HJ43" s="49" t="n"/>
      <c r="HK43" s="49" t="n"/>
      <c r="HL43" s="49" t="n"/>
      <c r="HM43" s="49" t="n"/>
      <c r="HN43" s="49" t="n"/>
      <c r="HO43" s="49" t="n"/>
      <c r="HP43" s="49" t="n"/>
      <c r="HQ43" s="49" t="n"/>
      <c r="HR43" s="49" t="n"/>
      <c r="HS43" s="49" t="n"/>
      <c r="HT43" s="49" t="n"/>
      <c r="HU43" s="49" t="n"/>
      <c r="HV43" s="49" t="n"/>
      <c r="HW43" s="49" t="n"/>
      <c r="HX43" s="49" t="n"/>
      <c r="HY43" s="49" t="n"/>
      <c r="HZ43" s="49" t="n"/>
      <c r="IA43" s="49" t="n"/>
      <c r="IB43" s="49" t="n"/>
      <c r="IC43" s="49" t="n"/>
      <c r="ID43" s="49" t="n"/>
      <c r="IE43" s="49" t="n"/>
      <c r="IF43" s="49" t="n"/>
      <c r="IG43" s="49" t="n"/>
      <c r="IH43" s="49" t="n"/>
      <c r="II43" s="49" t="n"/>
      <c r="IJ43" s="49" t="n"/>
      <c r="IK43" s="49" t="n"/>
    </row>
    <row r="44">
      <c r="A44" s="349" t="inlineStr">
        <is>
          <t>CINTA M DOURADA</t>
        </is>
      </c>
      <c r="B44" s="350" t="n"/>
      <c r="C44" s="115" t="n">
        <v>200</v>
      </c>
      <c r="AE44" s="6" t="n"/>
      <c r="AF44" s="6" t="n"/>
      <c r="AG44" s="6" t="n"/>
      <c r="AH44" s="6" t="n"/>
      <c r="AK44" s="6" t="n"/>
      <c r="AL44" s="6" t="n"/>
      <c r="AM44" s="6" t="n"/>
      <c r="AN44" s="6" t="n"/>
      <c r="AO44" s="6" t="n"/>
      <c r="AP44" s="53" t="n"/>
      <c r="AQ44" s="6" t="n"/>
      <c r="AR44" s="6" t="n"/>
      <c r="AS44" s="6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49" t="n"/>
      <c r="BG44" s="6" t="n"/>
      <c r="BI44" s="53" t="n"/>
      <c r="BJ44" s="53" t="n"/>
      <c r="BK44" s="53" t="n"/>
      <c r="BL44" s="53" t="n"/>
      <c r="BM44" s="53" t="n"/>
      <c r="BN44" s="53" t="n"/>
      <c r="BO44" s="53" t="n"/>
      <c r="BP44" s="53" t="n"/>
      <c r="BQ44" s="53" t="n"/>
      <c r="BR44" s="53" t="n"/>
      <c r="BS44" s="53" t="n"/>
      <c r="CM44" s="49" t="n"/>
      <c r="CN44" s="49" t="n"/>
      <c r="CO44" s="49" t="n"/>
      <c r="CP44" s="49" t="n"/>
      <c r="CQ44" s="49" t="n"/>
      <c r="CR44" s="49" t="n"/>
      <c r="CS44" s="49" t="n"/>
      <c r="CT44" s="49" t="n"/>
      <c r="CU44" s="49" t="n"/>
      <c r="CV44" s="49" t="n"/>
      <c r="CW44" s="49" t="n"/>
      <c r="CY44" s="49" t="n"/>
      <c r="CZ44" s="49" t="n"/>
      <c r="DA44" s="49" t="n"/>
      <c r="DB44" s="49" t="n"/>
      <c r="DC44" s="49" t="n"/>
      <c r="DD44" s="49" t="n"/>
      <c r="DE44" s="49" t="n"/>
      <c r="DF44" s="49" t="n"/>
      <c r="DG44" s="49" t="n"/>
      <c r="DH44" s="49" t="n"/>
      <c r="DI44" s="49" t="n"/>
      <c r="DJ44" s="49" t="n"/>
      <c r="DK44" s="49" t="n"/>
      <c r="DL44" s="49" t="n"/>
      <c r="DM44" s="49" t="n"/>
      <c r="DO44" s="49" t="n"/>
      <c r="DP44" s="49" t="n"/>
      <c r="DR44" s="49" t="n"/>
      <c r="DT44" s="49" t="n"/>
      <c r="DU44" s="49" t="n"/>
      <c r="DV44" s="49" t="n"/>
      <c r="DW44" s="49" t="n"/>
      <c r="DX44" s="49" t="n"/>
      <c r="DY44" s="49" t="n"/>
      <c r="DZ44" s="49" t="n"/>
      <c r="EA44" s="49" t="n"/>
      <c r="EB44" s="49" t="n"/>
      <c r="EC44" s="49" t="n"/>
      <c r="ED44" s="49" t="n"/>
      <c r="EE44" s="49" t="n"/>
      <c r="EF44" s="49" t="n"/>
      <c r="EG44" s="49" t="n"/>
      <c r="EH44" s="49" t="n"/>
      <c r="EI44" s="49" t="n"/>
      <c r="EJ44" s="49" t="n"/>
      <c r="EK44" s="49" t="n"/>
      <c r="EL44" s="49" t="n"/>
      <c r="EM44" s="49" t="n"/>
      <c r="EN44" s="49" t="n"/>
      <c r="EO44" s="49" t="n"/>
      <c r="EP44" s="49" t="n"/>
      <c r="EQ44" s="49" t="n"/>
      <c r="ER44" s="49" t="n"/>
      <c r="ES44" s="49" t="n"/>
      <c r="ET44" s="49" t="n"/>
      <c r="EU44" s="49" t="n"/>
      <c r="EV44" s="49" t="n"/>
      <c r="EW44" s="49" t="n"/>
      <c r="EX44" s="49" t="n"/>
      <c r="EY44" s="49" t="n"/>
      <c r="EZ44" s="49" t="n"/>
      <c r="FA44" s="49" t="n"/>
      <c r="FB44" s="49" t="n"/>
      <c r="FC44" s="49" t="n"/>
      <c r="FD44" s="49" t="n"/>
      <c r="FE44" s="49" t="n"/>
      <c r="FF44" s="49" t="n"/>
      <c r="FG44" s="49" t="n"/>
      <c r="FH44" s="49" t="n"/>
      <c r="FI44" s="49" t="n"/>
      <c r="FJ44" s="49" t="n"/>
      <c r="FK44" s="49" t="n"/>
      <c r="FL44" s="49" t="n"/>
      <c r="FM44" s="49" t="n"/>
      <c r="FN44" s="49" t="n"/>
      <c r="FO44" s="49" t="n"/>
      <c r="FP44" s="49" t="n"/>
      <c r="FQ44" s="49" t="n"/>
      <c r="FR44" s="168" t="n"/>
      <c r="FS44" s="49" t="n"/>
      <c r="FT44" s="49" t="n"/>
      <c r="FU44" s="49" t="n"/>
      <c r="FV44" s="49" t="n"/>
      <c r="FW44" s="49" t="n"/>
      <c r="FX44" s="49" t="n"/>
      <c r="FY44" s="49" t="n"/>
      <c r="FZ44" s="49" t="n"/>
      <c r="GA44" s="49" t="n"/>
      <c r="GB44" s="49" t="n"/>
      <c r="GC44" s="49" t="n"/>
      <c r="GD44" s="49" t="n"/>
      <c r="GE44" s="49" t="n"/>
      <c r="GF44" s="49" t="n"/>
      <c r="GG44" s="49" t="n"/>
      <c r="GH44" s="49" t="n"/>
      <c r="GI44" s="49" t="n"/>
      <c r="GJ44" s="49" t="n"/>
      <c r="GK44" s="49" t="n"/>
      <c r="GL44" s="49" t="n"/>
      <c r="GM44" s="49" t="n"/>
      <c r="GN44" s="49" t="n"/>
      <c r="GO44" s="49" t="n"/>
      <c r="GP44" s="49" t="n"/>
      <c r="GQ44" s="49" t="n"/>
      <c r="GR44" s="49" t="n"/>
      <c r="GS44" s="49" t="n"/>
      <c r="GT44" s="49" t="n"/>
      <c r="GU44" s="49" t="n"/>
      <c r="GV44" s="49" t="n"/>
      <c r="GW44" s="49" t="n"/>
      <c r="GX44" s="49" t="n"/>
      <c r="GY44" s="49" t="n"/>
      <c r="GZ44" s="49" t="n"/>
      <c r="HA44" s="49" t="n"/>
      <c r="HB44" s="49" t="n"/>
      <c r="HC44" s="49" t="n"/>
      <c r="HD44" s="49" t="n"/>
      <c r="HE44" s="49" t="n"/>
      <c r="HF44" s="49" t="n"/>
      <c r="HG44" s="49" t="n"/>
      <c r="HH44" s="49" t="n"/>
      <c r="HI44" s="49" t="n"/>
      <c r="HJ44" s="49" t="n"/>
      <c r="HK44" s="49" t="n"/>
      <c r="HL44" s="49" t="n"/>
      <c r="HM44" s="49" t="n"/>
      <c r="HN44" s="49" t="n"/>
      <c r="HO44" s="49" t="n"/>
      <c r="HP44" s="49" t="n"/>
      <c r="HQ44" s="49" t="n"/>
      <c r="HR44" s="49" t="n"/>
      <c r="HS44" s="49" t="n"/>
      <c r="HT44" s="49" t="n"/>
      <c r="HU44" s="49" t="n"/>
      <c r="HV44" s="49" t="n"/>
      <c r="HW44" s="49" t="n"/>
      <c r="HX44" s="49" t="n"/>
      <c r="HY44" s="49" t="n"/>
      <c r="HZ44" s="49" t="n"/>
      <c r="IA44" s="49" t="n"/>
      <c r="IB44" s="49" t="n"/>
      <c r="IC44" s="49" t="n"/>
      <c r="ID44" s="49" t="n"/>
      <c r="IE44" s="49" t="n"/>
      <c r="IF44" s="49" t="n"/>
      <c r="IG44" s="49" t="n"/>
      <c r="IH44" s="49" t="n"/>
      <c r="II44" s="49" t="n"/>
      <c r="IJ44" s="49" t="n"/>
      <c r="IK44" s="49" t="n"/>
    </row>
    <row r="45">
      <c r="A45" s="348" t="n"/>
      <c r="B45" s="348" t="n"/>
      <c r="C45" s="348" t="n"/>
      <c r="AE45" s="6" t="n"/>
      <c r="AF45" s="6" t="n"/>
      <c r="AG45" s="6" t="n"/>
      <c r="AH45" s="6" t="n"/>
      <c r="AK45" s="6" t="n"/>
      <c r="AL45" s="6" t="n"/>
      <c r="AM45" s="6" t="n"/>
      <c r="AN45" s="6" t="n"/>
      <c r="AO45" s="6" t="n"/>
      <c r="AQ45" s="6" t="n"/>
      <c r="AR45" s="6" t="n"/>
      <c r="AS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49" t="n"/>
      <c r="BG45" s="6" t="n"/>
      <c r="CM45" s="49" t="n"/>
      <c r="CN45" s="49" t="n"/>
      <c r="CO45" s="49" t="n"/>
      <c r="CP45" s="49" t="n"/>
      <c r="CQ45" s="49" t="n"/>
      <c r="CR45" s="49" t="n"/>
      <c r="CS45" s="49" t="n"/>
      <c r="CT45" s="49" t="n"/>
      <c r="CU45" s="49" t="n"/>
      <c r="CV45" s="49" t="n"/>
      <c r="CW45" s="49" t="n"/>
      <c r="CY45" s="49" t="n"/>
      <c r="CZ45" s="49" t="n"/>
      <c r="DA45" s="49" t="n"/>
      <c r="DB45" s="49" t="n"/>
      <c r="DC45" s="49" t="n"/>
      <c r="DD45" s="49" t="n"/>
      <c r="DE45" s="49" t="n"/>
      <c r="DF45" s="49" t="n"/>
      <c r="DG45" s="49" t="n"/>
      <c r="DH45" s="49" t="n"/>
      <c r="DI45" s="49" t="n"/>
      <c r="DJ45" s="49" t="n"/>
      <c r="DK45" s="49" t="n"/>
      <c r="DL45" s="49" t="n"/>
      <c r="DM45" s="49" t="n"/>
      <c r="DO45" s="49" t="n"/>
      <c r="DP45" s="49" t="n"/>
      <c r="DR45" s="49" t="n"/>
      <c r="DT45" s="49" t="n"/>
      <c r="DU45" s="49" t="n"/>
      <c r="DV45" s="49" t="n"/>
      <c r="DW45" s="49" t="n"/>
      <c r="DX45" s="49" t="n"/>
      <c r="DY45" s="49" t="n"/>
      <c r="DZ45" s="49" t="n"/>
      <c r="EA45" s="49" t="n"/>
      <c r="EB45" s="49" t="n"/>
      <c r="EC45" s="49" t="n"/>
      <c r="ED45" s="49" t="n"/>
      <c r="EE45" s="49" t="n"/>
      <c r="EF45" s="49" t="n"/>
      <c r="EG45" s="49" t="n"/>
      <c r="EH45" s="49" t="n"/>
      <c r="EI45" s="49" t="n"/>
      <c r="EJ45" s="49" t="n"/>
      <c r="EK45" s="49" t="n"/>
      <c r="EL45" s="49" t="n"/>
      <c r="EM45" s="49" t="n"/>
      <c r="EN45" s="49" t="n"/>
      <c r="EO45" s="49" t="n"/>
      <c r="EP45" s="49" t="n"/>
      <c r="EQ45" s="49" t="n"/>
      <c r="ER45" s="49" t="n"/>
      <c r="ES45" s="49" t="n"/>
      <c r="ET45" s="49" t="n"/>
      <c r="EU45" s="49" t="n"/>
      <c r="EV45" s="49" t="n"/>
      <c r="EW45" s="49" t="n"/>
      <c r="EX45" s="49" t="n"/>
      <c r="EY45" s="49" t="n"/>
      <c r="EZ45" s="49" t="n"/>
      <c r="FA45" s="49" t="n"/>
      <c r="FB45" s="49" t="n"/>
      <c r="FC45" s="49" t="n"/>
      <c r="FD45" s="49" t="n"/>
      <c r="FE45" s="49" t="n"/>
      <c r="FF45" s="49" t="n"/>
      <c r="FG45" s="49" t="n"/>
      <c r="FH45" s="49" t="n"/>
      <c r="FI45" s="49" t="n"/>
      <c r="FJ45" s="49" t="n"/>
      <c r="FK45" s="49" t="n"/>
      <c r="FL45" s="49" t="n"/>
      <c r="FM45" s="49" t="n"/>
      <c r="FN45" s="49" t="n"/>
      <c r="FO45" s="49" t="n"/>
      <c r="FP45" s="49" t="n"/>
      <c r="FQ45" s="49" t="n"/>
      <c r="FR45" s="168" t="n"/>
      <c r="FS45" s="49" t="n"/>
      <c r="FT45" s="49" t="n"/>
      <c r="FU45" s="49" t="n"/>
      <c r="FV45" s="49" t="n"/>
      <c r="FW45" s="49" t="n"/>
      <c r="FX45" s="49" t="n"/>
      <c r="FY45" s="49" t="n"/>
      <c r="FZ45" s="49" t="n"/>
      <c r="GA45" s="49" t="n"/>
      <c r="GB45" s="49" t="n"/>
      <c r="GC45" s="49" t="n"/>
      <c r="GD45" s="49" t="n"/>
      <c r="GE45" s="49" t="n"/>
      <c r="GF45" s="49" t="n"/>
      <c r="GG45" s="49" t="n"/>
      <c r="GH45" s="49" t="n"/>
      <c r="GI45" s="49" t="n"/>
      <c r="GJ45" s="49" t="n"/>
      <c r="GK45" s="49" t="n"/>
      <c r="GL45" s="49" t="n"/>
      <c r="GM45" s="49" t="n"/>
      <c r="GN45" s="49" t="n"/>
      <c r="GO45" s="49" t="n"/>
      <c r="GP45" s="49" t="n"/>
      <c r="GQ45" s="49" t="n"/>
      <c r="GR45" s="49" t="n"/>
      <c r="GS45" s="49" t="n"/>
      <c r="GT45" s="49" t="n"/>
      <c r="GU45" s="49" t="n"/>
      <c r="GV45" s="49" t="n"/>
      <c r="GW45" s="49" t="n"/>
      <c r="GX45" s="49" t="n"/>
      <c r="GY45" s="49" t="n"/>
      <c r="GZ45" s="49" t="n"/>
      <c r="HA45" s="49" t="n"/>
      <c r="HB45" s="49" t="n"/>
      <c r="HC45" s="49" t="n"/>
      <c r="HD45" s="49" t="n"/>
      <c r="HE45" s="49" t="n"/>
      <c r="HF45" s="49" t="n"/>
      <c r="HG45" s="49" t="n"/>
      <c r="HH45" s="49" t="n"/>
      <c r="HI45" s="49" t="n"/>
      <c r="HJ45" s="49" t="n"/>
      <c r="HK45" s="49" t="n"/>
      <c r="HL45" s="49" t="n"/>
      <c r="HM45" s="49" t="n"/>
      <c r="HN45" s="49" t="n"/>
      <c r="HO45" s="49" t="n"/>
      <c r="HP45" s="49" t="n"/>
      <c r="HQ45" s="49" t="n"/>
      <c r="HR45" s="49" t="n"/>
      <c r="HS45" s="49" t="n"/>
      <c r="HT45" s="49" t="n"/>
      <c r="HU45" s="49" t="n"/>
      <c r="HV45" s="49" t="n"/>
      <c r="HW45" s="49" t="n"/>
      <c r="HX45" s="49" t="n"/>
      <c r="HY45" s="49" t="n"/>
      <c r="HZ45" s="49" t="n"/>
      <c r="IA45" s="49" t="n"/>
      <c r="IB45" s="49" t="n"/>
      <c r="IC45" s="49" t="n"/>
      <c r="ID45" s="49" t="n"/>
      <c r="IE45" s="49" t="n"/>
      <c r="IF45" s="49" t="n"/>
      <c r="IG45" s="49" t="n"/>
      <c r="IH45" s="49" t="n"/>
      <c r="II45" s="49" t="n"/>
      <c r="IJ45" s="49" t="n"/>
      <c r="IK45" s="49" t="n"/>
    </row>
    <row r="46">
      <c r="A46" s="351" t="inlineStr">
        <is>
          <t>TAG NAMORADOS/24</t>
        </is>
      </c>
      <c r="B46" s="350" t="n"/>
      <c r="C46" s="115" t="n">
        <v>140</v>
      </c>
      <c r="AE46" s="6" t="n"/>
      <c r="AF46" s="6" t="n"/>
      <c r="AG46" s="6" t="n"/>
      <c r="AH46" s="6" t="n"/>
      <c r="AK46" s="6" t="n"/>
      <c r="AL46" s="6" t="n"/>
      <c r="AM46" s="6" t="n"/>
      <c r="AN46" s="6" t="n"/>
      <c r="AO46" s="6" t="n"/>
      <c r="AQ46" s="6" t="n"/>
      <c r="AR46" s="6" t="n"/>
      <c r="AS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49" t="n"/>
      <c r="BG46" s="6" t="n"/>
      <c r="CM46" s="49" t="n"/>
      <c r="CN46" s="49" t="n"/>
      <c r="CO46" s="49" t="n"/>
      <c r="CP46" s="49" t="n"/>
      <c r="CQ46" s="49" t="n"/>
      <c r="CR46" s="49" t="n"/>
      <c r="CS46" s="49" t="n"/>
      <c r="CT46" s="49" t="n"/>
      <c r="CU46" s="49" t="n"/>
      <c r="CV46" s="49" t="n"/>
      <c r="CW46" s="49" t="n"/>
      <c r="CY46" s="49" t="n"/>
      <c r="CZ46" s="49" t="n"/>
      <c r="DA46" s="49" t="n"/>
      <c r="DB46" s="49" t="n"/>
      <c r="DC46" s="49" t="n"/>
      <c r="DD46" s="49" t="n"/>
      <c r="DE46" s="49" t="n"/>
      <c r="DF46" s="49" t="n"/>
      <c r="DG46" s="49" t="n"/>
      <c r="DH46" s="49" t="n"/>
      <c r="DI46" s="49" t="n"/>
      <c r="DJ46" s="49" t="n"/>
      <c r="DK46" s="49" t="n"/>
      <c r="DL46" s="49" t="n"/>
      <c r="DM46" s="49" t="n"/>
      <c r="DO46" s="49" t="n"/>
      <c r="DP46" s="49" t="n"/>
      <c r="DR46" s="49" t="n"/>
      <c r="DT46" s="49" t="n"/>
      <c r="DU46" s="49" t="n"/>
      <c r="DV46" s="49" t="n"/>
      <c r="DW46" s="49" t="n"/>
      <c r="DX46" s="49" t="n"/>
      <c r="DY46" s="49" t="n"/>
      <c r="DZ46" s="49" t="n"/>
      <c r="EA46" s="49" t="n"/>
      <c r="EB46" s="49" t="n"/>
      <c r="EC46" s="49" t="n"/>
      <c r="ED46" s="49" t="n"/>
      <c r="EE46" s="49" t="n"/>
      <c r="EF46" s="49" t="n"/>
      <c r="EG46" s="49" t="n"/>
      <c r="EH46" s="49" t="n"/>
      <c r="EI46" s="49" t="n"/>
      <c r="EJ46" s="49" t="n"/>
      <c r="EK46" s="49" t="n"/>
      <c r="EL46" s="49" t="n"/>
      <c r="EM46" s="49" t="n"/>
      <c r="EN46" s="49" t="n"/>
      <c r="EO46" s="49" t="n"/>
      <c r="EP46" s="49" t="n"/>
      <c r="EQ46" s="49" t="n"/>
      <c r="ER46" s="49" t="n"/>
      <c r="ES46" s="49" t="n"/>
      <c r="ET46" s="49" t="n"/>
      <c r="EU46" s="49" t="n"/>
      <c r="EV46" s="49" t="n"/>
      <c r="EW46" s="49" t="n"/>
      <c r="EX46" s="49" t="n"/>
      <c r="EY46" s="49" t="n"/>
      <c r="EZ46" s="49" t="n"/>
      <c r="FA46" s="49" t="n"/>
      <c r="FB46" s="49" t="n"/>
      <c r="FC46" s="49" t="n"/>
      <c r="FD46" s="49" t="n"/>
      <c r="FE46" s="49" t="n"/>
      <c r="FF46" s="49" t="n"/>
      <c r="FG46" s="49" t="n"/>
      <c r="FH46" s="49" t="n"/>
      <c r="FI46" s="49" t="n"/>
      <c r="FJ46" s="49" t="n"/>
      <c r="FK46" s="49" t="n"/>
      <c r="FL46" s="49" t="n"/>
      <c r="FM46" s="49" t="n"/>
      <c r="FN46" s="49" t="n"/>
      <c r="FO46" s="49" t="n"/>
      <c r="FP46" s="49" t="n"/>
      <c r="FQ46" s="49" t="n"/>
      <c r="FR46" s="168" t="n"/>
      <c r="FS46" s="49" t="n"/>
      <c r="FT46" s="49" t="n"/>
      <c r="FU46" s="49" t="n"/>
      <c r="FV46" s="49" t="n"/>
      <c r="FW46" s="49" t="n"/>
      <c r="FX46" s="49" t="n"/>
      <c r="FY46" s="49" t="n"/>
      <c r="FZ46" s="49" t="n"/>
      <c r="GA46" s="49" t="n"/>
      <c r="GB46" s="49" t="n"/>
      <c r="GC46" s="49" t="n"/>
      <c r="GD46" s="49" t="n"/>
      <c r="GE46" s="49" t="n"/>
      <c r="GF46" s="49" t="n"/>
      <c r="GG46" s="49" t="n"/>
      <c r="GH46" s="49" t="n"/>
      <c r="GI46" s="49" t="n"/>
      <c r="GJ46" s="49" t="n"/>
      <c r="GK46" s="49" t="n"/>
      <c r="GL46" s="49" t="n"/>
      <c r="GM46" s="49" t="n"/>
      <c r="GN46" s="49" t="n"/>
      <c r="GO46" s="49" t="n"/>
      <c r="GP46" s="49" t="n"/>
      <c r="GQ46" s="49" t="n"/>
      <c r="GR46" s="49" t="n"/>
      <c r="GS46" s="49" t="n"/>
      <c r="GT46" s="49" t="n"/>
      <c r="GU46" s="49" t="n"/>
      <c r="GV46" s="49" t="n"/>
      <c r="GW46" s="49" t="n"/>
      <c r="GX46" s="49" t="n"/>
      <c r="GY46" s="49" t="n"/>
      <c r="GZ46" s="49" t="n"/>
      <c r="HA46" s="49" t="n"/>
      <c r="HB46" s="49" t="n"/>
      <c r="HC46" s="49" t="n"/>
      <c r="HD46" s="49" t="n"/>
      <c r="HE46" s="49" t="n"/>
      <c r="HF46" s="49" t="n"/>
      <c r="HG46" s="49" t="n"/>
      <c r="HH46" s="49" t="n"/>
      <c r="HI46" s="49" t="n"/>
      <c r="HJ46" s="49" t="n"/>
      <c r="HK46" s="49" t="n"/>
      <c r="HL46" s="49" t="n"/>
      <c r="HM46" s="49" t="n"/>
      <c r="HN46" s="49" t="n"/>
      <c r="HO46" s="49" t="n"/>
      <c r="HP46" s="49" t="n"/>
      <c r="HQ46" s="49" t="n"/>
      <c r="HR46" s="49" t="n"/>
      <c r="HS46" s="49" t="n"/>
      <c r="HT46" s="49" t="n"/>
      <c r="HU46" s="49" t="n"/>
      <c r="HV46" s="49" t="n"/>
      <c r="HW46" s="49" t="n"/>
      <c r="HX46" s="49" t="n"/>
      <c r="HY46" s="49" t="n"/>
      <c r="HZ46" s="49" t="n"/>
      <c r="IA46" s="49" t="n"/>
      <c r="IB46" s="49" t="n"/>
      <c r="IC46" s="49" t="n"/>
      <c r="ID46" s="49" t="n"/>
      <c r="IE46" s="49" t="n"/>
      <c r="IF46" s="49" t="n"/>
      <c r="IG46" s="49" t="n"/>
      <c r="IH46" s="49" t="n"/>
      <c r="II46" s="49" t="n"/>
      <c r="IJ46" s="49" t="n"/>
      <c r="IK46" s="49" t="n"/>
    </row>
    <row r="47">
      <c r="A47" s="348" t="n"/>
      <c r="B47" s="348" t="n"/>
      <c r="C47" s="348" t="n"/>
      <c r="AE47" s="6" t="n"/>
      <c r="AF47" s="6" t="n"/>
      <c r="AG47" s="6" t="n"/>
      <c r="AH47" s="6" t="n"/>
      <c r="AK47" s="6" t="n"/>
      <c r="AL47" s="6" t="n"/>
      <c r="AM47" s="6" t="n"/>
      <c r="AN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49" t="n"/>
      <c r="BG47" s="6" t="n"/>
      <c r="CM47" s="49" t="n"/>
      <c r="CN47" s="49" t="n"/>
      <c r="CO47" s="49" t="n"/>
      <c r="CP47" s="49" t="n"/>
      <c r="CQ47" s="49" t="n"/>
      <c r="CR47" s="49" t="n"/>
      <c r="CS47" s="49" t="n"/>
      <c r="CT47" s="49" t="n"/>
      <c r="CU47" s="49" t="n"/>
      <c r="CV47" s="49" t="n"/>
      <c r="CW47" s="49" t="n"/>
      <c r="CY47" s="49" t="n"/>
      <c r="CZ47" s="49" t="n"/>
      <c r="DA47" s="49" t="n"/>
      <c r="DB47" s="49" t="n"/>
      <c r="DC47" s="49" t="n"/>
      <c r="DD47" s="49" t="n"/>
      <c r="DE47" s="49" t="n"/>
      <c r="DF47" s="49" t="n"/>
      <c r="DG47" s="49" t="n"/>
      <c r="DH47" s="49" t="n"/>
      <c r="DI47" s="49" t="n"/>
      <c r="DJ47" s="49" t="n"/>
      <c r="DK47" s="49" t="n"/>
      <c r="DL47" s="49" t="n"/>
      <c r="DM47" s="49" t="n"/>
      <c r="DO47" s="49" t="n"/>
      <c r="DP47" s="49" t="n"/>
      <c r="DR47" s="49" t="n"/>
      <c r="DT47" s="49" t="n"/>
      <c r="DU47" s="49" t="n"/>
      <c r="DV47" s="49" t="n"/>
      <c r="DW47" s="49" t="n"/>
      <c r="DX47" s="49" t="n"/>
      <c r="DY47" s="49" t="n"/>
      <c r="DZ47" s="49" t="n"/>
      <c r="EA47" s="49" t="n"/>
      <c r="EB47" s="49" t="n"/>
      <c r="EC47" s="49" t="n"/>
      <c r="ED47" s="49" t="n"/>
      <c r="EE47" s="49" t="n"/>
      <c r="EF47" s="49" t="n"/>
      <c r="EG47" s="49" t="n"/>
      <c r="EH47" s="49" t="n"/>
      <c r="EI47" s="49" t="n"/>
      <c r="EJ47" s="49" t="n"/>
      <c r="EK47" s="49" t="n"/>
      <c r="EL47" s="49" t="n"/>
      <c r="EM47" s="49" t="n"/>
      <c r="EN47" s="49" t="n"/>
      <c r="EO47" s="49" t="n"/>
      <c r="EP47" s="49" t="n"/>
      <c r="EQ47" s="49" t="n"/>
      <c r="ER47" s="49" t="n"/>
      <c r="ES47" s="49" t="n"/>
      <c r="ET47" s="49" t="n"/>
      <c r="EU47" s="49" t="n"/>
      <c r="EV47" s="49" t="n"/>
      <c r="EW47" s="49" t="n"/>
      <c r="EX47" s="49" t="n"/>
      <c r="EY47" s="49" t="n"/>
      <c r="EZ47" s="49" t="n"/>
      <c r="FA47" s="49" t="n"/>
      <c r="FB47" s="49" t="n"/>
      <c r="FC47" s="49" t="n"/>
      <c r="FD47" s="49" t="n"/>
      <c r="FE47" s="49" t="n"/>
      <c r="FF47" s="49" t="n"/>
      <c r="FG47" s="49" t="n"/>
      <c r="FH47" s="49" t="n"/>
      <c r="FI47" s="49" t="n"/>
      <c r="FJ47" s="49" t="n"/>
      <c r="FK47" s="49" t="n"/>
      <c r="FL47" s="49" t="n"/>
      <c r="FM47" s="49" t="n"/>
      <c r="FN47" s="49" t="n"/>
      <c r="FO47" s="49" t="n"/>
      <c r="FP47" s="49" t="n"/>
      <c r="FQ47" s="49" t="n"/>
      <c r="FR47" s="168" t="n"/>
      <c r="FS47" s="49" t="n"/>
      <c r="FT47" s="49" t="n"/>
      <c r="FU47" s="49" t="n"/>
      <c r="FV47" s="49" t="n"/>
      <c r="FW47" s="49" t="n"/>
      <c r="FX47" s="49" t="n"/>
      <c r="FY47" s="49" t="n"/>
      <c r="FZ47" s="49" t="n"/>
      <c r="GA47" s="49" t="n"/>
      <c r="GB47" s="49" t="n"/>
      <c r="GC47" s="49" t="n"/>
      <c r="GD47" s="49" t="n"/>
      <c r="GE47" s="49" t="n"/>
      <c r="GF47" s="49" t="n"/>
      <c r="GG47" s="49" t="n"/>
      <c r="GH47" s="49" t="n"/>
      <c r="GI47" s="49" t="n"/>
      <c r="GJ47" s="49" t="n"/>
      <c r="GK47" s="49" t="n"/>
      <c r="GL47" s="49" t="n"/>
      <c r="GM47" s="49" t="n"/>
      <c r="GN47" s="49" t="n"/>
      <c r="GO47" s="49" t="n"/>
      <c r="GP47" s="49" t="n"/>
      <c r="GQ47" s="49" t="n"/>
      <c r="GR47" s="49" t="n"/>
      <c r="GS47" s="49" t="n"/>
      <c r="GT47" s="49" t="n"/>
      <c r="GU47" s="49" t="n"/>
      <c r="GV47" s="49" t="n"/>
      <c r="GW47" s="49" t="n"/>
      <c r="GX47" s="49" t="n"/>
      <c r="GY47" s="49" t="n"/>
      <c r="GZ47" s="49" t="n"/>
      <c r="HA47" s="49" t="n"/>
      <c r="HB47" s="49" t="n"/>
      <c r="HC47" s="49" t="n"/>
      <c r="HD47" s="49" t="n"/>
      <c r="HE47" s="49" t="n"/>
      <c r="HF47" s="49" t="n"/>
      <c r="HG47" s="49" t="n"/>
      <c r="HH47" s="49" t="n"/>
      <c r="HI47" s="49" t="n"/>
      <c r="HJ47" s="49" t="n"/>
      <c r="HK47" s="49" t="n"/>
      <c r="HL47" s="49" t="n"/>
      <c r="HM47" s="49" t="n"/>
      <c r="HN47" s="49" t="n"/>
      <c r="HO47" s="49" t="n"/>
      <c r="HP47" s="49" t="n"/>
      <c r="HQ47" s="49" t="n"/>
      <c r="HR47" s="49" t="n"/>
      <c r="HS47" s="49" t="n"/>
      <c r="HT47" s="49" t="n"/>
      <c r="HU47" s="49" t="n"/>
      <c r="HV47" s="49" t="n"/>
      <c r="HW47" s="49" t="n"/>
      <c r="HX47" s="49" t="n"/>
      <c r="HY47" s="49" t="n"/>
      <c r="HZ47" s="49" t="n"/>
      <c r="IA47" s="49" t="n"/>
      <c r="IB47" s="49" t="n"/>
      <c r="IC47" s="49" t="n"/>
      <c r="ID47" s="49" t="n"/>
      <c r="IE47" s="49" t="n"/>
      <c r="IF47" s="49" t="n"/>
      <c r="IG47" s="49" t="n"/>
      <c r="IH47" s="49" t="n"/>
      <c r="II47" s="49" t="n"/>
      <c r="IJ47" s="49" t="n"/>
      <c r="IK47" s="49" t="n"/>
    </row>
    <row r="48">
      <c r="A48" s="215" t="inlineStr">
        <is>
          <t>TAG PAIS/24</t>
        </is>
      </c>
      <c r="B48" s="350" t="n"/>
      <c r="C48" s="115" t="n">
        <v>50</v>
      </c>
      <c r="AE48" s="6" t="n"/>
      <c r="AF48" s="6" t="n"/>
      <c r="AG48" s="6" t="n"/>
      <c r="AH48" s="6" t="n"/>
      <c r="AK48" s="6" t="n"/>
      <c r="AL48" s="6" t="n"/>
      <c r="AM48" s="6" t="n"/>
      <c r="AN48" s="6" t="n"/>
      <c r="AO48" s="6" t="n"/>
      <c r="AQ48" s="6" t="n"/>
      <c r="AR48" s="6" t="n"/>
      <c r="AS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49" t="n"/>
      <c r="BG48" s="6" t="n"/>
      <c r="CM48" s="49" t="n"/>
      <c r="CN48" s="49" t="n"/>
      <c r="CO48" s="49" t="n"/>
      <c r="CP48" s="49" t="n"/>
      <c r="CQ48" s="49" t="n"/>
      <c r="CR48" s="49" t="n"/>
      <c r="CS48" s="49" t="n"/>
      <c r="CT48" s="49" t="n"/>
      <c r="CU48" s="49" t="n"/>
      <c r="CV48" s="49" t="n"/>
      <c r="CW48" s="49" t="n"/>
      <c r="CY48" s="49" t="n"/>
      <c r="CZ48" s="49" t="n"/>
      <c r="DA48" s="49" t="n"/>
      <c r="DB48" s="49" t="n"/>
      <c r="DC48" s="49" t="n"/>
      <c r="DD48" s="49" t="n"/>
      <c r="DE48" s="49" t="n"/>
      <c r="DF48" s="49" t="n"/>
      <c r="DG48" s="49" t="n"/>
      <c r="DH48" s="49" t="n"/>
      <c r="DI48" s="49" t="n"/>
      <c r="DJ48" s="49" t="n"/>
      <c r="DK48" s="49" t="n"/>
      <c r="DL48" s="49" t="n"/>
      <c r="DM48" s="49" t="n"/>
      <c r="DO48" s="49" t="n"/>
      <c r="DP48" s="49" t="n"/>
      <c r="DR48" s="49" t="n"/>
      <c r="DT48" s="49" t="n"/>
      <c r="DU48" s="49" t="n"/>
      <c r="DV48" s="49" t="n"/>
      <c r="DW48" s="49" t="n"/>
      <c r="DX48" s="49" t="n"/>
      <c r="DY48" s="49" t="n"/>
      <c r="DZ48" s="49" t="n"/>
      <c r="EA48" s="49" t="n"/>
      <c r="EB48" s="49" t="n"/>
      <c r="EC48" s="49" t="n"/>
      <c r="ED48" s="49" t="n"/>
      <c r="EE48" s="49" t="n"/>
      <c r="EF48" s="49" t="n"/>
      <c r="EG48" s="49" t="n"/>
      <c r="EH48" s="49" t="n"/>
      <c r="EI48" s="49" t="n"/>
      <c r="EJ48" s="49" t="n"/>
      <c r="EK48" s="49" t="n"/>
      <c r="EL48" s="49" t="n"/>
      <c r="EM48" s="49" t="n"/>
      <c r="EN48" s="49" t="n"/>
      <c r="EO48" s="49" t="n"/>
      <c r="EP48" s="49" t="n"/>
      <c r="EQ48" s="49" t="n"/>
      <c r="ER48" s="49" t="n"/>
      <c r="ES48" s="49" t="n"/>
      <c r="ET48" s="49" t="n"/>
      <c r="EU48" s="49" t="n"/>
      <c r="EV48" s="49" t="n"/>
      <c r="EW48" s="49" t="n"/>
      <c r="EX48" s="49" t="n"/>
      <c r="EY48" s="49" t="n"/>
      <c r="EZ48" s="49" t="n"/>
      <c r="FA48" s="49" t="n"/>
      <c r="FB48" s="49" t="n"/>
      <c r="FC48" s="49" t="n"/>
      <c r="FD48" s="49" t="n"/>
      <c r="FE48" s="49" t="n"/>
      <c r="FF48" s="49" t="n"/>
      <c r="FG48" s="49" t="n"/>
      <c r="FH48" s="49" t="n"/>
      <c r="FI48" s="49" t="n"/>
      <c r="FJ48" s="49" t="n"/>
      <c r="FK48" s="49" t="n"/>
      <c r="FL48" s="49" t="n"/>
      <c r="FM48" s="49" t="n"/>
      <c r="FN48" s="49" t="n"/>
      <c r="FO48" s="49" t="n"/>
      <c r="FP48" s="49" t="n"/>
      <c r="FQ48" s="49" t="n"/>
      <c r="FR48" s="168" t="n"/>
      <c r="FS48" s="49" t="n"/>
      <c r="FT48" s="49" t="n"/>
      <c r="FU48" s="49" t="n"/>
      <c r="FV48" s="49" t="n"/>
      <c r="FW48" s="49" t="n"/>
      <c r="FX48" s="49" t="n"/>
      <c r="FY48" s="49" t="n"/>
      <c r="FZ48" s="49" t="n"/>
      <c r="GA48" s="49" t="n"/>
      <c r="GB48" s="49" t="n"/>
      <c r="GC48" s="49" t="n"/>
      <c r="GD48" s="49" t="n"/>
      <c r="GE48" s="49" t="n"/>
      <c r="GF48" s="49" t="n"/>
      <c r="GG48" s="49" t="n"/>
      <c r="GH48" s="49" t="n"/>
      <c r="GI48" s="49" t="n"/>
      <c r="GJ48" s="49" t="n"/>
      <c r="GK48" s="49" t="n"/>
      <c r="GL48" s="49" t="n"/>
      <c r="GM48" s="49" t="n"/>
      <c r="GN48" s="49" t="n"/>
      <c r="GO48" s="49" t="n"/>
      <c r="GP48" s="49" t="n"/>
      <c r="GQ48" s="49" t="n"/>
      <c r="GR48" s="49" t="n"/>
      <c r="GS48" s="49" t="n"/>
      <c r="GT48" s="49" t="n"/>
      <c r="GU48" s="49" t="n"/>
      <c r="GV48" s="49" t="n"/>
      <c r="GW48" s="49" t="n"/>
      <c r="GX48" s="49" t="n"/>
      <c r="GY48" s="49" t="n"/>
      <c r="GZ48" s="49" t="n"/>
      <c r="HA48" s="49" t="n"/>
      <c r="HB48" s="49" t="n"/>
      <c r="HC48" s="49" t="n"/>
      <c r="HD48" s="49" t="n"/>
      <c r="HE48" s="49" t="n"/>
      <c r="HF48" s="49" t="n"/>
      <c r="HG48" s="49" t="n"/>
      <c r="HH48" s="49" t="n"/>
      <c r="HI48" s="49" t="n"/>
      <c r="HJ48" s="49" t="n"/>
      <c r="HK48" s="49" t="n"/>
      <c r="HL48" s="49" t="n"/>
      <c r="HM48" s="49" t="n"/>
      <c r="HN48" s="49" t="n"/>
      <c r="HO48" s="49" t="n"/>
      <c r="HP48" s="49" t="n"/>
      <c r="HQ48" s="49" t="n"/>
      <c r="HR48" s="49" t="n"/>
      <c r="HS48" s="49" t="n"/>
      <c r="HT48" s="49" t="n"/>
      <c r="HU48" s="49" t="n"/>
      <c r="HV48" s="49" t="n"/>
      <c r="HW48" s="49" t="n"/>
      <c r="HX48" s="49" t="n"/>
      <c r="HY48" s="49" t="n"/>
      <c r="HZ48" s="49" t="n"/>
      <c r="IA48" s="49" t="n"/>
      <c r="IB48" s="49" t="n"/>
      <c r="IC48" s="49" t="n"/>
      <c r="ID48" s="49" t="n"/>
      <c r="IE48" s="49" t="n"/>
      <c r="IF48" s="49" t="n"/>
      <c r="IG48" s="49" t="n"/>
      <c r="IH48" s="49" t="n"/>
      <c r="II48" s="49" t="n"/>
      <c r="IJ48" s="49" t="n"/>
      <c r="IK48" s="49" t="n"/>
    </row>
    <row r="49">
      <c r="A49" s="215" t="inlineStr">
        <is>
          <t>ADESIVOS PAIS/24</t>
        </is>
      </c>
      <c r="B49" s="350" t="n"/>
      <c r="C49" s="115" t="n">
        <v>100</v>
      </c>
      <c r="AE49" s="6" t="n"/>
      <c r="AF49" s="6" t="n"/>
      <c r="AG49" s="6" t="n"/>
      <c r="AH49" s="6" t="n"/>
      <c r="AK49" s="6" t="n"/>
      <c r="AL49" s="6" t="n"/>
      <c r="AM49" s="6" t="n"/>
      <c r="AN49" s="6" t="n"/>
      <c r="AO49" s="6" t="n"/>
      <c r="AQ49" s="6" t="n"/>
      <c r="AR49" s="6" t="n"/>
      <c r="AS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49" t="n"/>
      <c r="BG49" s="6" t="n"/>
      <c r="CM49" s="49" t="n"/>
      <c r="CN49" s="49" t="n"/>
      <c r="CO49" s="49" t="n"/>
      <c r="CP49" s="49" t="n"/>
      <c r="CQ49" s="49" t="n"/>
      <c r="CR49" s="49" t="n"/>
      <c r="CS49" s="49" t="n"/>
      <c r="CT49" s="49" t="n"/>
      <c r="CU49" s="49" t="n"/>
      <c r="CV49" s="49" t="n"/>
      <c r="CW49" s="49" t="n"/>
      <c r="CY49" s="49" t="n"/>
      <c r="CZ49" s="49" t="n"/>
      <c r="DA49" s="49" t="n"/>
      <c r="DB49" s="49" t="n"/>
      <c r="DC49" s="49" t="n"/>
      <c r="DD49" s="49" t="n"/>
      <c r="DE49" s="49" t="n"/>
      <c r="DF49" s="49" t="n"/>
      <c r="DG49" s="49" t="n"/>
      <c r="DH49" s="49" t="n"/>
      <c r="DI49" s="49" t="n"/>
      <c r="DJ49" s="49" t="n"/>
      <c r="DK49" s="49" t="n"/>
      <c r="DL49" s="49" t="n"/>
      <c r="DM49" s="49" t="n"/>
      <c r="DO49" s="49" t="n"/>
      <c r="DP49" s="49" t="n"/>
      <c r="DR49" s="49" t="n"/>
      <c r="DT49" s="49" t="n"/>
      <c r="DU49" s="49" t="n"/>
      <c r="DV49" s="49" t="n"/>
      <c r="DW49" s="49" t="n"/>
      <c r="DX49" s="49" t="n"/>
      <c r="DY49" s="49" t="n"/>
      <c r="DZ49" s="49" t="n"/>
      <c r="EA49" s="49" t="n"/>
      <c r="EB49" s="49" t="n"/>
      <c r="EC49" s="49" t="n"/>
      <c r="ED49" s="49" t="n"/>
      <c r="EE49" s="49" t="n"/>
      <c r="EF49" s="49" t="n"/>
      <c r="EG49" s="49" t="n"/>
      <c r="EH49" s="49" t="n"/>
      <c r="EI49" s="49" t="n"/>
      <c r="EJ49" s="49" t="n"/>
      <c r="EK49" s="49" t="n"/>
      <c r="EL49" s="49" t="n"/>
      <c r="EM49" s="49" t="n"/>
      <c r="EN49" s="49" t="n"/>
      <c r="EO49" s="49" t="n"/>
      <c r="EP49" s="49" t="n"/>
      <c r="EQ49" s="49" t="n"/>
      <c r="ER49" s="49" t="n"/>
      <c r="ES49" s="49" t="n"/>
      <c r="ET49" s="49" t="n"/>
      <c r="EU49" s="49" t="n"/>
      <c r="EV49" s="49" t="n"/>
      <c r="EW49" s="49" t="n"/>
      <c r="EX49" s="49" t="n"/>
      <c r="EY49" s="49" t="n"/>
      <c r="EZ49" s="49" t="n"/>
      <c r="FA49" s="49" t="n"/>
      <c r="FB49" s="49" t="n"/>
      <c r="FC49" s="49" t="n"/>
      <c r="FD49" s="49" t="n"/>
      <c r="FE49" s="49" t="n"/>
      <c r="FF49" s="57" t="n"/>
      <c r="FG49" s="49" t="n"/>
      <c r="FH49" s="49" t="n"/>
      <c r="FI49" s="49" t="n"/>
      <c r="FJ49" s="49" t="n"/>
      <c r="FK49" s="49" t="n"/>
      <c r="FL49" s="49" t="n"/>
      <c r="FM49" s="49" t="n"/>
      <c r="FN49" s="49" t="n"/>
      <c r="FO49" s="49" t="n"/>
      <c r="FP49" s="49" t="n"/>
      <c r="FQ49" s="49" t="n"/>
      <c r="FR49" s="168" t="n"/>
      <c r="FS49" s="49" t="n"/>
      <c r="FT49" s="49" t="n"/>
      <c r="FU49" s="49" t="n"/>
      <c r="FV49" s="49" t="n"/>
      <c r="FW49" s="49" t="n"/>
      <c r="FX49" s="49" t="n"/>
      <c r="FY49" s="49" t="n"/>
      <c r="FZ49" s="49" t="n"/>
      <c r="GA49" s="49" t="n"/>
      <c r="GB49" s="49" t="n"/>
      <c r="GC49" s="49" t="n"/>
      <c r="GD49" s="49" t="n"/>
      <c r="GE49" s="49" t="n"/>
      <c r="GF49" s="49" t="n"/>
      <c r="GG49" s="49" t="n"/>
      <c r="GH49" s="49" t="n"/>
      <c r="GI49" s="49" t="n"/>
      <c r="GJ49" s="49" t="n"/>
      <c r="GK49" s="49" t="n"/>
      <c r="GL49" s="49" t="n"/>
      <c r="GM49" s="49" t="n"/>
      <c r="GN49" s="49" t="n"/>
      <c r="GO49" s="49" t="n"/>
      <c r="GP49" s="49" t="n"/>
      <c r="GQ49" s="49" t="n"/>
      <c r="GR49" s="49" t="n"/>
      <c r="GS49" s="49" t="n"/>
      <c r="GT49" s="49" t="n"/>
      <c r="GU49" s="49" t="n"/>
      <c r="GV49" s="49" t="n"/>
      <c r="GW49" s="49" t="n"/>
      <c r="GX49" s="49" t="n"/>
      <c r="GY49" s="49" t="n"/>
      <c r="GZ49" s="49" t="n"/>
      <c r="HA49" s="49" t="n"/>
      <c r="HB49" s="49" t="n"/>
      <c r="HC49" s="49" t="n"/>
      <c r="HD49" s="49" t="n"/>
      <c r="HE49" s="49" t="n"/>
      <c r="HF49" s="49" t="n"/>
      <c r="HG49" s="49" t="n"/>
      <c r="HH49" s="49" t="n"/>
      <c r="HI49" s="49" t="n"/>
      <c r="HJ49" s="49" t="n"/>
      <c r="HK49" s="49" t="n"/>
      <c r="HL49" s="49" t="n"/>
      <c r="HM49" s="49" t="n"/>
      <c r="HN49" s="49" t="n"/>
      <c r="HO49" s="49" t="n"/>
      <c r="HP49" s="49" t="n"/>
      <c r="HQ49" s="49" t="n"/>
      <c r="HR49" s="49" t="n"/>
      <c r="HS49" s="49" t="n"/>
      <c r="HT49" s="49" t="n"/>
      <c r="HU49" s="49" t="n"/>
      <c r="HV49" s="49" t="n"/>
      <c r="HW49" s="49" t="n"/>
      <c r="HX49" s="49" t="n"/>
      <c r="HY49" s="49" t="n"/>
      <c r="HZ49" s="49" t="n"/>
      <c r="IA49" s="49" t="n"/>
      <c r="IB49" s="49" t="n"/>
      <c r="IC49" s="49" t="n"/>
      <c r="ID49" s="49" t="n"/>
      <c r="IE49" s="49" t="n"/>
      <c r="IF49" s="49" t="n"/>
      <c r="IG49" s="49" t="n"/>
      <c r="IH49" s="49" t="n"/>
      <c r="II49" s="49" t="n"/>
      <c r="IJ49" s="49" t="n"/>
      <c r="IK49" s="49" t="n"/>
    </row>
    <row r="50">
      <c r="A50" s="215" t="n"/>
      <c r="B50" s="350" t="n"/>
      <c r="C50" s="115" t="n"/>
      <c r="AE50" s="6" t="n"/>
      <c r="AF50" s="6" t="n"/>
      <c r="AG50" s="6" t="n"/>
      <c r="AH50" s="6" t="n"/>
      <c r="AK50" s="6" t="n"/>
      <c r="AL50" s="6" t="n"/>
      <c r="AM50" s="6" t="n"/>
      <c r="AN50" s="6" t="n"/>
      <c r="AO50" s="6" t="n"/>
      <c r="AQ50" s="6" t="n"/>
      <c r="AR50" s="6" t="n"/>
      <c r="AS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49" t="n"/>
      <c r="BG50" s="6" t="n"/>
      <c r="CM50" s="49" t="n"/>
      <c r="CN50" s="49" t="n"/>
      <c r="CO50" s="49" t="n"/>
      <c r="CP50" s="49" t="n"/>
      <c r="CQ50" s="49" t="n"/>
      <c r="CR50" s="49" t="n"/>
      <c r="CS50" s="49" t="n"/>
      <c r="CT50" s="49" t="n"/>
      <c r="CU50" s="49" t="n"/>
      <c r="CV50" s="49" t="n"/>
      <c r="CW50" s="49" t="n"/>
      <c r="CY50" s="49" t="n"/>
      <c r="CZ50" s="49" t="n"/>
      <c r="DA50" s="49" t="n"/>
      <c r="DB50" s="49" t="n"/>
      <c r="DC50" s="49" t="n"/>
      <c r="DD50" s="49" t="n"/>
      <c r="DE50" s="49" t="n"/>
      <c r="DF50" s="49" t="n"/>
      <c r="DG50" s="49" t="n"/>
      <c r="DH50" s="49" t="n"/>
      <c r="DI50" s="49" t="n"/>
      <c r="DJ50" s="49" t="n"/>
      <c r="DK50" s="49" t="n"/>
      <c r="DL50" s="49" t="n"/>
      <c r="DM50" s="49" t="n"/>
      <c r="DO50" s="49" t="n"/>
      <c r="DP50" s="49" t="n"/>
      <c r="DR50" s="49" t="n"/>
      <c r="DT50" s="49" t="n"/>
      <c r="DU50" s="49" t="n"/>
      <c r="DV50" s="49" t="n"/>
      <c r="DW50" s="49" t="n"/>
      <c r="DX50" s="49" t="n"/>
      <c r="DY50" s="49" t="n"/>
      <c r="DZ50" s="49" t="n"/>
      <c r="EA50" s="49" t="n"/>
      <c r="EB50" s="49" t="n"/>
      <c r="EC50" s="49" t="n"/>
      <c r="ED50" s="49" t="n"/>
      <c r="EE50" s="49" t="n"/>
      <c r="EF50" s="49" t="n"/>
      <c r="EG50" s="49" t="n"/>
      <c r="EH50" s="49" t="n"/>
      <c r="EI50" s="49" t="n"/>
      <c r="EJ50" s="49" t="n"/>
      <c r="EK50" s="49" t="n"/>
      <c r="EL50" s="49" t="n"/>
      <c r="EM50" s="49" t="n"/>
      <c r="EN50" s="49" t="n"/>
      <c r="EO50" s="49" t="n"/>
      <c r="EP50" s="49" t="n"/>
      <c r="EQ50" s="49" t="n"/>
      <c r="ER50" s="49" t="n"/>
      <c r="ES50" s="49" t="n"/>
      <c r="ET50" s="49" t="n"/>
      <c r="EU50" s="49" t="n"/>
      <c r="EV50" s="49" t="n"/>
      <c r="EW50" s="49" t="n"/>
      <c r="EX50" s="49" t="n"/>
      <c r="EY50" s="49" t="n"/>
      <c r="EZ50" s="49" t="n"/>
      <c r="FA50" s="49" t="n"/>
      <c r="FB50" s="49" t="n"/>
      <c r="FC50" s="49" t="n"/>
      <c r="FD50" s="49" t="n"/>
      <c r="FE50" s="49" t="n"/>
      <c r="FF50" s="57" t="n"/>
      <c r="FG50" s="49" t="n"/>
      <c r="FH50" s="49" t="n"/>
      <c r="FI50" s="49" t="n"/>
      <c r="FJ50" s="49" t="n"/>
      <c r="FK50" s="49" t="n"/>
      <c r="FL50" s="49" t="n"/>
      <c r="FM50" s="49" t="n"/>
      <c r="FN50" s="49" t="n"/>
      <c r="FO50" s="49" t="n"/>
      <c r="FP50" s="49" t="n"/>
      <c r="FQ50" s="49" t="n"/>
      <c r="FR50" s="168" t="n"/>
      <c r="FS50" s="49" t="n"/>
      <c r="FT50" s="49" t="n"/>
      <c r="FU50" s="49" t="n"/>
      <c r="FV50" s="49" t="n"/>
      <c r="FW50" s="49" t="n"/>
      <c r="FX50" s="49" t="n"/>
      <c r="FY50" s="49" t="n"/>
      <c r="FZ50" s="49" t="n"/>
      <c r="GA50" s="49" t="n"/>
      <c r="GB50" s="49" t="n"/>
      <c r="GC50" s="49" t="n"/>
      <c r="GD50" s="49" t="n"/>
      <c r="GE50" s="49" t="n"/>
      <c r="GF50" s="49" t="n"/>
      <c r="GG50" s="49" t="n"/>
      <c r="GH50" s="49" t="n"/>
      <c r="GI50" s="49" t="n"/>
      <c r="GJ50" s="49" t="n"/>
      <c r="GK50" s="49" t="n"/>
      <c r="GL50" s="49" t="n"/>
      <c r="GM50" s="49" t="n"/>
      <c r="GN50" s="49" t="n"/>
      <c r="GO50" s="49" t="n"/>
      <c r="GP50" s="49" t="n"/>
      <c r="GQ50" s="49" t="n"/>
      <c r="GR50" s="49" t="n"/>
      <c r="GS50" s="49" t="n"/>
      <c r="GT50" s="49" t="n"/>
      <c r="GU50" s="49" t="n"/>
      <c r="GV50" s="49" t="n"/>
      <c r="GW50" s="49" t="n"/>
      <c r="GX50" s="49" t="n"/>
      <c r="GY50" s="49" t="n"/>
      <c r="GZ50" s="49" t="n"/>
      <c r="HA50" s="49" t="n"/>
      <c r="HB50" s="49" t="n"/>
      <c r="HC50" s="49" t="n"/>
      <c r="HD50" s="49" t="n"/>
      <c r="HE50" s="49" t="n"/>
      <c r="HF50" s="49" t="n"/>
      <c r="HG50" s="49" t="n"/>
      <c r="HH50" s="49" t="n"/>
      <c r="HI50" s="49" t="n"/>
      <c r="HJ50" s="49" t="n"/>
      <c r="HK50" s="49" t="n"/>
      <c r="HL50" s="49" t="n"/>
      <c r="HM50" s="49" t="n"/>
      <c r="HN50" s="49" t="n"/>
      <c r="HO50" s="49" t="n"/>
      <c r="HP50" s="49" t="n"/>
      <c r="HQ50" s="49" t="n"/>
      <c r="HR50" s="49" t="n"/>
      <c r="HS50" s="49" t="n"/>
      <c r="HT50" s="49" t="n"/>
      <c r="HU50" s="49" t="n"/>
      <c r="HV50" s="49" t="n"/>
      <c r="HW50" s="49" t="n"/>
      <c r="HX50" s="49" t="n"/>
      <c r="HY50" s="49" t="n"/>
      <c r="HZ50" s="49" t="n"/>
      <c r="IA50" s="49" t="n"/>
      <c r="IB50" s="49" t="n"/>
      <c r="IC50" s="49" t="n"/>
      <c r="ID50" s="49" t="n"/>
      <c r="IE50" s="49" t="n"/>
      <c r="IF50" s="49" t="n"/>
      <c r="IG50" s="49" t="n"/>
      <c r="IH50" s="49" t="n"/>
      <c r="II50" s="49" t="n"/>
      <c r="IJ50" s="49" t="n"/>
      <c r="IK50" s="49" t="n"/>
    </row>
    <row r="51">
      <c r="A51" s="351" t="inlineStr">
        <is>
          <t>TAG NAMO/25</t>
        </is>
      </c>
      <c r="B51" s="350" t="n"/>
      <c r="C51" s="115" t="n">
        <v>300</v>
      </c>
      <c r="AE51" s="6" t="n"/>
      <c r="AF51" s="6" t="n"/>
      <c r="AG51" s="6" t="n"/>
      <c r="AH51" s="6" t="n"/>
      <c r="AK51" s="6" t="n"/>
      <c r="AL51" s="6" t="n"/>
      <c r="AM51" s="6" t="n"/>
      <c r="AN51" s="6" t="n"/>
      <c r="AO51" s="6" t="n"/>
      <c r="AQ51" s="6" t="n"/>
      <c r="AR51" s="6" t="n"/>
      <c r="AS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49" t="n"/>
      <c r="BG51" s="6" t="n"/>
      <c r="CM51" s="49" t="n"/>
      <c r="CN51" s="49" t="n"/>
      <c r="CO51" s="49" t="n"/>
      <c r="CP51" s="49" t="n"/>
      <c r="CQ51" s="49" t="n"/>
      <c r="CR51" s="49" t="n"/>
      <c r="CS51" s="49" t="n"/>
      <c r="CT51" s="49" t="n"/>
      <c r="CU51" s="49" t="n"/>
      <c r="CV51" s="49" t="n"/>
      <c r="CW51" s="49" t="n"/>
      <c r="CY51" s="49" t="n"/>
      <c r="CZ51" s="49" t="n"/>
      <c r="DA51" s="49" t="n"/>
      <c r="DB51" s="49" t="n"/>
      <c r="DC51" s="49" t="n"/>
      <c r="DD51" s="49" t="n"/>
      <c r="DE51" s="49" t="n"/>
      <c r="DF51" s="49" t="n"/>
      <c r="DG51" s="49" t="n"/>
      <c r="DH51" s="49" t="n"/>
      <c r="DI51" s="49" t="n"/>
      <c r="DJ51" s="49" t="n"/>
      <c r="DK51" s="49" t="n"/>
      <c r="DL51" s="49" t="n"/>
      <c r="DM51" s="49" t="n"/>
      <c r="DO51" s="49" t="n"/>
      <c r="DP51" s="49" t="n"/>
      <c r="DR51" s="49" t="n"/>
      <c r="DT51" s="49" t="n"/>
      <c r="DU51" s="49" t="n"/>
      <c r="DV51" s="49" t="n"/>
      <c r="DW51" s="49" t="n"/>
      <c r="DX51" s="49" t="n"/>
      <c r="DY51" s="49" t="n"/>
      <c r="DZ51" s="49" t="n"/>
      <c r="EA51" s="49" t="n"/>
      <c r="EB51" s="49" t="n"/>
      <c r="EC51" s="49" t="n"/>
      <c r="ED51" s="49" t="n"/>
      <c r="EE51" s="49" t="n"/>
      <c r="EF51" s="49" t="n"/>
      <c r="EG51" s="49" t="n"/>
      <c r="EH51" s="49" t="n"/>
      <c r="EI51" s="49" t="n"/>
      <c r="EJ51" s="49" t="n"/>
      <c r="EK51" s="49" t="n"/>
      <c r="EL51" s="49" t="n"/>
      <c r="EM51" s="49" t="n"/>
      <c r="EN51" s="49" t="n"/>
      <c r="EO51" s="49" t="n"/>
      <c r="EP51" s="49" t="n"/>
      <c r="EQ51" s="49" t="n"/>
      <c r="ER51" s="49" t="n"/>
      <c r="ES51" s="49" t="n"/>
      <c r="ET51" s="49" t="n"/>
      <c r="EU51" s="49" t="n"/>
      <c r="EV51" s="49" t="n"/>
      <c r="EW51" s="49" t="n"/>
      <c r="EX51" s="49" t="n"/>
      <c r="EY51" s="49" t="n"/>
      <c r="EZ51" s="49" t="n"/>
      <c r="FA51" s="49" t="n"/>
      <c r="FB51" s="49" t="n"/>
      <c r="FC51" s="49" t="n"/>
      <c r="FD51" s="49" t="n"/>
      <c r="FE51" s="49" t="n"/>
      <c r="FF51" s="57" t="n"/>
      <c r="FG51" s="49" t="n"/>
      <c r="FH51" s="49" t="n"/>
      <c r="FI51" s="49" t="n"/>
      <c r="FJ51" s="49" t="n"/>
      <c r="FK51" s="49" t="n"/>
      <c r="FL51" s="49" t="n"/>
      <c r="FM51" s="49" t="n"/>
      <c r="FN51" s="49" t="n"/>
      <c r="FO51" s="49" t="n"/>
      <c r="FP51" s="49" t="n"/>
      <c r="FQ51" s="49" t="n"/>
      <c r="FR51" s="168" t="n"/>
      <c r="FS51" s="49" t="n"/>
      <c r="FT51" s="49" t="n"/>
      <c r="FU51" s="49" t="n"/>
      <c r="FV51" s="49" t="n"/>
      <c r="FW51" s="49" t="n"/>
      <c r="FX51" s="49" t="n"/>
      <c r="FY51" s="49" t="n"/>
      <c r="FZ51" s="49" t="n"/>
      <c r="GA51" s="49" t="n"/>
      <c r="GB51" s="49" t="n"/>
      <c r="GC51" s="49" t="n"/>
      <c r="GD51" s="49" t="n"/>
      <c r="GE51" s="49" t="n"/>
      <c r="GF51" s="49" t="n"/>
      <c r="GG51" s="49" t="n"/>
      <c r="GH51" s="49" t="n"/>
      <c r="GI51" s="49" t="n"/>
      <c r="GJ51" s="49" t="n"/>
      <c r="GK51" s="49" t="n"/>
      <c r="GL51" s="49" t="n"/>
      <c r="GM51" s="49" t="n"/>
      <c r="GN51" s="49" t="n"/>
      <c r="GO51" s="49" t="n"/>
      <c r="GP51" s="49" t="n"/>
      <c r="GQ51" s="49" t="n"/>
      <c r="GR51" s="49" t="n"/>
      <c r="GS51" s="49" t="n"/>
      <c r="GT51" s="49" t="n"/>
      <c r="GU51" s="49" t="n"/>
      <c r="GV51" s="49" t="n"/>
      <c r="GW51" s="49" t="n"/>
      <c r="GX51" s="49" t="n"/>
      <c r="GY51" s="49" t="n"/>
      <c r="GZ51" s="49" t="n"/>
      <c r="HA51" s="49" t="n"/>
      <c r="HB51" s="49" t="n"/>
      <c r="HC51" s="49" t="n"/>
      <c r="HD51" s="49" t="n"/>
      <c r="HE51" s="49" t="n"/>
      <c r="HF51" s="49" t="n"/>
      <c r="HG51" s="49" t="n"/>
      <c r="HH51" s="49" t="n"/>
      <c r="HI51" s="49" t="n"/>
      <c r="HJ51" s="49" t="n"/>
      <c r="HK51" s="49" t="n"/>
      <c r="HL51" s="49" t="n"/>
      <c r="HM51" s="49" t="n"/>
      <c r="HN51" s="49" t="n"/>
      <c r="HO51" s="49" t="n"/>
      <c r="HP51" s="49" t="n"/>
      <c r="HQ51" s="49" t="n"/>
      <c r="HR51" s="49" t="n"/>
      <c r="HS51" s="49" t="n"/>
      <c r="HT51" s="49" t="n"/>
      <c r="HU51" s="49" t="n"/>
      <c r="HV51" s="49" t="n"/>
      <c r="HW51" s="49" t="n"/>
      <c r="HX51" s="49" t="n"/>
      <c r="HY51" s="49" t="n"/>
      <c r="HZ51" s="49" t="n"/>
      <c r="IA51" s="49" t="n"/>
      <c r="IB51" s="49" t="n"/>
      <c r="IC51" s="49" t="n"/>
      <c r="ID51" s="49" t="n"/>
      <c r="IE51" s="49" t="n"/>
      <c r="IF51" s="49" t="n"/>
      <c r="IG51" s="49" t="n"/>
      <c r="IH51" s="49" t="n"/>
      <c r="II51" s="49" t="n"/>
      <c r="IJ51" s="49" t="n"/>
      <c r="IK51" s="49" t="n"/>
    </row>
    <row r="52"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F52" s="6" t="n"/>
      <c r="AG52" s="6" t="n"/>
      <c r="AH52" s="6" t="n"/>
      <c r="AP52" s="51" t="n"/>
      <c r="BI52" s="6" t="n"/>
      <c r="BJ52" s="6" t="n"/>
      <c r="BK52" s="6" t="n"/>
      <c r="BL52" s="6" t="n"/>
      <c r="BM52" s="6" t="n"/>
      <c r="BN52" s="6" t="n"/>
      <c r="BO52" s="6" t="n"/>
      <c r="BP52" s="6" t="n"/>
      <c r="BQ52" s="6" t="n"/>
      <c r="BR52" s="6" t="n"/>
      <c r="BS52" s="6" t="n"/>
    </row>
    <row r="53">
      <c r="A53" s="321" t="inlineStr">
        <is>
          <t>FLACONETES</t>
        </is>
      </c>
      <c r="B53" s="322" t="n"/>
      <c r="C53" s="322" t="n"/>
      <c r="D53" s="323" t="n"/>
      <c r="F53" s="671" t="n">
        <v>46006</v>
      </c>
      <c r="G53" s="671" t="n">
        <v>46013</v>
      </c>
      <c r="H53" s="671" t="n">
        <v>46051</v>
      </c>
      <c r="I53" s="671" t="n">
        <v>46027</v>
      </c>
      <c r="J53" s="671" t="n">
        <v>46034</v>
      </c>
      <c r="K53" s="671" t="n">
        <v>46041</v>
      </c>
      <c r="L53" s="671" t="n">
        <v>46048</v>
      </c>
      <c r="M53" s="671" t="n">
        <v>46055</v>
      </c>
      <c r="N53" s="671" t="n">
        <v>46062</v>
      </c>
      <c r="O53" s="671" t="n">
        <v>46069</v>
      </c>
      <c r="P53" s="671" t="n">
        <v>46076</v>
      </c>
      <c r="Q53" s="671" t="n">
        <v>46083</v>
      </c>
      <c r="R53" s="671" t="n">
        <v>46090</v>
      </c>
      <c r="S53" s="671" t="n">
        <v>46097</v>
      </c>
      <c r="T53" s="671" t="n">
        <v>46104</v>
      </c>
      <c r="U53" s="671" t="n">
        <v>46111</v>
      </c>
      <c r="V53" s="671" t="n">
        <v>46118</v>
      </c>
      <c r="W53" s="671" t="n">
        <v>46125</v>
      </c>
      <c r="X53" s="671" t="n">
        <v>46132</v>
      </c>
      <c r="Y53" s="671" t="n">
        <v>46139</v>
      </c>
      <c r="Z53" s="671" t="n">
        <v>46146</v>
      </c>
      <c r="AA53" s="671" t="n">
        <v>46154</v>
      </c>
      <c r="AB53" s="671" t="n">
        <v>46160</v>
      </c>
      <c r="AC53" s="671" t="n">
        <v>46160</v>
      </c>
      <c r="AE53" s="6" t="n"/>
      <c r="AK53" s="6" t="n"/>
      <c r="AL53" s="6" t="n"/>
      <c r="AM53" s="6" t="n"/>
      <c r="AN53" s="6" t="n"/>
      <c r="AO53" s="6" t="n"/>
      <c r="AQ53" s="6" t="n"/>
      <c r="AR53" s="6" t="n"/>
      <c r="AS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49" t="n"/>
      <c r="BG53" s="6" t="n"/>
      <c r="CM53" s="49" t="n"/>
      <c r="CN53" s="49" t="n"/>
      <c r="CO53" s="49" t="n"/>
      <c r="CP53" s="49" t="n"/>
      <c r="CQ53" s="49" t="n"/>
      <c r="CR53" s="49" t="n"/>
      <c r="CS53" s="49" t="n"/>
      <c r="CT53" s="49" t="n"/>
      <c r="CU53" s="49" t="n"/>
      <c r="CV53" s="49" t="n"/>
      <c r="CW53" s="49" t="n"/>
      <c r="CY53" s="49" t="n"/>
      <c r="CZ53" s="49" t="n"/>
      <c r="DA53" s="49" t="n"/>
      <c r="DB53" s="49" t="n"/>
      <c r="DC53" s="49" t="n"/>
      <c r="DD53" s="49" t="n"/>
      <c r="DE53" s="49" t="n"/>
      <c r="DF53" s="49" t="n"/>
      <c r="DG53" s="49" t="n"/>
      <c r="DH53" s="49" t="n"/>
      <c r="DI53" s="49" t="n"/>
      <c r="DJ53" s="49" t="n"/>
      <c r="DK53" s="49" t="n"/>
      <c r="DL53" s="49" t="n"/>
      <c r="DM53" s="49" t="n"/>
      <c r="DO53" s="49" t="n"/>
      <c r="DP53" s="49" t="n"/>
      <c r="DR53" s="49" t="n"/>
      <c r="DT53" s="49" t="n"/>
      <c r="DU53" s="49" t="n"/>
      <c r="DV53" s="49" t="n"/>
      <c r="DW53" s="49" t="n"/>
      <c r="DX53" s="49" t="n"/>
      <c r="DY53" s="49" t="n"/>
      <c r="DZ53" s="49" t="n"/>
      <c r="EA53" s="49" t="n"/>
      <c r="EB53" s="49" t="n"/>
      <c r="EC53" s="49" t="n"/>
      <c r="ED53" s="49" t="n"/>
      <c r="EE53" s="49" t="n"/>
      <c r="EF53" s="49" t="n"/>
      <c r="EG53" s="49" t="n"/>
      <c r="EH53" s="49" t="n"/>
      <c r="EI53" s="49" t="n"/>
      <c r="EJ53" s="49" t="n"/>
      <c r="EK53" s="49" t="n"/>
      <c r="EL53" s="49" t="n"/>
      <c r="EM53" s="49" t="n"/>
      <c r="EN53" s="49" t="n"/>
      <c r="EO53" s="49" t="n"/>
      <c r="EP53" s="49" t="n"/>
      <c r="EQ53" s="49" t="n"/>
      <c r="ER53" s="49" t="n"/>
      <c r="ES53" s="49" t="n"/>
      <c r="ET53" s="49" t="n"/>
      <c r="EU53" s="49" t="n"/>
      <c r="EV53" s="49" t="n"/>
      <c r="EW53" s="49" t="n"/>
      <c r="EX53" s="49" t="n"/>
      <c r="EY53" s="49" t="n"/>
      <c r="EZ53" s="49" t="n"/>
      <c r="FA53" s="49" t="n"/>
      <c r="FB53" s="49" t="n"/>
      <c r="FC53" s="49" t="n"/>
      <c r="FD53" s="49" t="n"/>
      <c r="FE53" s="49" t="n"/>
      <c r="FF53" s="57" t="n"/>
      <c r="FG53" s="49" t="n"/>
      <c r="FH53" s="49" t="n"/>
      <c r="FI53" s="49" t="n"/>
      <c r="FJ53" s="49" t="n"/>
      <c r="FK53" s="49" t="n"/>
      <c r="FL53" s="49" t="n"/>
      <c r="FM53" s="49" t="n"/>
      <c r="FN53" s="49" t="n"/>
      <c r="FO53" s="49" t="n"/>
      <c r="FP53" s="49" t="n"/>
      <c r="FQ53" s="49" t="n"/>
      <c r="FR53" s="168" t="n"/>
      <c r="FS53" s="49" t="n"/>
      <c r="FT53" s="49" t="n"/>
      <c r="FU53" s="49" t="n"/>
      <c r="FV53" s="49" t="n"/>
      <c r="FW53" s="49" t="n"/>
      <c r="FX53" s="49" t="n"/>
      <c r="FY53" s="49" t="n"/>
      <c r="FZ53" s="49" t="n"/>
      <c r="GA53" s="49" t="n"/>
      <c r="GB53" s="49" t="n"/>
      <c r="GC53" s="49" t="n"/>
      <c r="GD53" s="49" t="n"/>
      <c r="GE53" s="49" t="n"/>
      <c r="GF53" s="49" t="n"/>
      <c r="GG53" s="49" t="n"/>
      <c r="GH53" s="49" t="n"/>
      <c r="GI53" s="49" t="n"/>
      <c r="GJ53" s="49" t="n"/>
      <c r="GK53" s="49" t="n"/>
      <c r="GL53" s="49" t="n"/>
      <c r="GM53" s="49" t="n"/>
      <c r="GN53" s="49" t="n"/>
      <c r="GO53" s="49" t="n"/>
      <c r="GP53" s="49" t="n"/>
      <c r="GQ53" s="49" t="n"/>
      <c r="GR53" s="49" t="n"/>
      <c r="GS53" s="49" t="n"/>
      <c r="GT53" s="49" t="n"/>
      <c r="GU53" s="49" t="n"/>
      <c r="GV53" s="49" t="n"/>
      <c r="GW53" s="49" t="n"/>
      <c r="GX53" s="49" t="n"/>
      <c r="GY53" s="49" t="n"/>
      <c r="GZ53" s="49" t="n"/>
      <c r="HA53" s="49" t="n"/>
      <c r="HB53" s="49" t="n"/>
      <c r="HC53" s="49" t="n"/>
      <c r="HD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J53" s="49" t="n"/>
      <c r="IK53" s="49" t="n"/>
    </row>
    <row r="54">
      <c r="A54" s="324" t="inlineStr">
        <is>
          <t>LILY BLANCHE</t>
        </is>
      </c>
      <c r="B54" s="325" t="n"/>
      <c r="C54" s="325" t="n"/>
      <c r="D54" s="326" t="n"/>
      <c r="F54" s="116" t="n">
        <v>0</v>
      </c>
      <c r="G54" s="116" t="n">
        <v>0</v>
      </c>
      <c r="H54" s="116" t="n">
        <v>0</v>
      </c>
      <c r="I54" s="116" t="n">
        <v>0</v>
      </c>
      <c r="J54" s="116" t="n">
        <v>0</v>
      </c>
      <c r="K54" s="116" t="n">
        <v>0</v>
      </c>
      <c r="L54" s="116" t="n">
        <v>0</v>
      </c>
      <c r="M54" s="116" t="n">
        <v>0</v>
      </c>
      <c r="N54" s="116" t="n">
        <v>0</v>
      </c>
      <c r="O54" s="116" t="n">
        <v>0</v>
      </c>
      <c r="P54" s="116" t="n">
        <v>0</v>
      </c>
      <c r="Q54" s="116" t="n">
        <v>0</v>
      </c>
      <c r="R54" s="116" t="n">
        <v>0</v>
      </c>
      <c r="S54" s="116" t="n">
        <v>0</v>
      </c>
      <c r="T54" s="116" t="n">
        <v>0</v>
      </c>
      <c r="U54" s="116" t="n">
        <v>0</v>
      </c>
      <c r="V54" s="116" t="n">
        <v>0</v>
      </c>
      <c r="W54" s="116" t="n">
        <v>0</v>
      </c>
      <c r="X54" s="116" t="n">
        <v>0</v>
      </c>
      <c r="Y54" s="116" t="n">
        <v>0</v>
      </c>
      <c r="Z54" s="116" t="n">
        <v>0</v>
      </c>
      <c r="AA54" s="116" t="n">
        <v>0</v>
      </c>
      <c r="AB54" s="116" t="n"/>
      <c r="AC54" s="116" t="n"/>
    </row>
    <row r="55">
      <c r="A55" s="324" t="inlineStr">
        <is>
          <t>MEN NBA</t>
        </is>
      </c>
      <c r="B55" s="325" t="n"/>
      <c r="C55" s="325" t="n"/>
      <c r="D55" s="326" t="n"/>
      <c r="F55" s="116" t="n">
        <v>0</v>
      </c>
      <c r="G55" s="116" t="n">
        <v>0</v>
      </c>
      <c r="H55" s="116" t="n">
        <v>0</v>
      </c>
      <c r="I55" s="116" t="n">
        <v>0</v>
      </c>
      <c r="J55" s="116" t="n">
        <v>0</v>
      </c>
      <c r="K55" s="116" t="n">
        <v>0</v>
      </c>
      <c r="L55" s="116" t="n">
        <v>0</v>
      </c>
      <c r="M55" s="116" t="n">
        <v>0</v>
      </c>
      <c r="N55" s="116" t="n">
        <v>0</v>
      </c>
      <c r="O55" s="116" t="n">
        <v>0</v>
      </c>
      <c r="P55" s="116" t="n">
        <v>0</v>
      </c>
      <c r="Q55" s="116" t="n">
        <v>0</v>
      </c>
      <c r="R55" s="116" t="n">
        <v>0</v>
      </c>
      <c r="S55" s="116" t="n">
        <v>0</v>
      </c>
      <c r="T55" s="116" t="n">
        <v>0</v>
      </c>
      <c r="U55" s="116" t="n">
        <v>0</v>
      </c>
      <c r="V55" s="116" t="n">
        <v>0</v>
      </c>
      <c r="W55" s="116" t="n">
        <v>0</v>
      </c>
      <c r="X55" s="116" t="n">
        <v>0</v>
      </c>
      <c r="Y55" s="116" t="n">
        <v>0</v>
      </c>
      <c r="Z55" s="116" t="n">
        <v>0</v>
      </c>
      <c r="AA55" s="116" t="n">
        <v>0</v>
      </c>
      <c r="AB55" s="116" t="n"/>
      <c r="AC55" s="116" t="n"/>
    </row>
    <row r="56">
      <c r="A56" s="324" t="inlineStr">
        <is>
          <t>QUASAR DEEP BLUE</t>
        </is>
      </c>
      <c r="B56" s="325" t="n"/>
      <c r="C56" s="325" t="n"/>
      <c r="D56" s="326" t="n"/>
      <c r="F56" s="116" t="n">
        <v>0</v>
      </c>
      <c r="G56" s="116" t="n">
        <v>0</v>
      </c>
      <c r="H56" s="116" t="n">
        <v>0</v>
      </c>
      <c r="I56" s="116" t="n">
        <v>0</v>
      </c>
      <c r="J56" s="116" t="n">
        <v>0</v>
      </c>
      <c r="K56" s="116" t="n">
        <v>0</v>
      </c>
      <c r="L56" s="116" t="n">
        <v>0</v>
      </c>
      <c r="M56" s="116" t="n">
        <v>0</v>
      </c>
      <c r="N56" s="116" t="n">
        <v>0</v>
      </c>
      <c r="O56" s="116" t="n">
        <v>0</v>
      </c>
      <c r="P56" s="116" t="n">
        <v>0</v>
      </c>
      <c r="Q56" s="116" t="n">
        <v>0</v>
      </c>
      <c r="R56" s="116" t="n">
        <v>0</v>
      </c>
      <c r="S56" s="116" t="n">
        <v>0</v>
      </c>
      <c r="T56" s="116" t="n">
        <v>0</v>
      </c>
      <c r="U56" s="116" t="n">
        <v>0</v>
      </c>
      <c r="V56" s="116" t="n">
        <v>0</v>
      </c>
      <c r="W56" s="116" t="n">
        <v>0</v>
      </c>
      <c r="X56" s="116" t="n">
        <v>0</v>
      </c>
      <c r="Y56" s="116" t="n">
        <v>0</v>
      </c>
      <c r="Z56" s="116" t="n">
        <v>0</v>
      </c>
      <c r="AA56" s="116" t="n">
        <v>0</v>
      </c>
      <c r="AB56" s="116" t="n"/>
      <c r="AC56" s="116" t="n"/>
    </row>
    <row r="57">
      <c r="A57" s="324" t="inlineStr">
        <is>
          <t>ARBO ATLANTICA</t>
        </is>
      </c>
      <c r="B57" s="325" t="n"/>
      <c r="C57" s="325" t="n"/>
      <c r="D57" s="326" t="n"/>
      <c r="F57" s="116" t="n">
        <v>0</v>
      </c>
      <c r="G57" s="116" t="n">
        <v>0</v>
      </c>
      <c r="H57" s="116" t="n">
        <v>0</v>
      </c>
      <c r="I57" s="116" t="n">
        <v>0</v>
      </c>
      <c r="J57" s="116" t="n">
        <v>0</v>
      </c>
      <c r="K57" s="116" t="n">
        <v>0</v>
      </c>
      <c r="L57" s="116" t="n">
        <v>0</v>
      </c>
      <c r="M57" s="116" t="n">
        <v>0</v>
      </c>
      <c r="N57" s="116" t="n">
        <v>0</v>
      </c>
      <c r="O57" s="116" t="n">
        <v>0</v>
      </c>
      <c r="P57" s="116" t="n">
        <v>0</v>
      </c>
      <c r="Q57" s="116" t="n">
        <v>0</v>
      </c>
      <c r="R57" s="116" t="n">
        <v>0</v>
      </c>
      <c r="S57" s="116" t="n">
        <v>0</v>
      </c>
      <c r="T57" s="116" t="n">
        <v>0</v>
      </c>
      <c r="U57" s="116" t="n">
        <v>0</v>
      </c>
      <c r="V57" s="116" t="n">
        <v>0</v>
      </c>
      <c r="W57" s="116" t="n">
        <v>0</v>
      </c>
      <c r="X57" s="116" t="n">
        <v>0</v>
      </c>
      <c r="Y57" s="116" t="n">
        <v>0</v>
      </c>
      <c r="Z57" s="116" t="n">
        <v>0</v>
      </c>
      <c r="AA57" s="116" t="n">
        <v>0</v>
      </c>
      <c r="AB57" s="116" t="n"/>
      <c r="AC57" s="116" t="n"/>
    </row>
    <row r="58">
      <c r="A58" s="324" t="inlineStr">
        <is>
          <t xml:space="preserve">ZAAD INTENSE </t>
        </is>
      </c>
      <c r="B58" s="325" t="n"/>
      <c r="C58" s="325" t="n"/>
      <c r="D58" s="326" t="n"/>
      <c r="F58" s="116" t="n">
        <v>0</v>
      </c>
      <c r="G58" s="116" t="n">
        <v>0</v>
      </c>
      <c r="H58" s="116" t="n">
        <v>0</v>
      </c>
      <c r="I58" s="116" t="n">
        <v>0</v>
      </c>
      <c r="J58" s="116" t="n">
        <v>0</v>
      </c>
      <c r="K58" s="116" t="n">
        <v>0</v>
      </c>
      <c r="L58" s="116" t="n">
        <v>0</v>
      </c>
      <c r="M58" s="116" t="n">
        <v>0</v>
      </c>
      <c r="N58" s="116" t="n">
        <v>0</v>
      </c>
      <c r="O58" s="116" t="n">
        <v>0</v>
      </c>
      <c r="P58" s="116" t="n">
        <v>0</v>
      </c>
      <c r="Q58" s="116" t="n">
        <v>0</v>
      </c>
      <c r="R58" s="116" t="n">
        <v>0</v>
      </c>
      <c r="S58" s="116" t="n">
        <v>0</v>
      </c>
      <c r="T58" s="116" t="n">
        <v>0</v>
      </c>
      <c r="U58" s="116" t="n">
        <v>0</v>
      </c>
      <c r="V58" s="116" t="n">
        <v>0</v>
      </c>
      <c r="W58" s="116" t="n">
        <v>0</v>
      </c>
      <c r="X58" s="116" t="n">
        <v>0</v>
      </c>
      <c r="Y58" s="116" t="n">
        <v>0</v>
      </c>
      <c r="Z58" s="116" t="n">
        <v>0</v>
      </c>
      <c r="AA58" s="116" t="n">
        <v>0</v>
      </c>
      <c r="AB58" s="116" t="n"/>
      <c r="AC58" s="116" t="n"/>
    </row>
    <row r="59">
      <c r="A59" s="674" t="inlineStr">
        <is>
          <t>HER CODE CLIMAX</t>
        </is>
      </c>
      <c r="B59" s="658" t="n"/>
      <c r="C59" s="658" t="n"/>
      <c r="D59" s="670" t="n"/>
      <c r="F59" s="116" t="n">
        <v>0</v>
      </c>
      <c r="G59" s="116" t="n">
        <v>0</v>
      </c>
      <c r="H59" s="116" t="n">
        <v>0</v>
      </c>
      <c r="I59" s="116" t="n">
        <v>0</v>
      </c>
      <c r="J59" s="116" t="n">
        <v>0</v>
      </c>
      <c r="K59" s="116" t="n">
        <v>0</v>
      </c>
      <c r="L59" s="116" t="n">
        <v>0</v>
      </c>
      <c r="M59" s="116" t="n">
        <v>0</v>
      </c>
      <c r="N59" s="116" t="n">
        <v>0</v>
      </c>
      <c r="O59" s="116" t="n">
        <v>0</v>
      </c>
      <c r="P59" s="116" t="n">
        <v>0</v>
      </c>
      <c r="Q59" s="116" t="n">
        <v>0</v>
      </c>
      <c r="R59" s="116" t="n">
        <v>0</v>
      </c>
      <c r="S59" s="116" t="n">
        <v>0</v>
      </c>
      <c r="T59" s="116" t="n">
        <v>0</v>
      </c>
      <c r="U59" s="116" t="n">
        <v>0</v>
      </c>
      <c r="V59" s="116" t="n">
        <v>0</v>
      </c>
      <c r="W59" s="116" t="n">
        <v>0</v>
      </c>
      <c r="X59" s="116" t="n">
        <v>0</v>
      </c>
      <c r="Y59" s="116" t="n">
        <v>0</v>
      </c>
      <c r="Z59" s="116" t="n">
        <v>0</v>
      </c>
      <c r="AA59" s="116" t="n">
        <v>0</v>
      </c>
      <c r="AB59" s="116" t="n"/>
      <c r="AC59" s="116" t="n"/>
    </row>
    <row r="60">
      <c r="A60" s="674" t="inlineStr">
        <is>
          <t>AMOURUDA SACHE</t>
        </is>
      </c>
      <c r="B60" s="658" t="n"/>
      <c r="C60" s="658" t="n"/>
      <c r="D60" s="670" t="n"/>
      <c r="L60" s="116" t="n">
        <v>0</v>
      </c>
      <c r="M60" s="116" t="n">
        <v>112</v>
      </c>
      <c r="N60" s="116" t="n">
        <v>112</v>
      </c>
      <c r="O60" s="116" t="n">
        <v>112</v>
      </c>
      <c r="P60" s="116" t="n">
        <v>112</v>
      </c>
      <c r="Q60" s="116" t="n">
        <v>100</v>
      </c>
      <c r="R60" s="116" t="n">
        <v>80</v>
      </c>
      <c r="S60" s="116" t="n">
        <v>20</v>
      </c>
      <c r="T60" s="116" t="n">
        <v>20</v>
      </c>
      <c r="U60" s="116" t="n">
        <v>20</v>
      </c>
      <c r="V60" s="116" t="n">
        <v>0</v>
      </c>
      <c r="W60" s="116" t="n">
        <v>0</v>
      </c>
      <c r="X60" s="116" t="n">
        <v>0</v>
      </c>
      <c r="Y60" s="116" t="n">
        <v>0</v>
      </c>
      <c r="Z60" s="116" t="n">
        <v>0</v>
      </c>
      <c r="AA60" s="116" t="n">
        <v>0</v>
      </c>
      <c r="AB60" s="116" t="n"/>
      <c r="AC60" s="116" t="n"/>
    </row>
    <row r="61">
      <c r="A61" s="674" t="inlineStr">
        <is>
          <t>AMEIXA DOURADA SACHE</t>
        </is>
      </c>
      <c r="B61" s="658" t="n"/>
      <c r="C61" s="658" t="n"/>
      <c r="D61" s="670" t="n"/>
      <c r="L61" s="116" t="n"/>
      <c r="M61" s="116" t="n">
        <v>0</v>
      </c>
      <c r="N61" s="116" t="n">
        <v>100</v>
      </c>
      <c r="O61" s="116" t="n">
        <v>100</v>
      </c>
      <c r="P61" s="116" t="n">
        <v>100</v>
      </c>
      <c r="Q61" s="116" t="n">
        <v>90</v>
      </c>
      <c r="R61" s="116" t="n">
        <v>80</v>
      </c>
      <c r="S61" s="116" t="n">
        <v>30</v>
      </c>
      <c r="T61" s="116" t="n">
        <v>30</v>
      </c>
      <c r="U61" s="116" t="n">
        <v>30</v>
      </c>
      <c r="V61" s="116" t="n">
        <v>0</v>
      </c>
      <c r="W61" s="116" t="n">
        <v>0</v>
      </c>
      <c r="X61" s="116" t="n">
        <v>0</v>
      </c>
      <c r="Y61" s="116" t="n">
        <v>0</v>
      </c>
      <c r="Z61" s="116" t="n">
        <v>0</v>
      </c>
      <c r="AA61" s="116" t="n">
        <v>0</v>
      </c>
      <c r="AB61" s="116" t="n"/>
      <c r="AC61" s="116" t="n"/>
    </row>
    <row r="62">
      <c r="A62" s="674" t="inlineStr">
        <is>
          <t>SACHÊ CEREJA DE FASES</t>
        </is>
      </c>
      <c r="B62" s="658" t="n"/>
      <c r="C62" s="658" t="n"/>
      <c r="D62" s="670" t="n"/>
      <c r="T62" s="116" t="n">
        <v>0</v>
      </c>
      <c r="U62" s="116" t="n">
        <v>0</v>
      </c>
      <c r="V62" s="116" t="n">
        <v>0</v>
      </c>
      <c r="W62" s="116" t="n">
        <v>222</v>
      </c>
      <c r="X62" s="116" t="n">
        <v>222</v>
      </c>
      <c r="Y62" s="116" t="n">
        <v>200</v>
      </c>
      <c r="Z62" s="116" t="n">
        <v>200</v>
      </c>
      <c r="AA62" s="116" t="n">
        <v>90</v>
      </c>
      <c r="AB62" s="116" t="n"/>
      <c r="AC62" s="116" t="n"/>
    </row>
    <row r="63">
      <c r="A63" s="674" t="n"/>
      <c r="B63" s="658" t="n"/>
      <c r="C63" s="658" t="n"/>
      <c r="D63" s="670" t="n"/>
      <c r="T63" s="116" t="n"/>
      <c r="U63" s="116" t="n"/>
      <c r="V63" s="116" t="n"/>
      <c r="W63" s="116" t="n"/>
      <c r="X63" s="116" t="n"/>
      <c r="Y63" s="116" t="n"/>
      <c r="Z63" s="116" t="n"/>
      <c r="AA63" s="116" t="n"/>
      <c r="AB63" s="116" t="n"/>
      <c r="AC63" s="116" t="n"/>
    </row>
    <row r="64">
      <c r="A64" s="674" t="n"/>
      <c r="B64" s="658" t="n"/>
      <c r="C64" s="658" t="n"/>
      <c r="D64" s="670" t="n"/>
      <c r="T64" s="116" t="n"/>
      <c r="U64" s="116" t="n"/>
      <c r="V64" s="116" t="n"/>
      <c r="W64" s="116" t="n"/>
      <c r="X64" s="116" t="n"/>
      <c r="Y64" s="116" t="n"/>
      <c r="Z64" s="116" t="n"/>
      <c r="AA64" s="116" t="n"/>
      <c r="AB64" s="116" t="n"/>
      <c r="AC64" s="116" t="n"/>
    </row>
    <row r="65">
      <c r="A65" s="674" t="n"/>
      <c r="B65" s="658" t="n"/>
      <c r="C65" s="658" t="n"/>
      <c r="D65" s="670" t="n"/>
      <c r="T65" s="116" t="n"/>
      <c r="U65" s="116" t="n"/>
      <c r="V65" s="116" t="n"/>
      <c r="W65" s="116" t="n"/>
      <c r="X65" s="116" t="n"/>
      <c r="Y65" s="116" t="n"/>
      <c r="Z65" s="116" t="n"/>
      <c r="AA65" s="116" t="n"/>
      <c r="AB65" s="116" t="n"/>
      <c r="AC65" s="116" t="n"/>
    </row>
  </sheetData>
  <mergeCells count="15">
    <mergeCell ref="A5:A6"/>
    <mergeCell ref="B3:D3"/>
    <mergeCell ref="A61:D61"/>
    <mergeCell ref="BI7:BQ7"/>
    <mergeCell ref="A62:D62"/>
    <mergeCell ref="A64:D64"/>
    <mergeCell ref="A59:D59"/>
    <mergeCell ref="A65:D65"/>
    <mergeCell ref="C5:C6"/>
    <mergeCell ref="A63:D63"/>
    <mergeCell ref="A35:C35"/>
    <mergeCell ref="A60:D60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8" fitToHeight="0"/>
</worksheet>
</file>

<file path=xl/worksheets/sheet7.xml><?xml version="1.0" encoding="utf-8"?>
<worksheet xmlns="http://schemas.openxmlformats.org/spreadsheetml/2006/main">
  <sheetPr codeName="Planilha5">
    <tabColor theme="9"/>
    <outlinePr summaryBelow="1" summaryRight="1"/>
    <pageSetUpPr/>
  </sheetPr>
  <dimension ref="A1:MK70"/>
  <sheetViews>
    <sheetView showGridLines="0" topLeftCell="BZ2" zoomScale="70" zoomScaleNormal="70" workbookViewId="0">
      <selection activeCell="CB1" sqref="CB1:CB1048576"/>
    </sheetView>
  </sheetViews>
  <sheetFormatPr baseColWidth="8" defaultColWidth="9.140625" defaultRowHeight="18.75"/>
  <cols>
    <col width="27.28515625" customWidth="1" min="1" max="1"/>
    <col width="8.7109375" customWidth="1" min="2" max="2"/>
    <col hidden="1" width="14.42578125" customWidth="1" min="3" max="3"/>
    <col width="14.42578125" customWidth="1" min="4" max="4"/>
    <col width="2.14062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8.42578125" customWidth="1" min="84" max="84"/>
    <col width="2.42578125" customWidth="1" min="85" max="85"/>
    <col width="20.42578125" customWidth="1" min="86" max="86"/>
    <col width="14.28515625" customWidth="1" min="87" max="87"/>
    <col width="1.7109375" customWidth="1" min="88" max="88"/>
    <col width="15.85546875" customWidth="1" min="89" max="89"/>
    <col width="1.85546875" customWidth="1" min="90" max="90"/>
    <col width="8.140625" customWidth="1" min="91" max="91"/>
    <col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8.7109375" customWidth="1" min="97" max="97"/>
    <col hidden="1" width="8.140625" customWidth="1" min="98" max="98"/>
    <col hidden="1" width="14" customWidth="1" min="99" max="99"/>
    <col hidden="1" width="8.140625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13" customWidth="1" min="114" max="114"/>
    <col hidden="1" width="9.7109375" customWidth="1" min="115" max="115"/>
    <col hidden="1" width="13" customWidth="1" min="116" max="116"/>
    <col hidden="1" width="24.42578125" customWidth="1" min="117" max="117"/>
    <col hidden="1" width="9.7109375" customWidth="1" min="118" max="118"/>
    <col hidden="1" width="13" customWidth="1" min="119" max="119"/>
    <col hidden="1" width="13" customWidth="1" min="120" max="120"/>
    <col hidden="1" width="8.7109375" customWidth="1" min="121" max="121"/>
    <col hidden="1" width="9.7109375" customWidth="1" min="122" max="122"/>
    <col hidden="1" width="13" customWidth="1" min="123" max="123"/>
    <col hidden="1" width="13" customWidth="1" min="124" max="124"/>
    <col hidden="1" width="13.85546875" customWidth="1" min="125" max="125"/>
    <col hidden="1" width="9.7109375" customWidth="1" min="126" max="126"/>
    <col hidden="1" width="11.7109375" customWidth="1" min="127" max="127"/>
    <col hidden="1" width="9.7109375" customWidth="1" min="128" max="128"/>
    <col hidden="1" width="11.7109375" customWidth="1" min="129" max="129"/>
    <col hidden="1" width="9.7109375" customWidth="1" min="130" max="130"/>
    <col hidden="1" width="13" customWidth="1" min="131" max="131"/>
    <col hidden="1" width="13" customWidth="1" min="132" max="132"/>
    <col hidden="1" width="24.28515625" customWidth="1" min="133" max="133"/>
    <col hidden="1" width="9.7109375" customWidth="1" min="134" max="134"/>
    <col hidden="1" width="13" customWidth="1" min="135" max="135"/>
    <col hidden="1" width="11" customWidth="1" min="136" max="136"/>
    <col hidden="1" width="9.7109375" customWidth="1" min="137" max="137"/>
    <col hidden="1" width="13" customWidth="1" min="138" max="138"/>
    <col hidden="1" width="12.28515625" customWidth="1" min="139" max="139"/>
    <col hidden="1" width="23" customWidth="1" min="140" max="140"/>
    <col hidden="1" width="9.7109375" customWidth="1" min="141" max="141"/>
    <col hidden="1" width="13" customWidth="1" min="142" max="142"/>
    <col hidden="1" width="13" customWidth="1" min="143" max="143"/>
    <col hidden="1" width="13" customWidth="1" min="144" max="144"/>
    <col hidden="1" width="13" customWidth="1" min="145" max="145"/>
    <col hidden="1" width="17.5703125" customWidth="1" min="146" max="146"/>
    <col hidden="1" width="8.7109375" customWidth="1" min="147" max="147"/>
    <col hidden="1" width="9.7109375" customWidth="1" min="148" max="148"/>
    <col hidden="1" width="12.85546875" customWidth="1" min="149" max="149"/>
    <col hidden="1" width="9.7109375" customWidth="1" min="150" max="150"/>
    <col hidden="1" width="13" customWidth="1" min="151" max="151"/>
    <col hidden="1" width="12.28515625" customWidth="1" min="152" max="152"/>
    <col hidden="1" width="9.7109375" customWidth="1" min="153" max="153"/>
    <col hidden="1" width="13" customWidth="1" min="154" max="154"/>
    <col hidden="1" width="13.28515625" customWidth="1" min="155" max="155"/>
    <col hidden="1" width="13.5703125" customWidth="1" min="156" max="156"/>
    <col hidden="1" width="13.5703125" customWidth="1" min="157" max="157"/>
    <col hidden="1" width="24.5703125" customWidth="1" min="158" max="158"/>
    <col hidden="1" width="24.28515625" customWidth="1" min="159" max="159"/>
    <col hidden="1" width="9.7109375" customWidth="1" min="160" max="160"/>
    <col hidden="1" width="13.28515625" customWidth="1" min="161" max="161"/>
    <col hidden="1" width="14" customWidth="1" min="162" max="162"/>
    <col hidden="1" width="12.28515625" customWidth="1" min="163" max="163"/>
    <col hidden="1" width="9.7109375" customWidth="1" min="164" max="164"/>
    <col hidden="1" width="13" customWidth="1" min="165" max="165"/>
    <col hidden="1" width="13" customWidth="1" min="166" max="166"/>
    <col hidden="1" width="13" customWidth="1" min="167" max="167"/>
    <col hidden="1" width="15.140625" customWidth="1" min="168" max="168"/>
    <col hidden="1" width="12" customWidth="1" min="169" max="169"/>
    <col hidden="1" width="9.7109375" customWidth="1" min="170" max="170"/>
    <col hidden="1" width="13" customWidth="1" min="171" max="171"/>
    <col hidden="1" width="24.28515625" customWidth="1" min="172" max="172"/>
    <col hidden="1" width="9.7109375" customWidth="1" min="173" max="173"/>
    <col hidden="1" width="13" customWidth="1" min="174" max="174"/>
    <col hidden="1" width="13" customWidth="1" min="175" max="175"/>
    <col hidden="1" width="13" customWidth="1" min="176" max="176"/>
    <col hidden="1" width="15" customWidth="1" min="177" max="177"/>
    <col hidden="1" width="9.7109375" customWidth="1" min="178" max="178"/>
    <col hidden="1" width="15" customWidth="1" min="179" max="179"/>
    <col hidden="1" width="9.7109375" customWidth="1" min="180" max="180"/>
    <col hidden="1" width="13" customWidth="1" min="181" max="181"/>
    <col hidden="1" width="15" customWidth="1" min="182" max="182"/>
    <col hidden="1" width="9.7109375" customWidth="1" min="183" max="183"/>
    <col hidden="1" width="22.85546875" customWidth="1" min="184" max="184"/>
    <col hidden="1" width="13.7109375" customWidth="1" min="185" max="185"/>
    <col hidden="1" width="9.7109375" customWidth="1" min="186" max="186"/>
    <col hidden="1" width="13" customWidth="1" min="187" max="187"/>
    <col width="4.85546875" customWidth="1" min="188" max="188"/>
    <col width="21.85546875" customWidth="1" min="189" max="189"/>
    <col width="9.140625" customWidth="1" min="190" max="190"/>
    <col hidden="1" width="13" customWidth="1" min="191" max="191"/>
    <col hidden="1" width="13" customWidth="1" min="192" max="192"/>
    <col hidden="1" width="13" customWidth="1" min="193" max="193"/>
    <col hidden="1" width="13" customWidth="1" min="194" max="194"/>
    <col hidden="1" width="13" customWidth="1" min="195" max="195"/>
    <col hidden="1" width="9.140625" customWidth="1" min="196" max="196"/>
    <col hidden="1" width="13" customWidth="1" min="197" max="197"/>
    <col hidden="1" width="13" customWidth="1" min="198" max="198"/>
    <col hidden="1" width="13" customWidth="1" min="199" max="199"/>
    <col hidden="1" width="13" customWidth="1" min="200" max="200"/>
    <col width="13" customWidth="1" min="201" max="201"/>
    <col width="13" customWidth="1" min="202" max="202"/>
    <col width="4.140625" customWidth="1" min="204" max="204"/>
    <col width="9.140625" customWidth="1" min="205" max="205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284" t="n"/>
      <c r="FC1" s="74" t="n"/>
      <c r="FD1" s="74" t="n"/>
      <c r="FE1" s="74" t="n"/>
      <c r="FF1" s="284" t="n"/>
      <c r="FG1" s="284" t="n"/>
      <c r="FH1" s="74" t="n"/>
      <c r="FI1" s="74" t="n"/>
      <c r="FJ1" s="74" t="n"/>
      <c r="FK1" s="74" t="n"/>
      <c r="FL1" s="74" t="n"/>
      <c r="FM1" s="28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  <c r="GE1" s="74" t="n"/>
    </row>
    <row r="2">
      <c r="A2" s="50" t="inlineStr">
        <is>
          <t>LOJA:</t>
        </is>
      </c>
      <c r="B2" s="639" t="inlineStr">
        <is>
          <t>BOQUEIRÃO</t>
        </is>
      </c>
      <c r="C2" s="640" t="n"/>
      <c r="D2" s="641" t="n"/>
      <c r="CH2" s="6" t="n"/>
      <c r="CI2" s="6" t="n"/>
      <c r="CJ2" s="6" t="n"/>
      <c r="CK2" s="6" t="n"/>
      <c r="CL2" s="6" t="n"/>
      <c r="CM2" s="6" t="n"/>
      <c r="CN2" s="6" t="n"/>
      <c r="CO2" s="6" t="n"/>
      <c r="CP2" s="6" t="n"/>
      <c r="CQ2" s="6" t="n"/>
      <c r="CR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I2" s="6" t="n"/>
      <c r="DJ2" s="6" t="n"/>
      <c r="DK2" s="6" t="n"/>
      <c r="DL2" s="6" t="n"/>
      <c r="DN2" s="6" t="n"/>
      <c r="DO2" s="6" t="n"/>
      <c r="DP2" s="6" t="n"/>
      <c r="DR2" s="6" t="n"/>
      <c r="DS2" s="6" t="n"/>
      <c r="DT2" s="6" t="n"/>
      <c r="DU2" s="6" t="n"/>
      <c r="DV2" s="6" t="n"/>
      <c r="DW2" s="6" t="n"/>
      <c r="DX2" s="6" t="n"/>
      <c r="DY2" s="6" t="n"/>
      <c r="DZ2" s="6" t="n"/>
      <c r="EA2" s="6" t="n"/>
      <c r="EB2" s="6" t="n"/>
      <c r="EC2" s="6" t="n"/>
      <c r="ED2" s="6" t="n"/>
      <c r="EE2" s="6" t="n"/>
      <c r="EF2" s="6" t="n"/>
      <c r="EG2" s="6" t="n"/>
      <c r="EH2" s="6" t="n"/>
      <c r="EK2" s="6" t="n"/>
      <c r="EL2" s="6" t="n"/>
      <c r="EM2" s="6" t="n"/>
      <c r="EN2" s="6" t="n"/>
      <c r="EO2" s="6" t="n"/>
      <c r="ER2" s="6" t="n"/>
      <c r="ES2" s="6" t="n"/>
      <c r="ET2" s="6" t="n"/>
      <c r="EU2" s="6" t="n"/>
      <c r="EV2" s="6" t="n"/>
      <c r="EW2" s="6" t="n"/>
      <c r="EX2" s="6" t="n"/>
      <c r="EY2" s="6" t="n"/>
      <c r="EZ2" s="269" t="n"/>
      <c r="FA2" s="6" t="n"/>
      <c r="FC2" s="6" t="n"/>
      <c r="FD2" s="6" t="n"/>
      <c r="FE2" s="6" t="n"/>
      <c r="FH2" s="6" t="n"/>
      <c r="FI2" s="6" t="n"/>
      <c r="FJ2" s="6" t="n"/>
      <c r="FK2" s="6" t="n"/>
      <c r="FL2" s="6" t="n"/>
      <c r="FN2" s="6" t="n"/>
      <c r="FO2" s="6" t="n"/>
      <c r="FP2" s="6" t="n"/>
      <c r="FQ2" s="6" t="n"/>
      <c r="FR2" s="6" t="n"/>
      <c r="FS2" s="6" t="n"/>
      <c r="FT2" s="6" t="n"/>
      <c r="FU2" s="6" t="n"/>
      <c r="FV2" s="6" t="n"/>
      <c r="FW2" s="6" t="n"/>
      <c r="FX2" s="6" t="n"/>
      <c r="FY2" s="6" t="n"/>
      <c r="FZ2" s="6" t="n"/>
      <c r="GA2" s="6" t="n"/>
      <c r="GC2" s="6" t="n"/>
      <c r="GD2" s="6" t="n"/>
      <c r="GE2" s="6" t="n"/>
    </row>
    <row r="3">
      <c r="A3" s="50" t="inlineStr">
        <is>
          <t>Responsável:</t>
        </is>
      </c>
      <c r="B3" s="253" t="inlineStr">
        <is>
          <t>CAMILA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5" t="n"/>
      <c r="CD3" s="675" t="n"/>
      <c r="CE3" s="675" t="n"/>
      <c r="CF3" s="642" t="n"/>
      <c r="CG3" s="642" t="n"/>
      <c r="CH3" s="642" t="n"/>
      <c r="CI3" s="642" t="n"/>
      <c r="CJ3" s="642" t="n"/>
      <c r="CL3" s="642" t="n"/>
      <c r="CM3" s="642" t="n"/>
      <c r="CN3" s="642" t="n"/>
      <c r="CO3" s="642" t="n"/>
      <c r="CP3" s="642" t="n"/>
      <c r="CQ3" s="642" t="n"/>
      <c r="CR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D3" s="642" t="n"/>
      <c r="DE3" s="642" t="n"/>
      <c r="DF3" s="642" t="n"/>
      <c r="DG3" s="642" t="n"/>
      <c r="DK3" s="642" t="n"/>
      <c r="DL3" s="642" t="n"/>
      <c r="DN3" s="642" t="n"/>
      <c r="DO3" s="642" t="n"/>
      <c r="DP3" s="642" t="n"/>
      <c r="DR3" s="642" t="n"/>
      <c r="DS3" s="642" t="n"/>
      <c r="DT3" s="642" t="n"/>
      <c r="DU3" s="642" t="n"/>
      <c r="DV3" s="642" t="n"/>
      <c r="DW3" s="642" t="n"/>
      <c r="DX3" s="642" t="n"/>
      <c r="DY3" s="642" t="n"/>
      <c r="DZ3" s="642" t="n"/>
      <c r="EA3" s="642" t="n"/>
      <c r="EB3" s="642" t="n"/>
      <c r="EC3" s="642" t="n"/>
      <c r="ED3" s="642" t="n"/>
      <c r="EE3" s="642" t="n"/>
      <c r="EF3" s="642" t="n"/>
      <c r="EG3" s="642" t="n"/>
      <c r="EH3" s="642" t="n"/>
      <c r="EK3" s="642" t="n"/>
      <c r="EL3" s="642" t="n"/>
      <c r="EM3" s="642" t="n"/>
      <c r="EN3" s="642" t="n"/>
      <c r="EO3" s="642" t="n"/>
      <c r="ER3" s="642" t="n"/>
      <c r="ES3" s="642" t="n"/>
      <c r="ET3" s="642" t="n"/>
      <c r="EU3" s="642" t="n"/>
      <c r="EV3" s="642" t="n"/>
      <c r="EW3" s="642" t="n"/>
      <c r="EX3" s="642" t="n"/>
      <c r="EY3" s="642" t="n"/>
      <c r="EZ3" s="676" t="n"/>
      <c r="FA3" s="642" t="n"/>
      <c r="FC3" s="642" t="n"/>
      <c r="FD3" s="642" t="n"/>
      <c r="FE3" s="642" t="n"/>
      <c r="FH3" s="642" t="n"/>
      <c r="FI3" s="642" t="n"/>
      <c r="FJ3" s="642" t="n"/>
      <c r="FK3" s="642" t="n"/>
      <c r="FL3" s="642" t="n"/>
      <c r="FN3" s="642" t="n"/>
      <c r="FO3" s="642" t="n"/>
      <c r="FP3" s="642" t="n"/>
      <c r="FQ3" s="642" t="n"/>
      <c r="FR3" s="642" t="n"/>
      <c r="FS3" s="642" t="n"/>
      <c r="FT3" s="642" t="n"/>
      <c r="FU3" s="642" t="n"/>
      <c r="FV3" s="642" t="n"/>
      <c r="FW3" s="642" t="n"/>
      <c r="FX3" s="642" t="n"/>
      <c r="FY3" s="642" t="n"/>
      <c r="FZ3" s="642" t="n"/>
      <c r="GA3" s="642" t="n"/>
      <c r="GC3" s="642" t="n"/>
      <c r="GD3" s="642" t="n"/>
      <c r="GE3" s="642" t="n"/>
    </row>
    <row r="4">
      <c r="CH4" s="6" t="n"/>
      <c r="CI4" s="6" t="n"/>
      <c r="CJ4" s="6" t="n"/>
      <c r="CK4" s="6" t="n"/>
      <c r="CL4" s="6" t="n"/>
      <c r="CM4" s="6" t="n"/>
      <c r="CN4" s="6" t="n"/>
      <c r="CO4" s="6" t="n"/>
      <c r="CP4" s="6" t="n"/>
      <c r="CQ4" s="6" t="n"/>
      <c r="CR4" s="6" t="n"/>
      <c r="CS4" s="254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254" t="n"/>
      <c r="DN4" s="6" t="n"/>
      <c r="DO4" s="6" t="n"/>
      <c r="DP4" s="6" t="n"/>
      <c r="DQ4" s="254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6" t="n"/>
      <c r="EI4" s="254" t="n"/>
      <c r="EJ4" s="254" t="n"/>
      <c r="EK4" s="6" t="n"/>
      <c r="EL4" s="6" t="n"/>
      <c r="EM4" s="6" t="n"/>
      <c r="EN4" s="6" t="n"/>
      <c r="EO4" s="6" t="n"/>
      <c r="EP4" s="254" t="n"/>
      <c r="EQ4" s="254" t="n"/>
      <c r="ER4" s="6" t="n"/>
      <c r="ES4" s="6" t="n"/>
      <c r="ET4" s="6" t="n"/>
      <c r="EU4" s="6" t="n"/>
      <c r="EV4" s="6" t="n"/>
      <c r="EW4" s="6" t="n"/>
      <c r="EX4" s="6" t="n"/>
      <c r="EY4" s="6" t="n"/>
      <c r="EZ4" s="269" t="n"/>
      <c r="FA4" s="6" t="n"/>
      <c r="FB4" s="286" t="n"/>
      <c r="FC4" s="6" t="n"/>
      <c r="FD4" s="6" t="n"/>
      <c r="FE4" s="6" t="n"/>
      <c r="FF4" s="286" t="n"/>
      <c r="FG4" s="286" t="n"/>
      <c r="FH4" s="6" t="n"/>
      <c r="FI4" s="6" t="n"/>
      <c r="FJ4" s="6" t="n"/>
      <c r="FK4" s="6" t="n"/>
      <c r="FL4" s="6" t="n"/>
      <c r="FM4" s="286" t="n"/>
      <c r="FN4" s="6" t="n"/>
      <c r="FO4" s="6" t="n"/>
      <c r="FP4" s="6" t="n"/>
      <c r="FQ4" s="6" t="n"/>
      <c r="FR4" s="6" t="n"/>
      <c r="FS4" s="6" t="n"/>
      <c r="FT4" s="6" t="n"/>
      <c r="FU4" s="6" t="n"/>
      <c r="FV4" s="6" t="n"/>
      <c r="FW4" s="6" t="n"/>
      <c r="FX4" s="6" t="n"/>
      <c r="FY4" s="6" t="n"/>
      <c r="FZ4" s="6" t="n"/>
      <c r="GA4" s="6" t="n"/>
      <c r="GB4" s="254" t="n"/>
      <c r="GC4" s="6" t="n"/>
      <c r="GD4" s="6" t="n"/>
      <c r="GE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189" t="n"/>
      <c r="G5" s="189" t="n"/>
      <c r="H5" s="189" t="n"/>
      <c r="I5" s="189" t="n"/>
      <c r="J5" s="189" t="n"/>
      <c r="K5" s="189" t="n"/>
      <c r="L5" s="189" t="n"/>
      <c r="M5" s="189" t="n"/>
      <c r="N5" s="189" t="n"/>
      <c r="O5" s="189" t="n"/>
      <c r="P5" s="189" t="n"/>
      <c r="Q5" s="510" t="n"/>
      <c r="R5" s="510" t="n"/>
      <c r="S5" s="510" t="n"/>
      <c r="T5" s="510" t="n"/>
      <c r="U5" s="510" t="n"/>
      <c r="V5" s="510" t="n"/>
      <c r="W5" s="510" t="n"/>
      <c r="X5" s="510" t="n"/>
      <c r="Y5" s="510" t="n"/>
      <c r="Z5" s="510" t="n"/>
      <c r="AA5" s="510" t="n"/>
      <c r="AB5" s="510" t="n"/>
      <c r="AC5" s="510" t="n"/>
      <c r="AD5" s="510" t="n"/>
      <c r="AE5" s="510" t="n"/>
      <c r="AF5" s="510" t="n"/>
      <c r="AG5" s="510" t="n"/>
      <c r="AH5" s="510" t="n"/>
      <c r="AI5" s="510" t="n"/>
      <c r="AJ5" s="510" t="n"/>
      <c r="AK5" s="510" t="n"/>
      <c r="AL5" s="510" t="n"/>
      <c r="AM5" s="510" t="n"/>
      <c r="AN5" s="510" t="n"/>
      <c r="AO5" s="510" t="n"/>
      <c r="AP5" s="510" t="n"/>
      <c r="AQ5" s="510" t="n"/>
      <c r="AR5" s="510" t="n"/>
      <c r="AS5" s="510" t="n"/>
      <c r="AT5" s="510" t="n"/>
      <c r="AU5" s="510" t="n"/>
      <c r="AV5" s="510" t="n"/>
      <c r="AW5" s="510" t="n"/>
      <c r="AX5" s="510" t="n"/>
      <c r="AY5" s="510" t="n"/>
      <c r="AZ5" s="510" t="n"/>
      <c r="BA5" s="510" t="n"/>
      <c r="BB5" s="510" t="n"/>
      <c r="BC5" s="510" t="n"/>
      <c r="BD5" s="510" t="n"/>
      <c r="BE5" s="510" t="n"/>
      <c r="BF5" s="510" t="n"/>
      <c r="BG5" s="510" t="n"/>
      <c r="BH5" s="510" t="n"/>
      <c r="BI5" s="510" t="n"/>
      <c r="BJ5" s="510" t="n"/>
      <c r="BK5" s="510" t="n"/>
      <c r="BL5" s="510" t="n"/>
      <c r="BM5" s="510" t="n"/>
      <c r="BN5" s="510" t="n"/>
      <c r="BO5" s="510" t="n"/>
      <c r="BP5" s="510" t="n"/>
      <c r="BQ5" s="510" t="n"/>
      <c r="BR5" s="510" t="n"/>
      <c r="BS5" s="510" t="n"/>
      <c r="BT5" s="510" t="n"/>
      <c r="BU5" s="510" t="n"/>
      <c r="BV5" s="510" t="n"/>
      <c r="BW5" s="510" t="n"/>
      <c r="BX5" s="510" t="n"/>
      <c r="BY5" s="510" t="n"/>
      <c r="BZ5" s="510" t="n"/>
      <c r="CA5" s="510" t="n"/>
      <c r="CB5" s="510" t="n"/>
      <c r="CC5" s="510" t="n"/>
      <c r="CD5" s="510" t="n"/>
      <c r="CE5" s="510" t="n"/>
      <c r="CF5" s="153" t="n"/>
      <c r="CH5" s="413" t="inlineStr">
        <is>
          <t>TRANSFERÊNCIA</t>
        </is>
      </c>
      <c r="CI5" s="35" t="inlineStr">
        <is>
          <t>Pendências</t>
        </is>
      </c>
      <c r="CJ5" s="6" t="n"/>
      <c r="CK5" s="12" t="inlineStr">
        <is>
          <t>Novo Pedido</t>
        </is>
      </c>
      <c r="CL5" s="677" t="n">
        <v>46161.48286454124</v>
      </c>
      <c r="CM5" s="646" t="n">
        <v>46156</v>
      </c>
      <c r="CN5" s="646" t="n">
        <v>46149</v>
      </c>
      <c r="CO5" s="646" t="n">
        <v>46142</v>
      </c>
      <c r="CP5" s="646" t="n">
        <v>46114</v>
      </c>
      <c r="CQ5" s="646" t="n">
        <v>46107</v>
      </c>
      <c r="CR5" s="646" t="n">
        <v>46099</v>
      </c>
      <c r="CS5" s="647" t="n">
        <v>46065</v>
      </c>
      <c r="CT5" s="646" t="n">
        <v>46092</v>
      </c>
      <c r="CU5" s="648" t="inlineStr">
        <is>
          <t>TRANSF.</t>
        </is>
      </c>
      <c r="CV5" s="646" t="n">
        <v>46077</v>
      </c>
      <c r="CW5" s="646" t="n">
        <v>46071</v>
      </c>
      <c r="CX5" s="646" t="n">
        <v>46056</v>
      </c>
      <c r="CY5" s="646" t="n">
        <v>46056</v>
      </c>
      <c r="CZ5" s="646" t="n">
        <v>46048</v>
      </c>
      <c r="DA5" s="646" t="n">
        <v>46043</v>
      </c>
      <c r="DB5" s="646" t="n">
        <v>46035</v>
      </c>
      <c r="DC5" s="646" t="n">
        <v>46035</v>
      </c>
      <c r="DD5" s="646" t="n">
        <v>46029</v>
      </c>
      <c r="DE5" s="646" t="n">
        <v>46017</v>
      </c>
      <c r="DF5" s="646" t="n">
        <v>46007</v>
      </c>
      <c r="DG5" s="646" t="n">
        <v>46001</v>
      </c>
      <c r="DH5" s="646" t="n">
        <v>45994</v>
      </c>
      <c r="DI5" s="646" t="n">
        <v>45980</v>
      </c>
      <c r="DJ5" s="646" t="n">
        <v>45973</v>
      </c>
      <c r="DK5" s="646" t="n">
        <v>45960</v>
      </c>
      <c r="DL5" s="646" t="n">
        <v>45951</v>
      </c>
      <c r="DM5" s="678" t="inlineStr">
        <is>
          <t>TRANSF.</t>
        </is>
      </c>
      <c r="DN5" s="646" t="n">
        <v>45945</v>
      </c>
      <c r="DO5" s="646" t="n">
        <v>45931</v>
      </c>
      <c r="DP5" s="646" t="n">
        <v>45937</v>
      </c>
      <c r="DQ5" s="678" t="n">
        <v>45903</v>
      </c>
      <c r="DR5" s="646" t="n">
        <v>45931</v>
      </c>
      <c r="DS5" s="646" t="n">
        <v>45923</v>
      </c>
      <c r="DT5" s="646" t="n">
        <v>45915</v>
      </c>
      <c r="DU5" s="679" t="inlineStr">
        <is>
          <t>TRANSF.</t>
        </is>
      </c>
      <c r="DV5" s="646" t="n">
        <v>45909</v>
      </c>
      <c r="DW5" s="648" t="inlineStr">
        <is>
          <t>TRANSF.</t>
        </is>
      </c>
      <c r="DX5" s="646" t="n">
        <v>45909</v>
      </c>
      <c r="DY5" s="648" t="inlineStr">
        <is>
          <t>TRANSF.</t>
        </is>
      </c>
      <c r="DZ5" s="646" t="n">
        <v>45903</v>
      </c>
      <c r="EA5" s="646" t="n">
        <v>45903</v>
      </c>
      <c r="EB5" s="646" t="n">
        <v>45895</v>
      </c>
      <c r="EC5" s="680" t="inlineStr">
        <is>
          <t>TRANSF. DISNEY/24</t>
        </is>
      </c>
      <c r="ED5" s="646" t="n">
        <v>45888</v>
      </c>
      <c r="EE5" s="646" t="n">
        <v>45881</v>
      </c>
      <c r="EF5" s="648" t="inlineStr">
        <is>
          <t>TRANSF.</t>
        </is>
      </c>
      <c r="EG5" s="646" t="n">
        <v>45874</v>
      </c>
      <c r="EH5" s="646" t="n">
        <v>45867</v>
      </c>
      <c r="EI5" s="681" t="inlineStr">
        <is>
          <t>TRANSF.</t>
        </is>
      </c>
      <c r="EJ5" s="682" t="inlineStr">
        <is>
          <t>TRANSF. DORAMA</t>
        </is>
      </c>
      <c r="EK5" s="646" t="n">
        <v>45860</v>
      </c>
      <c r="EL5" s="646" t="n">
        <v>45853</v>
      </c>
      <c r="EM5" s="646" t="n">
        <v>45848</v>
      </c>
      <c r="EN5" s="646" t="n">
        <v>45839</v>
      </c>
      <c r="EO5" s="646" t="n">
        <v>45832</v>
      </c>
      <c r="EP5" s="681" t="inlineStr">
        <is>
          <t>AUTOMÁTICO</t>
        </is>
      </c>
      <c r="EQ5" s="681" t="n">
        <v>45791</v>
      </c>
      <c r="ER5" s="646" t="n">
        <v>45825</v>
      </c>
      <c r="ES5" s="648" t="inlineStr">
        <is>
          <t>TRANSF.</t>
        </is>
      </c>
      <c r="ET5" s="646" t="n">
        <v>45819</v>
      </c>
      <c r="EU5" s="646" t="n">
        <v>45813</v>
      </c>
      <c r="EV5" s="648" t="inlineStr">
        <is>
          <t>TRANSF.</t>
        </is>
      </c>
      <c r="EW5" s="646" t="n">
        <v>45798</v>
      </c>
      <c r="EX5" s="646" t="n">
        <v>45805</v>
      </c>
      <c r="EY5" s="648" t="inlineStr">
        <is>
          <t>TRANSF.</t>
        </is>
      </c>
      <c r="EZ5" s="648" t="inlineStr">
        <is>
          <t>TRANSF.</t>
        </is>
      </c>
      <c r="FA5" s="683" t="inlineStr">
        <is>
          <t>TRANSF.</t>
        </is>
      </c>
      <c r="FB5" s="684" t="inlineStr">
        <is>
          <t>TRANSF.</t>
        </is>
      </c>
      <c r="FC5" s="680" t="inlineStr">
        <is>
          <t>TRANSF. DISNEY/24</t>
        </is>
      </c>
      <c r="FD5" s="683" t="n">
        <v>45735</v>
      </c>
      <c r="FE5" s="648" t="inlineStr">
        <is>
          <t>TRANSF.</t>
        </is>
      </c>
      <c r="FF5" s="684" t="inlineStr">
        <is>
          <t>TRANSF.</t>
        </is>
      </c>
      <c r="FG5" s="684" t="inlineStr">
        <is>
          <t>TRANSF.</t>
        </is>
      </c>
      <c r="FH5" s="646" t="n">
        <v>45770</v>
      </c>
      <c r="FI5" s="646" t="n">
        <v>45756</v>
      </c>
      <c r="FJ5" s="646" t="n">
        <v>45749</v>
      </c>
      <c r="FK5" s="646" t="n">
        <v>45743</v>
      </c>
      <c r="FL5" s="648" t="inlineStr">
        <is>
          <t>TRANSF.</t>
        </is>
      </c>
      <c r="FM5" s="684" t="n">
        <v>45700</v>
      </c>
      <c r="FN5" s="646" t="n">
        <v>45728</v>
      </c>
      <c r="FO5" s="646" t="n">
        <v>45722</v>
      </c>
      <c r="FP5" s="680" t="inlineStr">
        <is>
          <t>TRANSF. DISNEY/24</t>
        </is>
      </c>
      <c r="FQ5" s="646" t="n">
        <v>45714</v>
      </c>
      <c r="FR5" s="646" t="n">
        <v>45706</v>
      </c>
      <c r="FS5" s="646" t="n">
        <v>45699</v>
      </c>
      <c r="FT5" s="646" t="n">
        <v>45693</v>
      </c>
      <c r="FU5" s="648" t="inlineStr">
        <is>
          <t>TRANSF.</t>
        </is>
      </c>
      <c r="FV5" s="646" t="n">
        <v>45685</v>
      </c>
      <c r="FW5" s="648" t="inlineStr">
        <is>
          <t>TRANSF.</t>
        </is>
      </c>
      <c r="FX5" s="646" t="n">
        <v>45674</v>
      </c>
      <c r="FY5" s="646" t="n">
        <v>45664</v>
      </c>
      <c r="FZ5" s="648" t="inlineStr">
        <is>
          <t>TRANSF.</t>
        </is>
      </c>
      <c r="GA5" s="646" t="n">
        <v>45660</v>
      </c>
      <c r="GB5" s="685" t="inlineStr">
        <is>
          <t>TRANSF. NATAL/24</t>
        </is>
      </c>
      <c r="GC5" s="655" t="inlineStr">
        <is>
          <t>TRANSF.</t>
        </is>
      </c>
      <c r="GD5" s="646" t="n">
        <v>45638</v>
      </c>
      <c r="GE5" s="646" t="n">
        <v>45643</v>
      </c>
    </row>
    <row r="6" customForma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86" t="n">
        <v>45733</v>
      </c>
      <c r="R6" s="686" t="n">
        <v>45740</v>
      </c>
      <c r="S6" s="686" t="n">
        <v>45747</v>
      </c>
      <c r="T6" s="686" t="n">
        <v>45754</v>
      </c>
      <c r="U6" s="686" t="n">
        <v>45761</v>
      </c>
      <c r="V6" s="650" t="n">
        <v>45768</v>
      </c>
      <c r="W6" s="650" t="n">
        <v>45775</v>
      </c>
      <c r="X6" s="686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46161.48002762732</v>
      </c>
      <c r="CD6" s="651" t="n">
        <v>46161.48070743056</v>
      </c>
      <c r="CE6" s="651" t="n">
        <v>46161.48286576492</v>
      </c>
      <c r="CF6" s="652" t="inlineStr">
        <is>
          <t>USOU</t>
        </is>
      </c>
      <c r="CG6" s="54" t="n"/>
      <c r="CH6" s="414" t="inlineStr">
        <is>
          <t>SUGESTÃO</t>
        </is>
      </c>
      <c r="CI6" s="214" t="n">
        <v>46156</v>
      </c>
      <c r="CJ6" s="653" t="n"/>
      <c r="CK6" s="656" t="n"/>
      <c r="CL6" s="654" t="n"/>
      <c r="CM6" s="654" t="n"/>
      <c r="CN6" s="654" t="n">
        <v>46154</v>
      </c>
      <c r="CO6" s="654" t="n">
        <v>46148</v>
      </c>
      <c r="CP6" s="654" t="n">
        <v>46122</v>
      </c>
      <c r="CQ6" s="654" t="n">
        <v>46111</v>
      </c>
      <c r="CR6" s="654" t="n">
        <v>46108</v>
      </c>
      <c r="CS6" s="647" t="n">
        <v>46107</v>
      </c>
      <c r="CT6" s="654" t="n">
        <v>46098</v>
      </c>
      <c r="CU6" s="655" t="n">
        <v>46079</v>
      </c>
      <c r="CV6" s="654" t="n">
        <v>46083</v>
      </c>
      <c r="CW6" s="654" t="n">
        <v>46073</v>
      </c>
      <c r="CX6" s="654" t="n">
        <v>46076</v>
      </c>
      <c r="CY6" s="654" t="n">
        <v>46057</v>
      </c>
      <c r="CZ6" s="654" t="n">
        <v>46051</v>
      </c>
      <c r="DA6" s="654" t="n">
        <v>46049</v>
      </c>
      <c r="DB6" s="654" t="n">
        <v>46045</v>
      </c>
      <c r="DC6" s="654" t="n">
        <v>46041</v>
      </c>
      <c r="DD6" s="654" t="n">
        <v>46038</v>
      </c>
      <c r="DE6" s="654" t="n">
        <v>46030</v>
      </c>
      <c r="DF6" s="654" t="n">
        <v>46015</v>
      </c>
      <c r="DG6" s="654" t="n">
        <v>46008</v>
      </c>
      <c r="DH6" s="654" t="n">
        <v>46003</v>
      </c>
      <c r="DI6" s="654" t="n">
        <v>45988</v>
      </c>
      <c r="DJ6" s="654" t="n">
        <v>45978</v>
      </c>
      <c r="DK6" s="654" t="n">
        <v>45964</v>
      </c>
      <c r="DL6" s="654" t="n">
        <v>45958</v>
      </c>
      <c r="DM6" s="687" t="n">
        <v>45952</v>
      </c>
      <c r="DN6" s="654" t="n">
        <v>45952</v>
      </c>
      <c r="DO6" s="654" t="n">
        <v>45944</v>
      </c>
      <c r="DP6" s="654" t="n">
        <v>45946</v>
      </c>
      <c r="DQ6" s="687" t="n">
        <v>45934</v>
      </c>
      <c r="DR6" s="654" t="n">
        <v>45934</v>
      </c>
      <c r="DS6" s="654" t="n">
        <v>45930</v>
      </c>
      <c r="DT6" s="654" t="n">
        <v>45925</v>
      </c>
      <c r="DU6" s="688" t="n">
        <v>45924</v>
      </c>
      <c r="DV6" s="654" t="n">
        <v>45918</v>
      </c>
      <c r="DW6" s="655" t="n">
        <v>45920</v>
      </c>
      <c r="DX6" s="654" t="n">
        <v>45915</v>
      </c>
      <c r="DY6" s="655" t="n">
        <v>45913</v>
      </c>
      <c r="DZ6" s="654" t="n">
        <v>45910</v>
      </c>
      <c r="EA6" s="654" t="n">
        <v>45905</v>
      </c>
      <c r="EB6" s="654" t="n">
        <v>45904</v>
      </c>
      <c r="EC6" s="689" t="n">
        <v>45897</v>
      </c>
      <c r="ED6" s="654" t="n">
        <v>45892</v>
      </c>
      <c r="EE6" s="654" t="n">
        <v>45890</v>
      </c>
      <c r="EF6" s="655" t="n">
        <v>45885</v>
      </c>
      <c r="EG6" s="654" t="n">
        <v>45880</v>
      </c>
      <c r="EH6" s="654" t="n">
        <v>45874</v>
      </c>
      <c r="EI6" s="681" t="n">
        <v>45867</v>
      </c>
      <c r="EJ6" s="682" t="n">
        <v>45866</v>
      </c>
      <c r="EK6" s="654" t="n">
        <v>45863</v>
      </c>
      <c r="EL6" s="654" t="n">
        <v>45860</v>
      </c>
      <c r="EM6" s="654" t="n">
        <v>45853</v>
      </c>
      <c r="EN6" s="654" t="n">
        <v>45845</v>
      </c>
      <c r="EO6" s="654" t="n">
        <v>45838</v>
      </c>
      <c r="EP6" s="681" t="n">
        <v>45836</v>
      </c>
      <c r="EQ6" s="681" t="n">
        <v>45836</v>
      </c>
      <c r="ER6" s="654" t="n">
        <v>45833</v>
      </c>
      <c r="ES6" s="655" t="n">
        <v>45825</v>
      </c>
      <c r="ET6" s="654" t="n">
        <v>45824</v>
      </c>
      <c r="EU6" s="654" t="n">
        <v>45821</v>
      </c>
      <c r="EV6" s="655" t="n">
        <v>45820</v>
      </c>
      <c r="EW6" s="654" t="n">
        <v>45811</v>
      </c>
      <c r="EX6" s="654" t="n">
        <v>45810</v>
      </c>
      <c r="EY6" s="655" t="n">
        <v>45799</v>
      </c>
      <c r="EZ6" s="655" t="n">
        <v>45798</v>
      </c>
      <c r="FA6" s="690" t="n">
        <v>45798</v>
      </c>
      <c r="FB6" s="684" t="n">
        <v>45798</v>
      </c>
      <c r="FC6" s="689" t="n">
        <v>45798</v>
      </c>
      <c r="FD6" s="690" t="n">
        <v>45790</v>
      </c>
      <c r="FE6" s="655" t="n">
        <v>45789</v>
      </c>
      <c r="FF6" s="684" t="n">
        <v>45789</v>
      </c>
      <c r="FG6" s="684" t="n">
        <v>45782</v>
      </c>
      <c r="FH6" s="654" t="n">
        <v>45777</v>
      </c>
      <c r="FI6" s="654" t="n">
        <v>45772</v>
      </c>
      <c r="FJ6" s="654" t="n">
        <v>45756</v>
      </c>
      <c r="FK6" s="654" t="n">
        <v>45751</v>
      </c>
      <c r="FL6" s="655" t="n">
        <v>45744</v>
      </c>
      <c r="FM6" s="684" t="n">
        <v>45733</v>
      </c>
      <c r="FN6" s="654" t="n">
        <v>45733</v>
      </c>
      <c r="FO6" s="654" t="n">
        <v>45727</v>
      </c>
      <c r="FP6" s="689" t="n">
        <v>45723</v>
      </c>
      <c r="FQ6" s="654" t="n">
        <v>45722</v>
      </c>
      <c r="FR6" s="654" t="n">
        <v>45716</v>
      </c>
      <c r="FS6" s="654" t="n">
        <v>45708</v>
      </c>
      <c r="FT6" s="654" t="n">
        <v>45705</v>
      </c>
      <c r="FU6" s="655" t="n">
        <v>45700</v>
      </c>
      <c r="FV6" s="654" t="n">
        <v>45692</v>
      </c>
      <c r="FW6" s="655" t="n">
        <v>45685</v>
      </c>
      <c r="FX6" s="654" t="n">
        <v>45679</v>
      </c>
      <c r="FY6" s="654" t="n">
        <v>45671</v>
      </c>
      <c r="FZ6" s="655" t="n">
        <v>45670</v>
      </c>
      <c r="GA6" s="654" t="n">
        <v>45665</v>
      </c>
      <c r="GB6" s="685" t="n">
        <v>45665</v>
      </c>
      <c r="GC6" s="655" t="n">
        <v>45661</v>
      </c>
      <c r="GD6" s="654" t="n">
        <v>45660</v>
      </c>
      <c r="GE6" s="654" t="n">
        <v>45653</v>
      </c>
      <c r="GG6" s="6" t="n"/>
      <c r="GH6" s="6" t="n"/>
      <c r="GI6" s="6" t="n"/>
      <c r="GJ6" s="6" t="n"/>
      <c r="GK6" s="6" t="n"/>
      <c r="GL6" s="6" t="n"/>
      <c r="GM6" s="6" t="n"/>
      <c r="GN6" s="6" t="n"/>
      <c r="GO6" s="6" t="n"/>
      <c r="GP6" s="6" t="n"/>
      <c r="GQ6" s="6" t="n"/>
      <c r="GR6" s="6" t="n"/>
      <c r="GS6" s="6" t="n"/>
      <c r="GT6" s="6" t="n"/>
      <c r="GU6" s="6" t="n"/>
    </row>
    <row r="7" ht="18.75" customFormat="1" customHeight="1" s="3">
      <c r="A7" s="28" t="inlineStr">
        <is>
          <t>SACOLAS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575" t="n"/>
      <c r="CG7" s="6" t="n"/>
      <c r="CH7" s="89" t="n"/>
      <c r="CI7" s="89" t="n"/>
      <c r="CK7" s="20" t="n"/>
      <c r="CL7" s="283" t="n"/>
      <c r="CM7" s="283" t="n"/>
      <c r="CN7" s="283" t="n"/>
      <c r="CO7" s="283" t="n"/>
      <c r="CP7" s="283" t="n"/>
      <c r="CQ7" s="283" t="n"/>
      <c r="CR7" s="283" t="n"/>
      <c r="CS7" s="575" t="inlineStr">
        <is>
          <t>MÃES</t>
        </is>
      </c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283" t="n"/>
      <c r="DJ7" s="283" t="n"/>
      <c r="DK7" s="283" t="n"/>
      <c r="DL7" s="283" t="n"/>
      <c r="DM7" s="575" t="n"/>
      <c r="DN7" s="283" t="n"/>
      <c r="DO7" s="283" t="n"/>
      <c r="DP7" s="283" t="n"/>
      <c r="DQ7" s="575" t="n"/>
      <c r="DR7" s="283" t="n"/>
      <c r="DS7" s="283" t="n"/>
      <c r="DT7" s="283" t="n"/>
      <c r="DU7" s="575" t="n"/>
      <c r="DV7" s="283" t="n"/>
      <c r="DW7" s="283" t="n"/>
      <c r="DX7" s="283" t="n"/>
      <c r="DY7" s="283" t="n"/>
      <c r="DZ7" s="283" t="n"/>
      <c r="EA7" s="283" t="n"/>
      <c r="EB7" s="283" t="n"/>
      <c r="EC7" s="575" t="n"/>
      <c r="ED7" s="283" t="n"/>
      <c r="EE7" s="283" t="n"/>
      <c r="EF7" s="283" t="n"/>
      <c r="EG7" s="283" t="n"/>
      <c r="EH7" s="283" t="n"/>
      <c r="EI7" s="575" t="inlineStr">
        <is>
          <t>PAIS/25</t>
        </is>
      </c>
      <c r="EJ7" s="575" t="n"/>
      <c r="EK7" s="283" t="n"/>
      <c r="EL7" s="283" t="n"/>
      <c r="EM7" s="283" t="n"/>
      <c r="EN7" s="283" t="n"/>
      <c r="EO7" s="283" t="n"/>
      <c r="EP7" s="575" t="n"/>
      <c r="EQ7" s="575" t="n"/>
      <c r="ER7" s="283" t="n"/>
      <c r="ES7" s="283" t="n"/>
      <c r="ET7" s="283" t="n"/>
      <c r="EU7" s="283" t="n"/>
      <c r="EV7" s="283" t="n"/>
      <c r="EW7" s="283" t="n"/>
      <c r="EX7" s="283" t="n"/>
      <c r="EY7" s="575" t="n"/>
      <c r="EZ7" s="575" t="n"/>
      <c r="FA7" s="575" t="inlineStr">
        <is>
          <t>NAMO/25</t>
        </is>
      </c>
      <c r="FB7" s="575" t="inlineStr">
        <is>
          <t>MÃES/25</t>
        </is>
      </c>
      <c r="FC7" s="575" t="n"/>
      <c r="FD7" s="283" t="n"/>
      <c r="FE7" s="575" t="n"/>
      <c r="FF7" s="575" t="inlineStr">
        <is>
          <t>MÃES/25</t>
        </is>
      </c>
      <c r="FG7" s="575" t="inlineStr">
        <is>
          <t>MÃES/25</t>
        </is>
      </c>
      <c r="FH7" s="575" t="n"/>
      <c r="FI7" s="575" t="n"/>
      <c r="FJ7" s="575" t="n"/>
      <c r="FK7" s="575" t="n"/>
      <c r="FL7" s="283" t="n"/>
      <c r="FM7" s="575" t="inlineStr">
        <is>
          <t>MÃES/25</t>
        </is>
      </c>
      <c r="FN7" s="575" t="n"/>
      <c r="FO7" s="575" t="n"/>
      <c r="FP7" s="575" t="n"/>
      <c r="FQ7" s="575" t="n"/>
      <c r="FR7" s="575" t="n"/>
      <c r="FS7" s="575" t="n"/>
      <c r="FT7" s="575" t="n"/>
      <c r="FU7" s="575" t="n"/>
      <c r="FV7" s="575" t="n"/>
      <c r="FW7" s="575" t="n"/>
      <c r="FX7" s="575" t="n"/>
      <c r="FY7" s="575" t="n"/>
      <c r="FZ7" s="575" t="n"/>
      <c r="GA7" s="575" t="n"/>
      <c r="GB7" s="575" t="n"/>
      <c r="GC7" s="575" t="n"/>
      <c r="GD7" s="575" t="n"/>
      <c r="GE7" s="575" t="n"/>
      <c r="GF7" s="658" t="n"/>
      <c r="GG7" s="658" t="n"/>
      <c r="GH7" s="658" t="n"/>
      <c r="GI7" s="658" t="n"/>
      <c r="GJ7" s="658" t="n"/>
      <c r="GK7" s="658" t="n"/>
      <c r="GL7" s="658" t="n"/>
      <c r="GM7" s="670" t="n"/>
      <c r="GN7" s="747" t="n"/>
      <c r="GO7" s="658" t="n"/>
      <c r="GP7" s="505" t="n"/>
      <c r="GQ7" s="505" t="n"/>
      <c r="GR7" s="505" t="n"/>
      <c r="GS7" s="505" t="n"/>
      <c r="GT7" s="505" t="n"/>
      <c r="GU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450</v>
      </c>
      <c r="E8" s="6" t="n"/>
      <c r="F8" s="38" t="n">
        <v>600</v>
      </c>
      <c r="G8" s="38">
        <f>900+FX8</f>
        <v/>
      </c>
      <c r="H8" s="38" t="n">
        <v>900</v>
      </c>
      <c r="I8" s="38">
        <f>900+FU8</f>
        <v/>
      </c>
      <c r="J8" s="38" t="n">
        <v>1200</v>
      </c>
      <c r="K8" s="38" t="n">
        <v>900</v>
      </c>
      <c r="L8" s="38" t="n">
        <v>900</v>
      </c>
      <c r="M8" s="38" t="n">
        <v>900</v>
      </c>
      <c r="N8" s="38" t="n">
        <v>900</v>
      </c>
      <c r="O8" s="38" t="n">
        <v>900</v>
      </c>
      <c r="P8" s="38" t="n">
        <v>672</v>
      </c>
      <c r="Q8" s="38">
        <f>600+FK8</f>
        <v/>
      </c>
      <c r="R8" s="38" t="n">
        <v>660</v>
      </c>
      <c r="S8" s="38" t="n">
        <v>600</v>
      </c>
      <c r="T8" s="38" t="n">
        <v>720</v>
      </c>
      <c r="U8" s="38" t="n">
        <v>720</v>
      </c>
      <c r="V8" s="38" t="n">
        <v>640</v>
      </c>
      <c r="W8" s="38" t="n">
        <v>1080</v>
      </c>
      <c r="X8" s="38" t="n">
        <v>1160</v>
      </c>
      <c r="Y8" s="38" t="n">
        <v>1140</v>
      </c>
      <c r="Z8" s="38" t="n">
        <v>1040</v>
      </c>
      <c r="AA8" s="38" t="n">
        <v>940</v>
      </c>
      <c r="AB8" s="38" t="n">
        <v>900</v>
      </c>
      <c r="AC8" s="38">
        <f>900-300</f>
        <v/>
      </c>
      <c r="AD8" s="38" t="n">
        <v>300</v>
      </c>
      <c r="AE8" s="38">
        <f>300+EO8</f>
        <v/>
      </c>
      <c r="AF8" s="38" t="n">
        <v>480</v>
      </c>
      <c r="AG8" s="38" t="n">
        <v>480</v>
      </c>
      <c r="AH8" s="38" t="n">
        <v>300</v>
      </c>
      <c r="AI8" s="38">
        <f>300+EI8</f>
        <v/>
      </c>
      <c r="AJ8" s="38" t="n">
        <v>480</v>
      </c>
      <c r="AK8" s="38" t="n">
        <v>380</v>
      </c>
      <c r="AL8" s="38" t="n">
        <v>350</v>
      </c>
      <c r="AM8" s="38" t="n">
        <v>600</v>
      </c>
      <c r="AN8" s="38" t="n">
        <v>420</v>
      </c>
      <c r="AO8" s="38" t="n">
        <v>400</v>
      </c>
      <c r="AP8" s="38" t="n">
        <v>300</v>
      </c>
      <c r="AQ8" s="38" t="n">
        <v>300</v>
      </c>
      <c r="AR8" s="38" t="n">
        <v>300</v>
      </c>
      <c r="AS8" s="38" t="n">
        <v>300</v>
      </c>
      <c r="AT8" s="38" t="n">
        <v>520</v>
      </c>
      <c r="AU8" s="38" t="n">
        <v>300</v>
      </c>
      <c r="AV8" s="38" t="n">
        <v>300</v>
      </c>
      <c r="AW8" s="38" t="n">
        <v>120</v>
      </c>
      <c r="AX8" s="38" t="n">
        <v>300</v>
      </c>
      <c r="AY8" s="38" t="n">
        <v>300</v>
      </c>
      <c r="AZ8" s="38">
        <f>140+DG8</f>
        <v/>
      </c>
      <c r="BA8" s="38">
        <f>300+DF8</f>
        <v/>
      </c>
      <c r="BB8" s="38" t="n">
        <v>300</v>
      </c>
      <c r="BC8" s="38">
        <f>300+DE8</f>
        <v/>
      </c>
      <c r="BD8" s="38" t="n">
        <v>900</v>
      </c>
      <c r="BE8" s="38" t="n">
        <v>900</v>
      </c>
      <c r="BF8" s="38" t="n">
        <v>920</v>
      </c>
      <c r="BG8" s="38" t="n">
        <v>740</v>
      </c>
      <c r="BH8" s="38" t="n">
        <v>660</v>
      </c>
      <c r="BI8" s="38">
        <f>600+CZ8</f>
        <v/>
      </c>
      <c r="BJ8" s="38" t="n">
        <v>900</v>
      </c>
      <c r="BK8" s="38" t="n">
        <v>900</v>
      </c>
      <c r="BL8" s="38" t="n">
        <v>640</v>
      </c>
      <c r="BM8" s="38" t="n">
        <v>600</v>
      </c>
      <c r="BN8" s="38" t="n">
        <v>600</v>
      </c>
      <c r="BO8" s="38" t="n">
        <v>300</v>
      </c>
      <c r="BP8" s="38" t="n">
        <v>300</v>
      </c>
      <c r="BQ8" s="38" t="n">
        <v>300</v>
      </c>
      <c r="BR8" s="38" t="n">
        <v>300</v>
      </c>
      <c r="BS8" s="38" t="n">
        <v>120</v>
      </c>
      <c r="BT8" s="38" t="n">
        <v>0</v>
      </c>
      <c r="BU8" s="38" t="n">
        <v>600</v>
      </c>
      <c r="BV8" s="38" t="n">
        <v>600</v>
      </c>
      <c r="BW8" s="38" t="n">
        <v>600</v>
      </c>
      <c r="BX8" s="261" t="n">
        <v>160</v>
      </c>
      <c r="BY8" s="38" t="n">
        <v>720</v>
      </c>
      <c r="BZ8" s="38" t="n"/>
      <c r="CA8" s="38" t="n"/>
      <c r="CB8" s="38" t="n"/>
      <c r="CC8" s="9" t="n"/>
      <c r="CD8" s="9" t="n"/>
      <c r="CE8" s="9" t="n"/>
      <c r="CF8" s="154">
        <f>CD8+IF(NOT(ISBLANK(OFFSET(CF8,0,6))),N(OFFSET(CF8,0,6)),N(OFFSET(CF8,0,7)))-CE8</f>
        <v/>
      </c>
      <c r="CG8" s="6" t="n"/>
      <c r="CH8" s="19" t="n"/>
      <c r="CI8" s="19" t="n"/>
      <c r="CK8" s="23" t="n"/>
      <c r="CL8" s="691" t="n">
        <v>0</v>
      </c>
      <c r="CM8" s="18" t="n">
        <v>0</v>
      </c>
      <c r="CN8" s="18" t="n">
        <v>600</v>
      </c>
      <c r="CO8" s="18" t="n">
        <v>0</v>
      </c>
      <c r="CP8" s="18" t="n">
        <v>600</v>
      </c>
      <c r="CQ8" s="18" t="n"/>
      <c r="CR8" s="18" t="n"/>
      <c r="CS8" s="356" t="n"/>
      <c r="CT8" s="18" t="n"/>
      <c r="CU8" s="18" t="n"/>
      <c r="CV8" s="18" t="n"/>
      <c r="CW8" s="18" t="n"/>
      <c r="CX8" s="18" t="n"/>
      <c r="CY8" s="18" t="n"/>
      <c r="CZ8" s="18" t="n"/>
      <c r="DA8" s="18" t="n"/>
      <c r="DB8" s="18" t="n"/>
      <c r="DC8" s="18" t="n">
        <v>300</v>
      </c>
      <c r="DD8" s="18" t="n"/>
      <c r="DE8" s="18" t="n"/>
      <c r="DF8" s="18" t="n"/>
      <c r="DG8" s="18" t="n"/>
      <c r="DH8" s="18" t="n">
        <v>600</v>
      </c>
      <c r="DI8" s="18" t="n">
        <v>600</v>
      </c>
      <c r="DJ8" s="18" t="n">
        <v>300</v>
      </c>
      <c r="DK8" s="18" t="n">
        <v>300</v>
      </c>
      <c r="DL8" s="18" t="n"/>
      <c r="DM8" s="256" t="n"/>
      <c r="DN8" s="18" t="n"/>
      <c r="DO8" s="18" t="n"/>
      <c r="DP8" s="18" t="n"/>
      <c r="DQ8" s="256" t="n"/>
      <c r="DR8" s="18" t="n">
        <v>300</v>
      </c>
      <c r="DS8" s="18" t="n"/>
      <c r="DT8" s="18" t="n"/>
      <c r="DU8" s="256" t="n"/>
      <c r="DV8" s="18" t="n">
        <v>300</v>
      </c>
      <c r="DW8" s="18" t="n"/>
      <c r="DX8" s="18" t="n"/>
      <c r="DY8" s="18" t="n"/>
      <c r="DZ8" s="18" t="n"/>
      <c r="EA8" s="18" t="n"/>
      <c r="EB8" s="18" t="n"/>
      <c r="EC8" s="18" t="n"/>
      <c r="ED8" s="18" t="n"/>
      <c r="EE8" s="18" t="n"/>
      <c r="EF8" s="18" t="n"/>
      <c r="EG8" s="18" t="n">
        <v>300</v>
      </c>
      <c r="EH8" s="18" t="n"/>
      <c r="EI8" s="256" t="n"/>
      <c r="EJ8" s="256" t="n"/>
      <c r="EK8" s="18" t="n"/>
      <c r="EL8" s="18" t="n">
        <v>300</v>
      </c>
      <c r="EM8" s="18" t="n"/>
      <c r="EN8" s="18" t="n"/>
      <c r="EO8" s="18" t="n"/>
      <c r="EP8" s="256" t="n"/>
      <c r="EQ8" s="256" t="n"/>
      <c r="ER8" s="18" t="n">
        <v>300</v>
      </c>
      <c r="ES8" s="18" t="n"/>
      <c r="ET8" s="18" t="n"/>
      <c r="EU8" s="18" t="n"/>
      <c r="EV8" s="241" t="inlineStr">
        <is>
          <t>300 P/ CD</t>
        </is>
      </c>
      <c r="EW8" s="18" t="n"/>
      <c r="EX8" s="18" t="n"/>
      <c r="EY8" s="18" t="n"/>
      <c r="EZ8" s="256" t="n"/>
      <c r="FA8" s="256" t="n"/>
      <c r="FB8" s="256" t="n"/>
      <c r="FC8" s="18" t="n"/>
      <c r="FD8" s="256" t="n"/>
      <c r="FE8" s="18" t="n"/>
      <c r="FF8" s="256" t="n"/>
      <c r="FG8" s="256" t="n"/>
      <c r="FH8" s="18" t="n">
        <v>300</v>
      </c>
      <c r="FI8" s="18" t="n">
        <v>600</v>
      </c>
      <c r="FJ8" s="18" t="n"/>
      <c r="FK8" s="18" t="n">
        <v>300</v>
      </c>
      <c r="FL8" s="18" t="n"/>
      <c r="FM8" s="256" t="n"/>
      <c r="FN8" s="18" t="n">
        <v>300</v>
      </c>
      <c r="FO8" s="18" t="n"/>
      <c r="FP8" s="18" t="n"/>
      <c r="FQ8" s="18" t="n"/>
      <c r="FR8" s="18" t="n"/>
      <c r="FS8" s="18" t="n"/>
      <c r="FT8" s="18" t="n"/>
      <c r="FU8" s="18" t="n"/>
      <c r="FV8" s="18" t="n"/>
      <c r="FW8" s="18" t="n"/>
      <c r="FX8" s="18" t="n">
        <v>300</v>
      </c>
      <c r="FY8" s="18" t="n"/>
      <c r="FZ8" s="18" t="n"/>
      <c r="GA8" s="18" t="n">
        <v>300</v>
      </c>
      <c r="GB8" s="256" t="n"/>
      <c r="GC8" s="18" t="n"/>
      <c r="GD8" s="18" t="n">
        <v>300</v>
      </c>
      <c r="GE8" s="18" t="n"/>
      <c r="GG8" s="267" t="inlineStr">
        <is>
          <t xml:space="preserve">SACOLAS </t>
        </is>
      </c>
      <c r="GH8" s="205" t="inlineStr">
        <is>
          <t>PCT</t>
        </is>
      </c>
      <c r="GI8" s="650" t="n">
        <v>46118</v>
      </c>
      <c r="GJ8" s="650" t="n">
        <v>46125</v>
      </c>
      <c r="GK8" s="650" t="n">
        <v>46132</v>
      </c>
      <c r="GL8" s="650" t="n">
        <v>46139</v>
      </c>
      <c r="GM8" s="650" t="n">
        <v>46146</v>
      </c>
      <c r="GN8" s="650" t="n">
        <v>46154</v>
      </c>
      <c r="GO8" s="650" t="n">
        <v>46160</v>
      </c>
      <c r="GP8" s="650" t="n">
        <v>46160</v>
      </c>
      <c r="GQ8" s="650" t="n">
        <v>46160</v>
      </c>
      <c r="GR8" s="651" t="n">
        <v>46161.48002700231</v>
      </c>
      <c r="GS8" s="651" t="n">
        <v>46161.48070678241</v>
      </c>
      <c r="GT8" s="651" t="n">
        <v>46161.48286515225</v>
      </c>
      <c r="GU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800</v>
      </c>
      <c r="E9" s="6" t="n"/>
      <c r="F9" s="38" t="n">
        <v>400</v>
      </c>
      <c r="G9" s="38">
        <f>1100+FX9</f>
        <v/>
      </c>
      <c r="H9" s="38">
        <f>1200+FV9</f>
        <v/>
      </c>
      <c r="I9" s="38">
        <f>1400+FU9</f>
        <v/>
      </c>
      <c r="J9" s="38" t="n">
        <v>1660</v>
      </c>
      <c r="K9" s="38">
        <f>1440+FS9</f>
        <v/>
      </c>
      <c r="L9" s="38" t="n">
        <v>1440</v>
      </c>
      <c r="M9" s="38" t="n">
        <v>1200</v>
      </c>
      <c r="N9" s="38" t="n">
        <v>1600</v>
      </c>
      <c r="O9" s="38">
        <f>1400+FN9</f>
        <v/>
      </c>
      <c r="P9" s="38" t="n">
        <v>1470</v>
      </c>
      <c r="Q9" s="38" t="n">
        <v>1270</v>
      </c>
      <c r="R9" s="38" t="n">
        <v>800</v>
      </c>
      <c r="S9" s="38" t="n">
        <v>680</v>
      </c>
      <c r="T9" s="38" t="n">
        <v>1260</v>
      </c>
      <c r="U9" s="38" t="n">
        <v>1260</v>
      </c>
      <c r="V9" s="38" t="n">
        <v>1060</v>
      </c>
      <c r="W9" s="38" t="n">
        <v>1100</v>
      </c>
      <c r="X9" s="38" t="n">
        <v>1080</v>
      </c>
      <c r="Y9" s="38" t="n">
        <v>1080</v>
      </c>
      <c r="Z9" s="38">
        <f>1040-200</f>
        <v/>
      </c>
      <c r="AA9" s="38" t="n">
        <v>620</v>
      </c>
      <c r="AB9" s="38">
        <f>400+EU9</f>
        <v/>
      </c>
      <c r="AC9" s="38" t="n">
        <v>400</v>
      </c>
      <c r="AD9" s="38" t="n">
        <v>600</v>
      </c>
      <c r="AE9" s="38">
        <f>400+EO9</f>
        <v/>
      </c>
      <c r="AF9" s="38">
        <f>540+EL9</f>
        <v/>
      </c>
      <c r="AG9" s="38">
        <f>480+EK9</f>
        <v/>
      </c>
      <c r="AH9" s="38" t="n">
        <v>440</v>
      </c>
      <c r="AI9" s="38">
        <f>620+EI9</f>
        <v/>
      </c>
      <c r="AJ9" s="38" t="n">
        <v>600</v>
      </c>
      <c r="AK9" s="38" t="n">
        <v>400</v>
      </c>
      <c r="AL9" s="38" t="n">
        <v>460</v>
      </c>
      <c r="AM9" s="38" t="n">
        <v>200</v>
      </c>
      <c r="AN9" s="38" t="n">
        <v>780</v>
      </c>
      <c r="AO9" s="38" t="n">
        <v>760</v>
      </c>
      <c r="AP9" s="38" t="n">
        <v>800</v>
      </c>
      <c r="AQ9" s="38">
        <f>620+DU9</f>
        <v/>
      </c>
      <c r="AR9" s="38" t="n">
        <v>600</v>
      </c>
      <c r="AS9" s="38">
        <f>600+DP9</f>
        <v/>
      </c>
      <c r="AT9" s="38" t="n">
        <v>600</v>
      </c>
      <c r="AU9" s="38">
        <f>420+DM9</f>
        <v/>
      </c>
      <c r="AV9" s="38" t="n">
        <v>1000</v>
      </c>
      <c r="AW9" s="38" t="n">
        <v>740</v>
      </c>
      <c r="AX9" s="38" t="n">
        <v>740</v>
      </c>
      <c r="AY9" s="38" t="n">
        <v>600</v>
      </c>
      <c r="AZ9" s="38" t="n">
        <v>600</v>
      </c>
      <c r="BA9" s="38" t="n">
        <v>600</v>
      </c>
      <c r="BB9" s="38" t="n">
        <v>600</v>
      </c>
      <c r="BC9" s="38" t="n">
        <v>520</v>
      </c>
      <c r="BD9" s="38">
        <f>120+DD9</f>
        <v/>
      </c>
      <c r="BE9" s="38" t="n">
        <v>920</v>
      </c>
      <c r="BF9" s="38" t="n">
        <v>480</v>
      </c>
      <c r="BG9" s="38" t="n">
        <v>0</v>
      </c>
      <c r="BH9" s="38" t="n">
        <v>400</v>
      </c>
      <c r="BI9" s="38">
        <f>800+CZ9</f>
        <v/>
      </c>
      <c r="BJ9" s="38" t="n">
        <v>1000</v>
      </c>
      <c r="BK9" s="38" t="n">
        <v>1260</v>
      </c>
      <c r="BL9" s="38" t="n">
        <v>1260</v>
      </c>
      <c r="BM9" s="38" t="n">
        <v>1000</v>
      </c>
      <c r="BN9" s="38">
        <f>1400+200</f>
        <v/>
      </c>
      <c r="BO9" s="38" t="n">
        <v>1400</v>
      </c>
      <c r="BP9" s="38" t="n">
        <v>1200</v>
      </c>
      <c r="BQ9" s="38">
        <f>800+CQ9</f>
        <v/>
      </c>
      <c r="BR9" s="38" t="n">
        <v>600</v>
      </c>
      <c r="BS9" s="38">
        <f>60+CN9</f>
        <v/>
      </c>
      <c r="BT9" s="38" t="n">
        <v>620</v>
      </c>
      <c r="BU9" s="38" t="n">
        <v>1080</v>
      </c>
      <c r="BV9" s="38" t="n">
        <v>1000</v>
      </c>
      <c r="BW9" s="38" t="n">
        <v>1280</v>
      </c>
      <c r="BX9" s="38" t="n">
        <v>1280</v>
      </c>
      <c r="BY9" s="38" t="n">
        <v>1060</v>
      </c>
      <c r="BZ9" s="38" t="n"/>
      <c r="CA9" s="38" t="n"/>
      <c r="CB9" s="38" t="n"/>
      <c r="CC9" s="9" t="n"/>
      <c r="CD9" s="9" t="n"/>
      <c r="CE9" s="9" t="n"/>
      <c r="CF9" s="154">
        <f>CD9+IF(NOT(ISBLANK(OFFSET(CF9,0,6))),N(OFFSET(CF9,0,6)),N(OFFSET(CF9,0,7)))-CE9</f>
        <v/>
      </c>
      <c r="CG9" s="6" t="n"/>
      <c r="CH9" s="19" t="n"/>
      <c r="CI9" s="19" t="n"/>
      <c r="CK9" s="23" t="n"/>
      <c r="CL9" s="691" t="n">
        <v>0</v>
      </c>
      <c r="CM9" s="18" t="n">
        <v>0</v>
      </c>
      <c r="CN9" s="18" t="n">
        <v>0</v>
      </c>
      <c r="CO9" s="18" t="n">
        <v>0</v>
      </c>
      <c r="CP9" s="18" t="n">
        <v>800</v>
      </c>
      <c r="CQ9" s="18" t="n">
        <v>400</v>
      </c>
      <c r="CR9" s="18" t="n"/>
      <c r="CS9" s="256" t="n">
        <v>1600</v>
      </c>
      <c r="CT9" s="18" t="n">
        <v>200</v>
      </c>
      <c r="CU9" s="154" t="inlineStr">
        <is>
          <t>200 DE MG</t>
        </is>
      </c>
      <c r="CV9" s="18" t="n"/>
      <c r="CW9" s="18" t="n">
        <v>600</v>
      </c>
      <c r="CX9" s="18" t="n"/>
      <c r="CY9" s="18" t="n">
        <v>400</v>
      </c>
      <c r="CZ9" s="18" t="n">
        <v>400</v>
      </c>
      <c r="DA9" s="18" t="n"/>
      <c r="DB9" s="18" t="n"/>
      <c r="DC9" s="18" t="n">
        <v>400</v>
      </c>
      <c r="DD9" s="18" t="n">
        <v>800</v>
      </c>
      <c r="DE9" s="18" t="n">
        <v>600</v>
      </c>
      <c r="DF9" s="18" t="n">
        <v>1000</v>
      </c>
      <c r="DG9" s="18" t="n">
        <v>200</v>
      </c>
      <c r="DH9" s="18" t="n"/>
      <c r="DI9" s="18" t="n"/>
      <c r="DJ9" s="18" t="n"/>
      <c r="DK9" s="18" t="n">
        <v>200</v>
      </c>
      <c r="DL9" s="18" t="n"/>
      <c r="DM9" s="256" t="n"/>
      <c r="DN9" s="18" t="n"/>
      <c r="DO9" s="18" t="n"/>
      <c r="DP9" s="18" t="n">
        <v>800</v>
      </c>
      <c r="DQ9" s="256" t="n">
        <v>2000</v>
      </c>
      <c r="DR9" s="18" t="n">
        <v>200</v>
      </c>
      <c r="DS9" s="18" t="n">
        <v>200</v>
      </c>
      <c r="DT9" s="18" t="n">
        <v>200</v>
      </c>
      <c r="DU9" s="256" t="n"/>
      <c r="DV9" s="18" t="n"/>
      <c r="DW9" s="18" t="n"/>
      <c r="DX9" s="18" t="n">
        <v>200</v>
      </c>
      <c r="DY9" s="18" t="n"/>
      <c r="DZ9" s="18" t="n"/>
      <c r="EA9" s="18" t="n"/>
      <c r="EB9" s="18" t="n">
        <v>400</v>
      </c>
      <c r="EC9" s="18" t="n"/>
      <c r="ED9" s="18" t="n">
        <v>400</v>
      </c>
      <c r="EE9" s="18" t="n">
        <v>600</v>
      </c>
      <c r="EF9" s="18" t="n"/>
      <c r="EG9" s="18" t="n"/>
      <c r="EH9" s="18" t="n">
        <v>400</v>
      </c>
      <c r="EI9" s="256" t="n"/>
      <c r="EJ9" s="256" t="n"/>
      <c r="EK9" s="18" t="n"/>
      <c r="EL9" s="18" t="n">
        <v>200</v>
      </c>
      <c r="EM9" s="18" t="n">
        <v>400</v>
      </c>
      <c r="EN9" s="18" t="n">
        <v>200</v>
      </c>
      <c r="EO9" s="18" t="n">
        <v>200</v>
      </c>
      <c r="EP9" s="256" t="n"/>
      <c r="EQ9" s="256" t="n"/>
      <c r="ER9" s="18" t="n">
        <v>400</v>
      </c>
      <c r="ES9" s="18" t="n"/>
      <c r="ET9" s="18" t="n"/>
      <c r="EU9" s="18" t="n">
        <v>400</v>
      </c>
      <c r="EV9" s="18" t="n"/>
      <c r="EW9" s="18" t="n"/>
      <c r="EX9" s="18" t="n">
        <v>200</v>
      </c>
      <c r="EY9" s="18" t="n"/>
      <c r="EZ9" s="241" t="inlineStr">
        <is>
          <t>200 P/ TP</t>
        </is>
      </c>
      <c r="FA9" s="256" t="n"/>
      <c r="FB9" s="256" t="n"/>
      <c r="FC9" s="18" t="n"/>
      <c r="FD9" s="256" t="n"/>
      <c r="FE9" s="18" t="n"/>
      <c r="FF9" s="256" t="n"/>
      <c r="FG9" s="256" t="n"/>
      <c r="FH9" s="18" t="n"/>
      <c r="FI9" s="18" t="n"/>
      <c r="FJ9" s="18" t="n"/>
      <c r="FK9" s="18" t="n">
        <v>600</v>
      </c>
      <c r="FL9" s="18" t="n"/>
      <c r="FM9" s="256" t="n">
        <v>1800</v>
      </c>
      <c r="FN9" s="18" t="n"/>
      <c r="FO9" s="18" t="n"/>
      <c r="FP9" s="18" t="n"/>
      <c r="FQ9" s="18" t="n">
        <v>400</v>
      </c>
      <c r="FR9" s="18" t="n"/>
      <c r="FS9" s="18" t="n">
        <v>600</v>
      </c>
      <c r="FT9" s="18" t="n"/>
      <c r="FU9" s="18" t="n"/>
      <c r="FV9" s="18" t="n">
        <v>400</v>
      </c>
      <c r="FW9" s="18" t="n"/>
      <c r="FX9" s="18" t="n">
        <v>600</v>
      </c>
      <c r="FY9" s="18" t="n">
        <v>400</v>
      </c>
      <c r="FZ9" s="18" t="n"/>
      <c r="GA9" s="18" t="n">
        <v>400</v>
      </c>
      <c r="GB9" s="256" t="n"/>
      <c r="GC9" s="18" t="n"/>
      <c r="GD9" s="18" t="n">
        <v>1000</v>
      </c>
      <c r="GE9" s="18" t="n">
        <v>400</v>
      </c>
      <c r="GG9" s="159" t="inlineStr">
        <is>
          <t xml:space="preserve">SACOLA P </t>
        </is>
      </c>
      <c r="GH9" s="129" t="n">
        <v>200</v>
      </c>
      <c r="GI9" s="38">
        <f>CP9</f>
        <v/>
      </c>
      <c r="GJ9" s="38" t="n">
        <v>1600</v>
      </c>
      <c r="GK9" s="38" t="n">
        <v>1200</v>
      </c>
      <c r="GL9" s="38" t="n">
        <v>1040</v>
      </c>
      <c r="GM9" s="38" t="n">
        <v>800</v>
      </c>
      <c r="GN9" s="38" t="n">
        <v>200</v>
      </c>
      <c r="GO9" s="38" t="n"/>
      <c r="GP9" s="38" t="n"/>
      <c r="GQ9" s="38" t="n"/>
      <c r="GR9" s="9" t="n"/>
      <c r="GS9" s="9" t="n"/>
      <c r="GT9" s="9" t="n"/>
      <c r="GU9" s="246">
        <f>GS9+IF(NOT(ISBLANK(OFFSET(GU9,0,6))),N(OFFSET(GU9,0,6)),N(OFFSET(GU9,0,7)))-GT9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600</v>
      </c>
      <c r="E10" s="6" t="n"/>
      <c r="F10" s="38" t="n">
        <v>860</v>
      </c>
      <c r="G10" s="38">
        <f>720+FX10</f>
        <v/>
      </c>
      <c r="H10" s="38">
        <f>1640+FV10</f>
        <v/>
      </c>
      <c r="I10" s="38" t="n">
        <v>1540</v>
      </c>
      <c r="J10" s="38" t="n">
        <v>1520</v>
      </c>
      <c r="K10" s="38" t="n">
        <v>1400</v>
      </c>
      <c r="L10" s="38" t="n">
        <v>1260</v>
      </c>
      <c r="M10" s="38" t="n">
        <v>1000</v>
      </c>
      <c r="N10" s="38" t="n">
        <v>1000</v>
      </c>
      <c r="O10" s="38" t="n">
        <v>1200</v>
      </c>
      <c r="P10" s="38">
        <f>1020+FL10</f>
        <v/>
      </c>
      <c r="Q10" s="38" t="n">
        <v>1220</v>
      </c>
      <c r="R10" s="38" t="n">
        <v>1060</v>
      </c>
      <c r="S10" s="38" t="n">
        <v>860</v>
      </c>
      <c r="T10" s="38" t="n">
        <v>720</v>
      </c>
      <c r="U10" s="38" t="n">
        <v>720</v>
      </c>
      <c r="V10" s="38" t="n">
        <v>680</v>
      </c>
      <c r="W10" s="38" t="n">
        <v>680</v>
      </c>
      <c r="X10" s="38" t="n">
        <v>680</v>
      </c>
      <c r="Y10" s="38" t="n">
        <v>660</v>
      </c>
      <c r="Z10" s="38" t="n">
        <v>520</v>
      </c>
      <c r="AA10" s="38" t="n">
        <v>400</v>
      </c>
      <c r="AB10" s="38">
        <f>240+ET10</f>
        <v/>
      </c>
      <c r="AC10" s="38" t="n">
        <v>400</v>
      </c>
      <c r="AD10" s="38" t="n">
        <v>380</v>
      </c>
      <c r="AE10" s="38">
        <f>200+EO10</f>
        <v/>
      </c>
      <c r="AF10" s="38" t="n">
        <v>460</v>
      </c>
      <c r="AG10" s="38">
        <f>460+EK10</f>
        <v/>
      </c>
      <c r="AH10" s="38" t="n">
        <v>240</v>
      </c>
      <c r="AI10" s="38" t="n">
        <v>120</v>
      </c>
      <c r="AJ10" s="38" t="n">
        <v>80</v>
      </c>
      <c r="AK10" s="38" t="n">
        <v>40</v>
      </c>
      <c r="AL10" s="38" t="n">
        <v>60</v>
      </c>
      <c r="AM10" s="38" t="n">
        <v>0</v>
      </c>
      <c r="AN10" s="38" t="n">
        <v>400</v>
      </c>
      <c r="AO10" s="38" t="n">
        <v>300</v>
      </c>
      <c r="AP10" s="38" t="n">
        <v>360</v>
      </c>
      <c r="AQ10" s="38">
        <f>160+DU10</f>
        <v/>
      </c>
      <c r="AR10" s="38" t="n">
        <v>300</v>
      </c>
      <c r="AS10" s="38" t="n">
        <v>400</v>
      </c>
      <c r="AT10" s="38" t="n">
        <v>700</v>
      </c>
      <c r="AU10" s="38" t="n">
        <v>360</v>
      </c>
      <c r="AV10" s="38" t="n">
        <v>280</v>
      </c>
      <c r="AW10" s="38" t="n">
        <v>520</v>
      </c>
      <c r="AX10" s="38" t="n">
        <v>300</v>
      </c>
      <c r="AY10" s="38" t="n">
        <v>200</v>
      </c>
      <c r="AZ10" s="38" t="n">
        <v>280</v>
      </c>
      <c r="BA10" s="38" t="n">
        <v>280</v>
      </c>
      <c r="BB10" s="38" t="n">
        <v>280</v>
      </c>
      <c r="BC10" s="38" t="n">
        <v>280</v>
      </c>
      <c r="BD10" s="38">
        <f>80+DD10</f>
        <v/>
      </c>
      <c r="BE10" s="38" t="n">
        <v>680</v>
      </c>
      <c r="BF10" s="38" t="n">
        <v>520</v>
      </c>
      <c r="BG10" s="38" t="n">
        <v>0</v>
      </c>
      <c r="BH10" s="38" t="n">
        <v>200</v>
      </c>
      <c r="BI10" s="38">
        <f>600+CZ10</f>
        <v/>
      </c>
      <c r="BJ10" s="38" t="n">
        <v>660</v>
      </c>
      <c r="BK10" s="38" t="n">
        <v>720</v>
      </c>
      <c r="BL10" s="38" t="n">
        <v>880</v>
      </c>
      <c r="BM10" s="38" t="n">
        <v>800</v>
      </c>
      <c r="BN10" s="38" t="n">
        <v>520</v>
      </c>
      <c r="BO10" s="38">
        <f>440+CS10</f>
        <v/>
      </c>
      <c r="BP10" s="38" t="n">
        <v>600</v>
      </c>
      <c r="BQ10" s="38">
        <f>320+CQ10</f>
        <v/>
      </c>
      <c r="BR10" s="38" t="n">
        <v>400</v>
      </c>
      <c r="BS10" s="38">
        <f>220+CN10</f>
        <v/>
      </c>
      <c r="BT10" s="38" t="n">
        <v>320</v>
      </c>
      <c r="BU10" s="38" t="n">
        <v>220</v>
      </c>
      <c r="BV10" s="38" t="n">
        <v>200</v>
      </c>
      <c r="BW10" s="38" t="n">
        <v>420</v>
      </c>
      <c r="BX10" s="38" t="n">
        <v>400</v>
      </c>
      <c r="BY10" s="38" t="n">
        <v>440</v>
      </c>
      <c r="BZ10" s="38" t="n"/>
      <c r="CA10" s="38" t="n"/>
      <c r="CB10" s="38" t="n"/>
      <c r="CC10" s="9" t="n"/>
      <c r="CD10" s="9" t="n"/>
      <c r="CE10" s="9" t="n"/>
      <c r="CF10" s="154">
        <f>CD10+IF(NOT(ISBLANK(OFFSET(CF10,0,6))),N(OFFSET(CF10,0,6)),N(OFFSET(CF10,0,7)))-CE10</f>
        <v/>
      </c>
      <c r="CG10" s="6" t="n"/>
      <c r="CH10" s="19" t="n"/>
      <c r="CI10" s="19" t="n">
        <v>200</v>
      </c>
      <c r="CJ10" s="4" t="n"/>
      <c r="CK10" s="23" t="n"/>
      <c r="CL10" s="691" t="n">
        <v>0</v>
      </c>
      <c r="CM10" s="18" t="n">
        <v>0</v>
      </c>
      <c r="CN10" s="18" t="n">
        <v>200</v>
      </c>
      <c r="CO10" s="18" t="n">
        <v>0</v>
      </c>
      <c r="CP10" s="18" t="n">
        <v>200</v>
      </c>
      <c r="CQ10" s="18" t="n">
        <v>200</v>
      </c>
      <c r="CR10" s="18" t="n"/>
      <c r="CS10" s="256" t="n">
        <v>1000</v>
      </c>
      <c r="CT10" s="18" t="n">
        <v>200</v>
      </c>
      <c r="CU10" s="18" t="n"/>
      <c r="CV10" s="18" t="n">
        <v>400</v>
      </c>
      <c r="CW10" s="18" t="n"/>
      <c r="CX10" s="18" t="n"/>
      <c r="CY10" s="18" t="n">
        <v>400</v>
      </c>
      <c r="CZ10" s="18" t="n">
        <v>200</v>
      </c>
      <c r="DA10" s="18" t="n"/>
      <c r="DB10" s="18" t="n"/>
      <c r="DC10" s="18" t="n">
        <v>200</v>
      </c>
      <c r="DD10" s="18" t="n">
        <v>600</v>
      </c>
      <c r="DE10" s="18" t="n">
        <v>400</v>
      </c>
      <c r="DF10" s="18" t="n">
        <v>600</v>
      </c>
      <c r="DG10" s="18" t="n">
        <v>200</v>
      </c>
      <c r="DH10" s="18" t="n"/>
      <c r="DI10" s="18" t="n"/>
      <c r="DJ10" s="18" t="n"/>
      <c r="DK10" s="18" t="n"/>
      <c r="DL10" s="18" t="n">
        <v>400</v>
      </c>
      <c r="DM10" s="256" t="n"/>
      <c r="DN10" s="18" t="n"/>
      <c r="DO10" s="18" t="n"/>
      <c r="DP10" s="18" t="n"/>
      <c r="DQ10" s="256" t="n">
        <v>1600</v>
      </c>
      <c r="DR10" s="18" t="n">
        <v>400</v>
      </c>
      <c r="DS10" s="18" t="n"/>
      <c r="DT10" s="18" t="n">
        <v>400</v>
      </c>
      <c r="DU10" s="256" t="n"/>
      <c r="DV10" s="18" t="n"/>
      <c r="DW10" s="18" t="n"/>
      <c r="DX10" s="18" t="n">
        <v>200</v>
      </c>
      <c r="DY10" s="18" t="n"/>
      <c r="DZ10" s="18" t="n">
        <v>200</v>
      </c>
      <c r="EA10" s="18" t="n"/>
      <c r="EB10" s="18" t="n">
        <v>200</v>
      </c>
      <c r="EC10" s="18" t="n"/>
      <c r="ED10" s="18" t="n"/>
      <c r="EE10" s="18" t="n">
        <v>600</v>
      </c>
      <c r="EF10" s="18" t="n"/>
      <c r="EG10" s="18" t="n"/>
      <c r="EH10" s="18" t="n">
        <v>200</v>
      </c>
      <c r="EI10" s="256" t="n"/>
      <c r="EJ10" s="256" t="n"/>
      <c r="EK10" s="18" t="n"/>
      <c r="EL10" s="18" t="n"/>
      <c r="EM10" s="18" t="n"/>
      <c r="EN10" s="18" t="n">
        <v>200</v>
      </c>
      <c r="EO10" s="18" t="n"/>
      <c r="EP10" s="256" t="n"/>
      <c r="EQ10" s="256" t="n">
        <v>800</v>
      </c>
      <c r="ER10" s="18" t="n">
        <v>400</v>
      </c>
      <c r="ES10" s="18" t="n"/>
      <c r="ET10" s="18" t="n"/>
      <c r="EU10" s="18" t="n"/>
      <c r="EV10" s="18" t="n"/>
      <c r="EW10" s="18" t="n">
        <v>200</v>
      </c>
      <c r="EX10" s="18" t="n"/>
      <c r="EY10" s="18" t="n"/>
      <c r="EZ10" s="256" t="n"/>
      <c r="FA10" s="256" t="n"/>
      <c r="FB10" s="256" t="n"/>
      <c r="FC10" s="18" t="n"/>
      <c r="FD10" s="256" t="n">
        <v>800</v>
      </c>
      <c r="FE10" s="18" t="n"/>
      <c r="FF10" s="256" t="n"/>
      <c r="FG10" s="256" t="n"/>
      <c r="FH10" s="18" t="n"/>
      <c r="FI10" s="18" t="n"/>
      <c r="FJ10" s="18" t="n"/>
      <c r="FK10" s="18" t="n"/>
      <c r="FL10" s="18" t="n"/>
      <c r="FM10" s="256" t="n">
        <v>1000</v>
      </c>
      <c r="FN10" s="18" t="n"/>
      <c r="FO10" s="18" t="n">
        <v>400</v>
      </c>
      <c r="FP10" s="18" t="n"/>
      <c r="FQ10" s="18" t="n"/>
      <c r="FR10" s="18" t="n">
        <v>400</v>
      </c>
      <c r="FS10" s="18" t="n"/>
      <c r="FT10" s="18" t="n"/>
      <c r="FU10" s="18" t="n"/>
      <c r="FV10" s="18" t="n"/>
      <c r="FW10" s="18" t="n"/>
      <c r="FX10" s="18" t="n"/>
      <c r="FY10" s="18" t="n">
        <v>200</v>
      </c>
      <c r="FZ10" s="18" t="n"/>
      <c r="GA10" s="18" t="n">
        <v>1000</v>
      </c>
      <c r="GB10" s="256" t="n"/>
      <c r="GC10" s="18" t="n"/>
      <c r="GD10" s="18" t="n"/>
      <c r="GE10" s="18" t="n">
        <v>800</v>
      </c>
      <c r="GG10" s="29" t="inlineStr">
        <is>
          <t xml:space="preserve">SACOLA M </t>
        </is>
      </c>
      <c r="GH10" s="9" t="n">
        <v>200</v>
      </c>
      <c r="GI10" s="38">
        <f>CP10</f>
        <v/>
      </c>
      <c r="GJ10" s="38" t="n">
        <v>1000</v>
      </c>
      <c r="GK10" s="38" t="n">
        <v>600</v>
      </c>
      <c r="GL10" s="38" t="n">
        <v>600</v>
      </c>
      <c r="GM10" s="38" t="n">
        <v>320</v>
      </c>
      <c r="GN10" s="38" t="n">
        <v>0</v>
      </c>
      <c r="GO10" s="38" t="n"/>
      <c r="GP10" s="38" t="n"/>
      <c r="GQ10" s="38" t="n"/>
      <c r="GR10" s="9" t="n"/>
      <c r="GS10" s="9" t="n"/>
      <c r="GT10" s="9" t="n"/>
      <c r="GU10" s="246">
        <f>GS10+IF(NOT(ISBLANK(OFFSET(GU10,0,6))),N(OFFSET(GU10,0,6)),N(OFFSET(GU10,0,7)))-GT10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60</v>
      </c>
      <c r="E11" s="6" t="n"/>
      <c r="F11" s="38" t="n">
        <v>40</v>
      </c>
      <c r="G11" s="38">
        <f>40+FX11</f>
        <v/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100</v>
      </c>
      <c r="M11" s="38" t="n">
        <v>100</v>
      </c>
      <c r="N11" s="38" t="n">
        <v>100</v>
      </c>
      <c r="O11" s="38" t="n">
        <v>100</v>
      </c>
      <c r="P11" s="38" t="n">
        <v>100</v>
      </c>
      <c r="Q11" s="38">
        <f>100+FK11</f>
        <v/>
      </c>
      <c r="R11" s="38" t="n">
        <v>100</v>
      </c>
      <c r="S11" s="38" t="n">
        <v>200</v>
      </c>
      <c r="T11" s="38">
        <f>200+FG11</f>
        <v/>
      </c>
      <c r="U11" s="38" t="n">
        <v>300</v>
      </c>
      <c r="V11" s="38" t="n">
        <v>300</v>
      </c>
      <c r="W11" s="38" t="n">
        <v>300</v>
      </c>
      <c r="X11" s="38" t="n">
        <v>260</v>
      </c>
      <c r="Y11" s="38" t="n">
        <v>260</v>
      </c>
      <c r="Z11" s="38" t="n">
        <v>260</v>
      </c>
      <c r="AA11" s="38" t="n">
        <v>260</v>
      </c>
      <c r="AB11" s="38" t="n">
        <v>260</v>
      </c>
      <c r="AC11" s="38" t="n">
        <v>260</v>
      </c>
      <c r="AD11" s="38" t="n">
        <v>260</v>
      </c>
      <c r="AE11" s="38" t="n">
        <v>260</v>
      </c>
      <c r="AF11" s="38" t="n">
        <v>220</v>
      </c>
      <c r="AG11" s="38" t="n">
        <v>200</v>
      </c>
      <c r="AH11" s="38" t="n">
        <v>200</v>
      </c>
      <c r="AI11" s="38" t="n">
        <v>100</v>
      </c>
      <c r="AJ11" s="38" t="n">
        <v>100</v>
      </c>
      <c r="AK11" s="38" t="n">
        <v>100</v>
      </c>
      <c r="AL11" s="38" t="n">
        <v>20</v>
      </c>
      <c r="AM11" s="38" t="n">
        <v>0</v>
      </c>
      <c r="AN11" s="38" t="n">
        <v>100</v>
      </c>
      <c r="AO11" s="38" t="n">
        <v>100</v>
      </c>
      <c r="AP11" s="38" t="n">
        <v>100</v>
      </c>
      <c r="AQ11" s="38" t="n">
        <v>22</v>
      </c>
      <c r="AR11" s="38" t="n">
        <v>40</v>
      </c>
      <c r="AS11" s="38" t="n">
        <v>140</v>
      </c>
      <c r="AT11" s="38" t="n">
        <v>100</v>
      </c>
      <c r="AU11" s="38" t="n">
        <v>40</v>
      </c>
      <c r="AV11" s="38" t="n">
        <v>20</v>
      </c>
      <c r="AW11" s="38" t="n">
        <v>100</v>
      </c>
      <c r="AX11" s="38" t="n">
        <v>100</v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100</v>
      </c>
      <c r="BF11" s="38" t="n">
        <v>100</v>
      </c>
      <c r="BG11" s="38" t="n">
        <v>0</v>
      </c>
      <c r="BH11" s="38" t="n">
        <v>0</v>
      </c>
      <c r="BI11" s="38" t="n">
        <v>100</v>
      </c>
      <c r="BJ11" s="38" t="n">
        <v>100</v>
      </c>
      <c r="BK11" s="38" t="n">
        <v>100</v>
      </c>
      <c r="BL11" s="38" t="n">
        <v>100</v>
      </c>
      <c r="BM11" s="38" t="n">
        <v>100</v>
      </c>
      <c r="BN11" s="38" t="n">
        <v>100</v>
      </c>
      <c r="BO11" s="38" t="n">
        <v>100</v>
      </c>
      <c r="BP11" s="38" t="n">
        <v>100</v>
      </c>
      <c r="BQ11" s="38" t="n">
        <v>100</v>
      </c>
      <c r="BR11" s="38" t="n">
        <v>0</v>
      </c>
      <c r="BS11" s="38" t="n">
        <v>0</v>
      </c>
      <c r="BT11" s="38" t="n">
        <v>0</v>
      </c>
      <c r="BU11" s="38" t="n">
        <v>0</v>
      </c>
      <c r="BV11" s="38" t="n">
        <v>100</v>
      </c>
      <c r="BW11" s="38" t="n">
        <v>100</v>
      </c>
      <c r="BX11" s="38" t="n">
        <v>100</v>
      </c>
      <c r="BY11" s="38" t="n">
        <v>60</v>
      </c>
      <c r="BZ11" s="38" t="n"/>
      <c r="CA11" s="38" t="n"/>
      <c r="CB11" s="38" t="n"/>
      <c r="CC11" s="9" t="n"/>
      <c r="CD11" s="9" t="n"/>
      <c r="CE11" s="9" t="n"/>
      <c r="CF11" s="154">
        <f>CD11+IF(NOT(ISBLANK(OFFSET(CF11,0,6))),N(OFFSET(CF11,0,6)),N(OFFSET(CF11,0,7)))-CE11</f>
        <v/>
      </c>
      <c r="CG11" s="6" t="n"/>
      <c r="CH11" s="19" t="n"/>
      <c r="CI11" s="19" t="n">
        <v>100</v>
      </c>
      <c r="CJ11" s="4" t="n"/>
      <c r="CK11" s="23" t="n"/>
      <c r="CL11" s="691" t="n">
        <v>0</v>
      </c>
      <c r="CM11" s="18" t="n">
        <v>0</v>
      </c>
      <c r="CN11" s="18" t="n">
        <v>0</v>
      </c>
      <c r="CO11" s="18" t="n">
        <v>0</v>
      </c>
      <c r="CP11" s="18" t="n"/>
      <c r="CQ11" s="18" t="n"/>
      <c r="CR11" s="18" t="n"/>
      <c r="CS11" s="256" t="n">
        <v>100</v>
      </c>
      <c r="CT11" s="18" t="n"/>
      <c r="CU11" s="18" t="n"/>
      <c r="CV11" s="18" t="n"/>
      <c r="CW11" s="18" t="n"/>
      <c r="CX11" s="18" t="n"/>
      <c r="CY11" s="18" t="n"/>
      <c r="CZ11" s="18" t="n"/>
      <c r="DA11" s="18" t="n"/>
      <c r="DB11" s="18" t="n"/>
      <c r="DC11" s="18" t="n"/>
      <c r="DD11" s="18" t="n">
        <v>100</v>
      </c>
      <c r="DE11" s="18" t="n"/>
      <c r="DF11" s="18" t="n"/>
      <c r="DG11" s="18" t="n"/>
      <c r="DH11" s="18" t="n"/>
      <c r="DI11" s="18" t="n"/>
      <c r="DJ11" s="18" t="n"/>
      <c r="DK11" s="18" t="n"/>
      <c r="DL11" s="18" t="n">
        <v>100</v>
      </c>
      <c r="DM11" s="256" t="n"/>
      <c r="DN11" s="18" t="n"/>
      <c r="DO11" s="18" t="n"/>
      <c r="DP11" s="18" t="n"/>
      <c r="DQ11" s="256" t="n">
        <v>500</v>
      </c>
      <c r="DR11" s="18" t="n"/>
      <c r="DS11" s="18" t="n"/>
      <c r="DT11" s="18" t="n">
        <v>100</v>
      </c>
      <c r="DU11" s="256" t="n"/>
      <c r="DV11" s="18" t="n"/>
      <c r="DW11" s="18" t="n"/>
      <c r="DX11" s="18" t="n"/>
      <c r="DY11" s="18" t="n"/>
      <c r="DZ11" s="18" t="n"/>
      <c r="EA11" s="18" t="n"/>
      <c r="EB11" s="18" t="n"/>
      <c r="EC11" s="18" t="n"/>
      <c r="ED11" s="18" t="n"/>
      <c r="EE11" s="18" t="n">
        <v>100</v>
      </c>
      <c r="EF11" s="18" t="n"/>
      <c r="EG11" s="18" t="n"/>
      <c r="EH11" s="18" t="n"/>
      <c r="EI11" s="256" t="n"/>
      <c r="EJ11" s="256" t="n"/>
      <c r="EK11" s="18" t="n"/>
      <c r="EL11" s="18" t="n"/>
      <c r="EM11" s="18" t="n"/>
      <c r="EN11" s="18" t="n"/>
      <c r="EO11" s="18" t="n"/>
      <c r="EP11" s="256" t="n"/>
      <c r="EQ11" s="256" t="n"/>
      <c r="ER11" s="18" t="n"/>
      <c r="ES11" s="18" t="n"/>
      <c r="ET11" s="18" t="n"/>
      <c r="EU11" s="18" t="n"/>
      <c r="EV11" s="18" t="n"/>
      <c r="EW11" s="18" t="n"/>
      <c r="EX11" s="18" t="n"/>
      <c r="EY11" s="18" t="n"/>
      <c r="EZ11" s="256" t="n"/>
      <c r="FA11" s="312" t="inlineStr">
        <is>
          <t>50 P/ TP</t>
        </is>
      </c>
      <c r="FB11" s="256" t="n"/>
      <c r="FC11" s="18" t="n"/>
      <c r="FD11" s="256" t="n">
        <v>100</v>
      </c>
      <c r="FE11" s="18" t="n"/>
      <c r="FF11" s="256" t="n"/>
      <c r="FG11" s="256" t="n"/>
      <c r="FH11" s="18" t="n"/>
      <c r="FI11" s="18" t="n"/>
      <c r="FJ11" s="18" t="n">
        <v>100</v>
      </c>
      <c r="FK11" s="18" t="n"/>
      <c r="FL11" s="18" t="n"/>
      <c r="FM11" s="256" t="n">
        <v>200</v>
      </c>
      <c r="FN11" s="18" t="n">
        <v>100</v>
      </c>
      <c r="FO11" s="18" t="n"/>
      <c r="FP11" s="18" t="n"/>
      <c r="FQ11" s="18" t="n"/>
      <c r="FR11" s="18" t="n"/>
      <c r="FS11" s="18" t="n"/>
      <c r="FT11" s="18" t="n"/>
      <c r="FU11" s="18" t="n"/>
      <c r="FV11" s="18" t="n"/>
      <c r="FW11" s="18" t="n"/>
      <c r="FX11" s="18" t="n"/>
      <c r="FY11" s="18" t="n"/>
      <c r="FZ11" s="18" t="n"/>
      <c r="GA11" s="18" t="n">
        <v>100</v>
      </c>
      <c r="GB11" s="256" t="n"/>
      <c r="GC11" s="18" t="n"/>
      <c r="GD11" s="18" t="n"/>
      <c r="GE11" s="18" t="n"/>
      <c r="GG11" s="30" t="inlineStr">
        <is>
          <t xml:space="preserve">SACOLA G </t>
        </is>
      </c>
      <c r="GH11" s="9" t="n">
        <v>100</v>
      </c>
      <c r="GI11" s="38">
        <f>CP11</f>
        <v/>
      </c>
      <c r="GJ11" s="38" t="n">
        <v>100</v>
      </c>
      <c r="GK11" s="38" t="n">
        <v>0</v>
      </c>
      <c r="GL11" s="38" t="n">
        <v>40</v>
      </c>
      <c r="GM11" s="38" t="n">
        <v>40</v>
      </c>
      <c r="GN11" s="38" t="n">
        <v>0</v>
      </c>
      <c r="GO11" s="38" t="n"/>
      <c r="GP11" s="38" t="n"/>
      <c r="GQ11" s="38" t="n"/>
      <c r="GR11" s="9" t="n"/>
      <c r="GS11" s="9" t="n"/>
      <c r="GT11" s="9" t="n"/>
      <c r="GU11" s="246">
        <f>GS11+IF(NOT(ISBLANK(OFFSET(GU11,0,6))),N(OFFSET(GU11,0,6)),N(OFFSET(GU11,0,7)))-GT11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281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2" t="n"/>
      <c r="CE12" s="2" t="n"/>
      <c r="CF12" s="4" t="n"/>
      <c r="CG12" s="6" t="n"/>
      <c r="CH12" s="11" t="n"/>
      <c r="CI12" s="11" t="n"/>
      <c r="CJ12" s="4" t="n"/>
      <c r="CK12" s="62" t="n"/>
      <c r="CL12" s="692" t="n"/>
      <c r="CM12" s="24" t="n"/>
      <c r="CN12" s="24" t="n"/>
      <c r="CO12" s="24" t="n"/>
      <c r="CP12" s="24" t="n"/>
      <c r="CQ12" s="24" t="n"/>
      <c r="CR12" s="24" t="n"/>
      <c r="CS12" s="257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4" t="n"/>
      <c r="DJ12" s="24" t="n"/>
      <c r="DK12" s="24" t="n"/>
      <c r="DL12" s="24" t="n"/>
      <c r="DM12" s="257" t="n"/>
      <c r="DN12" s="24" t="n"/>
      <c r="DO12" s="24" t="n"/>
      <c r="DP12" s="24" t="n"/>
      <c r="DQ12" s="257" t="n"/>
      <c r="DR12" s="24" t="n"/>
      <c r="DS12" s="24" t="n"/>
      <c r="DT12" s="24" t="n"/>
      <c r="DU12" s="24" t="n"/>
      <c r="DV12" s="24" t="n"/>
      <c r="DW12" s="24" t="n"/>
      <c r="DX12" s="24" t="n"/>
      <c r="DY12" s="24" t="n"/>
      <c r="DZ12" s="24" t="n"/>
      <c r="EA12" s="24" t="n"/>
      <c r="EB12" s="24" t="n"/>
      <c r="EC12" s="24" t="n"/>
      <c r="ED12" s="24" t="n"/>
      <c r="EE12" s="24" t="n"/>
      <c r="EF12" s="24" t="n"/>
      <c r="EG12" s="24" t="n"/>
      <c r="EH12" s="24" t="n"/>
      <c r="EI12" s="257" t="n"/>
      <c r="EJ12" s="257" t="n"/>
      <c r="EK12" s="24" t="n"/>
      <c r="EL12" s="24" t="n"/>
      <c r="EM12" s="24" t="n"/>
      <c r="EN12" s="24" t="n"/>
      <c r="EO12" s="24" t="n"/>
      <c r="EP12" s="257" t="n"/>
      <c r="EQ12" s="257" t="n"/>
      <c r="ER12" s="24" t="n"/>
      <c r="ES12" s="24" t="n"/>
      <c r="ET12" s="24" t="n"/>
      <c r="EU12" s="24" t="n"/>
      <c r="EV12" s="24" t="n"/>
      <c r="EW12" s="24" t="n"/>
      <c r="EX12" s="24" t="n"/>
      <c r="EY12" s="24" t="n"/>
      <c r="EZ12" s="271" t="n"/>
      <c r="FA12" s="24" t="n"/>
      <c r="FB12" s="271" t="n"/>
      <c r="FC12" s="24" t="n"/>
      <c r="FD12" s="24" t="n"/>
      <c r="FE12" s="24" t="n"/>
      <c r="FF12" s="271" t="n"/>
      <c r="FG12" s="271" t="n"/>
      <c r="FH12" s="24" t="n"/>
      <c r="FI12" s="24" t="n"/>
      <c r="FJ12" s="24" t="n"/>
      <c r="FK12" s="24" t="n"/>
      <c r="FL12" s="24" t="n"/>
      <c r="FM12" s="271" t="n"/>
      <c r="FN12" s="24" t="n"/>
      <c r="FO12" s="24" t="n"/>
      <c r="FP12" s="24" t="n"/>
      <c r="FQ12" s="24" t="n"/>
      <c r="FR12" s="24" t="n"/>
      <c r="FS12" s="24" t="n"/>
      <c r="FT12" s="24" t="n"/>
      <c r="FU12" s="24" t="n"/>
      <c r="FV12" s="24" t="n"/>
      <c r="FW12" s="24" t="n"/>
      <c r="FX12" s="24" t="n"/>
      <c r="FY12" s="24" t="n"/>
      <c r="FZ12" s="24" t="n"/>
      <c r="GA12" s="24" t="n"/>
      <c r="GB12" s="257" t="n"/>
      <c r="GC12" s="24" t="n"/>
      <c r="GD12" s="24" t="n"/>
      <c r="GE12" s="24" t="n"/>
      <c r="GG12" s="31" t="n"/>
      <c r="GH12" s="2" t="n"/>
      <c r="GI12" s="4" t="n"/>
      <c r="GJ12" s="4" t="n"/>
      <c r="GK12" s="4" t="n"/>
      <c r="GL12" s="4" t="n"/>
      <c r="GM12" s="4" t="n"/>
      <c r="GN12" s="4" t="n"/>
      <c r="GO12" s="4" t="n"/>
      <c r="GP12" s="4" t="n"/>
      <c r="GQ12" s="4" t="n"/>
      <c r="GR12" s="2" t="n"/>
      <c r="GS12" s="2" t="n"/>
      <c r="GT12" s="2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86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1" t="n">
        <v>46161.48002762732</v>
      </c>
      <c r="CD13" s="651" t="n">
        <v>46161.48070743056</v>
      </c>
      <c r="CE13" s="651" t="n">
        <v>46161.48286576523</v>
      </c>
      <c r="CF13" s="652" t="inlineStr">
        <is>
          <t>USOU</t>
        </is>
      </c>
      <c r="CG13" s="642" t="n"/>
      <c r="CH13" s="413" t="inlineStr">
        <is>
          <t>TRANSFERÊNCIA</t>
        </is>
      </c>
      <c r="CI13" s="35" t="inlineStr">
        <is>
          <t>Pendências</t>
        </is>
      </c>
      <c r="CJ13" s="4" t="n"/>
      <c r="CK13" s="12" t="inlineStr">
        <is>
          <t>Novo Pedido</t>
        </is>
      </c>
      <c r="CL13" s="677" t="n">
        <v>46161.48286454169</v>
      </c>
      <c r="CM13" s="646" t="n">
        <v>46156</v>
      </c>
      <c r="CN13" s="646" t="n">
        <v>46149</v>
      </c>
      <c r="CO13" s="646" t="n">
        <v>46142</v>
      </c>
      <c r="CP13" s="646" t="n">
        <v>46114</v>
      </c>
      <c r="CQ13" s="646" t="n">
        <v>46107</v>
      </c>
      <c r="CR13" s="646" t="n">
        <v>46099</v>
      </c>
      <c r="CS13" s="647" t="n">
        <v>46065</v>
      </c>
      <c r="CT13" s="646" t="n">
        <v>46092</v>
      </c>
      <c r="CU13" s="655" t="n">
        <v>46079</v>
      </c>
      <c r="CV13" s="646" t="n">
        <v>46077</v>
      </c>
      <c r="CW13" s="646" t="n">
        <v>46071</v>
      </c>
      <c r="CX13" s="646" t="n">
        <v>46056</v>
      </c>
      <c r="CY13" s="646" t="n">
        <v>46056</v>
      </c>
      <c r="CZ13" s="646" t="n">
        <v>46048</v>
      </c>
      <c r="DA13" s="646" t="n">
        <v>46043</v>
      </c>
      <c r="DB13" s="646" t="n">
        <v>46035</v>
      </c>
      <c r="DC13" s="646" t="n">
        <v>46035</v>
      </c>
      <c r="DD13" s="646" t="n">
        <v>46029</v>
      </c>
      <c r="DE13" s="646" t="n">
        <v>46017</v>
      </c>
      <c r="DF13" s="646" t="n">
        <v>46007</v>
      </c>
      <c r="DG13" s="646" t="n">
        <v>46001</v>
      </c>
      <c r="DH13" s="646" t="n">
        <v>45994</v>
      </c>
      <c r="DI13" s="646" t="n">
        <v>45980</v>
      </c>
      <c r="DJ13" s="646" t="n">
        <v>45973</v>
      </c>
      <c r="DK13" s="646" t="n">
        <v>45960</v>
      </c>
      <c r="DL13" s="646" t="n">
        <v>45951</v>
      </c>
      <c r="DM13" s="687" t="n">
        <v>45952</v>
      </c>
      <c r="DN13" s="646" t="n">
        <v>45945</v>
      </c>
      <c r="DO13" s="646" t="n">
        <v>45931</v>
      </c>
      <c r="DP13" s="646" t="n">
        <v>45937</v>
      </c>
      <c r="DQ13" s="678" t="n">
        <v>45903</v>
      </c>
      <c r="DR13" s="646" t="n">
        <v>45931</v>
      </c>
      <c r="DS13" s="646" t="n">
        <v>45923</v>
      </c>
      <c r="DT13" s="646" t="n">
        <v>45915</v>
      </c>
      <c r="DU13" s="688" t="n">
        <v>45924</v>
      </c>
      <c r="DV13" s="646" t="n">
        <v>45909</v>
      </c>
      <c r="DW13" s="655" t="n">
        <v>45920</v>
      </c>
      <c r="DX13" s="646" t="n">
        <v>45909</v>
      </c>
      <c r="DY13" s="655" t="n">
        <v>45913</v>
      </c>
      <c r="DZ13" s="646" t="n">
        <v>45903</v>
      </c>
      <c r="EA13" s="646" t="n">
        <v>45903</v>
      </c>
      <c r="EB13" s="646" t="n">
        <v>45895</v>
      </c>
      <c r="EC13" s="689" t="n">
        <v>45897</v>
      </c>
      <c r="ED13" s="646" t="n">
        <v>45888</v>
      </c>
      <c r="EE13" s="646" t="n">
        <v>45881</v>
      </c>
      <c r="EF13" s="655" t="n">
        <v>45885</v>
      </c>
      <c r="EG13" s="646" t="n">
        <v>45874</v>
      </c>
      <c r="EH13" s="646" t="n">
        <v>45867</v>
      </c>
      <c r="EI13" s="681" t="n">
        <v>45867</v>
      </c>
      <c r="EJ13" s="682" t="n">
        <v>45866</v>
      </c>
      <c r="EK13" s="646" t="n">
        <v>45860</v>
      </c>
      <c r="EL13" s="646" t="n">
        <v>45853</v>
      </c>
      <c r="EM13" s="646" t="n">
        <v>45848</v>
      </c>
      <c r="EN13" s="646" t="n">
        <v>45839</v>
      </c>
      <c r="EO13" s="646" t="n">
        <v>45832</v>
      </c>
      <c r="EP13" s="681" t="n">
        <v>45836</v>
      </c>
      <c r="EQ13" s="681" t="n">
        <v>45791</v>
      </c>
      <c r="ER13" s="646" t="n">
        <v>45825</v>
      </c>
      <c r="ES13" s="655" t="n">
        <v>45825</v>
      </c>
      <c r="ET13" s="646" t="n">
        <v>45819</v>
      </c>
      <c r="EU13" s="646" t="n">
        <v>45813</v>
      </c>
      <c r="EV13" s="655" t="n">
        <v>45820</v>
      </c>
      <c r="EW13" s="646" t="n">
        <v>45798</v>
      </c>
      <c r="EX13" s="646" t="n">
        <v>45805</v>
      </c>
      <c r="EY13" s="655" t="n">
        <v>45799</v>
      </c>
      <c r="EZ13" s="655" t="n">
        <v>45798</v>
      </c>
      <c r="FA13" s="690" t="n">
        <v>45798</v>
      </c>
      <c r="FB13" s="684" t="n">
        <v>45798</v>
      </c>
      <c r="FC13" s="689" t="n">
        <v>45798</v>
      </c>
      <c r="FD13" s="683" t="n">
        <v>45735</v>
      </c>
      <c r="FE13" s="655" t="n">
        <v>45789</v>
      </c>
      <c r="FF13" s="684" t="n">
        <v>45789</v>
      </c>
      <c r="FG13" s="684" t="n">
        <v>45782</v>
      </c>
      <c r="FH13" s="646" t="n">
        <v>45770</v>
      </c>
      <c r="FI13" s="646" t="n">
        <v>45756</v>
      </c>
      <c r="FJ13" s="646" t="n">
        <v>45749</v>
      </c>
      <c r="FK13" s="646" t="n">
        <v>45743</v>
      </c>
      <c r="FL13" s="655" t="n">
        <v>45744</v>
      </c>
      <c r="FM13" s="684" t="n">
        <v>45700</v>
      </c>
      <c r="FN13" s="646" t="n">
        <v>45728</v>
      </c>
      <c r="FO13" s="646" t="n">
        <v>45722</v>
      </c>
      <c r="FP13" s="689" t="n">
        <v>45723</v>
      </c>
      <c r="FQ13" s="646" t="n">
        <v>45714</v>
      </c>
      <c r="FR13" s="646" t="n">
        <v>45706</v>
      </c>
      <c r="FS13" s="646" t="n">
        <v>45699</v>
      </c>
      <c r="FT13" s="646" t="n">
        <v>45693</v>
      </c>
      <c r="FU13" s="655" t="n">
        <v>45700</v>
      </c>
      <c r="FV13" s="646" t="n">
        <v>45685</v>
      </c>
      <c r="FW13" s="655" t="n">
        <v>45685</v>
      </c>
      <c r="FX13" s="646" t="n">
        <v>45674</v>
      </c>
      <c r="FY13" s="646" t="n">
        <v>45664</v>
      </c>
      <c r="FZ13" s="655" t="n">
        <v>45670</v>
      </c>
      <c r="GA13" s="646" t="n">
        <v>45660</v>
      </c>
      <c r="GB13" s="685" t="n">
        <v>45665</v>
      </c>
      <c r="GC13" s="655" t="n">
        <v>45661</v>
      </c>
      <c r="GD13" s="646" t="n">
        <v>45638</v>
      </c>
      <c r="GE13" s="646" t="n">
        <v>45643</v>
      </c>
      <c r="GG13" s="267" t="inlineStr">
        <is>
          <t>DIVERSOS</t>
        </is>
      </c>
      <c r="GH13" s="205" t="inlineStr">
        <is>
          <t>PCT</t>
        </is>
      </c>
      <c r="GI13" s="650" t="n">
        <v>46118</v>
      </c>
      <c r="GJ13" s="650" t="n">
        <v>46125</v>
      </c>
      <c r="GK13" s="650" t="n">
        <v>46132</v>
      </c>
      <c r="GL13" s="650" t="n">
        <v>46139</v>
      </c>
      <c r="GM13" s="650" t="n">
        <v>46146</v>
      </c>
      <c r="GN13" s="650" t="n">
        <v>46154</v>
      </c>
      <c r="GO13" s="650" t="n">
        <v>46160</v>
      </c>
      <c r="GP13" s="650" t="n">
        <v>46160</v>
      </c>
      <c r="GQ13" s="650" t="n">
        <v>46160</v>
      </c>
      <c r="GR13" s="651" t="n">
        <v>46161.48002700231</v>
      </c>
      <c r="GS13" s="651" t="n">
        <v>46161.48070678241</v>
      </c>
      <c r="GT13" s="651" t="n">
        <v>46161.48286515256</v>
      </c>
      <c r="GU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38" t="n">
        <v>6</v>
      </c>
      <c r="G14" s="38" t="n">
        <v>6</v>
      </c>
      <c r="H14" s="38" t="n">
        <v>5</v>
      </c>
      <c r="I14" s="38">
        <f>5+FU14</f>
        <v/>
      </c>
      <c r="J14" s="38" t="n">
        <v>5</v>
      </c>
      <c r="K14" s="38" t="n">
        <v>5</v>
      </c>
      <c r="L14" s="38" t="n">
        <v>5</v>
      </c>
      <c r="M14" s="38" t="n">
        <v>5</v>
      </c>
      <c r="N14" s="38" t="n">
        <v>5</v>
      </c>
      <c r="O14" s="38" t="n">
        <v>5</v>
      </c>
      <c r="P14" s="38" t="n">
        <v>5</v>
      </c>
      <c r="Q14" s="38" t="n">
        <v>5</v>
      </c>
      <c r="R14" s="38" t="n">
        <v>5</v>
      </c>
      <c r="S14" s="38" t="n">
        <v>4</v>
      </c>
      <c r="T14" s="38">
        <f>4+FG14</f>
        <v/>
      </c>
      <c r="U14" s="38" t="n">
        <v>6</v>
      </c>
      <c r="V14" s="38" t="n">
        <v>4</v>
      </c>
      <c r="W14" s="38" t="n">
        <v>4</v>
      </c>
      <c r="X14" s="38">
        <f>4-1</f>
        <v/>
      </c>
      <c r="Y14" s="38" t="n">
        <v>2</v>
      </c>
      <c r="Z14" s="38">
        <f>1+1</f>
        <v/>
      </c>
      <c r="AA14" s="38" t="n">
        <v>1</v>
      </c>
      <c r="AB14" s="38">
        <f>0+EU14+ET14</f>
        <v/>
      </c>
      <c r="AC14" s="38" t="n">
        <v>3</v>
      </c>
      <c r="AD14" s="38" t="n">
        <v>2</v>
      </c>
      <c r="AE14" s="38">
        <f>1+EO14</f>
        <v/>
      </c>
      <c r="AF14" s="38">
        <f>2+EL14</f>
        <v/>
      </c>
      <c r="AG14" s="38">
        <f>2+EK14</f>
        <v/>
      </c>
      <c r="AH14" s="38" t="n">
        <v>4</v>
      </c>
      <c r="AI14" s="38" t="n">
        <v>5</v>
      </c>
      <c r="AJ14" s="38" t="n">
        <v>4</v>
      </c>
      <c r="AK14" s="38" t="n">
        <v>4</v>
      </c>
      <c r="AL14" s="38" t="n">
        <v>3</v>
      </c>
      <c r="AM14" s="38" t="n">
        <v>2</v>
      </c>
      <c r="AN14" s="38" t="n">
        <v>2</v>
      </c>
      <c r="AO14" s="38" t="n">
        <v>2</v>
      </c>
      <c r="AP14" s="38" t="n">
        <v>5</v>
      </c>
      <c r="AQ14" s="38" t="n">
        <v>4</v>
      </c>
      <c r="AR14" s="38" t="n">
        <v>1</v>
      </c>
      <c r="AS14" s="38">
        <f>0+DP14</f>
        <v/>
      </c>
      <c r="AT14" s="38" t="n">
        <v>3</v>
      </c>
      <c r="AU14" s="38">
        <f>0+DM14</f>
        <v/>
      </c>
      <c r="AV14" s="38" t="n">
        <v>2</v>
      </c>
      <c r="AW14" s="38" t="n">
        <v>4</v>
      </c>
      <c r="AX14" s="38" t="n">
        <v>3</v>
      </c>
      <c r="AY14" s="38" t="n">
        <v>2</v>
      </c>
      <c r="AZ14" s="38">
        <f>1+DG14</f>
        <v/>
      </c>
      <c r="BA14" s="38">
        <f>3+DF14</f>
        <v/>
      </c>
      <c r="BB14" s="38" t="n">
        <v>3</v>
      </c>
      <c r="BC14" s="38">
        <f>3+DE14</f>
        <v/>
      </c>
      <c r="BD14" s="38" t="n">
        <v>7</v>
      </c>
      <c r="BE14" s="38" t="n">
        <v>0</v>
      </c>
      <c r="BF14" s="38" t="n">
        <v>0</v>
      </c>
      <c r="BG14" s="38" t="n">
        <v>0</v>
      </c>
      <c r="BH14" s="38" t="n">
        <v>8</v>
      </c>
      <c r="BI14" s="38">
        <f>11+CZ14</f>
        <v/>
      </c>
      <c r="BJ14" s="38" t="n">
        <v>14</v>
      </c>
      <c r="BK14" s="38" t="n">
        <v>11</v>
      </c>
      <c r="BL14" s="38" t="n">
        <v>15</v>
      </c>
      <c r="BM14" s="38" t="n">
        <v>14</v>
      </c>
      <c r="BN14" s="38" t="n">
        <v>11</v>
      </c>
      <c r="BO14" s="38">
        <f>10+CS14</f>
        <v/>
      </c>
      <c r="BP14" s="38" t="n">
        <v>11</v>
      </c>
      <c r="BQ14" s="38" t="n">
        <v>9</v>
      </c>
      <c r="BR14" s="38" t="n">
        <v>7</v>
      </c>
      <c r="BS14" s="38">
        <f>3+CN14</f>
        <v/>
      </c>
      <c r="BT14" s="38" t="n">
        <v>6</v>
      </c>
      <c r="BU14" s="38" t="n">
        <v>14</v>
      </c>
      <c r="BV14" s="38" t="n">
        <v>14</v>
      </c>
      <c r="BW14" s="38" t="n">
        <v>14</v>
      </c>
      <c r="BX14" s="38">
        <f>14+CL14</f>
        <v/>
      </c>
      <c r="BY14" s="38" t="n">
        <v>15</v>
      </c>
      <c r="BZ14" s="38" t="n"/>
      <c r="CA14" s="38" t="n"/>
      <c r="CB14" s="38" t="n"/>
      <c r="CC14" s="9" t="n"/>
      <c r="CD14" s="9" t="n"/>
      <c r="CE14" s="9" t="n"/>
      <c r="CF14" s="154">
        <f>CD14+IF(NOT(ISBLANK(OFFSET(CF14,0,6))),N(OFFSET(CF14,0,6)),N(OFFSET(CF14,0,7)))-CE14</f>
        <v/>
      </c>
      <c r="CG14" s="642" t="n"/>
      <c r="CH14" s="19" t="n"/>
      <c r="CI14" s="19" t="n"/>
      <c r="CJ14" s="4" t="n"/>
      <c r="CK14" s="23" t="n"/>
      <c r="CL14" s="691" t="n">
        <v>0</v>
      </c>
      <c r="CM14" s="18" t="n">
        <v>0</v>
      </c>
      <c r="CN14" s="18" t="n">
        <v>0</v>
      </c>
      <c r="CO14" s="18" t="n">
        <v>3</v>
      </c>
      <c r="CP14" s="18" t="n">
        <v>8</v>
      </c>
      <c r="CQ14" s="18" t="n">
        <v>3</v>
      </c>
      <c r="CR14" s="18" t="n"/>
      <c r="CS14" s="256" t="n">
        <v>20</v>
      </c>
      <c r="CT14" s="18" t="n"/>
      <c r="CU14" s="18" t="n"/>
      <c r="CV14" s="18" t="n">
        <v>3</v>
      </c>
      <c r="CW14" s="18" t="n"/>
      <c r="CX14" s="18" t="n"/>
      <c r="CY14" s="18" t="n">
        <v>5</v>
      </c>
      <c r="CZ14" s="18" t="n"/>
      <c r="DA14" s="18" t="n"/>
      <c r="DB14" s="18" t="n"/>
      <c r="DC14" s="18" t="n">
        <v>4</v>
      </c>
      <c r="DD14" s="18" t="n">
        <v>5</v>
      </c>
      <c r="DE14" s="18" t="n">
        <v>10</v>
      </c>
      <c r="DF14" s="18" t="n"/>
      <c r="DG14" s="18" t="n"/>
      <c r="DH14" s="18" t="n">
        <v>4</v>
      </c>
      <c r="DI14" s="18" t="n">
        <v>4</v>
      </c>
      <c r="DJ14" s="18" t="n">
        <v>2</v>
      </c>
      <c r="DK14" s="18" t="n"/>
      <c r="DL14" s="18" t="n">
        <v>2</v>
      </c>
      <c r="DM14" s="256" t="n"/>
      <c r="DN14" s="18" t="n"/>
      <c r="DO14" s="18" t="n"/>
      <c r="DP14" s="18" t="n">
        <v>1</v>
      </c>
      <c r="DQ14" s="256" t="n">
        <v>20</v>
      </c>
      <c r="DR14" s="18" t="n">
        <v>1</v>
      </c>
      <c r="DS14" s="18" t="n">
        <v>3</v>
      </c>
      <c r="DT14" s="18" t="n"/>
      <c r="DU14" s="256" t="n"/>
      <c r="DV14" s="18" t="n"/>
      <c r="DW14" s="18" t="n"/>
      <c r="DX14" s="18" t="n"/>
      <c r="DY14" s="18" t="n"/>
      <c r="DZ14" s="18" t="n"/>
      <c r="EA14" s="18" t="n"/>
      <c r="EB14" s="18" t="n">
        <v>4</v>
      </c>
      <c r="EC14" s="18" t="n"/>
      <c r="ED14" s="18" t="n">
        <v>1</v>
      </c>
      <c r="EE14" s="18" t="n">
        <v>1</v>
      </c>
      <c r="EF14" s="18" t="n"/>
      <c r="EG14" s="18" t="n"/>
      <c r="EH14" s="18" t="n"/>
      <c r="EI14" s="256" t="n"/>
      <c r="EJ14" s="256" t="n"/>
      <c r="EK14" s="18" t="n"/>
      <c r="EL14" s="18" t="n"/>
      <c r="EM14" s="18" t="n">
        <v>2</v>
      </c>
      <c r="EN14" s="18" t="n">
        <v>2</v>
      </c>
      <c r="EO14" s="18" t="n">
        <v>1</v>
      </c>
      <c r="EP14" s="256" t="n"/>
      <c r="EQ14" s="256" t="n">
        <v>5</v>
      </c>
      <c r="ER14" s="18" t="n">
        <v>3</v>
      </c>
      <c r="ES14" s="18" t="n"/>
      <c r="ET14" s="18" t="n"/>
      <c r="EU14" s="18" t="n">
        <v>1</v>
      </c>
      <c r="EV14" s="18" t="n"/>
      <c r="EW14" s="18" t="n">
        <v>1</v>
      </c>
      <c r="EX14" s="18" t="n">
        <v>3</v>
      </c>
      <c r="EY14" s="18" t="n"/>
      <c r="EZ14" s="241" t="inlineStr">
        <is>
          <t>01 DE PL</t>
        </is>
      </c>
      <c r="FA14" s="256" t="n"/>
      <c r="FB14" s="256" t="n"/>
      <c r="FC14" s="18" t="n"/>
      <c r="FD14" s="256" t="n">
        <v>1</v>
      </c>
      <c r="FE14" s="241" t="inlineStr">
        <is>
          <t>01 P/ PL</t>
        </is>
      </c>
      <c r="FF14" s="256" t="n"/>
      <c r="FG14" s="256" t="n"/>
      <c r="FH14" s="18" t="n"/>
      <c r="FI14" s="18" t="n"/>
      <c r="FJ14" s="18" t="n">
        <v>2</v>
      </c>
      <c r="FK14" s="18" t="n">
        <v>1</v>
      </c>
      <c r="FL14" s="18" t="n"/>
      <c r="FM14" s="256" t="n">
        <v>10</v>
      </c>
      <c r="FN14" s="18" t="n"/>
      <c r="FO14" s="18" t="n"/>
      <c r="FP14" s="18" t="n"/>
      <c r="FQ14" s="18" t="n"/>
      <c r="FR14" s="18" t="n"/>
      <c r="FS14" s="18" t="n"/>
      <c r="FT14" s="18" t="n"/>
      <c r="FU14" s="18" t="n"/>
      <c r="FV14" s="18" t="n"/>
      <c r="FW14" s="18" t="n"/>
      <c r="FX14" s="18" t="n">
        <v>1</v>
      </c>
      <c r="FY14" s="18" t="n"/>
      <c r="FZ14" s="18" t="n"/>
      <c r="GA14" s="18" t="n"/>
      <c r="GB14" s="256" t="n"/>
      <c r="GC14" s="18" t="n"/>
      <c r="GD14" s="18" t="n"/>
      <c r="GE14" s="18" t="n">
        <v>1</v>
      </c>
      <c r="GG14" s="159" t="inlineStr">
        <is>
          <t>PAPEL DE SEDA</t>
        </is>
      </c>
      <c r="GH14" s="129" t="n">
        <v>200</v>
      </c>
      <c r="GI14" s="38">
        <f>CP14</f>
        <v/>
      </c>
      <c r="GJ14" s="38" t="n">
        <v>20</v>
      </c>
      <c r="GK14" s="38" t="n">
        <v>17</v>
      </c>
      <c r="GL14" s="38" t="n">
        <v>15</v>
      </c>
      <c r="GM14" s="38" t="n">
        <v>14</v>
      </c>
      <c r="GN14" s="38" t="n">
        <v>8</v>
      </c>
      <c r="GO14" s="38" t="n"/>
      <c r="GP14" s="38" t="n"/>
      <c r="GQ14" s="38" t="n"/>
      <c r="GR14" s="9" t="n"/>
      <c r="GS14" s="9" t="n"/>
      <c r="GT14" s="9" t="n"/>
      <c r="GU14" s="246">
        <f>GS14+IF(NOT(ISBLANK(OFFSET(GU14,0,6))),N(OFFSET(GU14,0,6)),N(OFFSET(GU14,0,7)))-GT14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38" t="n">
        <v>0</v>
      </c>
      <c r="G15" s="38">
        <f>0+FX15</f>
        <v/>
      </c>
      <c r="H15" s="38" t="n">
        <v>3</v>
      </c>
      <c r="I15" s="38" t="n">
        <v>3</v>
      </c>
      <c r="J15" s="38" t="n">
        <v>3</v>
      </c>
      <c r="K15" s="38" t="n">
        <v>3</v>
      </c>
      <c r="L15" s="38" t="n">
        <v>3</v>
      </c>
      <c r="M15" s="38" t="n">
        <v>3</v>
      </c>
      <c r="N15" s="38" t="n">
        <v>3</v>
      </c>
      <c r="O15" s="38" t="n">
        <v>3</v>
      </c>
      <c r="P15" s="38" t="n">
        <v>2</v>
      </c>
      <c r="Q15" s="38">
        <f>2+FK15</f>
        <v/>
      </c>
      <c r="R15" s="38" t="n">
        <v>4</v>
      </c>
      <c r="S15" s="38" t="n">
        <v>4</v>
      </c>
      <c r="T15" s="38" t="n">
        <v>4</v>
      </c>
      <c r="U15" s="38" t="n">
        <v>4</v>
      </c>
      <c r="V15" s="38" t="n">
        <v>4</v>
      </c>
      <c r="W15" s="38" t="n">
        <v>3</v>
      </c>
      <c r="X15" s="38" t="n">
        <v>3</v>
      </c>
      <c r="Y15" s="38" t="n">
        <v>3</v>
      </c>
      <c r="Z15" s="38" t="n">
        <v>3</v>
      </c>
      <c r="AA15" s="38" t="n">
        <v>3</v>
      </c>
      <c r="AB15" s="38" t="n">
        <v>3</v>
      </c>
      <c r="AC15" s="38" t="n">
        <v>3</v>
      </c>
      <c r="AD15" s="38" t="n">
        <v>2</v>
      </c>
      <c r="AE15" s="38" t="n">
        <v>2</v>
      </c>
      <c r="AF15" s="38" t="n">
        <v>2</v>
      </c>
      <c r="AG15" s="38" t="n">
        <v>2</v>
      </c>
      <c r="AH15" s="38" t="n">
        <v>2</v>
      </c>
      <c r="AI15" s="38" t="n">
        <v>2</v>
      </c>
      <c r="AJ15" s="38" t="n">
        <v>2</v>
      </c>
      <c r="AK15" s="38" t="n">
        <v>1</v>
      </c>
      <c r="AL15" s="38" t="n">
        <v>1</v>
      </c>
      <c r="AM15" s="38" t="n">
        <v>2</v>
      </c>
      <c r="AN15" s="38" t="n">
        <v>2</v>
      </c>
      <c r="AO15" s="38" t="n">
        <v>2</v>
      </c>
      <c r="AP15" s="38" t="n">
        <v>2</v>
      </c>
      <c r="AQ15" s="38" t="n">
        <v>2</v>
      </c>
      <c r="AR15" s="38" t="n">
        <v>2</v>
      </c>
      <c r="AS15" s="38" t="n">
        <v>1</v>
      </c>
      <c r="AT15" s="38" t="n">
        <v>2</v>
      </c>
      <c r="AU15" s="38" t="n">
        <v>2</v>
      </c>
      <c r="AV15" s="38" t="n">
        <v>2</v>
      </c>
      <c r="AW15" s="38" t="n">
        <v>2</v>
      </c>
      <c r="AX15" s="38" t="n">
        <v>2</v>
      </c>
      <c r="AY15" s="38" t="n">
        <v>2</v>
      </c>
      <c r="AZ15" s="38" t="n">
        <v>1</v>
      </c>
      <c r="BA15" s="38">
        <f>1+DF15</f>
        <v/>
      </c>
      <c r="BB15" s="38" t="n">
        <v>4</v>
      </c>
      <c r="BC15" s="38" t="n">
        <v>3</v>
      </c>
      <c r="BD15" s="38">
        <f>3+DD15</f>
        <v/>
      </c>
      <c r="BE15" s="38" t="n">
        <v>2</v>
      </c>
      <c r="BF15" s="38" t="n">
        <v>2</v>
      </c>
      <c r="BG15" s="38" t="n">
        <v>1</v>
      </c>
      <c r="BH15" s="38" t="n">
        <v>4</v>
      </c>
      <c r="BI15" s="38" t="n">
        <v>6</v>
      </c>
      <c r="BJ15" s="38" t="n">
        <v>6</v>
      </c>
      <c r="BK15" s="38" t="n">
        <v>5</v>
      </c>
      <c r="BL15" s="38" t="n">
        <v>5</v>
      </c>
      <c r="BM15" s="38" t="n">
        <v>5</v>
      </c>
      <c r="BN15" s="38" t="n">
        <v>5</v>
      </c>
      <c r="BO15" s="38" t="n">
        <v>5</v>
      </c>
      <c r="BP15" s="38" t="n">
        <v>4</v>
      </c>
      <c r="BQ15" s="38" t="n">
        <v>2</v>
      </c>
      <c r="BR15" s="38" t="n">
        <v>2</v>
      </c>
      <c r="BS15" s="38" t="n">
        <v>2</v>
      </c>
      <c r="BT15" s="38" t="n">
        <v>2</v>
      </c>
      <c r="BU15" s="38" t="n">
        <v>2</v>
      </c>
      <c r="BV15" s="38" t="n">
        <v>2</v>
      </c>
      <c r="BW15" s="38" t="n">
        <v>2</v>
      </c>
      <c r="BX15" s="38" t="n">
        <v>2</v>
      </c>
      <c r="BY15" s="38" t="n">
        <v>1</v>
      </c>
      <c r="BZ15" s="38" t="n"/>
      <c r="CA15" s="38" t="n"/>
      <c r="CB15" s="38" t="n"/>
      <c r="CC15" s="9" t="n"/>
      <c r="CD15" s="9" t="n"/>
      <c r="CE15" s="9" t="n"/>
      <c r="CF15" s="154">
        <f>CD15+IF(NOT(ISBLANK(OFFSET(CF15,0,6))),N(OFFSET(CF15,0,6)),N(OFFSET(CF15,0,7)))-CE15</f>
        <v/>
      </c>
      <c r="CG15" s="642" t="n"/>
      <c r="CH15" s="19" t="n"/>
      <c r="CI15" s="19" t="n">
        <v>4</v>
      </c>
      <c r="CJ15" s="4" t="n"/>
      <c r="CK15" s="23" t="n"/>
      <c r="CL15" s="691" t="n">
        <v>0</v>
      </c>
      <c r="CM15" s="18" t="n">
        <v>0</v>
      </c>
      <c r="CN15" s="18" t="n">
        <v>0</v>
      </c>
      <c r="CO15" s="18" t="n">
        <v>0</v>
      </c>
      <c r="CP15" s="18" t="n"/>
      <c r="CQ15" s="18" t="n"/>
      <c r="CR15" s="18" t="n"/>
      <c r="CS15" s="256" t="n">
        <v>5</v>
      </c>
      <c r="CT15" s="18" t="n"/>
      <c r="CU15" s="18" t="n"/>
      <c r="CV15" s="18" t="n"/>
      <c r="CW15" s="18" t="n"/>
      <c r="CX15" s="18" t="n"/>
      <c r="CY15" s="18" t="n"/>
      <c r="CZ15" s="18" t="n"/>
      <c r="DA15" s="18" t="n"/>
      <c r="DB15" s="18" t="n"/>
      <c r="DC15" s="18" t="n"/>
      <c r="DD15" s="18" t="n">
        <v>2</v>
      </c>
      <c r="DE15" s="18" t="n">
        <v>3</v>
      </c>
      <c r="DF15" s="18" t="n"/>
      <c r="DG15" s="18" t="n">
        <v>1</v>
      </c>
      <c r="DH15" s="18" t="n"/>
      <c r="DI15" s="18" t="n">
        <v>3</v>
      </c>
      <c r="DJ15" s="18" t="n"/>
      <c r="DK15" s="18" t="n"/>
      <c r="DL15" s="18" t="n"/>
      <c r="DM15" s="256" t="n"/>
      <c r="DN15" s="18" t="n"/>
      <c r="DO15" s="18" t="n"/>
      <c r="DP15" s="18" t="n"/>
      <c r="DQ15" s="256" t="n">
        <v>12</v>
      </c>
      <c r="DR15" s="18" t="n">
        <v>1</v>
      </c>
      <c r="DS15" s="18" t="n"/>
      <c r="DT15" s="18" t="n"/>
      <c r="DU15" s="256" t="n"/>
      <c r="DV15" s="18" t="n"/>
      <c r="DW15" s="18" t="n"/>
      <c r="DX15" s="18" t="n"/>
      <c r="DY15" s="18" t="n"/>
      <c r="DZ15" s="18" t="n"/>
      <c r="EA15" s="18" t="n"/>
      <c r="EB15" s="18" t="n"/>
      <c r="EC15" s="18" t="n"/>
      <c r="ED15" s="18" t="n"/>
      <c r="EE15" s="18" t="n"/>
      <c r="EF15" s="18" t="n"/>
      <c r="EG15" s="18" t="n">
        <v>1</v>
      </c>
      <c r="EH15" s="18" t="n"/>
      <c r="EI15" s="256" t="n"/>
      <c r="EJ15" s="256" t="n"/>
      <c r="EK15" s="18" t="n"/>
      <c r="EL15" s="18" t="n"/>
      <c r="EM15" s="18" t="n"/>
      <c r="EN15" s="18" t="n"/>
      <c r="EO15" s="18" t="n"/>
      <c r="EP15" s="256" t="n"/>
      <c r="EQ15" s="256" t="n"/>
      <c r="ER15" s="18" t="n"/>
      <c r="ES15" s="18" t="n"/>
      <c r="ET15" s="18" t="n"/>
      <c r="EU15" s="18" t="n"/>
      <c r="EV15" s="18" t="n"/>
      <c r="EW15" s="18" t="n"/>
      <c r="EX15" s="18" t="n"/>
      <c r="EY15" s="18" t="n"/>
      <c r="EZ15" s="256" t="n"/>
      <c r="FA15" s="256" t="n"/>
      <c r="FB15" s="256" t="n"/>
      <c r="FC15" s="18" t="n"/>
      <c r="FD15" s="256" t="n">
        <v>2</v>
      </c>
      <c r="FE15" s="18" t="n"/>
      <c r="FF15" s="256" t="n"/>
      <c r="FG15" s="256" t="n"/>
      <c r="FH15" s="18" t="n"/>
      <c r="FI15" s="18" t="n"/>
      <c r="FJ15" s="18" t="n"/>
      <c r="FK15" s="18" t="n"/>
      <c r="FL15" s="18" t="n"/>
      <c r="FM15" s="256" t="n">
        <v>1</v>
      </c>
      <c r="FN15" s="18" t="n">
        <v>2</v>
      </c>
      <c r="FO15" s="18" t="n"/>
      <c r="FP15" s="18" t="n"/>
      <c r="FQ15" s="18" t="n"/>
      <c r="FR15" s="18" t="n"/>
      <c r="FS15" s="18" t="n"/>
      <c r="FT15" s="18" t="n"/>
      <c r="FU15" s="18" t="n"/>
      <c r="FV15" s="18" t="n"/>
      <c r="FW15" s="18" t="n"/>
      <c r="FX15" s="18" t="n"/>
      <c r="FY15" s="18" t="n"/>
      <c r="FZ15" s="18" t="n"/>
      <c r="GA15" s="18" t="n">
        <v>3</v>
      </c>
      <c r="GB15" s="256" t="n"/>
      <c r="GC15" s="18" t="n"/>
      <c r="GD15" s="18" t="n"/>
      <c r="GE15" s="18" t="n"/>
      <c r="GG15" s="29" t="inlineStr">
        <is>
          <t>ADESIVOS</t>
        </is>
      </c>
      <c r="GH15" s="9" t="n">
        <v>200</v>
      </c>
      <c r="GI15" s="38">
        <f>CP15</f>
        <v/>
      </c>
      <c r="GJ15" s="38" t="n">
        <v>5</v>
      </c>
      <c r="GK15" s="38" t="n">
        <v>4</v>
      </c>
      <c r="GL15" s="38" t="n">
        <v>3</v>
      </c>
      <c r="GM15" s="38" t="n">
        <v>3</v>
      </c>
      <c r="GN15" s="38" t="n">
        <v>0</v>
      </c>
      <c r="GO15" s="38" t="n"/>
      <c r="GP15" s="38" t="n"/>
      <c r="GQ15" s="38" t="n"/>
      <c r="GR15" s="9" t="n"/>
      <c r="GS15" s="9" t="n"/>
      <c r="GT15" s="9" t="n"/>
      <c r="GU15" s="246">
        <f>GS15+IF(NOT(ISBLANK(OFFSET(GU15,0,6))),N(OFFSET(GU15,0,6)),N(OFFSET(GU15,0,7)))-GT15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5</v>
      </c>
      <c r="E16" s="2" t="n"/>
      <c r="F16" s="38" t="n">
        <v>3</v>
      </c>
      <c r="G16" s="38" t="n">
        <v>3</v>
      </c>
      <c r="H16" s="38">
        <f>3+FV16</f>
        <v/>
      </c>
      <c r="I16" s="38" t="n">
        <v>3</v>
      </c>
      <c r="J16" s="38" t="n">
        <v>2</v>
      </c>
      <c r="K16" s="38">
        <f>2+FS16</f>
        <v/>
      </c>
      <c r="L16" s="38" t="n">
        <v>3</v>
      </c>
      <c r="M16" s="38" t="n">
        <v>2</v>
      </c>
      <c r="N16" s="38" t="n">
        <v>1</v>
      </c>
      <c r="O16" s="38">
        <f>1+FN16</f>
        <v/>
      </c>
      <c r="P16" s="38" t="n">
        <v>5</v>
      </c>
      <c r="Q16" s="38">
        <f>5+FK16</f>
        <v/>
      </c>
      <c r="R16" s="38" t="n">
        <v>6</v>
      </c>
      <c r="S16" s="38" t="n">
        <v>5</v>
      </c>
      <c r="T16" s="38" t="n">
        <v>4</v>
      </c>
      <c r="U16" s="38" t="n">
        <v>4</v>
      </c>
      <c r="V16" s="38" t="n">
        <v>2</v>
      </c>
      <c r="W16" s="38" t="n">
        <v>2</v>
      </c>
      <c r="X16" s="38" t="n">
        <v>5</v>
      </c>
      <c r="Y16" s="38" t="n">
        <v>4</v>
      </c>
      <c r="Z16" s="38" t="n">
        <v>3</v>
      </c>
      <c r="AA16" s="38" t="n">
        <v>2</v>
      </c>
      <c r="AB16" s="38">
        <f>1+EU16</f>
        <v/>
      </c>
      <c r="AC16" s="38" t="n">
        <v>2</v>
      </c>
      <c r="AD16" s="38" t="n">
        <v>7</v>
      </c>
      <c r="AE16" s="38" t="n">
        <v>6</v>
      </c>
      <c r="AF16" s="38" t="n">
        <v>5</v>
      </c>
      <c r="AG16" s="38">
        <f>4+EK16</f>
        <v/>
      </c>
      <c r="AH16" s="38" t="n">
        <v>4</v>
      </c>
      <c r="AI16" s="38" t="n">
        <v>4</v>
      </c>
      <c r="AJ16" s="38" t="n">
        <v>4</v>
      </c>
      <c r="AK16" s="38" t="n">
        <v>4</v>
      </c>
      <c r="AL16" s="38" t="n">
        <v>2</v>
      </c>
      <c r="AM16" s="38" t="n">
        <v>3</v>
      </c>
      <c r="AN16" s="38" t="n">
        <v>5</v>
      </c>
      <c r="AO16" s="38" t="n">
        <v>3</v>
      </c>
      <c r="AP16" s="38" t="n">
        <v>2</v>
      </c>
      <c r="AQ16" s="38" t="n">
        <v>0</v>
      </c>
      <c r="AR16" s="38" t="n">
        <v>0</v>
      </c>
      <c r="AS16" s="38" t="n">
        <v>1</v>
      </c>
      <c r="AT16" s="38" t="n">
        <v>3</v>
      </c>
      <c r="AU16" s="38">
        <f>1+DM16</f>
        <v/>
      </c>
      <c r="AV16" s="38" t="n">
        <v>3</v>
      </c>
      <c r="AW16" s="38" t="n">
        <v>2</v>
      </c>
      <c r="AX16" s="38" t="n">
        <v>2</v>
      </c>
      <c r="AY16" s="38" t="n">
        <v>2</v>
      </c>
      <c r="AZ16" s="38">
        <f>0+DG16</f>
        <v/>
      </c>
      <c r="BA16" s="38">
        <f>0+DF16</f>
        <v/>
      </c>
      <c r="BB16" s="38" t="n">
        <v>4</v>
      </c>
      <c r="BC16" s="38">
        <f>3+DE16</f>
        <v/>
      </c>
      <c r="BD16" s="38">
        <f>4+DD16</f>
        <v/>
      </c>
      <c r="BE16" s="38" t="n">
        <v>3</v>
      </c>
      <c r="BF16" s="38" t="n">
        <v>3</v>
      </c>
      <c r="BG16" s="38" t="n">
        <v>1</v>
      </c>
      <c r="BH16" s="38" t="n">
        <v>6</v>
      </c>
      <c r="BI16" s="38" t="n">
        <v>8</v>
      </c>
      <c r="BJ16" s="38" t="n">
        <v>7</v>
      </c>
      <c r="BK16" s="38" t="n">
        <v>7</v>
      </c>
      <c r="BL16" s="38" t="n">
        <v>7</v>
      </c>
      <c r="BM16" s="38" t="n">
        <v>7</v>
      </c>
      <c r="BN16" s="38" t="n">
        <v>6</v>
      </c>
      <c r="BO16" s="38" t="n">
        <v>5</v>
      </c>
      <c r="BP16" s="38" t="n">
        <v>4</v>
      </c>
      <c r="BQ16" s="38">
        <f>3+CQ16</f>
        <v/>
      </c>
      <c r="BR16" s="38" t="n">
        <v>2</v>
      </c>
      <c r="BS16" s="38">
        <f>1+CN16</f>
        <v/>
      </c>
      <c r="BT16" s="38" t="n">
        <v>3</v>
      </c>
      <c r="BU16" s="38" t="n">
        <v>6</v>
      </c>
      <c r="BV16" s="38" t="n">
        <v>5</v>
      </c>
      <c r="BW16" s="38" t="n">
        <v>3</v>
      </c>
      <c r="BX16" s="38">
        <f>3+CL16</f>
        <v/>
      </c>
      <c r="BY16" s="38" t="n">
        <v>3</v>
      </c>
      <c r="BZ16" s="38" t="n"/>
      <c r="CA16" s="38" t="n"/>
      <c r="CB16" s="38" t="n"/>
      <c r="CC16" s="9" t="n"/>
      <c r="CD16" s="9" t="n"/>
      <c r="CE16" s="9" t="n"/>
      <c r="CF16" s="154">
        <f>CD16+IF(NOT(ISBLANK(OFFSET(CF16,0,6))),N(OFFSET(CF16,0,6)),N(OFFSET(CF16,0,7)))-CE16</f>
        <v/>
      </c>
      <c r="CG16" s="2" t="n"/>
      <c r="CH16" s="19" t="n"/>
      <c r="CI16" s="19" t="n">
        <v>3</v>
      </c>
      <c r="CJ16" s="4" t="n"/>
      <c r="CK16" s="23" t="n"/>
      <c r="CL16" s="691" t="n">
        <v>0</v>
      </c>
      <c r="CM16" s="18" t="n">
        <v>0</v>
      </c>
      <c r="CN16" s="18" t="n">
        <v>0</v>
      </c>
      <c r="CO16" s="18" t="n">
        <v>2</v>
      </c>
      <c r="CP16" s="18" t="n">
        <v>3</v>
      </c>
      <c r="CQ16" s="18" t="n">
        <v>2</v>
      </c>
      <c r="CR16" s="18" t="n"/>
      <c r="CS16" s="356" t="n"/>
      <c r="CT16" s="18" t="n">
        <v>1</v>
      </c>
      <c r="CU16" s="18" t="n"/>
      <c r="CV16" s="18" t="n"/>
      <c r="CW16" s="18" t="n"/>
      <c r="CX16" s="18" t="n"/>
      <c r="CY16" s="18" t="n">
        <v>1</v>
      </c>
      <c r="CZ16" s="18" t="n">
        <v>1</v>
      </c>
      <c r="DA16" s="18" t="n"/>
      <c r="DB16" s="18" t="n"/>
      <c r="DC16" s="18" t="n"/>
      <c r="DD16" s="18" t="n">
        <v>2</v>
      </c>
      <c r="DE16" s="18" t="n">
        <v>5</v>
      </c>
      <c r="DF16" s="18" t="n"/>
      <c r="DG16" s="18" t="n">
        <v>2</v>
      </c>
      <c r="DH16" s="18" t="n">
        <v>1</v>
      </c>
      <c r="DI16" s="18" t="n">
        <v>5</v>
      </c>
      <c r="DJ16" s="18" t="n">
        <v>1</v>
      </c>
      <c r="DK16" s="18" t="n">
        <v>2</v>
      </c>
      <c r="DL16" s="18" t="n"/>
      <c r="DM16" s="256" t="n"/>
      <c r="DN16" s="18" t="n"/>
      <c r="DO16" s="18" t="n"/>
      <c r="DP16" s="18" t="n">
        <v>2</v>
      </c>
      <c r="DQ16" s="256" t="n"/>
      <c r="DR16" s="18" t="n">
        <v>3</v>
      </c>
      <c r="DS16" s="18" t="n"/>
      <c r="DT16" s="18" t="n">
        <v>2</v>
      </c>
      <c r="DU16" s="256" t="n"/>
      <c r="DV16" s="18" t="n"/>
      <c r="DW16" s="18" t="n"/>
      <c r="DX16" s="18" t="n"/>
      <c r="DY16" s="18" t="n"/>
      <c r="DZ16" s="18" t="n"/>
      <c r="EA16" s="18" t="n"/>
      <c r="EB16" s="18" t="n"/>
      <c r="EC16" s="18" t="n"/>
      <c r="ED16" s="18" t="n">
        <v>2</v>
      </c>
      <c r="EE16" s="18" t="n">
        <v>1</v>
      </c>
      <c r="EF16" s="18" t="n"/>
      <c r="EG16" s="18" t="n">
        <v>2</v>
      </c>
      <c r="EH16" s="18" t="n"/>
      <c r="EI16" s="256" t="n"/>
      <c r="EJ16" s="256" t="n"/>
      <c r="EK16" s="18" t="n">
        <v>2</v>
      </c>
      <c r="EL16" s="18" t="n"/>
      <c r="EM16" s="18" t="n"/>
      <c r="EN16" s="18" t="n">
        <v>1</v>
      </c>
      <c r="EO16" s="18" t="n"/>
      <c r="EP16" s="256" t="n"/>
      <c r="EQ16" s="256" t="n"/>
      <c r="ER16" s="18" t="n"/>
      <c r="ES16" s="18" t="n"/>
      <c r="ET16" s="18" t="n"/>
      <c r="EU16" s="18" t="n">
        <v>6</v>
      </c>
      <c r="EV16" s="18" t="n"/>
      <c r="EW16" s="18" t="n"/>
      <c r="EX16" s="18" t="n">
        <v>1</v>
      </c>
      <c r="EY16" s="18" t="n"/>
      <c r="EZ16" s="256" t="n"/>
      <c r="FA16" s="256" t="n"/>
      <c r="FB16" s="256" t="n"/>
      <c r="FC16" s="18" t="n"/>
      <c r="FD16" s="256" t="n"/>
      <c r="FE16" s="18" t="n"/>
      <c r="FF16" s="256" t="n"/>
      <c r="FG16" s="256" t="n"/>
      <c r="FH16" s="18" t="n">
        <v>4</v>
      </c>
      <c r="FI16" s="18" t="n"/>
      <c r="FJ16" s="18" t="n"/>
      <c r="FK16" s="18" t="n"/>
      <c r="FL16" s="18" t="n"/>
      <c r="FM16" s="256" t="n">
        <v>2</v>
      </c>
      <c r="FN16" s="18" t="n">
        <v>2</v>
      </c>
      <c r="FO16" s="18" t="n"/>
      <c r="FP16" s="18" t="n"/>
      <c r="FQ16" s="18" t="n">
        <v>5</v>
      </c>
      <c r="FR16" s="18" t="n"/>
      <c r="FS16" s="18" t="n">
        <v>1</v>
      </c>
      <c r="FT16" s="18" t="n"/>
      <c r="FU16" s="18" t="n"/>
      <c r="FV16" s="18" t="n">
        <v>2</v>
      </c>
      <c r="FW16" s="18" t="n"/>
      <c r="FX16" s="18" t="n"/>
      <c r="FY16" s="18" t="n">
        <v>1</v>
      </c>
      <c r="FZ16" s="18" t="n"/>
      <c r="GA16" s="18" t="n"/>
      <c r="GB16" s="256" t="n"/>
      <c r="GC16" s="18" t="n"/>
      <c r="GD16" s="18" t="n"/>
      <c r="GE16" s="18" t="n">
        <v>3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38" t="n">
        <v>4</v>
      </c>
      <c r="G17" s="38">
        <f>3+FX17</f>
        <v/>
      </c>
      <c r="H17" s="38" t="n">
        <v>6</v>
      </c>
      <c r="I17" s="38" t="n">
        <v>5</v>
      </c>
      <c r="J17" s="38" t="n">
        <v>5</v>
      </c>
      <c r="K17" s="38" t="n">
        <v>4</v>
      </c>
      <c r="L17" s="38" t="n">
        <v>3</v>
      </c>
      <c r="M17" s="38" t="n">
        <v>3</v>
      </c>
      <c r="N17" s="38" t="n">
        <v>4</v>
      </c>
      <c r="O17" s="38" t="n">
        <v>3</v>
      </c>
      <c r="P17" s="38">
        <f>3+FL17</f>
        <v/>
      </c>
      <c r="Q17" s="38" t="n">
        <v>5</v>
      </c>
      <c r="R17" s="38" t="n">
        <v>4</v>
      </c>
      <c r="S17" s="38" t="n">
        <v>3</v>
      </c>
      <c r="T17" s="38">
        <f>3+FG17</f>
        <v/>
      </c>
      <c r="U17" s="38" t="n">
        <v>4</v>
      </c>
      <c r="V17" s="38" t="n">
        <v>2</v>
      </c>
      <c r="W17" s="38" t="n">
        <v>2</v>
      </c>
      <c r="X17" s="38" t="n">
        <v>4</v>
      </c>
      <c r="Y17" s="38" t="n">
        <v>2</v>
      </c>
      <c r="Z17" s="38">
        <f>2+1</f>
        <v/>
      </c>
      <c r="AA17" s="38" t="n">
        <v>2</v>
      </c>
      <c r="AB17" s="38">
        <f>1+EU17</f>
        <v/>
      </c>
      <c r="AC17" s="38" t="n">
        <v>2</v>
      </c>
      <c r="AD17" s="38" t="n">
        <v>1</v>
      </c>
      <c r="AE17" s="38">
        <f>1+EO17</f>
        <v/>
      </c>
      <c r="AF17" s="38" t="n">
        <v>3</v>
      </c>
      <c r="AG17" s="38" t="n">
        <v>2</v>
      </c>
      <c r="AH17" s="38" t="n">
        <v>1</v>
      </c>
      <c r="AI17" s="38">
        <f>3+EI17</f>
        <v/>
      </c>
      <c r="AJ17" s="38" t="n">
        <v>4</v>
      </c>
      <c r="AK17" s="38" t="n">
        <v>3</v>
      </c>
      <c r="AL17" s="38" t="n">
        <v>3</v>
      </c>
      <c r="AM17" s="38" t="n">
        <v>2</v>
      </c>
      <c r="AN17" s="38" t="n">
        <v>2</v>
      </c>
      <c r="AO17" s="38" t="n">
        <v>2</v>
      </c>
      <c r="AP17" s="38" t="n">
        <v>2</v>
      </c>
      <c r="AQ17" s="38">
        <f>1-1</f>
        <v/>
      </c>
      <c r="AR17" s="38" t="n">
        <v>0</v>
      </c>
      <c r="AS17" s="38">
        <f>1+DP17</f>
        <v/>
      </c>
      <c r="AT17" s="38" t="n">
        <v>2</v>
      </c>
      <c r="AU17" s="38">
        <f>2+DM17</f>
        <v/>
      </c>
      <c r="AV17" s="38" t="n">
        <v>2</v>
      </c>
      <c r="AW17" s="38" t="n">
        <v>3</v>
      </c>
      <c r="AX17" s="38" t="n">
        <v>3</v>
      </c>
      <c r="AY17" s="38" t="n">
        <v>3</v>
      </c>
      <c r="AZ17" s="38">
        <f>3+DG17</f>
        <v/>
      </c>
      <c r="BA17" s="38">
        <f>3+DF17</f>
        <v/>
      </c>
      <c r="BB17" s="38" t="n">
        <v>3</v>
      </c>
      <c r="BC17" s="38">
        <f>2+DE17</f>
        <v/>
      </c>
      <c r="BD17" s="38">
        <f>3+DD17</f>
        <v/>
      </c>
      <c r="BE17" s="38" t="n">
        <v>3</v>
      </c>
      <c r="BF17" s="38" t="n">
        <v>2</v>
      </c>
      <c r="BG17" s="38" t="n">
        <v>1</v>
      </c>
      <c r="BH17" s="38" t="n">
        <v>3</v>
      </c>
      <c r="BI17" s="38" t="n">
        <v>4</v>
      </c>
      <c r="BJ17" s="38" t="n">
        <v>4</v>
      </c>
      <c r="BK17" s="38" t="n">
        <v>3</v>
      </c>
      <c r="BL17" s="38" t="n">
        <v>2</v>
      </c>
      <c r="BM17" s="38" t="n">
        <v>2</v>
      </c>
      <c r="BN17" s="38">
        <f>1+1</f>
        <v/>
      </c>
      <c r="BO17" s="38" t="n">
        <v>1</v>
      </c>
      <c r="BP17" s="38" t="n">
        <v>1</v>
      </c>
      <c r="BQ17" s="38">
        <f>0+CQ17</f>
        <v/>
      </c>
      <c r="BR17" s="38" t="n">
        <v>1</v>
      </c>
      <c r="BS17" s="38">
        <f>0+CN17</f>
        <v/>
      </c>
      <c r="BT17" s="38" t="n">
        <v>2</v>
      </c>
      <c r="BU17" s="38" t="n">
        <v>3</v>
      </c>
      <c r="BV17" s="38" t="n">
        <v>2</v>
      </c>
      <c r="BW17" s="38" t="n">
        <v>1</v>
      </c>
      <c r="BX17" s="38">
        <f>1+CL17</f>
        <v/>
      </c>
      <c r="BY17" s="38" t="n">
        <v>3</v>
      </c>
      <c r="BZ17" s="38" t="n"/>
      <c r="CA17" s="38" t="n"/>
      <c r="CB17" s="38" t="n"/>
      <c r="CC17" s="9" t="n"/>
      <c r="CD17" s="9" t="n"/>
      <c r="CE17" s="9" t="n"/>
      <c r="CF17" s="154">
        <f>CD17+IF(NOT(ISBLANK(OFFSET(CF17,0,6))),N(OFFSET(CF17,0,6)),N(OFFSET(CF17,0,7)))-CE17</f>
        <v/>
      </c>
      <c r="CG17" s="2" t="n"/>
      <c r="CH17" s="19" t="n"/>
      <c r="CI17" s="19" t="n"/>
      <c r="CJ17" s="4" t="n"/>
      <c r="CK17" s="23" t="n"/>
      <c r="CL17" s="691" t="n">
        <v>0</v>
      </c>
      <c r="CM17" s="18" t="n">
        <v>0</v>
      </c>
      <c r="CN17" s="18" t="n">
        <v>0</v>
      </c>
      <c r="CO17" s="18" t="n">
        <v>3</v>
      </c>
      <c r="CP17" s="18" t="n">
        <v>1</v>
      </c>
      <c r="CQ17" s="18" t="n">
        <v>3</v>
      </c>
      <c r="CR17" s="18" t="n"/>
      <c r="CS17" s="356" t="n"/>
      <c r="CT17" s="18" t="n">
        <v>2</v>
      </c>
      <c r="CU17" s="154" t="inlineStr">
        <is>
          <t>01 DE MG</t>
        </is>
      </c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>
        <v>2</v>
      </c>
      <c r="DE17" s="18" t="n">
        <v>2</v>
      </c>
      <c r="DF17" s="18" t="n"/>
      <c r="DG17" s="18" t="n">
        <v>2</v>
      </c>
      <c r="DH17" s="18" t="n">
        <v>1</v>
      </c>
      <c r="DI17" s="18" t="n">
        <v>1</v>
      </c>
      <c r="DJ17" s="18" t="n">
        <v>1</v>
      </c>
      <c r="DK17" s="18" t="n"/>
      <c r="DL17" s="18" t="n">
        <v>3</v>
      </c>
      <c r="DM17" s="256" t="n"/>
      <c r="DN17" s="18" t="n"/>
      <c r="DO17" s="18" t="n"/>
      <c r="DP17" s="18" t="n">
        <v>2</v>
      </c>
      <c r="DQ17" s="256" t="n"/>
      <c r="DR17" s="18" t="n">
        <v>1</v>
      </c>
      <c r="DS17" s="18" t="n">
        <v>1</v>
      </c>
      <c r="DT17" s="18" t="n">
        <v>1</v>
      </c>
      <c r="DU17" s="256" t="n"/>
      <c r="DV17" s="18" t="n"/>
      <c r="DW17" s="154" t="inlineStr">
        <is>
          <t>01 P/ PL</t>
        </is>
      </c>
      <c r="DX17" s="18" t="n"/>
      <c r="DY17" s="18" t="n"/>
      <c r="DZ17" s="18" t="n"/>
      <c r="EA17" s="18" t="n"/>
      <c r="EB17" s="18" t="n">
        <v>1</v>
      </c>
      <c r="EC17" s="18" t="n"/>
      <c r="ED17" s="18" t="n">
        <v>1</v>
      </c>
      <c r="EE17" s="18" t="n"/>
      <c r="EF17" s="18" t="n"/>
      <c r="EG17" s="18" t="n"/>
      <c r="EH17" s="18" t="n"/>
      <c r="EI17" s="256" t="n"/>
      <c r="EJ17" s="256" t="n"/>
      <c r="EK17" s="18" t="n"/>
      <c r="EL17" s="18" t="n">
        <v>1</v>
      </c>
      <c r="EM17" s="18" t="n">
        <v>2</v>
      </c>
      <c r="EN17" s="18" t="n"/>
      <c r="EO17" s="18" t="n"/>
      <c r="EP17" s="256" t="n"/>
      <c r="EQ17" s="256" t="n"/>
      <c r="ER17" s="18" t="n">
        <v>3</v>
      </c>
      <c r="ES17" s="18" t="n"/>
      <c r="ET17" s="18" t="n"/>
      <c r="EU17" s="18" t="n">
        <v>1</v>
      </c>
      <c r="EV17" s="18" t="n"/>
      <c r="EW17" s="18" t="n"/>
      <c r="EX17" s="18" t="n">
        <v>1</v>
      </c>
      <c r="EY17" s="18" t="n"/>
      <c r="EZ17" s="241" t="inlineStr">
        <is>
          <t>01 DE PL</t>
        </is>
      </c>
      <c r="FA17" s="256" t="n"/>
      <c r="FB17" s="256" t="n"/>
      <c r="FC17" s="18" t="n"/>
      <c r="FD17" s="256" t="n"/>
      <c r="FE17" s="18" t="n"/>
      <c r="FF17" s="256" t="n"/>
      <c r="FG17" s="256" t="n"/>
      <c r="FH17" s="18" t="n">
        <v>3</v>
      </c>
      <c r="FI17" s="18" t="n"/>
      <c r="FJ17" s="18" t="n">
        <v>1</v>
      </c>
      <c r="FK17" s="18" t="n"/>
      <c r="FL17" s="18" t="n"/>
      <c r="FM17" s="256" t="n"/>
      <c r="FN17" s="18" t="n"/>
      <c r="FO17" s="18" t="n">
        <v>3</v>
      </c>
      <c r="FP17" s="18" t="n"/>
      <c r="FQ17" s="18" t="n"/>
      <c r="FR17" s="18" t="n"/>
      <c r="FS17" s="18" t="n">
        <v>1</v>
      </c>
      <c r="FT17" s="18" t="n"/>
      <c r="FU17" s="18" t="n"/>
      <c r="FV17" s="18" t="n"/>
      <c r="FW17" s="18" t="n"/>
      <c r="FX17" s="18" t="n"/>
      <c r="FY17" s="18" t="n"/>
      <c r="FZ17" s="18" t="n"/>
      <c r="GA17" s="18" t="n">
        <v>3</v>
      </c>
      <c r="GB17" s="256" t="n"/>
      <c r="GC17" s="18" t="n"/>
      <c r="GD17" s="18" t="n"/>
      <c r="GE17" s="18" t="n">
        <v>4</v>
      </c>
    </row>
    <row r="18" ht="18.75" customFormat="1" customHeight="1" s="3">
      <c r="A18" s="31" t="n"/>
      <c r="C18" s="664" t="n"/>
      <c r="D18" s="398" t="n"/>
      <c r="R18" s="282" t="n"/>
      <c r="Z18" s="3" t="inlineStr">
        <is>
          <t> </t>
        </is>
      </c>
      <c r="CH18" s="16" t="n"/>
      <c r="CI18" s="16" t="n"/>
      <c r="CL18" s="16" t="n"/>
      <c r="CM18" s="16" t="n"/>
      <c r="CN18" s="16" t="n"/>
      <c r="CO18" s="16" t="n"/>
      <c r="CP18" s="16" t="n"/>
      <c r="CQ18" s="16" t="n"/>
      <c r="CR18" s="16" t="n"/>
      <c r="CS18" s="258" t="n"/>
      <c r="CT18" s="16" t="n"/>
      <c r="CU18" s="16" t="n"/>
      <c r="CV18" s="16" t="n"/>
      <c r="CW18" s="16" t="n"/>
      <c r="CX18" s="16" t="n"/>
      <c r="CY18" s="16" t="n"/>
      <c r="CZ18" s="16" t="n"/>
      <c r="DA18" s="16" t="n"/>
      <c r="DB18" s="16" t="n"/>
      <c r="DC18" s="16" t="n"/>
      <c r="DK18" s="16" t="n"/>
      <c r="DL18" s="16" t="n"/>
      <c r="DN18" s="16" t="n"/>
      <c r="DO18" s="16" t="n"/>
      <c r="DP18" s="16" t="n"/>
      <c r="DR18" s="16" t="n"/>
      <c r="DS18" s="16" t="n"/>
      <c r="DT18" s="16" t="n"/>
      <c r="DU18" s="16" t="n"/>
      <c r="DV18" s="16" t="n"/>
      <c r="DW18" s="16" t="n"/>
      <c r="DX18" s="16" t="n"/>
      <c r="DY18" s="16" t="n"/>
      <c r="DZ18" s="16" t="n"/>
      <c r="EA18" s="16" t="n"/>
      <c r="EB18" s="16" t="n"/>
      <c r="EC18" s="16" t="n"/>
      <c r="ED18" s="16" t="n"/>
      <c r="EE18" s="16" t="n"/>
      <c r="EF18" s="16" t="n"/>
      <c r="EG18" s="16" t="n"/>
      <c r="EH18" s="16" t="n"/>
      <c r="EI18" s="258" t="n"/>
      <c r="EJ18" s="258" t="n"/>
      <c r="EK18" s="16" t="n"/>
      <c r="EL18" s="16" t="n"/>
      <c r="EM18" s="16" t="n"/>
      <c r="EN18" s="16" t="n"/>
      <c r="EO18" s="16" t="n"/>
      <c r="EP18" s="258" t="n"/>
      <c r="EQ18" s="258" t="n"/>
      <c r="ER18" s="16" t="n"/>
      <c r="ES18" s="16" t="n"/>
      <c r="ET18" s="16" t="n"/>
      <c r="EU18" s="16" t="n"/>
      <c r="EV18" s="16" t="n"/>
      <c r="EW18" s="16" t="n"/>
      <c r="EX18" s="16" t="n"/>
      <c r="EY18" s="16" t="n"/>
      <c r="EZ18" s="272" t="n"/>
      <c r="FA18" s="16" t="n"/>
      <c r="FB18" s="1" t="n"/>
      <c r="FC18" s="16" t="n"/>
      <c r="FD18" s="16" t="n"/>
      <c r="FE18" s="16" t="n"/>
      <c r="FF18" s="1" t="n"/>
      <c r="FG18" s="1" t="n"/>
      <c r="FH18" s="16" t="n"/>
      <c r="FI18" s="16" t="n"/>
      <c r="FJ18" s="16" t="n"/>
      <c r="FK18" s="16" t="n"/>
      <c r="FL18" s="16" t="n"/>
      <c r="FM18" s="1" t="n"/>
      <c r="FN18" s="16" t="n"/>
      <c r="FO18" s="16" t="n"/>
      <c r="FP18" s="16" t="n"/>
      <c r="FQ18" s="16" t="n"/>
      <c r="FR18" s="16" t="n"/>
      <c r="FS18" s="16" t="n"/>
      <c r="FT18" s="16" t="n"/>
      <c r="FU18" s="16" t="n"/>
      <c r="FV18" s="16" t="n"/>
      <c r="FW18" s="16" t="n"/>
      <c r="FX18" s="16" t="n"/>
      <c r="FY18" s="16" t="n"/>
      <c r="FZ18" s="16" t="n"/>
      <c r="GA18" s="16" t="n"/>
      <c r="GB18" s="258" t="n"/>
      <c r="GC18" s="16" t="n"/>
      <c r="GD18" s="16" t="n"/>
      <c r="GE18" s="16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86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1" t="n">
        <v>46161.48002762732</v>
      </c>
      <c r="CD19" s="651" t="n">
        <v>46161.48070743056</v>
      </c>
      <c r="CE19" s="651" t="n">
        <v>46161.48286576539</v>
      </c>
      <c r="CF19" s="652" t="inlineStr">
        <is>
          <t>USOU</t>
        </is>
      </c>
      <c r="CH19" s="413" t="inlineStr">
        <is>
          <t>TRANSFERÊNCIA</t>
        </is>
      </c>
      <c r="CI19" s="35" t="inlineStr">
        <is>
          <t>Pendências</t>
        </is>
      </c>
      <c r="CJ19" s="4" t="n"/>
      <c r="CK19" s="12" t="inlineStr">
        <is>
          <t>Novo Pedido</t>
        </is>
      </c>
      <c r="CL19" s="677" t="n">
        <v>46161.48286454205</v>
      </c>
      <c r="CM19" s="646" t="n">
        <v>46156</v>
      </c>
      <c r="CN19" s="646" t="n">
        <v>46149</v>
      </c>
      <c r="CO19" s="646" t="n">
        <v>46142</v>
      </c>
      <c r="CP19" s="646" t="n">
        <v>46114</v>
      </c>
      <c r="CQ19" s="646" t="n">
        <v>46107</v>
      </c>
      <c r="CR19" s="646" t="n">
        <v>46099</v>
      </c>
      <c r="CS19" s="647" t="n">
        <v>46065</v>
      </c>
      <c r="CT19" s="646" t="n">
        <v>46092</v>
      </c>
      <c r="CU19" s="655" t="n">
        <v>46079</v>
      </c>
      <c r="CV19" s="646" t="n">
        <v>46077</v>
      </c>
      <c r="CW19" s="646" t="n">
        <v>46071</v>
      </c>
      <c r="CX19" s="646" t="n">
        <v>46056</v>
      </c>
      <c r="CY19" s="646" t="n">
        <v>46056</v>
      </c>
      <c r="CZ19" s="646" t="n">
        <v>46048</v>
      </c>
      <c r="DA19" s="646" t="n">
        <v>46043</v>
      </c>
      <c r="DB19" s="646" t="n">
        <v>46035</v>
      </c>
      <c r="DC19" s="646" t="n">
        <v>46035</v>
      </c>
      <c r="DD19" s="646" t="n">
        <v>46029</v>
      </c>
      <c r="DE19" s="646" t="n">
        <v>46017</v>
      </c>
      <c r="DF19" s="646" t="n">
        <v>46007</v>
      </c>
      <c r="DG19" s="646" t="n">
        <v>46001</v>
      </c>
      <c r="DH19" s="646" t="n">
        <v>45994</v>
      </c>
      <c r="DI19" s="646" t="n">
        <v>45980</v>
      </c>
      <c r="DJ19" s="646" t="n">
        <v>45973</v>
      </c>
      <c r="DK19" s="646" t="n">
        <v>45960</v>
      </c>
      <c r="DL19" s="646" t="n">
        <v>45951</v>
      </c>
      <c r="DM19" s="687" t="n">
        <v>45952</v>
      </c>
      <c r="DN19" s="646" t="n">
        <v>45945</v>
      </c>
      <c r="DO19" s="646" t="n">
        <v>45931</v>
      </c>
      <c r="DP19" s="646" t="n">
        <v>45937</v>
      </c>
      <c r="DQ19" s="678" t="n">
        <v>45903</v>
      </c>
      <c r="DR19" s="646" t="n">
        <v>45931</v>
      </c>
      <c r="DS19" s="646" t="n">
        <v>45923</v>
      </c>
      <c r="DT19" s="646" t="n">
        <v>45915</v>
      </c>
      <c r="DU19" s="688" t="n">
        <v>45924</v>
      </c>
      <c r="DV19" s="646" t="n">
        <v>45909</v>
      </c>
      <c r="DW19" s="655" t="n">
        <v>45920</v>
      </c>
      <c r="DX19" s="646" t="n">
        <v>45909</v>
      </c>
      <c r="DY19" s="655" t="n">
        <v>45913</v>
      </c>
      <c r="DZ19" s="646" t="n">
        <v>45903</v>
      </c>
      <c r="EA19" s="646" t="n">
        <v>45903</v>
      </c>
      <c r="EB19" s="646" t="n">
        <v>45895</v>
      </c>
      <c r="EC19" s="689" t="n">
        <v>45897</v>
      </c>
      <c r="ED19" s="646" t="n">
        <v>45888</v>
      </c>
      <c r="EE19" s="646" t="n">
        <v>45881</v>
      </c>
      <c r="EF19" s="655" t="n">
        <v>45885</v>
      </c>
      <c r="EG19" s="646" t="n">
        <v>45874</v>
      </c>
      <c r="EH19" s="646" t="n">
        <v>45867</v>
      </c>
      <c r="EI19" s="681" t="n">
        <v>45867</v>
      </c>
      <c r="EJ19" s="682" t="n">
        <v>45866</v>
      </c>
      <c r="EK19" s="646" t="n">
        <v>45860</v>
      </c>
      <c r="EL19" s="646" t="n">
        <v>45853</v>
      </c>
      <c r="EM19" s="646" t="n">
        <v>45848</v>
      </c>
      <c r="EN19" s="646" t="n">
        <v>45839</v>
      </c>
      <c r="EO19" s="646" t="n">
        <v>45832</v>
      </c>
      <c r="EP19" s="681" t="n">
        <v>45836</v>
      </c>
      <c r="EQ19" s="681" t="n">
        <v>45791</v>
      </c>
      <c r="ER19" s="646" t="n">
        <v>45825</v>
      </c>
      <c r="ES19" s="655" t="n">
        <v>45825</v>
      </c>
      <c r="ET19" s="646" t="n">
        <v>45819</v>
      </c>
      <c r="EU19" s="646" t="n">
        <v>45813</v>
      </c>
      <c r="EV19" s="655" t="n">
        <v>45820</v>
      </c>
      <c r="EW19" s="646" t="n">
        <v>45798</v>
      </c>
      <c r="EX19" s="646" t="n">
        <v>45805</v>
      </c>
      <c r="EY19" s="655" t="n">
        <v>45799</v>
      </c>
      <c r="EZ19" s="655" t="n">
        <v>45798</v>
      </c>
      <c r="FA19" s="690" t="n">
        <v>45798</v>
      </c>
      <c r="FB19" s="684" t="n">
        <v>45798</v>
      </c>
      <c r="FC19" s="689" t="n">
        <v>45798</v>
      </c>
      <c r="FD19" s="683" t="n">
        <v>45735</v>
      </c>
      <c r="FE19" s="655" t="n">
        <v>45789</v>
      </c>
      <c r="FF19" s="684" t="n">
        <v>45789</v>
      </c>
      <c r="FG19" s="684" t="n">
        <v>45782</v>
      </c>
      <c r="FH19" s="646" t="n">
        <v>45770</v>
      </c>
      <c r="FI19" s="646" t="n">
        <v>45756</v>
      </c>
      <c r="FJ19" s="646" t="n">
        <v>45749</v>
      </c>
      <c r="FK19" s="646" t="n">
        <v>45743</v>
      </c>
      <c r="FL19" s="655" t="n">
        <v>45744</v>
      </c>
      <c r="FM19" s="684" t="n">
        <v>45700</v>
      </c>
      <c r="FN19" s="646" t="n">
        <v>45728</v>
      </c>
      <c r="FO19" s="646" t="n">
        <v>45722</v>
      </c>
      <c r="FP19" s="689" t="n">
        <v>45723</v>
      </c>
      <c r="FQ19" s="646" t="n">
        <v>45714</v>
      </c>
      <c r="FR19" s="646" t="n">
        <v>45706</v>
      </c>
      <c r="FS19" s="646" t="n">
        <v>45699</v>
      </c>
      <c r="FT19" s="646" t="n">
        <v>45693</v>
      </c>
      <c r="FU19" s="655" t="n">
        <v>45700</v>
      </c>
      <c r="FV19" s="646" t="n">
        <v>45685</v>
      </c>
      <c r="FW19" s="655" t="n">
        <v>45685</v>
      </c>
      <c r="FX19" s="646" t="n">
        <v>45674</v>
      </c>
      <c r="FY19" s="646" t="n">
        <v>45664</v>
      </c>
      <c r="FZ19" s="655" t="n">
        <v>45670</v>
      </c>
      <c r="GA19" s="646" t="n">
        <v>45660</v>
      </c>
      <c r="GB19" s="685" t="n">
        <v>45665</v>
      </c>
      <c r="GC19" s="655" t="n">
        <v>45661</v>
      </c>
      <c r="GD19" s="646" t="n">
        <v>45638</v>
      </c>
      <c r="GE19" s="646" t="n">
        <v>45643</v>
      </c>
      <c r="GG19" s="267" t="inlineStr">
        <is>
          <t>CAIXAS</t>
        </is>
      </c>
      <c r="GH19" s="205" t="inlineStr">
        <is>
          <t>PCT</t>
        </is>
      </c>
      <c r="GI19" s="650" t="n">
        <v>46118</v>
      </c>
      <c r="GJ19" s="650" t="n">
        <v>46125</v>
      </c>
      <c r="GK19" s="650" t="n">
        <v>46132</v>
      </c>
      <c r="GL19" s="650" t="n">
        <v>46139</v>
      </c>
      <c r="GM19" s="650" t="n">
        <v>46146</v>
      </c>
      <c r="GN19" s="650" t="n">
        <v>46154</v>
      </c>
      <c r="GO19" s="650" t="n">
        <v>46160</v>
      </c>
      <c r="GP19" s="650" t="n">
        <v>46160</v>
      </c>
      <c r="GQ19" s="650" t="n">
        <v>46160</v>
      </c>
      <c r="GR19" s="651" t="n">
        <v>46161.48002700231</v>
      </c>
      <c r="GS19" s="651" t="n">
        <v>46161.48070678241</v>
      </c>
      <c r="GT19" s="651" t="n">
        <v>46161.48286515271</v>
      </c>
      <c r="GU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150</v>
      </c>
      <c r="E20" s="2" t="n"/>
      <c r="F20" s="38">
        <f>221-150</f>
        <v/>
      </c>
      <c r="G20" s="38">
        <f>71+100</f>
        <v/>
      </c>
      <c r="H20" s="38" t="n">
        <v>171</v>
      </c>
      <c r="I20" s="38" t="n">
        <v>147</v>
      </c>
      <c r="J20" s="38">
        <f>118-80</f>
        <v/>
      </c>
      <c r="K20" s="38" t="n">
        <v>2</v>
      </c>
      <c r="L20" s="38" t="n">
        <v>0</v>
      </c>
      <c r="M20" s="38">
        <f>0+FQ20</f>
        <v/>
      </c>
      <c r="N20" s="38" t="n">
        <v>271</v>
      </c>
      <c r="O20" s="38" t="n">
        <v>243</v>
      </c>
      <c r="P20" s="38" t="n">
        <v>199</v>
      </c>
      <c r="Q20" s="38">
        <f>165+FK20</f>
        <v/>
      </c>
      <c r="R20" s="38" t="n">
        <v>278</v>
      </c>
      <c r="S20" s="38" t="n">
        <v>248</v>
      </c>
      <c r="T20" s="38" t="n">
        <v>223</v>
      </c>
      <c r="U20" s="38" t="n">
        <v>193</v>
      </c>
      <c r="V20" s="38" t="n">
        <v>192</v>
      </c>
      <c r="W20" s="38" t="n">
        <v>192</v>
      </c>
      <c r="X20" s="38" t="n">
        <v>192</v>
      </c>
      <c r="Y20" s="38" t="n">
        <v>192</v>
      </c>
      <c r="Z20" s="38" t="n">
        <v>181</v>
      </c>
      <c r="AA20" s="38" t="n">
        <v>172</v>
      </c>
      <c r="AB20" s="38" t="n">
        <v>141</v>
      </c>
      <c r="AC20" s="38">
        <f>96+100</f>
        <v/>
      </c>
      <c r="AD20" s="38">
        <f>103+EQ20</f>
        <v/>
      </c>
      <c r="AE20" s="38" t="n">
        <v>210</v>
      </c>
      <c r="AF20" s="38" t="n">
        <v>130</v>
      </c>
      <c r="AG20" s="38">
        <f>104+EK20</f>
        <v/>
      </c>
      <c r="AH20" s="38" t="n">
        <v>195</v>
      </c>
      <c r="AI20" s="38" t="n">
        <v>155</v>
      </c>
      <c r="AJ20" s="38" t="n">
        <v>131</v>
      </c>
      <c r="AK20" s="38" t="n">
        <v>246</v>
      </c>
      <c r="AL20" s="38" t="n">
        <v>147</v>
      </c>
      <c r="AM20" s="38">
        <f>104+50</f>
        <v/>
      </c>
      <c r="AN20" s="38">
        <f>104+EB20</f>
        <v/>
      </c>
      <c r="AO20" s="38" t="n">
        <v>166</v>
      </c>
      <c r="AP20" s="38" t="n">
        <v>307</v>
      </c>
      <c r="AQ20" s="38" t="n">
        <v>245</v>
      </c>
      <c r="AR20" s="38" t="n">
        <v>195</v>
      </c>
      <c r="AS20" s="38">
        <f>163+DP20</f>
        <v/>
      </c>
      <c r="AT20" s="38" t="n">
        <v>276</v>
      </c>
      <c r="AU20" s="38" t="n">
        <v>230</v>
      </c>
      <c r="AV20" s="38" t="n">
        <v>175</v>
      </c>
      <c r="AW20" s="38">
        <f>128+DI20</f>
        <v/>
      </c>
      <c r="AX20" s="38" t="n">
        <v>241</v>
      </c>
      <c r="AY20" s="38" t="n">
        <v>228</v>
      </c>
      <c r="AZ20" s="38" t="n">
        <v>214</v>
      </c>
      <c r="BA20" s="38" t="n">
        <v>205</v>
      </c>
      <c r="BB20" s="38" t="n">
        <v>161</v>
      </c>
      <c r="BC20" s="38" t="n">
        <v>156</v>
      </c>
      <c r="BD20" s="38">
        <f>152+DD20</f>
        <v/>
      </c>
      <c r="BE20" s="38" t="n">
        <v>351</v>
      </c>
      <c r="BF20" s="38" t="n">
        <v>343</v>
      </c>
      <c r="BG20" s="38" t="n">
        <v>334</v>
      </c>
      <c r="BH20" s="38" t="n">
        <v>325</v>
      </c>
      <c r="BI20" s="38" t="n">
        <v>307</v>
      </c>
      <c r="BJ20" s="38" t="n">
        <v>268</v>
      </c>
      <c r="BK20" s="38" t="n">
        <v>217</v>
      </c>
      <c r="BL20" s="38" t="n">
        <v>168</v>
      </c>
      <c r="BM20" s="38" t="n">
        <v>155</v>
      </c>
      <c r="BN20" s="38">
        <f>130+CU20</f>
        <v/>
      </c>
      <c r="BO20" s="38" t="n">
        <v>168</v>
      </c>
      <c r="BP20" s="38" t="n">
        <v>119</v>
      </c>
      <c r="BQ20" s="38" t="n">
        <v>93</v>
      </c>
      <c r="BR20" s="38">
        <f>66+CO20</f>
        <v/>
      </c>
      <c r="BS20" s="38" t="n">
        <v>180</v>
      </c>
      <c r="BT20" s="38" t="n"/>
      <c r="BU20" s="38" t="n"/>
      <c r="BV20" s="38" t="n"/>
      <c r="BW20" s="38" t="n">
        <v>273</v>
      </c>
      <c r="BX20" s="38" t="n">
        <v>264</v>
      </c>
      <c r="BY20" s="38" t="n">
        <v>213</v>
      </c>
      <c r="BZ20" s="38" t="n">
        <v>182</v>
      </c>
      <c r="CA20" s="38" t="n">
        <v>182</v>
      </c>
      <c r="CB20" s="38" t="n">
        <v>182</v>
      </c>
      <c r="CC20" s="9" t="n">
        <v>182</v>
      </c>
      <c r="CD20" s="9" t="n">
        <v>182</v>
      </c>
      <c r="CE20" s="9" t="n">
        <v>182</v>
      </c>
      <c r="CF20" s="154">
        <f>CD20+IF(NOT(ISBLANK(OFFSET(CF20,0,6))),N(OFFSET(CF20,0,6)),N(OFFSET(CF20,0,7)))-CE20</f>
        <v/>
      </c>
      <c r="CH20" s="122" t="n"/>
      <c r="CI20" s="122" t="n"/>
      <c r="CJ20" s="4" t="n"/>
      <c r="CK20" s="23" t="n"/>
      <c r="CL20" s="691" t="n">
        <v>0</v>
      </c>
      <c r="CM20" s="18" t="n">
        <v>0</v>
      </c>
      <c r="CN20" s="18" t="n">
        <v>0</v>
      </c>
      <c r="CO20" s="18" t="n">
        <v>0</v>
      </c>
      <c r="CP20" s="18" t="n">
        <v>150</v>
      </c>
      <c r="CQ20" s="18" t="n"/>
      <c r="CR20" s="18" t="n">
        <v>150</v>
      </c>
      <c r="CS20" s="256" t="n">
        <v>150</v>
      </c>
      <c r="CT20" s="18" t="n"/>
      <c r="CU20" s="18" t="n"/>
      <c r="CV20" s="18" t="n"/>
      <c r="CW20" s="18" t="n"/>
      <c r="CX20" s="18" t="n">
        <v>150</v>
      </c>
      <c r="CY20" s="18" t="n"/>
      <c r="CZ20" s="18" t="n"/>
      <c r="DA20" s="18" t="n"/>
      <c r="DB20" s="18" t="n"/>
      <c r="DC20" s="18" t="n"/>
      <c r="DD20" s="18" t="n"/>
      <c r="DE20" s="18" t="n"/>
      <c r="DF20" s="18" t="n"/>
      <c r="DG20" s="18" t="n">
        <v>150</v>
      </c>
      <c r="DH20" s="18" t="n"/>
      <c r="DI20" s="18" t="n"/>
      <c r="DJ20" s="18" t="n"/>
      <c r="DK20" s="18" t="n"/>
      <c r="DL20" s="18" t="n">
        <v>150</v>
      </c>
      <c r="DM20" s="256" t="n"/>
      <c r="DN20" s="18" t="n"/>
      <c r="DO20" s="18" t="n"/>
      <c r="DP20" s="18" t="n"/>
      <c r="DQ20" s="256" t="n">
        <v>300</v>
      </c>
      <c r="DR20" s="18" t="n"/>
      <c r="DS20" s="18" t="n">
        <v>150</v>
      </c>
      <c r="DT20" s="18" t="n"/>
      <c r="DU20" s="256" t="n"/>
      <c r="DV20" s="18" t="n"/>
      <c r="DW20" s="18" t="n"/>
      <c r="DX20" s="18" t="n"/>
      <c r="DY20" s="18" t="n"/>
      <c r="DZ20" s="18" t="n"/>
      <c r="EA20" s="18" t="n">
        <v>150</v>
      </c>
      <c r="EB20" s="18" t="n"/>
      <c r="EC20" s="256" t="n"/>
      <c r="ED20" s="18" t="n"/>
      <c r="EE20" s="18" t="n">
        <v>150</v>
      </c>
      <c r="EF20" s="154" t="inlineStr">
        <is>
          <t>50 DE PL</t>
        </is>
      </c>
      <c r="EG20" s="18" t="n"/>
      <c r="EH20" s="18" t="n"/>
      <c r="EI20" s="256" t="n"/>
      <c r="EJ20" s="256" t="n"/>
      <c r="EK20" s="18" t="n">
        <v>150</v>
      </c>
      <c r="EL20" s="18" t="n"/>
      <c r="EM20" s="18" t="n"/>
      <c r="EN20" s="18" t="n">
        <v>150</v>
      </c>
      <c r="EO20" s="18" t="n"/>
      <c r="EP20" s="256" t="n"/>
      <c r="EQ20" s="256" t="n"/>
      <c r="ER20" s="18" t="n"/>
      <c r="ES20" s="18" t="n"/>
      <c r="ET20" s="18" t="n">
        <v>150</v>
      </c>
      <c r="EU20" s="18" t="n"/>
      <c r="EV20" s="241" t="inlineStr">
        <is>
          <t>100 DE PL</t>
        </is>
      </c>
      <c r="EW20" s="18" t="n"/>
      <c r="EX20" s="18" t="n"/>
      <c r="EY20" s="18" t="n"/>
      <c r="EZ20" s="256" t="n"/>
      <c r="FA20" s="256" t="n"/>
      <c r="FB20" s="293" t="inlineStr">
        <is>
          <t>73 P/ PL</t>
        </is>
      </c>
      <c r="FC20" s="256" t="n"/>
      <c r="FD20" s="256" t="n">
        <v>100</v>
      </c>
      <c r="FE20" s="18" t="n"/>
      <c r="FF20" s="256" t="n"/>
      <c r="FG20" s="256" t="n"/>
      <c r="FH20" s="18" t="n"/>
      <c r="FI20" s="18" t="n"/>
      <c r="FJ20" s="18" t="n"/>
      <c r="FK20" s="18" t="n"/>
      <c r="FL20" s="18" t="n"/>
      <c r="FM20" s="256" t="n">
        <v>300</v>
      </c>
      <c r="FN20" s="18" t="n">
        <v>150</v>
      </c>
      <c r="FO20" s="18" t="n"/>
      <c r="FP20" s="256" t="n"/>
      <c r="FQ20" s="18" t="n"/>
      <c r="FR20" s="18" t="n"/>
      <c r="FS20" s="18" t="n"/>
      <c r="FT20" s="18" t="n">
        <v>300</v>
      </c>
      <c r="FU20" s="256" t="n"/>
      <c r="FV20" s="18" t="n"/>
      <c r="FW20" s="241" t="inlineStr">
        <is>
          <t>80 P/ PL</t>
        </is>
      </c>
      <c r="FX20" s="18" t="n"/>
      <c r="FY20" s="18" t="n"/>
      <c r="FZ20" s="241" t="inlineStr">
        <is>
          <t>100 DE PL</t>
        </is>
      </c>
      <c r="GA20" s="18" t="n"/>
      <c r="GB20" s="259" t="inlineStr">
        <is>
          <t>50 P/ PBE</t>
        </is>
      </c>
      <c r="GC20" s="232" t="inlineStr">
        <is>
          <t>150 P/ TP</t>
        </is>
      </c>
      <c r="GD20" s="18" t="n"/>
      <c r="GE20" s="18" t="n"/>
      <c r="GG20" s="159" t="inlineStr">
        <is>
          <t>CAIXA P</t>
        </is>
      </c>
      <c r="GH20" s="129" t="n">
        <v>150</v>
      </c>
      <c r="GI20" s="38">
        <f>CP20</f>
        <v/>
      </c>
      <c r="GJ20" s="38" t="n"/>
      <c r="GK20" s="38" t="n"/>
      <c r="GL20" s="38" t="n">
        <v>115</v>
      </c>
      <c r="GM20" s="38" t="n">
        <v>96</v>
      </c>
      <c r="GN20" s="38" t="n">
        <v>5</v>
      </c>
      <c r="GO20" s="38" t="n">
        <v>0</v>
      </c>
      <c r="GP20" s="38" t="n"/>
      <c r="GQ20" s="38" t="n"/>
      <c r="GR20" s="9" t="n"/>
      <c r="GS20" s="9" t="n"/>
      <c r="GT20" s="9" t="n"/>
      <c r="GU20" s="246">
        <f>GS20+IF(NOT(ISBLANK(OFFSET(GU20,0,6))),N(OFFSET(GU20,0,6)),N(OFFSET(GU20,0,7)))-GT20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300</v>
      </c>
      <c r="E21" s="2" t="n"/>
      <c r="F21" s="38" t="n">
        <v>201</v>
      </c>
      <c r="G21" s="38" t="n">
        <v>201</v>
      </c>
      <c r="H21" s="38" t="n">
        <v>201</v>
      </c>
      <c r="I21" s="38" t="n">
        <v>201</v>
      </c>
      <c r="J21" s="38" t="n">
        <v>179</v>
      </c>
      <c r="K21" s="38" t="n">
        <v>134</v>
      </c>
      <c r="L21" s="38">
        <f>73-14</f>
        <v/>
      </c>
      <c r="M21" s="38">
        <f>26+FQ21</f>
        <v/>
      </c>
      <c r="N21" s="38" t="n">
        <v>166</v>
      </c>
      <c r="O21" s="38">
        <f>185+FN21</f>
        <v/>
      </c>
      <c r="P21" s="38">
        <f>302+FL21</f>
        <v/>
      </c>
      <c r="Q21" s="38" t="n">
        <v>344</v>
      </c>
      <c r="R21" s="38">
        <f>284-100</f>
        <v/>
      </c>
      <c r="S21" s="38" t="n">
        <v>98</v>
      </c>
      <c r="T21" s="38">
        <f>42+FG21</f>
        <v/>
      </c>
      <c r="U21" s="38" t="n">
        <v>212</v>
      </c>
      <c r="V21" s="38" t="n">
        <v>212</v>
      </c>
      <c r="W21" s="38" t="n">
        <v>217</v>
      </c>
      <c r="X21" s="38" t="n">
        <v>217</v>
      </c>
      <c r="Y21" s="38" t="n">
        <v>120</v>
      </c>
      <c r="Z21" s="38">
        <f>74+50</f>
        <v/>
      </c>
      <c r="AA21" s="38" t="n">
        <v>88</v>
      </c>
      <c r="AB21" s="38">
        <f>42+ET21</f>
        <v/>
      </c>
      <c r="AC21" s="38" t="n">
        <v>174</v>
      </c>
      <c r="AD21" s="38">
        <f>37+20</f>
        <v/>
      </c>
      <c r="AE21" s="38">
        <f>20+EO21</f>
        <v/>
      </c>
      <c r="AF21" s="38">
        <f>199+EL21</f>
        <v/>
      </c>
      <c r="AG21" s="38">
        <f>242+EK21</f>
        <v/>
      </c>
      <c r="AH21" s="38" t="n">
        <v>288</v>
      </c>
      <c r="AI21" s="38" t="n">
        <v>218</v>
      </c>
      <c r="AJ21" s="38" t="n">
        <v>178</v>
      </c>
      <c r="AK21" s="38" t="n">
        <v>164</v>
      </c>
      <c r="AL21" s="38" t="n">
        <v>146</v>
      </c>
      <c r="AM21" s="38">
        <f>68+50</f>
        <v/>
      </c>
      <c r="AN21" s="38">
        <f>68+EA21+EB21</f>
        <v/>
      </c>
      <c r="AO21" s="38" t="n">
        <v>147</v>
      </c>
      <c r="AP21" s="38">
        <f>421-50</f>
        <v/>
      </c>
      <c r="AQ21" s="38" t="n">
        <v>365</v>
      </c>
      <c r="AR21" s="38" t="n">
        <v>251</v>
      </c>
      <c r="AS21" s="38">
        <f>193+DP21</f>
        <v/>
      </c>
      <c r="AT21" s="38" t="n">
        <v>225</v>
      </c>
      <c r="AU21" s="38">
        <f>130+DL21</f>
        <v/>
      </c>
      <c r="AV21" s="38">
        <f>176+DK21</f>
        <v/>
      </c>
      <c r="AW21" s="38" t="n">
        <v>287</v>
      </c>
      <c r="AX21" s="38">
        <f>212+DH21</f>
        <v/>
      </c>
      <c r="AY21" s="38" t="n">
        <v>291</v>
      </c>
      <c r="AZ21" s="38" t="n">
        <v>269</v>
      </c>
      <c r="BA21" s="38" t="n">
        <v>251</v>
      </c>
      <c r="BB21" s="38" t="n">
        <v>215</v>
      </c>
      <c r="BC21" s="38" t="n">
        <v>206</v>
      </c>
      <c r="BD21" s="38">
        <f>205+DD21</f>
        <v/>
      </c>
      <c r="BE21" s="38" t="n">
        <v>307</v>
      </c>
      <c r="BF21" s="38" t="n">
        <v>290</v>
      </c>
      <c r="BG21" s="38" t="n">
        <v>256</v>
      </c>
      <c r="BH21" s="38" t="n">
        <v>216</v>
      </c>
      <c r="BI21" s="38" t="n">
        <v>167</v>
      </c>
      <c r="BJ21" s="38">
        <f>232+CX21</f>
        <v/>
      </c>
      <c r="BK21" s="38" t="n">
        <v>355</v>
      </c>
      <c r="BL21" s="38" t="n">
        <v>286</v>
      </c>
      <c r="BM21" s="38" t="n">
        <v>257</v>
      </c>
      <c r="BN21" s="38" t="n">
        <v>226</v>
      </c>
      <c r="BO21" s="38" t="n">
        <v>197</v>
      </c>
      <c r="BP21" s="38" t="n">
        <v>121</v>
      </c>
      <c r="BQ21" s="38">
        <f>75+CQ21</f>
        <v/>
      </c>
      <c r="BR21" s="38">
        <f>218+CO21</f>
        <v/>
      </c>
      <c r="BS21" s="38" t="n">
        <v>282</v>
      </c>
      <c r="BT21" s="38" t="n"/>
      <c r="BU21" s="38" t="n"/>
      <c r="BV21" s="38" t="n"/>
      <c r="BW21" s="38" t="n">
        <v>361</v>
      </c>
      <c r="BX21" s="38" t="n">
        <v>358</v>
      </c>
      <c r="BY21" s="38" t="n">
        <v>318</v>
      </c>
      <c r="BZ21" s="38" t="n">
        <v>300</v>
      </c>
      <c r="CA21" s="38" t="n">
        <v>300</v>
      </c>
      <c r="CB21" s="38" t="n">
        <v>300</v>
      </c>
      <c r="CC21" s="9" t="n">
        <v>300</v>
      </c>
      <c r="CD21" s="9" t="n">
        <v>300</v>
      </c>
      <c r="CE21" s="9" t="n">
        <v>300</v>
      </c>
      <c r="CF21" s="154">
        <f>CD21+IF(NOT(ISBLANK(OFFSET(CF21,0,6))),N(OFFSET(CF21,0,6)),N(OFFSET(CF21,0,7)))-CE21</f>
        <v/>
      </c>
      <c r="CH21" s="122" t="n"/>
      <c r="CI21" s="122" t="n"/>
      <c r="CJ21" s="4" t="n"/>
      <c r="CK21" s="23" t="n"/>
      <c r="CL21" s="691" t="n">
        <v>0</v>
      </c>
      <c r="CM21" s="18" t="n">
        <v>0</v>
      </c>
      <c r="CN21" s="18" t="n">
        <v>0</v>
      </c>
      <c r="CO21" s="18" t="n">
        <v>0</v>
      </c>
      <c r="CP21" s="18" t="n">
        <v>100</v>
      </c>
      <c r="CQ21" s="18" t="n"/>
      <c r="CR21" s="18" t="n">
        <v>100</v>
      </c>
      <c r="CS21" s="256" t="n">
        <v>300</v>
      </c>
      <c r="CT21" s="18" t="n">
        <v>200</v>
      </c>
      <c r="CU21" s="18" t="n"/>
      <c r="CV21" s="18" t="n"/>
      <c r="CW21" s="18" t="n"/>
      <c r="CX21" s="18" t="n"/>
      <c r="CY21" s="18" t="n"/>
      <c r="CZ21" s="18" t="n"/>
      <c r="DA21" s="18" t="n">
        <v>200</v>
      </c>
      <c r="DB21" s="18" t="n">
        <v>100</v>
      </c>
      <c r="DC21" s="18" t="n"/>
      <c r="DD21" s="18" t="n"/>
      <c r="DE21" s="18" t="n"/>
      <c r="DF21" s="18" t="n"/>
      <c r="DG21" s="18" t="n">
        <v>100</v>
      </c>
      <c r="DH21" s="18" t="n"/>
      <c r="DI21" s="18" t="n"/>
      <c r="DJ21" s="18" t="n"/>
      <c r="DK21" s="18" t="n">
        <v>100</v>
      </c>
      <c r="DL21" s="18" t="n"/>
      <c r="DM21" s="256" t="n"/>
      <c r="DN21" s="18" t="n">
        <v>200</v>
      </c>
      <c r="DO21" s="18" t="n">
        <v>100</v>
      </c>
      <c r="DP21" s="18" t="n"/>
      <c r="DQ21" s="256" t="n">
        <v>400</v>
      </c>
      <c r="DR21" s="18" t="n"/>
      <c r="DS21" s="18" t="n">
        <v>100</v>
      </c>
      <c r="DT21" s="18" t="n"/>
      <c r="DU21" s="378" t="inlineStr">
        <is>
          <t>20 DE PL</t>
        </is>
      </c>
      <c r="DV21" s="18" t="n"/>
      <c r="DW21" s="18" t="n"/>
      <c r="DX21" s="18" t="n"/>
      <c r="DY21" s="154" t="inlineStr">
        <is>
          <t>50 P/ TP</t>
        </is>
      </c>
      <c r="DZ21" s="18" t="n"/>
      <c r="EA21" s="18" t="n">
        <v>300</v>
      </c>
      <c r="EB21" s="18" t="n"/>
      <c r="EC21" s="263" t="inlineStr">
        <is>
          <t>50 DE TP</t>
        </is>
      </c>
      <c r="ED21" s="18" t="n">
        <v>100</v>
      </c>
      <c r="EE21" s="18" t="n">
        <v>100</v>
      </c>
      <c r="EF21" s="154" t="inlineStr">
        <is>
          <t>50 DE PL</t>
        </is>
      </c>
      <c r="EG21" s="18" t="n"/>
      <c r="EH21" s="18" t="n">
        <v>100</v>
      </c>
      <c r="EI21" s="292" t="inlineStr">
        <is>
          <t>75 P/ TP</t>
        </is>
      </c>
      <c r="EJ21" s="367" t="inlineStr">
        <is>
          <t>10 DE PL</t>
        </is>
      </c>
      <c r="EK21" s="18" t="n"/>
      <c r="EL21" s="18" t="n"/>
      <c r="EM21" s="18" t="n"/>
      <c r="EN21" s="18" t="n">
        <v>100</v>
      </c>
      <c r="EO21" s="18" t="n">
        <v>100</v>
      </c>
      <c r="EP21" s="256" t="n"/>
      <c r="EQ21" s="256" t="n">
        <v>100</v>
      </c>
      <c r="ER21" s="18" t="n">
        <v>200</v>
      </c>
      <c r="ES21" s="241" t="inlineStr">
        <is>
          <t>20 DE CDP</t>
        </is>
      </c>
      <c r="ET21" s="18" t="n"/>
      <c r="EU21" s="18" t="n"/>
      <c r="EV21" s="256" t="n"/>
      <c r="EW21" s="18" t="n">
        <v>200</v>
      </c>
      <c r="EX21" s="18" t="n"/>
      <c r="EY21" s="241" t="inlineStr">
        <is>
          <t>50 DE PL</t>
        </is>
      </c>
      <c r="EZ21" s="256" t="n"/>
      <c r="FA21" s="312" t="inlineStr">
        <is>
          <t>50 P/ TP</t>
        </is>
      </c>
      <c r="FB21" s="293" t="inlineStr">
        <is>
          <t>20 P/ PL</t>
        </is>
      </c>
      <c r="FC21" s="263" t="inlineStr">
        <is>
          <t>20 P/ ATC</t>
        </is>
      </c>
      <c r="FD21" s="256" t="n">
        <v>100</v>
      </c>
      <c r="FE21" s="18" t="n"/>
      <c r="FF21" s="293" t="inlineStr">
        <is>
          <t>06 P/ PL</t>
        </is>
      </c>
      <c r="FG21" s="256" t="n"/>
      <c r="FH21" s="18" t="n"/>
      <c r="FI21" s="18" t="n"/>
      <c r="FJ21" s="18" t="n">
        <v>200</v>
      </c>
      <c r="FK21" s="18" t="n"/>
      <c r="FL21" s="655" t="inlineStr">
        <is>
          <t>100 P/ PL</t>
        </is>
      </c>
      <c r="FM21" s="256" t="n">
        <v>300</v>
      </c>
      <c r="FN21" s="18" t="n"/>
      <c r="FO21" s="18" t="n">
        <v>100</v>
      </c>
      <c r="FP21" s="263" t="inlineStr">
        <is>
          <t>50 P/ ATC</t>
        </is>
      </c>
      <c r="FQ21" s="18" t="n">
        <v>200</v>
      </c>
      <c r="FR21" s="18" t="n">
        <v>100</v>
      </c>
      <c r="FS21" s="18" t="n">
        <v>100</v>
      </c>
      <c r="FT21" s="18" t="n">
        <v>100</v>
      </c>
      <c r="FU21" s="241" t="inlineStr">
        <is>
          <t>14 P/ PL</t>
        </is>
      </c>
      <c r="FV21" s="18" t="n"/>
      <c r="FW21" s="18" t="n"/>
      <c r="FX21" s="18" t="n"/>
      <c r="FY21" s="18" t="n"/>
      <c r="FZ21" s="18" t="n"/>
      <c r="GA21" s="18" t="n"/>
      <c r="GB21" s="256" t="n"/>
      <c r="GC21" s="18" t="n"/>
      <c r="GD21" s="18" t="n"/>
      <c r="GE21" s="18" t="n"/>
      <c r="GG21" s="29" t="inlineStr">
        <is>
          <t>CAIXA M</t>
        </is>
      </c>
      <c r="GH21" s="9" t="n">
        <v>100</v>
      </c>
      <c r="GI21" s="38">
        <f>CP21</f>
        <v/>
      </c>
      <c r="GJ21" s="38" t="n"/>
      <c r="GK21" s="38" t="n"/>
      <c r="GL21" s="38" t="n">
        <v>234</v>
      </c>
      <c r="GM21" s="38" t="n">
        <v>197</v>
      </c>
      <c r="GN21" s="38" t="n">
        <v>32</v>
      </c>
      <c r="GO21" s="38" t="n">
        <v>18</v>
      </c>
      <c r="GP21" s="38" t="n"/>
      <c r="GQ21" s="38" t="n"/>
      <c r="GR21" s="9" t="n"/>
      <c r="GS21" s="9" t="n"/>
      <c r="GT21" s="9" t="n"/>
      <c r="GU21" s="246">
        <f>GS21+IF(NOT(ISBLANK(OFFSET(GU21,0,6))),N(OFFSET(GU21,0,6)),N(OFFSET(GU21,0,7)))-GT21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30</v>
      </c>
      <c r="E22" s="642" t="n"/>
      <c r="F22" s="38" t="n">
        <v>33</v>
      </c>
      <c r="G22" s="38" t="n">
        <v>30</v>
      </c>
      <c r="H22" s="38" t="n">
        <v>41</v>
      </c>
      <c r="I22" s="38" t="n">
        <v>41</v>
      </c>
      <c r="J22" s="38" t="n">
        <v>41</v>
      </c>
      <c r="K22" s="38" t="n">
        <v>36</v>
      </c>
      <c r="L22" s="38" t="n">
        <v>40</v>
      </c>
      <c r="M22" s="38" t="n">
        <v>40</v>
      </c>
      <c r="N22" s="38" t="n">
        <v>40</v>
      </c>
      <c r="O22" s="38" t="n">
        <v>40</v>
      </c>
      <c r="P22" s="38" t="n">
        <v>40</v>
      </c>
      <c r="Q22" s="38" t="n">
        <v>37</v>
      </c>
      <c r="R22" s="38" t="n">
        <v>37</v>
      </c>
      <c r="S22" s="38" t="n">
        <v>37</v>
      </c>
      <c r="T22" s="38" t="n">
        <v>10</v>
      </c>
      <c r="U22" s="38" t="n">
        <v>10</v>
      </c>
      <c r="V22" s="38" t="n">
        <v>38</v>
      </c>
      <c r="W22" s="38" t="n">
        <v>38</v>
      </c>
      <c r="X22" s="38" t="n">
        <v>38</v>
      </c>
      <c r="Y22" s="38" t="n">
        <v>38</v>
      </c>
      <c r="Z22" s="38" t="n">
        <v>37</v>
      </c>
      <c r="AA22" s="38" t="n">
        <v>37</v>
      </c>
      <c r="AB22" s="38" t="n">
        <v>36</v>
      </c>
      <c r="AC22" s="38" t="n">
        <v>35</v>
      </c>
      <c r="AD22" s="38" t="n">
        <v>40</v>
      </c>
      <c r="AE22" s="38" t="n">
        <v>40</v>
      </c>
      <c r="AF22" s="38" t="n">
        <v>35</v>
      </c>
      <c r="AG22" s="38" t="n">
        <v>35</v>
      </c>
      <c r="AH22" s="38" t="n">
        <v>35</v>
      </c>
      <c r="AI22" s="38" t="n">
        <v>35</v>
      </c>
      <c r="AJ22" s="38" t="n">
        <v>34</v>
      </c>
      <c r="AK22" s="38" t="n">
        <v>35</v>
      </c>
      <c r="AL22" s="38" t="n">
        <v>35</v>
      </c>
      <c r="AM22" s="38" t="n">
        <v>35</v>
      </c>
      <c r="AN22" s="38" t="n">
        <v>33</v>
      </c>
      <c r="AO22" s="38" t="n">
        <v>33</v>
      </c>
      <c r="AP22" s="38" t="n">
        <v>33</v>
      </c>
      <c r="AQ22" s="38" t="n">
        <v>30</v>
      </c>
      <c r="AR22" s="38" t="n">
        <v>28</v>
      </c>
      <c r="AS22" s="38" t="n">
        <v>30</v>
      </c>
      <c r="AT22" s="38" t="n">
        <v>30</v>
      </c>
      <c r="AU22" s="38" t="n">
        <v>30</v>
      </c>
      <c r="AV22" s="38" t="n">
        <v>30</v>
      </c>
      <c r="AW22" s="38" t="n">
        <v>27</v>
      </c>
      <c r="AX22" s="38" t="n">
        <v>27</v>
      </c>
      <c r="AY22" s="38" t="n">
        <v>27</v>
      </c>
      <c r="AZ22" s="38" t="n">
        <v>27</v>
      </c>
      <c r="BA22" s="38" t="n">
        <v>27</v>
      </c>
      <c r="BB22" s="38" t="n">
        <v>27</v>
      </c>
      <c r="BC22" s="38" t="n">
        <v>27</v>
      </c>
      <c r="BD22" s="38" t="n">
        <v>4</v>
      </c>
      <c r="BE22" s="38" t="n">
        <v>4</v>
      </c>
      <c r="BF22" s="38" t="n">
        <v>4</v>
      </c>
      <c r="BG22" s="38" t="n">
        <v>4</v>
      </c>
      <c r="BH22" s="38" t="n">
        <v>27</v>
      </c>
      <c r="BI22" s="38" t="n">
        <v>27</v>
      </c>
      <c r="BJ22" s="261" t="n">
        <v>48</v>
      </c>
      <c r="BK22" s="38" t="n">
        <v>48</v>
      </c>
      <c r="BL22" s="38" t="n">
        <v>48</v>
      </c>
      <c r="BM22" s="38" t="n">
        <v>48</v>
      </c>
      <c r="BN22" s="38" t="n">
        <v>47</v>
      </c>
      <c r="BO22" s="38" t="n">
        <v>47</v>
      </c>
      <c r="BP22" s="38" t="n">
        <v>47</v>
      </c>
      <c r="BQ22" s="38" t="n">
        <v>47</v>
      </c>
      <c r="BR22" s="38" t="n">
        <v>47</v>
      </c>
      <c r="BS22" s="38" t="n">
        <v>47</v>
      </c>
      <c r="BT22" s="38" t="n">
        <v>47</v>
      </c>
      <c r="BU22" s="38" t="n">
        <v>47</v>
      </c>
      <c r="BV22" s="38" t="n">
        <v>47</v>
      </c>
      <c r="BW22" s="38" t="n">
        <v>47</v>
      </c>
      <c r="BX22" s="38" t="n">
        <v>47</v>
      </c>
      <c r="BY22" s="38" t="n">
        <v>46</v>
      </c>
      <c r="BZ22" s="38" t="n">
        <v>45</v>
      </c>
      <c r="CA22" s="38" t="n">
        <v>45</v>
      </c>
      <c r="CB22" s="38" t="n">
        <v>45</v>
      </c>
      <c r="CC22" s="9" t="n">
        <v>45</v>
      </c>
      <c r="CD22" s="9" t="n">
        <v>45</v>
      </c>
      <c r="CE22" s="9" t="n">
        <v>45</v>
      </c>
      <c r="CF22" s="154">
        <f>CD22+IF(NOT(ISBLANK(OFFSET(CF22,0,6))),N(OFFSET(CF22,0,6)),N(OFFSET(CF22,0,7)))-CE22</f>
        <v/>
      </c>
      <c r="CH22" s="19" t="n"/>
      <c r="CI22" s="19" t="n"/>
      <c r="CJ22" s="4" t="n"/>
      <c r="CK22" s="23" t="n"/>
      <c r="CL22" s="691" t="n">
        <v>0</v>
      </c>
      <c r="CM22" s="18" t="n">
        <v>0</v>
      </c>
      <c r="CN22" s="18" t="n">
        <v>0</v>
      </c>
      <c r="CO22" s="18" t="n">
        <v>0</v>
      </c>
      <c r="CP22" s="18" t="n"/>
      <c r="CQ22" s="18" t="n"/>
      <c r="CR22" s="18" t="n"/>
      <c r="CS22" s="256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18" t="n"/>
      <c r="DJ22" s="18" t="n"/>
      <c r="DK22" s="18" t="n"/>
      <c r="DL22" s="18" t="n"/>
      <c r="DM22" s="403" t="inlineStr">
        <is>
          <t>10 P/ ATC + 25 P/ TP</t>
        </is>
      </c>
      <c r="DN22" s="18" t="n"/>
      <c r="DO22" s="18" t="n"/>
      <c r="DP22" s="18" t="n"/>
      <c r="DQ22" s="392" t="n">
        <v>50</v>
      </c>
      <c r="DR22" s="18" t="n"/>
      <c r="DS22" s="18" t="n"/>
      <c r="DT22" s="18" t="n"/>
      <c r="DU22" s="256" t="n"/>
      <c r="DV22" s="18" t="n"/>
      <c r="DW22" s="18" t="n"/>
      <c r="DX22" s="18" t="n"/>
      <c r="DY22" s="18" t="n"/>
      <c r="DZ22" s="18" t="n"/>
      <c r="EA22" s="18" t="n"/>
      <c r="EB22" s="18" t="n"/>
      <c r="EC22" s="18" t="n"/>
      <c r="ED22" s="18" t="n"/>
      <c r="EE22" s="18" t="n"/>
      <c r="EF22" s="18" t="n"/>
      <c r="EG22" s="18" t="n"/>
      <c r="EH22" s="18" t="n"/>
      <c r="EI22" s="256" t="n"/>
      <c r="EJ22" s="256" t="n"/>
      <c r="EK22" s="18" t="n"/>
      <c r="EL22" s="18" t="n"/>
      <c r="EM22" s="18" t="n"/>
      <c r="EN22" s="18" t="n"/>
      <c r="EO22" s="18" t="n"/>
      <c r="EP22" s="256" t="n"/>
      <c r="EQ22" s="256" t="n">
        <v>150</v>
      </c>
      <c r="ER22" s="18" t="n"/>
      <c r="ES22" s="18" t="n"/>
      <c r="ET22" s="18" t="n"/>
      <c r="EU22" s="18" t="n"/>
      <c r="EV22" s="256" t="n"/>
      <c r="EW22" s="18" t="n"/>
      <c r="EX22" s="18" t="n"/>
      <c r="EY22" s="256" t="n"/>
      <c r="EZ22" s="256" t="n"/>
      <c r="FA22" s="312" t="inlineStr">
        <is>
          <t>50 P/ TP</t>
        </is>
      </c>
      <c r="FB22" s="293" t="inlineStr">
        <is>
          <t>05 P/ ATC + 20 P/ PL</t>
        </is>
      </c>
      <c r="FC22" s="18" t="n"/>
      <c r="FD22" s="256" t="n"/>
      <c r="FE22" s="18" t="n"/>
      <c r="FF22" s="256" t="n"/>
      <c r="FG22" s="256" t="n"/>
      <c r="FH22" s="18" t="n"/>
      <c r="FI22" s="18" t="n"/>
      <c r="FJ22" s="18" t="n"/>
      <c r="FK22" s="18" t="n"/>
      <c r="FL22" s="18" t="n"/>
      <c r="FM22" s="256" t="n">
        <v>75</v>
      </c>
      <c r="FN22" s="18" t="n"/>
      <c r="FO22" s="18" t="n"/>
      <c r="FP22" s="18" t="n"/>
      <c r="FQ22" s="18" t="n"/>
      <c r="FR22" s="18" t="n"/>
      <c r="FS22" s="18" t="n"/>
      <c r="FT22" s="18" t="n"/>
      <c r="FU22" s="18" t="n"/>
      <c r="FV22" s="18" t="n"/>
      <c r="FW22" s="18" t="n"/>
      <c r="FX22" s="18" t="n"/>
      <c r="FY22" s="18" t="n"/>
      <c r="FZ22" s="18" t="n"/>
      <c r="GA22" s="18" t="n"/>
      <c r="GB22" s="256" t="n"/>
      <c r="GC22" s="18" t="n"/>
      <c r="GD22" s="18" t="n"/>
      <c r="GE22" s="18" t="n"/>
      <c r="GG22" s="30" t="inlineStr">
        <is>
          <t>CARTUCHO P</t>
        </is>
      </c>
      <c r="GH22" s="9" t="n">
        <v>200</v>
      </c>
      <c r="GI22" s="38" t="n">
        <v>0</v>
      </c>
      <c r="GJ22" s="38" t="n"/>
      <c r="GK22" s="38" t="n"/>
      <c r="GL22" s="38" t="n">
        <v>0</v>
      </c>
      <c r="GM22" s="261" t="n">
        <v>-1</v>
      </c>
      <c r="GN22" s="38" t="n">
        <v>0</v>
      </c>
      <c r="GO22" s="38" t="n">
        <v>0</v>
      </c>
      <c r="GP22" s="38" t="n"/>
      <c r="GQ22" s="38" t="n"/>
      <c r="GR22" s="9" t="n"/>
      <c r="GS22" s="9" t="n"/>
      <c r="GT22" s="9" t="n"/>
      <c r="GU22" s="246">
        <f>GS22+IF(NOT(ISBLANK(OFFSET(GU22,0,6))),N(OFFSET(GU22,0,6)),N(OFFSET(GU22,0,7)))-GT22</f>
        <v/>
      </c>
    </row>
    <row r="23" ht="18.75" customHeight="1">
      <c r="CH23" s="6" t="n"/>
      <c r="CI23" s="6" t="n"/>
      <c r="CL23" s="6" t="n"/>
      <c r="CM23" s="6" t="n"/>
      <c r="CN23" s="6" t="n"/>
      <c r="CO23" s="6" t="n"/>
      <c r="CP23" s="6" t="n"/>
      <c r="CQ23" s="6" t="n"/>
      <c r="CR23" s="6" t="n"/>
      <c r="CS23" s="256" t="n">
        <v>150</v>
      </c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I23" s="6" t="n"/>
      <c r="DJ23" s="6" t="n"/>
      <c r="DK23" s="6" t="n"/>
      <c r="DL23" s="6" t="n"/>
      <c r="DN23" s="6" t="n"/>
      <c r="DO23" s="6" t="n"/>
      <c r="DP23" s="6" t="n"/>
      <c r="DQ23" s="288" t="n">
        <v>400</v>
      </c>
      <c r="DR23" s="6" t="n"/>
      <c r="DS23" s="6" t="n"/>
      <c r="DT23" s="6" t="n"/>
      <c r="DU23" s="6" t="n"/>
      <c r="DV23" s="6" t="n"/>
      <c r="DW23" s="6" t="n"/>
      <c r="DX23" s="6" t="n"/>
      <c r="DY23" s="6" t="n"/>
      <c r="DZ23" s="6" t="n"/>
      <c r="EA23" s="6" t="n"/>
      <c r="EB23" s="6" t="n"/>
      <c r="EC23" s="6" t="n"/>
      <c r="ED23" s="6" t="n"/>
      <c r="EE23" s="6" t="n"/>
      <c r="EF23" s="6" t="n"/>
      <c r="EG23" s="6" t="n"/>
      <c r="EH23" s="6" t="n"/>
      <c r="EI23" s="6" t="n"/>
      <c r="EK23" s="6" t="n"/>
      <c r="EL23" s="6" t="n"/>
      <c r="EM23" s="6" t="n"/>
      <c r="EN23" s="6" t="n"/>
      <c r="EO23" s="6" t="n"/>
      <c r="EP23" s="256" t="n">
        <v>25</v>
      </c>
      <c r="EQ23" s="6" t="n"/>
      <c r="ER23" s="6" t="n"/>
      <c r="ES23" s="6" t="n"/>
      <c r="ET23" s="6" t="n"/>
      <c r="EU23" s="6" t="n"/>
      <c r="EV23" s="6" t="n"/>
      <c r="EW23" s="6" t="n"/>
      <c r="EX23" s="6" t="n"/>
      <c r="EY23" s="6" t="n"/>
      <c r="EZ23" s="269" t="n"/>
      <c r="FA23" s="6" t="n"/>
      <c r="FC23" s="6" t="n"/>
      <c r="FD23" s="6" t="n"/>
      <c r="FE23" s="6" t="n"/>
      <c r="FG23" s="288" t="n"/>
      <c r="FH23" s="6" t="n"/>
      <c r="FI23" s="6" t="n"/>
      <c r="FJ23" s="6" t="n"/>
      <c r="FK23" s="6" t="n"/>
      <c r="FL23" s="6" t="n"/>
      <c r="FM23" s="288" t="n"/>
      <c r="FN23" s="6" t="n"/>
      <c r="FO23" s="6" t="n"/>
      <c r="FP23" s="6" t="n"/>
      <c r="FQ23" s="6" t="n"/>
      <c r="FR23" s="6" t="n"/>
      <c r="FS23" s="6" t="n"/>
      <c r="FT23" s="6" t="n"/>
      <c r="FU23" s="6" t="n"/>
      <c r="FV23" s="6" t="n"/>
      <c r="FW23" s="6" t="n"/>
      <c r="FX23" s="6" t="n"/>
      <c r="FY23" s="6" t="n"/>
      <c r="FZ23" s="6" t="n"/>
      <c r="GA23" s="6" t="n"/>
      <c r="GD23" s="6" t="n"/>
      <c r="GE23" s="6" t="n"/>
      <c r="GG23" s="30" t="inlineStr">
        <is>
          <t>CARTUCHO M</t>
        </is>
      </c>
      <c r="GH23" s="9" t="n">
        <v>150</v>
      </c>
      <c r="GI23" s="38">
        <f>CP23</f>
        <v/>
      </c>
      <c r="GJ23" s="38" t="n"/>
      <c r="GK23" s="38" t="n"/>
      <c r="GL23" s="38" t="n">
        <v>131</v>
      </c>
      <c r="GM23" s="261" t="n">
        <v>29</v>
      </c>
      <c r="GN23" s="38" t="n">
        <v>2</v>
      </c>
      <c r="GO23" s="38" t="n">
        <v>1</v>
      </c>
      <c r="GP23" s="38" t="n"/>
      <c r="GQ23" s="38" t="n"/>
      <c r="GR23" s="9" t="n"/>
      <c r="GS23" s="9" t="n"/>
      <c r="GT23" s="9" t="n"/>
      <c r="GU23" s="246">
        <f>GS23+IF(NOT(ISBLANK(OFFSET(GU23,0,6))),N(OFFSET(GU23,0,6)),N(OFFSET(GU23,0,7)))-GT23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86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1" t="n">
        <v>46161.48002762732</v>
      </c>
      <c r="CD24" s="651" t="n">
        <v>46161.48070743056</v>
      </c>
      <c r="CE24" s="651" t="n">
        <v>46161.48286576561</v>
      </c>
      <c r="CF24" s="660" t="inlineStr">
        <is>
          <t>USOU</t>
        </is>
      </c>
      <c r="CH24" s="6" t="n"/>
      <c r="CI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I24" s="6" t="n"/>
      <c r="DJ24" s="6" t="n"/>
      <c r="DK24" s="6" t="n"/>
      <c r="DL24" s="6" t="n"/>
      <c r="DN24" s="6" t="n"/>
      <c r="DO24" s="6" t="n"/>
      <c r="DP24" s="6" t="n"/>
      <c r="DQ24" s="393" t="n">
        <v>300</v>
      </c>
      <c r="DR24" s="6" t="n"/>
      <c r="DS24" s="6" t="n"/>
      <c r="DT24" s="6" t="n"/>
      <c r="DU24" s="6" t="n"/>
      <c r="DV24" s="6" t="n"/>
      <c r="DW24" s="6" t="n"/>
      <c r="DX24" s="6" t="n"/>
      <c r="DY24" s="6" t="n"/>
      <c r="DZ24" s="6" t="n"/>
      <c r="EA24" s="6" t="n"/>
      <c r="EB24" s="6" t="n"/>
      <c r="EC24" s="6" t="n"/>
      <c r="ED24" s="6" t="n"/>
      <c r="EE24" s="6" t="n"/>
      <c r="EF24" s="6" t="n"/>
      <c r="EG24" s="6" t="n"/>
      <c r="EH24" s="6" t="n"/>
      <c r="EI24" s="6" t="n"/>
      <c r="EK24" s="6" t="n"/>
      <c r="EL24" s="6" t="n"/>
      <c r="EM24" s="6" t="n"/>
      <c r="EN24" s="6" t="n"/>
      <c r="EO24" s="6" t="n"/>
      <c r="EP24" s="256" t="n">
        <v>25</v>
      </c>
      <c r="EQ24" s="6" t="n"/>
      <c r="ER24" s="6" t="n"/>
      <c r="ES24" s="6" t="n"/>
      <c r="ET24" s="6" t="n"/>
      <c r="EU24" s="6" t="n"/>
      <c r="EV24" s="6" t="n"/>
      <c r="EW24" s="6" t="n"/>
      <c r="EX24" s="6" t="n"/>
      <c r="EY24" s="6" t="n"/>
      <c r="EZ24" s="269" t="n"/>
      <c r="FA24" s="6" t="n"/>
      <c r="FC24" s="6" t="n"/>
      <c r="FD24" s="6" t="n"/>
      <c r="FE24" s="6" t="n"/>
      <c r="FG24" s="293" t="inlineStr">
        <is>
          <t>100 P/ PL</t>
        </is>
      </c>
      <c r="FL24" s="6" t="n"/>
      <c r="FM24" s="288" t="n">
        <v>150</v>
      </c>
      <c r="FP24" s="6" t="n"/>
      <c r="FU24" s="6" t="n"/>
      <c r="FW24" s="6" t="n"/>
    </row>
    <row r="25" hidden="1" ht="18.75" customHeight="1">
      <c r="A25" s="243" t="inlineStr">
        <is>
          <t>CAIXA M PAIS/24</t>
        </is>
      </c>
      <c r="B25" s="244" t="n">
        <v>100</v>
      </c>
      <c r="C25" s="695" t="n">
        <v>722</v>
      </c>
      <c r="D25" s="342" t="n"/>
      <c r="E25" s="6" t="n"/>
      <c r="F25" s="38" t="n">
        <v>0</v>
      </c>
      <c r="G25" s="38" t="n">
        <v>0</v>
      </c>
      <c r="H25" s="38" t="n">
        <v>0</v>
      </c>
      <c r="I25" s="38" t="n">
        <v>0</v>
      </c>
      <c r="J25" s="38" t="n">
        <v>0</v>
      </c>
      <c r="K25" s="38" t="n">
        <v>0</v>
      </c>
      <c r="L25" s="38" t="n">
        <v>0</v>
      </c>
      <c r="M25" s="38" t="n">
        <v>0</v>
      </c>
      <c r="N25" s="38" t="n">
        <v>0</v>
      </c>
      <c r="O25" s="38" t="n">
        <v>0</v>
      </c>
      <c r="P25" s="38" t="n">
        <v>0</v>
      </c>
      <c r="Q25" s="38" t="n">
        <v>0</v>
      </c>
      <c r="R25" s="38" t="n">
        <v>0</v>
      </c>
      <c r="S25" s="38" t="n">
        <v>0</v>
      </c>
      <c r="T25" s="38" t="n">
        <v>0</v>
      </c>
      <c r="U25" s="38" t="n">
        <v>0</v>
      </c>
      <c r="V25" s="38" t="n">
        <v>0</v>
      </c>
      <c r="W25" s="38" t="n">
        <v>0</v>
      </c>
      <c r="X25" s="38" t="n">
        <v>0</v>
      </c>
      <c r="Y25" s="38" t="n">
        <v>0</v>
      </c>
      <c r="Z25" s="38" t="n">
        <v>0</v>
      </c>
      <c r="AA25" s="38" t="n">
        <v>0</v>
      </c>
      <c r="AB25" s="38" t="n">
        <v>0</v>
      </c>
      <c r="AC25" s="38" t="n">
        <v>0</v>
      </c>
      <c r="AD25" s="38" t="n">
        <v>0</v>
      </c>
      <c r="AE25" s="38" t="n">
        <v>0</v>
      </c>
      <c r="AF25" s="38" t="n">
        <v>0</v>
      </c>
      <c r="AG25" s="38" t="n">
        <v>0</v>
      </c>
      <c r="AH25" s="38" t="n">
        <v>0</v>
      </c>
      <c r="AI25" s="38" t="n">
        <v>0</v>
      </c>
      <c r="AJ25" s="38" t="n">
        <v>0</v>
      </c>
      <c r="AK25" s="38" t="n">
        <v>0</v>
      </c>
      <c r="AL25" s="38" t="n">
        <v>0</v>
      </c>
      <c r="AM25" s="38" t="n">
        <v>0</v>
      </c>
      <c r="AN25" s="38" t="n">
        <v>0</v>
      </c>
      <c r="AO25" s="38" t="n">
        <v>0</v>
      </c>
      <c r="AP25" s="38" t="n">
        <v>0</v>
      </c>
      <c r="AQ25" s="38" t="n">
        <v>0</v>
      </c>
      <c r="AR25" s="38" t="n">
        <v>0</v>
      </c>
      <c r="AS25" s="38" t="n">
        <v>0</v>
      </c>
      <c r="AT25" s="38" t="n">
        <v>0</v>
      </c>
      <c r="AU25" s="38" t="n">
        <v>0</v>
      </c>
      <c r="AV25" s="38" t="n">
        <v>0</v>
      </c>
      <c r="AW25" s="38" t="n">
        <v>0</v>
      </c>
      <c r="AX25" s="38" t="n">
        <v>0</v>
      </c>
      <c r="AY25" s="38" t="n">
        <v>0</v>
      </c>
      <c r="AZ25" s="38" t="n">
        <v>0</v>
      </c>
      <c r="BA25" s="38" t="n">
        <v>0</v>
      </c>
      <c r="BB25" s="38" t="n">
        <v>0</v>
      </c>
      <c r="BC25" s="38" t="n">
        <v>0</v>
      </c>
      <c r="BD25" s="38" t="n">
        <v>0</v>
      </c>
      <c r="BE25" s="38" t="n">
        <v>0</v>
      </c>
      <c r="BF25" s="38" t="n"/>
      <c r="BG25" s="38" t="n"/>
      <c r="BH25" s="38" t="n"/>
      <c r="BI25" s="38" t="n"/>
      <c r="BJ25" s="38" t="n"/>
      <c r="BK25" s="38" t="n"/>
      <c r="BL25" s="38" t="n"/>
      <c r="BM25" s="38" t="n"/>
      <c r="BN25" s="38" t="n"/>
      <c r="BO25" s="38" t="n"/>
      <c r="BP25" s="38" t="n"/>
      <c r="BQ25" s="38" t="n"/>
      <c r="BR25" s="38" t="n"/>
      <c r="BS25" s="38" t="n"/>
      <c r="BT25" s="38" t="n"/>
      <c r="BU25" s="38" t="n"/>
      <c r="BV25" s="38" t="n"/>
      <c r="BW25" s="38" t="n"/>
      <c r="BX25" s="38" t="n"/>
      <c r="BY25" s="38" t="n"/>
      <c r="BZ25" s="38" t="n"/>
      <c r="CA25" s="38" t="n"/>
      <c r="CB25" s="38" t="n"/>
      <c r="CC25" s="9" t="n"/>
      <c r="CD25" s="9" t="n"/>
      <c r="CE25" s="9" t="n"/>
      <c r="CF25" s="246">
        <f>CD25+IF(NOT(ISBLANK(OFFSET(CF25,0,6))),N(OFFSET(CF25,0,6)),N(OFFSET(CF25,0,7)))-CE25</f>
        <v/>
      </c>
      <c r="CH25" s="6" t="n"/>
      <c r="CI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inlineStr">
        <is>
          <t> </t>
        </is>
      </c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K25" s="6" t="n"/>
      <c r="EL25" s="6" t="n"/>
      <c r="EM25" s="6" t="n"/>
      <c r="EN25" s="6" t="n"/>
      <c r="EO25" s="6" t="n"/>
      <c r="EP25" s="256" t="n">
        <v>25</v>
      </c>
      <c r="EQ25" s="6" t="n"/>
      <c r="ER25" s="6" t="n"/>
      <c r="ES25" s="6" t="n"/>
      <c r="ET25" s="6" t="n"/>
      <c r="EU25" s="6" t="n"/>
      <c r="EV25" s="6" t="n"/>
      <c r="EW25" s="6" t="n"/>
      <c r="EX25" s="6" t="n"/>
      <c r="EY25" s="6" t="n"/>
      <c r="EZ25" s="269" t="n"/>
      <c r="FA25" s="6" t="n"/>
      <c r="FB25" s="289" t="n"/>
      <c r="FC25" s="6" t="n"/>
      <c r="FD25" s="6" t="n"/>
      <c r="FE25" s="6" t="n"/>
      <c r="FF25" s="289" t="n"/>
      <c r="FG25" s="289" t="n"/>
      <c r="FL25" s="6" t="n"/>
      <c r="FM25" s="289" t="n"/>
      <c r="FP25" s="6" t="n"/>
      <c r="FU25" s="6" t="n"/>
      <c r="FW25" s="6" t="n"/>
      <c r="GG25" s="6" t="n"/>
      <c r="GH25" s="6" t="n"/>
      <c r="GI25" s="6" t="n"/>
      <c r="GJ25" s="6" t="n"/>
      <c r="GK25" s="6" t="n"/>
      <c r="GL25" s="6" t="n"/>
      <c r="GM25" s="6" t="n"/>
      <c r="GN25" s="6" t="n"/>
      <c r="GO25" s="6" t="n"/>
      <c r="GP25" s="6" t="n"/>
      <c r="GQ25" s="6" t="n"/>
      <c r="GR25" s="6" t="n"/>
      <c r="GS25" s="6" t="n"/>
      <c r="GT25" s="6" t="n"/>
      <c r="GU25" s="6" t="n"/>
    </row>
    <row r="26" ht="18.75" customHeight="1">
      <c r="A26" s="247" t="inlineStr">
        <is>
          <t>CAIXA M DIVERT./24</t>
        </is>
      </c>
      <c r="B26" s="248" t="n">
        <v>100</v>
      </c>
      <c r="C26" s="666" t="n">
        <v>790</v>
      </c>
      <c r="D26" s="342" t="n"/>
      <c r="E26" s="6" t="n"/>
      <c r="F26" s="38" t="n">
        <v>279</v>
      </c>
      <c r="G26" s="38" t="n">
        <v>279</v>
      </c>
      <c r="H26" s="38" t="n">
        <v>279</v>
      </c>
      <c r="I26" s="38" t="n">
        <v>262</v>
      </c>
      <c r="J26" s="38" t="n">
        <v>257</v>
      </c>
      <c r="K26" s="38" t="n">
        <v>262</v>
      </c>
      <c r="L26" s="38" t="n">
        <v>262</v>
      </c>
      <c r="M26" s="38" t="n">
        <v>242</v>
      </c>
      <c r="N26" s="38" t="n">
        <v>232</v>
      </c>
      <c r="O26" s="38">
        <f>232-50</f>
        <v/>
      </c>
      <c r="P26" s="38" t="n">
        <v>175</v>
      </c>
      <c r="Q26" s="38" t="n">
        <v>163</v>
      </c>
      <c r="R26" s="38" t="n">
        <v>151</v>
      </c>
      <c r="S26" s="38" t="n">
        <v>154</v>
      </c>
      <c r="T26" s="38" t="n">
        <v>154</v>
      </c>
      <c r="U26" s="38" t="n">
        <v>154</v>
      </c>
      <c r="V26" s="38" t="n">
        <v>148</v>
      </c>
      <c r="W26" s="38" t="n">
        <v>147</v>
      </c>
      <c r="X26" s="38" t="n">
        <v>147</v>
      </c>
      <c r="Y26" s="38" t="n">
        <v>131</v>
      </c>
      <c r="Z26" s="38">
        <f>117-20</f>
        <v/>
      </c>
      <c r="AA26" s="38" t="n">
        <v>118</v>
      </c>
      <c r="AB26" s="38" t="n">
        <v>114</v>
      </c>
      <c r="AC26" s="38" t="n">
        <v>107</v>
      </c>
      <c r="AD26" s="38" t="n">
        <v>70</v>
      </c>
      <c r="AE26" s="38" t="n">
        <v>34</v>
      </c>
      <c r="AF26" s="38" t="n">
        <v>19</v>
      </c>
      <c r="AG26" s="38" t="n">
        <v>14</v>
      </c>
      <c r="AH26" s="261" t="n">
        <v>20</v>
      </c>
      <c r="AI26" s="38" t="n">
        <v>18</v>
      </c>
      <c r="AJ26" s="38" t="n">
        <v>16</v>
      </c>
      <c r="AK26" s="38" t="n">
        <v>15</v>
      </c>
      <c r="AL26" s="38" t="n">
        <v>8</v>
      </c>
      <c r="AM26" s="38" t="n">
        <v>7</v>
      </c>
      <c r="AN26" s="38">
        <f>5+50</f>
        <v/>
      </c>
      <c r="AO26" s="38" t="n">
        <v>51</v>
      </c>
      <c r="AP26" s="38" t="n">
        <v>50</v>
      </c>
      <c r="AQ26" s="38" t="n">
        <v>54</v>
      </c>
      <c r="AR26" s="38" t="n">
        <v>54</v>
      </c>
      <c r="AS26" s="38" t="n">
        <v>54</v>
      </c>
      <c r="AT26" s="38" t="n">
        <v>41</v>
      </c>
      <c r="AU26" s="38" t="n">
        <v>30</v>
      </c>
      <c r="AV26" s="38" t="n">
        <v>28</v>
      </c>
      <c r="AW26" s="38" t="n">
        <v>26</v>
      </c>
      <c r="AX26" s="38" t="n">
        <v>23</v>
      </c>
      <c r="AY26" s="38" t="n">
        <v>23</v>
      </c>
      <c r="AZ26" s="38" t="n">
        <v>23</v>
      </c>
      <c r="BA26" s="38" t="n">
        <v>23</v>
      </c>
      <c r="BB26" s="38" t="n">
        <v>23</v>
      </c>
      <c r="BC26" s="38" t="n">
        <v>6</v>
      </c>
      <c r="BD26" s="38" t="n">
        <v>2</v>
      </c>
      <c r="BE26" s="38" t="n">
        <v>1</v>
      </c>
      <c r="BF26" s="38" t="n">
        <v>1</v>
      </c>
      <c r="BG26" s="38" t="n">
        <v>6</v>
      </c>
      <c r="BH26" s="38" t="n">
        <v>6</v>
      </c>
      <c r="BI26" s="38" t="n">
        <v>6</v>
      </c>
      <c r="BJ26" s="38" t="n">
        <v>0</v>
      </c>
      <c r="BK26" s="38" t="n">
        <v>0</v>
      </c>
      <c r="BL26" s="38" t="n">
        <v>0</v>
      </c>
      <c r="BM26" s="38" t="n">
        <v>0</v>
      </c>
      <c r="BN26" s="38" t="n">
        <v>0</v>
      </c>
      <c r="BO26" s="38" t="n">
        <v>0</v>
      </c>
      <c r="BP26" s="38" t="n">
        <v>0</v>
      </c>
      <c r="BQ26" s="38" t="n">
        <v>0</v>
      </c>
      <c r="BR26" s="38" t="n">
        <v>0</v>
      </c>
      <c r="BS26" s="38" t="n">
        <v>0</v>
      </c>
      <c r="BT26" s="38" t="n">
        <v>0</v>
      </c>
      <c r="BU26" s="38" t="n">
        <v>0</v>
      </c>
      <c r="BV26" s="38" t="n">
        <v>0</v>
      </c>
      <c r="BW26" s="38" t="n">
        <v>0</v>
      </c>
      <c r="BX26" s="38" t="n">
        <v>0</v>
      </c>
      <c r="BY26" s="38" t="n">
        <v>0</v>
      </c>
      <c r="BZ26" s="38" t="n">
        <v>0</v>
      </c>
      <c r="CA26" s="38" t="n">
        <v>0</v>
      </c>
      <c r="CB26" s="38" t="n">
        <v>0</v>
      </c>
      <c r="CC26" s="9" t="n">
        <v>0</v>
      </c>
      <c r="CD26" s="9" t="n">
        <v>0</v>
      </c>
      <c r="CE26" s="9" t="n">
        <v>0</v>
      </c>
      <c r="CF26" s="246">
        <f>CD26+IF(NOT(ISBLANK(OFFSET(CF26,0,6))),N(OFFSET(CF26,0,6)),N(OFFSET(CF26,0,7)))-CE26</f>
        <v/>
      </c>
      <c r="CH26" s="6" t="n"/>
      <c r="CI26" s="6" t="n"/>
      <c r="CS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6" t="n"/>
      <c r="ED26" s="6" t="n"/>
      <c r="EE26" s="6" t="n"/>
      <c r="EF26" s="6" t="n"/>
      <c r="EG26" s="6" t="n"/>
      <c r="EH26" s="6" t="n"/>
      <c r="EI26" s="6" t="n"/>
      <c r="EK26" s="6" t="n"/>
      <c r="EL26" s="6" t="n"/>
      <c r="EM26" s="6" t="n"/>
      <c r="EN26" s="6" t="n"/>
      <c r="EO26" s="6" t="n"/>
      <c r="EP26" s="6" t="n"/>
      <c r="EQ26" s="6" t="n"/>
      <c r="ER26" s="6" t="n"/>
      <c r="ES26" s="6" t="n"/>
      <c r="ET26" s="6" t="n"/>
      <c r="EU26" s="6" t="n"/>
      <c r="EV26" s="6" t="n"/>
      <c r="EW26" s="6" t="n"/>
      <c r="EX26" s="6" t="n"/>
      <c r="EY26" s="6" t="n"/>
      <c r="EZ26" s="269" t="n"/>
      <c r="FA26" s="6" t="n"/>
      <c r="FB26" s="289" t="n"/>
      <c r="FC26" s="6" t="n"/>
      <c r="FD26" s="6" t="n"/>
      <c r="FE26" s="6" t="n"/>
      <c r="FF26" s="289" t="n"/>
      <c r="FG26" s="289" t="n"/>
      <c r="FL26" s="6" t="n"/>
      <c r="FM26" s="289" t="n"/>
      <c r="FP26" s="6" t="n"/>
      <c r="FU26" s="6" t="n"/>
      <c r="FW26" s="6" t="n"/>
      <c r="GG26" s="6" t="n"/>
      <c r="GH26" s="6" t="n"/>
      <c r="GI26" s="6" t="n"/>
      <c r="GJ26" s="6" t="n"/>
      <c r="GK26" s="6" t="n"/>
      <c r="GL26" s="6" t="n"/>
      <c r="GM26" s="6" t="n"/>
      <c r="GN26" s="6" t="n"/>
      <c r="GO26" s="6" t="n"/>
      <c r="GP26" s="6" t="n"/>
      <c r="GQ26" s="6" t="n"/>
      <c r="GR26" s="6" t="n"/>
      <c r="GS26" s="6" t="n"/>
      <c r="GT26" s="6" t="n"/>
      <c r="GU26" s="6" t="n"/>
    </row>
    <row r="27" hidden="1" ht="18.75" customHeight="1">
      <c r="A27" s="250" t="inlineStr">
        <is>
          <t>CAIXA P NAT./24</t>
        </is>
      </c>
      <c r="B27" s="251" t="n">
        <v>150</v>
      </c>
      <c r="C27" s="667" t="n">
        <v>715.5</v>
      </c>
      <c r="D27" s="342" t="n"/>
      <c r="E27" s="6" t="n"/>
      <c r="F27" s="9" t="n">
        <v>42</v>
      </c>
      <c r="G27" s="9">
        <f>29-50</f>
        <v/>
      </c>
      <c r="H27" s="38" t="n">
        <v>3</v>
      </c>
      <c r="I27" s="38" t="n">
        <v>3</v>
      </c>
      <c r="J27" s="38" t="n">
        <v>2</v>
      </c>
      <c r="K27" s="38" t="n">
        <v>1</v>
      </c>
      <c r="L27" s="38" t="n">
        <v>0</v>
      </c>
      <c r="M27" s="38" t="n">
        <v>0</v>
      </c>
      <c r="N27" s="38" t="n">
        <v>0</v>
      </c>
      <c r="O27" s="38" t="n">
        <v>0</v>
      </c>
      <c r="P27" s="38" t="n">
        <v>0</v>
      </c>
      <c r="Q27" s="38" t="n">
        <v>0</v>
      </c>
      <c r="R27" s="38" t="n">
        <v>0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9" t="n"/>
      <c r="CE27" s="9" t="n"/>
      <c r="CF27" s="246">
        <f>CD27+IF(NOT(ISBLANK(OFFSET(CF27,0,6))),N(OFFSET(CF27,0,6)),N(OFFSET(CF27,0,7)))-CE27</f>
        <v/>
      </c>
      <c r="CH27" s="6" t="n"/>
      <c r="CI27" s="6" t="n"/>
      <c r="CS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6" t="n"/>
      <c r="EG27" s="6" t="n"/>
      <c r="EH27" s="6" t="n"/>
      <c r="EI27" s="6" t="n"/>
      <c r="EJ27" s="53" t="n"/>
      <c r="EK27" s="6" t="n"/>
      <c r="EL27" s="6" t="n"/>
      <c r="EM27" s="6" t="n"/>
      <c r="EN27" s="6" t="n"/>
      <c r="EO27" s="6" t="n"/>
      <c r="EP27" s="6" t="n"/>
      <c r="EQ27" s="6" t="n"/>
      <c r="ER27" s="6" t="n"/>
      <c r="ES27" s="6" t="n"/>
      <c r="ET27" s="6" t="n"/>
      <c r="EU27" s="6" t="n"/>
      <c r="EV27" s="6" t="n"/>
      <c r="EW27" s="6" t="n"/>
      <c r="EX27" s="6" t="n"/>
      <c r="EY27" s="6" t="n"/>
      <c r="EZ27" s="269" t="n"/>
      <c r="FA27" s="6" t="n"/>
      <c r="FB27" s="289" t="n"/>
      <c r="FC27" s="6" t="n"/>
      <c r="FD27" s="6" t="n"/>
      <c r="FE27" s="6" t="n"/>
      <c r="FF27" s="289" t="n"/>
      <c r="FG27" s="289" t="n"/>
      <c r="FL27" s="6" t="n"/>
      <c r="FM27" s="289" t="n"/>
      <c r="FP27" s="6" t="n"/>
      <c r="FU27" s="6" t="n"/>
      <c r="FW27" s="6" t="n"/>
      <c r="GG27" s="6" t="n"/>
      <c r="GH27" s="6" t="n"/>
      <c r="GI27" s="6" t="n"/>
      <c r="GJ27" s="6" t="n"/>
      <c r="GK27" s="6" t="n"/>
      <c r="GL27" s="6" t="n"/>
      <c r="GM27" s="6" t="n"/>
      <c r="GN27" s="6" t="n"/>
      <c r="GO27" s="6" t="n"/>
      <c r="GP27" s="6" t="n"/>
      <c r="GQ27" s="6" t="n"/>
      <c r="GR27" s="6" t="n"/>
      <c r="GS27" s="6" t="n"/>
      <c r="GT27" s="6" t="n"/>
      <c r="GU27" s="6" t="n"/>
    </row>
    <row r="28" hidden="1" ht="18.75" customHeight="1">
      <c r="A28" s="250" t="inlineStr">
        <is>
          <t>CAIXA M NAT./24</t>
        </is>
      </c>
      <c r="B28" s="251" t="n">
        <v>100</v>
      </c>
      <c r="C28" s="667" t="n">
        <v>746</v>
      </c>
      <c r="D28" s="342" t="n"/>
      <c r="E28" s="6" t="n"/>
      <c r="F28" s="9" t="n">
        <v>159</v>
      </c>
      <c r="G28" s="9" t="n">
        <v>127</v>
      </c>
      <c r="H28" s="38" t="n">
        <v>82</v>
      </c>
      <c r="I28" s="38" t="n">
        <v>41</v>
      </c>
      <c r="J28" s="38" t="n">
        <v>28</v>
      </c>
      <c r="K28" s="38" t="n">
        <v>15</v>
      </c>
      <c r="L28" s="38" t="n">
        <v>0</v>
      </c>
      <c r="M28" s="38" t="n">
        <v>3</v>
      </c>
      <c r="N28" s="38" t="n">
        <v>3</v>
      </c>
      <c r="O28" s="38" t="n">
        <v>3</v>
      </c>
      <c r="P28" s="38" t="n">
        <v>3</v>
      </c>
      <c r="Q28" s="38" t="n">
        <v>3</v>
      </c>
      <c r="R28" s="38" t="n">
        <v>0</v>
      </c>
      <c r="S28" s="38" t="n">
        <v>0</v>
      </c>
      <c r="T28" s="38" t="n">
        <v>0</v>
      </c>
      <c r="U28" s="38" t="n">
        <v>0</v>
      </c>
      <c r="V28" s="38" t="n">
        <v>0</v>
      </c>
      <c r="W28" s="38" t="n">
        <v>0</v>
      </c>
      <c r="X28" s="38" t="n">
        <v>0</v>
      </c>
      <c r="Y28" s="38" t="n">
        <v>0</v>
      </c>
      <c r="Z28" s="38" t="n">
        <v>0</v>
      </c>
      <c r="AA28" s="38" t="n"/>
      <c r="AB28" s="38" t="n"/>
      <c r="AC28" s="38" t="n"/>
      <c r="AD28" s="38" t="n"/>
      <c r="AE28" s="38" t="n"/>
      <c r="AF28" s="38" t="n"/>
      <c r="AG28" s="38" t="n"/>
      <c r="AH28" s="38" t="n"/>
      <c r="AI28" s="38" t="n"/>
      <c r="AJ28" s="38" t="n"/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38" t="n"/>
      <c r="CC28" s="9" t="n"/>
      <c r="CD28" s="9" t="n"/>
      <c r="CE28" s="9" t="n"/>
      <c r="CF28" s="246">
        <f>CD28+IF(NOT(ISBLANK(OFFSET(CF28,0,6))),N(OFFSET(CF28,0,6)),N(OFFSET(CF28,0,7)))-CE28</f>
        <v/>
      </c>
      <c r="CH28" s="6" t="n"/>
      <c r="CI28" s="6" t="n"/>
      <c r="CL28" s="696" t="n"/>
      <c r="CM28" s="57" t="n"/>
      <c r="CN28" s="57" t="n"/>
      <c r="CO28" s="57" t="n"/>
      <c r="CP28" s="57" t="n"/>
      <c r="CQ28" s="57" t="n"/>
      <c r="CR28" s="57" t="n"/>
      <c r="CS28" s="6" t="n"/>
      <c r="CT28" s="57" t="n"/>
      <c r="CU28" s="57" t="n"/>
      <c r="CV28" s="57" t="n"/>
      <c r="CW28" s="57" t="n"/>
      <c r="CX28" s="57" t="n"/>
      <c r="CY28" s="57" t="n"/>
      <c r="CZ28" s="57" t="n"/>
      <c r="DA28" s="57" t="n"/>
      <c r="DB28" s="57" t="n"/>
      <c r="DC28" s="57" t="n"/>
      <c r="DD28" s="6" t="n"/>
      <c r="DE28" s="6" t="n"/>
      <c r="DF28" s="6" t="n"/>
      <c r="DG28" s="6" t="n"/>
      <c r="DH28" s="6" t="n"/>
      <c r="DI28" s="6" t="n"/>
      <c r="DJ28" s="6" t="n"/>
      <c r="DK28" s="6" t="n"/>
      <c r="DL28" s="6" t="n"/>
      <c r="DM28" s="6" t="n"/>
      <c r="DN28" s="6" t="n"/>
      <c r="DO28" s="6" t="n"/>
      <c r="DP28" s="6" t="n"/>
      <c r="DQ28" s="6" t="n"/>
      <c r="DR28" s="6" t="n"/>
      <c r="DS28" s="6" t="n"/>
      <c r="DT28" s="6" t="n"/>
      <c r="DU28" s="6" t="n"/>
      <c r="DV28" s="6" t="n"/>
      <c r="DW28" s="6" t="n"/>
      <c r="DX28" s="6" t="n"/>
      <c r="DY28" s="6" t="n"/>
      <c r="DZ28" s="6" t="n"/>
      <c r="EA28" s="6" t="n"/>
      <c r="EB28" s="6" t="n"/>
      <c r="EC28" s="6" t="n"/>
      <c r="ED28" s="6" t="n"/>
      <c r="EE28" s="6" t="n"/>
      <c r="EF28" s="6" t="n"/>
      <c r="EG28" s="6" t="n"/>
      <c r="EH28" s="6" t="n"/>
      <c r="EI28" s="6" t="n"/>
      <c r="EJ28" s="53" t="n"/>
      <c r="EK28" s="6" t="n"/>
      <c r="EL28" s="6" t="n"/>
      <c r="EM28" s="6" t="n"/>
      <c r="EN28" s="6" t="n"/>
      <c r="EO28" s="6" t="n"/>
      <c r="EP28" s="6" t="n"/>
      <c r="EQ28" s="6" t="n"/>
      <c r="ER28" s="6" t="n"/>
      <c r="ES28" s="6" t="n"/>
      <c r="ET28" s="6" t="n"/>
      <c r="EU28" s="6" t="n"/>
      <c r="EV28" s="6" t="n"/>
      <c r="EW28" s="6" t="n"/>
      <c r="EX28" s="6" t="n"/>
      <c r="EY28" s="6" t="n"/>
      <c r="EZ28" s="269" t="n"/>
      <c r="FA28" s="6" t="n"/>
      <c r="FB28" s="289" t="n"/>
      <c r="FC28" s="6" t="n"/>
      <c r="FD28" s="6" t="n"/>
      <c r="FE28" s="6" t="n"/>
      <c r="FF28" s="289" t="n"/>
      <c r="FG28" s="289" t="n"/>
      <c r="FL28" s="6" t="n"/>
      <c r="FM28" s="289" t="n"/>
      <c r="FP28" s="6" t="n"/>
      <c r="FU28" s="6" t="n"/>
      <c r="FW28" s="6" t="n"/>
      <c r="GB28" s="53" t="n"/>
      <c r="GG28" s="6" t="n"/>
      <c r="GH28" s="6" t="n"/>
      <c r="GI28" s="6" t="n"/>
      <c r="GJ28" s="6" t="n"/>
      <c r="GK28" s="6" t="n"/>
      <c r="GL28" s="6" t="n"/>
      <c r="GM28" s="6" t="n"/>
      <c r="GN28" s="6" t="n"/>
      <c r="GO28" s="6" t="n"/>
      <c r="GP28" s="6" t="n"/>
      <c r="GQ28" s="6" t="n"/>
      <c r="GR28" s="6" t="n"/>
      <c r="GS28" s="6" t="n"/>
      <c r="GT28" s="6" t="n"/>
      <c r="GU28" s="6" t="n"/>
    </row>
    <row r="29" hidden="1" ht="18.75" customHeight="1">
      <c r="A29" s="250" t="inlineStr">
        <is>
          <t>CAIXA G NAT./24</t>
        </is>
      </c>
      <c r="B29" s="251" t="n">
        <v>50</v>
      </c>
      <c r="C29" s="667" t="n">
        <v>777</v>
      </c>
      <c r="D29" s="342" t="n"/>
      <c r="E29" s="6" t="n"/>
      <c r="F29" s="9" t="n">
        <v>20</v>
      </c>
      <c r="G29" s="9" t="n">
        <v>20</v>
      </c>
      <c r="H29" s="38" t="n">
        <v>18</v>
      </c>
      <c r="I29" s="38" t="n">
        <v>15</v>
      </c>
      <c r="J29" s="38" t="n">
        <v>15</v>
      </c>
      <c r="K29" s="38" t="n">
        <v>15</v>
      </c>
      <c r="L29" s="38" t="n">
        <v>15</v>
      </c>
      <c r="M29" s="38" t="n">
        <v>12</v>
      </c>
      <c r="N29" s="38" t="n">
        <v>9</v>
      </c>
      <c r="O29" s="38" t="n">
        <v>9</v>
      </c>
      <c r="P29" s="38" t="n">
        <v>7</v>
      </c>
      <c r="Q29" s="38" t="n">
        <v>6</v>
      </c>
      <c r="R29" s="38" t="n">
        <v>4</v>
      </c>
      <c r="S29" s="38" t="n">
        <v>3</v>
      </c>
      <c r="T29" s="38" t="n">
        <v>2</v>
      </c>
      <c r="U29" s="38" t="n">
        <v>2</v>
      </c>
      <c r="V29" s="38" t="n">
        <v>2</v>
      </c>
      <c r="W29" s="38" t="n">
        <v>2</v>
      </c>
      <c r="X29" s="38" t="n">
        <v>2</v>
      </c>
      <c r="Y29" s="38" t="n">
        <v>2</v>
      </c>
      <c r="Z29" s="38" t="n">
        <v>2</v>
      </c>
      <c r="AA29" s="38" t="n">
        <v>2</v>
      </c>
      <c r="AB29" s="38" t="n">
        <v>2</v>
      </c>
      <c r="AC29" s="38" t="n">
        <v>2</v>
      </c>
      <c r="AD29" s="38" t="n">
        <v>2</v>
      </c>
      <c r="AE29" s="38" t="n">
        <v>1</v>
      </c>
      <c r="AF29" s="38" t="n">
        <v>0</v>
      </c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38" t="n"/>
      <c r="CC29" s="9" t="n"/>
      <c r="CD29" s="9" t="n"/>
      <c r="CE29" s="9" t="n"/>
      <c r="CF29" s="246">
        <f>CD29+IF(NOT(ISBLANK(OFFSET(CF29,0,6))),N(OFFSET(CF29,0,6)),N(OFFSET(CF29,0,7)))-CE29</f>
        <v/>
      </c>
      <c r="CH29" s="49" t="n"/>
      <c r="CI29" s="49" t="n"/>
      <c r="CL29" s="696" t="n"/>
      <c r="CM29" s="57" t="n"/>
      <c r="CN29" s="57" t="n"/>
      <c r="CO29" s="57" t="n"/>
      <c r="CP29" s="57" t="n"/>
      <c r="CQ29" s="57" t="n"/>
      <c r="CR29" s="57" t="n"/>
      <c r="CS29" s="6" t="n"/>
      <c r="CT29" s="57" t="n"/>
      <c r="CU29" s="57" t="n"/>
      <c r="CV29" s="57" t="n"/>
      <c r="CW29" s="57" t="n"/>
      <c r="CX29" s="57" t="n"/>
      <c r="CY29" s="57" t="n"/>
      <c r="CZ29" s="57" t="n"/>
      <c r="DA29" s="57" t="n"/>
      <c r="DB29" s="57" t="n"/>
      <c r="DC29" s="57" t="n"/>
      <c r="DD29" s="49" t="n"/>
      <c r="DE29" s="49" t="n"/>
      <c r="DF29" s="49" t="n"/>
      <c r="DG29" s="49" t="n"/>
      <c r="DH29" s="49" t="n"/>
      <c r="DI29" s="49" t="n"/>
      <c r="DJ29" s="49" t="n"/>
      <c r="DK29" s="49" t="n"/>
      <c r="DL29" s="49" t="n"/>
      <c r="DM29" s="6" t="n"/>
      <c r="DN29" s="49" t="n"/>
      <c r="DO29" s="49" t="n"/>
      <c r="DP29" s="49" t="n"/>
      <c r="DQ29" s="6" t="n"/>
      <c r="DR29" s="49" t="n"/>
      <c r="DS29" s="49" t="n"/>
      <c r="DT29" s="49" t="n"/>
      <c r="DU29" s="49" t="n"/>
      <c r="DV29" s="49" t="n"/>
      <c r="DW29" s="49" t="n"/>
      <c r="DX29" s="49" t="n"/>
      <c r="DY29" s="49" t="n"/>
      <c r="DZ29" s="49" t="n"/>
      <c r="EA29" s="49" t="n"/>
      <c r="EB29" s="49" t="n"/>
      <c r="EC29" s="49" t="n"/>
      <c r="ED29" s="49" t="n"/>
      <c r="EE29" s="49" t="n"/>
      <c r="EF29" s="49" t="n"/>
      <c r="EG29" s="49" t="n"/>
      <c r="EH29" s="49" t="n"/>
      <c r="EI29" s="6" t="n"/>
      <c r="EJ29" s="53" t="n"/>
      <c r="EK29" s="49" t="n"/>
      <c r="EL29" s="49" t="n"/>
      <c r="EM29" s="49" t="n"/>
      <c r="EN29" s="49" t="n"/>
      <c r="EO29" s="49" t="n"/>
      <c r="EP29" s="6" t="n"/>
      <c r="EQ29" s="6" t="n"/>
      <c r="ER29" s="49" t="n"/>
      <c r="ES29" s="49" t="n"/>
      <c r="ET29" s="49" t="n"/>
      <c r="EU29" s="49" t="n"/>
      <c r="EV29" s="49" t="n"/>
      <c r="EW29" s="49" t="n"/>
      <c r="EX29" s="49" t="n"/>
      <c r="EY29" s="6" t="n"/>
      <c r="EZ29" s="268" t="n"/>
      <c r="FA29" s="49" t="n"/>
      <c r="FB29" s="289" t="n"/>
      <c r="FC29" s="49" t="n"/>
      <c r="FD29" s="49" t="n"/>
      <c r="FE29" s="6" t="n"/>
      <c r="FF29" s="289" t="n"/>
      <c r="FG29" s="289" t="n"/>
      <c r="FL29" s="49" t="n"/>
      <c r="FM29" s="289" t="n"/>
      <c r="FP29" s="49" t="n"/>
      <c r="FU29" s="49" t="n"/>
      <c r="FW29" s="49" t="n"/>
      <c r="GB29" s="53" t="n"/>
      <c r="GG29" s="6" t="n"/>
      <c r="GH29" s="6" t="n"/>
      <c r="GI29" s="6" t="n"/>
      <c r="GJ29" s="6" t="n"/>
      <c r="GK29" s="6" t="n"/>
      <c r="GL29" s="6" t="n"/>
      <c r="GM29" s="6" t="n"/>
      <c r="GN29" s="6" t="n"/>
      <c r="GO29" s="6" t="n"/>
      <c r="GP29" s="6" t="n"/>
      <c r="GQ29" s="6" t="n"/>
      <c r="GR29" s="6" t="n"/>
      <c r="GS29" s="6" t="n"/>
      <c r="GT29" s="6" t="n"/>
      <c r="GU29" s="6" t="n"/>
    </row>
    <row r="30" hidden="1" ht="18.75" customHeight="1">
      <c r="A30" s="250" t="inlineStr">
        <is>
          <t>CARTUCHO P NAT./24</t>
        </is>
      </c>
      <c r="B30" s="251" t="n">
        <v>200</v>
      </c>
      <c r="C30" s="667" t="n">
        <v>486</v>
      </c>
      <c r="D30" s="342" t="n"/>
      <c r="E30" s="6" t="n"/>
      <c r="F30" s="9" t="n">
        <v>0</v>
      </c>
      <c r="G30" s="38" t="n">
        <v>0</v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>
        <v>0</v>
      </c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38" t="n"/>
      <c r="CC30" s="9" t="n"/>
      <c r="CD30" s="9" t="n"/>
      <c r="CE30" s="9" t="n"/>
      <c r="CF30" s="246">
        <f>CD30+IF(NOT(ISBLANK(OFFSET(CF30,0,6))),N(OFFSET(CF30,0,6)),N(OFFSET(CF30,0,7)))-CE30</f>
        <v/>
      </c>
      <c r="CL30" s="696" t="n"/>
      <c r="CM30" s="57" t="n"/>
      <c r="CN30" s="57" t="n"/>
      <c r="CO30" s="57" t="n"/>
      <c r="CP30" s="57" t="n"/>
      <c r="CQ30" s="57" t="n"/>
      <c r="CR30" s="57" t="n"/>
      <c r="CS30" s="6" t="n"/>
      <c r="CT30" s="57" t="n"/>
      <c r="CU30" s="57" t="n"/>
      <c r="CV30" s="57" t="n"/>
      <c r="CW30" s="57" t="n"/>
      <c r="CX30" s="57" t="n"/>
      <c r="CY30" s="57" t="n"/>
      <c r="CZ30" s="57" t="n"/>
      <c r="DA30" s="57" t="n"/>
      <c r="DB30" s="57" t="n"/>
      <c r="DC30" s="57" t="n"/>
      <c r="DM30" s="6" t="n"/>
      <c r="DQ30" s="6" t="n"/>
      <c r="EI30" s="6" t="n"/>
      <c r="EJ30" s="53" t="n"/>
      <c r="EP30" s="6" t="n"/>
      <c r="EQ30" s="6" t="n"/>
      <c r="EY30" s="6" t="n"/>
      <c r="EZ30" s="314" t="n"/>
      <c r="FB30" s="289" t="n"/>
      <c r="FE30" s="6" t="n"/>
      <c r="FF30" s="289" t="n"/>
      <c r="FG30" s="289" t="n"/>
      <c r="FM30" s="289" t="n"/>
      <c r="GB30" s="53" t="n"/>
      <c r="GG30" s="6" t="n"/>
      <c r="GH30" s="6" t="n"/>
      <c r="GI30" s="6" t="n"/>
      <c r="GJ30" s="6" t="n"/>
      <c r="GK30" s="6" t="n"/>
      <c r="GL30" s="6" t="n"/>
      <c r="GM30" s="6" t="n"/>
      <c r="GN30" s="6" t="n"/>
      <c r="GO30" s="6" t="n"/>
      <c r="GP30" s="6" t="n"/>
      <c r="GQ30" s="6" t="n"/>
      <c r="GR30" s="6" t="n"/>
      <c r="GS30" s="6" t="n"/>
      <c r="GT30" s="6" t="n"/>
      <c r="GU30" s="6" t="n"/>
    </row>
    <row r="31" hidden="1" ht="18.75" customHeight="1">
      <c r="A31" s="250" t="inlineStr">
        <is>
          <t>CARTUCHO M NAT./24</t>
        </is>
      </c>
      <c r="B31" s="251" t="n">
        <v>150</v>
      </c>
      <c r="C31" s="667" t="n">
        <v>459</v>
      </c>
      <c r="D31" s="342" t="n"/>
      <c r="E31" s="6" t="n"/>
      <c r="F31" s="9" t="n">
        <v>0</v>
      </c>
      <c r="G31" s="9" t="n">
        <v>0</v>
      </c>
      <c r="H31" s="38" t="n">
        <v>0</v>
      </c>
      <c r="I31" s="38" t="n">
        <v>0</v>
      </c>
      <c r="J31" s="38" t="n">
        <v>0</v>
      </c>
      <c r="K31" s="38" t="n">
        <v>0</v>
      </c>
      <c r="L31" s="38" t="n">
        <v>0</v>
      </c>
      <c r="M31" s="38" t="n">
        <v>0</v>
      </c>
      <c r="N31" s="38" t="n">
        <v>0</v>
      </c>
      <c r="O31" s="38" t="n">
        <v>0</v>
      </c>
      <c r="P31" s="38" t="n">
        <v>0</v>
      </c>
      <c r="Q31" s="38" t="n">
        <v>0</v>
      </c>
      <c r="R31" s="38" t="n">
        <v>0</v>
      </c>
      <c r="S31" s="38" t="n">
        <v>0</v>
      </c>
      <c r="T31" s="38" t="n">
        <v>0</v>
      </c>
      <c r="U31" s="38" t="n">
        <v>0</v>
      </c>
      <c r="V31" s="38" t="n">
        <v>0</v>
      </c>
      <c r="W31" s="38" t="n">
        <v>0</v>
      </c>
      <c r="X31" s="38" t="n">
        <v>0</v>
      </c>
      <c r="Y31" s="38" t="n">
        <v>0</v>
      </c>
      <c r="Z31" s="38" t="n">
        <v>0</v>
      </c>
      <c r="AA31" s="38" t="n">
        <v>0</v>
      </c>
      <c r="AB31" s="38" t="n"/>
      <c r="AC31" s="38" t="n"/>
      <c r="AD31" s="38" t="n"/>
      <c r="AE31" s="38" t="n"/>
      <c r="AF31" s="38" t="n"/>
      <c r="AG31" s="38" t="n"/>
      <c r="AH31" s="38" t="n"/>
      <c r="AI31" s="38" t="n"/>
      <c r="AJ31" s="38" t="n"/>
      <c r="AK31" s="38" t="n"/>
      <c r="AL31" s="38" t="n"/>
      <c r="AM31" s="38" t="n"/>
      <c r="AN31" s="38" t="n"/>
      <c r="AO31" s="38" t="n"/>
      <c r="AP31" s="38" t="n"/>
      <c r="AQ31" s="38" t="n"/>
      <c r="AR31" s="38" t="n"/>
      <c r="AS31" s="38" t="n"/>
      <c r="AT31" s="38" t="n"/>
      <c r="AU31" s="38" t="n"/>
      <c r="AV31" s="38" t="n"/>
      <c r="AW31" s="38" t="n"/>
      <c r="AX31" s="38" t="n"/>
      <c r="AY31" s="38" t="n"/>
      <c r="AZ31" s="38" t="n"/>
      <c r="BA31" s="38" t="n"/>
      <c r="BB31" s="38" t="n"/>
      <c r="BC31" s="38" t="n"/>
      <c r="BD31" s="38" t="n"/>
      <c r="BE31" s="38" t="n"/>
      <c r="BF31" s="38" t="n"/>
      <c r="BG31" s="38" t="n"/>
      <c r="BH31" s="38" t="n"/>
      <c r="BI31" s="38" t="n"/>
      <c r="BJ31" s="38" t="n"/>
      <c r="BK31" s="38" t="n"/>
      <c r="BL31" s="38" t="n"/>
      <c r="BM31" s="38" t="n"/>
      <c r="BN31" s="38" t="n"/>
      <c r="BO31" s="38" t="n"/>
      <c r="BP31" s="38" t="n"/>
      <c r="BQ31" s="38" t="n"/>
      <c r="BR31" s="38" t="n"/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38" t="n"/>
      <c r="CC31" s="9" t="n"/>
      <c r="CD31" s="9" t="n"/>
      <c r="CE31" s="9" t="n"/>
      <c r="CF31" s="246">
        <f>CD31+IF(NOT(ISBLANK(OFFSET(CF31,0,6))),N(OFFSET(CF31,0,6)),N(OFFSET(CF31,0,7)))-CE31</f>
        <v/>
      </c>
      <c r="CL31" s="696" t="n"/>
      <c r="CM31" s="57" t="n"/>
      <c r="CN31" s="57" t="n"/>
      <c r="CO31" s="57" t="n"/>
      <c r="CP31" s="57" t="n"/>
      <c r="CQ31" s="57" t="n"/>
      <c r="CR31" s="57" t="n"/>
      <c r="CS31" s="6" t="n"/>
      <c r="CT31" s="57" t="n"/>
      <c r="CU31" s="57" t="n"/>
      <c r="CV31" s="57" t="n"/>
      <c r="CW31" s="57" t="n"/>
      <c r="CX31" s="57" t="n"/>
      <c r="CY31" s="57" t="n"/>
      <c r="CZ31" s="57" t="n"/>
      <c r="DA31" s="57" t="n"/>
      <c r="DB31" s="57" t="n"/>
      <c r="DC31" s="57" t="n"/>
      <c r="DM31" s="6" t="n"/>
      <c r="DQ31" s="6" t="n"/>
      <c r="EI31" s="6" t="n"/>
      <c r="EJ31" s="53" t="n"/>
      <c r="EP31" s="6" t="n"/>
      <c r="EQ31" s="6" t="n"/>
      <c r="EY31" s="6" t="n"/>
      <c r="EZ31" s="314" t="n"/>
      <c r="FB31" s="289" t="n"/>
      <c r="FE31" s="6" t="n"/>
      <c r="FF31" s="289" t="n"/>
      <c r="FG31" s="289" t="n"/>
      <c r="FM31" s="289" t="n"/>
      <c r="GB31" s="53" t="n"/>
      <c r="GG31" s="6" t="n"/>
      <c r="GH31" s="6" t="n"/>
      <c r="GI31" s="6" t="n"/>
      <c r="GJ31" s="6" t="n"/>
      <c r="GK31" s="6" t="n"/>
      <c r="GL31" s="6" t="n"/>
      <c r="GM31" s="6" t="n"/>
      <c r="GN31" s="6" t="n"/>
      <c r="GO31" s="6" t="n"/>
      <c r="GP31" s="6" t="n"/>
      <c r="GQ31" s="6" t="n"/>
      <c r="GR31" s="6" t="n"/>
      <c r="GS31" s="6" t="n"/>
      <c r="GT31" s="6" t="n"/>
      <c r="GU31" s="6" t="n"/>
    </row>
    <row r="32" ht="18.75" customHeight="1">
      <c r="A32" s="250" t="inlineStr">
        <is>
          <t>ÁRVORE</t>
        </is>
      </c>
      <c r="B32" s="251" t="n">
        <v>100</v>
      </c>
      <c r="C32" s="667" t="n">
        <v>295</v>
      </c>
      <c r="D32" s="342" t="n"/>
      <c r="E32" s="6" t="n"/>
      <c r="F32" s="9" t="n">
        <v>87</v>
      </c>
      <c r="G32" s="9" t="n">
        <v>87</v>
      </c>
      <c r="H32" s="38" t="n">
        <v>87</v>
      </c>
      <c r="I32" s="38" t="n">
        <v>84</v>
      </c>
      <c r="J32" s="38" t="n">
        <v>84</v>
      </c>
      <c r="K32" s="38" t="n">
        <v>84</v>
      </c>
      <c r="L32" s="38" t="n">
        <v>84</v>
      </c>
      <c r="M32" s="38" t="n">
        <v>85</v>
      </c>
      <c r="N32" s="38" t="n">
        <v>85</v>
      </c>
      <c r="O32" s="38" t="n">
        <v>85</v>
      </c>
      <c r="P32" s="38" t="n">
        <v>85</v>
      </c>
      <c r="Q32" s="38" t="n">
        <v>85</v>
      </c>
      <c r="R32" s="38" t="n">
        <v>85</v>
      </c>
      <c r="S32" s="38" t="n">
        <v>85</v>
      </c>
      <c r="T32" s="38" t="n">
        <v>85</v>
      </c>
      <c r="U32" s="38" t="n">
        <v>85</v>
      </c>
      <c r="V32" s="38" t="n">
        <v>85</v>
      </c>
      <c r="W32" s="38" t="n">
        <v>85</v>
      </c>
      <c r="X32" s="38" t="n">
        <v>85</v>
      </c>
      <c r="Y32" s="38" t="n">
        <v>85</v>
      </c>
      <c r="Z32" s="38" t="n">
        <v>85</v>
      </c>
      <c r="AA32" s="38" t="n">
        <v>85</v>
      </c>
      <c r="AB32" s="38" t="n">
        <v>85</v>
      </c>
      <c r="AC32" s="38" t="n">
        <v>85</v>
      </c>
      <c r="AD32" s="38" t="n">
        <v>85</v>
      </c>
      <c r="AE32" s="38" t="n">
        <v>85</v>
      </c>
      <c r="AF32" s="38" t="n">
        <v>85</v>
      </c>
      <c r="AG32" s="38" t="n">
        <v>85</v>
      </c>
      <c r="AH32" s="38" t="n">
        <v>85</v>
      </c>
      <c r="AI32" s="38" t="n">
        <v>85</v>
      </c>
      <c r="AJ32" s="38" t="n">
        <v>85</v>
      </c>
      <c r="AK32" s="38" t="n">
        <v>85</v>
      </c>
      <c r="AL32" s="38" t="n">
        <v>85</v>
      </c>
      <c r="AM32" s="38" t="n">
        <v>85</v>
      </c>
      <c r="AN32" s="38" t="n">
        <v>85</v>
      </c>
      <c r="AO32" s="38" t="n">
        <v>85</v>
      </c>
      <c r="AP32" s="38" t="n">
        <v>85</v>
      </c>
      <c r="AQ32" s="38" t="n">
        <v>85</v>
      </c>
      <c r="AR32" s="38" t="n">
        <v>85</v>
      </c>
      <c r="AS32" s="38" t="n">
        <v>85</v>
      </c>
      <c r="AT32" s="38" t="n">
        <v>85</v>
      </c>
      <c r="AU32" s="38" t="n">
        <v>85</v>
      </c>
      <c r="AV32" s="38" t="n">
        <v>85</v>
      </c>
      <c r="AW32" s="38" t="n">
        <v>85</v>
      </c>
      <c r="AX32" s="38" t="n">
        <v>85</v>
      </c>
      <c r="AY32" s="38" t="n">
        <v>85</v>
      </c>
      <c r="AZ32" s="38" t="n">
        <v>85</v>
      </c>
      <c r="BA32" s="38" t="n">
        <v>85</v>
      </c>
      <c r="BB32" s="38" t="n">
        <v>84</v>
      </c>
      <c r="BC32" s="38" t="n">
        <v>83</v>
      </c>
      <c r="BD32" s="38" t="n">
        <v>82</v>
      </c>
      <c r="BE32" s="38" t="n">
        <v>58</v>
      </c>
      <c r="BF32" s="38" t="n">
        <v>54</v>
      </c>
      <c r="BG32" s="38" t="n">
        <v>54</v>
      </c>
      <c r="BH32" s="38" t="n">
        <v>54</v>
      </c>
      <c r="BI32" s="38" t="n">
        <v>54</v>
      </c>
      <c r="BJ32" s="38" t="n">
        <v>54</v>
      </c>
      <c r="BK32" s="38" t="n">
        <v>12</v>
      </c>
      <c r="BL32" s="38" t="n">
        <v>12</v>
      </c>
      <c r="BM32" s="38" t="n">
        <v>12</v>
      </c>
      <c r="BN32" s="38" t="n">
        <v>12</v>
      </c>
      <c r="BO32" s="38" t="n">
        <v>12</v>
      </c>
      <c r="BP32" s="38" t="n">
        <v>12</v>
      </c>
      <c r="BQ32" s="38" t="n">
        <v>12</v>
      </c>
      <c r="BR32" s="38" t="n">
        <v>12</v>
      </c>
      <c r="BS32" s="38" t="n">
        <v>12</v>
      </c>
      <c r="BT32" s="38" t="n">
        <v>12</v>
      </c>
      <c r="BU32" s="38" t="n">
        <v>12</v>
      </c>
      <c r="BV32" s="38" t="n">
        <v>12</v>
      </c>
      <c r="BW32" s="38" t="n">
        <v>12</v>
      </c>
      <c r="BX32" s="38" t="n">
        <v>12</v>
      </c>
      <c r="BY32" s="38" t="n">
        <v>12</v>
      </c>
      <c r="BZ32" s="38" t="n">
        <v>12</v>
      </c>
      <c r="CA32" s="38" t="n">
        <v>12</v>
      </c>
      <c r="CB32" s="38" t="n">
        <v>12</v>
      </c>
      <c r="CC32" s="9" t="n">
        <v>12</v>
      </c>
      <c r="CD32" s="9" t="n">
        <v>12</v>
      </c>
      <c r="CE32" s="9" t="n">
        <v>12</v>
      </c>
      <c r="CF32" s="246">
        <f>CD32+IF(NOT(ISBLANK(OFFSET(CF32,0,6))),N(OFFSET(CF32,0,6)),N(OFFSET(CF32,0,7)))-CE32</f>
        <v/>
      </c>
      <c r="CL32" s="696" t="n"/>
      <c r="CM32" s="57" t="n"/>
      <c r="CN32" s="57" t="n"/>
      <c r="CO32" s="57" t="n"/>
      <c r="CP32" s="57" t="n"/>
      <c r="CQ32" s="57" t="n"/>
      <c r="CR32" s="57" t="n"/>
      <c r="CS32" s="6" t="n"/>
      <c r="CT32" s="57" t="n"/>
      <c r="CU32" s="57" t="n"/>
      <c r="CV32" s="57" t="n"/>
      <c r="CW32" s="57" t="n"/>
      <c r="CX32" s="57" t="n"/>
      <c r="CY32" s="57" t="n"/>
      <c r="CZ32" s="57" t="n"/>
      <c r="DA32" s="57" t="n"/>
      <c r="DB32" s="57" t="n"/>
      <c r="DC32" s="57" t="n"/>
      <c r="DM32" s="6" t="n"/>
      <c r="DQ32" s="6" t="n"/>
      <c r="EI32" s="6" t="n"/>
      <c r="EJ32" s="53" t="n"/>
      <c r="EP32" s="6" t="n"/>
      <c r="EQ32" s="6" t="n"/>
      <c r="EY32" s="6" t="n"/>
      <c r="EZ32" s="314" t="n"/>
      <c r="FB32" s="289" t="n"/>
      <c r="FE32" s="6" t="n"/>
      <c r="FF32" s="289" t="n"/>
      <c r="FG32" s="289" t="n"/>
      <c r="FM32" s="289" t="n"/>
      <c r="GB32" s="53" t="n"/>
      <c r="GG32" s="6" t="n"/>
      <c r="GH32" s="6" t="n"/>
      <c r="GI32" s="6" t="n"/>
      <c r="GJ32" s="6" t="n"/>
      <c r="GK32" s="6" t="n"/>
      <c r="GL32" s="6" t="n"/>
      <c r="GM32" s="6" t="n"/>
      <c r="GN32" s="6" t="n"/>
      <c r="GO32" s="6" t="n"/>
      <c r="GP32" s="6" t="n"/>
      <c r="GQ32" s="6" t="n"/>
      <c r="GR32" s="6" t="n"/>
      <c r="GS32" s="6" t="n"/>
      <c r="GT32" s="6" t="n"/>
      <c r="GU32" s="6" t="n"/>
    </row>
    <row r="33" ht="18.75" customHeight="1">
      <c r="A33" s="250" t="inlineStr">
        <is>
          <t>BOLA</t>
        </is>
      </c>
      <c r="B33" s="251" t="n">
        <v>100</v>
      </c>
      <c r="C33" s="667" t="n">
        <v>283</v>
      </c>
      <c r="D33" s="342" t="n"/>
      <c r="F33" s="9" t="n">
        <v>46</v>
      </c>
      <c r="G33" s="9" t="n">
        <v>46</v>
      </c>
      <c r="H33" s="38" t="n">
        <v>48</v>
      </c>
      <c r="I33" s="38" t="n">
        <v>48</v>
      </c>
      <c r="J33" s="38" t="n">
        <v>48</v>
      </c>
      <c r="K33" s="38" t="n">
        <v>48</v>
      </c>
      <c r="L33" s="38" t="n">
        <v>48</v>
      </c>
      <c r="M33" s="38" t="n">
        <v>49</v>
      </c>
      <c r="N33" s="38" t="n">
        <v>49</v>
      </c>
      <c r="O33" s="38" t="n">
        <v>49</v>
      </c>
      <c r="P33" s="38" t="n">
        <v>49</v>
      </c>
      <c r="Q33" s="38" t="n">
        <v>49</v>
      </c>
      <c r="R33" s="38" t="n">
        <v>49</v>
      </c>
      <c r="S33" s="38" t="n">
        <v>49</v>
      </c>
      <c r="T33" s="38" t="n">
        <v>49</v>
      </c>
      <c r="U33" s="38" t="n">
        <v>49</v>
      </c>
      <c r="V33" s="38" t="n">
        <v>49</v>
      </c>
      <c r="W33" s="38" t="n">
        <v>49</v>
      </c>
      <c r="X33" s="38" t="n">
        <v>49</v>
      </c>
      <c r="Y33" s="38" t="n">
        <v>49</v>
      </c>
      <c r="Z33" s="38" t="n">
        <v>49</v>
      </c>
      <c r="AA33" s="38" t="n">
        <v>49</v>
      </c>
      <c r="AB33" s="38" t="n">
        <v>49</v>
      </c>
      <c r="AC33" s="38" t="n">
        <v>49</v>
      </c>
      <c r="AD33" s="38" t="n">
        <v>49</v>
      </c>
      <c r="AE33" s="38" t="n">
        <v>49</v>
      </c>
      <c r="AF33" s="38" t="n">
        <v>49</v>
      </c>
      <c r="AG33" s="38" t="n">
        <v>49</v>
      </c>
      <c r="AH33" s="38" t="n">
        <v>49</v>
      </c>
      <c r="AI33" s="38" t="n">
        <v>49</v>
      </c>
      <c r="AJ33" s="38" t="n">
        <v>49</v>
      </c>
      <c r="AK33" s="38" t="n">
        <v>49</v>
      </c>
      <c r="AL33" s="38" t="n">
        <v>49</v>
      </c>
      <c r="AM33" s="38" t="n">
        <v>49</v>
      </c>
      <c r="AN33" s="38" t="n">
        <v>49</v>
      </c>
      <c r="AO33" s="38" t="n">
        <v>49</v>
      </c>
      <c r="AP33" s="38" t="n">
        <v>49</v>
      </c>
      <c r="AQ33" s="38" t="n">
        <v>49</v>
      </c>
      <c r="AR33" s="38" t="n">
        <v>49</v>
      </c>
      <c r="AS33" s="38" t="n">
        <v>49</v>
      </c>
      <c r="AT33" s="38" t="n">
        <v>49</v>
      </c>
      <c r="AU33" s="38" t="n">
        <v>49</v>
      </c>
      <c r="AV33" s="38" t="n">
        <v>49</v>
      </c>
      <c r="AW33" s="38" t="n">
        <v>49</v>
      </c>
      <c r="AX33" s="38" t="n">
        <v>49</v>
      </c>
      <c r="AY33" s="38" t="n">
        <v>49</v>
      </c>
      <c r="AZ33" s="38" t="n">
        <v>49</v>
      </c>
      <c r="BA33" s="38" t="n">
        <v>63</v>
      </c>
      <c r="BB33" s="38" t="n">
        <v>63</v>
      </c>
      <c r="BC33" s="38" t="n">
        <v>63</v>
      </c>
      <c r="BD33" s="38" t="n">
        <v>61</v>
      </c>
      <c r="BE33" s="38" t="n">
        <v>38</v>
      </c>
      <c r="BF33" s="38" t="n">
        <v>37</v>
      </c>
      <c r="BG33" s="38" t="n">
        <v>37</v>
      </c>
      <c r="BH33" s="38" t="n">
        <v>37</v>
      </c>
      <c r="BI33" s="38" t="n">
        <v>37</v>
      </c>
      <c r="BJ33" s="38" t="n">
        <v>37</v>
      </c>
      <c r="BK33" s="38" t="n">
        <v>5</v>
      </c>
      <c r="BL33" s="38" t="n">
        <v>5</v>
      </c>
      <c r="BM33" s="38" t="n">
        <v>5</v>
      </c>
      <c r="BN33" s="38" t="n">
        <v>5</v>
      </c>
      <c r="BO33" s="38" t="n">
        <v>5</v>
      </c>
      <c r="BP33" s="38" t="n">
        <v>5</v>
      </c>
      <c r="BQ33" s="38" t="n">
        <v>5</v>
      </c>
      <c r="BR33" s="38" t="n">
        <v>5</v>
      </c>
      <c r="BS33" s="38" t="n">
        <v>5</v>
      </c>
      <c r="BT33" s="38" t="n">
        <v>5</v>
      </c>
      <c r="BU33" s="38" t="n">
        <v>5</v>
      </c>
      <c r="BV33" s="38" t="n">
        <v>5</v>
      </c>
      <c r="BW33" s="38" t="n">
        <v>5</v>
      </c>
      <c r="BX33" s="38" t="n">
        <v>5</v>
      </c>
      <c r="BY33" s="38" t="n">
        <v>5</v>
      </c>
      <c r="BZ33" s="38" t="n">
        <v>5</v>
      </c>
      <c r="CA33" s="38" t="n">
        <v>5</v>
      </c>
      <c r="CB33" s="38" t="n">
        <v>5</v>
      </c>
      <c r="CC33" s="9" t="n">
        <v>5</v>
      </c>
      <c r="CD33" s="9" t="n">
        <v>5</v>
      </c>
      <c r="CE33" s="9" t="n">
        <v>5</v>
      </c>
      <c r="CF33" s="246">
        <f>CD33+IF(NOT(ISBLANK(OFFSET(CF33,0,6))),N(OFFSET(CF33,0,6)),N(OFFSET(CF33,0,7)))-CE33</f>
        <v/>
      </c>
      <c r="CL33" s="696" t="n"/>
      <c r="CM33" s="57" t="n"/>
      <c r="CN33" s="57" t="n"/>
      <c r="CO33" s="57" t="n"/>
      <c r="CP33" s="57" t="n"/>
      <c r="CQ33" s="57" t="n"/>
      <c r="CR33" s="57" t="n"/>
      <c r="CS33" s="6" t="n"/>
      <c r="CT33" s="57" t="n"/>
      <c r="CU33" s="57" t="n"/>
      <c r="CV33" s="57" t="n"/>
      <c r="CW33" s="57" t="n"/>
      <c r="CX33" s="57" t="n"/>
      <c r="CY33" s="57" t="n"/>
      <c r="CZ33" s="57" t="n"/>
      <c r="DA33" s="57" t="n"/>
      <c r="DB33" s="57" t="n"/>
      <c r="DC33" s="57" t="n"/>
      <c r="DM33" s="6" t="n"/>
      <c r="DQ33" s="6" t="n"/>
      <c r="EI33" s="6" t="n"/>
      <c r="EJ33" s="53" t="n"/>
      <c r="EP33" s="6" t="n"/>
      <c r="EQ33" s="6" t="n"/>
      <c r="EZ33" s="314" t="n"/>
      <c r="FB33" s="289" t="n"/>
      <c r="FF33" s="289" t="n"/>
      <c r="FG33" s="289" t="n"/>
      <c r="FM33" s="289" t="n"/>
      <c r="GB33" s="53" t="n"/>
    </row>
    <row r="34" hidden="1" ht="18.75" customHeight="1">
      <c r="A34" s="243" t="inlineStr">
        <is>
          <t>CAIXA P MÃES/25</t>
        </is>
      </c>
      <c r="B34" s="244" t="n">
        <v>150</v>
      </c>
      <c r="C34" s="697" t="n">
        <v>781.05</v>
      </c>
      <c r="D34" s="342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>
        <f>86-73</f>
        <v/>
      </c>
      <c r="AA34" s="9" t="n">
        <v>11</v>
      </c>
      <c r="AB34" s="9" t="n">
        <v>5</v>
      </c>
      <c r="AC34" s="9" t="n">
        <v>3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9" t="n"/>
      <c r="CC34" s="9" t="n"/>
      <c r="CD34" s="9" t="n"/>
      <c r="CE34" s="9" t="n"/>
      <c r="CF34" s="246">
        <f>CD34+IF(NOT(ISBLANK(OFFSET(CF34,0,6))),N(OFFSET(CF34,0,6)),N(OFFSET(CF34,0,7)))-CE34</f>
        <v/>
      </c>
      <c r="CL34" s="696" t="n"/>
      <c r="CM34" s="57" t="n"/>
      <c r="CN34" s="57" t="n"/>
      <c r="CO34" s="57" t="n"/>
      <c r="CP34" s="57" t="n"/>
      <c r="CQ34" s="57" t="n"/>
      <c r="CR34" s="57" t="n"/>
      <c r="CS34" s="6" t="n"/>
      <c r="CT34" s="57" t="n"/>
      <c r="CU34" s="57" t="n"/>
      <c r="CV34" s="57" t="n"/>
      <c r="CW34" s="57" t="n"/>
      <c r="CX34" s="57" t="n"/>
      <c r="CY34" s="57" t="n"/>
      <c r="CZ34" s="57" t="n"/>
      <c r="DA34" s="57" t="n"/>
      <c r="DB34" s="57" t="n"/>
      <c r="DC34" s="57" t="n"/>
      <c r="DM34" s="6" t="n"/>
      <c r="DQ34" s="6" t="n"/>
      <c r="EI34" s="6" t="n"/>
      <c r="EJ34" s="53" t="n"/>
      <c r="EP34" s="6" t="n"/>
      <c r="EQ34" s="6" t="n"/>
      <c r="EZ34" s="314" t="n"/>
      <c r="FB34" s="289" t="n"/>
      <c r="FF34" s="289" t="n"/>
      <c r="FG34" s="289" t="n"/>
      <c r="FM34" s="289" t="n"/>
      <c r="GB34" s="53" t="n"/>
    </row>
    <row r="35" hidden="1" ht="18.75" customHeight="1">
      <c r="A35" s="243" t="inlineStr">
        <is>
          <t>CAIXA M MÃES/25</t>
        </is>
      </c>
      <c r="B35" s="244" t="n">
        <v>100</v>
      </c>
      <c r="C35" s="697" t="n">
        <v>789</v>
      </c>
      <c r="D35" s="342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>
        <f>35-20</f>
        <v/>
      </c>
      <c r="AA35" s="9" t="n">
        <v>8</v>
      </c>
      <c r="AB35" s="9" t="n">
        <v>3</v>
      </c>
      <c r="AC35" s="9" t="n">
        <v>3</v>
      </c>
      <c r="AD35" s="9" t="n">
        <v>0</v>
      </c>
      <c r="AE35" s="9" t="n">
        <v>0</v>
      </c>
      <c r="AF35" s="9" t="n">
        <v>0</v>
      </c>
      <c r="AG35" s="9" t="n"/>
      <c r="AH35" s="9" t="n"/>
      <c r="AI35" s="9" t="n"/>
      <c r="AJ35" s="9" t="n"/>
      <c r="AK35" s="9" t="n"/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9" t="n"/>
      <c r="CD35" s="9" t="n"/>
      <c r="CE35" s="9" t="n"/>
      <c r="CF35" s="246">
        <f>CD35+IF(NOT(ISBLANK(OFFSET(CF35,0,6))),N(OFFSET(CF35,0,6)),N(OFFSET(CF35,0,7)))-CE35</f>
        <v/>
      </c>
      <c r="CL35" s="290" t="n"/>
      <c r="CM35" s="61" t="n"/>
      <c r="CN35" s="61" t="n"/>
      <c r="CO35" s="61" t="n"/>
      <c r="CP35" s="61" t="n"/>
      <c r="CQ35" s="61" t="n"/>
      <c r="CR35" s="61" t="n"/>
      <c r="CS35" s="6" t="n"/>
      <c r="CT35" s="61" t="n"/>
      <c r="CU35" s="61" t="n"/>
      <c r="CV35" s="61" t="n"/>
      <c r="CW35" s="61" t="n"/>
      <c r="CX35" s="61" t="n"/>
      <c r="CY35" s="61" t="n"/>
      <c r="CZ35" s="61" t="n"/>
      <c r="DA35" s="61" t="n"/>
      <c r="DB35" s="61" t="n"/>
      <c r="DC35" s="61" t="n"/>
      <c r="DM35" s="6" t="n"/>
      <c r="DQ35" s="6" t="n"/>
      <c r="EI35" s="6" t="n"/>
      <c r="EJ35" s="53" t="n"/>
      <c r="EP35" s="6" t="n"/>
      <c r="EQ35" s="6" t="n"/>
      <c r="EZ35" s="314" t="n"/>
      <c r="FB35" s="289" t="n"/>
      <c r="FF35" s="289" t="n"/>
      <c r="FG35" s="289" t="n"/>
      <c r="FM35" s="289" t="n"/>
      <c r="GB35" s="53" t="n"/>
    </row>
    <row r="36" hidden="1" ht="18.75" customHeight="1">
      <c r="A36" s="243" t="inlineStr">
        <is>
          <t>CAIXA G MÃES/25</t>
        </is>
      </c>
      <c r="B36" s="244" t="n">
        <v>75</v>
      </c>
      <c r="C36" s="697" t="n">
        <v>844.05</v>
      </c>
      <c r="D36" s="342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>
        <f>60-5-20</f>
        <v/>
      </c>
      <c r="AA36" s="9" t="n">
        <v>33</v>
      </c>
      <c r="AB36" s="9" t="n">
        <v>31</v>
      </c>
      <c r="AC36" s="9" t="n">
        <v>30</v>
      </c>
      <c r="AD36" s="9" t="n">
        <v>28</v>
      </c>
      <c r="AE36" s="9" t="n">
        <v>28</v>
      </c>
      <c r="AF36" s="9" t="n">
        <v>24</v>
      </c>
      <c r="AG36" s="9" t="n">
        <v>23</v>
      </c>
      <c r="AH36" s="9" t="n">
        <v>22</v>
      </c>
      <c r="AI36" s="9" t="n">
        <v>22</v>
      </c>
      <c r="AJ36" s="9" t="n">
        <v>22</v>
      </c>
      <c r="AK36" s="9" t="n">
        <v>20</v>
      </c>
      <c r="AL36" s="9" t="n">
        <v>19</v>
      </c>
      <c r="AM36" s="9" t="n">
        <v>17</v>
      </c>
      <c r="AN36" s="9" t="n">
        <v>17</v>
      </c>
      <c r="AO36" s="9" t="n">
        <v>16</v>
      </c>
      <c r="AP36" s="9" t="n">
        <v>2</v>
      </c>
      <c r="AQ36" s="9" t="n">
        <v>2</v>
      </c>
      <c r="AR36" s="9" t="n">
        <v>1</v>
      </c>
      <c r="AS36" s="9" t="n">
        <v>0</v>
      </c>
      <c r="AT36" s="9" t="n">
        <v>0</v>
      </c>
      <c r="AU36" s="9" t="n">
        <v>11</v>
      </c>
      <c r="AV36" s="9" t="n">
        <v>10</v>
      </c>
      <c r="AW36" s="9" t="n">
        <v>10</v>
      </c>
      <c r="AX36" s="9" t="n">
        <v>9</v>
      </c>
      <c r="AY36" s="9" t="n">
        <v>8</v>
      </c>
      <c r="AZ36" s="9" t="n">
        <v>7</v>
      </c>
      <c r="BA36" s="9" t="n">
        <v>7</v>
      </c>
      <c r="BB36" s="9" t="n">
        <v>6</v>
      </c>
      <c r="BC36" s="9" t="n">
        <v>5</v>
      </c>
      <c r="BD36" s="9" t="n">
        <v>0</v>
      </c>
      <c r="BE36" s="9" t="n">
        <v>0</v>
      </c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9" t="n"/>
      <c r="CD36" s="9" t="n"/>
      <c r="CE36" s="9" t="n"/>
      <c r="CF36" s="246">
        <f>CD36+IF(NOT(ISBLANK(OFFSET(CF36,0,6))),N(OFFSET(CF36,0,6)),N(OFFSET(CF36,0,7)))-CE36</f>
        <v/>
      </c>
      <c r="CL36" s="290" t="n"/>
      <c r="CM36" s="61" t="n"/>
      <c r="CN36" s="61" t="n"/>
      <c r="CO36" s="61" t="n"/>
      <c r="CP36" s="61" t="n"/>
      <c r="CQ36" s="61" t="n"/>
      <c r="CR36" s="61" t="n"/>
      <c r="CS36" s="6" t="n"/>
      <c r="CT36" s="61" t="n"/>
      <c r="CU36" s="61" t="n"/>
      <c r="CV36" s="61" t="n"/>
      <c r="CW36" s="61" t="n"/>
      <c r="CX36" s="61" t="n"/>
      <c r="CY36" s="61" t="n"/>
      <c r="CZ36" s="61" t="n"/>
      <c r="DA36" s="61" t="n"/>
      <c r="DB36" s="61" t="n"/>
      <c r="DC36" s="61" t="n"/>
      <c r="DM36" s="6" t="n"/>
      <c r="DQ36" s="6" t="n"/>
      <c r="EI36" s="6" t="n"/>
      <c r="EJ36" s="53" t="n"/>
      <c r="EP36" s="6" t="n"/>
      <c r="EQ36" s="6" t="n"/>
      <c r="EZ36" s="314" t="n"/>
      <c r="FB36" s="289" t="n"/>
      <c r="FF36" s="289" t="n"/>
      <c r="FG36" s="289" t="n"/>
      <c r="FM36" s="289" t="n"/>
      <c r="GB36" s="53" t="n"/>
    </row>
    <row r="37" hidden="1" ht="18.75" customHeight="1">
      <c r="A37" s="243" t="inlineStr">
        <is>
          <t>CARTUCHO P MÃES/25</t>
        </is>
      </c>
      <c r="B37" s="244" t="n">
        <v>200</v>
      </c>
      <c r="C37" s="697" t="n">
        <v>450</v>
      </c>
      <c r="D37" s="342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>
        <v>0</v>
      </c>
      <c r="AL37" s="9" t="n">
        <v>0</v>
      </c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9" t="n"/>
      <c r="CD37" s="9" t="n"/>
      <c r="CE37" s="9" t="n"/>
      <c r="CF37" s="246">
        <f>CD37+IF(NOT(ISBLANK(OFFSET(CF37,0,6))),N(OFFSET(CF37,0,6)),N(OFFSET(CF37,0,7)))-CE37</f>
        <v/>
      </c>
      <c r="CS37" s="6" t="n"/>
      <c r="DM37" s="6" t="n"/>
      <c r="DQ37" s="6" t="n"/>
      <c r="EI37" s="6" t="n"/>
      <c r="EJ37" s="53" t="n"/>
      <c r="EP37" s="6" t="n"/>
      <c r="EQ37" s="6" t="n"/>
      <c r="EZ37" s="314" t="n"/>
      <c r="FB37" s="289" t="n"/>
      <c r="FF37" s="289" t="n"/>
      <c r="FG37" s="289" t="n"/>
      <c r="FM37" s="289" t="n"/>
      <c r="GB37" s="53" t="n"/>
    </row>
    <row r="38" hidden="1" ht="18.75" customHeight="1">
      <c r="A38" s="243" t="inlineStr">
        <is>
          <t>CARTUCHO M MÃES/25</t>
        </is>
      </c>
      <c r="B38" s="244" t="n">
        <v>150</v>
      </c>
      <c r="C38" s="697" t="n">
        <v>430.5</v>
      </c>
      <c r="D38" s="342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1</v>
      </c>
      <c r="AA38" s="9" t="n">
        <v>0</v>
      </c>
      <c r="AB38" s="9" t="n">
        <v>0</v>
      </c>
      <c r="AC38" s="9" t="n">
        <v>0</v>
      </c>
      <c r="AD38" s="9" t="n">
        <v>0</v>
      </c>
      <c r="AE38" s="9" t="n">
        <v>0</v>
      </c>
      <c r="AF38" s="9" t="n">
        <v>0</v>
      </c>
      <c r="AG38" s="9" t="n"/>
      <c r="AH38" s="9" t="n"/>
      <c r="AI38" s="9" t="n"/>
      <c r="AJ38" s="9" t="n"/>
      <c r="AK38" s="9" t="n">
        <v>0</v>
      </c>
      <c r="AL38" s="9" t="n">
        <v>0</v>
      </c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9" t="n"/>
      <c r="CD38" s="9" t="n"/>
      <c r="CE38" s="9" t="n"/>
      <c r="CF38" s="246">
        <f>CD38+IF(NOT(ISBLANK(OFFSET(CF38,0,6))),N(OFFSET(CF38,0,6)),N(OFFSET(CF38,0,7)))-CE38</f>
        <v/>
      </c>
      <c r="CS38" s="6" t="n"/>
      <c r="DM38" s="6" t="n"/>
      <c r="DQ38" s="6" t="n"/>
      <c r="EI38" s="6" t="n"/>
      <c r="EJ38" s="53" t="n"/>
      <c r="EP38" s="6" t="n"/>
      <c r="EQ38" s="6" t="n"/>
      <c r="EZ38" s="314" t="n"/>
      <c r="FB38" s="289" t="n"/>
      <c r="FF38" s="289" t="n"/>
      <c r="FG38" s="289" t="n"/>
      <c r="FM38" s="289" t="n"/>
      <c r="GB38" s="53" t="n"/>
    </row>
    <row r="39" hidden="1" ht="18.75" customHeight="1">
      <c r="A39" s="343" t="inlineStr">
        <is>
          <t>CAIXA M PAIS/25</t>
        </is>
      </c>
      <c r="B39" s="344" t="n">
        <v>100</v>
      </c>
      <c r="C39" s="697" t="n"/>
      <c r="D39" s="342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9" t="n"/>
      <c r="AL39" s="9" t="n"/>
      <c r="AM39" s="9" t="n"/>
      <c r="AN39" s="9" t="n"/>
      <c r="AO39" s="9" t="n">
        <v>-2</v>
      </c>
      <c r="AP39" s="9" t="n">
        <v>1</v>
      </c>
      <c r="AQ39" s="9" t="n">
        <v>1</v>
      </c>
      <c r="AR39" s="9" t="n">
        <v>1</v>
      </c>
      <c r="AS39" s="9" t="n">
        <v>1</v>
      </c>
      <c r="AT39" s="9" t="n">
        <v>1</v>
      </c>
      <c r="AU39" s="9" t="n">
        <v>0</v>
      </c>
      <c r="AV39" s="9" t="n">
        <v>0</v>
      </c>
      <c r="AW39" s="9" t="n">
        <v>0</v>
      </c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9" t="n"/>
      <c r="CD39" s="9" t="n"/>
      <c r="CE39" s="9" t="n"/>
      <c r="CF39" s="246">
        <f>CD39+IF(NOT(ISBLANK(OFFSET(CF39,0,6))),N(OFFSET(CF39,0,6)),N(OFFSET(CF39,0,7)))-CE39</f>
        <v/>
      </c>
      <c r="CS39" s="360" t="n"/>
      <c r="DM39" s="6" t="n"/>
      <c r="DQ39" s="6" t="n"/>
      <c r="EI39" s="6" t="n"/>
      <c r="EJ39" s="53" t="n"/>
      <c r="EP39" s="6" t="n"/>
      <c r="EQ39" s="6" t="n"/>
      <c r="EZ39" s="314" t="n"/>
      <c r="FB39" s="289" t="n"/>
      <c r="FF39" s="289" t="n"/>
      <c r="FG39" s="289" t="n"/>
      <c r="FM39" s="289" t="n"/>
      <c r="GB39" s="53" t="n"/>
    </row>
    <row r="40" hidden="1" ht="18.75" customHeight="1">
      <c r="A40" s="343" t="inlineStr">
        <is>
          <t>ENVELOPE M PAIS/25</t>
        </is>
      </c>
      <c r="B40" s="344" t="n">
        <v>150</v>
      </c>
      <c r="C40" s="697" t="n"/>
      <c r="D40" s="342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9" t="n"/>
      <c r="AL40" s="9" t="n"/>
      <c r="AM40" s="9" t="n"/>
      <c r="AN40" s="9" t="n"/>
      <c r="AO40" s="9" t="n">
        <v>6</v>
      </c>
      <c r="AP40" s="9" t="n">
        <v>0</v>
      </c>
      <c r="AQ40" s="9" t="n">
        <v>0</v>
      </c>
      <c r="AR40" s="9" t="n">
        <v>0</v>
      </c>
      <c r="AS40" s="9" t="n">
        <v>0</v>
      </c>
      <c r="AT40" s="9" t="n">
        <v>0</v>
      </c>
      <c r="AU40" s="9" t="n">
        <v>0</v>
      </c>
      <c r="AV40" s="9" t="n">
        <v>0</v>
      </c>
      <c r="AW40" s="9" t="n">
        <v>0</v>
      </c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9" t="n"/>
      <c r="CD40" s="9" t="n"/>
      <c r="CE40" s="9" t="n"/>
      <c r="CF40" s="246">
        <f>CD40+IF(NOT(ISBLANK(OFFSET(CF40,0,6))),N(OFFSET(CF40,0,6)),N(OFFSET(CF40,0,7)))-CE40</f>
        <v/>
      </c>
      <c r="CS40" s="360" t="n"/>
      <c r="DM40" s="6" t="n"/>
      <c r="DQ40" s="6" t="n"/>
      <c r="EI40" s="6" t="n"/>
      <c r="EJ40" s="53" t="n"/>
      <c r="EP40" s="6" t="n"/>
      <c r="EQ40" s="6" t="n"/>
      <c r="EZ40" s="314" t="n"/>
      <c r="FB40" s="289" t="n"/>
      <c r="FF40" s="289" t="n"/>
      <c r="FG40" s="289" t="n"/>
      <c r="FM40" s="289" t="n"/>
      <c r="GB40" s="53" t="n"/>
    </row>
    <row r="41" hidden="1" ht="18.75" customHeight="1">
      <c r="A41" s="343" t="inlineStr">
        <is>
          <t>PIN MELHOR PAI DO MDO</t>
        </is>
      </c>
      <c r="B41" s="344" t="n">
        <v>25</v>
      </c>
      <c r="C41" s="697" t="n"/>
      <c r="D41" s="342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9" t="n"/>
      <c r="AL41" s="9" t="n"/>
      <c r="AM41" s="9" t="n"/>
      <c r="AN41" s="9" t="n"/>
      <c r="AO41" s="9" t="n">
        <v>14</v>
      </c>
      <c r="AP41" s="9" t="n">
        <v>4</v>
      </c>
      <c r="AQ41" s="9" t="n">
        <v>-1</v>
      </c>
      <c r="AR41" s="9" t="n">
        <v>-1</v>
      </c>
      <c r="AS41" s="9" t="n">
        <v>-1</v>
      </c>
      <c r="AT41" s="9" t="n">
        <v>-1</v>
      </c>
      <c r="AU41" s="9" t="n">
        <v>0</v>
      </c>
      <c r="AV41" s="9" t="n">
        <v>0</v>
      </c>
      <c r="AW41" s="9" t="n">
        <v>0</v>
      </c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9" t="n"/>
      <c r="CD41" s="9" t="n"/>
      <c r="CE41" s="9" t="n"/>
      <c r="CF41" s="246">
        <f>CD41+IF(NOT(ISBLANK(OFFSET(CF41,0,6))),N(OFFSET(CF41,0,6)),N(OFFSET(CF41,0,7)))-CE41</f>
        <v/>
      </c>
      <c r="CL41" s="6" t="n"/>
      <c r="CM41" s="6" t="n"/>
      <c r="CN41" s="6" t="n"/>
      <c r="CO41" s="6" t="n"/>
      <c r="CP41" s="6" t="n"/>
      <c r="CQ41" s="6" t="n"/>
      <c r="CR41" s="6" t="n"/>
      <c r="CS41" s="53" t="n"/>
      <c r="CT41" s="6" t="n"/>
      <c r="CU41" s="6" t="n"/>
      <c r="CV41" s="6" t="n"/>
      <c r="CW41" s="6" t="n"/>
      <c r="CX41" s="6" t="n"/>
      <c r="CY41" s="6" t="n"/>
      <c r="CZ41" s="6" t="n"/>
      <c r="DA41" s="6" t="n"/>
      <c r="DB41" s="6" t="n"/>
      <c r="DC41" s="6" t="n"/>
      <c r="DM41" s="6" t="n"/>
      <c r="DQ41" s="6" t="n"/>
      <c r="EI41" s="6" t="n"/>
      <c r="EJ41" s="53" t="n"/>
      <c r="EP41" s="6" t="n"/>
      <c r="EQ41" s="6" t="n"/>
      <c r="EZ41" s="314" t="n"/>
      <c r="FB41" s="289" t="n"/>
      <c r="FF41" s="289" t="n"/>
      <c r="FG41" s="289" t="n"/>
      <c r="FM41" s="289" t="n"/>
      <c r="GB41" s="53" t="n"/>
      <c r="GG41" s="53" t="n"/>
      <c r="GH41" s="53" t="n"/>
      <c r="GI41" s="53" t="n"/>
      <c r="GJ41" s="53" t="n"/>
      <c r="GK41" s="53" t="n"/>
      <c r="GL41" s="53" t="n"/>
      <c r="GM41" s="53" t="n"/>
      <c r="GN41" s="53" t="n"/>
      <c r="GO41" s="53" t="n"/>
      <c r="GP41" s="53" t="n"/>
      <c r="GQ41" s="53" t="n"/>
      <c r="GR41" s="53" t="n"/>
      <c r="GS41" s="53" t="n"/>
      <c r="GT41" s="53" t="n"/>
      <c r="GU41" s="53" t="n"/>
    </row>
    <row r="42" hidden="1" ht="18.75" customHeight="1">
      <c r="A42" s="343" t="inlineStr">
        <is>
          <t>PIN BALÃO</t>
        </is>
      </c>
      <c r="B42" s="344" t="n">
        <v>25</v>
      </c>
      <c r="C42" s="697" t="n"/>
      <c r="D42" s="342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9" t="n"/>
      <c r="AL42" s="9" t="n"/>
      <c r="AM42" s="9" t="n"/>
      <c r="AN42" s="9" t="n"/>
      <c r="AO42" s="9" t="n">
        <v>18</v>
      </c>
      <c r="AP42" s="9" t="n">
        <v>14</v>
      </c>
      <c r="AQ42" s="9" t="n">
        <v>12</v>
      </c>
      <c r="AR42" s="9" t="n">
        <v>5</v>
      </c>
      <c r="AS42" s="9" t="n">
        <v>4</v>
      </c>
      <c r="AT42" s="9" t="n">
        <v>2</v>
      </c>
      <c r="AU42" s="9" t="n">
        <v>1</v>
      </c>
      <c r="AV42" s="9" t="n">
        <v>0</v>
      </c>
      <c r="AW42" s="9" t="n">
        <v>0</v>
      </c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9" t="n"/>
      <c r="CD42" s="9" t="n"/>
      <c r="CE42" s="9" t="n"/>
      <c r="CF42" s="246">
        <f>CD42+IF(NOT(ISBLANK(OFFSET(CF42,0,6))),N(OFFSET(CF42,0,6)),N(OFFSET(CF42,0,7)))-CE42</f>
        <v/>
      </c>
      <c r="CL42" s="6" t="n"/>
      <c r="CM42" s="6" t="n"/>
      <c r="CN42" s="6" t="n"/>
      <c r="CO42" s="6" t="n"/>
      <c r="CP42" s="6" t="n"/>
      <c r="CQ42" s="6" t="n"/>
      <c r="CR42" s="6" t="n"/>
      <c r="CS42" s="53" t="n"/>
      <c r="CT42" s="6" t="n"/>
      <c r="CU42" s="6" t="n"/>
      <c r="CV42" s="6" t="n"/>
      <c r="CW42" s="6" t="n"/>
      <c r="CX42" s="6" t="n"/>
      <c r="CY42" s="6" t="n"/>
      <c r="CZ42" s="6" t="n"/>
      <c r="DA42" s="6" t="n"/>
      <c r="DB42" s="6" t="n"/>
      <c r="DC42" s="6" t="n"/>
      <c r="DM42" s="6" t="n"/>
      <c r="DQ42" s="6" t="n"/>
      <c r="EI42" s="6" t="n"/>
      <c r="EJ42" s="53" t="n"/>
      <c r="EP42" s="6" t="n"/>
      <c r="EQ42" s="6" t="n"/>
      <c r="EZ42" s="314" t="n"/>
      <c r="FB42" s="289" t="n"/>
      <c r="FF42" s="289" t="n"/>
      <c r="FG42" s="289" t="n"/>
      <c r="FM42" s="289" t="n"/>
      <c r="GB42" s="53" t="n"/>
      <c r="GG42" s="53" t="n"/>
      <c r="GH42" s="53" t="n"/>
      <c r="GI42" s="53" t="n"/>
      <c r="GJ42" s="53" t="n"/>
      <c r="GK42" s="53" t="n"/>
      <c r="GL42" s="53" t="n"/>
      <c r="GM42" s="53" t="n"/>
      <c r="GN42" s="53" t="n"/>
      <c r="GO42" s="53" t="n"/>
      <c r="GP42" s="53" t="n"/>
      <c r="GQ42" s="53" t="n"/>
      <c r="GR42" s="53" t="n"/>
      <c r="GS42" s="53" t="n"/>
      <c r="GT42" s="53" t="n"/>
      <c r="GU42" s="53" t="n"/>
    </row>
    <row r="43" hidden="1" ht="18.75" customHeight="1">
      <c r="A43" s="343" t="inlineStr">
        <is>
          <t>PIN AMOR</t>
        </is>
      </c>
      <c r="B43" s="344" t="n">
        <v>25</v>
      </c>
      <c r="C43" s="697" t="n"/>
      <c r="D43" s="342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9" t="n"/>
      <c r="AL43" s="9" t="n"/>
      <c r="AM43" s="9" t="n"/>
      <c r="AN43" s="9" t="n"/>
      <c r="AO43" s="9" t="n">
        <v>2</v>
      </c>
      <c r="AP43" s="9" t="n">
        <v>14</v>
      </c>
      <c r="AQ43" s="9" t="n">
        <v>9</v>
      </c>
      <c r="AR43" s="9" t="n">
        <v>3</v>
      </c>
      <c r="AS43" s="9" t="n">
        <v>2</v>
      </c>
      <c r="AT43" s="9" t="n">
        <v>2</v>
      </c>
      <c r="AU43" s="9" t="n">
        <v>3</v>
      </c>
      <c r="AV43" s="9" t="n">
        <v>3</v>
      </c>
      <c r="AW43" s="9" t="n">
        <v>2</v>
      </c>
      <c r="AX43" s="9" t="n">
        <v>2</v>
      </c>
      <c r="AY43" s="9" t="n">
        <v>2</v>
      </c>
      <c r="AZ43" s="9" t="n">
        <v>2</v>
      </c>
      <c r="BA43" s="9" t="n">
        <v>2</v>
      </c>
      <c r="BB43" s="9" t="n">
        <v>1</v>
      </c>
      <c r="BC43" s="9" t="n">
        <v>1</v>
      </c>
      <c r="BD43" s="9" t="n">
        <v>0</v>
      </c>
      <c r="BE43" s="9" t="n">
        <v>0</v>
      </c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9" t="n"/>
      <c r="CD43" s="9" t="n"/>
      <c r="CE43" s="9" t="n"/>
      <c r="CF43" s="246">
        <f>CD43+IF(NOT(ISBLANK(OFFSET(CF43,0,6))),N(OFFSET(CF43,0,6)),N(OFFSET(CF43,0,7)))-CE43</f>
        <v/>
      </c>
      <c r="CL43" s="6" t="n"/>
      <c r="CM43" s="6" t="n"/>
      <c r="CN43" s="6" t="n"/>
      <c r="CO43" s="6" t="n"/>
      <c r="CP43" s="6" t="n"/>
      <c r="CQ43" s="6" t="n"/>
      <c r="CR43" s="6" t="n"/>
      <c r="CS43" s="53" t="n"/>
      <c r="CT43" s="6" t="n"/>
      <c r="CU43" s="6" t="n"/>
      <c r="CV43" s="6" t="n"/>
      <c r="CW43" s="6" t="n"/>
      <c r="CX43" s="6" t="n"/>
      <c r="CY43" s="6" t="n"/>
      <c r="CZ43" s="6" t="n"/>
      <c r="DA43" s="6" t="n"/>
      <c r="DB43" s="6" t="n"/>
      <c r="DC43" s="6" t="n"/>
      <c r="DM43" s="6" t="n"/>
      <c r="DQ43" s="6" t="n"/>
      <c r="EI43" s="6" t="n"/>
      <c r="EJ43" s="53" t="n"/>
      <c r="EP43" s="6" t="n"/>
      <c r="EQ43" s="6" t="n"/>
      <c r="EZ43" s="314" t="n"/>
      <c r="FB43" s="289" t="n"/>
      <c r="FF43" s="289" t="n"/>
      <c r="FG43" s="289" t="n"/>
      <c r="FM43" s="289" t="n"/>
      <c r="GB43" s="53" t="n"/>
      <c r="GG43" s="53" t="n"/>
      <c r="GH43" s="53" t="n"/>
      <c r="GI43" s="53" t="n"/>
      <c r="GJ43" s="53" t="n"/>
      <c r="GK43" s="53" t="n"/>
      <c r="GL43" s="53" t="n"/>
      <c r="GM43" s="53" t="n"/>
      <c r="GN43" s="53" t="n"/>
      <c r="GO43" s="53" t="n"/>
      <c r="GP43" s="53" t="n"/>
      <c r="GQ43" s="53" t="n"/>
      <c r="GR43" s="53" t="n"/>
      <c r="GS43" s="53" t="n"/>
      <c r="GT43" s="53" t="n"/>
      <c r="GU43" s="53" t="n"/>
    </row>
    <row r="44" hidden="1" ht="18.75" customHeight="1">
      <c r="A44" s="368" t="inlineStr">
        <is>
          <t>CAIXA DORAMA/25</t>
        </is>
      </c>
      <c r="B44" s="369" t="n">
        <v>100</v>
      </c>
      <c r="C44" s="698" t="n">
        <v>841.1</v>
      </c>
      <c r="D44" s="342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9" t="n">
        <v>7</v>
      </c>
      <c r="AL44" s="9" t="n">
        <v>3</v>
      </c>
      <c r="AM44" s="9" t="n">
        <v>3</v>
      </c>
      <c r="AN44" s="9" t="n">
        <v>3</v>
      </c>
      <c r="AO44" s="9" t="n">
        <v>2</v>
      </c>
      <c r="AP44" s="9" t="n">
        <v>3</v>
      </c>
      <c r="AQ44" s="9" t="n">
        <v>2</v>
      </c>
      <c r="AR44" s="9" t="n">
        <v>1</v>
      </c>
      <c r="AS44" s="9" t="n">
        <v>1</v>
      </c>
      <c r="AT44" s="9" t="n">
        <v>1</v>
      </c>
      <c r="AU44" s="9" t="n">
        <v>0</v>
      </c>
      <c r="AV44" s="9" t="n">
        <v>0</v>
      </c>
      <c r="AW44" s="9" t="n">
        <v>0</v>
      </c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>
        <v>0</v>
      </c>
      <c r="BH44" s="9" t="n">
        <v>0</v>
      </c>
      <c r="BI44" s="9" t="n">
        <v>0</v>
      </c>
      <c r="BJ44" s="9" t="n">
        <v>0</v>
      </c>
      <c r="BK44" s="9" t="n">
        <v>0</v>
      </c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9" t="n"/>
      <c r="CD44" s="9" t="n"/>
      <c r="CE44" s="9" t="n"/>
      <c r="CF44" s="246">
        <f>CD44+IF(NOT(ISBLANK(OFFSET(CF44,0,6))),N(OFFSET(CF44,0,6)),N(OFFSET(CF44,0,7)))-CE44</f>
        <v/>
      </c>
      <c r="CL44" s="6" t="n"/>
      <c r="CM44" s="6" t="n"/>
      <c r="CN44" s="6" t="n"/>
      <c r="CO44" s="6" t="n"/>
      <c r="CP44" s="6" t="n"/>
      <c r="CQ44" s="6" t="n"/>
      <c r="CR44" s="6" t="n"/>
      <c r="CS44" s="53" t="n"/>
      <c r="CT44" s="6" t="n"/>
      <c r="CU44" s="6" t="n"/>
      <c r="CV44" s="6" t="n"/>
      <c r="CW44" s="6" t="n"/>
      <c r="CX44" s="6" t="n"/>
      <c r="CY44" s="6" t="n"/>
      <c r="CZ44" s="6" t="n"/>
      <c r="DA44" s="6" t="n"/>
      <c r="DB44" s="6" t="n"/>
      <c r="DC44" s="6" t="n"/>
      <c r="DM44" s="360" t="n"/>
      <c r="DQ44" s="360" t="n"/>
      <c r="EI44" s="6" t="n"/>
      <c r="EJ44" s="53" t="n"/>
      <c r="EP44" s="6" t="n"/>
      <c r="EQ44" s="6" t="n"/>
      <c r="EZ44" s="314" t="n"/>
      <c r="FB44" s="289" t="n"/>
      <c r="FF44" s="289" t="n"/>
      <c r="FG44" s="289" t="n"/>
      <c r="FM44" s="289" t="n"/>
      <c r="GB44" s="53" t="n"/>
      <c r="GG44" s="53" t="n"/>
      <c r="GH44" s="53" t="n"/>
      <c r="GI44" s="53" t="n"/>
      <c r="GJ44" s="53" t="n"/>
      <c r="GK44" s="53" t="n"/>
      <c r="GL44" s="53" t="n"/>
      <c r="GM44" s="53" t="n"/>
      <c r="GN44" s="53" t="n"/>
      <c r="GO44" s="53" t="n"/>
      <c r="GP44" s="53" t="n"/>
      <c r="GQ44" s="53" t="n"/>
      <c r="GR44" s="53" t="n"/>
      <c r="GS44" s="53" t="n"/>
      <c r="GT44" s="53" t="n"/>
      <c r="GU44" s="53" t="n"/>
    </row>
    <row r="45" ht="18.75" customHeight="1">
      <c r="A45" s="33" t="inlineStr">
        <is>
          <t>CAIXA P NATAL/25</t>
        </is>
      </c>
      <c r="B45" s="9" t="n">
        <v>150</v>
      </c>
      <c r="C45" s="668" t="n">
        <v>805.35</v>
      </c>
      <c r="D45" s="342" t="n"/>
      <c r="BD45" s="9" t="n">
        <v>168</v>
      </c>
      <c r="BE45" s="9" t="n">
        <v>174</v>
      </c>
      <c r="BF45" s="9" t="n">
        <v>78</v>
      </c>
      <c r="BG45" s="9" t="n">
        <v>72</v>
      </c>
      <c r="BH45" s="9" t="n">
        <v>63</v>
      </c>
      <c r="BI45" s="9" t="n">
        <v>61</v>
      </c>
      <c r="BJ45" s="9" t="n">
        <v>60</v>
      </c>
      <c r="BK45" s="9" t="n">
        <v>147</v>
      </c>
      <c r="BL45" s="9" t="n">
        <v>60</v>
      </c>
      <c r="BM45" s="9" t="n">
        <v>58</v>
      </c>
      <c r="BN45" s="9" t="n">
        <v>57</v>
      </c>
      <c r="BO45" s="9" t="n">
        <v>27</v>
      </c>
      <c r="BP45" s="9" t="n">
        <v>21</v>
      </c>
      <c r="BQ45" s="9" t="n">
        <v>16</v>
      </c>
      <c r="BR45" s="9" t="n">
        <v>2</v>
      </c>
      <c r="BS45" s="9" t="n">
        <v>2</v>
      </c>
      <c r="BT45" s="9" t="n">
        <v>2</v>
      </c>
      <c r="BU45" s="9" t="n">
        <v>2</v>
      </c>
      <c r="BV45" s="9" t="n">
        <v>2</v>
      </c>
      <c r="BW45" s="9" t="n">
        <v>0</v>
      </c>
      <c r="BX45" s="9" t="n">
        <v>0</v>
      </c>
      <c r="BY45" s="9" t="n">
        <v>0</v>
      </c>
      <c r="BZ45" s="9" t="n">
        <v>0</v>
      </c>
      <c r="CA45" s="9" t="n">
        <v>0</v>
      </c>
      <c r="CB45" s="9" t="n">
        <v>0</v>
      </c>
      <c r="CC45" s="9" t="n">
        <v>0</v>
      </c>
      <c r="CD45" s="9" t="n">
        <v>0</v>
      </c>
      <c r="CE45" s="9" t="n">
        <v>0</v>
      </c>
      <c r="CF45" s="246">
        <f>CD45+IF(NOT(ISBLANK(OFFSET(CF45,0,6))),N(OFFSET(CF45,0,6)),N(OFFSET(CF45,0,7)))-CE45</f>
        <v/>
      </c>
      <c r="CL45" s="6" t="n"/>
      <c r="CM45" s="6" t="n"/>
      <c r="CN45" s="6" t="n"/>
      <c r="CO45" s="6" t="n"/>
      <c r="CP45" s="6" t="n"/>
      <c r="CQ45" s="6" t="n"/>
      <c r="CR45" s="6" t="n"/>
      <c r="CT45" s="6" t="n"/>
      <c r="CU45" s="6" t="n"/>
      <c r="CV45" s="6" t="n"/>
      <c r="CW45" s="6" t="n"/>
      <c r="CX45" s="6" t="n"/>
      <c r="CY45" s="6" t="n"/>
      <c r="CZ45" s="6" t="n"/>
      <c r="DA45" s="6" t="n"/>
      <c r="DB45" s="6" t="n"/>
      <c r="DC45" s="6" t="n"/>
      <c r="DM45" s="360" t="n"/>
      <c r="DQ45" s="360" t="n"/>
      <c r="EC45" s="57" t="n"/>
      <c r="EI45" s="6" t="n"/>
      <c r="EJ45" s="53" t="n"/>
      <c r="EO45" s="57" t="n"/>
      <c r="EP45" s="6" t="n"/>
      <c r="EQ45" s="6" t="n"/>
      <c r="ER45" s="57" t="n"/>
      <c r="ES45" s="57" t="n"/>
      <c r="ET45" s="57" t="n"/>
      <c r="EU45" s="57" t="n"/>
      <c r="EV45" s="57" t="n"/>
      <c r="EW45" s="57" t="n"/>
      <c r="EX45" s="57" t="n"/>
      <c r="EZ45" s="315" t="n"/>
      <c r="FA45" s="57" t="n"/>
      <c r="FB45" s="289" t="n"/>
      <c r="FC45" s="57" t="n"/>
      <c r="FD45" s="57" t="n"/>
      <c r="FF45" s="289" t="n"/>
      <c r="FG45" s="289" t="n"/>
      <c r="FL45" s="57" t="n"/>
      <c r="FM45" s="289" t="n"/>
      <c r="FP45" s="57" t="n"/>
      <c r="FU45" s="57" t="n"/>
      <c r="FW45" s="57" t="n"/>
      <c r="GB45" s="53" t="n"/>
    </row>
    <row r="46" ht="18.75" customHeight="1">
      <c r="A46" s="33" t="inlineStr">
        <is>
          <t>CAIXA M NATAL/25</t>
        </is>
      </c>
      <c r="B46" s="9" t="n">
        <v>100</v>
      </c>
      <c r="C46" s="668" t="n">
        <v>792.2</v>
      </c>
      <c r="D46" s="342" t="n"/>
      <c r="BD46" s="190" t="n">
        <v>318</v>
      </c>
      <c r="BE46" s="9" t="n">
        <v>260</v>
      </c>
      <c r="BF46" s="9" t="n">
        <v>112</v>
      </c>
      <c r="BG46" s="9" t="n">
        <v>101</v>
      </c>
      <c r="BH46" s="9" t="n">
        <v>94</v>
      </c>
      <c r="BI46" s="9" t="n">
        <v>83</v>
      </c>
      <c r="BJ46" s="9" t="n">
        <v>74</v>
      </c>
      <c r="BK46" s="9" t="n">
        <v>24</v>
      </c>
      <c r="BL46" s="9" t="n">
        <v>15</v>
      </c>
      <c r="BM46" s="9" t="n">
        <v>13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>
        <v>0</v>
      </c>
      <c r="BU46" s="9" t="n">
        <v>0</v>
      </c>
      <c r="BV46" s="9" t="n">
        <v>0</v>
      </c>
      <c r="BW46" s="9" t="n">
        <v>0</v>
      </c>
      <c r="BX46" s="9" t="n">
        <v>0</v>
      </c>
      <c r="BY46" s="9" t="n">
        <v>0</v>
      </c>
      <c r="BZ46" s="9" t="n">
        <v>0</v>
      </c>
      <c r="CA46" s="9" t="n">
        <v>0</v>
      </c>
      <c r="CB46" s="9" t="n">
        <v>0</v>
      </c>
      <c r="CC46" s="9" t="n">
        <v>0</v>
      </c>
      <c r="CD46" s="9" t="n">
        <v>0</v>
      </c>
      <c r="CE46" s="9" t="n">
        <v>0</v>
      </c>
      <c r="CF46" s="246">
        <f>CD46+IF(NOT(ISBLANK(OFFSET(CF46,0,6))),N(OFFSET(CF46,0,6)),N(OFFSET(CF46,0,7)))-CE46</f>
        <v/>
      </c>
      <c r="CL46" s="6" t="n"/>
      <c r="CM46" s="6" t="n"/>
      <c r="CN46" s="6" t="n"/>
      <c r="CO46" s="6" t="n"/>
      <c r="CP46" s="6" t="n"/>
      <c r="CQ46" s="6" t="n"/>
      <c r="CR46" s="6" t="n"/>
      <c r="CT46" s="6" t="n"/>
      <c r="CU46" s="6" t="n"/>
      <c r="CV46" s="6" t="n"/>
      <c r="CW46" s="6" t="n"/>
      <c r="CX46" s="6" t="n"/>
      <c r="CY46" s="6" t="n"/>
      <c r="CZ46" s="6" t="n"/>
      <c r="DA46" s="6" t="n"/>
      <c r="DB46" s="6" t="n"/>
      <c r="DC46" s="6" t="n"/>
      <c r="DM46" s="360" t="n"/>
      <c r="DQ46" s="360" t="n"/>
      <c r="EC46" s="57" t="n"/>
      <c r="EI46" s="6" t="n"/>
      <c r="EJ46" s="53" t="n"/>
      <c r="EO46" s="57" t="n"/>
      <c r="EP46" s="6" t="n"/>
      <c r="EQ46" s="6" t="n"/>
      <c r="ER46" s="57" t="n"/>
      <c r="ES46" s="57" t="n"/>
      <c r="ET46" s="57" t="n"/>
      <c r="EU46" s="57" t="n"/>
      <c r="EV46" s="57" t="n"/>
      <c r="EW46" s="57" t="n"/>
      <c r="EX46" s="57" t="n"/>
      <c r="EZ46" s="315" t="n"/>
      <c r="FA46" s="57" t="n"/>
      <c r="FB46" s="289" t="n"/>
      <c r="FC46" s="57" t="n"/>
      <c r="FD46" s="57" t="n"/>
      <c r="FF46" s="289" t="n"/>
      <c r="FG46" s="289" t="n"/>
      <c r="FL46" s="57" t="n"/>
      <c r="FM46" s="289" t="n"/>
      <c r="FP46" s="57" t="n"/>
      <c r="FU46" s="57" t="n"/>
      <c r="FW46" s="57" t="n"/>
      <c r="GB46" s="53" t="n"/>
    </row>
    <row r="47" ht="18.75" customHeight="1">
      <c r="A47" s="33" t="inlineStr">
        <is>
          <t>CAIXA G NATAL/25</t>
        </is>
      </c>
      <c r="B47" s="9" t="n">
        <v>50</v>
      </c>
      <c r="C47" s="668" t="n"/>
      <c r="D47" s="342" t="n"/>
      <c r="BD47" s="9" t="n">
        <v>14</v>
      </c>
      <c r="BE47" s="9" t="n">
        <v>11</v>
      </c>
      <c r="BF47" s="9" t="n">
        <v>9</v>
      </c>
      <c r="BG47" s="9" t="n">
        <v>9</v>
      </c>
      <c r="BH47" s="9" t="n">
        <v>9</v>
      </c>
      <c r="BI47" s="9" t="n">
        <v>8</v>
      </c>
      <c r="BJ47" s="9" t="n">
        <v>8</v>
      </c>
      <c r="BK47" s="9" t="n">
        <v>8</v>
      </c>
      <c r="BL47" s="9" t="n">
        <v>8</v>
      </c>
      <c r="BM47" s="9" t="n">
        <v>8</v>
      </c>
      <c r="BN47" s="9" t="n">
        <v>8</v>
      </c>
      <c r="BO47" s="9" t="n">
        <v>8</v>
      </c>
      <c r="BP47" s="9" t="n">
        <v>8</v>
      </c>
      <c r="BQ47" s="9" t="n">
        <v>8</v>
      </c>
      <c r="BR47" s="9" t="n">
        <v>6</v>
      </c>
      <c r="BS47" s="9" t="n">
        <v>6</v>
      </c>
      <c r="BT47" s="9" t="n">
        <v>6</v>
      </c>
      <c r="BU47" s="9" t="n">
        <v>6</v>
      </c>
      <c r="BV47" s="9" t="n">
        <v>6</v>
      </c>
      <c r="BW47" s="9" t="n">
        <v>6</v>
      </c>
      <c r="BX47" s="9" t="n">
        <v>5</v>
      </c>
      <c r="BY47" s="9" t="n">
        <v>3</v>
      </c>
      <c r="BZ47" s="9" t="n">
        <v>3</v>
      </c>
      <c r="CA47" s="9" t="n">
        <v>3</v>
      </c>
      <c r="CB47" s="9" t="n">
        <v>3</v>
      </c>
      <c r="CC47" s="9" t="n">
        <v>3</v>
      </c>
      <c r="CD47" s="9" t="n">
        <v>3</v>
      </c>
      <c r="CE47" s="9" t="n">
        <v>3</v>
      </c>
      <c r="CF47" s="246">
        <f>CD47+IF(NOT(ISBLANK(OFFSET(CF47,0,6))),N(OFFSET(CF47,0,6)),N(OFFSET(CF47,0,7)))-CE47</f>
        <v/>
      </c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W47" s="6" t="n"/>
      <c r="CX47" s="6" t="n"/>
      <c r="CY47" s="6" t="n"/>
      <c r="CZ47" s="6" t="n"/>
      <c r="DA47" s="6" t="n"/>
      <c r="DB47" s="6" t="n"/>
      <c r="DC47" s="6" t="n"/>
      <c r="DM47" s="360" t="n"/>
      <c r="DQ47" s="360" t="n"/>
      <c r="EC47" s="57" t="n"/>
      <c r="EI47" s="6" t="n"/>
      <c r="EJ47" s="53" t="n"/>
      <c r="EO47" s="57" t="n"/>
      <c r="EP47" s="6" t="n"/>
      <c r="EQ47" s="6" t="n"/>
      <c r="ER47" s="57" t="n"/>
      <c r="ES47" s="57" t="n"/>
      <c r="ET47" s="57" t="n"/>
      <c r="EU47" s="57" t="n"/>
      <c r="EV47" s="57" t="n"/>
      <c r="EW47" s="57" t="n"/>
      <c r="EX47" s="57" t="n"/>
      <c r="EZ47" s="315" t="n"/>
      <c r="FA47" s="57" t="n"/>
      <c r="FB47" s="289" t="n"/>
      <c r="FC47" s="57" t="n"/>
      <c r="FD47" s="57" t="n"/>
      <c r="FF47" s="289" t="n"/>
      <c r="FG47" s="289" t="n"/>
      <c r="FL47" s="57" t="n"/>
      <c r="FM47" s="289" t="n"/>
      <c r="FP47" s="57" t="n"/>
      <c r="FU47" s="57" t="n"/>
      <c r="FW47" s="57" t="n"/>
      <c r="GB47" s="53" t="n"/>
    </row>
    <row r="48" hidden="1" ht="18.75" customHeight="1">
      <c r="A48" s="33" t="inlineStr">
        <is>
          <t>CARTUCHO P NATAL/25</t>
        </is>
      </c>
      <c r="B48" s="9" t="n">
        <v>200</v>
      </c>
      <c r="C48" s="668" t="n">
        <v>487.2</v>
      </c>
      <c r="D48" s="342" t="n"/>
      <c r="BD48" s="9" t="n">
        <v>225</v>
      </c>
      <c r="BE48" s="9" t="n">
        <v>19</v>
      </c>
      <c r="BF48" s="9" t="n">
        <v>1</v>
      </c>
      <c r="BG48" s="9" t="n">
        <v>-3</v>
      </c>
      <c r="BH48" s="9" t="n">
        <v>-3</v>
      </c>
      <c r="BI48" s="9" t="n">
        <v>-3</v>
      </c>
      <c r="BJ48" s="9" t="n">
        <v>-3</v>
      </c>
      <c r="BK48" s="9" t="n">
        <v>1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9" t="n"/>
      <c r="CD48" s="9" t="n"/>
      <c r="CE48" s="9" t="n"/>
      <c r="CF48" s="246">
        <f>CD48+IF(NOT(ISBLANK(OFFSET(CF48,0,6))),N(OFFSET(CF48,0,6)),N(OFFSET(CF48,0,7)))-CE48</f>
        <v/>
      </c>
      <c r="CL48" s="6" t="n"/>
      <c r="CM48" s="6" t="n"/>
      <c r="CN48" s="6" t="n"/>
      <c r="CO48" s="6" t="n"/>
      <c r="CP48" s="6" t="n"/>
      <c r="CQ48" s="6" t="n"/>
      <c r="CR48" s="6" t="n"/>
      <c r="CT48" s="6" t="n"/>
      <c r="CU48" s="6" t="n"/>
      <c r="CV48" s="6" t="n"/>
      <c r="CW48" s="6" t="n"/>
      <c r="CX48" s="6" t="n"/>
      <c r="CY48" s="6" t="n"/>
      <c r="CZ48" s="6" t="n"/>
      <c r="DA48" s="6" t="n"/>
      <c r="DB48" s="6" t="n"/>
      <c r="DC48" s="6" t="n"/>
      <c r="DM48" s="360" t="n"/>
      <c r="DQ48" s="360" t="n"/>
      <c r="EC48" s="57" t="n"/>
      <c r="EI48" s="6" t="n"/>
      <c r="EJ48" s="53" t="n"/>
      <c r="EO48" s="57" t="n"/>
      <c r="EP48" s="6" t="n"/>
      <c r="EQ48" s="6" t="n"/>
      <c r="ER48" s="57" t="n"/>
      <c r="ES48" s="57" t="n"/>
      <c r="ET48" s="57" t="n"/>
      <c r="EU48" s="57" t="n"/>
      <c r="EV48" s="57" t="n"/>
      <c r="EW48" s="57" t="n"/>
      <c r="EX48" s="57" t="n"/>
      <c r="EZ48" s="315" t="n"/>
      <c r="FA48" s="57" t="n"/>
      <c r="FB48" s="289" t="n"/>
      <c r="FC48" s="57" t="n"/>
      <c r="FD48" s="57" t="n"/>
      <c r="FF48" s="289" t="n"/>
      <c r="FG48" s="289" t="n"/>
      <c r="FL48" s="57" t="n"/>
      <c r="FM48" s="289" t="n"/>
      <c r="FP48" s="57" t="n"/>
      <c r="FU48" s="57" t="n"/>
      <c r="FW48" s="57" t="n"/>
      <c r="GB48" s="53" t="n"/>
    </row>
    <row r="49" hidden="1" ht="18.75" customHeight="1">
      <c r="A49" s="33" t="inlineStr">
        <is>
          <t>CARTUCHO M NATAL/25</t>
        </is>
      </c>
      <c r="B49" s="9" t="n">
        <v>150</v>
      </c>
      <c r="C49" s="668" t="n">
        <v>460.35</v>
      </c>
      <c r="D49" s="342" t="n"/>
      <c r="BD49" s="9" t="n">
        <v>184</v>
      </c>
      <c r="BE49" s="9" t="n">
        <v>52</v>
      </c>
      <c r="BF49" s="9" t="n">
        <v>21</v>
      </c>
      <c r="BG49" s="9" t="n">
        <v>19</v>
      </c>
      <c r="BH49" s="9" t="n">
        <v>17</v>
      </c>
      <c r="BI49" s="9" t="n">
        <v>16</v>
      </c>
      <c r="BJ49" s="9" t="n">
        <v>16</v>
      </c>
      <c r="BK49" s="9" t="n">
        <v>14</v>
      </c>
      <c r="BL49" s="9" t="n">
        <v>1</v>
      </c>
      <c r="BM49" s="9" t="n">
        <v>1</v>
      </c>
      <c r="BN49" s="9" t="n">
        <v>1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9" t="n"/>
      <c r="CC49" s="9" t="n"/>
      <c r="CD49" s="9" t="n"/>
      <c r="CE49" s="9" t="n"/>
      <c r="CF49" s="246">
        <f>CD49+IF(NOT(ISBLANK(OFFSET(CF49,0,6))),N(OFFSET(CF49,0,6)),N(OFFSET(CF49,0,7)))-CE49</f>
        <v/>
      </c>
      <c r="CL49" s="6" t="n"/>
      <c r="CM49" s="6" t="n"/>
      <c r="CN49" s="6" t="n"/>
      <c r="CO49" s="6" t="n"/>
      <c r="CP49" s="6" t="n"/>
      <c r="CQ49" s="6" t="n"/>
      <c r="CR49" s="6" t="n"/>
      <c r="CT49" s="6" t="n"/>
      <c r="CU49" s="6" t="n"/>
      <c r="CV49" s="6" t="n"/>
      <c r="CW49" s="6" t="n"/>
      <c r="CX49" s="6" t="n"/>
      <c r="CY49" s="6" t="n"/>
      <c r="CZ49" s="6" t="n"/>
      <c r="DA49" s="6" t="n"/>
      <c r="DB49" s="6" t="n"/>
      <c r="DC49" s="6" t="n"/>
      <c r="DM49" s="360" t="n"/>
      <c r="DQ49" s="360" t="n"/>
      <c r="EC49" s="57" t="n"/>
      <c r="EI49" s="6" t="n"/>
      <c r="EJ49" s="53" t="n"/>
      <c r="EO49" s="57" t="n"/>
      <c r="EP49" s="6" t="n"/>
      <c r="EQ49" s="6" t="n"/>
      <c r="ER49" s="57" t="n"/>
      <c r="ES49" s="57" t="n"/>
      <c r="ET49" s="57" t="n"/>
      <c r="EU49" s="57" t="n"/>
      <c r="EV49" s="57" t="n"/>
      <c r="EW49" s="57" t="n"/>
      <c r="EX49" s="57" t="n"/>
      <c r="EZ49" s="315" t="n"/>
      <c r="FA49" s="57" t="n"/>
      <c r="FB49" s="289" t="n"/>
      <c r="FC49" s="57" t="n"/>
      <c r="FD49" s="57" t="n"/>
      <c r="FF49" s="289" t="n"/>
      <c r="FG49" s="289" t="n"/>
      <c r="FL49" s="57" t="n"/>
      <c r="FM49" s="289" t="n"/>
      <c r="FP49" s="57" t="n"/>
      <c r="FU49" s="57" t="n"/>
      <c r="FW49" s="57" t="n"/>
      <c r="GB49" s="53" t="n"/>
    </row>
    <row r="50" hidden="1" ht="18.75" customHeight="1">
      <c r="A50" s="33" t="inlineStr">
        <is>
          <t>PIN NATAL/25</t>
        </is>
      </c>
      <c r="B50" s="9" t="n">
        <v>10</v>
      </c>
      <c r="C50" s="668" t="n">
        <v>120</v>
      </c>
      <c r="D50" s="342" t="n"/>
      <c r="BD50" s="9" t="n"/>
      <c r="BE50" s="9" t="n">
        <v>0</v>
      </c>
      <c r="BF50" s="9" t="n">
        <v>0</v>
      </c>
      <c r="BG50" s="9" t="n">
        <v>0</v>
      </c>
      <c r="BH50" s="9" t="n">
        <v>0</v>
      </c>
      <c r="BI50" s="9" t="n">
        <v>0</v>
      </c>
      <c r="BJ50" s="9" t="n">
        <v>0</v>
      </c>
      <c r="BK50" s="9" t="n">
        <v>1</v>
      </c>
      <c r="BL50" s="9" t="n">
        <v>1</v>
      </c>
      <c r="BM50" s="9" t="n">
        <v>1</v>
      </c>
      <c r="BN50" s="9" t="n">
        <v>1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9" t="n"/>
      <c r="CC50" s="9" t="n"/>
      <c r="CD50" s="9" t="n"/>
      <c r="CE50" s="9" t="n"/>
      <c r="CF50" s="246">
        <f>CD50+IF(NOT(ISBLANK(OFFSET(CF50,0,6))),N(OFFSET(CF50,0,6)),N(OFFSET(CF50,0,7)))-CE50</f>
        <v/>
      </c>
      <c r="CL50" s="6" t="n"/>
      <c r="CM50" s="6" t="n"/>
      <c r="CN50" s="6" t="n"/>
      <c r="CO50" s="6" t="n"/>
      <c r="CP50" s="6" t="n"/>
      <c r="CQ50" s="6" t="n"/>
      <c r="CR50" s="6" t="n"/>
      <c r="CT50" s="6" t="n"/>
      <c r="CU50" s="6" t="n"/>
      <c r="CV50" s="6" t="n"/>
      <c r="CW50" s="6" t="n"/>
      <c r="CX50" s="6" t="n"/>
      <c r="CY50" s="6" t="n"/>
      <c r="CZ50" s="6" t="n"/>
      <c r="DA50" s="6" t="n"/>
      <c r="DB50" s="6" t="n"/>
      <c r="DC50" s="6" t="n"/>
      <c r="DM50" s="360" t="n"/>
      <c r="DQ50" s="360" t="n"/>
      <c r="EC50" s="57" t="n"/>
      <c r="EI50" s="6" t="n"/>
      <c r="EJ50" s="53" t="n"/>
      <c r="EO50" s="57" t="n"/>
      <c r="EP50" s="6" t="n"/>
      <c r="EQ50" s="6" t="n"/>
      <c r="ER50" s="57" t="n"/>
      <c r="ES50" s="57" t="n"/>
      <c r="ET50" s="57" t="n"/>
      <c r="EU50" s="57" t="n"/>
      <c r="EV50" s="57" t="n"/>
      <c r="EW50" s="57" t="n"/>
      <c r="EX50" s="57" t="n"/>
      <c r="EZ50" s="315" t="n"/>
      <c r="FA50" s="57" t="n"/>
      <c r="FB50" s="289" t="n"/>
      <c r="FC50" s="57" t="n"/>
      <c r="FD50" s="57" t="n"/>
      <c r="FF50" s="289" t="n"/>
      <c r="FG50" s="289" t="n"/>
      <c r="FL50" s="57" t="n"/>
      <c r="FM50" s="289" t="n"/>
      <c r="FP50" s="57" t="n"/>
      <c r="FU50" s="57" t="n"/>
      <c r="FW50" s="57" t="n"/>
      <c r="GB50" s="53" t="n"/>
    </row>
    <row r="51" ht="18.75" customHeight="1">
      <c r="CL51" s="6" t="n"/>
      <c r="CM51" s="6" t="n"/>
      <c r="CN51" s="6" t="n"/>
      <c r="CO51" s="6" t="n"/>
      <c r="CP51" s="6" t="n"/>
      <c r="CQ51" s="6" t="n"/>
      <c r="CR51" s="6" t="n"/>
      <c r="CT51" s="6" t="n"/>
      <c r="CU51" s="6" t="n"/>
      <c r="CV51" s="6" t="n"/>
      <c r="CW51" s="6" t="n"/>
      <c r="CX51" s="6" t="n"/>
      <c r="CY51" s="6" t="n"/>
      <c r="CZ51" s="6" t="n"/>
      <c r="DA51" s="6" t="n"/>
      <c r="DB51" s="6" t="n"/>
      <c r="DC51" s="6" t="n"/>
      <c r="DM51" s="360" t="n"/>
      <c r="DQ51" s="360" t="n"/>
      <c r="EC51" s="57" t="n"/>
      <c r="EI51" s="6" t="n"/>
      <c r="EJ51" s="53" t="n"/>
      <c r="EO51" s="57" t="n"/>
      <c r="EP51" s="6" t="n"/>
      <c r="EQ51" s="6" t="n"/>
      <c r="ER51" s="57" t="n"/>
      <c r="ES51" s="57" t="n"/>
      <c r="ET51" s="57" t="n"/>
      <c r="EU51" s="57" t="n"/>
      <c r="EV51" s="57" t="n"/>
      <c r="EW51" s="57" t="n"/>
      <c r="EX51" s="57" t="n"/>
      <c r="EZ51" s="315" t="n"/>
      <c r="FA51" s="57" t="n"/>
      <c r="FB51" s="289" t="n"/>
      <c r="FC51" s="57" t="n"/>
      <c r="FD51" s="57" t="n"/>
      <c r="FF51" s="289" t="n"/>
      <c r="FG51" s="289" t="n"/>
      <c r="FL51" s="57" t="n"/>
      <c r="FM51" s="289" t="n"/>
      <c r="FP51" s="57" t="n"/>
      <c r="FU51" s="57" t="n"/>
      <c r="FW51" s="57" t="n"/>
      <c r="GB51" s="53" t="n"/>
    </row>
    <row r="52" ht="21" customHeight="1">
      <c r="A52" s="320" t="inlineStr">
        <is>
          <t>SOBRAS DATAS COMEMORATIVAS</t>
        </is>
      </c>
      <c r="B52" s="320" t="n"/>
      <c r="C52" s="320" t="n"/>
      <c r="CG52" s="53" t="n"/>
      <c r="CJ52" s="53" t="n"/>
      <c r="CK52" s="53" t="n"/>
      <c r="CL52" s="53" t="n"/>
      <c r="DD52" s="57" t="n"/>
      <c r="DE52" s="57" t="n"/>
      <c r="DF52" s="57" t="n"/>
      <c r="DG52" s="57" t="n"/>
      <c r="DH52" s="57" t="n"/>
      <c r="DI52" s="57" t="n"/>
      <c r="DJ52" s="57" t="n"/>
      <c r="DK52" s="57" t="n"/>
      <c r="DL52" s="57" t="n"/>
      <c r="DM52" s="53" t="n"/>
      <c r="DN52" s="57" t="n"/>
      <c r="DO52" s="57" t="n"/>
      <c r="DP52" s="57" t="n"/>
      <c r="DQ52" s="53" t="n"/>
      <c r="DR52" s="57" t="n"/>
      <c r="DS52" s="57" t="n"/>
      <c r="DT52" s="57" t="n"/>
      <c r="DU52" s="57" t="n"/>
      <c r="DV52" s="57" t="n"/>
      <c r="DW52" s="57" t="n"/>
      <c r="DX52" s="57" t="n"/>
      <c r="DY52" s="57" t="n"/>
      <c r="DZ52" s="57" t="n"/>
      <c r="EA52" s="57" t="n"/>
      <c r="EB52" s="57" t="n"/>
      <c r="EC52" s="61" t="n"/>
      <c r="ED52" s="57" t="n"/>
      <c r="EE52" s="57" t="n"/>
      <c r="EF52" s="57" t="n"/>
      <c r="EG52" s="57" t="n"/>
      <c r="EH52" s="57" t="n"/>
      <c r="EI52" s="6" t="n"/>
      <c r="EJ52" s="53" t="n"/>
      <c r="EK52" s="57" t="n"/>
      <c r="EL52" s="57" t="n"/>
      <c r="EM52" s="57" t="n"/>
      <c r="EN52" s="57" t="n"/>
      <c r="EO52" s="61" t="n"/>
      <c r="EP52" s="360" t="n"/>
      <c r="EQ52" s="6" t="n"/>
      <c r="ER52" s="61" t="n"/>
      <c r="ES52" s="61" t="n"/>
      <c r="ET52" s="61" t="n"/>
      <c r="EU52" s="61" t="n"/>
      <c r="EV52" s="61" t="n"/>
      <c r="EW52" s="61" t="n"/>
      <c r="EX52" s="61" t="n"/>
      <c r="EZ52" s="61" t="n"/>
      <c r="FA52" s="61" t="n"/>
      <c r="FB52" s="289" t="n"/>
      <c r="FC52" s="61" t="n"/>
      <c r="FD52" s="61" t="n"/>
      <c r="FF52" s="289" t="n"/>
      <c r="FG52" s="289" t="n"/>
      <c r="FL52" s="61" t="n"/>
      <c r="FM52" s="289" t="n"/>
      <c r="FP52" s="61" t="n"/>
      <c r="FU52" s="61" t="n"/>
      <c r="FW52" s="61" t="n"/>
      <c r="GB52" s="6" t="n"/>
      <c r="GF52" s="53" t="n"/>
      <c r="GV52" s="148" t="n"/>
      <c r="HH52" s="49" t="n"/>
      <c r="HI52" s="49" t="n"/>
      <c r="HJ52" s="49" t="n"/>
      <c r="HK52" s="49" t="n"/>
      <c r="HL52" s="49" t="n"/>
      <c r="HM52" s="49" t="n"/>
      <c r="HN52" s="49" t="n"/>
      <c r="HO52" s="49" t="n"/>
      <c r="HP52" s="49" t="n"/>
      <c r="HQ52" s="49" t="n"/>
      <c r="HR52" s="49" t="n"/>
      <c r="HS52" s="49" t="n"/>
      <c r="HT52" s="49" t="n"/>
      <c r="HW52" s="49" t="n"/>
      <c r="HX52" s="49" t="n"/>
      <c r="HY52" s="49" t="n"/>
      <c r="HZ52" s="49" t="n"/>
      <c r="IA52" s="49" t="n"/>
      <c r="IB52" s="49" t="n"/>
      <c r="IC52" s="49" t="n"/>
      <c r="ID52" s="49" t="n"/>
      <c r="IE52" s="49" t="n"/>
      <c r="IF52" s="49" t="n"/>
      <c r="IG52" s="49" t="n"/>
      <c r="IH52" s="49" t="n"/>
      <c r="II52" s="49" t="n"/>
      <c r="IJ52" s="49" t="n"/>
      <c r="IK52" s="49" t="n"/>
      <c r="IO52" s="49" t="n"/>
      <c r="IP52" s="49" t="n"/>
      <c r="IQ52" s="49" t="n"/>
      <c r="IR52" s="53" t="n"/>
      <c r="IS52" s="63" t="n"/>
      <c r="IT52" s="63" t="n"/>
      <c r="IU52" s="49" t="n"/>
      <c r="IV52" s="63" t="n"/>
      <c r="IW52" s="63" t="n"/>
      <c r="IX52" s="63" t="n"/>
      <c r="IY52" s="63" t="n"/>
      <c r="IZ52" s="63" t="n"/>
      <c r="JA52" s="49" t="n"/>
      <c r="JB52" s="49" t="n"/>
      <c r="JC52" s="63" t="n"/>
      <c r="JD52" s="63" t="n"/>
      <c r="JE52" s="49" t="n"/>
      <c r="JF52" s="63" t="n"/>
      <c r="JG52" s="63" t="n"/>
      <c r="JH52" s="49" t="n"/>
      <c r="JI52" s="63" t="n"/>
      <c r="JJ52" s="63" t="n"/>
      <c r="JK52" s="63" t="n"/>
      <c r="JL52" s="49" t="n"/>
      <c r="JM52" s="63" t="n"/>
      <c r="JN52" s="63" t="n"/>
      <c r="JO52" s="63" t="n"/>
      <c r="JP52" s="63" t="n"/>
      <c r="JQ52" s="49" t="n"/>
      <c r="JR52" s="63" t="n"/>
      <c r="JS52" s="63" t="n"/>
      <c r="JT52" s="63" t="n"/>
      <c r="JU52" s="63" t="n"/>
      <c r="JV52" s="63" t="n"/>
      <c r="JW52" s="57" t="n"/>
      <c r="JX52" s="63" t="n"/>
      <c r="JY52" s="63" t="n"/>
      <c r="JZ52" s="57" t="n"/>
      <c r="KA52" s="63" t="n"/>
      <c r="KB52" s="63" t="n"/>
      <c r="KC52" s="63" t="n"/>
      <c r="KD52" s="63" t="n"/>
      <c r="KE52" s="63" t="n"/>
      <c r="KF52" s="63" t="n"/>
      <c r="KG52" s="63" t="n"/>
      <c r="KH52" s="63" t="n"/>
      <c r="KI52" s="168" t="n"/>
      <c r="KJ52" s="63" t="n"/>
      <c r="KK52" s="63" t="n"/>
      <c r="KL52" s="63" t="n"/>
      <c r="KM52" s="63" t="n"/>
      <c r="KN52" s="63" t="n"/>
      <c r="KO52" s="63" t="n"/>
      <c r="KP52" s="63" t="n"/>
      <c r="KQ52" s="63" t="n"/>
      <c r="KR52" s="63" t="n"/>
      <c r="KS52" s="63" t="n"/>
      <c r="KT52" s="63" t="n"/>
      <c r="KU52" s="63" t="n"/>
      <c r="KV52" s="63" t="n"/>
      <c r="KW52" s="63" t="n"/>
      <c r="KX52" s="63" t="n"/>
      <c r="KY52" s="63" t="n"/>
      <c r="KZ52" s="63" t="n"/>
      <c r="LA52" s="63" t="n"/>
      <c r="LB52" s="63" t="n"/>
      <c r="LC52" s="63" t="n"/>
      <c r="LD52" s="63" t="n"/>
      <c r="LE52" s="63" t="n"/>
      <c r="LF52" s="63" t="n"/>
      <c r="LG52" s="63" t="n"/>
      <c r="LH52" s="63" t="n"/>
      <c r="LI52" s="63" t="n"/>
      <c r="LJ52" s="63" t="n"/>
      <c r="LK52" s="63" t="n"/>
      <c r="LL52" s="63" t="n"/>
      <c r="LM52" s="63" t="n"/>
      <c r="LN52" s="63" t="n"/>
      <c r="LO52" s="63" t="n"/>
      <c r="LP52" s="63" t="n"/>
      <c r="LQ52" s="63" t="n"/>
      <c r="LR52" s="63" t="n"/>
      <c r="LS52" s="63" t="n"/>
      <c r="LT52" s="63" t="n"/>
      <c r="LU52" s="63" t="n"/>
      <c r="LV52" s="63" t="n"/>
      <c r="LW52" s="63" t="n"/>
      <c r="LX52" s="63" t="n"/>
      <c r="LY52" s="63" t="n"/>
      <c r="LZ52" s="63" t="n"/>
      <c r="MA52" s="63" t="n"/>
      <c r="MB52" s="63" t="n"/>
      <c r="MC52" s="63" t="n"/>
      <c r="MD52" s="63" t="n"/>
      <c r="ME52" s="63" t="n"/>
      <c r="MF52" s="63" t="n"/>
      <c r="MG52" s="63" t="n"/>
      <c r="MH52" s="63" t="n"/>
      <c r="MI52" s="63" t="n"/>
      <c r="MJ52" s="63" t="n"/>
      <c r="MK52" s="63" t="n"/>
    </row>
    <row r="53">
      <c r="A53" s="146" t="inlineStr">
        <is>
          <t>ITENS</t>
        </is>
      </c>
      <c r="B53" s="146" t="n"/>
      <c r="C53" s="146" t="inlineStr">
        <is>
          <t>ESTOQUE</t>
        </is>
      </c>
      <c r="E53" s="53" t="n"/>
      <c r="F53" s="53" t="n"/>
      <c r="G53" s="53" t="n"/>
      <c r="H53" s="53" t="n"/>
      <c r="I53" s="53" t="n"/>
      <c r="J53" s="53" t="n"/>
      <c r="K53" s="53" t="n"/>
      <c r="L53" s="53" t="n"/>
      <c r="M53" s="53" t="n"/>
      <c r="N53" s="53" t="n"/>
      <c r="O53" s="53" t="n"/>
      <c r="P53" s="53" t="n"/>
      <c r="Q53" s="53" t="n"/>
      <c r="R53" s="53" t="n"/>
      <c r="S53" s="53" t="n"/>
      <c r="T53" s="53" t="n"/>
      <c r="U53" s="53" t="n"/>
      <c r="V53" s="53" t="n"/>
      <c r="W53" s="53" t="n"/>
      <c r="X53" s="53" t="n"/>
      <c r="Y53" s="53" t="n"/>
      <c r="Z53" s="53" t="n"/>
      <c r="AA53" s="53" t="n"/>
      <c r="AB53" s="53" t="n"/>
      <c r="AC53" s="53" t="n"/>
      <c r="AD53" s="53" t="n"/>
      <c r="AE53" s="53" t="n"/>
      <c r="AF53" s="53" t="n"/>
      <c r="AG53" s="53" t="n"/>
      <c r="AH53" s="53" t="n"/>
      <c r="AI53" s="53" t="n"/>
      <c r="AJ53" s="53" t="n"/>
      <c r="AK53" s="53" t="n"/>
      <c r="AL53" s="53" t="n"/>
      <c r="AM53" s="53" t="n"/>
      <c r="AN53" s="53" t="n"/>
      <c r="AO53" s="53" t="n"/>
      <c r="AP53" s="53" t="n"/>
      <c r="AQ53" s="53" t="n"/>
      <c r="AR53" s="53" t="n"/>
      <c r="AS53" s="53" t="n"/>
      <c r="AT53" s="53" t="n"/>
      <c r="AU53" s="53" t="n"/>
      <c r="AV53" s="53" t="n"/>
      <c r="AW53" s="53" t="n"/>
      <c r="AX53" s="53" t="n"/>
      <c r="AY53" s="53" t="n"/>
      <c r="AZ53" s="53" t="n"/>
      <c r="BA53" s="53" t="n"/>
      <c r="BB53" s="53" t="n"/>
      <c r="BC53" s="53" t="n"/>
      <c r="BD53" s="53" t="n"/>
      <c r="BE53" s="53" t="n"/>
      <c r="CF53" s="53" t="n"/>
      <c r="CG53" s="53" t="n"/>
      <c r="CJ53" s="53" t="n"/>
      <c r="CK53" s="53" t="n"/>
      <c r="CL53" s="6" t="n"/>
      <c r="CM53" s="6" t="n"/>
      <c r="CN53" s="6" t="n"/>
      <c r="CO53" s="6" t="n"/>
      <c r="CP53" s="6" t="n"/>
      <c r="CQ53" s="6" t="n"/>
      <c r="CR53" s="6" t="n"/>
      <c r="CT53" s="6" t="n"/>
      <c r="CU53" s="6" t="n"/>
      <c r="CV53" s="6" t="n"/>
      <c r="CW53" s="6" t="n"/>
      <c r="CX53" s="6" t="n"/>
      <c r="CY53" s="6" t="n"/>
      <c r="CZ53" s="6" t="n"/>
      <c r="DA53" s="6" t="n"/>
      <c r="DB53" s="6" t="n"/>
      <c r="DC53" s="6" t="n"/>
      <c r="DD53" s="61" t="n"/>
      <c r="DE53" s="61" t="n"/>
      <c r="DF53" s="61" t="n"/>
      <c r="DG53" s="61" t="n"/>
      <c r="DH53" s="61" t="n"/>
      <c r="DI53" s="61" t="n"/>
      <c r="DJ53" s="61" t="n"/>
      <c r="DK53" s="61" t="n"/>
      <c r="DL53" s="61" t="n"/>
      <c r="DM53" s="53" t="n"/>
      <c r="DN53" s="61" t="n"/>
      <c r="DO53" s="61" t="n"/>
      <c r="DP53" s="61" t="n"/>
      <c r="DQ53" s="53" t="n"/>
      <c r="DR53" s="61" t="n"/>
      <c r="DS53" s="61" t="n"/>
      <c r="DT53" s="61" t="n"/>
      <c r="DU53" s="61" t="n"/>
      <c r="DV53" s="61" t="n"/>
      <c r="DW53" s="61" t="n"/>
      <c r="DX53" s="61" t="n"/>
      <c r="DY53" s="61" t="n"/>
      <c r="DZ53" s="61" t="n"/>
      <c r="EA53" s="61" t="n"/>
      <c r="EB53" s="61" t="n"/>
      <c r="EC53" s="61" t="n"/>
      <c r="ED53" s="61" t="n"/>
      <c r="EE53" s="61" t="n"/>
      <c r="EF53" s="61" t="n"/>
      <c r="EG53" s="61" t="n"/>
      <c r="EH53" s="61" t="n"/>
      <c r="EI53" s="360" t="n"/>
      <c r="EJ53" s="6" t="n"/>
      <c r="EK53" s="61" t="n"/>
      <c r="EL53" s="61" t="n"/>
      <c r="EM53" s="61" t="n"/>
      <c r="EN53" s="61" t="n"/>
      <c r="EO53" s="61" t="n"/>
      <c r="EP53" s="360" t="n"/>
      <c r="EQ53" s="360" t="n"/>
      <c r="ER53" s="61" t="n"/>
      <c r="ES53" s="61" t="n"/>
      <c r="ET53" s="61" t="n"/>
      <c r="EU53" s="61" t="n"/>
      <c r="EV53" s="61" t="n"/>
      <c r="EW53" s="61" t="n"/>
      <c r="EX53" s="61" t="n"/>
      <c r="EZ53" s="61" t="n"/>
      <c r="FA53" s="61" t="n"/>
      <c r="FB53" s="289" t="n"/>
      <c r="FC53" s="61" t="n"/>
      <c r="FD53" s="61" t="n"/>
      <c r="FF53" s="289" t="n"/>
      <c r="FG53" s="289" t="n"/>
      <c r="FL53" s="61" t="n"/>
      <c r="FM53" s="289" t="n"/>
      <c r="FP53" s="61" t="n"/>
      <c r="FU53" s="61" t="n"/>
      <c r="FW53" s="61" t="n"/>
      <c r="GB53" s="6" t="n"/>
      <c r="GF53" s="53" t="n"/>
      <c r="GV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S53" s="49" t="n"/>
      <c r="HT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J53" s="49" t="n"/>
      <c r="IK53" s="49" t="n"/>
      <c r="IO53" s="49" t="n"/>
      <c r="IP53" s="49" t="n"/>
      <c r="IQ53" s="49" t="n"/>
      <c r="IR53" s="53" t="n"/>
      <c r="IS53" s="49" t="n"/>
      <c r="IT53" s="49" t="n"/>
      <c r="IU53" s="49" t="n"/>
      <c r="IV53" s="49" t="n"/>
      <c r="IW53" s="49" t="n"/>
      <c r="IX53" s="49" t="n"/>
      <c r="IY53" s="49" t="n"/>
      <c r="IZ53" s="49" t="n"/>
      <c r="JA53" s="49" t="n"/>
      <c r="JB53" s="49" t="n"/>
      <c r="JC53" s="49" t="n"/>
      <c r="JD53" s="49" t="n"/>
      <c r="JE53" s="49" t="n"/>
      <c r="JF53" s="49" t="n"/>
      <c r="JG53" s="49" t="n"/>
      <c r="JH53" s="49" t="n"/>
      <c r="JI53" s="49" t="n"/>
      <c r="JJ53" s="49" t="n"/>
      <c r="JK53" s="49" t="n"/>
      <c r="JL53" s="49" t="n"/>
      <c r="JM53" s="49" t="n"/>
      <c r="JN53" s="49" t="n"/>
      <c r="JO53" s="49" t="n"/>
      <c r="JP53" s="49" t="n"/>
      <c r="JQ53" s="49" t="n"/>
      <c r="JR53" s="49" t="n"/>
      <c r="JS53" s="49" t="n"/>
      <c r="JT53" s="49" t="n"/>
      <c r="JU53" s="49" t="n"/>
      <c r="JV53" s="49" t="n"/>
      <c r="JW53" s="61" t="n"/>
      <c r="JX53" s="49" t="n"/>
      <c r="JY53" s="49" t="n"/>
      <c r="JZ53" s="61" t="n"/>
      <c r="KA53" s="49" t="n"/>
      <c r="KB53" s="49" t="n"/>
      <c r="KC53" s="49" t="n"/>
      <c r="KD53" s="49" t="n"/>
      <c r="KE53" s="49" t="n"/>
      <c r="KF53" s="49" t="n"/>
      <c r="KG53" s="49" t="n"/>
      <c r="KH53" s="49" t="n"/>
      <c r="KI53" s="168" t="n"/>
      <c r="KJ53" s="49" t="n"/>
      <c r="KK53" s="49" t="n"/>
      <c r="KL53" s="49" t="n"/>
      <c r="KM53" s="49" t="n"/>
      <c r="KN53" s="49" t="n"/>
      <c r="KO53" s="49" t="n"/>
      <c r="KP53" s="49" t="n"/>
      <c r="KQ53" s="49" t="n"/>
      <c r="KR53" s="49" t="n"/>
      <c r="KS53" s="49" t="n"/>
      <c r="KT53" s="49" t="n"/>
      <c r="KU53" s="49" t="n"/>
      <c r="KV53" s="49" t="n"/>
      <c r="KW53" s="49" t="n"/>
      <c r="KX53" s="49" t="n"/>
      <c r="KY53" s="49" t="n"/>
      <c r="KZ53" s="49" t="n"/>
      <c r="LA53" s="49" t="n"/>
      <c r="LB53" s="49" t="n"/>
      <c r="LC53" s="49" t="n"/>
      <c r="LD53" s="49" t="n"/>
      <c r="LE53" s="49" t="n"/>
      <c r="LF53" s="49" t="n"/>
      <c r="LG53" s="49" t="n"/>
      <c r="LH53" s="49" t="n"/>
      <c r="LI53" s="49" t="n"/>
      <c r="LJ53" s="49" t="n"/>
      <c r="LK53" s="49" t="n"/>
      <c r="LL53" s="49" t="n"/>
      <c r="LM53" s="49" t="n"/>
      <c r="LN53" s="49" t="n"/>
      <c r="LO53" s="49" t="n"/>
      <c r="LP53" s="49" t="n"/>
      <c r="LQ53" s="49" t="n"/>
      <c r="LR53" s="49" t="n"/>
      <c r="LS53" s="49" t="n"/>
      <c r="LT53" s="49" t="n"/>
      <c r="LU53" s="49" t="n"/>
      <c r="LV53" s="49" t="n"/>
      <c r="LW53" s="49" t="n"/>
      <c r="LX53" s="49" t="n"/>
      <c r="LY53" s="49" t="n"/>
      <c r="LZ53" s="49" t="n"/>
      <c r="MA53" s="49" t="n"/>
      <c r="MB53" s="49" t="n"/>
      <c r="MC53" s="49" t="n"/>
      <c r="MD53" s="49" t="n"/>
      <c r="ME53" s="49" t="n"/>
      <c r="MF53" s="49" t="n"/>
      <c r="MG53" s="49" t="n"/>
      <c r="MH53" s="49" t="n"/>
      <c r="MI53" s="49" t="n"/>
      <c r="MJ53" s="49" t="n"/>
      <c r="MK53" s="49" t="n"/>
    </row>
    <row r="54" customFormat="1" s="49">
      <c r="A54" s="172" t="n"/>
      <c r="B54" s="170" t="n"/>
      <c r="C54" s="171" t="n"/>
      <c r="E54" s="53" t="n"/>
      <c r="F54" s="53" t="n"/>
      <c r="G54" s="53" t="n"/>
      <c r="H54" s="53" t="n"/>
      <c r="I54" s="53" t="n"/>
      <c r="J54" s="53" t="n"/>
      <c r="K54" s="53" t="n"/>
      <c r="L54" s="53" t="n"/>
      <c r="M54" s="53" t="n"/>
      <c r="N54" s="53" t="n"/>
      <c r="O54" s="53" t="n"/>
      <c r="P54" s="53" t="n"/>
      <c r="Q54" s="53" t="n"/>
      <c r="R54" s="53" t="n"/>
      <c r="S54" s="53" t="n"/>
      <c r="T54" s="53" t="n"/>
      <c r="U54" s="53" t="n"/>
      <c r="V54" s="53" t="n"/>
      <c r="W54" s="53" t="n"/>
      <c r="X54" s="53" t="n"/>
      <c r="Y54" s="53" t="n"/>
      <c r="Z54" s="53" t="n"/>
      <c r="AA54" s="53" t="n"/>
      <c r="AB54" s="53" t="n"/>
      <c r="AC54" s="53" t="n"/>
      <c r="AD54" s="53" t="n"/>
      <c r="AE54" s="53" t="n"/>
      <c r="AF54" s="53" t="n"/>
      <c r="AG54" s="53" t="n"/>
      <c r="AH54" s="53" t="n"/>
      <c r="AI54" s="53" t="n"/>
      <c r="AJ54" s="53" t="n"/>
      <c r="AK54" s="53" t="n"/>
      <c r="AL54" s="53" t="n"/>
      <c r="AM54" s="53" t="n"/>
      <c r="AN54" s="53" t="n"/>
      <c r="AO54" s="53" t="n"/>
      <c r="AP54" s="53" t="n"/>
      <c r="AQ54" s="53" t="n"/>
      <c r="AR54" s="53" t="n"/>
      <c r="AS54" s="53" t="n"/>
      <c r="AT54" s="53" t="n"/>
      <c r="AU54" s="53" t="n"/>
      <c r="AV54" s="53" t="n"/>
      <c r="AW54" s="53" t="n"/>
      <c r="AX54" s="53" t="n"/>
      <c r="AY54" s="53" t="n"/>
      <c r="AZ54" s="53" t="n"/>
      <c r="BA54" s="53" t="n"/>
      <c r="BB54" s="53" t="n"/>
      <c r="BC54" s="53" t="n"/>
      <c r="BD54" s="53" t="n"/>
      <c r="BE54" s="53" t="n"/>
      <c r="BF54" s="53" t="n"/>
      <c r="BG54" s="53" t="n"/>
      <c r="BH54" s="53" t="n"/>
      <c r="BI54" s="53" t="n"/>
      <c r="BJ54" s="53" t="n"/>
      <c r="BK54" s="53" t="n"/>
      <c r="BL54" s="53" t="n"/>
      <c r="BM54" s="53" t="n"/>
      <c r="BN54" s="53" t="n"/>
      <c r="BO54" s="53" t="n"/>
      <c r="BP54" s="53" t="n"/>
      <c r="BQ54" s="53" t="n"/>
      <c r="BR54" s="53" t="n"/>
      <c r="BS54" s="53" t="n"/>
      <c r="BT54" s="53" t="n"/>
      <c r="BU54" s="53" t="n"/>
      <c r="BV54" s="53" t="n"/>
      <c r="BW54" s="53" t="n"/>
      <c r="BX54" s="53" t="n"/>
      <c r="BY54" s="53" t="n"/>
      <c r="BZ54" s="53" t="n"/>
      <c r="CA54" s="53" t="n"/>
      <c r="CB54" s="53" t="n"/>
      <c r="CC54" s="53" t="n"/>
      <c r="CD54" s="53" t="n"/>
      <c r="CE54" s="53" t="n"/>
      <c r="CF54" s="53" t="n"/>
      <c r="CG54" s="53" t="n"/>
      <c r="CJ54" s="53" t="n"/>
      <c r="CK54" s="53" t="n"/>
      <c r="CL54" s="53" t="n"/>
      <c r="CS54" s="51" t="n"/>
      <c r="DD54" s="61" t="n"/>
      <c r="DE54" s="61" t="n"/>
      <c r="DF54" s="61" t="n"/>
      <c r="DG54" s="61" t="n"/>
      <c r="DH54" s="61" t="n"/>
      <c r="DI54" s="61" t="n"/>
      <c r="DJ54" s="61" t="n"/>
      <c r="DK54" s="61" t="n"/>
      <c r="DL54" s="61" t="n"/>
      <c r="DM54" s="53" t="n"/>
      <c r="DN54" s="61" t="n"/>
      <c r="DO54" s="61" t="n"/>
      <c r="DP54" s="61" t="n"/>
      <c r="DQ54" s="53" t="n"/>
      <c r="DR54" s="61" t="n"/>
      <c r="DS54" s="61" t="n"/>
      <c r="DT54" s="61" t="n"/>
      <c r="DU54" s="61" t="n"/>
      <c r="DV54" s="61" t="n"/>
      <c r="DW54" s="61" t="n"/>
      <c r="DX54" s="61" t="n"/>
      <c r="DY54" s="61" t="n"/>
      <c r="DZ54" s="61" t="n"/>
      <c r="EA54" s="61" t="n"/>
      <c r="EB54" s="61" t="n"/>
      <c r="ED54" s="61" t="n"/>
      <c r="EE54" s="61" t="n"/>
      <c r="EF54" s="61" t="n"/>
      <c r="EG54" s="61" t="n"/>
      <c r="EH54" s="61" t="n"/>
      <c r="EI54" s="360" t="n"/>
      <c r="EJ54" s="6" t="n"/>
      <c r="EK54" s="61" t="n"/>
      <c r="EL54" s="61" t="n"/>
      <c r="EM54" s="61" t="n"/>
      <c r="EN54" s="61" t="n"/>
      <c r="EP54" s="53" t="n"/>
      <c r="EQ54" s="360" t="n"/>
      <c r="EZ54" s="314" t="n"/>
      <c r="FB54" s="289" t="n"/>
      <c r="FF54" s="289" t="n"/>
      <c r="FG54" s="289" t="n"/>
      <c r="FH54" s="57" t="n"/>
      <c r="FI54" s="57" t="n"/>
      <c r="FJ54" s="57" t="n"/>
      <c r="FK54" s="57" t="n"/>
      <c r="FM54" s="289" t="n"/>
      <c r="FN54" s="57" t="n"/>
      <c r="FO54" s="57" t="n"/>
      <c r="FQ54" s="57" t="n"/>
      <c r="FR54" s="57" t="n"/>
      <c r="FS54" s="57" t="n"/>
      <c r="FT54" s="57" t="n"/>
      <c r="FV54" s="57" t="n"/>
      <c r="FX54" s="57" t="n"/>
      <c r="FY54" s="57" t="n"/>
      <c r="FZ54" s="57" t="n"/>
      <c r="GA54" s="57" t="n"/>
      <c r="GB54" s="58" t="n"/>
      <c r="GC54" s="57" t="n"/>
      <c r="GD54" s="57" t="n"/>
      <c r="GE54" s="57" t="n"/>
      <c r="GF54" s="53" t="n"/>
      <c r="GG54" s="6" t="n"/>
      <c r="GH54" s="6" t="n"/>
      <c r="GI54" s="6" t="n"/>
      <c r="GJ54" s="6" t="n"/>
      <c r="GK54" s="6" t="n"/>
      <c r="GL54" s="6" t="n"/>
      <c r="GM54" s="6" t="n"/>
      <c r="GN54" s="6" t="n"/>
      <c r="GO54" s="6" t="n"/>
      <c r="GP54" s="6" t="n"/>
      <c r="GQ54" s="6" t="n"/>
      <c r="GR54" s="6" t="n"/>
      <c r="GS54" s="6" t="n"/>
      <c r="GT54" s="6" t="n"/>
      <c r="GU54" s="6" t="n"/>
      <c r="IR54" s="53" t="n"/>
      <c r="JW54" s="61" t="n"/>
      <c r="JZ54" s="61" t="n"/>
      <c r="KI54" s="168" t="n"/>
    </row>
    <row r="55" customFormat="1" s="49">
      <c r="A55" s="176" t="inlineStr">
        <is>
          <t>ADESIVOS NAMORADOS/23</t>
        </is>
      </c>
      <c r="B55" s="170" t="n"/>
      <c r="C55" s="171" t="n">
        <v>10</v>
      </c>
      <c r="E55" s="53" t="n"/>
      <c r="F55" s="53" t="n"/>
      <c r="G55" s="53" t="n"/>
      <c r="H55" s="53" t="n"/>
      <c r="I55" s="53" t="n"/>
      <c r="J55" s="53" t="n"/>
      <c r="K55" s="53" t="n"/>
      <c r="L55" s="53" t="n"/>
      <c r="M55" s="53" t="n"/>
      <c r="N55" s="53" t="n"/>
      <c r="O55" s="53" t="n"/>
      <c r="P55" s="53" t="n"/>
      <c r="Q55" s="53" t="n"/>
      <c r="R55" s="53" t="n"/>
      <c r="S55" s="53" t="n"/>
      <c r="T55" s="53" t="n"/>
      <c r="U55" s="53" t="n"/>
      <c r="V55" s="53" t="n"/>
      <c r="W55" s="53" t="n"/>
      <c r="X55" s="53" t="n"/>
      <c r="Y55" s="53" t="n"/>
      <c r="Z55" s="53" t="n"/>
      <c r="AA55" s="53" t="n"/>
      <c r="AB55" s="53" t="n"/>
      <c r="AC55" s="53" t="n"/>
      <c r="AD55" s="53" t="n"/>
      <c r="AE55" s="53" t="n"/>
      <c r="AF55" s="53" t="n"/>
      <c r="AG55" s="53" t="n"/>
      <c r="AH55" s="53" t="n"/>
      <c r="AI55" s="53" t="n"/>
      <c r="AJ55" s="53" t="n"/>
      <c r="AK55" s="53" t="n"/>
      <c r="AL55" s="53" t="n"/>
      <c r="AM55" s="53" t="n"/>
      <c r="AN55" s="53" t="n"/>
      <c r="AO55" s="53" t="n"/>
      <c r="AP55" s="53" t="n"/>
      <c r="AQ55" s="53" t="n"/>
      <c r="AR55" s="53" t="n"/>
      <c r="AS55" s="53" t="n"/>
      <c r="AT55" s="53" t="n"/>
      <c r="AU55" s="53" t="n"/>
      <c r="AV55" s="53" t="n"/>
      <c r="AW55" s="53" t="n"/>
      <c r="AX55" s="53" t="n"/>
      <c r="AY55" s="53" t="n"/>
      <c r="AZ55" s="53" t="n"/>
      <c r="BA55" s="53" t="n"/>
      <c r="BB55" s="53" t="n"/>
      <c r="BC55" s="53" t="n"/>
      <c r="BD55" s="53" t="n"/>
      <c r="BE55" s="53" t="n"/>
      <c r="BF55" s="53" t="n"/>
      <c r="BG55" s="53" t="n"/>
      <c r="BH55" s="53" t="n"/>
      <c r="BI55" s="53" t="n"/>
      <c r="BJ55" s="53" t="n"/>
      <c r="BK55" s="53" t="n"/>
      <c r="BL55" s="53" t="n"/>
      <c r="BM55" s="53" t="n"/>
      <c r="BN55" s="53" t="n"/>
      <c r="BO55" s="53" t="n"/>
      <c r="BP55" s="53" t="n"/>
      <c r="BQ55" s="53" t="n"/>
      <c r="BR55" s="53" t="n"/>
      <c r="BS55" s="53" t="n"/>
      <c r="BT55" s="53" t="n"/>
      <c r="BU55" s="53" t="n"/>
      <c r="BV55" s="53" t="n"/>
      <c r="BW55" s="53" t="n"/>
      <c r="BX55" s="53" t="n"/>
      <c r="BY55" s="53" t="n"/>
      <c r="BZ55" s="53" t="n"/>
      <c r="CA55" s="53" t="n"/>
      <c r="CB55" s="53" t="n"/>
      <c r="CC55" s="53" t="n"/>
      <c r="CD55" s="53" t="n"/>
      <c r="CE55" s="53" t="n"/>
      <c r="CF55" s="53" t="n"/>
      <c r="CG55" s="53" t="n"/>
      <c r="CJ55" s="53" t="n"/>
      <c r="CK55" s="53" t="n"/>
      <c r="CL55" s="53" t="n"/>
      <c r="CS55" s="51" t="n"/>
      <c r="DM55" s="53" t="n"/>
      <c r="DQ55" s="53" t="n"/>
      <c r="EI55" s="53" t="n"/>
      <c r="EJ55" s="58" t="n"/>
      <c r="EP55" s="53" t="n"/>
      <c r="EQ55" s="53" t="n"/>
      <c r="EZ55" s="314" t="n"/>
      <c r="FB55" s="289" t="n"/>
      <c r="FF55" s="289" t="n"/>
      <c r="FG55" s="289" t="n"/>
      <c r="FH55" s="61" t="n"/>
      <c r="FI55" s="61" t="n"/>
      <c r="FJ55" s="61" t="n"/>
      <c r="FK55" s="61" t="n"/>
      <c r="FM55" s="289" t="n"/>
      <c r="FN55" s="61" t="n"/>
      <c r="FO55" s="61" t="n"/>
      <c r="FQ55" s="61" t="n"/>
      <c r="FR55" s="61" t="n"/>
      <c r="FS55" s="61" t="n"/>
      <c r="FT55" s="61" t="n"/>
      <c r="FV55" s="61" t="n"/>
      <c r="FX55" s="61" t="n"/>
      <c r="FY55" s="61" t="n"/>
      <c r="FZ55" s="61" t="n"/>
      <c r="GA55" s="61" t="n"/>
      <c r="GB55" s="58" t="n"/>
      <c r="GC55" s="61" t="n"/>
      <c r="GD55" s="61" t="n"/>
      <c r="GE55" s="61" t="n"/>
      <c r="GF55" s="53" t="n"/>
      <c r="GG55" s="6" t="n"/>
      <c r="GH55" s="6" t="n"/>
      <c r="GI55" s="6" t="n"/>
      <c r="GJ55" s="6" t="n"/>
      <c r="GK55" s="6" t="n"/>
      <c r="GL55" s="6" t="n"/>
      <c r="GM55" s="6" t="n"/>
      <c r="GN55" s="6" t="n"/>
      <c r="GO55" s="6" t="n"/>
      <c r="GP55" s="6" t="n"/>
      <c r="GQ55" s="6" t="n"/>
      <c r="GR55" s="6" t="n"/>
      <c r="GS55" s="6" t="n"/>
      <c r="GT55" s="6" t="n"/>
      <c r="GU55" s="6" t="n"/>
      <c r="IR55" s="53" t="n"/>
      <c r="JW55" s="167" t="n"/>
      <c r="JZ55" s="167" t="n"/>
      <c r="KI55" s="168" t="n"/>
    </row>
    <row r="56" customFormat="1" s="49">
      <c r="A56" s="176" t="inlineStr">
        <is>
          <t>TAG NAMORADOS/23</t>
        </is>
      </c>
      <c r="B56" s="170" t="n"/>
      <c r="C56" s="171" t="n">
        <v>252</v>
      </c>
      <c r="E56" s="53" t="n"/>
      <c r="F56" s="53" t="n"/>
      <c r="G56" s="53" t="n"/>
      <c r="H56" s="53" t="n"/>
      <c r="I56" s="53" t="n"/>
      <c r="J56" s="53" t="n"/>
      <c r="K56" s="53" t="n"/>
      <c r="L56" s="53" t="n"/>
      <c r="M56" s="53" t="n"/>
      <c r="N56" s="53" t="n"/>
      <c r="O56" s="53" t="n"/>
      <c r="P56" s="53" t="n"/>
      <c r="Q56" s="53" t="n"/>
      <c r="R56" s="53" t="n"/>
      <c r="S56" s="53" t="n"/>
      <c r="T56" s="53" t="n"/>
      <c r="U56" s="53" t="n"/>
      <c r="V56" s="53" t="n"/>
      <c r="W56" s="53" t="n"/>
      <c r="X56" s="53" t="n"/>
      <c r="Y56" s="53" t="n"/>
      <c r="Z56" s="53" t="n"/>
      <c r="AA56" s="53" t="n"/>
      <c r="AB56" s="53" t="n"/>
      <c r="AC56" s="53" t="n"/>
      <c r="AD56" s="53" t="n"/>
      <c r="AE56" s="53" t="n"/>
      <c r="AF56" s="53" t="n"/>
      <c r="AG56" s="53" t="n"/>
      <c r="AH56" s="53" t="n"/>
      <c r="AI56" s="53" t="n"/>
      <c r="AJ56" s="53" t="n"/>
      <c r="AK56" s="53" t="n"/>
      <c r="AL56" s="53" t="n"/>
      <c r="AM56" s="53" t="n"/>
      <c r="AN56" s="53" t="n"/>
      <c r="AO56" s="53" t="n"/>
      <c r="AP56" s="53" t="n"/>
      <c r="AQ56" s="53" t="n"/>
      <c r="AR56" s="53" t="n"/>
      <c r="AS56" s="53" t="n"/>
      <c r="AT56" s="53" t="n"/>
      <c r="AU56" s="53" t="n"/>
      <c r="AV56" s="53" t="n"/>
      <c r="AW56" s="53" t="n"/>
      <c r="AX56" s="53" t="n"/>
      <c r="AY56" s="53" t="n"/>
      <c r="AZ56" s="53" t="n"/>
      <c r="BA56" s="53" t="n"/>
      <c r="BB56" s="53" t="n"/>
      <c r="BC56" s="53" t="n"/>
      <c r="BD56" s="53" t="n"/>
      <c r="BE56" s="53" t="n"/>
      <c r="BF56" s="53" t="n"/>
      <c r="BG56" s="53" t="n"/>
      <c r="BH56" s="53" t="n"/>
      <c r="BI56" s="53" t="n"/>
      <c r="BJ56" s="53" t="n"/>
      <c r="BK56" s="53" t="n"/>
      <c r="BL56" s="53" t="n"/>
      <c r="BM56" s="53" t="n"/>
      <c r="BN56" s="53" t="n"/>
      <c r="BO56" s="53" t="n"/>
      <c r="BP56" s="53" t="n"/>
      <c r="BQ56" s="53" t="n"/>
      <c r="BR56" s="53" t="n"/>
      <c r="BS56" s="53" t="n"/>
      <c r="BT56" s="53" t="n"/>
      <c r="BU56" s="53" t="n"/>
      <c r="BV56" s="53" t="n"/>
      <c r="BW56" s="53" t="n"/>
      <c r="BX56" s="53" t="n"/>
      <c r="BY56" s="53" t="n"/>
      <c r="BZ56" s="53" t="n"/>
      <c r="CA56" s="53" t="n"/>
      <c r="CB56" s="53" t="n"/>
      <c r="CC56" s="53" t="n"/>
      <c r="CD56" s="53" t="n"/>
      <c r="CE56" s="53" t="n"/>
      <c r="CF56" s="53" t="n"/>
      <c r="CG56" s="53" t="n"/>
      <c r="CJ56" s="53" t="n"/>
      <c r="CK56" s="53" t="n"/>
      <c r="CL56" s="53" t="n"/>
      <c r="CS56" s="51" t="n"/>
      <c r="DM56" s="53" t="n"/>
      <c r="DQ56" s="53" t="n"/>
      <c r="EI56" s="53" t="n"/>
      <c r="EJ56" s="58" t="n"/>
      <c r="EP56" s="53" t="n"/>
      <c r="EQ56" s="53" t="n"/>
      <c r="EY56" s="57" t="n"/>
      <c r="EZ56" s="314" t="n"/>
      <c r="FB56" s="289" t="n"/>
      <c r="FE56" s="57" t="n"/>
      <c r="FF56" s="289" t="n"/>
      <c r="FG56" s="289" t="n"/>
      <c r="FH56" s="61" t="n"/>
      <c r="FI56" s="61" t="n"/>
      <c r="FJ56" s="61" t="n"/>
      <c r="FK56" s="61" t="n"/>
      <c r="FM56" s="289" t="n"/>
      <c r="FN56" s="61" t="n"/>
      <c r="FO56" s="61" t="n"/>
      <c r="FQ56" s="61" t="n"/>
      <c r="FR56" s="61" t="n"/>
      <c r="FS56" s="61" t="n"/>
      <c r="FT56" s="61" t="n"/>
      <c r="FV56" s="61" t="n"/>
      <c r="FX56" s="61" t="n"/>
      <c r="FY56" s="61" t="n"/>
      <c r="FZ56" s="61" t="n"/>
      <c r="GA56" s="61" t="n"/>
      <c r="GC56" s="61" t="n"/>
      <c r="GD56" s="61" t="n"/>
      <c r="GE56" s="61" t="n"/>
      <c r="GF56" s="53" t="n"/>
      <c r="GG56" s="6" t="n"/>
      <c r="GH56" s="6" t="n"/>
      <c r="GI56" s="6" t="n"/>
      <c r="GJ56" s="6" t="n"/>
      <c r="GK56" s="6" t="n"/>
      <c r="GL56" s="6" t="n"/>
      <c r="GM56" s="6" t="n"/>
      <c r="GN56" s="6" t="n"/>
      <c r="GO56" s="6" t="n"/>
      <c r="GP56" s="6" t="n"/>
      <c r="GQ56" s="6" t="n"/>
      <c r="GR56" s="6" t="n"/>
      <c r="GS56" s="6" t="n"/>
      <c r="GT56" s="6" t="n"/>
      <c r="GU56" s="6" t="n"/>
      <c r="IR56" s="53" t="n"/>
      <c r="JW56" s="167" t="n"/>
      <c r="JZ56" s="167" t="n"/>
      <c r="KI56" s="168" t="n"/>
    </row>
    <row r="57" customFormat="1" s="49">
      <c r="A57" s="333" t="n"/>
      <c r="B57" s="334" t="n"/>
      <c r="C57" s="334" t="n"/>
      <c r="E57" s="53" t="n"/>
      <c r="F57" s="53" t="n"/>
      <c r="G57" s="53" t="n"/>
      <c r="H57" s="53" t="n"/>
      <c r="I57" s="53" t="n"/>
      <c r="J57" s="53" t="n"/>
      <c r="K57" s="53" t="n"/>
      <c r="L57" s="53" t="n"/>
      <c r="M57" s="53" t="n"/>
      <c r="N57" s="53" t="n"/>
      <c r="O57" s="53" t="n"/>
      <c r="P57" s="53" t="n"/>
      <c r="Q57" s="53" t="n"/>
      <c r="R57" s="53" t="n"/>
      <c r="S57" s="53" t="n"/>
      <c r="T57" s="53" t="n"/>
      <c r="U57" s="53" t="n"/>
      <c r="V57" s="53" t="n"/>
      <c r="W57" s="53" t="n"/>
      <c r="X57" s="53" t="n"/>
      <c r="Y57" s="53" t="n"/>
      <c r="Z57" s="53" t="n"/>
      <c r="AA57" s="53" t="n"/>
      <c r="AB57" s="53" t="n"/>
      <c r="AC57" s="53" t="n"/>
      <c r="AD57" s="53" t="n"/>
      <c r="AE57" s="53" t="n"/>
      <c r="AF57" s="53" t="n"/>
      <c r="AG57" s="53" t="n"/>
      <c r="AH57" s="53" t="n"/>
      <c r="AI57" s="53" t="n"/>
      <c r="AJ57" s="53" t="n"/>
      <c r="AK57" s="53" t="n"/>
      <c r="AL57" s="53" t="n"/>
      <c r="AM57" s="53" t="n"/>
      <c r="AN57" s="53" t="n"/>
      <c r="AO57" s="53" t="n"/>
      <c r="AP57" s="53" t="n"/>
      <c r="AQ57" s="53" t="n"/>
      <c r="AR57" s="53" t="n"/>
      <c r="AS57" s="53" t="n"/>
      <c r="AT57" s="53" t="n"/>
      <c r="AU57" s="53" t="n"/>
      <c r="AV57" s="53" t="n"/>
      <c r="AW57" s="53" t="n"/>
      <c r="AX57" s="53" t="n"/>
      <c r="AY57" s="53" t="n"/>
      <c r="AZ57" s="53" t="n"/>
      <c r="BA57" s="53" t="n"/>
      <c r="BB57" s="53" t="n"/>
      <c r="BC57" s="53" t="n"/>
      <c r="BD57" s="53" t="n"/>
      <c r="BE57" s="53" t="n"/>
      <c r="BF57" s="53" t="n"/>
      <c r="BG57" s="53" t="n"/>
      <c r="BH57" s="53" t="n"/>
      <c r="BI57" s="53" t="n"/>
      <c r="BJ57" s="53" t="n"/>
      <c r="BK57" s="53" t="n"/>
      <c r="BL57" s="53" t="n"/>
      <c r="BM57" s="53" t="n"/>
      <c r="BN57" s="53" t="n"/>
      <c r="BO57" s="53" t="n"/>
      <c r="BP57" s="53" t="n"/>
      <c r="BQ57" s="53" t="n"/>
      <c r="BR57" s="53" t="n"/>
      <c r="BS57" s="53" t="n"/>
      <c r="BT57" s="53" t="n"/>
      <c r="BU57" s="53" t="n"/>
      <c r="BV57" s="53" t="n"/>
      <c r="BW57" s="53" t="n"/>
      <c r="BX57" s="53" t="n"/>
      <c r="BY57" s="53" t="n"/>
      <c r="BZ57" s="53" t="n"/>
      <c r="CA57" s="53" t="n"/>
      <c r="CB57" s="53" t="n"/>
      <c r="CC57" s="53" t="n"/>
      <c r="CD57" s="53" t="n"/>
      <c r="CE57" s="53" t="n"/>
      <c r="CF57" s="53" t="n"/>
      <c r="CG57" s="53" t="n"/>
      <c r="CJ57" s="53" t="n"/>
      <c r="CK57" s="53" t="n"/>
      <c r="CL57" s="53" t="n"/>
      <c r="CS57" s="51" t="n"/>
      <c r="DM57" s="6" t="n"/>
      <c r="DQ57" s="6" t="n"/>
      <c r="EI57" s="53" t="n"/>
      <c r="EP57" s="53" t="n"/>
      <c r="EQ57" s="53" t="n"/>
      <c r="EY57" s="61" t="n"/>
      <c r="EZ57" s="314" t="n"/>
      <c r="FB57" s="289" t="n"/>
      <c r="FE57" s="61" t="n"/>
      <c r="FF57" s="289" t="n"/>
      <c r="FG57" s="289" t="n"/>
      <c r="FM57" s="289" t="n"/>
      <c r="GF57" s="53" t="n"/>
      <c r="GG57" s="6" t="n"/>
      <c r="GH57" s="6" t="n"/>
      <c r="GI57" s="6" t="n"/>
      <c r="GJ57" s="6" t="n"/>
      <c r="GK57" s="6" t="n"/>
      <c r="GL57" s="6" t="n"/>
      <c r="GM57" s="6" t="n"/>
      <c r="GN57" s="6" t="n"/>
      <c r="GO57" s="6" t="n"/>
      <c r="GP57" s="6" t="n"/>
      <c r="GQ57" s="6" t="n"/>
      <c r="GR57" s="6" t="n"/>
      <c r="GS57" s="6" t="n"/>
      <c r="GT57" s="6" t="n"/>
      <c r="GU57" s="6" t="n"/>
      <c r="IR57" s="53" t="n"/>
      <c r="JW57" s="167" t="n"/>
      <c r="JZ57" s="167" t="n"/>
      <c r="KI57" s="168" t="n"/>
    </row>
    <row r="58" customFormat="1" s="49">
      <c r="A58" s="177" t="inlineStr">
        <is>
          <t>SACOLA G NATAL 23</t>
        </is>
      </c>
      <c r="B58" s="178" t="n"/>
      <c r="C58" s="115" t="n">
        <v>20</v>
      </c>
      <c r="E58" s="53" t="n"/>
      <c r="F58" s="53" t="n"/>
      <c r="G58" s="53" t="n"/>
      <c r="H58" s="53" t="n"/>
      <c r="I58" s="53" t="n"/>
      <c r="J58" s="53" t="n"/>
      <c r="K58" s="53" t="n"/>
      <c r="L58" s="53" t="n"/>
      <c r="M58" s="53" t="n"/>
      <c r="N58" s="53" t="n"/>
      <c r="O58" s="53" t="n"/>
      <c r="P58" s="53" t="n"/>
      <c r="Q58" s="53" t="n"/>
      <c r="R58" s="53" t="n"/>
      <c r="S58" s="53" t="n"/>
      <c r="T58" s="53" t="n"/>
      <c r="U58" s="53" t="n"/>
      <c r="V58" s="53" t="n"/>
      <c r="W58" s="53" t="n"/>
      <c r="X58" s="53" t="n"/>
      <c r="Y58" s="53" t="n"/>
      <c r="Z58" s="53" t="n"/>
      <c r="AA58" s="53" t="n"/>
      <c r="AB58" s="53" t="n"/>
      <c r="AC58" s="53" t="n"/>
      <c r="AD58" s="53" t="n"/>
      <c r="AE58" s="53" t="n"/>
      <c r="AF58" s="53" t="n"/>
      <c r="AG58" s="53" t="n"/>
      <c r="AH58" s="53" t="n"/>
      <c r="AI58" s="53" t="n"/>
      <c r="AJ58" s="53" t="n"/>
      <c r="AK58" s="53" t="n"/>
      <c r="AL58" s="53" t="n"/>
      <c r="AM58" s="53" t="n"/>
      <c r="AN58" s="53" t="n"/>
      <c r="AO58" s="53" t="n"/>
      <c r="AP58" s="53" t="n"/>
      <c r="AQ58" s="53" t="n"/>
      <c r="AR58" s="53" t="n"/>
      <c r="AS58" s="53" t="n"/>
      <c r="AT58" s="53" t="n"/>
      <c r="AU58" s="53" t="n"/>
      <c r="AV58" s="53" t="n"/>
      <c r="AW58" s="53" t="n"/>
      <c r="AX58" s="53" t="n"/>
      <c r="AY58" s="53" t="n"/>
      <c r="AZ58" s="53" t="n"/>
      <c r="BA58" s="53" t="n"/>
      <c r="BB58" s="53" t="n"/>
      <c r="BC58" s="53" t="n"/>
      <c r="BD58" s="53" t="n"/>
      <c r="BE58" s="53" t="n"/>
      <c r="BF58" s="53" t="n"/>
      <c r="BG58" s="53" t="n"/>
      <c r="BH58" s="53" t="n"/>
      <c r="BI58" s="53" t="n"/>
      <c r="BJ58" s="53" t="n"/>
      <c r="BK58" s="53" t="n"/>
      <c r="BL58" s="53" t="n"/>
      <c r="BM58" s="53" t="n"/>
      <c r="BN58" s="53" t="n"/>
      <c r="BO58" s="53" t="n"/>
      <c r="BP58" s="53" t="n"/>
      <c r="BQ58" s="53" t="n"/>
      <c r="BR58" s="53" t="n"/>
      <c r="BS58" s="53" t="n"/>
      <c r="BT58" s="53" t="n"/>
      <c r="BU58" s="53" t="n"/>
      <c r="BV58" s="53" t="n"/>
      <c r="BW58" s="53" t="n"/>
      <c r="BX58" s="53" t="n"/>
      <c r="BY58" s="53" t="n"/>
      <c r="BZ58" s="53" t="n"/>
      <c r="CA58" s="53" t="n"/>
      <c r="CB58" s="53" t="n"/>
      <c r="CC58" s="53" t="n"/>
      <c r="CD58" s="53" t="n"/>
      <c r="CE58" s="53" t="n"/>
      <c r="CF58" s="53" t="n"/>
      <c r="CG58" s="53" t="n"/>
      <c r="CJ58" s="53" t="n"/>
      <c r="CK58" s="53" t="n"/>
      <c r="CL58" s="53" t="n"/>
      <c r="CS58" s="51" t="n"/>
      <c r="DM58" s="58" t="n"/>
      <c r="DQ58" s="58" t="n"/>
      <c r="EC58" s="6" t="n"/>
      <c r="EI58" s="53" t="n"/>
      <c r="EO58" s="6" t="n"/>
      <c r="EP58" s="53" t="n"/>
      <c r="EQ58" s="53" t="n"/>
      <c r="ER58" s="6" t="n"/>
      <c r="ES58" s="6" t="n"/>
      <c r="ET58" s="6" t="n"/>
      <c r="EU58" s="6" t="n"/>
      <c r="EV58" s="6" t="n"/>
      <c r="EW58" s="6" t="n"/>
      <c r="EX58" s="6" t="n"/>
      <c r="EZ58" s="269" t="n"/>
      <c r="FA58" s="6" t="n"/>
      <c r="FB58" s="289" t="n"/>
      <c r="FC58" s="6" t="n"/>
      <c r="FD58" s="6" t="n"/>
      <c r="FF58" s="289" t="n"/>
      <c r="FG58" s="289" t="n"/>
      <c r="FL58" s="6" t="n"/>
      <c r="FM58" s="289" t="n"/>
      <c r="FP58" s="6" t="n"/>
      <c r="FU58" s="6" t="n"/>
      <c r="FW58" s="6" t="n"/>
      <c r="GF58" s="53" t="n"/>
      <c r="GG58" s="6" t="n"/>
      <c r="GH58" s="6" t="n"/>
      <c r="GI58" s="6" t="n"/>
      <c r="GJ58" s="6" t="n"/>
      <c r="GK58" s="6" t="n"/>
      <c r="GL58" s="6" t="n"/>
      <c r="GM58" s="6" t="n"/>
      <c r="GN58" s="6" t="n"/>
      <c r="GO58" s="6" t="n"/>
      <c r="GP58" s="6" t="n"/>
      <c r="GQ58" s="6" t="n"/>
      <c r="GR58" s="6" t="n"/>
      <c r="GS58" s="6" t="n"/>
      <c r="GT58" s="6" t="n"/>
      <c r="GU58" s="6" t="n"/>
      <c r="IR58" s="53" t="n"/>
      <c r="JW58" s="167" t="n"/>
      <c r="JZ58" s="167" t="n"/>
      <c r="KI58" s="168" t="n"/>
    </row>
    <row r="59" customFormat="1" s="49">
      <c r="A59" s="333" t="n"/>
      <c r="B59" s="334" t="n"/>
      <c r="C59" s="334" t="n"/>
      <c r="E59" s="53" t="n"/>
      <c r="F59" s="53" t="n"/>
      <c r="G59" s="53" t="n"/>
      <c r="H59" s="53" t="n"/>
      <c r="I59" s="53" t="n"/>
      <c r="J59" s="53" t="n"/>
      <c r="K59" s="53" t="n"/>
      <c r="L59" s="53" t="n"/>
      <c r="M59" s="53" t="n"/>
      <c r="N59" s="53" t="n"/>
      <c r="O59" s="53" t="n"/>
      <c r="P59" s="53" t="n"/>
      <c r="Q59" s="53" t="n"/>
      <c r="R59" s="53" t="n"/>
      <c r="S59" s="53" t="n"/>
      <c r="T59" s="53" t="n"/>
      <c r="U59" s="53" t="n"/>
      <c r="V59" s="53" t="n"/>
      <c r="W59" s="53" t="n"/>
      <c r="X59" s="53" t="n"/>
      <c r="Y59" s="53" t="n"/>
      <c r="Z59" s="53" t="n"/>
      <c r="AA59" s="53" t="n"/>
      <c r="AB59" s="53" t="n"/>
      <c r="AC59" s="53" t="n"/>
      <c r="AD59" s="53" t="n"/>
      <c r="AE59" s="53" t="n"/>
      <c r="AF59" s="53" t="n"/>
      <c r="AG59" s="53" t="n"/>
      <c r="AH59" s="53" t="n"/>
      <c r="AI59" s="53" t="n"/>
      <c r="AJ59" s="53" t="n"/>
      <c r="AK59" s="53" t="n"/>
      <c r="AL59" s="53" t="n"/>
      <c r="AM59" s="53" t="n"/>
      <c r="AN59" s="53" t="n"/>
      <c r="AO59" s="53" t="n"/>
      <c r="AP59" s="53" t="n"/>
      <c r="AQ59" s="53" t="n"/>
      <c r="AR59" s="53" t="n"/>
      <c r="AS59" s="53" t="n"/>
      <c r="AT59" s="53" t="n"/>
      <c r="AU59" s="53" t="n"/>
      <c r="AV59" s="53" t="n"/>
      <c r="AW59" s="53" t="n"/>
      <c r="AX59" s="53" t="n"/>
      <c r="AY59" s="53" t="n"/>
      <c r="AZ59" s="53" t="n"/>
      <c r="BA59" s="53" t="n"/>
      <c r="BB59" s="53" t="n"/>
      <c r="BC59" s="53" t="n"/>
      <c r="BD59" s="53" t="n"/>
      <c r="BE59" s="53" t="n"/>
      <c r="BF59" s="53" t="n"/>
      <c r="BG59" s="53" t="n"/>
      <c r="BH59" s="53" t="n"/>
      <c r="BI59" s="53" t="n"/>
      <c r="BJ59" s="53" t="n"/>
      <c r="BK59" s="53" t="n"/>
      <c r="BL59" s="53" t="n"/>
      <c r="BM59" s="53" t="n"/>
      <c r="BN59" s="53" t="n"/>
      <c r="BO59" s="53" t="n"/>
      <c r="BP59" s="53" t="n"/>
      <c r="BQ59" s="53" t="n"/>
      <c r="BR59" s="53" t="n"/>
      <c r="BS59" s="53" t="n"/>
      <c r="BT59" s="53" t="n"/>
      <c r="BU59" s="53" t="n"/>
      <c r="BV59" s="53" t="n"/>
      <c r="BW59" s="53" t="n"/>
      <c r="BX59" s="53" t="n"/>
      <c r="BY59" s="53" t="n"/>
      <c r="BZ59" s="53" t="n"/>
      <c r="CA59" s="53" t="n"/>
      <c r="CB59" s="53" t="n"/>
      <c r="CC59" s="53" t="n"/>
      <c r="CD59" s="53" t="n"/>
      <c r="CE59" s="53" t="n"/>
      <c r="CF59" s="53" t="n"/>
      <c r="CG59" s="53" t="n"/>
      <c r="CH59" s="6" t="n"/>
      <c r="CI59" s="6" t="n"/>
      <c r="CL59" s="53" t="n"/>
      <c r="CS59" s="51" t="n"/>
      <c r="DD59" s="6" t="n"/>
      <c r="DE59" s="6" t="n"/>
      <c r="DF59" s="6" t="n"/>
      <c r="DG59" s="6" t="n"/>
      <c r="DH59" s="6" t="n"/>
      <c r="DI59" s="6" t="n"/>
      <c r="DJ59" s="6" t="n"/>
      <c r="DK59" s="6" t="n"/>
      <c r="DL59" s="6" t="n"/>
      <c r="DM59" s="58" t="n"/>
      <c r="DN59" s="6" t="n"/>
      <c r="DO59" s="6" t="n"/>
      <c r="DP59" s="6" t="n"/>
      <c r="DQ59" s="58" t="n"/>
      <c r="DR59" s="6" t="n"/>
      <c r="DS59" s="6" t="n"/>
      <c r="DT59" s="6" t="n"/>
      <c r="DU59" s="6" t="n"/>
      <c r="DV59" s="6" t="n"/>
      <c r="DW59" s="6" t="n"/>
      <c r="DX59" s="6" t="n"/>
      <c r="DY59" s="6" t="n"/>
      <c r="DZ59" s="6" t="n"/>
      <c r="EA59" s="6" t="n"/>
      <c r="EB59" s="6" t="n"/>
      <c r="EC59" s="6" t="n"/>
      <c r="ED59" s="6" t="n"/>
      <c r="EE59" s="6" t="n"/>
      <c r="EF59" s="6" t="n"/>
      <c r="EG59" s="6" t="n"/>
      <c r="EH59" s="6" t="n"/>
      <c r="EI59" s="53" t="n"/>
      <c r="EK59" s="6" t="n"/>
      <c r="EL59" s="6" t="n"/>
      <c r="EM59" s="6" t="n"/>
      <c r="EN59" s="6" t="n"/>
      <c r="EO59" s="6" t="n"/>
      <c r="EP59" s="53" t="n"/>
      <c r="EQ59" s="53" t="n"/>
      <c r="ER59" s="6" t="n"/>
      <c r="ES59" s="6" t="n"/>
      <c r="ET59" s="6" t="n"/>
      <c r="EU59" s="6" t="n"/>
      <c r="EV59" s="6" t="n"/>
      <c r="EW59" s="6" t="n"/>
      <c r="EX59" s="6" t="n"/>
      <c r="EZ59" s="269" t="n"/>
      <c r="FA59" s="6" t="n"/>
      <c r="FB59" s="289" t="n"/>
      <c r="FC59" s="6" t="n"/>
      <c r="FD59" s="6" t="n"/>
      <c r="FF59" s="289" t="n"/>
      <c r="FG59" s="289" t="n"/>
      <c r="FL59" s="6" t="n"/>
      <c r="FM59" s="289" t="n"/>
      <c r="FP59" s="6" t="n"/>
      <c r="FU59" s="6" t="n"/>
      <c r="FW59" s="6" t="n"/>
      <c r="GG59" s="6" t="n"/>
      <c r="GH59" s="6" t="n"/>
      <c r="GI59" s="6" t="n"/>
      <c r="GJ59" s="6" t="n"/>
      <c r="GK59" s="6" t="n"/>
      <c r="GL59" s="6" t="n"/>
      <c r="GM59" s="6" t="n"/>
      <c r="GN59" s="6" t="n"/>
      <c r="GO59" s="6" t="n"/>
      <c r="GP59" s="6" t="n"/>
      <c r="GQ59" s="6" t="n"/>
      <c r="GR59" s="6" t="n"/>
      <c r="GS59" s="6" t="n"/>
      <c r="GT59" s="6" t="n"/>
      <c r="GU59" s="6" t="n"/>
    </row>
    <row r="60" customFormat="1" s="49">
      <c r="A60" s="215" t="inlineStr">
        <is>
          <t>TAG PAIS/24</t>
        </is>
      </c>
      <c r="B60" s="178" t="n"/>
      <c r="C60" s="115" t="n">
        <v>600</v>
      </c>
      <c r="E60" s="53" t="n"/>
      <c r="F60" s="53" t="n"/>
      <c r="G60" s="53" t="n"/>
      <c r="H60" s="53" t="n"/>
      <c r="I60" s="53" t="n"/>
      <c r="J60" s="53" t="n"/>
      <c r="K60" s="53" t="n"/>
      <c r="L60" s="53" t="n"/>
      <c r="M60" s="53" t="n"/>
      <c r="N60" s="53" t="n"/>
      <c r="O60" s="53" t="n"/>
      <c r="P60" s="53" t="n"/>
      <c r="Q60" s="53" t="n"/>
      <c r="R60" s="53" t="n"/>
      <c r="S60" s="53" t="n"/>
      <c r="T60" s="53" t="n"/>
      <c r="U60" s="53" t="n"/>
      <c r="V60" s="53" t="n"/>
      <c r="W60" s="53" t="n"/>
      <c r="X60" s="53" t="n"/>
      <c r="Y60" s="53" t="n"/>
      <c r="Z60" s="53" t="n"/>
      <c r="AA60" s="53" t="n"/>
      <c r="AB60" s="53" t="n"/>
      <c r="AC60" s="53" t="n"/>
      <c r="AD60" s="53" t="n"/>
      <c r="AE60" s="53" t="n"/>
      <c r="AF60" s="53" t="n"/>
      <c r="AG60" s="53" t="n"/>
      <c r="AH60" s="53" t="n"/>
      <c r="AI60" s="53" t="n"/>
      <c r="AJ60" s="53" t="n"/>
      <c r="AK60" s="53" t="n"/>
      <c r="AL60" s="53" t="n"/>
      <c r="AM60" s="53" t="n"/>
      <c r="AN60" s="53" t="n"/>
      <c r="AO60" s="53" t="n"/>
      <c r="AP60" s="53" t="n"/>
      <c r="AQ60" s="53" t="n"/>
      <c r="AR60" s="53" t="n"/>
      <c r="AS60" s="53" t="n"/>
      <c r="AT60" s="53" t="n"/>
      <c r="AU60" s="53" t="n"/>
      <c r="AV60" s="53" t="n"/>
      <c r="AW60" s="53" t="n"/>
      <c r="AX60" s="53" t="n"/>
      <c r="AY60" s="53" t="n"/>
      <c r="AZ60" s="53" t="n"/>
      <c r="BA60" s="53" t="n"/>
      <c r="BB60" s="53" t="n"/>
      <c r="BC60" s="53" t="n"/>
      <c r="BD60" s="53" t="n"/>
      <c r="BE60" s="53" t="n"/>
      <c r="BF60" s="53" t="n"/>
      <c r="BG60" s="53" t="n"/>
      <c r="BH60" s="53" t="n"/>
      <c r="BI60" s="53" t="n"/>
      <c r="BJ60" s="53" t="n"/>
      <c r="BK60" s="53" t="n"/>
      <c r="BL60" s="53" t="n"/>
      <c r="BM60" s="53" t="n"/>
      <c r="BN60" s="53" t="n"/>
      <c r="BO60" s="53" t="n"/>
      <c r="BP60" s="53" t="n"/>
      <c r="BQ60" s="53" t="n"/>
      <c r="BR60" s="53" t="n"/>
      <c r="BS60" s="53" t="n"/>
      <c r="BT60" s="53" t="n"/>
      <c r="BU60" s="53" t="n"/>
      <c r="BV60" s="53" t="n"/>
      <c r="BW60" s="53" t="n"/>
      <c r="BX60" s="53" t="n"/>
      <c r="BY60" s="53" t="n"/>
      <c r="BZ60" s="53" t="n"/>
      <c r="CA60" s="53" t="n"/>
      <c r="CB60" s="53" t="n"/>
      <c r="CC60" s="53" t="n"/>
      <c r="CD60" s="53" t="n"/>
      <c r="CE60" s="53" t="n"/>
      <c r="CF60" s="53" t="n"/>
      <c r="CG60" s="6" t="n"/>
      <c r="CH60" s="6" t="n"/>
      <c r="CI60" s="6" t="n"/>
      <c r="CL60" s="6" t="n"/>
      <c r="CS60" s="51" t="n"/>
      <c r="DD60" s="6" t="n"/>
      <c r="DE60" s="6" t="n"/>
      <c r="DF60" s="6" t="n"/>
      <c r="DG60" s="6" t="n"/>
      <c r="DH60" s="6" t="n"/>
      <c r="DI60" s="6" t="n"/>
      <c r="DJ60" s="6" t="n"/>
      <c r="DK60" s="6" t="n"/>
      <c r="DL60" s="6" t="n"/>
      <c r="DN60" s="6" t="n"/>
      <c r="DO60" s="6" t="n"/>
      <c r="DP60" s="6" t="n"/>
      <c r="DR60" s="6" t="n"/>
      <c r="DS60" s="6" t="n"/>
      <c r="DT60" s="6" t="n"/>
      <c r="DU60" s="6" t="n"/>
      <c r="DV60" s="6" t="n"/>
      <c r="DW60" s="6" t="n"/>
      <c r="DX60" s="6" t="n"/>
      <c r="DY60" s="6" t="n"/>
      <c r="DZ60" s="6" t="n"/>
      <c r="EA60" s="6" t="n"/>
      <c r="EB60" s="6" t="n"/>
      <c r="EC60" s="6" t="n"/>
      <c r="ED60" s="6" t="n"/>
      <c r="EE60" s="6" t="n"/>
      <c r="EF60" s="6" t="n"/>
      <c r="EG60" s="6" t="n"/>
      <c r="EH60" s="6" t="n"/>
      <c r="EI60" s="53" t="n"/>
      <c r="EK60" s="6" t="n"/>
      <c r="EL60" s="6" t="n"/>
      <c r="EM60" s="6" t="n"/>
      <c r="EN60" s="6" t="n"/>
      <c r="EO60" s="6" t="n"/>
      <c r="EP60" s="53" t="n"/>
      <c r="EQ60" s="53" t="n"/>
      <c r="ER60" s="6" t="n"/>
      <c r="ES60" s="6" t="n"/>
      <c r="ET60" s="6" t="n"/>
      <c r="EU60" s="6" t="n"/>
      <c r="EV60" s="6" t="n"/>
      <c r="EW60" s="6" t="n"/>
      <c r="EX60" s="6" t="n"/>
      <c r="EZ60" s="269" t="n"/>
      <c r="FA60" s="6" t="n"/>
      <c r="FB60" s="289" t="n"/>
      <c r="FC60" s="6" t="n"/>
      <c r="FD60" s="6" t="n"/>
      <c r="FF60" s="289" t="n"/>
      <c r="FG60" s="289" t="n"/>
      <c r="FL60" s="6" t="n"/>
      <c r="FM60" s="289" t="n"/>
      <c r="FP60" s="6" t="n"/>
      <c r="FU60" s="6" t="n"/>
      <c r="FW60" s="6" t="n"/>
      <c r="GG60" s="6" t="n"/>
      <c r="GH60" s="6" t="n"/>
      <c r="GI60" s="6" t="n"/>
      <c r="GJ60" s="6" t="n"/>
      <c r="GK60" s="6" t="n"/>
      <c r="GL60" s="6" t="n"/>
      <c r="GM60" s="6" t="n"/>
      <c r="GN60" s="6" t="n"/>
      <c r="GO60" s="6" t="n"/>
      <c r="GP60" s="6" t="n"/>
      <c r="GQ60" s="6" t="n"/>
      <c r="GR60" s="6" t="n"/>
      <c r="GS60" s="6" t="n"/>
      <c r="GT60" s="6" t="n"/>
      <c r="GU60" s="6" t="n"/>
    </row>
    <row r="61" customFormat="1" s="49">
      <c r="A61" s="363" t="n"/>
      <c r="C61" s="191" t="n"/>
      <c r="E61" s="53" t="n"/>
      <c r="F61" s="53" t="n"/>
      <c r="G61" s="53" t="n"/>
      <c r="H61" s="53" t="n"/>
      <c r="I61" s="53" t="n"/>
      <c r="J61" s="53" t="n"/>
      <c r="K61" s="53" t="n"/>
      <c r="L61" s="53" t="n"/>
      <c r="M61" s="53" t="n"/>
      <c r="N61" s="53" t="n"/>
      <c r="O61" s="53" t="n"/>
      <c r="P61" s="53" t="n"/>
      <c r="Q61" s="53" t="n"/>
      <c r="R61" s="53" t="n"/>
      <c r="S61" s="53" t="n"/>
      <c r="T61" s="53" t="n"/>
      <c r="U61" s="53" t="n"/>
      <c r="V61" s="53" t="n"/>
      <c r="W61" s="53" t="n"/>
      <c r="X61" s="53" t="n"/>
      <c r="Y61" s="53" t="n"/>
      <c r="Z61" s="53" t="n"/>
      <c r="AA61" s="53" t="n"/>
      <c r="AB61" s="53" t="n"/>
      <c r="AC61" s="53" t="n"/>
      <c r="AD61" s="53" t="n"/>
      <c r="AE61" s="53" t="n"/>
      <c r="AF61" s="53" t="n"/>
      <c r="AG61" s="53" t="n"/>
      <c r="AH61" s="53" t="n"/>
      <c r="AI61" s="53" t="n"/>
      <c r="AJ61" s="53" t="n"/>
      <c r="AK61" s="53" t="n"/>
      <c r="AL61" s="53" t="n"/>
      <c r="AM61" s="53" t="n"/>
      <c r="AN61" s="53" t="n"/>
      <c r="AO61" s="53" t="n"/>
      <c r="AP61" s="53" t="n"/>
      <c r="AQ61" s="53" t="n"/>
      <c r="AR61" s="53" t="n"/>
      <c r="AS61" s="53" t="n"/>
      <c r="AT61" s="53" t="n"/>
      <c r="AU61" s="53" t="n"/>
      <c r="AV61" s="53" t="n"/>
      <c r="AW61" s="53" t="n"/>
      <c r="AX61" s="53" t="n"/>
      <c r="AY61" s="53" t="n"/>
      <c r="AZ61" s="53" t="n"/>
      <c r="BA61" s="53" t="n"/>
      <c r="BB61" s="53" t="n"/>
      <c r="BC61" s="53" t="n"/>
      <c r="BD61" s="53" t="n"/>
      <c r="BE61" s="53" t="n"/>
      <c r="BF61" s="53" t="n"/>
      <c r="BG61" s="53" t="n"/>
      <c r="BH61" s="53" t="n"/>
      <c r="BI61" s="53" t="n"/>
      <c r="BJ61" s="53" t="n"/>
      <c r="BK61" s="53" t="n"/>
      <c r="BL61" s="53" t="n"/>
      <c r="BM61" s="53" t="n"/>
      <c r="BN61" s="53" t="n"/>
      <c r="BO61" s="53" t="n"/>
      <c r="BP61" s="53" t="n"/>
      <c r="BQ61" s="53" t="n"/>
      <c r="BR61" s="53" t="n"/>
      <c r="BS61" s="53" t="n"/>
      <c r="BT61" s="53" t="n"/>
      <c r="BU61" s="53" t="n"/>
      <c r="BV61" s="53" t="n"/>
      <c r="BW61" s="53" t="n"/>
      <c r="BX61" s="53" t="n"/>
      <c r="BY61" s="53" t="n"/>
      <c r="BZ61" s="53" t="n"/>
      <c r="CA61" s="53" t="n"/>
      <c r="CB61" s="53" t="n"/>
      <c r="CC61" s="53" t="n"/>
      <c r="CD61" s="53" t="n"/>
      <c r="CE61" s="53" t="n"/>
      <c r="CF61" s="53" t="n"/>
      <c r="CG61" s="6" t="n"/>
      <c r="CH61" s="6" t="n"/>
      <c r="CI61" s="6" t="n"/>
      <c r="CL61" s="6" t="n"/>
      <c r="CS61" s="51" t="n"/>
      <c r="DD61" s="6" t="n"/>
      <c r="DE61" s="6" t="n"/>
      <c r="DF61" s="6" t="n"/>
      <c r="DG61" s="6" t="n"/>
      <c r="DH61" s="6" t="n"/>
      <c r="DI61" s="6" t="n"/>
      <c r="DJ61" s="6" t="n"/>
      <c r="DK61" s="6" t="n"/>
      <c r="DL61" s="6" t="n"/>
      <c r="DN61" s="6" t="n"/>
      <c r="DO61" s="6" t="n"/>
      <c r="DP61" s="6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6" t="n"/>
      <c r="EA61" s="6" t="n"/>
      <c r="EB61" s="6" t="n"/>
      <c r="EC61" s="6" t="n"/>
      <c r="ED61" s="6" t="n"/>
      <c r="EE61" s="6" t="n"/>
      <c r="EF61" s="6" t="n"/>
      <c r="EG61" s="6" t="n"/>
      <c r="EH61" s="6" t="n"/>
      <c r="EI61" s="53" t="n"/>
      <c r="EK61" s="6" t="n"/>
      <c r="EL61" s="6" t="n"/>
      <c r="EM61" s="6" t="n"/>
      <c r="EN61" s="6" t="n"/>
      <c r="EO61" s="6" t="n"/>
      <c r="EP61" s="53" t="n"/>
      <c r="EQ61" s="53" t="n"/>
      <c r="ER61" s="6" t="n"/>
      <c r="ES61" s="6" t="n"/>
      <c r="ET61" s="6" t="n"/>
      <c r="EU61" s="6" t="n"/>
      <c r="EV61" s="6" t="n"/>
      <c r="EW61" s="6" t="n"/>
      <c r="EX61" s="6" t="n"/>
      <c r="EZ61" s="269" t="n"/>
      <c r="FA61" s="6" t="n"/>
      <c r="FB61" s="289" t="n"/>
      <c r="FC61" s="6" t="n"/>
      <c r="FD61" s="6" t="n"/>
      <c r="FF61" s="289" t="n"/>
      <c r="FG61" s="289" t="n"/>
      <c r="FL61" s="6" t="n"/>
      <c r="FM61" s="289" t="n"/>
      <c r="FP61" s="6" t="n"/>
      <c r="FU61" s="6" t="n"/>
      <c r="FW61" s="6" t="n"/>
      <c r="GG61" s="6" t="n"/>
      <c r="GH61" s="6" t="n"/>
      <c r="GI61" s="6" t="n"/>
      <c r="GJ61" s="6" t="n"/>
      <c r="GK61" s="6" t="n"/>
      <c r="GL61" s="6" t="n"/>
      <c r="GM61" s="6" t="n"/>
      <c r="GN61" s="6" t="n"/>
      <c r="GO61" s="6" t="n"/>
      <c r="GP61" s="6" t="n"/>
      <c r="GQ61" s="6" t="n"/>
      <c r="GR61" s="6" t="n"/>
      <c r="GS61" s="6" t="n"/>
      <c r="GT61" s="6" t="n"/>
      <c r="GU61" s="6" t="n"/>
    </row>
    <row r="62" customFormat="1" s="49">
      <c r="A62" s="364" t="inlineStr">
        <is>
          <t>TAG NATAL/24</t>
        </is>
      </c>
      <c r="B62" s="178" t="n"/>
      <c r="C62" s="115" t="n">
        <v>2100</v>
      </c>
      <c r="E62" s="53" t="n"/>
      <c r="F62" s="53" t="n"/>
      <c r="G62" s="53" t="n"/>
      <c r="H62" s="53" t="n"/>
      <c r="I62" s="53" t="n"/>
      <c r="J62" s="53" t="n"/>
      <c r="K62" s="53" t="n"/>
      <c r="L62" s="53" t="n"/>
      <c r="M62" s="53" t="n"/>
      <c r="N62" s="53" t="n"/>
      <c r="O62" s="53" t="n"/>
      <c r="P62" s="53" t="n"/>
      <c r="Q62" s="53" t="n"/>
      <c r="R62" s="53" t="n"/>
      <c r="S62" s="53" t="n"/>
      <c r="T62" s="53" t="n"/>
      <c r="U62" s="53" t="n"/>
      <c r="V62" s="53" t="n"/>
      <c r="W62" s="53" t="n"/>
      <c r="X62" s="53" t="n"/>
      <c r="Y62" s="53" t="n"/>
      <c r="Z62" s="53" t="n"/>
      <c r="AA62" s="53" t="n"/>
      <c r="AB62" s="53" t="n"/>
      <c r="AC62" s="53" t="n"/>
      <c r="AD62" s="53" t="n"/>
      <c r="AE62" s="53" t="n"/>
      <c r="AF62" s="53" t="n"/>
      <c r="AG62" s="53" t="n"/>
      <c r="AH62" s="53" t="n"/>
      <c r="AI62" s="53" t="n"/>
      <c r="AJ62" s="53" t="n"/>
      <c r="AK62" s="53" t="n"/>
      <c r="AL62" s="53" t="n"/>
      <c r="AM62" s="53" t="n"/>
      <c r="AN62" s="53" t="n"/>
      <c r="AO62" s="53" t="n"/>
      <c r="AP62" s="53" t="n"/>
      <c r="AQ62" s="53" t="n"/>
      <c r="AR62" s="53" t="n"/>
      <c r="AS62" s="53" t="n"/>
      <c r="AT62" s="53" t="n"/>
      <c r="AU62" s="53" t="n"/>
      <c r="AV62" s="53" t="n"/>
      <c r="AW62" s="53" t="n"/>
      <c r="AX62" s="53" t="n"/>
      <c r="AY62" s="53" t="n"/>
      <c r="AZ62" s="53" t="n"/>
      <c r="BA62" s="53" t="n"/>
      <c r="BB62" s="53" t="n"/>
      <c r="BC62" s="53" t="n"/>
      <c r="BD62" s="53" t="n"/>
      <c r="BE62" s="53" t="n"/>
      <c r="BF62" s="53" t="n"/>
      <c r="BG62" s="53" t="n"/>
      <c r="BH62" s="53" t="n"/>
      <c r="BI62" s="53" t="n"/>
      <c r="BJ62" s="53" t="n"/>
      <c r="BK62" s="53" t="n"/>
      <c r="BL62" s="53" t="n"/>
      <c r="BM62" s="53" t="n"/>
      <c r="BN62" s="53" t="n"/>
      <c r="BO62" s="53" t="n"/>
      <c r="BP62" s="53" t="n"/>
      <c r="BQ62" s="53" t="n"/>
      <c r="BR62" s="53" t="n"/>
      <c r="BS62" s="53" t="n"/>
      <c r="BT62" s="53" t="n"/>
      <c r="BU62" s="53" t="n"/>
      <c r="BV62" s="53" t="n"/>
      <c r="BW62" s="53" t="n"/>
      <c r="BX62" s="53" t="n"/>
      <c r="BY62" s="53" t="n"/>
      <c r="BZ62" s="53" t="n"/>
      <c r="CA62" s="53" t="n"/>
      <c r="CB62" s="53" t="n"/>
      <c r="CC62" s="53" t="n"/>
      <c r="CD62" s="53" t="n"/>
      <c r="CE62" s="53" t="n"/>
      <c r="CF62" s="53" t="n"/>
      <c r="CG62" s="6" t="n"/>
      <c r="CH62" s="6" t="n"/>
      <c r="CI62" s="6" t="n"/>
      <c r="CL62" s="6" t="n"/>
      <c r="CS62" s="51" t="n"/>
      <c r="DD62" s="6" t="n"/>
      <c r="DE62" s="6" t="n"/>
      <c r="DF62" s="6" t="n"/>
      <c r="DG62" s="6" t="n"/>
      <c r="DH62" s="6" t="n"/>
      <c r="DI62" s="6" t="n"/>
      <c r="DJ62" s="6" t="n"/>
      <c r="DK62" s="6" t="n"/>
      <c r="DL62" s="6" t="n"/>
      <c r="DN62" s="6" t="n"/>
      <c r="DO62" s="6" t="n"/>
      <c r="DP62" s="6" t="n"/>
      <c r="DR62" s="6" t="n"/>
      <c r="DS62" s="6" t="n"/>
      <c r="DT62" s="6" t="n"/>
      <c r="DU62" s="6" t="n"/>
      <c r="DV62" s="6" t="n"/>
      <c r="DW62" s="6" t="n"/>
      <c r="DX62" s="6" t="n"/>
      <c r="DY62" s="6" t="n"/>
      <c r="DZ62" s="6" t="n"/>
      <c r="EA62" s="6" t="n"/>
      <c r="EB62" s="6" t="n"/>
      <c r="EC62" s="6" t="n"/>
      <c r="ED62" s="6" t="n"/>
      <c r="EE62" s="6" t="n"/>
      <c r="EF62" s="6" t="n"/>
      <c r="EG62" s="6" t="n"/>
      <c r="EH62" s="6" t="n"/>
      <c r="EI62" s="53" t="n"/>
      <c r="EK62" s="6" t="n"/>
      <c r="EL62" s="6" t="n"/>
      <c r="EM62" s="6" t="n"/>
      <c r="EN62" s="6" t="n"/>
      <c r="EO62" s="6" t="n"/>
      <c r="EP62" s="53" t="n"/>
      <c r="EQ62" s="53" t="n"/>
      <c r="ER62" s="6" t="n"/>
      <c r="ES62" s="6" t="n"/>
      <c r="ET62" s="6" t="n"/>
      <c r="EU62" s="6" t="n"/>
      <c r="EV62" s="6" t="n"/>
      <c r="EW62" s="6" t="n"/>
      <c r="EX62" s="6" t="n"/>
      <c r="EZ62" s="269" t="n"/>
      <c r="FA62" s="6" t="n"/>
      <c r="FB62" s="289" t="n"/>
      <c r="FC62" s="6" t="n"/>
      <c r="FD62" s="6" t="n"/>
      <c r="FF62" s="289" t="n"/>
      <c r="FG62" s="289" t="n"/>
      <c r="FL62" s="6" t="n"/>
      <c r="FM62" s="289" t="n"/>
      <c r="FP62" s="6" t="n"/>
      <c r="FU62" s="6" t="n"/>
      <c r="FW62" s="6" t="n"/>
      <c r="GG62" s="6" t="n"/>
      <c r="GH62" s="6" t="n"/>
      <c r="GI62" s="6" t="n"/>
      <c r="GJ62" s="6" t="n"/>
      <c r="GK62" s="6" t="n"/>
      <c r="GL62" s="6" t="n"/>
      <c r="GM62" s="6" t="n"/>
      <c r="GN62" s="6" t="n"/>
      <c r="GO62" s="6" t="n"/>
      <c r="GP62" s="6" t="n"/>
      <c r="GQ62" s="6" t="n"/>
      <c r="GR62" s="6" t="n"/>
      <c r="GS62" s="6" t="n"/>
      <c r="GT62" s="6" t="n"/>
      <c r="GU62" s="6" t="n"/>
    </row>
    <row r="63">
      <c r="B63" s="53" t="n"/>
      <c r="C63" s="53" t="n"/>
      <c r="D63" s="53" t="n"/>
      <c r="E63" s="53" t="n"/>
      <c r="F63" s="53" t="n"/>
      <c r="G63" s="53" t="n"/>
      <c r="H63" s="53" t="n"/>
      <c r="I63" s="53" t="n"/>
      <c r="J63" s="53" t="n"/>
      <c r="K63" s="53" t="n"/>
      <c r="L63" s="53" t="n"/>
      <c r="M63" s="53" t="n"/>
      <c r="N63" s="53" t="n"/>
      <c r="O63" s="53" t="n"/>
      <c r="P63" s="53" t="n"/>
      <c r="Q63" s="53" t="n"/>
      <c r="R63" s="53" t="n"/>
      <c r="S63" s="53" t="n"/>
      <c r="T63" s="53" t="n"/>
      <c r="U63" s="53" t="n"/>
      <c r="V63" s="53" t="n"/>
      <c r="W63" s="53" t="n"/>
      <c r="X63" s="53" t="n"/>
      <c r="Y63" s="53" t="n"/>
      <c r="Z63" s="53" t="n"/>
      <c r="AA63" s="53" t="n"/>
      <c r="AB63" s="53" t="n"/>
      <c r="AC63" s="53" t="n"/>
      <c r="AD63" s="53" t="n"/>
      <c r="AE63" s="53" t="n"/>
      <c r="AF63" s="53" t="n"/>
      <c r="AG63" s="53" t="n"/>
      <c r="AH63" s="53" t="n"/>
      <c r="AI63" s="53" t="n"/>
      <c r="AJ63" s="53" t="n"/>
      <c r="AK63" s="53" t="n"/>
      <c r="AL63" s="53" t="n"/>
      <c r="AM63" s="53" t="n"/>
      <c r="AN63" s="53" t="n"/>
      <c r="AO63" s="53" t="n"/>
      <c r="AP63" s="53" t="n"/>
      <c r="AQ63" s="53" t="n"/>
      <c r="AR63" s="53" t="n"/>
      <c r="AS63" s="53" t="n"/>
      <c r="AT63" s="53" t="n"/>
      <c r="AU63" s="53" t="n"/>
      <c r="AV63" s="53" t="n"/>
      <c r="AW63" s="53" t="n"/>
      <c r="AX63" s="53" t="n"/>
      <c r="AY63" s="53" t="n"/>
      <c r="AZ63" s="53" t="n"/>
      <c r="BA63" s="53" t="n"/>
      <c r="BB63" s="53" t="n"/>
      <c r="BC63" s="53" t="n"/>
      <c r="BD63" s="53" t="n"/>
      <c r="BE63" s="53" t="n"/>
      <c r="BF63" s="53" t="n"/>
      <c r="BG63" s="53" t="n"/>
      <c r="BH63" s="53" t="n"/>
      <c r="BI63" s="53" t="n"/>
      <c r="BJ63" s="53" t="n"/>
      <c r="BK63" s="53" t="n"/>
      <c r="BL63" s="53" t="n"/>
      <c r="BM63" s="53" t="n"/>
      <c r="BN63" s="53" t="n"/>
      <c r="BO63" s="53" t="n"/>
      <c r="BP63" s="53" t="n"/>
      <c r="BQ63" s="53" t="n"/>
      <c r="BR63" s="53" t="n"/>
      <c r="BS63" s="53" t="n"/>
      <c r="BT63" s="53" t="n"/>
      <c r="BU63" s="53" t="n"/>
      <c r="BV63" s="53" t="n"/>
      <c r="BW63" s="53" t="n"/>
      <c r="BX63" s="53" t="n"/>
      <c r="BY63" s="53" t="n"/>
      <c r="BZ63" s="53" t="n"/>
      <c r="CA63" s="53" t="n"/>
      <c r="CB63" s="53" t="n"/>
      <c r="CC63" s="53" t="n"/>
      <c r="CD63" s="53" t="n"/>
      <c r="CE63" s="53" t="n"/>
      <c r="CF63" s="53" t="n"/>
      <c r="CH63" s="6" t="n"/>
      <c r="CI63" s="6" t="n"/>
      <c r="CJ63" s="56" t="n"/>
      <c r="CK63" s="56" t="n"/>
      <c r="CL63" s="5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L63" s="6" t="n"/>
      <c r="DN63" s="6" t="n"/>
      <c r="DO63" s="6" t="n"/>
      <c r="DP63" s="6" t="n"/>
      <c r="DR63" s="6" t="n"/>
      <c r="DS63" s="6" t="n"/>
      <c r="DT63" s="6" t="n"/>
      <c r="DU63" s="6" t="n"/>
      <c r="DV63" s="6" t="n"/>
      <c r="DW63" s="6" t="n"/>
      <c r="DX63" s="6" t="n"/>
      <c r="DY63" s="6" t="n"/>
      <c r="DZ63" s="6" t="n"/>
      <c r="EA63" s="6" t="n"/>
      <c r="EB63" s="6" t="n"/>
      <c r="EC63" s="6" t="n"/>
      <c r="ED63" s="6" t="n"/>
      <c r="EE63" s="6" t="n"/>
      <c r="EF63" s="6" t="n"/>
      <c r="EG63" s="6" t="n"/>
      <c r="EH63" s="6" t="n"/>
      <c r="EI63" s="6" t="n"/>
      <c r="EJ63" s="6" t="n"/>
      <c r="EK63" s="6" t="n"/>
      <c r="EL63" s="6" t="n"/>
      <c r="EM63" s="6" t="n"/>
      <c r="EN63" s="6" t="n"/>
      <c r="EO63" s="6" t="n"/>
      <c r="EP63" s="53" t="n"/>
      <c r="EQ63" s="53" t="n"/>
      <c r="ER63" s="6" t="n"/>
      <c r="ES63" s="6" t="n"/>
      <c r="ET63" s="6" t="n"/>
      <c r="EU63" s="6" t="n"/>
      <c r="EV63" s="6" t="n"/>
      <c r="EW63" s="6" t="n"/>
      <c r="EX63" s="6" t="n"/>
      <c r="EZ63" s="269" t="n"/>
      <c r="FA63" s="6" t="n"/>
      <c r="FB63" s="289" t="n"/>
      <c r="FC63" s="6" t="n"/>
      <c r="FD63" s="6" t="n"/>
      <c r="FF63" s="289" t="n"/>
      <c r="FG63" s="289" t="n"/>
      <c r="FH63" s="6" t="n"/>
      <c r="FI63" s="6" t="n"/>
      <c r="FJ63" s="6" t="n"/>
      <c r="FK63" s="6" t="n"/>
      <c r="FL63" s="6" t="n"/>
      <c r="FM63" s="289" t="n"/>
      <c r="FN63" s="6" t="n"/>
      <c r="FO63" s="6" t="n"/>
      <c r="FP63" s="6" t="n"/>
      <c r="FQ63" s="6" t="n"/>
      <c r="FR63" s="6" t="n"/>
      <c r="FS63" s="6" t="n"/>
      <c r="FT63" s="6" t="n"/>
      <c r="FU63" s="6" t="n"/>
      <c r="FV63" s="6" t="n"/>
      <c r="FW63" s="6" t="n"/>
      <c r="FX63" s="6" t="n"/>
      <c r="FY63" s="6" t="n"/>
      <c r="FZ63" s="6" t="n"/>
      <c r="GA63" s="6" t="n"/>
      <c r="GC63" s="6" t="n"/>
      <c r="GD63" s="6" t="n"/>
      <c r="GE63" s="6" t="n"/>
    </row>
    <row r="64" ht="18.75" customHeight="1">
      <c r="A64" s="699" t="inlineStr">
        <is>
          <t>FLACONETES</t>
        </is>
      </c>
      <c r="B64" s="658" t="n"/>
      <c r="C64" s="658" t="n"/>
      <c r="D64" s="670" t="n"/>
      <c r="F64" s="671" t="n">
        <v>45656</v>
      </c>
      <c r="G64" s="671" t="n">
        <v>45663</v>
      </c>
      <c r="H64" s="671" t="n">
        <v>45670</v>
      </c>
      <c r="I64" s="671" t="n">
        <v>45677</v>
      </c>
      <c r="J64" s="671" t="n">
        <v>45684</v>
      </c>
      <c r="K64" s="671" t="n">
        <v>45691</v>
      </c>
      <c r="L64" s="671" t="n">
        <v>45698</v>
      </c>
      <c r="M64" s="671" t="n">
        <v>45705</v>
      </c>
      <c r="N64" s="671" t="n">
        <v>45712</v>
      </c>
      <c r="O64" s="671" t="n">
        <v>45719</v>
      </c>
      <c r="P64" s="671" t="n">
        <v>45726</v>
      </c>
      <c r="Q64" s="671" t="n">
        <v>45733</v>
      </c>
      <c r="R64" s="671" t="n">
        <v>45740</v>
      </c>
      <c r="S64" s="671" t="n">
        <v>45747</v>
      </c>
      <c r="T64" s="671" t="n">
        <v>45754</v>
      </c>
      <c r="U64" s="671" t="n">
        <v>45761</v>
      </c>
      <c r="V64" s="671" t="n">
        <v>45768</v>
      </c>
      <c r="W64" s="671" t="n">
        <v>45775</v>
      </c>
      <c r="X64" s="671" t="n">
        <v>45782</v>
      </c>
      <c r="Y64" s="671" t="n">
        <v>45789</v>
      </c>
      <c r="Z64" s="671" t="n">
        <v>45796</v>
      </c>
      <c r="AA64" s="671" t="n">
        <v>45803</v>
      </c>
      <c r="AB64" s="671" t="n">
        <v>45810</v>
      </c>
      <c r="AC64" s="671" t="n">
        <v>45817</v>
      </c>
      <c r="AD64" s="671" t="n">
        <v>45824</v>
      </c>
      <c r="AE64" s="671" t="n">
        <v>45831</v>
      </c>
      <c r="AF64" s="671" t="n">
        <v>45838</v>
      </c>
      <c r="AG64" s="671" t="n">
        <v>45845</v>
      </c>
      <c r="AH64" s="671" t="n">
        <v>45852</v>
      </c>
      <c r="AI64" s="671" t="n">
        <v>45859</v>
      </c>
      <c r="AJ64" s="671" t="n">
        <v>45866</v>
      </c>
      <c r="AK64" s="671" t="n">
        <v>45873</v>
      </c>
      <c r="AL64" s="671" t="n">
        <v>45880</v>
      </c>
      <c r="AM64" s="671" t="n">
        <v>45887</v>
      </c>
      <c r="AN64" s="671" t="n">
        <v>45894</v>
      </c>
      <c r="AO64" s="671" t="n">
        <v>45901</v>
      </c>
      <c r="AP64" s="671" t="n">
        <v>45908</v>
      </c>
      <c r="AQ64" s="671" t="n">
        <v>45915</v>
      </c>
      <c r="AR64" s="671" t="n">
        <v>45922</v>
      </c>
      <c r="AS64" s="671" t="n">
        <v>45929</v>
      </c>
      <c r="AT64" s="671" t="n">
        <v>45936</v>
      </c>
      <c r="AU64" s="671" t="n">
        <v>45943</v>
      </c>
      <c r="AV64" s="671" t="n">
        <v>45950</v>
      </c>
      <c r="AW64" s="671" t="n">
        <v>45957</v>
      </c>
      <c r="AX64" s="671" t="n">
        <v>45964</v>
      </c>
      <c r="AY64" s="671" t="n">
        <v>45971</v>
      </c>
      <c r="AZ64" s="671" t="n">
        <v>45978</v>
      </c>
      <c r="BA64" s="671" t="n">
        <v>45985</v>
      </c>
      <c r="BB64" s="671" t="n">
        <v>45992</v>
      </c>
      <c r="BC64" s="671" t="n">
        <v>45999</v>
      </c>
      <c r="BD64" s="671" t="n">
        <v>46006</v>
      </c>
      <c r="BE64" s="671" t="n">
        <v>46013</v>
      </c>
      <c r="BF64" s="671" t="n">
        <v>46020</v>
      </c>
      <c r="BG64" s="671" t="n">
        <v>46027</v>
      </c>
      <c r="BH64" s="671" t="n">
        <v>46034</v>
      </c>
      <c r="BI64" s="671" t="n">
        <v>46041</v>
      </c>
      <c r="BJ64" s="671" t="n">
        <v>46048</v>
      </c>
      <c r="BK64" s="671" t="n">
        <v>46055</v>
      </c>
      <c r="BL64" s="671" t="n">
        <v>46062</v>
      </c>
      <c r="BM64" s="671" t="n">
        <v>46069</v>
      </c>
      <c r="BN64" s="671" t="n">
        <v>46076</v>
      </c>
      <c r="BO64" s="671" t="n">
        <v>46083</v>
      </c>
      <c r="BP64" s="671" t="n">
        <v>46090</v>
      </c>
      <c r="BQ64" s="671" t="n">
        <v>46097</v>
      </c>
      <c r="BR64" s="671" t="n">
        <v>46104</v>
      </c>
      <c r="BS64" s="671" t="n">
        <v>46111</v>
      </c>
      <c r="BT64" s="671" t="n">
        <v>46118</v>
      </c>
      <c r="BU64" s="671" t="n">
        <v>46125</v>
      </c>
      <c r="BV64" s="671" t="n">
        <v>46132</v>
      </c>
      <c r="BW64" s="671" t="n">
        <v>46139</v>
      </c>
      <c r="BX64" s="671" t="n">
        <v>46146</v>
      </c>
      <c r="BY64" s="671" t="n">
        <v>46154</v>
      </c>
      <c r="BZ64" s="671" t="n">
        <v>46160</v>
      </c>
      <c r="CA64" s="671" t="n">
        <v>46160</v>
      </c>
      <c r="CB64" s="671" t="n">
        <v>46160</v>
      </c>
      <c r="CC64" s="672" t="n">
        <v>46161.48002762732</v>
      </c>
      <c r="CD64" s="672" t="n">
        <v>46161.48070743056</v>
      </c>
      <c r="CE64" s="672" t="n">
        <v>46161.48286576617</v>
      </c>
      <c r="CF64" s="700" t="n"/>
      <c r="CH64" s="6" t="n"/>
      <c r="CI64" s="6" t="n"/>
      <c r="CJ64" s="56" t="n"/>
      <c r="CK64" s="56" t="n"/>
      <c r="CL64" s="5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6" t="n"/>
      <c r="DQ64" s="6" t="n"/>
      <c r="DR64" s="6" t="n"/>
      <c r="DS64" s="6" t="n"/>
      <c r="DT64" s="6" t="n"/>
      <c r="DU64" s="6" t="n"/>
      <c r="DV64" s="6" t="n"/>
      <c r="DW64" s="6" t="n"/>
      <c r="DX64" s="6" t="n"/>
      <c r="DY64" s="6" t="n"/>
      <c r="DZ64" s="6" t="n"/>
      <c r="EA64" s="6" t="n"/>
      <c r="EB64" s="6" t="n"/>
      <c r="EC64" s="6" t="n"/>
      <c r="ED64" s="6" t="n"/>
      <c r="EE64" s="6" t="n"/>
      <c r="EF64" s="6" t="n"/>
      <c r="EG64" s="6" t="n"/>
      <c r="EH64" s="6" t="n"/>
      <c r="EI64" s="6" t="n"/>
      <c r="EJ64" s="6" t="n"/>
      <c r="EK64" s="6" t="n"/>
      <c r="EL64" s="6" t="n"/>
      <c r="EM64" s="6" t="n"/>
      <c r="EN64" s="6" t="n"/>
      <c r="EO64" s="6" t="n"/>
      <c r="EP64" s="6" t="n"/>
      <c r="EQ64" s="53" t="n"/>
      <c r="ER64" s="6" t="n"/>
      <c r="ES64" s="6" t="n"/>
      <c r="ET64" s="6" t="n"/>
      <c r="EU64" s="6" t="n"/>
      <c r="EV64" s="6" t="n"/>
      <c r="EW64" s="6" t="n"/>
      <c r="EX64" s="6" t="n"/>
      <c r="EY64" s="6" t="n"/>
      <c r="EZ64" s="269" t="n"/>
      <c r="FA64" s="6" t="n"/>
      <c r="FB64" s="289" t="n"/>
      <c r="FC64" s="6" t="n"/>
      <c r="FD64" s="6" t="n"/>
      <c r="FE64" s="6" t="n"/>
      <c r="FF64" s="289" t="n"/>
      <c r="FG64" s="289" t="n"/>
      <c r="FH64" s="6" t="n"/>
      <c r="FI64" s="6" t="n"/>
      <c r="FJ64" s="6" t="n"/>
      <c r="FK64" s="6" t="n"/>
      <c r="FL64" s="6" t="n"/>
      <c r="FM64" s="289" t="n"/>
      <c r="FN64" s="6" t="n"/>
      <c r="FO64" s="6" t="n"/>
      <c r="FP64" s="6" t="n"/>
      <c r="FQ64" s="6" t="n"/>
      <c r="FR64" s="6" t="n"/>
      <c r="FS64" s="6" t="n"/>
      <c r="FT64" s="6" t="n"/>
      <c r="FU64" s="6" t="n"/>
      <c r="FV64" s="6" t="n"/>
      <c r="FW64" s="6" t="n"/>
      <c r="FX64" s="6" t="n"/>
      <c r="FY64" s="6" t="n"/>
      <c r="FZ64" s="6" t="n"/>
      <c r="GA64" s="6" t="n"/>
      <c r="GB64" s="6" t="n"/>
      <c r="GC64" s="6" t="n"/>
      <c r="GD64" s="6" t="n"/>
      <c r="GE64" s="6" t="n"/>
    </row>
    <row r="65">
      <c r="A65" s="674" t="inlineStr">
        <is>
          <t>saquinhos masculino</t>
        </is>
      </c>
      <c r="B65" s="658" t="n"/>
      <c r="C65" s="658" t="n"/>
      <c r="D65" s="670" t="n"/>
      <c r="S65" s="38" t="n"/>
      <c r="T65" s="38" t="n"/>
      <c r="U65" s="38" t="n"/>
      <c r="V65" s="38" t="n"/>
      <c r="W65" s="38" t="n"/>
      <c r="X65" s="38" t="n"/>
      <c r="Y65" s="38" t="n"/>
      <c r="Z65" s="116" t="n">
        <v>0</v>
      </c>
      <c r="AA65" s="116" t="n">
        <v>44</v>
      </c>
      <c r="AB65" s="116" t="n">
        <v>44</v>
      </c>
      <c r="AC65" s="116" t="n">
        <v>36</v>
      </c>
      <c r="AD65" s="116" t="n">
        <v>35</v>
      </c>
      <c r="AE65" s="116" t="n">
        <v>26</v>
      </c>
      <c r="AF65" s="116" t="n">
        <v>40</v>
      </c>
      <c r="AG65" s="116" t="n">
        <v>45</v>
      </c>
      <c r="AH65" s="116" t="n">
        <v>73</v>
      </c>
      <c r="AI65" s="116" t="n">
        <v>69</v>
      </c>
      <c r="AJ65" s="116" t="n">
        <v>69</v>
      </c>
      <c r="AK65" s="116" t="n">
        <v>89</v>
      </c>
      <c r="AL65" s="116" t="n">
        <v>89</v>
      </c>
      <c r="AM65" s="116" t="n">
        <v>89</v>
      </c>
      <c r="AN65" s="116" t="n">
        <v>89</v>
      </c>
      <c r="AO65" s="116" t="n">
        <v>89</v>
      </c>
      <c r="AP65" s="116" t="n">
        <v>86</v>
      </c>
      <c r="AQ65" s="116" t="n">
        <v>29</v>
      </c>
      <c r="AR65" s="116" t="n">
        <v>29</v>
      </c>
      <c r="AS65" s="116" t="n">
        <v>0</v>
      </c>
      <c r="AT65" s="116" t="n">
        <v>0</v>
      </c>
      <c r="AU65" s="116" t="n">
        <v>0</v>
      </c>
      <c r="AV65" s="116" t="n">
        <v>0</v>
      </c>
      <c r="AW65" s="116" t="n">
        <v>0</v>
      </c>
      <c r="AX65" s="116" t="n">
        <v>0</v>
      </c>
      <c r="AY65" s="116" t="n">
        <v>0</v>
      </c>
      <c r="AZ65" s="116" t="n">
        <v>0</v>
      </c>
      <c r="BA65" s="116" t="n">
        <v>0</v>
      </c>
      <c r="BB65" s="116" t="n">
        <v>0</v>
      </c>
      <c r="BC65" s="116" t="n">
        <v>0</v>
      </c>
      <c r="BD65" s="116" t="n">
        <v>0</v>
      </c>
      <c r="BE65" s="116" t="n">
        <v>0</v>
      </c>
      <c r="BF65" s="116" t="n">
        <v>0</v>
      </c>
      <c r="BG65" s="116" t="n">
        <v>0</v>
      </c>
      <c r="BH65" s="116" t="n">
        <v>0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>
        <v>0</v>
      </c>
      <c r="BZ65" s="116" t="n"/>
      <c r="CA65" s="116" t="n"/>
      <c r="CB65" s="116" t="n"/>
      <c r="CC65" s="673" t="n"/>
      <c r="CD65" s="673" t="n"/>
      <c r="CE65" s="673" t="n"/>
    </row>
    <row r="66">
      <c r="A66" s="674" t="inlineStr">
        <is>
          <t>AMOSTRA FACIAL</t>
        </is>
      </c>
      <c r="B66" s="658" t="n"/>
      <c r="C66" s="658" t="n"/>
      <c r="D66" s="670" t="n"/>
      <c r="AF66" s="116" t="n">
        <v>0</v>
      </c>
      <c r="AG66" s="116" t="n">
        <v>17</v>
      </c>
      <c r="AH66" s="116" t="n">
        <v>21</v>
      </c>
      <c r="AI66" s="116" t="n">
        <v>20</v>
      </c>
      <c r="AJ66" s="116" t="n">
        <v>20</v>
      </c>
      <c r="AK66" s="116" t="n">
        <v>20</v>
      </c>
      <c r="AL66" s="116" t="n">
        <v>20</v>
      </c>
      <c r="AM66" s="116" t="n">
        <v>20</v>
      </c>
      <c r="AN66" s="116" t="n">
        <v>20</v>
      </c>
      <c r="AO66" s="116" t="n">
        <v>20</v>
      </c>
      <c r="AP66" s="116" t="n">
        <v>16</v>
      </c>
      <c r="AQ66" s="116" t="n">
        <v>12</v>
      </c>
      <c r="AR66" s="116" t="n">
        <v>12</v>
      </c>
      <c r="AS66" s="116" t="n">
        <v>12</v>
      </c>
      <c r="AT66" s="116" t="n">
        <v>12</v>
      </c>
      <c r="AU66" s="116" t="n">
        <v>0</v>
      </c>
      <c r="AV66" s="116" t="n">
        <v>0</v>
      </c>
      <c r="AW66" s="116" t="n">
        <v>0</v>
      </c>
      <c r="AX66" s="116" t="n">
        <v>0</v>
      </c>
      <c r="AY66" s="116" t="n">
        <v>0</v>
      </c>
      <c r="AZ66" s="116" t="n">
        <v>0</v>
      </c>
      <c r="BA66" s="116" t="n">
        <v>0</v>
      </c>
      <c r="BB66" s="116" t="n">
        <v>0</v>
      </c>
      <c r="BC66" s="116" t="n">
        <v>0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  <c r="CB66" s="116" t="n"/>
      <c r="CC66" s="673" t="n"/>
      <c r="CD66" s="673" t="n"/>
      <c r="CE66" s="673" t="n"/>
    </row>
    <row r="67">
      <c r="A67" s="674" t="inlineStr">
        <is>
          <t>AMOSTRA FACIAL VITAMINA C</t>
        </is>
      </c>
      <c r="B67" s="658" t="n"/>
      <c r="C67" s="658" t="n"/>
      <c r="D67" s="670" t="n"/>
      <c r="AH67" s="116" t="n">
        <v>0</v>
      </c>
      <c r="AI67" s="116" t="n">
        <v>50</v>
      </c>
      <c r="AJ67" s="116" t="n">
        <v>50</v>
      </c>
      <c r="AK67" s="116" t="n">
        <v>50</v>
      </c>
      <c r="AL67" s="116" t="n">
        <v>50</v>
      </c>
      <c r="AM67" s="116" t="n">
        <v>50</v>
      </c>
      <c r="AN67" s="116" t="n">
        <v>50</v>
      </c>
      <c r="AO67" s="116" t="n">
        <v>50</v>
      </c>
      <c r="AP67" s="116" t="n">
        <v>22</v>
      </c>
      <c r="AQ67" s="116" t="n">
        <v>19</v>
      </c>
      <c r="AR67" s="116" t="n">
        <v>0</v>
      </c>
      <c r="AS67" s="116" t="n">
        <v>0</v>
      </c>
      <c r="AT67" s="116" t="n">
        <v>0</v>
      </c>
      <c r="AU67" s="116" t="n">
        <v>0</v>
      </c>
      <c r="AV67" s="116" t="n">
        <v>0</v>
      </c>
      <c r="AW67" s="116" t="n">
        <v>0</v>
      </c>
      <c r="AX67" s="116" t="n">
        <v>0</v>
      </c>
      <c r="AY67" s="116" t="n">
        <v>0</v>
      </c>
      <c r="AZ67" s="116" t="n">
        <v>0</v>
      </c>
      <c r="BA67" s="116" t="n">
        <v>0</v>
      </c>
      <c r="BB67" s="116" t="n">
        <v>0</v>
      </c>
      <c r="BC67" s="116" t="n">
        <v>0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  <c r="CB67" s="116" t="n"/>
      <c r="CC67" s="673" t="n"/>
      <c r="CD67" s="673" t="n"/>
      <c r="CE67" s="673" t="n"/>
    </row>
    <row r="68">
      <c r="A68" s="674" t="inlineStr">
        <is>
          <t>AMOURUDA</t>
        </is>
      </c>
      <c r="B68" s="658" t="n"/>
      <c r="C68" s="658" t="n"/>
      <c r="D68" s="670" t="n"/>
      <c r="AV68" s="116" t="n">
        <v>0</v>
      </c>
      <c r="AW68" s="116" t="n">
        <v>20</v>
      </c>
      <c r="AX68" s="116" t="n">
        <v>0</v>
      </c>
      <c r="AY68" s="116" t="n">
        <v>0</v>
      </c>
      <c r="AZ68" s="116" t="n">
        <v>0</v>
      </c>
      <c r="BA68" s="116" t="n">
        <v>0</v>
      </c>
      <c r="BB68" s="116" t="n">
        <v>0</v>
      </c>
      <c r="BC68" s="116" t="n">
        <v>0</v>
      </c>
      <c r="BD68" s="116" t="n">
        <v>0</v>
      </c>
      <c r="BE68" s="116" t="n">
        <v>0</v>
      </c>
      <c r="BF68" s="116" t="n">
        <v>0</v>
      </c>
      <c r="BG68" s="116" t="n">
        <v>0</v>
      </c>
      <c r="BH68" s="116" t="n">
        <v>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>
        <v>0</v>
      </c>
      <c r="BZ68" s="116" t="n"/>
      <c r="CA68" s="116" t="n"/>
      <c r="CB68" s="116" t="n"/>
      <c r="CC68" s="673" t="n"/>
      <c r="CD68" s="673" t="n"/>
      <c r="CE68" s="673" t="n"/>
    </row>
    <row r="69">
      <c r="A69" s="674" t="inlineStr">
        <is>
          <t>QUASAR</t>
        </is>
      </c>
      <c r="B69" s="658" t="n"/>
      <c r="C69" s="658" t="n"/>
      <c r="D69" s="670" t="n"/>
      <c r="AV69" s="116" t="n">
        <v>0</v>
      </c>
      <c r="AW69" s="116" t="n">
        <v>12</v>
      </c>
      <c r="AX69" s="116" t="n">
        <v>0</v>
      </c>
      <c r="AY69" s="116" t="n">
        <v>0</v>
      </c>
      <c r="AZ69" s="116" t="n">
        <v>0</v>
      </c>
      <c r="BA69" s="116" t="n">
        <v>0</v>
      </c>
      <c r="BB69" s="116" t="n">
        <v>0</v>
      </c>
      <c r="BC69" s="116" t="n">
        <v>0</v>
      </c>
      <c r="BD69" s="116" t="n">
        <v>0</v>
      </c>
      <c r="BE69" s="116" t="n">
        <v>0</v>
      </c>
      <c r="BF69" s="116" t="n">
        <v>0</v>
      </c>
      <c r="BG69" s="116" t="n">
        <v>0</v>
      </c>
      <c r="BH69" s="116" t="n">
        <v>0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>
        <v>0</v>
      </c>
      <c r="BZ69" s="116" t="n"/>
      <c r="CA69" s="116" t="n"/>
      <c r="CB69" s="116" t="n"/>
      <c r="CC69" s="673" t="n"/>
      <c r="CD69" s="673" t="n"/>
      <c r="CE69" s="673" t="n"/>
    </row>
    <row r="70">
      <c r="A70" s="674" t="inlineStr">
        <is>
          <t>PROTETOR SOLAR INFANTIL</t>
        </is>
      </c>
      <c r="B70" s="658" t="n"/>
      <c r="C70" s="658" t="n"/>
      <c r="D70" s="670" t="n"/>
      <c r="AV70" s="116" t="n">
        <v>0</v>
      </c>
      <c r="AW70" s="116" t="n">
        <v>22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  <c r="CB70" s="116" t="n"/>
      <c r="CC70" s="673" t="n"/>
      <c r="CD70" s="673" t="n"/>
      <c r="CE70" s="673" t="n"/>
    </row>
  </sheetData>
  <mergeCells count="14">
    <mergeCell ref="A5:A6"/>
    <mergeCell ref="A70:D70"/>
    <mergeCell ref="A67:D67"/>
    <mergeCell ref="B3:D3"/>
    <mergeCell ref="GD7:GL7"/>
    <mergeCell ref="A69:D69"/>
    <mergeCell ref="A64:D64"/>
    <mergeCell ref="B2:D2"/>
    <mergeCell ref="A65:D65"/>
    <mergeCell ref="D5:D6"/>
    <mergeCell ref="B5:B6"/>
    <mergeCell ref="A68:D68"/>
    <mergeCell ref="A66:D66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</worksheet>
</file>

<file path=xl/worksheets/sheet8.xml><?xml version="1.0" encoding="utf-8"?>
<worksheet xmlns="http://schemas.openxmlformats.org/spreadsheetml/2006/main">
  <sheetPr codeName="Planilha24">
    <tabColor theme="9"/>
    <outlinePr summaryBelow="1" summaryRight="1"/>
    <pageSetUpPr/>
  </sheetPr>
  <dimension ref="A1:MC70"/>
  <sheetViews>
    <sheetView showGridLines="0" topLeftCell="A15" zoomScale="80" zoomScaleNormal="80" workbookViewId="0">
      <selection activeCell="CA1" sqref="CA1:CA1048576"/>
    </sheetView>
  </sheetViews>
  <sheetFormatPr baseColWidth="8" defaultColWidth="9.140625" defaultRowHeight="18.75"/>
  <cols>
    <col width="27.28515625" customWidth="1" style="52" min="1" max="1"/>
    <col width="8.7109375" customWidth="1" style="6" min="2" max="2"/>
    <col hidden="1" width="14.42578125" customWidth="1" style="6" min="3" max="3"/>
    <col width="14.42578125" bestFit="1" customWidth="1" style="6" min="4" max="4"/>
    <col width="2.140625" customWidth="1" style="6" min="5" max="5"/>
    <col hidden="1" width="8.28515625" customWidth="1" style="6" min="6" max="76"/>
    <col width="8.28515625" customWidth="1" style="6" min="77" max="79"/>
    <col width="8.42578125" customWidth="1" style="6" min="80" max="80"/>
    <col width="2.42578125" customWidth="1" style="6" min="81" max="81"/>
    <col width="20.42578125" bestFit="1" customWidth="1" style="49" min="82" max="82"/>
    <col width="14.28515625" bestFit="1" customWidth="1" style="49" min="83" max="83"/>
    <col width="1.7109375" customWidth="1" style="49" min="84" max="84"/>
    <col width="15.85546875" bestFit="1" customWidth="1" style="49" min="85" max="85"/>
    <col width="1.85546875" customWidth="1" style="6" min="86" max="86"/>
    <col width="8.140625" customWidth="1" style="49" min="87" max="92"/>
    <col width="8.7109375" customWidth="1" style="51" min="93" max="93"/>
    <col width="8.140625" customWidth="1" style="49" min="94" max="94"/>
    <col hidden="1" width="14" customWidth="1" style="49" min="95" max="95"/>
    <col hidden="1" width="8.140625" customWidth="1" style="49" min="96" max="110"/>
    <col hidden="1" width="9.7109375" customWidth="1" style="49" min="111" max="112"/>
    <col hidden="1" width="24.42578125" customWidth="1" style="51" min="113" max="113"/>
    <col hidden="1" width="9.7109375" customWidth="1" style="49" min="114" max="116"/>
    <col hidden="1" width="8.7109375" customWidth="1" style="51" min="117" max="117"/>
    <col hidden="1" width="9.7109375" customWidth="1" style="49" min="118" max="120"/>
    <col hidden="1" width="13.85546875" customWidth="1" style="49" min="121" max="121"/>
    <col hidden="1" width="9.7109375" customWidth="1" style="49" min="122" max="122"/>
    <col hidden="1" width="11.7109375" customWidth="1" style="49" min="123" max="123"/>
    <col hidden="1" width="9.7109375" customWidth="1" style="49" min="124" max="124"/>
    <col hidden="1" width="11.7109375" customWidth="1" style="49" min="125" max="125"/>
    <col hidden="1" width="9.7109375" customWidth="1" style="49" min="126" max="128"/>
    <col hidden="1" width="24.28515625" customWidth="1" style="49" min="129" max="129"/>
    <col hidden="1" width="9.7109375" customWidth="1" style="49" min="130" max="131"/>
    <col hidden="1" width="11" customWidth="1" style="49" min="132" max="132"/>
    <col hidden="1" width="9.7109375" customWidth="1" style="49" min="133" max="134"/>
    <col hidden="1" width="12.28515625" customWidth="1" style="51" min="135" max="135"/>
    <col hidden="1" width="23" customWidth="1" style="51" min="136" max="136"/>
    <col hidden="1" width="9.7109375" customWidth="1" style="49" min="137" max="141"/>
    <col hidden="1" width="17.5703125" customWidth="1" style="51" min="142" max="142"/>
    <col hidden="1" width="8.7109375" customWidth="1" style="51" min="143" max="143"/>
    <col hidden="1" width="9.7109375" customWidth="1" style="49" min="144" max="144"/>
    <col hidden="1" width="12.85546875" customWidth="1" style="49" min="145" max="145"/>
    <col hidden="1" width="9.7109375" customWidth="1" style="49" min="146" max="147"/>
    <col hidden="1" width="12.28515625" customWidth="1" style="49" min="148" max="148"/>
    <col hidden="1" width="9.7109375" customWidth="1" style="49" min="149" max="150"/>
    <col hidden="1" width="13.28515625" customWidth="1" style="49" min="151" max="151"/>
    <col hidden="1" width="13.5703125" customWidth="1" style="268" min="152" max="152"/>
    <col hidden="1" width="13.5703125" customWidth="1" style="49" min="153" max="153"/>
    <col hidden="1" width="24.5703125" customWidth="1" style="285" min="154" max="154"/>
    <col hidden="1" width="24.28515625" customWidth="1" style="49" min="155" max="155"/>
    <col hidden="1" width="9.7109375" customWidth="1" style="49" min="156" max="156"/>
    <col hidden="1" width="13.28515625" customWidth="1" style="49" min="157" max="157"/>
    <col hidden="1" width="14" customWidth="1" style="285" min="158" max="158"/>
    <col hidden="1" width="12.28515625" customWidth="1" style="285" min="159" max="159"/>
    <col hidden="1" width="9.7109375" customWidth="1" style="49" min="160" max="163"/>
    <col hidden="1" width="15.140625" customWidth="1" style="49" min="164" max="164"/>
    <col hidden="1" width="12" customWidth="1" style="285" min="165" max="165"/>
    <col hidden="1" width="9.7109375" customWidth="1" style="49" min="166" max="167"/>
    <col hidden="1" width="24.28515625" customWidth="1" style="49" min="168" max="168"/>
    <col hidden="1" width="9.7109375" customWidth="1" style="49" min="169" max="172"/>
    <col hidden="1" width="15" customWidth="1" style="49" min="173" max="173"/>
    <col hidden="1" width="9.7109375" customWidth="1" style="49" min="174" max="174"/>
    <col hidden="1" width="15" customWidth="1" style="49" min="175" max="175"/>
    <col hidden="1" width="9.7109375" customWidth="1" style="49" min="176" max="177"/>
    <col hidden="1" width="15" customWidth="1" style="49" min="178" max="178"/>
    <col hidden="1" width="9.7109375" customWidth="1" style="49" min="179" max="179"/>
    <col hidden="1" width="22.85546875" customWidth="1" style="51" min="180" max="180"/>
    <col hidden="1" width="13.7109375" customWidth="1" style="49" min="181" max="181"/>
    <col hidden="1" width="9.7109375" customWidth="1" style="49" min="182" max="183"/>
    <col width="4.85546875" customWidth="1" style="6" min="184" max="184"/>
    <col width="21.85546875" bestFit="1" customWidth="1" style="6" min="185" max="185"/>
    <col width="9.140625" customWidth="1" style="6" min="186" max="186"/>
    <col hidden="1" width="13" customWidth="1" style="6" min="187" max="191"/>
    <col width="9.140625" customWidth="1" style="6" min="192" max="195"/>
    <col width="4.140625" customWidth="1" style="6" min="196" max="196"/>
    <col width="9.140625" customWidth="1" style="6" min="197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284" t="n"/>
      <c r="EY1" s="74" t="n"/>
      <c r="EZ1" s="74" t="n"/>
      <c r="FA1" s="74" t="n"/>
      <c r="FB1" s="284" t="n"/>
      <c r="FC1" s="284" t="n"/>
      <c r="FD1" s="74" t="n"/>
      <c r="FE1" s="74" t="n"/>
      <c r="FF1" s="74" t="n"/>
      <c r="FG1" s="74" t="n"/>
      <c r="FH1" s="74" t="n"/>
      <c r="FI1" s="28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</row>
    <row r="2">
      <c r="A2" s="50" t="inlineStr">
        <is>
          <t>LOJA:</t>
        </is>
      </c>
      <c r="B2" s="639" t="inlineStr">
        <is>
          <t>BOQUEIRÃO</t>
        </is>
      </c>
      <c r="C2" s="640" t="n"/>
      <c r="D2" s="641" t="n"/>
      <c r="CD2" s="6" t="n"/>
      <c r="CE2" s="6" t="n"/>
      <c r="CF2" s="6" t="n"/>
      <c r="CG2" s="6" t="n"/>
      <c r="CI2" s="6" t="n"/>
      <c r="CJ2" s="6" t="n"/>
      <c r="CK2" s="6" t="n"/>
      <c r="CL2" s="6" t="n"/>
      <c r="CM2" s="6" t="n"/>
      <c r="CN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J2" s="6" t="n"/>
      <c r="DK2" s="6" t="n"/>
      <c r="DL2" s="6" t="n"/>
      <c r="DN2" s="6" t="n"/>
      <c r="DO2" s="6" t="n"/>
      <c r="DP2" s="6" t="n"/>
      <c r="DQ2" s="6" t="n"/>
      <c r="DR2" s="6" t="n"/>
      <c r="DS2" s="6" t="n"/>
      <c r="DT2" s="6" t="n"/>
      <c r="DU2" s="6" t="n"/>
      <c r="DV2" s="6" t="n"/>
      <c r="DW2" s="6" t="n"/>
      <c r="DX2" s="6" t="n"/>
      <c r="DY2" s="6" t="n"/>
      <c r="DZ2" s="6" t="n"/>
      <c r="EA2" s="6" t="n"/>
      <c r="EB2" s="6" t="n"/>
      <c r="EC2" s="6" t="n"/>
      <c r="ED2" s="6" t="n"/>
      <c r="EG2" s="6" t="n"/>
      <c r="EH2" s="6" t="n"/>
      <c r="EI2" s="6" t="n"/>
      <c r="EJ2" s="6" t="n"/>
      <c r="EK2" s="6" t="n"/>
      <c r="EN2" s="6" t="n"/>
      <c r="EO2" s="6" t="n"/>
      <c r="EP2" s="6" t="n"/>
      <c r="EQ2" s="6" t="n"/>
      <c r="ER2" s="6" t="n"/>
      <c r="ES2" s="6" t="n"/>
      <c r="ET2" s="6" t="n"/>
      <c r="EU2" s="6" t="n"/>
      <c r="EV2" s="269" t="n"/>
      <c r="EW2" s="6" t="n"/>
      <c r="EY2" s="6" t="n"/>
      <c r="EZ2" s="6" t="n"/>
      <c r="FA2" s="6" t="n"/>
      <c r="FD2" s="6" t="n"/>
      <c r="FE2" s="6" t="n"/>
      <c r="FF2" s="6" t="n"/>
      <c r="FG2" s="6" t="n"/>
      <c r="FH2" s="6" t="n"/>
      <c r="FJ2" s="6" t="n"/>
      <c r="FK2" s="6" t="n"/>
      <c r="FL2" s="6" t="n"/>
      <c r="FM2" s="6" t="n"/>
      <c r="FN2" s="6" t="n"/>
      <c r="FO2" s="6" t="n"/>
      <c r="FP2" s="6" t="n"/>
      <c r="FQ2" s="6" t="n"/>
      <c r="FR2" s="6" t="n"/>
      <c r="FS2" s="6" t="n"/>
      <c r="FT2" s="6" t="n"/>
      <c r="FU2" s="6" t="n"/>
      <c r="FV2" s="6" t="n"/>
      <c r="FW2" s="6" t="n"/>
      <c r="FY2" s="6" t="n"/>
      <c r="FZ2" s="6" t="n"/>
      <c r="GA2" s="6" t="n"/>
    </row>
    <row r="3">
      <c r="A3" s="50" t="inlineStr">
        <is>
          <t>Responsável:</t>
        </is>
      </c>
      <c r="B3" s="253" t="inlineStr">
        <is>
          <t>CAMILA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42" t="n"/>
      <c r="CD3" s="642" t="n"/>
      <c r="CE3" s="642" t="n"/>
      <c r="CF3" s="642" t="n"/>
      <c r="CH3" s="642" t="n"/>
      <c r="CI3" s="642" t="n"/>
      <c r="CJ3" s="642" t="n"/>
      <c r="CK3" s="642" t="n"/>
      <c r="CL3" s="642" t="n"/>
      <c r="CM3" s="642" t="n"/>
      <c r="CN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G3" s="642" t="n"/>
      <c r="DH3" s="642" t="n"/>
      <c r="DJ3" s="642" t="n"/>
      <c r="DK3" s="642" t="n"/>
      <c r="DL3" s="642" t="n"/>
      <c r="DN3" s="642" t="n"/>
      <c r="DO3" s="642" t="n"/>
      <c r="DP3" s="642" t="n"/>
      <c r="DQ3" s="642" t="n"/>
      <c r="DR3" s="642" t="n"/>
      <c r="DS3" s="642" t="n"/>
      <c r="DT3" s="642" t="n"/>
      <c r="DU3" s="642" t="n"/>
      <c r="DV3" s="642" t="n"/>
      <c r="DW3" s="642" t="n"/>
      <c r="DX3" s="642" t="n"/>
      <c r="DY3" s="642" t="n"/>
      <c r="DZ3" s="642" t="n"/>
      <c r="EA3" s="642" t="n"/>
      <c r="EB3" s="642" t="n"/>
      <c r="EC3" s="642" t="n"/>
      <c r="ED3" s="642" t="n"/>
      <c r="EG3" s="642" t="n"/>
      <c r="EH3" s="642" t="n"/>
      <c r="EI3" s="642" t="n"/>
      <c r="EJ3" s="642" t="n"/>
      <c r="EK3" s="642" t="n"/>
      <c r="EN3" s="642" t="n"/>
      <c r="EO3" s="642" t="n"/>
      <c r="EP3" s="642" t="n"/>
      <c r="EQ3" s="642" t="n"/>
      <c r="ER3" s="642" t="n"/>
      <c r="ES3" s="642" t="n"/>
      <c r="ET3" s="642" t="n"/>
      <c r="EU3" s="642" t="n"/>
      <c r="EV3" s="676" t="n"/>
      <c r="EW3" s="642" t="n"/>
      <c r="EY3" s="642" t="n"/>
      <c r="EZ3" s="642" t="n"/>
      <c r="FA3" s="642" t="n"/>
      <c r="FD3" s="642" t="n"/>
      <c r="FE3" s="642" t="n"/>
      <c r="FF3" s="642" t="n"/>
      <c r="FG3" s="642" t="n"/>
      <c r="FH3" s="642" t="n"/>
      <c r="FJ3" s="642" t="n"/>
      <c r="FK3" s="642" t="n"/>
      <c r="FL3" s="642" t="n"/>
      <c r="FM3" s="642" t="n"/>
      <c r="FN3" s="642" t="n"/>
      <c r="FO3" s="642" t="n"/>
      <c r="FP3" s="642" t="n"/>
      <c r="FQ3" s="642" t="n"/>
      <c r="FR3" s="642" t="n"/>
      <c r="FS3" s="642" t="n"/>
      <c r="FT3" s="642" t="n"/>
      <c r="FU3" s="642" t="n"/>
      <c r="FV3" s="642" t="n"/>
      <c r="FW3" s="642" t="n"/>
      <c r="FY3" s="642" t="n"/>
      <c r="FZ3" s="642" t="n"/>
      <c r="GA3" s="642" t="n"/>
    </row>
    <row r="4">
      <c r="CD4" s="6" t="n"/>
      <c r="CE4" s="6" t="n"/>
      <c r="CF4" s="6" t="n"/>
      <c r="CG4" s="6" t="n"/>
      <c r="CI4" s="6" t="n"/>
      <c r="CJ4" s="6" t="n"/>
      <c r="CK4" s="6" t="n"/>
      <c r="CL4" s="6" t="n"/>
      <c r="CM4" s="6" t="n"/>
      <c r="CN4" s="6" t="n"/>
      <c r="CO4" s="254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254" t="n"/>
      <c r="DJ4" s="6" t="n"/>
      <c r="DK4" s="6" t="n"/>
      <c r="DL4" s="6" t="n"/>
      <c r="DM4" s="254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254" t="n"/>
      <c r="EF4" s="254" t="n"/>
      <c r="EG4" s="6" t="n"/>
      <c r="EH4" s="6" t="n"/>
      <c r="EI4" s="6" t="n"/>
      <c r="EJ4" s="6" t="n"/>
      <c r="EK4" s="6" t="n"/>
      <c r="EL4" s="254" t="n"/>
      <c r="EM4" s="254" t="n"/>
      <c r="EN4" s="6" t="n"/>
      <c r="EO4" s="6" t="n"/>
      <c r="EP4" s="6" t="n"/>
      <c r="EQ4" s="6" t="n"/>
      <c r="ER4" s="6" t="n"/>
      <c r="ES4" s="6" t="n"/>
      <c r="ET4" s="6" t="n"/>
      <c r="EU4" s="6" t="n"/>
      <c r="EV4" s="269" t="n"/>
      <c r="EW4" s="6" t="n"/>
      <c r="EX4" s="286" t="n"/>
      <c r="EY4" s="6" t="n"/>
      <c r="EZ4" s="6" t="n"/>
      <c r="FA4" s="6" t="n"/>
      <c r="FB4" s="286" t="n"/>
      <c r="FC4" s="286" t="n"/>
      <c r="FD4" s="6" t="n"/>
      <c r="FE4" s="6" t="n"/>
      <c r="FF4" s="6" t="n"/>
      <c r="FG4" s="6" t="n"/>
      <c r="FH4" s="6" t="n"/>
      <c r="FI4" s="286" t="n"/>
      <c r="FJ4" s="6" t="n"/>
      <c r="FK4" s="6" t="n"/>
      <c r="FL4" s="6" t="n"/>
      <c r="FM4" s="6" t="n"/>
      <c r="FN4" s="6" t="n"/>
      <c r="FO4" s="6" t="n"/>
      <c r="FP4" s="6" t="n"/>
      <c r="FQ4" s="6" t="n"/>
      <c r="FR4" s="6" t="n"/>
      <c r="FS4" s="6" t="n"/>
      <c r="FT4" s="6" t="n"/>
      <c r="FU4" s="6" t="n"/>
      <c r="FV4" s="6" t="n"/>
      <c r="FW4" s="6" t="n"/>
      <c r="FX4" s="254" t="n"/>
      <c r="FY4" s="6" t="n"/>
      <c r="FZ4" s="6" t="n"/>
      <c r="GA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189" t="n"/>
      <c r="G5" s="189" t="n"/>
      <c r="H5" s="189" t="n"/>
      <c r="I5" s="189" t="n"/>
      <c r="J5" s="189" t="n"/>
      <c r="K5" s="189" t="n"/>
      <c r="L5" s="189" t="n"/>
      <c r="M5" s="189" t="n"/>
      <c r="N5" s="189" t="n"/>
      <c r="O5" s="189" t="n"/>
      <c r="P5" s="189" t="n"/>
      <c r="Q5" s="510" t="n"/>
      <c r="R5" s="510" t="n"/>
      <c r="S5" s="510" t="n"/>
      <c r="T5" s="510" t="n"/>
      <c r="U5" s="510" t="n"/>
      <c r="V5" s="510" t="n"/>
      <c r="W5" s="510" t="n"/>
      <c r="X5" s="510" t="n"/>
      <c r="Y5" s="510" t="n"/>
      <c r="Z5" s="510" t="n"/>
      <c r="AA5" s="510" t="n"/>
      <c r="AB5" s="510" t="n"/>
      <c r="AC5" s="510" t="n"/>
      <c r="AD5" s="510" t="n"/>
      <c r="AE5" s="510" t="n"/>
      <c r="AF5" s="510" t="n"/>
      <c r="AG5" s="510" t="n"/>
      <c r="AH5" s="510" t="n"/>
      <c r="AI5" s="510" t="n"/>
      <c r="AJ5" s="510" t="n"/>
      <c r="AK5" s="510" t="n"/>
      <c r="AL5" s="510" t="n"/>
      <c r="AM5" s="510" t="n"/>
      <c r="AN5" s="510" t="n"/>
      <c r="AO5" s="510" t="n"/>
      <c r="AP5" s="510" t="n"/>
      <c r="AQ5" s="510" t="n"/>
      <c r="AR5" s="510" t="n"/>
      <c r="AS5" s="510" t="n"/>
      <c r="AT5" s="510" t="n"/>
      <c r="AU5" s="510" t="n"/>
      <c r="AV5" s="510" t="n"/>
      <c r="AW5" s="510" t="n"/>
      <c r="AX5" s="510" t="n"/>
      <c r="AY5" s="510" t="n"/>
      <c r="AZ5" s="510" t="n"/>
      <c r="BA5" s="510" t="n"/>
      <c r="BB5" s="510" t="n"/>
      <c r="BC5" s="510" t="n"/>
      <c r="BD5" s="510" t="n"/>
      <c r="BE5" s="510" t="n"/>
      <c r="BF5" s="510" t="n"/>
      <c r="BG5" s="510" t="n"/>
      <c r="BH5" s="510" t="n"/>
      <c r="BI5" s="510" t="n"/>
      <c r="BJ5" s="510" t="n"/>
      <c r="BK5" s="510" t="n"/>
      <c r="BL5" s="510" t="n"/>
      <c r="BM5" s="510" t="n"/>
      <c r="BN5" s="510" t="n"/>
      <c r="BO5" s="510" t="n"/>
      <c r="BP5" s="510" t="n"/>
      <c r="BQ5" s="510" t="n"/>
      <c r="BR5" s="510" t="n"/>
      <c r="BS5" s="510" t="n"/>
      <c r="BT5" s="510" t="n"/>
      <c r="BU5" s="510" t="n"/>
      <c r="BV5" s="510" t="n"/>
      <c r="BW5" s="510" t="n"/>
      <c r="BX5" s="510" t="n"/>
      <c r="BY5" s="510" t="n"/>
      <c r="BZ5" s="510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F5" s="6" t="n"/>
      <c r="CG5" s="12" t="inlineStr">
        <is>
          <t>Novo Pedido</t>
        </is>
      </c>
      <c r="CI5" s="646" t="n">
        <v>46156</v>
      </c>
      <c r="CJ5" s="646" t="n">
        <v>46149</v>
      </c>
      <c r="CK5" s="646" t="n">
        <v>46142</v>
      </c>
      <c r="CL5" s="646" t="n">
        <v>46114</v>
      </c>
      <c r="CM5" s="646" t="n">
        <v>46107</v>
      </c>
      <c r="CN5" s="646" t="n">
        <v>46099</v>
      </c>
      <c r="CO5" s="647" t="n">
        <v>46065</v>
      </c>
      <c r="CP5" s="646" t="n">
        <v>46092</v>
      </c>
      <c r="CQ5" s="648" t="inlineStr">
        <is>
          <t>TRANSF.</t>
        </is>
      </c>
      <c r="CR5" s="646" t="n">
        <v>46077</v>
      </c>
      <c r="CS5" s="646" t="n">
        <v>46071</v>
      </c>
      <c r="CT5" s="646" t="n">
        <v>46056</v>
      </c>
      <c r="CU5" s="646" t="n">
        <v>46056</v>
      </c>
      <c r="CV5" s="646" t="n">
        <v>46048</v>
      </c>
      <c r="CW5" s="646" t="n">
        <v>46043</v>
      </c>
      <c r="CX5" s="646" t="n">
        <v>46035</v>
      </c>
      <c r="CY5" s="646" t="n">
        <v>46035</v>
      </c>
      <c r="CZ5" s="646" t="n">
        <v>46029</v>
      </c>
      <c r="DA5" s="646" t="n">
        <v>46017</v>
      </c>
      <c r="DB5" s="646" t="n">
        <v>46007</v>
      </c>
      <c r="DC5" s="646" t="n">
        <v>46001</v>
      </c>
      <c r="DD5" s="646" t="n">
        <v>45994</v>
      </c>
      <c r="DE5" s="646" t="n">
        <v>45980</v>
      </c>
      <c r="DF5" s="646" t="n">
        <v>45973</v>
      </c>
      <c r="DG5" s="646" t="n">
        <v>45960</v>
      </c>
      <c r="DH5" s="646" t="n">
        <v>45951</v>
      </c>
      <c r="DI5" s="678" t="inlineStr">
        <is>
          <t>TRANSF.</t>
        </is>
      </c>
      <c r="DJ5" s="646" t="n">
        <v>45945</v>
      </c>
      <c r="DK5" s="646" t="n">
        <v>45931</v>
      </c>
      <c r="DL5" s="646" t="n">
        <v>45937</v>
      </c>
      <c r="DM5" s="678" t="n">
        <v>45903</v>
      </c>
      <c r="DN5" s="646" t="n">
        <v>45931</v>
      </c>
      <c r="DO5" s="646" t="n">
        <v>45923</v>
      </c>
      <c r="DP5" s="646" t="n">
        <v>45915</v>
      </c>
      <c r="DQ5" s="679" t="inlineStr">
        <is>
          <t>TRANSF.</t>
        </is>
      </c>
      <c r="DR5" s="646" t="n">
        <v>45909</v>
      </c>
      <c r="DS5" s="648" t="inlineStr">
        <is>
          <t>TRANSF.</t>
        </is>
      </c>
      <c r="DT5" s="646" t="n">
        <v>45909</v>
      </c>
      <c r="DU5" s="648" t="inlineStr">
        <is>
          <t>TRANSF.</t>
        </is>
      </c>
      <c r="DV5" s="646" t="n">
        <v>45903</v>
      </c>
      <c r="DW5" s="646" t="n">
        <v>45903</v>
      </c>
      <c r="DX5" s="646" t="n">
        <v>45895</v>
      </c>
      <c r="DY5" s="680" t="inlineStr">
        <is>
          <t>TRANSF. DISNEY/24</t>
        </is>
      </c>
      <c r="DZ5" s="646" t="n">
        <v>45888</v>
      </c>
      <c r="EA5" s="646" t="n">
        <v>45881</v>
      </c>
      <c r="EB5" s="648" t="inlineStr">
        <is>
          <t>TRANSF.</t>
        </is>
      </c>
      <c r="EC5" s="646" t="n">
        <v>45874</v>
      </c>
      <c r="ED5" s="646" t="n">
        <v>45867</v>
      </c>
      <c r="EE5" s="681" t="inlineStr">
        <is>
          <t>TRANSF.</t>
        </is>
      </c>
      <c r="EF5" s="682" t="inlineStr">
        <is>
          <t>TRANSF. DORAMA</t>
        </is>
      </c>
      <c r="EG5" s="646" t="n">
        <v>45860</v>
      </c>
      <c r="EH5" s="646" t="n">
        <v>45853</v>
      </c>
      <c r="EI5" s="646" t="n">
        <v>45848</v>
      </c>
      <c r="EJ5" s="646" t="n">
        <v>45839</v>
      </c>
      <c r="EK5" s="646" t="n">
        <v>45832</v>
      </c>
      <c r="EL5" s="681" t="inlineStr">
        <is>
          <t>AUTOMÁTICO</t>
        </is>
      </c>
      <c r="EM5" s="681" t="n">
        <v>45791</v>
      </c>
      <c r="EN5" s="646" t="n">
        <v>45825</v>
      </c>
      <c r="EO5" s="648" t="inlineStr">
        <is>
          <t>TRANSF.</t>
        </is>
      </c>
      <c r="EP5" s="646" t="n">
        <v>45819</v>
      </c>
      <c r="EQ5" s="646" t="n">
        <v>45813</v>
      </c>
      <c r="ER5" s="648" t="inlineStr">
        <is>
          <t>TRANSF.</t>
        </is>
      </c>
      <c r="ES5" s="646" t="n">
        <v>45798</v>
      </c>
      <c r="ET5" s="646" t="n">
        <v>45805</v>
      </c>
      <c r="EU5" s="648" t="inlineStr">
        <is>
          <t>TRANSF.</t>
        </is>
      </c>
      <c r="EV5" s="648" t="inlineStr">
        <is>
          <t>TRANSF.</t>
        </is>
      </c>
      <c r="EW5" s="683" t="inlineStr">
        <is>
          <t>TRANSF.</t>
        </is>
      </c>
      <c r="EX5" s="684" t="inlineStr">
        <is>
          <t>TRANSF.</t>
        </is>
      </c>
      <c r="EY5" s="680" t="inlineStr">
        <is>
          <t>TRANSF. DISNEY/24</t>
        </is>
      </c>
      <c r="EZ5" s="683" t="n">
        <v>45735</v>
      </c>
      <c r="FA5" s="648" t="inlineStr">
        <is>
          <t>TRANSF.</t>
        </is>
      </c>
      <c r="FB5" s="684" t="inlineStr">
        <is>
          <t>TRANSF.</t>
        </is>
      </c>
      <c r="FC5" s="684" t="inlineStr">
        <is>
          <t>TRANSF.</t>
        </is>
      </c>
      <c r="FD5" s="646" t="n">
        <v>45770</v>
      </c>
      <c r="FE5" s="646" t="n">
        <v>45756</v>
      </c>
      <c r="FF5" s="646" t="n">
        <v>45749</v>
      </c>
      <c r="FG5" s="646" t="n">
        <v>45743</v>
      </c>
      <c r="FH5" s="648" t="inlineStr">
        <is>
          <t>TRANSF.</t>
        </is>
      </c>
      <c r="FI5" s="684" t="n">
        <v>45700</v>
      </c>
      <c r="FJ5" s="646" t="n">
        <v>45728</v>
      </c>
      <c r="FK5" s="646" t="n">
        <v>45722</v>
      </c>
      <c r="FL5" s="680" t="inlineStr">
        <is>
          <t>TRANSF. DISNEY/24</t>
        </is>
      </c>
      <c r="FM5" s="646" t="n">
        <v>45714</v>
      </c>
      <c r="FN5" s="646" t="n">
        <v>45706</v>
      </c>
      <c r="FO5" s="646" t="n">
        <v>45699</v>
      </c>
      <c r="FP5" s="646" t="n">
        <v>45693</v>
      </c>
      <c r="FQ5" s="648" t="inlineStr">
        <is>
          <t>TRANSF.</t>
        </is>
      </c>
      <c r="FR5" s="646" t="n">
        <v>45685</v>
      </c>
      <c r="FS5" s="648" t="inlineStr">
        <is>
          <t>TRANSF.</t>
        </is>
      </c>
      <c r="FT5" s="646" t="n">
        <v>45674</v>
      </c>
      <c r="FU5" s="646" t="n">
        <v>45664</v>
      </c>
      <c r="FV5" s="648" t="inlineStr">
        <is>
          <t>TRANSF.</t>
        </is>
      </c>
      <c r="FW5" s="646" t="n">
        <v>45660</v>
      </c>
      <c r="FX5" s="685" t="inlineStr">
        <is>
          <t>TRANSF. NATAL/24</t>
        </is>
      </c>
      <c r="FY5" s="655" t="inlineStr">
        <is>
          <t>TRANSF.</t>
        </is>
      </c>
      <c r="FZ5" s="646" t="n">
        <v>45638</v>
      </c>
      <c r="GA5" s="646" t="n">
        <v>45643</v>
      </c>
    </row>
    <row r="6" customForma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86" t="n">
        <v>45733</v>
      </c>
      <c r="R6" s="686" t="n">
        <v>45740</v>
      </c>
      <c r="S6" s="686" t="n">
        <v>45747</v>
      </c>
      <c r="T6" s="686" t="n">
        <v>45754</v>
      </c>
      <c r="U6" s="686" t="n">
        <v>45761</v>
      </c>
      <c r="V6" s="650" t="n">
        <v>45768</v>
      </c>
      <c r="W6" s="650" t="n">
        <v>45775</v>
      </c>
      <c r="X6" s="686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54" t="n"/>
      <c r="CD6" s="414" t="inlineStr">
        <is>
          <t>SUGESTÃO</t>
        </is>
      </c>
      <c r="CE6" s="214" t="n">
        <v>46156</v>
      </c>
      <c r="CF6" s="653" t="n"/>
      <c r="CG6" s="656" t="n"/>
      <c r="CH6" s="653" t="n"/>
      <c r="CI6" s="654" t="n"/>
      <c r="CJ6" s="654" t="n">
        <v>46154</v>
      </c>
      <c r="CK6" s="654" t="n">
        <v>46148</v>
      </c>
      <c r="CL6" s="654" t="n">
        <v>46122</v>
      </c>
      <c r="CM6" s="654" t="n">
        <v>46111</v>
      </c>
      <c r="CN6" s="654" t="n">
        <v>46108</v>
      </c>
      <c r="CO6" s="647" t="n">
        <v>46107</v>
      </c>
      <c r="CP6" s="654" t="n">
        <v>46098</v>
      </c>
      <c r="CQ6" s="655" t="n">
        <v>46079</v>
      </c>
      <c r="CR6" s="654" t="n">
        <v>46083</v>
      </c>
      <c r="CS6" s="654" t="n">
        <v>46073</v>
      </c>
      <c r="CT6" s="654" t="n">
        <v>46076</v>
      </c>
      <c r="CU6" s="654" t="n">
        <v>46057</v>
      </c>
      <c r="CV6" s="654" t="n">
        <v>46051</v>
      </c>
      <c r="CW6" s="654" t="n">
        <v>46049</v>
      </c>
      <c r="CX6" s="654" t="n">
        <v>46045</v>
      </c>
      <c r="CY6" s="654" t="n">
        <v>46041</v>
      </c>
      <c r="CZ6" s="654" t="n">
        <v>46038</v>
      </c>
      <c r="DA6" s="654" t="n">
        <v>46030</v>
      </c>
      <c r="DB6" s="654" t="n">
        <v>46015</v>
      </c>
      <c r="DC6" s="654" t="n">
        <v>46008</v>
      </c>
      <c r="DD6" s="654" t="n">
        <v>46003</v>
      </c>
      <c r="DE6" s="654" t="n">
        <v>45988</v>
      </c>
      <c r="DF6" s="654" t="n">
        <v>45978</v>
      </c>
      <c r="DG6" s="654" t="n">
        <v>45964</v>
      </c>
      <c r="DH6" s="654" t="n">
        <v>45958</v>
      </c>
      <c r="DI6" s="687" t="n">
        <v>45952</v>
      </c>
      <c r="DJ6" s="654" t="n">
        <v>45952</v>
      </c>
      <c r="DK6" s="654" t="n">
        <v>45944</v>
      </c>
      <c r="DL6" s="654" t="n">
        <v>45946</v>
      </c>
      <c r="DM6" s="687" t="n">
        <v>45934</v>
      </c>
      <c r="DN6" s="654" t="n">
        <v>45934</v>
      </c>
      <c r="DO6" s="654" t="n">
        <v>45930</v>
      </c>
      <c r="DP6" s="654" t="n">
        <v>45925</v>
      </c>
      <c r="DQ6" s="688" t="n">
        <v>45924</v>
      </c>
      <c r="DR6" s="654" t="n">
        <v>45918</v>
      </c>
      <c r="DS6" s="655" t="n">
        <v>45920</v>
      </c>
      <c r="DT6" s="654" t="n">
        <v>45915</v>
      </c>
      <c r="DU6" s="655" t="n">
        <v>45913</v>
      </c>
      <c r="DV6" s="654" t="n">
        <v>45910</v>
      </c>
      <c r="DW6" s="654" t="n">
        <v>45905</v>
      </c>
      <c r="DX6" s="654" t="n">
        <v>45904</v>
      </c>
      <c r="DY6" s="689" t="n">
        <v>45897</v>
      </c>
      <c r="DZ6" s="654" t="n">
        <v>45892</v>
      </c>
      <c r="EA6" s="654" t="n">
        <v>45890</v>
      </c>
      <c r="EB6" s="655" t="n">
        <v>45885</v>
      </c>
      <c r="EC6" s="654" t="n">
        <v>45880</v>
      </c>
      <c r="ED6" s="654" t="n">
        <v>45874</v>
      </c>
      <c r="EE6" s="681" t="n">
        <v>45867</v>
      </c>
      <c r="EF6" s="682" t="n">
        <v>45866</v>
      </c>
      <c r="EG6" s="654" t="n">
        <v>45863</v>
      </c>
      <c r="EH6" s="654" t="n">
        <v>45860</v>
      </c>
      <c r="EI6" s="654" t="n">
        <v>45853</v>
      </c>
      <c r="EJ6" s="654" t="n">
        <v>45845</v>
      </c>
      <c r="EK6" s="654" t="n">
        <v>45838</v>
      </c>
      <c r="EL6" s="681" t="n">
        <v>45836</v>
      </c>
      <c r="EM6" s="681" t="n">
        <v>45836</v>
      </c>
      <c r="EN6" s="654" t="n">
        <v>45833</v>
      </c>
      <c r="EO6" s="655" t="n">
        <v>45825</v>
      </c>
      <c r="EP6" s="654" t="n">
        <v>45824</v>
      </c>
      <c r="EQ6" s="654" t="n">
        <v>45821</v>
      </c>
      <c r="ER6" s="655" t="n">
        <v>45820</v>
      </c>
      <c r="ES6" s="654" t="n">
        <v>45811</v>
      </c>
      <c r="ET6" s="654" t="n">
        <v>45810</v>
      </c>
      <c r="EU6" s="655" t="n">
        <v>45799</v>
      </c>
      <c r="EV6" s="655" t="n">
        <v>45798</v>
      </c>
      <c r="EW6" s="690" t="n">
        <v>45798</v>
      </c>
      <c r="EX6" s="684" t="n">
        <v>45798</v>
      </c>
      <c r="EY6" s="689" t="n">
        <v>45798</v>
      </c>
      <c r="EZ6" s="690" t="n">
        <v>45790</v>
      </c>
      <c r="FA6" s="655" t="n">
        <v>45789</v>
      </c>
      <c r="FB6" s="684" t="n">
        <v>45789</v>
      </c>
      <c r="FC6" s="684" t="n">
        <v>45782</v>
      </c>
      <c r="FD6" s="654" t="n">
        <v>45777</v>
      </c>
      <c r="FE6" s="654" t="n">
        <v>45772</v>
      </c>
      <c r="FF6" s="654" t="n">
        <v>45756</v>
      </c>
      <c r="FG6" s="654" t="n">
        <v>45751</v>
      </c>
      <c r="FH6" s="655" t="n">
        <v>45744</v>
      </c>
      <c r="FI6" s="684" t="n">
        <v>45733</v>
      </c>
      <c r="FJ6" s="654" t="n">
        <v>45733</v>
      </c>
      <c r="FK6" s="654" t="n">
        <v>45727</v>
      </c>
      <c r="FL6" s="689" t="n">
        <v>45723</v>
      </c>
      <c r="FM6" s="654" t="n">
        <v>45722</v>
      </c>
      <c r="FN6" s="654" t="n">
        <v>45716</v>
      </c>
      <c r="FO6" s="654" t="n">
        <v>45708</v>
      </c>
      <c r="FP6" s="654" t="n">
        <v>45705</v>
      </c>
      <c r="FQ6" s="655" t="n">
        <v>45700</v>
      </c>
      <c r="FR6" s="654" t="n">
        <v>45692</v>
      </c>
      <c r="FS6" s="655" t="n">
        <v>45685</v>
      </c>
      <c r="FT6" s="654" t="n">
        <v>45679</v>
      </c>
      <c r="FU6" s="654" t="n">
        <v>45671</v>
      </c>
      <c r="FV6" s="655" t="n">
        <v>45670</v>
      </c>
      <c r="FW6" s="654" t="n">
        <v>45665</v>
      </c>
      <c r="FX6" s="685" t="n">
        <v>45665</v>
      </c>
      <c r="FY6" s="655" t="n">
        <v>45661</v>
      </c>
      <c r="FZ6" s="654" t="n">
        <v>45660</v>
      </c>
      <c r="GA6" s="654" t="n">
        <v>45653</v>
      </c>
      <c r="GC6" s="6" t="n"/>
      <c r="GD6" s="6" t="n"/>
      <c r="GE6" s="6" t="n"/>
      <c r="GF6" s="6" t="n"/>
      <c r="GG6" s="6" t="n"/>
      <c r="GH6" s="6" t="n"/>
      <c r="GI6" s="6" t="n"/>
      <c r="GJ6" s="6" t="n"/>
      <c r="GK6" s="6" t="n"/>
      <c r="GL6" s="6" t="n"/>
      <c r="GM6" s="6" t="n"/>
    </row>
    <row r="7" ht="18.75" customFormat="1" customHeight="1" s="3">
      <c r="A7" s="28" t="inlineStr">
        <is>
          <t>SACOLAS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89" t="n"/>
      <c r="CE7" s="89" t="n"/>
      <c r="CG7" s="20" t="n"/>
      <c r="CH7" s="6" t="n"/>
      <c r="CI7" s="283" t="n"/>
      <c r="CJ7" s="283" t="n"/>
      <c r="CK7" s="283" t="n"/>
      <c r="CL7" s="283" t="n"/>
      <c r="CM7" s="283" t="n"/>
      <c r="CN7" s="283" t="n"/>
      <c r="CO7" s="575" t="inlineStr">
        <is>
          <t>MÃES</t>
        </is>
      </c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575" t="n"/>
      <c r="DJ7" s="283" t="n"/>
      <c r="DK7" s="283" t="n"/>
      <c r="DL7" s="283" t="n"/>
      <c r="DM7" s="575" t="n"/>
      <c r="DN7" s="283" t="n"/>
      <c r="DO7" s="283" t="n"/>
      <c r="DP7" s="283" t="n"/>
      <c r="DQ7" s="575" t="n"/>
      <c r="DR7" s="283" t="n"/>
      <c r="DS7" s="283" t="n"/>
      <c r="DT7" s="283" t="n"/>
      <c r="DU7" s="283" t="n"/>
      <c r="DV7" s="283" t="n"/>
      <c r="DW7" s="283" t="n"/>
      <c r="DX7" s="283" t="n"/>
      <c r="DY7" s="575" t="n"/>
      <c r="DZ7" s="283" t="n"/>
      <c r="EA7" s="283" t="n"/>
      <c r="EB7" s="283" t="n"/>
      <c r="EC7" s="283" t="n"/>
      <c r="ED7" s="283" t="n"/>
      <c r="EE7" s="575" t="inlineStr">
        <is>
          <t>PAIS/25</t>
        </is>
      </c>
      <c r="EF7" s="575" t="n"/>
      <c r="EG7" s="283" t="n"/>
      <c r="EH7" s="283" t="n"/>
      <c r="EI7" s="283" t="n"/>
      <c r="EJ7" s="283" t="n"/>
      <c r="EK7" s="283" t="n"/>
      <c r="EL7" s="575" t="n"/>
      <c r="EM7" s="575" t="n"/>
      <c r="EN7" s="283" t="n"/>
      <c r="EO7" s="283" t="n"/>
      <c r="EP7" s="283" t="n"/>
      <c r="EQ7" s="283" t="n"/>
      <c r="ER7" s="283" t="n"/>
      <c r="ES7" s="283" t="n"/>
      <c r="ET7" s="283" t="n"/>
      <c r="EU7" s="575" t="n"/>
      <c r="EV7" s="575" t="n"/>
      <c r="EW7" s="575" t="inlineStr">
        <is>
          <t>NAMO/25</t>
        </is>
      </c>
      <c r="EX7" s="575" t="inlineStr">
        <is>
          <t>MÃES/25</t>
        </is>
      </c>
      <c r="EY7" s="575" t="n"/>
      <c r="EZ7" s="283" t="n"/>
      <c r="FA7" s="575" t="n"/>
      <c r="FB7" s="575" t="inlineStr">
        <is>
          <t>MÃES/25</t>
        </is>
      </c>
      <c r="FC7" s="575" t="inlineStr">
        <is>
          <t>MÃES/25</t>
        </is>
      </c>
      <c r="FD7" s="575" t="n"/>
      <c r="FE7" s="575" t="n"/>
      <c r="FF7" s="575" t="n"/>
      <c r="FG7" s="575" t="n"/>
      <c r="FH7" s="283" t="n"/>
      <c r="FI7" s="575" t="inlineStr">
        <is>
          <t>MÃES/25</t>
        </is>
      </c>
      <c r="FJ7" s="575" t="n"/>
      <c r="FK7" s="575" t="n"/>
      <c r="FL7" s="575" t="n"/>
      <c r="FM7" s="575" t="n"/>
      <c r="FN7" s="575" t="n"/>
      <c r="FO7" s="575" t="n"/>
      <c r="FP7" s="575" t="n"/>
      <c r="FQ7" s="575" t="n"/>
      <c r="FR7" s="575" t="n"/>
      <c r="FS7" s="575" t="n"/>
      <c r="FT7" s="575" t="n"/>
      <c r="FU7" s="575" t="n"/>
      <c r="FV7" s="575" t="n"/>
      <c r="FW7" s="575" t="n"/>
      <c r="FX7" s="575" t="n"/>
      <c r="FY7" s="575" t="n"/>
      <c r="FZ7" s="575" t="n"/>
      <c r="GA7" s="575" t="n"/>
      <c r="GC7" s="504" t="inlineStr">
        <is>
          <t>MÃES 2026</t>
        </is>
      </c>
      <c r="GD7" s="658" t="n"/>
      <c r="GE7" s="658" t="n"/>
      <c r="GF7" s="658" t="n"/>
      <c r="GG7" s="658" t="n"/>
      <c r="GH7" s="658" t="n"/>
      <c r="GI7" s="658" t="n"/>
      <c r="GJ7" s="658" t="n"/>
      <c r="GK7" s="658" t="n"/>
      <c r="GL7" s="505" t="n"/>
      <c r="GM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450</v>
      </c>
      <c r="E8" s="6" t="n"/>
      <c r="F8" s="38" t="n">
        <v>600</v>
      </c>
      <c r="G8" s="38">
        <f>900+FW8</f>
        <v/>
      </c>
      <c r="H8" s="38" t="n">
        <v>900</v>
      </c>
      <c r="I8" s="38">
        <f>900+FT8</f>
        <v/>
      </c>
      <c r="J8" s="38" t="n">
        <v>1200</v>
      </c>
      <c r="K8" s="38" t="n">
        <v>900</v>
      </c>
      <c r="L8" s="38" t="n">
        <v>900</v>
      </c>
      <c r="M8" s="38" t="n">
        <v>900</v>
      </c>
      <c r="N8" s="38" t="n">
        <v>900</v>
      </c>
      <c r="O8" s="38" t="n">
        <v>900</v>
      </c>
      <c r="P8" s="38" t="n">
        <v>672</v>
      </c>
      <c r="Q8" s="38">
        <f>600+FJ8</f>
        <v/>
      </c>
      <c r="R8" s="38" t="n">
        <v>660</v>
      </c>
      <c r="S8" s="38" t="n">
        <v>600</v>
      </c>
      <c r="T8" s="38" t="n">
        <v>720</v>
      </c>
      <c r="U8" s="38" t="n">
        <v>720</v>
      </c>
      <c r="V8" s="38" t="n">
        <v>640</v>
      </c>
      <c r="W8" s="38" t="n">
        <v>1080</v>
      </c>
      <c r="X8" s="38" t="n">
        <v>1160</v>
      </c>
      <c r="Y8" s="38" t="n">
        <v>1140</v>
      </c>
      <c r="Z8" s="38" t="n">
        <v>1040</v>
      </c>
      <c r="AA8" s="38" t="n">
        <v>940</v>
      </c>
      <c r="AB8" s="38" t="n">
        <v>900</v>
      </c>
      <c r="AC8" s="38">
        <f>900-300</f>
        <v/>
      </c>
      <c r="AD8" s="38" t="n">
        <v>300</v>
      </c>
      <c r="AE8" s="38">
        <f>300+EN8</f>
        <v/>
      </c>
      <c r="AF8" s="38" t="n">
        <v>480</v>
      </c>
      <c r="AG8" s="38" t="n">
        <v>480</v>
      </c>
      <c r="AH8" s="38" t="n">
        <v>300</v>
      </c>
      <c r="AI8" s="38">
        <f>300+EH8</f>
        <v/>
      </c>
      <c r="AJ8" s="38" t="n">
        <v>480</v>
      </c>
      <c r="AK8" s="38" t="n">
        <v>380</v>
      </c>
      <c r="AL8" s="38" t="n">
        <v>350</v>
      </c>
      <c r="AM8" s="38" t="n">
        <v>600</v>
      </c>
      <c r="AN8" s="38" t="n">
        <v>420</v>
      </c>
      <c r="AO8" s="38" t="n">
        <v>400</v>
      </c>
      <c r="AP8" s="38" t="n">
        <v>300</v>
      </c>
      <c r="AQ8" s="38" t="n">
        <v>300</v>
      </c>
      <c r="AR8" s="38" t="n">
        <v>300</v>
      </c>
      <c r="AS8" s="38" t="n">
        <v>300</v>
      </c>
      <c r="AT8" s="38" t="n">
        <v>520</v>
      </c>
      <c r="AU8" s="38" t="n">
        <v>300</v>
      </c>
      <c r="AV8" s="38" t="n">
        <v>300</v>
      </c>
      <c r="AW8" s="38" t="n">
        <v>120</v>
      </c>
      <c r="AX8" s="38" t="n">
        <v>300</v>
      </c>
      <c r="AY8" s="38" t="n">
        <v>300</v>
      </c>
      <c r="AZ8" s="38">
        <f>140+DF8</f>
        <v/>
      </c>
      <c r="BA8" s="38">
        <f>300+DE8</f>
        <v/>
      </c>
      <c r="BB8" s="38" t="n">
        <v>300</v>
      </c>
      <c r="BC8" s="38">
        <f>300+DD8</f>
        <v/>
      </c>
      <c r="BD8" s="38" t="n">
        <v>900</v>
      </c>
      <c r="BE8" s="38" t="n">
        <v>900</v>
      </c>
      <c r="BF8" s="38" t="n">
        <v>920</v>
      </c>
      <c r="BG8" s="38" t="n">
        <v>740</v>
      </c>
      <c r="BH8" s="38" t="n">
        <v>660</v>
      </c>
      <c r="BI8" s="38">
        <f>600+CY8</f>
        <v/>
      </c>
      <c r="BJ8" s="38" t="n">
        <v>900</v>
      </c>
      <c r="BK8" s="38" t="n">
        <v>900</v>
      </c>
      <c r="BL8" s="38" t="n">
        <v>640</v>
      </c>
      <c r="BM8" s="38" t="n">
        <v>600</v>
      </c>
      <c r="BN8" s="38" t="n">
        <v>600</v>
      </c>
      <c r="BO8" s="38" t="n">
        <v>300</v>
      </c>
      <c r="BP8" s="38" t="n">
        <v>300</v>
      </c>
      <c r="BQ8" s="38" t="n">
        <v>300</v>
      </c>
      <c r="BR8" s="38" t="n">
        <v>300</v>
      </c>
      <c r="BS8" s="38" t="n">
        <v>120</v>
      </c>
      <c r="BT8" s="38" t="n">
        <v>0</v>
      </c>
      <c r="BU8" s="38" t="n">
        <v>600</v>
      </c>
      <c r="BV8" s="38" t="n">
        <v>600</v>
      </c>
      <c r="BW8" s="38" t="n">
        <v>600</v>
      </c>
      <c r="BX8" s="261" t="n">
        <v>160</v>
      </c>
      <c r="BY8" s="38" t="n">
        <v>720</v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n"/>
      <c r="CE8" s="19" t="n"/>
      <c r="CG8" s="23" t="n"/>
      <c r="CH8" s="6" t="n"/>
      <c r="CI8" s="18" t="n">
        <v>0</v>
      </c>
      <c r="CJ8" s="18" t="n">
        <v>600</v>
      </c>
      <c r="CK8" s="18" t="n">
        <v>0</v>
      </c>
      <c r="CL8" s="18" t="n">
        <v>600</v>
      </c>
      <c r="CM8" s="18" t="n"/>
      <c r="CN8" s="18" t="n"/>
      <c r="CO8" s="356" t="n"/>
      <c r="CP8" s="18" t="n"/>
      <c r="CQ8" s="18" t="n"/>
      <c r="CR8" s="18" t="n"/>
      <c r="CS8" s="18" t="n"/>
      <c r="CT8" s="18" t="n"/>
      <c r="CU8" s="18" t="n"/>
      <c r="CV8" s="18" t="n"/>
      <c r="CW8" s="18" t="n"/>
      <c r="CX8" s="18" t="n"/>
      <c r="CY8" s="18" t="n">
        <v>300</v>
      </c>
      <c r="CZ8" s="18" t="n"/>
      <c r="DA8" s="18" t="n"/>
      <c r="DB8" s="18" t="n"/>
      <c r="DC8" s="18" t="n"/>
      <c r="DD8" s="18" t="n">
        <v>600</v>
      </c>
      <c r="DE8" s="18" t="n">
        <v>600</v>
      </c>
      <c r="DF8" s="18" t="n">
        <v>300</v>
      </c>
      <c r="DG8" s="18" t="n">
        <v>300</v>
      </c>
      <c r="DH8" s="18" t="n"/>
      <c r="DI8" s="256" t="n"/>
      <c r="DJ8" s="18" t="n"/>
      <c r="DK8" s="18" t="n"/>
      <c r="DL8" s="18" t="n"/>
      <c r="DM8" s="256" t="n"/>
      <c r="DN8" s="18" t="n">
        <v>300</v>
      </c>
      <c r="DO8" s="18" t="n"/>
      <c r="DP8" s="18" t="n"/>
      <c r="DQ8" s="256" t="n"/>
      <c r="DR8" s="18" t="n">
        <v>300</v>
      </c>
      <c r="DS8" s="18" t="n"/>
      <c r="DT8" s="18" t="n"/>
      <c r="DU8" s="18" t="n"/>
      <c r="DV8" s="18" t="n"/>
      <c r="DW8" s="18" t="n"/>
      <c r="DX8" s="18" t="n"/>
      <c r="DY8" s="18" t="n"/>
      <c r="DZ8" s="18" t="n"/>
      <c r="EA8" s="18" t="n"/>
      <c r="EB8" s="18" t="n"/>
      <c r="EC8" s="18" t="n">
        <v>300</v>
      </c>
      <c r="ED8" s="18" t="n"/>
      <c r="EE8" s="256" t="n"/>
      <c r="EF8" s="256" t="n"/>
      <c r="EG8" s="18" t="n"/>
      <c r="EH8" s="18" t="n">
        <v>300</v>
      </c>
      <c r="EI8" s="18" t="n"/>
      <c r="EJ8" s="18" t="n"/>
      <c r="EK8" s="18" t="n"/>
      <c r="EL8" s="256" t="n"/>
      <c r="EM8" s="256" t="n"/>
      <c r="EN8" s="18" t="n">
        <v>300</v>
      </c>
      <c r="EO8" s="18" t="n"/>
      <c r="EP8" s="18" t="n"/>
      <c r="EQ8" s="18" t="n"/>
      <c r="ER8" s="241" t="inlineStr">
        <is>
          <t>300 P/ CD</t>
        </is>
      </c>
      <c r="ES8" s="18" t="n"/>
      <c r="ET8" s="18" t="n"/>
      <c r="EU8" s="18" t="n"/>
      <c r="EV8" s="256" t="n"/>
      <c r="EW8" s="256" t="n"/>
      <c r="EX8" s="256" t="n"/>
      <c r="EY8" s="18" t="n"/>
      <c r="EZ8" s="256" t="n"/>
      <c r="FA8" s="18" t="n"/>
      <c r="FB8" s="256" t="n"/>
      <c r="FC8" s="256" t="n"/>
      <c r="FD8" s="18" t="n">
        <v>300</v>
      </c>
      <c r="FE8" s="18" t="n">
        <v>600</v>
      </c>
      <c r="FF8" s="18" t="n"/>
      <c r="FG8" s="18" t="n">
        <v>300</v>
      </c>
      <c r="FH8" s="18" t="n"/>
      <c r="FI8" s="256" t="n"/>
      <c r="FJ8" s="18" t="n">
        <v>300</v>
      </c>
      <c r="FK8" s="18" t="n"/>
      <c r="FL8" s="18" t="n"/>
      <c r="FM8" s="18" t="n"/>
      <c r="FN8" s="18" t="n"/>
      <c r="FO8" s="18" t="n"/>
      <c r="FP8" s="18" t="n"/>
      <c r="FQ8" s="18" t="n"/>
      <c r="FR8" s="18" t="n"/>
      <c r="FS8" s="18" t="n"/>
      <c r="FT8" s="18" t="n">
        <v>300</v>
      </c>
      <c r="FU8" s="18" t="n"/>
      <c r="FV8" s="18" t="n"/>
      <c r="FW8" s="18" t="n">
        <v>300</v>
      </c>
      <c r="FX8" s="256" t="n"/>
      <c r="FY8" s="18" t="n"/>
      <c r="FZ8" s="18" t="n">
        <v>300</v>
      </c>
      <c r="GA8" s="18" t="n"/>
      <c r="GC8" s="267" t="inlineStr">
        <is>
          <t xml:space="preserve">SACOLAS </t>
        </is>
      </c>
      <c r="GD8" s="205" t="inlineStr">
        <is>
          <t>PCT</t>
        </is>
      </c>
      <c r="GE8" s="650" t="n">
        <v>46118</v>
      </c>
      <c r="GF8" s="650" t="n">
        <v>46125</v>
      </c>
      <c r="GG8" s="650" t="n">
        <v>46132</v>
      </c>
      <c r="GH8" s="650" t="n">
        <v>46139</v>
      </c>
      <c r="GI8" s="650" t="n">
        <v>46146</v>
      </c>
      <c r="GJ8" s="650" t="n">
        <v>46154</v>
      </c>
      <c r="GK8" s="650" t="n">
        <v>46160</v>
      </c>
      <c r="GL8" s="650" t="n">
        <v>46160</v>
      </c>
      <c r="GM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800</v>
      </c>
      <c r="E9" s="6" t="n"/>
      <c r="F9" s="38" t="n">
        <v>400</v>
      </c>
      <c r="G9" s="38">
        <f>1100+FW9</f>
        <v/>
      </c>
      <c r="H9" s="38">
        <f>1200+FU9</f>
        <v/>
      </c>
      <c r="I9" s="38">
        <f>1400+FT9</f>
        <v/>
      </c>
      <c r="J9" s="38" t="n">
        <v>1660</v>
      </c>
      <c r="K9" s="38">
        <f>1440+FR9</f>
        <v/>
      </c>
      <c r="L9" s="38" t="n">
        <v>1440</v>
      </c>
      <c r="M9" s="38" t="n">
        <v>1200</v>
      </c>
      <c r="N9" s="38" t="n">
        <v>1600</v>
      </c>
      <c r="O9" s="38">
        <f>1400+FM9</f>
        <v/>
      </c>
      <c r="P9" s="38" t="n">
        <v>1470</v>
      </c>
      <c r="Q9" s="38" t="n">
        <v>1270</v>
      </c>
      <c r="R9" s="38" t="n">
        <v>800</v>
      </c>
      <c r="S9" s="38" t="n">
        <v>680</v>
      </c>
      <c r="T9" s="38" t="n">
        <v>1260</v>
      </c>
      <c r="U9" s="38" t="n">
        <v>1260</v>
      </c>
      <c r="V9" s="38" t="n">
        <v>1060</v>
      </c>
      <c r="W9" s="38" t="n">
        <v>1100</v>
      </c>
      <c r="X9" s="38" t="n">
        <v>1080</v>
      </c>
      <c r="Y9" s="38" t="n">
        <v>1080</v>
      </c>
      <c r="Z9" s="38">
        <f>1040-200</f>
        <v/>
      </c>
      <c r="AA9" s="38" t="n">
        <v>620</v>
      </c>
      <c r="AB9" s="38">
        <f>400+ET9</f>
        <v/>
      </c>
      <c r="AC9" s="38" t="n">
        <v>400</v>
      </c>
      <c r="AD9" s="38" t="n">
        <v>600</v>
      </c>
      <c r="AE9" s="38">
        <f>400+EN9</f>
        <v/>
      </c>
      <c r="AF9" s="38">
        <f>540+EK9</f>
        <v/>
      </c>
      <c r="AG9" s="38">
        <f>480+EJ9</f>
        <v/>
      </c>
      <c r="AH9" s="38" t="n">
        <v>440</v>
      </c>
      <c r="AI9" s="38">
        <f>620+EH9</f>
        <v/>
      </c>
      <c r="AJ9" s="38" t="n">
        <v>600</v>
      </c>
      <c r="AK9" s="38" t="n">
        <v>400</v>
      </c>
      <c r="AL9" s="38" t="n">
        <v>460</v>
      </c>
      <c r="AM9" s="38" t="n">
        <v>200</v>
      </c>
      <c r="AN9" s="38" t="n">
        <v>780</v>
      </c>
      <c r="AO9" s="38" t="n">
        <v>760</v>
      </c>
      <c r="AP9" s="38" t="n">
        <v>800</v>
      </c>
      <c r="AQ9" s="38">
        <f>620+DT9</f>
        <v/>
      </c>
      <c r="AR9" s="38" t="n">
        <v>600</v>
      </c>
      <c r="AS9" s="38">
        <f>600+DO9</f>
        <v/>
      </c>
      <c r="AT9" s="38" t="n">
        <v>600</v>
      </c>
      <c r="AU9" s="38">
        <f>420+DL9</f>
        <v/>
      </c>
      <c r="AV9" s="38" t="n">
        <v>1000</v>
      </c>
      <c r="AW9" s="38" t="n">
        <v>740</v>
      </c>
      <c r="AX9" s="38" t="n">
        <v>740</v>
      </c>
      <c r="AY9" s="38" t="n">
        <v>600</v>
      </c>
      <c r="AZ9" s="38" t="n">
        <v>600</v>
      </c>
      <c r="BA9" s="38" t="n">
        <v>600</v>
      </c>
      <c r="BB9" s="38" t="n">
        <v>600</v>
      </c>
      <c r="BC9" s="38" t="n">
        <v>520</v>
      </c>
      <c r="BD9" s="38">
        <f>120+DC9</f>
        <v/>
      </c>
      <c r="BE9" s="38" t="n">
        <v>920</v>
      </c>
      <c r="BF9" s="38" t="n">
        <v>480</v>
      </c>
      <c r="BG9" s="38" t="n">
        <v>0</v>
      </c>
      <c r="BH9" s="38" t="n">
        <v>400</v>
      </c>
      <c r="BI9" s="38">
        <f>800+CY9</f>
        <v/>
      </c>
      <c r="BJ9" s="38" t="n">
        <v>1000</v>
      </c>
      <c r="BK9" s="38" t="n">
        <v>1260</v>
      </c>
      <c r="BL9" s="38" t="n">
        <v>1260</v>
      </c>
      <c r="BM9" s="38" t="n">
        <v>1000</v>
      </c>
      <c r="BN9" s="38">
        <f>1400+200</f>
        <v/>
      </c>
      <c r="BO9" s="38" t="n">
        <v>1400</v>
      </c>
      <c r="BP9" s="38" t="n">
        <v>1200</v>
      </c>
      <c r="BQ9" s="38">
        <f>800+CP9</f>
        <v/>
      </c>
      <c r="BR9" s="38" t="n">
        <v>600</v>
      </c>
      <c r="BS9" s="38">
        <f>60+CM9</f>
        <v/>
      </c>
      <c r="BT9" s="38" t="n">
        <v>620</v>
      </c>
      <c r="BU9" s="38" t="n">
        <v>1080</v>
      </c>
      <c r="BV9" s="38" t="n">
        <v>1000</v>
      </c>
      <c r="BW9" s="38" t="n">
        <v>1280</v>
      </c>
      <c r="BX9" s="38" t="n">
        <v>1280</v>
      </c>
      <c r="BY9" s="38" t="n">
        <v>1060</v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E9" s="19" t="n"/>
      <c r="CG9" s="23" t="n"/>
      <c r="CH9" s="6" t="n"/>
      <c r="CI9" s="18" t="n">
        <v>0</v>
      </c>
      <c r="CJ9" s="18" t="n">
        <v>0</v>
      </c>
      <c r="CK9" s="18" t="n">
        <v>0</v>
      </c>
      <c r="CL9" s="18" t="n">
        <v>800</v>
      </c>
      <c r="CM9" s="18" t="n">
        <v>400</v>
      </c>
      <c r="CN9" s="18" t="n"/>
      <c r="CO9" s="256" t="n">
        <v>1600</v>
      </c>
      <c r="CP9" s="18" t="n">
        <v>200</v>
      </c>
      <c r="CQ9" s="154" t="inlineStr">
        <is>
          <t>200 DE MG</t>
        </is>
      </c>
      <c r="CR9" s="18" t="n"/>
      <c r="CS9" s="18" t="n">
        <v>600</v>
      </c>
      <c r="CT9" s="18" t="n"/>
      <c r="CU9" s="18" t="n">
        <v>400</v>
      </c>
      <c r="CV9" s="18" t="n">
        <v>400</v>
      </c>
      <c r="CW9" s="18" t="n"/>
      <c r="CX9" s="18" t="n"/>
      <c r="CY9" s="18" t="n">
        <v>400</v>
      </c>
      <c r="CZ9" s="18" t="n">
        <v>800</v>
      </c>
      <c r="DA9" s="18" t="n">
        <v>600</v>
      </c>
      <c r="DB9" s="18" t="n">
        <v>1000</v>
      </c>
      <c r="DC9" s="18" t="n">
        <v>200</v>
      </c>
      <c r="DD9" s="18" t="n"/>
      <c r="DE9" s="18" t="n"/>
      <c r="DF9" s="18" t="n"/>
      <c r="DG9" s="18" t="n">
        <v>200</v>
      </c>
      <c r="DH9" s="18" t="n"/>
      <c r="DI9" s="256" t="n"/>
      <c r="DJ9" s="18" t="n"/>
      <c r="DK9" s="18" t="n"/>
      <c r="DL9" s="18" t="n">
        <v>800</v>
      </c>
      <c r="DM9" s="256" t="n">
        <v>2000</v>
      </c>
      <c r="DN9" s="18" t="n">
        <v>200</v>
      </c>
      <c r="DO9" s="18" t="n">
        <v>200</v>
      </c>
      <c r="DP9" s="18" t="n">
        <v>200</v>
      </c>
      <c r="DQ9" s="256" t="n"/>
      <c r="DR9" s="18" t="n"/>
      <c r="DS9" s="18" t="n"/>
      <c r="DT9" s="18" t="n">
        <v>200</v>
      </c>
      <c r="DU9" s="18" t="n"/>
      <c r="DV9" s="18" t="n"/>
      <c r="DW9" s="18" t="n"/>
      <c r="DX9" s="18" t="n">
        <v>400</v>
      </c>
      <c r="DY9" s="18" t="n"/>
      <c r="DZ9" s="18" t="n">
        <v>400</v>
      </c>
      <c r="EA9" s="18" t="n">
        <v>600</v>
      </c>
      <c r="EB9" s="18" t="n"/>
      <c r="EC9" s="18" t="n"/>
      <c r="ED9" s="18" t="n">
        <v>400</v>
      </c>
      <c r="EE9" s="256" t="n"/>
      <c r="EF9" s="256" t="n"/>
      <c r="EG9" s="18" t="n"/>
      <c r="EH9" s="18" t="n">
        <v>200</v>
      </c>
      <c r="EI9" s="18" t="n">
        <v>400</v>
      </c>
      <c r="EJ9" s="18" t="n">
        <v>200</v>
      </c>
      <c r="EK9" s="18" t="n">
        <v>200</v>
      </c>
      <c r="EL9" s="256" t="n"/>
      <c r="EM9" s="256" t="n"/>
      <c r="EN9" s="18" t="n">
        <v>400</v>
      </c>
      <c r="EO9" s="18" t="n"/>
      <c r="EP9" s="18" t="n"/>
      <c r="EQ9" s="18" t="n">
        <v>400</v>
      </c>
      <c r="ER9" s="18" t="n"/>
      <c r="ES9" s="18" t="n"/>
      <c r="ET9" s="18" t="n">
        <v>200</v>
      </c>
      <c r="EU9" s="18" t="n"/>
      <c r="EV9" s="241" t="inlineStr">
        <is>
          <t>200 P/ TP</t>
        </is>
      </c>
      <c r="EW9" s="256" t="n"/>
      <c r="EX9" s="256" t="n"/>
      <c r="EY9" s="18" t="n"/>
      <c r="EZ9" s="256" t="n"/>
      <c r="FA9" s="18" t="n"/>
      <c r="FB9" s="256" t="n"/>
      <c r="FC9" s="256" t="n"/>
      <c r="FD9" s="18" t="n"/>
      <c r="FE9" s="18" t="n"/>
      <c r="FF9" s="18" t="n"/>
      <c r="FG9" s="18" t="n">
        <v>600</v>
      </c>
      <c r="FH9" s="18" t="n"/>
      <c r="FI9" s="256" t="n">
        <v>1800</v>
      </c>
      <c r="FJ9" s="18" t="n"/>
      <c r="FK9" s="18" t="n"/>
      <c r="FL9" s="18" t="n"/>
      <c r="FM9" s="18" t="n">
        <v>400</v>
      </c>
      <c r="FN9" s="18" t="n"/>
      <c r="FO9" s="18" t="n">
        <v>600</v>
      </c>
      <c r="FP9" s="18" t="n"/>
      <c r="FQ9" s="18" t="n"/>
      <c r="FR9" s="18" t="n">
        <v>400</v>
      </c>
      <c r="FS9" s="18" t="n"/>
      <c r="FT9" s="18" t="n">
        <v>600</v>
      </c>
      <c r="FU9" s="18" t="n">
        <v>400</v>
      </c>
      <c r="FV9" s="18" t="n"/>
      <c r="FW9" s="18" t="n">
        <v>400</v>
      </c>
      <c r="FX9" s="256" t="n"/>
      <c r="FY9" s="18" t="n"/>
      <c r="FZ9" s="18" t="n">
        <v>1000</v>
      </c>
      <c r="GA9" s="18" t="n">
        <v>400</v>
      </c>
      <c r="GC9" s="159" t="inlineStr">
        <is>
          <t xml:space="preserve">SACOLA P </t>
        </is>
      </c>
      <c r="GD9" s="129" t="n">
        <v>200</v>
      </c>
      <c r="GE9" s="38">
        <f>CO9</f>
        <v/>
      </c>
      <c r="GF9" s="38" t="n">
        <v>1600</v>
      </c>
      <c r="GG9" s="38" t="n">
        <v>1200</v>
      </c>
      <c r="GH9" s="38" t="n">
        <v>1040</v>
      </c>
      <c r="GI9" s="38" t="n">
        <v>800</v>
      </c>
      <c r="GJ9" s="38" t="n">
        <v>200</v>
      </c>
      <c r="GK9" s="38" t="n"/>
      <c r="GL9" s="38" t="n"/>
      <c r="GM9" s="246">
        <f>GK9+IF(NOT(ISBLANK(OFFSET(GM9,0,6))),N(OFFSET(GM9,0,6)),N(OFFSET(GM9,0,7)))-GL9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600</v>
      </c>
      <c r="E10" s="6" t="n"/>
      <c r="F10" s="38" t="n">
        <v>860</v>
      </c>
      <c r="G10" s="38">
        <f>720+FW10</f>
        <v/>
      </c>
      <c r="H10" s="38">
        <f>1640+FU10</f>
        <v/>
      </c>
      <c r="I10" s="38" t="n">
        <v>1540</v>
      </c>
      <c r="J10" s="38" t="n">
        <v>1520</v>
      </c>
      <c r="K10" s="38" t="n">
        <v>1400</v>
      </c>
      <c r="L10" s="38" t="n">
        <v>1260</v>
      </c>
      <c r="M10" s="38" t="n">
        <v>1000</v>
      </c>
      <c r="N10" s="38" t="n">
        <v>1000</v>
      </c>
      <c r="O10" s="38" t="n">
        <v>1200</v>
      </c>
      <c r="P10" s="38">
        <f>1020+FK10</f>
        <v/>
      </c>
      <c r="Q10" s="38" t="n">
        <v>1220</v>
      </c>
      <c r="R10" s="38" t="n">
        <v>1060</v>
      </c>
      <c r="S10" s="38" t="n">
        <v>860</v>
      </c>
      <c r="T10" s="38" t="n">
        <v>720</v>
      </c>
      <c r="U10" s="38" t="n">
        <v>720</v>
      </c>
      <c r="V10" s="38" t="n">
        <v>680</v>
      </c>
      <c r="W10" s="38" t="n">
        <v>680</v>
      </c>
      <c r="X10" s="38" t="n">
        <v>680</v>
      </c>
      <c r="Y10" s="38" t="n">
        <v>660</v>
      </c>
      <c r="Z10" s="38" t="n">
        <v>520</v>
      </c>
      <c r="AA10" s="38" t="n">
        <v>400</v>
      </c>
      <c r="AB10" s="38">
        <f>240+ES10</f>
        <v/>
      </c>
      <c r="AC10" s="38" t="n">
        <v>400</v>
      </c>
      <c r="AD10" s="38" t="n">
        <v>380</v>
      </c>
      <c r="AE10" s="38">
        <f>200+EN10</f>
        <v/>
      </c>
      <c r="AF10" s="38" t="n">
        <v>460</v>
      </c>
      <c r="AG10" s="38">
        <f>460+EJ10</f>
        <v/>
      </c>
      <c r="AH10" s="38" t="n">
        <v>240</v>
      </c>
      <c r="AI10" s="38" t="n">
        <v>120</v>
      </c>
      <c r="AJ10" s="38" t="n">
        <v>80</v>
      </c>
      <c r="AK10" s="38" t="n">
        <v>40</v>
      </c>
      <c r="AL10" s="38" t="n">
        <v>60</v>
      </c>
      <c r="AM10" s="38" t="n">
        <v>0</v>
      </c>
      <c r="AN10" s="38" t="n">
        <v>400</v>
      </c>
      <c r="AO10" s="38" t="n">
        <v>300</v>
      </c>
      <c r="AP10" s="38" t="n">
        <v>360</v>
      </c>
      <c r="AQ10" s="38">
        <f>160+DT10</f>
        <v/>
      </c>
      <c r="AR10" s="38" t="n">
        <v>300</v>
      </c>
      <c r="AS10" s="38" t="n">
        <v>400</v>
      </c>
      <c r="AT10" s="38" t="n">
        <v>700</v>
      </c>
      <c r="AU10" s="38" t="n">
        <v>360</v>
      </c>
      <c r="AV10" s="38" t="n">
        <v>280</v>
      </c>
      <c r="AW10" s="38" t="n">
        <v>520</v>
      </c>
      <c r="AX10" s="38" t="n">
        <v>300</v>
      </c>
      <c r="AY10" s="38" t="n">
        <v>200</v>
      </c>
      <c r="AZ10" s="38" t="n">
        <v>280</v>
      </c>
      <c r="BA10" s="38" t="n">
        <v>280</v>
      </c>
      <c r="BB10" s="38" t="n">
        <v>280</v>
      </c>
      <c r="BC10" s="38" t="n">
        <v>280</v>
      </c>
      <c r="BD10" s="38">
        <f>80+DC10</f>
        <v/>
      </c>
      <c r="BE10" s="38" t="n">
        <v>680</v>
      </c>
      <c r="BF10" s="38" t="n">
        <v>520</v>
      </c>
      <c r="BG10" s="38" t="n">
        <v>0</v>
      </c>
      <c r="BH10" s="38" t="n">
        <v>200</v>
      </c>
      <c r="BI10" s="38">
        <f>600+CY10</f>
        <v/>
      </c>
      <c r="BJ10" s="38" t="n">
        <v>660</v>
      </c>
      <c r="BK10" s="38" t="n">
        <v>720</v>
      </c>
      <c r="BL10" s="38" t="n">
        <v>880</v>
      </c>
      <c r="BM10" s="38" t="n">
        <v>800</v>
      </c>
      <c r="BN10" s="38" t="n">
        <v>520</v>
      </c>
      <c r="BO10" s="38">
        <f>440+CR10</f>
        <v/>
      </c>
      <c r="BP10" s="38" t="n">
        <v>600</v>
      </c>
      <c r="BQ10" s="38">
        <f>320+CP10</f>
        <v/>
      </c>
      <c r="BR10" s="38" t="n">
        <v>400</v>
      </c>
      <c r="BS10" s="38">
        <f>220+CM10</f>
        <v/>
      </c>
      <c r="BT10" s="38" t="n">
        <v>320</v>
      </c>
      <c r="BU10" s="38" t="n">
        <v>220</v>
      </c>
      <c r="BV10" s="38" t="n">
        <v>200</v>
      </c>
      <c r="BW10" s="38" t="n">
        <v>420</v>
      </c>
      <c r="BX10" s="38" t="n">
        <v>400</v>
      </c>
      <c r="BY10" s="38" t="n">
        <v>440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19" t="n">
        <v>200</v>
      </c>
      <c r="CF10" s="4" t="n"/>
      <c r="CG10" s="23" t="n"/>
      <c r="CH10" s="6" t="n"/>
      <c r="CI10" s="18" t="n">
        <v>0</v>
      </c>
      <c r="CJ10" s="18" t="n">
        <v>200</v>
      </c>
      <c r="CK10" s="18" t="n">
        <v>0</v>
      </c>
      <c r="CL10" s="18" t="n">
        <v>200</v>
      </c>
      <c r="CM10" s="18" t="n">
        <v>200</v>
      </c>
      <c r="CN10" s="18" t="n"/>
      <c r="CO10" s="256" t="n">
        <v>1000</v>
      </c>
      <c r="CP10" s="18" t="n">
        <v>200</v>
      </c>
      <c r="CQ10" s="18" t="n"/>
      <c r="CR10" s="18" t="n">
        <v>400</v>
      </c>
      <c r="CS10" s="18" t="n"/>
      <c r="CT10" s="18" t="n"/>
      <c r="CU10" s="18" t="n">
        <v>400</v>
      </c>
      <c r="CV10" s="18" t="n">
        <v>200</v>
      </c>
      <c r="CW10" s="18" t="n"/>
      <c r="CX10" s="18" t="n"/>
      <c r="CY10" s="18" t="n">
        <v>200</v>
      </c>
      <c r="CZ10" s="18" t="n">
        <v>600</v>
      </c>
      <c r="DA10" s="18" t="n">
        <v>400</v>
      </c>
      <c r="DB10" s="18" t="n">
        <v>600</v>
      </c>
      <c r="DC10" s="18" t="n">
        <v>200</v>
      </c>
      <c r="DD10" s="18" t="n"/>
      <c r="DE10" s="18" t="n"/>
      <c r="DF10" s="18" t="n"/>
      <c r="DG10" s="18" t="n"/>
      <c r="DH10" s="18" t="n">
        <v>400</v>
      </c>
      <c r="DI10" s="256" t="n"/>
      <c r="DJ10" s="18" t="n"/>
      <c r="DK10" s="18" t="n"/>
      <c r="DL10" s="18" t="n"/>
      <c r="DM10" s="256" t="n">
        <v>1600</v>
      </c>
      <c r="DN10" s="18" t="n">
        <v>400</v>
      </c>
      <c r="DO10" s="18" t="n"/>
      <c r="DP10" s="18" t="n">
        <v>400</v>
      </c>
      <c r="DQ10" s="256" t="n"/>
      <c r="DR10" s="18" t="n"/>
      <c r="DS10" s="18" t="n"/>
      <c r="DT10" s="18" t="n">
        <v>200</v>
      </c>
      <c r="DU10" s="18" t="n"/>
      <c r="DV10" s="18" t="n">
        <v>200</v>
      </c>
      <c r="DW10" s="18" t="n"/>
      <c r="DX10" s="18" t="n">
        <v>200</v>
      </c>
      <c r="DY10" s="18" t="n"/>
      <c r="DZ10" s="18" t="n"/>
      <c r="EA10" s="18" t="n">
        <v>600</v>
      </c>
      <c r="EB10" s="18" t="n"/>
      <c r="EC10" s="18" t="n"/>
      <c r="ED10" s="18" t="n">
        <v>200</v>
      </c>
      <c r="EE10" s="256" t="n"/>
      <c r="EF10" s="256" t="n"/>
      <c r="EG10" s="18" t="n"/>
      <c r="EH10" s="18" t="n"/>
      <c r="EI10" s="18" t="n"/>
      <c r="EJ10" s="18" t="n">
        <v>200</v>
      </c>
      <c r="EK10" s="18" t="n"/>
      <c r="EL10" s="256" t="n"/>
      <c r="EM10" s="256" t="n">
        <v>800</v>
      </c>
      <c r="EN10" s="18" t="n">
        <v>400</v>
      </c>
      <c r="EO10" s="18" t="n"/>
      <c r="EP10" s="18" t="n"/>
      <c r="EQ10" s="18" t="n"/>
      <c r="ER10" s="18" t="n"/>
      <c r="ES10" s="18" t="n">
        <v>200</v>
      </c>
      <c r="ET10" s="18" t="n"/>
      <c r="EU10" s="18" t="n"/>
      <c r="EV10" s="256" t="n"/>
      <c r="EW10" s="256" t="n"/>
      <c r="EX10" s="256" t="n"/>
      <c r="EY10" s="18" t="n"/>
      <c r="EZ10" s="256" t="n">
        <v>800</v>
      </c>
      <c r="FA10" s="18" t="n"/>
      <c r="FB10" s="256" t="n"/>
      <c r="FC10" s="256" t="n"/>
      <c r="FD10" s="18" t="n"/>
      <c r="FE10" s="18" t="n"/>
      <c r="FF10" s="18" t="n"/>
      <c r="FG10" s="18" t="n"/>
      <c r="FH10" s="18" t="n"/>
      <c r="FI10" s="256" t="n">
        <v>1000</v>
      </c>
      <c r="FJ10" s="18" t="n"/>
      <c r="FK10" s="18" t="n">
        <v>400</v>
      </c>
      <c r="FL10" s="18" t="n"/>
      <c r="FM10" s="18" t="n"/>
      <c r="FN10" s="18" t="n">
        <v>400</v>
      </c>
      <c r="FO10" s="18" t="n"/>
      <c r="FP10" s="18" t="n"/>
      <c r="FQ10" s="18" t="n"/>
      <c r="FR10" s="18" t="n"/>
      <c r="FS10" s="18" t="n"/>
      <c r="FT10" s="18" t="n"/>
      <c r="FU10" s="18" t="n">
        <v>200</v>
      </c>
      <c r="FV10" s="18" t="n"/>
      <c r="FW10" s="18" t="n">
        <v>1000</v>
      </c>
      <c r="FX10" s="256" t="n"/>
      <c r="FY10" s="18" t="n"/>
      <c r="FZ10" s="18" t="n"/>
      <c r="GA10" s="18" t="n">
        <v>800</v>
      </c>
      <c r="GC10" s="29" t="inlineStr">
        <is>
          <t xml:space="preserve">SACOLA M </t>
        </is>
      </c>
      <c r="GD10" s="9" t="n">
        <v>200</v>
      </c>
      <c r="GE10" s="38">
        <f>CO10</f>
        <v/>
      </c>
      <c r="GF10" s="38" t="n">
        <v>1000</v>
      </c>
      <c r="GG10" s="38" t="n">
        <v>600</v>
      </c>
      <c r="GH10" s="38" t="n">
        <v>600</v>
      </c>
      <c r="GI10" s="38" t="n">
        <v>320</v>
      </c>
      <c r="GJ10" s="38" t="n">
        <v>0</v>
      </c>
      <c r="GK10" s="38" t="n"/>
      <c r="GL10" s="38" t="n"/>
      <c r="GM10" s="246">
        <f>GK10+IF(NOT(ISBLANK(OFFSET(GM10,0,6))),N(OFFSET(GM10,0,6)),N(OFFSET(GM10,0,7)))-GL10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60</v>
      </c>
      <c r="E11" s="6" t="n"/>
      <c r="F11" s="38" t="n">
        <v>40</v>
      </c>
      <c r="G11" s="38">
        <f>40+FW11</f>
        <v/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100</v>
      </c>
      <c r="M11" s="38" t="n">
        <v>100</v>
      </c>
      <c r="N11" s="38" t="n">
        <v>100</v>
      </c>
      <c r="O11" s="38" t="n">
        <v>100</v>
      </c>
      <c r="P11" s="38" t="n">
        <v>100</v>
      </c>
      <c r="Q11" s="38">
        <f>100+FJ11</f>
        <v/>
      </c>
      <c r="R11" s="38" t="n">
        <v>100</v>
      </c>
      <c r="S11" s="38" t="n">
        <v>200</v>
      </c>
      <c r="T11" s="38">
        <f>200+FF11</f>
        <v/>
      </c>
      <c r="U11" s="38" t="n">
        <v>300</v>
      </c>
      <c r="V11" s="38" t="n">
        <v>300</v>
      </c>
      <c r="W11" s="38" t="n">
        <v>300</v>
      </c>
      <c r="X11" s="38" t="n">
        <v>260</v>
      </c>
      <c r="Y11" s="38" t="n">
        <v>260</v>
      </c>
      <c r="Z11" s="38" t="n">
        <v>260</v>
      </c>
      <c r="AA11" s="38" t="n">
        <v>260</v>
      </c>
      <c r="AB11" s="38" t="n">
        <v>260</v>
      </c>
      <c r="AC11" s="38" t="n">
        <v>260</v>
      </c>
      <c r="AD11" s="38" t="n">
        <v>260</v>
      </c>
      <c r="AE11" s="38" t="n">
        <v>260</v>
      </c>
      <c r="AF11" s="38" t="n">
        <v>220</v>
      </c>
      <c r="AG11" s="38" t="n">
        <v>200</v>
      </c>
      <c r="AH11" s="38" t="n">
        <v>200</v>
      </c>
      <c r="AI11" s="38" t="n">
        <v>100</v>
      </c>
      <c r="AJ11" s="38" t="n">
        <v>100</v>
      </c>
      <c r="AK11" s="38" t="n">
        <v>100</v>
      </c>
      <c r="AL11" s="38" t="n">
        <v>20</v>
      </c>
      <c r="AM11" s="38" t="n">
        <v>0</v>
      </c>
      <c r="AN11" s="38" t="n">
        <v>100</v>
      </c>
      <c r="AO11" s="38" t="n">
        <v>100</v>
      </c>
      <c r="AP11" s="38" t="n">
        <v>100</v>
      </c>
      <c r="AQ11" s="38" t="n">
        <v>22</v>
      </c>
      <c r="AR11" s="38" t="n">
        <v>40</v>
      </c>
      <c r="AS11" s="38" t="n">
        <v>140</v>
      </c>
      <c r="AT11" s="38" t="n">
        <v>100</v>
      </c>
      <c r="AU11" s="38" t="n">
        <v>40</v>
      </c>
      <c r="AV11" s="38" t="n">
        <v>20</v>
      </c>
      <c r="AW11" s="38" t="n">
        <v>100</v>
      </c>
      <c r="AX11" s="38" t="n">
        <v>100</v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100</v>
      </c>
      <c r="BF11" s="38" t="n">
        <v>100</v>
      </c>
      <c r="BG11" s="38" t="n">
        <v>0</v>
      </c>
      <c r="BH11" s="38" t="n">
        <v>0</v>
      </c>
      <c r="BI11" s="38" t="n">
        <v>100</v>
      </c>
      <c r="BJ11" s="38" t="n">
        <v>100</v>
      </c>
      <c r="BK11" s="38" t="n">
        <v>100</v>
      </c>
      <c r="BL11" s="38" t="n">
        <v>100</v>
      </c>
      <c r="BM11" s="38" t="n">
        <v>100</v>
      </c>
      <c r="BN11" s="38" t="n">
        <v>100</v>
      </c>
      <c r="BO11" s="38" t="n">
        <v>100</v>
      </c>
      <c r="BP11" s="38" t="n">
        <v>100</v>
      </c>
      <c r="BQ11" s="38" t="n">
        <v>100</v>
      </c>
      <c r="BR11" s="38" t="n">
        <v>0</v>
      </c>
      <c r="BS11" s="38" t="n">
        <v>0</v>
      </c>
      <c r="BT11" s="38" t="n">
        <v>0</v>
      </c>
      <c r="BU11" s="38" t="n">
        <v>0</v>
      </c>
      <c r="BV11" s="38" t="n">
        <v>100</v>
      </c>
      <c r="BW11" s="38" t="n">
        <v>100</v>
      </c>
      <c r="BX11" s="38" t="n">
        <v>100</v>
      </c>
      <c r="BY11" s="38" t="n">
        <v>60</v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n"/>
      <c r="CE11" s="19" t="n">
        <v>100</v>
      </c>
      <c r="CF11" s="4" t="n"/>
      <c r="CG11" s="23" t="n"/>
      <c r="CH11" s="6" t="n"/>
      <c r="CI11" s="18" t="n">
        <v>0</v>
      </c>
      <c r="CJ11" s="18" t="n">
        <v>0</v>
      </c>
      <c r="CK11" s="18" t="n">
        <v>0</v>
      </c>
      <c r="CL11" s="18" t="n"/>
      <c r="CM11" s="18" t="n"/>
      <c r="CN11" s="18" t="n"/>
      <c r="CO11" s="256" t="n">
        <v>100</v>
      </c>
      <c r="CP11" s="18" t="n"/>
      <c r="CQ11" s="18" t="n"/>
      <c r="CR11" s="18" t="n"/>
      <c r="CS11" s="18" t="n"/>
      <c r="CT11" s="18" t="n"/>
      <c r="CU11" s="18" t="n"/>
      <c r="CV11" s="18" t="n"/>
      <c r="CW11" s="18" t="n"/>
      <c r="CX11" s="18" t="n"/>
      <c r="CY11" s="18" t="n"/>
      <c r="CZ11" s="18" t="n">
        <v>100</v>
      </c>
      <c r="DA11" s="18" t="n"/>
      <c r="DB11" s="18" t="n"/>
      <c r="DC11" s="18" t="n"/>
      <c r="DD11" s="18" t="n"/>
      <c r="DE11" s="18" t="n"/>
      <c r="DF11" s="18" t="n"/>
      <c r="DG11" s="18" t="n"/>
      <c r="DH11" s="18" t="n">
        <v>100</v>
      </c>
      <c r="DI11" s="256" t="n"/>
      <c r="DJ11" s="18" t="n"/>
      <c r="DK11" s="18" t="n"/>
      <c r="DL11" s="18" t="n"/>
      <c r="DM11" s="256" t="n">
        <v>500</v>
      </c>
      <c r="DN11" s="18" t="n"/>
      <c r="DO11" s="18" t="n"/>
      <c r="DP11" s="18" t="n">
        <v>100</v>
      </c>
      <c r="DQ11" s="256" t="n"/>
      <c r="DR11" s="18" t="n"/>
      <c r="DS11" s="18" t="n"/>
      <c r="DT11" s="18" t="n"/>
      <c r="DU11" s="18" t="n"/>
      <c r="DV11" s="18" t="n"/>
      <c r="DW11" s="18" t="n"/>
      <c r="DX11" s="18" t="n"/>
      <c r="DY11" s="18" t="n"/>
      <c r="DZ11" s="18" t="n"/>
      <c r="EA11" s="18" t="n">
        <v>100</v>
      </c>
      <c r="EB11" s="18" t="n"/>
      <c r="EC11" s="18" t="n"/>
      <c r="ED11" s="18" t="n"/>
      <c r="EE11" s="256" t="n"/>
      <c r="EF11" s="256" t="n"/>
      <c r="EG11" s="18" t="n"/>
      <c r="EH11" s="18" t="n"/>
      <c r="EI11" s="18" t="n"/>
      <c r="EJ11" s="18" t="n"/>
      <c r="EK11" s="18" t="n"/>
      <c r="EL11" s="256" t="n"/>
      <c r="EM11" s="256" t="n"/>
      <c r="EN11" s="18" t="n"/>
      <c r="EO11" s="18" t="n"/>
      <c r="EP11" s="18" t="n"/>
      <c r="EQ11" s="18" t="n"/>
      <c r="ER11" s="18" t="n"/>
      <c r="ES11" s="18" t="n"/>
      <c r="ET11" s="18" t="n"/>
      <c r="EU11" s="18" t="n"/>
      <c r="EV11" s="256" t="n"/>
      <c r="EW11" s="312" t="inlineStr">
        <is>
          <t>50 P/ TP</t>
        </is>
      </c>
      <c r="EX11" s="256" t="n"/>
      <c r="EY11" s="18" t="n"/>
      <c r="EZ11" s="256" t="n">
        <v>100</v>
      </c>
      <c r="FA11" s="18" t="n"/>
      <c r="FB11" s="256" t="n"/>
      <c r="FC11" s="256" t="n"/>
      <c r="FD11" s="18" t="n"/>
      <c r="FE11" s="18" t="n"/>
      <c r="FF11" s="18" t="n">
        <v>100</v>
      </c>
      <c r="FG11" s="18" t="n"/>
      <c r="FH11" s="18" t="n"/>
      <c r="FI11" s="256" t="n">
        <v>200</v>
      </c>
      <c r="FJ11" s="18" t="n">
        <v>100</v>
      </c>
      <c r="FK11" s="18" t="n"/>
      <c r="FL11" s="18" t="n"/>
      <c r="FM11" s="18" t="n"/>
      <c r="FN11" s="18" t="n"/>
      <c r="FO11" s="18" t="n"/>
      <c r="FP11" s="18" t="n"/>
      <c r="FQ11" s="18" t="n"/>
      <c r="FR11" s="18" t="n"/>
      <c r="FS11" s="18" t="n"/>
      <c r="FT11" s="18" t="n"/>
      <c r="FU11" s="18" t="n"/>
      <c r="FV11" s="18" t="n"/>
      <c r="FW11" s="18" t="n">
        <v>100</v>
      </c>
      <c r="FX11" s="256" t="n"/>
      <c r="FY11" s="18" t="n"/>
      <c r="FZ11" s="18" t="n"/>
      <c r="GA11" s="18" t="n"/>
      <c r="GC11" s="30" t="inlineStr">
        <is>
          <t xml:space="preserve">SACOLA G </t>
        </is>
      </c>
      <c r="GD11" s="9" t="n">
        <v>100</v>
      </c>
      <c r="GE11" s="38">
        <f>CO11</f>
        <v/>
      </c>
      <c r="GF11" s="38" t="n">
        <v>100</v>
      </c>
      <c r="GG11" s="38" t="n">
        <v>0</v>
      </c>
      <c r="GH11" s="38" t="n">
        <v>40</v>
      </c>
      <c r="GI11" s="38" t="n">
        <v>40</v>
      </c>
      <c r="GJ11" s="38" t="n">
        <v>0</v>
      </c>
      <c r="GK11" s="38" t="n"/>
      <c r="GL11" s="38" t="n"/>
      <c r="GM11" s="246">
        <f>GK11+IF(NOT(ISBLANK(OFFSET(GM11,0,6))),N(OFFSET(GM11,0,6)),N(OFFSET(GM11,0,7)))-GL11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281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11" t="n"/>
      <c r="CF12" s="4" t="n"/>
      <c r="CG12" s="62" t="n"/>
      <c r="CH12" s="6" t="n"/>
      <c r="CI12" s="24" t="n"/>
      <c r="CJ12" s="24" t="n"/>
      <c r="CK12" s="24" t="n"/>
      <c r="CL12" s="24" t="n"/>
      <c r="CM12" s="24" t="n"/>
      <c r="CN12" s="24" t="n"/>
      <c r="CO12" s="257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57" t="n"/>
      <c r="DJ12" s="24" t="n"/>
      <c r="DK12" s="24" t="n"/>
      <c r="DL12" s="24" t="n"/>
      <c r="DM12" s="257" t="n"/>
      <c r="DN12" s="24" t="n"/>
      <c r="DO12" s="24" t="n"/>
      <c r="DP12" s="24" t="n"/>
      <c r="DQ12" s="24" t="n"/>
      <c r="DR12" s="24" t="n"/>
      <c r="DS12" s="24" t="n"/>
      <c r="DT12" s="24" t="n"/>
      <c r="DU12" s="24" t="n"/>
      <c r="DV12" s="24" t="n"/>
      <c r="DW12" s="24" t="n"/>
      <c r="DX12" s="24" t="n"/>
      <c r="DY12" s="24" t="n"/>
      <c r="DZ12" s="24" t="n"/>
      <c r="EA12" s="24" t="n"/>
      <c r="EB12" s="24" t="n"/>
      <c r="EC12" s="24" t="n"/>
      <c r="ED12" s="24" t="n"/>
      <c r="EE12" s="257" t="n"/>
      <c r="EF12" s="257" t="n"/>
      <c r="EG12" s="24" t="n"/>
      <c r="EH12" s="24" t="n"/>
      <c r="EI12" s="24" t="n"/>
      <c r="EJ12" s="24" t="n"/>
      <c r="EK12" s="24" t="n"/>
      <c r="EL12" s="257" t="n"/>
      <c r="EM12" s="257" t="n"/>
      <c r="EN12" s="24" t="n"/>
      <c r="EO12" s="24" t="n"/>
      <c r="EP12" s="24" t="n"/>
      <c r="EQ12" s="24" t="n"/>
      <c r="ER12" s="24" t="n"/>
      <c r="ES12" s="24" t="n"/>
      <c r="ET12" s="24" t="n"/>
      <c r="EU12" s="24" t="n"/>
      <c r="EV12" s="271" t="n"/>
      <c r="EW12" s="24" t="n"/>
      <c r="EX12" s="271" t="n"/>
      <c r="EY12" s="24" t="n"/>
      <c r="EZ12" s="24" t="n"/>
      <c r="FA12" s="24" t="n"/>
      <c r="FB12" s="271" t="n"/>
      <c r="FC12" s="271" t="n"/>
      <c r="FD12" s="24" t="n"/>
      <c r="FE12" s="24" t="n"/>
      <c r="FF12" s="24" t="n"/>
      <c r="FG12" s="24" t="n"/>
      <c r="FH12" s="24" t="n"/>
      <c r="FI12" s="271" t="n"/>
      <c r="FJ12" s="24" t="n"/>
      <c r="FK12" s="24" t="n"/>
      <c r="FL12" s="24" t="n"/>
      <c r="FM12" s="24" t="n"/>
      <c r="FN12" s="24" t="n"/>
      <c r="FO12" s="24" t="n"/>
      <c r="FP12" s="24" t="n"/>
      <c r="FQ12" s="24" t="n"/>
      <c r="FR12" s="24" t="n"/>
      <c r="FS12" s="24" t="n"/>
      <c r="FT12" s="24" t="n"/>
      <c r="FU12" s="24" t="n"/>
      <c r="FV12" s="24" t="n"/>
      <c r="FW12" s="24" t="n"/>
      <c r="FX12" s="257" t="n"/>
      <c r="FY12" s="24" t="n"/>
      <c r="FZ12" s="24" t="n"/>
      <c r="GA12" s="24" t="n"/>
      <c r="GC12" s="31" t="n"/>
      <c r="GD12" s="2" t="n"/>
      <c r="GE12" s="4" t="n"/>
      <c r="GF12" s="4" t="n"/>
      <c r="GG12" s="4" t="n"/>
      <c r="GH12" s="4" t="n"/>
      <c r="GI12" s="4" t="n"/>
      <c r="GJ12" s="4" t="n"/>
      <c r="GK12" s="4" t="n"/>
      <c r="GL12" s="4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86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642" t="n"/>
      <c r="CD13" s="413" t="inlineStr">
        <is>
          <t>TRANSFERÊNCIA</t>
        </is>
      </c>
      <c r="CE13" s="35" t="inlineStr">
        <is>
          <t>Pendências</t>
        </is>
      </c>
      <c r="CF13" s="4" t="n"/>
      <c r="CG13" s="12" t="inlineStr">
        <is>
          <t>Novo Pedido</t>
        </is>
      </c>
      <c r="CH13" s="6" t="n"/>
      <c r="CI13" s="646" t="n">
        <v>46156</v>
      </c>
      <c r="CJ13" s="646" t="n">
        <v>46149</v>
      </c>
      <c r="CK13" s="646" t="n">
        <v>46142</v>
      </c>
      <c r="CL13" s="646" t="n">
        <v>46114</v>
      </c>
      <c r="CM13" s="646" t="n">
        <v>46107</v>
      </c>
      <c r="CN13" s="646" t="n">
        <v>46099</v>
      </c>
      <c r="CO13" s="647" t="n">
        <v>46065</v>
      </c>
      <c r="CP13" s="646" t="n">
        <v>46092</v>
      </c>
      <c r="CQ13" s="655" t="n">
        <v>46079</v>
      </c>
      <c r="CR13" s="646" t="n">
        <v>46077</v>
      </c>
      <c r="CS13" s="646" t="n">
        <v>46071</v>
      </c>
      <c r="CT13" s="646" t="n">
        <v>46056</v>
      </c>
      <c r="CU13" s="646" t="n">
        <v>46056</v>
      </c>
      <c r="CV13" s="646" t="n">
        <v>46048</v>
      </c>
      <c r="CW13" s="646" t="n">
        <v>46043</v>
      </c>
      <c r="CX13" s="646" t="n">
        <v>46035</v>
      </c>
      <c r="CY13" s="646" t="n">
        <v>46035</v>
      </c>
      <c r="CZ13" s="646" t="n">
        <v>46029</v>
      </c>
      <c r="DA13" s="646" t="n">
        <v>46017</v>
      </c>
      <c r="DB13" s="646" t="n">
        <v>46007</v>
      </c>
      <c r="DC13" s="646" t="n">
        <v>46001</v>
      </c>
      <c r="DD13" s="646" t="n">
        <v>45994</v>
      </c>
      <c r="DE13" s="646" t="n">
        <v>45980</v>
      </c>
      <c r="DF13" s="646" t="n">
        <v>45973</v>
      </c>
      <c r="DG13" s="646" t="n">
        <v>45960</v>
      </c>
      <c r="DH13" s="646" t="n">
        <v>45951</v>
      </c>
      <c r="DI13" s="687" t="n">
        <v>45952</v>
      </c>
      <c r="DJ13" s="646" t="n">
        <v>45945</v>
      </c>
      <c r="DK13" s="646" t="n">
        <v>45931</v>
      </c>
      <c r="DL13" s="646" t="n">
        <v>45937</v>
      </c>
      <c r="DM13" s="678" t="n">
        <v>45903</v>
      </c>
      <c r="DN13" s="646" t="n">
        <v>45931</v>
      </c>
      <c r="DO13" s="646" t="n">
        <v>45923</v>
      </c>
      <c r="DP13" s="646" t="n">
        <v>45915</v>
      </c>
      <c r="DQ13" s="688" t="n">
        <v>45924</v>
      </c>
      <c r="DR13" s="646" t="n">
        <v>45909</v>
      </c>
      <c r="DS13" s="655" t="n">
        <v>45920</v>
      </c>
      <c r="DT13" s="646" t="n">
        <v>45909</v>
      </c>
      <c r="DU13" s="655" t="n">
        <v>45913</v>
      </c>
      <c r="DV13" s="646" t="n">
        <v>45903</v>
      </c>
      <c r="DW13" s="646" t="n">
        <v>45903</v>
      </c>
      <c r="DX13" s="646" t="n">
        <v>45895</v>
      </c>
      <c r="DY13" s="689" t="n">
        <v>45897</v>
      </c>
      <c r="DZ13" s="646" t="n">
        <v>45888</v>
      </c>
      <c r="EA13" s="646" t="n">
        <v>45881</v>
      </c>
      <c r="EB13" s="655" t="n">
        <v>45885</v>
      </c>
      <c r="EC13" s="646" t="n">
        <v>45874</v>
      </c>
      <c r="ED13" s="646" t="n">
        <v>45867</v>
      </c>
      <c r="EE13" s="681" t="n">
        <v>45867</v>
      </c>
      <c r="EF13" s="682" t="n">
        <v>45866</v>
      </c>
      <c r="EG13" s="646" t="n">
        <v>45860</v>
      </c>
      <c r="EH13" s="646" t="n">
        <v>45853</v>
      </c>
      <c r="EI13" s="646" t="n">
        <v>45848</v>
      </c>
      <c r="EJ13" s="646" t="n">
        <v>45839</v>
      </c>
      <c r="EK13" s="646" t="n">
        <v>45832</v>
      </c>
      <c r="EL13" s="681" t="n">
        <v>45836</v>
      </c>
      <c r="EM13" s="681" t="n">
        <v>45791</v>
      </c>
      <c r="EN13" s="646" t="n">
        <v>45825</v>
      </c>
      <c r="EO13" s="655" t="n">
        <v>45825</v>
      </c>
      <c r="EP13" s="646" t="n">
        <v>45819</v>
      </c>
      <c r="EQ13" s="646" t="n">
        <v>45813</v>
      </c>
      <c r="ER13" s="655" t="n">
        <v>45820</v>
      </c>
      <c r="ES13" s="646" t="n">
        <v>45798</v>
      </c>
      <c r="ET13" s="646" t="n">
        <v>45805</v>
      </c>
      <c r="EU13" s="655" t="n">
        <v>45799</v>
      </c>
      <c r="EV13" s="655" t="n">
        <v>45798</v>
      </c>
      <c r="EW13" s="690" t="n">
        <v>45798</v>
      </c>
      <c r="EX13" s="684" t="n">
        <v>45798</v>
      </c>
      <c r="EY13" s="689" t="n">
        <v>45798</v>
      </c>
      <c r="EZ13" s="683" t="n">
        <v>45735</v>
      </c>
      <c r="FA13" s="655" t="n">
        <v>45789</v>
      </c>
      <c r="FB13" s="684" t="n">
        <v>45789</v>
      </c>
      <c r="FC13" s="684" t="n">
        <v>45782</v>
      </c>
      <c r="FD13" s="646" t="n">
        <v>45770</v>
      </c>
      <c r="FE13" s="646" t="n">
        <v>45756</v>
      </c>
      <c r="FF13" s="646" t="n">
        <v>45749</v>
      </c>
      <c r="FG13" s="646" t="n">
        <v>45743</v>
      </c>
      <c r="FH13" s="655" t="n">
        <v>45744</v>
      </c>
      <c r="FI13" s="684" t="n">
        <v>45700</v>
      </c>
      <c r="FJ13" s="646" t="n">
        <v>45728</v>
      </c>
      <c r="FK13" s="646" t="n">
        <v>45722</v>
      </c>
      <c r="FL13" s="689" t="n">
        <v>45723</v>
      </c>
      <c r="FM13" s="646" t="n">
        <v>45714</v>
      </c>
      <c r="FN13" s="646" t="n">
        <v>45706</v>
      </c>
      <c r="FO13" s="646" t="n">
        <v>45699</v>
      </c>
      <c r="FP13" s="646" t="n">
        <v>45693</v>
      </c>
      <c r="FQ13" s="655" t="n">
        <v>45700</v>
      </c>
      <c r="FR13" s="646" t="n">
        <v>45685</v>
      </c>
      <c r="FS13" s="655" t="n">
        <v>45685</v>
      </c>
      <c r="FT13" s="646" t="n">
        <v>45674</v>
      </c>
      <c r="FU13" s="646" t="n">
        <v>45664</v>
      </c>
      <c r="FV13" s="655" t="n">
        <v>45670</v>
      </c>
      <c r="FW13" s="646" t="n">
        <v>45660</v>
      </c>
      <c r="FX13" s="685" t="n">
        <v>45665</v>
      </c>
      <c r="FY13" s="655" t="n">
        <v>45661</v>
      </c>
      <c r="FZ13" s="646" t="n">
        <v>45638</v>
      </c>
      <c r="GA13" s="646" t="n">
        <v>45643</v>
      </c>
      <c r="GC13" s="267" t="inlineStr">
        <is>
          <t>DIVERSOS</t>
        </is>
      </c>
      <c r="GD13" s="205" t="inlineStr">
        <is>
          <t>PCT</t>
        </is>
      </c>
      <c r="GE13" s="650" t="n">
        <v>46118</v>
      </c>
      <c r="GF13" s="650" t="n">
        <v>46125</v>
      </c>
      <c r="GG13" s="650" t="n">
        <v>46132</v>
      </c>
      <c r="GH13" s="650" t="n">
        <v>46139</v>
      </c>
      <c r="GI13" s="650" t="n">
        <v>46146</v>
      </c>
      <c r="GJ13" s="650" t="n">
        <v>46154</v>
      </c>
      <c r="GK13" s="650" t="n">
        <v>46160</v>
      </c>
      <c r="GL13" s="650" t="n">
        <v>46160</v>
      </c>
      <c r="GM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38" t="n">
        <v>6</v>
      </c>
      <c r="G14" s="38" t="n">
        <v>6</v>
      </c>
      <c r="H14" s="38" t="n">
        <v>5</v>
      </c>
      <c r="I14" s="38">
        <f>5+FT14</f>
        <v/>
      </c>
      <c r="J14" s="38" t="n">
        <v>5</v>
      </c>
      <c r="K14" s="38" t="n">
        <v>5</v>
      </c>
      <c r="L14" s="38" t="n">
        <v>5</v>
      </c>
      <c r="M14" s="38" t="n">
        <v>5</v>
      </c>
      <c r="N14" s="38" t="n">
        <v>5</v>
      </c>
      <c r="O14" s="38" t="n">
        <v>5</v>
      </c>
      <c r="P14" s="38" t="n">
        <v>5</v>
      </c>
      <c r="Q14" s="38" t="n">
        <v>5</v>
      </c>
      <c r="R14" s="38" t="n">
        <v>5</v>
      </c>
      <c r="S14" s="38" t="n">
        <v>4</v>
      </c>
      <c r="T14" s="38">
        <f>4+FF14</f>
        <v/>
      </c>
      <c r="U14" s="38" t="n">
        <v>6</v>
      </c>
      <c r="V14" s="38" t="n">
        <v>4</v>
      </c>
      <c r="W14" s="38" t="n">
        <v>4</v>
      </c>
      <c r="X14" s="38">
        <f>4-1</f>
        <v/>
      </c>
      <c r="Y14" s="38" t="n">
        <v>2</v>
      </c>
      <c r="Z14" s="38">
        <f>1+1</f>
        <v/>
      </c>
      <c r="AA14" s="38" t="n">
        <v>1</v>
      </c>
      <c r="AB14" s="38">
        <f>0+ET14+ES14</f>
        <v/>
      </c>
      <c r="AC14" s="38" t="n">
        <v>3</v>
      </c>
      <c r="AD14" s="38" t="n">
        <v>2</v>
      </c>
      <c r="AE14" s="38">
        <f>1+EN14</f>
        <v/>
      </c>
      <c r="AF14" s="38">
        <f>2+EK14</f>
        <v/>
      </c>
      <c r="AG14" s="38">
        <f>2+EJ14</f>
        <v/>
      </c>
      <c r="AH14" s="38" t="n">
        <v>4</v>
      </c>
      <c r="AI14" s="38" t="n">
        <v>5</v>
      </c>
      <c r="AJ14" s="38" t="n">
        <v>4</v>
      </c>
      <c r="AK14" s="38" t="n">
        <v>4</v>
      </c>
      <c r="AL14" s="38" t="n">
        <v>3</v>
      </c>
      <c r="AM14" s="38" t="n">
        <v>2</v>
      </c>
      <c r="AN14" s="38" t="n">
        <v>2</v>
      </c>
      <c r="AO14" s="38" t="n">
        <v>2</v>
      </c>
      <c r="AP14" s="38" t="n">
        <v>5</v>
      </c>
      <c r="AQ14" s="38" t="n">
        <v>4</v>
      </c>
      <c r="AR14" s="38" t="n">
        <v>1</v>
      </c>
      <c r="AS14" s="38">
        <f>0+DO14</f>
        <v/>
      </c>
      <c r="AT14" s="38" t="n">
        <v>3</v>
      </c>
      <c r="AU14" s="38">
        <f>0+DL14</f>
        <v/>
      </c>
      <c r="AV14" s="38" t="n">
        <v>2</v>
      </c>
      <c r="AW14" s="38" t="n">
        <v>4</v>
      </c>
      <c r="AX14" s="38" t="n">
        <v>3</v>
      </c>
      <c r="AY14" s="38" t="n">
        <v>2</v>
      </c>
      <c r="AZ14" s="38">
        <f>1+DF14</f>
        <v/>
      </c>
      <c r="BA14" s="38">
        <f>3+DE14</f>
        <v/>
      </c>
      <c r="BB14" s="38" t="n">
        <v>3</v>
      </c>
      <c r="BC14" s="38">
        <f>3+DD14</f>
        <v/>
      </c>
      <c r="BD14" s="38" t="n">
        <v>7</v>
      </c>
      <c r="BE14" s="38" t="n">
        <v>0</v>
      </c>
      <c r="BF14" s="38" t="n">
        <v>0</v>
      </c>
      <c r="BG14" s="38" t="n">
        <v>0</v>
      </c>
      <c r="BH14" s="38" t="n">
        <v>8</v>
      </c>
      <c r="BI14" s="38">
        <f>11+CY14</f>
        <v/>
      </c>
      <c r="BJ14" s="38" t="n">
        <v>14</v>
      </c>
      <c r="BK14" s="38" t="n">
        <v>11</v>
      </c>
      <c r="BL14" s="38" t="n">
        <v>15</v>
      </c>
      <c r="BM14" s="38" t="n">
        <v>14</v>
      </c>
      <c r="BN14" s="38" t="n">
        <v>11</v>
      </c>
      <c r="BO14" s="38">
        <f>10+CR14</f>
        <v/>
      </c>
      <c r="BP14" s="38" t="n">
        <v>11</v>
      </c>
      <c r="BQ14" s="38" t="n">
        <v>9</v>
      </c>
      <c r="BR14" s="38" t="n">
        <v>7</v>
      </c>
      <c r="BS14" s="38">
        <f>3+CM14</f>
        <v/>
      </c>
      <c r="BT14" s="38" t="n">
        <v>6</v>
      </c>
      <c r="BU14" s="38" t="n">
        <v>14</v>
      </c>
      <c r="BV14" s="38" t="n">
        <v>14</v>
      </c>
      <c r="BW14" s="38" t="n">
        <v>14</v>
      </c>
      <c r="BX14" s="38">
        <f>14+CK14</f>
        <v/>
      </c>
      <c r="BY14" s="38" t="n">
        <v>15</v>
      </c>
      <c r="BZ14" s="38" t="n"/>
      <c r="CA14" s="38" t="n"/>
      <c r="CB14" s="154">
        <f>BZ14+IF(NOT(ISBLANK(OFFSET(CB14,0,6))),N(OFFSET(CB14,0,6)),N(OFFSET(CB14,0,7)))-CA14</f>
        <v/>
      </c>
      <c r="CC14" s="642" t="n"/>
      <c r="CD14" s="19" t="n"/>
      <c r="CE14" s="19" t="n"/>
      <c r="CF14" s="4" t="n"/>
      <c r="CG14" s="23" t="n"/>
      <c r="CH14" s="6" t="n"/>
      <c r="CI14" s="18" t="n">
        <v>0</v>
      </c>
      <c r="CJ14" s="18" t="n">
        <v>0</v>
      </c>
      <c r="CK14" s="18" t="n">
        <v>3</v>
      </c>
      <c r="CL14" s="18" t="n">
        <v>8</v>
      </c>
      <c r="CM14" s="18" t="n">
        <v>3</v>
      </c>
      <c r="CN14" s="18" t="n"/>
      <c r="CO14" s="256" t="n">
        <v>20</v>
      </c>
      <c r="CP14" s="18" t="n"/>
      <c r="CQ14" s="18" t="n"/>
      <c r="CR14" s="18" t="n">
        <v>3</v>
      </c>
      <c r="CS14" s="18" t="n"/>
      <c r="CT14" s="18" t="n"/>
      <c r="CU14" s="18" t="n">
        <v>5</v>
      </c>
      <c r="CV14" s="18" t="n"/>
      <c r="CW14" s="18" t="n"/>
      <c r="CX14" s="18" t="n"/>
      <c r="CY14" s="18" t="n">
        <v>4</v>
      </c>
      <c r="CZ14" s="18" t="n">
        <v>5</v>
      </c>
      <c r="DA14" s="18" t="n">
        <v>10</v>
      </c>
      <c r="DB14" s="18" t="n"/>
      <c r="DC14" s="18" t="n"/>
      <c r="DD14" s="18" t="n">
        <v>4</v>
      </c>
      <c r="DE14" s="18" t="n">
        <v>4</v>
      </c>
      <c r="DF14" s="18" t="n">
        <v>2</v>
      </c>
      <c r="DG14" s="18" t="n"/>
      <c r="DH14" s="18" t="n">
        <v>2</v>
      </c>
      <c r="DI14" s="256" t="n"/>
      <c r="DJ14" s="18" t="n"/>
      <c r="DK14" s="18" t="n"/>
      <c r="DL14" s="18" t="n">
        <v>1</v>
      </c>
      <c r="DM14" s="256" t="n">
        <v>20</v>
      </c>
      <c r="DN14" s="18" t="n">
        <v>1</v>
      </c>
      <c r="DO14" s="18" t="n">
        <v>3</v>
      </c>
      <c r="DP14" s="18" t="n"/>
      <c r="DQ14" s="256" t="n"/>
      <c r="DR14" s="18" t="n"/>
      <c r="DS14" s="18" t="n"/>
      <c r="DT14" s="18" t="n"/>
      <c r="DU14" s="18" t="n"/>
      <c r="DV14" s="18" t="n"/>
      <c r="DW14" s="18" t="n"/>
      <c r="DX14" s="18" t="n">
        <v>4</v>
      </c>
      <c r="DY14" s="18" t="n"/>
      <c r="DZ14" s="18" t="n">
        <v>1</v>
      </c>
      <c r="EA14" s="18" t="n">
        <v>1</v>
      </c>
      <c r="EB14" s="18" t="n"/>
      <c r="EC14" s="18" t="n"/>
      <c r="ED14" s="18" t="n"/>
      <c r="EE14" s="256" t="n"/>
      <c r="EF14" s="256" t="n"/>
      <c r="EG14" s="18" t="n"/>
      <c r="EH14" s="18" t="n"/>
      <c r="EI14" s="18" t="n">
        <v>2</v>
      </c>
      <c r="EJ14" s="18" t="n">
        <v>2</v>
      </c>
      <c r="EK14" s="18" t="n">
        <v>1</v>
      </c>
      <c r="EL14" s="256" t="n"/>
      <c r="EM14" s="256" t="n">
        <v>5</v>
      </c>
      <c r="EN14" s="18" t="n">
        <v>3</v>
      </c>
      <c r="EO14" s="18" t="n"/>
      <c r="EP14" s="18" t="n"/>
      <c r="EQ14" s="18" t="n">
        <v>1</v>
      </c>
      <c r="ER14" s="18" t="n"/>
      <c r="ES14" s="18" t="n">
        <v>1</v>
      </c>
      <c r="ET14" s="18" t="n">
        <v>3</v>
      </c>
      <c r="EU14" s="18" t="n"/>
      <c r="EV14" s="241" t="inlineStr">
        <is>
          <t>01 DE PL</t>
        </is>
      </c>
      <c r="EW14" s="256" t="n"/>
      <c r="EX14" s="256" t="n"/>
      <c r="EY14" s="18" t="n"/>
      <c r="EZ14" s="256" t="n">
        <v>1</v>
      </c>
      <c r="FA14" s="241" t="inlineStr">
        <is>
          <t>01 P/ PL</t>
        </is>
      </c>
      <c r="FB14" s="256" t="n"/>
      <c r="FC14" s="256" t="n"/>
      <c r="FD14" s="18" t="n"/>
      <c r="FE14" s="18" t="n"/>
      <c r="FF14" s="18" t="n">
        <v>2</v>
      </c>
      <c r="FG14" s="18" t="n">
        <v>1</v>
      </c>
      <c r="FH14" s="18" t="n"/>
      <c r="FI14" s="256" t="n">
        <v>10</v>
      </c>
      <c r="FJ14" s="18" t="n"/>
      <c r="FK14" s="18" t="n"/>
      <c r="FL14" s="18" t="n"/>
      <c r="FM14" s="18" t="n"/>
      <c r="FN14" s="18" t="n"/>
      <c r="FO14" s="18" t="n"/>
      <c r="FP14" s="18" t="n"/>
      <c r="FQ14" s="18" t="n"/>
      <c r="FR14" s="18" t="n"/>
      <c r="FS14" s="18" t="n"/>
      <c r="FT14" s="18" t="n">
        <v>1</v>
      </c>
      <c r="FU14" s="18" t="n"/>
      <c r="FV14" s="18" t="n"/>
      <c r="FW14" s="18" t="n"/>
      <c r="FX14" s="256" t="n"/>
      <c r="FY14" s="18" t="n"/>
      <c r="FZ14" s="18" t="n"/>
      <c r="GA14" s="18" t="n">
        <v>1</v>
      </c>
      <c r="GC14" s="159" t="inlineStr">
        <is>
          <t>PAPEL DE SEDA</t>
        </is>
      </c>
      <c r="GD14" s="129" t="n">
        <v>200</v>
      </c>
      <c r="GE14" s="38">
        <f>CO14</f>
        <v/>
      </c>
      <c r="GF14" s="38" t="n">
        <v>20</v>
      </c>
      <c r="GG14" s="38" t="n">
        <v>17</v>
      </c>
      <c r="GH14" s="38" t="n">
        <v>15</v>
      </c>
      <c r="GI14" s="38" t="n">
        <v>14</v>
      </c>
      <c r="GJ14" s="38" t="n">
        <v>8</v>
      </c>
      <c r="GK14" s="38" t="n"/>
      <c r="GL14" s="38" t="n"/>
      <c r="GM14" s="246">
        <f>GK14+IF(NOT(ISBLANK(OFFSET(GM14,0,6))),N(OFFSET(GM14,0,6)),N(OFFSET(GM14,0,7)))-GL14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38" t="n">
        <v>0</v>
      </c>
      <c r="G15" s="38">
        <f>0+FW15</f>
        <v/>
      </c>
      <c r="H15" s="38" t="n">
        <v>3</v>
      </c>
      <c r="I15" s="38" t="n">
        <v>3</v>
      </c>
      <c r="J15" s="38" t="n">
        <v>3</v>
      </c>
      <c r="K15" s="38" t="n">
        <v>3</v>
      </c>
      <c r="L15" s="38" t="n">
        <v>3</v>
      </c>
      <c r="M15" s="38" t="n">
        <v>3</v>
      </c>
      <c r="N15" s="38" t="n">
        <v>3</v>
      </c>
      <c r="O15" s="38" t="n">
        <v>3</v>
      </c>
      <c r="P15" s="38" t="n">
        <v>2</v>
      </c>
      <c r="Q15" s="38">
        <f>2+FJ15</f>
        <v/>
      </c>
      <c r="R15" s="38" t="n">
        <v>4</v>
      </c>
      <c r="S15" s="38" t="n">
        <v>4</v>
      </c>
      <c r="T15" s="38" t="n">
        <v>4</v>
      </c>
      <c r="U15" s="38" t="n">
        <v>4</v>
      </c>
      <c r="V15" s="38" t="n">
        <v>4</v>
      </c>
      <c r="W15" s="38" t="n">
        <v>3</v>
      </c>
      <c r="X15" s="38" t="n">
        <v>3</v>
      </c>
      <c r="Y15" s="38" t="n">
        <v>3</v>
      </c>
      <c r="Z15" s="38" t="n">
        <v>3</v>
      </c>
      <c r="AA15" s="38" t="n">
        <v>3</v>
      </c>
      <c r="AB15" s="38" t="n">
        <v>3</v>
      </c>
      <c r="AC15" s="38" t="n">
        <v>3</v>
      </c>
      <c r="AD15" s="38" t="n">
        <v>2</v>
      </c>
      <c r="AE15" s="38" t="n">
        <v>2</v>
      </c>
      <c r="AF15" s="38" t="n">
        <v>2</v>
      </c>
      <c r="AG15" s="38" t="n">
        <v>2</v>
      </c>
      <c r="AH15" s="38" t="n">
        <v>2</v>
      </c>
      <c r="AI15" s="38" t="n">
        <v>2</v>
      </c>
      <c r="AJ15" s="38" t="n">
        <v>2</v>
      </c>
      <c r="AK15" s="38" t="n">
        <v>1</v>
      </c>
      <c r="AL15" s="38" t="n">
        <v>1</v>
      </c>
      <c r="AM15" s="38" t="n">
        <v>2</v>
      </c>
      <c r="AN15" s="38" t="n">
        <v>2</v>
      </c>
      <c r="AO15" s="38" t="n">
        <v>2</v>
      </c>
      <c r="AP15" s="38" t="n">
        <v>2</v>
      </c>
      <c r="AQ15" s="38" t="n">
        <v>2</v>
      </c>
      <c r="AR15" s="38" t="n">
        <v>2</v>
      </c>
      <c r="AS15" s="38" t="n">
        <v>1</v>
      </c>
      <c r="AT15" s="38" t="n">
        <v>2</v>
      </c>
      <c r="AU15" s="38" t="n">
        <v>2</v>
      </c>
      <c r="AV15" s="38" t="n">
        <v>2</v>
      </c>
      <c r="AW15" s="38" t="n">
        <v>2</v>
      </c>
      <c r="AX15" s="38" t="n">
        <v>2</v>
      </c>
      <c r="AY15" s="38" t="n">
        <v>2</v>
      </c>
      <c r="AZ15" s="38" t="n">
        <v>1</v>
      </c>
      <c r="BA15" s="38">
        <f>1+DE15</f>
        <v/>
      </c>
      <c r="BB15" s="38" t="n">
        <v>4</v>
      </c>
      <c r="BC15" s="38" t="n">
        <v>3</v>
      </c>
      <c r="BD15" s="38">
        <f>3+DC15</f>
        <v/>
      </c>
      <c r="BE15" s="38" t="n">
        <v>2</v>
      </c>
      <c r="BF15" s="38" t="n">
        <v>2</v>
      </c>
      <c r="BG15" s="38" t="n">
        <v>1</v>
      </c>
      <c r="BH15" s="38" t="n">
        <v>4</v>
      </c>
      <c r="BI15" s="38" t="n">
        <v>6</v>
      </c>
      <c r="BJ15" s="38" t="n">
        <v>6</v>
      </c>
      <c r="BK15" s="38" t="n">
        <v>5</v>
      </c>
      <c r="BL15" s="38" t="n">
        <v>5</v>
      </c>
      <c r="BM15" s="38" t="n">
        <v>5</v>
      </c>
      <c r="BN15" s="38" t="n">
        <v>5</v>
      </c>
      <c r="BO15" s="38" t="n">
        <v>5</v>
      </c>
      <c r="BP15" s="38" t="n">
        <v>4</v>
      </c>
      <c r="BQ15" s="38" t="n">
        <v>2</v>
      </c>
      <c r="BR15" s="38" t="n">
        <v>2</v>
      </c>
      <c r="BS15" s="38" t="n">
        <v>2</v>
      </c>
      <c r="BT15" s="38" t="n">
        <v>2</v>
      </c>
      <c r="BU15" s="38" t="n">
        <v>2</v>
      </c>
      <c r="BV15" s="38" t="n">
        <v>2</v>
      </c>
      <c r="BW15" s="38" t="n">
        <v>2</v>
      </c>
      <c r="BX15" s="38" t="n">
        <v>2</v>
      </c>
      <c r="BY15" s="38" t="n">
        <v>1</v>
      </c>
      <c r="BZ15" s="38" t="n"/>
      <c r="CA15" s="38" t="n"/>
      <c r="CB15" s="154">
        <f>BZ15+IF(NOT(ISBLANK(OFFSET(CB15,0,6))),N(OFFSET(CB15,0,6)),N(OFFSET(CB15,0,7)))-CA15</f>
        <v/>
      </c>
      <c r="CC15" s="642" t="n"/>
      <c r="CD15" s="19" t="n"/>
      <c r="CE15" s="19" t="n">
        <v>4</v>
      </c>
      <c r="CF15" s="4" t="n"/>
      <c r="CG15" s="23" t="n"/>
      <c r="CH15" s="6" t="n"/>
      <c r="CI15" s="18" t="n">
        <v>0</v>
      </c>
      <c r="CJ15" s="18" t="n">
        <v>0</v>
      </c>
      <c r="CK15" s="18" t="n">
        <v>0</v>
      </c>
      <c r="CL15" s="18" t="n"/>
      <c r="CM15" s="18" t="n"/>
      <c r="CN15" s="18" t="n"/>
      <c r="CO15" s="256" t="n">
        <v>5</v>
      </c>
      <c r="CP15" s="18" t="n"/>
      <c r="CQ15" s="18" t="n"/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>
        <v>2</v>
      </c>
      <c r="DA15" s="18" t="n">
        <v>3</v>
      </c>
      <c r="DB15" s="18" t="n"/>
      <c r="DC15" s="18" t="n">
        <v>1</v>
      </c>
      <c r="DD15" s="18" t="n"/>
      <c r="DE15" s="18" t="n">
        <v>3</v>
      </c>
      <c r="DF15" s="18" t="n"/>
      <c r="DG15" s="18" t="n"/>
      <c r="DH15" s="18" t="n"/>
      <c r="DI15" s="256" t="n"/>
      <c r="DJ15" s="18" t="n"/>
      <c r="DK15" s="18" t="n"/>
      <c r="DL15" s="18" t="n"/>
      <c r="DM15" s="256" t="n">
        <v>12</v>
      </c>
      <c r="DN15" s="18" t="n">
        <v>1</v>
      </c>
      <c r="DO15" s="18" t="n"/>
      <c r="DP15" s="18" t="n"/>
      <c r="DQ15" s="256" t="n"/>
      <c r="DR15" s="18" t="n"/>
      <c r="DS15" s="18" t="n"/>
      <c r="DT15" s="18" t="n"/>
      <c r="DU15" s="18" t="n"/>
      <c r="DV15" s="18" t="n"/>
      <c r="DW15" s="18" t="n"/>
      <c r="DX15" s="18" t="n"/>
      <c r="DY15" s="18" t="n"/>
      <c r="DZ15" s="18" t="n"/>
      <c r="EA15" s="18" t="n"/>
      <c r="EB15" s="18" t="n"/>
      <c r="EC15" s="18" t="n">
        <v>1</v>
      </c>
      <c r="ED15" s="18" t="n"/>
      <c r="EE15" s="256" t="n"/>
      <c r="EF15" s="256" t="n"/>
      <c r="EG15" s="18" t="n"/>
      <c r="EH15" s="18" t="n"/>
      <c r="EI15" s="18" t="n"/>
      <c r="EJ15" s="18" t="n"/>
      <c r="EK15" s="18" t="n"/>
      <c r="EL15" s="256" t="n"/>
      <c r="EM15" s="256" t="n"/>
      <c r="EN15" s="18" t="n"/>
      <c r="EO15" s="18" t="n"/>
      <c r="EP15" s="18" t="n"/>
      <c r="EQ15" s="18" t="n"/>
      <c r="ER15" s="18" t="n"/>
      <c r="ES15" s="18" t="n"/>
      <c r="ET15" s="18" t="n"/>
      <c r="EU15" s="18" t="n"/>
      <c r="EV15" s="256" t="n"/>
      <c r="EW15" s="256" t="n"/>
      <c r="EX15" s="256" t="n"/>
      <c r="EY15" s="18" t="n"/>
      <c r="EZ15" s="256" t="n">
        <v>2</v>
      </c>
      <c r="FA15" s="18" t="n"/>
      <c r="FB15" s="256" t="n"/>
      <c r="FC15" s="256" t="n"/>
      <c r="FD15" s="18" t="n"/>
      <c r="FE15" s="18" t="n"/>
      <c r="FF15" s="18" t="n"/>
      <c r="FG15" s="18" t="n"/>
      <c r="FH15" s="18" t="n"/>
      <c r="FI15" s="256" t="n">
        <v>1</v>
      </c>
      <c r="FJ15" s="18" t="n">
        <v>2</v>
      </c>
      <c r="FK15" s="18" t="n"/>
      <c r="FL15" s="18" t="n"/>
      <c r="FM15" s="18" t="n"/>
      <c r="FN15" s="18" t="n"/>
      <c r="FO15" s="18" t="n"/>
      <c r="FP15" s="18" t="n"/>
      <c r="FQ15" s="18" t="n"/>
      <c r="FR15" s="18" t="n"/>
      <c r="FS15" s="18" t="n"/>
      <c r="FT15" s="18" t="n"/>
      <c r="FU15" s="18" t="n"/>
      <c r="FV15" s="18" t="n"/>
      <c r="FW15" s="18" t="n">
        <v>3</v>
      </c>
      <c r="FX15" s="256" t="n"/>
      <c r="FY15" s="18" t="n"/>
      <c r="FZ15" s="18" t="n"/>
      <c r="GA15" s="18" t="n"/>
      <c r="GC15" s="29" t="inlineStr">
        <is>
          <t>ADESIVOS</t>
        </is>
      </c>
      <c r="GD15" s="9" t="n">
        <v>200</v>
      </c>
      <c r="GE15" s="38">
        <f>CO15</f>
        <v/>
      </c>
      <c r="GF15" s="38" t="n">
        <v>5</v>
      </c>
      <c r="GG15" s="38" t="n">
        <v>4</v>
      </c>
      <c r="GH15" s="38" t="n">
        <v>3</v>
      </c>
      <c r="GI15" s="38" t="n">
        <v>3</v>
      </c>
      <c r="GJ15" s="38" t="n">
        <v>0</v>
      </c>
      <c r="GK15" s="38" t="n"/>
      <c r="GL15" s="38" t="n"/>
      <c r="GM15" s="246">
        <f>GK15+IF(NOT(ISBLANK(OFFSET(GM15,0,6))),N(OFFSET(GM15,0,6)),N(OFFSET(GM15,0,7)))-GL15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5</v>
      </c>
      <c r="E16" s="2" t="n"/>
      <c r="F16" s="38" t="n">
        <v>3</v>
      </c>
      <c r="G16" s="38" t="n">
        <v>3</v>
      </c>
      <c r="H16" s="38">
        <f>3+FU16</f>
        <v/>
      </c>
      <c r="I16" s="38" t="n">
        <v>3</v>
      </c>
      <c r="J16" s="38" t="n">
        <v>2</v>
      </c>
      <c r="K16" s="38">
        <f>2+FR16</f>
        <v/>
      </c>
      <c r="L16" s="38" t="n">
        <v>3</v>
      </c>
      <c r="M16" s="38" t="n">
        <v>2</v>
      </c>
      <c r="N16" s="38" t="n">
        <v>1</v>
      </c>
      <c r="O16" s="38">
        <f>1+FM16</f>
        <v/>
      </c>
      <c r="P16" s="38" t="n">
        <v>5</v>
      </c>
      <c r="Q16" s="38">
        <f>5+FJ16</f>
        <v/>
      </c>
      <c r="R16" s="38" t="n">
        <v>6</v>
      </c>
      <c r="S16" s="38" t="n">
        <v>5</v>
      </c>
      <c r="T16" s="38" t="n">
        <v>4</v>
      </c>
      <c r="U16" s="38" t="n">
        <v>4</v>
      </c>
      <c r="V16" s="38" t="n">
        <v>2</v>
      </c>
      <c r="W16" s="38" t="n">
        <v>2</v>
      </c>
      <c r="X16" s="38" t="n">
        <v>5</v>
      </c>
      <c r="Y16" s="38" t="n">
        <v>4</v>
      </c>
      <c r="Z16" s="38" t="n">
        <v>3</v>
      </c>
      <c r="AA16" s="38" t="n">
        <v>2</v>
      </c>
      <c r="AB16" s="38">
        <f>1+ET16</f>
        <v/>
      </c>
      <c r="AC16" s="38" t="n">
        <v>2</v>
      </c>
      <c r="AD16" s="38" t="n">
        <v>7</v>
      </c>
      <c r="AE16" s="38" t="n">
        <v>6</v>
      </c>
      <c r="AF16" s="38" t="n">
        <v>5</v>
      </c>
      <c r="AG16" s="38">
        <f>4+EJ16</f>
        <v/>
      </c>
      <c r="AH16" s="38" t="n">
        <v>4</v>
      </c>
      <c r="AI16" s="38" t="n">
        <v>4</v>
      </c>
      <c r="AJ16" s="38" t="n">
        <v>4</v>
      </c>
      <c r="AK16" s="38" t="n">
        <v>4</v>
      </c>
      <c r="AL16" s="38" t="n">
        <v>2</v>
      </c>
      <c r="AM16" s="38" t="n">
        <v>3</v>
      </c>
      <c r="AN16" s="38" t="n">
        <v>5</v>
      </c>
      <c r="AO16" s="38" t="n">
        <v>3</v>
      </c>
      <c r="AP16" s="38" t="n">
        <v>2</v>
      </c>
      <c r="AQ16" s="38" t="n">
        <v>0</v>
      </c>
      <c r="AR16" s="38" t="n">
        <v>0</v>
      </c>
      <c r="AS16" s="38" t="n">
        <v>1</v>
      </c>
      <c r="AT16" s="38" t="n">
        <v>3</v>
      </c>
      <c r="AU16" s="38">
        <f>1+DL16</f>
        <v/>
      </c>
      <c r="AV16" s="38" t="n">
        <v>3</v>
      </c>
      <c r="AW16" s="38" t="n">
        <v>2</v>
      </c>
      <c r="AX16" s="38" t="n">
        <v>2</v>
      </c>
      <c r="AY16" s="38" t="n">
        <v>2</v>
      </c>
      <c r="AZ16" s="38">
        <f>0+DF16</f>
        <v/>
      </c>
      <c r="BA16" s="38">
        <f>0+DE16</f>
        <v/>
      </c>
      <c r="BB16" s="38" t="n">
        <v>4</v>
      </c>
      <c r="BC16" s="38">
        <f>3+DD16</f>
        <v/>
      </c>
      <c r="BD16" s="38">
        <f>4+DC16</f>
        <v/>
      </c>
      <c r="BE16" s="38" t="n">
        <v>3</v>
      </c>
      <c r="BF16" s="38" t="n">
        <v>3</v>
      </c>
      <c r="BG16" s="38" t="n">
        <v>1</v>
      </c>
      <c r="BH16" s="38" t="n">
        <v>6</v>
      </c>
      <c r="BI16" s="38" t="n">
        <v>8</v>
      </c>
      <c r="BJ16" s="38" t="n">
        <v>7</v>
      </c>
      <c r="BK16" s="38" t="n">
        <v>7</v>
      </c>
      <c r="BL16" s="38" t="n">
        <v>7</v>
      </c>
      <c r="BM16" s="38" t="n">
        <v>7</v>
      </c>
      <c r="BN16" s="38" t="n">
        <v>6</v>
      </c>
      <c r="BO16" s="38" t="n">
        <v>5</v>
      </c>
      <c r="BP16" s="38" t="n">
        <v>4</v>
      </c>
      <c r="BQ16" s="38">
        <f>3+CP16</f>
        <v/>
      </c>
      <c r="BR16" s="38" t="n">
        <v>2</v>
      </c>
      <c r="BS16" s="38">
        <f>1+CM16</f>
        <v/>
      </c>
      <c r="BT16" s="38" t="n">
        <v>3</v>
      </c>
      <c r="BU16" s="38" t="n">
        <v>6</v>
      </c>
      <c r="BV16" s="38" t="n">
        <v>5</v>
      </c>
      <c r="BW16" s="38" t="n">
        <v>3</v>
      </c>
      <c r="BX16" s="38">
        <f>3+CK16</f>
        <v/>
      </c>
      <c r="BY16" s="38" t="n">
        <v>3</v>
      </c>
      <c r="BZ16" s="38" t="n"/>
      <c r="CA16" s="38" t="n"/>
      <c r="CB16" s="154">
        <f>BZ16+IF(NOT(ISBLANK(OFFSET(CB16,0,6))),N(OFFSET(CB16,0,6)),N(OFFSET(CB16,0,7)))-CA16</f>
        <v/>
      </c>
      <c r="CC16" s="2" t="n"/>
      <c r="CD16" s="19" t="n"/>
      <c r="CE16" s="19" t="n">
        <v>3</v>
      </c>
      <c r="CF16" s="4" t="n"/>
      <c r="CG16" s="23" t="n"/>
      <c r="CH16" s="6" t="n"/>
      <c r="CI16" s="18" t="n">
        <v>0</v>
      </c>
      <c r="CJ16" s="18" t="n">
        <v>0</v>
      </c>
      <c r="CK16" s="18" t="n">
        <v>2</v>
      </c>
      <c r="CL16" s="18" t="n">
        <v>3</v>
      </c>
      <c r="CM16" s="18" t="n">
        <v>2</v>
      </c>
      <c r="CN16" s="18" t="n"/>
      <c r="CO16" s="356" t="n"/>
      <c r="CP16" s="18" t="n">
        <v>1</v>
      </c>
      <c r="CQ16" s="18" t="n"/>
      <c r="CR16" s="18" t="n"/>
      <c r="CS16" s="18" t="n"/>
      <c r="CT16" s="18" t="n"/>
      <c r="CU16" s="18" t="n">
        <v>1</v>
      </c>
      <c r="CV16" s="18" t="n">
        <v>1</v>
      </c>
      <c r="CW16" s="18" t="n"/>
      <c r="CX16" s="18" t="n"/>
      <c r="CY16" s="18" t="n"/>
      <c r="CZ16" s="18" t="n">
        <v>2</v>
      </c>
      <c r="DA16" s="18" t="n">
        <v>5</v>
      </c>
      <c r="DB16" s="18" t="n"/>
      <c r="DC16" s="18" t="n">
        <v>2</v>
      </c>
      <c r="DD16" s="18" t="n">
        <v>1</v>
      </c>
      <c r="DE16" s="18" t="n">
        <v>5</v>
      </c>
      <c r="DF16" s="18" t="n">
        <v>1</v>
      </c>
      <c r="DG16" s="18" t="n">
        <v>2</v>
      </c>
      <c r="DH16" s="18" t="n"/>
      <c r="DI16" s="256" t="n"/>
      <c r="DJ16" s="18" t="n"/>
      <c r="DK16" s="18" t="n"/>
      <c r="DL16" s="18" t="n">
        <v>2</v>
      </c>
      <c r="DM16" s="256" t="n"/>
      <c r="DN16" s="18" t="n">
        <v>3</v>
      </c>
      <c r="DO16" s="18" t="n"/>
      <c r="DP16" s="18" t="n">
        <v>2</v>
      </c>
      <c r="DQ16" s="256" t="n"/>
      <c r="DR16" s="18" t="n"/>
      <c r="DS16" s="18" t="n"/>
      <c r="DT16" s="18" t="n"/>
      <c r="DU16" s="18" t="n"/>
      <c r="DV16" s="18" t="n"/>
      <c r="DW16" s="18" t="n"/>
      <c r="DX16" s="18" t="n"/>
      <c r="DY16" s="18" t="n"/>
      <c r="DZ16" s="18" t="n">
        <v>2</v>
      </c>
      <c r="EA16" s="18" t="n">
        <v>1</v>
      </c>
      <c r="EB16" s="18" t="n"/>
      <c r="EC16" s="18" t="n">
        <v>2</v>
      </c>
      <c r="ED16" s="18" t="n"/>
      <c r="EE16" s="256" t="n"/>
      <c r="EF16" s="256" t="n"/>
      <c r="EG16" s="18" t="n">
        <v>2</v>
      </c>
      <c r="EH16" s="18" t="n"/>
      <c r="EI16" s="18" t="n"/>
      <c r="EJ16" s="18" t="n">
        <v>1</v>
      </c>
      <c r="EK16" s="18" t="n"/>
      <c r="EL16" s="256" t="n"/>
      <c r="EM16" s="256" t="n"/>
      <c r="EN16" s="18" t="n"/>
      <c r="EO16" s="18" t="n"/>
      <c r="EP16" s="18" t="n"/>
      <c r="EQ16" s="18" t="n">
        <v>6</v>
      </c>
      <c r="ER16" s="18" t="n"/>
      <c r="ES16" s="18" t="n"/>
      <c r="ET16" s="18" t="n">
        <v>1</v>
      </c>
      <c r="EU16" s="18" t="n"/>
      <c r="EV16" s="256" t="n"/>
      <c r="EW16" s="256" t="n"/>
      <c r="EX16" s="256" t="n"/>
      <c r="EY16" s="18" t="n"/>
      <c r="EZ16" s="256" t="n"/>
      <c r="FA16" s="18" t="n"/>
      <c r="FB16" s="256" t="n"/>
      <c r="FC16" s="256" t="n"/>
      <c r="FD16" s="18" t="n">
        <v>4</v>
      </c>
      <c r="FE16" s="18" t="n"/>
      <c r="FF16" s="18" t="n"/>
      <c r="FG16" s="18" t="n"/>
      <c r="FH16" s="18" t="n"/>
      <c r="FI16" s="256" t="n">
        <v>2</v>
      </c>
      <c r="FJ16" s="18" t="n">
        <v>2</v>
      </c>
      <c r="FK16" s="18" t="n"/>
      <c r="FL16" s="18" t="n"/>
      <c r="FM16" s="18" t="n">
        <v>5</v>
      </c>
      <c r="FN16" s="18" t="n"/>
      <c r="FO16" s="18" t="n">
        <v>1</v>
      </c>
      <c r="FP16" s="18" t="n"/>
      <c r="FQ16" s="18" t="n"/>
      <c r="FR16" s="18" t="n">
        <v>2</v>
      </c>
      <c r="FS16" s="18" t="n"/>
      <c r="FT16" s="18" t="n"/>
      <c r="FU16" s="18" t="n">
        <v>1</v>
      </c>
      <c r="FV16" s="18" t="n"/>
      <c r="FW16" s="18" t="n"/>
      <c r="FX16" s="256" t="n"/>
      <c r="FY16" s="18" t="n"/>
      <c r="FZ16" s="18" t="n"/>
      <c r="GA16" s="18" t="n">
        <v>3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38" t="n">
        <v>4</v>
      </c>
      <c r="G17" s="38">
        <f>3+FW17</f>
        <v/>
      </c>
      <c r="H17" s="38" t="n">
        <v>6</v>
      </c>
      <c r="I17" s="38" t="n">
        <v>5</v>
      </c>
      <c r="J17" s="38" t="n">
        <v>5</v>
      </c>
      <c r="K17" s="38" t="n">
        <v>4</v>
      </c>
      <c r="L17" s="38" t="n">
        <v>3</v>
      </c>
      <c r="M17" s="38" t="n">
        <v>3</v>
      </c>
      <c r="N17" s="38" t="n">
        <v>4</v>
      </c>
      <c r="O17" s="38" t="n">
        <v>3</v>
      </c>
      <c r="P17" s="38">
        <f>3+FK17</f>
        <v/>
      </c>
      <c r="Q17" s="38" t="n">
        <v>5</v>
      </c>
      <c r="R17" s="38" t="n">
        <v>4</v>
      </c>
      <c r="S17" s="38" t="n">
        <v>3</v>
      </c>
      <c r="T17" s="38">
        <f>3+FF17</f>
        <v/>
      </c>
      <c r="U17" s="38" t="n">
        <v>4</v>
      </c>
      <c r="V17" s="38" t="n">
        <v>2</v>
      </c>
      <c r="W17" s="38" t="n">
        <v>2</v>
      </c>
      <c r="X17" s="38" t="n">
        <v>4</v>
      </c>
      <c r="Y17" s="38" t="n">
        <v>2</v>
      </c>
      <c r="Z17" s="38">
        <f>2+1</f>
        <v/>
      </c>
      <c r="AA17" s="38" t="n">
        <v>2</v>
      </c>
      <c r="AB17" s="38">
        <f>1+ET17</f>
        <v/>
      </c>
      <c r="AC17" s="38" t="n">
        <v>2</v>
      </c>
      <c r="AD17" s="38" t="n">
        <v>1</v>
      </c>
      <c r="AE17" s="38">
        <f>1+EN17</f>
        <v/>
      </c>
      <c r="AF17" s="38" t="n">
        <v>3</v>
      </c>
      <c r="AG17" s="38" t="n">
        <v>2</v>
      </c>
      <c r="AH17" s="38" t="n">
        <v>1</v>
      </c>
      <c r="AI17" s="38">
        <f>3+EH17</f>
        <v/>
      </c>
      <c r="AJ17" s="38" t="n">
        <v>4</v>
      </c>
      <c r="AK17" s="38" t="n">
        <v>3</v>
      </c>
      <c r="AL17" s="38" t="n">
        <v>3</v>
      </c>
      <c r="AM17" s="38" t="n">
        <v>2</v>
      </c>
      <c r="AN17" s="38" t="n">
        <v>2</v>
      </c>
      <c r="AO17" s="38" t="n">
        <v>2</v>
      </c>
      <c r="AP17" s="38" t="n">
        <v>2</v>
      </c>
      <c r="AQ17" s="38">
        <f>1-1</f>
        <v/>
      </c>
      <c r="AR17" s="38" t="n">
        <v>0</v>
      </c>
      <c r="AS17" s="38">
        <f>1+DO17</f>
        <v/>
      </c>
      <c r="AT17" s="38" t="n">
        <v>2</v>
      </c>
      <c r="AU17" s="38">
        <f>2+DL17</f>
        <v/>
      </c>
      <c r="AV17" s="38" t="n">
        <v>2</v>
      </c>
      <c r="AW17" s="38" t="n">
        <v>3</v>
      </c>
      <c r="AX17" s="38" t="n">
        <v>3</v>
      </c>
      <c r="AY17" s="38" t="n">
        <v>3</v>
      </c>
      <c r="AZ17" s="38">
        <f>3+DF17</f>
        <v/>
      </c>
      <c r="BA17" s="38">
        <f>3+DE17</f>
        <v/>
      </c>
      <c r="BB17" s="38" t="n">
        <v>3</v>
      </c>
      <c r="BC17" s="38">
        <f>2+DD17</f>
        <v/>
      </c>
      <c r="BD17" s="38">
        <f>3+DC17</f>
        <v/>
      </c>
      <c r="BE17" s="38" t="n">
        <v>3</v>
      </c>
      <c r="BF17" s="38" t="n">
        <v>2</v>
      </c>
      <c r="BG17" s="38" t="n">
        <v>1</v>
      </c>
      <c r="BH17" s="38" t="n">
        <v>3</v>
      </c>
      <c r="BI17" s="38" t="n">
        <v>4</v>
      </c>
      <c r="BJ17" s="38" t="n">
        <v>4</v>
      </c>
      <c r="BK17" s="38" t="n">
        <v>3</v>
      </c>
      <c r="BL17" s="38" t="n">
        <v>2</v>
      </c>
      <c r="BM17" s="38" t="n">
        <v>2</v>
      </c>
      <c r="BN17" s="38">
        <f>1+1</f>
        <v/>
      </c>
      <c r="BO17" s="38" t="n">
        <v>1</v>
      </c>
      <c r="BP17" s="38" t="n">
        <v>1</v>
      </c>
      <c r="BQ17" s="38">
        <f>0+CP17</f>
        <v/>
      </c>
      <c r="BR17" s="38" t="n">
        <v>1</v>
      </c>
      <c r="BS17" s="38">
        <f>0+CM17</f>
        <v/>
      </c>
      <c r="BT17" s="38" t="n">
        <v>2</v>
      </c>
      <c r="BU17" s="38" t="n">
        <v>3</v>
      </c>
      <c r="BV17" s="38" t="n">
        <v>2</v>
      </c>
      <c r="BW17" s="38" t="n">
        <v>1</v>
      </c>
      <c r="BX17" s="38">
        <f>1+CK17</f>
        <v/>
      </c>
      <c r="BY17" s="38" t="n">
        <v>3</v>
      </c>
      <c r="BZ17" s="38" t="n"/>
      <c r="CA17" s="38" t="n"/>
      <c r="CB17" s="154">
        <f>BZ17+IF(NOT(ISBLANK(OFFSET(CB17,0,6))),N(OFFSET(CB17,0,6)),N(OFFSET(CB17,0,7)))-CA17</f>
        <v/>
      </c>
      <c r="CC17" s="2" t="n"/>
      <c r="CD17" s="19" t="n"/>
      <c r="CE17" s="19" t="n"/>
      <c r="CF17" s="4" t="n"/>
      <c r="CG17" s="23" t="n"/>
      <c r="CH17" s="6" t="n"/>
      <c r="CI17" s="18" t="n">
        <v>0</v>
      </c>
      <c r="CJ17" s="18" t="n">
        <v>0</v>
      </c>
      <c r="CK17" s="18" t="n">
        <v>3</v>
      </c>
      <c r="CL17" s="18" t="n">
        <v>1</v>
      </c>
      <c r="CM17" s="18" t="n">
        <v>3</v>
      </c>
      <c r="CN17" s="18" t="n"/>
      <c r="CO17" s="356" t="n"/>
      <c r="CP17" s="18" t="n">
        <v>2</v>
      </c>
      <c r="CQ17" s="154" t="inlineStr">
        <is>
          <t>01 DE MG</t>
        </is>
      </c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>
        <v>2</v>
      </c>
      <c r="DA17" s="18" t="n">
        <v>2</v>
      </c>
      <c r="DB17" s="18" t="n"/>
      <c r="DC17" s="18" t="n">
        <v>2</v>
      </c>
      <c r="DD17" s="18" t="n">
        <v>1</v>
      </c>
      <c r="DE17" s="18" t="n">
        <v>1</v>
      </c>
      <c r="DF17" s="18" t="n">
        <v>1</v>
      </c>
      <c r="DG17" s="18" t="n"/>
      <c r="DH17" s="18" t="n">
        <v>3</v>
      </c>
      <c r="DI17" s="256" t="n"/>
      <c r="DJ17" s="18" t="n"/>
      <c r="DK17" s="18" t="n"/>
      <c r="DL17" s="18" t="n">
        <v>2</v>
      </c>
      <c r="DM17" s="256" t="n"/>
      <c r="DN17" s="18" t="n">
        <v>1</v>
      </c>
      <c r="DO17" s="18" t="n">
        <v>1</v>
      </c>
      <c r="DP17" s="18" t="n">
        <v>1</v>
      </c>
      <c r="DQ17" s="256" t="n"/>
      <c r="DR17" s="18" t="n"/>
      <c r="DS17" s="154" t="inlineStr">
        <is>
          <t>01 P/ PL</t>
        </is>
      </c>
      <c r="DT17" s="18" t="n"/>
      <c r="DU17" s="18" t="n"/>
      <c r="DV17" s="18" t="n"/>
      <c r="DW17" s="18" t="n"/>
      <c r="DX17" s="18" t="n">
        <v>1</v>
      </c>
      <c r="DY17" s="18" t="n"/>
      <c r="DZ17" s="18" t="n">
        <v>1</v>
      </c>
      <c r="EA17" s="18" t="n"/>
      <c r="EB17" s="18" t="n"/>
      <c r="EC17" s="18" t="n"/>
      <c r="ED17" s="18" t="n"/>
      <c r="EE17" s="256" t="n"/>
      <c r="EF17" s="256" t="n"/>
      <c r="EG17" s="18" t="n"/>
      <c r="EH17" s="18" t="n">
        <v>1</v>
      </c>
      <c r="EI17" s="18" t="n">
        <v>2</v>
      </c>
      <c r="EJ17" s="18" t="n"/>
      <c r="EK17" s="18" t="n"/>
      <c r="EL17" s="256" t="n"/>
      <c r="EM17" s="256" t="n"/>
      <c r="EN17" s="18" t="n">
        <v>3</v>
      </c>
      <c r="EO17" s="18" t="n"/>
      <c r="EP17" s="18" t="n"/>
      <c r="EQ17" s="18" t="n">
        <v>1</v>
      </c>
      <c r="ER17" s="18" t="n"/>
      <c r="ES17" s="18" t="n"/>
      <c r="ET17" s="18" t="n">
        <v>1</v>
      </c>
      <c r="EU17" s="18" t="n"/>
      <c r="EV17" s="241" t="inlineStr">
        <is>
          <t>01 DE PL</t>
        </is>
      </c>
      <c r="EW17" s="256" t="n"/>
      <c r="EX17" s="256" t="n"/>
      <c r="EY17" s="18" t="n"/>
      <c r="EZ17" s="256" t="n"/>
      <c r="FA17" s="18" t="n"/>
      <c r="FB17" s="256" t="n"/>
      <c r="FC17" s="256" t="n"/>
      <c r="FD17" s="18" t="n">
        <v>3</v>
      </c>
      <c r="FE17" s="18" t="n"/>
      <c r="FF17" s="18" t="n">
        <v>1</v>
      </c>
      <c r="FG17" s="18" t="n"/>
      <c r="FH17" s="18" t="n"/>
      <c r="FI17" s="256" t="n"/>
      <c r="FJ17" s="18" t="n"/>
      <c r="FK17" s="18" t="n">
        <v>3</v>
      </c>
      <c r="FL17" s="18" t="n"/>
      <c r="FM17" s="18" t="n"/>
      <c r="FN17" s="18" t="n"/>
      <c r="FO17" s="18" t="n">
        <v>1</v>
      </c>
      <c r="FP17" s="18" t="n"/>
      <c r="FQ17" s="18" t="n"/>
      <c r="FR17" s="18" t="n"/>
      <c r="FS17" s="18" t="n"/>
      <c r="FT17" s="18" t="n"/>
      <c r="FU17" s="18" t="n"/>
      <c r="FV17" s="18" t="n"/>
      <c r="FW17" s="18" t="n">
        <v>3</v>
      </c>
      <c r="FX17" s="256" t="n"/>
      <c r="FY17" s="18" t="n"/>
      <c r="FZ17" s="18" t="n"/>
      <c r="GA17" s="18" t="n">
        <v>4</v>
      </c>
    </row>
    <row r="18" ht="18.75" customFormat="1" customHeight="1" s="3">
      <c r="A18" s="31" t="n"/>
      <c r="C18" s="664" t="n"/>
      <c r="D18" s="398" t="n"/>
      <c r="R18" s="282" t="n"/>
      <c r="Z18" s="3" t="inlineStr">
        <is>
          <t> </t>
        </is>
      </c>
      <c r="CD18" s="16" t="n"/>
      <c r="CE18" s="16" t="n"/>
      <c r="CH18" s="6" t="n"/>
      <c r="CI18" s="16" t="n"/>
      <c r="CJ18" s="16" t="n"/>
      <c r="CK18" s="16" t="n"/>
      <c r="CL18" s="16" t="n"/>
      <c r="CM18" s="16" t="n"/>
      <c r="CN18" s="16" t="n"/>
      <c r="CO18" s="258" t="n"/>
      <c r="CP18" s="16" t="n"/>
      <c r="CQ18" s="16" t="n"/>
      <c r="CR18" s="16" t="n"/>
      <c r="CS18" s="16" t="n"/>
      <c r="CT18" s="16" t="n"/>
      <c r="CU18" s="16" t="n"/>
      <c r="CV18" s="16" t="n"/>
      <c r="CW18" s="16" t="n"/>
      <c r="CX18" s="16" t="n"/>
      <c r="CY18" s="16" t="n"/>
      <c r="DG18" s="16" t="n"/>
      <c r="DH18" s="16" t="n"/>
      <c r="DJ18" s="16" t="n"/>
      <c r="DK18" s="16" t="n"/>
      <c r="DL18" s="16" t="n"/>
      <c r="DN18" s="16" t="n"/>
      <c r="DO18" s="16" t="n"/>
      <c r="DP18" s="16" t="n"/>
      <c r="DQ18" s="16" t="n"/>
      <c r="DR18" s="16" t="n"/>
      <c r="DS18" s="16" t="n"/>
      <c r="DT18" s="16" t="n"/>
      <c r="DU18" s="16" t="n"/>
      <c r="DV18" s="16" t="n"/>
      <c r="DW18" s="16" t="n"/>
      <c r="DX18" s="16" t="n"/>
      <c r="DY18" s="16" t="n"/>
      <c r="DZ18" s="16" t="n"/>
      <c r="EA18" s="16" t="n"/>
      <c r="EB18" s="16" t="n"/>
      <c r="EC18" s="16" t="n"/>
      <c r="ED18" s="16" t="n"/>
      <c r="EE18" s="258" t="n"/>
      <c r="EF18" s="258" t="n"/>
      <c r="EG18" s="16" t="n"/>
      <c r="EH18" s="16" t="n"/>
      <c r="EI18" s="16" t="n"/>
      <c r="EJ18" s="16" t="n"/>
      <c r="EK18" s="16" t="n"/>
      <c r="EL18" s="258" t="n"/>
      <c r="EM18" s="258" t="n"/>
      <c r="EN18" s="16" t="n"/>
      <c r="EO18" s="16" t="n"/>
      <c r="EP18" s="16" t="n"/>
      <c r="EQ18" s="16" t="n"/>
      <c r="ER18" s="16" t="n"/>
      <c r="ES18" s="16" t="n"/>
      <c r="ET18" s="16" t="n"/>
      <c r="EU18" s="16" t="n"/>
      <c r="EV18" s="272" t="n"/>
      <c r="EW18" s="16" t="n"/>
      <c r="EX18" s="1" t="n"/>
      <c r="EY18" s="16" t="n"/>
      <c r="EZ18" s="16" t="n"/>
      <c r="FA18" s="16" t="n"/>
      <c r="FB18" s="1" t="n"/>
      <c r="FC18" s="1" t="n"/>
      <c r="FD18" s="16" t="n"/>
      <c r="FE18" s="16" t="n"/>
      <c r="FF18" s="16" t="n"/>
      <c r="FG18" s="16" t="n"/>
      <c r="FH18" s="16" t="n"/>
      <c r="FI18" s="1" t="n"/>
      <c r="FJ18" s="16" t="n"/>
      <c r="FK18" s="16" t="n"/>
      <c r="FL18" s="16" t="n"/>
      <c r="FM18" s="16" t="n"/>
      <c r="FN18" s="16" t="n"/>
      <c r="FO18" s="16" t="n"/>
      <c r="FP18" s="16" t="n"/>
      <c r="FQ18" s="16" t="n"/>
      <c r="FR18" s="16" t="n"/>
      <c r="FS18" s="16" t="n"/>
      <c r="FT18" s="16" t="n"/>
      <c r="FU18" s="16" t="n"/>
      <c r="FV18" s="16" t="n"/>
      <c r="FW18" s="16" t="n"/>
      <c r="FX18" s="258" t="n"/>
      <c r="FY18" s="16" t="n"/>
      <c r="FZ18" s="16" t="n"/>
      <c r="GA18" s="16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86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D19" s="413" t="inlineStr">
        <is>
          <t>TRANSFERÊNCIA</t>
        </is>
      </c>
      <c r="CE19" s="35" t="inlineStr">
        <is>
          <t>Pendências</t>
        </is>
      </c>
      <c r="CF19" s="4" t="n"/>
      <c r="CG19" s="12" t="inlineStr">
        <is>
          <t>Novo Pedido</t>
        </is>
      </c>
      <c r="CH19" s="6" t="n"/>
      <c r="CI19" s="646" t="n">
        <v>46156</v>
      </c>
      <c r="CJ19" s="646" t="n">
        <v>46149</v>
      </c>
      <c r="CK19" s="646" t="n">
        <v>46142</v>
      </c>
      <c r="CL19" s="646" t="n">
        <v>46114</v>
      </c>
      <c r="CM19" s="646" t="n">
        <v>46107</v>
      </c>
      <c r="CN19" s="646" t="n">
        <v>46099</v>
      </c>
      <c r="CO19" s="647" t="n">
        <v>46065</v>
      </c>
      <c r="CP19" s="646" t="n">
        <v>46092</v>
      </c>
      <c r="CQ19" s="655" t="n">
        <v>46079</v>
      </c>
      <c r="CR19" s="646" t="n">
        <v>46077</v>
      </c>
      <c r="CS19" s="646" t="n">
        <v>46071</v>
      </c>
      <c r="CT19" s="646" t="n">
        <v>46056</v>
      </c>
      <c r="CU19" s="646" t="n">
        <v>46056</v>
      </c>
      <c r="CV19" s="646" t="n">
        <v>46048</v>
      </c>
      <c r="CW19" s="646" t="n">
        <v>46043</v>
      </c>
      <c r="CX19" s="646" t="n">
        <v>46035</v>
      </c>
      <c r="CY19" s="646" t="n">
        <v>46035</v>
      </c>
      <c r="CZ19" s="646" t="n">
        <v>46029</v>
      </c>
      <c r="DA19" s="646" t="n">
        <v>46017</v>
      </c>
      <c r="DB19" s="646" t="n">
        <v>46007</v>
      </c>
      <c r="DC19" s="646" t="n">
        <v>46001</v>
      </c>
      <c r="DD19" s="646" t="n">
        <v>45994</v>
      </c>
      <c r="DE19" s="646" t="n">
        <v>45980</v>
      </c>
      <c r="DF19" s="646" t="n">
        <v>45973</v>
      </c>
      <c r="DG19" s="646" t="n">
        <v>45960</v>
      </c>
      <c r="DH19" s="646" t="n">
        <v>45951</v>
      </c>
      <c r="DI19" s="687" t="n">
        <v>45952</v>
      </c>
      <c r="DJ19" s="646" t="n">
        <v>45945</v>
      </c>
      <c r="DK19" s="646" t="n">
        <v>45931</v>
      </c>
      <c r="DL19" s="646" t="n">
        <v>45937</v>
      </c>
      <c r="DM19" s="678" t="n">
        <v>45903</v>
      </c>
      <c r="DN19" s="646" t="n">
        <v>45931</v>
      </c>
      <c r="DO19" s="646" t="n">
        <v>45923</v>
      </c>
      <c r="DP19" s="646" t="n">
        <v>45915</v>
      </c>
      <c r="DQ19" s="688" t="n">
        <v>45924</v>
      </c>
      <c r="DR19" s="646" t="n">
        <v>45909</v>
      </c>
      <c r="DS19" s="655" t="n">
        <v>45920</v>
      </c>
      <c r="DT19" s="646" t="n">
        <v>45909</v>
      </c>
      <c r="DU19" s="655" t="n">
        <v>45913</v>
      </c>
      <c r="DV19" s="646" t="n">
        <v>45903</v>
      </c>
      <c r="DW19" s="646" t="n">
        <v>45903</v>
      </c>
      <c r="DX19" s="646" t="n">
        <v>45895</v>
      </c>
      <c r="DY19" s="689" t="n">
        <v>45897</v>
      </c>
      <c r="DZ19" s="646" t="n">
        <v>45888</v>
      </c>
      <c r="EA19" s="646" t="n">
        <v>45881</v>
      </c>
      <c r="EB19" s="655" t="n">
        <v>45885</v>
      </c>
      <c r="EC19" s="646" t="n">
        <v>45874</v>
      </c>
      <c r="ED19" s="646" t="n">
        <v>45867</v>
      </c>
      <c r="EE19" s="681" t="n">
        <v>45867</v>
      </c>
      <c r="EF19" s="682" t="n">
        <v>45866</v>
      </c>
      <c r="EG19" s="646" t="n">
        <v>45860</v>
      </c>
      <c r="EH19" s="646" t="n">
        <v>45853</v>
      </c>
      <c r="EI19" s="646" t="n">
        <v>45848</v>
      </c>
      <c r="EJ19" s="646" t="n">
        <v>45839</v>
      </c>
      <c r="EK19" s="646" t="n">
        <v>45832</v>
      </c>
      <c r="EL19" s="681" t="n">
        <v>45836</v>
      </c>
      <c r="EM19" s="681" t="n">
        <v>45791</v>
      </c>
      <c r="EN19" s="646" t="n">
        <v>45825</v>
      </c>
      <c r="EO19" s="655" t="n">
        <v>45825</v>
      </c>
      <c r="EP19" s="646" t="n">
        <v>45819</v>
      </c>
      <c r="EQ19" s="646" t="n">
        <v>45813</v>
      </c>
      <c r="ER19" s="655" t="n">
        <v>45820</v>
      </c>
      <c r="ES19" s="646" t="n">
        <v>45798</v>
      </c>
      <c r="ET19" s="646" t="n">
        <v>45805</v>
      </c>
      <c r="EU19" s="655" t="n">
        <v>45799</v>
      </c>
      <c r="EV19" s="655" t="n">
        <v>45798</v>
      </c>
      <c r="EW19" s="690" t="n">
        <v>45798</v>
      </c>
      <c r="EX19" s="684" t="n">
        <v>45798</v>
      </c>
      <c r="EY19" s="689" t="n">
        <v>45798</v>
      </c>
      <c r="EZ19" s="683" t="n">
        <v>45735</v>
      </c>
      <c r="FA19" s="655" t="n">
        <v>45789</v>
      </c>
      <c r="FB19" s="684" t="n">
        <v>45789</v>
      </c>
      <c r="FC19" s="684" t="n">
        <v>45782</v>
      </c>
      <c r="FD19" s="646" t="n">
        <v>45770</v>
      </c>
      <c r="FE19" s="646" t="n">
        <v>45756</v>
      </c>
      <c r="FF19" s="646" t="n">
        <v>45749</v>
      </c>
      <c r="FG19" s="646" t="n">
        <v>45743</v>
      </c>
      <c r="FH19" s="655" t="n">
        <v>45744</v>
      </c>
      <c r="FI19" s="684" t="n">
        <v>45700</v>
      </c>
      <c r="FJ19" s="646" t="n">
        <v>45728</v>
      </c>
      <c r="FK19" s="646" t="n">
        <v>45722</v>
      </c>
      <c r="FL19" s="689" t="n">
        <v>45723</v>
      </c>
      <c r="FM19" s="646" t="n">
        <v>45714</v>
      </c>
      <c r="FN19" s="646" t="n">
        <v>45706</v>
      </c>
      <c r="FO19" s="646" t="n">
        <v>45699</v>
      </c>
      <c r="FP19" s="646" t="n">
        <v>45693</v>
      </c>
      <c r="FQ19" s="655" t="n">
        <v>45700</v>
      </c>
      <c r="FR19" s="646" t="n">
        <v>45685</v>
      </c>
      <c r="FS19" s="655" t="n">
        <v>45685</v>
      </c>
      <c r="FT19" s="646" t="n">
        <v>45674</v>
      </c>
      <c r="FU19" s="646" t="n">
        <v>45664</v>
      </c>
      <c r="FV19" s="655" t="n">
        <v>45670</v>
      </c>
      <c r="FW19" s="646" t="n">
        <v>45660</v>
      </c>
      <c r="FX19" s="685" t="n">
        <v>45665</v>
      </c>
      <c r="FY19" s="655" t="n">
        <v>45661</v>
      </c>
      <c r="FZ19" s="646" t="n">
        <v>45638</v>
      </c>
      <c r="GA19" s="646" t="n">
        <v>45643</v>
      </c>
      <c r="GC19" s="267" t="inlineStr">
        <is>
          <t>CAIXAS</t>
        </is>
      </c>
      <c r="GD19" s="205" t="inlineStr">
        <is>
          <t>PCT</t>
        </is>
      </c>
      <c r="GE19" s="650" t="n">
        <v>46118</v>
      </c>
      <c r="GF19" s="650" t="n">
        <v>46125</v>
      </c>
      <c r="GG19" s="650" t="n">
        <v>46132</v>
      </c>
      <c r="GH19" s="650" t="n">
        <v>46139</v>
      </c>
      <c r="GI19" s="650" t="n">
        <v>46146</v>
      </c>
      <c r="GJ19" s="650" t="n">
        <v>46154</v>
      </c>
      <c r="GK19" s="650" t="n">
        <v>46160</v>
      </c>
      <c r="GL19" s="650" t="n">
        <v>46160</v>
      </c>
      <c r="GM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150</v>
      </c>
      <c r="E20" s="2" t="n"/>
      <c r="F20" s="38">
        <f>221-150</f>
        <v/>
      </c>
      <c r="G20" s="38">
        <f>71+100</f>
        <v/>
      </c>
      <c r="H20" s="38" t="n">
        <v>171</v>
      </c>
      <c r="I20" s="38" t="n">
        <v>147</v>
      </c>
      <c r="J20" s="38">
        <f>118-80</f>
        <v/>
      </c>
      <c r="K20" s="38" t="n">
        <v>2</v>
      </c>
      <c r="L20" s="38" t="n">
        <v>0</v>
      </c>
      <c r="M20" s="38">
        <f>0+FP20</f>
        <v/>
      </c>
      <c r="N20" s="38" t="n">
        <v>271</v>
      </c>
      <c r="O20" s="38" t="n">
        <v>243</v>
      </c>
      <c r="P20" s="38" t="n">
        <v>199</v>
      </c>
      <c r="Q20" s="38">
        <f>165+FJ20</f>
        <v/>
      </c>
      <c r="R20" s="38" t="n">
        <v>278</v>
      </c>
      <c r="S20" s="38" t="n">
        <v>248</v>
      </c>
      <c r="T20" s="38" t="n">
        <v>223</v>
      </c>
      <c r="U20" s="38" t="n">
        <v>193</v>
      </c>
      <c r="V20" s="38" t="n">
        <v>192</v>
      </c>
      <c r="W20" s="38" t="n">
        <v>192</v>
      </c>
      <c r="X20" s="38" t="n">
        <v>192</v>
      </c>
      <c r="Y20" s="38" t="n">
        <v>192</v>
      </c>
      <c r="Z20" s="38" t="n">
        <v>181</v>
      </c>
      <c r="AA20" s="38" t="n">
        <v>172</v>
      </c>
      <c r="AB20" s="38" t="n">
        <v>141</v>
      </c>
      <c r="AC20" s="38">
        <f>96+100</f>
        <v/>
      </c>
      <c r="AD20" s="38">
        <f>103+EP20</f>
        <v/>
      </c>
      <c r="AE20" s="38" t="n">
        <v>210</v>
      </c>
      <c r="AF20" s="38" t="n">
        <v>130</v>
      </c>
      <c r="AG20" s="38">
        <f>104+EJ20</f>
        <v/>
      </c>
      <c r="AH20" s="38" t="n">
        <v>195</v>
      </c>
      <c r="AI20" s="38" t="n">
        <v>155</v>
      </c>
      <c r="AJ20" s="38" t="n">
        <v>131</v>
      </c>
      <c r="AK20" s="38" t="n">
        <v>246</v>
      </c>
      <c r="AL20" s="38" t="n">
        <v>147</v>
      </c>
      <c r="AM20" s="38">
        <f>104+50</f>
        <v/>
      </c>
      <c r="AN20" s="38">
        <f>104+EA20</f>
        <v/>
      </c>
      <c r="AO20" s="38" t="n">
        <v>166</v>
      </c>
      <c r="AP20" s="38" t="n">
        <v>307</v>
      </c>
      <c r="AQ20" s="38" t="n">
        <v>245</v>
      </c>
      <c r="AR20" s="38" t="n">
        <v>195</v>
      </c>
      <c r="AS20" s="38">
        <f>163+DO20</f>
        <v/>
      </c>
      <c r="AT20" s="38" t="n">
        <v>276</v>
      </c>
      <c r="AU20" s="38" t="n">
        <v>230</v>
      </c>
      <c r="AV20" s="38" t="n">
        <v>175</v>
      </c>
      <c r="AW20" s="38">
        <f>128+DH20</f>
        <v/>
      </c>
      <c r="AX20" s="38" t="n">
        <v>241</v>
      </c>
      <c r="AY20" s="38" t="n">
        <v>228</v>
      </c>
      <c r="AZ20" s="38" t="n">
        <v>214</v>
      </c>
      <c r="BA20" s="38" t="n">
        <v>205</v>
      </c>
      <c r="BB20" s="38" t="n">
        <v>161</v>
      </c>
      <c r="BC20" s="38" t="n">
        <v>156</v>
      </c>
      <c r="BD20" s="38">
        <f>152+DC20</f>
        <v/>
      </c>
      <c r="BE20" s="38" t="n">
        <v>351</v>
      </c>
      <c r="BF20" s="38" t="n">
        <v>343</v>
      </c>
      <c r="BG20" s="38" t="n">
        <v>334</v>
      </c>
      <c r="BH20" s="38" t="n">
        <v>325</v>
      </c>
      <c r="BI20" s="38" t="n">
        <v>307</v>
      </c>
      <c r="BJ20" s="38" t="n">
        <v>268</v>
      </c>
      <c r="BK20" s="38" t="n">
        <v>217</v>
      </c>
      <c r="BL20" s="38" t="n">
        <v>168</v>
      </c>
      <c r="BM20" s="38" t="n">
        <v>155</v>
      </c>
      <c r="BN20" s="38">
        <f>130+CT20</f>
        <v/>
      </c>
      <c r="BO20" s="38" t="n">
        <v>168</v>
      </c>
      <c r="BP20" s="38" t="n">
        <v>119</v>
      </c>
      <c r="BQ20" s="38" t="n">
        <v>93</v>
      </c>
      <c r="BR20" s="38">
        <f>66+CN20</f>
        <v/>
      </c>
      <c r="BS20" s="38" t="n">
        <v>180</v>
      </c>
      <c r="BT20" s="38" t="n"/>
      <c r="BU20" s="38" t="n"/>
      <c r="BV20" s="38" t="n"/>
      <c r="BW20" s="38" t="n">
        <v>273</v>
      </c>
      <c r="BX20" s="38" t="n">
        <v>264</v>
      </c>
      <c r="BY20" s="38" t="n">
        <v>213</v>
      </c>
      <c r="BZ20" s="38" t="n">
        <v>182</v>
      </c>
      <c r="CA20" s="38" t="n">
        <v>182</v>
      </c>
      <c r="CB20" s="154">
        <f>BZ20+IF(NOT(ISBLANK(OFFSET(CB20,0,6))),N(OFFSET(CB20,0,6)),N(OFFSET(CB20,0,7)))-CA20</f>
        <v/>
      </c>
      <c r="CD20" s="122" t="n"/>
      <c r="CE20" s="122" t="n"/>
      <c r="CF20" s="4" t="n"/>
      <c r="CG20" s="23" t="n"/>
      <c r="CH20" s="6" t="n"/>
      <c r="CI20" s="18" t="n">
        <v>0</v>
      </c>
      <c r="CJ20" s="18" t="n">
        <v>0</v>
      </c>
      <c r="CK20" s="18" t="n">
        <v>0</v>
      </c>
      <c r="CL20" s="18" t="n">
        <v>150</v>
      </c>
      <c r="CM20" s="18" t="n"/>
      <c r="CN20" s="18" t="n">
        <v>150</v>
      </c>
      <c r="CO20" s="256" t="n">
        <v>150</v>
      </c>
      <c r="CP20" s="18" t="n"/>
      <c r="CQ20" s="18" t="n"/>
      <c r="CR20" s="18" t="n"/>
      <c r="CS20" s="18" t="n"/>
      <c r="CT20" s="18" t="n">
        <v>150</v>
      </c>
      <c r="CU20" s="18" t="n"/>
      <c r="CV20" s="18" t="n"/>
      <c r="CW20" s="18" t="n"/>
      <c r="CX20" s="18" t="n"/>
      <c r="CY20" s="18" t="n"/>
      <c r="CZ20" s="18" t="n"/>
      <c r="DA20" s="18" t="n"/>
      <c r="DB20" s="18" t="n"/>
      <c r="DC20" s="18" t="n">
        <v>150</v>
      </c>
      <c r="DD20" s="18" t="n"/>
      <c r="DE20" s="18" t="n"/>
      <c r="DF20" s="18" t="n"/>
      <c r="DG20" s="18" t="n"/>
      <c r="DH20" s="18" t="n">
        <v>150</v>
      </c>
      <c r="DI20" s="256" t="n"/>
      <c r="DJ20" s="18" t="n"/>
      <c r="DK20" s="18" t="n"/>
      <c r="DL20" s="18" t="n"/>
      <c r="DM20" s="256" t="n">
        <v>300</v>
      </c>
      <c r="DN20" s="18" t="n"/>
      <c r="DO20" s="18" t="n">
        <v>150</v>
      </c>
      <c r="DP20" s="18" t="n"/>
      <c r="DQ20" s="256" t="n"/>
      <c r="DR20" s="18" t="n"/>
      <c r="DS20" s="18" t="n"/>
      <c r="DT20" s="18" t="n"/>
      <c r="DU20" s="18" t="n"/>
      <c r="DV20" s="18" t="n"/>
      <c r="DW20" s="18" t="n">
        <v>150</v>
      </c>
      <c r="DX20" s="18" t="n"/>
      <c r="DY20" s="256" t="n"/>
      <c r="DZ20" s="18" t="n"/>
      <c r="EA20" s="18" t="n">
        <v>150</v>
      </c>
      <c r="EB20" s="154" t="inlineStr">
        <is>
          <t>50 DE PL</t>
        </is>
      </c>
      <c r="EC20" s="18" t="n"/>
      <c r="ED20" s="18" t="n"/>
      <c r="EE20" s="256" t="n"/>
      <c r="EF20" s="256" t="n"/>
      <c r="EG20" s="18" t="n">
        <v>150</v>
      </c>
      <c r="EH20" s="18" t="n"/>
      <c r="EI20" s="18" t="n"/>
      <c r="EJ20" s="18" t="n">
        <v>150</v>
      </c>
      <c r="EK20" s="18" t="n"/>
      <c r="EL20" s="256" t="n"/>
      <c r="EM20" s="256" t="n"/>
      <c r="EN20" s="18" t="n"/>
      <c r="EO20" s="18" t="n"/>
      <c r="EP20" s="18" t="n">
        <v>150</v>
      </c>
      <c r="EQ20" s="18" t="n"/>
      <c r="ER20" s="241" t="inlineStr">
        <is>
          <t>100 DE PL</t>
        </is>
      </c>
      <c r="ES20" s="18" t="n"/>
      <c r="ET20" s="18" t="n"/>
      <c r="EU20" s="18" t="n"/>
      <c r="EV20" s="256" t="n"/>
      <c r="EW20" s="256" t="n"/>
      <c r="EX20" s="293" t="inlineStr">
        <is>
          <t>73 P/ PL</t>
        </is>
      </c>
      <c r="EY20" s="256" t="n"/>
      <c r="EZ20" s="256" t="n">
        <v>100</v>
      </c>
      <c r="FA20" s="18" t="n"/>
      <c r="FB20" s="256" t="n"/>
      <c r="FC20" s="256" t="n"/>
      <c r="FD20" s="18" t="n"/>
      <c r="FE20" s="18" t="n"/>
      <c r="FF20" s="18" t="n"/>
      <c r="FG20" s="18" t="n"/>
      <c r="FH20" s="18" t="n"/>
      <c r="FI20" s="256" t="n">
        <v>300</v>
      </c>
      <c r="FJ20" s="18" t="n">
        <v>150</v>
      </c>
      <c r="FK20" s="18" t="n"/>
      <c r="FL20" s="256" t="n"/>
      <c r="FM20" s="18" t="n"/>
      <c r="FN20" s="18" t="n"/>
      <c r="FO20" s="18" t="n"/>
      <c r="FP20" s="18" t="n">
        <v>300</v>
      </c>
      <c r="FQ20" s="256" t="n"/>
      <c r="FR20" s="18" t="n"/>
      <c r="FS20" s="241" t="inlineStr">
        <is>
          <t>80 P/ PL</t>
        </is>
      </c>
      <c r="FT20" s="18" t="n"/>
      <c r="FU20" s="18" t="n"/>
      <c r="FV20" s="241" t="inlineStr">
        <is>
          <t>100 DE PL</t>
        </is>
      </c>
      <c r="FW20" s="18" t="n"/>
      <c r="FX20" s="259" t="inlineStr">
        <is>
          <t>50 P/ PBE</t>
        </is>
      </c>
      <c r="FY20" s="232" t="inlineStr">
        <is>
          <t>150 P/ TP</t>
        </is>
      </c>
      <c r="FZ20" s="18" t="n"/>
      <c r="GA20" s="18" t="n"/>
      <c r="GC20" s="159" t="inlineStr">
        <is>
          <t>CAIXA P</t>
        </is>
      </c>
      <c r="GD20" s="129" t="n">
        <v>150</v>
      </c>
      <c r="GE20" s="38">
        <f>CO20</f>
        <v/>
      </c>
      <c r="GF20" s="38" t="n"/>
      <c r="GG20" s="38" t="n"/>
      <c r="GH20" s="38" t="n">
        <v>115</v>
      </c>
      <c r="GI20" s="38" t="n">
        <v>96</v>
      </c>
      <c r="GJ20" s="38" t="n">
        <v>5</v>
      </c>
      <c r="GK20" s="38" t="n">
        <v>0</v>
      </c>
      <c r="GL20" s="38" t="n"/>
      <c r="GM20" s="246">
        <f>GK20+IF(NOT(ISBLANK(OFFSET(GM20,0,6))),N(OFFSET(GM20,0,6)),N(OFFSET(GM20,0,7)))-GL20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300</v>
      </c>
      <c r="E21" s="2" t="n"/>
      <c r="F21" s="38" t="n">
        <v>201</v>
      </c>
      <c r="G21" s="38" t="n">
        <v>201</v>
      </c>
      <c r="H21" s="38" t="n">
        <v>201</v>
      </c>
      <c r="I21" s="38" t="n">
        <v>201</v>
      </c>
      <c r="J21" s="38" t="n">
        <v>179</v>
      </c>
      <c r="K21" s="38" t="n">
        <v>134</v>
      </c>
      <c r="L21" s="38">
        <f>73-14</f>
        <v/>
      </c>
      <c r="M21" s="38">
        <f>26+FP21</f>
        <v/>
      </c>
      <c r="N21" s="38" t="n">
        <v>166</v>
      </c>
      <c r="O21" s="38">
        <f>185+FM21</f>
        <v/>
      </c>
      <c r="P21" s="38">
        <f>302+FK21</f>
        <v/>
      </c>
      <c r="Q21" s="38" t="n">
        <v>344</v>
      </c>
      <c r="R21" s="38">
        <f>284-100</f>
        <v/>
      </c>
      <c r="S21" s="38" t="n">
        <v>98</v>
      </c>
      <c r="T21" s="38">
        <f>42+FF21</f>
        <v/>
      </c>
      <c r="U21" s="38" t="n">
        <v>212</v>
      </c>
      <c r="V21" s="38" t="n">
        <v>212</v>
      </c>
      <c r="W21" s="38" t="n">
        <v>217</v>
      </c>
      <c r="X21" s="38" t="n">
        <v>217</v>
      </c>
      <c r="Y21" s="38" t="n">
        <v>120</v>
      </c>
      <c r="Z21" s="38">
        <f>74+50</f>
        <v/>
      </c>
      <c r="AA21" s="38" t="n">
        <v>88</v>
      </c>
      <c r="AB21" s="38">
        <f>42+ES21</f>
        <v/>
      </c>
      <c r="AC21" s="38" t="n">
        <v>174</v>
      </c>
      <c r="AD21" s="38">
        <f>37+20</f>
        <v/>
      </c>
      <c r="AE21" s="38">
        <f>20+EN21</f>
        <v/>
      </c>
      <c r="AF21" s="38">
        <f>199+EK21</f>
        <v/>
      </c>
      <c r="AG21" s="38">
        <f>242+EJ21</f>
        <v/>
      </c>
      <c r="AH21" s="38" t="n">
        <v>288</v>
      </c>
      <c r="AI21" s="38" t="n">
        <v>218</v>
      </c>
      <c r="AJ21" s="38" t="n">
        <v>178</v>
      </c>
      <c r="AK21" s="38" t="n">
        <v>164</v>
      </c>
      <c r="AL21" s="38" t="n">
        <v>146</v>
      </c>
      <c r="AM21" s="38">
        <f>68+50</f>
        <v/>
      </c>
      <c r="AN21" s="38">
        <f>68+DZ21+EA21</f>
        <v/>
      </c>
      <c r="AO21" s="38" t="n">
        <v>147</v>
      </c>
      <c r="AP21" s="38">
        <f>421-50</f>
        <v/>
      </c>
      <c r="AQ21" s="38" t="n">
        <v>365</v>
      </c>
      <c r="AR21" s="38" t="n">
        <v>251</v>
      </c>
      <c r="AS21" s="38">
        <f>193+DO21</f>
        <v/>
      </c>
      <c r="AT21" s="38" t="n">
        <v>225</v>
      </c>
      <c r="AU21" s="38">
        <f>130+DK21</f>
        <v/>
      </c>
      <c r="AV21" s="38">
        <f>176+DJ21</f>
        <v/>
      </c>
      <c r="AW21" s="38" t="n">
        <v>287</v>
      </c>
      <c r="AX21" s="38">
        <f>212+DG21</f>
        <v/>
      </c>
      <c r="AY21" s="38" t="n">
        <v>291</v>
      </c>
      <c r="AZ21" s="38" t="n">
        <v>269</v>
      </c>
      <c r="BA21" s="38" t="n">
        <v>251</v>
      </c>
      <c r="BB21" s="38" t="n">
        <v>215</v>
      </c>
      <c r="BC21" s="38" t="n">
        <v>206</v>
      </c>
      <c r="BD21" s="38">
        <f>205+DC21</f>
        <v/>
      </c>
      <c r="BE21" s="38" t="n">
        <v>307</v>
      </c>
      <c r="BF21" s="38" t="n">
        <v>290</v>
      </c>
      <c r="BG21" s="38" t="n">
        <v>256</v>
      </c>
      <c r="BH21" s="38" t="n">
        <v>216</v>
      </c>
      <c r="BI21" s="38" t="n">
        <v>167</v>
      </c>
      <c r="BJ21" s="38">
        <f>232+CW21</f>
        <v/>
      </c>
      <c r="BK21" s="38" t="n">
        <v>355</v>
      </c>
      <c r="BL21" s="38" t="n">
        <v>286</v>
      </c>
      <c r="BM21" s="38" t="n">
        <v>257</v>
      </c>
      <c r="BN21" s="38" t="n">
        <v>226</v>
      </c>
      <c r="BO21" s="38" t="n">
        <v>197</v>
      </c>
      <c r="BP21" s="38" t="n">
        <v>121</v>
      </c>
      <c r="BQ21" s="38">
        <f>75+CP21</f>
        <v/>
      </c>
      <c r="BR21" s="38">
        <f>218+CN21</f>
        <v/>
      </c>
      <c r="BS21" s="38" t="n">
        <v>282</v>
      </c>
      <c r="BT21" s="38" t="n"/>
      <c r="BU21" s="38" t="n"/>
      <c r="BV21" s="38" t="n"/>
      <c r="BW21" s="38" t="n">
        <v>361</v>
      </c>
      <c r="BX21" s="38" t="n">
        <v>358</v>
      </c>
      <c r="BY21" s="38" t="n">
        <v>318</v>
      </c>
      <c r="BZ21" s="38" t="n">
        <v>300</v>
      </c>
      <c r="CA21" s="38" t="n">
        <v>300</v>
      </c>
      <c r="CB21" s="154">
        <f>BZ21+IF(NOT(ISBLANK(OFFSET(CB21,0,6))),N(OFFSET(CB21,0,6)),N(OFFSET(CB21,0,7)))-CA21</f>
        <v/>
      </c>
      <c r="CD21" s="122" t="n"/>
      <c r="CE21" s="122" t="n"/>
      <c r="CF21" s="4" t="n"/>
      <c r="CG21" s="23" t="n"/>
      <c r="CH21" s="6" t="n"/>
      <c r="CI21" s="18" t="n">
        <v>0</v>
      </c>
      <c r="CJ21" s="18" t="n">
        <v>0</v>
      </c>
      <c r="CK21" s="18" t="n">
        <v>0</v>
      </c>
      <c r="CL21" s="18" t="n">
        <v>100</v>
      </c>
      <c r="CM21" s="18" t="n"/>
      <c r="CN21" s="18" t="n">
        <v>100</v>
      </c>
      <c r="CO21" s="256" t="n">
        <v>300</v>
      </c>
      <c r="CP21" s="18" t="n">
        <v>200</v>
      </c>
      <c r="CQ21" s="18" t="n"/>
      <c r="CR21" s="18" t="n"/>
      <c r="CS21" s="18" t="n"/>
      <c r="CT21" s="18" t="n"/>
      <c r="CU21" s="18" t="n"/>
      <c r="CV21" s="18" t="n"/>
      <c r="CW21" s="18" t="n">
        <v>200</v>
      </c>
      <c r="CX21" s="18" t="n">
        <v>100</v>
      </c>
      <c r="CY21" s="18" t="n"/>
      <c r="CZ21" s="18" t="n"/>
      <c r="DA21" s="18" t="n"/>
      <c r="DB21" s="18" t="n"/>
      <c r="DC21" s="18" t="n">
        <v>100</v>
      </c>
      <c r="DD21" s="18" t="n"/>
      <c r="DE21" s="18" t="n"/>
      <c r="DF21" s="18" t="n"/>
      <c r="DG21" s="18" t="n">
        <v>100</v>
      </c>
      <c r="DH21" s="18" t="n"/>
      <c r="DI21" s="256" t="n"/>
      <c r="DJ21" s="18" t="n">
        <v>200</v>
      </c>
      <c r="DK21" s="18" t="n">
        <v>100</v>
      </c>
      <c r="DL21" s="18" t="n"/>
      <c r="DM21" s="256" t="n">
        <v>400</v>
      </c>
      <c r="DN21" s="18" t="n"/>
      <c r="DO21" s="18" t="n">
        <v>100</v>
      </c>
      <c r="DP21" s="18" t="n"/>
      <c r="DQ21" s="378" t="inlineStr">
        <is>
          <t>20 DE PL</t>
        </is>
      </c>
      <c r="DR21" s="18" t="n"/>
      <c r="DS21" s="18" t="n"/>
      <c r="DT21" s="18" t="n"/>
      <c r="DU21" s="154" t="inlineStr">
        <is>
          <t>50 P/ TP</t>
        </is>
      </c>
      <c r="DV21" s="18" t="n"/>
      <c r="DW21" s="18" t="n">
        <v>300</v>
      </c>
      <c r="DX21" s="18" t="n"/>
      <c r="DY21" s="263" t="inlineStr">
        <is>
          <t>50 DE TP</t>
        </is>
      </c>
      <c r="DZ21" s="18" t="n">
        <v>100</v>
      </c>
      <c r="EA21" s="18" t="n">
        <v>100</v>
      </c>
      <c r="EB21" s="154" t="inlineStr">
        <is>
          <t>50 DE PL</t>
        </is>
      </c>
      <c r="EC21" s="18" t="n"/>
      <c r="ED21" s="18" t="n">
        <v>100</v>
      </c>
      <c r="EE21" s="292" t="inlineStr">
        <is>
          <t>75 P/ TP</t>
        </is>
      </c>
      <c r="EF21" s="367" t="inlineStr">
        <is>
          <t>10 DE PL</t>
        </is>
      </c>
      <c r="EG21" s="18" t="n"/>
      <c r="EH21" s="18" t="n"/>
      <c r="EI21" s="18" t="n"/>
      <c r="EJ21" s="18" t="n">
        <v>100</v>
      </c>
      <c r="EK21" s="18" t="n">
        <v>100</v>
      </c>
      <c r="EL21" s="256" t="n"/>
      <c r="EM21" s="256" t="n">
        <v>100</v>
      </c>
      <c r="EN21" s="18" t="n">
        <v>200</v>
      </c>
      <c r="EO21" s="241" t="inlineStr">
        <is>
          <t>20 DE CDP</t>
        </is>
      </c>
      <c r="EP21" s="18" t="n"/>
      <c r="EQ21" s="18" t="n"/>
      <c r="ER21" s="256" t="n"/>
      <c r="ES21" s="18" t="n">
        <v>200</v>
      </c>
      <c r="ET21" s="18" t="n"/>
      <c r="EU21" s="241" t="inlineStr">
        <is>
          <t>50 DE PL</t>
        </is>
      </c>
      <c r="EV21" s="256" t="n"/>
      <c r="EW21" s="312" t="inlineStr">
        <is>
          <t>50 P/ TP</t>
        </is>
      </c>
      <c r="EX21" s="293" t="inlineStr">
        <is>
          <t>20 P/ PL</t>
        </is>
      </c>
      <c r="EY21" s="263" t="inlineStr">
        <is>
          <t>20 P/ ATC</t>
        </is>
      </c>
      <c r="EZ21" s="256" t="n">
        <v>100</v>
      </c>
      <c r="FA21" s="18" t="n"/>
      <c r="FB21" s="293" t="inlineStr">
        <is>
          <t>06 P/ PL</t>
        </is>
      </c>
      <c r="FC21" s="256" t="n"/>
      <c r="FD21" s="18" t="n"/>
      <c r="FE21" s="18" t="n"/>
      <c r="FF21" s="18" t="n">
        <v>200</v>
      </c>
      <c r="FG21" s="18" t="n"/>
      <c r="FH21" s="655" t="inlineStr">
        <is>
          <t>100 P/ PL</t>
        </is>
      </c>
      <c r="FI21" s="256" t="n">
        <v>300</v>
      </c>
      <c r="FJ21" s="18" t="n"/>
      <c r="FK21" s="18" t="n">
        <v>100</v>
      </c>
      <c r="FL21" s="263" t="inlineStr">
        <is>
          <t>50 P/ ATC</t>
        </is>
      </c>
      <c r="FM21" s="18" t="n">
        <v>200</v>
      </c>
      <c r="FN21" s="18" t="n">
        <v>100</v>
      </c>
      <c r="FO21" s="18" t="n">
        <v>100</v>
      </c>
      <c r="FP21" s="18" t="n">
        <v>100</v>
      </c>
      <c r="FQ21" s="241" t="inlineStr">
        <is>
          <t>14 P/ PL</t>
        </is>
      </c>
      <c r="FR21" s="18" t="n"/>
      <c r="FS21" s="18" t="n"/>
      <c r="FT21" s="18" t="n"/>
      <c r="FU21" s="18" t="n"/>
      <c r="FV21" s="18" t="n"/>
      <c r="FW21" s="18" t="n"/>
      <c r="FX21" s="256" t="n"/>
      <c r="FY21" s="18" t="n"/>
      <c r="FZ21" s="18" t="n"/>
      <c r="GA21" s="18" t="n"/>
      <c r="GC21" s="29" t="inlineStr">
        <is>
          <t>CAIXA M</t>
        </is>
      </c>
      <c r="GD21" s="9" t="n">
        <v>100</v>
      </c>
      <c r="GE21" s="38">
        <f>CO21</f>
        <v/>
      </c>
      <c r="GF21" s="38" t="n"/>
      <c r="GG21" s="38" t="n"/>
      <c r="GH21" s="38" t="n">
        <v>234</v>
      </c>
      <c r="GI21" s="38" t="n">
        <v>197</v>
      </c>
      <c r="GJ21" s="38" t="n">
        <v>32</v>
      </c>
      <c r="GK21" s="38" t="n">
        <v>18</v>
      </c>
      <c r="GL21" s="38" t="n"/>
      <c r="GM21" s="246">
        <f>GK21+IF(NOT(ISBLANK(OFFSET(GM21,0,6))),N(OFFSET(GM21,0,6)),N(OFFSET(GM21,0,7)))-GL21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30</v>
      </c>
      <c r="E22" s="642" t="n"/>
      <c r="F22" s="38" t="n">
        <v>33</v>
      </c>
      <c r="G22" s="38" t="n">
        <v>30</v>
      </c>
      <c r="H22" s="38" t="n">
        <v>41</v>
      </c>
      <c r="I22" s="38" t="n">
        <v>41</v>
      </c>
      <c r="J22" s="38" t="n">
        <v>41</v>
      </c>
      <c r="K22" s="38" t="n">
        <v>36</v>
      </c>
      <c r="L22" s="38" t="n">
        <v>40</v>
      </c>
      <c r="M22" s="38" t="n">
        <v>40</v>
      </c>
      <c r="N22" s="38" t="n">
        <v>40</v>
      </c>
      <c r="O22" s="38" t="n">
        <v>40</v>
      </c>
      <c r="P22" s="38" t="n">
        <v>40</v>
      </c>
      <c r="Q22" s="38" t="n">
        <v>37</v>
      </c>
      <c r="R22" s="38" t="n">
        <v>37</v>
      </c>
      <c r="S22" s="38" t="n">
        <v>37</v>
      </c>
      <c r="T22" s="38" t="n">
        <v>10</v>
      </c>
      <c r="U22" s="38" t="n">
        <v>10</v>
      </c>
      <c r="V22" s="38" t="n">
        <v>38</v>
      </c>
      <c r="W22" s="38" t="n">
        <v>38</v>
      </c>
      <c r="X22" s="38" t="n">
        <v>38</v>
      </c>
      <c r="Y22" s="38" t="n">
        <v>38</v>
      </c>
      <c r="Z22" s="38" t="n">
        <v>37</v>
      </c>
      <c r="AA22" s="38" t="n">
        <v>37</v>
      </c>
      <c r="AB22" s="38" t="n">
        <v>36</v>
      </c>
      <c r="AC22" s="38" t="n">
        <v>35</v>
      </c>
      <c r="AD22" s="38" t="n">
        <v>40</v>
      </c>
      <c r="AE22" s="38" t="n">
        <v>40</v>
      </c>
      <c r="AF22" s="38" t="n">
        <v>35</v>
      </c>
      <c r="AG22" s="38" t="n">
        <v>35</v>
      </c>
      <c r="AH22" s="38" t="n">
        <v>35</v>
      </c>
      <c r="AI22" s="38" t="n">
        <v>35</v>
      </c>
      <c r="AJ22" s="38" t="n">
        <v>34</v>
      </c>
      <c r="AK22" s="38" t="n">
        <v>35</v>
      </c>
      <c r="AL22" s="38" t="n">
        <v>35</v>
      </c>
      <c r="AM22" s="38" t="n">
        <v>35</v>
      </c>
      <c r="AN22" s="38" t="n">
        <v>33</v>
      </c>
      <c r="AO22" s="38" t="n">
        <v>33</v>
      </c>
      <c r="AP22" s="38" t="n">
        <v>33</v>
      </c>
      <c r="AQ22" s="38" t="n">
        <v>30</v>
      </c>
      <c r="AR22" s="38" t="n">
        <v>28</v>
      </c>
      <c r="AS22" s="38" t="n">
        <v>30</v>
      </c>
      <c r="AT22" s="38" t="n">
        <v>30</v>
      </c>
      <c r="AU22" s="38" t="n">
        <v>30</v>
      </c>
      <c r="AV22" s="38" t="n">
        <v>30</v>
      </c>
      <c r="AW22" s="38" t="n">
        <v>27</v>
      </c>
      <c r="AX22" s="38" t="n">
        <v>27</v>
      </c>
      <c r="AY22" s="38" t="n">
        <v>27</v>
      </c>
      <c r="AZ22" s="38" t="n">
        <v>27</v>
      </c>
      <c r="BA22" s="38" t="n">
        <v>27</v>
      </c>
      <c r="BB22" s="38" t="n">
        <v>27</v>
      </c>
      <c r="BC22" s="38" t="n">
        <v>27</v>
      </c>
      <c r="BD22" s="38" t="n">
        <v>4</v>
      </c>
      <c r="BE22" s="38" t="n">
        <v>4</v>
      </c>
      <c r="BF22" s="38" t="n">
        <v>4</v>
      </c>
      <c r="BG22" s="38" t="n">
        <v>4</v>
      </c>
      <c r="BH22" s="38" t="n">
        <v>27</v>
      </c>
      <c r="BI22" s="38" t="n">
        <v>27</v>
      </c>
      <c r="BJ22" s="261" t="n">
        <v>48</v>
      </c>
      <c r="BK22" s="38" t="n">
        <v>48</v>
      </c>
      <c r="BL22" s="38" t="n">
        <v>48</v>
      </c>
      <c r="BM22" s="38" t="n">
        <v>48</v>
      </c>
      <c r="BN22" s="38" t="n">
        <v>47</v>
      </c>
      <c r="BO22" s="38" t="n">
        <v>47</v>
      </c>
      <c r="BP22" s="38" t="n">
        <v>47</v>
      </c>
      <c r="BQ22" s="38" t="n">
        <v>47</v>
      </c>
      <c r="BR22" s="38" t="n">
        <v>47</v>
      </c>
      <c r="BS22" s="38" t="n">
        <v>47</v>
      </c>
      <c r="BT22" s="38" t="n">
        <v>47</v>
      </c>
      <c r="BU22" s="38" t="n">
        <v>47</v>
      </c>
      <c r="BV22" s="38" t="n">
        <v>47</v>
      </c>
      <c r="BW22" s="38" t="n">
        <v>47</v>
      </c>
      <c r="BX22" s="38" t="n">
        <v>47</v>
      </c>
      <c r="BY22" s="38" t="n">
        <v>46</v>
      </c>
      <c r="BZ22" s="38" t="n">
        <v>45</v>
      </c>
      <c r="CA22" s="38" t="n">
        <v>45</v>
      </c>
      <c r="CB22" s="154">
        <f>BZ22+IF(NOT(ISBLANK(OFFSET(CB22,0,6))),N(OFFSET(CB22,0,6)),N(OFFSET(CB22,0,7)))-CA22</f>
        <v/>
      </c>
      <c r="CD22" s="19" t="n"/>
      <c r="CE22" s="19" t="n"/>
      <c r="CF22" s="4" t="n"/>
      <c r="CG22" s="23" t="n"/>
      <c r="CH22" s="6" t="n"/>
      <c r="CI22" s="18" t="n">
        <v>0</v>
      </c>
      <c r="CJ22" s="18" t="n">
        <v>0</v>
      </c>
      <c r="CK22" s="18" t="n">
        <v>0</v>
      </c>
      <c r="CL22" s="18" t="n"/>
      <c r="CM22" s="18" t="n"/>
      <c r="CN22" s="18" t="n"/>
      <c r="CO22" s="256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403" t="inlineStr">
        <is>
          <t>10 P/ ATC + 25 P/ TP</t>
        </is>
      </c>
      <c r="DJ22" s="18" t="n"/>
      <c r="DK22" s="18" t="n"/>
      <c r="DL22" s="18" t="n"/>
      <c r="DM22" s="392" t="n">
        <v>50</v>
      </c>
      <c r="DN22" s="18" t="n"/>
      <c r="DO22" s="18" t="n"/>
      <c r="DP22" s="18" t="n"/>
      <c r="DQ22" s="256" t="n"/>
      <c r="DR22" s="18" t="n"/>
      <c r="DS22" s="18" t="n"/>
      <c r="DT22" s="18" t="n"/>
      <c r="DU22" s="18" t="n"/>
      <c r="DV22" s="18" t="n"/>
      <c r="DW22" s="18" t="n"/>
      <c r="DX22" s="18" t="n"/>
      <c r="DY22" s="18" t="n"/>
      <c r="DZ22" s="18" t="n"/>
      <c r="EA22" s="18" t="n"/>
      <c r="EB22" s="18" t="n"/>
      <c r="EC22" s="18" t="n"/>
      <c r="ED22" s="18" t="n"/>
      <c r="EE22" s="256" t="n"/>
      <c r="EF22" s="256" t="n"/>
      <c r="EG22" s="18" t="n"/>
      <c r="EH22" s="18" t="n"/>
      <c r="EI22" s="18" t="n"/>
      <c r="EJ22" s="18" t="n"/>
      <c r="EK22" s="18" t="n"/>
      <c r="EL22" s="256" t="n"/>
      <c r="EM22" s="256" t="n">
        <v>150</v>
      </c>
      <c r="EN22" s="18" t="n"/>
      <c r="EO22" s="18" t="n"/>
      <c r="EP22" s="18" t="n"/>
      <c r="EQ22" s="18" t="n"/>
      <c r="ER22" s="256" t="n"/>
      <c r="ES22" s="18" t="n"/>
      <c r="ET22" s="18" t="n"/>
      <c r="EU22" s="256" t="n"/>
      <c r="EV22" s="256" t="n"/>
      <c r="EW22" s="312" t="inlineStr">
        <is>
          <t>50 P/ TP</t>
        </is>
      </c>
      <c r="EX22" s="293" t="inlineStr">
        <is>
          <t>05 P/ ATC + 20 P/ PL</t>
        </is>
      </c>
      <c r="EY22" s="18" t="n"/>
      <c r="EZ22" s="256" t="n"/>
      <c r="FA22" s="18" t="n"/>
      <c r="FB22" s="256" t="n"/>
      <c r="FC22" s="256" t="n"/>
      <c r="FD22" s="18" t="n"/>
      <c r="FE22" s="18" t="n"/>
      <c r="FF22" s="18" t="n"/>
      <c r="FG22" s="18" t="n"/>
      <c r="FH22" s="18" t="n"/>
      <c r="FI22" s="256" t="n">
        <v>75</v>
      </c>
      <c r="FJ22" s="18" t="n"/>
      <c r="FK22" s="18" t="n"/>
      <c r="FL22" s="18" t="n"/>
      <c r="FM22" s="18" t="n"/>
      <c r="FN22" s="18" t="n"/>
      <c r="FO22" s="18" t="n"/>
      <c r="FP22" s="18" t="n"/>
      <c r="FQ22" s="18" t="n"/>
      <c r="FR22" s="18" t="n"/>
      <c r="FS22" s="18" t="n"/>
      <c r="FT22" s="18" t="n"/>
      <c r="FU22" s="18" t="n"/>
      <c r="FV22" s="18" t="n"/>
      <c r="FW22" s="18" t="n"/>
      <c r="FX22" s="256" t="n"/>
      <c r="FY22" s="18" t="n"/>
      <c r="FZ22" s="18" t="n"/>
      <c r="GA22" s="18" t="n"/>
      <c r="GC22" s="30" t="inlineStr">
        <is>
          <t>CARTUCHO P</t>
        </is>
      </c>
      <c r="GD22" s="9" t="n">
        <v>200</v>
      </c>
      <c r="GE22" s="38" t="n">
        <v>0</v>
      </c>
      <c r="GF22" s="38" t="n"/>
      <c r="GG22" s="38" t="n"/>
      <c r="GH22" s="38" t="n">
        <v>0</v>
      </c>
      <c r="GI22" s="261" t="n">
        <v>-1</v>
      </c>
      <c r="GJ22" s="38" t="n">
        <v>0</v>
      </c>
      <c r="GK22" s="38" t="n">
        <v>0</v>
      </c>
      <c r="GL22" s="38" t="n"/>
      <c r="GM22" s="246">
        <f>GK22+IF(NOT(ISBLANK(OFFSET(GM22,0,6))),N(OFFSET(GM22,0,6)),N(OFFSET(GM22,0,7)))-GL22</f>
        <v/>
      </c>
    </row>
    <row r="23" ht="18.75" customHeight="1">
      <c r="CD23" s="6" t="n"/>
      <c r="CE23" s="6" t="n"/>
      <c r="CI23" s="6" t="n"/>
      <c r="CJ23" s="6" t="n"/>
      <c r="CK23" s="6" t="n"/>
      <c r="CL23" s="6" t="n"/>
      <c r="CM23" s="6" t="n"/>
      <c r="CN23" s="6" t="n"/>
      <c r="CO23" s="256" t="n">
        <v>150</v>
      </c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J23" s="6" t="n"/>
      <c r="DK23" s="6" t="n"/>
      <c r="DL23" s="6" t="n"/>
      <c r="DM23" s="288" t="n">
        <v>400</v>
      </c>
      <c r="DN23" s="6" t="n"/>
      <c r="DO23" s="6" t="n"/>
      <c r="DP23" s="6" t="n"/>
      <c r="DQ23" s="6" t="n"/>
      <c r="DR23" s="6" t="n"/>
      <c r="DS23" s="6" t="n"/>
      <c r="DT23" s="6" t="n"/>
      <c r="DU23" s="6" t="n"/>
      <c r="DV23" s="6" t="n"/>
      <c r="DW23" s="6" t="n"/>
      <c r="DX23" s="6" t="n"/>
      <c r="DY23" s="6" t="n"/>
      <c r="DZ23" s="6" t="n"/>
      <c r="EA23" s="6" t="n"/>
      <c r="EB23" s="6" t="n"/>
      <c r="EC23" s="6" t="n"/>
      <c r="ED23" s="6" t="n"/>
      <c r="EE23" s="6" t="n"/>
      <c r="EG23" s="6" t="n"/>
      <c r="EH23" s="6" t="n"/>
      <c r="EI23" s="6" t="n"/>
      <c r="EJ23" s="6" t="n"/>
      <c r="EK23" s="6" t="n"/>
      <c r="EL23" s="256" t="n">
        <v>25</v>
      </c>
      <c r="EM23" s="6" t="n"/>
      <c r="EN23" s="6" t="n"/>
      <c r="EO23" s="6" t="n"/>
      <c r="EP23" s="6" t="n"/>
      <c r="EQ23" s="6" t="n"/>
      <c r="ER23" s="6" t="n"/>
      <c r="ES23" s="6" t="n"/>
      <c r="ET23" s="6" t="n"/>
      <c r="EU23" s="6" t="n"/>
      <c r="EV23" s="269" t="n"/>
      <c r="EW23" s="6" t="n"/>
      <c r="EY23" s="6" t="n"/>
      <c r="EZ23" s="6" t="n"/>
      <c r="FA23" s="6" t="n"/>
      <c r="FC23" s="288" t="n"/>
      <c r="FD23" s="6" t="n"/>
      <c r="FE23" s="6" t="n"/>
      <c r="FF23" s="6" t="n"/>
      <c r="FG23" s="6" t="n"/>
      <c r="FH23" s="6" t="n"/>
      <c r="FI23" s="288" t="n"/>
      <c r="FJ23" s="6" t="n"/>
      <c r="FK23" s="6" t="n"/>
      <c r="FL23" s="6" t="n"/>
      <c r="FM23" s="6" t="n"/>
      <c r="FN23" s="6" t="n"/>
      <c r="FO23" s="6" t="n"/>
      <c r="FP23" s="6" t="n"/>
      <c r="FQ23" s="6" t="n"/>
      <c r="FR23" s="6" t="n"/>
      <c r="FS23" s="6" t="n"/>
      <c r="FT23" s="6" t="n"/>
      <c r="FU23" s="6" t="n"/>
      <c r="FV23" s="6" t="n"/>
      <c r="FW23" s="6" t="n"/>
      <c r="FZ23" s="6" t="n"/>
      <c r="GA23" s="6" t="n"/>
      <c r="GC23" s="30" t="inlineStr">
        <is>
          <t>CARTUCHO M</t>
        </is>
      </c>
      <c r="GD23" s="9" t="n">
        <v>150</v>
      </c>
      <c r="GE23" s="38">
        <f>CO23</f>
        <v/>
      </c>
      <c r="GF23" s="38" t="n"/>
      <c r="GG23" s="38" t="n"/>
      <c r="GH23" s="38" t="n">
        <v>131</v>
      </c>
      <c r="GI23" s="261" t="n">
        <v>29</v>
      </c>
      <c r="GJ23" s="38" t="n">
        <v>2</v>
      </c>
      <c r="GK23" s="38" t="n">
        <v>1</v>
      </c>
      <c r="GL23" s="38" t="n"/>
      <c r="GM23" s="246">
        <f>GK23+IF(NOT(ISBLANK(OFFSET(GM23,0,6))),N(OFFSET(GM23,0,6)),N(OFFSET(GM23,0,7)))-GL23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86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60" t="inlineStr">
        <is>
          <t>USOU</t>
        </is>
      </c>
      <c r="CD24" s="6" t="n"/>
      <c r="CE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J24" s="6" t="n"/>
      <c r="DK24" s="6" t="n"/>
      <c r="DL24" s="6" t="n"/>
      <c r="DM24" s="393" t="n">
        <v>300</v>
      </c>
      <c r="DN24" s="6" t="n"/>
      <c r="DO24" s="6" t="n"/>
      <c r="DP24" s="6" t="n"/>
      <c r="DQ24" s="6" t="n"/>
      <c r="DR24" s="6" t="n"/>
      <c r="DS24" s="6" t="n"/>
      <c r="DT24" s="6" t="n"/>
      <c r="DU24" s="6" t="n"/>
      <c r="DV24" s="6" t="n"/>
      <c r="DW24" s="6" t="n"/>
      <c r="DX24" s="6" t="n"/>
      <c r="DY24" s="6" t="n"/>
      <c r="DZ24" s="6" t="n"/>
      <c r="EA24" s="6" t="n"/>
      <c r="EB24" s="6" t="n"/>
      <c r="EC24" s="6" t="n"/>
      <c r="ED24" s="6" t="n"/>
      <c r="EE24" s="6" t="n"/>
      <c r="EG24" s="6" t="n"/>
      <c r="EH24" s="6" t="n"/>
      <c r="EI24" s="6" t="n"/>
      <c r="EJ24" s="6" t="n"/>
      <c r="EK24" s="6" t="n"/>
      <c r="EL24" s="256" t="n">
        <v>25</v>
      </c>
      <c r="EM24" s="6" t="n"/>
      <c r="EN24" s="6" t="n"/>
      <c r="EO24" s="6" t="n"/>
      <c r="EP24" s="6" t="n"/>
      <c r="EQ24" s="6" t="n"/>
      <c r="ER24" s="6" t="n"/>
      <c r="ES24" s="6" t="n"/>
      <c r="ET24" s="6" t="n"/>
      <c r="EU24" s="6" t="n"/>
      <c r="EV24" s="269" t="n"/>
      <c r="EW24" s="6" t="n"/>
      <c r="EY24" s="6" t="n"/>
      <c r="EZ24" s="6" t="n"/>
      <c r="FA24" s="6" t="n"/>
      <c r="FC24" s="293" t="inlineStr">
        <is>
          <t>100 P/ PL</t>
        </is>
      </c>
      <c r="FH24" s="6" t="n"/>
      <c r="FI24" s="288" t="n">
        <v>150</v>
      </c>
      <c r="FL24" s="6" t="n"/>
      <c r="FQ24" s="6" t="n"/>
      <c r="FS24" s="6" t="n"/>
    </row>
    <row r="25" hidden="1" ht="18.75" customHeight="1">
      <c r="A25" s="243" t="inlineStr">
        <is>
          <t>CAIXA M PAIS/24</t>
        </is>
      </c>
      <c r="B25" s="244" t="n">
        <v>100</v>
      </c>
      <c r="C25" s="695" t="n">
        <v>722</v>
      </c>
      <c r="D25" s="342" t="n"/>
      <c r="E25" s="6" t="n"/>
      <c r="F25" s="38" t="n">
        <v>0</v>
      </c>
      <c r="G25" s="38" t="n">
        <v>0</v>
      </c>
      <c r="H25" s="38" t="n">
        <v>0</v>
      </c>
      <c r="I25" s="38" t="n">
        <v>0</v>
      </c>
      <c r="J25" s="38" t="n">
        <v>0</v>
      </c>
      <c r="K25" s="38" t="n">
        <v>0</v>
      </c>
      <c r="L25" s="38" t="n">
        <v>0</v>
      </c>
      <c r="M25" s="38" t="n">
        <v>0</v>
      </c>
      <c r="N25" s="38" t="n">
        <v>0</v>
      </c>
      <c r="O25" s="38" t="n">
        <v>0</v>
      </c>
      <c r="P25" s="38" t="n">
        <v>0</v>
      </c>
      <c r="Q25" s="38" t="n">
        <v>0</v>
      </c>
      <c r="R25" s="38" t="n">
        <v>0</v>
      </c>
      <c r="S25" s="38" t="n">
        <v>0</v>
      </c>
      <c r="T25" s="38" t="n">
        <v>0</v>
      </c>
      <c r="U25" s="38" t="n">
        <v>0</v>
      </c>
      <c r="V25" s="38" t="n">
        <v>0</v>
      </c>
      <c r="W25" s="38" t="n">
        <v>0</v>
      </c>
      <c r="X25" s="38" t="n">
        <v>0</v>
      </c>
      <c r="Y25" s="38" t="n">
        <v>0</v>
      </c>
      <c r="Z25" s="38" t="n">
        <v>0</v>
      </c>
      <c r="AA25" s="38" t="n">
        <v>0</v>
      </c>
      <c r="AB25" s="38" t="n">
        <v>0</v>
      </c>
      <c r="AC25" s="38" t="n">
        <v>0</v>
      </c>
      <c r="AD25" s="38" t="n">
        <v>0</v>
      </c>
      <c r="AE25" s="38" t="n">
        <v>0</v>
      </c>
      <c r="AF25" s="38" t="n">
        <v>0</v>
      </c>
      <c r="AG25" s="38" t="n">
        <v>0</v>
      </c>
      <c r="AH25" s="38" t="n">
        <v>0</v>
      </c>
      <c r="AI25" s="38" t="n">
        <v>0</v>
      </c>
      <c r="AJ25" s="38" t="n">
        <v>0</v>
      </c>
      <c r="AK25" s="38" t="n">
        <v>0</v>
      </c>
      <c r="AL25" s="38" t="n">
        <v>0</v>
      </c>
      <c r="AM25" s="38" t="n">
        <v>0</v>
      </c>
      <c r="AN25" s="38" t="n">
        <v>0</v>
      </c>
      <c r="AO25" s="38" t="n">
        <v>0</v>
      </c>
      <c r="AP25" s="38" t="n">
        <v>0</v>
      </c>
      <c r="AQ25" s="38" t="n">
        <v>0</v>
      </c>
      <c r="AR25" s="38" t="n">
        <v>0</v>
      </c>
      <c r="AS25" s="38" t="n">
        <v>0</v>
      </c>
      <c r="AT25" s="38" t="n">
        <v>0</v>
      </c>
      <c r="AU25" s="38" t="n">
        <v>0</v>
      </c>
      <c r="AV25" s="38" t="n">
        <v>0</v>
      </c>
      <c r="AW25" s="38" t="n">
        <v>0</v>
      </c>
      <c r="AX25" s="38" t="n">
        <v>0</v>
      </c>
      <c r="AY25" s="38" t="n">
        <v>0</v>
      </c>
      <c r="AZ25" s="38" t="n">
        <v>0</v>
      </c>
      <c r="BA25" s="38" t="n">
        <v>0</v>
      </c>
      <c r="BB25" s="38" t="n">
        <v>0</v>
      </c>
      <c r="BC25" s="38" t="n">
        <v>0</v>
      </c>
      <c r="BD25" s="38" t="n">
        <v>0</v>
      </c>
      <c r="BE25" s="38" t="n">
        <v>0</v>
      </c>
      <c r="BF25" s="38" t="n"/>
      <c r="BG25" s="38" t="n"/>
      <c r="BH25" s="38" t="n"/>
      <c r="BI25" s="38" t="n"/>
      <c r="BJ25" s="38" t="n"/>
      <c r="BK25" s="38" t="n"/>
      <c r="BL25" s="38" t="n"/>
      <c r="BM25" s="38" t="n"/>
      <c r="BN25" s="38" t="n"/>
      <c r="BO25" s="38" t="n"/>
      <c r="BP25" s="38" t="n"/>
      <c r="BQ25" s="38" t="n"/>
      <c r="BR25" s="38" t="n"/>
      <c r="BS25" s="38" t="n"/>
      <c r="BT25" s="38" t="n"/>
      <c r="BU25" s="38" t="n"/>
      <c r="BV25" s="38" t="n"/>
      <c r="BW25" s="38" t="n"/>
      <c r="BX25" s="38" t="n"/>
      <c r="BY25" s="38" t="n"/>
      <c r="BZ25" s="38" t="n"/>
      <c r="CA25" s="38" t="n"/>
      <c r="CB25" s="246">
        <f>BZ25+IF(NOT(ISBLANK(OFFSET(CB25,0,6))),N(OFFSET(CB25,0,6)),N(OFFSET(CB25,0,7)))-CA25</f>
        <v/>
      </c>
      <c r="CD25" s="6" t="n"/>
      <c r="CE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inlineStr">
        <is>
          <t> </t>
        </is>
      </c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G25" s="6" t="n"/>
      <c r="EH25" s="6" t="n"/>
      <c r="EI25" s="6" t="n"/>
      <c r="EJ25" s="6" t="n"/>
      <c r="EK25" s="6" t="n"/>
      <c r="EL25" s="256" t="n">
        <v>25</v>
      </c>
      <c r="EM25" s="6" t="n"/>
      <c r="EN25" s="6" t="n"/>
      <c r="EO25" s="6" t="n"/>
      <c r="EP25" s="6" t="n"/>
      <c r="EQ25" s="6" t="n"/>
      <c r="ER25" s="6" t="n"/>
      <c r="ES25" s="6" t="n"/>
      <c r="ET25" s="6" t="n"/>
      <c r="EU25" s="6" t="n"/>
      <c r="EV25" s="269" t="n"/>
      <c r="EW25" s="6" t="n"/>
      <c r="EX25" s="289" t="n"/>
      <c r="EY25" s="6" t="n"/>
      <c r="EZ25" s="6" t="n"/>
      <c r="FA25" s="6" t="n"/>
      <c r="FB25" s="289" t="n"/>
      <c r="FC25" s="289" t="n"/>
      <c r="FH25" s="6" t="n"/>
      <c r="FI25" s="289" t="n"/>
      <c r="FL25" s="6" t="n"/>
      <c r="FQ25" s="6" t="n"/>
      <c r="FS25" s="6" t="n"/>
      <c r="GC25" s="6" t="n"/>
      <c r="GD25" s="6" t="n"/>
      <c r="GE25" s="6" t="n"/>
      <c r="GF25" s="6" t="n"/>
      <c r="GG25" s="6" t="n"/>
      <c r="GH25" s="6" t="n"/>
      <c r="GI25" s="6" t="n"/>
      <c r="GJ25" s="6" t="n"/>
      <c r="GK25" s="6" t="n"/>
      <c r="GL25" s="6" t="n"/>
      <c r="GM25" s="6" t="n"/>
    </row>
    <row r="26" ht="18.75" customHeight="1">
      <c r="A26" s="247" t="inlineStr">
        <is>
          <t>CAIXA M DIVERT./24</t>
        </is>
      </c>
      <c r="B26" s="248" t="n">
        <v>100</v>
      </c>
      <c r="C26" s="666" t="n">
        <v>790</v>
      </c>
      <c r="D26" s="342" t="n"/>
      <c r="E26" s="6" t="n"/>
      <c r="F26" s="38" t="n">
        <v>279</v>
      </c>
      <c r="G26" s="38" t="n">
        <v>279</v>
      </c>
      <c r="H26" s="38" t="n">
        <v>279</v>
      </c>
      <c r="I26" s="38" t="n">
        <v>262</v>
      </c>
      <c r="J26" s="38" t="n">
        <v>257</v>
      </c>
      <c r="K26" s="38" t="n">
        <v>262</v>
      </c>
      <c r="L26" s="38" t="n">
        <v>262</v>
      </c>
      <c r="M26" s="38" t="n">
        <v>242</v>
      </c>
      <c r="N26" s="38" t="n">
        <v>232</v>
      </c>
      <c r="O26" s="38">
        <f>232-50</f>
        <v/>
      </c>
      <c r="P26" s="38" t="n">
        <v>175</v>
      </c>
      <c r="Q26" s="38" t="n">
        <v>163</v>
      </c>
      <c r="R26" s="38" t="n">
        <v>151</v>
      </c>
      <c r="S26" s="38" t="n">
        <v>154</v>
      </c>
      <c r="T26" s="38" t="n">
        <v>154</v>
      </c>
      <c r="U26" s="38" t="n">
        <v>154</v>
      </c>
      <c r="V26" s="38" t="n">
        <v>148</v>
      </c>
      <c r="W26" s="38" t="n">
        <v>147</v>
      </c>
      <c r="X26" s="38" t="n">
        <v>147</v>
      </c>
      <c r="Y26" s="38" t="n">
        <v>131</v>
      </c>
      <c r="Z26" s="38">
        <f>117-20</f>
        <v/>
      </c>
      <c r="AA26" s="38" t="n">
        <v>118</v>
      </c>
      <c r="AB26" s="38" t="n">
        <v>114</v>
      </c>
      <c r="AC26" s="38" t="n">
        <v>107</v>
      </c>
      <c r="AD26" s="38" t="n">
        <v>70</v>
      </c>
      <c r="AE26" s="38" t="n">
        <v>34</v>
      </c>
      <c r="AF26" s="38" t="n">
        <v>19</v>
      </c>
      <c r="AG26" s="38" t="n">
        <v>14</v>
      </c>
      <c r="AH26" s="261" t="n">
        <v>20</v>
      </c>
      <c r="AI26" s="38" t="n">
        <v>18</v>
      </c>
      <c r="AJ26" s="38" t="n">
        <v>16</v>
      </c>
      <c r="AK26" s="38" t="n">
        <v>15</v>
      </c>
      <c r="AL26" s="38" t="n">
        <v>8</v>
      </c>
      <c r="AM26" s="38" t="n">
        <v>7</v>
      </c>
      <c r="AN26" s="38">
        <f>5+50</f>
        <v/>
      </c>
      <c r="AO26" s="38" t="n">
        <v>51</v>
      </c>
      <c r="AP26" s="38" t="n">
        <v>50</v>
      </c>
      <c r="AQ26" s="38" t="n">
        <v>54</v>
      </c>
      <c r="AR26" s="38" t="n">
        <v>54</v>
      </c>
      <c r="AS26" s="38" t="n">
        <v>54</v>
      </c>
      <c r="AT26" s="38" t="n">
        <v>41</v>
      </c>
      <c r="AU26" s="38" t="n">
        <v>30</v>
      </c>
      <c r="AV26" s="38" t="n">
        <v>28</v>
      </c>
      <c r="AW26" s="38" t="n">
        <v>26</v>
      </c>
      <c r="AX26" s="38" t="n">
        <v>23</v>
      </c>
      <c r="AY26" s="38" t="n">
        <v>23</v>
      </c>
      <c r="AZ26" s="38" t="n">
        <v>23</v>
      </c>
      <c r="BA26" s="38" t="n">
        <v>23</v>
      </c>
      <c r="BB26" s="38" t="n">
        <v>23</v>
      </c>
      <c r="BC26" s="38" t="n">
        <v>6</v>
      </c>
      <c r="BD26" s="38" t="n">
        <v>2</v>
      </c>
      <c r="BE26" s="38" t="n">
        <v>1</v>
      </c>
      <c r="BF26" s="38" t="n">
        <v>1</v>
      </c>
      <c r="BG26" s="38" t="n">
        <v>6</v>
      </c>
      <c r="BH26" s="38" t="n">
        <v>6</v>
      </c>
      <c r="BI26" s="38" t="n">
        <v>6</v>
      </c>
      <c r="BJ26" s="38" t="n">
        <v>0</v>
      </c>
      <c r="BK26" s="38" t="n">
        <v>0</v>
      </c>
      <c r="BL26" s="38" t="n">
        <v>0</v>
      </c>
      <c r="BM26" s="38" t="n">
        <v>0</v>
      </c>
      <c r="BN26" s="38" t="n">
        <v>0</v>
      </c>
      <c r="BO26" s="38" t="n">
        <v>0</v>
      </c>
      <c r="BP26" s="38" t="n">
        <v>0</v>
      </c>
      <c r="BQ26" s="38" t="n">
        <v>0</v>
      </c>
      <c r="BR26" s="38" t="n">
        <v>0</v>
      </c>
      <c r="BS26" s="38" t="n">
        <v>0</v>
      </c>
      <c r="BT26" s="38" t="n">
        <v>0</v>
      </c>
      <c r="BU26" s="38" t="n">
        <v>0</v>
      </c>
      <c r="BV26" s="38" t="n">
        <v>0</v>
      </c>
      <c r="BW26" s="38" t="n">
        <v>0</v>
      </c>
      <c r="BX26" s="38" t="n">
        <v>0</v>
      </c>
      <c r="BY26" s="38" t="n">
        <v>0</v>
      </c>
      <c r="BZ26" s="38" t="n">
        <v>0</v>
      </c>
      <c r="CA26" s="38" t="n">
        <v>0</v>
      </c>
      <c r="CB26" s="246">
        <f>BZ26+IF(NOT(ISBLANK(OFFSET(CB26,0,6))),N(OFFSET(CB26,0,6)),N(OFFSET(CB26,0,7)))-CA26</f>
        <v/>
      </c>
      <c r="CD26" s="6" t="n"/>
      <c r="CE26" s="6" t="n"/>
      <c r="CO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6" t="n"/>
      <c r="ED26" s="6" t="n"/>
      <c r="EE26" s="6" t="n"/>
      <c r="EG26" s="6" t="n"/>
      <c r="EH26" s="6" t="n"/>
      <c r="EI26" s="6" t="n"/>
      <c r="EJ26" s="6" t="n"/>
      <c r="EK26" s="6" t="n"/>
      <c r="EL26" s="6" t="n"/>
      <c r="EM26" s="6" t="n"/>
      <c r="EN26" s="6" t="n"/>
      <c r="EO26" s="6" t="n"/>
      <c r="EP26" s="6" t="n"/>
      <c r="EQ26" s="6" t="n"/>
      <c r="ER26" s="6" t="n"/>
      <c r="ES26" s="6" t="n"/>
      <c r="ET26" s="6" t="n"/>
      <c r="EU26" s="6" t="n"/>
      <c r="EV26" s="269" t="n"/>
      <c r="EW26" s="6" t="n"/>
      <c r="EX26" s="289" t="n"/>
      <c r="EY26" s="6" t="n"/>
      <c r="EZ26" s="6" t="n"/>
      <c r="FA26" s="6" t="n"/>
      <c r="FB26" s="289" t="n"/>
      <c r="FC26" s="289" t="n"/>
      <c r="FH26" s="6" t="n"/>
      <c r="FI26" s="289" t="n"/>
      <c r="FL26" s="6" t="n"/>
      <c r="FQ26" s="6" t="n"/>
      <c r="FS26" s="6" t="n"/>
      <c r="GC26" s="6" t="n"/>
      <c r="GD26" s="6" t="n"/>
      <c r="GE26" s="6" t="n"/>
      <c r="GF26" s="6" t="n"/>
      <c r="GG26" s="6" t="n"/>
      <c r="GH26" s="6" t="n"/>
      <c r="GI26" s="6" t="n"/>
      <c r="GJ26" s="6" t="n"/>
      <c r="GK26" s="6" t="n"/>
      <c r="GL26" s="6" t="n"/>
      <c r="GM26" s="6" t="n"/>
    </row>
    <row r="27" hidden="1" ht="18.75" customHeight="1">
      <c r="A27" s="250" t="inlineStr">
        <is>
          <t>CAIXA P NAT./24</t>
        </is>
      </c>
      <c r="B27" s="251" t="n">
        <v>150</v>
      </c>
      <c r="C27" s="667" t="n">
        <v>715.5</v>
      </c>
      <c r="D27" s="342" t="n"/>
      <c r="E27" s="6" t="n"/>
      <c r="F27" s="9" t="n">
        <v>42</v>
      </c>
      <c r="G27" s="9">
        <f>29-50</f>
        <v/>
      </c>
      <c r="H27" s="38" t="n">
        <v>3</v>
      </c>
      <c r="I27" s="38" t="n">
        <v>3</v>
      </c>
      <c r="J27" s="38" t="n">
        <v>2</v>
      </c>
      <c r="K27" s="38" t="n">
        <v>1</v>
      </c>
      <c r="L27" s="38" t="n">
        <v>0</v>
      </c>
      <c r="M27" s="38" t="n">
        <v>0</v>
      </c>
      <c r="N27" s="38" t="n">
        <v>0</v>
      </c>
      <c r="O27" s="38" t="n">
        <v>0</v>
      </c>
      <c r="P27" s="38" t="n">
        <v>0</v>
      </c>
      <c r="Q27" s="38" t="n">
        <v>0</v>
      </c>
      <c r="R27" s="38" t="n">
        <v>0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D27" s="6" t="n"/>
      <c r="CE27" s="6" t="n"/>
      <c r="CO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53" t="n"/>
      <c r="EG27" s="6" t="n"/>
      <c r="EH27" s="6" t="n"/>
      <c r="EI27" s="6" t="n"/>
      <c r="EJ27" s="6" t="n"/>
      <c r="EK27" s="6" t="n"/>
      <c r="EL27" s="6" t="n"/>
      <c r="EM27" s="6" t="n"/>
      <c r="EN27" s="6" t="n"/>
      <c r="EO27" s="6" t="n"/>
      <c r="EP27" s="6" t="n"/>
      <c r="EQ27" s="6" t="n"/>
      <c r="ER27" s="6" t="n"/>
      <c r="ES27" s="6" t="n"/>
      <c r="ET27" s="6" t="n"/>
      <c r="EU27" s="6" t="n"/>
      <c r="EV27" s="269" t="n"/>
      <c r="EW27" s="6" t="n"/>
      <c r="EX27" s="289" t="n"/>
      <c r="EY27" s="6" t="n"/>
      <c r="EZ27" s="6" t="n"/>
      <c r="FA27" s="6" t="n"/>
      <c r="FB27" s="289" t="n"/>
      <c r="FC27" s="289" t="n"/>
      <c r="FH27" s="6" t="n"/>
      <c r="FI27" s="289" t="n"/>
      <c r="FL27" s="6" t="n"/>
      <c r="FQ27" s="6" t="n"/>
      <c r="FS27" s="6" t="n"/>
      <c r="GC27" s="6" t="n"/>
      <c r="GD27" s="6" t="n"/>
      <c r="GE27" s="6" t="n"/>
      <c r="GF27" s="6" t="n"/>
      <c r="GG27" s="6" t="n"/>
      <c r="GH27" s="6" t="n"/>
      <c r="GI27" s="6" t="n"/>
      <c r="GJ27" s="6" t="n"/>
      <c r="GK27" s="6" t="n"/>
      <c r="GL27" s="6" t="n"/>
      <c r="GM27" s="6" t="n"/>
    </row>
    <row r="28" hidden="1" ht="18.75" customHeight="1">
      <c r="A28" s="250" t="inlineStr">
        <is>
          <t>CAIXA M NAT./24</t>
        </is>
      </c>
      <c r="B28" s="251" t="n">
        <v>100</v>
      </c>
      <c r="C28" s="667" t="n">
        <v>746</v>
      </c>
      <c r="D28" s="342" t="n"/>
      <c r="E28" s="6" t="n"/>
      <c r="F28" s="9" t="n">
        <v>159</v>
      </c>
      <c r="G28" s="9" t="n">
        <v>127</v>
      </c>
      <c r="H28" s="38" t="n">
        <v>82</v>
      </c>
      <c r="I28" s="38" t="n">
        <v>41</v>
      </c>
      <c r="J28" s="38" t="n">
        <v>28</v>
      </c>
      <c r="K28" s="38" t="n">
        <v>15</v>
      </c>
      <c r="L28" s="38" t="n">
        <v>0</v>
      </c>
      <c r="M28" s="38" t="n">
        <v>3</v>
      </c>
      <c r="N28" s="38" t="n">
        <v>3</v>
      </c>
      <c r="O28" s="38" t="n">
        <v>3</v>
      </c>
      <c r="P28" s="38" t="n">
        <v>3</v>
      </c>
      <c r="Q28" s="38" t="n">
        <v>3</v>
      </c>
      <c r="R28" s="38" t="n">
        <v>0</v>
      </c>
      <c r="S28" s="38" t="n">
        <v>0</v>
      </c>
      <c r="T28" s="38" t="n">
        <v>0</v>
      </c>
      <c r="U28" s="38" t="n">
        <v>0</v>
      </c>
      <c r="V28" s="38" t="n">
        <v>0</v>
      </c>
      <c r="W28" s="38" t="n">
        <v>0</v>
      </c>
      <c r="X28" s="38" t="n">
        <v>0</v>
      </c>
      <c r="Y28" s="38" t="n">
        <v>0</v>
      </c>
      <c r="Z28" s="38" t="n">
        <v>0</v>
      </c>
      <c r="AA28" s="38" t="n"/>
      <c r="AB28" s="38" t="n"/>
      <c r="AC28" s="38" t="n"/>
      <c r="AD28" s="38" t="n"/>
      <c r="AE28" s="38" t="n"/>
      <c r="AF28" s="38" t="n"/>
      <c r="AG28" s="38" t="n"/>
      <c r="AH28" s="38" t="n"/>
      <c r="AI28" s="38" t="n"/>
      <c r="AJ28" s="38" t="n"/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246">
        <f>BZ28+IF(NOT(ISBLANK(OFFSET(CB28,0,6))),N(OFFSET(CB28,0,6)),N(OFFSET(CB28,0,7)))-CA28</f>
        <v/>
      </c>
      <c r="CD28" s="6" t="n"/>
      <c r="CE28" s="6" t="n"/>
      <c r="CI28" s="57" t="n"/>
      <c r="CJ28" s="57" t="n"/>
      <c r="CK28" s="57" t="n"/>
      <c r="CL28" s="57" t="n"/>
      <c r="CM28" s="57" t="n"/>
      <c r="CN28" s="57" t="n"/>
      <c r="CO28" s="6" t="n"/>
      <c r="CP28" s="57" t="n"/>
      <c r="CQ28" s="57" t="n"/>
      <c r="CR28" s="57" t="n"/>
      <c r="CS28" s="57" t="n"/>
      <c r="CT28" s="57" t="n"/>
      <c r="CU28" s="57" t="n"/>
      <c r="CV28" s="57" t="n"/>
      <c r="CW28" s="57" t="n"/>
      <c r="CX28" s="57" t="n"/>
      <c r="CY28" s="57" t="n"/>
      <c r="CZ28" s="6" t="n"/>
      <c r="DA28" s="6" t="n"/>
      <c r="DB28" s="6" t="n"/>
      <c r="DC28" s="6" t="n"/>
      <c r="DD28" s="6" t="n"/>
      <c r="DE28" s="6" t="n"/>
      <c r="DF28" s="6" t="n"/>
      <c r="DG28" s="6" t="n"/>
      <c r="DH28" s="6" t="n"/>
      <c r="DI28" s="6" t="n"/>
      <c r="DJ28" s="6" t="n"/>
      <c r="DK28" s="6" t="n"/>
      <c r="DL28" s="6" t="n"/>
      <c r="DM28" s="6" t="n"/>
      <c r="DN28" s="6" t="n"/>
      <c r="DO28" s="6" t="n"/>
      <c r="DP28" s="6" t="n"/>
      <c r="DQ28" s="6" t="n"/>
      <c r="DR28" s="6" t="n"/>
      <c r="DS28" s="6" t="n"/>
      <c r="DT28" s="6" t="n"/>
      <c r="DU28" s="6" t="n"/>
      <c r="DV28" s="6" t="n"/>
      <c r="DW28" s="6" t="n"/>
      <c r="DX28" s="6" t="n"/>
      <c r="DY28" s="6" t="n"/>
      <c r="DZ28" s="6" t="n"/>
      <c r="EA28" s="6" t="n"/>
      <c r="EB28" s="6" t="n"/>
      <c r="EC28" s="6" t="n"/>
      <c r="ED28" s="6" t="n"/>
      <c r="EE28" s="6" t="n"/>
      <c r="EF28" s="53" t="n"/>
      <c r="EG28" s="6" t="n"/>
      <c r="EH28" s="6" t="n"/>
      <c r="EI28" s="6" t="n"/>
      <c r="EJ28" s="6" t="n"/>
      <c r="EK28" s="6" t="n"/>
      <c r="EL28" s="6" t="n"/>
      <c r="EM28" s="6" t="n"/>
      <c r="EN28" s="6" t="n"/>
      <c r="EO28" s="6" t="n"/>
      <c r="EP28" s="6" t="n"/>
      <c r="EQ28" s="6" t="n"/>
      <c r="ER28" s="6" t="n"/>
      <c r="ES28" s="6" t="n"/>
      <c r="ET28" s="6" t="n"/>
      <c r="EU28" s="6" t="n"/>
      <c r="EV28" s="269" t="n"/>
      <c r="EW28" s="6" t="n"/>
      <c r="EX28" s="289" t="n"/>
      <c r="EY28" s="6" t="n"/>
      <c r="EZ28" s="6" t="n"/>
      <c r="FA28" s="6" t="n"/>
      <c r="FB28" s="289" t="n"/>
      <c r="FC28" s="289" t="n"/>
      <c r="FH28" s="6" t="n"/>
      <c r="FI28" s="289" t="n"/>
      <c r="FL28" s="6" t="n"/>
      <c r="FQ28" s="6" t="n"/>
      <c r="FS28" s="6" t="n"/>
      <c r="FX28" s="53" t="n"/>
      <c r="GC28" s="6" t="n"/>
      <c r="GD28" s="6" t="n"/>
      <c r="GE28" s="6" t="n"/>
      <c r="GF28" s="6" t="n"/>
      <c r="GG28" s="6" t="n"/>
      <c r="GH28" s="6" t="n"/>
      <c r="GI28" s="6" t="n"/>
      <c r="GJ28" s="6" t="n"/>
      <c r="GK28" s="6" t="n"/>
      <c r="GL28" s="6" t="n"/>
      <c r="GM28" s="6" t="n"/>
    </row>
    <row r="29" hidden="1" ht="18.75" customHeight="1">
      <c r="A29" s="250" t="inlineStr">
        <is>
          <t>CAIXA G NAT./24</t>
        </is>
      </c>
      <c r="B29" s="251" t="n">
        <v>50</v>
      </c>
      <c r="C29" s="667" t="n">
        <v>777</v>
      </c>
      <c r="D29" s="342" t="n"/>
      <c r="E29" s="6" t="n"/>
      <c r="F29" s="9" t="n">
        <v>20</v>
      </c>
      <c r="G29" s="9" t="n">
        <v>20</v>
      </c>
      <c r="H29" s="38" t="n">
        <v>18</v>
      </c>
      <c r="I29" s="38" t="n">
        <v>15</v>
      </c>
      <c r="J29" s="38" t="n">
        <v>15</v>
      </c>
      <c r="K29" s="38" t="n">
        <v>15</v>
      </c>
      <c r="L29" s="38" t="n">
        <v>15</v>
      </c>
      <c r="M29" s="38" t="n">
        <v>12</v>
      </c>
      <c r="N29" s="38" t="n">
        <v>9</v>
      </c>
      <c r="O29" s="38" t="n">
        <v>9</v>
      </c>
      <c r="P29" s="38" t="n">
        <v>7</v>
      </c>
      <c r="Q29" s="38" t="n">
        <v>6</v>
      </c>
      <c r="R29" s="38" t="n">
        <v>4</v>
      </c>
      <c r="S29" s="38" t="n">
        <v>3</v>
      </c>
      <c r="T29" s="38" t="n">
        <v>2</v>
      </c>
      <c r="U29" s="38" t="n">
        <v>2</v>
      </c>
      <c r="V29" s="38" t="n">
        <v>2</v>
      </c>
      <c r="W29" s="38" t="n">
        <v>2</v>
      </c>
      <c r="X29" s="38" t="n">
        <v>2</v>
      </c>
      <c r="Y29" s="38" t="n">
        <v>2</v>
      </c>
      <c r="Z29" s="38" t="n">
        <v>2</v>
      </c>
      <c r="AA29" s="38" t="n">
        <v>2</v>
      </c>
      <c r="AB29" s="38" t="n">
        <v>2</v>
      </c>
      <c r="AC29" s="38" t="n">
        <v>2</v>
      </c>
      <c r="AD29" s="38" t="n">
        <v>2</v>
      </c>
      <c r="AE29" s="38" t="n">
        <v>1</v>
      </c>
      <c r="AF29" s="38" t="n">
        <v>0</v>
      </c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246">
        <f>BZ29+IF(NOT(ISBLANK(OFFSET(CB29,0,6))),N(OFFSET(CB29,0,6)),N(OFFSET(CB29,0,7)))-CA29</f>
        <v/>
      </c>
      <c r="CD29" s="49" t="n"/>
      <c r="CE29" s="49" t="n"/>
      <c r="CI29" s="57" t="n"/>
      <c r="CJ29" s="57" t="n"/>
      <c r="CK29" s="57" t="n"/>
      <c r="CL29" s="57" t="n"/>
      <c r="CM29" s="57" t="n"/>
      <c r="CN29" s="57" t="n"/>
      <c r="CO29" s="6" t="n"/>
      <c r="CP29" s="57" t="n"/>
      <c r="CQ29" s="57" t="n"/>
      <c r="CR29" s="57" t="n"/>
      <c r="CS29" s="57" t="n"/>
      <c r="CT29" s="57" t="n"/>
      <c r="CU29" s="57" t="n"/>
      <c r="CV29" s="57" t="n"/>
      <c r="CW29" s="57" t="n"/>
      <c r="CX29" s="57" t="n"/>
      <c r="CY29" s="57" t="n"/>
      <c r="CZ29" s="49" t="n"/>
      <c r="DA29" s="49" t="n"/>
      <c r="DB29" s="49" t="n"/>
      <c r="DC29" s="49" t="n"/>
      <c r="DD29" s="49" t="n"/>
      <c r="DE29" s="49" t="n"/>
      <c r="DF29" s="49" t="n"/>
      <c r="DG29" s="49" t="n"/>
      <c r="DH29" s="49" t="n"/>
      <c r="DI29" s="6" t="n"/>
      <c r="DJ29" s="49" t="n"/>
      <c r="DK29" s="49" t="n"/>
      <c r="DL29" s="49" t="n"/>
      <c r="DM29" s="6" t="n"/>
      <c r="DN29" s="49" t="n"/>
      <c r="DO29" s="49" t="n"/>
      <c r="DP29" s="49" t="n"/>
      <c r="DQ29" s="49" t="n"/>
      <c r="DR29" s="49" t="n"/>
      <c r="DS29" s="49" t="n"/>
      <c r="DT29" s="49" t="n"/>
      <c r="DU29" s="49" t="n"/>
      <c r="DV29" s="49" t="n"/>
      <c r="DW29" s="49" t="n"/>
      <c r="DX29" s="49" t="n"/>
      <c r="DY29" s="49" t="n"/>
      <c r="DZ29" s="49" t="n"/>
      <c r="EA29" s="49" t="n"/>
      <c r="EB29" s="49" t="n"/>
      <c r="EC29" s="49" t="n"/>
      <c r="ED29" s="49" t="n"/>
      <c r="EE29" s="6" t="n"/>
      <c r="EF29" s="53" t="n"/>
      <c r="EG29" s="49" t="n"/>
      <c r="EH29" s="49" t="n"/>
      <c r="EI29" s="49" t="n"/>
      <c r="EJ29" s="49" t="n"/>
      <c r="EK29" s="49" t="n"/>
      <c r="EL29" s="6" t="n"/>
      <c r="EM29" s="6" t="n"/>
      <c r="EN29" s="49" t="n"/>
      <c r="EO29" s="49" t="n"/>
      <c r="EP29" s="49" t="n"/>
      <c r="EQ29" s="49" t="n"/>
      <c r="ER29" s="49" t="n"/>
      <c r="ES29" s="49" t="n"/>
      <c r="ET29" s="49" t="n"/>
      <c r="EU29" s="6" t="n"/>
      <c r="EV29" s="268" t="n"/>
      <c r="EW29" s="49" t="n"/>
      <c r="EX29" s="289" t="n"/>
      <c r="EY29" s="49" t="n"/>
      <c r="EZ29" s="49" t="n"/>
      <c r="FA29" s="6" t="n"/>
      <c r="FB29" s="289" t="n"/>
      <c r="FC29" s="289" t="n"/>
      <c r="FH29" s="49" t="n"/>
      <c r="FI29" s="289" t="n"/>
      <c r="FL29" s="49" t="n"/>
      <c r="FQ29" s="49" t="n"/>
      <c r="FS29" s="49" t="n"/>
      <c r="FX29" s="53" t="n"/>
      <c r="GC29" s="6" t="n"/>
      <c r="GD29" s="6" t="n"/>
      <c r="GE29" s="6" t="n"/>
      <c r="GF29" s="6" t="n"/>
      <c r="GG29" s="6" t="n"/>
      <c r="GH29" s="6" t="n"/>
      <c r="GI29" s="6" t="n"/>
      <c r="GJ29" s="6" t="n"/>
      <c r="GK29" s="6" t="n"/>
      <c r="GL29" s="6" t="n"/>
      <c r="GM29" s="6" t="n"/>
    </row>
    <row r="30" hidden="1" ht="18.75" customHeight="1">
      <c r="A30" s="250" t="inlineStr">
        <is>
          <t>CARTUCHO P NAT./24</t>
        </is>
      </c>
      <c r="B30" s="251" t="n">
        <v>200</v>
      </c>
      <c r="C30" s="667" t="n">
        <v>486</v>
      </c>
      <c r="D30" s="342" t="n"/>
      <c r="E30" s="6" t="n"/>
      <c r="F30" s="9" t="n">
        <v>0</v>
      </c>
      <c r="G30" s="38" t="n">
        <v>0</v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>
        <v>0</v>
      </c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246">
        <f>BZ30+IF(NOT(ISBLANK(OFFSET(CB30,0,6))),N(OFFSET(CB30,0,6)),N(OFFSET(CB30,0,7)))-CA30</f>
        <v/>
      </c>
      <c r="CI30" s="57" t="n"/>
      <c r="CJ30" s="57" t="n"/>
      <c r="CK30" s="57" t="n"/>
      <c r="CL30" s="57" t="n"/>
      <c r="CM30" s="57" t="n"/>
      <c r="CN30" s="57" t="n"/>
      <c r="CO30" s="6" t="n"/>
      <c r="CP30" s="57" t="n"/>
      <c r="CQ30" s="57" t="n"/>
      <c r="CR30" s="57" t="n"/>
      <c r="CS30" s="57" t="n"/>
      <c r="CT30" s="57" t="n"/>
      <c r="CU30" s="57" t="n"/>
      <c r="CV30" s="57" t="n"/>
      <c r="CW30" s="57" t="n"/>
      <c r="CX30" s="57" t="n"/>
      <c r="CY30" s="57" t="n"/>
      <c r="DI30" s="6" t="n"/>
      <c r="DM30" s="6" t="n"/>
      <c r="EE30" s="6" t="n"/>
      <c r="EF30" s="53" t="n"/>
      <c r="EL30" s="6" t="n"/>
      <c r="EM30" s="6" t="n"/>
      <c r="EU30" s="6" t="n"/>
      <c r="EV30" s="314" t="n"/>
      <c r="EX30" s="289" t="n"/>
      <c r="FA30" s="6" t="n"/>
      <c r="FB30" s="289" t="n"/>
      <c r="FC30" s="289" t="n"/>
      <c r="FI30" s="289" t="n"/>
      <c r="FX30" s="53" t="n"/>
      <c r="GC30" s="6" t="n"/>
      <c r="GD30" s="6" t="n"/>
      <c r="GE30" s="6" t="n"/>
      <c r="GF30" s="6" t="n"/>
      <c r="GG30" s="6" t="n"/>
      <c r="GH30" s="6" t="n"/>
      <c r="GI30" s="6" t="n"/>
      <c r="GJ30" s="6" t="n"/>
      <c r="GK30" s="6" t="n"/>
      <c r="GL30" s="6" t="n"/>
      <c r="GM30" s="6" t="n"/>
    </row>
    <row r="31" hidden="1" ht="18.75" customHeight="1">
      <c r="A31" s="250" t="inlineStr">
        <is>
          <t>CARTUCHO M NAT./24</t>
        </is>
      </c>
      <c r="B31" s="251" t="n">
        <v>150</v>
      </c>
      <c r="C31" s="667" t="n">
        <v>459</v>
      </c>
      <c r="D31" s="342" t="n"/>
      <c r="E31" s="6" t="n"/>
      <c r="F31" s="9" t="n">
        <v>0</v>
      </c>
      <c r="G31" s="9" t="n">
        <v>0</v>
      </c>
      <c r="H31" s="38" t="n">
        <v>0</v>
      </c>
      <c r="I31" s="38" t="n">
        <v>0</v>
      </c>
      <c r="J31" s="38" t="n">
        <v>0</v>
      </c>
      <c r="K31" s="38" t="n">
        <v>0</v>
      </c>
      <c r="L31" s="38" t="n">
        <v>0</v>
      </c>
      <c r="M31" s="38" t="n">
        <v>0</v>
      </c>
      <c r="N31" s="38" t="n">
        <v>0</v>
      </c>
      <c r="O31" s="38" t="n">
        <v>0</v>
      </c>
      <c r="P31" s="38" t="n">
        <v>0</v>
      </c>
      <c r="Q31" s="38" t="n">
        <v>0</v>
      </c>
      <c r="R31" s="38" t="n">
        <v>0</v>
      </c>
      <c r="S31" s="38" t="n">
        <v>0</v>
      </c>
      <c r="T31" s="38" t="n">
        <v>0</v>
      </c>
      <c r="U31" s="38" t="n">
        <v>0</v>
      </c>
      <c r="V31" s="38" t="n">
        <v>0</v>
      </c>
      <c r="W31" s="38" t="n">
        <v>0</v>
      </c>
      <c r="X31" s="38" t="n">
        <v>0</v>
      </c>
      <c r="Y31" s="38" t="n">
        <v>0</v>
      </c>
      <c r="Z31" s="38" t="n">
        <v>0</v>
      </c>
      <c r="AA31" s="38" t="n">
        <v>0</v>
      </c>
      <c r="AB31" s="38" t="n"/>
      <c r="AC31" s="38" t="n"/>
      <c r="AD31" s="38" t="n"/>
      <c r="AE31" s="38" t="n"/>
      <c r="AF31" s="38" t="n"/>
      <c r="AG31" s="38" t="n"/>
      <c r="AH31" s="38" t="n"/>
      <c r="AI31" s="38" t="n"/>
      <c r="AJ31" s="38" t="n"/>
      <c r="AK31" s="38" t="n"/>
      <c r="AL31" s="38" t="n"/>
      <c r="AM31" s="38" t="n"/>
      <c r="AN31" s="38" t="n"/>
      <c r="AO31" s="38" t="n"/>
      <c r="AP31" s="38" t="n"/>
      <c r="AQ31" s="38" t="n"/>
      <c r="AR31" s="38" t="n"/>
      <c r="AS31" s="38" t="n"/>
      <c r="AT31" s="38" t="n"/>
      <c r="AU31" s="38" t="n"/>
      <c r="AV31" s="38" t="n"/>
      <c r="AW31" s="38" t="n"/>
      <c r="AX31" s="38" t="n"/>
      <c r="AY31" s="38" t="n"/>
      <c r="AZ31" s="38" t="n"/>
      <c r="BA31" s="38" t="n"/>
      <c r="BB31" s="38" t="n"/>
      <c r="BC31" s="38" t="n"/>
      <c r="BD31" s="38" t="n"/>
      <c r="BE31" s="38" t="n"/>
      <c r="BF31" s="38" t="n"/>
      <c r="BG31" s="38" t="n"/>
      <c r="BH31" s="38" t="n"/>
      <c r="BI31" s="38" t="n"/>
      <c r="BJ31" s="38" t="n"/>
      <c r="BK31" s="38" t="n"/>
      <c r="BL31" s="38" t="n"/>
      <c r="BM31" s="38" t="n"/>
      <c r="BN31" s="38" t="n"/>
      <c r="BO31" s="38" t="n"/>
      <c r="BP31" s="38" t="n"/>
      <c r="BQ31" s="38" t="n"/>
      <c r="BR31" s="38" t="n"/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246">
        <f>BZ31+IF(NOT(ISBLANK(OFFSET(CB31,0,6))),N(OFFSET(CB31,0,6)),N(OFFSET(CB31,0,7)))-CA31</f>
        <v/>
      </c>
      <c r="CI31" s="57" t="n"/>
      <c r="CJ31" s="57" t="n"/>
      <c r="CK31" s="57" t="n"/>
      <c r="CL31" s="57" t="n"/>
      <c r="CM31" s="57" t="n"/>
      <c r="CN31" s="57" t="n"/>
      <c r="CO31" s="6" t="n"/>
      <c r="CP31" s="57" t="n"/>
      <c r="CQ31" s="57" t="n"/>
      <c r="CR31" s="57" t="n"/>
      <c r="CS31" s="57" t="n"/>
      <c r="CT31" s="57" t="n"/>
      <c r="CU31" s="57" t="n"/>
      <c r="CV31" s="57" t="n"/>
      <c r="CW31" s="57" t="n"/>
      <c r="CX31" s="57" t="n"/>
      <c r="CY31" s="57" t="n"/>
      <c r="DI31" s="6" t="n"/>
      <c r="DM31" s="6" t="n"/>
      <c r="EE31" s="6" t="n"/>
      <c r="EF31" s="53" t="n"/>
      <c r="EL31" s="6" t="n"/>
      <c r="EM31" s="6" t="n"/>
      <c r="EU31" s="6" t="n"/>
      <c r="EV31" s="314" t="n"/>
      <c r="EX31" s="289" t="n"/>
      <c r="FA31" s="6" t="n"/>
      <c r="FB31" s="289" t="n"/>
      <c r="FC31" s="289" t="n"/>
      <c r="FI31" s="289" t="n"/>
      <c r="FX31" s="53" t="n"/>
      <c r="GC31" s="6" t="n"/>
      <c r="GD31" s="6" t="n"/>
      <c r="GE31" s="6" t="n"/>
      <c r="GF31" s="6" t="n"/>
      <c r="GG31" s="6" t="n"/>
      <c r="GH31" s="6" t="n"/>
      <c r="GI31" s="6" t="n"/>
      <c r="GJ31" s="6" t="n"/>
      <c r="GK31" s="6" t="n"/>
      <c r="GL31" s="6" t="n"/>
      <c r="GM31" s="6" t="n"/>
    </row>
    <row r="32" ht="18.75" customHeight="1">
      <c r="A32" s="250" t="inlineStr">
        <is>
          <t>ÁRVORE</t>
        </is>
      </c>
      <c r="B32" s="251" t="n">
        <v>100</v>
      </c>
      <c r="C32" s="667" t="n">
        <v>295</v>
      </c>
      <c r="D32" s="342" t="n"/>
      <c r="E32" s="6" t="n"/>
      <c r="F32" s="9" t="n">
        <v>87</v>
      </c>
      <c r="G32" s="9" t="n">
        <v>87</v>
      </c>
      <c r="H32" s="38" t="n">
        <v>87</v>
      </c>
      <c r="I32" s="38" t="n">
        <v>84</v>
      </c>
      <c r="J32" s="38" t="n">
        <v>84</v>
      </c>
      <c r="K32" s="38" t="n">
        <v>84</v>
      </c>
      <c r="L32" s="38" t="n">
        <v>84</v>
      </c>
      <c r="M32" s="38" t="n">
        <v>85</v>
      </c>
      <c r="N32" s="38" t="n">
        <v>85</v>
      </c>
      <c r="O32" s="38" t="n">
        <v>85</v>
      </c>
      <c r="P32" s="38" t="n">
        <v>85</v>
      </c>
      <c r="Q32" s="38" t="n">
        <v>85</v>
      </c>
      <c r="R32" s="38" t="n">
        <v>85</v>
      </c>
      <c r="S32" s="38" t="n">
        <v>85</v>
      </c>
      <c r="T32" s="38" t="n">
        <v>85</v>
      </c>
      <c r="U32" s="38" t="n">
        <v>85</v>
      </c>
      <c r="V32" s="38" t="n">
        <v>85</v>
      </c>
      <c r="W32" s="38" t="n">
        <v>85</v>
      </c>
      <c r="X32" s="38" t="n">
        <v>85</v>
      </c>
      <c r="Y32" s="38" t="n">
        <v>85</v>
      </c>
      <c r="Z32" s="38" t="n">
        <v>85</v>
      </c>
      <c r="AA32" s="38" t="n">
        <v>85</v>
      </c>
      <c r="AB32" s="38" t="n">
        <v>85</v>
      </c>
      <c r="AC32" s="38" t="n">
        <v>85</v>
      </c>
      <c r="AD32" s="38" t="n">
        <v>85</v>
      </c>
      <c r="AE32" s="38" t="n">
        <v>85</v>
      </c>
      <c r="AF32" s="38" t="n">
        <v>85</v>
      </c>
      <c r="AG32" s="38" t="n">
        <v>85</v>
      </c>
      <c r="AH32" s="38" t="n">
        <v>85</v>
      </c>
      <c r="AI32" s="38" t="n">
        <v>85</v>
      </c>
      <c r="AJ32" s="38" t="n">
        <v>85</v>
      </c>
      <c r="AK32" s="38" t="n">
        <v>85</v>
      </c>
      <c r="AL32" s="38" t="n">
        <v>85</v>
      </c>
      <c r="AM32" s="38" t="n">
        <v>85</v>
      </c>
      <c r="AN32" s="38" t="n">
        <v>85</v>
      </c>
      <c r="AO32" s="38" t="n">
        <v>85</v>
      </c>
      <c r="AP32" s="38" t="n">
        <v>85</v>
      </c>
      <c r="AQ32" s="38" t="n">
        <v>85</v>
      </c>
      <c r="AR32" s="38" t="n">
        <v>85</v>
      </c>
      <c r="AS32" s="38" t="n">
        <v>85</v>
      </c>
      <c r="AT32" s="38" t="n">
        <v>85</v>
      </c>
      <c r="AU32" s="38" t="n">
        <v>85</v>
      </c>
      <c r="AV32" s="38" t="n">
        <v>85</v>
      </c>
      <c r="AW32" s="38" t="n">
        <v>85</v>
      </c>
      <c r="AX32" s="38" t="n">
        <v>85</v>
      </c>
      <c r="AY32" s="38" t="n">
        <v>85</v>
      </c>
      <c r="AZ32" s="38" t="n">
        <v>85</v>
      </c>
      <c r="BA32" s="38" t="n">
        <v>85</v>
      </c>
      <c r="BB32" s="38" t="n">
        <v>84</v>
      </c>
      <c r="BC32" s="38" t="n">
        <v>83</v>
      </c>
      <c r="BD32" s="38" t="n">
        <v>82</v>
      </c>
      <c r="BE32" s="38" t="n">
        <v>58</v>
      </c>
      <c r="BF32" s="38" t="n">
        <v>54</v>
      </c>
      <c r="BG32" s="38" t="n">
        <v>54</v>
      </c>
      <c r="BH32" s="38" t="n">
        <v>54</v>
      </c>
      <c r="BI32" s="38" t="n">
        <v>54</v>
      </c>
      <c r="BJ32" s="38" t="n">
        <v>54</v>
      </c>
      <c r="BK32" s="38" t="n">
        <v>12</v>
      </c>
      <c r="BL32" s="38" t="n">
        <v>12</v>
      </c>
      <c r="BM32" s="38" t="n">
        <v>12</v>
      </c>
      <c r="BN32" s="38" t="n">
        <v>12</v>
      </c>
      <c r="BO32" s="38" t="n">
        <v>12</v>
      </c>
      <c r="BP32" s="38" t="n">
        <v>12</v>
      </c>
      <c r="BQ32" s="38" t="n">
        <v>12</v>
      </c>
      <c r="BR32" s="38" t="n">
        <v>12</v>
      </c>
      <c r="BS32" s="38" t="n">
        <v>12</v>
      </c>
      <c r="BT32" s="38" t="n">
        <v>12</v>
      </c>
      <c r="BU32" s="38" t="n">
        <v>12</v>
      </c>
      <c r="BV32" s="38" t="n">
        <v>12</v>
      </c>
      <c r="BW32" s="38" t="n">
        <v>12</v>
      </c>
      <c r="BX32" s="38" t="n">
        <v>12</v>
      </c>
      <c r="BY32" s="38" t="n">
        <v>12</v>
      </c>
      <c r="BZ32" s="38" t="n">
        <v>12</v>
      </c>
      <c r="CA32" s="38" t="n">
        <v>12</v>
      </c>
      <c r="CB32" s="246">
        <f>BZ32+IF(NOT(ISBLANK(OFFSET(CB32,0,6))),N(OFFSET(CB32,0,6)),N(OFFSET(CB32,0,7)))-CA32</f>
        <v/>
      </c>
      <c r="CI32" s="57" t="n"/>
      <c r="CJ32" s="57" t="n"/>
      <c r="CK32" s="57" t="n"/>
      <c r="CL32" s="57" t="n"/>
      <c r="CM32" s="57" t="n"/>
      <c r="CN32" s="57" t="n"/>
      <c r="CO32" s="6" t="n"/>
      <c r="CP32" s="57" t="n"/>
      <c r="CQ32" s="57" t="n"/>
      <c r="CR32" s="57" t="n"/>
      <c r="CS32" s="57" t="n"/>
      <c r="CT32" s="57" t="n"/>
      <c r="CU32" s="57" t="n"/>
      <c r="CV32" s="57" t="n"/>
      <c r="CW32" s="57" t="n"/>
      <c r="CX32" s="57" t="n"/>
      <c r="CY32" s="57" t="n"/>
      <c r="DI32" s="6" t="n"/>
      <c r="DM32" s="6" t="n"/>
      <c r="EE32" s="6" t="n"/>
      <c r="EF32" s="53" t="n"/>
      <c r="EL32" s="6" t="n"/>
      <c r="EM32" s="6" t="n"/>
      <c r="EU32" s="6" t="n"/>
      <c r="EV32" s="314" t="n"/>
      <c r="EX32" s="289" t="n"/>
      <c r="FA32" s="6" t="n"/>
      <c r="FB32" s="289" t="n"/>
      <c r="FC32" s="289" t="n"/>
      <c r="FI32" s="289" t="n"/>
      <c r="FX32" s="53" t="n"/>
      <c r="GC32" s="6" t="n"/>
      <c r="GD32" s="6" t="n"/>
      <c r="GE32" s="6" t="n"/>
      <c r="GF32" s="6" t="n"/>
      <c r="GG32" s="6" t="n"/>
      <c r="GH32" s="6" t="n"/>
      <c r="GI32" s="6" t="n"/>
      <c r="GJ32" s="6" t="n"/>
      <c r="GK32" s="6" t="n"/>
      <c r="GL32" s="6" t="n"/>
      <c r="GM32" s="6" t="n"/>
    </row>
    <row r="33" ht="18.75" customHeight="1">
      <c r="A33" s="250" t="inlineStr">
        <is>
          <t>BOLA</t>
        </is>
      </c>
      <c r="B33" s="251" t="n">
        <v>100</v>
      </c>
      <c r="C33" s="667" t="n">
        <v>283</v>
      </c>
      <c r="D33" s="342" t="n"/>
      <c r="F33" s="9" t="n">
        <v>46</v>
      </c>
      <c r="G33" s="9" t="n">
        <v>46</v>
      </c>
      <c r="H33" s="38" t="n">
        <v>48</v>
      </c>
      <c r="I33" s="38" t="n">
        <v>48</v>
      </c>
      <c r="J33" s="38" t="n">
        <v>48</v>
      </c>
      <c r="K33" s="38" t="n">
        <v>48</v>
      </c>
      <c r="L33" s="38" t="n">
        <v>48</v>
      </c>
      <c r="M33" s="38" t="n">
        <v>49</v>
      </c>
      <c r="N33" s="38" t="n">
        <v>49</v>
      </c>
      <c r="O33" s="38" t="n">
        <v>49</v>
      </c>
      <c r="P33" s="38" t="n">
        <v>49</v>
      </c>
      <c r="Q33" s="38" t="n">
        <v>49</v>
      </c>
      <c r="R33" s="38" t="n">
        <v>49</v>
      </c>
      <c r="S33" s="38" t="n">
        <v>49</v>
      </c>
      <c r="T33" s="38" t="n">
        <v>49</v>
      </c>
      <c r="U33" s="38" t="n">
        <v>49</v>
      </c>
      <c r="V33" s="38" t="n">
        <v>49</v>
      </c>
      <c r="W33" s="38" t="n">
        <v>49</v>
      </c>
      <c r="X33" s="38" t="n">
        <v>49</v>
      </c>
      <c r="Y33" s="38" t="n">
        <v>49</v>
      </c>
      <c r="Z33" s="38" t="n">
        <v>49</v>
      </c>
      <c r="AA33" s="38" t="n">
        <v>49</v>
      </c>
      <c r="AB33" s="38" t="n">
        <v>49</v>
      </c>
      <c r="AC33" s="38" t="n">
        <v>49</v>
      </c>
      <c r="AD33" s="38" t="n">
        <v>49</v>
      </c>
      <c r="AE33" s="38" t="n">
        <v>49</v>
      </c>
      <c r="AF33" s="38" t="n">
        <v>49</v>
      </c>
      <c r="AG33" s="38" t="n">
        <v>49</v>
      </c>
      <c r="AH33" s="38" t="n">
        <v>49</v>
      </c>
      <c r="AI33" s="38" t="n">
        <v>49</v>
      </c>
      <c r="AJ33" s="38" t="n">
        <v>49</v>
      </c>
      <c r="AK33" s="38" t="n">
        <v>49</v>
      </c>
      <c r="AL33" s="38" t="n">
        <v>49</v>
      </c>
      <c r="AM33" s="38" t="n">
        <v>49</v>
      </c>
      <c r="AN33" s="38" t="n">
        <v>49</v>
      </c>
      <c r="AO33" s="38" t="n">
        <v>49</v>
      </c>
      <c r="AP33" s="38" t="n">
        <v>49</v>
      </c>
      <c r="AQ33" s="38" t="n">
        <v>49</v>
      </c>
      <c r="AR33" s="38" t="n">
        <v>49</v>
      </c>
      <c r="AS33" s="38" t="n">
        <v>49</v>
      </c>
      <c r="AT33" s="38" t="n">
        <v>49</v>
      </c>
      <c r="AU33" s="38" t="n">
        <v>49</v>
      </c>
      <c r="AV33" s="38" t="n">
        <v>49</v>
      </c>
      <c r="AW33" s="38" t="n">
        <v>49</v>
      </c>
      <c r="AX33" s="38" t="n">
        <v>49</v>
      </c>
      <c r="AY33" s="38" t="n">
        <v>49</v>
      </c>
      <c r="AZ33" s="38" t="n">
        <v>49</v>
      </c>
      <c r="BA33" s="38" t="n">
        <v>63</v>
      </c>
      <c r="BB33" s="38" t="n">
        <v>63</v>
      </c>
      <c r="BC33" s="38" t="n">
        <v>63</v>
      </c>
      <c r="BD33" s="38" t="n">
        <v>61</v>
      </c>
      <c r="BE33" s="38" t="n">
        <v>38</v>
      </c>
      <c r="BF33" s="38" t="n">
        <v>37</v>
      </c>
      <c r="BG33" s="38" t="n">
        <v>37</v>
      </c>
      <c r="BH33" s="38" t="n">
        <v>37</v>
      </c>
      <c r="BI33" s="38" t="n">
        <v>37</v>
      </c>
      <c r="BJ33" s="38" t="n">
        <v>37</v>
      </c>
      <c r="BK33" s="38" t="n">
        <v>5</v>
      </c>
      <c r="BL33" s="38" t="n">
        <v>5</v>
      </c>
      <c r="BM33" s="38" t="n">
        <v>5</v>
      </c>
      <c r="BN33" s="38" t="n">
        <v>5</v>
      </c>
      <c r="BO33" s="38" t="n">
        <v>5</v>
      </c>
      <c r="BP33" s="38" t="n">
        <v>5</v>
      </c>
      <c r="BQ33" s="38" t="n">
        <v>5</v>
      </c>
      <c r="BR33" s="38" t="n">
        <v>5</v>
      </c>
      <c r="BS33" s="38" t="n">
        <v>5</v>
      </c>
      <c r="BT33" s="38" t="n">
        <v>5</v>
      </c>
      <c r="BU33" s="38" t="n">
        <v>5</v>
      </c>
      <c r="BV33" s="38" t="n">
        <v>5</v>
      </c>
      <c r="BW33" s="38" t="n">
        <v>5</v>
      </c>
      <c r="BX33" s="38" t="n">
        <v>5</v>
      </c>
      <c r="BY33" s="38" t="n">
        <v>5</v>
      </c>
      <c r="BZ33" s="38" t="n">
        <v>5</v>
      </c>
      <c r="CA33" s="38" t="n">
        <v>5</v>
      </c>
      <c r="CB33" s="246">
        <f>BZ33+IF(NOT(ISBLANK(OFFSET(CB33,0,6))),N(OFFSET(CB33,0,6)),N(OFFSET(CB33,0,7)))-CA33</f>
        <v/>
      </c>
      <c r="CI33" s="57" t="n"/>
      <c r="CJ33" s="57" t="n"/>
      <c r="CK33" s="57" t="n"/>
      <c r="CL33" s="57" t="n"/>
      <c r="CM33" s="57" t="n"/>
      <c r="CN33" s="57" t="n"/>
      <c r="CO33" s="6" t="n"/>
      <c r="CP33" s="57" t="n"/>
      <c r="CQ33" s="57" t="n"/>
      <c r="CR33" s="57" t="n"/>
      <c r="CS33" s="57" t="n"/>
      <c r="CT33" s="57" t="n"/>
      <c r="CU33" s="57" t="n"/>
      <c r="CV33" s="57" t="n"/>
      <c r="CW33" s="57" t="n"/>
      <c r="CX33" s="57" t="n"/>
      <c r="CY33" s="57" t="n"/>
      <c r="DI33" s="6" t="n"/>
      <c r="DM33" s="6" t="n"/>
      <c r="EE33" s="6" t="n"/>
      <c r="EF33" s="53" t="n"/>
      <c r="EL33" s="6" t="n"/>
      <c r="EM33" s="6" t="n"/>
      <c r="EV33" s="314" t="n"/>
      <c r="EX33" s="289" t="n"/>
      <c r="FB33" s="289" t="n"/>
      <c r="FC33" s="289" t="n"/>
      <c r="FI33" s="289" t="n"/>
      <c r="FX33" s="53" t="n"/>
    </row>
    <row r="34" hidden="1" ht="18.75" customHeight="1">
      <c r="A34" s="243" t="inlineStr">
        <is>
          <t>CAIXA P MÃES/25</t>
        </is>
      </c>
      <c r="B34" s="244" t="n">
        <v>150</v>
      </c>
      <c r="C34" s="697" t="n">
        <v>781.05</v>
      </c>
      <c r="D34" s="342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>
        <f>86-73</f>
        <v/>
      </c>
      <c r="AA34" s="9" t="n">
        <v>11</v>
      </c>
      <c r="AB34" s="9" t="n">
        <v>5</v>
      </c>
      <c r="AC34" s="9" t="n">
        <v>3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246">
        <f>BZ34+IF(NOT(ISBLANK(OFFSET(CB34,0,6))),N(OFFSET(CB34,0,6)),N(OFFSET(CB34,0,7)))-CA34</f>
        <v/>
      </c>
      <c r="CI34" s="57" t="n"/>
      <c r="CJ34" s="57" t="n"/>
      <c r="CK34" s="57" t="n"/>
      <c r="CL34" s="57" t="n"/>
      <c r="CM34" s="57" t="n"/>
      <c r="CN34" s="57" t="n"/>
      <c r="CO34" s="6" t="n"/>
      <c r="CP34" s="57" t="n"/>
      <c r="CQ34" s="57" t="n"/>
      <c r="CR34" s="57" t="n"/>
      <c r="CS34" s="57" t="n"/>
      <c r="CT34" s="57" t="n"/>
      <c r="CU34" s="57" t="n"/>
      <c r="CV34" s="57" t="n"/>
      <c r="CW34" s="57" t="n"/>
      <c r="CX34" s="57" t="n"/>
      <c r="CY34" s="57" t="n"/>
      <c r="DI34" s="6" t="n"/>
      <c r="DM34" s="6" t="n"/>
      <c r="EE34" s="6" t="n"/>
      <c r="EF34" s="53" t="n"/>
      <c r="EL34" s="6" t="n"/>
      <c r="EM34" s="6" t="n"/>
      <c r="EV34" s="314" t="n"/>
      <c r="EX34" s="289" t="n"/>
      <c r="FB34" s="289" t="n"/>
      <c r="FC34" s="289" t="n"/>
      <c r="FI34" s="289" t="n"/>
      <c r="FX34" s="53" t="n"/>
    </row>
    <row r="35" hidden="1" ht="18.75" customHeight="1">
      <c r="A35" s="243" t="inlineStr">
        <is>
          <t>CAIXA M MÃES/25</t>
        </is>
      </c>
      <c r="B35" s="244" t="n">
        <v>100</v>
      </c>
      <c r="C35" s="697" t="n">
        <v>789</v>
      </c>
      <c r="D35" s="342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>
        <f>35-20</f>
        <v/>
      </c>
      <c r="AA35" s="9" t="n">
        <v>8</v>
      </c>
      <c r="AB35" s="9" t="n">
        <v>3</v>
      </c>
      <c r="AC35" s="9" t="n">
        <v>3</v>
      </c>
      <c r="AD35" s="9" t="n">
        <v>0</v>
      </c>
      <c r="AE35" s="9" t="n">
        <v>0</v>
      </c>
      <c r="AF35" s="9" t="n">
        <v>0</v>
      </c>
      <c r="AG35" s="9" t="n"/>
      <c r="AH35" s="9" t="n"/>
      <c r="AI35" s="9" t="n"/>
      <c r="AJ35" s="9" t="n"/>
      <c r="AK35" s="9" t="n"/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246">
        <f>BZ35+IF(NOT(ISBLANK(OFFSET(CB35,0,6))),N(OFFSET(CB35,0,6)),N(OFFSET(CB35,0,7)))-CA35</f>
        <v/>
      </c>
      <c r="CI35" s="61" t="n"/>
      <c r="CJ35" s="61" t="n"/>
      <c r="CK35" s="61" t="n"/>
      <c r="CL35" s="61" t="n"/>
      <c r="CM35" s="61" t="n"/>
      <c r="CN35" s="61" t="n"/>
      <c r="CO35" s="6" t="n"/>
      <c r="CP35" s="61" t="n"/>
      <c r="CQ35" s="61" t="n"/>
      <c r="CR35" s="61" t="n"/>
      <c r="CS35" s="61" t="n"/>
      <c r="CT35" s="61" t="n"/>
      <c r="CU35" s="61" t="n"/>
      <c r="CV35" s="61" t="n"/>
      <c r="CW35" s="61" t="n"/>
      <c r="CX35" s="61" t="n"/>
      <c r="CY35" s="61" t="n"/>
      <c r="DI35" s="6" t="n"/>
      <c r="DM35" s="6" t="n"/>
      <c r="EE35" s="6" t="n"/>
      <c r="EF35" s="53" t="n"/>
      <c r="EL35" s="6" t="n"/>
      <c r="EM35" s="6" t="n"/>
      <c r="EV35" s="314" t="n"/>
      <c r="EX35" s="289" t="n"/>
      <c r="FB35" s="289" t="n"/>
      <c r="FC35" s="289" t="n"/>
      <c r="FI35" s="289" t="n"/>
      <c r="FX35" s="53" t="n"/>
    </row>
    <row r="36" hidden="1" ht="18.75" customHeight="1">
      <c r="A36" s="243" t="inlineStr">
        <is>
          <t>CAIXA G MÃES/25</t>
        </is>
      </c>
      <c r="B36" s="244" t="n">
        <v>75</v>
      </c>
      <c r="C36" s="697" t="n">
        <v>844.05</v>
      </c>
      <c r="D36" s="342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>
        <f>60-5-20</f>
        <v/>
      </c>
      <c r="AA36" s="9" t="n">
        <v>33</v>
      </c>
      <c r="AB36" s="9" t="n">
        <v>31</v>
      </c>
      <c r="AC36" s="9" t="n">
        <v>30</v>
      </c>
      <c r="AD36" s="9" t="n">
        <v>28</v>
      </c>
      <c r="AE36" s="9" t="n">
        <v>28</v>
      </c>
      <c r="AF36" s="9" t="n">
        <v>24</v>
      </c>
      <c r="AG36" s="9" t="n">
        <v>23</v>
      </c>
      <c r="AH36" s="9" t="n">
        <v>22</v>
      </c>
      <c r="AI36" s="9" t="n">
        <v>22</v>
      </c>
      <c r="AJ36" s="9" t="n">
        <v>22</v>
      </c>
      <c r="AK36" s="9" t="n">
        <v>20</v>
      </c>
      <c r="AL36" s="9" t="n">
        <v>19</v>
      </c>
      <c r="AM36" s="9" t="n">
        <v>17</v>
      </c>
      <c r="AN36" s="9" t="n">
        <v>17</v>
      </c>
      <c r="AO36" s="9" t="n">
        <v>16</v>
      </c>
      <c r="AP36" s="9" t="n">
        <v>2</v>
      </c>
      <c r="AQ36" s="9" t="n">
        <v>2</v>
      </c>
      <c r="AR36" s="9" t="n">
        <v>1</v>
      </c>
      <c r="AS36" s="9" t="n">
        <v>0</v>
      </c>
      <c r="AT36" s="9" t="n">
        <v>0</v>
      </c>
      <c r="AU36" s="9" t="n">
        <v>11</v>
      </c>
      <c r="AV36" s="9" t="n">
        <v>10</v>
      </c>
      <c r="AW36" s="9" t="n">
        <v>10</v>
      </c>
      <c r="AX36" s="9" t="n">
        <v>9</v>
      </c>
      <c r="AY36" s="9" t="n">
        <v>8</v>
      </c>
      <c r="AZ36" s="9" t="n">
        <v>7</v>
      </c>
      <c r="BA36" s="9" t="n">
        <v>7</v>
      </c>
      <c r="BB36" s="9" t="n">
        <v>6</v>
      </c>
      <c r="BC36" s="9" t="n">
        <v>5</v>
      </c>
      <c r="BD36" s="9" t="n">
        <v>0</v>
      </c>
      <c r="BE36" s="9" t="n">
        <v>0</v>
      </c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246">
        <f>BZ36+IF(NOT(ISBLANK(OFFSET(CB36,0,6))),N(OFFSET(CB36,0,6)),N(OFFSET(CB36,0,7)))-CA36</f>
        <v/>
      </c>
      <c r="CI36" s="61" t="n"/>
      <c r="CJ36" s="61" t="n"/>
      <c r="CK36" s="61" t="n"/>
      <c r="CL36" s="61" t="n"/>
      <c r="CM36" s="61" t="n"/>
      <c r="CN36" s="61" t="n"/>
      <c r="CO36" s="6" t="n"/>
      <c r="CP36" s="61" t="n"/>
      <c r="CQ36" s="61" t="n"/>
      <c r="CR36" s="61" t="n"/>
      <c r="CS36" s="61" t="n"/>
      <c r="CT36" s="61" t="n"/>
      <c r="CU36" s="61" t="n"/>
      <c r="CV36" s="61" t="n"/>
      <c r="CW36" s="61" t="n"/>
      <c r="CX36" s="61" t="n"/>
      <c r="CY36" s="61" t="n"/>
      <c r="DI36" s="6" t="n"/>
      <c r="DM36" s="6" t="n"/>
      <c r="EE36" s="6" t="n"/>
      <c r="EF36" s="53" t="n"/>
      <c r="EL36" s="6" t="n"/>
      <c r="EM36" s="6" t="n"/>
      <c r="EV36" s="314" t="n"/>
      <c r="EX36" s="289" t="n"/>
      <c r="FB36" s="289" t="n"/>
      <c r="FC36" s="289" t="n"/>
      <c r="FI36" s="289" t="n"/>
      <c r="FX36" s="53" t="n"/>
    </row>
    <row r="37" hidden="1" ht="18.75" customHeight="1">
      <c r="A37" s="243" t="inlineStr">
        <is>
          <t>CARTUCHO P MÃES/25</t>
        </is>
      </c>
      <c r="B37" s="244" t="n">
        <v>200</v>
      </c>
      <c r="C37" s="697" t="n">
        <v>450</v>
      </c>
      <c r="D37" s="342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>
        <v>0</v>
      </c>
      <c r="AL37" s="9" t="n">
        <v>0</v>
      </c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246">
        <f>BZ37+IF(NOT(ISBLANK(OFFSET(CB37,0,6))),N(OFFSET(CB37,0,6)),N(OFFSET(CB37,0,7)))-CA37</f>
        <v/>
      </c>
      <c r="CO37" s="6" t="n"/>
      <c r="DI37" s="6" t="n"/>
      <c r="DM37" s="6" t="n"/>
      <c r="EE37" s="6" t="n"/>
      <c r="EF37" s="53" t="n"/>
      <c r="EL37" s="6" t="n"/>
      <c r="EM37" s="6" t="n"/>
      <c r="EV37" s="314" t="n"/>
      <c r="EX37" s="289" t="n"/>
      <c r="FB37" s="289" t="n"/>
      <c r="FC37" s="289" t="n"/>
      <c r="FI37" s="289" t="n"/>
      <c r="FX37" s="53" t="n"/>
    </row>
    <row r="38" hidden="1" ht="18.75" customHeight="1">
      <c r="A38" s="243" t="inlineStr">
        <is>
          <t>CARTUCHO M MÃES/25</t>
        </is>
      </c>
      <c r="B38" s="244" t="n">
        <v>150</v>
      </c>
      <c r="C38" s="697" t="n">
        <v>430.5</v>
      </c>
      <c r="D38" s="342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1</v>
      </c>
      <c r="AA38" s="9" t="n">
        <v>0</v>
      </c>
      <c r="AB38" s="9" t="n">
        <v>0</v>
      </c>
      <c r="AC38" s="9" t="n">
        <v>0</v>
      </c>
      <c r="AD38" s="9" t="n">
        <v>0</v>
      </c>
      <c r="AE38" s="9" t="n">
        <v>0</v>
      </c>
      <c r="AF38" s="9" t="n">
        <v>0</v>
      </c>
      <c r="AG38" s="9" t="n"/>
      <c r="AH38" s="9" t="n"/>
      <c r="AI38" s="9" t="n"/>
      <c r="AJ38" s="9" t="n"/>
      <c r="AK38" s="9" t="n">
        <v>0</v>
      </c>
      <c r="AL38" s="9" t="n">
        <v>0</v>
      </c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246">
        <f>BZ38+IF(NOT(ISBLANK(OFFSET(CB38,0,6))),N(OFFSET(CB38,0,6)),N(OFFSET(CB38,0,7)))-CA38</f>
        <v/>
      </c>
      <c r="CO38" s="6" t="n"/>
      <c r="DI38" s="6" t="n"/>
      <c r="DM38" s="6" t="n"/>
      <c r="EE38" s="6" t="n"/>
      <c r="EF38" s="53" t="n"/>
      <c r="EL38" s="6" t="n"/>
      <c r="EM38" s="6" t="n"/>
      <c r="EV38" s="314" t="n"/>
      <c r="EX38" s="289" t="n"/>
      <c r="FB38" s="289" t="n"/>
      <c r="FC38" s="289" t="n"/>
      <c r="FI38" s="289" t="n"/>
      <c r="FX38" s="53" t="n"/>
    </row>
    <row r="39" hidden="1" ht="18.75" customHeight="1">
      <c r="A39" s="343" t="inlineStr">
        <is>
          <t>CAIXA M PAIS/25</t>
        </is>
      </c>
      <c r="B39" s="344" t="n">
        <v>100</v>
      </c>
      <c r="C39" s="697" t="n"/>
      <c r="D39" s="342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9" t="n"/>
      <c r="AL39" s="9" t="n"/>
      <c r="AM39" s="9" t="n"/>
      <c r="AN39" s="9" t="n"/>
      <c r="AO39" s="9" t="n">
        <v>-2</v>
      </c>
      <c r="AP39" s="9" t="n">
        <v>1</v>
      </c>
      <c r="AQ39" s="9" t="n">
        <v>1</v>
      </c>
      <c r="AR39" s="9" t="n">
        <v>1</v>
      </c>
      <c r="AS39" s="9" t="n">
        <v>1</v>
      </c>
      <c r="AT39" s="9" t="n">
        <v>1</v>
      </c>
      <c r="AU39" s="9" t="n">
        <v>0</v>
      </c>
      <c r="AV39" s="9" t="n">
        <v>0</v>
      </c>
      <c r="AW39" s="9" t="n">
        <v>0</v>
      </c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246">
        <f>BZ39+IF(NOT(ISBLANK(OFFSET(CB39,0,6))),N(OFFSET(CB39,0,6)),N(OFFSET(CB39,0,7)))-CA39</f>
        <v/>
      </c>
      <c r="CO39" s="360" t="n"/>
      <c r="DI39" s="6" t="n"/>
      <c r="DM39" s="6" t="n"/>
      <c r="EE39" s="6" t="n"/>
      <c r="EF39" s="53" t="n"/>
      <c r="EL39" s="6" t="n"/>
      <c r="EM39" s="6" t="n"/>
      <c r="EV39" s="314" t="n"/>
      <c r="EX39" s="289" t="n"/>
      <c r="FB39" s="289" t="n"/>
      <c r="FC39" s="289" t="n"/>
      <c r="FI39" s="289" t="n"/>
      <c r="FX39" s="53" t="n"/>
    </row>
    <row r="40" hidden="1" ht="18.75" customHeight="1">
      <c r="A40" s="343" t="inlineStr">
        <is>
          <t>ENVELOPE M PAIS/25</t>
        </is>
      </c>
      <c r="B40" s="344" t="n">
        <v>150</v>
      </c>
      <c r="C40" s="697" t="n"/>
      <c r="D40" s="342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9" t="n"/>
      <c r="AL40" s="9" t="n"/>
      <c r="AM40" s="9" t="n"/>
      <c r="AN40" s="9" t="n"/>
      <c r="AO40" s="9" t="n">
        <v>6</v>
      </c>
      <c r="AP40" s="9" t="n">
        <v>0</v>
      </c>
      <c r="AQ40" s="9" t="n">
        <v>0</v>
      </c>
      <c r="AR40" s="9" t="n">
        <v>0</v>
      </c>
      <c r="AS40" s="9" t="n">
        <v>0</v>
      </c>
      <c r="AT40" s="9" t="n">
        <v>0</v>
      </c>
      <c r="AU40" s="9" t="n">
        <v>0</v>
      </c>
      <c r="AV40" s="9" t="n">
        <v>0</v>
      </c>
      <c r="AW40" s="9" t="n">
        <v>0</v>
      </c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246">
        <f>BZ40+IF(NOT(ISBLANK(OFFSET(CB40,0,6))),N(OFFSET(CB40,0,6)),N(OFFSET(CB40,0,7)))-CA40</f>
        <v/>
      </c>
      <c r="CO40" s="360" t="n"/>
      <c r="DI40" s="6" t="n"/>
      <c r="DM40" s="6" t="n"/>
      <c r="EE40" s="6" t="n"/>
      <c r="EF40" s="53" t="n"/>
      <c r="EL40" s="6" t="n"/>
      <c r="EM40" s="6" t="n"/>
      <c r="EV40" s="314" t="n"/>
      <c r="EX40" s="289" t="n"/>
      <c r="FB40" s="289" t="n"/>
      <c r="FC40" s="289" t="n"/>
      <c r="FI40" s="289" t="n"/>
      <c r="FX40" s="53" t="n"/>
    </row>
    <row r="41" hidden="1" ht="18.75" customHeight="1">
      <c r="A41" s="343" t="inlineStr">
        <is>
          <t>PIN MELHOR PAI DO MDO</t>
        </is>
      </c>
      <c r="B41" s="344" t="n">
        <v>25</v>
      </c>
      <c r="C41" s="697" t="n"/>
      <c r="D41" s="342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9" t="n"/>
      <c r="AL41" s="9" t="n"/>
      <c r="AM41" s="9" t="n"/>
      <c r="AN41" s="9" t="n"/>
      <c r="AO41" s="9" t="n">
        <v>14</v>
      </c>
      <c r="AP41" s="9" t="n">
        <v>4</v>
      </c>
      <c r="AQ41" s="9" t="n">
        <v>-1</v>
      </c>
      <c r="AR41" s="9" t="n">
        <v>-1</v>
      </c>
      <c r="AS41" s="9" t="n">
        <v>-1</v>
      </c>
      <c r="AT41" s="9" t="n">
        <v>-1</v>
      </c>
      <c r="AU41" s="9" t="n">
        <v>0</v>
      </c>
      <c r="AV41" s="9" t="n">
        <v>0</v>
      </c>
      <c r="AW41" s="9" t="n">
        <v>0</v>
      </c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246">
        <f>BZ41+IF(NOT(ISBLANK(OFFSET(CB41,0,6))),N(OFFSET(CB41,0,6)),N(OFFSET(CB41,0,7)))-CA41</f>
        <v/>
      </c>
      <c r="CI41" s="6" t="n"/>
      <c r="CJ41" s="6" t="n"/>
      <c r="CK41" s="6" t="n"/>
      <c r="CL41" s="6" t="n"/>
      <c r="CM41" s="6" t="n"/>
      <c r="CN41" s="6" t="n"/>
      <c r="CO41" s="53" t="n"/>
      <c r="CP41" s="6" t="n"/>
      <c r="CQ41" s="6" t="n"/>
      <c r="CR41" s="6" t="n"/>
      <c r="CS41" s="6" t="n"/>
      <c r="CT41" s="6" t="n"/>
      <c r="CU41" s="6" t="n"/>
      <c r="CV41" s="6" t="n"/>
      <c r="CW41" s="6" t="n"/>
      <c r="CX41" s="6" t="n"/>
      <c r="CY41" s="6" t="n"/>
      <c r="DI41" s="6" t="n"/>
      <c r="DM41" s="6" t="n"/>
      <c r="EE41" s="6" t="n"/>
      <c r="EF41" s="53" t="n"/>
      <c r="EL41" s="6" t="n"/>
      <c r="EM41" s="6" t="n"/>
      <c r="EV41" s="314" t="n"/>
      <c r="EX41" s="289" t="n"/>
      <c r="FB41" s="289" t="n"/>
      <c r="FC41" s="289" t="n"/>
      <c r="FI41" s="289" t="n"/>
      <c r="FX41" s="53" t="n"/>
      <c r="GC41" s="53" t="n"/>
      <c r="GD41" s="53" t="n"/>
      <c r="GE41" s="53" t="n"/>
      <c r="GF41" s="53" t="n"/>
      <c r="GG41" s="53" t="n"/>
      <c r="GH41" s="53" t="n"/>
      <c r="GI41" s="53" t="n"/>
      <c r="GJ41" s="53" t="n"/>
      <c r="GK41" s="53" t="n"/>
      <c r="GL41" s="53" t="n"/>
      <c r="GM41" s="53" t="n"/>
    </row>
    <row r="42" hidden="1" ht="18.75" customHeight="1">
      <c r="A42" s="343" t="inlineStr">
        <is>
          <t>PIN BALÃO</t>
        </is>
      </c>
      <c r="B42" s="344" t="n">
        <v>25</v>
      </c>
      <c r="C42" s="697" t="n"/>
      <c r="D42" s="342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9" t="n"/>
      <c r="AL42" s="9" t="n"/>
      <c r="AM42" s="9" t="n"/>
      <c r="AN42" s="9" t="n"/>
      <c r="AO42" s="9" t="n">
        <v>18</v>
      </c>
      <c r="AP42" s="9" t="n">
        <v>14</v>
      </c>
      <c r="AQ42" s="9" t="n">
        <v>12</v>
      </c>
      <c r="AR42" s="9" t="n">
        <v>5</v>
      </c>
      <c r="AS42" s="9" t="n">
        <v>4</v>
      </c>
      <c r="AT42" s="9" t="n">
        <v>2</v>
      </c>
      <c r="AU42" s="9" t="n">
        <v>1</v>
      </c>
      <c r="AV42" s="9" t="n">
        <v>0</v>
      </c>
      <c r="AW42" s="9" t="n">
        <v>0</v>
      </c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246">
        <f>BZ42+IF(NOT(ISBLANK(OFFSET(CB42,0,6))),N(OFFSET(CB42,0,6)),N(OFFSET(CB42,0,7)))-CA42</f>
        <v/>
      </c>
      <c r="CI42" s="6" t="n"/>
      <c r="CJ42" s="6" t="n"/>
      <c r="CK42" s="6" t="n"/>
      <c r="CL42" s="6" t="n"/>
      <c r="CM42" s="6" t="n"/>
      <c r="CN42" s="6" t="n"/>
      <c r="CO42" s="53" t="n"/>
      <c r="CP42" s="6" t="n"/>
      <c r="CQ42" s="6" t="n"/>
      <c r="CR42" s="6" t="n"/>
      <c r="CS42" s="6" t="n"/>
      <c r="CT42" s="6" t="n"/>
      <c r="CU42" s="6" t="n"/>
      <c r="CV42" s="6" t="n"/>
      <c r="CW42" s="6" t="n"/>
      <c r="CX42" s="6" t="n"/>
      <c r="CY42" s="6" t="n"/>
      <c r="DI42" s="6" t="n"/>
      <c r="DM42" s="6" t="n"/>
      <c r="EE42" s="6" t="n"/>
      <c r="EF42" s="53" t="n"/>
      <c r="EL42" s="6" t="n"/>
      <c r="EM42" s="6" t="n"/>
      <c r="EV42" s="314" t="n"/>
      <c r="EX42" s="289" t="n"/>
      <c r="FB42" s="289" t="n"/>
      <c r="FC42" s="289" t="n"/>
      <c r="FI42" s="289" t="n"/>
      <c r="FX42" s="53" t="n"/>
      <c r="GC42" s="53" t="n"/>
      <c r="GD42" s="53" t="n"/>
      <c r="GE42" s="53" t="n"/>
      <c r="GF42" s="53" t="n"/>
      <c r="GG42" s="53" t="n"/>
      <c r="GH42" s="53" t="n"/>
      <c r="GI42" s="53" t="n"/>
      <c r="GJ42" s="53" t="n"/>
      <c r="GK42" s="53" t="n"/>
      <c r="GL42" s="53" t="n"/>
      <c r="GM42" s="53" t="n"/>
    </row>
    <row r="43" hidden="1" ht="18.75" customHeight="1">
      <c r="A43" s="343" t="inlineStr">
        <is>
          <t>PIN AMOR</t>
        </is>
      </c>
      <c r="B43" s="344" t="n">
        <v>25</v>
      </c>
      <c r="C43" s="697" t="n"/>
      <c r="D43" s="342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9" t="n"/>
      <c r="AL43" s="9" t="n"/>
      <c r="AM43" s="9" t="n"/>
      <c r="AN43" s="9" t="n"/>
      <c r="AO43" s="9" t="n">
        <v>2</v>
      </c>
      <c r="AP43" s="9" t="n">
        <v>14</v>
      </c>
      <c r="AQ43" s="9" t="n">
        <v>9</v>
      </c>
      <c r="AR43" s="9" t="n">
        <v>3</v>
      </c>
      <c r="AS43" s="9" t="n">
        <v>2</v>
      </c>
      <c r="AT43" s="9" t="n">
        <v>2</v>
      </c>
      <c r="AU43" s="9" t="n">
        <v>3</v>
      </c>
      <c r="AV43" s="9" t="n">
        <v>3</v>
      </c>
      <c r="AW43" s="9" t="n">
        <v>2</v>
      </c>
      <c r="AX43" s="9" t="n">
        <v>2</v>
      </c>
      <c r="AY43" s="9" t="n">
        <v>2</v>
      </c>
      <c r="AZ43" s="9" t="n">
        <v>2</v>
      </c>
      <c r="BA43" s="9" t="n">
        <v>2</v>
      </c>
      <c r="BB43" s="9" t="n">
        <v>1</v>
      </c>
      <c r="BC43" s="9" t="n">
        <v>1</v>
      </c>
      <c r="BD43" s="9" t="n">
        <v>0</v>
      </c>
      <c r="BE43" s="9" t="n">
        <v>0</v>
      </c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246">
        <f>BZ43+IF(NOT(ISBLANK(OFFSET(CB43,0,6))),N(OFFSET(CB43,0,6)),N(OFFSET(CB43,0,7)))-CA43</f>
        <v/>
      </c>
      <c r="CI43" s="6" t="n"/>
      <c r="CJ43" s="6" t="n"/>
      <c r="CK43" s="6" t="n"/>
      <c r="CL43" s="6" t="n"/>
      <c r="CM43" s="6" t="n"/>
      <c r="CN43" s="6" t="n"/>
      <c r="CO43" s="53" t="n"/>
      <c r="CP43" s="6" t="n"/>
      <c r="CQ43" s="6" t="n"/>
      <c r="CR43" s="6" t="n"/>
      <c r="CS43" s="6" t="n"/>
      <c r="CT43" s="6" t="n"/>
      <c r="CU43" s="6" t="n"/>
      <c r="CV43" s="6" t="n"/>
      <c r="CW43" s="6" t="n"/>
      <c r="CX43" s="6" t="n"/>
      <c r="CY43" s="6" t="n"/>
      <c r="DI43" s="6" t="n"/>
      <c r="DM43" s="6" t="n"/>
      <c r="EE43" s="6" t="n"/>
      <c r="EF43" s="53" t="n"/>
      <c r="EL43" s="6" t="n"/>
      <c r="EM43" s="6" t="n"/>
      <c r="EV43" s="314" t="n"/>
      <c r="EX43" s="289" t="n"/>
      <c r="FB43" s="289" t="n"/>
      <c r="FC43" s="289" t="n"/>
      <c r="FI43" s="289" t="n"/>
      <c r="FX43" s="53" t="n"/>
      <c r="GC43" s="53" t="n"/>
      <c r="GD43" s="53" t="n"/>
      <c r="GE43" s="53" t="n"/>
      <c r="GF43" s="53" t="n"/>
      <c r="GG43" s="53" t="n"/>
      <c r="GH43" s="53" t="n"/>
      <c r="GI43" s="53" t="n"/>
      <c r="GJ43" s="53" t="n"/>
      <c r="GK43" s="53" t="n"/>
      <c r="GL43" s="53" t="n"/>
      <c r="GM43" s="53" t="n"/>
    </row>
    <row r="44" hidden="1" ht="18.75" customHeight="1">
      <c r="A44" s="368" t="inlineStr">
        <is>
          <t>CAIXA DORAMA/25</t>
        </is>
      </c>
      <c r="B44" s="369" t="n">
        <v>100</v>
      </c>
      <c r="C44" s="698" t="n">
        <v>841.1</v>
      </c>
      <c r="D44" s="342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9" t="n">
        <v>7</v>
      </c>
      <c r="AL44" s="9" t="n">
        <v>3</v>
      </c>
      <c r="AM44" s="9" t="n">
        <v>3</v>
      </c>
      <c r="AN44" s="9" t="n">
        <v>3</v>
      </c>
      <c r="AO44" s="9" t="n">
        <v>2</v>
      </c>
      <c r="AP44" s="9" t="n">
        <v>3</v>
      </c>
      <c r="AQ44" s="9" t="n">
        <v>2</v>
      </c>
      <c r="AR44" s="9" t="n">
        <v>1</v>
      </c>
      <c r="AS44" s="9" t="n">
        <v>1</v>
      </c>
      <c r="AT44" s="9" t="n">
        <v>1</v>
      </c>
      <c r="AU44" s="9" t="n">
        <v>0</v>
      </c>
      <c r="AV44" s="9" t="n">
        <v>0</v>
      </c>
      <c r="AW44" s="9" t="n">
        <v>0</v>
      </c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>
        <v>0</v>
      </c>
      <c r="BH44" s="9" t="n">
        <v>0</v>
      </c>
      <c r="BI44" s="9" t="n">
        <v>0</v>
      </c>
      <c r="BJ44" s="9" t="n">
        <v>0</v>
      </c>
      <c r="BK44" s="9" t="n">
        <v>0</v>
      </c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246">
        <f>BZ44+IF(NOT(ISBLANK(OFFSET(CB44,0,6))),N(OFFSET(CB44,0,6)),N(OFFSET(CB44,0,7)))-CA44</f>
        <v/>
      </c>
      <c r="CI44" s="6" t="n"/>
      <c r="CJ44" s="6" t="n"/>
      <c r="CK44" s="6" t="n"/>
      <c r="CL44" s="6" t="n"/>
      <c r="CM44" s="6" t="n"/>
      <c r="CN44" s="6" t="n"/>
      <c r="CO44" s="53" t="n"/>
      <c r="CP44" s="6" t="n"/>
      <c r="CQ44" s="6" t="n"/>
      <c r="CR44" s="6" t="n"/>
      <c r="CS44" s="6" t="n"/>
      <c r="CT44" s="6" t="n"/>
      <c r="CU44" s="6" t="n"/>
      <c r="CV44" s="6" t="n"/>
      <c r="CW44" s="6" t="n"/>
      <c r="CX44" s="6" t="n"/>
      <c r="CY44" s="6" t="n"/>
      <c r="DI44" s="360" t="n"/>
      <c r="DM44" s="360" t="n"/>
      <c r="EE44" s="6" t="n"/>
      <c r="EF44" s="53" t="n"/>
      <c r="EL44" s="6" t="n"/>
      <c r="EM44" s="6" t="n"/>
      <c r="EV44" s="314" t="n"/>
      <c r="EX44" s="289" t="n"/>
      <c r="FB44" s="289" t="n"/>
      <c r="FC44" s="289" t="n"/>
      <c r="FI44" s="289" t="n"/>
      <c r="FX44" s="53" t="n"/>
      <c r="GC44" s="53" t="n"/>
      <c r="GD44" s="53" t="n"/>
      <c r="GE44" s="53" t="n"/>
      <c r="GF44" s="53" t="n"/>
      <c r="GG44" s="53" t="n"/>
      <c r="GH44" s="53" t="n"/>
      <c r="GI44" s="53" t="n"/>
      <c r="GJ44" s="53" t="n"/>
      <c r="GK44" s="53" t="n"/>
      <c r="GL44" s="53" t="n"/>
      <c r="GM44" s="53" t="n"/>
    </row>
    <row r="45" ht="18.75" customHeight="1">
      <c r="A45" s="33" t="inlineStr">
        <is>
          <t>CAIXA P NATAL/25</t>
        </is>
      </c>
      <c r="B45" s="9" t="n">
        <v>150</v>
      </c>
      <c r="C45" s="668" t="n">
        <v>805.35</v>
      </c>
      <c r="D45" s="342" t="n"/>
      <c r="BD45" s="9" t="n">
        <v>168</v>
      </c>
      <c r="BE45" s="9" t="n">
        <v>174</v>
      </c>
      <c r="BF45" s="9" t="n">
        <v>78</v>
      </c>
      <c r="BG45" s="9" t="n">
        <v>72</v>
      </c>
      <c r="BH45" s="9" t="n">
        <v>63</v>
      </c>
      <c r="BI45" s="9" t="n">
        <v>61</v>
      </c>
      <c r="BJ45" s="9" t="n">
        <v>60</v>
      </c>
      <c r="BK45" s="9" t="n">
        <v>147</v>
      </c>
      <c r="BL45" s="9" t="n">
        <v>60</v>
      </c>
      <c r="BM45" s="9" t="n">
        <v>58</v>
      </c>
      <c r="BN45" s="9" t="n">
        <v>57</v>
      </c>
      <c r="BO45" s="9" t="n">
        <v>27</v>
      </c>
      <c r="BP45" s="9" t="n">
        <v>21</v>
      </c>
      <c r="BQ45" s="9" t="n">
        <v>16</v>
      </c>
      <c r="BR45" s="9" t="n">
        <v>2</v>
      </c>
      <c r="BS45" s="9" t="n">
        <v>2</v>
      </c>
      <c r="BT45" s="9" t="n">
        <v>2</v>
      </c>
      <c r="BU45" s="9" t="n">
        <v>2</v>
      </c>
      <c r="BV45" s="9" t="n">
        <v>2</v>
      </c>
      <c r="BW45" s="9" t="n">
        <v>0</v>
      </c>
      <c r="BX45" s="9" t="n">
        <v>0</v>
      </c>
      <c r="BY45" s="9" t="n">
        <v>0</v>
      </c>
      <c r="BZ45" s="9" t="n">
        <v>0</v>
      </c>
      <c r="CA45" s="9" t="n">
        <v>0</v>
      </c>
      <c r="CB45" s="246">
        <f>BZ45+IF(NOT(ISBLANK(OFFSET(CB45,0,6))),N(OFFSET(CB45,0,6)),N(OFFSET(CB45,0,7)))-CA45</f>
        <v/>
      </c>
      <c r="CI45" s="6" t="n"/>
      <c r="CJ45" s="6" t="n"/>
      <c r="CK45" s="6" t="n"/>
      <c r="CL45" s="6" t="n"/>
      <c r="CM45" s="6" t="n"/>
      <c r="CN45" s="6" t="n"/>
      <c r="CP45" s="6" t="n"/>
      <c r="CQ45" s="6" t="n"/>
      <c r="CR45" s="6" t="n"/>
      <c r="CS45" s="6" t="n"/>
      <c r="CT45" s="6" t="n"/>
      <c r="CU45" s="6" t="n"/>
      <c r="CV45" s="6" t="n"/>
      <c r="CW45" s="6" t="n"/>
      <c r="CX45" s="6" t="n"/>
      <c r="CY45" s="6" t="n"/>
      <c r="DI45" s="360" t="n"/>
      <c r="DM45" s="360" t="n"/>
      <c r="DY45" s="57" t="n"/>
      <c r="EE45" s="6" t="n"/>
      <c r="EF45" s="53" t="n"/>
      <c r="EK45" s="57" t="n"/>
      <c r="EL45" s="6" t="n"/>
      <c r="EM45" s="6" t="n"/>
      <c r="EN45" s="57" t="n"/>
      <c r="EO45" s="57" t="n"/>
      <c r="EP45" s="57" t="n"/>
      <c r="EQ45" s="57" t="n"/>
      <c r="ER45" s="57" t="n"/>
      <c r="ES45" s="57" t="n"/>
      <c r="ET45" s="57" t="n"/>
      <c r="EV45" s="315" t="n"/>
      <c r="EW45" s="57" t="n"/>
      <c r="EX45" s="289" t="n"/>
      <c r="EY45" s="57" t="n"/>
      <c r="EZ45" s="57" t="n"/>
      <c r="FB45" s="289" t="n"/>
      <c r="FC45" s="289" t="n"/>
      <c r="FH45" s="57" t="n"/>
      <c r="FI45" s="289" t="n"/>
      <c r="FL45" s="57" t="n"/>
      <c r="FQ45" s="57" t="n"/>
      <c r="FS45" s="57" t="n"/>
      <c r="FX45" s="53" t="n"/>
    </row>
    <row r="46" ht="18.75" customHeight="1">
      <c r="A46" s="33" t="inlineStr">
        <is>
          <t>CAIXA M NATAL/25</t>
        </is>
      </c>
      <c r="B46" s="9" t="n">
        <v>100</v>
      </c>
      <c r="C46" s="668" t="n">
        <v>792.2</v>
      </c>
      <c r="D46" s="342" t="n"/>
      <c r="BD46" s="190" t="n">
        <v>318</v>
      </c>
      <c r="BE46" s="9" t="n">
        <v>260</v>
      </c>
      <c r="BF46" s="9" t="n">
        <v>112</v>
      </c>
      <c r="BG46" s="9" t="n">
        <v>101</v>
      </c>
      <c r="BH46" s="9" t="n">
        <v>94</v>
      </c>
      <c r="BI46" s="9" t="n">
        <v>83</v>
      </c>
      <c r="BJ46" s="9" t="n">
        <v>74</v>
      </c>
      <c r="BK46" s="9" t="n">
        <v>24</v>
      </c>
      <c r="BL46" s="9" t="n">
        <v>15</v>
      </c>
      <c r="BM46" s="9" t="n">
        <v>13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>
        <v>0</v>
      </c>
      <c r="BU46" s="9" t="n">
        <v>0</v>
      </c>
      <c r="BV46" s="9" t="n">
        <v>0</v>
      </c>
      <c r="BW46" s="9" t="n">
        <v>0</v>
      </c>
      <c r="BX46" s="9" t="n">
        <v>0</v>
      </c>
      <c r="BY46" s="9" t="n">
        <v>0</v>
      </c>
      <c r="BZ46" s="9" t="n">
        <v>0</v>
      </c>
      <c r="CA46" s="9" t="n">
        <v>0</v>
      </c>
      <c r="CB46" s="246">
        <f>BZ46+IF(NOT(ISBLANK(OFFSET(CB46,0,6))),N(OFFSET(CB46,0,6)),N(OFFSET(CB46,0,7)))-CA46</f>
        <v/>
      </c>
      <c r="CI46" s="6" t="n"/>
      <c r="CJ46" s="6" t="n"/>
      <c r="CK46" s="6" t="n"/>
      <c r="CL46" s="6" t="n"/>
      <c r="CM46" s="6" t="n"/>
      <c r="CN46" s="6" t="n"/>
      <c r="CP46" s="6" t="n"/>
      <c r="CQ46" s="6" t="n"/>
      <c r="CR46" s="6" t="n"/>
      <c r="CS46" s="6" t="n"/>
      <c r="CT46" s="6" t="n"/>
      <c r="CU46" s="6" t="n"/>
      <c r="CV46" s="6" t="n"/>
      <c r="CW46" s="6" t="n"/>
      <c r="CX46" s="6" t="n"/>
      <c r="CY46" s="6" t="n"/>
      <c r="DI46" s="360" t="n"/>
      <c r="DM46" s="360" t="n"/>
      <c r="DY46" s="57" t="n"/>
      <c r="EE46" s="6" t="n"/>
      <c r="EF46" s="53" t="n"/>
      <c r="EK46" s="57" t="n"/>
      <c r="EL46" s="6" t="n"/>
      <c r="EM46" s="6" t="n"/>
      <c r="EN46" s="57" t="n"/>
      <c r="EO46" s="57" t="n"/>
      <c r="EP46" s="57" t="n"/>
      <c r="EQ46" s="57" t="n"/>
      <c r="ER46" s="57" t="n"/>
      <c r="ES46" s="57" t="n"/>
      <c r="ET46" s="57" t="n"/>
      <c r="EV46" s="315" t="n"/>
      <c r="EW46" s="57" t="n"/>
      <c r="EX46" s="289" t="n"/>
      <c r="EY46" s="57" t="n"/>
      <c r="EZ46" s="57" t="n"/>
      <c r="FB46" s="289" t="n"/>
      <c r="FC46" s="289" t="n"/>
      <c r="FH46" s="57" t="n"/>
      <c r="FI46" s="289" t="n"/>
      <c r="FL46" s="57" t="n"/>
      <c r="FQ46" s="57" t="n"/>
      <c r="FS46" s="57" t="n"/>
      <c r="FX46" s="53" t="n"/>
    </row>
    <row r="47" ht="18.75" customHeight="1">
      <c r="A47" s="33" t="inlineStr">
        <is>
          <t>CAIXA G NATAL/25</t>
        </is>
      </c>
      <c r="B47" s="9" t="n">
        <v>50</v>
      </c>
      <c r="C47" s="668" t="n"/>
      <c r="D47" s="342" t="n"/>
      <c r="BD47" s="9" t="n">
        <v>14</v>
      </c>
      <c r="BE47" s="9" t="n">
        <v>11</v>
      </c>
      <c r="BF47" s="9" t="n">
        <v>9</v>
      </c>
      <c r="BG47" s="9" t="n">
        <v>9</v>
      </c>
      <c r="BH47" s="9" t="n">
        <v>9</v>
      </c>
      <c r="BI47" s="9" t="n">
        <v>8</v>
      </c>
      <c r="BJ47" s="9" t="n">
        <v>8</v>
      </c>
      <c r="BK47" s="9" t="n">
        <v>8</v>
      </c>
      <c r="BL47" s="9" t="n">
        <v>8</v>
      </c>
      <c r="BM47" s="9" t="n">
        <v>8</v>
      </c>
      <c r="BN47" s="9" t="n">
        <v>8</v>
      </c>
      <c r="BO47" s="9" t="n">
        <v>8</v>
      </c>
      <c r="BP47" s="9" t="n">
        <v>8</v>
      </c>
      <c r="BQ47" s="9" t="n">
        <v>8</v>
      </c>
      <c r="BR47" s="9" t="n">
        <v>6</v>
      </c>
      <c r="BS47" s="9" t="n">
        <v>6</v>
      </c>
      <c r="BT47" s="9" t="n">
        <v>6</v>
      </c>
      <c r="BU47" s="9" t="n">
        <v>6</v>
      </c>
      <c r="BV47" s="9" t="n">
        <v>6</v>
      </c>
      <c r="BW47" s="9" t="n">
        <v>6</v>
      </c>
      <c r="BX47" s="9" t="n">
        <v>5</v>
      </c>
      <c r="BY47" s="9" t="n">
        <v>3</v>
      </c>
      <c r="BZ47" s="9" t="n">
        <v>3</v>
      </c>
      <c r="CA47" s="9" t="n">
        <v>3</v>
      </c>
      <c r="CB47" s="246">
        <f>BZ47+IF(NOT(ISBLANK(OFFSET(CB47,0,6))),N(OFFSET(CB47,0,6)),N(OFFSET(CB47,0,7)))-CA47</f>
        <v/>
      </c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W47" s="6" t="n"/>
      <c r="CX47" s="6" t="n"/>
      <c r="CY47" s="6" t="n"/>
      <c r="DI47" s="360" t="n"/>
      <c r="DM47" s="360" t="n"/>
      <c r="DY47" s="57" t="n"/>
      <c r="EE47" s="6" t="n"/>
      <c r="EF47" s="53" t="n"/>
      <c r="EK47" s="57" t="n"/>
      <c r="EL47" s="6" t="n"/>
      <c r="EM47" s="6" t="n"/>
      <c r="EN47" s="57" t="n"/>
      <c r="EO47" s="57" t="n"/>
      <c r="EP47" s="57" t="n"/>
      <c r="EQ47" s="57" t="n"/>
      <c r="ER47" s="57" t="n"/>
      <c r="ES47" s="57" t="n"/>
      <c r="ET47" s="57" t="n"/>
      <c r="EV47" s="315" t="n"/>
      <c r="EW47" s="57" t="n"/>
      <c r="EX47" s="289" t="n"/>
      <c r="EY47" s="57" t="n"/>
      <c r="EZ47" s="57" t="n"/>
      <c r="FB47" s="289" t="n"/>
      <c r="FC47" s="289" t="n"/>
      <c r="FH47" s="57" t="n"/>
      <c r="FI47" s="289" t="n"/>
      <c r="FL47" s="57" t="n"/>
      <c r="FQ47" s="57" t="n"/>
      <c r="FS47" s="57" t="n"/>
      <c r="FX47" s="53" t="n"/>
    </row>
    <row r="48" hidden="1" ht="18.75" customHeight="1">
      <c r="A48" s="33" t="inlineStr">
        <is>
          <t>CARTUCHO P NATAL/25</t>
        </is>
      </c>
      <c r="B48" s="9" t="n">
        <v>200</v>
      </c>
      <c r="C48" s="668" t="n">
        <v>487.2</v>
      </c>
      <c r="D48" s="342" t="n"/>
      <c r="BD48" s="9" t="n">
        <v>225</v>
      </c>
      <c r="BE48" s="9" t="n">
        <v>19</v>
      </c>
      <c r="BF48" s="9" t="n">
        <v>1</v>
      </c>
      <c r="BG48" s="9" t="n">
        <v>-3</v>
      </c>
      <c r="BH48" s="9" t="n">
        <v>-3</v>
      </c>
      <c r="BI48" s="9" t="n">
        <v>-3</v>
      </c>
      <c r="BJ48" s="9" t="n">
        <v>-3</v>
      </c>
      <c r="BK48" s="9" t="n">
        <v>1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246">
        <f>BZ48+IF(NOT(ISBLANK(OFFSET(CB48,0,6))),N(OFFSET(CB48,0,6)),N(OFFSET(CB48,0,7)))-CA48</f>
        <v/>
      </c>
      <c r="CI48" s="6" t="n"/>
      <c r="CJ48" s="6" t="n"/>
      <c r="CK48" s="6" t="n"/>
      <c r="CL48" s="6" t="n"/>
      <c r="CM48" s="6" t="n"/>
      <c r="CN48" s="6" t="n"/>
      <c r="CP48" s="6" t="n"/>
      <c r="CQ48" s="6" t="n"/>
      <c r="CR48" s="6" t="n"/>
      <c r="CS48" s="6" t="n"/>
      <c r="CT48" s="6" t="n"/>
      <c r="CU48" s="6" t="n"/>
      <c r="CV48" s="6" t="n"/>
      <c r="CW48" s="6" t="n"/>
      <c r="CX48" s="6" t="n"/>
      <c r="CY48" s="6" t="n"/>
      <c r="DI48" s="360" t="n"/>
      <c r="DM48" s="360" t="n"/>
      <c r="DY48" s="57" t="n"/>
      <c r="EE48" s="6" t="n"/>
      <c r="EF48" s="53" t="n"/>
      <c r="EK48" s="57" t="n"/>
      <c r="EL48" s="6" t="n"/>
      <c r="EM48" s="6" t="n"/>
      <c r="EN48" s="57" t="n"/>
      <c r="EO48" s="57" t="n"/>
      <c r="EP48" s="57" t="n"/>
      <c r="EQ48" s="57" t="n"/>
      <c r="ER48" s="57" t="n"/>
      <c r="ES48" s="57" t="n"/>
      <c r="ET48" s="57" t="n"/>
      <c r="EV48" s="315" t="n"/>
      <c r="EW48" s="57" t="n"/>
      <c r="EX48" s="289" t="n"/>
      <c r="EY48" s="57" t="n"/>
      <c r="EZ48" s="57" t="n"/>
      <c r="FB48" s="289" t="n"/>
      <c r="FC48" s="289" t="n"/>
      <c r="FH48" s="57" t="n"/>
      <c r="FI48" s="289" t="n"/>
      <c r="FL48" s="57" t="n"/>
      <c r="FQ48" s="57" t="n"/>
      <c r="FS48" s="57" t="n"/>
      <c r="FX48" s="53" t="n"/>
    </row>
    <row r="49" hidden="1" ht="18.75" customHeight="1">
      <c r="A49" s="33" t="inlineStr">
        <is>
          <t>CARTUCHO M NATAL/25</t>
        </is>
      </c>
      <c r="B49" s="9" t="n">
        <v>150</v>
      </c>
      <c r="C49" s="668" t="n">
        <v>460.35</v>
      </c>
      <c r="D49" s="342" t="n"/>
      <c r="BD49" s="9" t="n">
        <v>184</v>
      </c>
      <c r="BE49" s="9" t="n">
        <v>52</v>
      </c>
      <c r="BF49" s="9" t="n">
        <v>21</v>
      </c>
      <c r="BG49" s="9" t="n">
        <v>19</v>
      </c>
      <c r="BH49" s="9" t="n">
        <v>17</v>
      </c>
      <c r="BI49" s="9" t="n">
        <v>16</v>
      </c>
      <c r="BJ49" s="9" t="n">
        <v>16</v>
      </c>
      <c r="BK49" s="9" t="n">
        <v>14</v>
      </c>
      <c r="BL49" s="9" t="n">
        <v>1</v>
      </c>
      <c r="BM49" s="9" t="n">
        <v>1</v>
      </c>
      <c r="BN49" s="9" t="n">
        <v>1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246">
        <f>BZ49+IF(NOT(ISBLANK(OFFSET(CB49,0,6))),N(OFFSET(CB49,0,6)),N(OFFSET(CB49,0,7)))-CA49</f>
        <v/>
      </c>
      <c r="CI49" s="6" t="n"/>
      <c r="CJ49" s="6" t="n"/>
      <c r="CK49" s="6" t="n"/>
      <c r="CL49" s="6" t="n"/>
      <c r="CM49" s="6" t="n"/>
      <c r="CN49" s="6" t="n"/>
      <c r="CP49" s="6" t="n"/>
      <c r="CQ49" s="6" t="n"/>
      <c r="CR49" s="6" t="n"/>
      <c r="CS49" s="6" t="n"/>
      <c r="CT49" s="6" t="n"/>
      <c r="CU49" s="6" t="n"/>
      <c r="CV49" s="6" t="n"/>
      <c r="CW49" s="6" t="n"/>
      <c r="CX49" s="6" t="n"/>
      <c r="CY49" s="6" t="n"/>
      <c r="DI49" s="360" t="n"/>
      <c r="DM49" s="360" t="n"/>
      <c r="DY49" s="57" t="n"/>
      <c r="EE49" s="6" t="n"/>
      <c r="EF49" s="53" t="n"/>
      <c r="EK49" s="57" t="n"/>
      <c r="EL49" s="6" t="n"/>
      <c r="EM49" s="6" t="n"/>
      <c r="EN49" s="57" t="n"/>
      <c r="EO49" s="57" t="n"/>
      <c r="EP49" s="57" t="n"/>
      <c r="EQ49" s="57" t="n"/>
      <c r="ER49" s="57" t="n"/>
      <c r="ES49" s="57" t="n"/>
      <c r="ET49" s="57" t="n"/>
      <c r="EV49" s="315" t="n"/>
      <c r="EW49" s="57" t="n"/>
      <c r="EX49" s="289" t="n"/>
      <c r="EY49" s="57" t="n"/>
      <c r="EZ49" s="57" t="n"/>
      <c r="FB49" s="289" t="n"/>
      <c r="FC49" s="289" t="n"/>
      <c r="FH49" s="57" t="n"/>
      <c r="FI49" s="289" t="n"/>
      <c r="FL49" s="57" t="n"/>
      <c r="FQ49" s="57" t="n"/>
      <c r="FS49" s="57" t="n"/>
      <c r="FX49" s="53" t="n"/>
    </row>
    <row r="50" hidden="1" ht="18.75" customHeight="1">
      <c r="A50" s="33" t="inlineStr">
        <is>
          <t>PIN NATAL/25</t>
        </is>
      </c>
      <c r="B50" s="9" t="n">
        <v>10</v>
      </c>
      <c r="C50" s="668" t="n">
        <v>120</v>
      </c>
      <c r="D50" s="342" t="n"/>
      <c r="BD50" s="9" t="n"/>
      <c r="BE50" s="9" t="n">
        <v>0</v>
      </c>
      <c r="BF50" s="9" t="n">
        <v>0</v>
      </c>
      <c r="BG50" s="9" t="n">
        <v>0</v>
      </c>
      <c r="BH50" s="9" t="n">
        <v>0</v>
      </c>
      <c r="BI50" s="9" t="n">
        <v>0</v>
      </c>
      <c r="BJ50" s="9" t="n">
        <v>0</v>
      </c>
      <c r="BK50" s="9" t="n">
        <v>1</v>
      </c>
      <c r="BL50" s="9" t="n">
        <v>1</v>
      </c>
      <c r="BM50" s="9" t="n">
        <v>1</v>
      </c>
      <c r="BN50" s="9" t="n">
        <v>1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246">
        <f>BZ50+IF(NOT(ISBLANK(OFFSET(CB50,0,6))),N(OFFSET(CB50,0,6)),N(OFFSET(CB50,0,7)))-CA50</f>
        <v/>
      </c>
      <c r="CI50" s="6" t="n"/>
      <c r="CJ50" s="6" t="n"/>
      <c r="CK50" s="6" t="n"/>
      <c r="CL50" s="6" t="n"/>
      <c r="CM50" s="6" t="n"/>
      <c r="CN50" s="6" t="n"/>
      <c r="CP50" s="6" t="n"/>
      <c r="CQ50" s="6" t="n"/>
      <c r="CR50" s="6" t="n"/>
      <c r="CS50" s="6" t="n"/>
      <c r="CT50" s="6" t="n"/>
      <c r="CU50" s="6" t="n"/>
      <c r="CV50" s="6" t="n"/>
      <c r="CW50" s="6" t="n"/>
      <c r="CX50" s="6" t="n"/>
      <c r="CY50" s="6" t="n"/>
      <c r="DI50" s="360" t="n"/>
      <c r="DM50" s="360" t="n"/>
      <c r="DY50" s="57" t="n"/>
      <c r="EE50" s="6" t="n"/>
      <c r="EF50" s="53" t="n"/>
      <c r="EK50" s="57" t="n"/>
      <c r="EL50" s="6" t="n"/>
      <c r="EM50" s="6" t="n"/>
      <c r="EN50" s="57" t="n"/>
      <c r="EO50" s="57" t="n"/>
      <c r="EP50" s="57" t="n"/>
      <c r="EQ50" s="57" t="n"/>
      <c r="ER50" s="57" t="n"/>
      <c r="ES50" s="57" t="n"/>
      <c r="ET50" s="57" t="n"/>
      <c r="EV50" s="315" t="n"/>
      <c r="EW50" s="57" t="n"/>
      <c r="EX50" s="289" t="n"/>
      <c r="EY50" s="57" t="n"/>
      <c r="EZ50" s="57" t="n"/>
      <c r="FB50" s="289" t="n"/>
      <c r="FC50" s="289" t="n"/>
      <c r="FH50" s="57" t="n"/>
      <c r="FI50" s="289" t="n"/>
      <c r="FL50" s="57" t="n"/>
      <c r="FQ50" s="57" t="n"/>
      <c r="FS50" s="57" t="n"/>
      <c r="FX50" s="53" t="n"/>
    </row>
    <row r="51" ht="18.75" customHeight="1">
      <c r="CI51" s="6" t="n"/>
      <c r="CJ51" s="6" t="n"/>
      <c r="CK51" s="6" t="n"/>
      <c r="CL51" s="6" t="n"/>
      <c r="CM51" s="6" t="n"/>
      <c r="CN51" s="6" t="n"/>
      <c r="CP51" s="6" t="n"/>
      <c r="CQ51" s="6" t="n"/>
      <c r="CR51" s="6" t="n"/>
      <c r="CS51" s="6" t="n"/>
      <c r="CT51" s="6" t="n"/>
      <c r="CU51" s="6" t="n"/>
      <c r="CV51" s="6" t="n"/>
      <c r="CW51" s="6" t="n"/>
      <c r="CX51" s="6" t="n"/>
      <c r="CY51" s="6" t="n"/>
      <c r="DI51" s="360" t="n"/>
      <c r="DM51" s="360" t="n"/>
      <c r="DY51" s="57" t="n"/>
      <c r="EE51" s="6" t="n"/>
      <c r="EF51" s="53" t="n"/>
      <c r="EK51" s="57" t="n"/>
      <c r="EL51" s="6" t="n"/>
      <c r="EM51" s="6" t="n"/>
      <c r="EN51" s="57" t="n"/>
      <c r="EO51" s="57" t="n"/>
      <c r="EP51" s="57" t="n"/>
      <c r="EQ51" s="57" t="n"/>
      <c r="ER51" s="57" t="n"/>
      <c r="ES51" s="57" t="n"/>
      <c r="ET51" s="57" t="n"/>
      <c r="EV51" s="315" t="n"/>
      <c r="EW51" s="57" t="n"/>
      <c r="EX51" s="289" t="n"/>
      <c r="EY51" s="57" t="n"/>
      <c r="EZ51" s="57" t="n"/>
      <c r="FB51" s="289" t="n"/>
      <c r="FC51" s="289" t="n"/>
      <c r="FH51" s="57" t="n"/>
      <c r="FI51" s="289" t="n"/>
      <c r="FL51" s="57" t="n"/>
      <c r="FQ51" s="57" t="n"/>
      <c r="FS51" s="57" t="n"/>
      <c r="FX51" s="53" t="n"/>
    </row>
    <row r="52" ht="21" customHeight="1">
      <c r="A52" s="320" t="inlineStr">
        <is>
          <t>SOBRAS DATAS COMEMORATIVAS</t>
        </is>
      </c>
      <c r="B52" s="320" t="n"/>
      <c r="C52" s="320" t="n"/>
      <c r="CC52" s="53" t="n"/>
      <c r="CF52" s="53" t="n"/>
      <c r="CG52" s="53" t="n"/>
      <c r="CH52" s="53" t="n"/>
      <c r="CZ52" s="57" t="n"/>
      <c r="DA52" s="57" t="n"/>
      <c r="DB52" s="57" t="n"/>
      <c r="DC52" s="57" t="n"/>
      <c r="DD52" s="57" t="n"/>
      <c r="DE52" s="57" t="n"/>
      <c r="DF52" s="57" t="n"/>
      <c r="DG52" s="57" t="n"/>
      <c r="DH52" s="57" t="n"/>
      <c r="DI52" s="53" t="n"/>
      <c r="DJ52" s="57" t="n"/>
      <c r="DK52" s="57" t="n"/>
      <c r="DL52" s="57" t="n"/>
      <c r="DM52" s="53" t="n"/>
      <c r="DN52" s="57" t="n"/>
      <c r="DO52" s="57" t="n"/>
      <c r="DP52" s="57" t="n"/>
      <c r="DQ52" s="57" t="n"/>
      <c r="DR52" s="57" t="n"/>
      <c r="DS52" s="57" t="n"/>
      <c r="DT52" s="57" t="n"/>
      <c r="DU52" s="57" t="n"/>
      <c r="DV52" s="57" t="n"/>
      <c r="DW52" s="57" t="n"/>
      <c r="DX52" s="57" t="n"/>
      <c r="DY52" s="61" t="n"/>
      <c r="DZ52" s="57" t="n"/>
      <c r="EA52" s="57" t="n"/>
      <c r="EB52" s="57" t="n"/>
      <c r="EC52" s="57" t="n"/>
      <c r="ED52" s="57" t="n"/>
      <c r="EE52" s="6" t="n"/>
      <c r="EF52" s="53" t="n"/>
      <c r="EG52" s="57" t="n"/>
      <c r="EH52" s="57" t="n"/>
      <c r="EI52" s="57" t="n"/>
      <c r="EJ52" s="57" t="n"/>
      <c r="EK52" s="61" t="n"/>
      <c r="EL52" s="360" t="n"/>
      <c r="EM52" s="6" t="n"/>
      <c r="EN52" s="61" t="n"/>
      <c r="EO52" s="61" t="n"/>
      <c r="EP52" s="61" t="n"/>
      <c r="EQ52" s="61" t="n"/>
      <c r="ER52" s="61" t="n"/>
      <c r="ES52" s="61" t="n"/>
      <c r="ET52" s="61" t="n"/>
      <c r="EV52" s="61" t="n"/>
      <c r="EW52" s="61" t="n"/>
      <c r="EX52" s="289" t="n"/>
      <c r="EY52" s="61" t="n"/>
      <c r="EZ52" s="61" t="n"/>
      <c r="FB52" s="289" t="n"/>
      <c r="FC52" s="289" t="n"/>
      <c r="FH52" s="61" t="n"/>
      <c r="FI52" s="289" t="n"/>
      <c r="FL52" s="61" t="n"/>
      <c r="FQ52" s="61" t="n"/>
      <c r="FS52" s="61" t="n"/>
      <c r="FX52" s="6" t="n"/>
      <c r="GB52" s="53" t="n"/>
      <c r="GN52" s="148" t="n"/>
      <c r="GZ52" s="49" t="n"/>
      <c r="HA52" s="49" t="n"/>
      <c r="HB52" s="49" t="n"/>
      <c r="HC52" s="49" t="n"/>
      <c r="HD52" s="49" t="n"/>
      <c r="HE52" s="49" t="n"/>
      <c r="HF52" s="49" t="n"/>
      <c r="HG52" s="49" t="n"/>
      <c r="HH52" s="49" t="n"/>
      <c r="HI52" s="49" t="n"/>
      <c r="HJ52" s="49" t="n"/>
      <c r="HK52" s="49" t="n"/>
      <c r="HL52" s="49" t="n"/>
      <c r="HO52" s="49" t="n"/>
      <c r="HP52" s="49" t="n"/>
      <c r="HQ52" s="49" t="n"/>
      <c r="HR52" s="49" t="n"/>
      <c r="HS52" s="49" t="n"/>
      <c r="HT52" s="49" t="n"/>
      <c r="HU52" s="49" t="n"/>
      <c r="HV52" s="49" t="n"/>
      <c r="HW52" s="49" t="n"/>
      <c r="HX52" s="49" t="n"/>
      <c r="HY52" s="49" t="n"/>
      <c r="HZ52" s="49" t="n"/>
      <c r="IA52" s="49" t="n"/>
      <c r="IB52" s="49" t="n"/>
      <c r="IC52" s="49" t="n"/>
      <c r="IG52" s="49" t="n"/>
      <c r="IH52" s="49" t="n"/>
      <c r="II52" s="49" t="n"/>
      <c r="IJ52" s="53" t="n"/>
      <c r="IK52" s="63" t="n"/>
      <c r="IL52" s="63" t="n"/>
      <c r="IM52" s="49" t="n"/>
      <c r="IN52" s="63" t="n"/>
      <c r="IO52" s="63" t="n"/>
      <c r="IP52" s="63" t="n"/>
      <c r="IQ52" s="63" t="n"/>
      <c r="IR52" s="63" t="n"/>
      <c r="IS52" s="49" t="n"/>
      <c r="IT52" s="49" t="n"/>
      <c r="IU52" s="63" t="n"/>
      <c r="IV52" s="63" t="n"/>
      <c r="IW52" s="49" t="n"/>
      <c r="IX52" s="63" t="n"/>
      <c r="IY52" s="63" t="n"/>
      <c r="IZ52" s="49" t="n"/>
      <c r="JA52" s="63" t="n"/>
      <c r="JB52" s="63" t="n"/>
      <c r="JC52" s="63" t="n"/>
      <c r="JD52" s="49" t="n"/>
      <c r="JE52" s="63" t="n"/>
      <c r="JF52" s="63" t="n"/>
      <c r="JG52" s="63" t="n"/>
      <c r="JH52" s="63" t="n"/>
      <c r="JI52" s="49" t="n"/>
      <c r="JJ52" s="63" t="n"/>
      <c r="JK52" s="63" t="n"/>
      <c r="JL52" s="63" t="n"/>
      <c r="JM52" s="63" t="n"/>
      <c r="JN52" s="63" t="n"/>
      <c r="JO52" s="57" t="n"/>
      <c r="JP52" s="63" t="n"/>
      <c r="JQ52" s="63" t="n"/>
      <c r="JR52" s="57" t="n"/>
      <c r="JS52" s="63" t="n"/>
      <c r="JT52" s="63" t="n"/>
      <c r="JU52" s="63" t="n"/>
      <c r="JV52" s="63" t="n"/>
      <c r="JW52" s="63" t="n"/>
      <c r="JX52" s="63" t="n"/>
      <c r="JY52" s="63" t="n"/>
      <c r="JZ52" s="63" t="n"/>
      <c r="KA52" s="168" t="n"/>
      <c r="KB52" s="63" t="n"/>
      <c r="KC52" s="63" t="n"/>
      <c r="KD52" s="63" t="n"/>
      <c r="KE52" s="63" t="n"/>
      <c r="KF52" s="63" t="n"/>
      <c r="KG52" s="63" t="n"/>
      <c r="KH52" s="63" t="n"/>
      <c r="KI52" s="63" t="n"/>
      <c r="KJ52" s="63" t="n"/>
      <c r="KK52" s="63" t="n"/>
      <c r="KL52" s="63" t="n"/>
      <c r="KM52" s="63" t="n"/>
      <c r="KN52" s="63" t="n"/>
      <c r="KO52" s="63" t="n"/>
      <c r="KP52" s="63" t="n"/>
      <c r="KQ52" s="63" t="n"/>
      <c r="KR52" s="63" t="n"/>
      <c r="KS52" s="63" t="n"/>
      <c r="KT52" s="63" t="n"/>
      <c r="KU52" s="63" t="n"/>
      <c r="KV52" s="63" t="n"/>
      <c r="KW52" s="63" t="n"/>
      <c r="KX52" s="63" t="n"/>
      <c r="KY52" s="63" t="n"/>
      <c r="KZ52" s="63" t="n"/>
      <c r="LA52" s="63" t="n"/>
      <c r="LB52" s="63" t="n"/>
      <c r="LC52" s="63" t="n"/>
      <c r="LD52" s="63" t="n"/>
      <c r="LE52" s="63" t="n"/>
      <c r="LF52" s="63" t="n"/>
      <c r="LG52" s="63" t="n"/>
      <c r="LH52" s="63" t="n"/>
      <c r="LI52" s="63" t="n"/>
      <c r="LJ52" s="63" t="n"/>
      <c r="LK52" s="63" t="n"/>
      <c r="LL52" s="63" t="n"/>
      <c r="LM52" s="63" t="n"/>
      <c r="LN52" s="63" t="n"/>
      <c r="LO52" s="63" t="n"/>
      <c r="LP52" s="63" t="n"/>
      <c r="LQ52" s="63" t="n"/>
      <c r="LR52" s="63" t="n"/>
      <c r="LS52" s="63" t="n"/>
      <c r="LT52" s="63" t="n"/>
      <c r="LU52" s="63" t="n"/>
      <c r="LV52" s="63" t="n"/>
      <c r="LW52" s="63" t="n"/>
      <c r="LX52" s="63" t="n"/>
      <c r="LY52" s="63" t="n"/>
      <c r="LZ52" s="63" t="n"/>
      <c r="MA52" s="63" t="n"/>
      <c r="MB52" s="63" t="n"/>
      <c r="MC52" s="63" t="n"/>
    </row>
    <row r="53">
      <c r="A53" s="146" t="inlineStr">
        <is>
          <t>ITENS</t>
        </is>
      </c>
      <c r="B53" s="146" t="n"/>
      <c r="C53" s="146" t="inlineStr">
        <is>
          <t>ESTOQUE</t>
        </is>
      </c>
      <c r="E53" s="53" t="n"/>
      <c r="F53" s="53" t="n"/>
      <c r="G53" s="53" t="n"/>
      <c r="H53" s="53" t="n"/>
      <c r="I53" s="53" t="n"/>
      <c r="J53" s="53" t="n"/>
      <c r="K53" s="53" t="n"/>
      <c r="L53" s="53" t="n"/>
      <c r="M53" s="53" t="n"/>
      <c r="N53" s="53" t="n"/>
      <c r="O53" s="53" t="n"/>
      <c r="P53" s="53" t="n"/>
      <c r="Q53" s="53" t="n"/>
      <c r="R53" s="53" t="n"/>
      <c r="S53" s="53" t="n"/>
      <c r="T53" s="53" t="n"/>
      <c r="U53" s="53" t="n"/>
      <c r="V53" s="53" t="n"/>
      <c r="W53" s="53" t="n"/>
      <c r="X53" s="53" t="n"/>
      <c r="Y53" s="53" t="n"/>
      <c r="Z53" s="53" t="n"/>
      <c r="AA53" s="53" t="n"/>
      <c r="AB53" s="53" t="n"/>
      <c r="AC53" s="53" t="n"/>
      <c r="AD53" s="53" t="n"/>
      <c r="AE53" s="53" t="n"/>
      <c r="AF53" s="53" t="n"/>
      <c r="AG53" s="53" t="n"/>
      <c r="AH53" s="53" t="n"/>
      <c r="AI53" s="53" t="n"/>
      <c r="AJ53" s="53" t="n"/>
      <c r="AK53" s="53" t="n"/>
      <c r="AL53" s="53" t="n"/>
      <c r="AM53" s="53" t="n"/>
      <c r="AN53" s="53" t="n"/>
      <c r="AO53" s="53" t="n"/>
      <c r="AP53" s="53" t="n"/>
      <c r="AQ53" s="53" t="n"/>
      <c r="AR53" s="53" t="n"/>
      <c r="AS53" s="53" t="n"/>
      <c r="AT53" s="53" t="n"/>
      <c r="AU53" s="53" t="n"/>
      <c r="AV53" s="53" t="n"/>
      <c r="AW53" s="53" t="n"/>
      <c r="AX53" s="53" t="n"/>
      <c r="AY53" s="53" t="n"/>
      <c r="AZ53" s="53" t="n"/>
      <c r="BA53" s="53" t="n"/>
      <c r="BB53" s="53" t="n"/>
      <c r="BC53" s="53" t="n"/>
      <c r="BD53" s="53" t="n"/>
      <c r="BE53" s="53" t="n"/>
      <c r="CB53" s="53" t="n"/>
      <c r="CC53" s="53" t="n"/>
      <c r="CF53" s="53" t="n"/>
      <c r="CG53" s="53" t="n"/>
      <c r="CH53" s="53" t="n"/>
      <c r="CI53" s="6" t="n"/>
      <c r="CJ53" s="6" t="n"/>
      <c r="CK53" s="6" t="n"/>
      <c r="CL53" s="6" t="n"/>
      <c r="CM53" s="6" t="n"/>
      <c r="CN53" s="6" t="n"/>
      <c r="CP53" s="6" t="n"/>
      <c r="CQ53" s="6" t="n"/>
      <c r="CR53" s="6" t="n"/>
      <c r="CS53" s="6" t="n"/>
      <c r="CT53" s="6" t="n"/>
      <c r="CU53" s="6" t="n"/>
      <c r="CV53" s="6" t="n"/>
      <c r="CW53" s="6" t="n"/>
      <c r="CX53" s="6" t="n"/>
      <c r="CY53" s="6" t="n"/>
      <c r="CZ53" s="61" t="n"/>
      <c r="DA53" s="61" t="n"/>
      <c r="DB53" s="61" t="n"/>
      <c r="DC53" s="61" t="n"/>
      <c r="DD53" s="61" t="n"/>
      <c r="DE53" s="61" t="n"/>
      <c r="DF53" s="61" t="n"/>
      <c r="DG53" s="61" t="n"/>
      <c r="DH53" s="61" t="n"/>
      <c r="DI53" s="53" t="n"/>
      <c r="DJ53" s="61" t="n"/>
      <c r="DK53" s="61" t="n"/>
      <c r="DL53" s="61" t="n"/>
      <c r="DM53" s="53" t="n"/>
      <c r="DN53" s="61" t="n"/>
      <c r="DO53" s="61" t="n"/>
      <c r="DP53" s="61" t="n"/>
      <c r="DQ53" s="61" t="n"/>
      <c r="DR53" s="61" t="n"/>
      <c r="DS53" s="61" t="n"/>
      <c r="DT53" s="61" t="n"/>
      <c r="DU53" s="61" t="n"/>
      <c r="DV53" s="61" t="n"/>
      <c r="DW53" s="61" t="n"/>
      <c r="DX53" s="61" t="n"/>
      <c r="DY53" s="61" t="n"/>
      <c r="DZ53" s="61" t="n"/>
      <c r="EA53" s="61" t="n"/>
      <c r="EB53" s="61" t="n"/>
      <c r="EC53" s="61" t="n"/>
      <c r="ED53" s="61" t="n"/>
      <c r="EE53" s="360" t="n"/>
      <c r="EF53" s="6" t="n"/>
      <c r="EG53" s="61" t="n"/>
      <c r="EH53" s="61" t="n"/>
      <c r="EI53" s="61" t="n"/>
      <c r="EJ53" s="61" t="n"/>
      <c r="EK53" s="61" t="n"/>
      <c r="EL53" s="360" t="n"/>
      <c r="EM53" s="360" t="n"/>
      <c r="EN53" s="61" t="n"/>
      <c r="EO53" s="61" t="n"/>
      <c r="EP53" s="61" t="n"/>
      <c r="EQ53" s="61" t="n"/>
      <c r="ER53" s="61" t="n"/>
      <c r="ES53" s="61" t="n"/>
      <c r="ET53" s="61" t="n"/>
      <c r="EV53" s="61" t="n"/>
      <c r="EW53" s="61" t="n"/>
      <c r="EX53" s="289" t="n"/>
      <c r="EY53" s="61" t="n"/>
      <c r="EZ53" s="61" t="n"/>
      <c r="FB53" s="289" t="n"/>
      <c r="FC53" s="289" t="n"/>
      <c r="FH53" s="61" t="n"/>
      <c r="FI53" s="289" t="n"/>
      <c r="FL53" s="61" t="n"/>
      <c r="FQ53" s="61" t="n"/>
      <c r="FS53" s="61" t="n"/>
      <c r="FX53" s="6" t="n"/>
      <c r="GB53" s="53" t="n"/>
      <c r="GN53" s="49" t="n"/>
      <c r="GZ53" s="49" t="n"/>
      <c r="HA53" s="49" t="n"/>
      <c r="HB53" s="49" t="n"/>
      <c r="HC53" s="49" t="n"/>
      <c r="HD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G53" s="49" t="n"/>
      <c r="IH53" s="49" t="n"/>
      <c r="II53" s="49" t="n"/>
      <c r="IJ53" s="53" t="n"/>
      <c r="IK53" s="49" t="n"/>
      <c r="IL53" s="49" t="n"/>
      <c r="IM53" s="49" t="n"/>
      <c r="IN53" s="49" t="n"/>
      <c r="IO53" s="49" t="n"/>
      <c r="IP53" s="49" t="n"/>
      <c r="IQ53" s="49" t="n"/>
      <c r="IR53" s="49" t="n"/>
      <c r="IS53" s="49" t="n"/>
      <c r="IT53" s="49" t="n"/>
      <c r="IU53" s="49" t="n"/>
      <c r="IV53" s="49" t="n"/>
      <c r="IW53" s="49" t="n"/>
      <c r="IX53" s="49" t="n"/>
      <c r="IY53" s="49" t="n"/>
      <c r="IZ53" s="49" t="n"/>
      <c r="JA53" s="49" t="n"/>
      <c r="JB53" s="49" t="n"/>
      <c r="JC53" s="49" t="n"/>
      <c r="JD53" s="49" t="n"/>
      <c r="JE53" s="49" t="n"/>
      <c r="JF53" s="49" t="n"/>
      <c r="JG53" s="49" t="n"/>
      <c r="JH53" s="49" t="n"/>
      <c r="JI53" s="49" t="n"/>
      <c r="JJ53" s="49" t="n"/>
      <c r="JK53" s="49" t="n"/>
      <c r="JL53" s="49" t="n"/>
      <c r="JM53" s="49" t="n"/>
      <c r="JN53" s="49" t="n"/>
      <c r="JO53" s="61" t="n"/>
      <c r="JP53" s="49" t="n"/>
      <c r="JQ53" s="49" t="n"/>
      <c r="JR53" s="61" t="n"/>
      <c r="JS53" s="49" t="n"/>
      <c r="JT53" s="49" t="n"/>
      <c r="JU53" s="49" t="n"/>
      <c r="JV53" s="49" t="n"/>
      <c r="JW53" s="49" t="n"/>
      <c r="JX53" s="49" t="n"/>
      <c r="JY53" s="49" t="n"/>
      <c r="JZ53" s="49" t="n"/>
      <c r="KA53" s="168" t="n"/>
      <c r="KB53" s="49" t="n"/>
      <c r="KC53" s="49" t="n"/>
      <c r="KD53" s="49" t="n"/>
      <c r="KE53" s="49" t="n"/>
      <c r="KF53" s="49" t="n"/>
      <c r="KG53" s="49" t="n"/>
      <c r="KH53" s="49" t="n"/>
      <c r="KI53" s="49" t="n"/>
      <c r="KJ53" s="49" t="n"/>
      <c r="KK53" s="49" t="n"/>
      <c r="KL53" s="49" t="n"/>
      <c r="KM53" s="49" t="n"/>
      <c r="KN53" s="49" t="n"/>
      <c r="KO53" s="49" t="n"/>
      <c r="KP53" s="49" t="n"/>
      <c r="KQ53" s="49" t="n"/>
      <c r="KR53" s="49" t="n"/>
      <c r="KS53" s="49" t="n"/>
      <c r="KT53" s="49" t="n"/>
      <c r="KU53" s="49" t="n"/>
      <c r="KV53" s="49" t="n"/>
      <c r="KW53" s="49" t="n"/>
      <c r="KX53" s="49" t="n"/>
      <c r="KY53" s="49" t="n"/>
      <c r="KZ53" s="49" t="n"/>
      <c r="LA53" s="49" t="n"/>
      <c r="LB53" s="49" t="n"/>
      <c r="LC53" s="49" t="n"/>
      <c r="LD53" s="49" t="n"/>
      <c r="LE53" s="49" t="n"/>
      <c r="LF53" s="49" t="n"/>
      <c r="LG53" s="49" t="n"/>
      <c r="LH53" s="49" t="n"/>
      <c r="LI53" s="49" t="n"/>
      <c r="LJ53" s="49" t="n"/>
      <c r="LK53" s="49" t="n"/>
      <c r="LL53" s="49" t="n"/>
      <c r="LM53" s="49" t="n"/>
      <c r="LN53" s="49" t="n"/>
      <c r="LO53" s="49" t="n"/>
      <c r="LP53" s="49" t="n"/>
      <c r="LQ53" s="49" t="n"/>
      <c r="LR53" s="49" t="n"/>
      <c r="LS53" s="49" t="n"/>
      <c r="LT53" s="49" t="n"/>
      <c r="LU53" s="49" t="n"/>
      <c r="LV53" s="49" t="n"/>
      <c r="LW53" s="49" t="n"/>
      <c r="LX53" s="49" t="n"/>
      <c r="LY53" s="49" t="n"/>
      <c r="LZ53" s="49" t="n"/>
      <c r="MA53" s="49" t="n"/>
      <c r="MB53" s="49" t="n"/>
      <c r="MC53" s="49" t="n"/>
    </row>
    <row r="54" customFormat="1" s="49">
      <c r="A54" s="172" t="n"/>
      <c r="B54" s="170" t="n"/>
      <c r="C54" s="171" t="n"/>
      <c r="E54" s="53" t="n"/>
      <c r="F54" s="53" t="n"/>
      <c r="G54" s="53" t="n"/>
      <c r="H54" s="53" t="n"/>
      <c r="I54" s="53" t="n"/>
      <c r="J54" s="53" t="n"/>
      <c r="K54" s="53" t="n"/>
      <c r="L54" s="53" t="n"/>
      <c r="M54" s="53" t="n"/>
      <c r="N54" s="53" t="n"/>
      <c r="O54" s="53" t="n"/>
      <c r="P54" s="53" t="n"/>
      <c r="Q54" s="53" t="n"/>
      <c r="R54" s="53" t="n"/>
      <c r="S54" s="53" t="n"/>
      <c r="T54" s="53" t="n"/>
      <c r="U54" s="53" t="n"/>
      <c r="V54" s="53" t="n"/>
      <c r="W54" s="53" t="n"/>
      <c r="X54" s="53" t="n"/>
      <c r="Y54" s="53" t="n"/>
      <c r="Z54" s="53" t="n"/>
      <c r="AA54" s="53" t="n"/>
      <c r="AB54" s="53" t="n"/>
      <c r="AC54" s="53" t="n"/>
      <c r="AD54" s="53" t="n"/>
      <c r="AE54" s="53" t="n"/>
      <c r="AF54" s="53" t="n"/>
      <c r="AG54" s="53" t="n"/>
      <c r="AH54" s="53" t="n"/>
      <c r="AI54" s="53" t="n"/>
      <c r="AJ54" s="53" t="n"/>
      <c r="AK54" s="53" t="n"/>
      <c r="AL54" s="53" t="n"/>
      <c r="AM54" s="53" t="n"/>
      <c r="AN54" s="53" t="n"/>
      <c r="AO54" s="53" t="n"/>
      <c r="AP54" s="53" t="n"/>
      <c r="AQ54" s="53" t="n"/>
      <c r="AR54" s="53" t="n"/>
      <c r="AS54" s="53" t="n"/>
      <c r="AT54" s="53" t="n"/>
      <c r="AU54" s="53" t="n"/>
      <c r="AV54" s="53" t="n"/>
      <c r="AW54" s="53" t="n"/>
      <c r="AX54" s="53" t="n"/>
      <c r="AY54" s="53" t="n"/>
      <c r="AZ54" s="53" t="n"/>
      <c r="BA54" s="53" t="n"/>
      <c r="BB54" s="53" t="n"/>
      <c r="BC54" s="53" t="n"/>
      <c r="BD54" s="53" t="n"/>
      <c r="BE54" s="53" t="n"/>
      <c r="BF54" s="53" t="n"/>
      <c r="BG54" s="53" t="n"/>
      <c r="BH54" s="53" t="n"/>
      <c r="BI54" s="53" t="n"/>
      <c r="BJ54" s="53" t="n"/>
      <c r="BK54" s="53" t="n"/>
      <c r="BL54" s="53" t="n"/>
      <c r="BM54" s="53" t="n"/>
      <c r="BN54" s="53" t="n"/>
      <c r="BO54" s="53" t="n"/>
      <c r="BP54" s="53" t="n"/>
      <c r="BQ54" s="53" t="n"/>
      <c r="BR54" s="53" t="n"/>
      <c r="BS54" s="53" t="n"/>
      <c r="BT54" s="53" t="n"/>
      <c r="BU54" s="53" t="n"/>
      <c r="BV54" s="53" t="n"/>
      <c r="BW54" s="53" t="n"/>
      <c r="BX54" s="53" t="n"/>
      <c r="BY54" s="53" t="n"/>
      <c r="BZ54" s="53" t="n"/>
      <c r="CA54" s="53" t="n"/>
      <c r="CB54" s="53" t="n"/>
      <c r="CC54" s="53" t="n"/>
      <c r="CF54" s="53" t="n"/>
      <c r="CG54" s="53" t="n"/>
      <c r="CH54" s="53" t="n"/>
      <c r="CO54" s="51" t="n"/>
      <c r="CZ54" s="61" t="n"/>
      <c r="DA54" s="61" t="n"/>
      <c r="DB54" s="61" t="n"/>
      <c r="DC54" s="61" t="n"/>
      <c r="DD54" s="61" t="n"/>
      <c r="DE54" s="61" t="n"/>
      <c r="DF54" s="61" t="n"/>
      <c r="DG54" s="61" t="n"/>
      <c r="DH54" s="61" t="n"/>
      <c r="DI54" s="53" t="n"/>
      <c r="DJ54" s="61" t="n"/>
      <c r="DK54" s="61" t="n"/>
      <c r="DL54" s="61" t="n"/>
      <c r="DM54" s="53" t="n"/>
      <c r="DN54" s="61" t="n"/>
      <c r="DO54" s="61" t="n"/>
      <c r="DP54" s="61" t="n"/>
      <c r="DQ54" s="61" t="n"/>
      <c r="DR54" s="61" t="n"/>
      <c r="DS54" s="61" t="n"/>
      <c r="DT54" s="61" t="n"/>
      <c r="DU54" s="61" t="n"/>
      <c r="DV54" s="61" t="n"/>
      <c r="DW54" s="61" t="n"/>
      <c r="DX54" s="61" t="n"/>
      <c r="DZ54" s="61" t="n"/>
      <c r="EA54" s="61" t="n"/>
      <c r="EB54" s="61" t="n"/>
      <c r="EC54" s="61" t="n"/>
      <c r="ED54" s="61" t="n"/>
      <c r="EE54" s="360" t="n"/>
      <c r="EF54" s="6" t="n"/>
      <c r="EG54" s="61" t="n"/>
      <c r="EH54" s="61" t="n"/>
      <c r="EI54" s="61" t="n"/>
      <c r="EJ54" s="61" t="n"/>
      <c r="EL54" s="53" t="n"/>
      <c r="EM54" s="360" t="n"/>
      <c r="EV54" s="314" t="n"/>
      <c r="EX54" s="289" t="n"/>
      <c r="FB54" s="289" t="n"/>
      <c r="FC54" s="289" t="n"/>
      <c r="FD54" s="57" t="n"/>
      <c r="FE54" s="57" t="n"/>
      <c r="FF54" s="57" t="n"/>
      <c r="FG54" s="57" t="n"/>
      <c r="FI54" s="289" t="n"/>
      <c r="FJ54" s="57" t="n"/>
      <c r="FK54" s="57" t="n"/>
      <c r="FM54" s="57" t="n"/>
      <c r="FN54" s="57" t="n"/>
      <c r="FO54" s="57" t="n"/>
      <c r="FP54" s="57" t="n"/>
      <c r="FR54" s="57" t="n"/>
      <c r="FT54" s="57" t="n"/>
      <c r="FU54" s="57" t="n"/>
      <c r="FV54" s="57" t="n"/>
      <c r="FW54" s="57" t="n"/>
      <c r="FX54" s="58" t="n"/>
      <c r="FY54" s="57" t="n"/>
      <c r="FZ54" s="57" t="n"/>
      <c r="GA54" s="57" t="n"/>
      <c r="GB54" s="53" t="n"/>
      <c r="GC54" s="6" t="n"/>
      <c r="GD54" s="6" t="n"/>
      <c r="GE54" s="6" t="n"/>
      <c r="GF54" s="6" t="n"/>
      <c r="GG54" s="6" t="n"/>
      <c r="GH54" s="6" t="n"/>
      <c r="GI54" s="6" t="n"/>
      <c r="GJ54" s="6" t="n"/>
      <c r="GK54" s="6" t="n"/>
      <c r="GL54" s="6" t="n"/>
      <c r="GM54" s="6" t="n"/>
      <c r="IJ54" s="53" t="n"/>
      <c r="JO54" s="61" t="n"/>
      <c r="JR54" s="61" t="n"/>
      <c r="KA54" s="168" t="n"/>
    </row>
    <row r="55" customFormat="1" s="49">
      <c r="A55" s="176" t="inlineStr">
        <is>
          <t>ADESIVOS NAMORADOS/23</t>
        </is>
      </c>
      <c r="B55" s="170" t="n"/>
      <c r="C55" s="171" t="n">
        <v>10</v>
      </c>
      <c r="E55" s="53" t="n"/>
      <c r="F55" s="53" t="n"/>
      <c r="G55" s="53" t="n"/>
      <c r="H55" s="53" t="n"/>
      <c r="I55" s="53" t="n"/>
      <c r="J55" s="53" t="n"/>
      <c r="K55" s="53" t="n"/>
      <c r="L55" s="53" t="n"/>
      <c r="M55" s="53" t="n"/>
      <c r="N55" s="53" t="n"/>
      <c r="O55" s="53" t="n"/>
      <c r="P55" s="53" t="n"/>
      <c r="Q55" s="53" t="n"/>
      <c r="R55" s="53" t="n"/>
      <c r="S55" s="53" t="n"/>
      <c r="T55" s="53" t="n"/>
      <c r="U55" s="53" t="n"/>
      <c r="V55" s="53" t="n"/>
      <c r="W55" s="53" t="n"/>
      <c r="X55" s="53" t="n"/>
      <c r="Y55" s="53" t="n"/>
      <c r="Z55" s="53" t="n"/>
      <c r="AA55" s="53" t="n"/>
      <c r="AB55" s="53" t="n"/>
      <c r="AC55" s="53" t="n"/>
      <c r="AD55" s="53" t="n"/>
      <c r="AE55" s="53" t="n"/>
      <c r="AF55" s="53" t="n"/>
      <c r="AG55" s="53" t="n"/>
      <c r="AH55" s="53" t="n"/>
      <c r="AI55" s="53" t="n"/>
      <c r="AJ55" s="53" t="n"/>
      <c r="AK55" s="53" t="n"/>
      <c r="AL55" s="53" t="n"/>
      <c r="AM55" s="53" t="n"/>
      <c r="AN55" s="53" t="n"/>
      <c r="AO55" s="53" t="n"/>
      <c r="AP55" s="53" t="n"/>
      <c r="AQ55" s="53" t="n"/>
      <c r="AR55" s="53" t="n"/>
      <c r="AS55" s="53" t="n"/>
      <c r="AT55" s="53" t="n"/>
      <c r="AU55" s="53" t="n"/>
      <c r="AV55" s="53" t="n"/>
      <c r="AW55" s="53" t="n"/>
      <c r="AX55" s="53" t="n"/>
      <c r="AY55" s="53" t="n"/>
      <c r="AZ55" s="53" t="n"/>
      <c r="BA55" s="53" t="n"/>
      <c r="BB55" s="53" t="n"/>
      <c r="BC55" s="53" t="n"/>
      <c r="BD55" s="53" t="n"/>
      <c r="BE55" s="53" t="n"/>
      <c r="BF55" s="53" t="n"/>
      <c r="BG55" s="53" t="n"/>
      <c r="BH55" s="53" t="n"/>
      <c r="BI55" s="53" t="n"/>
      <c r="BJ55" s="53" t="n"/>
      <c r="BK55" s="53" t="n"/>
      <c r="BL55" s="53" t="n"/>
      <c r="BM55" s="53" t="n"/>
      <c r="BN55" s="53" t="n"/>
      <c r="BO55" s="53" t="n"/>
      <c r="BP55" s="53" t="n"/>
      <c r="BQ55" s="53" t="n"/>
      <c r="BR55" s="53" t="n"/>
      <c r="BS55" s="53" t="n"/>
      <c r="BT55" s="53" t="n"/>
      <c r="BU55" s="53" t="n"/>
      <c r="BV55" s="53" t="n"/>
      <c r="BW55" s="53" t="n"/>
      <c r="BX55" s="53" t="n"/>
      <c r="BY55" s="53" t="n"/>
      <c r="BZ55" s="53" t="n"/>
      <c r="CA55" s="53" t="n"/>
      <c r="CB55" s="53" t="n"/>
      <c r="CC55" s="53" t="n"/>
      <c r="CF55" s="53" t="n"/>
      <c r="CG55" s="53" t="n"/>
      <c r="CH55" s="53" t="n"/>
      <c r="CO55" s="51" t="n"/>
      <c r="DI55" s="53" t="n"/>
      <c r="DM55" s="53" t="n"/>
      <c r="EE55" s="53" t="n"/>
      <c r="EF55" s="58" t="n"/>
      <c r="EL55" s="53" t="n"/>
      <c r="EM55" s="53" t="n"/>
      <c r="EV55" s="314" t="n"/>
      <c r="EX55" s="289" t="n"/>
      <c r="FB55" s="289" t="n"/>
      <c r="FC55" s="289" t="n"/>
      <c r="FD55" s="61" t="n"/>
      <c r="FE55" s="61" t="n"/>
      <c r="FF55" s="61" t="n"/>
      <c r="FG55" s="61" t="n"/>
      <c r="FI55" s="289" t="n"/>
      <c r="FJ55" s="61" t="n"/>
      <c r="FK55" s="61" t="n"/>
      <c r="FM55" s="61" t="n"/>
      <c r="FN55" s="61" t="n"/>
      <c r="FO55" s="61" t="n"/>
      <c r="FP55" s="61" t="n"/>
      <c r="FR55" s="61" t="n"/>
      <c r="FT55" s="61" t="n"/>
      <c r="FU55" s="61" t="n"/>
      <c r="FV55" s="61" t="n"/>
      <c r="FW55" s="61" t="n"/>
      <c r="FX55" s="58" t="n"/>
      <c r="FY55" s="61" t="n"/>
      <c r="FZ55" s="61" t="n"/>
      <c r="GA55" s="61" t="n"/>
      <c r="GB55" s="53" t="n"/>
      <c r="GC55" s="6" t="n"/>
      <c r="GD55" s="6" t="n"/>
      <c r="GE55" s="6" t="n"/>
      <c r="GF55" s="6" t="n"/>
      <c r="GG55" s="6" t="n"/>
      <c r="GH55" s="6" t="n"/>
      <c r="GI55" s="6" t="n"/>
      <c r="GJ55" s="6" t="n"/>
      <c r="GK55" s="6" t="n"/>
      <c r="GL55" s="6" t="n"/>
      <c r="GM55" s="6" t="n"/>
      <c r="IJ55" s="53" t="n"/>
      <c r="JO55" s="167" t="n"/>
      <c r="JR55" s="167" t="n"/>
      <c r="KA55" s="168" t="n"/>
    </row>
    <row r="56" customFormat="1" s="49">
      <c r="A56" s="176" t="inlineStr">
        <is>
          <t>TAG NAMORADOS/23</t>
        </is>
      </c>
      <c r="B56" s="170" t="n"/>
      <c r="C56" s="171" t="n">
        <v>252</v>
      </c>
      <c r="E56" s="53" t="n"/>
      <c r="F56" s="53" t="n"/>
      <c r="G56" s="53" t="n"/>
      <c r="H56" s="53" t="n"/>
      <c r="I56" s="53" t="n"/>
      <c r="J56" s="53" t="n"/>
      <c r="K56" s="53" t="n"/>
      <c r="L56" s="53" t="n"/>
      <c r="M56" s="53" t="n"/>
      <c r="N56" s="53" t="n"/>
      <c r="O56" s="53" t="n"/>
      <c r="P56" s="53" t="n"/>
      <c r="Q56" s="53" t="n"/>
      <c r="R56" s="53" t="n"/>
      <c r="S56" s="53" t="n"/>
      <c r="T56" s="53" t="n"/>
      <c r="U56" s="53" t="n"/>
      <c r="V56" s="53" t="n"/>
      <c r="W56" s="53" t="n"/>
      <c r="X56" s="53" t="n"/>
      <c r="Y56" s="53" t="n"/>
      <c r="Z56" s="53" t="n"/>
      <c r="AA56" s="53" t="n"/>
      <c r="AB56" s="53" t="n"/>
      <c r="AC56" s="53" t="n"/>
      <c r="AD56" s="53" t="n"/>
      <c r="AE56" s="53" t="n"/>
      <c r="AF56" s="53" t="n"/>
      <c r="AG56" s="53" t="n"/>
      <c r="AH56" s="53" t="n"/>
      <c r="AI56" s="53" t="n"/>
      <c r="AJ56" s="53" t="n"/>
      <c r="AK56" s="53" t="n"/>
      <c r="AL56" s="53" t="n"/>
      <c r="AM56" s="53" t="n"/>
      <c r="AN56" s="53" t="n"/>
      <c r="AO56" s="53" t="n"/>
      <c r="AP56" s="53" t="n"/>
      <c r="AQ56" s="53" t="n"/>
      <c r="AR56" s="53" t="n"/>
      <c r="AS56" s="53" t="n"/>
      <c r="AT56" s="53" t="n"/>
      <c r="AU56" s="53" t="n"/>
      <c r="AV56" s="53" t="n"/>
      <c r="AW56" s="53" t="n"/>
      <c r="AX56" s="53" t="n"/>
      <c r="AY56" s="53" t="n"/>
      <c r="AZ56" s="53" t="n"/>
      <c r="BA56" s="53" t="n"/>
      <c r="BB56" s="53" t="n"/>
      <c r="BC56" s="53" t="n"/>
      <c r="BD56" s="53" t="n"/>
      <c r="BE56" s="53" t="n"/>
      <c r="BF56" s="53" t="n"/>
      <c r="BG56" s="53" t="n"/>
      <c r="BH56" s="53" t="n"/>
      <c r="BI56" s="53" t="n"/>
      <c r="BJ56" s="53" t="n"/>
      <c r="BK56" s="53" t="n"/>
      <c r="BL56" s="53" t="n"/>
      <c r="BM56" s="53" t="n"/>
      <c r="BN56" s="53" t="n"/>
      <c r="BO56" s="53" t="n"/>
      <c r="BP56" s="53" t="n"/>
      <c r="BQ56" s="53" t="n"/>
      <c r="BR56" s="53" t="n"/>
      <c r="BS56" s="53" t="n"/>
      <c r="BT56" s="53" t="n"/>
      <c r="BU56" s="53" t="n"/>
      <c r="BV56" s="53" t="n"/>
      <c r="BW56" s="53" t="n"/>
      <c r="BX56" s="53" t="n"/>
      <c r="BY56" s="53" t="n"/>
      <c r="BZ56" s="53" t="n"/>
      <c r="CA56" s="53" t="n"/>
      <c r="CB56" s="53" t="n"/>
      <c r="CC56" s="53" t="n"/>
      <c r="CF56" s="53" t="n"/>
      <c r="CG56" s="53" t="n"/>
      <c r="CH56" s="53" t="n"/>
      <c r="CO56" s="51" t="n"/>
      <c r="DI56" s="53" t="n"/>
      <c r="DM56" s="53" t="n"/>
      <c r="EE56" s="53" t="n"/>
      <c r="EF56" s="58" t="n"/>
      <c r="EL56" s="53" t="n"/>
      <c r="EM56" s="53" t="n"/>
      <c r="EU56" s="57" t="n"/>
      <c r="EV56" s="314" t="n"/>
      <c r="EX56" s="289" t="n"/>
      <c r="FA56" s="57" t="n"/>
      <c r="FB56" s="289" t="n"/>
      <c r="FC56" s="289" t="n"/>
      <c r="FD56" s="61" t="n"/>
      <c r="FE56" s="61" t="n"/>
      <c r="FF56" s="61" t="n"/>
      <c r="FG56" s="61" t="n"/>
      <c r="FI56" s="289" t="n"/>
      <c r="FJ56" s="61" t="n"/>
      <c r="FK56" s="61" t="n"/>
      <c r="FM56" s="61" t="n"/>
      <c r="FN56" s="61" t="n"/>
      <c r="FO56" s="61" t="n"/>
      <c r="FP56" s="61" t="n"/>
      <c r="FR56" s="61" t="n"/>
      <c r="FT56" s="61" t="n"/>
      <c r="FU56" s="61" t="n"/>
      <c r="FV56" s="61" t="n"/>
      <c r="FW56" s="61" t="n"/>
      <c r="FY56" s="61" t="n"/>
      <c r="FZ56" s="61" t="n"/>
      <c r="GA56" s="61" t="n"/>
      <c r="GB56" s="53" t="n"/>
      <c r="GC56" s="6" t="n"/>
      <c r="GD56" s="6" t="n"/>
      <c r="GE56" s="6" t="n"/>
      <c r="GF56" s="6" t="n"/>
      <c r="GG56" s="6" t="n"/>
      <c r="GH56" s="6" t="n"/>
      <c r="GI56" s="6" t="n"/>
      <c r="GJ56" s="6" t="n"/>
      <c r="GK56" s="6" t="n"/>
      <c r="GL56" s="6" t="n"/>
      <c r="GM56" s="6" t="n"/>
      <c r="IJ56" s="53" t="n"/>
      <c r="JO56" s="167" t="n"/>
      <c r="JR56" s="167" t="n"/>
      <c r="KA56" s="168" t="n"/>
    </row>
    <row r="57" customFormat="1" s="49">
      <c r="A57" s="333" t="n"/>
      <c r="B57" s="334" t="n"/>
      <c r="C57" s="334" t="n"/>
      <c r="E57" s="53" t="n"/>
      <c r="F57" s="53" t="n"/>
      <c r="G57" s="53" t="n"/>
      <c r="H57" s="53" t="n"/>
      <c r="I57" s="53" t="n"/>
      <c r="J57" s="53" t="n"/>
      <c r="K57" s="53" t="n"/>
      <c r="L57" s="53" t="n"/>
      <c r="M57" s="53" t="n"/>
      <c r="N57" s="53" t="n"/>
      <c r="O57" s="53" t="n"/>
      <c r="P57" s="53" t="n"/>
      <c r="Q57" s="53" t="n"/>
      <c r="R57" s="53" t="n"/>
      <c r="S57" s="53" t="n"/>
      <c r="T57" s="53" t="n"/>
      <c r="U57" s="53" t="n"/>
      <c r="V57" s="53" t="n"/>
      <c r="W57" s="53" t="n"/>
      <c r="X57" s="53" t="n"/>
      <c r="Y57" s="53" t="n"/>
      <c r="Z57" s="53" t="n"/>
      <c r="AA57" s="53" t="n"/>
      <c r="AB57" s="53" t="n"/>
      <c r="AC57" s="53" t="n"/>
      <c r="AD57" s="53" t="n"/>
      <c r="AE57" s="53" t="n"/>
      <c r="AF57" s="53" t="n"/>
      <c r="AG57" s="53" t="n"/>
      <c r="AH57" s="53" t="n"/>
      <c r="AI57" s="53" t="n"/>
      <c r="AJ57" s="53" t="n"/>
      <c r="AK57" s="53" t="n"/>
      <c r="AL57" s="53" t="n"/>
      <c r="AM57" s="53" t="n"/>
      <c r="AN57" s="53" t="n"/>
      <c r="AO57" s="53" t="n"/>
      <c r="AP57" s="53" t="n"/>
      <c r="AQ57" s="53" t="n"/>
      <c r="AR57" s="53" t="n"/>
      <c r="AS57" s="53" t="n"/>
      <c r="AT57" s="53" t="n"/>
      <c r="AU57" s="53" t="n"/>
      <c r="AV57" s="53" t="n"/>
      <c r="AW57" s="53" t="n"/>
      <c r="AX57" s="53" t="n"/>
      <c r="AY57" s="53" t="n"/>
      <c r="AZ57" s="53" t="n"/>
      <c r="BA57" s="53" t="n"/>
      <c r="BB57" s="53" t="n"/>
      <c r="BC57" s="53" t="n"/>
      <c r="BD57" s="53" t="n"/>
      <c r="BE57" s="53" t="n"/>
      <c r="BF57" s="53" t="n"/>
      <c r="BG57" s="53" t="n"/>
      <c r="BH57" s="53" t="n"/>
      <c r="BI57" s="53" t="n"/>
      <c r="BJ57" s="53" t="n"/>
      <c r="BK57" s="53" t="n"/>
      <c r="BL57" s="53" t="n"/>
      <c r="BM57" s="53" t="n"/>
      <c r="BN57" s="53" t="n"/>
      <c r="BO57" s="53" t="n"/>
      <c r="BP57" s="53" t="n"/>
      <c r="BQ57" s="53" t="n"/>
      <c r="BR57" s="53" t="n"/>
      <c r="BS57" s="53" t="n"/>
      <c r="BT57" s="53" t="n"/>
      <c r="BU57" s="53" t="n"/>
      <c r="BV57" s="53" t="n"/>
      <c r="BW57" s="53" t="n"/>
      <c r="BX57" s="53" t="n"/>
      <c r="BY57" s="53" t="n"/>
      <c r="BZ57" s="53" t="n"/>
      <c r="CA57" s="53" t="n"/>
      <c r="CB57" s="53" t="n"/>
      <c r="CC57" s="53" t="n"/>
      <c r="CF57" s="53" t="n"/>
      <c r="CG57" s="53" t="n"/>
      <c r="CH57" s="53" t="n"/>
      <c r="CO57" s="51" t="n"/>
      <c r="DI57" s="6" t="n"/>
      <c r="DM57" s="6" t="n"/>
      <c r="EE57" s="53" t="n"/>
      <c r="EL57" s="53" t="n"/>
      <c r="EM57" s="53" t="n"/>
      <c r="EU57" s="61" t="n"/>
      <c r="EV57" s="314" t="n"/>
      <c r="EX57" s="289" t="n"/>
      <c r="FA57" s="61" t="n"/>
      <c r="FB57" s="289" t="n"/>
      <c r="FC57" s="289" t="n"/>
      <c r="FI57" s="289" t="n"/>
      <c r="GB57" s="53" t="n"/>
      <c r="GC57" s="6" t="n"/>
      <c r="GD57" s="6" t="n"/>
      <c r="GE57" s="6" t="n"/>
      <c r="GF57" s="6" t="n"/>
      <c r="GG57" s="6" t="n"/>
      <c r="GH57" s="6" t="n"/>
      <c r="GI57" s="6" t="n"/>
      <c r="GJ57" s="6" t="n"/>
      <c r="GK57" s="6" t="n"/>
      <c r="GL57" s="6" t="n"/>
      <c r="GM57" s="6" t="n"/>
      <c r="IJ57" s="53" t="n"/>
      <c r="JO57" s="167" t="n"/>
      <c r="JR57" s="167" t="n"/>
      <c r="KA57" s="168" t="n"/>
    </row>
    <row r="58" customFormat="1" s="49">
      <c r="A58" s="177" t="inlineStr">
        <is>
          <t>SACOLA G NATAL 23</t>
        </is>
      </c>
      <c r="B58" s="178" t="n"/>
      <c r="C58" s="115" t="n">
        <v>20</v>
      </c>
      <c r="E58" s="53" t="n"/>
      <c r="F58" s="53" t="n"/>
      <c r="G58" s="53" t="n"/>
      <c r="H58" s="53" t="n"/>
      <c r="I58" s="53" t="n"/>
      <c r="J58" s="53" t="n"/>
      <c r="K58" s="53" t="n"/>
      <c r="L58" s="53" t="n"/>
      <c r="M58" s="53" t="n"/>
      <c r="N58" s="53" t="n"/>
      <c r="O58" s="53" t="n"/>
      <c r="P58" s="53" t="n"/>
      <c r="Q58" s="53" t="n"/>
      <c r="R58" s="53" t="n"/>
      <c r="S58" s="53" t="n"/>
      <c r="T58" s="53" t="n"/>
      <c r="U58" s="53" t="n"/>
      <c r="V58" s="53" t="n"/>
      <c r="W58" s="53" t="n"/>
      <c r="X58" s="53" t="n"/>
      <c r="Y58" s="53" t="n"/>
      <c r="Z58" s="53" t="n"/>
      <c r="AA58" s="53" t="n"/>
      <c r="AB58" s="53" t="n"/>
      <c r="AC58" s="53" t="n"/>
      <c r="AD58" s="53" t="n"/>
      <c r="AE58" s="53" t="n"/>
      <c r="AF58" s="53" t="n"/>
      <c r="AG58" s="53" t="n"/>
      <c r="AH58" s="53" t="n"/>
      <c r="AI58" s="53" t="n"/>
      <c r="AJ58" s="53" t="n"/>
      <c r="AK58" s="53" t="n"/>
      <c r="AL58" s="53" t="n"/>
      <c r="AM58" s="53" t="n"/>
      <c r="AN58" s="53" t="n"/>
      <c r="AO58" s="53" t="n"/>
      <c r="AP58" s="53" t="n"/>
      <c r="AQ58" s="53" t="n"/>
      <c r="AR58" s="53" t="n"/>
      <c r="AS58" s="53" t="n"/>
      <c r="AT58" s="53" t="n"/>
      <c r="AU58" s="53" t="n"/>
      <c r="AV58" s="53" t="n"/>
      <c r="AW58" s="53" t="n"/>
      <c r="AX58" s="53" t="n"/>
      <c r="AY58" s="53" t="n"/>
      <c r="AZ58" s="53" t="n"/>
      <c r="BA58" s="53" t="n"/>
      <c r="BB58" s="53" t="n"/>
      <c r="BC58" s="53" t="n"/>
      <c r="BD58" s="53" t="n"/>
      <c r="BE58" s="53" t="n"/>
      <c r="BF58" s="53" t="n"/>
      <c r="BG58" s="53" t="n"/>
      <c r="BH58" s="53" t="n"/>
      <c r="BI58" s="53" t="n"/>
      <c r="BJ58" s="53" t="n"/>
      <c r="BK58" s="53" t="n"/>
      <c r="BL58" s="53" t="n"/>
      <c r="BM58" s="53" t="n"/>
      <c r="BN58" s="53" t="n"/>
      <c r="BO58" s="53" t="n"/>
      <c r="BP58" s="53" t="n"/>
      <c r="BQ58" s="53" t="n"/>
      <c r="BR58" s="53" t="n"/>
      <c r="BS58" s="53" t="n"/>
      <c r="BT58" s="53" t="n"/>
      <c r="BU58" s="53" t="n"/>
      <c r="BV58" s="53" t="n"/>
      <c r="BW58" s="53" t="n"/>
      <c r="BX58" s="53" t="n"/>
      <c r="BY58" s="53" t="n"/>
      <c r="BZ58" s="53" t="n"/>
      <c r="CA58" s="53" t="n"/>
      <c r="CB58" s="53" t="n"/>
      <c r="CC58" s="53" t="n"/>
      <c r="CF58" s="53" t="n"/>
      <c r="CG58" s="53" t="n"/>
      <c r="CH58" s="53" t="n"/>
      <c r="CO58" s="51" t="n"/>
      <c r="DI58" s="58" t="n"/>
      <c r="DM58" s="58" t="n"/>
      <c r="DY58" s="6" t="n"/>
      <c r="EE58" s="53" t="n"/>
      <c r="EK58" s="6" t="n"/>
      <c r="EL58" s="53" t="n"/>
      <c r="EM58" s="53" t="n"/>
      <c r="EN58" s="6" t="n"/>
      <c r="EO58" s="6" t="n"/>
      <c r="EP58" s="6" t="n"/>
      <c r="EQ58" s="6" t="n"/>
      <c r="ER58" s="6" t="n"/>
      <c r="ES58" s="6" t="n"/>
      <c r="ET58" s="6" t="n"/>
      <c r="EV58" s="269" t="n"/>
      <c r="EW58" s="6" t="n"/>
      <c r="EX58" s="289" t="n"/>
      <c r="EY58" s="6" t="n"/>
      <c r="EZ58" s="6" t="n"/>
      <c r="FB58" s="289" t="n"/>
      <c r="FC58" s="289" t="n"/>
      <c r="FH58" s="6" t="n"/>
      <c r="FI58" s="289" t="n"/>
      <c r="FL58" s="6" t="n"/>
      <c r="FQ58" s="6" t="n"/>
      <c r="FS58" s="6" t="n"/>
      <c r="GB58" s="53" t="n"/>
      <c r="GC58" s="6" t="n"/>
      <c r="GD58" s="6" t="n"/>
      <c r="GE58" s="6" t="n"/>
      <c r="GF58" s="6" t="n"/>
      <c r="GG58" s="6" t="n"/>
      <c r="GH58" s="6" t="n"/>
      <c r="GI58" s="6" t="n"/>
      <c r="GJ58" s="6" t="n"/>
      <c r="GK58" s="6" t="n"/>
      <c r="GL58" s="6" t="n"/>
      <c r="GM58" s="6" t="n"/>
      <c r="IJ58" s="53" t="n"/>
      <c r="JO58" s="167" t="n"/>
      <c r="JR58" s="167" t="n"/>
      <c r="KA58" s="168" t="n"/>
    </row>
    <row r="59" customFormat="1" s="49">
      <c r="A59" s="333" t="n"/>
      <c r="B59" s="334" t="n"/>
      <c r="C59" s="334" t="n"/>
      <c r="E59" s="53" t="n"/>
      <c r="F59" s="53" t="n"/>
      <c r="G59" s="53" t="n"/>
      <c r="H59" s="53" t="n"/>
      <c r="I59" s="53" t="n"/>
      <c r="J59" s="53" t="n"/>
      <c r="K59" s="53" t="n"/>
      <c r="L59" s="53" t="n"/>
      <c r="M59" s="53" t="n"/>
      <c r="N59" s="53" t="n"/>
      <c r="O59" s="53" t="n"/>
      <c r="P59" s="53" t="n"/>
      <c r="Q59" s="53" t="n"/>
      <c r="R59" s="53" t="n"/>
      <c r="S59" s="53" t="n"/>
      <c r="T59" s="53" t="n"/>
      <c r="U59" s="53" t="n"/>
      <c r="V59" s="53" t="n"/>
      <c r="W59" s="53" t="n"/>
      <c r="X59" s="53" t="n"/>
      <c r="Y59" s="53" t="n"/>
      <c r="Z59" s="53" t="n"/>
      <c r="AA59" s="53" t="n"/>
      <c r="AB59" s="53" t="n"/>
      <c r="AC59" s="53" t="n"/>
      <c r="AD59" s="53" t="n"/>
      <c r="AE59" s="53" t="n"/>
      <c r="AF59" s="53" t="n"/>
      <c r="AG59" s="53" t="n"/>
      <c r="AH59" s="53" t="n"/>
      <c r="AI59" s="53" t="n"/>
      <c r="AJ59" s="53" t="n"/>
      <c r="AK59" s="53" t="n"/>
      <c r="AL59" s="53" t="n"/>
      <c r="AM59" s="53" t="n"/>
      <c r="AN59" s="53" t="n"/>
      <c r="AO59" s="53" t="n"/>
      <c r="AP59" s="53" t="n"/>
      <c r="AQ59" s="53" t="n"/>
      <c r="AR59" s="53" t="n"/>
      <c r="AS59" s="53" t="n"/>
      <c r="AT59" s="53" t="n"/>
      <c r="AU59" s="53" t="n"/>
      <c r="AV59" s="53" t="n"/>
      <c r="AW59" s="53" t="n"/>
      <c r="AX59" s="53" t="n"/>
      <c r="AY59" s="53" t="n"/>
      <c r="AZ59" s="53" t="n"/>
      <c r="BA59" s="53" t="n"/>
      <c r="BB59" s="53" t="n"/>
      <c r="BC59" s="53" t="n"/>
      <c r="BD59" s="53" t="n"/>
      <c r="BE59" s="53" t="n"/>
      <c r="BF59" s="53" t="n"/>
      <c r="BG59" s="53" t="n"/>
      <c r="BH59" s="53" t="n"/>
      <c r="BI59" s="53" t="n"/>
      <c r="BJ59" s="53" t="n"/>
      <c r="BK59" s="53" t="n"/>
      <c r="BL59" s="53" t="n"/>
      <c r="BM59" s="53" t="n"/>
      <c r="BN59" s="53" t="n"/>
      <c r="BO59" s="53" t="n"/>
      <c r="BP59" s="53" t="n"/>
      <c r="BQ59" s="53" t="n"/>
      <c r="BR59" s="53" t="n"/>
      <c r="BS59" s="53" t="n"/>
      <c r="BT59" s="53" t="n"/>
      <c r="BU59" s="53" t="n"/>
      <c r="BV59" s="53" t="n"/>
      <c r="BW59" s="53" t="n"/>
      <c r="BX59" s="53" t="n"/>
      <c r="BY59" s="53" t="n"/>
      <c r="BZ59" s="53" t="n"/>
      <c r="CA59" s="53" t="n"/>
      <c r="CB59" s="53" t="n"/>
      <c r="CC59" s="53" t="n"/>
      <c r="CD59" s="6" t="n"/>
      <c r="CE59" s="6" t="n"/>
      <c r="CH59" s="53" t="n"/>
      <c r="CO59" s="51" t="n"/>
      <c r="CZ59" s="6" t="n"/>
      <c r="DA59" s="6" t="n"/>
      <c r="DB59" s="6" t="n"/>
      <c r="DC59" s="6" t="n"/>
      <c r="DD59" s="6" t="n"/>
      <c r="DE59" s="6" t="n"/>
      <c r="DF59" s="6" t="n"/>
      <c r="DG59" s="6" t="n"/>
      <c r="DH59" s="6" t="n"/>
      <c r="DI59" s="58" t="n"/>
      <c r="DJ59" s="6" t="n"/>
      <c r="DK59" s="6" t="n"/>
      <c r="DL59" s="6" t="n"/>
      <c r="DM59" s="58" t="n"/>
      <c r="DN59" s="6" t="n"/>
      <c r="DO59" s="6" t="n"/>
      <c r="DP59" s="6" t="n"/>
      <c r="DQ59" s="6" t="n"/>
      <c r="DR59" s="6" t="n"/>
      <c r="DS59" s="6" t="n"/>
      <c r="DT59" s="6" t="n"/>
      <c r="DU59" s="6" t="n"/>
      <c r="DV59" s="6" t="n"/>
      <c r="DW59" s="6" t="n"/>
      <c r="DX59" s="6" t="n"/>
      <c r="DY59" s="6" t="n"/>
      <c r="DZ59" s="6" t="n"/>
      <c r="EA59" s="6" t="n"/>
      <c r="EB59" s="6" t="n"/>
      <c r="EC59" s="6" t="n"/>
      <c r="ED59" s="6" t="n"/>
      <c r="EE59" s="53" t="n"/>
      <c r="EG59" s="6" t="n"/>
      <c r="EH59" s="6" t="n"/>
      <c r="EI59" s="6" t="n"/>
      <c r="EJ59" s="6" t="n"/>
      <c r="EK59" s="6" t="n"/>
      <c r="EL59" s="53" t="n"/>
      <c r="EM59" s="53" t="n"/>
      <c r="EN59" s="6" t="n"/>
      <c r="EO59" s="6" t="n"/>
      <c r="EP59" s="6" t="n"/>
      <c r="EQ59" s="6" t="n"/>
      <c r="ER59" s="6" t="n"/>
      <c r="ES59" s="6" t="n"/>
      <c r="ET59" s="6" t="n"/>
      <c r="EV59" s="269" t="n"/>
      <c r="EW59" s="6" t="n"/>
      <c r="EX59" s="289" t="n"/>
      <c r="EY59" s="6" t="n"/>
      <c r="EZ59" s="6" t="n"/>
      <c r="FB59" s="289" t="n"/>
      <c r="FC59" s="289" t="n"/>
      <c r="FH59" s="6" t="n"/>
      <c r="FI59" s="289" t="n"/>
      <c r="FL59" s="6" t="n"/>
      <c r="FQ59" s="6" t="n"/>
      <c r="FS59" s="6" t="n"/>
      <c r="GC59" s="6" t="n"/>
      <c r="GD59" s="6" t="n"/>
      <c r="GE59" s="6" t="n"/>
      <c r="GF59" s="6" t="n"/>
      <c r="GG59" s="6" t="n"/>
      <c r="GH59" s="6" t="n"/>
      <c r="GI59" s="6" t="n"/>
      <c r="GJ59" s="6" t="n"/>
      <c r="GK59" s="6" t="n"/>
      <c r="GL59" s="6" t="n"/>
      <c r="GM59" s="6" t="n"/>
    </row>
    <row r="60" customFormat="1" s="49">
      <c r="A60" s="215" t="inlineStr">
        <is>
          <t>TAG PAIS/24</t>
        </is>
      </c>
      <c r="B60" s="178" t="n"/>
      <c r="C60" s="115" t="n">
        <v>600</v>
      </c>
      <c r="E60" s="53" t="n"/>
      <c r="F60" s="53" t="n"/>
      <c r="G60" s="53" t="n"/>
      <c r="H60" s="53" t="n"/>
      <c r="I60" s="53" t="n"/>
      <c r="J60" s="53" t="n"/>
      <c r="K60" s="53" t="n"/>
      <c r="L60" s="53" t="n"/>
      <c r="M60" s="53" t="n"/>
      <c r="N60" s="53" t="n"/>
      <c r="O60" s="53" t="n"/>
      <c r="P60" s="53" t="n"/>
      <c r="Q60" s="53" t="n"/>
      <c r="R60" s="53" t="n"/>
      <c r="S60" s="53" t="n"/>
      <c r="T60" s="53" t="n"/>
      <c r="U60" s="53" t="n"/>
      <c r="V60" s="53" t="n"/>
      <c r="W60" s="53" t="n"/>
      <c r="X60" s="53" t="n"/>
      <c r="Y60" s="53" t="n"/>
      <c r="Z60" s="53" t="n"/>
      <c r="AA60" s="53" t="n"/>
      <c r="AB60" s="53" t="n"/>
      <c r="AC60" s="53" t="n"/>
      <c r="AD60" s="53" t="n"/>
      <c r="AE60" s="53" t="n"/>
      <c r="AF60" s="53" t="n"/>
      <c r="AG60" s="53" t="n"/>
      <c r="AH60" s="53" t="n"/>
      <c r="AI60" s="53" t="n"/>
      <c r="AJ60" s="53" t="n"/>
      <c r="AK60" s="53" t="n"/>
      <c r="AL60" s="53" t="n"/>
      <c r="AM60" s="53" t="n"/>
      <c r="AN60" s="53" t="n"/>
      <c r="AO60" s="53" t="n"/>
      <c r="AP60" s="53" t="n"/>
      <c r="AQ60" s="53" t="n"/>
      <c r="AR60" s="53" t="n"/>
      <c r="AS60" s="53" t="n"/>
      <c r="AT60" s="53" t="n"/>
      <c r="AU60" s="53" t="n"/>
      <c r="AV60" s="53" t="n"/>
      <c r="AW60" s="53" t="n"/>
      <c r="AX60" s="53" t="n"/>
      <c r="AY60" s="53" t="n"/>
      <c r="AZ60" s="53" t="n"/>
      <c r="BA60" s="53" t="n"/>
      <c r="BB60" s="53" t="n"/>
      <c r="BC60" s="53" t="n"/>
      <c r="BD60" s="53" t="n"/>
      <c r="BE60" s="53" t="n"/>
      <c r="BF60" s="53" t="n"/>
      <c r="BG60" s="53" t="n"/>
      <c r="BH60" s="53" t="n"/>
      <c r="BI60" s="53" t="n"/>
      <c r="BJ60" s="53" t="n"/>
      <c r="BK60" s="53" t="n"/>
      <c r="BL60" s="53" t="n"/>
      <c r="BM60" s="53" t="n"/>
      <c r="BN60" s="53" t="n"/>
      <c r="BO60" s="53" t="n"/>
      <c r="BP60" s="53" t="n"/>
      <c r="BQ60" s="53" t="n"/>
      <c r="BR60" s="53" t="n"/>
      <c r="BS60" s="53" t="n"/>
      <c r="BT60" s="53" t="n"/>
      <c r="BU60" s="53" t="n"/>
      <c r="BV60" s="53" t="n"/>
      <c r="BW60" s="53" t="n"/>
      <c r="BX60" s="53" t="n"/>
      <c r="BY60" s="53" t="n"/>
      <c r="BZ60" s="53" t="n"/>
      <c r="CA60" s="53" t="n"/>
      <c r="CB60" s="53" t="n"/>
      <c r="CC60" s="6" t="n"/>
      <c r="CD60" s="6" t="n"/>
      <c r="CE60" s="6" t="n"/>
      <c r="CH60" s="6" t="n"/>
      <c r="CO60" s="51" t="n"/>
      <c r="CZ60" s="6" t="n"/>
      <c r="DA60" s="6" t="n"/>
      <c r="DB60" s="6" t="n"/>
      <c r="DC60" s="6" t="n"/>
      <c r="DD60" s="6" t="n"/>
      <c r="DE60" s="6" t="n"/>
      <c r="DF60" s="6" t="n"/>
      <c r="DG60" s="6" t="n"/>
      <c r="DH60" s="6" t="n"/>
      <c r="DJ60" s="6" t="n"/>
      <c r="DK60" s="6" t="n"/>
      <c r="DL60" s="6" t="n"/>
      <c r="DN60" s="6" t="n"/>
      <c r="DO60" s="6" t="n"/>
      <c r="DP60" s="6" t="n"/>
      <c r="DQ60" s="6" t="n"/>
      <c r="DR60" s="6" t="n"/>
      <c r="DS60" s="6" t="n"/>
      <c r="DT60" s="6" t="n"/>
      <c r="DU60" s="6" t="n"/>
      <c r="DV60" s="6" t="n"/>
      <c r="DW60" s="6" t="n"/>
      <c r="DX60" s="6" t="n"/>
      <c r="DY60" s="6" t="n"/>
      <c r="DZ60" s="6" t="n"/>
      <c r="EA60" s="6" t="n"/>
      <c r="EB60" s="6" t="n"/>
      <c r="EC60" s="6" t="n"/>
      <c r="ED60" s="6" t="n"/>
      <c r="EE60" s="53" t="n"/>
      <c r="EG60" s="6" t="n"/>
      <c r="EH60" s="6" t="n"/>
      <c r="EI60" s="6" t="n"/>
      <c r="EJ60" s="6" t="n"/>
      <c r="EK60" s="6" t="n"/>
      <c r="EL60" s="53" t="n"/>
      <c r="EM60" s="53" t="n"/>
      <c r="EN60" s="6" t="n"/>
      <c r="EO60" s="6" t="n"/>
      <c r="EP60" s="6" t="n"/>
      <c r="EQ60" s="6" t="n"/>
      <c r="ER60" s="6" t="n"/>
      <c r="ES60" s="6" t="n"/>
      <c r="ET60" s="6" t="n"/>
      <c r="EV60" s="269" t="n"/>
      <c r="EW60" s="6" t="n"/>
      <c r="EX60" s="289" t="n"/>
      <c r="EY60" s="6" t="n"/>
      <c r="EZ60" s="6" t="n"/>
      <c r="FB60" s="289" t="n"/>
      <c r="FC60" s="289" t="n"/>
      <c r="FH60" s="6" t="n"/>
      <c r="FI60" s="289" t="n"/>
      <c r="FL60" s="6" t="n"/>
      <c r="FQ60" s="6" t="n"/>
      <c r="FS60" s="6" t="n"/>
      <c r="GC60" s="6" t="n"/>
      <c r="GD60" s="6" t="n"/>
      <c r="GE60" s="6" t="n"/>
      <c r="GF60" s="6" t="n"/>
      <c r="GG60" s="6" t="n"/>
      <c r="GH60" s="6" t="n"/>
      <c r="GI60" s="6" t="n"/>
      <c r="GJ60" s="6" t="n"/>
      <c r="GK60" s="6" t="n"/>
      <c r="GL60" s="6" t="n"/>
      <c r="GM60" s="6" t="n"/>
    </row>
    <row r="61" customFormat="1" s="49">
      <c r="A61" s="363" t="n"/>
      <c r="C61" s="191" t="n"/>
      <c r="E61" s="53" t="n"/>
      <c r="F61" s="53" t="n"/>
      <c r="G61" s="53" t="n"/>
      <c r="H61" s="53" t="n"/>
      <c r="I61" s="53" t="n"/>
      <c r="J61" s="53" t="n"/>
      <c r="K61" s="53" t="n"/>
      <c r="L61" s="53" t="n"/>
      <c r="M61" s="53" t="n"/>
      <c r="N61" s="53" t="n"/>
      <c r="O61" s="53" t="n"/>
      <c r="P61" s="53" t="n"/>
      <c r="Q61" s="53" t="n"/>
      <c r="R61" s="53" t="n"/>
      <c r="S61" s="53" t="n"/>
      <c r="T61" s="53" t="n"/>
      <c r="U61" s="53" t="n"/>
      <c r="V61" s="53" t="n"/>
      <c r="W61" s="53" t="n"/>
      <c r="X61" s="53" t="n"/>
      <c r="Y61" s="53" t="n"/>
      <c r="Z61" s="53" t="n"/>
      <c r="AA61" s="53" t="n"/>
      <c r="AB61" s="53" t="n"/>
      <c r="AC61" s="53" t="n"/>
      <c r="AD61" s="53" t="n"/>
      <c r="AE61" s="53" t="n"/>
      <c r="AF61" s="53" t="n"/>
      <c r="AG61" s="53" t="n"/>
      <c r="AH61" s="53" t="n"/>
      <c r="AI61" s="53" t="n"/>
      <c r="AJ61" s="53" t="n"/>
      <c r="AK61" s="53" t="n"/>
      <c r="AL61" s="53" t="n"/>
      <c r="AM61" s="53" t="n"/>
      <c r="AN61" s="53" t="n"/>
      <c r="AO61" s="53" t="n"/>
      <c r="AP61" s="53" t="n"/>
      <c r="AQ61" s="53" t="n"/>
      <c r="AR61" s="53" t="n"/>
      <c r="AS61" s="53" t="n"/>
      <c r="AT61" s="53" t="n"/>
      <c r="AU61" s="53" t="n"/>
      <c r="AV61" s="53" t="n"/>
      <c r="AW61" s="53" t="n"/>
      <c r="AX61" s="53" t="n"/>
      <c r="AY61" s="53" t="n"/>
      <c r="AZ61" s="53" t="n"/>
      <c r="BA61" s="53" t="n"/>
      <c r="BB61" s="53" t="n"/>
      <c r="BC61" s="53" t="n"/>
      <c r="BD61" s="53" t="n"/>
      <c r="BE61" s="53" t="n"/>
      <c r="BF61" s="53" t="n"/>
      <c r="BG61" s="53" t="n"/>
      <c r="BH61" s="53" t="n"/>
      <c r="BI61" s="53" t="n"/>
      <c r="BJ61" s="53" t="n"/>
      <c r="BK61" s="53" t="n"/>
      <c r="BL61" s="53" t="n"/>
      <c r="BM61" s="53" t="n"/>
      <c r="BN61" s="53" t="n"/>
      <c r="BO61" s="53" t="n"/>
      <c r="BP61" s="53" t="n"/>
      <c r="BQ61" s="53" t="n"/>
      <c r="BR61" s="53" t="n"/>
      <c r="BS61" s="53" t="n"/>
      <c r="BT61" s="53" t="n"/>
      <c r="BU61" s="53" t="n"/>
      <c r="BV61" s="53" t="n"/>
      <c r="BW61" s="53" t="n"/>
      <c r="BX61" s="53" t="n"/>
      <c r="BY61" s="53" t="n"/>
      <c r="BZ61" s="53" t="n"/>
      <c r="CA61" s="53" t="n"/>
      <c r="CB61" s="53" t="n"/>
      <c r="CC61" s="6" t="n"/>
      <c r="CD61" s="6" t="n"/>
      <c r="CE61" s="6" t="n"/>
      <c r="CH61" s="6" t="n"/>
      <c r="CO61" s="51" t="n"/>
      <c r="CZ61" s="6" t="n"/>
      <c r="DA61" s="6" t="n"/>
      <c r="DB61" s="6" t="n"/>
      <c r="DC61" s="6" t="n"/>
      <c r="DD61" s="6" t="n"/>
      <c r="DE61" s="6" t="n"/>
      <c r="DF61" s="6" t="n"/>
      <c r="DG61" s="6" t="n"/>
      <c r="DH61" s="6" t="n"/>
      <c r="DJ61" s="6" t="n"/>
      <c r="DK61" s="6" t="n"/>
      <c r="DL61" s="6" t="n"/>
      <c r="DN61" s="6" t="n"/>
      <c r="DO61" s="6" t="n"/>
      <c r="DP61" s="6" t="n"/>
      <c r="DQ61" s="6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6" t="n"/>
      <c r="EA61" s="6" t="n"/>
      <c r="EB61" s="6" t="n"/>
      <c r="EC61" s="6" t="n"/>
      <c r="ED61" s="6" t="n"/>
      <c r="EE61" s="53" t="n"/>
      <c r="EG61" s="6" t="n"/>
      <c r="EH61" s="6" t="n"/>
      <c r="EI61" s="6" t="n"/>
      <c r="EJ61" s="6" t="n"/>
      <c r="EK61" s="6" t="n"/>
      <c r="EL61" s="53" t="n"/>
      <c r="EM61" s="53" t="n"/>
      <c r="EN61" s="6" t="n"/>
      <c r="EO61" s="6" t="n"/>
      <c r="EP61" s="6" t="n"/>
      <c r="EQ61" s="6" t="n"/>
      <c r="ER61" s="6" t="n"/>
      <c r="ES61" s="6" t="n"/>
      <c r="ET61" s="6" t="n"/>
      <c r="EV61" s="269" t="n"/>
      <c r="EW61" s="6" t="n"/>
      <c r="EX61" s="289" t="n"/>
      <c r="EY61" s="6" t="n"/>
      <c r="EZ61" s="6" t="n"/>
      <c r="FB61" s="289" t="n"/>
      <c r="FC61" s="289" t="n"/>
      <c r="FH61" s="6" t="n"/>
      <c r="FI61" s="289" t="n"/>
      <c r="FL61" s="6" t="n"/>
      <c r="FQ61" s="6" t="n"/>
      <c r="FS61" s="6" t="n"/>
      <c r="GC61" s="6" t="n"/>
      <c r="GD61" s="6" t="n"/>
      <c r="GE61" s="6" t="n"/>
      <c r="GF61" s="6" t="n"/>
      <c r="GG61" s="6" t="n"/>
      <c r="GH61" s="6" t="n"/>
      <c r="GI61" s="6" t="n"/>
      <c r="GJ61" s="6" t="n"/>
      <c r="GK61" s="6" t="n"/>
      <c r="GL61" s="6" t="n"/>
      <c r="GM61" s="6" t="n"/>
    </row>
    <row r="62" customFormat="1" s="49">
      <c r="A62" s="364" t="inlineStr">
        <is>
          <t>TAG NATAL/24</t>
        </is>
      </c>
      <c r="B62" s="178" t="n"/>
      <c r="C62" s="115" t="n">
        <v>2100</v>
      </c>
      <c r="E62" s="53" t="n"/>
      <c r="F62" s="53" t="n"/>
      <c r="G62" s="53" t="n"/>
      <c r="H62" s="53" t="n"/>
      <c r="I62" s="53" t="n"/>
      <c r="J62" s="53" t="n"/>
      <c r="K62" s="53" t="n"/>
      <c r="L62" s="53" t="n"/>
      <c r="M62" s="53" t="n"/>
      <c r="N62" s="53" t="n"/>
      <c r="O62" s="53" t="n"/>
      <c r="P62" s="53" t="n"/>
      <c r="Q62" s="53" t="n"/>
      <c r="R62" s="53" t="n"/>
      <c r="S62" s="53" t="n"/>
      <c r="T62" s="53" t="n"/>
      <c r="U62" s="53" t="n"/>
      <c r="V62" s="53" t="n"/>
      <c r="W62" s="53" t="n"/>
      <c r="X62" s="53" t="n"/>
      <c r="Y62" s="53" t="n"/>
      <c r="Z62" s="53" t="n"/>
      <c r="AA62" s="53" t="n"/>
      <c r="AB62" s="53" t="n"/>
      <c r="AC62" s="53" t="n"/>
      <c r="AD62" s="53" t="n"/>
      <c r="AE62" s="53" t="n"/>
      <c r="AF62" s="53" t="n"/>
      <c r="AG62" s="53" t="n"/>
      <c r="AH62" s="53" t="n"/>
      <c r="AI62" s="53" t="n"/>
      <c r="AJ62" s="53" t="n"/>
      <c r="AK62" s="53" t="n"/>
      <c r="AL62" s="53" t="n"/>
      <c r="AM62" s="53" t="n"/>
      <c r="AN62" s="53" t="n"/>
      <c r="AO62" s="53" t="n"/>
      <c r="AP62" s="53" t="n"/>
      <c r="AQ62" s="53" t="n"/>
      <c r="AR62" s="53" t="n"/>
      <c r="AS62" s="53" t="n"/>
      <c r="AT62" s="53" t="n"/>
      <c r="AU62" s="53" t="n"/>
      <c r="AV62" s="53" t="n"/>
      <c r="AW62" s="53" t="n"/>
      <c r="AX62" s="53" t="n"/>
      <c r="AY62" s="53" t="n"/>
      <c r="AZ62" s="53" t="n"/>
      <c r="BA62" s="53" t="n"/>
      <c r="BB62" s="53" t="n"/>
      <c r="BC62" s="53" t="n"/>
      <c r="BD62" s="53" t="n"/>
      <c r="BE62" s="53" t="n"/>
      <c r="BF62" s="53" t="n"/>
      <c r="BG62" s="53" t="n"/>
      <c r="BH62" s="53" t="n"/>
      <c r="BI62" s="53" t="n"/>
      <c r="BJ62" s="53" t="n"/>
      <c r="BK62" s="53" t="n"/>
      <c r="BL62" s="53" t="n"/>
      <c r="BM62" s="53" t="n"/>
      <c r="BN62" s="53" t="n"/>
      <c r="BO62" s="53" t="n"/>
      <c r="BP62" s="53" t="n"/>
      <c r="BQ62" s="53" t="n"/>
      <c r="BR62" s="53" t="n"/>
      <c r="BS62" s="53" t="n"/>
      <c r="BT62" s="53" t="n"/>
      <c r="BU62" s="53" t="n"/>
      <c r="BV62" s="53" t="n"/>
      <c r="BW62" s="53" t="n"/>
      <c r="BX62" s="53" t="n"/>
      <c r="BY62" s="53" t="n"/>
      <c r="BZ62" s="53" t="n"/>
      <c r="CA62" s="53" t="n"/>
      <c r="CB62" s="53" t="n"/>
      <c r="CC62" s="6" t="n"/>
      <c r="CD62" s="6" t="n"/>
      <c r="CE62" s="6" t="n"/>
      <c r="CH62" s="6" t="n"/>
      <c r="CO62" s="51" t="n"/>
      <c r="CZ62" s="6" t="n"/>
      <c r="DA62" s="6" t="n"/>
      <c r="DB62" s="6" t="n"/>
      <c r="DC62" s="6" t="n"/>
      <c r="DD62" s="6" t="n"/>
      <c r="DE62" s="6" t="n"/>
      <c r="DF62" s="6" t="n"/>
      <c r="DG62" s="6" t="n"/>
      <c r="DH62" s="6" t="n"/>
      <c r="DJ62" s="6" t="n"/>
      <c r="DK62" s="6" t="n"/>
      <c r="DL62" s="6" t="n"/>
      <c r="DN62" s="6" t="n"/>
      <c r="DO62" s="6" t="n"/>
      <c r="DP62" s="6" t="n"/>
      <c r="DQ62" s="6" t="n"/>
      <c r="DR62" s="6" t="n"/>
      <c r="DS62" s="6" t="n"/>
      <c r="DT62" s="6" t="n"/>
      <c r="DU62" s="6" t="n"/>
      <c r="DV62" s="6" t="n"/>
      <c r="DW62" s="6" t="n"/>
      <c r="DX62" s="6" t="n"/>
      <c r="DY62" s="6" t="n"/>
      <c r="DZ62" s="6" t="n"/>
      <c r="EA62" s="6" t="n"/>
      <c r="EB62" s="6" t="n"/>
      <c r="EC62" s="6" t="n"/>
      <c r="ED62" s="6" t="n"/>
      <c r="EE62" s="53" t="n"/>
      <c r="EG62" s="6" t="n"/>
      <c r="EH62" s="6" t="n"/>
      <c r="EI62" s="6" t="n"/>
      <c r="EJ62" s="6" t="n"/>
      <c r="EK62" s="6" t="n"/>
      <c r="EL62" s="53" t="n"/>
      <c r="EM62" s="53" t="n"/>
      <c r="EN62" s="6" t="n"/>
      <c r="EO62" s="6" t="n"/>
      <c r="EP62" s="6" t="n"/>
      <c r="EQ62" s="6" t="n"/>
      <c r="ER62" s="6" t="n"/>
      <c r="ES62" s="6" t="n"/>
      <c r="ET62" s="6" t="n"/>
      <c r="EV62" s="269" t="n"/>
      <c r="EW62" s="6" t="n"/>
      <c r="EX62" s="289" t="n"/>
      <c r="EY62" s="6" t="n"/>
      <c r="EZ62" s="6" t="n"/>
      <c r="FB62" s="289" t="n"/>
      <c r="FC62" s="289" t="n"/>
      <c r="FH62" s="6" t="n"/>
      <c r="FI62" s="289" t="n"/>
      <c r="FL62" s="6" t="n"/>
      <c r="FQ62" s="6" t="n"/>
      <c r="FS62" s="6" t="n"/>
      <c r="GC62" s="6" t="n"/>
      <c r="GD62" s="6" t="n"/>
      <c r="GE62" s="6" t="n"/>
      <c r="GF62" s="6" t="n"/>
      <c r="GG62" s="6" t="n"/>
      <c r="GH62" s="6" t="n"/>
      <c r="GI62" s="6" t="n"/>
      <c r="GJ62" s="6" t="n"/>
      <c r="GK62" s="6" t="n"/>
      <c r="GL62" s="6" t="n"/>
      <c r="GM62" s="6" t="n"/>
    </row>
    <row r="63">
      <c r="B63" s="53" t="n"/>
      <c r="C63" s="53" t="n"/>
      <c r="D63" s="53" t="n"/>
      <c r="E63" s="53" t="n"/>
      <c r="F63" s="53" t="n"/>
      <c r="G63" s="53" t="n"/>
      <c r="H63" s="53" t="n"/>
      <c r="I63" s="53" t="n"/>
      <c r="J63" s="53" t="n"/>
      <c r="K63" s="53" t="n"/>
      <c r="L63" s="53" t="n"/>
      <c r="M63" s="53" t="n"/>
      <c r="N63" s="53" t="n"/>
      <c r="O63" s="53" t="n"/>
      <c r="P63" s="53" t="n"/>
      <c r="Q63" s="53" t="n"/>
      <c r="R63" s="53" t="n"/>
      <c r="S63" s="53" t="n"/>
      <c r="T63" s="53" t="n"/>
      <c r="U63" s="53" t="n"/>
      <c r="V63" s="53" t="n"/>
      <c r="W63" s="53" t="n"/>
      <c r="X63" s="53" t="n"/>
      <c r="Y63" s="53" t="n"/>
      <c r="Z63" s="53" t="n"/>
      <c r="AA63" s="53" t="n"/>
      <c r="AB63" s="53" t="n"/>
      <c r="AC63" s="53" t="n"/>
      <c r="AD63" s="53" t="n"/>
      <c r="AE63" s="53" t="n"/>
      <c r="AF63" s="53" t="n"/>
      <c r="AG63" s="53" t="n"/>
      <c r="AH63" s="53" t="n"/>
      <c r="AI63" s="53" t="n"/>
      <c r="AJ63" s="53" t="n"/>
      <c r="AK63" s="53" t="n"/>
      <c r="AL63" s="53" t="n"/>
      <c r="AM63" s="53" t="n"/>
      <c r="AN63" s="53" t="n"/>
      <c r="AO63" s="53" t="n"/>
      <c r="AP63" s="53" t="n"/>
      <c r="AQ63" s="53" t="n"/>
      <c r="AR63" s="53" t="n"/>
      <c r="AS63" s="53" t="n"/>
      <c r="AT63" s="53" t="n"/>
      <c r="AU63" s="53" t="n"/>
      <c r="AV63" s="53" t="n"/>
      <c r="AW63" s="53" t="n"/>
      <c r="AX63" s="53" t="n"/>
      <c r="AY63" s="53" t="n"/>
      <c r="AZ63" s="53" t="n"/>
      <c r="BA63" s="53" t="n"/>
      <c r="BB63" s="53" t="n"/>
      <c r="BC63" s="53" t="n"/>
      <c r="BD63" s="53" t="n"/>
      <c r="BE63" s="53" t="n"/>
      <c r="BF63" s="53" t="n"/>
      <c r="BG63" s="53" t="n"/>
      <c r="BH63" s="53" t="n"/>
      <c r="BI63" s="53" t="n"/>
      <c r="BJ63" s="53" t="n"/>
      <c r="BK63" s="53" t="n"/>
      <c r="BL63" s="53" t="n"/>
      <c r="BM63" s="53" t="n"/>
      <c r="BN63" s="53" t="n"/>
      <c r="BO63" s="53" t="n"/>
      <c r="BP63" s="53" t="n"/>
      <c r="BQ63" s="53" t="n"/>
      <c r="BR63" s="53" t="n"/>
      <c r="BS63" s="53" t="n"/>
      <c r="BT63" s="53" t="n"/>
      <c r="BU63" s="53" t="n"/>
      <c r="BV63" s="53" t="n"/>
      <c r="BW63" s="53" t="n"/>
      <c r="BX63" s="53" t="n"/>
      <c r="BY63" s="53" t="n"/>
      <c r="BZ63" s="53" t="n"/>
      <c r="CA63" s="53" t="n"/>
      <c r="CB63" s="53" t="n"/>
      <c r="CD63" s="6" t="n"/>
      <c r="CE63" s="6" t="n"/>
      <c r="CF63" s="56" t="n"/>
      <c r="CG63" s="56" t="n"/>
      <c r="CH63" s="5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J63" s="6" t="n"/>
      <c r="DK63" s="6" t="n"/>
      <c r="DL63" s="6" t="n"/>
      <c r="DN63" s="6" t="n"/>
      <c r="DO63" s="6" t="n"/>
      <c r="DP63" s="6" t="n"/>
      <c r="DQ63" s="6" t="n"/>
      <c r="DR63" s="6" t="n"/>
      <c r="DS63" s="6" t="n"/>
      <c r="DT63" s="6" t="n"/>
      <c r="DU63" s="6" t="n"/>
      <c r="DV63" s="6" t="n"/>
      <c r="DW63" s="6" t="n"/>
      <c r="DX63" s="6" t="n"/>
      <c r="DY63" s="6" t="n"/>
      <c r="DZ63" s="6" t="n"/>
      <c r="EA63" s="6" t="n"/>
      <c r="EB63" s="6" t="n"/>
      <c r="EC63" s="6" t="n"/>
      <c r="ED63" s="6" t="n"/>
      <c r="EE63" s="6" t="n"/>
      <c r="EF63" s="6" t="n"/>
      <c r="EG63" s="6" t="n"/>
      <c r="EH63" s="6" t="n"/>
      <c r="EI63" s="6" t="n"/>
      <c r="EJ63" s="6" t="n"/>
      <c r="EK63" s="6" t="n"/>
      <c r="EL63" s="53" t="n"/>
      <c r="EM63" s="53" t="n"/>
      <c r="EN63" s="6" t="n"/>
      <c r="EO63" s="6" t="n"/>
      <c r="EP63" s="6" t="n"/>
      <c r="EQ63" s="6" t="n"/>
      <c r="ER63" s="6" t="n"/>
      <c r="ES63" s="6" t="n"/>
      <c r="ET63" s="6" t="n"/>
      <c r="EV63" s="269" t="n"/>
      <c r="EW63" s="6" t="n"/>
      <c r="EX63" s="289" t="n"/>
      <c r="EY63" s="6" t="n"/>
      <c r="EZ63" s="6" t="n"/>
      <c r="FB63" s="289" t="n"/>
      <c r="FC63" s="289" t="n"/>
      <c r="FD63" s="6" t="n"/>
      <c r="FE63" s="6" t="n"/>
      <c r="FF63" s="6" t="n"/>
      <c r="FG63" s="6" t="n"/>
      <c r="FH63" s="6" t="n"/>
      <c r="FI63" s="289" t="n"/>
      <c r="FJ63" s="6" t="n"/>
      <c r="FK63" s="6" t="n"/>
      <c r="FL63" s="6" t="n"/>
      <c r="FM63" s="6" t="n"/>
      <c r="FN63" s="6" t="n"/>
      <c r="FO63" s="6" t="n"/>
      <c r="FP63" s="6" t="n"/>
      <c r="FQ63" s="6" t="n"/>
      <c r="FR63" s="6" t="n"/>
      <c r="FS63" s="6" t="n"/>
      <c r="FT63" s="6" t="n"/>
      <c r="FU63" s="6" t="n"/>
      <c r="FV63" s="6" t="n"/>
      <c r="FW63" s="6" t="n"/>
      <c r="FY63" s="6" t="n"/>
      <c r="FZ63" s="6" t="n"/>
      <c r="GA63" s="6" t="n"/>
    </row>
    <row r="64" ht="18.75" customHeight="1">
      <c r="A64" s="699" t="inlineStr">
        <is>
          <t>FLACONETES</t>
        </is>
      </c>
      <c r="B64" s="658" t="n"/>
      <c r="C64" s="658" t="n"/>
      <c r="D64" s="670" t="n"/>
      <c r="F64" s="671" t="n">
        <v>45656</v>
      </c>
      <c r="G64" s="671" t="n">
        <v>45663</v>
      </c>
      <c r="H64" s="671" t="n">
        <v>45670</v>
      </c>
      <c r="I64" s="671" t="n">
        <v>45677</v>
      </c>
      <c r="J64" s="671" t="n">
        <v>45684</v>
      </c>
      <c r="K64" s="671" t="n">
        <v>45691</v>
      </c>
      <c r="L64" s="671" t="n">
        <v>45698</v>
      </c>
      <c r="M64" s="671" t="n">
        <v>45705</v>
      </c>
      <c r="N64" s="671" t="n">
        <v>45712</v>
      </c>
      <c r="O64" s="671" t="n">
        <v>45719</v>
      </c>
      <c r="P64" s="671" t="n">
        <v>45726</v>
      </c>
      <c r="Q64" s="671" t="n">
        <v>45733</v>
      </c>
      <c r="R64" s="671" t="n">
        <v>45740</v>
      </c>
      <c r="S64" s="671" t="n">
        <v>45747</v>
      </c>
      <c r="T64" s="671" t="n">
        <v>45754</v>
      </c>
      <c r="U64" s="671" t="n">
        <v>45761</v>
      </c>
      <c r="V64" s="671" t="n">
        <v>45768</v>
      </c>
      <c r="W64" s="671" t="n">
        <v>45775</v>
      </c>
      <c r="X64" s="671" t="n">
        <v>45782</v>
      </c>
      <c r="Y64" s="671" t="n">
        <v>45789</v>
      </c>
      <c r="Z64" s="671" t="n">
        <v>45796</v>
      </c>
      <c r="AA64" s="671" t="n">
        <v>45803</v>
      </c>
      <c r="AB64" s="671" t="n">
        <v>45810</v>
      </c>
      <c r="AC64" s="671" t="n">
        <v>45817</v>
      </c>
      <c r="AD64" s="671" t="n">
        <v>45824</v>
      </c>
      <c r="AE64" s="671" t="n">
        <v>45831</v>
      </c>
      <c r="AF64" s="671" t="n">
        <v>45838</v>
      </c>
      <c r="AG64" s="671" t="n">
        <v>45845</v>
      </c>
      <c r="AH64" s="671" t="n">
        <v>45852</v>
      </c>
      <c r="AI64" s="671" t="n">
        <v>45859</v>
      </c>
      <c r="AJ64" s="671" t="n">
        <v>45866</v>
      </c>
      <c r="AK64" s="671" t="n">
        <v>45873</v>
      </c>
      <c r="AL64" s="671" t="n">
        <v>45880</v>
      </c>
      <c r="AM64" s="671" t="n">
        <v>45887</v>
      </c>
      <c r="AN64" s="671" t="n">
        <v>45894</v>
      </c>
      <c r="AO64" s="671" t="n">
        <v>45901</v>
      </c>
      <c r="AP64" s="671" t="n">
        <v>45908</v>
      </c>
      <c r="AQ64" s="671" t="n">
        <v>45915</v>
      </c>
      <c r="AR64" s="671" t="n">
        <v>45922</v>
      </c>
      <c r="AS64" s="671" t="n">
        <v>45929</v>
      </c>
      <c r="AT64" s="671" t="n">
        <v>45936</v>
      </c>
      <c r="AU64" s="671" t="n">
        <v>45943</v>
      </c>
      <c r="AV64" s="671" t="n">
        <v>45950</v>
      </c>
      <c r="AW64" s="671" t="n">
        <v>45957</v>
      </c>
      <c r="AX64" s="671" t="n">
        <v>45964</v>
      </c>
      <c r="AY64" s="671" t="n">
        <v>45971</v>
      </c>
      <c r="AZ64" s="671" t="n">
        <v>45978</v>
      </c>
      <c r="BA64" s="671" t="n">
        <v>45985</v>
      </c>
      <c r="BB64" s="671" t="n">
        <v>45992</v>
      </c>
      <c r="BC64" s="671" t="n">
        <v>45999</v>
      </c>
      <c r="BD64" s="671" t="n">
        <v>46006</v>
      </c>
      <c r="BE64" s="671" t="n">
        <v>46013</v>
      </c>
      <c r="BF64" s="671" t="n">
        <v>46020</v>
      </c>
      <c r="BG64" s="671" t="n">
        <v>46027</v>
      </c>
      <c r="BH64" s="671" t="n">
        <v>46034</v>
      </c>
      <c r="BI64" s="671" t="n">
        <v>46041</v>
      </c>
      <c r="BJ64" s="671" t="n">
        <v>46048</v>
      </c>
      <c r="BK64" s="671" t="n">
        <v>46055</v>
      </c>
      <c r="BL64" s="671" t="n">
        <v>46062</v>
      </c>
      <c r="BM64" s="671" t="n">
        <v>46069</v>
      </c>
      <c r="BN64" s="671" t="n">
        <v>46076</v>
      </c>
      <c r="BO64" s="671" t="n">
        <v>46083</v>
      </c>
      <c r="BP64" s="671" t="n">
        <v>46090</v>
      </c>
      <c r="BQ64" s="671" t="n">
        <v>46097</v>
      </c>
      <c r="BR64" s="671" t="n">
        <v>46104</v>
      </c>
      <c r="BS64" s="671" t="n">
        <v>46111</v>
      </c>
      <c r="BT64" s="671" t="n">
        <v>46118</v>
      </c>
      <c r="BU64" s="671" t="n">
        <v>46125</v>
      </c>
      <c r="BV64" s="671" t="n">
        <v>46132</v>
      </c>
      <c r="BW64" s="671" t="n">
        <v>46139</v>
      </c>
      <c r="BX64" s="671" t="n">
        <v>46146</v>
      </c>
      <c r="BY64" s="671" t="n">
        <v>46154</v>
      </c>
      <c r="BZ64" s="671" t="n">
        <v>46160</v>
      </c>
      <c r="CA64" s="671" t="n">
        <v>46160</v>
      </c>
      <c r="CB64" s="700" t="n"/>
      <c r="CD64" s="6" t="n"/>
      <c r="CE64" s="6" t="n"/>
      <c r="CF64" s="56" t="n"/>
      <c r="CG64" s="56" t="n"/>
      <c r="CH64" s="5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6" t="n"/>
      <c r="DQ64" s="6" t="n"/>
      <c r="DR64" s="6" t="n"/>
      <c r="DS64" s="6" t="n"/>
      <c r="DT64" s="6" t="n"/>
      <c r="DU64" s="6" t="n"/>
      <c r="DV64" s="6" t="n"/>
      <c r="DW64" s="6" t="n"/>
      <c r="DX64" s="6" t="n"/>
      <c r="DY64" s="6" t="n"/>
      <c r="DZ64" s="6" t="n"/>
      <c r="EA64" s="6" t="n"/>
      <c r="EB64" s="6" t="n"/>
      <c r="EC64" s="6" t="n"/>
      <c r="ED64" s="6" t="n"/>
      <c r="EE64" s="6" t="n"/>
      <c r="EF64" s="6" t="n"/>
      <c r="EG64" s="6" t="n"/>
      <c r="EH64" s="6" t="n"/>
      <c r="EI64" s="6" t="n"/>
      <c r="EJ64" s="6" t="n"/>
      <c r="EK64" s="6" t="n"/>
      <c r="EL64" s="6" t="n"/>
      <c r="EM64" s="53" t="n"/>
      <c r="EN64" s="6" t="n"/>
      <c r="EO64" s="6" t="n"/>
      <c r="EP64" s="6" t="n"/>
      <c r="EQ64" s="6" t="n"/>
      <c r="ER64" s="6" t="n"/>
      <c r="ES64" s="6" t="n"/>
      <c r="ET64" s="6" t="n"/>
      <c r="EU64" s="6" t="n"/>
      <c r="EV64" s="269" t="n"/>
      <c r="EW64" s="6" t="n"/>
      <c r="EX64" s="289" t="n"/>
      <c r="EY64" s="6" t="n"/>
      <c r="EZ64" s="6" t="n"/>
      <c r="FA64" s="6" t="n"/>
      <c r="FB64" s="289" t="n"/>
      <c r="FC64" s="289" t="n"/>
      <c r="FD64" s="6" t="n"/>
      <c r="FE64" s="6" t="n"/>
      <c r="FF64" s="6" t="n"/>
      <c r="FG64" s="6" t="n"/>
      <c r="FH64" s="6" t="n"/>
      <c r="FI64" s="289" t="n"/>
      <c r="FJ64" s="6" t="n"/>
      <c r="FK64" s="6" t="n"/>
      <c r="FL64" s="6" t="n"/>
      <c r="FM64" s="6" t="n"/>
      <c r="FN64" s="6" t="n"/>
      <c r="FO64" s="6" t="n"/>
      <c r="FP64" s="6" t="n"/>
      <c r="FQ64" s="6" t="n"/>
      <c r="FR64" s="6" t="n"/>
      <c r="FS64" s="6" t="n"/>
      <c r="FT64" s="6" t="n"/>
      <c r="FU64" s="6" t="n"/>
      <c r="FV64" s="6" t="n"/>
      <c r="FW64" s="6" t="n"/>
      <c r="FX64" s="6" t="n"/>
      <c r="FY64" s="6" t="n"/>
      <c r="FZ64" s="6" t="n"/>
      <c r="GA64" s="6" t="n"/>
    </row>
    <row r="65">
      <c r="A65" s="674" t="inlineStr">
        <is>
          <t>saquinhos masculino</t>
        </is>
      </c>
      <c r="B65" s="658" t="n"/>
      <c r="C65" s="658" t="n"/>
      <c r="D65" s="670" t="n"/>
      <c r="S65" s="38" t="n"/>
      <c r="T65" s="38" t="n"/>
      <c r="U65" s="38" t="n"/>
      <c r="V65" s="38" t="n"/>
      <c r="W65" s="38" t="n"/>
      <c r="X65" s="38" t="n"/>
      <c r="Y65" s="38" t="n"/>
      <c r="Z65" s="116" t="n">
        <v>0</v>
      </c>
      <c r="AA65" s="116" t="n">
        <v>44</v>
      </c>
      <c r="AB65" s="116" t="n">
        <v>44</v>
      </c>
      <c r="AC65" s="116" t="n">
        <v>36</v>
      </c>
      <c r="AD65" s="116" t="n">
        <v>35</v>
      </c>
      <c r="AE65" s="116" t="n">
        <v>26</v>
      </c>
      <c r="AF65" s="116" t="n">
        <v>40</v>
      </c>
      <c r="AG65" s="116" t="n">
        <v>45</v>
      </c>
      <c r="AH65" s="116" t="n">
        <v>73</v>
      </c>
      <c r="AI65" s="116" t="n">
        <v>69</v>
      </c>
      <c r="AJ65" s="116" t="n">
        <v>69</v>
      </c>
      <c r="AK65" s="116" t="n">
        <v>89</v>
      </c>
      <c r="AL65" s="116" t="n">
        <v>89</v>
      </c>
      <c r="AM65" s="116" t="n">
        <v>89</v>
      </c>
      <c r="AN65" s="116" t="n">
        <v>89</v>
      </c>
      <c r="AO65" s="116" t="n">
        <v>89</v>
      </c>
      <c r="AP65" s="116" t="n">
        <v>86</v>
      </c>
      <c r="AQ65" s="116" t="n">
        <v>29</v>
      </c>
      <c r="AR65" s="116" t="n">
        <v>29</v>
      </c>
      <c r="AS65" s="116" t="n">
        <v>0</v>
      </c>
      <c r="AT65" s="116" t="n">
        <v>0</v>
      </c>
      <c r="AU65" s="116" t="n">
        <v>0</v>
      </c>
      <c r="AV65" s="116" t="n">
        <v>0</v>
      </c>
      <c r="AW65" s="116" t="n">
        <v>0</v>
      </c>
      <c r="AX65" s="116" t="n">
        <v>0</v>
      </c>
      <c r="AY65" s="116" t="n">
        <v>0</v>
      </c>
      <c r="AZ65" s="116" t="n">
        <v>0</v>
      </c>
      <c r="BA65" s="116" t="n">
        <v>0</v>
      </c>
      <c r="BB65" s="116" t="n">
        <v>0</v>
      </c>
      <c r="BC65" s="116" t="n">
        <v>0</v>
      </c>
      <c r="BD65" s="116" t="n">
        <v>0</v>
      </c>
      <c r="BE65" s="116" t="n">
        <v>0</v>
      </c>
      <c r="BF65" s="116" t="n">
        <v>0</v>
      </c>
      <c r="BG65" s="116" t="n">
        <v>0</v>
      </c>
      <c r="BH65" s="116" t="n">
        <v>0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>
        <v>0</v>
      </c>
      <c r="BZ65" s="116" t="n"/>
      <c r="CA65" s="116" t="n"/>
    </row>
    <row r="66">
      <c r="A66" s="674" t="inlineStr">
        <is>
          <t>AMOSTRA FACIAL</t>
        </is>
      </c>
      <c r="B66" s="658" t="n"/>
      <c r="C66" s="658" t="n"/>
      <c r="D66" s="670" t="n"/>
      <c r="AF66" s="116" t="n">
        <v>0</v>
      </c>
      <c r="AG66" s="116" t="n">
        <v>17</v>
      </c>
      <c r="AH66" s="116" t="n">
        <v>21</v>
      </c>
      <c r="AI66" s="116" t="n">
        <v>20</v>
      </c>
      <c r="AJ66" s="116" t="n">
        <v>20</v>
      </c>
      <c r="AK66" s="116" t="n">
        <v>20</v>
      </c>
      <c r="AL66" s="116" t="n">
        <v>20</v>
      </c>
      <c r="AM66" s="116" t="n">
        <v>20</v>
      </c>
      <c r="AN66" s="116" t="n">
        <v>20</v>
      </c>
      <c r="AO66" s="116" t="n">
        <v>20</v>
      </c>
      <c r="AP66" s="116" t="n">
        <v>16</v>
      </c>
      <c r="AQ66" s="116" t="n">
        <v>12</v>
      </c>
      <c r="AR66" s="116" t="n">
        <v>12</v>
      </c>
      <c r="AS66" s="116" t="n">
        <v>12</v>
      </c>
      <c r="AT66" s="116" t="n">
        <v>12</v>
      </c>
      <c r="AU66" s="116" t="n">
        <v>0</v>
      </c>
      <c r="AV66" s="116" t="n">
        <v>0</v>
      </c>
      <c r="AW66" s="116" t="n">
        <v>0</v>
      </c>
      <c r="AX66" s="116" t="n">
        <v>0</v>
      </c>
      <c r="AY66" s="116" t="n">
        <v>0</v>
      </c>
      <c r="AZ66" s="116" t="n">
        <v>0</v>
      </c>
      <c r="BA66" s="116" t="n">
        <v>0</v>
      </c>
      <c r="BB66" s="116" t="n">
        <v>0</v>
      </c>
      <c r="BC66" s="116" t="n">
        <v>0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</row>
    <row r="67">
      <c r="A67" s="674" t="inlineStr">
        <is>
          <t>AMOSTRA FACIAL VITAMINA C</t>
        </is>
      </c>
      <c r="B67" s="658" t="n"/>
      <c r="C67" s="658" t="n"/>
      <c r="D67" s="670" t="n"/>
      <c r="AH67" s="116" t="n">
        <v>0</v>
      </c>
      <c r="AI67" s="116" t="n">
        <v>50</v>
      </c>
      <c r="AJ67" s="116" t="n">
        <v>50</v>
      </c>
      <c r="AK67" s="116" t="n">
        <v>50</v>
      </c>
      <c r="AL67" s="116" t="n">
        <v>50</v>
      </c>
      <c r="AM67" s="116" t="n">
        <v>50</v>
      </c>
      <c r="AN67" s="116" t="n">
        <v>50</v>
      </c>
      <c r="AO67" s="116" t="n">
        <v>50</v>
      </c>
      <c r="AP67" s="116" t="n">
        <v>22</v>
      </c>
      <c r="AQ67" s="116" t="n">
        <v>19</v>
      </c>
      <c r="AR67" s="116" t="n">
        <v>0</v>
      </c>
      <c r="AS67" s="116" t="n">
        <v>0</v>
      </c>
      <c r="AT67" s="116" t="n">
        <v>0</v>
      </c>
      <c r="AU67" s="116" t="n">
        <v>0</v>
      </c>
      <c r="AV67" s="116" t="n">
        <v>0</v>
      </c>
      <c r="AW67" s="116" t="n">
        <v>0</v>
      </c>
      <c r="AX67" s="116" t="n">
        <v>0</v>
      </c>
      <c r="AY67" s="116" t="n">
        <v>0</v>
      </c>
      <c r="AZ67" s="116" t="n">
        <v>0</v>
      </c>
      <c r="BA67" s="116" t="n">
        <v>0</v>
      </c>
      <c r="BB67" s="116" t="n">
        <v>0</v>
      </c>
      <c r="BC67" s="116" t="n">
        <v>0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</row>
    <row r="68">
      <c r="A68" s="674" t="inlineStr">
        <is>
          <t>AMOURUDA</t>
        </is>
      </c>
      <c r="B68" s="658" t="n"/>
      <c r="C68" s="658" t="n"/>
      <c r="D68" s="670" t="n"/>
      <c r="AV68" s="116" t="n">
        <v>0</v>
      </c>
      <c r="AW68" s="116" t="n">
        <v>20</v>
      </c>
      <c r="AX68" s="116" t="n">
        <v>0</v>
      </c>
      <c r="AY68" s="116" t="n">
        <v>0</v>
      </c>
      <c r="AZ68" s="116" t="n">
        <v>0</v>
      </c>
      <c r="BA68" s="116" t="n">
        <v>0</v>
      </c>
      <c r="BB68" s="116" t="n">
        <v>0</v>
      </c>
      <c r="BC68" s="116" t="n">
        <v>0</v>
      </c>
      <c r="BD68" s="116" t="n">
        <v>0</v>
      </c>
      <c r="BE68" s="116" t="n">
        <v>0</v>
      </c>
      <c r="BF68" s="116" t="n">
        <v>0</v>
      </c>
      <c r="BG68" s="116" t="n">
        <v>0</v>
      </c>
      <c r="BH68" s="116" t="n">
        <v>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>
        <v>0</v>
      </c>
      <c r="BZ68" s="116" t="n"/>
      <c r="CA68" s="116" t="n"/>
    </row>
    <row r="69">
      <c r="A69" s="674" t="inlineStr">
        <is>
          <t>QUASAR</t>
        </is>
      </c>
      <c r="B69" s="658" t="n"/>
      <c r="C69" s="658" t="n"/>
      <c r="D69" s="670" t="n"/>
      <c r="AV69" s="116" t="n">
        <v>0</v>
      </c>
      <c r="AW69" s="116" t="n">
        <v>12</v>
      </c>
      <c r="AX69" s="116" t="n">
        <v>0</v>
      </c>
      <c r="AY69" s="116" t="n">
        <v>0</v>
      </c>
      <c r="AZ69" s="116" t="n">
        <v>0</v>
      </c>
      <c r="BA69" s="116" t="n">
        <v>0</v>
      </c>
      <c r="BB69" s="116" t="n">
        <v>0</v>
      </c>
      <c r="BC69" s="116" t="n">
        <v>0</v>
      </c>
      <c r="BD69" s="116" t="n">
        <v>0</v>
      </c>
      <c r="BE69" s="116" t="n">
        <v>0</v>
      </c>
      <c r="BF69" s="116" t="n">
        <v>0</v>
      </c>
      <c r="BG69" s="116" t="n">
        <v>0</v>
      </c>
      <c r="BH69" s="116" t="n">
        <v>0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>
        <v>0</v>
      </c>
      <c r="BZ69" s="116" t="n"/>
      <c r="CA69" s="116" t="n"/>
    </row>
    <row r="70">
      <c r="A70" s="674" t="inlineStr">
        <is>
          <t>PROTETOR SOLAR INFANTIL</t>
        </is>
      </c>
      <c r="B70" s="658" t="n"/>
      <c r="C70" s="658" t="n"/>
      <c r="D70" s="670" t="n"/>
      <c r="AV70" s="116" t="n">
        <v>0</v>
      </c>
      <c r="AW70" s="116" t="n">
        <v>22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</row>
  </sheetData>
  <mergeCells count="14">
    <mergeCell ref="A5:A6"/>
    <mergeCell ref="A70:D70"/>
    <mergeCell ref="A67:D67"/>
    <mergeCell ref="B3:D3"/>
    <mergeCell ref="GC7:GK7"/>
    <mergeCell ref="A69:D69"/>
    <mergeCell ref="A64:D64"/>
    <mergeCell ref="B2:D2"/>
    <mergeCell ref="A65:D65"/>
    <mergeCell ref="C5:C6"/>
    <mergeCell ref="B5:B6"/>
    <mergeCell ref="A68:D68"/>
    <mergeCell ref="A66:D66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</worksheet>
</file>

<file path=xl/worksheets/sheet9.xml><?xml version="1.0" encoding="utf-8"?>
<worksheet xmlns="http://schemas.openxmlformats.org/spreadsheetml/2006/main">
  <sheetPr codeName="Planilha6">
    <tabColor theme="9"/>
    <outlinePr summaryBelow="1" summaryRight="1"/>
    <pageSetUpPr/>
  </sheetPr>
  <dimension ref="A1:MO76"/>
  <sheetViews>
    <sheetView showGridLines="0" topLeftCell="A4" zoomScale="80" zoomScaleNormal="80" workbookViewId="0">
      <selection activeCell="CB1" sqref="CB1:CB1048576"/>
    </sheetView>
  </sheetViews>
  <sheetFormatPr baseColWidth="8" defaultColWidth="9.140625" defaultRowHeight="18.75"/>
  <cols>
    <col width="27.7109375" customWidth="1" min="1" max="1"/>
    <col width="10" customWidth="1" min="2" max="2"/>
    <col hidden="1" width="15.42578125" customWidth="1" min="3" max="3"/>
    <col width="14.7109375" customWidth="1" min="4" max="4"/>
    <col width="2.140625" customWidth="1" min="5" max="5"/>
    <col hidden="1" width="9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8.140625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14062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9.28515625" customWidth="1" min="84" max="84"/>
    <col width="1.85546875" customWidth="1" min="85" max="85"/>
    <col width="20.42578125" customWidth="1" min="86" max="86"/>
    <col width="16.28515625" customWidth="1" min="87" max="87"/>
    <col width="1.7109375" customWidth="1" min="88" max="88"/>
    <col width="15.85546875" customWidth="1" min="89" max="89"/>
    <col width="1.85546875" customWidth="1" min="90" max="90"/>
    <col width="8.140625" customWidth="1" min="91" max="91"/>
    <col width="13" customWidth="1" min="92" max="92"/>
    <col hidden="1" width="13" customWidth="1" min="93" max="93"/>
    <col hidden="1" width="13" customWidth="1" min="94" max="94"/>
    <col hidden="1" width="8.7109375" customWidth="1" min="95" max="95"/>
    <col hidden="1" width="8.140625" customWidth="1" min="96" max="96"/>
    <col hidden="1" width="8.140625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9.7109375" customWidth="1" min="108" max="108"/>
    <col hidden="1" width="13" customWidth="1" min="109" max="109"/>
    <col hidden="1" width="13.7109375" customWidth="1" min="110" max="110"/>
    <col hidden="1" width="9.7109375" customWidth="1" min="111" max="111"/>
    <col hidden="1" width="13" customWidth="1" min="112" max="112"/>
    <col hidden="1" width="13" customWidth="1" min="113" max="113"/>
    <col hidden="1" width="13" customWidth="1" min="114" max="114"/>
    <col hidden="1" width="8.7109375" customWidth="1" min="115" max="115"/>
    <col hidden="1" width="9.7109375" customWidth="1" min="116" max="116"/>
    <col hidden="1" width="13.85546875" customWidth="1" min="117" max="117"/>
    <col hidden="1" width="13" customWidth="1" min="118" max="118"/>
    <col hidden="1" width="9.7109375" customWidth="1" min="119" max="119"/>
    <col hidden="1" width="11.7109375" customWidth="1" min="120" max="120"/>
    <col hidden="1" width="9.7109375" customWidth="1" min="121" max="121"/>
    <col hidden="1" width="13" customWidth="1" min="122" max="122"/>
    <col hidden="1" width="12.28515625" customWidth="1" min="123" max="123"/>
    <col hidden="1" width="24.28515625" customWidth="1" min="124" max="124"/>
    <col hidden="1" width="12.28515625" customWidth="1" min="125" max="125"/>
    <col hidden="1" width="9.7109375" customWidth="1" min="126" max="126"/>
    <col hidden="1" width="13" customWidth="1" min="127" max="127"/>
    <col hidden="1" width="11" customWidth="1" min="128" max="128"/>
    <col hidden="1" width="9.7109375" customWidth="1" min="129" max="129"/>
    <col hidden="1" width="13.7109375" customWidth="1" min="130" max="130"/>
    <col hidden="1" width="23" customWidth="1" min="131" max="131"/>
    <col hidden="1" width="9.7109375" customWidth="1" min="132" max="132"/>
    <col hidden="1" width="13" customWidth="1" min="133" max="133"/>
    <col hidden="1" width="13" customWidth="1" min="134" max="134"/>
    <col hidden="1" width="13" customWidth="1" min="135" max="135"/>
    <col hidden="1" width="17.5703125" customWidth="1" min="136" max="136"/>
    <col hidden="1" width="8.7109375" customWidth="1" min="137" max="137"/>
    <col hidden="1" width="9.7109375" customWidth="1" min="138" max="138"/>
    <col hidden="1" width="13" customWidth="1" min="139" max="139"/>
    <col hidden="1" width="14.28515625" customWidth="1" min="140" max="140"/>
    <col hidden="1" width="9.7109375" customWidth="1" min="141" max="141"/>
    <col hidden="1" width="13" customWidth="1" min="142" max="142"/>
    <col hidden="1" width="13.5703125" customWidth="1" min="143" max="143"/>
    <col hidden="1" width="13.5703125" customWidth="1" min="144" max="144"/>
    <col hidden="1" width="18" customWidth="1" min="145" max="145"/>
    <col hidden="1" width="9.7109375" customWidth="1" min="146" max="146"/>
    <col hidden="1" width="18" customWidth="1" min="147" max="147"/>
    <col hidden="1" width="9.7109375" customWidth="1" min="148" max="148"/>
    <col hidden="1" width="13.28515625" customWidth="1" min="149" max="149"/>
    <col hidden="1" width="13" customWidth="1" min="150" max="150"/>
    <col hidden="1" width="14" customWidth="1" min="151" max="151"/>
    <col hidden="1" width="9.7109375" customWidth="1" min="152" max="152"/>
    <col hidden="1" width="13" customWidth="1" min="153" max="153"/>
    <col hidden="1" width="13" customWidth="1" min="154" max="154"/>
    <col hidden="1" width="13" customWidth="1" min="155" max="155"/>
    <col hidden="1" width="13" customWidth="1" min="156" max="156"/>
    <col hidden="1" width="13" customWidth="1" min="157" max="157"/>
    <col hidden="1" width="12" customWidth="1" min="158" max="158"/>
    <col hidden="1" width="9.7109375" customWidth="1" min="159" max="159"/>
    <col hidden="1" width="13" customWidth="1" min="160" max="160"/>
    <col hidden="1" width="15" customWidth="1" min="161" max="161"/>
    <col hidden="1" width="9.7109375" customWidth="1" min="162" max="162"/>
    <col hidden="1" width="13" customWidth="1" min="163" max="163"/>
    <col hidden="1" width="13" customWidth="1" min="164" max="164"/>
    <col hidden="1" width="13" customWidth="1" min="165" max="165"/>
    <col hidden="1" width="13" customWidth="1" min="166" max="166"/>
    <col hidden="1" width="13" customWidth="1" min="167" max="167"/>
    <col hidden="1" width="22.85546875" customWidth="1" min="168" max="168"/>
    <col hidden="1" width="9.7109375" customWidth="1" min="169" max="169"/>
    <col hidden="1" width="15.140625" customWidth="1" min="170" max="170"/>
    <col hidden="1" width="9.7109375" customWidth="1" min="171" max="171"/>
    <col width="4.7109375" customWidth="1" min="172" max="172"/>
    <col width="21.85546875" customWidth="1" min="173" max="173"/>
    <col width="9.140625" customWidth="1" min="174" max="174"/>
    <col hidden="1" width="13" customWidth="1" min="175" max="175"/>
    <col hidden="1" width="13" customWidth="1" min="176" max="176"/>
    <col hidden="1" width="13" customWidth="1" min="177" max="177"/>
    <col hidden="1" width="13" customWidth="1" min="178" max="178"/>
    <col hidden="1" width="13" customWidth="1" min="179" max="179"/>
    <col hidden="1" width="9.140625" customWidth="1" min="180" max="180"/>
    <col hidden="1" width="13" customWidth="1" min="181" max="181"/>
    <col hidden="1" width="13" customWidth="1" min="182" max="182"/>
    <col hidden="1" width="13" customWidth="1" min="183" max="183"/>
    <col hidden="1" width="13" customWidth="1" min="184" max="184"/>
    <col width="13" customWidth="1" min="185" max="185"/>
    <col width="13" customWidth="1" min="186" max="186"/>
    <col width="3.7109375" customWidth="1" min="188" max="188"/>
    <col width="9.140625" customWidth="1" min="189" max="189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284" t="n"/>
      <c r="EV1" s="74" t="n"/>
      <c r="EW1" s="74" t="n"/>
      <c r="EX1" s="74" t="n"/>
      <c r="EY1" s="74" t="n"/>
      <c r="EZ1" s="74" t="n"/>
      <c r="FA1" s="74" t="n"/>
      <c r="FB1" s="28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</row>
    <row r="2">
      <c r="A2" s="50" t="inlineStr">
        <is>
          <t>LOJA:</t>
        </is>
      </c>
      <c r="B2" s="639" t="inlineStr">
        <is>
          <t>TUPI</t>
        </is>
      </c>
      <c r="C2" s="640" t="n"/>
      <c r="D2" s="641" t="n"/>
      <c r="CH2" s="6" t="n"/>
      <c r="CI2" s="6" t="n"/>
      <c r="CJ2" s="6" t="n"/>
      <c r="CK2" s="6" t="n"/>
      <c r="CL2" s="6" t="n"/>
      <c r="CM2" s="6" t="n"/>
      <c r="CN2" s="6" t="n"/>
      <c r="CO2" s="6" t="n"/>
      <c r="CP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G2" s="6" t="n"/>
      <c r="DH2" s="6" t="n"/>
      <c r="DI2" s="6" t="n"/>
      <c r="DJ2" s="6" t="n"/>
      <c r="DL2" s="6" t="n"/>
      <c r="DM2" s="6" t="n"/>
      <c r="DN2" s="6" t="n"/>
      <c r="DO2" s="6" t="n"/>
      <c r="DP2" s="6" t="n"/>
      <c r="DQ2" s="6" t="n"/>
      <c r="DR2" s="6" t="n"/>
      <c r="DT2" s="6" t="n"/>
      <c r="DV2" s="6" t="n"/>
      <c r="DW2" s="6" t="n"/>
      <c r="DX2" s="6" t="n"/>
      <c r="DY2" s="6" t="n"/>
      <c r="EB2" s="6" t="n"/>
      <c r="EC2" s="6" t="n"/>
      <c r="ED2" s="6" t="n"/>
      <c r="EE2" s="6" t="n"/>
      <c r="EH2" s="6" t="n"/>
      <c r="EI2" s="6" t="n"/>
      <c r="EJ2" s="6" t="n"/>
      <c r="EK2" s="6" t="n"/>
      <c r="EL2" s="6" t="n"/>
      <c r="EM2" s="269" t="n"/>
      <c r="EN2" s="6" t="n"/>
      <c r="EO2" s="6" t="n"/>
      <c r="EP2" s="6" t="n"/>
      <c r="EQ2" s="6" t="n"/>
      <c r="ER2" s="6" t="n"/>
      <c r="ES2" s="6" t="n"/>
      <c r="ET2" s="6" t="n"/>
      <c r="EV2" s="6" t="n"/>
      <c r="EW2" s="6" t="n"/>
      <c r="EX2" s="6" t="n"/>
      <c r="EY2" s="6" t="n"/>
      <c r="EZ2" s="6" t="n"/>
      <c r="FA2" s="6" t="n"/>
      <c r="FC2" s="6" t="n"/>
      <c r="FD2" s="6" t="n"/>
      <c r="FE2" s="6" t="n"/>
      <c r="FF2" s="6" t="n"/>
      <c r="FG2" s="6" t="n"/>
      <c r="FH2" s="6" t="n"/>
      <c r="FI2" s="6" t="n"/>
      <c r="FJ2" s="6" t="n"/>
      <c r="FK2" s="6" t="n"/>
      <c r="FM2" s="6" t="n"/>
      <c r="FN2" s="6" t="n"/>
      <c r="FO2" s="6" t="n"/>
    </row>
    <row r="3">
      <c r="A3" s="50" t="inlineStr">
        <is>
          <t>Responsável:</t>
        </is>
      </c>
      <c r="B3" s="253" t="inlineStr">
        <is>
          <t>FLÁVIA/BEATRIZ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5" t="n"/>
      <c r="CD3" s="675" t="n"/>
      <c r="CE3" s="675" t="n"/>
      <c r="CF3" s="642" t="n"/>
      <c r="CG3" s="642" t="n"/>
      <c r="CH3" s="642" t="n"/>
      <c r="CI3" s="642" t="n"/>
      <c r="CJ3" s="642" t="n"/>
      <c r="CL3" s="642" t="n"/>
      <c r="CM3" s="642" t="n"/>
      <c r="CN3" s="642" t="n"/>
      <c r="CO3" s="642" t="n"/>
      <c r="CP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B3" s="642" t="n"/>
      <c r="DC3" s="642" t="n"/>
      <c r="DD3" s="642" t="n"/>
      <c r="DE3" s="642" t="n"/>
      <c r="DG3" s="642" t="n"/>
      <c r="DH3" s="642" t="n"/>
      <c r="DI3" s="642" t="n"/>
      <c r="DJ3" s="642" t="n"/>
      <c r="DL3" s="642" t="n"/>
      <c r="DM3" s="642" t="n"/>
      <c r="DN3" s="642" t="n"/>
      <c r="DO3" s="642" t="n"/>
      <c r="DP3" s="642" t="n"/>
      <c r="DQ3" s="642" t="n"/>
      <c r="DR3" s="642" t="n"/>
      <c r="DT3" s="642" t="n"/>
      <c r="DV3" s="642" t="n"/>
      <c r="DW3" s="642" t="n"/>
      <c r="DX3" s="642" t="n"/>
      <c r="DY3" s="642" t="n"/>
      <c r="EB3" s="642" t="n"/>
      <c r="EC3" s="642" t="n"/>
      <c r="ED3" s="642" t="n"/>
      <c r="EE3" s="642" t="n"/>
      <c r="EH3" s="642" t="n"/>
      <c r="EI3" s="642" t="n"/>
      <c r="EJ3" s="642" t="n"/>
      <c r="EK3" s="642" t="n"/>
      <c r="EL3" s="642" t="n"/>
      <c r="EM3" s="676" t="n"/>
      <c r="EN3" s="642" t="n"/>
      <c r="EO3" s="642" t="n"/>
      <c r="EP3" s="642" t="n"/>
      <c r="EQ3" s="642" t="n"/>
      <c r="ER3" s="642" t="n"/>
      <c r="ES3" s="642" t="n"/>
      <c r="ET3" s="642" t="n"/>
      <c r="EV3" s="642" t="n"/>
      <c r="EW3" s="642" t="n"/>
      <c r="EX3" s="642" t="n"/>
      <c r="EY3" s="642" t="n"/>
      <c r="EZ3" s="642" t="n"/>
      <c r="FA3" s="642" t="n"/>
      <c r="FC3" s="642" t="n"/>
      <c r="FD3" s="642" t="n"/>
      <c r="FE3" s="642" t="n"/>
      <c r="FF3" s="642" t="n"/>
      <c r="FG3" s="642" t="n"/>
      <c r="FH3" s="642" t="n"/>
      <c r="FI3" s="642" t="n"/>
      <c r="FJ3" s="642" t="n"/>
      <c r="FK3" s="642" t="n"/>
      <c r="FM3" s="642" t="n"/>
      <c r="FN3" s="642" t="n"/>
      <c r="FO3" s="642" t="n"/>
    </row>
    <row r="4">
      <c r="CH4" s="6" t="n"/>
      <c r="CI4" s="6" t="n"/>
      <c r="CJ4" s="6" t="n"/>
      <c r="CK4" s="6" t="n"/>
      <c r="CL4" s="6" t="n"/>
      <c r="CM4" s="6" t="n"/>
      <c r="CN4" s="6" t="n"/>
      <c r="CO4" s="6" t="n"/>
      <c r="CP4" s="6" t="n"/>
      <c r="CQ4" s="254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254" t="n"/>
      <c r="DG4" s="6" t="n"/>
      <c r="DH4" s="6" t="n"/>
      <c r="DI4" s="6" t="n"/>
      <c r="DJ4" s="6" t="n"/>
      <c r="DK4" s="254" t="n"/>
      <c r="DL4" s="6" t="n"/>
      <c r="DM4" s="6" t="n"/>
      <c r="DN4" s="6" t="n"/>
      <c r="DO4" s="6" t="n"/>
      <c r="DP4" s="6" t="n"/>
      <c r="DQ4" s="6" t="n"/>
      <c r="DR4" s="6" t="n"/>
      <c r="DS4" s="254" t="n"/>
      <c r="DT4" s="6" t="n"/>
      <c r="DU4" s="254" t="n"/>
      <c r="DV4" s="6" t="n"/>
      <c r="DW4" s="6" t="n"/>
      <c r="DX4" s="6" t="n"/>
      <c r="DY4" s="6" t="n"/>
      <c r="DZ4" s="254" t="n"/>
      <c r="EA4" s="254" t="n"/>
      <c r="EB4" s="6" t="n"/>
      <c r="EC4" s="6" t="n"/>
      <c r="ED4" s="6" t="n"/>
      <c r="EE4" s="6" t="n"/>
      <c r="EF4" s="254" t="n"/>
      <c r="EG4" s="254" t="n"/>
      <c r="EH4" s="6" t="n"/>
      <c r="EI4" s="6" t="n"/>
      <c r="EJ4" s="6" t="n"/>
      <c r="EK4" s="6" t="n"/>
      <c r="EL4" s="6" t="n"/>
      <c r="EM4" s="269" t="n"/>
      <c r="EN4" s="6" t="n"/>
      <c r="EO4" s="6" t="n"/>
      <c r="EP4" s="6" t="n"/>
      <c r="EQ4" s="6" t="n"/>
      <c r="ER4" s="6" t="n"/>
      <c r="ES4" s="6" t="n"/>
      <c r="ET4" s="6" t="n"/>
      <c r="EU4" s="286" t="n"/>
      <c r="EV4" s="6" t="n"/>
      <c r="EW4" s="6" t="n"/>
      <c r="EX4" s="6" t="n"/>
      <c r="EY4" s="6" t="n"/>
      <c r="EZ4" s="6" t="n"/>
      <c r="FA4" s="6" t="n"/>
      <c r="FB4" s="286" t="n"/>
      <c r="FC4" s="6" t="n"/>
      <c r="FD4" s="6" t="n"/>
      <c r="FE4" s="6" t="n"/>
      <c r="FF4" s="6" t="n"/>
      <c r="FG4" s="6" t="n"/>
      <c r="FH4" s="6" t="n"/>
      <c r="FI4" s="6" t="n"/>
      <c r="FJ4" s="6" t="n"/>
      <c r="FK4" s="6" t="n"/>
      <c r="FL4" s="254" t="n"/>
      <c r="FM4" s="6" t="n"/>
      <c r="FN4" s="6" t="n"/>
      <c r="FO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510" t="n"/>
      <c r="CF5" s="153" t="n"/>
      <c r="CH5" s="413" t="inlineStr">
        <is>
          <t>TRANSFERÊNCIA</t>
        </is>
      </c>
      <c r="CI5" s="35" t="inlineStr">
        <is>
          <t>Pendências</t>
        </is>
      </c>
      <c r="CJ5" s="6" t="n"/>
      <c r="CK5" s="12" t="inlineStr">
        <is>
          <t>Novo Pedido</t>
        </is>
      </c>
      <c r="CL5" s="677" t="n">
        <v>46161.482866455</v>
      </c>
      <c r="CM5" s="646" t="n">
        <v>46156</v>
      </c>
      <c r="CN5" s="646" t="n">
        <v>46149</v>
      </c>
      <c r="CO5" s="646" t="n">
        <v>46142</v>
      </c>
      <c r="CP5" s="646" t="n">
        <v>46114</v>
      </c>
      <c r="CQ5" s="647" t="n">
        <v>46065</v>
      </c>
      <c r="CR5" s="646" t="n">
        <v>46092</v>
      </c>
      <c r="CS5" s="646" t="n">
        <v>46071</v>
      </c>
      <c r="CT5" s="646" t="n">
        <v>46056</v>
      </c>
      <c r="CU5" s="646" t="n">
        <v>46043</v>
      </c>
      <c r="CV5" s="646" t="n">
        <v>46035</v>
      </c>
      <c r="CW5" s="646" t="n">
        <v>46029</v>
      </c>
      <c r="CX5" s="646" t="n">
        <v>46017</v>
      </c>
      <c r="CY5" s="646" t="n">
        <v>46007</v>
      </c>
      <c r="CZ5" s="646" t="n">
        <v>46001</v>
      </c>
      <c r="DA5" s="646" t="n">
        <v>45994</v>
      </c>
      <c r="DB5" s="646" t="n">
        <v>45980</v>
      </c>
      <c r="DC5" s="646" t="n">
        <v>45973</v>
      </c>
      <c r="DD5" s="646" t="n">
        <v>45960</v>
      </c>
      <c r="DE5" s="646" t="n">
        <v>45951</v>
      </c>
      <c r="DF5" s="678" t="inlineStr">
        <is>
          <t>TRANSF.</t>
        </is>
      </c>
      <c r="DG5" s="646" t="n">
        <v>45945</v>
      </c>
      <c r="DH5" s="646" t="n">
        <v>45937</v>
      </c>
      <c r="DI5" s="646" t="n">
        <v>45931</v>
      </c>
      <c r="DJ5" s="646" t="n">
        <v>45923</v>
      </c>
      <c r="DK5" s="678" t="n">
        <v>45903</v>
      </c>
      <c r="DL5" s="646" t="n">
        <v>45923</v>
      </c>
      <c r="DM5" s="679" t="inlineStr">
        <is>
          <t>TRANSF.</t>
        </is>
      </c>
      <c r="DN5" s="679" t="inlineStr">
        <is>
          <t>TRANSF.</t>
        </is>
      </c>
      <c r="DO5" s="646" t="n">
        <v>45915</v>
      </c>
      <c r="DP5" s="648" t="inlineStr">
        <is>
          <t>TRANSF.</t>
        </is>
      </c>
      <c r="DQ5" s="646" t="n">
        <v>45909</v>
      </c>
      <c r="DR5" s="646" t="n">
        <v>45895</v>
      </c>
      <c r="DS5" s="681" t="inlineStr">
        <is>
          <t>TRANSF.</t>
        </is>
      </c>
      <c r="DT5" s="680" t="inlineStr">
        <is>
          <t>TRANSF. DISNEY/24</t>
        </is>
      </c>
      <c r="DU5" s="681" t="inlineStr">
        <is>
          <t>TRANSF.</t>
        </is>
      </c>
      <c r="DV5" s="646" t="n">
        <v>45888</v>
      </c>
      <c r="DW5" s="646" t="n">
        <v>45881</v>
      </c>
      <c r="DX5" s="648" t="inlineStr">
        <is>
          <t>TRANSF.</t>
        </is>
      </c>
      <c r="DY5" s="646" t="n">
        <v>45874</v>
      </c>
      <c r="DZ5" s="681" t="inlineStr">
        <is>
          <t>TRANSF.</t>
        </is>
      </c>
      <c r="EA5" s="682" t="inlineStr">
        <is>
          <t>TRANSF. DORAMA</t>
        </is>
      </c>
      <c r="EB5" s="646" t="n">
        <v>45860</v>
      </c>
      <c r="EC5" s="646" t="n">
        <v>45859</v>
      </c>
      <c r="ED5" s="646" t="n">
        <v>45839</v>
      </c>
      <c r="EE5" s="646" t="n">
        <v>45832</v>
      </c>
      <c r="EF5" s="681" t="inlineStr">
        <is>
          <t>AUTOMÁTICO</t>
        </is>
      </c>
      <c r="EG5" s="681" t="n">
        <v>45791</v>
      </c>
      <c r="EH5" s="646" t="n">
        <v>45825</v>
      </c>
      <c r="EI5" s="646" t="n">
        <v>45813</v>
      </c>
      <c r="EJ5" s="648" t="inlineStr">
        <is>
          <t>TRANSF.</t>
        </is>
      </c>
      <c r="EK5" s="646" t="n">
        <v>45805</v>
      </c>
      <c r="EL5" s="646" t="n">
        <v>45798</v>
      </c>
      <c r="EM5" s="648" t="inlineStr">
        <is>
          <t>TRANSF.</t>
        </is>
      </c>
      <c r="EN5" s="683" t="inlineStr">
        <is>
          <t>TRANSF.</t>
        </is>
      </c>
      <c r="EO5" s="648" t="inlineStr">
        <is>
          <t>TRANSF.</t>
        </is>
      </c>
      <c r="EP5" s="646" t="n">
        <v>45790</v>
      </c>
      <c r="EQ5" s="648" t="inlineStr">
        <is>
          <t>TRANSF.</t>
        </is>
      </c>
      <c r="ER5" s="683" t="n">
        <v>45735</v>
      </c>
      <c r="ES5" s="648" t="inlineStr">
        <is>
          <t>TRANSF.</t>
        </is>
      </c>
      <c r="ET5" s="648" t="inlineStr">
        <is>
          <t>TRANSF.</t>
        </is>
      </c>
      <c r="EU5" s="684" t="inlineStr">
        <is>
          <t>TRANSF.</t>
        </is>
      </c>
      <c r="EV5" s="646" t="n">
        <v>45770</v>
      </c>
      <c r="EW5" s="646" t="n">
        <v>45756</v>
      </c>
      <c r="EX5" s="646" t="n">
        <v>45749</v>
      </c>
      <c r="EY5" s="646" t="n">
        <v>45743</v>
      </c>
      <c r="EZ5" s="646" t="n">
        <v>45734</v>
      </c>
      <c r="FA5" s="646" t="n">
        <v>45728</v>
      </c>
      <c r="FB5" s="684" t="n">
        <v>45700</v>
      </c>
      <c r="FC5" s="646" t="n">
        <v>45722</v>
      </c>
      <c r="FD5" s="646" t="n">
        <v>45714</v>
      </c>
      <c r="FE5" s="648" t="inlineStr">
        <is>
          <t>TRANSF.</t>
        </is>
      </c>
      <c r="FF5" s="646" t="n">
        <v>45706</v>
      </c>
      <c r="FG5" s="646" t="n">
        <v>45699</v>
      </c>
      <c r="FH5" s="646" t="n">
        <v>45693</v>
      </c>
      <c r="FI5" s="646" t="n">
        <v>45685</v>
      </c>
      <c r="FJ5" s="646" t="n">
        <v>45674</v>
      </c>
      <c r="FK5" s="646" t="n">
        <v>45664</v>
      </c>
      <c r="FL5" s="685" t="inlineStr">
        <is>
          <t>TRANSF. NATAL/24</t>
        </is>
      </c>
      <c r="FM5" s="646" t="n">
        <v>45660</v>
      </c>
      <c r="FN5" s="655" t="inlineStr">
        <is>
          <t>TRANSF.</t>
        </is>
      </c>
      <c r="FO5" s="646" t="n">
        <v>45652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46161.48002969907</v>
      </c>
      <c r="CD6" s="651" t="n">
        <v>46161.4807094213</v>
      </c>
      <c r="CE6" s="651" t="n">
        <v>46161.48286777209</v>
      </c>
      <c r="CF6" s="652" t="inlineStr">
        <is>
          <t>USOU</t>
        </is>
      </c>
      <c r="CG6" s="54" t="n"/>
      <c r="CH6" s="414" t="inlineStr">
        <is>
          <t>SUGESTÃO</t>
        </is>
      </c>
      <c r="CI6" s="214" t="n">
        <v>46156</v>
      </c>
      <c r="CJ6" s="653" t="n"/>
      <c r="CK6" s="656" t="n"/>
      <c r="CL6" s="654" t="n"/>
      <c r="CM6" s="654" t="n"/>
      <c r="CN6" s="654" t="n">
        <v>46154</v>
      </c>
      <c r="CO6" s="654" t="n">
        <v>46148</v>
      </c>
      <c r="CP6" s="654" t="n">
        <v>46121</v>
      </c>
      <c r="CQ6" s="647" t="n">
        <v>46107</v>
      </c>
      <c r="CR6" s="654" t="n">
        <v>46097</v>
      </c>
      <c r="CS6" s="654" t="n">
        <v>46073</v>
      </c>
      <c r="CT6" s="654" t="n">
        <v>46057</v>
      </c>
      <c r="CU6" s="654" t="n">
        <v>46049</v>
      </c>
      <c r="CV6" s="654" t="n">
        <v>46039</v>
      </c>
      <c r="CW6" s="654" t="n">
        <v>46036</v>
      </c>
      <c r="CX6" s="654" t="n">
        <v>46030</v>
      </c>
      <c r="CY6" s="654" t="n">
        <v>46379</v>
      </c>
      <c r="CZ6" s="654" t="n">
        <v>46009</v>
      </c>
      <c r="DA6" s="654" t="n">
        <v>46001</v>
      </c>
      <c r="DB6" s="654" t="n">
        <v>45989</v>
      </c>
      <c r="DC6" s="654" t="n">
        <v>45979</v>
      </c>
      <c r="DD6" s="654" t="n">
        <v>45965</v>
      </c>
      <c r="DE6" s="654" t="n">
        <v>45958</v>
      </c>
      <c r="DF6" s="687" t="n">
        <v>45952</v>
      </c>
      <c r="DG6" s="654" t="n">
        <v>45952</v>
      </c>
      <c r="DH6" s="654" t="n">
        <v>45946</v>
      </c>
      <c r="DI6" s="654" t="n">
        <v>45940</v>
      </c>
      <c r="DJ6" s="654" t="n">
        <v>45940</v>
      </c>
      <c r="DK6" s="687" t="n">
        <v>45932</v>
      </c>
      <c r="DL6" s="654" t="n">
        <v>45927</v>
      </c>
      <c r="DM6" s="688" t="n">
        <v>45925</v>
      </c>
      <c r="DN6" s="688" t="n">
        <v>45924</v>
      </c>
      <c r="DO6" s="654" t="n">
        <v>45925</v>
      </c>
      <c r="DP6" s="655" t="n">
        <v>45913</v>
      </c>
      <c r="DQ6" s="654" t="n">
        <v>45913</v>
      </c>
      <c r="DR6" s="654" t="n">
        <v>45904</v>
      </c>
      <c r="DS6" s="681" t="n">
        <v>45897</v>
      </c>
      <c r="DT6" s="689" t="n">
        <v>45897</v>
      </c>
      <c r="DU6" s="681" t="n">
        <v>45896</v>
      </c>
      <c r="DV6" s="654" t="n">
        <v>45892</v>
      </c>
      <c r="DW6" s="654" t="n">
        <v>45888</v>
      </c>
      <c r="DX6" s="655" t="n">
        <v>45885</v>
      </c>
      <c r="DY6" s="654" t="n">
        <v>45877</v>
      </c>
      <c r="DZ6" s="681" t="n">
        <v>45867</v>
      </c>
      <c r="EA6" s="682" t="n">
        <v>45866</v>
      </c>
      <c r="EB6" s="654" t="n">
        <v>45864</v>
      </c>
      <c r="EC6" s="654" t="n">
        <v>45855</v>
      </c>
      <c r="ED6" s="654" t="n">
        <v>45845</v>
      </c>
      <c r="EE6" s="654" t="n">
        <v>45838</v>
      </c>
      <c r="EF6" s="681" t="n">
        <v>45838</v>
      </c>
      <c r="EG6" s="681" t="n">
        <v>45836</v>
      </c>
      <c r="EH6" s="654" t="n">
        <v>45831</v>
      </c>
      <c r="EI6" s="654" t="n">
        <v>45821</v>
      </c>
      <c r="EJ6" s="655" t="n">
        <v>45820</v>
      </c>
      <c r="EK6" s="654" t="n">
        <v>45810</v>
      </c>
      <c r="EL6" s="654" t="n">
        <v>45800</v>
      </c>
      <c r="EM6" s="655" t="n">
        <v>45798</v>
      </c>
      <c r="EN6" s="690" t="n">
        <v>45798</v>
      </c>
      <c r="EO6" s="655" t="n">
        <v>45797</v>
      </c>
      <c r="EP6" s="654" t="n">
        <v>45793</v>
      </c>
      <c r="EQ6" s="655" t="n">
        <v>45794</v>
      </c>
      <c r="ER6" s="690" t="n">
        <v>45790</v>
      </c>
      <c r="ES6" s="655" t="n">
        <v>45790</v>
      </c>
      <c r="ET6" s="655" t="n">
        <v>45785</v>
      </c>
      <c r="EU6" s="684" t="n">
        <v>45785</v>
      </c>
      <c r="EV6" s="654" t="n">
        <v>45777</v>
      </c>
      <c r="EW6" s="654" t="n">
        <v>45772</v>
      </c>
      <c r="EX6" s="654" t="n">
        <v>45756</v>
      </c>
      <c r="EY6" s="654" t="n">
        <v>45750</v>
      </c>
      <c r="EZ6" s="654" t="n">
        <v>45747</v>
      </c>
      <c r="FA6" s="654" t="n">
        <v>45735</v>
      </c>
      <c r="FB6" s="684" t="n">
        <v>45734</v>
      </c>
      <c r="FC6" s="654" t="n">
        <v>45727</v>
      </c>
      <c r="FD6" s="654" t="n">
        <v>45721</v>
      </c>
      <c r="FE6" s="655" t="n">
        <v>45721</v>
      </c>
      <c r="FF6" s="654" t="n">
        <v>45716</v>
      </c>
      <c r="FG6" s="654" t="n">
        <v>45707</v>
      </c>
      <c r="FH6" s="654" t="n">
        <v>45701</v>
      </c>
      <c r="FI6" s="654" t="n">
        <v>45688</v>
      </c>
      <c r="FJ6" s="654" t="n">
        <v>45678</v>
      </c>
      <c r="FK6" s="654" t="n">
        <v>45672</v>
      </c>
      <c r="FL6" s="685" t="n">
        <v>45670</v>
      </c>
      <c r="FM6" s="654" t="n">
        <v>45667</v>
      </c>
      <c r="FN6" s="655" t="n">
        <v>45661</v>
      </c>
      <c r="FO6" s="654" t="n">
        <v>45660</v>
      </c>
      <c r="FQ6" s="6" t="n"/>
      <c r="FR6" s="6" t="n"/>
      <c r="FS6" s="6" t="n"/>
      <c r="FT6" s="6" t="n"/>
      <c r="FU6" s="6" t="n"/>
      <c r="FV6" s="6" t="n"/>
      <c r="FW6" s="6" t="n"/>
      <c r="FX6" s="6" t="n"/>
      <c r="FY6" s="6" t="n"/>
      <c r="FZ6" s="6" t="n"/>
      <c r="GA6" s="6" t="n"/>
      <c r="GB6" s="6" t="n"/>
      <c r="GC6" s="6" t="n"/>
      <c r="GD6" s="6" t="n"/>
      <c r="GE6" s="6" t="n"/>
    </row>
    <row r="7" ht="18.75" customFormat="1" customHeight="1" s="3">
      <c r="A7" s="28" t="inlineStr">
        <is>
          <t>SACOLAS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575" t="n"/>
      <c r="CG7" s="6" t="n"/>
      <c r="CH7" s="89" t="n"/>
      <c r="CI7" s="89" t="n"/>
      <c r="CK7" s="575" t="n"/>
      <c r="CL7" s="283" t="n"/>
      <c r="CM7" s="283" t="n"/>
      <c r="CN7" s="283" t="n"/>
      <c r="CO7" s="283" t="n"/>
      <c r="CP7" s="283" t="n"/>
      <c r="CQ7" s="575" t="inlineStr">
        <is>
          <t>MÃES</t>
        </is>
      </c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575" t="n"/>
      <c r="DG7" s="283" t="n"/>
      <c r="DH7" s="283" t="n"/>
      <c r="DI7" s="283" t="n"/>
      <c r="DJ7" s="283" t="n"/>
      <c r="DK7" s="575" t="n"/>
      <c r="DL7" s="283" t="n"/>
      <c r="DM7" s="575" t="n"/>
      <c r="DN7" s="575" t="n"/>
      <c r="DO7" s="283" t="n"/>
      <c r="DP7" s="283" t="n"/>
      <c r="DQ7" s="283" t="n"/>
      <c r="DR7" s="283" t="n"/>
      <c r="DS7" s="575" t="inlineStr">
        <is>
          <t>PAIS/25</t>
        </is>
      </c>
      <c r="DT7" s="575" t="n"/>
      <c r="DU7" s="575" t="inlineStr">
        <is>
          <t>PAIS/25</t>
        </is>
      </c>
      <c r="DV7" s="283" t="n"/>
      <c r="DW7" s="283" t="n"/>
      <c r="DX7" s="283" t="n"/>
      <c r="DY7" s="283" t="n"/>
      <c r="DZ7" s="575" t="inlineStr">
        <is>
          <t>PAIS/25</t>
        </is>
      </c>
      <c r="EA7" s="575" t="n"/>
      <c r="EB7" s="283" t="n"/>
      <c r="EC7" s="283" t="n"/>
      <c r="ED7" s="283" t="n"/>
      <c r="EE7" s="283" t="n"/>
      <c r="EF7" s="575" t="n"/>
      <c r="EG7" s="575" t="n"/>
      <c r="EH7" s="283" t="n"/>
      <c r="EI7" s="283" t="n"/>
      <c r="EJ7" s="283" t="n"/>
      <c r="EK7" s="283" t="n"/>
      <c r="EL7" s="283" t="n"/>
      <c r="EM7" s="575" t="n"/>
      <c r="EN7" s="575" t="inlineStr">
        <is>
          <t>NAMO/25</t>
        </is>
      </c>
      <c r="EO7" s="575" t="n"/>
      <c r="EP7" s="283" t="n"/>
      <c r="EQ7" s="575" t="n"/>
      <c r="ER7" s="283" t="n"/>
      <c r="ES7" s="575" t="n"/>
      <c r="ET7" s="575" t="n"/>
      <c r="EU7" s="575" t="inlineStr">
        <is>
          <t>MÃES/25</t>
        </is>
      </c>
      <c r="EV7" s="283" t="n"/>
      <c r="EW7" s="283" t="n"/>
      <c r="EX7" s="283" t="n"/>
      <c r="EY7" s="283" t="n"/>
      <c r="EZ7" s="283" t="n"/>
      <c r="FA7" s="575" t="n"/>
      <c r="FB7" s="575" t="inlineStr">
        <is>
          <t>MÃES/25</t>
        </is>
      </c>
      <c r="FC7" s="575" t="n"/>
      <c r="FD7" s="575" t="n"/>
      <c r="FE7" s="575" t="n"/>
      <c r="FF7" s="575" t="n"/>
      <c r="FG7" s="575" t="n"/>
      <c r="FH7" s="575" t="n"/>
      <c r="FI7" s="575" t="n"/>
      <c r="FJ7" s="575" t="n"/>
      <c r="FK7" s="575" t="n"/>
      <c r="FL7" s="575" t="n"/>
      <c r="FM7" s="575" t="n"/>
      <c r="FN7" s="575" t="n"/>
      <c r="FO7" s="575" t="n"/>
      <c r="FP7" s="658" t="n"/>
      <c r="FQ7" s="658" t="n"/>
      <c r="FR7" s="658" t="n"/>
      <c r="FS7" s="658" t="n"/>
      <c r="FT7" s="658" t="n"/>
      <c r="FU7" s="658" t="n"/>
      <c r="FV7" s="658" t="n"/>
      <c r="FW7" s="670" t="n"/>
      <c r="FX7" s="747" t="n"/>
      <c r="FY7" s="658" t="n"/>
      <c r="FZ7" s="505" t="n"/>
      <c r="GA7" s="505" t="n"/>
      <c r="GB7" s="505" t="n"/>
      <c r="GC7" s="505" t="n"/>
      <c r="GD7" s="505" t="n"/>
      <c r="GE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350</v>
      </c>
      <c r="E8" s="6" t="n"/>
      <c r="F8" s="38" t="n">
        <v>1040</v>
      </c>
      <c r="G8" s="38" t="n">
        <v>1040</v>
      </c>
      <c r="H8" s="38" t="n">
        <v>1560</v>
      </c>
      <c r="I8" s="38" t="n">
        <v>1380</v>
      </c>
      <c r="J8" s="38" t="n">
        <v>1320</v>
      </c>
      <c r="K8" s="38" t="n">
        <v>1200</v>
      </c>
      <c r="L8" s="38" t="n">
        <v>1160</v>
      </c>
      <c r="M8" s="38" t="n">
        <v>1100</v>
      </c>
      <c r="N8" s="38" t="n">
        <v>1020</v>
      </c>
      <c r="O8" s="38" t="n">
        <v>1000</v>
      </c>
      <c r="P8" s="38" t="n">
        <v>860</v>
      </c>
      <c r="Q8" s="38" t="n">
        <v>760</v>
      </c>
      <c r="R8" s="38" t="n">
        <v>700</v>
      </c>
      <c r="S8" s="38" t="n">
        <v>560</v>
      </c>
      <c r="T8" s="38" t="n">
        <v>480</v>
      </c>
      <c r="U8" s="38" t="n">
        <v>360</v>
      </c>
      <c r="V8" s="38" t="n">
        <v>180</v>
      </c>
      <c r="W8" s="38" t="n">
        <v>20</v>
      </c>
      <c r="X8" s="38" t="n">
        <v>620</v>
      </c>
      <c r="Y8" s="38" t="n">
        <v>360</v>
      </c>
      <c r="Z8" s="38" t="n">
        <v>580</v>
      </c>
      <c r="AA8" s="38" t="n">
        <v>500</v>
      </c>
      <c r="AB8" s="38" t="n">
        <v>500</v>
      </c>
      <c r="AC8" s="38" t="n">
        <v>300</v>
      </c>
      <c r="AD8" s="38" t="n">
        <v>240</v>
      </c>
      <c r="AE8" s="38">
        <f>140+EE8</f>
        <v/>
      </c>
      <c r="AF8" s="38" t="n">
        <v>300</v>
      </c>
      <c r="AG8" s="38" t="n">
        <v>280</v>
      </c>
      <c r="AH8" s="38" t="n">
        <v>200</v>
      </c>
      <c r="AI8" s="38" t="n">
        <v>360</v>
      </c>
      <c r="AJ8" s="38" t="n">
        <v>300</v>
      </c>
      <c r="AK8" s="38" t="n">
        <v>160</v>
      </c>
      <c r="AL8" s="38" t="n">
        <v>300</v>
      </c>
      <c r="AM8" s="38" t="n">
        <v>280</v>
      </c>
      <c r="AN8" s="38">
        <f>280+DS8</f>
        <v/>
      </c>
      <c r="AO8" s="38" t="n">
        <v>480</v>
      </c>
      <c r="AP8" s="38" t="n">
        <v>380</v>
      </c>
      <c r="AQ8" s="38" t="n">
        <v>300</v>
      </c>
      <c r="AR8" s="38" t="n">
        <v>240</v>
      </c>
      <c r="AS8" s="38" t="n">
        <v>60</v>
      </c>
      <c r="AT8" s="38" t="n">
        <v>0</v>
      </c>
      <c r="AU8" s="38">
        <f>100+DE8</f>
        <v/>
      </c>
      <c r="AV8" s="38" t="n">
        <v>280</v>
      </c>
      <c r="AW8" s="38">
        <f>180+DB8</f>
        <v/>
      </c>
      <c r="AX8" s="38" t="n">
        <v>480</v>
      </c>
      <c r="AY8" s="38" t="n">
        <v>320</v>
      </c>
      <c r="AZ8" s="38">
        <f>300+CZ8</f>
        <v/>
      </c>
      <c r="BA8" s="38">
        <f>400+CY8</f>
        <v/>
      </c>
      <c r="BB8" s="38" t="n">
        <v>980</v>
      </c>
      <c r="BC8" s="38" t="n">
        <v>800</v>
      </c>
      <c r="BD8" s="38" t="n">
        <v>660</v>
      </c>
      <c r="BE8" s="38" t="n">
        <v>600</v>
      </c>
      <c r="BF8" s="38" t="n">
        <v>580</v>
      </c>
      <c r="BG8" s="38" t="n">
        <v>420</v>
      </c>
      <c r="BH8" s="38" t="n">
        <v>340</v>
      </c>
      <c r="BI8" s="38" t="n">
        <v>500</v>
      </c>
      <c r="BJ8" s="38" t="n">
        <v>460</v>
      </c>
      <c r="BK8" s="38" t="n">
        <v>400</v>
      </c>
      <c r="BL8" s="38" t="n">
        <v>540</v>
      </c>
      <c r="BM8" s="38" t="n">
        <v>460</v>
      </c>
      <c r="BN8" s="38" t="n">
        <v>360</v>
      </c>
      <c r="BO8" s="38" t="n">
        <v>300</v>
      </c>
      <c r="BP8" s="38" t="n">
        <v>200</v>
      </c>
      <c r="BQ8" s="38" t="n">
        <v>100</v>
      </c>
      <c r="BR8" s="38" t="n">
        <v>0</v>
      </c>
      <c r="BS8" s="38" t="n">
        <v>0</v>
      </c>
      <c r="BT8" s="38" t="n">
        <v>0</v>
      </c>
      <c r="BU8" s="38" t="n">
        <v>80</v>
      </c>
      <c r="BV8" s="38" t="n">
        <v>0</v>
      </c>
      <c r="BW8" s="38" t="n">
        <v>0</v>
      </c>
      <c r="BX8" s="38">
        <f>0+CL8</f>
        <v/>
      </c>
      <c r="BY8" s="38">
        <f>220+CK8</f>
        <v/>
      </c>
      <c r="BZ8" s="38" t="n"/>
      <c r="CA8" s="38" t="n"/>
      <c r="CB8" s="38" t="n"/>
      <c r="CC8" s="9" t="n"/>
      <c r="CD8" s="9" t="n"/>
      <c r="CE8" s="9" t="n"/>
      <c r="CF8" s="154">
        <f>CD8+IF(NOT(ISBLANK(OFFSET(CF8,0,6))),N(OFFSET(CF8,0,6)),N(OFFSET(CF8,0,7)))-CE8</f>
        <v/>
      </c>
      <c r="CG8" s="6" t="n"/>
      <c r="CH8" s="19" t="n"/>
      <c r="CI8" s="19" t="n"/>
      <c r="CK8" s="23" t="n"/>
      <c r="CL8" s="691" t="n">
        <v>0</v>
      </c>
      <c r="CM8" s="18" t="n">
        <v>0</v>
      </c>
      <c r="CN8" s="18" t="n">
        <v>300</v>
      </c>
      <c r="CO8" s="18" t="n">
        <v>300</v>
      </c>
      <c r="CP8" s="18" t="n"/>
      <c r="CQ8" s="356" t="n"/>
      <c r="CR8" s="18" t="n"/>
      <c r="CS8" s="18" t="n"/>
      <c r="CT8" s="18" t="n">
        <v>300</v>
      </c>
      <c r="CU8" s="18" t="n"/>
      <c r="CV8" s="18" t="n"/>
      <c r="CW8" s="18" t="n">
        <v>300</v>
      </c>
      <c r="CX8" s="18" t="n"/>
      <c r="CY8" s="18" t="n">
        <v>300</v>
      </c>
      <c r="CZ8" s="18" t="n"/>
      <c r="DA8" s="18" t="n"/>
      <c r="DB8" s="18" t="n">
        <v>600</v>
      </c>
      <c r="DC8" s="18" t="n">
        <v>300</v>
      </c>
      <c r="DD8" s="18" t="n"/>
      <c r="DE8" s="18" t="n">
        <v>300</v>
      </c>
      <c r="DF8" s="256" t="n"/>
      <c r="DG8" s="18" t="n"/>
      <c r="DH8" s="18" t="n">
        <v>300</v>
      </c>
      <c r="DI8" s="18" t="n">
        <v>300</v>
      </c>
      <c r="DJ8" s="18" t="n"/>
      <c r="DK8" s="256" t="n"/>
      <c r="DL8" s="18" t="n"/>
      <c r="DM8" s="256" t="n"/>
      <c r="DN8" s="256" t="n"/>
      <c r="DO8" s="18" t="n"/>
      <c r="DP8" s="18" t="n"/>
      <c r="DQ8" s="18" t="n"/>
      <c r="DR8" s="18" t="n"/>
      <c r="DS8" s="256" t="n"/>
      <c r="DT8" s="18" t="n"/>
      <c r="DU8" s="256" t="n"/>
      <c r="DV8" s="18" t="n">
        <v>300</v>
      </c>
      <c r="DW8" s="18" t="n"/>
      <c r="DX8" s="18" t="n"/>
      <c r="DY8" s="18" t="n">
        <v>300</v>
      </c>
      <c r="DZ8" s="256" t="n"/>
      <c r="EA8" s="256" t="n"/>
      <c r="EB8" s="18" t="n"/>
      <c r="EC8" s="18" t="n">
        <v>300</v>
      </c>
      <c r="ED8" s="18" t="n"/>
      <c r="EE8" s="18" t="n"/>
      <c r="EF8" s="256" t="n"/>
      <c r="EG8" s="256" t="n"/>
      <c r="EH8" s="18" t="n">
        <v>300</v>
      </c>
      <c r="EI8" s="18" t="n"/>
      <c r="EJ8" s="18" t="n"/>
      <c r="EK8" s="18" t="n"/>
      <c r="EL8" s="18" t="n"/>
      <c r="EM8" s="256" t="n"/>
      <c r="EN8" s="256" t="n"/>
      <c r="EO8" s="18" t="n"/>
      <c r="EP8" s="18" t="n">
        <v>300</v>
      </c>
      <c r="EQ8" s="18" t="n"/>
      <c r="ER8" s="256" t="n"/>
      <c r="ES8" s="18" t="n"/>
      <c r="ET8" s="18" t="n"/>
      <c r="EU8" s="256" t="n"/>
      <c r="EV8" s="18" t="n">
        <v>600</v>
      </c>
      <c r="EW8" s="18" t="n"/>
      <c r="EX8" s="18" t="n"/>
      <c r="EY8" s="18" t="n"/>
      <c r="EZ8" s="18" t="n"/>
      <c r="FA8" s="18" t="n"/>
      <c r="FB8" s="256" t="n"/>
      <c r="FC8" s="18" t="n"/>
      <c r="FD8" s="18" t="n"/>
      <c r="FE8" s="18" t="n"/>
      <c r="FF8" s="18" t="n"/>
      <c r="FG8" s="18" t="n"/>
      <c r="FH8" s="18" t="n"/>
      <c r="FI8" s="18" t="n"/>
      <c r="FJ8" s="18" t="n"/>
      <c r="FK8" s="18" t="n"/>
      <c r="FL8" s="256" t="n"/>
      <c r="FM8" s="18" t="n">
        <v>600</v>
      </c>
      <c r="FN8" s="18" t="n"/>
      <c r="FO8" s="18" t="n"/>
      <c r="FQ8" s="267" t="inlineStr">
        <is>
          <t xml:space="preserve">SACOLAS </t>
        </is>
      </c>
      <c r="FR8" s="205" t="inlineStr">
        <is>
          <t>PCT</t>
        </is>
      </c>
      <c r="FS8" s="650" t="n">
        <v>46118</v>
      </c>
      <c r="FT8" s="650" t="n">
        <v>46125</v>
      </c>
      <c r="FU8" s="650" t="n">
        <v>46132</v>
      </c>
      <c r="FV8" s="650" t="n">
        <v>46139</v>
      </c>
      <c r="FW8" s="650" t="n">
        <v>46146</v>
      </c>
      <c r="FX8" s="650" t="n">
        <v>46154</v>
      </c>
      <c r="FY8" s="650" t="n">
        <v>46160</v>
      </c>
      <c r="FZ8" s="650" t="n">
        <v>46160</v>
      </c>
      <c r="GA8" s="650" t="n">
        <v>46160</v>
      </c>
      <c r="GB8" s="651" t="n">
        <v>46161.48002896991</v>
      </c>
      <c r="GC8" s="651" t="n">
        <v>46161.48070875</v>
      </c>
      <c r="GD8" s="651" t="n">
        <v>46161.48286707447</v>
      </c>
      <c r="GE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800</v>
      </c>
      <c r="E9" s="6" t="n"/>
      <c r="F9" s="38" t="n">
        <v>360</v>
      </c>
      <c r="G9" s="38" t="n">
        <v>1620</v>
      </c>
      <c r="H9" s="38">
        <f>1960+FH9</f>
        <v/>
      </c>
      <c r="I9" s="38">
        <f>2280+FG9</f>
        <v/>
      </c>
      <c r="J9" s="38" t="n">
        <v>2600</v>
      </c>
      <c r="K9" s="38" t="n">
        <v>2320</v>
      </c>
      <c r="L9" s="38" t="n">
        <v>2260</v>
      </c>
      <c r="M9" s="38" t="n">
        <v>1840</v>
      </c>
      <c r="N9" s="38">
        <f>1620-200</f>
        <v/>
      </c>
      <c r="O9" s="38" t="n">
        <v>1820</v>
      </c>
      <c r="P9" s="38">
        <f>1440+EZ9</f>
        <v/>
      </c>
      <c r="Q9" s="38" t="n">
        <v>1780</v>
      </c>
      <c r="R9" s="38" t="n">
        <v>1620</v>
      </c>
      <c r="S9" s="38" t="n">
        <v>1640</v>
      </c>
      <c r="T9" s="38" t="n">
        <v>1600</v>
      </c>
      <c r="U9" s="38" t="n">
        <v>720</v>
      </c>
      <c r="V9" s="38" t="n">
        <v>720</v>
      </c>
      <c r="W9" s="38" t="n">
        <v>720</v>
      </c>
      <c r="X9" s="38" t="n">
        <v>720</v>
      </c>
      <c r="Y9" s="38" t="n">
        <v>380</v>
      </c>
      <c r="Z9" s="38">
        <f>80+200</f>
        <v/>
      </c>
      <c r="AA9" s="38" t="n">
        <v>600</v>
      </c>
      <c r="AB9" s="38">
        <f>300+EH9</f>
        <v/>
      </c>
      <c r="AC9" s="38">
        <f>160+200</f>
        <v/>
      </c>
      <c r="AD9" s="38" t="n">
        <v>1040</v>
      </c>
      <c r="AE9" s="38" t="n">
        <v>740</v>
      </c>
      <c r="AF9" s="38">
        <f>560+EB9</f>
        <v/>
      </c>
      <c r="AG9" s="38">
        <f>600+EA9</f>
        <v/>
      </c>
      <c r="AH9" s="38" t="n">
        <v>580</v>
      </c>
      <c r="AI9" s="38" t="n">
        <v>440</v>
      </c>
      <c r="AJ9" s="38" t="n">
        <v>1140</v>
      </c>
      <c r="AK9" s="38" t="n">
        <v>920</v>
      </c>
      <c r="AL9" s="38" t="n">
        <v>420</v>
      </c>
      <c r="AM9" s="38" t="n">
        <v>240</v>
      </c>
      <c r="AN9" s="38" t="n">
        <v>620</v>
      </c>
      <c r="AO9" s="38" t="n">
        <v>600</v>
      </c>
      <c r="AP9" s="38" t="n">
        <v>460</v>
      </c>
      <c r="AQ9" s="38" t="n">
        <v>520</v>
      </c>
      <c r="AR9" s="38" t="n">
        <v>280</v>
      </c>
      <c r="AS9" s="38" t="n">
        <v>400</v>
      </c>
      <c r="AT9" s="38" t="n">
        <v>140</v>
      </c>
      <c r="AU9" s="38">
        <f>220+DE9</f>
        <v/>
      </c>
      <c r="AV9" s="38">
        <f>400+DD9</f>
        <v/>
      </c>
      <c r="AW9" s="38" t="n">
        <v>480</v>
      </c>
      <c r="AX9" s="38">
        <f>480+DA9</f>
        <v/>
      </c>
      <c r="AY9" s="38" t="n">
        <v>800</v>
      </c>
      <c r="AZ9" s="38" t="n">
        <v>600</v>
      </c>
      <c r="BA9" s="38" t="n">
        <v>600</v>
      </c>
      <c r="BB9" s="38" t="n">
        <v>600</v>
      </c>
      <c r="BC9" s="38" t="n">
        <v>600</v>
      </c>
      <c r="BD9" s="38" t="n">
        <v>600</v>
      </c>
      <c r="BE9" s="38" t="n">
        <v>300</v>
      </c>
      <c r="BF9" s="38" t="n">
        <v>380</v>
      </c>
      <c r="BG9" s="38" t="n">
        <v>0</v>
      </c>
      <c r="BH9" s="38" t="n">
        <v>340</v>
      </c>
      <c r="BI9" s="38" t="n">
        <v>1040</v>
      </c>
      <c r="BJ9" s="38">
        <f>1040+CR9</f>
        <v/>
      </c>
      <c r="BK9" s="38" t="n">
        <v>1520</v>
      </c>
      <c r="BL9" s="38" t="n">
        <v>1840</v>
      </c>
      <c r="BM9" s="38" t="n">
        <v>1600</v>
      </c>
      <c r="BN9" s="38" t="n">
        <v>1580</v>
      </c>
      <c r="BO9" s="38" t="n">
        <v>1460</v>
      </c>
      <c r="BP9" s="38" t="n">
        <v>1080</v>
      </c>
      <c r="BQ9" s="38" t="n">
        <v>1060</v>
      </c>
      <c r="BR9" s="38" t="n">
        <v>1000</v>
      </c>
      <c r="BS9" s="38" t="n">
        <v>200</v>
      </c>
      <c r="BT9" s="38" t="n">
        <v>100</v>
      </c>
      <c r="BU9" s="38" t="n">
        <v>460</v>
      </c>
      <c r="BV9" s="38" t="n">
        <v>400</v>
      </c>
      <c r="BW9" s="38" t="n">
        <v>400</v>
      </c>
      <c r="BX9" s="38" t="n">
        <v>400</v>
      </c>
      <c r="BY9" s="38" t="n">
        <v>400</v>
      </c>
      <c r="BZ9" s="38" t="n"/>
      <c r="CA9" s="38" t="n"/>
      <c r="CB9" s="38" t="n"/>
      <c r="CC9" s="9" t="n"/>
      <c r="CD9" s="9" t="n"/>
      <c r="CE9" s="9" t="n"/>
      <c r="CF9" s="154">
        <f>CD9+IF(NOT(ISBLANK(OFFSET(CF9,0,6))),N(OFFSET(CF9,0,6)),N(OFFSET(CF9,0,7)))-CE9</f>
        <v/>
      </c>
      <c r="CG9" s="6" t="n"/>
      <c r="CH9" s="19" t="n"/>
      <c r="CI9" s="19" t="n"/>
      <c r="CK9" s="23" t="n"/>
      <c r="CL9" s="691" t="n">
        <v>0</v>
      </c>
      <c r="CM9" s="18" t="n">
        <v>0</v>
      </c>
      <c r="CN9" s="18" t="n">
        <v>0</v>
      </c>
      <c r="CO9" s="18" t="n">
        <v>0</v>
      </c>
      <c r="CP9" s="18" t="n">
        <v>400</v>
      </c>
      <c r="CQ9" s="256" t="n">
        <v>2600</v>
      </c>
      <c r="CR9" s="18" t="n"/>
      <c r="CS9" s="18" t="n">
        <v>400</v>
      </c>
      <c r="CT9" s="18" t="n">
        <v>600</v>
      </c>
      <c r="CU9" s="18" t="n">
        <v>800</v>
      </c>
      <c r="CV9" s="18" t="n">
        <v>400</v>
      </c>
      <c r="CW9" s="18" t="n">
        <v>800</v>
      </c>
      <c r="CX9" s="18" t="n">
        <v>600</v>
      </c>
      <c r="CY9" s="18" t="n">
        <v>800</v>
      </c>
      <c r="CZ9" s="18" t="n">
        <v>400</v>
      </c>
      <c r="DA9" s="18" t="n"/>
      <c r="DB9" s="18" t="n"/>
      <c r="DC9" s="18" t="n"/>
      <c r="DD9" s="18" t="n">
        <v>400</v>
      </c>
      <c r="DE9" s="18" t="n"/>
      <c r="DF9" s="256" t="n"/>
      <c r="DG9" s="18" t="n">
        <v>400</v>
      </c>
      <c r="DH9" s="18" t="n">
        <v>400</v>
      </c>
      <c r="DI9" s="18" t="n"/>
      <c r="DJ9" s="18" t="n">
        <v>400</v>
      </c>
      <c r="DK9" s="256" t="n">
        <v>2000</v>
      </c>
      <c r="DL9" s="18" t="n"/>
      <c r="DM9" s="256" t="n"/>
      <c r="DN9" s="256" t="n"/>
      <c r="DO9" s="18" t="n">
        <v>400</v>
      </c>
      <c r="DP9" s="18" t="n"/>
      <c r="DQ9" s="18" t="n">
        <v>400</v>
      </c>
      <c r="DR9" s="18" t="n">
        <v>200</v>
      </c>
      <c r="DS9" s="256" t="n"/>
      <c r="DT9" s="18" t="n"/>
      <c r="DU9" s="256" t="n"/>
      <c r="DV9" s="18" t="n">
        <v>200</v>
      </c>
      <c r="DW9" s="18" t="n">
        <v>600</v>
      </c>
      <c r="DX9" s="18" t="n"/>
      <c r="DY9" s="18" t="n"/>
      <c r="DZ9" s="256" t="n"/>
      <c r="EA9" s="256" t="n"/>
      <c r="EB9" s="18" t="n">
        <v>800</v>
      </c>
      <c r="EC9" s="18" t="n">
        <v>400</v>
      </c>
      <c r="ED9" s="18" t="n">
        <v>200</v>
      </c>
      <c r="EE9" s="18" t="n">
        <v>200</v>
      </c>
      <c r="EF9" s="256" t="n"/>
      <c r="EG9" s="256" t="n"/>
      <c r="EH9" s="18" t="n"/>
      <c r="EI9" s="18" t="n">
        <v>1000</v>
      </c>
      <c r="EJ9" s="241" t="inlineStr">
        <is>
          <t>200 DE ATC</t>
        </is>
      </c>
      <c r="EK9" s="18" t="n">
        <v>200</v>
      </c>
      <c r="EL9" s="18" t="n">
        <v>600</v>
      </c>
      <c r="EM9" s="241" t="inlineStr">
        <is>
          <t>200 DE BQ</t>
        </is>
      </c>
      <c r="EN9" s="256" t="n"/>
      <c r="EO9" s="18" t="n"/>
      <c r="EP9" s="18" t="n"/>
      <c r="EQ9" s="18" t="n"/>
      <c r="ER9" s="256" t="n"/>
      <c r="ES9" s="18" t="n"/>
      <c r="ET9" s="18" t="n"/>
      <c r="EU9" s="256" t="n"/>
      <c r="EV9" s="18" t="n"/>
      <c r="EW9" s="18" t="n"/>
      <c r="EX9" s="18" t="n"/>
      <c r="EY9" s="18" t="n"/>
      <c r="EZ9" s="18" t="n"/>
      <c r="FA9" s="18" t="n"/>
      <c r="FB9" s="256" t="n">
        <v>1600</v>
      </c>
      <c r="FC9" s="18" t="n">
        <v>600</v>
      </c>
      <c r="FD9" s="18" t="n"/>
      <c r="FE9" s="241" t="inlineStr">
        <is>
          <t>200 P/ ATC</t>
        </is>
      </c>
      <c r="FF9" s="18" t="n">
        <v>600</v>
      </c>
      <c r="FG9" s="18" t="n"/>
      <c r="FH9" s="18" t="n"/>
      <c r="FI9" s="18" t="n"/>
      <c r="FJ9" s="18" t="n">
        <v>600</v>
      </c>
      <c r="FK9" s="18" t="n">
        <v>400</v>
      </c>
      <c r="FL9" s="256" t="n"/>
      <c r="FM9" s="18" t="n">
        <v>800</v>
      </c>
      <c r="FN9" s="18" t="n"/>
      <c r="FO9" s="18" t="n">
        <v>1600</v>
      </c>
      <c r="FQ9" s="159" t="inlineStr">
        <is>
          <t xml:space="preserve">SACOLA P </t>
        </is>
      </c>
      <c r="FR9" s="129" t="n">
        <v>200</v>
      </c>
      <c r="FS9" s="38">
        <f>CN9</f>
        <v/>
      </c>
      <c r="FT9" s="38" t="n">
        <v>2460</v>
      </c>
      <c r="FU9" s="38" t="n">
        <v>2300</v>
      </c>
      <c r="FV9" s="38" t="n">
        <v>2100</v>
      </c>
      <c r="FW9" s="38" t="n">
        <v>1740</v>
      </c>
      <c r="FX9" s="38" t="n">
        <v>740</v>
      </c>
      <c r="FY9" s="38" t="n"/>
      <c r="FZ9" s="38" t="n"/>
      <c r="GA9" s="38" t="n"/>
      <c r="GB9" s="9" t="n"/>
      <c r="GC9" s="9" t="n"/>
      <c r="GD9" s="9" t="n"/>
      <c r="GE9" s="246">
        <f>GC9+IF(NOT(ISBLANK(OFFSET(GE9,0,6))),N(OFFSET(GE9,0,6)),N(OFFSET(GE9,0,7)))-GD9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500</v>
      </c>
      <c r="E10" s="6" t="n"/>
      <c r="F10" s="38" t="n">
        <v>520</v>
      </c>
      <c r="G10" s="38" t="n">
        <v>440</v>
      </c>
      <c r="H10" s="38">
        <f>800+FH10</f>
        <v/>
      </c>
      <c r="I10" s="38" t="n">
        <v>1080</v>
      </c>
      <c r="J10" s="38" t="n">
        <v>1020</v>
      </c>
      <c r="K10" s="38" t="n">
        <v>880</v>
      </c>
      <c r="L10" s="38" t="n">
        <v>800</v>
      </c>
      <c r="M10" s="38" t="n">
        <v>640</v>
      </c>
      <c r="N10" s="38" t="n">
        <v>460</v>
      </c>
      <c r="O10" s="38">
        <f>320+FA10</f>
        <v/>
      </c>
      <c r="P10" s="38">
        <f>500+EZ10</f>
        <v/>
      </c>
      <c r="Q10" s="38" t="n">
        <v>540</v>
      </c>
      <c r="R10" s="38">
        <f>420+EW10</f>
        <v/>
      </c>
      <c r="S10" s="38" t="n">
        <v>440</v>
      </c>
      <c r="T10" s="38">
        <f>400+EU10</f>
        <v/>
      </c>
      <c r="U10" s="38" t="n">
        <v>500</v>
      </c>
      <c r="V10" s="38" t="n">
        <v>500</v>
      </c>
      <c r="W10" s="38" t="n">
        <v>500</v>
      </c>
      <c r="X10" s="38" t="n">
        <v>500</v>
      </c>
      <c r="Y10" s="38" t="n">
        <v>400</v>
      </c>
      <c r="Z10" s="38" t="n">
        <v>220</v>
      </c>
      <c r="AA10" s="38" t="n">
        <v>320</v>
      </c>
      <c r="AB10" s="38" t="n">
        <v>230</v>
      </c>
      <c r="AC10" s="38" t="n">
        <v>230</v>
      </c>
      <c r="AD10" s="38" t="n">
        <v>220</v>
      </c>
      <c r="AE10" s="38">
        <f>200+EE10</f>
        <v/>
      </c>
      <c r="AF10" s="38" t="n">
        <v>400</v>
      </c>
      <c r="AG10" s="38" t="n">
        <v>400</v>
      </c>
      <c r="AH10" s="38" t="n">
        <v>280</v>
      </c>
      <c r="AI10" s="38" t="n">
        <v>160</v>
      </c>
      <c r="AJ10" s="38" t="n">
        <v>160</v>
      </c>
      <c r="AK10" s="38" t="n">
        <v>160</v>
      </c>
      <c r="AL10" s="38" t="n">
        <v>160</v>
      </c>
      <c r="AM10" s="38" t="n">
        <v>140</v>
      </c>
      <c r="AN10" s="38" t="n">
        <v>420</v>
      </c>
      <c r="AO10" s="38" t="n">
        <v>300</v>
      </c>
      <c r="AP10" s="38" t="n">
        <v>380</v>
      </c>
      <c r="AQ10" s="38" t="n">
        <v>460</v>
      </c>
      <c r="AR10" s="38" t="n">
        <v>260</v>
      </c>
      <c r="AS10" s="38" t="n">
        <v>620</v>
      </c>
      <c r="AT10" s="38" t="n">
        <v>400</v>
      </c>
      <c r="AU10" s="38">
        <f>240+DE10</f>
        <v/>
      </c>
      <c r="AV10" s="38" t="n">
        <v>400</v>
      </c>
      <c r="AW10" s="38" t="n">
        <v>200</v>
      </c>
      <c r="AX10" s="38">
        <f>80+DA10</f>
        <v/>
      </c>
      <c r="AY10" s="38" t="n">
        <v>200</v>
      </c>
      <c r="AZ10" s="38" t="n">
        <v>200</v>
      </c>
      <c r="BA10" s="38" t="n">
        <v>200</v>
      </c>
      <c r="BB10" s="38" t="n">
        <v>200</v>
      </c>
      <c r="BC10" s="38" t="n">
        <v>200</v>
      </c>
      <c r="BD10" s="38" t="n">
        <v>180</v>
      </c>
      <c r="BE10" s="38" t="n">
        <v>0</v>
      </c>
      <c r="BF10" s="38" t="n">
        <v>840</v>
      </c>
      <c r="BG10" s="38" t="n">
        <v>480</v>
      </c>
      <c r="BH10" s="38" t="n">
        <v>800</v>
      </c>
      <c r="BI10" s="38" t="n">
        <v>1040</v>
      </c>
      <c r="BJ10" s="38" t="n">
        <v>860</v>
      </c>
      <c r="BK10" s="38" t="n">
        <v>800</v>
      </c>
      <c r="BL10" s="38" t="n">
        <v>760</v>
      </c>
      <c r="BM10" s="38" t="n">
        <v>680</v>
      </c>
      <c r="BN10" s="38" t="n">
        <v>780</v>
      </c>
      <c r="BO10" s="38" t="n">
        <v>500</v>
      </c>
      <c r="BP10" s="38" t="n">
        <v>540</v>
      </c>
      <c r="BQ10" s="38">
        <f>520+CO10</f>
        <v/>
      </c>
      <c r="BR10" s="38" t="n">
        <v>500</v>
      </c>
      <c r="BS10" s="38" t="n">
        <v>200</v>
      </c>
      <c r="BT10" s="38" t="n">
        <v>180</v>
      </c>
      <c r="BU10" s="38" t="n">
        <v>440</v>
      </c>
      <c r="BV10" s="38" t="n">
        <v>400</v>
      </c>
      <c r="BW10" s="38" t="n">
        <v>400</v>
      </c>
      <c r="BX10" s="38" t="n">
        <v>200</v>
      </c>
      <c r="BY10" s="38" t="n">
        <v>200</v>
      </c>
      <c r="BZ10" s="38" t="n"/>
      <c r="CA10" s="38" t="n"/>
      <c r="CB10" s="38" t="n"/>
      <c r="CC10" s="9" t="n"/>
      <c r="CD10" s="9" t="n"/>
      <c r="CE10" s="9" t="n"/>
      <c r="CF10" s="154">
        <f>CD10+IF(NOT(ISBLANK(OFFSET(CF10,0,6))),N(OFFSET(CF10,0,6)),N(OFFSET(CF10,0,7)))-CE10</f>
        <v/>
      </c>
      <c r="CG10" s="6" t="n"/>
      <c r="CH10" s="19" t="n"/>
      <c r="CI10" s="19" t="n">
        <v>200</v>
      </c>
      <c r="CJ10" s="4" t="n"/>
      <c r="CK10" s="23" t="n"/>
      <c r="CL10" s="691" t="n">
        <v>0</v>
      </c>
      <c r="CM10" s="18" t="n">
        <v>0</v>
      </c>
      <c r="CN10" s="18" t="n">
        <v>0</v>
      </c>
      <c r="CO10" s="18" t="n">
        <v>0</v>
      </c>
      <c r="CP10" s="18" t="n">
        <v>200</v>
      </c>
      <c r="CQ10" s="256" t="n">
        <v>1200</v>
      </c>
      <c r="CR10" s="18" t="n">
        <v>200</v>
      </c>
      <c r="CS10" s="18" t="n">
        <v>200</v>
      </c>
      <c r="CT10" s="18" t="n">
        <v>200</v>
      </c>
      <c r="CU10" s="18" t="n"/>
      <c r="CV10" s="18" t="n"/>
      <c r="CW10" s="18" t="n">
        <v>400</v>
      </c>
      <c r="CX10" s="18" t="n">
        <v>400</v>
      </c>
      <c r="CY10" s="18" t="n">
        <v>600</v>
      </c>
      <c r="CZ10" s="18" t="n">
        <v>200</v>
      </c>
      <c r="DA10" s="18" t="n"/>
      <c r="DB10" s="18" t="n"/>
      <c r="DC10" s="18" t="n"/>
      <c r="DD10" s="18" t="n">
        <v>200</v>
      </c>
      <c r="DE10" s="18" t="n"/>
      <c r="DF10" s="256" t="n"/>
      <c r="DG10" s="18" t="n"/>
      <c r="DH10" s="18" t="n">
        <v>200</v>
      </c>
      <c r="DI10" s="18" t="n"/>
      <c r="DJ10" s="18" t="n"/>
      <c r="DK10" s="256" t="n">
        <v>1400</v>
      </c>
      <c r="DL10" s="18" t="n">
        <v>200</v>
      </c>
      <c r="DM10" s="378" t="inlineStr">
        <is>
          <t>100 DE PB</t>
        </is>
      </c>
      <c r="DN10" s="256" t="n"/>
      <c r="DO10" s="18" t="n">
        <v>200</v>
      </c>
      <c r="DP10" s="18" t="n"/>
      <c r="DQ10" s="18" t="n">
        <v>200</v>
      </c>
      <c r="DR10" s="18" t="n">
        <v>200</v>
      </c>
      <c r="DS10" s="256" t="n"/>
      <c r="DT10" s="18" t="n"/>
      <c r="DU10" s="256" t="n"/>
      <c r="DV10" s="18" t="n"/>
      <c r="DW10" s="18" t="n">
        <v>400</v>
      </c>
      <c r="DX10" s="18" t="n"/>
      <c r="DY10" s="18" t="n"/>
      <c r="DZ10" s="256" t="n"/>
      <c r="EA10" s="256" t="n"/>
      <c r="EB10" s="18" t="n"/>
      <c r="EC10" s="18" t="n"/>
      <c r="ED10" s="18" t="n"/>
      <c r="EE10" s="18" t="n"/>
      <c r="EF10" s="256" t="n"/>
      <c r="EG10" s="256" t="n">
        <v>800</v>
      </c>
      <c r="EH10" s="18" t="n">
        <v>200</v>
      </c>
      <c r="EI10" s="18" t="n"/>
      <c r="EJ10" s="18" t="n"/>
      <c r="EK10" s="18" t="n"/>
      <c r="EL10" s="18" t="n">
        <v>200</v>
      </c>
      <c r="EM10" s="256" t="n"/>
      <c r="EN10" s="256" t="n"/>
      <c r="EO10" s="18" t="n"/>
      <c r="EP10" s="18" t="n"/>
      <c r="EQ10" s="18" t="n"/>
      <c r="ER10" s="256" t="n">
        <v>800</v>
      </c>
      <c r="ES10" s="18" t="n"/>
      <c r="ET10" s="18" t="n"/>
      <c r="EU10" s="256" t="n"/>
      <c r="EV10" s="18" t="n"/>
      <c r="EW10" s="18" t="n"/>
      <c r="EX10" s="18" t="n">
        <v>200</v>
      </c>
      <c r="EY10" s="18" t="n"/>
      <c r="EZ10" s="18" t="n">
        <v>200</v>
      </c>
      <c r="FA10" s="18" t="n"/>
      <c r="FB10" s="256" t="n">
        <v>1000</v>
      </c>
      <c r="FC10" s="18" t="n">
        <v>200</v>
      </c>
      <c r="FD10" s="18" t="n">
        <v>400</v>
      </c>
      <c r="FE10" s="18" t="n"/>
      <c r="FF10" s="18" t="n"/>
      <c r="FG10" s="18" t="n"/>
      <c r="FH10" s="18" t="n"/>
      <c r="FI10" s="18" t="n"/>
      <c r="FJ10" s="18" t="n"/>
      <c r="FK10" s="18" t="n">
        <v>400</v>
      </c>
      <c r="FL10" s="256" t="n"/>
      <c r="FM10" s="18" t="n">
        <v>400</v>
      </c>
      <c r="FN10" s="18" t="n"/>
      <c r="FO10" s="18" t="n">
        <v>200</v>
      </c>
      <c r="FQ10" s="29" t="inlineStr">
        <is>
          <t xml:space="preserve">SACOLA M </t>
        </is>
      </c>
      <c r="FR10" s="9" t="n">
        <v>200</v>
      </c>
      <c r="FS10" s="38">
        <f>CN10</f>
        <v/>
      </c>
      <c r="FT10" s="38" t="n">
        <v>960</v>
      </c>
      <c r="FU10" s="38" t="n">
        <v>880</v>
      </c>
      <c r="FV10" s="38" t="n">
        <v>800</v>
      </c>
      <c r="FW10" s="38" t="n">
        <v>800</v>
      </c>
      <c r="FX10" s="38" t="n">
        <v>80</v>
      </c>
      <c r="FY10" s="38" t="n"/>
      <c r="FZ10" s="38" t="n"/>
      <c r="GA10" s="38" t="n"/>
      <c r="GB10" s="9" t="n"/>
      <c r="GC10" s="9" t="n"/>
      <c r="GD10" s="9" t="n"/>
      <c r="GE10" s="246">
        <f>GC10+IF(NOT(ISBLANK(OFFSET(GE10,0,6))),N(OFFSET(GE10,0,6)),N(OFFSET(GE10,0,7)))-GD10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60</v>
      </c>
      <c r="E11" s="6" t="n"/>
      <c r="F11" s="38" t="n">
        <v>80</v>
      </c>
      <c r="G11" s="38" t="n">
        <v>20</v>
      </c>
      <c r="H11" s="38" t="n">
        <v>120</v>
      </c>
      <c r="I11" s="38" t="n">
        <v>120</v>
      </c>
      <c r="J11" s="38" t="n">
        <v>120</v>
      </c>
      <c r="K11" s="38" t="n">
        <v>80</v>
      </c>
      <c r="L11" s="38" t="n">
        <v>80</v>
      </c>
      <c r="M11" s="38" t="n">
        <v>60</v>
      </c>
      <c r="N11" s="38" t="n">
        <v>60</v>
      </c>
      <c r="O11" s="38" t="n">
        <v>140</v>
      </c>
      <c r="P11" s="38" t="n">
        <v>140</v>
      </c>
      <c r="Q11" s="38" t="n">
        <v>140</v>
      </c>
      <c r="R11" s="38" t="n">
        <v>140</v>
      </c>
      <c r="S11" s="38" t="n">
        <v>120</v>
      </c>
      <c r="T11" s="38" t="n">
        <v>100</v>
      </c>
      <c r="U11" s="38" t="n">
        <v>100</v>
      </c>
      <c r="V11" s="38" t="n">
        <v>100</v>
      </c>
      <c r="W11" s="38" t="n">
        <v>100</v>
      </c>
      <c r="X11" s="38" t="n">
        <v>150</v>
      </c>
      <c r="Y11" s="38" t="n">
        <v>120</v>
      </c>
      <c r="Z11" s="38" t="n">
        <v>100</v>
      </c>
      <c r="AA11" s="38" t="n">
        <v>100</v>
      </c>
      <c r="AB11" s="38" t="n">
        <v>80</v>
      </c>
      <c r="AC11" s="38" t="n">
        <v>60</v>
      </c>
      <c r="AD11" s="38" t="n">
        <v>60</v>
      </c>
      <c r="AE11" s="38" t="n">
        <v>40</v>
      </c>
      <c r="AF11" s="38">
        <f>0+EB11</f>
        <v/>
      </c>
      <c r="AG11" s="38" t="n">
        <v>80</v>
      </c>
      <c r="AH11" s="38" t="n">
        <v>80</v>
      </c>
      <c r="AI11" s="38" t="n">
        <v>60</v>
      </c>
      <c r="AJ11" s="38" t="n">
        <v>60</v>
      </c>
      <c r="AK11" s="38" t="n">
        <v>60</v>
      </c>
      <c r="AL11" s="38" t="n">
        <v>40</v>
      </c>
      <c r="AM11" s="38" t="n">
        <v>20</v>
      </c>
      <c r="AN11" s="38" t="n">
        <v>120</v>
      </c>
      <c r="AO11" s="38" t="n">
        <v>80</v>
      </c>
      <c r="AP11" s="38" t="n">
        <v>80</v>
      </c>
      <c r="AQ11" s="38" t="n">
        <v>60</v>
      </c>
      <c r="AR11" s="38" t="n">
        <v>60</v>
      </c>
      <c r="AS11" s="38" t="n">
        <v>60</v>
      </c>
      <c r="AT11" s="38" t="n">
        <v>40</v>
      </c>
      <c r="AU11" s="38" t="n">
        <v>40</v>
      </c>
      <c r="AV11" s="38" t="n">
        <v>20</v>
      </c>
      <c r="AW11" s="38" t="n">
        <v>20</v>
      </c>
      <c r="AX11" s="38">
        <f>20+DA11</f>
        <v/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80</v>
      </c>
      <c r="BF11" s="38" t="n">
        <v>40</v>
      </c>
      <c r="BG11" s="38" t="n">
        <v>0</v>
      </c>
      <c r="BH11" s="38" t="n">
        <v>0</v>
      </c>
      <c r="BI11" s="38" t="n">
        <v>60</v>
      </c>
      <c r="BJ11" s="38">
        <f>60+CR11</f>
        <v/>
      </c>
      <c r="BK11" s="38" t="n">
        <v>160</v>
      </c>
      <c r="BL11" s="38" t="n">
        <v>120</v>
      </c>
      <c r="BM11" s="38" t="n">
        <v>120</v>
      </c>
      <c r="BN11" s="38" t="n">
        <v>100</v>
      </c>
      <c r="BO11" s="38" t="n">
        <v>60</v>
      </c>
      <c r="BP11" s="38" t="n">
        <v>20</v>
      </c>
      <c r="BQ11" s="38" t="n">
        <v>20</v>
      </c>
      <c r="BR11" s="38" t="n">
        <v>20</v>
      </c>
      <c r="BS11" s="38" t="n">
        <v>20</v>
      </c>
      <c r="BT11" s="38" t="n">
        <v>20</v>
      </c>
      <c r="BU11" s="38" t="n">
        <v>120</v>
      </c>
      <c r="BV11" s="38" t="n">
        <v>120</v>
      </c>
      <c r="BW11" s="38" t="n">
        <v>120</v>
      </c>
      <c r="BX11" s="38" t="n">
        <v>120</v>
      </c>
      <c r="BY11" s="38" t="n">
        <v>120</v>
      </c>
      <c r="BZ11" s="38" t="n"/>
      <c r="CA11" s="38" t="n"/>
      <c r="CB11" s="38" t="n"/>
      <c r="CC11" s="9" t="n"/>
      <c r="CD11" s="9" t="n"/>
      <c r="CE11" s="9" t="n"/>
      <c r="CF11" s="154">
        <f>CD11+IF(NOT(ISBLANK(OFFSET(CF11,0,6))),N(OFFSET(CF11,0,6)),N(OFFSET(CF11,0,7)))-CE11</f>
        <v/>
      </c>
      <c r="CG11" s="6" t="n"/>
      <c r="CH11" s="19" t="n"/>
      <c r="CI11" s="19" t="n"/>
      <c r="CJ11" s="4" t="n"/>
      <c r="CK11" s="23" t="n"/>
      <c r="CL11" s="691" t="n">
        <v>0</v>
      </c>
      <c r="CM11" s="18" t="n">
        <v>0</v>
      </c>
      <c r="CN11" s="18" t="n">
        <v>0</v>
      </c>
      <c r="CO11" s="18" t="n">
        <v>0</v>
      </c>
      <c r="CP11" s="18" t="n"/>
      <c r="CQ11" s="256" t="n">
        <v>200</v>
      </c>
      <c r="CR11" s="18" t="n"/>
      <c r="CS11" s="18" t="n"/>
      <c r="CT11" s="18" t="n"/>
      <c r="CU11" s="18" t="n">
        <v>100</v>
      </c>
      <c r="CV11" s="18" t="n"/>
      <c r="CW11" s="18" t="n">
        <v>100</v>
      </c>
      <c r="CX11" s="18" t="n"/>
      <c r="CY11" s="18" t="n"/>
      <c r="CZ11" s="18" t="n"/>
      <c r="DA11" s="18" t="n"/>
      <c r="DB11" s="18" t="n"/>
      <c r="DC11" s="18" t="n"/>
      <c r="DD11" s="18" t="n">
        <v>100</v>
      </c>
      <c r="DE11" s="18" t="n"/>
      <c r="DF11" s="256" t="n"/>
      <c r="DG11" s="18" t="n"/>
      <c r="DH11" s="18" t="n"/>
      <c r="DI11" s="18" t="n"/>
      <c r="DJ11" s="18" t="n"/>
      <c r="DK11" s="256" t="n">
        <v>300</v>
      </c>
      <c r="DL11" s="18" t="n"/>
      <c r="DM11" s="256" t="n"/>
      <c r="DN11" s="256" t="n"/>
      <c r="DO11" s="18" t="n"/>
      <c r="DP11" s="18" t="n"/>
      <c r="DQ11" s="18" t="n"/>
      <c r="DR11" s="18" t="n"/>
      <c r="DS11" s="256" t="n"/>
      <c r="DT11" s="18" t="n"/>
      <c r="DU11" s="256" t="n"/>
      <c r="DV11" s="18" t="n"/>
      <c r="DW11" s="18" t="n">
        <v>100</v>
      </c>
      <c r="DX11" s="18" t="n"/>
      <c r="DY11" s="18" t="n"/>
      <c r="DZ11" s="256" t="n"/>
      <c r="EA11" s="256" t="n"/>
      <c r="EB11" s="18" t="n"/>
      <c r="EC11" s="18" t="n"/>
      <c r="ED11" s="18" t="n"/>
      <c r="EE11" s="18" t="n">
        <v>100</v>
      </c>
      <c r="EF11" s="256" t="n"/>
      <c r="EG11" s="256" t="n"/>
      <c r="EH11" s="18" t="n"/>
      <c r="EI11" s="18" t="n"/>
      <c r="EJ11" s="18" t="n"/>
      <c r="EK11" s="18" t="n"/>
      <c r="EL11" s="18" t="n"/>
      <c r="EM11" s="256" t="n"/>
      <c r="EN11" s="312" t="inlineStr">
        <is>
          <t>50 DE BQ</t>
        </is>
      </c>
      <c r="EO11" s="18" t="n"/>
      <c r="EP11" s="18" t="n"/>
      <c r="EQ11" s="18" t="n"/>
      <c r="ER11" s="256" t="n"/>
      <c r="ES11" s="18" t="n"/>
      <c r="ET11" s="18" t="n"/>
      <c r="EU11" s="256" t="n"/>
      <c r="EV11" s="18" t="n"/>
      <c r="EW11" s="18" t="n">
        <v>100</v>
      </c>
      <c r="EX11" s="18" t="n"/>
      <c r="EY11" s="18" t="n"/>
      <c r="EZ11" s="18" t="n"/>
      <c r="FA11" s="18" t="n"/>
      <c r="FB11" s="256" t="n">
        <v>200</v>
      </c>
      <c r="FC11" s="18" t="n"/>
      <c r="FD11" s="18" t="n"/>
      <c r="FE11" s="18" t="n"/>
      <c r="FF11" s="18" t="n">
        <v>100</v>
      </c>
      <c r="FG11" s="18" t="n"/>
      <c r="FH11" s="18" t="n"/>
      <c r="FI11" s="18" t="n"/>
      <c r="FJ11" s="18" t="n"/>
      <c r="FK11" s="18" t="n"/>
      <c r="FL11" s="256" t="n"/>
      <c r="FM11" s="18" t="n">
        <v>100</v>
      </c>
      <c r="FN11" s="18" t="n"/>
      <c r="FO11" s="18" t="n"/>
      <c r="FQ11" s="30" t="inlineStr">
        <is>
          <t xml:space="preserve">SACOLA G </t>
        </is>
      </c>
      <c r="FR11" s="9" t="n">
        <v>100</v>
      </c>
      <c r="FS11" s="38">
        <f>CN11</f>
        <v/>
      </c>
      <c r="FT11" s="38" t="n">
        <v>120</v>
      </c>
      <c r="FU11" s="38" t="n">
        <v>140</v>
      </c>
      <c r="FV11" s="38" t="n">
        <v>120</v>
      </c>
      <c r="FW11" s="38" t="n">
        <v>120</v>
      </c>
      <c r="FX11" s="38" t="n">
        <v>40</v>
      </c>
      <c r="FY11" s="38" t="n"/>
      <c r="FZ11" s="38" t="n"/>
      <c r="GA11" s="38" t="n"/>
      <c r="GB11" s="9" t="n"/>
      <c r="GC11" s="9" t="n"/>
      <c r="GD11" s="9" t="n"/>
      <c r="GE11" s="246">
        <f>GC11+IF(NOT(ISBLANK(OFFSET(GE11,0,6))),N(OFFSET(GE11,0,6)),N(OFFSET(GE11,0,7)))-GD11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2" t="n"/>
      <c r="CE12" s="2" t="n"/>
      <c r="CF12" s="4" t="n"/>
      <c r="CG12" s="6" t="n"/>
      <c r="CH12" s="11" t="n"/>
      <c r="CI12" s="11" t="n"/>
      <c r="CJ12" s="4" t="n"/>
      <c r="CK12" s="4" t="n"/>
      <c r="CL12" s="692" t="n"/>
      <c r="CM12" s="24" t="n"/>
      <c r="CN12" s="24" t="n"/>
      <c r="CO12" s="24" t="n"/>
      <c r="CP12" s="24" t="n"/>
      <c r="CQ12" s="257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57" t="n"/>
      <c r="DG12" s="24" t="n"/>
      <c r="DH12" s="24" t="n"/>
      <c r="DI12" s="24" t="n"/>
      <c r="DJ12" s="24" t="n"/>
      <c r="DK12" s="257" t="n"/>
      <c r="DL12" s="24" t="n"/>
      <c r="DM12" s="24" t="n"/>
      <c r="DN12" s="24" t="n"/>
      <c r="DO12" s="24" t="n"/>
      <c r="DP12" s="24" t="n"/>
      <c r="DQ12" s="24" t="n"/>
      <c r="DR12" s="24" t="n"/>
      <c r="DS12" s="257" t="n"/>
      <c r="DT12" s="24" t="n"/>
      <c r="DU12" s="257" t="n"/>
      <c r="DV12" s="24" t="n"/>
      <c r="DW12" s="24" t="n"/>
      <c r="DX12" s="24" t="n"/>
      <c r="DY12" s="24" t="n"/>
      <c r="DZ12" s="257" t="n"/>
      <c r="EA12" s="257" t="n"/>
      <c r="EB12" s="24" t="n"/>
      <c r="EC12" s="24" t="n"/>
      <c r="ED12" s="24" t="n"/>
      <c r="EE12" s="24" t="n"/>
      <c r="EF12" s="257" t="n"/>
      <c r="EG12" s="257" t="n"/>
      <c r="EH12" s="24" t="n"/>
      <c r="EI12" s="24" t="n"/>
      <c r="EJ12" s="24" t="n"/>
      <c r="EK12" s="24" t="n"/>
      <c r="EL12" s="24" t="n"/>
      <c r="EM12" s="271" t="n"/>
      <c r="EN12" s="24" t="n"/>
      <c r="EO12" s="24" t="n"/>
      <c r="EP12" s="24" t="n"/>
      <c r="EQ12" s="24" t="n"/>
      <c r="ER12" s="24" t="n"/>
      <c r="ES12" s="24" t="n"/>
      <c r="ET12" s="24" t="n"/>
      <c r="EU12" s="271" t="n"/>
      <c r="EV12" s="24" t="n"/>
      <c r="EW12" s="24" t="n"/>
      <c r="EX12" s="24" t="n"/>
      <c r="EY12" s="24" t="n"/>
      <c r="EZ12" s="24" t="n"/>
      <c r="FA12" s="24" t="n"/>
      <c r="FB12" s="271" t="n"/>
      <c r="FC12" s="24" t="n"/>
      <c r="FD12" s="24" t="n"/>
      <c r="FE12" s="24" t="n"/>
      <c r="FF12" s="24" t="n"/>
      <c r="FG12" s="24" t="n"/>
      <c r="FH12" s="24" t="n"/>
      <c r="FI12" s="24" t="n"/>
      <c r="FJ12" s="24" t="n"/>
      <c r="FK12" s="24" t="n"/>
      <c r="FL12" s="257" t="n"/>
      <c r="FM12" s="24" t="n"/>
      <c r="FN12" s="24" t="n"/>
      <c r="FO12" s="24" t="n"/>
      <c r="FQ12" s="31" t="n"/>
      <c r="FR12" s="2" t="n"/>
      <c r="FS12" s="4" t="n"/>
      <c r="FT12" s="4" t="n"/>
      <c r="FU12" s="4" t="n"/>
      <c r="FV12" s="4" t="n"/>
      <c r="FW12" s="4" t="n"/>
      <c r="FX12" s="4" t="n"/>
      <c r="FY12" s="4" t="n"/>
      <c r="FZ12" s="4" t="n"/>
      <c r="GA12" s="4" t="n"/>
      <c r="GB12" s="2" t="n"/>
      <c r="GC12" s="2" t="n"/>
      <c r="GD12" s="2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1" t="n">
        <v>46161.48002969907</v>
      </c>
      <c r="CD13" s="651" t="n">
        <v>46161.4807094213</v>
      </c>
      <c r="CE13" s="651" t="n">
        <v>46161.48286777242</v>
      </c>
      <c r="CF13" s="652" t="inlineStr">
        <is>
          <t>USOU</t>
        </is>
      </c>
      <c r="CG13" s="54" t="n"/>
      <c r="CH13" s="413" t="inlineStr">
        <is>
          <t>TRANSFERÊNCIA</t>
        </is>
      </c>
      <c r="CI13" s="35" t="inlineStr">
        <is>
          <t>Pendências</t>
        </is>
      </c>
      <c r="CJ13" s="6" t="n"/>
      <c r="CK13" s="12" t="inlineStr">
        <is>
          <t>Novo Pedido</t>
        </is>
      </c>
      <c r="CL13" s="702" t="n">
        <v>46161.48286645547</v>
      </c>
      <c r="CM13" s="646" t="n">
        <v>46156</v>
      </c>
      <c r="CN13" s="646" t="n">
        <v>46149</v>
      </c>
      <c r="CO13" s="646" t="n">
        <v>46142</v>
      </c>
      <c r="CP13" s="646" t="n">
        <v>46114</v>
      </c>
      <c r="CQ13" s="647" t="n">
        <v>46065</v>
      </c>
      <c r="CR13" s="646" t="n">
        <v>46092</v>
      </c>
      <c r="CS13" s="646" t="n">
        <v>46071</v>
      </c>
      <c r="CT13" s="646" t="n">
        <v>46056</v>
      </c>
      <c r="CU13" s="646" t="n">
        <v>46043</v>
      </c>
      <c r="CV13" s="646" t="n">
        <v>46035</v>
      </c>
      <c r="CW13" s="646" t="n">
        <v>46029</v>
      </c>
      <c r="CX13" s="646" t="n">
        <v>46017</v>
      </c>
      <c r="CY13" s="646" t="n">
        <v>46007</v>
      </c>
      <c r="CZ13" s="646" t="n">
        <v>46001</v>
      </c>
      <c r="DA13" s="646" t="n">
        <v>45994</v>
      </c>
      <c r="DB13" s="646" t="n">
        <v>45980</v>
      </c>
      <c r="DC13" s="646" t="n">
        <v>45973</v>
      </c>
      <c r="DD13" s="646" t="n">
        <v>45960</v>
      </c>
      <c r="DE13" s="646" t="n">
        <v>45951</v>
      </c>
      <c r="DF13" s="687" t="n">
        <v>45952</v>
      </c>
      <c r="DG13" s="646" t="n">
        <v>45945</v>
      </c>
      <c r="DH13" s="646" t="n">
        <v>45937</v>
      </c>
      <c r="DI13" s="646" t="n">
        <v>45931</v>
      </c>
      <c r="DJ13" s="646" t="n">
        <v>45923</v>
      </c>
      <c r="DK13" s="678" t="n">
        <v>45903</v>
      </c>
      <c r="DL13" s="646" t="n">
        <v>45923</v>
      </c>
      <c r="DM13" s="688" t="n">
        <v>45925</v>
      </c>
      <c r="DN13" s="688" t="n">
        <v>45924</v>
      </c>
      <c r="DO13" s="646" t="n">
        <v>45915</v>
      </c>
      <c r="DP13" s="655" t="n">
        <v>45913</v>
      </c>
      <c r="DQ13" s="646" t="n">
        <v>45909</v>
      </c>
      <c r="DR13" s="646" t="n">
        <v>45895</v>
      </c>
      <c r="DS13" s="681" t="n">
        <v>45897</v>
      </c>
      <c r="DT13" s="689" t="n">
        <v>45897</v>
      </c>
      <c r="DU13" s="681" t="n">
        <v>45896</v>
      </c>
      <c r="DV13" s="646" t="n">
        <v>45888</v>
      </c>
      <c r="DW13" s="646" t="n">
        <v>45881</v>
      </c>
      <c r="DX13" s="655" t="n">
        <v>45885</v>
      </c>
      <c r="DY13" s="646" t="n">
        <v>45874</v>
      </c>
      <c r="DZ13" s="681" t="n">
        <v>45867</v>
      </c>
      <c r="EA13" s="682" t="n">
        <v>45866</v>
      </c>
      <c r="EB13" s="646" t="n">
        <v>45860</v>
      </c>
      <c r="EC13" s="646" t="n">
        <v>45859</v>
      </c>
      <c r="ED13" s="646" t="n">
        <v>45839</v>
      </c>
      <c r="EE13" s="646" t="n">
        <v>45832</v>
      </c>
      <c r="EF13" s="681" t="n">
        <v>45838</v>
      </c>
      <c r="EG13" s="681" t="n">
        <v>45791</v>
      </c>
      <c r="EH13" s="646" t="n">
        <v>45825</v>
      </c>
      <c r="EI13" s="646" t="n">
        <v>45813</v>
      </c>
      <c r="EJ13" s="655" t="n">
        <v>45820</v>
      </c>
      <c r="EK13" s="646" t="n">
        <v>45805</v>
      </c>
      <c r="EL13" s="646" t="n">
        <v>45798</v>
      </c>
      <c r="EM13" s="655" t="n">
        <v>45798</v>
      </c>
      <c r="EN13" s="690" t="n">
        <v>45798</v>
      </c>
      <c r="EO13" s="655" t="n">
        <v>45797</v>
      </c>
      <c r="EP13" s="646" t="n">
        <v>45790</v>
      </c>
      <c r="EQ13" s="655" t="n">
        <v>45794</v>
      </c>
      <c r="ER13" s="683" t="n">
        <v>45735</v>
      </c>
      <c r="ES13" s="655" t="n">
        <v>45790</v>
      </c>
      <c r="ET13" s="655" t="n">
        <v>45785</v>
      </c>
      <c r="EU13" s="684" t="n">
        <v>45785</v>
      </c>
      <c r="EV13" s="646" t="n">
        <v>45770</v>
      </c>
      <c r="EW13" s="646" t="n">
        <v>45756</v>
      </c>
      <c r="EX13" s="646" t="n">
        <v>45749</v>
      </c>
      <c r="EY13" s="646" t="n">
        <v>45743</v>
      </c>
      <c r="EZ13" s="646" t="n">
        <v>45734</v>
      </c>
      <c r="FA13" s="646" t="n">
        <v>45728</v>
      </c>
      <c r="FB13" s="684" t="n">
        <v>45700</v>
      </c>
      <c r="FC13" s="646" t="n">
        <v>45722</v>
      </c>
      <c r="FD13" s="646" t="n">
        <v>45714</v>
      </c>
      <c r="FE13" s="655" t="n">
        <v>45721</v>
      </c>
      <c r="FF13" s="646" t="n">
        <v>45706</v>
      </c>
      <c r="FG13" s="646" t="n">
        <v>45699</v>
      </c>
      <c r="FH13" s="646" t="n">
        <v>45693</v>
      </c>
      <c r="FI13" s="646" t="n">
        <v>45685</v>
      </c>
      <c r="FJ13" s="646" t="n">
        <v>45674</v>
      </c>
      <c r="FK13" s="646" t="n">
        <v>45664</v>
      </c>
      <c r="FL13" s="685" t="n">
        <v>45670</v>
      </c>
      <c r="FM13" s="646" t="n">
        <v>45660</v>
      </c>
      <c r="FN13" s="655" t="n">
        <v>45661</v>
      </c>
      <c r="FO13" s="646" t="n">
        <v>45652</v>
      </c>
      <c r="FQ13" s="267" t="inlineStr">
        <is>
          <t>DIVERSOS</t>
        </is>
      </c>
      <c r="FR13" s="205" t="inlineStr">
        <is>
          <t>PCT</t>
        </is>
      </c>
      <c r="FS13" s="650" t="n">
        <v>46118</v>
      </c>
      <c r="FT13" s="650" t="n">
        <v>46125</v>
      </c>
      <c r="FU13" s="650" t="n">
        <v>46132</v>
      </c>
      <c r="FV13" s="650" t="n">
        <v>46139</v>
      </c>
      <c r="FW13" s="650" t="n">
        <v>46146</v>
      </c>
      <c r="FX13" s="650" t="n">
        <v>46154</v>
      </c>
      <c r="FY13" s="650" t="n">
        <v>46160</v>
      </c>
      <c r="FZ13" s="650" t="n">
        <v>46160</v>
      </c>
      <c r="GA13" s="650" t="n">
        <v>46160</v>
      </c>
      <c r="GB13" s="651" t="n">
        <v>46161.48002896991</v>
      </c>
      <c r="GC13" s="651" t="n">
        <v>46161.48070875</v>
      </c>
      <c r="GD13" s="651" t="n">
        <v>46161.48286707474</v>
      </c>
      <c r="GE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115" t="n">
        <v>4</v>
      </c>
      <c r="G14" s="115" t="n">
        <v>5</v>
      </c>
      <c r="H14" s="115" t="n">
        <v>7</v>
      </c>
      <c r="I14" s="115" t="n">
        <v>7</v>
      </c>
      <c r="J14" s="115" t="n">
        <v>7</v>
      </c>
      <c r="K14" s="115" t="n">
        <v>6</v>
      </c>
      <c r="L14" s="115" t="n">
        <v>5</v>
      </c>
      <c r="M14" s="115" t="n">
        <v>4</v>
      </c>
      <c r="N14" s="115" t="n">
        <v>4</v>
      </c>
      <c r="O14" s="115" t="n">
        <v>2</v>
      </c>
      <c r="P14" s="115">
        <f>1+EZ14</f>
        <v/>
      </c>
      <c r="Q14" s="115" t="n">
        <v>4</v>
      </c>
      <c r="R14" s="115">
        <f>2+EW14</f>
        <v/>
      </c>
      <c r="S14" s="115" t="n">
        <v>4</v>
      </c>
      <c r="T14" s="115" t="n">
        <v>7</v>
      </c>
      <c r="U14" s="115" t="n">
        <v>6</v>
      </c>
      <c r="V14" s="115" t="n">
        <v>6</v>
      </c>
      <c r="W14" s="115" t="n">
        <v>6</v>
      </c>
      <c r="X14" s="115" t="n">
        <v>6</v>
      </c>
      <c r="Y14" s="115">
        <f>2+4</f>
        <v/>
      </c>
      <c r="Z14" s="115" t="n">
        <v>5</v>
      </c>
      <c r="AA14" s="115" t="n">
        <v>4</v>
      </c>
      <c r="AB14" s="115">
        <f>4+EH14</f>
        <v/>
      </c>
      <c r="AC14" s="115" t="n">
        <v>5</v>
      </c>
      <c r="AD14" s="115" t="n">
        <v>2</v>
      </c>
      <c r="AE14" s="115">
        <f>1+EE14</f>
        <v/>
      </c>
      <c r="AF14" s="115">
        <f>3+EB14</f>
        <v/>
      </c>
      <c r="AG14" s="115">
        <f>4+EA14</f>
        <v/>
      </c>
      <c r="AH14" s="115" t="n">
        <v>4</v>
      </c>
      <c r="AI14" s="115" t="n">
        <v>3</v>
      </c>
      <c r="AJ14" s="115" t="n">
        <v>4</v>
      </c>
      <c r="AK14" s="115" t="n">
        <v>4</v>
      </c>
      <c r="AL14" s="115" t="n">
        <v>3</v>
      </c>
      <c r="AM14" s="115" t="n">
        <v>2</v>
      </c>
      <c r="AN14" s="115" t="n">
        <v>3</v>
      </c>
      <c r="AO14" s="115" t="n">
        <v>3</v>
      </c>
      <c r="AP14" s="115" t="n">
        <v>3</v>
      </c>
      <c r="AQ14" s="115" t="n">
        <v>2</v>
      </c>
      <c r="AR14" s="115" t="n">
        <v>1</v>
      </c>
      <c r="AS14" s="115" t="n">
        <v>3</v>
      </c>
      <c r="AT14" s="115" t="n">
        <v>2</v>
      </c>
      <c r="AU14" s="115">
        <f>2+DE14</f>
        <v/>
      </c>
      <c r="AV14" s="115" t="n">
        <v>3</v>
      </c>
      <c r="AW14" s="115" t="n">
        <v>1</v>
      </c>
      <c r="AX14" s="115">
        <f>0+DA14</f>
        <v/>
      </c>
      <c r="AY14" s="115" t="n">
        <v>3</v>
      </c>
      <c r="AZ14" s="115" t="n">
        <v>3</v>
      </c>
      <c r="BA14" s="115" t="n">
        <v>3</v>
      </c>
      <c r="BB14" s="115" t="n">
        <v>3</v>
      </c>
      <c r="BC14" s="115">
        <f>3+CX14</f>
        <v/>
      </c>
      <c r="BD14" s="115" t="n">
        <v>3</v>
      </c>
      <c r="BE14" s="115" t="n">
        <v>0</v>
      </c>
      <c r="BF14" s="115" t="n">
        <v>0</v>
      </c>
      <c r="BG14" s="115" t="n">
        <v>0</v>
      </c>
      <c r="BH14" s="115" t="n">
        <v>8</v>
      </c>
      <c r="BI14" s="115" t="n">
        <v>12</v>
      </c>
      <c r="BJ14" s="115" t="n">
        <v>12</v>
      </c>
      <c r="BK14" s="115" t="n">
        <v>10</v>
      </c>
      <c r="BL14" s="115" t="n">
        <v>13</v>
      </c>
      <c r="BM14" s="115" t="n">
        <v>11</v>
      </c>
      <c r="BN14" s="115" t="n">
        <v>10</v>
      </c>
      <c r="BO14" s="115" t="n">
        <v>8</v>
      </c>
      <c r="BP14" s="115" t="n">
        <v>5</v>
      </c>
      <c r="BQ14" s="115">
        <f>4+CO14</f>
        <v/>
      </c>
      <c r="BR14" s="115" t="n">
        <v>7</v>
      </c>
      <c r="BS14" s="115" t="n">
        <v>5</v>
      </c>
      <c r="BT14" s="115" t="n">
        <v>3</v>
      </c>
      <c r="BU14" s="115" t="n">
        <v>8</v>
      </c>
      <c r="BV14" s="115" t="n">
        <v>7</v>
      </c>
      <c r="BW14" s="115" t="n">
        <v>7</v>
      </c>
      <c r="BX14" s="115">
        <f>6+CL14</f>
        <v/>
      </c>
      <c r="BY14" s="115" t="n">
        <v>9</v>
      </c>
      <c r="BZ14" s="115" t="n"/>
      <c r="CA14" s="115" t="n"/>
      <c r="CB14" s="115" t="n"/>
      <c r="CC14" s="663" t="n"/>
      <c r="CD14" s="663" t="n"/>
      <c r="CE14" s="663" t="n"/>
      <c r="CF14" s="154">
        <f>CD14+IF(NOT(ISBLANK(OFFSET(CF14,0,6))),N(OFFSET(CF14,0,6)),N(OFFSET(CF14,0,7)))-CE14</f>
        <v/>
      </c>
      <c r="CG14" s="642" t="n"/>
      <c r="CH14" s="19" t="n"/>
      <c r="CI14" s="19" t="n"/>
      <c r="CJ14" s="4" t="n"/>
      <c r="CK14" s="23" t="n"/>
      <c r="CL14" s="703" t="n">
        <v>0</v>
      </c>
      <c r="CM14" s="18" t="n">
        <v>0</v>
      </c>
      <c r="CN14" s="18" t="n">
        <v>0</v>
      </c>
      <c r="CO14" s="18" t="n">
        <v>5</v>
      </c>
      <c r="CP14" s="18" t="n">
        <v>6</v>
      </c>
      <c r="CQ14" s="256" t="n">
        <v>20</v>
      </c>
      <c r="CR14" s="18" t="n">
        <v>5</v>
      </c>
      <c r="CS14" s="18" t="n"/>
      <c r="CT14" s="18" t="n">
        <v>5</v>
      </c>
      <c r="CU14" s="18" t="n"/>
      <c r="CV14" s="18" t="n">
        <v>3</v>
      </c>
      <c r="CW14" s="18" t="n">
        <v>5</v>
      </c>
      <c r="CX14" s="18" t="n">
        <v>10</v>
      </c>
      <c r="CY14" s="18" t="n">
        <v>3</v>
      </c>
      <c r="CZ14" s="18" t="n"/>
      <c r="DA14" s="18" t="n">
        <v>2</v>
      </c>
      <c r="DB14" s="18" t="n"/>
      <c r="DC14" s="18" t="n"/>
      <c r="DD14" s="18" t="n">
        <v>3</v>
      </c>
      <c r="DE14" s="18" t="n"/>
      <c r="DF14" s="256" t="n"/>
      <c r="DG14" s="18" t="n"/>
      <c r="DH14" s="18" t="n">
        <v>1</v>
      </c>
      <c r="DI14" s="18" t="n">
        <v>1</v>
      </c>
      <c r="DJ14" s="18" t="n"/>
      <c r="DK14" s="256" t="n">
        <v>15</v>
      </c>
      <c r="DL14" s="18" t="n">
        <v>2</v>
      </c>
      <c r="DM14" s="378" t="inlineStr">
        <is>
          <t>100 DE PB</t>
        </is>
      </c>
      <c r="DN14" s="256" t="n"/>
      <c r="DO14" s="18" t="n"/>
      <c r="DP14" s="18" t="n"/>
      <c r="DQ14" s="18" t="n"/>
      <c r="DR14" s="18" t="n">
        <v>1</v>
      </c>
      <c r="DS14" s="256" t="n"/>
      <c r="DT14" s="18" t="n"/>
      <c r="DU14" s="256" t="n"/>
      <c r="DV14" s="18" t="n">
        <v>1</v>
      </c>
      <c r="DW14" s="18" t="n">
        <v>1</v>
      </c>
      <c r="DX14" s="18" t="n"/>
      <c r="DY14" s="18" t="n"/>
      <c r="DZ14" s="256" t="n"/>
      <c r="EA14" s="256" t="n"/>
      <c r="EB14" s="18" t="n">
        <v>1</v>
      </c>
      <c r="EC14" s="18" t="n"/>
      <c r="ED14" s="18" t="n">
        <v>1</v>
      </c>
      <c r="EE14" s="18" t="n">
        <v>1</v>
      </c>
      <c r="EF14" s="256" t="n"/>
      <c r="EG14" s="256" t="n">
        <v>5</v>
      </c>
      <c r="EH14" s="18" t="n">
        <v>3</v>
      </c>
      <c r="EI14" s="18" t="n"/>
      <c r="EJ14" s="18" t="n"/>
      <c r="EK14" s="18" t="n">
        <v>2</v>
      </c>
      <c r="EL14" s="18" t="n"/>
      <c r="EM14" s="256" t="n"/>
      <c r="EN14" s="256" t="n"/>
      <c r="EO14" s="256" t="n"/>
      <c r="EP14" s="18" t="n"/>
      <c r="EQ14" s="241" t="inlineStr">
        <is>
          <t>04 DE ER PG</t>
        </is>
      </c>
      <c r="ER14" s="256" t="n">
        <v>1</v>
      </c>
      <c r="ES14" s="18" t="n"/>
      <c r="ET14" s="18" t="n"/>
      <c r="EU14" s="256" t="n"/>
      <c r="EV14" s="18" t="n"/>
      <c r="EW14" s="18" t="n"/>
      <c r="EX14" s="18" t="n"/>
      <c r="EY14" s="18" t="n">
        <v>3</v>
      </c>
      <c r="EZ14" s="18" t="n">
        <v>2</v>
      </c>
      <c r="FA14" s="18" t="n"/>
      <c r="FB14" s="256" t="n">
        <v>10</v>
      </c>
      <c r="FC14" s="18" t="n">
        <v>4</v>
      </c>
      <c r="FD14" s="18" t="n"/>
      <c r="FE14" s="18" t="n"/>
      <c r="FF14" s="18" t="n"/>
      <c r="FG14" s="18" t="n"/>
      <c r="FH14" s="18" t="n"/>
      <c r="FI14" s="18" t="n"/>
      <c r="FJ14" s="18" t="n"/>
      <c r="FK14" s="18" t="n"/>
      <c r="FL14" s="256" t="n"/>
      <c r="FM14" s="18" t="n">
        <v>3</v>
      </c>
      <c r="FN14" s="18" t="n"/>
      <c r="FO14" s="18" t="n">
        <v>1</v>
      </c>
      <c r="FQ14" s="159" t="inlineStr">
        <is>
          <t>PAPEL DE SEDA</t>
        </is>
      </c>
      <c r="FR14" s="129" t="n">
        <v>200</v>
      </c>
      <c r="FS14" s="38">
        <f>CN14</f>
        <v/>
      </c>
      <c r="FT14" s="38" t="n">
        <v>20</v>
      </c>
      <c r="FU14" s="38" t="n">
        <v>18</v>
      </c>
      <c r="FV14" s="38" t="n">
        <v>17</v>
      </c>
      <c r="FW14" s="38" t="n">
        <v>15</v>
      </c>
      <c r="FX14" s="38" t="n">
        <v>5</v>
      </c>
      <c r="FY14" s="38" t="n"/>
      <c r="FZ14" s="38" t="n"/>
      <c r="GA14" s="38" t="n"/>
      <c r="GB14" s="9" t="n"/>
      <c r="GC14" s="9" t="n"/>
      <c r="GD14" s="9" t="n"/>
      <c r="GE14" s="246">
        <f>GC14+IF(NOT(ISBLANK(OFFSET(GE14,0,6))),N(OFFSET(GE14,0,6)),N(OFFSET(GE14,0,7)))-GD14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115" t="n">
        <v>2</v>
      </c>
      <c r="G15" s="115" t="n">
        <v>2</v>
      </c>
      <c r="H15" s="115" t="n">
        <v>3</v>
      </c>
      <c r="I15" s="115" t="n">
        <v>2</v>
      </c>
      <c r="J15" s="115" t="n">
        <v>2</v>
      </c>
      <c r="K15" s="115" t="n">
        <v>2</v>
      </c>
      <c r="L15" s="115" t="n">
        <v>2</v>
      </c>
      <c r="M15" s="115" t="n">
        <v>2</v>
      </c>
      <c r="N15" s="115" t="n">
        <v>2</v>
      </c>
      <c r="O15" s="115" t="n">
        <v>2</v>
      </c>
      <c r="P15" s="115">
        <f>2+EZ15</f>
        <v/>
      </c>
      <c r="Q15" s="115" t="n">
        <v>3</v>
      </c>
      <c r="R15" s="115" t="n">
        <v>2</v>
      </c>
      <c r="S15" s="115" t="n">
        <v>2</v>
      </c>
      <c r="T15" s="115" t="n">
        <v>2</v>
      </c>
      <c r="U15" s="115" t="n">
        <v>2</v>
      </c>
      <c r="V15" s="115" t="n">
        <v>2</v>
      </c>
      <c r="W15" s="115" t="n">
        <v>2</v>
      </c>
      <c r="X15" s="115" t="n">
        <v>2</v>
      </c>
      <c r="Y15" s="115">
        <f>1+2</f>
        <v/>
      </c>
      <c r="Z15" s="115" t="n">
        <v>3</v>
      </c>
      <c r="AA15" s="115" t="n">
        <v>3</v>
      </c>
      <c r="AB15" s="115" t="n">
        <v>3</v>
      </c>
      <c r="AC15" s="115" t="n">
        <v>2</v>
      </c>
      <c r="AD15" s="115" t="n">
        <v>2</v>
      </c>
      <c r="AE15" s="115" t="n">
        <v>3</v>
      </c>
      <c r="AF15" s="115" t="n">
        <v>3</v>
      </c>
      <c r="AG15" s="115" t="n">
        <v>2</v>
      </c>
      <c r="AH15" s="115" t="n">
        <v>2</v>
      </c>
      <c r="AI15" s="115" t="n">
        <v>2</v>
      </c>
      <c r="AJ15" s="115" t="n">
        <v>1</v>
      </c>
      <c r="AK15" s="115" t="n">
        <v>1</v>
      </c>
      <c r="AL15" s="115" t="n">
        <v>2</v>
      </c>
      <c r="AM15" s="115" t="n">
        <v>2</v>
      </c>
      <c r="AN15" s="115" t="n">
        <v>2</v>
      </c>
      <c r="AO15" s="115" t="n">
        <v>1</v>
      </c>
      <c r="AP15" s="115" t="n">
        <v>1</v>
      </c>
      <c r="AQ15" s="115" t="n">
        <v>1</v>
      </c>
      <c r="AR15" s="115" t="n">
        <v>1</v>
      </c>
      <c r="AS15" s="115" t="n">
        <v>1</v>
      </c>
      <c r="AT15" s="115" t="n">
        <v>1</v>
      </c>
      <c r="AU15" s="115" t="n">
        <v>2</v>
      </c>
      <c r="AV15" s="115" t="n">
        <v>1</v>
      </c>
      <c r="AW15" s="115">
        <f>1+DB15</f>
        <v/>
      </c>
      <c r="AX15" s="115" t="n">
        <v>5</v>
      </c>
      <c r="AY15" s="115" t="n">
        <v>5</v>
      </c>
      <c r="AZ15" s="115" t="n">
        <v>5</v>
      </c>
      <c r="BA15" s="115" t="n">
        <v>5</v>
      </c>
      <c r="BB15" s="115" t="n">
        <v>5</v>
      </c>
      <c r="BC15" s="115" t="n">
        <v>5</v>
      </c>
      <c r="BD15" s="115" t="n">
        <v>5</v>
      </c>
      <c r="BE15" s="115" t="n">
        <v>4</v>
      </c>
      <c r="BF15" s="115" t="n">
        <v>4</v>
      </c>
      <c r="BG15" s="115" t="n">
        <v>4</v>
      </c>
      <c r="BH15" s="115" t="n">
        <v>5</v>
      </c>
      <c r="BI15" s="115" t="n">
        <v>5</v>
      </c>
      <c r="BJ15" s="115" t="n">
        <v>5</v>
      </c>
      <c r="BK15" s="115" t="n">
        <v>5</v>
      </c>
      <c r="BL15" s="115" t="n">
        <v>5</v>
      </c>
      <c r="BM15" s="115" t="n">
        <v>4</v>
      </c>
      <c r="BN15" s="115" t="n">
        <v>4</v>
      </c>
      <c r="BO15" s="115" t="n">
        <v>4</v>
      </c>
      <c r="BP15" s="115" t="n">
        <v>3</v>
      </c>
      <c r="BQ15" s="115" t="n">
        <v>3</v>
      </c>
      <c r="BR15" s="115" t="n">
        <v>3</v>
      </c>
      <c r="BS15" s="115" t="n">
        <v>3</v>
      </c>
      <c r="BT15" s="115" t="n">
        <v>2</v>
      </c>
      <c r="BU15" s="115" t="n">
        <v>2</v>
      </c>
      <c r="BV15" s="115" t="n">
        <v>2</v>
      </c>
      <c r="BW15" s="115" t="n">
        <v>1</v>
      </c>
      <c r="BX15" s="115" t="n">
        <v>1</v>
      </c>
      <c r="BY15" s="115" t="n">
        <v>1</v>
      </c>
      <c r="BZ15" s="115" t="n"/>
      <c r="CA15" s="115" t="n"/>
      <c r="CB15" s="115" t="n"/>
      <c r="CC15" s="663" t="n"/>
      <c r="CD15" s="663" t="n"/>
      <c r="CE15" s="663" t="n"/>
      <c r="CF15" s="154">
        <f>CD15+IF(NOT(ISBLANK(OFFSET(CF15,0,6))),N(OFFSET(CF15,0,6)),N(OFFSET(CF15,0,7)))-CE15</f>
        <v/>
      </c>
      <c r="CG15" s="642" t="n"/>
      <c r="CH15" s="19" t="inlineStr">
        <is>
          <t>05 DE ER PG</t>
        </is>
      </c>
      <c r="CI15" s="19" t="n"/>
      <c r="CJ15" s="4" t="n"/>
      <c r="CK15" s="23" t="n"/>
      <c r="CL15" s="703" t="n">
        <v>0</v>
      </c>
      <c r="CM15" s="18" t="n">
        <v>0</v>
      </c>
      <c r="CN15" s="18" t="n">
        <v>0</v>
      </c>
      <c r="CO15" s="18" t="n">
        <v>0</v>
      </c>
      <c r="CP15" s="18" t="n"/>
      <c r="CQ15" s="256" t="n">
        <v>5</v>
      </c>
      <c r="CR15" s="18" t="n"/>
      <c r="CS15" s="18" t="n"/>
      <c r="CT15" s="18" t="n"/>
      <c r="CU15" s="18" t="n"/>
      <c r="CV15" s="18" t="n"/>
      <c r="CW15" s="18" t="n"/>
      <c r="CX15" s="18" t="n">
        <v>2</v>
      </c>
      <c r="CY15" s="18" t="n"/>
      <c r="CZ15" s="18" t="n"/>
      <c r="DA15" s="18" t="n"/>
      <c r="DB15" s="18" t="n"/>
      <c r="DC15" s="18" t="n"/>
      <c r="DD15" s="18" t="n"/>
      <c r="DE15" s="18" t="n">
        <v>5</v>
      </c>
      <c r="DF15" s="256" t="n"/>
      <c r="DG15" s="18" t="n"/>
      <c r="DH15" s="18" t="n"/>
      <c r="DI15" s="18" t="n">
        <v>1</v>
      </c>
      <c r="DJ15" s="18" t="n"/>
      <c r="DK15" s="256" t="n">
        <v>12</v>
      </c>
      <c r="DL15" s="18" t="n"/>
      <c r="DM15" s="378" t="inlineStr">
        <is>
          <t>100 DE PB</t>
        </is>
      </c>
      <c r="DN15" s="256" t="n"/>
      <c r="DO15" s="18" t="n"/>
      <c r="DP15" s="18" t="n"/>
      <c r="DQ15" s="18" t="n"/>
      <c r="DR15" s="18" t="n"/>
      <c r="DS15" s="256" t="n"/>
      <c r="DT15" s="18" t="n"/>
      <c r="DU15" s="256" t="n"/>
      <c r="DV15" s="18" t="n"/>
      <c r="DW15" s="18" t="n"/>
      <c r="DX15" s="18" t="n"/>
      <c r="DY15" s="18" t="n">
        <v>1</v>
      </c>
      <c r="DZ15" s="256" t="n"/>
      <c r="EA15" s="256" t="n"/>
      <c r="EB15" s="18" t="n"/>
      <c r="EC15" s="18" t="n"/>
      <c r="ED15" s="18" t="n"/>
      <c r="EE15" s="18" t="n"/>
      <c r="EF15" s="256" t="n"/>
      <c r="EG15" s="256" t="n"/>
      <c r="EH15" s="18" t="n"/>
      <c r="EI15" s="18" t="n"/>
      <c r="EJ15" s="18" t="n"/>
      <c r="EK15" s="18" t="n"/>
      <c r="EL15" s="18" t="n"/>
      <c r="EM15" s="256" t="n"/>
      <c r="EN15" s="256" t="n"/>
      <c r="EO15" s="256" t="n"/>
      <c r="EP15" s="18" t="n"/>
      <c r="EQ15" s="256" t="n"/>
      <c r="ER15" s="256" t="n">
        <v>2</v>
      </c>
      <c r="ES15" s="241" t="inlineStr">
        <is>
          <t>02 DE ATC</t>
        </is>
      </c>
      <c r="ET15" s="18" t="n"/>
      <c r="EU15" s="256" t="n"/>
      <c r="EV15" s="18" t="n"/>
      <c r="EW15" s="18" t="n"/>
      <c r="EX15" s="18" t="n"/>
      <c r="EY15" s="18" t="n"/>
      <c r="EZ15" s="18" t="n"/>
      <c r="FA15" s="18" t="n"/>
      <c r="FB15" s="256" t="n">
        <v>1</v>
      </c>
      <c r="FC15" s="18" t="n">
        <v>1</v>
      </c>
      <c r="FD15" s="18" t="n"/>
      <c r="FE15" s="18" t="n"/>
      <c r="FF15" s="18" t="n"/>
      <c r="FG15" s="18" t="n"/>
      <c r="FH15" s="18" t="n"/>
      <c r="FI15" s="18" t="n"/>
      <c r="FJ15" s="18" t="n"/>
      <c r="FK15" s="18" t="n"/>
      <c r="FL15" s="256" t="n"/>
      <c r="FM15" s="18" t="n">
        <v>1</v>
      </c>
      <c r="FN15" s="18" t="n"/>
      <c r="FO15" s="18" t="n"/>
      <c r="FQ15" s="29" t="inlineStr">
        <is>
          <t>ADESIVOS</t>
        </is>
      </c>
      <c r="FR15" s="9" t="n">
        <v>200</v>
      </c>
      <c r="FS15" s="38">
        <f>CN15</f>
        <v/>
      </c>
      <c r="FT15" s="38" t="n">
        <v>5</v>
      </c>
      <c r="FU15" s="38" t="n">
        <v>5</v>
      </c>
      <c r="FV15" s="38" t="n">
        <v>4</v>
      </c>
      <c r="FW15" s="38" t="n">
        <v>4</v>
      </c>
      <c r="FX15" s="38" t="n">
        <v>0</v>
      </c>
      <c r="FY15" s="38" t="n"/>
      <c r="FZ15" s="38" t="n"/>
      <c r="GA15" s="38" t="n"/>
      <c r="GB15" s="9" t="n"/>
      <c r="GC15" s="9" t="n"/>
      <c r="GD15" s="9" t="n"/>
      <c r="GE15" s="246">
        <f>GC15+IF(NOT(ISBLANK(OFFSET(GE15,0,6))),N(OFFSET(GE15,0,6)),N(OFFSET(GE15,0,7)))-GD15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5</v>
      </c>
      <c r="E16" s="2" t="n"/>
      <c r="F16" s="115" t="n">
        <v>1</v>
      </c>
      <c r="G16" s="115" t="n">
        <v>3</v>
      </c>
      <c r="H16" s="115" t="n">
        <v>4</v>
      </c>
      <c r="I16" s="115" t="n">
        <v>3</v>
      </c>
      <c r="J16" s="115" t="n">
        <v>2</v>
      </c>
      <c r="K16" s="115" t="n">
        <v>4</v>
      </c>
      <c r="L16" s="115" t="n">
        <v>3</v>
      </c>
      <c r="M16" s="115" t="n">
        <v>2</v>
      </c>
      <c r="N16" s="115" t="n">
        <v>1</v>
      </c>
      <c r="O16" s="115">
        <f>1+FA16</f>
        <v/>
      </c>
      <c r="P16" s="115">
        <f>4+EZ16</f>
        <v/>
      </c>
      <c r="Q16" s="115" t="n">
        <v>4</v>
      </c>
      <c r="R16" s="115" t="n">
        <v>3</v>
      </c>
      <c r="S16" s="115" t="n">
        <v>3</v>
      </c>
      <c r="T16" s="115" t="n">
        <v>1</v>
      </c>
      <c r="U16" s="115" t="n">
        <v>1</v>
      </c>
      <c r="V16" s="115" t="n">
        <v>0</v>
      </c>
      <c r="W16" s="115" t="n">
        <v>5</v>
      </c>
      <c r="X16" s="115" t="n">
        <v>3</v>
      </c>
      <c r="Y16" s="115">
        <f>0+2</f>
        <v/>
      </c>
      <c r="Z16" s="115">
        <f>1+5</f>
        <v/>
      </c>
      <c r="AA16" s="115" t="n">
        <v>5</v>
      </c>
      <c r="AB16" s="115" t="n">
        <v>4</v>
      </c>
      <c r="AC16" s="115" t="n">
        <v>3</v>
      </c>
      <c r="AD16" s="115" t="n">
        <v>3</v>
      </c>
      <c r="AE16" s="115">
        <f>3+EE16</f>
        <v/>
      </c>
      <c r="AF16" s="115" t="n">
        <v>5</v>
      </c>
      <c r="AG16" s="115">
        <f>4+EA16</f>
        <v/>
      </c>
      <c r="AH16" s="115" t="n">
        <v>5</v>
      </c>
      <c r="AI16" s="115" t="n">
        <v>4</v>
      </c>
      <c r="AJ16" s="115" t="n">
        <v>4</v>
      </c>
      <c r="AK16" s="115" t="n">
        <v>3</v>
      </c>
      <c r="AL16" s="115" t="n">
        <v>4</v>
      </c>
      <c r="AM16" s="115" t="n">
        <v>3</v>
      </c>
      <c r="AN16" s="115" t="n">
        <v>4</v>
      </c>
      <c r="AO16" s="115" t="n">
        <v>4</v>
      </c>
      <c r="AP16" s="115" t="n">
        <v>6</v>
      </c>
      <c r="AQ16" s="115" t="n">
        <v>5</v>
      </c>
      <c r="AR16" s="115" t="n">
        <v>4</v>
      </c>
      <c r="AS16" s="115" t="n">
        <v>4</v>
      </c>
      <c r="AT16" s="115" t="n">
        <v>3</v>
      </c>
      <c r="AU16" s="115" t="n">
        <v>3</v>
      </c>
      <c r="AV16" s="115" t="n">
        <v>2</v>
      </c>
      <c r="AW16" s="115" t="n">
        <v>1</v>
      </c>
      <c r="AX16" s="115">
        <f>0+DA16</f>
        <v/>
      </c>
      <c r="AY16" s="115" t="n">
        <v>1</v>
      </c>
      <c r="AZ16" s="115">
        <f>4+CZ16</f>
        <v/>
      </c>
      <c r="BA16" s="115">
        <f>7+CY16</f>
        <v/>
      </c>
      <c r="BB16" s="115" t="n">
        <v>7</v>
      </c>
      <c r="BC16" s="115">
        <f>10+CX16</f>
        <v/>
      </c>
      <c r="BD16" s="115" t="n">
        <v>14</v>
      </c>
      <c r="BE16" s="115" t="n">
        <v>4</v>
      </c>
      <c r="BF16" s="115" t="n">
        <v>0</v>
      </c>
      <c r="BG16" s="115" t="n">
        <v>0</v>
      </c>
      <c r="BH16" s="115" t="n">
        <v>4</v>
      </c>
      <c r="BI16" s="115" t="n">
        <v>5</v>
      </c>
      <c r="BJ16" s="115">
        <f>5+CR16</f>
        <v/>
      </c>
      <c r="BK16" s="115" t="n">
        <v>9</v>
      </c>
      <c r="BL16" s="115" t="n">
        <v>9</v>
      </c>
      <c r="BM16" s="115" t="n">
        <v>8</v>
      </c>
      <c r="BN16" s="115" t="n">
        <v>7</v>
      </c>
      <c r="BO16" s="115" t="n">
        <v>7</v>
      </c>
      <c r="BP16" s="115" t="n">
        <v>5</v>
      </c>
      <c r="BQ16" s="115">
        <f>3+CO16</f>
        <v/>
      </c>
      <c r="BR16" s="115" t="n">
        <v>5</v>
      </c>
      <c r="BS16" s="115" t="n">
        <v>5</v>
      </c>
      <c r="BT16" s="115" t="n">
        <v>4</v>
      </c>
      <c r="BU16" s="115" t="n">
        <v>3</v>
      </c>
      <c r="BV16" s="115" t="n">
        <v>2</v>
      </c>
      <c r="BW16" s="115" t="n">
        <v>0</v>
      </c>
      <c r="BX16" s="115">
        <f>0+CL16</f>
        <v/>
      </c>
      <c r="BY16" s="115" t="n">
        <v>0</v>
      </c>
      <c r="BZ16" s="115" t="n"/>
      <c r="CA16" s="115" t="n"/>
      <c r="CB16" s="115" t="n"/>
      <c r="CC16" s="663" t="n"/>
      <c r="CD16" s="663" t="n"/>
      <c r="CE16" s="663" t="n"/>
      <c r="CF16" s="154">
        <f>CD16+IF(NOT(ISBLANK(OFFSET(CF16,0,6))),N(OFFSET(CF16,0,6)),N(OFFSET(CF16,0,7)))-CE16</f>
        <v/>
      </c>
      <c r="CG16" s="2" t="n"/>
      <c r="CH16" s="19" t="n"/>
      <c r="CI16" s="19" t="n">
        <v>5</v>
      </c>
      <c r="CJ16" s="4" t="n"/>
      <c r="CK16" s="23" t="n"/>
      <c r="CL16" s="691" t="n">
        <v>0</v>
      </c>
      <c r="CM16" s="18" t="n">
        <v>0</v>
      </c>
      <c r="CN16" s="18" t="n">
        <v>0</v>
      </c>
      <c r="CO16" s="18" t="n">
        <v>3</v>
      </c>
      <c r="CP16" s="18" t="n"/>
      <c r="CQ16" s="356" t="n"/>
      <c r="CR16" s="18" t="n">
        <v>2</v>
      </c>
      <c r="CS16" s="18" t="n"/>
      <c r="CT16" s="18" t="n">
        <v>1</v>
      </c>
      <c r="CU16" s="18" t="n">
        <v>5</v>
      </c>
      <c r="CV16" s="18" t="n">
        <v>2</v>
      </c>
      <c r="CW16" s="18" t="n"/>
      <c r="CX16" s="18" t="n">
        <v>5</v>
      </c>
      <c r="CY16" s="18" t="n"/>
      <c r="CZ16" s="18" t="n"/>
      <c r="DA16" s="18" t="n">
        <v>5</v>
      </c>
      <c r="DB16" s="18" t="n">
        <v>5</v>
      </c>
      <c r="DC16" s="18" t="n">
        <v>3</v>
      </c>
      <c r="DD16" s="18" t="n">
        <v>3</v>
      </c>
      <c r="DE16" s="18" t="n"/>
      <c r="DF16" s="256" t="n"/>
      <c r="DG16" s="18" t="n"/>
      <c r="DH16" s="18" t="n"/>
      <c r="DI16" s="18" t="n">
        <v>1</v>
      </c>
      <c r="DJ16" s="18" t="n"/>
      <c r="DK16" s="256" t="n"/>
      <c r="DL16" s="18" t="n">
        <v>1</v>
      </c>
      <c r="DM16" s="256" t="n"/>
      <c r="DN16" s="256" t="n"/>
      <c r="DO16" s="18" t="n"/>
      <c r="DP16" s="18" t="n"/>
      <c r="DQ16" s="18" t="n"/>
      <c r="DR16" s="18" t="n">
        <v>3</v>
      </c>
      <c r="DS16" s="256" t="n"/>
      <c r="DT16" s="18" t="n"/>
      <c r="DU16" s="256" t="n"/>
      <c r="DV16" s="18" t="n">
        <v>1</v>
      </c>
      <c r="DW16" s="18" t="n">
        <v>1</v>
      </c>
      <c r="DX16" s="18" t="n"/>
      <c r="DY16" s="18" t="n">
        <v>2</v>
      </c>
      <c r="DZ16" s="256" t="n"/>
      <c r="EA16" s="256" t="n"/>
      <c r="EB16" s="18" t="n">
        <v>1</v>
      </c>
      <c r="EC16" s="18" t="n"/>
      <c r="ED16" s="18" t="n">
        <v>1</v>
      </c>
      <c r="EE16" s="18" t="n"/>
      <c r="EF16" s="256" t="n"/>
      <c r="EG16" s="256" t="n"/>
      <c r="EH16" s="18" t="n">
        <v>3</v>
      </c>
      <c r="EI16" s="18" t="n">
        <v>1</v>
      </c>
      <c r="EJ16" s="18" t="n"/>
      <c r="EK16" s="18" t="n"/>
      <c r="EL16" s="18" t="n"/>
      <c r="EM16" s="256" t="n"/>
      <c r="EN16" s="256" t="n"/>
      <c r="EO16" s="241" t="inlineStr">
        <is>
          <t>05 DE ER PG</t>
        </is>
      </c>
      <c r="EP16" s="18" t="n"/>
      <c r="EQ16" s="241" t="inlineStr">
        <is>
          <t>02 DE ER PG</t>
        </is>
      </c>
      <c r="ER16" s="256" t="n"/>
      <c r="ES16" s="18" t="n"/>
      <c r="ET16" s="18" t="n"/>
      <c r="EU16" s="256" t="n"/>
      <c r="EV16" s="18" t="n"/>
      <c r="EW16" s="18" t="n">
        <v>5</v>
      </c>
      <c r="EX16" s="18" t="n"/>
      <c r="EY16" s="18" t="n"/>
      <c r="EZ16" s="18" t="n"/>
      <c r="FA16" s="18" t="n"/>
      <c r="FB16" s="256" t="n">
        <v>2</v>
      </c>
      <c r="FC16" s="18" t="n">
        <v>2</v>
      </c>
      <c r="FD16" s="18" t="n">
        <v>3</v>
      </c>
      <c r="FE16" s="18" t="n"/>
      <c r="FF16" s="18" t="n">
        <v>2</v>
      </c>
      <c r="FG16" s="18" t="n"/>
      <c r="FH16" s="18" t="n"/>
      <c r="FI16" s="18" t="n">
        <v>2</v>
      </c>
      <c r="FJ16" s="18" t="n"/>
      <c r="FK16" s="18" t="n"/>
      <c r="FL16" s="256" t="n"/>
      <c r="FM16" s="18" t="n">
        <v>2</v>
      </c>
      <c r="FN16" s="18" t="n"/>
      <c r="FO16" s="18" t="n">
        <v>2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115" t="n">
        <v>6</v>
      </c>
      <c r="G17" s="115" t="n">
        <v>5</v>
      </c>
      <c r="H17" s="115">
        <f>4+FH17</f>
        <v/>
      </c>
      <c r="I17" s="115">
        <f>4+FG17</f>
        <v/>
      </c>
      <c r="J17" s="115" t="n">
        <v>5</v>
      </c>
      <c r="K17" s="115" t="n">
        <v>5</v>
      </c>
      <c r="L17" s="115" t="n">
        <v>4</v>
      </c>
      <c r="M17" s="115" t="n">
        <v>4</v>
      </c>
      <c r="N17" s="115" t="n">
        <v>3</v>
      </c>
      <c r="O17" s="115">
        <f>3+FA17</f>
        <v/>
      </c>
      <c r="P17" s="115">
        <f>5+EZ17</f>
        <v/>
      </c>
      <c r="Q17" s="115" t="n">
        <v>7</v>
      </c>
      <c r="R17" s="115" t="n">
        <v>6</v>
      </c>
      <c r="S17" s="115" t="n">
        <v>6</v>
      </c>
      <c r="T17" s="115" t="n">
        <v>5</v>
      </c>
      <c r="U17" s="115" t="n">
        <v>5</v>
      </c>
      <c r="V17" s="115" t="n">
        <v>4</v>
      </c>
      <c r="W17" s="115" t="n">
        <v>5</v>
      </c>
      <c r="X17" s="115" t="n">
        <v>5</v>
      </c>
      <c r="Y17" s="115">
        <f>3-1</f>
        <v/>
      </c>
      <c r="Z17" s="115" t="n">
        <v>1</v>
      </c>
      <c r="AA17" s="115" t="n">
        <v>3</v>
      </c>
      <c r="AB17" s="115" t="n">
        <v>3</v>
      </c>
      <c r="AC17" s="115" t="n">
        <v>3</v>
      </c>
      <c r="AD17" s="115" t="n">
        <v>1</v>
      </c>
      <c r="AE17" s="115">
        <f>0+EE17</f>
        <v/>
      </c>
      <c r="AF17" s="115" t="n">
        <v>3</v>
      </c>
      <c r="AG17" s="115" t="n">
        <v>3</v>
      </c>
      <c r="AH17" s="115" t="n">
        <v>2</v>
      </c>
      <c r="AI17" s="115" t="n">
        <v>3</v>
      </c>
      <c r="AJ17" s="115" t="n">
        <v>2</v>
      </c>
      <c r="AK17" s="115" t="n">
        <v>2</v>
      </c>
      <c r="AL17" s="115" t="n">
        <v>2</v>
      </c>
      <c r="AM17" s="115" t="n">
        <v>3</v>
      </c>
      <c r="AN17" s="115" t="n">
        <v>4</v>
      </c>
      <c r="AO17" s="115" t="n">
        <v>3</v>
      </c>
      <c r="AP17" s="115" t="n">
        <v>2</v>
      </c>
      <c r="AQ17" s="115" t="n">
        <v>1</v>
      </c>
      <c r="AR17" s="115" t="n">
        <v>1</v>
      </c>
      <c r="AS17" s="115" t="n">
        <v>2</v>
      </c>
      <c r="AT17" s="115" t="n">
        <v>1</v>
      </c>
      <c r="AU17" s="115">
        <f>0+DE17</f>
        <v/>
      </c>
      <c r="AV17" s="115" t="n">
        <v>3</v>
      </c>
      <c r="AW17" s="115" t="n">
        <v>3</v>
      </c>
      <c r="AX17" s="115" t="n">
        <v>2</v>
      </c>
      <c r="AY17" s="115" t="n">
        <v>2</v>
      </c>
      <c r="AZ17" s="115">
        <f>1+CZ17</f>
        <v/>
      </c>
      <c r="BA17" s="115">
        <f>2+CY17</f>
        <v/>
      </c>
      <c r="BB17" s="115" t="n">
        <v>4</v>
      </c>
      <c r="BC17" s="115">
        <f>3+CX17</f>
        <v/>
      </c>
      <c r="BD17" s="115" t="n">
        <v>3</v>
      </c>
      <c r="BE17" s="115" t="n">
        <v>3</v>
      </c>
      <c r="BF17" s="115" t="n">
        <v>3</v>
      </c>
      <c r="BG17" s="115" t="n">
        <v>2</v>
      </c>
      <c r="BH17" s="115" t="n">
        <v>3</v>
      </c>
      <c r="BI17" s="115" t="n">
        <v>5</v>
      </c>
      <c r="BJ17" s="115" t="n">
        <v>5</v>
      </c>
      <c r="BK17" s="115" t="n">
        <v>4</v>
      </c>
      <c r="BL17" s="115" t="n">
        <v>5</v>
      </c>
      <c r="BM17" s="115" t="n">
        <v>5</v>
      </c>
      <c r="BN17" s="115" t="n">
        <v>5</v>
      </c>
      <c r="BO17" s="115" t="n">
        <v>4</v>
      </c>
      <c r="BP17" s="115" t="n">
        <v>3</v>
      </c>
      <c r="BQ17" s="115">
        <f>3+CO17</f>
        <v/>
      </c>
      <c r="BR17" s="115" t="n">
        <v>4</v>
      </c>
      <c r="BS17" s="115" t="n">
        <v>3</v>
      </c>
      <c r="BT17" s="115" t="n">
        <v>3</v>
      </c>
      <c r="BU17" s="115" t="n">
        <v>4</v>
      </c>
      <c r="BV17" s="115" t="n">
        <v>3</v>
      </c>
      <c r="BW17" s="115" t="n">
        <v>3</v>
      </c>
      <c r="BX17" s="115" t="n">
        <v>2</v>
      </c>
      <c r="BY17" s="115">
        <f>0+CK17</f>
        <v/>
      </c>
      <c r="BZ17" s="115" t="n"/>
      <c r="CA17" s="115" t="n"/>
      <c r="CB17" s="115" t="n"/>
      <c r="CC17" s="663" t="n"/>
      <c r="CD17" s="663" t="n"/>
      <c r="CE17" s="663" t="n"/>
      <c r="CF17" s="154">
        <f>CD17+IF(NOT(ISBLANK(OFFSET(CF17,0,6))),N(OFFSET(CF17,0,6)),N(OFFSET(CF17,0,7)))-CE17</f>
        <v/>
      </c>
      <c r="CG17" s="2" t="n"/>
      <c r="CH17" s="19" t="n"/>
      <c r="CI17" s="19" t="n">
        <v>2</v>
      </c>
      <c r="CJ17" s="4" t="n"/>
      <c r="CK17" s="23" t="n"/>
      <c r="CL17" s="691" t="n">
        <v>0</v>
      </c>
      <c r="CM17" s="18" t="n">
        <v>0</v>
      </c>
      <c r="CN17" s="18" t="n">
        <v>1</v>
      </c>
      <c r="CO17" s="18" t="n">
        <v>0</v>
      </c>
      <c r="CP17" s="18" t="n">
        <v>1</v>
      </c>
      <c r="CQ17" s="356" t="n"/>
      <c r="CR17" s="18" t="n">
        <v>2</v>
      </c>
      <c r="CS17" s="18" t="n"/>
      <c r="CT17" s="18" t="n">
        <v>2</v>
      </c>
      <c r="CU17" s="18" t="n"/>
      <c r="CV17" s="18" t="n"/>
      <c r="CW17" s="18" t="n">
        <v>2</v>
      </c>
      <c r="CX17" s="18" t="n">
        <v>3</v>
      </c>
      <c r="CY17" s="18" t="n"/>
      <c r="CZ17" s="18" t="n">
        <v>2</v>
      </c>
      <c r="DA17" s="18" t="n">
        <v>1</v>
      </c>
      <c r="DB17" s="18" t="n">
        <v>3</v>
      </c>
      <c r="DC17" s="18" t="n">
        <v>1</v>
      </c>
      <c r="DD17" s="18" t="n"/>
      <c r="DE17" s="18" t="n"/>
      <c r="DF17" s="256" t="n"/>
      <c r="DG17" s="18" t="n"/>
      <c r="DH17" s="18" t="n">
        <v>3</v>
      </c>
      <c r="DI17" s="18" t="n"/>
      <c r="DJ17" s="18" t="n"/>
      <c r="DK17" s="256" t="n"/>
      <c r="DL17" s="18" t="n"/>
      <c r="DM17" s="256" t="n"/>
      <c r="DN17" s="256" t="n"/>
      <c r="DO17" s="18" t="n">
        <v>1</v>
      </c>
      <c r="DP17" s="18" t="n"/>
      <c r="DQ17" s="18" t="n"/>
      <c r="DR17" s="18" t="n"/>
      <c r="DS17" s="256" t="n"/>
      <c r="DT17" s="18" t="n"/>
      <c r="DU17" s="256" t="n"/>
      <c r="DV17" s="18" t="n"/>
      <c r="DW17" s="18" t="n">
        <v>1</v>
      </c>
      <c r="DX17" s="18" t="n"/>
      <c r="DY17" s="18" t="n">
        <v>1</v>
      </c>
      <c r="DZ17" s="256" t="n"/>
      <c r="EA17" s="256" t="n"/>
      <c r="EB17" s="18" t="n"/>
      <c r="EC17" s="18" t="n">
        <v>1</v>
      </c>
      <c r="ED17" s="18" t="n"/>
      <c r="EE17" s="18" t="n"/>
      <c r="EF17" s="256" t="n"/>
      <c r="EG17" s="256" t="n"/>
      <c r="EH17" s="18" t="n">
        <v>3</v>
      </c>
      <c r="EI17" s="18" t="n"/>
      <c r="EJ17" s="18" t="n"/>
      <c r="EK17" s="18" t="n"/>
      <c r="EL17" s="18" t="n">
        <v>2</v>
      </c>
      <c r="EM17" s="256" t="n"/>
      <c r="EN17" s="256" t="n"/>
      <c r="EO17" s="256" t="n"/>
      <c r="EP17" s="18" t="n"/>
      <c r="EQ17" s="256" t="n"/>
      <c r="ER17" s="256" t="n"/>
      <c r="ES17" s="241" t="inlineStr">
        <is>
          <t>01 P/ ATC</t>
        </is>
      </c>
      <c r="ET17" s="18" t="n"/>
      <c r="EU17" s="256" t="n"/>
      <c r="EV17" s="18" t="n"/>
      <c r="EW17" s="18" t="n">
        <v>1</v>
      </c>
      <c r="EX17" s="18" t="n"/>
      <c r="EY17" s="18" t="n"/>
      <c r="EZ17" s="18" t="n"/>
      <c r="FA17" s="18" t="n"/>
      <c r="FB17" s="256" t="n"/>
      <c r="FC17" s="18" t="n">
        <v>3</v>
      </c>
      <c r="FD17" s="18" t="n">
        <v>2</v>
      </c>
      <c r="FE17" s="18" t="n"/>
      <c r="FF17" s="18" t="n"/>
      <c r="FG17" s="18" t="n"/>
      <c r="FH17" s="18" t="n"/>
      <c r="FI17" s="18" t="n"/>
      <c r="FJ17" s="18" t="n">
        <v>1</v>
      </c>
      <c r="FK17" s="18" t="n">
        <v>1</v>
      </c>
      <c r="FL17" s="256" t="n"/>
      <c r="FM17" s="18" t="n"/>
      <c r="FN17" s="18" t="n"/>
      <c r="FO17" s="18" t="n"/>
    </row>
    <row r="18" ht="18.75" customFormat="1" customHeight="1" s="3">
      <c r="A18" s="31" t="n"/>
      <c r="C18" s="664" t="n"/>
      <c r="D18" s="398" t="n"/>
      <c r="CF18" s="4" t="n"/>
      <c r="CH18" s="16" t="n"/>
      <c r="CI18" s="16" t="n"/>
      <c r="CL18" s="16" t="n"/>
      <c r="CM18" s="16" t="n"/>
      <c r="CN18" s="16" t="n"/>
      <c r="CO18" s="16" t="n"/>
      <c r="CP18" s="16" t="n"/>
      <c r="CQ18" s="258" t="n"/>
      <c r="CR18" s="16" t="n"/>
      <c r="CS18" s="16" t="n"/>
      <c r="CT18" s="16" t="n"/>
      <c r="CU18" s="16" t="n"/>
      <c r="CV18" s="16" t="n"/>
      <c r="DD18" s="16" t="n"/>
      <c r="DE18" s="16" t="n"/>
      <c r="DG18" s="16" t="n"/>
      <c r="DH18" s="16" t="n"/>
      <c r="DI18" s="16" t="n"/>
      <c r="DJ18" s="16" t="n"/>
      <c r="DL18" s="16" t="n"/>
      <c r="DM18" s="16" t="n"/>
      <c r="DN18" s="16" t="n"/>
      <c r="DO18" s="16" t="n"/>
      <c r="DP18" s="16" t="n"/>
      <c r="DQ18" s="16" t="n"/>
      <c r="DR18" s="16" t="n"/>
      <c r="DS18" s="258" t="n"/>
      <c r="DT18" s="16" t="n"/>
      <c r="DU18" s="258" t="n"/>
      <c r="DV18" s="16" t="n"/>
      <c r="DW18" s="16" t="n"/>
      <c r="DX18" s="16" t="n"/>
      <c r="DY18" s="16" t="n"/>
      <c r="DZ18" s="258" t="n"/>
      <c r="EA18" s="258" t="n"/>
      <c r="EB18" s="16" t="n"/>
      <c r="EC18" s="16" t="n"/>
      <c r="ED18" s="16" t="n"/>
      <c r="EE18" s="16" t="n"/>
      <c r="EF18" s="258" t="n"/>
      <c r="EG18" s="258" t="n"/>
      <c r="EH18" s="16" t="n"/>
      <c r="EI18" s="16" t="n"/>
      <c r="EJ18" s="16" t="n"/>
      <c r="EK18" s="16" t="n"/>
      <c r="EL18" s="16" t="n"/>
      <c r="EM18" s="272" t="n"/>
      <c r="EN18" s="16" t="n"/>
      <c r="EO18" s="16" t="n"/>
      <c r="EP18" s="16" t="n"/>
      <c r="EQ18" s="16" t="n"/>
      <c r="ER18" s="16" t="n"/>
      <c r="ES18" s="16" t="n"/>
      <c r="ET18" s="16" t="n"/>
      <c r="EU18" s="1" t="n"/>
      <c r="EV18" s="16" t="n"/>
      <c r="EW18" s="16" t="n"/>
      <c r="EX18" s="16" t="n"/>
      <c r="EY18" s="16" t="n"/>
      <c r="EZ18" s="16" t="n"/>
      <c r="FA18" s="16" t="n"/>
      <c r="FB18" s="1" t="n"/>
      <c r="FC18" s="16" t="n"/>
      <c r="FD18" s="16" t="n"/>
      <c r="FE18" s="16" t="n"/>
      <c r="FF18" s="16" t="n"/>
      <c r="FG18" s="16" t="n"/>
      <c r="FH18" s="16" t="n"/>
      <c r="FI18" s="16" t="n"/>
      <c r="FJ18" s="16" t="n"/>
      <c r="FK18" s="16" t="n"/>
      <c r="FL18" s="258" t="n"/>
      <c r="FM18" s="16" t="n"/>
      <c r="FN18" s="16" t="n"/>
      <c r="FO18" s="16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1" t="n">
        <v>46161.48002969907</v>
      </c>
      <c r="CD19" s="651" t="n">
        <v>46161.4807094213</v>
      </c>
      <c r="CE19" s="651" t="n">
        <v>46161.48286777257</v>
      </c>
      <c r="CF19" s="652" t="inlineStr">
        <is>
          <t>USOU</t>
        </is>
      </c>
      <c r="CH19" s="413" t="inlineStr">
        <is>
          <t>TRANSFERÊNCIA</t>
        </is>
      </c>
      <c r="CI19" s="35" t="inlineStr">
        <is>
          <t>Pendências</t>
        </is>
      </c>
      <c r="CJ19" s="6" t="n"/>
      <c r="CK19" s="12" t="inlineStr">
        <is>
          <t>Novo Pedido</t>
        </is>
      </c>
      <c r="CL19" s="677" t="n">
        <v>46161.48286645582</v>
      </c>
      <c r="CM19" s="646" t="n">
        <v>46156</v>
      </c>
      <c r="CN19" s="646" t="n">
        <v>46149</v>
      </c>
      <c r="CO19" s="646" t="n">
        <v>46142</v>
      </c>
      <c r="CP19" s="646" t="n">
        <v>46114</v>
      </c>
      <c r="CQ19" s="647" t="n">
        <v>46065</v>
      </c>
      <c r="CR19" s="646" t="n">
        <v>46092</v>
      </c>
      <c r="CS19" s="646" t="n">
        <v>46071</v>
      </c>
      <c r="CT19" s="646" t="n">
        <v>46056</v>
      </c>
      <c r="CU19" s="646" t="n">
        <v>46043</v>
      </c>
      <c r="CV19" s="646" t="n">
        <v>46035</v>
      </c>
      <c r="CW19" s="646" t="n">
        <v>46029</v>
      </c>
      <c r="CX19" s="646" t="n">
        <v>46017</v>
      </c>
      <c r="CY19" s="646" t="n">
        <v>46007</v>
      </c>
      <c r="CZ19" s="646" t="n">
        <v>46001</v>
      </c>
      <c r="DA19" s="646" t="n">
        <v>45994</v>
      </c>
      <c r="DB19" s="646" t="n">
        <v>45980</v>
      </c>
      <c r="DC19" s="646" t="n">
        <v>45973</v>
      </c>
      <c r="DD19" s="646" t="n">
        <v>45960</v>
      </c>
      <c r="DE19" s="646" t="n">
        <v>45951</v>
      </c>
      <c r="DF19" s="687" t="n">
        <v>45952</v>
      </c>
      <c r="DG19" s="646" t="n">
        <v>45945</v>
      </c>
      <c r="DH19" s="646" t="n">
        <v>45937</v>
      </c>
      <c r="DI19" s="646" t="n">
        <v>45931</v>
      </c>
      <c r="DJ19" s="646" t="n">
        <v>45923</v>
      </c>
      <c r="DK19" s="678" t="n">
        <v>45903</v>
      </c>
      <c r="DL19" s="646" t="n">
        <v>45923</v>
      </c>
      <c r="DM19" s="688" t="n">
        <v>45925</v>
      </c>
      <c r="DN19" s="688" t="n">
        <v>45924</v>
      </c>
      <c r="DO19" s="646" t="n">
        <v>45915</v>
      </c>
      <c r="DP19" s="655" t="n">
        <v>45913</v>
      </c>
      <c r="DQ19" s="646" t="n">
        <v>45909</v>
      </c>
      <c r="DR19" s="646" t="n">
        <v>45895</v>
      </c>
      <c r="DS19" s="681" t="n">
        <v>45897</v>
      </c>
      <c r="DT19" s="689" t="n">
        <v>45897</v>
      </c>
      <c r="DU19" s="681" t="n">
        <v>45896</v>
      </c>
      <c r="DV19" s="646" t="n">
        <v>45888</v>
      </c>
      <c r="DW19" s="646" t="n">
        <v>45881</v>
      </c>
      <c r="DX19" s="655" t="n">
        <v>45885</v>
      </c>
      <c r="DY19" s="646" t="n">
        <v>45874</v>
      </c>
      <c r="DZ19" s="681" t="n">
        <v>45867</v>
      </c>
      <c r="EA19" s="682" t="n">
        <v>45866</v>
      </c>
      <c r="EB19" s="646" t="n">
        <v>45860</v>
      </c>
      <c r="EC19" s="646" t="n">
        <v>45859</v>
      </c>
      <c r="ED19" s="646" t="n">
        <v>45839</v>
      </c>
      <c r="EE19" s="646" t="n">
        <v>45832</v>
      </c>
      <c r="EF19" s="681" t="n">
        <v>45838</v>
      </c>
      <c r="EG19" s="681" t="n">
        <v>45791</v>
      </c>
      <c r="EH19" s="646" t="n">
        <v>45825</v>
      </c>
      <c r="EI19" s="646" t="n">
        <v>45813</v>
      </c>
      <c r="EJ19" s="655" t="n">
        <v>45820</v>
      </c>
      <c r="EK19" s="646" t="n">
        <v>45805</v>
      </c>
      <c r="EL19" s="646" t="n">
        <v>45798</v>
      </c>
      <c r="EM19" s="655" t="n">
        <v>45798</v>
      </c>
      <c r="EN19" s="690" t="n">
        <v>45798</v>
      </c>
      <c r="EO19" s="655" t="n">
        <v>45797</v>
      </c>
      <c r="EP19" s="646" t="n">
        <v>45790</v>
      </c>
      <c r="EQ19" s="655" t="n">
        <v>45794</v>
      </c>
      <c r="ER19" s="683" t="n">
        <v>45735</v>
      </c>
      <c r="ES19" s="655" t="n">
        <v>45790</v>
      </c>
      <c r="ET19" s="655" t="n">
        <v>45785</v>
      </c>
      <c r="EU19" s="684" t="n">
        <v>45785</v>
      </c>
      <c r="EV19" s="646" t="n">
        <v>45770</v>
      </c>
      <c r="EW19" s="646" t="n">
        <v>45756</v>
      </c>
      <c r="EX19" s="646" t="n">
        <v>45749</v>
      </c>
      <c r="EY19" s="646" t="n">
        <v>45743</v>
      </c>
      <c r="EZ19" s="646" t="n">
        <v>45734</v>
      </c>
      <c r="FA19" s="646" t="n">
        <v>45728</v>
      </c>
      <c r="FB19" s="684" t="n">
        <v>45700</v>
      </c>
      <c r="FC19" s="646" t="n">
        <v>45722</v>
      </c>
      <c r="FD19" s="646" t="n">
        <v>45714</v>
      </c>
      <c r="FE19" s="655" t="n">
        <v>45721</v>
      </c>
      <c r="FF19" s="646" t="n">
        <v>45706</v>
      </c>
      <c r="FG19" s="646" t="n">
        <v>45699</v>
      </c>
      <c r="FH19" s="646" t="n">
        <v>45693</v>
      </c>
      <c r="FI19" s="646" t="n">
        <v>45685</v>
      </c>
      <c r="FJ19" s="646" t="n">
        <v>45674</v>
      </c>
      <c r="FK19" s="646" t="n">
        <v>45664</v>
      </c>
      <c r="FL19" s="685" t="n">
        <v>45670</v>
      </c>
      <c r="FM19" s="646" t="n">
        <v>45660</v>
      </c>
      <c r="FN19" s="655" t="n">
        <v>45661</v>
      </c>
      <c r="FO19" s="646" t="n">
        <v>45652</v>
      </c>
      <c r="FQ19" s="267" t="inlineStr">
        <is>
          <t>CAIXAS</t>
        </is>
      </c>
      <c r="FR19" s="205" t="inlineStr">
        <is>
          <t>PCT</t>
        </is>
      </c>
      <c r="FS19" s="650" t="n">
        <v>46118</v>
      </c>
      <c r="FT19" s="650" t="n">
        <v>46125</v>
      </c>
      <c r="FU19" s="650" t="n">
        <v>46132</v>
      </c>
      <c r="FV19" s="650" t="n">
        <v>46139</v>
      </c>
      <c r="FW19" s="650" t="n">
        <v>46146</v>
      </c>
      <c r="FX19" s="650" t="n">
        <v>46154</v>
      </c>
      <c r="FY19" s="650" t="n">
        <v>46160</v>
      </c>
      <c r="FZ19" s="650" t="n">
        <v>46160</v>
      </c>
      <c r="GA19" s="650" t="n">
        <v>46160</v>
      </c>
      <c r="GB19" s="651" t="n">
        <v>46161.48002896991</v>
      </c>
      <c r="GC19" s="651" t="n">
        <v>46161.48070875</v>
      </c>
      <c r="GD19" s="651" t="n">
        <v>46161.48286707488</v>
      </c>
      <c r="GE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200</v>
      </c>
      <c r="E20" s="2" t="n"/>
      <c r="F20" s="38">
        <f>6+150</f>
        <v/>
      </c>
      <c r="G20" s="38" t="n">
        <v>151</v>
      </c>
      <c r="H20" s="38" t="n">
        <v>109</v>
      </c>
      <c r="I20" s="38" t="n">
        <v>106</v>
      </c>
      <c r="J20" s="38" t="n">
        <v>77</v>
      </c>
      <c r="K20" s="38" t="n">
        <v>179</v>
      </c>
      <c r="L20" s="38" t="n">
        <v>112</v>
      </c>
      <c r="M20" s="38" t="n">
        <v>224</v>
      </c>
      <c r="N20" s="38" t="n">
        <v>173</v>
      </c>
      <c r="O20" s="38">
        <f>116+FA20</f>
        <v/>
      </c>
      <c r="P20" s="38">
        <f>175+EZ20</f>
        <v/>
      </c>
      <c r="Q20" s="38" t="n">
        <v>253</v>
      </c>
      <c r="R20" s="38" t="n">
        <v>205</v>
      </c>
      <c r="S20" s="38">
        <f>151+141</f>
        <v/>
      </c>
      <c r="T20" s="38" t="n">
        <v>250</v>
      </c>
      <c r="U20" s="38" t="n">
        <v>199</v>
      </c>
      <c r="V20" s="38" t="n">
        <v>189</v>
      </c>
      <c r="W20" s="38" t="n">
        <v>196</v>
      </c>
      <c r="X20" s="38" t="n">
        <v>196</v>
      </c>
      <c r="Y20" s="38" t="n">
        <v>194</v>
      </c>
      <c r="Z20" s="38" t="n">
        <v>157</v>
      </c>
      <c r="AA20" s="38" t="n">
        <v>102</v>
      </c>
      <c r="AB20" s="38">
        <f>59+EH20</f>
        <v/>
      </c>
      <c r="AC20" s="38">
        <f>158+100</f>
        <v/>
      </c>
      <c r="AD20" s="38" t="n">
        <v>90</v>
      </c>
      <c r="AE20" s="38">
        <f>46+EE20</f>
        <v/>
      </c>
      <c r="AF20" s="38">
        <f>147+EB20</f>
        <v/>
      </c>
      <c r="AG20" s="38" t="n">
        <v>256</v>
      </c>
      <c r="AH20" s="38" t="n">
        <v>195</v>
      </c>
      <c r="AI20" s="38" t="n">
        <v>145</v>
      </c>
      <c r="AJ20" s="38" t="n">
        <v>257</v>
      </c>
      <c r="AK20" s="38" t="n">
        <v>195</v>
      </c>
      <c r="AL20" s="38" t="n">
        <v>210</v>
      </c>
      <c r="AM20" s="38" t="n">
        <v>177</v>
      </c>
      <c r="AN20" s="38" t="n">
        <v>177</v>
      </c>
      <c r="AO20" s="38" t="n">
        <v>140</v>
      </c>
      <c r="AP20" s="38" t="n">
        <v>245</v>
      </c>
      <c r="AQ20" s="38" t="n">
        <v>181</v>
      </c>
      <c r="AR20" s="38" t="n">
        <v>130</v>
      </c>
      <c r="AS20" s="38" t="n">
        <v>182</v>
      </c>
      <c r="AT20" s="38" t="n">
        <v>131</v>
      </c>
      <c r="AU20" s="38">
        <f>59+DE20</f>
        <v/>
      </c>
      <c r="AV20" s="38" t="n">
        <v>173</v>
      </c>
      <c r="AW20" s="38">
        <f>122+DB20</f>
        <v/>
      </c>
      <c r="AX20" s="38" t="n">
        <v>207</v>
      </c>
      <c r="AY20" s="38" t="n">
        <v>191</v>
      </c>
      <c r="AZ20" s="38" t="n">
        <v>189</v>
      </c>
      <c r="BA20" s="38" t="n">
        <v>189</v>
      </c>
      <c r="BB20" s="38" t="n">
        <v>189</v>
      </c>
      <c r="BC20" s="38" t="n">
        <v>187</v>
      </c>
      <c r="BD20" s="38" t="n">
        <v>185</v>
      </c>
      <c r="BE20" s="38" t="n">
        <v>332</v>
      </c>
      <c r="BF20" s="38" t="n">
        <v>329</v>
      </c>
      <c r="BG20" s="38" t="n">
        <v>323</v>
      </c>
      <c r="BH20" s="38" t="n">
        <v>279</v>
      </c>
      <c r="BI20" s="38">
        <f>216+CS20</f>
        <v/>
      </c>
      <c r="BJ20" s="38" t="n">
        <v>295</v>
      </c>
      <c r="BK20" s="38" t="n">
        <v>271</v>
      </c>
      <c r="BL20" s="38" t="n">
        <v>401</v>
      </c>
      <c r="BM20" s="38" t="n">
        <v>382</v>
      </c>
      <c r="BN20" s="38" t="n">
        <v>348</v>
      </c>
      <c r="BO20" s="38" t="n">
        <v>311</v>
      </c>
      <c r="BP20" s="38" t="n">
        <v>247</v>
      </c>
      <c r="BQ20" s="38" t="n">
        <v>197</v>
      </c>
      <c r="BR20" s="38" t="n">
        <v>135</v>
      </c>
      <c r="BS20" s="38" t="n">
        <v>90</v>
      </c>
      <c r="BT20" s="38" t="n"/>
      <c r="BU20" s="38" t="n"/>
      <c r="BV20" s="38" t="n"/>
      <c r="BW20" s="38" t="n">
        <v>149</v>
      </c>
      <c r="BX20" s="38" t="n">
        <v>149</v>
      </c>
      <c r="BY20" s="38" t="n">
        <v>62</v>
      </c>
      <c r="BZ20" s="38" t="n">
        <v>33</v>
      </c>
      <c r="CA20" s="38" t="n">
        <v>33</v>
      </c>
      <c r="CB20" s="38" t="n">
        <v>33</v>
      </c>
      <c r="CC20" s="9" t="n">
        <v>33</v>
      </c>
      <c r="CD20" s="9" t="n">
        <v>33</v>
      </c>
      <c r="CE20" s="9" t="n">
        <v>33</v>
      </c>
      <c r="CF20" s="154">
        <f>CD20+IF(NOT(ISBLANK(OFFSET(CF20,0,6))),N(OFFSET(CF20,0,6)),N(OFFSET(CF20,0,7)))-CE20</f>
        <v/>
      </c>
      <c r="CH20" s="122" t="n"/>
      <c r="CI20" s="122" t="n">
        <v>150</v>
      </c>
      <c r="CJ20" s="4" t="n"/>
      <c r="CK20" s="23" t="n"/>
      <c r="CL20" s="691" t="n">
        <v>0</v>
      </c>
      <c r="CM20" s="18" t="n">
        <v>0</v>
      </c>
      <c r="CN20" s="18" t="n">
        <v>0</v>
      </c>
      <c r="CO20" s="18" t="n">
        <v>0</v>
      </c>
      <c r="CP20" s="18" t="n">
        <v>150</v>
      </c>
      <c r="CQ20" s="256" t="n">
        <v>300</v>
      </c>
      <c r="CR20" s="18" t="n"/>
      <c r="CS20" s="18" t="n"/>
      <c r="CT20" s="18" t="n">
        <v>150</v>
      </c>
      <c r="CU20" s="18" t="n"/>
      <c r="CV20" s="18" t="n">
        <v>150</v>
      </c>
      <c r="CW20" s="18" t="n"/>
      <c r="CX20" s="18" t="n"/>
      <c r="CY20" s="18" t="n"/>
      <c r="CZ20" s="18" t="n">
        <v>150</v>
      </c>
      <c r="DA20" s="18" t="n"/>
      <c r="DB20" s="18" t="n"/>
      <c r="DC20" s="18" t="n"/>
      <c r="DD20" s="18" t="n"/>
      <c r="DE20" s="18" t="n">
        <v>150</v>
      </c>
      <c r="DF20" s="256" t="n"/>
      <c r="DG20" s="18" t="n"/>
      <c r="DH20" s="18" t="n">
        <v>150</v>
      </c>
      <c r="DI20" s="18" t="n"/>
      <c r="DJ20" s="18" t="n"/>
      <c r="DK20" s="256" t="n">
        <v>300</v>
      </c>
      <c r="DL20" s="18" t="n"/>
      <c r="DM20" s="256" t="n"/>
      <c r="DN20" s="256" t="n"/>
      <c r="DO20" s="18" t="n">
        <v>150</v>
      </c>
      <c r="DP20" s="18" t="n"/>
      <c r="DQ20" s="18" t="n"/>
      <c r="DR20" s="18" t="n">
        <v>150</v>
      </c>
      <c r="DS20" s="256" t="n"/>
      <c r="DT20" s="256" t="n"/>
      <c r="DU20" s="256" t="n"/>
      <c r="DV20" s="18" t="n"/>
      <c r="DW20" s="18" t="n"/>
      <c r="DX20" s="18" t="n"/>
      <c r="DY20" s="18" t="n">
        <v>150</v>
      </c>
      <c r="DZ20" s="256" t="n"/>
      <c r="EA20" s="256" t="n"/>
      <c r="EB20" s="18" t="n">
        <v>150</v>
      </c>
      <c r="EC20" s="18" t="n"/>
      <c r="ED20" s="18" t="n"/>
      <c r="EE20" s="18" t="n">
        <v>150</v>
      </c>
      <c r="EF20" s="256" t="n"/>
      <c r="EG20" s="256" t="n"/>
      <c r="EH20" s="18" t="n">
        <v>150</v>
      </c>
      <c r="EI20" s="18" t="n"/>
      <c r="EJ20" s="241" t="inlineStr">
        <is>
          <t>100 DE PL</t>
        </is>
      </c>
      <c r="EK20" s="18" t="n">
        <v>150</v>
      </c>
      <c r="EL20" s="18" t="n"/>
      <c r="EM20" s="256" t="n"/>
      <c r="EN20" s="256" t="n"/>
      <c r="EO20" s="18" t="n"/>
      <c r="EP20" s="18" t="n"/>
      <c r="EQ20" s="18" t="n"/>
      <c r="ER20" s="256" t="n"/>
      <c r="ES20" s="18" t="n"/>
      <c r="ET20" s="18" t="n"/>
      <c r="EU20" s="256" t="n"/>
      <c r="EV20" s="18" t="n"/>
      <c r="EW20" s="18" t="n"/>
      <c r="EX20" s="18" t="n"/>
      <c r="EY20" s="18" t="n"/>
      <c r="EZ20" s="18" t="n"/>
      <c r="FA20" s="18" t="n">
        <v>150</v>
      </c>
      <c r="FB20" s="256" t="n">
        <v>300</v>
      </c>
      <c r="FC20" s="18" t="n">
        <v>150</v>
      </c>
      <c r="FD20" s="18" t="n">
        <v>150</v>
      </c>
      <c r="FE20" s="256" t="n"/>
      <c r="FF20" s="18" t="n"/>
      <c r="FG20" s="18" t="n"/>
      <c r="FH20" s="18" t="n">
        <v>150</v>
      </c>
      <c r="FI20" s="18" t="n">
        <v>150</v>
      </c>
      <c r="FJ20" s="18" t="n"/>
      <c r="FK20" s="18" t="n"/>
      <c r="FL20" s="256" t="n"/>
      <c r="FM20" s="18" t="n"/>
      <c r="FN20" s="232" t="inlineStr">
        <is>
          <t>150 DE BOQ</t>
        </is>
      </c>
      <c r="FO20" s="18" t="n"/>
      <c r="FQ20" s="159" t="inlineStr">
        <is>
          <t>CAIXA P</t>
        </is>
      </c>
      <c r="FR20" s="129" t="n">
        <v>150</v>
      </c>
      <c r="FS20" s="38">
        <f>CN20</f>
        <v/>
      </c>
      <c r="FT20" s="38" t="n"/>
      <c r="FU20" s="38" t="n"/>
      <c r="FV20" s="38" t="n">
        <v>227</v>
      </c>
      <c r="FW20" s="38" t="n">
        <v>163</v>
      </c>
      <c r="FX20" s="38" t="n">
        <v>-28</v>
      </c>
      <c r="FY20" s="261" t="n">
        <v>-33</v>
      </c>
      <c r="FZ20" s="261" t="n"/>
      <c r="GA20" s="261" t="n"/>
      <c r="GB20" s="190" t="n"/>
      <c r="GC20" s="190" t="n"/>
      <c r="GD20" s="190" t="n"/>
      <c r="GE20" s="246">
        <f>GC20+IF(NOT(ISBLANK(OFFSET(GE20,0,6))),N(OFFSET(GE20,0,6)),N(OFFSET(GE20,0,7)))-GD20</f>
        <v/>
      </c>
    </row>
    <row r="21" ht="18.75" customFormat="1" customHeight="1" s="3">
      <c r="A21" s="33" t="inlineStr">
        <is>
          <t>CAIXA M  VERDE</t>
        </is>
      </c>
      <c r="B21" s="9" t="n">
        <v>100</v>
      </c>
      <c r="C21" s="665" t="n">
        <v>292.25</v>
      </c>
      <c r="D21" s="332" t="n">
        <v>200</v>
      </c>
      <c r="E21" s="2" t="n"/>
      <c r="F21" s="38" t="n">
        <v>125</v>
      </c>
      <c r="G21" s="38" t="n">
        <v>123</v>
      </c>
      <c r="H21" s="38" t="n">
        <v>123</v>
      </c>
      <c r="I21" s="38" t="n">
        <v>90</v>
      </c>
      <c r="J21" s="38" t="n">
        <v>68</v>
      </c>
      <c r="K21" s="38" t="n">
        <v>123</v>
      </c>
      <c r="L21" s="38" t="n">
        <v>59</v>
      </c>
      <c r="M21" s="38">
        <f>67+FD21</f>
        <v/>
      </c>
      <c r="N21" s="38" t="n">
        <v>98</v>
      </c>
      <c r="O21" s="38">
        <f>133+FA21</f>
        <v/>
      </c>
      <c r="P21" s="38">
        <f>215+EZ21</f>
        <v/>
      </c>
      <c r="Q21" s="38" t="n">
        <v>223</v>
      </c>
      <c r="R21" s="38" t="n">
        <v>154</v>
      </c>
      <c r="S21" s="38">
        <f>103+94</f>
        <v/>
      </c>
      <c r="T21" s="38">
        <f>138+EU21</f>
        <v/>
      </c>
      <c r="U21" s="38" t="n">
        <v>169</v>
      </c>
      <c r="V21" s="38" t="n">
        <v>155</v>
      </c>
      <c r="W21" s="38" t="n">
        <v>154</v>
      </c>
      <c r="X21" s="38" t="n">
        <v>154</v>
      </c>
      <c r="Y21" s="38" t="n">
        <v>4</v>
      </c>
      <c r="Z21" s="38" t="n">
        <v>79</v>
      </c>
      <c r="AA21" s="38">
        <f>26+EI21</f>
        <v/>
      </c>
      <c r="AB21" s="38">
        <f>76+EH21</f>
        <v/>
      </c>
      <c r="AC21" s="38">
        <f>116+50</f>
        <v/>
      </c>
      <c r="AD21" s="38" t="n">
        <v>17</v>
      </c>
      <c r="AE21" s="38">
        <f>0+EE21</f>
        <v/>
      </c>
      <c r="AF21" s="38">
        <f>158+EB21</f>
        <v/>
      </c>
      <c r="AG21" s="38">
        <f>223+EA21</f>
        <v/>
      </c>
      <c r="AH21" s="38" t="n">
        <v>266</v>
      </c>
      <c r="AI21" s="38" t="n">
        <v>207</v>
      </c>
      <c r="AJ21" s="38" t="n">
        <v>181</v>
      </c>
      <c r="AK21" s="38" t="n">
        <v>167</v>
      </c>
      <c r="AL21" s="38" t="n">
        <v>93</v>
      </c>
      <c r="AM21" s="38">
        <f>56+30</f>
        <v/>
      </c>
      <c r="AN21" s="38">
        <f>56+DT21</f>
        <v/>
      </c>
      <c r="AO21" s="38" t="n">
        <v>217</v>
      </c>
      <c r="AP21" s="38">
        <f>156+50</f>
        <v/>
      </c>
      <c r="AQ21" s="38" t="n">
        <v>174</v>
      </c>
      <c r="AR21" s="38" t="n">
        <v>154</v>
      </c>
      <c r="AS21" s="38" t="n">
        <v>106</v>
      </c>
      <c r="AT21" s="38" t="n">
        <v>38</v>
      </c>
      <c r="AU21" s="38" t="n">
        <v>175</v>
      </c>
      <c r="AV21" s="38">
        <f>100+DD21</f>
        <v/>
      </c>
      <c r="AW21" s="38" t="n">
        <v>134</v>
      </c>
      <c r="AX21" s="38">
        <f>55+DA21</f>
        <v/>
      </c>
      <c r="AY21" s="38" t="n">
        <v>130</v>
      </c>
      <c r="AZ21" s="38" t="n">
        <v>117</v>
      </c>
      <c r="BA21" s="38" t="n">
        <v>106</v>
      </c>
      <c r="BB21" s="38" t="n">
        <v>106</v>
      </c>
      <c r="BC21" s="38" t="n">
        <v>106</v>
      </c>
      <c r="BD21" s="38" t="n">
        <v>107</v>
      </c>
      <c r="BE21" s="38" t="n">
        <v>207</v>
      </c>
      <c r="BF21" s="38" t="n">
        <v>206</v>
      </c>
      <c r="BG21" s="38" t="n">
        <v>200</v>
      </c>
      <c r="BH21" s="38" t="n">
        <v>172</v>
      </c>
      <c r="BI21" s="38">
        <f>151+CS21</f>
        <v/>
      </c>
      <c r="BJ21" s="38" t="n">
        <v>306</v>
      </c>
      <c r="BK21" s="38" t="n">
        <v>276</v>
      </c>
      <c r="BL21" s="261" t="n">
        <v>309</v>
      </c>
      <c r="BM21" s="38" t="n">
        <v>272</v>
      </c>
      <c r="BN21" s="38" t="n">
        <v>237</v>
      </c>
      <c r="BO21" s="38" t="n">
        <v>193</v>
      </c>
      <c r="BP21" s="38" t="n">
        <v>107</v>
      </c>
      <c r="BQ21" s="38">
        <f>60+CO21</f>
        <v/>
      </c>
      <c r="BR21" s="38" t="n">
        <v>205</v>
      </c>
      <c r="BS21" s="38" t="n">
        <v>173</v>
      </c>
      <c r="BT21" s="38" t="n"/>
      <c r="BU21" s="38" t="n"/>
      <c r="BV21" s="38" t="n"/>
      <c r="BW21" s="38" t="n">
        <v>181</v>
      </c>
      <c r="BX21" s="38" t="n">
        <v>173</v>
      </c>
      <c r="BY21" s="38" t="n">
        <v>125</v>
      </c>
      <c r="BZ21" s="38" t="n">
        <v>95</v>
      </c>
      <c r="CA21" s="38" t="n">
        <v>95</v>
      </c>
      <c r="CB21" s="38" t="n">
        <v>95</v>
      </c>
      <c r="CC21" s="9" t="n">
        <v>95</v>
      </c>
      <c r="CD21" s="9" t="n">
        <v>95</v>
      </c>
      <c r="CE21" s="9" t="n">
        <v>95</v>
      </c>
      <c r="CF21" s="154">
        <f>CD21+IF(NOT(ISBLANK(OFFSET(CF21,0,6))),N(OFFSET(CF21,0,6)),N(OFFSET(CF21,0,7)))-CE21</f>
        <v/>
      </c>
      <c r="CH21" s="122" t="n"/>
      <c r="CI21" s="122" t="n"/>
      <c r="CJ21" s="4" t="n"/>
      <c r="CK21" s="23" t="n"/>
      <c r="CL21" s="691" t="n">
        <v>0</v>
      </c>
      <c r="CM21" s="18" t="n">
        <v>0</v>
      </c>
      <c r="CN21" s="18" t="n">
        <v>0</v>
      </c>
      <c r="CO21" s="18" t="n">
        <v>0</v>
      </c>
      <c r="CP21" s="18" t="n">
        <v>100</v>
      </c>
      <c r="CQ21" s="256" t="n">
        <v>400</v>
      </c>
      <c r="CR21" s="18" t="n">
        <v>200</v>
      </c>
      <c r="CS21" s="18" t="n"/>
      <c r="CT21" s="18" t="n"/>
      <c r="CU21" s="18" t="n"/>
      <c r="CV21" s="18" t="n">
        <v>200</v>
      </c>
      <c r="CW21" s="18" t="n"/>
      <c r="CX21" s="18" t="n"/>
      <c r="CY21" s="18" t="n"/>
      <c r="CZ21" s="18" t="n">
        <v>100</v>
      </c>
      <c r="DA21" s="18" t="n"/>
      <c r="DB21" s="18" t="n"/>
      <c r="DC21" s="18" t="n"/>
      <c r="DD21" s="18" t="n">
        <v>100</v>
      </c>
      <c r="DE21" s="18" t="n"/>
      <c r="DF21" s="256" t="n"/>
      <c r="DG21" s="18" t="n">
        <v>100</v>
      </c>
      <c r="DH21" s="18" t="n"/>
      <c r="DI21" s="18" t="n">
        <v>200</v>
      </c>
      <c r="DJ21" s="18" t="n"/>
      <c r="DK21" s="256" t="n">
        <v>400</v>
      </c>
      <c r="DL21" s="18" t="n"/>
      <c r="DM21" s="256" t="n"/>
      <c r="DN21" s="378" t="inlineStr">
        <is>
          <t>15 DE PL</t>
        </is>
      </c>
      <c r="DO21" s="18" t="n">
        <v>100</v>
      </c>
      <c r="DP21" s="154" t="inlineStr">
        <is>
          <t>50 DE BQ</t>
        </is>
      </c>
      <c r="DQ21" s="18" t="n">
        <v>100</v>
      </c>
      <c r="DR21" s="18" t="n"/>
      <c r="DS21" s="256" t="n"/>
      <c r="DT21" s="263" t="inlineStr">
        <is>
          <t>50 P/ BOQ</t>
        </is>
      </c>
      <c r="DU21" s="256" t="n"/>
      <c r="DV21" s="18" t="n"/>
      <c r="DW21" s="18" t="n">
        <v>200</v>
      </c>
      <c r="DX21" s="154" t="inlineStr">
        <is>
          <t>30 DE PL</t>
        </is>
      </c>
      <c r="DY21" s="18" t="n"/>
      <c r="DZ21" s="292" t="inlineStr">
        <is>
          <t>75 DE BOQ</t>
        </is>
      </c>
      <c r="EA21" s="367" t="inlineStr">
        <is>
          <t>05 DE PL</t>
        </is>
      </c>
      <c r="EB21" s="18" t="n"/>
      <c r="EC21" s="18" t="n"/>
      <c r="ED21" s="18" t="n">
        <v>100</v>
      </c>
      <c r="EE21" s="18" t="n">
        <v>100</v>
      </c>
      <c r="EF21" s="256" t="n"/>
      <c r="EG21" s="256" t="n">
        <v>100</v>
      </c>
      <c r="EH21" s="18" t="n">
        <v>200</v>
      </c>
      <c r="EI21" s="18" t="n"/>
      <c r="EJ21" s="241" t="inlineStr">
        <is>
          <t>50 DE PL</t>
        </is>
      </c>
      <c r="EK21" s="18" t="n">
        <v>100</v>
      </c>
      <c r="EL21" s="18" t="n">
        <v>100</v>
      </c>
      <c r="EM21" s="256" t="n"/>
      <c r="EN21" s="312" t="inlineStr">
        <is>
          <t>50 DE BQ</t>
        </is>
      </c>
      <c r="EO21" s="18" t="n"/>
      <c r="EP21" s="18" t="n">
        <v>100</v>
      </c>
      <c r="EQ21" s="18" t="n"/>
      <c r="ER21" s="256" t="n"/>
      <c r="ES21" s="18" t="n"/>
      <c r="ET21" s="18" t="n"/>
      <c r="EU21" s="256" t="n"/>
      <c r="EV21" s="18" t="n"/>
      <c r="EW21" s="18" t="n"/>
      <c r="EX21" s="18" t="n">
        <v>100</v>
      </c>
      <c r="EY21" s="18" t="n"/>
      <c r="EZ21" s="18" t="n"/>
      <c r="FA21" s="18" t="n">
        <v>100</v>
      </c>
      <c r="FB21" s="256" t="n">
        <v>300</v>
      </c>
      <c r="FC21" s="18" t="n">
        <v>100</v>
      </c>
      <c r="FD21" s="18" t="n">
        <v>200</v>
      </c>
      <c r="FE21" s="256" t="n"/>
      <c r="FF21" s="18" t="n">
        <v>100</v>
      </c>
      <c r="FG21" s="18" t="n">
        <v>100</v>
      </c>
      <c r="FH21" s="18" t="n">
        <v>100</v>
      </c>
      <c r="FI21" s="18" t="n">
        <v>100</v>
      </c>
      <c r="FJ21" s="18" t="n"/>
      <c r="FK21" s="18" t="n"/>
      <c r="FL21" s="259" t="inlineStr">
        <is>
          <t>100 cx M Natal P/ PL</t>
        </is>
      </c>
      <c r="FM21" s="18" t="n"/>
      <c r="FN21" s="18" t="n"/>
      <c r="FO21" s="18" t="n"/>
      <c r="FQ21" s="29" t="inlineStr">
        <is>
          <t>CAIXA M</t>
        </is>
      </c>
      <c r="FR21" s="9" t="n">
        <v>100</v>
      </c>
      <c r="FS21" s="38">
        <f>CN21</f>
        <v/>
      </c>
      <c r="FT21" s="38" t="n"/>
      <c r="FU21" s="38" t="n"/>
      <c r="FV21" s="38" t="n">
        <v>318</v>
      </c>
      <c r="FW21" s="38" t="n">
        <v>267</v>
      </c>
      <c r="FX21" s="38" t="n">
        <v>-5</v>
      </c>
      <c r="FY21" s="261" t="n">
        <v>-10</v>
      </c>
      <c r="FZ21" s="261" t="n"/>
      <c r="GA21" s="261" t="n"/>
      <c r="GB21" s="190" t="n"/>
      <c r="GC21" s="190" t="n"/>
      <c r="GD21" s="190" t="n"/>
      <c r="GE21" s="246">
        <f>GC21+IF(NOT(ISBLANK(OFFSET(GE21,0,6))),N(OFFSET(GE21,0,6)),N(OFFSET(GE21,0,7)))-GD21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30</v>
      </c>
      <c r="E22" s="642" t="n"/>
      <c r="F22" s="38" t="n">
        <v>28</v>
      </c>
      <c r="G22" s="38" t="n">
        <v>32</v>
      </c>
      <c r="H22" s="38" t="n">
        <v>32</v>
      </c>
      <c r="I22" s="38" t="n">
        <v>32</v>
      </c>
      <c r="J22" s="38" t="n">
        <v>32</v>
      </c>
      <c r="K22" s="38" t="n">
        <v>32</v>
      </c>
      <c r="L22" s="38" t="n">
        <v>32</v>
      </c>
      <c r="M22" s="38" t="n">
        <v>32</v>
      </c>
      <c r="N22" s="38" t="n">
        <v>31</v>
      </c>
      <c r="O22" s="38" t="n">
        <v>31</v>
      </c>
      <c r="P22" s="38" t="n">
        <v>26</v>
      </c>
      <c r="Q22" s="38" t="n">
        <v>26</v>
      </c>
      <c r="R22" s="38" t="n">
        <v>26</v>
      </c>
      <c r="S22" s="38" t="n">
        <v>26</v>
      </c>
      <c r="T22" s="38" t="n">
        <v>21</v>
      </c>
      <c r="U22" s="38" t="n">
        <v>21</v>
      </c>
      <c r="V22" s="38" t="n">
        <v>21</v>
      </c>
      <c r="W22" s="38" t="n">
        <v>21</v>
      </c>
      <c r="X22" s="38">
        <f>21+26</f>
        <v/>
      </c>
      <c r="Y22" s="38" t="n">
        <v>47</v>
      </c>
      <c r="Z22" s="38" t="n">
        <v>26</v>
      </c>
      <c r="AA22" s="38" t="n">
        <v>21</v>
      </c>
      <c r="AB22" s="38" t="n">
        <v>21</v>
      </c>
      <c r="AC22" s="38">
        <f>21+25</f>
        <v/>
      </c>
      <c r="AD22" s="38" t="n">
        <v>46</v>
      </c>
      <c r="AE22" s="38" t="n">
        <v>21</v>
      </c>
      <c r="AF22" s="38" t="n">
        <v>44</v>
      </c>
      <c r="AG22" s="38" t="n">
        <v>44</v>
      </c>
      <c r="AH22" s="38" t="n">
        <v>52</v>
      </c>
      <c r="AI22" s="38" t="n">
        <v>52</v>
      </c>
      <c r="AJ22" s="38" t="n">
        <v>52</v>
      </c>
      <c r="AK22" s="38" t="n">
        <v>50</v>
      </c>
      <c r="AL22" s="38" t="n">
        <v>50</v>
      </c>
      <c r="AM22" s="38" t="n">
        <v>50</v>
      </c>
      <c r="AN22" s="38" t="n">
        <v>50</v>
      </c>
      <c r="AO22" s="38" t="n">
        <v>50</v>
      </c>
      <c r="AP22" s="38" t="n">
        <v>50</v>
      </c>
      <c r="AQ22" s="38" t="n">
        <v>50</v>
      </c>
      <c r="AR22" s="38" t="n">
        <v>50</v>
      </c>
      <c r="AS22" s="38" t="n">
        <v>50</v>
      </c>
      <c r="AT22" s="38" t="n">
        <v>40</v>
      </c>
      <c r="AU22" s="38" t="n">
        <v>33</v>
      </c>
      <c r="AV22" s="38" t="n">
        <v>40</v>
      </c>
      <c r="AW22" s="38" t="n">
        <v>36</v>
      </c>
      <c r="AX22" s="38" t="n">
        <v>36</v>
      </c>
      <c r="AY22" s="38" t="n">
        <v>36</v>
      </c>
      <c r="AZ22" s="38" t="n">
        <v>36</v>
      </c>
      <c r="BA22" s="38" t="n">
        <v>36</v>
      </c>
      <c r="BB22" s="38" t="n">
        <v>36</v>
      </c>
      <c r="BC22" s="38" t="n">
        <v>36</v>
      </c>
      <c r="BD22" s="38" t="n">
        <v>36</v>
      </c>
      <c r="BE22" s="38" t="n">
        <v>36</v>
      </c>
      <c r="BF22" s="38" t="n">
        <v>36</v>
      </c>
      <c r="BG22" s="38" t="n">
        <v>36</v>
      </c>
      <c r="BH22" s="38" t="n">
        <v>36</v>
      </c>
      <c r="BI22" s="38" t="n">
        <v>36</v>
      </c>
      <c r="BJ22" s="38" t="n">
        <v>36</v>
      </c>
      <c r="BK22" s="38" t="n">
        <v>20</v>
      </c>
      <c r="BL22" s="38" t="n">
        <v>20</v>
      </c>
      <c r="BM22" s="38" t="n">
        <v>20</v>
      </c>
      <c r="BN22" s="38" t="n">
        <v>20</v>
      </c>
      <c r="BO22" s="38" t="n">
        <v>20</v>
      </c>
      <c r="BP22" s="38" t="n">
        <v>20</v>
      </c>
      <c r="BQ22" s="38" t="n">
        <v>20</v>
      </c>
      <c r="BR22" s="38" t="n">
        <v>20</v>
      </c>
      <c r="BS22" s="38" t="n">
        <v>20</v>
      </c>
      <c r="BT22" s="38" t="n">
        <v>20</v>
      </c>
      <c r="BU22" s="38" t="n">
        <v>20</v>
      </c>
      <c r="BV22" s="38" t="n">
        <v>20</v>
      </c>
      <c r="BW22" s="38" t="n">
        <v>20</v>
      </c>
      <c r="BX22" s="38" t="n">
        <v>20</v>
      </c>
      <c r="BY22" s="38" t="n">
        <v>20</v>
      </c>
      <c r="BZ22" s="261" t="n">
        <v>1</v>
      </c>
      <c r="CA22" s="261" t="n">
        <v>1</v>
      </c>
      <c r="CB22" s="261" t="n">
        <v>1</v>
      </c>
      <c r="CC22" s="190" t="n">
        <v>1</v>
      </c>
      <c r="CD22" s="190" t="n">
        <v>1</v>
      </c>
      <c r="CE22" s="190" t="n">
        <v>1</v>
      </c>
      <c r="CF22" s="154">
        <f>CD22+IF(NOT(ISBLANK(OFFSET(CF22,0,6))),N(OFFSET(CF22,0,6)),N(OFFSET(CF22,0,7)))-CE22</f>
        <v/>
      </c>
      <c r="CH22" s="19" t="inlineStr">
        <is>
          <t>30 DE ATC</t>
        </is>
      </c>
      <c r="CI22" s="19" t="n"/>
      <c r="CJ22" s="4" t="n"/>
      <c r="CK22" s="23" t="n"/>
      <c r="CL22" s="703" t="n">
        <v>0</v>
      </c>
      <c r="CM22" s="18" t="n">
        <v>0</v>
      </c>
      <c r="CN22" s="18" t="n">
        <v>0</v>
      </c>
      <c r="CO22" s="18" t="n">
        <v>0</v>
      </c>
      <c r="CP22" s="18" t="n"/>
      <c r="CQ22" s="256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403" t="inlineStr">
        <is>
          <t>25 DE BOQ</t>
        </is>
      </c>
      <c r="DG22" s="18" t="n"/>
      <c r="DH22" s="18" t="n"/>
      <c r="DI22" s="18" t="n"/>
      <c r="DJ22" s="18" t="n"/>
      <c r="DK22" s="392" t="n">
        <v>0</v>
      </c>
      <c r="DL22" s="18" t="n"/>
      <c r="DM22" s="256" t="n"/>
      <c r="DN22" s="256" t="n"/>
      <c r="DO22" s="18" t="n"/>
      <c r="DP22" s="18" t="n"/>
      <c r="DQ22" s="18" t="n"/>
      <c r="DR22" s="18" t="n"/>
      <c r="DS22" s="292" t="inlineStr">
        <is>
          <t>30 DE PL</t>
        </is>
      </c>
      <c r="DT22" s="18" t="n"/>
      <c r="DU22" s="256" t="n"/>
      <c r="DV22" s="18" t="n"/>
      <c r="DW22" s="18" t="n"/>
      <c r="DX22" s="18" t="n"/>
      <c r="DY22" s="18" t="n"/>
      <c r="DZ22" s="256" t="n"/>
      <c r="EA22" s="256" t="n"/>
      <c r="EB22" s="18" t="n"/>
      <c r="EC22" s="18" t="n"/>
      <c r="ED22" s="18" t="n"/>
      <c r="EE22" s="18" t="n"/>
      <c r="EF22" s="256" t="n"/>
      <c r="EG22" s="256" t="n"/>
      <c r="EH22" s="18" t="n"/>
      <c r="EI22" s="18" t="n"/>
      <c r="EJ22" s="241" t="inlineStr">
        <is>
          <t>25 DE PL</t>
        </is>
      </c>
      <c r="EK22" s="18" t="n"/>
      <c r="EL22" s="18" t="n"/>
      <c r="EM22" s="256" t="n"/>
      <c r="EN22" s="312" t="inlineStr">
        <is>
          <t>50 DE BQ</t>
        </is>
      </c>
      <c r="EO22" s="18" t="n"/>
      <c r="EP22" s="18" t="n"/>
      <c r="EQ22" s="18" t="n"/>
      <c r="ER22" s="256" t="n"/>
      <c r="ES22" s="18" t="n"/>
      <c r="ET22" s="241" t="inlineStr">
        <is>
          <t>26 DE ATC</t>
        </is>
      </c>
      <c r="EU22" s="293" t="inlineStr">
        <is>
          <t>24 DE ATC</t>
        </is>
      </c>
      <c r="EV22" s="18" t="n"/>
      <c r="EW22" s="18" t="n"/>
      <c r="EX22" s="18" t="n"/>
      <c r="EY22" s="18" t="n"/>
      <c r="EZ22" s="18" t="n"/>
      <c r="FA22" s="18" t="n"/>
      <c r="FB22" s="256" t="n"/>
      <c r="FC22" s="18" t="n"/>
      <c r="FD22" s="18" t="n"/>
      <c r="FE22" s="18" t="n"/>
      <c r="FF22" s="18" t="n"/>
      <c r="FG22" s="18" t="n"/>
      <c r="FH22" s="18" t="n"/>
      <c r="FI22" s="18" t="n"/>
      <c r="FJ22" s="18" t="n"/>
      <c r="FK22" s="18" t="n"/>
      <c r="FL22" s="256" t="n"/>
      <c r="FM22" s="18" t="n"/>
      <c r="FN22" s="18" t="n"/>
      <c r="FO22" s="18" t="n"/>
      <c r="FQ22" s="30" t="inlineStr">
        <is>
          <t>CARTUCHO P</t>
        </is>
      </c>
      <c r="FR22" s="9" t="n">
        <v>200</v>
      </c>
      <c r="FS22" s="38" t="n">
        <v>0</v>
      </c>
      <c r="FT22" s="38" t="n"/>
      <c r="FU22" s="38" t="n"/>
      <c r="FV22" s="38" t="n">
        <v>0</v>
      </c>
      <c r="FW22" s="38" t="n">
        <v>0</v>
      </c>
      <c r="FX22" s="38" t="n">
        <v>0</v>
      </c>
      <c r="FY22" s="38" t="n">
        <v>0</v>
      </c>
      <c r="FZ22" s="38" t="n"/>
      <c r="GA22" s="38" t="n"/>
      <c r="GB22" s="9" t="n"/>
      <c r="GC22" s="9" t="n"/>
      <c r="GD22" s="9" t="n"/>
      <c r="GE22" s="246">
        <f>GC22+IF(NOT(ISBLANK(OFFSET(GE22,0,6))),N(OFFSET(GE22,0,6)),N(OFFSET(GE22,0,7)))-GD22</f>
        <v/>
      </c>
    </row>
    <row r="23" ht="18.75" customHeight="1">
      <c r="CH23" s="6" t="n"/>
      <c r="CI23" s="6" t="n"/>
      <c r="CL23" s="6" t="n"/>
      <c r="CM23" s="6" t="n"/>
      <c r="CN23" s="6" t="n"/>
      <c r="CO23" s="6" t="n"/>
      <c r="CP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G23" s="6" t="n"/>
      <c r="DH23" s="6" t="n"/>
      <c r="DI23" s="6" t="n"/>
      <c r="DJ23" s="6" t="n"/>
      <c r="DK23" s="288" t="n">
        <v>600</v>
      </c>
      <c r="DL23" s="6" t="n"/>
      <c r="DM23" s="6" t="n"/>
      <c r="DN23" s="6" t="n"/>
      <c r="DO23" s="6" t="n"/>
      <c r="DP23" s="6" t="n"/>
      <c r="DQ23" s="6" t="n"/>
      <c r="DR23" s="6" t="n"/>
      <c r="DT23" s="6" t="n"/>
      <c r="DU23" s="238" t="n"/>
      <c r="DV23" s="6" t="n"/>
      <c r="DW23" s="6" t="n"/>
      <c r="DX23" s="6" t="n"/>
      <c r="DY23" s="6" t="n"/>
      <c r="DZ23" s="6" t="n"/>
      <c r="EB23" s="6" t="n"/>
      <c r="EC23" s="6" t="n"/>
      <c r="ED23" s="6" t="n"/>
      <c r="EE23" s="6" t="n"/>
      <c r="EF23" s="256" t="n">
        <v>25</v>
      </c>
      <c r="EG23" s="6" t="n"/>
      <c r="EH23" s="6" t="n"/>
      <c r="EI23" s="6" t="n"/>
      <c r="EJ23" s="6" t="n"/>
      <c r="EK23" s="6" t="n"/>
      <c r="EL23" s="6" t="n"/>
      <c r="EM23" s="269" t="n"/>
      <c r="EN23" s="6" t="n"/>
      <c r="EO23" s="6" t="n"/>
      <c r="EQ23" s="6" t="n"/>
      <c r="ER23" s="6" t="n"/>
      <c r="ES23" s="6" t="n"/>
      <c r="ET23" s="6" t="n"/>
      <c r="FB23" s="288" t="n"/>
      <c r="FE23" s="6" t="n"/>
      <c r="FQ23" s="30" t="inlineStr">
        <is>
          <t>CARTUCHO M</t>
        </is>
      </c>
      <c r="FR23" s="9" t="n">
        <v>150</v>
      </c>
      <c r="FS23" s="38" t="n">
        <v>0</v>
      </c>
      <c r="FT23" s="38" t="n"/>
      <c r="FU23" s="38" t="n"/>
      <c r="FV23" s="38" t="n">
        <v>0</v>
      </c>
      <c r="FW23" s="261" t="n">
        <v>75</v>
      </c>
      <c r="FX23" s="38" t="n">
        <v>3</v>
      </c>
      <c r="FY23" s="38" t="n">
        <v>3</v>
      </c>
      <c r="FZ23" s="38" t="n"/>
      <c r="GA23" s="38" t="n"/>
      <c r="GB23" s="9" t="n"/>
      <c r="GC23" s="9" t="n"/>
      <c r="GD23" s="9" t="n"/>
      <c r="GE23" s="246">
        <f>GC23+IF(NOT(ISBLANK(OFFSET(GE23,0,6))),N(OFFSET(GE23,0,6)),N(OFFSET(GE23,0,7)))-GD23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E24" s="6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1" t="n">
        <v>46161.48002969907</v>
      </c>
      <c r="CD24" s="651" t="n">
        <v>46161.48070943287</v>
      </c>
      <c r="CE24" s="651" t="n">
        <v>46161.48286777281</v>
      </c>
      <c r="CF24" s="660" t="inlineStr">
        <is>
          <t>USOU</t>
        </is>
      </c>
      <c r="CH24" s="6" t="n"/>
      <c r="CI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G24" s="6" t="n"/>
      <c r="DH24" s="6" t="n"/>
      <c r="DI24" s="6" t="n"/>
      <c r="DJ24" s="6" t="n"/>
      <c r="DK24" s="393" t="n">
        <v>300</v>
      </c>
      <c r="DL24" s="6" t="n"/>
      <c r="DM24" s="6" t="n"/>
      <c r="DN24" s="6" t="n"/>
      <c r="DO24" s="6" t="n"/>
      <c r="DP24" s="6" t="n"/>
      <c r="DQ24" s="6" t="n"/>
      <c r="DR24" s="6" t="n"/>
      <c r="DT24" s="6" t="n"/>
      <c r="DU24" s="238" t="n"/>
      <c r="DV24" s="6" t="n"/>
      <c r="DW24" s="6" t="n"/>
      <c r="DX24" s="6" t="n"/>
      <c r="DY24" s="6" t="n"/>
      <c r="DZ24" s="6" t="n"/>
      <c r="EB24" s="6" t="n"/>
      <c r="EC24" s="6" t="n"/>
      <c r="ED24" s="6" t="n"/>
      <c r="EE24" s="6" t="n"/>
      <c r="EF24" s="256" t="n">
        <v>25</v>
      </c>
      <c r="EG24" s="6" t="n"/>
      <c r="EH24" s="6" t="n"/>
      <c r="EI24" s="6" t="n"/>
      <c r="EJ24" s="6" t="n"/>
      <c r="EK24" s="6" t="n"/>
      <c r="EL24" s="6" t="n"/>
      <c r="EM24" s="269" t="n"/>
      <c r="EN24" s="6" t="n"/>
      <c r="EO24" s="6" t="n"/>
      <c r="EQ24" s="6" t="n"/>
      <c r="ER24" s="6" t="n"/>
      <c r="ES24" s="6" t="n"/>
      <c r="ET24" s="6" t="n"/>
      <c r="FB24" s="288" t="n">
        <v>150</v>
      </c>
      <c r="FE24" s="6" t="n"/>
      <c r="FQ24" s="6" t="n"/>
      <c r="FR24" s="6" t="n"/>
      <c r="FS24" s="6" t="n"/>
      <c r="FT24" s="6" t="n"/>
      <c r="FU24" s="6" t="n"/>
      <c r="FV24" s="6" t="n"/>
      <c r="FW24" s="6" t="n"/>
      <c r="FX24" s="6" t="n"/>
      <c r="FY24" s="6" t="n"/>
      <c r="FZ24" s="6" t="n"/>
      <c r="GA24" s="6" t="n"/>
      <c r="GB24" s="6" t="n"/>
      <c r="GC24" s="6" t="n"/>
      <c r="GD24" s="6" t="n"/>
      <c r="GE24" s="6" t="n"/>
    </row>
    <row r="25" ht="18.75" customHeight="1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E25" s="6" t="n"/>
      <c r="F25" s="38" t="n">
        <v>256</v>
      </c>
      <c r="G25" s="38" t="n">
        <v>256</v>
      </c>
      <c r="H25" s="38" t="n">
        <v>250</v>
      </c>
      <c r="I25" s="38" t="n">
        <v>250</v>
      </c>
      <c r="J25" s="38" t="n">
        <v>250</v>
      </c>
      <c r="K25" s="38" t="n">
        <v>250</v>
      </c>
      <c r="L25" s="38" t="n">
        <v>300</v>
      </c>
      <c r="M25" s="38" t="n">
        <v>300</v>
      </c>
      <c r="N25" s="38" t="n">
        <v>300</v>
      </c>
      <c r="O25" s="38" t="n">
        <v>300</v>
      </c>
      <c r="P25" s="38" t="n">
        <v>300</v>
      </c>
      <c r="Q25" s="38" t="n">
        <v>300</v>
      </c>
      <c r="R25" s="38" t="n">
        <v>300</v>
      </c>
      <c r="S25" s="38" t="n">
        <v>300</v>
      </c>
      <c r="T25" s="38" t="n">
        <v>242</v>
      </c>
      <c r="U25" s="38" t="n">
        <v>242</v>
      </c>
      <c r="V25" s="38" t="n">
        <v>241</v>
      </c>
      <c r="W25" s="38" t="n">
        <v>241</v>
      </c>
      <c r="X25" s="38" t="n">
        <v>241</v>
      </c>
      <c r="Y25" s="38" t="n">
        <v>241</v>
      </c>
      <c r="Z25" s="38" t="n">
        <v>300</v>
      </c>
      <c r="AA25" s="38" t="n">
        <v>158</v>
      </c>
      <c r="AB25" s="38" t="n">
        <v>158</v>
      </c>
      <c r="AC25" s="38" t="n">
        <v>158</v>
      </c>
      <c r="AD25" s="38" t="n">
        <v>158</v>
      </c>
      <c r="AE25" s="38" t="n">
        <v>158</v>
      </c>
      <c r="AF25" s="38" t="n">
        <v>158</v>
      </c>
      <c r="AG25" s="38" t="n">
        <v>127</v>
      </c>
      <c r="AH25" s="38" t="n">
        <v>126</v>
      </c>
      <c r="AI25" s="38" t="n">
        <v>126</v>
      </c>
      <c r="AJ25" s="38" t="n">
        <v>126</v>
      </c>
      <c r="AK25" s="38" t="n">
        <v>126</v>
      </c>
      <c r="AL25" s="38" t="n">
        <v>126</v>
      </c>
      <c r="AM25" s="38" t="n">
        <v>126</v>
      </c>
      <c r="AN25" s="38">
        <f>126-50</f>
        <v/>
      </c>
      <c r="AO25" s="38" t="n">
        <v>65</v>
      </c>
      <c r="AP25" s="38" t="n">
        <v>65</v>
      </c>
      <c r="AQ25" s="38" t="n">
        <v>65</v>
      </c>
      <c r="AR25" s="38" t="n">
        <v>65</v>
      </c>
      <c r="AS25" s="38" t="n">
        <v>69</v>
      </c>
      <c r="AT25" s="38" t="n">
        <v>69</v>
      </c>
      <c r="AU25" s="38" t="n">
        <v>41</v>
      </c>
      <c r="AV25" s="38" t="n">
        <v>69</v>
      </c>
      <c r="AW25" s="38" t="n">
        <v>36</v>
      </c>
      <c r="AX25" s="38" t="n">
        <v>36</v>
      </c>
      <c r="AY25" s="38" t="n">
        <v>36</v>
      </c>
      <c r="AZ25" s="38" t="n">
        <v>29</v>
      </c>
      <c r="BA25" s="38" t="n">
        <v>29</v>
      </c>
      <c r="BB25" s="38" t="n">
        <v>29</v>
      </c>
      <c r="BC25" s="38" t="n">
        <v>29</v>
      </c>
      <c r="BD25" s="38" t="n">
        <v>29</v>
      </c>
      <c r="BE25" s="38" t="n">
        <v>29</v>
      </c>
      <c r="BF25" s="38" t="n">
        <v>29</v>
      </c>
      <c r="BG25" s="38" t="n">
        <v>29</v>
      </c>
      <c r="BH25" s="38" t="n">
        <v>0</v>
      </c>
      <c r="BI25" s="38" t="n">
        <v>0</v>
      </c>
      <c r="BJ25" s="38" t="n">
        <v>0</v>
      </c>
      <c r="BK25" s="38" t="n">
        <v>0</v>
      </c>
      <c r="BL25" s="38" t="n">
        <v>0</v>
      </c>
      <c r="BM25" s="38" t="n">
        <v>0</v>
      </c>
      <c r="BN25" s="38" t="n">
        <v>0</v>
      </c>
      <c r="BO25" s="38" t="n">
        <v>0</v>
      </c>
      <c r="BP25" s="38" t="n">
        <v>0</v>
      </c>
      <c r="BQ25" s="38" t="n">
        <v>0</v>
      </c>
      <c r="BR25" s="38" t="n">
        <v>0</v>
      </c>
      <c r="BS25" s="38" t="n">
        <v>0</v>
      </c>
      <c r="BT25" s="38" t="n">
        <v>0</v>
      </c>
      <c r="BU25" s="38" t="n">
        <v>0</v>
      </c>
      <c r="BV25" s="38" t="n">
        <v>0</v>
      </c>
      <c r="BW25" s="38" t="n">
        <v>0</v>
      </c>
      <c r="BX25" s="38" t="n">
        <v>0</v>
      </c>
      <c r="BY25" s="38" t="n">
        <v>0</v>
      </c>
      <c r="BZ25" s="38" t="n">
        <v>0</v>
      </c>
      <c r="CA25" s="38" t="n">
        <v>0</v>
      </c>
      <c r="CB25" s="38" t="n">
        <v>0</v>
      </c>
      <c r="CC25" s="9" t="n">
        <v>0</v>
      </c>
      <c r="CD25" s="9" t="n">
        <v>0</v>
      </c>
      <c r="CE25" s="9" t="n">
        <v>0</v>
      </c>
      <c r="CF25" s="246">
        <f>CD25+IF(NOT(ISBLANK(OFFSET(CF25,0,6))),N(OFFSET(CF25,0,6)),N(OFFSET(CF25,0,7)))-CE25</f>
        <v/>
      </c>
      <c r="CH25" s="6" t="n"/>
      <c r="CI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J25" s="6" t="n"/>
      <c r="EK25" s="6" t="n"/>
      <c r="EL25" s="6" t="n"/>
      <c r="EM25" s="269" t="n"/>
      <c r="EN25" s="6" t="n"/>
      <c r="EO25" s="6" t="n"/>
      <c r="EQ25" s="6" t="n"/>
      <c r="ER25" s="6" t="n"/>
      <c r="ES25" s="6" t="n"/>
      <c r="ET25" s="6" t="n"/>
      <c r="EU25" s="289" t="n"/>
      <c r="FB25" s="289" t="n"/>
      <c r="FE25" s="6" t="n"/>
      <c r="FQ25" s="6" t="n"/>
      <c r="FR25" s="6" t="n"/>
      <c r="FS25" s="6" t="n"/>
      <c r="FT25" s="6" t="n"/>
      <c r="FU25" s="6" t="n"/>
      <c r="FV25" s="6" t="n"/>
      <c r="FW25" s="6" t="n"/>
      <c r="FX25" s="6" t="n"/>
      <c r="FY25" s="6" t="n"/>
      <c r="FZ25" s="6" t="n"/>
      <c r="GA25" s="6" t="n"/>
      <c r="GB25" s="6" t="n"/>
      <c r="GC25" s="6" t="n"/>
      <c r="GD25" s="6" t="n"/>
      <c r="GE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7" t="n">
        <v>715.5</v>
      </c>
      <c r="D26" s="342" t="n"/>
      <c r="E26" s="6" t="n"/>
      <c r="F26" s="9" t="n">
        <v>36</v>
      </c>
      <c r="G26" s="9" t="n">
        <v>33</v>
      </c>
      <c r="H26" s="38" t="n">
        <v>23</v>
      </c>
      <c r="I26" s="38" t="n">
        <v>1</v>
      </c>
      <c r="J26" s="38" t="n">
        <v>1</v>
      </c>
      <c r="K26" s="38" t="n">
        <v>1</v>
      </c>
      <c r="L26" s="38" t="n">
        <v>1</v>
      </c>
      <c r="M26" s="38" t="n">
        <v>0</v>
      </c>
      <c r="N26" s="38" t="n">
        <v>0</v>
      </c>
      <c r="O26" s="38" t="n">
        <v>0</v>
      </c>
      <c r="P26" s="38" t="n">
        <v>0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/>
      <c r="AB26" s="38" t="n"/>
      <c r="AC26" s="38" t="n"/>
      <c r="AD26" s="38" t="n"/>
      <c r="AE26" s="38" t="n"/>
      <c r="AF26" s="38" t="n"/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38" t="n"/>
      <c r="CC26" s="9" t="n"/>
      <c r="CD26" s="9" t="n"/>
      <c r="CE26" s="9" t="n"/>
      <c r="CF26" s="246">
        <f>CD26+IF(NOT(ISBLANK(OFFSET(CF26,0,6))),N(OFFSET(CF26,0,6)),N(OFFSET(CF26,0,7)))-CE26</f>
        <v/>
      </c>
      <c r="CH26" s="6" t="n"/>
      <c r="CI26" s="6" t="n"/>
      <c r="CQ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53" t="n"/>
      <c r="EB26" s="6" t="n"/>
      <c r="EC26" s="6" t="n"/>
      <c r="ED26" s="6" t="n"/>
      <c r="EE26" s="6" t="n"/>
      <c r="EF26" s="6" t="n"/>
      <c r="EG26" s="6" t="n"/>
      <c r="EH26" s="6" t="n"/>
      <c r="EI26" s="6" t="n"/>
      <c r="EJ26" s="6" t="n"/>
      <c r="EK26" s="6" t="n"/>
      <c r="EL26" s="6" t="n"/>
      <c r="EM26" s="269" t="n"/>
      <c r="EN26" s="6" t="n"/>
      <c r="EO26" s="6" t="n"/>
      <c r="EQ26" s="6" t="n"/>
      <c r="ER26" s="6" t="n"/>
      <c r="ES26" s="6" t="n"/>
      <c r="ET26" s="6" t="n"/>
      <c r="EU26" s="289" t="n"/>
      <c r="FB26" s="289" t="n"/>
      <c r="FE26" s="6" t="n"/>
      <c r="FQ26" s="6" t="n"/>
      <c r="FR26" s="6" t="n"/>
      <c r="FS26" s="6" t="n"/>
      <c r="FT26" s="6" t="n"/>
      <c r="FU26" s="6" t="n"/>
      <c r="FV26" s="6" t="n"/>
      <c r="FW26" s="6" t="n"/>
      <c r="FX26" s="6" t="n"/>
      <c r="FY26" s="6" t="n"/>
      <c r="FZ26" s="6" t="n"/>
      <c r="GA26" s="6" t="n"/>
      <c r="GB26" s="6" t="n"/>
      <c r="GC26" s="6" t="n"/>
      <c r="GD26" s="6" t="n"/>
      <c r="GE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7" t="n">
        <v>746</v>
      </c>
      <c r="D27" s="342" t="n"/>
      <c r="E27" s="6" t="n"/>
      <c r="F27" s="9" t="n">
        <v>246</v>
      </c>
      <c r="G27" s="9">
        <f>192-100</f>
        <v/>
      </c>
      <c r="H27" s="38" t="n">
        <v>44</v>
      </c>
      <c r="I27" s="38" t="n">
        <v>25</v>
      </c>
      <c r="J27" s="38" t="n">
        <v>12</v>
      </c>
      <c r="K27" s="38" t="n">
        <v>0</v>
      </c>
      <c r="L27" s="38" t="n">
        <v>0</v>
      </c>
      <c r="M27" s="38" t="n">
        <v>7</v>
      </c>
      <c r="N27" s="38" t="n">
        <v>4</v>
      </c>
      <c r="O27" s="38" t="n">
        <v>4</v>
      </c>
      <c r="P27" s="38" t="n">
        <v>1</v>
      </c>
      <c r="Q27" s="38" t="n">
        <v>1</v>
      </c>
      <c r="R27" s="38" t="n">
        <v>1</v>
      </c>
      <c r="S27" s="38" t="n">
        <v>1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9" t="n"/>
      <c r="CE27" s="9" t="n"/>
      <c r="CF27" s="246">
        <f>CD27+IF(NOT(ISBLANK(OFFSET(CF27,0,6))),N(OFFSET(CF27,0,6)),N(OFFSET(CF27,0,7)))-CE27</f>
        <v/>
      </c>
      <c r="CH27" s="6" t="n"/>
      <c r="CI27" s="6" t="n"/>
      <c r="CQ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53" t="n"/>
      <c r="EB27" s="6" t="n"/>
      <c r="EC27" s="6" t="n"/>
      <c r="ED27" s="6" t="n"/>
      <c r="EE27" s="6" t="n"/>
      <c r="EF27" s="6" t="n"/>
      <c r="EG27" s="6" t="n"/>
      <c r="EH27" s="6" t="n"/>
      <c r="EI27" s="6" t="n"/>
      <c r="EJ27" s="6" t="n"/>
      <c r="EK27" s="6" t="n"/>
      <c r="EL27" s="6" t="n"/>
      <c r="EM27" s="269" t="n"/>
      <c r="EN27" s="6" t="n"/>
      <c r="EO27" s="6" t="n"/>
      <c r="EQ27" s="6" t="n"/>
      <c r="ER27" s="6" t="n"/>
      <c r="ES27" s="6" t="n"/>
      <c r="ET27" s="6" t="n"/>
      <c r="EU27" s="289" t="n"/>
      <c r="FB27" s="289" t="n"/>
      <c r="FE27" s="6" t="n"/>
      <c r="FL27" s="53" t="n"/>
      <c r="FQ27" s="6" t="n"/>
      <c r="FR27" s="6" t="n"/>
      <c r="FS27" s="6" t="n"/>
      <c r="FT27" s="6" t="n"/>
      <c r="FU27" s="6" t="n"/>
      <c r="FV27" s="6" t="n"/>
      <c r="FW27" s="6" t="n"/>
      <c r="FX27" s="6" t="n"/>
      <c r="FY27" s="6" t="n"/>
      <c r="FZ27" s="6" t="n"/>
      <c r="GA27" s="6" t="n"/>
      <c r="GB27" s="6" t="n"/>
      <c r="GC27" s="6" t="n"/>
      <c r="GD27" s="6" t="n"/>
      <c r="GE27" s="6" t="n"/>
    </row>
    <row r="28" hidden="1" ht="18.75" customHeight="1">
      <c r="A28" s="250" t="inlineStr">
        <is>
          <t>CAIXA G NAT./24</t>
        </is>
      </c>
      <c r="B28" s="251" t="n">
        <v>50</v>
      </c>
      <c r="C28" s="667" t="n">
        <v>777</v>
      </c>
      <c r="D28" s="342" t="n"/>
      <c r="E28" s="6" t="n"/>
      <c r="F28" s="9" t="n">
        <v>5</v>
      </c>
      <c r="G28" s="9" t="n">
        <v>5</v>
      </c>
      <c r="H28" s="38" t="n">
        <v>4</v>
      </c>
      <c r="I28" s="38" t="n">
        <v>3</v>
      </c>
      <c r="J28" s="38" t="n">
        <v>3</v>
      </c>
      <c r="K28" s="38" t="n">
        <v>3</v>
      </c>
      <c r="L28" s="38" t="n">
        <v>3</v>
      </c>
      <c r="M28" s="38" t="n">
        <v>3</v>
      </c>
      <c r="N28" s="38" t="n">
        <v>2</v>
      </c>
      <c r="O28" s="38" t="n">
        <v>2</v>
      </c>
      <c r="P28" s="38" t="n">
        <v>2</v>
      </c>
      <c r="Q28" s="38" t="n">
        <v>2</v>
      </c>
      <c r="R28" s="38" t="n">
        <v>2</v>
      </c>
      <c r="S28" s="38" t="n">
        <v>2</v>
      </c>
      <c r="T28" s="38" t="n">
        <v>0</v>
      </c>
      <c r="U28" s="38" t="n">
        <v>2</v>
      </c>
      <c r="V28" s="38" t="n">
        <v>2</v>
      </c>
      <c r="W28" s="38" t="n">
        <v>2</v>
      </c>
      <c r="X28" s="38" t="n">
        <v>2</v>
      </c>
      <c r="Y28" s="38" t="n">
        <v>2</v>
      </c>
      <c r="Z28" s="38" t="n">
        <v>0</v>
      </c>
      <c r="AA28" s="38" t="n"/>
      <c r="AB28" s="38" t="n"/>
      <c r="AC28" s="38" t="n"/>
      <c r="AD28" s="38" t="n"/>
      <c r="AE28" s="38" t="n"/>
      <c r="AF28" s="38" t="n"/>
      <c r="AG28" s="38" t="n"/>
      <c r="AH28" s="38" t="n"/>
      <c r="AI28" s="38" t="n"/>
      <c r="AJ28" s="38" t="n"/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38" t="n"/>
      <c r="CC28" s="9" t="n"/>
      <c r="CD28" s="9" t="n"/>
      <c r="CE28" s="9" t="n"/>
      <c r="CF28" s="246">
        <f>CD28+IF(NOT(ISBLANK(OFFSET(CF28,0,6))),N(OFFSET(CF28,0,6)),N(OFFSET(CF28,0,7)))-CE28</f>
        <v/>
      </c>
      <c r="CH28" s="6" t="n"/>
      <c r="CI28" s="49" t="n"/>
      <c r="CL28" s="696" t="n"/>
      <c r="CM28" s="57" t="n"/>
      <c r="CN28" s="57" t="n"/>
      <c r="CO28" s="57" t="n"/>
      <c r="CP28" s="57" t="n"/>
      <c r="CQ28" s="6" t="n"/>
      <c r="CR28" s="57" t="n"/>
      <c r="CS28" s="57" t="n"/>
      <c r="CT28" s="57" t="n"/>
      <c r="CU28" s="57" t="n"/>
      <c r="CV28" s="57" t="n"/>
      <c r="CW28" s="49" t="n"/>
      <c r="CX28" s="49" t="n"/>
      <c r="CY28" s="49" t="n"/>
      <c r="CZ28" s="49" t="n"/>
      <c r="DA28" s="49" t="n"/>
      <c r="DB28" s="49" t="n"/>
      <c r="DC28" s="49" t="n"/>
      <c r="DD28" s="49" t="n"/>
      <c r="DE28" s="49" t="n"/>
      <c r="DF28" s="6" t="n"/>
      <c r="DG28" s="49" t="n"/>
      <c r="DH28" s="49" t="n"/>
      <c r="DI28" s="49" t="n"/>
      <c r="DJ28" s="49" t="n"/>
      <c r="DK28" s="6" t="n"/>
      <c r="DL28" s="49" t="n"/>
      <c r="DM28" s="49" t="n"/>
      <c r="DN28" s="49" t="n"/>
      <c r="DO28" s="49" t="n"/>
      <c r="DP28" s="49" t="n"/>
      <c r="DQ28" s="49" t="n"/>
      <c r="DR28" s="49" t="n"/>
      <c r="DS28" s="6" t="n"/>
      <c r="DT28" s="49" t="n"/>
      <c r="DU28" s="6" t="n"/>
      <c r="DV28" s="49" t="n"/>
      <c r="DW28" s="49" t="n"/>
      <c r="DX28" s="49" t="n"/>
      <c r="DY28" s="49" t="n"/>
      <c r="DZ28" s="6" t="n"/>
      <c r="EA28" s="53" t="n"/>
      <c r="EB28" s="49" t="n"/>
      <c r="EC28" s="49" t="n"/>
      <c r="ED28" s="49" t="n"/>
      <c r="EE28" s="49" t="n"/>
      <c r="EF28" s="6" t="n"/>
      <c r="EG28" s="6" t="n"/>
      <c r="EH28" s="49" t="n"/>
      <c r="EI28" s="49" t="n"/>
      <c r="EJ28" s="49" t="n"/>
      <c r="EK28" s="49" t="n"/>
      <c r="EL28" s="49" t="n"/>
      <c r="EM28" s="268" t="n"/>
      <c r="EN28" s="49" t="n"/>
      <c r="EO28" s="6" t="n"/>
      <c r="EQ28" s="6" t="n"/>
      <c r="ER28" s="49" t="n"/>
      <c r="ES28" s="6" t="n"/>
      <c r="ET28" s="6" t="n"/>
      <c r="EU28" s="289" t="n"/>
      <c r="FB28" s="289" t="n"/>
      <c r="FE28" s="49" t="n"/>
      <c r="FL28" s="53" t="n"/>
      <c r="FQ28" s="6" t="n"/>
      <c r="FR28" s="6" t="n"/>
      <c r="FS28" s="6" t="n"/>
      <c r="FT28" s="6" t="n"/>
      <c r="FU28" s="6" t="n"/>
      <c r="FV28" s="6" t="n"/>
      <c r="FW28" s="6" t="n"/>
      <c r="FX28" s="6" t="n"/>
      <c r="FY28" s="6" t="n"/>
      <c r="FZ28" s="6" t="n"/>
      <c r="GA28" s="6" t="n"/>
      <c r="GB28" s="6" t="n"/>
      <c r="GC28" s="6" t="n"/>
      <c r="GD28" s="6" t="n"/>
      <c r="GE28" s="6" t="n"/>
    </row>
    <row r="29" hidden="1" ht="18.75" customHeight="1">
      <c r="A29" s="250" t="inlineStr">
        <is>
          <t>CARTUCHO P NAT./24</t>
        </is>
      </c>
      <c r="B29" s="251" t="n">
        <v>200</v>
      </c>
      <c r="C29" s="667" t="n">
        <v>486</v>
      </c>
      <c r="D29" s="342" t="n"/>
      <c r="E29" s="6" t="n"/>
      <c r="F29" s="9" t="n">
        <v>2</v>
      </c>
      <c r="G29" s="38" t="n">
        <v>2</v>
      </c>
      <c r="H29" s="38" t="n">
        <v>0</v>
      </c>
      <c r="I29" s="38" t="n">
        <v>0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38" t="n"/>
      <c r="CC29" s="9" t="n"/>
      <c r="CD29" s="9" t="n"/>
      <c r="CE29" s="9" t="n"/>
      <c r="CF29" s="246">
        <f>CD29+IF(NOT(ISBLANK(OFFSET(CF29,0,6))),N(OFFSET(CF29,0,6)),N(OFFSET(CF29,0,7)))-CE29</f>
        <v/>
      </c>
      <c r="CH29" s="49" t="n"/>
      <c r="CL29" s="696" t="n"/>
      <c r="CM29" s="57" t="n"/>
      <c r="CN29" s="57" t="n"/>
      <c r="CO29" s="57" t="n"/>
      <c r="CP29" s="57" t="n"/>
      <c r="CQ29" s="6" t="n"/>
      <c r="CR29" s="57" t="n"/>
      <c r="CS29" s="57" t="n"/>
      <c r="CT29" s="57" t="n"/>
      <c r="CU29" s="57" t="n"/>
      <c r="CV29" s="57" t="n"/>
      <c r="DF29" s="6" t="n"/>
      <c r="DK29" s="6" t="n"/>
      <c r="DS29" s="6" t="n"/>
      <c r="DU29" s="6" t="n"/>
      <c r="DZ29" s="6" t="n"/>
      <c r="EA29" s="53" t="n"/>
      <c r="EF29" s="6" t="n"/>
      <c r="EG29" s="6" t="n"/>
      <c r="EM29" s="314" t="n"/>
      <c r="EO29" s="6" t="n"/>
      <c r="EQ29" s="6" t="n"/>
      <c r="ES29" s="6" t="n"/>
      <c r="ET29" s="6" t="n"/>
      <c r="EU29" s="289" t="n"/>
      <c r="FB29" s="289" t="n"/>
      <c r="FL29" s="53" t="n"/>
      <c r="FQ29" s="6" t="n"/>
      <c r="FR29" s="6" t="n"/>
      <c r="FS29" s="6" t="n"/>
      <c r="FT29" s="6" t="n"/>
      <c r="FU29" s="6" t="n"/>
      <c r="FV29" s="6" t="n"/>
      <c r="FW29" s="6" t="n"/>
      <c r="FX29" s="6" t="n"/>
      <c r="FY29" s="6" t="n"/>
      <c r="FZ29" s="6" t="n"/>
      <c r="GA29" s="6" t="n"/>
      <c r="GB29" s="6" t="n"/>
      <c r="GC29" s="6" t="n"/>
      <c r="GD29" s="6" t="n"/>
      <c r="GE29" s="6" t="n"/>
    </row>
    <row r="30" hidden="1" ht="18.75" customHeight="1">
      <c r="A30" s="250" t="inlineStr">
        <is>
          <t>CARTUCHO M NAT./24</t>
        </is>
      </c>
      <c r="B30" s="251" t="n">
        <v>150</v>
      </c>
      <c r="C30" s="667" t="n">
        <v>459</v>
      </c>
      <c r="D30" s="342" t="n"/>
      <c r="E30" s="6" t="n"/>
      <c r="F30" s="9" t="n">
        <v>6</v>
      </c>
      <c r="G30" s="9" t="n">
        <v>6</v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38" t="n"/>
      <c r="CC30" s="9" t="n"/>
      <c r="CD30" s="9" t="n"/>
      <c r="CE30" s="9" t="n"/>
      <c r="CF30" s="246">
        <f>CD30+IF(NOT(ISBLANK(OFFSET(CF30,0,6))),N(OFFSET(CF30,0,6)),N(OFFSET(CF30,0,7)))-CE30</f>
        <v/>
      </c>
      <c r="CL30" s="696" t="n"/>
      <c r="CM30" s="57" t="n"/>
      <c r="CN30" s="57" t="n"/>
      <c r="CO30" s="57" t="n"/>
      <c r="CP30" s="57" t="n"/>
      <c r="CQ30" s="6" t="n"/>
      <c r="CR30" s="57" t="n"/>
      <c r="CS30" s="57" t="n"/>
      <c r="CT30" s="57" t="n"/>
      <c r="CU30" s="57" t="n"/>
      <c r="CV30" s="57" t="n"/>
      <c r="DF30" s="6" t="n"/>
      <c r="DK30" s="6" t="n"/>
      <c r="DS30" s="6" t="n"/>
      <c r="DU30" s="6" t="n"/>
      <c r="DZ30" s="6" t="n"/>
      <c r="EA30" s="53" t="n"/>
      <c r="EF30" s="6" t="n"/>
      <c r="EG30" s="6" t="n"/>
      <c r="EM30" s="314" t="n"/>
      <c r="EO30" s="6" t="n"/>
      <c r="EQ30" s="6" t="n"/>
      <c r="ES30" s="6" t="n"/>
      <c r="ET30" s="6" t="n"/>
      <c r="EU30" s="289" t="n"/>
      <c r="FB30" s="289" t="n"/>
      <c r="FL30" s="53" t="n"/>
      <c r="FQ30" s="6" t="n"/>
      <c r="FR30" s="6" t="n"/>
      <c r="FS30" s="6" t="n"/>
      <c r="FT30" s="6" t="n"/>
      <c r="FU30" s="6" t="n"/>
      <c r="FV30" s="6" t="n"/>
      <c r="FW30" s="6" t="n"/>
      <c r="FX30" s="6" t="n"/>
      <c r="FY30" s="6" t="n"/>
      <c r="FZ30" s="6" t="n"/>
      <c r="GA30" s="6" t="n"/>
      <c r="GB30" s="6" t="n"/>
      <c r="GC30" s="6" t="n"/>
      <c r="GD30" s="6" t="n"/>
      <c r="GE30" s="6" t="n"/>
    </row>
    <row r="31" ht="18.75" customHeight="1">
      <c r="A31" s="250" t="inlineStr">
        <is>
          <t>ÁRVORE</t>
        </is>
      </c>
      <c r="B31" s="251" t="n">
        <v>100</v>
      </c>
      <c r="C31" s="667" t="n">
        <v>295</v>
      </c>
      <c r="D31" s="342" t="n"/>
      <c r="E31" s="6" t="n"/>
      <c r="F31" s="9" t="n">
        <v>80</v>
      </c>
      <c r="G31" s="9" t="n">
        <v>80</v>
      </c>
      <c r="H31" s="38" t="n">
        <v>78</v>
      </c>
      <c r="I31" s="38" t="n">
        <v>78</v>
      </c>
      <c r="J31" s="38" t="n">
        <v>78</v>
      </c>
      <c r="K31" s="38" t="n">
        <v>78</v>
      </c>
      <c r="L31" s="38" t="n">
        <v>78</v>
      </c>
      <c r="M31" s="38" t="n">
        <v>78</v>
      </c>
      <c r="N31" s="38" t="n">
        <v>78</v>
      </c>
      <c r="O31" s="38" t="n">
        <v>78</v>
      </c>
      <c r="P31" s="38" t="n">
        <v>78</v>
      </c>
      <c r="Q31" s="38" t="n">
        <v>78</v>
      </c>
      <c r="R31" s="38" t="n">
        <v>78</v>
      </c>
      <c r="S31" s="38" t="n">
        <v>78</v>
      </c>
      <c r="T31" s="38" t="n">
        <v>0</v>
      </c>
      <c r="U31" s="38" t="n">
        <v>78</v>
      </c>
      <c r="V31" s="38" t="n">
        <v>78</v>
      </c>
      <c r="W31" s="38" t="n">
        <v>78</v>
      </c>
      <c r="X31" s="38" t="n">
        <v>78</v>
      </c>
      <c r="Y31" s="38" t="n">
        <v>78</v>
      </c>
      <c r="Z31" s="38" t="n">
        <v>78</v>
      </c>
      <c r="AA31" s="38" t="n">
        <v>78</v>
      </c>
      <c r="AB31" s="38" t="n">
        <v>78</v>
      </c>
      <c r="AC31" s="38" t="n">
        <v>78</v>
      </c>
      <c r="AD31" s="38" t="n">
        <v>78</v>
      </c>
      <c r="AE31" s="38" t="n">
        <v>78</v>
      </c>
      <c r="AF31" s="38" t="n">
        <v>78</v>
      </c>
      <c r="AG31" s="38" t="n">
        <v>78</v>
      </c>
      <c r="AH31" s="38" t="n">
        <v>78</v>
      </c>
      <c r="AI31" s="38" t="n">
        <v>78</v>
      </c>
      <c r="AJ31" s="38" t="n">
        <v>78</v>
      </c>
      <c r="AK31" s="38" t="n">
        <v>78</v>
      </c>
      <c r="AL31" s="38" t="n">
        <v>78</v>
      </c>
      <c r="AM31" s="38" t="n">
        <v>78</v>
      </c>
      <c r="AN31" s="38" t="n">
        <v>78</v>
      </c>
      <c r="AO31" s="38" t="n">
        <v>78</v>
      </c>
      <c r="AP31" s="38" t="n">
        <v>78</v>
      </c>
      <c r="AQ31" s="38" t="n">
        <v>78</v>
      </c>
      <c r="AR31" s="38" t="n">
        <v>78</v>
      </c>
      <c r="AS31" s="38" t="n">
        <v>78</v>
      </c>
      <c r="AT31" s="38" t="n">
        <v>78</v>
      </c>
      <c r="AU31" s="38" t="n">
        <v>78</v>
      </c>
      <c r="AV31" s="38" t="n">
        <v>78</v>
      </c>
      <c r="AW31" s="38" t="n">
        <v>78</v>
      </c>
      <c r="AX31" s="38" t="n">
        <v>78</v>
      </c>
      <c r="AY31" s="38" t="n">
        <v>78</v>
      </c>
      <c r="AZ31" s="38" t="n">
        <v>78</v>
      </c>
      <c r="BA31" s="38" t="n">
        <v>78</v>
      </c>
      <c r="BB31" s="38" t="n">
        <v>78</v>
      </c>
      <c r="BC31" s="38" t="n">
        <v>77</v>
      </c>
      <c r="BD31" s="38" t="n">
        <v>77</v>
      </c>
      <c r="BE31" s="38" t="n">
        <v>77</v>
      </c>
      <c r="BF31" s="38" t="n">
        <v>77</v>
      </c>
      <c r="BG31" s="38" t="n">
        <v>77</v>
      </c>
      <c r="BH31" s="38" t="n">
        <v>68</v>
      </c>
      <c r="BI31" s="38" t="n">
        <v>68</v>
      </c>
      <c r="BJ31" s="38" t="n">
        <v>68</v>
      </c>
      <c r="BK31" s="38" t="n">
        <v>68</v>
      </c>
      <c r="BL31" s="38" t="n">
        <v>68</v>
      </c>
      <c r="BM31" s="38" t="n">
        <v>68</v>
      </c>
      <c r="BN31" s="38" t="n">
        <v>68</v>
      </c>
      <c r="BO31" s="38" t="n">
        <v>68</v>
      </c>
      <c r="BP31" s="38" t="n">
        <v>68</v>
      </c>
      <c r="BQ31" s="38" t="n">
        <v>68</v>
      </c>
      <c r="BR31" s="38" t="n">
        <v>68</v>
      </c>
      <c r="BS31" s="38" t="n">
        <v>68</v>
      </c>
      <c r="BT31" s="38" t="n">
        <v>68</v>
      </c>
      <c r="BU31" s="38" t="n">
        <v>68</v>
      </c>
      <c r="BV31" s="38" t="n">
        <v>68</v>
      </c>
      <c r="BW31" s="38" t="n">
        <v>68</v>
      </c>
      <c r="BX31" s="38" t="n">
        <v>68</v>
      </c>
      <c r="BY31" s="38" t="n">
        <v>68</v>
      </c>
      <c r="BZ31" s="38" t="n">
        <v>68</v>
      </c>
      <c r="CA31" s="38" t="n">
        <v>68</v>
      </c>
      <c r="CB31" s="38" t="n">
        <v>68</v>
      </c>
      <c r="CC31" s="9" t="n">
        <v>68</v>
      </c>
      <c r="CD31" s="9" t="n">
        <v>68</v>
      </c>
      <c r="CE31" s="9" t="n">
        <v>68</v>
      </c>
      <c r="CF31" s="246">
        <f>CD31+IF(NOT(ISBLANK(OFFSET(CF31,0,6))),N(OFFSET(CF31,0,6)),N(OFFSET(CF31,0,7)))-CE31</f>
        <v/>
      </c>
      <c r="CL31" s="696" t="n"/>
      <c r="CM31" s="57" t="n"/>
      <c r="CN31" s="57" t="n"/>
      <c r="CO31" s="57" t="n"/>
      <c r="CP31" s="57" t="n"/>
      <c r="CQ31" s="6" t="n"/>
      <c r="CR31" s="57" t="n"/>
      <c r="CS31" s="57" t="n"/>
      <c r="CT31" s="57" t="n"/>
      <c r="CU31" s="57" t="n"/>
      <c r="CV31" s="57" t="n"/>
      <c r="DF31" s="6" t="n"/>
      <c r="DK31" s="6" t="n"/>
      <c r="DS31" s="6" t="n"/>
      <c r="DU31" s="6" t="n"/>
      <c r="DZ31" s="6" t="n"/>
      <c r="EA31" s="53" t="n"/>
      <c r="EF31" s="6" t="n"/>
      <c r="EG31" s="6" t="n"/>
      <c r="EM31" s="314" t="n"/>
      <c r="EO31" s="6" t="n"/>
      <c r="EQ31" s="6" t="n"/>
      <c r="ES31" s="6" t="n"/>
      <c r="ET31" s="6" t="n"/>
      <c r="EU31" s="289" t="n"/>
      <c r="FB31" s="289" t="n"/>
      <c r="FL31" s="53" t="n"/>
      <c r="FQ31" s="6" t="n"/>
      <c r="FR31" s="6" t="n"/>
      <c r="FS31" s="6" t="n"/>
      <c r="FT31" s="6" t="n"/>
      <c r="FU31" s="6" t="n"/>
      <c r="FV31" s="6" t="n"/>
      <c r="FW31" s="6" t="n"/>
      <c r="FX31" s="6" t="n"/>
      <c r="FY31" s="6" t="n"/>
      <c r="FZ31" s="6" t="n"/>
      <c r="GA31" s="6" t="n"/>
      <c r="GB31" s="6" t="n"/>
      <c r="GC31" s="6" t="n"/>
      <c r="GD31" s="6" t="n"/>
      <c r="GE31" s="6" t="n"/>
    </row>
    <row r="32" ht="18.75" customHeight="1">
      <c r="A32" s="250" t="inlineStr">
        <is>
          <t>BOLA</t>
        </is>
      </c>
      <c r="B32" s="251" t="n">
        <v>100</v>
      </c>
      <c r="C32" s="667" t="n">
        <v>283</v>
      </c>
      <c r="D32" s="342" t="n"/>
      <c r="E32" s="6" t="n"/>
      <c r="F32" s="9" t="n">
        <v>24</v>
      </c>
      <c r="G32" s="9" t="n">
        <v>64</v>
      </c>
      <c r="H32" s="38" t="n">
        <v>63</v>
      </c>
      <c r="I32" s="38" t="n">
        <v>63</v>
      </c>
      <c r="J32" s="38" t="n">
        <v>63</v>
      </c>
      <c r="K32" s="38" t="n">
        <v>63</v>
      </c>
      <c r="L32" s="38" t="n">
        <v>64</v>
      </c>
      <c r="M32" s="38" t="n">
        <v>64</v>
      </c>
      <c r="N32" s="38" t="n">
        <v>64</v>
      </c>
      <c r="O32" s="38" t="n">
        <v>64</v>
      </c>
      <c r="P32" s="38" t="n">
        <v>64</v>
      </c>
      <c r="Q32" s="38" t="n">
        <v>64</v>
      </c>
      <c r="R32" s="38" t="n">
        <v>64</v>
      </c>
      <c r="S32" s="38" t="n">
        <v>64</v>
      </c>
      <c r="T32" s="38" t="n">
        <v>0</v>
      </c>
      <c r="U32" s="38" t="n">
        <v>64</v>
      </c>
      <c r="V32" s="38" t="n">
        <v>64</v>
      </c>
      <c r="W32" s="38" t="n">
        <v>64</v>
      </c>
      <c r="X32" s="38" t="n">
        <v>64</v>
      </c>
      <c r="Y32" s="38" t="n">
        <v>64</v>
      </c>
      <c r="Z32" s="38" t="n">
        <v>64</v>
      </c>
      <c r="AA32" s="38" t="n">
        <v>64</v>
      </c>
      <c r="AB32" s="38" t="n">
        <v>64</v>
      </c>
      <c r="AC32" s="38" t="n">
        <v>64</v>
      </c>
      <c r="AD32" s="38" t="n">
        <v>64</v>
      </c>
      <c r="AE32" s="38" t="n">
        <v>64</v>
      </c>
      <c r="AF32" s="38" t="n">
        <v>64</v>
      </c>
      <c r="AG32" s="38" t="n">
        <v>64</v>
      </c>
      <c r="AH32" s="38" t="n">
        <v>64</v>
      </c>
      <c r="AI32" s="38" t="n">
        <v>64</v>
      </c>
      <c r="AJ32" s="38" t="n">
        <v>64</v>
      </c>
      <c r="AK32" s="38" t="n">
        <v>64</v>
      </c>
      <c r="AL32" s="38" t="n">
        <v>64</v>
      </c>
      <c r="AM32" s="38" t="n">
        <v>64</v>
      </c>
      <c r="AN32" s="38" t="n">
        <v>64</v>
      </c>
      <c r="AO32" s="38" t="n">
        <v>64</v>
      </c>
      <c r="AP32" s="38" t="n">
        <v>64</v>
      </c>
      <c r="AQ32" s="38" t="n">
        <v>64</v>
      </c>
      <c r="AR32" s="38" t="n">
        <v>64</v>
      </c>
      <c r="AS32" s="38" t="n">
        <v>64</v>
      </c>
      <c r="AT32" s="38" t="n">
        <v>64</v>
      </c>
      <c r="AU32" s="38" t="n">
        <v>64</v>
      </c>
      <c r="AV32" s="38" t="n">
        <v>64</v>
      </c>
      <c r="AW32" s="38" t="n">
        <v>64</v>
      </c>
      <c r="AX32" s="38" t="n">
        <v>64</v>
      </c>
      <c r="AY32" s="38" t="n">
        <v>64</v>
      </c>
      <c r="AZ32" s="38" t="n">
        <v>50</v>
      </c>
      <c r="BA32" s="38" t="n">
        <v>50</v>
      </c>
      <c r="BB32" s="38" t="n">
        <v>50</v>
      </c>
      <c r="BC32" s="38" t="n">
        <v>45</v>
      </c>
      <c r="BD32" s="38" t="n">
        <v>44</v>
      </c>
      <c r="BE32" s="38" t="n">
        <v>36</v>
      </c>
      <c r="BF32" s="38" t="n">
        <v>36</v>
      </c>
      <c r="BG32" s="38" t="n">
        <v>36</v>
      </c>
      <c r="BH32" s="38" t="n">
        <v>7</v>
      </c>
      <c r="BI32" s="38" t="n">
        <v>7</v>
      </c>
      <c r="BJ32" s="38" t="n">
        <v>7</v>
      </c>
      <c r="BK32" s="38" t="n">
        <v>7</v>
      </c>
      <c r="BL32" s="38" t="n">
        <v>7</v>
      </c>
      <c r="BM32" s="38" t="n">
        <v>7</v>
      </c>
      <c r="BN32" s="38" t="n">
        <v>7</v>
      </c>
      <c r="BO32" s="38" t="n">
        <v>7</v>
      </c>
      <c r="BP32" s="38" t="n">
        <v>7</v>
      </c>
      <c r="BQ32" s="38" t="n">
        <v>7</v>
      </c>
      <c r="BR32" s="38" t="n">
        <v>7</v>
      </c>
      <c r="BS32" s="38" t="n">
        <v>7</v>
      </c>
      <c r="BT32" s="38" t="n">
        <v>7</v>
      </c>
      <c r="BU32" s="38" t="n">
        <v>7</v>
      </c>
      <c r="BV32" s="38" t="n">
        <v>7</v>
      </c>
      <c r="BW32" s="38" t="n">
        <v>7</v>
      </c>
      <c r="BX32" s="38" t="n">
        <v>7</v>
      </c>
      <c r="BY32" s="38" t="n">
        <v>7</v>
      </c>
      <c r="BZ32" s="38" t="n">
        <v>7</v>
      </c>
      <c r="CA32" s="38" t="n">
        <v>7</v>
      </c>
      <c r="CB32" s="38" t="n">
        <v>7</v>
      </c>
      <c r="CC32" s="9" t="n">
        <v>7</v>
      </c>
      <c r="CD32" s="9" t="n">
        <v>7</v>
      </c>
      <c r="CE32" s="9" t="n">
        <v>7</v>
      </c>
      <c r="CF32" s="246">
        <f>CD32+IF(NOT(ISBLANK(OFFSET(CF32,0,6))),N(OFFSET(CF32,0,6)),N(OFFSET(CF32,0,7)))-CE32</f>
        <v/>
      </c>
      <c r="CL32" s="696" t="n"/>
      <c r="CM32" s="57" t="n"/>
      <c r="CN32" s="57" t="n"/>
      <c r="CO32" s="57" t="n"/>
      <c r="CP32" s="57" t="n"/>
      <c r="CQ32" s="6" t="n"/>
      <c r="CR32" s="57" t="n"/>
      <c r="CS32" s="57" t="n"/>
      <c r="CT32" s="57" t="n"/>
      <c r="CU32" s="57" t="n"/>
      <c r="CV32" s="57" t="n"/>
      <c r="DF32" s="6" t="n"/>
      <c r="DK32" s="6" t="n"/>
      <c r="DS32" s="6" t="n"/>
      <c r="DU32" s="6" t="n"/>
      <c r="DZ32" s="6" t="n"/>
      <c r="EA32" s="53" t="n"/>
      <c r="EF32" s="6" t="n"/>
      <c r="EG32" s="6" t="n"/>
      <c r="EM32" s="314" t="n"/>
      <c r="EO32" s="49" t="n"/>
      <c r="EQ32" s="49" t="n"/>
      <c r="ES32" s="49" t="n"/>
      <c r="ET32" s="49" t="n"/>
      <c r="EU32" s="289" t="n"/>
      <c r="FB32" s="289" t="n"/>
      <c r="FL32" s="53" t="n"/>
      <c r="FQ32" s="6" t="n"/>
      <c r="FR32" s="6" t="n"/>
      <c r="FS32" s="6" t="n"/>
      <c r="FT32" s="6" t="n"/>
      <c r="FU32" s="6" t="n"/>
      <c r="FV32" s="6" t="n"/>
      <c r="FW32" s="6" t="n"/>
      <c r="FX32" s="6" t="n"/>
      <c r="FY32" s="6" t="n"/>
      <c r="FZ32" s="6" t="n"/>
      <c r="GA32" s="6" t="n"/>
      <c r="GB32" s="6" t="n"/>
      <c r="GC32" s="6" t="n"/>
      <c r="GD32" s="6" t="n"/>
      <c r="GE32" s="6" t="n"/>
    </row>
    <row r="33" hidden="1" ht="18.75" customHeight="1">
      <c r="A33" s="243" t="inlineStr">
        <is>
          <t>CAIXA P MÃES/25</t>
        </is>
      </c>
      <c r="B33" s="244" t="n">
        <v>150</v>
      </c>
      <c r="C33" s="697" t="n">
        <v>781.05</v>
      </c>
      <c r="D33" s="342" t="n"/>
      <c r="E33" s="6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1</v>
      </c>
      <c r="AA33" s="9" t="n">
        <v>1</v>
      </c>
      <c r="AB33" s="9" t="n">
        <v>1</v>
      </c>
      <c r="AC33" s="9" t="n">
        <v>1</v>
      </c>
      <c r="AD33" s="9" t="n">
        <v>1</v>
      </c>
      <c r="AE33" s="9" t="n">
        <v>0</v>
      </c>
      <c r="AF33" s="9" t="n">
        <v>0</v>
      </c>
      <c r="AG33" s="9" t="n"/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9" t="n"/>
      <c r="CC33" s="9" t="n"/>
      <c r="CD33" s="9" t="n"/>
      <c r="CE33" s="9" t="n"/>
      <c r="CF33" s="246">
        <f>CD33+IF(NOT(ISBLANK(OFFSET(CF33,0,6))),N(OFFSET(CF33,0,6)),N(OFFSET(CF33,0,7)))-CE33</f>
        <v/>
      </c>
      <c r="CL33" s="696" t="n"/>
      <c r="CM33" s="57" t="n"/>
      <c r="CN33" s="57" t="n"/>
      <c r="CO33" s="57" t="n"/>
      <c r="CP33" s="57" t="n"/>
      <c r="CQ33" s="6" t="n"/>
      <c r="CR33" s="57" t="n"/>
      <c r="CS33" s="57" t="n"/>
      <c r="CT33" s="57" t="n"/>
      <c r="CU33" s="57" t="n"/>
      <c r="CV33" s="57" t="n"/>
      <c r="DF33" s="6" t="n"/>
      <c r="DK33" s="6" t="n"/>
      <c r="DS33" s="6" t="n"/>
      <c r="DU33" s="6" t="n"/>
      <c r="DZ33" s="6" t="n"/>
      <c r="EA33" s="53" t="n"/>
      <c r="EF33" s="6" t="n"/>
      <c r="EG33" s="6" t="n"/>
      <c r="EM33" s="314" t="n"/>
      <c r="EO33" s="49" t="n"/>
      <c r="EQ33" s="49" t="n"/>
      <c r="ES33" s="49" t="n"/>
      <c r="ET33" s="49" t="n"/>
      <c r="EU33" s="289" t="n"/>
      <c r="FB33" s="289" t="n"/>
      <c r="FL33" s="53" t="n"/>
      <c r="FQ33" s="6" t="n"/>
      <c r="FR33" s="6" t="n"/>
      <c r="FS33" s="6" t="n"/>
      <c r="FT33" s="6" t="n"/>
      <c r="FU33" s="6" t="n"/>
      <c r="FV33" s="6" t="n"/>
      <c r="FW33" s="6" t="n"/>
      <c r="FX33" s="6" t="n"/>
      <c r="FY33" s="6" t="n"/>
      <c r="FZ33" s="6" t="n"/>
      <c r="GA33" s="6" t="n"/>
      <c r="GB33" s="6" t="n"/>
      <c r="GC33" s="6" t="n"/>
      <c r="GD33" s="6" t="n"/>
      <c r="GE33" s="6" t="n"/>
    </row>
    <row r="34" hidden="1" ht="18.75" customHeight="1">
      <c r="A34" s="243" t="inlineStr">
        <is>
          <t>CAIXA M MÃES/25</t>
        </is>
      </c>
      <c r="B34" s="244" t="n">
        <v>100</v>
      </c>
      <c r="C34" s="697" t="n">
        <v>789</v>
      </c>
      <c r="D34" s="342" t="n"/>
      <c r="E34" s="6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2</v>
      </c>
      <c r="AA34" s="9" t="n">
        <v>0</v>
      </c>
      <c r="AB34" s="9" t="n">
        <v>0</v>
      </c>
      <c r="AC34" s="9" t="n">
        <v>0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9" t="n"/>
      <c r="CC34" s="9" t="n"/>
      <c r="CD34" s="9" t="n"/>
      <c r="CE34" s="9" t="n"/>
      <c r="CF34" s="246">
        <f>CD34+IF(NOT(ISBLANK(OFFSET(CF34,0,6))),N(OFFSET(CF34,0,6)),N(OFFSET(CF34,0,7)))-CE34</f>
        <v/>
      </c>
      <c r="CL34" s="696" t="n"/>
      <c r="CM34" s="57" t="n"/>
      <c r="CN34" s="57" t="n"/>
      <c r="CO34" s="57" t="n"/>
      <c r="CP34" s="57" t="n"/>
      <c r="CQ34" s="6" t="n"/>
      <c r="CR34" s="57" t="n"/>
      <c r="CS34" s="57" t="n"/>
      <c r="CT34" s="57" t="n"/>
      <c r="CU34" s="57" t="n"/>
      <c r="CV34" s="57" t="n"/>
      <c r="DF34" s="6" t="n"/>
      <c r="DK34" s="6" t="n"/>
      <c r="DS34" s="6" t="n"/>
      <c r="DU34" s="6" t="n"/>
      <c r="DZ34" s="6" t="n"/>
      <c r="EA34" s="53" t="n"/>
      <c r="EF34" s="6" t="n"/>
      <c r="EG34" s="6" t="n"/>
      <c r="EM34" s="314" t="n"/>
      <c r="EO34" s="49" t="n"/>
      <c r="EQ34" s="49" t="n"/>
      <c r="ES34" s="49" t="n"/>
      <c r="ET34" s="49" t="n"/>
      <c r="EU34" s="289" t="n"/>
      <c r="FB34" s="289" t="n"/>
      <c r="FL34" s="53" t="n"/>
      <c r="FQ34" s="6" t="n"/>
      <c r="FR34" s="6" t="n"/>
      <c r="FS34" s="6" t="n"/>
      <c r="FT34" s="6" t="n"/>
      <c r="FU34" s="6" t="n"/>
      <c r="FV34" s="6" t="n"/>
      <c r="FW34" s="6" t="n"/>
      <c r="FX34" s="6" t="n"/>
      <c r="FY34" s="6" t="n"/>
      <c r="FZ34" s="6" t="n"/>
      <c r="GA34" s="6" t="n"/>
      <c r="GB34" s="6" t="n"/>
      <c r="GC34" s="6" t="n"/>
      <c r="GD34" s="6" t="n"/>
      <c r="GE34" s="6" t="n"/>
    </row>
    <row r="35" hidden="1" ht="18.75" customHeight="1">
      <c r="A35" s="243" t="inlineStr">
        <is>
          <t>CAIXA G MÃES/25</t>
        </is>
      </c>
      <c r="B35" s="244" t="n">
        <v>75</v>
      </c>
      <c r="C35" s="697" t="n">
        <v>844.05</v>
      </c>
      <c r="D35" s="342" t="n"/>
      <c r="E35" s="6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33</v>
      </c>
      <c r="AA35" s="9" t="n">
        <v>33</v>
      </c>
      <c r="AB35" s="9" t="n">
        <v>31</v>
      </c>
      <c r="AC35" s="9" t="n">
        <v>28</v>
      </c>
      <c r="AD35" s="9" t="n">
        <v>12</v>
      </c>
      <c r="AE35" s="9" t="n">
        <v>10</v>
      </c>
      <c r="AF35" s="9" t="n">
        <v>9</v>
      </c>
      <c r="AG35" s="9" t="n">
        <v>9</v>
      </c>
      <c r="AH35" s="9" t="n">
        <v>9</v>
      </c>
      <c r="AI35" s="9" t="n">
        <v>9</v>
      </c>
      <c r="AJ35" s="9" t="n">
        <v>9</v>
      </c>
      <c r="AK35" s="9" t="n">
        <v>9</v>
      </c>
      <c r="AL35" s="9" t="n">
        <v>9</v>
      </c>
      <c r="AM35" s="9" t="n">
        <v>7</v>
      </c>
      <c r="AN35" s="9" t="n">
        <v>7</v>
      </c>
      <c r="AO35" s="9" t="n">
        <v>5</v>
      </c>
      <c r="AP35" s="9" t="n">
        <v>5</v>
      </c>
      <c r="AQ35" s="9" t="n">
        <v>5</v>
      </c>
      <c r="AR35" s="9" t="n">
        <v>5</v>
      </c>
      <c r="AS35" s="9" t="n">
        <v>3</v>
      </c>
      <c r="AT35" s="9" t="n">
        <v>3</v>
      </c>
      <c r="AU35" s="9" t="n">
        <v>3</v>
      </c>
      <c r="AV35" s="9" t="n">
        <v>3</v>
      </c>
      <c r="AW35" s="9" t="n">
        <v>3</v>
      </c>
      <c r="AX35" s="9" t="n">
        <v>3</v>
      </c>
      <c r="AY35" s="9" t="n">
        <v>3</v>
      </c>
      <c r="AZ35" s="9" t="n">
        <v>3</v>
      </c>
      <c r="BA35" s="9" t="n">
        <v>3</v>
      </c>
      <c r="BB35" s="9" t="n">
        <v>3</v>
      </c>
      <c r="BC35" s="9" t="n">
        <v>3</v>
      </c>
      <c r="BD35" s="9" t="n">
        <v>0</v>
      </c>
      <c r="BE35" s="9" t="n">
        <v>0</v>
      </c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9" t="n"/>
      <c r="CD35" s="9" t="n"/>
      <c r="CE35" s="9" t="n"/>
      <c r="CF35" s="246">
        <f>CD35+IF(NOT(ISBLANK(OFFSET(CF35,0,6))),N(OFFSET(CF35,0,6)),N(OFFSET(CF35,0,7)))-CE35</f>
        <v/>
      </c>
      <c r="CL35" s="290" t="n"/>
      <c r="CM35" s="61" t="n"/>
      <c r="CN35" s="61" t="n"/>
      <c r="CO35" s="61" t="n"/>
      <c r="CP35" s="61" t="n"/>
      <c r="CQ35" s="6" t="n"/>
      <c r="CR35" s="61" t="n"/>
      <c r="CS35" s="61" t="n"/>
      <c r="CT35" s="61" t="n"/>
      <c r="CU35" s="61" t="n"/>
      <c r="CV35" s="61" t="n"/>
      <c r="DF35" s="6" t="n"/>
      <c r="DK35" s="6" t="n"/>
      <c r="DS35" s="6" t="n"/>
      <c r="DU35" s="6" t="n"/>
      <c r="DZ35" s="6" t="n"/>
      <c r="EA35" s="53" t="n"/>
      <c r="EF35" s="6" t="n"/>
      <c r="EG35" s="6" t="n"/>
      <c r="EM35" s="314" t="n"/>
      <c r="EO35" s="49" t="n"/>
      <c r="EQ35" s="49" t="n"/>
      <c r="ES35" s="49" t="n"/>
      <c r="ET35" s="49" t="n"/>
      <c r="EU35" s="289" t="n"/>
      <c r="FB35" s="289" t="n"/>
      <c r="FL35" s="53" t="n"/>
      <c r="FQ35" s="6" t="n"/>
      <c r="FR35" s="6" t="n"/>
      <c r="FS35" s="6" t="n"/>
      <c r="FT35" s="6" t="n"/>
      <c r="FU35" s="6" t="n"/>
      <c r="FV35" s="6" t="n"/>
      <c r="FW35" s="6" t="n"/>
      <c r="FX35" s="6" t="n"/>
      <c r="FY35" s="6" t="n"/>
      <c r="FZ35" s="6" t="n"/>
      <c r="GA35" s="6" t="n"/>
      <c r="GB35" s="6" t="n"/>
      <c r="GC35" s="6" t="n"/>
      <c r="GD35" s="6" t="n"/>
      <c r="GE35" s="6" t="n"/>
    </row>
    <row r="36" hidden="1" ht="18.75" customHeight="1">
      <c r="A36" s="243" t="inlineStr">
        <is>
          <t>CARTUCHO P MÃES/25</t>
        </is>
      </c>
      <c r="B36" s="244" t="n">
        <v>200</v>
      </c>
      <c r="C36" s="697" t="n">
        <v>450</v>
      </c>
      <c r="D36" s="342" t="n"/>
      <c r="E36" s="6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/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9" t="n"/>
      <c r="CD36" s="9" t="n"/>
      <c r="CE36" s="9" t="n"/>
      <c r="CF36" s="246">
        <f>CD36+IF(NOT(ISBLANK(OFFSET(CF36,0,6))),N(OFFSET(CF36,0,6)),N(OFFSET(CF36,0,7)))-CE36</f>
        <v/>
      </c>
      <c r="CL36" s="290" t="n"/>
      <c r="CM36" s="61" t="n"/>
      <c r="CN36" s="61" t="n"/>
      <c r="CO36" s="61" t="n"/>
      <c r="CP36" s="61" t="n"/>
      <c r="CQ36" s="6" t="n"/>
      <c r="CR36" s="61" t="n"/>
      <c r="CS36" s="61" t="n"/>
      <c r="CT36" s="61" t="n"/>
      <c r="CU36" s="61" t="n"/>
      <c r="CV36" s="61" t="n"/>
      <c r="DF36" s="6" t="n"/>
      <c r="DK36" s="6" t="n"/>
      <c r="DS36" s="6" t="n"/>
      <c r="DU36" s="6" t="n"/>
      <c r="DZ36" s="6" t="n"/>
      <c r="EA36" s="53" t="n"/>
      <c r="EF36" s="6" t="n"/>
      <c r="EG36" s="6" t="n"/>
      <c r="EM36" s="314" t="n"/>
      <c r="EO36" s="49" t="n"/>
      <c r="EQ36" s="49" t="n"/>
      <c r="ES36" s="49" t="n"/>
      <c r="ET36" s="49" t="n"/>
      <c r="EU36" s="289" t="n"/>
      <c r="FB36" s="289" t="n"/>
      <c r="FL36" s="53" t="n"/>
      <c r="FQ36" s="6" t="n"/>
      <c r="FR36" s="6" t="n"/>
      <c r="FS36" s="6" t="n"/>
      <c r="FT36" s="6" t="n"/>
      <c r="FU36" s="6" t="n"/>
      <c r="FV36" s="6" t="n"/>
      <c r="FW36" s="6" t="n"/>
      <c r="FX36" s="6" t="n"/>
      <c r="FY36" s="6" t="n"/>
      <c r="FZ36" s="6" t="n"/>
      <c r="GA36" s="6" t="n"/>
      <c r="GB36" s="6" t="n"/>
      <c r="GC36" s="6" t="n"/>
      <c r="GD36" s="6" t="n"/>
      <c r="GE36" s="6" t="n"/>
    </row>
    <row r="37" hidden="1" ht="18.75" customHeight="1">
      <c r="A37" s="243" t="inlineStr">
        <is>
          <t>CARTUCHO M MÃES/25</t>
        </is>
      </c>
      <c r="B37" s="244" t="n">
        <v>150</v>
      </c>
      <c r="C37" s="697" t="n">
        <v>430.5</v>
      </c>
      <c r="D37" s="342" t="n"/>
      <c r="E37" s="6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9" t="n"/>
      <c r="CD37" s="9" t="n"/>
      <c r="CE37" s="9" t="n"/>
      <c r="CF37" s="246">
        <f>CD37+IF(NOT(ISBLANK(OFFSET(CF37,0,6))),N(OFFSET(CF37,0,6)),N(OFFSET(CF37,0,7)))-CE37</f>
        <v/>
      </c>
      <c r="CQ37" s="6" t="n"/>
      <c r="DF37" s="6" t="n"/>
      <c r="DK37" s="6" t="n"/>
      <c r="DS37" s="6" t="n"/>
      <c r="DU37" s="6" t="n"/>
      <c r="DZ37" s="6" t="n"/>
      <c r="EA37" s="53" t="n"/>
      <c r="EF37" s="6" t="n"/>
      <c r="EG37" s="6" t="n"/>
      <c r="EM37" s="314" t="n"/>
      <c r="EO37" s="49" t="n"/>
      <c r="EQ37" s="49" t="n"/>
      <c r="ES37" s="49" t="n"/>
      <c r="ET37" s="49" t="n"/>
      <c r="EU37" s="289" t="n"/>
      <c r="FB37" s="289" t="n"/>
      <c r="FL37" s="53" t="n"/>
      <c r="FQ37" s="6" t="n"/>
      <c r="FR37" s="6" t="n"/>
      <c r="FS37" s="6" t="n"/>
      <c r="FT37" s="6" t="n"/>
      <c r="FU37" s="6" t="n"/>
      <c r="FV37" s="6" t="n"/>
      <c r="FW37" s="6" t="n"/>
      <c r="FX37" s="6" t="n"/>
      <c r="FY37" s="6" t="n"/>
      <c r="FZ37" s="6" t="n"/>
      <c r="GA37" s="6" t="n"/>
      <c r="GB37" s="6" t="n"/>
      <c r="GC37" s="6" t="n"/>
      <c r="GD37" s="6" t="n"/>
      <c r="GE37" s="6" t="n"/>
    </row>
    <row r="38" hidden="1" ht="18.75" customHeight="1">
      <c r="A38" s="343" t="inlineStr">
        <is>
          <t>CAIXA M PAIS/25</t>
        </is>
      </c>
      <c r="B38" s="344" t="n">
        <v>100</v>
      </c>
      <c r="C38" s="697" t="n"/>
      <c r="D38" s="342" t="n"/>
      <c r="E38" s="6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" t="n"/>
      <c r="AA38" s="2" t="n"/>
      <c r="AB38" s="2" t="n"/>
      <c r="AC38" s="2" t="n"/>
      <c r="AD38" s="2" t="n"/>
      <c r="AE38" s="2" t="n"/>
      <c r="AF38" s="2" t="n"/>
      <c r="AG38" s="2" t="n"/>
      <c r="AH38" s="2" t="n"/>
      <c r="AI38" s="2" t="n"/>
      <c r="AJ38" s="2" t="n"/>
      <c r="AK38" s="2" t="n"/>
      <c r="AL38" s="2" t="n"/>
      <c r="AM38" s="2" t="n"/>
      <c r="AN38" s="2" t="n"/>
      <c r="AO38" s="9" t="n">
        <v>1</v>
      </c>
      <c r="AP38" s="9" t="n">
        <v>0</v>
      </c>
      <c r="AQ38" s="9" t="n">
        <v>0</v>
      </c>
      <c r="AR38" s="9" t="n">
        <v>0</v>
      </c>
      <c r="AS38" s="9" t="n">
        <v>0</v>
      </c>
      <c r="AT38" s="9" t="n">
        <v>0</v>
      </c>
      <c r="AU38" s="9" t="n">
        <v>0</v>
      </c>
      <c r="AV38" s="9" t="n">
        <v>0</v>
      </c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9" t="n"/>
      <c r="CD38" s="9" t="n"/>
      <c r="CE38" s="9" t="n"/>
      <c r="CF38" s="246">
        <f>CD38+IF(NOT(ISBLANK(OFFSET(CF38,0,6))),N(OFFSET(CF38,0,6)),N(OFFSET(CF38,0,7)))-CE38</f>
        <v/>
      </c>
      <c r="CQ38" s="6" t="n"/>
      <c r="DF38" s="6" t="n"/>
      <c r="DK38" s="6" t="n"/>
      <c r="DS38" s="6" t="n"/>
      <c r="DU38" s="6" t="n"/>
      <c r="DZ38" s="6" t="n"/>
      <c r="EA38" s="53" t="n"/>
      <c r="EF38" s="6" t="n"/>
      <c r="EG38" s="6" t="n"/>
      <c r="EM38" s="314" t="n"/>
      <c r="EO38" s="49" t="n"/>
      <c r="EQ38" s="49" t="n"/>
      <c r="ES38" s="49" t="n"/>
      <c r="ET38" s="49" t="n"/>
      <c r="EU38" s="289" t="n"/>
      <c r="FB38" s="289" t="n"/>
      <c r="FL38" s="53" t="n"/>
      <c r="FQ38" s="6" t="n"/>
      <c r="FR38" s="6" t="n"/>
      <c r="FS38" s="6" t="n"/>
      <c r="FT38" s="6" t="n"/>
      <c r="FU38" s="6" t="n"/>
      <c r="FV38" s="6" t="n"/>
      <c r="FW38" s="6" t="n"/>
      <c r="FX38" s="6" t="n"/>
      <c r="FY38" s="6" t="n"/>
      <c r="FZ38" s="6" t="n"/>
      <c r="GA38" s="6" t="n"/>
      <c r="GB38" s="6" t="n"/>
      <c r="GC38" s="6" t="n"/>
      <c r="GD38" s="6" t="n"/>
      <c r="GE38" s="6" t="n"/>
    </row>
    <row r="39" hidden="1" ht="18.75" customHeight="1">
      <c r="A39" s="343" t="inlineStr">
        <is>
          <t>ENVELOPE M PAIS/25</t>
        </is>
      </c>
      <c r="B39" s="344" t="n">
        <v>150</v>
      </c>
      <c r="C39" s="697" t="n"/>
      <c r="D39" s="342" t="n"/>
      <c r="E39" s="6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2" t="n"/>
      <c r="AL39" s="2" t="n"/>
      <c r="AM39" s="2" t="n"/>
      <c r="AN39" s="2" t="n"/>
      <c r="AO39" s="9" t="n">
        <v>30</v>
      </c>
      <c r="AP39" s="9" t="n">
        <v>29</v>
      </c>
      <c r="AQ39" s="9" t="n">
        <v>14</v>
      </c>
      <c r="AR39" s="9" t="n">
        <v>14</v>
      </c>
      <c r="AS39" s="9" t="n">
        <v>13</v>
      </c>
      <c r="AT39" s="9" t="n">
        <v>12</v>
      </c>
      <c r="AU39" s="9" t="n">
        <v>3</v>
      </c>
      <c r="AV39" s="9" t="n">
        <v>3</v>
      </c>
      <c r="AW39" s="9" t="n">
        <v>3</v>
      </c>
      <c r="AX39" s="9" t="n">
        <v>2</v>
      </c>
      <c r="AY39" s="9" t="n">
        <v>2</v>
      </c>
      <c r="AZ39" s="9" t="n">
        <v>2</v>
      </c>
      <c r="BA39" s="9" t="n">
        <v>1</v>
      </c>
      <c r="BB39" s="9" t="n">
        <v>1</v>
      </c>
      <c r="BC39" s="9" t="n">
        <v>0</v>
      </c>
      <c r="BD39" s="9" t="n">
        <v>0</v>
      </c>
      <c r="BE39" s="9" t="n">
        <v>0</v>
      </c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9" t="n"/>
      <c r="CD39" s="9" t="n"/>
      <c r="CE39" s="9" t="n"/>
      <c r="CF39" s="246">
        <f>CD39+IF(NOT(ISBLANK(OFFSET(CF39,0,6))),N(OFFSET(CF39,0,6)),N(OFFSET(CF39,0,7)))-CE39</f>
        <v/>
      </c>
      <c r="CQ39" s="360" t="n"/>
      <c r="DF39" s="6" t="n"/>
      <c r="DK39" s="6" t="n"/>
      <c r="DS39" s="6" t="n"/>
      <c r="DU39" s="6" t="n"/>
      <c r="DZ39" s="6" t="n"/>
      <c r="EA39" s="53" t="n"/>
      <c r="EF39" s="6" t="n"/>
      <c r="EG39" s="6" t="n"/>
      <c r="EM39" s="314" t="n"/>
      <c r="EO39" s="49" t="n"/>
      <c r="EQ39" s="49" t="n"/>
      <c r="ES39" s="49" t="n"/>
      <c r="ET39" s="49" t="n"/>
      <c r="EU39" s="289" t="n"/>
      <c r="FB39" s="289" t="n"/>
      <c r="FL39" s="53" t="n"/>
      <c r="FQ39" s="6" t="n"/>
      <c r="FR39" s="6" t="n"/>
      <c r="FS39" s="6" t="n"/>
      <c r="FT39" s="6" t="n"/>
      <c r="FU39" s="6" t="n"/>
      <c r="FV39" s="6" t="n"/>
      <c r="FW39" s="6" t="n"/>
      <c r="FX39" s="6" t="n"/>
      <c r="FY39" s="6" t="n"/>
      <c r="FZ39" s="6" t="n"/>
      <c r="GA39" s="6" t="n"/>
      <c r="GB39" s="6" t="n"/>
      <c r="GC39" s="6" t="n"/>
      <c r="GD39" s="6" t="n"/>
      <c r="GE39" s="6" t="n"/>
    </row>
    <row r="40" hidden="1" ht="18.75" customHeight="1">
      <c r="A40" s="343" t="inlineStr">
        <is>
          <t>PIN MELHOR PAI DO MDO</t>
        </is>
      </c>
      <c r="B40" s="344" t="n">
        <v>25</v>
      </c>
      <c r="C40" s="697" t="n"/>
      <c r="D40" s="342" t="n"/>
      <c r="E40" s="6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3</v>
      </c>
      <c r="AP40" s="9" t="n">
        <v>3</v>
      </c>
      <c r="AQ40" s="9" t="n">
        <v>2</v>
      </c>
      <c r="AR40" s="9" t="n">
        <v>1</v>
      </c>
      <c r="AS40" s="9" t="n">
        <v>1</v>
      </c>
      <c r="AT40" s="9" t="n">
        <v>0</v>
      </c>
      <c r="AU40" s="9" t="n">
        <v>0</v>
      </c>
      <c r="AV40" s="9" t="n">
        <v>0</v>
      </c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9" t="n"/>
      <c r="CD40" s="9" t="n"/>
      <c r="CE40" s="9" t="n"/>
      <c r="CF40" s="246">
        <f>CD40+IF(NOT(ISBLANK(OFFSET(CF40,0,6))),N(OFFSET(CF40,0,6)),N(OFFSET(CF40,0,7)))-CE40</f>
        <v/>
      </c>
      <c r="CQ40" s="360" t="n"/>
      <c r="DF40" s="6" t="n"/>
      <c r="DK40" s="6" t="n"/>
      <c r="DS40" s="6" t="n"/>
      <c r="DU40" s="6" t="n"/>
      <c r="DZ40" s="6" t="n"/>
      <c r="EA40" s="53" t="n"/>
      <c r="EF40" s="6" t="n"/>
      <c r="EG40" s="6" t="n"/>
      <c r="EM40" s="314" t="n"/>
      <c r="EO40" s="49" t="n"/>
      <c r="EQ40" s="49" t="n"/>
      <c r="ES40" s="49" t="n"/>
      <c r="ET40" s="49" t="n"/>
      <c r="EU40" s="289" t="n"/>
      <c r="FB40" s="289" t="n"/>
      <c r="FL40" s="53" t="n"/>
      <c r="FQ40" s="6" t="n"/>
      <c r="FR40" s="6" t="n"/>
      <c r="FS40" s="6" t="n"/>
      <c r="FT40" s="6" t="n"/>
      <c r="FU40" s="6" t="n"/>
      <c r="FV40" s="6" t="n"/>
      <c r="FW40" s="6" t="n"/>
      <c r="FX40" s="6" t="n"/>
      <c r="FY40" s="6" t="n"/>
      <c r="FZ40" s="6" t="n"/>
      <c r="GA40" s="6" t="n"/>
      <c r="GB40" s="6" t="n"/>
      <c r="GC40" s="6" t="n"/>
      <c r="GD40" s="6" t="n"/>
      <c r="GE40" s="6" t="n"/>
    </row>
    <row r="41" hidden="1" ht="18.75" customHeight="1">
      <c r="A41" s="343" t="inlineStr">
        <is>
          <t>PIN BALÃO</t>
        </is>
      </c>
      <c r="B41" s="344" t="n">
        <v>25</v>
      </c>
      <c r="C41" s="697" t="n"/>
      <c r="D41" s="342" t="n"/>
      <c r="E41" s="6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10</v>
      </c>
      <c r="AP41" s="9" t="n">
        <v>10</v>
      </c>
      <c r="AQ41" s="9" t="n">
        <v>10</v>
      </c>
      <c r="AR41" s="9" t="n">
        <v>8</v>
      </c>
      <c r="AS41" s="9" t="n">
        <v>7</v>
      </c>
      <c r="AT41" s="9" t="n">
        <v>4</v>
      </c>
      <c r="AU41" s="9" t="n">
        <v>0</v>
      </c>
      <c r="AV41" s="9" t="n">
        <v>0</v>
      </c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9" t="n"/>
      <c r="CD41" s="9" t="n"/>
      <c r="CE41" s="9" t="n"/>
      <c r="CF41" s="246">
        <f>CD41+IF(NOT(ISBLANK(OFFSET(CF41,0,6))),N(OFFSET(CF41,0,6)),N(OFFSET(CF41,0,7)))-CE41</f>
        <v/>
      </c>
      <c r="CL41" s="6" t="n"/>
      <c r="CM41" s="6" t="n"/>
      <c r="CN41" s="6" t="n"/>
      <c r="CO41" s="6" t="n"/>
      <c r="CP41" s="6" t="n"/>
      <c r="CQ41" s="53" t="n"/>
      <c r="CR41" s="6" t="n"/>
      <c r="CS41" s="6" t="n"/>
      <c r="CT41" s="6" t="n"/>
      <c r="CU41" s="6" t="n"/>
      <c r="CV41" s="6" t="n"/>
      <c r="DF41" s="6" t="n"/>
      <c r="DK41" s="6" t="n"/>
      <c r="DS41" s="6" t="n"/>
      <c r="DU41" s="6" t="n"/>
      <c r="DZ41" s="6" t="n"/>
      <c r="EA41" s="53" t="n"/>
      <c r="EF41" s="6" t="n"/>
      <c r="EG41" s="6" t="n"/>
      <c r="EM41" s="314" t="n"/>
      <c r="EO41" s="49" t="n"/>
      <c r="EQ41" s="49" t="n"/>
      <c r="ES41" s="49" t="n"/>
      <c r="ET41" s="49" t="n"/>
      <c r="EU41" s="289" t="n"/>
      <c r="FB41" s="289" t="n"/>
      <c r="FL41" s="53" t="n"/>
      <c r="FQ41" s="53" t="n"/>
      <c r="FR41" s="53" t="n"/>
      <c r="FS41" s="53" t="n"/>
      <c r="FT41" s="53" t="n"/>
      <c r="FU41" s="53" t="n"/>
      <c r="FV41" s="53" t="n"/>
      <c r="FW41" s="53" t="n"/>
      <c r="FX41" s="53" t="n"/>
      <c r="FY41" s="53" t="n"/>
      <c r="FZ41" s="53" t="n"/>
      <c r="GA41" s="53" t="n"/>
      <c r="GB41" s="53" t="n"/>
      <c r="GC41" s="53" t="n"/>
      <c r="GD41" s="53" t="n"/>
      <c r="GE41" s="53" t="n"/>
    </row>
    <row r="42" hidden="1" ht="18.75" customHeight="1">
      <c r="A42" s="343" t="inlineStr">
        <is>
          <t>PIN AMOR</t>
        </is>
      </c>
      <c r="B42" s="344" t="n">
        <v>25</v>
      </c>
      <c r="C42" s="697" t="n"/>
      <c r="D42" s="342" t="n"/>
      <c r="E42" s="6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13</v>
      </c>
      <c r="AP42" s="9" t="n">
        <v>13</v>
      </c>
      <c r="AQ42" s="9" t="n">
        <v>12</v>
      </c>
      <c r="AR42" s="9" t="n">
        <v>11</v>
      </c>
      <c r="AS42" s="9" t="n">
        <v>11</v>
      </c>
      <c r="AT42" s="9" t="n">
        <v>6</v>
      </c>
      <c r="AU42" s="9" t="n">
        <v>0</v>
      </c>
      <c r="AV42" s="9" t="n">
        <v>0</v>
      </c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9" t="n"/>
      <c r="CD42" s="9" t="n"/>
      <c r="CE42" s="9" t="n"/>
      <c r="CF42" s="246">
        <f>CD42+IF(NOT(ISBLANK(OFFSET(CF42,0,6))),N(OFFSET(CF42,0,6)),N(OFFSET(CF42,0,7)))-CE42</f>
        <v/>
      </c>
      <c r="CL42" s="6" t="n"/>
      <c r="CM42" s="6" t="n"/>
      <c r="CN42" s="6" t="n"/>
      <c r="CO42" s="6" t="n"/>
      <c r="CP42" s="6" t="n"/>
      <c r="CQ42" s="53" t="n"/>
      <c r="CR42" s="6" t="n"/>
      <c r="CS42" s="6" t="n"/>
      <c r="CT42" s="6" t="n"/>
      <c r="CU42" s="6" t="n"/>
      <c r="CV42" s="6" t="n"/>
      <c r="DF42" s="6" t="n"/>
      <c r="DK42" s="6" t="n"/>
      <c r="DS42" s="6" t="n"/>
      <c r="DU42" s="6" t="n"/>
      <c r="DZ42" s="6" t="n"/>
      <c r="EA42" s="53" t="n"/>
      <c r="EF42" s="6" t="n"/>
      <c r="EG42" s="6" t="n"/>
      <c r="EM42" s="314" t="n"/>
      <c r="EO42" s="49" t="n"/>
      <c r="EQ42" s="49" t="n"/>
      <c r="ES42" s="49" t="n"/>
      <c r="ET42" s="49" t="n"/>
      <c r="EU42" s="289" t="n"/>
      <c r="FB42" s="289" t="n"/>
      <c r="FL42" s="53" t="n"/>
      <c r="FQ42" s="53" t="n"/>
      <c r="FR42" s="53" t="n"/>
      <c r="FS42" s="53" t="n"/>
      <c r="FT42" s="53" t="n"/>
      <c r="FU42" s="53" t="n"/>
      <c r="FV42" s="53" t="n"/>
      <c r="FW42" s="53" t="n"/>
      <c r="FX42" s="53" t="n"/>
      <c r="FY42" s="53" t="n"/>
      <c r="FZ42" s="53" t="n"/>
      <c r="GA42" s="53" t="n"/>
      <c r="GB42" s="53" t="n"/>
      <c r="GC42" s="53" t="n"/>
      <c r="GD42" s="53" t="n"/>
      <c r="GE42" s="53" t="n"/>
    </row>
    <row r="43" hidden="1">
      <c r="A43" s="33" t="inlineStr">
        <is>
          <t>CAIXA P NATAL/25</t>
        </is>
      </c>
      <c r="B43" s="9" t="n">
        <v>150</v>
      </c>
      <c r="C43" s="668" t="n">
        <v>805.35</v>
      </c>
      <c r="D43" s="342" t="n"/>
      <c r="BD43" s="9" t="n">
        <v>171</v>
      </c>
      <c r="BE43" s="9" t="n">
        <v>144</v>
      </c>
      <c r="BF43" s="9" t="n">
        <v>37</v>
      </c>
      <c r="BG43" s="9" t="n">
        <v>18</v>
      </c>
      <c r="BH43" s="9" t="n">
        <v>14</v>
      </c>
      <c r="BI43" s="190" t="n">
        <v>64</v>
      </c>
      <c r="BJ43" s="9" t="n">
        <v>64</v>
      </c>
      <c r="BK43" s="9" t="n">
        <v>44</v>
      </c>
      <c r="BL43" s="9" t="n">
        <v>10</v>
      </c>
      <c r="BM43" s="9" t="n">
        <v>10</v>
      </c>
      <c r="BN43" s="9" t="n">
        <v>10</v>
      </c>
      <c r="BO43" s="9" t="n">
        <v>0</v>
      </c>
      <c r="BP43" s="9" t="n">
        <v>0</v>
      </c>
      <c r="BQ43" s="9" t="n">
        <v>0</v>
      </c>
      <c r="BR43" s="9" t="n">
        <v>0</v>
      </c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9" t="n"/>
      <c r="CD43" s="9" t="n"/>
      <c r="CE43" s="9" t="n"/>
      <c r="CF43" s="246">
        <f>CD43+IF(NOT(ISBLANK(OFFSET(CF43,0,6))),N(OFFSET(CF43,0,6)),N(OFFSET(CF43,0,7)))-CE43</f>
        <v/>
      </c>
      <c r="CL43" s="6" t="n"/>
      <c r="CM43" s="6" t="n"/>
      <c r="CN43" s="6" t="n"/>
      <c r="CO43" s="6" t="n"/>
      <c r="CP43" s="6" t="n"/>
      <c r="CQ43" s="53" t="n"/>
      <c r="CR43" s="6" t="n"/>
      <c r="CS43" s="6" t="n"/>
      <c r="CT43" s="6" t="n"/>
      <c r="CU43" s="6" t="n"/>
      <c r="CV43" s="6" t="n"/>
      <c r="DF43" s="360" t="n"/>
      <c r="DK43" s="360" t="n"/>
      <c r="DS43" s="6" t="n"/>
      <c r="DU43" s="6" t="n"/>
      <c r="DZ43" s="6" t="n"/>
      <c r="EA43" s="53" t="n"/>
      <c r="EE43" s="57" t="n"/>
      <c r="EF43" s="6" t="n"/>
      <c r="EG43" s="6" t="n"/>
      <c r="EH43" s="57" t="n"/>
      <c r="EI43" s="57" t="n"/>
      <c r="EJ43" s="57" t="n"/>
      <c r="EK43" s="57" t="n"/>
      <c r="EL43" s="57" t="n"/>
      <c r="EM43" s="315" t="n"/>
      <c r="EN43" s="57" t="n"/>
      <c r="EP43" s="6" t="n"/>
      <c r="ER43" s="57" t="n"/>
      <c r="EU43" s="289" t="n"/>
      <c r="EV43" s="6" t="n"/>
      <c r="EW43" s="6" t="n"/>
      <c r="EX43" s="6" t="n"/>
      <c r="EY43" s="6" t="n"/>
      <c r="EZ43" s="6" t="n"/>
      <c r="FA43" s="6" t="n"/>
      <c r="FB43" s="289" t="n"/>
      <c r="FC43" s="6" t="n"/>
      <c r="FD43" s="6" t="n"/>
      <c r="FE43" s="57" t="n"/>
      <c r="FF43" s="6" t="n"/>
      <c r="FG43" s="6" t="n"/>
      <c r="FH43" s="6" t="n"/>
      <c r="FI43" s="6" t="n"/>
      <c r="FJ43" s="6" t="n"/>
      <c r="FK43" s="6" t="n"/>
      <c r="FL43" s="53" t="n"/>
      <c r="FM43" s="6" t="n"/>
      <c r="FO43" s="6" t="n"/>
      <c r="FQ43" s="53" t="n"/>
      <c r="FR43" s="53" t="n"/>
      <c r="FS43" s="53" t="n"/>
      <c r="FT43" s="53" t="n"/>
      <c r="FU43" s="53" t="n"/>
      <c r="FV43" s="53" t="n"/>
      <c r="FW43" s="53" t="n"/>
      <c r="FX43" s="53" t="n"/>
      <c r="FY43" s="53" t="n"/>
      <c r="FZ43" s="53" t="n"/>
      <c r="GA43" s="53" t="n"/>
      <c r="GB43" s="53" t="n"/>
      <c r="GC43" s="53" t="n"/>
      <c r="GD43" s="53" t="n"/>
      <c r="GE43" s="53" t="n"/>
    </row>
    <row r="44" hidden="1">
      <c r="A44" s="33" t="inlineStr">
        <is>
          <t>CAIXA M NATAL/25</t>
        </is>
      </c>
      <c r="B44" s="9" t="n">
        <v>100</v>
      </c>
      <c r="C44" s="668" t="n">
        <v>792.2</v>
      </c>
      <c r="D44" s="342" t="n"/>
      <c r="BD44" s="9" t="n">
        <v>278</v>
      </c>
      <c r="BE44" s="9" t="n">
        <v>257</v>
      </c>
      <c r="BF44" s="9" t="n">
        <v>72</v>
      </c>
      <c r="BG44" s="9" t="n">
        <v>52</v>
      </c>
      <c r="BH44" s="9" t="n">
        <v>17</v>
      </c>
      <c r="BI44" s="9" t="n">
        <v>-4</v>
      </c>
      <c r="BJ44" s="9" t="n">
        <v>-4</v>
      </c>
      <c r="BK44" s="9" t="n">
        <v>-4</v>
      </c>
      <c r="BL44" s="9" t="n">
        <v>-4</v>
      </c>
      <c r="BM44" s="9" t="n">
        <v>-4</v>
      </c>
      <c r="BN44" s="9" t="n">
        <v>-4</v>
      </c>
      <c r="BO44" s="9" t="n">
        <v>0</v>
      </c>
      <c r="BP44" s="9" t="n">
        <v>0</v>
      </c>
      <c r="BQ44" s="9" t="n">
        <v>0</v>
      </c>
      <c r="BR44" s="9" t="n">
        <v>0</v>
      </c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9" t="n"/>
      <c r="CD44" s="9" t="n"/>
      <c r="CE44" s="9" t="n"/>
      <c r="CF44" s="246">
        <f>CD44+IF(NOT(ISBLANK(OFFSET(CF44,0,6))),N(OFFSET(CF44,0,6)),N(OFFSET(CF44,0,7)))-CE44</f>
        <v/>
      </c>
      <c r="CL44" s="6" t="n"/>
      <c r="CM44" s="6" t="n"/>
      <c r="CN44" s="6" t="n"/>
      <c r="CO44" s="6" t="n"/>
      <c r="CP44" s="6" t="n"/>
      <c r="CQ44" s="53" t="n"/>
      <c r="CR44" s="6" t="n"/>
      <c r="CS44" s="6" t="n"/>
      <c r="CT44" s="6" t="n"/>
      <c r="CU44" s="6" t="n"/>
      <c r="CV44" s="6" t="n"/>
      <c r="DF44" s="360" t="n"/>
      <c r="DK44" s="360" t="n"/>
      <c r="DS44" s="6" t="n"/>
      <c r="DU44" s="6" t="n"/>
      <c r="DZ44" s="6" t="n"/>
      <c r="EA44" s="53" t="n"/>
      <c r="EE44" s="57" t="n"/>
      <c r="EF44" s="6" t="n"/>
      <c r="EG44" s="6" t="n"/>
      <c r="EH44" s="57" t="n"/>
      <c r="EI44" s="57" t="n"/>
      <c r="EJ44" s="57" t="n"/>
      <c r="EK44" s="57" t="n"/>
      <c r="EL44" s="57" t="n"/>
      <c r="EM44" s="315" t="n"/>
      <c r="EN44" s="57" t="n"/>
      <c r="EP44" s="6" t="n"/>
      <c r="ER44" s="57" t="n"/>
      <c r="EU44" s="289" t="n"/>
      <c r="EV44" s="6" t="n"/>
      <c r="EW44" s="6" t="n"/>
      <c r="EX44" s="6" t="n"/>
      <c r="EY44" s="6" t="n"/>
      <c r="EZ44" s="6" t="n"/>
      <c r="FA44" s="6" t="n"/>
      <c r="FB44" s="289" t="n"/>
      <c r="FC44" s="6" t="n"/>
      <c r="FD44" s="6" t="n"/>
      <c r="FE44" s="57" t="n"/>
      <c r="FF44" s="6" t="n"/>
      <c r="FG44" s="6" t="n"/>
      <c r="FH44" s="6" t="n"/>
      <c r="FI44" s="6" t="n"/>
      <c r="FJ44" s="6" t="n"/>
      <c r="FK44" s="6" t="n"/>
      <c r="FL44" s="53" t="n"/>
      <c r="FM44" s="6" t="n"/>
      <c r="FO44" s="6" t="n"/>
      <c r="FQ44" s="53" t="n"/>
      <c r="FR44" s="53" t="n"/>
      <c r="FS44" s="53" t="n"/>
      <c r="FT44" s="53" t="n"/>
      <c r="FU44" s="53" t="n"/>
      <c r="FV44" s="53" t="n"/>
      <c r="FW44" s="53" t="n"/>
      <c r="FX44" s="53" t="n"/>
      <c r="FY44" s="53" t="n"/>
      <c r="FZ44" s="53" t="n"/>
      <c r="GA44" s="53" t="n"/>
      <c r="GB44" s="53" t="n"/>
      <c r="GC44" s="53" t="n"/>
      <c r="GD44" s="53" t="n"/>
      <c r="GE44" s="53" t="n"/>
    </row>
    <row r="45">
      <c r="A45" s="33" t="inlineStr">
        <is>
          <t>CAIXA G NATAL/25</t>
        </is>
      </c>
      <c r="B45" s="9" t="n">
        <v>50</v>
      </c>
      <c r="C45" s="668" t="n"/>
      <c r="D45" s="342" t="n"/>
      <c r="BD45" s="9" t="n">
        <v>13</v>
      </c>
      <c r="BE45" s="9" t="n">
        <v>10</v>
      </c>
      <c r="BF45" s="9" t="n">
        <v>8</v>
      </c>
      <c r="BG45" s="9" t="n">
        <v>7</v>
      </c>
      <c r="BH45" s="9" t="n">
        <v>8</v>
      </c>
      <c r="BI45" s="9" t="n">
        <v>8</v>
      </c>
      <c r="BJ45" s="9" t="n">
        <v>8</v>
      </c>
      <c r="BK45" s="9" t="n">
        <v>5</v>
      </c>
      <c r="BL45" s="9" t="n">
        <v>5</v>
      </c>
      <c r="BM45" s="9" t="n">
        <v>5</v>
      </c>
      <c r="BN45" s="9" t="n">
        <v>5</v>
      </c>
      <c r="BO45" s="9" t="n">
        <v>3</v>
      </c>
      <c r="BP45" s="9" t="n">
        <v>2</v>
      </c>
      <c r="BQ45" s="9" t="n">
        <v>2</v>
      </c>
      <c r="BR45" s="9" t="n">
        <v>2</v>
      </c>
      <c r="BS45" s="9" t="n">
        <v>2</v>
      </c>
      <c r="BT45" s="9" t="n">
        <v>2</v>
      </c>
      <c r="BU45" s="9" t="n">
        <v>2</v>
      </c>
      <c r="BV45" s="9" t="n">
        <v>2</v>
      </c>
      <c r="BW45" s="9" t="n">
        <v>0</v>
      </c>
      <c r="BX45" s="9" t="n">
        <v>0</v>
      </c>
      <c r="BY45" s="9" t="n">
        <v>0</v>
      </c>
      <c r="BZ45" s="9" t="n">
        <v>0</v>
      </c>
      <c r="CA45" s="9" t="n">
        <v>0</v>
      </c>
      <c r="CB45" s="9" t="n">
        <v>0</v>
      </c>
      <c r="CC45" s="9" t="n">
        <v>0</v>
      </c>
      <c r="CD45" s="9" t="n">
        <v>0</v>
      </c>
      <c r="CE45" s="9" t="n">
        <v>0</v>
      </c>
      <c r="CF45" s="246">
        <f>CD45+IF(NOT(ISBLANK(OFFSET(CF45,0,6))),N(OFFSET(CF45,0,6)),N(OFFSET(CF45,0,7)))-CE45</f>
        <v/>
      </c>
      <c r="CL45" s="6" t="n"/>
      <c r="CM45" s="6" t="n"/>
      <c r="CN45" s="6" t="n"/>
      <c r="CO45" s="6" t="n"/>
      <c r="CP45" s="6" t="n"/>
      <c r="CR45" s="6" t="n"/>
      <c r="CS45" s="6" t="n"/>
      <c r="CT45" s="6" t="n"/>
      <c r="CU45" s="6" t="n"/>
      <c r="CV45" s="6" t="n"/>
      <c r="DF45" s="360" t="n"/>
      <c r="DK45" s="360" t="n"/>
      <c r="DS45" s="6" t="n"/>
      <c r="DU45" s="6" t="n"/>
      <c r="DZ45" s="6" t="n"/>
      <c r="EA45" s="53" t="n"/>
      <c r="EE45" s="57" t="n"/>
      <c r="EF45" s="6" t="n"/>
      <c r="EG45" s="6" t="n"/>
      <c r="EH45" s="57" t="n"/>
      <c r="EI45" s="57" t="n"/>
      <c r="EJ45" s="57" t="n"/>
      <c r="EK45" s="57" t="n"/>
      <c r="EL45" s="57" t="n"/>
      <c r="EM45" s="315" t="n"/>
      <c r="EN45" s="57" t="n"/>
      <c r="EP45" s="6" t="n"/>
      <c r="ER45" s="57" t="n"/>
      <c r="EU45" s="289" t="n"/>
      <c r="EV45" s="6" t="n"/>
      <c r="EW45" s="6" t="n"/>
      <c r="EX45" s="6" t="n"/>
      <c r="EY45" s="6" t="n"/>
      <c r="EZ45" s="6" t="n"/>
      <c r="FA45" s="6" t="n"/>
      <c r="FB45" s="289" t="n"/>
      <c r="FC45" s="6" t="n"/>
      <c r="FD45" s="6" t="n"/>
      <c r="FE45" s="57" t="n"/>
      <c r="FF45" s="6" t="n"/>
      <c r="FG45" s="6" t="n"/>
      <c r="FH45" s="6" t="n"/>
      <c r="FI45" s="6" t="n"/>
      <c r="FJ45" s="6" t="n"/>
      <c r="FK45" s="6" t="n"/>
      <c r="FL45" s="53" t="n"/>
      <c r="FM45" s="6" t="n"/>
      <c r="FO45" s="6" t="n"/>
    </row>
    <row r="46" hidden="1">
      <c r="A46" s="33" t="inlineStr">
        <is>
          <t>CARTUCHO P NATAL/25</t>
        </is>
      </c>
      <c r="B46" s="9" t="n">
        <v>200</v>
      </c>
      <c r="C46" s="668" t="n">
        <v>487.2</v>
      </c>
      <c r="D46" s="342" t="n"/>
      <c r="BD46" s="9" t="n">
        <v>322</v>
      </c>
      <c r="BE46" s="9" t="n">
        <v>24</v>
      </c>
      <c r="BF46" s="9" t="n">
        <v>18</v>
      </c>
      <c r="BG46" s="9" t="n">
        <v>18</v>
      </c>
      <c r="BH46" s="9" t="n">
        <v>0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/>
      <c r="BT46" s="9" t="n"/>
      <c r="BU46" s="9" t="n"/>
      <c r="BV46" s="9" t="n"/>
      <c r="BW46" s="9" t="n"/>
      <c r="BX46" s="9" t="n"/>
      <c r="BY46" s="9" t="n"/>
      <c r="BZ46" s="9" t="n"/>
      <c r="CA46" s="9" t="n"/>
      <c r="CB46" s="9" t="n"/>
      <c r="CC46" s="9" t="n"/>
      <c r="CD46" s="9" t="n"/>
      <c r="CE46" s="9" t="n"/>
      <c r="CF46" s="246">
        <f>CD46+IF(NOT(ISBLANK(OFFSET(CF46,0,6))),N(OFFSET(CF46,0,6)),N(OFFSET(CF46,0,7)))-CE46</f>
        <v/>
      </c>
      <c r="CL46" s="6" t="n"/>
      <c r="CM46" s="6" t="n"/>
      <c r="CN46" s="6" t="n"/>
      <c r="CO46" s="6" t="n"/>
      <c r="CP46" s="6" t="n"/>
      <c r="CR46" s="6" t="n"/>
      <c r="CS46" s="6" t="n"/>
      <c r="CT46" s="6" t="n"/>
      <c r="CU46" s="6" t="n"/>
      <c r="CV46" s="6" t="n"/>
      <c r="DF46" s="360" t="n"/>
      <c r="DK46" s="360" t="n"/>
      <c r="DS46" s="6" t="n"/>
      <c r="DU46" s="6" t="n"/>
      <c r="DZ46" s="6" t="n"/>
      <c r="EA46" s="53" t="n"/>
      <c r="EE46" s="57" t="n"/>
      <c r="EF46" s="6" t="n"/>
      <c r="EG46" s="6" t="n"/>
      <c r="EH46" s="57" t="n"/>
      <c r="EI46" s="57" t="n"/>
      <c r="EJ46" s="57" t="n"/>
      <c r="EK46" s="57" t="n"/>
      <c r="EL46" s="57" t="n"/>
      <c r="EM46" s="315" t="n"/>
      <c r="EN46" s="57" t="n"/>
      <c r="EP46" s="6" t="n"/>
      <c r="ER46" s="57" t="n"/>
      <c r="EU46" s="289" t="n"/>
      <c r="EV46" s="6" t="n"/>
      <c r="EW46" s="6" t="n"/>
      <c r="EX46" s="6" t="n"/>
      <c r="EY46" s="6" t="n"/>
      <c r="EZ46" s="6" t="n"/>
      <c r="FA46" s="6" t="n"/>
      <c r="FB46" s="289" t="n"/>
      <c r="FC46" s="6" t="n"/>
      <c r="FD46" s="6" t="n"/>
      <c r="FE46" s="57" t="n"/>
      <c r="FF46" s="6" t="n"/>
      <c r="FG46" s="6" t="n"/>
      <c r="FH46" s="6" t="n"/>
      <c r="FI46" s="6" t="n"/>
      <c r="FJ46" s="6" t="n"/>
      <c r="FK46" s="6" t="n"/>
      <c r="FL46" s="53" t="n"/>
      <c r="FM46" s="6" t="n"/>
      <c r="FO46" s="6" t="n"/>
    </row>
    <row r="47" hidden="1">
      <c r="A47" s="33" t="inlineStr">
        <is>
          <t>CARTUCHO M NATAL/25</t>
        </is>
      </c>
      <c r="B47" s="9" t="n">
        <v>150</v>
      </c>
      <c r="C47" s="668" t="n">
        <v>460.35</v>
      </c>
      <c r="D47" s="342" t="n"/>
      <c r="BD47" s="9" t="n">
        <v>174</v>
      </c>
      <c r="BE47" s="9" t="n">
        <v>90</v>
      </c>
      <c r="BF47" s="9" t="n">
        <v>12</v>
      </c>
      <c r="BG47" s="9" t="n">
        <v>12</v>
      </c>
      <c r="BH47" s="9" t="n">
        <v>0</v>
      </c>
      <c r="BI47" s="9" t="n">
        <v>0</v>
      </c>
      <c r="BJ47" s="9" t="n">
        <v>0</v>
      </c>
      <c r="BK47" s="9" t="n">
        <v>0</v>
      </c>
      <c r="BL47" s="9" t="n">
        <v>0</v>
      </c>
      <c r="BM47" s="9" t="n">
        <v>0</v>
      </c>
      <c r="BN47" s="9" t="n">
        <v>0</v>
      </c>
      <c r="BO47" s="9" t="n">
        <v>0</v>
      </c>
      <c r="BP47" s="9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9" t="n"/>
      <c r="CC47" s="9" t="n"/>
      <c r="CD47" s="9" t="n"/>
      <c r="CE47" s="9" t="n"/>
      <c r="CF47" s="246">
        <f>CD47+IF(NOT(ISBLANK(OFFSET(CF47,0,6))),N(OFFSET(CF47,0,6)),N(OFFSET(CF47,0,7)))-CE47</f>
        <v/>
      </c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DF47" s="360" t="n"/>
      <c r="DK47" s="360" t="n"/>
      <c r="DS47" s="6" t="n"/>
      <c r="DU47" s="6" t="n"/>
      <c r="DZ47" s="6" t="n"/>
      <c r="EA47" s="53" t="n"/>
      <c r="EE47" s="57" t="n"/>
      <c r="EF47" s="6" t="n"/>
      <c r="EG47" s="6" t="n"/>
      <c r="EH47" s="57" t="n"/>
      <c r="EI47" s="57" t="n"/>
      <c r="EJ47" s="57" t="n"/>
      <c r="EK47" s="57" t="n"/>
      <c r="EL47" s="57" t="n"/>
      <c r="EM47" s="315" t="n"/>
      <c r="EN47" s="57" t="n"/>
      <c r="EP47" s="6" t="n"/>
      <c r="ER47" s="57" t="n"/>
      <c r="EU47" s="289" t="n"/>
      <c r="EV47" s="6" t="n"/>
      <c r="EW47" s="6" t="n"/>
      <c r="EX47" s="6" t="n"/>
      <c r="EY47" s="6" t="n"/>
      <c r="EZ47" s="6" t="n"/>
      <c r="FA47" s="6" t="n"/>
      <c r="FB47" s="289" t="n"/>
      <c r="FC47" s="6" t="n"/>
      <c r="FD47" s="6" t="n"/>
      <c r="FE47" s="57" t="n"/>
      <c r="FF47" s="6" t="n"/>
      <c r="FG47" s="6" t="n"/>
      <c r="FH47" s="6" t="n"/>
      <c r="FI47" s="6" t="n"/>
      <c r="FJ47" s="6" t="n"/>
      <c r="FK47" s="6" t="n"/>
      <c r="FL47" s="53" t="n"/>
      <c r="FM47" s="6" t="n"/>
      <c r="FO47" s="6" t="n"/>
    </row>
    <row r="48" hidden="1">
      <c r="A48" s="33" t="inlineStr">
        <is>
          <t>PIN NATAL/25</t>
        </is>
      </c>
      <c r="B48" s="9" t="n">
        <v>10</v>
      </c>
      <c r="C48" s="668" t="n">
        <v>120</v>
      </c>
      <c r="D48" s="342" t="n"/>
      <c r="BD48" s="9" t="n"/>
      <c r="BE48" s="9" t="n">
        <v>0</v>
      </c>
      <c r="BF48" s="9" t="n">
        <v>0</v>
      </c>
      <c r="BG48" s="9" t="n">
        <v>0</v>
      </c>
      <c r="BH48" s="9" t="n">
        <v>0</v>
      </c>
      <c r="BI48" s="9" t="n">
        <v>0</v>
      </c>
      <c r="BJ48" s="9" t="n">
        <v>0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>
        <v>0</v>
      </c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9" t="n"/>
      <c r="CD48" s="9" t="n"/>
      <c r="CE48" s="9" t="n"/>
      <c r="CF48" s="246">
        <f>CD48+IF(NOT(ISBLANK(OFFSET(CF48,0,6))),N(OFFSET(CF48,0,6)),N(OFFSET(CF48,0,7)))-CE48</f>
        <v/>
      </c>
      <c r="CL48" s="6" t="n"/>
      <c r="CM48" s="6" t="n"/>
      <c r="CN48" s="6" t="n"/>
      <c r="CO48" s="6" t="n"/>
      <c r="CP48" s="6" t="n"/>
      <c r="CR48" s="6" t="n"/>
      <c r="CS48" s="6" t="n"/>
      <c r="CT48" s="6" t="n"/>
      <c r="CU48" s="6" t="n"/>
      <c r="CV48" s="6" t="n"/>
      <c r="DF48" s="360" t="n"/>
      <c r="DK48" s="360" t="n"/>
      <c r="DS48" s="6" t="n"/>
      <c r="DU48" s="6" t="n"/>
      <c r="DZ48" s="6" t="n"/>
      <c r="EA48" s="53" t="n"/>
      <c r="EE48" s="57" t="n"/>
      <c r="EF48" s="6" t="n"/>
      <c r="EG48" s="6" t="n"/>
      <c r="EH48" s="57" t="n"/>
      <c r="EI48" s="57" t="n"/>
      <c r="EJ48" s="57" t="n"/>
      <c r="EK48" s="57" t="n"/>
      <c r="EL48" s="57" t="n"/>
      <c r="EM48" s="315" t="n"/>
      <c r="EN48" s="57" t="n"/>
      <c r="EP48" s="6" t="n"/>
      <c r="ER48" s="57" t="n"/>
      <c r="EU48" s="289" t="n"/>
      <c r="EV48" s="6" t="n"/>
      <c r="EW48" s="6" t="n"/>
      <c r="EX48" s="6" t="n"/>
      <c r="EY48" s="6" t="n"/>
      <c r="EZ48" s="6" t="n"/>
      <c r="FA48" s="6" t="n"/>
      <c r="FB48" s="289" t="n"/>
      <c r="FC48" s="6" t="n"/>
      <c r="FD48" s="6" t="n"/>
      <c r="FE48" s="57" t="n"/>
      <c r="FF48" s="6" t="n"/>
      <c r="FG48" s="6" t="n"/>
      <c r="FH48" s="6" t="n"/>
      <c r="FI48" s="6" t="n"/>
      <c r="FJ48" s="6" t="n"/>
      <c r="FK48" s="6" t="n"/>
      <c r="FL48" s="53" t="n"/>
      <c r="FM48" s="6" t="n"/>
      <c r="FO48" s="6" t="n"/>
    </row>
    <row r="49">
      <c r="CL49" s="6" t="n"/>
      <c r="CM49" s="6" t="n"/>
      <c r="CN49" s="6" t="n"/>
      <c r="CO49" s="6" t="n"/>
      <c r="CP49" s="6" t="n"/>
      <c r="CR49" s="6" t="n"/>
      <c r="CS49" s="6" t="n"/>
      <c r="CT49" s="6" t="n"/>
      <c r="CU49" s="6" t="n"/>
      <c r="CV49" s="6" t="n"/>
      <c r="DF49" s="360" t="n"/>
      <c r="DK49" s="360" t="n"/>
      <c r="DS49" s="6" t="n"/>
      <c r="DU49" s="6" t="n"/>
      <c r="DZ49" s="6" t="n"/>
      <c r="EA49" s="53" t="n"/>
      <c r="EE49" s="57" t="n"/>
      <c r="EF49" s="6" t="n"/>
      <c r="EG49" s="6" t="n"/>
      <c r="EH49" s="57" t="n"/>
      <c r="EI49" s="57" t="n"/>
      <c r="EJ49" s="57" t="n"/>
      <c r="EK49" s="57" t="n"/>
      <c r="EL49" s="57" t="n"/>
      <c r="EM49" s="315" t="n"/>
      <c r="EN49" s="57" t="n"/>
      <c r="EP49" s="6" t="n"/>
      <c r="ER49" s="57" t="n"/>
      <c r="EU49" s="289" t="n"/>
      <c r="EV49" s="6" t="n"/>
      <c r="EW49" s="6" t="n"/>
      <c r="EX49" s="6" t="n"/>
      <c r="EY49" s="6" t="n"/>
      <c r="EZ49" s="6" t="n"/>
      <c r="FA49" s="6" t="n"/>
      <c r="FB49" s="289" t="n"/>
      <c r="FC49" s="6" t="n"/>
      <c r="FD49" s="6" t="n"/>
      <c r="FE49" s="57" t="n"/>
      <c r="FF49" s="6" t="n"/>
      <c r="FG49" s="6" t="n"/>
      <c r="FH49" s="6" t="n"/>
      <c r="FI49" s="6" t="n"/>
      <c r="FJ49" s="6" t="n"/>
      <c r="FK49" s="6" t="n"/>
      <c r="FL49" s="53" t="n"/>
      <c r="FM49" s="6" t="n"/>
      <c r="FO49" s="6" t="n"/>
    </row>
    <row r="50" ht="21" customHeight="1">
      <c r="A50" s="669" t="inlineStr">
        <is>
          <t>SOBRAS DATAS COMEMORATIVAS</t>
        </is>
      </c>
      <c r="B50" s="658" t="n"/>
      <c r="C50" s="670" t="n"/>
      <c r="E50" s="53" t="n"/>
      <c r="F50" s="53" t="n"/>
      <c r="G50" s="53" t="n"/>
      <c r="H50" s="53" t="n"/>
      <c r="I50" s="53" t="n"/>
      <c r="J50" s="53" t="n"/>
      <c r="K50" s="53" t="n"/>
      <c r="L50" s="53" t="n"/>
      <c r="M50" s="53" t="n"/>
      <c r="N50" s="53" t="n"/>
      <c r="O50" s="53" t="n"/>
      <c r="P50" s="53" t="n"/>
      <c r="Q50" s="53" t="n"/>
      <c r="R50" s="53" t="n"/>
      <c r="S50" s="53" t="n"/>
      <c r="T50" s="53" t="n"/>
      <c r="U50" s="53" t="n"/>
      <c r="V50" s="53" t="n"/>
      <c r="W50" s="53" t="n"/>
      <c r="X50" s="53" t="n"/>
      <c r="Y50" s="53" t="n"/>
      <c r="Z50" s="53" t="n"/>
      <c r="AA50" s="53" t="n"/>
      <c r="AB50" s="53" t="n"/>
      <c r="AC50" s="53" t="n"/>
      <c r="AD50" s="53" t="n"/>
      <c r="AE50" s="53" t="n"/>
      <c r="AF50" s="53" t="n"/>
      <c r="AG50" s="53" t="n"/>
      <c r="AH50" s="53" t="n"/>
      <c r="AI50" s="53" t="n"/>
      <c r="AJ50" s="53" t="n"/>
      <c r="AK50" s="53" t="n"/>
      <c r="AL50" s="53" t="n"/>
      <c r="AM50" s="53" t="n"/>
      <c r="AN50" s="53" t="n"/>
      <c r="AO50" s="53" t="n"/>
      <c r="AP50" s="53" t="n"/>
      <c r="AQ50" s="53" t="n"/>
      <c r="AR50" s="53" t="n"/>
      <c r="AS50" s="53" t="n"/>
      <c r="AT50" s="53" t="n"/>
      <c r="AU50" s="53" t="n"/>
      <c r="AV50" s="53" t="n"/>
      <c r="AW50" s="53" t="n"/>
      <c r="AX50" s="53" t="n"/>
      <c r="AY50" s="53" t="n"/>
      <c r="AZ50" s="53" t="n"/>
      <c r="BA50" s="53" t="n"/>
      <c r="BB50" s="53" t="n"/>
      <c r="BC50" s="53" t="n"/>
      <c r="BD50" s="53" t="n"/>
      <c r="BE50" s="53" t="n"/>
      <c r="CF50" s="53" t="n"/>
      <c r="CG50" s="53" t="n"/>
      <c r="CL50" s="6" t="n"/>
      <c r="CM50" s="6" t="n"/>
      <c r="CN50" s="6" t="n"/>
      <c r="CO50" s="6" t="n"/>
      <c r="CP50" s="6" t="n"/>
      <c r="CR50" s="6" t="n"/>
      <c r="CS50" s="6" t="n"/>
      <c r="CT50" s="6" t="n"/>
      <c r="CU50" s="6" t="n"/>
      <c r="CV50" s="6" t="n"/>
      <c r="DF50" s="360" t="n"/>
      <c r="DK50" s="360" t="n"/>
      <c r="DS50" s="6" t="n"/>
      <c r="DT50" s="57" t="n"/>
      <c r="DU50" s="6" t="n"/>
      <c r="DY50" s="57" t="n"/>
      <c r="DZ50" s="6" t="n"/>
      <c r="EA50" s="53" t="n"/>
      <c r="EB50" s="57" t="n"/>
      <c r="EC50" s="57" t="n"/>
      <c r="ED50" s="57" t="n"/>
      <c r="EE50" s="61" t="n"/>
      <c r="EF50" s="360" t="n"/>
      <c r="EG50" s="6" t="n"/>
      <c r="EH50" s="61" t="n"/>
      <c r="EI50" s="61" t="n"/>
      <c r="EJ50" s="61" t="n"/>
      <c r="EK50" s="61" t="n"/>
      <c r="EL50" s="61" t="n"/>
      <c r="EM50" s="61" t="n"/>
      <c r="EN50" s="61" t="n"/>
      <c r="ER50" s="61" t="n"/>
      <c r="EU50" s="289" t="n"/>
      <c r="FB50" s="289" t="n"/>
      <c r="FE50" s="61" t="n"/>
      <c r="FL50" s="6" t="n"/>
    </row>
    <row r="51">
      <c r="A51" s="146" t="inlineStr">
        <is>
          <t>ITENS</t>
        </is>
      </c>
      <c r="B51" s="146" t="n"/>
      <c r="C51" s="146" t="inlineStr">
        <is>
          <t>ESTOQUE</t>
        </is>
      </c>
      <c r="E51" s="53" t="n"/>
      <c r="F51" s="53" t="n"/>
      <c r="G51" s="53" t="n"/>
      <c r="H51" s="53" t="n"/>
      <c r="I51" s="53" t="n"/>
      <c r="J51" s="53" t="n"/>
      <c r="K51" s="53" t="n"/>
      <c r="L51" s="53" t="n"/>
      <c r="M51" s="53" t="n"/>
      <c r="N51" s="53" t="n"/>
      <c r="O51" s="53" t="n"/>
      <c r="P51" s="53" t="n"/>
      <c r="Q51" s="53" t="n"/>
      <c r="R51" s="53" t="n"/>
      <c r="S51" s="53" t="n"/>
      <c r="T51" s="53" t="n"/>
      <c r="U51" s="53" t="n"/>
      <c r="V51" s="53" t="n"/>
      <c r="W51" s="53" t="n"/>
      <c r="X51" s="53" t="n"/>
      <c r="Y51" s="53" t="n"/>
      <c r="Z51" s="53" t="n"/>
      <c r="AA51" s="53" t="n"/>
      <c r="AB51" s="53" t="n"/>
      <c r="AC51" s="53" t="n"/>
      <c r="AD51" s="53" t="n"/>
      <c r="AE51" s="53" t="n"/>
      <c r="AF51" s="53" t="n"/>
      <c r="AG51" s="53" t="n"/>
      <c r="AH51" s="53" t="n"/>
      <c r="AI51" s="53" t="n"/>
      <c r="AJ51" s="53" t="n"/>
      <c r="AK51" s="53" t="n"/>
      <c r="AL51" s="53" t="n"/>
      <c r="AM51" s="53" t="n"/>
      <c r="AN51" s="53" t="n"/>
      <c r="AO51" s="53" t="n"/>
      <c r="AP51" s="53" t="n"/>
      <c r="AQ51" s="53" t="n"/>
      <c r="AR51" s="53" t="n"/>
      <c r="AS51" s="53" t="n"/>
      <c r="AT51" s="53" t="n"/>
      <c r="AU51" s="53" t="n"/>
      <c r="AV51" s="53" t="n"/>
      <c r="AW51" s="53" t="n"/>
      <c r="AX51" s="53" t="n"/>
      <c r="AY51" s="53" t="n"/>
      <c r="AZ51" s="53" t="n"/>
      <c r="BA51" s="53" t="n"/>
      <c r="BB51" s="53" t="n"/>
      <c r="BC51" s="53" t="n"/>
      <c r="BD51" s="53" t="n"/>
      <c r="BE51" s="53" t="n"/>
      <c r="BF51" s="53" t="n"/>
      <c r="BG51" s="53" t="n"/>
      <c r="BH51" s="53" t="n"/>
      <c r="BI51" s="53" t="n"/>
      <c r="BJ51" s="53" t="n"/>
      <c r="BK51" s="53" t="n"/>
      <c r="BL51" s="53" t="n"/>
      <c r="BM51" s="53" t="n"/>
      <c r="BN51" s="53" t="n"/>
      <c r="BO51" s="53" t="n"/>
      <c r="BP51" s="53" t="n"/>
      <c r="BQ51" s="53" t="n"/>
      <c r="BR51" s="53" t="n"/>
      <c r="BS51" s="53" t="n"/>
      <c r="BT51" s="53" t="n"/>
      <c r="BU51" s="53" t="n"/>
      <c r="BV51" s="53" t="n"/>
      <c r="BW51" s="53" t="n"/>
      <c r="BX51" s="53" t="n"/>
      <c r="BY51" s="53" t="n"/>
      <c r="BZ51" s="53" t="n"/>
      <c r="CA51" s="53" t="n"/>
      <c r="CB51" s="53" t="n"/>
      <c r="CC51" s="53" t="n"/>
      <c r="CD51" s="53" t="n"/>
      <c r="CE51" s="53" t="n"/>
      <c r="CF51" s="53" t="n"/>
      <c r="CG51" s="53" t="n"/>
      <c r="CL51" s="6" t="n"/>
      <c r="CM51" s="6" t="n"/>
      <c r="CN51" s="6" t="n"/>
      <c r="CO51" s="6" t="n"/>
      <c r="CP51" s="6" t="n"/>
      <c r="CR51" s="6" t="n"/>
      <c r="CS51" s="6" t="n"/>
      <c r="CT51" s="6" t="n"/>
      <c r="CU51" s="6" t="n"/>
      <c r="CV51" s="6" t="n"/>
      <c r="CW51" s="57" t="n"/>
      <c r="CX51" s="57" t="n"/>
      <c r="CY51" s="57" t="n"/>
      <c r="CZ51" s="57" t="n"/>
      <c r="DA51" s="57" t="n"/>
      <c r="DB51" s="57" t="n"/>
      <c r="DC51" s="57" t="n"/>
      <c r="DD51" s="57" t="n"/>
      <c r="DE51" s="57" t="n"/>
      <c r="DF51" s="53" t="n"/>
      <c r="DG51" s="57" t="n"/>
      <c r="DH51" s="57" t="n"/>
      <c r="DI51" s="57" t="n"/>
      <c r="DJ51" s="57" t="n"/>
      <c r="DK51" s="53" t="n"/>
      <c r="DL51" s="57" t="n"/>
      <c r="DM51" s="57" t="n"/>
      <c r="DN51" s="57" t="n"/>
      <c r="DO51" s="57" t="n"/>
      <c r="DP51" s="57" t="n"/>
      <c r="DQ51" s="57" t="n"/>
      <c r="DR51" s="57" t="n"/>
      <c r="DS51" s="6" t="n"/>
      <c r="DT51" s="61" t="n"/>
      <c r="DU51" s="6" t="n"/>
      <c r="DV51" s="57" t="n"/>
      <c r="DW51" s="57" t="n"/>
      <c r="DX51" s="57" t="n"/>
      <c r="DY51" s="61" t="n"/>
      <c r="DZ51" s="360" t="n"/>
      <c r="EA51" s="6" t="n"/>
      <c r="EB51" s="61" t="n"/>
      <c r="EC51" s="61" t="n"/>
      <c r="ED51" s="61" t="n"/>
      <c r="EE51" s="61" t="n"/>
      <c r="EF51" s="360" t="n"/>
      <c r="EG51" s="360" t="n"/>
      <c r="EH51" s="61" t="n"/>
      <c r="EI51" s="61" t="n"/>
      <c r="EJ51" s="61" t="n"/>
      <c r="EK51" s="61" t="n"/>
      <c r="EL51" s="61" t="n"/>
      <c r="EM51" s="61" t="n"/>
      <c r="EN51" s="61" t="n"/>
      <c r="ER51" s="61" t="n"/>
      <c r="EU51" s="289" t="n"/>
      <c r="FB51" s="289" t="n"/>
      <c r="FE51" s="61" t="n"/>
      <c r="FL51" s="6" t="n"/>
    </row>
    <row r="52">
      <c r="A52" s="337" t="n"/>
      <c r="B52" s="336" t="n"/>
      <c r="C52" s="336" t="n"/>
      <c r="E52" s="53" t="n"/>
      <c r="F52" s="53" t="n"/>
      <c r="G52" s="53" t="n"/>
      <c r="H52" s="53" t="n"/>
      <c r="I52" s="53" t="n"/>
      <c r="J52" s="53" t="n"/>
      <c r="K52" s="53" t="n"/>
      <c r="L52" s="53" t="n"/>
      <c r="M52" s="53" t="n"/>
      <c r="N52" s="53" t="n"/>
      <c r="O52" s="53" t="n"/>
      <c r="P52" s="53" t="n"/>
      <c r="Q52" s="53" t="n"/>
      <c r="R52" s="53" t="n"/>
      <c r="S52" s="53" t="n"/>
      <c r="T52" s="53" t="n"/>
      <c r="U52" s="53" t="n"/>
      <c r="V52" s="53" t="n"/>
      <c r="W52" s="53" t="n"/>
      <c r="X52" s="53" t="n"/>
      <c r="Y52" s="53" t="n"/>
      <c r="Z52" s="53" t="n"/>
      <c r="AA52" s="53" t="n"/>
      <c r="AB52" s="53" t="n"/>
      <c r="AC52" s="53" t="n"/>
      <c r="AD52" s="53" t="n"/>
      <c r="AE52" s="53" t="n"/>
      <c r="AF52" s="53" t="n"/>
      <c r="AG52" s="53" t="n"/>
      <c r="AH52" s="53" t="n"/>
      <c r="AI52" s="53" t="n"/>
      <c r="AJ52" s="53" t="n"/>
      <c r="AK52" s="53" t="n"/>
      <c r="AL52" s="53" t="n"/>
      <c r="AM52" s="53" t="n"/>
      <c r="AN52" s="53" t="n"/>
      <c r="AO52" s="53" t="n"/>
      <c r="AP52" s="53" t="n"/>
      <c r="AQ52" s="53" t="n"/>
      <c r="AR52" s="53" t="n"/>
      <c r="AS52" s="53" t="n"/>
      <c r="AT52" s="53" t="n"/>
      <c r="AU52" s="53" t="n"/>
      <c r="AV52" s="53" t="n"/>
      <c r="AW52" s="53" t="n"/>
      <c r="AX52" s="53" t="n"/>
      <c r="AY52" s="53" t="n"/>
      <c r="AZ52" s="53" t="n"/>
      <c r="BA52" s="53" t="n"/>
      <c r="BB52" s="53" t="n"/>
      <c r="BC52" s="53" t="n"/>
      <c r="BD52" s="53" t="n"/>
      <c r="BE52" s="53" t="n"/>
      <c r="BF52" s="53" t="n"/>
      <c r="BG52" s="53" t="n"/>
      <c r="BH52" s="53" t="n"/>
      <c r="BI52" s="53" t="n"/>
      <c r="BJ52" s="53" t="n"/>
      <c r="BK52" s="53" t="n"/>
      <c r="BL52" s="53" t="n"/>
      <c r="BM52" s="53" t="n"/>
      <c r="BN52" s="53" t="n"/>
      <c r="BO52" s="53" t="n"/>
      <c r="BP52" s="53" t="n"/>
      <c r="BQ52" s="53" t="n"/>
      <c r="BR52" s="53" t="n"/>
      <c r="BS52" s="53" t="n"/>
      <c r="BT52" s="53" t="n"/>
      <c r="BU52" s="53" t="n"/>
      <c r="BV52" s="53" t="n"/>
      <c r="BW52" s="53" t="n"/>
      <c r="BX52" s="53" t="n"/>
      <c r="BY52" s="53" t="n"/>
      <c r="BZ52" s="53" t="n"/>
      <c r="CA52" s="53" t="n"/>
      <c r="CB52" s="53" t="n"/>
      <c r="CC52" s="53" t="n"/>
      <c r="CD52" s="53" t="n"/>
      <c r="CE52" s="53" t="n"/>
      <c r="CF52" s="53" t="n"/>
      <c r="CG52" s="53" t="n"/>
      <c r="CJ52" s="53" t="n"/>
      <c r="CK52" s="53" t="n"/>
      <c r="CL52" s="53" t="n"/>
      <c r="CW52" s="61" t="n"/>
      <c r="CX52" s="61" t="n"/>
      <c r="CY52" s="61" t="n"/>
      <c r="CZ52" s="61" t="n"/>
      <c r="DA52" s="61" t="n"/>
      <c r="DB52" s="61" t="n"/>
      <c r="DC52" s="61" t="n"/>
      <c r="DD52" s="61" t="n"/>
      <c r="DE52" s="61" t="n"/>
      <c r="DF52" s="53" t="n"/>
      <c r="DG52" s="61" t="n"/>
      <c r="DH52" s="61" t="n"/>
      <c r="DI52" s="61" t="n"/>
      <c r="DJ52" s="61" t="n"/>
      <c r="DK52" s="53" t="n"/>
      <c r="DL52" s="61" t="n"/>
      <c r="DM52" s="61" t="n"/>
      <c r="DN52" s="61" t="n"/>
      <c r="DO52" s="61" t="n"/>
      <c r="DP52" s="61" t="n"/>
      <c r="DQ52" s="61" t="n"/>
      <c r="DR52" s="61" t="n"/>
      <c r="DS52" s="360" t="n"/>
      <c r="DT52" s="61" t="n"/>
      <c r="DU52" s="360" t="n"/>
      <c r="DV52" s="61" t="n"/>
      <c r="DW52" s="61" t="n"/>
      <c r="DX52" s="61" t="n"/>
      <c r="DY52" s="61" t="n"/>
      <c r="DZ52" s="360" t="n"/>
      <c r="EA52" s="6" t="n"/>
      <c r="EB52" s="61" t="n"/>
      <c r="EC52" s="61" t="n"/>
      <c r="ED52" s="61" t="n"/>
      <c r="EF52" s="53" t="n"/>
      <c r="EG52" s="360" t="n"/>
      <c r="EM52" s="314" t="n"/>
      <c r="EU52" s="289" t="n"/>
      <c r="FB52" s="289" t="n"/>
      <c r="FL52" s="58" t="n"/>
      <c r="FP52" s="53" t="n"/>
      <c r="GF52" s="49" t="n"/>
      <c r="GG52" s="49" t="n"/>
      <c r="GH52" s="49" t="n"/>
      <c r="GI52" s="49" t="n"/>
      <c r="GJ52" s="49" t="n"/>
      <c r="GK52" s="49" t="n"/>
      <c r="GL52" s="49" t="n"/>
      <c r="GM52" s="49" t="n"/>
      <c r="GN52" s="49" t="n"/>
      <c r="GO52" s="49" t="n"/>
      <c r="GP52" s="49" t="n"/>
      <c r="GQ52" s="49" t="n"/>
      <c r="GR52" s="49" t="n"/>
      <c r="GS52" s="49" t="n"/>
      <c r="GT52" s="49" t="n"/>
      <c r="GU52" s="49" t="n"/>
      <c r="GV52" s="49" t="n"/>
      <c r="GW52" s="49" t="n"/>
      <c r="GX52" s="49" t="n"/>
      <c r="HJ52" s="49" t="n"/>
      <c r="HK52" s="49" t="n"/>
      <c r="HL52" s="49" t="n"/>
      <c r="HM52" s="49" t="n"/>
      <c r="HN52" s="49" t="n"/>
      <c r="HO52" s="49" t="n"/>
      <c r="HP52" s="49" t="n"/>
      <c r="HQ52" s="49" t="n"/>
      <c r="HR52" s="49" t="n"/>
      <c r="HS52" s="49" t="n"/>
      <c r="HT52" s="49" t="n"/>
      <c r="HU52" s="49" t="n"/>
      <c r="HV52" s="49" t="n"/>
      <c r="HW52" s="49" t="n"/>
      <c r="HX52" s="49" t="n"/>
      <c r="HY52" s="49" t="n"/>
      <c r="HZ52" s="49" t="n"/>
      <c r="IA52" s="49" t="n"/>
      <c r="IB52" s="49" t="n"/>
      <c r="IC52" s="49" t="n"/>
      <c r="ID52" s="49" t="n"/>
      <c r="IE52" s="49" t="n"/>
      <c r="IF52" s="49" t="n"/>
      <c r="IG52" s="49" t="n"/>
      <c r="IH52" s="49" t="n"/>
      <c r="II52" s="49" t="n"/>
      <c r="IJ52" s="49" t="n"/>
      <c r="IK52" s="49" t="n"/>
      <c r="IL52" s="49" t="n"/>
      <c r="IM52" s="49" t="n"/>
      <c r="IN52" s="49" t="n"/>
      <c r="IO52" s="49" t="n"/>
      <c r="IP52" s="49" t="n"/>
      <c r="IQ52" s="49" t="n"/>
      <c r="IR52" s="53" t="n"/>
      <c r="IS52" s="49" t="n"/>
      <c r="IT52" s="49" t="n"/>
      <c r="IU52" s="49" t="n"/>
      <c r="IV52" s="49" t="n"/>
      <c r="IW52" s="49" t="n"/>
      <c r="IX52" s="49" t="n"/>
      <c r="IY52" s="49" t="n"/>
      <c r="IZ52" s="49" t="n"/>
      <c r="JA52" s="49" t="n"/>
      <c r="JB52" s="49" t="n"/>
      <c r="JC52" s="49" t="n"/>
      <c r="JD52" s="49" t="n"/>
      <c r="JE52" s="49" t="n"/>
      <c r="JF52" s="49" t="n"/>
      <c r="JG52" s="49" t="n"/>
      <c r="JH52" s="49" t="n"/>
      <c r="JI52" s="49" t="n"/>
      <c r="JJ52" s="49" t="n"/>
      <c r="JK52" s="49" t="n"/>
      <c r="JL52" s="49" t="n"/>
      <c r="JM52" s="49" t="n"/>
      <c r="JN52" s="49" t="n"/>
      <c r="JO52" s="49" t="n"/>
      <c r="JP52" s="49" t="n"/>
      <c r="JQ52" s="49" t="n"/>
      <c r="JR52" s="49" t="n"/>
      <c r="JS52" s="49" t="n"/>
      <c r="JT52" s="49" t="n"/>
      <c r="JU52" s="49" t="n"/>
      <c r="JV52" s="49" t="n"/>
      <c r="JW52" s="49" t="n"/>
      <c r="JX52" s="49" t="n"/>
      <c r="JY52" s="49" t="n"/>
      <c r="JZ52" s="49" t="n"/>
      <c r="KA52" s="49" t="n"/>
      <c r="KB52" s="49" t="n"/>
      <c r="KC52" s="49" t="n"/>
      <c r="KD52" s="57" t="n"/>
      <c r="KE52" s="49" t="n"/>
      <c r="KF52" s="57" t="n"/>
      <c r="KG52" s="49" t="n"/>
      <c r="KH52" s="49" t="n"/>
      <c r="KI52" s="49" t="n"/>
      <c r="KJ52" s="49" t="n"/>
      <c r="KK52" s="49" t="n"/>
      <c r="KL52" s="168" t="n"/>
      <c r="KM52" s="168" t="n"/>
      <c r="KN52" s="49" t="n"/>
      <c r="KO52" s="49" t="n"/>
      <c r="KP52" s="49" t="n"/>
      <c r="KQ52" s="49" t="n"/>
      <c r="KR52" s="49" t="n"/>
      <c r="KS52" s="49" t="n"/>
      <c r="KT52" s="49" t="n"/>
      <c r="KU52" s="49" t="n"/>
      <c r="KV52" s="49" t="n"/>
      <c r="KW52" s="49" t="n"/>
      <c r="KX52" s="49" t="n"/>
      <c r="KY52" s="49" t="n"/>
      <c r="KZ52" s="49" t="n"/>
      <c r="LA52" s="49" t="n"/>
      <c r="LB52" s="49" t="n"/>
      <c r="LC52" s="49" t="n"/>
      <c r="LD52" s="49" t="n"/>
      <c r="LE52" s="49" t="n"/>
      <c r="LF52" s="49" t="n"/>
      <c r="LG52" s="49" t="n"/>
      <c r="LH52" s="49" t="n"/>
      <c r="LI52" s="49" t="n"/>
      <c r="LJ52" s="49" t="n"/>
      <c r="LK52" s="49" t="n"/>
      <c r="LL52" s="49" t="n"/>
      <c r="LM52" s="49" t="n"/>
      <c r="LN52" s="49" t="n"/>
      <c r="LO52" s="49" t="n"/>
      <c r="LP52" s="49" t="n"/>
      <c r="LQ52" s="49" t="n"/>
      <c r="LR52" s="49" t="n"/>
      <c r="LS52" s="49" t="n"/>
      <c r="LT52" s="49" t="n"/>
      <c r="LU52" s="49" t="n"/>
      <c r="LV52" s="49" t="n"/>
      <c r="LW52" s="49" t="n"/>
      <c r="LX52" s="49" t="n"/>
      <c r="LY52" s="49" t="n"/>
      <c r="LZ52" s="49" t="n"/>
      <c r="MA52" s="49" t="n"/>
      <c r="MB52" s="49" t="n"/>
      <c r="MC52" s="49" t="n"/>
      <c r="MD52" s="49" t="n"/>
      <c r="ME52" s="49" t="n"/>
      <c r="MF52" s="49" t="n"/>
      <c r="MG52" s="49" t="n"/>
      <c r="MH52" s="49" t="n"/>
      <c r="MI52" s="49" t="n"/>
      <c r="MJ52" s="49" t="n"/>
      <c r="MK52" s="49" t="n"/>
      <c r="ML52" s="49" t="n"/>
      <c r="MM52" s="49" t="n"/>
      <c r="MN52" s="49" t="n"/>
      <c r="MO52" s="49" t="n"/>
    </row>
    <row r="53">
      <c r="A53" s="176" t="inlineStr">
        <is>
          <t>TAG NAMORADOS/23</t>
        </is>
      </c>
      <c r="B53" s="170" t="n"/>
      <c r="C53" s="171" t="n">
        <v>82</v>
      </c>
      <c r="E53" s="53" t="n"/>
      <c r="F53" s="53" t="n"/>
      <c r="G53" s="53" t="n"/>
      <c r="H53" s="53" t="n"/>
      <c r="I53" s="53" t="n"/>
      <c r="J53" s="53" t="n"/>
      <c r="K53" s="53" t="n"/>
      <c r="L53" s="53" t="n"/>
      <c r="M53" s="53" t="n"/>
      <c r="N53" s="53" t="n"/>
      <c r="O53" s="53" t="n"/>
      <c r="P53" s="53" t="n"/>
      <c r="Q53" s="53" t="n"/>
      <c r="R53" s="53" t="n"/>
      <c r="S53" s="53" t="n"/>
      <c r="T53" s="53" t="n"/>
      <c r="U53" s="53" t="n"/>
      <c r="V53" s="53" t="n"/>
      <c r="W53" s="53" t="n"/>
      <c r="X53" s="53" t="n"/>
      <c r="Y53" s="53" t="n"/>
      <c r="Z53" s="53" t="n"/>
      <c r="AA53" s="53" t="n"/>
      <c r="AB53" s="53" t="n"/>
      <c r="AC53" s="53" t="n"/>
      <c r="AD53" s="53" t="n"/>
      <c r="AE53" s="53" t="n"/>
      <c r="AF53" s="53" t="n"/>
      <c r="AG53" s="53" t="n"/>
      <c r="AH53" s="53" t="n"/>
      <c r="AI53" s="53" t="n"/>
      <c r="AJ53" s="53" t="n"/>
      <c r="AK53" s="53" t="n"/>
      <c r="AL53" s="53" t="n"/>
      <c r="AM53" s="53" t="n"/>
      <c r="AN53" s="53" t="n"/>
      <c r="AO53" s="53" t="n"/>
      <c r="AP53" s="53" t="n"/>
      <c r="AQ53" s="53" t="n"/>
      <c r="AR53" s="53" t="n"/>
      <c r="AS53" s="53" t="n"/>
      <c r="AT53" s="53" t="n"/>
      <c r="AU53" s="53" t="n"/>
      <c r="AV53" s="53" t="n"/>
      <c r="AW53" s="53" t="n"/>
      <c r="AX53" s="53" t="n"/>
      <c r="AY53" s="53" t="n"/>
      <c r="AZ53" s="53" t="n"/>
      <c r="BA53" s="53" t="n"/>
      <c r="BB53" s="53" t="n"/>
      <c r="BC53" s="53" t="n"/>
      <c r="BD53" s="53" t="n"/>
      <c r="BE53" s="53" t="n"/>
      <c r="BF53" s="53" t="n"/>
      <c r="BG53" s="53" t="n"/>
      <c r="BH53" s="53" t="n"/>
      <c r="BI53" s="53" t="n"/>
      <c r="BJ53" s="53" t="n"/>
      <c r="BK53" s="53" t="n"/>
      <c r="BL53" s="53" t="n"/>
      <c r="BM53" s="53" t="n"/>
      <c r="BN53" s="53" t="n"/>
      <c r="BO53" s="53" t="n"/>
      <c r="BP53" s="53" t="n"/>
      <c r="BQ53" s="53" t="n"/>
      <c r="BR53" s="53" t="n"/>
      <c r="BS53" s="53" t="n"/>
      <c r="BT53" s="53" t="n"/>
      <c r="BU53" s="53" t="n"/>
      <c r="BV53" s="53" t="n"/>
      <c r="BW53" s="53" t="n"/>
      <c r="BX53" s="53" t="n"/>
      <c r="BY53" s="53" t="n"/>
      <c r="BZ53" s="53" t="n"/>
      <c r="CA53" s="53" t="n"/>
      <c r="CB53" s="53" t="n"/>
      <c r="CC53" s="53" t="n"/>
      <c r="CD53" s="53" t="n"/>
      <c r="CE53" s="53" t="n"/>
      <c r="CF53" s="53" t="n"/>
      <c r="CG53" s="53" t="n"/>
      <c r="CJ53" s="53" t="n"/>
      <c r="CK53" s="53" t="n"/>
      <c r="CL53" s="6" t="n"/>
      <c r="CM53" s="6" t="n"/>
      <c r="CN53" s="6" t="n"/>
      <c r="CO53" s="6" t="n"/>
      <c r="CP53" s="6" t="n"/>
      <c r="CR53" s="6" t="n"/>
      <c r="CS53" s="6" t="n"/>
      <c r="CT53" s="6" t="n"/>
      <c r="CU53" s="6" t="n"/>
      <c r="CV53" s="6" t="n"/>
      <c r="CW53" s="61" t="n"/>
      <c r="CX53" s="61" t="n"/>
      <c r="CY53" s="61" t="n"/>
      <c r="CZ53" s="61" t="n"/>
      <c r="DA53" s="61" t="n"/>
      <c r="DB53" s="61" t="n"/>
      <c r="DC53" s="61" t="n"/>
      <c r="DD53" s="61" t="n"/>
      <c r="DE53" s="61" t="n"/>
      <c r="DF53" s="53" t="n"/>
      <c r="DG53" s="61" t="n"/>
      <c r="DH53" s="61" t="n"/>
      <c r="DI53" s="61" t="n"/>
      <c r="DJ53" s="61" t="n"/>
      <c r="DK53" s="53" t="n"/>
      <c r="DL53" s="61" t="n"/>
      <c r="DM53" s="61" t="n"/>
      <c r="DN53" s="61" t="n"/>
      <c r="DO53" s="61" t="n"/>
      <c r="DP53" s="61" t="n"/>
      <c r="DQ53" s="61" t="n"/>
      <c r="DR53" s="61" t="n"/>
      <c r="DS53" s="360" t="n"/>
      <c r="DU53" s="360" t="n"/>
      <c r="DV53" s="61" t="n"/>
      <c r="DW53" s="61" t="n"/>
      <c r="DX53" s="61" t="n"/>
      <c r="DZ53" s="53" t="n"/>
      <c r="EA53" s="58" t="n"/>
      <c r="EF53" s="53" t="n"/>
      <c r="EG53" s="53" t="n"/>
      <c r="EM53" s="314" t="n"/>
      <c r="EU53" s="289" t="n"/>
      <c r="FB53" s="289" t="n"/>
      <c r="FL53" s="58" t="n"/>
      <c r="FP53" s="53" t="n"/>
      <c r="GF53" s="49" t="n"/>
      <c r="GG53" s="49" t="n"/>
      <c r="GH53" s="49" t="n"/>
      <c r="GI53" s="49" t="n"/>
      <c r="GJ53" s="49" t="n"/>
      <c r="GK53" s="49" t="n"/>
      <c r="GL53" s="49" t="n"/>
      <c r="GM53" s="49" t="n"/>
      <c r="GN53" s="49" t="n"/>
      <c r="GO53" s="49" t="n"/>
      <c r="GP53" s="49" t="n"/>
      <c r="GQ53" s="49" t="n"/>
      <c r="GR53" s="49" t="n"/>
      <c r="GS53" s="49" t="n"/>
      <c r="GT53" s="49" t="n"/>
      <c r="GU53" s="49" t="n"/>
      <c r="GV53" s="49" t="n"/>
      <c r="GW53" s="49" t="n"/>
      <c r="GX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J53" s="49" t="n"/>
      <c r="IK53" s="49" t="n"/>
      <c r="IL53" s="49" t="n"/>
      <c r="IM53" s="49" t="n"/>
      <c r="IN53" s="49" t="n"/>
      <c r="IO53" s="49" t="n"/>
      <c r="IP53" s="49" t="n"/>
      <c r="IQ53" s="49" t="n"/>
      <c r="IR53" s="53" t="n"/>
      <c r="IS53" s="49" t="n"/>
      <c r="IT53" s="49" t="n"/>
      <c r="IU53" s="49" t="n"/>
      <c r="IV53" s="49" t="n"/>
      <c r="IW53" s="49" t="n"/>
      <c r="IX53" s="49" t="n"/>
      <c r="IY53" s="49" t="n"/>
      <c r="IZ53" s="49" t="n"/>
      <c r="JA53" s="49" t="n"/>
      <c r="JB53" s="49" t="n"/>
      <c r="JC53" s="49" t="n"/>
      <c r="JD53" s="49" t="n"/>
      <c r="JE53" s="49" t="n"/>
      <c r="JF53" s="49" t="n"/>
      <c r="JG53" s="49" t="n"/>
      <c r="JH53" s="49" t="n"/>
      <c r="JI53" s="49" t="n"/>
      <c r="JJ53" s="49" t="n"/>
      <c r="JK53" s="49" t="n"/>
      <c r="JL53" s="49" t="n"/>
      <c r="JM53" s="49" t="n"/>
      <c r="JN53" s="49" t="n"/>
      <c r="JO53" s="49" t="n"/>
      <c r="JP53" s="49" t="n"/>
      <c r="JQ53" s="49" t="n"/>
      <c r="JR53" s="49" t="n"/>
      <c r="JS53" s="49" t="n"/>
      <c r="JT53" s="49" t="n"/>
      <c r="JU53" s="49" t="n"/>
      <c r="JV53" s="49" t="n"/>
      <c r="JW53" s="49" t="n"/>
      <c r="JX53" s="49" t="n"/>
      <c r="JY53" s="49" t="n"/>
      <c r="JZ53" s="49" t="n"/>
      <c r="KA53" s="49" t="n"/>
      <c r="KB53" s="49" t="n"/>
      <c r="KC53" s="49" t="n"/>
      <c r="KD53" s="57" t="n"/>
      <c r="KE53" s="49" t="n"/>
      <c r="KF53" s="57" t="n"/>
      <c r="KG53" s="49" t="n"/>
      <c r="KH53" s="49" t="n"/>
      <c r="KI53" s="49" t="n"/>
      <c r="KJ53" s="49" t="n"/>
      <c r="KK53" s="49" t="n"/>
      <c r="KL53" s="168" t="n"/>
      <c r="KM53" s="168" t="n"/>
      <c r="KN53" s="49" t="n"/>
      <c r="KO53" s="49" t="n"/>
      <c r="KP53" s="49" t="n"/>
      <c r="KQ53" s="49" t="n"/>
      <c r="KR53" s="49" t="n"/>
      <c r="KS53" s="49" t="n"/>
      <c r="KT53" s="49" t="n"/>
      <c r="KU53" s="49" t="n"/>
      <c r="KV53" s="49" t="n"/>
      <c r="KW53" s="49" t="n"/>
      <c r="KX53" s="49" t="n"/>
      <c r="KY53" s="49" t="n"/>
      <c r="KZ53" s="49" t="n"/>
      <c r="LA53" s="49" t="n"/>
      <c r="LB53" s="49" t="n"/>
      <c r="LC53" s="49" t="n"/>
      <c r="LD53" s="49" t="n"/>
      <c r="LE53" s="49" t="n"/>
      <c r="LF53" s="49" t="n"/>
      <c r="LG53" s="49" t="n"/>
      <c r="LH53" s="49" t="n"/>
      <c r="LI53" s="49" t="n"/>
      <c r="LJ53" s="49" t="n"/>
      <c r="LK53" s="49" t="n"/>
      <c r="LL53" s="49" t="n"/>
      <c r="LM53" s="49" t="n"/>
      <c r="LN53" s="49" t="n"/>
      <c r="LO53" s="49" t="n"/>
      <c r="LP53" s="49" t="n"/>
      <c r="LQ53" s="49" t="n"/>
      <c r="LR53" s="49" t="n"/>
      <c r="LS53" s="49" t="n"/>
      <c r="LT53" s="49" t="n"/>
      <c r="LU53" s="49" t="n"/>
      <c r="LV53" s="49" t="n"/>
      <c r="LW53" s="49" t="n"/>
      <c r="LX53" s="49" t="n"/>
      <c r="LY53" s="49" t="n"/>
      <c r="LZ53" s="49" t="n"/>
      <c r="MA53" s="49" t="n"/>
      <c r="MB53" s="49" t="n"/>
      <c r="MC53" s="49" t="n"/>
      <c r="MD53" s="49" t="n"/>
      <c r="ME53" s="49" t="n"/>
      <c r="MF53" s="49" t="n"/>
      <c r="MG53" s="49" t="n"/>
      <c r="MH53" s="49" t="n"/>
      <c r="MI53" s="49" t="n"/>
      <c r="MJ53" s="49" t="n"/>
      <c r="MK53" s="49" t="n"/>
      <c r="ML53" s="49" t="n"/>
      <c r="MM53" s="49" t="n"/>
      <c r="MN53" s="49" t="n"/>
      <c r="MO53" s="49" t="n"/>
    </row>
    <row r="54">
      <c r="A54" s="337" t="n"/>
      <c r="B54" s="336" t="n"/>
      <c r="C54" s="336" t="n"/>
      <c r="E54" s="53" t="n"/>
      <c r="F54" s="53" t="n"/>
      <c r="G54" s="53" t="n"/>
      <c r="H54" s="53" t="n"/>
      <c r="I54" s="53" t="n"/>
      <c r="J54" s="53" t="n"/>
      <c r="K54" s="53" t="n"/>
      <c r="L54" s="53" t="n"/>
      <c r="M54" s="53" t="n"/>
      <c r="N54" s="53" t="n"/>
      <c r="O54" s="53" t="n"/>
      <c r="P54" s="53" t="n"/>
      <c r="Q54" s="53" t="n"/>
      <c r="R54" s="53" t="n"/>
      <c r="S54" s="53" t="n"/>
      <c r="T54" s="53" t="n"/>
      <c r="U54" s="53" t="n"/>
      <c r="V54" s="53" t="n"/>
      <c r="W54" s="53" t="n"/>
      <c r="X54" s="53" t="n"/>
      <c r="Y54" s="53" t="n"/>
      <c r="Z54" s="53" t="n"/>
      <c r="AA54" s="53" t="n"/>
      <c r="AB54" s="53" t="n"/>
      <c r="AC54" s="53" t="n"/>
      <c r="AD54" s="53" t="n"/>
      <c r="AE54" s="53" t="n"/>
      <c r="AF54" s="53" t="n"/>
      <c r="AG54" s="53" t="n"/>
      <c r="AH54" s="53" t="n"/>
      <c r="AI54" s="53" t="n"/>
      <c r="AJ54" s="53" t="n"/>
      <c r="AK54" s="53" t="n"/>
      <c r="AL54" s="53" t="n"/>
      <c r="AM54" s="53" t="n"/>
      <c r="AN54" s="53" t="n"/>
      <c r="AO54" s="53" t="n"/>
      <c r="AP54" s="53" t="n"/>
      <c r="AQ54" s="53" t="n"/>
      <c r="AR54" s="53" t="n"/>
      <c r="AS54" s="53" t="n"/>
      <c r="AT54" s="53" t="n"/>
      <c r="AU54" s="53" t="n"/>
      <c r="AV54" s="53" t="n"/>
      <c r="AW54" s="53" t="n"/>
      <c r="AX54" s="53" t="n"/>
      <c r="AY54" s="53" t="n"/>
      <c r="AZ54" s="53" t="n"/>
      <c r="BA54" s="53" t="n"/>
      <c r="BB54" s="53" t="n"/>
      <c r="BC54" s="53" t="n"/>
      <c r="BD54" s="53" t="n"/>
      <c r="BE54" s="53" t="n"/>
      <c r="BF54" s="53" t="n"/>
      <c r="BG54" s="53" t="n"/>
      <c r="BH54" s="53" t="n"/>
      <c r="BI54" s="53" t="n"/>
      <c r="BJ54" s="53" t="n"/>
      <c r="BK54" s="53" t="n"/>
      <c r="BL54" s="53" t="n"/>
      <c r="BM54" s="53" t="n"/>
      <c r="BN54" s="53" t="n"/>
      <c r="BO54" s="53" t="n"/>
      <c r="BP54" s="53" t="n"/>
      <c r="BQ54" s="53" t="n"/>
      <c r="BR54" s="53" t="n"/>
      <c r="BS54" s="53" t="n"/>
      <c r="BT54" s="53" t="n"/>
      <c r="BU54" s="53" t="n"/>
      <c r="BV54" s="53" t="n"/>
      <c r="BW54" s="53" t="n"/>
      <c r="BX54" s="53" t="n"/>
      <c r="BY54" s="53" t="n"/>
      <c r="BZ54" s="53" t="n"/>
      <c r="CA54" s="53" t="n"/>
      <c r="CB54" s="53" t="n"/>
      <c r="CC54" s="53" t="n"/>
      <c r="CD54" s="53" t="n"/>
      <c r="CE54" s="53" t="n"/>
      <c r="CF54" s="53" t="n"/>
      <c r="CG54" s="53" t="n"/>
      <c r="CJ54" s="53" t="n"/>
      <c r="CK54" s="53" t="n"/>
      <c r="CL54" s="53" t="n"/>
      <c r="DF54" s="53" t="n"/>
      <c r="DK54" s="53" t="n"/>
      <c r="DS54" s="53" t="n"/>
      <c r="DU54" s="53" t="n"/>
      <c r="DZ54" s="53" t="n"/>
      <c r="EA54" s="58" t="n"/>
      <c r="EF54" s="53" t="n"/>
      <c r="EG54" s="53" t="n"/>
      <c r="EM54" s="314" t="n"/>
      <c r="EO54" s="57" t="n"/>
      <c r="EQ54" s="57" t="n"/>
      <c r="ES54" s="57" t="n"/>
      <c r="ET54" s="57" t="n"/>
      <c r="EU54" s="289" t="n"/>
      <c r="FB54" s="289" t="n"/>
      <c r="FP54" s="53" t="n"/>
      <c r="GF54" s="49" t="n"/>
      <c r="GG54" s="49" t="n"/>
      <c r="GH54" s="49" t="n"/>
      <c r="GI54" s="49" t="n"/>
      <c r="GJ54" s="49" t="n"/>
      <c r="GK54" s="49" t="n"/>
      <c r="GL54" s="49" t="n"/>
      <c r="GM54" s="49" t="n"/>
      <c r="GN54" s="49" t="n"/>
      <c r="GO54" s="49" t="n"/>
      <c r="GP54" s="49" t="n"/>
      <c r="GQ54" s="49" t="n"/>
      <c r="GR54" s="49" t="n"/>
      <c r="GS54" s="49" t="n"/>
      <c r="GT54" s="49" t="n"/>
      <c r="GU54" s="49" t="n"/>
      <c r="GV54" s="49" t="n"/>
      <c r="GW54" s="49" t="n"/>
      <c r="GX54" s="49" t="n"/>
      <c r="GY54" s="49" t="n"/>
      <c r="GZ54" s="49" t="n"/>
      <c r="HL54" s="49" t="n"/>
      <c r="HM54" s="49" t="n"/>
      <c r="HN54" s="49" t="n"/>
      <c r="HO54" s="49" t="n"/>
      <c r="HP54" s="49" t="n"/>
      <c r="HQ54" s="49" t="n"/>
      <c r="HR54" s="49" t="n"/>
      <c r="HS54" s="49" t="n"/>
      <c r="HT54" s="49" t="n"/>
      <c r="HU54" s="49" t="n"/>
      <c r="HV54" s="49" t="n"/>
      <c r="HW54" s="49" t="n"/>
      <c r="HZ54" s="49" t="n"/>
      <c r="IA54" s="49" t="n"/>
      <c r="IB54" s="49" t="n"/>
      <c r="IC54" s="49" t="n"/>
      <c r="ID54" s="49" t="n"/>
      <c r="IE54" s="49" t="n"/>
      <c r="IF54" s="49" t="n"/>
      <c r="IG54" s="49" t="n"/>
      <c r="IH54" s="49" t="n"/>
      <c r="II54" s="49" t="n"/>
      <c r="IJ54" s="49" t="n"/>
      <c r="IK54" s="49" t="n"/>
      <c r="IL54" s="49" t="n"/>
      <c r="IM54" s="49" t="n"/>
      <c r="IN54" s="49" t="n"/>
      <c r="IR54" s="49" t="n"/>
      <c r="IS54" s="49" t="n"/>
      <c r="IT54" s="49" t="n"/>
      <c r="IU54" s="53" t="n"/>
      <c r="IV54" s="49" t="n"/>
      <c r="IW54" s="49" t="n"/>
      <c r="IX54" s="49" t="n"/>
      <c r="IY54" s="49" t="n"/>
      <c r="IZ54" s="49" t="n"/>
      <c r="JA54" s="49" t="n"/>
      <c r="JB54" s="49" t="n"/>
      <c r="JC54" s="49" t="n"/>
      <c r="JD54" s="49" t="n"/>
      <c r="JE54" s="49" t="n"/>
      <c r="JF54" s="49" t="n"/>
      <c r="JG54" s="49" t="n"/>
      <c r="JH54" s="49" t="n"/>
      <c r="JI54" s="49" t="n"/>
      <c r="JJ54" s="49" t="n"/>
      <c r="JK54" s="49" t="n"/>
      <c r="JL54" s="49" t="n"/>
      <c r="JM54" s="49" t="n"/>
      <c r="JN54" s="49" t="n"/>
      <c r="JO54" s="49" t="n"/>
      <c r="JP54" s="49" t="n"/>
      <c r="JQ54" s="49" t="n"/>
      <c r="JR54" s="49" t="n"/>
      <c r="JS54" s="49" t="n"/>
      <c r="JT54" s="49" t="n"/>
      <c r="JU54" s="49" t="n"/>
      <c r="JV54" s="49" t="n"/>
      <c r="JW54" s="49" t="n"/>
      <c r="JX54" s="49" t="n"/>
      <c r="JY54" s="49" t="n"/>
      <c r="JZ54" s="49" t="n"/>
      <c r="KA54" s="49" t="n"/>
      <c r="KB54" s="49" t="n"/>
      <c r="KC54" s="49" t="n"/>
      <c r="KD54" s="167" t="n"/>
      <c r="KE54" s="49" t="n"/>
      <c r="KF54" s="167" t="n"/>
      <c r="KG54" s="49" t="n"/>
      <c r="KH54" s="49" t="n"/>
      <c r="KI54" s="49" t="n"/>
      <c r="KJ54" s="49" t="n"/>
      <c r="KK54" s="49" t="n"/>
      <c r="KL54" s="49" t="n"/>
      <c r="KM54" s="49" t="n"/>
      <c r="KN54" s="49" t="n"/>
      <c r="KO54" s="49" t="n"/>
      <c r="KP54" s="49" t="n"/>
      <c r="KQ54" s="168" t="n"/>
      <c r="KR54" s="49" t="n"/>
      <c r="KS54" s="49" t="n"/>
      <c r="KT54" s="49" t="n"/>
      <c r="KU54" s="49" t="n"/>
      <c r="KV54" s="49" t="n"/>
      <c r="KW54" s="49" t="n"/>
      <c r="KX54" s="49" t="n"/>
      <c r="KY54" s="49" t="n"/>
      <c r="KZ54" s="49" t="n"/>
      <c r="LA54" s="49" t="n"/>
      <c r="LB54" s="49" t="n"/>
      <c r="LC54" s="49" t="n"/>
      <c r="LD54" s="49" t="n"/>
      <c r="LE54" s="49" t="n"/>
      <c r="LF54" s="49" t="n"/>
      <c r="LG54" s="49" t="n"/>
      <c r="LH54" s="49" t="n"/>
      <c r="LI54" s="49" t="n"/>
      <c r="LJ54" s="49" t="n"/>
      <c r="LK54" s="49" t="n"/>
      <c r="LL54" s="49" t="n"/>
      <c r="LM54" s="49" t="n"/>
      <c r="LN54" s="49" t="n"/>
      <c r="LO54" s="49" t="n"/>
      <c r="LP54" s="49" t="n"/>
      <c r="LQ54" s="49" t="n"/>
      <c r="LR54" s="49" t="n"/>
      <c r="LS54" s="49" t="n"/>
      <c r="LT54" s="49" t="n"/>
      <c r="LU54" s="49" t="n"/>
      <c r="LV54" s="49" t="n"/>
      <c r="LW54" s="49" t="n"/>
      <c r="LX54" s="49" t="n"/>
      <c r="LY54" s="49" t="n"/>
      <c r="LZ54" s="49" t="n"/>
      <c r="MA54" s="49" t="n"/>
      <c r="MB54" s="49" t="n"/>
      <c r="MC54" s="49" t="n"/>
      <c r="MD54" s="49" t="n"/>
      <c r="ME54" s="49" t="n"/>
      <c r="MF54" s="49" t="n"/>
      <c r="MG54" s="49" t="n"/>
    </row>
    <row r="55">
      <c r="A55" s="176" t="inlineStr">
        <is>
          <t>TAG INFANTIL</t>
        </is>
      </c>
      <c r="B55" s="170" t="n"/>
      <c r="C55" s="171" t="n">
        <v>19</v>
      </c>
      <c r="BF55" s="53" t="n"/>
      <c r="BG55" s="53" t="n"/>
      <c r="BH55" s="53" t="n"/>
      <c r="BI55" s="53" t="n"/>
      <c r="BJ55" s="53" t="n"/>
      <c r="BK55" s="53" t="n"/>
      <c r="BL55" s="53" t="n"/>
      <c r="BM55" s="53" t="n"/>
      <c r="BN55" s="53" t="n"/>
      <c r="BO55" s="53" t="n"/>
      <c r="BP55" s="53" t="n"/>
      <c r="BQ55" s="53" t="n"/>
      <c r="BR55" s="53" t="n"/>
      <c r="BS55" s="53" t="n"/>
      <c r="BT55" s="53" t="n"/>
      <c r="BU55" s="53" t="n"/>
      <c r="BV55" s="53" t="n"/>
      <c r="BW55" s="53" t="n"/>
      <c r="BX55" s="53" t="n"/>
      <c r="BY55" s="53" t="n"/>
      <c r="BZ55" s="53" t="n"/>
      <c r="CA55" s="53" t="n"/>
      <c r="CB55" s="53" t="n"/>
      <c r="CC55" s="53" t="n"/>
      <c r="CD55" s="53" t="n"/>
      <c r="CE55" s="53" t="n"/>
      <c r="CJ55" s="6" t="n"/>
      <c r="CK55" s="6" t="n"/>
      <c r="DF55" s="53" t="n"/>
      <c r="DK55" s="53" t="n"/>
      <c r="DS55" s="53" t="n"/>
      <c r="DU55" s="53" t="n"/>
      <c r="DZ55" s="53" t="n"/>
      <c r="EF55" s="53" t="n"/>
      <c r="EG55" s="53" t="n"/>
      <c r="EM55" s="314" t="n"/>
      <c r="EO55" s="61" t="n"/>
      <c r="EP55" s="57" t="n"/>
      <c r="EQ55" s="61" t="n"/>
      <c r="ES55" s="61" t="n"/>
      <c r="ET55" s="61" t="n"/>
      <c r="EU55" s="289" t="n"/>
      <c r="EV55" s="57" t="n"/>
      <c r="EW55" s="57" t="n"/>
      <c r="EX55" s="57" t="n"/>
      <c r="EY55" s="57" t="n"/>
      <c r="EZ55" s="57" t="n"/>
      <c r="FA55" s="57" t="n"/>
      <c r="FB55" s="289" t="n"/>
      <c r="FC55" s="57" t="n"/>
      <c r="FD55" s="57" t="n"/>
      <c r="FF55" s="57" t="n"/>
      <c r="FG55" s="57" t="n"/>
      <c r="FH55" s="57" t="n"/>
      <c r="FI55" s="57" t="n"/>
      <c r="FJ55" s="57" t="n"/>
      <c r="FK55" s="57" t="n"/>
      <c r="FM55" s="57" t="n"/>
      <c r="FN55" s="57" t="n"/>
      <c r="FO55" s="57" t="n"/>
      <c r="GF55" s="49" t="n"/>
      <c r="GG55" s="49" t="n"/>
      <c r="GH55" s="49" t="n"/>
      <c r="GI55" s="49" t="n"/>
      <c r="GJ55" s="49" t="n"/>
      <c r="GK55" s="49" t="n"/>
      <c r="GL55" s="49" t="n"/>
      <c r="GM55" s="49" t="n"/>
      <c r="GN55" s="49" t="n"/>
      <c r="GO55" s="49" t="n"/>
      <c r="GP55" s="49" t="n"/>
      <c r="GQ55" s="49" t="n"/>
      <c r="GR55" s="49" t="n"/>
      <c r="GS55" s="49" t="n"/>
      <c r="GT55" s="49" t="n"/>
      <c r="GU55" s="49" t="n"/>
      <c r="GV55" s="49" t="n"/>
      <c r="GW55" s="49" t="n"/>
      <c r="GX55" s="49" t="n"/>
      <c r="GY55" s="49" t="n"/>
      <c r="GZ55" s="49" t="n"/>
      <c r="HL55" s="49" t="n"/>
      <c r="HM55" s="49" t="n"/>
      <c r="HN55" s="49" t="n"/>
      <c r="HO55" s="49" t="n"/>
      <c r="HP55" s="49" t="n"/>
      <c r="HQ55" s="49" t="n"/>
      <c r="HR55" s="49" t="n"/>
      <c r="HS55" s="49" t="n"/>
      <c r="HT55" s="49" t="n"/>
      <c r="HU55" s="49" t="n"/>
      <c r="HV55" s="49" t="n"/>
      <c r="HW55" s="49" t="n"/>
      <c r="HZ55" s="49" t="n"/>
      <c r="IA55" s="49" t="n"/>
      <c r="IB55" s="49" t="n"/>
      <c r="IC55" s="49" t="n"/>
      <c r="ID55" s="49" t="n"/>
      <c r="IE55" s="49" t="n"/>
      <c r="IF55" s="49" t="n"/>
      <c r="IG55" s="49" t="n"/>
      <c r="IH55" s="49" t="n"/>
      <c r="II55" s="49" t="n"/>
      <c r="IJ55" s="49" t="n"/>
      <c r="IK55" s="49" t="n"/>
      <c r="IL55" s="49" t="n"/>
      <c r="IM55" s="49" t="n"/>
      <c r="IN55" s="49" t="n"/>
      <c r="IR55" s="49" t="n"/>
      <c r="IS55" s="49" t="n"/>
      <c r="IT55" s="49" t="n"/>
      <c r="IV55" s="49" t="n"/>
      <c r="IW55" s="49" t="n"/>
      <c r="IX55" s="49" t="n"/>
      <c r="IY55" s="49" t="n"/>
      <c r="IZ55" s="49" t="n"/>
      <c r="JA55" s="49" t="n"/>
      <c r="JB55" s="49" t="n"/>
      <c r="JC55" s="49" t="n"/>
      <c r="JD55" s="49" t="n"/>
      <c r="JE55" s="49" t="n"/>
      <c r="JF55" s="49" t="n"/>
      <c r="JG55" s="49" t="n"/>
      <c r="JH55" s="49" t="n"/>
      <c r="JI55" s="49" t="n"/>
      <c r="JJ55" s="49" t="n"/>
      <c r="JK55" s="49" t="n"/>
      <c r="JL55" s="49" t="n"/>
      <c r="JM55" s="49" t="n"/>
      <c r="JN55" s="49" t="n"/>
      <c r="JO55" s="49" t="n"/>
      <c r="JP55" s="49" t="n"/>
      <c r="JQ55" s="49" t="n"/>
      <c r="JR55" s="49" t="n"/>
      <c r="JS55" s="49" t="n"/>
      <c r="JT55" s="49" t="n"/>
      <c r="JU55" s="49" t="n"/>
      <c r="JV55" s="49" t="n"/>
      <c r="JW55" s="49" t="n"/>
      <c r="JX55" s="49" t="n"/>
      <c r="JY55" s="49" t="n"/>
      <c r="JZ55" s="49" t="n"/>
      <c r="KA55" s="49" t="n"/>
      <c r="KB55" s="49" t="n"/>
      <c r="KC55" s="49" t="n"/>
      <c r="KD55" s="167" t="n"/>
      <c r="KE55" s="49" t="n"/>
      <c r="KF55" s="167" t="n"/>
      <c r="KG55" s="49" t="n"/>
      <c r="KH55" s="49" t="n"/>
      <c r="KI55" s="49" t="n"/>
      <c r="KJ55" s="49" t="n"/>
      <c r="KK55" s="49" t="n"/>
      <c r="KL55" s="49" t="n"/>
      <c r="KM55" s="49" t="n"/>
      <c r="KN55" s="49" t="n"/>
      <c r="KO55" s="49" t="n"/>
      <c r="KP55" s="49" t="n"/>
      <c r="KQ55" s="168" t="n"/>
      <c r="KR55" s="49" t="n"/>
      <c r="KS55" s="49" t="n"/>
      <c r="KT55" s="49" t="n"/>
      <c r="KU55" s="49" t="n"/>
      <c r="KV55" s="49" t="n"/>
      <c r="KW55" s="49" t="n"/>
      <c r="KX55" s="49" t="n"/>
      <c r="KY55" s="49" t="n"/>
      <c r="KZ55" s="49" t="n"/>
      <c r="LA55" s="49" t="n"/>
      <c r="LB55" s="49" t="n"/>
      <c r="LC55" s="49" t="n"/>
      <c r="LD55" s="49" t="n"/>
      <c r="LE55" s="49" t="n"/>
      <c r="LF55" s="49" t="n"/>
      <c r="LG55" s="49" t="n"/>
      <c r="LH55" s="49" t="n"/>
      <c r="LI55" s="49" t="n"/>
      <c r="LJ55" s="49" t="n"/>
      <c r="LK55" s="49" t="n"/>
      <c r="LL55" s="49" t="n"/>
      <c r="LM55" s="49" t="n"/>
      <c r="LN55" s="49" t="n"/>
      <c r="LO55" s="49" t="n"/>
      <c r="LP55" s="49" t="n"/>
      <c r="LQ55" s="49" t="n"/>
      <c r="LR55" s="49" t="n"/>
      <c r="LS55" s="49" t="n"/>
      <c r="LT55" s="49" t="n"/>
      <c r="LU55" s="49" t="n"/>
      <c r="LV55" s="49" t="n"/>
      <c r="LW55" s="49" t="n"/>
      <c r="LX55" s="49" t="n"/>
      <c r="LY55" s="49" t="n"/>
      <c r="LZ55" s="49" t="n"/>
      <c r="MA55" s="49" t="n"/>
      <c r="MB55" s="49" t="n"/>
      <c r="MC55" s="49" t="n"/>
      <c r="MD55" s="49" t="n"/>
      <c r="ME55" s="49" t="n"/>
      <c r="MF55" s="49" t="n"/>
      <c r="MG55" s="49" t="n"/>
    </row>
    <row r="56">
      <c r="A56" s="337" t="n"/>
      <c r="B56" s="336" t="n"/>
      <c r="C56" s="336" t="n"/>
      <c r="CJ56" s="6" t="n"/>
      <c r="CK56" s="6" t="n"/>
      <c r="DF56" s="6" t="n"/>
      <c r="DK56" s="6" t="n"/>
      <c r="DS56" s="53" t="n"/>
      <c r="DU56" s="53" t="n"/>
      <c r="DZ56" s="53" t="n"/>
      <c r="EE56" s="6" t="n"/>
      <c r="EF56" s="53" t="n"/>
      <c r="EG56" s="53" t="n"/>
      <c r="EH56" s="6" t="n"/>
      <c r="EI56" s="6" t="n"/>
      <c r="EJ56" s="6" t="n"/>
      <c r="EK56" s="6" t="n"/>
      <c r="EL56" s="6" t="n"/>
      <c r="EM56" s="269" t="n"/>
      <c r="EN56" s="6" t="n"/>
      <c r="EP56" s="61" t="n"/>
      <c r="ER56" s="6" t="n"/>
      <c r="EU56" s="289" t="n"/>
      <c r="EV56" s="61" t="n"/>
      <c r="EW56" s="61" t="n"/>
      <c r="EX56" s="61" t="n"/>
      <c r="EY56" s="61" t="n"/>
      <c r="EZ56" s="61" t="n"/>
      <c r="FA56" s="61" t="n"/>
      <c r="FB56" s="289" t="n"/>
      <c r="FC56" s="61" t="n"/>
      <c r="FD56" s="61" t="n"/>
      <c r="FE56" s="6" t="n"/>
      <c r="FF56" s="61" t="n"/>
      <c r="FG56" s="61" t="n"/>
      <c r="FH56" s="61" t="n"/>
      <c r="FI56" s="61" t="n"/>
      <c r="FJ56" s="61" t="n"/>
      <c r="FK56" s="61" t="n"/>
      <c r="FM56" s="61" t="n"/>
      <c r="FN56" s="61" t="n"/>
      <c r="FO56" s="61" t="n"/>
      <c r="GF56" s="49" t="n"/>
      <c r="GG56" s="49" t="n"/>
      <c r="GH56" s="49" t="n"/>
      <c r="GI56" s="49" t="n"/>
      <c r="GJ56" s="49" t="n"/>
      <c r="GK56" s="49" t="n"/>
      <c r="GL56" s="49" t="n"/>
      <c r="GM56" s="49" t="n"/>
      <c r="GN56" s="49" t="n"/>
      <c r="GO56" s="49" t="n"/>
      <c r="GP56" s="49" t="n"/>
      <c r="GQ56" s="49" t="n"/>
      <c r="GR56" s="49" t="n"/>
      <c r="GS56" s="49" t="n"/>
      <c r="GT56" s="49" t="n"/>
      <c r="GU56" s="49" t="n"/>
      <c r="GV56" s="49" t="n"/>
      <c r="GW56" s="49" t="n"/>
      <c r="GX56" s="49" t="n"/>
      <c r="GY56" s="49" t="n"/>
      <c r="GZ56" s="49" t="n"/>
      <c r="HL56" s="49" t="n"/>
      <c r="HM56" s="49" t="n"/>
      <c r="HN56" s="49" t="n"/>
      <c r="HO56" s="49" t="n"/>
      <c r="HP56" s="49" t="n"/>
      <c r="HQ56" s="49" t="n"/>
      <c r="HR56" s="49" t="n"/>
      <c r="HS56" s="49" t="n"/>
      <c r="HT56" s="49" t="n"/>
      <c r="HU56" s="49" t="n"/>
      <c r="HV56" s="49" t="n"/>
      <c r="HW56" s="49" t="n"/>
      <c r="HZ56" s="49" t="n"/>
      <c r="IA56" s="49" t="n"/>
      <c r="IB56" s="49" t="n"/>
      <c r="IC56" s="49" t="n"/>
      <c r="ID56" s="49" t="n"/>
      <c r="IE56" s="49" t="n"/>
      <c r="IF56" s="49" t="n"/>
      <c r="IG56" s="49" t="n"/>
      <c r="IH56" s="49" t="n"/>
      <c r="II56" s="49" t="n"/>
      <c r="IJ56" s="49" t="n"/>
      <c r="IK56" s="49" t="n"/>
      <c r="IL56" s="49" t="n"/>
      <c r="IM56" s="49" t="n"/>
      <c r="IN56" s="49" t="n"/>
      <c r="IR56" s="49" t="n"/>
      <c r="IS56" s="49" t="n"/>
      <c r="IT56" s="49" t="n"/>
      <c r="IV56" s="49" t="n"/>
      <c r="IW56" s="49" t="n"/>
      <c r="IX56" s="49" t="n"/>
      <c r="IY56" s="49" t="n"/>
      <c r="IZ56" s="49" t="n"/>
      <c r="JA56" s="49" t="n"/>
      <c r="JB56" s="49" t="n"/>
      <c r="JC56" s="49" t="n"/>
      <c r="JD56" s="49" t="n"/>
      <c r="JE56" s="49" t="n"/>
      <c r="JF56" s="49" t="n"/>
      <c r="JG56" s="49" t="n"/>
      <c r="JH56" s="49" t="n"/>
      <c r="JI56" s="49" t="n"/>
      <c r="JJ56" s="49" t="n"/>
      <c r="JK56" s="49" t="n"/>
      <c r="JL56" s="49" t="n"/>
      <c r="JM56" s="49" t="n"/>
      <c r="JN56" s="49" t="n"/>
      <c r="JO56" s="49" t="n"/>
      <c r="JP56" s="49" t="n"/>
      <c r="JQ56" s="49" t="n"/>
      <c r="JR56" s="49" t="n"/>
      <c r="JS56" s="49" t="n"/>
      <c r="JT56" s="49" t="n"/>
      <c r="JU56" s="49" t="n"/>
      <c r="JV56" s="49" t="n"/>
      <c r="JW56" s="49" t="n"/>
      <c r="JX56" s="49" t="n"/>
      <c r="JY56" s="49" t="n"/>
      <c r="JZ56" s="49" t="n"/>
      <c r="KA56" s="49" t="n"/>
      <c r="KB56" s="49" t="n"/>
      <c r="KC56" s="49" t="n"/>
      <c r="KD56" s="167" t="n"/>
      <c r="KE56" s="49" t="n"/>
      <c r="KF56" s="167" t="n"/>
      <c r="KG56" s="49" t="n"/>
      <c r="KH56" s="49" t="n"/>
      <c r="KI56" s="49" t="n"/>
      <c r="KJ56" s="49" t="n"/>
      <c r="KK56" s="49" t="n"/>
      <c r="KL56" s="49" t="n"/>
      <c r="KM56" s="49" t="n"/>
      <c r="KN56" s="49" t="n"/>
      <c r="KO56" s="49" t="n"/>
      <c r="KP56" s="49" t="n"/>
      <c r="KQ56" s="168" t="n"/>
      <c r="KR56" s="49" t="n"/>
      <c r="KS56" s="49" t="n"/>
      <c r="KT56" s="49" t="n"/>
      <c r="KU56" s="49" t="n"/>
      <c r="KV56" s="49" t="n"/>
      <c r="KW56" s="49" t="n"/>
      <c r="KX56" s="49" t="n"/>
      <c r="KY56" s="49" t="n"/>
      <c r="KZ56" s="49" t="n"/>
      <c r="LA56" s="49" t="n"/>
      <c r="LB56" s="49" t="n"/>
      <c r="LC56" s="49" t="n"/>
      <c r="LD56" s="49" t="n"/>
      <c r="LE56" s="49" t="n"/>
      <c r="LF56" s="49" t="n"/>
      <c r="LG56" s="49" t="n"/>
      <c r="LH56" s="49" t="n"/>
      <c r="LI56" s="49" t="n"/>
      <c r="LJ56" s="49" t="n"/>
      <c r="LK56" s="49" t="n"/>
      <c r="LL56" s="49" t="n"/>
      <c r="LM56" s="49" t="n"/>
      <c r="LN56" s="49" t="n"/>
      <c r="LO56" s="49" t="n"/>
      <c r="LP56" s="49" t="n"/>
      <c r="LQ56" s="49" t="n"/>
      <c r="LR56" s="49" t="n"/>
      <c r="LS56" s="49" t="n"/>
      <c r="LT56" s="49" t="n"/>
      <c r="LU56" s="49" t="n"/>
      <c r="LV56" s="49" t="n"/>
      <c r="LW56" s="49" t="n"/>
      <c r="LX56" s="49" t="n"/>
      <c r="LY56" s="49" t="n"/>
      <c r="LZ56" s="49" t="n"/>
      <c r="MA56" s="49" t="n"/>
      <c r="MB56" s="49" t="n"/>
      <c r="MC56" s="49" t="n"/>
      <c r="MD56" s="49" t="n"/>
      <c r="ME56" s="49" t="n"/>
      <c r="MF56" s="49" t="n"/>
      <c r="MG56" s="49" t="n"/>
    </row>
    <row r="57">
      <c r="A57" s="176" t="inlineStr">
        <is>
          <t>SACOLAS G NATAL</t>
        </is>
      </c>
      <c r="B57" s="170" t="n"/>
      <c r="C57" s="171" t="n">
        <v>109</v>
      </c>
      <c r="CJ57" s="6" t="n"/>
      <c r="CK57" s="6" t="n"/>
      <c r="DF57" s="58" t="n"/>
      <c r="DK57" s="58" t="n"/>
      <c r="DS57" s="53" t="n"/>
      <c r="DT57" s="6" t="n"/>
      <c r="DU57" s="53" t="n"/>
      <c r="DY57" s="6" t="n"/>
      <c r="DZ57" s="53" t="n"/>
      <c r="EB57" s="6" t="n"/>
      <c r="EC57" s="6" t="n"/>
      <c r="ED57" s="6" t="n"/>
      <c r="EE57" s="6" t="n"/>
      <c r="EF57" s="53" t="n"/>
      <c r="EG57" s="53" t="n"/>
      <c r="EH57" s="6" t="n"/>
      <c r="EI57" s="6" t="n"/>
      <c r="EJ57" s="6" t="n"/>
      <c r="EK57" s="6" t="n"/>
      <c r="EL57" s="6" t="n"/>
      <c r="EM57" s="269" t="n"/>
      <c r="EN57" s="6" t="n"/>
      <c r="EP57" s="61" t="n"/>
      <c r="ER57" s="6" t="n"/>
      <c r="EU57" s="289" t="n"/>
      <c r="EV57" s="61" t="n"/>
      <c r="EW57" s="61" t="n"/>
      <c r="EX57" s="61" t="n"/>
      <c r="EY57" s="61" t="n"/>
      <c r="EZ57" s="61" t="n"/>
      <c r="FA57" s="61" t="n"/>
      <c r="FB57" s="289" t="n"/>
      <c r="FC57" s="61" t="n"/>
      <c r="FD57" s="61" t="n"/>
      <c r="FE57" s="6" t="n"/>
      <c r="FF57" s="61" t="n"/>
      <c r="FG57" s="61" t="n"/>
      <c r="FH57" s="61" t="n"/>
      <c r="FI57" s="61" t="n"/>
      <c r="FJ57" s="61" t="n"/>
      <c r="FK57" s="61" t="n"/>
      <c r="FM57" s="61" t="n"/>
      <c r="FN57" s="61" t="n"/>
      <c r="FO57" s="61" t="n"/>
      <c r="GF57" s="49" t="n"/>
      <c r="GG57" s="49" t="n"/>
      <c r="GH57" s="49" t="n"/>
      <c r="GI57" s="49" t="n"/>
      <c r="GJ57" s="49" t="n"/>
      <c r="GK57" s="49" t="n"/>
      <c r="GL57" s="49" t="n"/>
      <c r="GM57" s="49" t="n"/>
      <c r="GN57" s="49" t="n"/>
      <c r="GO57" s="49" t="n"/>
      <c r="GP57" s="49" t="n"/>
      <c r="GQ57" s="49" t="n"/>
      <c r="GR57" s="49" t="n"/>
      <c r="GS57" s="49" t="n"/>
      <c r="GT57" s="49" t="n"/>
      <c r="GU57" s="49" t="n"/>
      <c r="GV57" s="49" t="n"/>
      <c r="GW57" s="49" t="n"/>
      <c r="GX57" s="49" t="n"/>
      <c r="GY57" s="49" t="n"/>
      <c r="GZ57" s="49" t="n"/>
      <c r="HL57" s="49" t="n"/>
      <c r="HM57" s="49" t="n"/>
      <c r="HN57" s="49" t="n"/>
      <c r="HO57" s="49" t="n"/>
      <c r="HP57" s="49" t="n"/>
      <c r="HQ57" s="49" t="n"/>
      <c r="HR57" s="49" t="n"/>
      <c r="HS57" s="49" t="n"/>
      <c r="HT57" s="49" t="n"/>
      <c r="HU57" s="49" t="n"/>
      <c r="HV57" s="49" t="n"/>
      <c r="HW57" s="49" t="n"/>
      <c r="HZ57" s="49" t="n"/>
      <c r="IA57" s="49" t="n"/>
      <c r="IB57" s="49" t="n"/>
      <c r="IC57" s="49" t="n"/>
      <c r="ID57" s="49" t="n"/>
      <c r="IE57" s="49" t="n"/>
      <c r="IF57" s="49" t="n"/>
      <c r="IG57" s="49" t="n"/>
      <c r="IH57" s="49" t="n"/>
      <c r="II57" s="49" t="n"/>
      <c r="IJ57" s="49" t="n"/>
      <c r="IK57" s="49" t="n"/>
      <c r="IL57" s="49" t="n"/>
      <c r="IM57" s="49" t="n"/>
      <c r="IN57" s="49" t="n"/>
      <c r="IR57" s="49" t="n"/>
      <c r="IS57" s="49" t="n"/>
      <c r="IT57" s="49" t="n"/>
      <c r="IV57" s="49" t="n"/>
      <c r="IW57" s="49" t="n"/>
      <c r="IX57" s="49" t="n"/>
      <c r="IY57" s="49" t="n"/>
      <c r="IZ57" s="49" t="n"/>
      <c r="JA57" s="49" t="n"/>
      <c r="JB57" s="49" t="n"/>
      <c r="JC57" s="49" t="n"/>
      <c r="JD57" s="49" t="n"/>
      <c r="JE57" s="49" t="n"/>
      <c r="JF57" s="49" t="n"/>
      <c r="JG57" s="49" t="n"/>
      <c r="JH57" s="49" t="n"/>
      <c r="JI57" s="49" t="n"/>
      <c r="JJ57" s="49" t="n"/>
      <c r="JK57" s="49" t="n"/>
      <c r="JL57" s="49" t="n"/>
      <c r="JM57" s="49" t="n"/>
      <c r="JN57" s="49" t="n"/>
      <c r="JO57" s="49" t="n"/>
      <c r="JP57" s="49" t="n"/>
      <c r="JQ57" s="49" t="n"/>
      <c r="JR57" s="49" t="n"/>
      <c r="JS57" s="49" t="n"/>
      <c r="JT57" s="49" t="n"/>
      <c r="JU57" s="49" t="n"/>
      <c r="JV57" s="49" t="n"/>
      <c r="JW57" s="49" t="n"/>
      <c r="JX57" s="49" t="n"/>
      <c r="JY57" s="49" t="n"/>
      <c r="JZ57" s="49" t="n"/>
      <c r="KA57" s="49" t="n"/>
      <c r="KB57" s="49" t="n"/>
      <c r="KC57" s="49" t="n"/>
      <c r="KD57" s="167" t="n"/>
      <c r="KE57" s="49" t="n"/>
      <c r="KF57" s="167" t="n"/>
      <c r="KG57" s="49" t="n"/>
      <c r="KH57" s="49" t="n"/>
      <c r="KI57" s="49" t="n"/>
      <c r="KJ57" s="49" t="n"/>
      <c r="KK57" s="49" t="n"/>
      <c r="KL57" s="49" t="n"/>
      <c r="KM57" s="49" t="n"/>
      <c r="KN57" s="49" t="n"/>
      <c r="KO57" s="49" t="n"/>
      <c r="KP57" s="49" t="n"/>
      <c r="KQ57" s="168" t="n"/>
      <c r="KR57" s="49" t="n"/>
      <c r="KS57" s="49" t="n"/>
      <c r="KT57" s="49" t="n"/>
      <c r="KU57" s="49" t="n"/>
      <c r="KV57" s="49" t="n"/>
      <c r="KW57" s="49" t="n"/>
      <c r="KX57" s="49" t="n"/>
      <c r="KY57" s="49" t="n"/>
      <c r="KZ57" s="49" t="n"/>
      <c r="LA57" s="49" t="n"/>
      <c r="LB57" s="49" t="n"/>
      <c r="LC57" s="49" t="n"/>
      <c r="LD57" s="49" t="n"/>
      <c r="LE57" s="49" t="n"/>
      <c r="LF57" s="49" t="n"/>
      <c r="LG57" s="49" t="n"/>
      <c r="LH57" s="49" t="n"/>
      <c r="LI57" s="49" t="n"/>
      <c r="LJ57" s="49" t="n"/>
      <c r="LK57" s="49" t="n"/>
      <c r="LL57" s="49" t="n"/>
      <c r="LM57" s="49" t="n"/>
      <c r="LN57" s="49" t="n"/>
      <c r="LO57" s="49" t="n"/>
      <c r="LP57" s="49" t="n"/>
      <c r="LQ57" s="49" t="n"/>
      <c r="LR57" s="49" t="n"/>
      <c r="LS57" s="49" t="n"/>
      <c r="LT57" s="49" t="n"/>
      <c r="LU57" s="49" t="n"/>
      <c r="LV57" s="49" t="n"/>
      <c r="LW57" s="49" t="n"/>
      <c r="LX57" s="49" t="n"/>
      <c r="LY57" s="49" t="n"/>
      <c r="LZ57" s="49" t="n"/>
      <c r="MA57" s="49" t="n"/>
      <c r="MB57" s="49" t="n"/>
      <c r="MC57" s="49" t="n"/>
      <c r="MD57" s="49" t="n"/>
      <c r="ME57" s="49" t="n"/>
      <c r="MF57" s="49" t="n"/>
      <c r="MG57" s="49" t="n"/>
    </row>
    <row r="58">
      <c r="A58" s="335" t="n"/>
      <c r="B58" s="336" t="n"/>
      <c r="C58" s="336" t="n"/>
      <c r="CI58" s="6" t="n"/>
      <c r="CJ58" s="6" t="n"/>
      <c r="CK58" s="6" t="n"/>
      <c r="CW58" s="6" t="n"/>
      <c r="CX58" s="6" t="n"/>
      <c r="CY58" s="6" t="n"/>
      <c r="CZ58" s="6" t="n"/>
      <c r="DA58" s="6" t="n"/>
      <c r="DB58" s="6" t="n"/>
      <c r="DC58" s="6" t="n"/>
      <c r="DD58" s="6" t="n"/>
      <c r="DE58" s="6" t="n"/>
      <c r="DF58" s="58" t="n"/>
      <c r="DG58" s="6" t="n"/>
      <c r="DH58" s="6" t="n"/>
      <c r="DI58" s="6" t="n"/>
      <c r="DJ58" s="6" t="n"/>
      <c r="DK58" s="58" t="n"/>
      <c r="DL58" s="6" t="n"/>
      <c r="DM58" s="6" t="n"/>
      <c r="DN58" s="6" t="n"/>
      <c r="DO58" s="6" t="n"/>
      <c r="DP58" s="6" t="n"/>
      <c r="DQ58" s="6" t="n"/>
      <c r="DR58" s="6" t="n"/>
      <c r="DS58" s="53" t="n"/>
      <c r="DT58" s="6" t="n"/>
      <c r="DU58" s="53" t="n"/>
      <c r="DV58" s="6" t="n"/>
      <c r="DW58" s="6" t="n"/>
      <c r="DX58" s="6" t="n"/>
      <c r="DY58" s="6" t="n"/>
      <c r="DZ58" s="53" t="n"/>
      <c r="EB58" s="6" t="n"/>
      <c r="EC58" s="6" t="n"/>
      <c r="ED58" s="6" t="n"/>
      <c r="EE58" s="6" t="n"/>
      <c r="EF58" s="53" t="n"/>
      <c r="EG58" s="53" t="n"/>
      <c r="EH58" s="6" t="n"/>
      <c r="EI58" s="6" t="n"/>
      <c r="EJ58" s="6" t="n"/>
      <c r="EK58" s="6" t="n"/>
      <c r="EL58" s="6" t="n"/>
      <c r="EM58" s="269" t="n"/>
      <c r="EN58" s="6" t="n"/>
      <c r="ER58" s="6" t="n"/>
      <c r="EU58" s="289" t="n"/>
      <c r="FB58" s="289" t="n"/>
      <c r="FE58" s="6" t="n"/>
      <c r="GF58" s="49" t="n"/>
      <c r="GG58" s="49" t="n"/>
      <c r="GH58" s="49" t="n"/>
      <c r="GI58" s="49" t="n"/>
      <c r="GJ58" s="49" t="n"/>
      <c r="GK58" s="49" t="n"/>
      <c r="GL58" s="49" t="n"/>
      <c r="GM58" s="49" t="n"/>
      <c r="GN58" s="49" t="n"/>
      <c r="GO58" s="49" t="n"/>
      <c r="GP58" s="49" t="n"/>
      <c r="GQ58" s="49" t="n"/>
      <c r="GR58" s="49" t="n"/>
      <c r="GS58" s="49" t="n"/>
      <c r="GT58" s="49" t="n"/>
      <c r="GU58" s="49" t="n"/>
      <c r="GV58" s="49" t="n"/>
      <c r="GW58" s="49" t="n"/>
      <c r="GX58" s="49" t="n"/>
      <c r="GY58" s="49" t="n"/>
      <c r="GZ58" s="49" t="n"/>
      <c r="HL58" s="49" t="n"/>
      <c r="HM58" s="49" t="n"/>
      <c r="HN58" s="49" t="n"/>
      <c r="HO58" s="49" t="n"/>
      <c r="HP58" s="49" t="n"/>
      <c r="HQ58" s="49" t="n"/>
      <c r="HR58" s="49" t="n"/>
      <c r="HS58" s="49" t="n"/>
      <c r="HT58" s="49" t="n"/>
      <c r="HU58" s="49" t="n"/>
      <c r="HV58" s="49" t="n"/>
      <c r="HW58" s="49" t="n"/>
      <c r="HZ58" s="49" t="n"/>
      <c r="IA58" s="49" t="n"/>
      <c r="IB58" s="49" t="n"/>
      <c r="IC58" s="49" t="n"/>
      <c r="ID58" s="49" t="n"/>
      <c r="IE58" s="49" t="n"/>
      <c r="IF58" s="49" t="n"/>
      <c r="IG58" s="49" t="n"/>
      <c r="IH58" s="49" t="n"/>
      <c r="II58" s="49" t="n"/>
      <c r="IJ58" s="49" t="n"/>
      <c r="IK58" s="49" t="n"/>
      <c r="IL58" s="49" t="n"/>
      <c r="IM58" s="49" t="n"/>
      <c r="IN58" s="49" t="n"/>
      <c r="IR58" s="49" t="n"/>
      <c r="IS58" s="49" t="n"/>
      <c r="IT58" s="49" t="n"/>
      <c r="IV58" s="49" t="n"/>
      <c r="IW58" s="49" t="n"/>
      <c r="IX58" s="49" t="n"/>
      <c r="IY58" s="49" t="n"/>
      <c r="IZ58" s="49" t="n"/>
      <c r="JA58" s="49" t="n"/>
      <c r="JB58" s="49" t="n"/>
      <c r="JC58" s="49" t="n"/>
      <c r="JD58" s="49" t="n"/>
      <c r="JE58" s="49" t="n"/>
      <c r="JF58" s="49" t="n"/>
      <c r="JG58" s="49" t="n"/>
      <c r="JH58" s="49" t="n"/>
      <c r="JI58" s="49" t="n"/>
      <c r="JJ58" s="49" t="n"/>
      <c r="JK58" s="49" t="n"/>
      <c r="JL58" s="49" t="n"/>
      <c r="JM58" s="49" t="n"/>
      <c r="JN58" s="49" t="n"/>
      <c r="JO58" s="49" t="n"/>
      <c r="JP58" s="49" t="n"/>
      <c r="JQ58" s="49" t="n"/>
      <c r="JR58" s="49" t="n"/>
      <c r="JS58" s="49" t="n"/>
      <c r="JT58" s="49" t="n"/>
      <c r="JU58" s="49" t="n"/>
      <c r="JV58" s="49" t="n"/>
      <c r="JW58" s="49" t="n"/>
      <c r="JX58" s="49" t="n"/>
      <c r="JY58" s="49" t="n"/>
      <c r="JZ58" s="49" t="n"/>
      <c r="KA58" s="49" t="n"/>
      <c r="KB58" s="49" t="n"/>
      <c r="KC58" s="49" t="n"/>
      <c r="KD58" s="167" t="n"/>
      <c r="KE58" s="49" t="n"/>
      <c r="KF58" s="167" t="n"/>
      <c r="KG58" s="49" t="n"/>
      <c r="KH58" s="49" t="n"/>
      <c r="KI58" s="49" t="n"/>
      <c r="KJ58" s="49" t="n"/>
      <c r="KK58" s="49" t="n"/>
      <c r="KL58" s="49" t="n"/>
      <c r="KM58" s="49" t="n"/>
      <c r="KN58" s="49" t="n"/>
      <c r="KO58" s="49" t="n"/>
      <c r="KP58" s="49" t="n"/>
      <c r="KQ58" s="168" t="n"/>
      <c r="KR58" s="49" t="n"/>
      <c r="KS58" s="49" t="n"/>
      <c r="KT58" s="49" t="n"/>
      <c r="KU58" s="49" t="n"/>
      <c r="KV58" s="49" t="n"/>
      <c r="KW58" s="49" t="n"/>
      <c r="KX58" s="49" t="n"/>
      <c r="KY58" s="49" t="n"/>
      <c r="KZ58" s="49" t="n"/>
      <c r="LA58" s="49" t="n"/>
      <c r="LB58" s="49" t="n"/>
      <c r="LC58" s="49" t="n"/>
      <c r="LD58" s="49" t="n"/>
      <c r="LE58" s="49" t="n"/>
      <c r="LF58" s="49" t="n"/>
      <c r="LG58" s="49" t="n"/>
      <c r="LH58" s="49" t="n"/>
      <c r="LI58" s="49" t="n"/>
      <c r="LJ58" s="49" t="n"/>
      <c r="LK58" s="49" t="n"/>
      <c r="LL58" s="49" t="n"/>
      <c r="LM58" s="49" t="n"/>
      <c r="LN58" s="49" t="n"/>
      <c r="LO58" s="49" t="n"/>
      <c r="LP58" s="49" t="n"/>
      <c r="LQ58" s="49" t="n"/>
      <c r="LR58" s="49" t="n"/>
      <c r="LS58" s="49" t="n"/>
      <c r="LT58" s="49" t="n"/>
      <c r="LU58" s="49" t="n"/>
      <c r="LV58" s="49" t="n"/>
      <c r="LW58" s="49" t="n"/>
      <c r="LX58" s="49" t="n"/>
      <c r="LY58" s="49" t="n"/>
      <c r="LZ58" s="49" t="n"/>
      <c r="MA58" s="49" t="n"/>
      <c r="MB58" s="49" t="n"/>
      <c r="MC58" s="49" t="n"/>
      <c r="MD58" s="49" t="n"/>
      <c r="ME58" s="49" t="n"/>
      <c r="MF58" s="49" t="n"/>
      <c r="MG58" s="49" t="n"/>
    </row>
    <row r="59">
      <c r="A59" s="193" t="inlineStr">
        <is>
          <t>CARTUCHO P MÃES/24</t>
        </is>
      </c>
      <c r="B59" s="192" t="n"/>
      <c r="C59" s="171" t="n">
        <v>1</v>
      </c>
      <c r="CH59" s="6" t="n"/>
      <c r="CI59" s="6" t="n"/>
      <c r="CJ59" s="6" t="n"/>
      <c r="CK59" s="6" t="n"/>
      <c r="CW59" s="6" t="n"/>
      <c r="CX59" s="6" t="n"/>
      <c r="CY59" s="6" t="n"/>
      <c r="CZ59" s="6" t="n"/>
      <c r="DA59" s="6" t="n"/>
      <c r="DB59" s="6" t="n"/>
      <c r="DC59" s="6" t="n"/>
      <c r="DD59" s="6" t="n"/>
      <c r="DE59" s="6" t="n"/>
      <c r="DG59" s="6" t="n"/>
      <c r="DH59" s="6" t="n"/>
      <c r="DI59" s="6" t="n"/>
      <c r="DJ59" s="6" t="n"/>
      <c r="DL59" s="6" t="n"/>
      <c r="DM59" s="6" t="n"/>
      <c r="DN59" s="6" t="n"/>
      <c r="DO59" s="6" t="n"/>
      <c r="DP59" s="6" t="n"/>
      <c r="DQ59" s="6" t="n"/>
      <c r="DR59" s="6" t="n"/>
      <c r="DS59" s="53" t="n"/>
      <c r="DT59" s="6" t="n"/>
      <c r="DU59" s="53" t="n"/>
      <c r="DV59" s="6" t="n"/>
      <c r="DW59" s="6" t="n"/>
      <c r="DX59" s="6" t="n"/>
      <c r="DY59" s="6" t="n"/>
      <c r="DZ59" s="53" t="n"/>
      <c r="EB59" s="6" t="n"/>
      <c r="EC59" s="6" t="n"/>
      <c r="ED59" s="6" t="n"/>
      <c r="EE59" s="6" t="n"/>
      <c r="EF59" s="53" t="n"/>
      <c r="EG59" s="53" t="n"/>
      <c r="EH59" s="6" t="n"/>
      <c r="EI59" s="6" t="n"/>
      <c r="EJ59" s="6" t="n"/>
      <c r="EK59" s="6" t="n"/>
      <c r="EL59" s="6" t="n"/>
      <c r="EM59" s="269" t="n"/>
      <c r="EN59" s="6" t="n"/>
      <c r="ER59" s="6" t="n"/>
      <c r="EU59" s="289" t="n"/>
      <c r="FB59" s="289" t="n"/>
      <c r="FE59" s="6" t="n"/>
      <c r="GF59" s="49" t="n"/>
      <c r="GG59" s="49" t="n"/>
      <c r="GH59" s="49" t="n"/>
      <c r="GI59" s="49" t="n"/>
      <c r="GJ59" s="49" t="n"/>
      <c r="GK59" s="49" t="n"/>
      <c r="GL59" s="49" t="n"/>
      <c r="GM59" s="49" t="n"/>
      <c r="GN59" s="49" t="n"/>
      <c r="GO59" s="49" t="n"/>
      <c r="GP59" s="49" t="n"/>
      <c r="GQ59" s="49" t="n"/>
      <c r="GR59" s="49" t="n"/>
      <c r="GS59" s="49" t="n"/>
      <c r="GT59" s="49" t="n"/>
      <c r="GU59" s="49" t="n"/>
      <c r="GV59" s="49" t="n"/>
      <c r="GW59" s="49" t="n"/>
      <c r="GX59" s="49" t="n"/>
      <c r="GY59" s="49" t="n"/>
      <c r="GZ59" s="49" t="n"/>
      <c r="HL59" s="49" t="n"/>
      <c r="HM59" s="49" t="n"/>
      <c r="HN59" s="49" t="n"/>
      <c r="HO59" s="49" t="n"/>
      <c r="HP59" s="49" t="n"/>
      <c r="HQ59" s="49" t="n"/>
      <c r="HR59" s="49" t="n"/>
      <c r="HS59" s="49" t="n"/>
      <c r="HT59" s="49" t="n"/>
      <c r="HU59" s="49" t="n"/>
      <c r="HV59" s="49" t="n"/>
      <c r="HW59" s="49" t="n"/>
      <c r="HZ59" s="49" t="n"/>
      <c r="IA59" s="49" t="n"/>
      <c r="IB59" s="49" t="n"/>
      <c r="IC59" s="49" t="n"/>
      <c r="ID59" s="49" t="n"/>
      <c r="IE59" s="49" t="n"/>
      <c r="IF59" s="49" t="n"/>
      <c r="IG59" s="49" t="n"/>
      <c r="IH59" s="49" t="n"/>
      <c r="II59" s="49" t="n"/>
      <c r="IJ59" s="49" t="n"/>
      <c r="IK59" s="49" t="n"/>
      <c r="IL59" s="49" t="n"/>
      <c r="IM59" s="49" t="n"/>
      <c r="IN59" s="49" t="n"/>
      <c r="IR59" s="49" t="n"/>
      <c r="IS59" s="49" t="n"/>
      <c r="IT59" s="49" t="n"/>
      <c r="IV59" s="49" t="n"/>
      <c r="IW59" s="49" t="n"/>
      <c r="IX59" s="49" t="n"/>
      <c r="IY59" s="49" t="n"/>
      <c r="IZ59" s="49" t="n"/>
      <c r="JA59" s="49" t="n"/>
      <c r="JB59" s="49" t="n"/>
      <c r="JC59" s="49" t="n"/>
      <c r="JD59" s="49" t="n"/>
      <c r="JE59" s="49" t="n"/>
      <c r="JF59" s="49" t="n"/>
      <c r="JG59" s="49" t="n"/>
      <c r="JH59" s="49" t="n"/>
      <c r="JI59" s="49" t="n"/>
      <c r="JJ59" s="49" t="n"/>
      <c r="JK59" s="49" t="n"/>
      <c r="JL59" s="49" t="n"/>
      <c r="JM59" s="49" t="n"/>
      <c r="JN59" s="49" t="n"/>
      <c r="JO59" s="49" t="n"/>
      <c r="JP59" s="49" t="n"/>
      <c r="JQ59" s="49" t="n"/>
      <c r="JR59" s="49" t="n"/>
      <c r="JS59" s="49" t="n"/>
      <c r="JT59" s="49" t="n"/>
      <c r="JU59" s="49" t="n"/>
      <c r="JV59" s="49" t="n"/>
      <c r="JW59" s="49" t="n"/>
      <c r="JX59" s="49" t="n"/>
      <c r="JY59" s="49" t="n"/>
      <c r="JZ59" s="49" t="n"/>
      <c r="KA59" s="49" t="n"/>
      <c r="KB59" s="49" t="n"/>
      <c r="KC59" s="49" t="n"/>
      <c r="KD59" s="167" t="n"/>
      <c r="KE59" s="49" t="n"/>
      <c r="KF59" s="167" t="n"/>
      <c r="KG59" s="49" t="n"/>
      <c r="KH59" s="49" t="n"/>
      <c r="KI59" s="49" t="n"/>
      <c r="KJ59" s="49" t="n"/>
      <c r="KK59" s="49" t="n"/>
      <c r="KL59" s="49" t="n"/>
      <c r="KM59" s="49" t="n"/>
      <c r="KN59" s="49" t="n"/>
      <c r="KO59" s="49" t="n"/>
      <c r="KP59" s="49" t="n"/>
      <c r="KQ59" s="168" t="n"/>
      <c r="KR59" s="49" t="n"/>
      <c r="KS59" s="49" t="n"/>
      <c r="KT59" s="49" t="n"/>
      <c r="KU59" s="49" t="n"/>
      <c r="KV59" s="49" t="n"/>
      <c r="KW59" s="49" t="n"/>
      <c r="KX59" s="49" t="n"/>
      <c r="KY59" s="49" t="n"/>
      <c r="KZ59" s="49" t="n"/>
      <c r="LA59" s="49" t="n"/>
      <c r="LB59" s="49" t="n"/>
      <c r="LC59" s="49" t="n"/>
      <c r="LD59" s="49" t="n"/>
      <c r="LE59" s="49" t="n"/>
      <c r="LF59" s="49" t="n"/>
      <c r="LG59" s="49" t="n"/>
      <c r="LH59" s="49" t="n"/>
      <c r="LI59" s="49" t="n"/>
      <c r="LJ59" s="49" t="n"/>
      <c r="LK59" s="49" t="n"/>
      <c r="LL59" s="49" t="n"/>
      <c r="LM59" s="49" t="n"/>
      <c r="LN59" s="49" t="n"/>
      <c r="LO59" s="49" t="n"/>
      <c r="LP59" s="49" t="n"/>
      <c r="LQ59" s="49" t="n"/>
      <c r="LR59" s="49" t="n"/>
      <c r="LS59" s="49" t="n"/>
      <c r="LT59" s="49" t="n"/>
      <c r="LU59" s="49" t="n"/>
      <c r="LV59" s="49" t="n"/>
      <c r="LW59" s="49" t="n"/>
      <c r="LX59" s="49" t="n"/>
      <c r="LY59" s="49" t="n"/>
      <c r="LZ59" s="49" t="n"/>
      <c r="MA59" s="49" t="n"/>
      <c r="MB59" s="49" t="n"/>
      <c r="MC59" s="49" t="n"/>
      <c r="MD59" s="49" t="n"/>
      <c r="ME59" s="49" t="n"/>
      <c r="MF59" s="49" t="n"/>
      <c r="MG59" s="49" t="n"/>
    </row>
    <row r="60">
      <c r="A60" s="335" t="n"/>
      <c r="B60" s="336" t="n"/>
      <c r="C60" s="336" t="n"/>
      <c r="CH60" s="6" t="n"/>
      <c r="CI60" s="6" t="n"/>
      <c r="CJ60" s="6" t="n"/>
      <c r="CK60" s="6" t="n"/>
      <c r="CW60" s="6" t="n"/>
      <c r="CX60" s="6" t="n"/>
      <c r="CY60" s="6" t="n"/>
      <c r="CZ60" s="6" t="n"/>
      <c r="DA60" s="6" t="n"/>
      <c r="DB60" s="6" t="n"/>
      <c r="DC60" s="6" t="n"/>
      <c r="DD60" s="6" t="n"/>
      <c r="DE60" s="6" t="n"/>
      <c r="DG60" s="6" t="n"/>
      <c r="DH60" s="6" t="n"/>
      <c r="DI60" s="6" t="n"/>
      <c r="DJ60" s="6" t="n"/>
      <c r="DL60" s="6" t="n"/>
      <c r="DM60" s="6" t="n"/>
      <c r="DN60" s="6" t="n"/>
      <c r="DO60" s="6" t="n"/>
      <c r="DP60" s="6" t="n"/>
      <c r="DQ60" s="6" t="n"/>
      <c r="DR60" s="6" t="n"/>
      <c r="DS60" s="53" t="n"/>
      <c r="DT60" s="6" t="n"/>
      <c r="DU60" s="53" t="n"/>
      <c r="DV60" s="6" t="n"/>
      <c r="DW60" s="6" t="n"/>
      <c r="DX60" s="6" t="n"/>
      <c r="DY60" s="6" t="n"/>
      <c r="DZ60" s="53" t="n"/>
      <c r="EB60" s="6" t="n"/>
      <c r="EC60" s="6" t="n"/>
      <c r="ED60" s="6" t="n"/>
      <c r="EE60" s="6" t="n"/>
      <c r="EF60" s="6" t="n"/>
      <c r="EG60" s="53" t="n"/>
      <c r="EH60" s="6" t="n"/>
      <c r="EI60" s="6" t="n"/>
      <c r="EJ60" s="6" t="n"/>
      <c r="EK60" s="6" t="n"/>
      <c r="EL60" s="6" t="n"/>
      <c r="EM60" s="269" t="n"/>
      <c r="EN60" s="6" t="n"/>
      <c r="EO60" s="6" t="n"/>
      <c r="EQ60" s="6" t="n"/>
      <c r="ER60" s="6" t="n"/>
      <c r="ES60" s="6" t="n"/>
      <c r="ET60" s="6" t="n"/>
      <c r="EU60" s="289" t="n"/>
      <c r="FB60" s="289" t="n"/>
      <c r="FE60" s="6" t="n"/>
      <c r="FL60" s="6" t="n"/>
      <c r="GF60" s="49" t="n"/>
      <c r="GG60" s="49" t="n"/>
      <c r="GH60" s="49" t="n"/>
      <c r="GI60" s="49" t="n"/>
      <c r="GJ60" s="49" t="n"/>
      <c r="GK60" s="49" t="n"/>
      <c r="GL60" s="49" t="n"/>
      <c r="GM60" s="49" t="n"/>
      <c r="GN60" s="49" t="n"/>
      <c r="GO60" s="49" t="n"/>
      <c r="GP60" s="49" t="n"/>
      <c r="GQ60" s="49" t="n"/>
      <c r="GR60" s="49" t="n"/>
      <c r="GS60" s="49" t="n"/>
      <c r="GT60" s="49" t="n"/>
      <c r="GU60" s="49" t="n"/>
      <c r="GV60" s="49" t="n"/>
      <c r="GW60" s="49" t="n"/>
      <c r="GX60" s="49" t="n"/>
      <c r="GY60" s="49" t="n"/>
      <c r="GZ60" s="49" t="n"/>
      <c r="HL60" s="49" t="n"/>
      <c r="HM60" s="49" t="n"/>
      <c r="HN60" s="49" t="n"/>
      <c r="HO60" s="49" t="n"/>
      <c r="HP60" s="49" t="n"/>
      <c r="HQ60" s="49" t="n"/>
      <c r="HR60" s="49" t="n"/>
      <c r="HS60" s="49" t="n"/>
      <c r="HT60" s="49" t="n"/>
      <c r="HU60" s="49" t="n"/>
      <c r="HV60" s="49" t="n"/>
      <c r="HW60" s="49" t="n"/>
      <c r="HZ60" s="49" t="n"/>
      <c r="IA60" s="49" t="n"/>
      <c r="IB60" s="49" t="n"/>
      <c r="IC60" s="49" t="n"/>
      <c r="ID60" s="49" t="n"/>
      <c r="IE60" s="49" t="n"/>
      <c r="IF60" s="49" t="n"/>
      <c r="IG60" s="49" t="n"/>
      <c r="IH60" s="49" t="n"/>
      <c r="II60" s="49" t="n"/>
      <c r="IJ60" s="49" t="n"/>
      <c r="IK60" s="49" t="n"/>
      <c r="IL60" s="49" t="n"/>
      <c r="IM60" s="49" t="n"/>
      <c r="IN60" s="49" t="n"/>
      <c r="IR60" s="49" t="n"/>
      <c r="IS60" s="49" t="n"/>
      <c r="IT60" s="49" t="n"/>
      <c r="IV60" s="49" t="n"/>
      <c r="IW60" s="49" t="n"/>
      <c r="IX60" s="49" t="n"/>
      <c r="IY60" s="49" t="n"/>
      <c r="IZ60" s="49" t="n"/>
      <c r="JA60" s="49" t="n"/>
      <c r="JB60" s="49" t="n"/>
      <c r="JC60" s="49" t="n"/>
      <c r="JD60" s="49" t="n"/>
      <c r="JE60" s="49" t="n"/>
      <c r="JF60" s="49" t="n"/>
      <c r="JG60" s="49" t="n"/>
      <c r="JH60" s="49" t="n"/>
      <c r="JI60" s="49" t="n"/>
      <c r="JJ60" s="49" t="n"/>
      <c r="JK60" s="49" t="n"/>
      <c r="JL60" s="49" t="n"/>
      <c r="JM60" s="49" t="n"/>
      <c r="JN60" s="49" t="n"/>
      <c r="JO60" s="49" t="n"/>
      <c r="JP60" s="49" t="n"/>
      <c r="JQ60" s="49" t="n"/>
      <c r="JR60" s="49" t="n"/>
      <c r="JS60" s="49" t="n"/>
      <c r="JT60" s="49" t="n"/>
      <c r="JU60" s="49" t="n"/>
      <c r="JV60" s="49" t="n"/>
      <c r="JW60" s="49" t="n"/>
      <c r="JX60" s="49" t="n"/>
      <c r="JY60" s="49" t="n"/>
      <c r="JZ60" s="49" t="n"/>
      <c r="KA60" s="49" t="n"/>
      <c r="KB60" s="49" t="n"/>
      <c r="KC60" s="49" t="n"/>
      <c r="KD60" s="167" t="n"/>
      <c r="KE60" s="49" t="n"/>
      <c r="KF60" s="167" t="n"/>
      <c r="KG60" s="49" t="n"/>
      <c r="KH60" s="49" t="n"/>
      <c r="KI60" s="49" t="n"/>
      <c r="KJ60" s="49" t="n"/>
      <c r="KK60" s="49" t="n"/>
      <c r="KL60" s="49" t="n"/>
      <c r="KM60" s="49" t="n"/>
      <c r="KN60" s="49" t="n"/>
      <c r="KO60" s="49" t="n"/>
      <c r="KP60" s="49" t="n"/>
      <c r="KQ60" s="168" t="n"/>
      <c r="KR60" s="49" t="n"/>
      <c r="KS60" s="49" t="n"/>
      <c r="KT60" s="49" t="n"/>
      <c r="KU60" s="49" t="n"/>
      <c r="KV60" s="49" t="n"/>
      <c r="KW60" s="49" t="n"/>
      <c r="KX60" s="49" t="n"/>
      <c r="KY60" s="49" t="n"/>
      <c r="KZ60" s="49" t="n"/>
      <c r="LA60" s="49" t="n"/>
      <c r="LB60" s="49" t="n"/>
      <c r="LC60" s="49" t="n"/>
      <c r="LD60" s="49" t="n"/>
      <c r="LE60" s="49" t="n"/>
      <c r="LF60" s="49" t="n"/>
      <c r="LG60" s="49" t="n"/>
      <c r="LH60" s="49" t="n"/>
      <c r="LI60" s="49" t="n"/>
      <c r="LJ60" s="49" t="n"/>
      <c r="LK60" s="49" t="n"/>
      <c r="LL60" s="49" t="n"/>
      <c r="LM60" s="49" t="n"/>
      <c r="LN60" s="49" t="n"/>
      <c r="LO60" s="49" t="n"/>
      <c r="LP60" s="49" t="n"/>
      <c r="LQ60" s="49" t="n"/>
      <c r="LR60" s="49" t="n"/>
      <c r="LS60" s="49" t="n"/>
      <c r="LT60" s="49" t="n"/>
      <c r="LU60" s="49" t="n"/>
      <c r="LV60" s="49" t="n"/>
      <c r="LW60" s="49" t="n"/>
      <c r="LX60" s="49" t="n"/>
      <c r="LY60" s="49" t="n"/>
      <c r="LZ60" s="49" t="n"/>
      <c r="MA60" s="49" t="n"/>
      <c r="MB60" s="49" t="n"/>
      <c r="MC60" s="49" t="n"/>
      <c r="MD60" s="49" t="n"/>
      <c r="ME60" s="49" t="n"/>
      <c r="MF60" s="49" t="n"/>
      <c r="MG60" s="49" t="n"/>
    </row>
    <row r="61">
      <c r="A61" s="215" t="inlineStr">
        <is>
          <t>TAG PAIS/24</t>
        </is>
      </c>
      <c r="B61" s="178" t="n"/>
      <c r="C61" s="115" t="n">
        <v>600</v>
      </c>
      <c r="CH61" s="6" t="n"/>
      <c r="CI61" s="6" t="n"/>
      <c r="CJ61" s="6" t="n"/>
      <c r="CK61" s="6" t="n"/>
      <c r="CW61" s="6" t="n"/>
      <c r="CX61" s="6" t="n"/>
      <c r="CY61" s="6" t="n"/>
      <c r="CZ61" s="6" t="n"/>
      <c r="DA61" s="6" t="n"/>
      <c r="DB61" s="6" t="n"/>
      <c r="DC61" s="6" t="n"/>
      <c r="DD61" s="6" t="n"/>
      <c r="DE61" s="6" t="n"/>
      <c r="DG61" s="6" t="n"/>
      <c r="DH61" s="6" t="n"/>
      <c r="DI61" s="6" t="n"/>
      <c r="DJ61" s="6" t="n"/>
      <c r="DL61" s="6" t="n"/>
      <c r="DM61" s="6" t="n"/>
      <c r="DN61" s="6" t="n"/>
      <c r="DO61" s="6" t="n"/>
      <c r="DP61" s="6" t="n"/>
      <c r="DQ61" s="6" t="n"/>
      <c r="DR61" s="6" t="n"/>
      <c r="DS61" s="53" t="n"/>
      <c r="DT61" s="6" t="n"/>
      <c r="DU61" s="53" t="n"/>
      <c r="DV61" s="6" t="n"/>
      <c r="DW61" s="6" t="n"/>
      <c r="DX61" s="6" t="n"/>
      <c r="DY61" s="6" t="n"/>
      <c r="DZ61" s="6" t="n"/>
      <c r="EA61" s="6" t="n"/>
      <c r="EB61" s="6" t="n"/>
      <c r="EC61" s="6" t="n"/>
      <c r="ED61" s="6" t="n"/>
      <c r="EE61" s="6" t="n"/>
      <c r="EF61" s="6" t="n"/>
      <c r="EG61" s="6" t="n"/>
      <c r="EH61" s="6" t="n"/>
      <c r="EI61" s="6" t="n"/>
      <c r="EJ61" s="6" t="n"/>
      <c r="EK61" s="6" t="n"/>
      <c r="EL61" s="6" t="n"/>
      <c r="EM61" s="269" t="n"/>
      <c r="EN61" s="6" t="n"/>
      <c r="EO61" s="6" t="n"/>
      <c r="EQ61" s="6" t="n"/>
      <c r="ER61" s="6" t="n"/>
      <c r="ES61" s="6" t="n"/>
      <c r="ET61" s="6" t="n"/>
      <c r="EU61" s="289" t="n"/>
      <c r="FB61" s="289" t="n"/>
      <c r="FE61" s="6" t="n"/>
      <c r="FL61" s="6" t="n"/>
      <c r="GF61" s="49" t="n"/>
      <c r="GG61" s="49" t="n"/>
      <c r="GH61" s="49" t="n"/>
      <c r="GI61" s="49" t="n"/>
      <c r="GJ61" s="49" t="n"/>
      <c r="GK61" s="49" t="n"/>
      <c r="GL61" s="49" t="n"/>
      <c r="GM61" s="49" t="n"/>
      <c r="GN61" s="49" t="n"/>
      <c r="GO61" s="49" t="n"/>
      <c r="GP61" s="49" t="n"/>
      <c r="GQ61" s="49" t="n"/>
      <c r="GR61" s="49" t="n"/>
      <c r="GS61" s="49" t="n"/>
      <c r="GT61" s="49" t="n"/>
      <c r="GU61" s="49" t="n"/>
      <c r="GV61" s="49" t="n"/>
      <c r="GW61" s="49" t="n"/>
      <c r="GX61" s="49" t="n"/>
      <c r="GY61" s="49" t="n"/>
      <c r="GZ61" s="49" t="n"/>
      <c r="HL61" s="49" t="n"/>
      <c r="HM61" s="49" t="n"/>
      <c r="HN61" s="49" t="n"/>
      <c r="HO61" s="49" t="n"/>
      <c r="HP61" s="49" t="n"/>
      <c r="HQ61" s="49" t="n"/>
      <c r="HR61" s="49" t="n"/>
      <c r="HS61" s="49" t="n"/>
      <c r="HT61" s="49" t="n"/>
      <c r="HU61" s="49" t="n"/>
      <c r="HV61" s="49" t="n"/>
      <c r="HW61" s="49" t="n"/>
      <c r="HZ61" s="49" t="n"/>
      <c r="IA61" s="49" t="n"/>
      <c r="IB61" s="49" t="n"/>
      <c r="IC61" s="49" t="n"/>
      <c r="ID61" s="49" t="n"/>
      <c r="IE61" s="49" t="n"/>
      <c r="IF61" s="49" t="n"/>
      <c r="IG61" s="49" t="n"/>
      <c r="IH61" s="49" t="n"/>
      <c r="II61" s="49" t="n"/>
      <c r="IJ61" s="49" t="n"/>
      <c r="IK61" s="49" t="n"/>
      <c r="IL61" s="49" t="n"/>
      <c r="IM61" s="49" t="n"/>
      <c r="IN61" s="49" t="n"/>
      <c r="IR61" s="49" t="n"/>
      <c r="IS61" s="49" t="n"/>
      <c r="IT61" s="49" t="n"/>
      <c r="IV61" s="49" t="n"/>
      <c r="IW61" s="49" t="n"/>
      <c r="IX61" s="49" t="n"/>
      <c r="IY61" s="49" t="n"/>
      <c r="IZ61" s="49" t="n"/>
      <c r="JA61" s="49" t="n"/>
      <c r="JB61" s="49" t="n"/>
      <c r="JC61" s="49" t="n"/>
      <c r="JD61" s="49" t="n"/>
      <c r="JE61" s="49" t="n"/>
      <c r="JF61" s="49" t="n"/>
      <c r="JG61" s="49" t="n"/>
      <c r="JH61" s="49" t="n"/>
      <c r="JI61" s="49" t="n"/>
      <c r="JJ61" s="49" t="n"/>
      <c r="JK61" s="49" t="n"/>
      <c r="JL61" s="49" t="n"/>
      <c r="JM61" s="49" t="n"/>
      <c r="JN61" s="49" t="n"/>
      <c r="JO61" s="49" t="n"/>
      <c r="JP61" s="49" t="n"/>
      <c r="JQ61" s="49" t="n"/>
      <c r="JR61" s="49" t="n"/>
      <c r="JS61" s="49" t="n"/>
      <c r="JT61" s="49" t="n"/>
      <c r="JU61" s="49" t="n"/>
      <c r="JV61" s="49" t="n"/>
      <c r="JW61" s="49" t="n"/>
      <c r="JX61" s="49" t="n"/>
      <c r="JY61" s="49" t="n"/>
      <c r="JZ61" s="49" t="n"/>
      <c r="KA61" s="49" t="n"/>
      <c r="KB61" s="49" t="n"/>
      <c r="KC61" s="49" t="n"/>
      <c r="KD61" s="167" t="n"/>
      <c r="KE61" s="49" t="n"/>
      <c r="KF61" s="167" t="n"/>
      <c r="KG61" s="49" t="n"/>
      <c r="KH61" s="49" t="n"/>
      <c r="KI61" s="49" t="n"/>
      <c r="KJ61" s="49" t="n"/>
      <c r="KK61" s="49" t="n"/>
      <c r="KL61" s="49" t="n"/>
      <c r="KM61" s="49" t="n"/>
      <c r="KN61" s="49" t="n"/>
      <c r="KO61" s="49" t="n"/>
      <c r="KP61" s="49" t="n"/>
      <c r="KQ61" s="168" t="n"/>
      <c r="KR61" s="49" t="n"/>
      <c r="KS61" s="49" t="n"/>
      <c r="KT61" s="49" t="n"/>
      <c r="KU61" s="49" t="n"/>
      <c r="KV61" s="49" t="n"/>
      <c r="KW61" s="49" t="n"/>
      <c r="KX61" s="49" t="n"/>
      <c r="KY61" s="49" t="n"/>
      <c r="KZ61" s="49" t="n"/>
      <c r="LA61" s="49" t="n"/>
      <c r="LB61" s="49" t="n"/>
      <c r="LC61" s="49" t="n"/>
      <c r="LD61" s="49" t="n"/>
      <c r="LE61" s="49" t="n"/>
      <c r="LF61" s="49" t="n"/>
      <c r="LG61" s="49" t="n"/>
      <c r="LH61" s="49" t="n"/>
      <c r="LI61" s="49" t="n"/>
      <c r="LJ61" s="49" t="n"/>
      <c r="LK61" s="49" t="n"/>
      <c r="LL61" s="49" t="n"/>
      <c r="LM61" s="49" t="n"/>
      <c r="LN61" s="49" t="n"/>
      <c r="LO61" s="49" t="n"/>
      <c r="LP61" s="49" t="n"/>
      <c r="LQ61" s="49" t="n"/>
      <c r="LR61" s="49" t="n"/>
      <c r="LS61" s="49" t="n"/>
      <c r="LT61" s="49" t="n"/>
      <c r="LU61" s="49" t="n"/>
      <c r="LV61" s="49" t="n"/>
      <c r="LW61" s="49" t="n"/>
      <c r="LX61" s="49" t="n"/>
      <c r="LY61" s="49" t="n"/>
      <c r="LZ61" s="49" t="n"/>
      <c r="MA61" s="49" t="n"/>
      <c r="MB61" s="49" t="n"/>
      <c r="MC61" s="49" t="n"/>
      <c r="MD61" s="49" t="n"/>
      <c r="ME61" s="49" t="n"/>
      <c r="MF61" s="49" t="n"/>
      <c r="MG61" s="49" t="n"/>
    </row>
    <row r="62">
      <c r="C62" s="191" t="n"/>
      <c r="D62" s="191" t="n"/>
      <c r="CH62" s="6" t="n"/>
      <c r="CI62" s="6" t="n"/>
      <c r="CJ62" s="6" t="n"/>
      <c r="CK62" s="6" t="n"/>
      <c r="CW62" s="6" t="n"/>
      <c r="CX62" s="6" t="n"/>
      <c r="CY62" s="6" t="n"/>
      <c r="CZ62" s="6" t="n"/>
      <c r="DA62" s="6" t="n"/>
      <c r="DB62" s="6" t="n"/>
      <c r="DC62" s="6" t="n"/>
      <c r="DD62" s="6" t="n"/>
      <c r="DE62" s="6" t="n"/>
      <c r="DG62" s="6" t="n"/>
      <c r="DH62" s="6" t="n"/>
      <c r="DI62" s="6" t="n"/>
      <c r="DJ62" s="6" t="n"/>
      <c r="DL62" s="6" t="n"/>
      <c r="DM62" s="6" t="n"/>
      <c r="DN62" s="6" t="n"/>
      <c r="DO62" s="6" t="n"/>
      <c r="DP62" s="6" t="n"/>
      <c r="DQ62" s="6" t="n"/>
      <c r="DR62" s="6" t="n"/>
      <c r="DS62" s="6" t="n"/>
      <c r="DT62" s="6" t="n"/>
      <c r="DU62" s="6" t="n"/>
      <c r="DV62" s="6" t="n"/>
      <c r="DW62" s="6" t="n"/>
      <c r="DX62" s="6" t="n"/>
      <c r="DY62" s="6" t="n"/>
      <c r="DZ62" s="6" t="n"/>
      <c r="EA62" s="6" t="n"/>
      <c r="EB62" s="6" t="n"/>
      <c r="EC62" s="6" t="n"/>
      <c r="ED62" s="6" t="n"/>
      <c r="EE62" s="6" t="n"/>
      <c r="EF62" s="58" t="n"/>
      <c r="EG62" s="6" t="n"/>
      <c r="EH62" s="6" t="n"/>
      <c r="EI62" s="6" t="n"/>
      <c r="EJ62" s="6" t="n"/>
      <c r="EK62" s="6" t="n"/>
      <c r="EL62" s="6" t="n"/>
      <c r="EM62" s="269" t="n"/>
      <c r="EN62" s="6" t="n"/>
      <c r="EO62" s="6" t="n"/>
      <c r="EP62" s="6" t="n"/>
      <c r="EQ62" s="6" t="n"/>
      <c r="ER62" s="6" t="n"/>
      <c r="ES62" s="6" t="n"/>
      <c r="ET62" s="6" t="n"/>
      <c r="EU62" s="289" t="n"/>
      <c r="EV62" s="6" t="n"/>
      <c r="EW62" s="6" t="n"/>
      <c r="EX62" s="6" t="n"/>
      <c r="EY62" s="6" t="n"/>
      <c r="EZ62" s="6" t="n"/>
      <c r="FA62" s="6" t="n"/>
      <c r="FB62" s="289" t="n"/>
      <c r="FC62" s="6" t="n"/>
      <c r="FD62" s="6" t="n"/>
      <c r="FE62" s="6" t="n"/>
      <c r="FF62" s="6" t="n"/>
      <c r="FG62" s="6" t="n"/>
      <c r="FH62" s="6" t="n"/>
      <c r="FI62" s="6" t="n"/>
      <c r="FJ62" s="6" t="n"/>
      <c r="FK62" s="6" t="n"/>
      <c r="FL62" s="6" t="n"/>
      <c r="FM62" s="6" t="n"/>
      <c r="FN62" s="6" t="n"/>
      <c r="FO62" s="6" t="n"/>
      <c r="GF62" s="49" t="n"/>
      <c r="GG62" s="49" t="n"/>
      <c r="GH62" s="49" t="n"/>
      <c r="GI62" s="49" t="n"/>
      <c r="GJ62" s="49" t="n"/>
      <c r="GK62" s="49" t="n"/>
      <c r="GL62" s="49" t="n"/>
      <c r="GM62" s="49" t="n"/>
      <c r="GN62" s="49" t="n"/>
      <c r="GO62" s="49" t="n"/>
      <c r="GP62" s="49" t="n"/>
      <c r="GQ62" s="49" t="n"/>
      <c r="GR62" s="49" t="n"/>
      <c r="GS62" s="49" t="n"/>
      <c r="GT62" s="49" t="n"/>
      <c r="GU62" s="49" t="n"/>
      <c r="GV62" s="49" t="n"/>
      <c r="GW62" s="49" t="n"/>
      <c r="GX62" s="49" t="n"/>
      <c r="GY62" s="49" t="n"/>
      <c r="GZ62" s="49" t="n"/>
      <c r="HL62" s="49" t="n"/>
      <c r="HM62" s="49" t="n"/>
      <c r="HN62" s="49" t="n"/>
      <c r="HO62" s="49" t="n"/>
      <c r="HP62" s="49" t="n"/>
      <c r="HQ62" s="49" t="n"/>
      <c r="HR62" s="49" t="n"/>
      <c r="HS62" s="49" t="n"/>
      <c r="HT62" s="49" t="n"/>
      <c r="HU62" s="49" t="n"/>
      <c r="HV62" s="49" t="n"/>
      <c r="HW62" s="49" t="n"/>
      <c r="HZ62" s="49" t="n"/>
      <c r="IA62" s="49" t="n"/>
      <c r="IB62" s="49" t="n"/>
      <c r="IC62" s="49" t="n"/>
      <c r="ID62" s="49" t="n"/>
      <c r="IE62" s="49" t="n"/>
      <c r="IF62" s="49" t="n"/>
      <c r="IG62" s="49" t="n"/>
      <c r="IH62" s="49" t="n"/>
      <c r="II62" s="49" t="n"/>
      <c r="IJ62" s="49" t="n"/>
      <c r="IK62" s="49" t="n"/>
      <c r="IL62" s="49" t="n"/>
      <c r="IM62" s="49" t="n"/>
      <c r="IN62" s="49" t="n"/>
      <c r="IR62" s="49" t="n"/>
      <c r="IS62" s="49" t="n"/>
      <c r="IT62" s="49" t="n"/>
      <c r="IV62" s="49" t="n"/>
      <c r="IW62" s="49" t="n"/>
      <c r="IX62" s="49" t="n"/>
      <c r="IY62" s="49" t="n"/>
      <c r="IZ62" s="49" t="n"/>
      <c r="JA62" s="49" t="n"/>
      <c r="JB62" s="49" t="n"/>
      <c r="JC62" s="49" t="n"/>
      <c r="JD62" s="49" t="n"/>
      <c r="JE62" s="49" t="n"/>
      <c r="JF62" s="49" t="n"/>
      <c r="JG62" s="49" t="n"/>
      <c r="JH62" s="49" t="n"/>
      <c r="JI62" s="49" t="n"/>
      <c r="JJ62" s="49" t="n"/>
      <c r="JK62" s="49" t="n"/>
      <c r="JL62" s="49" t="n"/>
      <c r="JM62" s="49" t="n"/>
      <c r="JN62" s="49" t="n"/>
      <c r="JO62" s="49" t="n"/>
      <c r="JP62" s="49" t="n"/>
      <c r="JQ62" s="49" t="n"/>
      <c r="JR62" s="49" t="n"/>
      <c r="JS62" s="49" t="n"/>
      <c r="JT62" s="49" t="n"/>
      <c r="JU62" s="49" t="n"/>
      <c r="JV62" s="49" t="n"/>
      <c r="JW62" s="49" t="n"/>
      <c r="JX62" s="49" t="n"/>
      <c r="JY62" s="49" t="n"/>
      <c r="JZ62" s="49" t="n"/>
      <c r="KA62" s="49" t="n"/>
      <c r="KB62" s="49" t="n"/>
      <c r="KC62" s="49" t="n"/>
      <c r="KD62" s="167" t="n"/>
      <c r="KE62" s="49" t="n"/>
      <c r="KF62" s="167" t="n"/>
      <c r="KG62" s="49" t="n"/>
      <c r="KH62" s="49" t="n"/>
      <c r="KI62" s="49" t="n"/>
      <c r="KJ62" s="49" t="n"/>
      <c r="KK62" s="49" t="n"/>
      <c r="KL62" s="49" t="n"/>
      <c r="KM62" s="49" t="n"/>
      <c r="KN62" s="49" t="n"/>
      <c r="KO62" s="49" t="n"/>
      <c r="KP62" s="49" t="n"/>
      <c r="KQ62" s="168" t="n"/>
      <c r="KR62" s="49" t="n"/>
      <c r="KS62" s="49" t="n"/>
      <c r="KT62" s="49" t="n"/>
      <c r="KU62" s="49" t="n"/>
      <c r="KV62" s="49" t="n"/>
      <c r="KW62" s="49" t="n"/>
      <c r="KX62" s="49" t="n"/>
      <c r="KY62" s="49" t="n"/>
      <c r="KZ62" s="49" t="n"/>
      <c r="LA62" s="49" t="n"/>
      <c r="LB62" s="49" t="n"/>
      <c r="LC62" s="49" t="n"/>
      <c r="LD62" s="49" t="n"/>
      <c r="LE62" s="49" t="n"/>
      <c r="LF62" s="49" t="n"/>
      <c r="LG62" s="49" t="n"/>
      <c r="LH62" s="49" t="n"/>
      <c r="LI62" s="49" t="n"/>
      <c r="LJ62" s="49" t="n"/>
      <c r="LK62" s="49" t="n"/>
      <c r="LL62" s="49" t="n"/>
      <c r="LM62" s="49" t="n"/>
      <c r="LN62" s="49" t="n"/>
      <c r="LO62" s="49" t="n"/>
      <c r="LP62" s="49" t="n"/>
      <c r="LQ62" s="49" t="n"/>
      <c r="LR62" s="49" t="n"/>
      <c r="LS62" s="49" t="n"/>
      <c r="LT62" s="49" t="n"/>
      <c r="LU62" s="49" t="n"/>
      <c r="LV62" s="49" t="n"/>
      <c r="LW62" s="49" t="n"/>
      <c r="LX62" s="49" t="n"/>
      <c r="LY62" s="49" t="n"/>
      <c r="LZ62" s="49" t="n"/>
      <c r="MA62" s="49" t="n"/>
      <c r="MB62" s="49" t="n"/>
      <c r="MC62" s="49" t="n"/>
      <c r="MD62" s="49" t="n"/>
      <c r="ME62" s="49" t="n"/>
      <c r="MF62" s="49" t="n"/>
      <c r="MG62" s="49" t="n"/>
    </row>
    <row r="63">
      <c r="CH63" s="6" t="n"/>
      <c r="CI63" s="6" t="n"/>
      <c r="CJ63" s="6" t="n"/>
      <c r="CK63" s="6" t="n"/>
      <c r="CW63" s="6" t="n"/>
      <c r="CX63" s="6" t="n"/>
      <c r="CY63" s="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L63" s="6" t="n"/>
      <c r="DM63" s="6" t="n"/>
      <c r="DN63" s="6" t="n"/>
      <c r="DO63" s="6" t="n"/>
      <c r="DP63" s="6" t="n"/>
      <c r="DQ63" s="6" t="n"/>
      <c r="DR63" s="6" t="n"/>
      <c r="DS63" s="6" t="n"/>
      <c r="DT63" s="6" t="n"/>
      <c r="DU63" s="6" t="n"/>
      <c r="DV63" s="6" t="n"/>
      <c r="DW63" s="6" t="n"/>
      <c r="DX63" s="6" t="n"/>
      <c r="DY63" s="6" t="n"/>
      <c r="DZ63" s="58" t="n"/>
      <c r="EA63" s="6" t="n"/>
      <c r="EB63" s="6" t="n"/>
      <c r="EC63" s="6" t="n"/>
      <c r="ED63" s="6" t="n"/>
      <c r="EE63" s="6" t="n"/>
      <c r="EF63" s="58" t="n"/>
      <c r="EG63" s="58" t="n"/>
      <c r="EH63" s="6" t="n"/>
      <c r="EI63" s="6" t="n"/>
      <c r="EJ63" s="6" t="n"/>
      <c r="EK63" s="6" t="n"/>
      <c r="EL63" s="6" t="n"/>
      <c r="EM63" s="269" t="n"/>
      <c r="EN63" s="6" t="n"/>
      <c r="EO63" s="6" t="n"/>
      <c r="EP63" s="6" t="n"/>
      <c r="EQ63" s="6" t="n"/>
      <c r="ER63" s="6" t="n"/>
      <c r="ES63" s="6" t="n"/>
      <c r="ET63" s="6" t="n"/>
      <c r="EU63" s="290" t="n"/>
      <c r="EV63" s="6" t="n"/>
      <c r="EW63" s="6" t="n"/>
      <c r="EX63" s="6" t="n"/>
      <c r="EY63" s="6" t="n"/>
      <c r="EZ63" s="6" t="n"/>
      <c r="FA63" s="6" t="n"/>
      <c r="FB63" s="290" t="n"/>
      <c r="FC63" s="6" t="n"/>
      <c r="FD63" s="6" t="n"/>
      <c r="FE63" s="6" t="n"/>
      <c r="FF63" s="6" t="n"/>
      <c r="FG63" s="6" t="n"/>
      <c r="FH63" s="6" t="n"/>
      <c r="FI63" s="6" t="n"/>
      <c r="FJ63" s="6" t="n"/>
      <c r="FK63" s="6" t="n"/>
      <c r="FM63" s="6" t="n"/>
      <c r="FN63" s="6" t="n"/>
      <c r="FO63" s="6" t="n"/>
      <c r="GF63" s="49" t="n"/>
      <c r="GG63" s="49" t="n"/>
      <c r="GH63" s="49" t="n"/>
      <c r="GI63" s="49" t="n"/>
      <c r="GJ63" s="49" t="n"/>
      <c r="GK63" s="49" t="n"/>
      <c r="GL63" s="49" t="n"/>
      <c r="GM63" s="49" t="n"/>
      <c r="GN63" s="49" t="n"/>
      <c r="GO63" s="49" t="n"/>
      <c r="GP63" s="49" t="n"/>
      <c r="GQ63" s="49" t="n"/>
      <c r="GR63" s="49" t="n"/>
      <c r="GS63" s="49" t="n"/>
      <c r="GT63" s="49" t="n"/>
      <c r="GU63" s="49" t="n"/>
      <c r="GV63" s="49" t="n"/>
      <c r="GW63" s="49" t="n"/>
      <c r="GX63" s="49" t="n"/>
      <c r="GY63" s="49" t="n"/>
      <c r="GZ63" s="49" t="n"/>
      <c r="HL63" s="49" t="n"/>
      <c r="HM63" s="49" t="n"/>
      <c r="HN63" s="49" t="n"/>
      <c r="HO63" s="49" t="n"/>
      <c r="HP63" s="49" t="n"/>
      <c r="HQ63" s="49" t="n"/>
      <c r="HR63" s="49" t="n"/>
      <c r="HS63" s="49" t="n"/>
      <c r="HT63" s="49" t="n"/>
      <c r="HU63" s="49" t="n"/>
      <c r="HV63" s="49" t="n"/>
      <c r="HW63" s="49" t="n"/>
      <c r="HZ63" s="49" t="n"/>
      <c r="IA63" s="49" t="n"/>
      <c r="IB63" s="49" t="n"/>
      <c r="IC63" s="49" t="n"/>
      <c r="ID63" s="49" t="n"/>
      <c r="IE63" s="49" t="n"/>
      <c r="IF63" s="49" t="n"/>
      <c r="IG63" s="49" t="n"/>
      <c r="IH63" s="49" t="n"/>
      <c r="II63" s="49" t="n"/>
      <c r="IJ63" s="49" t="n"/>
      <c r="IK63" s="49" t="n"/>
      <c r="IL63" s="49" t="n"/>
      <c r="IM63" s="49" t="n"/>
      <c r="IN63" s="49" t="n"/>
      <c r="IR63" s="49" t="n"/>
      <c r="IS63" s="49" t="n"/>
      <c r="IT63" s="49" t="n"/>
      <c r="IV63" s="49" t="n"/>
      <c r="IW63" s="49" t="n"/>
      <c r="IX63" s="49" t="n"/>
      <c r="IY63" s="49" t="n"/>
      <c r="IZ63" s="49" t="n"/>
      <c r="JA63" s="49" t="n"/>
      <c r="JB63" s="49" t="n"/>
      <c r="JC63" s="49" t="n"/>
      <c r="JD63" s="49" t="n"/>
      <c r="JE63" s="49" t="n"/>
      <c r="JF63" s="49" t="n"/>
      <c r="JG63" s="49" t="n"/>
      <c r="JH63" s="49" t="n"/>
      <c r="JI63" s="49" t="n"/>
      <c r="JJ63" s="49" t="n"/>
      <c r="JK63" s="49" t="n"/>
      <c r="JL63" s="49" t="n"/>
      <c r="JM63" s="49" t="n"/>
      <c r="JN63" s="49" t="n"/>
      <c r="JO63" s="49" t="n"/>
      <c r="JP63" s="49" t="n"/>
      <c r="JQ63" s="49" t="n"/>
      <c r="JR63" s="49" t="n"/>
      <c r="JS63" s="49" t="n"/>
      <c r="JT63" s="49" t="n"/>
      <c r="JU63" s="49" t="n"/>
      <c r="JV63" s="49" t="n"/>
      <c r="JW63" s="49" t="n"/>
      <c r="JX63" s="49" t="n"/>
      <c r="JY63" s="49" t="n"/>
      <c r="JZ63" s="49" t="n"/>
      <c r="KA63" s="49" t="n"/>
      <c r="KB63" s="49" t="n"/>
      <c r="KC63" s="49" t="n"/>
      <c r="KD63" s="167" t="n"/>
      <c r="KE63" s="49" t="n"/>
      <c r="KF63" s="167" t="n"/>
      <c r="KG63" s="49" t="n"/>
      <c r="KH63" s="49" t="n"/>
      <c r="KI63" s="49" t="n"/>
      <c r="KJ63" s="49" t="n"/>
      <c r="KK63" s="49" t="n"/>
      <c r="KL63" s="49" t="n"/>
      <c r="KM63" s="49" t="n"/>
      <c r="KN63" s="49" t="n"/>
      <c r="KO63" s="49" t="n"/>
      <c r="KP63" s="49" t="n"/>
      <c r="KQ63" s="168" t="n"/>
      <c r="KR63" s="49" t="n"/>
      <c r="KS63" s="49" t="n"/>
      <c r="KT63" s="49" t="n"/>
      <c r="KU63" s="49" t="n"/>
      <c r="KV63" s="49" t="n"/>
      <c r="KW63" s="49" t="n"/>
      <c r="KX63" s="49" t="n"/>
      <c r="KY63" s="49" t="n"/>
      <c r="KZ63" s="49" t="n"/>
      <c r="LA63" s="49" t="n"/>
      <c r="LB63" s="49" t="n"/>
      <c r="LC63" s="49" t="n"/>
      <c r="LD63" s="49" t="n"/>
      <c r="LE63" s="49" t="n"/>
      <c r="LF63" s="49" t="n"/>
      <c r="LG63" s="49" t="n"/>
      <c r="LH63" s="49" t="n"/>
      <c r="LI63" s="49" t="n"/>
      <c r="LJ63" s="49" t="n"/>
      <c r="LK63" s="49" t="n"/>
      <c r="LL63" s="49" t="n"/>
      <c r="LM63" s="49" t="n"/>
      <c r="LN63" s="49" t="n"/>
      <c r="LO63" s="49" t="n"/>
      <c r="LP63" s="49" t="n"/>
      <c r="LQ63" s="49" t="n"/>
      <c r="LR63" s="49" t="n"/>
      <c r="LS63" s="49" t="n"/>
      <c r="LT63" s="49" t="n"/>
      <c r="LU63" s="49" t="n"/>
      <c r="LV63" s="49" t="n"/>
      <c r="LW63" s="49" t="n"/>
      <c r="LX63" s="49" t="n"/>
      <c r="LY63" s="49" t="n"/>
      <c r="LZ63" s="49" t="n"/>
      <c r="MA63" s="49" t="n"/>
      <c r="MB63" s="49" t="n"/>
      <c r="MC63" s="49" t="n"/>
      <c r="MD63" s="49" t="n"/>
      <c r="ME63" s="49" t="n"/>
      <c r="MF63" s="49" t="n"/>
      <c r="MG63" s="49" t="n"/>
    </row>
    <row r="64">
      <c r="A64" s="699" t="inlineStr">
        <is>
          <t>FLACONETES</t>
        </is>
      </c>
      <c r="B64" s="658" t="n"/>
      <c r="C64" s="658" t="n"/>
      <c r="D64" s="670" t="n"/>
      <c r="F64" s="671" t="n">
        <v>45656</v>
      </c>
      <c r="G64" s="671" t="n">
        <v>45663</v>
      </c>
      <c r="H64" s="671" t="n">
        <v>45670</v>
      </c>
      <c r="I64" s="671" t="n">
        <v>45677</v>
      </c>
      <c r="J64" s="671" t="n">
        <v>45684</v>
      </c>
      <c r="K64" s="671" t="n">
        <v>45691</v>
      </c>
      <c r="L64" s="671" t="n">
        <v>45698</v>
      </c>
      <c r="M64" s="671" t="n">
        <v>45705</v>
      </c>
      <c r="N64" s="671" t="n">
        <v>45712</v>
      </c>
      <c r="O64" s="671" t="n">
        <v>45719</v>
      </c>
      <c r="P64" s="671" t="n">
        <v>45726</v>
      </c>
      <c r="Q64" s="671" t="n">
        <v>45733</v>
      </c>
      <c r="R64" s="671" t="n">
        <v>45740</v>
      </c>
      <c r="S64" s="671" t="n">
        <v>45747</v>
      </c>
      <c r="T64" s="671" t="n">
        <v>45754</v>
      </c>
      <c r="U64" s="671" t="n">
        <v>45761</v>
      </c>
      <c r="V64" s="671" t="n">
        <v>45768</v>
      </c>
      <c r="W64" s="671" t="n">
        <v>45775</v>
      </c>
      <c r="X64" s="671" t="n">
        <v>45782</v>
      </c>
      <c r="Y64" s="671" t="n">
        <v>45789</v>
      </c>
      <c r="Z64" s="671" t="n">
        <v>45796</v>
      </c>
      <c r="AA64" s="671" t="n">
        <v>45803</v>
      </c>
      <c r="AB64" s="671" t="n">
        <v>45810</v>
      </c>
      <c r="AC64" s="671" t="n">
        <v>45817</v>
      </c>
      <c r="AD64" s="671" t="n">
        <v>45824</v>
      </c>
      <c r="AE64" s="671" t="n">
        <v>45831</v>
      </c>
      <c r="AF64" s="671" t="n">
        <v>45838</v>
      </c>
      <c r="AG64" s="671" t="n">
        <v>45845</v>
      </c>
      <c r="AH64" s="671" t="n">
        <v>45852</v>
      </c>
      <c r="AI64" s="671" t="n">
        <v>45859</v>
      </c>
      <c r="AJ64" s="671" t="n">
        <v>45866</v>
      </c>
      <c r="AK64" s="671" t="n">
        <v>45873</v>
      </c>
      <c r="AL64" s="671" t="n">
        <v>45880</v>
      </c>
      <c r="AM64" s="671" t="n">
        <v>45887</v>
      </c>
      <c r="AN64" s="671" t="n">
        <v>45894</v>
      </c>
      <c r="AO64" s="671" t="n">
        <v>45901</v>
      </c>
      <c r="AP64" s="671" t="n">
        <v>45908</v>
      </c>
      <c r="AQ64" s="671" t="n">
        <v>45915</v>
      </c>
      <c r="AR64" s="671" t="n">
        <v>45922</v>
      </c>
      <c r="AS64" s="671" t="n">
        <v>45929</v>
      </c>
      <c r="AT64" s="671" t="n">
        <v>45936</v>
      </c>
      <c r="AU64" s="671" t="n">
        <v>45943</v>
      </c>
      <c r="AV64" s="671" t="n">
        <v>45950</v>
      </c>
      <c r="AW64" s="671" t="n">
        <v>45957</v>
      </c>
      <c r="AX64" s="671" t="n">
        <v>45964</v>
      </c>
      <c r="AY64" s="671" t="n">
        <v>45971</v>
      </c>
      <c r="AZ64" s="671" t="n">
        <v>45978</v>
      </c>
      <c r="BA64" s="671" t="n">
        <v>45985</v>
      </c>
      <c r="BB64" s="671" t="n">
        <v>45992</v>
      </c>
      <c r="BC64" s="671" t="n">
        <v>45999</v>
      </c>
      <c r="BD64" s="671" t="n">
        <v>46006</v>
      </c>
      <c r="BE64" s="671" t="n">
        <v>46013</v>
      </c>
      <c r="BF64" s="671" t="n">
        <v>46020</v>
      </c>
      <c r="BG64" s="671" t="n">
        <v>46027</v>
      </c>
      <c r="BH64" s="671" t="n">
        <v>46034</v>
      </c>
      <c r="BI64" s="671" t="n">
        <v>46041</v>
      </c>
      <c r="BJ64" s="671" t="n">
        <v>46048</v>
      </c>
      <c r="BK64" s="671" t="n">
        <v>46055</v>
      </c>
      <c r="BL64" s="671" t="n">
        <v>46062</v>
      </c>
      <c r="BM64" s="671" t="n">
        <v>46069</v>
      </c>
      <c r="BN64" s="671" t="n">
        <v>46076</v>
      </c>
      <c r="BO64" s="671" t="n">
        <v>46083</v>
      </c>
      <c r="BP64" s="671" t="n">
        <v>46090</v>
      </c>
      <c r="BQ64" s="671" t="n">
        <v>46097</v>
      </c>
      <c r="BR64" s="671" t="n">
        <v>46104</v>
      </c>
      <c r="BS64" s="671" t="n">
        <v>46111</v>
      </c>
      <c r="BT64" s="671" t="n">
        <v>46118</v>
      </c>
      <c r="BU64" s="671" t="n">
        <v>46125</v>
      </c>
      <c r="BV64" s="671" t="n">
        <v>46132</v>
      </c>
      <c r="BW64" s="671" t="n">
        <v>46139</v>
      </c>
      <c r="BX64" s="671" t="n">
        <v>46146</v>
      </c>
      <c r="BY64" s="671" t="n">
        <v>46154</v>
      </c>
      <c r="BZ64" s="671" t="n">
        <v>46160</v>
      </c>
      <c r="CA64" s="671" t="n">
        <v>46160</v>
      </c>
      <c r="CB64" s="671" t="n">
        <v>46160</v>
      </c>
      <c r="CC64" s="672" t="n">
        <v>46161.48002969907</v>
      </c>
      <c r="CD64" s="672" t="n">
        <v>46161.48070943287</v>
      </c>
      <c r="CE64" s="672" t="n">
        <v>46161.48286777327</v>
      </c>
      <c r="CH64" s="6" t="n"/>
      <c r="CI64" s="6" t="n"/>
      <c r="CJ64" s="6" t="n"/>
      <c r="CK64" s="6" t="n"/>
      <c r="CW64" s="6" t="n"/>
      <c r="CX64" s="6" t="n"/>
      <c r="CY64" s="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6" t="n"/>
      <c r="DQ64" s="6" t="n"/>
      <c r="DR64" s="6" t="n"/>
      <c r="DS64" s="58" t="n"/>
      <c r="DT64" s="6" t="n"/>
      <c r="DU64" s="58" t="n"/>
      <c r="DV64" s="6" t="n"/>
      <c r="DW64" s="6" t="n"/>
      <c r="DX64" s="6" t="n"/>
      <c r="DY64" s="6" t="n"/>
      <c r="DZ64" s="58" t="n"/>
      <c r="EA64" s="6" t="n"/>
      <c r="EB64" s="6" t="n"/>
      <c r="EC64" s="6" t="n"/>
      <c r="ED64" s="6" t="n"/>
      <c r="EE64" s="6" t="n"/>
      <c r="EF64" s="58" t="n"/>
      <c r="EG64" s="58" t="n"/>
      <c r="EH64" s="6" t="n"/>
      <c r="EI64" s="6" t="n"/>
      <c r="EJ64" s="6" t="n"/>
      <c r="EK64" s="6" t="n"/>
      <c r="EL64" s="6" t="n"/>
      <c r="EM64" s="269" t="n"/>
      <c r="EN64" s="6" t="n"/>
      <c r="EO64" s="6" t="n"/>
      <c r="EP64" s="6" t="n"/>
      <c r="EQ64" s="6" t="n"/>
      <c r="ER64" s="6" t="n"/>
      <c r="ES64" s="6" t="n"/>
      <c r="ET64" s="6" t="n"/>
      <c r="EU64" s="290" t="n"/>
      <c r="EV64" s="6" t="n"/>
      <c r="EW64" s="6" t="n"/>
      <c r="EX64" s="6" t="n"/>
      <c r="EY64" s="6" t="n"/>
      <c r="EZ64" s="6" t="n"/>
      <c r="FA64" s="6" t="n"/>
      <c r="FB64" s="290" t="n"/>
      <c r="FC64" s="6" t="n"/>
      <c r="FD64" s="6" t="n"/>
      <c r="FE64" s="6" t="n"/>
      <c r="FF64" s="6" t="n"/>
      <c r="FG64" s="6" t="n"/>
      <c r="FH64" s="6" t="n"/>
      <c r="FI64" s="6" t="n"/>
      <c r="FJ64" s="6" t="n"/>
      <c r="FK64" s="6" t="n"/>
      <c r="FM64" s="6" t="n"/>
      <c r="FN64" s="6" t="n"/>
      <c r="FO64" s="6" t="n"/>
      <c r="GF64" s="49" t="n"/>
      <c r="GG64" s="49" t="n"/>
      <c r="GH64" s="49" t="n"/>
      <c r="GI64" s="49" t="n"/>
      <c r="GJ64" s="49" t="n"/>
      <c r="GK64" s="49" t="n"/>
      <c r="GL64" s="49" t="n"/>
      <c r="GM64" s="49" t="n"/>
      <c r="GN64" s="49" t="n"/>
      <c r="GO64" s="49" t="n"/>
      <c r="GP64" s="49" t="n"/>
      <c r="GQ64" s="49" t="n"/>
      <c r="GR64" s="49" t="n"/>
      <c r="GS64" s="49" t="n"/>
      <c r="GT64" s="49" t="n"/>
      <c r="GU64" s="49" t="n"/>
      <c r="GV64" s="49" t="n"/>
      <c r="GW64" s="49" t="n"/>
      <c r="GX64" s="49" t="n"/>
      <c r="GY64" s="49" t="n"/>
      <c r="GZ64" s="49" t="n"/>
      <c r="HL64" s="49" t="n"/>
      <c r="HM64" s="49" t="n"/>
      <c r="HN64" s="49" t="n"/>
      <c r="HO64" s="49" t="n"/>
      <c r="HP64" s="49" t="n"/>
      <c r="HQ64" s="49" t="n"/>
      <c r="HR64" s="49" t="n"/>
      <c r="HS64" s="49" t="n"/>
      <c r="HT64" s="49" t="n"/>
      <c r="HU64" s="49" t="n"/>
      <c r="HV64" s="49" t="n"/>
      <c r="HW64" s="49" t="n"/>
      <c r="HZ64" s="49" t="n"/>
      <c r="IA64" s="49" t="n"/>
      <c r="IB64" s="49" t="n"/>
      <c r="IC64" s="49" t="n"/>
      <c r="ID64" s="49" t="n"/>
      <c r="IE64" s="49" t="n"/>
      <c r="IF64" s="49" t="n"/>
      <c r="IG64" s="49" t="n"/>
      <c r="IH64" s="49" t="n"/>
      <c r="II64" s="49" t="n"/>
      <c r="IJ64" s="49" t="n"/>
      <c r="IK64" s="49" t="n"/>
      <c r="IL64" s="49" t="n"/>
      <c r="IM64" s="49" t="n"/>
      <c r="IN64" s="49" t="n"/>
      <c r="IR64" s="49" t="n"/>
      <c r="IS64" s="49" t="n"/>
      <c r="IT64" s="49" t="n"/>
      <c r="IV64" s="49" t="n"/>
      <c r="IW64" s="49" t="n"/>
      <c r="IX64" s="49" t="n"/>
      <c r="IY64" s="49" t="n"/>
      <c r="IZ64" s="49" t="n"/>
      <c r="JA64" s="49" t="n"/>
      <c r="JB64" s="49" t="n"/>
      <c r="JC64" s="49" t="n"/>
      <c r="JD64" s="49" t="n"/>
      <c r="JE64" s="49" t="n"/>
      <c r="JF64" s="49" t="n"/>
      <c r="JG64" s="49" t="n"/>
      <c r="JH64" s="49" t="n"/>
      <c r="JI64" s="49" t="n"/>
      <c r="JJ64" s="49" t="n"/>
      <c r="JK64" s="49" t="n"/>
      <c r="JL64" s="49" t="n"/>
      <c r="JM64" s="49" t="n"/>
      <c r="JN64" s="49" t="n"/>
      <c r="JO64" s="49" t="n"/>
      <c r="JP64" s="49" t="n"/>
      <c r="JQ64" s="49" t="n"/>
      <c r="JR64" s="49" t="n"/>
      <c r="JS64" s="49" t="n"/>
      <c r="JT64" s="49" t="n"/>
      <c r="JU64" s="49" t="n"/>
      <c r="JV64" s="49" t="n"/>
      <c r="JW64" s="49" t="n"/>
      <c r="JX64" s="49" t="n"/>
      <c r="JY64" s="49" t="n"/>
      <c r="JZ64" s="49" t="n"/>
      <c r="KA64" s="49" t="n"/>
      <c r="KB64" s="49" t="n"/>
      <c r="KC64" s="49" t="n"/>
      <c r="KD64" s="167" t="n"/>
      <c r="KE64" s="49" t="n"/>
      <c r="KF64" s="167" t="n"/>
      <c r="KG64" s="49" t="n"/>
      <c r="KH64" s="49" t="n"/>
      <c r="KI64" s="49" t="n"/>
      <c r="KJ64" s="49" t="n"/>
      <c r="KK64" s="49" t="n"/>
      <c r="KL64" s="49" t="n"/>
      <c r="KM64" s="49" t="n"/>
      <c r="KN64" s="49" t="n"/>
      <c r="KO64" s="49" t="n"/>
      <c r="KP64" s="49" t="n"/>
      <c r="KQ64" s="168" t="n"/>
      <c r="KR64" s="49" t="n"/>
      <c r="KS64" s="49" t="n"/>
      <c r="KT64" s="49" t="n"/>
      <c r="KU64" s="49" t="n"/>
      <c r="KV64" s="49" t="n"/>
      <c r="KW64" s="49" t="n"/>
      <c r="KX64" s="49" t="n"/>
      <c r="KY64" s="49" t="n"/>
      <c r="KZ64" s="49" t="n"/>
      <c r="LA64" s="49" t="n"/>
      <c r="LB64" s="49" t="n"/>
      <c r="LC64" s="49" t="n"/>
      <c r="LD64" s="49" t="n"/>
      <c r="LE64" s="49" t="n"/>
      <c r="LF64" s="49" t="n"/>
      <c r="LG64" s="49" t="n"/>
      <c r="LH64" s="49" t="n"/>
      <c r="LI64" s="49" t="n"/>
      <c r="LJ64" s="49" t="n"/>
      <c r="LK64" s="49" t="n"/>
      <c r="LL64" s="49" t="n"/>
      <c r="LM64" s="49" t="n"/>
      <c r="LN64" s="49" t="n"/>
      <c r="LO64" s="49" t="n"/>
      <c r="LP64" s="49" t="n"/>
      <c r="LQ64" s="49" t="n"/>
      <c r="LR64" s="49" t="n"/>
      <c r="LS64" s="49" t="n"/>
      <c r="LT64" s="49" t="n"/>
      <c r="LU64" s="49" t="n"/>
      <c r="LV64" s="49" t="n"/>
      <c r="LW64" s="49" t="n"/>
      <c r="LX64" s="49" t="n"/>
      <c r="LY64" s="49" t="n"/>
      <c r="LZ64" s="49" t="n"/>
      <c r="MA64" s="49" t="n"/>
      <c r="MB64" s="49" t="n"/>
      <c r="MC64" s="49" t="n"/>
      <c r="MD64" s="49" t="n"/>
      <c r="ME64" s="49" t="n"/>
      <c r="MF64" s="49" t="n"/>
      <c r="MG64" s="49" t="n"/>
    </row>
    <row r="65" hidden="1" ht="18.75" customHeight="1">
      <c r="A65" s="674" t="inlineStr">
        <is>
          <t>COFFEE ADDICTIVE</t>
        </is>
      </c>
      <c r="B65" s="658" t="n"/>
      <c r="C65" s="658" t="n"/>
      <c r="D65" s="670" t="n"/>
      <c r="F65" s="116" t="n">
        <v>145</v>
      </c>
      <c r="G65" s="116" t="n">
        <v>145</v>
      </c>
      <c r="H65" s="116" t="n">
        <v>145</v>
      </c>
      <c r="I65" s="116" t="n">
        <v>145</v>
      </c>
      <c r="J65" s="116" t="n">
        <v>145</v>
      </c>
      <c r="K65" s="116" t="n">
        <v>145</v>
      </c>
      <c r="L65" s="116" t="n">
        <v>145</v>
      </c>
      <c r="M65" s="116" t="n">
        <v>145</v>
      </c>
      <c r="N65" s="116" t="n">
        <v>140</v>
      </c>
      <c r="O65" s="116" t="n">
        <v>140</v>
      </c>
      <c r="P65" s="116" t="n">
        <v>140</v>
      </c>
      <c r="Q65" s="116" t="n">
        <v>140</v>
      </c>
      <c r="R65" s="116" t="n">
        <v>140</v>
      </c>
      <c r="S65" s="116" t="n">
        <v>140</v>
      </c>
      <c r="T65" s="116" t="n">
        <v>130</v>
      </c>
      <c r="U65" s="116" t="n">
        <v>130</v>
      </c>
      <c r="V65" s="116" t="n">
        <v>130</v>
      </c>
      <c r="W65" s="116" t="n">
        <v>130</v>
      </c>
      <c r="X65" s="116" t="n">
        <v>130</v>
      </c>
      <c r="Y65" s="116" t="n">
        <v>130</v>
      </c>
      <c r="Z65" s="116" t="n">
        <v>140</v>
      </c>
      <c r="AA65" s="116" t="n">
        <v>124</v>
      </c>
      <c r="AB65" s="116" t="n">
        <v>124</v>
      </c>
      <c r="AC65" s="116" t="n">
        <v>124</v>
      </c>
      <c r="AD65" s="116" t="n">
        <v>107</v>
      </c>
      <c r="AE65" s="116" t="n">
        <v>107</v>
      </c>
      <c r="AF65" s="116" t="n">
        <v>107</v>
      </c>
      <c r="AG65" s="116" t="n">
        <v>100</v>
      </c>
      <c r="AH65" s="116" t="n">
        <v>100</v>
      </c>
      <c r="AI65" s="116" t="n">
        <v>100</v>
      </c>
      <c r="AJ65" s="116" t="n">
        <v>100</v>
      </c>
      <c r="AK65" s="116" t="n">
        <v>100</v>
      </c>
      <c r="AL65" s="116" t="n">
        <v>100</v>
      </c>
      <c r="AM65" s="116" t="n">
        <v>100</v>
      </c>
      <c r="AN65" s="116" t="n">
        <v>100</v>
      </c>
      <c r="AO65" s="116" t="n">
        <v>100</v>
      </c>
      <c r="AP65" s="116" t="n">
        <v>50</v>
      </c>
      <c r="AQ65" s="116" t="n">
        <v>50</v>
      </c>
      <c r="AR65" s="116" t="n">
        <v>50</v>
      </c>
      <c r="AS65" s="116" t="n">
        <v>50</v>
      </c>
      <c r="AT65" s="116" t="n">
        <v>50</v>
      </c>
      <c r="AU65" s="116" t="n">
        <v>50</v>
      </c>
      <c r="AV65" s="116" t="n">
        <v>50</v>
      </c>
      <c r="AW65" s="116" t="n">
        <v>40</v>
      </c>
      <c r="AX65" s="116" t="n">
        <v>40</v>
      </c>
      <c r="AY65" s="116" t="n">
        <v>40</v>
      </c>
      <c r="AZ65" s="116" t="n">
        <v>25</v>
      </c>
      <c r="BA65" s="116" t="n">
        <v>25</v>
      </c>
      <c r="BB65" s="116" t="n">
        <v>25</v>
      </c>
      <c r="BC65" s="116" t="n">
        <v>25</v>
      </c>
      <c r="BD65" s="116" t="n">
        <v>25</v>
      </c>
      <c r="BE65" s="116" t="n">
        <v>25</v>
      </c>
      <c r="BF65" s="116" t="n">
        <v>25</v>
      </c>
      <c r="BG65" s="116" t="n">
        <v>25</v>
      </c>
      <c r="BH65" s="116" t="n">
        <v>25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/>
      <c r="BZ65" s="116" t="n"/>
      <c r="CA65" s="116" t="n"/>
      <c r="CB65" s="116" t="n"/>
      <c r="CC65" s="673" t="n"/>
      <c r="CD65" s="673" t="n"/>
      <c r="CE65" s="673" t="n"/>
    </row>
    <row r="66" hidden="1" ht="18.75" customHeight="1">
      <c r="A66" s="674" t="inlineStr">
        <is>
          <t>MALBEC ICON</t>
        </is>
      </c>
      <c r="B66" s="658" t="n"/>
      <c r="C66" s="658" t="n"/>
      <c r="D66" s="670" t="n"/>
      <c r="F66" s="116" t="n">
        <v>130</v>
      </c>
      <c r="G66" s="116" t="n">
        <v>130</v>
      </c>
      <c r="H66" s="116" t="n">
        <v>120</v>
      </c>
      <c r="I66" s="116" t="n">
        <v>120</v>
      </c>
      <c r="J66" s="116" t="n">
        <v>120</v>
      </c>
      <c r="K66" s="116" t="n">
        <v>120</v>
      </c>
      <c r="L66" s="116" t="n">
        <v>120</v>
      </c>
      <c r="M66" s="116" t="n">
        <v>120</v>
      </c>
      <c r="N66" s="116" t="n">
        <v>105</v>
      </c>
      <c r="O66" s="116" t="n">
        <v>105</v>
      </c>
      <c r="P66" s="116" t="n">
        <v>105</v>
      </c>
      <c r="Q66" s="116" t="n">
        <v>105</v>
      </c>
      <c r="R66" s="116" t="n">
        <v>105</v>
      </c>
      <c r="S66" s="116" t="n">
        <v>105</v>
      </c>
      <c r="T66" s="116" t="n">
        <v>0</v>
      </c>
      <c r="U66" s="116" t="n">
        <v>0</v>
      </c>
      <c r="V66" s="116" t="n"/>
      <c r="W66" s="116" t="n"/>
      <c r="X66" s="116" t="n"/>
      <c r="Y66" s="116" t="n">
        <v>0</v>
      </c>
      <c r="Z66" s="116" t="n">
        <v>105</v>
      </c>
      <c r="AA66" s="116" t="n">
        <v>93</v>
      </c>
      <c r="AB66" s="116" t="n">
        <v>93</v>
      </c>
      <c r="AC66" s="116" t="n">
        <v>93</v>
      </c>
      <c r="AD66" s="116" t="n">
        <v>80</v>
      </c>
      <c r="AE66" s="116" t="n">
        <v>80</v>
      </c>
      <c r="AF66" s="116" t="n">
        <v>80</v>
      </c>
      <c r="AG66" s="116" t="n">
        <v>80</v>
      </c>
      <c r="AH66" s="116" t="n">
        <v>80</v>
      </c>
      <c r="AI66" s="116" t="n">
        <v>80</v>
      </c>
      <c r="AJ66" s="116" t="n">
        <v>80</v>
      </c>
      <c r="AK66" s="116" t="n">
        <v>80</v>
      </c>
      <c r="AL66" s="116" t="n">
        <v>80</v>
      </c>
      <c r="AM66" s="116" t="n">
        <v>80</v>
      </c>
      <c r="AN66" s="116" t="n">
        <v>80</v>
      </c>
      <c r="AO66" s="116" t="n">
        <v>80</v>
      </c>
      <c r="AP66" s="116" t="n">
        <v>30</v>
      </c>
      <c r="AQ66" s="116" t="n">
        <v>30</v>
      </c>
      <c r="AR66" s="116" t="n">
        <v>30</v>
      </c>
      <c r="AS66" s="116" t="n">
        <v>30</v>
      </c>
      <c r="AT66" s="116" t="n">
        <v>30</v>
      </c>
      <c r="AU66" s="116" t="n">
        <v>30</v>
      </c>
      <c r="AV66" s="116" t="n">
        <v>30</v>
      </c>
      <c r="AW66" s="116" t="n">
        <v>30</v>
      </c>
      <c r="AX66" s="116" t="n">
        <v>30</v>
      </c>
      <c r="AY66" s="116" t="n">
        <v>30</v>
      </c>
      <c r="AZ66" s="116" t="n">
        <v>15</v>
      </c>
      <c r="BA66" s="116" t="n">
        <v>15</v>
      </c>
      <c r="BB66" s="116" t="n">
        <v>15</v>
      </c>
      <c r="BC66" s="116" t="n">
        <v>15</v>
      </c>
      <c r="BD66" s="116" t="n">
        <v>15</v>
      </c>
      <c r="BE66" s="116" t="n">
        <v>15</v>
      </c>
      <c r="BF66" s="116" t="n">
        <v>15</v>
      </c>
      <c r="BG66" s="116" t="n">
        <v>15</v>
      </c>
      <c r="BH66" s="116" t="n">
        <v>15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/>
      <c r="BZ66" s="116" t="n"/>
      <c r="CA66" s="116" t="n"/>
      <c r="CB66" s="116" t="n"/>
      <c r="CC66" s="673" t="n"/>
      <c r="CD66" s="673" t="n"/>
      <c r="CE66" s="673" t="n"/>
    </row>
    <row r="67" hidden="1" ht="18.75" customHeight="1">
      <c r="A67" s="674" t="inlineStr">
        <is>
          <t>NBA</t>
        </is>
      </c>
      <c r="B67" s="658" t="n"/>
      <c r="C67" s="658" t="n"/>
      <c r="D67" s="670" t="n"/>
      <c r="N67" s="116" t="n">
        <v>0</v>
      </c>
      <c r="O67" s="116" t="n">
        <v>80</v>
      </c>
      <c r="P67" s="116" t="n">
        <v>80</v>
      </c>
      <c r="Q67" s="116" t="n">
        <v>80</v>
      </c>
      <c r="R67" s="116" t="n">
        <v>80</v>
      </c>
      <c r="S67" s="116" t="n">
        <v>80</v>
      </c>
      <c r="T67" s="116" t="n">
        <v>70</v>
      </c>
      <c r="U67" s="116" t="n">
        <v>70</v>
      </c>
      <c r="V67" s="116" t="n">
        <v>70</v>
      </c>
      <c r="W67" s="116" t="n">
        <v>70</v>
      </c>
      <c r="X67" s="116" t="n">
        <v>70</v>
      </c>
      <c r="Y67" s="116" t="n">
        <v>70</v>
      </c>
      <c r="Z67" s="116" t="n">
        <v>80</v>
      </c>
      <c r="AA67" s="116" t="n">
        <v>75</v>
      </c>
      <c r="AB67" s="116" t="n">
        <v>75</v>
      </c>
      <c r="AC67" s="116" t="n">
        <v>75</v>
      </c>
      <c r="AD67" s="116" t="n">
        <v>80</v>
      </c>
      <c r="AE67" s="116" t="n">
        <v>80</v>
      </c>
      <c r="AF67" s="116" t="n">
        <v>80</v>
      </c>
      <c r="AG67" s="116" t="n">
        <v>70</v>
      </c>
      <c r="AH67" s="116" t="n">
        <v>70</v>
      </c>
      <c r="AI67" s="116" t="n">
        <v>70</v>
      </c>
      <c r="AJ67" s="116" t="n">
        <v>70</v>
      </c>
      <c r="AK67" s="116" t="n">
        <v>70</v>
      </c>
      <c r="AL67" s="116" t="n">
        <v>70</v>
      </c>
      <c r="AM67" s="116" t="n">
        <v>70</v>
      </c>
      <c r="AN67" s="116" t="n">
        <v>70</v>
      </c>
      <c r="AO67" s="116" t="n">
        <v>70</v>
      </c>
      <c r="AP67" s="116" t="n">
        <v>40</v>
      </c>
      <c r="AQ67" s="116" t="n">
        <v>40</v>
      </c>
      <c r="AR67" s="116" t="n">
        <v>40</v>
      </c>
      <c r="AS67" s="116" t="n">
        <v>40</v>
      </c>
      <c r="AT67" s="116" t="n">
        <v>40</v>
      </c>
      <c r="AU67" s="116" t="n">
        <v>40</v>
      </c>
      <c r="AV67" s="116" t="n">
        <v>40</v>
      </c>
      <c r="AW67" s="116" t="n">
        <v>25</v>
      </c>
      <c r="AX67" s="116" t="n">
        <v>25</v>
      </c>
      <c r="AY67" s="116" t="n">
        <v>25</v>
      </c>
      <c r="AZ67" s="116" t="n">
        <v>15</v>
      </c>
      <c r="BA67" s="116" t="n">
        <v>15</v>
      </c>
      <c r="BB67" s="116" t="n">
        <v>15</v>
      </c>
      <c r="BC67" s="116" t="n">
        <v>15</v>
      </c>
      <c r="BD67" s="116" t="n">
        <v>15</v>
      </c>
      <c r="BE67" s="116" t="n">
        <v>15</v>
      </c>
      <c r="BF67" s="116" t="n">
        <v>15</v>
      </c>
      <c r="BG67" s="116" t="n">
        <v>15</v>
      </c>
      <c r="BH67" s="116" t="n">
        <v>15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/>
      <c r="BZ67" s="116" t="n"/>
      <c r="CA67" s="116" t="n"/>
      <c r="CB67" s="116" t="n"/>
      <c r="CC67" s="673" t="n"/>
      <c r="CD67" s="673" t="n"/>
      <c r="CE67" s="673" t="n"/>
    </row>
    <row r="68" hidden="1" ht="18.75" customHeight="1">
      <c r="A68" s="674" t="inlineStr">
        <is>
          <t>ARBO ATLANTICA</t>
        </is>
      </c>
      <c r="B68" s="658" t="n"/>
      <c r="C68" s="658" t="n"/>
      <c r="D68" s="670" t="n"/>
      <c r="S68" s="116" t="n">
        <v>0</v>
      </c>
      <c r="T68" s="116" t="n">
        <v>170</v>
      </c>
      <c r="U68" s="116" t="n">
        <v>170</v>
      </c>
      <c r="V68" s="116" t="n">
        <v>170</v>
      </c>
      <c r="W68" s="116" t="n">
        <v>170</v>
      </c>
      <c r="X68" s="116" t="n">
        <v>170</v>
      </c>
      <c r="Y68" s="116" t="n">
        <v>170</v>
      </c>
      <c r="Z68" s="116" t="n">
        <v>0</v>
      </c>
      <c r="AA68" s="116" t="n">
        <v>159</v>
      </c>
      <c r="AB68" s="116" t="n">
        <v>159</v>
      </c>
      <c r="AC68" s="116" t="n">
        <v>159</v>
      </c>
      <c r="AD68" s="116" t="n">
        <v>190</v>
      </c>
      <c r="AE68" s="116" t="n">
        <v>190</v>
      </c>
      <c r="AF68" s="116" t="n">
        <v>190</v>
      </c>
      <c r="AG68" s="116" t="n">
        <v>65</v>
      </c>
      <c r="AH68" s="116" t="n">
        <v>65</v>
      </c>
      <c r="AI68" s="116" t="n">
        <v>65</v>
      </c>
      <c r="AJ68" s="116" t="n">
        <v>65</v>
      </c>
      <c r="AK68" s="116" t="n">
        <v>65</v>
      </c>
      <c r="AL68" s="116" t="n">
        <v>65</v>
      </c>
      <c r="AM68" s="116" t="n">
        <v>65</v>
      </c>
      <c r="AN68" s="116" t="n">
        <v>65</v>
      </c>
      <c r="AO68" s="116" t="n">
        <v>65</v>
      </c>
      <c r="AP68" s="116" t="n">
        <v>35</v>
      </c>
      <c r="AQ68" s="116" t="n">
        <v>35</v>
      </c>
      <c r="AR68" s="116" t="n">
        <v>35</v>
      </c>
      <c r="AS68" s="116" t="n">
        <v>35</v>
      </c>
      <c r="AT68" s="116" t="n">
        <v>35</v>
      </c>
      <c r="AU68" s="116" t="n">
        <v>35</v>
      </c>
      <c r="AV68" s="116" t="n">
        <v>35</v>
      </c>
      <c r="AW68" s="116" t="n">
        <v>25</v>
      </c>
      <c r="AX68" s="116" t="n">
        <v>25</v>
      </c>
      <c r="AY68" s="116" t="n">
        <v>25</v>
      </c>
      <c r="AZ68" s="116" t="n">
        <v>10</v>
      </c>
      <c r="BA68" s="116" t="n">
        <v>10</v>
      </c>
      <c r="BB68" s="116" t="n">
        <v>10</v>
      </c>
      <c r="BC68" s="116" t="n">
        <v>10</v>
      </c>
      <c r="BD68" s="116" t="n">
        <v>10</v>
      </c>
      <c r="BE68" s="116" t="n">
        <v>10</v>
      </c>
      <c r="BF68" s="116" t="n">
        <v>10</v>
      </c>
      <c r="BG68" s="116" t="n">
        <v>10</v>
      </c>
      <c r="BH68" s="116" t="n">
        <v>10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/>
      <c r="BZ68" s="116" t="n"/>
      <c r="CA68" s="116" t="n"/>
      <c r="CB68" s="116" t="n"/>
      <c r="CC68" s="673" t="n"/>
      <c r="CD68" s="673" t="n"/>
      <c r="CE68" s="673" t="n"/>
    </row>
    <row r="69" hidden="1" ht="18.75" customHeight="1">
      <c r="A69" s="674" t="inlineStr">
        <is>
          <t>ZAAD INTENSE</t>
        </is>
      </c>
      <c r="B69" s="658" t="n"/>
      <c r="C69" s="658" t="n"/>
      <c r="D69" s="670" t="n"/>
      <c r="AV69" s="116" t="n">
        <v>0</v>
      </c>
      <c r="AW69" s="116" t="n">
        <v>15</v>
      </c>
      <c r="AX69" s="116" t="n">
        <v>15</v>
      </c>
      <c r="AY69" s="116" t="n">
        <v>15</v>
      </c>
      <c r="AZ69" s="116" t="n">
        <v>5</v>
      </c>
      <c r="BA69" s="116" t="n">
        <v>5</v>
      </c>
      <c r="BB69" s="116" t="n">
        <v>5</v>
      </c>
      <c r="BC69" s="116" t="n">
        <v>5</v>
      </c>
      <c r="BD69" s="116" t="n">
        <v>5</v>
      </c>
      <c r="BE69" s="116" t="n">
        <v>5</v>
      </c>
      <c r="BF69" s="116" t="n">
        <v>5</v>
      </c>
      <c r="BG69" s="116" t="n">
        <v>5</v>
      </c>
      <c r="BH69" s="116" t="n">
        <v>5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/>
      <c r="BZ69" s="116" t="n"/>
      <c r="CA69" s="116" t="n"/>
      <c r="CB69" s="116" t="n"/>
      <c r="CC69" s="673" t="n"/>
      <c r="CD69" s="673" t="n"/>
      <c r="CE69" s="673" t="n"/>
    </row>
    <row r="70">
      <c r="A70" s="674" t="inlineStr">
        <is>
          <t>SACHÊ AMEIXA DOURADA</t>
        </is>
      </c>
      <c r="B70" s="658" t="n"/>
      <c r="C70" s="658" t="n"/>
      <c r="D70" s="670" t="n"/>
      <c r="BK70" s="116" t="n">
        <v>0</v>
      </c>
      <c r="BL70" s="116" t="n">
        <v>50</v>
      </c>
      <c r="BM70" s="116" t="n">
        <v>50</v>
      </c>
      <c r="BN70" s="116" t="n">
        <v>50</v>
      </c>
      <c r="BO70" s="116" t="n">
        <v>50</v>
      </c>
      <c r="BP70" s="116" t="n">
        <v>30</v>
      </c>
      <c r="BQ70" s="116" t="n">
        <v>30</v>
      </c>
      <c r="BR70" s="116" t="n">
        <v>30</v>
      </c>
      <c r="BS70" s="116" t="n">
        <v>30</v>
      </c>
      <c r="BT70" s="116" t="n">
        <v>30</v>
      </c>
      <c r="BU70" s="116" t="n">
        <v>10</v>
      </c>
      <c r="BV70" s="116" t="n">
        <v>10</v>
      </c>
      <c r="BW70" s="116" t="n">
        <v>10</v>
      </c>
      <c r="BX70" s="116" t="n">
        <v>10</v>
      </c>
      <c r="BY70" s="116" t="n">
        <v>10</v>
      </c>
      <c r="BZ70" s="116" t="n"/>
      <c r="CA70" s="116" t="n"/>
      <c r="CB70" s="116" t="n"/>
      <c r="CC70" s="673" t="n"/>
      <c r="CD70" s="673" t="n"/>
      <c r="CE70" s="673" t="n"/>
    </row>
    <row r="71">
      <c r="A71" s="486" t="inlineStr">
        <is>
          <t>SACHÊ RESVERATROL + SILÍCIO</t>
        </is>
      </c>
      <c r="B71" s="487" t="n"/>
      <c r="C71" s="487" t="n"/>
      <c r="D71" s="488" t="n"/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17</v>
      </c>
      <c r="BV71" s="116" t="n">
        <v>17</v>
      </c>
      <c r="BW71" s="116" t="n">
        <v>17</v>
      </c>
      <c r="BX71" s="116" t="n">
        <v>17</v>
      </c>
      <c r="BY71" s="116" t="n">
        <v>17</v>
      </c>
      <c r="BZ71" s="116" t="n"/>
      <c r="CA71" s="116" t="n"/>
      <c r="CB71" s="116" t="n"/>
      <c r="CC71" s="673" t="n"/>
      <c r="CD71" s="673" t="n"/>
      <c r="CE71" s="673" t="n"/>
    </row>
    <row r="72">
      <c r="A72" s="486" t="inlineStr">
        <is>
          <t>SACHÊ BOTIK</t>
        </is>
      </c>
      <c r="B72" s="487" t="n"/>
      <c r="C72" s="487" t="n"/>
      <c r="D72" s="488" t="n"/>
      <c r="BR72" s="116" t="n">
        <v>0</v>
      </c>
      <c r="BS72" s="116" t="n">
        <v>0</v>
      </c>
      <c r="BT72" s="116" t="n">
        <v>0</v>
      </c>
      <c r="BU72" s="116" t="n">
        <v>15</v>
      </c>
      <c r="BV72" s="116" t="n">
        <v>15</v>
      </c>
      <c r="BW72" s="116" t="n">
        <v>15</v>
      </c>
      <c r="BX72" s="116" t="n">
        <v>15</v>
      </c>
      <c r="BY72" s="116" t="n">
        <v>15</v>
      </c>
      <c r="BZ72" s="116" t="n"/>
      <c r="CA72" s="116" t="n"/>
      <c r="CB72" s="116" t="n"/>
      <c r="CC72" s="673" t="n"/>
      <c r="CD72" s="673" t="n"/>
      <c r="CE72" s="673" t="n"/>
    </row>
    <row r="73">
      <c r="A73" s="486" t="inlineStr">
        <is>
          <t xml:space="preserve">SACHÊ CEREJA DE FASES </t>
        </is>
      </c>
      <c r="B73" s="487" t="n"/>
      <c r="C73" s="487" t="n"/>
      <c r="D73" s="488" t="n"/>
      <c r="BR73" s="116" t="n">
        <v>0</v>
      </c>
      <c r="BS73" s="116" t="n">
        <v>0</v>
      </c>
      <c r="BT73" s="116" t="n">
        <v>0</v>
      </c>
      <c r="BU73" s="116" t="n">
        <v>180</v>
      </c>
      <c r="BV73" s="116" t="n">
        <v>180</v>
      </c>
      <c r="BW73" s="116" t="n">
        <v>180</v>
      </c>
      <c r="BX73" s="116" t="n">
        <v>180</v>
      </c>
      <c r="BY73" s="116" t="n">
        <v>180</v>
      </c>
      <c r="BZ73" s="116" t="n"/>
      <c r="CA73" s="116" t="n"/>
      <c r="CB73" s="116" t="n"/>
      <c r="CC73" s="673" t="n"/>
      <c r="CD73" s="673" t="n"/>
      <c r="CE73" s="673" t="n"/>
    </row>
    <row r="74">
      <c r="A74" s="674" t="n"/>
      <c r="B74" s="658" t="n"/>
      <c r="C74" s="658" t="n"/>
      <c r="D74" s="670" t="n"/>
      <c r="BR74" s="116" t="n"/>
      <c r="BS74" s="116" t="n"/>
      <c r="BT74" s="116" t="n"/>
      <c r="BU74" s="116" t="n"/>
      <c r="BV74" s="116" t="n"/>
      <c r="BW74" s="116" t="n"/>
      <c r="BX74" s="116" t="n"/>
      <c r="BY74" s="116" t="n"/>
      <c r="BZ74" s="116" t="n"/>
      <c r="CA74" s="116" t="n"/>
      <c r="CB74" s="116" t="n"/>
      <c r="CC74" s="673" t="n"/>
      <c r="CD74" s="673" t="n"/>
      <c r="CE74" s="673" t="n"/>
    </row>
    <row r="75">
      <c r="A75" s="674" t="n"/>
      <c r="B75" s="658" t="n"/>
      <c r="C75" s="658" t="n"/>
      <c r="D75" s="670" t="n"/>
      <c r="BR75" s="116" t="n"/>
      <c r="BS75" s="116" t="n"/>
      <c r="BT75" s="116" t="n"/>
      <c r="BU75" s="116" t="n"/>
      <c r="BV75" s="116" t="n"/>
      <c r="BW75" s="116" t="n"/>
      <c r="BX75" s="116" t="n"/>
      <c r="BY75" s="116" t="n"/>
      <c r="BZ75" s="116" t="n"/>
      <c r="CA75" s="116" t="n"/>
      <c r="CB75" s="116" t="n"/>
      <c r="CC75" s="673" t="n"/>
      <c r="CD75" s="673" t="n"/>
      <c r="CE75" s="673" t="n"/>
    </row>
    <row r="76">
      <c r="A76" s="674" t="n"/>
      <c r="B76" s="658" t="n"/>
      <c r="C76" s="658" t="n"/>
      <c r="D76" s="670" t="n"/>
      <c r="BR76" s="116" t="n"/>
      <c r="BS76" s="116" t="n"/>
      <c r="BT76" s="116" t="n"/>
      <c r="BU76" s="116" t="n"/>
      <c r="BV76" s="116" t="n"/>
      <c r="BW76" s="116" t="n"/>
      <c r="BX76" s="116" t="n"/>
      <c r="BY76" s="116" t="n"/>
      <c r="BZ76" s="116" t="n"/>
      <c r="CA76" s="116" t="n"/>
      <c r="CB76" s="116" t="n"/>
      <c r="CC76" s="673" t="n"/>
      <c r="CD76" s="673" t="n"/>
      <c r="CE76" s="673" t="n"/>
    </row>
  </sheetData>
  <mergeCells count="19">
    <mergeCell ref="F5:BZ5"/>
    <mergeCell ref="A50:C50"/>
    <mergeCell ref="A68:D68"/>
    <mergeCell ref="A67:D67"/>
    <mergeCell ref="A64:D64"/>
    <mergeCell ref="FN7:FV7"/>
    <mergeCell ref="A5:A6"/>
    <mergeCell ref="A70:D70"/>
    <mergeCell ref="A69:D69"/>
    <mergeCell ref="A65:D65"/>
    <mergeCell ref="B5:B6"/>
    <mergeCell ref="A66:D66"/>
    <mergeCell ref="D5:D6"/>
    <mergeCell ref="A75:D75"/>
    <mergeCell ref="B3:D3"/>
    <mergeCell ref="A74:D74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6" fitToHeight="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Planilha25">
    <tabColor theme="9"/>
    <outlinePr summaryBelow="1" summaryRight="1"/>
    <pageSetUpPr/>
  </sheetPr>
  <dimension ref="A1:MG76"/>
  <sheetViews>
    <sheetView showGridLines="0" topLeftCell="A19" zoomScale="80" zoomScaleNormal="80" workbookViewId="0">
      <selection activeCell="CA1" sqref="CA1:CA1048576"/>
    </sheetView>
  </sheetViews>
  <sheetFormatPr baseColWidth="8" defaultColWidth="9.140625" defaultRowHeight="18.75"/>
  <cols>
    <col width="27.7109375" customWidth="1" style="52" min="1" max="1"/>
    <col width="10" customWidth="1" style="6" min="2" max="2"/>
    <col hidden="1" width="15.42578125" customWidth="1" style="6" min="3" max="3"/>
    <col width="14.7109375" customWidth="1" style="6" min="4" max="4"/>
    <col width="2.140625" customWidth="1" style="6" min="5" max="5"/>
    <col hidden="1" width="9.28515625" customWidth="1" style="6" min="6" max="59"/>
    <col hidden="1" width="8.140625" customWidth="1" style="6" min="60" max="76"/>
    <col width="8.140625" customWidth="1" style="6" min="77" max="79"/>
    <col width="9.28515625" customWidth="1" style="6" min="80" max="80"/>
    <col width="1.85546875" customWidth="1" style="6" min="81" max="81"/>
    <col width="20.42578125" bestFit="1" customWidth="1" style="49" min="82" max="82"/>
    <col width="16.28515625" customWidth="1" style="49" min="83" max="83"/>
    <col width="1.7109375" customWidth="1" style="49" min="84" max="84"/>
    <col width="15.85546875" bestFit="1" customWidth="1" style="49" min="85" max="85"/>
    <col width="1.85546875" customWidth="1" style="6" min="86" max="86"/>
    <col width="8.140625" customWidth="1" style="49" min="87" max="90"/>
    <col width="8.7109375" customWidth="1" style="51" min="91" max="91"/>
    <col width="8.140625" customWidth="1" style="49" min="92" max="92"/>
    <col hidden="1" width="8.140625" customWidth="1" style="49" min="93" max="103"/>
    <col hidden="1" width="9.7109375" customWidth="1" style="49" min="104" max="105"/>
    <col hidden="1" width="13.7109375" customWidth="1" style="51" min="106" max="106"/>
    <col hidden="1" width="9.7109375" customWidth="1" style="49" min="107" max="110"/>
    <col hidden="1" width="8.7109375" customWidth="1" style="51" min="111" max="111"/>
    <col hidden="1" width="9.7109375" customWidth="1" style="49" min="112" max="112"/>
    <col hidden="1" width="13.85546875" customWidth="1" style="49" min="113" max="114"/>
    <col hidden="1" width="9.7109375" customWidth="1" style="49" min="115" max="115"/>
    <col hidden="1" width="11.7109375" customWidth="1" style="49" min="116" max="116"/>
    <col hidden="1" width="9.7109375" customWidth="1" style="49" min="117" max="118"/>
    <col hidden="1" width="12.28515625" customWidth="1" style="51" min="119" max="119"/>
    <col hidden="1" width="24.28515625" customWidth="1" style="49" min="120" max="120"/>
    <col hidden="1" width="12.28515625" customWidth="1" style="51" min="121" max="121"/>
    <col hidden="1" width="9.7109375" customWidth="1" style="49" min="122" max="123"/>
    <col hidden="1" width="11" customWidth="1" style="49" min="124" max="124"/>
    <col hidden="1" width="9.7109375" customWidth="1" style="49" min="125" max="125"/>
    <col hidden="1" width="13.7109375" customWidth="1" style="51" min="126" max="126"/>
    <col hidden="1" width="23" customWidth="1" style="51" min="127" max="127"/>
    <col hidden="1" width="9.7109375" customWidth="1" style="49" min="128" max="131"/>
    <col hidden="1" width="17.5703125" customWidth="1" style="51" min="132" max="132"/>
    <col hidden="1" width="8.7109375" customWidth="1" style="51" min="133" max="133"/>
    <col hidden="1" width="9.7109375" customWidth="1" style="49" min="134" max="135"/>
    <col hidden="1" width="14.28515625" customWidth="1" style="49" min="136" max="136"/>
    <col hidden="1" width="9.7109375" customWidth="1" style="49" min="137" max="138"/>
    <col hidden="1" width="13.5703125" customWidth="1" style="268" min="139" max="139"/>
    <col hidden="1" width="13.5703125" customWidth="1" style="49" min="140" max="140"/>
    <col hidden="1" width="18" customWidth="1" style="49" min="141" max="141"/>
    <col hidden="1" width="9.7109375" customWidth="1" style="49" min="142" max="142"/>
    <col hidden="1" width="18" customWidth="1" style="49" min="143" max="143"/>
    <col hidden="1" width="9.7109375" customWidth="1" style="49" min="144" max="144"/>
    <col hidden="1" width="13.28515625" customWidth="1" style="49" min="145" max="146"/>
    <col hidden="1" width="14" customWidth="1" style="285" min="147" max="147"/>
    <col hidden="1" width="9.7109375" customWidth="1" style="49" min="148" max="153"/>
    <col hidden="1" width="12" customWidth="1" style="285" min="154" max="154"/>
    <col hidden="1" width="9.7109375" customWidth="1" style="49" min="155" max="156"/>
    <col hidden="1" width="15" customWidth="1" style="49" min="157" max="157"/>
    <col hidden="1" width="9.7109375" customWidth="1" style="49" min="158" max="163"/>
    <col hidden="1" width="22.85546875" customWidth="1" style="51" min="164" max="164"/>
    <col hidden="1" width="9.7109375" customWidth="1" style="49" min="165" max="165"/>
    <col hidden="1" width="15.140625" customWidth="1" style="49" min="166" max="166"/>
    <col hidden="1" width="9.7109375" customWidth="1" style="49" min="167" max="167"/>
    <col width="4.7109375" customWidth="1" style="6" min="168" max="168"/>
    <col width="21.85546875" bestFit="1" customWidth="1" style="6" min="169" max="169"/>
    <col width="9.140625" customWidth="1" style="6" min="170" max="170"/>
    <col hidden="1" width="13" customWidth="1" style="6" min="171" max="175"/>
    <col width="9.140625" customWidth="1" style="6" min="176" max="179"/>
    <col width="3.7109375" customWidth="1" style="6" min="180" max="180"/>
    <col width="9.140625" customWidth="1" style="6" min="181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284" t="n"/>
      <c r="ER1" s="74" t="n"/>
      <c r="ES1" s="74" t="n"/>
      <c r="ET1" s="74" t="n"/>
      <c r="EU1" s="74" t="n"/>
      <c r="EV1" s="74" t="n"/>
      <c r="EW1" s="74" t="n"/>
      <c r="EX1" s="28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</row>
    <row r="2">
      <c r="A2" s="50" t="inlineStr">
        <is>
          <t>LOJA:</t>
        </is>
      </c>
      <c r="B2" s="639" t="inlineStr">
        <is>
          <t>TUPI</t>
        </is>
      </c>
      <c r="C2" s="640" t="n"/>
      <c r="D2" s="641" t="n"/>
      <c r="CD2" s="6" t="n"/>
      <c r="CE2" s="6" t="n"/>
      <c r="CF2" s="6" t="n"/>
      <c r="CG2" s="6" t="n"/>
      <c r="CI2" s="6" t="n"/>
      <c r="CJ2" s="6" t="n"/>
      <c r="CK2" s="6" t="n"/>
      <c r="CL2" s="6" t="n"/>
      <c r="CN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C2" s="6" t="n"/>
      <c r="DD2" s="6" t="n"/>
      <c r="DE2" s="6" t="n"/>
      <c r="DF2" s="6" t="n"/>
      <c r="DH2" s="6" t="n"/>
      <c r="DI2" s="6" t="n"/>
      <c r="DJ2" s="6" t="n"/>
      <c r="DK2" s="6" t="n"/>
      <c r="DL2" s="6" t="n"/>
      <c r="DM2" s="6" t="n"/>
      <c r="DN2" s="6" t="n"/>
      <c r="DP2" s="6" t="n"/>
      <c r="DR2" s="6" t="n"/>
      <c r="DS2" s="6" t="n"/>
      <c r="DT2" s="6" t="n"/>
      <c r="DU2" s="6" t="n"/>
      <c r="DX2" s="6" t="n"/>
      <c r="DY2" s="6" t="n"/>
      <c r="DZ2" s="6" t="n"/>
      <c r="EA2" s="6" t="n"/>
      <c r="ED2" s="6" t="n"/>
      <c r="EE2" s="6" t="n"/>
      <c r="EF2" s="6" t="n"/>
      <c r="EG2" s="6" t="n"/>
      <c r="EH2" s="6" t="n"/>
      <c r="EI2" s="269" t="n"/>
      <c r="EJ2" s="6" t="n"/>
      <c r="EK2" s="6" t="n"/>
      <c r="EL2" s="6" t="n"/>
      <c r="EM2" s="6" t="n"/>
      <c r="EN2" s="6" t="n"/>
      <c r="EO2" s="6" t="n"/>
      <c r="EP2" s="6" t="n"/>
      <c r="ER2" s="6" t="n"/>
      <c r="ES2" s="6" t="n"/>
      <c r="ET2" s="6" t="n"/>
      <c r="EU2" s="6" t="n"/>
      <c r="EV2" s="6" t="n"/>
      <c r="EW2" s="6" t="n"/>
      <c r="EY2" s="6" t="n"/>
      <c r="EZ2" s="6" t="n"/>
      <c r="FA2" s="6" t="n"/>
      <c r="FB2" s="6" t="n"/>
      <c r="FC2" s="6" t="n"/>
      <c r="FD2" s="6" t="n"/>
      <c r="FE2" s="6" t="n"/>
      <c r="FF2" s="6" t="n"/>
      <c r="FG2" s="6" t="n"/>
      <c r="FI2" s="6" t="n"/>
      <c r="FJ2" s="6" t="n"/>
      <c r="FK2" s="6" t="n"/>
    </row>
    <row r="3">
      <c r="A3" s="50" t="inlineStr">
        <is>
          <t>Responsável:</t>
        </is>
      </c>
      <c r="B3" s="253" t="inlineStr">
        <is>
          <t>FLÁVIA/BEATRIZ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42" t="n"/>
      <c r="CD3" s="642" t="n"/>
      <c r="CE3" s="642" t="n"/>
      <c r="CF3" s="642" t="n"/>
      <c r="CH3" s="642" t="n"/>
      <c r="CI3" s="642" t="n"/>
      <c r="CJ3" s="642" t="n"/>
      <c r="CK3" s="642" t="n"/>
      <c r="CL3" s="642" t="n"/>
      <c r="CN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X3" s="642" t="n"/>
      <c r="CY3" s="642" t="n"/>
      <c r="CZ3" s="642" t="n"/>
      <c r="DA3" s="642" t="n"/>
      <c r="DC3" s="642" t="n"/>
      <c r="DD3" s="642" t="n"/>
      <c r="DE3" s="642" t="n"/>
      <c r="DF3" s="642" t="n"/>
      <c r="DH3" s="642" t="n"/>
      <c r="DI3" s="642" t="n"/>
      <c r="DJ3" s="642" t="n"/>
      <c r="DK3" s="642" t="n"/>
      <c r="DL3" s="642" t="n"/>
      <c r="DM3" s="642" t="n"/>
      <c r="DN3" s="642" t="n"/>
      <c r="DP3" s="642" t="n"/>
      <c r="DR3" s="642" t="n"/>
      <c r="DS3" s="642" t="n"/>
      <c r="DT3" s="642" t="n"/>
      <c r="DU3" s="642" t="n"/>
      <c r="DX3" s="642" t="n"/>
      <c r="DY3" s="642" t="n"/>
      <c r="DZ3" s="642" t="n"/>
      <c r="EA3" s="642" t="n"/>
      <c r="ED3" s="642" t="n"/>
      <c r="EE3" s="642" t="n"/>
      <c r="EF3" s="642" t="n"/>
      <c r="EG3" s="642" t="n"/>
      <c r="EH3" s="642" t="n"/>
      <c r="EI3" s="676" t="n"/>
      <c r="EJ3" s="642" t="n"/>
      <c r="EK3" s="642" t="n"/>
      <c r="EL3" s="642" t="n"/>
      <c r="EM3" s="642" t="n"/>
      <c r="EN3" s="642" t="n"/>
      <c r="EO3" s="642" t="n"/>
      <c r="EP3" s="642" t="n"/>
      <c r="ER3" s="642" t="n"/>
      <c r="ES3" s="642" t="n"/>
      <c r="ET3" s="642" t="n"/>
      <c r="EU3" s="642" t="n"/>
      <c r="EV3" s="642" t="n"/>
      <c r="EW3" s="642" t="n"/>
      <c r="EY3" s="642" t="n"/>
      <c r="EZ3" s="642" t="n"/>
      <c r="FA3" s="642" t="n"/>
      <c r="FB3" s="642" t="n"/>
      <c r="FC3" s="642" t="n"/>
      <c r="FD3" s="642" t="n"/>
      <c r="FE3" s="642" t="n"/>
      <c r="FF3" s="642" t="n"/>
      <c r="FG3" s="642" t="n"/>
      <c r="FI3" s="642" t="n"/>
      <c r="FJ3" s="642" t="n"/>
      <c r="FK3" s="642" t="n"/>
    </row>
    <row r="4">
      <c r="CD4" s="6" t="n"/>
      <c r="CE4" s="6" t="n"/>
      <c r="CF4" s="6" t="n"/>
      <c r="CG4" s="6" t="n"/>
      <c r="CI4" s="6" t="n"/>
      <c r="CJ4" s="6" t="n"/>
      <c r="CK4" s="6" t="n"/>
      <c r="CL4" s="6" t="n"/>
      <c r="CM4" s="254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254" t="n"/>
      <c r="DC4" s="6" t="n"/>
      <c r="DD4" s="6" t="n"/>
      <c r="DE4" s="6" t="n"/>
      <c r="DF4" s="6" t="n"/>
      <c r="DG4" s="254" t="n"/>
      <c r="DH4" s="6" t="n"/>
      <c r="DI4" s="6" t="n"/>
      <c r="DJ4" s="6" t="n"/>
      <c r="DK4" s="6" t="n"/>
      <c r="DL4" s="6" t="n"/>
      <c r="DM4" s="6" t="n"/>
      <c r="DN4" s="6" t="n"/>
      <c r="DO4" s="254" t="n"/>
      <c r="DP4" s="6" t="n"/>
      <c r="DQ4" s="254" t="n"/>
      <c r="DR4" s="6" t="n"/>
      <c r="DS4" s="6" t="n"/>
      <c r="DT4" s="6" t="n"/>
      <c r="DU4" s="6" t="n"/>
      <c r="DV4" s="254" t="n"/>
      <c r="DW4" s="254" t="n"/>
      <c r="DX4" s="6" t="n"/>
      <c r="DY4" s="6" t="n"/>
      <c r="DZ4" s="6" t="n"/>
      <c r="EA4" s="6" t="n"/>
      <c r="EB4" s="254" t="n"/>
      <c r="EC4" s="254" t="n"/>
      <c r="ED4" s="6" t="n"/>
      <c r="EE4" s="6" t="n"/>
      <c r="EF4" s="6" t="n"/>
      <c r="EG4" s="6" t="n"/>
      <c r="EH4" s="6" t="n"/>
      <c r="EI4" s="269" t="n"/>
      <c r="EJ4" s="6" t="n"/>
      <c r="EK4" s="6" t="n"/>
      <c r="EL4" s="6" t="n"/>
      <c r="EM4" s="6" t="n"/>
      <c r="EN4" s="6" t="n"/>
      <c r="EO4" s="6" t="n"/>
      <c r="EP4" s="6" t="n"/>
      <c r="EQ4" s="286" t="n"/>
      <c r="ER4" s="6" t="n"/>
      <c r="ES4" s="6" t="n"/>
      <c r="ET4" s="6" t="n"/>
      <c r="EU4" s="6" t="n"/>
      <c r="EV4" s="6" t="n"/>
      <c r="EW4" s="6" t="n"/>
      <c r="EX4" s="286" t="n"/>
      <c r="EY4" s="6" t="n"/>
      <c r="EZ4" s="6" t="n"/>
      <c r="FA4" s="6" t="n"/>
      <c r="FB4" s="6" t="n"/>
      <c r="FC4" s="6" t="n"/>
      <c r="FD4" s="6" t="n"/>
      <c r="FE4" s="6" t="n"/>
      <c r="FF4" s="6" t="n"/>
      <c r="FG4" s="6" t="n"/>
      <c r="FH4" s="254" t="n"/>
      <c r="FI4" s="6" t="n"/>
      <c r="FJ4" s="6" t="n"/>
      <c r="FK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F5" s="6" t="n"/>
      <c r="CG5" s="12" t="inlineStr">
        <is>
          <t>Novo Pedido</t>
        </is>
      </c>
      <c r="CI5" s="646" t="n">
        <v>46156</v>
      </c>
      <c r="CJ5" s="646" t="n">
        <v>46149</v>
      </c>
      <c r="CK5" s="646" t="n">
        <v>46142</v>
      </c>
      <c r="CL5" s="646" t="n">
        <v>46114</v>
      </c>
      <c r="CM5" s="647" t="n">
        <v>46065</v>
      </c>
      <c r="CN5" s="646" t="n">
        <v>46092</v>
      </c>
      <c r="CO5" s="646" t="n">
        <v>46071</v>
      </c>
      <c r="CP5" s="646" t="n">
        <v>46056</v>
      </c>
      <c r="CQ5" s="646" t="n">
        <v>46043</v>
      </c>
      <c r="CR5" s="646" t="n">
        <v>46035</v>
      </c>
      <c r="CS5" s="646" t="n">
        <v>46029</v>
      </c>
      <c r="CT5" s="646" t="n">
        <v>46017</v>
      </c>
      <c r="CU5" s="646" t="n">
        <v>46007</v>
      </c>
      <c r="CV5" s="646" t="n">
        <v>46001</v>
      </c>
      <c r="CW5" s="646" t="n">
        <v>45994</v>
      </c>
      <c r="CX5" s="646" t="n">
        <v>45980</v>
      </c>
      <c r="CY5" s="646" t="n">
        <v>45973</v>
      </c>
      <c r="CZ5" s="646" t="n">
        <v>45960</v>
      </c>
      <c r="DA5" s="646" t="n">
        <v>45951</v>
      </c>
      <c r="DB5" s="678" t="inlineStr">
        <is>
          <t>TRANSF.</t>
        </is>
      </c>
      <c r="DC5" s="646" t="n">
        <v>45945</v>
      </c>
      <c r="DD5" s="646" t="n">
        <v>45937</v>
      </c>
      <c r="DE5" s="646" t="n">
        <v>45931</v>
      </c>
      <c r="DF5" s="646" t="n">
        <v>45923</v>
      </c>
      <c r="DG5" s="678" t="n">
        <v>45903</v>
      </c>
      <c r="DH5" s="646" t="n">
        <v>45923</v>
      </c>
      <c r="DI5" s="679" t="inlineStr">
        <is>
          <t>TRANSF.</t>
        </is>
      </c>
      <c r="DJ5" s="679" t="inlineStr">
        <is>
          <t>TRANSF.</t>
        </is>
      </c>
      <c r="DK5" s="646" t="n">
        <v>45915</v>
      </c>
      <c r="DL5" s="648" t="inlineStr">
        <is>
          <t>TRANSF.</t>
        </is>
      </c>
      <c r="DM5" s="646" t="n">
        <v>45909</v>
      </c>
      <c r="DN5" s="646" t="n">
        <v>45895</v>
      </c>
      <c r="DO5" s="681" t="inlineStr">
        <is>
          <t>TRANSF.</t>
        </is>
      </c>
      <c r="DP5" s="680" t="inlineStr">
        <is>
          <t>TRANSF. DISNEY/24</t>
        </is>
      </c>
      <c r="DQ5" s="681" t="inlineStr">
        <is>
          <t>TRANSF.</t>
        </is>
      </c>
      <c r="DR5" s="646" t="n">
        <v>45888</v>
      </c>
      <c r="DS5" s="646" t="n">
        <v>45881</v>
      </c>
      <c r="DT5" s="648" t="inlineStr">
        <is>
          <t>TRANSF.</t>
        </is>
      </c>
      <c r="DU5" s="646" t="n">
        <v>45874</v>
      </c>
      <c r="DV5" s="681" t="inlineStr">
        <is>
          <t>TRANSF.</t>
        </is>
      </c>
      <c r="DW5" s="682" t="inlineStr">
        <is>
          <t>TRANSF. DORAMA</t>
        </is>
      </c>
      <c r="DX5" s="646" t="n">
        <v>45860</v>
      </c>
      <c r="DY5" s="646" t="n">
        <v>45859</v>
      </c>
      <c r="DZ5" s="646" t="n">
        <v>45839</v>
      </c>
      <c r="EA5" s="646" t="n">
        <v>45832</v>
      </c>
      <c r="EB5" s="681" t="inlineStr">
        <is>
          <t>AUTOMÁTICO</t>
        </is>
      </c>
      <c r="EC5" s="681" t="n">
        <v>45791</v>
      </c>
      <c r="ED5" s="646" t="n">
        <v>45825</v>
      </c>
      <c r="EE5" s="646" t="n">
        <v>45813</v>
      </c>
      <c r="EF5" s="648" t="inlineStr">
        <is>
          <t>TRANSF.</t>
        </is>
      </c>
      <c r="EG5" s="646" t="n">
        <v>45805</v>
      </c>
      <c r="EH5" s="646" t="n">
        <v>45798</v>
      </c>
      <c r="EI5" s="648" t="inlineStr">
        <is>
          <t>TRANSF.</t>
        </is>
      </c>
      <c r="EJ5" s="683" t="inlineStr">
        <is>
          <t>TRANSF.</t>
        </is>
      </c>
      <c r="EK5" s="648" t="inlineStr">
        <is>
          <t>TRANSF.</t>
        </is>
      </c>
      <c r="EL5" s="646" t="n">
        <v>45790</v>
      </c>
      <c r="EM5" s="648" t="inlineStr">
        <is>
          <t>TRANSF.</t>
        </is>
      </c>
      <c r="EN5" s="683" t="n">
        <v>45735</v>
      </c>
      <c r="EO5" s="648" t="inlineStr">
        <is>
          <t>TRANSF.</t>
        </is>
      </c>
      <c r="EP5" s="648" t="inlineStr">
        <is>
          <t>TRANSF.</t>
        </is>
      </c>
      <c r="EQ5" s="684" t="inlineStr">
        <is>
          <t>TRANSF.</t>
        </is>
      </c>
      <c r="ER5" s="646" t="n">
        <v>45770</v>
      </c>
      <c r="ES5" s="646" t="n">
        <v>45756</v>
      </c>
      <c r="ET5" s="646" t="n">
        <v>45749</v>
      </c>
      <c r="EU5" s="646" t="n">
        <v>45743</v>
      </c>
      <c r="EV5" s="646" t="n">
        <v>45734</v>
      </c>
      <c r="EW5" s="646" t="n">
        <v>45728</v>
      </c>
      <c r="EX5" s="684" t="n">
        <v>45700</v>
      </c>
      <c r="EY5" s="646" t="n">
        <v>45722</v>
      </c>
      <c r="EZ5" s="646" t="n">
        <v>45714</v>
      </c>
      <c r="FA5" s="648" t="inlineStr">
        <is>
          <t>TRANSF.</t>
        </is>
      </c>
      <c r="FB5" s="646" t="n">
        <v>45706</v>
      </c>
      <c r="FC5" s="646" t="n">
        <v>45699</v>
      </c>
      <c r="FD5" s="646" t="n">
        <v>45693</v>
      </c>
      <c r="FE5" s="646" t="n">
        <v>45685</v>
      </c>
      <c r="FF5" s="646" t="n">
        <v>45674</v>
      </c>
      <c r="FG5" s="646" t="n">
        <v>45664</v>
      </c>
      <c r="FH5" s="685" t="inlineStr">
        <is>
          <t>TRANSF. NATAL/24</t>
        </is>
      </c>
      <c r="FI5" s="646" t="n">
        <v>45660</v>
      </c>
      <c r="FJ5" s="655" t="inlineStr">
        <is>
          <t>TRANSF.</t>
        </is>
      </c>
      <c r="FK5" s="646" t="n">
        <v>45652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54" t="n"/>
      <c r="CD6" s="414" t="inlineStr">
        <is>
          <t>SUGESTÃO</t>
        </is>
      </c>
      <c r="CE6" s="214" t="n">
        <v>46156</v>
      </c>
      <c r="CF6" s="653" t="n"/>
      <c r="CG6" s="656" t="n"/>
      <c r="CH6" s="653" t="n"/>
      <c r="CI6" s="654" t="n"/>
      <c r="CJ6" s="654" t="n">
        <v>46154</v>
      </c>
      <c r="CK6" s="654" t="n">
        <v>46148</v>
      </c>
      <c r="CL6" s="654" t="n">
        <v>46121</v>
      </c>
      <c r="CM6" s="647" t="n">
        <v>46107</v>
      </c>
      <c r="CN6" s="654" t="n">
        <v>46097</v>
      </c>
      <c r="CO6" s="654" t="n">
        <v>46073</v>
      </c>
      <c r="CP6" s="654" t="n">
        <v>46057</v>
      </c>
      <c r="CQ6" s="654" t="n">
        <v>46049</v>
      </c>
      <c r="CR6" s="654" t="n">
        <v>46039</v>
      </c>
      <c r="CS6" s="654" t="n">
        <v>46036</v>
      </c>
      <c r="CT6" s="654" t="n">
        <v>46030</v>
      </c>
      <c r="CU6" s="654" t="n">
        <v>46379</v>
      </c>
      <c r="CV6" s="654" t="n">
        <v>46009</v>
      </c>
      <c r="CW6" s="654" t="n">
        <v>46001</v>
      </c>
      <c r="CX6" s="654" t="n">
        <v>45989</v>
      </c>
      <c r="CY6" s="654" t="n">
        <v>45979</v>
      </c>
      <c r="CZ6" s="654" t="n">
        <v>45965</v>
      </c>
      <c r="DA6" s="654" t="n">
        <v>45958</v>
      </c>
      <c r="DB6" s="687" t="n">
        <v>45952</v>
      </c>
      <c r="DC6" s="654" t="n">
        <v>45952</v>
      </c>
      <c r="DD6" s="654" t="n">
        <v>45946</v>
      </c>
      <c r="DE6" s="654" t="n">
        <v>45940</v>
      </c>
      <c r="DF6" s="654" t="n">
        <v>45940</v>
      </c>
      <c r="DG6" s="687" t="n">
        <v>45932</v>
      </c>
      <c r="DH6" s="654" t="n">
        <v>45927</v>
      </c>
      <c r="DI6" s="688" t="n">
        <v>45925</v>
      </c>
      <c r="DJ6" s="688" t="n">
        <v>45924</v>
      </c>
      <c r="DK6" s="654" t="n">
        <v>45925</v>
      </c>
      <c r="DL6" s="655" t="n">
        <v>45913</v>
      </c>
      <c r="DM6" s="654" t="n">
        <v>45913</v>
      </c>
      <c r="DN6" s="654" t="n">
        <v>45904</v>
      </c>
      <c r="DO6" s="681" t="n">
        <v>45897</v>
      </c>
      <c r="DP6" s="689" t="n">
        <v>45897</v>
      </c>
      <c r="DQ6" s="681" t="n">
        <v>45896</v>
      </c>
      <c r="DR6" s="654" t="n">
        <v>45892</v>
      </c>
      <c r="DS6" s="654" t="n">
        <v>45888</v>
      </c>
      <c r="DT6" s="655" t="n">
        <v>45885</v>
      </c>
      <c r="DU6" s="654" t="n">
        <v>45877</v>
      </c>
      <c r="DV6" s="681" t="n">
        <v>45867</v>
      </c>
      <c r="DW6" s="682" t="n">
        <v>45866</v>
      </c>
      <c r="DX6" s="654" t="n">
        <v>45864</v>
      </c>
      <c r="DY6" s="654" t="n">
        <v>45855</v>
      </c>
      <c r="DZ6" s="654" t="n">
        <v>45845</v>
      </c>
      <c r="EA6" s="654" t="n">
        <v>45838</v>
      </c>
      <c r="EB6" s="681" t="n">
        <v>45838</v>
      </c>
      <c r="EC6" s="681" t="n">
        <v>45836</v>
      </c>
      <c r="ED6" s="654" t="n">
        <v>45831</v>
      </c>
      <c r="EE6" s="654" t="n">
        <v>45821</v>
      </c>
      <c r="EF6" s="655" t="n">
        <v>45820</v>
      </c>
      <c r="EG6" s="654" t="n">
        <v>45810</v>
      </c>
      <c r="EH6" s="654" t="n">
        <v>45800</v>
      </c>
      <c r="EI6" s="655" t="n">
        <v>45798</v>
      </c>
      <c r="EJ6" s="690" t="n">
        <v>45798</v>
      </c>
      <c r="EK6" s="655" t="n">
        <v>45797</v>
      </c>
      <c r="EL6" s="654" t="n">
        <v>45793</v>
      </c>
      <c r="EM6" s="655" t="n">
        <v>45794</v>
      </c>
      <c r="EN6" s="690" t="n">
        <v>45790</v>
      </c>
      <c r="EO6" s="655" t="n">
        <v>45790</v>
      </c>
      <c r="EP6" s="655" t="n">
        <v>45785</v>
      </c>
      <c r="EQ6" s="684" t="n">
        <v>45785</v>
      </c>
      <c r="ER6" s="654" t="n">
        <v>45777</v>
      </c>
      <c r="ES6" s="654" t="n">
        <v>45772</v>
      </c>
      <c r="ET6" s="654" t="n">
        <v>45756</v>
      </c>
      <c r="EU6" s="654" t="n">
        <v>45750</v>
      </c>
      <c r="EV6" s="654" t="n">
        <v>45747</v>
      </c>
      <c r="EW6" s="654" t="n">
        <v>45735</v>
      </c>
      <c r="EX6" s="684" t="n">
        <v>45734</v>
      </c>
      <c r="EY6" s="654" t="n">
        <v>45727</v>
      </c>
      <c r="EZ6" s="654" t="n">
        <v>45721</v>
      </c>
      <c r="FA6" s="655" t="n">
        <v>45721</v>
      </c>
      <c r="FB6" s="654" t="n">
        <v>45716</v>
      </c>
      <c r="FC6" s="654" t="n">
        <v>45707</v>
      </c>
      <c r="FD6" s="654" t="n">
        <v>45701</v>
      </c>
      <c r="FE6" s="654" t="n">
        <v>45688</v>
      </c>
      <c r="FF6" s="654" t="n">
        <v>45678</v>
      </c>
      <c r="FG6" s="654" t="n">
        <v>45672</v>
      </c>
      <c r="FH6" s="685" t="n">
        <v>45670</v>
      </c>
      <c r="FI6" s="654" t="n">
        <v>45667</v>
      </c>
      <c r="FJ6" s="655" t="n">
        <v>45661</v>
      </c>
      <c r="FK6" s="654" t="n">
        <v>45660</v>
      </c>
      <c r="FM6" s="6" t="n"/>
      <c r="FN6" s="6" t="n"/>
      <c r="FO6" s="6" t="n"/>
      <c r="FP6" s="6" t="n"/>
      <c r="FQ6" s="6" t="n"/>
      <c r="FR6" s="6" t="n"/>
      <c r="FS6" s="6" t="n"/>
      <c r="FT6" s="6" t="n"/>
      <c r="FU6" s="6" t="n"/>
      <c r="FV6" s="6" t="n"/>
      <c r="FW6" s="6" t="n"/>
    </row>
    <row r="7" ht="18.75" customFormat="1" customHeight="1" s="3">
      <c r="A7" s="28" t="inlineStr">
        <is>
          <t>SACOLAS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89" t="n"/>
      <c r="CE7" s="89" t="n"/>
      <c r="CG7" s="575" t="n"/>
      <c r="CH7" s="6" t="n"/>
      <c r="CI7" s="283" t="n"/>
      <c r="CJ7" s="283" t="n"/>
      <c r="CK7" s="283" t="n"/>
      <c r="CL7" s="283" t="n"/>
      <c r="CM7" s="575" t="inlineStr">
        <is>
          <t>MÃES</t>
        </is>
      </c>
      <c r="CN7" s="283" t="n"/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575" t="n"/>
      <c r="DC7" s="283" t="n"/>
      <c r="DD7" s="283" t="n"/>
      <c r="DE7" s="283" t="n"/>
      <c r="DF7" s="283" t="n"/>
      <c r="DG7" s="575" t="n"/>
      <c r="DH7" s="283" t="n"/>
      <c r="DI7" s="575" t="n"/>
      <c r="DJ7" s="575" t="n"/>
      <c r="DK7" s="283" t="n"/>
      <c r="DL7" s="283" t="n"/>
      <c r="DM7" s="283" t="n"/>
      <c r="DN7" s="283" t="n"/>
      <c r="DO7" s="575" t="inlineStr">
        <is>
          <t>PAIS/25</t>
        </is>
      </c>
      <c r="DP7" s="575" t="n"/>
      <c r="DQ7" s="575" t="inlineStr">
        <is>
          <t>PAIS/25</t>
        </is>
      </c>
      <c r="DR7" s="283" t="n"/>
      <c r="DS7" s="283" t="n"/>
      <c r="DT7" s="283" t="n"/>
      <c r="DU7" s="283" t="n"/>
      <c r="DV7" s="575" t="inlineStr">
        <is>
          <t>PAIS/25</t>
        </is>
      </c>
      <c r="DW7" s="575" t="n"/>
      <c r="DX7" s="283" t="n"/>
      <c r="DY7" s="283" t="n"/>
      <c r="DZ7" s="283" t="n"/>
      <c r="EA7" s="283" t="n"/>
      <c r="EB7" s="575" t="n"/>
      <c r="EC7" s="575" t="n"/>
      <c r="ED7" s="283" t="n"/>
      <c r="EE7" s="283" t="n"/>
      <c r="EF7" s="283" t="n"/>
      <c r="EG7" s="283" t="n"/>
      <c r="EH7" s="283" t="n"/>
      <c r="EI7" s="575" t="n"/>
      <c r="EJ7" s="575" t="inlineStr">
        <is>
          <t>NAMO/25</t>
        </is>
      </c>
      <c r="EK7" s="575" t="n"/>
      <c r="EL7" s="283" t="n"/>
      <c r="EM7" s="575" t="n"/>
      <c r="EN7" s="283" t="n"/>
      <c r="EO7" s="575" t="n"/>
      <c r="EP7" s="575" t="n"/>
      <c r="EQ7" s="575" t="inlineStr">
        <is>
          <t>MÃES/25</t>
        </is>
      </c>
      <c r="ER7" s="283" t="n"/>
      <c r="ES7" s="283" t="n"/>
      <c r="ET7" s="283" t="n"/>
      <c r="EU7" s="283" t="n"/>
      <c r="EV7" s="283" t="n"/>
      <c r="EW7" s="575" t="n"/>
      <c r="EX7" s="575" t="inlineStr">
        <is>
          <t>MÃES/25</t>
        </is>
      </c>
      <c r="EY7" s="575" t="n"/>
      <c r="EZ7" s="575" t="n"/>
      <c r="FA7" s="575" t="n"/>
      <c r="FB7" s="575" t="n"/>
      <c r="FC7" s="575" t="n"/>
      <c r="FD7" s="575" t="n"/>
      <c r="FE7" s="575" t="n"/>
      <c r="FF7" s="575" t="n"/>
      <c r="FG7" s="575" t="n"/>
      <c r="FH7" s="575" t="n"/>
      <c r="FI7" s="575" t="n"/>
      <c r="FJ7" s="575" t="n"/>
      <c r="FK7" s="575" t="n"/>
      <c r="FM7" s="504" t="inlineStr">
        <is>
          <t>MÃES 2026</t>
        </is>
      </c>
      <c r="FN7" s="658" t="n"/>
      <c r="FO7" s="658" t="n"/>
      <c r="FP7" s="658" t="n"/>
      <c r="FQ7" s="658" t="n"/>
      <c r="FR7" s="658" t="n"/>
      <c r="FS7" s="658" t="n"/>
      <c r="FT7" s="658" t="n"/>
      <c r="FU7" s="658" t="n"/>
      <c r="FV7" s="505" t="n"/>
      <c r="FW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350</v>
      </c>
      <c r="E8" s="6" t="n"/>
      <c r="F8" s="38" t="n">
        <v>1040</v>
      </c>
      <c r="G8" s="38" t="n">
        <v>1040</v>
      </c>
      <c r="H8" s="38" t="n">
        <v>1560</v>
      </c>
      <c r="I8" s="38" t="n">
        <v>1380</v>
      </c>
      <c r="J8" s="38" t="n">
        <v>1320</v>
      </c>
      <c r="K8" s="38" t="n">
        <v>1200</v>
      </c>
      <c r="L8" s="38" t="n">
        <v>1160</v>
      </c>
      <c r="M8" s="38" t="n">
        <v>1100</v>
      </c>
      <c r="N8" s="38" t="n">
        <v>1020</v>
      </c>
      <c r="O8" s="38" t="n">
        <v>1000</v>
      </c>
      <c r="P8" s="38" t="n">
        <v>860</v>
      </c>
      <c r="Q8" s="38" t="n">
        <v>760</v>
      </c>
      <c r="R8" s="38" t="n">
        <v>700</v>
      </c>
      <c r="S8" s="38" t="n">
        <v>560</v>
      </c>
      <c r="T8" s="38" t="n">
        <v>480</v>
      </c>
      <c r="U8" s="38" t="n">
        <v>360</v>
      </c>
      <c r="V8" s="38" t="n">
        <v>180</v>
      </c>
      <c r="W8" s="38" t="n">
        <v>20</v>
      </c>
      <c r="X8" s="38" t="n">
        <v>620</v>
      </c>
      <c r="Y8" s="38" t="n">
        <v>360</v>
      </c>
      <c r="Z8" s="38" t="n">
        <v>580</v>
      </c>
      <c r="AA8" s="38" t="n">
        <v>500</v>
      </c>
      <c r="AB8" s="38" t="n">
        <v>500</v>
      </c>
      <c r="AC8" s="38" t="n">
        <v>300</v>
      </c>
      <c r="AD8" s="38" t="n">
        <v>240</v>
      </c>
      <c r="AE8" s="38">
        <f>140+ED8</f>
        <v/>
      </c>
      <c r="AF8" s="38" t="n">
        <v>300</v>
      </c>
      <c r="AG8" s="38" t="n">
        <v>280</v>
      </c>
      <c r="AH8" s="38" t="n">
        <v>200</v>
      </c>
      <c r="AI8" s="38" t="n">
        <v>360</v>
      </c>
      <c r="AJ8" s="38" t="n">
        <v>300</v>
      </c>
      <c r="AK8" s="38" t="n">
        <v>160</v>
      </c>
      <c r="AL8" s="38" t="n">
        <v>300</v>
      </c>
      <c r="AM8" s="38" t="n">
        <v>280</v>
      </c>
      <c r="AN8" s="38">
        <f>280+DR8</f>
        <v/>
      </c>
      <c r="AO8" s="38" t="n">
        <v>480</v>
      </c>
      <c r="AP8" s="38" t="n">
        <v>380</v>
      </c>
      <c r="AQ8" s="38" t="n">
        <v>300</v>
      </c>
      <c r="AR8" s="38" t="n">
        <v>240</v>
      </c>
      <c r="AS8" s="38" t="n">
        <v>60</v>
      </c>
      <c r="AT8" s="38" t="n">
        <v>0</v>
      </c>
      <c r="AU8" s="38">
        <f>100+DD8</f>
        <v/>
      </c>
      <c r="AV8" s="38" t="n">
        <v>280</v>
      </c>
      <c r="AW8" s="38">
        <f>180+DA8</f>
        <v/>
      </c>
      <c r="AX8" s="38" t="n">
        <v>480</v>
      </c>
      <c r="AY8" s="38" t="n">
        <v>320</v>
      </c>
      <c r="AZ8" s="38">
        <f>300+CY8</f>
        <v/>
      </c>
      <c r="BA8" s="38">
        <f>400+CX8</f>
        <v/>
      </c>
      <c r="BB8" s="38" t="n">
        <v>980</v>
      </c>
      <c r="BC8" s="38" t="n">
        <v>800</v>
      </c>
      <c r="BD8" s="38" t="n">
        <v>660</v>
      </c>
      <c r="BE8" s="38" t="n">
        <v>600</v>
      </c>
      <c r="BF8" s="38" t="n">
        <v>580</v>
      </c>
      <c r="BG8" s="38" t="n">
        <v>420</v>
      </c>
      <c r="BH8" s="38" t="n">
        <v>340</v>
      </c>
      <c r="BI8" s="38" t="n">
        <v>500</v>
      </c>
      <c r="BJ8" s="38" t="n">
        <v>460</v>
      </c>
      <c r="BK8" s="38" t="n">
        <v>400</v>
      </c>
      <c r="BL8" s="38" t="n">
        <v>540</v>
      </c>
      <c r="BM8" s="38" t="n">
        <v>460</v>
      </c>
      <c r="BN8" s="38" t="n">
        <v>360</v>
      </c>
      <c r="BO8" s="38" t="n">
        <v>300</v>
      </c>
      <c r="BP8" s="38" t="n">
        <v>200</v>
      </c>
      <c r="BQ8" s="38" t="n">
        <v>100</v>
      </c>
      <c r="BR8" s="38" t="n">
        <v>0</v>
      </c>
      <c r="BS8" s="38" t="n">
        <v>0</v>
      </c>
      <c r="BT8" s="38" t="n">
        <v>0</v>
      </c>
      <c r="BU8" s="38" t="n">
        <v>80</v>
      </c>
      <c r="BV8" s="38" t="n">
        <v>0</v>
      </c>
      <c r="BW8" s="38" t="n">
        <v>0</v>
      </c>
      <c r="BX8" s="38">
        <f>0+CK8</f>
        <v/>
      </c>
      <c r="BY8" s="38">
        <f>220+CJ8</f>
        <v/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n"/>
      <c r="CE8" s="19" t="n"/>
      <c r="CG8" s="23" t="n"/>
      <c r="CH8" s="6" t="n"/>
      <c r="CI8" s="18" t="n">
        <v>0</v>
      </c>
      <c r="CJ8" s="18" t="n">
        <v>300</v>
      </c>
      <c r="CK8" s="18" t="n">
        <v>300</v>
      </c>
      <c r="CL8" s="18" t="n"/>
      <c r="CM8" s="356" t="n"/>
      <c r="CN8" s="18" t="n"/>
      <c r="CO8" s="18" t="n"/>
      <c r="CP8" s="18" t="n">
        <v>300</v>
      </c>
      <c r="CQ8" s="18" t="n"/>
      <c r="CR8" s="18" t="n"/>
      <c r="CS8" s="18" t="n">
        <v>300</v>
      </c>
      <c r="CT8" s="18" t="n"/>
      <c r="CU8" s="18" t="n">
        <v>300</v>
      </c>
      <c r="CV8" s="18" t="n"/>
      <c r="CW8" s="18" t="n"/>
      <c r="CX8" s="18" t="n">
        <v>600</v>
      </c>
      <c r="CY8" s="18" t="n">
        <v>300</v>
      </c>
      <c r="CZ8" s="18" t="n"/>
      <c r="DA8" s="18" t="n">
        <v>300</v>
      </c>
      <c r="DB8" s="256" t="n"/>
      <c r="DC8" s="18" t="n"/>
      <c r="DD8" s="18" t="n">
        <v>300</v>
      </c>
      <c r="DE8" s="18" t="n">
        <v>300</v>
      </c>
      <c r="DF8" s="18" t="n"/>
      <c r="DG8" s="256" t="n"/>
      <c r="DH8" s="18" t="n"/>
      <c r="DI8" s="256" t="n"/>
      <c r="DJ8" s="256" t="n"/>
      <c r="DK8" s="18" t="n"/>
      <c r="DL8" s="18" t="n"/>
      <c r="DM8" s="18" t="n"/>
      <c r="DN8" s="18" t="n"/>
      <c r="DO8" s="256" t="n"/>
      <c r="DP8" s="18" t="n"/>
      <c r="DQ8" s="256" t="n"/>
      <c r="DR8" s="18" t="n">
        <v>300</v>
      </c>
      <c r="DS8" s="18" t="n"/>
      <c r="DT8" s="18" t="n"/>
      <c r="DU8" s="18" t="n">
        <v>300</v>
      </c>
      <c r="DV8" s="256" t="n"/>
      <c r="DW8" s="256" t="n"/>
      <c r="DX8" s="18" t="n"/>
      <c r="DY8" s="18" t="n">
        <v>300</v>
      </c>
      <c r="DZ8" s="18" t="n"/>
      <c r="EA8" s="18" t="n"/>
      <c r="EB8" s="256" t="n"/>
      <c r="EC8" s="256" t="n"/>
      <c r="ED8" s="18" t="n">
        <v>300</v>
      </c>
      <c r="EE8" s="18" t="n"/>
      <c r="EF8" s="18" t="n"/>
      <c r="EG8" s="18" t="n"/>
      <c r="EH8" s="18" t="n"/>
      <c r="EI8" s="256" t="n"/>
      <c r="EJ8" s="256" t="n"/>
      <c r="EK8" s="18" t="n"/>
      <c r="EL8" s="18" t="n">
        <v>300</v>
      </c>
      <c r="EM8" s="18" t="n"/>
      <c r="EN8" s="256" t="n"/>
      <c r="EO8" s="18" t="n"/>
      <c r="EP8" s="18" t="n"/>
      <c r="EQ8" s="256" t="n"/>
      <c r="ER8" s="18" t="n">
        <v>600</v>
      </c>
      <c r="ES8" s="18" t="n"/>
      <c r="ET8" s="18" t="n"/>
      <c r="EU8" s="18" t="n"/>
      <c r="EV8" s="18" t="n"/>
      <c r="EW8" s="18" t="n"/>
      <c r="EX8" s="256" t="n"/>
      <c r="EY8" s="18" t="n"/>
      <c r="EZ8" s="18" t="n"/>
      <c r="FA8" s="18" t="n"/>
      <c r="FB8" s="18" t="n"/>
      <c r="FC8" s="18" t="n"/>
      <c r="FD8" s="18" t="n"/>
      <c r="FE8" s="18" t="n"/>
      <c r="FF8" s="18" t="n"/>
      <c r="FG8" s="18" t="n"/>
      <c r="FH8" s="256" t="n"/>
      <c r="FI8" s="18" t="n">
        <v>600</v>
      </c>
      <c r="FJ8" s="18" t="n"/>
      <c r="FK8" s="18" t="n"/>
      <c r="FM8" s="267" t="inlineStr">
        <is>
          <t xml:space="preserve">SACOLAS </t>
        </is>
      </c>
      <c r="FN8" s="205" t="inlineStr">
        <is>
          <t>PCT</t>
        </is>
      </c>
      <c r="FO8" s="650" t="n">
        <v>46118</v>
      </c>
      <c r="FP8" s="650" t="n">
        <v>46125</v>
      </c>
      <c r="FQ8" s="650" t="n">
        <v>46132</v>
      </c>
      <c r="FR8" s="650" t="n">
        <v>46139</v>
      </c>
      <c r="FS8" s="650" t="n">
        <v>46146</v>
      </c>
      <c r="FT8" s="650" t="n">
        <v>46154</v>
      </c>
      <c r="FU8" s="650" t="n">
        <v>46160</v>
      </c>
      <c r="FV8" s="650" t="n">
        <v>46160</v>
      </c>
      <c r="FW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800</v>
      </c>
      <c r="E9" s="6" t="n"/>
      <c r="F9" s="38" t="n">
        <v>360</v>
      </c>
      <c r="G9" s="38" t="n">
        <v>1620</v>
      </c>
      <c r="H9" s="38">
        <f>1960+FG9</f>
        <v/>
      </c>
      <c r="I9" s="38">
        <f>2280+FF9</f>
        <v/>
      </c>
      <c r="J9" s="38" t="n">
        <v>2600</v>
      </c>
      <c r="K9" s="38" t="n">
        <v>2320</v>
      </c>
      <c r="L9" s="38" t="n">
        <v>2260</v>
      </c>
      <c r="M9" s="38" t="n">
        <v>1840</v>
      </c>
      <c r="N9" s="38">
        <f>1620-200</f>
        <v/>
      </c>
      <c r="O9" s="38" t="n">
        <v>1820</v>
      </c>
      <c r="P9" s="38">
        <f>1440+EY9</f>
        <v/>
      </c>
      <c r="Q9" s="38" t="n">
        <v>1780</v>
      </c>
      <c r="R9" s="38" t="n">
        <v>1620</v>
      </c>
      <c r="S9" s="38" t="n">
        <v>1640</v>
      </c>
      <c r="T9" s="38" t="n">
        <v>1600</v>
      </c>
      <c r="U9" s="38" t="n">
        <v>720</v>
      </c>
      <c r="V9" s="38" t="n">
        <v>720</v>
      </c>
      <c r="W9" s="38" t="n">
        <v>720</v>
      </c>
      <c r="X9" s="38" t="n">
        <v>720</v>
      </c>
      <c r="Y9" s="38" t="n">
        <v>380</v>
      </c>
      <c r="Z9" s="38">
        <f>80+200</f>
        <v/>
      </c>
      <c r="AA9" s="38" t="n">
        <v>600</v>
      </c>
      <c r="AB9" s="38">
        <f>300+EG9</f>
        <v/>
      </c>
      <c r="AC9" s="38">
        <f>160+200</f>
        <v/>
      </c>
      <c r="AD9" s="38" t="n">
        <v>1040</v>
      </c>
      <c r="AE9" s="38" t="n">
        <v>740</v>
      </c>
      <c r="AF9" s="38">
        <f>560+EA9</f>
        <v/>
      </c>
      <c r="AG9" s="38">
        <f>600+DZ9</f>
        <v/>
      </c>
      <c r="AH9" s="38" t="n">
        <v>580</v>
      </c>
      <c r="AI9" s="38" t="n">
        <v>440</v>
      </c>
      <c r="AJ9" s="38" t="n">
        <v>1140</v>
      </c>
      <c r="AK9" s="38" t="n">
        <v>920</v>
      </c>
      <c r="AL9" s="38" t="n">
        <v>420</v>
      </c>
      <c r="AM9" s="38" t="n">
        <v>240</v>
      </c>
      <c r="AN9" s="38" t="n">
        <v>620</v>
      </c>
      <c r="AO9" s="38" t="n">
        <v>600</v>
      </c>
      <c r="AP9" s="38" t="n">
        <v>460</v>
      </c>
      <c r="AQ9" s="38" t="n">
        <v>520</v>
      </c>
      <c r="AR9" s="38" t="n">
        <v>280</v>
      </c>
      <c r="AS9" s="38" t="n">
        <v>400</v>
      </c>
      <c r="AT9" s="38" t="n">
        <v>140</v>
      </c>
      <c r="AU9" s="38">
        <f>220+DD9</f>
        <v/>
      </c>
      <c r="AV9" s="38">
        <f>400+DC9</f>
        <v/>
      </c>
      <c r="AW9" s="38" t="n">
        <v>480</v>
      </c>
      <c r="AX9" s="38">
        <f>480+CZ9</f>
        <v/>
      </c>
      <c r="AY9" s="38" t="n">
        <v>800</v>
      </c>
      <c r="AZ9" s="38" t="n">
        <v>600</v>
      </c>
      <c r="BA9" s="38" t="n">
        <v>600</v>
      </c>
      <c r="BB9" s="38" t="n">
        <v>600</v>
      </c>
      <c r="BC9" s="38" t="n">
        <v>600</v>
      </c>
      <c r="BD9" s="38" t="n">
        <v>600</v>
      </c>
      <c r="BE9" s="38" t="n">
        <v>300</v>
      </c>
      <c r="BF9" s="38" t="n">
        <v>380</v>
      </c>
      <c r="BG9" s="38" t="n">
        <v>0</v>
      </c>
      <c r="BH9" s="38" t="n">
        <v>340</v>
      </c>
      <c r="BI9" s="38" t="n">
        <v>1040</v>
      </c>
      <c r="BJ9" s="38">
        <f>1040+CQ9</f>
        <v/>
      </c>
      <c r="BK9" s="38" t="n">
        <v>1520</v>
      </c>
      <c r="BL9" s="38" t="n">
        <v>1840</v>
      </c>
      <c r="BM9" s="38" t="n">
        <v>1600</v>
      </c>
      <c r="BN9" s="38" t="n">
        <v>1580</v>
      </c>
      <c r="BO9" s="38" t="n">
        <v>1460</v>
      </c>
      <c r="BP9" s="38" t="n">
        <v>1080</v>
      </c>
      <c r="BQ9" s="38" t="n">
        <v>1060</v>
      </c>
      <c r="BR9" s="38" t="n">
        <v>1000</v>
      </c>
      <c r="BS9" s="38" t="n">
        <v>200</v>
      </c>
      <c r="BT9" s="38" t="n">
        <v>100</v>
      </c>
      <c r="BU9" s="38" t="n">
        <v>460</v>
      </c>
      <c r="BV9" s="38" t="n">
        <v>400</v>
      </c>
      <c r="BW9" s="38" t="n">
        <v>400</v>
      </c>
      <c r="BX9" s="38" t="n">
        <v>400</v>
      </c>
      <c r="BY9" s="38" t="n">
        <v>400</v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E9" s="19" t="n"/>
      <c r="CG9" s="23" t="n"/>
      <c r="CH9" s="6" t="n"/>
      <c r="CI9" s="18" t="n">
        <v>0</v>
      </c>
      <c r="CJ9" s="18" t="n">
        <v>0</v>
      </c>
      <c r="CK9" s="18" t="n">
        <v>0</v>
      </c>
      <c r="CL9" s="18" t="n">
        <v>400</v>
      </c>
      <c r="CM9" s="256" t="n">
        <v>2600</v>
      </c>
      <c r="CN9" s="18" t="n"/>
      <c r="CO9" s="18" t="n">
        <v>400</v>
      </c>
      <c r="CP9" s="18" t="n">
        <v>600</v>
      </c>
      <c r="CQ9" s="18" t="n">
        <v>800</v>
      </c>
      <c r="CR9" s="18" t="n">
        <v>400</v>
      </c>
      <c r="CS9" s="18" t="n">
        <v>800</v>
      </c>
      <c r="CT9" s="18" t="n">
        <v>600</v>
      </c>
      <c r="CU9" s="18" t="n">
        <v>800</v>
      </c>
      <c r="CV9" s="18" t="n">
        <v>400</v>
      </c>
      <c r="CW9" s="18" t="n"/>
      <c r="CX9" s="18" t="n"/>
      <c r="CY9" s="18" t="n"/>
      <c r="CZ9" s="18" t="n">
        <v>400</v>
      </c>
      <c r="DA9" s="18" t="n"/>
      <c r="DB9" s="256" t="n"/>
      <c r="DC9" s="18" t="n">
        <v>400</v>
      </c>
      <c r="DD9" s="18" t="n">
        <v>400</v>
      </c>
      <c r="DE9" s="18" t="n"/>
      <c r="DF9" s="18" t="n">
        <v>400</v>
      </c>
      <c r="DG9" s="256" t="n">
        <v>2000</v>
      </c>
      <c r="DH9" s="18" t="n"/>
      <c r="DI9" s="256" t="n"/>
      <c r="DJ9" s="256" t="n"/>
      <c r="DK9" s="18" t="n">
        <v>400</v>
      </c>
      <c r="DL9" s="18" t="n"/>
      <c r="DM9" s="18" t="n">
        <v>400</v>
      </c>
      <c r="DN9" s="18" t="n">
        <v>200</v>
      </c>
      <c r="DO9" s="256" t="n"/>
      <c r="DP9" s="18" t="n"/>
      <c r="DQ9" s="256" t="n"/>
      <c r="DR9" s="18" t="n">
        <v>200</v>
      </c>
      <c r="DS9" s="18" t="n">
        <v>600</v>
      </c>
      <c r="DT9" s="18" t="n"/>
      <c r="DU9" s="18" t="n"/>
      <c r="DV9" s="256" t="n"/>
      <c r="DW9" s="256" t="n"/>
      <c r="DX9" s="18" t="n">
        <v>800</v>
      </c>
      <c r="DY9" s="18" t="n">
        <v>400</v>
      </c>
      <c r="DZ9" s="18" t="n">
        <v>200</v>
      </c>
      <c r="EA9" s="18" t="n">
        <v>200</v>
      </c>
      <c r="EB9" s="256" t="n"/>
      <c r="EC9" s="256" t="n"/>
      <c r="ED9" s="18" t="n"/>
      <c r="EE9" s="18" t="n">
        <v>1000</v>
      </c>
      <c r="EF9" s="241" t="inlineStr">
        <is>
          <t>200 DE ATC</t>
        </is>
      </c>
      <c r="EG9" s="18" t="n">
        <v>200</v>
      </c>
      <c r="EH9" s="18" t="n">
        <v>600</v>
      </c>
      <c r="EI9" s="241" t="inlineStr">
        <is>
          <t>200 DE BQ</t>
        </is>
      </c>
      <c r="EJ9" s="256" t="n"/>
      <c r="EK9" s="18" t="n"/>
      <c r="EL9" s="18" t="n"/>
      <c r="EM9" s="18" t="n"/>
      <c r="EN9" s="256" t="n"/>
      <c r="EO9" s="18" t="n"/>
      <c r="EP9" s="18" t="n"/>
      <c r="EQ9" s="256" t="n"/>
      <c r="ER9" s="18" t="n"/>
      <c r="ES9" s="18" t="n"/>
      <c r="ET9" s="18" t="n"/>
      <c r="EU9" s="18" t="n"/>
      <c r="EV9" s="18" t="n"/>
      <c r="EW9" s="18" t="n"/>
      <c r="EX9" s="256" t="n">
        <v>1600</v>
      </c>
      <c r="EY9" s="18" t="n">
        <v>600</v>
      </c>
      <c r="EZ9" s="18" t="n"/>
      <c r="FA9" s="241" t="inlineStr">
        <is>
          <t>200 P/ ATC</t>
        </is>
      </c>
      <c r="FB9" s="18" t="n">
        <v>600</v>
      </c>
      <c r="FC9" s="18" t="n"/>
      <c r="FD9" s="18" t="n"/>
      <c r="FE9" s="18" t="n"/>
      <c r="FF9" s="18" t="n">
        <v>600</v>
      </c>
      <c r="FG9" s="18" t="n">
        <v>400</v>
      </c>
      <c r="FH9" s="256" t="n"/>
      <c r="FI9" s="18" t="n">
        <v>800</v>
      </c>
      <c r="FJ9" s="18" t="n"/>
      <c r="FK9" s="18" t="n">
        <v>1600</v>
      </c>
      <c r="FM9" s="159" t="inlineStr">
        <is>
          <t xml:space="preserve">SACOLA P </t>
        </is>
      </c>
      <c r="FN9" s="129" t="n">
        <v>200</v>
      </c>
      <c r="FO9" s="38">
        <f>CM9</f>
        <v/>
      </c>
      <c r="FP9" s="38" t="n">
        <v>2460</v>
      </c>
      <c r="FQ9" s="38" t="n">
        <v>2300</v>
      </c>
      <c r="FR9" s="38" t="n">
        <v>2100</v>
      </c>
      <c r="FS9" s="38" t="n">
        <v>1740</v>
      </c>
      <c r="FT9" s="38" t="n">
        <v>740</v>
      </c>
      <c r="FU9" s="38" t="n"/>
      <c r="FV9" s="38" t="n"/>
      <c r="FW9" s="246">
        <f>FU9+IF(NOT(ISBLANK(OFFSET(FW9,0,6))),N(OFFSET(FW9,0,6)),N(OFFSET(FW9,0,7)))-FV9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500</v>
      </c>
      <c r="E10" s="6" t="n"/>
      <c r="F10" s="38" t="n">
        <v>520</v>
      </c>
      <c r="G10" s="38" t="n">
        <v>440</v>
      </c>
      <c r="H10" s="38">
        <f>800+FG10</f>
        <v/>
      </c>
      <c r="I10" s="38" t="n">
        <v>1080</v>
      </c>
      <c r="J10" s="38" t="n">
        <v>1020</v>
      </c>
      <c r="K10" s="38" t="n">
        <v>880</v>
      </c>
      <c r="L10" s="38" t="n">
        <v>800</v>
      </c>
      <c r="M10" s="38" t="n">
        <v>640</v>
      </c>
      <c r="N10" s="38" t="n">
        <v>460</v>
      </c>
      <c r="O10" s="38">
        <f>320+EZ10</f>
        <v/>
      </c>
      <c r="P10" s="38">
        <f>500+EY10</f>
        <v/>
      </c>
      <c r="Q10" s="38" t="n">
        <v>540</v>
      </c>
      <c r="R10" s="38">
        <f>420+EV10</f>
        <v/>
      </c>
      <c r="S10" s="38" t="n">
        <v>440</v>
      </c>
      <c r="T10" s="38">
        <f>400+ET10</f>
        <v/>
      </c>
      <c r="U10" s="38" t="n">
        <v>500</v>
      </c>
      <c r="V10" s="38" t="n">
        <v>500</v>
      </c>
      <c r="W10" s="38" t="n">
        <v>500</v>
      </c>
      <c r="X10" s="38" t="n">
        <v>500</v>
      </c>
      <c r="Y10" s="38" t="n">
        <v>400</v>
      </c>
      <c r="Z10" s="38" t="n">
        <v>220</v>
      </c>
      <c r="AA10" s="38" t="n">
        <v>320</v>
      </c>
      <c r="AB10" s="38" t="n">
        <v>230</v>
      </c>
      <c r="AC10" s="38" t="n">
        <v>230</v>
      </c>
      <c r="AD10" s="38" t="n">
        <v>220</v>
      </c>
      <c r="AE10" s="38">
        <f>200+ED10</f>
        <v/>
      </c>
      <c r="AF10" s="38" t="n">
        <v>400</v>
      </c>
      <c r="AG10" s="38" t="n">
        <v>400</v>
      </c>
      <c r="AH10" s="38" t="n">
        <v>280</v>
      </c>
      <c r="AI10" s="38" t="n">
        <v>160</v>
      </c>
      <c r="AJ10" s="38" t="n">
        <v>160</v>
      </c>
      <c r="AK10" s="38" t="n">
        <v>160</v>
      </c>
      <c r="AL10" s="38" t="n">
        <v>160</v>
      </c>
      <c r="AM10" s="38" t="n">
        <v>140</v>
      </c>
      <c r="AN10" s="38" t="n">
        <v>420</v>
      </c>
      <c r="AO10" s="38" t="n">
        <v>300</v>
      </c>
      <c r="AP10" s="38" t="n">
        <v>380</v>
      </c>
      <c r="AQ10" s="38" t="n">
        <v>460</v>
      </c>
      <c r="AR10" s="38" t="n">
        <v>260</v>
      </c>
      <c r="AS10" s="38" t="n">
        <v>620</v>
      </c>
      <c r="AT10" s="38" t="n">
        <v>400</v>
      </c>
      <c r="AU10" s="38">
        <f>240+DD10</f>
        <v/>
      </c>
      <c r="AV10" s="38" t="n">
        <v>400</v>
      </c>
      <c r="AW10" s="38" t="n">
        <v>200</v>
      </c>
      <c r="AX10" s="38">
        <f>80+CZ10</f>
        <v/>
      </c>
      <c r="AY10" s="38" t="n">
        <v>200</v>
      </c>
      <c r="AZ10" s="38" t="n">
        <v>200</v>
      </c>
      <c r="BA10" s="38" t="n">
        <v>200</v>
      </c>
      <c r="BB10" s="38" t="n">
        <v>200</v>
      </c>
      <c r="BC10" s="38" t="n">
        <v>200</v>
      </c>
      <c r="BD10" s="38" t="n">
        <v>180</v>
      </c>
      <c r="BE10" s="38" t="n">
        <v>0</v>
      </c>
      <c r="BF10" s="38" t="n">
        <v>840</v>
      </c>
      <c r="BG10" s="38" t="n">
        <v>480</v>
      </c>
      <c r="BH10" s="38" t="n">
        <v>800</v>
      </c>
      <c r="BI10" s="38" t="n">
        <v>1040</v>
      </c>
      <c r="BJ10" s="38" t="n">
        <v>860</v>
      </c>
      <c r="BK10" s="38" t="n">
        <v>800</v>
      </c>
      <c r="BL10" s="38" t="n">
        <v>760</v>
      </c>
      <c r="BM10" s="38" t="n">
        <v>680</v>
      </c>
      <c r="BN10" s="38" t="n">
        <v>780</v>
      </c>
      <c r="BO10" s="38" t="n">
        <v>500</v>
      </c>
      <c r="BP10" s="38" t="n">
        <v>540</v>
      </c>
      <c r="BQ10" s="38">
        <f>520+CN10</f>
        <v/>
      </c>
      <c r="BR10" s="38" t="n">
        <v>500</v>
      </c>
      <c r="BS10" s="38" t="n">
        <v>200</v>
      </c>
      <c r="BT10" s="38" t="n">
        <v>180</v>
      </c>
      <c r="BU10" s="38" t="n">
        <v>440</v>
      </c>
      <c r="BV10" s="38" t="n">
        <v>400</v>
      </c>
      <c r="BW10" s="38" t="n">
        <v>400</v>
      </c>
      <c r="BX10" s="38" t="n">
        <v>200</v>
      </c>
      <c r="BY10" s="38" t="n">
        <v>200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19" t="n">
        <v>200</v>
      </c>
      <c r="CF10" s="4" t="n"/>
      <c r="CG10" s="23" t="n"/>
      <c r="CH10" s="6" t="n"/>
      <c r="CI10" s="18" t="n">
        <v>0</v>
      </c>
      <c r="CJ10" s="18" t="n">
        <v>0</v>
      </c>
      <c r="CK10" s="18" t="n">
        <v>0</v>
      </c>
      <c r="CL10" s="18" t="n">
        <v>200</v>
      </c>
      <c r="CM10" s="256" t="n">
        <v>1200</v>
      </c>
      <c r="CN10" s="18" t="n">
        <v>200</v>
      </c>
      <c r="CO10" s="18" t="n">
        <v>200</v>
      </c>
      <c r="CP10" s="18" t="n">
        <v>200</v>
      </c>
      <c r="CQ10" s="18" t="n"/>
      <c r="CR10" s="18" t="n"/>
      <c r="CS10" s="18" t="n">
        <v>400</v>
      </c>
      <c r="CT10" s="18" t="n">
        <v>400</v>
      </c>
      <c r="CU10" s="18" t="n">
        <v>600</v>
      </c>
      <c r="CV10" s="18" t="n">
        <v>200</v>
      </c>
      <c r="CW10" s="18" t="n"/>
      <c r="CX10" s="18" t="n"/>
      <c r="CY10" s="18" t="n"/>
      <c r="CZ10" s="18" t="n">
        <v>200</v>
      </c>
      <c r="DA10" s="18" t="n"/>
      <c r="DB10" s="256" t="n"/>
      <c r="DC10" s="18" t="n"/>
      <c r="DD10" s="18" t="n">
        <v>200</v>
      </c>
      <c r="DE10" s="18" t="n"/>
      <c r="DF10" s="18" t="n"/>
      <c r="DG10" s="256" t="n">
        <v>1400</v>
      </c>
      <c r="DH10" s="18" t="n">
        <v>200</v>
      </c>
      <c r="DI10" s="378" t="inlineStr">
        <is>
          <t>100 DE PB</t>
        </is>
      </c>
      <c r="DJ10" s="256" t="n"/>
      <c r="DK10" s="18" t="n">
        <v>200</v>
      </c>
      <c r="DL10" s="18" t="n"/>
      <c r="DM10" s="18" t="n">
        <v>200</v>
      </c>
      <c r="DN10" s="18" t="n">
        <v>200</v>
      </c>
      <c r="DO10" s="256" t="n"/>
      <c r="DP10" s="18" t="n"/>
      <c r="DQ10" s="256" t="n"/>
      <c r="DR10" s="18" t="n"/>
      <c r="DS10" s="18" t="n">
        <v>400</v>
      </c>
      <c r="DT10" s="18" t="n"/>
      <c r="DU10" s="18" t="n"/>
      <c r="DV10" s="256" t="n"/>
      <c r="DW10" s="256" t="n"/>
      <c r="DX10" s="18" t="n"/>
      <c r="DY10" s="18" t="n"/>
      <c r="DZ10" s="18" t="n"/>
      <c r="EA10" s="18" t="n"/>
      <c r="EB10" s="256" t="n"/>
      <c r="EC10" s="256" t="n">
        <v>800</v>
      </c>
      <c r="ED10" s="18" t="n">
        <v>200</v>
      </c>
      <c r="EE10" s="18" t="n"/>
      <c r="EF10" s="18" t="n"/>
      <c r="EG10" s="18" t="n"/>
      <c r="EH10" s="18" t="n">
        <v>200</v>
      </c>
      <c r="EI10" s="256" t="n"/>
      <c r="EJ10" s="256" t="n"/>
      <c r="EK10" s="18" t="n"/>
      <c r="EL10" s="18" t="n"/>
      <c r="EM10" s="18" t="n"/>
      <c r="EN10" s="256" t="n">
        <v>800</v>
      </c>
      <c r="EO10" s="18" t="n"/>
      <c r="EP10" s="18" t="n"/>
      <c r="EQ10" s="256" t="n"/>
      <c r="ER10" s="18" t="n"/>
      <c r="ES10" s="18" t="n"/>
      <c r="ET10" s="18" t="n">
        <v>200</v>
      </c>
      <c r="EU10" s="18" t="n"/>
      <c r="EV10" s="18" t="n">
        <v>200</v>
      </c>
      <c r="EW10" s="18" t="n"/>
      <c r="EX10" s="256" t="n">
        <v>1000</v>
      </c>
      <c r="EY10" s="18" t="n">
        <v>200</v>
      </c>
      <c r="EZ10" s="18" t="n">
        <v>400</v>
      </c>
      <c r="FA10" s="18" t="n"/>
      <c r="FB10" s="18" t="n"/>
      <c r="FC10" s="18" t="n"/>
      <c r="FD10" s="18" t="n"/>
      <c r="FE10" s="18" t="n"/>
      <c r="FF10" s="18" t="n"/>
      <c r="FG10" s="18" t="n">
        <v>400</v>
      </c>
      <c r="FH10" s="256" t="n"/>
      <c r="FI10" s="18" t="n">
        <v>400</v>
      </c>
      <c r="FJ10" s="18" t="n"/>
      <c r="FK10" s="18" t="n">
        <v>200</v>
      </c>
      <c r="FM10" s="29" t="inlineStr">
        <is>
          <t xml:space="preserve">SACOLA M </t>
        </is>
      </c>
      <c r="FN10" s="9" t="n">
        <v>200</v>
      </c>
      <c r="FO10" s="38">
        <f>CM10</f>
        <v/>
      </c>
      <c r="FP10" s="38" t="n">
        <v>960</v>
      </c>
      <c r="FQ10" s="38" t="n">
        <v>880</v>
      </c>
      <c r="FR10" s="38" t="n">
        <v>800</v>
      </c>
      <c r="FS10" s="38" t="n">
        <v>800</v>
      </c>
      <c r="FT10" s="38" t="n">
        <v>80</v>
      </c>
      <c r="FU10" s="38" t="n"/>
      <c r="FV10" s="38" t="n"/>
      <c r="FW10" s="246">
        <f>FU10+IF(NOT(ISBLANK(OFFSET(FW10,0,6))),N(OFFSET(FW10,0,6)),N(OFFSET(FW10,0,7)))-FV10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60</v>
      </c>
      <c r="E11" s="6" t="n"/>
      <c r="F11" s="38" t="n">
        <v>80</v>
      </c>
      <c r="G11" s="38" t="n">
        <v>20</v>
      </c>
      <c r="H11" s="38" t="n">
        <v>120</v>
      </c>
      <c r="I11" s="38" t="n">
        <v>120</v>
      </c>
      <c r="J11" s="38" t="n">
        <v>120</v>
      </c>
      <c r="K11" s="38" t="n">
        <v>80</v>
      </c>
      <c r="L11" s="38" t="n">
        <v>80</v>
      </c>
      <c r="M11" s="38" t="n">
        <v>60</v>
      </c>
      <c r="N11" s="38" t="n">
        <v>60</v>
      </c>
      <c r="O11" s="38" t="n">
        <v>140</v>
      </c>
      <c r="P11" s="38" t="n">
        <v>140</v>
      </c>
      <c r="Q11" s="38" t="n">
        <v>140</v>
      </c>
      <c r="R11" s="38" t="n">
        <v>140</v>
      </c>
      <c r="S11" s="38" t="n">
        <v>120</v>
      </c>
      <c r="T11" s="38" t="n">
        <v>100</v>
      </c>
      <c r="U11" s="38" t="n">
        <v>100</v>
      </c>
      <c r="V11" s="38" t="n">
        <v>100</v>
      </c>
      <c r="W11" s="38" t="n">
        <v>100</v>
      </c>
      <c r="X11" s="38" t="n">
        <v>150</v>
      </c>
      <c r="Y11" s="38" t="n">
        <v>120</v>
      </c>
      <c r="Z11" s="38" t="n">
        <v>100</v>
      </c>
      <c r="AA11" s="38" t="n">
        <v>100</v>
      </c>
      <c r="AB11" s="38" t="n">
        <v>80</v>
      </c>
      <c r="AC11" s="38" t="n">
        <v>60</v>
      </c>
      <c r="AD11" s="38" t="n">
        <v>60</v>
      </c>
      <c r="AE11" s="38" t="n">
        <v>40</v>
      </c>
      <c r="AF11" s="38">
        <f>0+EA11</f>
        <v/>
      </c>
      <c r="AG11" s="38" t="n">
        <v>80</v>
      </c>
      <c r="AH11" s="38" t="n">
        <v>80</v>
      </c>
      <c r="AI11" s="38" t="n">
        <v>60</v>
      </c>
      <c r="AJ11" s="38" t="n">
        <v>60</v>
      </c>
      <c r="AK11" s="38" t="n">
        <v>60</v>
      </c>
      <c r="AL11" s="38" t="n">
        <v>40</v>
      </c>
      <c r="AM11" s="38" t="n">
        <v>20</v>
      </c>
      <c r="AN11" s="38" t="n">
        <v>120</v>
      </c>
      <c r="AO11" s="38" t="n">
        <v>80</v>
      </c>
      <c r="AP11" s="38" t="n">
        <v>80</v>
      </c>
      <c r="AQ11" s="38" t="n">
        <v>60</v>
      </c>
      <c r="AR11" s="38" t="n">
        <v>60</v>
      </c>
      <c r="AS11" s="38" t="n">
        <v>60</v>
      </c>
      <c r="AT11" s="38" t="n">
        <v>40</v>
      </c>
      <c r="AU11" s="38" t="n">
        <v>40</v>
      </c>
      <c r="AV11" s="38" t="n">
        <v>20</v>
      </c>
      <c r="AW11" s="38" t="n">
        <v>20</v>
      </c>
      <c r="AX11" s="38">
        <f>20+CZ11</f>
        <v/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80</v>
      </c>
      <c r="BF11" s="38" t="n">
        <v>40</v>
      </c>
      <c r="BG11" s="38" t="n">
        <v>0</v>
      </c>
      <c r="BH11" s="38" t="n">
        <v>0</v>
      </c>
      <c r="BI11" s="38" t="n">
        <v>60</v>
      </c>
      <c r="BJ11" s="38">
        <f>60+CQ11</f>
        <v/>
      </c>
      <c r="BK11" s="38" t="n">
        <v>160</v>
      </c>
      <c r="BL11" s="38" t="n">
        <v>120</v>
      </c>
      <c r="BM11" s="38" t="n">
        <v>120</v>
      </c>
      <c r="BN11" s="38" t="n">
        <v>100</v>
      </c>
      <c r="BO11" s="38" t="n">
        <v>60</v>
      </c>
      <c r="BP11" s="38" t="n">
        <v>20</v>
      </c>
      <c r="BQ11" s="38" t="n">
        <v>20</v>
      </c>
      <c r="BR11" s="38" t="n">
        <v>20</v>
      </c>
      <c r="BS11" s="38" t="n">
        <v>20</v>
      </c>
      <c r="BT11" s="38" t="n">
        <v>20</v>
      </c>
      <c r="BU11" s="38" t="n">
        <v>120</v>
      </c>
      <c r="BV11" s="38" t="n">
        <v>120</v>
      </c>
      <c r="BW11" s="38" t="n">
        <v>120</v>
      </c>
      <c r="BX11" s="38" t="n">
        <v>120</v>
      </c>
      <c r="BY11" s="38" t="n">
        <v>120</v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n"/>
      <c r="CE11" s="19" t="n"/>
      <c r="CF11" s="4" t="n"/>
      <c r="CG11" s="23" t="n"/>
      <c r="CH11" s="6" t="n"/>
      <c r="CI11" s="18" t="n">
        <v>0</v>
      </c>
      <c r="CJ11" s="18" t="n">
        <v>0</v>
      </c>
      <c r="CK11" s="18" t="n">
        <v>0</v>
      </c>
      <c r="CL11" s="18" t="n"/>
      <c r="CM11" s="256" t="n">
        <v>200</v>
      </c>
      <c r="CN11" s="18" t="n"/>
      <c r="CO11" s="18" t="n"/>
      <c r="CP11" s="18" t="n"/>
      <c r="CQ11" s="18" t="n">
        <v>100</v>
      </c>
      <c r="CR11" s="18" t="n"/>
      <c r="CS11" s="18" t="n">
        <v>100</v>
      </c>
      <c r="CT11" s="18" t="n"/>
      <c r="CU11" s="18" t="n"/>
      <c r="CV11" s="18" t="n"/>
      <c r="CW11" s="18" t="n"/>
      <c r="CX11" s="18" t="n"/>
      <c r="CY11" s="18" t="n"/>
      <c r="CZ11" s="18" t="n">
        <v>100</v>
      </c>
      <c r="DA11" s="18" t="n"/>
      <c r="DB11" s="256" t="n"/>
      <c r="DC11" s="18" t="n"/>
      <c r="DD11" s="18" t="n"/>
      <c r="DE11" s="18" t="n"/>
      <c r="DF11" s="18" t="n"/>
      <c r="DG11" s="256" t="n">
        <v>300</v>
      </c>
      <c r="DH11" s="18" t="n"/>
      <c r="DI11" s="256" t="n"/>
      <c r="DJ11" s="256" t="n"/>
      <c r="DK11" s="18" t="n"/>
      <c r="DL11" s="18" t="n"/>
      <c r="DM11" s="18" t="n"/>
      <c r="DN11" s="18" t="n"/>
      <c r="DO11" s="256" t="n"/>
      <c r="DP11" s="18" t="n"/>
      <c r="DQ11" s="256" t="n"/>
      <c r="DR11" s="18" t="n"/>
      <c r="DS11" s="18" t="n">
        <v>100</v>
      </c>
      <c r="DT11" s="18" t="n"/>
      <c r="DU11" s="18" t="n"/>
      <c r="DV11" s="256" t="n"/>
      <c r="DW11" s="256" t="n"/>
      <c r="DX11" s="18" t="n"/>
      <c r="DY11" s="18" t="n"/>
      <c r="DZ11" s="18" t="n"/>
      <c r="EA11" s="18" t="n">
        <v>100</v>
      </c>
      <c r="EB11" s="256" t="n"/>
      <c r="EC11" s="256" t="n"/>
      <c r="ED11" s="18" t="n"/>
      <c r="EE11" s="18" t="n"/>
      <c r="EF11" s="18" t="n"/>
      <c r="EG11" s="18" t="n"/>
      <c r="EH11" s="18" t="n"/>
      <c r="EI11" s="256" t="n"/>
      <c r="EJ11" s="312" t="inlineStr">
        <is>
          <t>50 DE BQ</t>
        </is>
      </c>
      <c r="EK11" s="18" t="n"/>
      <c r="EL11" s="18" t="n"/>
      <c r="EM11" s="18" t="n"/>
      <c r="EN11" s="256" t="n"/>
      <c r="EO11" s="18" t="n"/>
      <c r="EP11" s="18" t="n"/>
      <c r="EQ11" s="256" t="n"/>
      <c r="ER11" s="18" t="n"/>
      <c r="ES11" s="18" t="n">
        <v>100</v>
      </c>
      <c r="ET11" s="18" t="n"/>
      <c r="EU11" s="18" t="n"/>
      <c r="EV11" s="18" t="n"/>
      <c r="EW11" s="18" t="n"/>
      <c r="EX11" s="256" t="n">
        <v>200</v>
      </c>
      <c r="EY11" s="18" t="n"/>
      <c r="EZ11" s="18" t="n"/>
      <c r="FA11" s="18" t="n"/>
      <c r="FB11" s="18" t="n">
        <v>100</v>
      </c>
      <c r="FC11" s="18" t="n"/>
      <c r="FD11" s="18" t="n"/>
      <c r="FE11" s="18" t="n"/>
      <c r="FF11" s="18" t="n"/>
      <c r="FG11" s="18" t="n"/>
      <c r="FH11" s="256" t="n"/>
      <c r="FI11" s="18" t="n">
        <v>100</v>
      </c>
      <c r="FJ11" s="18" t="n"/>
      <c r="FK11" s="18" t="n"/>
      <c r="FM11" s="30" t="inlineStr">
        <is>
          <t xml:space="preserve">SACOLA G </t>
        </is>
      </c>
      <c r="FN11" s="9" t="n">
        <v>100</v>
      </c>
      <c r="FO11" s="38">
        <f>CM11</f>
        <v/>
      </c>
      <c r="FP11" s="38" t="n">
        <v>120</v>
      </c>
      <c r="FQ11" s="38" t="n">
        <v>140</v>
      </c>
      <c r="FR11" s="38" t="n">
        <v>120</v>
      </c>
      <c r="FS11" s="38" t="n">
        <v>120</v>
      </c>
      <c r="FT11" s="38" t="n">
        <v>40</v>
      </c>
      <c r="FU11" s="38" t="n"/>
      <c r="FV11" s="38" t="n"/>
      <c r="FW11" s="246">
        <f>FU11+IF(NOT(ISBLANK(OFFSET(FW11,0,6))),N(OFFSET(FW11,0,6)),N(OFFSET(FW11,0,7)))-FV11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11" t="n"/>
      <c r="CF12" s="4" t="n"/>
      <c r="CG12" s="4" t="n"/>
      <c r="CH12" s="6" t="n"/>
      <c r="CI12" s="24" t="n"/>
      <c r="CJ12" s="24" t="n"/>
      <c r="CK12" s="24" t="n"/>
      <c r="CL12" s="24" t="n"/>
      <c r="CM12" s="257" t="n"/>
      <c r="CN12" s="24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57" t="n"/>
      <c r="DC12" s="24" t="n"/>
      <c r="DD12" s="24" t="n"/>
      <c r="DE12" s="24" t="n"/>
      <c r="DF12" s="24" t="n"/>
      <c r="DG12" s="257" t="n"/>
      <c r="DH12" s="24" t="n"/>
      <c r="DI12" s="24" t="n"/>
      <c r="DJ12" s="24" t="n"/>
      <c r="DK12" s="24" t="n"/>
      <c r="DL12" s="24" t="n"/>
      <c r="DM12" s="24" t="n"/>
      <c r="DN12" s="24" t="n"/>
      <c r="DO12" s="257" t="n"/>
      <c r="DP12" s="24" t="n"/>
      <c r="DQ12" s="257" t="n"/>
      <c r="DR12" s="24" t="n"/>
      <c r="DS12" s="24" t="n"/>
      <c r="DT12" s="24" t="n"/>
      <c r="DU12" s="24" t="n"/>
      <c r="DV12" s="257" t="n"/>
      <c r="DW12" s="257" t="n"/>
      <c r="DX12" s="24" t="n"/>
      <c r="DY12" s="24" t="n"/>
      <c r="DZ12" s="24" t="n"/>
      <c r="EA12" s="24" t="n"/>
      <c r="EB12" s="257" t="n"/>
      <c r="EC12" s="257" t="n"/>
      <c r="ED12" s="24" t="n"/>
      <c r="EE12" s="24" t="n"/>
      <c r="EF12" s="24" t="n"/>
      <c r="EG12" s="24" t="n"/>
      <c r="EH12" s="24" t="n"/>
      <c r="EI12" s="271" t="n"/>
      <c r="EJ12" s="24" t="n"/>
      <c r="EK12" s="24" t="n"/>
      <c r="EL12" s="24" t="n"/>
      <c r="EM12" s="24" t="n"/>
      <c r="EN12" s="24" t="n"/>
      <c r="EO12" s="24" t="n"/>
      <c r="EP12" s="24" t="n"/>
      <c r="EQ12" s="271" t="n"/>
      <c r="ER12" s="24" t="n"/>
      <c r="ES12" s="24" t="n"/>
      <c r="ET12" s="24" t="n"/>
      <c r="EU12" s="24" t="n"/>
      <c r="EV12" s="24" t="n"/>
      <c r="EW12" s="24" t="n"/>
      <c r="EX12" s="271" t="n"/>
      <c r="EY12" s="24" t="n"/>
      <c r="EZ12" s="24" t="n"/>
      <c r="FA12" s="24" t="n"/>
      <c r="FB12" s="24" t="n"/>
      <c r="FC12" s="24" t="n"/>
      <c r="FD12" s="24" t="n"/>
      <c r="FE12" s="24" t="n"/>
      <c r="FF12" s="24" t="n"/>
      <c r="FG12" s="24" t="n"/>
      <c r="FH12" s="257" t="n"/>
      <c r="FI12" s="24" t="n"/>
      <c r="FJ12" s="24" t="n"/>
      <c r="FK12" s="24" t="n"/>
      <c r="FM12" s="31" t="n"/>
      <c r="FN12" s="2" t="n"/>
      <c r="FO12" s="4" t="n"/>
      <c r="FP12" s="4" t="n"/>
      <c r="FQ12" s="4" t="n"/>
      <c r="FR12" s="4" t="n"/>
      <c r="FS12" s="4" t="n"/>
      <c r="FT12" s="4" t="n"/>
      <c r="FU12" s="4" t="n"/>
      <c r="FV12" s="4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54" t="n"/>
      <c r="CD13" s="413" t="inlineStr">
        <is>
          <t>TRANSFERÊNCIA</t>
        </is>
      </c>
      <c r="CE13" s="35" t="inlineStr">
        <is>
          <t>Pendências</t>
        </is>
      </c>
      <c r="CF13" s="6" t="n"/>
      <c r="CG13" s="12" t="inlineStr">
        <is>
          <t>Novo Pedido</t>
        </is>
      </c>
      <c r="CH13" s="642" t="n"/>
      <c r="CI13" s="646" t="n">
        <v>46156</v>
      </c>
      <c r="CJ13" s="646" t="n">
        <v>46149</v>
      </c>
      <c r="CK13" s="646" t="n">
        <v>46142</v>
      </c>
      <c r="CL13" s="646" t="n">
        <v>46114</v>
      </c>
      <c r="CM13" s="647" t="n">
        <v>46065</v>
      </c>
      <c r="CN13" s="646" t="n">
        <v>46092</v>
      </c>
      <c r="CO13" s="646" t="n">
        <v>46071</v>
      </c>
      <c r="CP13" s="646" t="n">
        <v>46056</v>
      </c>
      <c r="CQ13" s="646" t="n">
        <v>46043</v>
      </c>
      <c r="CR13" s="646" t="n">
        <v>46035</v>
      </c>
      <c r="CS13" s="646" t="n">
        <v>46029</v>
      </c>
      <c r="CT13" s="646" t="n">
        <v>46017</v>
      </c>
      <c r="CU13" s="646" t="n">
        <v>46007</v>
      </c>
      <c r="CV13" s="646" t="n">
        <v>46001</v>
      </c>
      <c r="CW13" s="646" t="n">
        <v>45994</v>
      </c>
      <c r="CX13" s="646" t="n">
        <v>45980</v>
      </c>
      <c r="CY13" s="646" t="n">
        <v>45973</v>
      </c>
      <c r="CZ13" s="646" t="n">
        <v>45960</v>
      </c>
      <c r="DA13" s="646" t="n">
        <v>45951</v>
      </c>
      <c r="DB13" s="687" t="n">
        <v>45952</v>
      </c>
      <c r="DC13" s="646" t="n">
        <v>45945</v>
      </c>
      <c r="DD13" s="646" t="n">
        <v>45937</v>
      </c>
      <c r="DE13" s="646" t="n">
        <v>45931</v>
      </c>
      <c r="DF13" s="646" t="n">
        <v>45923</v>
      </c>
      <c r="DG13" s="678" t="n">
        <v>45903</v>
      </c>
      <c r="DH13" s="646" t="n">
        <v>45923</v>
      </c>
      <c r="DI13" s="688" t="n">
        <v>45925</v>
      </c>
      <c r="DJ13" s="688" t="n">
        <v>45924</v>
      </c>
      <c r="DK13" s="646" t="n">
        <v>45915</v>
      </c>
      <c r="DL13" s="655" t="n">
        <v>45913</v>
      </c>
      <c r="DM13" s="646" t="n">
        <v>45909</v>
      </c>
      <c r="DN13" s="646" t="n">
        <v>45895</v>
      </c>
      <c r="DO13" s="681" t="n">
        <v>45897</v>
      </c>
      <c r="DP13" s="689" t="n">
        <v>45897</v>
      </c>
      <c r="DQ13" s="681" t="n">
        <v>45896</v>
      </c>
      <c r="DR13" s="646" t="n">
        <v>45888</v>
      </c>
      <c r="DS13" s="646" t="n">
        <v>45881</v>
      </c>
      <c r="DT13" s="655" t="n">
        <v>45885</v>
      </c>
      <c r="DU13" s="646" t="n">
        <v>45874</v>
      </c>
      <c r="DV13" s="681" t="n">
        <v>45867</v>
      </c>
      <c r="DW13" s="682" t="n">
        <v>45866</v>
      </c>
      <c r="DX13" s="646" t="n">
        <v>45860</v>
      </c>
      <c r="DY13" s="646" t="n">
        <v>45859</v>
      </c>
      <c r="DZ13" s="646" t="n">
        <v>45839</v>
      </c>
      <c r="EA13" s="646" t="n">
        <v>45832</v>
      </c>
      <c r="EB13" s="681" t="n">
        <v>45838</v>
      </c>
      <c r="EC13" s="681" t="n">
        <v>45791</v>
      </c>
      <c r="ED13" s="646" t="n">
        <v>45825</v>
      </c>
      <c r="EE13" s="646" t="n">
        <v>45813</v>
      </c>
      <c r="EF13" s="655" t="n">
        <v>45820</v>
      </c>
      <c r="EG13" s="646" t="n">
        <v>45805</v>
      </c>
      <c r="EH13" s="646" t="n">
        <v>45798</v>
      </c>
      <c r="EI13" s="655" t="n">
        <v>45798</v>
      </c>
      <c r="EJ13" s="690" t="n">
        <v>45798</v>
      </c>
      <c r="EK13" s="655" t="n">
        <v>45797</v>
      </c>
      <c r="EL13" s="646" t="n">
        <v>45790</v>
      </c>
      <c r="EM13" s="655" t="n">
        <v>45794</v>
      </c>
      <c r="EN13" s="683" t="n">
        <v>45735</v>
      </c>
      <c r="EO13" s="655" t="n">
        <v>45790</v>
      </c>
      <c r="EP13" s="655" t="n">
        <v>45785</v>
      </c>
      <c r="EQ13" s="684" t="n">
        <v>45785</v>
      </c>
      <c r="ER13" s="646" t="n">
        <v>45770</v>
      </c>
      <c r="ES13" s="646" t="n">
        <v>45756</v>
      </c>
      <c r="ET13" s="646" t="n">
        <v>45749</v>
      </c>
      <c r="EU13" s="646" t="n">
        <v>45743</v>
      </c>
      <c r="EV13" s="646" t="n">
        <v>45734</v>
      </c>
      <c r="EW13" s="646" t="n">
        <v>45728</v>
      </c>
      <c r="EX13" s="684" t="n">
        <v>45700</v>
      </c>
      <c r="EY13" s="646" t="n">
        <v>45722</v>
      </c>
      <c r="EZ13" s="646" t="n">
        <v>45714</v>
      </c>
      <c r="FA13" s="655" t="n">
        <v>45721</v>
      </c>
      <c r="FB13" s="646" t="n">
        <v>45706</v>
      </c>
      <c r="FC13" s="646" t="n">
        <v>45699</v>
      </c>
      <c r="FD13" s="646" t="n">
        <v>45693</v>
      </c>
      <c r="FE13" s="646" t="n">
        <v>45685</v>
      </c>
      <c r="FF13" s="646" t="n">
        <v>45674</v>
      </c>
      <c r="FG13" s="646" t="n">
        <v>45664</v>
      </c>
      <c r="FH13" s="685" t="n">
        <v>45670</v>
      </c>
      <c r="FI13" s="646" t="n">
        <v>45660</v>
      </c>
      <c r="FJ13" s="655" t="n">
        <v>45661</v>
      </c>
      <c r="FK13" s="646" t="n">
        <v>45652</v>
      </c>
      <c r="FM13" s="267" t="inlineStr">
        <is>
          <t>DIVERSOS</t>
        </is>
      </c>
      <c r="FN13" s="205" t="inlineStr">
        <is>
          <t>PCT</t>
        </is>
      </c>
      <c r="FO13" s="650" t="n">
        <v>46118</v>
      </c>
      <c r="FP13" s="650" t="n">
        <v>46125</v>
      </c>
      <c r="FQ13" s="650" t="n">
        <v>46132</v>
      </c>
      <c r="FR13" s="650" t="n">
        <v>46139</v>
      </c>
      <c r="FS13" s="650" t="n">
        <v>46146</v>
      </c>
      <c r="FT13" s="650" t="n">
        <v>46154</v>
      </c>
      <c r="FU13" s="650" t="n">
        <v>46160</v>
      </c>
      <c r="FV13" s="650" t="n">
        <v>46160</v>
      </c>
      <c r="FW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115" t="n">
        <v>4</v>
      </c>
      <c r="G14" s="115" t="n">
        <v>5</v>
      </c>
      <c r="H14" s="115" t="n">
        <v>7</v>
      </c>
      <c r="I14" s="115" t="n">
        <v>7</v>
      </c>
      <c r="J14" s="115" t="n">
        <v>7</v>
      </c>
      <c r="K14" s="115" t="n">
        <v>6</v>
      </c>
      <c r="L14" s="115" t="n">
        <v>5</v>
      </c>
      <c r="M14" s="115" t="n">
        <v>4</v>
      </c>
      <c r="N14" s="115" t="n">
        <v>4</v>
      </c>
      <c r="O14" s="115" t="n">
        <v>2</v>
      </c>
      <c r="P14" s="115">
        <f>1+EY14</f>
        <v/>
      </c>
      <c r="Q14" s="115" t="n">
        <v>4</v>
      </c>
      <c r="R14" s="115">
        <f>2+EV14</f>
        <v/>
      </c>
      <c r="S14" s="115" t="n">
        <v>4</v>
      </c>
      <c r="T14" s="115" t="n">
        <v>7</v>
      </c>
      <c r="U14" s="115" t="n">
        <v>6</v>
      </c>
      <c r="V14" s="115" t="n">
        <v>6</v>
      </c>
      <c r="W14" s="115" t="n">
        <v>6</v>
      </c>
      <c r="X14" s="115" t="n">
        <v>6</v>
      </c>
      <c r="Y14" s="115">
        <f>2+4</f>
        <v/>
      </c>
      <c r="Z14" s="115" t="n">
        <v>5</v>
      </c>
      <c r="AA14" s="115" t="n">
        <v>4</v>
      </c>
      <c r="AB14" s="115">
        <f>4+EG14</f>
        <v/>
      </c>
      <c r="AC14" s="115" t="n">
        <v>5</v>
      </c>
      <c r="AD14" s="115" t="n">
        <v>2</v>
      </c>
      <c r="AE14" s="115">
        <f>1+ED14</f>
        <v/>
      </c>
      <c r="AF14" s="115">
        <f>3+EA14</f>
        <v/>
      </c>
      <c r="AG14" s="115">
        <f>4+DZ14</f>
        <v/>
      </c>
      <c r="AH14" s="115" t="n">
        <v>4</v>
      </c>
      <c r="AI14" s="115" t="n">
        <v>3</v>
      </c>
      <c r="AJ14" s="115" t="n">
        <v>4</v>
      </c>
      <c r="AK14" s="115" t="n">
        <v>4</v>
      </c>
      <c r="AL14" s="115" t="n">
        <v>3</v>
      </c>
      <c r="AM14" s="115" t="n">
        <v>2</v>
      </c>
      <c r="AN14" s="115" t="n">
        <v>3</v>
      </c>
      <c r="AO14" s="115" t="n">
        <v>3</v>
      </c>
      <c r="AP14" s="115" t="n">
        <v>3</v>
      </c>
      <c r="AQ14" s="115" t="n">
        <v>2</v>
      </c>
      <c r="AR14" s="115" t="n">
        <v>1</v>
      </c>
      <c r="AS14" s="115" t="n">
        <v>3</v>
      </c>
      <c r="AT14" s="115" t="n">
        <v>2</v>
      </c>
      <c r="AU14" s="115">
        <f>2+DD14</f>
        <v/>
      </c>
      <c r="AV14" s="115" t="n">
        <v>3</v>
      </c>
      <c r="AW14" s="115" t="n">
        <v>1</v>
      </c>
      <c r="AX14" s="115">
        <f>0+CZ14</f>
        <v/>
      </c>
      <c r="AY14" s="115" t="n">
        <v>3</v>
      </c>
      <c r="AZ14" s="115" t="n">
        <v>3</v>
      </c>
      <c r="BA14" s="115" t="n">
        <v>3</v>
      </c>
      <c r="BB14" s="115" t="n">
        <v>3</v>
      </c>
      <c r="BC14" s="115">
        <f>3+CW14</f>
        <v/>
      </c>
      <c r="BD14" s="115" t="n">
        <v>3</v>
      </c>
      <c r="BE14" s="115" t="n">
        <v>0</v>
      </c>
      <c r="BF14" s="115" t="n">
        <v>0</v>
      </c>
      <c r="BG14" s="115" t="n">
        <v>0</v>
      </c>
      <c r="BH14" s="115" t="n">
        <v>8</v>
      </c>
      <c r="BI14" s="115" t="n">
        <v>12</v>
      </c>
      <c r="BJ14" s="115" t="n">
        <v>12</v>
      </c>
      <c r="BK14" s="115" t="n">
        <v>10</v>
      </c>
      <c r="BL14" s="115" t="n">
        <v>13</v>
      </c>
      <c r="BM14" s="115" t="n">
        <v>11</v>
      </c>
      <c r="BN14" s="115" t="n">
        <v>10</v>
      </c>
      <c r="BO14" s="115" t="n">
        <v>8</v>
      </c>
      <c r="BP14" s="115" t="n">
        <v>5</v>
      </c>
      <c r="BQ14" s="115">
        <f>4+CN14</f>
        <v/>
      </c>
      <c r="BR14" s="115" t="n">
        <v>7</v>
      </c>
      <c r="BS14" s="115" t="n">
        <v>5</v>
      </c>
      <c r="BT14" s="115" t="n">
        <v>3</v>
      </c>
      <c r="BU14" s="115" t="n">
        <v>8</v>
      </c>
      <c r="BV14" s="115" t="n">
        <v>7</v>
      </c>
      <c r="BW14" s="115" t="n">
        <v>7</v>
      </c>
      <c r="BX14" s="115">
        <f>6+CK14</f>
        <v/>
      </c>
      <c r="BY14" s="115" t="n">
        <v>9</v>
      </c>
      <c r="BZ14" s="115" t="n"/>
      <c r="CA14" s="115" t="n"/>
      <c r="CB14" s="154">
        <f>BZ14+IF(NOT(ISBLANK(OFFSET(CB14,0,6))),N(OFFSET(CB14,0,6)),N(OFFSET(CB14,0,7)))-CA14</f>
        <v/>
      </c>
      <c r="CC14" s="642" t="n"/>
      <c r="CD14" s="19" t="n"/>
      <c r="CE14" s="19" t="n"/>
      <c r="CF14" s="4" t="n"/>
      <c r="CG14" s="23" t="n"/>
      <c r="CH14" s="642" t="n"/>
      <c r="CI14" s="18" t="n">
        <v>0</v>
      </c>
      <c r="CJ14" s="18" t="n">
        <v>0</v>
      </c>
      <c r="CK14" s="18" t="n">
        <v>5</v>
      </c>
      <c r="CL14" s="18" t="n">
        <v>6</v>
      </c>
      <c r="CM14" s="256" t="n">
        <v>20</v>
      </c>
      <c r="CN14" s="18" t="n">
        <v>5</v>
      </c>
      <c r="CO14" s="18" t="n"/>
      <c r="CP14" s="18" t="n">
        <v>5</v>
      </c>
      <c r="CQ14" s="18" t="n"/>
      <c r="CR14" s="18" t="n">
        <v>3</v>
      </c>
      <c r="CS14" s="18" t="n">
        <v>5</v>
      </c>
      <c r="CT14" s="18" t="n">
        <v>10</v>
      </c>
      <c r="CU14" s="18" t="n">
        <v>3</v>
      </c>
      <c r="CV14" s="18" t="n"/>
      <c r="CW14" s="18" t="n">
        <v>2</v>
      </c>
      <c r="CX14" s="18" t="n"/>
      <c r="CY14" s="18" t="n"/>
      <c r="CZ14" s="18" t="n">
        <v>3</v>
      </c>
      <c r="DA14" s="18" t="n"/>
      <c r="DB14" s="256" t="n"/>
      <c r="DC14" s="18" t="n"/>
      <c r="DD14" s="18" t="n">
        <v>1</v>
      </c>
      <c r="DE14" s="18" t="n">
        <v>1</v>
      </c>
      <c r="DF14" s="18" t="n"/>
      <c r="DG14" s="256" t="n">
        <v>15</v>
      </c>
      <c r="DH14" s="18" t="n">
        <v>2</v>
      </c>
      <c r="DI14" s="378" t="inlineStr">
        <is>
          <t>100 DE PB</t>
        </is>
      </c>
      <c r="DJ14" s="256" t="n"/>
      <c r="DK14" s="18" t="n"/>
      <c r="DL14" s="18" t="n"/>
      <c r="DM14" s="18" t="n"/>
      <c r="DN14" s="18" t="n">
        <v>1</v>
      </c>
      <c r="DO14" s="256" t="n"/>
      <c r="DP14" s="18" t="n"/>
      <c r="DQ14" s="256" t="n"/>
      <c r="DR14" s="18" t="n">
        <v>1</v>
      </c>
      <c r="DS14" s="18" t="n">
        <v>1</v>
      </c>
      <c r="DT14" s="18" t="n"/>
      <c r="DU14" s="18" t="n"/>
      <c r="DV14" s="256" t="n"/>
      <c r="DW14" s="256" t="n"/>
      <c r="DX14" s="18" t="n">
        <v>1</v>
      </c>
      <c r="DY14" s="18" t="n"/>
      <c r="DZ14" s="18" t="n">
        <v>1</v>
      </c>
      <c r="EA14" s="18" t="n">
        <v>1</v>
      </c>
      <c r="EB14" s="256" t="n"/>
      <c r="EC14" s="256" t="n">
        <v>5</v>
      </c>
      <c r="ED14" s="18" t="n">
        <v>3</v>
      </c>
      <c r="EE14" s="18" t="n"/>
      <c r="EF14" s="18" t="n"/>
      <c r="EG14" s="18" t="n">
        <v>2</v>
      </c>
      <c r="EH14" s="18" t="n"/>
      <c r="EI14" s="256" t="n"/>
      <c r="EJ14" s="256" t="n"/>
      <c r="EK14" s="256" t="n"/>
      <c r="EL14" s="18" t="n"/>
      <c r="EM14" s="241" t="inlineStr">
        <is>
          <t>04 DE ER PG</t>
        </is>
      </c>
      <c r="EN14" s="256" t="n">
        <v>1</v>
      </c>
      <c r="EO14" s="18" t="n"/>
      <c r="EP14" s="18" t="n"/>
      <c r="EQ14" s="256" t="n"/>
      <c r="ER14" s="18" t="n"/>
      <c r="ES14" s="18" t="n"/>
      <c r="ET14" s="18" t="n"/>
      <c r="EU14" s="18" t="n">
        <v>3</v>
      </c>
      <c r="EV14" s="18" t="n">
        <v>2</v>
      </c>
      <c r="EW14" s="18" t="n"/>
      <c r="EX14" s="256" t="n">
        <v>10</v>
      </c>
      <c r="EY14" s="18" t="n">
        <v>4</v>
      </c>
      <c r="EZ14" s="18" t="n"/>
      <c r="FA14" s="18" t="n"/>
      <c r="FB14" s="18" t="n"/>
      <c r="FC14" s="18" t="n"/>
      <c r="FD14" s="18" t="n"/>
      <c r="FE14" s="18" t="n"/>
      <c r="FF14" s="18" t="n"/>
      <c r="FG14" s="18" t="n"/>
      <c r="FH14" s="256" t="n"/>
      <c r="FI14" s="18" t="n">
        <v>3</v>
      </c>
      <c r="FJ14" s="18" t="n"/>
      <c r="FK14" s="18" t="n">
        <v>1</v>
      </c>
      <c r="FM14" s="159" t="inlineStr">
        <is>
          <t>PAPEL DE SEDA</t>
        </is>
      </c>
      <c r="FN14" s="129" t="n">
        <v>200</v>
      </c>
      <c r="FO14" s="38">
        <f>CM14</f>
        <v/>
      </c>
      <c r="FP14" s="38" t="n">
        <v>20</v>
      </c>
      <c r="FQ14" s="38" t="n">
        <v>18</v>
      </c>
      <c r="FR14" s="38" t="n">
        <v>17</v>
      </c>
      <c r="FS14" s="38" t="n">
        <v>15</v>
      </c>
      <c r="FT14" s="38" t="n">
        <v>5</v>
      </c>
      <c r="FU14" s="38" t="n"/>
      <c r="FV14" s="38" t="n"/>
      <c r="FW14" s="246">
        <f>FU14+IF(NOT(ISBLANK(OFFSET(FW14,0,6))),N(OFFSET(FW14,0,6)),N(OFFSET(FW14,0,7)))-FV14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115" t="n">
        <v>2</v>
      </c>
      <c r="G15" s="115" t="n">
        <v>2</v>
      </c>
      <c r="H15" s="115" t="n">
        <v>3</v>
      </c>
      <c r="I15" s="115" t="n">
        <v>2</v>
      </c>
      <c r="J15" s="115" t="n">
        <v>2</v>
      </c>
      <c r="K15" s="115" t="n">
        <v>2</v>
      </c>
      <c r="L15" s="115" t="n">
        <v>2</v>
      </c>
      <c r="M15" s="115" t="n">
        <v>2</v>
      </c>
      <c r="N15" s="115" t="n">
        <v>2</v>
      </c>
      <c r="O15" s="115" t="n">
        <v>2</v>
      </c>
      <c r="P15" s="115">
        <f>2+EY15</f>
        <v/>
      </c>
      <c r="Q15" s="115" t="n">
        <v>3</v>
      </c>
      <c r="R15" s="115" t="n">
        <v>2</v>
      </c>
      <c r="S15" s="115" t="n">
        <v>2</v>
      </c>
      <c r="T15" s="115" t="n">
        <v>2</v>
      </c>
      <c r="U15" s="115" t="n">
        <v>2</v>
      </c>
      <c r="V15" s="115" t="n">
        <v>2</v>
      </c>
      <c r="W15" s="115" t="n">
        <v>2</v>
      </c>
      <c r="X15" s="115" t="n">
        <v>2</v>
      </c>
      <c r="Y15" s="115">
        <f>1+2</f>
        <v/>
      </c>
      <c r="Z15" s="115" t="n">
        <v>3</v>
      </c>
      <c r="AA15" s="115" t="n">
        <v>3</v>
      </c>
      <c r="AB15" s="115" t="n">
        <v>3</v>
      </c>
      <c r="AC15" s="115" t="n">
        <v>2</v>
      </c>
      <c r="AD15" s="115" t="n">
        <v>2</v>
      </c>
      <c r="AE15" s="115" t="n">
        <v>3</v>
      </c>
      <c r="AF15" s="115" t="n">
        <v>3</v>
      </c>
      <c r="AG15" s="115" t="n">
        <v>2</v>
      </c>
      <c r="AH15" s="115" t="n">
        <v>2</v>
      </c>
      <c r="AI15" s="115" t="n">
        <v>2</v>
      </c>
      <c r="AJ15" s="115" t="n">
        <v>1</v>
      </c>
      <c r="AK15" s="115" t="n">
        <v>1</v>
      </c>
      <c r="AL15" s="115" t="n">
        <v>2</v>
      </c>
      <c r="AM15" s="115" t="n">
        <v>2</v>
      </c>
      <c r="AN15" s="115" t="n">
        <v>2</v>
      </c>
      <c r="AO15" s="115" t="n">
        <v>1</v>
      </c>
      <c r="AP15" s="115" t="n">
        <v>1</v>
      </c>
      <c r="AQ15" s="115" t="n">
        <v>1</v>
      </c>
      <c r="AR15" s="115" t="n">
        <v>1</v>
      </c>
      <c r="AS15" s="115" t="n">
        <v>1</v>
      </c>
      <c r="AT15" s="115" t="n">
        <v>1</v>
      </c>
      <c r="AU15" s="115" t="n">
        <v>2</v>
      </c>
      <c r="AV15" s="115" t="n">
        <v>1</v>
      </c>
      <c r="AW15" s="115">
        <f>1+DA15</f>
        <v/>
      </c>
      <c r="AX15" s="115" t="n">
        <v>5</v>
      </c>
      <c r="AY15" s="115" t="n">
        <v>5</v>
      </c>
      <c r="AZ15" s="115" t="n">
        <v>5</v>
      </c>
      <c r="BA15" s="115" t="n">
        <v>5</v>
      </c>
      <c r="BB15" s="115" t="n">
        <v>5</v>
      </c>
      <c r="BC15" s="115" t="n">
        <v>5</v>
      </c>
      <c r="BD15" s="115" t="n">
        <v>5</v>
      </c>
      <c r="BE15" s="115" t="n">
        <v>4</v>
      </c>
      <c r="BF15" s="115" t="n">
        <v>4</v>
      </c>
      <c r="BG15" s="115" t="n">
        <v>4</v>
      </c>
      <c r="BH15" s="115" t="n">
        <v>5</v>
      </c>
      <c r="BI15" s="115" t="n">
        <v>5</v>
      </c>
      <c r="BJ15" s="115" t="n">
        <v>5</v>
      </c>
      <c r="BK15" s="115" t="n">
        <v>5</v>
      </c>
      <c r="BL15" s="115" t="n">
        <v>5</v>
      </c>
      <c r="BM15" s="115" t="n">
        <v>4</v>
      </c>
      <c r="BN15" s="115" t="n">
        <v>4</v>
      </c>
      <c r="BO15" s="115" t="n">
        <v>4</v>
      </c>
      <c r="BP15" s="115" t="n">
        <v>3</v>
      </c>
      <c r="BQ15" s="115" t="n">
        <v>3</v>
      </c>
      <c r="BR15" s="115" t="n">
        <v>3</v>
      </c>
      <c r="BS15" s="115" t="n">
        <v>3</v>
      </c>
      <c r="BT15" s="115" t="n">
        <v>2</v>
      </c>
      <c r="BU15" s="115" t="n">
        <v>2</v>
      </c>
      <c r="BV15" s="115" t="n">
        <v>2</v>
      </c>
      <c r="BW15" s="115" t="n">
        <v>1</v>
      </c>
      <c r="BX15" s="115" t="n">
        <v>1</v>
      </c>
      <c r="BY15" s="115" t="n">
        <v>1</v>
      </c>
      <c r="BZ15" s="115" t="n"/>
      <c r="CA15" s="115" t="n"/>
      <c r="CB15" s="154">
        <f>BZ15+IF(NOT(ISBLANK(OFFSET(CB15,0,6))),N(OFFSET(CB15,0,6)),N(OFFSET(CB15,0,7)))-CA15</f>
        <v/>
      </c>
      <c r="CC15" s="642" t="n"/>
      <c r="CD15" s="19" t="inlineStr">
        <is>
          <t>05 DE ER PG</t>
        </is>
      </c>
      <c r="CE15" s="19" t="n"/>
      <c r="CF15" s="4" t="n"/>
      <c r="CG15" s="23" t="n"/>
      <c r="CH15" s="642" t="n"/>
      <c r="CI15" s="18" t="n">
        <v>0</v>
      </c>
      <c r="CJ15" s="18" t="n">
        <v>0</v>
      </c>
      <c r="CK15" s="18" t="n">
        <v>0</v>
      </c>
      <c r="CL15" s="18" t="n"/>
      <c r="CM15" s="256" t="n">
        <v>5</v>
      </c>
      <c r="CN15" s="18" t="n"/>
      <c r="CO15" s="18" t="n"/>
      <c r="CP15" s="18" t="n"/>
      <c r="CQ15" s="18" t="n"/>
      <c r="CR15" s="18" t="n"/>
      <c r="CS15" s="18" t="n"/>
      <c r="CT15" s="18" t="n">
        <v>2</v>
      </c>
      <c r="CU15" s="18" t="n"/>
      <c r="CV15" s="18" t="n"/>
      <c r="CW15" s="18" t="n"/>
      <c r="CX15" s="18" t="n"/>
      <c r="CY15" s="18" t="n"/>
      <c r="CZ15" s="18" t="n"/>
      <c r="DA15" s="18" t="n">
        <v>5</v>
      </c>
      <c r="DB15" s="256" t="n"/>
      <c r="DC15" s="18" t="n"/>
      <c r="DD15" s="18" t="n"/>
      <c r="DE15" s="18" t="n">
        <v>1</v>
      </c>
      <c r="DF15" s="18" t="n"/>
      <c r="DG15" s="256" t="n">
        <v>12</v>
      </c>
      <c r="DH15" s="18" t="n"/>
      <c r="DI15" s="378" t="inlineStr">
        <is>
          <t>100 DE PB</t>
        </is>
      </c>
      <c r="DJ15" s="256" t="n"/>
      <c r="DK15" s="18" t="n"/>
      <c r="DL15" s="18" t="n"/>
      <c r="DM15" s="18" t="n"/>
      <c r="DN15" s="18" t="n"/>
      <c r="DO15" s="256" t="n"/>
      <c r="DP15" s="18" t="n"/>
      <c r="DQ15" s="256" t="n"/>
      <c r="DR15" s="18" t="n"/>
      <c r="DS15" s="18" t="n"/>
      <c r="DT15" s="18" t="n"/>
      <c r="DU15" s="18" t="n">
        <v>1</v>
      </c>
      <c r="DV15" s="256" t="n"/>
      <c r="DW15" s="256" t="n"/>
      <c r="DX15" s="18" t="n"/>
      <c r="DY15" s="18" t="n"/>
      <c r="DZ15" s="18" t="n"/>
      <c r="EA15" s="18" t="n"/>
      <c r="EB15" s="256" t="n"/>
      <c r="EC15" s="256" t="n"/>
      <c r="ED15" s="18" t="n"/>
      <c r="EE15" s="18" t="n"/>
      <c r="EF15" s="18" t="n"/>
      <c r="EG15" s="18" t="n"/>
      <c r="EH15" s="18" t="n"/>
      <c r="EI15" s="256" t="n"/>
      <c r="EJ15" s="256" t="n"/>
      <c r="EK15" s="256" t="n"/>
      <c r="EL15" s="18" t="n"/>
      <c r="EM15" s="256" t="n"/>
      <c r="EN15" s="256" t="n">
        <v>2</v>
      </c>
      <c r="EO15" s="241" t="inlineStr">
        <is>
          <t>02 DE ATC</t>
        </is>
      </c>
      <c r="EP15" s="18" t="n"/>
      <c r="EQ15" s="256" t="n"/>
      <c r="ER15" s="18" t="n"/>
      <c r="ES15" s="18" t="n"/>
      <c r="ET15" s="18" t="n"/>
      <c r="EU15" s="18" t="n"/>
      <c r="EV15" s="18" t="n"/>
      <c r="EW15" s="18" t="n"/>
      <c r="EX15" s="256" t="n">
        <v>1</v>
      </c>
      <c r="EY15" s="18" t="n">
        <v>1</v>
      </c>
      <c r="EZ15" s="18" t="n"/>
      <c r="FA15" s="18" t="n"/>
      <c r="FB15" s="18" t="n"/>
      <c r="FC15" s="18" t="n"/>
      <c r="FD15" s="18" t="n"/>
      <c r="FE15" s="18" t="n"/>
      <c r="FF15" s="18" t="n"/>
      <c r="FG15" s="18" t="n"/>
      <c r="FH15" s="256" t="n"/>
      <c r="FI15" s="18" t="n">
        <v>1</v>
      </c>
      <c r="FJ15" s="18" t="n"/>
      <c r="FK15" s="18" t="n"/>
      <c r="FM15" s="29" t="inlineStr">
        <is>
          <t>ADESIVOS</t>
        </is>
      </c>
      <c r="FN15" s="9" t="n">
        <v>200</v>
      </c>
      <c r="FO15" s="38">
        <f>CM15</f>
        <v/>
      </c>
      <c r="FP15" s="38" t="n">
        <v>5</v>
      </c>
      <c r="FQ15" s="38" t="n">
        <v>5</v>
      </c>
      <c r="FR15" s="38" t="n">
        <v>4</v>
      </c>
      <c r="FS15" s="38" t="n">
        <v>4</v>
      </c>
      <c r="FT15" s="38" t="n">
        <v>0</v>
      </c>
      <c r="FU15" s="38" t="n"/>
      <c r="FV15" s="38" t="n"/>
      <c r="FW15" s="246">
        <f>FU15+IF(NOT(ISBLANK(OFFSET(FW15,0,6))),N(OFFSET(FW15,0,6)),N(OFFSET(FW15,0,7)))-FV15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5</v>
      </c>
      <c r="E16" s="2" t="n"/>
      <c r="F16" s="115" t="n">
        <v>1</v>
      </c>
      <c r="G16" s="115" t="n">
        <v>3</v>
      </c>
      <c r="H16" s="115" t="n">
        <v>4</v>
      </c>
      <c r="I16" s="115" t="n">
        <v>3</v>
      </c>
      <c r="J16" s="115" t="n">
        <v>2</v>
      </c>
      <c r="K16" s="115" t="n">
        <v>4</v>
      </c>
      <c r="L16" s="115" t="n">
        <v>3</v>
      </c>
      <c r="M16" s="115" t="n">
        <v>2</v>
      </c>
      <c r="N16" s="115" t="n">
        <v>1</v>
      </c>
      <c r="O16" s="115">
        <f>1+EZ16</f>
        <v/>
      </c>
      <c r="P16" s="115">
        <f>4+EY16</f>
        <v/>
      </c>
      <c r="Q16" s="115" t="n">
        <v>4</v>
      </c>
      <c r="R16" s="115" t="n">
        <v>3</v>
      </c>
      <c r="S16" s="115" t="n">
        <v>3</v>
      </c>
      <c r="T16" s="115" t="n">
        <v>1</v>
      </c>
      <c r="U16" s="115" t="n">
        <v>1</v>
      </c>
      <c r="V16" s="115" t="n">
        <v>0</v>
      </c>
      <c r="W16" s="115" t="n">
        <v>5</v>
      </c>
      <c r="X16" s="115" t="n">
        <v>3</v>
      </c>
      <c r="Y16" s="115">
        <f>0+2</f>
        <v/>
      </c>
      <c r="Z16" s="115">
        <f>1+5</f>
        <v/>
      </c>
      <c r="AA16" s="115" t="n">
        <v>5</v>
      </c>
      <c r="AB16" s="115" t="n">
        <v>4</v>
      </c>
      <c r="AC16" s="115" t="n">
        <v>3</v>
      </c>
      <c r="AD16" s="115" t="n">
        <v>3</v>
      </c>
      <c r="AE16" s="115">
        <f>3+ED16</f>
        <v/>
      </c>
      <c r="AF16" s="115" t="n">
        <v>5</v>
      </c>
      <c r="AG16" s="115">
        <f>4+DZ16</f>
        <v/>
      </c>
      <c r="AH16" s="115" t="n">
        <v>5</v>
      </c>
      <c r="AI16" s="115" t="n">
        <v>4</v>
      </c>
      <c r="AJ16" s="115" t="n">
        <v>4</v>
      </c>
      <c r="AK16" s="115" t="n">
        <v>3</v>
      </c>
      <c r="AL16" s="115" t="n">
        <v>4</v>
      </c>
      <c r="AM16" s="115" t="n">
        <v>3</v>
      </c>
      <c r="AN16" s="115" t="n">
        <v>4</v>
      </c>
      <c r="AO16" s="115" t="n">
        <v>4</v>
      </c>
      <c r="AP16" s="115" t="n">
        <v>6</v>
      </c>
      <c r="AQ16" s="115" t="n">
        <v>5</v>
      </c>
      <c r="AR16" s="115" t="n">
        <v>4</v>
      </c>
      <c r="AS16" s="115" t="n">
        <v>4</v>
      </c>
      <c r="AT16" s="115" t="n">
        <v>3</v>
      </c>
      <c r="AU16" s="115" t="n">
        <v>3</v>
      </c>
      <c r="AV16" s="115" t="n">
        <v>2</v>
      </c>
      <c r="AW16" s="115" t="n">
        <v>1</v>
      </c>
      <c r="AX16" s="115">
        <f>0+CZ16</f>
        <v/>
      </c>
      <c r="AY16" s="115" t="n">
        <v>1</v>
      </c>
      <c r="AZ16" s="115">
        <f>4+CY16</f>
        <v/>
      </c>
      <c r="BA16" s="115">
        <f>7+CX16</f>
        <v/>
      </c>
      <c r="BB16" s="115" t="n">
        <v>7</v>
      </c>
      <c r="BC16" s="115">
        <f>10+CW16</f>
        <v/>
      </c>
      <c r="BD16" s="115" t="n">
        <v>14</v>
      </c>
      <c r="BE16" s="115" t="n">
        <v>4</v>
      </c>
      <c r="BF16" s="115" t="n">
        <v>0</v>
      </c>
      <c r="BG16" s="115" t="n">
        <v>0</v>
      </c>
      <c r="BH16" s="115" t="n">
        <v>4</v>
      </c>
      <c r="BI16" s="115" t="n">
        <v>5</v>
      </c>
      <c r="BJ16" s="115">
        <f>5+CQ16</f>
        <v/>
      </c>
      <c r="BK16" s="115" t="n">
        <v>9</v>
      </c>
      <c r="BL16" s="115" t="n">
        <v>9</v>
      </c>
      <c r="BM16" s="115" t="n">
        <v>8</v>
      </c>
      <c r="BN16" s="115" t="n">
        <v>7</v>
      </c>
      <c r="BO16" s="115" t="n">
        <v>7</v>
      </c>
      <c r="BP16" s="115" t="n">
        <v>5</v>
      </c>
      <c r="BQ16" s="115">
        <f>3+CN16</f>
        <v/>
      </c>
      <c r="BR16" s="115" t="n">
        <v>5</v>
      </c>
      <c r="BS16" s="115" t="n">
        <v>5</v>
      </c>
      <c r="BT16" s="115" t="n">
        <v>4</v>
      </c>
      <c r="BU16" s="115" t="n">
        <v>3</v>
      </c>
      <c r="BV16" s="115" t="n">
        <v>2</v>
      </c>
      <c r="BW16" s="115" t="n">
        <v>0</v>
      </c>
      <c r="BX16" s="115">
        <f>0+CK16</f>
        <v/>
      </c>
      <c r="BY16" s="115" t="n">
        <v>0</v>
      </c>
      <c r="BZ16" s="115" t="n"/>
      <c r="CA16" s="115" t="n"/>
      <c r="CB16" s="154">
        <f>BZ16+IF(NOT(ISBLANK(OFFSET(CB16,0,6))),N(OFFSET(CB16,0,6)),N(OFFSET(CB16,0,7)))-CA16</f>
        <v/>
      </c>
      <c r="CC16" s="2" t="n"/>
      <c r="CD16" s="19" t="n"/>
      <c r="CE16" s="19" t="n">
        <v>5</v>
      </c>
      <c r="CF16" s="4" t="n"/>
      <c r="CG16" s="23" t="n"/>
      <c r="CH16" s="2" t="n"/>
      <c r="CI16" s="18" t="n">
        <v>0</v>
      </c>
      <c r="CJ16" s="18" t="n">
        <v>0</v>
      </c>
      <c r="CK16" s="18" t="n">
        <v>3</v>
      </c>
      <c r="CL16" s="18" t="n"/>
      <c r="CM16" s="356" t="n"/>
      <c r="CN16" s="18" t="n">
        <v>2</v>
      </c>
      <c r="CO16" s="18" t="n"/>
      <c r="CP16" s="18" t="n">
        <v>1</v>
      </c>
      <c r="CQ16" s="18" t="n">
        <v>5</v>
      </c>
      <c r="CR16" s="18" t="n">
        <v>2</v>
      </c>
      <c r="CS16" s="18" t="n"/>
      <c r="CT16" s="18" t="n">
        <v>5</v>
      </c>
      <c r="CU16" s="18" t="n"/>
      <c r="CV16" s="18" t="n"/>
      <c r="CW16" s="18" t="n">
        <v>5</v>
      </c>
      <c r="CX16" s="18" t="n">
        <v>5</v>
      </c>
      <c r="CY16" s="18" t="n">
        <v>3</v>
      </c>
      <c r="CZ16" s="18" t="n">
        <v>3</v>
      </c>
      <c r="DA16" s="18" t="n"/>
      <c r="DB16" s="256" t="n"/>
      <c r="DC16" s="18" t="n"/>
      <c r="DD16" s="18" t="n"/>
      <c r="DE16" s="18" t="n">
        <v>1</v>
      </c>
      <c r="DF16" s="18" t="n"/>
      <c r="DG16" s="256" t="n"/>
      <c r="DH16" s="18" t="n">
        <v>1</v>
      </c>
      <c r="DI16" s="256" t="n"/>
      <c r="DJ16" s="256" t="n"/>
      <c r="DK16" s="18" t="n"/>
      <c r="DL16" s="18" t="n"/>
      <c r="DM16" s="18" t="n"/>
      <c r="DN16" s="18" t="n">
        <v>3</v>
      </c>
      <c r="DO16" s="256" t="n"/>
      <c r="DP16" s="18" t="n"/>
      <c r="DQ16" s="256" t="n"/>
      <c r="DR16" s="18" t="n">
        <v>1</v>
      </c>
      <c r="DS16" s="18" t="n">
        <v>1</v>
      </c>
      <c r="DT16" s="18" t="n"/>
      <c r="DU16" s="18" t="n">
        <v>2</v>
      </c>
      <c r="DV16" s="256" t="n"/>
      <c r="DW16" s="256" t="n"/>
      <c r="DX16" s="18" t="n">
        <v>1</v>
      </c>
      <c r="DY16" s="18" t="n"/>
      <c r="DZ16" s="18" t="n">
        <v>1</v>
      </c>
      <c r="EA16" s="18" t="n"/>
      <c r="EB16" s="256" t="n"/>
      <c r="EC16" s="256" t="n"/>
      <c r="ED16" s="18" t="n">
        <v>3</v>
      </c>
      <c r="EE16" s="18" t="n">
        <v>1</v>
      </c>
      <c r="EF16" s="18" t="n"/>
      <c r="EG16" s="18" t="n"/>
      <c r="EH16" s="18" t="n"/>
      <c r="EI16" s="256" t="n"/>
      <c r="EJ16" s="256" t="n"/>
      <c r="EK16" s="241" t="inlineStr">
        <is>
          <t>05 DE ER PG</t>
        </is>
      </c>
      <c r="EL16" s="18" t="n"/>
      <c r="EM16" s="241" t="inlineStr">
        <is>
          <t>02 DE ER PG</t>
        </is>
      </c>
      <c r="EN16" s="256" t="n"/>
      <c r="EO16" s="18" t="n"/>
      <c r="EP16" s="18" t="n"/>
      <c r="EQ16" s="256" t="n"/>
      <c r="ER16" s="18" t="n"/>
      <c r="ES16" s="18" t="n">
        <v>5</v>
      </c>
      <c r="ET16" s="18" t="n"/>
      <c r="EU16" s="18" t="n"/>
      <c r="EV16" s="18" t="n"/>
      <c r="EW16" s="18" t="n"/>
      <c r="EX16" s="256" t="n">
        <v>2</v>
      </c>
      <c r="EY16" s="18" t="n">
        <v>2</v>
      </c>
      <c r="EZ16" s="18" t="n">
        <v>3</v>
      </c>
      <c r="FA16" s="18" t="n"/>
      <c r="FB16" s="18" t="n">
        <v>2</v>
      </c>
      <c r="FC16" s="18" t="n"/>
      <c r="FD16" s="18" t="n"/>
      <c r="FE16" s="18" t="n">
        <v>2</v>
      </c>
      <c r="FF16" s="18" t="n"/>
      <c r="FG16" s="18" t="n"/>
      <c r="FH16" s="256" t="n"/>
      <c r="FI16" s="18" t="n">
        <v>2</v>
      </c>
      <c r="FJ16" s="18" t="n"/>
      <c r="FK16" s="18" t="n">
        <v>2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115" t="n">
        <v>6</v>
      </c>
      <c r="G17" s="115" t="n">
        <v>5</v>
      </c>
      <c r="H17" s="115">
        <f>4+FG17</f>
        <v/>
      </c>
      <c r="I17" s="115">
        <f>4+FF17</f>
        <v/>
      </c>
      <c r="J17" s="115" t="n">
        <v>5</v>
      </c>
      <c r="K17" s="115" t="n">
        <v>5</v>
      </c>
      <c r="L17" s="115" t="n">
        <v>4</v>
      </c>
      <c r="M17" s="115" t="n">
        <v>4</v>
      </c>
      <c r="N17" s="115" t="n">
        <v>3</v>
      </c>
      <c r="O17" s="115">
        <f>3+EZ17</f>
        <v/>
      </c>
      <c r="P17" s="115">
        <f>5+EY17</f>
        <v/>
      </c>
      <c r="Q17" s="115" t="n">
        <v>7</v>
      </c>
      <c r="R17" s="115" t="n">
        <v>6</v>
      </c>
      <c r="S17" s="115" t="n">
        <v>6</v>
      </c>
      <c r="T17" s="115" t="n">
        <v>5</v>
      </c>
      <c r="U17" s="115" t="n">
        <v>5</v>
      </c>
      <c r="V17" s="115" t="n">
        <v>4</v>
      </c>
      <c r="W17" s="115" t="n">
        <v>5</v>
      </c>
      <c r="X17" s="115" t="n">
        <v>5</v>
      </c>
      <c r="Y17" s="115">
        <f>3-1</f>
        <v/>
      </c>
      <c r="Z17" s="115" t="n">
        <v>1</v>
      </c>
      <c r="AA17" s="115" t="n">
        <v>3</v>
      </c>
      <c r="AB17" s="115" t="n">
        <v>3</v>
      </c>
      <c r="AC17" s="115" t="n">
        <v>3</v>
      </c>
      <c r="AD17" s="115" t="n">
        <v>1</v>
      </c>
      <c r="AE17" s="115">
        <f>0+ED17</f>
        <v/>
      </c>
      <c r="AF17" s="115" t="n">
        <v>3</v>
      </c>
      <c r="AG17" s="115" t="n">
        <v>3</v>
      </c>
      <c r="AH17" s="115" t="n">
        <v>2</v>
      </c>
      <c r="AI17" s="115" t="n">
        <v>3</v>
      </c>
      <c r="AJ17" s="115" t="n">
        <v>2</v>
      </c>
      <c r="AK17" s="115" t="n">
        <v>2</v>
      </c>
      <c r="AL17" s="115" t="n">
        <v>2</v>
      </c>
      <c r="AM17" s="115" t="n">
        <v>3</v>
      </c>
      <c r="AN17" s="115" t="n">
        <v>4</v>
      </c>
      <c r="AO17" s="115" t="n">
        <v>3</v>
      </c>
      <c r="AP17" s="115" t="n">
        <v>2</v>
      </c>
      <c r="AQ17" s="115" t="n">
        <v>1</v>
      </c>
      <c r="AR17" s="115" t="n">
        <v>1</v>
      </c>
      <c r="AS17" s="115" t="n">
        <v>2</v>
      </c>
      <c r="AT17" s="115" t="n">
        <v>1</v>
      </c>
      <c r="AU17" s="115">
        <f>0+DD17</f>
        <v/>
      </c>
      <c r="AV17" s="115" t="n">
        <v>3</v>
      </c>
      <c r="AW17" s="115" t="n">
        <v>3</v>
      </c>
      <c r="AX17" s="115" t="n">
        <v>2</v>
      </c>
      <c r="AY17" s="115" t="n">
        <v>2</v>
      </c>
      <c r="AZ17" s="115">
        <f>1+CY17</f>
        <v/>
      </c>
      <c r="BA17" s="115">
        <f>2+CX17</f>
        <v/>
      </c>
      <c r="BB17" s="115" t="n">
        <v>4</v>
      </c>
      <c r="BC17" s="115">
        <f>3+CW17</f>
        <v/>
      </c>
      <c r="BD17" s="115" t="n">
        <v>3</v>
      </c>
      <c r="BE17" s="115" t="n">
        <v>3</v>
      </c>
      <c r="BF17" s="115" t="n">
        <v>3</v>
      </c>
      <c r="BG17" s="115" t="n">
        <v>2</v>
      </c>
      <c r="BH17" s="115" t="n">
        <v>3</v>
      </c>
      <c r="BI17" s="115" t="n">
        <v>5</v>
      </c>
      <c r="BJ17" s="115" t="n">
        <v>5</v>
      </c>
      <c r="BK17" s="115" t="n">
        <v>4</v>
      </c>
      <c r="BL17" s="115" t="n">
        <v>5</v>
      </c>
      <c r="BM17" s="115" t="n">
        <v>5</v>
      </c>
      <c r="BN17" s="115" t="n">
        <v>5</v>
      </c>
      <c r="BO17" s="115" t="n">
        <v>4</v>
      </c>
      <c r="BP17" s="115" t="n">
        <v>3</v>
      </c>
      <c r="BQ17" s="115">
        <f>3+CN17</f>
        <v/>
      </c>
      <c r="BR17" s="115" t="n">
        <v>4</v>
      </c>
      <c r="BS17" s="115" t="n">
        <v>3</v>
      </c>
      <c r="BT17" s="115" t="n">
        <v>3</v>
      </c>
      <c r="BU17" s="115" t="n">
        <v>4</v>
      </c>
      <c r="BV17" s="115" t="n">
        <v>3</v>
      </c>
      <c r="BW17" s="115" t="n">
        <v>3</v>
      </c>
      <c r="BX17" s="115" t="n">
        <v>2</v>
      </c>
      <c r="BY17" s="115">
        <f>0+CJ17</f>
        <v/>
      </c>
      <c r="BZ17" s="115" t="n"/>
      <c r="CA17" s="115" t="n"/>
      <c r="CB17" s="154">
        <f>BZ17+IF(NOT(ISBLANK(OFFSET(CB17,0,6))),N(OFFSET(CB17,0,6)),N(OFFSET(CB17,0,7)))-CA17</f>
        <v/>
      </c>
      <c r="CC17" s="2" t="n"/>
      <c r="CD17" s="19" t="n"/>
      <c r="CE17" s="19" t="n">
        <v>2</v>
      </c>
      <c r="CF17" s="4" t="n"/>
      <c r="CG17" s="23" t="n"/>
      <c r="CH17" s="2" t="n"/>
      <c r="CI17" s="18" t="n">
        <v>0</v>
      </c>
      <c r="CJ17" s="18" t="n">
        <v>1</v>
      </c>
      <c r="CK17" s="18" t="n">
        <v>0</v>
      </c>
      <c r="CL17" s="18" t="n">
        <v>1</v>
      </c>
      <c r="CM17" s="356" t="n"/>
      <c r="CN17" s="18" t="n">
        <v>2</v>
      </c>
      <c r="CO17" s="18" t="n"/>
      <c r="CP17" s="18" t="n">
        <v>2</v>
      </c>
      <c r="CQ17" s="18" t="n"/>
      <c r="CR17" s="18" t="n"/>
      <c r="CS17" s="18" t="n">
        <v>2</v>
      </c>
      <c r="CT17" s="18" t="n">
        <v>3</v>
      </c>
      <c r="CU17" s="18" t="n"/>
      <c r="CV17" s="18" t="n">
        <v>2</v>
      </c>
      <c r="CW17" s="18" t="n">
        <v>1</v>
      </c>
      <c r="CX17" s="18" t="n">
        <v>3</v>
      </c>
      <c r="CY17" s="18" t="n">
        <v>1</v>
      </c>
      <c r="CZ17" s="18" t="n"/>
      <c r="DA17" s="18" t="n"/>
      <c r="DB17" s="256" t="n"/>
      <c r="DC17" s="18" t="n"/>
      <c r="DD17" s="18" t="n">
        <v>3</v>
      </c>
      <c r="DE17" s="18" t="n"/>
      <c r="DF17" s="18" t="n"/>
      <c r="DG17" s="256" t="n"/>
      <c r="DH17" s="18" t="n"/>
      <c r="DI17" s="256" t="n"/>
      <c r="DJ17" s="256" t="n"/>
      <c r="DK17" s="18" t="n">
        <v>1</v>
      </c>
      <c r="DL17" s="18" t="n"/>
      <c r="DM17" s="18" t="n"/>
      <c r="DN17" s="18" t="n"/>
      <c r="DO17" s="256" t="n"/>
      <c r="DP17" s="18" t="n"/>
      <c r="DQ17" s="256" t="n"/>
      <c r="DR17" s="18" t="n"/>
      <c r="DS17" s="18" t="n">
        <v>1</v>
      </c>
      <c r="DT17" s="18" t="n"/>
      <c r="DU17" s="18" t="n">
        <v>1</v>
      </c>
      <c r="DV17" s="256" t="n"/>
      <c r="DW17" s="256" t="n"/>
      <c r="DX17" s="18" t="n"/>
      <c r="DY17" s="18" t="n">
        <v>1</v>
      </c>
      <c r="DZ17" s="18" t="n"/>
      <c r="EA17" s="18" t="n"/>
      <c r="EB17" s="256" t="n"/>
      <c r="EC17" s="256" t="n"/>
      <c r="ED17" s="18" t="n">
        <v>3</v>
      </c>
      <c r="EE17" s="18" t="n"/>
      <c r="EF17" s="18" t="n"/>
      <c r="EG17" s="18" t="n"/>
      <c r="EH17" s="18" t="n">
        <v>2</v>
      </c>
      <c r="EI17" s="256" t="n"/>
      <c r="EJ17" s="256" t="n"/>
      <c r="EK17" s="256" t="n"/>
      <c r="EL17" s="18" t="n"/>
      <c r="EM17" s="256" t="n"/>
      <c r="EN17" s="256" t="n"/>
      <c r="EO17" s="241" t="inlineStr">
        <is>
          <t>01 P/ ATC</t>
        </is>
      </c>
      <c r="EP17" s="18" t="n"/>
      <c r="EQ17" s="256" t="n"/>
      <c r="ER17" s="18" t="n"/>
      <c r="ES17" s="18" t="n">
        <v>1</v>
      </c>
      <c r="ET17" s="18" t="n"/>
      <c r="EU17" s="18" t="n"/>
      <c r="EV17" s="18" t="n"/>
      <c r="EW17" s="18" t="n"/>
      <c r="EX17" s="256" t="n"/>
      <c r="EY17" s="18" t="n">
        <v>3</v>
      </c>
      <c r="EZ17" s="18" t="n">
        <v>2</v>
      </c>
      <c r="FA17" s="18" t="n"/>
      <c r="FB17" s="18" t="n"/>
      <c r="FC17" s="18" t="n"/>
      <c r="FD17" s="18" t="n"/>
      <c r="FE17" s="18" t="n"/>
      <c r="FF17" s="18" t="n">
        <v>1</v>
      </c>
      <c r="FG17" s="18" t="n">
        <v>1</v>
      </c>
      <c r="FH17" s="256" t="n"/>
      <c r="FI17" s="18" t="n"/>
      <c r="FJ17" s="18" t="n"/>
      <c r="FK17" s="18" t="n"/>
    </row>
    <row r="18" ht="18.75" customFormat="1" customHeight="1" s="3">
      <c r="A18" s="31" t="n"/>
      <c r="C18" s="664" t="n"/>
      <c r="D18" s="398" t="n"/>
      <c r="CB18" s="4" t="n"/>
      <c r="CD18" s="16" t="n"/>
      <c r="CE18" s="16" t="n"/>
      <c r="CI18" s="16" t="n"/>
      <c r="CJ18" s="16" t="n"/>
      <c r="CK18" s="16" t="n"/>
      <c r="CL18" s="16" t="n"/>
      <c r="CM18" s="258" t="n"/>
      <c r="CN18" s="16" t="n"/>
      <c r="CO18" s="16" t="n"/>
      <c r="CP18" s="16" t="n"/>
      <c r="CQ18" s="16" t="n"/>
      <c r="CR18" s="16" t="n"/>
      <c r="CZ18" s="16" t="n"/>
      <c r="DA18" s="16" t="n"/>
      <c r="DC18" s="16" t="n"/>
      <c r="DD18" s="16" t="n"/>
      <c r="DE18" s="16" t="n"/>
      <c r="DF18" s="16" t="n"/>
      <c r="DH18" s="16" t="n"/>
      <c r="DI18" s="16" t="n"/>
      <c r="DJ18" s="16" t="n"/>
      <c r="DK18" s="16" t="n"/>
      <c r="DL18" s="16" t="n"/>
      <c r="DM18" s="16" t="n"/>
      <c r="DN18" s="16" t="n"/>
      <c r="DO18" s="258" t="n"/>
      <c r="DP18" s="16" t="n"/>
      <c r="DQ18" s="258" t="n"/>
      <c r="DR18" s="16" t="n"/>
      <c r="DS18" s="16" t="n"/>
      <c r="DT18" s="16" t="n"/>
      <c r="DU18" s="16" t="n"/>
      <c r="DV18" s="258" t="n"/>
      <c r="DW18" s="258" t="n"/>
      <c r="DX18" s="16" t="n"/>
      <c r="DY18" s="16" t="n"/>
      <c r="DZ18" s="16" t="n"/>
      <c r="EA18" s="16" t="n"/>
      <c r="EB18" s="258" t="n"/>
      <c r="EC18" s="258" t="n"/>
      <c r="ED18" s="16" t="n"/>
      <c r="EE18" s="16" t="n"/>
      <c r="EF18" s="16" t="n"/>
      <c r="EG18" s="16" t="n"/>
      <c r="EH18" s="16" t="n"/>
      <c r="EI18" s="272" t="n"/>
      <c r="EJ18" s="16" t="n"/>
      <c r="EK18" s="16" t="n"/>
      <c r="EL18" s="16" t="n"/>
      <c r="EM18" s="16" t="n"/>
      <c r="EN18" s="16" t="n"/>
      <c r="EO18" s="16" t="n"/>
      <c r="EP18" s="16" t="n"/>
      <c r="EQ18" s="1" t="n"/>
      <c r="ER18" s="16" t="n"/>
      <c r="ES18" s="16" t="n"/>
      <c r="ET18" s="16" t="n"/>
      <c r="EU18" s="16" t="n"/>
      <c r="EV18" s="16" t="n"/>
      <c r="EW18" s="16" t="n"/>
      <c r="EX18" s="1" t="n"/>
      <c r="EY18" s="16" t="n"/>
      <c r="EZ18" s="16" t="n"/>
      <c r="FA18" s="16" t="n"/>
      <c r="FB18" s="16" t="n"/>
      <c r="FC18" s="16" t="n"/>
      <c r="FD18" s="16" t="n"/>
      <c r="FE18" s="16" t="n"/>
      <c r="FF18" s="16" t="n"/>
      <c r="FG18" s="16" t="n"/>
      <c r="FH18" s="258" t="n"/>
      <c r="FI18" s="16" t="n"/>
      <c r="FJ18" s="16" t="n"/>
      <c r="FK18" s="16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D19" s="413" t="inlineStr">
        <is>
          <t>TRANSFERÊNCIA</t>
        </is>
      </c>
      <c r="CE19" s="35" t="inlineStr">
        <is>
          <t>Pendências</t>
        </is>
      </c>
      <c r="CF19" s="6" t="n"/>
      <c r="CG19" s="12" t="inlineStr">
        <is>
          <t>Novo Pedido</t>
        </is>
      </c>
      <c r="CH19" s="2" t="n"/>
      <c r="CI19" s="646" t="n">
        <v>46156</v>
      </c>
      <c r="CJ19" s="646" t="n">
        <v>46149</v>
      </c>
      <c r="CK19" s="646" t="n">
        <v>46142</v>
      </c>
      <c r="CL19" s="646" t="n">
        <v>46114</v>
      </c>
      <c r="CM19" s="647" t="n">
        <v>46065</v>
      </c>
      <c r="CN19" s="646" t="n">
        <v>46092</v>
      </c>
      <c r="CO19" s="646" t="n">
        <v>46071</v>
      </c>
      <c r="CP19" s="646" t="n">
        <v>46056</v>
      </c>
      <c r="CQ19" s="646" t="n">
        <v>46043</v>
      </c>
      <c r="CR19" s="646" t="n">
        <v>46035</v>
      </c>
      <c r="CS19" s="646" t="n">
        <v>46029</v>
      </c>
      <c r="CT19" s="646" t="n">
        <v>46017</v>
      </c>
      <c r="CU19" s="646" t="n">
        <v>46007</v>
      </c>
      <c r="CV19" s="646" t="n">
        <v>46001</v>
      </c>
      <c r="CW19" s="646" t="n">
        <v>45994</v>
      </c>
      <c r="CX19" s="646" t="n">
        <v>45980</v>
      </c>
      <c r="CY19" s="646" t="n">
        <v>45973</v>
      </c>
      <c r="CZ19" s="646" t="n">
        <v>45960</v>
      </c>
      <c r="DA19" s="646" t="n">
        <v>45951</v>
      </c>
      <c r="DB19" s="687" t="n">
        <v>45952</v>
      </c>
      <c r="DC19" s="646" t="n">
        <v>45945</v>
      </c>
      <c r="DD19" s="646" t="n">
        <v>45937</v>
      </c>
      <c r="DE19" s="646" t="n">
        <v>45931</v>
      </c>
      <c r="DF19" s="646" t="n">
        <v>45923</v>
      </c>
      <c r="DG19" s="678" t="n">
        <v>45903</v>
      </c>
      <c r="DH19" s="646" t="n">
        <v>45923</v>
      </c>
      <c r="DI19" s="688" t="n">
        <v>45925</v>
      </c>
      <c r="DJ19" s="688" t="n">
        <v>45924</v>
      </c>
      <c r="DK19" s="646" t="n">
        <v>45915</v>
      </c>
      <c r="DL19" s="655" t="n">
        <v>45913</v>
      </c>
      <c r="DM19" s="646" t="n">
        <v>45909</v>
      </c>
      <c r="DN19" s="646" t="n">
        <v>45895</v>
      </c>
      <c r="DO19" s="681" t="n">
        <v>45897</v>
      </c>
      <c r="DP19" s="689" t="n">
        <v>45897</v>
      </c>
      <c r="DQ19" s="681" t="n">
        <v>45896</v>
      </c>
      <c r="DR19" s="646" t="n">
        <v>45888</v>
      </c>
      <c r="DS19" s="646" t="n">
        <v>45881</v>
      </c>
      <c r="DT19" s="655" t="n">
        <v>45885</v>
      </c>
      <c r="DU19" s="646" t="n">
        <v>45874</v>
      </c>
      <c r="DV19" s="681" t="n">
        <v>45867</v>
      </c>
      <c r="DW19" s="682" t="n">
        <v>45866</v>
      </c>
      <c r="DX19" s="646" t="n">
        <v>45860</v>
      </c>
      <c r="DY19" s="646" t="n">
        <v>45859</v>
      </c>
      <c r="DZ19" s="646" t="n">
        <v>45839</v>
      </c>
      <c r="EA19" s="646" t="n">
        <v>45832</v>
      </c>
      <c r="EB19" s="681" t="n">
        <v>45838</v>
      </c>
      <c r="EC19" s="681" t="n">
        <v>45791</v>
      </c>
      <c r="ED19" s="646" t="n">
        <v>45825</v>
      </c>
      <c r="EE19" s="646" t="n">
        <v>45813</v>
      </c>
      <c r="EF19" s="655" t="n">
        <v>45820</v>
      </c>
      <c r="EG19" s="646" t="n">
        <v>45805</v>
      </c>
      <c r="EH19" s="646" t="n">
        <v>45798</v>
      </c>
      <c r="EI19" s="655" t="n">
        <v>45798</v>
      </c>
      <c r="EJ19" s="690" t="n">
        <v>45798</v>
      </c>
      <c r="EK19" s="655" t="n">
        <v>45797</v>
      </c>
      <c r="EL19" s="646" t="n">
        <v>45790</v>
      </c>
      <c r="EM19" s="655" t="n">
        <v>45794</v>
      </c>
      <c r="EN19" s="683" t="n">
        <v>45735</v>
      </c>
      <c r="EO19" s="655" t="n">
        <v>45790</v>
      </c>
      <c r="EP19" s="655" t="n">
        <v>45785</v>
      </c>
      <c r="EQ19" s="684" t="n">
        <v>45785</v>
      </c>
      <c r="ER19" s="646" t="n">
        <v>45770</v>
      </c>
      <c r="ES19" s="646" t="n">
        <v>45756</v>
      </c>
      <c r="ET19" s="646" t="n">
        <v>45749</v>
      </c>
      <c r="EU19" s="646" t="n">
        <v>45743</v>
      </c>
      <c r="EV19" s="646" t="n">
        <v>45734</v>
      </c>
      <c r="EW19" s="646" t="n">
        <v>45728</v>
      </c>
      <c r="EX19" s="684" t="n">
        <v>45700</v>
      </c>
      <c r="EY19" s="646" t="n">
        <v>45722</v>
      </c>
      <c r="EZ19" s="646" t="n">
        <v>45714</v>
      </c>
      <c r="FA19" s="655" t="n">
        <v>45721</v>
      </c>
      <c r="FB19" s="646" t="n">
        <v>45706</v>
      </c>
      <c r="FC19" s="646" t="n">
        <v>45699</v>
      </c>
      <c r="FD19" s="646" t="n">
        <v>45693</v>
      </c>
      <c r="FE19" s="646" t="n">
        <v>45685</v>
      </c>
      <c r="FF19" s="646" t="n">
        <v>45674</v>
      </c>
      <c r="FG19" s="646" t="n">
        <v>45664</v>
      </c>
      <c r="FH19" s="685" t="n">
        <v>45670</v>
      </c>
      <c r="FI19" s="646" t="n">
        <v>45660</v>
      </c>
      <c r="FJ19" s="655" t="n">
        <v>45661</v>
      </c>
      <c r="FK19" s="646" t="n">
        <v>45652</v>
      </c>
      <c r="FM19" s="267" t="inlineStr">
        <is>
          <t>CAIXAS</t>
        </is>
      </c>
      <c r="FN19" s="205" t="inlineStr">
        <is>
          <t>PCT</t>
        </is>
      </c>
      <c r="FO19" s="650" t="n">
        <v>46118</v>
      </c>
      <c r="FP19" s="650" t="n">
        <v>46125</v>
      </c>
      <c r="FQ19" s="650" t="n">
        <v>46132</v>
      </c>
      <c r="FR19" s="650" t="n">
        <v>46139</v>
      </c>
      <c r="FS19" s="650" t="n">
        <v>46146</v>
      </c>
      <c r="FT19" s="650" t="n">
        <v>46154</v>
      </c>
      <c r="FU19" s="650" t="n">
        <v>46160</v>
      </c>
      <c r="FV19" s="650" t="n">
        <v>46160</v>
      </c>
      <c r="FW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200</v>
      </c>
      <c r="E20" s="2" t="n"/>
      <c r="F20" s="38">
        <f>6+150</f>
        <v/>
      </c>
      <c r="G20" s="38" t="n">
        <v>151</v>
      </c>
      <c r="H20" s="38" t="n">
        <v>109</v>
      </c>
      <c r="I20" s="38" t="n">
        <v>106</v>
      </c>
      <c r="J20" s="38" t="n">
        <v>77</v>
      </c>
      <c r="K20" s="38" t="n">
        <v>179</v>
      </c>
      <c r="L20" s="38" t="n">
        <v>112</v>
      </c>
      <c r="M20" s="38" t="n">
        <v>224</v>
      </c>
      <c r="N20" s="38" t="n">
        <v>173</v>
      </c>
      <c r="O20" s="38">
        <f>116+EZ20</f>
        <v/>
      </c>
      <c r="P20" s="38">
        <f>175+EY20</f>
        <v/>
      </c>
      <c r="Q20" s="38" t="n">
        <v>253</v>
      </c>
      <c r="R20" s="38" t="n">
        <v>205</v>
      </c>
      <c r="S20" s="38">
        <f>151+141</f>
        <v/>
      </c>
      <c r="T20" s="38" t="n">
        <v>250</v>
      </c>
      <c r="U20" s="38" t="n">
        <v>199</v>
      </c>
      <c r="V20" s="38" t="n">
        <v>189</v>
      </c>
      <c r="W20" s="38" t="n">
        <v>196</v>
      </c>
      <c r="X20" s="38" t="n">
        <v>196</v>
      </c>
      <c r="Y20" s="38" t="n">
        <v>194</v>
      </c>
      <c r="Z20" s="38" t="n">
        <v>157</v>
      </c>
      <c r="AA20" s="38" t="n">
        <v>102</v>
      </c>
      <c r="AB20" s="38">
        <f>59+EG20</f>
        <v/>
      </c>
      <c r="AC20" s="38">
        <f>158+100</f>
        <v/>
      </c>
      <c r="AD20" s="38" t="n">
        <v>90</v>
      </c>
      <c r="AE20" s="38">
        <f>46+ED20</f>
        <v/>
      </c>
      <c r="AF20" s="38">
        <f>147+EA20</f>
        <v/>
      </c>
      <c r="AG20" s="38" t="n">
        <v>256</v>
      </c>
      <c r="AH20" s="38" t="n">
        <v>195</v>
      </c>
      <c r="AI20" s="38" t="n">
        <v>145</v>
      </c>
      <c r="AJ20" s="38" t="n">
        <v>257</v>
      </c>
      <c r="AK20" s="38" t="n">
        <v>195</v>
      </c>
      <c r="AL20" s="38" t="n">
        <v>210</v>
      </c>
      <c r="AM20" s="38" t="n">
        <v>177</v>
      </c>
      <c r="AN20" s="38" t="n">
        <v>177</v>
      </c>
      <c r="AO20" s="38" t="n">
        <v>140</v>
      </c>
      <c r="AP20" s="38" t="n">
        <v>245</v>
      </c>
      <c r="AQ20" s="38" t="n">
        <v>181</v>
      </c>
      <c r="AR20" s="38" t="n">
        <v>130</v>
      </c>
      <c r="AS20" s="38" t="n">
        <v>182</v>
      </c>
      <c r="AT20" s="38" t="n">
        <v>131</v>
      </c>
      <c r="AU20" s="38">
        <f>59+DD20</f>
        <v/>
      </c>
      <c r="AV20" s="38" t="n">
        <v>173</v>
      </c>
      <c r="AW20" s="38">
        <f>122+DA20</f>
        <v/>
      </c>
      <c r="AX20" s="38" t="n">
        <v>207</v>
      </c>
      <c r="AY20" s="38" t="n">
        <v>191</v>
      </c>
      <c r="AZ20" s="38" t="n">
        <v>189</v>
      </c>
      <c r="BA20" s="38" t="n">
        <v>189</v>
      </c>
      <c r="BB20" s="38" t="n">
        <v>189</v>
      </c>
      <c r="BC20" s="38" t="n">
        <v>187</v>
      </c>
      <c r="BD20" s="38" t="n">
        <v>185</v>
      </c>
      <c r="BE20" s="38" t="n">
        <v>332</v>
      </c>
      <c r="BF20" s="38" t="n">
        <v>329</v>
      </c>
      <c r="BG20" s="38" t="n">
        <v>323</v>
      </c>
      <c r="BH20" s="38" t="n">
        <v>279</v>
      </c>
      <c r="BI20" s="38">
        <f>216+CR20</f>
        <v/>
      </c>
      <c r="BJ20" s="38" t="n">
        <v>295</v>
      </c>
      <c r="BK20" s="38" t="n">
        <v>271</v>
      </c>
      <c r="BL20" s="38" t="n">
        <v>401</v>
      </c>
      <c r="BM20" s="38" t="n">
        <v>382</v>
      </c>
      <c r="BN20" s="38" t="n">
        <v>348</v>
      </c>
      <c r="BO20" s="38" t="n">
        <v>311</v>
      </c>
      <c r="BP20" s="38" t="n">
        <v>247</v>
      </c>
      <c r="BQ20" s="38" t="n">
        <v>197</v>
      </c>
      <c r="BR20" s="38" t="n">
        <v>135</v>
      </c>
      <c r="BS20" s="38" t="n">
        <v>90</v>
      </c>
      <c r="BT20" s="38" t="n"/>
      <c r="BU20" s="38" t="n"/>
      <c r="BV20" s="38" t="n"/>
      <c r="BW20" s="38" t="n">
        <v>149</v>
      </c>
      <c r="BX20" s="38" t="n">
        <v>149</v>
      </c>
      <c r="BY20" s="38" t="n">
        <v>62</v>
      </c>
      <c r="BZ20" s="38" t="n">
        <v>33</v>
      </c>
      <c r="CA20" s="38" t="n">
        <v>33</v>
      </c>
      <c r="CB20" s="154">
        <f>BZ20+IF(NOT(ISBLANK(OFFSET(CB20,0,6))),N(OFFSET(CB20,0,6)),N(OFFSET(CB20,0,7)))-CA20</f>
        <v/>
      </c>
      <c r="CD20" s="122" t="n"/>
      <c r="CE20" s="122" t="n">
        <v>150</v>
      </c>
      <c r="CF20" s="4" t="n"/>
      <c r="CG20" s="23" t="n"/>
      <c r="CH20" s="2" t="n"/>
      <c r="CI20" s="18" t="n">
        <v>0</v>
      </c>
      <c r="CJ20" s="18" t="n">
        <v>0</v>
      </c>
      <c r="CK20" s="18" t="n">
        <v>0</v>
      </c>
      <c r="CL20" s="18" t="n">
        <v>150</v>
      </c>
      <c r="CM20" s="256" t="n">
        <v>300</v>
      </c>
      <c r="CN20" s="18" t="n"/>
      <c r="CO20" s="18" t="n"/>
      <c r="CP20" s="18" t="n">
        <v>150</v>
      </c>
      <c r="CQ20" s="18" t="n"/>
      <c r="CR20" s="18" t="n">
        <v>150</v>
      </c>
      <c r="CS20" s="18" t="n"/>
      <c r="CT20" s="18" t="n"/>
      <c r="CU20" s="18" t="n"/>
      <c r="CV20" s="18" t="n">
        <v>150</v>
      </c>
      <c r="CW20" s="18" t="n"/>
      <c r="CX20" s="18" t="n"/>
      <c r="CY20" s="18" t="n"/>
      <c r="CZ20" s="18" t="n"/>
      <c r="DA20" s="18" t="n">
        <v>150</v>
      </c>
      <c r="DB20" s="256" t="n"/>
      <c r="DC20" s="18" t="n"/>
      <c r="DD20" s="18" t="n">
        <v>150</v>
      </c>
      <c r="DE20" s="18" t="n"/>
      <c r="DF20" s="18" t="n"/>
      <c r="DG20" s="256" t="n">
        <v>300</v>
      </c>
      <c r="DH20" s="18" t="n"/>
      <c r="DI20" s="256" t="n"/>
      <c r="DJ20" s="256" t="n"/>
      <c r="DK20" s="18" t="n">
        <v>150</v>
      </c>
      <c r="DL20" s="18" t="n"/>
      <c r="DM20" s="18" t="n"/>
      <c r="DN20" s="18" t="n">
        <v>150</v>
      </c>
      <c r="DO20" s="256" t="n"/>
      <c r="DP20" s="256" t="n"/>
      <c r="DQ20" s="256" t="n"/>
      <c r="DR20" s="18" t="n"/>
      <c r="DS20" s="18" t="n"/>
      <c r="DT20" s="18" t="n"/>
      <c r="DU20" s="18" t="n">
        <v>150</v>
      </c>
      <c r="DV20" s="256" t="n"/>
      <c r="DW20" s="256" t="n"/>
      <c r="DX20" s="18" t="n">
        <v>150</v>
      </c>
      <c r="DY20" s="18" t="n"/>
      <c r="DZ20" s="18" t="n"/>
      <c r="EA20" s="18" t="n">
        <v>150</v>
      </c>
      <c r="EB20" s="256" t="n"/>
      <c r="EC20" s="256" t="n"/>
      <c r="ED20" s="18" t="n">
        <v>150</v>
      </c>
      <c r="EE20" s="18" t="n"/>
      <c r="EF20" s="241" t="inlineStr">
        <is>
          <t>100 DE PL</t>
        </is>
      </c>
      <c r="EG20" s="18" t="n">
        <v>150</v>
      </c>
      <c r="EH20" s="18" t="n"/>
      <c r="EI20" s="256" t="n"/>
      <c r="EJ20" s="256" t="n"/>
      <c r="EK20" s="18" t="n"/>
      <c r="EL20" s="18" t="n"/>
      <c r="EM20" s="18" t="n"/>
      <c r="EN20" s="256" t="n"/>
      <c r="EO20" s="18" t="n"/>
      <c r="EP20" s="18" t="n"/>
      <c r="EQ20" s="256" t="n"/>
      <c r="ER20" s="18" t="n"/>
      <c r="ES20" s="18" t="n"/>
      <c r="ET20" s="18" t="n"/>
      <c r="EU20" s="18" t="n"/>
      <c r="EV20" s="18" t="n"/>
      <c r="EW20" s="18" t="n">
        <v>150</v>
      </c>
      <c r="EX20" s="256" t="n">
        <v>300</v>
      </c>
      <c r="EY20" s="18" t="n">
        <v>150</v>
      </c>
      <c r="EZ20" s="18" t="n">
        <v>150</v>
      </c>
      <c r="FA20" s="256" t="n"/>
      <c r="FB20" s="18" t="n"/>
      <c r="FC20" s="18" t="n"/>
      <c r="FD20" s="18" t="n">
        <v>150</v>
      </c>
      <c r="FE20" s="18" t="n">
        <v>150</v>
      </c>
      <c r="FF20" s="18" t="n"/>
      <c r="FG20" s="18" t="n"/>
      <c r="FH20" s="256" t="n"/>
      <c r="FI20" s="18" t="n"/>
      <c r="FJ20" s="232" t="inlineStr">
        <is>
          <t>150 DE BOQ</t>
        </is>
      </c>
      <c r="FK20" s="18" t="n"/>
      <c r="FM20" s="159" t="inlineStr">
        <is>
          <t>CAIXA P</t>
        </is>
      </c>
      <c r="FN20" s="129" t="n">
        <v>150</v>
      </c>
      <c r="FO20" s="38">
        <f>CM20</f>
        <v/>
      </c>
      <c r="FP20" s="38" t="n"/>
      <c r="FQ20" s="38" t="n"/>
      <c r="FR20" s="38" t="n">
        <v>227</v>
      </c>
      <c r="FS20" s="38" t="n">
        <v>163</v>
      </c>
      <c r="FT20" s="38" t="n">
        <v>-28</v>
      </c>
      <c r="FU20" s="261" t="n">
        <v>-33</v>
      </c>
      <c r="FV20" s="261" t="n"/>
      <c r="FW20" s="246">
        <f>FU20+IF(NOT(ISBLANK(OFFSET(FW20,0,6))),N(OFFSET(FW20,0,6)),N(OFFSET(FW20,0,7)))-FV20</f>
        <v/>
      </c>
    </row>
    <row r="21" ht="18.75" customFormat="1" customHeight="1" s="3">
      <c r="A21" s="33" t="inlineStr">
        <is>
          <t>CAIXA M  VERDE</t>
        </is>
      </c>
      <c r="B21" s="9" t="n">
        <v>100</v>
      </c>
      <c r="C21" s="665" t="n">
        <v>292.25</v>
      </c>
      <c r="D21" s="332" t="n">
        <v>200</v>
      </c>
      <c r="E21" s="2" t="n"/>
      <c r="F21" s="38" t="n">
        <v>125</v>
      </c>
      <c r="G21" s="38" t="n">
        <v>123</v>
      </c>
      <c r="H21" s="38" t="n">
        <v>123</v>
      </c>
      <c r="I21" s="38" t="n">
        <v>90</v>
      </c>
      <c r="J21" s="38" t="n">
        <v>68</v>
      </c>
      <c r="K21" s="38" t="n">
        <v>123</v>
      </c>
      <c r="L21" s="38" t="n">
        <v>59</v>
      </c>
      <c r="M21" s="38">
        <f>67+FC21</f>
        <v/>
      </c>
      <c r="N21" s="38" t="n">
        <v>98</v>
      </c>
      <c r="O21" s="38">
        <f>133+EZ21</f>
        <v/>
      </c>
      <c r="P21" s="38">
        <f>215+EY21</f>
        <v/>
      </c>
      <c r="Q21" s="38" t="n">
        <v>223</v>
      </c>
      <c r="R21" s="38" t="n">
        <v>154</v>
      </c>
      <c r="S21" s="38">
        <f>103+94</f>
        <v/>
      </c>
      <c r="T21" s="38">
        <f>138+ET21</f>
        <v/>
      </c>
      <c r="U21" s="38" t="n">
        <v>169</v>
      </c>
      <c r="V21" s="38" t="n">
        <v>155</v>
      </c>
      <c r="W21" s="38" t="n">
        <v>154</v>
      </c>
      <c r="X21" s="38" t="n">
        <v>154</v>
      </c>
      <c r="Y21" s="38" t="n">
        <v>4</v>
      </c>
      <c r="Z21" s="38" t="n">
        <v>79</v>
      </c>
      <c r="AA21" s="38">
        <f>26+EH21</f>
        <v/>
      </c>
      <c r="AB21" s="38">
        <f>76+EG21</f>
        <v/>
      </c>
      <c r="AC21" s="38">
        <f>116+50</f>
        <v/>
      </c>
      <c r="AD21" s="38" t="n">
        <v>17</v>
      </c>
      <c r="AE21" s="38">
        <f>0+ED21</f>
        <v/>
      </c>
      <c r="AF21" s="38">
        <f>158+EA21</f>
        <v/>
      </c>
      <c r="AG21" s="38">
        <f>223+DZ21</f>
        <v/>
      </c>
      <c r="AH21" s="38" t="n">
        <v>266</v>
      </c>
      <c r="AI21" s="38" t="n">
        <v>207</v>
      </c>
      <c r="AJ21" s="38" t="n">
        <v>181</v>
      </c>
      <c r="AK21" s="38" t="n">
        <v>167</v>
      </c>
      <c r="AL21" s="38" t="n">
        <v>93</v>
      </c>
      <c r="AM21" s="38">
        <f>56+30</f>
        <v/>
      </c>
      <c r="AN21" s="38">
        <f>56+DS21</f>
        <v/>
      </c>
      <c r="AO21" s="38" t="n">
        <v>217</v>
      </c>
      <c r="AP21" s="38">
        <f>156+50</f>
        <v/>
      </c>
      <c r="AQ21" s="38" t="n">
        <v>174</v>
      </c>
      <c r="AR21" s="38" t="n">
        <v>154</v>
      </c>
      <c r="AS21" s="38" t="n">
        <v>106</v>
      </c>
      <c r="AT21" s="38" t="n">
        <v>38</v>
      </c>
      <c r="AU21" s="38" t="n">
        <v>175</v>
      </c>
      <c r="AV21" s="38">
        <f>100+DC21</f>
        <v/>
      </c>
      <c r="AW21" s="38" t="n">
        <v>134</v>
      </c>
      <c r="AX21" s="38">
        <f>55+CZ21</f>
        <v/>
      </c>
      <c r="AY21" s="38" t="n">
        <v>130</v>
      </c>
      <c r="AZ21" s="38" t="n">
        <v>117</v>
      </c>
      <c r="BA21" s="38" t="n">
        <v>106</v>
      </c>
      <c r="BB21" s="38" t="n">
        <v>106</v>
      </c>
      <c r="BC21" s="38" t="n">
        <v>106</v>
      </c>
      <c r="BD21" s="38" t="n">
        <v>107</v>
      </c>
      <c r="BE21" s="38" t="n">
        <v>207</v>
      </c>
      <c r="BF21" s="38" t="n">
        <v>206</v>
      </c>
      <c r="BG21" s="38" t="n">
        <v>200</v>
      </c>
      <c r="BH21" s="38" t="n">
        <v>172</v>
      </c>
      <c r="BI21" s="38">
        <f>151+CR21</f>
        <v/>
      </c>
      <c r="BJ21" s="38" t="n">
        <v>306</v>
      </c>
      <c r="BK21" s="38" t="n">
        <v>276</v>
      </c>
      <c r="BL21" s="261" t="n">
        <v>309</v>
      </c>
      <c r="BM21" s="38" t="n">
        <v>272</v>
      </c>
      <c r="BN21" s="38" t="n">
        <v>237</v>
      </c>
      <c r="BO21" s="38" t="n">
        <v>193</v>
      </c>
      <c r="BP21" s="38" t="n">
        <v>107</v>
      </c>
      <c r="BQ21" s="38">
        <f>60+CN21</f>
        <v/>
      </c>
      <c r="BR21" s="38" t="n">
        <v>205</v>
      </c>
      <c r="BS21" s="38" t="n">
        <v>173</v>
      </c>
      <c r="BT21" s="38" t="n"/>
      <c r="BU21" s="38" t="n"/>
      <c r="BV21" s="38" t="n"/>
      <c r="BW21" s="38" t="n">
        <v>181</v>
      </c>
      <c r="BX21" s="38" t="n">
        <v>173</v>
      </c>
      <c r="BY21" s="38" t="n">
        <v>125</v>
      </c>
      <c r="BZ21" s="38" t="n">
        <v>95</v>
      </c>
      <c r="CA21" s="38" t="n">
        <v>95</v>
      </c>
      <c r="CB21" s="154">
        <f>BZ21+IF(NOT(ISBLANK(OFFSET(CB21,0,6))),N(OFFSET(CB21,0,6)),N(OFFSET(CB21,0,7)))-CA21</f>
        <v/>
      </c>
      <c r="CD21" s="122" t="n"/>
      <c r="CE21" s="122" t="n"/>
      <c r="CF21" s="4" t="n"/>
      <c r="CG21" s="23" t="n"/>
      <c r="CH21" s="2" t="n"/>
      <c r="CI21" s="18" t="n">
        <v>0</v>
      </c>
      <c r="CJ21" s="18" t="n">
        <v>0</v>
      </c>
      <c r="CK21" s="18" t="n">
        <v>0</v>
      </c>
      <c r="CL21" s="18" t="n">
        <v>100</v>
      </c>
      <c r="CM21" s="256" t="n">
        <v>400</v>
      </c>
      <c r="CN21" s="18" t="n">
        <v>200</v>
      </c>
      <c r="CO21" s="18" t="n"/>
      <c r="CP21" s="18" t="n"/>
      <c r="CQ21" s="18" t="n"/>
      <c r="CR21" s="18" t="n">
        <v>200</v>
      </c>
      <c r="CS21" s="18" t="n"/>
      <c r="CT21" s="18" t="n"/>
      <c r="CU21" s="18" t="n"/>
      <c r="CV21" s="18" t="n">
        <v>100</v>
      </c>
      <c r="CW21" s="18" t="n"/>
      <c r="CX21" s="18" t="n"/>
      <c r="CY21" s="18" t="n"/>
      <c r="CZ21" s="18" t="n">
        <v>100</v>
      </c>
      <c r="DA21" s="18" t="n"/>
      <c r="DB21" s="256" t="n"/>
      <c r="DC21" s="18" t="n">
        <v>100</v>
      </c>
      <c r="DD21" s="18" t="n"/>
      <c r="DE21" s="18" t="n">
        <v>200</v>
      </c>
      <c r="DF21" s="18" t="n"/>
      <c r="DG21" s="256" t="n">
        <v>400</v>
      </c>
      <c r="DH21" s="18" t="n"/>
      <c r="DI21" s="256" t="n"/>
      <c r="DJ21" s="378" t="inlineStr">
        <is>
          <t>15 DE PL</t>
        </is>
      </c>
      <c r="DK21" s="18" t="n">
        <v>100</v>
      </c>
      <c r="DL21" s="154" t="inlineStr">
        <is>
          <t>50 DE BQ</t>
        </is>
      </c>
      <c r="DM21" s="18" t="n">
        <v>100</v>
      </c>
      <c r="DN21" s="18" t="n"/>
      <c r="DO21" s="256" t="n"/>
      <c r="DP21" s="263" t="inlineStr">
        <is>
          <t>50 P/ BOQ</t>
        </is>
      </c>
      <c r="DQ21" s="256" t="n"/>
      <c r="DR21" s="18" t="n"/>
      <c r="DS21" s="18" t="n">
        <v>200</v>
      </c>
      <c r="DT21" s="154" t="inlineStr">
        <is>
          <t>30 DE PL</t>
        </is>
      </c>
      <c r="DU21" s="18" t="n"/>
      <c r="DV21" s="292" t="inlineStr">
        <is>
          <t>75 DE BOQ</t>
        </is>
      </c>
      <c r="DW21" s="367" t="inlineStr">
        <is>
          <t>05 DE PL</t>
        </is>
      </c>
      <c r="DX21" s="18" t="n"/>
      <c r="DY21" s="18" t="n"/>
      <c r="DZ21" s="18" t="n">
        <v>100</v>
      </c>
      <c r="EA21" s="18" t="n">
        <v>100</v>
      </c>
      <c r="EB21" s="256" t="n"/>
      <c r="EC21" s="256" t="n">
        <v>100</v>
      </c>
      <c r="ED21" s="18" t="n">
        <v>200</v>
      </c>
      <c r="EE21" s="18" t="n"/>
      <c r="EF21" s="241" t="inlineStr">
        <is>
          <t>50 DE PL</t>
        </is>
      </c>
      <c r="EG21" s="18" t="n">
        <v>100</v>
      </c>
      <c r="EH21" s="18" t="n">
        <v>100</v>
      </c>
      <c r="EI21" s="256" t="n"/>
      <c r="EJ21" s="312" t="inlineStr">
        <is>
          <t>50 DE BQ</t>
        </is>
      </c>
      <c r="EK21" s="18" t="n"/>
      <c r="EL21" s="18" t="n">
        <v>100</v>
      </c>
      <c r="EM21" s="18" t="n"/>
      <c r="EN21" s="256" t="n"/>
      <c r="EO21" s="18" t="n"/>
      <c r="EP21" s="18" t="n"/>
      <c r="EQ21" s="256" t="n"/>
      <c r="ER21" s="18" t="n"/>
      <c r="ES21" s="18" t="n"/>
      <c r="ET21" s="18" t="n">
        <v>100</v>
      </c>
      <c r="EU21" s="18" t="n"/>
      <c r="EV21" s="18" t="n"/>
      <c r="EW21" s="18" t="n">
        <v>100</v>
      </c>
      <c r="EX21" s="256" t="n">
        <v>300</v>
      </c>
      <c r="EY21" s="18" t="n">
        <v>100</v>
      </c>
      <c r="EZ21" s="18" t="n">
        <v>200</v>
      </c>
      <c r="FA21" s="256" t="n"/>
      <c r="FB21" s="18" t="n">
        <v>100</v>
      </c>
      <c r="FC21" s="18" t="n">
        <v>100</v>
      </c>
      <c r="FD21" s="18" t="n">
        <v>100</v>
      </c>
      <c r="FE21" s="18" t="n">
        <v>100</v>
      </c>
      <c r="FF21" s="18" t="n"/>
      <c r="FG21" s="18" t="n"/>
      <c r="FH21" s="259" t="inlineStr">
        <is>
          <t>100 cx M Natal P/ PL</t>
        </is>
      </c>
      <c r="FI21" s="18" t="n"/>
      <c r="FJ21" s="18" t="n"/>
      <c r="FK21" s="18" t="n"/>
      <c r="FM21" s="29" t="inlineStr">
        <is>
          <t>CAIXA M</t>
        </is>
      </c>
      <c r="FN21" s="9" t="n">
        <v>100</v>
      </c>
      <c r="FO21" s="38">
        <f>CM21</f>
        <v/>
      </c>
      <c r="FP21" s="38" t="n"/>
      <c r="FQ21" s="38" t="n"/>
      <c r="FR21" s="38" t="n">
        <v>318</v>
      </c>
      <c r="FS21" s="38" t="n">
        <v>267</v>
      </c>
      <c r="FT21" s="38" t="n">
        <v>-5</v>
      </c>
      <c r="FU21" s="261" t="n">
        <v>-10</v>
      </c>
      <c r="FV21" s="261" t="n"/>
      <c r="FW21" s="246">
        <f>FU21+IF(NOT(ISBLANK(OFFSET(FW21,0,6))),N(OFFSET(FW21,0,6)),N(OFFSET(FW21,0,7)))-FV21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30</v>
      </c>
      <c r="E22" s="642" t="n"/>
      <c r="F22" s="38" t="n">
        <v>28</v>
      </c>
      <c r="G22" s="38" t="n">
        <v>32</v>
      </c>
      <c r="H22" s="38" t="n">
        <v>32</v>
      </c>
      <c r="I22" s="38" t="n">
        <v>32</v>
      </c>
      <c r="J22" s="38" t="n">
        <v>32</v>
      </c>
      <c r="K22" s="38" t="n">
        <v>32</v>
      </c>
      <c r="L22" s="38" t="n">
        <v>32</v>
      </c>
      <c r="M22" s="38" t="n">
        <v>32</v>
      </c>
      <c r="N22" s="38" t="n">
        <v>31</v>
      </c>
      <c r="O22" s="38" t="n">
        <v>31</v>
      </c>
      <c r="P22" s="38" t="n">
        <v>26</v>
      </c>
      <c r="Q22" s="38" t="n">
        <v>26</v>
      </c>
      <c r="R22" s="38" t="n">
        <v>26</v>
      </c>
      <c r="S22" s="38" t="n">
        <v>26</v>
      </c>
      <c r="T22" s="38" t="n">
        <v>21</v>
      </c>
      <c r="U22" s="38" t="n">
        <v>21</v>
      </c>
      <c r="V22" s="38" t="n">
        <v>21</v>
      </c>
      <c r="W22" s="38" t="n">
        <v>21</v>
      </c>
      <c r="X22" s="38">
        <f>21+26</f>
        <v/>
      </c>
      <c r="Y22" s="38" t="n">
        <v>47</v>
      </c>
      <c r="Z22" s="38" t="n">
        <v>26</v>
      </c>
      <c r="AA22" s="38" t="n">
        <v>21</v>
      </c>
      <c r="AB22" s="38" t="n">
        <v>21</v>
      </c>
      <c r="AC22" s="38">
        <f>21+25</f>
        <v/>
      </c>
      <c r="AD22" s="38" t="n">
        <v>46</v>
      </c>
      <c r="AE22" s="38" t="n">
        <v>21</v>
      </c>
      <c r="AF22" s="38" t="n">
        <v>44</v>
      </c>
      <c r="AG22" s="38" t="n">
        <v>44</v>
      </c>
      <c r="AH22" s="38" t="n">
        <v>52</v>
      </c>
      <c r="AI22" s="38" t="n">
        <v>52</v>
      </c>
      <c r="AJ22" s="38" t="n">
        <v>52</v>
      </c>
      <c r="AK22" s="38" t="n">
        <v>50</v>
      </c>
      <c r="AL22" s="38" t="n">
        <v>50</v>
      </c>
      <c r="AM22" s="38" t="n">
        <v>50</v>
      </c>
      <c r="AN22" s="38" t="n">
        <v>50</v>
      </c>
      <c r="AO22" s="38" t="n">
        <v>50</v>
      </c>
      <c r="AP22" s="38" t="n">
        <v>50</v>
      </c>
      <c r="AQ22" s="38" t="n">
        <v>50</v>
      </c>
      <c r="AR22" s="38" t="n">
        <v>50</v>
      </c>
      <c r="AS22" s="38" t="n">
        <v>50</v>
      </c>
      <c r="AT22" s="38" t="n">
        <v>40</v>
      </c>
      <c r="AU22" s="38" t="n">
        <v>33</v>
      </c>
      <c r="AV22" s="38" t="n">
        <v>40</v>
      </c>
      <c r="AW22" s="38" t="n">
        <v>36</v>
      </c>
      <c r="AX22" s="38" t="n">
        <v>36</v>
      </c>
      <c r="AY22" s="38" t="n">
        <v>36</v>
      </c>
      <c r="AZ22" s="38" t="n">
        <v>36</v>
      </c>
      <c r="BA22" s="38" t="n">
        <v>36</v>
      </c>
      <c r="BB22" s="38" t="n">
        <v>36</v>
      </c>
      <c r="BC22" s="38" t="n">
        <v>36</v>
      </c>
      <c r="BD22" s="38" t="n">
        <v>36</v>
      </c>
      <c r="BE22" s="38" t="n">
        <v>36</v>
      </c>
      <c r="BF22" s="38" t="n">
        <v>36</v>
      </c>
      <c r="BG22" s="38" t="n">
        <v>36</v>
      </c>
      <c r="BH22" s="38" t="n">
        <v>36</v>
      </c>
      <c r="BI22" s="38" t="n">
        <v>36</v>
      </c>
      <c r="BJ22" s="38" t="n">
        <v>36</v>
      </c>
      <c r="BK22" s="38" t="n">
        <v>20</v>
      </c>
      <c r="BL22" s="38" t="n">
        <v>20</v>
      </c>
      <c r="BM22" s="38" t="n">
        <v>20</v>
      </c>
      <c r="BN22" s="38" t="n">
        <v>20</v>
      </c>
      <c r="BO22" s="38" t="n">
        <v>20</v>
      </c>
      <c r="BP22" s="38" t="n">
        <v>20</v>
      </c>
      <c r="BQ22" s="38" t="n">
        <v>20</v>
      </c>
      <c r="BR22" s="38" t="n">
        <v>20</v>
      </c>
      <c r="BS22" s="38" t="n">
        <v>20</v>
      </c>
      <c r="BT22" s="38" t="n">
        <v>20</v>
      </c>
      <c r="BU22" s="38" t="n">
        <v>20</v>
      </c>
      <c r="BV22" s="38" t="n">
        <v>20</v>
      </c>
      <c r="BW22" s="38" t="n">
        <v>20</v>
      </c>
      <c r="BX22" s="38" t="n">
        <v>20</v>
      </c>
      <c r="BY22" s="38" t="n">
        <v>20</v>
      </c>
      <c r="BZ22" s="261" t="n">
        <v>1</v>
      </c>
      <c r="CA22" s="261" t="n">
        <v>1</v>
      </c>
      <c r="CB22" s="154">
        <f>BZ22+IF(NOT(ISBLANK(OFFSET(CB22,0,6))),N(OFFSET(CB22,0,6)),N(OFFSET(CB22,0,7)))-CA22</f>
        <v/>
      </c>
      <c r="CD22" s="19" t="inlineStr">
        <is>
          <t>30 DE ATC</t>
        </is>
      </c>
      <c r="CE22" s="19" t="n"/>
      <c r="CF22" s="4" t="n"/>
      <c r="CG22" s="23" t="n"/>
      <c r="CH22" s="642" t="n"/>
      <c r="CI22" s="18" t="n">
        <v>0</v>
      </c>
      <c r="CJ22" s="18" t="n">
        <v>0</v>
      </c>
      <c r="CK22" s="18" t="n">
        <v>0</v>
      </c>
      <c r="CL22" s="18" t="n"/>
      <c r="CM22" s="256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403" t="inlineStr">
        <is>
          <t>25 DE BOQ</t>
        </is>
      </c>
      <c r="DC22" s="18" t="n"/>
      <c r="DD22" s="18" t="n"/>
      <c r="DE22" s="18" t="n"/>
      <c r="DF22" s="18" t="n"/>
      <c r="DG22" s="392" t="n">
        <v>0</v>
      </c>
      <c r="DH22" s="18" t="n"/>
      <c r="DI22" s="256" t="n"/>
      <c r="DJ22" s="256" t="n"/>
      <c r="DK22" s="18" t="n"/>
      <c r="DL22" s="18" t="n"/>
      <c r="DM22" s="18" t="n"/>
      <c r="DN22" s="18" t="n"/>
      <c r="DO22" s="292" t="inlineStr">
        <is>
          <t>30 DE PL</t>
        </is>
      </c>
      <c r="DP22" s="18" t="n"/>
      <c r="DQ22" s="256" t="n"/>
      <c r="DR22" s="18" t="n"/>
      <c r="DS22" s="18" t="n"/>
      <c r="DT22" s="18" t="n"/>
      <c r="DU22" s="18" t="n"/>
      <c r="DV22" s="256" t="n"/>
      <c r="DW22" s="256" t="n"/>
      <c r="DX22" s="18" t="n"/>
      <c r="DY22" s="18" t="n"/>
      <c r="DZ22" s="18" t="n"/>
      <c r="EA22" s="18" t="n"/>
      <c r="EB22" s="256" t="n"/>
      <c r="EC22" s="256" t="n"/>
      <c r="ED22" s="18" t="n"/>
      <c r="EE22" s="18" t="n"/>
      <c r="EF22" s="241" t="inlineStr">
        <is>
          <t>25 DE PL</t>
        </is>
      </c>
      <c r="EG22" s="18" t="n"/>
      <c r="EH22" s="18" t="n"/>
      <c r="EI22" s="256" t="n"/>
      <c r="EJ22" s="312" t="inlineStr">
        <is>
          <t>50 DE BQ</t>
        </is>
      </c>
      <c r="EK22" s="18" t="n"/>
      <c r="EL22" s="18" t="n"/>
      <c r="EM22" s="18" t="n"/>
      <c r="EN22" s="256" t="n"/>
      <c r="EO22" s="18" t="n"/>
      <c r="EP22" s="241" t="inlineStr">
        <is>
          <t>26 DE ATC</t>
        </is>
      </c>
      <c r="EQ22" s="293" t="inlineStr">
        <is>
          <t>24 DE ATC</t>
        </is>
      </c>
      <c r="ER22" s="18" t="n"/>
      <c r="ES22" s="18" t="n"/>
      <c r="ET22" s="18" t="n"/>
      <c r="EU22" s="18" t="n"/>
      <c r="EV22" s="18" t="n"/>
      <c r="EW22" s="18" t="n"/>
      <c r="EX22" s="256" t="n"/>
      <c r="EY22" s="18" t="n"/>
      <c r="EZ22" s="18" t="n"/>
      <c r="FA22" s="18" t="n"/>
      <c r="FB22" s="18" t="n"/>
      <c r="FC22" s="18" t="n"/>
      <c r="FD22" s="18" t="n"/>
      <c r="FE22" s="18" t="n"/>
      <c r="FF22" s="18" t="n"/>
      <c r="FG22" s="18" t="n"/>
      <c r="FH22" s="256" t="n"/>
      <c r="FI22" s="18" t="n"/>
      <c r="FJ22" s="18" t="n"/>
      <c r="FK22" s="18" t="n"/>
      <c r="FM22" s="30" t="inlineStr">
        <is>
          <t>CARTUCHO P</t>
        </is>
      </c>
      <c r="FN22" s="9" t="n">
        <v>200</v>
      </c>
      <c r="FO22" s="38" t="n">
        <v>0</v>
      </c>
      <c r="FP22" s="38" t="n"/>
      <c r="FQ22" s="38" t="n"/>
      <c r="FR22" s="38" t="n">
        <v>0</v>
      </c>
      <c r="FS22" s="38" t="n">
        <v>0</v>
      </c>
      <c r="FT22" s="38" t="n">
        <v>0</v>
      </c>
      <c r="FU22" s="38" t="n">
        <v>0</v>
      </c>
      <c r="FV22" s="38" t="n"/>
      <c r="FW22" s="246">
        <f>FU22+IF(NOT(ISBLANK(OFFSET(FW22,0,6))),N(OFFSET(FW22,0,6)),N(OFFSET(FW22,0,7)))-FV22</f>
        <v/>
      </c>
    </row>
    <row r="23" ht="18.75" customHeight="1">
      <c r="CD23" s="6" t="n"/>
      <c r="CE23" s="6" t="n"/>
      <c r="CI23" s="6" t="n"/>
      <c r="CJ23" s="6" t="n"/>
      <c r="CK23" s="6" t="n"/>
      <c r="CL23" s="6" t="n"/>
      <c r="CN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C23" s="6" t="n"/>
      <c r="DD23" s="6" t="n"/>
      <c r="DE23" s="6" t="n"/>
      <c r="DF23" s="6" t="n"/>
      <c r="DG23" s="288" t="n">
        <v>600</v>
      </c>
      <c r="DH23" s="6" t="n"/>
      <c r="DI23" s="6" t="n"/>
      <c r="DJ23" s="6" t="n"/>
      <c r="DK23" s="6" t="n"/>
      <c r="DL23" s="6" t="n"/>
      <c r="DM23" s="6" t="n"/>
      <c r="DN23" s="6" t="n"/>
      <c r="DP23" s="6" t="n"/>
      <c r="DQ23" s="238" t="n"/>
      <c r="DR23" s="6" t="n"/>
      <c r="DS23" s="6" t="n"/>
      <c r="DT23" s="6" t="n"/>
      <c r="DU23" s="6" t="n"/>
      <c r="DV23" s="6" t="n"/>
      <c r="DX23" s="6" t="n"/>
      <c r="DY23" s="6" t="n"/>
      <c r="DZ23" s="6" t="n"/>
      <c r="EA23" s="6" t="n"/>
      <c r="EB23" s="256" t="n">
        <v>25</v>
      </c>
      <c r="EC23" s="6" t="n"/>
      <c r="ED23" s="6" t="n"/>
      <c r="EE23" s="6" t="n"/>
      <c r="EF23" s="6" t="n"/>
      <c r="EG23" s="6" t="n"/>
      <c r="EH23" s="6" t="n"/>
      <c r="EI23" s="269" t="n"/>
      <c r="EJ23" s="6" t="n"/>
      <c r="EK23" s="6" t="n"/>
      <c r="EM23" s="6" t="n"/>
      <c r="EN23" s="6" t="n"/>
      <c r="EO23" s="6" t="n"/>
      <c r="EP23" s="6" t="n"/>
      <c r="EX23" s="288" t="n"/>
      <c r="FA23" s="6" t="n"/>
      <c r="FM23" s="30" t="inlineStr">
        <is>
          <t>CARTUCHO M</t>
        </is>
      </c>
      <c r="FN23" s="9" t="n">
        <v>150</v>
      </c>
      <c r="FO23" s="38" t="n">
        <v>0</v>
      </c>
      <c r="FP23" s="38" t="n"/>
      <c r="FQ23" s="38" t="n"/>
      <c r="FR23" s="38" t="n">
        <v>0</v>
      </c>
      <c r="FS23" s="261" t="n">
        <v>75</v>
      </c>
      <c r="FT23" s="38" t="n">
        <v>3</v>
      </c>
      <c r="FU23" s="38" t="n">
        <v>3</v>
      </c>
      <c r="FV23" s="38" t="n"/>
      <c r="FW23" s="246">
        <f>FU23+IF(NOT(ISBLANK(OFFSET(FW23,0,6))),N(OFFSET(FW23,0,6)),N(OFFSET(FW23,0,7)))-FV23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E24" s="6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60" t="inlineStr">
        <is>
          <t>USOU</t>
        </is>
      </c>
      <c r="CD24" s="6" t="n"/>
      <c r="CE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C24" s="6" t="n"/>
      <c r="DD24" s="6" t="n"/>
      <c r="DE24" s="6" t="n"/>
      <c r="DF24" s="6" t="n"/>
      <c r="DG24" s="393" t="n">
        <v>300</v>
      </c>
      <c r="DH24" s="6" t="n"/>
      <c r="DI24" s="6" t="n"/>
      <c r="DJ24" s="6" t="n"/>
      <c r="DK24" s="6" t="n"/>
      <c r="DL24" s="6" t="n"/>
      <c r="DM24" s="6" t="n"/>
      <c r="DN24" s="6" t="n"/>
      <c r="DP24" s="6" t="n"/>
      <c r="DQ24" s="238" t="n"/>
      <c r="DR24" s="6" t="n"/>
      <c r="DS24" s="6" t="n"/>
      <c r="DT24" s="6" t="n"/>
      <c r="DU24" s="6" t="n"/>
      <c r="DV24" s="6" t="n"/>
      <c r="DX24" s="6" t="n"/>
      <c r="DY24" s="6" t="n"/>
      <c r="DZ24" s="6" t="n"/>
      <c r="EA24" s="6" t="n"/>
      <c r="EB24" s="256" t="n">
        <v>25</v>
      </c>
      <c r="EC24" s="6" t="n"/>
      <c r="ED24" s="6" t="n"/>
      <c r="EE24" s="6" t="n"/>
      <c r="EF24" s="6" t="n"/>
      <c r="EG24" s="6" t="n"/>
      <c r="EH24" s="6" t="n"/>
      <c r="EI24" s="269" t="n"/>
      <c r="EJ24" s="6" t="n"/>
      <c r="EK24" s="6" t="n"/>
      <c r="EM24" s="6" t="n"/>
      <c r="EN24" s="6" t="n"/>
      <c r="EO24" s="6" t="n"/>
      <c r="EP24" s="6" t="n"/>
      <c r="EX24" s="288" t="n">
        <v>150</v>
      </c>
      <c r="FA24" s="6" t="n"/>
      <c r="FM24" s="6" t="n"/>
      <c r="FN24" s="6" t="n"/>
      <c r="FO24" s="6" t="n"/>
      <c r="FP24" s="6" t="n"/>
      <c r="FQ24" s="6" t="n"/>
      <c r="FR24" s="6" t="n"/>
      <c r="FS24" s="6" t="n"/>
      <c r="FT24" s="6" t="n"/>
      <c r="FU24" s="6" t="n"/>
      <c r="FV24" s="6" t="n"/>
      <c r="FW24" s="6" t="n"/>
    </row>
    <row r="25" ht="18.75" customHeight="1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E25" s="6" t="n"/>
      <c r="F25" s="38" t="n">
        <v>256</v>
      </c>
      <c r="G25" s="38" t="n">
        <v>256</v>
      </c>
      <c r="H25" s="38" t="n">
        <v>250</v>
      </c>
      <c r="I25" s="38" t="n">
        <v>250</v>
      </c>
      <c r="J25" s="38" t="n">
        <v>250</v>
      </c>
      <c r="K25" s="38" t="n">
        <v>250</v>
      </c>
      <c r="L25" s="38" t="n">
        <v>300</v>
      </c>
      <c r="M25" s="38" t="n">
        <v>300</v>
      </c>
      <c r="N25" s="38" t="n">
        <v>300</v>
      </c>
      <c r="O25" s="38" t="n">
        <v>300</v>
      </c>
      <c r="P25" s="38" t="n">
        <v>300</v>
      </c>
      <c r="Q25" s="38" t="n">
        <v>300</v>
      </c>
      <c r="R25" s="38" t="n">
        <v>300</v>
      </c>
      <c r="S25" s="38" t="n">
        <v>300</v>
      </c>
      <c r="T25" s="38" t="n">
        <v>242</v>
      </c>
      <c r="U25" s="38" t="n">
        <v>242</v>
      </c>
      <c r="V25" s="38" t="n">
        <v>241</v>
      </c>
      <c r="W25" s="38" t="n">
        <v>241</v>
      </c>
      <c r="X25" s="38" t="n">
        <v>241</v>
      </c>
      <c r="Y25" s="38" t="n">
        <v>241</v>
      </c>
      <c r="Z25" s="38" t="n">
        <v>300</v>
      </c>
      <c r="AA25" s="38" t="n">
        <v>158</v>
      </c>
      <c r="AB25" s="38" t="n">
        <v>158</v>
      </c>
      <c r="AC25" s="38" t="n">
        <v>158</v>
      </c>
      <c r="AD25" s="38" t="n">
        <v>158</v>
      </c>
      <c r="AE25" s="38" t="n">
        <v>158</v>
      </c>
      <c r="AF25" s="38" t="n">
        <v>158</v>
      </c>
      <c r="AG25" s="38" t="n">
        <v>127</v>
      </c>
      <c r="AH25" s="38" t="n">
        <v>126</v>
      </c>
      <c r="AI25" s="38" t="n">
        <v>126</v>
      </c>
      <c r="AJ25" s="38" t="n">
        <v>126</v>
      </c>
      <c r="AK25" s="38" t="n">
        <v>126</v>
      </c>
      <c r="AL25" s="38" t="n">
        <v>126</v>
      </c>
      <c r="AM25" s="38" t="n">
        <v>126</v>
      </c>
      <c r="AN25" s="38">
        <f>126-50</f>
        <v/>
      </c>
      <c r="AO25" s="38" t="n">
        <v>65</v>
      </c>
      <c r="AP25" s="38" t="n">
        <v>65</v>
      </c>
      <c r="AQ25" s="38" t="n">
        <v>65</v>
      </c>
      <c r="AR25" s="38" t="n">
        <v>65</v>
      </c>
      <c r="AS25" s="38" t="n">
        <v>69</v>
      </c>
      <c r="AT25" s="38" t="n">
        <v>69</v>
      </c>
      <c r="AU25" s="38" t="n">
        <v>41</v>
      </c>
      <c r="AV25" s="38" t="n">
        <v>69</v>
      </c>
      <c r="AW25" s="38" t="n">
        <v>36</v>
      </c>
      <c r="AX25" s="38" t="n">
        <v>36</v>
      </c>
      <c r="AY25" s="38" t="n">
        <v>36</v>
      </c>
      <c r="AZ25" s="38" t="n">
        <v>29</v>
      </c>
      <c r="BA25" s="38" t="n">
        <v>29</v>
      </c>
      <c r="BB25" s="38" t="n">
        <v>29</v>
      </c>
      <c r="BC25" s="38" t="n">
        <v>29</v>
      </c>
      <c r="BD25" s="38" t="n">
        <v>29</v>
      </c>
      <c r="BE25" s="38" t="n">
        <v>29</v>
      </c>
      <c r="BF25" s="38" t="n">
        <v>29</v>
      </c>
      <c r="BG25" s="38" t="n">
        <v>29</v>
      </c>
      <c r="BH25" s="38" t="n">
        <v>0</v>
      </c>
      <c r="BI25" s="38" t="n">
        <v>0</v>
      </c>
      <c r="BJ25" s="38" t="n">
        <v>0</v>
      </c>
      <c r="BK25" s="38" t="n">
        <v>0</v>
      </c>
      <c r="BL25" s="38" t="n">
        <v>0</v>
      </c>
      <c r="BM25" s="38" t="n">
        <v>0</v>
      </c>
      <c r="BN25" s="38" t="n">
        <v>0</v>
      </c>
      <c r="BO25" s="38" t="n">
        <v>0</v>
      </c>
      <c r="BP25" s="38" t="n">
        <v>0</v>
      </c>
      <c r="BQ25" s="38" t="n">
        <v>0</v>
      </c>
      <c r="BR25" s="38" t="n">
        <v>0</v>
      </c>
      <c r="BS25" s="38" t="n">
        <v>0</v>
      </c>
      <c r="BT25" s="38" t="n">
        <v>0</v>
      </c>
      <c r="BU25" s="38" t="n">
        <v>0</v>
      </c>
      <c r="BV25" s="38" t="n">
        <v>0</v>
      </c>
      <c r="BW25" s="38" t="n">
        <v>0</v>
      </c>
      <c r="BX25" s="38" t="n">
        <v>0</v>
      </c>
      <c r="BY25" s="38" t="n">
        <v>0</v>
      </c>
      <c r="BZ25" s="38" t="n">
        <v>0</v>
      </c>
      <c r="CA25" s="38" t="n">
        <v>0</v>
      </c>
      <c r="CB25" s="246">
        <f>BZ25+IF(NOT(ISBLANK(OFFSET(CB25,0,6))),N(OFFSET(CB25,0,6)),N(OFFSET(CB25,0,7)))-CA25</f>
        <v/>
      </c>
      <c r="CD25" s="6" t="n"/>
      <c r="CE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269" t="n"/>
      <c r="EJ25" s="6" t="n"/>
      <c r="EK25" s="6" t="n"/>
      <c r="EM25" s="6" t="n"/>
      <c r="EN25" s="6" t="n"/>
      <c r="EO25" s="6" t="n"/>
      <c r="EP25" s="6" t="n"/>
      <c r="EQ25" s="289" t="n"/>
      <c r="EX25" s="289" t="n"/>
      <c r="FA25" s="6" t="n"/>
      <c r="FM25" s="6" t="n"/>
      <c r="FN25" s="6" t="n"/>
      <c r="FO25" s="6" t="n"/>
      <c r="FP25" s="6" t="n"/>
      <c r="FQ25" s="6" t="n"/>
      <c r="FR25" s="6" t="n"/>
      <c r="FS25" s="6" t="n"/>
      <c r="FT25" s="6" t="n"/>
      <c r="FU25" s="6" t="n"/>
      <c r="FV25" s="6" t="n"/>
      <c r="FW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7" t="n">
        <v>715.5</v>
      </c>
      <c r="D26" s="342" t="n"/>
      <c r="E26" s="6" t="n"/>
      <c r="F26" s="9" t="n">
        <v>36</v>
      </c>
      <c r="G26" s="9" t="n">
        <v>33</v>
      </c>
      <c r="H26" s="38" t="n">
        <v>23</v>
      </c>
      <c r="I26" s="38" t="n">
        <v>1</v>
      </c>
      <c r="J26" s="38" t="n">
        <v>1</v>
      </c>
      <c r="K26" s="38" t="n">
        <v>1</v>
      </c>
      <c r="L26" s="38" t="n">
        <v>1</v>
      </c>
      <c r="M26" s="38" t="n">
        <v>0</v>
      </c>
      <c r="N26" s="38" t="n">
        <v>0</v>
      </c>
      <c r="O26" s="38" t="n">
        <v>0</v>
      </c>
      <c r="P26" s="38" t="n">
        <v>0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/>
      <c r="AB26" s="38" t="n"/>
      <c r="AC26" s="38" t="n"/>
      <c r="AD26" s="38" t="n"/>
      <c r="AE26" s="38" t="n"/>
      <c r="AF26" s="38" t="n"/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246">
        <f>BZ26+IF(NOT(ISBLANK(OFFSET(CB26,0,6))),N(OFFSET(CB26,0,6)),N(OFFSET(CB26,0,7)))-CA26</f>
        <v/>
      </c>
      <c r="CD26" s="6" t="n"/>
      <c r="CE26" s="6" t="n"/>
      <c r="CM26" s="6" t="n"/>
      <c r="CS26" s="6" t="n"/>
      <c r="CT26" s="6" t="n"/>
      <c r="CU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53" t="n"/>
      <c r="DX26" s="6" t="n"/>
      <c r="DY26" s="6" t="n"/>
      <c r="DZ26" s="6" t="n"/>
      <c r="EA26" s="6" t="n"/>
      <c r="EB26" s="6" t="n"/>
      <c r="EC26" s="6" t="n"/>
      <c r="ED26" s="6" t="n"/>
      <c r="EE26" s="6" t="n"/>
      <c r="EF26" s="6" t="n"/>
      <c r="EG26" s="6" t="n"/>
      <c r="EH26" s="6" t="n"/>
      <c r="EI26" s="269" t="n"/>
      <c r="EJ26" s="6" t="n"/>
      <c r="EK26" s="6" t="n"/>
      <c r="EM26" s="6" t="n"/>
      <c r="EN26" s="6" t="n"/>
      <c r="EO26" s="6" t="n"/>
      <c r="EP26" s="6" t="n"/>
      <c r="EQ26" s="289" t="n"/>
      <c r="EX26" s="289" t="n"/>
      <c r="FA26" s="6" t="n"/>
      <c r="FM26" s="6" t="n"/>
      <c r="FN26" s="6" t="n"/>
      <c r="FO26" s="6" t="n"/>
      <c r="FP26" s="6" t="n"/>
      <c r="FQ26" s="6" t="n"/>
      <c r="FR26" s="6" t="n"/>
      <c r="FS26" s="6" t="n"/>
      <c r="FT26" s="6" t="n"/>
      <c r="FU26" s="6" t="n"/>
      <c r="FV26" s="6" t="n"/>
      <c r="FW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7" t="n">
        <v>746</v>
      </c>
      <c r="D27" s="342" t="n"/>
      <c r="E27" s="6" t="n"/>
      <c r="F27" s="9" t="n">
        <v>246</v>
      </c>
      <c r="G27" s="9">
        <f>192-100</f>
        <v/>
      </c>
      <c r="H27" s="38" t="n">
        <v>44</v>
      </c>
      <c r="I27" s="38" t="n">
        <v>25</v>
      </c>
      <c r="J27" s="38" t="n">
        <v>12</v>
      </c>
      <c r="K27" s="38" t="n">
        <v>0</v>
      </c>
      <c r="L27" s="38" t="n">
        <v>0</v>
      </c>
      <c r="M27" s="38" t="n">
        <v>7</v>
      </c>
      <c r="N27" s="38" t="n">
        <v>4</v>
      </c>
      <c r="O27" s="38" t="n">
        <v>4</v>
      </c>
      <c r="P27" s="38" t="n">
        <v>1</v>
      </c>
      <c r="Q27" s="38" t="n">
        <v>1</v>
      </c>
      <c r="R27" s="38" t="n">
        <v>1</v>
      </c>
      <c r="S27" s="38" t="n">
        <v>1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D27" s="6" t="n"/>
      <c r="CE27" s="6" t="n"/>
      <c r="CM27" s="6" t="n"/>
      <c r="CS27" s="6" t="n"/>
      <c r="CT27" s="6" t="n"/>
      <c r="CU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53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6" t="n"/>
      <c r="EG27" s="6" t="n"/>
      <c r="EH27" s="6" t="n"/>
      <c r="EI27" s="269" t="n"/>
      <c r="EJ27" s="6" t="n"/>
      <c r="EK27" s="6" t="n"/>
      <c r="EM27" s="6" t="n"/>
      <c r="EN27" s="6" t="n"/>
      <c r="EO27" s="6" t="n"/>
      <c r="EP27" s="6" t="n"/>
      <c r="EQ27" s="289" t="n"/>
      <c r="EX27" s="289" t="n"/>
      <c r="FA27" s="6" t="n"/>
      <c r="FH27" s="53" t="n"/>
      <c r="FM27" s="6" t="n"/>
      <c r="FN27" s="6" t="n"/>
      <c r="FO27" s="6" t="n"/>
      <c r="FP27" s="6" t="n"/>
      <c r="FQ27" s="6" t="n"/>
      <c r="FR27" s="6" t="n"/>
      <c r="FS27" s="6" t="n"/>
      <c r="FT27" s="6" t="n"/>
      <c r="FU27" s="6" t="n"/>
      <c r="FV27" s="6" t="n"/>
      <c r="FW27" s="6" t="n"/>
    </row>
    <row r="28" hidden="1" ht="18.75" customHeight="1">
      <c r="A28" s="250" t="inlineStr">
        <is>
          <t>CAIXA G NAT./24</t>
        </is>
      </c>
      <c r="B28" s="251" t="n">
        <v>50</v>
      </c>
      <c r="C28" s="667" t="n">
        <v>777</v>
      </c>
      <c r="D28" s="342" t="n"/>
      <c r="E28" s="6" t="n"/>
      <c r="F28" s="9" t="n">
        <v>5</v>
      </c>
      <c r="G28" s="9" t="n">
        <v>5</v>
      </c>
      <c r="H28" s="38" t="n">
        <v>4</v>
      </c>
      <c r="I28" s="38" t="n">
        <v>3</v>
      </c>
      <c r="J28" s="38" t="n">
        <v>3</v>
      </c>
      <c r="K28" s="38" t="n">
        <v>3</v>
      </c>
      <c r="L28" s="38" t="n">
        <v>3</v>
      </c>
      <c r="M28" s="38" t="n">
        <v>3</v>
      </c>
      <c r="N28" s="38" t="n">
        <v>2</v>
      </c>
      <c r="O28" s="38" t="n">
        <v>2</v>
      </c>
      <c r="P28" s="38" t="n">
        <v>2</v>
      </c>
      <c r="Q28" s="38" t="n">
        <v>2</v>
      </c>
      <c r="R28" s="38" t="n">
        <v>2</v>
      </c>
      <c r="S28" s="38" t="n">
        <v>2</v>
      </c>
      <c r="T28" s="38" t="n">
        <v>0</v>
      </c>
      <c r="U28" s="38" t="n">
        <v>2</v>
      </c>
      <c r="V28" s="38" t="n">
        <v>2</v>
      </c>
      <c r="W28" s="38" t="n">
        <v>2</v>
      </c>
      <c r="X28" s="38" t="n">
        <v>2</v>
      </c>
      <c r="Y28" s="38" t="n">
        <v>2</v>
      </c>
      <c r="Z28" s="38" t="n">
        <v>0</v>
      </c>
      <c r="AA28" s="38" t="n"/>
      <c r="AB28" s="38" t="n"/>
      <c r="AC28" s="38" t="n"/>
      <c r="AD28" s="38" t="n"/>
      <c r="AE28" s="38" t="n"/>
      <c r="AF28" s="38" t="n"/>
      <c r="AG28" s="38" t="n"/>
      <c r="AH28" s="38" t="n"/>
      <c r="AI28" s="38" t="n"/>
      <c r="AJ28" s="38" t="n"/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246">
        <f>BZ28+IF(NOT(ISBLANK(OFFSET(CB28,0,6))),N(OFFSET(CB28,0,6)),N(OFFSET(CB28,0,7)))-CA28</f>
        <v/>
      </c>
      <c r="CD28" s="6" t="n"/>
      <c r="CE28" s="49" t="n"/>
      <c r="CI28" s="57" t="n"/>
      <c r="CJ28" s="57" t="n"/>
      <c r="CK28" s="57" t="n"/>
      <c r="CL28" s="57" t="n"/>
      <c r="CM28" s="6" t="n"/>
      <c r="CN28" s="57" t="n"/>
      <c r="CO28" s="57" t="n"/>
      <c r="CP28" s="57" t="n"/>
      <c r="CQ28" s="57" t="n"/>
      <c r="CR28" s="57" t="n"/>
      <c r="CS28" s="49" t="n"/>
      <c r="CT28" s="49" t="n"/>
      <c r="CU28" s="49" t="n"/>
      <c r="CV28" s="49" t="n"/>
      <c r="CW28" s="49" t="n"/>
      <c r="CX28" s="49" t="n"/>
      <c r="CY28" s="49" t="n"/>
      <c r="CZ28" s="49" t="n"/>
      <c r="DA28" s="49" t="n"/>
      <c r="DB28" s="6" t="n"/>
      <c r="DC28" s="49" t="n"/>
      <c r="DD28" s="49" t="n"/>
      <c r="DE28" s="49" t="n"/>
      <c r="DF28" s="49" t="n"/>
      <c r="DG28" s="6" t="n"/>
      <c r="DH28" s="49" t="n"/>
      <c r="DI28" s="49" t="n"/>
      <c r="DJ28" s="49" t="n"/>
      <c r="DK28" s="49" t="n"/>
      <c r="DL28" s="49" t="n"/>
      <c r="DM28" s="49" t="n"/>
      <c r="DN28" s="49" t="n"/>
      <c r="DO28" s="6" t="n"/>
      <c r="DP28" s="49" t="n"/>
      <c r="DQ28" s="6" t="n"/>
      <c r="DR28" s="49" t="n"/>
      <c r="DS28" s="49" t="n"/>
      <c r="DT28" s="49" t="n"/>
      <c r="DU28" s="49" t="n"/>
      <c r="DV28" s="6" t="n"/>
      <c r="DW28" s="53" t="n"/>
      <c r="DX28" s="49" t="n"/>
      <c r="DY28" s="49" t="n"/>
      <c r="DZ28" s="49" t="n"/>
      <c r="EA28" s="49" t="n"/>
      <c r="EB28" s="6" t="n"/>
      <c r="EC28" s="6" t="n"/>
      <c r="ED28" s="49" t="n"/>
      <c r="EE28" s="49" t="n"/>
      <c r="EF28" s="49" t="n"/>
      <c r="EG28" s="49" t="n"/>
      <c r="EH28" s="49" t="n"/>
      <c r="EI28" s="268" t="n"/>
      <c r="EJ28" s="49" t="n"/>
      <c r="EK28" s="6" t="n"/>
      <c r="EM28" s="6" t="n"/>
      <c r="EN28" s="49" t="n"/>
      <c r="EO28" s="6" t="n"/>
      <c r="EP28" s="6" t="n"/>
      <c r="EQ28" s="289" t="n"/>
      <c r="EX28" s="289" t="n"/>
      <c r="FA28" s="49" t="n"/>
      <c r="FH28" s="53" t="n"/>
      <c r="FM28" s="6" t="n"/>
      <c r="FN28" s="6" t="n"/>
      <c r="FO28" s="6" t="n"/>
      <c r="FP28" s="6" t="n"/>
      <c r="FQ28" s="6" t="n"/>
      <c r="FR28" s="6" t="n"/>
      <c r="FS28" s="6" t="n"/>
      <c r="FT28" s="6" t="n"/>
      <c r="FU28" s="6" t="n"/>
      <c r="FV28" s="6" t="n"/>
      <c r="FW28" s="6" t="n"/>
    </row>
    <row r="29" hidden="1" ht="18.75" customHeight="1">
      <c r="A29" s="250" t="inlineStr">
        <is>
          <t>CARTUCHO P NAT./24</t>
        </is>
      </c>
      <c r="B29" s="251" t="n">
        <v>200</v>
      </c>
      <c r="C29" s="667" t="n">
        <v>486</v>
      </c>
      <c r="D29" s="342" t="n"/>
      <c r="E29" s="6" t="n"/>
      <c r="F29" s="9" t="n">
        <v>2</v>
      </c>
      <c r="G29" s="38" t="n">
        <v>2</v>
      </c>
      <c r="H29" s="38" t="n">
        <v>0</v>
      </c>
      <c r="I29" s="38" t="n">
        <v>0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246">
        <f>BZ29+IF(NOT(ISBLANK(OFFSET(CB29,0,6))),N(OFFSET(CB29,0,6)),N(OFFSET(CB29,0,7)))-CA29</f>
        <v/>
      </c>
      <c r="CD29" s="49" t="n"/>
      <c r="CI29" s="57" t="n"/>
      <c r="CJ29" s="57" t="n"/>
      <c r="CK29" s="57" t="n"/>
      <c r="CL29" s="57" t="n"/>
      <c r="CM29" s="6" t="n"/>
      <c r="CN29" s="57" t="n"/>
      <c r="CO29" s="57" t="n"/>
      <c r="CP29" s="57" t="n"/>
      <c r="CQ29" s="57" t="n"/>
      <c r="CR29" s="57" t="n"/>
      <c r="DB29" s="6" t="n"/>
      <c r="DG29" s="6" t="n"/>
      <c r="DO29" s="6" t="n"/>
      <c r="DQ29" s="6" t="n"/>
      <c r="DV29" s="6" t="n"/>
      <c r="DW29" s="53" t="n"/>
      <c r="EB29" s="6" t="n"/>
      <c r="EC29" s="6" t="n"/>
      <c r="EI29" s="314" t="n"/>
      <c r="EK29" s="6" t="n"/>
      <c r="EM29" s="6" t="n"/>
      <c r="EO29" s="6" t="n"/>
      <c r="EP29" s="6" t="n"/>
      <c r="EQ29" s="289" t="n"/>
      <c r="EX29" s="289" t="n"/>
      <c r="FH29" s="53" t="n"/>
      <c r="FM29" s="6" t="n"/>
      <c r="FN29" s="6" t="n"/>
      <c r="FO29" s="6" t="n"/>
      <c r="FP29" s="6" t="n"/>
      <c r="FQ29" s="6" t="n"/>
      <c r="FR29" s="6" t="n"/>
      <c r="FS29" s="6" t="n"/>
      <c r="FT29" s="6" t="n"/>
      <c r="FU29" s="6" t="n"/>
      <c r="FV29" s="6" t="n"/>
      <c r="FW29" s="6" t="n"/>
    </row>
    <row r="30" hidden="1" ht="18.75" customHeight="1">
      <c r="A30" s="250" t="inlineStr">
        <is>
          <t>CARTUCHO M NAT./24</t>
        </is>
      </c>
      <c r="B30" s="251" t="n">
        <v>150</v>
      </c>
      <c r="C30" s="667" t="n">
        <v>459</v>
      </c>
      <c r="D30" s="342" t="n"/>
      <c r="E30" s="6" t="n"/>
      <c r="F30" s="9" t="n">
        <v>6</v>
      </c>
      <c r="G30" s="9" t="n">
        <v>6</v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246">
        <f>BZ30+IF(NOT(ISBLANK(OFFSET(CB30,0,6))),N(OFFSET(CB30,0,6)),N(OFFSET(CB30,0,7)))-CA30</f>
        <v/>
      </c>
      <c r="CI30" s="57" t="n"/>
      <c r="CJ30" s="57" t="n"/>
      <c r="CK30" s="57" t="n"/>
      <c r="CL30" s="57" t="n"/>
      <c r="CM30" s="6" t="n"/>
      <c r="CN30" s="57" t="n"/>
      <c r="CO30" s="57" t="n"/>
      <c r="CP30" s="57" t="n"/>
      <c r="CQ30" s="57" t="n"/>
      <c r="CR30" s="57" t="n"/>
      <c r="DB30" s="6" t="n"/>
      <c r="DG30" s="6" t="n"/>
      <c r="DO30" s="6" t="n"/>
      <c r="DQ30" s="6" t="n"/>
      <c r="DV30" s="6" t="n"/>
      <c r="DW30" s="53" t="n"/>
      <c r="EB30" s="6" t="n"/>
      <c r="EC30" s="6" t="n"/>
      <c r="EI30" s="314" t="n"/>
      <c r="EK30" s="6" t="n"/>
      <c r="EM30" s="6" t="n"/>
      <c r="EO30" s="6" t="n"/>
      <c r="EP30" s="6" t="n"/>
      <c r="EQ30" s="289" t="n"/>
      <c r="EX30" s="289" t="n"/>
      <c r="FH30" s="53" t="n"/>
      <c r="FM30" s="6" t="n"/>
      <c r="FN30" s="6" t="n"/>
      <c r="FO30" s="6" t="n"/>
      <c r="FP30" s="6" t="n"/>
      <c r="FQ30" s="6" t="n"/>
      <c r="FR30" s="6" t="n"/>
      <c r="FS30" s="6" t="n"/>
      <c r="FT30" s="6" t="n"/>
      <c r="FU30" s="6" t="n"/>
      <c r="FV30" s="6" t="n"/>
      <c r="FW30" s="6" t="n"/>
    </row>
    <row r="31" ht="18.75" customHeight="1">
      <c r="A31" s="250" t="inlineStr">
        <is>
          <t>ÁRVORE</t>
        </is>
      </c>
      <c r="B31" s="251" t="n">
        <v>100</v>
      </c>
      <c r="C31" s="667" t="n">
        <v>295</v>
      </c>
      <c r="D31" s="342" t="n"/>
      <c r="E31" s="6" t="n"/>
      <c r="F31" s="9" t="n">
        <v>80</v>
      </c>
      <c r="G31" s="9" t="n">
        <v>80</v>
      </c>
      <c r="H31" s="38" t="n">
        <v>78</v>
      </c>
      <c r="I31" s="38" t="n">
        <v>78</v>
      </c>
      <c r="J31" s="38" t="n">
        <v>78</v>
      </c>
      <c r="K31" s="38" t="n">
        <v>78</v>
      </c>
      <c r="L31" s="38" t="n">
        <v>78</v>
      </c>
      <c r="M31" s="38" t="n">
        <v>78</v>
      </c>
      <c r="N31" s="38" t="n">
        <v>78</v>
      </c>
      <c r="O31" s="38" t="n">
        <v>78</v>
      </c>
      <c r="P31" s="38" t="n">
        <v>78</v>
      </c>
      <c r="Q31" s="38" t="n">
        <v>78</v>
      </c>
      <c r="R31" s="38" t="n">
        <v>78</v>
      </c>
      <c r="S31" s="38" t="n">
        <v>78</v>
      </c>
      <c r="T31" s="38" t="n">
        <v>0</v>
      </c>
      <c r="U31" s="38" t="n">
        <v>78</v>
      </c>
      <c r="V31" s="38" t="n">
        <v>78</v>
      </c>
      <c r="W31" s="38" t="n">
        <v>78</v>
      </c>
      <c r="X31" s="38" t="n">
        <v>78</v>
      </c>
      <c r="Y31" s="38" t="n">
        <v>78</v>
      </c>
      <c r="Z31" s="38" t="n">
        <v>78</v>
      </c>
      <c r="AA31" s="38" t="n">
        <v>78</v>
      </c>
      <c r="AB31" s="38" t="n">
        <v>78</v>
      </c>
      <c r="AC31" s="38" t="n">
        <v>78</v>
      </c>
      <c r="AD31" s="38" t="n">
        <v>78</v>
      </c>
      <c r="AE31" s="38" t="n">
        <v>78</v>
      </c>
      <c r="AF31" s="38" t="n">
        <v>78</v>
      </c>
      <c r="AG31" s="38" t="n">
        <v>78</v>
      </c>
      <c r="AH31" s="38" t="n">
        <v>78</v>
      </c>
      <c r="AI31" s="38" t="n">
        <v>78</v>
      </c>
      <c r="AJ31" s="38" t="n">
        <v>78</v>
      </c>
      <c r="AK31" s="38" t="n">
        <v>78</v>
      </c>
      <c r="AL31" s="38" t="n">
        <v>78</v>
      </c>
      <c r="AM31" s="38" t="n">
        <v>78</v>
      </c>
      <c r="AN31" s="38" t="n">
        <v>78</v>
      </c>
      <c r="AO31" s="38" t="n">
        <v>78</v>
      </c>
      <c r="AP31" s="38" t="n">
        <v>78</v>
      </c>
      <c r="AQ31" s="38" t="n">
        <v>78</v>
      </c>
      <c r="AR31" s="38" t="n">
        <v>78</v>
      </c>
      <c r="AS31" s="38" t="n">
        <v>78</v>
      </c>
      <c r="AT31" s="38" t="n">
        <v>78</v>
      </c>
      <c r="AU31" s="38" t="n">
        <v>78</v>
      </c>
      <c r="AV31" s="38" t="n">
        <v>78</v>
      </c>
      <c r="AW31" s="38" t="n">
        <v>78</v>
      </c>
      <c r="AX31" s="38" t="n">
        <v>78</v>
      </c>
      <c r="AY31" s="38" t="n">
        <v>78</v>
      </c>
      <c r="AZ31" s="38" t="n">
        <v>78</v>
      </c>
      <c r="BA31" s="38" t="n">
        <v>78</v>
      </c>
      <c r="BB31" s="38" t="n">
        <v>78</v>
      </c>
      <c r="BC31" s="38" t="n">
        <v>77</v>
      </c>
      <c r="BD31" s="38" t="n">
        <v>77</v>
      </c>
      <c r="BE31" s="38" t="n">
        <v>77</v>
      </c>
      <c r="BF31" s="38" t="n">
        <v>77</v>
      </c>
      <c r="BG31" s="38" t="n">
        <v>77</v>
      </c>
      <c r="BH31" s="38" t="n">
        <v>68</v>
      </c>
      <c r="BI31" s="38" t="n">
        <v>68</v>
      </c>
      <c r="BJ31" s="38" t="n">
        <v>68</v>
      </c>
      <c r="BK31" s="38" t="n">
        <v>68</v>
      </c>
      <c r="BL31" s="38" t="n">
        <v>68</v>
      </c>
      <c r="BM31" s="38" t="n">
        <v>68</v>
      </c>
      <c r="BN31" s="38" t="n">
        <v>68</v>
      </c>
      <c r="BO31" s="38" t="n">
        <v>68</v>
      </c>
      <c r="BP31" s="38" t="n">
        <v>68</v>
      </c>
      <c r="BQ31" s="38" t="n">
        <v>68</v>
      </c>
      <c r="BR31" s="38" t="n">
        <v>68</v>
      </c>
      <c r="BS31" s="38" t="n">
        <v>68</v>
      </c>
      <c r="BT31" s="38" t="n">
        <v>68</v>
      </c>
      <c r="BU31" s="38" t="n">
        <v>68</v>
      </c>
      <c r="BV31" s="38" t="n">
        <v>68</v>
      </c>
      <c r="BW31" s="38" t="n">
        <v>68</v>
      </c>
      <c r="BX31" s="38" t="n">
        <v>68</v>
      </c>
      <c r="BY31" s="38" t="n">
        <v>68</v>
      </c>
      <c r="BZ31" s="38" t="n">
        <v>68</v>
      </c>
      <c r="CA31" s="38" t="n">
        <v>68</v>
      </c>
      <c r="CB31" s="246">
        <f>BZ31+IF(NOT(ISBLANK(OFFSET(CB31,0,6))),N(OFFSET(CB31,0,6)),N(OFFSET(CB31,0,7)))-CA31</f>
        <v/>
      </c>
      <c r="CI31" s="57" t="n"/>
      <c r="CJ31" s="57" t="n"/>
      <c r="CK31" s="57" t="n"/>
      <c r="CL31" s="57" t="n"/>
      <c r="CM31" s="6" t="n"/>
      <c r="CN31" s="57" t="n"/>
      <c r="CO31" s="57" t="n"/>
      <c r="CP31" s="57" t="n"/>
      <c r="CQ31" s="57" t="n"/>
      <c r="CR31" s="57" t="n"/>
      <c r="DB31" s="6" t="n"/>
      <c r="DG31" s="6" t="n"/>
      <c r="DO31" s="6" t="n"/>
      <c r="DQ31" s="6" t="n"/>
      <c r="DV31" s="6" t="n"/>
      <c r="DW31" s="53" t="n"/>
      <c r="EB31" s="6" t="n"/>
      <c r="EC31" s="6" t="n"/>
      <c r="EI31" s="314" t="n"/>
      <c r="EK31" s="6" t="n"/>
      <c r="EM31" s="6" t="n"/>
      <c r="EO31" s="6" t="n"/>
      <c r="EP31" s="6" t="n"/>
      <c r="EQ31" s="289" t="n"/>
      <c r="EX31" s="289" t="n"/>
      <c r="FH31" s="53" t="n"/>
      <c r="FM31" s="6" t="n"/>
      <c r="FN31" s="6" t="n"/>
      <c r="FO31" s="6" t="n"/>
      <c r="FP31" s="6" t="n"/>
      <c r="FQ31" s="6" t="n"/>
      <c r="FR31" s="6" t="n"/>
      <c r="FS31" s="6" t="n"/>
      <c r="FT31" s="6" t="n"/>
      <c r="FU31" s="6" t="n"/>
      <c r="FV31" s="6" t="n"/>
      <c r="FW31" s="6" t="n"/>
    </row>
    <row r="32" ht="18.75" customHeight="1">
      <c r="A32" s="250" t="inlineStr">
        <is>
          <t>BOLA</t>
        </is>
      </c>
      <c r="B32" s="251" t="n">
        <v>100</v>
      </c>
      <c r="C32" s="667" t="n">
        <v>283</v>
      </c>
      <c r="D32" s="342" t="n"/>
      <c r="E32" s="6" t="n"/>
      <c r="F32" s="9" t="n">
        <v>24</v>
      </c>
      <c r="G32" s="9" t="n">
        <v>64</v>
      </c>
      <c r="H32" s="38" t="n">
        <v>63</v>
      </c>
      <c r="I32" s="38" t="n">
        <v>63</v>
      </c>
      <c r="J32" s="38" t="n">
        <v>63</v>
      </c>
      <c r="K32" s="38" t="n">
        <v>63</v>
      </c>
      <c r="L32" s="38" t="n">
        <v>64</v>
      </c>
      <c r="M32" s="38" t="n">
        <v>64</v>
      </c>
      <c r="N32" s="38" t="n">
        <v>64</v>
      </c>
      <c r="O32" s="38" t="n">
        <v>64</v>
      </c>
      <c r="P32" s="38" t="n">
        <v>64</v>
      </c>
      <c r="Q32" s="38" t="n">
        <v>64</v>
      </c>
      <c r="R32" s="38" t="n">
        <v>64</v>
      </c>
      <c r="S32" s="38" t="n">
        <v>64</v>
      </c>
      <c r="T32" s="38" t="n">
        <v>0</v>
      </c>
      <c r="U32" s="38" t="n">
        <v>64</v>
      </c>
      <c r="V32" s="38" t="n">
        <v>64</v>
      </c>
      <c r="W32" s="38" t="n">
        <v>64</v>
      </c>
      <c r="X32" s="38" t="n">
        <v>64</v>
      </c>
      <c r="Y32" s="38" t="n">
        <v>64</v>
      </c>
      <c r="Z32" s="38" t="n">
        <v>64</v>
      </c>
      <c r="AA32" s="38" t="n">
        <v>64</v>
      </c>
      <c r="AB32" s="38" t="n">
        <v>64</v>
      </c>
      <c r="AC32" s="38" t="n">
        <v>64</v>
      </c>
      <c r="AD32" s="38" t="n">
        <v>64</v>
      </c>
      <c r="AE32" s="38" t="n">
        <v>64</v>
      </c>
      <c r="AF32" s="38" t="n">
        <v>64</v>
      </c>
      <c r="AG32" s="38" t="n">
        <v>64</v>
      </c>
      <c r="AH32" s="38" t="n">
        <v>64</v>
      </c>
      <c r="AI32" s="38" t="n">
        <v>64</v>
      </c>
      <c r="AJ32" s="38" t="n">
        <v>64</v>
      </c>
      <c r="AK32" s="38" t="n">
        <v>64</v>
      </c>
      <c r="AL32" s="38" t="n">
        <v>64</v>
      </c>
      <c r="AM32" s="38" t="n">
        <v>64</v>
      </c>
      <c r="AN32" s="38" t="n">
        <v>64</v>
      </c>
      <c r="AO32" s="38" t="n">
        <v>64</v>
      </c>
      <c r="AP32" s="38" t="n">
        <v>64</v>
      </c>
      <c r="AQ32" s="38" t="n">
        <v>64</v>
      </c>
      <c r="AR32" s="38" t="n">
        <v>64</v>
      </c>
      <c r="AS32" s="38" t="n">
        <v>64</v>
      </c>
      <c r="AT32" s="38" t="n">
        <v>64</v>
      </c>
      <c r="AU32" s="38" t="n">
        <v>64</v>
      </c>
      <c r="AV32" s="38" t="n">
        <v>64</v>
      </c>
      <c r="AW32" s="38" t="n">
        <v>64</v>
      </c>
      <c r="AX32" s="38" t="n">
        <v>64</v>
      </c>
      <c r="AY32" s="38" t="n">
        <v>64</v>
      </c>
      <c r="AZ32" s="38" t="n">
        <v>50</v>
      </c>
      <c r="BA32" s="38" t="n">
        <v>50</v>
      </c>
      <c r="BB32" s="38" t="n">
        <v>50</v>
      </c>
      <c r="BC32" s="38" t="n">
        <v>45</v>
      </c>
      <c r="BD32" s="38" t="n">
        <v>44</v>
      </c>
      <c r="BE32" s="38" t="n">
        <v>36</v>
      </c>
      <c r="BF32" s="38" t="n">
        <v>36</v>
      </c>
      <c r="BG32" s="38" t="n">
        <v>36</v>
      </c>
      <c r="BH32" s="38" t="n">
        <v>7</v>
      </c>
      <c r="BI32" s="38" t="n">
        <v>7</v>
      </c>
      <c r="BJ32" s="38" t="n">
        <v>7</v>
      </c>
      <c r="BK32" s="38" t="n">
        <v>7</v>
      </c>
      <c r="BL32" s="38" t="n">
        <v>7</v>
      </c>
      <c r="BM32" s="38" t="n">
        <v>7</v>
      </c>
      <c r="BN32" s="38" t="n">
        <v>7</v>
      </c>
      <c r="BO32" s="38" t="n">
        <v>7</v>
      </c>
      <c r="BP32" s="38" t="n">
        <v>7</v>
      </c>
      <c r="BQ32" s="38" t="n">
        <v>7</v>
      </c>
      <c r="BR32" s="38" t="n">
        <v>7</v>
      </c>
      <c r="BS32" s="38" t="n">
        <v>7</v>
      </c>
      <c r="BT32" s="38" t="n">
        <v>7</v>
      </c>
      <c r="BU32" s="38" t="n">
        <v>7</v>
      </c>
      <c r="BV32" s="38" t="n">
        <v>7</v>
      </c>
      <c r="BW32" s="38" t="n">
        <v>7</v>
      </c>
      <c r="BX32" s="38" t="n">
        <v>7</v>
      </c>
      <c r="BY32" s="38" t="n">
        <v>7</v>
      </c>
      <c r="BZ32" s="38" t="n">
        <v>7</v>
      </c>
      <c r="CA32" s="38" t="n">
        <v>7</v>
      </c>
      <c r="CB32" s="246">
        <f>BZ32+IF(NOT(ISBLANK(OFFSET(CB32,0,6))),N(OFFSET(CB32,0,6)),N(OFFSET(CB32,0,7)))-CA32</f>
        <v/>
      </c>
      <c r="CI32" s="57" t="n"/>
      <c r="CJ32" s="57" t="n"/>
      <c r="CK32" s="57" t="n"/>
      <c r="CL32" s="57" t="n"/>
      <c r="CM32" s="6" t="n"/>
      <c r="CN32" s="57" t="n"/>
      <c r="CO32" s="57" t="n"/>
      <c r="CP32" s="57" t="n"/>
      <c r="CQ32" s="57" t="n"/>
      <c r="CR32" s="57" t="n"/>
      <c r="DB32" s="6" t="n"/>
      <c r="DG32" s="6" t="n"/>
      <c r="DO32" s="6" t="n"/>
      <c r="DQ32" s="6" t="n"/>
      <c r="DV32" s="6" t="n"/>
      <c r="DW32" s="53" t="n"/>
      <c r="EB32" s="6" t="n"/>
      <c r="EC32" s="6" t="n"/>
      <c r="EI32" s="314" t="n"/>
      <c r="EK32" s="49" t="n"/>
      <c r="EM32" s="49" t="n"/>
      <c r="EO32" s="49" t="n"/>
      <c r="EP32" s="49" t="n"/>
      <c r="EQ32" s="289" t="n"/>
      <c r="EX32" s="289" t="n"/>
      <c r="FH32" s="53" t="n"/>
      <c r="FM32" s="6" t="n"/>
      <c r="FN32" s="6" t="n"/>
      <c r="FO32" s="6" t="n"/>
      <c r="FP32" s="6" t="n"/>
      <c r="FQ32" s="6" t="n"/>
      <c r="FR32" s="6" t="n"/>
      <c r="FS32" s="6" t="n"/>
      <c r="FT32" s="6" t="n"/>
      <c r="FU32" s="6" t="n"/>
      <c r="FV32" s="6" t="n"/>
      <c r="FW32" s="6" t="n"/>
    </row>
    <row r="33" hidden="1" ht="18.75" customHeight="1">
      <c r="A33" s="243" t="inlineStr">
        <is>
          <t>CAIXA P MÃES/25</t>
        </is>
      </c>
      <c r="B33" s="244" t="n">
        <v>150</v>
      </c>
      <c r="C33" s="697" t="n">
        <v>781.05</v>
      </c>
      <c r="D33" s="342" t="n"/>
      <c r="E33" s="6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1</v>
      </c>
      <c r="AA33" s="9" t="n">
        <v>1</v>
      </c>
      <c r="AB33" s="9" t="n">
        <v>1</v>
      </c>
      <c r="AC33" s="9" t="n">
        <v>1</v>
      </c>
      <c r="AD33" s="9" t="n">
        <v>1</v>
      </c>
      <c r="AE33" s="9" t="n">
        <v>0</v>
      </c>
      <c r="AF33" s="9" t="n">
        <v>0</v>
      </c>
      <c r="AG33" s="9" t="n"/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246">
        <f>BZ33+IF(NOT(ISBLANK(OFFSET(CB33,0,6))),N(OFFSET(CB33,0,6)),N(OFFSET(CB33,0,7)))-CA33</f>
        <v/>
      </c>
      <c r="CI33" s="57" t="n"/>
      <c r="CJ33" s="57" t="n"/>
      <c r="CK33" s="57" t="n"/>
      <c r="CL33" s="57" t="n"/>
      <c r="CM33" s="6" t="n"/>
      <c r="CN33" s="57" t="n"/>
      <c r="CO33" s="57" t="n"/>
      <c r="CP33" s="57" t="n"/>
      <c r="CQ33" s="57" t="n"/>
      <c r="CR33" s="57" t="n"/>
      <c r="DB33" s="6" t="n"/>
      <c r="DG33" s="6" t="n"/>
      <c r="DO33" s="6" t="n"/>
      <c r="DQ33" s="6" t="n"/>
      <c r="DV33" s="6" t="n"/>
      <c r="DW33" s="53" t="n"/>
      <c r="EB33" s="6" t="n"/>
      <c r="EC33" s="6" t="n"/>
      <c r="EI33" s="314" t="n"/>
      <c r="EK33" s="49" t="n"/>
      <c r="EM33" s="49" t="n"/>
      <c r="EO33" s="49" t="n"/>
      <c r="EP33" s="49" t="n"/>
      <c r="EQ33" s="289" t="n"/>
      <c r="EX33" s="289" t="n"/>
      <c r="FH33" s="53" t="n"/>
      <c r="FM33" s="6" t="n"/>
      <c r="FN33" s="6" t="n"/>
      <c r="FO33" s="6" t="n"/>
      <c r="FP33" s="6" t="n"/>
      <c r="FQ33" s="6" t="n"/>
      <c r="FR33" s="6" t="n"/>
      <c r="FS33" s="6" t="n"/>
      <c r="FT33" s="6" t="n"/>
      <c r="FU33" s="6" t="n"/>
      <c r="FV33" s="6" t="n"/>
      <c r="FW33" s="6" t="n"/>
    </row>
    <row r="34" hidden="1" ht="18.75" customHeight="1">
      <c r="A34" s="243" t="inlineStr">
        <is>
          <t>CAIXA M MÃES/25</t>
        </is>
      </c>
      <c r="B34" s="244" t="n">
        <v>100</v>
      </c>
      <c r="C34" s="697" t="n">
        <v>789</v>
      </c>
      <c r="D34" s="342" t="n"/>
      <c r="E34" s="6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2</v>
      </c>
      <c r="AA34" s="9" t="n">
        <v>0</v>
      </c>
      <c r="AB34" s="9" t="n">
        <v>0</v>
      </c>
      <c r="AC34" s="9" t="n">
        <v>0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246">
        <f>BZ34+IF(NOT(ISBLANK(OFFSET(CB34,0,6))),N(OFFSET(CB34,0,6)),N(OFFSET(CB34,0,7)))-CA34</f>
        <v/>
      </c>
      <c r="CI34" s="57" t="n"/>
      <c r="CJ34" s="57" t="n"/>
      <c r="CK34" s="57" t="n"/>
      <c r="CL34" s="57" t="n"/>
      <c r="CM34" s="6" t="n"/>
      <c r="CN34" s="57" t="n"/>
      <c r="CO34" s="57" t="n"/>
      <c r="CP34" s="57" t="n"/>
      <c r="CQ34" s="57" t="n"/>
      <c r="CR34" s="57" t="n"/>
      <c r="DB34" s="6" t="n"/>
      <c r="DG34" s="6" t="n"/>
      <c r="DO34" s="6" t="n"/>
      <c r="DQ34" s="6" t="n"/>
      <c r="DV34" s="6" t="n"/>
      <c r="DW34" s="53" t="n"/>
      <c r="EB34" s="6" t="n"/>
      <c r="EC34" s="6" t="n"/>
      <c r="EI34" s="314" t="n"/>
      <c r="EK34" s="49" t="n"/>
      <c r="EM34" s="49" t="n"/>
      <c r="EO34" s="49" t="n"/>
      <c r="EP34" s="49" t="n"/>
      <c r="EQ34" s="289" t="n"/>
      <c r="EX34" s="289" t="n"/>
      <c r="FH34" s="53" t="n"/>
      <c r="FM34" s="6" t="n"/>
      <c r="FN34" s="6" t="n"/>
      <c r="FO34" s="6" t="n"/>
      <c r="FP34" s="6" t="n"/>
      <c r="FQ34" s="6" t="n"/>
      <c r="FR34" s="6" t="n"/>
      <c r="FS34" s="6" t="n"/>
      <c r="FT34" s="6" t="n"/>
      <c r="FU34" s="6" t="n"/>
      <c r="FV34" s="6" t="n"/>
      <c r="FW34" s="6" t="n"/>
    </row>
    <row r="35" hidden="1" ht="18.75" customHeight="1">
      <c r="A35" s="243" t="inlineStr">
        <is>
          <t>CAIXA G MÃES/25</t>
        </is>
      </c>
      <c r="B35" s="244" t="n">
        <v>75</v>
      </c>
      <c r="C35" s="697" t="n">
        <v>844.05</v>
      </c>
      <c r="D35" s="342" t="n"/>
      <c r="E35" s="6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33</v>
      </c>
      <c r="AA35" s="9" t="n">
        <v>33</v>
      </c>
      <c r="AB35" s="9" t="n">
        <v>31</v>
      </c>
      <c r="AC35" s="9" t="n">
        <v>28</v>
      </c>
      <c r="AD35" s="9" t="n">
        <v>12</v>
      </c>
      <c r="AE35" s="9" t="n">
        <v>10</v>
      </c>
      <c r="AF35" s="9" t="n">
        <v>9</v>
      </c>
      <c r="AG35" s="9" t="n">
        <v>9</v>
      </c>
      <c r="AH35" s="9" t="n">
        <v>9</v>
      </c>
      <c r="AI35" s="9" t="n">
        <v>9</v>
      </c>
      <c r="AJ35" s="9" t="n">
        <v>9</v>
      </c>
      <c r="AK35" s="9" t="n">
        <v>9</v>
      </c>
      <c r="AL35" s="9" t="n">
        <v>9</v>
      </c>
      <c r="AM35" s="9" t="n">
        <v>7</v>
      </c>
      <c r="AN35" s="9" t="n">
        <v>7</v>
      </c>
      <c r="AO35" s="9" t="n">
        <v>5</v>
      </c>
      <c r="AP35" s="9" t="n">
        <v>5</v>
      </c>
      <c r="AQ35" s="9" t="n">
        <v>5</v>
      </c>
      <c r="AR35" s="9" t="n">
        <v>5</v>
      </c>
      <c r="AS35" s="9" t="n">
        <v>3</v>
      </c>
      <c r="AT35" s="9" t="n">
        <v>3</v>
      </c>
      <c r="AU35" s="9" t="n">
        <v>3</v>
      </c>
      <c r="AV35" s="9" t="n">
        <v>3</v>
      </c>
      <c r="AW35" s="9" t="n">
        <v>3</v>
      </c>
      <c r="AX35" s="9" t="n">
        <v>3</v>
      </c>
      <c r="AY35" s="9" t="n">
        <v>3</v>
      </c>
      <c r="AZ35" s="9" t="n">
        <v>3</v>
      </c>
      <c r="BA35" s="9" t="n">
        <v>3</v>
      </c>
      <c r="BB35" s="9" t="n">
        <v>3</v>
      </c>
      <c r="BC35" s="9" t="n">
        <v>3</v>
      </c>
      <c r="BD35" s="9" t="n">
        <v>0</v>
      </c>
      <c r="BE35" s="9" t="n">
        <v>0</v>
      </c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246">
        <f>BZ35+IF(NOT(ISBLANK(OFFSET(CB35,0,6))),N(OFFSET(CB35,0,6)),N(OFFSET(CB35,0,7)))-CA35</f>
        <v/>
      </c>
      <c r="CI35" s="61" t="n"/>
      <c r="CJ35" s="61" t="n"/>
      <c r="CK35" s="61" t="n"/>
      <c r="CL35" s="61" t="n"/>
      <c r="CM35" s="6" t="n"/>
      <c r="CN35" s="61" t="n"/>
      <c r="CO35" s="61" t="n"/>
      <c r="CP35" s="61" t="n"/>
      <c r="CQ35" s="61" t="n"/>
      <c r="CR35" s="61" t="n"/>
      <c r="DB35" s="6" t="n"/>
      <c r="DG35" s="6" t="n"/>
      <c r="DO35" s="6" t="n"/>
      <c r="DQ35" s="6" t="n"/>
      <c r="DV35" s="6" t="n"/>
      <c r="DW35" s="53" t="n"/>
      <c r="EB35" s="6" t="n"/>
      <c r="EC35" s="6" t="n"/>
      <c r="EI35" s="314" t="n"/>
      <c r="EK35" s="49" t="n"/>
      <c r="EM35" s="49" t="n"/>
      <c r="EO35" s="49" t="n"/>
      <c r="EP35" s="49" t="n"/>
      <c r="EQ35" s="289" t="n"/>
      <c r="EX35" s="289" t="n"/>
      <c r="FH35" s="53" t="n"/>
      <c r="FM35" s="6" t="n"/>
      <c r="FN35" s="6" t="n"/>
      <c r="FO35" s="6" t="n"/>
      <c r="FP35" s="6" t="n"/>
      <c r="FQ35" s="6" t="n"/>
      <c r="FR35" s="6" t="n"/>
      <c r="FS35" s="6" t="n"/>
      <c r="FT35" s="6" t="n"/>
      <c r="FU35" s="6" t="n"/>
      <c r="FV35" s="6" t="n"/>
      <c r="FW35" s="6" t="n"/>
    </row>
    <row r="36" hidden="1" ht="18.75" customHeight="1">
      <c r="A36" s="243" t="inlineStr">
        <is>
          <t>CARTUCHO P MÃES/25</t>
        </is>
      </c>
      <c r="B36" s="244" t="n">
        <v>200</v>
      </c>
      <c r="C36" s="697" t="n">
        <v>450</v>
      </c>
      <c r="D36" s="342" t="n"/>
      <c r="E36" s="6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/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246">
        <f>BZ36+IF(NOT(ISBLANK(OFFSET(CB36,0,6))),N(OFFSET(CB36,0,6)),N(OFFSET(CB36,0,7)))-CA36</f>
        <v/>
      </c>
      <c r="CI36" s="61" t="n"/>
      <c r="CJ36" s="61" t="n"/>
      <c r="CK36" s="61" t="n"/>
      <c r="CL36" s="61" t="n"/>
      <c r="CM36" s="6" t="n"/>
      <c r="CN36" s="61" t="n"/>
      <c r="CO36" s="61" t="n"/>
      <c r="CP36" s="61" t="n"/>
      <c r="CQ36" s="61" t="n"/>
      <c r="CR36" s="61" t="n"/>
      <c r="DB36" s="6" t="n"/>
      <c r="DG36" s="6" t="n"/>
      <c r="DO36" s="6" t="n"/>
      <c r="DQ36" s="6" t="n"/>
      <c r="DV36" s="6" t="n"/>
      <c r="DW36" s="53" t="n"/>
      <c r="EB36" s="6" t="n"/>
      <c r="EC36" s="6" t="n"/>
      <c r="EI36" s="314" t="n"/>
      <c r="EK36" s="49" t="n"/>
      <c r="EM36" s="49" t="n"/>
      <c r="EO36" s="49" t="n"/>
      <c r="EP36" s="49" t="n"/>
      <c r="EQ36" s="289" t="n"/>
      <c r="EX36" s="289" t="n"/>
      <c r="FH36" s="53" t="n"/>
      <c r="FM36" s="6" t="n"/>
      <c r="FN36" s="6" t="n"/>
      <c r="FO36" s="6" t="n"/>
      <c r="FP36" s="6" t="n"/>
      <c r="FQ36" s="6" t="n"/>
      <c r="FR36" s="6" t="n"/>
      <c r="FS36" s="6" t="n"/>
      <c r="FT36" s="6" t="n"/>
      <c r="FU36" s="6" t="n"/>
      <c r="FV36" s="6" t="n"/>
      <c r="FW36" s="6" t="n"/>
    </row>
    <row r="37" hidden="1" ht="18.75" customHeight="1">
      <c r="A37" s="243" t="inlineStr">
        <is>
          <t>CARTUCHO M MÃES/25</t>
        </is>
      </c>
      <c r="B37" s="244" t="n">
        <v>150</v>
      </c>
      <c r="C37" s="697" t="n">
        <v>430.5</v>
      </c>
      <c r="D37" s="342" t="n"/>
      <c r="E37" s="6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246">
        <f>BZ37+IF(NOT(ISBLANK(OFFSET(CB37,0,6))),N(OFFSET(CB37,0,6)),N(OFFSET(CB37,0,7)))-CA37</f>
        <v/>
      </c>
      <c r="CM37" s="6" t="n"/>
      <c r="DB37" s="6" t="n"/>
      <c r="DG37" s="6" t="n"/>
      <c r="DO37" s="6" t="n"/>
      <c r="DQ37" s="6" t="n"/>
      <c r="DV37" s="6" t="n"/>
      <c r="DW37" s="53" t="n"/>
      <c r="EB37" s="6" t="n"/>
      <c r="EC37" s="6" t="n"/>
      <c r="EI37" s="314" t="n"/>
      <c r="EK37" s="49" t="n"/>
      <c r="EM37" s="49" t="n"/>
      <c r="EO37" s="49" t="n"/>
      <c r="EP37" s="49" t="n"/>
      <c r="EQ37" s="289" t="n"/>
      <c r="EX37" s="289" t="n"/>
      <c r="FH37" s="53" t="n"/>
      <c r="FM37" s="6" t="n"/>
      <c r="FN37" s="6" t="n"/>
      <c r="FO37" s="6" t="n"/>
      <c r="FP37" s="6" t="n"/>
      <c r="FQ37" s="6" t="n"/>
      <c r="FR37" s="6" t="n"/>
      <c r="FS37" s="6" t="n"/>
      <c r="FT37" s="6" t="n"/>
      <c r="FU37" s="6" t="n"/>
      <c r="FV37" s="6" t="n"/>
      <c r="FW37" s="6" t="n"/>
    </row>
    <row r="38" hidden="1" ht="18.75" customHeight="1">
      <c r="A38" s="343" t="inlineStr">
        <is>
          <t>CAIXA M PAIS/25</t>
        </is>
      </c>
      <c r="B38" s="344" t="n">
        <v>100</v>
      </c>
      <c r="C38" s="697" t="n"/>
      <c r="D38" s="342" t="n"/>
      <c r="E38" s="6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" t="n"/>
      <c r="AA38" s="2" t="n"/>
      <c r="AB38" s="2" t="n"/>
      <c r="AC38" s="2" t="n"/>
      <c r="AD38" s="2" t="n"/>
      <c r="AE38" s="2" t="n"/>
      <c r="AF38" s="2" t="n"/>
      <c r="AG38" s="2" t="n"/>
      <c r="AH38" s="2" t="n"/>
      <c r="AI38" s="2" t="n"/>
      <c r="AJ38" s="2" t="n"/>
      <c r="AK38" s="2" t="n"/>
      <c r="AL38" s="2" t="n"/>
      <c r="AM38" s="2" t="n"/>
      <c r="AN38" s="2" t="n"/>
      <c r="AO38" s="9" t="n">
        <v>1</v>
      </c>
      <c r="AP38" s="9" t="n">
        <v>0</v>
      </c>
      <c r="AQ38" s="9" t="n">
        <v>0</v>
      </c>
      <c r="AR38" s="9" t="n">
        <v>0</v>
      </c>
      <c r="AS38" s="9" t="n">
        <v>0</v>
      </c>
      <c r="AT38" s="9" t="n">
        <v>0</v>
      </c>
      <c r="AU38" s="9" t="n">
        <v>0</v>
      </c>
      <c r="AV38" s="9" t="n">
        <v>0</v>
      </c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246">
        <f>BZ38+IF(NOT(ISBLANK(OFFSET(CB38,0,6))),N(OFFSET(CB38,0,6)),N(OFFSET(CB38,0,7)))-CA38</f>
        <v/>
      </c>
      <c r="CM38" s="6" t="n"/>
      <c r="DB38" s="6" t="n"/>
      <c r="DG38" s="6" t="n"/>
      <c r="DO38" s="6" t="n"/>
      <c r="DQ38" s="6" t="n"/>
      <c r="DV38" s="6" t="n"/>
      <c r="DW38" s="53" t="n"/>
      <c r="EB38" s="6" t="n"/>
      <c r="EC38" s="6" t="n"/>
      <c r="EI38" s="314" t="n"/>
      <c r="EK38" s="49" t="n"/>
      <c r="EM38" s="49" t="n"/>
      <c r="EO38" s="49" t="n"/>
      <c r="EP38" s="49" t="n"/>
      <c r="EQ38" s="289" t="n"/>
      <c r="EX38" s="289" t="n"/>
      <c r="FH38" s="53" t="n"/>
      <c r="FM38" s="6" t="n"/>
      <c r="FN38" s="6" t="n"/>
      <c r="FO38" s="6" t="n"/>
      <c r="FP38" s="6" t="n"/>
      <c r="FQ38" s="6" t="n"/>
      <c r="FR38" s="6" t="n"/>
      <c r="FS38" s="6" t="n"/>
      <c r="FT38" s="6" t="n"/>
      <c r="FU38" s="6" t="n"/>
      <c r="FV38" s="6" t="n"/>
      <c r="FW38" s="6" t="n"/>
    </row>
    <row r="39" hidden="1" ht="18.75" customHeight="1">
      <c r="A39" s="343" t="inlineStr">
        <is>
          <t>ENVELOPE M PAIS/25</t>
        </is>
      </c>
      <c r="B39" s="344" t="n">
        <v>150</v>
      </c>
      <c r="C39" s="697" t="n"/>
      <c r="D39" s="342" t="n"/>
      <c r="E39" s="6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2" t="n"/>
      <c r="AL39" s="2" t="n"/>
      <c r="AM39" s="2" t="n"/>
      <c r="AN39" s="2" t="n"/>
      <c r="AO39" s="9" t="n">
        <v>30</v>
      </c>
      <c r="AP39" s="9" t="n">
        <v>29</v>
      </c>
      <c r="AQ39" s="9" t="n">
        <v>14</v>
      </c>
      <c r="AR39" s="9" t="n">
        <v>14</v>
      </c>
      <c r="AS39" s="9" t="n">
        <v>13</v>
      </c>
      <c r="AT39" s="9" t="n">
        <v>12</v>
      </c>
      <c r="AU39" s="9" t="n">
        <v>3</v>
      </c>
      <c r="AV39" s="9" t="n">
        <v>3</v>
      </c>
      <c r="AW39" s="9" t="n">
        <v>3</v>
      </c>
      <c r="AX39" s="9" t="n">
        <v>2</v>
      </c>
      <c r="AY39" s="9" t="n">
        <v>2</v>
      </c>
      <c r="AZ39" s="9" t="n">
        <v>2</v>
      </c>
      <c r="BA39" s="9" t="n">
        <v>1</v>
      </c>
      <c r="BB39" s="9" t="n">
        <v>1</v>
      </c>
      <c r="BC39" s="9" t="n">
        <v>0</v>
      </c>
      <c r="BD39" s="9" t="n">
        <v>0</v>
      </c>
      <c r="BE39" s="9" t="n">
        <v>0</v>
      </c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246">
        <f>BZ39+IF(NOT(ISBLANK(OFFSET(CB39,0,6))),N(OFFSET(CB39,0,6)),N(OFFSET(CB39,0,7)))-CA39</f>
        <v/>
      </c>
      <c r="CM39" s="360" t="n"/>
      <c r="DB39" s="6" t="n"/>
      <c r="DG39" s="6" t="n"/>
      <c r="DO39" s="6" t="n"/>
      <c r="DQ39" s="6" t="n"/>
      <c r="DV39" s="6" t="n"/>
      <c r="DW39" s="53" t="n"/>
      <c r="EB39" s="6" t="n"/>
      <c r="EC39" s="6" t="n"/>
      <c r="EI39" s="314" t="n"/>
      <c r="EK39" s="49" t="n"/>
      <c r="EM39" s="49" t="n"/>
      <c r="EO39" s="49" t="n"/>
      <c r="EP39" s="49" t="n"/>
      <c r="EQ39" s="289" t="n"/>
      <c r="EX39" s="289" t="n"/>
      <c r="FH39" s="53" t="n"/>
      <c r="FM39" s="6" t="n"/>
      <c r="FN39" s="6" t="n"/>
      <c r="FO39" s="6" t="n"/>
      <c r="FP39" s="6" t="n"/>
      <c r="FQ39" s="6" t="n"/>
      <c r="FR39" s="6" t="n"/>
      <c r="FS39" s="6" t="n"/>
      <c r="FT39" s="6" t="n"/>
      <c r="FU39" s="6" t="n"/>
      <c r="FV39" s="6" t="n"/>
      <c r="FW39" s="6" t="n"/>
    </row>
    <row r="40" hidden="1" ht="18.75" customHeight="1">
      <c r="A40" s="343" t="inlineStr">
        <is>
          <t>PIN MELHOR PAI DO MDO</t>
        </is>
      </c>
      <c r="B40" s="344" t="n">
        <v>25</v>
      </c>
      <c r="C40" s="697" t="n"/>
      <c r="D40" s="342" t="n"/>
      <c r="E40" s="6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3</v>
      </c>
      <c r="AP40" s="9" t="n">
        <v>3</v>
      </c>
      <c r="AQ40" s="9" t="n">
        <v>2</v>
      </c>
      <c r="AR40" s="9" t="n">
        <v>1</v>
      </c>
      <c r="AS40" s="9" t="n">
        <v>1</v>
      </c>
      <c r="AT40" s="9" t="n">
        <v>0</v>
      </c>
      <c r="AU40" s="9" t="n">
        <v>0</v>
      </c>
      <c r="AV40" s="9" t="n">
        <v>0</v>
      </c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246">
        <f>BZ40+IF(NOT(ISBLANK(OFFSET(CB40,0,6))),N(OFFSET(CB40,0,6)),N(OFFSET(CB40,0,7)))-CA40</f>
        <v/>
      </c>
      <c r="CM40" s="360" t="n"/>
      <c r="DB40" s="6" t="n"/>
      <c r="DG40" s="6" t="n"/>
      <c r="DO40" s="6" t="n"/>
      <c r="DQ40" s="6" t="n"/>
      <c r="DV40" s="6" t="n"/>
      <c r="DW40" s="53" t="n"/>
      <c r="EB40" s="6" t="n"/>
      <c r="EC40" s="6" t="n"/>
      <c r="EI40" s="314" t="n"/>
      <c r="EK40" s="49" t="n"/>
      <c r="EM40" s="49" t="n"/>
      <c r="EO40" s="49" t="n"/>
      <c r="EP40" s="49" t="n"/>
      <c r="EQ40" s="289" t="n"/>
      <c r="EX40" s="289" t="n"/>
      <c r="FH40" s="53" t="n"/>
      <c r="FM40" s="6" t="n"/>
      <c r="FN40" s="6" t="n"/>
      <c r="FO40" s="6" t="n"/>
      <c r="FP40" s="6" t="n"/>
      <c r="FQ40" s="6" t="n"/>
      <c r="FR40" s="6" t="n"/>
      <c r="FS40" s="6" t="n"/>
      <c r="FT40" s="6" t="n"/>
      <c r="FU40" s="6" t="n"/>
      <c r="FV40" s="6" t="n"/>
      <c r="FW40" s="6" t="n"/>
    </row>
    <row r="41" hidden="1" ht="18.75" customHeight="1">
      <c r="A41" s="343" t="inlineStr">
        <is>
          <t>PIN BALÃO</t>
        </is>
      </c>
      <c r="B41" s="344" t="n">
        <v>25</v>
      </c>
      <c r="C41" s="697" t="n"/>
      <c r="D41" s="342" t="n"/>
      <c r="E41" s="6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10</v>
      </c>
      <c r="AP41" s="9" t="n">
        <v>10</v>
      </c>
      <c r="AQ41" s="9" t="n">
        <v>10</v>
      </c>
      <c r="AR41" s="9" t="n">
        <v>8</v>
      </c>
      <c r="AS41" s="9" t="n">
        <v>7</v>
      </c>
      <c r="AT41" s="9" t="n">
        <v>4</v>
      </c>
      <c r="AU41" s="9" t="n">
        <v>0</v>
      </c>
      <c r="AV41" s="9" t="n">
        <v>0</v>
      </c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246">
        <f>BZ41+IF(NOT(ISBLANK(OFFSET(CB41,0,6))),N(OFFSET(CB41,0,6)),N(OFFSET(CB41,0,7)))-CA41</f>
        <v/>
      </c>
      <c r="CI41" s="6" t="n"/>
      <c r="CJ41" s="6" t="n"/>
      <c r="CK41" s="6" t="n"/>
      <c r="CL41" s="6" t="n"/>
      <c r="CM41" s="53" t="n"/>
      <c r="CN41" s="6" t="n"/>
      <c r="CO41" s="6" t="n"/>
      <c r="CP41" s="6" t="n"/>
      <c r="CQ41" s="6" t="n"/>
      <c r="CR41" s="6" t="n"/>
      <c r="DB41" s="6" t="n"/>
      <c r="DG41" s="6" t="n"/>
      <c r="DO41" s="6" t="n"/>
      <c r="DQ41" s="6" t="n"/>
      <c r="DV41" s="6" t="n"/>
      <c r="DW41" s="53" t="n"/>
      <c r="EB41" s="6" t="n"/>
      <c r="EC41" s="6" t="n"/>
      <c r="EI41" s="314" t="n"/>
      <c r="EK41" s="49" t="n"/>
      <c r="EM41" s="49" t="n"/>
      <c r="EO41" s="49" t="n"/>
      <c r="EP41" s="49" t="n"/>
      <c r="EQ41" s="289" t="n"/>
      <c r="EX41" s="289" t="n"/>
      <c r="FH41" s="53" t="n"/>
      <c r="FM41" s="53" t="n"/>
      <c r="FN41" s="53" t="n"/>
      <c r="FO41" s="53" t="n"/>
      <c r="FP41" s="53" t="n"/>
      <c r="FQ41" s="53" t="n"/>
      <c r="FR41" s="53" t="n"/>
      <c r="FS41" s="53" t="n"/>
      <c r="FT41" s="53" t="n"/>
      <c r="FU41" s="53" t="n"/>
      <c r="FV41" s="53" t="n"/>
      <c r="FW41" s="53" t="n"/>
    </row>
    <row r="42" hidden="1" ht="18.75" customHeight="1">
      <c r="A42" s="343" t="inlineStr">
        <is>
          <t>PIN AMOR</t>
        </is>
      </c>
      <c r="B42" s="344" t="n">
        <v>25</v>
      </c>
      <c r="C42" s="697" t="n"/>
      <c r="D42" s="342" t="n"/>
      <c r="E42" s="6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13</v>
      </c>
      <c r="AP42" s="9" t="n">
        <v>13</v>
      </c>
      <c r="AQ42" s="9" t="n">
        <v>12</v>
      </c>
      <c r="AR42" s="9" t="n">
        <v>11</v>
      </c>
      <c r="AS42" s="9" t="n">
        <v>11</v>
      </c>
      <c r="AT42" s="9" t="n">
        <v>6</v>
      </c>
      <c r="AU42" s="9" t="n">
        <v>0</v>
      </c>
      <c r="AV42" s="9" t="n">
        <v>0</v>
      </c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246">
        <f>BZ42+IF(NOT(ISBLANK(OFFSET(CB42,0,6))),N(OFFSET(CB42,0,6)),N(OFFSET(CB42,0,7)))-CA42</f>
        <v/>
      </c>
      <c r="CI42" s="6" t="n"/>
      <c r="CJ42" s="6" t="n"/>
      <c r="CK42" s="6" t="n"/>
      <c r="CL42" s="6" t="n"/>
      <c r="CM42" s="53" t="n"/>
      <c r="CN42" s="6" t="n"/>
      <c r="CO42" s="6" t="n"/>
      <c r="CP42" s="6" t="n"/>
      <c r="CQ42" s="6" t="n"/>
      <c r="CR42" s="6" t="n"/>
      <c r="DB42" s="6" t="n"/>
      <c r="DG42" s="6" t="n"/>
      <c r="DO42" s="6" t="n"/>
      <c r="DQ42" s="6" t="n"/>
      <c r="DV42" s="6" t="n"/>
      <c r="DW42" s="53" t="n"/>
      <c r="EB42" s="6" t="n"/>
      <c r="EC42" s="6" t="n"/>
      <c r="EI42" s="314" t="n"/>
      <c r="EK42" s="49" t="n"/>
      <c r="EM42" s="49" t="n"/>
      <c r="EO42" s="49" t="n"/>
      <c r="EP42" s="49" t="n"/>
      <c r="EQ42" s="289" t="n"/>
      <c r="EX42" s="289" t="n"/>
      <c r="FH42" s="53" t="n"/>
      <c r="FM42" s="53" t="n"/>
      <c r="FN42" s="53" t="n"/>
      <c r="FO42" s="53" t="n"/>
      <c r="FP42" s="53" t="n"/>
      <c r="FQ42" s="53" t="n"/>
      <c r="FR42" s="53" t="n"/>
      <c r="FS42" s="53" t="n"/>
      <c r="FT42" s="53" t="n"/>
      <c r="FU42" s="53" t="n"/>
      <c r="FV42" s="53" t="n"/>
      <c r="FW42" s="53" t="n"/>
    </row>
    <row r="43" hidden="1">
      <c r="A43" s="33" t="inlineStr">
        <is>
          <t>CAIXA P NATAL/25</t>
        </is>
      </c>
      <c r="B43" s="9" t="n">
        <v>150</v>
      </c>
      <c r="C43" s="668" t="n">
        <v>805.35</v>
      </c>
      <c r="D43" s="342" t="n"/>
      <c r="BD43" s="9" t="n">
        <v>171</v>
      </c>
      <c r="BE43" s="9" t="n">
        <v>144</v>
      </c>
      <c r="BF43" s="9" t="n">
        <v>37</v>
      </c>
      <c r="BG43" s="9" t="n">
        <v>18</v>
      </c>
      <c r="BH43" s="9" t="n">
        <v>14</v>
      </c>
      <c r="BI43" s="190" t="n">
        <v>64</v>
      </c>
      <c r="BJ43" s="9" t="n">
        <v>64</v>
      </c>
      <c r="BK43" s="9" t="n">
        <v>44</v>
      </c>
      <c r="BL43" s="9" t="n">
        <v>10</v>
      </c>
      <c r="BM43" s="9" t="n">
        <v>10</v>
      </c>
      <c r="BN43" s="9" t="n">
        <v>10</v>
      </c>
      <c r="BO43" s="9" t="n">
        <v>0</v>
      </c>
      <c r="BP43" s="9" t="n">
        <v>0</v>
      </c>
      <c r="BQ43" s="9" t="n">
        <v>0</v>
      </c>
      <c r="BR43" s="9" t="n">
        <v>0</v>
      </c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246">
        <f>BZ43+IF(NOT(ISBLANK(OFFSET(CB43,0,6))),N(OFFSET(CB43,0,6)),N(OFFSET(CB43,0,7)))-CA43</f>
        <v/>
      </c>
      <c r="CI43" s="6" t="n"/>
      <c r="CJ43" s="6" t="n"/>
      <c r="CK43" s="6" t="n"/>
      <c r="CL43" s="6" t="n"/>
      <c r="CM43" s="53" t="n"/>
      <c r="CN43" s="6" t="n"/>
      <c r="CO43" s="6" t="n"/>
      <c r="CP43" s="6" t="n"/>
      <c r="CQ43" s="6" t="n"/>
      <c r="CR43" s="6" t="n"/>
      <c r="DB43" s="360" t="n"/>
      <c r="DG43" s="360" t="n"/>
      <c r="DO43" s="6" t="n"/>
      <c r="DQ43" s="6" t="n"/>
      <c r="DV43" s="6" t="n"/>
      <c r="DW43" s="53" t="n"/>
      <c r="EA43" s="57" t="n"/>
      <c r="EB43" s="6" t="n"/>
      <c r="EC43" s="6" t="n"/>
      <c r="ED43" s="57" t="n"/>
      <c r="EE43" s="57" t="n"/>
      <c r="EF43" s="57" t="n"/>
      <c r="EG43" s="57" t="n"/>
      <c r="EH43" s="57" t="n"/>
      <c r="EI43" s="315" t="n"/>
      <c r="EJ43" s="57" t="n"/>
      <c r="EL43" s="6" t="n"/>
      <c r="EN43" s="57" t="n"/>
      <c r="EQ43" s="289" t="n"/>
      <c r="ER43" s="6" t="n"/>
      <c r="ES43" s="6" t="n"/>
      <c r="ET43" s="6" t="n"/>
      <c r="EU43" s="6" t="n"/>
      <c r="EV43" s="6" t="n"/>
      <c r="EW43" s="6" t="n"/>
      <c r="EX43" s="289" t="n"/>
      <c r="EY43" s="6" t="n"/>
      <c r="EZ43" s="6" t="n"/>
      <c r="FA43" s="57" t="n"/>
      <c r="FB43" s="6" t="n"/>
      <c r="FC43" s="6" t="n"/>
      <c r="FD43" s="6" t="n"/>
      <c r="FE43" s="6" t="n"/>
      <c r="FF43" s="6" t="n"/>
      <c r="FG43" s="6" t="n"/>
      <c r="FH43" s="53" t="n"/>
      <c r="FI43" s="6" t="n"/>
      <c r="FK43" s="6" t="n"/>
      <c r="FM43" s="53" t="n"/>
      <c r="FN43" s="53" t="n"/>
      <c r="FO43" s="53" t="n"/>
      <c r="FP43" s="53" t="n"/>
      <c r="FQ43" s="53" t="n"/>
      <c r="FR43" s="53" t="n"/>
      <c r="FS43" s="53" t="n"/>
      <c r="FT43" s="53" t="n"/>
      <c r="FU43" s="53" t="n"/>
      <c r="FV43" s="53" t="n"/>
      <c r="FW43" s="53" t="n"/>
    </row>
    <row r="44" hidden="1">
      <c r="A44" s="33" t="inlineStr">
        <is>
          <t>CAIXA M NATAL/25</t>
        </is>
      </c>
      <c r="B44" s="9" t="n">
        <v>100</v>
      </c>
      <c r="C44" s="668" t="n">
        <v>792.2</v>
      </c>
      <c r="D44" s="342" t="n"/>
      <c r="BD44" s="9" t="n">
        <v>278</v>
      </c>
      <c r="BE44" s="9" t="n">
        <v>257</v>
      </c>
      <c r="BF44" s="9" t="n">
        <v>72</v>
      </c>
      <c r="BG44" s="9" t="n">
        <v>52</v>
      </c>
      <c r="BH44" s="9" t="n">
        <v>17</v>
      </c>
      <c r="BI44" s="9" t="n">
        <v>-4</v>
      </c>
      <c r="BJ44" s="9" t="n">
        <v>-4</v>
      </c>
      <c r="BK44" s="9" t="n">
        <v>-4</v>
      </c>
      <c r="BL44" s="9" t="n">
        <v>-4</v>
      </c>
      <c r="BM44" s="9" t="n">
        <v>-4</v>
      </c>
      <c r="BN44" s="9" t="n">
        <v>-4</v>
      </c>
      <c r="BO44" s="9" t="n">
        <v>0</v>
      </c>
      <c r="BP44" s="9" t="n">
        <v>0</v>
      </c>
      <c r="BQ44" s="9" t="n">
        <v>0</v>
      </c>
      <c r="BR44" s="9" t="n">
        <v>0</v>
      </c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246">
        <f>BZ44+IF(NOT(ISBLANK(OFFSET(CB44,0,6))),N(OFFSET(CB44,0,6)),N(OFFSET(CB44,0,7)))-CA44</f>
        <v/>
      </c>
      <c r="CI44" s="6" t="n"/>
      <c r="CJ44" s="6" t="n"/>
      <c r="CK44" s="6" t="n"/>
      <c r="CL44" s="6" t="n"/>
      <c r="CM44" s="53" t="n"/>
      <c r="CN44" s="6" t="n"/>
      <c r="CO44" s="6" t="n"/>
      <c r="CP44" s="6" t="n"/>
      <c r="CQ44" s="6" t="n"/>
      <c r="CR44" s="6" t="n"/>
      <c r="DB44" s="360" t="n"/>
      <c r="DG44" s="360" t="n"/>
      <c r="DO44" s="6" t="n"/>
      <c r="DQ44" s="6" t="n"/>
      <c r="DV44" s="6" t="n"/>
      <c r="DW44" s="53" t="n"/>
      <c r="EA44" s="57" t="n"/>
      <c r="EB44" s="6" t="n"/>
      <c r="EC44" s="6" t="n"/>
      <c r="ED44" s="57" t="n"/>
      <c r="EE44" s="57" t="n"/>
      <c r="EF44" s="57" t="n"/>
      <c r="EG44" s="57" t="n"/>
      <c r="EH44" s="57" t="n"/>
      <c r="EI44" s="315" t="n"/>
      <c r="EJ44" s="57" t="n"/>
      <c r="EL44" s="6" t="n"/>
      <c r="EN44" s="57" t="n"/>
      <c r="EQ44" s="289" t="n"/>
      <c r="ER44" s="6" t="n"/>
      <c r="ES44" s="6" t="n"/>
      <c r="ET44" s="6" t="n"/>
      <c r="EU44" s="6" t="n"/>
      <c r="EV44" s="6" t="n"/>
      <c r="EW44" s="6" t="n"/>
      <c r="EX44" s="289" t="n"/>
      <c r="EY44" s="6" t="n"/>
      <c r="EZ44" s="6" t="n"/>
      <c r="FA44" s="57" t="n"/>
      <c r="FB44" s="6" t="n"/>
      <c r="FC44" s="6" t="n"/>
      <c r="FD44" s="6" t="n"/>
      <c r="FE44" s="6" t="n"/>
      <c r="FF44" s="6" t="n"/>
      <c r="FG44" s="6" t="n"/>
      <c r="FH44" s="53" t="n"/>
      <c r="FI44" s="6" t="n"/>
      <c r="FK44" s="6" t="n"/>
      <c r="FM44" s="53" t="n"/>
      <c r="FN44" s="53" t="n"/>
      <c r="FO44" s="53" t="n"/>
      <c r="FP44" s="53" t="n"/>
      <c r="FQ44" s="53" t="n"/>
      <c r="FR44" s="53" t="n"/>
      <c r="FS44" s="53" t="n"/>
      <c r="FT44" s="53" t="n"/>
      <c r="FU44" s="53" t="n"/>
      <c r="FV44" s="53" t="n"/>
      <c r="FW44" s="53" t="n"/>
    </row>
    <row r="45">
      <c r="A45" s="33" t="inlineStr">
        <is>
          <t>CAIXA G NATAL/25</t>
        </is>
      </c>
      <c r="B45" s="9" t="n">
        <v>50</v>
      </c>
      <c r="C45" s="668" t="n"/>
      <c r="D45" s="342" t="n"/>
      <c r="BD45" s="9" t="n">
        <v>13</v>
      </c>
      <c r="BE45" s="9" t="n">
        <v>10</v>
      </c>
      <c r="BF45" s="9" t="n">
        <v>8</v>
      </c>
      <c r="BG45" s="9" t="n">
        <v>7</v>
      </c>
      <c r="BH45" s="9" t="n">
        <v>8</v>
      </c>
      <c r="BI45" s="9" t="n">
        <v>8</v>
      </c>
      <c r="BJ45" s="9" t="n">
        <v>8</v>
      </c>
      <c r="BK45" s="9" t="n">
        <v>5</v>
      </c>
      <c r="BL45" s="9" t="n">
        <v>5</v>
      </c>
      <c r="BM45" s="9" t="n">
        <v>5</v>
      </c>
      <c r="BN45" s="9" t="n">
        <v>5</v>
      </c>
      <c r="BO45" s="9" t="n">
        <v>3</v>
      </c>
      <c r="BP45" s="9" t="n">
        <v>2</v>
      </c>
      <c r="BQ45" s="9" t="n">
        <v>2</v>
      </c>
      <c r="BR45" s="9" t="n">
        <v>2</v>
      </c>
      <c r="BS45" s="9" t="n">
        <v>2</v>
      </c>
      <c r="BT45" s="9" t="n">
        <v>2</v>
      </c>
      <c r="BU45" s="9" t="n">
        <v>2</v>
      </c>
      <c r="BV45" s="9" t="n">
        <v>2</v>
      </c>
      <c r="BW45" s="9" t="n">
        <v>0</v>
      </c>
      <c r="BX45" s="9" t="n">
        <v>0</v>
      </c>
      <c r="BY45" s="9" t="n">
        <v>0</v>
      </c>
      <c r="BZ45" s="9" t="n">
        <v>0</v>
      </c>
      <c r="CA45" s="9" t="n">
        <v>0</v>
      </c>
      <c r="CB45" s="246">
        <f>BZ45+IF(NOT(ISBLANK(OFFSET(CB45,0,6))),N(OFFSET(CB45,0,6)),N(OFFSET(CB45,0,7)))-CA45</f>
        <v/>
      </c>
      <c r="CI45" s="6" t="n"/>
      <c r="CJ45" s="6" t="n"/>
      <c r="CK45" s="6" t="n"/>
      <c r="CL45" s="6" t="n"/>
      <c r="CN45" s="6" t="n"/>
      <c r="CO45" s="6" t="n"/>
      <c r="CP45" s="6" t="n"/>
      <c r="CQ45" s="6" t="n"/>
      <c r="CR45" s="6" t="n"/>
      <c r="DB45" s="360" t="n"/>
      <c r="DG45" s="360" t="n"/>
      <c r="DO45" s="6" t="n"/>
      <c r="DQ45" s="6" t="n"/>
      <c r="DV45" s="6" t="n"/>
      <c r="DW45" s="53" t="n"/>
      <c r="EA45" s="57" t="n"/>
      <c r="EB45" s="6" t="n"/>
      <c r="EC45" s="6" t="n"/>
      <c r="ED45" s="57" t="n"/>
      <c r="EE45" s="57" t="n"/>
      <c r="EF45" s="57" t="n"/>
      <c r="EG45" s="57" t="n"/>
      <c r="EH45" s="57" t="n"/>
      <c r="EI45" s="315" t="n"/>
      <c r="EJ45" s="57" t="n"/>
      <c r="EL45" s="6" t="n"/>
      <c r="EN45" s="57" t="n"/>
      <c r="EQ45" s="289" t="n"/>
      <c r="ER45" s="6" t="n"/>
      <c r="ES45" s="6" t="n"/>
      <c r="ET45" s="6" t="n"/>
      <c r="EU45" s="6" t="n"/>
      <c r="EV45" s="6" t="n"/>
      <c r="EW45" s="6" t="n"/>
      <c r="EX45" s="289" t="n"/>
      <c r="EY45" s="6" t="n"/>
      <c r="EZ45" s="6" t="n"/>
      <c r="FA45" s="57" t="n"/>
      <c r="FB45" s="6" t="n"/>
      <c r="FC45" s="6" t="n"/>
      <c r="FD45" s="6" t="n"/>
      <c r="FE45" s="6" t="n"/>
      <c r="FF45" s="6" t="n"/>
      <c r="FG45" s="6" t="n"/>
      <c r="FH45" s="53" t="n"/>
      <c r="FI45" s="6" t="n"/>
      <c r="FK45" s="6" t="n"/>
    </row>
    <row r="46" hidden="1">
      <c r="A46" s="33" t="inlineStr">
        <is>
          <t>CARTUCHO P NATAL/25</t>
        </is>
      </c>
      <c r="B46" s="9" t="n">
        <v>200</v>
      </c>
      <c r="C46" s="668" t="n">
        <v>487.2</v>
      </c>
      <c r="D46" s="342" t="n"/>
      <c r="BD46" s="9" t="n">
        <v>322</v>
      </c>
      <c r="BE46" s="9" t="n">
        <v>24</v>
      </c>
      <c r="BF46" s="9" t="n">
        <v>18</v>
      </c>
      <c r="BG46" s="9" t="n">
        <v>18</v>
      </c>
      <c r="BH46" s="9" t="n">
        <v>0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/>
      <c r="BT46" s="9" t="n"/>
      <c r="BU46" s="9" t="n"/>
      <c r="BV46" s="9" t="n"/>
      <c r="BW46" s="9" t="n"/>
      <c r="BX46" s="9" t="n"/>
      <c r="BY46" s="9" t="n"/>
      <c r="BZ46" s="9" t="n"/>
      <c r="CA46" s="9" t="n"/>
      <c r="CB46" s="246">
        <f>BZ46+IF(NOT(ISBLANK(OFFSET(CB46,0,6))),N(OFFSET(CB46,0,6)),N(OFFSET(CB46,0,7)))-CA46</f>
        <v/>
      </c>
      <c r="CI46" s="6" t="n"/>
      <c r="CJ46" s="6" t="n"/>
      <c r="CK46" s="6" t="n"/>
      <c r="CL46" s="6" t="n"/>
      <c r="CN46" s="6" t="n"/>
      <c r="CO46" s="6" t="n"/>
      <c r="CP46" s="6" t="n"/>
      <c r="CQ46" s="6" t="n"/>
      <c r="CR46" s="6" t="n"/>
      <c r="DB46" s="360" t="n"/>
      <c r="DG46" s="360" t="n"/>
      <c r="DO46" s="6" t="n"/>
      <c r="DQ46" s="6" t="n"/>
      <c r="DV46" s="6" t="n"/>
      <c r="DW46" s="53" t="n"/>
      <c r="EA46" s="57" t="n"/>
      <c r="EB46" s="6" t="n"/>
      <c r="EC46" s="6" t="n"/>
      <c r="ED46" s="57" t="n"/>
      <c r="EE46" s="57" t="n"/>
      <c r="EF46" s="57" t="n"/>
      <c r="EG46" s="57" t="n"/>
      <c r="EH46" s="57" t="n"/>
      <c r="EI46" s="315" t="n"/>
      <c r="EJ46" s="57" t="n"/>
      <c r="EL46" s="6" t="n"/>
      <c r="EN46" s="57" t="n"/>
      <c r="EQ46" s="289" t="n"/>
      <c r="ER46" s="6" t="n"/>
      <c r="ES46" s="6" t="n"/>
      <c r="ET46" s="6" t="n"/>
      <c r="EU46" s="6" t="n"/>
      <c r="EV46" s="6" t="n"/>
      <c r="EW46" s="6" t="n"/>
      <c r="EX46" s="289" t="n"/>
      <c r="EY46" s="6" t="n"/>
      <c r="EZ46" s="6" t="n"/>
      <c r="FA46" s="57" t="n"/>
      <c r="FB46" s="6" t="n"/>
      <c r="FC46" s="6" t="n"/>
      <c r="FD46" s="6" t="n"/>
      <c r="FE46" s="6" t="n"/>
      <c r="FF46" s="6" t="n"/>
      <c r="FG46" s="6" t="n"/>
      <c r="FH46" s="53" t="n"/>
      <c r="FI46" s="6" t="n"/>
      <c r="FK46" s="6" t="n"/>
    </row>
    <row r="47" hidden="1">
      <c r="A47" s="33" t="inlineStr">
        <is>
          <t>CARTUCHO M NATAL/25</t>
        </is>
      </c>
      <c r="B47" s="9" t="n">
        <v>150</v>
      </c>
      <c r="C47" s="668" t="n">
        <v>460.35</v>
      </c>
      <c r="D47" s="342" t="n"/>
      <c r="BD47" s="9" t="n">
        <v>174</v>
      </c>
      <c r="BE47" s="9" t="n">
        <v>90</v>
      </c>
      <c r="BF47" s="9" t="n">
        <v>12</v>
      </c>
      <c r="BG47" s="9" t="n">
        <v>12</v>
      </c>
      <c r="BH47" s="9" t="n">
        <v>0</v>
      </c>
      <c r="BI47" s="9" t="n">
        <v>0</v>
      </c>
      <c r="BJ47" s="9" t="n">
        <v>0</v>
      </c>
      <c r="BK47" s="9" t="n">
        <v>0</v>
      </c>
      <c r="BL47" s="9" t="n">
        <v>0</v>
      </c>
      <c r="BM47" s="9" t="n">
        <v>0</v>
      </c>
      <c r="BN47" s="9" t="n">
        <v>0</v>
      </c>
      <c r="BO47" s="9" t="n">
        <v>0</v>
      </c>
      <c r="BP47" s="9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246">
        <f>BZ47+IF(NOT(ISBLANK(OFFSET(CB47,0,6))),N(OFFSET(CB47,0,6)),N(OFFSET(CB47,0,7)))-CA47</f>
        <v/>
      </c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DB47" s="360" t="n"/>
      <c r="DG47" s="360" t="n"/>
      <c r="DO47" s="6" t="n"/>
      <c r="DQ47" s="6" t="n"/>
      <c r="DV47" s="6" t="n"/>
      <c r="DW47" s="53" t="n"/>
      <c r="EA47" s="57" t="n"/>
      <c r="EB47" s="6" t="n"/>
      <c r="EC47" s="6" t="n"/>
      <c r="ED47" s="57" t="n"/>
      <c r="EE47" s="57" t="n"/>
      <c r="EF47" s="57" t="n"/>
      <c r="EG47" s="57" t="n"/>
      <c r="EH47" s="57" t="n"/>
      <c r="EI47" s="315" t="n"/>
      <c r="EJ47" s="57" t="n"/>
      <c r="EL47" s="6" t="n"/>
      <c r="EN47" s="57" t="n"/>
      <c r="EQ47" s="289" t="n"/>
      <c r="ER47" s="6" t="n"/>
      <c r="ES47" s="6" t="n"/>
      <c r="ET47" s="6" t="n"/>
      <c r="EU47" s="6" t="n"/>
      <c r="EV47" s="6" t="n"/>
      <c r="EW47" s="6" t="n"/>
      <c r="EX47" s="289" t="n"/>
      <c r="EY47" s="6" t="n"/>
      <c r="EZ47" s="6" t="n"/>
      <c r="FA47" s="57" t="n"/>
      <c r="FB47" s="6" t="n"/>
      <c r="FC47" s="6" t="n"/>
      <c r="FD47" s="6" t="n"/>
      <c r="FE47" s="6" t="n"/>
      <c r="FF47" s="6" t="n"/>
      <c r="FG47" s="6" t="n"/>
      <c r="FH47" s="53" t="n"/>
      <c r="FI47" s="6" t="n"/>
      <c r="FK47" s="6" t="n"/>
    </row>
    <row r="48" hidden="1">
      <c r="A48" s="33" t="inlineStr">
        <is>
          <t>PIN NATAL/25</t>
        </is>
      </c>
      <c r="B48" s="9" t="n">
        <v>10</v>
      </c>
      <c r="C48" s="668" t="n">
        <v>120</v>
      </c>
      <c r="D48" s="342" t="n"/>
      <c r="BD48" s="9" t="n"/>
      <c r="BE48" s="9" t="n">
        <v>0</v>
      </c>
      <c r="BF48" s="9" t="n">
        <v>0</v>
      </c>
      <c r="BG48" s="9" t="n">
        <v>0</v>
      </c>
      <c r="BH48" s="9" t="n">
        <v>0</v>
      </c>
      <c r="BI48" s="9" t="n">
        <v>0</v>
      </c>
      <c r="BJ48" s="9" t="n">
        <v>0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>
        <v>0</v>
      </c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246">
        <f>BZ48+IF(NOT(ISBLANK(OFFSET(CB48,0,6))),N(OFFSET(CB48,0,6)),N(OFFSET(CB48,0,7)))-CA48</f>
        <v/>
      </c>
      <c r="CI48" s="6" t="n"/>
      <c r="CJ48" s="6" t="n"/>
      <c r="CK48" s="6" t="n"/>
      <c r="CL48" s="6" t="n"/>
      <c r="CN48" s="6" t="n"/>
      <c r="CO48" s="6" t="n"/>
      <c r="CP48" s="6" t="n"/>
      <c r="CQ48" s="6" t="n"/>
      <c r="CR48" s="6" t="n"/>
      <c r="DB48" s="360" t="n"/>
      <c r="DG48" s="360" t="n"/>
      <c r="DO48" s="6" t="n"/>
      <c r="DQ48" s="6" t="n"/>
      <c r="DV48" s="6" t="n"/>
      <c r="DW48" s="53" t="n"/>
      <c r="EA48" s="57" t="n"/>
      <c r="EB48" s="6" t="n"/>
      <c r="EC48" s="6" t="n"/>
      <c r="ED48" s="57" t="n"/>
      <c r="EE48" s="57" t="n"/>
      <c r="EF48" s="57" t="n"/>
      <c r="EG48" s="57" t="n"/>
      <c r="EH48" s="57" t="n"/>
      <c r="EI48" s="315" t="n"/>
      <c r="EJ48" s="57" t="n"/>
      <c r="EL48" s="6" t="n"/>
      <c r="EN48" s="57" t="n"/>
      <c r="EQ48" s="289" t="n"/>
      <c r="ER48" s="6" t="n"/>
      <c r="ES48" s="6" t="n"/>
      <c r="ET48" s="6" t="n"/>
      <c r="EU48" s="6" t="n"/>
      <c r="EV48" s="6" t="n"/>
      <c r="EW48" s="6" t="n"/>
      <c r="EX48" s="289" t="n"/>
      <c r="EY48" s="6" t="n"/>
      <c r="EZ48" s="6" t="n"/>
      <c r="FA48" s="57" t="n"/>
      <c r="FB48" s="6" t="n"/>
      <c r="FC48" s="6" t="n"/>
      <c r="FD48" s="6" t="n"/>
      <c r="FE48" s="6" t="n"/>
      <c r="FF48" s="6" t="n"/>
      <c r="FG48" s="6" t="n"/>
      <c r="FH48" s="53" t="n"/>
      <c r="FI48" s="6" t="n"/>
      <c r="FK48" s="6" t="n"/>
    </row>
    <row r="49">
      <c r="CI49" s="6" t="n"/>
      <c r="CJ49" s="6" t="n"/>
      <c r="CK49" s="6" t="n"/>
      <c r="CL49" s="6" t="n"/>
      <c r="CN49" s="6" t="n"/>
      <c r="CO49" s="6" t="n"/>
      <c r="CP49" s="6" t="n"/>
      <c r="CQ49" s="6" t="n"/>
      <c r="CR49" s="6" t="n"/>
      <c r="DB49" s="360" t="n"/>
      <c r="DG49" s="360" t="n"/>
      <c r="DO49" s="6" t="n"/>
      <c r="DQ49" s="6" t="n"/>
      <c r="DV49" s="6" t="n"/>
      <c r="DW49" s="53" t="n"/>
      <c r="EA49" s="57" t="n"/>
      <c r="EB49" s="6" t="n"/>
      <c r="EC49" s="6" t="n"/>
      <c r="ED49" s="57" t="n"/>
      <c r="EE49" s="57" t="n"/>
      <c r="EF49" s="57" t="n"/>
      <c r="EG49" s="57" t="n"/>
      <c r="EH49" s="57" t="n"/>
      <c r="EI49" s="315" t="n"/>
      <c r="EJ49" s="57" t="n"/>
      <c r="EL49" s="6" t="n"/>
      <c r="EN49" s="57" t="n"/>
      <c r="EQ49" s="289" t="n"/>
      <c r="ER49" s="6" t="n"/>
      <c r="ES49" s="6" t="n"/>
      <c r="ET49" s="6" t="n"/>
      <c r="EU49" s="6" t="n"/>
      <c r="EV49" s="6" t="n"/>
      <c r="EW49" s="6" t="n"/>
      <c r="EX49" s="289" t="n"/>
      <c r="EY49" s="6" t="n"/>
      <c r="EZ49" s="6" t="n"/>
      <c r="FA49" s="57" t="n"/>
      <c r="FB49" s="6" t="n"/>
      <c r="FC49" s="6" t="n"/>
      <c r="FD49" s="6" t="n"/>
      <c r="FE49" s="6" t="n"/>
      <c r="FF49" s="6" t="n"/>
      <c r="FG49" s="6" t="n"/>
      <c r="FH49" s="53" t="n"/>
      <c r="FI49" s="6" t="n"/>
      <c r="FK49" s="6" t="n"/>
    </row>
    <row r="50" ht="21" customHeight="1">
      <c r="A50" s="669" t="inlineStr">
        <is>
          <t>SOBRAS DATAS COMEMORATIVAS</t>
        </is>
      </c>
      <c r="B50" s="658" t="n"/>
      <c r="C50" s="670" t="n"/>
      <c r="E50" s="53" t="n"/>
      <c r="F50" s="53" t="n"/>
      <c r="G50" s="53" t="n"/>
      <c r="H50" s="53" t="n"/>
      <c r="I50" s="53" t="n"/>
      <c r="J50" s="53" t="n"/>
      <c r="K50" s="53" t="n"/>
      <c r="L50" s="53" t="n"/>
      <c r="M50" s="53" t="n"/>
      <c r="N50" s="53" t="n"/>
      <c r="O50" s="53" t="n"/>
      <c r="P50" s="53" t="n"/>
      <c r="Q50" s="53" t="n"/>
      <c r="R50" s="53" t="n"/>
      <c r="S50" s="53" t="n"/>
      <c r="T50" s="53" t="n"/>
      <c r="U50" s="53" t="n"/>
      <c r="V50" s="53" t="n"/>
      <c r="W50" s="53" t="n"/>
      <c r="X50" s="53" t="n"/>
      <c r="Y50" s="53" t="n"/>
      <c r="Z50" s="53" t="n"/>
      <c r="AA50" s="53" t="n"/>
      <c r="AB50" s="53" t="n"/>
      <c r="AC50" s="53" t="n"/>
      <c r="AD50" s="53" t="n"/>
      <c r="AE50" s="53" t="n"/>
      <c r="AF50" s="53" t="n"/>
      <c r="AG50" s="53" t="n"/>
      <c r="AH50" s="53" t="n"/>
      <c r="AI50" s="53" t="n"/>
      <c r="AJ50" s="53" t="n"/>
      <c r="AK50" s="53" t="n"/>
      <c r="AL50" s="53" t="n"/>
      <c r="AM50" s="53" t="n"/>
      <c r="AN50" s="53" t="n"/>
      <c r="AO50" s="53" t="n"/>
      <c r="AP50" s="53" t="n"/>
      <c r="AQ50" s="53" t="n"/>
      <c r="AR50" s="53" t="n"/>
      <c r="AS50" s="53" t="n"/>
      <c r="AT50" s="53" t="n"/>
      <c r="AU50" s="53" t="n"/>
      <c r="AV50" s="53" t="n"/>
      <c r="AW50" s="53" t="n"/>
      <c r="AX50" s="53" t="n"/>
      <c r="AY50" s="53" t="n"/>
      <c r="AZ50" s="53" t="n"/>
      <c r="BA50" s="53" t="n"/>
      <c r="BB50" s="53" t="n"/>
      <c r="BC50" s="53" t="n"/>
      <c r="BD50" s="53" t="n"/>
      <c r="BE50" s="53" t="n"/>
      <c r="CB50" s="53" t="n"/>
      <c r="CC50" s="53" t="n"/>
      <c r="CH50" s="53" t="n"/>
      <c r="CI50" s="6" t="n"/>
      <c r="CJ50" s="6" t="n"/>
      <c r="CK50" s="6" t="n"/>
      <c r="CL50" s="6" t="n"/>
      <c r="CN50" s="6" t="n"/>
      <c r="CO50" s="6" t="n"/>
      <c r="CP50" s="6" t="n"/>
      <c r="CQ50" s="6" t="n"/>
      <c r="CR50" s="6" t="n"/>
      <c r="DB50" s="360" t="n"/>
      <c r="DG50" s="360" t="n"/>
      <c r="DO50" s="6" t="n"/>
      <c r="DP50" s="57" t="n"/>
      <c r="DQ50" s="6" t="n"/>
      <c r="DU50" s="57" t="n"/>
      <c r="DV50" s="6" t="n"/>
      <c r="DW50" s="53" t="n"/>
      <c r="DX50" s="57" t="n"/>
      <c r="DY50" s="57" t="n"/>
      <c r="DZ50" s="57" t="n"/>
      <c r="EA50" s="61" t="n"/>
      <c r="EB50" s="360" t="n"/>
      <c r="EC50" s="6" t="n"/>
      <c r="ED50" s="61" t="n"/>
      <c r="EE50" s="61" t="n"/>
      <c r="EF50" s="61" t="n"/>
      <c r="EG50" s="61" t="n"/>
      <c r="EH50" s="61" t="n"/>
      <c r="EI50" s="61" t="n"/>
      <c r="EJ50" s="61" t="n"/>
      <c r="EN50" s="61" t="n"/>
      <c r="EQ50" s="289" t="n"/>
      <c r="EX50" s="289" t="n"/>
      <c r="FA50" s="61" t="n"/>
      <c r="FH50" s="6" t="n"/>
    </row>
    <row r="51">
      <c r="A51" s="146" t="inlineStr">
        <is>
          <t>ITENS</t>
        </is>
      </c>
      <c r="B51" s="146" t="n"/>
      <c r="C51" s="146" t="inlineStr">
        <is>
          <t>ESTOQUE</t>
        </is>
      </c>
      <c r="E51" s="53" t="n"/>
      <c r="F51" s="53" t="n"/>
      <c r="G51" s="53" t="n"/>
      <c r="H51" s="53" t="n"/>
      <c r="I51" s="53" t="n"/>
      <c r="J51" s="53" t="n"/>
      <c r="K51" s="53" t="n"/>
      <c r="L51" s="53" t="n"/>
      <c r="M51" s="53" t="n"/>
      <c r="N51" s="53" t="n"/>
      <c r="O51" s="53" t="n"/>
      <c r="P51" s="53" t="n"/>
      <c r="Q51" s="53" t="n"/>
      <c r="R51" s="53" t="n"/>
      <c r="S51" s="53" t="n"/>
      <c r="T51" s="53" t="n"/>
      <c r="U51" s="53" t="n"/>
      <c r="V51" s="53" t="n"/>
      <c r="W51" s="53" t="n"/>
      <c r="X51" s="53" t="n"/>
      <c r="Y51" s="53" t="n"/>
      <c r="Z51" s="53" t="n"/>
      <c r="AA51" s="53" t="n"/>
      <c r="AB51" s="53" t="n"/>
      <c r="AC51" s="53" t="n"/>
      <c r="AD51" s="53" t="n"/>
      <c r="AE51" s="53" t="n"/>
      <c r="AF51" s="53" t="n"/>
      <c r="AG51" s="53" t="n"/>
      <c r="AH51" s="53" t="n"/>
      <c r="AI51" s="53" t="n"/>
      <c r="AJ51" s="53" t="n"/>
      <c r="AK51" s="53" t="n"/>
      <c r="AL51" s="53" t="n"/>
      <c r="AM51" s="53" t="n"/>
      <c r="AN51" s="53" t="n"/>
      <c r="AO51" s="53" t="n"/>
      <c r="AP51" s="53" t="n"/>
      <c r="AQ51" s="53" t="n"/>
      <c r="AR51" s="53" t="n"/>
      <c r="AS51" s="53" t="n"/>
      <c r="AT51" s="53" t="n"/>
      <c r="AU51" s="53" t="n"/>
      <c r="AV51" s="53" t="n"/>
      <c r="AW51" s="53" t="n"/>
      <c r="AX51" s="53" t="n"/>
      <c r="AY51" s="53" t="n"/>
      <c r="AZ51" s="53" t="n"/>
      <c r="BA51" s="53" t="n"/>
      <c r="BB51" s="53" t="n"/>
      <c r="BC51" s="53" t="n"/>
      <c r="BD51" s="53" t="n"/>
      <c r="BE51" s="53" t="n"/>
      <c r="BF51" s="53" t="n"/>
      <c r="BG51" s="53" t="n"/>
      <c r="BH51" s="53" t="n"/>
      <c r="BI51" s="53" t="n"/>
      <c r="BJ51" s="53" t="n"/>
      <c r="BK51" s="53" t="n"/>
      <c r="BL51" s="53" t="n"/>
      <c r="BM51" s="53" t="n"/>
      <c r="BN51" s="53" t="n"/>
      <c r="BO51" s="53" t="n"/>
      <c r="BP51" s="53" t="n"/>
      <c r="BQ51" s="53" t="n"/>
      <c r="BR51" s="53" t="n"/>
      <c r="BS51" s="53" t="n"/>
      <c r="BT51" s="53" t="n"/>
      <c r="BU51" s="53" t="n"/>
      <c r="BV51" s="53" t="n"/>
      <c r="BW51" s="53" t="n"/>
      <c r="BX51" s="53" t="n"/>
      <c r="BY51" s="53" t="n"/>
      <c r="BZ51" s="53" t="n"/>
      <c r="CA51" s="53" t="n"/>
      <c r="CB51" s="53" t="n"/>
      <c r="CC51" s="53" t="n"/>
      <c r="CH51" s="53" t="n"/>
      <c r="CI51" s="6" t="n"/>
      <c r="CJ51" s="6" t="n"/>
      <c r="CK51" s="6" t="n"/>
      <c r="CL51" s="6" t="n"/>
      <c r="CN51" s="6" t="n"/>
      <c r="CO51" s="6" t="n"/>
      <c r="CP51" s="6" t="n"/>
      <c r="CQ51" s="6" t="n"/>
      <c r="CR51" s="6" t="n"/>
      <c r="CS51" s="57" t="n"/>
      <c r="CT51" s="57" t="n"/>
      <c r="CU51" s="57" t="n"/>
      <c r="CV51" s="57" t="n"/>
      <c r="CW51" s="57" t="n"/>
      <c r="CX51" s="57" t="n"/>
      <c r="CY51" s="57" t="n"/>
      <c r="CZ51" s="57" t="n"/>
      <c r="DA51" s="57" t="n"/>
      <c r="DB51" s="53" t="n"/>
      <c r="DC51" s="57" t="n"/>
      <c r="DD51" s="57" t="n"/>
      <c r="DE51" s="57" t="n"/>
      <c r="DF51" s="57" t="n"/>
      <c r="DG51" s="53" t="n"/>
      <c r="DH51" s="57" t="n"/>
      <c r="DI51" s="57" t="n"/>
      <c r="DJ51" s="57" t="n"/>
      <c r="DK51" s="57" t="n"/>
      <c r="DL51" s="57" t="n"/>
      <c r="DM51" s="57" t="n"/>
      <c r="DN51" s="57" t="n"/>
      <c r="DO51" s="6" t="n"/>
      <c r="DP51" s="61" t="n"/>
      <c r="DQ51" s="6" t="n"/>
      <c r="DR51" s="57" t="n"/>
      <c r="DS51" s="57" t="n"/>
      <c r="DT51" s="57" t="n"/>
      <c r="DU51" s="61" t="n"/>
      <c r="DV51" s="360" t="n"/>
      <c r="DW51" s="6" t="n"/>
      <c r="DX51" s="61" t="n"/>
      <c r="DY51" s="61" t="n"/>
      <c r="DZ51" s="61" t="n"/>
      <c r="EA51" s="61" t="n"/>
      <c r="EB51" s="360" t="n"/>
      <c r="EC51" s="360" t="n"/>
      <c r="ED51" s="61" t="n"/>
      <c r="EE51" s="61" t="n"/>
      <c r="EF51" s="61" t="n"/>
      <c r="EG51" s="61" t="n"/>
      <c r="EH51" s="61" t="n"/>
      <c r="EI51" s="61" t="n"/>
      <c r="EJ51" s="61" t="n"/>
      <c r="EN51" s="61" t="n"/>
      <c r="EQ51" s="289" t="n"/>
      <c r="EX51" s="289" t="n"/>
      <c r="FA51" s="61" t="n"/>
      <c r="FH51" s="6" t="n"/>
    </row>
    <row r="52">
      <c r="A52" s="337" t="n"/>
      <c r="B52" s="336" t="n"/>
      <c r="C52" s="336" t="n"/>
      <c r="E52" s="53" t="n"/>
      <c r="F52" s="53" t="n"/>
      <c r="G52" s="53" t="n"/>
      <c r="H52" s="53" t="n"/>
      <c r="I52" s="53" t="n"/>
      <c r="J52" s="53" t="n"/>
      <c r="K52" s="53" t="n"/>
      <c r="L52" s="53" t="n"/>
      <c r="M52" s="53" t="n"/>
      <c r="N52" s="53" t="n"/>
      <c r="O52" s="53" t="n"/>
      <c r="P52" s="53" t="n"/>
      <c r="Q52" s="53" t="n"/>
      <c r="R52" s="53" t="n"/>
      <c r="S52" s="53" t="n"/>
      <c r="T52" s="53" t="n"/>
      <c r="U52" s="53" t="n"/>
      <c r="V52" s="53" t="n"/>
      <c r="W52" s="53" t="n"/>
      <c r="X52" s="53" t="n"/>
      <c r="Y52" s="53" t="n"/>
      <c r="Z52" s="53" t="n"/>
      <c r="AA52" s="53" t="n"/>
      <c r="AB52" s="53" t="n"/>
      <c r="AC52" s="53" t="n"/>
      <c r="AD52" s="53" t="n"/>
      <c r="AE52" s="53" t="n"/>
      <c r="AF52" s="53" t="n"/>
      <c r="AG52" s="53" t="n"/>
      <c r="AH52" s="53" t="n"/>
      <c r="AI52" s="53" t="n"/>
      <c r="AJ52" s="53" t="n"/>
      <c r="AK52" s="53" t="n"/>
      <c r="AL52" s="53" t="n"/>
      <c r="AM52" s="53" t="n"/>
      <c r="AN52" s="53" t="n"/>
      <c r="AO52" s="53" t="n"/>
      <c r="AP52" s="53" t="n"/>
      <c r="AQ52" s="53" t="n"/>
      <c r="AR52" s="53" t="n"/>
      <c r="AS52" s="53" t="n"/>
      <c r="AT52" s="53" t="n"/>
      <c r="AU52" s="53" t="n"/>
      <c r="AV52" s="53" t="n"/>
      <c r="AW52" s="53" t="n"/>
      <c r="AX52" s="53" t="n"/>
      <c r="AY52" s="53" t="n"/>
      <c r="AZ52" s="53" t="n"/>
      <c r="BA52" s="53" t="n"/>
      <c r="BB52" s="53" t="n"/>
      <c r="BC52" s="53" t="n"/>
      <c r="BD52" s="53" t="n"/>
      <c r="BE52" s="53" t="n"/>
      <c r="BF52" s="53" t="n"/>
      <c r="BG52" s="53" t="n"/>
      <c r="BH52" s="53" t="n"/>
      <c r="BI52" s="53" t="n"/>
      <c r="BJ52" s="53" t="n"/>
      <c r="BK52" s="53" t="n"/>
      <c r="BL52" s="53" t="n"/>
      <c r="BM52" s="53" t="n"/>
      <c r="BN52" s="53" t="n"/>
      <c r="BO52" s="53" t="n"/>
      <c r="BP52" s="53" t="n"/>
      <c r="BQ52" s="53" t="n"/>
      <c r="BR52" s="53" t="n"/>
      <c r="BS52" s="53" t="n"/>
      <c r="BT52" s="53" t="n"/>
      <c r="BU52" s="53" t="n"/>
      <c r="BV52" s="53" t="n"/>
      <c r="BW52" s="53" t="n"/>
      <c r="BX52" s="53" t="n"/>
      <c r="BY52" s="53" t="n"/>
      <c r="BZ52" s="53" t="n"/>
      <c r="CA52" s="53" t="n"/>
      <c r="CB52" s="53" t="n"/>
      <c r="CC52" s="53" t="n"/>
      <c r="CF52" s="53" t="n"/>
      <c r="CG52" s="53" t="n"/>
      <c r="CH52" s="53" t="n"/>
      <c r="CS52" s="61" t="n"/>
      <c r="CT52" s="61" t="n"/>
      <c r="CU52" s="61" t="n"/>
      <c r="CV52" s="61" t="n"/>
      <c r="CW52" s="61" t="n"/>
      <c r="CX52" s="61" t="n"/>
      <c r="CY52" s="61" t="n"/>
      <c r="CZ52" s="61" t="n"/>
      <c r="DA52" s="61" t="n"/>
      <c r="DB52" s="53" t="n"/>
      <c r="DC52" s="61" t="n"/>
      <c r="DD52" s="61" t="n"/>
      <c r="DE52" s="61" t="n"/>
      <c r="DF52" s="61" t="n"/>
      <c r="DG52" s="53" t="n"/>
      <c r="DH52" s="61" t="n"/>
      <c r="DI52" s="61" t="n"/>
      <c r="DJ52" s="61" t="n"/>
      <c r="DK52" s="61" t="n"/>
      <c r="DL52" s="61" t="n"/>
      <c r="DM52" s="61" t="n"/>
      <c r="DN52" s="61" t="n"/>
      <c r="DO52" s="360" t="n"/>
      <c r="DP52" s="61" t="n"/>
      <c r="DQ52" s="360" t="n"/>
      <c r="DR52" s="61" t="n"/>
      <c r="DS52" s="61" t="n"/>
      <c r="DT52" s="61" t="n"/>
      <c r="DU52" s="61" t="n"/>
      <c r="DV52" s="360" t="n"/>
      <c r="DW52" s="6" t="n"/>
      <c r="DX52" s="61" t="n"/>
      <c r="DY52" s="61" t="n"/>
      <c r="DZ52" s="61" t="n"/>
      <c r="EB52" s="53" t="n"/>
      <c r="EC52" s="360" t="n"/>
      <c r="EI52" s="314" t="n"/>
      <c r="EQ52" s="289" t="n"/>
      <c r="EX52" s="289" t="n"/>
      <c r="FH52" s="58" t="n"/>
      <c r="FL52" s="53" t="n"/>
      <c r="FX52" s="49" t="n"/>
      <c r="FY52" s="49" t="n"/>
      <c r="FZ52" s="49" t="n"/>
      <c r="GA52" s="49" t="n"/>
      <c r="GB52" s="49" t="n"/>
      <c r="GC52" s="49" t="n"/>
      <c r="GD52" s="49" t="n"/>
      <c r="GE52" s="49" t="n"/>
      <c r="GF52" s="49" t="n"/>
      <c r="GG52" s="49" t="n"/>
      <c r="GH52" s="49" t="n"/>
      <c r="GI52" s="49" t="n"/>
      <c r="GJ52" s="49" t="n"/>
      <c r="GK52" s="49" t="n"/>
      <c r="GL52" s="49" t="n"/>
      <c r="GM52" s="49" t="n"/>
      <c r="GN52" s="49" t="n"/>
      <c r="GO52" s="49" t="n"/>
      <c r="GP52" s="49" t="n"/>
      <c r="HB52" s="49" t="n"/>
      <c r="HC52" s="49" t="n"/>
      <c r="HD52" s="49" t="n"/>
      <c r="HE52" s="49" t="n"/>
      <c r="HF52" s="49" t="n"/>
      <c r="HG52" s="49" t="n"/>
      <c r="HH52" s="49" t="n"/>
      <c r="HI52" s="49" t="n"/>
      <c r="HJ52" s="49" t="n"/>
      <c r="HK52" s="49" t="n"/>
      <c r="HL52" s="49" t="n"/>
      <c r="HM52" s="49" t="n"/>
      <c r="HN52" s="49" t="n"/>
      <c r="HO52" s="49" t="n"/>
      <c r="HP52" s="49" t="n"/>
      <c r="HQ52" s="49" t="n"/>
      <c r="HR52" s="49" t="n"/>
      <c r="HS52" s="49" t="n"/>
      <c r="HT52" s="49" t="n"/>
      <c r="HU52" s="49" t="n"/>
      <c r="HV52" s="49" t="n"/>
      <c r="HW52" s="49" t="n"/>
      <c r="HX52" s="49" t="n"/>
      <c r="HY52" s="49" t="n"/>
      <c r="HZ52" s="49" t="n"/>
      <c r="IA52" s="49" t="n"/>
      <c r="IB52" s="49" t="n"/>
      <c r="IC52" s="49" t="n"/>
      <c r="ID52" s="49" t="n"/>
      <c r="IE52" s="49" t="n"/>
      <c r="IF52" s="49" t="n"/>
      <c r="IG52" s="49" t="n"/>
      <c r="IH52" s="49" t="n"/>
      <c r="II52" s="49" t="n"/>
      <c r="IJ52" s="53" t="n"/>
      <c r="IK52" s="49" t="n"/>
      <c r="IL52" s="49" t="n"/>
      <c r="IM52" s="49" t="n"/>
      <c r="IN52" s="49" t="n"/>
      <c r="IO52" s="49" t="n"/>
      <c r="IP52" s="49" t="n"/>
      <c r="IQ52" s="49" t="n"/>
      <c r="IR52" s="49" t="n"/>
      <c r="IS52" s="49" t="n"/>
      <c r="IT52" s="49" t="n"/>
      <c r="IU52" s="49" t="n"/>
      <c r="IV52" s="49" t="n"/>
      <c r="IW52" s="49" t="n"/>
      <c r="IX52" s="49" t="n"/>
      <c r="IY52" s="49" t="n"/>
      <c r="IZ52" s="49" t="n"/>
      <c r="JA52" s="49" t="n"/>
      <c r="JB52" s="49" t="n"/>
      <c r="JC52" s="49" t="n"/>
      <c r="JD52" s="49" t="n"/>
      <c r="JE52" s="49" t="n"/>
      <c r="JF52" s="49" t="n"/>
      <c r="JG52" s="49" t="n"/>
      <c r="JH52" s="49" t="n"/>
      <c r="JI52" s="49" t="n"/>
      <c r="JJ52" s="49" t="n"/>
      <c r="JK52" s="49" t="n"/>
      <c r="JL52" s="49" t="n"/>
      <c r="JM52" s="49" t="n"/>
      <c r="JN52" s="49" t="n"/>
      <c r="JO52" s="49" t="n"/>
      <c r="JP52" s="49" t="n"/>
      <c r="JQ52" s="49" t="n"/>
      <c r="JR52" s="49" t="n"/>
      <c r="JS52" s="49" t="n"/>
      <c r="JT52" s="49" t="n"/>
      <c r="JU52" s="49" t="n"/>
      <c r="JV52" s="57" t="n"/>
      <c r="JW52" s="49" t="n"/>
      <c r="JX52" s="57" t="n"/>
      <c r="JY52" s="49" t="n"/>
      <c r="JZ52" s="49" t="n"/>
      <c r="KA52" s="49" t="n"/>
      <c r="KB52" s="49" t="n"/>
      <c r="KC52" s="49" t="n"/>
      <c r="KD52" s="168" t="n"/>
      <c r="KE52" s="168" t="n"/>
      <c r="KF52" s="49" t="n"/>
      <c r="KG52" s="49" t="n"/>
      <c r="KH52" s="49" t="n"/>
      <c r="KI52" s="49" t="n"/>
      <c r="KJ52" s="49" t="n"/>
      <c r="KK52" s="49" t="n"/>
      <c r="KL52" s="49" t="n"/>
      <c r="KM52" s="49" t="n"/>
      <c r="KN52" s="49" t="n"/>
      <c r="KO52" s="49" t="n"/>
      <c r="KP52" s="49" t="n"/>
      <c r="KQ52" s="49" t="n"/>
      <c r="KR52" s="49" t="n"/>
      <c r="KS52" s="49" t="n"/>
      <c r="KT52" s="49" t="n"/>
      <c r="KU52" s="49" t="n"/>
      <c r="KV52" s="49" t="n"/>
      <c r="KW52" s="49" t="n"/>
      <c r="KX52" s="49" t="n"/>
      <c r="KY52" s="49" t="n"/>
      <c r="KZ52" s="49" t="n"/>
      <c r="LA52" s="49" t="n"/>
      <c r="LB52" s="49" t="n"/>
      <c r="LC52" s="49" t="n"/>
      <c r="LD52" s="49" t="n"/>
      <c r="LE52" s="49" t="n"/>
      <c r="LF52" s="49" t="n"/>
      <c r="LG52" s="49" t="n"/>
      <c r="LH52" s="49" t="n"/>
      <c r="LI52" s="49" t="n"/>
      <c r="LJ52" s="49" t="n"/>
      <c r="LK52" s="49" t="n"/>
      <c r="LL52" s="49" t="n"/>
      <c r="LM52" s="49" t="n"/>
      <c r="LN52" s="49" t="n"/>
      <c r="LO52" s="49" t="n"/>
      <c r="LP52" s="49" t="n"/>
      <c r="LQ52" s="49" t="n"/>
      <c r="LR52" s="49" t="n"/>
      <c r="LS52" s="49" t="n"/>
      <c r="LT52" s="49" t="n"/>
      <c r="LU52" s="49" t="n"/>
      <c r="LV52" s="49" t="n"/>
      <c r="LW52" s="49" t="n"/>
      <c r="LX52" s="49" t="n"/>
      <c r="LY52" s="49" t="n"/>
      <c r="LZ52" s="49" t="n"/>
      <c r="MA52" s="49" t="n"/>
      <c r="MB52" s="49" t="n"/>
      <c r="MC52" s="49" t="n"/>
      <c r="MD52" s="49" t="n"/>
      <c r="ME52" s="49" t="n"/>
      <c r="MF52" s="49" t="n"/>
      <c r="MG52" s="49" t="n"/>
    </row>
    <row r="53">
      <c r="A53" s="176" t="inlineStr">
        <is>
          <t>TAG NAMORADOS/23</t>
        </is>
      </c>
      <c r="B53" s="170" t="n"/>
      <c r="C53" s="171" t="n">
        <v>82</v>
      </c>
      <c r="E53" s="53" t="n"/>
      <c r="F53" s="53" t="n"/>
      <c r="G53" s="53" t="n"/>
      <c r="H53" s="53" t="n"/>
      <c r="I53" s="53" t="n"/>
      <c r="J53" s="53" t="n"/>
      <c r="K53" s="53" t="n"/>
      <c r="L53" s="53" t="n"/>
      <c r="M53" s="53" t="n"/>
      <c r="N53" s="53" t="n"/>
      <c r="O53" s="53" t="n"/>
      <c r="P53" s="53" t="n"/>
      <c r="Q53" s="53" t="n"/>
      <c r="R53" s="53" t="n"/>
      <c r="S53" s="53" t="n"/>
      <c r="T53" s="53" t="n"/>
      <c r="U53" s="53" t="n"/>
      <c r="V53" s="53" t="n"/>
      <c r="W53" s="53" t="n"/>
      <c r="X53" s="53" t="n"/>
      <c r="Y53" s="53" t="n"/>
      <c r="Z53" s="53" t="n"/>
      <c r="AA53" s="53" t="n"/>
      <c r="AB53" s="53" t="n"/>
      <c r="AC53" s="53" t="n"/>
      <c r="AD53" s="53" t="n"/>
      <c r="AE53" s="53" t="n"/>
      <c r="AF53" s="53" t="n"/>
      <c r="AG53" s="53" t="n"/>
      <c r="AH53" s="53" t="n"/>
      <c r="AI53" s="53" t="n"/>
      <c r="AJ53" s="53" t="n"/>
      <c r="AK53" s="53" t="n"/>
      <c r="AL53" s="53" t="n"/>
      <c r="AM53" s="53" t="n"/>
      <c r="AN53" s="53" t="n"/>
      <c r="AO53" s="53" t="n"/>
      <c r="AP53" s="53" t="n"/>
      <c r="AQ53" s="53" t="n"/>
      <c r="AR53" s="53" t="n"/>
      <c r="AS53" s="53" t="n"/>
      <c r="AT53" s="53" t="n"/>
      <c r="AU53" s="53" t="n"/>
      <c r="AV53" s="53" t="n"/>
      <c r="AW53" s="53" t="n"/>
      <c r="AX53" s="53" t="n"/>
      <c r="AY53" s="53" t="n"/>
      <c r="AZ53" s="53" t="n"/>
      <c r="BA53" s="53" t="n"/>
      <c r="BB53" s="53" t="n"/>
      <c r="BC53" s="53" t="n"/>
      <c r="BD53" s="53" t="n"/>
      <c r="BE53" s="53" t="n"/>
      <c r="BF53" s="53" t="n"/>
      <c r="BG53" s="53" t="n"/>
      <c r="BH53" s="53" t="n"/>
      <c r="BI53" s="53" t="n"/>
      <c r="BJ53" s="53" t="n"/>
      <c r="BK53" s="53" t="n"/>
      <c r="BL53" s="53" t="n"/>
      <c r="BM53" s="53" t="n"/>
      <c r="BN53" s="53" t="n"/>
      <c r="BO53" s="53" t="n"/>
      <c r="BP53" s="53" t="n"/>
      <c r="BQ53" s="53" t="n"/>
      <c r="BR53" s="53" t="n"/>
      <c r="BS53" s="53" t="n"/>
      <c r="BT53" s="53" t="n"/>
      <c r="BU53" s="53" t="n"/>
      <c r="BV53" s="53" t="n"/>
      <c r="BW53" s="53" t="n"/>
      <c r="BX53" s="53" t="n"/>
      <c r="BY53" s="53" t="n"/>
      <c r="BZ53" s="53" t="n"/>
      <c r="CA53" s="53" t="n"/>
      <c r="CB53" s="53" t="n"/>
      <c r="CC53" s="53" t="n"/>
      <c r="CF53" s="53" t="n"/>
      <c r="CG53" s="53" t="n"/>
      <c r="CH53" s="53" t="n"/>
      <c r="CI53" s="6" t="n"/>
      <c r="CJ53" s="6" t="n"/>
      <c r="CK53" s="6" t="n"/>
      <c r="CL53" s="6" t="n"/>
      <c r="CN53" s="6" t="n"/>
      <c r="CO53" s="6" t="n"/>
      <c r="CP53" s="6" t="n"/>
      <c r="CQ53" s="6" t="n"/>
      <c r="CR53" s="6" t="n"/>
      <c r="CS53" s="61" t="n"/>
      <c r="CT53" s="61" t="n"/>
      <c r="CU53" s="61" t="n"/>
      <c r="CV53" s="61" t="n"/>
      <c r="CW53" s="61" t="n"/>
      <c r="CX53" s="61" t="n"/>
      <c r="CY53" s="61" t="n"/>
      <c r="CZ53" s="61" t="n"/>
      <c r="DA53" s="61" t="n"/>
      <c r="DB53" s="53" t="n"/>
      <c r="DC53" s="61" t="n"/>
      <c r="DD53" s="61" t="n"/>
      <c r="DE53" s="61" t="n"/>
      <c r="DF53" s="61" t="n"/>
      <c r="DG53" s="53" t="n"/>
      <c r="DH53" s="61" t="n"/>
      <c r="DI53" s="61" t="n"/>
      <c r="DJ53" s="61" t="n"/>
      <c r="DK53" s="61" t="n"/>
      <c r="DL53" s="61" t="n"/>
      <c r="DM53" s="61" t="n"/>
      <c r="DN53" s="61" t="n"/>
      <c r="DO53" s="360" t="n"/>
      <c r="DQ53" s="360" t="n"/>
      <c r="DR53" s="61" t="n"/>
      <c r="DS53" s="61" t="n"/>
      <c r="DT53" s="61" t="n"/>
      <c r="DV53" s="53" t="n"/>
      <c r="DW53" s="58" t="n"/>
      <c r="EB53" s="53" t="n"/>
      <c r="EC53" s="53" t="n"/>
      <c r="EI53" s="314" t="n"/>
      <c r="EQ53" s="289" t="n"/>
      <c r="EX53" s="289" t="n"/>
      <c r="FH53" s="58" t="n"/>
      <c r="FL53" s="53" t="n"/>
      <c r="FX53" s="49" t="n"/>
      <c r="FY53" s="49" t="n"/>
      <c r="FZ53" s="49" t="n"/>
      <c r="GA53" s="49" t="n"/>
      <c r="GB53" s="49" t="n"/>
      <c r="GC53" s="49" t="n"/>
      <c r="GD53" s="49" t="n"/>
      <c r="GE53" s="49" t="n"/>
      <c r="GF53" s="49" t="n"/>
      <c r="GG53" s="49" t="n"/>
      <c r="GH53" s="49" t="n"/>
      <c r="GI53" s="49" t="n"/>
      <c r="GJ53" s="49" t="n"/>
      <c r="GK53" s="49" t="n"/>
      <c r="GL53" s="49" t="n"/>
      <c r="GM53" s="49" t="n"/>
      <c r="GN53" s="49" t="n"/>
      <c r="GO53" s="49" t="n"/>
      <c r="GP53" s="49" t="n"/>
      <c r="HB53" s="49" t="n"/>
      <c r="HC53" s="49" t="n"/>
      <c r="HD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J53" s="53" t="n"/>
      <c r="IK53" s="49" t="n"/>
      <c r="IL53" s="49" t="n"/>
      <c r="IM53" s="49" t="n"/>
      <c r="IN53" s="49" t="n"/>
      <c r="IO53" s="49" t="n"/>
      <c r="IP53" s="49" t="n"/>
      <c r="IQ53" s="49" t="n"/>
      <c r="IR53" s="49" t="n"/>
      <c r="IS53" s="49" t="n"/>
      <c r="IT53" s="49" t="n"/>
      <c r="IU53" s="49" t="n"/>
      <c r="IV53" s="49" t="n"/>
      <c r="IW53" s="49" t="n"/>
      <c r="IX53" s="49" t="n"/>
      <c r="IY53" s="49" t="n"/>
      <c r="IZ53" s="49" t="n"/>
      <c r="JA53" s="49" t="n"/>
      <c r="JB53" s="49" t="n"/>
      <c r="JC53" s="49" t="n"/>
      <c r="JD53" s="49" t="n"/>
      <c r="JE53" s="49" t="n"/>
      <c r="JF53" s="49" t="n"/>
      <c r="JG53" s="49" t="n"/>
      <c r="JH53" s="49" t="n"/>
      <c r="JI53" s="49" t="n"/>
      <c r="JJ53" s="49" t="n"/>
      <c r="JK53" s="49" t="n"/>
      <c r="JL53" s="49" t="n"/>
      <c r="JM53" s="49" t="n"/>
      <c r="JN53" s="49" t="n"/>
      <c r="JO53" s="49" t="n"/>
      <c r="JP53" s="49" t="n"/>
      <c r="JQ53" s="49" t="n"/>
      <c r="JR53" s="49" t="n"/>
      <c r="JS53" s="49" t="n"/>
      <c r="JT53" s="49" t="n"/>
      <c r="JU53" s="49" t="n"/>
      <c r="JV53" s="57" t="n"/>
      <c r="JW53" s="49" t="n"/>
      <c r="JX53" s="57" t="n"/>
      <c r="JY53" s="49" t="n"/>
      <c r="JZ53" s="49" t="n"/>
      <c r="KA53" s="49" t="n"/>
      <c r="KB53" s="49" t="n"/>
      <c r="KC53" s="49" t="n"/>
      <c r="KD53" s="168" t="n"/>
      <c r="KE53" s="168" t="n"/>
      <c r="KF53" s="49" t="n"/>
      <c r="KG53" s="49" t="n"/>
      <c r="KH53" s="49" t="n"/>
      <c r="KI53" s="49" t="n"/>
      <c r="KJ53" s="49" t="n"/>
      <c r="KK53" s="49" t="n"/>
      <c r="KL53" s="49" t="n"/>
      <c r="KM53" s="49" t="n"/>
      <c r="KN53" s="49" t="n"/>
      <c r="KO53" s="49" t="n"/>
      <c r="KP53" s="49" t="n"/>
      <c r="KQ53" s="49" t="n"/>
      <c r="KR53" s="49" t="n"/>
      <c r="KS53" s="49" t="n"/>
      <c r="KT53" s="49" t="n"/>
      <c r="KU53" s="49" t="n"/>
      <c r="KV53" s="49" t="n"/>
      <c r="KW53" s="49" t="n"/>
      <c r="KX53" s="49" t="n"/>
      <c r="KY53" s="49" t="n"/>
      <c r="KZ53" s="49" t="n"/>
      <c r="LA53" s="49" t="n"/>
      <c r="LB53" s="49" t="n"/>
      <c r="LC53" s="49" t="n"/>
      <c r="LD53" s="49" t="n"/>
      <c r="LE53" s="49" t="n"/>
      <c r="LF53" s="49" t="n"/>
      <c r="LG53" s="49" t="n"/>
      <c r="LH53" s="49" t="n"/>
      <c r="LI53" s="49" t="n"/>
      <c r="LJ53" s="49" t="n"/>
      <c r="LK53" s="49" t="n"/>
      <c r="LL53" s="49" t="n"/>
      <c r="LM53" s="49" t="n"/>
      <c r="LN53" s="49" t="n"/>
      <c r="LO53" s="49" t="n"/>
      <c r="LP53" s="49" t="n"/>
      <c r="LQ53" s="49" t="n"/>
      <c r="LR53" s="49" t="n"/>
      <c r="LS53" s="49" t="n"/>
      <c r="LT53" s="49" t="n"/>
      <c r="LU53" s="49" t="n"/>
      <c r="LV53" s="49" t="n"/>
      <c r="LW53" s="49" t="n"/>
      <c r="LX53" s="49" t="n"/>
      <c r="LY53" s="49" t="n"/>
      <c r="LZ53" s="49" t="n"/>
      <c r="MA53" s="49" t="n"/>
      <c r="MB53" s="49" t="n"/>
      <c r="MC53" s="49" t="n"/>
      <c r="MD53" s="49" t="n"/>
      <c r="ME53" s="49" t="n"/>
      <c r="MF53" s="49" t="n"/>
      <c r="MG53" s="49" t="n"/>
    </row>
    <row r="54">
      <c r="A54" s="337" t="n"/>
      <c r="B54" s="336" t="n"/>
      <c r="C54" s="336" t="n"/>
      <c r="E54" s="53" t="n"/>
      <c r="F54" s="53" t="n"/>
      <c r="G54" s="53" t="n"/>
      <c r="H54" s="53" t="n"/>
      <c r="I54" s="53" t="n"/>
      <c r="J54" s="53" t="n"/>
      <c r="K54" s="53" t="n"/>
      <c r="L54" s="53" t="n"/>
      <c r="M54" s="53" t="n"/>
      <c r="N54" s="53" t="n"/>
      <c r="O54" s="53" t="n"/>
      <c r="P54" s="53" t="n"/>
      <c r="Q54" s="53" t="n"/>
      <c r="R54" s="53" t="n"/>
      <c r="S54" s="53" t="n"/>
      <c r="T54" s="53" t="n"/>
      <c r="U54" s="53" t="n"/>
      <c r="V54" s="53" t="n"/>
      <c r="W54" s="53" t="n"/>
      <c r="X54" s="53" t="n"/>
      <c r="Y54" s="53" t="n"/>
      <c r="Z54" s="53" t="n"/>
      <c r="AA54" s="53" t="n"/>
      <c r="AB54" s="53" t="n"/>
      <c r="AC54" s="53" t="n"/>
      <c r="AD54" s="53" t="n"/>
      <c r="AE54" s="53" t="n"/>
      <c r="AF54" s="53" t="n"/>
      <c r="AG54" s="53" t="n"/>
      <c r="AH54" s="53" t="n"/>
      <c r="AI54" s="53" t="n"/>
      <c r="AJ54" s="53" t="n"/>
      <c r="AK54" s="53" t="n"/>
      <c r="AL54" s="53" t="n"/>
      <c r="AM54" s="53" t="n"/>
      <c r="AN54" s="53" t="n"/>
      <c r="AO54" s="53" t="n"/>
      <c r="AP54" s="53" t="n"/>
      <c r="AQ54" s="53" t="n"/>
      <c r="AR54" s="53" t="n"/>
      <c r="AS54" s="53" t="n"/>
      <c r="AT54" s="53" t="n"/>
      <c r="AU54" s="53" t="n"/>
      <c r="AV54" s="53" t="n"/>
      <c r="AW54" s="53" t="n"/>
      <c r="AX54" s="53" t="n"/>
      <c r="AY54" s="53" t="n"/>
      <c r="AZ54" s="53" t="n"/>
      <c r="BA54" s="53" t="n"/>
      <c r="BB54" s="53" t="n"/>
      <c r="BC54" s="53" t="n"/>
      <c r="BD54" s="53" t="n"/>
      <c r="BE54" s="53" t="n"/>
      <c r="BF54" s="53" t="n"/>
      <c r="BG54" s="53" t="n"/>
      <c r="BH54" s="53" t="n"/>
      <c r="BI54" s="53" t="n"/>
      <c r="BJ54" s="53" t="n"/>
      <c r="BK54" s="53" t="n"/>
      <c r="BL54" s="53" t="n"/>
      <c r="BM54" s="53" t="n"/>
      <c r="BN54" s="53" t="n"/>
      <c r="BO54" s="53" t="n"/>
      <c r="BP54" s="53" t="n"/>
      <c r="BQ54" s="53" t="n"/>
      <c r="BR54" s="53" t="n"/>
      <c r="BS54" s="53" t="n"/>
      <c r="BT54" s="53" t="n"/>
      <c r="BU54" s="53" t="n"/>
      <c r="BV54" s="53" t="n"/>
      <c r="BW54" s="53" t="n"/>
      <c r="BX54" s="53" t="n"/>
      <c r="BY54" s="53" t="n"/>
      <c r="BZ54" s="53" t="n"/>
      <c r="CA54" s="53" t="n"/>
      <c r="CB54" s="53" t="n"/>
      <c r="CC54" s="53" t="n"/>
      <c r="CF54" s="53" t="n"/>
      <c r="CG54" s="53" t="n"/>
      <c r="CH54" s="53" t="n"/>
      <c r="DB54" s="53" t="n"/>
      <c r="DG54" s="53" t="n"/>
      <c r="DO54" s="53" t="n"/>
      <c r="DQ54" s="53" t="n"/>
      <c r="DV54" s="53" t="n"/>
      <c r="DW54" s="58" t="n"/>
      <c r="EB54" s="53" t="n"/>
      <c r="EC54" s="53" t="n"/>
      <c r="EI54" s="314" t="n"/>
      <c r="EK54" s="57" t="n"/>
      <c r="EM54" s="57" t="n"/>
      <c r="EO54" s="57" t="n"/>
      <c r="EP54" s="57" t="n"/>
      <c r="EQ54" s="289" t="n"/>
      <c r="EX54" s="289" t="n"/>
      <c r="FL54" s="53" t="n"/>
      <c r="FX54" s="49" t="n"/>
      <c r="FY54" s="49" t="n"/>
      <c r="FZ54" s="49" t="n"/>
      <c r="GA54" s="49" t="n"/>
      <c r="GB54" s="49" t="n"/>
      <c r="GC54" s="49" t="n"/>
      <c r="GD54" s="49" t="n"/>
      <c r="GE54" s="49" t="n"/>
      <c r="GF54" s="49" t="n"/>
      <c r="GG54" s="49" t="n"/>
      <c r="GH54" s="49" t="n"/>
      <c r="GI54" s="49" t="n"/>
      <c r="GJ54" s="49" t="n"/>
      <c r="GK54" s="49" t="n"/>
      <c r="GL54" s="49" t="n"/>
      <c r="GM54" s="49" t="n"/>
      <c r="GN54" s="49" t="n"/>
      <c r="GO54" s="49" t="n"/>
      <c r="GP54" s="49" t="n"/>
      <c r="GQ54" s="49" t="n"/>
      <c r="GR54" s="49" t="n"/>
      <c r="HD54" s="49" t="n"/>
      <c r="HE54" s="49" t="n"/>
      <c r="HF54" s="49" t="n"/>
      <c r="HG54" s="49" t="n"/>
      <c r="HH54" s="49" t="n"/>
      <c r="HI54" s="49" t="n"/>
      <c r="HJ54" s="49" t="n"/>
      <c r="HK54" s="49" t="n"/>
      <c r="HL54" s="49" t="n"/>
      <c r="HM54" s="49" t="n"/>
      <c r="HN54" s="49" t="n"/>
      <c r="HO54" s="49" t="n"/>
      <c r="HR54" s="49" t="n"/>
      <c r="HS54" s="49" t="n"/>
      <c r="HT54" s="49" t="n"/>
      <c r="HU54" s="49" t="n"/>
      <c r="HV54" s="49" t="n"/>
      <c r="HW54" s="49" t="n"/>
      <c r="HX54" s="49" t="n"/>
      <c r="HY54" s="49" t="n"/>
      <c r="HZ54" s="49" t="n"/>
      <c r="IA54" s="49" t="n"/>
      <c r="IB54" s="49" t="n"/>
      <c r="IC54" s="49" t="n"/>
      <c r="ID54" s="49" t="n"/>
      <c r="IE54" s="49" t="n"/>
      <c r="IF54" s="49" t="n"/>
      <c r="IJ54" s="49" t="n"/>
      <c r="IK54" s="49" t="n"/>
      <c r="IL54" s="49" t="n"/>
      <c r="IM54" s="53" t="n"/>
      <c r="IN54" s="49" t="n"/>
      <c r="IO54" s="49" t="n"/>
      <c r="IP54" s="49" t="n"/>
      <c r="IQ54" s="49" t="n"/>
      <c r="IR54" s="49" t="n"/>
      <c r="IS54" s="49" t="n"/>
      <c r="IT54" s="49" t="n"/>
      <c r="IU54" s="49" t="n"/>
      <c r="IV54" s="49" t="n"/>
      <c r="IW54" s="49" t="n"/>
      <c r="IX54" s="49" t="n"/>
      <c r="IY54" s="49" t="n"/>
      <c r="IZ54" s="49" t="n"/>
      <c r="JA54" s="49" t="n"/>
      <c r="JB54" s="49" t="n"/>
      <c r="JC54" s="49" t="n"/>
      <c r="JD54" s="49" t="n"/>
      <c r="JE54" s="49" t="n"/>
      <c r="JF54" s="49" t="n"/>
      <c r="JG54" s="49" t="n"/>
      <c r="JH54" s="49" t="n"/>
      <c r="JI54" s="49" t="n"/>
      <c r="JJ54" s="49" t="n"/>
      <c r="JK54" s="49" t="n"/>
      <c r="JL54" s="49" t="n"/>
      <c r="JM54" s="49" t="n"/>
      <c r="JN54" s="49" t="n"/>
      <c r="JO54" s="49" t="n"/>
      <c r="JP54" s="49" t="n"/>
      <c r="JQ54" s="49" t="n"/>
      <c r="JR54" s="49" t="n"/>
      <c r="JS54" s="49" t="n"/>
      <c r="JT54" s="49" t="n"/>
      <c r="JU54" s="49" t="n"/>
      <c r="JV54" s="167" t="n"/>
      <c r="JW54" s="49" t="n"/>
      <c r="JX54" s="167" t="n"/>
      <c r="JY54" s="49" t="n"/>
      <c r="JZ54" s="49" t="n"/>
      <c r="KA54" s="49" t="n"/>
      <c r="KB54" s="49" t="n"/>
      <c r="KC54" s="49" t="n"/>
      <c r="KD54" s="49" t="n"/>
      <c r="KE54" s="49" t="n"/>
      <c r="KF54" s="49" t="n"/>
      <c r="KG54" s="49" t="n"/>
      <c r="KH54" s="49" t="n"/>
      <c r="KI54" s="168" t="n"/>
      <c r="KJ54" s="49" t="n"/>
      <c r="KK54" s="49" t="n"/>
      <c r="KL54" s="49" t="n"/>
      <c r="KM54" s="49" t="n"/>
      <c r="KN54" s="49" t="n"/>
      <c r="KO54" s="49" t="n"/>
      <c r="KP54" s="49" t="n"/>
      <c r="KQ54" s="49" t="n"/>
      <c r="KR54" s="49" t="n"/>
      <c r="KS54" s="49" t="n"/>
      <c r="KT54" s="49" t="n"/>
      <c r="KU54" s="49" t="n"/>
      <c r="KV54" s="49" t="n"/>
      <c r="KW54" s="49" t="n"/>
      <c r="KX54" s="49" t="n"/>
      <c r="KY54" s="49" t="n"/>
      <c r="KZ54" s="49" t="n"/>
      <c r="LA54" s="49" t="n"/>
      <c r="LB54" s="49" t="n"/>
      <c r="LC54" s="49" t="n"/>
      <c r="LD54" s="49" t="n"/>
      <c r="LE54" s="49" t="n"/>
      <c r="LF54" s="49" t="n"/>
      <c r="LG54" s="49" t="n"/>
      <c r="LH54" s="49" t="n"/>
      <c r="LI54" s="49" t="n"/>
      <c r="LJ54" s="49" t="n"/>
      <c r="LK54" s="49" t="n"/>
      <c r="LL54" s="49" t="n"/>
      <c r="LM54" s="49" t="n"/>
      <c r="LN54" s="49" t="n"/>
      <c r="LO54" s="49" t="n"/>
      <c r="LP54" s="49" t="n"/>
      <c r="LQ54" s="49" t="n"/>
      <c r="LR54" s="49" t="n"/>
      <c r="LS54" s="49" t="n"/>
      <c r="LT54" s="49" t="n"/>
      <c r="LU54" s="49" t="n"/>
      <c r="LV54" s="49" t="n"/>
      <c r="LW54" s="49" t="n"/>
      <c r="LX54" s="49" t="n"/>
      <c r="LY54" s="49" t="n"/>
    </row>
    <row r="55">
      <c r="A55" s="176" t="inlineStr">
        <is>
          <t>TAG INFANTIL</t>
        </is>
      </c>
      <c r="B55" s="170" t="n"/>
      <c r="C55" s="171" t="n">
        <v>19</v>
      </c>
      <c r="BF55" s="53" t="n"/>
      <c r="BG55" s="53" t="n"/>
      <c r="BH55" s="53" t="n"/>
      <c r="BI55" s="53" t="n"/>
      <c r="BJ55" s="53" t="n"/>
      <c r="BK55" s="53" t="n"/>
      <c r="BL55" s="53" t="n"/>
      <c r="BM55" s="53" t="n"/>
      <c r="BN55" s="53" t="n"/>
      <c r="BO55" s="53" t="n"/>
      <c r="BP55" s="53" t="n"/>
      <c r="BQ55" s="53" t="n"/>
      <c r="BR55" s="53" t="n"/>
      <c r="BS55" s="53" t="n"/>
      <c r="BT55" s="53" t="n"/>
      <c r="BU55" s="53" t="n"/>
      <c r="BV55" s="53" t="n"/>
      <c r="BW55" s="53" t="n"/>
      <c r="BX55" s="53" t="n"/>
      <c r="BY55" s="53" t="n"/>
      <c r="BZ55" s="53" t="n"/>
      <c r="CA55" s="53" t="n"/>
      <c r="CF55" s="6" t="n"/>
      <c r="CG55" s="6" t="n"/>
      <c r="DB55" s="53" t="n"/>
      <c r="DG55" s="53" t="n"/>
      <c r="DO55" s="53" t="n"/>
      <c r="DQ55" s="53" t="n"/>
      <c r="DV55" s="53" t="n"/>
      <c r="EB55" s="53" t="n"/>
      <c r="EC55" s="53" t="n"/>
      <c r="EI55" s="314" t="n"/>
      <c r="EK55" s="61" t="n"/>
      <c r="EL55" s="57" t="n"/>
      <c r="EM55" s="61" t="n"/>
      <c r="EO55" s="61" t="n"/>
      <c r="EP55" s="61" t="n"/>
      <c r="EQ55" s="289" t="n"/>
      <c r="ER55" s="57" t="n"/>
      <c r="ES55" s="57" t="n"/>
      <c r="ET55" s="57" t="n"/>
      <c r="EU55" s="57" t="n"/>
      <c r="EV55" s="57" t="n"/>
      <c r="EW55" s="57" t="n"/>
      <c r="EX55" s="289" t="n"/>
      <c r="EY55" s="57" t="n"/>
      <c r="EZ55" s="57" t="n"/>
      <c r="FB55" s="57" t="n"/>
      <c r="FC55" s="57" t="n"/>
      <c r="FD55" s="57" t="n"/>
      <c r="FE55" s="57" t="n"/>
      <c r="FF55" s="57" t="n"/>
      <c r="FG55" s="57" t="n"/>
      <c r="FI55" s="57" t="n"/>
      <c r="FJ55" s="57" t="n"/>
      <c r="FK55" s="57" t="n"/>
      <c r="FX55" s="49" t="n"/>
      <c r="FY55" s="49" t="n"/>
      <c r="FZ55" s="49" t="n"/>
      <c r="GA55" s="49" t="n"/>
      <c r="GB55" s="49" t="n"/>
      <c r="GC55" s="49" t="n"/>
      <c r="GD55" s="49" t="n"/>
      <c r="GE55" s="49" t="n"/>
      <c r="GF55" s="49" t="n"/>
      <c r="GG55" s="49" t="n"/>
      <c r="GH55" s="49" t="n"/>
      <c r="GI55" s="49" t="n"/>
      <c r="GJ55" s="49" t="n"/>
      <c r="GK55" s="49" t="n"/>
      <c r="GL55" s="49" t="n"/>
      <c r="GM55" s="49" t="n"/>
      <c r="GN55" s="49" t="n"/>
      <c r="GO55" s="49" t="n"/>
      <c r="GP55" s="49" t="n"/>
      <c r="GQ55" s="49" t="n"/>
      <c r="GR55" s="49" t="n"/>
      <c r="HD55" s="49" t="n"/>
      <c r="HE55" s="49" t="n"/>
      <c r="HF55" s="49" t="n"/>
      <c r="HG55" s="49" t="n"/>
      <c r="HH55" s="49" t="n"/>
      <c r="HI55" s="49" t="n"/>
      <c r="HJ55" s="49" t="n"/>
      <c r="HK55" s="49" t="n"/>
      <c r="HL55" s="49" t="n"/>
      <c r="HM55" s="49" t="n"/>
      <c r="HN55" s="49" t="n"/>
      <c r="HO55" s="49" t="n"/>
      <c r="HR55" s="49" t="n"/>
      <c r="HS55" s="49" t="n"/>
      <c r="HT55" s="49" t="n"/>
      <c r="HU55" s="49" t="n"/>
      <c r="HV55" s="49" t="n"/>
      <c r="HW55" s="49" t="n"/>
      <c r="HX55" s="49" t="n"/>
      <c r="HY55" s="49" t="n"/>
      <c r="HZ55" s="49" t="n"/>
      <c r="IA55" s="49" t="n"/>
      <c r="IB55" s="49" t="n"/>
      <c r="IC55" s="49" t="n"/>
      <c r="ID55" s="49" t="n"/>
      <c r="IE55" s="49" t="n"/>
      <c r="IF55" s="49" t="n"/>
      <c r="IJ55" s="49" t="n"/>
      <c r="IK55" s="49" t="n"/>
      <c r="IL55" s="49" t="n"/>
      <c r="IN55" s="49" t="n"/>
      <c r="IO55" s="49" t="n"/>
      <c r="IP55" s="49" t="n"/>
      <c r="IQ55" s="49" t="n"/>
      <c r="IR55" s="49" t="n"/>
      <c r="IS55" s="49" t="n"/>
      <c r="IT55" s="49" t="n"/>
      <c r="IU55" s="49" t="n"/>
      <c r="IV55" s="49" t="n"/>
      <c r="IW55" s="49" t="n"/>
      <c r="IX55" s="49" t="n"/>
      <c r="IY55" s="49" t="n"/>
      <c r="IZ55" s="49" t="n"/>
      <c r="JA55" s="49" t="n"/>
      <c r="JB55" s="49" t="n"/>
      <c r="JC55" s="49" t="n"/>
      <c r="JD55" s="49" t="n"/>
      <c r="JE55" s="49" t="n"/>
      <c r="JF55" s="49" t="n"/>
      <c r="JG55" s="49" t="n"/>
      <c r="JH55" s="49" t="n"/>
      <c r="JI55" s="49" t="n"/>
      <c r="JJ55" s="49" t="n"/>
      <c r="JK55" s="49" t="n"/>
      <c r="JL55" s="49" t="n"/>
      <c r="JM55" s="49" t="n"/>
      <c r="JN55" s="49" t="n"/>
      <c r="JO55" s="49" t="n"/>
      <c r="JP55" s="49" t="n"/>
      <c r="JQ55" s="49" t="n"/>
      <c r="JR55" s="49" t="n"/>
      <c r="JS55" s="49" t="n"/>
      <c r="JT55" s="49" t="n"/>
      <c r="JU55" s="49" t="n"/>
      <c r="JV55" s="167" t="n"/>
      <c r="JW55" s="49" t="n"/>
      <c r="JX55" s="167" t="n"/>
      <c r="JY55" s="49" t="n"/>
      <c r="JZ55" s="49" t="n"/>
      <c r="KA55" s="49" t="n"/>
      <c r="KB55" s="49" t="n"/>
      <c r="KC55" s="49" t="n"/>
      <c r="KD55" s="49" t="n"/>
      <c r="KE55" s="49" t="n"/>
      <c r="KF55" s="49" t="n"/>
      <c r="KG55" s="49" t="n"/>
      <c r="KH55" s="49" t="n"/>
      <c r="KI55" s="168" t="n"/>
      <c r="KJ55" s="49" t="n"/>
      <c r="KK55" s="49" t="n"/>
      <c r="KL55" s="49" t="n"/>
      <c r="KM55" s="49" t="n"/>
      <c r="KN55" s="49" t="n"/>
      <c r="KO55" s="49" t="n"/>
      <c r="KP55" s="49" t="n"/>
      <c r="KQ55" s="49" t="n"/>
      <c r="KR55" s="49" t="n"/>
      <c r="KS55" s="49" t="n"/>
      <c r="KT55" s="49" t="n"/>
      <c r="KU55" s="49" t="n"/>
      <c r="KV55" s="49" t="n"/>
      <c r="KW55" s="49" t="n"/>
      <c r="KX55" s="49" t="n"/>
      <c r="KY55" s="49" t="n"/>
      <c r="KZ55" s="49" t="n"/>
      <c r="LA55" s="49" t="n"/>
      <c r="LB55" s="49" t="n"/>
      <c r="LC55" s="49" t="n"/>
      <c r="LD55" s="49" t="n"/>
      <c r="LE55" s="49" t="n"/>
      <c r="LF55" s="49" t="n"/>
      <c r="LG55" s="49" t="n"/>
      <c r="LH55" s="49" t="n"/>
      <c r="LI55" s="49" t="n"/>
      <c r="LJ55" s="49" t="n"/>
      <c r="LK55" s="49" t="n"/>
      <c r="LL55" s="49" t="n"/>
      <c r="LM55" s="49" t="n"/>
      <c r="LN55" s="49" t="n"/>
      <c r="LO55" s="49" t="n"/>
      <c r="LP55" s="49" t="n"/>
      <c r="LQ55" s="49" t="n"/>
      <c r="LR55" s="49" t="n"/>
      <c r="LS55" s="49" t="n"/>
      <c r="LT55" s="49" t="n"/>
      <c r="LU55" s="49" t="n"/>
      <c r="LV55" s="49" t="n"/>
      <c r="LW55" s="49" t="n"/>
      <c r="LX55" s="49" t="n"/>
      <c r="LY55" s="49" t="n"/>
    </row>
    <row r="56">
      <c r="A56" s="337" t="n"/>
      <c r="B56" s="336" t="n"/>
      <c r="C56" s="336" t="n"/>
      <c r="CF56" s="6" t="n"/>
      <c r="CG56" s="6" t="n"/>
      <c r="DB56" s="6" t="n"/>
      <c r="DG56" s="6" t="n"/>
      <c r="DO56" s="53" t="n"/>
      <c r="DQ56" s="53" t="n"/>
      <c r="DV56" s="53" t="n"/>
      <c r="EA56" s="6" t="n"/>
      <c r="EB56" s="53" t="n"/>
      <c r="EC56" s="53" t="n"/>
      <c r="ED56" s="6" t="n"/>
      <c r="EE56" s="6" t="n"/>
      <c r="EF56" s="6" t="n"/>
      <c r="EG56" s="6" t="n"/>
      <c r="EH56" s="6" t="n"/>
      <c r="EI56" s="269" t="n"/>
      <c r="EJ56" s="6" t="n"/>
      <c r="EL56" s="61" t="n"/>
      <c r="EN56" s="6" t="n"/>
      <c r="EQ56" s="289" t="n"/>
      <c r="ER56" s="61" t="n"/>
      <c r="ES56" s="61" t="n"/>
      <c r="ET56" s="61" t="n"/>
      <c r="EU56" s="61" t="n"/>
      <c r="EV56" s="61" t="n"/>
      <c r="EW56" s="61" t="n"/>
      <c r="EX56" s="289" t="n"/>
      <c r="EY56" s="61" t="n"/>
      <c r="EZ56" s="61" t="n"/>
      <c r="FA56" s="6" t="n"/>
      <c r="FB56" s="61" t="n"/>
      <c r="FC56" s="61" t="n"/>
      <c r="FD56" s="61" t="n"/>
      <c r="FE56" s="61" t="n"/>
      <c r="FF56" s="61" t="n"/>
      <c r="FG56" s="61" t="n"/>
      <c r="FI56" s="61" t="n"/>
      <c r="FJ56" s="61" t="n"/>
      <c r="FK56" s="61" t="n"/>
      <c r="FX56" s="49" t="n"/>
      <c r="FY56" s="49" t="n"/>
      <c r="FZ56" s="49" t="n"/>
      <c r="GA56" s="49" t="n"/>
      <c r="GB56" s="49" t="n"/>
      <c r="GC56" s="49" t="n"/>
      <c r="GD56" s="49" t="n"/>
      <c r="GE56" s="49" t="n"/>
      <c r="GF56" s="49" t="n"/>
      <c r="GG56" s="49" t="n"/>
      <c r="GH56" s="49" t="n"/>
      <c r="GI56" s="49" t="n"/>
      <c r="GJ56" s="49" t="n"/>
      <c r="GK56" s="49" t="n"/>
      <c r="GL56" s="49" t="n"/>
      <c r="GM56" s="49" t="n"/>
      <c r="GN56" s="49" t="n"/>
      <c r="GO56" s="49" t="n"/>
      <c r="GP56" s="49" t="n"/>
      <c r="GQ56" s="49" t="n"/>
      <c r="GR56" s="49" t="n"/>
      <c r="HD56" s="49" t="n"/>
      <c r="HE56" s="49" t="n"/>
      <c r="HF56" s="49" t="n"/>
      <c r="HG56" s="49" t="n"/>
      <c r="HH56" s="49" t="n"/>
      <c r="HI56" s="49" t="n"/>
      <c r="HJ56" s="49" t="n"/>
      <c r="HK56" s="49" t="n"/>
      <c r="HL56" s="49" t="n"/>
      <c r="HM56" s="49" t="n"/>
      <c r="HN56" s="49" t="n"/>
      <c r="HO56" s="49" t="n"/>
      <c r="HR56" s="49" t="n"/>
      <c r="HS56" s="49" t="n"/>
      <c r="HT56" s="49" t="n"/>
      <c r="HU56" s="49" t="n"/>
      <c r="HV56" s="49" t="n"/>
      <c r="HW56" s="49" t="n"/>
      <c r="HX56" s="49" t="n"/>
      <c r="HY56" s="49" t="n"/>
      <c r="HZ56" s="49" t="n"/>
      <c r="IA56" s="49" t="n"/>
      <c r="IB56" s="49" t="n"/>
      <c r="IC56" s="49" t="n"/>
      <c r="ID56" s="49" t="n"/>
      <c r="IE56" s="49" t="n"/>
      <c r="IF56" s="49" t="n"/>
      <c r="IJ56" s="49" t="n"/>
      <c r="IK56" s="49" t="n"/>
      <c r="IL56" s="49" t="n"/>
      <c r="IN56" s="49" t="n"/>
      <c r="IO56" s="49" t="n"/>
      <c r="IP56" s="49" t="n"/>
      <c r="IQ56" s="49" t="n"/>
      <c r="IR56" s="49" t="n"/>
      <c r="IS56" s="49" t="n"/>
      <c r="IT56" s="49" t="n"/>
      <c r="IU56" s="49" t="n"/>
      <c r="IV56" s="49" t="n"/>
      <c r="IW56" s="49" t="n"/>
      <c r="IX56" s="49" t="n"/>
      <c r="IY56" s="49" t="n"/>
      <c r="IZ56" s="49" t="n"/>
      <c r="JA56" s="49" t="n"/>
      <c r="JB56" s="49" t="n"/>
      <c r="JC56" s="49" t="n"/>
      <c r="JD56" s="49" t="n"/>
      <c r="JE56" s="49" t="n"/>
      <c r="JF56" s="49" t="n"/>
      <c r="JG56" s="49" t="n"/>
      <c r="JH56" s="49" t="n"/>
      <c r="JI56" s="49" t="n"/>
      <c r="JJ56" s="49" t="n"/>
      <c r="JK56" s="49" t="n"/>
      <c r="JL56" s="49" t="n"/>
      <c r="JM56" s="49" t="n"/>
      <c r="JN56" s="49" t="n"/>
      <c r="JO56" s="49" t="n"/>
      <c r="JP56" s="49" t="n"/>
      <c r="JQ56" s="49" t="n"/>
      <c r="JR56" s="49" t="n"/>
      <c r="JS56" s="49" t="n"/>
      <c r="JT56" s="49" t="n"/>
      <c r="JU56" s="49" t="n"/>
      <c r="JV56" s="167" t="n"/>
      <c r="JW56" s="49" t="n"/>
      <c r="JX56" s="167" t="n"/>
      <c r="JY56" s="49" t="n"/>
      <c r="JZ56" s="49" t="n"/>
      <c r="KA56" s="49" t="n"/>
      <c r="KB56" s="49" t="n"/>
      <c r="KC56" s="49" t="n"/>
      <c r="KD56" s="49" t="n"/>
      <c r="KE56" s="49" t="n"/>
      <c r="KF56" s="49" t="n"/>
      <c r="KG56" s="49" t="n"/>
      <c r="KH56" s="49" t="n"/>
      <c r="KI56" s="168" t="n"/>
      <c r="KJ56" s="49" t="n"/>
      <c r="KK56" s="49" t="n"/>
      <c r="KL56" s="49" t="n"/>
      <c r="KM56" s="49" t="n"/>
      <c r="KN56" s="49" t="n"/>
      <c r="KO56" s="49" t="n"/>
      <c r="KP56" s="49" t="n"/>
      <c r="KQ56" s="49" t="n"/>
      <c r="KR56" s="49" t="n"/>
      <c r="KS56" s="49" t="n"/>
      <c r="KT56" s="49" t="n"/>
      <c r="KU56" s="49" t="n"/>
      <c r="KV56" s="49" t="n"/>
      <c r="KW56" s="49" t="n"/>
      <c r="KX56" s="49" t="n"/>
      <c r="KY56" s="49" t="n"/>
      <c r="KZ56" s="49" t="n"/>
      <c r="LA56" s="49" t="n"/>
      <c r="LB56" s="49" t="n"/>
      <c r="LC56" s="49" t="n"/>
      <c r="LD56" s="49" t="n"/>
      <c r="LE56" s="49" t="n"/>
      <c r="LF56" s="49" t="n"/>
      <c r="LG56" s="49" t="n"/>
      <c r="LH56" s="49" t="n"/>
      <c r="LI56" s="49" t="n"/>
      <c r="LJ56" s="49" t="n"/>
      <c r="LK56" s="49" t="n"/>
      <c r="LL56" s="49" t="n"/>
      <c r="LM56" s="49" t="n"/>
      <c r="LN56" s="49" t="n"/>
      <c r="LO56" s="49" t="n"/>
      <c r="LP56" s="49" t="n"/>
      <c r="LQ56" s="49" t="n"/>
      <c r="LR56" s="49" t="n"/>
      <c r="LS56" s="49" t="n"/>
      <c r="LT56" s="49" t="n"/>
      <c r="LU56" s="49" t="n"/>
      <c r="LV56" s="49" t="n"/>
      <c r="LW56" s="49" t="n"/>
      <c r="LX56" s="49" t="n"/>
      <c r="LY56" s="49" t="n"/>
    </row>
    <row r="57">
      <c r="A57" s="176" t="inlineStr">
        <is>
          <t>SACOLAS G NATAL</t>
        </is>
      </c>
      <c r="B57" s="170" t="n"/>
      <c r="C57" s="171" t="n">
        <v>109</v>
      </c>
      <c r="CF57" s="6" t="n"/>
      <c r="CG57" s="6" t="n"/>
      <c r="DB57" s="58" t="n"/>
      <c r="DG57" s="58" t="n"/>
      <c r="DO57" s="53" t="n"/>
      <c r="DP57" s="6" t="n"/>
      <c r="DQ57" s="53" t="n"/>
      <c r="DU57" s="6" t="n"/>
      <c r="DV57" s="53" t="n"/>
      <c r="DX57" s="6" t="n"/>
      <c r="DY57" s="6" t="n"/>
      <c r="DZ57" s="6" t="n"/>
      <c r="EA57" s="6" t="n"/>
      <c r="EB57" s="53" t="n"/>
      <c r="EC57" s="53" t="n"/>
      <c r="ED57" s="6" t="n"/>
      <c r="EE57" s="6" t="n"/>
      <c r="EF57" s="6" t="n"/>
      <c r="EG57" s="6" t="n"/>
      <c r="EH57" s="6" t="n"/>
      <c r="EI57" s="269" t="n"/>
      <c r="EJ57" s="6" t="n"/>
      <c r="EL57" s="61" t="n"/>
      <c r="EN57" s="6" t="n"/>
      <c r="EQ57" s="289" t="n"/>
      <c r="ER57" s="61" t="n"/>
      <c r="ES57" s="61" t="n"/>
      <c r="ET57" s="61" t="n"/>
      <c r="EU57" s="61" t="n"/>
      <c r="EV57" s="61" t="n"/>
      <c r="EW57" s="61" t="n"/>
      <c r="EX57" s="289" t="n"/>
      <c r="EY57" s="61" t="n"/>
      <c r="EZ57" s="61" t="n"/>
      <c r="FA57" s="6" t="n"/>
      <c r="FB57" s="61" t="n"/>
      <c r="FC57" s="61" t="n"/>
      <c r="FD57" s="61" t="n"/>
      <c r="FE57" s="61" t="n"/>
      <c r="FF57" s="61" t="n"/>
      <c r="FG57" s="61" t="n"/>
      <c r="FI57" s="61" t="n"/>
      <c r="FJ57" s="61" t="n"/>
      <c r="FK57" s="61" t="n"/>
      <c r="FX57" s="49" t="n"/>
      <c r="FY57" s="49" t="n"/>
      <c r="FZ57" s="49" t="n"/>
      <c r="GA57" s="49" t="n"/>
      <c r="GB57" s="49" t="n"/>
      <c r="GC57" s="49" t="n"/>
      <c r="GD57" s="49" t="n"/>
      <c r="GE57" s="49" t="n"/>
      <c r="GF57" s="49" t="n"/>
      <c r="GG57" s="49" t="n"/>
      <c r="GH57" s="49" t="n"/>
      <c r="GI57" s="49" t="n"/>
      <c r="GJ57" s="49" t="n"/>
      <c r="GK57" s="49" t="n"/>
      <c r="GL57" s="49" t="n"/>
      <c r="GM57" s="49" t="n"/>
      <c r="GN57" s="49" t="n"/>
      <c r="GO57" s="49" t="n"/>
      <c r="GP57" s="49" t="n"/>
      <c r="GQ57" s="49" t="n"/>
      <c r="GR57" s="49" t="n"/>
      <c r="HD57" s="49" t="n"/>
      <c r="HE57" s="49" t="n"/>
      <c r="HF57" s="49" t="n"/>
      <c r="HG57" s="49" t="n"/>
      <c r="HH57" s="49" t="n"/>
      <c r="HI57" s="49" t="n"/>
      <c r="HJ57" s="49" t="n"/>
      <c r="HK57" s="49" t="n"/>
      <c r="HL57" s="49" t="n"/>
      <c r="HM57" s="49" t="n"/>
      <c r="HN57" s="49" t="n"/>
      <c r="HO57" s="49" t="n"/>
      <c r="HR57" s="49" t="n"/>
      <c r="HS57" s="49" t="n"/>
      <c r="HT57" s="49" t="n"/>
      <c r="HU57" s="49" t="n"/>
      <c r="HV57" s="49" t="n"/>
      <c r="HW57" s="49" t="n"/>
      <c r="HX57" s="49" t="n"/>
      <c r="HY57" s="49" t="n"/>
      <c r="HZ57" s="49" t="n"/>
      <c r="IA57" s="49" t="n"/>
      <c r="IB57" s="49" t="n"/>
      <c r="IC57" s="49" t="n"/>
      <c r="ID57" s="49" t="n"/>
      <c r="IE57" s="49" t="n"/>
      <c r="IF57" s="49" t="n"/>
      <c r="IJ57" s="49" t="n"/>
      <c r="IK57" s="49" t="n"/>
      <c r="IL57" s="49" t="n"/>
      <c r="IN57" s="49" t="n"/>
      <c r="IO57" s="49" t="n"/>
      <c r="IP57" s="49" t="n"/>
      <c r="IQ57" s="49" t="n"/>
      <c r="IR57" s="49" t="n"/>
      <c r="IS57" s="49" t="n"/>
      <c r="IT57" s="49" t="n"/>
      <c r="IU57" s="49" t="n"/>
      <c r="IV57" s="49" t="n"/>
      <c r="IW57" s="49" t="n"/>
      <c r="IX57" s="49" t="n"/>
      <c r="IY57" s="49" t="n"/>
      <c r="IZ57" s="49" t="n"/>
      <c r="JA57" s="49" t="n"/>
      <c r="JB57" s="49" t="n"/>
      <c r="JC57" s="49" t="n"/>
      <c r="JD57" s="49" t="n"/>
      <c r="JE57" s="49" t="n"/>
      <c r="JF57" s="49" t="n"/>
      <c r="JG57" s="49" t="n"/>
      <c r="JH57" s="49" t="n"/>
      <c r="JI57" s="49" t="n"/>
      <c r="JJ57" s="49" t="n"/>
      <c r="JK57" s="49" t="n"/>
      <c r="JL57" s="49" t="n"/>
      <c r="JM57" s="49" t="n"/>
      <c r="JN57" s="49" t="n"/>
      <c r="JO57" s="49" t="n"/>
      <c r="JP57" s="49" t="n"/>
      <c r="JQ57" s="49" t="n"/>
      <c r="JR57" s="49" t="n"/>
      <c r="JS57" s="49" t="n"/>
      <c r="JT57" s="49" t="n"/>
      <c r="JU57" s="49" t="n"/>
      <c r="JV57" s="167" t="n"/>
      <c r="JW57" s="49" t="n"/>
      <c r="JX57" s="167" t="n"/>
      <c r="JY57" s="49" t="n"/>
      <c r="JZ57" s="49" t="n"/>
      <c r="KA57" s="49" t="n"/>
      <c r="KB57" s="49" t="n"/>
      <c r="KC57" s="49" t="n"/>
      <c r="KD57" s="49" t="n"/>
      <c r="KE57" s="49" t="n"/>
      <c r="KF57" s="49" t="n"/>
      <c r="KG57" s="49" t="n"/>
      <c r="KH57" s="49" t="n"/>
      <c r="KI57" s="168" t="n"/>
      <c r="KJ57" s="49" t="n"/>
      <c r="KK57" s="49" t="n"/>
      <c r="KL57" s="49" t="n"/>
      <c r="KM57" s="49" t="n"/>
      <c r="KN57" s="49" t="n"/>
      <c r="KO57" s="49" t="n"/>
      <c r="KP57" s="49" t="n"/>
      <c r="KQ57" s="49" t="n"/>
      <c r="KR57" s="49" t="n"/>
      <c r="KS57" s="49" t="n"/>
      <c r="KT57" s="49" t="n"/>
      <c r="KU57" s="49" t="n"/>
      <c r="KV57" s="49" t="n"/>
      <c r="KW57" s="49" t="n"/>
      <c r="KX57" s="49" t="n"/>
      <c r="KY57" s="49" t="n"/>
      <c r="KZ57" s="49" t="n"/>
      <c r="LA57" s="49" t="n"/>
      <c r="LB57" s="49" t="n"/>
      <c r="LC57" s="49" t="n"/>
      <c r="LD57" s="49" t="n"/>
      <c r="LE57" s="49" t="n"/>
      <c r="LF57" s="49" t="n"/>
      <c r="LG57" s="49" t="n"/>
      <c r="LH57" s="49" t="n"/>
      <c r="LI57" s="49" t="n"/>
      <c r="LJ57" s="49" t="n"/>
      <c r="LK57" s="49" t="n"/>
      <c r="LL57" s="49" t="n"/>
      <c r="LM57" s="49" t="n"/>
      <c r="LN57" s="49" t="n"/>
      <c r="LO57" s="49" t="n"/>
      <c r="LP57" s="49" t="n"/>
      <c r="LQ57" s="49" t="n"/>
      <c r="LR57" s="49" t="n"/>
      <c r="LS57" s="49" t="n"/>
      <c r="LT57" s="49" t="n"/>
      <c r="LU57" s="49" t="n"/>
      <c r="LV57" s="49" t="n"/>
      <c r="LW57" s="49" t="n"/>
      <c r="LX57" s="49" t="n"/>
      <c r="LY57" s="49" t="n"/>
    </row>
    <row r="58">
      <c r="A58" s="335" t="n"/>
      <c r="B58" s="336" t="n"/>
      <c r="C58" s="336" t="n"/>
      <c r="CE58" s="6" t="n"/>
      <c r="CF58" s="6" t="n"/>
      <c r="CG58" s="6" t="n"/>
      <c r="CS58" s="6" t="n"/>
      <c r="CT58" s="6" t="n"/>
      <c r="CU58" s="6" t="n"/>
      <c r="CV58" s="6" t="n"/>
      <c r="CW58" s="6" t="n"/>
      <c r="CX58" s="6" t="n"/>
      <c r="CY58" s="6" t="n"/>
      <c r="CZ58" s="6" t="n"/>
      <c r="DA58" s="6" t="n"/>
      <c r="DB58" s="58" t="n"/>
      <c r="DC58" s="6" t="n"/>
      <c r="DD58" s="6" t="n"/>
      <c r="DE58" s="6" t="n"/>
      <c r="DF58" s="6" t="n"/>
      <c r="DG58" s="58" t="n"/>
      <c r="DH58" s="6" t="n"/>
      <c r="DI58" s="6" t="n"/>
      <c r="DJ58" s="6" t="n"/>
      <c r="DK58" s="6" t="n"/>
      <c r="DL58" s="6" t="n"/>
      <c r="DM58" s="6" t="n"/>
      <c r="DN58" s="6" t="n"/>
      <c r="DO58" s="53" t="n"/>
      <c r="DP58" s="6" t="n"/>
      <c r="DQ58" s="53" t="n"/>
      <c r="DR58" s="6" t="n"/>
      <c r="DS58" s="6" t="n"/>
      <c r="DT58" s="6" t="n"/>
      <c r="DU58" s="6" t="n"/>
      <c r="DV58" s="53" t="n"/>
      <c r="DX58" s="6" t="n"/>
      <c r="DY58" s="6" t="n"/>
      <c r="DZ58" s="6" t="n"/>
      <c r="EA58" s="6" t="n"/>
      <c r="EB58" s="53" t="n"/>
      <c r="EC58" s="53" t="n"/>
      <c r="ED58" s="6" t="n"/>
      <c r="EE58" s="6" t="n"/>
      <c r="EF58" s="6" t="n"/>
      <c r="EG58" s="6" t="n"/>
      <c r="EH58" s="6" t="n"/>
      <c r="EI58" s="269" t="n"/>
      <c r="EJ58" s="6" t="n"/>
      <c r="EN58" s="6" t="n"/>
      <c r="EQ58" s="289" t="n"/>
      <c r="EX58" s="289" t="n"/>
      <c r="FA58" s="6" t="n"/>
      <c r="FX58" s="49" t="n"/>
      <c r="FY58" s="49" t="n"/>
      <c r="FZ58" s="49" t="n"/>
      <c r="GA58" s="49" t="n"/>
      <c r="GB58" s="49" t="n"/>
      <c r="GC58" s="49" t="n"/>
      <c r="GD58" s="49" t="n"/>
      <c r="GE58" s="49" t="n"/>
      <c r="GF58" s="49" t="n"/>
      <c r="GG58" s="49" t="n"/>
      <c r="GH58" s="49" t="n"/>
      <c r="GI58" s="49" t="n"/>
      <c r="GJ58" s="49" t="n"/>
      <c r="GK58" s="49" t="n"/>
      <c r="GL58" s="49" t="n"/>
      <c r="GM58" s="49" t="n"/>
      <c r="GN58" s="49" t="n"/>
      <c r="GO58" s="49" t="n"/>
      <c r="GP58" s="49" t="n"/>
      <c r="GQ58" s="49" t="n"/>
      <c r="GR58" s="49" t="n"/>
      <c r="HD58" s="49" t="n"/>
      <c r="HE58" s="49" t="n"/>
      <c r="HF58" s="49" t="n"/>
      <c r="HG58" s="49" t="n"/>
      <c r="HH58" s="49" t="n"/>
      <c r="HI58" s="49" t="n"/>
      <c r="HJ58" s="49" t="n"/>
      <c r="HK58" s="49" t="n"/>
      <c r="HL58" s="49" t="n"/>
      <c r="HM58" s="49" t="n"/>
      <c r="HN58" s="49" t="n"/>
      <c r="HO58" s="49" t="n"/>
      <c r="HR58" s="49" t="n"/>
      <c r="HS58" s="49" t="n"/>
      <c r="HT58" s="49" t="n"/>
      <c r="HU58" s="49" t="n"/>
      <c r="HV58" s="49" t="n"/>
      <c r="HW58" s="49" t="n"/>
      <c r="HX58" s="49" t="n"/>
      <c r="HY58" s="49" t="n"/>
      <c r="HZ58" s="49" t="n"/>
      <c r="IA58" s="49" t="n"/>
      <c r="IB58" s="49" t="n"/>
      <c r="IC58" s="49" t="n"/>
      <c r="ID58" s="49" t="n"/>
      <c r="IE58" s="49" t="n"/>
      <c r="IF58" s="49" t="n"/>
      <c r="IJ58" s="49" t="n"/>
      <c r="IK58" s="49" t="n"/>
      <c r="IL58" s="49" t="n"/>
      <c r="IN58" s="49" t="n"/>
      <c r="IO58" s="49" t="n"/>
      <c r="IP58" s="49" t="n"/>
      <c r="IQ58" s="49" t="n"/>
      <c r="IR58" s="49" t="n"/>
      <c r="IS58" s="49" t="n"/>
      <c r="IT58" s="49" t="n"/>
      <c r="IU58" s="49" t="n"/>
      <c r="IV58" s="49" t="n"/>
      <c r="IW58" s="49" t="n"/>
      <c r="IX58" s="49" t="n"/>
      <c r="IY58" s="49" t="n"/>
      <c r="IZ58" s="49" t="n"/>
      <c r="JA58" s="49" t="n"/>
      <c r="JB58" s="49" t="n"/>
      <c r="JC58" s="49" t="n"/>
      <c r="JD58" s="49" t="n"/>
      <c r="JE58" s="49" t="n"/>
      <c r="JF58" s="49" t="n"/>
      <c r="JG58" s="49" t="n"/>
      <c r="JH58" s="49" t="n"/>
      <c r="JI58" s="49" t="n"/>
      <c r="JJ58" s="49" t="n"/>
      <c r="JK58" s="49" t="n"/>
      <c r="JL58" s="49" t="n"/>
      <c r="JM58" s="49" t="n"/>
      <c r="JN58" s="49" t="n"/>
      <c r="JO58" s="49" t="n"/>
      <c r="JP58" s="49" t="n"/>
      <c r="JQ58" s="49" t="n"/>
      <c r="JR58" s="49" t="n"/>
      <c r="JS58" s="49" t="n"/>
      <c r="JT58" s="49" t="n"/>
      <c r="JU58" s="49" t="n"/>
      <c r="JV58" s="167" t="n"/>
      <c r="JW58" s="49" t="n"/>
      <c r="JX58" s="167" t="n"/>
      <c r="JY58" s="49" t="n"/>
      <c r="JZ58" s="49" t="n"/>
      <c r="KA58" s="49" t="n"/>
      <c r="KB58" s="49" t="n"/>
      <c r="KC58" s="49" t="n"/>
      <c r="KD58" s="49" t="n"/>
      <c r="KE58" s="49" t="n"/>
      <c r="KF58" s="49" t="n"/>
      <c r="KG58" s="49" t="n"/>
      <c r="KH58" s="49" t="n"/>
      <c r="KI58" s="168" t="n"/>
      <c r="KJ58" s="49" t="n"/>
      <c r="KK58" s="49" t="n"/>
      <c r="KL58" s="49" t="n"/>
      <c r="KM58" s="49" t="n"/>
      <c r="KN58" s="49" t="n"/>
      <c r="KO58" s="49" t="n"/>
      <c r="KP58" s="49" t="n"/>
      <c r="KQ58" s="49" t="n"/>
      <c r="KR58" s="49" t="n"/>
      <c r="KS58" s="49" t="n"/>
      <c r="KT58" s="49" t="n"/>
      <c r="KU58" s="49" t="n"/>
      <c r="KV58" s="49" t="n"/>
      <c r="KW58" s="49" t="n"/>
      <c r="KX58" s="49" t="n"/>
      <c r="KY58" s="49" t="n"/>
      <c r="KZ58" s="49" t="n"/>
      <c r="LA58" s="49" t="n"/>
      <c r="LB58" s="49" t="n"/>
      <c r="LC58" s="49" t="n"/>
      <c r="LD58" s="49" t="n"/>
      <c r="LE58" s="49" t="n"/>
      <c r="LF58" s="49" t="n"/>
      <c r="LG58" s="49" t="n"/>
      <c r="LH58" s="49" t="n"/>
      <c r="LI58" s="49" t="n"/>
      <c r="LJ58" s="49" t="n"/>
      <c r="LK58" s="49" t="n"/>
      <c r="LL58" s="49" t="n"/>
      <c r="LM58" s="49" t="n"/>
      <c r="LN58" s="49" t="n"/>
      <c r="LO58" s="49" t="n"/>
      <c r="LP58" s="49" t="n"/>
      <c r="LQ58" s="49" t="n"/>
      <c r="LR58" s="49" t="n"/>
      <c r="LS58" s="49" t="n"/>
      <c r="LT58" s="49" t="n"/>
      <c r="LU58" s="49" t="n"/>
      <c r="LV58" s="49" t="n"/>
      <c r="LW58" s="49" t="n"/>
      <c r="LX58" s="49" t="n"/>
      <c r="LY58" s="49" t="n"/>
    </row>
    <row r="59">
      <c r="A59" s="193" t="inlineStr">
        <is>
          <t>CARTUCHO P MÃES/24</t>
        </is>
      </c>
      <c r="B59" s="192" t="n"/>
      <c r="C59" s="171" t="n">
        <v>1</v>
      </c>
      <c r="CD59" s="6" t="n"/>
      <c r="CE59" s="6" t="n"/>
      <c r="CF59" s="6" t="n"/>
      <c r="CG59" s="6" t="n"/>
      <c r="CS59" s="6" t="n"/>
      <c r="CT59" s="6" t="n"/>
      <c r="CU59" s="6" t="n"/>
      <c r="CV59" s="6" t="n"/>
      <c r="CW59" s="6" t="n"/>
      <c r="CX59" s="6" t="n"/>
      <c r="CY59" s="6" t="n"/>
      <c r="CZ59" s="6" t="n"/>
      <c r="DA59" s="6" t="n"/>
      <c r="DC59" s="6" t="n"/>
      <c r="DD59" s="6" t="n"/>
      <c r="DE59" s="6" t="n"/>
      <c r="DF59" s="6" t="n"/>
      <c r="DH59" s="6" t="n"/>
      <c r="DI59" s="6" t="n"/>
      <c r="DJ59" s="6" t="n"/>
      <c r="DK59" s="6" t="n"/>
      <c r="DL59" s="6" t="n"/>
      <c r="DM59" s="6" t="n"/>
      <c r="DN59" s="6" t="n"/>
      <c r="DO59" s="53" t="n"/>
      <c r="DP59" s="6" t="n"/>
      <c r="DQ59" s="53" t="n"/>
      <c r="DR59" s="6" t="n"/>
      <c r="DS59" s="6" t="n"/>
      <c r="DT59" s="6" t="n"/>
      <c r="DU59" s="6" t="n"/>
      <c r="DV59" s="53" t="n"/>
      <c r="DX59" s="6" t="n"/>
      <c r="DY59" s="6" t="n"/>
      <c r="DZ59" s="6" t="n"/>
      <c r="EA59" s="6" t="n"/>
      <c r="EB59" s="53" t="n"/>
      <c r="EC59" s="53" t="n"/>
      <c r="ED59" s="6" t="n"/>
      <c r="EE59" s="6" t="n"/>
      <c r="EF59" s="6" t="n"/>
      <c r="EG59" s="6" t="n"/>
      <c r="EH59" s="6" t="n"/>
      <c r="EI59" s="269" t="n"/>
      <c r="EJ59" s="6" t="n"/>
      <c r="EN59" s="6" t="n"/>
      <c r="EQ59" s="289" t="n"/>
      <c r="EX59" s="289" t="n"/>
      <c r="FA59" s="6" t="n"/>
      <c r="FX59" s="49" t="n"/>
      <c r="FY59" s="49" t="n"/>
      <c r="FZ59" s="49" t="n"/>
      <c r="GA59" s="49" t="n"/>
      <c r="GB59" s="49" t="n"/>
      <c r="GC59" s="49" t="n"/>
      <c r="GD59" s="49" t="n"/>
      <c r="GE59" s="49" t="n"/>
      <c r="GF59" s="49" t="n"/>
      <c r="GG59" s="49" t="n"/>
      <c r="GH59" s="49" t="n"/>
      <c r="GI59" s="49" t="n"/>
      <c r="GJ59" s="49" t="n"/>
      <c r="GK59" s="49" t="n"/>
      <c r="GL59" s="49" t="n"/>
      <c r="GM59" s="49" t="n"/>
      <c r="GN59" s="49" t="n"/>
      <c r="GO59" s="49" t="n"/>
      <c r="GP59" s="49" t="n"/>
      <c r="GQ59" s="49" t="n"/>
      <c r="GR59" s="49" t="n"/>
      <c r="HD59" s="49" t="n"/>
      <c r="HE59" s="49" t="n"/>
      <c r="HF59" s="49" t="n"/>
      <c r="HG59" s="49" t="n"/>
      <c r="HH59" s="49" t="n"/>
      <c r="HI59" s="49" t="n"/>
      <c r="HJ59" s="49" t="n"/>
      <c r="HK59" s="49" t="n"/>
      <c r="HL59" s="49" t="n"/>
      <c r="HM59" s="49" t="n"/>
      <c r="HN59" s="49" t="n"/>
      <c r="HO59" s="49" t="n"/>
      <c r="HR59" s="49" t="n"/>
      <c r="HS59" s="49" t="n"/>
      <c r="HT59" s="49" t="n"/>
      <c r="HU59" s="49" t="n"/>
      <c r="HV59" s="49" t="n"/>
      <c r="HW59" s="49" t="n"/>
      <c r="HX59" s="49" t="n"/>
      <c r="HY59" s="49" t="n"/>
      <c r="HZ59" s="49" t="n"/>
      <c r="IA59" s="49" t="n"/>
      <c r="IB59" s="49" t="n"/>
      <c r="IC59" s="49" t="n"/>
      <c r="ID59" s="49" t="n"/>
      <c r="IE59" s="49" t="n"/>
      <c r="IF59" s="49" t="n"/>
      <c r="IJ59" s="49" t="n"/>
      <c r="IK59" s="49" t="n"/>
      <c r="IL59" s="49" t="n"/>
      <c r="IN59" s="49" t="n"/>
      <c r="IO59" s="49" t="n"/>
      <c r="IP59" s="49" t="n"/>
      <c r="IQ59" s="49" t="n"/>
      <c r="IR59" s="49" t="n"/>
      <c r="IS59" s="49" t="n"/>
      <c r="IT59" s="49" t="n"/>
      <c r="IU59" s="49" t="n"/>
      <c r="IV59" s="49" t="n"/>
      <c r="IW59" s="49" t="n"/>
      <c r="IX59" s="49" t="n"/>
      <c r="IY59" s="49" t="n"/>
      <c r="IZ59" s="49" t="n"/>
      <c r="JA59" s="49" t="n"/>
      <c r="JB59" s="49" t="n"/>
      <c r="JC59" s="49" t="n"/>
      <c r="JD59" s="49" t="n"/>
      <c r="JE59" s="49" t="n"/>
      <c r="JF59" s="49" t="n"/>
      <c r="JG59" s="49" t="n"/>
      <c r="JH59" s="49" t="n"/>
      <c r="JI59" s="49" t="n"/>
      <c r="JJ59" s="49" t="n"/>
      <c r="JK59" s="49" t="n"/>
      <c r="JL59" s="49" t="n"/>
      <c r="JM59" s="49" t="n"/>
      <c r="JN59" s="49" t="n"/>
      <c r="JO59" s="49" t="n"/>
      <c r="JP59" s="49" t="n"/>
      <c r="JQ59" s="49" t="n"/>
      <c r="JR59" s="49" t="n"/>
      <c r="JS59" s="49" t="n"/>
      <c r="JT59" s="49" t="n"/>
      <c r="JU59" s="49" t="n"/>
      <c r="JV59" s="167" t="n"/>
      <c r="JW59" s="49" t="n"/>
      <c r="JX59" s="167" t="n"/>
      <c r="JY59" s="49" t="n"/>
      <c r="JZ59" s="49" t="n"/>
      <c r="KA59" s="49" t="n"/>
      <c r="KB59" s="49" t="n"/>
      <c r="KC59" s="49" t="n"/>
      <c r="KD59" s="49" t="n"/>
      <c r="KE59" s="49" t="n"/>
      <c r="KF59" s="49" t="n"/>
      <c r="KG59" s="49" t="n"/>
      <c r="KH59" s="49" t="n"/>
      <c r="KI59" s="168" t="n"/>
      <c r="KJ59" s="49" t="n"/>
      <c r="KK59" s="49" t="n"/>
      <c r="KL59" s="49" t="n"/>
      <c r="KM59" s="49" t="n"/>
      <c r="KN59" s="49" t="n"/>
      <c r="KO59" s="49" t="n"/>
      <c r="KP59" s="49" t="n"/>
      <c r="KQ59" s="49" t="n"/>
      <c r="KR59" s="49" t="n"/>
      <c r="KS59" s="49" t="n"/>
      <c r="KT59" s="49" t="n"/>
      <c r="KU59" s="49" t="n"/>
      <c r="KV59" s="49" t="n"/>
      <c r="KW59" s="49" t="n"/>
      <c r="KX59" s="49" t="n"/>
      <c r="KY59" s="49" t="n"/>
      <c r="KZ59" s="49" t="n"/>
      <c r="LA59" s="49" t="n"/>
      <c r="LB59" s="49" t="n"/>
      <c r="LC59" s="49" t="n"/>
      <c r="LD59" s="49" t="n"/>
      <c r="LE59" s="49" t="n"/>
      <c r="LF59" s="49" t="n"/>
      <c r="LG59" s="49" t="n"/>
      <c r="LH59" s="49" t="n"/>
      <c r="LI59" s="49" t="n"/>
      <c r="LJ59" s="49" t="n"/>
      <c r="LK59" s="49" t="n"/>
      <c r="LL59" s="49" t="n"/>
      <c r="LM59" s="49" t="n"/>
      <c r="LN59" s="49" t="n"/>
      <c r="LO59" s="49" t="n"/>
      <c r="LP59" s="49" t="n"/>
      <c r="LQ59" s="49" t="n"/>
      <c r="LR59" s="49" t="n"/>
      <c r="LS59" s="49" t="n"/>
      <c r="LT59" s="49" t="n"/>
      <c r="LU59" s="49" t="n"/>
      <c r="LV59" s="49" t="n"/>
      <c r="LW59" s="49" t="n"/>
      <c r="LX59" s="49" t="n"/>
      <c r="LY59" s="49" t="n"/>
    </row>
    <row r="60">
      <c r="A60" s="335" t="n"/>
      <c r="B60" s="336" t="n"/>
      <c r="C60" s="336" t="n"/>
      <c r="CD60" s="6" t="n"/>
      <c r="CE60" s="6" t="n"/>
      <c r="CF60" s="6" t="n"/>
      <c r="CG60" s="6" t="n"/>
      <c r="CS60" s="6" t="n"/>
      <c r="CT60" s="6" t="n"/>
      <c r="CU60" s="6" t="n"/>
      <c r="CV60" s="6" t="n"/>
      <c r="CW60" s="6" t="n"/>
      <c r="CX60" s="6" t="n"/>
      <c r="CY60" s="6" t="n"/>
      <c r="CZ60" s="6" t="n"/>
      <c r="DA60" s="6" t="n"/>
      <c r="DC60" s="6" t="n"/>
      <c r="DD60" s="6" t="n"/>
      <c r="DE60" s="6" t="n"/>
      <c r="DF60" s="6" t="n"/>
      <c r="DH60" s="6" t="n"/>
      <c r="DI60" s="6" t="n"/>
      <c r="DJ60" s="6" t="n"/>
      <c r="DK60" s="6" t="n"/>
      <c r="DL60" s="6" t="n"/>
      <c r="DM60" s="6" t="n"/>
      <c r="DN60" s="6" t="n"/>
      <c r="DO60" s="53" t="n"/>
      <c r="DP60" s="6" t="n"/>
      <c r="DQ60" s="53" t="n"/>
      <c r="DR60" s="6" t="n"/>
      <c r="DS60" s="6" t="n"/>
      <c r="DT60" s="6" t="n"/>
      <c r="DU60" s="6" t="n"/>
      <c r="DV60" s="53" t="n"/>
      <c r="DX60" s="6" t="n"/>
      <c r="DY60" s="6" t="n"/>
      <c r="DZ60" s="6" t="n"/>
      <c r="EA60" s="6" t="n"/>
      <c r="EB60" s="6" t="n"/>
      <c r="EC60" s="53" t="n"/>
      <c r="ED60" s="6" t="n"/>
      <c r="EE60" s="6" t="n"/>
      <c r="EF60" s="6" t="n"/>
      <c r="EG60" s="6" t="n"/>
      <c r="EH60" s="6" t="n"/>
      <c r="EI60" s="269" t="n"/>
      <c r="EJ60" s="6" t="n"/>
      <c r="EK60" s="6" t="n"/>
      <c r="EM60" s="6" t="n"/>
      <c r="EN60" s="6" t="n"/>
      <c r="EO60" s="6" t="n"/>
      <c r="EP60" s="6" t="n"/>
      <c r="EQ60" s="289" t="n"/>
      <c r="EX60" s="289" t="n"/>
      <c r="FA60" s="6" t="n"/>
      <c r="FH60" s="6" t="n"/>
      <c r="FX60" s="49" t="n"/>
      <c r="FY60" s="49" t="n"/>
      <c r="FZ60" s="49" t="n"/>
      <c r="GA60" s="49" t="n"/>
      <c r="GB60" s="49" t="n"/>
      <c r="GC60" s="49" t="n"/>
      <c r="GD60" s="49" t="n"/>
      <c r="GE60" s="49" t="n"/>
      <c r="GF60" s="49" t="n"/>
      <c r="GG60" s="49" t="n"/>
      <c r="GH60" s="49" t="n"/>
      <c r="GI60" s="49" t="n"/>
      <c r="GJ60" s="49" t="n"/>
      <c r="GK60" s="49" t="n"/>
      <c r="GL60" s="49" t="n"/>
      <c r="GM60" s="49" t="n"/>
      <c r="GN60" s="49" t="n"/>
      <c r="GO60" s="49" t="n"/>
      <c r="GP60" s="49" t="n"/>
      <c r="GQ60" s="49" t="n"/>
      <c r="GR60" s="49" t="n"/>
      <c r="HD60" s="49" t="n"/>
      <c r="HE60" s="49" t="n"/>
      <c r="HF60" s="49" t="n"/>
      <c r="HG60" s="49" t="n"/>
      <c r="HH60" s="49" t="n"/>
      <c r="HI60" s="49" t="n"/>
      <c r="HJ60" s="49" t="n"/>
      <c r="HK60" s="49" t="n"/>
      <c r="HL60" s="49" t="n"/>
      <c r="HM60" s="49" t="n"/>
      <c r="HN60" s="49" t="n"/>
      <c r="HO60" s="49" t="n"/>
      <c r="HR60" s="49" t="n"/>
      <c r="HS60" s="49" t="n"/>
      <c r="HT60" s="49" t="n"/>
      <c r="HU60" s="49" t="n"/>
      <c r="HV60" s="49" t="n"/>
      <c r="HW60" s="49" t="n"/>
      <c r="HX60" s="49" t="n"/>
      <c r="HY60" s="49" t="n"/>
      <c r="HZ60" s="49" t="n"/>
      <c r="IA60" s="49" t="n"/>
      <c r="IB60" s="49" t="n"/>
      <c r="IC60" s="49" t="n"/>
      <c r="ID60" s="49" t="n"/>
      <c r="IE60" s="49" t="n"/>
      <c r="IF60" s="49" t="n"/>
      <c r="IJ60" s="49" t="n"/>
      <c r="IK60" s="49" t="n"/>
      <c r="IL60" s="49" t="n"/>
      <c r="IN60" s="49" t="n"/>
      <c r="IO60" s="49" t="n"/>
      <c r="IP60" s="49" t="n"/>
      <c r="IQ60" s="49" t="n"/>
      <c r="IR60" s="49" t="n"/>
      <c r="IS60" s="49" t="n"/>
      <c r="IT60" s="49" t="n"/>
      <c r="IU60" s="49" t="n"/>
      <c r="IV60" s="49" t="n"/>
      <c r="IW60" s="49" t="n"/>
      <c r="IX60" s="49" t="n"/>
      <c r="IY60" s="49" t="n"/>
      <c r="IZ60" s="49" t="n"/>
      <c r="JA60" s="49" t="n"/>
      <c r="JB60" s="49" t="n"/>
      <c r="JC60" s="49" t="n"/>
      <c r="JD60" s="49" t="n"/>
      <c r="JE60" s="49" t="n"/>
      <c r="JF60" s="49" t="n"/>
      <c r="JG60" s="49" t="n"/>
      <c r="JH60" s="49" t="n"/>
      <c r="JI60" s="49" t="n"/>
      <c r="JJ60" s="49" t="n"/>
      <c r="JK60" s="49" t="n"/>
      <c r="JL60" s="49" t="n"/>
      <c r="JM60" s="49" t="n"/>
      <c r="JN60" s="49" t="n"/>
      <c r="JO60" s="49" t="n"/>
      <c r="JP60" s="49" t="n"/>
      <c r="JQ60" s="49" t="n"/>
      <c r="JR60" s="49" t="n"/>
      <c r="JS60" s="49" t="n"/>
      <c r="JT60" s="49" t="n"/>
      <c r="JU60" s="49" t="n"/>
      <c r="JV60" s="167" t="n"/>
      <c r="JW60" s="49" t="n"/>
      <c r="JX60" s="167" t="n"/>
      <c r="JY60" s="49" t="n"/>
      <c r="JZ60" s="49" t="n"/>
      <c r="KA60" s="49" t="n"/>
      <c r="KB60" s="49" t="n"/>
      <c r="KC60" s="49" t="n"/>
      <c r="KD60" s="49" t="n"/>
      <c r="KE60" s="49" t="n"/>
      <c r="KF60" s="49" t="n"/>
      <c r="KG60" s="49" t="n"/>
      <c r="KH60" s="49" t="n"/>
      <c r="KI60" s="168" t="n"/>
      <c r="KJ60" s="49" t="n"/>
      <c r="KK60" s="49" t="n"/>
      <c r="KL60" s="49" t="n"/>
      <c r="KM60" s="49" t="n"/>
      <c r="KN60" s="49" t="n"/>
      <c r="KO60" s="49" t="n"/>
      <c r="KP60" s="49" t="n"/>
      <c r="KQ60" s="49" t="n"/>
      <c r="KR60" s="49" t="n"/>
      <c r="KS60" s="49" t="n"/>
      <c r="KT60" s="49" t="n"/>
      <c r="KU60" s="49" t="n"/>
      <c r="KV60" s="49" t="n"/>
      <c r="KW60" s="49" t="n"/>
      <c r="KX60" s="49" t="n"/>
      <c r="KY60" s="49" t="n"/>
      <c r="KZ60" s="49" t="n"/>
      <c r="LA60" s="49" t="n"/>
      <c r="LB60" s="49" t="n"/>
      <c r="LC60" s="49" t="n"/>
      <c r="LD60" s="49" t="n"/>
      <c r="LE60" s="49" t="n"/>
      <c r="LF60" s="49" t="n"/>
      <c r="LG60" s="49" t="n"/>
      <c r="LH60" s="49" t="n"/>
      <c r="LI60" s="49" t="n"/>
      <c r="LJ60" s="49" t="n"/>
      <c r="LK60" s="49" t="n"/>
      <c r="LL60" s="49" t="n"/>
      <c r="LM60" s="49" t="n"/>
      <c r="LN60" s="49" t="n"/>
      <c r="LO60" s="49" t="n"/>
      <c r="LP60" s="49" t="n"/>
      <c r="LQ60" s="49" t="n"/>
      <c r="LR60" s="49" t="n"/>
      <c r="LS60" s="49" t="n"/>
      <c r="LT60" s="49" t="n"/>
      <c r="LU60" s="49" t="n"/>
      <c r="LV60" s="49" t="n"/>
      <c r="LW60" s="49" t="n"/>
      <c r="LX60" s="49" t="n"/>
      <c r="LY60" s="49" t="n"/>
    </row>
    <row r="61">
      <c r="A61" s="215" t="inlineStr">
        <is>
          <t>TAG PAIS/24</t>
        </is>
      </c>
      <c r="B61" s="178" t="n"/>
      <c r="C61" s="115" t="n">
        <v>600</v>
      </c>
      <c r="CD61" s="6" t="n"/>
      <c r="CE61" s="6" t="n"/>
      <c r="CF61" s="6" t="n"/>
      <c r="CG61" s="6" t="n"/>
      <c r="CS61" s="6" t="n"/>
      <c r="CT61" s="6" t="n"/>
      <c r="CU61" s="6" t="n"/>
      <c r="CV61" s="6" t="n"/>
      <c r="CW61" s="6" t="n"/>
      <c r="CX61" s="6" t="n"/>
      <c r="CY61" s="6" t="n"/>
      <c r="CZ61" s="6" t="n"/>
      <c r="DA61" s="6" t="n"/>
      <c r="DC61" s="6" t="n"/>
      <c r="DD61" s="6" t="n"/>
      <c r="DE61" s="6" t="n"/>
      <c r="DF61" s="6" t="n"/>
      <c r="DH61" s="6" t="n"/>
      <c r="DI61" s="6" t="n"/>
      <c r="DJ61" s="6" t="n"/>
      <c r="DK61" s="6" t="n"/>
      <c r="DL61" s="6" t="n"/>
      <c r="DM61" s="6" t="n"/>
      <c r="DN61" s="6" t="n"/>
      <c r="DO61" s="53" t="n"/>
      <c r="DP61" s="6" t="n"/>
      <c r="DQ61" s="53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6" t="n"/>
      <c r="EA61" s="6" t="n"/>
      <c r="EB61" s="6" t="n"/>
      <c r="EC61" s="6" t="n"/>
      <c r="ED61" s="6" t="n"/>
      <c r="EE61" s="6" t="n"/>
      <c r="EF61" s="6" t="n"/>
      <c r="EG61" s="6" t="n"/>
      <c r="EH61" s="6" t="n"/>
      <c r="EI61" s="269" t="n"/>
      <c r="EJ61" s="6" t="n"/>
      <c r="EK61" s="6" t="n"/>
      <c r="EM61" s="6" t="n"/>
      <c r="EN61" s="6" t="n"/>
      <c r="EO61" s="6" t="n"/>
      <c r="EP61" s="6" t="n"/>
      <c r="EQ61" s="289" t="n"/>
      <c r="EX61" s="289" t="n"/>
      <c r="FA61" s="6" t="n"/>
      <c r="FH61" s="6" t="n"/>
      <c r="FX61" s="49" t="n"/>
      <c r="FY61" s="49" t="n"/>
      <c r="FZ61" s="49" t="n"/>
      <c r="GA61" s="49" t="n"/>
      <c r="GB61" s="49" t="n"/>
      <c r="GC61" s="49" t="n"/>
      <c r="GD61" s="49" t="n"/>
      <c r="GE61" s="49" t="n"/>
      <c r="GF61" s="49" t="n"/>
      <c r="GG61" s="49" t="n"/>
      <c r="GH61" s="49" t="n"/>
      <c r="GI61" s="49" t="n"/>
      <c r="GJ61" s="49" t="n"/>
      <c r="GK61" s="49" t="n"/>
      <c r="GL61" s="49" t="n"/>
      <c r="GM61" s="49" t="n"/>
      <c r="GN61" s="49" t="n"/>
      <c r="GO61" s="49" t="n"/>
      <c r="GP61" s="49" t="n"/>
      <c r="GQ61" s="49" t="n"/>
      <c r="GR61" s="49" t="n"/>
      <c r="HD61" s="49" t="n"/>
      <c r="HE61" s="49" t="n"/>
      <c r="HF61" s="49" t="n"/>
      <c r="HG61" s="49" t="n"/>
      <c r="HH61" s="49" t="n"/>
      <c r="HI61" s="49" t="n"/>
      <c r="HJ61" s="49" t="n"/>
      <c r="HK61" s="49" t="n"/>
      <c r="HL61" s="49" t="n"/>
      <c r="HM61" s="49" t="n"/>
      <c r="HN61" s="49" t="n"/>
      <c r="HO61" s="49" t="n"/>
      <c r="HR61" s="49" t="n"/>
      <c r="HS61" s="49" t="n"/>
      <c r="HT61" s="49" t="n"/>
      <c r="HU61" s="49" t="n"/>
      <c r="HV61" s="49" t="n"/>
      <c r="HW61" s="49" t="n"/>
      <c r="HX61" s="49" t="n"/>
      <c r="HY61" s="49" t="n"/>
      <c r="HZ61" s="49" t="n"/>
      <c r="IA61" s="49" t="n"/>
      <c r="IB61" s="49" t="n"/>
      <c r="IC61" s="49" t="n"/>
      <c r="ID61" s="49" t="n"/>
      <c r="IE61" s="49" t="n"/>
      <c r="IF61" s="49" t="n"/>
      <c r="IJ61" s="49" t="n"/>
      <c r="IK61" s="49" t="n"/>
      <c r="IL61" s="49" t="n"/>
      <c r="IN61" s="49" t="n"/>
      <c r="IO61" s="49" t="n"/>
      <c r="IP61" s="49" t="n"/>
      <c r="IQ61" s="49" t="n"/>
      <c r="IR61" s="49" t="n"/>
      <c r="IS61" s="49" t="n"/>
      <c r="IT61" s="49" t="n"/>
      <c r="IU61" s="49" t="n"/>
      <c r="IV61" s="49" t="n"/>
      <c r="IW61" s="49" t="n"/>
      <c r="IX61" s="49" t="n"/>
      <c r="IY61" s="49" t="n"/>
      <c r="IZ61" s="49" t="n"/>
      <c r="JA61" s="49" t="n"/>
      <c r="JB61" s="49" t="n"/>
      <c r="JC61" s="49" t="n"/>
      <c r="JD61" s="49" t="n"/>
      <c r="JE61" s="49" t="n"/>
      <c r="JF61" s="49" t="n"/>
      <c r="JG61" s="49" t="n"/>
      <c r="JH61" s="49" t="n"/>
      <c r="JI61" s="49" t="n"/>
      <c r="JJ61" s="49" t="n"/>
      <c r="JK61" s="49" t="n"/>
      <c r="JL61" s="49" t="n"/>
      <c r="JM61" s="49" t="n"/>
      <c r="JN61" s="49" t="n"/>
      <c r="JO61" s="49" t="n"/>
      <c r="JP61" s="49" t="n"/>
      <c r="JQ61" s="49" t="n"/>
      <c r="JR61" s="49" t="n"/>
      <c r="JS61" s="49" t="n"/>
      <c r="JT61" s="49" t="n"/>
      <c r="JU61" s="49" t="n"/>
      <c r="JV61" s="167" t="n"/>
      <c r="JW61" s="49" t="n"/>
      <c r="JX61" s="167" t="n"/>
      <c r="JY61" s="49" t="n"/>
      <c r="JZ61" s="49" t="n"/>
      <c r="KA61" s="49" t="n"/>
      <c r="KB61" s="49" t="n"/>
      <c r="KC61" s="49" t="n"/>
      <c r="KD61" s="49" t="n"/>
      <c r="KE61" s="49" t="n"/>
      <c r="KF61" s="49" t="n"/>
      <c r="KG61" s="49" t="n"/>
      <c r="KH61" s="49" t="n"/>
      <c r="KI61" s="168" t="n"/>
      <c r="KJ61" s="49" t="n"/>
      <c r="KK61" s="49" t="n"/>
      <c r="KL61" s="49" t="n"/>
      <c r="KM61" s="49" t="n"/>
      <c r="KN61" s="49" t="n"/>
      <c r="KO61" s="49" t="n"/>
      <c r="KP61" s="49" t="n"/>
      <c r="KQ61" s="49" t="n"/>
      <c r="KR61" s="49" t="n"/>
      <c r="KS61" s="49" t="n"/>
      <c r="KT61" s="49" t="n"/>
      <c r="KU61" s="49" t="n"/>
      <c r="KV61" s="49" t="n"/>
      <c r="KW61" s="49" t="n"/>
      <c r="KX61" s="49" t="n"/>
      <c r="KY61" s="49" t="n"/>
      <c r="KZ61" s="49" t="n"/>
      <c r="LA61" s="49" t="n"/>
      <c r="LB61" s="49" t="n"/>
      <c r="LC61" s="49" t="n"/>
      <c r="LD61" s="49" t="n"/>
      <c r="LE61" s="49" t="n"/>
      <c r="LF61" s="49" t="n"/>
      <c r="LG61" s="49" t="n"/>
      <c r="LH61" s="49" t="n"/>
      <c r="LI61" s="49" t="n"/>
      <c r="LJ61" s="49" t="n"/>
      <c r="LK61" s="49" t="n"/>
      <c r="LL61" s="49" t="n"/>
      <c r="LM61" s="49" t="n"/>
      <c r="LN61" s="49" t="n"/>
      <c r="LO61" s="49" t="n"/>
      <c r="LP61" s="49" t="n"/>
      <c r="LQ61" s="49" t="n"/>
      <c r="LR61" s="49" t="n"/>
      <c r="LS61" s="49" t="n"/>
      <c r="LT61" s="49" t="n"/>
      <c r="LU61" s="49" t="n"/>
      <c r="LV61" s="49" t="n"/>
      <c r="LW61" s="49" t="n"/>
      <c r="LX61" s="49" t="n"/>
      <c r="LY61" s="49" t="n"/>
    </row>
    <row r="62">
      <c r="C62" s="191" t="n"/>
      <c r="D62" s="191" t="n"/>
      <c r="CD62" s="6" t="n"/>
      <c r="CE62" s="6" t="n"/>
      <c r="CF62" s="6" t="n"/>
      <c r="CG62" s="6" t="n"/>
      <c r="CS62" s="6" t="n"/>
      <c r="CT62" s="6" t="n"/>
      <c r="CU62" s="6" t="n"/>
      <c r="CV62" s="6" t="n"/>
      <c r="CW62" s="6" t="n"/>
      <c r="CX62" s="6" t="n"/>
      <c r="CY62" s="6" t="n"/>
      <c r="CZ62" s="6" t="n"/>
      <c r="DA62" s="6" t="n"/>
      <c r="DC62" s="6" t="n"/>
      <c r="DD62" s="6" t="n"/>
      <c r="DE62" s="6" t="n"/>
      <c r="DF62" s="6" t="n"/>
      <c r="DH62" s="6" t="n"/>
      <c r="DI62" s="6" t="n"/>
      <c r="DJ62" s="6" t="n"/>
      <c r="DK62" s="6" t="n"/>
      <c r="DL62" s="6" t="n"/>
      <c r="DM62" s="6" t="n"/>
      <c r="DN62" s="6" t="n"/>
      <c r="DO62" s="6" t="n"/>
      <c r="DP62" s="6" t="n"/>
      <c r="DQ62" s="6" t="n"/>
      <c r="DR62" s="6" t="n"/>
      <c r="DS62" s="6" t="n"/>
      <c r="DT62" s="6" t="n"/>
      <c r="DU62" s="6" t="n"/>
      <c r="DV62" s="6" t="n"/>
      <c r="DW62" s="6" t="n"/>
      <c r="DX62" s="6" t="n"/>
      <c r="DY62" s="6" t="n"/>
      <c r="DZ62" s="6" t="n"/>
      <c r="EA62" s="6" t="n"/>
      <c r="EB62" s="58" t="n"/>
      <c r="EC62" s="6" t="n"/>
      <c r="ED62" s="6" t="n"/>
      <c r="EE62" s="6" t="n"/>
      <c r="EF62" s="6" t="n"/>
      <c r="EG62" s="6" t="n"/>
      <c r="EH62" s="6" t="n"/>
      <c r="EI62" s="269" t="n"/>
      <c r="EJ62" s="6" t="n"/>
      <c r="EK62" s="6" t="n"/>
      <c r="EL62" s="6" t="n"/>
      <c r="EM62" s="6" t="n"/>
      <c r="EN62" s="6" t="n"/>
      <c r="EO62" s="6" t="n"/>
      <c r="EP62" s="6" t="n"/>
      <c r="EQ62" s="289" t="n"/>
      <c r="ER62" s="6" t="n"/>
      <c r="ES62" s="6" t="n"/>
      <c r="ET62" s="6" t="n"/>
      <c r="EU62" s="6" t="n"/>
      <c r="EV62" s="6" t="n"/>
      <c r="EW62" s="6" t="n"/>
      <c r="EX62" s="289" t="n"/>
      <c r="EY62" s="6" t="n"/>
      <c r="EZ62" s="6" t="n"/>
      <c r="FA62" s="6" t="n"/>
      <c r="FB62" s="6" t="n"/>
      <c r="FC62" s="6" t="n"/>
      <c r="FD62" s="6" t="n"/>
      <c r="FE62" s="6" t="n"/>
      <c r="FF62" s="6" t="n"/>
      <c r="FG62" s="6" t="n"/>
      <c r="FH62" s="6" t="n"/>
      <c r="FI62" s="6" t="n"/>
      <c r="FJ62" s="6" t="n"/>
      <c r="FK62" s="6" t="n"/>
      <c r="FX62" s="49" t="n"/>
      <c r="FY62" s="49" t="n"/>
      <c r="FZ62" s="49" t="n"/>
      <c r="GA62" s="49" t="n"/>
      <c r="GB62" s="49" t="n"/>
      <c r="GC62" s="49" t="n"/>
      <c r="GD62" s="49" t="n"/>
      <c r="GE62" s="49" t="n"/>
      <c r="GF62" s="49" t="n"/>
      <c r="GG62" s="49" t="n"/>
      <c r="GH62" s="49" t="n"/>
      <c r="GI62" s="49" t="n"/>
      <c r="GJ62" s="49" t="n"/>
      <c r="GK62" s="49" t="n"/>
      <c r="GL62" s="49" t="n"/>
      <c r="GM62" s="49" t="n"/>
      <c r="GN62" s="49" t="n"/>
      <c r="GO62" s="49" t="n"/>
      <c r="GP62" s="49" t="n"/>
      <c r="GQ62" s="49" t="n"/>
      <c r="GR62" s="49" t="n"/>
      <c r="HD62" s="49" t="n"/>
      <c r="HE62" s="49" t="n"/>
      <c r="HF62" s="49" t="n"/>
      <c r="HG62" s="49" t="n"/>
      <c r="HH62" s="49" t="n"/>
      <c r="HI62" s="49" t="n"/>
      <c r="HJ62" s="49" t="n"/>
      <c r="HK62" s="49" t="n"/>
      <c r="HL62" s="49" t="n"/>
      <c r="HM62" s="49" t="n"/>
      <c r="HN62" s="49" t="n"/>
      <c r="HO62" s="49" t="n"/>
      <c r="HR62" s="49" t="n"/>
      <c r="HS62" s="49" t="n"/>
      <c r="HT62" s="49" t="n"/>
      <c r="HU62" s="49" t="n"/>
      <c r="HV62" s="49" t="n"/>
      <c r="HW62" s="49" t="n"/>
      <c r="HX62" s="49" t="n"/>
      <c r="HY62" s="49" t="n"/>
      <c r="HZ62" s="49" t="n"/>
      <c r="IA62" s="49" t="n"/>
      <c r="IB62" s="49" t="n"/>
      <c r="IC62" s="49" t="n"/>
      <c r="ID62" s="49" t="n"/>
      <c r="IE62" s="49" t="n"/>
      <c r="IF62" s="49" t="n"/>
      <c r="IJ62" s="49" t="n"/>
      <c r="IK62" s="49" t="n"/>
      <c r="IL62" s="49" t="n"/>
      <c r="IN62" s="49" t="n"/>
      <c r="IO62" s="49" t="n"/>
      <c r="IP62" s="49" t="n"/>
      <c r="IQ62" s="49" t="n"/>
      <c r="IR62" s="49" t="n"/>
      <c r="IS62" s="49" t="n"/>
      <c r="IT62" s="49" t="n"/>
      <c r="IU62" s="49" t="n"/>
      <c r="IV62" s="49" t="n"/>
      <c r="IW62" s="49" t="n"/>
      <c r="IX62" s="49" t="n"/>
      <c r="IY62" s="49" t="n"/>
      <c r="IZ62" s="49" t="n"/>
      <c r="JA62" s="49" t="n"/>
      <c r="JB62" s="49" t="n"/>
      <c r="JC62" s="49" t="n"/>
      <c r="JD62" s="49" t="n"/>
      <c r="JE62" s="49" t="n"/>
      <c r="JF62" s="49" t="n"/>
      <c r="JG62" s="49" t="n"/>
      <c r="JH62" s="49" t="n"/>
      <c r="JI62" s="49" t="n"/>
      <c r="JJ62" s="49" t="n"/>
      <c r="JK62" s="49" t="n"/>
      <c r="JL62" s="49" t="n"/>
      <c r="JM62" s="49" t="n"/>
      <c r="JN62" s="49" t="n"/>
      <c r="JO62" s="49" t="n"/>
      <c r="JP62" s="49" t="n"/>
      <c r="JQ62" s="49" t="n"/>
      <c r="JR62" s="49" t="n"/>
      <c r="JS62" s="49" t="n"/>
      <c r="JT62" s="49" t="n"/>
      <c r="JU62" s="49" t="n"/>
      <c r="JV62" s="167" t="n"/>
      <c r="JW62" s="49" t="n"/>
      <c r="JX62" s="167" t="n"/>
      <c r="JY62" s="49" t="n"/>
      <c r="JZ62" s="49" t="n"/>
      <c r="KA62" s="49" t="n"/>
      <c r="KB62" s="49" t="n"/>
      <c r="KC62" s="49" t="n"/>
      <c r="KD62" s="49" t="n"/>
      <c r="KE62" s="49" t="n"/>
      <c r="KF62" s="49" t="n"/>
      <c r="KG62" s="49" t="n"/>
      <c r="KH62" s="49" t="n"/>
      <c r="KI62" s="168" t="n"/>
      <c r="KJ62" s="49" t="n"/>
      <c r="KK62" s="49" t="n"/>
      <c r="KL62" s="49" t="n"/>
      <c r="KM62" s="49" t="n"/>
      <c r="KN62" s="49" t="n"/>
      <c r="KO62" s="49" t="n"/>
      <c r="KP62" s="49" t="n"/>
      <c r="KQ62" s="49" t="n"/>
      <c r="KR62" s="49" t="n"/>
      <c r="KS62" s="49" t="n"/>
      <c r="KT62" s="49" t="n"/>
      <c r="KU62" s="49" t="n"/>
      <c r="KV62" s="49" t="n"/>
      <c r="KW62" s="49" t="n"/>
      <c r="KX62" s="49" t="n"/>
      <c r="KY62" s="49" t="n"/>
      <c r="KZ62" s="49" t="n"/>
      <c r="LA62" s="49" t="n"/>
      <c r="LB62" s="49" t="n"/>
      <c r="LC62" s="49" t="n"/>
      <c r="LD62" s="49" t="n"/>
      <c r="LE62" s="49" t="n"/>
      <c r="LF62" s="49" t="n"/>
      <c r="LG62" s="49" t="n"/>
      <c r="LH62" s="49" t="n"/>
      <c r="LI62" s="49" t="n"/>
      <c r="LJ62" s="49" t="n"/>
      <c r="LK62" s="49" t="n"/>
      <c r="LL62" s="49" t="n"/>
      <c r="LM62" s="49" t="n"/>
      <c r="LN62" s="49" t="n"/>
      <c r="LO62" s="49" t="n"/>
      <c r="LP62" s="49" t="n"/>
      <c r="LQ62" s="49" t="n"/>
      <c r="LR62" s="49" t="n"/>
      <c r="LS62" s="49" t="n"/>
      <c r="LT62" s="49" t="n"/>
      <c r="LU62" s="49" t="n"/>
      <c r="LV62" s="49" t="n"/>
      <c r="LW62" s="49" t="n"/>
      <c r="LX62" s="49" t="n"/>
      <c r="LY62" s="49" t="n"/>
    </row>
    <row r="63">
      <c r="CD63" s="6" t="n"/>
      <c r="CE63" s="6" t="n"/>
      <c r="CF63" s="6" t="n"/>
      <c r="CG63" s="6" t="n"/>
      <c r="CS63" s="6" t="n"/>
      <c r="CT63" s="6" t="n"/>
      <c r="CU63" s="6" t="n"/>
      <c r="CV63" s="6" t="n"/>
      <c r="CW63" s="6" t="n"/>
      <c r="CX63" s="6" t="n"/>
      <c r="CY63" s="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L63" s="6" t="n"/>
      <c r="DM63" s="6" t="n"/>
      <c r="DN63" s="6" t="n"/>
      <c r="DO63" s="6" t="n"/>
      <c r="DP63" s="6" t="n"/>
      <c r="DQ63" s="6" t="n"/>
      <c r="DR63" s="6" t="n"/>
      <c r="DS63" s="6" t="n"/>
      <c r="DT63" s="6" t="n"/>
      <c r="DU63" s="6" t="n"/>
      <c r="DV63" s="58" t="n"/>
      <c r="DW63" s="6" t="n"/>
      <c r="DX63" s="6" t="n"/>
      <c r="DY63" s="6" t="n"/>
      <c r="DZ63" s="6" t="n"/>
      <c r="EA63" s="6" t="n"/>
      <c r="EB63" s="58" t="n"/>
      <c r="EC63" s="58" t="n"/>
      <c r="ED63" s="6" t="n"/>
      <c r="EE63" s="6" t="n"/>
      <c r="EF63" s="6" t="n"/>
      <c r="EG63" s="6" t="n"/>
      <c r="EH63" s="6" t="n"/>
      <c r="EI63" s="269" t="n"/>
      <c r="EJ63" s="6" t="n"/>
      <c r="EK63" s="6" t="n"/>
      <c r="EL63" s="6" t="n"/>
      <c r="EM63" s="6" t="n"/>
      <c r="EN63" s="6" t="n"/>
      <c r="EO63" s="6" t="n"/>
      <c r="EP63" s="6" t="n"/>
      <c r="EQ63" s="290" t="n"/>
      <c r="ER63" s="6" t="n"/>
      <c r="ES63" s="6" t="n"/>
      <c r="ET63" s="6" t="n"/>
      <c r="EU63" s="6" t="n"/>
      <c r="EV63" s="6" t="n"/>
      <c r="EW63" s="6" t="n"/>
      <c r="EX63" s="290" t="n"/>
      <c r="EY63" s="6" t="n"/>
      <c r="EZ63" s="6" t="n"/>
      <c r="FA63" s="6" t="n"/>
      <c r="FB63" s="6" t="n"/>
      <c r="FC63" s="6" t="n"/>
      <c r="FD63" s="6" t="n"/>
      <c r="FE63" s="6" t="n"/>
      <c r="FF63" s="6" t="n"/>
      <c r="FG63" s="6" t="n"/>
      <c r="FI63" s="6" t="n"/>
      <c r="FJ63" s="6" t="n"/>
      <c r="FK63" s="6" t="n"/>
      <c r="FX63" s="49" t="n"/>
      <c r="FY63" s="49" t="n"/>
      <c r="FZ63" s="49" t="n"/>
      <c r="GA63" s="49" t="n"/>
      <c r="GB63" s="49" t="n"/>
      <c r="GC63" s="49" t="n"/>
      <c r="GD63" s="49" t="n"/>
      <c r="GE63" s="49" t="n"/>
      <c r="GF63" s="49" t="n"/>
      <c r="GG63" s="49" t="n"/>
      <c r="GH63" s="49" t="n"/>
      <c r="GI63" s="49" t="n"/>
      <c r="GJ63" s="49" t="n"/>
      <c r="GK63" s="49" t="n"/>
      <c r="GL63" s="49" t="n"/>
      <c r="GM63" s="49" t="n"/>
      <c r="GN63" s="49" t="n"/>
      <c r="GO63" s="49" t="n"/>
      <c r="GP63" s="49" t="n"/>
      <c r="GQ63" s="49" t="n"/>
      <c r="GR63" s="49" t="n"/>
      <c r="HD63" s="49" t="n"/>
      <c r="HE63" s="49" t="n"/>
      <c r="HF63" s="49" t="n"/>
      <c r="HG63" s="49" t="n"/>
      <c r="HH63" s="49" t="n"/>
      <c r="HI63" s="49" t="n"/>
      <c r="HJ63" s="49" t="n"/>
      <c r="HK63" s="49" t="n"/>
      <c r="HL63" s="49" t="n"/>
      <c r="HM63" s="49" t="n"/>
      <c r="HN63" s="49" t="n"/>
      <c r="HO63" s="49" t="n"/>
      <c r="HR63" s="49" t="n"/>
      <c r="HS63" s="49" t="n"/>
      <c r="HT63" s="49" t="n"/>
      <c r="HU63" s="49" t="n"/>
      <c r="HV63" s="49" t="n"/>
      <c r="HW63" s="49" t="n"/>
      <c r="HX63" s="49" t="n"/>
      <c r="HY63" s="49" t="n"/>
      <c r="HZ63" s="49" t="n"/>
      <c r="IA63" s="49" t="n"/>
      <c r="IB63" s="49" t="n"/>
      <c r="IC63" s="49" t="n"/>
      <c r="ID63" s="49" t="n"/>
      <c r="IE63" s="49" t="n"/>
      <c r="IF63" s="49" t="n"/>
      <c r="IJ63" s="49" t="n"/>
      <c r="IK63" s="49" t="n"/>
      <c r="IL63" s="49" t="n"/>
      <c r="IN63" s="49" t="n"/>
      <c r="IO63" s="49" t="n"/>
      <c r="IP63" s="49" t="n"/>
      <c r="IQ63" s="49" t="n"/>
      <c r="IR63" s="49" t="n"/>
      <c r="IS63" s="49" t="n"/>
      <c r="IT63" s="49" t="n"/>
      <c r="IU63" s="49" t="n"/>
      <c r="IV63" s="49" t="n"/>
      <c r="IW63" s="49" t="n"/>
      <c r="IX63" s="49" t="n"/>
      <c r="IY63" s="49" t="n"/>
      <c r="IZ63" s="49" t="n"/>
      <c r="JA63" s="49" t="n"/>
      <c r="JB63" s="49" t="n"/>
      <c r="JC63" s="49" t="n"/>
      <c r="JD63" s="49" t="n"/>
      <c r="JE63" s="49" t="n"/>
      <c r="JF63" s="49" t="n"/>
      <c r="JG63" s="49" t="n"/>
      <c r="JH63" s="49" t="n"/>
      <c r="JI63" s="49" t="n"/>
      <c r="JJ63" s="49" t="n"/>
      <c r="JK63" s="49" t="n"/>
      <c r="JL63" s="49" t="n"/>
      <c r="JM63" s="49" t="n"/>
      <c r="JN63" s="49" t="n"/>
      <c r="JO63" s="49" t="n"/>
      <c r="JP63" s="49" t="n"/>
      <c r="JQ63" s="49" t="n"/>
      <c r="JR63" s="49" t="n"/>
      <c r="JS63" s="49" t="n"/>
      <c r="JT63" s="49" t="n"/>
      <c r="JU63" s="49" t="n"/>
      <c r="JV63" s="167" t="n"/>
      <c r="JW63" s="49" t="n"/>
      <c r="JX63" s="167" t="n"/>
      <c r="JY63" s="49" t="n"/>
      <c r="JZ63" s="49" t="n"/>
      <c r="KA63" s="49" t="n"/>
      <c r="KB63" s="49" t="n"/>
      <c r="KC63" s="49" t="n"/>
      <c r="KD63" s="49" t="n"/>
      <c r="KE63" s="49" t="n"/>
      <c r="KF63" s="49" t="n"/>
      <c r="KG63" s="49" t="n"/>
      <c r="KH63" s="49" t="n"/>
      <c r="KI63" s="168" t="n"/>
      <c r="KJ63" s="49" t="n"/>
      <c r="KK63" s="49" t="n"/>
      <c r="KL63" s="49" t="n"/>
      <c r="KM63" s="49" t="n"/>
      <c r="KN63" s="49" t="n"/>
      <c r="KO63" s="49" t="n"/>
      <c r="KP63" s="49" t="n"/>
      <c r="KQ63" s="49" t="n"/>
      <c r="KR63" s="49" t="n"/>
      <c r="KS63" s="49" t="n"/>
      <c r="KT63" s="49" t="n"/>
      <c r="KU63" s="49" t="n"/>
      <c r="KV63" s="49" t="n"/>
      <c r="KW63" s="49" t="n"/>
      <c r="KX63" s="49" t="n"/>
      <c r="KY63" s="49" t="n"/>
      <c r="KZ63" s="49" t="n"/>
      <c r="LA63" s="49" t="n"/>
      <c r="LB63" s="49" t="n"/>
      <c r="LC63" s="49" t="n"/>
      <c r="LD63" s="49" t="n"/>
      <c r="LE63" s="49" t="n"/>
      <c r="LF63" s="49" t="n"/>
      <c r="LG63" s="49" t="n"/>
      <c r="LH63" s="49" t="n"/>
      <c r="LI63" s="49" t="n"/>
      <c r="LJ63" s="49" t="n"/>
      <c r="LK63" s="49" t="n"/>
      <c r="LL63" s="49" t="n"/>
      <c r="LM63" s="49" t="n"/>
      <c r="LN63" s="49" t="n"/>
      <c r="LO63" s="49" t="n"/>
      <c r="LP63" s="49" t="n"/>
      <c r="LQ63" s="49" t="n"/>
      <c r="LR63" s="49" t="n"/>
      <c r="LS63" s="49" t="n"/>
      <c r="LT63" s="49" t="n"/>
      <c r="LU63" s="49" t="n"/>
      <c r="LV63" s="49" t="n"/>
      <c r="LW63" s="49" t="n"/>
      <c r="LX63" s="49" t="n"/>
      <c r="LY63" s="49" t="n"/>
    </row>
    <row r="64">
      <c r="A64" s="699" t="inlineStr">
        <is>
          <t>FLACONETES</t>
        </is>
      </c>
      <c r="B64" s="658" t="n"/>
      <c r="C64" s="658" t="n"/>
      <c r="D64" s="670" t="n"/>
      <c r="F64" s="671" t="n">
        <v>45656</v>
      </c>
      <c r="G64" s="671" t="n">
        <v>45663</v>
      </c>
      <c r="H64" s="671" t="n">
        <v>45670</v>
      </c>
      <c r="I64" s="671" t="n">
        <v>45677</v>
      </c>
      <c r="J64" s="671" t="n">
        <v>45684</v>
      </c>
      <c r="K64" s="671" t="n">
        <v>45691</v>
      </c>
      <c r="L64" s="671" t="n">
        <v>45698</v>
      </c>
      <c r="M64" s="671" t="n">
        <v>45705</v>
      </c>
      <c r="N64" s="671" t="n">
        <v>45712</v>
      </c>
      <c r="O64" s="671" t="n">
        <v>45719</v>
      </c>
      <c r="P64" s="671" t="n">
        <v>45726</v>
      </c>
      <c r="Q64" s="671" t="n">
        <v>45733</v>
      </c>
      <c r="R64" s="671" t="n">
        <v>45740</v>
      </c>
      <c r="S64" s="671" t="n">
        <v>45747</v>
      </c>
      <c r="T64" s="671" t="n">
        <v>45754</v>
      </c>
      <c r="U64" s="671" t="n">
        <v>45761</v>
      </c>
      <c r="V64" s="671" t="n">
        <v>45768</v>
      </c>
      <c r="W64" s="671" t="n">
        <v>45775</v>
      </c>
      <c r="X64" s="671" t="n">
        <v>45782</v>
      </c>
      <c r="Y64" s="671" t="n">
        <v>45789</v>
      </c>
      <c r="Z64" s="671" t="n">
        <v>45796</v>
      </c>
      <c r="AA64" s="671" t="n">
        <v>45803</v>
      </c>
      <c r="AB64" s="671" t="n">
        <v>45810</v>
      </c>
      <c r="AC64" s="671" t="n">
        <v>45817</v>
      </c>
      <c r="AD64" s="671" t="n">
        <v>45824</v>
      </c>
      <c r="AE64" s="671" t="n">
        <v>45831</v>
      </c>
      <c r="AF64" s="671" t="n">
        <v>45838</v>
      </c>
      <c r="AG64" s="671" t="n">
        <v>45845</v>
      </c>
      <c r="AH64" s="671" t="n">
        <v>45852</v>
      </c>
      <c r="AI64" s="671" t="n">
        <v>45859</v>
      </c>
      <c r="AJ64" s="671" t="n">
        <v>45866</v>
      </c>
      <c r="AK64" s="671" t="n">
        <v>45873</v>
      </c>
      <c r="AL64" s="671" t="n">
        <v>45880</v>
      </c>
      <c r="AM64" s="671" t="n">
        <v>45887</v>
      </c>
      <c r="AN64" s="671" t="n">
        <v>45894</v>
      </c>
      <c r="AO64" s="671" t="n">
        <v>45901</v>
      </c>
      <c r="AP64" s="671" t="n">
        <v>45908</v>
      </c>
      <c r="AQ64" s="671" t="n">
        <v>45915</v>
      </c>
      <c r="AR64" s="671" t="n">
        <v>45922</v>
      </c>
      <c r="AS64" s="671" t="n">
        <v>45929</v>
      </c>
      <c r="AT64" s="671" t="n">
        <v>45936</v>
      </c>
      <c r="AU64" s="671" t="n">
        <v>45943</v>
      </c>
      <c r="AV64" s="671" t="n">
        <v>45950</v>
      </c>
      <c r="AW64" s="671" t="n">
        <v>45957</v>
      </c>
      <c r="AX64" s="671" t="n">
        <v>45964</v>
      </c>
      <c r="AY64" s="671" t="n">
        <v>45971</v>
      </c>
      <c r="AZ64" s="671" t="n">
        <v>45978</v>
      </c>
      <c r="BA64" s="671" t="n">
        <v>45985</v>
      </c>
      <c r="BB64" s="671" t="n">
        <v>45992</v>
      </c>
      <c r="BC64" s="671" t="n">
        <v>45999</v>
      </c>
      <c r="BD64" s="671" t="n">
        <v>46006</v>
      </c>
      <c r="BE64" s="671" t="n">
        <v>46013</v>
      </c>
      <c r="BF64" s="671" t="n">
        <v>46020</v>
      </c>
      <c r="BG64" s="671" t="n">
        <v>46027</v>
      </c>
      <c r="BH64" s="671" t="n">
        <v>46034</v>
      </c>
      <c r="BI64" s="671" t="n">
        <v>46041</v>
      </c>
      <c r="BJ64" s="671" t="n">
        <v>46048</v>
      </c>
      <c r="BK64" s="671" t="n">
        <v>46055</v>
      </c>
      <c r="BL64" s="671" t="n">
        <v>46062</v>
      </c>
      <c r="BM64" s="671" t="n">
        <v>46069</v>
      </c>
      <c r="BN64" s="671" t="n">
        <v>46076</v>
      </c>
      <c r="BO64" s="671" t="n">
        <v>46083</v>
      </c>
      <c r="BP64" s="671" t="n">
        <v>46090</v>
      </c>
      <c r="BQ64" s="671" t="n">
        <v>46097</v>
      </c>
      <c r="BR64" s="671" t="n">
        <v>46104</v>
      </c>
      <c r="BS64" s="671" t="n">
        <v>46111</v>
      </c>
      <c r="BT64" s="671" t="n">
        <v>46118</v>
      </c>
      <c r="BU64" s="671" t="n">
        <v>46125</v>
      </c>
      <c r="BV64" s="671" t="n">
        <v>46132</v>
      </c>
      <c r="BW64" s="671" t="n">
        <v>46139</v>
      </c>
      <c r="BX64" s="671" t="n">
        <v>46146</v>
      </c>
      <c r="BY64" s="671" t="n">
        <v>46154</v>
      </c>
      <c r="BZ64" s="671" t="n">
        <v>46160</v>
      </c>
      <c r="CA64" s="671" t="n">
        <v>46160</v>
      </c>
      <c r="CD64" s="6" t="n"/>
      <c r="CE64" s="6" t="n"/>
      <c r="CF64" s="6" t="n"/>
      <c r="CG64" s="6" t="n"/>
      <c r="CS64" s="6" t="n"/>
      <c r="CT64" s="6" t="n"/>
      <c r="CU64" s="6" t="n"/>
      <c r="CV64" s="6" t="n"/>
      <c r="CW64" s="6" t="n"/>
      <c r="CX64" s="6" t="n"/>
      <c r="CY64" s="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58" t="n"/>
      <c r="DP64" s="6" t="n"/>
      <c r="DQ64" s="58" t="n"/>
      <c r="DR64" s="6" t="n"/>
      <c r="DS64" s="6" t="n"/>
      <c r="DT64" s="6" t="n"/>
      <c r="DU64" s="6" t="n"/>
      <c r="DV64" s="58" t="n"/>
      <c r="DW64" s="6" t="n"/>
      <c r="DX64" s="6" t="n"/>
      <c r="DY64" s="6" t="n"/>
      <c r="DZ64" s="6" t="n"/>
      <c r="EA64" s="6" t="n"/>
      <c r="EB64" s="58" t="n"/>
      <c r="EC64" s="58" t="n"/>
      <c r="ED64" s="6" t="n"/>
      <c r="EE64" s="6" t="n"/>
      <c r="EF64" s="6" t="n"/>
      <c r="EG64" s="6" t="n"/>
      <c r="EH64" s="6" t="n"/>
      <c r="EI64" s="269" t="n"/>
      <c r="EJ64" s="6" t="n"/>
      <c r="EK64" s="6" t="n"/>
      <c r="EL64" s="6" t="n"/>
      <c r="EM64" s="6" t="n"/>
      <c r="EN64" s="6" t="n"/>
      <c r="EO64" s="6" t="n"/>
      <c r="EP64" s="6" t="n"/>
      <c r="EQ64" s="290" t="n"/>
      <c r="ER64" s="6" t="n"/>
      <c r="ES64" s="6" t="n"/>
      <c r="ET64" s="6" t="n"/>
      <c r="EU64" s="6" t="n"/>
      <c r="EV64" s="6" t="n"/>
      <c r="EW64" s="6" t="n"/>
      <c r="EX64" s="290" t="n"/>
      <c r="EY64" s="6" t="n"/>
      <c r="EZ64" s="6" t="n"/>
      <c r="FA64" s="6" t="n"/>
      <c r="FB64" s="6" t="n"/>
      <c r="FC64" s="6" t="n"/>
      <c r="FD64" s="6" t="n"/>
      <c r="FE64" s="6" t="n"/>
      <c r="FF64" s="6" t="n"/>
      <c r="FG64" s="6" t="n"/>
      <c r="FI64" s="6" t="n"/>
      <c r="FJ64" s="6" t="n"/>
      <c r="FK64" s="6" t="n"/>
      <c r="FX64" s="49" t="n"/>
      <c r="FY64" s="49" t="n"/>
      <c r="FZ64" s="49" t="n"/>
      <c r="GA64" s="49" t="n"/>
      <c r="GB64" s="49" t="n"/>
      <c r="GC64" s="49" t="n"/>
      <c r="GD64" s="49" t="n"/>
      <c r="GE64" s="49" t="n"/>
      <c r="GF64" s="49" t="n"/>
      <c r="GG64" s="49" t="n"/>
      <c r="GH64" s="49" t="n"/>
      <c r="GI64" s="49" t="n"/>
      <c r="GJ64" s="49" t="n"/>
      <c r="GK64" s="49" t="n"/>
      <c r="GL64" s="49" t="n"/>
      <c r="GM64" s="49" t="n"/>
      <c r="GN64" s="49" t="n"/>
      <c r="GO64" s="49" t="n"/>
      <c r="GP64" s="49" t="n"/>
      <c r="GQ64" s="49" t="n"/>
      <c r="GR64" s="49" t="n"/>
      <c r="HD64" s="49" t="n"/>
      <c r="HE64" s="49" t="n"/>
      <c r="HF64" s="49" t="n"/>
      <c r="HG64" s="49" t="n"/>
      <c r="HH64" s="49" t="n"/>
      <c r="HI64" s="49" t="n"/>
      <c r="HJ64" s="49" t="n"/>
      <c r="HK64" s="49" t="n"/>
      <c r="HL64" s="49" t="n"/>
      <c r="HM64" s="49" t="n"/>
      <c r="HN64" s="49" t="n"/>
      <c r="HO64" s="49" t="n"/>
      <c r="HR64" s="49" t="n"/>
      <c r="HS64" s="49" t="n"/>
      <c r="HT64" s="49" t="n"/>
      <c r="HU64" s="49" t="n"/>
      <c r="HV64" s="49" t="n"/>
      <c r="HW64" s="49" t="n"/>
      <c r="HX64" s="49" t="n"/>
      <c r="HY64" s="49" t="n"/>
      <c r="HZ64" s="49" t="n"/>
      <c r="IA64" s="49" t="n"/>
      <c r="IB64" s="49" t="n"/>
      <c r="IC64" s="49" t="n"/>
      <c r="ID64" s="49" t="n"/>
      <c r="IE64" s="49" t="n"/>
      <c r="IF64" s="49" t="n"/>
      <c r="IJ64" s="49" t="n"/>
      <c r="IK64" s="49" t="n"/>
      <c r="IL64" s="49" t="n"/>
      <c r="IN64" s="49" t="n"/>
      <c r="IO64" s="49" t="n"/>
      <c r="IP64" s="49" t="n"/>
      <c r="IQ64" s="49" t="n"/>
      <c r="IR64" s="49" t="n"/>
      <c r="IS64" s="49" t="n"/>
      <c r="IT64" s="49" t="n"/>
      <c r="IU64" s="49" t="n"/>
      <c r="IV64" s="49" t="n"/>
      <c r="IW64" s="49" t="n"/>
      <c r="IX64" s="49" t="n"/>
      <c r="IY64" s="49" t="n"/>
      <c r="IZ64" s="49" t="n"/>
      <c r="JA64" s="49" t="n"/>
      <c r="JB64" s="49" t="n"/>
      <c r="JC64" s="49" t="n"/>
      <c r="JD64" s="49" t="n"/>
      <c r="JE64" s="49" t="n"/>
      <c r="JF64" s="49" t="n"/>
      <c r="JG64" s="49" t="n"/>
      <c r="JH64" s="49" t="n"/>
      <c r="JI64" s="49" t="n"/>
      <c r="JJ64" s="49" t="n"/>
      <c r="JK64" s="49" t="n"/>
      <c r="JL64" s="49" t="n"/>
      <c r="JM64" s="49" t="n"/>
      <c r="JN64" s="49" t="n"/>
      <c r="JO64" s="49" t="n"/>
      <c r="JP64" s="49" t="n"/>
      <c r="JQ64" s="49" t="n"/>
      <c r="JR64" s="49" t="n"/>
      <c r="JS64" s="49" t="n"/>
      <c r="JT64" s="49" t="n"/>
      <c r="JU64" s="49" t="n"/>
      <c r="JV64" s="167" t="n"/>
      <c r="JW64" s="49" t="n"/>
      <c r="JX64" s="167" t="n"/>
      <c r="JY64" s="49" t="n"/>
      <c r="JZ64" s="49" t="n"/>
      <c r="KA64" s="49" t="n"/>
      <c r="KB64" s="49" t="n"/>
      <c r="KC64" s="49" t="n"/>
      <c r="KD64" s="49" t="n"/>
      <c r="KE64" s="49" t="n"/>
      <c r="KF64" s="49" t="n"/>
      <c r="KG64" s="49" t="n"/>
      <c r="KH64" s="49" t="n"/>
      <c r="KI64" s="168" t="n"/>
      <c r="KJ64" s="49" t="n"/>
      <c r="KK64" s="49" t="n"/>
      <c r="KL64" s="49" t="n"/>
      <c r="KM64" s="49" t="n"/>
      <c r="KN64" s="49" t="n"/>
      <c r="KO64" s="49" t="n"/>
      <c r="KP64" s="49" t="n"/>
      <c r="KQ64" s="49" t="n"/>
      <c r="KR64" s="49" t="n"/>
      <c r="KS64" s="49" t="n"/>
      <c r="KT64" s="49" t="n"/>
      <c r="KU64" s="49" t="n"/>
      <c r="KV64" s="49" t="n"/>
      <c r="KW64" s="49" t="n"/>
      <c r="KX64" s="49" t="n"/>
      <c r="KY64" s="49" t="n"/>
      <c r="KZ64" s="49" t="n"/>
      <c r="LA64" s="49" t="n"/>
      <c r="LB64" s="49" t="n"/>
      <c r="LC64" s="49" t="n"/>
      <c r="LD64" s="49" t="n"/>
      <c r="LE64" s="49" t="n"/>
      <c r="LF64" s="49" t="n"/>
      <c r="LG64" s="49" t="n"/>
      <c r="LH64" s="49" t="n"/>
      <c r="LI64" s="49" t="n"/>
      <c r="LJ64" s="49" t="n"/>
      <c r="LK64" s="49" t="n"/>
      <c r="LL64" s="49" t="n"/>
      <c r="LM64" s="49" t="n"/>
      <c r="LN64" s="49" t="n"/>
      <c r="LO64" s="49" t="n"/>
      <c r="LP64" s="49" t="n"/>
      <c r="LQ64" s="49" t="n"/>
      <c r="LR64" s="49" t="n"/>
      <c r="LS64" s="49" t="n"/>
      <c r="LT64" s="49" t="n"/>
      <c r="LU64" s="49" t="n"/>
      <c r="LV64" s="49" t="n"/>
      <c r="LW64" s="49" t="n"/>
      <c r="LX64" s="49" t="n"/>
      <c r="LY64" s="49" t="n"/>
    </row>
    <row r="65" hidden="1" ht="18.75" customHeight="1">
      <c r="A65" s="674" t="inlineStr">
        <is>
          <t>COFFEE ADDICTIVE</t>
        </is>
      </c>
      <c r="B65" s="658" t="n"/>
      <c r="C65" s="658" t="n"/>
      <c r="D65" s="670" t="n"/>
      <c r="F65" s="116" t="n">
        <v>145</v>
      </c>
      <c r="G65" s="116" t="n">
        <v>145</v>
      </c>
      <c r="H65" s="116" t="n">
        <v>145</v>
      </c>
      <c r="I65" s="116" t="n">
        <v>145</v>
      </c>
      <c r="J65" s="116" t="n">
        <v>145</v>
      </c>
      <c r="K65" s="116" t="n">
        <v>145</v>
      </c>
      <c r="L65" s="116" t="n">
        <v>145</v>
      </c>
      <c r="M65" s="116" t="n">
        <v>145</v>
      </c>
      <c r="N65" s="116" t="n">
        <v>140</v>
      </c>
      <c r="O65" s="116" t="n">
        <v>140</v>
      </c>
      <c r="P65" s="116" t="n">
        <v>140</v>
      </c>
      <c r="Q65" s="116" t="n">
        <v>140</v>
      </c>
      <c r="R65" s="116" t="n">
        <v>140</v>
      </c>
      <c r="S65" s="116" t="n">
        <v>140</v>
      </c>
      <c r="T65" s="116" t="n">
        <v>130</v>
      </c>
      <c r="U65" s="116" t="n">
        <v>130</v>
      </c>
      <c r="V65" s="116" t="n">
        <v>130</v>
      </c>
      <c r="W65" s="116" t="n">
        <v>130</v>
      </c>
      <c r="X65" s="116" t="n">
        <v>130</v>
      </c>
      <c r="Y65" s="116" t="n">
        <v>130</v>
      </c>
      <c r="Z65" s="116" t="n">
        <v>140</v>
      </c>
      <c r="AA65" s="116" t="n">
        <v>124</v>
      </c>
      <c r="AB65" s="116" t="n">
        <v>124</v>
      </c>
      <c r="AC65" s="116" t="n">
        <v>124</v>
      </c>
      <c r="AD65" s="116" t="n">
        <v>107</v>
      </c>
      <c r="AE65" s="116" t="n">
        <v>107</v>
      </c>
      <c r="AF65" s="116" t="n">
        <v>107</v>
      </c>
      <c r="AG65" s="116" t="n">
        <v>100</v>
      </c>
      <c r="AH65" s="116" t="n">
        <v>100</v>
      </c>
      <c r="AI65" s="116" t="n">
        <v>100</v>
      </c>
      <c r="AJ65" s="116" t="n">
        <v>100</v>
      </c>
      <c r="AK65" s="116" t="n">
        <v>100</v>
      </c>
      <c r="AL65" s="116" t="n">
        <v>100</v>
      </c>
      <c r="AM65" s="116" t="n">
        <v>100</v>
      </c>
      <c r="AN65" s="116" t="n">
        <v>100</v>
      </c>
      <c r="AO65" s="116" t="n">
        <v>100</v>
      </c>
      <c r="AP65" s="116" t="n">
        <v>50</v>
      </c>
      <c r="AQ65" s="116" t="n">
        <v>50</v>
      </c>
      <c r="AR65" s="116" t="n">
        <v>50</v>
      </c>
      <c r="AS65" s="116" t="n">
        <v>50</v>
      </c>
      <c r="AT65" s="116" t="n">
        <v>50</v>
      </c>
      <c r="AU65" s="116" t="n">
        <v>50</v>
      </c>
      <c r="AV65" s="116" t="n">
        <v>50</v>
      </c>
      <c r="AW65" s="116" t="n">
        <v>40</v>
      </c>
      <c r="AX65" s="116" t="n">
        <v>40</v>
      </c>
      <c r="AY65" s="116" t="n">
        <v>40</v>
      </c>
      <c r="AZ65" s="116" t="n">
        <v>25</v>
      </c>
      <c r="BA65" s="116" t="n">
        <v>25</v>
      </c>
      <c r="BB65" s="116" t="n">
        <v>25</v>
      </c>
      <c r="BC65" s="116" t="n">
        <v>25</v>
      </c>
      <c r="BD65" s="116" t="n">
        <v>25</v>
      </c>
      <c r="BE65" s="116" t="n">
        <v>25</v>
      </c>
      <c r="BF65" s="116" t="n">
        <v>25</v>
      </c>
      <c r="BG65" s="116" t="n">
        <v>25</v>
      </c>
      <c r="BH65" s="116" t="n">
        <v>25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/>
      <c r="BZ65" s="116" t="n"/>
      <c r="CA65" s="116" t="n"/>
    </row>
    <row r="66" hidden="1" ht="18.75" customHeight="1">
      <c r="A66" s="674" t="inlineStr">
        <is>
          <t>MALBEC ICON</t>
        </is>
      </c>
      <c r="B66" s="658" t="n"/>
      <c r="C66" s="658" t="n"/>
      <c r="D66" s="670" t="n"/>
      <c r="F66" s="116" t="n">
        <v>130</v>
      </c>
      <c r="G66" s="116" t="n">
        <v>130</v>
      </c>
      <c r="H66" s="116" t="n">
        <v>120</v>
      </c>
      <c r="I66" s="116" t="n">
        <v>120</v>
      </c>
      <c r="J66" s="116" t="n">
        <v>120</v>
      </c>
      <c r="K66" s="116" t="n">
        <v>120</v>
      </c>
      <c r="L66" s="116" t="n">
        <v>120</v>
      </c>
      <c r="M66" s="116" t="n">
        <v>120</v>
      </c>
      <c r="N66" s="116" t="n">
        <v>105</v>
      </c>
      <c r="O66" s="116" t="n">
        <v>105</v>
      </c>
      <c r="P66" s="116" t="n">
        <v>105</v>
      </c>
      <c r="Q66" s="116" t="n">
        <v>105</v>
      </c>
      <c r="R66" s="116" t="n">
        <v>105</v>
      </c>
      <c r="S66" s="116" t="n">
        <v>105</v>
      </c>
      <c r="T66" s="116" t="n">
        <v>0</v>
      </c>
      <c r="U66" s="116" t="n">
        <v>0</v>
      </c>
      <c r="V66" s="116" t="n"/>
      <c r="W66" s="116" t="n"/>
      <c r="X66" s="116" t="n"/>
      <c r="Y66" s="116" t="n">
        <v>0</v>
      </c>
      <c r="Z66" s="116" t="n">
        <v>105</v>
      </c>
      <c r="AA66" s="116" t="n">
        <v>93</v>
      </c>
      <c r="AB66" s="116" t="n">
        <v>93</v>
      </c>
      <c r="AC66" s="116" t="n">
        <v>93</v>
      </c>
      <c r="AD66" s="116" t="n">
        <v>80</v>
      </c>
      <c r="AE66" s="116" t="n">
        <v>80</v>
      </c>
      <c r="AF66" s="116" t="n">
        <v>80</v>
      </c>
      <c r="AG66" s="116" t="n">
        <v>80</v>
      </c>
      <c r="AH66" s="116" t="n">
        <v>80</v>
      </c>
      <c r="AI66" s="116" t="n">
        <v>80</v>
      </c>
      <c r="AJ66" s="116" t="n">
        <v>80</v>
      </c>
      <c r="AK66" s="116" t="n">
        <v>80</v>
      </c>
      <c r="AL66" s="116" t="n">
        <v>80</v>
      </c>
      <c r="AM66" s="116" t="n">
        <v>80</v>
      </c>
      <c r="AN66" s="116" t="n">
        <v>80</v>
      </c>
      <c r="AO66" s="116" t="n">
        <v>80</v>
      </c>
      <c r="AP66" s="116" t="n">
        <v>30</v>
      </c>
      <c r="AQ66" s="116" t="n">
        <v>30</v>
      </c>
      <c r="AR66" s="116" t="n">
        <v>30</v>
      </c>
      <c r="AS66" s="116" t="n">
        <v>30</v>
      </c>
      <c r="AT66" s="116" t="n">
        <v>30</v>
      </c>
      <c r="AU66" s="116" t="n">
        <v>30</v>
      </c>
      <c r="AV66" s="116" t="n">
        <v>30</v>
      </c>
      <c r="AW66" s="116" t="n">
        <v>30</v>
      </c>
      <c r="AX66" s="116" t="n">
        <v>30</v>
      </c>
      <c r="AY66" s="116" t="n">
        <v>30</v>
      </c>
      <c r="AZ66" s="116" t="n">
        <v>15</v>
      </c>
      <c r="BA66" s="116" t="n">
        <v>15</v>
      </c>
      <c r="BB66" s="116" t="n">
        <v>15</v>
      </c>
      <c r="BC66" s="116" t="n">
        <v>15</v>
      </c>
      <c r="BD66" s="116" t="n">
        <v>15</v>
      </c>
      <c r="BE66" s="116" t="n">
        <v>15</v>
      </c>
      <c r="BF66" s="116" t="n">
        <v>15</v>
      </c>
      <c r="BG66" s="116" t="n">
        <v>15</v>
      </c>
      <c r="BH66" s="116" t="n">
        <v>15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/>
      <c r="BZ66" s="116" t="n"/>
      <c r="CA66" s="116" t="n"/>
    </row>
    <row r="67" hidden="1" ht="18.75" customHeight="1">
      <c r="A67" s="674" t="inlineStr">
        <is>
          <t>NBA</t>
        </is>
      </c>
      <c r="B67" s="658" t="n"/>
      <c r="C67" s="658" t="n"/>
      <c r="D67" s="670" t="n"/>
      <c r="N67" s="116" t="n">
        <v>0</v>
      </c>
      <c r="O67" s="116" t="n">
        <v>80</v>
      </c>
      <c r="P67" s="116" t="n">
        <v>80</v>
      </c>
      <c r="Q67" s="116" t="n">
        <v>80</v>
      </c>
      <c r="R67" s="116" t="n">
        <v>80</v>
      </c>
      <c r="S67" s="116" t="n">
        <v>80</v>
      </c>
      <c r="T67" s="116" t="n">
        <v>70</v>
      </c>
      <c r="U67" s="116" t="n">
        <v>70</v>
      </c>
      <c r="V67" s="116" t="n">
        <v>70</v>
      </c>
      <c r="W67" s="116" t="n">
        <v>70</v>
      </c>
      <c r="X67" s="116" t="n">
        <v>70</v>
      </c>
      <c r="Y67" s="116" t="n">
        <v>70</v>
      </c>
      <c r="Z67" s="116" t="n">
        <v>80</v>
      </c>
      <c r="AA67" s="116" t="n">
        <v>75</v>
      </c>
      <c r="AB67" s="116" t="n">
        <v>75</v>
      </c>
      <c r="AC67" s="116" t="n">
        <v>75</v>
      </c>
      <c r="AD67" s="116" t="n">
        <v>80</v>
      </c>
      <c r="AE67" s="116" t="n">
        <v>80</v>
      </c>
      <c r="AF67" s="116" t="n">
        <v>80</v>
      </c>
      <c r="AG67" s="116" t="n">
        <v>70</v>
      </c>
      <c r="AH67" s="116" t="n">
        <v>70</v>
      </c>
      <c r="AI67" s="116" t="n">
        <v>70</v>
      </c>
      <c r="AJ67" s="116" t="n">
        <v>70</v>
      </c>
      <c r="AK67" s="116" t="n">
        <v>70</v>
      </c>
      <c r="AL67" s="116" t="n">
        <v>70</v>
      </c>
      <c r="AM67" s="116" t="n">
        <v>70</v>
      </c>
      <c r="AN67" s="116" t="n">
        <v>70</v>
      </c>
      <c r="AO67" s="116" t="n">
        <v>70</v>
      </c>
      <c r="AP67" s="116" t="n">
        <v>40</v>
      </c>
      <c r="AQ67" s="116" t="n">
        <v>40</v>
      </c>
      <c r="AR67" s="116" t="n">
        <v>40</v>
      </c>
      <c r="AS67" s="116" t="n">
        <v>40</v>
      </c>
      <c r="AT67" s="116" t="n">
        <v>40</v>
      </c>
      <c r="AU67" s="116" t="n">
        <v>40</v>
      </c>
      <c r="AV67" s="116" t="n">
        <v>40</v>
      </c>
      <c r="AW67" s="116" t="n">
        <v>25</v>
      </c>
      <c r="AX67" s="116" t="n">
        <v>25</v>
      </c>
      <c r="AY67" s="116" t="n">
        <v>25</v>
      </c>
      <c r="AZ67" s="116" t="n">
        <v>15</v>
      </c>
      <c r="BA67" s="116" t="n">
        <v>15</v>
      </c>
      <c r="BB67" s="116" t="n">
        <v>15</v>
      </c>
      <c r="BC67" s="116" t="n">
        <v>15</v>
      </c>
      <c r="BD67" s="116" t="n">
        <v>15</v>
      </c>
      <c r="BE67" s="116" t="n">
        <v>15</v>
      </c>
      <c r="BF67" s="116" t="n">
        <v>15</v>
      </c>
      <c r="BG67" s="116" t="n">
        <v>15</v>
      </c>
      <c r="BH67" s="116" t="n">
        <v>15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/>
      <c r="BZ67" s="116" t="n"/>
      <c r="CA67" s="116" t="n"/>
    </row>
    <row r="68" hidden="1" ht="18.75" customHeight="1">
      <c r="A68" s="674" t="inlineStr">
        <is>
          <t>ARBO ATLANTICA</t>
        </is>
      </c>
      <c r="B68" s="658" t="n"/>
      <c r="C68" s="658" t="n"/>
      <c r="D68" s="670" t="n"/>
      <c r="S68" s="116" t="n">
        <v>0</v>
      </c>
      <c r="T68" s="116" t="n">
        <v>170</v>
      </c>
      <c r="U68" s="116" t="n">
        <v>170</v>
      </c>
      <c r="V68" s="116" t="n">
        <v>170</v>
      </c>
      <c r="W68" s="116" t="n">
        <v>170</v>
      </c>
      <c r="X68" s="116" t="n">
        <v>170</v>
      </c>
      <c r="Y68" s="116" t="n">
        <v>170</v>
      </c>
      <c r="Z68" s="116" t="n">
        <v>0</v>
      </c>
      <c r="AA68" s="116" t="n">
        <v>159</v>
      </c>
      <c r="AB68" s="116" t="n">
        <v>159</v>
      </c>
      <c r="AC68" s="116" t="n">
        <v>159</v>
      </c>
      <c r="AD68" s="116" t="n">
        <v>190</v>
      </c>
      <c r="AE68" s="116" t="n">
        <v>190</v>
      </c>
      <c r="AF68" s="116" t="n">
        <v>190</v>
      </c>
      <c r="AG68" s="116" t="n">
        <v>65</v>
      </c>
      <c r="AH68" s="116" t="n">
        <v>65</v>
      </c>
      <c r="AI68" s="116" t="n">
        <v>65</v>
      </c>
      <c r="AJ68" s="116" t="n">
        <v>65</v>
      </c>
      <c r="AK68" s="116" t="n">
        <v>65</v>
      </c>
      <c r="AL68" s="116" t="n">
        <v>65</v>
      </c>
      <c r="AM68" s="116" t="n">
        <v>65</v>
      </c>
      <c r="AN68" s="116" t="n">
        <v>65</v>
      </c>
      <c r="AO68" s="116" t="n">
        <v>65</v>
      </c>
      <c r="AP68" s="116" t="n">
        <v>35</v>
      </c>
      <c r="AQ68" s="116" t="n">
        <v>35</v>
      </c>
      <c r="AR68" s="116" t="n">
        <v>35</v>
      </c>
      <c r="AS68" s="116" t="n">
        <v>35</v>
      </c>
      <c r="AT68" s="116" t="n">
        <v>35</v>
      </c>
      <c r="AU68" s="116" t="n">
        <v>35</v>
      </c>
      <c r="AV68" s="116" t="n">
        <v>35</v>
      </c>
      <c r="AW68" s="116" t="n">
        <v>25</v>
      </c>
      <c r="AX68" s="116" t="n">
        <v>25</v>
      </c>
      <c r="AY68" s="116" t="n">
        <v>25</v>
      </c>
      <c r="AZ68" s="116" t="n">
        <v>10</v>
      </c>
      <c r="BA68" s="116" t="n">
        <v>10</v>
      </c>
      <c r="BB68" s="116" t="n">
        <v>10</v>
      </c>
      <c r="BC68" s="116" t="n">
        <v>10</v>
      </c>
      <c r="BD68" s="116" t="n">
        <v>10</v>
      </c>
      <c r="BE68" s="116" t="n">
        <v>10</v>
      </c>
      <c r="BF68" s="116" t="n">
        <v>10</v>
      </c>
      <c r="BG68" s="116" t="n">
        <v>10</v>
      </c>
      <c r="BH68" s="116" t="n">
        <v>10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/>
      <c r="BZ68" s="116" t="n"/>
      <c r="CA68" s="116" t="n"/>
    </row>
    <row r="69" hidden="1" ht="18.75" customHeight="1">
      <c r="A69" s="674" t="inlineStr">
        <is>
          <t>ZAAD INTENSE</t>
        </is>
      </c>
      <c r="B69" s="658" t="n"/>
      <c r="C69" s="658" t="n"/>
      <c r="D69" s="670" t="n"/>
      <c r="AV69" s="116" t="n">
        <v>0</v>
      </c>
      <c r="AW69" s="116" t="n">
        <v>15</v>
      </c>
      <c r="AX69" s="116" t="n">
        <v>15</v>
      </c>
      <c r="AY69" s="116" t="n">
        <v>15</v>
      </c>
      <c r="AZ69" s="116" t="n">
        <v>5</v>
      </c>
      <c r="BA69" s="116" t="n">
        <v>5</v>
      </c>
      <c r="BB69" s="116" t="n">
        <v>5</v>
      </c>
      <c r="BC69" s="116" t="n">
        <v>5</v>
      </c>
      <c r="BD69" s="116" t="n">
        <v>5</v>
      </c>
      <c r="BE69" s="116" t="n">
        <v>5</v>
      </c>
      <c r="BF69" s="116" t="n">
        <v>5</v>
      </c>
      <c r="BG69" s="116" t="n">
        <v>5</v>
      </c>
      <c r="BH69" s="116" t="n">
        <v>5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/>
      <c r="BZ69" s="116" t="n"/>
      <c r="CA69" s="116" t="n"/>
    </row>
    <row r="70">
      <c r="A70" s="674" t="inlineStr">
        <is>
          <t>SACHÊ AMEIXA DOURADA</t>
        </is>
      </c>
      <c r="B70" s="658" t="n"/>
      <c r="C70" s="658" t="n"/>
      <c r="D70" s="670" t="n"/>
      <c r="BK70" s="116" t="n">
        <v>0</v>
      </c>
      <c r="BL70" s="116" t="n">
        <v>50</v>
      </c>
      <c r="BM70" s="116" t="n">
        <v>50</v>
      </c>
      <c r="BN70" s="116" t="n">
        <v>50</v>
      </c>
      <c r="BO70" s="116" t="n">
        <v>50</v>
      </c>
      <c r="BP70" s="116" t="n">
        <v>30</v>
      </c>
      <c r="BQ70" s="116" t="n">
        <v>30</v>
      </c>
      <c r="BR70" s="116" t="n">
        <v>30</v>
      </c>
      <c r="BS70" s="116" t="n">
        <v>30</v>
      </c>
      <c r="BT70" s="116" t="n">
        <v>30</v>
      </c>
      <c r="BU70" s="116" t="n">
        <v>10</v>
      </c>
      <c r="BV70" s="116" t="n">
        <v>10</v>
      </c>
      <c r="BW70" s="116" t="n">
        <v>10</v>
      </c>
      <c r="BX70" s="116" t="n">
        <v>10</v>
      </c>
      <c r="BY70" s="116" t="n">
        <v>10</v>
      </c>
      <c r="BZ70" s="116" t="n"/>
      <c r="CA70" s="116" t="n"/>
    </row>
    <row r="71">
      <c r="A71" s="486" t="inlineStr">
        <is>
          <t>SACHÊ RESVERATROL + SILÍCIO</t>
        </is>
      </c>
      <c r="B71" s="487" t="n"/>
      <c r="C71" s="487" t="n"/>
      <c r="D71" s="488" t="n"/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17</v>
      </c>
      <c r="BV71" s="116" t="n">
        <v>17</v>
      </c>
      <c r="BW71" s="116" t="n">
        <v>17</v>
      </c>
      <c r="BX71" s="116" t="n">
        <v>17</v>
      </c>
      <c r="BY71" s="116" t="n">
        <v>17</v>
      </c>
      <c r="BZ71" s="116" t="n"/>
      <c r="CA71" s="116" t="n"/>
    </row>
    <row r="72">
      <c r="A72" s="486" t="inlineStr">
        <is>
          <t>SACHÊ BOTIK</t>
        </is>
      </c>
      <c r="B72" s="487" t="n"/>
      <c r="C72" s="487" t="n"/>
      <c r="D72" s="488" t="n"/>
      <c r="BR72" s="116" t="n">
        <v>0</v>
      </c>
      <c r="BS72" s="116" t="n">
        <v>0</v>
      </c>
      <c r="BT72" s="116" t="n">
        <v>0</v>
      </c>
      <c r="BU72" s="116" t="n">
        <v>15</v>
      </c>
      <c r="BV72" s="116" t="n">
        <v>15</v>
      </c>
      <c r="BW72" s="116" t="n">
        <v>15</v>
      </c>
      <c r="BX72" s="116" t="n">
        <v>15</v>
      </c>
      <c r="BY72" s="116" t="n">
        <v>15</v>
      </c>
      <c r="BZ72" s="116" t="n"/>
      <c r="CA72" s="116" t="n"/>
    </row>
    <row r="73">
      <c r="A73" s="486" t="inlineStr">
        <is>
          <t xml:space="preserve">SACHÊ CEREJA DE FASES </t>
        </is>
      </c>
      <c r="B73" s="487" t="n"/>
      <c r="C73" s="487" t="n"/>
      <c r="D73" s="488" t="n"/>
      <c r="BR73" s="116" t="n">
        <v>0</v>
      </c>
      <c r="BS73" s="116" t="n">
        <v>0</v>
      </c>
      <c r="BT73" s="116" t="n">
        <v>0</v>
      </c>
      <c r="BU73" s="116" t="n">
        <v>180</v>
      </c>
      <c r="BV73" s="116" t="n">
        <v>180</v>
      </c>
      <c r="BW73" s="116" t="n">
        <v>180</v>
      </c>
      <c r="BX73" s="116" t="n">
        <v>180</v>
      </c>
      <c r="BY73" s="116" t="n">
        <v>180</v>
      </c>
      <c r="BZ73" s="116" t="n"/>
      <c r="CA73" s="116" t="n"/>
    </row>
    <row r="74">
      <c r="A74" s="674" t="n"/>
      <c r="B74" s="658" t="n"/>
      <c r="C74" s="658" t="n"/>
      <c r="D74" s="670" t="n"/>
      <c r="BR74" s="116" t="n"/>
      <c r="BS74" s="116" t="n"/>
      <c r="BT74" s="116" t="n"/>
      <c r="BU74" s="116" t="n"/>
      <c r="BV74" s="116" t="n"/>
      <c r="BW74" s="116" t="n"/>
      <c r="BX74" s="116" t="n"/>
      <c r="BY74" s="116" t="n"/>
      <c r="BZ74" s="116" t="n"/>
      <c r="CA74" s="116" t="n"/>
    </row>
    <row r="75">
      <c r="A75" s="674" t="n"/>
      <c r="B75" s="658" t="n"/>
      <c r="C75" s="658" t="n"/>
      <c r="D75" s="670" t="n"/>
      <c r="BR75" s="116" t="n"/>
      <c r="BS75" s="116" t="n"/>
      <c r="BT75" s="116" t="n"/>
      <c r="BU75" s="116" t="n"/>
      <c r="BV75" s="116" t="n"/>
      <c r="BW75" s="116" t="n"/>
      <c r="BX75" s="116" t="n"/>
      <c r="BY75" s="116" t="n"/>
      <c r="BZ75" s="116" t="n"/>
      <c r="CA75" s="116" t="n"/>
    </row>
    <row r="76">
      <c r="A76" s="674" t="n"/>
      <c r="B76" s="658" t="n"/>
      <c r="C76" s="658" t="n"/>
      <c r="D76" s="670" t="n"/>
      <c r="BR76" s="116" t="n"/>
      <c r="BS76" s="116" t="n"/>
      <c r="BT76" s="116" t="n"/>
      <c r="BU76" s="116" t="n"/>
      <c r="BV76" s="116" t="n"/>
      <c r="BW76" s="116" t="n"/>
      <c r="BX76" s="116" t="n"/>
      <c r="BY76" s="116" t="n"/>
      <c r="BZ76" s="116" t="n"/>
      <c r="CA76" s="116" t="n"/>
    </row>
  </sheetData>
  <mergeCells count="19">
    <mergeCell ref="F5:BZ5"/>
    <mergeCell ref="A50:C50"/>
    <mergeCell ref="FM7:FU7"/>
    <mergeCell ref="A68:D68"/>
    <mergeCell ref="A67:D67"/>
    <mergeCell ref="A64:D64"/>
    <mergeCell ref="A5:A6"/>
    <mergeCell ref="A70:D70"/>
    <mergeCell ref="A69:D69"/>
    <mergeCell ref="A65:D65"/>
    <mergeCell ref="B5:B6"/>
    <mergeCell ref="A66:D66"/>
    <mergeCell ref="D5:D6"/>
    <mergeCell ref="A75:D75"/>
    <mergeCell ref="B3:D3"/>
    <mergeCell ref="A74:D74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6" fitToHeight="0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Planilha7">
    <tabColor theme="9"/>
    <outlinePr summaryBelow="1" summaryRight="1"/>
    <pageSetUpPr/>
  </sheetPr>
  <dimension ref="A1:KY64"/>
  <sheetViews>
    <sheetView showGridLines="0" zoomScale="80" zoomScaleNormal="80" workbookViewId="0">
      <selection activeCell="CB1" sqref="CB1:CB1048576"/>
    </sheetView>
  </sheetViews>
  <sheetFormatPr baseColWidth="8" defaultColWidth="9.140625" defaultRowHeight="18.75"/>
  <cols>
    <col width="25.42578125" customWidth="1" min="1" max="1"/>
    <col width="6.85546875" customWidth="1" min="2" max="2"/>
    <col hidden="1" width="15.28515625" customWidth="1" min="3" max="3"/>
    <col width="15.28515625" customWidth="1" min="4" max="4"/>
    <col width="1.85546875" customWidth="1" min="5" max="5"/>
    <col hidden="1" width="8.71093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710937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8.42578125" customWidth="1" min="84" max="84"/>
    <col width="1.7109375" customWidth="1" min="85" max="85"/>
    <col width="20.42578125" customWidth="1" min="86" max="86"/>
    <col width="14.28515625" customWidth="1" min="87" max="87"/>
    <col width="15.28515625" customWidth="1" min="88" max="88"/>
    <col width="1.7109375" customWidth="1" min="89" max="89"/>
    <col width="8.140625" customWidth="1" min="90" max="90"/>
    <col width="13" customWidth="1" min="91" max="91"/>
    <col hidden="1" width="13" customWidth="1" min="92" max="92"/>
    <col hidden="1" width="13" customWidth="1" min="93" max="93"/>
    <col hidden="1" width="8.7109375" customWidth="1" min="94" max="94"/>
    <col hidden="1" width="8.140625" customWidth="1" min="95" max="95"/>
    <col hidden="1" width="13" customWidth="1" min="96" max="96"/>
    <col hidden="1" width="13" customWidth="1" min="97" max="97"/>
    <col hidden="1" width="13.7109375" customWidth="1" min="98" max="98"/>
    <col hidden="1" width="13" customWidth="1" min="99" max="99"/>
    <col hidden="1" width="8.140625" customWidth="1" min="100" max="100"/>
    <col hidden="1" width="13" customWidth="1" min="101" max="101"/>
    <col hidden="1" width="13" customWidth="1" min="102" max="102"/>
    <col hidden="1" width="13.7109375" customWidth="1" min="103" max="103"/>
    <col hidden="1" width="8.140625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9.7109375" customWidth="1" min="113" max="113"/>
    <col hidden="1" width="13" customWidth="1" min="114" max="114"/>
    <col hidden="1" width="13" customWidth="1" min="115" max="115"/>
    <col hidden="1" width="13" customWidth="1" min="116" max="116"/>
    <col hidden="1" width="13.5703125" customWidth="1" min="117" max="117"/>
    <col hidden="1" width="9.7109375" customWidth="1" min="118" max="118"/>
    <col hidden="1" width="13" customWidth="1" min="119" max="119"/>
    <col hidden="1" width="8.7109375" customWidth="1" min="120" max="120"/>
    <col hidden="1" width="9.7109375" customWidth="1" min="121" max="121"/>
    <col hidden="1" width="13" customWidth="1" min="122" max="122"/>
    <col hidden="1" width="13" customWidth="1" min="123" max="123"/>
    <col hidden="1" width="13.85546875" customWidth="1" min="124" max="124"/>
    <col hidden="1" width="13" customWidth="1" min="125" max="125"/>
    <col hidden="1" width="9.7109375" customWidth="1" min="126" max="126"/>
    <col hidden="1" width="13" customWidth="1" min="127" max="127"/>
    <col hidden="1" width="13" customWidth="1" min="128" max="128"/>
    <col hidden="1" width="13" customWidth="1" min="129" max="129"/>
    <col hidden="1" width="13" customWidth="1" min="130" max="130"/>
    <col hidden="1" width="13" customWidth="1" min="131" max="131"/>
    <col hidden="1" width="13" customWidth="1" min="132" max="132"/>
    <col hidden="1" width="13" customWidth="1" min="133" max="133"/>
    <col hidden="1" width="13" customWidth="1" min="134" max="134"/>
    <col hidden="1" width="13" customWidth="1" min="135" max="135"/>
    <col hidden="1" width="13.7109375" customWidth="1" min="136" max="136"/>
    <col hidden="1" width="9.7109375" customWidth="1" min="137" max="137"/>
    <col hidden="1" width="13" customWidth="1" min="138" max="138"/>
    <col hidden="1" width="13" customWidth="1" min="139" max="139"/>
    <col hidden="1" width="17.5703125" customWidth="1" min="140" max="140"/>
    <col hidden="1" width="8.7109375" customWidth="1" min="141" max="141"/>
    <col hidden="1" width="9.7109375" customWidth="1" min="142" max="142"/>
    <col hidden="1" width="13" customWidth="1" min="143" max="143"/>
    <col hidden="1" width="24.28515625" customWidth="1" min="144" max="144"/>
    <col hidden="1" width="9.7109375" customWidth="1" min="145" max="145"/>
    <col hidden="1" width="13" customWidth="1" min="146" max="146"/>
    <col hidden="1" width="13" customWidth="1" min="147" max="147"/>
    <col hidden="1" width="13.28515625" customWidth="1" min="148" max="148"/>
    <col hidden="1" width="9.7109375" customWidth="1" min="149" max="149"/>
    <col hidden="1" width="24.28515625" customWidth="1" min="150" max="150"/>
    <col hidden="1" width="9.7109375" customWidth="1" min="151" max="151"/>
    <col hidden="1" width="13" customWidth="1" min="152" max="152"/>
    <col hidden="1" width="13" customWidth="1" min="153" max="153"/>
    <col hidden="1" width="14" customWidth="1" min="154" max="154"/>
    <col hidden="1" width="9.7109375" customWidth="1" min="155" max="155"/>
    <col hidden="1" width="13" customWidth="1" min="156" max="156"/>
    <col hidden="1" width="13" customWidth="1" min="157" max="157"/>
    <col hidden="1" width="13" customWidth="1" min="158" max="158"/>
    <col hidden="1" width="12.28515625" customWidth="1" min="159" max="159"/>
    <col hidden="1" width="9.7109375" customWidth="1" min="160" max="160"/>
    <col hidden="1" width="13" customWidth="1" min="161" max="161"/>
    <col hidden="1" width="12" customWidth="1" min="162" max="162"/>
    <col hidden="1" width="9.7109375" customWidth="1" min="163" max="163"/>
    <col hidden="1" width="13" customWidth="1" min="164" max="164"/>
    <col hidden="1" width="13" customWidth="1" min="165" max="165"/>
    <col hidden="1" width="13" customWidth="1" min="166" max="166"/>
    <col hidden="1" width="13" customWidth="1" min="167" max="167"/>
    <col hidden="1" width="13" customWidth="1" min="168" max="168"/>
    <col hidden="1" width="13" customWidth="1" min="169" max="169"/>
    <col hidden="1" width="13" customWidth="1" min="170" max="170"/>
    <col hidden="1" width="13" customWidth="1" min="171" max="171"/>
    <col hidden="1" width="13" customWidth="1" min="172" max="172"/>
    <col hidden="1" width="17.7109375" customWidth="1" min="173" max="173"/>
    <col hidden="1" width="22.85546875" customWidth="1" min="174" max="174"/>
    <col width="3.42578125" customWidth="1" min="175" max="175"/>
    <col width="3.7109375" customWidth="1" min="176" max="176"/>
    <col width="21.85546875" customWidth="1" min="177" max="177"/>
    <col width="9.140625" customWidth="1" min="178" max="178"/>
    <col hidden="1" width="13" customWidth="1" min="179" max="179"/>
    <col hidden="1" width="13" customWidth="1" min="180" max="180"/>
    <col hidden="1" width="13" customWidth="1" min="181" max="181"/>
    <col hidden="1" width="13" customWidth="1" min="182" max="182"/>
    <col hidden="1" width="13" customWidth="1" min="183" max="183"/>
    <col hidden="1" width="9.140625" customWidth="1" min="184" max="184"/>
    <col hidden="1" width="13" customWidth="1" min="185" max="185"/>
    <col hidden="1" width="13" customWidth="1" min="186" max="186"/>
    <col hidden="1" width="13" customWidth="1" min="187" max="187"/>
    <col hidden="1" width="13" customWidth="1" min="188" max="188"/>
    <col width="13" customWidth="1" min="189" max="189"/>
    <col width="13" customWidth="1" min="190" max="190"/>
    <col width="2.28515625" customWidth="1" min="192" max="192"/>
    <col width="9.140625" customWidth="1" min="193" max="193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4" t="n"/>
      <c r="CJ1" s="75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5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284" t="n"/>
      <c r="EY1" s="74" t="n"/>
      <c r="EZ1" s="74" t="n"/>
      <c r="FA1" s="74" t="n"/>
      <c r="FB1" s="74" t="n"/>
      <c r="FC1" s="74" t="n"/>
      <c r="FD1" s="74" t="n"/>
      <c r="FE1" s="74" t="n"/>
      <c r="FF1" s="28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</row>
    <row r="2">
      <c r="A2" s="50" t="inlineStr">
        <is>
          <t>LOJA:</t>
        </is>
      </c>
      <c r="B2" s="639" t="inlineStr">
        <is>
          <t>PERUÍBE</t>
        </is>
      </c>
      <c r="C2" s="640" t="n"/>
      <c r="D2" s="641" t="n"/>
      <c r="CH2" s="6" t="n"/>
      <c r="CI2" s="6" t="n"/>
      <c r="CJ2" s="6" t="n"/>
      <c r="CK2" s="6" t="n"/>
      <c r="CL2" s="6" t="n"/>
      <c r="CM2" s="6" t="n"/>
      <c r="CN2" s="6" t="n"/>
      <c r="CO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I2" s="6" t="n"/>
      <c r="DJ2" s="6" t="n"/>
      <c r="DK2" s="6" t="n"/>
      <c r="DL2" s="6" t="n"/>
      <c r="DN2" s="6" t="n"/>
      <c r="DO2" s="6" t="n"/>
      <c r="DQ2" s="6" t="n"/>
      <c r="DR2" s="6" t="n"/>
      <c r="DS2" s="6" t="n"/>
      <c r="DT2" s="6" t="n"/>
      <c r="DU2" s="6" t="n"/>
      <c r="DV2" s="6" t="n"/>
      <c r="DW2" s="6" t="n"/>
      <c r="DX2" s="6" t="n"/>
      <c r="DY2" s="6" t="n"/>
      <c r="DZ2" s="6" t="n"/>
      <c r="EA2" s="6" t="n"/>
      <c r="EB2" s="6" t="n"/>
      <c r="EC2" s="6" t="n"/>
      <c r="ED2" s="6" t="n"/>
      <c r="EE2" s="6" t="n"/>
      <c r="EG2" s="6" t="n"/>
      <c r="EH2" s="6" t="n"/>
      <c r="EI2" s="6" t="n"/>
      <c r="EL2" s="6" t="n"/>
      <c r="EM2" s="6" t="n"/>
      <c r="EO2" s="6" t="n"/>
      <c r="EP2" s="6" t="n"/>
      <c r="EQ2" s="6" t="n"/>
      <c r="ER2" s="6" t="n"/>
      <c r="ES2" s="6" t="n"/>
      <c r="ET2" s="6" t="n"/>
      <c r="EU2" s="6" t="n"/>
      <c r="EV2" s="6" t="n"/>
      <c r="EW2" s="6" t="n"/>
      <c r="EY2" s="6" t="n"/>
      <c r="EZ2" s="6" t="n"/>
      <c r="FA2" s="6" t="n"/>
      <c r="FB2" s="6" t="n"/>
      <c r="FC2" s="6" t="n"/>
      <c r="FD2" s="6" t="n"/>
      <c r="FE2" s="6" t="n"/>
      <c r="FG2" s="6" t="n"/>
      <c r="FH2" s="6" t="n"/>
      <c r="FI2" s="6" t="n"/>
      <c r="FJ2" s="6" t="n"/>
      <c r="FK2" s="6" t="n"/>
      <c r="FL2" s="6" t="n"/>
      <c r="FM2" s="6" t="n"/>
      <c r="FN2" s="6" t="n"/>
      <c r="FO2" s="6" t="n"/>
      <c r="FP2" s="6" t="n"/>
      <c r="FQ2" s="6" t="n"/>
    </row>
    <row r="3">
      <c r="A3" s="50" t="inlineStr">
        <is>
          <t>Responsável:</t>
        </is>
      </c>
      <c r="B3" s="253" t="inlineStr">
        <is>
          <t>MAURIZA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5" t="n"/>
      <c r="CD3" s="675" t="n"/>
      <c r="CE3" s="675" t="n"/>
      <c r="CF3" s="642" t="n"/>
      <c r="CG3" s="642" t="n"/>
      <c r="CH3" s="642" t="n"/>
      <c r="CI3" s="642" t="n"/>
      <c r="CK3" s="642" t="n"/>
      <c r="CL3" s="642" t="n"/>
      <c r="CM3" s="642" t="n"/>
      <c r="CN3" s="642" t="n"/>
      <c r="CO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D3" s="642" t="n"/>
      <c r="DE3" s="642" t="n"/>
      <c r="DF3" s="642" t="n"/>
      <c r="DH3" s="642" t="n"/>
      <c r="DI3" s="642" t="n"/>
      <c r="DJ3" s="642" t="n"/>
      <c r="DK3" s="642" t="n"/>
      <c r="DL3" s="642" t="n"/>
      <c r="DN3" s="642" t="n"/>
      <c r="DO3" s="642" t="n"/>
      <c r="DQ3" s="642" t="n"/>
      <c r="DR3" s="642" t="n"/>
      <c r="DS3" s="642" t="n"/>
      <c r="DT3" s="642" t="n"/>
      <c r="DU3" s="642" t="n"/>
      <c r="DV3" s="642" t="n"/>
      <c r="DW3" s="642" t="n"/>
      <c r="DX3" s="642" t="n"/>
      <c r="DY3" s="642" t="n"/>
      <c r="DZ3" s="642" t="n"/>
      <c r="EA3" s="642" t="n"/>
      <c r="EB3" s="642" t="n"/>
      <c r="EC3" s="642" t="n"/>
      <c r="ED3" s="642" t="n"/>
      <c r="EE3" s="642" t="n"/>
      <c r="EG3" s="642" t="n"/>
      <c r="EH3" s="642" t="n"/>
      <c r="EI3" s="642" t="n"/>
      <c r="EL3" s="642" t="n"/>
      <c r="EM3" s="642" t="n"/>
      <c r="EO3" s="642" t="n"/>
      <c r="EP3" s="642" t="n"/>
      <c r="EQ3" s="642" t="n"/>
      <c r="ER3" s="642" t="n"/>
      <c r="ES3" s="642" t="n"/>
      <c r="ET3" s="642" t="n"/>
      <c r="EU3" s="642" t="n"/>
      <c r="EV3" s="642" t="n"/>
      <c r="EW3" s="642" t="n"/>
      <c r="EY3" s="642" t="n"/>
      <c r="EZ3" s="642" t="n"/>
      <c r="FA3" s="642" t="n"/>
      <c r="FB3" s="642" t="n"/>
      <c r="FC3" s="642" t="n"/>
      <c r="FD3" s="642" t="n"/>
      <c r="FE3" s="642" t="n"/>
      <c r="FG3" s="642" t="n"/>
      <c r="FH3" s="642" t="n"/>
      <c r="FI3" s="642" t="n"/>
      <c r="FJ3" s="642" t="n"/>
      <c r="FK3" s="642" t="n"/>
      <c r="FL3" s="642" t="n"/>
      <c r="FM3" s="642" t="n"/>
      <c r="FN3" s="642" t="n"/>
      <c r="FO3" s="642" t="n"/>
      <c r="FP3" s="642" t="n"/>
      <c r="FQ3" s="642" t="n"/>
    </row>
    <row r="4">
      <c r="CH4" s="6" t="n"/>
      <c r="CI4" s="6" t="n"/>
      <c r="CJ4" s="6" t="n"/>
      <c r="CK4" s="6" t="n"/>
      <c r="CL4" s="6" t="n"/>
      <c r="CM4" s="6" t="n"/>
      <c r="CN4" s="6" t="n"/>
      <c r="CO4" s="6" t="n"/>
      <c r="CP4" s="254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254" t="n"/>
      <c r="DN4" s="6" t="n"/>
      <c r="DO4" s="6" t="n"/>
      <c r="DP4" s="254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254" t="n"/>
      <c r="EG4" s="6" t="n"/>
      <c r="EH4" s="6" t="n"/>
      <c r="EI4" s="6" t="n"/>
      <c r="EJ4" s="254" t="n"/>
      <c r="EK4" s="254" t="n"/>
      <c r="EL4" s="6" t="n"/>
      <c r="EM4" s="6" t="n"/>
      <c r="EO4" s="6" t="n"/>
      <c r="EP4" s="6" t="n"/>
      <c r="EQ4" s="6" t="n"/>
      <c r="ER4" s="6" t="n"/>
      <c r="ES4" s="6" t="n"/>
      <c r="ET4" s="6" t="n"/>
      <c r="EU4" s="6" t="n"/>
      <c r="EV4" s="6" t="n"/>
      <c r="EW4" s="6" t="n"/>
      <c r="EX4" s="286" t="n"/>
      <c r="EY4" s="6" t="n"/>
      <c r="EZ4" s="6" t="n"/>
      <c r="FA4" s="6" t="n"/>
      <c r="FB4" s="6" t="n"/>
      <c r="FC4" s="6" t="n"/>
      <c r="FD4" s="6" t="n"/>
      <c r="FE4" s="6" t="n"/>
      <c r="FF4" s="286" t="n"/>
      <c r="FG4" s="6" t="n"/>
      <c r="FH4" s="6" t="n"/>
      <c r="FI4" s="6" t="n"/>
      <c r="FJ4" s="6" t="n"/>
      <c r="FK4" s="6" t="n"/>
      <c r="FL4" s="6" t="n"/>
      <c r="FM4" s="6" t="n"/>
      <c r="FN4" s="6" t="n"/>
      <c r="FO4" s="6" t="n"/>
      <c r="FP4" s="6" t="n"/>
      <c r="FQ4" s="6" t="n"/>
      <c r="FR4" s="254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510" t="n"/>
      <c r="CF5" s="153" t="n"/>
      <c r="CH5" s="413" t="inlineStr">
        <is>
          <t>TRANSFERÊNCIA</t>
        </is>
      </c>
      <c r="CI5" s="35" t="inlineStr">
        <is>
          <t>Pendências</t>
        </is>
      </c>
      <c r="CJ5" s="12" t="inlineStr">
        <is>
          <t>Novo Pedido</t>
        </is>
      </c>
      <c r="CK5" s="677" t="n">
        <v>46161.48286838128</v>
      </c>
      <c r="CL5" s="646" t="n">
        <v>46156</v>
      </c>
      <c r="CM5" s="646" t="n">
        <v>46149</v>
      </c>
      <c r="CN5" s="646" t="n">
        <v>46142</v>
      </c>
      <c r="CO5" s="646" t="n">
        <v>46114</v>
      </c>
      <c r="CP5" s="647" t="n">
        <v>46065</v>
      </c>
      <c r="CQ5" s="646" t="n">
        <v>46099</v>
      </c>
      <c r="CR5" s="646" t="n">
        <v>46092</v>
      </c>
      <c r="CS5" s="646" t="n">
        <v>46092</v>
      </c>
      <c r="CT5" s="648" t="inlineStr">
        <is>
          <t>TRANSF.</t>
        </is>
      </c>
      <c r="CU5" s="648" t="inlineStr">
        <is>
          <t>TRANSF.</t>
        </is>
      </c>
      <c r="CV5" s="646" t="n">
        <v>46077</v>
      </c>
      <c r="CW5" s="646" t="n">
        <v>46071</v>
      </c>
      <c r="CX5" s="646" t="n">
        <v>46056</v>
      </c>
      <c r="CY5" s="648" t="inlineStr">
        <is>
          <t>TRANSF.</t>
        </is>
      </c>
      <c r="CZ5" s="646" t="n">
        <v>46048</v>
      </c>
      <c r="DA5" s="646" t="n">
        <v>46035</v>
      </c>
      <c r="DB5" s="646" t="n">
        <v>46035</v>
      </c>
      <c r="DC5" s="646" t="n">
        <v>46029</v>
      </c>
      <c r="DD5" s="646" t="n">
        <v>46017</v>
      </c>
      <c r="DE5" s="646" t="n">
        <v>46007</v>
      </c>
      <c r="DF5" s="646" t="n">
        <v>46001</v>
      </c>
      <c r="DG5" s="646" t="n">
        <v>45994</v>
      </c>
      <c r="DH5" s="646" t="n">
        <v>45973</v>
      </c>
      <c r="DI5" s="646" t="n">
        <v>45965</v>
      </c>
      <c r="DJ5" s="646" t="n">
        <v>45960</v>
      </c>
      <c r="DK5" s="646" t="n">
        <v>45951</v>
      </c>
      <c r="DL5" s="646" t="n">
        <v>45951</v>
      </c>
      <c r="DM5" s="678" t="inlineStr">
        <is>
          <t>TRANSF.</t>
        </is>
      </c>
      <c r="DN5" s="646" t="n">
        <v>45945</v>
      </c>
      <c r="DO5" s="646" t="n">
        <v>45937</v>
      </c>
      <c r="DP5" s="678" t="n">
        <v>45903</v>
      </c>
      <c r="DQ5" s="646" t="n">
        <v>45923</v>
      </c>
      <c r="DR5" s="646" t="n">
        <v>45931</v>
      </c>
      <c r="DS5" s="646" t="n">
        <v>45923</v>
      </c>
      <c r="DT5" s="679" t="inlineStr">
        <is>
          <t>TRANSF.</t>
        </is>
      </c>
      <c r="DU5" s="679" t="inlineStr">
        <is>
          <t>TRANSF.</t>
        </is>
      </c>
      <c r="DV5" s="646" t="n">
        <v>45915</v>
      </c>
      <c r="DW5" s="646" t="n">
        <v>45915</v>
      </c>
      <c r="DX5" s="646" t="n">
        <v>45909</v>
      </c>
      <c r="DY5" s="679" t="n">
        <v>45863</v>
      </c>
      <c r="DZ5" s="646" t="n">
        <v>45909</v>
      </c>
      <c r="EA5" s="646" t="n">
        <v>45903</v>
      </c>
      <c r="EB5" s="646" t="n">
        <v>45895</v>
      </c>
      <c r="EC5" s="646" t="n">
        <v>45888</v>
      </c>
      <c r="ED5" s="646" t="n">
        <v>45881</v>
      </c>
      <c r="EE5" s="646" t="n">
        <v>45874</v>
      </c>
      <c r="EF5" s="681" t="inlineStr">
        <is>
          <t>TRANSF.</t>
        </is>
      </c>
      <c r="EG5" s="646" t="n">
        <v>45853</v>
      </c>
      <c r="EH5" s="646" t="n">
        <v>45848</v>
      </c>
      <c r="EI5" s="646" t="n">
        <v>45839</v>
      </c>
      <c r="EJ5" s="681" t="inlineStr">
        <is>
          <t>AUTOMÁTICO</t>
        </is>
      </c>
      <c r="EK5" s="681" t="n">
        <v>45791</v>
      </c>
      <c r="EL5" s="646" t="n">
        <v>45832</v>
      </c>
      <c r="EM5" s="646" t="n">
        <v>45825</v>
      </c>
      <c r="EN5" s="704" t="inlineStr">
        <is>
          <t>TRANSF. DISNEY/24</t>
        </is>
      </c>
      <c r="EO5" s="646" t="n">
        <v>45825</v>
      </c>
      <c r="EP5" s="646" t="n">
        <v>45813</v>
      </c>
      <c r="EQ5" s="646" t="n">
        <v>45798</v>
      </c>
      <c r="ER5" s="648" t="inlineStr">
        <is>
          <t>TRANSF.</t>
        </is>
      </c>
      <c r="ES5" s="654" t="n">
        <v>45790</v>
      </c>
      <c r="ET5" s="680" t="inlineStr">
        <is>
          <t>TRANSF. DISNEY/24</t>
        </is>
      </c>
      <c r="EU5" s="683" t="n">
        <v>45735</v>
      </c>
      <c r="EV5" s="654" t="n">
        <v>45783</v>
      </c>
      <c r="EW5" s="654" t="n">
        <v>45783</v>
      </c>
      <c r="EX5" s="684" t="inlineStr">
        <is>
          <t>TRANSF.</t>
        </is>
      </c>
      <c r="EY5" s="654" t="n">
        <v>45770</v>
      </c>
      <c r="EZ5" s="654" t="n">
        <v>45756</v>
      </c>
      <c r="FA5" s="654" t="n">
        <v>45749</v>
      </c>
      <c r="FB5" s="654" t="n">
        <v>45743</v>
      </c>
      <c r="FC5" s="648" t="inlineStr">
        <is>
          <t>TRANSF.</t>
        </is>
      </c>
      <c r="FD5" s="654" t="n">
        <v>45734</v>
      </c>
      <c r="FE5" s="654" t="n">
        <v>45728</v>
      </c>
      <c r="FF5" s="684" t="n">
        <v>45700</v>
      </c>
      <c r="FG5" s="654" t="n">
        <v>45722</v>
      </c>
      <c r="FH5" s="646" t="n">
        <v>45714</v>
      </c>
      <c r="FI5" s="646" t="n">
        <v>45706</v>
      </c>
      <c r="FJ5" s="646" t="n">
        <v>45699</v>
      </c>
      <c r="FK5" s="646" t="n">
        <v>45693</v>
      </c>
      <c r="FL5" s="646" t="n">
        <v>45685</v>
      </c>
      <c r="FM5" s="646" t="n">
        <v>45679</v>
      </c>
      <c r="FN5" s="646" t="n">
        <v>45674</v>
      </c>
      <c r="FO5" s="646" t="n">
        <v>45664</v>
      </c>
      <c r="FP5" s="646" t="n">
        <v>45660</v>
      </c>
      <c r="FQ5" s="648" t="inlineStr">
        <is>
          <t>TRANSF.</t>
        </is>
      </c>
      <c r="FR5" s="685" t="inlineStr">
        <is>
          <t>TRANSF. NATAL/24</t>
        </is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46161.48003133102</v>
      </c>
      <c r="CD6" s="651" t="n">
        <v>46161.48071099537</v>
      </c>
      <c r="CE6" s="651" t="n">
        <v>46161.48286932644</v>
      </c>
      <c r="CF6" s="652" t="inlineStr">
        <is>
          <t>USOU</t>
        </is>
      </c>
      <c r="CG6" s="54" t="n"/>
      <c r="CH6" s="414" t="inlineStr">
        <is>
          <t>SUGESTÃO</t>
        </is>
      </c>
      <c r="CI6" s="214" t="n">
        <v>46156</v>
      </c>
      <c r="CJ6" s="656" t="n"/>
      <c r="CK6" s="654" t="n"/>
      <c r="CL6" s="654" t="n"/>
      <c r="CM6" s="654" t="n">
        <v>46155</v>
      </c>
      <c r="CN6" s="654" t="n">
        <v>46149</v>
      </c>
      <c r="CO6" s="654" t="n">
        <v>46122</v>
      </c>
      <c r="CP6" s="647" t="n">
        <v>46111</v>
      </c>
      <c r="CQ6" s="654" t="n">
        <v>46107</v>
      </c>
      <c r="CR6" s="654" t="n">
        <v>46107</v>
      </c>
      <c r="CS6" s="654" t="n">
        <v>46100</v>
      </c>
      <c r="CT6" s="655" t="n">
        <v>46080</v>
      </c>
      <c r="CU6" s="655" t="n">
        <v>46079</v>
      </c>
      <c r="CV6" s="654" t="n">
        <v>46083</v>
      </c>
      <c r="CW6" s="654" t="n">
        <v>46072</v>
      </c>
      <c r="CX6" s="654" t="n">
        <v>46059</v>
      </c>
      <c r="CY6" s="655" t="n">
        <v>46055</v>
      </c>
      <c r="CZ6" s="654" t="n">
        <v>46050</v>
      </c>
      <c r="DA6" s="654" t="n">
        <v>46052</v>
      </c>
      <c r="DB6" s="654" t="n">
        <v>46043</v>
      </c>
      <c r="DC6" s="654" t="n">
        <v>46038</v>
      </c>
      <c r="DD6" s="654" t="n">
        <v>46028</v>
      </c>
      <c r="DE6" s="654" t="n">
        <v>46014</v>
      </c>
      <c r="DF6" s="654" t="n">
        <v>46010</v>
      </c>
      <c r="DG6" s="654" t="n">
        <v>46003</v>
      </c>
      <c r="DH6" s="654" t="n">
        <v>45980</v>
      </c>
      <c r="DI6" s="654" t="n">
        <v>45971</v>
      </c>
      <c r="DJ6" s="654" t="n">
        <v>45971</v>
      </c>
      <c r="DK6" s="654" t="n">
        <v>45961</v>
      </c>
      <c r="DL6" s="654" t="n">
        <v>45957</v>
      </c>
      <c r="DM6" s="687" t="n">
        <v>45952</v>
      </c>
      <c r="DN6" s="654" t="n">
        <v>45952</v>
      </c>
      <c r="DO6" s="654" t="n">
        <v>45945</v>
      </c>
      <c r="DP6" s="687" t="n">
        <v>45945</v>
      </c>
      <c r="DQ6" s="654" t="n">
        <v>45943</v>
      </c>
      <c r="DR6" s="654" t="n">
        <v>45939</v>
      </c>
      <c r="DS6" s="654" t="n">
        <v>45927</v>
      </c>
      <c r="DT6" s="688" t="n">
        <v>45925</v>
      </c>
      <c r="DU6" s="688" t="n">
        <v>45924</v>
      </c>
      <c r="DV6" s="654" t="n">
        <v>45925</v>
      </c>
      <c r="DW6" s="654" t="n">
        <v>45920</v>
      </c>
      <c r="DX6" s="654" t="n">
        <v>45919</v>
      </c>
      <c r="DY6" s="688" t="n">
        <v>45919</v>
      </c>
      <c r="DZ6" s="654" t="n">
        <v>45913</v>
      </c>
      <c r="EA6" s="654" t="n">
        <v>45906</v>
      </c>
      <c r="EB6" s="654" t="n">
        <v>45904</v>
      </c>
      <c r="EC6" s="654" t="n">
        <v>45897</v>
      </c>
      <c r="ED6" s="654" t="n">
        <v>45889</v>
      </c>
      <c r="EE6" s="654" t="n">
        <v>45885</v>
      </c>
      <c r="EF6" s="681" t="n">
        <v>45868</v>
      </c>
      <c r="EG6" s="654" t="n">
        <v>45863</v>
      </c>
      <c r="EH6" s="654" t="n">
        <v>45860</v>
      </c>
      <c r="EI6" s="654" t="n">
        <v>45845</v>
      </c>
      <c r="EJ6" s="681" t="n">
        <v>45842</v>
      </c>
      <c r="EK6" s="681" t="n">
        <v>45841</v>
      </c>
      <c r="EL6" s="654" t="n">
        <v>45841</v>
      </c>
      <c r="EM6" s="654" t="n">
        <v>45838</v>
      </c>
      <c r="EN6" s="704" t="n">
        <v>45834</v>
      </c>
      <c r="EO6" s="654" t="n">
        <v>45833</v>
      </c>
      <c r="EP6" s="654" t="n">
        <v>45831</v>
      </c>
      <c r="EQ6" s="654" t="n">
        <v>45805</v>
      </c>
      <c r="ER6" s="655" t="n">
        <v>45798</v>
      </c>
      <c r="ES6" s="654" t="n">
        <v>45793</v>
      </c>
      <c r="ET6" s="689" t="n">
        <v>45790</v>
      </c>
      <c r="EU6" s="690" t="n">
        <v>45786</v>
      </c>
      <c r="EV6" s="654" t="n">
        <v>45786</v>
      </c>
      <c r="EW6" s="654" t="n">
        <v>45786</v>
      </c>
      <c r="EX6" s="684" t="n">
        <v>45785</v>
      </c>
      <c r="EY6" s="654" t="n">
        <v>45779</v>
      </c>
      <c r="EZ6" s="654" t="n">
        <v>45776</v>
      </c>
      <c r="FA6" s="654" t="n">
        <v>45756</v>
      </c>
      <c r="FB6" s="654" t="n">
        <v>45751</v>
      </c>
      <c r="FC6" s="655" t="n">
        <v>45750</v>
      </c>
      <c r="FD6" s="654" t="n">
        <v>45743</v>
      </c>
      <c r="FE6" s="654" t="n">
        <v>45740</v>
      </c>
      <c r="FF6" s="684" t="n">
        <v>45735</v>
      </c>
      <c r="FG6" s="654" t="n">
        <v>45728</v>
      </c>
      <c r="FH6" s="654" t="n">
        <v>45722</v>
      </c>
      <c r="FI6" s="654" t="n">
        <v>45712</v>
      </c>
      <c r="FJ6" s="654" t="n">
        <v>45705</v>
      </c>
      <c r="FK6" s="654" t="n">
        <v>45695</v>
      </c>
      <c r="FL6" s="654" t="n">
        <v>45692</v>
      </c>
      <c r="FM6" s="654" t="n">
        <v>45684</v>
      </c>
      <c r="FN6" s="654" t="n">
        <v>45680</v>
      </c>
      <c r="FO6" s="654" t="n">
        <v>45670</v>
      </c>
      <c r="FP6" s="654" t="n">
        <v>45670</v>
      </c>
      <c r="FQ6" s="655" t="n">
        <v>45670</v>
      </c>
      <c r="FR6" s="685" t="n">
        <v>45665</v>
      </c>
      <c r="FU6" s="6" t="n"/>
      <c r="FV6" s="6" t="n"/>
      <c r="FW6" s="6" t="n"/>
      <c r="FX6" s="6" t="n"/>
      <c r="FY6" s="6" t="n"/>
      <c r="FZ6" s="6" t="n"/>
      <c r="GA6" s="6" t="n"/>
      <c r="GB6" s="6" t="n"/>
      <c r="GC6" s="6" t="n"/>
      <c r="GD6" s="6" t="n"/>
      <c r="GE6" s="6" t="n"/>
      <c r="GF6" s="6" t="n"/>
      <c r="GG6" s="6" t="n"/>
      <c r="GH6" s="6" t="n"/>
      <c r="GI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575" t="n"/>
      <c r="CG7" s="6" t="n"/>
      <c r="CH7" s="89" t="n"/>
      <c r="CI7" s="89" t="n"/>
      <c r="CJ7" s="76" t="n"/>
      <c r="CK7" s="283" t="n"/>
      <c r="CL7" s="283" t="n"/>
      <c r="CM7" s="283" t="n"/>
      <c r="CN7" s="283" t="n"/>
      <c r="CO7" s="283" t="n"/>
      <c r="CP7" s="575" t="inlineStr">
        <is>
          <t>MÃES</t>
        </is>
      </c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283" t="n"/>
      <c r="DJ7" s="283" t="n"/>
      <c r="DK7" s="283" t="n"/>
      <c r="DL7" s="283" t="n"/>
      <c r="DM7" s="575" t="n"/>
      <c r="DN7" s="283" t="n"/>
      <c r="DO7" s="283" t="n"/>
      <c r="DP7" s="575" t="n"/>
      <c r="DQ7" s="283" t="n"/>
      <c r="DR7" s="283" t="n"/>
      <c r="DS7" s="283" t="n"/>
      <c r="DT7" s="575" t="n"/>
      <c r="DU7" s="575" t="n"/>
      <c r="DV7" s="283" t="n"/>
      <c r="DW7" s="283" t="n"/>
      <c r="DX7" s="283" t="n"/>
      <c r="DY7" s="575" t="inlineStr">
        <is>
          <t>HA</t>
        </is>
      </c>
      <c r="DZ7" s="283" t="n"/>
      <c r="EA7" s="283" t="n"/>
      <c r="EB7" s="283" t="n"/>
      <c r="EC7" s="283" t="n"/>
      <c r="ED7" s="283" t="n"/>
      <c r="EE7" s="283" t="n"/>
      <c r="EF7" s="575" t="inlineStr">
        <is>
          <t>PAIS/25</t>
        </is>
      </c>
      <c r="EG7" s="283" t="n"/>
      <c r="EH7" s="283" t="n"/>
      <c r="EI7" s="283" t="n"/>
      <c r="EJ7" s="575" t="n"/>
      <c r="EK7" s="575" t="n"/>
      <c r="EL7" s="283" t="n"/>
      <c r="EM7" s="283" t="n"/>
      <c r="EN7" s="283" t="n"/>
      <c r="EO7" s="283" t="n"/>
      <c r="EP7" s="283" t="n"/>
      <c r="EQ7" s="283" t="n"/>
      <c r="ER7" s="575" t="n"/>
      <c r="ES7" s="575" t="n"/>
      <c r="ET7" s="575" t="n"/>
      <c r="EU7" s="283" t="n"/>
      <c r="EV7" s="575" t="n"/>
      <c r="EW7" s="575" t="n"/>
      <c r="EX7" s="575" t="inlineStr">
        <is>
          <t>MÃES/25</t>
        </is>
      </c>
      <c r="EY7" s="575" t="n"/>
      <c r="EZ7" s="575" t="n"/>
      <c r="FA7" s="575" t="n"/>
      <c r="FB7" s="575" t="n"/>
      <c r="FC7" s="575" t="n"/>
      <c r="FD7" s="575" t="n"/>
      <c r="FE7" s="575" t="n"/>
      <c r="FF7" s="575" t="inlineStr">
        <is>
          <t>MÃES/25</t>
        </is>
      </c>
      <c r="FG7" s="575" t="n"/>
      <c r="FH7" s="575" t="n"/>
      <c r="FI7" s="575" t="n"/>
      <c r="FJ7" s="575" t="n"/>
      <c r="FK7" s="575" t="n"/>
      <c r="FL7" s="575" t="n"/>
      <c r="FM7" s="575" t="n"/>
      <c r="FN7" s="575" t="n"/>
      <c r="FO7" s="575" t="n"/>
      <c r="FP7" s="575" t="n"/>
      <c r="FQ7" s="575" t="n"/>
      <c r="FR7" s="575" t="n"/>
      <c r="FS7" s="747" t="n"/>
      <c r="FT7" s="747" t="n"/>
      <c r="FU7" s="747" t="n"/>
      <c r="FV7" s="747" t="n"/>
      <c r="FW7" s="747" t="n"/>
      <c r="FX7" s="747" t="n"/>
      <c r="FY7" s="747" t="n"/>
      <c r="FZ7" s="747" t="n"/>
      <c r="GA7" s="747" t="n"/>
      <c r="GB7" s="747" t="n"/>
      <c r="GC7" s="658" t="n"/>
      <c r="GD7" s="505" t="n"/>
      <c r="GE7" s="505" t="n"/>
      <c r="GF7" s="505" t="n"/>
      <c r="GG7" s="505" t="n"/>
      <c r="GH7" s="505" t="n"/>
      <c r="GI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600</v>
      </c>
      <c r="E8" s="6" t="n"/>
      <c r="F8" s="38" t="n">
        <v>1140</v>
      </c>
      <c r="G8" s="38" t="n">
        <v>1060</v>
      </c>
      <c r="H8" s="38" t="n">
        <v>1050</v>
      </c>
      <c r="I8" s="38" t="n">
        <v>920</v>
      </c>
      <c r="J8" s="38" t="n">
        <v>900</v>
      </c>
      <c r="K8" s="38" t="n">
        <v>760</v>
      </c>
      <c r="L8" s="38" t="n">
        <v>660</v>
      </c>
      <c r="M8" s="38" t="n">
        <v>620</v>
      </c>
      <c r="N8" s="38" t="n">
        <v>520</v>
      </c>
      <c r="O8" s="38" t="n">
        <v>440</v>
      </c>
      <c r="P8" s="38" t="n">
        <v>160</v>
      </c>
      <c r="Q8" s="38" t="n">
        <v>80</v>
      </c>
      <c r="R8" s="38">
        <f>80+FB8</f>
        <v/>
      </c>
      <c r="S8" s="38" t="n">
        <v>180</v>
      </c>
      <c r="T8" s="38" t="n">
        <v>300</v>
      </c>
      <c r="U8" s="38" t="n">
        <v>300</v>
      </c>
      <c r="V8" s="38" t="n">
        <v>100</v>
      </c>
      <c r="W8" s="38" t="n">
        <v>60</v>
      </c>
      <c r="X8" s="38" t="n">
        <v>840</v>
      </c>
      <c r="Y8" s="38" t="n">
        <v>1060</v>
      </c>
      <c r="Z8" s="38">
        <f>960+300</f>
        <v/>
      </c>
      <c r="AA8" s="38" t="n">
        <v>1120</v>
      </c>
      <c r="AB8" s="38" t="n">
        <v>1100</v>
      </c>
      <c r="AC8" s="38" t="n">
        <v>780</v>
      </c>
      <c r="AD8" s="38" t="n">
        <v>740</v>
      </c>
      <c r="AE8" s="38" t="n">
        <v>660</v>
      </c>
      <c r="AF8" s="38" t="n">
        <v>560</v>
      </c>
      <c r="AG8" s="38" t="n">
        <v>520</v>
      </c>
      <c r="AH8" s="38" t="n">
        <v>420</v>
      </c>
      <c r="AI8" s="38" t="n">
        <v>600</v>
      </c>
      <c r="AJ8" s="38" t="n">
        <v>900</v>
      </c>
      <c r="AK8" s="38" t="n">
        <v>420</v>
      </c>
      <c r="AL8" s="38" t="n">
        <v>300</v>
      </c>
      <c r="AM8" s="38" t="n">
        <v>600</v>
      </c>
      <c r="AN8" s="38" t="n">
        <v>460</v>
      </c>
      <c r="AO8" s="38" t="n">
        <v>460</v>
      </c>
      <c r="AP8" s="38" t="n">
        <v>300</v>
      </c>
      <c r="AQ8" s="38" t="n">
        <v>220</v>
      </c>
      <c r="AR8" s="38" t="n">
        <v>440</v>
      </c>
      <c r="AS8" s="38" t="n">
        <v>720</v>
      </c>
      <c r="AT8" s="38" t="n">
        <v>600</v>
      </c>
      <c r="AU8" s="38" t="n">
        <v>600</v>
      </c>
      <c r="AV8" s="38" t="n">
        <v>480</v>
      </c>
      <c r="AW8" s="38" t="n">
        <v>400</v>
      </c>
      <c r="AX8" s="38" t="n">
        <v>625</v>
      </c>
      <c r="AY8" s="38" t="n">
        <v>600</v>
      </c>
      <c r="AZ8" s="38" t="n">
        <v>600</v>
      </c>
      <c r="BA8" s="38" t="n">
        <v>600</v>
      </c>
      <c r="BB8" s="38" t="n">
        <v>300</v>
      </c>
      <c r="BC8" s="38">
        <f>50+DD8</f>
        <v/>
      </c>
      <c r="BD8" s="38" t="n">
        <v>620</v>
      </c>
      <c r="BE8" s="38">
        <f>600+DB8</f>
        <v/>
      </c>
      <c r="BF8" s="38" t="n">
        <v>500</v>
      </c>
      <c r="BG8" s="38" t="n">
        <v>50</v>
      </c>
      <c r="BH8" s="38" t="n">
        <v>50</v>
      </c>
      <c r="BI8" s="38">
        <f>0+CZ8</f>
        <v/>
      </c>
      <c r="BJ8" s="38" t="n">
        <v>650</v>
      </c>
      <c r="BK8" s="38" t="n">
        <v>640</v>
      </c>
      <c r="BL8" s="38" t="n">
        <v>900</v>
      </c>
      <c r="BM8" s="38" t="n">
        <v>700</v>
      </c>
      <c r="BN8" s="38">
        <f>940+300</f>
        <v/>
      </c>
      <c r="BO8" s="38" t="n">
        <v>1200</v>
      </c>
      <c r="BP8" s="38" t="n">
        <v>950</v>
      </c>
      <c r="BQ8" s="38" t="n">
        <v>840</v>
      </c>
      <c r="BR8" s="38" t="n">
        <v>760</v>
      </c>
      <c r="BS8" s="38" t="n">
        <v>640</v>
      </c>
      <c r="BT8" s="38" t="n">
        <v>440</v>
      </c>
      <c r="BU8" s="38" t="n">
        <v>460</v>
      </c>
      <c r="BV8" s="38" t="n">
        <v>360</v>
      </c>
      <c r="BW8" s="38" t="n">
        <v>340</v>
      </c>
      <c r="BX8" s="38">
        <f>200+CK8</f>
        <v/>
      </c>
      <c r="BY8" s="38">
        <f>200+CJ8</f>
        <v/>
      </c>
      <c r="BZ8" s="38" t="n"/>
      <c r="CA8" s="38" t="n"/>
      <c r="CB8" s="38" t="n"/>
      <c r="CC8" s="9" t="n"/>
      <c r="CD8" s="9" t="n"/>
      <c r="CE8" s="9" t="n"/>
      <c r="CF8" s="154">
        <f>CD8+IF(NOT(ISBLANK(OFFSET(CF8,0,6))),N(OFFSET(CF8,0,6)),N(OFFSET(CF8,0,7)))-CE8</f>
        <v/>
      </c>
      <c r="CG8" s="6" t="n"/>
      <c r="CH8" s="19" t="n"/>
      <c r="CI8" s="19" t="n">
        <v>300</v>
      </c>
      <c r="CJ8" s="23" t="n"/>
      <c r="CK8" s="691" t="n">
        <v>0</v>
      </c>
      <c r="CL8" s="18" t="n">
        <v>0</v>
      </c>
      <c r="CM8" s="18" t="n">
        <v>300</v>
      </c>
      <c r="CN8" s="18" t="n">
        <v>300</v>
      </c>
      <c r="CO8" s="18" t="n"/>
      <c r="CP8" s="356" t="n"/>
      <c r="CQ8" s="18" t="n"/>
      <c r="CR8" s="18" t="n"/>
      <c r="CS8" s="18" t="n"/>
      <c r="CT8" s="256" t="n"/>
      <c r="CU8" s="154" t="inlineStr">
        <is>
          <t>300 DE PL</t>
        </is>
      </c>
      <c r="CV8" s="18" t="n"/>
      <c r="CW8" s="18" t="n">
        <v>300</v>
      </c>
      <c r="CX8" s="18" t="n">
        <v>300</v>
      </c>
      <c r="CY8" s="256" t="n"/>
      <c r="CZ8" s="18" t="n"/>
      <c r="DA8" s="18" t="n"/>
      <c r="DB8" s="18" t="n"/>
      <c r="DC8" s="18" t="n">
        <v>600</v>
      </c>
      <c r="DD8" s="18" t="n"/>
      <c r="DE8" s="18" t="n">
        <v>300</v>
      </c>
      <c r="DF8" s="18" t="n">
        <v>300</v>
      </c>
      <c r="DG8" s="18" t="n">
        <v>600</v>
      </c>
      <c r="DH8" s="18" t="n"/>
      <c r="DI8" s="18" t="n"/>
      <c r="DJ8" s="18" t="n"/>
      <c r="DK8" s="18" t="n">
        <v>300</v>
      </c>
      <c r="DL8" s="18" t="n"/>
      <c r="DM8" s="256" t="n"/>
      <c r="DN8" s="18" t="n"/>
      <c r="DO8" s="18" t="n"/>
      <c r="DP8" s="256" t="n"/>
      <c r="DQ8" s="18" t="n"/>
      <c r="DR8" s="18" t="n"/>
      <c r="DS8" s="18" t="n"/>
      <c r="DT8" s="256" t="n"/>
      <c r="DU8" s="256" t="n"/>
      <c r="DV8" s="18" t="n">
        <v>300</v>
      </c>
      <c r="DW8" s="18" t="n"/>
      <c r="DX8" s="18" t="n">
        <v>300</v>
      </c>
      <c r="DY8" s="256" t="n"/>
      <c r="DZ8" s="18" t="n"/>
      <c r="EA8" s="18" t="n"/>
      <c r="EB8" s="18" t="n"/>
      <c r="EC8" s="18" t="n"/>
      <c r="ED8" s="18" t="n"/>
      <c r="EE8" s="18" t="n">
        <v>300</v>
      </c>
      <c r="EF8" s="256" t="n"/>
      <c r="EG8" s="18" t="n">
        <v>300</v>
      </c>
      <c r="EH8" s="18" t="n"/>
      <c r="EI8" s="18" t="n"/>
      <c r="EJ8" s="256" t="n"/>
      <c r="EK8" s="256" t="n"/>
      <c r="EL8" s="18" t="n"/>
      <c r="EM8" s="18" t="n"/>
      <c r="EN8" s="356" t="n"/>
      <c r="EO8" s="18" t="n"/>
      <c r="EP8" s="18" t="n"/>
      <c r="EQ8" s="18" t="n"/>
      <c r="ER8" s="241" t="inlineStr">
        <is>
          <t>300 DE MG</t>
        </is>
      </c>
      <c r="ES8" s="18" t="n"/>
      <c r="ET8" s="18" t="n"/>
      <c r="EU8" s="256" t="n"/>
      <c r="EV8" s="18" t="n"/>
      <c r="EW8" s="18" t="n">
        <v>300</v>
      </c>
      <c r="EX8" s="256" t="n"/>
      <c r="EY8" s="18" t="n">
        <v>300</v>
      </c>
      <c r="EZ8" s="18" t="n">
        <v>600</v>
      </c>
      <c r="FA8" s="18" t="n"/>
      <c r="FB8" s="18" t="n">
        <v>300</v>
      </c>
      <c r="FC8" s="18" t="n"/>
      <c r="FD8" s="18" t="n"/>
      <c r="FE8" s="18" t="n">
        <v>300</v>
      </c>
      <c r="FF8" s="256" t="n"/>
      <c r="FG8" s="18" t="n"/>
      <c r="FH8" s="18" t="n"/>
      <c r="FI8" s="18" t="n"/>
      <c r="FJ8" s="18" t="n"/>
      <c r="FK8" s="18" t="n"/>
      <c r="FL8" s="18" t="n"/>
      <c r="FM8" s="18" t="n"/>
      <c r="FN8" s="18" t="n"/>
      <c r="FO8" s="18" t="n"/>
      <c r="FP8" s="18" t="n"/>
      <c r="FQ8" s="18" t="n"/>
      <c r="FR8" s="256" t="n"/>
      <c r="FU8" s="267" t="inlineStr">
        <is>
          <t xml:space="preserve">SACOLAS </t>
        </is>
      </c>
      <c r="FV8" s="205" t="inlineStr">
        <is>
          <t>PCT</t>
        </is>
      </c>
      <c r="FW8" s="650" t="n">
        <v>46118</v>
      </c>
      <c r="FX8" s="650" t="n">
        <v>46125</v>
      </c>
      <c r="FY8" s="650" t="n">
        <v>46132</v>
      </c>
      <c r="FZ8" s="650" t="n">
        <v>46139</v>
      </c>
      <c r="GA8" s="650" t="n">
        <v>46146</v>
      </c>
      <c r="GB8" s="650" t="n">
        <v>46154</v>
      </c>
      <c r="GC8" s="650" t="n">
        <v>46160</v>
      </c>
      <c r="GD8" s="650" t="n">
        <v>46160</v>
      </c>
      <c r="GE8" s="650" t="n">
        <v>46160</v>
      </c>
      <c r="GF8" s="651" t="n">
        <v>46161.48003083334</v>
      </c>
      <c r="GG8" s="651" t="n">
        <v>46161.48071049769</v>
      </c>
      <c r="GH8" s="651" t="n">
        <v>46161.48286885007</v>
      </c>
      <c r="GI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800</v>
      </c>
      <c r="E9" s="6" t="n"/>
      <c r="F9" s="38" t="n">
        <v>800</v>
      </c>
      <c r="G9" s="38">
        <f>200+200</f>
        <v/>
      </c>
      <c r="H9" s="38">
        <f>200+FL9+FM9</f>
        <v/>
      </c>
      <c r="I9" s="38" t="n">
        <v>1825</v>
      </c>
      <c r="J9" s="38" t="n">
        <v>1425</v>
      </c>
      <c r="K9" s="38">
        <f>1175+FI9</f>
        <v/>
      </c>
      <c r="L9" s="38" t="n">
        <v>1400</v>
      </c>
      <c r="M9" s="38">
        <f>1000+FG9</f>
        <v/>
      </c>
      <c r="N9" s="38">
        <f>1275+FF9</f>
        <v/>
      </c>
      <c r="O9" s="38" t="n">
        <v>1825</v>
      </c>
      <c r="P9" s="38" t="n">
        <v>1400</v>
      </c>
      <c r="Q9" s="38" t="n">
        <v>1025</v>
      </c>
      <c r="R9" s="38" t="n">
        <v>825</v>
      </c>
      <c r="S9" s="38" t="n">
        <v>475</v>
      </c>
      <c r="T9" s="38">
        <f>775+EX9</f>
        <v/>
      </c>
      <c r="U9" s="38" t="n">
        <v>1155</v>
      </c>
      <c r="V9" s="38" t="n">
        <v>1255</v>
      </c>
      <c r="W9" s="38" t="n">
        <v>1200</v>
      </c>
      <c r="X9" s="38" t="n">
        <v>1200</v>
      </c>
      <c r="Y9" s="38" t="n">
        <v>1000</v>
      </c>
      <c r="Z9" s="38" t="n">
        <v>675</v>
      </c>
      <c r="AA9" s="38">
        <f>425+EN9</f>
        <v/>
      </c>
      <c r="AB9" s="38" t="n">
        <v>425</v>
      </c>
      <c r="AC9" s="38" t="n">
        <v>425</v>
      </c>
      <c r="AD9" s="38" t="n">
        <v>200</v>
      </c>
      <c r="AE9" s="38">
        <f>100+EM9</f>
        <v/>
      </c>
      <c r="AF9" s="38" t="n">
        <v>1050</v>
      </c>
      <c r="AG9" s="38">
        <f>400+EF9</f>
        <v/>
      </c>
      <c r="AH9" s="38" t="n">
        <v>200</v>
      </c>
      <c r="AI9" s="38">
        <f>200+EE9</f>
        <v/>
      </c>
      <c r="AJ9" s="38" t="n">
        <v>1000</v>
      </c>
      <c r="AK9" s="38" t="n">
        <v>800</v>
      </c>
      <c r="AL9" s="38" t="n">
        <v>400</v>
      </c>
      <c r="AM9" s="38" t="n">
        <v>680</v>
      </c>
      <c r="AN9" s="38" t="n">
        <v>960</v>
      </c>
      <c r="AO9" s="38" t="n">
        <v>900</v>
      </c>
      <c r="AP9" s="38" t="n">
        <v>625</v>
      </c>
      <c r="AQ9" s="38">
        <f>300+DW9</f>
        <v/>
      </c>
      <c r="AR9" s="38" t="n">
        <v>525</v>
      </c>
      <c r="AS9" s="38" t="n">
        <v>680</v>
      </c>
      <c r="AT9" s="38">
        <f>400+DO9</f>
        <v/>
      </c>
      <c r="AU9" s="38">
        <f>250+DN9+DL9</f>
        <v/>
      </c>
      <c r="AV9" s="38" t="n">
        <v>600</v>
      </c>
      <c r="AW9" s="38" t="n">
        <v>400</v>
      </c>
      <c r="AX9" s="38" t="n">
        <v>600</v>
      </c>
      <c r="AY9" s="38">
        <f>520+DF9</f>
        <v/>
      </c>
      <c r="AZ9" s="38" t="n">
        <v>650</v>
      </c>
      <c r="BA9" s="38" t="n">
        <v>650</v>
      </c>
      <c r="BB9" s="38" t="n">
        <v>650</v>
      </c>
      <c r="BC9" s="38" t="n">
        <v>575</v>
      </c>
      <c r="BD9" s="38" t="n">
        <v>250</v>
      </c>
      <c r="BE9" s="38">
        <f>400+DB9</f>
        <v/>
      </c>
      <c r="BF9" s="38" t="n">
        <v>0</v>
      </c>
      <c r="BG9" s="38" t="n">
        <v>0</v>
      </c>
      <c r="BH9" s="38" t="n">
        <v>0</v>
      </c>
      <c r="BI9" s="38">
        <f>0+CY9+CZ9</f>
        <v/>
      </c>
      <c r="BJ9" s="38" t="n">
        <v>480</v>
      </c>
      <c r="BK9" s="38" t="n">
        <v>1375</v>
      </c>
      <c r="BL9" s="38" t="n">
        <v>1600</v>
      </c>
      <c r="BM9" s="38" t="n">
        <v>1100</v>
      </c>
      <c r="BN9" s="38">
        <f>1500+200</f>
        <v/>
      </c>
      <c r="BO9" s="38" t="n">
        <v>1480</v>
      </c>
      <c r="BP9" s="38" t="n">
        <v>1200</v>
      </c>
      <c r="BQ9" s="38" t="n">
        <v>800</v>
      </c>
      <c r="BR9" s="38">
        <f>600+CN9</f>
        <v/>
      </c>
      <c r="BS9" s="38" t="n">
        <v>600</v>
      </c>
      <c r="BT9" s="38" t="n">
        <v>420</v>
      </c>
      <c r="BU9" s="38" t="n">
        <v>1080</v>
      </c>
      <c r="BV9" s="38" t="n">
        <v>1050</v>
      </c>
      <c r="BW9" s="38" t="n">
        <v>1350</v>
      </c>
      <c r="BX9" s="38" t="n">
        <v>1300</v>
      </c>
      <c r="BY9" s="38" t="n">
        <v>1075</v>
      </c>
      <c r="BZ9" s="38" t="n"/>
      <c r="CA9" s="38" t="n"/>
      <c r="CB9" s="38" t="n"/>
      <c r="CC9" s="9" t="n"/>
      <c r="CD9" s="9" t="n"/>
      <c r="CE9" s="9" t="n"/>
      <c r="CF9" s="154">
        <f>CD9+IF(NOT(ISBLANK(OFFSET(CF9,0,6))),N(OFFSET(CF9,0,6)),N(OFFSET(CF9,0,7)))-CE9</f>
        <v/>
      </c>
      <c r="CG9" s="6" t="n"/>
      <c r="CH9" s="19" t="n"/>
      <c r="CI9" s="19" t="n"/>
      <c r="CJ9" s="23" t="n"/>
      <c r="CK9" s="691" t="n">
        <v>0</v>
      </c>
      <c r="CL9" s="18" t="n">
        <v>0</v>
      </c>
      <c r="CM9" s="18" t="n">
        <v>0</v>
      </c>
      <c r="CN9" s="18" t="n">
        <v>0</v>
      </c>
      <c r="CO9" s="18" t="n">
        <v>800</v>
      </c>
      <c r="CP9" s="256" t="n">
        <v>1600</v>
      </c>
      <c r="CQ9" s="18" t="n">
        <v>400</v>
      </c>
      <c r="CR9" s="18" t="n"/>
      <c r="CS9" s="18" t="n"/>
      <c r="CT9" s="154" t="inlineStr">
        <is>
          <t>200 DE MG</t>
        </is>
      </c>
      <c r="CU9" s="18" t="n"/>
      <c r="CV9" s="18" t="n"/>
      <c r="CW9" s="18" t="n">
        <v>600</v>
      </c>
      <c r="CX9" s="18" t="n">
        <v>400</v>
      </c>
      <c r="CY9" s="18" t="n"/>
      <c r="CZ9" s="18" t="n">
        <v>1000</v>
      </c>
      <c r="DA9" s="18" t="n"/>
      <c r="DB9" s="18" t="n">
        <v>800</v>
      </c>
      <c r="DC9" s="18" t="n">
        <v>200</v>
      </c>
      <c r="DD9" s="18" t="n">
        <v>600</v>
      </c>
      <c r="DE9" s="18" t="n">
        <v>400</v>
      </c>
      <c r="DF9" s="18" t="n">
        <v>800</v>
      </c>
      <c r="DG9" s="18" t="n"/>
      <c r="DH9" s="18" t="n"/>
      <c r="DI9" s="18" t="n">
        <v>200</v>
      </c>
      <c r="DJ9" s="18" t="n"/>
      <c r="DK9" s="18" t="n">
        <v>200</v>
      </c>
      <c r="DL9" s="18" t="n"/>
      <c r="DM9" s="256" t="n"/>
      <c r="DN9" s="18" t="n"/>
      <c r="DO9" s="18" t="n">
        <v>200</v>
      </c>
      <c r="DP9" s="256" t="n">
        <v>1800</v>
      </c>
      <c r="DQ9" s="18" t="n">
        <v>200</v>
      </c>
      <c r="DR9" s="18" t="n">
        <v>200</v>
      </c>
      <c r="DS9" s="18" t="n"/>
      <c r="DT9" s="256" t="n"/>
      <c r="DU9" s="256" t="n"/>
      <c r="DV9" s="18" t="n">
        <v>400</v>
      </c>
      <c r="DW9" s="18" t="n"/>
      <c r="DX9" s="18" t="n"/>
      <c r="DY9" s="256" t="n"/>
      <c r="DZ9" s="18" t="n">
        <v>400</v>
      </c>
      <c r="EA9" s="18" t="n"/>
      <c r="EB9" s="18" t="n"/>
      <c r="EC9" s="18" t="n"/>
      <c r="ED9" s="18" t="n">
        <v>600</v>
      </c>
      <c r="EE9" s="18" t="n">
        <v>400</v>
      </c>
      <c r="EF9" s="256" t="n"/>
      <c r="EG9" s="18" t="n">
        <v>600</v>
      </c>
      <c r="EH9" s="18" t="n">
        <v>400</v>
      </c>
      <c r="EI9" s="18" t="n">
        <v>200</v>
      </c>
      <c r="EJ9" s="256" t="n"/>
      <c r="EK9" s="256" t="n"/>
      <c r="EL9" s="18" t="n"/>
      <c r="EM9" s="18" t="n"/>
      <c r="EN9" s="356" t="n"/>
      <c r="EO9" s="18" t="n"/>
      <c r="EP9" s="18" t="n">
        <v>1000</v>
      </c>
      <c r="EQ9" s="18" t="n">
        <v>400</v>
      </c>
      <c r="ER9" s="18" t="n"/>
      <c r="ES9" s="18" t="n"/>
      <c r="ET9" s="18" t="n"/>
      <c r="EU9" s="256" t="n"/>
      <c r="EV9" s="18" t="n"/>
      <c r="EW9" s="18" t="n"/>
      <c r="EX9" s="256" t="n"/>
      <c r="EY9" s="18" t="n"/>
      <c r="EZ9" s="18" t="n"/>
      <c r="FA9" s="18" t="n">
        <v>400</v>
      </c>
      <c r="FB9" s="18" t="n">
        <v>400</v>
      </c>
      <c r="FC9" s="18" t="n"/>
      <c r="FD9" s="18" t="n"/>
      <c r="FE9" s="18" t="n"/>
      <c r="FF9" s="256" t="n">
        <v>1600</v>
      </c>
      <c r="FG9" s="18" t="n"/>
      <c r="FH9" s="18" t="n"/>
      <c r="FI9" s="18" t="n">
        <v>600</v>
      </c>
      <c r="FJ9" s="18" t="n">
        <v>400</v>
      </c>
      <c r="FK9" s="18" t="n"/>
      <c r="FL9" s="18" t="n">
        <v>600</v>
      </c>
      <c r="FM9" s="18" t="n"/>
      <c r="FN9" s="18" t="n"/>
      <c r="FO9" s="18" t="n">
        <v>800</v>
      </c>
      <c r="FP9" s="18" t="n">
        <v>1200</v>
      </c>
      <c r="FQ9" s="241" t="inlineStr">
        <is>
          <t>200 DE ER PBE</t>
        </is>
      </c>
      <c r="FR9" s="256" t="n"/>
      <c r="FU9" s="159" t="inlineStr">
        <is>
          <t xml:space="preserve">SACOLA P </t>
        </is>
      </c>
      <c r="FV9" s="129" t="n">
        <v>200</v>
      </c>
      <c r="FW9" s="38">
        <f>CM9</f>
        <v/>
      </c>
      <c r="FX9" s="38" t="n">
        <v>1200</v>
      </c>
      <c r="FY9" s="38" t="n">
        <v>800</v>
      </c>
      <c r="FZ9" s="38" t="n">
        <v>600</v>
      </c>
      <c r="GA9" s="38" t="n">
        <v>400</v>
      </c>
      <c r="GB9" s="38" t="n">
        <v>400</v>
      </c>
      <c r="GC9" s="38" t="n"/>
      <c r="GD9" s="38" t="n"/>
      <c r="GE9" s="38" t="n"/>
      <c r="GF9" s="9" t="n"/>
      <c r="GG9" s="9" t="n"/>
      <c r="GH9" s="9" t="n"/>
      <c r="GI9" s="246">
        <f>GG9+IF(NOT(ISBLANK(OFFSET(GI9,0,6))),N(OFFSET(GI9,0,6)),N(OFFSET(GI9,0,7)))-GH9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600</v>
      </c>
      <c r="E10" s="6" t="n"/>
      <c r="F10" s="38" t="n">
        <v>900</v>
      </c>
      <c r="G10" s="38" t="n">
        <v>575</v>
      </c>
      <c r="H10" s="38">
        <f>450+FL10+FM10</f>
        <v/>
      </c>
      <c r="I10" s="38" t="n">
        <v>1125</v>
      </c>
      <c r="J10" s="38" t="n">
        <v>975</v>
      </c>
      <c r="K10" s="38">
        <f>800+FI10</f>
        <v/>
      </c>
      <c r="L10" s="38" t="n">
        <v>950</v>
      </c>
      <c r="M10" s="38" t="n">
        <v>800</v>
      </c>
      <c r="N10" s="38" t="n">
        <v>725</v>
      </c>
      <c r="O10" s="38" t="n">
        <v>650</v>
      </c>
      <c r="P10" s="38" t="n">
        <v>400</v>
      </c>
      <c r="Q10" s="38" t="n">
        <v>250</v>
      </c>
      <c r="R10" s="38">
        <f>75+FB10+FA10</f>
        <v/>
      </c>
      <c r="S10" s="38" t="n">
        <v>600</v>
      </c>
      <c r="T10" s="38" t="n">
        <v>600</v>
      </c>
      <c r="U10" s="38" t="n">
        <v>700</v>
      </c>
      <c r="V10" s="38" t="n">
        <v>650</v>
      </c>
      <c r="W10" s="38" t="n">
        <v>650</v>
      </c>
      <c r="X10" s="38" t="n">
        <v>650</v>
      </c>
      <c r="Y10" s="38" t="n">
        <v>650</v>
      </c>
      <c r="Z10" s="38">
        <f>450+200</f>
        <v/>
      </c>
      <c r="AA10" s="38" t="n">
        <v>625</v>
      </c>
      <c r="AB10" s="38" t="n">
        <v>625</v>
      </c>
      <c r="AC10" s="38" t="n">
        <v>625</v>
      </c>
      <c r="AD10" s="38" t="n">
        <v>625</v>
      </c>
      <c r="AE10" s="38" t="n">
        <v>475</v>
      </c>
      <c r="AF10" s="38" t="n">
        <v>375</v>
      </c>
      <c r="AG10" s="38">
        <f>475+EF10</f>
        <v/>
      </c>
      <c r="AH10" s="38" t="n">
        <v>650</v>
      </c>
      <c r="AI10" s="38" t="n">
        <v>525</v>
      </c>
      <c r="AJ10" s="38" t="n">
        <v>350</v>
      </c>
      <c r="AK10" s="38" t="n">
        <v>350</v>
      </c>
      <c r="AL10" s="38" t="n">
        <v>200</v>
      </c>
      <c r="AM10" s="38" t="n">
        <v>300</v>
      </c>
      <c r="AN10" s="38">
        <f>100+DZ10</f>
        <v/>
      </c>
      <c r="AO10" s="38" t="n">
        <v>400</v>
      </c>
      <c r="AP10" s="38" t="n">
        <v>350</v>
      </c>
      <c r="AQ10" s="38">
        <f>200+DW10</f>
        <v/>
      </c>
      <c r="AR10" s="38" t="n">
        <v>475</v>
      </c>
      <c r="AS10" s="38" t="n">
        <v>600</v>
      </c>
      <c r="AT10" s="38" t="n">
        <v>500</v>
      </c>
      <c r="AU10" s="38">
        <f>425+DL10</f>
        <v/>
      </c>
      <c r="AV10" s="38" t="n">
        <v>400</v>
      </c>
      <c r="AW10" s="38" t="n">
        <v>275</v>
      </c>
      <c r="AX10" s="38" t="n">
        <v>850</v>
      </c>
      <c r="AY10" s="38" t="n">
        <v>850</v>
      </c>
      <c r="AZ10" s="38" t="n">
        <v>850</v>
      </c>
      <c r="BA10" s="38" t="n">
        <v>850</v>
      </c>
      <c r="BB10" s="38" t="n">
        <v>850</v>
      </c>
      <c r="BC10" s="38" t="n">
        <v>850</v>
      </c>
      <c r="BD10" s="38" t="n">
        <v>850</v>
      </c>
      <c r="BE10" s="38">
        <f>625+DB10</f>
        <v/>
      </c>
      <c r="BF10" s="38" t="n">
        <v>600</v>
      </c>
      <c r="BG10" s="38" t="n">
        <v>190</v>
      </c>
      <c r="BH10" s="38" t="n">
        <v>400</v>
      </c>
      <c r="BI10" s="38">
        <f>275+CZ10</f>
        <v/>
      </c>
      <c r="BJ10" s="38" t="n">
        <v>475</v>
      </c>
      <c r="BK10" s="38" t="n">
        <v>820</v>
      </c>
      <c r="BL10" s="38" t="n">
        <v>900</v>
      </c>
      <c r="BM10" s="38" t="n">
        <v>750</v>
      </c>
      <c r="BN10" s="38" t="n">
        <v>850</v>
      </c>
      <c r="BO10" s="38" t="n">
        <v>700</v>
      </c>
      <c r="BP10" s="38" t="n">
        <v>500</v>
      </c>
      <c r="BQ10" s="38" t="n">
        <v>275</v>
      </c>
      <c r="BR10" s="38">
        <f>200+CO10+CN10</f>
        <v/>
      </c>
      <c r="BS10" s="38" t="n">
        <v>325</v>
      </c>
      <c r="BT10" s="38" t="n">
        <v>425</v>
      </c>
      <c r="BU10" s="38" t="n">
        <v>800</v>
      </c>
      <c r="BV10" s="38" t="n">
        <v>725</v>
      </c>
      <c r="BW10" s="38" t="n">
        <v>775</v>
      </c>
      <c r="BX10" s="38" t="n">
        <v>775</v>
      </c>
      <c r="BY10" s="38" t="n">
        <v>720</v>
      </c>
      <c r="BZ10" s="38" t="n"/>
      <c r="CA10" s="38" t="n"/>
      <c r="CB10" s="38" t="n"/>
      <c r="CC10" s="9" t="n"/>
      <c r="CD10" s="9" t="n"/>
      <c r="CE10" s="9" t="n"/>
      <c r="CF10" s="154">
        <f>CD10+IF(NOT(ISBLANK(OFFSET(CF10,0,6))),N(OFFSET(CF10,0,6)),N(OFFSET(CF10,0,7)))-CE10</f>
        <v/>
      </c>
      <c r="CG10" s="6" t="n"/>
      <c r="CH10" s="19" t="n"/>
      <c r="CI10" s="19" t="n"/>
      <c r="CJ10" s="23" t="n"/>
      <c r="CK10" s="18" t="n">
        <v>0</v>
      </c>
      <c r="CL10" s="18" t="n">
        <v>0</v>
      </c>
      <c r="CM10" s="18" t="n">
        <v>0</v>
      </c>
      <c r="CN10" s="18" t="n">
        <v>0</v>
      </c>
      <c r="CO10" s="18" t="n">
        <v>400</v>
      </c>
      <c r="CP10" s="256" t="n">
        <v>1000</v>
      </c>
      <c r="CQ10" s="18" t="n">
        <v>200</v>
      </c>
      <c r="CR10" s="18" t="n">
        <v>200</v>
      </c>
      <c r="CS10" s="18" t="n"/>
      <c r="CT10" s="256" t="n"/>
      <c r="CU10" s="18" t="n"/>
      <c r="CV10" s="18" t="n"/>
      <c r="CW10" s="18" t="n">
        <v>200</v>
      </c>
      <c r="CX10" s="18" t="n">
        <v>200</v>
      </c>
      <c r="CY10" s="18" t="n"/>
      <c r="CZ10" s="18" t="n">
        <v>400</v>
      </c>
      <c r="DA10" s="18" t="n"/>
      <c r="DB10" s="18" t="n"/>
      <c r="DC10" s="18" t="n">
        <v>400</v>
      </c>
      <c r="DD10" s="18" t="n">
        <v>400</v>
      </c>
      <c r="DE10" s="18" t="n">
        <v>200</v>
      </c>
      <c r="DF10" s="18" t="n"/>
      <c r="DG10" s="18" t="n"/>
      <c r="DH10" s="18" t="n"/>
      <c r="DI10" s="18" t="n"/>
      <c r="DJ10" s="18" t="n"/>
      <c r="DK10" s="18" t="n">
        <v>600</v>
      </c>
      <c r="DL10" s="18" t="n"/>
      <c r="DM10" s="256" t="n"/>
      <c r="DN10" s="18" t="n"/>
      <c r="DO10" s="18" t="n">
        <v>400</v>
      </c>
      <c r="DP10" s="256" t="n">
        <v>1800</v>
      </c>
      <c r="DQ10" s="18" t="n"/>
      <c r="DR10" s="18" t="n"/>
      <c r="DS10" s="18" t="n"/>
      <c r="DT10" s="378" t="inlineStr">
        <is>
          <t>100 P/ TP</t>
        </is>
      </c>
      <c r="DU10" s="256" t="n"/>
      <c r="DV10" s="18" t="n">
        <v>200</v>
      </c>
      <c r="DW10" s="18" t="n"/>
      <c r="DX10" s="18" t="n"/>
      <c r="DY10" s="256" t="n">
        <v>200</v>
      </c>
      <c r="DZ10" s="18" t="n">
        <v>400</v>
      </c>
      <c r="EA10" s="18" t="n"/>
      <c r="EB10" s="18" t="n">
        <v>200</v>
      </c>
      <c r="EC10" s="18" t="n">
        <v>400</v>
      </c>
      <c r="ED10" s="18" t="n"/>
      <c r="EE10" s="18" t="n">
        <v>400</v>
      </c>
      <c r="EF10" s="256" t="n"/>
      <c r="EG10" s="18" t="n"/>
      <c r="EH10" s="18" t="n"/>
      <c r="EI10" s="18" t="n">
        <v>200</v>
      </c>
      <c r="EJ10" s="256" t="n"/>
      <c r="EK10" s="256" t="n">
        <v>600</v>
      </c>
      <c r="EL10" s="18" t="n">
        <v>200</v>
      </c>
      <c r="EM10" s="18" t="n"/>
      <c r="EN10" s="356" t="n"/>
      <c r="EO10" s="18" t="n"/>
      <c r="EP10" s="18" t="n"/>
      <c r="EQ10" s="18" t="n"/>
      <c r="ER10" s="241" t="inlineStr">
        <is>
          <t>200 DE MG</t>
        </is>
      </c>
      <c r="ES10" s="18" t="n"/>
      <c r="ET10" s="18" t="n"/>
      <c r="EU10" s="256" t="n">
        <v>800</v>
      </c>
      <c r="EV10" s="18" t="n"/>
      <c r="EW10" s="18" t="n"/>
      <c r="EX10" s="256" t="n"/>
      <c r="EY10" s="18" t="n"/>
      <c r="EZ10" s="18" t="n"/>
      <c r="FA10" s="18" t="n"/>
      <c r="FB10" s="18" t="n">
        <v>200</v>
      </c>
      <c r="FC10" s="18" t="n"/>
      <c r="FD10" s="18" t="n">
        <v>200</v>
      </c>
      <c r="FE10" s="18" t="n">
        <v>400</v>
      </c>
      <c r="FF10" s="256" t="n">
        <v>1000</v>
      </c>
      <c r="FG10" s="18" t="n"/>
      <c r="FH10" s="18" t="n"/>
      <c r="FI10" s="18" t="n"/>
      <c r="FJ10" s="18" t="n"/>
      <c r="FK10" s="18" t="n"/>
      <c r="FL10" s="18" t="n">
        <v>200</v>
      </c>
      <c r="FM10" s="18" t="n"/>
      <c r="FN10" s="18" t="n"/>
      <c r="FO10" s="18" t="n">
        <v>400</v>
      </c>
      <c r="FP10" s="18" t="n">
        <v>400</v>
      </c>
      <c r="FQ10" s="18" t="n"/>
      <c r="FR10" s="256" t="n"/>
      <c r="FU10" s="29" t="inlineStr">
        <is>
          <t xml:space="preserve">SACOLA M </t>
        </is>
      </c>
      <c r="FV10" s="9" t="n">
        <v>200</v>
      </c>
      <c r="FW10" s="38">
        <f>CM10</f>
        <v/>
      </c>
      <c r="FX10" s="38" t="n">
        <v>800</v>
      </c>
      <c r="FY10" s="38" t="n">
        <v>700</v>
      </c>
      <c r="FZ10" s="38" t="n">
        <v>650</v>
      </c>
      <c r="GA10" s="38" t="n">
        <v>450</v>
      </c>
      <c r="GB10" s="38" t="n">
        <v>400</v>
      </c>
      <c r="GC10" s="38" t="n"/>
      <c r="GD10" s="38" t="n"/>
      <c r="GE10" s="38" t="n"/>
      <c r="GF10" s="9" t="n"/>
      <c r="GG10" s="9" t="n"/>
      <c r="GH10" s="9" t="n"/>
      <c r="GI10" s="246">
        <f>GG10+IF(NOT(ISBLANK(OFFSET(GI10,0,6))),N(OFFSET(GI10,0,6)),N(OFFSET(GI10,0,7)))-GH10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60</v>
      </c>
      <c r="E11" s="6" t="n"/>
      <c r="F11" s="38" t="n">
        <v>78</v>
      </c>
      <c r="G11" s="38" t="n">
        <v>78</v>
      </c>
      <c r="H11" s="38">
        <f>78+FL11</f>
        <v/>
      </c>
      <c r="I11" s="38" t="n">
        <v>178</v>
      </c>
      <c r="J11" s="38" t="n">
        <v>178</v>
      </c>
      <c r="K11" s="38" t="n">
        <v>178</v>
      </c>
      <c r="L11" s="38" t="n">
        <v>178</v>
      </c>
      <c r="M11" s="38" t="n">
        <v>178</v>
      </c>
      <c r="N11" s="38" t="n">
        <v>178</v>
      </c>
      <c r="O11" s="38" t="n">
        <v>178</v>
      </c>
      <c r="P11" s="38" t="n">
        <v>178</v>
      </c>
      <c r="Q11" s="38" t="n">
        <v>178</v>
      </c>
      <c r="R11" s="38" t="n">
        <v>150</v>
      </c>
      <c r="S11" s="38" t="n">
        <v>150</v>
      </c>
      <c r="T11" s="38" t="n">
        <v>150</v>
      </c>
      <c r="U11" s="38" t="n">
        <v>150</v>
      </c>
      <c r="V11" s="38" t="n">
        <v>150</v>
      </c>
      <c r="W11" s="38" t="n">
        <v>150</v>
      </c>
      <c r="X11" s="38" t="n">
        <v>150</v>
      </c>
      <c r="Y11" s="38" t="n">
        <v>150</v>
      </c>
      <c r="Z11" s="38" t="n">
        <v>150</v>
      </c>
      <c r="AA11" s="38" t="n">
        <v>125</v>
      </c>
      <c r="AB11" s="38" t="n">
        <v>125</v>
      </c>
      <c r="AC11" s="38" t="n">
        <v>125</v>
      </c>
      <c r="AD11" s="38" t="n">
        <v>125</v>
      </c>
      <c r="AE11" s="38" t="n">
        <v>125</v>
      </c>
      <c r="AF11" s="38" t="n">
        <v>125</v>
      </c>
      <c r="AG11" s="38" t="n">
        <v>125</v>
      </c>
      <c r="AH11" s="38" t="n">
        <v>125</v>
      </c>
      <c r="AI11" s="38" t="n">
        <v>125</v>
      </c>
      <c r="AJ11" s="38" t="n">
        <v>116</v>
      </c>
      <c r="AK11" s="38" t="n">
        <v>116</v>
      </c>
      <c r="AL11" s="38" t="n">
        <v>100</v>
      </c>
      <c r="AM11" s="38" t="n">
        <v>0</v>
      </c>
      <c r="AN11" s="38">
        <f>5+DZ11</f>
        <v/>
      </c>
      <c r="AO11" s="38" t="n">
        <v>102</v>
      </c>
      <c r="AP11" s="38" t="n">
        <v>80</v>
      </c>
      <c r="AQ11" s="38" t="n">
        <v>50</v>
      </c>
      <c r="AR11" s="38" t="n">
        <v>50</v>
      </c>
      <c r="AS11" s="38" t="n">
        <v>125</v>
      </c>
      <c r="AT11" s="38" t="n">
        <v>125</v>
      </c>
      <c r="AU11" s="38" t="n">
        <v>125</v>
      </c>
      <c r="AV11" s="38" t="n">
        <v>100</v>
      </c>
      <c r="AW11" s="38" t="n">
        <v>60</v>
      </c>
      <c r="AX11" s="38" t="n">
        <v>60</v>
      </c>
      <c r="AY11" s="38" t="n">
        <v>60</v>
      </c>
      <c r="AZ11" s="38" t="n">
        <v>60</v>
      </c>
      <c r="BA11" s="38" t="n">
        <v>60</v>
      </c>
      <c r="BB11" s="38" t="n">
        <v>60</v>
      </c>
      <c r="BC11" s="38" t="n">
        <v>60</v>
      </c>
      <c r="BD11" s="38" t="n">
        <v>60</v>
      </c>
      <c r="BE11" s="38" t="n">
        <v>100</v>
      </c>
      <c r="BF11" s="38" t="n">
        <v>100</v>
      </c>
      <c r="BG11" s="38" t="n">
        <v>50</v>
      </c>
      <c r="BH11" s="38" t="n">
        <v>50</v>
      </c>
      <c r="BI11" s="38" t="n">
        <v>0</v>
      </c>
      <c r="BJ11" s="38" t="n">
        <v>0</v>
      </c>
      <c r="BK11" s="38">
        <f>0+200</f>
        <v/>
      </c>
      <c r="BL11" s="38" t="n">
        <v>200</v>
      </c>
      <c r="BM11" s="38" t="n">
        <v>200</v>
      </c>
      <c r="BN11" s="38" t="n">
        <v>200</v>
      </c>
      <c r="BO11" s="38" t="n">
        <v>180</v>
      </c>
      <c r="BP11" s="38" t="n">
        <v>150</v>
      </c>
      <c r="BQ11" s="38" t="n">
        <v>100</v>
      </c>
      <c r="BR11" s="38" t="n">
        <v>100</v>
      </c>
      <c r="BS11" s="38" t="n">
        <v>100</v>
      </c>
      <c r="BT11" s="38" t="n">
        <v>80</v>
      </c>
      <c r="BU11" s="38" t="n">
        <v>50</v>
      </c>
      <c r="BV11" s="38" t="n">
        <v>50</v>
      </c>
      <c r="BW11" s="38" t="n">
        <v>100</v>
      </c>
      <c r="BX11" s="38" t="n">
        <v>50</v>
      </c>
      <c r="BY11" s="38">
        <f>50+CJ11</f>
        <v/>
      </c>
      <c r="BZ11" s="38" t="n"/>
      <c r="CA11" s="38" t="n"/>
      <c r="CB11" s="38" t="n"/>
      <c r="CC11" s="9" t="n"/>
      <c r="CD11" s="9" t="n"/>
      <c r="CE11" s="9" t="n"/>
      <c r="CF11" s="154">
        <f>CD11+IF(NOT(ISBLANK(OFFSET(CF11,0,6))),N(OFFSET(CF11,0,6)),N(OFFSET(CF11,0,7)))-CE11</f>
        <v/>
      </c>
      <c r="CG11" s="6" t="n"/>
      <c r="CH11" s="19" t="n"/>
      <c r="CI11" s="19" t="n"/>
      <c r="CJ11" s="23" t="n"/>
      <c r="CK11" s="18" t="n">
        <v>0</v>
      </c>
      <c r="CL11" s="18" t="n">
        <v>0</v>
      </c>
      <c r="CM11" s="18" t="n">
        <v>100</v>
      </c>
      <c r="CN11" s="18" t="n">
        <v>0</v>
      </c>
      <c r="CO11" s="18" t="n"/>
      <c r="CP11" s="256" t="n">
        <v>200</v>
      </c>
      <c r="CQ11" s="18" t="n"/>
      <c r="CR11" s="18" t="n"/>
      <c r="CS11" s="18" t="n"/>
      <c r="CT11" s="256" t="n"/>
      <c r="CU11" s="18" t="n"/>
      <c r="CV11" s="18" t="n"/>
      <c r="CW11" s="18" t="n"/>
      <c r="CX11" s="18" t="n"/>
      <c r="CY11" s="154" t="inlineStr">
        <is>
          <t>200 DE MG</t>
        </is>
      </c>
      <c r="CZ11" s="18" t="n"/>
      <c r="DA11" s="18" t="n"/>
      <c r="DB11" s="18" t="n"/>
      <c r="DC11" s="18" t="n"/>
      <c r="DD11" s="18" t="n"/>
      <c r="DE11" s="18" t="n"/>
      <c r="DF11" s="18" t="n">
        <v>100</v>
      </c>
      <c r="DG11" s="18" t="n"/>
      <c r="DH11" s="18" t="n"/>
      <c r="DI11" s="18" t="n"/>
      <c r="DJ11" s="18" t="n"/>
      <c r="DK11" s="18" t="n"/>
      <c r="DL11" s="18" t="n"/>
      <c r="DM11" s="403" t="inlineStr">
        <is>
          <t>100 P/ MG</t>
        </is>
      </c>
      <c r="DN11" s="18" t="n"/>
      <c r="DO11" s="18" t="n"/>
      <c r="DP11" s="256" t="n">
        <v>300</v>
      </c>
      <c r="DQ11" s="18" t="n"/>
      <c r="DR11" s="18" t="n"/>
      <c r="DS11" s="18" t="n"/>
      <c r="DT11" s="256" t="n"/>
      <c r="DU11" s="256" t="n"/>
      <c r="DV11" s="18" t="n">
        <v>100</v>
      </c>
      <c r="DW11" s="18" t="n"/>
      <c r="DX11" s="18" t="n"/>
      <c r="DY11" s="256" t="n"/>
      <c r="DZ11" s="18" t="n"/>
      <c r="EA11" s="18" t="n"/>
      <c r="EB11" s="18" t="n"/>
      <c r="EC11" s="18" t="n">
        <v>100</v>
      </c>
      <c r="ED11" s="18" t="n"/>
      <c r="EE11" s="18" t="n"/>
      <c r="EF11" s="256" t="n"/>
      <c r="EG11" s="18" t="n"/>
      <c r="EH11" s="18" t="n"/>
      <c r="EI11" s="18" t="n"/>
      <c r="EJ11" s="256" t="n"/>
      <c r="EK11" s="256" t="n"/>
      <c r="EL11" s="18" t="n"/>
      <c r="EM11" s="18" t="n"/>
      <c r="EN11" s="356" t="n"/>
      <c r="EO11" s="18" t="n"/>
      <c r="EP11" s="18" t="n"/>
      <c r="EQ11" s="18" t="n"/>
      <c r="ER11" s="18" t="n"/>
      <c r="ES11" s="18" t="n"/>
      <c r="ET11" s="18" t="n"/>
      <c r="EU11" s="256" t="n">
        <v>100</v>
      </c>
      <c r="EV11" s="18" t="n"/>
      <c r="EW11" s="18" t="n"/>
      <c r="EX11" s="256" t="n"/>
      <c r="EY11" s="18" t="n"/>
      <c r="EZ11" s="18" t="n"/>
      <c r="FA11" s="18" t="n"/>
      <c r="FB11" s="18" t="n"/>
      <c r="FC11" s="18" t="n"/>
      <c r="FD11" s="18" t="n"/>
      <c r="FE11" s="18" t="n"/>
      <c r="FF11" s="256" t="n">
        <v>200</v>
      </c>
      <c r="FG11" s="18" t="n"/>
      <c r="FH11" s="18" t="n"/>
      <c r="FI11" s="18" t="n"/>
      <c r="FJ11" s="18" t="n"/>
      <c r="FK11" s="18" t="n"/>
      <c r="FL11" s="18" t="n"/>
      <c r="FM11" s="18" t="n"/>
      <c r="FN11" s="18" t="n"/>
      <c r="FO11" s="18" t="n">
        <v>100</v>
      </c>
      <c r="FP11" s="18" t="n"/>
      <c r="FQ11" s="18" t="n"/>
      <c r="FR11" s="256" t="n"/>
      <c r="FU11" s="30" t="inlineStr">
        <is>
          <t xml:space="preserve">SACOLA G </t>
        </is>
      </c>
      <c r="FV11" s="9" t="n">
        <v>100</v>
      </c>
      <c r="FW11" s="38">
        <f>CM11</f>
        <v/>
      </c>
      <c r="FX11" s="38" t="n">
        <v>150</v>
      </c>
      <c r="FY11" s="38" t="n">
        <v>100</v>
      </c>
      <c r="FZ11" s="38" t="n">
        <v>100</v>
      </c>
      <c r="GA11" s="38" t="n">
        <v>50</v>
      </c>
      <c r="GB11" s="38" t="n">
        <v>0</v>
      </c>
      <c r="GC11" s="38" t="n"/>
      <c r="GD11" s="38" t="n"/>
      <c r="GE11" s="38" t="n"/>
      <c r="GF11" s="9" t="n"/>
      <c r="GG11" s="9" t="n"/>
      <c r="GH11" s="9" t="n"/>
      <c r="GI11" s="246">
        <f>GG11+IF(NOT(ISBLANK(OFFSET(GI11,0,6))),N(OFFSET(GI11,0,6)),N(OFFSET(GI11,0,7)))-GH11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2" t="n"/>
      <c r="CE12" s="2" t="n"/>
      <c r="CF12" s="4" t="n"/>
      <c r="CG12" s="6" t="n"/>
      <c r="CH12" s="11" t="n"/>
      <c r="CI12" s="11" t="n"/>
      <c r="CJ12" s="17" t="n"/>
      <c r="CK12" s="24" t="n"/>
      <c r="CL12" s="24" t="n"/>
      <c r="CM12" s="24" t="n"/>
      <c r="CN12" s="24" t="n"/>
      <c r="CO12" s="24" t="n"/>
      <c r="CP12" s="257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4" t="n"/>
      <c r="DJ12" s="24" t="n"/>
      <c r="DK12" s="24" t="n"/>
      <c r="DL12" s="24" t="n"/>
      <c r="DM12" s="257" t="n"/>
      <c r="DN12" s="24" t="n"/>
      <c r="DO12" s="24" t="n"/>
      <c r="DP12" s="257" t="n"/>
      <c r="DQ12" s="24" t="n"/>
      <c r="DR12" s="24" t="n"/>
      <c r="DS12" s="24" t="n"/>
      <c r="DT12" s="24" t="n"/>
      <c r="DU12" s="24" t="n"/>
      <c r="DV12" s="24" t="n"/>
      <c r="DW12" s="24" t="n"/>
      <c r="DX12" s="24" t="n"/>
      <c r="DY12" s="24" t="n"/>
      <c r="DZ12" s="24" t="n"/>
      <c r="EA12" s="24" t="n"/>
      <c r="EB12" s="24" t="n"/>
      <c r="EC12" s="24" t="n"/>
      <c r="ED12" s="24" t="n"/>
      <c r="EE12" s="24" t="n"/>
      <c r="EF12" s="257" t="n"/>
      <c r="EG12" s="24" t="n"/>
      <c r="EH12" s="24" t="n"/>
      <c r="EI12" s="24" t="n"/>
      <c r="EJ12" s="257" t="n"/>
      <c r="EK12" s="257" t="n"/>
      <c r="EL12" s="24" t="n"/>
      <c r="EM12" s="24" t="n"/>
      <c r="EO12" s="24" t="n"/>
      <c r="EP12" s="24" t="n"/>
      <c r="EQ12" s="24" t="n"/>
      <c r="ER12" s="24" t="n"/>
      <c r="ES12" s="24" t="n"/>
      <c r="ET12" s="24" t="n"/>
      <c r="EU12" s="24" t="n"/>
      <c r="EV12" s="24" t="n"/>
      <c r="EW12" s="24" t="n"/>
      <c r="EX12" s="271" t="n"/>
      <c r="EY12" s="24" t="n"/>
      <c r="EZ12" s="24" t="n"/>
      <c r="FA12" s="24" t="n"/>
      <c r="FB12" s="24" t="n"/>
      <c r="FC12" s="24" t="n"/>
      <c r="FD12" s="24" t="n"/>
      <c r="FE12" s="24" t="n"/>
      <c r="FF12" s="271" t="n"/>
      <c r="FG12" s="24" t="n"/>
      <c r="FH12" s="24" t="n"/>
      <c r="FI12" s="24" t="n"/>
      <c r="FJ12" s="24" t="n"/>
      <c r="FK12" s="24" t="n"/>
      <c r="FL12" s="24" t="n"/>
      <c r="FM12" s="24" t="n"/>
      <c r="FN12" s="24" t="n"/>
      <c r="FO12" s="24" t="n"/>
      <c r="FP12" s="24" t="n"/>
      <c r="FQ12" s="24" t="n"/>
      <c r="FR12" s="257" t="n"/>
      <c r="FU12" s="31" t="n"/>
      <c r="FV12" s="2" t="n"/>
      <c r="FW12" s="4" t="n"/>
      <c r="FX12" s="4" t="n"/>
      <c r="FY12" s="4" t="n"/>
      <c r="FZ12" s="4" t="n"/>
      <c r="GA12" s="4" t="n"/>
      <c r="GB12" s="4" t="n"/>
      <c r="GC12" s="4" t="n"/>
      <c r="GD12" s="4" t="n"/>
      <c r="GE12" s="4" t="n"/>
      <c r="GF12" s="2" t="n"/>
      <c r="GG12" s="2" t="n"/>
      <c r="GH12" s="2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1" t="n">
        <v>46161.48003133102</v>
      </c>
      <c r="CD13" s="651" t="n">
        <v>46161.48071099537</v>
      </c>
      <c r="CE13" s="651" t="n">
        <v>46161.4828693267</v>
      </c>
      <c r="CF13" s="652" t="inlineStr">
        <is>
          <t>USOU</t>
        </is>
      </c>
      <c r="CG13" s="642" t="n"/>
      <c r="CH13" s="413" t="inlineStr">
        <is>
          <t>TRANSFERÊNCIA</t>
        </is>
      </c>
      <c r="CI13" s="35" t="inlineStr">
        <is>
          <t>Pendências</t>
        </is>
      </c>
      <c r="CJ13" s="12" t="inlineStr">
        <is>
          <t>Novo Pedido</t>
        </is>
      </c>
      <c r="CK13" s="677" t="n">
        <v>46161.48286838181</v>
      </c>
      <c r="CL13" s="646" t="n">
        <v>46156</v>
      </c>
      <c r="CM13" s="646" t="n">
        <v>46149</v>
      </c>
      <c r="CN13" s="646" t="n">
        <v>46142</v>
      </c>
      <c r="CO13" s="646" t="n">
        <v>46114</v>
      </c>
      <c r="CP13" s="647" t="n">
        <v>46065</v>
      </c>
      <c r="CQ13" s="646" t="n">
        <v>46099</v>
      </c>
      <c r="CR13" s="646" t="n">
        <v>46092</v>
      </c>
      <c r="CS13" s="646" t="n">
        <v>46092</v>
      </c>
      <c r="CT13" s="655" t="n">
        <v>46080</v>
      </c>
      <c r="CU13" s="655" t="n">
        <v>46079</v>
      </c>
      <c r="CV13" s="646" t="n">
        <v>46077</v>
      </c>
      <c r="CW13" s="646" t="n">
        <v>46071</v>
      </c>
      <c r="CX13" s="646" t="n">
        <v>46056</v>
      </c>
      <c r="CY13" s="655" t="n">
        <v>46055</v>
      </c>
      <c r="CZ13" s="646" t="n">
        <v>46048</v>
      </c>
      <c r="DA13" s="646" t="n">
        <v>46035</v>
      </c>
      <c r="DB13" s="646" t="n">
        <v>46035</v>
      </c>
      <c r="DC13" s="646" t="n">
        <v>46029</v>
      </c>
      <c r="DD13" s="646" t="n">
        <v>46017</v>
      </c>
      <c r="DE13" s="646" t="n">
        <v>46007</v>
      </c>
      <c r="DF13" s="646" t="n">
        <v>46001</v>
      </c>
      <c r="DG13" s="646" t="n">
        <v>45994</v>
      </c>
      <c r="DH13" s="646" t="n">
        <v>45973</v>
      </c>
      <c r="DI13" s="646" t="n">
        <v>45965</v>
      </c>
      <c r="DJ13" s="646" t="n">
        <v>45960</v>
      </c>
      <c r="DK13" s="646" t="n">
        <v>45951</v>
      </c>
      <c r="DL13" s="646" t="n">
        <v>45951</v>
      </c>
      <c r="DM13" s="687" t="n">
        <v>45952</v>
      </c>
      <c r="DN13" s="646" t="n">
        <v>45945</v>
      </c>
      <c r="DO13" s="646" t="n">
        <v>45937</v>
      </c>
      <c r="DP13" s="678" t="n">
        <v>45903</v>
      </c>
      <c r="DQ13" s="646" t="n">
        <v>45923</v>
      </c>
      <c r="DR13" s="646" t="n">
        <v>45931</v>
      </c>
      <c r="DS13" s="646" t="n">
        <v>45923</v>
      </c>
      <c r="DT13" s="688" t="n">
        <v>45925</v>
      </c>
      <c r="DU13" s="688" t="n">
        <v>45924</v>
      </c>
      <c r="DV13" s="646" t="n">
        <v>45915</v>
      </c>
      <c r="DW13" s="646" t="n">
        <v>45915</v>
      </c>
      <c r="DX13" s="646" t="n">
        <v>45909</v>
      </c>
      <c r="DY13" s="679" t="n">
        <v>45863</v>
      </c>
      <c r="DZ13" s="646" t="n">
        <v>45909</v>
      </c>
      <c r="EA13" s="646" t="n">
        <v>45903</v>
      </c>
      <c r="EB13" s="646" t="n">
        <v>45895</v>
      </c>
      <c r="EC13" s="646" t="n">
        <v>45888</v>
      </c>
      <c r="ED13" s="646" t="n">
        <v>45881</v>
      </c>
      <c r="EE13" s="646" t="n">
        <v>45874</v>
      </c>
      <c r="EF13" s="681" t="n">
        <v>45868</v>
      </c>
      <c r="EG13" s="646" t="n">
        <v>45853</v>
      </c>
      <c r="EH13" s="646" t="n">
        <v>45848</v>
      </c>
      <c r="EI13" s="646" t="n">
        <v>45839</v>
      </c>
      <c r="EJ13" s="681" t="n">
        <v>45842</v>
      </c>
      <c r="EK13" s="681" t="n">
        <v>45791</v>
      </c>
      <c r="EL13" s="646" t="n">
        <v>45832</v>
      </c>
      <c r="EM13" s="646" t="n">
        <v>45825</v>
      </c>
      <c r="EN13" s="704" t="n">
        <v>45834</v>
      </c>
      <c r="EO13" s="646" t="n">
        <v>45825</v>
      </c>
      <c r="EP13" s="646" t="n">
        <v>45813</v>
      </c>
      <c r="EQ13" s="646" t="n">
        <v>45798</v>
      </c>
      <c r="ER13" s="655" t="n">
        <v>45798</v>
      </c>
      <c r="ES13" s="654" t="n">
        <v>45790</v>
      </c>
      <c r="ET13" s="689" t="n">
        <v>45790</v>
      </c>
      <c r="EU13" s="683" t="n">
        <v>45735</v>
      </c>
      <c r="EV13" s="654" t="n">
        <v>45783</v>
      </c>
      <c r="EW13" s="654" t="n">
        <v>45783</v>
      </c>
      <c r="EX13" s="684" t="n">
        <v>45785</v>
      </c>
      <c r="EY13" s="654" t="n">
        <v>45770</v>
      </c>
      <c r="EZ13" s="654" t="n">
        <v>45756</v>
      </c>
      <c r="FA13" s="654" t="n">
        <v>45749</v>
      </c>
      <c r="FB13" s="654" t="n">
        <v>45743</v>
      </c>
      <c r="FC13" s="655" t="n">
        <v>45750</v>
      </c>
      <c r="FD13" s="654" t="n">
        <v>45734</v>
      </c>
      <c r="FE13" s="654" t="n">
        <v>45728</v>
      </c>
      <c r="FF13" s="684" t="n">
        <v>45700</v>
      </c>
      <c r="FG13" s="654" t="n">
        <v>45722</v>
      </c>
      <c r="FH13" s="646" t="n">
        <v>45714</v>
      </c>
      <c r="FI13" s="646" t="n">
        <v>45706</v>
      </c>
      <c r="FJ13" s="646" t="n">
        <v>45699</v>
      </c>
      <c r="FK13" s="646" t="n">
        <v>45693</v>
      </c>
      <c r="FL13" s="646" t="n">
        <v>45685</v>
      </c>
      <c r="FM13" s="646" t="n">
        <v>45679</v>
      </c>
      <c r="FN13" s="646" t="n">
        <v>45674</v>
      </c>
      <c r="FO13" s="646" t="n">
        <v>45664</v>
      </c>
      <c r="FP13" s="646" t="n">
        <v>45660</v>
      </c>
      <c r="FQ13" s="655" t="n">
        <v>45670</v>
      </c>
      <c r="FR13" s="685" t="n">
        <v>45665</v>
      </c>
      <c r="FU13" s="267" t="inlineStr">
        <is>
          <t>DIVERSOS</t>
        </is>
      </c>
      <c r="FV13" s="205" t="inlineStr">
        <is>
          <t>PCT</t>
        </is>
      </c>
      <c r="FW13" s="650" t="n">
        <v>46118</v>
      </c>
      <c r="FX13" s="650" t="n">
        <v>46125</v>
      </c>
      <c r="FY13" s="650" t="n">
        <v>46132</v>
      </c>
      <c r="FZ13" s="650" t="n">
        <v>46139</v>
      </c>
      <c r="GA13" s="650" t="n">
        <v>46146</v>
      </c>
      <c r="GB13" s="650" t="n">
        <v>46154</v>
      </c>
      <c r="GC13" s="650" t="n">
        <v>46160</v>
      </c>
      <c r="GD13" s="650" t="n">
        <v>46160</v>
      </c>
      <c r="GE13" s="650" t="n">
        <v>46160</v>
      </c>
      <c r="GF13" s="651" t="n">
        <v>46161.48003083334</v>
      </c>
      <c r="GG13" s="651" t="n">
        <v>46161.48071049769</v>
      </c>
      <c r="GH13" s="651" t="n">
        <v>46161.48286885033</v>
      </c>
      <c r="GI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115" t="n">
        <v>2</v>
      </c>
      <c r="G14" s="115" t="n">
        <v>2</v>
      </c>
      <c r="H14" s="115">
        <f>2+FM14</f>
        <v/>
      </c>
      <c r="I14" s="115">
        <f>5+FK14</f>
        <v/>
      </c>
      <c r="J14" s="115" t="n">
        <v>6</v>
      </c>
      <c r="K14" s="115" t="n">
        <v>6</v>
      </c>
      <c r="L14" s="115" t="n">
        <v>5</v>
      </c>
      <c r="M14" s="115" t="n">
        <v>4</v>
      </c>
      <c r="N14" s="115" t="n">
        <v>4</v>
      </c>
      <c r="O14" s="115" t="n">
        <v>4</v>
      </c>
      <c r="P14" s="115" t="n">
        <v>2</v>
      </c>
      <c r="Q14" s="115" t="n">
        <v>2</v>
      </c>
      <c r="R14" s="115">
        <f>1+FB14</f>
        <v/>
      </c>
      <c r="S14" s="115" t="n">
        <v>4</v>
      </c>
      <c r="T14" s="115" t="n">
        <v>5</v>
      </c>
      <c r="U14" s="115" t="n">
        <v>4</v>
      </c>
      <c r="V14" s="115" t="n">
        <v>4</v>
      </c>
      <c r="W14" s="115" t="n">
        <v>4</v>
      </c>
      <c r="X14" s="115" t="n">
        <v>4</v>
      </c>
      <c r="Y14" s="115" t="n">
        <v>2</v>
      </c>
      <c r="Z14" s="115" t="n">
        <v>4</v>
      </c>
      <c r="AA14" s="115" t="n">
        <v>4</v>
      </c>
      <c r="AB14" s="115" t="n">
        <v>4</v>
      </c>
      <c r="AC14" s="115" t="n">
        <v>3</v>
      </c>
      <c r="AD14" s="115" t="n">
        <v>1</v>
      </c>
      <c r="AE14" s="115">
        <f>1+EL14</f>
        <v/>
      </c>
      <c r="AF14" s="115" t="n">
        <v>5</v>
      </c>
      <c r="AG14" s="115" t="n">
        <v>6</v>
      </c>
      <c r="AH14" s="115" t="n">
        <v>5</v>
      </c>
      <c r="AI14" s="115" t="n">
        <v>5</v>
      </c>
      <c r="AJ14" s="115" t="n">
        <v>5</v>
      </c>
      <c r="AK14" s="115" t="n">
        <v>5</v>
      </c>
      <c r="AL14" s="115" t="n">
        <v>4</v>
      </c>
      <c r="AM14" s="115" t="n">
        <v>4</v>
      </c>
      <c r="AN14" s="115" t="n">
        <v>3</v>
      </c>
      <c r="AO14" s="115" t="n">
        <v>3</v>
      </c>
      <c r="AP14" s="115" t="n">
        <v>2</v>
      </c>
      <c r="AQ14" s="115" t="n">
        <v>2</v>
      </c>
      <c r="AR14" s="115" t="n">
        <v>2</v>
      </c>
      <c r="AS14" s="115" t="n">
        <v>2</v>
      </c>
      <c r="AT14" s="115">
        <f>1+DO14</f>
        <v/>
      </c>
      <c r="AU14" s="115">
        <f>3+DL14</f>
        <v/>
      </c>
      <c r="AV14" s="115" t="n">
        <v>2</v>
      </c>
      <c r="AW14" s="115" t="n">
        <v>2</v>
      </c>
      <c r="AX14" s="115" t="n">
        <v>6</v>
      </c>
      <c r="AY14" s="115" t="n">
        <v>5</v>
      </c>
      <c r="AZ14" s="115" t="n">
        <v>5</v>
      </c>
      <c r="BA14" s="115" t="n">
        <v>5</v>
      </c>
      <c r="BB14" s="115" t="n">
        <v>5</v>
      </c>
      <c r="BC14" s="115" t="n">
        <v>5</v>
      </c>
      <c r="BD14" s="115" t="n">
        <v>5</v>
      </c>
      <c r="BE14" s="115">
        <f>4+DB14</f>
        <v/>
      </c>
      <c r="BF14" s="115" t="n">
        <v>2</v>
      </c>
      <c r="BG14" s="115" t="n">
        <v>0</v>
      </c>
      <c r="BH14" s="115" t="n">
        <v>1</v>
      </c>
      <c r="BI14" s="115">
        <f>0+CY14+CZ14</f>
        <v/>
      </c>
      <c r="BJ14" s="115" t="n">
        <v>14</v>
      </c>
      <c r="BK14" s="115" t="n">
        <v>13</v>
      </c>
      <c r="BL14" s="115" t="n">
        <v>14</v>
      </c>
      <c r="BM14" s="115" t="n">
        <v>14</v>
      </c>
      <c r="BN14" s="115" t="n">
        <v>13</v>
      </c>
      <c r="BO14" s="115" t="n">
        <v>11</v>
      </c>
      <c r="BP14" s="115" t="n">
        <v>9</v>
      </c>
      <c r="BQ14" s="115" t="n">
        <v>7</v>
      </c>
      <c r="BR14" s="115">
        <f>5+CO14</f>
        <v/>
      </c>
      <c r="BS14" s="115" t="n">
        <v>6</v>
      </c>
      <c r="BT14" s="115" t="n">
        <v>5</v>
      </c>
      <c r="BU14" s="115" t="n">
        <v>9</v>
      </c>
      <c r="BV14" s="115" t="n">
        <v>8</v>
      </c>
      <c r="BW14" s="115" t="n">
        <v>8</v>
      </c>
      <c r="BX14" s="115" t="n">
        <v>8</v>
      </c>
      <c r="BY14" s="115" t="n">
        <v>8</v>
      </c>
      <c r="BZ14" s="115" t="n"/>
      <c r="CA14" s="115" t="n"/>
      <c r="CB14" s="115" t="n"/>
      <c r="CC14" s="663" t="n"/>
      <c r="CD14" s="663" t="n"/>
      <c r="CE14" s="663" t="n"/>
      <c r="CF14" s="154">
        <f>CD14+IF(NOT(ISBLANK(OFFSET(CF14,0,6))),N(OFFSET(CF14,0,6)),N(OFFSET(CF14,0,7)))-CE14</f>
        <v/>
      </c>
      <c r="CG14" s="642" t="n"/>
      <c r="CH14" s="19" t="n"/>
      <c r="CI14" s="19" t="n"/>
      <c r="CJ14" s="23" t="n"/>
      <c r="CK14" s="18" t="n">
        <v>0</v>
      </c>
      <c r="CL14" s="18" t="n">
        <v>0</v>
      </c>
      <c r="CM14" s="18" t="n">
        <v>0</v>
      </c>
      <c r="CN14" s="18" t="n">
        <v>0</v>
      </c>
      <c r="CO14" s="18" t="n">
        <v>4</v>
      </c>
      <c r="CP14" s="256" t="n">
        <v>20</v>
      </c>
      <c r="CQ14" s="18" t="n"/>
      <c r="CR14" s="18" t="n">
        <v>2</v>
      </c>
      <c r="CS14" s="18" t="n"/>
      <c r="CT14" s="256" t="n"/>
      <c r="CU14" s="18" t="n"/>
      <c r="CV14" s="18" t="n"/>
      <c r="CW14" s="18" t="n"/>
      <c r="CX14" s="18" t="n">
        <v>3</v>
      </c>
      <c r="CY14" s="18" t="n"/>
      <c r="CZ14" s="18" t="n"/>
      <c r="DA14" s="18" t="n"/>
      <c r="DB14" s="18" t="n">
        <v>5</v>
      </c>
      <c r="DC14" s="18" t="n">
        <v>10</v>
      </c>
      <c r="DD14" s="18" t="n">
        <v>3</v>
      </c>
      <c r="DE14" s="18" t="n">
        <v>2</v>
      </c>
      <c r="DF14" s="18" t="n"/>
      <c r="DG14" s="18" t="n"/>
      <c r="DH14" s="18" t="n"/>
      <c r="DI14" s="18" t="n"/>
      <c r="DJ14" s="18" t="n"/>
      <c r="DK14" s="18" t="n">
        <v>4</v>
      </c>
      <c r="DL14" s="18" t="n"/>
      <c r="DM14" s="256" t="n"/>
      <c r="DN14" s="18" t="n"/>
      <c r="DO14" s="18" t="n">
        <v>1</v>
      </c>
      <c r="DP14" s="256" t="n">
        <v>18</v>
      </c>
      <c r="DQ14" s="18" t="n"/>
      <c r="DR14" s="18" t="n">
        <v>2</v>
      </c>
      <c r="DS14" s="18" t="n"/>
      <c r="DT14" s="378" t="inlineStr">
        <is>
          <t>100 P/ TP</t>
        </is>
      </c>
      <c r="DU14" s="256" t="n"/>
      <c r="DV14" s="18" t="n">
        <v>1</v>
      </c>
      <c r="DW14" s="18" t="n"/>
      <c r="DX14" s="18" t="n"/>
      <c r="DY14" s="256" t="n">
        <v>200</v>
      </c>
      <c r="DZ14" s="18" t="n"/>
      <c r="EA14" s="18" t="n"/>
      <c r="EB14" s="18" t="n">
        <v>1</v>
      </c>
      <c r="EC14" s="18" t="n"/>
      <c r="ED14" s="18" t="n"/>
      <c r="EE14" s="18" t="n"/>
      <c r="EF14" s="256" t="n"/>
      <c r="EG14" s="18" t="n"/>
      <c r="EH14" s="18" t="n"/>
      <c r="EI14" s="18" t="n"/>
      <c r="EJ14" s="256" t="n"/>
      <c r="EK14" s="256" t="n">
        <v>5</v>
      </c>
      <c r="EL14" s="18" t="n">
        <v>2</v>
      </c>
      <c r="EM14" s="18" t="n"/>
      <c r="EN14" s="356" t="n"/>
      <c r="EO14" s="18" t="n">
        <v>4</v>
      </c>
      <c r="EP14" s="18" t="n"/>
      <c r="EQ14" s="18" t="n"/>
      <c r="ER14" s="18" t="n"/>
      <c r="ES14" s="18" t="n">
        <v>2</v>
      </c>
      <c r="ET14" s="18" t="n"/>
      <c r="EU14" s="256" t="n">
        <v>2</v>
      </c>
      <c r="EV14" s="18" t="n"/>
      <c r="EW14" s="18" t="n"/>
      <c r="EX14" s="256" t="n"/>
      <c r="EY14" s="18" t="n"/>
      <c r="EZ14" s="18" t="n"/>
      <c r="FA14" s="18" t="n"/>
      <c r="FB14" s="18" t="n">
        <v>2</v>
      </c>
      <c r="FC14" s="18" t="n"/>
      <c r="FD14" s="18" t="n"/>
      <c r="FE14" s="18" t="n">
        <v>3</v>
      </c>
      <c r="FF14" s="256" t="n">
        <v>10</v>
      </c>
      <c r="FG14" s="18" t="n"/>
      <c r="FH14" s="18" t="n"/>
      <c r="FI14" s="18" t="n"/>
      <c r="FJ14" s="18" t="n"/>
      <c r="FK14" s="18" t="n"/>
      <c r="FL14" s="18" t="n"/>
      <c r="FM14" s="18" t="n"/>
      <c r="FN14" s="18" t="n">
        <v>2</v>
      </c>
      <c r="FO14" s="18" t="n"/>
      <c r="FP14" s="18" t="n">
        <v>3</v>
      </c>
      <c r="FQ14" s="18" t="n"/>
      <c r="FR14" s="256" t="n"/>
      <c r="FU14" s="159" t="inlineStr">
        <is>
          <t>PAPEL DE SEDA</t>
        </is>
      </c>
      <c r="FV14" s="129" t="n">
        <v>200</v>
      </c>
      <c r="FW14" s="38">
        <f>CM14</f>
        <v/>
      </c>
      <c r="FX14" s="38" t="n">
        <v>17</v>
      </c>
      <c r="FY14" s="38" t="n">
        <v>16</v>
      </c>
      <c r="FZ14" s="38" t="n">
        <v>16</v>
      </c>
      <c r="GA14" s="38" t="n">
        <v>12</v>
      </c>
      <c r="GB14" s="38" t="n">
        <v>10</v>
      </c>
      <c r="GC14" s="38" t="n"/>
      <c r="GD14" s="38" t="n"/>
      <c r="GE14" s="38" t="n"/>
      <c r="GF14" s="9" t="n"/>
      <c r="GG14" s="9" t="n"/>
      <c r="GH14" s="9" t="n"/>
      <c r="GI14" s="246">
        <f>GG14+IF(NOT(ISBLANK(OFFSET(GI14,0,6))),N(OFFSET(GI14,0,6)),N(OFFSET(GI14,0,7)))-GH14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115" t="n">
        <v>1</v>
      </c>
      <c r="G15" s="115" t="n">
        <v>1</v>
      </c>
      <c r="H15" s="115">
        <f>1+FL15+FM15</f>
        <v/>
      </c>
      <c r="I15" s="115" t="n">
        <v>4</v>
      </c>
      <c r="J15" s="115" t="n">
        <v>4</v>
      </c>
      <c r="K15" s="115" t="n">
        <v>4</v>
      </c>
      <c r="L15" s="115" t="n">
        <v>4</v>
      </c>
      <c r="M15" s="115" t="n">
        <v>4</v>
      </c>
      <c r="N15" s="115" t="n">
        <v>4</v>
      </c>
      <c r="O15" s="115" t="n">
        <v>4</v>
      </c>
      <c r="P15" s="115" t="n">
        <v>4</v>
      </c>
      <c r="Q15" s="115" t="n">
        <v>4</v>
      </c>
      <c r="R15" s="115" t="n">
        <v>4</v>
      </c>
      <c r="S15" s="115" t="n">
        <v>4</v>
      </c>
      <c r="T15" s="115" t="n">
        <v>4</v>
      </c>
      <c r="U15" s="115" t="n">
        <v>3</v>
      </c>
      <c r="V15" s="115" t="n">
        <v>3</v>
      </c>
      <c r="W15" s="115" t="n">
        <v>3</v>
      </c>
      <c r="X15" s="115" t="n">
        <v>3</v>
      </c>
      <c r="Y15" s="115" t="n">
        <v>3</v>
      </c>
      <c r="Z15" s="115" t="n">
        <v>3</v>
      </c>
      <c r="AA15" s="115" t="n">
        <v>3</v>
      </c>
      <c r="AB15" s="115" t="n">
        <v>2</v>
      </c>
      <c r="AC15" s="115" t="n">
        <v>2</v>
      </c>
      <c r="AD15" s="115" t="n">
        <v>2</v>
      </c>
      <c r="AE15" s="115" t="n">
        <v>2</v>
      </c>
      <c r="AF15" s="115" t="n">
        <v>2</v>
      </c>
      <c r="AG15" s="115" t="n">
        <v>2</v>
      </c>
      <c r="AH15" s="115" t="n">
        <v>2</v>
      </c>
      <c r="AI15" s="115" t="n">
        <v>1</v>
      </c>
      <c r="AJ15" s="115" t="n">
        <v>1</v>
      </c>
      <c r="AK15" s="115" t="n">
        <v>1</v>
      </c>
      <c r="AL15" s="115" t="n">
        <v>1</v>
      </c>
      <c r="AM15" s="115" t="n">
        <v>2</v>
      </c>
      <c r="AN15" s="115" t="n">
        <v>2</v>
      </c>
      <c r="AO15" s="115" t="n">
        <v>2</v>
      </c>
      <c r="AP15" s="115" t="n">
        <v>1</v>
      </c>
      <c r="AQ15" s="115" t="n">
        <v>1</v>
      </c>
      <c r="AR15" s="115" t="n">
        <v>1</v>
      </c>
      <c r="AS15" s="115" t="n">
        <v>1</v>
      </c>
      <c r="AT15" s="115">
        <f>1+DO15</f>
        <v/>
      </c>
      <c r="AU15" s="115" t="n">
        <v>2</v>
      </c>
      <c r="AV15" s="115" t="n">
        <v>2</v>
      </c>
      <c r="AW15" s="115" t="n">
        <v>2</v>
      </c>
      <c r="AX15" s="115" t="n">
        <v>2</v>
      </c>
      <c r="AY15" s="115" t="n">
        <v>1</v>
      </c>
      <c r="AZ15" s="115" t="n">
        <v>2</v>
      </c>
      <c r="BA15" s="115" t="n">
        <v>7</v>
      </c>
      <c r="BB15" s="115" t="n">
        <v>6</v>
      </c>
      <c r="BC15" s="115">
        <f>5+DD15</f>
        <v/>
      </c>
      <c r="BD15" s="115" t="n">
        <v>6</v>
      </c>
      <c r="BE15" s="115" t="n">
        <v>6</v>
      </c>
      <c r="BF15" s="115" t="n">
        <v>6</v>
      </c>
      <c r="BG15" s="115" t="n">
        <v>6</v>
      </c>
      <c r="BH15" s="115" t="n">
        <v>6</v>
      </c>
      <c r="BI15" s="115" t="n">
        <v>6</v>
      </c>
      <c r="BJ15" s="115" t="n">
        <v>6</v>
      </c>
      <c r="BK15" s="115" t="n">
        <v>6</v>
      </c>
      <c r="BL15" s="115" t="n">
        <v>6</v>
      </c>
      <c r="BM15" s="115" t="n">
        <v>6</v>
      </c>
      <c r="BN15" s="115" t="n">
        <v>6</v>
      </c>
      <c r="BO15" s="115" t="n">
        <v>6</v>
      </c>
      <c r="BP15" s="115" t="n">
        <v>5</v>
      </c>
      <c r="BQ15" s="115" t="n">
        <v>5</v>
      </c>
      <c r="BR15" s="115" t="n">
        <v>4</v>
      </c>
      <c r="BS15" s="115" t="n">
        <v>4</v>
      </c>
      <c r="BT15" s="115" t="n">
        <v>4</v>
      </c>
      <c r="BU15" s="115" t="n">
        <v>4</v>
      </c>
      <c r="BV15" s="115" t="n">
        <v>4</v>
      </c>
      <c r="BW15" s="115" t="n">
        <v>4</v>
      </c>
      <c r="BX15" s="115" t="n">
        <v>4</v>
      </c>
      <c r="BY15" s="115" t="n">
        <v>3</v>
      </c>
      <c r="BZ15" s="115" t="n"/>
      <c r="CA15" s="115" t="n"/>
      <c r="CB15" s="115" t="n"/>
      <c r="CC15" s="663" t="n"/>
      <c r="CD15" s="663" t="n"/>
      <c r="CE15" s="663" t="n"/>
      <c r="CF15" s="154">
        <f>CD15+IF(NOT(ISBLANK(OFFSET(CF15,0,6))),N(OFFSET(CF15,0,6)),N(OFFSET(CF15,0,7)))-CE15</f>
        <v/>
      </c>
      <c r="CG15" s="642" t="n"/>
      <c r="CH15" s="19" t="n"/>
      <c r="CI15" s="19" t="n">
        <v>2</v>
      </c>
      <c r="CJ15" s="23" t="n"/>
      <c r="CK15" s="18" t="n">
        <v>0</v>
      </c>
      <c r="CL15" s="18" t="n">
        <v>0</v>
      </c>
      <c r="CM15" s="18" t="n">
        <v>0</v>
      </c>
      <c r="CN15" s="18" t="n">
        <v>0</v>
      </c>
      <c r="CO15" s="18" t="n"/>
      <c r="CP15" s="256" t="n">
        <v>5</v>
      </c>
      <c r="CQ15" s="18" t="n"/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/>
      <c r="DA15" s="18" t="n"/>
      <c r="DB15" s="18" t="n"/>
      <c r="DC15" s="18" t="n"/>
      <c r="DD15" s="18" t="n"/>
      <c r="DE15" s="18" t="n"/>
      <c r="DF15" s="18" t="n"/>
      <c r="DG15" s="18" t="n">
        <v>2</v>
      </c>
      <c r="DH15" s="18" t="n">
        <v>5</v>
      </c>
      <c r="DI15" s="18" t="n"/>
      <c r="DJ15" s="18" t="n"/>
      <c r="DK15" s="18" t="n"/>
      <c r="DL15" s="18" t="n"/>
      <c r="DM15" s="256" t="n"/>
      <c r="DN15" s="18" t="n"/>
      <c r="DO15" s="18" t="n"/>
      <c r="DP15" s="256" t="n">
        <v>9</v>
      </c>
      <c r="DQ15" s="18" t="n"/>
      <c r="DR15" s="18" t="n">
        <v>1</v>
      </c>
      <c r="DS15" s="18" t="n"/>
      <c r="DT15" s="378" t="inlineStr">
        <is>
          <t>100 P/ TP</t>
        </is>
      </c>
      <c r="DU15" s="256" t="n"/>
      <c r="DV15" s="18" t="n"/>
      <c r="DW15" s="18" t="n"/>
      <c r="DX15" s="18" t="n"/>
      <c r="DY15" s="256" t="n">
        <v>200</v>
      </c>
      <c r="DZ15" s="18" t="n"/>
      <c r="EA15" s="18" t="n"/>
      <c r="EB15" s="18" t="n"/>
      <c r="EC15" s="18" t="n"/>
      <c r="ED15" s="18" t="n"/>
      <c r="EE15" s="18" t="n">
        <v>1</v>
      </c>
      <c r="EF15" s="256" t="n"/>
      <c r="EG15" s="18" t="n"/>
      <c r="EH15" s="18" t="n"/>
      <c r="EI15" s="18" t="n"/>
      <c r="EJ15" s="256" t="n"/>
      <c r="EK15" s="256" t="n"/>
      <c r="EL15" s="18" t="n"/>
      <c r="EM15" s="18" t="n"/>
      <c r="EN15" s="356" t="n"/>
      <c r="EO15" s="18" t="n"/>
      <c r="EP15" s="18" t="n"/>
      <c r="EQ15" s="18" t="n"/>
      <c r="ER15" s="18" t="n"/>
      <c r="ES15" s="18" t="n"/>
      <c r="ET15" s="18" t="n"/>
      <c r="EU15" s="256" t="n">
        <v>2</v>
      </c>
      <c r="EV15" s="18" t="n"/>
      <c r="EW15" s="18" t="n"/>
      <c r="EX15" s="256" t="n"/>
      <c r="EY15" s="18" t="n"/>
      <c r="EZ15" s="18" t="n"/>
      <c r="FA15" s="18" t="n"/>
      <c r="FB15" s="18" t="n"/>
      <c r="FC15" s="18" t="n"/>
      <c r="FD15" s="18" t="n"/>
      <c r="FE15" s="18" t="n"/>
      <c r="FF15" s="256" t="n">
        <v>1</v>
      </c>
      <c r="FG15" s="18" t="n"/>
      <c r="FH15" s="18" t="n"/>
      <c r="FI15" s="18" t="n"/>
      <c r="FJ15" s="18" t="n"/>
      <c r="FK15" s="18" t="n"/>
      <c r="FL15" s="18" t="n"/>
      <c r="FM15" s="18" t="n"/>
      <c r="FN15" s="18" t="n"/>
      <c r="FO15" s="18" t="n">
        <v>1</v>
      </c>
      <c r="FP15" s="18" t="n">
        <v>2</v>
      </c>
      <c r="FQ15" s="18" t="n"/>
      <c r="FR15" s="256" t="n"/>
      <c r="FU15" s="29" t="inlineStr">
        <is>
          <t>ADESIVOS</t>
        </is>
      </c>
      <c r="FV15" s="9" t="n">
        <v>200</v>
      </c>
      <c r="FW15" s="38">
        <f>CM15</f>
        <v/>
      </c>
      <c r="FX15" s="38" t="n">
        <v>4</v>
      </c>
      <c r="FY15" s="38" t="n">
        <v>4</v>
      </c>
      <c r="FZ15" s="38" t="n">
        <v>2</v>
      </c>
      <c r="GA15" s="38" t="n">
        <v>0</v>
      </c>
      <c r="GB15" s="38" t="n">
        <v>0</v>
      </c>
      <c r="GC15" s="38" t="n"/>
      <c r="GD15" s="38" t="n"/>
      <c r="GE15" s="38" t="n"/>
      <c r="GF15" s="9" t="n"/>
      <c r="GG15" s="9" t="n"/>
      <c r="GH15" s="9" t="n"/>
      <c r="GI15" s="246">
        <f>GG15+IF(NOT(ISBLANK(OFFSET(GI15,0,6))),N(OFFSET(GI15,0,6)),N(OFFSET(GI15,0,7)))-GH15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5</v>
      </c>
      <c r="E16" s="2" t="n"/>
      <c r="F16" s="115" t="n">
        <v>1</v>
      </c>
      <c r="G16" s="115" t="n">
        <v>0</v>
      </c>
      <c r="H16" s="115">
        <f>0+FM16</f>
        <v/>
      </c>
      <c r="I16" s="115">
        <f>1+FK16</f>
        <v/>
      </c>
      <c r="J16" s="115" t="n">
        <v>4</v>
      </c>
      <c r="K16" s="115">
        <f>4+FI16</f>
        <v/>
      </c>
      <c r="L16" s="115" t="n">
        <v>4</v>
      </c>
      <c r="M16" s="115" t="n">
        <v>4</v>
      </c>
      <c r="N16" s="115" t="n">
        <v>2</v>
      </c>
      <c r="O16" s="115">
        <f>2+FE16</f>
        <v/>
      </c>
      <c r="P16" s="115" t="n">
        <v>5</v>
      </c>
      <c r="Q16" s="115" t="n">
        <v>5</v>
      </c>
      <c r="R16" s="115">
        <f>5+FB16</f>
        <v/>
      </c>
      <c r="S16" s="115" t="n">
        <v>6</v>
      </c>
      <c r="T16" s="115" t="n">
        <v>7</v>
      </c>
      <c r="U16" s="115" t="n">
        <v>6</v>
      </c>
      <c r="V16" s="115" t="n">
        <v>6</v>
      </c>
      <c r="W16" s="115" t="n">
        <v>5</v>
      </c>
      <c r="X16" s="115" t="n">
        <v>9</v>
      </c>
      <c r="Y16" s="115" t="n">
        <v>9</v>
      </c>
      <c r="Z16" s="115" t="n">
        <v>8</v>
      </c>
      <c r="AA16" s="115" t="n">
        <v>8</v>
      </c>
      <c r="AB16" s="115" t="n">
        <v>8</v>
      </c>
      <c r="AC16" s="115" t="n">
        <v>8</v>
      </c>
      <c r="AD16" s="115" t="n">
        <v>7</v>
      </c>
      <c r="AE16" s="115" t="n">
        <v>7</v>
      </c>
      <c r="AF16" s="115" t="n">
        <v>7</v>
      </c>
      <c r="AG16" s="115" t="n">
        <v>6</v>
      </c>
      <c r="AH16" s="115" t="n">
        <v>5</v>
      </c>
      <c r="AI16" s="115" t="n">
        <v>5</v>
      </c>
      <c r="AJ16" s="115" t="n">
        <v>4</v>
      </c>
      <c r="AK16" s="115" t="n">
        <v>3</v>
      </c>
      <c r="AL16" s="115" t="n">
        <v>3</v>
      </c>
      <c r="AM16" s="115" t="n">
        <v>4</v>
      </c>
      <c r="AN16" s="115">
        <f>4+DZ16</f>
        <v/>
      </c>
      <c r="AO16" s="115" t="n">
        <v>5</v>
      </c>
      <c r="AP16" s="115" t="n">
        <v>5</v>
      </c>
      <c r="AQ16" s="115" t="n">
        <v>5</v>
      </c>
      <c r="AR16" s="115" t="n">
        <v>4</v>
      </c>
      <c r="AS16" s="115" t="n">
        <v>4</v>
      </c>
      <c r="AT16" s="115" t="n">
        <v>3</v>
      </c>
      <c r="AU16" s="115">
        <f>3+DL16</f>
        <v/>
      </c>
      <c r="AV16" s="115" t="n">
        <v>2</v>
      </c>
      <c r="AW16" s="115" t="n">
        <v>2</v>
      </c>
      <c r="AX16" s="115" t="n">
        <v>3</v>
      </c>
      <c r="AY16" s="115">
        <f>3+DF16</f>
        <v/>
      </c>
      <c r="AZ16" s="115" t="n">
        <v>5</v>
      </c>
      <c r="BA16" s="115" t="n">
        <v>4</v>
      </c>
      <c r="BB16" s="115" t="n">
        <v>3</v>
      </c>
      <c r="BC16" s="115">
        <f>1+DD16</f>
        <v/>
      </c>
      <c r="BD16" s="115" t="n">
        <v>4</v>
      </c>
      <c r="BE16" s="115" t="n">
        <v>4</v>
      </c>
      <c r="BF16" s="115" t="n">
        <v>3</v>
      </c>
      <c r="BG16" s="115" t="n">
        <v>2</v>
      </c>
      <c r="BH16" s="115" t="n">
        <v>4</v>
      </c>
      <c r="BI16" s="115">
        <f>4+CZ16</f>
        <v/>
      </c>
      <c r="BJ16" s="115" t="n">
        <v>5</v>
      </c>
      <c r="BK16" s="115" t="n">
        <v>3</v>
      </c>
      <c r="BL16" s="115" t="n">
        <v>9</v>
      </c>
      <c r="BM16" s="115" t="n">
        <v>9</v>
      </c>
      <c r="BN16" s="115">
        <f>9-2</f>
        <v/>
      </c>
      <c r="BO16" s="115" t="n">
        <v>6</v>
      </c>
      <c r="BP16" s="115" t="n">
        <v>5</v>
      </c>
      <c r="BQ16" s="115" t="n">
        <v>4</v>
      </c>
      <c r="BR16" s="115" t="n">
        <v>4</v>
      </c>
      <c r="BS16" s="115" t="n">
        <v>4</v>
      </c>
      <c r="BT16" s="115" t="n">
        <v>4</v>
      </c>
      <c r="BU16" s="115" t="n">
        <v>3</v>
      </c>
      <c r="BV16" s="115" t="n">
        <v>3</v>
      </c>
      <c r="BW16" s="115" t="n">
        <v>2</v>
      </c>
      <c r="BX16" s="115">
        <f>1+CK16</f>
        <v/>
      </c>
      <c r="BY16" s="115">
        <f>2+CJ16</f>
        <v/>
      </c>
      <c r="BZ16" s="115" t="n"/>
      <c r="CA16" s="115" t="n"/>
      <c r="CB16" s="115" t="n"/>
      <c r="CC16" s="663" t="n"/>
      <c r="CD16" s="663" t="n"/>
      <c r="CE16" s="663" t="n"/>
      <c r="CF16" s="154">
        <f>CD16+IF(NOT(ISBLANK(OFFSET(CF16,0,6))),N(OFFSET(CF16,0,6)),N(OFFSET(CF16,0,7)))-CE16</f>
        <v/>
      </c>
      <c r="CG16" s="2" t="n"/>
      <c r="CH16" s="19" t="n"/>
      <c r="CI16" s="19" t="n"/>
      <c r="CJ16" s="23" t="n"/>
      <c r="CK16" s="18" t="n">
        <v>0</v>
      </c>
      <c r="CL16" s="18" t="n">
        <v>0</v>
      </c>
      <c r="CM16" s="18" t="n">
        <v>2</v>
      </c>
      <c r="CN16" s="18" t="n">
        <v>2</v>
      </c>
      <c r="CO16" s="18" t="n"/>
      <c r="CP16" s="356" t="n"/>
      <c r="CQ16" s="18" t="n"/>
      <c r="CR16" s="18" t="n"/>
      <c r="CS16" s="18" t="n"/>
      <c r="CT16" s="18" t="n"/>
      <c r="CU16" s="154" t="inlineStr">
        <is>
          <t>02 P/ PL</t>
        </is>
      </c>
      <c r="CV16" s="18" t="n"/>
      <c r="CW16" s="18" t="n"/>
      <c r="CX16" s="18" t="n">
        <v>4</v>
      </c>
      <c r="CY16" s="18" t="n"/>
      <c r="CZ16" s="18" t="n">
        <v>2</v>
      </c>
      <c r="DA16" s="18" t="n"/>
      <c r="DB16" s="18" t="n"/>
      <c r="DC16" s="18" t="n">
        <v>2</v>
      </c>
      <c r="DD16" s="18" t="n">
        <v>3</v>
      </c>
      <c r="DE16" s="18" t="n"/>
      <c r="DF16" s="18" t="n">
        <v>3</v>
      </c>
      <c r="DG16" s="18" t="n">
        <v>3</v>
      </c>
      <c r="DH16" s="18" t="n"/>
      <c r="DI16" s="18" t="n">
        <v>2</v>
      </c>
      <c r="DJ16" s="18" t="n"/>
      <c r="DK16" s="18" t="n">
        <v>3</v>
      </c>
      <c r="DL16" s="18" t="n"/>
      <c r="DM16" s="256" t="n"/>
      <c r="DN16" s="18" t="n"/>
      <c r="DO16" s="18" t="n">
        <v>1</v>
      </c>
      <c r="DP16" s="256" t="n"/>
      <c r="DQ16" s="18" t="n"/>
      <c r="DR16" s="18" t="n"/>
      <c r="DS16" s="18" t="n"/>
      <c r="DT16" s="256" t="n"/>
      <c r="DU16" s="256" t="n"/>
      <c r="DV16" s="18" t="n"/>
      <c r="DW16" s="18" t="n"/>
      <c r="DX16" s="18" t="n"/>
      <c r="DY16" s="256" t="n"/>
      <c r="DZ16" s="18" t="n"/>
      <c r="EA16" s="18" t="n"/>
      <c r="EB16" s="18" t="n"/>
      <c r="EC16" s="18" t="n">
        <v>1</v>
      </c>
      <c r="ED16" s="18" t="n"/>
      <c r="EE16" s="18" t="n">
        <v>2</v>
      </c>
      <c r="EF16" s="256" t="n"/>
      <c r="EG16" s="18" t="n"/>
      <c r="EH16" s="18" t="n"/>
      <c r="EI16" s="18" t="n"/>
      <c r="EJ16" s="256" t="n"/>
      <c r="EK16" s="256" t="n"/>
      <c r="EL16" s="18" t="n"/>
      <c r="EM16" s="18" t="n"/>
      <c r="EN16" s="356" t="n"/>
      <c r="EO16" s="18" t="n"/>
      <c r="EP16" s="18" t="n"/>
      <c r="EQ16" s="18" t="n"/>
      <c r="ER16" s="18" t="n"/>
      <c r="ES16" s="18" t="n"/>
      <c r="ET16" s="18" t="n"/>
      <c r="EU16" s="256" t="n"/>
      <c r="EV16" s="18" t="n">
        <v>2</v>
      </c>
      <c r="EW16" s="18" t="n"/>
      <c r="EX16" s="256" t="n"/>
      <c r="EY16" s="18" t="n">
        <v>5</v>
      </c>
      <c r="EZ16" s="18" t="n"/>
      <c r="FA16" s="18" t="n"/>
      <c r="FB16" s="18" t="n">
        <v>2</v>
      </c>
      <c r="FC16" s="18" t="n"/>
      <c r="FD16" s="18" t="n"/>
      <c r="FE16" s="18" t="n">
        <v>1</v>
      </c>
      <c r="FF16" s="256" t="n">
        <v>2</v>
      </c>
      <c r="FG16" s="18" t="n"/>
      <c r="FH16" s="18" t="n">
        <v>4</v>
      </c>
      <c r="FI16" s="18" t="n"/>
      <c r="FJ16" s="18" t="n"/>
      <c r="FK16" s="18" t="n"/>
      <c r="FL16" s="18" t="n">
        <v>1</v>
      </c>
      <c r="FM16" s="18" t="n"/>
      <c r="FN16" s="18" t="n">
        <v>4</v>
      </c>
      <c r="FO16" s="18" t="n"/>
      <c r="FP16" s="18" t="n">
        <v>2</v>
      </c>
      <c r="FQ16" s="18" t="n"/>
      <c r="FR16" s="256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115" t="n">
        <v>3</v>
      </c>
      <c r="G17" s="115" t="n">
        <v>2</v>
      </c>
      <c r="H17" s="115">
        <f>1+FL17</f>
        <v/>
      </c>
      <c r="I17" s="115">
        <f>2+FK17</f>
        <v/>
      </c>
      <c r="J17" s="115" t="n">
        <v>4</v>
      </c>
      <c r="K17" s="115" t="n">
        <v>3</v>
      </c>
      <c r="L17" s="115" t="n">
        <v>2</v>
      </c>
      <c r="M17" s="115">
        <f>1+FG17</f>
        <v/>
      </c>
      <c r="N17" s="115" t="n">
        <v>4</v>
      </c>
      <c r="O17" s="115" t="n">
        <v>4</v>
      </c>
      <c r="P17" s="115" t="n">
        <v>2</v>
      </c>
      <c r="Q17" s="115" t="n">
        <v>1</v>
      </c>
      <c r="R17" s="115">
        <f>1+FB17</f>
        <v/>
      </c>
      <c r="S17" s="115" t="n">
        <v>5</v>
      </c>
      <c r="T17" s="115" t="n">
        <v>4</v>
      </c>
      <c r="U17" s="115" t="n">
        <v>3</v>
      </c>
      <c r="V17" s="115" t="n">
        <v>3</v>
      </c>
      <c r="W17" s="115" t="n">
        <v>3</v>
      </c>
      <c r="X17" s="115" t="n">
        <v>5</v>
      </c>
      <c r="Y17" s="115" t="n">
        <v>5</v>
      </c>
      <c r="Z17" s="115" t="n">
        <v>5</v>
      </c>
      <c r="AA17" s="115" t="n">
        <v>4</v>
      </c>
      <c r="AB17" s="115" t="n">
        <v>3</v>
      </c>
      <c r="AC17" s="115" t="n">
        <v>2</v>
      </c>
      <c r="AD17" s="115" t="n">
        <v>1</v>
      </c>
      <c r="AE17" s="115">
        <f>0+EL17</f>
        <v/>
      </c>
      <c r="AF17" s="115" t="n">
        <v>2</v>
      </c>
      <c r="AG17" s="115" t="n">
        <v>2</v>
      </c>
      <c r="AH17" s="115" t="n">
        <v>1</v>
      </c>
      <c r="AI17" s="115">
        <f>1+EE17</f>
        <v/>
      </c>
      <c r="AJ17" s="115" t="n">
        <v>4</v>
      </c>
      <c r="AK17" s="115" t="n">
        <v>3</v>
      </c>
      <c r="AL17" s="115" t="n">
        <v>2</v>
      </c>
      <c r="AM17" s="115" t="n">
        <v>2</v>
      </c>
      <c r="AN17" s="115">
        <f>1+DZ17</f>
        <v/>
      </c>
      <c r="AO17" s="115" t="n">
        <v>2</v>
      </c>
      <c r="AP17" s="115" t="n">
        <v>0</v>
      </c>
      <c r="AQ17" s="115">
        <f>0+DW17</f>
        <v/>
      </c>
      <c r="AR17" s="115" t="n">
        <v>0</v>
      </c>
      <c r="AS17" s="115" t="n">
        <v>2</v>
      </c>
      <c r="AT17" s="115">
        <f>1+DO17</f>
        <v/>
      </c>
      <c r="AU17" s="115">
        <f>1+DL17</f>
        <v/>
      </c>
      <c r="AV17" s="115" t="n">
        <v>2</v>
      </c>
      <c r="AW17" s="115" t="n">
        <v>2</v>
      </c>
      <c r="AX17" s="115" t="n">
        <v>1</v>
      </c>
      <c r="AY17" s="115">
        <f>0+DF17</f>
        <v/>
      </c>
      <c r="AZ17" s="115" t="n">
        <v>0</v>
      </c>
      <c r="BA17" s="115" t="n">
        <v>3</v>
      </c>
      <c r="BB17" s="115" t="n">
        <v>2</v>
      </c>
      <c r="BC17" s="115">
        <f>0+DD17</f>
        <v/>
      </c>
      <c r="BD17" s="115" t="n">
        <v>3</v>
      </c>
      <c r="BE17" s="115" t="n">
        <v>2</v>
      </c>
      <c r="BF17" s="115" t="n">
        <v>1</v>
      </c>
      <c r="BG17" s="115" t="n">
        <v>0</v>
      </c>
      <c r="BH17" s="115" t="n">
        <v>2</v>
      </c>
      <c r="BI17" s="115">
        <f>1+CY17+CZ17</f>
        <v/>
      </c>
      <c r="BJ17" s="115" t="n">
        <v>3</v>
      </c>
      <c r="BK17" s="115" t="n">
        <v>4</v>
      </c>
      <c r="BL17" s="115" t="n">
        <v>5</v>
      </c>
      <c r="BM17" s="115" t="n">
        <v>5</v>
      </c>
      <c r="BN17" s="115" t="n">
        <v>4</v>
      </c>
      <c r="BO17" s="115" t="n">
        <v>3</v>
      </c>
      <c r="BP17" s="115" t="n">
        <v>2</v>
      </c>
      <c r="BQ17" s="115" t="n">
        <v>1</v>
      </c>
      <c r="BR17" s="115">
        <f>0+CO17+CN17</f>
        <v/>
      </c>
      <c r="BS17" s="115" t="n">
        <v>2</v>
      </c>
      <c r="BT17" s="115" t="n">
        <v>1</v>
      </c>
      <c r="BU17" s="115" t="n">
        <v>3</v>
      </c>
      <c r="BV17" s="115" t="n">
        <v>2</v>
      </c>
      <c r="BW17" s="115" t="n">
        <v>1</v>
      </c>
      <c r="BX17" s="115">
        <f>0+CK17</f>
        <v/>
      </c>
      <c r="BY17" s="115" t="n">
        <v>0</v>
      </c>
      <c r="BZ17" s="115" t="n"/>
      <c r="CA17" s="115" t="n"/>
      <c r="CB17" s="115" t="n"/>
      <c r="CC17" s="663" t="n"/>
      <c r="CD17" s="663" t="n"/>
      <c r="CE17" s="663" t="n"/>
      <c r="CF17" s="154">
        <f>CD17+IF(NOT(ISBLANK(OFFSET(CF17,0,6))),N(OFFSET(CF17,0,6)),N(OFFSET(CF17,0,7)))-CE17</f>
        <v/>
      </c>
      <c r="CG17" s="2" t="n"/>
      <c r="CH17" s="19" t="n"/>
      <c r="CI17" s="19" t="n">
        <v>4</v>
      </c>
      <c r="CJ17" s="23" t="n"/>
      <c r="CK17" s="18" t="n">
        <v>0</v>
      </c>
      <c r="CL17" s="18" t="n">
        <v>0</v>
      </c>
      <c r="CM17" s="18" t="n">
        <v>0</v>
      </c>
      <c r="CN17" s="18" t="n">
        <v>3</v>
      </c>
      <c r="CO17" s="18" t="n">
        <v>3</v>
      </c>
      <c r="CP17" s="356" t="n"/>
      <c r="CQ17" s="18" t="n">
        <v>2</v>
      </c>
      <c r="CR17" s="18" t="n">
        <v>1</v>
      </c>
      <c r="CS17" s="18" t="n"/>
      <c r="CT17" s="18" t="n"/>
      <c r="CU17" s="18" t="n"/>
      <c r="CV17" s="18" t="n"/>
      <c r="CW17" s="18" t="n"/>
      <c r="CX17" s="18" t="n">
        <v>2</v>
      </c>
      <c r="CY17" s="18" t="n"/>
      <c r="CZ17" s="18" t="n">
        <v>2</v>
      </c>
      <c r="DA17" s="18" t="n"/>
      <c r="DB17" s="18" t="n">
        <v>2</v>
      </c>
      <c r="DC17" s="18" t="n">
        <v>1</v>
      </c>
      <c r="DD17" s="18" t="n">
        <v>3</v>
      </c>
      <c r="DE17" s="18" t="n"/>
      <c r="DF17" s="18" t="n">
        <v>2</v>
      </c>
      <c r="DG17" s="18" t="n">
        <v>3</v>
      </c>
      <c r="DH17" s="18" t="n">
        <v>3</v>
      </c>
      <c r="DI17" s="18" t="n">
        <v>2</v>
      </c>
      <c r="DJ17" s="18" t="n"/>
      <c r="DK17" s="18" t="n"/>
      <c r="DL17" s="18" t="n"/>
      <c r="DM17" s="256" t="n"/>
      <c r="DN17" s="18" t="n"/>
      <c r="DO17" s="18" t="n">
        <v>2</v>
      </c>
      <c r="DP17" s="256" t="n"/>
      <c r="DQ17" s="18" t="n"/>
      <c r="DR17" s="18" t="n">
        <v>1</v>
      </c>
      <c r="DS17" s="18" t="n">
        <v>2</v>
      </c>
      <c r="DT17" s="256" t="n"/>
      <c r="DU17" s="256" t="n"/>
      <c r="DV17" s="18" t="n">
        <v>1</v>
      </c>
      <c r="DW17" s="18" t="n"/>
      <c r="DX17" s="18" t="n"/>
      <c r="DY17" s="256" t="n"/>
      <c r="DZ17" s="18" t="n">
        <v>1</v>
      </c>
      <c r="EA17" s="18" t="n"/>
      <c r="EB17" s="18" t="n"/>
      <c r="EC17" s="18" t="n">
        <v>1</v>
      </c>
      <c r="ED17" s="18" t="n"/>
      <c r="EE17" s="18" t="n">
        <v>1</v>
      </c>
      <c r="EF17" s="256" t="n"/>
      <c r="EG17" s="18" t="n">
        <v>2</v>
      </c>
      <c r="EH17" s="18" t="n">
        <v>2</v>
      </c>
      <c r="EI17" s="18" t="n"/>
      <c r="EJ17" s="256" t="n"/>
      <c r="EK17" s="256" t="n"/>
      <c r="EL17" s="18" t="n">
        <v>2</v>
      </c>
      <c r="EM17" s="18" t="n"/>
      <c r="EN17" s="356" t="n"/>
      <c r="EO17" s="18" t="n">
        <v>2</v>
      </c>
      <c r="EP17" s="18" t="n"/>
      <c r="EQ17" s="18" t="n"/>
      <c r="ER17" s="18" t="n"/>
      <c r="ES17" s="18" t="n"/>
      <c r="ET17" s="18" t="n"/>
      <c r="EU17" s="256" t="n"/>
      <c r="EV17" s="18" t="n">
        <v>4</v>
      </c>
      <c r="EW17" s="18" t="n"/>
      <c r="EX17" s="256" t="n"/>
      <c r="EY17" s="18" t="n">
        <v>1</v>
      </c>
      <c r="EZ17" s="18" t="n">
        <v>2</v>
      </c>
      <c r="FA17" s="18" t="n"/>
      <c r="FB17" s="18" t="n"/>
      <c r="FC17" s="18" t="n"/>
      <c r="FD17" s="18" t="n"/>
      <c r="FE17" s="18" t="n">
        <v>5</v>
      </c>
      <c r="FF17" s="256" t="n"/>
      <c r="FG17" s="18" t="n"/>
      <c r="FH17" s="18" t="n"/>
      <c r="FI17" s="18" t="n"/>
      <c r="FJ17" s="18" t="n">
        <v>3</v>
      </c>
      <c r="FK17" s="18" t="n"/>
      <c r="FL17" s="18" t="n"/>
      <c r="FM17" s="18" t="n"/>
      <c r="FN17" s="18" t="n">
        <v>2</v>
      </c>
      <c r="FO17" s="18" t="n">
        <v>2</v>
      </c>
      <c r="FP17" s="18" t="n"/>
      <c r="FQ17" s="18" t="n"/>
      <c r="FR17" s="256" t="n"/>
    </row>
    <row r="18" ht="18.75" customFormat="1" customHeight="1" s="3">
      <c r="A18" s="31" t="n"/>
      <c r="C18" s="664" t="n"/>
      <c r="D18" s="398" t="n"/>
      <c r="CF18" s="4" t="n"/>
      <c r="CH18" s="16" t="n"/>
      <c r="CI18" s="16" t="n"/>
      <c r="CJ18" s="64" t="n"/>
      <c r="CK18" s="16" t="n"/>
      <c r="CL18" s="16" t="n"/>
      <c r="CM18" s="16" t="n"/>
      <c r="CN18" s="16" t="n"/>
      <c r="CO18" s="16" t="n"/>
      <c r="CP18" s="258" t="n"/>
      <c r="CQ18" s="16" t="n"/>
      <c r="CR18" s="16" t="n"/>
      <c r="CS18" s="16" t="n"/>
      <c r="CT18" s="16" t="n"/>
      <c r="CU18" s="16" t="n"/>
      <c r="CV18" s="16" t="n"/>
      <c r="CW18" s="16" t="n"/>
      <c r="CY18" s="16" t="n"/>
      <c r="DI18" s="16" t="n"/>
      <c r="DJ18" s="16" t="n"/>
      <c r="DK18" s="16" t="n"/>
      <c r="DL18" s="16" t="n"/>
      <c r="DN18" s="16" t="n"/>
      <c r="DO18" s="16" t="n"/>
      <c r="DQ18" s="16" t="n"/>
      <c r="DR18" s="16" t="n"/>
      <c r="DS18" s="16" t="n"/>
      <c r="DT18" s="16" t="n"/>
      <c r="DU18" s="16" t="n"/>
      <c r="DV18" s="16" t="n"/>
      <c r="DW18" s="16" t="n"/>
      <c r="DX18" s="16" t="n"/>
      <c r="DY18" s="16" t="n"/>
      <c r="DZ18" s="16" t="n"/>
      <c r="EA18" s="16" t="n"/>
      <c r="EB18" s="16" t="n"/>
      <c r="EC18" s="16" t="n"/>
      <c r="ED18" s="16" t="n"/>
      <c r="EE18" s="16" t="n"/>
      <c r="EF18" s="258" t="n"/>
      <c r="EG18" s="16" t="n"/>
      <c r="EH18" s="16" t="n"/>
      <c r="EI18" s="16" t="n"/>
      <c r="EJ18" s="258" t="n"/>
      <c r="EK18" s="258" t="n"/>
      <c r="EL18" s="16" t="n"/>
      <c r="EM18" s="16" t="n"/>
      <c r="EO18" s="16" t="n"/>
      <c r="EP18" s="16" t="n"/>
      <c r="EQ18" s="16" t="n"/>
      <c r="ER18" s="16" t="n"/>
      <c r="ES18" s="16" t="n"/>
      <c r="ET18" s="16" t="n"/>
      <c r="EU18" s="16" t="n"/>
      <c r="EV18" s="16" t="n"/>
      <c r="EW18" s="16" t="n"/>
      <c r="EX18" s="1" t="n"/>
      <c r="EY18" s="16" t="n"/>
      <c r="EZ18" s="16" t="n"/>
      <c r="FA18" s="16" t="n"/>
      <c r="FB18" s="16" t="n"/>
      <c r="FC18" s="16" t="n"/>
      <c r="FD18" s="16" t="n"/>
      <c r="FE18" s="16" t="n"/>
      <c r="FF18" s="1" t="n"/>
      <c r="FG18" s="16" t="n"/>
      <c r="FH18" s="16" t="n"/>
      <c r="FI18" s="16" t="n"/>
      <c r="FJ18" s="16" t="n"/>
      <c r="FK18" s="16" t="n"/>
      <c r="FL18" s="16" t="n"/>
      <c r="FM18" s="16" t="n"/>
      <c r="FN18" s="16" t="n"/>
      <c r="FO18" s="16" t="n"/>
      <c r="FP18" s="16" t="n"/>
      <c r="FQ18" s="16" t="n"/>
      <c r="FR18" s="258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1" t="n">
        <v>46161.48003133102</v>
      </c>
      <c r="CD19" s="651" t="n">
        <v>46161.48071099537</v>
      </c>
      <c r="CE19" s="651" t="n">
        <v>46161.48286932683</v>
      </c>
      <c r="CF19" s="652" t="inlineStr">
        <is>
          <t>USOU</t>
        </is>
      </c>
      <c r="CG19" s="2" t="n"/>
      <c r="CH19" s="413" t="inlineStr">
        <is>
          <t>TRANSFERÊNCIA</t>
        </is>
      </c>
      <c r="CI19" s="35" t="inlineStr">
        <is>
          <t>Pendências</t>
        </is>
      </c>
      <c r="CJ19" s="12" t="inlineStr">
        <is>
          <t>Novo Pedido</t>
        </is>
      </c>
      <c r="CK19" s="677" t="n">
        <v>46161.4828683821</v>
      </c>
      <c r="CL19" s="646" t="n">
        <v>46156</v>
      </c>
      <c r="CM19" s="646" t="n">
        <v>46149</v>
      </c>
      <c r="CN19" s="646" t="n">
        <v>46142</v>
      </c>
      <c r="CO19" s="646" t="n">
        <v>46114</v>
      </c>
      <c r="CP19" s="647" t="n">
        <v>46065</v>
      </c>
      <c r="CQ19" s="646" t="n">
        <v>46099</v>
      </c>
      <c r="CR19" s="646" t="n">
        <v>46092</v>
      </c>
      <c r="CS19" s="646" t="n">
        <v>46092</v>
      </c>
      <c r="CT19" s="655" t="n">
        <v>46080</v>
      </c>
      <c r="CU19" s="655" t="n">
        <v>46079</v>
      </c>
      <c r="CV19" s="646" t="n">
        <v>46077</v>
      </c>
      <c r="CW19" s="646" t="n">
        <v>46071</v>
      </c>
      <c r="CX19" s="646" t="n">
        <v>46056</v>
      </c>
      <c r="CY19" s="655" t="n">
        <v>46055</v>
      </c>
      <c r="CZ19" s="646" t="n">
        <v>46048</v>
      </c>
      <c r="DA19" s="646" t="n">
        <v>46035</v>
      </c>
      <c r="DB19" s="646" t="n">
        <v>46035</v>
      </c>
      <c r="DC19" s="646" t="n">
        <v>46029</v>
      </c>
      <c r="DD19" s="646" t="n">
        <v>46017</v>
      </c>
      <c r="DE19" s="646" t="n">
        <v>46007</v>
      </c>
      <c r="DF19" s="646" t="n">
        <v>46001</v>
      </c>
      <c r="DG19" s="646" t="n">
        <v>45994</v>
      </c>
      <c r="DH19" s="646" t="n">
        <v>45973</v>
      </c>
      <c r="DI19" s="646" t="n">
        <v>45965</v>
      </c>
      <c r="DJ19" s="646" t="n">
        <v>45960</v>
      </c>
      <c r="DK19" s="646" t="n">
        <v>45951</v>
      </c>
      <c r="DL19" s="646" t="n">
        <v>45951</v>
      </c>
      <c r="DM19" s="687" t="n">
        <v>45952</v>
      </c>
      <c r="DN19" s="646" t="n">
        <v>45945</v>
      </c>
      <c r="DO19" s="646" t="n">
        <v>45937</v>
      </c>
      <c r="DP19" s="678" t="n">
        <v>45903</v>
      </c>
      <c r="DQ19" s="646" t="n">
        <v>45923</v>
      </c>
      <c r="DR19" s="646" t="n">
        <v>45931</v>
      </c>
      <c r="DS19" s="646" t="n">
        <v>45923</v>
      </c>
      <c r="DT19" s="688" t="n">
        <v>45925</v>
      </c>
      <c r="DU19" s="688" t="n">
        <v>45924</v>
      </c>
      <c r="DV19" s="646" t="n">
        <v>45915</v>
      </c>
      <c r="DW19" s="646" t="n">
        <v>45915</v>
      </c>
      <c r="DX19" s="646" t="n">
        <v>45909</v>
      </c>
      <c r="DY19" s="679" t="n">
        <v>45863</v>
      </c>
      <c r="DZ19" s="646" t="n">
        <v>45909</v>
      </c>
      <c r="EA19" s="646" t="n">
        <v>45903</v>
      </c>
      <c r="EB19" s="646" t="n">
        <v>45895</v>
      </c>
      <c r="EC19" s="646" t="n">
        <v>45888</v>
      </c>
      <c r="ED19" s="646" t="n">
        <v>45881</v>
      </c>
      <c r="EE19" s="646" t="n">
        <v>45874</v>
      </c>
      <c r="EF19" s="681" t="n">
        <v>45868</v>
      </c>
      <c r="EG19" s="646" t="n">
        <v>45853</v>
      </c>
      <c r="EH19" s="646" t="n">
        <v>45848</v>
      </c>
      <c r="EI19" s="646" t="n">
        <v>45839</v>
      </c>
      <c r="EJ19" s="681" t="n">
        <v>45842</v>
      </c>
      <c r="EK19" s="681" t="n">
        <v>45791</v>
      </c>
      <c r="EL19" s="646" t="n">
        <v>45832</v>
      </c>
      <c r="EM19" s="646" t="n">
        <v>45825</v>
      </c>
      <c r="EN19" s="704" t="n">
        <v>45834</v>
      </c>
      <c r="EO19" s="646" t="n">
        <v>45825</v>
      </c>
      <c r="EP19" s="646" t="n">
        <v>45813</v>
      </c>
      <c r="EQ19" s="646" t="n">
        <v>45798</v>
      </c>
      <c r="ER19" s="655" t="n">
        <v>45798</v>
      </c>
      <c r="ES19" s="654" t="n">
        <v>45790</v>
      </c>
      <c r="ET19" s="689" t="n">
        <v>45790</v>
      </c>
      <c r="EU19" s="683" t="n">
        <v>45735</v>
      </c>
      <c r="EV19" s="654" t="n">
        <v>45783</v>
      </c>
      <c r="EW19" s="654" t="n">
        <v>45783</v>
      </c>
      <c r="EX19" s="684" t="n">
        <v>45785</v>
      </c>
      <c r="EY19" s="654" t="n">
        <v>45770</v>
      </c>
      <c r="EZ19" s="654" t="n">
        <v>45756</v>
      </c>
      <c r="FA19" s="654" t="n">
        <v>45749</v>
      </c>
      <c r="FB19" s="654" t="n">
        <v>45743</v>
      </c>
      <c r="FC19" s="655" t="n">
        <v>45750</v>
      </c>
      <c r="FD19" s="654" t="n">
        <v>45734</v>
      </c>
      <c r="FE19" s="654" t="n">
        <v>45728</v>
      </c>
      <c r="FF19" s="684" t="n">
        <v>45700</v>
      </c>
      <c r="FG19" s="654" t="n">
        <v>45722</v>
      </c>
      <c r="FH19" s="646" t="n">
        <v>45714</v>
      </c>
      <c r="FI19" s="646" t="n">
        <v>45706</v>
      </c>
      <c r="FJ19" s="646" t="n">
        <v>45699</v>
      </c>
      <c r="FK19" s="646" t="n">
        <v>45693</v>
      </c>
      <c r="FL19" s="646" t="n">
        <v>45685</v>
      </c>
      <c r="FM19" s="646" t="n">
        <v>45679</v>
      </c>
      <c r="FN19" s="646" t="n">
        <v>45674</v>
      </c>
      <c r="FO19" s="646" t="n">
        <v>45664</v>
      </c>
      <c r="FP19" s="646" t="n">
        <v>45660</v>
      </c>
      <c r="FQ19" s="655" t="n">
        <v>45670</v>
      </c>
      <c r="FR19" s="685" t="n">
        <v>45665</v>
      </c>
      <c r="FU19" s="267" t="inlineStr">
        <is>
          <t>CAIXAS</t>
        </is>
      </c>
      <c r="FV19" s="205" t="inlineStr">
        <is>
          <t>PCT</t>
        </is>
      </c>
      <c r="FW19" s="650" t="n">
        <v>46118</v>
      </c>
      <c r="FX19" s="650" t="n">
        <v>46125</v>
      </c>
      <c r="FY19" s="650" t="n">
        <v>46132</v>
      </c>
      <c r="FZ19" s="650" t="n">
        <v>46139</v>
      </c>
      <c r="GA19" s="650" t="n">
        <v>46146</v>
      </c>
      <c r="GB19" s="650" t="n">
        <v>46154</v>
      </c>
      <c r="GC19" s="650" t="n">
        <v>46160</v>
      </c>
      <c r="GD19" s="650" t="n">
        <v>46160</v>
      </c>
      <c r="GE19" s="650" t="n">
        <v>46160</v>
      </c>
      <c r="GF19" s="651" t="n">
        <v>46161.48003083334</v>
      </c>
      <c r="GG19" s="651" t="n">
        <v>46161.48071049769</v>
      </c>
      <c r="GH19" s="651" t="n">
        <v>46161.48286885045</v>
      </c>
      <c r="GI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150</v>
      </c>
      <c r="E20" s="2" t="n"/>
      <c r="F20" s="38" t="n">
        <v>49</v>
      </c>
      <c r="G20" s="38" t="n">
        <v>7</v>
      </c>
      <c r="H20" s="38" t="n">
        <v>7</v>
      </c>
      <c r="I20" s="38" t="n">
        <v>6</v>
      </c>
      <c r="J20" s="38">
        <f>0+FJ20</f>
        <v/>
      </c>
      <c r="K20" s="38" t="n">
        <v>113</v>
      </c>
      <c r="L20" s="38" t="n">
        <v>224</v>
      </c>
      <c r="M20" s="38" t="n">
        <v>185</v>
      </c>
      <c r="N20" s="38">
        <f>161+FF20</f>
        <v/>
      </c>
      <c r="O20" s="38">
        <f>269+FE20</f>
        <v/>
      </c>
      <c r="P20" s="38" t="n">
        <v>358</v>
      </c>
      <c r="Q20" s="38" t="n">
        <v>284</v>
      </c>
      <c r="R20" s="38">
        <f>226+FA20</f>
        <v/>
      </c>
      <c r="S20" s="38" t="n">
        <v>346</v>
      </c>
      <c r="T20" s="38" t="n">
        <v>317</v>
      </c>
      <c r="U20" s="261" t="n">
        <v>274</v>
      </c>
      <c r="V20" s="38" t="n">
        <v>137</v>
      </c>
      <c r="W20" s="261" t="n">
        <v>214</v>
      </c>
      <c r="X20" s="38" t="n">
        <v>204</v>
      </c>
      <c r="Y20" s="38" t="n">
        <v>124</v>
      </c>
      <c r="Z20" s="38" t="n">
        <v>77</v>
      </c>
      <c r="AA20" s="38">
        <f>47+EN20</f>
        <v/>
      </c>
      <c r="AB20" s="38" t="n">
        <v>164</v>
      </c>
      <c r="AC20" s="38" t="n">
        <v>130</v>
      </c>
      <c r="AD20" s="38" t="n">
        <v>56</v>
      </c>
      <c r="AE20" s="38" t="n">
        <v>21</v>
      </c>
      <c r="AF20" s="38">
        <f>1+EJ20</f>
        <v/>
      </c>
      <c r="AG20" s="38" t="n">
        <v>131</v>
      </c>
      <c r="AH20" s="38" t="n">
        <v>89</v>
      </c>
      <c r="AI20" s="38">
        <f>54+EE20</f>
        <v/>
      </c>
      <c r="AJ20" s="38" t="n">
        <v>166</v>
      </c>
      <c r="AK20" s="38" t="n">
        <v>131</v>
      </c>
      <c r="AL20" s="38" t="n">
        <v>39</v>
      </c>
      <c r="AM20" s="38" t="n">
        <v>137</v>
      </c>
      <c r="AN20" s="38">
        <f>137+DZ20</f>
        <v/>
      </c>
      <c r="AO20" s="38">
        <f>55+DZ20</f>
        <v/>
      </c>
      <c r="AP20" s="38" t="n">
        <v>163</v>
      </c>
      <c r="AQ20" s="38" t="n">
        <v>109</v>
      </c>
      <c r="AR20" s="38" t="n">
        <v>215</v>
      </c>
      <c r="AS20" s="38" t="n">
        <v>168</v>
      </c>
      <c r="AT20" s="38">
        <f>113+DO20</f>
        <v/>
      </c>
      <c r="AU20" s="38" t="n">
        <v>227</v>
      </c>
      <c r="AV20" s="38" t="n">
        <v>194</v>
      </c>
      <c r="AW20" s="38" t="n">
        <v>317</v>
      </c>
      <c r="AX20" s="38" t="n">
        <v>290</v>
      </c>
      <c r="AY20" s="38" t="n">
        <v>246</v>
      </c>
      <c r="AZ20" s="38" t="n">
        <v>240</v>
      </c>
      <c r="BA20" s="38" t="n">
        <v>237</v>
      </c>
      <c r="BB20" s="38" t="n">
        <v>235</v>
      </c>
      <c r="BC20" s="38" t="n">
        <v>235</v>
      </c>
      <c r="BD20" s="38" t="n">
        <v>235</v>
      </c>
      <c r="BE20" s="38" t="n">
        <v>225</v>
      </c>
      <c r="BF20" s="38" t="n">
        <v>113</v>
      </c>
      <c r="BG20" s="38" t="n">
        <v>34</v>
      </c>
      <c r="BH20" s="38" t="n">
        <v>17</v>
      </c>
      <c r="BI20" s="261">
        <f>160+CZ20</f>
        <v/>
      </c>
      <c r="BJ20" s="38" t="n">
        <v>440</v>
      </c>
      <c r="BK20" s="38" t="n">
        <v>418</v>
      </c>
      <c r="BL20" s="38" t="n">
        <v>531</v>
      </c>
      <c r="BM20" s="38" t="n">
        <v>518</v>
      </c>
      <c r="BN20" s="38" t="n">
        <v>505</v>
      </c>
      <c r="BO20" s="38" t="n">
        <v>471</v>
      </c>
      <c r="BP20" s="261" t="n">
        <v>261</v>
      </c>
      <c r="BQ20" s="38" t="n">
        <v>218</v>
      </c>
      <c r="BR20" s="38" t="n">
        <v>174</v>
      </c>
      <c r="BS20" s="38" t="n">
        <v>164</v>
      </c>
      <c r="BT20" s="38" t="n"/>
      <c r="BU20" s="38" t="n"/>
      <c r="BV20" s="38" t="n"/>
      <c r="BW20" s="38" t="n">
        <v>93</v>
      </c>
      <c r="BX20" s="38" t="n">
        <v>89</v>
      </c>
      <c r="BY20" s="38" t="n">
        <v>87</v>
      </c>
      <c r="BZ20" s="38" t="n">
        <v>77</v>
      </c>
      <c r="CA20" s="38" t="n">
        <v>77</v>
      </c>
      <c r="CB20" s="38" t="n">
        <v>77</v>
      </c>
      <c r="CC20" s="9" t="n">
        <v>77</v>
      </c>
      <c r="CD20" s="9" t="n">
        <v>77</v>
      </c>
      <c r="CE20" s="9" t="n">
        <v>77</v>
      </c>
      <c r="CF20" s="154">
        <f>CD20+IF(NOT(ISBLANK(OFFSET(CF20,0,6))),N(OFFSET(CF20,0,6)),N(OFFSET(CF20,0,7)))-CE20</f>
        <v/>
      </c>
      <c r="CG20" s="2" t="n"/>
      <c r="CH20" s="122" t="n"/>
      <c r="CI20" s="122" t="n"/>
      <c r="CJ20" s="23" t="n"/>
      <c r="CK20" s="18" t="n">
        <v>0</v>
      </c>
      <c r="CL20" s="18" t="n">
        <v>0</v>
      </c>
      <c r="CM20" s="18" t="n">
        <v>0</v>
      </c>
      <c r="CN20" s="18" t="n">
        <v>0</v>
      </c>
      <c r="CO20" s="18" t="n"/>
      <c r="CP20" s="256" t="n">
        <v>300</v>
      </c>
      <c r="CQ20" s="18" t="n"/>
      <c r="CR20" s="18" t="n"/>
      <c r="CS20" s="18" t="n"/>
      <c r="CT20" s="18" t="n"/>
      <c r="CU20" s="18" t="n"/>
      <c r="CV20" s="18" t="n"/>
      <c r="CW20" s="18" t="n"/>
      <c r="CX20" s="18" t="n"/>
      <c r="CY20" s="18" t="n"/>
      <c r="CZ20" s="18" t="n"/>
      <c r="DA20" s="18" t="n"/>
      <c r="DB20" s="18" t="n"/>
      <c r="DC20" s="18" t="n">
        <v>300</v>
      </c>
      <c r="DD20" s="18" t="n"/>
      <c r="DE20" s="18" t="n"/>
      <c r="DF20" s="18" t="n"/>
      <c r="DG20" s="18" t="n"/>
      <c r="DH20" s="18" t="n"/>
      <c r="DI20" s="18" t="n"/>
      <c r="DJ20" s="18" t="n"/>
      <c r="DK20" s="18" t="n"/>
      <c r="DL20" s="18" t="n">
        <v>150</v>
      </c>
      <c r="DM20" s="256" t="n"/>
      <c r="DN20" s="18" t="n"/>
      <c r="DO20" s="18" t="n"/>
      <c r="DP20" s="256" t="n">
        <v>450</v>
      </c>
      <c r="DQ20" s="18" t="n"/>
      <c r="DR20" s="18" t="n">
        <v>150</v>
      </c>
      <c r="DS20" s="18" t="n"/>
      <c r="DT20" s="256" t="n"/>
      <c r="DU20" s="256" t="n"/>
      <c r="DV20" s="18" t="n"/>
      <c r="DW20" s="18" t="n">
        <v>150</v>
      </c>
      <c r="DX20" s="18" t="n"/>
      <c r="DY20" s="256" t="n"/>
      <c r="DZ20" s="18" t="n"/>
      <c r="EA20" s="18" t="n"/>
      <c r="EB20" s="18" t="n"/>
      <c r="EC20" s="18" t="n">
        <v>150</v>
      </c>
      <c r="ED20" s="18" t="n"/>
      <c r="EE20" s="18" t="n">
        <v>150</v>
      </c>
      <c r="EF20" s="256" t="n"/>
      <c r="EG20" s="18" t="n"/>
      <c r="EH20" s="18" t="n">
        <v>150</v>
      </c>
      <c r="EI20" s="18" t="n"/>
      <c r="EJ20" s="256" t="n"/>
      <c r="EK20" s="256" t="n"/>
      <c r="EL20" s="18" t="n"/>
      <c r="EM20" s="18" t="n">
        <v>150</v>
      </c>
      <c r="EN20" s="356" t="n"/>
      <c r="EO20" s="18" t="n"/>
      <c r="EP20" s="18" t="n"/>
      <c r="EQ20" s="18" t="n">
        <v>150</v>
      </c>
      <c r="ER20" s="18" t="n"/>
      <c r="ES20" s="18" t="n"/>
      <c r="ET20" s="256" t="n"/>
      <c r="EU20" s="256" t="n">
        <v>100</v>
      </c>
      <c r="EV20" s="18" t="n"/>
      <c r="EW20" s="18" t="n"/>
      <c r="EX20" s="293" t="inlineStr">
        <is>
          <t>15 P/ MG</t>
        </is>
      </c>
      <c r="EY20" s="18" t="n"/>
      <c r="EZ20" s="18" t="n"/>
      <c r="FA20" s="18" t="n"/>
      <c r="FB20" s="18" t="n"/>
      <c r="FC20" s="18" t="n"/>
      <c r="FD20" s="18" t="n">
        <v>150</v>
      </c>
      <c r="FE20" s="18" t="n"/>
      <c r="FF20" s="256" t="n">
        <v>150</v>
      </c>
      <c r="FG20" s="18" t="n"/>
      <c r="FH20" s="18" t="n">
        <v>150</v>
      </c>
      <c r="FI20" s="18" t="n">
        <v>150</v>
      </c>
      <c r="FJ20" s="18" t="n"/>
      <c r="FK20" s="18" t="n">
        <v>150</v>
      </c>
      <c r="FL20" s="18" t="n"/>
      <c r="FM20" s="18" t="n">
        <v>150</v>
      </c>
      <c r="FN20" s="18" t="n"/>
      <c r="FO20" s="18" t="n"/>
      <c r="FP20" s="18" t="n"/>
      <c r="FQ20" s="18" t="n"/>
      <c r="FR20" s="259" t="inlineStr">
        <is>
          <t>50 DE BOQ</t>
        </is>
      </c>
      <c r="FU20" s="159" t="inlineStr">
        <is>
          <t>CAIXA P</t>
        </is>
      </c>
      <c r="FV20" s="129" t="n">
        <v>150</v>
      </c>
      <c r="FW20" s="38">
        <f>CM20</f>
        <v/>
      </c>
      <c r="FX20" s="38" t="n"/>
      <c r="FY20" s="38" t="n"/>
      <c r="FZ20" s="38" t="n">
        <v>249</v>
      </c>
      <c r="GA20" s="38" t="n">
        <v>229</v>
      </c>
      <c r="GB20" s="38" t="n">
        <v>119</v>
      </c>
      <c r="GC20" s="38" t="n">
        <v>101</v>
      </c>
      <c r="GD20" s="38" t="n"/>
      <c r="GE20" s="38" t="n"/>
      <c r="GF20" s="9" t="n"/>
      <c r="GG20" s="9" t="n"/>
      <c r="GH20" s="9" t="n"/>
      <c r="GI20" s="246">
        <f>GG20+IF(NOT(ISBLANK(OFFSET(GI20,0,6))),N(OFFSET(GI20,0,6)),N(OFFSET(GI20,0,7)))-GH20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150</v>
      </c>
      <c r="E21" s="2" t="n"/>
      <c r="F21" s="38" t="n">
        <v>135</v>
      </c>
      <c r="G21" s="38" t="n">
        <v>118</v>
      </c>
      <c r="H21" s="38" t="n">
        <v>107</v>
      </c>
      <c r="I21" s="38" t="n">
        <v>102</v>
      </c>
      <c r="J21" s="38" t="n">
        <v>102</v>
      </c>
      <c r="K21" s="38" t="n">
        <v>89</v>
      </c>
      <c r="L21" s="38" t="n">
        <v>145</v>
      </c>
      <c r="M21" s="38">
        <f>97+FG21</f>
        <v/>
      </c>
      <c r="N21" s="38">
        <f>156+FF21</f>
        <v/>
      </c>
      <c r="O21" s="38">
        <f>204+FE21</f>
        <v/>
      </c>
      <c r="P21" s="38">
        <f>308+FD21</f>
        <v/>
      </c>
      <c r="Q21" s="38" t="n">
        <v>349</v>
      </c>
      <c r="R21" s="38" t="n">
        <v>293</v>
      </c>
      <c r="S21" s="38" t="n">
        <v>254</v>
      </c>
      <c r="T21" s="38" t="n">
        <v>207</v>
      </c>
      <c r="U21" s="261" t="n">
        <v>148</v>
      </c>
      <c r="V21" s="38" t="n">
        <v>28</v>
      </c>
      <c r="W21" s="261" t="n">
        <v>159</v>
      </c>
      <c r="X21" s="38" t="n">
        <v>258</v>
      </c>
      <c r="Y21" s="38" t="n">
        <v>104</v>
      </c>
      <c r="Z21" s="38" t="n">
        <v>171</v>
      </c>
      <c r="AA21" s="38">
        <f>153+EN21</f>
        <v/>
      </c>
      <c r="AB21" s="38" t="n">
        <v>231</v>
      </c>
      <c r="AC21" s="38" t="n">
        <v>222</v>
      </c>
      <c r="AD21" s="38" t="n">
        <v>137</v>
      </c>
      <c r="AE21" s="38" t="n">
        <v>61</v>
      </c>
      <c r="AF21" s="38">
        <f>25+EJ21</f>
        <v/>
      </c>
      <c r="AG21" s="38" t="n">
        <v>281</v>
      </c>
      <c r="AH21" s="38" t="n">
        <v>211</v>
      </c>
      <c r="AI21" s="38" t="n">
        <v>154</v>
      </c>
      <c r="AJ21" s="38" t="n">
        <v>132</v>
      </c>
      <c r="AK21" s="38" t="n">
        <v>118</v>
      </c>
      <c r="AL21" s="38" t="n">
        <v>73</v>
      </c>
      <c r="AM21" s="38" t="n">
        <v>47</v>
      </c>
      <c r="AN21" s="38">
        <f>47+EA21+DZ21</f>
        <v/>
      </c>
      <c r="AO21" s="38">
        <f>37+DZ21</f>
        <v/>
      </c>
      <c r="AP21" s="38" t="n">
        <v>180</v>
      </c>
      <c r="AQ21" s="38" t="n">
        <v>228</v>
      </c>
      <c r="AR21" s="38" t="n">
        <v>251</v>
      </c>
      <c r="AS21" s="38" t="n">
        <v>189</v>
      </c>
      <c r="AT21" s="38">
        <f>96+DO21</f>
        <v/>
      </c>
      <c r="AU21" s="38" t="n">
        <v>116</v>
      </c>
      <c r="AV21" s="38">
        <f>74+DK21</f>
        <v/>
      </c>
      <c r="AW21" s="38" t="n">
        <v>118</v>
      </c>
      <c r="AX21" s="38" t="n">
        <v>76</v>
      </c>
      <c r="AY21" s="38" t="n">
        <v>165</v>
      </c>
      <c r="AZ21" s="38" t="n">
        <v>154</v>
      </c>
      <c r="BA21" s="38" t="n">
        <v>152</v>
      </c>
      <c r="BB21" s="38" t="n">
        <v>148</v>
      </c>
      <c r="BC21" s="38" t="n">
        <v>146</v>
      </c>
      <c r="BD21" s="38" t="n">
        <v>146</v>
      </c>
      <c r="BE21" s="38" t="n">
        <v>106</v>
      </c>
      <c r="BF21" s="38" t="n">
        <v>0</v>
      </c>
      <c r="BG21" s="38" t="n">
        <v>0</v>
      </c>
      <c r="BH21" s="38" t="n">
        <v>184</v>
      </c>
      <c r="BI21" s="38" t="n">
        <v>145</v>
      </c>
      <c r="BJ21" s="38" t="n">
        <v>127</v>
      </c>
      <c r="BK21" s="38" t="n">
        <v>324</v>
      </c>
      <c r="BL21" s="38" t="n">
        <v>247</v>
      </c>
      <c r="BM21" s="38" t="n">
        <v>222</v>
      </c>
      <c r="BN21" s="38" t="n">
        <v>186</v>
      </c>
      <c r="BO21" s="38" t="n">
        <v>146</v>
      </c>
      <c r="BP21" s="261" t="n">
        <v>188</v>
      </c>
      <c r="BQ21" s="38">
        <f>149+CP21</f>
        <v/>
      </c>
      <c r="BR21" s="38" t="n">
        <v>290</v>
      </c>
      <c r="BS21" s="38" t="n">
        <v>260</v>
      </c>
      <c r="BT21" s="38" t="n"/>
      <c r="BU21" s="38" t="n"/>
      <c r="BV21" s="38" t="n"/>
      <c r="BW21" s="38" t="n">
        <v>174</v>
      </c>
      <c r="BX21" s="38" t="n">
        <v>170</v>
      </c>
      <c r="BY21" s="38" t="n">
        <v>106</v>
      </c>
      <c r="BZ21" s="38" t="n">
        <v>99</v>
      </c>
      <c r="CA21" s="38" t="n">
        <v>99</v>
      </c>
      <c r="CB21" s="38" t="n">
        <v>99</v>
      </c>
      <c r="CC21" s="9" t="n">
        <v>99</v>
      </c>
      <c r="CD21" s="9" t="n">
        <v>99</v>
      </c>
      <c r="CE21" s="9" t="n">
        <v>99</v>
      </c>
      <c r="CF21" s="154">
        <f>CD21+IF(NOT(ISBLANK(OFFSET(CF21,0,6))),N(OFFSET(CF21,0,6)),N(OFFSET(CF21,0,7)))-CE21</f>
        <v/>
      </c>
      <c r="CG21" s="2" t="n"/>
      <c r="CH21" s="122" t="n"/>
      <c r="CI21" s="122" t="n"/>
      <c r="CJ21" s="23" t="n"/>
      <c r="CK21" s="18" t="n">
        <v>0</v>
      </c>
      <c r="CL21" s="18" t="n">
        <v>0</v>
      </c>
      <c r="CM21" s="18" t="n">
        <v>0</v>
      </c>
      <c r="CN21" s="18" t="n">
        <v>0</v>
      </c>
      <c r="CO21" s="18" t="n"/>
      <c r="CP21" s="256" t="n">
        <v>300</v>
      </c>
      <c r="CQ21" s="18" t="n">
        <v>100</v>
      </c>
      <c r="CR21" s="18" t="n"/>
      <c r="CS21" s="18" t="n">
        <v>100</v>
      </c>
      <c r="CT21" s="18" t="n"/>
      <c r="CU21" s="18" t="n"/>
      <c r="CV21" s="18" t="n">
        <v>100</v>
      </c>
      <c r="CW21" s="18" t="n"/>
      <c r="CX21" s="18" t="n"/>
      <c r="CY21" s="18" t="n"/>
      <c r="CZ21" s="18" t="n"/>
      <c r="DA21" s="18" t="n">
        <v>200</v>
      </c>
      <c r="DB21" s="18" t="n"/>
      <c r="DC21" s="18" t="n"/>
      <c r="DD21" s="18" t="n">
        <v>200</v>
      </c>
      <c r="DE21" s="18" t="n"/>
      <c r="DF21" s="18" t="n"/>
      <c r="DG21" s="18" t="n"/>
      <c r="DH21" s="18" t="n"/>
      <c r="DI21" s="18" t="n"/>
      <c r="DJ21" s="18" t="n">
        <v>100</v>
      </c>
      <c r="DK21" s="18" t="n"/>
      <c r="DL21" s="18" t="n"/>
      <c r="DM21" s="256" t="n"/>
      <c r="DN21" s="18" t="n">
        <v>100</v>
      </c>
      <c r="DO21" s="18" t="n"/>
      <c r="DP21" s="256" t="n">
        <v>600</v>
      </c>
      <c r="DQ21" s="18" t="n"/>
      <c r="DR21" s="18" t="n">
        <v>100</v>
      </c>
      <c r="DS21" s="18" t="n"/>
      <c r="DT21" s="256" t="n"/>
      <c r="DU21" s="378" t="inlineStr">
        <is>
          <t>15 DE PL</t>
        </is>
      </c>
      <c r="DV21" s="18" t="n"/>
      <c r="DW21" s="18" t="n">
        <v>100</v>
      </c>
      <c r="DX21" s="18" t="n"/>
      <c r="DY21" s="256" t="n"/>
      <c r="DZ21" s="18" t="n">
        <v>100</v>
      </c>
      <c r="EA21" s="18" t="n">
        <v>100</v>
      </c>
      <c r="EB21" s="18" t="n"/>
      <c r="EC21" s="18" t="n">
        <v>100</v>
      </c>
      <c r="ED21" s="18" t="n">
        <v>100</v>
      </c>
      <c r="EE21" s="18" t="n"/>
      <c r="EF21" s="256" t="n"/>
      <c r="EG21" s="18" t="n"/>
      <c r="EH21" s="18" t="n"/>
      <c r="EI21" s="18" t="n"/>
      <c r="EJ21" s="256" t="n"/>
      <c r="EK21" s="256" t="n">
        <v>100</v>
      </c>
      <c r="EL21" s="18" t="n">
        <v>100</v>
      </c>
      <c r="EM21" s="18" t="n">
        <v>200</v>
      </c>
      <c r="EN21" s="263" t="inlineStr">
        <is>
          <t>60 P/ PL</t>
        </is>
      </c>
      <c r="EO21" s="18" t="n"/>
      <c r="EP21" s="18" t="n"/>
      <c r="EQ21" s="18" t="n">
        <v>100</v>
      </c>
      <c r="ER21" s="18" t="n"/>
      <c r="ES21" s="18" t="n">
        <v>100</v>
      </c>
      <c r="ET21" s="263" t="inlineStr">
        <is>
          <t>100 P/ PL</t>
        </is>
      </c>
      <c r="EU21" s="256" t="n">
        <v>100</v>
      </c>
      <c r="EV21" s="18" t="n"/>
      <c r="EW21" s="18" t="n"/>
      <c r="EX21" s="256" t="n"/>
      <c r="EY21" s="18" t="n">
        <v>100</v>
      </c>
      <c r="EZ21" s="18" t="n"/>
      <c r="FA21" s="18" t="n"/>
      <c r="FB21" s="18" t="n"/>
      <c r="FC21" s="18" t="n"/>
      <c r="FD21" s="18" t="n"/>
      <c r="FE21" s="18" t="n"/>
      <c r="FF21" s="256" t="n">
        <v>300</v>
      </c>
      <c r="FG21" s="18" t="n">
        <v>100</v>
      </c>
      <c r="FH21" s="18" t="n">
        <v>200</v>
      </c>
      <c r="FI21" s="18" t="n">
        <v>100</v>
      </c>
      <c r="FJ21" s="18" t="n">
        <v>100</v>
      </c>
      <c r="FK21" s="18" t="n">
        <v>100</v>
      </c>
      <c r="FL21" s="18" t="n"/>
      <c r="FM21" s="18" t="n"/>
      <c r="FN21" s="18" t="n"/>
      <c r="FO21" s="18" t="n"/>
      <c r="FP21" s="18" t="n"/>
      <c r="FQ21" s="18" t="n"/>
      <c r="FR21" s="256" t="n"/>
      <c r="FU21" s="29" t="inlineStr">
        <is>
          <t>CAIXA M</t>
        </is>
      </c>
      <c r="FV21" s="9" t="n">
        <v>100</v>
      </c>
      <c r="FW21" s="38">
        <f>CM21</f>
        <v/>
      </c>
      <c r="FX21" s="38" t="n"/>
      <c r="FY21" s="38" t="n"/>
      <c r="FZ21" s="38" t="n">
        <v>238</v>
      </c>
      <c r="GA21" s="38" t="n">
        <v>179</v>
      </c>
      <c r="GB21" s="38" t="n">
        <v>37</v>
      </c>
      <c r="GC21" s="38" t="n">
        <v>15</v>
      </c>
      <c r="GD21" s="38" t="n"/>
      <c r="GE21" s="38" t="n"/>
      <c r="GF21" s="9" t="n"/>
      <c r="GG21" s="9" t="n"/>
      <c r="GH21" s="9" t="n"/>
      <c r="GI21" s="246">
        <f>GG21+IF(NOT(ISBLANK(OFFSET(GI21,0,6))),N(OFFSET(GI21,0,6)),N(OFFSET(GI21,0,7)))-GH21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30</v>
      </c>
      <c r="E22" s="642" t="n"/>
      <c r="F22" s="38" t="n">
        <v>45</v>
      </c>
      <c r="G22" s="38" t="n">
        <v>43</v>
      </c>
      <c r="H22" s="38" t="n">
        <v>42</v>
      </c>
      <c r="I22" s="38" t="n">
        <v>42</v>
      </c>
      <c r="J22" s="38" t="n">
        <v>33</v>
      </c>
      <c r="K22" s="38" t="n">
        <v>55</v>
      </c>
      <c r="L22" s="38" t="n">
        <v>57</v>
      </c>
      <c r="M22" s="38" t="n">
        <v>57</v>
      </c>
      <c r="N22" s="38" t="n">
        <v>57</v>
      </c>
      <c r="O22" s="38" t="n">
        <v>57</v>
      </c>
      <c r="P22" s="38" t="n">
        <v>57</v>
      </c>
      <c r="Q22" s="38" t="n">
        <v>57</v>
      </c>
      <c r="R22" s="38" t="n">
        <v>56</v>
      </c>
      <c r="S22" s="38">
        <f>52+75</f>
        <v/>
      </c>
      <c r="T22" s="38" t="n">
        <v>125</v>
      </c>
      <c r="U22" s="38" t="n">
        <v>125</v>
      </c>
      <c r="V22" s="38" t="n">
        <v>123</v>
      </c>
      <c r="W22" s="261" t="n">
        <v>150</v>
      </c>
      <c r="X22" s="38" t="n">
        <v>132</v>
      </c>
      <c r="Y22" s="38" t="n">
        <v>125</v>
      </c>
      <c r="Z22" s="38">
        <f>132-50</f>
        <v/>
      </c>
      <c r="AA22" s="38" t="n">
        <v>75</v>
      </c>
      <c r="AB22" s="38" t="n">
        <v>80</v>
      </c>
      <c r="AC22" s="38" t="n">
        <v>80</v>
      </c>
      <c r="AD22" s="38" t="n">
        <v>80</v>
      </c>
      <c r="AE22" s="38" t="n">
        <v>80</v>
      </c>
      <c r="AF22" s="38" t="n">
        <v>80</v>
      </c>
      <c r="AG22" s="38" t="n">
        <v>75</v>
      </c>
      <c r="AH22" s="38" t="n">
        <v>75</v>
      </c>
      <c r="AI22" s="38" t="n">
        <v>75</v>
      </c>
      <c r="AJ22" s="38" t="n">
        <v>75</v>
      </c>
      <c r="AK22" s="38" t="n">
        <v>75</v>
      </c>
      <c r="AL22" s="38" t="n">
        <v>75</v>
      </c>
      <c r="AM22" s="38" t="n">
        <v>75</v>
      </c>
      <c r="AN22" s="38" t="n">
        <v>75</v>
      </c>
      <c r="AO22" s="38" t="n">
        <v>60</v>
      </c>
      <c r="AP22" s="38" t="n">
        <v>46</v>
      </c>
      <c r="AQ22" s="38" t="n">
        <v>47</v>
      </c>
      <c r="AR22" s="38" t="n">
        <v>47</v>
      </c>
      <c r="AS22" s="38" t="n">
        <v>47</v>
      </c>
      <c r="AT22" s="38" t="n">
        <v>44</v>
      </c>
      <c r="AU22" s="38" t="n">
        <v>24</v>
      </c>
      <c r="AV22" s="38" t="n">
        <v>24</v>
      </c>
      <c r="AW22" s="38" t="n">
        <v>31</v>
      </c>
      <c r="AX22" s="38" t="n">
        <v>31</v>
      </c>
      <c r="AY22" s="38" t="n">
        <v>30</v>
      </c>
      <c r="AZ22" s="38" t="n">
        <v>30</v>
      </c>
      <c r="BA22" s="38" t="n">
        <v>30</v>
      </c>
      <c r="BB22" s="38" t="n">
        <v>30</v>
      </c>
      <c r="BC22" s="38" t="n">
        <v>30</v>
      </c>
      <c r="BD22" s="38" t="n">
        <v>32</v>
      </c>
      <c r="BE22" s="38" t="n">
        <v>32</v>
      </c>
      <c r="BF22" s="38" t="n">
        <v>32</v>
      </c>
      <c r="BG22" s="38" t="n">
        <v>32</v>
      </c>
      <c r="BH22" s="38" t="n">
        <v>10</v>
      </c>
      <c r="BI22" s="38" t="n">
        <v>10</v>
      </c>
      <c r="BJ22" s="38" t="n">
        <v>10</v>
      </c>
      <c r="BK22" s="38" t="n">
        <v>9</v>
      </c>
      <c r="BL22" s="38" t="n">
        <v>1</v>
      </c>
      <c r="BM22" s="38" t="n">
        <v>18</v>
      </c>
      <c r="BN22" s="38" t="n">
        <v>18</v>
      </c>
      <c r="BO22" s="38" t="n">
        <v>18</v>
      </c>
      <c r="BP22" s="38" t="n">
        <v>3</v>
      </c>
      <c r="BQ22" s="38" t="n">
        <v>3</v>
      </c>
      <c r="BR22" s="38" t="n">
        <v>0</v>
      </c>
      <c r="BS22" s="38" t="n">
        <v>0</v>
      </c>
      <c r="BT22" s="38" t="n">
        <v>0</v>
      </c>
      <c r="BU22" s="38" t="n">
        <v>0</v>
      </c>
      <c r="BV22" s="38" t="n">
        <v>0</v>
      </c>
      <c r="BW22" s="38" t="n">
        <v>0</v>
      </c>
      <c r="BX22" s="38" t="n">
        <v>0</v>
      </c>
      <c r="BY22" s="38" t="n">
        <v>0</v>
      </c>
      <c r="BZ22" s="261" t="n">
        <v>2</v>
      </c>
      <c r="CA22" s="261" t="n">
        <v>2</v>
      </c>
      <c r="CB22" s="261" t="n">
        <v>2</v>
      </c>
      <c r="CC22" s="190" t="n">
        <v>2</v>
      </c>
      <c r="CD22" s="190" t="n">
        <v>2</v>
      </c>
      <c r="CE22" s="190" t="n">
        <v>2</v>
      </c>
      <c r="CF22" s="154">
        <f>CD22+IF(NOT(ISBLANK(OFFSET(CF22,0,6))),N(OFFSET(CF22,0,6)),N(OFFSET(CF22,0,7)))-CE22</f>
        <v/>
      </c>
      <c r="CG22" s="642" t="n"/>
      <c r="CH22" s="19" t="inlineStr">
        <is>
          <t>20 DE MG</t>
        </is>
      </c>
      <c r="CI22" s="122" t="n"/>
      <c r="CJ22" s="23" t="n"/>
      <c r="CK22" s="18" t="n">
        <v>0</v>
      </c>
      <c r="CL22" s="18" t="n">
        <v>0</v>
      </c>
      <c r="CM22" s="18" t="n">
        <v>0</v>
      </c>
      <c r="CN22" s="18" t="n">
        <v>0</v>
      </c>
      <c r="CO22" s="18" t="n"/>
      <c r="CP22" s="256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18" t="n"/>
      <c r="DJ22" s="18" t="n"/>
      <c r="DK22" s="18" t="n"/>
      <c r="DL22" s="18" t="n"/>
      <c r="DM22" s="403" t="inlineStr">
        <is>
          <t>20 P/ MG</t>
        </is>
      </c>
      <c r="DN22" s="18" t="n"/>
      <c r="DO22" s="18" t="n"/>
      <c r="DP22" s="392" t="n">
        <v>50</v>
      </c>
      <c r="DQ22" s="18" t="n"/>
      <c r="DR22" s="18" t="n"/>
      <c r="DS22" s="18" t="n"/>
      <c r="DT22" s="256" t="n"/>
      <c r="DU22" s="256" t="n"/>
      <c r="DV22" s="18" t="n"/>
      <c r="DW22" s="18" t="n"/>
      <c r="DX22" s="18" t="n"/>
      <c r="DY22" s="256" t="n"/>
      <c r="DZ22" s="18" t="n"/>
      <c r="EA22" s="18" t="n"/>
      <c r="EB22" s="18" t="n"/>
      <c r="EC22" s="18" t="n"/>
      <c r="ED22" s="18" t="n"/>
      <c r="EE22" s="18" t="n"/>
      <c r="EF22" s="256" t="n"/>
      <c r="EG22" s="18" t="n"/>
      <c r="EH22" s="18" t="n"/>
      <c r="EI22" s="18" t="n"/>
      <c r="EJ22" s="256" t="n"/>
      <c r="EK22" s="256" t="n">
        <v>150</v>
      </c>
      <c r="EL22" s="18" t="n"/>
      <c r="EM22" s="18" t="n"/>
      <c r="EN22" s="356" t="n"/>
      <c r="EO22" s="18" t="n"/>
      <c r="EP22" s="18" t="n"/>
      <c r="EQ22" s="18" t="n"/>
      <c r="ER22" s="241" t="inlineStr">
        <is>
          <t>50 P/ PL</t>
        </is>
      </c>
      <c r="ES22" s="18" t="n"/>
      <c r="ET22" s="18" t="n"/>
      <c r="EU22" s="256" t="n"/>
      <c r="EV22" s="18" t="n"/>
      <c r="EW22" s="18" t="n"/>
      <c r="EX22" s="256" t="n"/>
      <c r="EY22" s="18" t="n"/>
      <c r="EZ22" s="18" t="n"/>
      <c r="FA22" s="18" t="n"/>
      <c r="FB22" s="18" t="n"/>
      <c r="FC22" s="241" t="inlineStr">
        <is>
          <t>75 DE MG</t>
        </is>
      </c>
      <c r="FD22" s="18" t="n"/>
      <c r="FE22" s="18" t="n"/>
      <c r="FF22" s="256" t="n">
        <v>75</v>
      </c>
      <c r="FG22" s="18" t="n"/>
      <c r="FH22" s="18" t="n"/>
      <c r="FI22" s="18" t="n"/>
      <c r="FJ22" s="18" t="n"/>
      <c r="FK22" s="18" t="n"/>
      <c r="FL22" s="18" t="n"/>
      <c r="FM22" s="18" t="n"/>
      <c r="FN22" s="18" t="n"/>
      <c r="FO22" s="18" t="n"/>
      <c r="FP22" s="18" t="n"/>
      <c r="FQ22" s="18" t="n"/>
      <c r="FR22" s="256" t="n"/>
      <c r="FU22" s="30" t="inlineStr">
        <is>
          <t>CARTUCHO P</t>
        </is>
      </c>
      <c r="FV22" s="9" t="n">
        <v>200</v>
      </c>
      <c r="FW22" s="38" t="n">
        <v>0</v>
      </c>
      <c r="FX22" s="38" t="n"/>
      <c r="FY22" s="38" t="n"/>
      <c r="FZ22" s="38" t="n">
        <v>0</v>
      </c>
      <c r="GA22" s="38" t="n">
        <v>0</v>
      </c>
      <c r="GB22" s="38" t="n">
        <v>0</v>
      </c>
      <c r="GC22" s="38" t="n">
        <v>0</v>
      </c>
      <c r="GD22" s="38" t="n"/>
      <c r="GE22" s="38" t="n"/>
      <c r="GF22" s="9" t="n"/>
      <c r="GG22" s="9" t="n"/>
      <c r="GH22" s="9" t="n"/>
      <c r="GI22" s="246">
        <f>GG22+IF(NOT(ISBLANK(OFFSET(GI22,0,6))),N(OFFSET(GI22,0,6)),N(OFFSET(GI22,0,7)))-GH22</f>
        <v/>
      </c>
    </row>
    <row r="23" ht="18.75" customHeight="1">
      <c r="CH23" s="6" t="n"/>
      <c r="CI23" s="6" t="n"/>
      <c r="CK23" s="6" t="n"/>
      <c r="CL23" s="6" t="n"/>
      <c r="CM23" s="6" t="n"/>
      <c r="CN23" s="6" t="n"/>
      <c r="CO23" s="6" t="n"/>
      <c r="CP23" s="256" t="n">
        <v>150</v>
      </c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I23" s="6" t="n"/>
      <c r="DJ23" s="6" t="n"/>
      <c r="DK23" s="6" t="n"/>
      <c r="DL23" s="6" t="n"/>
      <c r="DN23" s="6" t="n"/>
      <c r="DO23" s="6" t="n"/>
      <c r="DP23" s="288" t="n">
        <v>400</v>
      </c>
      <c r="DQ23" s="6" t="n"/>
      <c r="DR23" s="6" t="n"/>
      <c r="DS23" s="6" t="n"/>
      <c r="DT23" s="6" t="n"/>
      <c r="DU23" s="6" t="n"/>
      <c r="DV23" s="6" t="n"/>
      <c r="DW23" s="6" t="n"/>
      <c r="DX23" s="6" t="n"/>
      <c r="DY23" s="6" t="n"/>
      <c r="DZ23" s="6" t="n"/>
      <c r="EA23" s="6" t="n"/>
      <c r="EB23" s="6" t="n"/>
      <c r="EC23" s="6" t="n"/>
      <c r="ED23" s="6" t="n"/>
      <c r="EE23" s="6" t="n"/>
      <c r="EF23" s="292" t="inlineStr">
        <is>
          <t>06 P/ PL</t>
        </is>
      </c>
      <c r="EG23" s="6" t="n"/>
      <c r="EH23" s="6" t="n"/>
      <c r="EI23" s="6" t="n"/>
      <c r="EJ23" s="256" t="n">
        <v>25</v>
      </c>
      <c r="EK23" s="6" t="n"/>
      <c r="EL23" s="6" t="n"/>
      <c r="EM23" s="6" t="n"/>
      <c r="EO23" s="6" t="n"/>
      <c r="EP23" s="6" t="n"/>
      <c r="EQ23" s="6" t="n"/>
      <c r="ER23" s="6" t="n"/>
      <c r="ES23" s="6" t="n"/>
      <c r="ET23" s="6" t="n"/>
      <c r="EU23" s="6" t="n"/>
      <c r="EV23" s="6" t="n"/>
      <c r="EW23" s="6" t="n"/>
      <c r="EY23" s="6" t="n"/>
      <c r="EZ23" s="6" t="n"/>
      <c r="FA23" s="6" t="n"/>
      <c r="FB23" s="6" t="n"/>
      <c r="FC23" s="6" t="n"/>
      <c r="FD23" s="6" t="n"/>
      <c r="FE23" s="6" t="n"/>
      <c r="FF23" s="288" t="n"/>
      <c r="FG23" s="6" t="n"/>
      <c r="FH23" s="6" t="n"/>
      <c r="FI23" s="6" t="n"/>
      <c r="FJ23" s="6" t="n"/>
      <c r="FK23" s="6" t="n"/>
      <c r="FL23" s="6" t="n"/>
      <c r="FM23" s="6" t="n"/>
      <c r="FN23" s="6" t="n"/>
      <c r="FO23" s="6" t="n"/>
      <c r="FP23" s="6" t="n"/>
      <c r="FQ23" s="6" t="n"/>
      <c r="FU23" s="30" t="inlineStr">
        <is>
          <t>CARTUCHO M</t>
        </is>
      </c>
      <c r="FV23" s="9" t="n">
        <v>150</v>
      </c>
      <c r="FW23" s="38">
        <f>CM23</f>
        <v/>
      </c>
      <c r="FX23" s="38" t="n"/>
      <c r="FY23" s="38" t="n"/>
      <c r="FZ23" s="38" t="n">
        <v>74</v>
      </c>
      <c r="GA23" s="38" t="n">
        <v>42</v>
      </c>
      <c r="GB23" s="38" t="n">
        <v>1</v>
      </c>
      <c r="GC23" s="38" t="n">
        <v>-1</v>
      </c>
      <c r="GD23" s="38" t="n"/>
      <c r="GE23" s="38" t="n"/>
      <c r="GF23" s="9" t="n"/>
      <c r="GG23" s="9" t="n"/>
      <c r="GH23" s="9" t="n"/>
      <c r="GI23" s="246">
        <f>GG23+IF(NOT(ISBLANK(OFFSET(GI23,0,6))),N(OFFSET(GI23,0,6)),N(OFFSET(GI23,0,7)))-GH23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E24" s="6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1" t="n">
        <v>46161.48003133102</v>
      </c>
      <c r="CD24" s="651" t="n">
        <v>46161.48071099537</v>
      </c>
      <c r="CE24" s="651" t="n">
        <v>46161.48286932704</v>
      </c>
      <c r="CF24" s="660" t="inlineStr">
        <is>
          <t>USOU</t>
        </is>
      </c>
      <c r="CH24" s="6" t="n"/>
      <c r="CI24" s="49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I24" s="6" t="n"/>
      <c r="DJ24" s="6" t="n"/>
      <c r="DK24" s="6" t="n"/>
      <c r="DL24" s="6" t="n"/>
      <c r="DN24" s="6" t="n"/>
      <c r="DO24" s="6" t="n"/>
      <c r="DP24" s="393" t="n">
        <v>300</v>
      </c>
      <c r="DQ24" s="6" t="n"/>
      <c r="DR24" s="6" t="n"/>
      <c r="DS24" s="6" t="n"/>
      <c r="DT24" s="6" t="n"/>
      <c r="DU24" s="6" t="n"/>
      <c r="DV24" s="6" t="n"/>
      <c r="DW24" s="6" t="n"/>
      <c r="DX24" s="6" t="n"/>
      <c r="DY24" s="6" t="n"/>
      <c r="DZ24" s="6" t="n"/>
      <c r="EA24" s="6" t="n"/>
      <c r="EB24" s="6" t="n"/>
      <c r="EC24" s="6" t="n"/>
      <c r="ED24" s="6" t="n"/>
      <c r="EE24" s="6" t="n"/>
      <c r="EF24" s="292" t="inlineStr">
        <is>
          <t>08 P/ PL</t>
        </is>
      </c>
      <c r="EG24" s="6" t="n"/>
      <c r="EH24" s="6" t="n"/>
      <c r="EI24" s="6" t="n"/>
      <c r="EJ24" s="256" t="n">
        <v>25</v>
      </c>
      <c r="EK24" s="6" t="n"/>
      <c r="EL24" s="6" t="n"/>
      <c r="EM24" s="6" t="n"/>
      <c r="EO24" s="6" t="n"/>
      <c r="EP24" s="6" t="n"/>
      <c r="EQ24" s="6" t="n"/>
      <c r="ER24" s="6" t="n"/>
      <c r="ES24" s="6" t="n"/>
      <c r="ET24" s="6" t="n"/>
      <c r="EU24" s="6" t="n"/>
      <c r="EV24" s="6" t="n"/>
      <c r="EW24" s="6" t="n"/>
      <c r="EY24" s="6" t="n"/>
      <c r="EZ24" s="6" t="n"/>
      <c r="FA24" s="6" t="n"/>
      <c r="FB24" s="6" t="n"/>
      <c r="FC24" s="6" t="n"/>
      <c r="FD24" s="6" t="n"/>
      <c r="FE24" s="6" t="n"/>
      <c r="FF24" s="288" t="n">
        <v>150</v>
      </c>
      <c r="FG24" s="6" t="n"/>
      <c r="FH24" s="6" t="n"/>
      <c r="FI24" s="6" t="n"/>
      <c r="FJ24" s="6" t="n"/>
      <c r="FK24" s="6" t="n"/>
      <c r="FL24" s="6" t="n"/>
      <c r="FM24" s="6" t="n"/>
      <c r="FN24" s="6" t="n"/>
      <c r="FO24" s="6" t="n"/>
      <c r="FP24" s="6" t="n"/>
      <c r="FQ24" s="6" t="n"/>
      <c r="FU24" s="6" t="n"/>
      <c r="FV24" s="6" t="n"/>
      <c r="FW24" s="6" t="n"/>
      <c r="FX24" s="6" t="n"/>
      <c r="FY24" s="6" t="n"/>
      <c r="FZ24" s="6" t="n"/>
      <c r="GA24" s="6" t="n"/>
      <c r="GB24" s="6" t="n"/>
      <c r="GC24" s="6" t="n"/>
      <c r="GD24" s="6" t="n"/>
      <c r="GE24" s="6" t="n"/>
      <c r="GF24" s="6" t="n"/>
      <c r="GG24" s="6" t="n"/>
      <c r="GH24" s="6" t="n"/>
      <c r="GI24" s="6" t="n"/>
    </row>
    <row r="25" hidden="1" ht="18.75" customHeight="1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E25" s="6" t="n"/>
      <c r="F25" s="38" t="n">
        <v>281</v>
      </c>
      <c r="G25" s="38" t="n">
        <v>281</v>
      </c>
      <c r="H25" s="38" t="n">
        <v>281</v>
      </c>
      <c r="I25" s="38" t="n">
        <v>281</v>
      </c>
      <c r="J25" s="38" t="n">
        <v>258</v>
      </c>
      <c r="K25" s="38" t="n">
        <v>260</v>
      </c>
      <c r="L25" s="38" t="n">
        <v>260</v>
      </c>
      <c r="M25" s="38" t="n">
        <v>253</v>
      </c>
      <c r="N25" s="38" t="n">
        <v>251</v>
      </c>
      <c r="O25" s="38" t="n">
        <v>251</v>
      </c>
      <c r="P25" s="38" t="n">
        <v>246</v>
      </c>
      <c r="Q25" s="38" t="n">
        <v>246</v>
      </c>
      <c r="R25" s="38" t="n">
        <v>242</v>
      </c>
      <c r="S25" s="38" t="n">
        <v>262</v>
      </c>
      <c r="T25" s="38" t="n">
        <v>180</v>
      </c>
      <c r="U25" s="38" t="n">
        <v>180</v>
      </c>
      <c r="V25" s="261" t="n">
        <v>236</v>
      </c>
      <c r="W25" s="38" t="n">
        <v>236</v>
      </c>
      <c r="X25" s="38" t="n">
        <v>234</v>
      </c>
      <c r="Y25" s="38">
        <f>234-100</f>
        <v/>
      </c>
      <c r="Z25" s="38" t="n">
        <v>131</v>
      </c>
      <c r="AA25" s="38" t="n">
        <v>126</v>
      </c>
      <c r="AB25" s="38" t="n">
        <v>126</v>
      </c>
      <c r="AC25" s="38" t="n">
        <v>81</v>
      </c>
      <c r="AD25" s="261" t="n">
        <v>133</v>
      </c>
      <c r="AE25" s="38" t="n">
        <v>131</v>
      </c>
      <c r="AF25" s="38">
        <f>131-60</f>
        <v/>
      </c>
      <c r="AG25" s="38" t="n">
        <v>58</v>
      </c>
      <c r="AH25" s="38" t="n">
        <v>58</v>
      </c>
      <c r="AI25" s="38" t="n">
        <v>58</v>
      </c>
      <c r="AJ25" s="38" t="n">
        <v>58</v>
      </c>
      <c r="AK25" s="38" t="n">
        <v>58</v>
      </c>
      <c r="AL25" s="38" t="n">
        <v>58</v>
      </c>
      <c r="AM25" s="38" t="n">
        <v>58</v>
      </c>
      <c r="AN25" s="38" t="n">
        <v>52</v>
      </c>
      <c r="AO25" s="38" t="n">
        <v>52</v>
      </c>
      <c r="AP25" s="38" t="n">
        <v>50</v>
      </c>
      <c r="AQ25" s="38" t="n">
        <v>50</v>
      </c>
      <c r="AR25" s="38" t="n">
        <v>46</v>
      </c>
      <c r="AS25" s="38" t="n">
        <v>49</v>
      </c>
      <c r="AT25" s="38" t="n">
        <v>38</v>
      </c>
      <c r="AU25" s="38" t="n">
        <v>24</v>
      </c>
      <c r="AV25" s="38" t="n">
        <v>24</v>
      </c>
      <c r="AW25" s="38" t="n">
        <v>27</v>
      </c>
      <c r="AX25" s="38" t="n">
        <v>21</v>
      </c>
      <c r="AY25" s="38" t="n">
        <v>21</v>
      </c>
      <c r="AZ25" s="38" t="n">
        <v>21</v>
      </c>
      <c r="BA25" s="38" t="n">
        <v>28</v>
      </c>
      <c r="BB25" s="38" t="n">
        <v>21</v>
      </c>
      <c r="BC25" s="38" t="n">
        <v>9</v>
      </c>
      <c r="BD25" s="38" t="n">
        <v>7</v>
      </c>
      <c r="BE25" s="38" t="n">
        <v>7</v>
      </c>
      <c r="BF25" s="38" t="n">
        <v>4</v>
      </c>
      <c r="BG25" s="38" t="n">
        <v>4</v>
      </c>
      <c r="BH25" s="38" t="n">
        <v>0</v>
      </c>
      <c r="BI25" s="38" t="n">
        <v>0</v>
      </c>
      <c r="BJ25" s="38" t="n">
        <v>0</v>
      </c>
      <c r="BK25" s="38" t="n">
        <v>0</v>
      </c>
      <c r="BL25" s="38" t="n">
        <v>0</v>
      </c>
      <c r="BM25" s="38" t="n">
        <v>0</v>
      </c>
      <c r="BN25" s="38" t="n">
        <v>0</v>
      </c>
      <c r="BO25" s="38" t="n">
        <v>0</v>
      </c>
      <c r="BP25" s="38" t="n">
        <v>0</v>
      </c>
      <c r="BQ25" s="38" t="n">
        <v>0</v>
      </c>
      <c r="BR25" s="38" t="n">
        <v>0</v>
      </c>
      <c r="BS25" s="38" t="n"/>
      <c r="BT25" s="38" t="n"/>
      <c r="BU25" s="38" t="n"/>
      <c r="BV25" s="38" t="n"/>
      <c r="BW25" s="38" t="n"/>
      <c r="BX25" s="38" t="n"/>
      <c r="BY25" s="38" t="n"/>
      <c r="BZ25" s="38" t="n"/>
      <c r="CA25" s="38" t="n"/>
      <c r="CB25" s="38" t="n"/>
      <c r="CC25" s="9" t="n"/>
      <c r="CD25" s="9" t="n"/>
      <c r="CE25" s="9" t="n"/>
      <c r="CF25" s="246">
        <f>CD25+IF(NOT(ISBLANK(OFFSET(CF25,0,6))),N(OFFSET(CF25,0,6)),N(OFFSET(CF25,0,7)))-CE25</f>
        <v/>
      </c>
      <c r="CH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J25" s="6" t="n"/>
      <c r="EK25" s="6" t="n"/>
      <c r="EL25" s="6" t="n"/>
      <c r="EM25" s="6" t="n"/>
      <c r="EO25" s="6" t="n"/>
      <c r="EP25" s="6" t="n"/>
      <c r="EQ25" s="6" t="n"/>
      <c r="ER25" s="6" t="n"/>
      <c r="ES25" s="6" t="n"/>
      <c r="ET25" s="6" t="n"/>
      <c r="EU25" s="6" t="n"/>
      <c r="EV25" s="6" t="n"/>
      <c r="EW25" s="6" t="n"/>
      <c r="EX25" s="289" t="n"/>
      <c r="EY25" s="6" t="n"/>
      <c r="EZ25" s="6" t="n"/>
      <c r="FA25" s="6" t="n"/>
      <c r="FB25" s="6" t="n"/>
      <c r="FC25" s="6" t="n"/>
      <c r="FD25" s="6" t="n"/>
      <c r="FE25" s="6" t="n"/>
      <c r="FF25" s="289" t="n"/>
      <c r="FG25" s="6" t="n"/>
      <c r="FH25" s="6" t="n"/>
      <c r="FI25" s="6" t="n"/>
      <c r="FJ25" s="6" t="n"/>
      <c r="FK25" s="6" t="n"/>
      <c r="FL25" s="6" t="n"/>
      <c r="FM25" s="6" t="n"/>
      <c r="FN25" s="6" t="n"/>
      <c r="FO25" s="6" t="n"/>
      <c r="FP25" s="6" t="n"/>
      <c r="FQ25" s="6" t="n"/>
      <c r="FU25" s="6" t="n"/>
      <c r="FV25" s="6" t="n"/>
      <c r="FW25" s="6" t="n"/>
      <c r="FX25" s="6" t="n"/>
      <c r="FY25" s="6" t="n"/>
      <c r="FZ25" s="6" t="n"/>
      <c r="GA25" s="6" t="n"/>
      <c r="GB25" s="6" t="n"/>
      <c r="GC25" s="6" t="n"/>
      <c r="GD25" s="6" t="n"/>
      <c r="GE25" s="6" t="n"/>
      <c r="GF25" s="6" t="n"/>
      <c r="GG25" s="6" t="n"/>
      <c r="GH25" s="6" t="n"/>
      <c r="GI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7" t="n">
        <v>715.5</v>
      </c>
      <c r="D26" s="342" t="n"/>
      <c r="E26" s="6" t="n"/>
      <c r="F26" s="9" t="n">
        <v>2</v>
      </c>
      <c r="G26" s="9">
        <f>0+50</f>
        <v/>
      </c>
      <c r="H26" s="38" t="n">
        <v>41</v>
      </c>
      <c r="I26" s="38" t="n">
        <v>19</v>
      </c>
      <c r="J26" s="38" t="n">
        <v>4</v>
      </c>
      <c r="K26" s="38" t="n">
        <v>4</v>
      </c>
      <c r="L26" s="38" t="n">
        <v>4</v>
      </c>
      <c r="M26" s="38" t="n">
        <v>3</v>
      </c>
      <c r="N26" s="38" t="n">
        <v>3</v>
      </c>
      <c r="O26" s="38" t="n">
        <v>0</v>
      </c>
      <c r="P26" s="38" t="n">
        <v>0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/>
      <c r="AB26" s="38" t="n"/>
      <c r="AC26" s="38" t="n"/>
      <c r="AD26" s="38" t="n"/>
      <c r="AE26" s="38" t="n"/>
      <c r="AF26" s="38" t="n"/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38" t="n"/>
      <c r="CC26" s="9" t="n"/>
      <c r="CD26" s="9" t="n"/>
      <c r="CE26" s="9" t="n"/>
      <c r="CF26" s="246">
        <f>CD26+IF(NOT(ISBLANK(OFFSET(CF26,0,6))),N(OFFSET(CF26,0,6)),N(OFFSET(CF26,0,7)))-CE26</f>
        <v/>
      </c>
      <c r="CH26" s="6" t="n"/>
      <c r="CP26" s="6" t="n"/>
      <c r="CX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6" t="n"/>
      <c r="ED26" s="6" t="n"/>
      <c r="EE26" s="6" t="n"/>
      <c r="EF26" s="6" t="n"/>
      <c r="EG26" s="6" t="n"/>
      <c r="EH26" s="6" t="n"/>
      <c r="EI26" s="6" t="n"/>
      <c r="EJ26" s="6" t="n"/>
      <c r="EK26" s="6" t="n"/>
      <c r="EL26" s="6" t="n"/>
      <c r="EM26" s="6" t="n"/>
      <c r="EO26" s="6" t="n"/>
      <c r="EP26" s="6" t="n"/>
      <c r="EQ26" s="6" t="n"/>
      <c r="ER26" s="6" t="n"/>
      <c r="ES26" s="6" t="n"/>
      <c r="ET26" s="6" t="n"/>
      <c r="EU26" s="6" t="n"/>
      <c r="EV26" s="6" t="n"/>
      <c r="EW26" s="6" t="n"/>
      <c r="EX26" s="289" t="n"/>
      <c r="EY26" s="6" t="n"/>
      <c r="EZ26" s="6" t="n"/>
      <c r="FA26" s="6" t="n"/>
      <c r="FB26" s="6" t="n"/>
      <c r="FC26" s="6" t="n"/>
      <c r="FD26" s="6" t="n"/>
      <c r="FE26" s="6" t="n"/>
      <c r="FF26" s="289" t="n"/>
      <c r="FG26" s="6" t="n"/>
      <c r="FH26" s="6" t="n"/>
      <c r="FI26" s="6" t="n"/>
      <c r="FJ26" s="6" t="n"/>
      <c r="FK26" s="6" t="n"/>
      <c r="FL26" s="6" t="n"/>
      <c r="FM26" s="6" t="n"/>
      <c r="FN26" s="6" t="n"/>
      <c r="FO26" s="6" t="n"/>
      <c r="FP26" s="6" t="n"/>
      <c r="FQ26" s="6" t="n"/>
      <c r="FU26" s="6" t="n"/>
      <c r="FV26" s="6" t="n"/>
      <c r="FW26" s="6" t="n"/>
      <c r="FX26" s="6" t="n"/>
      <c r="FY26" s="6" t="n"/>
      <c r="FZ26" s="6" t="n"/>
      <c r="GA26" s="6" t="n"/>
      <c r="GB26" s="6" t="n"/>
      <c r="GC26" s="6" t="n"/>
      <c r="GD26" s="6" t="n"/>
      <c r="GE26" s="6" t="n"/>
      <c r="GF26" s="6" t="n"/>
      <c r="GG26" s="6" t="n"/>
      <c r="GH26" s="6" t="n"/>
      <c r="GI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7" t="n">
        <v>746</v>
      </c>
      <c r="D27" s="342" t="n"/>
      <c r="E27" s="6" t="n"/>
      <c r="F27" s="9" t="n">
        <v>189</v>
      </c>
      <c r="G27" s="9" t="n">
        <v>218</v>
      </c>
      <c r="H27" s="38" t="n">
        <v>157</v>
      </c>
      <c r="I27" s="38" t="n">
        <v>114</v>
      </c>
      <c r="J27" s="38" t="n">
        <v>73</v>
      </c>
      <c r="K27" s="38" t="n">
        <v>33</v>
      </c>
      <c r="L27" s="38" t="n">
        <v>13</v>
      </c>
      <c r="M27" s="38" t="n">
        <v>1</v>
      </c>
      <c r="N27" s="38" t="n">
        <v>6</v>
      </c>
      <c r="O27" s="38" t="n">
        <v>6</v>
      </c>
      <c r="P27" s="38" t="n">
        <v>4</v>
      </c>
      <c r="Q27" s="38" t="n">
        <v>3</v>
      </c>
      <c r="R27" s="38" t="n">
        <v>3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9" t="n"/>
      <c r="CE27" s="9" t="n"/>
      <c r="CF27" s="246">
        <f>CD27+IF(NOT(ISBLANK(OFFSET(CF27,0,6))),N(OFFSET(CF27,0,6)),N(OFFSET(CF27,0,7)))-CE27</f>
        <v/>
      </c>
      <c r="CH27" s="6" t="n"/>
      <c r="CP27" s="6" t="n"/>
      <c r="CX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6" t="n"/>
      <c r="EG27" s="6" t="n"/>
      <c r="EH27" s="6" t="n"/>
      <c r="EI27" s="6" t="n"/>
      <c r="EJ27" s="6" t="n"/>
      <c r="EK27" s="6" t="n"/>
      <c r="EL27" s="6" t="n"/>
      <c r="EM27" s="6" t="n"/>
      <c r="EO27" s="6" t="n"/>
      <c r="EP27" s="6" t="n"/>
      <c r="EQ27" s="6" t="n"/>
      <c r="ER27" s="6" t="n"/>
      <c r="ES27" s="6" t="n"/>
      <c r="ET27" s="6" t="n"/>
      <c r="EU27" s="6" t="n"/>
      <c r="EV27" s="6" t="n"/>
      <c r="EW27" s="6" t="n"/>
      <c r="EX27" s="289" t="n"/>
      <c r="EY27" s="6" t="n"/>
      <c r="EZ27" s="6" t="n"/>
      <c r="FA27" s="6" t="n"/>
      <c r="FB27" s="6" t="n"/>
      <c r="FC27" s="6" t="n"/>
      <c r="FD27" s="6" t="n"/>
      <c r="FE27" s="6" t="n"/>
      <c r="FF27" s="289" t="n"/>
      <c r="FG27" s="6" t="n"/>
      <c r="FH27" s="6" t="n"/>
      <c r="FI27" s="6" t="n"/>
      <c r="FJ27" s="6" t="n"/>
      <c r="FK27" s="6" t="n"/>
      <c r="FL27" s="6" t="n"/>
      <c r="FM27" s="6" t="n"/>
      <c r="FN27" s="6" t="n"/>
      <c r="FO27" s="6" t="n"/>
      <c r="FP27" s="6" t="n"/>
      <c r="FQ27" s="6" t="n"/>
      <c r="FR27" s="53" t="n"/>
      <c r="FU27" s="6" t="n"/>
      <c r="FV27" s="6" t="n"/>
      <c r="FW27" s="6" t="n"/>
      <c r="FX27" s="6" t="n"/>
      <c r="FY27" s="6" t="n"/>
      <c r="FZ27" s="6" t="n"/>
      <c r="GA27" s="6" t="n"/>
      <c r="GB27" s="6" t="n"/>
      <c r="GC27" s="6" t="n"/>
      <c r="GD27" s="6" t="n"/>
      <c r="GE27" s="6" t="n"/>
      <c r="GF27" s="6" t="n"/>
      <c r="GG27" s="6" t="n"/>
      <c r="GH27" s="6" t="n"/>
      <c r="GI27" s="6" t="n"/>
    </row>
    <row r="28" hidden="1" ht="18.75" customHeight="1">
      <c r="A28" s="250" t="inlineStr">
        <is>
          <t>CAIXA G NAT./24</t>
        </is>
      </c>
      <c r="B28" s="251" t="n">
        <v>50</v>
      </c>
      <c r="C28" s="667" t="n">
        <v>777</v>
      </c>
      <c r="D28" s="342" t="n"/>
      <c r="E28" s="6" t="n"/>
      <c r="F28" s="9" t="n">
        <v>22</v>
      </c>
      <c r="G28" s="9" t="n">
        <v>20</v>
      </c>
      <c r="H28" s="38" t="n">
        <v>19</v>
      </c>
      <c r="I28" s="38" t="n">
        <v>19</v>
      </c>
      <c r="J28" s="38" t="n">
        <v>19</v>
      </c>
      <c r="K28" s="38" t="n">
        <v>18</v>
      </c>
      <c r="L28" s="38" t="n">
        <v>18</v>
      </c>
      <c r="M28" s="38" t="n">
        <v>17</v>
      </c>
      <c r="N28" s="38" t="n">
        <v>17</v>
      </c>
      <c r="O28" s="38" t="n">
        <v>17</v>
      </c>
      <c r="P28" s="38" t="n">
        <v>15</v>
      </c>
      <c r="Q28" s="38" t="n">
        <v>12</v>
      </c>
      <c r="R28" s="38" t="n">
        <v>11</v>
      </c>
      <c r="S28" s="38" t="n">
        <v>7</v>
      </c>
      <c r="T28" s="38" t="n">
        <v>6</v>
      </c>
      <c r="U28" s="38" t="n">
        <v>2</v>
      </c>
      <c r="V28" s="38" t="n">
        <v>2</v>
      </c>
      <c r="W28" s="38" t="n">
        <v>2</v>
      </c>
      <c r="X28" s="38" t="n">
        <v>2</v>
      </c>
      <c r="Y28" s="38" t="n">
        <v>2</v>
      </c>
      <c r="Z28" s="38" t="n">
        <v>2</v>
      </c>
      <c r="AA28" s="38" t="n">
        <v>1</v>
      </c>
      <c r="AB28" s="38" t="n">
        <v>1</v>
      </c>
      <c r="AC28" s="38" t="n">
        <v>1</v>
      </c>
      <c r="AD28" s="38" t="n">
        <v>1</v>
      </c>
      <c r="AE28" s="38" t="n">
        <v>1</v>
      </c>
      <c r="AF28" s="38" t="n">
        <v>1</v>
      </c>
      <c r="AG28" s="38" t="n">
        <v>1</v>
      </c>
      <c r="AH28" s="38" t="n">
        <v>1</v>
      </c>
      <c r="AI28" s="38" t="n">
        <v>1</v>
      </c>
      <c r="AJ28" s="38" t="n">
        <v>1</v>
      </c>
      <c r="AK28" s="38" t="n">
        <v>1</v>
      </c>
      <c r="AL28" s="38" t="n">
        <v>1</v>
      </c>
      <c r="AM28" s="38" t="n">
        <v>1</v>
      </c>
      <c r="AN28" s="38" t="n">
        <v>1</v>
      </c>
      <c r="AO28" s="38" t="n">
        <v>1</v>
      </c>
      <c r="AP28" s="38" t="n">
        <v>1</v>
      </c>
      <c r="AQ28" s="38" t="n">
        <v>1</v>
      </c>
      <c r="AR28" s="38" t="n">
        <v>0</v>
      </c>
      <c r="AS28" s="38" t="n">
        <v>0</v>
      </c>
      <c r="AT28" s="38" t="n">
        <v>0</v>
      </c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38" t="n"/>
      <c r="CC28" s="9" t="n"/>
      <c r="CD28" s="9" t="n"/>
      <c r="CE28" s="9" t="n"/>
      <c r="CF28" s="246">
        <f>CD28+IF(NOT(ISBLANK(OFFSET(CF28,0,6))),N(OFFSET(CF28,0,6)),N(OFFSET(CF28,0,7)))-CE28</f>
        <v/>
      </c>
      <c r="CH28" s="6" t="n"/>
      <c r="CK28" s="696" t="n"/>
      <c r="CL28" s="57" t="n"/>
      <c r="CM28" s="57" t="n"/>
      <c r="CN28" s="57" t="n"/>
      <c r="CO28" s="57" t="n"/>
      <c r="CP28" s="6" t="n"/>
      <c r="CQ28" s="57" t="n"/>
      <c r="CR28" s="57" t="n"/>
      <c r="CS28" s="57" t="n"/>
      <c r="CV28" s="57" t="n"/>
      <c r="CW28" s="57" t="n"/>
      <c r="CX28" s="49" t="n"/>
      <c r="CZ28" s="49" t="n"/>
      <c r="DA28" s="49" t="n"/>
      <c r="DB28" s="49" t="n"/>
      <c r="DC28" s="49" t="n"/>
      <c r="DD28" s="49" t="n"/>
      <c r="DE28" s="49" t="n"/>
      <c r="DF28" s="49" t="n"/>
      <c r="DG28" s="49" t="n"/>
      <c r="DH28" s="49" t="n"/>
      <c r="DI28" s="49" t="n"/>
      <c r="DJ28" s="49" t="n"/>
      <c r="DK28" s="49" t="n"/>
      <c r="DL28" s="49" t="n"/>
      <c r="DM28" s="6" t="n"/>
      <c r="DN28" s="49" t="n"/>
      <c r="DO28" s="49" t="n"/>
      <c r="DP28" s="6" t="n"/>
      <c r="DQ28" s="49" t="n"/>
      <c r="DR28" s="49" t="n"/>
      <c r="DS28" s="49" t="n"/>
      <c r="DT28" s="49" t="n"/>
      <c r="DU28" s="49" t="n"/>
      <c r="DV28" s="49" t="n"/>
      <c r="DW28" s="49" t="n"/>
      <c r="DX28" s="49" t="n"/>
      <c r="DY28" s="49" t="n"/>
      <c r="DZ28" s="49" t="n"/>
      <c r="EA28" s="49" t="n"/>
      <c r="EB28" s="49" t="n"/>
      <c r="EC28" s="49" t="n"/>
      <c r="ED28" s="49" t="n"/>
      <c r="EE28" s="49" t="n"/>
      <c r="EF28" s="6" t="n"/>
      <c r="EG28" s="49" t="n"/>
      <c r="EH28" s="49" t="n"/>
      <c r="EI28" s="49" t="n"/>
      <c r="EJ28" s="6" t="n"/>
      <c r="EK28" s="6" t="n"/>
      <c r="EL28" s="49" t="n"/>
      <c r="EM28" s="49" t="n"/>
      <c r="EO28" s="49" t="n"/>
      <c r="EP28" s="49" t="n"/>
      <c r="EQ28" s="49" t="n"/>
      <c r="ER28" s="6" t="n"/>
      <c r="ES28" s="6" t="n"/>
      <c r="ET28" s="49" t="n"/>
      <c r="EU28" s="49" t="n"/>
      <c r="EV28" s="6" t="n"/>
      <c r="EW28" s="6" t="n"/>
      <c r="EX28" s="289" t="n"/>
      <c r="EY28" s="6" t="n"/>
      <c r="EZ28" s="6" t="n"/>
      <c r="FA28" s="6" t="n"/>
      <c r="FB28" s="6" t="n"/>
      <c r="FC28" s="6" t="n"/>
      <c r="FD28" s="6" t="n"/>
      <c r="FE28" s="6" t="n"/>
      <c r="FF28" s="289" t="n"/>
      <c r="FG28" s="6" t="n"/>
      <c r="FH28" s="6" t="n"/>
      <c r="FI28" s="6" t="n"/>
      <c r="FJ28" s="6" t="n"/>
      <c r="FK28" s="6" t="n"/>
      <c r="FL28" s="6" t="n"/>
      <c r="FM28" s="6" t="n"/>
      <c r="FN28" s="6" t="n"/>
      <c r="FO28" s="6" t="n"/>
      <c r="FP28" s="6" t="n"/>
      <c r="FQ28" s="6" t="n"/>
      <c r="FR28" s="53" t="n"/>
      <c r="FU28" s="6" t="n"/>
      <c r="FV28" s="6" t="n"/>
      <c r="FW28" s="6" t="n"/>
      <c r="FX28" s="6" t="n"/>
      <c r="FY28" s="6" t="n"/>
      <c r="FZ28" s="6" t="n"/>
      <c r="GA28" s="6" t="n"/>
      <c r="GB28" s="6" t="n"/>
      <c r="GC28" s="6" t="n"/>
      <c r="GD28" s="6" t="n"/>
      <c r="GE28" s="6" t="n"/>
      <c r="GF28" s="6" t="n"/>
      <c r="GG28" s="6" t="n"/>
      <c r="GH28" s="6" t="n"/>
      <c r="GI28" s="6" t="n"/>
    </row>
    <row r="29" hidden="1" ht="18.75" customHeight="1">
      <c r="A29" s="250" t="inlineStr">
        <is>
          <t>CARTUCHO P NAT./24</t>
        </is>
      </c>
      <c r="B29" s="251" t="n">
        <v>200</v>
      </c>
      <c r="C29" s="667" t="n">
        <v>486</v>
      </c>
      <c r="D29" s="342" t="n"/>
      <c r="E29" s="6" t="n"/>
      <c r="F29" s="9" t="n">
        <v>0</v>
      </c>
      <c r="G29" s="38" t="n">
        <v>6</v>
      </c>
      <c r="H29" s="38" t="n">
        <v>4</v>
      </c>
      <c r="I29" s="38" t="n">
        <v>4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38" t="n"/>
      <c r="CC29" s="9" t="n"/>
      <c r="CD29" s="9" t="n"/>
      <c r="CE29" s="9" t="n"/>
      <c r="CF29" s="246">
        <f>CD29+IF(NOT(ISBLANK(OFFSET(CF29,0,6))),N(OFFSET(CF29,0,6)),N(OFFSET(CF29,0,7)))-CE29</f>
        <v/>
      </c>
      <c r="CH29" s="49" t="n"/>
      <c r="CK29" s="696" t="n"/>
      <c r="CL29" s="57" t="n"/>
      <c r="CM29" s="57" t="n"/>
      <c r="CN29" s="57" t="n"/>
      <c r="CO29" s="57" t="n"/>
      <c r="CP29" s="6" t="n"/>
      <c r="CQ29" s="57" t="n"/>
      <c r="CR29" s="57" t="n"/>
      <c r="CS29" s="57" t="n"/>
      <c r="CV29" s="57" t="n"/>
      <c r="CW29" s="57" t="n"/>
      <c r="DM29" s="6" t="n"/>
      <c r="DP29" s="6" t="n"/>
      <c r="EF29" s="6" t="n"/>
      <c r="EJ29" s="6" t="n"/>
      <c r="EK29" s="6" t="n"/>
      <c r="ER29" s="6" t="n"/>
      <c r="ES29" s="6" t="n"/>
      <c r="EV29" s="6" t="n"/>
      <c r="EW29" s="6" t="n"/>
      <c r="EX29" s="289" t="n"/>
      <c r="EY29" s="6" t="n"/>
      <c r="EZ29" s="6" t="n"/>
      <c r="FA29" s="6" t="n"/>
      <c r="FB29" s="6" t="n"/>
      <c r="FC29" s="6" t="n"/>
      <c r="FD29" s="6" t="n"/>
      <c r="FE29" s="6" t="n"/>
      <c r="FF29" s="289" t="n"/>
      <c r="FG29" s="6" t="n"/>
      <c r="FH29" s="6" t="n"/>
      <c r="FI29" s="6" t="n"/>
      <c r="FJ29" s="6" t="n"/>
      <c r="FK29" s="6" t="n"/>
      <c r="FL29" s="6" t="n"/>
      <c r="FM29" s="6" t="n"/>
      <c r="FN29" s="6" t="n"/>
      <c r="FO29" s="6" t="n"/>
      <c r="FP29" s="6" t="n"/>
      <c r="FQ29" s="6" t="n"/>
      <c r="FR29" s="53" t="n"/>
      <c r="FU29" s="6" t="n"/>
      <c r="FV29" s="6" t="n"/>
      <c r="FW29" s="6" t="n"/>
      <c r="FX29" s="6" t="n"/>
      <c r="FY29" s="6" t="n"/>
      <c r="FZ29" s="6" t="n"/>
      <c r="GA29" s="6" t="n"/>
      <c r="GB29" s="6" t="n"/>
      <c r="GC29" s="6" t="n"/>
      <c r="GD29" s="6" t="n"/>
      <c r="GE29" s="6" t="n"/>
      <c r="GF29" s="6" t="n"/>
      <c r="GG29" s="6" t="n"/>
      <c r="GH29" s="6" t="n"/>
      <c r="GI29" s="6" t="n"/>
    </row>
    <row r="30" hidden="1" ht="18.75" customHeight="1">
      <c r="A30" s="250" t="inlineStr">
        <is>
          <t>CARTUCHO M NAT./24</t>
        </is>
      </c>
      <c r="B30" s="251" t="n">
        <v>150</v>
      </c>
      <c r="C30" s="667" t="n">
        <v>459</v>
      </c>
      <c r="D30" s="342" t="n"/>
      <c r="E30" s="6" t="n"/>
      <c r="F30" s="9" t="n">
        <v>0</v>
      </c>
      <c r="G30" s="9" t="n">
        <v>7</v>
      </c>
      <c r="H30" s="38" t="n">
        <v>6</v>
      </c>
      <c r="I30" s="38" t="n">
        <v>6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1</v>
      </c>
      <c r="T30" s="38" t="n">
        <v>1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38" t="n"/>
      <c r="CC30" s="9" t="n"/>
      <c r="CD30" s="9" t="n"/>
      <c r="CE30" s="9" t="n"/>
      <c r="CF30" s="246">
        <f>CD30+IF(NOT(ISBLANK(OFFSET(CF30,0,6))),N(OFFSET(CF30,0,6)),N(OFFSET(CF30,0,7)))-CE30</f>
        <v/>
      </c>
      <c r="CK30" s="696" t="n"/>
      <c r="CL30" s="57" t="n"/>
      <c r="CM30" s="57" t="n"/>
      <c r="CN30" s="57" t="n"/>
      <c r="CO30" s="57" t="n"/>
      <c r="CP30" s="6" t="n"/>
      <c r="CQ30" s="57" t="n"/>
      <c r="CR30" s="57" t="n"/>
      <c r="CS30" s="57" t="n"/>
      <c r="CV30" s="57" t="n"/>
      <c r="CW30" s="57" t="n"/>
      <c r="DM30" s="6" t="n"/>
      <c r="DP30" s="6" t="n"/>
      <c r="EF30" s="6" t="n"/>
      <c r="EJ30" s="6" t="n"/>
      <c r="EK30" s="6" t="n"/>
      <c r="ER30" s="6" t="n"/>
      <c r="ES30" s="6" t="n"/>
      <c r="EV30" s="6" t="n"/>
      <c r="EW30" s="6" t="n"/>
      <c r="EX30" s="289" t="n"/>
      <c r="EY30" s="6" t="n"/>
      <c r="EZ30" s="6" t="n"/>
      <c r="FA30" s="6" t="n"/>
      <c r="FB30" s="6" t="n"/>
      <c r="FC30" s="6" t="n"/>
      <c r="FD30" s="6" t="n"/>
      <c r="FE30" s="6" t="n"/>
      <c r="FF30" s="289" t="n"/>
      <c r="FG30" s="6" t="n"/>
      <c r="FH30" s="6" t="n"/>
      <c r="FI30" s="6" t="n"/>
      <c r="FJ30" s="6" t="n"/>
      <c r="FK30" s="6" t="n"/>
      <c r="FL30" s="6" t="n"/>
      <c r="FM30" s="6" t="n"/>
      <c r="FN30" s="6" t="n"/>
      <c r="FO30" s="6" t="n"/>
      <c r="FP30" s="6" t="n"/>
      <c r="FQ30" s="6" t="n"/>
      <c r="FR30" s="53" t="n"/>
      <c r="FU30" s="6" t="n"/>
      <c r="FV30" s="6" t="n"/>
      <c r="FW30" s="6" t="n"/>
      <c r="FX30" s="6" t="n"/>
      <c r="FY30" s="6" t="n"/>
      <c r="FZ30" s="6" t="n"/>
      <c r="GA30" s="6" t="n"/>
      <c r="GB30" s="6" t="n"/>
      <c r="GC30" s="6" t="n"/>
      <c r="GD30" s="6" t="n"/>
      <c r="GE30" s="6" t="n"/>
      <c r="GF30" s="6" t="n"/>
      <c r="GG30" s="6" t="n"/>
      <c r="GH30" s="6" t="n"/>
      <c r="GI30" s="6" t="n"/>
    </row>
    <row r="31" hidden="1" ht="18.75" customHeight="1">
      <c r="A31" s="250" t="inlineStr">
        <is>
          <t>ÁRVORE</t>
        </is>
      </c>
      <c r="B31" s="251" t="n">
        <v>100</v>
      </c>
      <c r="C31" s="667" t="n">
        <v>295</v>
      </c>
      <c r="D31" s="342" t="n"/>
      <c r="E31" s="6" t="n"/>
      <c r="F31" s="9" t="n">
        <v>89</v>
      </c>
      <c r="G31" s="9" t="n">
        <v>89</v>
      </c>
      <c r="H31" s="38" t="n">
        <v>89</v>
      </c>
      <c r="I31" s="38" t="n">
        <v>89</v>
      </c>
      <c r="J31" s="38" t="n">
        <v>89</v>
      </c>
      <c r="K31" s="38" t="n">
        <v>89</v>
      </c>
      <c r="L31" s="38" t="n">
        <v>89</v>
      </c>
      <c r="M31" s="38" t="n">
        <v>89</v>
      </c>
      <c r="N31" s="38" t="n">
        <v>90</v>
      </c>
      <c r="O31" s="38" t="n">
        <v>90</v>
      </c>
      <c r="P31" s="38" t="n">
        <v>90</v>
      </c>
      <c r="Q31" s="38" t="n">
        <v>90</v>
      </c>
      <c r="R31" s="38" t="n">
        <v>90</v>
      </c>
      <c r="S31" s="38" t="n">
        <v>90</v>
      </c>
      <c r="T31" s="38" t="n">
        <v>90</v>
      </c>
      <c r="U31" s="38" t="n">
        <v>90</v>
      </c>
      <c r="V31" s="38" t="n">
        <v>90</v>
      </c>
      <c r="W31" s="38" t="n">
        <v>90</v>
      </c>
      <c r="X31" s="38" t="n">
        <v>90</v>
      </c>
      <c r="Y31" s="38" t="n">
        <v>90</v>
      </c>
      <c r="Z31" s="38" t="n">
        <v>90</v>
      </c>
      <c r="AA31" s="38" t="n">
        <v>90</v>
      </c>
      <c r="AB31" s="38" t="n">
        <v>90</v>
      </c>
      <c r="AC31" s="38" t="n">
        <v>90</v>
      </c>
      <c r="AD31" s="38" t="n">
        <v>90</v>
      </c>
      <c r="AE31" s="38" t="n">
        <v>90</v>
      </c>
      <c r="AF31" s="38" t="n">
        <v>90</v>
      </c>
      <c r="AG31" s="38" t="n">
        <v>90</v>
      </c>
      <c r="AH31" s="38" t="n">
        <v>90</v>
      </c>
      <c r="AI31" s="38" t="n">
        <v>90</v>
      </c>
      <c r="AJ31" s="38" t="n">
        <v>90</v>
      </c>
      <c r="AK31" s="38" t="n">
        <v>90</v>
      </c>
      <c r="AL31" s="38" t="n">
        <v>90</v>
      </c>
      <c r="AM31" s="38" t="n">
        <v>90</v>
      </c>
      <c r="AN31" s="38" t="n">
        <v>90</v>
      </c>
      <c r="AO31" s="38" t="n">
        <v>90</v>
      </c>
      <c r="AP31" s="38" t="n">
        <v>90</v>
      </c>
      <c r="AQ31" s="38" t="n">
        <v>90</v>
      </c>
      <c r="AR31" s="38" t="n">
        <v>90</v>
      </c>
      <c r="AS31" s="38" t="n">
        <v>90</v>
      </c>
      <c r="AT31" s="38" t="n">
        <v>90</v>
      </c>
      <c r="AU31" s="38" t="n">
        <v>90</v>
      </c>
      <c r="AV31" s="38" t="n">
        <v>90</v>
      </c>
      <c r="AW31" s="38" t="n">
        <v>90</v>
      </c>
      <c r="AX31" s="38" t="n">
        <v>90</v>
      </c>
      <c r="AY31" s="38" t="n">
        <v>90</v>
      </c>
      <c r="AZ31" s="38" t="n">
        <v>90</v>
      </c>
      <c r="BA31" s="38" t="n">
        <v>90</v>
      </c>
      <c r="BB31" s="38" t="n">
        <v>90</v>
      </c>
      <c r="BC31" s="261" t="n">
        <v>40</v>
      </c>
      <c r="BD31" s="38" t="n">
        <v>34</v>
      </c>
      <c r="BE31" s="38" t="n">
        <v>27</v>
      </c>
      <c r="BF31" s="38" t="n">
        <v>27</v>
      </c>
      <c r="BG31" s="38" t="n">
        <v>27</v>
      </c>
      <c r="BH31" s="38" t="n">
        <v>0</v>
      </c>
      <c r="BI31" s="38" t="n">
        <v>0</v>
      </c>
      <c r="BJ31" s="38" t="n">
        <v>0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38" t="n"/>
      <c r="CC31" s="9" t="n"/>
      <c r="CD31" s="9" t="n"/>
      <c r="CE31" s="9" t="n"/>
      <c r="CF31" s="246">
        <f>CD31+IF(NOT(ISBLANK(OFFSET(CF31,0,6))),N(OFFSET(CF31,0,6)),N(OFFSET(CF31,0,7)))-CE31</f>
        <v/>
      </c>
      <c r="CK31" s="696" t="n"/>
      <c r="CL31" s="57" t="n"/>
      <c r="CM31" s="57" t="n"/>
      <c r="CN31" s="57" t="n"/>
      <c r="CO31" s="57" t="n"/>
      <c r="CP31" s="6" t="n"/>
      <c r="CQ31" s="57" t="n"/>
      <c r="CR31" s="57" t="n"/>
      <c r="CS31" s="57" t="n"/>
      <c r="CV31" s="57" t="n"/>
      <c r="CW31" s="57" t="n"/>
      <c r="DM31" s="6" t="n"/>
      <c r="DP31" s="6" t="n"/>
      <c r="EF31" s="6" t="n"/>
      <c r="EJ31" s="6" t="n"/>
      <c r="EK31" s="6" t="n"/>
      <c r="ER31" s="6" t="n"/>
      <c r="ES31" s="6" t="n"/>
      <c r="EV31" s="6" t="n"/>
      <c r="EW31" s="6" t="n"/>
      <c r="EX31" s="289" t="n"/>
      <c r="EY31" s="6" t="n"/>
      <c r="EZ31" s="6" t="n"/>
      <c r="FA31" s="6" t="n"/>
      <c r="FB31" s="6" t="n"/>
      <c r="FC31" s="6" t="n"/>
      <c r="FD31" s="6" t="n"/>
      <c r="FE31" s="6" t="n"/>
      <c r="FF31" s="289" t="n"/>
      <c r="FG31" s="6" t="n"/>
      <c r="FH31" s="6" t="n"/>
      <c r="FI31" s="6" t="n"/>
      <c r="FJ31" s="6" t="n"/>
      <c r="FK31" s="6" t="n"/>
      <c r="FL31" s="6" t="n"/>
      <c r="FM31" s="6" t="n"/>
      <c r="FN31" s="6" t="n"/>
      <c r="FO31" s="6" t="n"/>
      <c r="FP31" s="6" t="n"/>
      <c r="FQ31" s="6" t="n"/>
      <c r="FR31" s="53" t="n"/>
      <c r="FU31" s="6" t="n"/>
      <c r="FV31" s="6" t="n"/>
      <c r="FW31" s="6" t="n"/>
      <c r="FX31" s="6" t="n"/>
      <c r="FY31" s="6" t="n"/>
      <c r="FZ31" s="6" t="n"/>
      <c r="GA31" s="6" t="n"/>
      <c r="GB31" s="6" t="n"/>
      <c r="GC31" s="6" t="n"/>
      <c r="GD31" s="6" t="n"/>
      <c r="GE31" s="6" t="n"/>
      <c r="GF31" s="6" t="n"/>
      <c r="GG31" s="6" t="n"/>
      <c r="GH31" s="6" t="n"/>
      <c r="GI31" s="6" t="n"/>
    </row>
    <row r="32" hidden="1" ht="18.75" customHeight="1">
      <c r="A32" s="250" t="inlineStr">
        <is>
          <t>BOLA</t>
        </is>
      </c>
      <c r="B32" s="251" t="n">
        <v>100</v>
      </c>
      <c r="C32" s="667" t="n">
        <v>283</v>
      </c>
      <c r="D32" s="342" t="n"/>
      <c r="E32" s="6" t="n"/>
      <c r="F32" s="9" t="n">
        <v>29</v>
      </c>
      <c r="G32" s="9" t="n">
        <v>23</v>
      </c>
      <c r="H32" s="38" t="n">
        <v>6</v>
      </c>
      <c r="I32" s="38" t="n">
        <v>4</v>
      </c>
      <c r="J32" s="38" t="n">
        <v>0</v>
      </c>
      <c r="K32" s="38" t="n">
        <v>0</v>
      </c>
      <c r="L32" s="38" t="n">
        <v>0</v>
      </c>
      <c r="M32" s="38" t="n">
        <v>0</v>
      </c>
      <c r="N32" s="38" t="n">
        <v>0</v>
      </c>
      <c r="O32" s="38" t="n">
        <v>0</v>
      </c>
      <c r="P32" s="38" t="n">
        <v>0</v>
      </c>
      <c r="Q32" s="38" t="n">
        <v>0</v>
      </c>
      <c r="R32" s="38" t="n">
        <v>0</v>
      </c>
      <c r="S32" s="38" t="n">
        <v>0</v>
      </c>
      <c r="T32" s="38" t="n">
        <v>0</v>
      </c>
      <c r="U32" s="38" t="n">
        <v>0</v>
      </c>
      <c r="V32" s="38" t="n">
        <v>0</v>
      </c>
      <c r="W32" s="38" t="n">
        <v>0</v>
      </c>
      <c r="X32" s="38" t="n">
        <v>0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/>
      <c r="AI32" s="38" t="n"/>
      <c r="AJ32" s="38" t="n"/>
      <c r="AK32" s="38" t="n"/>
      <c r="AL32" s="38" t="n"/>
      <c r="AM32" s="3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38" t="n"/>
      <c r="AW32" s="38" t="n"/>
      <c r="AX32" s="38" t="n"/>
      <c r="AY32" s="38" t="n"/>
      <c r="AZ32" s="38" t="n">
        <v>20</v>
      </c>
      <c r="BA32" s="38" t="n">
        <v>20</v>
      </c>
      <c r="BB32" s="38" t="n">
        <v>19</v>
      </c>
      <c r="BC32" s="261" t="n">
        <v>4</v>
      </c>
      <c r="BD32" s="38" t="n">
        <v>4</v>
      </c>
      <c r="BE32" s="38" t="n">
        <v>4</v>
      </c>
      <c r="BF32" s="38" t="n">
        <v>4</v>
      </c>
      <c r="BG32" s="38" t="n">
        <v>4</v>
      </c>
      <c r="BH32" s="38" t="n">
        <v>0</v>
      </c>
      <c r="BI32" s="38" t="n">
        <v>0</v>
      </c>
      <c r="BJ32" s="38" t="n">
        <v>0</v>
      </c>
      <c r="BK32" s="38" t="n">
        <v>0</v>
      </c>
      <c r="BL32" s="38" t="n">
        <v>0</v>
      </c>
      <c r="BM32" s="38" t="n">
        <v>0</v>
      </c>
      <c r="BN32" s="38" t="n">
        <v>0</v>
      </c>
      <c r="BO32" s="38" t="n">
        <v>0</v>
      </c>
      <c r="BP32" s="38" t="n">
        <v>0</v>
      </c>
      <c r="BQ32" s="38" t="n">
        <v>0</v>
      </c>
      <c r="BR32" s="38" t="n">
        <v>0</v>
      </c>
      <c r="BS32" s="38" t="n"/>
      <c r="BT32" s="38" t="n"/>
      <c r="BU32" s="38" t="n"/>
      <c r="BV32" s="38" t="n"/>
      <c r="BW32" s="38" t="n"/>
      <c r="BX32" s="38" t="n"/>
      <c r="BY32" s="38" t="n"/>
      <c r="BZ32" s="38" t="n"/>
      <c r="CA32" s="38" t="n"/>
      <c r="CB32" s="38" t="n"/>
      <c r="CC32" s="9" t="n"/>
      <c r="CD32" s="9" t="n"/>
      <c r="CE32" s="9" t="n"/>
      <c r="CF32" s="246">
        <f>CD32+IF(NOT(ISBLANK(OFFSET(CF32,0,6))),N(OFFSET(CF32,0,6)),N(OFFSET(CF32,0,7)))-CE32</f>
        <v/>
      </c>
      <c r="CK32" s="696" t="n"/>
      <c r="CL32" s="57" t="n"/>
      <c r="CM32" s="57" t="n"/>
      <c r="CN32" s="57" t="n"/>
      <c r="CO32" s="57" t="n"/>
      <c r="CP32" s="6" t="n"/>
      <c r="CQ32" s="57" t="n"/>
      <c r="CR32" s="57" t="n"/>
      <c r="CS32" s="57" t="n"/>
      <c r="CV32" s="57" t="n"/>
      <c r="CW32" s="57" t="n"/>
      <c r="DM32" s="6" t="n"/>
      <c r="DP32" s="6" t="n"/>
      <c r="EF32" s="6" t="n"/>
      <c r="EJ32" s="6" t="n"/>
      <c r="EK32" s="6" t="n"/>
      <c r="ER32" s="49" t="n"/>
      <c r="ES32" s="6" t="n"/>
      <c r="EV32" s="6" t="n"/>
      <c r="EW32" s="6" t="n"/>
      <c r="EX32" s="289" t="n"/>
      <c r="EY32" s="6" t="n"/>
      <c r="EZ32" s="6" t="n"/>
      <c r="FA32" s="6" t="n"/>
      <c r="FB32" s="6" t="n"/>
      <c r="FC32" s="49" t="n"/>
      <c r="FD32" s="6" t="n"/>
      <c r="FE32" s="6" t="n"/>
      <c r="FF32" s="289" t="n"/>
      <c r="FG32" s="6" t="n"/>
      <c r="FH32" s="6" t="n"/>
      <c r="FI32" s="6" t="n"/>
      <c r="FJ32" s="6" t="n"/>
      <c r="FK32" s="6" t="n"/>
      <c r="FL32" s="6" t="n"/>
      <c r="FM32" s="6" t="n"/>
      <c r="FN32" s="6" t="n"/>
      <c r="FO32" s="6" t="n"/>
      <c r="FP32" s="6" t="n"/>
      <c r="FQ32" s="6" t="n"/>
      <c r="FR32" s="53" t="n"/>
      <c r="FU32" s="6" t="n"/>
      <c r="FV32" s="6" t="n"/>
      <c r="FW32" s="6" t="n"/>
      <c r="FX32" s="6" t="n"/>
      <c r="FY32" s="6" t="n"/>
      <c r="FZ32" s="6" t="n"/>
      <c r="GA32" s="6" t="n"/>
      <c r="GB32" s="6" t="n"/>
      <c r="GC32" s="6" t="n"/>
      <c r="GD32" s="6" t="n"/>
      <c r="GE32" s="6" t="n"/>
      <c r="GF32" s="6" t="n"/>
      <c r="GG32" s="6" t="n"/>
      <c r="GH32" s="6" t="n"/>
      <c r="GI32" s="6" t="n"/>
    </row>
    <row r="33" hidden="1" ht="18.75" customHeight="1">
      <c r="A33" s="243" t="inlineStr">
        <is>
          <t>CAIXA P MÃES/25</t>
        </is>
      </c>
      <c r="B33" s="244" t="n">
        <v>150</v>
      </c>
      <c r="C33" s="697" t="n">
        <v>781.05</v>
      </c>
      <c r="D33" s="342" t="n"/>
      <c r="E33" s="6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0</v>
      </c>
      <c r="AA33" s="9" t="n">
        <v>0</v>
      </c>
      <c r="AB33" s="9" t="n">
        <v>0</v>
      </c>
      <c r="AC33" s="9" t="n">
        <v>0</v>
      </c>
      <c r="AD33" s="9" t="n">
        <v>0</v>
      </c>
      <c r="AE33" s="9" t="n">
        <v>0</v>
      </c>
      <c r="AF33" s="9" t="n">
        <v>0</v>
      </c>
      <c r="AG33" s="9" t="n">
        <v>0</v>
      </c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9" t="n"/>
      <c r="CC33" s="9" t="n"/>
      <c r="CD33" s="9" t="n"/>
      <c r="CE33" s="9" t="n"/>
      <c r="CF33" s="246">
        <f>CD33+IF(NOT(ISBLANK(OFFSET(CF33,0,6))),N(OFFSET(CF33,0,6)),N(OFFSET(CF33,0,7)))-CE33</f>
        <v/>
      </c>
      <c r="CK33" s="696" t="n"/>
      <c r="CL33" s="57" t="n"/>
      <c r="CM33" s="57" t="n"/>
      <c r="CN33" s="57" t="n"/>
      <c r="CO33" s="57" t="n"/>
      <c r="CP33" s="6" t="n"/>
      <c r="CQ33" s="57" t="n"/>
      <c r="CR33" s="57" t="n"/>
      <c r="CS33" s="57" t="n"/>
      <c r="CV33" s="57" t="n"/>
      <c r="CW33" s="57" t="n"/>
      <c r="DM33" s="6" t="n"/>
      <c r="DP33" s="6" t="n"/>
      <c r="EF33" s="6" t="n"/>
      <c r="EJ33" s="6" t="n"/>
      <c r="EK33" s="6" t="n"/>
      <c r="ER33" s="49" t="n"/>
      <c r="ES33" s="6" t="n"/>
      <c r="EV33" s="6" t="n"/>
      <c r="EW33" s="6" t="n"/>
      <c r="EX33" s="289" t="n"/>
      <c r="EY33" s="6" t="n"/>
      <c r="EZ33" s="6" t="n"/>
      <c r="FA33" s="6" t="n"/>
      <c r="FB33" s="6" t="n"/>
      <c r="FC33" s="49" t="n"/>
      <c r="FD33" s="6" t="n"/>
      <c r="FE33" s="6" t="n"/>
      <c r="FF33" s="289" t="n"/>
      <c r="FG33" s="6" t="n"/>
      <c r="FH33" s="6" t="n"/>
      <c r="FI33" s="6" t="n"/>
      <c r="FJ33" s="6" t="n"/>
      <c r="FK33" s="6" t="n"/>
      <c r="FL33" s="6" t="n"/>
      <c r="FM33" s="6" t="n"/>
      <c r="FN33" s="6" t="n"/>
      <c r="FO33" s="6" t="n"/>
      <c r="FP33" s="6" t="n"/>
      <c r="FQ33" s="6" t="n"/>
      <c r="FR33" s="53" t="n"/>
      <c r="FU33" s="6" t="n"/>
      <c r="FV33" s="6" t="n"/>
      <c r="FW33" s="6" t="n"/>
      <c r="FX33" s="6" t="n"/>
      <c r="FY33" s="6" t="n"/>
      <c r="FZ33" s="6" t="n"/>
      <c r="GA33" s="6" t="n"/>
      <c r="GB33" s="6" t="n"/>
      <c r="GC33" s="6" t="n"/>
      <c r="GD33" s="6" t="n"/>
      <c r="GE33" s="6" t="n"/>
      <c r="GF33" s="6" t="n"/>
      <c r="GG33" s="6" t="n"/>
      <c r="GH33" s="6" t="n"/>
      <c r="GI33" s="6" t="n"/>
    </row>
    <row r="34" hidden="1" ht="18.75" customHeight="1">
      <c r="A34" s="243" t="inlineStr">
        <is>
          <t>CAIXA M MÃES/25</t>
        </is>
      </c>
      <c r="B34" s="244" t="n">
        <v>100</v>
      </c>
      <c r="C34" s="697" t="n">
        <v>789</v>
      </c>
      <c r="D34" s="342" t="n"/>
      <c r="E34" s="6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0</v>
      </c>
      <c r="AA34" s="9" t="n">
        <v>0</v>
      </c>
      <c r="AB34" s="9" t="n">
        <v>0</v>
      </c>
      <c r="AC34" s="9" t="n">
        <v>0</v>
      </c>
      <c r="AD34" s="190" t="n">
        <v>-1</v>
      </c>
      <c r="AE34" s="9" t="n">
        <v>0</v>
      </c>
      <c r="AF34" s="9" t="n">
        <v>0</v>
      </c>
      <c r="AG34" s="9" t="n">
        <v>0</v>
      </c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9" t="n"/>
      <c r="CC34" s="9" t="n"/>
      <c r="CD34" s="9" t="n"/>
      <c r="CE34" s="9" t="n"/>
      <c r="CF34" s="246">
        <f>CD34+IF(NOT(ISBLANK(OFFSET(CF34,0,6))),N(OFFSET(CF34,0,6)),N(OFFSET(CF34,0,7)))-CE34</f>
        <v/>
      </c>
      <c r="CK34" s="696" t="n"/>
      <c r="CL34" s="57" t="n"/>
      <c r="CM34" s="57" t="n"/>
      <c r="CN34" s="57" t="n"/>
      <c r="CO34" s="57" t="n"/>
      <c r="CP34" s="6" t="n"/>
      <c r="CQ34" s="57" t="n"/>
      <c r="CR34" s="57" t="n"/>
      <c r="CS34" s="57" t="n"/>
      <c r="CV34" s="57" t="n"/>
      <c r="CW34" s="57" t="n"/>
      <c r="DM34" s="6" t="n"/>
      <c r="DP34" s="6" t="n"/>
      <c r="EF34" s="6" t="n"/>
      <c r="EJ34" s="6" t="n"/>
      <c r="EK34" s="6" t="n"/>
      <c r="ER34" s="49" t="n"/>
      <c r="ES34" s="6" t="n"/>
      <c r="EV34" s="6" t="n"/>
      <c r="EW34" s="6" t="n"/>
      <c r="EX34" s="289" t="n"/>
      <c r="EY34" s="6" t="n"/>
      <c r="EZ34" s="6" t="n"/>
      <c r="FA34" s="6" t="n"/>
      <c r="FB34" s="6" t="n"/>
      <c r="FC34" s="49" t="n"/>
      <c r="FD34" s="6" t="n"/>
      <c r="FE34" s="6" t="n"/>
      <c r="FF34" s="289" t="n"/>
      <c r="FG34" s="6" t="n"/>
      <c r="FH34" s="6" t="n"/>
      <c r="FI34" s="6" t="n"/>
      <c r="FJ34" s="6" t="n"/>
      <c r="FK34" s="6" t="n"/>
      <c r="FL34" s="6" t="n"/>
      <c r="FM34" s="6" t="n"/>
      <c r="FN34" s="6" t="n"/>
      <c r="FO34" s="6" t="n"/>
      <c r="FP34" s="6" t="n"/>
      <c r="FQ34" s="6" t="n"/>
      <c r="FR34" s="53" t="n"/>
      <c r="FU34" s="6" t="n"/>
      <c r="FV34" s="6" t="n"/>
      <c r="FW34" s="6" t="n"/>
      <c r="FX34" s="6" t="n"/>
      <c r="FY34" s="6" t="n"/>
      <c r="FZ34" s="6" t="n"/>
      <c r="GA34" s="6" t="n"/>
      <c r="GB34" s="6" t="n"/>
      <c r="GC34" s="6" t="n"/>
      <c r="GD34" s="6" t="n"/>
      <c r="GE34" s="6" t="n"/>
      <c r="GF34" s="6" t="n"/>
      <c r="GG34" s="6" t="n"/>
      <c r="GH34" s="6" t="n"/>
      <c r="GI34" s="6" t="n"/>
    </row>
    <row r="35" hidden="1" ht="18.75" customHeight="1">
      <c r="A35" s="243" t="inlineStr">
        <is>
          <t>CAIXA G MÃES/25</t>
        </is>
      </c>
      <c r="B35" s="244" t="n">
        <v>75</v>
      </c>
      <c r="C35" s="697" t="n">
        <v>844.05</v>
      </c>
      <c r="D35" s="342" t="n"/>
      <c r="E35" s="6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44</v>
      </c>
      <c r="AA35" s="9" t="n">
        <v>44</v>
      </c>
      <c r="AB35" s="9" t="n">
        <v>39</v>
      </c>
      <c r="AC35" s="9" t="n">
        <v>38</v>
      </c>
      <c r="AD35" s="9" t="n">
        <v>28</v>
      </c>
      <c r="AE35" s="9" t="n">
        <v>28</v>
      </c>
      <c r="AF35" s="9" t="n">
        <v>27</v>
      </c>
      <c r="AG35" s="9" t="n">
        <v>24</v>
      </c>
      <c r="AH35" s="9" t="n">
        <v>21</v>
      </c>
      <c r="AI35" s="9" t="n">
        <v>21</v>
      </c>
      <c r="AJ35" s="9" t="n">
        <v>19</v>
      </c>
      <c r="AK35" s="9" t="n">
        <v>17</v>
      </c>
      <c r="AL35" s="9" t="n">
        <v>13</v>
      </c>
      <c r="AM35" s="9" t="n">
        <v>11</v>
      </c>
      <c r="AN35" s="9" t="n">
        <v>11</v>
      </c>
      <c r="AO35" s="9" t="n">
        <v>1</v>
      </c>
      <c r="AP35" s="9" t="n">
        <v>1</v>
      </c>
      <c r="AQ35" s="9" t="n">
        <v>0</v>
      </c>
      <c r="AR35" s="9" t="n">
        <v>0</v>
      </c>
      <c r="AS35" s="9" t="n">
        <v>0</v>
      </c>
      <c r="AT35" s="9" t="n">
        <v>0</v>
      </c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9" t="n"/>
      <c r="CD35" s="9" t="n"/>
      <c r="CE35" s="9" t="n"/>
      <c r="CF35" s="246">
        <f>CD35+IF(NOT(ISBLANK(OFFSET(CF35,0,6))),N(OFFSET(CF35,0,6)),N(OFFSET(CF35,0,7)))-CE35</f>
        <v/>
      </c>
      <c r="CK35" s="290" t="n"/>
      <c r="CL35" s="61" t="n"/>
      <c r="CM35" s="61" t="n"/>
      <c r="CN35" s="61" t="n"/>
      <c r="CO35" s="61" t="n"/>
      <c r="CP35" s="6" t="n"/>
      <c r="CQ35" s="61" t="n"/>
      <c r="CR35" s="61" t="n"/>
      <c r="CS35" s="61" t="n"/>
      <c r="CV35" s="61" t="n"/>
      <c r="CW35" s="61" t="n"/>
      <c r="DM35" s="6" t="n"/>
      <c r="DP35" s="6" t="n"/>
      <c r="EF35" s="6" t="n"/>
      <c r="EJ35" s="6" t="n"/>
      <c r="EK35" s="6" t="n"/>
      <c r="ER35" s="49" t="n"/>
      <c r="ES35" s="6" t="n"/>
      <c r="EV35" s="6" t="n"/>
      <c r="EW35" s="6" t="n"/>
      <c r="EX35" s="289" t="n"/>
      <c r="EY35" s="6" t="n"/>
      <c r="EZ35" s="6" t="n"/>
      <c r="FA35" s="6" t="n"/>
      <c r="FB35" s="6" t="n"/>
      <c r="FC35" s="49" t="n"/>
      <c r="FD35" s="6" t="n"/>
      <c r="FE35" s="6" t="n"/>
      <c r="FF35" s="289" t="n"/>
      <c r="FG35" s="6" t="n"/>
      <c r="FH35" s="6" t="n"/>
      <c r="FI35" s="6" t="n"/>
      <c r="FJ35" s="6" t="n"/>
      <c r="FK35" s="6" t="n"/>
      <c r="FL35" s="6" t="n"/>
      <c r="FM35" s="6" t="n"/>
      <c r="FN35" s="6" t="n"/>
      <c r="FO35" s="6" t="n"/>
      <c r="FP35" s="6" t="n"/>
      <c r="FQ35" s="6" t="n"/>
      <c r="FR35" s="53" t="n"/>
      <c r="FU35" s="6" t="n"/>
      <c r="FV35" s="6" t="n"/>
      <c r="FW35" s="6" t="n"/>
      <c r="FX35" s="6" t="n"/>
      <c r="FY35" s="6" t="n"/>
      <c r="FZ35" s="6" t="n"/>
      <c r="GA35" s="6" t="n"/>
      <c r="GB35" s="6" t="n"/>
      <c r="GC35" s="6" t="n"/>
      <c r="GD35" s="6" t="n"/>
      <c r="GE35" s="6" t="n"/>
      <c r="GF35" s="6" t="n"/>
      <c r="GG35" s="6" t="n"/>
      <c r="GH35" s="6" t="n"/>
      <c r="GI35" s="6" t="n"/>
    </row>
    <row r="36" hidden="1" ht="18.75" customHeight="1">
      <c r="A36" s="243" t="inlineStr">
        <is>
          <t>CARTUCHO P MÃES/25</t>
        </is>
      </c>
      <c r="B36" s="244" t="n">
        <v>200</v>
      </c>
      <c r="C36" s="697" t="n">
        <v>450</v>
      </c>
      <c r="D36" s="342" t="n"/>
      <c r="E36" s="6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>
        <v>0</v>
      </c>
      <c r="AI36" s="9" t="n">
        <v>0</v>
      </c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9" t="n"/>
      <c r="CD36" s="9" t="n"/>
      <c r="CE36" s="9" t="n"/>
      <c r="CF36" s="246">
        <f>CD36+IF(NOT(ISBLANK(OFFSET(CF36,0,6))),N(OFFSET(CF36,0,6)),N(OFFSET(CF36,0,7)))-CE36</f>
        <v/>
      </c>
      <c r="CK36" s="290" t="n"/>
      <c r="CL36" s="61" t="n"/>
      <c r="CM36" s="61" t="n"/>
      <c r="CN36" s="61" t="n"/>
      <c r="CO36" s="61" t="n"/>
      <c r="CP36" s="6" t="n"/>
      <c r="CQ36" s="61" t="n"/>
      <c r="CR36" s="61" t="n"/>
      <c r="CS36" s="61" t="n"/>
      <c r="CV36" s="61" t="n"/>
      <c r="CW36" s="61" t="n"/>
      <c r="DM36" s="6" t="n"/>
      <c r="DP36" s="6" t="n"/>
      <c r="EF36" s="6" t="n"/>
      <c r="EJ36" s="6" t="n"/>
      <c r="EK36" s="6" t="n"/>
      <c r="ER36" s="49" t="n"/>
      <c r="ES36" s="6" t="n"/>
      <c r="EV36" s="6" t="n"/>
      <c r="EW36" s="6" t="n"/>
      <c r="EX36" s="289" t="n"/>
      <c r="EY36" s="6" t="n"/>
      <c r="EZ36" s="6" t="n"/>
      <c r="FA36" s="6" t="n"/>
      <c r="FB36" s="6" t="n"/>
      <c r="FC36" s="49" t="n"/>
      <c r="FD36" s="6" t="n"/>
      <c r="FE36" s="6" t="n"/>
      <c r="FF36" s="289" t="n"/>
      <c r="FG36" s="6" t="n"/>
      <c r="FH36" s="6" t="n"/>
      <c r="FI36" s="6" t="n"/>
      <c r="FJ36" s="6" t="n"/>
      <c r="FK36" s="6" t="n"/>
      <c r="FL36" s="6" t="n"/>
      <c r="FM36" s="6" t="n"/>
      <c r="FN36" s="6" t="n"/>
      <c r="FO36" s="6" t="n"/>
      <c r="FP36" s="6" t="n"/>
      <c r="FQ36" s="6" t="n"/>
      <c r="FR36" s="53" t="n"/>
      <c r="FU36" s="6" t="n"/>
      <c r="FV36" s="6" t="n"/>
      <c r="FW36" s="6" t="n"/>
      <c r="FX36" s="6" t="n"/>
      <c r="FY36" s="6" t="n"/>
      <c r="FZ36" s="6" t="n"/>
      <c r="GA36" s="6" t="n"/>
      <c r="GB36" s="6" t="n"/>
      <c r="GC36" s="6" t="n"/>
      <c r="GD36" s="6" t="n"/>
      <c r="GE36" s="6" t="n"/>
      <c r="GF36" s="6" t="n"/>
      <c r="GG36" s="6" t="n"/>
      <c r="GH36" s="6" t="n"/>
      <c r="GI36" s="6" t="n"/>
    </row>
    <row r="37" hidden="1" ht="18.75" customHeight="1">
      <c r="A37" s="243" t="inlineStr">
        <is>
          <t>CARTUCHO M MÃES/25</t>
        </is>
      </c>
      <c r="B37" s="244" t="n">
        <v>150</v>
      </c>
      <c r="C37" s="697" t="n">
        <v>430.5</v>
      </c>
      <c r="D37" s="342" t="n"/>
      <c r="E37" s="6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24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>
        <v>0</v>
      </c>
      <c r="AI37" s="9" t="n">
        <v>0</v>
      </c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9" t="n"/>
      <c r="CD37" s="9" t="n"/>
      <c r="CE37" s="9" t="n"/>
      <c r="CF37" s="246">
        <f>CD37+IF(NOT(ISBLANK(OFFSET(CF37,0,6))),N(OFFSET(CF37,0,6)),N(OFFSET(CF37,0,7)))-CE37</f>
        <v/>
      </c>
      <c r="CP37" s="6" t="n"/>
      <c r="CT37" s="57" t="n"/>
      <c r="CU37" s="57" t="n"/>
      <c r="CY37" s="57" t="n"/>
      <c r="DM37" s="6" t="n"/>
      <c r="DP37" s="6" t="n"/>
      <c r="EF37" s="6" t="n"/>
      <c r="EJ37" s="6" t="n"/>
      <c r="EK37" s="6" t="n"/>
      <c r="ER37" s="49" t="n"/>
      <c r="ES37" s="6" t="n"/>
      <c r="EV37" s="6" t="n"/>
      <c r="EW37" s="6" t="n"/>
      <c r="EX37" s="289" t="n"/>
      <c r="EY37" s="6" t="n"/>
      <c r="EZ37" s="6" t="n"/>
      <c r="FA37" s="6" t="n"/>
      <c r="FB37" s="6" t="n"/>
      <c r="FC37" s="49" t="n"/>
      <c r="FD37" s="6" t="n"/>
      <c r="FE37" s="6" t="n"/>
      <c r="FF37" s="289" t="n"/>
      <c r="FG37" s="6" t="n"/>
      <c r="FH37" s="6" t="n"/>
      <c r="FI37" s="6" t="n"/>
      <c r="FJ37" s="6" t="n"/>
      <c r="FK37" s="6" t="n"/>
      <c r="FL37" s="6" t="n"/>
      <c r="FM37" s="6" t="n"/>
      <c r="FN37" s="6" t="n"/>
      <c r="FO37" s="6" t="n"/>
      <c r="FP37" s="6" t="n"/>
      <c r="FQ37" s="6" t="n"/>
      <c r="FR37" s="53" t="n"/>
      <c r="FU37" s="6" t="n"/>
      <c r="FV37" s="6" t="n"/>
      <c r="FW37" s="6" t="n"/>
      <c r="FX37" s="6" t="n"/>
      <c r="FY37" s="6" t="n"/>
      <c r="FZ37" s="6" t="n"/>
      <c r="GA37" s="6" t="n"/>
      <c r="GB37" s="6" t="n"/>
      <c r="GC37" s="6" t="n"/>
      <c r="GD37" s="6" t="n"/>
      <c r="GE37" s="6" t="n"/>
      <c r="GF37" s="6" t="n"/>
      <c r="GG37" s="6" t="n"/>
      <c r="GH37" s="6" t="n"/>
      <c r="GI37" s="6" t="n"/>
    </row>
    <row r="38" hidden="1" ht="18.75" customHeight="1">
      <c r="A38" s="352" t="inlineStr">
        <is>
          <t>CAIXA M NAMO/25</t>
        </is>
      </c>
      <c r="B38" s="127" t="n">
        <v>100</v>
      </c>
      <c r="C38" s="705" t="n">
        <v>789</v>
      </c>
      <c r="D38" s="342" t="n"/>
      <c r="E38" s="6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" t="n"/>
      <c r="AA38" s="2" t="n"/>
      <c r="AB38" s="2" t="n"/>
      <c r="AC38" s="2" t="n"/>
      <c r="AD38" s="2" t="n"/>
      <c r="AE38" s="2" t="n"/>
      <c r="AF38" s="2" t="n"/>
      <c r="AG38" s="2" t="n"/>
      <c r="AH38" s="9" t="n">
        <v>1</v>
      </c>
      <c r="AI38" s="9" t="n">
        <v>1</v>
      </c>
      <c r="AJ38" s="9" t="n">
        <v>0</v>
      </c>
      <c r="AK38" s="9" t="n">
        <v>0</v>
      </c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9" t="n"/>
      <c r="CD38" s="9" t="n"/>
      <c r="CE38" s="9" t="n"/>
      <c r="CF38" s="246">
        <f>CD38+IF(NOT(ISBLANK(OFFSET(CF38,0,6))),N(OFFSET(CF38,0,6)),N(OFFSET(CF38,0,7)))-CE38</f>
        <v/>
      </c>
      <c r="CP38" s="6" t="n"/>
      <c r="CT38" s="61" t="n"/>
      <c r="CU38" s="61" t="n"/>
      <c r="CY38" s="61" t="n"/>
      <c r="DM38" s="6" t="n"/>
      <c r="DP38" s="6" t="n"/>
      <c r="EF38" s="6" t="n"/>
      <c r="EJ38" s="6" t="n"/>
      <c r="EK38" s="6" t="n"/>
      <c r="ER38" s="49" t="n"/>
      <c r="ES38" s="6" t="n"/>
      <c r="EV38" s="6" t="n"/>
      <c r="EW38" s="6" t="n"/>
      <c r="EX38" s="289" t="n"/>
      <c r="EY38" s="6" t="n"/>
      <c r="EZ38" s="6" t="n"/>
      <c r="FA38" s="6" t="n"/>
      <c r="FB38" s="6" t="n"/>
      <c r="FC38" s="49" t="n"/>
      <c r="FD38" s="6" t="n"/>
      <c r="FE38" s="6" t="n"/>
      <c r="FF38" s="289" t="n"/>
      <c r="FG38" s="6" t="n"/>
      <c r="FH38" s="6" t="n"/>
      <c r="FI38" s="6" t="n"/>
      <c r="FJ38" s="6" t="n"/>
      <c r="FK38" s="6" t="n"/>
      <c r="FL38" s="6" t="n"/>
      <c r="FM38" s="6" t="n"/>
      <c r="FN38" s="6" t="n"/>
      <c r="FO38" s="6" t="n"/>
      <c r="FP38" s="6" t="n"/>
      <c r="FQ38" s="6" t="n"/>
      <c r="FR38" s="53" t="n"/>
      <c r="FU38" s="6" t="n"/>
      <c r="FV38" s="6" t="n"/>
      <c r="FW38" s="6" t="n"/>
      <c r="FX38" s="6" t="n"/>
      <c r="FY38" s="6" t="n"/>
      <c r="FZ38" s="6" t="n"/>
      <c r="GA38" s="6" t="n"/>
      <c r="GB38" s="6" t="n"/>
      <c r="GC38" s="6" t="n"/>
      <c r="GD38" s="6" t="n"/>
      <c r="GE38" s="6" t="n"/>
      <c r="GF38" s="6" t="n"/>
      <c r="GG38" s="6" t="n"/>
      <c r="GH38" s="6" t="n"/>
      <c r="GI38" s="6" t="n"/>
    </row>
    <row r="39" hidden="1" ht="18.75" customHeight="1">
      <c r="A39" s="343" t="inlineStr">
        <is>
          <t>CAIXA M PAIS/25</t>
        </is>
      </c>
      <c r="B39" s="344" t="n">
        <v>100</v>
      </c>
      <c r="C39" s="705" t="n">
        <v>789</v>
      </c>
      <c r="D39" s="342" t="n"/>
      <c r="E39" s="6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2" t="n"/>
      <c r="AL39" s="2" t="n"/>
      <c r="AM39" s="2" t="n"/>
      <c r="AN39" s="2" t="n"/>
      <c r="AO39" s="9" t="n">
        <v>3</v>
      </c>
      <c r="AP39" s="9" t="n">
        <v>3</v>
      </c>
      <c r="AQ39" s="9" t="n">
        <v>3</v>
      </c>
      <c r="AR39" s="9" t="n">
        <v>0</v>
      </c>
      <c r="AS39" s="9" t="n">
        <v>0</v>
      </c>
      <c r="AT39" s="9" t="n">
        <v>0</v>
      </c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9" t="n"/>
      <c r="CD39" s="9" t="n"/>
      <c r="CE39" s="9" t="n"/>
      <c r="CF39" s="246">
        <f>CD39+IF(NOT(ISBLANK(OFFSET(CF39,0,6))),N(OFFSET(CF39,0,6)),N(OFFSET(CF39,0,7)))-CE39</f>
        <v/>
      </c>
      <c r="CP39" s="360" t="n"/>
      <c r="CT39" s="61" t="n"/>
      <c r="CU39" s="61" t="n"/>
      <c r="CY39" s="61" t="n"/>
      <c r="DM39" s="6" t="n"/>
      <c r="DP39" s="6" t="n"/>
      <c r="EF39" s="6" t="n"/>
      <c r="EJ39" s="6" t="n"/>
      <c r="EK39" s="6" t="n"/>
      <c r="ER39" s="49" t="n"/>
      <c r="ES39" s="6" t="n"/>
      <c r="EV39" s="6" t="n"/>
      <c r="EW39" s="6" t="n"/>
      <c r="EX39" s="289" t="n"/>
      <c r="EY39" s="6" t="n"/>
      <c r="EZ39" s="6" t="n"/>
      <c r="FA39" s="6" t="n"/>
      <c r="FB39" s="6" t="n"/>
      <c r="FC39" s="49" t="n"/>
      <c r="FD39" s="6" t="n"/>
      <c r="FE39" s="6" t="n"/>
      <c r="FF39" s="289" t="n"/>
      <c r="FG39" s="6" t="n"/>
      <c r="FH39" s="6" t="n"/>
      <c r="FI39" s="6" t="n"/>
      <c r="FJ39" s="6" t="n"/>
      <c r="FK39" s="6" t="n"/>
      <c r="FL39" s="6" t="n"/>
      <c r="FM39" s="6" t="n"/>
      <c r="FN39" s="6" t="n"/>
      <c r="FO39" s="6" t="n"/>
      <c r="FP39" s="6" t="n"/>
      <c r="FQ39" s="6" t="n"/>
      <c r="FR39" s="53" t="n"/>
      <c r="FU39" s="6" t="n"/>
      <c r="FV39" s="6" t="n"/>
      <c r="FW39" s="6" t="n"/>
      <c r="FX39" s="6" t="n"/>
      <c r="FY39" s="6" t="n"/>
      <c r="FZ39" s="6" t="n"/>
      <c r="GA39" s="6" t="n"/>
      <c r="GB39" s="6" t="n"/>
      <c r="GC39" s="6" t="n"/>
      <c r="GD39" s="6" t="n"/>
      <c r="GE39" s="6" t="n"/>
      <c r="GF39" s="6" t="n"/>
      <c r="GG39" s="6" t="n"/>
      <c r="GH39" s="6" t="n"/>
      <c r="GI39" s="6" t="n"/>
    </row>
    <row r="40" hidden="1" ht="18.75" customHeight="1">
      <c r="A40" s="343" t="inlineStr">
        <is>
          <t>PIN MELHOR PAI DO MDO</t>
        </is>
      </c>
      <c r="B40" s="344" t="n">
        <v>25</v>
      </c>
      <c r="C40" s="705" t="n">
        <v>789</v>
      </c>
      <c r="D40" s="342" t="n"/>
      <c r="E40" s="6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7</v>
      </c>
      <c r="AP40" s="9" t="n">
        <v>7</v>
      </c>
      <c r="AQ40" s="9" t="n">
        <v>7</v>
      </c>
      <c r="AR40" s="9" t="n">
        <v>0</v>
      </c>
      <c r="AS40" s="9" t="n">
        <v>0</v>
      </c>
      <c r="AT40" s="9" t="n">
        <v>0</v>
      </c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9" t="n"/>
      <c r="CD40" s="9" t="n"/>
      <c r="CE40" s="9" t="n"/>
      <c r="CF40" s="246">
        <f>CD40+IF(NOT(ISBLANK(OFFSET(CF40,0,6))),N(OFFSET(CF40,0,6)),N(OFFSET(CF40,0,7)))-CE40</f>
        <v/>
      </c>
      <c r="CP40" s="360" t="n"/>
      <c r="DM40" s="6" t="n"/>
      <c r="DP40" s="6" t="n"/>
      <c r="EF40" s="6" t="n"/>
      <c r="EJ40" s="6" t="n"/>
      <c r="EK40" s="6" t="n"/>
      <c r="ER40" s="49" t="n"/>
      <c r="ES40" s="6" t="n"/>
      <c r="EV40" s="6" t="n"/>
      <c r="EW40" s="6" t="n"/>
      <c r="EX40" s="289" t="n"/>
      <c r="EY40" s="6" t="n"/>
      <c r="EZ40" s="6" t="n"/>
      <c r="FA40" s="6" t="n"/>
      <c r="FB40" s="6" t="n"/>
      <c r="FC40" s="49" t="n"/>
      <c r="FD40" s="6" t="n"/>
      <c r="FE40" s="6" t="n"/>
      <c r="FF40" s="289" t="n"/>
      <c r="FG40" s="6" t="n"/>
      <c r="FH40" s="6" t="n"/>
      <c r="FI40" s="6" t="n"/>
      <c r="FJ40" s="6" t="n"/>
      <c r="FK40" s="6" t="n"/>
      <c r="FL40" s="6" t="n"/>
      <c r="FM40" s="6" t="n"/>
      <c r="FN40" s="6" t="n"/>
      <c r="FO40" s="6" t="n"/>
      <c r="FP40" s="6" t="n"/>
      <c r="FQ40" s="6" t="n"/>
      <c r="FR40" s="53" t="n"/>
      <c r="FU40" s="6" t="n"/>
      <c r="FV40" s="6" t="n"/>
      <c r="FW40" s="6" t="n"/>
      <c r="FX40" s="6" t="n"/>
      <c r="FY40" s="6" t="n"/>
      <c r="FZ40" s="6" t="n"/>
      <c r="GA40" s="6" t="n"/>
      <c r="GB40" s="6" t="n"/>
      <c r="GC40" s="6" t="n"/>
      <c r="GD40" s="6" t="n"/>
      <c r="GE40" s="6" t="n"/>
      <c r="GF40" s="6" t="n"/>
      <c r="GG40" s="6" t="n"/>
      <c r="GH40" s="6" t="n"/>
      <c r="GI40" s="6" t="n"/>
    </row>
    <row r="41" hidden="1" ht="18.75" customHeight="1">
      <c r="A41" s="343" t="inlineStr">
        <is>
          <t>PIN BALÃO</t>
        </is>
      </c>
      <c r="B41" s="344" t="n">
        <v>25</v>
      </c>
      <c r="C41" s="705" t="n">
        <v>789</v>
      </c>
      <c r="D41" s="342" t="n"/>
      <c r="E41" s="6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4</v>
      </c>
      <c r="AP41" s="9" t="n">
        <v>4</v>
      </c>
      <c r="AQ41" s="9" t="n">
        <v>4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9" t="n"/>
      <c r="CD41" s="9" t="n"/>
      <c r="CE41" s="9" t="n"/>
      <c r="CF41" s="246">
        <f>CD41+IF(NOT(ISBLANK(OFFSET(CF41,0,6))),N(OFFSET(CF41,0,6)),N(OFFSET(CF41,0,7)))-CE41</f>
        <v/>
      </c>
      <c r="CK41" s="6" t="n"/>
      <c r="CL41" s="6" t="n"/>
      <c r="CM41" s="6" t="n"/>
      <c r="CN41" s="6" t="n"/>
      <c r="CO41" s="6" t="n"/>
      <c r="CP41" s="53" t="n"/>
      <c r="CQ41" s="6" t="n"/>
      <c r="CR41" s="6" t="n"/>
      <c r="CS41" s="6" t="n"/>
      <c r="CV41" s="6" t="n"/>
      <c r="CW41" s="6" t="n"/>
      <c r="DM41" s="6" t="n"/>
      <c r="DP41" s="6" t="n"/>
      <c r="EF41" s="6" t="n"/>
      <c r="EJ41" s="6" t="n"/>
      <c r="EK41" s="6" t="n"/>
      <c r="ER41" s="49" t="n"/>
      <c r="ES41" s="6" t="n"/>
      <c r="EV41" s="6" t="n"/>
      <c r="EW41" s="6" t="n"/>
      <c r="EX41" s="289" t="n"/>
      <c r="EY41" s="6" t="n"/>
      <c r="EZ41" s="6" t="n"/>
      <c r="FA41" s="6" t="n"/>
      <c r="FB41" s="6" t="n"/>
      <c r="FC41" s="49" t="n"/>
      <c r="FD41" s="6" t="n"/>
      <c r="FE41" s="6" t="n"/>
      <c r="FF41" s="289" t="n"/>
      <c r="FG41" s="6" t="n"/>
      <c r="FH41" s="6" t="n"/>
      <c r="FI41" s="6" t="n"/>
      <c r="FJ41" s="6" t="n"/>
      <c r="FK41" s="6" t="n"/>
      <c r="FL41" s="6" t="n"/>
      <c r="FM41" s="6" t="n"/>
      <c r="FN41" s="6" t="n"/>
      <c r="FO41" s="6" t="n"/>
      <c r="FP41" s="6" t="n"/>
      <c r="FQ41" s="6" t="n"/>
      <c r="FR41" s="53" t="n"/>
      <c r="FU41" s="53" t="n"/>
      <c r="FV41" s="53" t="n"/>
      <c r="FW41" s="53" t="n"/>
      <c r="FX41" s="53" t="n"/>
      <c r="FY41" s="53" t="n"/>
      <c r="FZ41" s="53" t="n"/>
      <c r="GA41" s="53" t="n"/>
      <c r="GB41" s="53" t="n"/>
      <c r="GC41" s="53" t="n"/>
      <c r="GD41" s="53" t="n"/>
      <c r="GE41" s="53" t="n"/>
      <c r="GF41" s="53" t="n"/>
      <c r="GG41" s="53" t="n"/>
      <c r="GH41" s="53" t="n"/>
      <c r="GI41" s="53" t="n"/>
    </row>
    <row r="42" hidden="1" ht="18.75" customHeight="1">
      <c r="A42" s="343" t="inlineStr">
        <is>
          <t>PIN AMOR</t>
        </is>
      </c>
      <c r="B42" s="344" t="n">
        <v>25</v>
      </c>
      <c r="C42" s="705" t="n">
        <v>789</v>
      </c>
      <c r="D42" s="342" t="n"/>
      <c r="E42" s="6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4</v>
      </c>
      <c r="AP42" s="9" t="n">
        <v>4</v>
      </c>
      <c r="AQ42" s="9" t="n">
        <v>4</v>
      </c>
      <c r="AR42" s="9" t="n">
        <v>0</v>
      </c>
      <c r="AS42" s="9" t="n">
        <v>0</v>
      </c>
      <c r="AT42" s="9" t="n">
        <v>0</v>
      </c>
      <c r="AU42" s="9" t="n"/>
      <c r="AV42" s="9" t="n"/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9" t="n"/>
      <c r="CD42" s="9" t="n"/>
      <c r="CE42" s="9" t="n"/>
      <c r="CF42" s="246">
        <f>CD42+IF(NOT(ISBLANK(OFFSET(CF42,0,6))),N(OFFSET(CF42,0,6)),N(OFFSET(CF42,0,7)))-CE42</f>
        <v/>
      </c>
      <c r="CK42" s="6" t="n"/>
      <c r="CL42" s="6" t="n"/>
      <c r="CM42" s="6" t="n"/>
      <c r="CN42" s="6" t="n"/>
      <c r="CO42" s="6" t="n"/>
      <c r="CP42" s="53" t="n"/>
      <c r="CQ42" s="6" t="n"/>
      <c r="CR42" s="6" t="n"/>
      <c r="CS42" s="6" t="n"/>
      <c r="CV42" s="6" t="n"/>
      <c r="CW42" s="6" t="n"/>
      <c r="DM42" s="6" t="n"/>
      <c r="DP42" s="6" t="n"/>
      <c r="EF42" s="6" t="n"/>
      <c r="EJ42" s="6" t="n"/>
      <c r="EK42" s="6" t="n"/>
      <c r="ER42" s="49" t="n"/>
      <c r="ES42" s="6" t="n"/>
      <c r="EV42" s="6" t="n"/>
      <c r="EW42" s="6" t="n"/>
      <c r="EX42" s="289" t="n"/>
      <c r="EY42" s="6" t="n"/>
      <c r="EZ42" s="6" t="n"/>
      <c r="FA42" s="6" t="n"/>
      <c r="FB42" s="6" t="n"/>
      <c r="FC42" s="49" t="n"/>
      <c r="FD42" s="6" t="n"/>
      <c r="FE42" s="6" t="n"/>
      <c r="FF42" s="289" t="n"/>
      <c r="FG42" s="6" t="n"/>
      <c r="FH42" s="6" t="n"/>
      <c r="FI42" s="6" t="n"/>
      <c r="FJ42" s="6" t="n"/>
      <c r="FK42" s="6" t="n"/>
      <c r="FL42" s="6" t="n"/>
      <c r="FM42" s="6" t="n"/>
      <c r="FN42" s="6" t="n"/>
      <c r="FO42" s="6" t="n"/>
      <c r="FP42" s="6" t="n"/>
      <c r="FQ42" s="6" t="n"/>
      <c r="FR42" s="53" t="n"/>
      <c r="FU42" s="53" t="n"/>
      <c r="FV42" s="53" t="n"/>
      <c r="FW42" s="53" t="n"/>
      <c r="FX42" s="53" t="n"/>
      <c r="FY42" s="53" t="n"/>
      <c r="FZ42" s="53" t="n"/>
      <c r="GA42" s="53" t="n"/>
      <c r="GB42" s="53" t="n"/>
      <c r="GC42" s="53" t="n"/>
      <c r="GD42" s="53" t="n"/>
      <c r="GE42" s="53" t="n"/>
      <c r="GF42" s="53" t="n"/>
      <c r="GG42" s="53" t="n"/>
      <c r="GH42" s="53" t="n"/>
      <c r="GI42" s="53" t="n"/>
    </row>
    <row r="43" hidden="1" ht="18.75" customHeight="1">
      <c r="A43" s="33" t="inlineStr">
        <is>
          <t>CAIXA P NATAL/25</t>
        </is>
      </c>
      <c r="B43" s="9" t="n">
        <v>150</v>
      </c>
      <c r="C43" s="668" t="n">
        <v>805.35</v>
      </c>
      <c r="D43" s="342" t="n"/>
      <c r="F43" s="112" t="n"/>
      <c r="G43" s="112" t="n"/>
      <c r="H43" s="112" t="n"/>
      <c r="I43" s="112" t="n"/>
      <c r="J43" s="112" t="n"/>
      <c r="K43" s="112" t="n"/>
      <c r="L43" s="112" t="n"/>
      <c r="M43" s="112" t="n"/>
      <c r="N43" s="112" t="n"/>
      <c r="O43" s="112" t="n"/>
      <c r="P43" s="112" t="n"/>
      <c r="Q43" s="112" t="n"/>
      <c r="R43" s="112" t="n"/>
      <c r="S43" s="112" t="n"/>
      <c r="T43" s="112" t="n"/>
      <c r="U43" s="112" t="n"/>
      <c r="V43" s="112" t="n"/>
      <c r="W43" s="112" t="n"/>
      <c r="X43" s="112" t="n"/>
      <c r="Y43" s="112" t="n"/>
      <c r="Z43" s="112" t="n"/>
      <c r="AA43" s="112" t="n"/>
      <c r="AB43" s="112" t="n"/>
      <c r="AC43" s="112" t="n"/>
      <c r="AD43" s="112" t="n"/>
      <c r="AE43" s="112" t="n"/>
      <c r="AF43" s="112" t="n"/>
      <c r="AG43" s="112" t="n"/>
      <c r="AH43" s="112" t="n"/>
      <c r="AI43" s="112" t="n"/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  <c r="AW43" s="112" t="n"/>
      <c r="AX43" s="112" t="n"/>
      <c r="AY43" s="112" t="n"/>
      <c r="AZ43" s="112" t="n"/>
      <c r="BA43" s="112" t="n"/>
      <c r="BB43" s="112" t="n"/>
      <c r="BC43" s="112" t="n"/>
      <c r="BD43" s="9" t="n">
        <v>341</v>
      </c>
      <c r="BE43" s="9" t="n">
        <v>223</v>
      </c>
      <c r="BF43" s="9" t="n">
        <v>93</v>
      </c>
      <c r="BG43" s="9" t="n">
        <v>93</v>
      </c>
      <c r="BH43" s="9" t="n">
        <v>-1</v>
      </c>
      <c r="BI43" s="190" t="n">
        <v>48</v>
      </c>
      <c r="BJ43" s="38" t="n">
        <v>27</v>
      </c>
      <c r="BK43" s="38" t="n">
        <v>8</v>
      </c>
      <c r="BL43" s="38" t="n">
        <v>-23</v>
      </c>
      <c r="BM43" s="38" t="n">
        <v>-35</v>
      </c>
      <c r="BN43" s="38" t="n">
        <v>32</v>
      </c>
      <c r="BO43" s="38" t="n">
        <v>16</v>
      </c>
      <c r="BP43" s="261" t="n">
        <v>1</v>
      </c>
      <c r="BQ43" s="38" t="n">
        <v>1</v>
      </c>
      <c r="BR43" s="38" t="n">
        <v>1</v>
      </c>
      <c r="BS43" s="38" t="n">
        <v>0</v>
      </c>
      <c r="BT43" s="38" t="n">
        <v>0</v>
      </c>
      <c r="BU43" s="38" t="n">
        <v>0</v>
      </c>
      <c r="BV43" s="38" t="n">
        <v>0</v>
      </c>
      <c r="BW43" s="38" t="n">
        <v>0</v>
      </c>
      <c r="BX43" s="38" t="n">
        <v>0</v>
      </c>
      <c r="BY43" s="38" t="n">
        <v>0</v>
      </c>
      <c r="BZ43" s="38" t="n">
        <v>0</v>
      </c>
      <c r="CA43" s="38" t="n">
        <v>0</v>
      </c>
      <c r="CB43" s="38" t="n">
        <v>0</v>
      </c>
      <c r="CC43" s="9" t="n">
        <v>0</v>
      </c>
      <c r="CD43" s="9" t="n">
        <v>0</v>
      </c>
      <c r="CE43" s="9" t="n">
        <v>0</v>
      </c>
      <c r="CF43" s="246">
        <f>CD43+IF(NOT(ISBLANK(OFFSET(CF43,0,6))),N(OFFSET(CF43,0,6)),N(OFFSET(CF43,0,7)))-CE43</f>
        <v/>
      </c>
      <c r="CK43" s="6" t="n"/>
      <c r="CL43" s="6" t="n"/>
      <c r="CM43" s="6" t="n"/>
      <c r="CN43" s="6" t="n"/>
      <c r="CO43" s="6" t="n"/>
      <c r="CP43" s="53" t="n"/>
      <c r="CQ43" s="6" t="n"/>
      <c r="CR43" s="6" t="n"/>
      <c r="CS43" s="6" t="n"/>
      <c r="CV43" s="6" t="n"/>
      <c r="CW43" s="6" t="n"/>
      <c r="DM43" s="360" t="n"/>
      <c r="DP43" s="360" t="n"/>
      <c r="EE43" s="57" t="n"/>
      <c r="EF43" s="6" t="n"/>
      <c r="EJ43" s="6" t="n"/>
      <c r="EK43" s="6" t="n"/>
      <c r="EL43" s="57" t="n"/>
      <c r="EM43" s="57" t="n"/>
      <c r="EO43" s="57" t="n"/>
      <c r="EP43" s="57" t="n"/>
      <c r="EQ43" s="57" t="n"/>
      <c r="ET43" s="57" t="n"/>
      <c r="EU43" s="57" t="n"/>
      <c r="EX43" s="289" t="n"/>
      <c r="FF43" s="289" t="n"/>
      <c r="FR43" s="53" t="n"/>
      <c r="FU43" s="53" t="n"/>
      <c r="FV43" s="53" t="n"/>
      <c r="FW43" s="53" t="n"/>
      <c r="FX43" s="53" t="n"/>
      <c r="FY43" s="53" t="n"/>
      <c r="FZ43" s="53" t="n"/>
      <c r="GA43" s="53" t="n"/>
      <c r="GB43" s="53" t="n"/>
      <c r="GC43" s="53" t="n"/>
      <c r="GD43" s="53" t="n"/>
      <c r="GE43" s="53" t="n"/>
      <c r="GF43" s="53" t="n"/>
      <c r="GG43" s="53" t="n"/>
      <c r="GH43" s="53" t="n"/>
      <c r="GI43" s="53" t="n"/>
    </row>
    <row r="44" hidden="1" ht="18.75" customHeight="1">
      <c r="A44" s="33" t="inlineStr">
        <is>
          <t>CAIXA M NATAL/25</t>
        </is>
      </c>
      <c r="B44" s="9" t="n">
        <v>100</v>
      </c>
      <c r="C44" s="668" t="n">
        <v>792.2</v>
      </c>
      <c r="D44" s="342" t="n"/>
      <c r="F44" s="112" t="n"/>
      <c r="G44" s="112" t="n"/>
      <c r="H44" s="112" t="n"/>
      <c r="I44" s="112" t="n"/>
      <c r="J44" s="112" t="n"/>
      <c r="K44" s="112" t="n"/>
      <c r="L44" s="112" t="n"/>
      <c r="M44" s="112" t="n"/>
      <c r="N44" s="112" t="n"/>
      <c r="O44" s="112" t="n"/>
      <c r="P44" s="112" t="n"/>
      <c r="Q44" s="112" t="n"/>
      <c r="R44" s="112" t="n"/>
      <c r="S44" s="112" t="n"/>
      <c r="T44" s="112" t="n"/>
      <c r="U44" s="112" t="n"/>
      <c r="V44" s="112" t="n"/>
      <c r="W44" s="112" t="n"/>
      <c r="X44" s="112" t="n"/>
      <c r="Y44" s="112" t="n"/>
      <c r="Z44" s="112" t="n"/>
      <c r="AA44" s="112" t="n"/>
      <c r="AB44" s="112" t="n"/>
      <c r="AC44" s="112" t="n"/>
      <c r="AD44" s="112" t="n"/>
      <c r="AE44" s="112" t="n"/>
      <c r="AF44" s="112" t="n"/>
      <c r="AG44" s="112" t="n"/>
      <c r="AH44" s="112" t="n"/>
      <c r="AI44" s="112" t="n"/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  <c r="AW44" s="112" t="n"/>
      <c r="AX44" s="112" t="n"/>
      <c r="AY44" s="112" t="n"/>
      <c r="AZ44" s="112" t="n"/>
      <c r="BA44" s="112" t="n"/>
      <c r="BB44" s="112" t="n"/>
      <c r="BC44" s="112" t="n"/>
      <c r="BD44" s="9" t="n">
        <v>401</v>
      </c>
      <c r="BE44" s="9" t="n">
        <v>250</v>
      </c>
      <c r="BF44" s="9" t="n">
        <v>3</v>
      </c>
      <c r="BG44" s="9" t="n">
        <v>-16</v>
      </c>
      <c r="BH44" s="9" t="n">
        <v>3</v>
      </c>
      <c r="BI44" s="9" t="n">
        <v>1</v>
      </c>
      <c r="BJ44" s="190" t="n">
        <v>-14</v>
      </c>
      <c r="BK44" s="38" t="n">
        <v>2</v>
      </c>
      <c r="BL44" s="38" t="n">
        <v>0</v>
      </c>
      <c r="BM44" s="38" t="n">
        <v>0</v>
      </c>
      <c r="BN44" s="38" t="n">
        <v>0</v>
      </c>
      <c r="BO44" s="38" t="n">
        <v>0</v>
      </c>
      <c r="BP44" s="38" t="n">
        <v>0</v>
      </c>
      <c r="BQ44" s="38" t="n">
        <v>0</v>
      </c>
      <c r="BR44" s="38" t="n">
        <v>0</v>
      </c>
      <c r="BS44" s="38" t="n">
        <v>0</v>
      </c>
      <c r="BT44" s="38" t="n">
        <v>0</v>
      </c>
      <c r="BU44" s="38" t="n">
        <v>0</v>
      </c>
      <c r="BV44" s="38" t="n">
        <v>0</v>
      </c>
      <c r="BW44" s="38" t="n">
        <v>0</v>
      </c>
      <c r="BX44" s="38" t="n">
        <v>0</v>
      </c>
      <c r="BY44" s="38" t="n">
        <v>0</v>
      </c>
      <c r="BZ44" s="38" t="n">
        <v>0</v>
      </c>
      <c r="CA44" s="38" t="n">
        <v>0</v>
      </c>
      <c r="CB44" s="38" t="n">
        <v>0</v>
      </c>
      <c r="CC44" s="9" t="n">
        <v>0</v>
      </c>
      <c r="CD44" s="9" t="n">
        <v>0</v>
      </c>
      <c r="CE44" s="9" t="n">
        <v>0</v>
      </c>
      <c r="CF44" s="246">
        <f>CD44+IF(NOT(ISBLANK(OFFSET(CF44,0,6))),N(OFFSET(CF44,0,6)),N(OFFSET(CF44,0,7)))-CE44</f>
        <v/>
      </c>
      <c r="CK44" s="6" t="n"/>
      <c r="CL44" s="6" t="n"/>
      <c r="CM44" s="6" t="n"/>
      <c r="CN44" s="6" t="n"/>
      <c r="CO44" s="6" t="n"/>
      <c r="CP44" s="53" t="n"/>
      <c r="CQ44" s="6" t="n"/>
      <c r="CR44" s="6" t="n"/>
      <c r="CS44" s="6" t="n"/>
      <c r="CT44" s="6" t="n"/>
      <c r="CU44" s="6" t="n"/>
      <c r="CV44" s="6" t="n"/>
      <c r="CW44" s="6" t="n"/>
      <c r="CY44" s="6" t="n"/>
      <c r="DM44" s="360" t="n"/>
      <c r="DP44" s="360" t="n"/>
      <c r="EE44" s="57" t="n"/>
      <c r="EF44" s="6" t="n"/>
      <c r="EJ44" s="6" t="n"/>
      <c r="EK44" s="6" t="n"/>
      <c r="EL44" s="57" t="n"/>
      <c r="EM44" s="57" t="n"/>
      <c r="EO44" s="57" t="n"/>
      <c r="EP44" s="57" t="n"/>
      <c r="EQ44" s="57" t="n"/>
      <c r="ET44" s="57" t="n"/>
      <c r="EU44" s="57" t="n"/>
      <c r="EX44" s="289" t="n"/>
      <c r="FF44" s="289" t="n"/>
      <c r="FR44" s="53" t="n"/>
      <c r="FU44" s="53" t="n"/>
      <c r="FV44" s="53" t="n"/>
      <c r="FW44" s="53" t="n"/>
      <c r="FX44" s="53" t="n"/>
      <c r="FY44" s="53" t="n"/>
      <c r="FZ44" s="53" t="n"/>
      <c r="GA44" s="53" t="n"/>
      <c r="GB44" s="53" t="n"/>
      <c r="GC44" s="53" t="n"/>
      <c r="GD44" s="53" t="n"/>
      <c r="GE44" s="53" t="n"/>
      <c r="GF44" s="53" t="n"/>
      <c r="GG44" s="53" t="n"/>
      <c r="GH44" s="53" t="n"/>
      <c r="GI44" s="53" t="n"/>
    </row>
    <row r="45" hidden="1" ht="18.75" customHeight="1">
      <c r="A45" s="33" t="inlineStr">
        <is>
          <t>CAIXA G NATAL/25</t>
        </is>
      </c>
      <c r="B45" s="9" t="n">
        <v>50</v>
      </c>
      <c r="C45" s="668" t="n"/>
      <c r="D45" s="342" t="n"/>
      <c r="F45" s="112" t="n"/>
      <c r="G45" s="112" t="n"/>
      <c r="H45" s="112" t="n"/>
      <c r="I45" s="112" t="n"/>
      <c r="J45" s="112" t="n"/>
      <c r="K45" s="112" t="n"/>
      <c r="L45" s="112" t="n"/>
      <c r="M45" s="112" t="n"/>
      <c r="N45" s="112" t="n"/>
      <c r="O45" s="112" t="n"/>
      <c r="P45" s="112" t="n"/>
      <c r="Q45" s="112" t="n"/>
      <c r="R45" s="112" t="n"/>
      <c r="S45" s="112" t="n"/>
      <c r="T45" s="112" t="n"/>
      <c r="U45" s="112" t="n"/>
      <c r="V45" s="112" t="n"/>
      <c r="W45" s="112" t="n"/>
      <c r="X45" s="112" t="n"/>
      <c r="Y45" s="112" t="n"/>
      <c r="Z45" s="112" t="n"/>
      <c r="AA45" s="112" t="n"/>
      <c r="AB45" s="112" t="n"/>
      <c r="AC45" s="112" t="n"/>
      <c r="AD45" s="112" t="n"/>
      <c r="AE45" s="112" t="n"/>
      <c r="AF45" s="112" t="n"/>
      <c r="AG45" s="112" t="n"/>
      <c r="AH45" s="112" t="n"/>
      <c r="AI45" s="112" t="n"/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  <c r="AW45" s="112" t="n"/>
      <c r="AX45" s="112" t="n"/>
      <c r="AY45" s="112" t="n"/>
      <c r="AZ45" s="112" t="n"/>
      <c r="BA45" s="112" t="n"/>
      <c r="BB45" s="112" t="n"/>
      <c r="BC45" s="112" t="n"/>
      <c r="BD45" s="9" t="n">
        <v>19</v>
      </c>
      <c r="BE45" s="9" t="n">
        <v>10</v>
      </c>
      <c r="BF45" s="9" t="n">
        <v>-3</v>
      </c>
      <c r="BG45" s="9" t="n">
        <v>-3</v>
      </c>
      <c r="BH45" s="9" t="n">
        <v>1</v>
      </c>
      <c r="BI45" s="9" t="n">
        <v>1</v>
      </c>
      <c r="BJ45" s="9" t="n">
        <v>0</v>
      </c>
      <c r="BK45" s="9" t="n">
        <v>0</v>
      </c>
      <c r="BL45" s="9" t="n">
        <v>0</v>
      </c>
      <c r="BM45" s="9" t="n">
        <v>0</v>
      </c>
      <c r="BN45" s="9" t="n">
        <v>0</v>
      </c>
      <c r="BO45" s="9" t="n">
        <v>0</v>
      </c>
      <c r="BP45" s="9" t="n">
        <v>0</v>
      </c>
      <c r="BQ45" s="9" t="n">
        <v>0</v>
      </c>
      <c r="BR45" s="9" t="n">
        <v>0</v>
      </c>
      <c r="BS45" s="9" t="n"/>
      <c r="BT45" s="9" t="n"/>
      <c r="BU45" s="9" t="n"/>
      <c r="BV45" s="9" t="n"/>
      <c r="BW45" s="9" t="n"/>
      <c r="BX45" s="9" t="n"/>
      <c r="BY45" s="9" t="n"/>
      <c r="BZ45" s="9" t="n"/>
      <c r="CA45" s="9" t="n"/>
      <c r="CB45" s="9" t="n"/>
      <c r="CC45" s="9" t="n"/>
      <c r="CD45" s="9" t="n"/>
      <c r="CE45" s="9" t="n"/>
      <c r="CF45" s="246">
        <f>CD45+IF(NOT(ISBLANK(OFFSET(CF45,0,6))),N(OFFSET(CF45,0,6)),N(OFFSET(CF45,0,7)))-CE45</f>
        <v/>
      </c>
      <c r="CK45" s="6" t="n"/>
      <c r="CL45" s="6" t="n"/>
      <c r="CM45" s="6" t="n"/>
      <c r="CN45" s="6" t="n"/>
      <c r="CO45" s="6" t="n"/>
      <c r="CQ45" s="6" t="n"/>
      <c r="CR45" s="6" t="n"/>
      <c r="CS45" s="6" t="n"/>
      <c r="CT45" s="6" t="n"/>
      <c r="CU45" s="6" t="n"/>
      <c r="CV45" s="6" t="n"/>
      <c r="CW45" s="6" t="n"/>
      <c r="CY45" s="6" t="n"/>
      <c r="DM45" s="360" t="n"/>
      <c r="DP45" s="360" t="n"/>
      <c r="EE45" s="57" t="n"/>
      <c r="EF45" s="6" t="n"/>
      <c r="EJ45" s="6" t="n"/>
      <c r="EK45" s="6" t="n"/>
      <c r="EL45" s="57" t="n"/>
      <c r="EM45" s="57" t="n"/>
      <c r="EO45" s="57" t="n"/>
      <c r="EP45" s="57" t="n"/>
      <c r="EQ45" s="57" t="n"/>
      <c r="ET45" s="57" t="n"/>
      <c r="EU45" s="57" t="n"/>
      <c r="EX45" s="289" t="n"/>
      <c r="FF45" s="289" t="n"/>
      <c r="FR45" s="53" t="n"/>
    </row>
    <row r="46" hidden="1" ht="18.75" customHeight="1">
      <c r="A46" s="33" t="inlineStr">
        <is>
          <t>CARTUCHO P NATAL/25</t>
        </is>
      </c>
      <c r="B46" s="9" t="n">
        <v>200</v>
      </c>
      <c r="C46" s="668" t="n">
        <v>487.2</v>
      </c>
      <c r="D46" s="342" t="n"/>
      <c r="F46" s="112" t="n"/>
      <c r="G46" s="112" t="n"/>
      <c r="H46" s="112" t="n"/>
      <c r="I46" s="112" t="n"/>
      <c r="J46" s="112" t="n"/>
      <c r="K46" s="112" t="n"/>
      <c r="L46" s="112" t="n"/>
      <c r="M46" s="112" t="n"/>
      <c r="N46" s="112" t="n"/>
      <c r="O46" s="112" t="n"/>
      <c r="P46" s="112" t="n"/>
      <c r="Q46" s="112" t="n"/>
      <c r="R46" s="112" t="n"/>
      <c r="S46" s="112" t="n"/>
      <c r="T46" s="112" t="n"/>
      <c r="U46" s="112" t="n"/>
      <c r="V46" s="112" t="n"/>
      <c r="W46" s="112" t="n"/>
      <c r="X46" s="112" t="n"/>
      <c r="Y46" s="112" t="n"/>
      <c r="Z46" s="112" t="n"/>
      <c r="AA46" s="112" t="n"/>
      <c r="AB46" s="112" t="n"/>
      <c r="AC46" s="112" t="n"/>
      <c r="AD46" s="112" t="n"/>
      <c r="AE46" s="112" t="n"/>
      <c r="AF46" s="112" t="n"/>
      <c r="AG46" s="112" t="n"/>
      <c r="AH46" s="112" t="n"/>
      <c r="AI46" s="112" t="n"/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  <c r="AW46" s="112" t="n"/>
      <c r="AX46" s="112" t="n"/>
      <c r="AY46" s="112" t="n"/>
      <c r="AZ46" s="112" t="n"/>
      <c r="BA46" s="112" t="n"/>
      <c r="BB46" s="112" t="n"/>
      <c r="BC46" s="112" t="n"/>
      <c r="BD46" s="9" t="n">
        <v>100</v>
      </c>
      <c r="BE46" s="9" t="n">
        <v>1</v>
      </c>
      <c r="BF46" s="9" t="n">
        <v>-3</v>
      </c>
      <c r="BG46" s="9" t="n">
        <v>-3</v>
      </c>
      <c r="BH46" s="9" t="n">
        <v>0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1</v>
      </c>
      <c r="BO46" s="9" t="n">
        <v>1</v>
      </c>
      <c r="BP46" s="9" t="n">
        <v>1</v>
      </c>
      <c r="BQ46" s="9" t="n">
        <v>1</v>
      </c>
      <c r="BR46" s="9" t="n">
        <v>1</v>
      </c>
      <c r="BS46" s="9" t="n">
        <v>0</v>
      </c>
      <c r="BT46" s="9" t="n">
        <v>0</v>
      </c>
      <c r="BU46" s="9" t="n">
        <v>0</v>
      </c>
      <c r="BV46" s="9" t="n">
        <v>0</v>
      </c>
      <c r="BW46" s="9" t="n">
        <v>0</v>
      </c>
      <c r="BX46" s="9" t="n">
        <v>0</v>
      </c>
      <c r="BY46" s="9" t="n">
        <v>0</v>
      </c>
      <c r="BZ46" s="9" t="n">
        <v>0</v>
      </c>
      <c r="CA46" s="9" t="n">
        <v>0</v>
      </c>
      <c r="CB46" s="9" t="n">
        <v>0</v>
      </c>
      <c r="CC46" s="9" t="n">
        <v>0</v>
      </c>
      <c r="CD46" s="9" t="n">
        <v>0</v>
      </c>
      <c r="CE46" s="9" t="n">
        <v>0</v>
      </c>
      <c r="CF46" s="246">
        <f>CD46+IF(NOT(ISBLANK(OFFSET(CF46,0,6))),N(OFFSET(CF46,0,6)),N(OFFSET(CF46,0,7)))-CE46</f>
        <v/>
      </c>
      <c r="CK46" s="6" t="n"/>
      <c r="CL46" s="6" t="n"/>
      <c r="CM46" s="6" t="n"/>
      <c r="CN46" s="6" t="n"/>
      <c r="CO46" s="6" t="n"/>
      <c r="CQ46" s="6" t="n"/>
      <c r="CR46" s="6" t="n"/>
      <c r="CS46" s="6" t="n"/>
      <c r="CT46" s="6" t="n"/>
      <c r="CU46" s="6" t="n"/>
      <c r="CV46" s="6" t="n"/>
      <c r="CW46" s="6" t="n"/>
      <c r="CY46" s="6" t="n"/>
      <c r="DM46" s="360" t="n"/>
      <c r="DP46" s="360" t="n"/>
      <c r="EE46" s="57" t="n"/>
      <c r="EF46" s="6" t="n"/>
      <c r="EJ46" s="6" t="n"/>
      <c r="EK46" s="6" t="n"/>
      <c r="EL46" s="57" t="n"/>
      <c r="EM46" s="57" t="n"/>
      <c r="EO46" s="57" t="n"/>
      <c r="EP46" s="57" t="n"/>
      <c r="EQ46" s="57" t="n"/>
      <c r="ET46" s="57" t="n"/>
      <c r="EU46" s="57" t="n"/>
      <c r="EX46" s="289" t="n"/>
      <c r="FF46" s="289" t="n"/>
      <c r="FR46" s="53" t="n"/>
    </row>
    <row r="47" hidden="1" ht="18.75" customHeight="1">
      <c r="A47" s="33" t="inlineStr">
        <is>
          <t>CARTUCHO M NATAL/25</t>
        </is>
      </c>
      <c r="B47" s="9" t="n">
        <v>150</v>
      </c>
      <c r="C47" s="668" t="n">
        <v>460.35</v>
      </c>
      <c r="D47" s="342" t="n"/>
      <c r="F47" s="112" t="n"/>
      <c r="G47" s="112" t="n"/>
      <c r="H47" s="112" t="n"/>
      <c r="I47" s="112" t="n"/>
      <c r="J47" s="112" t="n"/>
      <c r="K47" s="112" t="n"/>
      <c r="L47" s="112" t="n"/>
      <c r="M47" s="112" t="n"/>
      <c r="N47" s="112" t="n"/>
      <c r="O47" s="112" t="n"/>
      <c r="P47" s="112" t="n"/>
      <c r="Q47" s="112" t="n"/>
      <c r="R47" s="112" t="n"/>
      <c r="S47" s="112" t="n"/>
      <c r="T47" s="112" t="n"/>
      <c r="U47" s="112" t="n"/>
      <c r="V47" s="112" t="n"/>
      <c r="W47" s="112" t="n"/>
      <c r="X47" s="112" t="n"/>
      <c r="Y47" s="112" t="n"/>
      <c r="Z47" s="112" t="n"/>
      <c r="AA47" s="112" t="n"/>
      <c r="AB47" s="112" t="n"/>
      <c r="AC47" s="112" t="n"/>
      <c r="AD47" s="112" t="n"/>
      <c r="AE47" s="112" t="n"/>
      <c r="AF47" s="112" t="n"/>
      <c r="AG47" s="112" t="n"/>
      <c r="AH47" s="112" t="n"/>
      <c r="AI47" s="112" t="n"/>
      <c r="AJ47" s="112" t="n"/>
      <c r="AK47" s="112" t="n"/>
      <c r="AL47" s="112" t="n"/>
      <c r="AM47" s="112" t="n"/>
      <c r="AN47" s="112" t="n"/>
      <c r="AO47" s="112" t="n"/>
      <c r="AP47" s="112" t="n"/>
      <c r="AQ47" s="112" t="n"/>
      <c r="AR47" s="112" t="n"/>
      <c r="AS47" s="112" t="n"/>
      <c r="AT47" s="112" t="n"/>
      <c r="AU47" s="112" t="n"/>
      <c r="AV47" s="112" t="n"/>
      <c r="AW47" s="112" t="n"/>
      <c r="AX47" s="112" t="n"/>
      <c r="AY47" s="112" t="n"/>
      <c r="AZ47" s="112" t="n"/>
      <c r="BA47" s="112" t="n"/>
      <c r="BB47" s="112" t="n"/>
      <c r="BC47" s="112" t="n"/>
      <c r="BD47" s="9" t="n">
        <v>170</v>
      </c>
      <c r="BE47" s="9" t="n">
        <v>67</v>
      </c>
      <c r="BF47" s="9" t="n">
        <v>-5</v>
      </c>
      <c r="BG47" s="9" t="n">
        <v>-6</v>
      </c>
      <c r="BH47" s="9" t="n">
        <v>0</v>
      </c>
      <c r="BI47" s="9" t="n">
        <v>-1</v>
      </c>
      <c r="BJ47" s="9" t="n">
        <v>-1</v>
      </c>
      <c r="BK47" s="9" t="n">
        <v>-1</v>
      </c>
      <c r="BL47" s="9" t="n">
        <v>0</v>
      </c>
      <c r="BM47" s="9" t="n">
        <v>0</v>
      </c>
      <c r="BN47" s="9" t="n">
        <v>13</v>
      </c>
      <c r="BO47" s="9" t="n">
        <v>13</v>
      </c>
      <c r="BP47" s="190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9" t="n"/>
      <c r="CC47" s="9" t="n"/>
      <c r="CD47" s="9" t="n"/>
      <c r="CE47" s="9" t="n"/>
      <c r="CF47" s="246">
        <f>CD47+IF(NOT(ISBLANK(OFFSET(CF47,0,6))),N(OFFSET(CF47,0,6)),N(OFFSET(CF47,0,7)))-CE47</f>
        <v/>
      </c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W47" s="6" t="n"/>
      <c r="CY47" s="6" t="n"/>
      <c r="DM47" s="360" t="n"/>
      <c r="DP47" s="360" t="n"/>
      <c r="EE47" s="57" t="n"/>
      <c r="EF47" s="6" t="n"/>
      <c r="EJ47" s="6" t="n"/>
      <c r="EK47" s="6" t="n"/>
      <c r="EL47" s="57" t="n"/>
      <c r="EM47" s="57" t="n"/>
      <c r="EO47" s="57" t="n"/>
      <c r="EP47" s="57" t="n"/>
      <c r="EQ47" s="57" t="n"/>
      <c r="ET47" s="57" t="n"/>
      <c r="EU47" s="57" t="n"/>
      <c r="EX47" s="289" t="n"/>
      <c r="FF47" s="289" t="n"/>
      <c r="FR47" s="53" t="n"/>
    </row>
    <row r="48" hidden="1" ht="18.75" customHeight="1">
      <c r="A48" s="33" t="inlineStr">
        <is>
          <t>PIN NATAL/25</t>
        </is>
      </c>
      <c r="B48" s="9" t="n">
        <v>10</v>
      </c>
      <c r="C48" s="668" t="n">
        <v>120</v>
      </c>
      <c r="D48" s="342" t="n"/>
      <c r="F48" s="112" t="n"/>
      <c r="G48" s="112" t="n"/>
      <c r="H48" s="112" t="n"/>
      <c r="I48" s="112" t="n"/>
      <c r="J48" s="112" t="n"/>
      <c r="K48" s="112" t="n"/>
      <c r="L48" s="112" t="n"/>
      <c r="M48" s="112" t="n"/>
      <c r="N48" s="112" t="n"/>
      <c r="O48" s="112" t="n"/>
      <c r="P48" s="112" t="n"/>
      <c r="Q48" s="112" t="n"/>
      <c r="R48" s="112" t="n"/>
      <c r="S48" s="112" t="n"/>
      <c r="T48" s="112" t="n"/>
      <c r="U48" s="112" t="n"/>
      <c r="V48" s="112" t="n"/>
      <c r="W48" s="112" t="n"/>
      <c r="X48" s="112" t="n"/>
      <c r="Y48" s="112" t="n"/>
      <c r="Z48" s="112" t="n"/>
      <c r="AA48" s="112" t="n"/>
      <c r="AB48" s="112" t="n"/>
      <c r="AC48" s="112" t="n"/>
      <c r="AD48" s="112" t="n"/>
      <c r="AE48" s="112" t="n"/>
      <c r="AF48" s="112" t="n"/>
      <c r="AG48" s="112" t="n"/>
      <c r="AH48" s="112" t="n"/>
      <c r="AI48" s="112" t="n"/>
      <c r="AJ48" s="112" t="n"/>
      <c r="AK48" s="112" t="n"/>
      <c r="AL48" s="112" t="n"/>
      <c r="AM48" s="112" t="n"/>
      <c r="AN48" s="112" t="n"/>
      <c r="AO48" s="112" t="n"/>
      <c r="AP48" s="112" t="n"/>
      <c r="AQ48" s="112" t="n"/>
      <c r="AR48" s="112" t="n"/>
      <c r="AS48" s="112" t="n"/>
      <c r="AT48" s="112" t="n"/>
      <c r="AU48" s="112" t="n"/>
      <c r="AV48" s="112" t="n"/>
      <c r="AW48" s="112" t="n"/>
      <c r="AX48" s="112" t="n"/>
      <c r="AY48" s="112" t="n"/>
      <c r="AZ48" s="112" t="n"/>
      <c r="BA48" s="112" t="n"/>
      <c r="BB48" s="112" t="n"/>
      <c r="BC48" s="112" t="n"/>
      <c r="BD48" s="9" t="n"/>
      <c r="BE48" s="9" t="n"/>
      <c r="BF48" s="9" t="n"/>
      <c r="BG48" s="9" t="n"/>
      <c r="BH48" s="9" t="n">
        <v>0</v>
      </c>
      <c r="BI48" s="9" t="n">
        <v>0</v>
      </c>
      <c r="BJ48" s="9" t="n">
        <v>0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>
        <v>0</v>
      </c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9" t="n"/>
      <c r="CD48" s="9" t="n"/>
      <c r="CE48" s="9" t="n"/>
      <c r="CF48" s="246">
        <f>CD48+IF(NOT(ISBLANK(OFFSET(CF48,0,6))),N(OFFSET(CF48,0,6)),N(OFFSET(CF48,0,7)))-CE48</f>
        <v/>
      </c>
      <c r="CK48" s="6" t="n"/>
      <c r="CL48" s="6" t="n"/>
      <c r="CM48" s="6" t="n"/>
      <c r="CN48" s="6" t="n"/>
      <c r="CO48" s="6" t="n"/>
      <c r="CQ48" s="6" t="n"/>
      <c r="CR48" s="6" t="n"/>
      <c r="CS48" s="6" t="n"/>
      <c r="CT48" s="6" t="n"/>
      <c r="CU48" s="6" t="n"/>
      <c r="CV48" s="6" t="n"/>
      <c r="CW48" s="6" t="n"/>
      <c r="CY48" s="6" t="n"/>
      <c r="DM48" s="360" t="n"/>
      <c r="DP48" s="360" t="n"/>
      <c r="EE48" s="57" t="n"/>
      <c r="EF48" s="6" t="n"/>
      <c r="EJ48" s="6" t="n"/>
      <c r="EK48" s="6" t="n"/>
      <c r="EL48" s="57" t="n"/>
      <c r="EM48" s="57" t="n"/>
      <c r="EO48" s="57" t="n"/>
      <c r="EP48" s="57" t="n"/>
      <c r="EQ48" s="57" t="n"/>
      <c r="ET48" s="57" t="n"/>
      <c r="EU48" s="57" t="n"/>
      <c r="EX48" s="289" t="n"/>
      <c r="FF48" s="289" t="n"/>
      <c r="FR48" s="53" t="n"/>
    </row>
    <row r="49" ht="18.75" customHeight="1">
      <c r="F49" s="112" t="n"/>
      <c r="G49" s="112" t="n"/>
      <c r="H49" s="112" t="n"/>
      <c r="I49" s="112" t="n"/>
      <c r="J49" s="112" t="n"/>
      <c r="K49" s="112" t="n"/>
      <c r="L49" s="112" t="n"/>
      <c r="M49" s="112" t="n"/>
      <c r="N49" s="112" t="n"/>
      <c r="O49" s="112" t="n"/>
      <c r="P49" s="112" t="n"/>
      <c r="Q49" s="112" t="n"/>
      <c r="R49" s="112" t="n"/>
      <c r="S49" s="112" t="n"/>
      <c r="T49" s="112" t="n"/>
      <c r="U49" s="112" t="n"/>
      <c r="V49" s="112" t="n"/>
      <c r="W49" s="112" t="n"/>
      <c r="X49" s="112" t="n"/>
      <c r="Y49" s="112" t="n"/>
      <c r="Z49" s="112" t="n"/>
      <c r="AA49" s="112" t="n"/>
      <c r="AB49" s="112" t="n"/>
      <c r="AC49" s="112" t="n"/>
      <c r="AD49" s="112" t="n"/>
      <c r="AE49" s="112" t="n"/>
      <c r="AF49" s="112" t="n"/>
      <c r="AG49" s="112" t="n"/>
      <c r="AH49" s="112" t="n"/>
      <c r="AI49" s="112" t="n"/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  <c r="AW49" s="112" t="n"/>
      <c r="AX49" s="112" t="n"/>
      <c r="AY49" s="112" t="n"/>
      <c r="AZ49" s="112" t="n"/>
      <c r="BA49" s="112" t="n"/>
      <c r="BB49" s="112" t="n"/>
      <c r="BC49" s="112" t="n"/>
      <c r="BD49" s="112" t="n"/>
      <c r="BE49" s="112" t="n"/>
      <c r="CF49" s="112" t="n"/>
      <c r="CK49" s="6" t="n"/>
      <c r="CL49" s="6" t="n"/>
      <c r="CM49" s="6" t="n"/>
      <c r="CN49" s="6" t="n"/>
      <c r="CO49" s="6" t="n"/>
      <c r="CQ49" s="6" t="n"/>
      <c r="CR49" s="6" t="n"/>
      <c r="CS49" s="6" t="n"/>
      <c r="CT49" s="6" t="n"/>
      <c r="CU49" s="6" t="n"/>
      <c r="CV49" s="6" t="n"/>
      <c r="CW49" s="6" t="n"/>
      <c r="CY49" s="6" t="n"/>
      <c r="DM49" s="360" t="n"/>
      <c r="DP49" s="360" t="n"/>
      <c r="EE49" s="57" t="n"/>
      <c r="EF49" s="6" t="n"/>
      <c r="EJ49" s="6" t="n"/>
      <c r="EK49" s="6" t="n"/>
      <c r="EL49" s="57" t="n"/>
      <c r="EM49" s="57" t="n"/>
      <c r="EO49" s="57" t="n"/>
      <c r="EP49" s="57" t="n"/>
      <c r="EQ49" s="57" t="n"/>
      <c r="ET49" s="57" t="n"/>
      <c r="EU49" s="57" t="n"/>
      <c r="EX49" s="289" t="n"/>
      <c r="FF49" s="289" t="n"/>
      <c r="FR49" s="53" t="n"/>
    </row>
    <row r="50" ht="18.75" customHeight="1">
      <c r="F50" s="112" t="n"/>
      <c r="G50" s="112" t="n"/>
      <c r="H50" s="112" t="n"/>
      <c r="I50" s="112" t="n"/>
      <c r="J50" s="112" t="n"/>
      <c r="K50" s="112" t="n"/>
      <c r="L50" s="112" t="n"/>
      <c r="M50" s="112" t="n"/>
      <c r="N50" s="112" t="n"/>
      <c r="O50" s="112" t="n"/>
      <c r="P50" s="112" t="n"/>
      <c r="Q50" s="112" t="n"/>
      <c r="R50" s="112" t="n"/>
      <c r="S50" s="112" t="n"/>
      <c r="T50" s="112" t="n"/>
      <c r="U50" s="112" t="n"/>
      <c r="V50" s="112" t="n"/>
      <c r="W50" s="112" t="n"/>
      <c r="X50" s="112" t="n"/>
      <c r="Y50" s="112" t="n"/>
      <c r="Z50" s="112" t="n"/>
      <c r="AA50" s="112" t="n"/>
      <c r="AB50" s="112" t="n"/>
      <c r="AC50" s="112" t="n"/>
      <c r="AD50" s="112" t="n"/>
      <c r="AE50" s="112" t="n"/>
      <c r="AF50" s="112" t="n"/>
      <c r="AG50" s="112" t="n"/>
      <c r="AH50" s="112" t="n"/>
      <c r="AI50" s="112" t="n"/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  <c r="AW50" s="112" t="n"/>
      <c r="AX50" s="112" t="n"/>
      <c r="AY50" s="112" t="n"/>
      <c r="AZ50" s="112" t="n"/>
      <c r="BA50" s="112" t="n"/>
      <c r="BB50" s="112" t="n"/>
      <c r="BC50" s="112" t="n"/>
      <c r="BD50" s="112" t="n"/>
      <c r="BE50" s="112" t="n"/>
      <c r="BF50" s="112" t="n"/>
      <c r="BG50" s="112" t="n"/>
      <c r="BH50" s="112" t="n"/>
      <c r="BI50" s="112" t="n"/>
      <c r="BJ50" s="112" t="n"/>
      <c r="BK50" s="112" t="n"/>
      <c r="BL50" s="112" t="n"/>
      <c r="BM50" s="112" t="n"/>
      <c r="BN50" s="112" t="n"/>
      <c r="BO50" s="112" t="n"/>
      <c r="BP50" s="112" t="n"/>
      <c r="BQ50" s="112" t="n"/>
      <c r="BR50" s="112" t="n"/>
      <c r="BS50" s="112" t="n"/>
      <c r="BT50" s="112" t="n"/>
      <c r="BU50" s="112" t="n"/>
      <c r="BV50" s="112" t="n"/>
      <c r="BW50" s="112" t="n"/>
      <c r="BX50" s="112" t="n"/>
      <c r="BY50" s="112" t="n"/>
      <c r="BZ50" s="112" t="n"/>
      <c r="CA50" s="112" t="n"/>
      <c r="CB50" s="112" t="n"/>
      <c r="CC50" s="112" t="n"/>
      <c r="CD50" s="112" t="n"/>
      <c r="CE50" s="112" t="n"/>
      <c r="CF50" s="112" t="n"/>
      <c r="CK50" s="6" t="n"/>
      <c r="CL50" s="6" t="n"/>
      <c r="CM50" s="6" t="n"/>
      <c r="CN50" s="6" t="n"/>
      <c r="CO50" s="6" t="n"/>
      <c r="CQ50" s="6" t="n"/>
      <c r="CR50" s="6" t="n"/>
      <c r="CS50" s="6" t="n"/>
      <c r="CT50" s="6" t="n"/>
      <c r="CU50" s="6" t="n"/>
      <c r="CV50" s="6" t="n"/>
      <c r="CW50" s="6" t="n"/>
      <c r="CY50" s="6" t="n"/>
      <c r="DM50" s="360" t="n"/>
      <c r="DP50" s="360" t="n"/>
      <c r="EE50" s="57" t="n"/>
      <c r="EF50" s="6" t="n"/>
      <c r="EJ50" s="6" t="n"/>
      <c r="EK50" s="6" t="n"/>
      <c r="EL50" s="57" t="n"/>
      <c r="EM50" s="57" t="n"/>
      <c r="EO50" s="57" t="n"/>
      <c r="EP50" s="57" t="n"/>
      <c r="EQ50" s="57" t="n"/>
      <c r="ET50" s="57" t="n"/>
      <c r="EU50" s="57" t="n"/>
      <c r="EX50" s="289" t="n"/>
      <c r="FF50" s="289" t="n"/>
      <c r="FR50" s="53" t="n"/>
    </row>
    <row r="51" ht="18.75" customHeight="1">
      <c r="A51" s="320" t="inlineStr">
        <is>
          <t>SOBRAS DATAS COMEMORATIVAS</t>
        </is>
      </c>
      <c r="B51" s="320" t="n"/>
      <c r="C51" s="320" t="n"/>
      <c r="E51" s="53" t="n"/>
      <c r="F51" s="112" t="n"/>
      <c r="G51" s="112" t="n"/>
      <c r="H51" s="112" t="n"/>
      <c r="I51" s="112" t="n"/>
      <c r="J51" s="112" t="n"/>
      <c r="K51" s="112" t="n"/>
      <c r="L51" s="112" t="n"/>
      <c r="M51" s="112" t="n"/>
      <c r="N51" s="112" t="n"/>
      <c r="O51" s="112" t="n"/>
      <c r="P51" s="112" t="n"/>
      <c r="Q51" s="112" t="n"/>
      <c r="R51" s="112" t="n"/>
      <c r="S51" s="112" t="n"/>
      <c r="T51" s="112" t="n"/>
      <c r="U51" s="112" t="n"/>
      <c r="V51" s="112" t="n"/>
      <c r="W51" s="112" t="n"/>
      <c r="X51" s="112" t="n"/>
      <c r="Y51" s="112" t="n"/>
      <c r="Z51" s="112" t="n"/>
      <c r="AA51" s="112" t="n"/>
      <c r="AB51" s="112" t="n"/>
      <c r="AC51" s="112" t="n"/>
      <c r="AD51" s="112" t="n"/>
      <c r="AE51" s="112" t="n"/>
      <c r="AF51" s="112" t="n"/>
      <c r="AG51" s="112" t="n"/>
      <c r="AH51" s="112" t="n"/>
      <c r="AI51" s="112" t="n"/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  <c r="AW51" s="112" t="n"/>
      <c r="AX51" s="112" t="n"/>
      <c r="AY51" s="112" t="n"/>
      <c r="AZ51" s="112" t="n"/>
      <c r="BA51" s="112" t="n"/>
      <c r="BB51" s="112" t="n"/>
      <c r="BC51" s="112" t="n"/>
      <c r="BD51" s="112" t="n"/>
      <c r="BE51" s="112" t="n"/>
      <c r="BF51" s="112" t="n"/>
      <c r="BG51" s="112" t="n"/>
      <c r="BH51" s="112" t="n"/>
      <c r="BI51" s="112" t="n"/>
      <c r="BJ51" s="112" t="n"/>
      <c r="BK51" s="112" t="n"/>
      <c r="BL51" s="112" t="n"/>
      <c r="BM51" s="112" t="n"/>
      <c r="BN51" s="112" t="n"/>
      <c r="BO51" s="112" t="n"/>
      <c r="BP51" s="112" t="n"/>
      <c r="BQ51" s="112" t="n"/>
      <c r="BR51" s="112" t="n"/>
      <c r="BS51" s="112" t="n"/>
      <c r="BT51" s="112" t="n"/>
      <c r="BU51" s="112" t="n"/>
      <c r="BV51" s="112" t="n"/>
      <c r="BW51" s="112" t="n"/>
      <c r="BX51" s="112" t="n"/>
      <c r="BY51" s="112" t="n"/>
      <c r="BZ51" s="112" t="n"/>
      <c r="CA51" s="112" t="n"/>
      <c r="CB51" s="112" t="n"/>
      <c r="CC51" s="112" t="n"/>
      <c r="CD51" s="112" t="n"/>
      <c r="CE51" s="112" t="n"/>
      <c r="CF51" s="112" t="n"/>
      <c r="CG51" s="53" t="n"/>
      <c r="CK51" s="6" t="n"/>
      <c r="CL51" s="6" t="n"/>
      <c r="CM51" s="6" t="n"/>
      <c r="CN51" s="6" t="n"/>
      <c r="CO51" s="6" t="n"/>
      <c r="CQ51" s="6" t="n"/>
      <c r="CR51" s="6" t="n"/>
      <c r="CS51" s="6" t="n"/>
      <c r="CT51" s="6" t="n"/>
      <c r="CU51" s="6" t="n"/>
      <c r="CV51" s="6" t="n"/>
      <c r="CW51" s="6" t="n"/>
      <c r="CY51" s="6" t="n"/>
      <c r="DM51" s="360" t="n"/>
      <c r="DP51" s="360" t="n"/>
      <c r="EA51" s="57" t="n"/>
      <c r="EB51" s="57" t="n"/>
      <c r="EC51" s="57" t="n"/>
      <c r="ED51" s="57" t="n"/>
      <c r="EE51" s="61" t="n"/>
      <c r="EF51" s="360" t="n"/>
      <c r="EG51" s="57" t="n"/>
      <c r="EH51" s="57" t="n"/>
      <c r="EI51" s="57" t="n"/>
      <c r="EJ51" s="360" t="n"/>
      <c r="EK51" s="6" t="n"/>
      <c r="EL51" s="61" t="n"/>
      <c r="EM51" s="61" t="n"/>
      <c r="EO51" s="61" t="n"/>
      <c r="EP51" s="61" t="n"/>
      <c r="EQ51" s="61" t="n"/>
      <c r="ET51" s="61" t="n"/>
      <c r="EU51" s="61" t="n"/>
      <c r="EX51" s="289" t="n"/>
      <c r="FF51" s="289" t="n"/>
      <c r="FR51" s="6" t="n"/>
    </row>
    <row r="52">
      <c r="A52" s="146" t="inlineStr">
        <is>
          <t>ITENS</t>
        </is>
      </c>
      <c r="B52" s="146" t="n"/>
      <c r="C52" s="146" t="inlineStr">
        <is>
          <t>ESTOQUE</t>
        </is>
      </c>
      <c r="E52" s="53" t="n"/>
      <c r="F52" s="53" t="n"/>
      <c r="G52" s="53" t="n"/>
      <c r="H52" s="53" t="n"/>
      <c r="I52" s="53" t="n"/>
      <c r="J52" s="53" t="n"/>
      <c r="K52" s="53" t="n"/>
      <c r="L52" s="53" t="n"/>
      <c r="M52" s="53" t="n"/>
      <c r="N52" s="53" t="n"/>
      <c r="O52" s="53" t="n"/>
      <c r="P52" s="53" t="n"/>
      <c r="Q52" s="53" t="n"/>
      <c r="R52" s="53" t="n"/>
      <c r="S52" s="53" t="n"/>
      <c r="T52" s="53" t="n"/>
      <c r="U52" s="53" t="n"/>
      <c r="V52" s="53" t="n"/>
      <c r="W52" s="53" t="n"/>
      <c r="X52" s="53" t="n"/>
      <c r="Y52" s="53" t="n"/>
      <c r="Z52" s="53" t="n"/>
      <c r="AA52" s="53" t="n"/>
      <c r="AB52" s="53" t="n"/>
      <c r="AC52" s="53" t="n"/>
      <c r="AD52" s="53" t="n"/>
      <c r="AE52" s="53" t="n"/>
      <c r="AF52" s="53" t="n"/>
      <c r="AG52" s="53" t="n"/>
      <c r="AH52" s="53" t="n"/>
      <c r="AI52" s="53" t="n"/>
      <c r="AJ52" s="53" t="n"/>
      <c r="AK52" s="53" t="n"/>
      <c r="AL52" s="53" t="n"/>
      <c r="AM52" s="53" t="n"/>
      <c r="AN52" s="53" t="n"/>
      <c r="AO52" s="53" t="n"/>
      <c r="AP52" s="53" t="n"/>
      <c r="AQ52" s="53" t="n"/>
      <c r="AR52" s="53" t="n"/>
      <c r="AS52" s="53" t="n"/>
      <c r="AT52" s="53" t="n"/>
      <c r="AU52" s="53" t="n"/>
      <c r="AV52" s="53" t="n"/>
      <c r="AW52" s="53" t="n"/>
      <c r="AX52" s="53" t="n"/>
      <c r="AY52" s="53" t="n"/>
      <c r="AZ52" s="53" t="n"/>
      <c r="BA52" s="53" t="n"/>
      <c r="BB52" s="53" t="n"/>
      <c r="BC52" s="53" t="n"/>
      <c r="BD52" s="53" t="n"/>
      <c r="BE52" s="53" t="n"/>
      <c r="BF52" s="112" t="n"/>
      <c r="BG52" s="112" t="n"/>
      <c r="BH52" s="112" t="n"/>
      <c r="BI52" s="112" t="n"/>
      <c r="BJ52" s="112" t="n"/>
      <c r="BK52" s="112" t="n"/>
      <c r="BL52" s="112" t="n"/>
      <c r="BM52" s="112" t="n"/>
      <c r="BN52" s="112" t="n"/>
      <c r="BO52" s="112" t="n"/>
      <c r="BP52" s="112" t="n"/>
      <c r="BQ52" s="112" t="n"/>
      <c r="BR52" s="112" t="n"/>
      <c r="BS52" s="112" t="n"/>
      <c r="BT52" s="112" t="n"/>
      <c r="BU52" s="112" t="n"/>
      <c r="BV52" s="112" t="n"/>
      <c r="BW52" s="112" t="n"/>
      <c r="BX52" s="112" t="n"/>
      <c r="BY52" s="112" t="n"/>
      <c r="BZ52" s="112" t="n"/>
      <c r="CA52" s="112" t="n"/>
      <c r="CB52" s="112" t="n"/>
      <c r="CC52" s="112" t="n"/>
      <c r="CD52" s="112" t="n"/>
      <c r="CE52" s="112" t="n"/>
      <c r="CF52" s="53" t="n"/>
      <c r="CG52" s="53" t="n"/>
      <c r="CT52" s="6" t="n"/>
      <c r="CU52" s="6" t="n"/>
      <c r="CX52" s="57" t="n"/>
      <c r="CY52" s="6" t="n"/>
      <c r="CZ52" s="57" t="n"/>
      <c r="DA52" s="57" t="n"/>
      <c r="DB52" s="57" t="n"/>
      <c r="DC52" s="57" t="n"/>
      <c r="DD52" s="57" t="n"/>
      <c r="DE52" s="57" t="n"/>
      <c r="DF52" s="57" t="n"/>
      <c r="DG52" s="57" t="n"/>
      <c r="DH52" s="57" t="n"/>
      <c r="DI52" s="57" t="n"/>
      <c r="DJ52" s="57" t="n"/>
      <c r="DK52" s="57" t="n"/>
      <c r="DL52" s="57" t="n"/>
      <c r="DM52" s="53" t="n"/>
      <c r="DN52" s="57" t="n"/>
      <c r="DO52" s="57" t="n"/>
      <c r="DP52" s="53" t="n"/>
      <c r="DQ52" s="57" t="n"/>
      <c r="DR52" s="57" t="n"/>
      <c r="DS52" s="57" t="n"/>
      <c r="DT52" s="57" t="n"/>
      <c r="DU52" s="57" t="n"/>
      <c r="DV52" s="57" t="n"/>
      <c r="DW52" s="57" t="n"/>
      <c r="DX52" s="57" t="n"/>
      <c r="DY52" s="57" t="n"/>
      <c r="DZ52" s="57" t="n"/>
      <c r="EA52" s="61" t="n"/>
      <c r="EB52" s="61" t="n"/>
      <c r="EC52" s="61" t="n"/>
      <c r="ED52" s="61" t="n"/>
      <c r="EE52" s="61" t="n"/>
      <c r="EF52" s="360" t="n"/>
      <c r="EG52" s="61" t="n"/>
      <c r="EH52" s="61" t="n"/>
      <c r="EI52" s="61" t="n"/>
      <c r="EJ52" s="360" t="n"/>
      <c r="EK52" s="360" t="n"/>
      <c r="EL52" s="61" t="n"/>
      <c r="EM52" s="61" t="n"/>
      <c r="EO52" s="61" t="n"/>
      <c r="EP52" s="61" t="n"/>
      <c r="EQ52" s="61" t="n"/>
      <c r="ET52" s="61" t="n"/>
      <c r="EU52" s="61" t="n"/>
      <c r="EX52" s="289" t="n"/>
      <c r="FF52" s="289" t="n"/>
      <c r="FR52" s="6" t="n"/>
    </row>
    <row r="53">
      <c r="A53" s="361" t="inlineStr">
        <is>
          <t>OVERBAG P PAIS/22</t>
        </is>
      </c>
      <c r="B53" s="178" t="n"/>
      <c r="C53" s="115" t="n">
        <v>100</v>
      </c>
      <c r="BF53" s="53" t="n"/>
      <c r="BG53" s="53" t="n"/>
      <c r="BH53" s="53" t="n"/>
      <c r="BI53" s="53" t="n"/>
      <c r="BJ53" s="53" t="n"/>
      <c r="BK53" s="53" t="n"/>
      <c r="BL53" s="53" t="n"/>
      <c r="BM53" s="53" t="n"/>
      <c r="BN53" s="53" t="n"/>
      <c r="BO53" s="53" t="n"/>
      <c r="BP53" s="53" t="n"/>
      <c r="BQ53" s="53" t="n"/>
      <c r="BR53" s="53" t="n"/>
      <c r="BS53" s="53" t="n"/>
      <c r="BT53" s="53" t="n"/>
      <c r="BU53" s="53" t="n"/>
      <c r="BV53" s="53" t="n"/>
      <c r="BW53" s="53" t="n"/>
      <c r="BX53" s="53" t="n"/>
      <c r="BY53" s="53" t="n"/>
      <c r="BZ53" s="53" t="n"/>
      <c r="CA53" s="53" t="n"/>
      <c r="CB53" s="53" t="n"/>
      <c r="CC53" s="53" t="n"/>
      <c r="CD53" s="53" t="n"/>
      <c r="CE53" s="53" t="n"/>
      <c r="CK53" s="6" t="n"/>
      <c r="CL53" s="6" t="n"/>
      <c r="CM53" s="6" t="n"/>
      <c r="CN53" s="6" t="n"/>
      <c r="CO53" s="6" t="n"/>
      <c r="CQ53" s="6" t="n"/>
      <c r="CR53" s="6" t="n"/>
      <c r="CS53" s="6" t="n"/>
      <c r="CT53" s="6" t="n"/>
      <c r="CU53" s="6" t="n"/>
      <c r="CV53" s="6" t="n"/>
      <c r="CW53" s="6" t="n"/>
      <c r="CX53" s="61" t="n"/>
      <c r="CY53" s="6" t="n"/>
      <c r="CZ53" s="61" t="n"/>
      <c r="DA53" s="61" t="n"/>
      <c r="DB53" s="61" t="n"/>
      <c r="DC53" s="61" t="n"/>
      <c r="DD53" s="61" t="n"/>
      <c r="DE53" s="61" t="n"/>
      <c r="DF53" s="61" t="n"/>
      <c r="DG53" s="61" t="n"/>
      <c r="DH53" s="61" t="n"/>
      <c r="DI53" s="61" t="n"/>
      <c r="DJ53" s="61" t="n"/>
      <c r="DK53" s="61" t="n"/>
      <c r="DL53" s="61" t="n"/>
      <c r="DM53" s="53" t="n"/>
      <c r="DN53" s="61" t="n"/>
      <c r="DO53" s="61" t="n"/>
      <c r="DP53" s="53" t="n"/>
      <c r="DQ53" s="61" t="n"/>
      <c r="DR53" s="61" t="n"/>
      <c r="DS53" s="61" t="n"/>
      <c r="DT53" s="61" t="n"/>
      <c r="DU53" s="61" t="n"/>
      <c r="DV53" s="61" t="n"/>
      <c r="DW53" s="61" t="n"/>
      <c r="DX53" s="61" t="n"/>
      <c r="DY53" s="61" t="n"/>
      <c r="DZ53" s="61" t="n"/>
      <c r="EA53" s="61" t="n"/>
      <c r="EB53" s="61" t="n"/>
      <c r="EC53" s="61" t="n"/>
      <c r="ED53" s="61" t="n"/>
      <c r="EF53" s="53" t="n"/>
      <c r="EG53" s="61" t="n"/>
      <c r="EH53" s="61" t="n"/>
      <c r="EI53" s="61" t="n"/>
      <c r="EJ53" s="53" t="n"/>
      <c r="EK53" s="360" t="n"/>
      <c r="EX53" s="289" t="n"/>
      <c r="FF53" s="289" t="n"/>
      <c r="FR53" s="58" t="n"/>
      <c r="GN53" s="49" t="n"/>
      <c r="GT53" s="49" t="n"/>
      <c r="HC53" s="49" t="n"/>
      <c r="HJ53" s="57" t="n"/>
      <c r="HU53" s="57" t="n"/>
      <c r="HV53" s="166" t="n"/>
      <c r="HW53" s="60" t="n"/>
      <c r="HX53" s="167" t="n"/>
      <c r="HY53" s="167" t="n"/>
      <c r="HZ53" s="167" t="n"/>
      <c r="IA53" s="167" t="n"/>
      <c r="IB53" s="167" t="n"/>
      <c r="IC53" s="167" t="n"/>
      <c r="ID53" s="167" t="n"/>
      <c r="IE53" s="167" t="n"/>
      <c r="IF53" s="168" t="n"/>
      <c r="IG53" s="167" t="n"/>
      <c r="IH53" s="167" t="n"/>
      <c r="II53" s="167" t="n"/>
      <c r="IJ53" s="167" t="n"/>
      <c r="IK53" s="167" t="n"/>
      <c r="IL53" s="167" t="n"/>
      <c r="IM53" s="167" t="n"/>
      <c r="IN53" s="167" t="n"/>
      <c r="IO53" s="167" t="n"/>
      <c r="IP53" s="167" t="n"/>
      <c r="IQ53" s="167" t="n"/>
      <c r="IR53" s="167" t="n"/>
      <c r="IS53" s="167" t="n"/>
      <c r="IT53" s="167" t="n"/>
      <c r="IU53" s="167" t="n"/>
      <c r="IV53" s="167" t="n"/>
      <c r="IW53" s="167" t="n"/>
      <c r="IX53" s="167" t="n"/>
      <c r="IY53" s="167" t="n"/>
      <c r="IZ53" s="167" t="n"/>
      <c r="JA53" s="167" t="n"/>
      <c r="JB53" s="167" t="n"/>
      <c r="JC53" s="167" t="n"/>
      <c r="JD53" s="167" t="n"/>
      <c r="JE53" s="167" t="n"/>
      <c r="JF53" s="167" t="n"/>
      <c r="JG53" s="167" t="n"/>
      <c r="JH53" s="167" t="n"/>
      <c r="JI53" s="167" t="n"/>
      <c r="JJ53" s="167" t="n"/>
      <c r="JK53" s="167" t="n"/>
      <c r="JL53" s="167" t="n"/>
      <c r="JM53" s="167" t="n"/>
      <c r="JN53" s="167" t="n"/>
      <c r="JO53" s="167" t="n"/>
      <c r="JP53" s="167" t="n"/>
      <c r="JQ53" s="167" t="n"/>
      <c r="JR53" s="167" t="n"/>
      <c r="JS53" s="167" t="n"/>
      <c r="JT53" s="167" t="n"/>
      <c r="JU53" s="167" t="n"/>
      <c r="JV53" s="167" t="n"/>
      <c r="JW53" s="167" t="n"/>
      <c r="JX53" s="167" t="n"/>
      <c r="JY53" s="167" t="n"/>
      <c r="JZ53" s="167" t="n"/>
      <c r="KA53" s="167" t="n"/>
      <c r="KB53" s="167" t="n"/>
      <c r="KC53" s="167" t="n"/>
      <c r="KD53" s="167" t="n"/>
      <c r="KE53" s="167" t="n"/>
      <c r="KF53" s="167" t="n"/>
      <c r="KG53" s="167" t="n"/>
      <c r="KH53" s="167" t="n"/>
      <c r="KI53" s="167" t="n"/>
      <c r="KJ53" s="167" t="n"/>
      <c r="KK53" s="167" t="n"/>
      <c r="KL53" s="167" t="n"/>
      <c r="KM53" s="167" t="n"/>
      <c r="KN53" s="167" t="n"/>
      <c r="KO53" s="167" t="n"/>
      <c r="KP53" s="167" t="n"/>
      <c r="KQ53" s="167" t="n"/>
      <c r="KR53" s="167" t="n"/>
      <c r="KS53" s="167" t="n"/>
      <c r="KT53" s="167" t="n"/>
      <c r="KU53" s="167" t="n"/>
      <c r="KV53" s="167" t="n"/>
      <c r="KW53" s="167" t="n"/>
      <c r="KX53" s="167" t="n"/>
      <c r="KY53" s="167" t="n"/>
    </row>
    <row r="54">
      <c r="A54" s="361" t="inlineStr">
        <is>
          <t>OVERBAG M PAIS/22</t>
        </is>
      </c>
      <c r="B54" s="178" t="n"/>
      <c r="C54" s="115" t="n">
        <v>5</v>
      </c>
      <c r="CT54" s="6" t="n"/>
      <c r="CU54" s="6" t="n"/>
      <c r="CX54" s="61" t="n"/>
      <c r="CY54" s="6" t="n"/>
      <c r="CZ54" s="61" t="n"/>
      <c r="DA54" s="61" t="n"/>
      <c r="DB54" s="61" t="n"/>
      <c r="DC54" s="61" t="n"/>
      <c r="DD54" s="61" t="n"/>
      <c r="DE54" s="61" t="n"/>
      <c r="DF54" s="61" t="n"/>
      <c r="DG54" s="61" t="n"/>
      <c r="DH54" s="61" t="n"/>
      <c r="DI54" s="61" t="n"/>
      <c r="DJ54" s="61" t="n"/>
      <c r="DK54" s="61" t="n"/>
      <c r="DL54" s="61" t="n"/>
      <c r="DM54" s="53" t="n"/>
      <c r="DN54" s="61" t="n"/>
      <c r="DO54" s="61" t="n"/>
      <c r="DP54" s="53" t="n"/>
      <c r="DQ54" s="61" t="n"/>
      <c r="DR54" s="61" t="n"/>
      <c r="DS54" s="61" t="n"/>
      <c r="DT54" s="61" t="n"/>
      <c r="DU54" s="61" t="n"/>
      <c r="DV54" s="61" t="n"/>
      <c r="DW54" s="61" t="n"/>
      <c r="DX54" s="61" t="n"/>
      <c r="DY54" s="61" t="n"/>
      <c r="DZ54" s="61" t="n"/>
      <c r="EF54" s="53" t="n"/>
      <c r="EJ54" s="53" t="n"/>
      <c r="EK54" s="53" t="n"/>
      <c r="EN54" s="51" t="n"/>
      <c r="EX54" s="289" t="n"/>
      <c r="FC54" s="57" t="n"/>
      <c r="FF54" s="289" t="n"/>
      <c r="FR54" s="58" t="n"/>
      <c r="GN54" s="49" t="n"/>
      <c r="GT54" s="49" t="n"/>
      <c r="HC54" s="49" t="n"/>
      <c r="HJ54" s="61" t="n"/>
      <c r="HU54" s="57" t="n"/>
      <c r="HV54" s="166" t="n"/>
      <c r="HW54" s="60" t="n"/>
      <c r="HX54" s="167" t="n"/>
      <c r="HY54" s="167" t="n"/>
      <c r="HZ54" s="167" t="n"/>
      <c r="IA54" s="167" t="n"/>
      <c r="IB54" s="167" t="n"/>
      <c r="IC54" s="167" t="n"/>
      <c r="ID54" s="167" t="n"/>
      <c r="IE54" s="167" t="n"/>
      <c r="IF54" s="168" t="n"/>
      <c r="IG54" s="167" t="n"/>
      <c r="IH54" s="167" t="n"/>
      <c r="II54" s="167" t="n"/>
      <c r="IJ54" s="167" t="n"/>
      <c r="IK54" s="167" t="n"/>
      <c r="IL54" s="167" t="n"/>
      <c r="IM54" s="167" t="n"/>
      <c r="IN54" s="167" t="n"/>
      <c r="IO54" s="167" t="n"/>
      <c r="IP54" s="167" t="n"/>
      <c r="IQ54" s="167" t="n"/>
      <c r="IR54" s="167" t="n"/>
      <c r="IS54" s="167" t="n"/>
      <c r="IT54" s="167" t="n"/>
      <c r="IU54" s="167" t="n"/>
      <c r="IV54" s="167" t="n"/>
      <c r="IW54" s="167" t="n"/>
      <c r="IX54" s="167" t="n"/>
      <c r="IY54" s="167" t="n"/>
      <c r="IZ54" s="167" t="n"/>
      <c r="JA54" s="167" t="n"/>
      <c r="JB54" s="167" t="n"/>
      <c r="JC54" s="167" t="n"/>
      <c r="JD54" s="167" t="n"/>
      <c r="JE54" s="167" t="n"/>
      <c r="JF54" s="167" t="n"/>
      <c r="JG54" s="167" t="n"/>
      <c r="JH54" s="167" t="n"/>
      <c r="JI54" s="167" t="n"/>
      <c r="JJ54" s="167" t="n"/>
      <c r="JK54" s="167" t="n"/>
      <c r="JL54" s="167" t="n"/>
      <c r="JM54" s="167" t="n"/>
      <c r="JN54" s="167" t="n"/>
      <c r="JO54" s="167" t="n"/>
      <c r="JP54" s="167" t="n"/>
      <c r="JQ54" s="167" t="n"/>
      <c r="JR54" s="167" t="n"/>
      <c r="JS54" s="167" t="n"/>
      <c r="JT54" s="167" t="n"/>
      <c r="JU54" s="167" t="n"/>
      <c r="JV54" s="167" t="n"/>
      <c r="JW54" s="167" t="n"/>
      <c r="JX54" s="167" t="n"/>
      <c r="JY54" s="167" t="n"/>
      <c r="JZ54" s="167" t="n"/>
      <c r="KA54" s="167" t="n"/>
      <c r="KB54" s="167" t="n"/>
      <c r="KC54" s="167" t="n"/>
      <c r="KD54" s="167" t="n"/>
      <c r="KE54" s="167" t="n"/>
      <c r="KF54" s="167" t="n"/>
      <c r="KG54" s="167" t="n"/>
      <c r="KH54" s="167" t="n"/>
      <c r="KI54" s="167" t="n"/>
      <c r="KJ54" s="167" t="n"/>
      <c r="KK54" s="167" t="n"/>
      <c r="KL54" s="167" t="n"/>
      <c r="KM54" s="167" t="n"/>
      <c r="KN54" s="167" t="n"/>
      <c r="KO54" s="167" t="n"/>
      <c r="KP54" s="167" t="n"/>
      <c r="KQ54" s="167" t="n"/>
      <c r="KR54" s="167" t="n"/>
      <c r="KS54" s="167" t="n"/>
      <c r="KT54" s="167" t="n"/>
      <c r="KU54" s="167" t="n"/>
      <c r="KV54" s="167" t="n"/>
      <c r="KW54" s="167" t="n"/>
      <c r="KX54" s="167" t="n"/>
      <c r="KY54" s="167" t="n"/>
    </row>
    <row r="55">
      <c r="A55" s="362" t="n"/>
      <c r="B55" s="362" t="n"/>
      <c r="C55" s="362" t="n"/>
      <c r="DM55" s="53" t="n"/>
      <c r="DP55" s="53" t="n"/>
      <c r="EF55" s="53" t="n"/>
      <c r="EJ55" s="53" t="n"/>
      <c r="EK55" s="53" t="n"/>
      <c r="EN55" s="53" t="n"/>
      <c r="ER55" s="57" t="n"/>
      <c r="ES55" s="57" t="n"/>
      <c r="EV55" s="57" t="n"/>
      <c r="EW55" s="57" t="n"/>
      <c r="EX55" s="289" t="n"/>
      <c r="EY55" s="57" t="n"/>
      <c r="EZ55" s="57" t="n"/>
      <c r="FA55" s="57" t="n"/>
      <c r="FB55" s="57" t="n"/>
      <c r="FC55" s="61" t="n"/>
      <c r="FD55" s="57" t="n"/>
      <c r="FE55" s="57" t="n"/>
      <c r="FF55" s="289" t="n"/>
      <c r="FG55" s="57" t="n"/>
      <c r="FH55" s="57" t="n"/>
      <c r="FI55" s="57" t="n"/>
      <c r="FJ55" s="57" t="n"/>
      <c r="FK55" s="57" t="n"/>
      <c r="FL55" s="57" t="n"/>
      <c r="FM55" s="57" t="n"/>
      <c r="FN55" s="57" t="n"/>
      <c r="FO55" s="57" t="n"/>
      <c r="FP55" s="57" t="n"/>
      <c r="FQ55" s="57" t="n"/>
      <c r="GN55" s="49" t="n"/>
      <c r="GT55" s="49" t="n"/>
      <c r="HC55" s="49" t="n"/>
      <c r="HJ55" s="61" t="n"/>
      <c r="HU55" s="57" t="n"/>
      <c r="HV55" s="166" t="n"/>
      <c r="HW55" s="60" t="n"/>
      <c r="HX55" s="167" t="n"/>
      <c r="HY55" s="167" t="n"/>
      <c r="HZ55" s="167" t="n"/>
      <c r="IA55" s="167" t="n"/>
      <c r="IB55" s="167" t="n"/>
      <c r="IC55" s="167" t="n"/>
      <c r="ID55" s="167" t="n"/>
      <c r="IE55" s="167" t="n"/>
      <c r="IF55" s="168" t="n"/>
      <c r="IG55" s="167" t="n"/>
      <c r="IH55" s="167" t="n"/>
      <c r="II55" s="167" t="n"/>
      <c r="IJ55" s="167" t="n"/>
      <c r="IK55" s="167" t="n"/>
      <c r="IL55" s="167" t="n"/>
      <c r="IM55" s="167" t="n"/>
      <c r="IN55" s="167" t="n"/>
      <c r="IO55" s="167" t="n"/>
      <c r="IP55" s="167" t="n"/>
      <c r="IQ55" s="167" t="n"/>
      <c r="IR55" s="167" t="n"/>
      <c r="IS55" s="167" t="n"/>
      <c r="IT55" s="167" t="n"/>
      <c r="IU55" s="167" t="n"/>
      <c r="IV55" s="167" t="n"/>
      <c r="IW55" s="167" t="n"/>
      <c r="IX55" s="167" t="n"/>
      <c r="IY55" s="167" t="n"/>
      <c r="IZ55" s="167" t="n"/>
      <c r="JA55" s="167" t="n"/>
      <c r="JB55" s="167" t="n"/>
      <c r="JC55" s="167" t="n"/>
      <c r="JD55" s="167" t="n"/>
      <c r="JE55" s="167" t="n"/>
      <c r="JF55" s="167" t="n"/>
      <c r="JG55" s="167" t="n"/>
      <c r="JH55" s="167" t="n"/>
      <c r="JI55" s="167" t="n"/>
      <c r="JJ55" s="167" t="n"/>
      <c r="JK55" s="167" t="n"/>
      <c r="JL55" s="167" t="n"/>
      <c r="JM55" s="167" t="n"/>
      <c r="JN55" s="167" t="n"/>
      <c r="JO55" s="167" t="n"/>
      <c r="JP55" s="167" t="n"/>
      <c r="JQ55" s="167" t="n"/>
      <c r="JR55" s="167" t="n"/>
      <c r="JS55" s="167" t="n"/>
      <c r="JT55" s="167" t="n"/>
      <c r="JU55" s="167" t="n"/>
      <c r="JV55" s="167" t="n"/>
      <c r="JW55" s="167" t="n"/>
      <c r="JX55" s="167" t="n"/>
      <c r="JY55" s="167" t="n"/>
      <c r="JZ55" s="167" t="n"/>
      <c r="KA55" s="167" t="n"/>
      <c r="KB55" s="167" t="n"/>
      <c r="KC55" s="167" t="n"/>
      <c r="KD55" s="167" t="n"/>
      <c r="KE55" s="167" t="n"/>
      <c r="KF55" s="167" t="n"/>
      <c r="KG55" s="167" t="n"/>
      <c r="KH55" s="167" t="n"/>
      <c r="KI55" s="167" t="n"/>
      <c r="KJ55" s="167" t="n"/>
      <c r="KK55" s="167" t="n"/>
      <c r="KL55" s="167" t="n"/>
      <c r="KM55" s="167" t="n"/>
      <c r="KN55" s="167" t="n"/>
      <c r="KO55" s="167" t="n"/>
      <c r="KP55" s="167" t="n"/>
      <c r="KQ55" s="167" t="n"/>
      <c r="KR55" s="167" t="n"/>
      <c r="KS55" s="167" t="n"/>
      <c r="KT55" s="167" t="n"/>
      <c r="KU55" s="167" t="n"/>
      <c r="KV55" s="167" t="n"/>
      <c r="KW55" s="167" t="n"/>
      <c r="KX55" s="167" t="n"/>
      <c r="KY55" s="167" t="n"/>
    </row>
    <row r="56">
      <c r="A56" s="215" t="inlineStr">
        <is>
          <t>TAG PAIS/24</t>
        </is>
      </c>
      <c r="B56" s="178" t="n"/>
      <c r="C56" s="115" t="n">
        <v>300</v>
      </c>
      <c r="CT56" s="6" t="n"/>
      <c r="CU56" s="6" t="n"/>
      <c r="CY56" s="6" t="n"/>
      <c r="DM56" s="53" t="n"/>
      <c r="DP56" s="53" t="n"/>
      <c r="EF56" s="53" t="n"/>
      <c r="EJ56" s="53" t="n"/>
      <c r="EK56" s="53" t="n"/>
      <c r="EN56" s="53" t="n"/>
      <c r="ER56" s="61" t="n"/>
      <c r="ES56" s="61" t="n"/>
      <c r="EV56" s="61" t="n"/>
      <c r="EW56" s="61" t="n"/>
      <c r="EX56" s="289" t="n"/>
      <c r="EY56" s="61" t="n"/>
      <c r="EZ56" s="61" t="n"/>
      <c r="FA56" s="61" t="n"/>
      <c r="FB56" s="61" t="n"/>
      <c r="FD56" s="61" t="n"/>
      <c r="FE56" s="61" t="n"/>
      <c r="FF56" s="289" t="n"/>
      <c r="FG56" s="61" t="n"/>
      <c r="FH56" s="61" t="n"/>
      <c r="FI56" s="61" t="n"/>
      <c r="FJ56" s="61" t="n"/>
      <c r="FK56" s="61" t="n"/>
      <c r="FL56" s="61" t="n"/>
      <c r="FM56" s="61" t="n"/>
      <c r="FN56" s="61" t="n"/>
      <c r="FO56" s="61" t="n"/>
      <c r="FP56" s="61" t="n"/>
      <c r="FQ56" s="61" t="n"/>
      <c r="GN56" s="49" t="n"/>
      <c r="GT56" s="49" t="n"/>
      <c r="HC56" s="49" t="n"/>
      <c r="HJ56" s="61" t="n"/>
      <c r="HU56" s="57" t="n"/>
      <c r="HV56" s="166" t="n"/>
      <c r="HW56" s="60" t="n"/>
      <c r="HX56" s="167" t="n"/>
      <c r="HY56" s="167" t="n"/>
      <c r="HZ56" s="167" t="n"/>
      <c r="IA56" s="167" t="n"/>
      <c r="IB56" s="167" t="n"/>
      <c r="IC56" s="167" t="n"/>
      <c r="ID56" s="167" t="n"/>
      <c r="IE56" s="167" t="n"/>
      <c r="IF56" s="168" t="n"/>
      <c r="IG56" s="167" t="n"/>
      <c r="IH56" s="167" t="n"/>
      <c r="II56" s="167" t="n"/>
      <c r="IJ56" s="167" t="n"/>
      <c r="IK56" s="167" t="n"/>
      <c r="IL56" s="167" t="n"/>
      <c r="IM56" s="167" t="n"/>
      <c r="IN56" s="167" t="n"/>
      <c r="IO56" s="167" t="n"/>
      <c r="IP56" s="167" t="n"/>
      <c r="IQ56" s="167" t="n"/>
      <c r="IR56" s="167" t="n"/>
      <c r="IS56" s="167" t="n"/>
      <c r="IT56" s="167" t="n"/>
      <c r="IU56" s="167" t="n"/>
      <c r="IV56" s="167" t="n"/>
      <c r="IW56" s="167" t="n"/>
      <c r="IX56" s="167" t="n"/>
      <c r="IY56" s="167" t="n"/>
      <c r="IZ56" s="167" t="n"/>
      <c r="JA56" s="167" t="n"/>
      <c r="JB56" s="167" t="n"/>
      <c r="JC56" s="167" t="n"/>
      <c r="JD56" s="167" t="n"/>
      <c r="JE56" s="167" t="n"/>
      <c r="JF56" s="167" t="n"/>
      <c r="JG56" s="167" t="n"/>
      <c r="JH56" s="167" t="n"/>
      <c r="JI56" s="167" t="n"/>
      <c r="JJ56" s="167" t="n"/>
      <c r="JK56" s="167" t="n"/>
      <c r="JL56" s="167" t="n"/>
      <c r="JM56" s="167" t="n"/>
      <c r="JN56" s="167" t="n"/>
      <c r="JO56" s="167" t="n"/>
      <c r="JP56" s="167" t="n"/>
      <c r="JQ56" s="167" t="n"/>
      <c r="JR56" s="167" t="n"/>
      <c r="JS56" s="167" t="n"/>
      <c r="JT56" s="167" t="n"/>
      <c r="JU56" s="167" t="n"/>
      <c r="JV56" s="167" t="n"/>
      <c r="JW56" s="167" t="n"/>
      <c r="JX56" s="167" t="n"/>
      <c r="JY56" s="167" t="n"/>
      <c r="JZ56" s="167" t="n"/>
      <c r="KA56" s="167" t="n"/>
      <c r="KB56" s="167" t="n"/>
      <c r="KC56" s="167" t="n"/>
      <c r="KD56" s="167" t="n"/>
      <c r="KE56" s="167" t="n"/>
      <c r="KF56" s="167" t="n"/>
      <c r="KG56" s="167" t="n"/>
      <c r="KH56" s="167" t="n"/>
      <c r="KI56" s="167" t="n"/>
      <c r="KJ56" s="167" t="n"/>
      <c r="KK56" s="167" t="n"/>
      <c r="KL56" s="167" t="n"/>
      <c r="KM56" s="167" t="n"/>
      <c r="KN56" s="167" t="n"/>
      <c r="KO56" s="167" t="n"/>
      <c r="KP56" s="167" t="n"/>
      <c r="KQ56" s="167" t="n"/>
      <c r="KR56" s="167" t="n"/>
      <c r="KS56" s="167" t="n"/>
      <c r="KT56" s="167" t="n"/>
      <c r="KU56" s="167" t="n"/>
      <c r="KV56" s="167" t="n"/>
      <c r="KW56" s="167" t="n"/>
      <c r="KX56" s="167" t="n"/>
      <c r="KY56" s="167" t="n"/>
    </row>
    <row r="57" customFormat="1" s="49">
      <c r="E57" s="53" t="n"/>
      <c r="F57" s="53" t="n"/>
      <c r="G57" s="53" t="n"/>
      <c r="H57" s="53" t="n"/>
      <c r="I57" s="53" t="n"/>
      <c r="J57" s="53" t="n"/>
      <c r="K57" s="53" t="n"/>
      <c r="L57" s="53" t="n"/>
      <c r="M57" s="53" t="n"/>
      <c r="N57" s="53" t="n"/>
      <c r="O57" s="53" t="n"/>
      <c r="P57" s="53" t="n"/>
      <c r="Q57" s="53" t="n"/>
      <c r="R57" s="53" t="n"/>
      <c r="S57" s="53" t="n"/>
      <c r="T57" s="53" t="n"/>
      <c r="U57" s="53" t="n"/>
      <c r="V57" s="53" t="n"/>
      <c r="W57" s="53" t="n"/>
      <c r="X57" s="53" t="n"/>
      <c r="Y57" s="53" t="n"/>
      <c r="Z57" s="53" t="n"/>
      <c r="AA57" s="53" t="n"/>
      <c r="AB57" s="53" t="n"/>
      <c r="AC57" s="53" t="n"/>
      <c r="AD57" s="53" t="n"/>
      <c r="AE57" s="53" t="n"/>
      <c r="AF57" s="53" t="n"/>
      <c r="AG57" s="53" t="n"/>
      <c r="AH57" s="53" t="n"/>
      <c r="AI57" s="53" t="n"/>
      <c r="AJ57" s="53" t="n"/>
      <c r="AK57" s="53" t="n"/>
      <c r="AL57" s="53" t="n"/>
      <c r="AM57" s="53" t="n"/>
      <c r="AN57" s="53" t="n"/>
      <c r="AO57" s="53" t="n"/>
      <c r="AP57" s="53" t="n"/>
      <c r="AQ57" s="53" t="n"/>
      <c r="AR57" s="53" t="n"/>
      <c r="AS57" s="53" t="n"/>
      <c r="AT57" s="53" t="n"/>
      <c r="AU57" s="53" t="n"/>
      <c r="AV57" s="53" t="n"/>
      <c r="AW57" s="53" t="n"/>
      <c r="AX57" s="53" t="n"/>
      <c r="AY57" s="53" t="n"/>
      <c r="AZ57" s="53" t="n"/>
      <c r="BA57" s="53" t="n"/>
      <c r="BB57" s="53" t="n"/>
      <c r="BC57" s="53" t="n"/>
      <c r="BD57" s="53" t="n"/>
      <c r="BE57" s="53" t="n"/>
      <c r="CF57" s="6" t="n"/>
      <c r="CG57" s="53" t="n"/>
      <c r="CP57" s="51" t="n"/>
      <c r="DM57" s="6" t="n"/>
      <c r="DP57" s="6" t="n"/>
      <c r="EE57" s="6" t="n"/>
      <c r="EF57" s="53" t="n"/>
      <c r="EJ57" s="53" t="n"/>
      <c r="EK57" s="53" t="n"/>
      <c r="EL57" s="6" t="n"/>
      <c r="EM57" s="6" t="n"/>
      <c r="EN57" s="53" t="n"/>
      <c r="EO57" s="6" t="n"/>
      <c r="EP57" s="6" t="n"/>
      <c r="EQ57" s="6" t="n"/>
      <c r="ES57" s="61" t="n"/>
      <c r="ET57" s="6" t="n"/>
      <c r="EU57" s="6" t="n"/>
      <c r="EV57" s="61" t="n"/>
      <c r="EW57" s="61" t="n"/>
      <c r="EX57" s="289" t="n"/>
      <c r="EY57" s="61" t="n"/>
      <c r="EZ57" s="61" t="n"/>
      <c r="FA57" s="61" t="n"/>
      <c r="FB57" s="61" t="n"/>
      <c r="FD57" s="61" t="n"/>
      <c r="FE57" s="61" t="n"/>
      <c r="FF57" s="289" t="n"/>
      <c r="FG57" s="61" t="n"/>
      <c r="FH57" s="61" t="n"/>
      <c r="FI57" s="61" t="n"/>
      <c r="FJ57" s="61" t="n"/>
      <c r="FK57" s="61" t="n"/>
      <c r="FL57" s="61" t="n"/>
      <c r="FM57" s="61" t="n"/>
      <c r="FN57" s="61" t="n"/>
      <c r="FO57" s="61" t="n"/>
      <c r="FP57" s="61" t="n"/>
      <c r="FQ57" s="61" t="n"/>
      <c r="FU57" s="6" t="n"/>
      <c r="FV57" s="6" t="n"/>
      <c r="FW57" s="6" t="n"/>
      <c r="FX57" s="6" t="n"/>
      <c r="FY57" s="6" t="n"/>
      <c r="FZ57" s="6" t="n"/>
      <c r="GA57" s="6" t="n"/>
      <c r="GB57" s="6" t="n"/>
      <c r="GC57" s="6" t="n"/>
      <c r="GD57" s="6" t="n"/>
      <c r="GE57" s="6" t="n"/>
      <c r="GF57" s="6" t="n"/>
      <c r="GG57" s="6" t="n"/>
      <c r="GH57" s="6" t="n"/>
      <c r="GI57" s="6" t="n"/>
    </row>
    <row r="58">
      <c r="A58" s="699" t="inlineStr">
        <is>
          <t>FLACONETES</t>
        </is>
      </c>
      <c r="B58" s="658" t="n"/>
      <c r="C58" s="658" t="n"/>
      <c r="D58" s="670" t="n"/>
      <c r="F58" s="671" t="n">
        <v>45656</v>
      </c>
      <c r="G58" s="671" t="n">
        <v>45663</v>
      </c>
      <c r="H58" s="671" t="n">
        <v>45670</v>
      </c>
      <c r="I58" s="671" t="n">
        <v>45677</v>
      </c>
      <c r="J58" s="671" t="n">
        <v>45684</v>
      </c>
      <c r="K58" s="671" t="n">
        <v>45691</v>
      </c>
      <c r="L58" s="671" t="n">
        <v>45698</v>
      </c>
      <c r="M58" s="671" t="n">
        <v>45705</v>
      </c>
      <c r="N58" s="671" t="n">
        <v>45712</v>
      </c>
      <c r="O58" s="671" t="n">
        <v>45719</v>
      </c>
      <c r="P58" s="671" t="n">
        <v>45726</v>
      </c>
      <c r="Q58" s="671" t="n">
        <v>45733</v>
      </c>
      <c r="R58" s="671" t="n">
        <v>45740</v>
      </c>
      <c r="S58" s="671" t="n">
        <v>45747</v>
      </c>
      <c r="T58" s="671" t="n">
        <v>45754</v>
      </c>
      <c r="U58" s="671" t="n">
        <v>45761</v>
      </c>
      <c r="V58" s="671" t="n">
        <v>45768</v>
      </c>
      <c r="W58" s="671" t="n">
        <v>45775</v>
      </c>
      <c r="X58" s="671" t="n">
        <v>45782</v>
      </c>
      <c r="Y58" s="671" t="n">
        <v>45789</v>
      </c>
      <c r="Z58" s="671" t="n">
        <v>45796</v>
      </c>
      <c r="AA58" s="671" t="n">
        <v>45803</v>
      </c>
      <c r="AB58" s="671" t="n">
        <v>45810</v>
      </c>
      <c r="AC58" s="671" t="n">
        <v>45817</v>
      </c>
      <c r="AD58" s="671" t="n">
        <v>45824</v>
      </c>
      <c r="AE58" s="671" t="n">
        <v>45831</v>
      </c>
      <c r="AF58" s="671" t="n">
        <v>45838</v>
      </c>
      <c r="AG58" s="671" t="n">
        <v>45845</v>
      </c>
      <c r="AH58" s="671" t="n">
        <v>45852</v>
      </c>
      <c r="AI58" s="671" t="n">
        <v>45859</v>
      </c>
      <c r="AJ58" s="671" t="n">
        <v>45866</v>
      </c>
      <c r="AK58" s="671" t="n">
        <v>45873</v>
      </c>
      <c r="AL58" s="671" t="n">
        <v>45880</v>
      </c>
      <c r="AM58" s="671" t="n">
        <v>45887</v>
      </c>
      <c r="AN58" s="671" t="n">
        <v>45894</v>
      </c>
      <c r="AO58" s="671" t="n">
        <v>45901</v>
      </c>
      <c r="AP58" s="671" t="n">
        <v>45908</v>
      </c>
      <c r="AQ58" s="671" t="n">
        <v>45915</v>
      </c>
      <c r="AR58" s="671" t="n">
        <v>45922</v>
      </c>
      <c r="AS58" s="671" t="n">
        <v>45929</v>
      </c>
      <c r="AT58" s="671" t="n">
        <v>45936</v>
      </c>
      <c r="AU58" s="671" t="n">
        <v>45943</v>
      </c>
      <c r="AV58" s="671" t="n">
        <v>45950</v>
      </c>
      <c r="AW58" s="671" t="n">
        <v>45957</v>
      </c>
      <c r="AX58" s="671" t="n">
        <v>45964</v>
      </c>
      <c r="AY58" s="671" t="n">
        <v>45971</v>
      </c>
      <c r="AZ58" s="671" t="n">
        <v>45978</v>
      </c>
      <c r="BA58" s="671" t="n">
        <v>45985</v>
      </c>
      <c r="BB58" s="671" t="n">
        <v>45992</v>
      </c>
      <c r="BC58" s="671" t="n">
        <v>45999</v>
      </c>
      <c r="BD58" s="671" t="n">
        <v>46006</v>
      </c>
      <c r="BE58" s="671" t="n">
        <v>46013</v>
      </c>
      <c r="BF58" s="671" t="n">
        <v>46020</v>
      </c>
      <c r="BG58" s="671" t="n">
        <v>46027</v>
      </c>
      <c r="BH58" s="671" t="n">
        <v>46034</v>
      </c>
      <c r="BI58" s="671" t="n">
        <v>46041</v>
      </c>
      <c r="BJ58" s="671" t="n">
        <v>46048</v>
      </c>
      <c r="BK58" s="671" t="n">
        <v>46055</v>
      </c>
      <c r="BL58" s="671" t="n">
        <v>46062</v>
      </c>
      <c r="BM58" s="671" t="n">
        <v>46069</v>
      </c>
      <c r="BN58" s="671" t="n">
        <v>46076</v>
      </c>
      <c r="BO58" s="671" t="n">
        <v>46083</v>
      </c>
      <c r="BP58" s="671" t="n">
        <v>46090</v>
      </c>
      <c r="BQ58" s="671" t="n">
        <v>46097</v>
      </c>
      <c r="BR58" s="671" t="n">
        <v>46104</v>
      </c>
      <c r="BS58" s="671" t="n">
        <v>46111</v>
      </c>
      <c r="BT58" s="671" t="n">
        <v>46118</v>
      </c>
      <c r="BU58" s="671" t="n">
        <v>46125</v>
      </c>
      <c r="BV58" s="671" t="n">
        <v>46132</v>
      </c>
      <c r="BW58" s="671" t="n">
        <v>46139</v>
      </c>
      <c r="BX58" s="671" t="n">
        <v>46146</v>
      </c>
      <c r="BY58" s="671" t="n">
        <v>46154</v>
      </c>
      <c r="BZ58" s="671" t="n">
        <v>46160</v>
      </c>
      <c r="CA58" s="671" t="n">
        <v>46160</v>
      </c>
      <c r="CB58" s="671" t="n">
        <v>46160</v>
      </c>
      <c r="CC58" s="672" t="n">
        <v>46161.48003133102</v>
      </c>
      <c r="CD58" s="672" t="n">
        <v>46161.48071099537</v>
      </c>
      <c r="CE58" s="672" t="n">
        <v>46161.48286932735</v>
      </c>
      <c r="DM58" s="58" t="n"/>
      <c r="DP58" s="58" t="n"/>
      <c r="EA58" s="6" t="n"/>
      <c r="EB58" s="6" t="n"/>
      <c r="EC58" s="6" t="n"/>
      <c r="ED58" s="6" t="n"/>
      <c r="EE58" s="6" t="n"/>
      <c r="EF58" s="53" t="n"/>
      <c r="EG58" s="6" t="n"/>
      <c r="EH58" s="6" t="n"/>
      <c r="EI58" s="6" t="n"/>
      <c r="EJ58" s="53" t="n"/>
      <c r="EK58" s="53" t="n"/>
      <c r="EL58" s="6" t="n"/>
      <c r="EM58" s="6" t="n"/>
      <c r="EO58" s="6" t="n"/>
      <c r="EP58" s="6" t="n"/>
      <c r="EQ58" s="6" t="n"/>
      <c r="ET58" s="6" t="n"/>
      <c r="EU58" s="6" t="n"/>
      <c r="EX58" s="289" t="n"/>
      <c r="FF58" s="289" t="n"/>
    </row>
    <row r="59">
      <c r="A59" s="674" t="inlineStr">
        <is>
          <t>QUASAR DEEP BLUE</t>
        </is>
      </c>
      <c r="B59" s="658" t="n"/>
      <c r="C59" s="658" t="n"/>
      <c r="D59" s="670" t="n"/>
      <c r="P59" s="116" t="n"/>
      <c r="Q59" s="116" t="n"/>
      <c r="R59" s="116" t="n"/>
      <c r="S59" s="116" t="n">
        <v>0</v>
      </c>
      <c r="T59" s="116" t="n">
        <v>35</v>
      </c>
      <c r="U59" s="116" t="n">
        <v>35</v>
      </c>
      <c r="V59" s="116" t="n">
        <v>35</v>
      </c>
      <c r="W59" s="116" t="n">
        <v>35</v>
      </c>
      <c r="X59" s="116" t="n">
        <v>0</v>
      </c>
      <c r="Y59" s="116" t="n">
        <v>35</v>
      </c>
      <c r="Z59" s="116" t="n">
        <v>0</v>
      </c>
      <c r="AA59" s="116" t="n">
        <v>20</v>
      </c>
      <c r="AB59" s="116" t="n">
        <v>20</v>
      </c>
      <c r="AC59" s="116" t="n">
        <v>0</v>
      </c>
      <c r="AD59" s="116" t="n">
        <v>0</v>
      </c>
      <c r="AE59" s="116" t="n">
        <v>0</v>
      </c>
      <c r="AF59" s="116" t="n">
        <v>0</v>
      </c>
      <c r="AG59" s="116" t="n">
        <v>0</v>
      </c>
      <c r="AH59" s="116" t="n">
        <v>0</v>
      </c>
      <c r="AI59" s="116" t="n">
        <v>0</v>
      </c>
      <c r="AJ59" s="116" t="n">
        <v>0</v>
      </c>
      <c r="AK59" s="116" t="n">
        <v>0</v>
      </c>
      <c r="AL59" s="116" t="n">
        <v>0</v>
      </c>
      <c r="AM59" s="116" t="n">
        <v>0</v>
      </c>
      <c r="AN59" s="116" t="n">
        <v>0</v>
      </c>
      <c r="AO59" s="116" t="n">
        <v>0</v>
      </c>
      <c r="AP59" s="116" t="n">
        <v>0</v>
      </c>
      <c r="AQ59" s="116" t="n">
        <v>0</v>
      </c>
      <c r="AR59" s="116" t="n">
        <v>0</v>
      </c>
      <c r="AS59" s="116" t="n">
        <v>0</v>
      </c>
      <c r="AT59" s="116" t="n">
        <v>0</v>
      </c>
      <c r="AU59" s="116" t="n">
        <v>0</v>
      </c>
      <c r="AV59" s="116" t="n">
        <v>0</v>
      </c>
      <c r="AW59" s="116" t="n">
        <v>0</v>
      </c>
      <c r="AX59" s="116" t="n">
        <v>0</v>
      </c>
      <c r="AY59" s="116" t="n">
        <v>0</v>
      </c>
      <c r="AZ59" s="116" t="n">
        <v>0</v>
      </c>
      <c r="BA59" s="116" t="n">
        <v>0</v>
      </c>
      <c r="BB59" s="116" t="n">
        <v>0</v>
      </c>
      <c r="BC59" s="116" t="n">
        <v>0</v>
      </c>
      <c r="BD59" s="116" t="n">
        <v>0</v>
      </c>
      <c r="BE59" s="116" t="n">
        <v>0</v>
      </c>
      <c r="BF59" s="116" t="n">
        <v>0</v>
      </c>
      <c r="BG59" s="116" t="n">
        <v>0</v>
      </c>
      <c r="BH59" s="116" t="n">
        <v>0</v>
      </c>
      <c r="BI59" s="116" t="n">
        <v>0</v>
      </c>
      <c r="BJ59" s="116" t="n">
        <v>0</v>
      </c>
      <c r="BK59" s="116" t="n">
        <v>0</v>
      </c>
      <c r="BL59" s="116" t="n">
        <v>0</v>
      </c>
      <c r="BM59" s="116" t="n">
        <v>0</v>
      </c>
      <c r="BN59" s="116" t="n">
        <v>0</v>
      </c>
      <c r="BO59" s="116" t="n">
        <v>0</v>
      </c>
      <c r="BP59" s="116" t="n">
        <v>0</v>
      </c>
      <c r="BQ59" s="116" t="n">
        <v>0</v>
      </c>
      <c r="BR59" s="116" t="n">
        <v>0</v>
      </c>
      <c r="BS59" s="116" t="n">
        <v>0</v>
      </c>
      <c r="BT59" s="116" t="n">
        <v>0</v>
      </c>
      <c r="BU59" s="116" t="n">
        <v>0</v>
      </c>
      <c r="BV59" s="116" t="n">
        <v>0</v>
      </c>
      <c r="BW59" s="116" t="n">
        <v>0</v>
      </c>
      <c r="BX59" s="116" t="n">
        <v>0</v>
      </c>
      <c r="BY59" s="116" t="n">
        <v>0</v>
      </c>
      <c r="BZ59" s="116" t="n"/>
      <c r="CA59" s="116" t="n"/>
      <c r="CB59" s="116" t="n"/>
      <c r="CC59" s="673" t="n"/>
      <c r="CD59" s="673" t="n"/>
      <c r="CE59" s="673" t="n"/>
      <c r="CH59" s="6" t="n"/>
      <c r="CT59" s="57" t="n"/>
      <c r="CU59" s="57" t="n"/>
      <c r="CX59" s="57" t="n"/>
      <c r="CY59" s="57" t="n"/>
      <c r="CZ59" s="57" t="n"/>
      <c r="DA59" s="57" t="n"/>
      <c r="DB59" s="57" t="n"/>
      <c r="DC59" s="57" t="n"/>
      <c r="DD59" s="57" t="n"/>
      <c r="DE59" s="57" t="n"/>
      <c r="DF59" s="57" t="n"/>
      <c r="DG59" s="57" t="n"/>
      <c r="DH59" s="57" t="n"/>
      <c r="DI59" s="57" t="n"/>
      <c r="DJ59" s="57" t="n"/>
      <c r="DK59" s="57" t="n"/>
      <c r="DL59" s="57" t="n"/>
      <c r="DN59" s="57" t="n"/>
      <c r="DO59" s="57" t="n"/>
      <c r="DQ59" s="57" t="n"/>
      <c r="DR59" s="57" t="n"/>
      <c r="DS59" s="57" t="n"/>
      <c r="DT59" s="57" t="n"/>
      <c r="DU59" s="57" t="n"/>
      <c r="DV59" s="57" t="n"/>
      <c r="DW59" s="57" t="n"/>
      <c r="DX59" s="57" t="n"/>
      <c r="DY59" s="57" t="n"/>
      <c r="DZ59" s="57" t="n"/>
      <c r="EA59" s="57" t="n"/>
      <c r="EB59" s="57" t="n"/>
      <c r="EC59" s="57" t="n"/>
      <c r="ED59" s="57" t="n"/>
      <c r="EG59" s="57" t="n"/>
      <c r="EH59" s="57" t="n"/>
      <c r="EI59" s="57" t="n"/>
      <c r="EK59" s="6" t="n"/>
      <c r="ER59" s="57" t="n"/>
      <c r="ES59" s="57" t="n"/>
      <c r="EV59" s="57" t="n"/>
      <c r="EW59" s="57" t="n"/>
      <c r="EY59" s="57" t="n"/>
      <c r="EZ59" s="57" t="n"/>
      <c r="FA59" s="57" t="n"/>
      <c r="FB59" s="57" t="n"/>
      <c r="FC59" s="57" t="n"/>
      <c r="FD59" s="57" t="n"/>
      <c r="FE59" s="57" t="n"/>
      <c r="FG59" s="57" t="n"/>
      <c r="FH59" s="57" t="n"/>
      <c r="FI59" s="57" t="n"/>
      <c r="FJ59" s="57" t="n"/>
      <c r="FK59" s="57" t="n"/>
      <c r="FL59" s="57" t="n"/>
      <c r="FM59" s="57" t="n"/>
      <c r="FN59" s="57" t="n"/>
      <c r="FO59" s="57" t="n"/>
      <c r="FP59" s="57" t="n"/>
      <c r="FQ59" s="57" t="n"/>
    </row>
    <row r="60">
      <c r="A60" s="674" t="inlineStr">
        <is>
          <t>ARBO ATLANTICA</t>
        </is>
      </c>
      <c r="B60" s="658" t="n"/>
      <c r="C60" s="658" t="n"/>
      <c r="D60" s="670" t="n"/>
      <c r="P60" s="116" t="n"/>
      <c r="Q60" s="116" t="n"/>
      <c r="R60" s="116" t="n"/>
      <c r="S60" s="116" t="n">
        <v>0</v>
      </c>
      <c r="T60" s="116" t="n">
        <v>35</v>
      </c>
      <c r="U60" s="116" t="n">
        <v>35</v>
      </c>
      <c r="V60" s="116" t="n">
        <v>35</v>
      </c>
      <c r="W60" s="116" t="n">
        <v>35</v>
      </c>
      <c r="X60" s="116" t="n">
        <v>0</v>
      </c>
      <c r="Y60" s="116" t="n">
        <v>35</v>
      </c>
      <c r="Z60" s="116" t="n">
        <v>0</v>
      </c>
      <c r="AA60" s="116" t="n">
        <v>20</v>
      </c>
      <c r="AB60" s="116" t="n">
        <v>20</v>
      </c>
      <c r="AC60" s="116" t="n">
        <v>0</v>
      </c>
      <c r="AD60" s="116" t="n">
        <v>0</v>
      </c>
      <c r="AE60" s="116" t="n">
        <v>0</v>
      </c>
      <c r="AF60" s="116" t="n">
        <v>0</v>
      </c>
      <c r="AG60" s="116" t="n">
        <v>0</v>
      </c>
      <c r="AH60" s="116" t="n">
        <v>0</v>
      </c>
      <c r="AI60" s="116" t="n">
        <v>0</v>
      </c>
      <c r="AJ60" s="116" t="n">
        <v>0</v>
      </c>
      <c r="AK60" s="116" t="n">
        <v>0</v>
      </c>
      <c r="AL60" s="116" t="n">
        <v>0</v>
      </c>
      <c r="AM60" s="116" t="n">
        <v>0</v>
      </c>
      <c r="AN60" s="116" t="n">
        <v>0</v>
      </c>
      <c r="AO60" s="116" t="n">
        <v>0</v>
      </c>
      <c r="AP60" s="116" t="n">
        <v>0</v>
      </c>
      <c r="AQ60" s="116" t="n">
        <v>0</v>
      </c>
      <c r="AR60" s="116" t="n">
        <v>0</v>
      </c>
      <c r="AS60" s="116" t="n">
        <v>0</v>
      </c>
      <c r="AT60" s="116" t="n">
        <v>0</v>
      </c>
      <c r="AU60" s="116" t="n">
        <v>0</v>
      </c>
      <c r="AV60" s="116" t="n">
        <v>0</v>
      </c>
      <c r="AW60" s="116" t="n">
        <v>0</v>
      </c>
      <c r="AX60" s="116" t="n">
        <v>0</v>
      </c>
      <c r="AY60" s="116" t="n">
        <v>0</v>
      </c>
      <c r="AZ60" s="116" t="n">
        <v>0</v>
      </c>
      <c r="BA60" s="116" t="n">
        <v>0</v>
      </c>
      <c r="BB60" s="116" t="n">
        <v>0</v>
      </c>
      <c r="BC60" s="116" t="n">
        <v>0</v>
      </c>
      <c r="BD60" s="116" t="n">
        <v>0</v>
      </c>
      <c r="BE60" s="116" t="n">
        <v>0</v>
      </c>
      <c r="BF60" s="116" t="n">
        <v>0</v>
      </c>
      <c r="BG60" s="116" t="n">
        <v>0</v>
      </c>
      <c r="BH60" s="116" t="n">
        <v>0</v>
      </c>
      <c r="BI60" s="116" t="n">
        <v>0</v>
      </c>
      <c r="BJ60" s="116" t="n">
        <v>0</v>
      </c>
      <c r="BK60" s="116" t="n">
        <v>0</v>
      </c>
      <c r="BL60" s="116" t="n">
        <v>0</v>
      </c>
      <c r="BM60" s="116" t="n">
        <v>0</v>
      </c>
      <c r="BN60" s="116" t="n">
        <v>0</v>
      </c>
      <c r="BO60" s="116" t="n">
        <v>0</v>
      </c>
      <c r="BP60" s="116" t="n">
        <v>0</v>
      </c>
      <c r="BQ60" s="116" t="n">
        <v>0</v>
      </c>
      <c r="BR60" s="116" t="n">
        <v>0</v>
      </c>
      <c r="BS60" s="116" t="n">
        <v>0</v>
      </c>
      <c r="BT60" s="116" t="n">
        <v>0</v>
      </c>
      <c r="BU60" s="116" t="n">
        <v>0</v>
      </c>
      <c r="BV60" s="116" t="n">
        <v>0</v>
      </c>
      <c r="BW60" s="116" t="n">
        <v>0</v>
      </c>
      <c r="BX60" s="116" t="n">
        <v>0</v>
      </c>
      <c r="BY60" s="116" t="n">
        <v>0</v>
      </c>
      <c r="BZ60" s="116" t="n"/>
      <c r="CA60" s="116" t="n"/>
      <c r="CB60" s="116" t="n"/>
      <c r="CC60" s="673" t="n"/>
      <c r="CD60" s="673" t="n"/>
      <c r="CE60" s="673" t="n"/>
      <c r="CH60" s="6" t="n"/>
      <c r="CT60" s="57" t="n"/>
      <c r="CU60" s="57" t="n"/>
      <c r="CX60" s="57" t="n"/>
      <c r="CY60" s="57" t="n"/>
      <c r="CZ60" s="57" t="n"/>
      <c r="DA60" s="57" t="n"/>
      <c r="DB60" s="57" t="n"/>
      <c r="DC60" s="57" t="n"/>
      <c r="DD60" s="57" t="n"/>
      <c r="DE60" s="57" t="n"/>
      <c r="DF60" s="57" t="n"/>
      <c r="DG60" s="57" t="n"/>
      <c r="DH60" s="57" t="n"/>
      <c r="DI60" s="57" t="n"/>
      <c r="DJ60" s="57" t="n"/>
      <c r="DK60" s="57" t="n"/>
      <c r="DL60" s="57" t="n"/>
      <c r="DN60" s="57" t="n"/>
      <c r="DO60" s="57" t="n"/>
      <c r="DQ60" s="57" t="n"/>
      <c r="DR60" s="57" t="n"/>
      <c r="DS60" s="57" t="n"/>
      <c r="DT60" s="57" t="n"/>
      <c r="DU60" s="57" t="n"/>
      <c r="DV60" s="57" t="n"/>
      <c r="DW60" s="57" t="n"/>
      <c r="DX60" s="57" t="n"/>
      <c r="DY60" s="57" t="n"/>
      <c r="DZ60" s="57" t="n"/>
      <c r="ER60" s="57" t="n"/>
      <c r="ES60" s="57" t="n"/>
      <c r="EV60" s="57" t="n"/>
      <c r="EW60" s="57" t="n"/>
      <c r="EY60" s="57" t="n"/>
      <c r="EZ60" s="57" t="n"/>
      <c r="FA60" s="57" t="n"/>
      <c r="FB60" s="57" t="n"/>
      <c r="FC60" s="57" t="n"/>
      <c r="FD60" s="57" t="n"/>
      <c r="FE60" s="57" t="n"/>
      <c r="FG60" s="57" t="n"/>
      <c r="FH60" s="57" t="n"/>
      <c r="FI60" s="57" t="n"/>
      <c r="FJ60" s="57" t="n"/>
      <c r="FK60" s="57" t="n"/>
      <c r="FL60" s="57" t="n"/>
      <c r="FM60" s="57" t="n"/>
      <c r="FN60" s="57" t="n"/>
      <c r="FO60" s="57" t="n"/>
      <c r="FP60" s="57" t="n"/>
      <c r="FQ60" s="57" t="n"/>
    </row>
    <row r="61">
      <c r="CH61" s="6" t="n"/>
      <c r="CT61" s="57" t="n"/>
      <c r="CU61" s="57" t="n"/>
      <c r="CY61" s="57" t="n"/>
      <c r="ER61" s="57" t="n"/>
      <c r="ES61" s="57" t="n"/>
      <c r="EV61" s="57" t="n"/>
      <c r="EW61" s="57" t="n"/>
      <c r="EY61" s="57" t="n"/>
      <c r="EZ61" s="57" t="n"/>
      <c r="FA61" s="57" t="n"/>
      <c r="FB61" s="57" t="n"/>
      <c r="FD61" s="57" t="n"/>
      <c r="FE61" s="57" t="n"/>
      <c r="FG61" s="57" t="n"/>
      <c r="FH61" s="57" t="n"/>
      <c r="FI61" s="57" t="n"/>
      <c r="FJ61" s="57" t="n"/>
      <c r="FK61" s="57" t="n"/>
      <c r="FL61" s="57" t="n"/>
      <c r="FM61" s="57" t="n"/>
      <c r="FN61" s="57" t="n"/>
      <c r="FO61" s="57" t="n"/>
      <c r="FP61" s="57" t="n"/>
      <c r="FQ61" s="57" t="n"/>
    </row>
    <row r="62">
      <c r="CH62" s="6" t="n"/>
    </row>
    <row r="63">
      <c r="CH63" s="6" t="n"/>
    </row>
    <row r="64">
      <c r="CH64" s="6" t="n"/>
    </row>
  </sheetData>
  <mergeCells count="11">
    <mergeCell ref="A5:A6"/>
    <mergeCell ref="B3:D3"/>
    <mergeCell ref="A58:D58"/>
    <mergeCell ref="F5:BZ5"/>
    <mergeCell ref="FR7:FZ7"/>
    <mergeCell ref="A59:D59"/>
    <mergeCell ref="C5:C6"/>
    <mergeCell ref="A60:D60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1" fitToHeight="0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Planilha26">
    <tabColor theme="9"/>
    <outlinePr summaryBelow="1" summaryRight="1"/>
    <pageSetUpPr/>
  </sheetPr>
  <dimension ref="A1:KQ64"/>
  <sheetViews>
    <sheetView showGridLines="0" topLeftCell="A21" zoomScale="80" zoomScaleNormal="80" workbookViewId="0">
      <selection activeCell="CA1" sqref="CA1:CA1048576"/>
    </sheetView>
  </sheetViews>
  <sheetFormatPr baseColWidth="8" defaultColWidth="9.140625" defaultRowHeight="18.75"/>
  <cols>
    <col width="25.42578125" customWidth="1" style="52" min="1" max="1"/>
    <col width="6.85546875" customWidth="1" style="6" min="2" max="2"/>
    <col hidden="1" width="15.28515625" customWidth="1" style="6" min="3" max="3"/>
    <col width="15.28515625" customWidth="1" style="6" min="4" max="4"/>
    <col width="1.85546875" customWidth="1" style="6" min="5" max="5"/>
    <col hidden="1" width="8.7109375" customWidth="1" style="6" min="6" max="76"/>
    <col width="8.7109375" customWidth="1" style="6" min="77" max="79"/>
    <col width="8.42578125" customWidth="1" style="6" min="80" max="80"/>
    <col width="1.7109375" customWidth="1" style="6" min="81" max="81"/>
    <col width="20.42578125" bestFit="1" customWidth="1" style="49" min="82" max="82"/>
    <col width="14.28515625" bestFit="1" customWidth="1" style="49" min="83" max="83"/>
    <col width="15.28515625" customWidth="1" style="49" min="84" max="84"/>
    <col width="1.7109375" customWidth="1" style="49" min="85" max="85"/>
    <col width="8.140625" customWidth="1" style="49" min="86" max="89"/>
    <col width="8.7109375" customWidth="1" style="51" min="90" max="90"/>
    <col hidden="1" width="8.140625" customWidth="1" style="49" min="91" max="93"/>
    <col hidden="1" width="13.7109375" customWidth="1" style="49" min="94" max="95"/>
    <col hidden="1" width="8.140625" customWidth="1" style="49" min="96" max="98"/>
    <col hidden="1" width="13.7109375" customWidth="1" style="49" min="99" max="99"/>
    <col hidden="1" width="8.140625" customWidth="1" style="49" min="100" max="108"/>
    <col hidden="1" width="9.7109375" customWidth="1" style="49" min="109" max="112"/>
    <col hidden="1" width="13.5703125" customWidth="1" style="51" min="113" max="113"/>
    <col hidden="1" width="9.7109375" customWidth="1" style="49" min="114" max="115"/>
    <col hidden="1" width="8.7109375" customWidth="1" style="51" min="116" max="116"/>
    <col hidden="1" width="9.7109375" customWidth="1" style="49" min="117" max="119"/>
    <col hidden="1" width="13.85546875" customWidth="1" style="49" min="120" max="121"/>
    <col hidden="1" width="9.7109375" customWidth="1" style="49" min="122" max="131"/>
    <col hidden="1" width="13.7109375" customWidth="1" style="51" min="132" max="132"/>
    <col hidden="1" width="9.7109375" customWidth="1" style="49" min="133" max="135"/>
    <col hidden="1" width="17.5703125" customWidth="1" style="51" min="136" max="136"/>
    <col hidden="1" width="8.7109375" customWidth="1" style="51" min="137" max="137"/>
    <col hidden="1" width="9.7109375" customWidth="1" style="49" min="138" max="139"/>
    <col hidden="1" width="24.28515625" customWidth="1" style="49" min="140" max="140"/>
    <col hidden="1" width="9.7109375" customWidth="1" style="49" min="141" max="143"/>
    <col hidden="1" width="13.28515625" customWidth="1" style="49" min="144" max="144"/>
    <col hidden="1" width="9.7109375" customWidth="1" style="49" min="145" max="145"/>
    <col hidden="1" width="24.28515625" customWidth="1" style="49" min="146" max="146"/>
    <col hidden="1" width="9.7109375" customWidth="1" style="49" min="147" max="149"/>
    <col hidden="1" width="14" customWidth="1" style="285" min="150" max="150"/>
    <col hidden="1" width="9.7109375" customWidth="1" style="49" min="151" max="154"/>
    <col hidden="1" width="12.28515625" customWidth="1" style="49" min="155" max="155"/>
    <col hidden="1" width="9.7109375" customWidth="1" style="49" min="156" max="157"/>
    <col hidden="1" width="12" customWidth="1" style="285" min="158" max="158"/>
    <col hidden="1" width="9.7109375" customWidth="1" style="49" min="159" max="168"/>
    <col hidden="1" width="17.7109375" customWidth="1" style="49" min="169" max="169"/>
    <col hidden="1" width="22.85546875" customWidth="1" style="51" min="170" max="170"/>
    <col width="3.42578125" customWidth="1" style="6" min="171" max="171"/>
    <col width="3.7109375" customWidth="1" min="172" max="172"/>
    <col width="21.85546875" bestFit="1" customWidth="1" style="6" min="173" max="173"/>
    <col width="9.140625" customWidth="1" style="6" min="174" max="174"/>
    <col hidden="1" width="13" customWidth="1" style="6" min="175" max="179"/>
    <col width="9.140625" customWidth="1" style="6" min="180" max="183"/>
    <col width="2.28515625" customWidth="1" style="6" min="184" max="184"/>
    <col width="9.140625" customWidth="1" style="6" min="185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5" t="n"/>
      <c r="CG1" s="75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5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284" t="n"/>
      <c r="EU1" s="74" t="n"/>
      <c r="EV1" s="74" t="n"/>
      <c r="EW1" s="74" t="n"/>
      <c r="EX1" s="74" t="n"/>
      <c r="EY1" s="74" t="n"/>
      <c r="EZ1" s="74" t="n"/>
      <c r="FA1" s="74" t="n"/>
      <c r="FB1" s="28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</row>
    <row r="2">
      <c r="A2" s="50" t="inlineStr">
        <is>
          <t>LOJA:</t>
        </is>
      </c>
      <c r="B2" s="639" t="inlineStr">
        <is>
          <t>PERUÍBE</t>
        </is>
      </c>
      <c r="C2" s="640" t="n"/>
      <c r="D2" s="641" t="n"/>
      <c r="CD2" s="6" t="n"/>
      <c r="CE2" s="6" t="n"/>
      <c r="CF2" s="6" t="n"/>
      <c r="CG2" s="6" t="n"/>
      <c r="CH2" s="6" t="n"/>
      <c r="CI2" s="6" t="n"/>
      <c r="CJ2" s="6" t="n"/>
      <c r="CK2" s="6" t="n"/>
      <c r="CM2" s="6" t="n"/>
      <c r="CN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J2" s="6" t="n"/>
      <c r="DK2" s="6" t="n"/>
      <c r="DM2" s="6" t="n"/>
      <c r="DN2" s="6" t="n"/>
      <c r="DO2" s="6" t="n"/>
      <c r="DP2" s="6" t="n"/>
      <c r="DQ2" s="6" t="n"/>
      <c r="DR2" s="6" t="n"/>
      <c r="DS2" s="6" t="n"/>
      <c r="DT2" s="6" t="n"/>
      <c r="DU2" s="6" t="n"/>
      <c r="DV2" s="6" t="n"/>
      <c r="DW2" s="6" t="n"/>
      <c r="DX2" s="6" t="n"/>
      <c r="DY2" s="6" t="n"/>
      <c r="DZ2" s="6" t="n"/>
      <c r="EA2" s="6" t="n"/>
      <c r="EC2" s="6" t="n"/>
      <c r="ED2" s="6" t="n"/>
      <c r="EE2" s="6" t="n"/>
      <c r="EH2" s="6" t="n"/>
      <c r="EI2" s="6" t="n"/>
      <c r="EK2" s="6" t="n"/>
      <c r="EL2" s="6" t="n"/>
      <c r="EM2" s="6" t="n"/>
      <c r="EN2" s="6" t="n"/>
      <c r="EO2" s="6" t="n"/>
      <c r="EP2" s="6" t="n"/>
      <c r="EQ2" s="6" t="n"/>
      <c r="ER2" s="6" t="n"/>
      <c r="ES2" s="6" t="n"/>
      <c r="EU2" s="6" t="n"/>
      <c r="EV2" s="6" t="n"/>
      <c r="EW2" s="6" t="n"/>
      <c r="EX2" s="6" t="n"/>
      <c r="EY2" s="6" t="n"/>
      <c r="EZ2" s="6" t="n"/>
      <c r="FA2" s="6" t="n"/>
      <c r="FC2" s="6" t="n"/>
      <c r="FD2" s="6" t="n"/>
      <c r="FE2" s="6" t="n"/>
      <c r="FF2" s="6" t="n"/>
      <c r="FG2" s="6" t="n"/>
      <c r="FH2" s="6" t="n"/>
      <c r="FI2" s="6" t="n"/>
      <c r="FJ2" s="6" t="n"/>
      <c r="FK2" s="6" t="n"/>
      <c r="FL2" s="6" t="n"/>
      <c r="FM2" s="6" t="n"/>
    </row>
    <row r="3">
      <c r="A3" s="50" t="inlineStr">
        <is>
          <t>Responsável:</t>
        </is>
      </c>
      <c r="B3" s="253" t="inlineStr">
        <is>
          <t>MAURIZA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42" t="n"/>
      <c r="CD3" s="642" t="n"/>
      <c r="CE3" s="642" t="n"/>
      <c r="CG3" s="642" t="n"/>
      <c r="CH3" s="642" t="n"/>
      <c r="CI3" s="642" t="n"/>
      <c r="CJ3" s="642" t="n"/>
      <c r="CK3" s="642" t="n"/>
      <c r="CM3" s="642" t="n"/>
      <c r="CN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D3" s="642" t="n"/>
      <c r="DE3" s="642" t="n"/>
      <c r="DF3" s="642" t="n"/>
      <c r="DG3" s="642" t="n"/>
      <c r="DH3" s="642" t="n"/>
      <c r="DJ3" s="642" t="n"/>
      <c r="DK3" s="642" t="n"/>
      <c r="DM3" s="642" t="n"/>
      <c r="DN3" s="642" t="n"/>
      <c r="DO3" s="642" t="n"/>
      <c r="DP3" s="642" t="n"/>
      <c r="DQ3" s="642" t="n"/>
      <c r="DR3" s="642" t="n"/>
      <c r="DS3" s="642" t="n"/>
      <c r="DT3" s="642" t="n"/>
      <c r="DU3" s="642" t="n"/>
      <c r="DV3" s="642" t="n"/>
      <c r="DW3" s="642" t="n"/>
      <c r="DX3" s="642" t="n"/>
      <c r="DY3" s="642" t="n"/>
      <c r="DZ3" s="642" t="n"/>
      <c r="EA3" s="642" t="n"/>
      <c r="EC3" s="642" t="n"/>
      <c r="ED3" s="642" t="n"/>
      <c r="EE3" s="642" t="n"/>
      <c r="EH3" s="642" t="n"/>
      <c r="EI3" s="642" t="n"/>
      <c r="EK3" s="642" t="n"/>
      <c r="EL3" s="642" t="n"/>
      <c r="EM3" s="642" t="n"/>
      <c r="EN3" s="642" t="n"/>
      <c r="EO3" s="642" t="n"/>
      <c r="EP3" s="642" t="n"/>
      <c r="EQ3" s="642" t="n"/>
      <c r="ER3" s="642" t="n"/>
      <c r="ES3" s="642" t="n"/>
      <c r="EU3" s="642" t="n"/>
      <c r="EV3" s="642" t="n"/>
      <c r="EW3" s="642" t="n"/>
      <c r="EX3" s="642" t="n"/>
      <c r="EY3" s="642" t="n"/>
      <c r="EZ3" s="642" t="n"/>
      <c r="FA3" s="642" t="n"/>
      <c r="FC3" s="642" t="n"/>
      <c r="FD3" s="642" t="n"/>
      <c r="FE3" s="642" t="n"/>
      <c r="FF3" s="642" t="n"/>
      <c r="FG3" s="642" t="n"/>
      <c r="FH3" s="642" t="n"/>
      <c r="FI3" s="642" t="n"/>
      <c r="FJ3" s="642" t="n"/>
      <c r="FK3" s="642" t="n"/>
      <c r="FL3" s="642" t="n"/>
      <c r="FM3" s="642" t="n"/>
    </row>
    <row r="4">
      <c r="CD4" s="6" t="n"/>
      <c r="CE4" s="6" t="n"/>
      <c r="CF4" s="6" t="n"/>
      <c r="CG4" s="6" t="n"/>
      <c r="CH4" s="6" t="n"/>
      <c r="CI4" s="6" t="n"/>
      <c r="CJ4" s="6" t="n"/>
      <c r="CK4" s="6" t="n"/>
      <c r="CL4" s="254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254" t="n"/>
      <c r="DJ4" s="6" t="n"/>
      <c r="DK4" s="6" t="n"/>
      <c r="DL4" s="254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254" t="n"/>
      <c r="EC4" s="6" t="n"/>
      <c r="ED4" s="6" t="n"/>
      <c r="EE4" s="6" t="n"/>
      <c r="EF4" s="254" t="n"/>
      <c r="EG4" s="254" t="n"/>
      <c r="EH4" s="6" t="n"/>
      <c r="EI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6" t="n"/>
      <c r="ET4" s="286" t="n"/>
      <c r="EU4" s="6" t="n"/>
      <c r="EV4" s="6" t="n"/>
      <c r="EW4" s="6" t="n"/>
      <c r="EX4" s="6" t="n"/>
      <c r="EY4" s="6" t="n"/>
      <c r="EZ4" s="6" t="n"/>
      <c r="FA4" s="6" t="n"/>
      <c r="FB4" s="286" t="n"/>
      <c r="FC4" s="6" t="n"/>
      <c r="FD4" s="6" t="n"/>
      <c r="FE4" s="6" t="n"/>
      <c r="FF4" s="6" t="n"/>
      <c r="FG4" s="6" t="n"/>
      <c r="FH4" s="6" t="n"/>
      <c r="FI4" s="6" t="n"/>
      <c r="FJ4" s="6" t="n"/>
      <c r="FK4" s="6" t="n"/>
      <c r="FL4" s="6" t="n"/>
      <c r="FM4" s="6" t="n"/>
      <c r="FN4" s="254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F5" s="12" t="inlineStr">
        <is>
          <t>Novo Pedido</t>
        </is>
      </c>
      <c r="CG5" s="6" t="n"/>
      <c r="CH5" s="646" t="n">
        <v>46156</v>
      </c>
      <c r="CI5" s="646" t="n">
        <v>46149</v>
      </c>
      <c r="CJ5" s="646" t="n">
        <v>46142</v>
      </c>
      <c r="CK5" s="646" t="n">
        <v>46114</v>
      </c>
      <c r="CL5" s="647" t="n">
        <v>46065</v>
      </c>
      <c r="CM5" s="646" t="n">
        <v>46099</v>
      </c>
      <c r="CN5" s="646" t="n">
        <v>46092</v>
      </c>
      <c r="CO5" s="646" t="n">
        <v>46092</v>
      </c>
      <c r="CP5" s="648" t="inlineStr">
        <is>
          <t>TRANSF.</t>
        </is>
      </c>
      <c r="CQ5" s="648" t="inlineStr">
        <is>
          <t>TRANSF.</t>
        </is>
      </c>
      <c r="CR5" s="646" t="n">
        <v>46077</v>
      </c>
      <c r="CS5" s="646" t="n">
        <v>46071</v>
      </c>
      <c r="CT5" s="646" t="n">
        <v>46056</v>
      </c>
      <c r="CU5" s="648" t="inlineStr">
        <is>
          <t>TRANSF.</t>
        </is>
      </c>
      <c r="CV5" s="646" t="n">
        <v>46048</v>
      </c>
      <c r="CW5" s="646" t="n">
        <v>46035</v>
      </c>
      <c r="CX5" s="646" t="n">
        <v>46035</v>
      </c>
      <c r="CY5" s="646" t="n">
        <v>46029</v>
      </c>
      <c r="CZ5" s="646" t="n">
        <v>46017</v>
      </c>
      <c r="DA5" s="646" t="n">
        <v>46007</v>
      </c>
      <c r="DB5" s="646" t="n">
        <v>46001</v>
      </c>
      <c r="DC5" s="646" t="n">
        <v>45994</v>
      </c>
      <c r="DD5" s="646" t="n">
        <v>45973</v>
      </c>
      <c r="DE5" s="646" t="n">
        <v>45965</v>
      </c>
      <c r="DF5" s="646" t="n">
        <v>45960</v>
      </c>
      <c r="DG5" s="646" t="n">
        <v>45951</v>
      </c>
      <c r="DH5" s="646" t="n">
        <v>45951</v>
      </c>
      <c r="DI5" s="678" t="inlineStr">
        <is>
          <t>TRANSF.</t>
        </is>
      </c>
      <c r="DJ5" s="646" t="n">
        <v>45945</v>
      </c>
      <c r="DK5" s="646" t="n">
        <v>45937</v>
      </c>
      <c r="DL5" s="678" t="n">
        <v>45903</v>
      </c>
      <c r="DM5" s="646" t="n">
        <v>45923</v>
      </c>
      <c r="DN5" s="646" t="n">
        <v>45931</v>
      </c>
      <c r="DO5" s="646" t="n">
        <v>45923</v>
      </c>
      <c r="DP5" s="679" t="inlineStr">
        <is>
          <t>TRANSF.</t>
        </is>
      </c>
      <c r="DQ5" s="679" t="inlineStr">
        <is>
          <t>TRANSF.</t>
        </is>
      </c>
      <c r="DR5" s="646" t="n">
        <v>45915</v>
      </c>
      <c r="DS5" s="646" t="n">
        <v>45915</v>
      </c>
      <c r="DT5" s="646" t="n">
        <v>45909</v>
      </c>
      <c r="DU5" s="679" t="n">
        <v>45863</v>
      </c>
      <c r="DV5" s="646" t="n">
        <v>45909</v>
      </c>
      <c r="DW5" s="646" t="n">
        <v>45903</v>
      </c>
      <c r="DX5" s="646" t="n">
        <v>45895</v>
      </c>
      <c r="DY5" s="646" t="n">
        <v>45888</v>
      </c>
      <c r="DZ5" s="646" t="n">
        <v>45881</v>
      </c>
      <c r="EA5" s="646" t="n">
        <v>45874</v>
      </c>
      <c r="EB5" s="681" t="inlineStr">
        <is>
          <t>TRANSF.</t>
        </is>
      </c>
      <c r="EC5" s="646" t="n">
        <v>45853</v>
      </c>
      <c r="ED5" s="646" t="n">
        <v>45848</v>
      </c>
      <c r="EE5" s="646" t="n">
        <v>45839</v>
      </c>
      <c r="EF5" s="681" t="inlineStr">
        <is>
          <t>AUTOMÁTICO</t>
        </is>
      </c>
      <c r="EG5" s="681" t="n">
        <v>45791</v>
      </c>
      <c r="EH5" s="646" t="n">
        <v>45832</v>
      </c>
      <c r="EI5" s="646" t="n">
        <v>45825</v>
      </c>
      <c r="EJ5" s="704" t="inlineStr">
        <is>
          <t>TRANSF. DISNEY/24</t>
        </is>
      </c>
      <c r="EK5" s="646" t="n">
        <v>45825</v>
      </c>
      <c r="EL5" s="646" t="n">
        <v>45813</v>
      </c>
      <c r="EM5" s="646" t="n">
        <v>45798</v>
      </c>
      <c r="EN5" s="648" t="inlineStr">
        <is>
          <t>TRANSF.</t>
        </is>
      </c>
      <c r="EO5" s="654" t="n">
        <v>45790</v>
      </c>
      <c r="EP5" s="680" t="inlineStr">
        <is>
          <t>TRANSF. DISNEY/24</t>
        </is>
      </c>
      <c r="EQ5" s="683" t="n">
        <v>45735</v>
      </c>
      <c r="ER5" s="654" t="n">
        <v>45783</v>
      </c>
      <c r="ES5" s="654" t="n">
        <v>45783</v>
      </c>
      <c r="ET5" s="684" t="inlineStr">
        <is>
          <t>TRANSF.</t>
        </is>
      </c>
      <c r="EU5" s="654" t="n">
        <v>45770</v>
      </c>
      <c r="EV5" s="654" t="n">
        <v>45756</v>
      </c>
      <c r="EW5" s="654" t="n">
        <v>45749</v>
      </c>
      <c r="EX5" s="654" t="n">
        <v>45743</v>
      </c>
      <c r="EY5" s="648" t="inlineStr">
        <is>
          <t>TRANSF.</t>
        </is>
      </c>
      <c r="EZ5" s="654" t="n">
        <v>45734</v>
      </c>
      <c r="FA5" s="654" t="n">
        <v>45728</v>
      </c>
      <c r="FB5" s="684" t="n">
        <v>45700</v>
      </c>
      <c r="FC5" s="654" t="n">
        <v>45722</v>
      </c>
      <c r="FD5" s="646" t="n">
        <v>45714</v>
      </c>
      <c r="FE5" s="646" t="n">
        <v>45706</v>
      </c>
      <c r="FF5" s="646" t="n">
        <v>45699</v>
      </c>
      <c r="FG5" s="646" t="n">
        <v>45693</v>
      </c>
      <c r="FH5" s="646" t="n">
        <v>45685</v>
      </c>
      <c r="FI5" s="646" t="n">
        <v>45679</v>
      </c>
      <c r="FJ5" s="646" t="n">
        <v>45674</v>
      </c>
      <c r="FK5" s="646" t="n">
        <v>45664</v>
      </c>
      <c r="FL5" s="646" t="n">
        <v>45660</v>
      </c>
      <c r="FM5" s="648" t="inlineStr">
        <is>
          <t>TRANSF.</t>
        </is>
      </c>
      <c r="FN5" s="685" t="inlineStr">
        <is>
          <t>TRANSF. NATAL/24</t>
        </is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54" t="n"/>
      <c r="CD6" s="414" t="inlineStr">
        <is>
          <t>SUGESTÃO</t>
        </is>
      </c>
      <c r="CE6" s="214" t="n">
        <v>46156</v>
      </c>
      <c r="CF6" s="656" t="n"/>
      <c r="CG6" s="653" t="n"/>
      <c r="CH6" s="654" t="n"/>
      <c r="CI6" s="654" t="n">
        <v>46155</v>
      </c>
      <c r="CJ6" s="654" t="n">
        <v>46149</v>
      </c>
      <c r="CK6" s="654" t="n">
        <v>46122</v>
      </c>
      <c r="CL6" s="647" t="n">
        <v>46111</v>
      </c>
      <c r="CM6" s="654" t="n">
        <v>46107</v>
      </c>
      <c r="CN6" s="654" t="n">
        <v>46107</v>
      </c>
      <c r="CO6" s="654" t="n">
        <v>46100</v>
      </c>
      <c r="CP6" s="655" t="n">
        <v>46080</v>
      </c>
      <c r="CQ6" s="655" t="n">
        <v>46079</v>
      </c>
      <c r="CR6" s="654" t="n">
        <v>46083</v>
      </c>
      <c r="CS6" s="654" t="n">
        <v>46072</v>
      </c>
      <c r="CT6" s="654" t="n">
        <v>46059</v>
      </c>
      <c r="CU6" s="655" t="n">
        <v>46055</v>
      </c>
      <c r="CV6" s="654" t="n">
        <v>46050</v>
      </c>
      <c r="CW6" s="654" t="n">
        <v>46052</v>
      </c>
      <c r="CX6" s="654" t="n">
        <v>46043</v>
      </c>
      <c r="CY6" s="654" t="n">
        <v>46038</v>
      </c>
      <c r="CZ6" s="654" t="n">
        <v>46028</v>
      </c>
      <c r="DA6" s="654" t="n">
        <v>46014</v>
      </c>
      <c r="DB6" s="654" t="n">
        <v>46010</v>
      </c>
      <c r="DC6" s="654" t="n">
        <v>46003</v>
      </c>
      <c r="DD6" s="654" t="n">
        <v>45980</v>
      </c>
      <c r="DE6" s="654" t="n">
        <v>45971</v>
      </c>
      <c r="DF6" s="654" t="n">
        <v>45971</v>
      </c>
      <c r="DG6" s="654" t="n">
        <v>45961</v>
      </c>
      <c r="DH6" s="654" t="n">
        <v>45957</v>
      </c>
      <c r="DI6" s="687" t="n">
        <v>45952</v>
      </c>
      <c r="DJ6" s="654" t="n">
        <v>45952</v>
      </c>
      <c r="DK6" s="654" t="n">
        <v>45945</v>
      </c>
      <c r="DL6" s="687" t="n">
        <v>45945</v>
      </c>
      <c r="DM6" s="654" t="n">
        <v>45943</v>
      </c>
      <c r="DN6" s="654" t="n">
        <v>45939</v>
      </c>
      <c r="DO6" s="654" t="n">
        <v>45927</v>
      </c>
      <c r="DP6" s="688" t="n">
        <v>45925</v>
      </c>
      <c r="DQ6" s="688" t="n">
        <v>45924</v>
      </c>
      <c r="DR6" s="654" t="n">
        <v>45925</v>
      </c>
      <c r="DS6" s="654" t="n">
        <v>45920</v>
      </c>
      <c r="DT6" s="654" t="n">
        <v>45919</v>
      </c>
      <c r="DU6" s="688" t="n">
        <v>45919</v>
      </c>
      <c r="DV6" s="654" t="n">
        <v>45913</v>
      </c>
      <c r="DW6" s="654" t="n">
        <v>45906</v>
      </c>
      <c r="DX6" s="654" t="n">
        <v>45904</v>
      </c>
      <c r="DY6" s="654" t="n">
        <v>45897</v>
      </c>
      <c r="DZ6" s="654" t="n">
        <v>45889</v>
      </c>
      <c r="EA6" s="654" t="n">
        <v>45885</v>
      </c>
      <c r="EB6" s="681" t="n">
        <v>45868</v>
      </c>
      <c r="EC6" s="654" t="n">
        <v>45863</v>
      </c>
      <c r="ED6" s="654" t="n">
        <v>45860</v>
      </c>
      <c r="EE6" s="654" t="n">
        <v>45845</v>
      </c>
      <c r="EF6" s="681" t="n">
        <v>45842</v>
      </c>
      <c r="EG6" s="681" t="n">
        <v>45841</v>
      </c>
      <c r="EH6" s="654" t="n">
        <v>45841</v>
      </c>
      <c r="EI6" s="654" t="n">
        <v>45838</v>
      </c>
      <c r="EJ6" s="704" t="n">
        <v>45834</v>
      </c>
      <c r="EK6" s="654" t="n">
        <v>45833</v>
      </c>
      <c r="EL6" s="654" t="n">
        <v>45831</v>
      </c>
      <c r="EM6" s="654" t="n">
        <v>45805</v>
      </c>
      <c r="EN6" s="655" t="n">
        <v>45798</v>
      </c>
      <c r="EO6" s="654" t="n">
        <v>45793</v>
      </c>
      <c r="EP6" s="689" t="n">
        <v>45790</v>
      </c>
      <c r="EQ6" s="690" t="n">
        <v>45786</v>
      </c>
      <c r="ER6" s="654" t="n">
        <v>45786</v>
      </c>
      <c r="ES6" s="654" t="n">
        <v>45786</v>
      </c>
      <c r="ET6" s="684" t="n">
        <v>45785</v>
      </c>
      <c r="EU6" s="654" t="n">
        <v>45779</v>
      </c>
      <c r="EV6" s="654" t="n">
        <v>45776</v>
      </c>
      <c r="EW6" s="654" t="n">
        <v>45756</v>
      </c>
      <c r="EX6" s="654" t="n">
        <v>45751</v>
      </c>
      <c r="EY6" s="655" t="n">
        <v>45750</v>
      </c>
      <c r="EZ6" s="654" t="n">
        <v>45743</v>
      </c>
      <c r="FA6" s="654" t="n">
        <v>45740</v>
      </c>
      <c r="FB6" s="684" t="n">
        <v>45735</v>
      </c>
      <c r="FC6" s="654" t="n">
        <v>45728</v>
      </c>
      <c r="FD6" s="654" t="n">
        <v>45722</v>
      </c>
      <c r="FE6" s="654" t="n">
        <v>45712</v>
      </c>
      <c r="FF6" s="654" t="n">
        <v>45705</v>
      </c>
      <c r="FG6" s="654" t="n">
        <v>45695</v>
      </c>
      <c r="FH6" s="654" t="n">
        <v>45692</v>
      </c>
      <c r="FI6" s="654" t="n">
        <v>45684</v>
      </c>
      <c r="FJ6" s="654" t="n">
        <v>45680</v>
      </c>
      <c r="FK6" s="654" t="n">
        <v>45670</v>
      </c>
      <c r="FL6" s="654" t="n">
        <v>45670</v>
      </c>
      <c r="FM6" s="655" t="n">
        <v>45670</v>
      </c>
      <c r="FN6" s="685" t="n">
        <v>45665</v>
      </c>
      <c r="FQ6" s="6" t="n"/>
      <c r="FR6" s="6" t="n"/>
      <c r="FS6" s="6" t="n"/>
      <c r="FT6" s="6" t="n"/>
      <c r="FU6" s="6" t="n"/>
      <c r="FV6" s="6" t="n"/>
      <c r="FW6" s="6" t="n"/>
      <c r="FX6" s="6" t="n"/>
      <c r="FY6" s="6" t="n"/>
      <c r="FZ6" s="6" t="n"/>
      <c r="GA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89" t="n"/>
      <c r="CE7" s="89" t="n"/>
      <c r="CF7" s="76" t="n"/>
      <c r="CH7" s="283" t="n"/>
      <c r="CI7" s="283" t="n"/>
      <c r="CJ7" s="283" t="n"/>
      <c r="CK7" s="283" t="n"/>
      <c r="CL7" s="575" t="inlineStr">
        <is>
          <t>MÃES</t>
        </is>
      </c>
      <c r="CM7" s="283" t="n"/>
      <c r="CN7" s="283" t="n"/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575" t="n"/>
      <c r="DJ7" s="283" t="n"/>
      <c r="DK7" s="283" t="n"/>
      <c r="DL7" s="575" t="n"/>
      <c r="DM7" s="283" t="n"/>
      <c r="DN7" s="283" t="n"/>
      <c r="DO7" s="283" t="n"/>
      <c r="DP7" s="575" t="n"/>
      <c r="DQ7" s="575" t="n"/>
      <c r="DR7" s="283" t="n"/>
      <c r="DS7" s="283" t="n"/>
      <c r="DT7" s="283" t="n"/>
      <c r="DU7" s="575" t="inlineStr">
        <is>
          <t>HA</t>
        </is>
      </c>
      <c r="DV7" s="283" t="n"/>
      <c r="DW7" s="283" t="n"/>
      <c r="DX7" s="283" t="n"/>
      <c r="DY7" s="283" t="n"/>
      <c r="DZ7" s="283" t="n"/>
      <c r="EA7" s="283" t="n"/>
      <c r="EB7" s="575" t="inlineStr">
        <is>
          <t>PAIS/25</t>
        </is>
      </c>
      <c r="EC7" s="283" t="n"/>
      <c r="ED7" s="283" t="n"/>
      <c r="EE7" s="283" t="n"/>
      <c r="EF7" s="575" t="n"/>
      <c r="EG7" s="575" t="n"/>
      <c r="EH7" s="283" t="n"/>
      <c r="EI7" s="283" t="n"/>
      <c r="EJ7" s="283" t="n"/>
      <c r="EK7" s="283" t="n"/>
      <c r="EL7" s="283" t="n"/>
      <c r="EM7" s="283" t="n"/>
      <c r="EN7" s="575" t="n"/>
      <c r="EO7" s="575" t="n"/>
      <c r="EP7" s="575" t="n"/>
      <c r="EQ7" s="283" t="n"/>
      <c r="ER7" s="575" t="n"/>
      <c r="ES7" s="575" t="n"/>
      <c r="ET7" s="575" t="inlineStr">
        <is>
          <t>MÃES/25</t>
        </is>
      </c>
      <c r="EU7" s="575" t="n"/>
      <c r="EV7" s="575" t="n"/>
      <c r="EW7" s="575" t="n"/>
      <c r="EX7" s="575" t="n"/>
      <c r="EY7" s="575" t="n"/>
      <c r="EZ7" s="575" t="n"/>
      <c r="FA7" s="575" t="n"/>
      <c r="FB7" s="575" t="inlineStr">
        <is>
          <t>MÃES/25</t>
        </is>
      </c>
      <c r="FC7" s="575" t="n"/>
      <c r="FD7" s="575" t="n"/>
      <c r="FE7" s="575" t="n"/>
      <c r="FF7" s="575" t="n"/>
      <c r="FG7" s="575" t="n"/>
      <c r="FH7" s="575" t="n"/>
      <c r="FI7" s="575" t="n"/>
      <c r="FJ7" s="575" t="n"/>
      <c r="FK7" s="575" t="n"/>
      <c r="FL7" s="575" t="n"/>
      <c r="FM7" s="575" t="n"/>
      <c r="FN7" s="575" t="n"/>
      <c r="FQ7" s="504" t="inlineStr">
        <is>
          <t>MÃES 2026</t>
        </is>
      </c>
      <c r="FR7" s="658" t="n"/>
      <c r="FS7" s="658" t="n"/>
      <c r="FT7" s="658" t="n"/>
      <c r="FU7" s="658" t="n"/>
      <c r="FV7" s="658" t="n"/>
      <c r="FW7" s="658" t="n"/>
      <c r="FX7" s="658" t="n"/>
      <c r="FY7" s="658" t="n"/>
      <c r="FZ7" s="505" t="n"/>
      <c r="GA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600</v>
      </c>
      <c r="E8" s="6" t="n"/>
      <c r="F8" s="38" t="n">
        <v>1140</v>
      </c>
      <c r="G8" s="38" t="n">
        <v>1060</v>
      </c>
      <c r="H8" s="38" t="n">
        <v>1050</v>
      </c>
      <c r="I8" s="38" t="n">
        <v>920</v>
      </c>
      <c r="J8" s="38" t="n">
        <v>900</v>
      </c>
      <c r="K8" s="38" t="n">
        <v>760</v>
      </c>
      <c r="L8" s="38" t="n">
        <v>660</v>
      </c>
      <c r="M8" s="38" t="n">
        <v>620</v>
      </c>
      <c r="N8" s="38" t="n">
        <v>520</v>
      </c>
      <c r="O8" s="38" t="n">
        <v>440</v>
      </c>
      <c r="P8" s="38" t="n">
        <v>160</v>
      </c>
      <c r="Q8" s="38" t="n">
        <v>80</v>
      </c>
      <c r="R8" s="38">
        <f>80+FA8</f>
        <v/>
      </c>
      <c r="S8" s="38" t="n">
        <v>180</v>
      </c>
      <c r="T8" s="38" t="n">
        <v>300</v>
      </c>
      <c r="U8" s="38" t="n">
        <v>300</v>
      </c>
      <c r="V8" s="38" t="n">
        <v>100</v>
      </c>
      <c r="W8" s="38" t="n">
        <v>60</v>
      </c>
      <c r="X8" s="38" t="n">
        <v>840</v>
      </c>
      <c r="Y8" s="38" t="n">
        <v>1060</v>
      </c>
      <c r="Z8" s="38">
        <f>960+300</f>
        <v/>
      </c>
      <c r="AA8" s="38" t="n">
        <v>1120</v>
      </c>
      <c r="AB8" s="38" t="n">
        <v>1100</v>
      </c>
      <c r="AC8" s="38" t="n">
        <v>780</v>
      </c>
      <c r="AD8" s="38" t="n">
        <v>740</v>
      </c>
      <c r="AE8" s="38" t="n">
        <v>660</v>
      </c>
      <c r="AF8" s="38" t="n">
        <v>560</v>
      </c>
      <c r="AG8" s="38" t="n">
        <v>520</v>
      </c>
      <c r="AH8" s="38" t="n">
        <v>420</v>
      </c>
      <c r="AI8" s="38" t="n">
        <v>600</v>
      </c>
      <c r="AJ8" s="38" t="n">
        <v>900</v>
      </c>
      <c r="AK8" s="38" t="n">
        <v>420</v>
      </c>
      <c r="AL8" s="38" t="n">
        <v>300</v>
      </c>
      <c r="AM8" s="38" t="n">
        <v>600</v>
      </c>
      <c r="AN8" s="38" t="n">
        <v>460</v>
      </c>
      <c r="AO8" s="38" t="n">
        <v>460</v>
      </c>
      <c r="AP8" s="38" t="n">
        <v>300</v>
      </c>
      <c r="AQ8" s="38" t="n">
        <v>220</v>
      </c>
      <c r="AR8" s="38" t="n">
        <v>440</v>
      </c>
      <c r="AS8" s="38" t="n">
        <v>720</v>
      </c>
      <c r="AT8" s="38" t="n">
        <v>600</v>
      </c>
      <c r="AU8" s="38" t="n">
        <v>600</v>
      </c>
      <c r="AV8" s="38" t="n">
        <v>480</v>
      </c>
      <c r="AW8" s="38" t="n">
        <v>400</v>
      </c>
      <c r="AX8" s="38" t="n">
        <v>625</v>
      </c>
      <c r="AY8" s="38" t="n">
        <v>600</v>
      </c>
      <c r="AZ8" s="38" t="n">
        <v>600</v>
      </c>
      <c r="BA8" s="38" t="n">
        <v>600</v>
      </c>
      <c r="BB8" s="38" t="n">
        <v>300</v>
      </c>
      <c r="BC8" s="38">
        <f>50+DC8</f>
        <v/>
      </c>
      <c r="BD8" s="38" t="n">
        <v>620</v>
      </c>
      <c r="BE8" s="38">
        <f>600+DA8</f>
        <v/>
      </c>
      <c r="BF8" s="38" t="n">
        <v>500</v>
      </c>
      <c r="BG8" s="38" t="n">
        <v>50</v>
      </c>
      <c r="BH8" s="38" t="n">
        <v>50</v>
      </c>
      <c r="BI8" s="38">
        <f>0+CY8</f>
        <v/>
      </c>
      <c r="BJ8" s="38" t="n">
        <v>650</v>
      </c>
      <c r="BK8" s="38" t="n">
        <v>640</v>
      </c>
      <c r="BL8" s="38" t="n">
        <v>900</v>
      </c>
      <c r="BM8" s="38" t="n">
        <v>700</v>
      </c>
      <c r="BN8" s="38">
        <f>940+300</f>
        <v/>
      </c>
      <c r="BO8" s="38" t="n">
        <v>1200</v>
      </c>
      <c r="BP8" s="38" t="n">
        <v>950</v>
      </c>
      <c r="BQ8" s="38" t="n">
        <v>840</v>
      </c>
      <c r="BR8" s="38" t="n">
        <v>760</v>
      </c>
      <c r="BS8" s="38" t="n">
        <v>640</v>
      </c>
      <c r="BT8" s="38" t="n">
        <v>440</v>
      </c>
      <c r="BU8" s="38" t="n">
        <v>460</v>
      </c>
      <c r="BV8" s="38" t="n">
        <v>360</v>
      </c>
      <c r="BW8" s="38" t="n">
        <v>340</v>
      </c>
      <c r="BX8" s="38">
        <f>200+CJ8</f>
        <v/>
      </c>
      <c r="BY8" s="38">
        <f>200+CI8</f>
        <v/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n"/>
      <c r="CE8" s="19" t="n">
        <v>300</v>
      </c>
      <c r="CF8" s="23" t="n"/>
      <c r="CH8" s="18" t="n">
        <v>0</v>
      </c>
      <c r="CI8" s="18" t="n">
        <v>300</v>
      </c>
      <c r="CJ8" s="18" t="n">
        <v>300</v>
      </c>
      <c r="CK8" s="18" t="n"/>
      <c r="CL8" s="356" t="n"/>
      <c r="CM8" s="18" t="n"/>
      <c r="CN8" s="18" t="n"/>
      <c r="CO8" s="18" t="n"/>
      <c r="CP8" s="256" t="n"/>
      <c r="CQ8" s="154" t="inlineStr">
        <is>
          <t>300 DE PL</t>
        </is>
      </c>
      <c r="CR8" s="18" t="n"/>
      <c r="CS8" s="18" t="n">
        <v>300</v>
      </c>
      <c r="CT8" s="18" t="n">
        <v>300</v>
      </c>
      <c r="CU8" s="256" t="n"/>
      <c r="CV8" s="18" t="n"/>
      <c r="CW8" s="18" t="n"/>
      <c r="CX8" s="18" t="n"/>
      <c r="CY8" s="18" t="n">
        <v>600</v>
      </c>
      <c r="CZ8" s="18" t="n"/>
      <c r="DA8" s="18" t="n">
        <v>300</v>
      </c>
      <c r="DB8" s="18" t="n">
        <v>300</v>
      </c>
      <c r="DC8" s="18" t="n">
        <v>600</v>
      </c>
      <c r="DD8" s="18" t="n"/>
      <c r="DE8" s="18" t="n"/>
      <c r="DF8" s="18" t="n"/>
      <c r="DG8" s="18" t="n">
        <v>300</v>
      </c>
      <c r="DH8" s="18" t="n"/>
      <c r="DI8" s="256" t="n"/>
      <c r="DJ8" s="18" t="n"/>
      <c r="DK8" s="18" t="n"/>
      <c r="DL8" s="256" t="n"/>
      <c r="DM8" s="18" t="n"/>
      <c r="DN8" s="18" t="n"/>
      <c r="DO8" s="18" t="n"/>
      <c r="DP8" s="256" t="n"/>
      <c r="DQ8" s="256" t="n"/>
      <c r="DR8" s="18" t="n">
        <v>300</v>
      </c>
      <c r="DS8" s="18" t="n"/>
      <c r="DT8" s="18" t="n">
        <v>300</v>
      </c>
      <c r="DU8" s="256" t="n"/>
      <c r="DV8" s="18" t="n"/>
      <c r="DW8" s="18" t="n"/>
      <c r="DX8" s="18" t="n"/>
      <c r="DY8" s="18" t="n"/>
      <c r="DZ8" s="18" t="n"/>
      <c r="EA8" s="18" t="n">
        <v>300</v>
      </c>
      <c r="EB8" s="256" t="n"/>
      <c r="EC8" s="18" t="n">
        <v>300</v>
      </c>
      <c r="ED8" s="18" t="n"/>
      <c r="EE8" s="18" t="n"/>
      <c r="EF8" s="256" t="n"/>
      <c r="EG8" s="256" t="n"/>
      <c r="EH8" s="18" t="n"/>
      <c r="EI8" s="18" t="n"/>
      <c r="EJ8" s="356" t="n"/>
      <c r="EK8" s="18" t="n"/>
      <c r="EL8" s="18" t="n"/>
      <c r="EM8" s="18" t="n"/>
      <c r="EN8" s="241" t="inlineStr">
        <is>
          <t>300 DE MG</t>
        </is>
      </c>
      <c r="EO8" s="18" t="n"/>
      <c r="EP8" s="18" t="n"/>
      <c r="EQ8" s="256" t="n"/>
      <c r="ER8" s="18" t="n"/>
      <c r="ES8" s="18" t="n">
        <v>300</v>
      </c>
      <c r="ET8" s="256" t="n"/>
      <c r="EU8" s="18" t="n">
        <v>300</v>
      </c>
      <c r="EV8" s="18" t="n">
        <v>600</v>
      </c>
      <c r="EW8" s="18" t="n"/>
      <c r="EX8" s="18" t="n">
        <v>300</v>
      </c>
      <c r="EY8" s="18" t="n"/>
      <c r="EZ8" s="18" t="n"/>
      <c r="FA8" s="18" t="n">
        <v>300</v>
      </c>
      <c r="FB8" s="256" t="n"/>
      <c r="FC8" s="18" t="n"/>
      <c r="FD8" s="18" t="n"/>
      <c r="FE8" s="18" t="n"/>
      <c r="FF8" s="18" t="n"/>
      <c r="FG8" s="18" t="n"/>
      <c r="FH8" s="18" t="n"/>
      <c r="FI8" s="18" t="n"/>
      <c r="FJ8" s="18" t="n"/>
      <c r="FK8" s="18" t="n"/>
      <c r="FL8" s="18" t="n"/>
      <c r="FM8" s="18" t="n"/>
      <c r="FN8" s="256" t="n"/>
      <c r="FQ8" s="267" t="inlineStr">
        <is>
          <t xml:space="preserve">SACOLAS </t>
        </is>
      </c>
      <c r="FR8" s="205" t="inlineStr">
        <is>
          <t>PCT</t>
        </is>
      </c>
      <c r="FS8" s="650" t="n">
        <v>46118</v>
      </c>
      <c r="FT8" s="650" t="n">
        <v>46125</v>
      </c>
      <c r="FU8" s="650" t="n">
        <v>46132</v>
      </c>
      <c r="FV8" s="650" t="n">
        <v>46139</v>
      </c>
      <c r="FW8" s="650" t="n">
        <v>46146</v>
      </c>
      <c r="FX8" s="650" t="n">
        <v>46154</v>
      </c>
      <c r="FY8" s="650" t="n">
        <v>46160</v>
      </c>
      <c r="FZ8" s="650" t="n">
        <v>46160</v>
      </c>
      <c r="GA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800</v>
      </c>
      <c r="E9" s="6" t="n"/>
      <c r="F9" s="38" t="n">
        <v>800</v>
      </c>
      <c r="G9" s="38">
        <f>200+200</f>
        <v/>
      </c>
      <c r="H9" s="38">
        <f>200+FK9+FL9</f>
        <v/>
      </c>
      <c r="I9" s="38" t="n">
        <v>1825</v>
      </c>
      <c r="J9" s="38" t="n">
        <v>1425</v>
      </c>
      <c r="K9" s="38">
        <f>1175+FH9</f>
        <v/>
      </c>
      <c r="L9" s="38" t="n">
        <v>1400</v>
      </c>
      <c r="M9" s="38">
        <f>1000+FF9</f>
        <v/>
      </c>
      <c r="N9" s="38">
        <f>1275+FE9</f>
        <v/>
      </c>
      <c r="O9" s="38" t="n">
        <v>1825</v>
      </c>
      <c r="P9" s="38" t="n">
        <v>1400</v>
      </c>
      <c r="Q9" s="38" t="n">
        <v>1025</v>
      </c>
      <c r="R9" s="38" t="n">
        <v>825</v>
      </c>
      <c r="S9" s="38" t="n">
        <v>475</v>
      </c>
      <c r="T9" s="38">
        <f>775+EW9</f>
        <v/>
      </c>
      <c r="U9" s="38" t="n">
        <v>1155</v>
      </c>
      <c r="V9" s="38" t="n">
        <v>1255</v>
      </c>
      <c r="W9" s="38" t="n">
        <v>1200</v>
      </c>
      <c r="X9" s="38" t="n">
        <v>1200</v>
      </c>
      <c r="Y9" s="38" t="n">
        <v>1000</v>
      </c>
      <c r="Z9" s="38" t="n">
        <v>675</v>
      </c>
      <c r="AA9" s="38">
        <f>425+EM9</f>
        <v/>
      </c>
      <c r="AB9" s="38" t="n">
        <v>425</v>
      </c>
      <c r="AC9" s="38" t="n">
        <v>425</v>
      </c>
      <c r="AD9" s="38" t="n">
        <v>200</v>
      </c>
      <c r="AE9" s="38">
        <f>100+EL9</f>
        <v/>
      </c>
      <c r="AF9" s="38" t="n">
        <v>1050</v>
      </c>
      <c r="AG9" s="38">
        <f>400+EE9</f>
        <v/>
      </c>
      <c r="AH9" s="38" t="n">
        <v>200</v>
      </c>
      <c r="AI9" s="38">
        <f>200+ED9</f>
        <v/>
      </c>
      <c r="AJ9" s="38" t="n">
        <v>1000</v>
      </c>
      <c r="AK9" s="38" t="n">
        <v>800</v>
      </c>
      <c r="AL9" s="38" t="n">
        <v>400</v>
      </c>
      <c r="AM9" s="38" t="n">
        <v>680</v>
      </c>
      <c r="AN9" s="38" t="n">
        <v>960</v>
      </c>
      <c r="AO9" s="38" t="n">
        <v>900</v>
      </c>
      <c r="AP9" s="38" t="n">
        <v>625</v>
      </c>
      <c r="AQ9" s="38">
        <f>300+DV9</f>
        <v/>
      </c>
      <c r="AR9" s="38" t="n">
        <v>525</v>
      </c>
      <c r="AS9" s="38" t="n">
        <v>680</v>
      </c>
      <c r="AT9" s="38">
        <f>400+DN9</f>
        <v/>
      </c>
      <c r="AU9" s="38">
        <f>250+DM9+DK9</f>
        <v/>
      </c>
      <c r="AV9" s="38" t="n">
        <v>600</v>
      </c>
      <c r="AW9" s="38" t="n">
        <v>400</v>
      </c>
      <c r="AX9" s="38" t="n">
        <v>600</v>
      </c>
      <c r="AY9" s="38">
        <f>520+DE9</f>
        <v/>
      </c>
      <c r="AZ9" s="38" t="n">
        <v>650</v>
      </c>
      <c r="BA9" s="38" t="n">
        <v>650</v>
      </c>
      <c r="BB9" s="38" t="n">
        <v>650</v>
      </c>
      <c r="BC9" s="38" t="n">
        <v>575</v>
      </c>
      <c r="BD9" s="38" t="n">
        <v>250</v>
      </c>
      <c r="BE9" s="38">
        <f>400+DA9</f>
        <v/>
      </c>
      <c r="BF9" s="38" t="n">
        <v>0</v>
      </c>
      <c r="BG9" s="38" t="n">
        <v>0</v>
      </c>
      <c r="BH9" s="38" t="n">
        <v>0</v>
      </c>
      <c r="BI9" s="38">
        <f>0+CX9+CY9</f>
        <v/>
      </c>
      <c r="BJ9" s="38" t="n">
        <v>480</v>
      </c>
      <c r="BK9" s="38" t="n">
        <v>1375</v>
      </c>
      <c r="BL9" s="38" t="n">
        <v>1600</v>
      </c>
      <c r="BM9" s="38" t="n">
        <v>1100</v>
      </c>
      <c r="BN9" s="38">
        <f>1500+200</f>
        <v/>
      </c>
      <c r="BO9" s="38" t="n">
        <v>1480</v>
      </c>
      <c r="BP9" s="38" t="n">
        <v>1200</v>
      </c>
      <c r="BQ9" s="38" t="n">
        <v>800</v>
      </c>
      <c r="BR9" s="38">
        <f>600+CM9</f>
        <v/>
      </c>
      <c r="BS9" s="38" t="n">
        <v>600</v>
      </c>
      <c r="BT9" s="38" t="n">
        <v>420</v>
      </c>
      <c r="BU9" s="38" t="n">
        <v>1080</v>
      </c>
      <c r="BV9" s="38" t="n">
        <v>1050</v>
      </c>
      <c r="BW9" s="38" t="n">
        <v>1350</v>
      </c>
      <c r="BX9" s="38" t="n">
        <v>1300</v>
      </c>
      <c r="BY9" s="38" t="n">
        <v>1075</v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E9" s="19" t="n"/>
      <c r="CF9" s="23" t="n"/>
      <c r="CH9" s="18" t="n">
        <v>0</v>
      </c>
      <c r="CI9" s="18" t="n">
        <v>0</v>
      </c>
      <c r="CJ9" s="18" t="n">
        <v>0</v>
      </c>
      <c r="CK9" s="18" t="n">
        <v>800</v>
      </c>
      <c r="CL9" s="256" t="n">
        <v>1600</v>
      </c>
      <c r="CM9" s="18" t="n">
        <v>400</v>
      </c>
      <c r="CN9" s="18" t="n"/>
      <c r="CO9" s="18" t="n"/>
      <c r="CP9" s="154" t="inlineStr">
        <is>
          <t>200 DE MG</t>
        </is>
      </c>
      <c r="CQ9" s="18" t="n"/>
      <c r="CR9" s="18" t="n"/>
      <c r="CS9" s="18" t="n">
        <v>600</v>
      </c>
      <c r="CT9" s="18" t="n">
        <v>400</v>
      </c>
      <c r="CU9" s="18" t="n"/>
      <c r="CV9" s="18" t="n">
        <v>1000</v>
      </c>
      <c r="CW9" s="18" t="n"/>
      <c r="CX9" s="18" t="n">
        <v>800</v>
      </c>
      <c r="CY9" s="18" t="n">
        <v>200</v>
      </c>
      <c r="CZ9" s="18" t="n">
        <v>600</v>
      </c>
      <c r="DA9" s="18" t="n">
        <v>400</v>
      </c>
      <c r="DB9" s="18" t="n">
        <v>800</v>
      </c>
      <c r="DC9" s="18" t="n"/>
      <c r="DD9" s="18" t="n"/>
      <c r="DE9" s="18" t="n">
        <v>200</v>
      </c>
      <c r="DF9" s="18" t="n"/>
      <c r="DG9" s="18" t="n">
        <v>200</v>
      </c>
      <c r="DH9" s="18" t="n"/>
      <c r="DI9" s="256" t="n"/>
      <c r="DJ9" s="18" t="n"/>
      <c r="DK9" s="18" t="n">
        <v>200</v>
      </c>
      <c r="DL9" s="256" t="n">
        <v>1800</v>
      </c>
      <c r="DM9" s="18" t="n">
        <v>200</v>
      </c>
      <c r="DN9" s="18" t="n">
        <v>200</v>
      </c>
      <c r="DO9" s="18" t="n"/>
      <c r="DP9" s="256" t="n"/>
      <c r="DQ9" s="256" t="n"/>
      <c r="DR9" s="18" t="n">
        <v>400</v>
      </c>
      <c r="DS9" s="18" t="n"/>
      <c r="DT9" s="18" t="n"/>
      <c r="DU9" s="256" t="n"/>
      <c r="DV9" s="18" t="n">
        <v>400</v>
      </c>
      <c r="DW9" s="18" t="n"/>
      <c r="DX9" s="18" t="n"/>
      <c r="DY9" s="18" t="n"/>
      <c r="DZ9" s="18" t="n">
        <v>600</v>
      </c>
      <c r="EA9" s="18" t="n">
        <v>400</v>
      </c>
      <c r="EB9" s="256" t="n"/>
      <c r="EC9" s="18" t="n">
        <v>600</v>
      </c>
      <c r="ED9" s="18" t="n">
        <v>400</v>
      </c>
      <c r="EE9" s="18" t="n">
        <v>200</v>
      </c>
      <c r="EF9" s="256" t="n"/>
      <c r="EG9" s="256" t="n"/>
      <c r="EH9" s="18" t="n"/>
      <c r="EI9" s="18" t="n"/>
      <c r="EJ9" s="356" t="n"/>
      <c r="EK9" s="18" t="n"/>
      <c r="EL9" s="18" t="n">
        <v>1000</v>
      </c>
      <c r="EM9" s="18" t="n">
        <v>400</v>
      </c>
      <c r="EN9" s="18" t="n"/>
      <c r="EO9" s="18" t="n"/>
      <c r="EP9" s="18" t="n"/>
      <c r="EQ9" s="256" t="n"/>
      <c r="ER9" s="18" t="n"/>
      <c r="ES9" s="18" t="n"/>
      <c r="ET9" s="256" t="n"/>
      <c r="EU9" s="18" t="n"/>
      <c r="EV9" s="18" t="n"/>
      <c r="EW9" s="18" t="n">
        <v>400</v>
      </c>
      <c r="EX9" s="18" t="n">
        <v>400</v>
      </c>
      <c r="EY9" s="18" t="n"/>
      <c r="EZ9" s="18" t="n"/>
      <c r="FA9" s="18" t="n"/>
      <c r="FB9" s="256" t="n">
        <v>1600</v>
      </c>
      <c r="FC9" s="18" t="n"/>
      <c r="FD9" s="18" t="n"/>
      <c r="FE9" s="18" t="n">
        <v>600</v>
      </c>
      <c r="FF9" s="18" t="n">
        <v>400</v>
      </c>
      <c r="FG9" s="18" t="n"/>
      <c r="FH9" s="18" t="n">
        <v>600</v>
      </c>
      <c r="FI9" s="18" t="n"/>
      <c r="FJ9" s="18" t="n"/>
      <c r="FK9" s="18" t="n">
        <v>800</v>
      </c>
      <c r="FL9" s="18" t="n">
        <v>1200</v>
      </c>
      <c r="FM9" s="241" t="inlineStr">
        <is>
          <t>200 DE ER PBE</t>
        </is>
      </c>
      <c r="FN9" s="256" t="n"/>
      <c r="FQ9" s="159" t="inlineStr">
        <is>
          <t xml:space="preserve">SACOLA P </t>
        </is>
      </c>
      <c r="FR9" s="129" t="n">
        <v>200</v>
      </c>
      <c r="FS9" s="38">
        <f>CL9</f>
        <v/>
      </c>
      <c r="FT9" s="38" t="n">
        <v>1200</v>
      </c>
      <c r="FU9" s="38" t="n">
        <v>800</v>
      </c>
      <c r="FV9" s="38" t="n">
        <v>600</v>
      </c>
      <c r="FW9" s="38" t="n">
        <v>400</v>
      </c>
      <c r="FX9" s="38" t="n">
        <v>400</v>
      </c>
      <c r="FY9" s="38" t="n"/>
      <c r="FZ9" s="38" t="n"/>
      <c r="GA9" s="246">
        <f>FY9+IF(NOT(ISBLANK(OFFSET(GA9,0,6))),N(OFFSET(GA9,0,6)),N(OFFSET(GA9,0,7)))-FZ9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600</v>
      </c>
      <c r="E10" s="6" t="n"/>
      <c r="F10" s="38" t="n">
        <v>900</v>
      </c>
      <c r="G10" s="38" t="n">
        <v>575</v>
      </c>
      <c r="H10" s="38">
        <f>450+FK10+FL10</f>
        <v/>
      </c>
      <c r="I10" s="38" t="n">
        <v>1125</v>
      </c>
      <c r="J10" s="38" t="n">
        <v>975</v>
      </c>
      <c r="K10" s="38">
        <f>800+FH10</f>
        <v/>
      </c>
      <c r="L10" s="38" t="n">
        <v>950</v>
      </c>
      <c r="M10" s="38" t="n">
        <v>800</v>
      </c>
      <c r="N10" s="38" t="n">
        <v>725</v>
      </c>
      <c r="O10" s="38" t="n">
        <v>650</v>
      </c>
      <c r="P10" s="38" t="n">
        <v>400</v>
      </c>
      <c r="Q10" s="38" t="n">
        <v>250</v>
      </c>
      <c r="R10" s="38">
        <f>75+FA10+EZ10</f>
        <v/>
      </c>
      <c r="S10" s="38" t="n">
        <v>600</v>
      </c>
      <c r="T10" s="38" t="n">
        <v>600</v>
      </c>
      <c r="U10" s="38" t="n">
        <v>700</v>
      </c>
      <c r="V10" s="38" t="n">
        <v>650</v>
      </c>
      <c r="W10" s="38" t="n">
        <v>650</v>
      </c>
      <c r="X10" s="38" t="n">
        <v>650</v>
      </c>
      <c r="Y10" s="38" t="n">
        <v>650</v>
      </c>
      <c r="Z10" s="38">
        <f>450+200</f>
        <v/>
      </c>
      <c r="AA10" s="38" t="n">
        <v>625</v>
      </c>
      <c r="AB10" s="38" t="n">
        <v>625</v>
      </c>
      <c r="AC10" s="38" t="n">
        <v>625</v>
      </c>
      <c r="AD10" s="38" t="n">
        <v>625</v>
      </c>
      <c r="AE10" s="38" t="n">
        <v>475</v>
      </c>
      <c r="AF10" s="38" t="n">
        <v>375</v>
      </c>
      <c r="AG10" s="38">
        <f>475+EE10</f>
        <v/>
      </c>
      <c r="AH10" s="38" t="n">
        <v>650</v>
      </c>
      <c r="AI10" s="38" t="n">
        <v>525</v>
      </c>
      <c r="AJ10" s="38" t="n">
        <v>350</v>
      </c>
      <c r="AK10" s="38" t="n">
        <v>350</v>
      </c>
      <c r="AL10" s="38" t="n">
        <v>200</v>
      </c>
      <c r="AM10" s="38" t="n">
        <v>300</v>
      </c>
      <c r="AN10" s="38">
        <f>100+DY10</f>
        <v/>
      </c>
      <c r="AO10" s="38" t="n">
        <v>400</v>
      </c>
      <c r="AP10" s="38" t="n">
        <v>350</v>
      </c>
      <c r="AQ10" s="38">
        <f>200+DV10</f>
        <v/>
      </c>
      <c r="AR10" s="38" t="n">
        <v>475</v>
      </c>
      <c r="AS10" s="38" t="n">
        <v>600</v>
      </c>
      <c r="AT10" s="38" t="n">
        <v>500</v>
      </c>
      <c r="AU10" s="38">
        <f>425+DK10</f>
        <v/>
      </c>
      <c r="AV10" s="38" t="n">
        <v>400</v>
      </c>
      <c r="AW10" s="38" t="n">
        <v>275</v>
      </c>
      <c r="AX10" s="38" t="n">
        <v>850</v>
      </c>
      <c r="AY10" s="38" t="n">
        <v>850</v>
      </c>
      <c r="AZ10" s="38" t="n">
        <v>850</v>
      </c>
      <c r="BA10" s="38" t="n">
        <v>850</v>
      </c>
      <c r="BB10" s="38" t="n">
        <v>850</v>
      </c>
      <c r="BC10" s="38" t="n">
        <v>850</v>
      </c>
      <c r="BD10" s="38" t="n">
        <v>850</v>
      </c>
      <c r="BE10" s="38">
        <f>625+DA10</f>
        <v/>
      </c>
      <c r="BF10" s="38" t="n">
        <v>600</v>
      </c>
      <c r="BG10" s="38" t="n">
        <v>190</v>
      </c>
      <c r="BH10" s="38" t="n">
        <v>400</v>
      </c>
      <c r="BI10" s="38">
        <f>275+CY10</f>
        <v/>
      </c>
      <c r="BJ10" s="38" t="n">
        <v>475</v>
      </c>
      <c r="BK10" s="38" t="n">
        <v>820</v>
      </c>
      <c r="BL10" s="38" t="n">
        <v>900</v>
      </c>
      <c r="BM10" s="38" t="n">
        <v>750</v>
      </c>
      <c r="BN10" s="38" t="n">
        <v>850</v>
      </c>
      <c r="BO10" s="38" t="n">
        <v>700</v>
      </c>
      <c r="BP10" s="38" t="n">
        <v>500</v>
      </c>
      <c r="BQ10" s="38" t="n">
        <v>275</v>
      </c>
      <c r="BR10" s="38">
        <f>200+CN10+CM10</f>
        <v/>
      </c>
      <c r="BS10" s="38" t="n">
        <v>325</v>
      </c>
      <c r="BT10" s="38" t="n">
        <v>425</v>
      </c>
      <c r="BU10" s="38" t="n">
        <v>800</v>
      </c>
      <c r="BV10" s="38" t="n">
        <v>725</v>
      </c>
      <c r="BW10" s="38" t="n">
        <v>775</v>
      </c>
      <c r="BX10" s="38" t="n">
        <v>775</v>
      </c>
      <c r="BY10" s="38" t="n">
        <v>720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19" t="n"/>
      <c r="CF10" s="23" t="n"/>
      <c r="CG10" s="4" t="n"/>
      <c r="CH10" s="18" t="n">
        <v>0</v>
      </c>
      <c r="CI10" s="18" t="n">
        <v>0</v>
      </c>
      <c r="CJ10" s="18" t="n">
        <v>0</v>
      </c>
      <c r="CK10" s="18" t="n">
        <v>400</v>
      </c>
      <c r="CL10" s="256" t="n">
        <v>1000</v>
      </c>
      <c r="CM10" s="18" t="n">
        <v>200</v>
      </c>
      <c r="CN10" s="18" t="n">
        <v>200</v>
      </c>
      <c r="CO10" s="18" t="n"/>
      <c r="CP10" s="256" t="n"/>
      <c r="CQ10" s="18" t="n"/>
      <c r="CR10" s="18" t="n"/>
      <c r="CS10" s="18" t="n">
        <v>200</v>
      </c>
      <c r="CT10" s="18" t="n">
        <v>200</v>
      </c>
      <c r="CU10" s="18" t="n"/>
      <c r="CV10" s="18" t="n">
        <v>400</v>
      </c>
      <c r="CW10" s="18" t="n"/>
      <c r="CX10" s="18" t="n"/>
      <c r="CY10" s="18" t="n">
        <v>400</v>
      </c>
      <c r="CZ10" s="18" t="n">
        <v>400</v>
      </c>
      <c r="DA10" s="18" t="n">
        <v>200</v>
      </c>
      <c r="DB10" s="18" t="n"/>
      <c r="DC10" s="18" t="n"/>
      <c r="DD10" s="18" t="n"/>
      <c r="DE10" s="18" t="n"/>
      <c r="DF10" s="18" t="n"/>
      <c r="DG10" s="18" t="n">
        <v>600</v>
      </c>
      <c r="DH10" s="18" t="n"/>
      <c r="DI10" s="256" t="n"/>
      <c r="DJ10" s="18" t="n"/>
      <c r="DK10" s="18" t="n">
        <v>400</v>
      </c>
      <c r="DL10" s="256" t="n">
        <v>1800</v>
      </c>
      <c r="DM10" s="18" t="n"/>
      <c r="DN10" s="18" t="n"/>
      <c r="DO10" s="18" t="n"/>
      <c r="DP10" s="378" t="inlineStr">
        <is>
          <t>100 P/ TP</t>
        </is>
      </c>
      <c r="DQ10" s="256" t="n"/>
      <c r="DR10" s="18" t="n">
        <v>200</v>
      </c>
      <c r="DS10" s="18" t="n"/>
      <c r="DT10" s="18" t="n"/>
      <c r="DU10" s="256" t="n">
        <v>200</v>
      </c>
      <c r="DV10" s="18" t="n">
        <v>400</v>
      </c>
      <c r="DW10" s="18" t="n"/>
      <c r="DX10" s="18" t="n">
        <v>200</v>
      </c>
      <c r="DY10" s="18" t="n">
        <v>400</v>
      </c>
      <c r="DZ10" s="18" t="n"/>
      <c r="EA10" s="18" t="n">
        <v>400</v>
      </c>
      <c r="EB10" s="256" t="n"/>
      <c r="EC10" s="18" t="n"/>
      <c r="ED10" s="18" t="n"/>
      <c r="EE10" s="18" t="n">
        <v>200</v>
      </c>
      <c r="EF10" s="256" t="n"/>
      <c r="EG10" s="256" t="n">
        <v>600</v>
      </c>
      <c r="EH10" s="18" t="n">
        <v>200</v>
      </c>
      <c r="EI10" s="18" t="n"/>
      <c r="EJ10" s="356" t="n"/>
      <c r="EK10" s="18" t="n"/>
      <c r="EL10" s="18" t="n"/>
      <c r="EM10" s="18" t="n"/>
      <c r="EN10" s="241" t="inlineStr">
        <is>
          <t>200 DE MG</t>
        </is>
      </c>
      <c r="EO10" s="18" t="n"/>
      <c r="EP10" s="18" t="n"/>
      <c r="EQ10" s="256" t="n">
        <v>800</v>
      </c>
      <c r="ER10" s="18" t="n"/>
      <c r="ES10" s="18" t="n"/>
      <c r="ET10" s="256" t="n"/>
      <c r="EU10" s="18" t="n"/>
      <c r="EV10" s="18" t="n"/>
      <c r="EW10" s="18" t="n"/>
      <c r="EX10" s="18" t="n">
        <v>200</v>
      </c>
      <c r="EY10" s="18" t="n"/>
      <c r="EZ10" s="18" t="n">
        <v>200</v>
      </c>
      <c r="FA10" s="18" t="n">
        <v>400</v>
      </c>
      <c r="FB10" s="256" t="n">
        <v>1000</v>
      </c>
      <c r="FC10" s="18" t="n"/>
      <c r="FD10" s="18" t="n"/>
      <c r="FE10" s="18" t="n"/>
      <c r="FF10" s="18" t="n"/>
      <c r="FG10" s="18" t="n"/>
      <c r="FH10" s="18" t="n">
        <v>200</v>
      </c>
      <c r="FI10" s="18" t="n"/>
      <c r="FJ10" s="18" t="n"/>
      <c r="FK10" s="18" t="n">
        <v>400</v>
      </c>
      <c r="FL10" s="18" t="n">
        <v>400</v>
      </c>
      <c r="FM10" s="18" t="n"/>
      <c r="FN10" s="256" t="n"/>
      <c r="FQ10" s="29" t="inlineStr">
        <is>
          <t xml:space="preserve">SACOLA M </t>
        </is>
      </c>
      <c r="FR10" s="9" t="n">
        <v>200</v>
      </c>
      <c r="FS10" s="38">
        <f>CL10</f>
        <v/>
      </c>
      <c r="FT10" s="38" t="n">
        <v>800</v>
      </c>
      <c r="FU10" s="38" t="n">
        <v>700</v>
      </c>
      <c r="FV10" s="38" t="n">
        <v>650</v>
      </c>
      <c r="FW10" s="38" t="n">
        <v>450</v>
      </c>
      <c r="FX10" s="38" t="n">
        <v>400</v>
      </c>
      <c r="FY10" s="38" t="n"/>
      <c r="FZ10" s="38" t="n"/>
      <c r="GA10" s="246">
        <f>FY10+IF(NOT(ISBLANK(OFFSET(GA10,0,6))),N(OFFSET(GA10,0,6)),N(OFFSET(GA10,0,7)))-FZ10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60</v>
      </c>
      <c r="E11" s="6" t="n"/>
      <c r="F11" s="38" t="n">
        <v>78</v>
      </c>
      <c r="G11" s="38" t="n">
        <v>78</v>
      </c>
      <c r="H11" s="38">
        <f>78+FK11</f>
        <v/>
      </c>
      <c r="I11" s="38" t="n">
        <v>178</v>
      </c>
      <c r="J11" s="38" t="n">
        <v>178</v>
      </c>
      <c r="K11" s="38" t="n">
        <v>178</v>
      </c>
      <c r="L11" s="38" t="n">
        <v>178</v>
      </c>
      <c r="M11" s="38" t="n">
        <v>178</v>
      </c>
      <c r="N11" s="38" t="n">
        <v>178</v>
      </c>
      <c r="O11" s="38" t="n">
        <v>178</v>
      </c>
      <c r="P11" s="38" t="n">
        <v>178</v>
      </c>
      <c r="Q11" s="38" t="n">
        <v>178</v>
      </c>
      <c r="R11" s="38" t="n">
        <v>150</v>
      </c>
      <c r="S11" s="38" t="n">
        <v>150</v>
      </c>
      <c r="T11" s="38" t="n">
        <v>150</v>
      </c>
      <c r="U11" s="38" t="n">
        <v>150</v>
      </c>
      <c r="V11" s="38" t="n">
        <v>150</v>
      </c>
      <c r="W11" s="38" t="n">
        <v>150</v>
      </c>
      <c r="X11" s="38" t="n">
        <v>150</v>
      </c>
      <c r="Y11" s="38" t="n">
        <v>150</v>
      </c>
      <c r="Z11" s="38" t="n">
        <v>150</v>
      </c>
      <c r="AA11" s="38" t="n">
        <v>125</v>
      </c>
      <c r="AB11" s="38" t="n">
        <v>125</v>
      </c>
      <c r="AC11" s="38" t="n">
        <v>125</v>
      </c>
      <c r="AD11" s="38" t="n">
        <v>125</v>
      </c>
      <c r="AE11" s="38" t="n">
        <v>125</v>
      </c>
      <c r="AF11" s="38" t="n">
        <v>125</v>
      </c>
      <c r="AG11" s="38" t="n">
        <v>125</v>
      </c>
      <c r="AH11" s="38" t="n">
        <v>125</v>
      </c>
      <c r="AI11" s="38" t="n">
        <v>125</v>
      </c>
      <c r="AJ11" s="38" t="n">
        <v>116</v>
      </c>
      <c r="AK11" s="38" t="n">
        <v>116</v>
      </c>
      <c r="AL11" s="38" t="n">
        <v>100</v>
      </c>
      <c r="AM11" s="38" t="n">
        <v>0</v>
      </c>
      <c r="AN11" s="38">
        <f>5+DY11</f>
        <v/>
      </c>
      <c r="AO11" s="38" t="n">
        <v>102</v>
      </c>
      <c r="AP11" s="38" t="n">
        <v>80</v>
      </c>
      <c r="AQ11" s="38" t="n">
        <v>50</v>
      </c>
      <c r="AR11" s="38" t="n">
        <v>50</v>
      </c>
      <c r="AS11" s="38" t="n">
        <v>125</v>
      </c>
      <c r="AT11" s="38" t="n">
        <v>125</v>
      </c>
      <c r="AU11" s="38" t="n">
        <v>125</v>
      </c>
      <c r="AV11" s="38" t="n">
        <v>100</v>
      </c>
      <c r="AW11" s="38" t="n">
        <v>60</v>
      </c>
      <c r="AX11" s="38" t="n">
        <v>60</v>
      </c>
      <c r="AY11" s="38" t="n">
        <v>60</v>
      </c>
      <c r="AZ11" s="38" t="n">
        <v>60</v>
      </c>
      <c r="BA11" s="38" t="n">
        <v>60</v>
      </c>
      <c r="BB11" s="38" t="n">
        <v>60</v>
      </c>
      <c r="BC11" s="38" t="n">
        <v>60</v>
      </c>
      <c r="BD11" s="38" t="n">
        <v>60</v>
      </c>
      <c r="BE11" s="38" t="n">
        <v>100</v>
      </c>
      <c r="BF11" s="38" t="n">
        <v>100</v>
      </c>
      <c r="BG11" s="38" t="n">
        <v>50</v>
      </c>
      <c r="BH11" s="38" t="n">
        <v>50</v>
      </c>
      <c r="BI11" s="38" t="n">
        <v>0</v>
      </c>
      <c r="BJ11" s="38" t="n">
        <v>0</v>
      </c>
      <c r="BK11" s="38">
        <f>0+200</f>
        <v/>
      </c>
      <c r="BL11" s="38" t="n">
        <v>200</v>
      </c>
      <c r="BM11" s="38" t="n">
        <v>200</v>
      </c>
      <c r="BN11" s="38" t="n">
        <v>200</v>
      </c>
      <c r="BO11" s="38" t="n">
        <v>180</v>
      </c>
      <c r="BP11" s="38" t="n">
        <v>150</v>
      </c>
      <c r="BQ11" s="38" t="n">
        <v>100</v>
      </c>
      <c r="BR11" s="38" t="n">
        <v>100</v>
      </c>
      <c r="BS11" s="38" t="n">
        <v>100</v>
      </c>
      <c r="BT11" s="38" t="n">
        <v>80</v>
      </c>
      <c r="BU11" s="38" t="n">
        <v>50</v>
      </c>
      <c r="BV11" s="38" t="n">
        <v>50</v>
      </c>
      <c r="BW11" s="38" t="n">
        <v>100</v>
      </c>
      <c r="BX11" s="38" t="n">
        <v>50</v>
      </c>
      <c r="BY11" s="38">
        <f>50+CI11</f>
        <v/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n"/>
      <c r="CE11" s="19" t="n"/>
      <c r="CF11" s="23" t="n"/>
      <c r="CG11" s="4" t="n"/>
      <c r="CH11" s="18" t="n">
        <v>0</v>
      </c>
      <c r="CI11" s="18" t="n">
        <v>100</v>
      </c>
      <c r="CJ11" s="18" t="n">
        <v>0</v>
      </c>
      <c r="CK11" s="18" t="n"/>
      <c r="CL11" s="256" t="n">
        <v>200</v>
      </c>
      <c r="CM11" s="18" t="n"/>
      <c r="CN11" s="18" t="n"/>
      <c r="CO11" s="18" t="n"/>
      <c r="CP11" s="256" t="n"/>
      <c r="CQ11" s="18" t="n"/>
      <c r="CR11" s="18" t="n"/>
      <c r="CS11" s="18" t="n"/>
      <c r="CT11" s="18" t="n"/>
      <c r="CU11" s="154" t="inlineStr">
        <is>
          <t>200 DE MG</t>
        </is>
      </c>
      <c r="CV11" s="18" t="n"/>
      <c r="CW11" s="18" t="n"/>
      <c r="CX11" s="18" t="n"/>
      <c r="CY11" s="18" t="n"/>
      <c r="CZ11" s="18" t="n"/>
      <c r="DA11" s="18" t="n"/>
      <c r="DB11" s="18" t="n">
        <v>100</v>
      </c>
      <c r="DC11" s="18" t="n"/>
      <c r="DD11" s="18" t="n"/>
      <c r="DE11" s="18" t="n"/>
      <c r="DF11" s="18" t="n"/>
      <c r="DG11" s="18" t="n"/>
      <c r="DH11" s="18" t="n"/>
      <c r="DI11" s="403" t="inlineStr">
        <is>
          <t>100 P/ MG</t>
        </is>
      </c>
      <c r="DJ11" s="18" t="n"/>
      <c r="DK11" s="18" t="n"/>
      <c r="DL11" s="256" t="n">
        <v>300</v>
      </c>
      <c r="DM11" s="18" t="n"/>
      <c r="DN11" s="18" t="n"/>
      <c r="DO11" s="18" t="n"/>
      <c r="DP11" s="256" t="n"/>
      <c r="DQ11" s="256" t="n"/>
      <c r="DR11" s="18" t="n">
        <v>100</v>
      </c>
      <c r="DS11" s="18" t="n"/>
      <c r="DT11" s="18" t="n"/>
      <c r="DU11" s="256" t="n"/>
      <c r="DV11" s="18" t="n"/>
      <c r="DW11" s="18" t="n"/>
      <c r="DX11" s="18" t="n"/>
      <c r="DY11" s="18" t="n">
        <v>100</v>
      </c>
      <c r="DZ11" s="18" t="n"/>
      <c r="EA11" s="18" t="n"/>
      <c r="EB11" s="256" t="n"/>
      <c r="EC11" s="18" t="n"/>
      <c r="ED11" s="18" t="n"/>
      <c r="EE11" s="18" t="n"/>
      <c r="EF11" s="256" t="n"/>
      <c r="EG11" s="256" t="n"/>
      <c r="EH11" s="18" t="n"/>
      <c r="EI11" s="18" t="n"/>
      <c r="EJ11" s="356" t="n"/>
      <c r="EK11" s="18" t="n"/>
      <c r="EL11" s="18" t="n"/>
      <c r="EM11" s="18" t="n"/>
      <c r="EN11" s="18" t="n"/>
      <c r="EO11" s="18" t="n"/>
      <c r="EP11" s="18" t="n"/>
      <c r="EQ11" s="256" t="n">
        <v>100</v>
      </c>
      <c r="ER11" s="18" t="n"/>
      <c r="ES11" s="18" t="n"/>
      <c r="ET11" s="256" t="n"/>
      <c r="EU11" s="18" t="n"/>
      <c r="EV11" s="18" t="n"/>
      <c r="EW11" s="18" t="n"/>
      <c r="EX11" s="18" t="n"/>
      <c r="EY11" s="18" t="n"/>
      <c r="EZ11" s="18" t="n"/>
      <c r="FA11" s="18" t="n"/>
      <c r="FB11" s="256" t="n">
        <v>200</v>
      </c>
      <c r="FC11" s="18" t="n"/>
      <c r="FD11" s="18" t="n"/>
      <c r="FE11" s="18" t="n"/>
      <c r="FF11" s="18" t="n"/>
      <c r="FG11" s="18" t="n"/>
      <c r="FH11" s="18" t="n"/>
      <c r="FI11" s="18" t="n"/>
      <c r="FJ11" s="18" t="n"/>
      <c r="FK11" s="18" t="n">
        <v>100</v>
      </c>
      <c r="FL11" s="18" t="n"/>
      <c r="FM11" s="18" t="n"/>
      <c r="FN11" s="256" t="n"/>
      <c r="FQ11" s="30" t="inlineStr">
        <is>
          <t xml:space="preserve">SACOLA G </t>
        </is>
      </c>
      <c r="FR11" s="9" t="n">
        <v>100</v>
      </c>
      <c r="FS11" s="38">
        <f>CL11</f>
        <v/>
      </c>
      <c r="FT11" s="38" t="n">
        <v>150</v>
      </c>
      <c r="FU11" s="38" t="n">
        <v>100</v>
      </c>
      <c r="FV11" s="38" t="n">
        <v>100</v>
      </c>
      <c r="FW11" s="38" t="n">
        <v>50</v>
      </c>
      <c r="FX11" s="38" t="n">
        <v>0</v>
      </c>
      <c r="FY11" s="38" t="n"/>
      <c r="FZ11" s="38" t="n"/>
      <c r="GA11" s="246">
        <f>FY11+IF(NOT(ISBLANK(OFFSET(GA11,0,6))),N(OFFSET(GA11,0,6)),N(OFFSET(GA11,0,7)))-FZ11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11" t="n"/>
      <c r="CF12" s="17" t="n"/>
      <c r="CG12" s="4" t="n"/>
      <c r="CH12" s="24" t="n"/>
      <c r="CI12" s="24" t="n"/>
      <c r="CJ12" s="24" t="n"/>
      <c r="CK12" s="24" t="n"/>
      <c r="CL12" s="257" t="n"/>
      <c r="CM12" s="24" t="n"/>
      <c r="CN12" s="24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57" t="n"/>
      <c r="DJ12" s="24" t="n"/>
      <c r="DK12" s="24" t="n"/>
      <c r="DL12" s="257" t="n"/>
      <c r="DM12" s="24" t="n"/>
      <c r="DN12" s="24" t="n"/>
      <c r="DO12" s="24" t="n"/>
      <c r="DP12" s="24" t="n"/>
      <c r="DQ12" s="24" t="n"/>
      <c r="DR12" s="24" t="n"/>
      <c r="DS12" s="24" t="n"/>
      <c r="DT12" s="24" t="n"/>
      <c r="DU12" s="24" t="n"/>
      <c r="DV12" s="24" t="n"/>
      <c r="DW12" s="24" t="n"/>
      <c r="DX12" s="24" t="n"/>
      <c r="DY12" s="24" t="n"/>
      <c r="DZ12" s="24" t="n"/>
      <c r="EA12" s="24" t="n"/>
      <c r="EB12" s="257" t="n"/>
      <c r="EC12" s="24" t="n"/>
      <c r="ED12" s="24" t="n"/>
      <c r="EE12" s="24" t="n"/>
      <c r="EF12" s="257" t="n"/>
      <c r="EG12" s="257" t="n"/>
      <c r="EH12" s="24" t="n"/>
      <c r="EI12" s="24" t="n"/>
      <c r="EK12" s="24" t="n"/>
      <c r="EL12" s="24" t="n"/>
      <c r="EM12" s="24" t="n"/>
      <c r="EN12" s="24" t="n"/>
      <c r="EO12" s="24" t="n"/>
      <c r="EP12" s="24" t="n"/>
      <c r="EQ12" s="24" t="n"/>
      <c r="ER12" s="24" t="n"/>
      <c r="ES12" s="24" t="n"/>
      <c r="ET12" s="271" t="n"/>
      <c r="EU12" s="24" t="n"/>
      <c r="EV12" s="24" t="n"/>
      <c r="EW12" s="24" t="n"/>
      <c r="EX12" s="24" t="n"/>
      <c r="EY12" s="24" t="n"/>
      <c r="EZ12" s="24" t="n"/>
      <c r="FA12" s="24" t="n"/>
      <c r="FB12" s="271" t="n"/>
      <c r="FC12" s="24" t="n"/>
      <c r="FD12" s="24" t="n"/>
      <c r="FE12" s="24" t="n"/>
      <c r="FF12" s="24" t="n"/>
      <c r="FG12" s="24" t="n"/>
      <c r="FH12" s="24" t="n"/>
      <c r="FI12" s="24" t="n"/>
      <c r="FJ12" s="24" t="n"/>
      <c r="FK12" s="24" t="n"/>
      <c r="FL12" s="24" t="n"/>
      <c r="FM12" s="24" t="n"/>
      <c r="FN12" s="257" t="n"/>
      <c r="FQ12" s="31" t="n"/>
      <c r="FR12" s="2" t="n"/>
      <c r="FS12" s="4" t="n"/>
      <c r="FT12" s="4" t="n"/>
      <c r="FU12" s="4" t="n"/>
      <c r="FV12" s="4" t="n"/>
      <c r="FW12" s="4" t="n"/>
      <c r="FX12" s="4" t="n"/>
      <c r="FY12" s="4" t="n"/>
      <c r="FZ12" s="4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642" t="n"/>
      <c r="CD13" s="413" t="inlineStr">
        <is>
          <t>TRANSFERÊNCIA</t>
        </is>
      </c>
      <c r="CE13" s="35" t="inlineStr">
        <is>
          <t>Pendências</t>
        </is>
      </c>
      <c r="CF13" s="12" t="inlineStr">
        <is>
          <t>Novo Pedido</t>
        </is>
      </c>
      <c r="CG13" s="6" t="n"/>
      <c r="CH13" s="646" t="n">
        <v>46156</v>
      </c>
      <c r="CI13" s="646" t="n">
        <v>46149</v>
      </c>
      <c r="CJ13" s="646" t="n">
        <v>46142</v>
      </c>
      <c r="CK13" s="646" t="n">
        <v>46114</v>
      </c>
      <c r="CL13" s="647" t="n">
        <v>46065</v>
      </c>
      <c r="CM13" s="646" t="n">
        <v>46099</v>
      </c>
      <c r="CN13" s="646" t="n">
        <v>46092</v>
      </c>
      <c r="CO13" s="646" t="n">
        <v>46092</v>
      </c>
      <c r="CP13" s="655" t="n">
        <v>46080</v>
      </c>
      <c r="CQ13" s="655" t="n">
        <v>46079</v>
      </c>
      <c r="CR13" s="646" t="n">
        <v>46077</v>
      </c>
      <c r="CS13" s="646" t="n">
        <v>46071</v>
      </c>
      <c r="CT13" s="646" t="n">
        <v>46056</v>
      </c>
      <c r="CU13" s="655" t="n">
        <v>46055</v>
      </c>
      <c r="CV13" s="646" t="n">
        <v>46048</v>
      </c>
      <c r="CW13" s="646" t="n">
        <v>46035</v>
      </c>
      <c r="CX13" s="646" t="n">
        <v>46035</v>
      </c>
      <c r="CY13" s="646" t="n">
        <v>46029</v>
      </c>
      <c r="CZ13" s="646" t="n">
        <v>46017</v>
      </c>
      <c r="DA13" s="646" t="n">
        <v>46007</v>
      </c>
      <c r="DB13" s="646" t="n">
        <v>46001</v>
      </c>
      <c r="DC13" s="646" t="n">
        <v>45994</v>
      </c>
      <c r="DD13" s="646" t="n">
        <v>45973</v>
      </c>
      <c r="DE13" s="646" t="n">
        <v>45965</v>
      </c>
      <c r="DF13" s="646" t="n">
        <v>45960</v>
      </c>
      <c r="DG13" s="646" t="n">
        <v>45951</v>
      </c>
      <c r="DH13" s="646" t="n">
        <v>45951</v>
      </c>
      <c r="DI13" s="687" t="n">
        <v>45952</v>
      </c>
      <c r="DJ13" s="646" t="n">
        <v>45945</v>
      </c>
      <c r="DK13" s="646" t="n">
        <v>45937</v>
      </c>
      <c r="DL13" s="678" t="n">
        <v>45903</v>
      </c>
      <c r="DM13" s="646" t="n">
        <v>45923</v>
      </c>
      <c r="DN13" s="646" t="n">
        <v>45931</v>
      </c>
      <c r="DO13" s="646" t="n">
        <v>45923</v>
      </c>
      <c r="DP13" s="688" t="n">
        <v>45925</v>
      </c>
      <c r="DQ13" s="688" t="n">
        <v>45924</v>
      </c>
      <c r="DR13" s="646" t="n">
        <v>45915</v>
      </c>
      <c r="DS13" s="646" t="n">
        <v>45915</v>
      </c>
      <c r="DT13" s="646" t="n">
        <v>45909</v>
      </c>
      <c r="DU13" s="679" t="n">
        <v>45863</v>
      </c>
      <c r="DV13" s="646" t="n">
        <v>45909</v>
      </c>
      <c r="DW13" s="646" t="n">
        <v>45903</v>
      </c>
      <c r="DX13" s="646" t="n">
        <v>45895</v>
      </c>
      <c r="DY13" s="646" t="n">
        <v>45888</v>
      </c>
      <c r="DZ13" s="646" t="n">
        <v>45881</v>
      </c>
      <c r="EA13" s="646" t="n">
        <v>45874</v>
      </c>
      <c r="EB13" s="681" t="n">
        <v>45868</v>
      </c>
      <c r="EC13" s="646" t="n">
        <v>45853</v>
      </c>
      <c r="ED13" s="646" t="n">
        <v>45848</v>
      </c>
      <c r="EE13" s="646" t="n">
        <v>45839</v>
      </c>
      <c r="EF13" s="681" t="n">
        <v>45842</v>
      </c>
      <c r="EG13" s="681" t="n">
        <v>45791</v>
      </c>
      <c r="EH13" s="646" t="n">
        <v>45832</v>
      </c>
      <c r="EI13" s="646" t="n">
        <v>45825</v>
      </c>
      <c r="EJ13" s="704" t="n">
        <v>45834</v>
      </c>
      <c r="EK13" s="646" t="n">
        <v>45825</v>
      </c>
      <c r="EL13" s="646" t="n">
        <v>45813</v>
      </c>
      <c r="EM13" s="646" t="n">
        <v>45798</v>
      </c>
      <c r="EN13" s="655" t="n">
        <v>45798</v>
      </c>
      <c r="EO13" s="654" t="n">
        <v>45790</v>
      </c>
      <c r="EP13" s="689" t="n">
        <v>45790</v>
      </c>
      <c r="EQ13" s="683" t="n">
        <v>45735</v>
      </c>
      <c r="ER13" s="654" t="n">
        <v>45783</v>
      </c>
      <c r="ES13" s="654" t="n">
        <v>45783</v>
      </c>
      <c r="ET13" s="684" t="n">
        <v>45785</v>
      </c>
      <c r="EU13" s="654" t="n">
        <v>45770</v>
      </c>
      <c r="EV13" s="654" t="n">
        <v>45756</v>
      </c>
      <c r="EW13" s="654" t="n">
        <v>45749</v>
      </c>
      <c r="EX13" s="654" t="n">
        <v>45743</v>
      </c>
      <c r="EY13" s="655" t="n">
        <v>45750</v>
      </c>
      <c r="EZ13" s="654" t="n">
        <v>45734</v>
      </c>
      <c r="FA13" s="654" t="n">
        <v>45728</v>
      </c>
      <c r="FB13" s="684" t="n">
        <v>45700</v>
      </c>
      <c r="FC13" s="654" t="n">
        <v>45722</v>
      </c>
      <c r="FD13" s="646" t="n">
        <v>45714</v>
      </c>
      <c r="FE13" s="646" t="n">
        <v>45706</v>
      </c>
      <c r="FF13" s="646" t="n">
        <v>45699</v>
      </c>
      <c r="FG13" s="646" t="n">
        <v>45693</v>
      </c>
      <c r="FH13" s="646" t="n">
        <v>45685</v>
      </c>
      <c r="FI13" s="646" t="n">
        <v>45679</v>
      </c>
      <c r="FJ13" s="646" t="n">
        <v>45674</v>
      </c>
      <c r="FK13" s="646" t="n">
        <v>45664</v>
      </c>
      <c r="FL13" s="646" t="n">
        <v>45660</v>
      </c>
      <c r="FM13" s="655" t="n">
        <v>45670</v>
      </c>
      <c r="FN13" s="685" t="n">
        <v>45665</v>
      </c>
      <c r="FQ13" s="267" t="inlineStr">
        <is>
          <t>DIVERSOS</t>
        </is>
      </c>
      <c r="FR13" s="205" t="inlineStr">
        <is>
          <t>PCT</t>
        </is>
      </c>
      <c r="FS13" s="650" t="n">
        <v>46118</v>
      </c>
      <c r="FT13" s="650" t="n">
        <v>46125</v>
      </c>
      <c r="FU13" s="650" t="n">
        <v>46132</v>
      </c>
      <c r="FV13" s="650" t="n">
        <v>46139</v>
      </c>
      <c r="FW13" s="650" t="n">
        <v>46146</v>
      </c>
      <c r="FX13" s="650" t="n">
        <v>46154</v>
      </c>
      <c r="FY13" s="650" t="n">
        <v>46160</v>
      </c>
      <c r="FZ13" s="650" t="n">
        <v>46160</v>
      </c>
      <c r="GA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115" t="n">
        <v>2</v>
      </c>
      <c r="G14" s="115" t="n">
        <v>2</v>
      </c>
      <c r="H14" s="115">
        <f>2+FL14</f>
        <v/>
      </c>
      <c r="I14" s="115">
        <f>5+FJ14</f>
        <v/>
      </c>
      <c r="J14" s="115" t="n">
        <v>6</v>
      </c>
      <c r="K14" s="115" t="n">
        <v>6</v>
      </c>
      <c r="L14" s="115" t="n">
        <v>5</v>
      </c>
      <c r="M14" s="115" t="n">
        <v>4</v>
      </c>
      <c r="N14" s="115" t="n">
        <v>4</v>
      </c>
      <c r="O14" s="115" t="n">
        <v>4</v>
      </c>
      <c r="P14" s="115" t="n">
        <v>2</v>
      </c>
      <c r="Q14" s="115" t="n">
        <v>2</v>
      </c>
      <c r="R14" s="115">
        <f>1+FA14</f>
        <v/>
      </c>
      <c r="S14" s="115" t="n">
        <v>4</v>
      </c>
      <c r="T14" s="115" t="n">
        <v>5</v>
      </c>
      <c r="U14" s="115" t="n">
        <v>4</v>
      </c>
      <c r="V14" s="115" t="n">
        <v>4</v>
      </c>
      <c r="W14" s="115" t="n">
        <v>4</v>
      </c>
      <c r="X14" s="115" t="n">
        <v>4</v>
      </c>
      <c r="Y14" s="115" t="n">
        <v>2</v>
      </c>
      <c r="Z14" s="115" t="n">
        <v>4</v>
      </c>
      <c r="AA14" s="115" t="n">
        <v>4</v>
      </c>
      <c r="AB14" s="115" t="n">
        <v>4</v>
      </c>
      <c r="AC14" s="115" t="n">
        <v>3</v>
      </c>
      <c r="AD14" s="115" t="n">
        <v>1</v>
      </c>
      <c r="AE14" s="115">
        <f>1+EK14</f>
        <v/>
      </c>
      <c r="AF14" s="115" t="n">
        <v>5</v>
      </c>
      <c r="AG14" s="115" t="n">
        <v>6</v>
      </c>
      <c r="AH14" s="115" t="n">
        <v>5</v>
      </c>
      <c r="AI14" s="115" t="n">
        <v>5</v>
      </c>
      <c r="AJ14" s="115" t="n">
        <v>5</v>
      </c>
      <c r="AK14" s="115" t="n">
        <v>5</v>
      </c>
      <c r="AL14" s="115" t="n">
        <v>4</v>
      </c>
      <c r="AM14" s="115" t="n">
        <v>4</v>
      </c>
      <c r="AN14" s="115" t="n">
        <v>3</v>
      </c>
      <c r="AO14" s="115" t="n">
        <v>3</v>
      </c>
      <c r="AP14" s="115" t="n">
        <v>2</v>
      </c>
      <c r="AQ14" s="115" t="n">
        <v>2</v>
      </c>
      <c r="AR14" s="115" t="n">
        <v>2</v>
      </c>
      <c r="AS14" s="115" t="n">
        <v>2</v>
      </c>
      <c r="AT14" s="115">
        <f>1+DN14</f>
        <v/>
      </c>
      <c r="AU14" s="115">
        <f>3+DK14</f>
        <v/>
      </c>
      <c r="AV14" s="115" t="n">
        <v>2</v>
      </c>
      <c r="AW14" s="115" t="n">
        <v>2</v>
      </c>
      <c r="AX14" s="115" t="n">
        <v>6</v>
      </c>
      <c r="AY14" s="115" t="n">
        <v>5</v>
      </c>
      <c r="AZ14" s="115" t="n">
        <v>5</v>
      </c>
      <c r="BA14" s="115" t="n">
        <v>5</v>
      </c>
      <c r="BB14" s="115" t="n">
        <v>5</v>
      </c>
      <c r="BC14" s="115" t="n">
        <v>5</v>
      </c>
      <c r="BD14" s="115" t="n">
        <v>5</v>
      </c>
      <c r="BE14" s="115">
        <f>4+DA14</f>
        <v/>
      </c>
      <c r="BF14" s="115" t="n">
        <v>2</v>
      </c>
      <c r="BG14" s="115" t="n">
        <v>0</v>
      </c>
      <c r="BH14" s="115" t="n">
        <v>1</v>
      </c>
      <c r="BI14" s="115">
        <f>0+CX14+CY14</f>
        <v/>
      </c>
      <c r="BJ14" s="115" t="n">
        <v>14</v>
      </c>
      <c r="BK14" s="115" t="n">
        <v>13</v>
      </c>
      <c r="BL14" s="115" t="n">
        <v>14</v>
      </c>
      <c r="BM14" s="115" t="n">
        <v>14</v>
      </c>
      <c r="BN14" s="115" t="n">
        <v>13</v>
      </c>
      <c r="BO14" s="115" t="n">
        <v>11</v>
      </c>
      <c r="BP14" s="115" t="n">
        <v>9</v>
      </c>
      <c r="BQ14" s="115" t="n">
        <v>7</v>
      </c>
      <c r="BR14" s="115">
        <f>5+CN14</f>
        <v/>
      </c>
      <c r="BS14" s="115" t="n">
        <v>6</v>
      </c>
      <c r="BT14" s="115" t="n">
        <v>5</v>
      </c>
      <c r="BU14" s="115" t="n">
        <v>9</v>
      </c>
      <c r="BV14" s="115" t="n">
        <v>8</v>
      </c>
      <c r="BW14" s="115" t="n">
        <v>8</v>
      </c>
      <c r="BX14" s="115" t="n">
        <v>8</v>
      </c>
      <c r="BY14" s="115" t="n">
        <v>8</v>
      </c>
      <c r="BZ14" s="115" t="n"/>
      <c r="CA14" s="115" t="n"/>
      <c r="CB14" s="154">
        <f>BZ14+IF(NOT(ISBLANK(OFFSET(CB14,0,6))),N(OFFSET(CB14,0,6)),N(OFFSET(CB14,0,7)))-CA14</f>
        <v/>
      </c>
      <c r="CC14" s="642" t="n"/>
      <c r="CD14" s="19" t="n"/>
      <c r="CE14" s="19" t="n"/>
      <c r="CF14" s="23" t="n"/>
      <c r="CG14" s="4" t="n"/>
      <c r="CH14" s="18" t="n">
        <v>0</v>
      </c>
      <c r="CI14" s="18" t="n">
        <v>0</v>
      </c>
      <c r="CJ14" s="18" t="n">
        <v>0</v>
      </c>
      <c r="CK14" s="18" t="n">
        <v>4</v>
      </c>
      <c r="CL14" s="256" t="n">
        <v>20</v>
      </c>
      <c r="CM14" s="18" t="n"/>
      <c r="CN14" s="18" t="n">
        <v>2</v>
      </c>
      <c r="CO14" s="18" t="n"/>
      <c r="CP14" s="256" t="n"/>
      <c r="CQ14" s="18" t="n"/>
      <c r="CR14" s="18" t="n"/>
      <c r="CS14" s="18" t="n"/>
      <c r="CT14" s="18" t="n">
        <v>3</v>
      </c>
      <c r="CU14" s="18" t="n"/>
      <c r="CV14" s="18" t="n"/>
      <c r="CW14" s="18" t="n"/>
      <c r="CX14" s="18" t="n">
        <v>5</v>
      </c>
      <c r="CY14" s="18" t="n">
        <v>10</v>
      </c>
      <c r="CZ14" s="18" t="n">
        <v>3</v>
      </c>
      <c r="DA14" s="18" t="n">
        <v>2</v>
      </c>
      <c r="DB14" s="18" t="n"/>
      <c r="DC14" s="18" t="n"/>
      <c r="DD14" s="18" t="n"/>
      <c r="DE14" s="18" t="n"/>
      <c r="DF14" s="18" t="n"/>
      <c r="DG14" s="18" t="n">
        <v>4</v>
      </c>
      <c r="DH14" s="18" t="n"/>
      <c r="DI14" s="256" t="n"/>
      <c r="DJ14" s="18" t="n"/>
      <c r="DK14" s="18" t="n">
        <v>1</v>
      </c>
      <c r="DL14" s="256" t="n">
        <v>18</v>
      </c>
      <c r="DM14" s="18" t="n"/>
      <c r="DN14" s="18" t="n">
        <v>2</v>
      </c>
      <c r="DO14" s="18" t="n"/>
      <c r="DP14" s="378" t="inlineStr">
        <is>
          <t>100 P/ TP</t>
        </is>
      </c>
      <c r="DQ14" s="256" t="n"/>
      <c r="DR14" s="18" t="n">
        <v>1</v>
      </c>
      <c r="DS14" s="18" t="n"/>
      <c r="DT14" s="18" t="n"/>
      <c r="DU14" s="256" t="n">
        <v>200</v>
      </c>
      <c r="DV14" s="18" t="n"/>
      <c r="DW14" s="18" t="n"/>
      <c r="DX14" s="18" t="n">
        <v>1</v>
      </c>
      <c r="DY14" s="18" t="n"/>
      <c r="DZ14" s="18" t="n"/>
      <c r="EA14" s="18" t="n"/>
      <c r="EB14" s="256" t="n"/>
      <c r="EC14" s="18" t="n"/>
      <c r="ED14" s="18" t="n"/>
      <c r="EE14" s="18" t="n"/>
      <c r="EF14" s="256" t="n"/>
      <c r="EG14" s="256" t="n">
        <v>5</v>
      </c>
      <c r="EH14" s="18" t="n">
        <v>2</v>
      </c>
      <c r="EI14" s="18" t="n"/>
      <c r="EJ14" s="356" t="n"/>
      <c r="EK14" s="18" t="n">
        <v>4</v>
      </c>
      <c r="EL14" s="18" t="n"/>
      <c r="EM14" s="18" t="n"/>
      <c r="EN14" s="18" t="n"/>
      <c r="EO14" s="18" t="n">
        <v>2</v>
      </c>
      <c r="EP14" s="18" t="n"/>
      <c r="EQ14" s="256" t="n">
        <v>2</v>
      </c>
      <c r="ER14" s="18" t="n"/>
      <c r="ES14" s="18" t="n"/>
      <c r="ET14" s="256" t="n"/>
      <c r="EU14" s="18" t="n"/>
      <c r="EV14" s="18" t="n"/>
      <c r="EW14" s="18" t="n"/>
      <c r="EX14" s="18" t="n">
        <v>2</v>
      </c>
      <c r="EY14" s="18" t="n"/>
      <c r="EZ14" s="18" t="n"/>
      <c r="FA14" s="18" t="n">
        <v>3</v>
      </c>
      <c r="FB14" s="256" t="n">
        <v>10</v>
      </c>
      <c r="FC14" s="18" t="n"/>
      <c r="FD14" s="18" t="n"/>
      <c r="FE14" s="18" t="n"/>
      <c r="FF14" s="18" t="n"/>
      <c r="FG14" s="18" t="n"/>
      <c r="FH14" s="18" t="n"/>
      <c r="FI14" s="18" t="n"/>
      <c r="FJ14" s="18" t="n">
        <v>2</v>
      </c>
      <c r="FK14" s="18" t="n"/>
      <c r="FL14" s="18" t="n">
        <v>3</v>
      </c>
      <c r="FM14" s="18" t="n"/>
      <c r="FN14" s="256" t="n"/>
      <c r="FQ14" s="159" t="inlineStr">
        <is>
          <t>PAPEL DE SEDA</t>
        </is>
      </c>
      <c r="FR14" s="129" t="n">
        <v>200</v>
      </c>
      <c r="FS14" s="38">
        <f>CL14</f>
        <v/>
      </c>
      <c r="FT14" s="38" t="n">
        <v>17</v>
      </c>
      <c r="FU14" s="38" t="n">
        <v>16</v>
      </c>
      <c r="FV14" s="38" t="n">
        <v>16</v>
      </c>
      <c r="FW14" s="38" t="n">
        <v>12</v>
      </c>
      <c r="FX14" s="38" t="n">
        <v>10</v>
      </c>
      <c r="FY14" s="38" t="n"/>
      <c r="FZ14" s="38" t="n"/>
      <c r="GA14" s="246">
        <f>FY14+IF(NOT(ISBLANK(OFFSET(GA14,0,6))),N(OFFSET(GA14,0,6)),N(OFFSET(GA14,0,7)))-FZ14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115" t="n">
        <v>1</v>
      </c>
      <c r="G15" s="115" t="n">
        <v>1</v>
      </c>
      <c r="H15" s="115">
        <f>1+FK15+FL15</f>
        <v/>
      </c>
      <c r="I15" s="115" t="n">
        <v>4</v>
      </c>
      <c r="J15" s="115" t="n">
        <v>4</v>
      </c>
      <c r="K15" s="115" t="n">
        <v>4</v>
      </c>
      <c r="L15" s="115" t="n">
        <v>4</v>
      </c>
      <c r="M15" s="115" t="n">
        <v>4</v>
      </c>
      <c r="N15" s="115" t="n">
        <v>4</v>
      </c>
      <c r="O15" s="115" t="n">
        <v>4</v>
      </c>
      <c r="P15" s="115" t="n">
        <v>4</v>
      </c>
      <c r="Q15" s="115" t="n">
        <v>4</v>
      </c>
      <c r="R15" s="115" t="n">
        <v>4</v>
      </c>
      <c r="S15" s="115" t="n">
        <v>4</v>
      </c>
      <c r="T15" s="115" t="n">
        <v>4</v>
      </c>
      <c r="U15" s="115" t="n">
        <v>3</v>
      </c>
      <c r="V15" s="115" t="n">
        <v>3</v>
      </c>
      <c r="W15" s="115" t="n">
        <v>3</v>
      </c>
      <c r="X15" s="115" t="n">
        <v>3</v>
      </c>
      <c r="Y15" s="115" t="n">
        <v>3</v>
      </c>
      <c r="Z15" s="115" t="n">
        <v>3</v>
      </c>
      <c r="AA15" s="115" t="n">
        <v>3</v>
      </c>
      <c r="AB15" s="115" t="n">
        <v>2</v>
      </c>
      <c r="AC15" s="115" t="n">
        <v>2</v>
      </c>
      <c r="AD15" s="115" t="n">
        <v>2</v>
      </c>
      <c r="AE15" s="115" t="n">
        <v>2</v>
      </c>
      <c r="AF15" s="115" t="n">
        <v>2</v>
      </c>
      <c r="AG15" s="115" t="n">
        <v>2</v>
      </c>
      <c r="AH15" s="115" t="n">
        <v>2</v>
      </c>
      <c r="AI15" s="115" t="n">
        <v>1</v>
      </c>
      <c r="AJ15" s="115" t="n">
        <v>1</v>
      </c>
      <c r="AK15" s="115" t="n">
        <v>1</v>
      </c>
      <c r="AL15" s="115" t="n">
        <v>1</v>
      </c>
      <c r="AM15" s="115" t="n">
        <v>2</v>
      </c>
      <c r="AN15" s="115" t="n">
        <v>2</v>
      </c>
      <c r="AO15" s="115" t="n">
        <v>2</v>
      </c>
      <c r="AP15" s="115" t="n">
        <v>1</v>
      </c>
      <c r="AQ15" s="115" t="n">
        <v>1</v>
      </c>
      <c r="AR15" s="115" t="n">
        <v>1</v>
      </c>
      <c r="AS15" s="115" t="n">
        <v>1</v>
      </c>
      <c r="AT15" s="115">
        <f>1+DN15</f>
        <v/>
      </c>
      <c r="AU15" s="115" t="n">
        <v>2</v>
      </c>
      <c r="AV15" s="115" t="n">
        <v>2</v>
      </c>
      <c r="AW15" s="115" t="n">
        <v>2</v>
      </c>
      <c r="AX15" s="115" t="n">
        <v>2</v>
      </c>
      <c r="AY15" s="115" t="n">
        <v>1</v>
      </c>
      <c r="AZ15" s="115" t="n">
        <v>2</v>
      </c>
      <c r="BA15" s="115" t="n">
        <v>7</v>
      </c>
      <c r="BB15" s="115" t="n">
        <v>6</v>
      </c>
      <c r="BC15" s="115">
        <f>5+DC15</f>
        <v/>
      </c>
      <c r="BD15" s="115" t="n">
        <v>6</v>
      </c>
      <c r="BE15" s="115" t="n">
        <v>6</v>
      </c>
      <c r="BF15" s="115" t="n">
        <v>6</v>
      </c>
      <c r="BG15" s="115" t="n">
        <v>6</v>
      </c>
      <c r="BH15" s="115" t="n">
        <v>6</v>
      </c>
      <c r="BI15" s="115" t="n">
        <v>6</v>
      </c>
      <c r="BJ15" s="115" t="n">
        <v>6</v>
      </c>
      <c r="BK15" s="115" t="n">
        <v>6</v>
      </c>
      <c r="BL15" s="115" t="n">
        <v>6</v>
      </c>
      <c r="BM15" s="115" t="n">
        <v>6</v>
      </c>
      <c r="BN15" s="115" t="n">
        <v>6</v>
      </c>
      <c r="BO15" s="115" t="n">
        <v>6</v>
      </c>
      <c r="BP15" s="115" t="n">
        <v>5</v>
      </c>
      <c r="BQ15" s="115" t="n">
        <v>5</v>
      </c>
      <c r="BR15" s="115" t="n">
        <v>4</v>
      </c>
      <c r="BS15" s="115" t="n">
        <v>4</v>
      </c>
      <c r="BT15" s="115" t="n">
        <v>4</v>
      </c>
      <c r="BU15" s="115" t="n">
        <v>4</v>
      </c>
      <c r="BV15" s="115" t="n">
        <v>4</v>
      </c>
      <c r="BW15" s="115" t="n">
        <v>4</v>
      </c>
      <c r="BX15" s="115" t="n">
        <v>4</v>
      </c>
      <c r="BY15" s="115" t="n">
        <v>3</v>
      </c>
      <c r="BZ15" s="115" t="n"/>
      <c r="CA15" s="115" t="n"/>
      <c r="CB15" s="154">
        <f>BZ15+IF(NOT(ISBLANK(OFFSET(CB15,0,6))),N(OFFSET(CB15,0,6)),N(OFFSET(CB15,0,7)))-CA15</f>
        <v/>
      </c>
      <c r="CC15" s="642" t="n"/>
      <c r="CD15" s="19" t="n"/>
      <c r="CE15" s="19" t="n">
        <v>2</v>
      </c>
      <c r="CF15" s="23" t="n"/>
      <c r="CG15" s="4" t="n"/>
      <c r="CH15" s="18" t="n">
        <v>0</v>
      </c>
      <c r="CI15" s="18" t="n">
        <v>0</v>
      </c>
      <c r="CJ15" s="18" t="n">
        <v>0</v>
      </c>
      <c r="CK15" s="18" t="n"/>
      <c r="CL15" s="256" t="n">
        <v>5</v>
      </c>
      <c r="CM15" s="18" t="n"/>
      <c r="CN15" s="18" t="n"/>
      <c r="CO15" s="18" t="n"/>
      <c r="CP15" s="18" t="n"/>
      <c r="CQ15" s="18" t="n"/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/>
      <c r="DA15" s="18" t="n"/>
      <c r="DB15" s="18" t="n"/>
      <c r="DC15" s="18" t="n">
        <v>2</v>
      </c>
      <c r="DD15" s="18" t="n">
        <v>5</v>
      </c>
      <c r="DE15" s="18" t="n"/>
      <c r="DF15" s="18" t="n"/>
      <c r="DG15" s="18" t="n"/>
      <c r="DH15" s="18" t="n"/>
      <c r="DI15" s="256" t="n"/>
      <c r="DJ15" s="18" t="n"/>
      <c r="DK15" s="18" t="n"/>
      <c r="DL15" s="256" t="n">
        <v>9</v>
      </c>
      <c r="DM15" s="18" t="n"/>
      <c r="DN15" s="18" t="n">
        <v>1</v>
      </c>
      <c r="DO15" s="18" t="n"/>
      <c r="DP15" s="378" t="inlineStr">
        <is>
          <t>100 P/ TP</t>
        </is>
      </c>
      <c r="DQ15" s="256" t="n"/>
      <c r="DR15" s="18" t="n"/>
      <c r="DS15" s="18" t="n"/>
      <c r="DT15" s="18" t="n"/>
      <c r="DU15" s="256" t="n">
        <v>200</v>
      </c>
      <c r="DV15" s="18" t="n"/>
      <c r="DW15" s="18" t="n"/>
      <c r="DX15" s="18" t="n"/>
      <c r="DY15" s="18" t="n"/>
      <c r="DZ15" s="18" t="n"/>
      <c r="EA15" s="18" t="n">
        <v>1</v>
      </c>
      <c r="EB15" s="256" t="n"/>
      <c r="EC15" s="18" t="n"/>
      <c r="ED15" s="18" t="n"/>
      <c r="EE15" s="18" t="n"/>
      <c r="EF15" s="256" t="n"/>
      <c r="EG15" s="256" t="n"/>
      <c r="EH15" s="18" t="n"/>
      <c r="EI15" s="18" t="n"/>
      <c r="EJ15" s="356" t="n"/>
      <c r="EK15" s="18" t="n"/>
      <c r="EL15" s="18" t="n"/>
      <c r="EM15" s="18" t="n"/>
      <c r="EN15" s="18" t="n"/>
      <c r="EO15" s="18" t="n"/>
      <c r="EP15" s="18" t="n"/>
      <c r="EQ15" s="256" t="n">
        <v>2</v>
      </c>
      <c r="ER15" s="18" t="n"/>
      <c r="ES15" s="18" t="n"/>
      <c r="ET15" s="256" t="n"/>
      <c r="EU15" s="18" t="n"/>
      <c r="EV15" s="18" t="n"/>
      <c r="EW15" s="18" t="n"/>
      <c r="EX15" s="18" t="n"/>
      <c r="EY15" s="18" t="n"/>
      <c r="EZ15" s="18" t="n"/>
      <c r="FA15" s="18" t="n"/>
      <c r="FB15" s="256" t="n">
        <v>1</v>
      </c>
      <c r="FC15" s="18" t="n"/>
      <c r="FD15" s="18" t="n"/>
      <c r="FE15" s="18" t="n"/>
      <c r="FF15" s="18" t="n"/>
      <c r="FG15" s="18" t="n"/>
      <c r="FH15" s="18" t="n"/>
      <c r="FI15" s="18" t="n"/>
      <c r="FJ15" s="18" t="n"/>
      <c r="FK15" s="18" t="n">
        <v>1</v>
      </c>
      <c r="FL15" s="18" t="n">
        <v>2</v>
      </c>
      <c r="FM15" s="18" t="n"/>
      <c r="FN15" s="256" t="n"/>
      <c r="FQ15" s="29" t="inlineStr">
        <is>
          <t>ADESIVOS</t>
        </is>
      </c>
      <c r="FR15" s="9" t="n">
        <v>200</v>
      </c>
      <c r="FS15" s="38">
        <f>CL15</f>
        <v/>
      </c>
      <c r="FT15" s="38" t="n">
        <v>4</v>
      </c>
      <c r="FU15" s="38" t="n">
        <v>4</v>
      </c>
      <c r="FV15" s="38" t="n">
        <v>2</v>
      </c>
      <c r="FW15" s="38" t="n">
        <v>0</v>
      </c>
      <c r="FX15" s="38" t="n">
        <v>0</v>
      </c>
      <c r="FY15" s="38" t="n"/>
      <c r="FZ15" s="38" t="n"/>
      <c r="GA15" s="246">
        <f>FY15+IF(NOT(ISBLANK(OFFSET(GA15,0,6))),N(OFFSET(GA15,0,6)),N(OFFSET(GA15,0,7)))-FZ15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5</v>
      </c>
      <c r="E16" s="2" t="n"/>
      <c r="F16" s="115" t="n">
        <v>1</v>
      </c>
      <c r="G16" s="115" t="n">
        <v>0</v>
      </c>
      <c r="H16" s="115">
        <f>0+FL16</f>
        <v/>
      </c>
      <c r="I16" s="115">
        <f>1+FJ16</f>
        <v/>
      </c>
      <c r="J16" s="115" t="n">
        <v>4</v>
      </c>
      <c r="K16" s="115">
        <f>4+FH16</f>
        <v/>
      </c>
      <c r="L16" s="115" t="n">
        <v>4</v>
      </c>
      <c r="M16" s="115" t="n">
        <v>4</v>
      </c>
      <c r="N16" s="115" t="n">
        <v>2</v>
      </c>
      <c r="O16" s="115">
        <f>2+FD16</f>
        <v/>
      </c>
      <c r="P16" s="115" t="n">
        <v>5</v>
      </c>
      <c r="Q16" s="115" t="n">
        <v>5</v>
      </c>
      <c r="R16" s="115">
        <f>5+FA16</f>
        <v/>
      </c>
      <c r="S16" s="115" t="n">
        <v>6</v>
      </c>
      <c r="T16" s="115" t="n">
        <v>7</v>
      </c>
      <c r="U16" s="115" t="n">
        <v>6</v>
      </c>
      <c r="V16" s="115" t="n">
        <v>6</v>
      </c>
      <c r="W16" s="115" t="n">
        <v>5</v>
      </c>
      <c r="X16" s="115" t="n">
        <v>9</v>
      </c>
      <c r="Y16" s="115" t="n">
        <v>9</v>
      </c>
      <c r="Z16" s="115" t="n">
        <v>8</v>
      </c>
      <c r="AA16" s="115" t="n">
        <v>8</v>
      </c>
      <c r="AB16" s="115" t="n">
        <v>8</v>
      </c>
      <c r="AC16" s="115" t="n">
        <v>8</v>
      </c>
      <c r="AD16" s="115" t="n">
        <v>7</v>
      </c>
      <c r="AE16" s="115" t="n">
        <v>7</v>
      </c>
      <c r="AF16" s="115" t="n">
        <v>7</v>
      </c>
      <c r="AG16" s="115" t="n">
        <v>6</v>
      </c>
      <c r="AH16" s="115" t="n">
        <v>5</v>
      </c>
      <c r="AI16" s="115" t="n">
        <v>5</v>
      </c>
      <c r="AJ16" s="115" t="n">
        <v>4</v>
      </c>
      <c r="AK16" s="115" t="n">
        <v>3</v>
      </c>
      <c r="AL16" s="115" t="n">
        <v>3</v>
      </c>
      <c r="AM16" s="115" t="n">
        <v>4</v>
      </c>
      <c r="AN16" s="115">
        <f>4+DY16</f>
        <v/>
      </c>
      <c r="AO16" s="115" t="n">
        <v>5</v>
      </c>
      <c r="AP16" s="115" t="n">
        <v>5</v>
      </c>
      <c r="AQ16" s="115" t="n">
        <v>5</v>
      </c>
      <c r="AR16" s="115" t="n">
        <v>4</v>
      </c>
      <c r="AS16" s="115" t="n">
        <v>4</v>
      </c>
      <c r="AT16" s="115" t="n">
        <v>3</v>
      </c>
      <c r="AU16" s="115">
        <f>3+DK16</f>
        <v/>
      </c>
      <c r="AV16" s="115" t="n">
        <v>2</v>
      </c>
      <c r="AW16" s="115" t="n">
        <v>2</v>
      </c>
      <c r="AX16" s="115" t="n">
        <v>3</v>
      </c>
      <c r="AY16" s="115">
        <f>3+DE16</f>
        <v/>
      </c>
      <c r="AZ16" s="115" t="n">
        <v>5</v>
      </c>
      <c r="BA16" s="115" t="n">
        <v>4</v>
      </c>
      <c r="BB16" s="115" t="n">
        <v>3</v>
      </c>
      <c r="BC16" s="115">
        <f>1+DC16</f>
        <v/>
      </c>
      <c r="BD16" s="115" t="n">
        <v>4</v>
      </c>
      <c r="BE16" s="115" t="n">
        <v>4</v>
      </c>
      <c r="BF16" s="115" t="n">
        <v>3</v>
      </c>
      <c r="BG16" s="115" t="n">
        <v>2</v>
      </c>
      <c r="BH16" s="115" t="n">
        <v>4</v>
      </c>
      <c r="BI16" s="115">
        <f>4+CY16</f>
        <v/>
      </c>
      <c r="BJ16" s="115" t="n">
        <v>5</v>
      </c>
      <c r="BK16" s="115" t="n">
        <v>3</v>
      </c>
      <c r="BL16" s="115" t="n">
        <v>9</v>
      </c>
      <c r="BM16" s="115" t="n">
        <v>9</v>
      </c>
      <c r="BN16" s="115">
        <f>9-2</f>
        <v/>
      </c>
      <c r="BO16" s="115" t="n">
        <v>6</v>
      </c>
      <c r="BP16" s="115" t="n">
        <v>5</v>
      </c>
      <c r="BQ16" s="115" t="n">
        <v>4</v>
      </c>
      <c r="BR16" s="115" t="n">
        <v>4</v>
      </c>
      <c r="BS16" s="115" t="n">
        <v>4</v>
      </c>
      <c r="BT16" s="115" t="n">
        <v>4</v>
      </c>
      <c r="BU16" s="115" t="n">
        <v>3</v>
      </c>
      <c r="BV16" s="115" t="n">
        <v>3</v>
      </c>
      <c r="BW16" s="115" t="n">
        <v>2</v>
      </c>
      <c r="BX16" s="115">
        <f>1+CJ16</f>
        <v/>
      </c>
      <c r="BY16" s="115">
        <f>2+CI16</f>
        <v/>
      </c>
      <c r="BZ16" s="115" t="n"/>
      <c r="CA16" s="115" t="n"/>
      <c r="CB16" s="154">
        <f>BZ16+IF(NOT(ISBLANK(OFFSET(CB16,0,6))),N(OFFSET(CB16,0,6)),N(OFFSET(CB16,0,7)))-CA16</f>
        <v/>
      </c>
      <c r="CC16" s="2" t="n"/>
      <c r="CD16" s="19" t="n"/>
      <c r="CE16" s="19" t="n"/>
      <c r="CF16" s="23" t="n"/>
      <c r="CG16" s="4" t="n"/>
      <c r="CH16" s="18" t="n">
        <v>0</v>
      </c>
      <c r="CI16" s="18" t="n">
        <v>2</v>
      </c>
      <c r="CJ16" s="18" t="n">
        <v>2</v>
      </c>
      <c r="CK16" s="18" t="n"/>
      <c r="CL16" s="356" t="n"/>
      <c r="CM16" s="18" t="n"/>
      <c r="CN16" s="18" t="n"/>
      <c r="CO16" s="18" t="n"/>
      <c r="CP16" s="18" t="n"/>
      <c r="CQ16" s="154" t="inlineStr">
        <is>
          <t>02 P/ PL</t>
        </is>
      </c>
      <c r="CR16" s="18" t="n"/>
      <c r="CS16" s="18" t="n"/>
      <c r="CT16" s="18" t="n">
        <v>4</v>
      </c>
      <c r="CU16" s="18" t="n"/>
      <c r="CV16" s="18" t="n">
        <v>2</v>
      </c>
      <c r="CW16" s="18" t="n"/>
      <c r="CX16" s="18" t="n"/>
      <c r="CY16" s="18" t="n">
        <v>2</v>
      </c>
      <c r="CZ16" s="18" t="n">
        <v>3</v>
      </c>
      <c r="DA16" s="18" t="n"/>
      <c r="DB16" s="18" t="n">
        <v>3</v>
      </c>
      <c r="DC16" s="18" t="n">
        <v>3</v>
      </c>
      <c r="DD16" s="18" t="n"/>
      <c r="DE16" s="18" t="n">
        <v>2</v>
      </c>
      <c r="DF16" s="18" t="n"/>
      <c r="DG16" s="18" t="n">
        <v>3</v>
      </c>
      <c r="DH16" s="18" t="n"/>
      <c r="DI16" s="256" t="n"/>
      <c r="DJ16" s="18" t="n"/>
      <c r="DK16" s="18" t="n">
        <v>1</v>
      </c>
      <c r="DL16" s="256" t="n"/>
      <c r="DM16" s="18" t="n"/>
      <c r="DN16" s="18" t="n"/>
      <c r="DO16" s="18" t="n"/>
      <c r="DP16" s="256" t="n"/>
      <c r="DQ16" s="256" t="n"/>
      <c r="DR16" s="18" t="n"/>
      <c r="DS16" s="18" t="n"/>
      <c r="DT16" s="18" t="n"/>
      <c r="DU16" s="256" t="n"/>
      <c r="DV16" s="18" t="n"/>
      <c r="DW16" s="18" t="n"/>
      <c r="DX16" s="18" t="n"/>
      <c r="DY16" s="18" t="n">
        <v>1</v>
      </c>
      <c r="DZ16" s="18" t="n"/>
      <c r="EA16" s="18" t="n">
        <v>2</v>
      </c>
      <c r="EB16" s="256" t="n"/>
      <c r="EC16" s="18" t="n"/>
      <c r="ED16" s="18" t="n"/>
      <c r="EE16" s="18" t="n"/>
      <c r="EF16" s="256" t="n"/>
      <c r="EG16" s="256" t="n"/>
      <c r="EH16" s="18" t="n"/>
      <c r="EI16" s="18" t="n"/>
      <c r="EJ16" s="356" t="n"/>
      <c r="EK16" s="18" t="n"/>
      <c r="EL16" s="18" t="n"/>
      <c r="EM16" s="18" t="n"/>
      <c r="EN16" s="18" t="n"/>
      <c r="EO16" s="18" t="n"/>
      <c r="EP16" s="18" t="n"/>
      <c r="EQ16" s="256" t="n"/>
      <c r="ER16" s="18" t="n">
        <v>2</v>
      </c>
      <c r="ES16" s="18" t="n"/>
      <c r="ET16" s="256" t="n"/>
      <c r="EU16" s="18" t="n">
        <v>5</v>
      </c>
      <c r="EV16" s="18" t="n"/>
      <c r="EW16" s="18" t="n"/>
      <c r="EX16" s="18" t="n">
        <v>2</v>
      </c>
      <c r="EY16" s="18" t="n"/>
      <c r="EZ16" s="18" t="n"/>
      <c r="FA16" s="18" t="n">
        <v>1</v>
      </c>
      <c r="FB16" s="256" t="n">
        <v>2</v>
      </c>
      <c r="FC16" s="18" t="n"/>
      <c r="FD16" s="18" t="n">
        <v>4</v>
      </c>
      <c r="FE16" s="18" t="n"/>
      <c r="FF16" s="18" t="n"/>
      <c r="FG16" s="18" t="n"/>
      <c r="FH16" s="18" t="n">
        <v>1</v>
      </c>
      <c r="FI16" s="18" t="n"/>
      <c r="FJ16" s="18" t="n">
        <v>4</v>
      </c>
      <c r="FK16" s="18" t="n"/>
      <c r="FL16" s="18" t="n">
        <v>2</v>
      </c>
      <c r="FM16" s="18" t="n"/>
      <c r="FN16" s="256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115" t="n">
        <v>3</v>
      </c>
      <c r="G17" s="115" t="n">
        <v>2</v>
      </c>
      <c r="H17" s="115">
        <f>1+FK17</f>
        <v/>
      </c>
      <c r="I17" s="115">
        <f>2+FJ17</f>
        <v/>
      </c>
      <c r="J17" s="115" t="n">
        <v>4</v>
      </c>
      <c r="K17" s="115" t="n">
        <v>3</v>
      </c>
      <c r="L17" s="115" t="n">
        <v>2</v>
      </c>
      <c r="M17" s="115">
        <f>1+FF17</f>
        <v/>
      </c>
      <c r="N17" s="115" t="n">
        <v>4</v>
      </c>
      <c r="O17" s="115" t="n">
        <v>4</v>
      </c>
      <c r="P17" s="115" t="n">
        <v>2</v>
      </c>
      <c r="Q17" s="115" t="n">
        <v>1</v>
      </c>
      <c r="R17" s="115">
        <f>1+FA17</f>
        <v/>
      </c>
      <c r="S17" s="115" t="n">
        <v>5</v>
      </c>
      <c r="T17" s="115" t="n">
        <v>4</v>
      </c>
      <c r="U17" s="115" t="n">
        <v>3</v>
      </c>
      <c r="V17" s="115" t="n">
        <v>3</v>
      </c>
      <c r="W17" s="115" t="n">
        <v>3</v>
      </c>
      <c r="X17" s="115" t="n">
        <v>5</v>
      </c>
      <c r="Y17" s="115" t="n">
        <v>5</v>
      </c>
      <c r="Z17" s="115" t="n">
        <v>5</v>
      </c>
      <c r="AA17" s="115" t="n">
        <v>4</v>
      </c>
      <c r="AB17" s="115" t="n">
        <v>3</v>
      </c>
      <c r="AC17" s="115" t="n">
        <v>2</v>
      </c>
      <c r="AD17" s="115" t="n">
        <v>1</v>
      </c>
      <c r="AE17" s="115">
        <f>0+EK17</f>
        <v/>
      </c>
      <c r="AF17" s="115" t="n">
        <v>2</v>
      </c>
      <c r="AG17" s="115" t="n">
        <v>2</v>
      </c>
      <c r="AH17" s="115" t="n">
        <v>1</v>
      </c>
      <c r="AI17" s="115">
        <f>1+ED17</f>
        <v/>
      </c>
      <c r="AJ17" s="115" t="n">
        <v>4</v>
      </c>
      <c r="AK17" s="115" t="n">
        <v>3</v>
      </c>
      <c r="AL17" s="115" t="n">
        <v>2</v>
      </c>
      <c r="AM17" s="115" t="n">
        <v>2</v>
      </c>
      <c r="AN17" s="115">
        <f>1+DY17</f>
        <v/>
      </c>
      <c r="AO17" s="115" t="n">
        <v>2</v>
      </c>
      <c r="AP17" s="115" t="n">
        <v>0</v>
      </c>
      <c r="AQ17" s="115">
        <f>0+DV17</f>
        <v/>
      </c>
      <c r="AR17" s="115" t="n">
        <v>0</v>
      </c>
      <c r="AS17" s="115" t="n">
        <v>2</v>
      </c>
      <c r="AT17" s="115">
        <f>1+DN17</f>
        <v/>
      </c>
      <c r="AU17" s="115">
        <f>1+DK17</f>
        <v/>
      </c>
      <c r="AV17" s="115" t="n">
        <v>2</v>
      </c>
      <c r="AW17" s="115" t="n">
        <v>2</v>
      </c>
      <c r="AX17" s="115" t="n">
        <v>1</v>
      </c>
      <c r="AY17" s="115">
        <f>0+DE17</f>
        <v/>
      </c>
      <c r="AZ17" s="115" t="n">
        <v>0</v>
      </c>
      <c r="BA17" s="115" t="n">
        <v>3</v>
      </c>
      <c r="BB17" s="115" t="n">
        <v>2</v>
      </c>
      <c r="BC17" s="115">
        <f>0+DC17</f>
        <v/>
      </c>
      <c r="BD17" s="115" t="n">
        <v>3</v>
      </c>
      <c r="BE17" s="115" t="n">
        <v>2</v>
      </c>
      <c r="BF17" s="115" t="n">
        <v>1</v>
      </c>
      <c r="BG17" s="115" t="n">
        <v>0</v>
      </c>
      <c r="BH17" s="115" t="n">
        <v>2</v>
      </c>
      <c r="BI17" s="115">
        <f>1+CX17+CY17</f>
        <v/>
      </c>
      <c r="BJ17" s="115" t="n">
        <v>3</v>
      </c>
      <c r="BK17" s="115" t="n">
        <v>4</v>
      </c>
      <c r="BL17" s="115" t="n">
        <v>5</v>
      </c>
      <c r="BM17" s="115" t="n">
        <v>5</v>
      </c>
      <c r="BN17" s="115" t="n">
        <v>4</v>
      </c>
      <c r="BO17" s="115" t="n">
        <v>3</v>
      </c>
      <c r="BP17" s="115" t="n">
        <v>2</v>
      </c>
      <c r="BQ17" s="115" t="n">
        <v>1</v>
      </c>
      <c r="BR17" s="115">
        <f>0+CN17+CM17</f>
        <v/>
      </c>
      <c r="BS17" s="115" t="n">
        <v>2</v>
      </c>
      <c r="BT17" s="115" t="n">
        <v>1</v>
      </c>
      <c r="BU17" s="115" t="n">
        <v>3</v>
      </c>
      <c r="BV17" s="115" t="n">
        <v>2</v>
      </c>
      <c r="BW17" s="115" t="n">
        <v>1</v>
      </c>
      <c r="BX17" s="115">
        <f>0+CJ17</f>
        <v/>
      </c>
      <c r="BY17" s="115" t="n">
        <v>0</v>
      </c>
      <c r="BZ17" s="115" t="n"/>
      <c r="CA17" s="115" t="n"/>
      <c r="CB17" s="154">
        <f>BZ17+IF(NOT(ISBLANK(OFFSET(CB17,0,6))),N(OFFSET(CB17,0,6)),N(OFFSET(CB17,0,7)))-CA17</f>
        <v/>
      </c>
      <c r="CC17" s="2" t="n"/>
      <c r="CD17" s="19" t="n"/>
      <c r="CE17" s="19" t="n">
        <v>4</v>
      </c>
      <c r="CF17" s="23" t="n"/>
      <c r="CG17" s="4" t="n"/>
      <c r="CH17" s="18" t="n">
        <v>0</v>
      </c>
      <c r="CI17" s="18" t="n">
        <v>0</v>
      </c>
      <c r="CJ17" s="18" t="n">
        <v>3</v>
      </c>
      <c r="CK17" s="18" t="n">
        <v>3</v>
      </c>
      <c r="CL17" s="356" t="n"/>
      <c r="CM17" s="18" t="n">
        <v>2</v>
      </c>
      <c r="CN17" s="18" t="n">
        <v>1</v>
      </c>
      <c r="CO17" s="18" t="n"/>
      <c r="CP17" s="18" t="n"/>
      <c r="CQ17" s="18" t="n"/>
      <c r="CR17" s="18" t="n"/>
      <c r="CS17" s="18" t="n"/>
      <c r="CT17" s="18" t="n">
        <v>2</v>
      </c>
      <c r="CU17" s="18" t="n"/>
      <c r="CV17" s="18" t="n">
        <v>2</v>
      </c>
      <c r="CW17" s="18" t="n"/>
      <c r="CX17" s="18" t="n">
        <v>2</v>
      </c>
      <c r="CY17" s="18" t="n">
        <v>1</v>
      </c>
      <c r="CZ17" s="18" t="n">
        <v>3</v>
      </c>
      <c r="DA17" s="18" t="n"/>
      <c r="DB17" s="18" t="n">
        <v>2</v>
      </c>
      <c r="DC17" s="18" t="n">
        <v>3</v>
      </c>
      <c r="DD17" s="18" t="n">
        <v>3</v>
      </c>
      <c r="DE17" s="18" t="n">
        <v>2</v>
      </c>
      <c r="DF17" s="18" t="n"/>
      <c r="DG17" s="18" t="n"/>
      <c r="DH17" s="18" t="n"/>
      <c r="DI17" s="256" t="n"/>
      <c r="DJ17" s="18" t="n"/>
      <c r="DK17" s="18" t="n">
        <v>2</v>
      </c>
      <c r="DL17" s="256" t="n"/>
      <c r="DM17" s="18" t="n"/>
      <c r="DN17" s="18" t="n">
        <v>1</v>
      </c>
      <c r="DO17" s="18" t="n">
        <v>2</v>
      </c>
      <c r="DP17" s="256" t="n"/>
      <c r="DQ17" s="256" t="n"/>
      <c r="DR17" s="18" t="n">
        <v>1</v>
      </c>
      <c r="DS17" s="18" t="n"/>
      <c r="DT17" s="18" t="n"/>
      <c r="DU17" s="256" t="n"/>
      <c r="DV17" s="18" t="n">
        <v>1</v>
      </c>
      <c r="DW17" s="18" t="n"/>
      <c r="DX17" s="18" t="n"/>
      <c r="DY17" s="18" t="n">
        <v>1</v>
      </c>
      <c r="DZ17" s="18" t="n"/>
      <c r="EA17" s="18" t="n">
        <v>1</v>
      </c>
      <c r="EB17" s="256" t="n"/>
      <c r="EC17" s="18" t="n">
        <v>2</v>
      </c>
      <c r="ED17" s="18" t="n">
        <v>2</v>
      </c>
      <c r="EE17" s="18" t="n"/>
      <c r="EF17" s="256" t="n"/>
      <c r="EG17" s="256" t="n"/>
      <c r="EH17" s="18" t="n">
        <v>2</v>
      </c>
      <c r="EI17" s="18" t="n"/>
      <c r="EJ17" s="356" t="n"/>
      <c r="EK17" s="18" t="n">
        <v>2</v>
      </c>
      <c r="EL17" s="18" t="n"/>
      <c r="EM17" s="18" t="n"/>
      <c r="EN17" s="18" t="n"/>
      <c r="EO17" s="18" t="n"/>
      <c r="EP17" s="18" t="n"/>
      <c r="EQ17" s="256" t="n"/>
      <c r="ER17" s="18" t="n">
        <v>4</v>
      </c>
      <c r="ES17" s="18" t="n"/>
      <c r="ET17" s="256" t="n"/>
      <c r="EU17" s="18" t="n">
        <v>1</v>
      </c>
      <c r="EV17" s="18" t="n">
        <v>2</v>
      </c>
      <c r="EW17" s="18" t="n"/>
      <c r="EX17" s="18" t="n"/>
      <c r="EY17" s="18" t="n"/>
      <c r="EZ17" s="18" t="n"/>
      <c r="FA17" s="18" t="n">
        <v>5</v>
      </c>
      <c r="FB17" s="256" t="n"/>
      <c r="FC17" s="18" t="n"/>
      <c r="FD17" s="18" t="n"/>
      <c r="FE17" s="18" t="n"/>
      <c r="FF17" s="18" t="n">
        <v>3</v>
      </c>
      <c r="FG17" s="18" t="n"/>
      <c r="FH17" s="18" t="n"/>
      <c r="FI17" s="18" t="n"/>
      <c r="FJ17" s="18" t="n">
        <v>2</v>
      </c>
      <c r="FK17" s="18" t="n">
        <v>2</v>
      </c>
      <c r="FL17" s="18" t="n"/>
      <c r="FM17" s="18" t="n"/>
      <c r="FN17" s="256" t="n"/>
    </row>
    <row r="18" ht="18.75" customFormat="1" customHeight="1" s="3">
      <c r="A18" s="31" t="n"/>
      <c r="C18" s="664" t="n"/>
      <c r="D18" s="398" t="n"/>
      <c r="CB18" s="4" t="n"/>
      <c r="CD18" s="16" t="n"/>
      <c r="CE18" s="16" t="n"/>
      <c r="CF18" s="64" t="n"/>
      <c r="CH18" s="16" t="n"/>
      <c r="CI18" s="16" t="n"/>
      <c r="CJ18" s="16" t="n"/>
      <c r="CK18" s="16" t="n"/>
      <c r="CL18" s="258" t="n"/>
      <c r="CM18" s="16" t="n"/>
      <c r="CN18" s="16" t="n"/>
      <c r="CO18" s="16" t="n"/>
      <c r="CP18" s="16" t="n"/>
      <c r="CQ18" s="16" t="n"/>
      <c r="CR18" s="16" t="n"/>
      <c r="CS18" s="16" t="n"/>
      <c r="CU18" s="16" t="n"/>
      <c r="DE18" s="16" t="n"/>
      <c r="DF18" s="16" t="n"/>
      <c r="DG18" s="16" t="n"/>
      <c r="DH18" s="16" t="n"/>
      <c r="DJ18" s="16" t="n"/>
      <c r="DK18" s="16" t="n"/>
      <c r="DM18" s="16" t="n"/>
      <c r="DN18" s="16" t="n"/>
      <c r="DO18" s="16" t="n"/>
      <c r="DP18" s="16" t="n"/>
      <c r="DQ18" s="16" t="n"/>
      <c r="DR18" s="16" t="n"/>
      <c r="DS18" s="16" t="n"/>
      <c r="DT18" s="16" t="n"/>
      <c r="DU18" s="16" t="n"/>
      <c r="DV18" s="16" t="n"/>
      <c r="DW18" s="16" t="n"/>
      <c r="DX18" s="16" t="n"/>
      <c r="DY18" s="16" t="n"/>
      <c r="DZ18" s="16" t="n"/>
      <c r="EA18" s="16" t="n"/>
      <c r="EB18" s="258" t="n"/>
      <c r="EC18" s="16" t="n"/>
      <c r="ED18" s="16" t="n"/>
      <c r="EE18" s="16" t="n"/>
      <c r="EF18" s="258" t="n"/>
      <c r="EG18" s="258" t="n"/>
      <c r="EH18" s="16" t="n"/>
      <c r="EI18" s="16" t="n"/>
      <c r="EK18" s="16" t="n"/>
      <c r="EL18" s="16" t="n"/>
      <c r="EM18" s="16" t="n"/>
      <c r="EN18" s="16" t="n"/>
      <c r="EO18" s="16" t="n"/>
      <c r="EP18" s="16" t="n"/>
      <c r="EQ18" s="16" t="n"/>
      <c r="ER18" s="16" t="n"/>
      <c r="ES18" s="16" t="n"/>
      <c r="ET18" s="1" t="n"/>
      <c r="EU18" s="16" t="n"/>
      <c r="EV18" s="16" t="n"/>
      <c r="EW18" s="16" t="n"/>
      <c r="EX18" s="16" t="n"/>
      <c r="EY18" s="16" t="n"/>
      <c r="EZ18" s="16" t="n"/>
      <c r="FA18" s="16" t="n"/>
      <c r="FB18" s="1" t="n"/>
      <c r="FC18" s="16" t="n"/>
      <c r="FD18" s="16" t="n"/>
      <c r="FE18" s="16" t="n"/>
      <c r="FF18" s="16" t="n"/>
      <c r="FG18" s="16" t="n"/>
      <c r="FH18" s="16" t="n"/>
      <c r="FI18" s="16" t="n"/>
      <c r="FJ18" s="16" t="n"/>
      <c r="FK18" s="16" t="n"/>
      <c r="FL18" s="16" t="n"/>
      <c r="FM18" s="16" t="n"/>
      <c r="FN18" s="258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C19" s="2" t="n"/>
      <c r="CD19" s="413" t="inlineStr">
        <is>
          <t>TRANSFERÊNCIA</t>
        </is>
      </c>
      <c r="CE19" s="35" t="inlineStr">
        <is>
          <t>Pendências</t>
        </is>
      </c>
      <c r="CF19" s="12" t="inlineStr">
        <is>
          <t>Novo Pedido</t>
        </is>
      </c>
      <c r="CG19" s="6" t="n"/>
      <c r="CH19" s="646" t="n">
        <v>46156</v>
      </c>
      <c r="CI19" s="646" t="n">
        <v>46149</v>
      </c>
      <c r="CJ19" s="646" t="n">
        <v>46142</v>
      </c>
      <c r="CK19" s="646" t="n">
        <v>46114</v>
      </c>
      <c r="CL19" s="647" t="n">
        <v>46065</v>
      </c>
      <c r="CM19" s="646" t="n">
        <v>46099</v>
      </c>
      <c r="CN19" s="646" t="n">
        <v>46092</v>
      </c>
      <c r="CO19" s="646" t="n">
        <v>46092</v>
      </c>
      <c r="CP19" s="655" t="n">
        <v>46080</v>
      </c>
      <c r="CQ19" s="655" t="n">
        <v>46079</v>
      </c>
      <c r="CR19" s="646" t="n">
        <v>46077</v>
      </c>
      <c r="CS19" s="646" t="n">
        <v>46071</v>
      </c>
      <c r="CT19" s="646" t="n">
        <v>46056</v>
      </c>
      <c r="CU19" s="655" t="n">
        <v>46055</v>
      </c>
      <c r="CV19" s="646" t="n">
        <v>46048</v>
      </c>
      <c r="CW19" s="646" t="n">
        <v>46035</v>
      </c>
      <c r="CX19" s="646" t="n">
        <v>46035</v>
      </c>
      <c r="CY19" s="646" t="n">
        <v>46029</v>
      </c>
      <c r="CZ19" s="646" t="n">
        <v>46017</v>
      </c>
      <c r="DA19" s="646" t="n">
        <v>46007</v>
      </c>
      <c r="DB19" s="646" t="n">
        <v>46001</v>
      </c>
      <c r="DC19" s="646" t="n">
        <v>45994</v>
      </c>
      <c r="DD19" s="646" t="n">
        <v>45973</v>
      </c>
      <c r="DE19" s="646" t="n">
        <v>45965</v>
      </c>
      <c r="DF19" s="646" t="n">
        <v>45960</v>
      </c>
      <c r="DG19" s="646" t="n">
        <v>45951</v>
      </c>
      <c r="DH19" s="646" t="n">
        <v>45951</v>
      </c>
      <c r="DI19" s="687" t="n">
        <v>45952</v>
      </c>
      <c r="DJ19" s="646" t="n">
        <v>45945</v>
      </c>
      <c r="DK19" s="646" t="n">
        <v>45937</v>
      </c>
      <c r="DL19" s="678" t="n">
        <v>45903</v>
      </c>
      <c r="DM19" s="646" t="n">
        <v>45923</v>
      </c>
      <c r="DN19" s="646" t="n">
        <v>45931</v>
      </c>
      <c r="DO19" s="646" t="n">
        <v>45923</v>
      </c>
      <c r="DP19" s="688" t="n">
        <v>45925</v>
      </c>
      <c r="DQ19" s="688" t="n">
        <v>45924</v>
      </c>
      <c r="DR19" s="646" t="n">
        <v>45915</v>
      </c>
      <c r="DS19" s="646" t="n">
        <v>45915</v>
      </c>
      <c r="DT19" s="646" t="n">
        <v>45909</v>
      </c>
      <c r="DU19" s="679" t="n">
        <v>45863</v>
      </c>
      <c r="DV19" s="646" t="n">
        <v>45909</v>
      </c>
      <c r="DW19" s="646" t="n">
        <v>45903</v>
      </c>
      <c r="DX19" s="646" t="n">
        <v>45895</v>
      </c>
      <c r="DY19" s="646" t="n">
        <v>45888</v>
      </c>
      <c r="DZ19" s="646" t="n">
        <v>45881</v>
      </c>
      <c r="EA19" s="646" t="n">
        <v>45874</v>
      </c>
      <c r="EB19" s="681" t="n">
        <v>45868</v>
      </c>
      <c r="EC19" s="646" t="n">
        <v>45853</v>
      </c>
      <c r="ED19" s="646" t="n">
        <v>45848</v>
      </c>
      <c r="EE19" s="646" t="n">
        <v>45839</v>
      </c>
      <c r="EF19" s="681" t="n">
        <v>45842</v>
      </c>
      <c r="EG19" s="681" t="n">
        <v>45791</v>
      </c>
      <c r="EH19" s="646" t="n">
        <v>45832</v>
      </c>
      <c r="EI19" s="646" t="n">
        <v>45825</v>
      </c>
      <c r="EJ19" s="704" t="n">
        <v>45834</v>
      </c>
      <c r="EK19" s="646" t="n">
        <v>45825</v>
      </c>
      <c r="EL19" s="646" t="n">
        <v>45813</v>
      </c>
      <c r="EM19" s="646" t="n">
        <v>45798</v>
      </c>
      <c r="EN19" s="655" t="n">
        <v>45798</v>
      </c>
      <c r="EO19" s="654" t="n">
        <v>45790</v>
      </c>
      <c r="EP19" s="689" t="n">
        <v>45790</v>
      </c>
      <c r="EQ19" s="683" t="n">
        <v>45735</v>
      </c>
      <c r="ER19" s="654" t="n">
        <v>45783</v>
      </c>
      <c r="ES19" s="654" t="n">
        <v>45783</v>
      </c>
      <c r="ET19" s="684" t="n">
        <v>45785</v>
      </c>
      <c r="EU19" s="654" t="n">
        <v>45770</v>
      </c>
      <c r="EV19" s="654" t="n">
        <v>45756</v>
      </c>
      <c r="EW19" s="654" t="n">
        <v>45749</v>
      </c>
      <c r="EX19" s="654" t="n">
        <v>45743</v>
      </c>
      <c r="EY19" s="655" t="n">
        <v>45750</v>
      </c>
      <c r="EZ19" s="654" t="n">
        <v>45734</v>
      </c>
      <c r="FA19" s="654" t="n">
        <v>45728</v>
      </c>
      <c r="FB19" s="684" t="n">
        <v>45700</v>
      </c>
      <c r="FC19" s="654" t="n">
        <v>45722</v>
      </c>
      <c r="FD19" s="646" t="n">
        <v>45714</v>
      </c>
      <c r="FE19" s="646" t="n">
        <v>45706</v>
      </c>
      <c r="FF19" s="646" t="n">
        <v>45699</v>
      </c>
      <c r="FG19" s="646" t="n">
        <v>45693</v>
      </c>
      <c r="FH19" s="646" t="n">
        <v>45685</v>
      </c>
      <c r="FI19" s="646" t="n">
        <v>45679</v>
      </c>
      <c r="FJ19" s="646" t="n">
        <v>45674</v>
      </c>
      <c r="FK19" s="646" t="n">
        <v>45664</v>
      </c>
      <c r="FL19" s="646" t="n">
        <v>45660</v>
      </c>
      <c r="FM19" s="655" t="n">
        <v>45670</v>
      </c>
      <c r="FN19" s="685" t="n">
        <v>45665</v>
      </c>
      <c r="FQ19" s="267" t="inlineStr">
        <is>
          <t>CAIXAS</t>
        </is>
      </c>
      <c r="FR19" s="205" t="inlineStr">
        <is>
          <t>PCT</t>
        </is>
      </c>
      <c r="FS19" s="650" t="n">
        <v>46118</v>
      </c>
      <c r="FT19" s="650" t="n">
        <v>46125</v>
      </c>
      <c r="FU19" s="650" t="n">
        <v>46132</v>
      </c>
      <c r="FV19" s="650" t="n">
        <v>46139</v>
      </c>
      <c r="FW19" s="650" t="n">
        <v>46146</v>
      </c>
      <c r="FX19" s="650" t="n">
        <v>46154</v>
      </c>
      <c r="FY19" s="650" t="n">
        <v>46160</v>
      </c>
      <c r="FZ19" s="650" t="n">
        <v>46160</v>
      </c>
      <c r="GA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150</v>
      </c>
      <c r="E20" s="2" t="n"/>
      <c r="F20" s="38" t="n">
        <v>49</v>
      </c>
      <c r="G20" s="38" t="n">
        <v>7</v>
      </c>
      <c r="H20" s="38" t="n">
        <v>7</v>
      </c>
      <c r="I20" s="38" t="n">
        <v>6</v>
      </c>
      <c r="J20" s="38">
        <f>0+FI20</f>
        <v/>
      </c>
      <c r="K20" s="38" t="n">
        <v>113</v>
      </c>
      <c r="L20" s="38" t="n">
        <v>224</v>
      </c>
      <c r="M20" s="38" t="n">
        <v>185</v>
      </c>
      <c r="N20" s="38">
        <f>161+FE20</f>
        <v/>
      </c>
      <c r="O20" s="38">
        <f>269+FD20</f>
        <v/>
      </c>
      <c r="P20" s="38" t="n">
        <v>358</v>
      </c>
      <c r="Q20" s="38" t="n">
        <v>284</v>
      </c>
      <c r="R20" s="38">
        <f>226+EZ20</f>
        <v/>
      </c>
      <c r="S20" s="38" t="n">
        <v>346</v>
      </c>
      <c r="T20" s="38" t="n">
        <v>317</v>
      </c>
      <c r="U20" s="261" t="n">
        <v>274</v>
      </c>
      <c r="V20" s="38" t="n">
        <v>137</v>
      </c>
      <c r="W20" s="261" t="n">
        <v>214</v>
      </c>
      <c r="X20" s="38" t="n">
        <v>204</v>
      </c>
      <c r="Y20" s="38" t="n">
        <v>124</v>
      </c>
      <c r="Z20" s="38" t="n">
        <v>77</v>
      </c>
      <c r="AA20" s="38">
        <f>47+EM20</f>
        <v/>
      </c>
      <c r="AB20" s="38" t="n">
        <v>164</v>
      </c>
      <c r="AC20" s="38" t="n">
        <v>130</v>
      </c>
      <c r="AD20" s="38" t="n">
        <v>56</v>
      </c>
      <c r="AE20" s="38" t="n">
        <v>21</v>
      </c>
      <c r="AF20" s="38">
        <f>1+EI20</f>
        <v/>
      </c>
      <c r="AG20" s="38" t="n">
        <v>131</v>
      </c>
      <c r="AH20" s="38" t="n">
        <v>89</v>
      </c>
      <c r="AI20" s="38">
        <f>54+ED20</f>
        <v/>
      </c>
      <c r="AJ20" s="38" t="n">
        <v>166</v>
      </c>
      <c r="AK20" s="38" t="n">
        <v>131</v>
      </c>
      <c r="AL20" s="38" t="n">
        <v>39</v>
      </c>
      <c r="AM20" s="38" t="n">
        <v>137</v>
      </c>
      <c r="AN20" s="38">
        <f>137+DY20</f>
        <v/>
      </c>
      <c r="AO20" s="38">
        <f>55+DY20</f>
        <v/>
      </c>
      <c r="AP20" s="38" t="n">
        <v>163</v>
      </c>
      <c r="AQ20" s="38" t="n">
        <v>109</v>
      </c>
      <c r="AR20" s="38" t="n">
        <v>215</v>
      </c>
      <c r="AS20" s="38" t="n">
        <v>168</v>
      </c>
      <c r="AT20" s="38">
        <f>113+DN20</f>
        <v/>
      </c>
      <c r="AU20" s="38" t="n">
        <v>227</v>
      </c>
      <c r="AV20" s="38" t="n">
        <v>194</v>
      </c>
      <c r="AW20" s="38" t="n">
        <v>317</v>
      </c>
      <c r="AX20" s="38" t="n">
        <v>290</v>
      </c>
      <c r="AY20" s="38" t="n">
        <v>246</v>
      </c>
      <c r="AZ20" s="38" t="n">
        <v>240</v>
      </c>
      <c r="BA20" s="38" t="n">
        <v>237</v>
      </c>
      <c r="BB20" s="38" t="n">
        <v>235</v>
      </c>
      <c r="BC20" s="38" t="n">
        <v>235</v>
      </c>
      <c r="BD20" s="38" t="n">
        <v>235</v>
      </c>
      <c r="BE20" s="38" t="n">
        <v>225</v>
      </c>
      <c r="BF20" s="38" t="n">
        <v>113</v>
      </c>
      <c r="BG20" s="38" t="n">
        <v>34</v>
      </c>
      <c r="BH20" s="38" t="n">
        <v>17</v>
      </c>
      <c r="BI20" s="261">
        <f>160+CY20</f>
        <v/>
      </c>
      <c r="BJ20" s="38" t="n">
        <v>440</v>
      </c>
      <c r="BK20" s="38" t="n">
        <v>418</v>
      </c>
      <c r="BL20" s="38" t="n">
        <v>531</v>
      </c>
      <c r="BM20" s="38" t="n">
        <v>518</v>
      </c>
      <c r="BN20" s="38" t="n">
        <v>505</v>
      </c>
      <c r="BO20" s="38" t="n">
        <v>471</v>
      </c>
      <c r="BP20" s="261" t="n">
        <v>261</v>
      </c>
      <c r="BQ20" s="38" t="n">
        <v>218</v>
      </c>
      <c r="BR20" s="38" t="n">
        <v>174</v>
      </c>
      <c r="BS20" s="38" t="n">
        <v>164</v>
      </c>
      <c r="BT20" s="38" t="n"/>
      <c r="BU20" s="38" t="n"/>
      <c r="BV20" s="38" t="n"/>
      <c r="BW20" s="38" t="n">
        <v>93</v>
      </c>
      <c r="BX20" s="38" t="n">
        <v>89</v>
      </c>
      <c r="BY20" s="38" t="n">
        <v>87</v>
      </c>
      <c r="BZ20" s="38" t="n">
        <v>77</v>
      </c>
      <c r="CA20" s="38" t="n">
        <v>77</v>
      </c>
      <c r="CB20" s="154">
        <f>BZ20+IF(NOT(ISBLANK(OFFSET(CB20,0,6))),N(OFFSET(CB20,0,6)),N(OFFSET(CB20,0,7)))-CA20</f>
        <v/>
      </c>
      <c r="CC20" s="2" t="n"/>
      <c r="CD20" s="122" t="n"/>
      <c r="CE20" s="122" t="n"/>
      <c r="CF20" s="23" t="n"/>
      <c r="CG20" s="4" t="n"/>
      <c r="CH20" s="18" t="n">
        <v>0</v>
      </c>
      <c r="CI20" s="18" t="n">
        <v>0</v>
      </c>
      <c r="CJ20" s="18" t="n">
        <v>0</v>
      </c>
      <c r="CK20" s="18" t="n"/>
      <c r="CL20" s="256" t="n">
        <v>300</v>
      </c>
      <c r="CM20" s="18" t="n"/>
      <c r="CN20" s="18" t="n"/>
      <c r="CO20" s="18" t="n"/>
      <c r="CP20" s="18" t="n"/>
      <c r="CQ20" s="18" t="n"/>
      <c r="CR20" s="18" t="n"/>
      <c r="CS20" s="18" t="n"/>
      <c r="CT20" s="18" t="n"/>
      <c r="CU20" s="18" t="n"/>
      <c r="CV20" s="18" t="n"/>
      <c r="CW20" s="18" t="n"/>
      <c r="CX20" s="18" t="n"/>
      <c r="CY20" s="18" t="n">
        <v>300</v>
      </c>
      <c r="CZ20" s="18" t="n"/>
      <c r="DA20" s="18" t="n"/>
      <c r="DB20" s="18" t="n"/>
      <c r="DC20" s="18" t="n"/>
      <c r="DD20" s="18" t="n"/>
      <c r="DE20" s="18" t="n"/>
      <c r="DF20" s="18" t="n"/>
      <c r="DG20" s="18" t="n"/>
      <c r="DH20" s="18" t="n">
        <v>150</v>
      </c>
      <c r="DI20" s="256" t="n"/>
      <c r="DJ20" s="18" t="n"/>
      <c r="DK20" s="18" t="n"/>
      <c r="DL20" s="256" t="n">
        <v>450</v>
      </c>
      <c r="DM20" s="18" t="n"/>
      <c r="DN20" s="18" t="n">
        <v>150</v>
      </c>
      <c r="DO20" s="18" t="n"/>
      <c r="DP20" s="256" t="n"/>
      <c r="DQ20" s="256" t="n"/>
      <c r="DR20" s="18" t="n"/>
      <c r="DS20" s="18" t="n">
        <v>150</v>
      </c>
      <c r="DT20" s="18" t="n"/>
      <c r="DU20" s="256" t="n"/>
      <c r="DV20" s="18" t="n"/>
      <c r="DW20" s="18" t="n"/>
      <c r="DX20" s="18" t="n"/>
      <c r="DY20" s="18" t="n">
        <v>150</v>
      </c>
      <c r="DZ20" s="18" t="n"/>
      <c r="EA20" s="18" t="n">
        <v>150</v>
      </c>
      <c r="EB20" s="256" t="n"/>
      <c r="EC20" s="18" t="n"/>
      <c r="ED20" s="18" t="n">
        <v>150</v>
      </c>
      <c r="EE20" s="18" t="n"/>
      <c r="EF20" s="256" t="n"/>
      <c r="EG20" s="256" t="n"/>
      <c r="EH20" s="18" t="n"/>
      <c r="EI20" s="18" t="n">
        <v>150</v>
      </c>
      <c r="EJ20" s="356" t="n"/>
      <c r="EK20" s="18" t="n"/>
      <c r="EL20" s="18" t="n"/>
      <c r="EM20" s="18" t="n">
        <v>150</v>
      </c>
      <c r="EN20" s="18" t="n"/>
      <c r="EO20" s="18" t="n"/>
      <c r="EP20" s="256" t="n"/>
      <c r="EQ20" s="256" t="n">
        <v>100</v>
      </c>
      <c r="ER20" s="18" t="n"/>
      <c r="ES20" s="18" t="n"/>
      <c r="ET20" s="293" t="inlineStr">
        <is>
          <t>15 P/ MG</t>
        </is>
      </c>
      <c r="EU20" s="18" t="n"/>
      <c r="EV20" s="18" t="n"/>
      <c r="EW20" s="18" t="n"/>
      <c r="EX20" s="18" t="n"/>
      <c r="EY20" s="18" t="n"/>
      <c r="EZ20" s="18" t="n">
        <v>150</v>
      </c>
      <c r="FA20" s="18" t="n"/>
      <c r="FB20" s="256" t="n">
        <v>150</v>
      </c>
      <c r="FC20" s="18" t="n"/>
      <c r="FD20" s="18" t="n">
        <v>150</v>
      </c>
      <c r="FE20" s="18" t="n">
        <v>150</v>
      </c>
      <c r="FF20" s="18" t="n"/>
      <c r="FG20" s="18" t="n">
        <v>150</v>
      </c>
      <c r="FH20" s="18" t="n"/>
      <c r="FI20" s="18" t="n">
        <v>150</v>
      </c>
      <c r="FJ20" s="18" t="n"/>
      <c r="FK20" s="18" t="n"/>
      <c r="FL20" s="18" t="n"/>
      <c r="FM20" s="18" t="n"/>
      <c r="FN20" s="259" t="inlineStr">
        <is>
          <t>50 DE BOQ</t>
        </is>
      </c>
      <c r="FQ20" s="159" t="inlineStr">
        <is>
          <t>CAIXA P</t>
        </is>
      </c>
      <c r="FR20" s="129" t="n">
        <v>150</v>
      </c>
      <c r="FS20" s="38">
        <f>CL20</f>
        <v/>
      </c>
      <c r="FT20" s="38" t="n"/>
      <c r="FU20" s="38" t="n"/>
      <c r="FV20" s="38" t="n">
        <v>249</v>
      </c>
      <c r="FW20" s="38" t="n">
        <v>229</v>
      </c>
      <c r="FX20" s="38" t="n">
        <v>119</v>
      </c>
      <c r="FY20" s="38" t="n">
        <v>101</v>
      </c>
      <c r="FZ20" s="38" t="n"/>
      <c r="GA20" s="246">
        <f>FY20+IF(NOT(ISBLANK(OFFSET(GA20,0,6))),N(OFFSET(GA20,0,6)),N(OFFSET(GA20,0,7)))-FZ20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150</v>
      </c>
      <c r="E21" s="2" t="n"/>
      <c r="F21" s="38" t="n">
        <v>135</v>
      </c>
      <c r="G21" s="38" t="n">
        <v>118</v>
      </c>
      <c r="H21" s="38" t="n">
        <v>107</v>
      </c>
      <c r="I21" s="38" t="n">
        <v>102</v>
      </c>
      <c r="J21" s="38" t="n">
        <v>102</v>
      </c>
      <c r="K21" s="38" t="n">
        <v>89</v>
      </c>
      <c r="L21" s="38" t="n">
        <v>145</v>
      </c>
      <c r="M21" s="38">
        <f>97+FF21</f>
        <v/>
      </c>
      <c r="N21" s="38">
        <f>156+FE21</f>
        <v/>
      </c>
      <c r="O21" s="38">
        <f>204+FD21</f>
        <v/>
      </c>
      <c r="P21" s="38">
        <f>308+FC21</f>
        <v/>
      </c>
      <c r="Q21" s="38" t="n">
        <v>349</v>
      </c>
      <c r="R21" s="38" t="n">
        <v>293</v>
      </c>
      <c r="S21" s="38" t="n">
        <v>254</v>
      </c>
      <c r="T21" s="38" t="n">
        <v>207</v>
      </c>
      <c r="U21" s="261" t="n">
        <v>148</v>
      </c>
      <c r="V21" s="38" t="n">
        <v>28</v>
      </c>
      <c r="W21" s="261" t="n">
        <v>159</v>
      </c>
      <c r="X21" s="38" t="n">
        <v>258</v>
      </c>
      <c r="Y21" s="38" t="n">
        <v>104</v>
      </c>
      <c r="Z21" s="38" t="n">
        <v>171</v>
      </c>
      <c r="AA21" s="38">
        <f>153+EM21</f>
        <v/>
      </c>
      <c r="AB21" s="38" t="n">
        <v>231</v>
      </c>
      <c r="AC21" s="38" t="n">
        <v>222</v>
      </c>
      <c r="AD21" s="38" t="n">
        <v>137</v>
      </c>
      <c r="AE21" s="38" t="n">
        <v>61</v>
      </c>
      <c r="AF21" s="38">
        <f>25+EI21</f>
        <v/>
      </c>
      <c r="AG21" s="38" t="n">
        <v>281</v>
      </c>
      <c r="AH21" s="38" t="n">
        <v>211</v>
      </c>
      <c r="AI21" s="38" t="n">
        <v>154</v>
      </c>
      <c r="AJ21" s="38" t="n">
        <v>132</v>
      </c>
      <c r="AK21" s="38" t="n">
        <v>118</v>
      </c>
      <c r="AL21" s="38" t="n">
        <v>73</v>
      </c>
      <c r="AM21" s="38" t="n">
        <v>47</v>
      </c>
      <c r="AN21" s="38">
        <f>47+DZ21+DY21</f>
        <v/>
      </c>
      <c r="AO21" s="38">
        <f>37+DY21</f>
        <v/>
      </c>
      <c r="AP21" s="38" t="n">
        <v>180</v>
      </c>
      <c r="AQ21" s="38" t="n">
        <v>228</v>
      </c>
      <c r="AR21" s="38" t="n">
        <v>251</v>
      </c>
      <c r="AS21" s="38" t="n">
        <v>189</v>
      </c>
      <c r="AT21" s="38">
        <f>96+DN21</f>
        <v/>
      </c>
      <c r="AU21" s="38" t="n">
        <v>116</v>
      </c>
      <c r="AV21" s="38">
        <f>74+DJ21</f>
        <v/>
      </c>
      <c r="AW21" s="38" t="n">
        <v>118</v>
      </c>
      <c r="AX21" s="38" t="n">
        <v>76</v>
      </c>
      <c r="AY21" s="38" t="n">
        <v>165</v>
      </c>
      <c r="AZ21" s="38" t="n">
        <v>154</v>
      </c>
      <c r="BA21" s="38" t="n">
        <v>152</v>
      </c>
      <c r="BB21" s="38" t="n">
        <v>148</v>
      </c>
      <c r="BC21" s="38" t="n">
        <v>146</v>
      </c>
      <c r="BD21" s="38" t="n">
        <v>146</v>
      </c>
      <c r="BE21" s="38" t="n">
        <v>106</v>
      </c>
      <c r="BF21" s="38" t="n">
        <v>0</v>
      </c>
      <c r="BG21" s="38" t="n">
        <v>0</v>
      </c>
      <c r="BH21" s="38" t="n">
        <v>184</v>
      </c>
      <c r="BI21" s="38" t="n">
        <v>145</v>
      </c>
      <c r="BJ21" s="38" t="n">
        <v>127</v>
      </c>
      <c r="BK21" s="38" t="n">
        <v>324</v>
      </c>
      <c r="BL21" s="38" t="n">
        <v>247</v>
      </c>
      <c r="BM21" s="38" t="n">
        <v>222</v>
      </c>
      <c r="BN21" s="38" t="n">
        <v>186</v>
      </c>
      <c r="BO21" s="38" t="n">
        <v>146</v>
      </c>
      <c r="BP21" s="261" t="n">
        <v>188</v>
      </c>
      <c r="BQ21" s="38">
        <f>149+CO21</f>
        <v/>
      </c>
      <c r="BR21" s="38" t="n">
        <v>290</v>
      </c>
      <c r="BS21" s="38" t="n">
        <v>260</v>
      </c>
      <c r="BT21" s="38" t="n"/>
      <c r="BU21" s="38" t="n"/>
      <c r="BV21" s="38" t="n"/>
      <c r="BW21" s="38" t="n">
        <v>174</v>
      </c>
      <c r="BX21" s="38" t="n">
        <v>170</v>
      </c>
      <c r="BY21" s="38" t="n">
        <v>106</v>
      </c>
      <c r="BZ21" s="38" t="n">
        <v>99</v>
      </c>
      <c r="CA21" s="38" t="n">
        <v>99</v>
      </c>
      <c r="CB21" s="154">
        <f>BZ21+IF(NOT(ISBLANK(OFFSET(CB21,0,6))),N(OFFSET(CB21,0,6)),N(OFFSET(CB21,0,7)))-CA21</f>
        <v/>
      </c>
      <c r="CC21" s="2" t="n"/>
      <c r="CD21" s="122" t="n"/>
      <c r="CE21" s="122" t="n"/>
      <c r="CF21" s="23" t="n"/>
      <c r="CG21" s="4" t="n"/>
      <c r="CH21" s="18" t="n">
        <v>0</v>
      </c>
      <c r="CI21" s="18" t="n">
        <v>0</v>
      </c>
      <c r="CJ21" s="18" t="n">
        <v>0</v>
      </c>
      <c r="CK21" s="18" t="n"/>
      <c r="CL21" s="256" t="n">
        <v>300</v>
      </c>
      <c r="CM21" s="18" t="n">
        <v>100</v>
      </c>
      <c r="CN21" s="18" t="n"/>
      <c r="CO21" s="18" t="n">
        <v>100</v>
      </c>
      <c r="CP21" s="18" t="n"/>
      <c r="CQ21" s="18" t="n"/>
      <c r="CR21" s="18" t="n">
        <v>100</v>
      </c>
      <c r="CS21" s="18" t="n"/>
      <c r="CT21" s="18" t="n"/>
      <c r="CU21" s="18" t="n"/>
      <c r="CV21" s="18" t="n"/>
      <c r="CW21" s="18" t="n">
        <v>200</v>
      </c>
      <c r="CX21" s="18" t="n"/>
      <c r="CY21" s="18" t="n"/>
      <c r="CZ21" s="18" t="n">
        <v>200</v>
      </c>
      <c r="DA21" s="18" t="n"/>
      <c r="DB21" s="18" t="n"/>
      <c r="DC21" s="18" t="n"/>
      <c r="DD21" s="18" t="n"/>
      <c r="DE21" s="18" t="n"/>
      <c r="DF21" s="18" t="n">
        <v>100</v>
      </c>
      <c r="DG21" s="18" t="n"/>
      <c r="DH21" s="18" t="n"/>
      <c r="DI21" s="256" t="n"/>
      <c r="DJ21" s="18" t="n">
        <v>100</v>
      </c>
      <c r="DK21" s="18" t="n"/>
      <c r="DL21" s="256" t="n">
        <v>600</v>
      </c>
      <c r="DM21" s="18" t="n"/>
      <c r="DN21" s="18" t="n">
        <v>100</v>
      </c>
      <c r="DO21" s="18" t="n"/>
      <c r="DP21" s="256" t="n"/>
      <c r="DQ21" s="378" t="inlineStr">
        <is>
          <t>15 DE PL</t>
        </is>
      </c>
      <c r="DR21" s="18" t="n"/>
      <c r="DS21" s="18" t="n">
        <v>100</v>
      </c>
      <c r="DT21" s="18" t="n"/>
      <c r="DU21" s="256" t="n"/>
      <c r="DV21" s="18" t="n">
        <v>100</v>
      </c>
      <c r="DW21" s="18" t="n">
        <v>100</v>
      </c>
      <c r="DX21" s="18" t="n"/>
      <c r="DY21" s="18" t="n">
        <v>100</v>
      </c>
      <c r="DZ21" s="18" t="n">
        <v>100</v>
      </c>
      <c r="EA21" s="18" t="n"/>
      <c r="EB21" s="256" t="n"/>
      <c r="EC21" s="18" t="n"/>
      <c r="ED21" s="18" t="n"/>
      <c r="EE21" s="18" t="n"/>
      <c r="EF21" s="256" t="n"/>
      <c r="EG21" s="256" t="n">
        <v>100</v>
      </c>
      <c r="EH21" s="18" t="n">
        <v>100</v>
      </c>
      <c r="EI21" s="18" t="n">
        <v>200</v>
      </c>
      <c r="EJ21" s="263" t="inlineStr">
        <is>
          <t>60 P/ PL</t>
        </is>
      </c>
      <c r="EK21" s="18" t="n"/>
      <c r="EL21" s="18" t="n"/>
      <c r="EM21" s="18" t="n">
        <v>100</v>
      </c>
      <c r="EN21" s="18" t="n"/>
      <c r="EO21" s="18" t="n">
        <v>100</v>
      </c>
      <c r="EP21" s="263" t="inlineStr">
        <is>
          <t>100 P/ PL</t>
        </is>
      </c>
      <c r="EQ21" s="256" t="n">
        <v>100</v>
      </c>
      <c r="ER21" s="18" t="n"/>
      <c r="ES21" s="18" t="n"/>
      <c r="ET21" s="256" t="n"/>
      <c r="EU21" s="18" t="n">
        <v>100</v>
      </c>
      <c r="EV21" s="18" t="n"/>
      <c r="EW21" s="18" t="n"/>
      <c r="EX21" s="18" t="n"/>
      <c r="EY21" s="18" t="n"/>
      <c r="EZ21" s="18" t="n"/>
      <c r="FA21" s="18" t="n"/>
      <c r="FB21" s="256" t="n">
        <v>300</v>
      </c>
      <c r="FC21" s="18" t="n">
        <v>100</v>
      </c>
      <c r="FD21" s="18" t="n">
        <v>200</v>
      </c>
      <c r="FE21" s="18" t="n">
        <v>100</v>
      </c>
      <c r="FF21" s="18" t="n">
        <v>100</v>
      </c>
      <c r="FG21" s="18" t="n">
        <v>100</v>
      </c>
      <c r="FH21" s="18" t="n"/>
      <c r="FI21" s="18" t="n"/>
      <c r="FJ21" s="18" t="n"/>
      <c r="FK21" s="18" t="n"/>
      <c r="FL21" s="18" t="n"/>
      <c r="FM21" s="18" t="n"/>
      <c r="FN21" s="256" t="n"/>
      <c r="FQ21" s="29" t="inlineStr">
        <is>
          <t>CAIXA M</t>
        </is>
      </c>
      <c r="FR21" s="9" t="n">
        <v>100</v>
      </c>
      <c r="FS21" s="38">
        <f>CL21</f>
        <v/>
      </c>
      <c r="FT21" s="38" t="n"/>
      <c r="FU21" s="38" t="n"/>
      <c r="FV21" s="38" t="n">
        <v>238</v>
      </c>
      <c r="FW21" s="38" t="n">
        <v>179</v>
      </c>
      <c r="FX21" s="38" t="n">
        <v>37</v>
      </c>
      <c r="FY21" s="38" t="n">
        <v>15</v>
      </c>
      <c r="FZ21" s="38" t="n"/>
      <c r="GA21" s="246">
        <f>FY21+IF(NOT(ISBLANK(OFFSET(GA21,0,6))),N(OFFSET(GA21,0,6)),N(OFFSET(GA21,0,7)))-FZ21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30</v>
      </c>
      <c r="E22" s="642" t="n"/>
      <c r="F22" s="38" t="n">
        <v>45</v>
      </c>
      <c r="G22" s="38" t="n">
        <v>43</v>
      </c>
      <c r="H22" s="38" t="n">
        <v>42</v>
      </c>
      <c r="I22" s="38" t="n">
        <v>42</v>
      </c>
      <c r="J22" s="38" t="n">
        <v>33</v>
      </c>
      <c r="K22" s="38" t="n">
        <v>55</v>
      </c>
      <c r="L22" s="38" t="n">
        <v>57</v>
      </c>
      <c r="M22" s="38" t="n">
        <v>57</v>
      </c>
      <c r="N22" s="38" t="n">
        <v>57</v>
      </c>
      <c r="O22" s="38" t="n">
        <v>57</v>
      </c>
      <c r="P22" s="38" t="n">
        <v>57</v>
      </c>
      <c r="Q22" s="38" t="n">
        <v>57</v>
      </c>
      <c r="R22" s="38" t="n">
        <v>56</v>
      </c>
      <c r="S22" s="38">
        <f>52+75</f>
        <v/>
      </c>
      <c r="T22" s="38" t="n">
        <v>125</v>
      </c>
      <c r="U22" s="38" t="n">
        <v>125</v>
      </c>
      <c r="V22" s="38" t="n">
        <v>123</v>
      </c>
      <c r="W22" s="261" t="n">
        <v>150</v>
      </c>
      <c r="X22" s="38" t="n">
        <v>132</v>
      </c>
      <c r="Y22" s="38" t="n">
        <v>125</v>
      </c>
      <c r="Z22" s="38">
        <f>132-50</f>
        <v/>
      </c>
      <c r="AA22" s="38" t="n">
        <v>75</v>
      </c>
      <c r="AB22" s="38" t="n">
        <v>80</v>
      </c>
      <c r="AC22" s="38" t="n">
        <v>80</v>
      </c>
      <c r="AD22" s="38" t="n">
        <v>80</v>
      </c>
      <c r="AE22" s="38" t="n">
        <v>80</v>
      </c>
      <c r="AF22" s="38" t="n">
        <v>80</v>
      </c>
      <c r="AG22" s="38" t="n">
        <v>75</v>
      </c>
      <c r="AH22" s="38" t="n">
        <v>75</v>
      </c>
      <c r="AI22" s="38" t="n">
        <v>75</v>
      </c>
      <c r="AJ22" s="38" t="n">
        <v>75</v>
      </c>
      <c r="AK22" s="38" t="n">
        <v>75</v>
      </c>
      <c r="AL22" s="38" t="n">
        <v>75</v>
      </c>
      <c r="AM22" s="38" t="n">
        <v>75</v>
      </c>
      <c r="AN22" s="38" t="n">
        <v>75</v>
      </c>
      <c r="AO22" s="38" t="n">
        <v>60</v>
      </c>
      <c r="AP22" s="38" t="n">
        <v>46</v>
      </c>
      <c r="AQ22" s="38" t="n">
        <v>47</v>
      </c>
      <c r="AR22" s="38" t="n">
        <v>47</v>
      </c>
      <c r="AS22" s="38" t="n">
        <v>47</v>
      </c>
      <c r="AT22" s="38" t="n">
        <v>44</v>
      </c>
      <c r="AU22" s="38" t="n">
        <v>24</v>
      </c>
      <c r="AV22" s="38" t="n">
        <v>24</v>
      </c>
      <c r="AW22" s="38" t="n">
        <v>31</v>
      </c>
      <c r="AX22" s="38" t="n">
        <v>31</v>
      </c>
      <c r="AY22" s="38" t="n">
        <v>30</v>
      </c>
      <c r="AZ22" s="38" t="n">
        <v>30</v>
      </c>
      <c r="BA22" s="38" t="n">
        <v>30</v>
      </c>
      <c r="BB22" s="38" t="n">
        <v>30</v>
      </c>
      <c r="BC22" s="38" t="n">
        <v>30</v>
      </c>
      <c r="BD22" s="38" t="n">
        <v>32</v>
      </c>
      <c r="BE22" s="38" t="n">
        <v>32</v>
      </c>
      <c r="BF22" s="38" t="n">
        <v>32</v>
      </c>
      <c r="BG22" s="38" t="n">
        <v>32</v>
      </c>
      <c r="BH22" s="38" t="n">
        <v>10</v>
      </c>
      <c r="BI22" s="38" t="n">
        <v>10</v>
      </c>
      <c r="BJ22" s="38" t="n">
        <v>10</v>
      </c>
      <c r="BK22" s="38" t="n">
        <v>9</v>
      </c>
      <c r="BL22" s="38" t="n">
        <v>1</v>
      </c>
      <c r="BM22" s="38" t="n">
        <v>18</v>
      </c>
      <c r="BN22" s="38" t="n">
        <v>18</v>
      </c>
      <c r="BO22" s="38" t="n">
        <v>18</v>
      </c>
      <c r="BP22" s="38" t="n">
        <v>3</v>
      </c>
      <c r="BQ22" s="38" t="n">
        <v>3</v>
      </c>
      <c r="BR22" s="38" t="n">
        <v>0</v>
      </c>
      <c r="BS22" s="38" t="n">
        <v>0</v>
      </c>
      <c r="BT22" s="38" t="n">
        <v>0</v>
      </c>
      <c r="BU22" s="38" t="n">
        <v>0</v>
      </c>
      <c r="BV22" s="38" t="n">
        <v>0</v>
      </c>
      <c r="BW22" s="38" t="n">
        <v>0</v>
      </c>
      <c r="BX22" s="38" t="n">
        <v>0</v>
      </c>
      <c r="BY22" s="38" t="n">
        <v>0</v>
      </c>
      <c r="BZ22" s="261" t="n">
        <v>2</v>
      </c>
      <c r="CA22" s="261" t="n">
        <v>2</v>
      </c>
      <c r="CB22" s="154">
        <f>BZ22+IF(NOT(ISBLANK(OFFSET(CB22,0,6))),N(OFFSET(CB22,0,6)),N(OFFSET(CB22,0,7)))-CA22</f>
        <v/>
      </c>
      <c r="CC22" s="642" t="n"/>
      <c r="CD22" s="19" t="inlineStr">
        <is>
          <t>20 DE MG</t>
        </is>
      </c>
      <c r="CE22" s="122" t="n"/>
      <c r="CF22" s="23" t="n"/>
      <c r="CG22" s="4" t="n"/>
      <c r="CH22" s="18" t="n">
        <v>0</v>
      </c>
      <c r="CI22" s="18" t="n">
        <v>0</v>
      </c>
      <c r="CJ22" s="18" t="n">
        <v>0</v>
      </c>
      <c r="CK22" s="18" t="n"/>
      <c r="CL22" s="256" t="n"/>
      <c r="CM22" s="18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403" t="inlineStr">
        <is>
          <t>20 P/ MG</t>
        </is>
      </c>
      <c r="DJ22" s="18" t="n"/>
      <c r="DK22" s="18" t="n"/>
      <c r="DL22" s="392" t="n">
        <v>50</v>
      </c>
      <c r="DM22" s="18" t="n"/>
      <c r="DN22" s="18" t="n"/>
      <c r="DO22" s="18" t="n"/>
      <c r="DP22" s="256" t="n"/>
      <c r="DQ22" s="256" t="n"/>
      <c r="DR22" s="18" t="n"/>
      <c r="DS22" s="18" t="n"/>
      <c r="DT22" s="18" t="n"/>
      <c r="DU22" s="256" t="n"/>
      <c r="DV22" s="18" t="n"/>
      <c r="DW22" s="18" t="n"/>
      <c r="DX22" s="18" t="n"/>
      <c r="DY22" s="18" t="n"/>
      <c r="DZ22" s="18" t="n"/>
      <c r="EA22" s="18" t="n"/>
      <c r="EB22" s="256" t="n"/>
      <c r="EC22" s="18" t="n"/>
      <c r="ED22" s="18" t="n"/>
      <c r="EE22" s="18" t="n"/>
      <c r="EF22" s="256" t="n"/>
      <c r="EG22" s="256" t="n">
        <v>150</v>
      </c>
      <c r="EH22" s="18" t="n"/>
      <c r="EI22" s="18" t="n"/>
      <c r="EJ22" s="356" t="n"/>
      <c r="EK22" s="18" t="n"/>
      <c r="EL22" s="18" t="n"/>
      <c r="EM22" s="18" t="n"/>
      <c r="EN22" s="241" t="inlineStr">
        <is>
          <t>50 P/ PL</t>
        </is>
      </c>
      <c r="EO22" s="18" t="n"/>
      <c r="EP22" s="18" t="n"/>
      <c r="EQ22" s="256" t="n"/>
      <c r="ER22" s="18" t="n"/>
      <c r="ES22" s="18" t="n"/>
      <c r="ET22" s="256" t="n"/>
      <c r="EU22" s="18" t="n"/>
      <c r="EV22" s="18" t="n"/>
      <c r="EW22" s="18" t="n"/>
      <c r="EX22" s="18" t="n"/>
      <c r="EY22" s="241" t="inlineStr">
        <is>
          <t>75 DE MG</t>
        </is>
      </c>
      <c r="EZ22" s="18" t="n"/>
      <c r="FA22" s="18" t="n"/>
      <c r="FB22" s="256" t="n">
        <v>75</v>
      </c>
      <c r="FC22" s="18" t="n"/>
      <c r="FD22" s="18" t="n"/>
      <c r="FE22" s="18" t="n"/>
      <c r="FF22" s="18" t="n"/>
      <c r="FG22" s="18" t="n"/>
      <c r="FH22" s="18" t="n"/>
      <c r="FI22" s="18" t="n"/>
      <c r="FJ22" s="18" t="n"/>
      <c r="FK22" s="18" t="n"/>
      <c r="FL22" s="18" t="n"/>
      <c r="FM22" s="18" t="n"/>
      <c r="FN22" s="256" t="n"/>
      <c r="FQ22" s="30" t="inlineStr">
        <is>
          <t>CARTUCHO P</t>
        </is>
      </c>
      <c r="FR22" s="9" t="n">
        <v>200</v>
      </c>
      <c r="FS22" s="38" t="n">
        <v>0</v>
      </c>
      <c r="FT22" s="38" t="n"/>
      <c r="FU22" s="38" t="n"/>
      <c r="FV22" s="38" t="n">
        <v>0</v>
      </c>
      <c r="FW22" s="38" t="n">
        <v>0</v>
      </c>
      <c r="FX22" s="38" t="n">
        <v>0</v>
      </c>
      <c r="FY22" s="38" t="n">
        <v>0</v>
      </c>
      <c r="FZ22" s="38" t="n"/>
      <c r="GA22" s="246">
        <f>FY22+IF(NOT(ISBLANK(OFFSET(GA22,0,6))),N(OFFSET(GA22,0,6)),N(OFFSET(GA22,0,7)))-FZ22</f>
        <v/>
      </c>
    </row>
    <row r="23" ht="18.75" customHeight="1">
      <c r="CD23" s="6" t="n"/>
      <c r="CE23" s="6" t="n"/>
      <c r="CH23" s="6" t="n"/>
      <c r="CI23" s="6" t="n"/>
      <c r="CJ23" s="6" t="n"/>
      <c r="CK23" s="6" t="n"/>
      <c r="CL23" s="256" t="n">
        <v>150</v>
      </c>
      <c r="CM23" s="6" t="n"/>
      <c r="CN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J23" s="6" t="n"/>
      <c r="DK23" s="6" t="n"/>
      <c r="DL23" s="288" t="n">
        <v>400</v>
      </c>
      <c r="DM23" s="6" t="n"/>
      <c r="DN23" s="6" t="n"/>
      <c r="DO23" s="6" t="n"/>
      <c r="DP23" s="6" t="n"/>
      <c r="DQ23" s="6" t="n"/>
      <c r="DR23" s="6" t="n"/>
      <c r="DS23" s="6" t="n"/>
      <c r="DT23" s="6" t="n"/>
      <c r="DU23" s="6" t="n"/>
      <c r="DV23" s="6" t="n"/>
      <c r="DW23" s="6" t="n"/>
      <c r="DX23" s="6" t="n"/>
      <c r="DY23" s="6" t="n"/>
      <c r="DZ23" s="6" t="n"/>
      <c r="EA23" s="6" t="n"/>
      <c r="EB23" s="292" t="inlineStr">
        <is>
          <t>06 P/ PL</t>
        </is>
      </c>
      <c r="EC23" s="6" t="n"/>
      <c r="ED23" s="6" t="n"/>
      <c r="EE23" s="6" t="n"/>
      <c r="EF23" s="256" t="n">
        <v>25</v>
      </c>
      <c r="EG23" s="6" t="n"/>
      <c r="EH23" s="6" t="n"/>
      <c r="EI23" s="6" t="n"/>
      <c r="EK23" s="6" t="n"/>
      <c r="EL23" s="6" t="n"/>
      <c r="EM23" s="6" t="n"/>
      <c r="EN23" s="6" t="n"/>
      <c r="EO23" s="6" t="n"/>
      <c r="EP23" s="6" t="n"/>
      <c r="EQ23" s="6" t="n"/>
      <c r="ER23" s="6" t="n"/>
      <c r="ES23" s="6" t="n"/>
      <c r="EU23" s="6" t="n"/>
      <c r="EV23" s="6" t="n"/>
      <c r="EW23" s="6" t="n"/>
      <c r="EX23" s="6" t="n"/>
      <c r="EY23" s="6" t="n"/>
      <c r="EZ23" s="6" t="n"/>
      <c r="FA23" s="6" t="n"/>
      <c r="FB23" s="288" t="n"/>
      <c r="FC23" s="6" t="n"/>
      <c r="FD23" s="6" t="n"/>
      <c r="FE23" s="6" t="n"/>
      <c r="FF23" s="6" t="n"/>
      <c r="FG23" s="6" t="n"/>
      <c r="FH23" s="6" t="n"/>
      <c r="FI23" s="6" t="n"/>
      <c r="FJ23" s="6" t="n"/>
      <c r="FK23" s="6" t="n"/>
      <c r="FL23" s="6" t="n"/>
      <c r="FM23" s="6" t="n"/>
      <c r="FQ23" s="30" t="inlineStr">
        <is>
          <t>CARTUCHO M</t>
        </is>
      </c>
      <c r="FR23" s="9" t="n">
        <v>150</v>
      </c>
      <c r="FS23" s="38">
        <f>CL23</f>
        <v/>
      </c>
      <c r="FT23" s="38" t="n"/>
      <c r="FU23" s="38" t="n"/>
      <c r="FV23" s="38" t="n">
        <v>74</v>
      </c>
      <c r="FW23" s="38" t="n">
        <v>42</v>
      </c>
      <c r="FX23" s="38" t="n">
        <v>1</v>
      </c>
      <c r="FY23" s="38" t="n">
        <v>-1</v>
      </c>
      <c r="FZ23" s="38" t="n"/>
      <c r="GA23" s="246">
        <f>FY23+IF(NOT(ISBLANK(OFFSET(GA23,0,6))),N(OFFSET(GA23,0,6)),N(OFFSET(GA23,0,7)))-FZ23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E24" s="6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60" t="inlineStr">
        <is>
          <t>USOU</t>
        </is>
      </c>
      <c r="CD24" s="6" t="n"/>
      <c r="CE24" s="49" t="n"/>
      <c r="CH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J24" s="6" t="n"/>
      <c r="DK24" s="6" t="n"/>
      <c r="DL24" s="393" t="n">
        <v>300</v>
      </c>
      <c r="DM24" s="6" t="n"/>
      <c r="DN24" s="6" t="n"/>
      <c r="DO24" s="6" t="n"/>
      <c r="DP24" s="6" t="n"/>
      <c r="DQ24" s="6" t="n"/>
      <c r="DR24" s="6" t="n"/>
      <c r="DS24" s="6" t="n"/>
      <c r="DT24" s="6" t="n"/>
      <c r="DU24" s="6" t="n"/>
      <c r="DV24" s="6" t="n"/>
      <c r="DW24" s="6" t="n"/>
      <c r="DX24" s="6" t="n"/>
      <c r="DY24" s="6" t="n"/>
      <c r="DZ24" s="6" t="n"/>
      <c r="EA24" s="6" t="n"/>
      <c r="EB24" s="292" t="inlineStr">
        <is>
          <t>08 P/ PL</t>
        </is>
      </c>
      <c r="EC24" s="6" t="n"/>
      <c r="ED24" s="6" t="n"/>
      <c r="EE24" s="6" t="n"/>
      <c r="EF24" s="256" t="n">
        <v>25</v>
      </c>
      <c r="EG24" s="6" t="n"/>
      <c r="EH24" s="6" t="n"/>
      <c r="EI24" s="6" t="n"/>
      <c r="EK24" s="6" t="n"/>
      <c r="EL24" s="6" t="n"/>
      <c r="EM24" s="6" t="n"/>
      <c r="EN24" s="6" t="n"/>
      <c r="EO24" s="6" t="n"/>
      <c r="EP24" s="6" t="n"/>
      <c r="EQ24" s="6" t="n"/>
      <c r="ER24" s="6" t="n"/>
      <c r="ES24" s="6" t="n"/>
      <c r="EU24" s="6" t="n"/>
      <c r="EV24" s="6" t="n"/>
      <c r="EW24" s="6" t="n"/>
      <c r="EX24" s="6" t="n"/>
      <c r="EY24" s="6" t="n"/>
      <c r="EZ24" s="6" t="n"/>
      <c r="FA24" s="6" t="n"/>
      <c r="FB24" s="288" t="n">
        <v>150</v>
      </c>
      <c r="FC24" s="6" t="n"/>
      <c r="FD24" s="6" t="n"/>
      <c r="FE24" s="6" t="n"/>
      <c r="FF24" s="6" t="n"/>
      <c r="FG24" s="6" t="n"/>
      <c r="FH24" s="6" t="n"/>
      <c r="FI24" s="6" t="n"/>
      <c r="FJ24" s="6" t="n"/>
      <c r="FK24" s="6" t="n"/>
      <c r="FL24" s="6" t="n"/>
      <c r="FM24" s="6" t="n"/>
      <c r="FQ24" s="6" t="n"/>
      <c r="FR24" s="6" t="n"/>
      <c r="FS24" s="6" t="n"/>
      <c r="FT24" s="6" t="n"/>
      <c r="FU24" s="6" t="n"/>
      <c r="FV24" s="6" t="n"/>
      <c r="FW24" s="6" t="n"/>
      <c r="FX24" s="6" t="n"/>
      <c r="FY24" s="6" t="n"/>
      <c r="FZ24" s="6" t="n"/>
      <c r="GA24" s="6" t="n"/>
    </row>
    <row r="25" hidden="1" ht="18.75" customHeight="1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E25" s="6" t="n"/>
      <c r="F25" s="38" t="n">
        <v>281</v>
      </c>
      <c r="G25" s="38" t="n">
        <v>281</v>
      </c>
      <c r="H25" s="38" t="n">
        <v>281</v>
      </c>
      <c r="I25" s="38" t="n">
        <v>281</v>
      </c>
      <c r="J25" s="38" t="n">
        <v>258</v>
      </c>
      <c r="K25" s="38" t="n">
        <v>260</v>
      </c>
      <c r="L25" s="38" t="n">
        <v>260</v>
      </c>
      <c r="M25" s="38" t="n">
        <v>253</v>
      </c>
      <c r="N25" s="38" t="n">
        <v>251</v>
      </c>
      <c r="O25" s="38" t="n">
        <v>251</v>
      </c>
      <c r="P25" s="38" t="n">
        <v>246</v>
      </c>
      <c r="Q25" s="38" t="n">
        <v>246</v>
      </c>
      <c r="R25" s="38" t="n">
        <v>242</v>
      </c>
      <c r="S25" s="38" t="n">
        <v>262</v>
      </c>
      <c r="T25" s="38" t="n">
        <v>180</v>
      </c>
      <c r="U25" s="38" t="n">
        <v>180</v>
      </c>
      <c r="V25" s="261" t="n">
        <v>236</v>
      </c>
      <c r="W25" s="38" t="n">
        <v>236</v>
      </c>
      <c r="X25" s="38" t="n">
        <v>234</v>
      </c>
      <c r="Y25" s="38">
        <f>234-100</f>
        <v/>
      </c>
      <c r="Z25" s="38" t="n">
        <v>131</v>
      </c>
      <c r="AA25" s="38" t="n">
        <v>126</v>
      </c>
      <c r="AB25" s="38" t="n">
        <v>126</v>
      </c>
      <c r="AC25" s="38" t="n">
        <v>81</v>
      </c>
      <c r="AD25" s="261" t="n">
        <v>133</v>
      </c>
      <c r="AE25" s="38" t="n">
        <v>131</v>
      </c>
      <c r="AF25" s="38">
        <f>131-60</f>
        <v/>
      </c>
      <c r="AG25" s="38" t="n">
        <v>58</v>
      </c>
      <c r="AH25" s="38" t="n">
        <v>58</v>
      </c>
      <c r="AI25" s="38" t="n">
        <v>58</v>
      </c>
      <c r="AJ25" s="38" t="n">
        <v>58</v>
      </c>
      <c r="AK25" s="38" t="n">
        <v>58</v>
      </c>
      <c r="AL25" s="38" t="n">
        <v>58</v>
      </c>
      <c r="AM25" s="38" t="n">
        <v>58</v>
      </c>
      <c r="AN25" s="38" t="n">
        <v>52</v>
      </c>
      <c r="AO25" s="38" t="n">
        <v>52</v>
      </c>
      <c r="AP25" s="38" t="n">
        <v>50</v>
      </c>
      <c r="AQ25" s="38" t="n">
        <v>50</v>
      </c>
      <c r="AR25" s="38" t="n">
        <v>46</v>
      </c>
      <c r="AS25" s="38" t="n">
        <v>49</v>
      </c>
      <c r="AT25" s="38" t="n">
        <v>38</v>
      </c>
      <c r="AU25" s="38" t="n">
        <v>24</v>
      </c>
      <c r="AV25" s="38" t="n">
        <v>24</v>
      </c>
      <c r="AW25" s="38" t="n">
        <v>27</v>
      </c>
      <c r="AX25" s="38" t="n">
        <v>21</v>
      </c>
      <c r="AY25" s="38" t="n">
        <v>21</v>
      </c>
      <c r="AZ25" s="38" t="n">
        <v>21</v>
      </c>
      <c r="BA25" s="38" t="n">
        <v>28</v>
      </c>
      <c r="BB25" s="38" t="n">
        <v>21</v>
      </c>
      <c r="BC25" s="38" t="n">
        <v>9</v>
      </c>
      <c r="BD25" s="38" t="n">
        <v>7</v>
      </c>
      <c r="BE25" s="38" t="n">
        <v>7</v>
      </c>
      <c r="BF25" s="38" t="n">
        <v>4</v>
      </c>
      <c r="BG25" s="38" t="n">
        <v>4</v>
      </c>
      <c r="BH25" s="38" t="n">
        <v>0</v>
      </c>
      <c r="BI25" s="38" t="n">
        <v>0</v>
      </c>
      <c r="BJ25" s="38" t="n">
        <v>0</v>
      </c>
      <c r="BK25" s="38" t="n">
        <v>0</v>
      </c>
      <c r="BL25" s="38" t="n">
        <v>0</v>
      </c>
      <c r="BM25" s="38" t="n">
        <v>0</v>
      </c>
      <c r="BN25" s="38" t="n">
        <v>0</v>
      </c>
      <c r="BO25" s="38" t="n">
        <v>0</v>
      </c>
      <c r="BP25" s="38" t="n">
        <v>0</v>
      </c>
      <c r="BQ25" s="38" t="n">
        <v>0</v>
      </c>
      <c r="BR25" s="38" t="n">
        <v>0</v>
      </c>
      <c r="BS25" s="38" t="n"/>
      <c r="BT25" s="38" t="n"/>
      <c r="BU25" s="38" t="n"/>
      <c r="BV25" s="38" t="n"/>
      <c r="BW25" s="38" t="n"/>
      <c r="BX25" s="38" t="n"/>
      <c r="BY25" s="38" t="n"/>
      <c r="BZ25" s="38" t="n"/>
      <c r="CA25" s="38" t="n"/>
      <c r="CB25" s="246">
        <f>BZ25+IF(NOT(ISBLANK(OFFSET(CB25,0,6))),N(OFFSET(CB25,0,6)),N(OFFSET(CB25,0,7)))-CA25</f>
        <v/>
      </c>
      <c r="CD25" s="6" t="n"/>
      <c r="CH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K25" s="6" t="n"/>
      <c r="EL25" s="6" t="n"/>
      <c r="EM25" s="6" t="n"/>
      <c r="EN25" s="6" t="n"/>
      <c r="EO25" s="6" t="n"/>
      <c r="EP25" s="6" t="n"/>
      <c r="EQ25" s="6" t="n"/>
      <c r="ER25" s="6" t="n"/>
      <c r="ES25" s="6" t="n"/>
      <c r="ET25" s="289" t="n"/>
      <c r="EU25" s="6" t="n"/>
      <c r="EV25" s="6" t="n"/>
      <c r="EW25" s="6" t="n"/>
      <c r="EX25" s="6" t="n"/>
      <c r="EY25" s="6" t="n"/>
      <c r="EZ25" s="6" t="n"/>
      <c r="FA25" s="6" t="n"/>
      <c r="FB25" s="289" t="n"/>
      <c r="FC25" s="6" t="n"/>
      <c r="FD25" s="6" t="n"/>
      <c r="FE25" s="6" t="n"/>
      <c r="FF25" s="6" t="n"/>
      <c r="FG25" s="6" t="n"/>
      <c r="FH25" s="6" t="n"/>
      <c r="FI25" s="6" t="n"/>
      <c r="FJ25" s="6" t="n"/>
      <c r="FK25" s="6" t="n"/>
      <c r="FL25" s="6" t="n"/>
      <c r="FM25" s="6" t="n"/>
      <c r="FQ25" s="6" t="n"/>
      <c r="FR25" s="6" t="n"/>
      <c r="FS25" s="6" t="n"/>
      <c r="FT25" s="6" t="n"/>
      <c r="FU25" s="6" t="n"/>
      <c r="FV25" s="6" t="n"/>
      <c r="FW25" s="6" t="n"/>
      <c r="FX25" s="6" t="n"/>
      <c r="FY25" s="6" t="n"/>
      <c r="FZ25" s="6" t="n"/>
      <c r="GA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7" t="n">
        <v>715.5</v>
      </c>
      <c r="D26" s="342" t="n"/>
      <c r="E26" s="6" t="n"/>
      <c r="F26" s="9" t="n">
        <v>2</v>
      </c>
      <c r="G26" s="9">
        <f>0+50</f>
        <v/>
      </c>
      <c r="H26" s="38" t="n">
        <v>41</v>
      </c>
      <c r="I26" s="38" t="n">
        <v>19</v>
      </c>
      <c r="J26" s="38" t="n">
        <v>4</v>
      </c>
      <c r="K26" s="38" t="n">
        <v>4</v>
      </c>
      <c r="L26" s="38" t="n">
        <v>4</v>
      </c>
      <c r="M26" s="38" t="n">
        <v>3</v>
      </c>
      <c r="N26" s="38" t="n">
        <v>3</v>
      </c>
      <c r="O26" s="38" t="n">
        <v>0</v>
      </c>
      <c r="P26" s="38" t="n">
        <v>0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/>
      <c r="AB26" s="38" t="n"/>
      <c r="AC26" s="38" t="n"/>
      <c r="AD26" s="38" t="n"/>
      <c r="AE26" s="38" t="n"/>
      <c r="AF26" s="38" t="n"/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246">
        <f>BZ26+IF(NOT(ISBLANK(OFFSET(CB26,0,6))),N(OFFSET(CB26,0,6)),N(OFFSET(CB26,0,7)))-CA26</f>
        <v/>
      </c>
      <c r="CD26" s="6" t="n"/>
      <c r="CL26" s="6" t="n"/>
      <c r="CT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6" t="n"/>
      <c r="ED26" s="6" t="n"/>
      <c r="EE26" s="6" t="n"/>
      <c r="EF26" s="6" t="n"/>
      <c r="EG26" s="6" t="n"/>
      <c r="EH26" s="6" t="n"/>
      <c r="EI26" s="6" t="n"/>
      <c r="EK26" s="6" t="n"/>
      <c r="EL26" s="6" t="n"/>
      <c r="EM26" s="6" t="n"/>
      <c r="EN26" s="6" t="n"/>
      <c r="EO26" s="6" t="n"/>
      <c r="EP26" s="6" t="n"/>
      <c r="EQ26" s="6" t="n"/>
      <c r="ER26" s="6" t="n"/>
      <c r="ES26" s="6" t="n"/>
      <c r="ET26" s="289" t="n"/>
      <c r="EU26" s="6" t="n"/>
      <c r="EV26" s="6" t="n"/>
      <c r="EW26" s="6" t="n"/>
      <c r="EX26" s="6" t="n"/>
      <c r="EY26" s="6" t="n"/>
      <c r="EZ26" s="6" t="n"/>
      <c r="FA26" s="6" t="n"/>
      <c r="FB26" s="289" t="n"/>
      <c r="FC26" s="6" t="n"/>
      <c r="FD26" s="6" t="n"/>
      <c r="FE26" s="6" t="n"/>
      <c r="FF26" s="6" t="n"/>
      <c r="FG26" s="6" t="n"/>
      <c r="FH26" s="6" t="n"/>
      <c r="FI26" s="6" t="n"/>
      <c r="FJ26" s="6" t="n"/>
      <c r="FK26" s="6" t="n"/>
      <c r="FL26" s="6" t="n"/>
      <c r="FM26" s="6" t="n"/>
      <c r="FQ26" s="6" t="n"/>
      <c r="FR26" s="6" t="n"/>
      <c r="FS26" s="6" t="n"/>
      <c r="FT26" s="6" t="n"/>
      <c r="FU26" s="6" t="n"/>
      <c r="FV26" s="6" t="n"/>
      <c r="FW26" s="6" t="n"/>
      <c r="FX26" s="6" t="n"/>
      <c r="FY26" s="6" t="n"/>
      <c r="FZ26" s="6" t="n"/>
      <c r="GA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7" t="n">
        <v>746</v>
      </c>
      <c r="D27" s="342" t="n"/>
      <c r="E27" s="6" t="n"/>
      <c r="F27" s="9" t="n">
        <v>189</v>
      </c>
      <c r="G27" s="9" t="n">
        <v>218</v>
      </c>
      <c r="H27" s="38" t="n">
        <v>157</v>
      </c>
      <c r="I27" s="38" t="n">
        <v>114</v>
      </c>
      <c r="J27" s="38" t="n">
        <v>73</v>
      </c>
      <c r="K27" s="38" t="n">
        <v>33</v>
      </c>
      <c r="L27" s="38" t="n">
        <v>13</v>
      </c>
      <c r="M27" s="38" t="n">
        <v>1</v>
      </c>
      <c r="N27" s="38" t="n">
        <v>6</v>
      </c>
      <c r="O27" s="38" t="n">
        <v>6</v>
      </c>
      <c r="P27" s="38" t="n">
        <v>4</v>
      </c>
      <c r="Q27" s="38" t="n">
        <v>3</v>
      </c>
      <c r="R27" s="38" t="n">
        <v>3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D27" s="6" t="n"/>
      <c r="CL27" s="6" t="n"/>
      <c r="CT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6" t="n"/>
      <c r="EG27" s="6" t="n"/>
      <c r="EH27" s="6" t="n"/>
      <c r="EI27" s="6" t="n"/>
      <c r="EK27" s="6" t="n"/>
      <c r="EL27" s="6" t="n"/>
      <c r="EM27" s="6" t="n"/>
      <c r="EN27" s="6" t="n"/>
      <c r="EO27" s="6" t="n"/>
      <c r="EP27" s="6" t="n"/>
      <c r="EQ27" s="6" t="n"/>
      <c r="ER27" s="6" t="n"/>
      <c r="ES27" s="6" t="n"/>
      <c r="ET27" s="289" t="n"/>
      <c r="EU27" s="6" t="n"/>
      <c r="EV27" s="6" t="n"/>
      <c r="EW27" s="6" t="n"/>
      <c r="EX27" s="6" t="n"/>
      <c r="EY27" s="6" t="n"/>
      <c r="EZ27" s="6" t="n"/>
      <c r="FA27" s="6" t="n"/>
      <c r="FB27" s="289" t="n"/>
      <c r="FC27" s="6" t="n"/>
      <c r="FD27" s="6" t="n"/>
      <c r="FE27" s="6" t="n"/>
      <c r="FF27" s="6" t="n"/>
      <c r="FG27" s="6" t="n"/>
      <c r="FH27" s="6" t="n"/>
      <c r="FI27" s="6" t="n"/>
      <c r="FJ27" s="6" t="n"/>
      <c r="FK27" s="6" t="n"/>
      <c r="FL27" s="6" t="n"/>
      <c r="FM27" s="6" t="n"/>
      <c r="FN27" s="53" t="n"/>
      <c r="FQ27" s="6" t="n"/>
      <c r="FR27" s="6" t="n"/>
      <c r="FS27" s="6" t="n"/>
      <c r="FT27" s="6" t="n"/>
      <c r="FU27" s="6" t="n"/>
      <c r="FV27" s="6" t="n"/>
      <c r="FW27" s="6" t="n"/>
      <c r="FX27" s="6" t="n"/>
      <c r="FY27" s="6" t="n"/>
      <c r="FZ27" s="6" t="n"/>
      <c r="GA27" s="6" t="n"/>
    </row>
    <row r="28" hidden="1" ht="18.75" customHeight="1">
      <c r="A28" s="250" t="inlineStr">
        <is>
          <t>CAIXA G NAT./24</t>
        </is>
      </c>
      <c r="B28" s="251" t="n">
        <v>50</v>
      </c>
      <c r="C28" s="667" t="n">
        <v>777</v>
      </c>
      <c r="D28" s="342" t="n"/>
      <c r="E28" s="6" t="n"/>
      <c r="F28" s="9" t="n">
        <v>22</v>
      </c>
      <c r="G28" s="9" t="n">
        <v>20</v>
      </c>
      <c r="H28" s="38" t="n">
        <v>19</v>
      </c>
      <c r="I28" s="38" t="n">
        <v>19</v>
      </c>
      <c r="J28" s="38" t="n">
        <v>19</v>
      </c>
      <c r="K28" s="38" t="n">
        <v>18</v>
      </c>
      <c r="L28" s="38" t="n">
        <v>18</v>
      </c>
      <c r="M28" s="38" t="n">
        <v>17</v>
      </c>
      <c r="N28" s="38" t="n">
        <v>17</v>
      </c>
      <c r="O28" s="38" t="n">
        <v>17</v>
      </c>
      <c r="P28" s="38" t="n">
        <v>15</v>
      </c>
      <c r="Q28" s="38" t="n">
        <v>12</v>
      </c>
      <c r="R28" s="38" t="n">
        <v>11</v>
      </c>
      <c r="S28" s="38" t="n">
        <v>7</v>
      </c>
      <c r="T28" s="38" t="n">
        <v>6</v>
      </c>
      <c r="U28" s="38" t="n">
        <v>2</v>
      </c>
      <c r="V28" s="38" t="n">
        <v>2</v>
      </c>
      <c r="W28" s="38" t="n">
        <v>2</v>
      </c>
      <c r="X28" s="38" t="n">
        <v>2</v>
      </c>
      <c r="Y28" s="38" t="n">
        <v>2</v>
      </c>
      <c r="Z28" s="38" t="n">
        <v>2</v>
      </c>
      <c r="AA28" s="38" t="n">
        <v>1</v>
      </c>
      <c r="AB28" s="38" t="n">
        <v>1</v>
      </c>
      <c r="AC28" s="38" t="n">
        <v>1</v>
      </c>
      <c r="AD28" s="38" t="n">
        <v>1</v>
      </c>
      <c r="AE28" s="38" t="n">
        <v>1</v>
      </c>
      <c r="AF28" s="38" t="n">
        <v>1</v>
      </c>
      <c r="AG28" s="38" t="n">
        <v>1</v>
      </c>
      <c r="AH28" s="38" t="n">
        <v>1</v>
      </c>
      <c r="AI28" s="38" t="n">
        <v>1</v>
      </c>
      <c r="AJ28" s="38" t="n">
        <v>1</v>
      </c>
      <c r="AK28" s="38" t="n">
        <v>1</v>
      </c>
      <c r="AL28" s="38" t="n">
        <v>1</v>
      </c>
      <c r="AM28" s="38" t="n">
        <v>1</v>
      </c>
      <c r="AN28" s="38" t="n">
        <v>1</v>
      </c>
      <c r="AO28" s="38" t="n">
        <v>1</v>
      </c>
      <c r="AP28" s="38" t="n">
        <v>1</v>
      </c>
      <c r="AQ28" s="38" t="n">
        <v>1</v>
      </c>
      <c r="AR28" s="38" t="n">
        <v>0</v>
      </c>
      <c r="AS28" s="38" t="n">
        <v>0</v>
      </c>
      <c r="AT28" s="38" t="n">
        <v>0</v>
      </c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246">
        <f>BZ28+IF(NOT(ISBLANK(OFFSET(CB28,0,6))),N(OFFSET(CB28,0,6)),N(OFFSET(CB28,0,7)))-CA28</f>
        <v/>
      </c>
      <c r="CD28" s="6" t="n"/>
      <c r="CH28" s="57" t="n"/>
      <c r="CI28" s="57" t="n"/>
      <c r="CJ28" s="57" t="n"/>
      <c r="CK28" s="57" t="n"/>
      <c r="CL28" s="6" t="n"/>
      <c r="CM28" s="57" t="n"/>
      <c r="CN28" s="57" t="n"/>
      <c r="CO28" s="57" t="n"/>
      <c r="CR28" s="57" t="n"/>
      <c r="CS28" s="57" t="n"/>
      <c r="CT28" s="49" t="n"/>
      <c r="CV28" s="49" t="n"/>
      <c r="CW28" s="49" t="n"/>
      <c r="CX28" s="49" t="n"/>
      <c r="CY28" s="49" t="n"/>
      <c r="CZ28" s="49" t="n"/>
      <c r="DA28" s="49" t="n"/>
      <c r="DB28" s="49" t="n"/>
      <c r="DC28" s="49" t="n"/>
      <c r="DD28" s="49" t="n"/>
      <c r="DE28" s="49" t="n"/>
      <c r="DF28" s="49" t="n"/>
      <c r="DG28" s="49" t="n"/>
      <c r="DH28" s="49" t="n"/>
      <c r="DI28" s="6" t="n"/>
      <c r="DJ28" s="49" t="n"/>
      <c r="DK28" s="49" t="n"/>
      <c r="DL28" s="6" t="n"/>
      <c r="DM28" s="49" t="n"/>
      <c r="DN28" s="49" t="n"/>
      <c r="DO28" s="49" t="n"/>
      <c r="DP28" s="49" t="n"/>
      <c r="DQ28" s="49" t="n"/>
      <c r="DR28" s="49" t="n"/>
      <c r="DS28" s="49" t="n"/>
      <c r="DT28" s="49" t="n"/>
      <c r="DU28" s="49" t="n"/>
      <c r="DV28" s="49" t="n"/>
      <c r="DW28" s="49" t="n"/>
      <c r="DX28" s="49" t="n"/>
      <c r="DY28" s="49" t="n"/>
      <c r="DZ28" s="49" t="n"/>
      <c r="EA28" s="49" t="n"/>
      <c r="EB28" s="6" t="n"/>
      <c r="EC28" s="49" t="n"/>
      <c r="ED28" s="49" t="n"/>
      <c r="EE28" s="49" t="n"/>
      <c r="EF28" s="6" t="n"/>
      <c r="EG28" s="6" t="n"/>
      <c r="EH28" s="49" t="n"/>
      <c r="EI28" s="49" t="n"/>
      <c r="EK28" s="49" t="n"/>
      <c r="EL28" s="49" t="n"/>
      <c r="EM28" s="49" t="n"/>
      <c r="EN28" s="6" t="n"/>
      <c r="EO28" s="6" t="n"/>
      <c r="EP28" s="49" t="n"/>
      <c r="EQ28" s="49" t="n"/>
      <c r="ER28" s="6" t="n"/>
      <c r="ES28" s="6" t="n"/>
      <c r="ET28" s="289" t="n"/>
      <c r="EU28" s="6" t="n"/>
      <c r="EV28" s="6" t="n"/>
      <c r="EW28" s="6" t="n"/>
      <c r="EX28" s="6" t="n"/>
      <c r="EY28" s="6" t="n"/>
      <c r="EZ28" s="6" t="n"/>
      <c r="FA28" s="6" t="n"/>
      <c r="FB28" s="289" t="n"/>
      <c r="FC28" s="6" t="n"/>
      <c r="FD28" s="6" t="n"/>
      <c r="FE28" s="6" t="n"/>
      <c r="FF28" s="6" t="n"/>
      <c r="FG28" s="6" t="n"/>
      <c r="FH28" s="6" t="n"/>
      <c r="FI28" s="6" t="n"/>
      <c r="FJ28" s="6" t="n"/>
      <c r="FK28" s="6" t="n"/>
      <c r="FL28" s="6" t="n"/>
      <c r="FM28" s="6" t="n"/>
      <c r="FN28" s="53" t="n"/>
      <c r="FQ28" s="6" t="n"/>
      <c r="FR28" s="6" t="n"/>
      <c r="FS28" s="6" t="n"/>
      <c r="FT28" s="6" t="n"/>
      <c r="FU28" s="6" t="n"/>
      <c r="FV28" s="6" t="n"/>
      <c r="FW28" s="6" t="n"/>
      <c r="FX28" s="6" t="n"/>
      <c r="FY28" s="6" t="n"/>
      <c r="FZ28" s="6" t="n"/>
      <c r="GA28" s="6" t="n"/>
    </row>
    <row r="29" hidden="1" ht="18.75" customHeight="1">
      <c r="A29" s="250" t="inlineStr">
        <is>
          <t>CARTUCHO P NAT./24</t>
        </is>
      </c>
      <c r="B29" s="251" t="n">
        <v>200</v>
      </c>
      <c r="C29" s="667" t="n">
        <v>486</v>
      </c>
      <c r="D29" s="342" t="n"/>
      <c r="E29" s="6" t="n"/>
      <c r="F29" s="9" t="n">
        <v>0</v>
      </c>
      <c r="G29" s="38" t="n">
        <v>6</v>
      </c>
      <c r="H29" s="38" t="n">
        <v>4</v>
      </c>
      <c r="I29" s="38" t="n">
        <v>4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246">
        <f>BZ29+IF(NOT(ISBLANK(OFFSET(CB29,0,6))),N(OFFSET(CB29,0,6)),N(OFFSET(CB29,0,7)))-CA29</f>
        <v/>
      </c>
      <c r="CD29" s="49" t="n"/>
      <c r="CH29" s="57" t="n"/>
      <c r="CI29" s="57" t="n"/>
      <c r="CJ29" s="57" t="n"/>
      <c r="CK29" s="57" t="n"/>
      <c r="CL29" s="6" t="n"/>
      <c r="CM29" s="57" t="n"/>
      <c r="CN29" s="57" t="n"/>
      <c r="CO29" s="57" t="n"/>
      <c r="CR29" s="57" t="n"/>
      <c r="CS29" s="57" t="n"/>
      <c r="DI29" s="6" t="n"/>
      <c r="DL29" s="6" t="n"/>
      <c r="EB29" s="6" t="n"/>
      <c r="EF29" s="6" t="n"/>
      <c r="EG29" s="6" t="n"/>
      <c r="EN29" s="6" t="n"/>
      <c r="EO29" s="6" t="n"/>
      <c r="ER29" s="6" t="n"/>
      <c r="ES29" s="6" t="n"/>
      <c r="ET29" s="289" t="n"/>
      <c r="EU29" s="6" t="n"/>
      <c r="EV29" s="6" t="n"/>
      <c r="EW29" s="6" t="n"/>
      <c r="EX29" s="6" t="n"/>
      <c r="EY29" s="6" t="n"/>
      <c r="EZ29" s="6" t="n"/>
      <c r="FA29" s="6" t="n"/>
      <c r="FB29" s="289" t="n"/>
      <c r="FC29" s="6" t="n"/>
      <c r="FD29" s="6" t="n"/>
      <c r="FE29" s="6" t="n"/>
      <c r="FF29" s="6" t="n"/>
      <c r="FG29" s="6" t="n"/>
      <c r="FH29" s="6" t="n"/>
      <c r="FI29" s="6" t="n"/>
      <c r="FJ29" s="6" t="n"/>
      <c r="FK29" s="6" t="n"/>
      <c r="FL29" s="6" t="n"/>
      <c r="FM29" s="6" t="n"/>
      <c r="FN29" s="53" t="n"/>
      <c r="FQ29" s="6" t="n"/>
      <c r="FR29" s="6" t="n"/>
      <c r="FS29" s="6" t="n"/>
      <c r="FT29" s="6" t="n"/>
      <c r="FU29" s="6" t="n"/>
      <c r="FV29" s="6" t="n"/>
      <c r="FW29" s="6" t="n"/>
      <c r="FX29" s="6" t="n"/>
      <c r="FY29" s="6" t="n"/>
      <c r="FZ29" s="6" t="n"/>
      <c r="GA29" s="6" t="n"/>
    </row>
    <row r="30" hidden="1" ht="18.75" customHeight="1">
      <c r="A30" s="250" t="inlineStr">
        <is>
          <t>CARTUCHO M NAT./24</t>
        </is>
      </c>
      <c r="B30" s="251" t="n">
        <v>150</v>
      </c>
      <c r="C30" s="667" t="n">
        <v>459</v>
      </c>
      <c r="D30" s="342" t="n"/>
      <c r="E30" s="6" t="n"/>
      <c r="F30" s="9" t="n">
        <v>0</v>
      </c>
      <c r="G30" s="9" t="n">
        <v>7</v>
      </c>
      <c r="H30" s="38" t="n">
        <v>6</v>
      </c>
      <c r="I30" s="38" t="n">
        <v>6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1</v>
      </c>
      <c r="T30" s="38" t="n">
        <v>1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246">
        <f>BZ30+IF(NOT(ISBLANK(OFFSET(CB30,0,6))),N(OFFSET(CB30,0,6)),N(OFFSET(CB30,0,7)))-CA30</f>
        <v/>
      </c>
      <c r="CH30" s="57" t="n"/>
      <c r="CI30" s="57" t="n"/>
      <c r="CJ30" s="57" t="n"/>
      <c r="CK30" s="57" t="n"/>
      <c r="CL30" s="6" t="n"/>
      <c r="CM30" s="57" t="n"/>
      <c r="CN30" s="57" t="n"/>
      <c r="CO30" s="57" t="n"/>
      <c r="CR30" s="57" t="n"/>
      <c r="CS30" s="57" t="n"/>
      <c r="DI30" s="6" t="n"/>
      <c r="DL30" s="6" t="n"/>
      <c r="EB30" s="6" t="n"/>
      <c r="EF30" s="6" t="n"/>
      <c r="EG30" s="6" t="n"/>
      <c r="EN30" s="6" t="n"/>
      <c r="EO30" s="6" t="n"/>
      <c r="ER30" s="6" t="n"/>
      <c r="ES30" s="6" t="n"/>
      <c r="ET30" s="289" t="n"/>
      <c r="EU30" s="6" t="n"/>
      <c r="EV30" s="6" t="n"/>
      <c r="EW30" s="6" t="n"/>
      <c r="EX30" s="6" t="n"/>
      <c r="EY30" s="6" t="n"/>
      <c r="EZ30" s="6" t="n"/>
      <c r="FA30" s="6" t="n"/>
      <c r="FB30" s="289" t="n"/>
      <c r="FC30" s="6" t="n"/>
      <c r="FD30" s="6" t="n"/>
      <c r="FE30" s="6" t="n"/>
      <c r="FF30" s="6" t="n"/>
      <c r="FG30" s="6" t="n"/>
      <c r="FH30" s="6" t="n"/>
      <c r="FI30" s="6" t="n"/>
      <c r="FJ30" s="6" t="n"/>
      <c r="FK30" s="6" t="n"/>
      <c r="FL30" s="6" t="n"/>
      <c r="FM30" s="6" t="n"/>
      <c r="FN30" s="53" t="n"/>
      <c r="FQ30" s="6" t="n"/>
      <c r="FR30" s="6" t="n"/>
      <c r="FS30" s="6" t="n"/>
      <c r="FT30" s="6" t="n"/>
      <c r="FU30" s="6" t="n"/>
      <c r="FV30" s="6" t="n"/>
      <c r="FW30" s="6" t="n"/>
      <c r="FX30" s="6" t="n"/>
      <c r="FY30" s="6" t="n"/>
      <c r="FZ30" s="6" t="n"/>
      <c r="GA30" s="6" t="n"/>
    </row>
    <row r="31" hidden="1" ht="18.75" customHeight="1">
      <c r="A31" s="250" t="inlineStr">
        <is>
          <t>ÁRVORE</t>
        </is>
      </c>
      <c r="B31" s="251" t="n">
        <v>100</v>
      </c>
      <c r="C31" s="667" t="n">
        <v>295</v>
      </c>
      <c r="D31" s="342" t="n"/>
      <c r="E31" s="6" t="n"/>
      <c r="F31" s="9" t="n">
        <v>89</v>
      </c>
      <c r="G31" s="9" t="n">
        <v>89</v>
      </c>
      <c r="H31" s="38" t="n">
        <v>89</v>
      </c>
      <c r="I31" s="38" t="n">
        <v>89</v>
      </c>
      <c r="J31" s="38" t="n">
        <v>89</v>
      </c>
      <c r="K31" s="38" t="n">
        <v>89</v>
      </c>
      <c r="L31" s="38" t="n">
        <v>89</v>
      </c>
      <c r="M31" s="38" t="n">
        <v>89</v>
      </c>
      <c r="N31" s="38" t="n">
        <v>90</v>
      </c>
      <c r="O31" s="38" t="n">
        <v>90</v>
      </c>
      <c r="P31" s="38" t="n">
        <v>90</v>
      </c>
      <c r="Q31" s="38" t="n">
        <v>90</v>
      </c>
      <c r="R31" s="38" t="n">
        <v>90</v>
      </c>
      <c r="S31" s="38" t="n">
        <v>90</v>
      </c>
      <c r="T31" s="38" t="n">
        <v>90</v>
      </c>
      <c r="U31" s="38" t="n">
        <v>90</v>
      </c>
      <c r="V31" s="38" t="n">
        <v>90</v>
      </c>
      <c r="W31" s="38" t="n">
        <v>90</v>
      </c>
      <c r="X31" s="38" t="n">
        <v>90</v>
      </c>
      <c r="Y31" s="38" t="n">
        <v>90</v>
      </c>
      <c r="Z31" s="38" t="n">
        <v>90</v>
      </c>
      <c r="AA31" s="38" t="n">
        <v>90</v>
      </c>
      <c r="AB31" s="38" t="n">
        <v>90</v>
      </c>
      <c r="AC31" s="38" t="n">
        <v>90</v>
      </c>
      <c r="AD31" s="38" t="n">
        <v>90</v>
      </c>
      <c r="AE31" s="38" t="n">
        <v>90</v>
      </c>
      <c r="AF31" s="38" t="n">
        <v>90</v>
      </c>
      <c r="AG31" s="38" t="n">
        <v>90</v>
      </c>
      <c r="AH31" s="38" t="n">
        <v>90</v>
      </c>
      <c r="AI31" s="38" t="n">
        <v>90</v>
      </c>
      <c r="AJ31" s="38" t="n">
        <v>90</v>
      </c>
      <c r="AK31" s="38" t="n">
        <v>90</v>
      </c>
      <c r="AL31" s="38" t="n">
        <v>90</v>
      </c>
      <c r="AM31" s="38" t="n">
        <v>90</v>
      </c>
      <c r="AN31" s="38" t="n">
        <v>90</v>
      </c>
      <c r="AO31" s="38" t="n">
        <v>90</v>
      </c>
      <c r="AP31" s="38" t="n">
        <v>90</v>
      </c>
      <c r="AQ31" s="38" t="n">
        <v>90</v>
      </c>
      <c r="AR31" s="38" t="n">
        <v>90</v>
      </c>
      <c r="AS31" s="38" t="n">
        <v>90</v>
      </c>
      <c r="AT31" s="38" t="n">
        <v>90</v>
      </c>
      <c r="AU31" s="38" t="n">
        <v>90</v>
      </c>
      <c r="AV31" s="38" t="n">
        <v>90</v>
      </c>
      <c r="AW31" s="38" t="n">
        <v>90</v>
      </c>
      <c r="AX31" s="38" t="n">
        <v>90</v>
      </c>
      <c r="AY31" s="38" t="n">
        <v>90</v>
      </c>
      <c r="AZ31" s="38" t="n">
        <v>90</v>
      </c>
      <c r="BA31" s="38" t="n">
        <v>90</v>
      </c>
      <c r="BB31" s="38" t="n">
        <v>90</v>
      </c>
      <c r="BC31" s="261" t="n">
        <v>40</v>
      </c>
      <c r="BD31" s="38" t="n">
        <v>34</v>
      </c>
      <c r="BE31" s="38" t="n">
        <v>27</v>
      </c>
      <c r="BF31" s="38" t="n">
        <v>27</v>
      </c>
      <c r="BG31" s="38" t="n">
        <v>27</v>
      </c>
      <c r="BH31" s="38" t="n">
        <v>0</v>
      </c>
      <c r="BI31" s="38" t="n">
        <v>0</v>
      </c>
      <c r="BJ31" s="38" t="n">
        <v>0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246">
        <f>BZ31+IF(NOT(ISBLANK(OFFSET(CB31,0,6))),N(OFFSET(CB31,0,6)),N(OFFSET(CB31,0,7)))-CA31</f>
        <v/>
      </c>
      <c r="CH31" s="57" t="n"/>
      <c r="CI31" s="57" t="n"/>
      <c r="CJ31" s="57" t="n"/>
      <c r="CK31" s="57" t="n"/>
      <c r="CL31" s="6" t="n"/>
      <c r="CM31" s="57" t="n"/>
      <c r="CN31" s="57" t="n"/>
      <c r="CO31" s="57" t="n"/>
      <c r="CR31" s="57" t="n"/>
      <c r="CS31" s="57" t="n"/>
      <c r="DI31" s="6" t="n"/>
      <c r="DL31" s="6" t="n"/>
      <c r="EB31" s="6" t="n"/>
      <c r="EF31" s="6" t="n"/>
      <c r="EG31" s="6" t="n"/>
      <c r="EN31" s="6" t="n"/>
      <c r="EO31" s="6" t="n"/>
      <c r="ER31" s="6" t="n"/>
      <c r="ES31" s="6" t="n"/>
      <c r="ET31" s="289" t="n"/>
      <c r="EU31" s="6" t="n"/>
      <c r="EV31" s="6" t="n"/>
      <c r="EW31" s="6" t="n"/>
      <c r="EX31" s="6" t="n"/>
      <c r="EY31" s="6" t="n"/>
      <c r="EZ31" s="6" t="n"/>
      <c r="FA31" s="6" t="n"/>
      <c r="FB31" s="289" t="n"/>
      <c r="FC31" s="6" t="n"/>
      <c r="FD31" s="6" t="n"/>
      <c r="FE31" s="6" t="n"/>
      <c r="FF31" s="6" t="n"/>
      <c r="FG31" s="6" t="n"/>
      <c r="FH31" s="6" t="n"/>
      <c r="FI31" s="6" t="n"/>
      <c r="FJ31" s="6" t="n"/>
      <c r="FK31" s="6" t="n"/>
      <c r="FL31" s="6" t="n"/>
      <c r="FM31" s="6" t="n"/>
      <c r="FN31" s="53" t="n"/>
      <c r="FQ31" s="6" t="n"/>
      <c r="FR31" s="6" t="n"/>
      <c r="FS31" s="6" t="n"/>
      <c r="FT31" s="6" t="n"/>
      <c r="FU31" s="6" t="n"/>
      <c r="FV31" s="6" t="n"/>
      <c r="FW31" s="6" t="n"/>
      <c r="FX31" s="6" t="n"/>
      <c r="FY31" s="6" t="n"/>
      <c r="FZ31" s="6" t="n"/>
      <c r="GA31" s="6" t="n"/>
    </row>
    <row r="32" hidden="1" ht="18.75" customHeight="1">
      <c r="A32" s="250" t="inlineStr">
        <is>
          <t>BOLA</t>
        </is>
      </c>
      <c r="B32" s="251" t="n">
        <v>100</v>
      </c>
      <c r="C32" s="667" t="n">
        <v>283</v>
      </c>
      <c r="D32" s="342" t="n"/>
      <c r="E32" s="6" t="n"/>
      <c r="F32" s="9" t="n">
        <v>29</v>
      </c>
      <c r="G32" s="9" t="n">
        <v>23</v>
      </c>
      <c r="H32" s="38" t="n">
        <v>6</v>
      </c>
      <c r="I32" s="38" t="n">
        <v>4</v>
      </c>
      <c r="J32" s="38" t="n">
        <v>0</v>
      </c>
      <c r="K32" s="38" t="n">
        <v>0</v>
      </c>
      <c r="L32" s="38" t="n">
        <v>0</v>
      </c>
      <c r="M32" s="38" t="n">
        <v>0</v>
      </c>
      <c r="N32" s="38" t="n">
        <v>0</v>
      </c>
      <c r="O32" s="38" t="n">
        <v>0</v>
      </c>
      <c r="P32" s="38" t="n">
        <v>0</v>
      </c>
      <c r="Q32" s="38" t="n">
        <v>0</v>
      </c>
      <c r="R32" s="38" t="n">
        <v>0</v>
      </c>
      <c r="S32" s="38" t="n">
        <v>0</v>
      </c>
      <c r="T32" s="38" t="n">
        <v>0</v>
      </c>
      <c r="U32" s="38" t="n">
        <v>0</v>
      </c>
      <c r="V32" s="38" t="n">
        <v>0</v>
      </c>
      <c r="W32" s="38" t="n">
        <v>0</v>
      </c>
      <c r="X32" s="38" t="n">
        <v>0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/>
      <c r="AI32" s="38" t="n"/>
      <c r="AJ32" s="38" t="n"/>
      <c r="AK32" s="38" t="n"/>
      <c r="AL32" s="38" t="n"/>
      <c r="AM32" s="3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38" t="n"/>
      <c r="AW32" s="38" t="n"/>
      <c r="AX32" s="38" t="n"/>
      <c r="AY32" s="38" t="n"/>
      <c r="AZ32" s="38" t="n">
        <v>20</v>
      </c>
      <c r="BA32" s="38" t="n">
        <v>20</v>
      </c>
      <c r="BB32" s="38" t="n">
        <v>19</v>
      </c>
      <c r="BC32" s="261" t="n">
        <v>4</v>
      </c>
      <c r="BD32" s="38" t="n">
        <v>4</v>
      </c>
      <c r="BE32" s="38" t="n">
        <v>4</v>
      </c>
      <c r="BF32" s="38" t="n">
        <v>4</v>
      </c>
      <c r="BG32" s="38" t="n">
        <v>4</v>
      </c>
      <c r="BH32" s="38" t="n">
        <v>0</v>
      </c>
      <c r="BI32" s="38" t="n">
        <v>0</v>
      </c>
      <c r="BJ32" s="38" t="n">
        <v>0</v>
      </c>
      <c r="BK32" s="38" t="n">
        <v>0</v>
      </c>
      <c r="BL32" s="38" t="n">
        <v>0</v>
      </c>
      <c r="BM32" s="38" t="n">
        <v>0</v>
      </c>
      <c r="BN32" s="38" t="n">
        <v>0</v>
      </c>
      <c r="BO32" s="38" t="n">
        <v>0</v>
      </c>
      <c r="BP32" s="38" t="n">
        <v>0</v>
      </c>
      <c r="BQ32" s="38" t="n">
        <v>0</v>
      </c>
      <c r="BR32" s="38" t="n">
        <v>0</v>
      </c>
      <c r="BS32" s="38" t="n"/>
      <c r="BT32" s="38" t="n"/>
      <c r="BU32" s="38" t="n"/>
      <c r="BV32" s="38" t="n"/>
      <c r="BW32" s="38" t="n"/>
      <c r="BX32" s="38" t="n"/>
      <c r="BY32" s="38" t="n"/>
      <c r="BZ32" s="38" t="n"/>
      <c r="CA32" s="38" t="n"/>
      <c r="CB32" s="246">
        <f>BZ32+IF(NOT(ISBLANK(OFFSET(CB32,0,6))),N(OFFSET(CB32,0,6)),N(OFFSET(CB32,0,7)))-CA32</f>
        <v/>
      </c>
      <c r="CH32" s="57" t="n"/>
      <c r="CI32" s="57" t="n"/>
      <c r="CJ32" s="57" t="n"/>
      <c r="CK32" s="57" t="n"/>
      <c r="CL32" s="6" t="n"/>
      <c r="CM32" s="57" t="n"/>
      <c r="CN32" s="57" t="n"/>
      <c r="CO32" s="57" t="n"/>
      <c r="CR32" s="57" t="n"/>
      <c r="CS32" s="57" t="n"/>
      <c r="DI32" s="6" t="n"/>
      <c r="DL32" s="6" t="n"/>
      <c r="EB32" s="6" t="n"/>
      <c r="EF32" s="6" t="n"/>
      <c r="EG32" s="6" t="n"/>
      <c r="EN32" s="49" t="n"/>
      <c r="EO32" s="6" t="n"/>
      <c r="ER32" s="6" t="n"/>
      <c r="ES32" s="6" t="n"/>
      <c r="ET32" s="289" t="n"/>
      <c r="EU32" s="6" t="n"/>
      <c r="EV32" s="6" t="n"/>
      <c r="EW32" s="6" t="n"/>
      <c r="EX32" s="6" t="n"/>
      <c r="EY32" s="49" t="n"/>
      <c r="EZ32" s="6" t="n"/>
      <c r="FA32" s="6" t="n"/>
      <c r="FB32" s="289" t="n"/>
      <c r="FC32" s="6" t="n"/>
      <c r="FD32" s="6" t="n"/>
      <c r="FE32" s="6" t="n"/>
      <c r="FF32" s="6" t="n"/>
      <c r="FG32" s="6" t="n"/>
      <c r="FH32" s="6" t="n"/>
      <c r="FI32" s="6" t="n"/>
      <c r="FJ32" s="6" t="n"/>
      <c r="FK32" s="6" t="n"/>
      <c r="FL32" s="6" t="n"/>
      <c r="FM32" s="6" t="n"/>
      <c r="FN32" s="53" t="n"/>
      <c r="FQ32" s="6" t="n"/>
      <c r="FR32" s="6" t="n"/>
      <c r="FS32" s="6" t="n"/>
      <c r="FT32" s="6" t="n"/>
      <c r="FU32" s="6" t="n"/>
      <c r="FV32" s="6" t="n"/>
      <c r="FW32" s="6" t="n"/>
      <c r="FX32" s="6" t="n"/>
      <c r="FY32" s="6" t="n"/>
      <c r="FZ32" s="6" t="n"/>
      <c r="GA32" s="6" t="n"/>
    </row>
    <row r="33" hidden="1" ht="18.75" customHeight="1">
      <c r="A33" s="243" t="inlineStr">
        <is>
          <t>CAIXA P MÃES/25</t>
        </is>
      </c>
      <c r="B33" s="244" t="n">
        <v>150</v>
      </c>
      <c r="C33" s="697" t="n">
        <v>781.05</v>
      </c>
      <c r="D33" s="342" t="n"/>
      <c r="E33" s="6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0</v>
      </c>
      <c r="AA33" s="9" t="n">
        <v>0</v>
      </c>
      <c r="AB33" s="9" t="n">
        <v>0</v>
      </c>
      <c r="AC33" s="9" t="n">
        <v>0</v>
      </c>
      <c r="AD33" s="9" t="n">
        <v>0</v>
      </c>
      <c r="AE33" s="9" t="n">
        <v>0</v>
      </c>
      <c r="AF33" s="9" t="n">
        <v>0</v>
      </c>
      <c r="AG33" s="9" t="n">
        <v>0</v>
      </c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246">
        <f>BZ33+IF(NOT(ISBLANK(OFFSET(CB33,0,6))),N(OFFSET(CB33,0,6)),N(OFFSET(CB33,0,7)))-CA33</f>
        <v/>
      </c>
      <c r="CH33" s="57" t="n"/>
      <c r="CI33" s="57" t="n"/>
      <c r="CJ33" s="57" t="n"/>
      <c r="CK33" s="57" t="n"/>
      <c r="CL33" s="6" t="n"/>
      <c r="CM33" s="57" t="n"/>
      <c r="CN33" s="57" t="n"/>
      <c r="CO33" s="57" t="n"/>
      <c r="CR33" s="57" t="n"/>
      <c r="CS33" s="57" t="n"/>
      <c r="DI33" s="6" t="n"/>
      <c r="DL33" s="6" t="n"/>
      <c r="EB33" s="6" t="n"/>
      <c r="EF33" s="6" t="n"/>
      <c r="EG33" s="6" t="n"/>
      <c r="EN33" s="49" t="n"/>
      <c r="EO33" s="6" t="n"/>
      <c r="ER33" s="6" t="n"/>
      <c r="ES33" s="6" t="n"/>
      <c r="ET33" s="289" t="n"/>
      <c r="EU33" s="6" t="n"/>
      <c r="EV33" s="6" t="n"/>
      <c r="EW33" s="6" t="n"/>
      <c r="EX33" s="6" t="n"/>
      <c r="EY33" s="49" t="n"/>
      <c r="EZ33" s="6" t="n"/>
      <c r="FA33" s="6" t="n"/>
      <c r="FB33" s="289" t="n"/>
      <c r="FC33" s="6" t="n"/>
      <c r="FD33" s="6" t="n"/>
      <c r="FE33" s="6" t="n"/>
      <c r="FF33" s="6" t="n"/>
      <c r="FG33" s="6" t="n"/>
      <c r="FH33" s="6" t="n"/>
      <c r="FI33" s="6" t="n"/>
      <c r="FJ33" s="6" t="n"/>
      <c r="FK33" s="6" t="n"/>
      <c r="FL33" s="6" t="n"/>
      <c r="FM33" s="6" t="n"/>
      <c r="FN33" s="53" t="n"/>
      <c r="FQ33" s="6" t="n"/>
      <c r="FR33" s="6" t="n"/>
      <c r="FS33" s="6" t="n"/>
      <c r="FT33" s="6" t="n"/>
      <c r="FU33" s="6" t="n"/>
      <c r="FV33" s="6" t="n"/>
      <c r="FW33" s="6" t="n"/>
      <c r="FX33" s="6" t="n"/>
      <c r="FY33" s="6" t="n"/>
      <c r="FZ33" s="6" t="n"/>
      <c r="GA33" s="6" t="n"/>
    </row>
    <row r="34" hidden="1" ht="18.75" customHeight="1">
      <c r="A34" s="243" t="inlineStr">
        <is>
          <t>CAIXA M MÃES/25</t>
        </is>
      </c>
      <c r="B34" s="244" t="n">
        <v>100</v>
      </c>
      <c r="C34" s="697" t="n">
        <v>789</v>
      </c>
      <c r="D34" s="342" t="n"/>
      <c r="E34" s="6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0</v>
      </c>
      <c r="AA34" s="9" t="n">
        <v>0</v>
      </c>
      <c r="AB34" s="9" t="n">
        <v>0</v>
      </c>
      <c r="AC34" s="9" t="n">
        <v>0</v>
      </c>
      <c r="AD34" s="190" t="n">
        <v>-1</v>
      </c>
      <c r="AE34" s="9" t="n">
        <v>0</v>
      </c>
      <c r="AF34" s="9" t="n">
        <v>0</v>
      </c>
      <c r="AG34" s="9" t="n">
        <v>0</v>
      </c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246">
        <f>BZ34+IF(NOT(ISBLANK(OFFSET(CB34,0,6))),N(OFFSET(CB34,0,6)),N(OFFSET(CB34,0,7)))-CA34</f>
        <v/>
      </c>
      <c r="CH34" s="57" t="n"/>
      <c r="CI34" s="57" t="n"/>
      <c r="CJ34" s="57" t="n"/>
      <c r="CK34" s="57" t="n"/>
      <c r="CL34" s="6" t="n"/>
      <c r="CM34" s="57" t="n"/>
      <c r="CN34" s="57" t="n"/>
      <c r="CO34" s="57" t="n"/>
      <c r="CR34" s="57" t="n"/>
      <c r="CS34" s="57" t="n"/>
      <c r="DI34" s="6" t="n"/>
      <c r="DL34" s="6" t="n"/>
      <c r="EB34" s="6" t="n"/>
      <c r="EF34" s="6" t="n"/>
      <c r="EG34" s="6" t="n"/>
      <c r="EN34" s="49" t="n"/>
      <c r="EO34" s="6" t="n"/>
      <c r="ER34" s="6" t="n"/>
      <c r="ES34" s="6" t="n"/>
      <c r="ET34" s="289" t="n"/>
      <c r="EU34" s="6" t="n"/>
      <c r="EV34" s="6" t="n"/>
      <c r="EW34" s="6" t="n"/>
      <c r="EX34" s="6" t="n"/>
      <c r="EY34" s="49" t="n"/>
      <c r="EZ34" s="6" t="n"/>
      <c r="FA34" s="6" t="n"/>
      <c r="FB34" s="289" t="n"/>
      <c r="FC34" s="6" t="n"/>
      <c r="FD34" s="6" t="n"/>
      <c r="FE34" s="6" t="n"/>
      <c r="FF34" s="6" t="n"/>
      <c r="FG34" s="6" t="n"/>
      <c r="FH34" s="6" t="n"/>
      <c r="FI34" s="6" t="n"/>
      <c r="FJ34" s="6" t="n"/>
      <c r="FK34" s="6" t="n"/>
      <c r="FL34" s="6" t="n"/>
      <c r="FM34" s="6" t="n"/>
      <c r="FN34" s="53" t="n"/>
      <c r="FQ34" s="6" t="n"/>
      <c r="FR34" s="6" t="n"/>
      <c r="FS34" s="6" t="n"/>
      <c r="FT34" s="6" t="n"/>
      <c r="FU34" s="6" t="n"/>
      <c r="FV34" s="6" t="n"/>
      <c r="FW34" s="6" t="n"/>
      <c r="FX34" s="6" t="n"/>
      <c r="FY34" s="6" t="n"/>
      <c r="FZ34" s="6" t="n"/>
      <c r="GA34" s="6" t="n"/>
    </row>
    <row r="35" hidden="1" ht="18.75" customHeight="1">
      <c r="A35" s="243" t="inlineStr">
        <is>
          <t>CAIXA G MÃES/25</t>
        </is>
      </c>
      <c r="B35" s="244" t="n">
        <v>75</v>
      </c>
      <c r="C35" s="697" t="n">
        <v>844.05</v>
      </c>
      <c r="D35" s="342" t="n"/>
      <c r="E35" s="6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44</v>
      </c>
      <c r="AA35" s="9" t="n">
        <v>44</v>
      </c>
      <c r="AB35" s="9" t="n">
        <v>39</v>
      </c>
      <c r="AC35" s="9" t="n">
        <v>38</v>
      </c>
      <c r="AD35" s="9" t="n">
        <v>28</v>
      </c>
      <c r="AE35" s="9" t="n">
        <v>28</v>
      </c>
      <c r="AF35" s="9" t="n">
        <v>27</v>
      </c>
      <c r="AG35" s="9" t="n">
        <v>24</v>
      </c>
      <c r="AH35" s="9" t="n">
        <v>21</v>
      </c>
      <c r="AI35" s="9" t="n">
        <v>21</v>
      </c>
      <c r="AJ35" s="9" t="n">
        <v>19</v>
      </c>
      <c r="AK35" s="9" t="n">
        <v>17</v>
      </c>
      <c r="AL35" s="9" t="n">
        <v>13</v>
      </c>
      <c r="AM35" s="9" t="n">
        <v>11</v>
      </c>
      <c r="AN35" s="9" t="n">
        <v>11</v>
      </c>
      <c r="AO35" s="9" t="n">
        <v>1</v>
      </c>
      <c r="AP35" s="9" t="n">
        <v>1</v>
      </c>
      <c r="AQ35" s="9" t="n">
        <v>0</v>
      </c>
      <c r="AR35" s="9" t="n">
        <v>0</v>
      </c>
      <c r="AS35" s="9" t="n">
        <v>0</v>
      </c>
      <c r="AT35" s="9" t="n">
        <v>0</v>
      </c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246">
        <f>BZ35+IF(NOT(ISBLANK(OFFSET(CB35,0,6))),N(OFFSET(CB35,0,6)),N(OFFSET(CB35,0,7)))-CA35</f>
        <v/>
      </c>
      <c r="CH35" s="61" t="n"/>
      <c r="CI35" s="61" t="n"/>
      <c r="CJ35" s="61" t="n"/>
      <c r="CK35" s="61" t="n"/>
      <c r="CL35" s="6" t="n"/>
      <c r="CM35" s="61" t="n"/>
      <c r="CN35" s="61" t="n"/>
      <c r="CO35" s="61" t="n"/>
      <c r="CR35" s="61" t="n"/>
      <c r="CS35" s="61" t="n"/>
      <c r="DI35" s="6" t="n"/>
      <c r="DL35" s="6" t="n"/>
      <c r="EB35" s="6" t="n"/>
      <c r="EF35" s="6" t="n"/>
      <c r="EG35" s="6" t="n"/>
      <c r="EN35" s="49" t="n"/>
      <c r="EO35" s="6" t="n"/>
      <c r="ER35" s="6" t="n"/>
      <c r="ES35" s="6" t="n"/>
      <c r="ET35" s="289" t="n"/>
      <c r="EU35" s="6" t="n"/>
      <c r="EV35" s="6" t="n"/>
      <c r="EW35" s="6" t="n"/>
      <c r="EX35" s="6" t="n"/>
      <c r="EY35" s="49" t="n"/>
      <c r="EZ35" s="6" t="n"/>
      <c r="FA35" s="6" t="n"/>
      <c r="FB35" s="289" t="n"/>
      <c r="FC35" s="6" t="n"/>
      <c r="FD35" s="6" t="n"/>
      <c r="FE35" s="6" t="n"/>
      <c r="FF35" s="6" t="n"/>
      <c r="FG35" s="6" t="n"/>
      <c r="FH35" s="6" t="n"/>
      <c r="FI35" s="6" t="n"/>
      <c r="FJ35" s="6" t="n"/>
      <c r="FK35" s="6" t="n"/>
      <c r="FL35" s="6" t="n"/>
      <c r="FM35" s="6" t="n"/>
      <c r="FN35" s="53" t="n"/>
      <c r="FQ35" s="6" t="n"/>
      <c r="FR35" s="6" t="n"/>
      <c r="FS35" s="6" t="n"/>
      <c r="FT35" s="6" t="n"/>
      <c r="FU35" s="6" t="n"/>
      <c r="FV35" s="6" t="n"/>
      <c r="FW35" s="6" t="n"/>
      <c r="FX35" s="6" t="n"/>
      <c r="FY35" s="6" t="n"/>
      <c r="FZ35" s="6" t="n"/>
      <c r="GA35" s="6" t="n"/>
    </row>
    <row r="36" hidden="1" ht="18.75" customHeight="1">
      <c r="A36" s="243" t="inlineStr">
        <is>
          <t>CARTUCHO P MÃES/25</t>
        </is>
      </c>
      <c r="B36" s="244" t="n">
        <v>200</v>
      </c>
      <c r="C36" s="697" t="n">
        <v>450</v>
      </c>
      <c r="D36" s="342" t="n"/>
      <c r="E36" s="6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>
        <v>0</v>
      </c>
      <c r="AI36" s="9" t="n">
        <v>0</v>
      </c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246">
        <f>BZ36+IF(NOT(ISBLANK(OFFSET(CB36,0,6))),N(OFFSET(CB36,0,6)),N(OFFSET(CB36,0,7)))-CA36</f>
        <v/>
      </c>
      <c r="CH36" s="61" t="n"/>
      <c r="CI36" s="61" t="n"/>
      <c r="CJ36" s="61" t="n"/>
      <c r="CK36" s="61" t="n"/>
      <c r="CL36" s="6" t="n"/>
      <c r="CM36" s="61" t="n"/>
      <c r="CN36" s="61" t="n"/>
      <c r="CO36" s="61" t="n"/>
      <c r="CR36" s="61" t="n"/>
      <c r="CS36" s="61" t="n"/>
      <c r="DI36" s="6" t="n"/>
      <c r="DL36" s="6" t="n"/>
      <c r="EB36" s="6" t="n"/>
      <c r="EF36" s="6" t="n"/>
      <c r="EG36" s="6" t="n"/>
      <c r="EN36" s="49" t="n"/>
      <c r="EO36" s="6" t="n"/>
      <c r="ER36" s="6" t="n"/>
      <c r="ES36" s="6" t="n"/>
      <c r="ET36" s="289" t="n"/>
      <c r="EU36" s="6" t="n"/>
      <c r="EV36" s="6" t="n"/>
      <c r="EW36" s="6" t="n"/>
      <c r="EX36" s="6" t="n"/>
      <c r="EY36" s="49" t="n"/>
      <c r="EZ36" s="6" t="n"/>
      <c r="FA36" s="6" t="n"/>
      <c r="FB36" s="289" t="n"/>
      <c r="FC36" s="6" t="n"/>
      <c r="FD36" s="6" t="n"/>
      <c r="FE36" s="6" t="n"/>
      <c r="FF36" s="6" t="n"/>
      <c r="FG36" s="6" t="n"/>
      <c r="FH36" s="6" t="n"/>
      <c r="FI36" s="6" t="n"/>
      <c r="FJ36" s="6" t="n"/>
      <c r="FK36" s="6" t="n"/>
      <c r="FL36" s="6" t="n"/>
      <c r="FM36" s="6" t="n"/>
      <c r="FN36" s="53" t="n"/>
      <c r="FQ36" s="6" t="n"/>
      <c r="FR36" s="6" t="n"/>
      <c r="FS36" s="6" t="n"/>
      <c r="FT36" s="6" t="n"/>
      <c r="FU36" s="6" t="n"/>
      <c r="FV36" s="6" t="n"/>
      <c r="FW36" s="6" t="n"/>
      <c r="FX36" s="6" t="n"/>
      <c r="FY36" s="6" t="n"/>
      <c r="FZ36" s="6" t="n"/>
      <c r="GA36" s="6" t="n"/>
    </row>
    <row r="37" hidden="1" ht="18.75" customHeight="1">
      <c r="A37" s="243" t="inlineStr">
        <is>
          <t>CARTUCHO M MÃES/25</t>
        </is>
      </c>
      <c r="B37" s="244" t="n">
        <v>150</v>
      </c>
      <c r="C37" s="697" t="n">
        <v>430.5</v>
      </c>
      <c r="D37" s="342" t="n"/>
      <c r="E37" s="6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24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>
        <v>0</v>
      </c>
      <c r="AI37" s="9" t="n">
        <v>0</v>
      </c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246">
        <f>BZ37+IF(NOT(ISBLANK(OFFSET(CB37,0,6))),N(OFFSET(CB37,0,6)),N(OFFSET(CB37,0,7)))-CA37</f>
        <v/>
      </c>
      <c r="CL37" s="6" t="n"/>
      <c r="CP37" s="57" t="n"/>
      <c r="CQ37" s="57" t="n"/>
      <c r="CU37" s="57" t="n"/>
      <c r="DI37" s="6" t="n"/>
      <c r="DL37" s="6" t="n"/>
      <c r="EB37" s="6" t="n"/>
      <c r="EF37" s="6" t="n"/>
      <c r="EG37" s="6" t="n"/>
      <c r="EN37" s="49" t="n"/>
      <c r="EO37" s="6" t="n"/>
      <c r="ER37" s="6" t="n"/>
      <c r="ES37" s="6" t="n"/>
      <c r="ET37" s="289" t="n"/>
      <c r="EU37" s="6" t="n"/>
      <c r="EV37" s="6" t="n"/>
      <c r="EW37" s="6" t="n"/>
      <c r="EX37" s="6" t="n"/>
      <c r="EY37" s="49" t="n"/>
      <c r="EZ37" s="6" t="n"/>
      <c r="FA37" s="6" t="n"/>
      <c r="FB37" s="289" t="n"/>
      <c r="FC37" s="6" t="n"/>
      <c r="FD37" s="6" t="n"/>
      <c r="FE37" s="6" t="n"/>
      <c r="FF37" s="6" t="n"/>
      <c r="FG37" s="6" t="n"/>
      <c r="FH37" s="6" t="n"/>
      <c r="FI37" s="6" t="n"/>
      <c r="FJ37" s="6" t="n"/>
      <c r="FK37" s="6" t="n"/>
      <c r="FL37" s="6" t="n"/>
      <c r="FM37" s="6" t="n"/>
      <c r="FN37" s="53" t="n"/>
      <c r="FQ37" s="6" t="n"/>
      <c r="FR37" s="6" t="n"/>
      <c r="FS37" s="6" t="n"/>
      <c r="FT37" s="6" t="n"/>
      <c r="FU37" s="6" t="n"/>
      <c r="FV37" s="6" t="n"/>
      <c r="FW37" s="6" t="n"/>
      <c r="FX37" s="6" t="n"/>
      <c r="FY37" s="6" t="n"/>
      <c r="FZ37" s="6" t="n"/>
      <c r="GA37" s="6" t="n"/>
    </row>
    <row r="38" hidden="1" ht="18.75" customHeight="1">
      <c r="A38" s="352" t="inlineStr">
        <is>
          <t>CAIXA M NAMO/25</t>
        </is>
      </c>
      <c r="B38" s="127" t="n">
        <v>100</v>
      </c>
      <c r="C38" s="705" t="n">
        <v>789</v>
      </c>
      <c r="D38" s="342" t="n"/>
      <c r="E38" s="6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" t="n"/>
      <c r="AA38" s="2" t="n"/>
      <c r="AB38" s="2" t="n"/>
      <c r="AC38" s="2" t="n"/>
      <c r="AD38" s="2" t="n"/>
      <c r="AE38" s="2" t="n"/>
      <c r="AF38" s="2" t="n"/>
      <c r="AG38" s="2" t="n"/>
      <c r="AH38" s="9" t="n">
        <v>1</v>
      </c>
      <c r="AI38" s="9" t="n">
        <v>1</v>
      </c>
      <c r="AJ38" s="9" t="n">
        <v>0</v>
      </c>
      <c r="AK38" s="9" t="n">
        <v>0</v>
      </c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246">
        <f>BZ38+IF(NOT(ISBLANK(OFFSET(CB38,0,6))),N(OFFSET(CB38,0,6)),N(OFFSET(CB38,0,7)))-CA38</f>
        <v/>
      </c>
      <c r="CL38" s="6" t="n"/>
      <c r="CP38" s="61" t="n"/>
      <c r="CQ38" s="61" t="n"/>
      <c r="CU38" s="61" t="n"/>
      <c r="DI38" s="6" t="n"/>
      <c r="DL38" s="6" t="n"/>
      <c r="EB38" s="6" t="n"/>
      <c r="EF38" s="6" t="n"/>
      <c r="EG38" s="6" t="n"/>
      <c r="EN38" s="49" t="n"/>
      <c r="EO38" s="6" t="n"/>
      <c r="ER38" s="6" t="n"/>
      <c r="ES38" s="6" t="n"/>
      <c r="ET38" s="289" t="n"/>
      <c r="EU38" s="6" t="n"/>
      <c r="EV38" s="6" t="n"/>
      <c r="EW38" s="6" t="n"/>
      <c r="EX38" s="6" t="n"/>
      <c r="EY38" s="49" t="n"/>
      <c r="EZ38" s="6" t="n"/>
      <c r="FA38" s="6" t="n"/>
      <c r="FB38" s="289" t="n"/>
      <c r="FC38" s="6" t="n"/>
      <c r="FD38" s="6" t="n"/>
      <c r="FE38" s="6" t="n"/>
      <c r="FF38" s="6" t="n"/>
      <c r="FG38" s="6" t="n"/>
      <c r="FH38" s="6" t="n"/>
      <c r="FI38" s="6" t="n"/>
      <c r="FJ38" s="6" t="n"/>
      <c r="FK38" s="6" t="n"/>
      <c r="FL38" s="6" t="n"/>
      <c r="FM38" s="6" t="n"/>
      <c r="FN38" s="53" t="n"/>
      <c r="FQ38" s="6" t="n"/>
      <c r="FR38" s="6" t="n"/>
      <c r="FS38" s="6" t="n"/>
      <c r="FT38" s="6" t="n"/>
      <c r="FU38" s="6" t="n"/>
      <c r="FV38" s="6" t="n"/>
      <c r="FW38" s="6" t="n"/>
      <c r="FX38" s="6" t="n"/>
      <c r="FY38" s="6" t="n"/>
      <c r="FZ38" s="6" t="n"/>
      <c r="GA38" s="6" t="n"/>
    </row>
    <row r="39" hidden="1" ht="18.75" customHeight="1">
      <c r="A39" s="343" t="inlineStr">
        <is>
          <t>CAIXA M PAIS/25</t>
        </is>
      </c>
      <c r="B39" s="344" t="n">
        <v>100</v>
      </c>
      <c r="C39" s="705" t="n">
        <v>789</v>
      </c>
      <c r="D39" s="342" t="n"/>
      <c r="E39" s="6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2" t="n"/>
      <c r="AL39" s="2" t="n"/>
      <c r="AM39" s="2" t="n"/>
      <c r="AN39" s="2" t="n"/>
      <c r="AO39" s="9" t="n">
        <v>3</v>
      </c>
      <c r="AP39" s="9" t="n">
        <v>3</v>
      </c>
      <c r="AQ39" s="9" t="n">
        <v>3</v>
      </c>
      <c r="AR39" s="9" t="n">
        <v>0</v>
      </c>
      <c r="AS39" s="9" t="n">
        <v>0</v>
      </c>
      <c r="AT39" s="9" t="n">
        <v>0</v>
      </c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246">
        <f>BZ39+IF(NOT(ISBLANK(OFFSET(CB39,0,6))),N(OFFSET(CB39,0,6)),N(OFFSET(CB39,0,7)))-CA39</f>
        <v/>
      </c>
      <c r="CL39" s="360" t="n"/>
      <c r="CP39" s="61" t="n"/>
      <c r="CQ39" s="61" t="n"/>
      <c r="CU39" s="61" t="n"/>
      <c r="DI39" s="6" t="n"/>
      <c r="DL39" s="6" t="n"/>
      <c r="EB39" s="6" t="n"/>
      <c r="EF39" s="6" t="n"/>
      <c r="EG39" s="6" t="n"/>
      <c r="EN39" s="49" t="n"/>
      <c r="EO39" s="6" t="n"/>
      <c r="ER39" s="6" t="n"/>
      <c r="ES39" s="6" t="n"/>
      <c r="ET39" s="289" t="n"/>
      <c r="EU39" s="6" t="n"/>
      <c r="EV39" s="6" t="n"/>
      <c r="EW39" s="6" t="n"/>
      <c r="EX39" s="6" t="n"/>
      <c r="EY39" s="49" t="n"/>
      <c r="EZ39" s="6" t="n"/>
      <c r="FA39" s="6" t="n"/>
      <c r="FB39" s="289" t="n"/>
      <c r="FC39" s="6" t="n"/>
      <c r="FD39" s="6" t="n"/>
      <c r="FE39" s="6" t="n"/>
      <c r="FF39" s="6" t="n"/>
      <c r="FG39" s="6" t="n"/>
      <c r="FH39" s="6" t="n"/>
      <c r="FI39" s="6" t="n"/>
      <c r="FJ39" s="6" t="n"/>
      <c r="FK39" s="6" t="n"/>
      <c r="FL39" s="6" t="n"/>
      <c r="FM39" s="6" t="n"/>
      <c r="FN39" s="53" t="n"/>
      <c r="FQ39" s="6" t="n"/>
      <c r="FR39" s="6" t="n"/>
      <c r="FS39" s="6" t="n"/>
      <c r="FT39" s="6" t="n"/>
      <c r="FU39" s="6" t="n"/>
      <c r="FV39" s="6" t="n"/>
      <c r="FW39" s="6" t="n"/>
      <c r="FX39" s="6" t="n"/>
      <c r="FY39" s="6" t="n"/>
      <c r="FZ39" s="6" t="n"/>
      <c r="GA39" s="6" t="n"/>
    </row>
    <row r="40" hidden="1" ht="18.75" customHeight="1">
      <c r="A40" s="343" t="inlineStr">
        <is>
          <t>PIN MELHOR PAI DO MDO</t>
        </is>
      </c>
      <c r="B40" s="344" t="n">
        <v>25</v>
      </c>
      <c r="C40" s="705" t="n">
        <v>789</v>
      </c>
      <c r="D40" s="342" t="n"/>
      <c r="E40" s="6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7</v>
      </c>
      <c r="AP40" s="9" t="n">
        <v>7</v>
      </c>
      <c r="AQ40" s="9" t="n">
        <v>7</v>
      </c>
      <c r="AR40" s="9" t="n">
        <v>0</v>
      </c>
      <c r="AS40" s="9" t="n">
        <v>0</v>
      </c>
      <c r="AT40" s="9" t="n">
        <v>0</v>
      </c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246">
        <f>BZ40+IF(NOT(ISBLANK(OFFSET(CB40,0,6))),N(OFFSET(CB40,0,6)),N(OFFSET(CB40,0,7)))-CA40</f>
        <v/>
      </c>
      <c r="CL40" s="360" t="n"/>
      <c r="DI40" s="6" t="n"/>
      <c r="DL40" s="6" t="n"/>
      <c r="EB40" s="6" t="n"/>
      <c r="EF40" s="6" t="n"/>
      <c r="EG40" s="6" t="n"/>
      <c r="EN40" s="49" t="n"/>
      <c r="EO40" s="6" t="n"/>
      <c r="ER40" s="6" t="n"/>
      <c r="ES40" s="6" t="n"/>
      <c r="ET40" s="289" t="n"/>
      <c r="EU40" s="6" t="n"/>
      <c r="EV40" s="6" t="n"/>
      <c r="EW40" s="6" t="n"/>
      <c r="EX40" s="6" t="n"/>
      <c r="EY40" s="49" t="n"/>
      <c r="EZ40" s="6" t="n"/>
      <c r="FA40" s="6" t="n"/>
      <c r="FB40" s="289" t="n"/>
      <c r="FC40" s="6" t="n"/>
      <c r="FD40" s="6" t="n"/>
      <c r="FE40" s="6" t="n"/>
      <c r="FF40" s="6" t="n"/>
      <c r="FG40" s="6" t="n"/>
      <c r="FH40" s="6" t="n"/>
      <c r="FI40" s="6" t="n"/>
      <c r="FJ40" s="6" t="n"/>
      <c r="FK40" s="6" t="n"/>
      <c r="FL40" s="6" t="n"/>
      <c r="FM40" s="6" t="n"/>
      <c r="FN40" s="53" t="n"/>
      <c r="FQ40" s="6" t="n"/>
      <c r="FR40" s="6" t="n"/>
      <c r="FS40" s="6" t="n"/>
      <c r="FT40" s="6" t="n"/>
      <c r="FU40" s="6" t="n"/>
      <c r="FV40" s="6" t="n"/>
      <c r="FW40" s="6" t="n"/>
      <c r="FX40" s="6" t="n"/>
      <c r="FY40" s="6" t="n"/>
      <c r="FZ40" s="6" t="n"/>
      <c r="GA40" s="6" t="n"/>
    </row>
    <row r="41" hidden="1" ht="18.75" customHeight="1">
      <c r="A41" s="343" t="inlineStr">
        <is>
          <t>PIN BALÃO</t>
        </is>
      </c>
      <c r="B41" s="344" t="n">
        <v>25</v>
      </c>
      <c r="C41" s="705" t="n">
        <v>789</v>
      </c>
      <c r="D41" s="342" t="n"/>
      <c r="E41" s="6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4</v>
      </c>
      <c r="AP41" s="9" t="n">
        <v>4</v>
      </c>
      <c r="AQ41" s="9" t="n">
        <v>4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246">
        <f>BZ41+IF(NOT(ISBLANK(OFFSET(CB41,0,6))),N(OFFSET(CB41,0,6)),N(OFFSET(CB41,0,7)))-CA41</f>
        <v/>
      </c>
      <c r="CH41" s="6" t="n"/>
      <c r="CI41" s="6" t="n"/>
      <c r="CJ41" s="6" t="n"/>
      <c r="CK41" s="6" t="n"/>
      <c r="CL41" s="53" t="n"/>
      <c r="CM41" s="6" t="n"/>
      <c r="CN41" s="6" t="n"/>
      <c r="CO41" s="6" t="n"/>
      <c r="CR41" s="6" t="n"/>
      <c r="CS41" s="6" t="n"/>
      <c r="DI41" s="6" t="n"/>
      <c r="DL41" s="6" t="n"/>
      <c r="EB41" s="6" t="n"/>
      <c r="EF41" s="6" t="n"/>
      <c r="EG41" s="6" t="n"/>
      <c r="EN41" s="49" t="n"/>
      <c r="EO41" s="6" t="n"/>
      <c r="ER41" s="6" t="n"/>
      <c r="ES41" s="6" t="n"/>
      <c r="ET41" s="289" t="n"/>
      <c r="EU41" s="6" t="n"/>
      <c r="EV41" s="6" t="n"/>
      <c r="EW41" s="6" t="n"/>
      <c r="EX41" s="6" t="n"/>
      <c r="EY41" s="49" t="n"/>
      <c r="EZ41" s="6" t="n"/>
      <c r="FA41" s="6" t="n"/>
      <c r="FB41" s="289" t="n"/>
      <c r="FC41" s="6" t="n"/>
      <c r="FD41" s="6" t="n"/>
      <c r="FE41" s="6" t="n"/>
      <c r="FF41" s="6" t="n"/>
      <c r="FG41" s="6" t="n"/>
      <c r="FH41" s="6" t="n"/>
      <c r="FI41" s="6" t="n"/>
      <c r="FJ41" s="6" t="n"/>
      <c r="FK41" s="6" t="n"/>
      <c r="FL41" s="6" t="n"/>
      <c r="FM41" s="6" t="n"/>
      <c r="FN41" s="53" t="n"/>
      <c r="FQ41" s="53" t="n"/>
      <c r="FR41" s="53" t="n"/>
      <c r="FS41" s="53" t="n"/>
      <c r="FT41" s="53" t="n"/>
      <c r="FU41" s="53" t="n"/>
      <c r="FV41" s="53" t="n"/>
      <c r="FW41" s="53" t="n"/>
      <c r="FX41" s="53" t="n"/>
      <c r="FY41" s="53" t="n"/>
      <c r="FZ41" s="53" t="n"/>
      <c r="GA41" s="53" t="n"/>
    </row>
    <row r="42" hidden="1" ht="18.75" customHeight="1">
      <c r="A42" s="343" t="inlineStr">
        <is>
          <t>PIN AMOR</t>
        </is>
      </c>
      <c r="B42" s="344" t="n">
        <v>25</v>
      </c>
      <c r="C42" s="705" t="n">
        <v>789</v>
      </c>
      <c r="D42" s="342" t="n"/>
      <c r="E42" s="6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4</v>
      </c>
      <c r="AP42" s="9" t="n">
        <v>4</v>
      </c>
      <c r="AQ42" s="9" t="n">
        <v>4</v>
      </c>
      <c r="AR42" s="9" t="n">
        <v>0</v>
      </c>
      <c r="AS42" s="9" t="n">
        <v>0</v>
      </c>
      <c r="AT42" s="9" t="n">
        <v>0</v>
      </c>
      <c r="AU42" s="9" t="n"/>
      <c r="AV42" s="9" t="n"/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246">
        <f>BZ42+IF(NOT(ISBLANK(OFFSET(CB42,0,6))),N(OFFSET(CB42,0,6)),N(OFFSET(CB42,0,7)))-CA42</f>
        <v/>
      </c>
      <c r="CH42" s="6" t="n"/>
      <c r="CI42" s="6" t="n"/>
      <c r="CJ42" s="6" t="n"/>
      <c r="CK42" s="6" t="n"/>
      <c r="CL42" s="53" t="n"/>
      <c r="CM42" s="6" t="n"/>
      <c r="CN42" s="6" t="n"/>
      <c r="CO42" s="6" t="n"/>
      <c r="CR42" s="6" t="n"/>
      <c r="CS42" s="6" t="n"/>
      <c r="DI42" s="6" t="n"/>
      <c r="DL42" s="6" t="n"/>
      <c r="EB42" s="6" t="n"/>
      <c r="EF42" s="6" t="n"/>
      <c r="EG42" s="6" t="n"/>
      <c r="EN42" s="49" t="n"/>
      <c r="EO42" s="6" t="n"/>
      <c r="ER42" s="6" t="n"/>
      <c r="ES42" s="6" t="n"/>
      <c r="ET42" s="289" t="n"/>
      <c r="EU42" s="6" t="n"/>
      <c r="EV42" s="6" t="n"/>
      <c r="EW42" s="6" t="n"/>
      <c r="EX42" s="6" t="n"/>
      <c r="EY42" s="49" t="n"/>
      <c r="EZ42" s="6" t="n"/>
      <c r="FA42" s="6" t="n"/>
      <c r="FB42" s="289" t="n"/>
      <c r="FC42" s="6" t="n"/>
      <c r="FD42" s="6" t="n"/>
      <c r="FE42" s="6" t="n"/>
      <c r="FF42" s="6" t="n"/>
      <c r="FG42" s="6" t="n"/>
      <c r="FH42" s="6" t="n"/>
      <c r="FI42" s="6" t="n"/>
      <c r="FJ42" s="6" t="n"/>
      <c r="FK42" s="6" t="n"/>
      <c r="FL42" s="6" t="n"/>
      <c r="FM42" s="6" t="n"/>
      <c r="FN42" s="53" t="n"/>
      <c r="FQ42" s="53" t="n"/>
      <c r="FR42" s="53" t="n"/>
      <c r="FS42" s="53" t="n"/>
      <c r="FT42" s="53" t="n"/>
      <c r="FU42" s="53" t="n"/>
      <c r="FV42" s="53" t="n"/>
      <c r="FW42" s="53" t="n"/>
      <c r="FX42" s="53" t="n"/>
      <c r="FY42" s="53" t="n"/>
      <c r="FZ42" s="53" t="n"/>
      <c r="GA42" s="53" t="n"/>
    </row>
    <row r="43" hidden="1" ht="18.75" customHeight="1">
      <c r="A43" s="33" t="inlineStr">
        <is>
          <t>CAIXA P NATAL/25</t>
        </is>
      </c>
      <c r="B43" s="9" t="n">
        <v>150</v>
      </c>
      <c r="C43" s="668" t="n">
        <v>805.35</v>
      </c>
      <c r="D43" s="342" t="n"/>
      <c r="F43" s="112" t="n"/>
      <c r="G43" s="112" t="n"/>
      <c r="H43" s="112" t="n"/>
      <c r="I43" s="112" t="n"/>
      <c r="J43" s="112" t="n"/>
      <c r="K43" s="112" t="n"/>
      <c r="L43" s="112" t="n"/>
      <c r="M43" s="112" t="n"/>
      <c r="N43" s="112" t="n"/>
      <c r="O43" s="112" t="n"/>
      <c r="P43" s="112" t="n"/>
      <c r="Q43" s="112" t="n"/>
      <c r="R43" s="112" t="n"/>
      <c r="S43" s="112" t="n"/>
      <c r="T43" s="112" t="n"/>
      <c r="U43" s="112" t="n"/>
      <c r="V43" s="112" t="n"/>
      <c r="W43" s="112" t="n"/>
      <c r="X43" s="112" t="n"/>
      <c r="Y43" s="112" t="n"/>
      <c r="Z43" s="112" t="n"/>
      <c r="AA43" s="112" t="n"/>
      <c r="AB43" s="112" t="n"/>
      <c r="AC43" s="112" t="n"/>
      <c r="AD43" s="112" t="n"/>
      <c r="AE43" s="112" t="n"/>
      <c r="AF43" s="112" t="n"/>
      <c r="AG43" s="112" t="n"/>
      <c r="AH43" s="112" t="n"/>
      <c r="AI43" s="112" t="n"/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  <c r="AW43" s="112" t="n"/>
      <c r="AX43" s="112" t="n"/>
      <c r="AY43" s="112" t="n"/>
      <c r="AZ43" s="112" t="n"/>
      <c r="BA43" s="112" t="n"/>
      <c r="BB43" s="112" t="n"/>
      <c r="BC43" s="112" t="n"/>
      <c r="BD43" s="9" t="n">
        <v>341</v>
      </c>
      <c r="BE43" s="9" t="n">
        <v>223</v>
      </c>
      <c r="BF43" s="9" t="n">
        <v>93</v>
      </c>
      <c r="BG43" s="9" t="n">
        <v>93</v>
      </c>
      <c r="BH43" s="9" t="n">
        <v>-1</v>
      </c>
      <c r="BI43" s="190" t="n">
        <v>48</v>
      </c>
      <c r="BJ43" s="38" t="n">
        <v>27</v>
      </c>
      <c r="BK43" s="38" t="n">
        <v>8</v>
      </c>
      <c r="BL43" s="38" t="n">
        <v>-23</v>
      </c>
      <c r="BM43" s="38" t="n">
        <v>-35</v>
      </c>
      <c r="BN43" s="38" t="n">
        <v>32</v>
      </c>
      <c r="BO43" s="38" t="n">
        <v>16</v>
      </c>
      <c r="BP43" s="261" t="n">
        <v>1</v>
      </c>
      <c r="BQ43" s="38" t="n">
        <v>1</v>
      </c>
      <c r="BR43" s="38" t="n">
        <v>1</v>
      </c>
      <c r="BS43" s="38" t="n">
        <v>0</v>
      </c>
      <c r="BT43" s="38" t="n">
        <v>0</v>
      </c>
      <c r="BU43" s="38" t="n">
        <v>0</v>
      </c>
      <c r="BV43" s="38" t="n">
        <v>0</v>
      </c>
      <c r="BW43" s="38" t="n">
        <v>0</v>
      </c>
      <c r="BX43" s="38" t="n">
        <v>0</v>
      </c>
      <c r="BY43" s="38" t="n">
        <v>0</v>
      </c>
      <c r="BZ43" s="38" t="n">
        <v>0</v>
      </c>
      <c r="CA43" s="38" t="n">
        <v>0</v>
      </c>
      <c r="CB43" s="246">
        <f>BZ43+IF(NOT(ISBLANK(OFFSET(CB43,0,6))),N(OFFSET(CB43,0,6)),N(OFFSET(CB43,0,7)))-CA43</f>
        <v/>
      </c>
      <c r="CH43" s="6" t="n"/>
      <c r="CI43" s="6" t="n"/>
      <c r="CJ43" s="6" t="n"/>
      <c r="CK43" s="6" t="n"/>
      <c r="CL43" s="53" t="n"/>
      <c r="CM43" s="6" t="n"/>
      <c r="CN43" s="6" t="n"/>
      <c r="CO43" s="6" t="n"/>
      <c r="CR43" s="6" t="n"/>
      <c r="CS43" s="6" t="n"/>
      <c r="DI43" s="360" t="n"/>
      <c r="DL43" s="360" t="n"/>
      <c r="EA43" s="57" t="n"/>
      <c r="EB43" s="6" t="n"/>
      <c r="EF43" s="6" t="n"/>
      <c r="EG43" s="6" t="n"/>
      <c r="EH43" s="57" t="n"/>
      <c r="EI43" s="57" t="n"/>
      <c r="EK43" s="57" t="n"/>
      <c r="EL43" s="57" t="n"/>
      <c r="EM43" s="57" t="n"/>
      <c r="EP43" s="57" t="n"/>
      <c r="EQ43" s="57" t="n"/>
      <c r="ET43" s="289" t="n"/>
      <c r="FB43" s="289" t="n"/>
      <c r="FN43" s="53" t="n"/>
      <c r="FQ43" s="53" t="n"/>
      <c r="FR43" s="53" t="n"/>
      <c r="FS43" s="53" t="n"/>
      <c r="FT43" s="53" t="n"/>
      <c r="FU43" s="53" t="n"/>
      <c r="FV43" s="53" t="n"/>
      <c r="FW43" s="53" t="n"/>
      <c r="FX43" s="53" t="n"/>
      <c r="FY43" s="53" t="n"/>
      <c r="FZ43" s="53" t="n"/>
      <c r="GA43" s="53" t="n"/>
    </row>
    <row r="44" hidden="1" ht="18.75" customHeight="1">
      <c r="A44" s="33" t="inlineStr">
        <is>
          <t>CAIXA M NATAL/25</t>
        </is>
      </c>
      <c r="B44" s="9" t="n">
        <v>100</v>
      </c>
      <c r="C44" s="668" t="n">
        <v>792.2</v>
      </c>
      <c r="D44" s="342" t="n"/>
      <c r="F44" s="112" t="n"/>
      <c r="G44" s="112" t="n"/>
      <c r="H44" s="112" t="n"/>
      <c r="I44" s="112" t="n"/>
      <c r="J44" s="112" t="n"/>
      <c r="K44" s="112" t="n"/>
      <c r="L44" s="112" t="n"/>
      <c r="M44" s="112" t="n"/>
      <c r="N44" s="112" t="n"/>
      <c r="O44" s="112" t="n"/>
      <c r="P44" s="112" t="n"/>
      <c r="Q44" s="112" t="n"/>
      <c r="R44" s="112" t="n"/>
      <c r="S44" s="112" t="n"/>
      <c r="T44" s="112" t="n"/>
      <c r="U44" s="112" t="n"/>
      <c r="V44" s="112" t="n"/>
      <c r="W44" s="112" t="n"/>
      <c r="X44" s="112" t="n"/>
      <c r="Y44" s="112" t="n"/>
      <c r="Z44" s="112" t="n"/>
      <c r="AA44" s="112" t="n"/>
      <c r="AB44" s="112" t="n"/>
      <c r="AC44" s="112" t="n"/>
      <c r="AD44" s="112" t="n"/>
      <c r="AE44" s="112" t="n"/>
      <c r="AF44" s="112" t="n"/>
      <c r="AG44" s="112" t="n"/>
      <c r="AH44" s="112" t="n"/>
      <c r="AI44" s="112" t="n"/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  <c r="AW44" s="112" t="n"/>
      <c r="AX44" s="112" t="n"/>
      <c r="AY44" s="112" t="n"/>
      <c r="AZ44" s="112" t="n"/>
      <c r="BA44" s="112" t="n"/>
      <c r="BB44" s="112" t="n"/>
      <c r="BC44" s="112" t="n"/>
      <c r="BD44" s="9" t="n">
        <v>401</v>
      </c>
      <c r="BE44" s="9" t="n">
        <v>250</v>
      </c>
      <c r="BF44" s="9" t="n">
        <v>3</v>
      </c>
      <c r="BG44" s="9" t="n">
        <v>-16</v>
      </c>
      <c r="BH44" s="9" t="n">
        <v>3</v>
      </c>
      <c r="BI44" s="9" t="n">
        <v>1</v>
      </c>
      <c r="BJ44" s="190" t="n">
        <v>-14</v>
      </c>
      <c r="BK44" s="38" t="n">
        <v>2</v>
      </c>
      <c r="BL44" s="38" t="n">
        <v>0</v>
      </c>
      <c r="BM44" s="38" t="n">
        <v>0</v>
      </c>
      <c r="BN44" s="38" t="n">
        <v>0</v>
      </c>
      <c r="BO44" s="38" t="n">
        <v>0</v>
      </c>
      <c r="BP44" s="38" t="n">
        <v>0</v>
      </c>
      <c r="BQ44" s="38" t="n">
        <v>0</v>
      </c>
      <c r="BR44" s="38" t="n">
        <v>0</v>
      </c>
      <c r="BS44" s="38" t="n">
        <v>0</v>
      </c>
      <c r="BT44" s="38" t="n">
        <v>0</v>
      </c>
      <c r="BU44" s="38" t="n">
        <v>0</v>
      </c>
      <c r="BV44" s="38" t="n">
        <v>0</v>
      </c>
      <c r="BW44" s="38" t="n">
        <v>0</v>
      </c>
      <c r="BX44" s="38" t="n">
        <v>0</v>
      </c>
      <c r="BY44" s="38" t="n">
        <v>0</v>
      </c>
      <c r="BZ44" s="38" t="n">
        <v>0</v>
      </c>
      <c r="CA44" s="38" t="n">
        <v>0</v>
      </c>
      <c r="CB44" s="246">
        <f>BZ44+IF(NOT(ISBLANK(OFFSET(CB44,0,6))),N(OFFSET(CB44,0,6)),N(OFFSET(CB44,0,7)))-CA44</f>
        <v/>
      </c>
      <c r="CH44" s="6" t="n"/>
      <c r="CI44" s="6" t="n"/>
      <c r="CJ44" s="6" t="n"/>
      <c r="CK44" s="6" t="n"/>
      <c r="CL44" s="53" t="n"/>
      <c r="CM44" s="6" t="n"/>
      <c r="CN44" s="6" t="n"/>
      <c r="CO44" s="6" t="n"/>
      <c r="CP44" s="6" t="n"/>
      <c r="CQ44" s="6" t="n"/>
      <c r="CR44" s="6" t="n"/>
      <c r="CS44" s="6" t="n"/>
      <c r="CU44" s="6" t="n"/>
      <c r="DI44" s="360" t="n"/>
      <c r="DL44" s="360" t="n"/>
      <c r="EA44" s="57" t="n"/>
      <c r="EB44" s="6" t="n"/>
      <c r="EF44" s="6" t="n"/>
      <c r="EG44" s="6" t="n"/>
      <c r="EH44" s="57" t="n"/>
      <c r="EI44" s="57" t="n"/>
      <c r="EK44" s="57" t="n"/>
      <c r="EL44" s="57" t="n"/>
      <c r="EM44" s="57" t="n"/>
      <c r="EP44" s="57" t="n"/>
      <c r="EQ44" s="57" t="n"/>
      <c r="ET44" s="289" t="n"/>
      <c r="FB44" s="289" t="n"/>
      <c r="FN44" s="53" t="n"/>
      <c r="FQ44" s="53" t="n"/>
      <c r="FR44" s="53" t="n"/>
      <c r="FS44" s="53" t="n"/>
      <c r="FT44" s="53" t="n"/>
      <c r="FU44" s="53" t="n"/>
      <c r="FV44" s="53" t="n"/>
      <c r="FW44" s="53" t="n"/>
      <c r="FX44" s="53" t="n"/>
      <c r="FY44" s="53" t="n"/>
      <c r="FZ44" s="53" t="n"/>
      <c r="GA44" s="53" t="n"/>
    </row>
    <row r="45" hidden="1" ht="18.75" customHeight="1">
      <c r="A45" s="33" t="inlineStr">
        <is>
          <t>CAIXA G NATAL/25</t>
        </is>
      </c>
      <c r="B45" s="9" t="n">
        <v>50</v>
      </c>
      <c r="C45" s="668" t="n"/>
      <c r="D45" s="342" t="n"/>
      <c r="F45" s="112" t="n"/>
      <c r="G45" s="112" t="n"/>
      <c r="H45" s="112" t="n"/>
      <c r="I45" s="112" t="n"/>
      <c r="J45" s="112" t="n"/>
      <c r="K45" s="112" t="n"/>
      <c r="L45" s="112" t="n"/>
      <c r="M45" s="112" t="n"/>
      <c r="N45" s="112" t="n"/>
      <c r="O45" s="112" t="n"/>
      <c r="P45" s="112" t="n"/>
      <c r="Q45" s="112" t="n"/>
      <c r="R45" s="112" t="n"/>
      <c r="S45" s="112" t="n"/>
      <c r="T45" s="112" t="n"/>
      <c r="U45" s="112" t="n"/>
      <c r="V45" s="112" t="n"/>
      <c r="W45" s="112" t="n"/>
      <c r="X45" s="112" t="n"/>
      <c r="Y45" s="112" t="n"/>
      <c r="Z45" s="112" t="n"/>
      <c r="AA45" s="112" t="n"/>
      <c r="AB45" s="112" t="n"/>
      <c r="AC45" s="112" t="n"/>
      <c r="AD45" s="112" t="n"/>
      <c r="AE45" s="112" t="n"/>
      <c r="AF45" s="112" t="n"/>
      <c r="AG45" s="112" t="n"/>
      <c r="AH45" s="112" t="n"/>
      <c r="AI45" s="112" t="n"/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  <c r="AW45" s="112" t="n"/>
      <c r="AX45" s="112" t="n"/>
      <c r="AY45" s="112" t="n"/>
      <c r="AZ45" s="112" t="n"/>
      <c r="BA45" s="112" t="n"/>
      <c r="BB45" s="112" t="n"/>
      <c r="BC45" s="112" t="n"/>
      <c r="BD45" s="9" t="n">
        <v>19</v>
      </c>
      <c r="BE45" s="9" t="n">
        <v>10</v>
      </c>
      <c r="BF45" s="9" t="n">
        <v>-3</v>
      </c>
      <c r="BG45" s="9" t="n">
        <v>-3</v>
      </c>
      <c r="BH45" s="9" t="n">
        <v>1</v>
      </c>
      <c r="BI45" s="9" t="n">
        <v>1</v>
      </c>
      <c r="BJ45" s="9" t="n">
        <v>0</v>
      </c>
      <c r="BK45" s="9" t="n">
        <v>0</v>
      </c>
      <c r="BL45" s="9" t="n">
        <v>0</v>
      </c>
      <c r="BM45" s="9" t="n">
        <v>0</v>
      </c>
      <c r="BN45" s="9" t="n">
        <v>0</v>
      </c>
      <c r="BO45" s="9" t="n">
        <v>0</v>
      </c>
      <c r="BP45" s="9" t="n">
        <v>0</v>
      </c>
      <c r="BQ45" s="9" t="n">
        <v>0</v>
      </c>
      <c r="BR45" s="9" t="n">
        <v>0</v>
      </c>
      <c r="BS45" s="9" t="n"/>
      <c r="BT45" s="9" t="n"/>
      <c r="BU45" s="9" t="n"/>
      <c r="BV45" s="9" t="n"/>
      <c r="BW45" s="9" t="n"/>
      <c r="BX45" s="9" t="n"/>
      <c r="BY45" s="9" t="n"/>
      <c r="BZ45" s="9" t="n"/>
      <c r="CA45" s="9" t="n"/>
      <c r="CB45" s="246">
        <f>BZ45+IF(NOT(ISBLANK(OFFSET(CB45,0,6))),N(OFFSET(CB45,0,6)),N(OFFSET(CB45,0,7)))-CA45</f>
        <v/>
      </c>
      <c r="CH45" s="6" t="n"/>
      <c r="CI45" s="6" t="n"/>
      <c r="CJ45" s="6" t="n"/>
      <c r="CK45" s="6" t="n"/>
      <c r="CM45" s="6" t="n"/>
      <c r="CN45" s="6" t="n"/>
      <c r="CO45" s="6" t="n"/>
      <c r="CP45" s="6" t="n"/>
      <c r="CQ45" s="6" t="n"/>
      <c r="CR45" s="6" t="n"/>
      <c r="CS45" s="6" t="n"/>
      <c r="CU45" s="6" t="n"/>
      <c r="DI45" s="360" t="n"/>
      <c r="DL45" s="360" t="n"/>
      <c r="EA45" s="57" t="n"/>
      <c r="EB45" s="6" t="n"/>
      <c r="EF45" s="6" t="n"/>
      <c r="EG45" s="6" t="n"/>
      <c r="EH45" s="57" t="n"/>
      <c r="EI45" s="57" t="n"/>
      <c r="EK45" s="57" t="n"/>
      <c r="EL45" s="57" t="n"/>
      <c r="EM45" s="57" t="n"/>
      <c r="EP45" s="57" t="n"/>
      <c r="EQ45" s="57" t="n"/>
      <c r="ET45" s="289" t="n"/>
      <c r="FB45" s="289" t="n"/>
      <c r="FN45" s="53" t="n"/>
    </row>
    <row r="46" hidden="1" ht="18.75" customHeight="1">
      <c r="A46" s="33" t="inlineStr">
        <is>
          <t>CARTUCHO P NATAL/25</t>
        </is>
      </c>
      <c r="B46" s="9" t="n">
        <v>200</v>
      </c>
      <c r="C46" s="668" t="n">
        <v>487.2</v>
      </c>
      <c r="D46" s="342" t="n"/>
      <c r="F46" s="112" t="n"/>
      <c r="G46" s="112" t="n"/>
      <c r="H46" s="112" t="n"/>
      <c r="I46" s="112" t="n"/>
      <c r="J46" s="112" t="n"/>
      <c r="K46" s="112" t="n"/>
      <c r="L46" s="112" t="n"/>
      <c r="M46" s="112" t="n"/>
      <c r="N46" s="112" t="n"/>
      <c r="O46" s="112" t="n"/>
      <c r="P46" s="112" t="n"/>
      <c r="Q46" s="112" t="n"/>
      <c r="R46" s="112" t="n"/>
      <c r="S46" s="112" t="n"/>
      <c r="T46" s="112" t="n"/>
      <c r="U46" s="112" t="n"/>
      <c r="V46" s="112" t="n"/>
      <c r="W46" s="112" t="n"/>
      <c r="X46" s="112" t="n"/>
      <c r="Y46" s="112" t="n"/>
      <c r="Z46" s="112" t="n"/>
      <c r="AA46" s="112" t="n"/>
      <c r="AB46" s="112" t="n"/>
      <c r="AC46" s="112" t="n"/>
      <c r="AD46" s="112" t="n"/>
      <c r="AE46" s="112" t="n"/>
      <c r="AF46" s="112" t="n"/>
      <c r="AG46" s="112" t="n"/>
      <c r="AH46" s="112" t="n"/>
      <c r="AI46" s="112" t="n"/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  <c r="AW46" s="112" t="n"/>
      <c r="AX46" s="112" t="n"/>
      <c r="AY46" s="112" t="n"/>
      <c r="AZ46" s="112" t="n"/>
      <c r="BA46" s="112" t="n"/>
      <c r="BB46" s="112" t="n"/>
      <c r="BC46" s="112" t="n"/>
      <c r="BD46" s="9" t="n">
        <v>100</v>
      </c>
      <c r="BE46" s="9" t="n">
        <v>1</v>
      </c>
      <c r="BF46" s="9" t="n">
        <v>-3</v>
      </c>
      <c r="BG46" s="9" t="n">
        <v>-3</v>
      </c>
      <c r="BH46" s="9" t="n">
        <v>0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1</v>
      </c>
      <c r="BO46" s="9" t="n">
        <v>1</v>
      </c>
      <c r="BP46" s="9" t="n">
        <v>1</v>
      </c>
      <c r="BQ46" s="9" t="n">
        <v>1</v>
      </c>
      <c r="BR46" s="9" t="n">
        <v>1</v>
      </c>
      <c r="BS46" s="9" t="n">
        <v>0</v>
      </c>
      <c r="BT46" s="9" t="n">
        <v>0</v>
      </c>
      <c r="BU46" s="9" t="n">
        <v>0</v>
      </c>
      <c r="BV46" s="9" t="n">
        <v>0</v>
      </c>
      <c r="BW46" s="9" t="n">
        <v>0</v>
      </c>
      <c r="BX46" s="9" t="n">
        <v>0</v>
      </c>
      <c r="BY46" s="9" t="n">
        <v>0</v>
      </c>
      <c r="BZ46" s="9" t="n">
        <v>0</v>
      </c>
      <c r="CA46" s="9" t="n">
        <v>0</v>
      </c>
      <c r="CB46" s="246">
        <f>BZ46+IF(NOT(ISBLANK(OFFSET(CB46,0,6))),N(OFFSET(CB46,0,6)),N(OFFSET(CB46,0,7)))-CA46</f>
        <v/>
      </c>
      <c r="CH46" s="6" t="n"/>
      <c r="CI46" s="6" t="n"/>
      <c r="CJ46" s="6" t="n"/>
      <c r="CK46" s="6" t="n"/>
      <c r="CM46" s="6" t="n"/>
      <c r="CN46" s="6" t="n"/>
      <c r="CO46" s="6" t="n"/>
      <c r="CP46" s="6" t="n"/>
      <c r="CQ46" s="6" t="n"/>
      <c r="CR46" s="6" t="n"/>
      <c r="CS46" s="6" t="n"/>
      <c r="CU46" s="6" t="n"/>
      <c r="DI46" s="360" t="n"/>
      <c r="DL46" s="360" t="n"/>
      <c r="EA46" s="57" t="n"/>
      <c r="EB46" s="6" t="n"/>
      <c r="EF46" s="6" t="n"/>
      <c r="EG46" s="6" t="n"/>
      <c r="EH46" s="57" t="n"/>
      <c r="EI46" s="57" t="n"/>
      <c r="EK46" s="57" t="n"/>
      <c r="EL46" s="57" t="n"/>
      <c r="EM46" s="57" t="n"/>
      <c r="EP46" s="57" t="n"/>
      <c r="EQ46" s="57" t="n"/>
      <c r="ET46" s="289" t="n"/>
      <c r="FB46" s="289" t="n"/>
      <c r="FN46" s="53" t="n"/>
    </row>
    <row r="47" hidden="1" ht="18.75" customHeight="1">
      <c r="A47" s="33" t="inlineStr">
        <is>
          <t>CARTUCHO M NATAL/25</t>
        </is>
      </c>
      <c r="B47" s="9" t="n">
        <v>150</v>
      </c>
      <c r="C47" s="668" t="n">
        <v>460.35</v>
      </c>
      <c r="D47" s="342" t="n"/>
      <c r="F47" s="112" t="n"/>
      <c r="G47" s="112" t="n"/>
      <c r="H47" s="112" t="n"/>
      <c r="I47" s="112" t="n"/>
      <c r="J47" s="112" t="n"/>
      <c r="K47" s="112" t="n"/>
      <c r="L47" s="112" t="n"/>
      <c r="M47" s="112" t="n"/>
      <c r="N47" s="112" t="n"/>
      <c r="O47" s="112" t="n"/>
      <c r="P47" s="112" t="n"/>
      <c r="Q47" s="112" t="n"/>
      <c r="R47" s="112" t="n"/>
      <c r="S47" s="112" t="n"/>
      <c r="T47" s="112" t="n"/>
      <c r="U47" s="112" t="n"/>
      <c r="V47" s="112" t="n"/>
      <c r="W47" s="112" t="n"/>
      <c r="X47" s="112" t="n"/>
      <c r="Y47" s="112" t="n"/>
      <c r="Z47" s="112" t="n"/>
      <c r="AA47" s="112" t="n"/>
      <c r="AB47" s="112" t="n"/>
      <c r="AC47" s="112" t="n"/>
      <c r="AD47" s="112" t="n"/>
      <c r="AE47" s="112" t="n"/>
      <c r="AF47" s="112" t="n"/>
      <c r="AG47" s="112" t="n"/>
      <c r="AH47" s="112" t="n"/>
      <c r="AI47" s="112" t="n"/>
      <c r="AJ47" s="112" t="n"/>
      <c r="AK47" s="112" t="n"/>
      <c r="AL47" s="112" t="n"/>
      <c r="AM47" s="112" t="n"/>
      <c r="AN47" s="112" t="n"/>
      <c r="AO47" s="112" t="n"/>
      <c r="AP47" s="112" t="n"/>
      <c r="AQ47" s="112" t="n"/>
      <c r="AR47" s="112" t="n"/>
      <c r="AS47" s="112" t="n"/>
      <c r="AT47" s="112" t="n"/>
      <c r="AU47" s="112" t="n"/>
      <c r="AV47" s="112" t="n"/>
      <c r="AW47" s="112" t="n"/>
      <c r="AX47" s="112" t="n"/>
      <c r="AY47" s="112" t="n"/>
      <c r="AZ47" s="112" t="n"/>
      <c r="BA47" s="112" t="n"/>
      <c r="BB47" s="112" t="n"/>
      <c r="BC47" s="112" t="n"/>
      <c r="BD47" s="9" t="n">
        <v>170</v>
      </c>
      <c r="BE47" s="9" t="n">
        <v>67</v>
      </c>
      <c r="BF47" s="9" t="n">
        <v>-5</v>
      </c>
      <c r="BG47" s="9" t="n">
        <v>-6</v>
      </c>
      <c r="BH47" s="9" t="n">
        <v>0</v>
      </c>
      <c r="BI47" s="9" t="n">
        <v>-1</v>
      </c>
      <c r="BJ47" s="9" t="n">
        <v>-1</v>
      </c>
      <c r="BK47" s="9" t="n">
        <v>-1</v>
      </c>
      <c r="BL47" s="9" t="n">
        <v>0</v>
      </c>
      <c r="BM47" s="9" t="n">
        <v>0</v>
      </c>
      <c r="BN47" s="9" t="n">
        <v>13</v>
      </c>
      <c r="BO47" s="9" t="n">
        <v>13</v>
      </c>
      <c r="BP47" s="190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246">
        <f>BZ47+IF(NOT(ISBLANK(OFFSET(CB47,0,6))),N(OFFSET(CB47,0,6)),N(OFFSET(CB47,0,7)))-CA47</f>
        <v/>
      </c>
      <c r="CH47" s="6" t="n"/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U47" s="6" t="n"/>
      <c r="DI47" s="360" t="n"/>
      <c r="DL47" s="360" t="n"/>
      <c r="EA47" s="57" t="n"/>
      <c r="EB47" s="6" t="n"/>
      <c r="EF47" s="6" t="n"/>
      <c r="EG47" s="6" t="n"/>
      <c r="EH47" s="57" t="n"/>
      <c r="EI47" s="57" t="n"/>
      <c r="EK47" s="57" t="n"/>
      <c r="EL47" s="57" t="n"/>
      <c r="EM47" s="57" t="n"/>
      <c r="EP47" s="57" t="n"/>
      <c r="EQ47" s="57" t="n"/>
      <c r="ET47" s="289" t="n"/>
      <c r="FB47" s="289" t="n"/>
      <c r="FN47" s="53" t="n"/>
    </row>
    <row r="48" hidden="1" ht="18.75" customHeight="1">
      <c r="A48" s="33" t="inlineStr">
        <is>
          <t>PIN NATAL/25</t>
        </is>
      </c>
      <c r="B48" s="9" t="n">
        <v>10</v>
      </c>
      <c r="C48" s="668" t="n">
        <v>120</v>
      </c>
      <c r="D48" s="342" t="n"/>
      <c r="F48" s="112" t="n"/>
      <c r="G48" s="112" t="n"/>
      <c r="H48" s="112" t="n"/>
      <c r="I48" s="112" t="n"/>
      <c r="J48" s="112" t="n"/>
      <c r="K48" s="112" t="n"/>
      <c r="L48" s="112" t="n"/>
      <c r="M48" s="112" t="n"/>
      <c r="N48" s="112" t="n"/>
      <c r="O48" s="112" t="n"/>
      <c r="P48" s="112" t="n"/>
      <c r="Q48" s="112" t="n"/>
      <c r="R48" s="112" t="n"/>
      <c r="S48" s="112" t="n"/>
      <c r="T48" s="112" t="n"/>
      <c r="U48" s="112" t="n"/>
      <c r="V48" s="112" t="n"/>
      <c r="W48" s="112" t="n"/>
      <c r="X48" s="112" t="n"/>
      <c r="Y48" s="112" t="n"/>
      <c r="Z48" s="112" t="n"/>
      <c r="AA48" s="112" t="n"/>
      <c r="AB48" s="112" t="n"/>
      <c r="AC48" s="112" t="n"/>
      <c r="AD48" s="112" t="n"/>
      <c r="AE48" s="112" t="n"/>
      <c r="AF48" s="112" t="n"/>
      <c r="AG48" s="112" t="n"/>
      <c r="AH48" s="112" t="n"/>
      <c r="AI48" s="112" t="n"/>
      <c r="AJ48" s="112" t="n"/>
      <c r="AK48" s="112" t="n"/>
      <c r="AL48" s="112" t="n"/>
      <c r="AM48" s="112" t="n"/>
      <c r="AN48" s="112" t="n"/>
      <c r="AO48" s="112" t="n"/>
      <c r="AP48" s="112" t="n"/>
      <c r="AQ48" s="112" t="n"/>
      <c r="AR48" s="112" t="n"/>
      <c r="AS48" s="112" t="n"/>
      <c r="AT48" s="112" t="n"/>
      <c r="AU48" s="112" t="n"/>
      <c r="AV48" s="112" t="n"/>
      <c r="AW48" s="112" t="n"/>
      <c r="AX48" s="112" t="n"/>
      <c r="AY48" s="112" t="n"/>
      <c r="AZ48" s="112" t="n"/>
      <c r="BA48" s="112" t="n"/>
      <c r="BB48" s="112" t="n"/>
      <c r="BC48" s="112" t="n"/>
      <c r="BD48" s="9" t="n"/>
      <c r="BE48" s="9" t="n"/>
      <c r="BF48" s="9" t="n"/>
      <c r="BG48" s="9" t="n"/>
      <c r="BH48" s="9" t="n">
        <v>0</v>
      </c>
      <c r="BI48" s="9" t="n">
        <v>0</v>
      </c>
      <c r="BJ48" s="9" t="n">
        <v>0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>
        <v>0</v>
      </c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246">
        <f>BZ48+IF(NOT(ISBLANK(OFFSET(CB48,0,6))),N(OFFSET(CB48,0,6)),N(OFFSET(CB48,0,7)))-CA48</f>
        <v/>
      </c>
      <c r="CH48" s="6" t="n"/>
      <c r="CI48" s="6" t="n"/>
      <c r="CJ48" s="6" t="n"/>
      <c r="CK48" s="6" t="n"/>
      <c r="CM48" s="6" t="n"/>
      <c r="CN48" s="6" t="n"/>
      <c r="CO48" s="6" t="n"/>
      <c r="CP48" s="6" t="n"/>
      <c r="CQ48" s="6" t="n"/>
      <c r="CR48" s="6" t="n"/>
      <c r="CS48" s="6" t="n"/>
      <c r="CU48" s="6" t="n"/>
      <c r="DI48" s="360" t="n"/>
      <c r="DL48" s="360" t="n"/>
      <c r="EA48" s="57" t="n"/>
      <c r="EB48" s="6" t="n"/>
      <c r="EF48" s="6" t="n"/>
      <c r="EG48" s="6" t="n"/>
      <c r="EH48" s="57" t="n"/>
      <c r="EI48" s="57" t="n"/>
      <c r="EK48" s="57" t="n"/>
      <c r="EL48" s="57" t="n"/>
      <c r="EM48" s="57" t="n"/>
      <c r="EP48" s="57" t="n"/>
      <c r="EQ48" s="57" t="n"/>
      <c r="ET48" s="289" t="n"/>
      <c r="FB48" s="289" t="n"/>
      <c r="FN48" s="53" t="n"/>
    </row>
    <row r="49" ht="18.75" customHeight="1">
      <c r="F49" s="112" t="n"/>
      <c r="G49" s="112" t="n"/>
      <c r="H49" s="112" t="n"/>
      <c r="I49" s="112" t="n"/>
      <c r="J49" s="112" t="n"/>
      <c r="K49" s="112" t="n"/>
      <c r="L49" s="112" t="n"/>
      <c r="M49" s="112" t="n"/>
      <c r="N49" s="112" t="n"/>
      <c r="O49" s="112" t="n"/>
      <c r="P49" s="112" t="n"/>
      <c r="Q49" s="112" t="n"/>
      <c r="R49" s="112" t="n"/>
      <c r="S49" s="112" t="n"/>
      <c r="T49" s="112" t="n"/>
      <c r="U49" s="112" t="n"/>
      <c r="V49" s="112" t="n"/>
      <c r="W49" s="112" t="n"/>
      <c r="X49" s="112" t="n"/>
      <c r="Y49" s="112" t="n"/>
      <c r="Z49" s="112" t="n"/>
      <c r="AA49" s="112" t="n"/>
      <c r="AB49" s="112" t="n"/>
      <c r="AC49" s="112" t="n"/>
      <c r="AD49" s="112" t="n"/>
      <c r="AE49" s="112" t="n"/>
      <c r="AF49" s="112" t="n"/>
      <c r="AG49" s="112" t="n"/>
      <c r="AH49" s="112" t="n"/>
      <c r="AI49" s="112" t="n"/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  <c r="AW49" s="112" t="n"/>
      <c r="AX49" s="112" t="n"/>
      <c r="AY49" s="112" t="n"/>
      <c r="AZ49" s="112" t="n"/>
      <c r="BA49" s="112" t="n"/>
      <c r="BB49" s="112" t="n"/>
      <c r="BC49" s="112" t="n"/>
      <c r="BD49" s="112" t="n"/>
      <c r="BE49" s="112" t="n"/>
      <c r="CB49" s="112" t="n"/>
      <c r="CH49" s="6" t="n"/>
      <c r="CI49" s="6" t="n"/>
      <c r="CJ49" s="6" t="n"/>
      <c r="CK49" s="6" t="n"/>
      <c r="CM49" s="6" t="n"/>
      <c r="CN49" s="6" t="n"/>
      <c r="CO49" s="6" t="n"/>
      <c r="CP49" s="6" t="n"/>
      <c r="CQ49" s="6" t="n"/>
      <c r="CR49" s="6" t="n"/>
      <c r="CS49" s="6" t="n"/>
      <c r="CU49" s="6" t="n"/>
      <c r="DI49" s="360" t="n"/>
      <c r="DL49" s="360" t="n"/>
      <c r="EA49" s="57" t="n"/>
      <c r="EB49" s="6" t="n"/>
      <c r="EF49" s="6" t="n"/>
      <c r="EG49" s="6" t="n"/>
      <c r="EH49" s="57" t="n"/>
      <c r="EI49" s="57" t="n"/>
      <c r="EK49" s="57" t="n"/>
      <c r="EL49" s="57" t="n"/>
      <c r="EM49" s="57" t="n"/>
      <c r="EP49" s="57" t="n"/>
      <c r="EQ49" s="57" t="n"/>
      <c r="ET49" s="289" t="n"/>
      <c r="FB49" s="289" t="n"/>
      <c r="FN49" s="53" t="n"/>
    </row>
    <row r="50" ht="18.75" customHeight="1">
      <c r="F50" s="112" t="n"/>
      <c r="G50" s="112" t="n"/>
      <c r="H50" s="112" t="n"/>
      <c r="I50" s="112" t="n"/>
      <c r="J50" s="112" t="n"/>
      <c r="K50" s="112" t="n"/>
      <c r="L50" s="112" t="n"/>
      <c r="M50" s="112" t="n"/>
      <c r="N50" s="112" t="n"/>
      <c r="O50" s="112" t="n"/>
      <c r="P50" s="112" t="n"/>
      <c r="Q50" s="112" t="n"/>
      <c r="R50" s="112" t="n"/>
      <c r="S50" s="112" t="n"/>
      <c r="T50" s="112" t="n"/>
      <c r="U50" s="112" t="n"/>
      <c r="V50" s="112" t="n"/>
      <c r="W50" s="112" t="n"/>
      <c r="X50" s="112" t="n"/>
      <c r="Y50" s="112" t="n"/>
      <c r="Z50" s="112" t="n"/>
      <c r="AA50" s="112" t="n"/>
      <c r="AB50" s="112" t="n"/>
      <c r="AC50" s="112" t="n"/>
      <c r="AD50" s="112" t="n"/>
      <c r="AE50" s="112" t="n"/>
      <c r="AF50" s="112" t="n"/>
      <c r="AG50" s="112" t="n"/>
      <c r="AH50" s="112" t="n"/>
      <c r="AI50" s="112" t="n"/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  <c r="AW50" s="112" t="n"/>
      <c r="AX50" s="112" t="n"/>
      <c r="AY50" s="112" t="n"/>
      <c r="AZ50" s="112" t="n"/>
      <c r="BA50" s="112" t="n"/>
      <c r="BB50" s="112" t="n"/>
      <c r="BC50" s="112" t="n"/>
      <c r="BD50" s="112" t="n"/>
      <c r="BE50" s="112" t="n"/>
      <c r="BF50" s="112" t="n"/>
      <c r="BG50" s="112" t="n"/>
      <c r="BH50" s="112" t="n"/>
      <c r="BI50" s="112" t="n"/>
      <c r="BJ50" s="112" t="n"/>
      <c r="BK50" s="112" t="n"/>
      <c r="BL50" s="112" t="n"/>
      <c r="BM50" s="112" t="n"/>
      <c r="BN50" s="112" t="n"/>
      <c r="BO50" s="112" t="n"/>
      <c r="BP50" s="112" t="n"/>
      <c r="BQ50" s="112" t="n"/>
      <c r="BR50" s="112" t="n"/>
      <c r="BS50" s="112" t="n"/>
      <c r="BT50" s="112" t="n"/>
      <c r="BU50" s="112" t="n"/>
      <c r="BV50" s="112" t="n"/>
      <c r="BW50" s="112" t="n"/>
      <c r="BX50" s="112" t="n"/>
      <c r="BY50" s="112" t="n"/>
      <c r="BZ50" s="112" t="n"/>
      <c r="CA50" s="112" t="n"/>
      <c r="CB50" s="112" t="n"/>
      <c r="CH50" s="6" t="n"/>
      <c r="CI50" s="6" t="n"/>
      <c r="CJ50" s="6" t="n"/>
      <c r="CK50" s="6" t="n"/>
      <c r="CM50" s="6" t="n"/>
      <c r="CN50" s="6" t="n"/>
      <c r="CO50" s="6" t="n"/>
      <c r="CP50" s="6" t="n"/>
      <c r="CQ50" s="6" t="n"/>
      <c r="CR50" s="6" t="n"/>
      <c r="CS50" s="6" t="n"/>
      <c r="CU50" s="6" t="n"/>
      <c r="DI50" s="360" t="n"/>
      <c r="DL50" s="360" t="n"/>
      <c r="EA50" s="57" t="n"/>
      <c r="EB50" s="6" t="n"/>
      <c r="EF50" s="6" t="n"/>
      <c r="EG50" s="6" t="n"/>
      <c r="EH50" s="57" t="n"/>
      <c r="EI50" s="57" t="n"/>
      <c r="EK50" s="57" t="n"/>
      <c r="EL50" s="57" t="n"/>
      <c r="EM50" s="57" t="n"/>
      <c r="EP50" s="57" t="n"/>
      <c r="EQ50" s="57" t="n"/>
      <c r="ET50" s="289" t="n"/>
      <c r="FB50" s="289" t="n"/>
      <c r="FN50" s="53" t="n"/>
    </row>
    <row r="51" ht="18.75" customHeight="1">
      <c r="A51" s="320" t="inlineStr">
        <is>
          <t>SOBRAS DATAS COMEMORATIVAS</t>
        </is>
      </c>
      <c r="B51" s="320" t="n"/>
      <c r="C51" s="320" t="n"/>
      <c r="E51" s="53" t="n"/>
      <c r="F51" s="112" t="n"/>
      <c r="G51" s="112" t="n"/>
      <c r="H51" s="112" t="n"/>
      <c r="I51" s="112" t="n"/>
      <c r="J51" s="112" t="n"/>
      <c r="K51" s="112" t="n"/>
      <c r="L51" s="112" t="n"/>
      <c r="M51" s="112" t="n"/>
      <c r="N51" s="112" t="n"/>
      <c r="O51" s="112" t="n"/>
      <c r="P51" s="112" t="n"/>
      <c r="Q51" s="112" t="n"/>
      <c r="R51" s="112" t="n"/>
      <c r="S51" s="112" t="n"/>
      <c r="T51" s="112" t="n"/>
      <c r="U51" s="112" t="n"/>
      <c r="V51" s="112" t="n"/>
      <c r="W51" s="112" t="n"/>
      <c r="X51" s="112" t="n"/>
      <c r="Y51" s="112" t="n"/>
      <c r="Z51" s="112" t="n"/>
      <c r="AA51" s="112" t="n"/>
      <c r="AB51" s="112" t="n"/>
      <c r="AC51" s="112" t="n"/>
      <c r="AD51" s="112" t="n"/>
      <c r="AE51" s="112" t="n"/>
      <c r="AF51" s="112" t="n"/>
      <c r="AG51" s="112" t="n"/>
      <c r="AH51" s="112" t="n"/>
      <c r="AI51" s="112" t="n"/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  <c r="AW51" s="112" t="n"/>
      <c r="AX51" s="112" t="n"/>
      <c r="AY51" s="112" t="n"/>
      <c r="AZ51" s="112" t="n"/>
      <c r="BA51" s="112" t="n"/>
      <c r="BB51" s="112" t="n"/>
      <c r="BC51" s="112" t="n"/>
      <c r="BD51" s="112" t="n"/>
      <c r="BE51" s="112" t="n"/>
      <c r="BF51" s="112" t="n"/>
      <c r="BG51" s="112" t="n"/>
      <c r="BH51" s="112" t="n"/>
      <c r="BI51" s="112" t="n"/>
      <c r="BJ51" s="112" t="n"/>
      <c r="BK51" s="112" t="n"/>
      <c r="BL51" s="112" t="n"/>
      <c r="BM51" s="112" t="n"/>
      <c r="BN51" s="112" t="n"/>
      <c r="BO51" s="112" t="n"/>
      <c r="BP51" s="112" t="n"/>
      <c r="BQ51" s="112" t="n"/>
      <c r="BR51" s="112" t="n"/>
      <c r="BS51" s="112" t="n"/>
      <c r="BT51" s="112" t="n"/>
      <c r="BU51" s="112" t="n"/>
      <c r="BV51" s="112" t="n"/>
      <c r="BW51" s="112" t="n"/>
      <c r="BX51" s="112" t="n"/>
      <c r="BY51" s="112" t="n"/>
      <c r="BZ51" s="112" t="n"/>
      <c r="CA51" s="112" t="n"/>
      <c r="CB51" s="112" t="n"/>
      <c r="CC51" s="53" t="n"/>
      <c r="CH51" s="6" t="n"/>
      <c r="CI51" s="6" t="n"/>
      <c r="CJ51" s="6" t="n"/>
      <c r="CK51" s="6" t="n"/>
      <c r="CM51" s="6" t="n"/>
      <c r="CN51" s="6" t="n"/>
      <c r="CO51" s="6" t="n"/>
      <c r="CP51" s="6" t="n"/>
      <c r="CQ51" s="6" t="n"/>
      <c r="CR51" s="6" t="n"/>
      <c r="CS51" s="6" t="n"/>
      <c r="CU51" s="6" t="n"/>
      <c r="DI51" s="360" t="n"/>
      <c r="DL51" s="360" t="n"/>
      <c r="DW51" s="57" t="n"/>
      <c r="DX51" s="57" t="n"/>
      <c r="DY51" s="57" t="n"/>
      <c r="DZ51" s="57" t="n"/>
      <c r="EA51" s="61" t="n"/>
      <c r="EB51" s="360" t="n"/>
      <c r="EC51" s="57" t="n"/>
      <c r="ED51" s="57" t="n"/>
      <c r="EE51" s="57" t="n"/>
      <c r="EF51" s="360" t="n"/>
      <c r="EG51" s="6" t="n"/>
      <c r="EH51" s="61" t="n"/>
      <c r="EI51" s="61" t="n"/>
      <c r="EK51" s="61" t="n"/>
      <c r="EL51" s="61" t="n"/>
      <c r="EM51" s="61" t="n"/>
      <c r="EP51" s="61" t="n"/>
      <c r="EQ51" s="61" t="n"/>
      <c r="ET51" s="289" t="n"/>
      <c r="FB51" s="289" t="n"/>
      <c r="FN51" s="6" t="n"/>
    </row>
    <row r="52">
      <c r="A52" s="146" t="inlineStr">
        <is>
          <t>ITENS</t>
        </is>
      </c>
      <c r="B52" s="146" t="n"/>
      <c r="C52" s="146" t="inlineStr">
        <is>
          <t>ESTOQUE</t>
        </is>
      </c>
      <c r="E52" s="53" t="n"/>
      <c r="F52" s="53" t="n"/>
      <c r="G52" s="53" t="n"/>
      <c r="H52" s="53" t="n"/>
      <c r="I52" s="53" t="n"/>
      <c r="J52" s="53" t="n"/>
      <c r="K52" s="53" t="n"/>
      <c r="L52" s="53" t="n"/>
      <c r="M52" s="53" t="n"/>
      <c r="N52" s="53" t="n"/>
      <c r="O52" s="53" t="n"/>
      <c r="P52" s="53" t="n"/>
      <c r="Q52" s="53" t="n"/>
      <c r="R52" s="53" t="n"/>
      <c r="S52" s="53" t="n"/>
      <c r="T52" s="53" t="n"/>
      <c r="U52" s="53" t="n"/>
      <c r="V52" s="53" t="n"/>
      <c r="W52" s="53" t="n"/>
      <c r="X52" s="53" t="n"/>
      <c r="Y52" s="53" t="n"/>
      <c r="Z52" s="53" t="n"/>
      <c r="AA52" s="53" t="n"/>
      <c r="AB52" s="53" t="n"/>
      <c r="AC52" s="53" t="n"/>
      <c r="AD52" s="53" t="n"/>
      <c r="AE52" s="53" t="n"/>
      <c r="AF52" s="53" t="n"/>
      <c r="AG52" s="53" t="n"/>
      <c r="AH52" s="53" t="n"/>
      <c r="AI52" s="53" t="n"/>
      <c r="AJ52" s="53" t="n"/>
      <c r="AK52" s="53" t="n"/>
      <c r="AL52" s="53" t="n"/>
      <c r="AM52" s="53" t="n"/>
      <c r="AN52" s="53" t="n"/>
      <c r="AO52" s="53" t="n"/>
      <c r="AP52" s="53" t="n"/>
      <c r="AQ52" s="53" t="n"/>
      <c r="AR52" s="53" t="n"/>
      <c r="AS52" s="53" t="n"/>
      <c r="AT52" s="53" t="n"/>
      <c r="AU52" s="53" t="n"/>
      <c r="AV52" s="53" t="n"/>
      <c r="AW52" s="53" t="n"/>
      <c r="AX52" s="53" t="n"/>
      <c r="AY52" s="53" t="n"/>
      <c r="AZ52" s="53" t="n"/>
      <c r="BA52" s="53" t="n"/>
      <c r="BB52" s="53" t="n"/>
      <c r="BC52" s="53" t="n"/>
      <c r="BD52" s="53" t="n"/>
      <c r="BE52" s="53" t="n"/>
      <c r="BF52" s="112" t="n"/>
      <c r="BG52" s="112" t="n"/>
      <c r="BH52" s="112" t="n"/>
      <c r="BI52" s="112" t="n"/>
      <c r="BJ52" s="112" t="n"/>
      <c r="BK52" s="112" t="n"/>
      <c r="BL52" s="112" t="n"/>
      <c r="BM52" s="112" t="n"/>
      <c r="BN52" s="112" t="n"/>
      <c r="BO52" s="112" t="n"/>
      <c r="BP52" s="112" t="n"/>
      <c r="BQ52" s="112" t="n"/>
      <c r="BR52" s="112" t="n"/>
      <c r="BS52" s="112" t="n"/>
      <c r="BT52" s="112" t="n"/>
      <c r="BU52" s="112" t="n"/>
      <c r="BV52" s="112" t="n"/>
      <c r="BW52" s="112" t="n"/>
      <c r="BX52" s="112" t="n"/>
      <c r="BY52" s="112" t="n"/>
      <c r="BZ52" s="112" t="n"/>
      <c r="CA52" s="112" t="n"/>
      <c r="CB52" s="53" t="n"/>
      <c r="CC52" s="53" t="n"/>
      <c r="CP52" s="6" t="n"/>
      <c r="CQ52" s="6" t="n"/>
      <c r="CT52" s="57" t="n"/>
      <c r="CU52" s="6" t="n"/>
      <c r="CV52" s="57" t="n"/>
      <c r="CW52" s="57" t="n"/>
      <c r="CX52" s="57" t="n"/>
      <c r="CY52" s="57" t="n"/>
      <c r="CZ52" s="57" t="n"/>
      <c r="DA52" s="57" t="n"/>
      <c r="DB52" s="57" t="n"/>
      <c r="DC52" s="57" t="n"/>
      <c r="DD52" s="57" t="n"/>
      <c r="DE52" s="57" t="n"/>
      <c r="DF52" s="57" t="n"/>
      <c r="DG52" s="57" t="n"/>
      <c r="DH52" s="57" t="n"/>
      <c r="DI52" s="53" t="n"/>
      <c r="DJ52" s="57" t="n"/>
      <c r="DK52" s="57" t="n"/>
      <c r="DL52" s="53" t="n"/>
      <c r="DM52" s="57" t="n"/>
      <c r="DN52" s="57" t="n"/>
      <c r="DO52" s="57" t="n"/>
      <c r="DP52" s="57" t="n"/>
      <c r="DQ52" s="57" t="n"/>
      <c r="DR52" s="57" t="n"/>
      <c r="DS52" s="57" t="n"/>
      <c r="DT52" s="57" t="n"/>
      <c r="DU52" s="57" t="n"/>
      <c r="DV52" s="57" t="n"/>
      <c r="DW52" s="61" t="n"/>
      <c r="DX52" s="61" t="n"/>
      <c r="DY52" s="61" t="n"/>
      <c r="DZ52" s="61" t="n"/>
      <c r="EA52" s="61" t="n"/>
      <c r="EB52" s="360" t="n"/>
      <c r="EC52" s="61" t="n"/>
      <c r="ED52" s="61" t="n"/>
      <c r="EE52" s="61" t="n"/>
      <c r="EF52" s="360" t="n"/>
      <c r="EG52" s="360" t="n"/>
      <c r="EH52" s="61" t="n"/>
      <c r="EI52" s="61" t="n"/>
      <c r="EK52" s="61" t="n"/>
      <c r="EL52" s="61" t="n"/>
      <c r="EM52" s="61" t="n"/>
      <c r="EP52" s="61" t="n"/>
      <c r="EQ52" s="61" t="n"/>
      <c r="ET52" s="289" t="n"/>
      <c r="FB52" s="289" t="n"/>
      <c r="FN52" s="6" t="n"/>
    </row>
    <row r="53">
      <c r="A53" s="361" t="inlineStr">
        <is>
          <t>OVERBAG P PAIS/22</t>
        </is>
      </c>
      <c r="B53" s="178" t="n"/>
      <c r="C53" s="115" t="n">
        <v>100</v>
      </c>
      <c r="BF53" s="53" t="n"/>
      <c r="BG53" s="53" t="n"/>
      <c r="BH53" s="53" t="n"/>
      <c r="BI53" s="53" t="n"/>
      <c r="BJ53" s="53" t="n"/>
      <c r="BK53" s="53" t="n"/>
      <c r="BL53" s="53" t="n"/>
      <c r="BM53" s="53" t="n"/>
      <c r="BN53" s="53" t="n"/>
      <c r="BO53" s="53" t="n"/>
      <c r="BP53" s="53" t="n"/>
      <c r="BQ53" s="53" t="n"/>
      <c r="BR53" s="53" t="n"/>
      <c r="BS53" s="53" t="n"/>
      <c r="BT53" s="53" t="n"/>
      <c r="BU53" s="53" t="n"/>
      <c r="BV53" s="53" t="n"/>
      <c r="BW53" s="53" t="n"/>
      <c r="BX53" s="53" t="n"/>
      <c r="BY53" s="53" t="n"/>
      <c r="BZ53" s="53" t="n"/>
      <c r="CA53" s="53" t="n"/>
      <c r="CH53" s="6" t="n"/>
      <c r="CI53" s="6" t="n"/>
      <c r="CJ53" s="6" t="n"/>
      <c r="CK53" s="6" t="n"/>
      <c r="CM53" s="6" t="n"/>
      <c r="CN53" s="6" t="n"/>
      <c r="CO53" s="6" t="n"/>
      <c r="CP53" s="6" t="n"/>
      <c r="CQ53" s="6" t="n"/>
      <c r="CR53" s="6" t="n"/>
      <c r="CS53" s="6" t="n"/>
      <c r="CT53" s="61" t="n"/>
      <c r="CU53" s="6" t="n"/>
      <c r="CV53" s="61" t="n"/>
      <c r="CW53" s="61" t="n"/>
      <c r="CX53" s="61" t="n"/>
      <c r="CY53" s="61" t="n"/>
      <c r="CZ53" s="61" t="n"/>
      <c r="DA53" s="61" t="n"/>
      <c r="DB53" s="61" t="n"/>
      <c r="DC53" s="61" t="n"/>
      <c r="DD53" s="61" t="n"/>
      <c r="DE53" s="61" t="n"/>
      <c r="DF53" s="61" t="n"/>
      <c r="DG53" s="61" t="n"/>
      <c r="DH53" s="61" t="n"/>
      <c r="DI53" s="53" t="n"/>
      <c r="DJ53" s="61" t="n"/>
      <c r="DK53" s="61" t="n"/>
      <c r="DL53" s="53" t="n"/>
      <c r="DM53" s="61" t="n"/>
      <c r="DN53" s="61" t="n"/>
      <c r="DO53" s="61" t="n"/>
      <c r="DP53" s="61" t="n"/>
      <c r="DQ53" s="61" t="n"/>
      <c r="DR53" s="61" t="n"/>
      <c r="DS53" s="61" t="n"/>
      <c r="DT53" s="61" t="n"/>
      <c r="DU53" s="61" t="n"/>
      <c r="DV53" s="61" t="n"/>
      <c r="DW53" s="61" t="n"/>
      <c r="DX53" s="61" t="n"/>
      <c r="DY53" s="61" t="n"/>
      <c r="DZ53" s="61" t="n"/>
      <c r="EB53" s="53" t="n"/>
      <c r="EC53" s="61" t="n"/>
      <c r="ED53" s="61" t="n"/>
      <c r="EE53" s="61" t="n"/>
      <c r="EF53" s="53" t="n"/>
      <c r="EG53" s="360" t="n"/>
      <c r="ET53" s="289" t="n"/>
      <c r="FB53" s="289" t="n"/>
      <c r="FN53" s="58" t="n"/>
      <c r="GF53" s="49" t="n"/>
      <c r="GL53" s="49" t="n"/>
      <c r="GU53" s="49" t="n"/>
      <c r="HB53" s="57" t="n"/>
      <c r="HM53" s="57" t="n"/>
      <c r="HN53" s="166" t="n"/>
      <c r="HO53" s="60" t="n"/>
      <c r="HP53" s="167" t="n"/>
      <c r="HQ53" s="167" t="n"/>
      <c r="HR53" s="167" t="n"/>
      <c r="HS53" s="167" t="n"/>
      <c r="HT53" s="167" t="n"/>
      <c r="HU53" s="167" t="n"/>
      <c r="HV53" s="167" t="n"/>
      <c r="HW53" s="167" t="n"/>
      <c r="HX53" s="168" t="n"/>
      <c r="HY53" s="167" t="n"/>
      <c r="HZ53" s="167" t="n"/>
      <c r="IA53" s="167" t="n"/>
      <c r="IB53" s="167" t="n"/>
      <c r="IC53" s="167" t="n"/>
      <c r="ID53" s="167" t="n"/>
      <c r="IE53" s="167" t="n"/>
      <c r="IF53" s="167" t="n"/>
      <c r="IG53" s="167" t="n"/>
      <c r="IH53" s="167" t="n"/>
      <c r="II53" s="167" t="n"/>
      <c r="IJ53" s="167" t="n"/>
      <c r="IK53" s="167" t="n"/>
      <c r="IL53" s="167" t="n"/>
      <c r="IM53" s="167" t="n"/>
      <c r="IN53" s="167" t="n"/>
      <c r="IO53" s="167" t="n"/>
      <c r="IP53" s="167" t="n"/>
      <c r="IQ53" s="167" t="n"/>
      <c r="IR53" s="167" t="n"/>
      <c r="IS53" s="167" t="n"/>
      <c r="IT53" s="167" t="n"/>
      <c r="IU53" s="167" t="n"/>
      <c r="IV53" s="167" t="n"/>
      <c r="IW53" s="167" t="n"/>
      <c r="IX53" s="167" t="n"/>
      <c r="IY53" s="167" t="n"/>
      <c r="IZ53" s="167" t="n"/>
      <c r="JA53" s="167" t="n"/>
      <c r="JB53" s="167" t="n"/>
      <c r="JC53" s="167" t="n"/>
      <c r="JD53" s="167" t="n"/>
      <c r="JE53" s="167" t="n"/>
      <c r="JF53" s="167" t="n"/>
      <c r="JG53" s="167" t="n"/>
      <c r="JH53" s="167" t="n"/>
      <c r="JI53" s="167" t="n"/>
      <c r="JJ53" s="167" t="n"/>
      <c r="JK53" s="167" t="n"/>
      <c r="JL53" s="167" t="n"/>
      <c r="JM53" s="167" t="n"/>
      <c r="JN53" s="167" t="n"/>
      <c r="JO53" s="167" t="n"/>
      <c r="JP53" s="167" t="n"/>
      <c r="JQ53" s="167" t="n"/>
      <c r="JR53" s="167" t="n"/>
      <c r="JS53" s="167" t="n"/>
      <c r="JT53" s="167" t="n"/>
      <c r="JU53" s="167" t="n"/>
      <c r="JV53" s="167" t="n"/>
      <c r="JW53" s="167" t="n"/>
      <c r="JX53" s="167" t="n"/>
      <c r="JY53" s="167" t="n"/>
      <c r="JZ53" s="167" t="n"/>
      <c r="KA53" s="167" t="n"/>
      <c r="KB53" s="167" t="n"/>
      <c r="KC53" s="167" t="n"/>
      <c r="KD53" s="167" t="n"/>
      <c r="KE53" s="167" t="n"/>
      <c r="KF53" s="167" t="n"/>
      <c r="KG53" s="167" t="n"/>
      <c r="KH53" s="167" t="n"/>
      <c r="KI53" s="167" t="n"/>
      <c r="KJ53" s="167" t="n"/>
      <c r="KK53" s="167" t="n"/>
      <c r="KL53" s="167" t="n"/>
      <c r="KM53" s="167" t="n"/>
      <c r="KN53" s="167" t="n"/>
      <c r="KO53" s="167" t="n"/>
      <c r="KP53" s="167" t="n"/>
      <c r="KQ53" s="167" t="n"/>
    </row>
    <row r="54">
      <c r="A54" s="361" t="inlineStr">
        <is>
          <t>OVERBAG M PAIS/22</t>
        </is>
      </c>
      <c r="B54" s="178" t="n"/>
      <c r="C54" s="115" t="n">
        <v>5</v>
      </c>
      <c r="CP54" s="6" t="n"/>
      <c r="CQ54" s="6" t="n"/>
      <c r="CT54" s="61" t="n"/>
      <c r="CU54" s="6" t="n"/>
      <c r="CV54" s="61" t="n"/>
      <c r="CW54" s="61" t="n"/>
      <c r="CX54" s="61" t="n"/>
      <c r="CY54" s="61" t="n"/>
      <c r="CZ54" s="61" t="n"/>
      <c r="DA54" s="61" t="n"/>
      <c r="DB54" s="61" t="n"/>
      <c r="DC54" s="61" t="n"/>
      <c r="DD54" s="61" t="n"/>
      <c r="DE54" s="61" t="n"/>
      <c r="DF54" s="61" t="n"/>
      <c r="DG54" s="61" t="n"/>
      <c r="DH54" s="61" t="n"/>
      <c r="DI54" s="53" t="n"/>
      <c r="DJ54" s="61" t="n"/>
      <c r="DK54" s="61" t="n"/>
      <c r="DL54" s="53" t="n"/>
      <c r="DM54" s="61" t="n"/>
      <c r="DN54" s="61" t="n"/>
      <c r="DO54" s="61" t="n"/>
      <c r="DP54" s="61" t="n"/>
      <c r="DQ54" s="61" t="n"/>
      <c r="DR54" s="61" t="n"/>
      <c r="DS54" s="61" t="n"/>
      <c r="DT54" s="61" t="n"/>
      <c r="DU54" s="61" t="n"/>
      <c r="DV54" s="61" t="n"/>
      <c r="EB54" s="53" t="n"/>
      <c r="EF54" s="53" t="n"/>
      <c r="EG54" s="53" t="n"/>
      <c r="EJ54" s="51" t="n"/>
      <c r="ET54" s="289" t="n"/>
      <c r="EY54" s="57" t="n"/>
      <c r="FB54" s="289" t="n"/>
      <c r="FN54" s="58" t="n"/>
      <c r="GF54" s="49" t="n"/>
      <c r="GL54" s="49" t="n"/>
      <c r="GU54" s="49" t="n"/>
      <c r="HB54" s="61" t="n"/>
      <c r="HM54" s="57" t="n"/>
      <c r="HN54" s="166" t="n"/>
      <c r="HO54" s="60" t="n"/>
      <c r="HP54" s="167" t="n"/>
      <c r="HQ54" s="167" t="n"/>
      <c r="HR54" s="167" t="n"/>
      <c r="HS54" s="167" t="n"/>
      <c r="HT54" s="167" t="n"/>
      <c r="HU54" s="167" t="n"/>
      <c r="HV54" s="167" t="n"/>
      <c r="HW54" s="167" t="n"/>
      <c r="HX54" s="168" t="n"/>
      <c r="HY54" s="167" t="n"/>
      <c r="HZ54" s="167" t="n"/>
      <c r="IA54" s="167" t="n"/>
      <c r="IB54" s="167" t="n"/>
      <c r="IC54" s="167" t="n"/>
      <c r="ID54" s="167" t="n"/>
      <c r="IE54" s="167" t="n"/>
      <c r="IF54" s="167" t="n"/>
      <c r="IG54" s="167" t="n"/>
      <c r="IH54" s="167" t="n"/>
      <c r="II54" s="167" t="n"/>
      <c r="IJ54" s="167" t="n"/>
      <c r="IK54" s="167" t="n"/>
      <c r="IL54" s="167" t="n"/>
      <c r="IM54" s="167" t="n"/>
      <c r="IN54" s="167" t="n"/>
      <c r="IO54" s="167" t="n"/>
      <c r="IP54" s="167" t="n"/>
      <c r="IQ54" s="167" t="n"/>
      <c r="IR54" s="167" t="n"/>
      <c r="IS54" s="167" t="n"/>
      <c r="IT54" s="167" t="n"/>
      <c r="IU54" s="167" t="n"/>
      <c r="IV54" s="167" t="n"/>
      <c r="IW54" s="167" t="n"/>
      <c r="IX54" s="167" t="n"/>
      <c r="IY54" s="167" t="n"/>
      <c r="IZ54" s="167" t="n"/>
      <c r="JA54" s="167" t="n"/>
      <c r="JB54" s="167" t="n"/>
      <c r="JC54" s="167" t="n"/>
      <c r="JD54" s="167" t="n"/>
      <c r="JE54" s="167" t="n"/>
      <c r="JF54" s="167" t="n"/>
      <c r="JG54" s="167" t="n"/>
      <c r="JH54" s="167" t="n"/>
      <c r="JI54" s="167" t="n"/>
      <c r="JJ54" s="167" t="n"/>
      <c r="JK54" s="167" t="n"/>
      <c r="JL54" s="167" t="n"/>
      <c r="JM54" s="167" t="n"/>
      <c r="JN54" s="167" t="n"/>
      <c r="JO54" s="167" t="n"/>
      <c r="JP54" s="167" t="n"/>
      <c r="JQ54" s="167" t="n"/>
      <c r="JR54" s="167" t="n"/>
      <c r="JS54" s="167" t="n"/>
      <c r="JT54" s="167" t="n"/>
      <c r="JU54" s="167" t="n"/>
      <c r="JV54" s="167" t="n"/>
      <c r="JW54" s="167" t="n"/>
      <c r="JX54" s="167" t="n"/>
      <c r="JY54" s="167" t="n"/>
      <c r="JZ54" s="167" t="n"/>
      <c r="KA54" s="167" t="n"/>
      <c r="KB54" s="167" t="n"/>
      <c r="KC54" s="167" t="n"/>
      <c r="KD54" s="167" t="n"/>
      <c r="KE54" s="167" t="n"/>
      <c r="KF54" s="167" t="n"/>
      <c r="KG54" s="167" t="n"/>
      <c r="KH54" s="167" t="n"/>
      <c r="KI54" s="167" t="n"/>
      <c r="KJ54" s="167" t="n"/>
      <c r="KK54" s="167" t="n"/>
      <c r="KL54" s="167" t="n"/>
      <c r="KM54" s="167" t="n"/>
      <c r="KN54" s="167" t="n"/>
      <c r="KO54" s="167" t="n"/>
      <c r="KP54" s="167" t="n"/>
      <c r="KQ54" s="167" t="n"/>
    </row>
    <row r="55">
      <c r="A55" s="362" t="n"/>
      <c r="B55" s="362" t="n"/>
      <c r="C55" s="362" t="n"/>
      <c r="DI55" s="53" t="n"/>
      <c r="DL55" s="53" t="n"/>
      <c r="EB55" s="53" t="n"/>
      <c r="EF55" s="53" t="n"/>
      <c r="EG55" s="53" t="n"/>
      <c r="EJ55" s="53" t="n"/>
      <c r="EN55" s="57" t="n"/>
      <c r="EO55" s="57" t="n"/>
      <c r="ER55" s="57" t="n"/>
      <c r="ES55" s="57" t="n"/>
      <c r="ET55" s="289" t="n"/>
      <c r="EU55" s="57" t="n"/>
      <c r="EV55" s="57" t="n"/>
      <c r="EW55" s="57" t="n"/>
      <c r="EX55" s="57" t="n"/>
      <c r="EY55" s="61" t="n"/>
      <c r="EZ55" s="57" t="n"/>
      <c r="FA55" s="57" t="n"/>
      <c r="FB55" s="289" t="n"/>
      <c r="FC55" s="57" t="n"/>
      <c r="FD55" s="57" t="n"/>
      <c r="FE55" s="57" t="n"/>
      <c r="FF55" s="57" t="n"/>
      <c r="FG55" s="57" t="n"/>
      <c r="FH55" s="57" t="n"/>
      <c r="FI55" s="57" t="n"/>
      <c r="FJ55" s="57" t="n"/>
      <c r="FK55" s="57" t="n"/>
      <c r="FL55" s="57" t="n"/>
      <c r="FM55" s="57" t="n"/>
      <c r="GF55" s="49" t="n"/>
      <c r="GL55" s="49" t="n"/>
      <c r="GU55" s="49" t="n"/>
      <c r="HB55" s="61" t="n"/>
      <c r="HM55" s="57" t="n"/>
      <c r="HN55" s="166" t="n"/>
      <c r="HO55" s="60" t="n"/>
      <c r="HP55" s="167" t="n"/>
      <c r="HQ55" s="167" t="n"/>
      <c r="HR55" s="167" t="n"/>
      <c r="HS55" s="167" t="n"/>
      <c r="HT55" s="167" t="n"/>
      <c r="HU55" s="167" t="n"/>
      <c r="HV55" s="167" t="n"/>
      <c r="HW55" s="167" t="n"/>
      <c r="HX55" s="168" t="n"/>
      <c r="HY55" s="167" t="n"/>
      <c r="HZ55" s="167" t="n"/>
      <c r="IA55" s="167" t="n"/>
      <c r="IB55" s="167" t="n"/>
      <c r="IC55" s="167" t="n"/>
      <c r="ID55" s="167" t="n"/>
      <c r="IE55" s="167" t="n"/>
      <c r="IF55" s="167" t="n"/>
      <c r="IG55" s="167" t="n"/>
      <c r="IH55" s="167" t="n"/>
      <c r="II55" s="167" t="n"/>
      <c r="IJ55" s="167" t="n"/>
      <c r="IK55" s="167" t="n"/>
      <c r="IL55" s="167" t="n"/>
      <c r="IM55" s="167" t="n"/>
      <c r="IN55" s="167" t="n"/>
      <c r="IO55" s="167" t="n"/>
      <c r="IP55" s="167" t="n"/>
      <c r="IQ55" s="167" t="n"/>
      <c r="IR55" s="167" t="n"/>
      <c r="IS55" s="167" t="n"/>
      <c r="IT55" s="167" t="n"/>
      <c r="IU55" s="167" t="n"/>
      <c r="IV55" s="167" t="n"/>
      <c r="IW55" s="167" t="n"/>
      <c r="IX55" s="167" t="n"/>
      <c r="IY55" s="167" t="n"/>
      <c r="IZ55" s="167" t="n"/>
      <c r="JA55" s="167" t="n"/>
      <c r="JB55" s="167" t="n"/>
      <c r="JC55" s="167" t="n"/>
      <c r="JD55" s="167" t="n"/>
      <c r="JE55" s="167" t="n"/>
      <c r="JF55" s="167" t="n"/>
      <c r="JG55" s="167" t="n"/>
      <c r="JH55" s="167" t="n"/>
      <c r="JI55" s="167" t="n"/>
      <c r="JJ55" s="167" t="n"/>
      <c r="JK55" s="167" t="n"/>
      <c r="JL55" s="167" t="n"/>
      <c r="JM55" s="167" t="n"/>
      <c r="JN55" s="167" t="n"/>
      <c r="JO55" s="167" t="n"/>
      <c r="JP55" s="167" t="n"/>
      <c r="JQ55" s="167" t="n"/>
      <c r="JR55" s="167" t="n"/>
      <c r="JS55" s="167" t="n"/>
      <c r="JT55" s="167" t="n"/>
      <c r="JU55" s="167" t="n"/>
      <c r="JV55" s="167" t="n"/>
      <c r="JW55" s="167" t="n"/>
      <c r="JX55" s="167" t="n"/>
      <c r="JY55" s="167" t="n"/>
      <c r="JZ55" s="167" t="n"/>
      <c r="KA55" s="167" t="n"/>
      <c r="KB55" s="167" t="n"/>
      <c r="KC55" s="167" t="n"/>
      <c r="KD55" s="167" t="n"/>
      <c r="KE55" s="167" t="n"/>
      <c r="KF55" s="167" t="n"/>
      <c r="KG55" s="167" t="n"/>
      <c r="KH55" s="167" t="n"/>
      <c r="KI55" s="167" t="n"/>
      <c r="KJ55" s="167" t="n"/>
      <c r="KK55" s="167" t="n"/>
      <c r="KL55" s="167" t="n"/>
      <c r="KM55" s="167" t="n"/>
      <c r="KN55" s="167" t="n"/>
      <c r="KO55" s="167" t="n"/>
      <c r="KP55" s="167" t="n"/>
      <c r="KQ55" s="167" t="n"/>
    </row>
    <row r="56">
      <c r="A56" s="215" t="inlineStr">
        <is>
          <t>TAG PAIS/24</t>
        </is>
      </c>
      <c r="B56" s="178" t="n"/>
      <c r="C56" s="115" t="n">
        <v>300</v>
      </c>
      <c r="CP56" s="6" t="n"/>
      <c r="CQ56" s="6" t="n"/>
      <c r="CU56" s="6" t="n"/>
      <c r="DI56" s="53" t="n"/>
      <c r="DL56" s="53" t="n"/>
      <c r="EB56" s="53" t="n"/>
      <c r="EF56" s="53" t="n"/>
      <c r="EG56" s="53" t="n"/>
      <c r="EJ56" s="53" t="n"/>
      <c r="EN56" s="61" t="n"/>
      <c r="EO56" s="61" t="n"/>
      <c r="ER56" s="61" t="n"/>
      <c r="ES56" s="61" t="n"/>
      <c r="ET56" s="289" t="n"/>
      <c r="EU56" s="61" t="n"/>
      <c r="EV56" s="61" t="n"/>
      <c r="EW56" s="61" t="n"/>
      <c r="EX56" s="61" t="n"/>
      <c r="EZ56" s="61" t="n"/>
      <c r="FA56" s="61" t="n"/>
      <c r="FB56" s="289" t="n"/>
      <c r="FC56" s="61" t="n"/>
      <c r="FD56" s="61" t="n"/>
      <c r="FE56" s="61" t="n"/>
      <c r="FF56" s="61" t="n"/>
      <c r="FG56" s="61" t="n"/>
      <c r="FH56" s="61" t="n"/>
      <c r="FI56" s="61" t="n"/>
      <c r="FJ56" s="61" t="n"/>
      <c r="FK56" s="61" t="n"/>
      <c r="FL56" s="61" t="n"/>
      <c r="FM56" s="61" t="n"/>
      <c r="GF56" s="49" t="n"/>
      <c r="GL56" s="49" t="n"/>
      <c r="GU56" s="49" t="n"/>
      <c r="HB56" s="61" t="n"/>
      <c r="HM56" s="57" t="n"/>
      <c r="HN56" s="166" t="n"/>
      <c r="HO56" s="60" t="n"/>
      <c r="HP56" s="167" t="n"/>
      <c r="HQ56" s="167" t="n"/>
      <c r="HR56" s="167" t="n"/>
      <c r="HS56" s="167" t="n"/>
      <c r="HT56" s="167" t="n"/>
      <c r="HU56" s="167" t="n"/>
      <c r="HV56" s="167" t="n"/>
      <c r="HW56" s="167" t="n"/>
      <c r="HX56" s="168" t="n"/>
      <c r="HY56" s="167" t="n"/>
      <c r="HZ56" s="167" t="n"/>
      <c r="IA56" s="167" t="n"/>
      <c r="IB56" s="167" t="n"/>
      <c r="IC56" s="167" t="n"/>
      <c r="ID56" s="167" t="n"/>
      <c r="IE56" s="167" t="n"/>
      <c r="IF56" s="167" t="n"/>
      <c r="IG56" s="167" t="n"/>
      <c r="IH56" s="167" t="n"/>
      <c r="II56" s="167" t="n"/>
      <c r="IJ56" s="167" t="n"/>
      <c r="IK56" s="167" t="n"/>
      <c r="IL56" s="167" t="n"/>
      <c r="IM56" s="167" t="n"/>
      <c r="IN56" s="167" t="n"/>
      <c r="IO56" s="167" t="n"/>
      <c r="IP56" s="167" t="n"/>
      <c r="IQ56" s="167" t="n"/>
      <c r="IR56" s="167" t="n"/>
      <c r="IS56" s="167" t="n"/>
      <c r="IT56" s="167" t="n"/>
      <c r="IU56" s="167" t="n"/>
      <c r="IV56" s="167" t="n"/>
      <c r="IW56" s="167" t="n"/>
      <c r="IX56" s="167" t="n"/>
      <c r="IY56" s="167" t="n"/>
      <c r="IZ56" s="167" t="n"/>
      <c r="JA56" s="167" t="n"/>
      <c r="JB56" s="167" t="n"/>
      <c r="JC56" s="167" t="n"/>
      <c r="JD56" s="167" t="n"/>
      <c r="JE56" s="167" t="n"/>
      <c r="JF56" s="167" t="n"/>
      <c r="JG56" s="167" t="n"/>
      <c r="JH56" s="167" t="n"/>
      <c r="JI56" s="167" t="n"/>
      <c r="JJ56" s="167" t="n"/>
      <c r="JK56" s="167" t="n"/>
      <c r="JL56" s="167" t="n"/>
      <c r="JM56" s="167" t="n"/>
      <c r="JN56" s="167" t="n"/>
      <c r="JO56" s="167" t="n"/>
      <c r="JP56" s="167" t="n"/>
      <c r="JQ56" s="167" t="n"/>
      <c r="JR56" s="167" t="n"/>
      <c r="JS56" s="167" t="n"/>
      <c r="JT56" s="167" t="n"/>
      <c r="JU56" s="167" t="n"/>
      <c r="JV56" s="167" t="n"/>
      <c r="JW56" s="167" t="n"/>
      <c r="JX56" s="167" t="n"/>
      <c r="JY56" s="167" t="n"/>
      <c r="JZ56" s="167" t="n"/>
      <c r="KA56" s="167" t="n"/>
      <c r="KB56" s="167" t="n"/>
      <c r="KC56" s="167" t="n"/>
      <c r="KD56" s="167" t="n"/>
      <c r="KE56" s="167" t="n"/>
      <c r="KF56" s="167" t="n"/>
      <c r="KG56" s="167" t="n"/>
      <c r="KH56" s="167" t="n"/>
      <c r="KI56" s="167" t="n"/>
      <c r="KJ56" s="167" t="n"/>
      <c r="KK56" s="167" t="n"/>
      <c r="KL56" s="167" t="n"/>
      <c r="KM56" s="167" t="n"/>
      <c r="KN56" s="167" t="n"/>
      <c r="KO56" s="167" t="n"/>
      <c r="KP56" s="167" t="n"/>
      <c r="KQ56" s="167" t="n"/>
    </row>
    <row r="57" customFormat="1" s="49">
      <c r="E57" s="53" t="n"/>
      <c r="F57" s="53" t="n"/>
      <c r="G57" s="53" t="n"/>
      <c r="H57" s="53" t="n"/>
      <c r="I57" s="53" t="n"/>
      <c r="J57" s="53" t="n"/>
      <c r="K57" s="53" t="n"/>
      <c r="L57" s="53" t="n"/>
      <c r="M57" s="53" t="n"/>
      <c r="N57" s="53" t="n"/>
      <c r="O57" s="53" t="n"/>
      <c r="P57" s="53" t="n"/>
      <c r="Q57" s="53" t="n"/>
      <c r="R57" s="53" t="n"/>
      <c r="S57" s="53" t="n"/>
      <c r="T57" s="53" t="n"/>
      <c r="U57" s="53" t="n"/>
      <c r="V57" s="53" t="n"/>
      <c r="W57" s="53" t="n"/>
      <c r="X57" s="53" t="n"/>
      <c r="Y57" s="53" t="n"/>
      <c r="Z57" s="53" t="n"/>
      <c r="AA57" s="53" t="n"/>
      <c r="AB57" s="53" t="n"/>
      <c r="AC57" s="53" t="n"/>
      <c r="AD57" s="53" t="n"/>
      <c r="AE57" s="53" t="n"/>
      <c r="AF57" s="53" t="n"/>
      <c r="AG57" s="53" t="n"/>
      <c r="AH57" s="53" t="n"/>
      <c r="AI57" s="53" t="n"/>
      <c r="AJ57" s="53" t="n"/>
      <c r="AK57" s="53" t="n"/>
      <c r="AL57" s="53" t="n"/>
      <c r="AM57" s="53" t="n"/>
      <c r="AN57" s="53" t="n"/>
      <c r="AO57" s="53" t="n"/>
      <c r="AP57" s="53" t="n"/>
      <c r="AQ57" s="53" t="n"/>
      <c r="AR57" s="53" t="n"/>
      <c r="AS57" s="53" t="n"/>
      <c r="AT57" s="53" t="n"/>
      <c r="AU57" s="53" t="n"/>
      <c r="AV57" s="53" t="n"/>
      <c r="AW57" s="53" t="n"/>
      <c r="AX57" s="53" t="n"/>
      <c r="AY57" s="53" t="n"/>
      <c r="AZ57" s="53" t="n"/>
      <c r="BA57" s="53" t="n"/>
      <c r="BB57" s="53" t="n"/>
      <c r="BC57" s="53" t="n"/>
      <c r="BD57" s="53" t="n"/>
      <c r="BE57" s="53" t="n"/>
      <c r="CB57" s="6" t="n"/>
      <c r="CC57" s="53" t="n"/>
      <c r="CL57" s="51" t="n"/>
      <c r="DI57" s="6" t="n"/>
      <c r="DL57" s="6" t="n"/>
      <c r="EA57" s="6" t="n"/>
      <c r="EB57" s="53" t="n"/>
      <c r="EF57" s="53" t="n"/>
      <c r="EG57" s="53" t="n"/>
      <c r="EH57" s="6" t="n"/>
      <c r="EI57" s="6" t="n"/>
      <c r="EJ57" s="53" t="n"/>
      <c r="EK57" s="6" t="n"/>
      <c r="EL57" s="6" t="n"/>
      <c r="EM57" s="6" t="n"/>
      <c r="EO57" s="61" t="n"/>
      <c r="EP57" s="6" t="n"/>
      <c r="EQ57" s="6" t="n"/>
      <c r="ER57" s="61" t="n"/>
      <c r="ES57" s="61" t="n"/>
      <c r="ET57" s="289" t="n"/>
      <c r="EU57" s="61" t="n"/>
      <c r="EV57" s="61" t="n"/>
      <c r="EW57" s="61" t="n"/>
      <c r="EX57" s="61" t="n"/>
      <c r="EZ57" s="61" t="n"/>
      <c r="FA57" s="61" t="n"/>
      <c r="FB57" s="289" t="n"/>
      <c r="FC57" s="61" t="n"/>
      <c r="FD57" s="61" t="n"/>
      <c r="FE57" s="61" t="n"/>
      <c r="FF57" s="61" t="n"/>
      <c r="FG57" s="61" t="n"/>
      <c r="FH57" s="61" t="n"/>
      <c r="FI57" s="61" t="n"/>
      <c r="FJ57" s="61" t="n"/>
      <c r="FK57" s="61" t="n"/>
      <c r="FL57" s="61" t="n"/>
      <c r="FM57" s="61" t="n"/>
      <c r="FQ57" s="6" t="n"/>
      <c r="FR57" s="6" t="n"/>
      <c r="FS57" s="6" t="n"/>
      <c r="FT57" s="6" t="n"/>
      <c r="FU57" s="6" t="n"/>
      <c r="FV57" s="6" t="n"/>
      <c r="FW57" s="6" t="n"/>
      <c r="FX57" s="6" t="n"/>
      <c r="FY57" s="6" t="n"/>
      <c r="FZ57" s="6" t="n"/>
      <c r="GA57" s="6" t="n"/>
    </row>
    <row r="58">
      <c r="A58" s="699" t="inlineStr">
        <is>
          <t>FLACONETES</t>
        </is>
      </c>
      <c r="B58" s="658" t="n"/>
      <c r="C58" s="658" t="n"/>
      <c r="D58" s="670" t="n"/>
      <c r="F58" s="671" t="n">
        <v>45656</v>
      </c>
      <c r="G58" s="671" t="n">
        <v>45663</v>
      </c>
      <c r="H58" s="671" t="n">
        <v>45670</v>
      </c>
      <c r="I58" s="671" t="n">
        <v>45677</v>
      </c>
      <c r="J58" s="671" t="n">
        <v>45684</v>
      </c>
      <c r="K58" s="671" t="n">
        <v>45691</v>
      </c>
      <c r="L58" s="671" t="n">
        <v>45698</v>
      </c>
      <c r="M58" s="671" t="n">
        <v>45705</v>
      </c>
      <c r="N58" s="671" t="n">
        <v>45712</v>
      </c>
      <c r="O58" s="671" t="n">
        <v>45719</v>
      </c>
      <c r="P58" s="671" t="n">
        <v>45726</v>
      </c>
      <c r="Q58" s="671" t="n">
        <v>45733</v>
      </c>
      <c r="R58" s="671" t="n">
        <v>45740</v>
      </c>
      <c r="S58" s="671" t="n">
        <v>45747</v>
      </c>
      <c r="T58" s="671" t="n">
        <v>45754</v>
      </c>
      <c r="U58" s="671" t="n">
        <v>45761</v>
      </c>
      <c r="V58" s="671" t="n">
        <v>45768</v>
      </c>
      <c r="W58" s="671" t="n">
        <v>45775</v>
      </c>
      <c r="X58" s="671" t="n">
        <v>45782</v>
      </c>
      <c r="Y58" s="671" t="n">
        <v>45789</v>
      </c>
      <c r="Z58" s="671" t="n">
        <v>45796</v>
      </c>
      <c r="AA58" s="671" t="n">
        <v>45803</v>
      </c>
      <c r="AB58" s="671" t="n">
        <v>45810</v>
      </c>
      <c r="AC58" s="671" t="n">
        <v>45817</v>
      </c>
      <c r="AD58" s="671" t="n">
        <v>45824</v>
      </c>
      <c r="AE58" s="671" t="n">
        <v>45831</v>
      </c>
      <c r="AF58" s="671" t="n">
        <v>45838</v>
      </c>
      <c r="AG58" s="671" t="n">
        <v>45845</v>
      </c>
      <c r="AH58" s="671" t="n">
        <v>45852</v>
      </c>
      <c r="AI58" s="671" t="n">
        <v>45859</v>
      </c>
      <c r="AJ58" s="671" t="n">
        <v>45866</v>
      </c>
      <c r="AK58" s="671" t="n">
        <v>45873</v>
      </c>
      <c r="AL58" s="671" t="n">
        <v>45880</v>
      </c>
      <c r="AM58" s="671" t="n">
        <v>45887</v>
      </c>
      <c r="AN58" s="671" t="n">
        <v>45894</v>
      </c>
      <c r="AO58" s="671" t="n">
        <v>45901</v>
      </c>
      <c r="AP58" s="671" t="n">
        <v>45908</v>
      </c>
      <c r="AQ58" s="671" t="n">
        <v>45915</v>
      </c>
      <c r="AR58" s="671" t="n">
        <v>45922</v>
      </c>
      <c r="AS58" s="671" t="n">
        <v>45929</v>
      </c>
      <c r="AT58" s="671" t="n">
        <v>45936</v>
      </c>
      <c r="AU58" s="671" t="n">
        <v>45943</v>
      </c>
      <c r="AV58" s="671" t="n">
        <v>45950</v>
      </c>
      <c r="AW58" s="671" t="n">
        <v>45957</v>
      </c>
      <c r="AX58" s="671" t="n">
        <v>45964</v>
      </c>
      <c r="AY58" s="671" t="n">
        <v>45971</v>
      </c>
      <c r="AZ58" s="671" t="n">
        <v>45978</v>
      </c>
      <c r="BA58" s="671" t="n">
        <v>45985</v>
      </c>
      <c r="BB58" s="671" t="n">
        <v>45992</v>
      </c>
      <c r="BC58" s="671" t="n">
        <v>45999</v>
      </c>
      <c r="BD58" s="671" t="n">
        <v>46006</v>
      </c>
      <c r="BE58" s="671" t="n">
        <v>46013</v>
      </c>
      <c r="BF58" s="671" t="n">
        <v>46020</v>
      </c>
      <c r="BG58" s="671" t="n">
        <v>46027</v>
      </c>
      <c r="BH58" s="671" t="n">
        <v>46034</v>
      </c>
      <c r="BI58" s="671" t="n">
        <v>46041</v>
      </c>
      <c r="BJ58" s="671" t="n">
        <v>46048</v>
      </c>
      <c r="BK58" s="671" t="n">
        <v>46055</v>
      </c>
      <c r="BL58" s="671" t="n">
        <v>46062</v>
      </c>
      <c r="BM58" s="671" t="n">
        <v>46069</v>
      </c>
      <c r="BN58" s="671" t="n">
        <v>46076</v>
      </c>
      <c r="BO58" s="671" t="n">
        <v>46083</v>
      </c>
      <c r="BP58" s="671" t="n">
        <v>46090</v>
      </c>
      <c r="BQ58" s="671" t="n">
        <v>46097</v>
      </c>
      <c r="BR58" s="671" t="n">
        <v>46104</v>
      </c>
      <c r="BS58" s="671" t="n">
        <v>46111</v>
      </c>
      <c r="BT58" s="671" t="n">
        <v>46118</v>
      </c>
      <c r="BU58" s="671" t="n">
        <v>46125</v>
      </c>
      <c r="BV58" s="671" t="n">
        <v>46132</v>
      </c>
      <c r="BW58" s="671" t="n">
        <v>46139</v>
      </c>
      <c r="BX58" s="671" t="n">
        <v>46146</v>
      </c>
      <c r="BY58" s="671" t="n">
        <v>46154</v>
      </c>
      <c r="BZ58" s="671" t="n">
        <v>46160</v>
      </c>
      <c r="CA58" s="671" t="n">
        <v>46160</v>
      </c>
      <c r="DI58" s="58" t="n"/>
      <c r="DL58" s="58" t="n"/>
      <c r="DW58" s="6" t="n"/>
      <c r="DX58" s="6" t="n"/>
      <c r="DY58" s="6" t="n"/>
      <c r="DZ58" s="6" t="n"/>
      <c r="EA58" s="6" t="n"/>
      <c r="EB58" s="53" t="n"/>
      <c r="EC58" s="6" t="n"/>
      <c r="ED58" s="6" t="n"/>
      <c r="EE58" s="6" t="n"/>
      <c r="EF58" s="53" t="n"/>
      <c r="EG58" s="53" t="n"/>
      <c r="EH58" s="6" t="n"/>
      <c r="EI58" s="6" t="n"/>
      <c r="EK58" s="6" t="n"/>
      <c r="EL58" s="6" t="n"/>
      <c r="EM58" s="6" t="n"/>
      <c r="EP58" s="6" t="n"/>
      <c r="EQ58" s="6" t="n"/>
      <c r="ET58" s="289" t="n"/>
      <c r="FB58" s="289" t="n"/>
    </row>
    <row r="59">
      <c r="A59" s="674" t="inlineStr">
        <is>
          <t>QUASAR DEEP BLUE</t>
        </is>
      </c>
      <c r="B59" s="658" t="n"/>
      <c r="C59" s="658" t="n"/>
      <c r="D59" s="670" t="n"/>
      <c r="P59" s="116" t="n"/>
      <c r="Q59" s="116" t="n"/>
      <c r="R59" s="116" t="n"/>
      <c r="S59" s="116" t="n">
        <v>0</v>
      </c>
      <c r="T59" s="116" t="n">
        <v>35</v>
      </c>
      <c r="U59" s="116" t="n">
        <v>35</v>
      </c>
      <c r="V59" s="116" t="n">
        <v>35</v>
      </c>
      <c r="W59" s="116" t="n">
        <v>35</v>
      </c>
      <c r="X59" s="116" t="n">
        <v>0</v>
      </c>
      <c r="Y59" s="116" t="n">
        <v>35</v>
      </c>
      <c r="Z59" s="116" t="n">
        <v>0</v>
      </c>
      <c r="AA59" s="116" t="n">
        <v>20</v>
      </c>
      <c r="AB59" s="116" t="n">
        <v>20</v>
      </c>
      <c r="AC59" s="116" t="n">
        <v>0</v>
      </c>
      <c r="AD59" s="116" t="n">
        <v>0</v>
      </c>
      <c r="AE59" s="116" t="n">
        <v>0</v>
      </c>
      <c r="AF59" s="116" t="n">
        <v>0</v>
      </c>
      <c r="AG59" s="116" t="n">
        <v>0</v>
      </c>
      <c r="AH59" s="116" t="n">
        <v>0</v>
      </c>
      <c r="AI59" s="116" t="n">
        <v>0</v>
      </c>
      <c r="AJ59" s="116" t="n">
        <v>0</v>
      </c>
      <c r="AK59" s="116" t="n">
        <v>0</v>
      </c>
      <c r="AL59" s="116" t="n">
        <v>0</v>
      </c>
      <c r="AM59" s="116" t="n">
        <v>0</v>
      </c>
      <c r="AN59" s="116" t="n">
        <v>0</v>
      </c>
      <c r="AO59" s="116" t="n">
        <v>0</v>
      </c>
      <c r="AP59" s="116" t="n">
        <v>0</v>
      </c>
      <c r="AQ59" s="116" t="n">
        <v>0</v>
      </c>
      <c r="AR59" s="116" t="n">
        <v>0</v>
      </c>
      <c r="AS59" s="116" t="n">
        <v>0</v>
      </c>
      <c r="AT59" s="116" t="n">
        <v>0</v>
      </c>
      <c r="AU59" s="116" t="n">
        <v>0</v>
      </c>
      <c r="AV59" s="116" t="n">
        <v>0</v>
      </c>
      <c r="AW59" s="116" t="n">
        <v>0</v>
      </c>
      <c r="AX59" s="116" t="n">
        <v>0</v>
      </c>
      <c r="AY59" s="116" t="n">
        <v>0</v>
      </c>
      <c r="AZ59" s="116" t="n">
        <v>0</v>
      </c>
      <c r="BA59" s="116" t="n">
        <v>0</v>
      </c>
      <c r="BB59" s="116" t="n">
        <v>0</v>
      </c>
      <c r="BC59" s="116" t="n">
        <v>0</v>
      </c>
      <c r="BD59" s="116" t="n">
        <v>0</v>
      </c>
      <c r="BE59" s="116" t="n">
        <v>0</v>
      </c>
      <c r="BF59" s="116" t="n">
        <v>0</v>
      </c>
      <c r="BG59" s="116" t="n">
        <v>0</v>
      </c>
      <c r="BH59" s="116" t="n">
        <v>0</v>
      </c>
      <c r="BI59" s="116" t="n">
        <v>0</v>
      </c>
      <c r="BJ59" s="116" t="n">
        <v>0</v>
      </c>
      <c r="BK59" s="116" t="n">
        <v>0</v>
      </c>
      <c r="BL59" s="116" t="n">
        <v>0</v>
      </c>
      <c r="BM59" s="116" t="n">
        <v>0</v>
      </c>
      <c r="BN59" s="116" t="n">
        <v>0</v>
      </c>
      <c r="BO59" s="116" t="n">
        <v>0</v>
      </c>
      <c r="BP59" s="116" t="n">
        <v>0</v>
      </c>
      <c r="BQ59" s="116" t="n">
        <v>0</v>
      </c>
      <c r="BR59" s="116" t="n">
        <v>0</v>
      </c>
      <c r="BS59" s="116" t="n">
        <v>0</v>
      </c>
      <c r="BT59" s="116" t="n">
        <v>0</v>
      </c>
      <c r="BU59" s="116" t="n">
        <v>0</v>
      </c>
      <c r="BV59" s="116" t="n">
        <v>0</v>
      </c>
      <c r="BW59" s="116" t="n">
        <v>0</v>
      </c>
      <c r="BX59" s="116" t="n">
        <v>0</v>
      </c>
      <c r="BY59" s="116" t="n">
        <v>0</v>
      </c>
      <c r="BZ59" s="116" t="n"/>
      <c r="CA59" s="116" t="n"/>
      <c r="CD59" s="6" t="n"/>
      <c r="CP59" s="57" t="n"/>
      <c r="CQ59" s="57" t="n"/>
      <c r="CT59" s="57" t="n"/>
      <c r="CU59" s="57" t="n"/>
      <c r="CV59" s="57" t="n"/>
      <c r="CW59" s="57" t="n"/>
      <c r="CX59" s="57" t="n"/>
      <c r="CY59" s="57" t="n"/>
      <c r="CZ59" s="57" t="n"/>
      <c r="DA59" s="57" t="n"/>
      <c r="DB59" s="57" t="n"/>
      <c r="DC59" s="57" t="n"/>
      <c r="DD59" s="57" t="n"/>
      <c r="DE59" s="57" t="n"/>
      <c r="DF59" s="57" t="n"/>
      <c r="DG59" s="57" t="n"/>
      <c r="DH59" s="57" t="n"/>
      <c r="DJ59" s="57" t="n"/>
      <c r="DK59" s="57" t="n"/>
      <c r="DM59" s="57" t="n"/>
      <c r="DN59" s="57" t="n"/>
      <c r="DO59" s="57" t="n"/>
      <c r="DP59" s="57" t="n"/>
      <c r="DQ59" s="57" t="n"/>
      <c r="DR59" s="57" t="n"/>
      <c r="DS59" s="57" t="n"/>
      <c r="DT59" s="57" t="n"/>
      <c r="DU59" s="57" t="n"/>
      <c r="DV59" s="57" t="n"/>
      <c r="DW59" s="57" t="n"/>
      <c r="DX59" s="57" t="n"/>
      <c r="DY59" s="57" t="n"/>
      <c r="DZ59" s="57" t="n"/>
      <c r="EC59" s="57" t="n"/>
      <c r="ED59" s="57" t="n"/>
      <c r="EE59" s="57" t="n"/>
      <c r="EG59" s="6" t="n"/>
      <c r="EN59" s="57" t="n"/>
      <c r="EO59" s="57" t="n"/>
      <c r="ER59" s="57" t="n"/>
      <c r="ES59" s="57" t="n"/>
      <c r="EU59" s="57" t="n"/>
      <c r="EV59" s="57" t="n"/>
      <c r="EW59" s="57" t="n"/>
      <c r="EX59" s="57" t="n"/>
      <c r="EY59" s="57" t="n"/>
      <c r="EZ59" s="57" t="n"/>
      <c r="FA59" s="57" t="n"/>
      <c r="FC59" s="57" t="n"/>
      <c r="FD59" s="57" t="n"/>
      <c r="FE59" s="57" t="n"/>
      <c r="FF59" s="57" t="n"/>
      <c r="FG59" s="57" t="n"/>
      <c r="FH59" s="57" t="n"/>
      <c r="FI59" s="57" t="n"/>
      <c r="FJ59" s="57" t="n"/>
      <c r="FK59" s="57" t="n"/>
      <c r="FL59" s="57" t="n"/>
      <c r="FM59" s="57" t="n"/>
    </row>
    <row r="60">
      <c r="A60" s="674" t="inlineStr">
        <is>
          <t>ARBO ATLANTICA</t>
        </is>
      </c>
      <c r="B60" s="658" t="n"/>
      <c r="C60" s="658" t="n"/>
      <c r="D60" s="670" t="n"/>
      <c r="P60" s="116" t="n"/>
      <c r="Q60" s="116" t="n"/>
      <c r="R60" s="116" t="n"/>
      <c r="S60" s="116" t="n">
        <v>0</v>
      </c>
      <c r="T60" s="116" t="n">
        <v>35</v>
      </c>
      <c r="U60" s="116" t="n">
        <v>35</v>
      </c>
      <c r="V60" s="116" t="n">
        <v>35</v>
      </c>
      <c r="W60" s="116" t="n">
        <v>35</v>
      </c>
      <c r="X60" s="116" t="n">
        <v>0</v>
      </c>
      <c r="Y60" s="116" t="n">
        <v>35</v>
      </c>
      <c r="Z60" s="116" t="n">
        <v>0</v>
      </c>
      <c r="AA60" s="116" t="n">
        <v>20</v>
      </c>
      <c r="AB60" s="116" t="n">
        <v>20</v>
      </c>
      <c r="AC60" s="116" t="n">
        <v>0</v>
      </c>
      <c r="AD60" s="116" t="n">
        <v>0</v>
      </c>
      <c r="AE60" s="116" t="n">
        <v>0</v>
      </c>
      <c r="AF60" s="116" t="n">
        <v>0</v>
      </c>
      <c r="AG60" s="116" t="n">
        <v>0</v>
      </c>
      <c r="AH60" s="116" t="n">
        <v>0</v>
      </c>
      <c r="AI60" s="116" t="n">
        <v>0</v>
      </c>
      <c r="AJ60" s="116" t="n">
        <v>0</v>
      </c>
      <c r="AK60" s="116" t="n">
        <v>0</v>
      </c>
      <c r="AL60" s="116" t="n">
        <v>0</v>
      </c>
      <c r="AM60" s="116" t="n">
        <v>0</v>
      </c>
      <c r="AN60" s="116" t="n">
        <v>0</v>
      </c>
      <c r="AO60" s="116" t="n">
        <v>0</v>
      </c>
      <c r="AP60" s="116" t="n">
        <v>0</v>
      </c>
      <c r="AQ60" s="116" t="n">
        <v>0</v>
      </c>
      <c r="AR60" s="116" t="n">
        <v>0</v>
      </c>
      <c r="AS60" s="116" t="n">
        <v>0</v>
      </c>
      <c r="AT60" s="116" t="n">
        <v>0</v>
      </c>
      <c r="AU60" s="116" t="n">
        <v>0</v>
      </c>
      <c r="AV60" s="116" t="n">
        <v>0</v>
      </c>
      <c r="AW60" s="116" t="n">
        <v>0</v>
      </c>
      <c r="AX60" s="116" t="n">
        <v>0</v>
      </c>
      <c r="AY60" s="116" t="n">
        <v>0</v>
      </c>
      <c r="AZ60" s="116" t="n">
        <v>0</v>
      </c>
      <c r="BA60" s="116" t="n">
        <v>0</v>
      </c>
      <c r="BB60" s="116" t="n">
        <v>0</v>
      </c>
      <c r="BC60" s="116" t="n">
        <v>0</v>
      </c>
      <c r="BD60" s="116" t="n">
        <v>0</v>
      </c>
      <c r="BE60" s="116" t="n">
        <v>0</v>
      </c>
      <c r="BF60" s="116" t="n">
        <v>0</v>
      </c>
      <c r="BG60" s="116" t="n">
        <v>0</v>
      </c>
      <c r="BH60" s="116" t="n">
        <v>0</v>
      </c>
      <c r="BI60" s="116" t="n">
        <v>0</v>
      </c>
      <c r="BJ60" s="116" t="n">
        <v>0</v>
      </c>
      <c r="BK60" s="116" t="n">
        <v>0</v>
      </c>
      <c r="BL60" s="116" t="n">
        <v>0</v>
      </c>
      <c r="BM60" s="116" t="n">
        <v>0</v>
      </c>
      <c r="BN60" s="116" t="n">
        <v>0</v>
      </c>
      <c r="BO60" s="116" t="n">
        <v>0</v>
      </c>
      <c r="BP60" s="116" t="n">
        <v>0</v>
      </c>
      <c r="BQ60" s="116" t="n">
        <v>0</v>
      </c>
      <c r="BR60" s="116" t="n">
        <v>0</v>
      </c>
      <c r="BS60" s="116" t="n">
        <v>0</v>
      </c>
      <c r="BT60" s="116" t="n">
        <v>0</v>
      </c>
      <c r="BU60" s="116" t="n">
        <v>0</v>
      </c>
      <c r="BV60" s="116" t="n">
        <v>0</v>
      </c>
      <c r="BW60" s="116" t="n">
        <v>0</v>
      </c>
      <c r="BX60" s="116" t="n">
        <v>0</v>
      </c>
      <c r="BY60" s="116" t="n">
        <v>0</v>
      </c>
      <c r="BZ60" s="116" t="n"/>
      <c r="CA60" s="116" t="n"/>
      <c r="CD60" s="6" t="n"/>
      <c r="CP60" s="57" t="n"/>
      <c r="CQ60" s="57" t="n"/>
      <c r="CT60" s="57" t="n"/>
      <c r="CU60" s="57" t="n"/>
      <c r="CV60" s="57" t="n"/>
      <c r="CW60" s="57" t="n"/>
      <c r="CX60" s="57" t="n"/>
      <c r="CY60" s="57" t="n"/>
      <c r="CZ60" s="57" t="n"/>
      <c r="DA60" s="57" t="n"/>
      <c r="DB60" s="57" t="n"/>
      <c r="DC60" s="57" t="n"/>
      <c r="DD60" s="57" t="n"/>
      <c r="DE60" s="57" t="n"/>
      <c r="DF60" s="57" t="n"/>
      <c r="DG60" s="57" t="n"/>
      <c r="DH60" s="57" t="n"/>
      <c r="DJ60" s="57" t="n"/>
      <c r="DK60" s="57" t="n"/>
      <c r="DM60" s="57" t="n"/>
      <c r="DN60" s="57" t="n"/>
      <c r="DO60" s="57" t="n"/>
      <c r="DP60" s="57" t="n"/>
      <c r="DQ60" s="57" t="n"/>
      <c r="DR60" s="57" t="n"/>
      <c r="DS60" s="57" t="n"/>
      <c r="DT60" s="57" t="n"/>
      <c r="DU60" s="57" t="n"/>
      <c r="DV60" s="57" t="n"/>
      <c r="EN60" s="57" t="n"/>
      <c r="EO60" s="57" t="n"/>
      <c r="ER60" s="57" t="n"/>
      <c r="ES60" s="57" t="n"/>
      <c r="EU60" s="57" t="n"/>
      <c r="EV60" s="57" t="n"/>
      <c r="EW60" s="57" t="n"/>
      <c r="EX60" s="57" t="n"/>
      <c r="EY60" s="57" t="n"/>
      <c r="EZ60" s="57" t="n"/>
      <c r="FA60" s="57" t="n"/>
      <c r="FC60" s="57" t="n"/>
      <c r="FD60" s="57" t="n"/>
      <c r="FE60" s="57" t="n"/>
      <c r="FF60" s="57" t="n"/>
      <c r="FG60" s="57" t="n"/>
      <c r="FH60" s="57" t="n"/>
      <c r="FI60" s="57" t="n"/>
      <c r="FJ60" s="57" t="n"/>
      <c r="FK60" s="57" t="n"/>
      <c r="FL60" s="57" t="n"/>
      <c r="FM60" s="57" t="n"/>
    </row>
    <row r="61">
      <c r="CD61" s="6" t="n"/>
      <c r="CP61" s="57" t="n"/>
      <c r="CQ61" s="57" t="n"/>
      <c r="CU61" s="57" t="n"/>
      <c r="EN61" s="57" t="n"/>
      <c r="EO61" s="57" t="n"/>
      <c r="ER61" s="57" t="n"/>
      <c r="ES61" s="57" t="n"/>
      <c r="EU61" s="57" t="n"/>
      <c r="EV61" s="57" t="n"/>
      <c r="EW61" s="57" t="n"/>
      <c r="EX61" s="57" t="n"/>
      <c r="EZ61" s="57" t="n"/>
      <c r="FA61" s="57" t="n"/>
      <c r="FC61" s="57" t="n"/>
      <c r="FD61" s="57" t="n"/>
      <c r="FE61" s="57" t="n"/>
      <c r="FF61" s="57" t="n"/>
      <c r="FG61" s="57" t="n"/>
      <c r="FH61" s="57" t="n"/>
      <c r="FI61" s="57" t="n"/>
      <c r="FJ61" s="57" t="n"/>
      <c r="FK61" s="57" t="n"/>
      <c r="FL61" s="57" t="n"/>
      <c r="FM61" s="57" t="n"/>
    </row>
    <row r="62">
      <c r="CD62" s="6" t="n"/>
    </row>
    <row r="63">
      <c r="CD63" s="6" t="n"/>
    </row>
    <row r="64">
      <c r="CD64" s="6" t="n"/>
    </row>
  </sheetData>
  <mergeCells count="11">
    <mergeCell ref="A5:A6"/>
    <mergeCell ref="B3:D3"/>
    <mergeCell ref="A58:D58"/>
    <mergeCell ref="F5:BZ5"/>
    <mergeCell ref="B2:D2"/>
    <mergeCell ref="A59:D59"/>
    <mergeCell ref="C5:C6"/>
    <mergeCell ref="A60:D60"/>
    <mergeCell ref="B5:B6"/>
    <mergeCell ref="FQ7:FY7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1" fitToHeight="0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Planilha8">
    <tabColor theme="9"/>
    <outlinePr summaryBelow="1" summaryRight="1"/>
    <pageSetUpPr/>
  </sheetPr>
  <dimension ref="A1:JL80"/>
  <sheetViews>
    <sheetView showGridLines="0" topLeftCell="A6" zoomScale="80" zoomScaleNormal="80" zoomScaleSheetLayoutView="70" workbookViewId="0">
      <selection activeCell="CB1" sqref="CB1:CB1048576"/>
    </sheetView>
  </sheetViews>
  <sheetFormatPr baseColWidth="8" defaultColWidth="9.140625" defaultRowHeight="18.75"/>
  <cols>
    <col width="27.140625" customWidth="1" min="1" max="1"/>
    <col width="9" customWidth="1" min="2" max="2"/>
    <col hidden="1" width="15.28515625" customWidth="1" min="3" max="3"/>
    <col width="16.140625" customWidth="1" min="4" max="4"/>
    <col width="1.85546875" customWidth="1" min="5" max="5"/>
    <col hidden="1" width="9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8.140625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14062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9.28515625" customWidth="1" min="84" max="84"/>
    <col width="1.5703125" customWidth="1" min="85" max="85"/>
    <col width="20.42578125" customWidth="1" min="86" max="86"/>
    <col width="14.28515625" customWidth="1" min="87" max="87"/>
    <col width="1.5703125" customWidth="1" min="88" max="88"/>
    <col width="16.28515625" customWidth="1" min="89" max="89"/>
    <col width="1.7109375" customWidth="1" min="90" max="90"/>
    <col width="8.140625" customWidth="1" min="91" max="91"/>
    <col width="13" customWidth="1" min="92" max="92"/>
    <col hidden="1" width="13" customWidth="1" min="93" max="93"/>
    <col hidden="1" width="8.140625" customWidth="1" min="94" max="94"/>
    <col hidden="1" width="8.7109375" customWidth="1" min="95" max="95"/>
    <col hidden="1" width="8.140625" customWidth="1" min="96" max="96"/>
    <col hidden="1" width="8.140625" customWidth="1" min="97" max="97"/>
    <col hidden="1" width="13.7109375" customWidth="1" min="98" max="98"/>
    <col hidden="1" width="23.28515625" customWidth="1" min="99" max="99"/>
    <col hidden="1" width="8.140625" customWidth="1" min="100" max="100"/>
    <col hidden="1" width="13.7109375" customWidth="1" min="101" max="101"/>
    <col hidden="1" width="9.7109375" customWidth="1" min="102" max="102"/>
    <col hidden="1" width="13" customWidth="1" min="103" max="103"/>
    <col hidden="1" width="17.5703125" customWidth="1" min="104" max="104"/>
    <col hidden="1" width="9.7109375" customWidth="1" min="105" max="105"/>
    <col hidden="1" width="13" customWidth="1" min="106" max="106"/>
    <col hidden="1" width="13" customWidth="1" min="107" max="107"/>
    <col hidden="1" width="12.85546875" customWidth="1" min="108" max="108"/>
    <col hidden="1" width="9.7109375" customWidth="1" min="109" max="109"/>
    <col hidden="1" width="13" customWidth="1" min="110" max="110"/>
    <col hidden="1" width="13" customWidth="1" min="111" max="111"/>
    <col hidden="1" width="13" customWidth="1" min="112" max="112"/>
    <col hidden="1" width="11.7109375" customWidth="1" min="113" max="113"/>
    <col hidden="1" width="12.28515625" customWidth="1" min="114" max="114"/>
    <col hidden="1" width="9.7109375" customWidth="1" min="115" max="115"/>
    <col hidden="1" width="8.7109375" customWidth="1" min="116" max="116"/>
    <col hidden="1" width="11.7109375" customWidth="1" min="117" max="117"/>
    <col hidden="1" width="13" customWidth="1" min="118" max="118"/>
    <col hidden="1" width="9.7109375" customWidth="1" min="119" max="119"/>
    <col hidden="1" width="13.85546875" customWidth="1" min="120" max="120"/>
    <col hidden="1" width="9.7109375" customWidth="1" min="121" max="121"/>
    <col hidden="1" width="13" customWidth="1" min="122" max="122"/>
    <col hidden="1" width="13" customWidth="1" min="123" max="123"/>
    <col hidden="1" width="13" customWidth="1" min="124" max="124"/>
    <col hidden="1" width="13" customWidth="1" min="125" max="125"/>
    <col hidden="1" width="13" customWidth="1" min="126" max="126"/>
    <col hidden="1" width="11" customWidth="1" min="127" max="127"/>
    <col hidden="1" width="12.28515625" customWidth="1" min="128" max="128"/>
    <col hidden="1" width="9.7109375" customWidth="1" min="129" max="129"/>
    <col hidden="1" width="13" customWidth="1" min="130" max="130"/>
    <col hidden="1" width="13" customWidth="1" min="131" max="131"/>
    <col hidden="1" width="13" customWidth="1" min="132" max="132"/>
    <col hidden="1" width="13" customWidth="1" min="133" max="133"/>
    <col hidden="1" width="12.28515625" customWidth="1" min="134" max="134"/>
    <col hidden="1" width="9.7109375" customWidth="1" min="135" max="135"/>
    <col hidden="1" width="17.5703125" customWidth="1" min="136" max="136"/>
    <col hidden="1" width="8.7109375" customWidth="1" min="137" max="137"/>
    <col hidden="1" width="9.7109375" customWidth="1" min="138" max="138"/>
    <col hidden="1" width="8.140625" customWidth="1" min="139" max="139"/>
    <col hidden="1" width="9.7109375" customWidth="1" min="140" max="140"/>
    <col hidden="1" width="13" customWidth="1" min="141" max="141"/>
    <col hidden="1" width="13" customWidth="1" min="142" max="142"/>
    <col hidden="1" width="13.5703125" customWidth="1" min="143" max="143"/>
    <col hidden="1" width="14.42578125" customWidth="1" min="144" max="144"/>
    <col hidden="1" width="9.7109375" customWidth="1" min="145" max="145"/>
    <col hidden="1" width="13" customWidth="1" min="146" max="146"/>
    <col hidden="1" width="14" customWidth="1" min="147" max="147"/>
    <col hidden="1" width="9.7109375" customWidth="1" min="148" max="148"/>
    <col hidden="1" width="13" customWidth="1" min="149" max="149"/>
    <col hidden="1" width="12.28515625" customWidth="1" min="150" max="150"/>
    <col hidden="1" width="12.28515625" customWidth="1" min="151" max="151"/>
    <col hidden="1" width="12" customWidth="1" min="152" max="152"/>
    <col hidden="1" width="9.7109375" customWidth="1" min="153" max="153"/>
    <col hidden="1" width="13" customWidth="1" min="154" max="154"/>
    <col hidden="1" width="13" customWidth="1" min="155" max="155"/>
    <col hidden="1" width="13" customWidth="1" min="156" max="156"/>
    <col hidden="1" width="13" customWidth="1" min="157" max="157"/>
    <col hidden="1" width="13" customWidth="1" min="158" max="158"/>
    <col hidden="1" width="13" customWidth="1" min="159" max="159"/>
    <col hidden="1" width="13" customWidth="1" min="160" max="160"/>
    <col hidden="1" width="13" customWidth="1" min="161" max="161"/>
    <col hidden="1" width="13" customWidth="1" min="162" max="162"/>
    <col hidden="1" width="13" customWidth="1" min="163" max="163"/>
    <col hidden="1" width="13" customWidth="1" min="164" max="164"/>
    <col width="3.28515625" customWidth="1" min="165" max="165"/>
    <col width="21.85546875" customWidth="1" min="166" max="166"/>
    <col width="9.140625" customWidth="1" min="167" max="167"/>
    <col hidden="1" width="13" customWidth="1" min="168" max="168"/>
    <col hidden="1" width="13" customWidth="1" min="169" max="169"/>
    <col hidden="1" width="13" customWidth="1" min="170" max="170"/>
    <col hidden="1" width="13" customWidth="1" min="171" max="171"/>
    <col hidden="1" width="13" customWidth="1" min="172" max="172"/>
    <col hidden="1" width="9.140625" customWidth="1" min="173" max="173"/>
    <col hidden="1" width="13" customWidth="1" min="174" max="174"/>
    <col hidden="1" width="13" customWidth="1" min="175" max="175"/>
    <col hidden="1" width="13" customWidth="1" min="176" max="176"/>
    <col hidden="1" width="13" customWidth="1" min="177" max="177"/>
    <col width="13" customWidth="1" min="178" max="178"/>
    <col width="13" customWidth="1" min="179" max="179"/>
    <col width="4" customWidth="1" min="181" max="181"/>
    <col width="9.140625" customWidth="1" min="182" max="182"/>
  </cols>
  <sheetData>
    <row r="1" ht="23.25" customHeight="1">
      <c r="A1" s="75" t="inlineStr">
        <is>
          <t>Controle de Contagem Semanal - Antilhas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  <c r="AD1" s="75" t="n"/>
      <c r="AE1" s="75" t="n"/>
      <c r="AF1" s="75" t="n"/>
      <c r="AG1" s="75" t="n"/>
      <c r="AH1" s="75" t="n"/>
      <c r="AI1" s="75" t="n"/>
      <c r="AJ1" s="75" t="n"/>
      <c r="AK1" s="75" t="n"/>
      <c r="AL1" s="75" t="n"/>
      <c r="AM1" s="75" t="n"/>
      <c r="AN1" s="75" t="n"/>
      <c r="AO1" s="75" t="n"/>
      <c r="AP1" s="75" t="n"/>
      <c r="AQ1" s="75" t="n"/>
      <c r="AR1" s="75" t="n"/>
      <c r="AS1" s="75" t="n"/>
      <c r="AT1" s="75" t="n"/>
      <c r="AU1" s="75" t="n"/>
      <c r="AV1" s="75" t="n"/>
      <c r="AW1" s="75" t="n"/>
      <c r="AX1" s="75" t="n"/>
      <c r="AY1" s="75" t="n"/>
      <c r="AZ1" s="75" t="n"/>
      <c r="BA1" s="75" t="n"/>
      <c r="BB1" s="75" t="n"/>
      <c r="BC1" s="75" t="n"/>
      <c r="BD1" s="75" t="n"/>
      <c r="BE1" s="75" t="n"/>
      <c r="BF1" s="75" t="n"/>
      <c r="BG1" s="75" t="n"/>
      <c r="BH1" s="75" t="n"/>
      <c r="BI1" s="75" t="n"/>
      <c r="BJ1" s="75" t="n"/>
      <c r="BK1" s="75" t="n"/>
      <c r="BL1" s="75" t="n"/>
      <c r="BM1" s="75" t="n"/>
      <c r="BN1" s="75" t="n"/>
      <c r="BO1" s="75" t="n"/>
      <c r="BP1" s="75" t="n"/>
      <c r="BQ1" s="75" t="n"/>
      <c r="BR1" s="75" t="n"/>
      <c r="BS1" s="75" t="n"/>
      <c r="BT1" s="75" t="n"/>
      <c r="BU1" s="75" t="n"/>
      <c r="BV1" s="75" t="n"/>
      <c r="BW1" s="75" t="n"/>
      <c r="BX1" s="75" t="n"/>
      <c r="BY1" s="75" t="n"/>
      <c r="BZ1" s="75" t="n"/>
      <c r="CA1" s="75" t="n"/>
      <c r="CB1" s="75" t="n"/>
      <c r="CC1" s="75" t="n"/>
      <c r="CD1" s="75" t="n"/>
      <c r="CE1" s="75" t="n"/>
      <c r="CF1" s="75" t="n"/>
      <c r="CG1" s="75" t="n"/>
      <c r="CH1" s="74" t="n"/>
      <c r="CI1" s="74" t="n"/>
      <c r="CJ1" s="75" t="n"/>
      <c r="CK1" s="75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284" t="n"/>
      <c r="ER1" s="74" t="n"/>
      <c r="ES1" s="74" t="n"/>
      <c r="ET1" s="284" t="n"/>
      <c r="EU1" s="74" t="n"/>
      <c r="EV1" s="28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</row>
    <row r="2">
      <c r="A2" s="50" t="inlineStr">
        <is>
          <t>LOJA:</t>
        </is>
      </c>
      <c r="B2" s="639" t="inlineStr">
        <is>
          <t>MONGAGUÁ</t>
        </is>
      </c>
      <c r="C2" s="640" t="n"/>
      <c r="D2" s="641" t="n"/>
      <c r="CH2" s="6" t="n"/>
      <c r="CI2" s="6" t="n"/>
      <c r="CK2" s="6" t="n"/>
      <c r="CL2" s="6" t="n"/>
      <c r="CM2" s="6" t="n"/>
      <c r="CN2" s="6" t="n"/>
      <c r="CO2" s="6" t="n"/>
      <c r="CP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I2" s="6" t="n"/>
      <c r="DK2" s="6" t="n"/>
      <c r="DM2" s="6" t="n"/>
      <c r="DN2" s="6" t="n"/>
      <c r="DO2" s="6" t="n"/>
      <c r="DP2" s="6" t="n"/>
      <c r="DQ2" s="6" t="n"/>
      <c r="DR2" s="6" t="n"/>
      <c r="DS2" s="6" t="n"/>
      <c r="DT2" s="6" t="n"/>
      <c r="DU2" s="6" t="n"/>
      <c r="DV2" s="6" t="n"/>
      <c r="DW2" s="6" t="n"/>
      <c r="DY2" s="6" t="n"/>
      <c r="DZ2" s="6" t="n"/>
      <c r="EA2" s="6" t="n"/>
      <c r="EB2" s="6" t="n"/>
      <c r="EC2" s="6" t="n"/>
      <c r="EE2" s="6" t="n"/>
      <c r="EH2" s="6" t="n"/>
      <c r="EI2" s="6" t="n"/>
      <c r="EJ2" s="6" t="n"/>
      <c r="EK2" s="6" t="n"/>
      <c r="EL2" s="6" t="n"/>
      <c r="EM2" s="6" t="n"/>
      <c r="EN2" s="6" t="n"/>
      <c r="EO2" s="6" t="n"/>
      <c r="EP2" s="6" t="n"/>
      <c r="ER2" s="6" t="n"/>
      <c r="ES2" s="6" t="n"/>
      <c r="EU2" s="6" t="n"/>
      <c r="EW2" s="6" t="n"/>
      <c r="EX2" s="6" t="n"/>
      <c r="EY2" s="6" t="n"/>
      <c r="EZ2" s="6" t="n"/>
      <c r="FA2" s="6" t="n"/>
      <c r="FB2" s="6" t="n"/>
      <c r="FC2" s="6" t="n"/>
      <c r="FD2" s="6" t="n"/>
      <c r="FE2" s="6" t="n"/>
      <c r="FF2" s="6" t="n"/>
      <c r="FG2" s="6" t="n"/>
      <c r="FH2" s="6" t="n"/>
    </row>
    <row r="3">
      <c r="A3" s="50" t="inlineStr">
        <is>
          <t>Responsável:</t>
        </is>
      </c>
      <c r="B3" s="253" t="inlineStr">
        <is>
          <t>PATRÍCIA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706" t="n"/>
      <c r="AB3" s="706" t="n"/>
      <c r="AC3" s="706" t="n"/>
      <c r="AD3" s="706" t="n"/>
      <c r="AE3" s="706" t="n"/>
      <c r="AF3" s="706" t="n"/>
      <c r="AG3" s="706" t="n"/>
      <c r="AH3" s="706" t="n"/>
      <c r="AI3" s="706" t="n"/>
      <c r="AJ3" s="706" t="n"/>
      <c r="AK3" s="706" t="n"/>
      <c r="AL3" s="706" t="n"/>
      <c r="AM3" s="706" t="n"/>
      <c r="AN3" s="706" t="n"/>
      <c r="AO3" s="706" t="n"/>
      <c r="AP3" s="706" t="n"/>
      <c r="AQ3" s="706" t="n"/>
      <c r="AR3" s="706" t="n"/>
      <c r="AS3" s="706" t="n"/>
      <c r="AT3" s="706" t="n"/>
      <c r="AU3" s="706" t="n"/>
      <c r="AV3" s="706" t="n"/>
      <c r="AW3" s="706" t="n"/>
      <c r="AX3" s="706" t="n"/>
      <c r="AY3" s="706" t="n"/>
      <c r="AZ3" s="706" t="n"/>
      <c r="BA3" s="706" t="n"/>
      <c r="BB3" s="706" t="n"/>
      <c r="BC3" s="706" t="n"/>
      <c r="BD3" s="706" t="n"/>
      <c r="BE3" s="706" t="n"/>
      <c r="BF3" s="706" t="n"/>
      <c r="BG3" s="706" t="n"/>
      <c r="BH3" s="706" t="n"/>
      <c r="BI3" s="706" t="n"/>
      <c r="BJ3" s="706" t="n"/>
      <c r="BK3" s="706" t="n"/>
      <c r="BL3" s="706" t="n"/>
      <c r="BM3" s="706" t="n"/>
      <c r="BN3" s="706" t="n"/>
      <c r="BO3" s="706" t="n"/>
      <c r="BP3" s="706" t="n"/>
      <c r="BQ3" s="706" t="n"/>
      <c r="BR3" s="706" t="n"/>
      <c r="BS3" s="706" t="n"/>
      <c r="BT3" s="706" t="n"/>
      <c r="BU3" s="706" t="n"/>
      <c r="BV3" s="706" t="n"/>
      <c r="BW3" s="706" t="n"/>
      <c r="BX3" s="706" t="n"/>
      <c r="BY3" s="706" t="n"/>
      <c r="BZ3" s="706" t="n"/>
      <c r="CA3" s="706" t="n"/>
      <c r="CB3" s="706" t="n"/>
      <c r="CC3" s="707" t="n"/>
      <c r="CD3" s="707" t="n"/>
      <c r="CE3" s="707" t="n"/>
      <c r="CF3" s="642" t="n"/>
      <c r="CG3" s="642" t="n"/>
      <c r="CH3" s="642" t="n"/>
      <c r="CI3" s="642" t="n"/>
      <c r="CJ3" s="642" t="n"/>
      <c r="CL3" s="642" t="n"/>
      <c r="CM3" s="642" t="n"/>
      <c r="CN3" s="642" t="n"/>
      <c r="CO3" s="642" t="n"/>
      <c r="CP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D3" s="642" t="n"/>
      <c r="DE3" s="642" t="n"/>
      <c r="DF3" s="642" t="n"/>
      <c r="DG3" s="642" t="n"/>
      <c r="DH3" s="642" t="n"/>
      <c r="DI3" s="642" t="n"/>
      <c r="DK3" s="642" t="n"/>
      <c r="DM3" s="642" t="n"/>
      <c r="DN3" s="642" t="n"/>
      <c r="DO3" s="642" t="n"/>
      <c r="DP3" s="642" t="n"/>
      <c r="DQ3" s="642" t="n"/>
      <c r="DR3" s="642" t="n"/>
      <c r="DS3" s="642" t="n"/>
      <c r="DT3" s="642" t="n"/>
      <c r="DU3" s="642" t="n"/>
      <c r="DV3" s="642" t="n"/>
      <c r="DW3" s="642" t="n"/>
      <c r="DY3" s="642" t="n"/>
      <c r="DZ3" s="642" t="n"/>
      <c r="EA3" s="642" t="n"/>
      <c r="EB3" s="642" t="n"/>
      <c r="EC3" s="642" t="n"/>
      <c r="EE3" s="642" t="n"/>
      <c r="EH3" s="642" t="n"/>
      <c r="EI3" s="642" t="n"/>
      <c r="EJ3" s="642" t="n"/>
      <c r="EK3" s="642" t="n"/>
      <c r="EL3" s="642" t="n"/>
      <c r="EM3" s="642" t="n"/>
      <c r="EN3" s="642" t="n"/>
      <c r="EO3" s="642" t="n"/>
      <c r="EP3" s="642" t="n"/>
      <c r="ER3" s="642" t="n"/>
      <c r="ES3" s="642" t="n"/>
      <c r="EU3" s="642" t="n"/>
      <c r="EW3" s="642" t="n"/>
      <c r="EX3" s="642" t="n"/>
      <c r="EY3" s="642" t="n"/>
      <c r="EZ3" s="642" t="n"/>
      <c r="FA3" s="642" t="n"/>
      <c r="FB3" s="642" t="n"/>
      <c r="FC3" s="642" t="n"/>
      <c r="FD3" s="642" t="n"/>
      <c r="FE3" s="642" t="n"/>
      <c r="FF3" s="642" t="n"/>
      <c r="FG3" s="642" t="n"/>
      <c r="FH3" s="642" t="n"/>
    </row>
    <row r="4">
      <c r="CH4" s="6" t="n"/>
      <c r="CI4" s="6" t="n"/>
      <c r="CL4" s="6" t="n"/>
      <c r="CM4" s="6" t="n"/>
      <c r="CN4" s="6" t="n"/>
      <c r="CO4" s="6" t="n"/>
      <c r="CP4" s="6" t="n"/>
      <c r="CQ4" s="254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254" t="n"/>
      <c r="DK4" s="6" t="n"/>
      <c r="DL4" s="254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254" t="n"/>
      <c r="DY4" s="6" t="n"/>
      <c r="DZ4" s="6" t="n"/>
      <c r="EA4" s="6" t="n"/>
      <c r="EB4" s="6" t="n"/>
      <c r="EC4" s="6" t="n"/>
      <c r="ED4" s="254" t="n"/>
      <c r="EE4" s="6" t="n"/>
      <c r="EF4" s="254" t="n"/>
      <c r="EG4" s="254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286" t="n"/>
      <c r="ER4" s="6" t="n"/>
      <c r="ES4" s="6" t="n"/>
      <c r="ET4" s="286" t="n"/>
      <c r="EU4" s="6" t="n"/>
      <c r="EV4" s="286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6" t="n"/>
      <c r="FG4" s="6" t="n"/>
      <c r="FH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510" t="n"/>
      <c r="CF5" s="153" t="n"/>
      <c r="CH5" s="413" t="inlineStr">
        <is>
          <t>TRANSFERÊNCIA</t>
        </is>
      </c>
      <c r="CI5" s="35" t="inlineStr">
        <is>
          <t>Pendências</t>
        </is>
      </c>
      <c r="CK5" s="12" t="inlineStr">
        <is>
          <t>Novo Pedido</t>
        </is>
      </c>
      <c r="CL5" s="677" t="n">
        <v>46161.48286992263</v>
      </c>
      <c r="CM5" s="646" t="n">
        <v>46156</v>
      </c>
      <c r="CN5" s="646" t="n">
        <v>46142</v>
      </c>
      <c r="CO5" s="646" t="n">
        <v>46114</v>
      </c>
      <c r="CP5" s="646" t="n">
        <v>46107</v>
      </c>
      <c r="CQ5" s="647" t="n">
        <v>46065</v>
      </c>
      <c r="CR5" s="646" t="n">
        <v>46099</v>
      </c>
      <c r="CS5" s="646" t="n">
        <v>46092</v>
      </c>
      <c r="CT5" s="648" t="inlineStr">
        <is>
          <t>TRANSF.</t>
        </is>
      </c>
      <c r="CU5" s="648" t="inlineStr">
        <is>
          <t>TRANSF.</t>
        </is>
      </c>
      <c r="CV5" s="646" t="n">
        <v>46071</v>
      </c>
      <c r="CW5" s="648" t="inlineStr">
        <is>
          <t>TRANSF.</t>
        </is>
      </c>
      <c r="CX5" s="646" t="n">
        <v>46035</v>
      </c>
      <c r="CY5" s="646" t="n">
        <v>46029</v>
      </c>
      <c r="CZ5" s="648" t="inlineStr">
        <is>
          <t>TRANSF.</t>
        </is>
      </c>
      <c r="DA5" s="646" t="n">
        <v>46024</v>
      </c>
      <c r="DB5" s="646" t="n">
        <v>46372</v>
      </c>
      <c r="DC5" s="646" t="n">
        <v>46007</v>
      </c>
      <c r="DD5" s="648" t="inlineStr">
        <is>
          <t>TRANSF.</t>
        </is>
      </c>
      <c r="DE5" s="646" t="n">
        <v>45986</v>
      </c>
      <c r="DF5" s="646" t="n">
        <v>45980</v>
      </c>
      <c r="DG5" s="646" t="n">
        <v>45960</v>
      </c>
      <c r="DH5" s="646" t="n">
        <v>45951</v>
      </c>
      <c r="DI5" s="648" t="inlineStr">
        <is>
          <t>TRANSF.</t>
        </is>
      </c>
      <c r="DJ5" s="678" t="inlineStr">
        <is>
          <t>TRANSF.</t>
        </is>
      </c>
      <c r="DK5" s="646" t="n">
        <v>45937</v>
      </c>
      <c r="DL5" s="678" t="n">
        <v>45903</v>
      </c>
      <c r="DM5" s="648" t="inlineStr">
        <is>
          <t>TRANSF.</t>
        </is>
      </c>
      <c r="DN5" s="648" t="inlineStr">
        <is>
          <t>TRANSF.</t>
        </is>
      </c>
      <c r="DO5" s="646" t="n">
        <v>45923</v>
      </c>
      <c r="DP5" s="679" t="inlineStr">
        <is>
          <t>TRANSF.</t>
        </is>
      </c>
      <c r="DQ5" s="646" t="n">
        <v>45915</v>
      </c>
      <c r="DR5" s="679" t="n">
        <v>45863</v>
      </c>
      <c r="DS5" s="646" t="n">
        <v>45909</v>
      </c>
      <c r="DT5" s="646" t="n">
        <v>45903</v>
      </c>
      <c r="DU5" s="646" t="n">
        <v>45903</v>
      </c>
      <c r="DV5" s="646" t="n">
        <v>45895</v>
      </c>
      <c r="DW5" s="648" t="inlineStr">
        <is>
          <t>TRANSF.</t>
        </is>
      </c>
      <c r="DX5" s="681" t="inlineStr">
        <is>
          <t>TRANSF.</t>
        </is>
      </c>
      <c r="DY5" s="646" t="n">
        <v>45888</v>
      </c>
      <c r="DZ5" s="646" t="n">
        <v>45881</v>
      </c>
      <c r="EA5" s="646" t="n">
        <v>45874</v>
      </c>
      <c r="EB5" s="646" t="n">
        <v>45860</v>
      </c>
      <c r="EC5" s="646" t="n">
        <v>45848</v>
      </c>
      <c r="ED5" s="681" t="inlineStr">
        <is>
          <t>TRANSF.</t>
        </is>
      </c>
      <c r="EE5" s="646" t="n">
        <v>45839</v>
      </c>
      <c r="EF5" s="681" t="inlineStr">
        <is>
          <t>AUTOMÁTICO</t>
        </is>
      </c>
      <c r="EG5" s="681" t="n">
        <v>45791</v>
      </c>
      <c r="EH5" s="646" t="n">
        <v>45825</v>
      </c>
      <c r="EI5" s="646" t="n">
        <v>45819</v>
      </c>
      <c r="EJ5" s="646" t="n">
        <v>45813</v>
      </c>
      <c r="EK5" s="646" t="n">
        <v>45805</v>
      </c>
      <c r="EL5" s="646" t="n">
        <v>45798</v>
      </c>
      <c r="EM5" s="683" t="inlineStr">
        <is>
          <t>TRANSF.</t>
        </is>
      </c>
      <c r="EN5" s="648" t="inlineStr">
        <is>
          <t>TRANSF.</t>
        </is>
      </c>
      <c r="EO5" s="654" t="n">
        <v>45790</v>
      </c>
      <c r="EP5" s="683" t="n">
        <v>45735</v>
      </c>
      <c r="EQ5" s="684" t="inlineStr">
        <is>
          <t>TRANSF.</t>
        </is>
      </c>
      <c r="ER5" s="646" t="n">
        <v>45770</v>
      </c>
      <c r="ES5" s="646" t="n">
        <v>45743</v>
      </c>
      <c r="ET5" s="684" t="inlineStr">
        <is>
          <t>TRANSF.</t>
        </is>
      </c>
      <c r="EU5" s="648" t="inlineStr">
        <is>
          <t>TRANSF.</t>
        </is>
      </c>
      <c r="EV5" s="684" t="n">
        <v>45700</v>
      </c>
      <c r="EW5" s="646" t="n">
        <v>45728</v>
      </c>
      <c r="EX5" s="646" t="n">
        <v>45722</v>
      </c>
      <c r="EY5" s="646" t="n">
        <v>45714</v>
      </c>
      <c r="EZ5" s="646" t="n">
        <v>45706</v>
      </c>
      <c r="FA5" s="646" t="n">
        <v>45699</v>
      </c>
      <c r="FB5" s="646" t="n">
        <v>45693</v>
      </c>
      <c r="FC5" s="646" t="n">
        <v>45685</v>
      </c>
      <c r="FD5" s="646" t="n">
        <v>45679</v>
      </c>
      <c r="FE5" s="646" t="n">
        <v>45674</v>
      </c>
      <c r="FF5" s="646" t="n">
        <v>45664</v>
      </c>
      <c r="FG5" s="646" t="n">
        <v>45660</v>
      </c>
      <c r="FH5" s="646" t="n">
        <v>45652</v>
      </c>
    </row>
    <row r="6" customForma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46161.48003309028</v>
      </c>
      <c r="CD6" s="651" t="n">
        <v>46161.48071268519</v>
      </c>
      <c r="CE6" s="651" t="n">
        <v>46161.48287085623</v>
      </c>
      <c r="CF6" s="652" t="inlineStr">
        <is>
          <t>USOU</t>
        </is>
      </c>
      <c r="CG6" s="6" t="n"/>
      <c r="CH6" s="414" t="inlineStr">
        <is>
          <t>SUGESTÃO</t>
        </is>
      </c>
      <c r="CI6" s="214" t="n">
        <v>46156</v>
      </c>
      <c r="CJ6" s="653" t="n"/>
      <c r="CK6" s="656" t="n"/>
      <c r="CL6" s="654" t="n"/>
      <c r="CM6" s="654" t="n"/>
      <c r="CN6" s="654" t="n">
        <v>46148</v>
      </c>
      <c r="CO6" s="654" t="n">
        <v>46121</v>
      </c>
      <c r="CP6" s="654" t="n">
        <v>46111</v>
      </c>
      <c r="CQ6" s="647" t="n">
        <v>46111</v>
      </c>
      <c r="CR6" s="654" t="n">
        <v>46106</v>
      </c>
      <c r="CS6" s="654" t="n">
        <v>46100</v>
      </c>
      <c r="CT6" s="655" t="n">
        <v>46080</v>
      </c>
      <c r="CU6" s="655" t="n">
        <v>46079</v>
      </c>
      <c r="CV6" s="654" t="n">
        <v>46073</v>
      </c>
      <c r="CW6" s="655" t="n">
        <v>46055</v>
      </c>
      <c r="CX6" s="654" t="n">
        <v>46043</v>
      </c>
      <c r="CY6" s="654" t="n">
        <v>46043</v>
      </c>
      <c r="CZ6" s="655" t="n">
        <v>46037</v>
      </c>
      <c r="DA6" s="654" t="n">
        <v>46031</v>
      </c>
      <c r="DB6" s="654" t="n">
        <v>46027</v>
      </c>
      <c r="DC6" s="654" t="n">
        <v>46014</v>
      </c>
      <c r="DD6" s="655" t="n">
        <v>46375</v>
      </c>
      <c r="DE6" s="654" t="n">
        <v>45994</v>
      </c>
      <c r="DF6" s="654" t="n">
        <v>45989</v>
      </c>
      <c r="DG6" s="654" t="n">
        <v>45966</v>
      </c>
      <c r="DH6" s="654" t="n">
        <v>45958</v>
      </c>
      <c r="DI6" s="655" t="n">
        <v>45954</v>
      </c>
      <c r="DJ6" s="687" t="n">
        <v>45954</v>
      </c>
      <c r="DK6" s="654" t="n">
        <v>45946</v>
      </c>
      <c r="DL6" s="687" t="n">
        <v>45946</v>
      </c>
      <c r="DM6" s="655" t="n">
        <v>45941</v>
      </c>
      <c r="DN6" s="655" t="n">
        <v>45931</v>
      </c>
      <c r="DO6" s="654" t="n">
        <v>45927</v>
      </c>
      <c r="DP6" s="688" t="n">
        <v>45922</v>
      </c>
      <c r="DQ6" s="654" t="n">
        <v>45920</v>
      </c>
      <c r="DR6" s="688" t="n">
        <v>45919</v>
      </c>
      <c r="DS6" s="654" t="n">
        <v>45913</v>
      </c>
      <c r="DT6" s="654" t="n">
        <v>45910</v>
      </c>
      <c r="DU6" s="654" t="n">
        <v>45905</v>
      </c>
      <c r="DV6" s="654" t="n">
        <v>45902</v>
      </c>
      <c r="DW6" s="655" t="n">
        <v>45897</v>
      </c>
      <c r="DX6" s="681" t="n">
        <v>45896</v>
      </c>
      <c r="DY6" s="654" t="n">
        <v>45891</v>
      </c>
      <c r="DZ6" s="654" t="n">
        <v>45887</v>
      </c>
      <c r="EA6" s="654" t="n">
        <v>45880</v>
      </c>
      <c r="EB6" s="654" t="n">
        <v>45866</v>
      </c>
      <c r="EC6" s="654" t="n">
        <v>45856</v>
      </c>
      <c r="ED6" s="681" t="n">
        <v>45848</v>
      </c>
      <c r="EE6" s="654" t="n">
        <v>45842</v>
      </c>
      <c r="EF6" s="681" t="n">
        <v>45842</v>
      </c>
      <c r="EG6" s="681" t="n">
        <v>45840</v>
      </c>
      <c r="EH6" s="654" t="n">
        <v>45831</v>
      </c>
      <c r="EI6" s="654" t="n">
        <v>45824</v>
      </c>
      <c r="EJ6" s="654" t="n">
        <v>45824</v>
      </c>
      <c r="EK6" s="654" t="n">
        <v>45810</v>
      </c>
      <c r="EL6" s="654" t="n">
        <v>45800</v>
      </c>
      <c r="EM6" s="690" t="n">
        <v>45798</v>
      </c>
      <c r="EN6" s="655" t="n">
        <v>45798</v>
      </c>
      <c r="EO6" s="654" t="n">
        <v>45792</v>
      </c>
      <c r="EP6" s="690" t="n">
        <v>45791</v>
      </c>
      <c r="EQ6" s="684" t="n">
        <v>45785</v>
      </c>
      <c r="ER6" s="654" t="n">
        <v>45777</v>
      </c>
      <c r="ES6" s="654" t="n">
        <v>45751</v>
      </c>
      <c r="ET6" s="684" t="n">
        <v>45751</v>
      </c>
      <c r="EU6" s="655" t="n">
        <v>45750</v>
      </c>
      <c r="EV6" s="684" t="n">
        <v>45742</v>
      </c>
      <c r="EW6" s="654" t="n">
        <v>45735</v>
      </c>
      <c r="EX6" s="654" t="n">
        <v>45727</v>
      </c>
      <c r="EY6" s="654" t="n">
        <v>45727</v>
      </c>
      <c r="EZ6" s="654" t="n">
        <v>45713</v>
      </c>
      <c r="FA6" s="654" t="n">
        <v>45702</v>
      </c>
      <c r="FB6" s="654" t="n">
        <v>45695</v>
      </c>
      <c r="FC6" s="654" t="n">
        <v>45692</v>
      </c>
      <c r="FD6" s="654" t="n">
        <v>45686</v>
      </c>
      <c r="FE6" s="654" t="n">
        <v>45680</v>
      </c>
      <c r="FF6" s="654" t="n">
        <v>45670</v>
      </c>
      <c r="FG6" s="654" t="n">
        <v>45665</v>
      </c>
      <c r="FH6" s="654" t="n">
        <v>45659</v>
      </c>
      <c r="FJ6" s="6" t="n"/>
      <c r="FK6" s="6" t="n"/>
      <c r="FL6" s="6" t="n"/>
      <c r="FM6" s="6" t="n"/>
      <c r="FN6" s="6" t="n"/>
      <c r="FO6" s="6" t="n"/>
      <c r="FP6" s="6" t="n"/>
      <c r="FQ6" s="6" t="n"/>
      <c r="FR6" s="6" t="n"/>
      <c r="FS6" s="6" t="n"/>
      <c r="FT6" s="6" t="n"/>
      <c r="FU6" s="6" t="n"/>
      <c r="FV6" s="6" t="n"/>
      <c r="FW6" s="6" t="n"/>
      <c r="FX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575" t="n"/>
      <c r="CG7" s="6" t="n"/>
      <c r="CH7" s="89" t="n"/>
      <c r="CI7" s="89" t="n"/>
      <c r="CJ7" s="6" t="n"/>
      <c r="CK7" s="89" t="n"/>
      <c r="CL7" s="283" t="n"/>
      <c r="CM7" s="283" t="n"/>
      <c r="CN7" s="283" t="n"/>
      <c r="CO7" s="283" t="n"/>
      <c r="CP7" s="283" t="n"/>
      <c r="CQ7" s="575" t="inlineStr">
        <is>
          <t>MÃES</t>
        </is>
      </c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283" t="n"/>
      <c r="DJ7" s="575" t="n"/>
      <c r="DK7" s="283" t="n"/>
      <c r="DL7" s="575" t="n"/>
      <c r="DM7" s="283" t="n"/>
      <c r="DN7" s="283" t="n"/>
      <c r="DO7" s="283" t="n"/>
      <c r="DP7" s="575" t="n"/>
      <c r="DQ7" s="283" t="n"/>
      <c r="DR7" s="575" t="inlineStr">
        <is>
          <t>HA</t>
        </is>
      </c>
      <c r="DS7" s="283" t="n"/>
      <c r="DT7" s="283" t="n"/>
      <c r="DU7" s="283" t="n"/>
      <c r="DV7" s="283" t="n"/>
      <c r="DW7" s="283" t="n"/>
      <c r="DX7" s="575" t="inlineStr">
        <is>
          <t>PAIS/25</t>
        </is>
      </c>
      <c r="DY7" s="283" t="n"/>
      <c r="DZ7" s="283" t="n"/>
      <c r="EA7" s="283" t="n"/>
      <c r="EB7" s="283" t="n"/>
      <c r="EC7" s="283" t="n"/>
      <c r="ED7" s="575" t="inlineStr">
        <is>
          <t>PAIS/25</t>
        </is>
      </c>
      <c r="EE7" s="283" t="n"/>
      <c r="EF7" s="575" t="n"/>
      <c r="EG7" s="575" t="n"/>
      <c r="EH7" s="283" t="n"/>
      <c r="EI7" s="283" t="n"/>
      <c r="EJ7" s="283" t="n"/>
      <c r="EK7" s="283" t="n"/>
      <c r="EL7" s="283" t="n"/>
      <c r="EM7" s="575" t="inlineStr">
        <is>
          <t>NAMO/25</t>
        </is>
      </c>
      <c r="EN7" s="575" t="n"/>
      <c r="EO7" s="575" t="n"/>
      <c r="EP7" s="283" t="n"/>
      <c r="EQ7" s="575" t="inlineStr">
        <is>
          <t>MÃES/25</t>
        </is>
      </c>
      <c r="ER7" s="575" t="n"/>
      <c r="ES7" s="575" t="n"/>
      <c r="ET7" s="575" t="inlineStr">
        <is>
          <t>MÃES/25</t>
        </is>
      </c>
      <c r="EU7" s="575" t="n"/>
      <c r="EV7" s="575" t="inlineStr">
        <is>
          <t>MÃES/25</t>
        </is>
      </c>
      <c r="EW7" s="575" t="n"/>
      <c r="EX7" s="575" t="n"/>
      <c r="EY7" s="575" t="n"/>
      <c r="EZ7" s="575" t="n"/>
      <c r="FA7" s="575" t="n"/>
      <c r="FB7" s="575" t="n"/>
      <c r="FC7" s="575" t="n"/>
      <c r="FD7" s="575" t="n"/>
      <c r="FE7" s="575" t="n"/>
      <c r="FF7" s="575" t="n"/>
      <c r="FG7" s="575" t="n"/>
      <c r="FH7" s="575" t="n"/>
      <c r="FI7" s="658" t="n"/>
      <c r="FJ7" s="658" t="n"/>
      <c r="FK7" s="658" t="n"/>
      <c r="FL7" s="658" t="n"/>
      <c r="FM7" s="658" t="n"/>
      <c r="FN7" s="658" t="n"/>
      <c r="FO7" s="658" t="n"/>
      <c r="FP7" s="670" t="n"/>
      <c r="FQ7" s="747" t="n"/>
      <c r="FR7" s="658" t="n"/>
      <c r="FS7" s="505" t="n"/>
      <c r="FT7" s="505" t="n"/>
      <c r="FU7" s="505" t="n"/>
      <c r="FV7" s="505" t="n"/>
      <c r="FW7" s="505" t="n"/>
      <c r="FX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350</v>
      </c>
      <c r="E8" s="6" t="n"/>
      <c r="F8" s="38">
        <f>410+FE8</f>
        <v/>
      </c>
      <c r="G8" s="38" t="n">
        <v>570</v>
      </c>
      <c r="H8" s="38" t="n">
        <v>790</v>
      </c>
      <c r="I8" s="38" t="n">
        <v>660</v>
      </c>
      <c r="J8" s="38" t="n">
        <v>550</v>
      </c>
      <c r="K8" s="38" t="n">
        <v>530</v>
      </c>
      <c r="L8" s="38" t="n">
        <v>410</v>
      </c>
      <c r="M8" s="38" t="n">
        <v>370</v>
      </c>
      <c r="N8" s="38" t="n">
        <v>350</v>
      </c>
      <c r="O8" s="38" t="n">
        <v>280</v>
      </c>
      <c r="P8" s="38">
        <f>130+EU8</f>
        <v/>
      </c>
      <c r="Q8" s="38" t="n">
        <v>370</v>
      </c>
      <c r="R8" s="38" t="n">
        <v>310</v>
      </c>
      <c r="S8" s="38" t="n">
        <v>200</v>
      </c>
      <c r="T8" s="38" t="n">
        <v>460</v>
      </c>
      <c r="U8" s="38" t="n">
        <v>360</v>
      </c>
      <c r="V8" s="38" t="n">
        <v>280</v>
      </c>
      <c r="W8" s="38" t="n">
        <v>160</v>
      </c>
      <c r="X8" s="38" t="n">
        <v>400</v>
      </c>
      <c r="Y8" s="38" t="n">
        <v>300</v>
      </c>
      <c r="Z8" s="38">
        <f>780-300</f>
        <v/>
      </c>
      <c r="AA8" s="38" t="n">
        <v>430</v>
      </c>
      <c r="AB8" s="38" t="n">
        <v>320</v>
      </c>
      <c r="AC8" s="38" t="n">
        <v>270</v>
      </c>
      <c r="AD8" s="38" t="n">
        <v>150</v>
      </c>
      <c r="AE8" s="38">
        <f>70+EE8</f>
        <v/>
      </c>
      <c r="AF8" s="38" t="n">
        <v>320</v>
      </c>
      <c r="AG8" s="38" t="n">
        <v>170</v>
      </c>
      <c r="AH8" s="38" t="n">
        <v>150</v>
      </c>
      <c r="AI8" s="38" t="n">
        <v>340</v>
      </c>
      <c r="AJ8" s="38" t="n">
        <v>290</v>
      </c>
      <c r="AK8" s="38" t="n">
        <v>180</v>
      </c>
      <c r="AL8" s="38">
        <f>50+DX8</f>
        <v/>
      </c>
      <c r="AM8" s="38" t="n">
        <v>300</v>
      </c>
      <c r="AN8" s="38" t="n">
        <v>300</v>
      </c>
      <c r="AO8" s="38" t="n">
        <v>150</v>
      </c>
      <c r="AP8" s="38" t="n">
        <v>110</v>
      </c>
      <c r="AQ8" s="38" t="n">
        <v>340</v>
      </c>
      <c r="AR8" s="38" t="n">
        <v>250</v>
      </c>
      <c r="AS8" s="38">
        <f>220+DL8</f>
        <v/>
      </c>
      <c r="AT8" s="38" t="n">
        <v>330</v>
      </c>
      <c r="AU8" s="38">
        <f>270+DH8</f>
        <v/>
      </c>
      <c r="AV8" s="38" t="n">
        <v>540</v>
      </c>
      <c r="AW8" s="38" t="n">
        <v>330</v>
      </c>
      <c r="AX8" s="38">
        <f>320+DD8</f>
        <v/>
      </c>
      <c r="AY8" s="38" t="n">
        <v>460</v>
      </c>
      <c r="AZ8" s="38" t="n">
        <v>370</v>
      </c>
      <c r="BA8" s="38">
        <f>290+DC8</f>
        <v/>
      </c>
      <c r="BB8" s="38" t="n">
        <v>590</v>
      </c>
      <c r="BC8" s="38" t="n">
        <v>590</v>
      </c>
      <c r="BD8" s="38" t="n">
        <v>140</v>
      </c>
      <c r="BE8" s="38">
        <f>100+300+600</f>
        <v/>
      </c>
      <c r="BF8" s="38" t="n">
        <v>820</v>
      </c>
      <c r="BG8" s="38" t="n">
        <v>590</v>
      </c>
      <c r="BH8" s="38" t="n">
        <v>550</v>
      </c>
      <c r="BI8" s="38">
        <f>500+CU8</f>
        <v/>
      </c>
      <c r="BJ8" s="38" t="n">
        <v>710</v>
      </c>
      <c r="BK8" s="38" t="n">
        <v>680</v>
      </c>
      <c r="BL8" s="38" t="n">
        <v>350</v>
      </c>
      <c r="BM8" s="38" t="n">
        <v>340</v>
      </c>
      <c r="BN8" s="38" t="n">
        <v>500</v>
      </c>
      <c r="BO8" s="38" t="n">
        <v>450</v>
      </c>
      <c r="BP8" s="38" t="n">
        <v>400</v>
      </c>
      <c r="BQ8" s="38" t="n">
        <v>350</v>
      </c>
      <c r="BR8" s="38" t="n">
        <v>340</v>
      </c>
      <c r="BS8" s="38" t="n">
        <v>240</v>
      </c>
      <c r="BT8" s="38">
        <f>50+CL8</f>
        <v/>
      </c>
      <c r="BU8" s="38" t="n">
        <v>350</v>
      </c>
      <c r="BV8" s="38" t="n">
        <v>350</v>
      </c>
      <c r="BW8" s="38" t="n">
        <v>340</v>
      </c>
      <c r="BX8" s="38">
        <f>310+CK8</f>
        <v/>
      </c>
      <c r="BY8" s="38" t="n">
        <v>500</v>
      </c>
      <c r="BZ8" s="38" t="n"/>
      <c r="CA8" s="38" t="n"/>
      <c r="CB8" s="38" t="n"/>
      <c r="CC8" s="9" t="n"/>
      <c r="CD8" s="9" t="n"/>
      <c r="CE8" s="9" t="n"/>
      <c r="CF8" s="154">
        <f>CD8+IF(NOT(ISBLANK(OFFSET(CF8,0,6))),N(OFFSET(CF8,0,6)),N(OFFSET(CF8,0,7)))-CE8</f>
        <v/>
      </c>
      <c r="CG8" s="6" t="n"/>
      <c r="CH8" s="19" t="inlineStr">
        <is>
          <t>300 P/ ATC</t>
        </is>
      </c>
      <c r="CI8" s="19" t="n">
        <v>300</v>
      </c>
      <c r="CJ8" s="6" t="n"/>
      <c r="CK8" s="23" t="n"/>
      <c r="CL8" s="691" t="n">
        <v>0</v>
      </c>
      <c r="CM8" s="18" t="n">
        <v>0</v>
      </c>
      <c r="CN8" s="18" t="n">
        <v>300</v>
      </c>
      <c r="CO8" s="18" t="n">
        <v>300</v>
      </c>
      <c r="CP8" s="18" t="n"/>
      <c r="CQ8" s="356" t="n"/>
      <c r="CR8" s="18" t="n"/>
      <c r="CS8" s="18" t="n"/>
      <c r="CT8" s="256" t="n"/>
      <c r="CU8" s="256" t="n"/>
      <c r="CV8" s="18" t="n">
        <v>300</v>
      </c>
      <c r="CW8" s="256" t="n"/>
      <c r="CX8" s="18" t="n">
        <v>300</v>
      </c>
      <c r="CY8" s="18" t="n"/>
      <c r="CZ8" s="256" t="n"/>
      <c r="DA8" s="18" t="n"/>
      <c r="DB8" s="18" t="n"/>
      <c r="DC8" s="18" t="n">
        <v>600</v>
      </c>
      <c r="DD8" s="154" t="inlineStr">
        <is>
          <t>300 DE CD</t>
        </is>
      </c>
      <c r="DE8" s="18" t="n"/>
      <c r="DF8" s="18" t="n">
        <v>300</v>
      </c>
      <c r="DG8" s="18" t="n">
        <v>300</v>
      </c>
      <c r="DH8" s="18" t="n"/>
      <c r="DI8" s="18" t="n"/>
      <c r="DJ8" s="256" t="n"/>
      <c r="DK8" s="18" t="n">
        <v>300</v>
      </c>
      <c r="DL8" s="256" t="n"/>
      <c r="DM8" s="18" t="n"/>
      <c r="DN8" s="18" t="n"/>
      <c r="DO8" s="18" t="n">
        <v>300</v>
      </c>
      <c r="DP8" s="256" t="n"/>
      <c r="DQ8" s="18" t="n"/>
      <c r="DR8" s="256" t="n"/>
      <c r="DS8" s="18" t="n"/>
      <c r="DT8" s="18" t="n">
        <v>300</v>
      </c>
      <c r="DU8" s="18" t="n"/>
      <c r="DV8" s="18" t="n"/>
      <c r="DW8" s="18" t="n"/>
      <c r="DX8" s="256" t="n"/>
      <c r="DY8" s="18" t="n"/>
      <c r="DZ8" s="18" t="n"/>
      <c r="EA8" s="18" t="n">
        <v>300</v>
      </c>
      <c r="EB8" s="18" t="n"/>
      <c r="EC8" s="18" t="n">
        <v>300</v>
      </c>
      <c r="ED8" s="256" t="n"/>
      <c r="EE8" s="18" t="n"/>
      <c r="EF8" s="256" t="n"/>
      <c r="EG8" s="256" t="n"/>
      <c r="EH8" s="18" t="n">
        <v>300</v>
      </c>
      <c r="EI8" s="18" t="n"/>
      <c r="EJ8" s="18" t="n"/>
      <c r="EK8" s="18" t="n"/>
      <c r="EL8" s="18" t="n"/>
      <c r="EM8" s="256" t="n"/>
      <c r="EN8" s="241" t="inlineStr">
        <is>
          <t>300 P/ PBE</t>
        </is>
      </c>
      <c r="EO8" s="18" t="n">
        <v>600</v>
      </c>
      <c r="EP8" s="256" t="n"/>
      <c r="EQ8" s="256" t="n"/>
      <c r="ER8" s="18" t="n">
        <v>300</v>
      </c>
      <c r="ES8" s="18" t="n">
        <v>300</v>
      </c>
      <c r="ET8" s="256" t="n"/>
      <c r="EU8" s="18" t="n"/>
      <c r="EV8" s="256" t="n"/>
      <c r="EW8" s="18" t="n"/>
      <c r="EX8" s="18" t="n">
        <v>300</v>
      </c>
      <c r="EY8" s="18" t="n"/>
      <c r="EZ8" s="18" t="n"/>
      <c r="FA8" s="18" t="n"/>
      <c r="FB8" s="18" t="n"/>
      <c r="FC8" s="18" t="n"/>
      <c r="FD8" s="18" t="n"/>
      <c r="FE8" s="18" t="n"/>
      <c r="FF8" s="18" t="n">
        <v>300</v>
      </c>
      <c r="FG8" s="18" t="n"/>
      <c r="FH8" s="18" t="n">
        <v>300</v>
      </c>
      <c r="FJ8" s="267" t="inlineStr">
        <is>
          <t xml:space="preserve">SACOLAS </t>
        </is>
      </c>
      <c r="FK8" s="205" t="inlineStr">
        <is>
          <t>PCT</t>
        </is>
      </c>
      <c r="FL8" s="650" t="n">
        <v>46118</v>
      </c>
      <c r="FM8" s="650" t="n">
        <v>46125</v>
      </c>
      <c r="FN8" s="650" t="n">
        <v>46132</v>
      </c>
      <c r="FO8" s="650" t="n">
        <v>46139</v>
      </c>
      <c r="FP8" s="650" t="n">
        <v>46146</v>
      </c>
      <c r="FQ8" s="650" t="n">
        <v>46154</v>
      </c>
      <c r="FR8" s="650" t="n">
        <v>46160</v>
      </c>
      <c r="FS8" s="650" t="n">
        <v>46160</v>
      </c>
      <c r="FT8" s="650" t="n">
        <v>46160</v>
      </c>
      <c r="FU8" s="651" t="n">
        <v>46161.48003243055</v>
      </c>
      <c r="FV8" s="651" t="n">
        <v>46161.48071204861</v>
      </c>
      <c r="FW8" s="651" t="n">
        <v>46161.48287029213</v>
      </c>
      <c r="FX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600</v>
      </c>
      <c r="E9" s="6" t="n"/>
      <c r="F9" s="38">
        <f>150+FE9</f>
        <v/>
      </c>
      <c r="G9" s="38">
        <f>900+FD9</f>
        <v/>
      </c>
      <c r="H9" s="38" t="n">
        <v>1700</v>
      </c>
      <c r="I9" s="38" t="n">
        <v>1320</v>
      </c>
      <c r="J9" s="38" t="n">
        <v>1200</v>
      </c>
      <c r="K9" s="38" t="n">
        <v>990</v>
      </c>
      <c r="L9" s="38">
        <f>810+EX9</f>
        <v/>
      </c>
      <c r="M9" s="38" t="n">
        <v>760</v>
      </c>
      <c r="N9" s="38">
        <f>650+EW9</f>
        <v/>
      </c>
      <c r="O9" s="38" t="n">
        <v>930</v>
      </c>
      <c r="P9" s="38">
        <f>590+EU9</f>
        <v/>
      </c>
      <c r="Q9" s="38">
        <f>600+ET9</f>
        <v/>
      </c>
      <c r="R9" s="38" t="n">
        <v>790</v>
      </c>
      <c r="S9" s="38" t="n">
        <v>560</v>
      </c>
      <c r="T9" s="38" t="n">
        <v>690</v>
      </c>
      <c r="U9" s="38" t="n">
        <v>510</v>
      </c>
      <c r="V9" s="38" t="n">
        <v>400</v>
      </c>
      <c r="W9" s="38" t="n">
        <v>400</v>
      </c>
      <c r="X9" s="38" t="n">
        <v>400</v>
      </c>
      <c r="Y9" s="38" t="n">
        <v>400</v>
      </c>
      <c r="Z9" s="38" t="n">
        <v>240</v>
      </c>
      <c r="AA9" s="38" t="n">
        <v>460</v>
      </c>
      <c r="AB9" s="38">
        <f>320+EH9</f>
        <v/>
      </c>
      <c r="AC9" s="38" t="n">
        <v>360</v>
      </c>
      <c r="AD9" s="38" t="n">
        <v>500</v>
      </c>
      <c r="AE9" s="38">
        <f>340+EE9</f>
        <v/>
      </c>
      <c r="AF9" s="38" t="n">
        <v>820</v>
      </c>
      <c r="AG9" s="38" t="n">
        <v>870</v>
      </c>
      <c r="AH9" s="38" t="n">
        <v>670</v>
      </c>
      <c r="AI9" s="38" t="n">
        <v>510</v>
      </c>
      <c r="AJ9" s="38">
        <f>410+DY9</f>
        <v/>
      </c>
      <c r="AK9" s="38" t="n">
        <v>390</v>
      </c>
      <c r="AL9" s="38">
        <f>180+DX9</f>
        <v/>
      </c>
      <c r="AM9" s="38" t="n">
        <v>610</v>
      </c>
      <c r="AN9" s="38" t="n">
        <v>530</v>
      </c>
      <c r="AO9" s="38">
        <f>380+DS9</f>
        <v/>
      </c>
      <c r="AP9" s="38" t="n">
        <v>400</v>
      </c>
      <c r="AQ9" s="38" t="n">
        <v>480</v>
      </c>
      <c r="AR9" s="38" t="n">
        <v>440</v>
      </c>
      <c r="AS9" s="38">
        <f>400+DL9</f>
        <v/>
      </c>
      <c r="AT9" s="38" t="n">
        <v>400</v>
      </c>
      <c r="AU9" s="38">
        <f>200+DH9</f>
        <v/>
      </c>
      <c r="AV9" s="38" t="n">
        <v>200</v>
      </c>
      <c r="AW9" s="38">
        <f>70+DE9</f>
        <v/>
      </c>
      <c r="AX9" s="38" t="n">
        <v>480</v>
      </c>
      <c r="AY9" s="38" t="n">
        <v>480</v>
      </c>
      <c r="AZ9" s="38" t="n">
        <v>480</v>
      </c>
      <c r="BA9" s="38" t="n">
        <v>480</v>
      </c>
      <c r="BB9" s="38" t="n">
        <v>480</v>
      </c>
      <c r="BC9" s="38" t="n">
        <v>480</v>
      </c>
      <c r="BD9" s="38" t="n">
        <v>340</v>
      </c>
      <c r="BE9" s="38">
        <f>200+400+800</f>
        <v/>
      </c>
      <c r="BF9" s="38" t="n">
        <v>450</v>
      </c>
      <c r="BG9" s="38" t="n">
        <v>160</v>
      </c>
      <c r="BH9" s="38">
        <f>580+400</f>
        <v/>
      </c>
      <c r="BI9" s="38">
        <f>550+CV9+CU9</f>
        <v/>
      </c>
      <c r="BJ9" s="38" t="n">
        <v>1400</v>
      </c>
      <c r="BK9" s="38" t="n">
        <v>1340</v>
      </c>
      <c r="BL9" s="38" t="n">
        <v>1220</v>
      </c>
      <c r="BM9" s="38" t="n">
        <v>910</v>
      </c>
      <c r="BN9" s="38">
        <f>1110-200-200</f>
        <v/>
      </c>
      <c r="BO9" s="38" t="n">
        <v>650</v>
      </c>
      <c r="BP9" s="38" t="n">
        <v>400</v>
      </c>
      <c r="BQ9" s="38">
        <f>110+CP9</f>
        <v/>
      </c>
      <c r="BR9" s="38">
        <f>120+CO9</f>
        <v/>
      </c>
      <c r="BS9" s="38" t="n">
        <v>320</v>
      </c>
      <c r="BT9" s="38">
        <f>0+CL9</f>
        <v/>
      </c>
      <c r="BU9" s="38" t="n">
        <v>600</v>
      </c>
      <c r="BV9" s="38" t="n">
        <v>600</v>
      </c>
      <c r="BW9" s="38" t="n">
        <v>600</v>
      </c>
      <c r="BX9" s="38" t="n">
        <v>600</v>
      </c>
      <c r="BY9" s="38" t="n">
        <v>600</v>
      </c>
      <c r="BZ9" s="38" t="n"/>
      <c r="CA9" s="38" t="n"/>
      <c r="CB9" s="38" t="n"/>
      <c r="CC9" s="9" t="n"/>
      <c r="CD9" s="9" t="n"/>
      <c r="CE9" s="9" t="n"/>
      <c r="CF9" s="154">
        <f>CD9+IF(NOT(ISBLANK(OFFSET(CF9,0,6))),N(OFFSET(CF9,0,6)),N(OFFSET(CF9,0,7)))-CE9</f>
        <v/>
      </c>
      <c r="CG9" s="6" t="n"/>
      <c r="CH9" s="19" t="n"/>
      <c r="CI9" s="19" t="n">
        <v>200</v>
      </c>
      <c r="CJ9" s="6" t="n"/>
      <c r="CK9" s="23" t="n"/>
      <c r="CL9" s="691" t="n">
        <v>0</v>
      </c>
      <c r="CM9" s="18" t="n">
        <v>0</v>
      </c>
      <c r="CN9" s="18" t="n">
        <v>0</v>
      </c>
      <c r="CO9" s="18" t="n">
        <v>600</v>
      </c>
      <c r="CP9" s="18" t="n"/>
      <c r="CQ9" s="256" t="n">
        <v>1200</v>
      </c>
      <c r="CR9" s="18" t="n">
        <v>400</v>
      </c>
      <c r="CS9" s="18" t="n">
        <v>200</v>
      </c>
      <c r="CT9" s="154" t="inlineStr">
        <is>
          <t>200 P/ PBE</t>
        </is>
      </c>
      <c r="CU9" s="154" t="inlineStr">
        <is>
          <t>200 P/ BQ</t>
        </is>
      </c>
      <c r="CV9" s="18" t="n">
        <v>400</v>
      </c>
      <c r="CW9" s="18" t="n"/>
      <c r="CX9" s="18" t="n">
        <v>400</v>
      </c>
      <c r="CY9" s="18" t="n">
        <v>400</v>
      </c>
      <c r="CZ9" s="154" t="inlineStr">
        <is>
          <t>400 DE ER MG</t>
        </is>
      </c>
      <c r="DA9" s="18" t="n">
        <v>600</v>
      </c>
      <c r="DB9" s="18" t="n"/>
      <c r="DC9" s="18" t="n">
        <v>800</v>
      </c>
      <c r="DD9" s="154" t="inlineStr">
        <is>
          <t>400 DE CD</t>
        </is>
      </c>
      <c r="DE9" s="18" t="n"/>
      <c r="DF9" s="18" t="n"/>
      <c r="DG9" s="18" t="n"/>
      <c r="DH9" s="18" t="n">
        <v>600</v>
      </c>
      <c r="DI9" s="18" t="n"/>
      <c r="DJ9" s="256" t="n"/>
      <c r="DK9" s="18" t="n">
        <v>400</v>
      </c>
      <c r="DL9" s="256" t="n">
        <v>1400</v>
      </c>
      <c r="DM9" s="18" t="n"/>
      <c r="DN9" s="18" t="n"/>
      <c r="DO9" s="18" t="n">
        <v>200</v>
      </c>
      <c r="DP9" s="256" t="n"/>
      <c r="DQ9" s="18" t="n">
        <v>200</v>
      </c>
      <c r="DR9" s="256" t="n"/>
      <c r="DS9" s="18" t="n"/>
      <c r="DT9" s="18" t="n">
        <v>200</v>
      </c>
      <c r="DU9" s="18" t="n"/>
      <c r="DV9" s="18" t="n">
        <v>200</v>
      </c>
      <c r="DW9" s="18" t="n"/>
      <c r="DX9" s="256" t="n"/>
      <c r="DY9" s="18" t="n"/>
      <c r="DZ9" s="18" t="n">
        <v>200</v>
      </c>
      <c r="EA9" s="18" t="n">
        <v>400</v>
      </c>
      <c r="EB9" s="18" t="n">
        <v>200</v>
      </c>
      <c r="EC9" s="18" t="n"/>
      <c r="ED9" s="256" t="n"/>
      <c r="EE9" s="18" t="n">
        <v>200</v>
      </c>
      <c r="EF9" s="256" t="n"/>
      <c r="EG9" s="256" t="n"/>
      <c r="EH9" s="18" t="n">
        <v>600</v>
      </c>
      <c r="EI9" s="18" t="n"/>
      <c r="EJ9" s="18" t="n">
        <v>400</v>
      </c>
      <c r="EK9" s="18" t="n">
        <v>200</v>
      </c>
      <c r="EL9" s="18" t="n">
        <v>400</v>
      </c>
      <c r="EM9" s="256" t="n"/>
      <c r="EN9" s="18" t="n"/>
      <c r="EO9" s="18" t="n"/>
      <c r="EP9" s="256" t="n"/>
      <c r="EQ9" s="256" t="n"/>
      <c r="ER9" s="18" t="n"/>
      <c r="ES9" s="18" t="n">
        <v>200</v>
      </c>
      <c r="ET9" s="256" t="n"/>
      <c r="EU9" s="18" t="n"/>
      <c r="EV9" s="256" t="n">
        <v>1000</v>
      </c>
      <c r="EW9" s="18" t="n">
        <v>400</v>
      </c>
      <c r="EX9" s="18" t="n">
        <v>200</v>
      </c>
      <c r="EY9" s="18" t="n"/>
      <c r="EZ9" s="18" t="n">
        <v>400</v>
      </c>
      <c r="FA9" s="18" t="n">
        <v>200</v>
      </c>
      <c r="FB9" s="18" t="n"/>
      <c r="FC9" s="18" t="n"/>
      <c r="FD9" s="18" t="n"/>
      <c r="FE9" s="18" t="n"/>
      <c r="FF9" s="18" t="n">
        <v>200</v>
      </c>
      <c r="FG9" s="18" t="n">
        <v>600</v>
      </c>
      <c r="FH9" s="18" t="n">
        <v>1000</v>
      </c>
      <c r="FJ9" s="159" t="inlineStr">
        <is>
          <t xml:space="preserve">SACOLA P </t>
        </is>
      </c>
      <c r="FK9" s="129" t="n">
        <v>200</v>
      </c>
      <c r="FL9" s="38">
        <f>CN9</f>
        <v/>
      </c>
      <c r="FM9" s="38" t="n">
        <v>1000</v>
      </c>
      <c r="FN9" s="38" t="n">
        <v>950</v>
      </c>
      <c r="FO9" s="38" t="n">
        <v>830</v>
      </c>
      <c r="FP9" s="38" t="n">
        <v>670</v>
      </c>
      <c r="FQ9" s="38" t="n">
        <v>0</v>
      </c>
      <c r="FR9" s="38" t="n"/>
      <c r="FS9" s="38" t="n"/>
      <c r="FT9" s="38" t="n"/>
      <c r="FU9" s="9" t="n"/>
      <c r="FV9" s="9" t="n"/>
      <c r="FW9" s="9" t="n"/>
      <c r="FX9" s="246">
        <f>FV9+IF(NOT(ISBLANK(OFFSET(FX9,0,6))),N(OFFSET(FX9,0,6)),N(OFFSET(FX9,0,7)))-FW9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400</v>
      </c>
      <c r="E10" s="6" t="n"/>
      <c r="F10" s="38">
        <f>110+FE10</f>
        <v/>
      </c>
      <c r="G10" s="38">
        <f>650+FD10</f>
        <v/>
      </c>
      <c r="H10" s="38" t="n">
        <v>740</v>
      </c>
      <c r="I10" s="38">
        <f>690+FB10</f>
        <v/>
      </c>
      <c r="J10" s="38" t="n">
        <v>1010</v>
      </c>
      <c r="K10" s="38" t="n">
        <v>1560</v>
      </c>
      <c r="L10" s="38" t="n">
        <v>1450</v>
      </c>
      <c r="M10" s="38" t="n">
        <v>1360</v>
      </c>
      <c r="N10" s="38" t="n">
        <v>1330</v>
      </c>
      <c r="O10" s="38" t="n">
        <v>1280</v>
      </c>
      <c r="P10" s="38" t="n">
        <v>1110</v>
      </c>
      <c r="Q10" s="38" t="n">
        <v>1040</v>
      </c>
      <c r="R10" s="38" t="n">
        <v>1010</v>
      </c>
      <c r="S10" s="38" t="n">
        <v>910</v>
      </c>
      <c r="T10" s="38" t="n">
        <v>870</v>
      </c>
      <c r="U10" s="38" t="n">
        <v>800</v>
      </c>
      <c r="V10" s="38" t="n">
        <v>800</v>
      </c>
      <c r="W10" s="38" t="n">
        <v>800</v>
      </c>
      <c r="X10" s="38" t="n">
        <v>800</v>
      </c>
      <c r="Y10" s="38" t="n">
        <v>700</v>
      </c>
      <c r="Z10" s="38">
        <f>630-200</f>
        <v/>
      </c>
      <c r="AA10" s="38" t="n">
        <v>370</v>
      </c>
      <c r="AB10" s="38" t="n">
        <v>250</v>
      </c>
      <c r="AC10" s="38" t="n">
        <v>250</v>
      </c>
      <c r="AD10" s="38" t="n">
        <v>250</v>
      </c>
      <c r="AE10" s="38">
        <f>170+EE10</f>
        <v/>
      </c>
      <c r="AF10" s="38" t="n">
        <v>500</v>
      </c>
      <c r="AG10" s="38" t="n">
        <v>430</v>
      </c>
      <c r="AH10" s="38" t="n">
        <v>380</v>
      </c>
      <c r="AI10" s="38" t="n">
        <v>290</v>
      </c>
      <c r="AJ10" s="38" t="n">
        <v>200</v>
      </c>
      <c r="AK10" s="38" t="n">
        <v>200</v>
      </c>
      <c r="AL10" s="38">
        <f>190+DX10</f>
        <v/>
      </c>
      <c r="AM10" s="38" t="n">
        <v>510</v>
      </c>
      <c r="AN10" s="38" t="n">
        <v>460</v>
      </c>
      <c r="AO10" s="38" t="n">
        <v>360</v>
      </c>
      <c r="AP10" s="38" t="n">
        <v>300</v>
      </c>
      <c r="AQ10" s="38" t="n">
        <v>430</v>
      </c>
      <c r="AR10" s="38" t="n">
        <v>530</v>
      </c>
      <c r="AS10" s="38">
        <f>510+DL10</f>
        <v/>
      </c>
      <c r="AT10" s="38" t="n">
        <v>610</v>
      </c>
      <c r="AU10" s="38" t="n">
        <v>530</v>
      </c>
      <c r="AV10" s="38" t="n">
        <v>450</v>
      </c>
      <c r="AW10" s="38" t="n">
        <v>370</v>
      </c>
      <c r="AX10" s="38">
        <f>340+DD10</f>
        <v/>
      </c>
      <c r="AY10" s="38" t="n">
        <v>340</v>
      </c>
      <c r="AZ10" s="38" t="n">
        <v>540</v>
      </c>
      <c r="BA10" s="38" t="n">
        <v>540</v>
      </c>
      <c r="BB10" s="38" t="n">
        <v>540</v>
      </c>
      <c r="BC10" s="38" t="n">
        <v>540</v>
      </c>
      <c r="BD10" s="38" t="n">
        <v>350</v>
      </c>
      <c r="BE10" s="38">
        <f>200+200+400</f>
        <v/>
      </c>
      <c r="BF10" s="38" t="n">
        <v>150</v>
      </c>
      <c r="BG10" s="38" t="n">
        <v>100</v>
      </c>
      <c r="BH10" s="38">
        <f>500+800</f>
        <v/>
      </c>
      <c r="BI10" s="38">
        <f>1290+CU10</f>
        <v/>
      </c>
      <c r="BJ10" s="38" t="n">
        <v>1490</v>
      </c>
      <c r="BK10" s="38" t="n">
        <v>1450</v>
      </c>
      <c r="BL10" s="38" t="n">
        <v>1220</v>
      </c>
      <c r="BM10" s="38" t="n">
        <v>1220</v>
      </c>
      <c r="BN10" s="38">
        <f>1220-400</f>
        <v/>
      </c>
      <c r="BO10" s="38" t="n">
        <v>820</v>
      </c>
      <c r="BP10" s="38" t="n">
        <v>650</v>
      </c>
      <c r="BQ10" s="38" t="n">
        <v>580</v>
      </c>
      <c r="BR10" s="38" t="n">
        <v>460</v>
      </c>
      <c r="BS10" s="38" t="n">
        <v>420</v>
      </c>
      <c r="BT10" s="38" t="n">
        <v>400</v>
      </c>
      <c r="BU10" s="38" t="n">
        <v>300</v>
      </c>
      <c r="BV10" s="38" t="n">
        <v>240</v>
      </c>
      <c r="BW10" s="38" t="n">
        <v>200</v>
      </c>
      <c r="BX10" s="38" t="n">
        <v>200</v>
      </c>
      <c r="BY10" s="38" t="n">
        <v>200</v>
      </c>
      <c r="BZ10" s="38" t="n"/>
      <c r="CA10" s="38" t="n"/>
      <c r="CB10" s="38" t="n"/>
      <c r="CC10" s="9" t="n"/>
      <c r="CD10" s="9" t="n"/>
      <c r="CE10" s="9" t="n"/>
      <c r="CF10" s="154">
        <f>CD10+IF(NOT(ISBLANK(OFFSET(CF10,0,6))),N(OFFSET(CF10,0,6)),N(OFFSET(CF10,0,7)))-CE10</f>
        <v/>
      </c>
      <c r="CG10" s="6" t="n"/>
      <c r="CH10" s="19" t="n"/>
      <c r="CI10" s="19" t="n">
        <v>200</v>
      </c>
      <c r="CJ10" s="6" t="n"/>
      <c r="CK10" s="23" t="n"/>
      <c r="CL10" s="691" t="n">
        <v>0</v>
      </c>
      <c r="CM10" s="18" t="n">
        <v>0</v>
      </c>
      <c r="CN10" s="18" t="n">
        <v>0</v>
      </c>
      <c r="CO10" s="18" t="n"/>
      <c r="CP10" s="18" t="n"/>
      <c r="CQ10" s="256" t="n">
        <v>600</v>
      </c>
      <c r="CR10" s="18" t="n"/>
      <c r="CS10" s="18" t="n"/>
      <c r="CT10" s="256" t="n"/>
      <c r="CU10" s="154" t="inlineStr">
        <is>
          <t>400 P/ PL</t>
        </is>
      </c>
      <c r="CV10" s="18" t="n"/>
      <c r="CW10" s="18" t="n"/>
      <c r="CX10" s="18" t="n">
        <v>200</v>
      </c>
      <c r="CY10" s="18" t="n"/>
      <c r="CZ10" s="154" t="inlineStr">
        <is>
          <t>800 DE ER MG</t>
        </is>
      </c>
      <c r="DA10" s="18" t="n">
        <v>400</v>
      </c>
      <c r="DB10" s="18" t="n"/>
      <c r="DC10" s="18" t="n">
        <v>400</v>
      </c>
      <c r="DD10" s="154" t="inlineStr">
        <is>
          <t>200 DE CD</t>
        </is>
      </c>
      <c r="DE10" s="18" t="n"/>
      <c r="DF10" s="18" t="n"/>
      <c r="DG10" s="18" t="n">
        <v>200</v>
      </c>
      <c r="DH10" s="18" t="n"/>
      <c r="DI10" s="18" t="n"/>
      <c r="DJ10" s="256" t="n"/>
      <c r="DK10" s="18" t="n"/>
      <c r="DL10" s="256" t="n">
        <v>600</v>
      </c>
      <c r="DM10" s="18" t="n"/>
      <c r="DN10" s="18" t="n"/>
      <c r="DO10" s="18" t="n">
        <v>200</v>
      </c>
      <c r="DP10" s="378" t="inlineStr">
        <is>
          <t>100 P/ ATC</t>
        </is>
      </c>
      <c r="DQ10" s="18" t="n">
        <v>200</v>
      </c>
      <c r="DR10" s="256" t="n">
        <v>200</v>
      </c>
      <c r="DS10" s="18" t="n"/>
      <c r="DT10" s="18" t="n">
        <v>200</v>
      </c>
      <c r="DU10" s="18" t="n"/>
      <c r="DV10" s="18" t="n"/>
      <c r="DW10" s="18" t="n"/>
      <c r="DX10" s="256" t="n"/>
      <c r="DY10" s="18" t="n"/>
      <c r="DZ10" s="18" t="n">
        <v>200</v>
      </c>
      <c r="EA10" s="18" t="n">
        <v>200</v>
      </c>
      <c r="EB10" s="18" t="n"/>
      <c r="EC10" s="18" t="n"/>
      <c r="ED10" s="256" t="n"/>
      <c r="EE10" s="18" t="n"/>
      <c r="EF10" s="256" t="n"/>
      <c r="EG10" s="256" t="n">
        <v>400</v>
      </c>
      <c r="EH10" s="18" t="n">
        <v>400</v>
      </c>
      <c r="EI10" s="18" t="n"/>
      <c r="EJ10" s="18" t="n"/>
      <c r="EK10" s="18" t="n"/>
      <c r="EL10" s="18" t="n"/>
      <c r="EM10" s="256" t="n"/>
      <c r="EN10" s="241" t="inlineStr">
        <is>
          <t>200 P/ PBE</t>
        </is>
      </c>
      <c r="EO10" s="18" t="n"/>
      <c r="EP10" s="256" t="n">
        <v>400</v>
      </c>
      <c r="EQ10" s="256" t="n"/>
      <c r="ER10" s="18" t="n"/>
      <c r="ES10" s="18" t="n"/>
      <c r="ET10" s="256" t="n"/>
      <c r="EU10" s="18" t="n"/>
      <c r="EV10" s="256" t="n">
        <v>600</v>
      </c>
      <c r="EW10" s="18" t="n"/>
      <c r="EX10" s="18" t="n"/>
      <c r="EY10" s="18" t="n"/>
      <c r="EZ10" s="18" t="n"/>
      <c r="FA10" s="18" t="n"/>
      <c r="FB10" s="18" t="n"/>
      <c r="FC10" s="18" t="n">
        <v>600</v>
      </c>
      <c r="FD10" s="18" t="n"/>
      <c r="FE10" s="18" t="n">
        <v>400</v>
      </c>
      <c r="FF10" s="18" t="n"/>
      <c r="FG10" s="18" t="n">
        <v>200</v>
      </c>
      <c r="FH10" s="18" t="n">
        <v>600</v>
      </c>
      <c r="FJ10" s="29" t="inlineStr">
        <is>
          <t xml:space="preserve">SACOLA M </t>
        </is>
      </c>
      <c r="FK10" s="9" t="n">
        <v>200</v>
      </c>
      <c r="FL10" s="38">
        <f>CN10</f>
        <v/>
      </c>
      <c r="FM10" s="38" t="n">
        <v>600</v>
      </c>
      <c r="FN10" s="38" t="n">
        <v>540</v>
      </c>
      <c r="FO10" s="38" t="n">
        <v>470</v>
      </c>
      <c r="FP10" s="38" t="n">
        <v>330</v>
      </c>
      <c r="FQ10" s="38" t="n">
        <v>20</v>
      </c>
      <c r="FR10" s="38" t="n"/>
      <c r="FS10" s="38" t="n"/>
      <c r="FT10" s="38" t="n"/>
      <c r="FU10" s="9" t="n"/>
      <c r="FV10" s="9" t="n"/>
      <c r="FW10" s="9" t="n"/>
      <c r="FX10" s="246">
        <f>FV10+IF(NOT(ISBLANK(OFFSET(FX10,0,6))),N(OFFSET(FX10,0,6)),N(OFFSET(FX10,0,7)))-FW10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40</v>
      </c>
      <c r="E11" s="6" t="n"/>
      <c r="F11" s="38" t="n">
        <v>100</v>
      </c>
      <c r="G11" s="38" t="n">
        <v>100</v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60</v>
      </c>
      <c r="M11" s="38" t="n">
        <v>30</v>
      </c>
      <c r="N11" s="38" t="n">
        <v>30</v>
      </c>
      <c r="O11" s="38" t="n">
        <v>30</v>
      </c>
      <c r="P11" s="38" t="n">
        <v>20</v>
      </c>
      <c r="Q11" s="38">
        <f>20+ET11</f>
        <v/>
      </c>
      <c r="R11" s="38" t="n">
        <v>120</v>
      </c>
      <c r="S11" s="38" t="n">
        <v>110</v>
      </c>
      <c r="T11" s="38" t="n">
        <v>100</v>
      </c>
      <c r="U11" s="38" t="n">
        <v>100</v>
      </c>
      <c r="V11" s="38" t="n">
        <v>100</v>
      </c>
      <c r="W11" s="38" t="n">
        <v>100</v>
      </c>
      <c r="X11" s="38" t="n">
        <v>100</v>
      </c>
      <c r="Y11" s="38" t="n">
        <v>50</v>
      </c>
      <c r="Z11" s="38" t="n">
        <v>140</v>
      </c>
      <c r="AA11" s="38" t="n">
        <v>140</v>
      </c>
      <c r="AB11" s="38" t="n">
        <v>140</v>
      </c>
      <c r="AC11" s="38" t="n">
        <v>140</v>
      </c>
      <c r="AD11" s="38" t="n">
        <v>140</v>
      </c>
      <c r="AE11" s="38" t="n">
        <v>140</v>
      </c>
      <c r="AF11" s="38" t="n">
        <v>140</v>
      </c>
      <c r="AG11" s="38" t="n">
        <v>140</v>
      </c>
      <c r="AH11" s="38" t="n">
        <v>120</v>
      </c>
      <c r="AI11" s="38" t="n">
        <v>120</v>
      </c>
      <c r="AJ11" s="38" t="n">
        <v>120</v>
      </c>
      <c r="AK11" s="38" t="n">
        <v>80</v>
      </c>
      <c r="AL11" s="38" t="n">
        <v>50</v>
      </c>
      <c r="AM11" s="38" t="n">
        <v>50</v>
      </c>
      <c r="AN11" s="38" t="n">
        <v>40</v>
      </c>
      <c r="AO11" s="38">
        <f>20+DS11</f>
        <v/>
      </c>
      <c r="AP11" s="38" t="n">
        <v>120</v>
      </c>
      <c r="AQ11" s="38" t="n">
        <v>120</v>
      </c>
      <c r="AR11" s="38" t="n">
        <v>110</v>
      </c>
      <c r="AS11" s="38" t="n">
        <v>110</v>
      </c>
      <c r="AT11" s="38" t="n">
        <v>110</v>
      </c>
      <c r="AU11" s="38" t="n">
        <v>110</v>
      </c>
      <c r="AV11" s="38" t="n">
        <v>100</v>
      </c>
      <c r="AW11" s="38" t="n">
        <v>100</v>
      </c>
      <c r="AX11" s="38" t="n">
        <v>100</v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100</v>
      </c>
      <c r="BF11" s="38" t="n">
        <v>30</v>
      </c>
      <c r="BG11" s="38" t="n">
        <v>30</v>
      </c>
      <c r="BH11" s="38">
        <f>130+300</f>
        <v/>
      </c>
      <c r="BI11" s="38" t="n">
        <v>400</v>
      </c>
      <c r="BJ11" s="38" t="n">
        <v>400</v>
      </c>
      <c r="BK11" s="38">
        <f>400-200</f>
        <v/>
      </c>
      <c r="BL11" s="38" t="n">
        <v>200</v>
      </c>
      <c r="BM11" s="38" t="n">
        <v>200</v>
      </c>
      <c r="BN11" s="38" t="n">
        <v>200</v>
      </c>
      <c r="BO11" s="261" t="n">
        <v>200</v>
      </c>
      <c r="BP11" s="38" t="n">
        <v>200</v>
      </c>
      <c r="BQ11" s="38" t="n">
        <v>0</v>
      </c>
      <c r="BR11" s="38" t="n">
        <v>0</v>
      </c>
      <c r="BS11" s="38">
        <f>0+CM11</f>
        <v/>
      </c>
      <c r="BT11" s="38" t="n">
        <v>100</v>
      </c>
      <c r="BU11" s="38" t="n">
        <v>100</v>
      </c>
      <c r="BV11" s="38" t="n">
        <v>0</v>
      </c>
      <c r="BW11" s="38" t="n">
        <v>0</v>
      </c>
      <c r="BX11" s="38" t="n">
        <v>0</v>
      </c>
      <c r="BY11" s="38" t="n">
        <v>0</v>
      </c>
      <c r="BZ11" s="38" t="n"/>
      <c r="CA11" s="38" t="n"/>
      <c r="CB11" s="38" t="n"/>
      <c r="CC11" s="9" t="n"/>
      <c r="CD11" s="9" t="n"/>
      <c r="CE11" s="9" t="n"/>
      <c r="CF11" s="154">
        <f>CD11+IF(NOT(ISBLANK(OFFSET(CF11,0,6))),N(OFFSET(CF11,0,6)),N(OFFSET(CF11,0,7)))-CE11</f>
        <v/>
      </c>
      <c r="CG11" s="6" t="n"/>
      <c r="CH11" s="19" t="inlineStr">
        <is>
          <t>100 de ER MG</t>
        </is>
      </c>
      <c r="CI11" s="19" t="n"/>
      <c r="CJ11" s="6" t="n"/>
      <c r="CK11" s="318" t="n"/>
      <c r="CL11" s="691" t="n">
        <v>0</v>
      </c>
      <c r="CM11" s="18" t="n">
        <v>0</v>
      </c>
      <c r="CN11" s="18" t="n">
        <v>0</v>
      </c>
      <c r="CO11" s="18" t="n"/>
      <c r="CP11" s="18" t="n">
        <v>100</v>
      </c>
      <c r="CQ11" s="256" t="n">
        <v>100</v>
      </c>
      <c r="CR11" s="18" t="n"/>
      <c r="CS11" s="18" t="n"/>
      <c r="CT11" s="256" t="n"/>
      <c r="CU11" s="154" t="n"/>
      <c r="CV11" s="18" t="n"/>
      <c r="CW11" s="154" t="inlineStr">
        <is>
          <t>200 P/ PBE</t>
        </is>
      </c>
      <c r="CX11" s="18" t="n"/>
      <c r="CY11" s="18" t="n"/>
      <c r="CZ11" s="154" t="inlineStr">
        <is>
          <t>300 DE ER MG</t>
        </is>
      </c>
      <c r="DA11" s="18" t="n">
        <v>100</v>
      </c>
      <c r="DB11" s="18" t="n"/>
      <c r="DC11" s="18" t="n"/>
      <c r="DD11" s="18" t="n"/>
      <c r="DE11" s="18" t="n"/>
      <c r="DF11" s="18" t="n"/>
      <c r="DG11" s="18" t="n"/>
      <c r="DH11" s="18" t="n"/>
      <c r="DI11" s="18" t="n"/>
      <c r="DJ11" s="256" t="n"/>
      <c r="DK11" s="18" t="n"/>
      <c r="DL11" s="256" t="n">
        <v>100</v>
      </c>
      <c r="DM11" s="18" t="n"/>
      <c r="DN11" s="18" t="n"/>
      <c r="DO11" s="18" t="n"/>
      <c r="DP11" s="256" t="n"/>
      <c r="DQ11" s="18" t="n"/>
      <c r="DR11" s="256" t="n"/>
      <c r="DS11" s="18" t="n"/>
      <c r="DT11" s="18" t="n"/>
      <c r="DU11" s="18" t="n"/>
      <c r="DV11" s="18" t="n">
        <v>100</v>
      </c>
      <c r="DW11" s="18" t="n"/>
      <c r="DX11" s="256" t="n"/>
      <c r="DY11" s="18" t="n"/>
      <c r="DZ11" s="18" t="n"/>
      <c r="EA11" s="18" t="n"/>
      <c r="EB11" s="18" t="n"/>
      <c r="EC11" s="18" t="n"/>
      <c r="ED11" s="256" t="n"/>
      <c r="EE11" s="18" t="n"/>
      <c r="EF11" s="256" t="n"/>
      <c r="EG11" s="256" t="n"/>
      <c r="EH11" s="18" t="n"/>
      <c r="EI11" s="18" t="n"/>
      <c r="EJ11" s="18" t="n"/>
      <c r="EK11" s="18" t="n"/>
      <c r="EL11" s="18" t="n"/>
      <c r="EM11" s="312" t="inlineStr">
        <is>
          <t>50 P/ ATC</t>
        </is>
      </c>
      <c r="EN11" s="18" t="n"/>
      <c r="EO11" s="18" t="n">
        <v>100</v>
      </c>
      <c r="EP11" s="256" t="n">
        <v>100</v>
      </c>
      <c r="EQ11" s="256" t="n"/>
      <c r="ER11" s="18" t="n"/>
      <c r="ES11" s="18" t="n"/>
      <c r="ET11" s="256" t="n"/>
      <c r="EU11" s="18" t="n"/>
      <c r="EV11" s="256" t="n">
        <v>100</v>
      </c>
      <c r="EW11" s="18" t="n">
        <v>100</v>
      </c>
      <c r="EX11" s="18" t="n"/>
      <c r="EY11" s="18" t="n"/>
      <c r="EZ11" s="18" t="n"/>
      <c r="FA11" s="18" t="n"/>
      <c r="FB11" s="18" t="n"/>
      <c r="FC11" s="18" t="n"/>
      <c r="FD11" s="18" t="n"/>
      <c r="FE11" s="18" t="n"/>
      <c r="FF11" s="18" t="n"/>
      <c r="FG11" s="18" t="n"/>
      <c r="FH11" s="18" t="n"/>
      <c r="FJ11" s="30" t="inlineStr">
        <is>
          <t xml:space="preserve">SACOLA G </t>
        </is>
      </c>
      <c r="FK11" s="9" t="n">
        <v>100</v>
      </c>
      <c r="FL11" s="38">
        <f>CN11</f>
        <v/>
      </c>
      <c r="FM11" s="38" t="n">
        <v>100</v>
      </c>
      <c r="FN11" s="38" t="n">
        <v>100</v>
      </c>
      <c r="FO11" s="38" t="n">
        <v>100</v>
      </c>
      <c r="FP11" s="38" t="n">
        <v>100</v>
      </c>
      <c r="FQ11" s="38" t="n">
        <v>0</v>
      </c>
      <c r="FR11" s="38" t="n"/>
      <c r="FS11" s="38" t="n"/>
      <c r="FT11" s="38" t="n"/>
      <c r="FU11" s="9" t="n"/>
      <c r="FV11" s="9" t="n"/>
      <c r="FW11" s="9" t="n"/>
      <c r="FX11" s="246">
        <f>FV11+IF(NOT(ISBLANK(OFFSET(FX11,0,6))),N(OFFSET(FX11,0,6)),N(OFFSET(FX11,0,7)))-FW11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2" t="n"/>
      <c r="CE12" s="2" t="n"/>
      <c r="CF12" s="4" t="n"/>
      <c r="CG12" s="6" t="n"/>
      <c r="CH12" s="11" t="n"/>
      <c r="CI12" s="11" t="n"/>
      <c r="CJ12" s="6" t="n"/>
      <c r="CK12" s="24" t="n"/>
      <c r="CL12" s="692" t="n"/>
      <c r="CM12" s="24" t="n"/>
      <c r="CN12" s="24" t="n"/>
      <c r="CO12" s="24" t="n"/>
      <c r="CP12" s="24" t="n"/>
      <c r="CQ12" s="257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4" t="n"/>
      <c r="DJ12" s="257" t="n"/>
      <c r="DK12" s="24" t="n"/>
      <c r="DL12" s="257" t="n"/>
      <c r="DM12" s="24" t="n"/>
      <c r="DN12" s="24" t="n"/>
      <c r="DO12" s="24" t="n"/>
      <c r="DP12" s="24" t="n"/>
      <c r="DQ12" s="24" t="n"/>
      <c r="DR12" s="24" t="n"/>
      <c r="DS12" s="24" t="n"/>
      <c r="DT12" s="24" t="n"/>
      <c r="DU12" s="24" t="n"/>
      <c r="DV12" s="24" t="n"/>
      <c r="DW12" s="24" t="n"/>
      <c r="DX12" s="257" t="n"/>
      <c r="DY12" s="24" t="n"/>
      <c r="DZ12" s="24" t="n"/>
      <c r="EA12" s="24" t="n"/>
      <c r="EB12" s="24" t="n"/>
      <c r="EC12" s="24" t="n"/>
      <c r="ED12" s="257" t="n"/>
      <c r="EE12" s="24" t="n"/>
      <c r="EF12" s="257" t="n"/>
      <c r="EG12" s="257" t="n"/>
      <c r="EH12" s="24" t="n"/>
      <c r="EI12" s="24" t="n"/>
      <c r="EJ12" s="24" t="n"/>
      <c r="EK12" s="24" t="n"/>
      <c r="EL12" s="24" t="n"/>
      <c r="EM12" s="24" t="n"/>
      <c r="EN12" s="24" t="n"/>
      <c r="EO12" s="24" t="n"/>
      <c r="EP12" s="24" t="n"/>
      <c r="EQ12" s="271" t="n"/>
      <c r="ER12" s="24" t="n"/>
      <c r="ES12" s="24" t="n"/>
      <c r="ET12" s="271" t="n"/>
      <c r="EU12" s="24" t="n"/>
      <c r="EV12" s="271" t="n"/>
      <c r="EW12" s="24" t="n"/>
      <c r="EX12" s="24" t="n"/>
      <c r="EY12" s="24" t="n"/>
      <c r="EZ12" s="24" t="n"/>
      <c r="FA12" s="24" t="n"/>
      <c r="FB12" s="24" t="n"/>
      <c r="FC12" s="24" t="n"/>
      <c r="FD12" s="24" t="n"/>
      <c r="FE12" s="24" t="n"/>
      <c r="FF12" s="24" t="n"/>
      <c r="FG12" s="24" t="n"/>
      <c r="FH12" s="24" t="n"/>
      <c r="FJ12" s="31" t="n"/>
      <c r="FK12" s="2" t="n"/>
      <c r="FL12" s="4" t="n"/>
      <c r="FM12" s="4" t="n"/>
      <c r="FN12" s="4" t="n"/>
      <c r="FO12" s="4" t="n"/>
      <c r="FP12" s="4" t="n"/>
      <c r="FQ12" s="4" t="n"/>
      <c r="FR12" s="4" t="n"/>
      <c r="FS12" s="4" t="n"/>
      <c r="FT12" s="4" t="n"/>
      <c r="FU12" s="2" t="n"/>
      <c r="FV12" s="2" t="n"/>
      <c r="FW12" s="2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1" t="n">
        <v>46161.48003309028</v>
      </c>
      <c r="CD13" s="651" t="n">
        <v>46161.48071268519</v>
      </c>
      <c r="CE13" s="651" t="n">
        <v>46161.4828708565</v>
      </c>
      <c r="CF13" s="652" t="inlineStr">
        <is>
          <t>USOU</t>
        </is>
      </c>
      <c r="CG13" s="6" t="n"/>
      <c r="CH13" s="413" t="inlineStr">
        <is>
          <t>TRANSFERÊNCIA</t>
        </is>
      </c>
      <c r="CI13" s="35" t="inlineStr">
        <is>
          <t>Pendências</t>
        </is>
      </c>
      <c r="CJ13" s="6" t="n"/>
      <c r="CK13" s="12" t="inlineStr">
        <is>
          <t>Novo Pedido</t>
        </is>
      </c>
      <c r="CL13" s="677" t="n">
        <v>46161.4828699231</v>
      </c>
      <c r="CM13" s="646" t="n">
        <v>46156</v>
      </c>
      <c r="CN13" s="646" t="n">
        <v>46142</v>
      </c>
      <c r="CO13" s="646" t="n">
        <v>46114</v>
      </c>
      <c r="CP13" s="646" t="n">
        <v>46107</v>
      </c>
      <c r="CQ13" s="647" t="n">
        <v>46065</v>
      </c>
      <c r="CR13" s="646" t="n">
        <v>46099</v>
      </c>
      <c r="CS13" s="646" t="n">
        <v>46092</v>
      </c>
      <c r="CT13" s="655" t="n">
        <v>46080</v>
      </c>
      <c r="CU13" s="655" t="n">
        <v>46079</v>
      </c>
      <c r="CV13" s="646" t="n">
        <v>46071</v>
      </c>
      <c r="CW13" s="655" t="n">
        <v>46055</v>
      </c>
      <c r="CX13" s="646" t="n">
        <v>46035</v>
      </c>
      <c r="CY13" s="646" t="n">
        <v>46029</v>
      </c>
      <c r="CZ13" s="655" t="n">
        <v>46037</v>
      </c>
      <c r="DA13" s="646" t="n">
        <v>46024</v>
      </c>
      <c r="DB13" s="646" t="n">
        <v>46372</v>
      </c>
      <c r="DC13" s="646" t="n">
        <v>46007</v>
      </c>
      <c r="DD13" s="655" t="n">
        <v>46375</v>
      </c>
      <c r="DE13" s="646" t="n">
        <v>45986</v>
      </c>
      <c r="DF13" s="646" t="n">
        <v>45980</v>
      </c>
      <c r="DG13" s="646" t="n">
        <v>45960</v>
      </c>
      <c r="DH13" s="646" t="n">
        <v>45951</v>
      </c>
      <c r="DI13" s="655" t="n">
        <v>45954</v>
      </c>
      <c r="DJ13" s="687" t="n">
        <v>45954</v>
      </c>
      <c r="DK13" s="646" t="n">
        <v>45937</v>
      </c>
      <c r="DL13" s="678" t="n">
        <v>45903</v>
      </c>
      <c r="DM13" s="655" t="n">
        <v>45941</v>
      </c>
      <c r="DN13" s="655" t="n">
        <v>45931</v>
      </c>
      <c r="DO13" s="646" t="n">
        <v>45923</v>
      </c>
      <c r="DP13" s="688" t="n">
        <v>45922</v>
      </c>
      <c r="DQ13" s="646" t="n">
        <v>45915</v>
      </c>
      <c r="DR13" s="679" t="n">
        <v>45863</v>
      </c>
      <c r="DS13" s="646" t="n">
        <v>45909</v>
      </c>
      <c r="DT13" s="646" t="n">
        <v>45903</v>
      </c>
      <c r="DU13" s="646" t="n">
        <v>45903</v>
      </c>
      <c r="DV13" s="646" t="n">
        <v>45895</v>
      </c>
      <c r="DW13" s="655" t="n">
        <v>45897</v>
      </c>
      <c r="DX13" s="681" t="n">
        <v>45896</v>
      </c>
      <c r="DY13" s="646" t="n">
        <v>45888</v>
      </c>
      <c r="DZ13" s="646" t="n">
        <v>45881</v>
      </c>
      <c r="EA13" s="646" t="n">
        <v>45874</v>
      </c>
      <c r="EB13" s="646" t="n">
        <v>45860</v>
      </c>
      <c r="EC13" s="646" t="n">
        <v>45848</v>
      </c>
      <c r="ED13" s="681" t="n">
        <v>45848</v>
      </c>
      <c r="EE13" s="646" t="n">
        <v>45839</v>
      </c>
      <c r="EF13" s="681" t="n">
        <v>45842</v>
      </c>
      <c r="EG13" s="681" t="n">
        <v>45791</v>
      </c>
      <c r="EH13" s="646" t="n">
        <v>45825</v>
      </c>
      <c r="EI13" s="646" t="n">
        <v>45819</v>
      </c>
      <c r="EJ13" s="646" t="n">
        <v>45813</v>
      </c>
      <c r="EK13" s="646" t="n">
        <v>45805</v>
      </c>
      <c r="EL13" s="646" t="n">
        <v>45798</v>
      </c>
      <c r="EM13" s="690" t="n">
        <v>45798</v>
      </c>
      <c r="EN13" s="655" t="n">
        <v>45798</v>
      </c>
      <c r="EO13" s="654" t="n">
        <v>45790</v>
      </c>
      <c r="EP13" s="683" t="n">
        <v>45735</v>
      </c>
      <c r="EQ13" s="684" t="n">
        <v>45785</v>
      </c>
      <c r="ER13" s="646" t="n">
        <v>45770</v>
      </c>
      <c r="ES13" s="646" t="n">
        <v>45743</v>
      </c>
      <c r="ET13" s="684" t="n">
        <v>45751</v>
      </c>
      <c r="EU13" s="655" t="n">
        <v>45750</v>
      </c>
      <c r="EV13" s="684" t="n">
        <v>45700</v>
      </c>
      <c r="EW13" s="646" t="n">
        <v>45728</v>
      </c>
      <c r="EX13" s="646" t="n">
        <v>45722</v>
      </c>
      <c r="EY13" s="646" t="n">
        <v>45714</v>
      </c>
      <c r="EZ13" s="646" t="n">
        <v>45706</v>
      </c>
      <c r="FA13" s="646" t="n">
        <v>45699</v>
      </c>
      <c r="FB13" s="646" t="n">
        <v>45693</v>
      </c>
      <c r="FC13" s="646" t="n">
        <v>45685</v>
      </c>
      <c r="FD13" s="646" t="n">
        <v>45679</v>
      </c>
      <c r="FE13" s="646" t="n">
        <v>45674</v>
      </c>
      <c r="FF13" s="646" t="n">
        <v>45664</v>
      </c>
      <c r="FG13" s="646" t="n">
        <v>45660</v>
      </c>
      <c r="FH13" s="646" t="n">
        <v>45652</v>
      </c>
      <c r="FJ13" s="267" t="inlineStr">
        <is>
          <t>DIVERSOS</t>
        </is>
      </c>
      <c r="FK13" s="205" t="inlineStr">
        <is>
          <t>PCT</t>
        </is>
      </c>
      <c r="FL13" s="650" t="n">
        <v>46118</v>
      </c>
      <c r="FM13" s="650" t="n">
        <v>46125</v>
      </c>
      <c r="FN13" s="650" t="n">
        <v>46132</v>
      </c>
      <c r="FO13" s="650" t="n">
        <v>46139</v>
      </c>
      <c r="FP13" s="650" t="n">
        <v>46146</v>
      </c>
      <c r="FQ13" s="650" t="n">
        <v>46154</v>
      </c>
      <c r="FR13" s="650" t="n">
        <v>46160</v>
      </c>
      <c r="FS13" s="650" t="n">
        <v>46160</v>
      </c>
      <c r="FT13" s="650" t="n">
        <v>46160</v>
      </c>
      <c r="FU13" s="651" t="n">
        <v>46161.48003243055</v>
      </c>
      <c r="FV13" s="651" t="n">
        <v>46161.48071204861</v>
      </c>
      <c r="FW13" s="651" t="n">
        <v>46161.48287029238</v>
      </c>
      <c r="FX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38">
        <f>2+FE14</f>
        <v/>
      </c>
      <c r="G14" s="38">
        <f>3+FD14</f>
        <v/>
      </c>
      <c r="H14" s="38" t="n">
        <v>6</v>
      </c>
      <c r="I14" s="38" t="n">
        <v>5</v>
      </c>
      <c r="J14" s="38" t="n">
        <v>5</v>
      </c>
      <c r="K14" s="38" t="n">
        <v>4</v>
      </c>
      <c r="L14" s="38">
        <f>3+EX14</f>
        <v/>
      </c>
      <c r="M14" s="38" t="n">
        <v>4</v>
      </c>
      <c r="N14" s="38" t="n">
        <v>4</v>
      </c>
      <c r="O14" s="38" t="n">
        <v>3</v>
      </c>
      <c r="P14" s="38">
        <f>3+EU14</f>
        <v/>
      </c>
      <c r="Q14" s="38" t="n">
        <v>4</v>
      </c>
      <c r="R14" s="38" t="n">
        <v>4</v>
      </c>
      <c r="S14" s="38" t="n">
        <v>3</v>
      </c>
      <c r="T14" s="38" t="n">
        <v>3</v>
      </c>
      <c r="U14" s="38" t="n">
        <v>3</v>
      </c>
      <c r="V14" s="38" t="n">
        <v>3</v>
      </c>
      <c r="W14" s="38" t="n">
        <v>3</v>
      </c>
      <c r="X14" s="38" t="n">
        <v>3</v>
      </c>
      <c r="Y14" s="38" t="n">
        <v>0</v>
      </c>
      <c r="Z14" s="38" t="n">
        <v>3</v>
      </c>
      <c r="AA14" s="38" t="n">
        <v>2</v>
      </c>
      <c r="AB14" s="38">
        <f>2+EH14</f>
        <v/>
      </c>
      <c r="AC14" s="38" t="n">
        <v>4</v>
      </c>
      <c r="AD14" s="38" t="n">
        <v>3</v>
      </c>
      <c r="AE14" s="38">
        <f>2+EE14</f>
        <v/>
      </c>
      <c r="AF14" s="38" t="n">
        <v>3</v>
      </c>
      <c r="AG14" s="38" t="n">
        <v>3</v>
      </c>
      <c r="AH14" s="38" t="n">
        <v>3</v>
      </c>
      <c r="AI14" s="38" t="n">
        <v>2</v>
      </c>
      <c r="AJ14" s="38">
        <f>2+DY14</f>
        <v/>
      </c>
      <c r="AK14" s="38" t="n">
        <v>4</v>
      </c>
      <c r="AL14" s="38" t="n">
        <v>4</v>
      </c>
      <c r="AM14" s="38" t="n">
        <v>4</v>
      </c>
      <c r="AN14" s="38" t="n">
        <v>4</v>
      </c>
      <c r="AO14" s="38" t="n">
        <v>2</v>
      </c>
      <c r="AP14" s="38" t="n">
        <v>2</v>
      </c>
      <c r="AQ14" s="38" t="n">
        <v>2</v>
      </c>
      <c r="AR14" s="38" t="n">
        <v>1</v>
      </c>
      <c r="AS14" s="38">
        <f>1+DL14</f>
        <v/>
      </c>
      <c r="AT14" s="38" t="n">
        <v>3</v>
      </c>
      <c r="AU14" s="38" t="n">
        <v>2</v>
      </c>
      <c r="AV14" s="38" t="n">
        <v>1</v>
      </c>
      <c r="AW14" s="38">
        <f>1+DE14</f>
        <v/>
      </c>
      <c r="AX14" s="38" t="n">
        <v>2</v>
      </c>
      <c r="AY14" s="38" t="n">
        <v>2</v>
      </c>
      <c r="AZ14" s="38" t="n">
        <v>2</v>
      </c>
      <c r="BA14" s="38" t="n">
        <v>0</v>
      </c>
      <c r="BB14" s="38" t="n">
        <v>0</v>
      </c>
      <c r="BC14" s="38" t="n">
        <v>0</v>
      </c>
      <c r="BD14" s="38" t="n">
        <v>0</v>
      </c>
      <c r="BE14" s="38" t="n">
        <v>0</v>
      </c>
      <c r="BF14" s="38" t="n">
        <v>1</v>
      </c>
      <c r="BG14" s="38" t="n">
        <v>0</v>
      </c>
      <c r="BH14" s="38">
        <f>4+14</f>
        <v/>
      </c>
      <c r="BI14" s="38">
        <f>16+CV14</f>
        <v/>
      </c>
      <c r="BJ14" s="38" t="n">
        <v>20</v>
      </c>
      <c r="BK14" s="38" t="n">
        <v>20</v>
      </c>
      <c r="BL14" s="38" t="n">
        <v>20</v>
      </c>
      <c r="BM14" s="38" t="n">
        <v>17</v>
      </c>
      <c r="BN14" s="38">
        <f>17-6</f>
        <v/>
      </c>
      <c r="BO14" s="38" t="n">
        <v>8</v>
      </c>
      <c r="BP14" s="38" t="n">
        <v>8</v>
      </c>
      <c r="BQ14" s="38" t="n">
        <v>6</v>
      </c>
      <c r="BR14" s="38" t="n">
        <v>5</v>
      </c>
      <c r="BS14" s="38" t="n">
        <v>5</v>
      </c>
      <c r="BT14" s="38" t="n">
        <v>5</v>
      </c>
      <c r="BU14" s="38" t="n">
        <v>4</v>
      </c>
      <c r="BV14" s="38" t="n">
        <v>3</v>
      </c>
      <c r="BW14" s="38" t="n">
        <v>3</v>
      </c>
      <c r="BX14" s="38">
        <f>3+CK14</f>
        <v/>
      </c>
      <c r="BY14" s="38" t="n">
        <v>3</v>
      </c>
      <c r="BZ14" s="38" t="n"/>
      <c r="CA14" s="38" t="n"/>
      <c r="CB14" s="38" t="n"/>
      <c r="CC14" s="9" t="n"/>
      <c r="CD14" s="9" t="n"/>
      <c r="CE14" s="9" t="n"/>
      <c r="CF14" s="154">
        <f>CD14+IF(NOT(ISBLANK(OFFSET(CF14,0,6))),N(OFFSET(CF14,0,6)),N(OFFSET(CF14,0,7)))-CE14</f>
        <v/>
      </c>
      <c r="CG14" s="6" t="n"/>
      <c r="CH14" s="19" t="n"/>
      <c r="CI14" s="19" t="n"/>
      <c r="CJ14" s="6" t="n"/>
      <c r="CK14" s="318" t="n"/>
      <c r="CL14" s="691" t="n">
        <v>0</v>
      </c>
      <c r="CM14" s="18" t="n">
        <v>0</v>
      </c>
      <c r="CN14" s="18" t="n">
        <v>4</v>
      </c>
      <c r="CO14" s="18" t="n"/>
      <c r="CP14" s="18" t="n"/>
      <c r="CQ14" s="256" t="n">
        <v>15</v>
      </c>
      <c r="CR14" s="18" t="n"/>
      <c r="CS14" s="18" t="n"/>
      <c r="CT14" s="256" t="n"/>
      <c r="CU14" s="154" t="inlineStr">
        <is>
          <t>06 P/ PL</t>
        </is>
      </c>
      <c r="CV14" s="18" t="n"/>
      <c r="CW14" s="18" t="n"/>
      <c r="CX14" s="18" t="n"/>
      <c r="CY14" s="18" t="n">
        <v>5</v>
      </c>
      <c r="CZ14" s="154" t="inlineStr">
        <is>
          <t>14 DE ER MG</t>
        </is>
      </c>
      <c r="DA14" s="18" t="n">
        <v>6</v>
      </c>
      <c r="DB14" s="18" t="n"/>
      <c r="DC14" s="18" t="n"/>
      <c r="DD14" s="18" t="n"/>
      <c r="DE14" s="18" t="n">
        <v>4</v>
      </c>
      <c r="DF14" s="18" t="n"/>
      <c r="DG14" s="18" t="n"/>
      <c r="DH14" s="18" t="n">
        <v>2</v>
      </c>
      <c r="DI14" s="18" t="n"/>
      <c r="DJ14" s="256" t="n"/>
      <c r="DK14" s="18" t="n"/>
      <c r="DL14" s="256" t="n">
        <v>15</v>
      </c>
      <c r="DM14" s="18" t="n"/>
      <c r="DN14" s="18" t="n"/>
      <c r="DO14" s="18" t="n">
        <v>2</v>
      </c>
      <c r="DP14" s="378" t="inlineStr">
        <is>
          <t>100 P/ ATC</t>
        </is>
      </c>
      <c r="DQ14" s="18" t="n"/>
      <c r="DR14" s="256" t="n">
        <v>200</v>
      </c>
      <c r="DS14" s="18" t="n"/>
      <c r="DT14" s="18" t="n"/>
      <c r="DU14" s="18" t="n"/>
      <c r="DV14" s="18" t="n"/>
      <c r="DW14" s="18" t="n"/>
      <c r="DX14" s="256" t="n"/>
      <c r="DY14" s="18" t="n"/>
      <c r="DZ14" s="18" t="n"/>
      <c r="EA14" s="18" t="n"/>
      <c r="EB14" s="18" t="n">
        <v>2</v>
      </c>
      <c r="EC14" s="18" t="n">
        <v>1</v>
      </c>
      <c r="ED14" s="256" t="n"/>
      <c r="EE14" s="18" t="n">
        <v>1</v>
      </c>
      <c r="EF14" s="256" t="n"/>
      <c r="EG14" s="256" t="n">
        <v>5</v>
      </c>
      <c r="EH14" s="18" t="n">
        <v>1</v>
      </c>
      <c r="EI14" s="18" t="n"/>
      <c r="EJ14" s="18" t="n"/>
      <c r="EK14" s="18" t="n">
        <v>2</v>
      </c>
      <c r="EL14" s="18" t="n"/>
      <c r="EM14" s="256" t="n"/>
      <c r="EN14" s="18" t="n"/>
      <c r="EO14" s="18" t="n">
        <v>3</v>
      </c>
      <c r="EP14" s="256" t="n">
        <v>2</v>
      </c>
      <c r="EQ14" s="256" t="n"/>
      <c r="ER14" s="18" t="n"/>
      <c r="ES14" s="18" t="n"/>
      <c r="ET14" s="256" t="n"/>
      <c r="EU14" s="18" t="n"/>
      <c r="EV14" s="256" t="n">
        <v>8</v>
      </c>
      <c r="EW14" s="18" t="n"/>
      <c r="EX14" s="18" t="n">
        <v>2</v>
      </c>
      <c r="EY14" s="18" t="n"/>
      <c r="EZ14" s="18" t="n"/>
      <c r="FA14" s="18" t="n">
        <v>1</v>
      </c>
      <c r="FB14" s="18" t="n"/>
      <c r="FC14" s="18" t="n"/>
      <c r="FD14" s="18" t="n"/>
      <c r="FE14" s="18" t="n"/>
      <c r="FF14" s="18" t="n">
        <v>1</v>
      </c>
      <c r="FG14" s="18" t="n">
        <v>2</v>
      </c>
      <c r="FH14" s="18" t="n">
        <v>2</v>
      </c>
      <c r="FJ14" s="159" t="inlineStr">
        <is>
          <t>PAPEL DE SEDA</t>
        </is>
      </c>
      <c r="FK14" s="129" t="n">
        <v>200</v>
      </c>
      <c r="FL14" s="38">
        <f>CN14</f>
        <v/>
      </c>
      <c r="FM14" s="38" t="n">
        <v>15</v>
      </c>
      <c r="FN14" s="38" t="n">
        <v>13</v>
      </c>
      <c r="FO14" s="38" t="n">
        <v>11</v>
      </c>
      <c r="FP14" s="38" t="n">
        <v>9</v>
      </c>
      <c r="FQ14" s="38" t="n">
        <v>5</v>
      </c>
      <c r="FR14" s="38" t="n"/>
      <c r="FS14" s="38" t="n"/>
      <c r="FT14" s="38" t="n"/>
      <c r="FU14" s="9" t="n"/>
      <c r="FV14" s="9" t="n"/>
      <c r="FW14" s="9" t="n"/>
      <c r="FX14" s="246">
        <f>FV14+IF(NOT(ISBLANK(OFFSET(FX14,0,6))),N(OFFSET(FX14,0,6)),N(OFFSET(FX14,0,7)))-FW14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38">
        <f>1+FE15</f>
        <v/>
      </c>
      <c r="G15" s="38" t="n">
        <v>1</v>
      </c>
      <c r="H15" s="38" t="n">
        <v>3</v>
      </c>
      <c r="I15" s="38" t="n">
        <v>3</v>
      </c>
      <c r="J15" s="38" t="n">
        <v>3</v>
      </c>
      <c r="K15" s="38" t="n">
        <v>3</v>
      </c>
      <c r="L15" s="38" t="n">
        <v>3</v>
      </c>
      <c r="M15" s="38" t="n">
        <v>3</v>
      </c>
      <c r="N15" s="38" t="n">
        <v>3</v>
      </c>
      <c r="O15" s="38" t="n">
        <v>3</v>
      </c>
      <c r="P15" s="38" t="n">
        <v>3</v>
      </c>
      <c r="Q15" s="38" t="n">
        <v>3</v>
      </c>
      <c r="R15" s="38" t="n">
        <v>3</v>
      </c>
      <c r="S15" s="38" t="n">
        <v>2</v>
      </c>
      <c r="T15" s="38" t="n">
        <v>2</v>
      </c>
      <c r="U15" s="38" t="n">
        <v>2</v>
      </c>
      <c r="V15" s="38" t="n">
        <v>2</v>
      </c>
      <c r="W15" s="38" t="n">
        <v>2</v>
      </c>
      <c r="X15" s="38" t="n">
        <v>2</v>
      </c>
      <c r="Y15" s="38" t="n">
        <v>2</v>
      </c>
      <c r="Z15" s="38" t="n">
        <v>1</v>
      </c>
      <c r="AA15" s="38" t="n">
        <v>1</v>
      </c>
      <c r="AB15" s="38">
        <f>1+EH15</f>
        <v/>
      </c>
      <c r="AC15" s="38" t="n">
        <v>2</v>
      </c>
      <c r="AD15" s="38" t="n">
        <v>2</v>
      </c>
      <c r="AE15" s="38" t="n">
        <v>2</v>
      </c>
      <c r="AF15" s="38" t="n">
        <v>2</v>
      </c>
      <c r="AG15" s="38" t="n">
        <v>2</v>
      </c>
      <c r="AH15" s="38" t="n">
        <v>3</v>
      </c>
      <c r="AI15" s="38" t="n">
        <v>3</v>
      </c>
      <c r="AJ15" s="38" t="n">
        <v>3</v>
      </c>
      <c r="AK15" s="38" t="n">
        <v>3</v>
      </c>
      <c r="AL15" s="38" t="n">
        <v>2</v>
      </c>
      <c r="AM15" s="38" t="n">
        <v>2</v>
      </c>
      <c r="AN15" s="38" t="n">
        <v>2</v>
      </c>
      <c r="AO15" s="38" t="n">
        <v>2</v>
      </c>
      <c r="AP15" s="38" t="n">
        <v>2</v>
      </c>
      <c r="AQ15" s="38" t="n">
        <v>2</v>
      </c>
      <c r="AR15" s="38" t="n">
        <v>2</v>
      </c>
      <c r="AS15" s="38" t="n">
        <v>2</v>
      </c>
      <c r="AT15" s="38" t="n">
        <v>2</v>
      </c>
      <c r="AU15" s="38" t="n">
        <v>2</v>
      </c>
      <c r="AV15" s="38" t="n">
        <v>2</v>
      </c>
      <c r="AW15" s="38" t="n">
        <v>2</v>
      </c>
      <c r="AX15" s="38" t="n">
        <v>2</v>
      </c>
      <c r="AY15" s="38" t="n">
        <v>2</v>
      </c>
      <c r="AZ15" s="38" t="n">
        <v>2</v>
      </c>
      <c r="BA15" s="38" t="n">
        <v>2</v>
      </c>
      <c r="BB15" s="38" t="n">
        <v>2</v>
      </c>
      <c r="BC15" s="38" t="n">
        <v>2</v>
      </c>
      <c r="BD15" s="38" t="n">
        <v>2</v>
      </c>
      <c r="BE15" s="38" t="n">
        <v>2</v>
      </c>
      <c r="BF15" s="38" t="n">
        <v>1</v>
      </c>
      <c r="BG15" s="38" t="n">
        <v>1</v>
      </c>
      <c r="BH15" s="38" t="n">
        <v>6</v>
      </c>
      <c r="BI15" s="38" t="n">
        <v>6</v>
      </c>
      <c r="BJ15" s="38" t="n">
        <v>6</v>
      </c>
      <c r="BK15" s="38" t="n">
        <v>6</v>
      </c>
      <c r="BL15" s="38" t="n">
        <v>6</v>
      </c>
      <c r="BM15" s="38" t="n">
        <v>6</v>
      </c>
      <c r="BN15" s="38" t="n">
        <v>6</v>
      </c>
      <c r="BO15" s="38" t="n">
        <v>6</v>
      </c>
      <c r="BP15" s="38" t="n">
        <v>6</v>
      </c>
      <c r="BQ15" s="38" t="n">
        <v>6</v>
      </c>
      <c r="BR15" s="38" t="n">
        <v>6</v>
      </c>
      <c r="BS15" s="38" t="n">
        <v>6</v>
      </c>
      <c r="BT15" s="38" t="n">
        <v>6</v>
      </c>
      <c r="BU15" s="38" t="n">
        <v>6</v>
      </c>
      <c r="BV15" s="38" t="n">
        <v>6</v>
      </c>
      <c r="BW15" s="38" t="n">
        <v>6</v>
      </c>
      <c r="BX15" s="38" t="n">
        <v>6</v>
      </c>
      <c r="BY15" s="38" t="n">
        <v>4</v>
      </c>
      <c r="BZ15" s="38" t="n"/>
      <c r="CA15" s="38" t="n"/>
      <c r="CB15" s="38" t="n"/>
      <c r="CC15" s="9" t="n"/>
      <c r="CD15" s="9" t="n"/>
      <c r="CE15" s="9" t="n"/>
      <c r="CF15" s="154">
        <f>CD15+IF(NOT(ISBLANK(OFFSET(CF15,0,6))),N(OFFSET(CF15,0,6)),N(OFFSET(CF15,0,7)))-CE15</f>
        <v/>
      </c>
      <c r="CG15" s="6" t="n"/>
      <c r="CH15" s="19" t="n"/>
      <c r="CI15" s="19" t="n">
        <v>2</v>
      </c>
      <c r="CJ15" s="6" t="n"/>
      <c r="CK15" s="23" t="n"/>
      <c r="CL15" s="691" t="n">
        <v>0</v>
      </c>
      <c r="CM15" s="18" t="n">
        <v>0</v>
      </c>
      <c r="CN15" s="18" t="n">
        <v>0</v>
      </c>
      <c r="CO15" s="18" t="n"/>
      <c r="CP15" s="18" t="n"/>
      <c r="CQ15" s="256" t="n">
        <v>3</v>
      </c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/>
      <c r="DA15" s="18" t="n">
        <v>5</v>
      </c>
      <c r="DB15" s="18" t="n"/>
      <c r="DC15" s="18" t="n"/>
      <c r="DD15" s="18" t="n"/>
      <c r="DE15" s="18" t="n"/>
      <c r="DF15" s="18" t="n"/>
      <c r="DG15" s="18" t="n"/>
      <c r="DH15" s="18" t="n"/>
      <c r="DI15" s="18" t="n"/>
      <c r="DJ15" s="256" t="n"/>
      <c r="DK15" s="18" t="n"/>
      <c r="DL15" s="256" t="n">
        <v>11</v>
      </c>
      <c r="DM15" s="18" t="n"/>
      <c r="DN15" s="18" t="n"/>
      <c r="DO15" s="18" t="n"/>
      <c r="DP15" s="378" t="inlineStr">
        <is>
          <t>100 P/ ATC</t>
        </is>
      </c>
      <c r="DQ15" s="18" t="n"/>
      <c r="DR15" s="256" t="n">
        <v>200</v>
      </c>
      <c r="DS15" s="18" t="n"/>
      <c r="DT15" s="18" t="n"/>
      <c r="DU15" s="18" t="n"/>
      <c r="DV15" s="18" t="n"/>
      <c r="DW15" s="18" t="n"/>
      <c r="DX15" s="256" t="n"/>
      <c r="DY15" s="18" t="n"/>
      <c r="DZ15" s="18" t="n"/>
      <c r="EA15" s="18" t="n"/>
      <c r="EB15" s="18" t="n"/>
      <c r="EC15" s="18" t="n"/>
      <c r="ED15" s="256" t="n"/>
      <c r="EE15" s="18" t="n"/>
      <c r="EF15" s="256" t="n"/>
      <c r="EG15" s="256" t="n">
        <v>1</v>
      </c>
      <c r="EH15" s="18" t="n"/>
      <c r="EI15" s="18" t="n"/>
      <c r="EJ15" s="18" t="n"/>
      <c r="EK15" s="18" t="n">
        <v>1</v>
      </c>
      <c r="EL15" s="18" t="n"/>
      <c r="EM15" s="256" t="n"/>
      <c r="EN15" s="18" t="n"/>
      <c r="EO15" s="18" t="n"/>
      <c r="EP15" s="256" t="n">
        <v>1</v>
      </c>
      <c r="EQ15" s="256" t="n"/>
      <c r="ER15" s="18" t="n"/>
      <c r="ES15" s="18" t="n"/>
      <c r="ET15" s="256" t="n"/>
      <c r="EU15" s="18" t="n"/>
      <c r="EV15" s="256" t="n">
        <v>300</v>
      </c>
      <c r="EW15" s="18" t="n"/>
      <c r="EX15" s="18" t="n"/>
      <c r="EY15" s="18" t="n"/>
      <c r="EZ15" s="18" t="n"/>
      <c r="FA15" s="18" t="n"/>
      <c r="FB15" s="18" t="n"/>
      <c r="FC15" s="18" t="n"/>
      <c r="FD15" s="18" t="n"/>
      <c r="FE15" s="18" t="n"/>
      <c r="FF15" s="18" t="n">
        <v>2</v>
      </c>
      <c r="FG15" s="18" t="n"/>
      <c r="FH15" s="18" t="n">
        <v>1</v>
      </c>
      <c r="FJ15" s="29" t="inlineStr">
        <is>
          <t>ADESIVOS</t>
        </is>
      </c>
      <c r="FK15" s="9" t="n">
        <v>200</v>
      </c>
      <c r="FL15" s="38">
        <f>CN15</f>
        <v/>
      </c>
      <c r="FM15" s="38" t="n">
        <v>3</v>
      </c>
      <c r="FN15" s="38" t="n">
        <v>3</v>
      </c>
      <c r="FO15" s="38" t="n">
        <v>3</v>
      </c>
      <c r="FP15" s="38" t="n">
        <v>2</v>
      </c>
      <c r="FQ15" s="38" t="n">
        <v>0</v>
      </c>
      <c r="FR15" s="38" t="n"/>
      <c r="FS15" s="38" t="n"/>
      <c r="FT15" s="38" t="n"/>
      <c r="FU15" s="9" t="n"/>
      <c r="FV15" s="9" t="n"/>
      <c r="FW15" s="9" t="n"/>
      <c r="FX15" s="246">
        <f>FV15+IF(NOT(ISBLANK(OFFSET(FX15,0,6))),N(OFFSET(FX15,0,6)),N(OFFSET(FX15,0,7)))-FW15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4</v>
      </c>
      <c r="E16" s="2" t="n"/>
      <c r="F16" s="38">
        <f>0+FE16</f>
        <v/>
      </c>
      <c r="G16" s="38" t="n">
        <v>3</v>
      </c>
      <c r="H16" s="38" t="n">
        <v>2</v>
      </c>
      <c r="I16" s="38">
        <f>2+FB16</f>
        <v/>
      </c>
      <c r="J16" s="38" t="n">
        <v>4</v>
      </c>
      <c r="K16" s="38" t="n">
        <v>7</v>
      </c>
      <c r="L16" s="38" t="n">
        <v>6</v>
      </c>
      <c r="M16" s="38" t="n">
        <v>5</v>
      </c>
      <c r="N16" s="38" t="n">
        <v>5</v>
      </c>
      <c r="O16" s="38" t="n">
        <v>5</v>
      </c>
      <c r="P16" s="38" t="n">
        <v>3</v>
      </c>
      <c r="Q16" s="38">
        <f>3+ET16</f>
        <v/>
      </c>
      <c r="R16" s="38" t="n">
        <v>7</v>
      </c>
      <c r="S16" s="38" t="n">
        <v>6</v>
      </c>
      <c r="T16" s="38" t="n">
        <v>6</v>
      </c>
      <c r="U16" s="38" t="n">
        <v>4</v>
      </c>
      <c r="V16" s="38" t="n">
        <v>4</v>
      </c>
      <c r="W16" s="38" t="n">
        <v>4</v>
      </c>
      <c r="X16" s="38" t="n">
        <v>6</v>
      </c>
      <c r="Y16" s="38" t="n">
        <v>1</v>
      </c>
      <c r="Z16" s="38" t="n">
        <v>5</v>
      </c>
      <c r="AA16" s="38" t="n">
        <v>5</v>
      </c>
      <c r="AB16" s="38" t="n">
        <v>4</v>
      </c>
      <c r="AC16" s="38" t="n">
        <v>4</v>
      </c>
      <c r="AD16" s="38" t="n">
        <v>3</v>
      </c>
      <c r="AE16" s="38">
        <f>2+EE16</f>
        <v/>
      </c>
      <c r="AF16" s="38" t="n">
        <v>2</v>
      </c>
      <c r="AG16" s="38" t="n">
        <v>5</v>
      </c>
      <c r="AH16" s="38" t="n">
        <v>4</v>
      </c>
      <c r="AI16" s="38" t="n">
        <v>4</v>
      </c>
      <c r="AJ16" s="38" t="n">
        <v>4</v>
      </c>
      <c r="AK16" s="38" t="n">
        <v>2</v>
      </c>
      <c r="AL16" s="38">
        <f>2+DX16</f>
        <v/>
      </c>
      <c r="AM16" s="38" t="n">
        <v>4</v>
      </c>
      <c r="AN16" s="38" t="n">
        <v>4</v>
      </c>
      <c r="AO16" s="38" t="n">
        <v>3</v>
      </c>
      <c r="AP16" s="38" t="n">
        <v>2</v>
      </c>
      <c r="AQ16" s="38" t="n">
        <v>2</v>
      </c>
      <c r="AR16" s="38" t="n">
        <v>1</v>
      </c>
      <c r="AS16" s="38">
        <f>0+DL16</f>
        <v/>
      </c>
      <c r="AT16" s="38" t="n">
        <v>1</v>
      </c>
      <c r="AU16" s="38">
        <f>1+DH16</f>
        <v/>
      </c>
      <c r="AV16" s="38" t="n">
        <v>4</v>
      </c>
      <c r="AW16" s="38" t="n">
        <v>3</v>
      </c>
      <c r="AX16" s="38">
        <f>3+DD16</f>
        <v/>
      </c>
      <c r="AY16" s="38" t="n">
        <v>3</v>
      </c>
      <c r="AZ16" s="38" t="n">
        <v>2</v>
      </c>
      <c r="BA16" s="38">
        <f>1+DC16</f>
        <v/>
      </c>
      <c r="BB16" s="38" t="n">
        <v>4</v>
      </c>
      <c r="BC16" s="38" t="n">
        <v>4</v>
      </c>
      <c r="BD16" s="38" t="n">
        <v>4</v>
      </c>
      <c r="BE16" s="38" t="n">
        <v>4</v>
      </c>
      <c r="BF16" s="38" t="n">
        <v>0</v>
      </c>
      <c r="BG16" s="38" t="n">
        <v>0</v>
      </c>
      <c r="BH16" s="38" t="n">
        <v>3</v>
      </c>
      <c r="BI16" s="38">
        <f>3+CU16</f>
        <v/>
      </c>
      <c r="BJ16" s="38" t="n">
        <v>5</v>
      </c>
      <c r="BK16" s="38" t="n">
        <v>5</v>
      </c>
      <c r="BL16" s="38" t="n">
        <v>5</v>
      </c>
      <c r="BM16" s="38" t="n">
        <v>4</v>
      </c>
      <c r="BN16" s="38" t="n">
        <v>4</v>
      </c>
      <c r="BO16" s="38" t="n">
        <v>3</v>
      </c>
      <c r="BP16" s="38" t="n">
        <v>2</v>
      </c>
      <c r="BQ16" s="38">
        <f>1+CP16</f>
        <v/>
      </c>
      <c r="BR16" s="38" t="n">
        <v>2</v>
      </c>
      <c r="BS16" s="38" t="n">
        <v>1</v>
      </c>
      <c r="BT16" s="38">
        <f>0+CL16</f>
        <v/>
      </c>
      <c r="BU16" s="38" t="n">
        <v>4</v>
      </c>
      <c r="BV16" s="38" t="n">
        <v>2</v>
      </c>
      <c r="BW16" s="38" t="n">
        <v>2</v>
      </c>
      <c r="BX16" s="38">
        <f>2+CK16</f>
        <v/>
      </c>
      <c r="BY16" s="38" t="n">
        <v>3</v>
      </c>
      <c r="BZ16" s="38" t="n"/>
      <c r="CA16" s="38" t="n"/>
      <c r="CB16" s="38" t="n"/>
      <c r="CC16" s="9" t="n"/>
      <c r="CD16" s="9" t="n"/>
      <c r="CE16" s="9" t="n"/>
      <c r="CF16" s="154">
        <f>CD16+IF(NOT(ISBLANK(OFFSET(CF16,0,6))),N(OFFSET(CF16,0,6)),N(OFFSET(CF16,0,7)))-CE16</f>
        <v/>
      </c>
      <c r="CG16" s="6" t="n"/>
      <c r="CH16" s="19" t="n"/>
      <c r="CI16" s="19" t="n">
        <v>1</v>
      </c>
      <c r="CJ16" s="6" t="n"/>
      <c r="CK16" s="23" t="n"/>
      <c r="CL16" s="691" t="n">
        <v>0</v>
      </c>
      <c r="CM16" s="18" t="n">
        <v>0</v>
      </c>
      <c r="CN16" s="18" t="n">
        <v>1</v>
      </c>
      <c r="CO16" s="18" t="n">
        <v>4</v>
      </c>
      <c r="CP16" s="18" t="n"/>
      <c r="CQ16" s="356" t="n"/>
      <c r="CR16" s="18" t="n"/>
      <c r="CS16" s="18" t="n">
        <v>1</v>
      </c>
      <c r="CT16" s="18" t="n"/>
      <c r="CU16" s="18" t="n"/>
      <c r="CV16" s="18" t="n"/>
      <c r="CW16" s="18" t="n"/>
      <c r="CX16" s="18" t="n">
        <v>2</v>
      </c>
      <c r="CY16" s="18" t="n"/>
      <c r="CZ16" s="18" t="n"/>
      <c r="DA16" s="18" t="n">
        <v>4</v>
      </c>
      <c r="DB16" s="18" t="n"/>
      <c r="DC16" s="18" t="n"/>
      <c r="DD16" s="18" t="n"/>
      <c r="DE16" s="18" t="n">
        <v>2</v>
      </c>
      <c r="DF16" s="18" t="n">
        <v>3</v>
      </c>
      <c r="DG16" s="18" t="n">
        <v>1</v>
      </c>
      <c r="DH16" s="18" t="n"/>
      <c r="DI16" s="18" t="n"/>
      <c r="DJ16" s="256" t="n"/>
      <c r="DK16" s="18" t="n">
        <v>4</v>
      </c>
      <c r="DL16" s="256" t="n"/>
      <c r="DM16" s="18" t="n"/>
      <c r="DN16" s="18" t="n"/>
      <c r="DO16" s="18" t="n">
        <v>2</v>
      </c>
      <c r="DP16" s="256" t="n"/>
      <c r="DQ16" s="18" t="n"/>
      <c r="DR16" s="256" t="n"/>
      <c r="DS16" s="18" t="n"/>
      <c r="DT16" s="18" t="n"/>
      <c r="DU16" s="18" t="n"/>
      <c r="DV16" s="18" t="n"/>
      <c r="DW16" s="18" t="n"/>
      <c r="DX16" s="256" t="n"/>
      <c r="DY16" s="18" t="n"/>
      <c r="DZ16" s="18" t="n"/>
      <c r="EA16" s="18" t="n">
        <v>2</v>
      </c>
      <c r="EB16" s="18" t="n"/>
      <c r="EC16" s="18" t="n"/>
      <c r="ED16" s="256" t="n"/>
      <c r="EE16" s="18" t="n">
        <v>3</v>
      </c>
      <c r="EF16" s="256" t="n"/>
      <c r="EG16" s="256" t="n"/>
      <c r="EH16" s="18" t="n">
        <v>1</v>
      </c>
      <c r="EI16" s="18" t="n"/>
      <c r="EJ16" s="18" t="n"/>
      <c r="EK16" s="18" t="n"/>
      <c r="EL16" s="18" t="n"/>
      <c r="EM16" s="256" t="n"/>
      <c r="EN16" s="18" t="n"/>
      <c r="EO16" s="18" t="n">
        <v>4</v>
      </c>
      <c r="EP16" s="256" t="n"/>
      <c r="EQ16" s="256" t="n"/>
      <c r="ER16" s="18" t="n">
        <v>3</v>
      </c>
      <c r="ES16" s="18" t="n"/>
      <c r="ET16" s="256" t="n"/>
      <c r="EU16" s="18" t="n"/>
      <c r="EV16" s="256" t="n">
        <v>1</v>
      </c>
      <c r="EW16" s="18" t="n">
        <v>5</v>
      </c>
      <c r="EX16" s="18" t="n"/>
      <c r="EY16" s="18" t="n"/>
      <c r="EZ16" s="18" t="n"/>
      <c r="FA16" s="18" t="n"/>
      <c r="FB16" s="18" t="n"/>
      <c r="FC16" s="18" t="n">
        <v>3</v>
      </c>
      <c r="FD16" s="18" t="n"/>
      <c r="FE16" s="18" t="n">
        <v>3</v>
      </c>
      <c r="FF16" s="18" t="n">
        <v>1</v>
      </c>
      <c r="FG16" s="18" t="n"/>
      <c r="FH16" s="18" t="n">
        <v>4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38">
        <f>2+FE17</f>
        <v/>
      </c>
      <c r="G17" s="38">
        <f>3+FD17</f>
        <v/>
      </c>
      <c r="H17" s="38" t="n">
        <v>3</v>
      </c>
      <c r="I17" s="38">
        <f>3+FB17</f>
        <v/>
      </c>
      <c r="J17" s="38" t="n">
        <v>5</v>
      </c>
      <c r="K17" s="38" t="n">
        <v>4</v>
      </c>
      <c r="L17" s="38" t="n">
        <v>4</v>
      </c>
      <c r="M17" s="38" t="n">
        <v>3</v>
      </c>
      <c r="N17" s="38">
        <f>3+EW17</f>
        <v/>
      </c>
      <c r="O17" s="38" t="n">
        <v>4</v>
      </c>
      <c r="P17" s="38" t="n">
        <v>3</v>
      </c>
      <c r="Q17" s="38">
        <f>3+ET17</f>
        <v/>
      </c>
      <c r="R17" s="38" t="n">
        <v>4</v>
      </c>
      <c r="S17" s="38" t="n">
        <v>3</v>
      </c>
      <c r="T17" s="38" t="n">
        <v>3</v>
      </c>
      <c r="U17" s="38" t="n">
        <v>3</v>
      </c>
      <c r="V17" s="38" t="n">
        <v>2</v>
      </c>
      <c r="W17" s="38" t="n">
        <v>2</v>
      </c>
      <c r="X17" s="38" t="n">
        <v>3</v>
      </c>
      <c r="Y17" s="38" t="n">
        <v>2</v>
      </c>
      <c r="Z17" s="38" t="n">
        <v>2</v>
      </c>
      <c r="AA17" s="38" t="n">
        <v>2</v>
      </c>
      <c r="AB17" s="38">
        <f>2+EH17</f>
        <v/>
      </c>
      <c r="AC17" s="38" t="n">
        <v>2</v>
      </c>
      <c r="AD17" s="38" t="n">
        <v>2</v>
      </c>
      <c r="AE17" s="38">
        <f>2+EE17</f>
        <v/>
      </c>
      <c r="AF17" s="38" t="n">
        <v>3</v>
      </c>
      <c r="AG17" s="38" t="n">
        <v>2</v>
      </c>
      <c r="AH17" s="38" t="n">
        <v>2</v>
      </c>
      <c r="AI17" s="38" t="n">
        <v>2</v>
      </c>
      <c r="AJ17" s="38">
        <f>2+DY17</f>
        <v/>
      </c>
      <c r="AK17" s="38" t="n">
        <v>2</v>
      </c>
      <c r="AL17" s="38">
        <f>2+DX17</f>
        <v/>
      </c>
      <c r="AM17" s="38" t="n">
        <v>3</v>
      </c>
      <c r="AN17" s="38">
        <f>3-1</f>
        <v/>
      </c>
      <c r="AO17" s="38" t="n">
        <v>1</v>
      </c>
      <c r="AP17" s="38" t="n">
        <v>1</v>
      </c>
      <c r="AQ17" s="38" t="n">
        <v>0</v>
      </c>
      <c r="AR17" s="38" t="n">
        <v>2</v>
      </c>
      <c r="AS17" s="38" t="n">
        <v>2</v>
      </c>
      <c r="AT17" s="38" t="n">
        <v>2</v>
      </c>
      <c r="AU17" s="38">
        <f>1+DH17</f>
        <v/>
      </c>
      <c r="AV17" s="38" t="n">
        <v>1</v>
      </c>
      <c r="AW17" s="38">
        <f>1+DE17</f>
        <v/>
      </c>
      <c r="AX17" s="38" t="n">
        <v>3</v>
      </c>
      <c r="AY17" s="38" t="n">
        <v>2</v>
      </c>
      <c r="AZ17" s="38" t="n">
        <v>1</v>
      </c>
      <c r="BA17" s="38">
        <f>1+DC17</f>
        <v/>
      </c>
      <c r="BB17" s="38" t="n">
        <v>3</v>
      </c>
      <c r="BC17" s="38" t="n">
        <v>3</v>
      </c>
      <c r="BD17" s="38" t="n">
        <v>3</v>
      </c>
      <c r="BE17" s="38" t="n">
        <v>2</v>
      </c>
      <c r="BF17" s="38" t="n">
        <v>1</v>
      </c>
      <c r="BG17" s="38" t="n">
        <v>0</v>
      </c>
      <c r="BH17" s="38">
        <f>3+8</f>
        <v/>
      </c>
      <c r="BI17" s="38">
        <f>10+CV17</f>
        <v/>
      </c>
      <c r="BJ17" s="38" t="n">
        <v>10</v>
      </c>
      <c r="BK17" s="38" t="n">
        <v>10</v>
      </c>
      <c r="BL17" s="38" t="n">
        <v>9</v>
      </c>
      <c r="BM17" s="38" t="n">
        <v>9</v>
      </c>
      <c r="BN17" s="38">
        <f>9-4-1-1</f>
        <v/>
      </c>
      <c r="BO17" s="38" t="n">
        <v>3</v>
      </c>
      <c r="BP17" s="38" t="n">
        <v>2</v>
      </c>
      <c r="BQ17" s="38">
        <f>2+CP17</f>
        <v/>
      </c>
      <c r="BR17" s="38" t="n">
        <v>2</v>
      </c>
      <c r="BS17" s="38">
        <f>2+CM17</f>
        <v/>
      </c>
      <c r="BT17" s="38" t="n">
        <v>3</v>
      </c>
      <c r="BU17" s="38" t="n">
        <v>2</v>
      </c>
      <c r="BV17" s="38" t="n">
        <v>2</v>
      </c>
      <c r="BW17" s="38" t="n">
        <v>1</v>
      </c>
      <c r="BX17" s="38">
        <f>1+CK17</f>
        <v/>
      </c>
      <c r="BY17" s="38" t="n">
        <v>1</v>
      </c>
      <c r="BZ17" s="38" t="n"/>
      <c r="CA17" s="38" t="n"/>
      <c r="CB17" s="38" t="n"/>
      <c r="CC17" s="9" t="n"/>
      <c r="CD17" s="9" t="n"/>
      <c r="CE17" s="9" t="n"/>
      <c r="CF17" s="154">
        <f>CD17+IF(NOT(ISBLANK(OFFSET(CF17,0,6))),N(OFFSET(CF17,0,6)),N(OFFSET(CF17,0,7)))-CE17</f>
        <v/>
      </c>
      <c r="CG17" s="6" t="n"/>
      <c r="CH17" s="19" t="inlineStr">
        <is>
          <t>02 DE ER MG</t>
        </is>
      </c>
      <c r="CI17" s="19" t="n"/>
      <c r="CJ17" s="6" t="n"/>
      <c r="CK17" s="318" t="n"/>
      <c r="CL17" s="691" t="n">
        <v>0</v>
      </c>
      <c r="CM17" s="18" t="n">
        <v>0</v>
      </c>
      <c r="CN17" s="18" t="n">
        <v>2</v>
      </c>
      <c r="CO17" s="18" t="n"/>
      <c r="CP17" s="18" t="n">
        <v>1</v>
      </c>
      <c r="CQ17" s="356" t="n"/>
      <c r="CR17" s="18" t="n"/>
      <c r="CS17" s="18" t="n">
        <v>1</v>
      </c>
      <c r="CT17" s="154" t="inlineStr">
        <is>
          <t>01 P/ ATC</t>
        </is>
      </c>
      <c r="CU17" s="154" t="inlineStr">
        <is>
          <t>04 P/ PL + 01 P/ BQ</t>
        </is>
      </c>
      <c r="CV17" s="18" t="n"/>
      <c r="CW17" s="18" t="n"/>
      <c r="CX17" s="18" t="n"/>
      <c r="CY17" s="18" t="n">
        <v>1</v>
      </c>
      <c r="CZ17" s="154" t="inlineStr">
        <is>
          <t>08 DE ER MG</t>
        </is>
      </c>
      <c r="DA17" s="18" t="n">
        <v>3</v>
      </c>
      <c r="DB17" s="18" t="n"/>
      <c r="DC17" s="18" t="n"/>
      <c r="DD17" s="18" t="n"/>
      <c r="DE17" s="18" t="n">
        <v>1</v>
      </c>
      <c r="DF17" s="18" t="n">
        <v>3</v>
      </c>
      <c r="DG17" s="18" t="n"/>
      <c r="DH17" s="18" t="n">
        <v>2</v>
      </c>
      <c r="DI17" s="18" t="n"/>
      <c r="DJ17" s="256" t="n"/>
      <c r="DK17" s="18" t="n">
        <v>1</v>
      </c>
      <c r="DL17" s="256" t="n"/>
      <c r="DM17" s="18" t="n"/>
      <c r="DN17" s="18" t="n"/>
      <c r="DO17" s="18" t="n"/>
      <c r="DP17" s="256" t="n"/>
      <c r="DQ17" s="18" t="n">
        <v>2</v>
      </c>
      <c r="DR17" s="256" t="n"/>
      <c r="DS17" s="18" t="n"/>
      <c r="DT17" s="18" t="n"/>
      <c r="DU17" s="18" t="n"/>
      <c r="DV17" s="18" t="n"/>
      <c r="DW17" s="154" t="inlineStr">
        <is>
          <t>01 P/ PL</t>
        </is>
      </c>
      <c r="DX17" s="256" t="n"/>
      <c r="DY17" s="18" t="n"/>
      <c r="DZ17" s="18" t="n"/>
      <c r="EA17" s="18" t="n">
        <v>1</v>
      </c>
      <c r="EB17" s="18" t="n">
        <v>1</v>
      </c>
      <c r="EC17" s="18" t="n">
        <v>1</v>
      </c>
      <c r="ED17" s="256" t="n"/>
      <c r="EE17" s="18" t="n"/>
      <c r="EF17" s="256" t="n"/>
      <c r="EG17" s="256" t="n"/>
      <c r="EH17" s="18" t="n">
        <v>1</v>
      </c>
      <c r="EI17" s="18" t="n">
        <v>1</v>
      </c>
      <c r="EJ17" s="18" t="n"/>
      <c r="EK17" s="18" t="n">
        <v>1</v>
      </c>
      <c r="EL17" s="18" t="n">
        <v>1</v>
      </c>
      <c r="EM17" s="256" t="n"/>
      <c r="EN17" s="18" t="n"/>
      <c r="EO17" s="18" t="n"/>
      <c r="EP17" s="256" t="n"/>
      <c r="EQ17" s="256" t="n"/>
      <c r="ER17" s="18" t="n">
        <v>2</v>
      </c>
      <c r="ES17" s="18" t="n"/>
      <c r="ET17" s="256" t="n"/>
      <c r="EU17" s="18" t="n"/>
      <c r="EV17" s="256" t="n"/>
      <c r="EW17" s="18" t="n">
        <v>2</v>
      </c>
      <c r="EX17" s="18" t="n"/>
      <c r="EY17" s="18" t="n"/>
      <c r="EZ17" s="18" t="n">
        <v>1</v>
      </c>
      <c r="FA17" s="18" t="n"/>
      <c r="FB17" s="18" t="n"/>
      <c r="FC17" s="18" t="n"/>
      <c r="FD17" s="18" t="n"/>
      <c r="FE17" s="18" t="n">
        <v>2</v>
      </c>
      <c r="FF17" s="18" t="n"/>
      <c r="FG17" s="18" t="n">
        <v>1</v>
      </c>
      <c r="FH17" s="18" t="n">
        <v>1</v>
      </c>
    </row>
    <row r="18" ht="18.75" customFormat="1" customHeight="1" s="3">
      <c r="A18" s="31" t="n"/>
      <c r="C18" s="664" t="n"/>
      <c r="D18" s="398" t="n"/>
      <c r="CF18" s="4" t="n"/>
      <c r="CG18" s="6" t="n"/>
      <c r="CH18" s="16" t="n"/>
      <c r="CI18" s="16" t="n"/>
      <c r="CJ18" s="6" t="n"/>
      <c r="CK18" s="25" t="n"/>
      <c r="CL18" s="16" t="n"/>
      <c r="CM18" s="16" t="n"/>
      <c r="CN18" s="16" t="n"/>
      <c r="CO18" s="16" t="n"/>
      <c r="CP18" s="16" t="n"/>
      <c r="CQ18" s="258" t="n"/>
      <c r="CR18" s="16" t="n"/>
      <c r="CS18" s="16" t="n"/>
      <c r="CT18" s="16" t="n"/>
      <c r="CU18" s="16" t="n"/>
      <c r="CV18" s="16" t="n"/>
      <c r="CW18" s="16" t="n"/>
      <c r="CX18" s="16" t="n"/>
      <c r="CY18" s="16" t="n"/>
      <c r="CZ18" s="16" t="n"/>
      <c r="DA18" s="16" t="n"/>
      <c r="DB18" s="16" t="n"/>
      <c r="DC18" s="16" t="n"/>
      <c r="DD18" s="16" t="n"/>
      <c r="DE18" s="16" t="n"/>
      <c r="DF18" s="16" t="n"/>
      <c r="DG18" s="16" t="n"/>
      <c r="DH18" s="16" t="n"/>
      <c r="DI18" s="16" t="n"/>
      <c r="DK18" s="16" t="n"/>
      <c r="DM18" s="16" t="n"/>
      <c r="DN18" s="16" t="n"/>
      <c r="DO18" s="16" t="n"/>
      <c r="DP18" s="16" t="n"/>
      <c r="DQ18" s="16" t="n"/>
      <c r="DR18" s="16" t="n"/>
      <c r="DS18" s="16" t="n"/>
      <c r="DT18" s="16" t="n"/>
      <c r="DU18" s="16" t="n"/>
      <c r="DV18" s="16" t="n"/>
      <c r="DW18" s="16" t="n"/>
      <c r="DX18" s="258" t="n"/>
      <c r="DY18" s="16" t="n"/>
      <c r="DZ18" s="16" t="n"/>
      <c r="EA18" s="16" t="n"/>
      <c r="EB18" s="16" t="n"/>
      <c r="EC18" s="16" t="n"/>
      <c r="ED18" s="258" t="n"/>
      <c r="EE18" s="16" t="n"/>
      <c r="EF18" s="258" t="n"/>
      <c r="EG18" s="258" t="n"/>
      <c r="EH18" s="16" t="n"/>
      <c r="EI18" s="16" t="n"/>
      <c r="EJ18" s="16" t="n"/>
      <c r="EK18" s="16" t="n"/>
      <c r="EL18" s="16" t="n"/>
      <c r="EM18" s="16" t="n"/>
      <c r="EN18" s="16" t="n"/>
      <c r="EO18" s="16" t="n"/>
      <c r="EP18" s="16" t="n"/>
      <c r="EQ18" s="1" t="n"/>
      <c r="ER18" s="16" t="n"/>
      <c r="ES18" s="16" t="n"/>
      <c r="ET18" s="1" t="n"/>
      <c r="EU18" s="16" t="n"/>
      <c r="EV18" s="1" t="n"/>
      <c r="EW18" s="16" t="n"/>
      <c r="EX18" s="16" t="n"/>
      <c r="EY18" s="16" t="n"/>
      <c r="EZ18" s="16" t="n"/>
      <c r="FA18" s="16" t="n"/>
      <c r="FB18" s="16" t="n"/>
      <c r="FC18" s="16" t="n"/>
      <c r="FD18" s="16" t="n"/>
      <c r="FE18" s="16" t="n"/>
      <c r="FF18" s="16" t="n"/>
      <c r="FG18" s="16" t="n"/>
      <c r="FH18" s="16" t="n"/>
    </row>
    <row r="19" ht="18.75" customFormat="1" customHeight="1" s="3">
      <c r="A19" s="32" t="inlineStr">
        <is>
          <t>CAIXAS</t>
        </is>
      </c>
      <c r="B19" s="575" t="inlineStr">
        <is>
          <t>PC</t>
        </is>
      </c>
      <c r="C19" s="694" t="n"/>
      <c r="D19" s="328" t="inlineStr">
        <is>
          <t>Estoque Ideal</t>
        </is>
      </c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46092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1" t="n">
        <v>46161.48003309028</v>
      </c>
      <c r="CD19" s="651" t="n">
        <v>46161.48071268519</v>
      </c>
      <c r="CE19" s="651" t="n">
        <v>46161.48287085663</v>
      </c>
      <c r="CF19" s="652" t="inlineStr">
        <is>
          <t>USOU</t>
        </is>
      </c>
      <c r="CH19" s="413" t="inlineStr">
        <is>
          <t>TRANSFERÊNCIA</t>
        </is>
      </c>
      <c r="CI19" s="35" t="inlineStr">
        <is>
          <t>Pendências</t>
        </is>
      </c>
      <c r="CJ19" s="6" t="n"/>
      <c r="CK19" s="12" t="inlineStr">
        <is>
          <t>Novo Pedido</t>
        </is>
      </c>
      <c r="CL19" s="677" t="n">
        <v>46161.48286992338</v>
      </c>
      <c r="CM19" s="646" t="n">
        <v>46156</v>
      </c>
      <c r="CN19" s="646" t="n">
        <v>46142</v>
      </c>
      <c r="CO19" s="646" t="n">
        <v>46114</v>
      </c>
      <c r="CP19" s="646" t="n">
        <v>46107</v>
      </c>
      <c r="CQ19" s="647" t="n">
        <v>46065</v>
      </c>
      <c r="CR19" s="646" t="n">
        <v>46099</v>
      </c>
      <c r="CS19" s="646" t="n">
        <v>46092</v>
      </c>
      <c r="CT19" s="655" t="n">
        <v>46080</v>
      </c>
      <c r="CU19" s="655" t="n">
        <v>46079</v>
      </c>
      <c r="CV19" s="646" t="n">
        <v>46071</v>
      </c>
      <c r="CW19" s="655" t="n">
        <v>46055</v>
      </c>
      <c r="CX19" s="646" t="n">
        <v>46035</v>
      </c>
      <c r="CY19" s="646" t="n">
        <v>46029</v>
      </c>
      <c r="CZ19" s="655" t="n">
        <v>46037</v>
      </c>
      <c r="DA19" s="646" t="n">
        <v>46024</v>
      </c>
      <c r="DB19" s="646" t="n">
        <v>46372</v>
      </c>
      <c r="DC19" s="646" t="n">
        <v>46007</v>
      </c>
      <c r="DD19" s="655" t="n">
        <v>46375</v>
      </c>
      <c r="DE19" s="646" t="n">
        <v>45986</v>
      </c>
      <c r="DF19" s="646" t="n">
        <v>45980</v>
      </c>
      <c r="DG19" s="646" t="n">
        <v>45960</v>
      </c>
      <c r="DH19" s="646" t="n">
        <v>45951</v>
      </c>
      <c r="DI19" s="655" t="n">
        <v>45954</v>
      </c>
      <c r="DJ19" s="687" t="n">
        <v>45954</v>
      </c>
      <c r="DK19" s="646" t="n">
        <v>45937</v>
      </c>
      <c r="DL19" s="678" t="n">
        <v>45903</v>
      </c>
      <c r="DM19" s="655" t="n">
        <v>45941</v>
      </c>
      <c r="DN19" s="655" t="n">
        <v>45931</v>
      </c>
      <c r="DO19" s="646" t="n">
        <v>45923</v>
      </c>
      <c r="DP19" s="688" t="n">
        <v>45922</v>
      </c>
      <c r="DQ19" s="646" t="n">
        <v>45915</v>
      </c>
      <c r="DR19" s="679" t="n">
        <v>45863</v>
      </c>
      <c r="DS19" s="646" t="n">
        <v>45909</v>
      </c>
      <c r="DT19" s="646" t="n">
        <v>45903</v>
      </c>
      <c r="DU19" s="646" t="n">
        <v>45903</v>
      </c>
      <c r="DV19" s="646" t="n">
        <v>45895</v>
      </c>
      <c r="DW19" s="655" t="n">
        <v>45897</v>
      </c>
      <c r="DX19" s="681" t="n">
        <v>45896</v>
      </c>
      <c r="DY19" s="646" t="n">
        <v>45888</v>
      </c>
      <c r="DZ19" s="646" t="n">
        <v>45881</v>
      </c>
      <c r="EA19" s="646" t="n">
        <v>45874</v>
      </c>
      <c r="EB19" s="646" t="n">
        <v>45860</v>
      </c>
      <c r="EC19" s="646" t="n">
        <v>45848</v>
      </c>
      <c r="ED19" s="681" t="n">
        <v>45848</v>
      </c>
      <c r="EE19" s="646" t="n">
        <v>45839</v>
      </c>
      <c r="EF19" s="681" t="n">
        <v>45842</v>
      </c>
      <c r="EG19" s="681" t="n">
        <v>45791</v>
      </c>
      <c r="EH19" s="646" t="n">
        <v>45825</v>
      </c>
      <c r="EI19" s="646" t="n">
        <v>45819</v>
      </c>
      <c r="EJ19" s="646" t="n">
        <v>45813</v>
      </c>
      <c r="EK19" s="646" t="n">
        <v>45805</v>
      </c>
      <c r="EL19" s="646" t="n">
        <v>45798</v>
      </c>
      <c r="EM19" s="690" t="n">
        <v>45798</v>
      </c>
      <c r="EN19" s="655" t="n">
        <v>45798</v>
      </c>
      <c r="EO19" s="654" t="n">
        <v>45790</v>
      </c>
      <c r="EP19" s="683" t="n">
        <v>45735</v>
      </c>
      <c r="EQ19" s="684" t="n">
        <v>45785</v>
      </c>
      <c r="ER19" s="646" t="n">
        <v>45770</v>
      </c>
      <c r="ES19" s="646" t="n">
        <v>45743</v>
      </c>
      <c r="ET19" s="684" t="n">
        <v>45751</v>
      </c>
      <c r="EU19" s="655" t="n">
        <v>45750</v>
      </c>
      <c r="EV19" s="684" t="n">
        <v>45700</v>
      </c>
      <c r="EW19" s="646" t="n">
        <v>45728</v>
      </c>
      <c r="EX19" s="646" t="n">
        <v>45722</v>
      </c>
      <c r="EY19" s="646" t="n">
        <v>45714</v>
      </c>
      <c r="EZ19" s="646" t="n">
        <v>45706</v>
      </c>
      <c r="FA19" s="646" t="n">
        <v>45699</v>
      </c>
      <c r="FB19" s="646" t="n">
        <v>45693</v>
      </c>
      <c r="FC19" s="646" t="n">
        <v>45685</v>
      </c>
      <c r="FD19" s="646" t="n">
        <v>45679</v>
      </c>
      <c r="FE19" s="646" t="n">
        <v>45674</v>
      </c>
      <c r="FF19" s="646" t="n">
        <v>45664</v>
      </c>
      <c r="FG19" s="646" t="n">
        <v>45660</v>
      </c>
      <c r="FH19" s="646" t="n">
        <v>45652</v>
      </c>
      <c r="FJ19" s="267" t="inlineStr">
        <is>
          <t>CAIXAS</t>
        </is>
      </c>
      <c r="FK19" s="205" t="inlineStr">
        <is>
          <t>PCT</t>
        </is>
      </c>
      <c r="FL19" s="650" t="n">
        <v>46118</v>
      </c>
      <c r="FM19" s="650" t="n">
        <v>46125</v>
      </c>
      <c r="FN19" s="650" t="n">
        <v>46132</v>
      </c>
      <c r="FO19" s="650" t="n">
        <v>46139</v>
      </c>
      <c r="FP19" s="650" t="n">
        <v>46146</v>
      </c>
      <c r="FQ19" s="650" t="n">
        <v>46154</v>
      </c>
      <c r="FR19" s="650" t="n">
        <v>46160</v>
      </c>
      <c r="FS19" s="650" t="n">
        <v>46160</v>
      </c>
      <c r="FT19" s="650" t="n">
        <v>46160</v>
      </c>
      <c r="FU19" s="651" t="n">
        <v>46161.48003243055</v>
      </c>
      <c r="FV19" s="651" t="n">
        <v>46161.48071204861</v>
      </c>
      <c r="FW19" s="651" t="n">
        <v>46161.4828702925</v>
      </c>
      <c r="FX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150</v>
      </c>
      <c r="E20" s="2" t="n"/>
      <c r="F20" s="38" t="n">
        <v>159</v>
      </c>
      <c r="G20" s="38" t="n">
        <v>123</v>
      </c>
      <c r="H20" s="38" t="n">
        <v>69</v>
      </c>
      <c r="I20" s="38" t="n">
        <v>44</v>
      </c>
      <c r="J20" s="38">
        <f>12+FA20</f>
        <v/>
      </c>
      <c r="K20" s="38" t="n">
        <v>138</v>
      </c>
      <c r="L20" s="38">
        <f>90+EX20</f>
        <v/>
      </c>
      <c r="M20" s="38" t="n">
        <v>204</v>
      </c>
      <c r="N20" s="38" t="n">
        <v>169</v>
      </c>
      <c r="O20" s="38" t="n">
        <v>136</v>
      </c>
      <c r="P20" s="38">
        <f>64+EU20+EV20</f>
        <v/>
      </c>
      <c r="Q20" s="38" t="n">
        <v>318</v>
      </c>
      <c r="R20" s="38" t="n">
        <v>278</v>
      </c>
      <c r="S20" s="38" t="n">
        <v>243</v>
      </c>
      <c r="T20" s="38" t="n">
        <v>213</v>
      </c>
      <c r="U20" s="38" t="n">
        <v>178</v>
      </c>
      <c r="V20" s="38" t="n">
        <v>168</v>
      </c>
      <c r="W20" s="38" t="n">
        <v>166</v>
      </c>
      <c r="X20" s="38" t="n">
        <v>134</v>
      </c>
      <c r="Y20" s="38" t="n">
        <v>41</v>
      </c>
      <c r="Z20" s="38" t="n">
        <v>142</v>
      </c>
      <c r="AA20" s="38" t="n">
        <v>131</v>
      </c>
      <c r="AB20" s="38" t="n">
        <v>107</v>
      </c>
      <c r="AC20" s="38" t="n">
        <v>66</v>
      </c>
      <c r="AD20" s="38" t="n">
        <v>148</v>
      </c>
      <c r="AE20" s="38" t="n">
        <v>273</v>
      </c>
      <c r="AF20" s="38" t="n">
        <v>249</v>
      </c>
      <c r="AG20" s="38" t="n">
        <v>225</v>
      </c>
      <c r="AH20" s="38" t="n">
        <v>187</v>
      </c>
      <c r="AI20" s="38" t="n">
        <v>160</v>
      </c>
      <c r="AJ20" s="38" t="n">
        <v>140</v>
      </c>
      <c r="AK20" s="38" t="n">
        <v>115</v>
      </c>
      <c r="AL20" s="38">
        <f>41+DX20</f>
        <v/>
      </c>
      <c r="AM20" s="38" t="n">
        <v>168</v>
      </c>
      <c r="AN20" s="38">
        <f>168+DV20</f>
        <v/>
      </c>
      <c r="AO20" s="38" t="n">
        <v>108</v>
      </c>
      <c r="AP20" s="38" t="n">
        <v>219</v>
      </c>
      <c r="AQ20" s="38">
        <f>172+150</f>
        <v/>
      </c>
      <c r="AR20" s="38">
        <f>300+DN20</f>
        <v/>
      </c>
      <c r="AS20" s="38">
        <f>430-150</f>
        <v/>
      </c>
      <c r="AT20" s="38" t="n">
        <v>255</v>
      </c>
      <c r="AU20" s="38" t="n">
        <v>215</v>
      </c>
      <c r="AV20" s="38">
        <f>179-50</f>
        <v/>
      </c>
      <c r="AW20" s="38">
        <f>109+DE20</f>
        <v/>
      </c>
      <c r="AX20" s="38" t="n">
        <v>235</v>
      </c>
      <c r="AY20" s="38" t="n">
        <v>208</v>
      </c>
      <c r="AZ20" s="38" t="n">
        <v>201</v>
      </c>
      <c r="BA20" s="38" t="n">
        <v>198</v>
      </c>
      <c r="BB20" s="38" t="n">
        <v>188</v>
      </c>
      <c r="BC20" s="38" t="n">
        <v>188</v>
      </c>
      <c r="BD20" s="38" t="n">
        <v>187</v>
      </c>
      <c r="BE20" s="38" t="n">
        <v>187</v>
      </c>
      <c r="BF20" s="38" t="n">
        <v>320</v>
      </c>
      <c r="BG20" s="38" t="n">
        <v>304</v>
      </c>
      <c r="BH20" s="38" t="n">
        <v>279</v>
      </c>
      <c r="BI20" s="38">
        <f>246+CU20</f>
        <v/>
      </c>
      <c r="BJ20" s="38" t="n">
        <v>384</v>
      </c>
      <c r="BK20" s="38" t="n">
        <v>379</v>
      </c>
      <c r="BL20" s="38" t="n">
        <v>372</v>
      </c>
      <c r="BM20" s="38" t="n">
        <v>371</v>
      </c>
      <c r="BN20" s="38" t="n">
        <v>366</v>
      </c>
      <c r="BO20" s="38" t="n">
        <v>363</v>
      </c>
      <c r="BP20" s="38" t="n">
        <v>338</v>
      </c>
      <c r="BQ20" s="38" t="n">
        <v>294</v>
      </c>
      <c r="BR20" s="38" t="n">
        <v>255</v>
      </c>
      <c r="BS20" s="38" t="n">
        <v>221</v>
      </c>
      <c r="BT20" s="38" t="n"/>
      <c r="BU20" s="38" t="n"/>
      <c r="BV20" s="38" t="n"/>
      <c r="BW20" s="38" t="n">
        <v>128</v>
      </c>
      <c r="BX20" s="38" t="n">
        <v>126</v>
      </c>
      <c r="BY20" s="38" t="n">
        <v>36</v>
      </c>
      <c r="BZ20" s="38" t="n">
        <v>16</v>
      </c>
      <c r="CA20" s="38" t="n">
        <v>16</v>
      </c>
      <c r="CB20" s="38" t="n">
        <v>16</v>
      </c>
      <c r="CC20" s="9" t="n">
        <v>16</v>
      </c>
      <c r="CD20" s="9" t="n">
        <v>16</v>
      </c>
      <c r="CE20" s="9" t="n">
        <v>16</v>
      </c>
      <c r="CF20" s="154">
        <f>CD20+IF(NOT(ISBLANK(OFFSET(CF20,0,6))),N(OFFSET(CF20,0,6)),N(OFFSET(CF20,0,7)))-CE20</f>
        <v/>
      </c>
      <c r="CH20" s="122" t="n"/>
      <c r="CI20" s="122" t="n">
        <v>150</v>
      </c>
      <c r="CJ20" s="6" t="n"/>
      <c r="CK20" s="23" t="n"/>
      <c r="CL20" s="691" t="n">
        <v>0</v>
      </c>
      <c r="CM20" s="18" t="n">
        <v>0</v>
      </c>
      <c r="CN20" s="18" t="n">
        <v>0</v>
      </c>
      <c r="CO20" s="18" t="n"/>
      <c r="CP20" s="18" t="n"/>
      <c r="CQ20" s="256" t="n">
        <v>150</v>
      </c>
      <c r="CR20" s="18" t="n"/>
      <c r="CS20" s="18" t="n"/>
      <c r="CT20" s="18" t="n"/>
      <c r="CU20" s="18" t="n"/>
      <c r="CV20" s="18" t="n"/>
      <c r="CW20" s="18" t="n"/>
      <c r="CX20" s="18" t="n">
        <v>150</v>
      </c>
      <c r="CY20" s="18" t="n"/>
      <c r="CZ20" s="18" t="n"/>
      <c r="DA20" s="18" t="n"/>
      <c r="DB20" s="18" t="n"/>
      <c r="DC20" s="18" t="n">
        <v>150</v>
      </c>
      <c r="DD20" s="18" t="n"/>
      <c r="DE20" s="18" t="n"/>
      <c r="DF20" s="18" t="n"/>
      <c r="DG20" s="18" t="n"/>
      <c r="DH20" s="18" t="n">
        <v>150</v>
      </c>
      <c r="DI20" s="154" t="inlineStr">
        <is>
          <t>50 P/ ATC</t>
        </is>
      </c>
      <c r="DJ20" s="403" t="inlineStr">
        <is>
          <t>30 P/ ATC</t>
        </is>
      </c>
      <c r="DK20" s="18" t="n"/>
      <c r="DL20" s="256" t="n">
        <v>300</v>
      </c>
      <c r="DM20" s="154" t="inlineStr">
        <is>
          <t>50 P/ ATC</t>
        </is>
      </c>
      <c r="DN20" s="154" t="inlineStr">
        <is>
          <t>150 P/ PL</t>
        </is>
      </c>
      <c r="DO20" s="18" t="n"/>
      <c r="DP20" s="256" t="n"/>
      <c r="DQ20" s="18" t="n">
        <v>150</v>
      </c>
      <c r="DR20" s="256" t="n"/>
      <c r="DS20" s="18" t="n"/>
      <c r="DT20" s="18" t="n"/>
      <c r="DU20" s="18" t="n">
        <v>150</v>
      </c>
      <c r="DV20" s="18" t="n"/>
      <c r="DW20" s="18" t="n"/>
      <c r="DX20" s="256" t="n"/>
      <c r="DY20" s="18" t="n">
        <v>150</v>
      </c>
      <c r="DZ20" s="18" t="n"/>
      <c r="EA20" s="18" t="n">
        <v>150</v>
      </c>
      <c r="EB20" s="18" t="n"/>
      <c r="EC20" s="18" t="n"/>
      <c r="ED20" s="292" t="inlineStr">
        <is>
          <t>50 P/ ATC</t>
        </is>
      </c>
      <c r="EE20" s="18" t="n"/>
      <c r="EF20" s="256" t="n"/>
      <c r="EG20" s="256" t="n"/>
      <c r="EH20" s="18" t="n">
        <v>150</v>
      </c>
      <c r="EI20" s="18" t="n"/>
      <c r="EJ20" s="18" t="n">
        <v>150</v>
      </c>
      <c r="EK20" s="18" t="n"/>
      <c r="EL20" s="18" t="n"/>
      <c r="EM20" s="256" t="n"/>
      <c r="EN20" s="18" t="n"/>
      <c r="EO20" s="18" t="n">
        <v>150</v>
      </c>
      <c r="EP20" s="256" t="n">
        <v>100</v>
      </c>
      <c r="EQ20" s="293" t="inlineStr">
        <is>
          <t>15 DE PBE</t>
        </is>
      </c>
      <c r="ER20" s="18" t="n"/>
      <c r="ES20" s="18" t="n"/>
      <c r="ET20" s="292" t="inlineStr">
        <is>
          <t>50 P/ ATC</t>
        </is>
      </c>
      <c r="EU20" s="18" t="n"/>
      <c r="EV20" s="256" t="n">
        <v>150</v>
      </c>
      <c r="EW20" s="18" t="n"/>
      <c r="EX20" s="18" t="n">
        <v>150</v>
      </c>
      <c r="EY20" s="18" t="n">
        <v>150</v>
      </c>
      <c r="EZ20" s="18" t="n"/>
      <c r="FA20" s="18" t="n">
        <v>150</v>
      </c>
      <c r="FB20" s="18" t="n"/>
      <c r="FC20" s="18" t="n"/>
      <c r="FD20" s="18" t="n">
        <v>150</v>
      </c>
      <c r="FE20" s="18" t="n"/>
      <c r="FF20" s="18" t="n"/>
      <c r="FG20" s="18" t="n"/>
      <c r="FH20" s="18" t="n"/>
      <c r="FJ20" s="159" t="inlineStr">
        <is>
          <t>CAIXA P</t>
        </is>
      </c>
      <c r="FK20" s="129" t="n">
        <v>150</v>
      </c>
      <c r="FL20" s="38">
        <f>CN20</f>
        <v/>
      </c>
      <c r="FM20" s="38" t="n"/>
      <c r="FN20" s="38" t="n"/>
      <c r="FO20" s="38" t="n">
        <v>134</v>
      </c>
      <c r="FP20" s="38" t="n">
        <v>69</v>
      </c>
      <c r="FQ20" s="38" t="n">
        <v>-3</v>
      </c>
      <c r="FR20" s="38" t="n">
        <v>-3</v>
      </c>
      <c r="FS20" s="38" t="n"/>
      <c r="FT20" s="38" t="n"/>
      <c r="FU20" s="9" t="n"/>
      <c r="FV20" s="9" t="n"/>
      <c r="FW20" s="9" t="n"/>
      <c r="FX20" s="246">
        <f>FV20+IF(NOT(ISBLANK(OFFSET(FX20,0,6))),N(OFFSET(FX20,0,6)),N(OFFSET(FX20,0,7)))-FW20</f>
        <v/>
      </c>
    </row>
    <row r="21" ht="18.75" customFormat="1" customHeight="1" s="3">
      <c r="A21" s="33" t="inlineStr">
        <is>
          <t>CAIXA M VERDE</t>
        </is>
      </c>
      <c r="B21" s="129" t="n">
        <v>100</v>
      </c>
      <c r="C21" s="665" t="n">
        <v>292.25</v>
      </c>
      <c r="D21" s="332" t="n">
        <v>150</v>
      </c>
      <c r="E21" s="2" t="n"/>
      <c r="F21" s="38" t="n">
        <v>172</v>
      </c>
      <c r="G21" s="38" t="n">
        <v>133</v>
      </c>
      <c r="H21" s="38" t="n">
        <v>80</v>
      </c>
      <c r="I21" s="38" t="n">
        <v>46</v>
      </c>
      <c r="J21" s="38">
        <f>12+FA21</f>
        <v/>
      </c>
      <c r="K21" s="38" t="n">
        <v>86</v>
      </c>
      <c r="L21" s="38">
        <f>158+EX21</f>
        <v/>
      </c>
      <c r="M21" s="38" t="n">
        <v>226</v>
      </c>
      <c r="N21" s="38" t="n">
        <v>189</v>
      </c>
      <c r="O21" s="38" t="n">
        <v>143</v>
      </c>
      <c r="P21" s="38">
        <f>84+EU21+EV21</f>
        <v/>
      </c>
      <c r="Q21" s="38" t="n">
        <v>239</v>
      </c>
      <c r="R21" s="38" t="n">
        <v>204</v>
      </c>
      <c r="S21" s="38" t="n">
        <v>175</v>
      </c>
      <c r="T21" s="38" t="n">
        <v>154</v>
      </c>
      <c r="U21" s="38" t="n">
        <v>108</v>
      </c>
      <c r="V21" s="38" t="n">
        <v>99</v>
      </c>
      <c r="W21" s="38" t="n">
        <v>97</v>
      </c>
      <c r="X21" s="38" t="n">
        <v>87</v>
      </c>
      <c r="Y21" s="38" t="n">
        <v>0</v>
      </c>
      <c r="Z21" s="38" t="n">
        <v>75</v>
      </c>
      <c r="AA21" s="38">
        <f>61+EI21</f>
        <v/>
      </c>
      <c r="AB21" s="38" t="n">
        <v>138</v>
      </c>
      <c r="AC21" s="38" t="n">
        <v>97</v>
      </c>
      <c r="AD21" s="38" t="n">
        <v>100</v>
      </c>
      <c r="AE21" s="38" t="n">
        <v>269</v>
      </c>
      <c r="AF21" s="38" t="n">
        <v>231</v>
      </c>
      <c r="AG21" s="38" t="n">
        <v>197</v>
      </c>
      <c r="AH21" s="38" t="n">
        <v>168</v>
      </c>
      <c r="AI21" s="38" t="n">
        <v>128</v>
      </c>
      <c r="AJ21" s="38" t="n">
        <v>104</v>
      </c>
      <c r="AK21" s="38" t="n">
        <v>67</v>
      </c>
      <c r="AL21" s="38">
        <f>39+DX21</f>
        <v/>
      </c>
      <c r="AM21" s="38">
        <f>98+DW21</f>
        <v/>
      </c>
      <c r="AN21" s="38">
        <f>98+DV21+DW21</f>
        <v/>
      </c>
      <c r="AO21" s="38" t="n">
        <v>110</v>
      </c>
      <c r="AP21" s="38" t="n">
        <v>165</v>
      </c>
      <c r="AQ21" s="38" t="n">
        <v>218</v>
      </c>
      <c r="AR21" s="38" t="n">
        <v>178</v>
      </c>
      <c r="AS21" s="38" t="n">
        <v>246</v>
      </c>
      <c r="AT21" s="261" t="n">
        <v>312</v>
      </c>
      <c r="AU21" s="38" t="n">
        <v>256</v>
      </c>
      <c r="AV21" s="38">
        <f>221-50</f>
        <v/>
      </c>
      <c r="AW21" s="38" t="n">
        <v>75</v>
      </c>
      <c r="AX21" s="38">
        <f>45+DD21</f>
        <v/>
      </c>
      <c r="AY21" s="38" t="n">
        <v>211</v>
      </c>
      <c r="AZ21" s="38" t="n">
        <v>200</v>
      </c>
      <c r="BA21" s="38" t="n">
        <v>200</v>
      </c>
      <c r="BB21" s="38" t="n">
        <v>200</v>
      </c>
      <c r="BC21" s="38" t="n">
        <v>200</v>
      </c>
      <c r="BD21" s="38" t="n">
        <v>200</v>
      </c>
      <c r="BE21" s="38" t="n">
        <v>200</v>
      </c>
      <c r="BF21" s="38" t="n">
        <v>195</v>
      </c>
      <c r="BG21" s="38">
        <f>189+CY21</f>
        <v/>
      </c>
      <c r="BH21" s="38" t="n">
        <v>275</v>
      </c>
      <c r="BI21" s="38">
        <f>266+CU21</f>
        <v/>
      </c>
      <c r="BJ21" s="38" t="n">
        <v>359</v>
      </c>
      <c r="BK21" s="38" t="n">
        <v>347</v>
      </c>
      <c r="BL21" s="38" t="n">
        <v>330</v>
      </c>
      <c r="BM21" s="38" t="n">
        <v>314</v>
      </c>
      <c r="BN21" s="38" t="n">
        <v>290</v>
      </c>
      <c r="BO21" s="38" t="n">
        <v>262</v>
      </c>
      <c r="BP21" s="38" t="n">
        <v>220</v>
      </c>
      <c r="BQ21" s="38">
        <f>98+CP21</f>
        <v/>
      </c>
      <c r="BR21" s="38" t="n">
        <v>172</v>
      </c>
      <c r="BS21" s="38" t="n">
        <v>249</v>
      </c>
      <c r="BT21" s="38" t="n"/>
      <c r="BU21" s="38" t="n"/>
      <c r="BV21" s="38" t="n"/>
      <c r="BW21" s="38" t="n">
        <v>177</v>
      </c>
      <c r="BX21" s="38" t="n">
        <v>169</v>
      </c>
      <c r="BY21" s="38" t="n">
        <v>98</v>
      </c>
      <c r="BZ21" s="38" t="n">
        <v>66</v>
      </c>
      <c r="CA21" s="38" t="n">
        <v>66</v>
      </c>
      <c r="CB21" s="38" t="n">
        <v>66</v>
      </c>
      <c r="CC21" s="9" t="n">
        <v>66</v>
      </c>
      <c r="CD21" s="9" t="n">
        <v>66</v>
      </c>
      <c r="CE21" s="9" t="n">
        <v>66</v>
      </c>
      <c r="CF21" s="154">
        <f>CD21+IF(NOT(ISBLANK(OFFSET(CF21,0,6))),N(OFFSET(CF21,0,6)),N(OFFSET(CF21,0,7)))-CE21</f>
        <v/>
      </c>
      <c r="CH21" s="19" t="n"/>
      <c r="CI21" s="122" t="n"/>
      <c r="CJ21" s="6" t="n"/>
      <c r="CK21" s="23" t="n"/>
      <c r="CL21" s="691" t="n">
        <v>0</v>
      </c>
      <c r="CM21" s="18" t="n">
        <v>0</v>
      </c>
      <c r="CN21" s="18" t="n">
        <v>0</v>
      </c>
      <c r="CO21" s="18" t="n"/>
      <c r="CP21" s="18" t="n">
        <v>100</v>
      </c>
      <c r="CQ21" s="256" t="n">
        <v>200</v>
      </c>
      <c r="CR21" s="18" t="n"/>
      <c r="CS21" s="18" t="n">
        <v>100</v>
      </c>
      <c r="CT21" s="18" t="n"/>
      <c r="CU21" s="18" t="n"/>
      <c r="CV21" s="18" t="n"/>
      <c r="CW21" s="18" t="n"/>
      <c r="CX21" s="18" t="n">
        <v>100</v>
      </c>
      <c r="CY21" s="18" t="n"/>
      <c r="CZ21" s="18" t="n"/>
      <c r="DA21" s="18" t="n"/>
      <c r="DB21" s="18" t="n">
        <v>100</v>
      </c>
      <c r="DC21" s="18" t="n"/>
      <c r="DD21" s="18" t="n"/>
      <c r="DE21" s="18" t="n"/>
      <c r="DF21" s="18" t="n"/>
      <c r="DG21" s="18" t="n">
        <v>200</v>
      </c>
      <c r="DH21" s="18" t="n"/>
      <c r="DI21" s="154" t="inlineStr">
        <is>
          <t>50 P/ ATC</t>
        </is>
      </c>
      <c r="DJ21" s="403" t="inlineStr">
        <is>
          <t>50 P/ ATC</t>
        </is>
      </c>
      <c r="DK21" s="18" t="n"/>
      <c r="DL21" s="256" t="n">
        <v>400</v>
      </c>
      <c r="DM21" s="154" t="inlineStr">
        <is>
          <t>50 P/ ATC</t>
        </is>
      </c>
      <c r="DN21" s="18" t="n"/>
      <c r="DO21" s="18" t="n">
        <v>100</v>
      </c>
      <c r="DP21" s="256" t="n"/>
      <c r="DQ21" s="18" t="n"/>
      <c r="DR21" s="256" t="n"/>
      <c r="DS21" s="18" t="n">
        <v>100</v>
      </c>
      <c r="DT21" s="18" t="n"/>
      <c r="DU21" s="18" t="n">
        <v>100</v>
      </c>
      <c r="DV21" s="18" t="n"/>
      <c r="DW21" s="372" t="n"/>
      <c r="DX21" s="256" t="n"/>
      <c r="DY21" s="278" t="n">
        <v>100</v>
      </c>
      <c r="DZ21" s="18" t="n">
        <v>100</v>
      </c>
      <c r="EA21" s="18" t="n">
        <v>100</v>
      </c>
      <c r="EB21" s="18" t="n"/>
      <c r="EC21" s="18" t="n"/>
      <c r="ED21" s="292" t="inlineStr">
        <is>
          <t>75 P/ ATC</t>
        </is>
      </c>
      <c r="EE21" s="18" t="n"/>
      <c r="EF21" s="256" t="n"/>
      <c r="EG21" s="256" t="n">
        <v>100</v>
      </c>
      <c r="EH21" s="18" t="n">
        <v>200</v>
      </c>
      <c r="EI21" s="18" t="n">
        <v>100</v>
      </c>
      <c r="EJ21" s="18" t="n"/>
      <c r="EK21" s="18" t="n"/>
      <c r="EL21" s="18" t="n">
        <v>100</v>
      </c>
      <c r="EM21" s="312" t="inlineStr">
        <is>
          <t>50 P/ ATC</t>
        </is>
      </c>
      <c r="EN21" s="18" t="n"/>
      <c r="EO21" s="18" t="n">
        <v>100</v>
      </c>
      <c r="EP21" s="256" t="n">
        <v>100</v>
      </c>
      <c r="EQ21" s="256" t="n"/>
      <c r="ER21" s="18" t="n"/>
      <c r="ES21" s="18" t="n"/>
      <c r="ET21" s="256" t="n"/>
      <c r="EU21" s="18" t="n"/>
      <c r="EV21" s="256" t="n">
        <v>200</v>
      </c>
      <c r="EW21" s="18" t="n"/>
      <c r="EX21" s="18" t="n">
        <v>100</v>
      </c>
      <c r="EY21" s="18" t="n">
        <v>100</v>
      </c>
      <c r="EZ21" s="18" t="n"/>
      <c r="FA21" s="18" t="n">
        <v>100</v>
      </c>
      <c r="FB21" s="18" t="n">
        <v>100</v>
      </c>
      <c r="FC21" s="18" t="n"/>
      <c r="FD21" s="18" t="n">
        <v>100</v>
      </c>
      <c r="FE21" s="18" t="n"/>
      <c r="FF21" s="18" t="n"/>
      <c r="FG21" s="18" t="n"/>
      <c r="FH21" s="18" t="n"/>
      <c r="FJ21" s="29" t="inlineStr">
        <is>
          <t>CAIXA M</t>
        </is>
      </c>
      <c r="FK21" s="9" t="n">
        <v>100</v>
      </c>
      <c r="FL21" s="38">
        <f>CN21</f>
        <v/>
      </c>
      <c r="FM21" s="38" t="n"/>
      <c r="FN21" s="38" t="n"/>
      <c r="FO21" s="38" t="n">
        <v>163</v>
      </c>
      <c r="FP21" s="38" t="n">
        <v>135</v>
      </c>
      <c r="FQ21" s="38" t="n">
        <v>-1</v>
      </c>
      <c r="FR21" s="38" t="n">
        <v>-1</v>
      </c>
      <c r="FS21" s="38" t="n"/>
      <c r="FT21" s="38" t="n"/>
      <c r="FU21" s="9" t="n"/>
      <c r="FV21" s="9" t="n"/>
      <c r="FW21" s="9" t="n"/>
      <c r="FX21" s="246">
        <f>FV21+IF(NOT(ISBLANK(OFFSET(FX21,0,6))),N(OFFSET(FX21,0,6)),N(OFFSET(FX21,0,7)))-FW21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25</v>
      </c>
      <c r="E22" s="642" t="n"/>
      <c r="F22" s="38" t="n">
        <v>16</v>
      </c>
      <c r="G22" s="38" t="n">
        <v>15</v>
      </c>
      <c r="H22" s="38" t="n">
        <v>10</v>
      </c>
      <c r="I22" s="38" t="n">
        <v>20</v>
      </c>
      <c r="J22" s="38">
        <f>20+FA22</f>
        <v/>
      </c>
      <c r="K22" s="38" t="n">
        <v>94</v>
      </c>
      <c r="L22" s="38" t="n">
        <v>93</v>
      </c>
      <c r="M22" s="38" t="n">
        <v>91</v>
      </c>
      <c r="N22" s="38" t="n">
        <v>90</v>
      </c>
      <c r="O22" s="38" t="n">
        <v>89</v>
      </c>
      <c r="P22" s="38">
        <f>89+EV22</f>
        <v/>
      </c>
      <c r="Q22" s="38" t="n">
        <v>164</v>
      </c>
      <c r="R22" s="38" t="n">
        <v>164</v>
      </c>
      <c r="S22" s="38">
        <f>164-75</f>
        <v/>
      </c>
      <c r="T22" s="38" t="n">
        <v>75</v>
      </c>
      <c r="U22" s="38" t="n">
        <v>75</v>
      </c>
      <c r="V22" s="38" t="n">
        <v>75</v>
      </c>
      <c r="W22" s="38" t="n">
        <v>75</v>
      </c>
      <c r="X22" s="38" t="n">
        <v>75</v>
      </c>
      <c r="Y22" s="38" t="n">
        <v>75</v>
      </c>
      <c r="Z22" s="38" t="n">
        <v>80</v>
      </c>
      <c r="AA22" s="38" t="n">
        <v>80</v>
      </c>
      <c r="AB22" s="38" t="n">
        <v>80</v>
      </c>
      <c r="AC22" s="38" t="n">
        <v>80</v>
      </c>
      <c r="AD22" s="38" t="n">
        <v>80</v>
      </c>
      <c r="AE22" s="38" t="n">
        <v>77</v>
      </c>
      <c r="AF22" s="38" t="n">
        <v>77</v>
      </c>
      <c r="AG22" s="38" t="n">
        <v>76</v>
      </c>
      <c r="AH22" s="38" t="n">
        <v>74</v>
      </c>
      <c r="AI22" s="38" t="n">
        <v>74</v>
      </c>
      <c r="AJ22" s="38" t="n">
        <v>74</v>
      </c>
      <c r="AK22" s="38" t="n">
        <v>74</v>
      </c>
      <c r="AL22" s="38" t="n">
        <v>74</v>
      </c>
      <c r="AM22" s="38" t="n">
        <v>74</v>
      </c>
      <c r="AN22" s="38" t="n">
        <v>74</v>
      </c>
      <c r="AO22" s="38" t="n">
        <v>74</v>
      </c>
      <c r="AP22" s="38" t="n">
        <v>74</v>
      </c>
      <c r="AQ22" s="38" t="n">
        <v>74</v>
      </c>
      <c r="AR22" s="38" t="n">
        <v>57</v>
      </c>
      <c r="AS22" s="38" t="n">
        <v>57</v>
      </c>
      <c r="AT22" s="261" t="n">
        <v>69</v>
      </c>
      <c r="AU22" s="38" t="n">
        <v>69</v>
      </c>
      <c r="AV22" s="38" t="n">
        <v>66</v>
      </c>
      <c r="AW22" s="38" t="n">
        <v>66</v>
      </c>
      <c r="AX22" s="38" t="n">
        <v>66</v>
      </c>
      <c r="AY22" s="38" t="n">
        <v>66</v>
      </c>
      <c r="AZ22" s="38" t="n">
        <v>66</v>
      </c>
      <c r="BA22" s="38" t="n">
        <v>66</v>
      </c>
      <c r="BB22" s="38" t="n">
        <v>66</v>
      </c>
      <c r="BC22" s="38" t="n">
        <v>66</v>
      </c>
      <c r="BD22" s="38" t="n">
        <v>66</v>
      </c>
      <c r="BE22" s="38" t="n">
        <v>63</v>
      </c>
      <c r="BF22" s="38" t="n">
        <v>59</v>
      </c>
      <c r="BG22" s="38" t="n">
        <v>59</v>
      </c>
      <c r="BH22" s="38" t="n">
        <v>59</v>
      </c>
      <c r="BI22" s="38" t="n">
        <v>59</v>
      </c>
      <c r="BJ22" s="38" t="n">
        <v>59</v>
      </c>
      <c r="BK22" s="38" t="n">
        <v>59</v>
      </c>
      <c r="BL22" s="38" t="n">
        <v>59</v>
      </c>
      <c r="BM22" s="38" t="n">
        <v>59</v>
      </c>
      <c r="BN22" s="38" t="n">
        <v>59</v>
      </c>
      <c r="BO22" s="38" t="n">
        <v>59</v>
      </c>
      <c r="BP22" s="38" t="n">
        <v>59</v>
      </c>
      <c r="BQ22" s="38" t="n">
        <v>59</v>
      </c>
      <c r="BR22" s="38" t="n">
        <v>59</v>
      </c>
      <c r="BS22" s="38" t="n">
        <v>58</v>
      </c>
      <c r="BT22" s="38" t="n">
        <v>58</v>
      </c>
      <c r="BU22" s="38" t="n">
        <v>58</v>
      </c>
      <c r="BV22" s="38" t="n">
        <v>58</v>
      </c>
      <c r="BW22" s="38" t="n">
        <v>58</v>
      </c>
      <c r="BX22" s="38" t="n">
        <v>58</v>
      </c>
      <c r="BY22" s="38" t="n">
        <v>49</v>
      </c>
      <c r="BZ22" s="261" t="n">
        <v>19</v>
      </c>
      <c r="CA22" s="261" t="n">
        <v>19</v>
      </c>
      <c r="CB22" s="261" t="n">
        <v>19</v>
      </c>
      <c r="CC22" s="190" t="n">
        <v>19</v>
      </c>
      <c r="CD22" s="190" t="n">
        <v>19</v>
      </c>
      <c r="CE22" s="190" t="n">
        <v>19</v>
      </c>
      <c r="CF22" s="154">
        <f>CD22+IF(NOT(ISBLANK(OFFSET(CF22,0,6))),N(OFFSET(CF22,0,6)),N(OFFSET(CF22,0,7)))-CE22</f>
        <v/>
      </c>
      <c r="CH22" s="19" t="inlineStr">
        <is>
          <t>20 P/ PBE</t>
        </is>
      </c>
      <c r="CI22" s="122" t="n"/>
      <c r="CJ22" s="6" t="n"/>
      <c r="CK22" s="23" t="n"/>
      <c r="CL22" s="691" t="n">
        <v>0</v>
      </c>
      <c r="CM22" s="18" t="n">
        <v>0</v>
      </c>
      <c r="CN22" s="18" t="n">
        <v>0</v>
      </c>
      <c r="CO22" s="18" t="n"/>
      <c r="CP22" s="18" t="n"/>
      <c r="CQ22" s="256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18" t="n"/>
      <c r="DJ22" s="256" t="n"/>
      <c r="DK22" s="18" t="n"/>
      <c r="DL22" s="392" t="n">
        <v>0</v>
      </c>
      <c r="DM22" s="18" t="n"/>
      <c r="DN22" s="18" t="n"/>
      <c r="DO22" s="18" t="n"/>
      <c r="DP22" s="256" t="n"/>
      <c r="DQ22" s="18" t="n"/>
      <c r="DR22" s="256" t="n"/>
      <c r="DS22" s="18" t="n"/>
      <c r="DT22" s="18" t="n"/>
      <c r="DU22" s="18" t="n"/>
      <c r="DV22" s="18" t="n"/>
      <c r="DW22" s="372" t="n"/>
      <c r="DX22" s="256" t="n"/>
      <c r="DY22" s="278" t="n"/>
      <c r="DZ22" s="18" t="n"/>
      <c r="EA22" s="18" t="n"/>
      <c r="EB22" s="18" t="n"/>
      <c r="EC22" s="18" t="n"/>
      <c r="ED22" s="256" t="n"/>
      <c r="EE22" s="18" t="n"/>
      <c r="EF22" s="256" t="n"/>
      <c r="EG22" s="256" t="n">
        <v>150</v>
      </c>
      <c r="EH22" s="18" t="n"/>
      <c r="EI22" s="18" t="n"/>
      <c r="EJ22" s="18" t="n"/>
      <c r="EK22" s="18" t="n"/>
      <c r="EL22" s="18" t="n"/>
      <c r="EM22" s="312" t="inlineStr">
        <is>
          <t>50 P/ ATC</t>
        </is>
      </c>
      <c r="EN22" s="18" t="n"/>
      <c r="EO22" s="18" t="n"/>
      <c r="EP22" s="256" t="n"/>
      <c r="EQ22" s="256" t="n"/>
      <c r="ER22" s="18" t="n"/>
      <c r="ES22" s="18" t="n"/>
      <c r="ET22" s="292" t="inlineStr">
        <is>
          <t>25 P/ ATC</t>
        </is>
      </c>
      <c r="EU22" s="241" t="inlineStr">
        <is>
          <t>75 P/ PBE</t>
        </is>
      </c>
      <c r="EV22" s="256" t="n">
        <v>75</v>
      </c>
      <c r="EW22" s="18" t="n"/>
      <c r="EX22" s="18" t="n"/>
      <c r="EY22" s="18" t="n">
        <v>75</v>
      </c>
      <c r="EZ22" s="18" t="n"/>
      <c r="FA22" s="18" t="n"/>
      <c r="FB22" s="18" t="n"/>
      <c r="FC22" s="18" t="n"/>
      <c r="FD22" s="18" t="n">
        <v>75</v>
      </c>
      <c r="FE22" s="18" t="n"/>
      <c r="FF22" s="18" t="n"/>
      <c r="FG22" s="18" t="n"/>
      <c r="FH22" s="18" t="n"/>
      <c r="FJ22" s="30" t="inlineStr">
        <is>
          <t>CARTUCHO P</t>
        </is>
      </c>
      <c r="FK22" s="9" t="n">
        <v>200</v>
      </c>
      <c r="FL22" s="38" t="n">
        <v>0</v>
      </c>
      <c r="FM22" s="38" t="n"/>
      <c r="FN22" s="38" t="n"/>
      <c r="FO22" s="38" t="n">
        <v>0</v>
      </c>
      <c r="FP22" s="38" t="n">
        <v>0</v>
      </c>
      <c r="FQ22" s="38" t="n">
        <v>0</v>
      </c>
      <c r="FR22" s="38" t="n">
        <v>0</v>
      </c>
      <c r="FS22" s="38" t="n"/>
      <c r="FT22" s="38" t="n"/>
      <c r="FU22" s="9" t="n"/>
      <c r="FV22" s="9" t="n"/>
      <c r="FW22" s="9" t="n"/>
      <c r="FX22" s="246">
        <f>FV22+IF(NOT(ISBLANK(OFFSET(FX22,0,6))),N(OFFSET(FX22,0,6)),N(OFFSET(FX22,0,7)))-FW22</f>
        <v/>
      </c>
    </row>
    <row r="23">
      <c r="CH23" s="6" t="n"/>
      <c r="CI23" s="6" t="n"/>
      <c r="CL23" s="6" t="n"/>
      <c r="CM23" s="6" t="n"/>
      <c r="CN23" s="6" t="n"/>
      <c r="CO23" s="6" t="n"/>
      <c r="CP23" s="6" t="n"/>
      <c r="CQ23" s="256" t="n">
        <v>150</v>
      </c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I23" s="6" t="n"/>
      <c r="DK23" s="6" t="n"/>
      <c r="DL23" s="288" t="n">
        <v>400</v>
      </c>
      <c r="DM23" s="6" t="n"/>
      <c r="DN23" s="6" t="n"/>
      <c r="DO23" s="6" t="n"/>
      <c r="DP23" s="6" t="n"/>
      <c r="DQ23" s="6" t="n"/>
      <c r="DR23" s="6" t="n"/>
      <c r="DS23" s="6" t="n"/>
      <c r="DT23" s="6" t="n"/>
      <c r="DU23" s="6" t="n"/>
      <c r="DV23" s="6" t="n"/>
      <c r="DW23" s="6" t="n"/>
      <c r="DX23" s="238" t="n"/>
      <c r="DY23" s="6" t="n"/>
      <c r="DZ23" s="6" t="n"/>
      <c r="EA23" s="6" t="n"/>
      <c r="EB23" s="6" t="n"/>
      <c r="EC23" s="6" t="n"/>
      <c r="ED23" s="6" t="n"/>
      <c r="EE23" s="6" t="n"/>
      <c r="EF23" s="256" t="n">
        <v>25</v>
      </c>
      <c r="EG23" s="6" t="n"/>
      <c r="EH23" s="6" t="n"/>
      <c r="EI23" s="6" t="n"/>
      <c r="EJ23" s="6" t="n"/>
      <c r="EK23" s="6" t="n"/>
      <c r="EL23" s="6" t="n"/>
      <c r="EM23" s="6" t="n"/>
      <c r="EN23" s="6" t="n"/>
      <c r="EO23" s="6" t="n"/>
      <c r="EP23" s="6" t="n"/>
      <c r="ER23" s="6" t="n"/>
      <c r="ES23" s="6" t="n"/>
      <c r="ET23" s="288" t="n"/>
      <c r="EU23" s="6" t="n"/>
      <c r="EV23" s="288" t="n"/>
      <c r="EW23" s="6" t="n"/>
      <c r="EX23" s="6" t="n"/>
      <c r="EY23" s="6" t="n"/>
      <c r="EZ23" s="6" t="n"/>
      <c r="FA23" s="6" t="n"/>
      <c r="FB23" s="6" t="n"/>
      <c r="FC23" s="6" t="n"/>
      <c r="FD23" s="6" t="n"/>
      <c r="FE23" s="6" t="n"/>
      <c r="FF23" s="6" t="n"/>
      <c r="FG23" s="6" t="n"/>
      <c r="FH23" s="6" t="n"/>
      <c r="FJ23" s="30" t="inlineStr">
        <is>
          <t>CARTUCHO M</t>
        </is>
      </c>
      <c r="FK23" s="9" t="n">
        <v>150</v>
      </c>
      <c r="FL23" s="38">
        <f>CN23</f>
        <v/>
      </c>
      <c r="FM23" s="38" t="n"/>
      <c r="FN23" s="38" t="n"/>
      <c r="FO23" s="38" t="n">
        <v>92</v>
      </c>
      <c r="FP23" s="261" t="n">
        <v>30</v>
      </c>
      <c r="FQ23" s="38" t="n">
        <v>-2</v>
      </c>
      <c r="FR23" s="38" t="n">
        <v>-2</v>
      </c>
      <c r="FS23" s="38" t="n"/>
      <c r="FT23" s="38" t="n"/>
      <c r="FU23" s="9" t="n"/>
      <c r="FV23" s="9" t="n"/>
      <c r="FW23" s="9" t="n"/>
      <c r="FX23" s="246">
        <f>FV23+IF(NOT(ISBLANK(OFFSET(FX23,0,6))),N(OFFSET(FX23,0,6)),N(OFFSET(FX23,0,7)))-FW23</f>
        <v/>
      </c>
    </row>
    <row r="24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1" t="n">
        <v>46161.48003309028</v>
      </c>
      <c r="CD24" s="651" t="n">
        <v>46161.48071268519</v>
      </c>
      <c r="CE24" s="651" t="n">
        <v>46161.48287085684</v>
      </c>
      <c r="CF24" s="660" t="inlineStr">
        <is>
          <t>USOU</t>
        </is>
      </c>
      <c r="CH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I24" s="6" t="n"/>
      <c r="DK24" s="6" t="n"/>
      <c r="DL24" s="393" t="n">
        <v>300</v>
      </c>
      <c r="DM24" s="6" t="n"/>
      <c r="DN24" s="6" t="n"/>
      <c r="DO24" s="6" t="n"/>
      <c r="DP24" s="6" t="n"/>
      <c r="DQ24" s="6" t="n"/>
      <c r="DR24" s="6" t="n"/>
      <c r="DS24" s="6" t="n"/>
      <c r="DT24" s="6" t="n"/>
      <c r="DU24" s="6" t="n"/>
      <c r="DV24" s="6" t="n"/>
      <c r="DW24" s="6" t="n"/>
      <c r="DX24" s="238" t="n"/>
      <c r="DY24" s="6" t="n"/>
      <c r="DZ24" s="6" t="n"/>
      <c r="EA24" s="6" t="n"/>
      <c r="EB24" s="6" t="n"/>
      <c r="EC24" s="6" t="n"/>
      <c r="ED24" s="6" t="n"/>
      <c r="EE24" s="6" t="n"/>
      <c r="EF24" s="256" t="n">
        <v>25</v>
      </c>
      <c r="EG24" s="6" t="n"/>
      <c r="EH24" s="6" t="n"/>
      <c r="EI24" s="6" t="n"/>
      <c r="EJ24" s="6" t="n"/>
      <c r="EK24" s="6" t="n"/>
      <c r="EL24" s="6" t="n"/>
      <c r="EM24" s="6" t="n"/>
      <c r="EN24" s="6" t="n"/>
      <c r="EO24" s="6" t="n"/>
      <c r="EP24" s="6" t="n"/>
      <c r="ER24" s="6" t="n"/>
      <c r="ES24" s="6" t="n"/>
      <c r="ET24" s="293" t="inlineStr">
        <is>
          <t>75 P/ ATC</t>
        </is>
      </c>
      <c r="EU24" s="6" t="n"/>
      <c r="EV24" s="288" t="n">
        <v>150</v>
      </c>
      <c r="EW24" s="6" t="n"/>
      <c r="EX24" s="6" t="n"/>
      <c r="EY24" s="6" t="n"/>
      <c r="EZ24" s="6" t="n"/>
      <c r="FA24" s="6" t="n"/>
      <c r="FB24" s="6" t="n"/>
      <c r="FC24" s="6" t="n"/>
      <c r="FD24" s="6" t="n"/>
      <c r="FE24" s="6" t="n"/>
      <c r="FF24" s="6" t="n"/>
      <c r="FG24" s="6" t="n"/>
      <c r="FH24" s="6" t="n"/>
    </row>
    <row r="25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F25" s="38" t="n">
        <v>149</v>
      </c>
      <c r="G25" s="38" t="n">
        <v>149</v>
      </c>
      <c r="H25" s="38" t="n">
        <v>149</v>
      </c>
      <c r="I25" s="38" t="n">
        <v>149</v>
      </c>
      <c r="J25" s="38" t="n">
        <v>138</v>
      </c>
      <c r="K25" s="38" t="n">
        <v>138</v>
      </c>
      <c r="L25" s="38" t="n">
        <v>138</v>
      </c>
      <c r="M25" s="38" t="n">
        <v>138</v>
      </c>
      <c r="N25" s="38" t="n">
        <v>138</v>
      </c>
      <c r="O25" s="38" t="n">
        <v>138</v>
      </c>
      <c r="P25" s="38" t="n">
        <v>138</v>
      </c>
      <c r="Q25" s="38" t="n">
        <v>128</v>
      </c>
      <c r="R25" s="38" t="n">
        <v>128</v>
      </c>
      <c r="S25" s="38" t="n">
        <v>128</v>
      </c>
      <c r="T25" s="38" t="n">
        <v>125</v>
      </c>
      <c r="U25" s="38" t="n">
        <v>125</v>
      </c>
      <c r="V25" s="38" t="n">
        <v>125</v>
      </c>
      <c r="W25" s="38" t="n">
        <v>125</v>
      </c>
      <c r="X25" s="38" t="n">
        <v>125</v>
      </c>
      <c r="Y25" s="38" t="n">
        <v>125</v>
      </c>
      <c r="Z25" s="38" t="n">
        <v>125</v>
      </c>
      <c r="AA25" s="38" t="n">
        <v>115</v>
      </c>
      <c r="AB25" s="38" t="n">
        <v>115</v>
      </c>
      <c r="AC25" s="38" t="n">
        <v>115</v>
      </c>
      <c r="AD25" s="38" t="n">
        <v>90</v>
      </c>
      <c r="AE25" s="38" t="n">
        <v>97</v>
      </c>
      <c r="AF25" s="38" t="n">
        <v>97</v>
      </c>
      <c r="AG25" s="38" t="n">
        <v>97</v>
      </c>
      <c r="AH25" s="38" t="n">
        <v>96</v>
      </c>
      <c r="AI25" s="38" t="n">
        <v>96</v>
      </c>
      <c r="AJ25" s="38" t="n">
        <v>96</v>
      </c>
      <c r="AK25" s="38" t="n">
        <v>96</v>
      </c>
      <c r="AL25" s="38" t="n">
        <v>96</v>
      </c>
      <c r="AM25" s="38" t="n">
        <v>96</v>
      </c>
      <c r="AN25" s="38" t="n">
        <v>96</v>
      </c>
      <c r="AO25" s="38" t="n">
        <v>96</v>
      </c>
      <c r="AP25" s="38" t="n">
        <v>96</v>
      </c>
      <c r="AQ25" s="38" t="n">
        <v>96</v>
      </c>
      <c r="AR25" s="38" t="n">
        <v>74</v>
      </c>
      <c r="AS25" s="38" t="n">
        <v>74</v>
      </c>
      <c r="AT25" s="38" t="n">
        <v>71</v>
      </c>
      <c r="AU25" s="38" t="n">
        <v>70</v>
      </c>
      <c r="AV25" s="38" t="n">
        <v>66</v>
      </c>
      <c r="AW25" s="38" t="n">
        <v>66</v>
      </c>
      <c r="AX25" s="38" t="n">
        <v>66</v>
      </c>
      <c r="AY25" s="38" t="n">
        <v>66</v>
      </c>
      <c r="AZ25" s="38" t="n">
        <v>62</v>
      </c>
      <c r="BA25" s="38" t="n">
        <v>62</v>
      </c>
      <c r="BB25" s="38" t="n">
        <v>62</v>
      </c>
      <c r="BC25" s="38" t="n">
        <v>62</v>
      </c>
      <c r="BD25" s="38" t="n">
        <v>62</v>
      </c>
      <c r="BE25" s="38" t="n">
        <v>60</v>
      </c>
      <c r="BF25" s="38" t="n">
        <v>25</v>
      </c>
      <c r="BG25" s="38" t="n">
        <v>25</v>
      </c>
      <c r="BH25" s="38" t="n">
        <v>25</v>
      </c>
      <c r="BI25" s="38" t="n">
        <v>25</v>
      </c>
      <c r="BJ25" s="38" t="n">
        <v>3</v>
      </c>
      <c r="BK25" s="38" t="n">
        <v>3</v>
      </c>
      <c r="BL25" s="38" t="n">
        <v>3</v>
      </c>
      <c r="BM25" s="38" t="n">
        <v>3</v>
      </c>
      <c r="BN25" s="38" t="n">
        <v>3</v>
      </c>
      <c r="BO25" s="38" t="n">
        <v>3</v>
      </c>
      <c r="BP25" s="38" t="n">
        <v>3</v>
      </c>
      <c r="BQ25" s="38" t="n">
        <v>3</v>
      </c>
      <c r="BR25" s="38" t="n">
        <v>3</v>
      </c>
      <c r="BS25" s="38" t="n">
        <v>3</v>
      </c>
      <c r="BT25" s="38" t="n">
        <v>3</v>
      </c>
      <c r="BU25" s="38" t="n">
        <v>3</v>
      </c>
      <c r="BV25" s="38" t="n">
        <v>3</v>
      </c>
      <c r="BW25" s="38" t="n">
        <v>3</v>
      </c>
      <c r="BX25" s="38" t="n">
        <v>3</v>
      </c>
      <c r="BY25" s="38" t="n">
        <v>3</v>
      </c>
      <c r="BZ25" s="38" t="n">
        <v>3</v>
      </c>
      <c r="CA25" s="38" t="n">
        <v>3</v>
      </c>
      <c r="CB25" s="38" t="n">
        <v>3</v>
      </c>
      <c r="CC25" s="9" t="n">
        <v>3</v>
      </c>
      <c r="CD25" s="9" t="n">
        <v>3</v>
      </c>
      <c r="CE25" s="9" t="n">
        <v>3</v>
      </c>
      <c r="CF25" s="246">
        <f>CD25+IF(NOT(ISBLANK(OFFSET(CF25,0,6))),N(OFFSET(CF25,0,6)),N(OFFSET(CF25,0,7)))-CE25</f>
        <v/>
      </c>
      <c r="CH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J25" s="6" t="n"/>
      <c r="EK25" s="6" t="n"/>
      <c r="EL25" s="6" t="n"/>
      <c r="EM25" s="6" t="n"/>
      <c r="EN25" s="6" t="n"/>
      <c r="EO25" s="6" t="n"/>
      <c r="EP25" s="6" t="n"/>
      <c r="EQ25" s="289" t="n"/>
      <c r="ER25" s="6" t="n"/>
      <c r="ES25" s="6" t="n"/>
      <c r="ET25" s="289" t="n"/>
      <c r="EU25" s="6" t="n"/>
      <c r="EV25" s="289" t="n"/>
      <c r="EW25" s="6" t="n"/>
      <c r="EX25" s="6" t="n"/>
      <c r="EY25" s="6" t="n"/>
      <c r="EZ25" s="6" t="n"/>
      <c r="FA25" s="6" t="n"/>
      <c r="FB25" s="6" t="n"/>
      <c r="FC25" s="6" t="n"/>
      <c r="FD25" s="6" t="n"/>
      <c r="FE25" s="6" t="n"/>
      <c r="FF25" s="6" t="n"/>
      <c r="FG25" s="6" t="n"/>
      <c r="FH25" s="6" t="n"/>
    </row>
    <row r="26" hidden="1">
      <c r="A26" s="250" t="inlineStr">
        <is>
          <t>ÁRVORE</t>
        </is>
      </c>
      <c r="B26" s="251" t="n">
        <v>100</v>
      </c>
      <c r="C26" s="667" t="n">
        <v>295</v>
      </c>
      <c r="D26" s="342" t="n"/>
      <c r="F26" s="9" t="n">
        <v>80</v>
      </c>
      <c r="G26" s="9" t="n">
        <v>80</v>
      </c>
      <c r="H26" s="38" t="n">
        <v>80</v>
      </c>
      <c r="I26" s="38" t="n">
        <v>80</v>
      </c>
      <c r="J26" s="38" t="n">
        <v>82</v>
      </c>
      <c r="K26" s="38" t="n">
        <v>82</v>
      </c>
      <c r="L26" s="38" t="n">
        <v>82</v>
      </c>
      <c r="M26" s="38" t="n">
        <v>85</v>
      </c>
      <c r="N26" s="38" t="n">
        <v>85</v>
      </c>
      <c r="O26" s="38" t="n">
        <v>85</v>
      </c>
      <c r="P26" s="38" t="n">
        <v>85</v>
      </c>
      <c r="Q26" s="38" t="n">
        <v>85</v>
      </c>
      <c r="R26" s="38" t="n">
        <v>85</v>
      </c>
      <c r="S26" s="38" t="n">
        <v>85</v>
      </c>
      <c r="T26" s="38" t="n">
        <v>85</v>
      </c>
      <c r="U26" s="38" t="n">
        <v>85</v>
      </c>
      <c r="V26" s="38" t="n">
        <v>85</v>
      </c>
      <c r="W26" s="38" t="n">
        <v>85</v>
      </c>
      <c r="X26" s="38" t="n">
        <v>85</v>
      </c>
      <c r="Y26" s="38" t="n">
        <v>85</v>
      </c>
      <c r="Z26" s="38" t="n">
        <v>85</v>
      </c>
      <c r="AA26" s="38" t="n">
        <v>85</v>
      </c>
      <c r="AB26" s="38" t="n">
        <v>85</v>
      </c>
      <c r="AC26" s="38" t="n">
        <v>85</v>
      </c>
      <c r="AD26" s="38" t="n">
        <v>85</v>
      </c>
      <c r="AE26" s="38" t="n">
        <v>85</v>
      </c>
      <c r="AF26" s="38" t="n">
        <v>85</v>
      </c>
      <c r="AG26" s="38" t="n">
        <v>85</v>
      </c>
      <c r="AH26" s="38" t="n">
        <v>85</v>
      </c>
      <c r="AI26" s="38" t="n">
        <v>85</v>
      </c>
      <c r="AJ26" s="38" t="n">
        <v>85</v>
      </c>
      <c r="AK26" s="38" t="n">
        <v>85</v>
      </c>
      <c r="AL26" s="38" t="n">
        <v>85</v>
      </c>
      <c r="AM26" s="38" t="n">
        <v>85</v>
      </c>
      <c r="AN26" s="38" t="n">
        <v>85</v>
      </c>
      <c r="AO26" s="38" t="n">
        <v>85</v>
      </c>
      <c r="AP26" s="38" t="n">
        <v>85</v>
      </c>
      <c r="AQ26" s="38" t="n">
        <v>85</v>
      </c>
      <c r="AR26" s="38" t="n">
        <v>85</v>
      </c>
      <c r="AS26" s="38" t="n">
        <v>85</v>
      </c>
      <c r="AT26" s="38" t="n">
        <v>85</v>
      </c>
      <c r="AU26" s="38" t="n">
        <v>85</v>
      </c>
      <c r="AV26" s="38" t="n">
        <v>85</v>
      </c>
      <c r="AW26" s="38" t="n">
        <v>85</v>
      </c>
      <c r="AX26" s="38" t="n">
        <v>85</v>
      </c>
      <c r="AY26" s="38" t="n">
        <v>85</v>
      </c>
      <c r="AZ26" s="38" t="n">
        <v>85</v>
      </c>
      <c r="BA26" s="38" t="n">
        <v>85</v>
      </c>
      <c r="BB26" s="38" t="n">
        <v>85</v>
      </c>
      <c r="BC26" s="38" t="n">
        <v>58</v>
      </c>
      <c r="BD26" s="38" t="n">
        <v>39</v>
      </c>
      <c r="BE26" s="38" t="n">
        <v>37</v>
      </c>
      <c r="BF26" s="38" t="n">
        <v>0</v>
      </c>
      <c r="BG26" s="38" t="n">
        <v>0</v>
      </c>
      <c r="BH26" s="38" t="n">
        <v>0</v>
      </c>
      <c r="BI26" s="38" t="n">
        <v>0</v>
      </c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38" t="n"/>
      <c r="CC26" s="9" t="n"/>
      <c r="CD26" s="9" t="n"/>
      <c r="CE26" s="9" t="n"/>
      <c r="CF26" s="246">
        <f>CD26+IF(NOT(ISBLANK(OFFSET(CF26,0,6))),N(OFFSET(CF26,0,6)),N(OFFSET(CF26,0,7)))-CE26</f>
        <v/>
      </c>
      <c r="CQ26" s="6" t="n"/>
      <c r="DJ26" s="6" t="n"/>
      <c r="DL26" s="6" t="n"/>
      <c r="DX26" s="6" t="n"/>
      <c r="ED26" s="6" t="n"/>
      <c r="EF26" s="6" t="n"/>
      <c r="EG26" s="6" t="n"/>
      <c r="EN26" s="6" t="n"/>
      <c r="EO26" s="6" t="n"/>
      <c r="EQ26" s="289" t="n"/>
      <c r="ER26" s="6" t="n"/>
      <c r="ES26" s="6" t="n"/>
      <c r="ET26" s="289" t="n"/>
      <c r="EU26" s="6" t="n"/>
      <c r="EV26" s="289" t="n"/>
      <c r="EW26" s="6" t="n"/>
      <c r="EX26" s="6" t="n"/>
      <c r="EY26" s="6" t="n"/>
      <c r="EZ26" s="6" t="n"/>
      <c r="FA26" s="6" t="n"/>
      <c r="FB26" s="6" t="n"/>
      <c r="FC26" s="6" t="n"/>
      <c r="FD26" s="6" t="n"/>
      <c r="FE26" s="6" t="n"/>
      <c r="FF26" s="6" t="n"/>
      <c r="FG26" s="6" t="n"/>
      <c r="FH26" s="6" t="n"/>
    </row>
    <row r="27" hidden="1" ht="18.75" customHeight="1">
      <c r="A27" s="250" t="inlineStr">
        <is>
          <t>BOLA</t>
        </is>
      </c>
      <c r="B27" s="251" t="n">
        <v>100</v>
      </c>
      <c r="C27" s="667" t="n">
        <v>283</v>
      </c>
      <c r="D27" s="342" t="n"/>
      <c r="F27" s="9" t="n">
        <v>96</v>
      </c>
      <c r="G27" s="9" t="n">
        <v>56</v>
      </c>
      <c r="H27" s="38" t="n">
        <v>56</v>
      </c>
      <c r="I27" s="38" t="n">
        <v>56</v>
      </c>
      <c r="J27" s="38" t="n">
        <v>53</v>
      </c>
      <c r="K27" s="38" t="n">
        <v>53</v>
      </c>
      <c r="L27" s="38" t="n">
        <v>53</v>
      </c>
      <c r="M27" s="38" t="n">
        <v>54</v>
      </c>
      <c r="N27" s="38" t="n">
        <v>54</v>
      </c>
      <c r="O27" s="38" t="n">
        <v>54</v>
      </c>
      <c r="P27" s="38" t="n">
        <v>54</v>
      </c>
      <c r="Q27" s="38" t="n">
        <v>54</v>
      </c>
      <c r="R27" s="38" t="n">
        <v>54</v>
      </c>
      <c r="S27" s="38" t="n">
        <v>54</v>
      </c>
      <c r="T27" s="38" t="n">
        <v>54</v>
      </c>
      <c r="U27" s="38" t="n">
        <v>54</v>
      </c>
      <c r="V27" s="38" t="n">
        <v>54</v>
      </c>
      <c r="W27" s="38" t="n">
        <v>54</v>
      </c>
      <c r="X27" s="38" t="n">
        <v>54</v>
      </c>
      <c r="Y27" s="38" t="n">
        <v>54</v>
      </c>
      <c r="Z27" s="38" t="n">
        <v>54</v>
      </c>
      <c r="AA27" s="38" t="n">
        <v>54</v>
      </c>
      <c r="AB27" s="38" t="n">
        <v>54</v>
      </c>
      <c r="AC27" s="38" t="n">
        <v>54</v>
      </c>
      <c r="AD27" s="38" t="n">
        <v>54</v>
      </c>
      <c r="AE27" s="38" t="n">
        <v>54</v>
      </c>
      <c r="AF27" s="38" t="n">
        <v>54</v>
      </c>
      <c r="AG27" s="38" t="n">
        <v>54</v>
      </c>
      <c r="AH27" s="38" t="n">
        <v>54</v>
      </c>
      <c r="AI27" s="38" t="n">
        <v>54</v>
      </c>
      <c r="AJ27" s="38" t="n">
        <v>54</v>
      </c>
      <c r="AK27" s="38" t="n">
        <v>54</v>
      </c>
      <c r="AL27" s="38" t="n">
        <v>54</v>
      </c>
      <c r="AM27" s="38" t="n">
        <v>54</v>
      </c>
      <c r="AN27" s="38" t="n">
        <v>54</v>
      </c>
      <c r="AO27" s="38" t="n">
        <v>54</v>
      </c>
      <c r="AP27" s="38" t="n">
        <v>54</v>
      </c>
      <c r="AQ27" s="38" t="n">
        <v>54</v>
      </c>
      <c r="AR27" s="38" t="n">
        <v>54</v>
      </c>
      <c r="AS27" s="38" t="n">
        <v>54</v>
      </c>
      <c r="AT27" s="38" t="n">
        <v>54</v>
      </c>
      <c r="AU27" s="38" t="n">
        <v>54</v>
      </c>
      <c r="AV27" s="38" t="n">
        <v>54</v>
      </c>
      <c r="AW27" s="38" t="n">
        <v>54</v>
      </c>
      <c r="AX27" s="38" t="n">
        <v>54</v>
      </c>
      <c r="AY27" s="38" t="n">
        <v>54</v>
      </c>
      <c r="AZ27" s="38" t="n">
        <v>29</v>
      </c>
      <c r="BA27" s="38" t="n">
        <v>29</v>
      </c>
      <c r="BB27" s="38" t="n">
        <v>29</v>
      </c>
      <c r="BC27" s="38" t="n">
        <v>9</v>
      </c>
      <c r="BD27" s="38" t="n">
        <v>9</v>
      </c>
      <c r="BE27" s="38" t="n">
        <v>9</v>
      </c>
      <c r="BF27" s="38" t="n">
        <v>0</v>
      </c>
      <c r="BG27" s="38" t="n">
        <v>0</v>
      </c>
      <c r="BH27" s="38" t="n">
        <v>0</v>
      </c>
      <c r="BI27" s="38" t="n">
        <v>0</v>
      </c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9" t="n"/>
      <c r="CE27" s="9" t="n"/>
      <c r="CF27" s="246">
        <f>CD27+IF(NOT(ISBLANK(OFFSET(CF27,0,6))),N(OFFSET(CF27,0,6)),N(OFFSET(CF27,0,7)))-CE27</f>
        <v/>
      </c>
      <c r="CQ27" s="6" t="n"/>
      <c r="DJ27" s="6" t="n"/>
      <c r="DL27" s="6" t="n"/>
      <c r="DX27" s="6" t="n"/>
      <c r="ED27" s="6" t="n"/>
      <c r="EF27" s="6" t="n"/>
      <c r="EG27" s="6" t="n"/>
      <c r="EO27" s="6" t="n"/>
      <c r="EQ27" s="289" t="n"/>
      <c r="ET27" s="289" t="n"/>
      <c r="EV27" s="289" t="n"/>
    </row>
    <row r="28" hidden="1" ht="18.75" customHeight="1">
      <c r="A28" s="33" t="inlineStr">
        <is>
          <t>CAIXA P NATAL/25</t>
        </is>
      </c>
      <c r="B28" s="9" t="n">
        <v>150</v>
      </c>
      <c r="C28" s="668" t="n">
        <v>805.35</v>
      </c>
      <c r="D28" s="342" t="n"/>
      <c r="BD28" s="9" t="n">
        <v>193</v>
      </c>
      <c r="BE28" s="9" t="n">
        <v>184</v>
      </c>
      <c r="BF28" s="9" t="n">
        <v>119</v>
      </c>
      <c r="BG28" s="9" t="n">
        <v>106</v>
      </c>
      <c r="BH28" s="9" t="n">
        <v>93</v>
      </c>
      <c r="BI28" s="9" t="n">
        <v>88</v>
      </c>
      <c r="BJ28" s="9" t="n">
        <v>74</v>
      </c>
      <c r="BK28" s="9" t="n">
        <v>66</v>
      </c>
      <c r="BL28" s="9" t="n">
        <v>43</v>
      </c>
      <c r="BM28" s="9" t="n">
        <v>34</v>
      </c>
      <c r="BN28" s="9" t="n">
        <v>19</v>
      </c>
      <c r="BO28" s="9" t="n">
        <v>4</v>
      </c>
      <c r="BP28" s="9" t="n">
        <v>0</v>
      </c>
      <c r="BQ28" s="9" t="n">
        <v>0</v>
      </c>
      <c r="BR28" s="9" t="n">
        <v>0</v>
      </c>
      <c r="BS28" s="9" t="n"/>
      <c r="BT28" s="9" t="n"/>
      <c r="BU28" s="9" t="n"/>
      <c r="BV28" s="9" t="n"/>
      <c r="BW28" s="9" t="n"/>
      <c r="BX28" s="9" t="n"/>
      <c r="BY28" s="9" t="n"/>
      <c r="BZ28" s="9" t="n"/>
      <c r="CA28" s="9" t="n"/>
      <c r="CB28" s="9" t="n"/>
      <c r="CC28" s="9" t="n"/>
      <c r="CD28" s="9" t="n"/>
      <c r="CE28" s="9" t="n"/>
      <c r="CF28" s="246">
        <f>CD28+IF(NOT(ISBLANK(OFFSET(CF28,0,6))),N(OFFSET(CF28,0,6)),N(OFFSET(CF28,0,7)))-CE28</f>
        <v/>
      </c>
      <c r="CL28" s="696" t="n"/>
      <c r="CM28" s="57" t="n"/>
      <c r="CN28" s="57" t="n"/>
      <c r="CO28" s="57" t="n"/>
      <c r="CQ28" s="6" t="n"/>
      <c r="CS28" s="57" t="n"/>
      <c r="CV28" s="57" t="n"/>
      <c r="DJ28" s="360" t="n"/>
      <c r="DL28" s="360" t="n"/>
      <c r="DX28" s="6" t="n"/>
      <c r="ED28" s="6" t="n"/>
      <c r="EF28" s="6" t="n"/>
      <c r="EG28" s="6" t="n"/>
      <c r="EH28" s="57" t="n"/>
      <c r="EI28" s="57" t="n"/>
      <c r="EJ28" s="57" t="n"/>
      <c r="EK28" s="57" t="n"/>
      <c r="EL28" s="57" t="n"/>
      <c r="EM28" s="57" t="n"/>
      <c r="EP28" s="57" t="n"/>
      <c r="EQ28" s="289" t="n"/>
      <c r="ET28" s="289" t="n"/>
      <c r="EV28" s="289" t="n"/>
    </row>
    <row r="29" hidden="1" ht="18.75" customHeight="1">
      <c r="A29" s="33" t="inlineStr">
        <is>
          <t>CAIXA M NATAL/25</t>
        </is>
      </c>
      <c r="B29" s="9" t="n">
        <v>100</v>
      </c>
      <c r="C29" s="668" t="n">
        <v>792.2</v>
      </c>
      <c r="D29" s="342" t="n"/>
      <c r="BD29" s="9" t="n">
        <v>276</v>
      </c>
      <c r="BE29" s="9" t="n">
        <v>230</v>
      </c>
      <c r="BF29" s="9" t="n">
        <v>80</v>
      </c>
      <c r="BG29" s="9" t="n">
        <v>52</v>
      </c>
      <c r="BH29" s="9" t="n">
        <v>39</v>
      </c>
      <c r="BI29" s="9" t="n">
        <v>28</v>
      </c>
      <c r="BJ29" s="9" t="n">
        <v>24</v>
      </c>
      <c r="BK29" s="9" t="n">
        <v>17</v>
      </c>
      <c r="BL29" s="9" t="n">
        <v>8</v>
      </c>
      <c r="BM29" s="9" t="n">
        <v>1</v>
      </c>
      <c r="BN29" s="9" t="n">
        <v>1</v>
      </c>
      <c r="BO29" s="9" t="n">
        <v>1</v>
      </c>
      <c r="BP29" s="9" t="n">
        <v>1</v>
      </c>
      <c r="BQ29" s="9" t="n">
        <v>1</v>
      </c>
      <c r="BR29" s="9" t="n">
        <v>0</v>
      </c>
      <c r="BS29" s="9" t="n"/>
      <c r="BT29" s="9" t="n"/>
      <c r="BU29" s="9" t="n"/>
      <c r="BV29" s="9" t="n"/>
      <c r="BW29" s="9" t="n"/>
      <c r="BX29" s="9" t="n"/>
      <c r="BY29" s="9" t="n"/>
      <c r="BZ29" s="9" t="n"/>
      <c r="CA29" s="9" t="n"/>
      <c r="CB29" s="9" t="n"/>
      <c r="CC29" s="9" t="n"/>
      <c r="CD29" s="9" t="n"/>
      <c r="CE29" s="9" t="n"/>
      <c r="CF29" s="246">
        <f>CD29+IF(NOT(ISBLANK(OFFSET(CF29,0,6))),N(OFFSET(CF29,0,6)),N(OFFSET(CF29,0,7)))-CE29</f>
        <v/>
      </c>
      <c r="CL29" s="696" t="n"/>
      <c r="CM29" s="57" t="n"/>
      <c r="CN29" s="57" t="n"/>
      <c r="CO29" s="57" t="n"/>
      <c r="CQ29" s="6" t="n"/>
      <c r="CS29" s="57" t="n"/>
      <c r="CV29" s="57" t="n"/>
      <c r="DJ29" s="360" t="n"/>
      <c r="DL29" s="360" t="n"/>
      <c r="DX29" s="6" t="n"/>
      <c r="ED29" s="6" t="n"/>
      <c r="EF29" s="6" t="n"/>
      <c r="EG29" s="6" t="n"/>
      <c r="EH29" s="57" t="n"/>
      <c r="EI29" s="57" t="n"/>
      <c r="EJ29" s="57" t="n"/>
      <c r="EK29" s="57" t="n"/>
      <c r="EL29" s="57" t="n"/>
      <c r="EM29" s="57" t="n"/>
      <c r="EP29" s="57" t="n"/>
      <c r="EQ29" s="289" t="n"/>
      <c r="ET29" s="289" t="n"/>
      <c r="EV29" s="289" t="n"/>
    </row>
    <row r="30" ht="18.75" customHeight="1">
      <c r="A30" s="33" t="inlineStr">
        <is>
          <t>CAIXA G NATAL/25</t>
        </is>
      </c>
      <c r="B30" s="9" t="n">
        <v>50</v>
      </c>
      <c r="C30" s="668" t="n"/>
      <c r="D30" s="342" t="n"/>
      <c r="BD30" s="9" t="n">
        <v>19</v>
      </c>
      <c r="BE30" s="9" t="n">
        <v>15</v>
      </c>
      <c r="BF30" s="9" t="n">
        <v>15</v>
      </c>
      <c r="BG30" s="9" t="n">
        <v>15</v>
      </c>
      <c r="BH30" s="9" t="n">
        <v>14</v>
      </c>
      <c r="BI30" s="9" t="n">
        <v>12</v>
      </c>
      <c r="BJ30" s="9" t="n">
        <v>12</v>
      </c>
      <c r="BK30" s="9" t="n">
        <v>12</v>
      </c>
      <c r="BL30" s="9" t="n">
        <v>10</v>
      </c>
      <c r="BM30" s="9" t="n">
        <v>10</v>
      </c>
      <c r="BN30" s="9" t="n">
        <v>10</v>
      </c>
      <c r="BO30" s="9" t="n">
        <v>9</v>
      </c>
      <c r="BP30" s="9" t="n">
        <v>8</v>
      </c>
      <c r="BQ30" s="9" t="n">
        <v>6</v>
      </c>
      <c r="BR30" s="9" t="n">
        <v>4</v>
      </c>
      <c r="BS30" s="9" t="n">
        <v>4</v>
      </c>
      <c r="BT30" s="9" t="n">
        <v>4</v>
      </c>
      <c r="BU30" s="9" t="n">
        <v>4</v>
      </c>
      <c r="BV30" s="9" t="n">
        <v>4</v>
      </c>
      <c r="BW30" s="9" t="n">
        <v>2</v>
      </c>
      <c r="BX30" s="9" t="n">
        <v>1</v>
      </c>
      <c r="BY30" s="9" t="n">
        <v>0</v>
      </c>
      <c r="BZ30" s="9" t="n">
        <v>0</v>
      </c>
      <c r="CA30" s="9" t="n">
        <v>0</v>
      </c>
      <c r="CB30" s="9" t="n">
        <v>0</v>
      </c>
      <c r="CC30" s="9" t="n">
        <v>0</v>
      </c>
      <c r="CD30" s="9" t="n">
        <v>0</v>
      </c>
      <c r="CE30" s="9" t="n">
        <v>0</v>
      </c>
      <c r="CF30" s="246">
        <f>CD30+IF(NOT(ISBLANK(OFFSET(CF30,0,6))),N(OFFSET(CF30,0,6)),N(OFFSET(CF30,0,7)))-CE30</f>
        <v/>
      </c>
      <c r="CL30" s="696" t="n"/>
      <c r="CM30" s="57" t="n"/>
      <c r="CN30" s="57" t="n"/>
      <c r="CO30" s="57" t="n"/>
      <c r="CQ30" s="6" t="n"/>
      <c r="CS30" s="57" t="n"/>
      <c r="CV30" s="57" t="n"/>
      <c r="DJ30" s="360" t="n"/>
      <c r="DL30" s="360" t="n"/>
      <c r="DX30" s="6" t="n"/>
      <c r="ED30" s="6" t="n"/>
      <c r="EF30" s="6" t="n"/>
      <c r="EG30" s="6" t="n"/>
      <c r="EH30" s="57" t="n"/>
      <c r="EI30" s="57" t="n"/>
      <c r="EJ30" s="57" t="n"/>
      <c r="EK30" s="57" t="n"/>
      <c r="EL30" s="57" t="n"/>
      <c r="EM30" s="57" t="n"/>
      <c r="EP30" s="57" t="n"/>
      <c r="EQ30" s="289" t="n"/>
      <c r="ET30" s="289" t="n"/>
      <c r="EV30" s="289" t="n"/>
    </row>
    <row r="31" hidden="1" ht="18.75" customHeight="1">
      <c r="A31" s="33" t="inlineStr">
        <is>
          <t>CARTUCHO P NATAL/25</t>
        </is>
      </c>
      <c r="B31" s="9" t="n">
        <v>200</v>
      </c>
      <c r="C31" s="668" t="n">
        <v>487.2</v>
      </c>
      <c r="D31" s="342" t="n"/>
      <c r="BD31" s="9" t="n">
        <v>203</v>
      </c>
      <c r="BE31" s="9" t="n">
        <v>-20</v>
      </c>
      <c r="BF31" s="9" t="n">
        <v>0</v>
      </c>
      <c r="BG31" s="9" t="n">
        <v>-1</v>
      </c>
      <c r="BH31" s="9" t="n">
        <v>-3</v>
      </c>
      <c r="BI31" s="9" t="n">
        <v>-3</v>
      </c>
      <c r="BJ31" s="9" t="n">
        <v>0</v>
      </c>
      <c r="BK31" s="9" t="n">
        <v>0</v>
      </c>
      <c r="BL31" s="9" t="n">
        <v>0</v>
      </c>
      <c r="BM31" s="9" t="n">
        <v>0</v>
      </c>
      <c r="BN31" s="9" t="n">
        <v>0</v>
      </c>
      <c r="BO31" s="9" t="n">
        <v>0</v>
      </c>
      <c r="BP31" s="9" t="n">
        <v>0</v>
      </c>
      <c r="BQ31" s="9" t="n">
        <v>0</v>
      </c>
      <c r="BR31" s="9" t="n">
        <v>0</v>
      </c>
      <c r="BS31" s="9" t="n"/>
      <c r="BT31" s="9" t="n"/>
      <c r="BU31" s="9" t="n"/>
      <c r="BV31" s="9" t="n"/>
      <c r="BW31" s="9" t="n"/>
      <c r="BX31" s="9" t="n"/>
      <c r="BY31" s="9" t="n"/>
      <c r="BZ31" s="9" t="n"/>
      <c r="CA31" s="9" t="n"/>
      <c r="CB31" s="9" t="n"/>
      <c r="CC31" s="9" t="n"/>
      <c r="CD31" s="9" t="n"/>
      <c r="CE31" s="9" t="n"/>
      <c r="CF31" s="246">
        <f>CD31+IF(NOT(ISBLANK(OFFSET(CF31,0,6))),N(OFFSET(CF31,0,6)),N(OFFSET(CF31,0,7)))-CE31</f>
        <v/>
      </c>
      <c r="CL31" s="696" t="n"/>
      <c r="CM31" s="57" t="n"/>
      <c r="CN31" s="57" t="n"/>
      <c r="CO31" s="57" t="n"/>
      <c r="CQ31" s="6" t="n"/>
      <c r="CS31" s="57" t="n"/>
      <c r="CV31" s="57" t="n"/>
      <c r="DJ31" s="360" t="n"/>
      <c r="DL31" s="360" t="n"/>
      <c r="DX31" s="6" t="n"/>
      <c r="ED31" s="6" t="n"/>
      <c r="EF31" s="6" t="n"/>
      <c r="EG31" s="6" t="n"/>
      <c r="EH31" s="57" t="n"/>
      <c r="EI31" s="57" t="n"/>
      <c r="EJ31" s="57" t="n"/>
      <c r="EK31" s="57" t="n"/>
      <c r="EL31" s="57" t="n"/>
      <c r="EM31" s="57" t="n"/>
      <c r="EP31" s="57" t="n"/>
      <c r="EQ31" s="289" t="n"/>
      <c r="ET31" s="289" t="n"/>
      <c r="EV31" s="289" t="n"/>
    </row>
    <row r="32" hidden="1" ht="18.75" customHeight="1">
      <c r="A32" s="33" t="inlineStr">
        <is>
          <t>CARTUCHO M NATAL/25</t>
        </is>
      </c>
      <c r="B32" s="9" t="n">
        <v>150</v>
      </c>
      <c r="C32" s="668" t="n">
        <v>460.35</v>
      </c>
      <c r="D32" s="342" t="n"/>
      <c r="BD32" s="9" t="n">
        <v>205</v>
      </c>
      <c r="BE32" s="9" t="n">
        <v>86</v>
      </c>
      <c r="BF32" s="9" t="n">
        <v>0</v>
      </c>
      <c r="BG32" s="9" t="n">
        <v>0</v>
      </c>
      <c r="BH32" s="9" t="n">
        <v>0</v>
      </c>
      <c r="BI32" s="9" t="n">
        <v>0</v>
      </c>
      <c r="BJ32" s="9" t="n">
        <v>0</v>
      </c>
      <c r="BK32" s="9" t="n">
        <v>0</v>
      </c>
      <c r="BL32" s="9" t="n">
        <v>0</v>
      </c>
      <c r="BM32" s="9" t="n">
        <v>0</v>
      </c>
      <c r="BN32" s="9" t="n">
        <v>0</v>
      </c>
      <c r="BO32" s="9" t="n">
        <v>0</v>
      </c>
      <c r="BP32" s="9" t="n">
        <v>0</v>
      </c>
      <c r="BQ32" s="9" t="n">
        <v>0</v>
      </c>
      <c r="BR32" s="9" t="n">
        <v>0</v>
      </c>
      <c r="BS32" s="9" t="n"/>
      <c r="BT32" s="9" t="n"/>
      <c r="BU32" s="9" t="n"/>
      <c r="BV32" s="9" t="n"/>
      <c r="BW32" s="9" t="n"/>
      <c r="BX32" s="9" t="n"/>
      <c r="BY32" s="9" t="n"/>
      <c r="BZ32" s="9" t="n"/>
      <c r="CA32" s="9" t="n"/>
      <c r="CB32" s="9" t="n"/>
      <c r="CC32" s="9" t="n"/>
      <c r="CD32" s="9" t="n"/>
      <c r="CE32" s="9" t="n"/>
      <c r="CF32" s="246">
        <f>CD32+IF(NOT(ISBLANK(OFFSET(CF32,0,6))),N(OFFSET(CF32,0,6)),N(OFFSET(CF32,0,7)))-CE32</f>
        <v/>
      </c>
      <c r="CL32" s="696" t="n"/>
      <c r="CM32" s="57" t="n"/>
      <c r="CN32" s="57" t="n"/>
      <c r="CO32" s="57" t="n"/>
      <c r="CQ32" s="6" t="n"/>
      <c r="CS32" s="57" t="n"/>
      <c r="CV32" s="57" t="n"/>
      <c r="DJ32" s="360" t="n"/>
      <c r="DL32" s="360" t="n"/>
      <c r="DX32" s="6" t="n"/>
      <c r="ED32" s="6" t="n"/>
      <c r="EF32" s="6" t="n"/>
      <c r="EG32" s="6" t="n"/>
      <c r="EH32" s="57" t="n"/>
      <c r="EI32" s="57" t="n"/>
      <c r="EJ32" s="57" t="n"/>
      <c r="EK32" s="57" t="n"/>
      <c r="EL32" s="57" t="n"/>
      <c r="EM32" s="57" t="n"/>
      <c r="EP32" s="57" t="n"/>
      <c r="EQ32" s="289" t="n"/>
      <c r="ET32" s="289" t="n"/>
      <c r="EV32" s="289" t="n"/>
    </row>
    <row r="33" hidden="1" ht="18.75" customHeight="1">
      <c r="A33" s="33" t="inlineStr">
        <is>
          <t>PIN NATAL/25</t>
        </is>
      </c>
      <c r="B33" s="9" t="n">
        <v>10</v>
      </c>
      <c r="C33" s="668" t="n">
        <v>120</v>
      </c>
      <c r="D33" s="342" t="n"/>
      <c r="BD33" s="9" t="n"/>
      <c r="BE33" s="9" t="n"/>
      <c r="BF33" s="9" t="n">
        <v>6</v>
      </c>
      <c r="BG33" s="9" t="n">
        <v>6</v>
      </c>
      <c r="BH33" s="9" t="n">
        <v>6</v>
      </c>
      <c r="BI33" s="9" t="n">
        <v>4</v>
      </c>
      <c r="BJ33" s="9" t="n">
        <v>4</v>
      </c>
      <c r="BK33" s="9" t="n">
        <v>4</v>
      </c>
      <c r="BL33" s="9" t="n">
        <v>4</v>
      </c>
      <c r="BM33" s="9" t="n">
        <v>4</v>
      </c>
      <c r="BN33" s="9" t="n">
        <v>4</v>
      </c>
      <c r="BO33" s="9" t="n">
        <v>0</v>
      </c>
      <c r="BP33" s="9" t="n">
        <v>0</v>
      </c>
      <c r="BQ33" s="9" t="n">
        <v>0</v>
      </c>
      <c r="BR33" s="9" t="n">
        <v>0</v>
      </c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9" t="n"/>
      <c r="CC33" s="9" t="n"/>
      <c r="CD33" s="9" t="n"/>
      <c r="CE33" s="9" t="n"/>
      <c r="CF33" s="246">
        <f>CD33+IF(NOT(ISBLANK(OFFSET(CF33,0,6))),N(OFFSET(CF33,0,6)),N(OFFSET(CF33,0,7)))-CE33</f>
        <v/>
      </c>
      <c r="CL33" s="696" t="n"/>
      <c r="CM33" s="57" t="n"/>
      <c r="CN33" s="57" t="n"/>
      <c r="CO33" s="57" t="n"/>
      <c r="CQ33" s="6" t="n"/>
      <c r="CS33" s="57" t="n"/>
      <c r="CV33" s="57" t="n"/>
      <c r="DJ33" s="360" t="n"/>
      <c r="DL33" s="360" t="n"/>
      <c r="DX33" s="6" t="n"/>
      <c r="ED33" s="6" t="n"/>
      <c r="EF33" s="6" t="n"/>
      <c r="EG33" s="6" t="n"/>
      <c r="EH33" s="57" t="n"/>
      <c r="EI33" s="57" t="n"/>
      <c r="EJ33" s="57" t="n"/>
      <c r="EK33" s="57" t="n"/>
      <c r="EL33" s="57" t="n"/>
      <c r="EM33" s="57" t="n"/>
      <c r="EP33" s="57" t="n"/>
      <c r="EQ33" s="289" t="n"/>
      <c r="ET33" s="289" t="n"/>
      <c r="EV33" s="289" t="n"/>
    </row>
    <row r="34" ht="18.75" customHeight="1">
      <c r="CL34" s="696" t="n"/>
      <c r="CM34" s="57" t="n"/>
      <c r="CN34" s="57" t="n"/>
      <c r="CO34" s="57" t="n"/>
      <c r="CQ34" s="6" t="n"/>
      <c r="CS34" s="57" t="n"/>
      <c r="CV34" s="57" t="n"/>
      <c r="DJ34" s="360" t="n"/>
      <c r="DL34" s="360" t="n"/>
      <c r="DX34" s="6" t="n"/>
      <c r="ED34" s="6" t="n"/>
      <c r="EF34" s="6" t="n"/>
      <c r="EG34" s="6" t="n"/>
      <c r="EH34" s="57" t="n"/>
      <c r="EI34" s="57" t="n"/>
      <c r="EJ34" s="57" t="n"/>
      <c r="EK34" s="57" t="n"/>
      <c r="EL34" s="57" t="n"/>
      <c r="EM34" s="57" t="n"/>
      <c r="EP34" s="57" t="n"/>
      <c r="EQ34" s="289" t="n"/>
      <c r="ET34" s="289" t="n"/>
      <c r="EV34" s="289" t="n"/>
    </row>
    <row r="35" ht="18.75" customHeight="1">
      <c r="CL35" s="290" t="n"/>
      <c r="CM35" s="61" t="n"/>
      <c r="CN35" s="61" t="n"/>
      <c r="CO35" s="61" t="n"/>
      <c r="CQ35" s="6" t="n"/>
      <c r="CS35" s="61" t="n"/>
      <c r="CV35" s="61" t="n"/>
      <c r="DJ35" s="360" t="n"/>
      <c r="DL35" s="360" t="n"/>
      <c r="DX35" s="6" t="n"/>
      <c r="ED35" s="6" t="n"/>
      <c r="EF35" s="6" t="n"/>
      <c r="EG35" s="6" t="n"/>
      <c r="EH35" s="57" t="n"/>
      <c r="EI35" s="57" t="n"/>
      <c r="EJ35" s="57" t="n"/>
      <c r="EK35" s="57" t="n"/>
      <c r="EL35" s="57" t="n"/>
      <c r="EM35" s="57" t="n"/>
      <c r="EP35" s="57" t="n"/>
      <c r="EQ35" s="289" t="n"/>
      <c r="ET35" s="289" t="n"/>
      <c r="EV35" s="289" t="n"/>
    </row>
    <row r="36" ht="21" customHeight="1">
      <c r="A36" s="320" t="inlineStr">
        <is>
          <t>SOBRAS DATAS COMEMORATIVAS</t>
        </is>
      </c>
      <c r="B36" s="320" t="n"/>
      <c r="C36" s="320" t="n"/>
      <c r="CF36" s="222" t="n"/>
      <c r="CG36" s="222" t="n"/>
      <c r="CJ36" s="222" t="n"/>
      <c r="CK36" s="222" t="n"/>
      <c r="CL36" s="290" t="n"/>
      <c r="CM36" s="61" t="n"/>
      <c r="CN36" s="61" t="n"/>
      <c r="CO36" s="61" t="n"/>
      <c r="CQ36" s="6" t="n"/>
      <c r="CS36" s="61" t="n"/>
      <c r="CV36" s="61" t="n"/>
      <c r="DJ36" s="360" t="n"/>
      <c r="DL36" s="360" t="n"/>
      <c r="DX36" s="6" t="n"/>
      <c r="EA36" s="57" t="n"/>
      <c r="EB36" s="57" t="n"/>
      <c r="EC36" s="57" t="n"/>
      <c r="ED36" s="6" t="n"/>
      <c r="EE36" s="57" t="n"/>
      <c r="EF36" s="360" t="n"/>
      <c r="EG36" s="6" t="n"/>
      <c r="EH36" s="61" t="n"/>
      <c r="EI36" s="61" t="n"/>
      <c r="EJ36" s="61" t="n"/>
      <c r="EK36" s="61" t="n"/>
      <c r="EL36" s="61" t="n"/>
      <c r="EM36" s="61" t="n"/>
      <c r="EP36" s="61" t="n"/>
      <c r="EQ36" s="289" t="n"/>
      <c r="ET36" s="289" t="n"/>
      <c r="EV36" s="289" t="n"/>
    </row>
    <row r="37">
      <c r="A37" s="146" t="inlineStr">
        <is>
          <t>ITENS</t>
        </is>
      </c>
      <c r="B37" s="146" t="n"/>
      <c r="C37" s="146" t="inlineStr">
        <is>
          <t>ESTOQUE</t>
        </is>
      </c>
      <c r="E37" s="53" t="n"/>
      <c r="F37" s="53" t="n"/>
      <c r="G37" s="53" t="n"/>
      <c r="H37" s="53" t="n"/>
      <c r="I37" s="53" t="n"/>
      <c r="J37" s="53" t="n"/>
      <c r="K37" s="53" t="n"/>
      <c r="L37" s="53" t="n"/>
      <c r="M37" s="53" t="n"/>
      <c r="N37" s="53" t="n"/>
      <c r="O37" s="53" t="n"/>
      <c r="P37" s="53" t="n"/>
      <c r="Q37" s="53" t="n"/>
      <c r="R37" s="53" t="n"/>
      <c r="S37" s="53" t="n"/>
      <c r="T37" s="53" t="n"/>
      <c r="U37" s="53" t="n"/>
      <c r="V37" s="53" t="n"/>
      <c r="W37" s="53" t="n"/>
      <c r="X37" s="53" t="n"/>
      <c r="Y37" s="53" t="n"/>
      <c r="Z37" s="53" t="n"/>
      <c r="AA37" s="53" t="n"/>
      <c r="AB37" s="53" t="n"/>
      <c r="AC37" s="53" t="n"/>
      <c r="AD37" s="53" t="n"/>
      <c r="AE37" s="53" t="n"/>
      <c r="AF37" s="53" t="n"/>
      <c r="AG37" s="53" t="n"/>
      <c r="AH37" s="53" t="n"/>
      <c r="AI37" s="53" t="n"/>
      <c r="AJ37" s="53" t="n"/>
      <c r="AK37" s="53" t="n"/>
      <c r="AL37" s="53" t="n"/>
      <c r="AM37" s="53" t="n"/>
      <c r="AN37" s="53" t="n"/>
      <c r="AO37" s="53" t="n"/>
      <c r="AP37" s="53" t="n"/>
      <c r="AQ37" s="53" t="n"/>
      <c r="AR37" s="53" t="n"/>
      <c r="AS37" s="53" t="n"/>
      <c r="AT37" s="53" t="n"/>
      <c r="AU37" s="53" t="n"/>
      <c r="AV37" s="53" t="n"/>
      <c r="AW37" s="53" t="n"/>
      <c r="AX37" s="53" t="n"/>
      <c r="AY37" s="53" t="n"/>
      <c r="AZ37" s="53" t="n"/>
      <c r="BA37" s="53" t="n"/>
      <c r="BB37" s="53" t="n"/>
      <c r="BC37" s="53" t="n"/>
      <c r="BD37" s="53" t="n"/>
      <c r="BE37" s="53" t="n"/>
      <c r="BF37" s="53" t="n"/>
      <c r="BG37" s="53" t="n"/>
      <c r="BH37" s="53" t="n"/>
      <c r="BI37" s="53" t="n"/>
      <c r="BJ37" s="53" t="n"/>
      <c r="BK37" s="53" t="n"/>
      <c r="BL37" s="53" t="n"/>
      <c r="BM37" s="53" t="n"/>
      <c r="BN37" s="53" t="n"/>
      <c r="BO37" s="53" t="n"/>
      <c r="BP37" s="53" t="n"/>
      <c r="BQ37" s="53" t="n"/>
      <c r="BR37" s="53" t="n"/>
      <c r="BS37" s="53" t="n"/>
      <c r="BT37" s="53" t="n"/>
      <c r="BU37" s="53" t="n"/>
      <c r="BV37" s="53" t="n"/>
      <c r="BW37" s="53" t="n"/>
      <c r="BX37" s="53" t="n"/>
      <c r="BY37" s="53" t="n"/>
      <c r="BZ37" s="53" t="n"/>
      <c r="CA37" s="53" t="n"/>
      <c r="CB37" s="53" t="n"/>
      <c r="CC37" s="53" t="n"/>
      <c r="CD37" s="53" t="n"/>
      <c r="CE37" s="53" t="n"/>
      <c r="CF37" s="53" t="n"/>
      <c r="CG37" s="53" t="n"/>
      <c r="CJ37" s="53" t="n"/>
      <c r="CL37" s="53" t="n"/>
      <c r="CP37" s="57" t="n"/>
      <c r="CQ37" s="6" t="n"/>
      <c r="CR37" s="57" t="n"/>
      <c r="CT37" s="57" t="n"/>
      <c r="CU37" s="57" t="n"/>
      <c r="CW37" s="57" t="n"/>
      <c r="CX37" s="57" t="n"/>
      <c r="CY37" s="57" t="n"/>
      <c r="CZ37" s="57" t="n"/>
      <c r="DA37" s="57" t="n"/>
      <c r="DB37" s="57" t="n"/>
      <c r="DC37" s="57" t="n"/>
      <c r="DD37" s="57" t="n"/>
      <c r="DE37" s="57" t="n"/>
      <c r="DF37" s="57" t="n"/>
      <c r="DG37" s="57" t="n"/>
      <c r="DH37" s="57" t="n"/>
      <c r="DI37" s="57" t="n"/>
      <c r="DJ37" s="53" t="n"/>
      <c r="DK37" s="57" t="n"/>
      <c r="DL37" s="53" t="n"/>
      <c r="DM37" s="57" t="n"/>
      <c r="DN37" s="57" t="n"/>
      <c r="DO37" s="57" t="n"/>
      <c r="DP37" s="57" t="n"/>
      <c r="DQ37" s="57" t="n"/>
      <c r="DR37" s="57" t="n"/>
      <c r="DS37" s="57" t="n"/>
      <c r="DT37" s="57" t="n"/>
      <c r="DU37" s="57" t="n"/>
      <c r="DV37" s="57" t="n"/>
      <c r="DW37" s="57" t="n"/>
      <c r="DX37" s="6" t="n"/>
      <c r="DY37" s="57" t="n"/>
      <c r="DZ37" s="57" t="n"/>
      <c r="EA37" s="61" t="n"/>
      <c r="EB37" s="61" t="n"/>
      <c r="EC37" s="61" t="n"/>
      <c r="ED37" s="360" t="n"/>
      <c r="EE37" s="61" t="n"/>
      <c r="EF37" s="360" t="n"/>
      <c r="EG37" s="360" t="n"/>
      <c r="EH37" s="61" t="n"/>
      <c r="EI37" s="61" t="n"/>
      <c r="EJ37" s="61" t="n"/>
      <c r="EK37" s="61" t="n"/>
      <c r="EL37" s="61" t="n"/>
      <c r="EM37" s="61" t="n"/>
      <c r="EP37" s="61" t="n"/>
      <c r="EQ37" s="289" t="n"/>
      <c r="ET37" s="289" t="n"/>
      <c r="EV37" s="289" t="n"/>
    </row>
    <row r="38">
      <c r="A38" s="215" t="inlineStr">
        <is>
          <t>TAG PAIS/24</t>
        </is>
      </c>
      <c r="B38" s="170" t="n"/>
      <c r="C38" s="171" t="n">
        <v>40</v>
      </c>
      <c r="E38" s="53" t="n"/>
      <c r="F38" s="53" t="n"/>
      <c r="G38" s="53" t="n"/>
      <c r="H38" s="53" t="n"/>
      <c r="I38" s="53" t="n"/>
      <c r="J38" s="53" t="n"/>
      <c r="K38" s="53" t="n"/>
      <c r="L38" s="53" t="n"/>
      <c r="M38" s="53" t="n"/>
      <c r="N38" s="53" t="n"/>
      <c r="O38" s="53" t="n"/>
      <c r="P38" s="53" t="n"/>
      <c r="Q38" s="53" t="n"/>
      <c r="R38" s="53" t="n"/>
      <c r="S38" s="53" t="n"/>
      <c r="T38" s="53" t="n"/>
      <c r="U38" s="53" t="n"/>
      <c r="V38" s="53" t="n"/>
      <c r="W38" s="53" t="n"/>
      <c r="X38" s="53" t="n"/>
      <c r="Y38" s="53" t="n"/>
      <c r="Z38" s="53" t="n"/>
      <c r="AA38" s="53" t="n"/>
      <c r="AB38" s="53" t="n"/>
      <c r="AC38" s="53" t="n"/>
      <c r="AD38" s="53" t="n"/>
      <c r="AE38" s="53" t="n"/>
      <c r="AF38" s="53" t="n"/>
      <c r="AG38" s="53" t="n"/>
      <c r="AH38" s="53" t="n"/>
      <c r="AI38" s="53" t="n"/>
      <c r="AJ38" s="53" t="n"/>
      <c r="AK38" s="53" t="n"/>
      <c r="AL38" s="53" t="n"/>
      <c r="AM38" s="53" t="n"/>
      <c r="AN38" s="53" t="n"/>
      <c r="AO38" s="53" t="n"/>
      <c r="AP38" s="53" t="n"/>
      <c r="AQ38" s="53" t="n"/>
      <c r="AR38" s="53" t="n"/>
      <c r="AS38" s="53" t="n"/>
      <c r="AT38" s="53" t="n"/>
      <c r="AU38" s="53" t="n"/>
      <c r="AV38" s="53" t="n"/>
      <c r="AW38" s="53" t="n"/>
      <c r="AX38" s="53" t="n"/>
      <c r="AY38" s="53" t="n"/>
      <c r="AZ38" s="53" t="n"/>
      <c r="BA38" s="53" t="n"/>
      <c r="BB38" s="53" t="n"/>
      <c r="BC38" s="53" t="n"/>
      <c r="BD38" s="53" t="n"/>
      <c r="BE38" s="53" t="n"/>
      <c r="BF38" s="53" t="n"/>
      <c r="BG38" s="53" t="n"/>
      <c r="BH38" s="53" t="n"/>
      <c r="BI38" s="53" t="n"/>
      <c r="BJ38" s="53" t="n"/>
      <c r="BK38" s="53" t="n"/>
      <c r="BL38" s="53" t="n"/>
      <c r="BM38" s="53" t="n"/>
      <c r="BN38" s="53" t="n"/>
      <c r="BO38" s="53" t="n"/>
      <c r="BP38" s="53" t="n"/>
      <c r="BQ38" s="53" t="n"/>
      <c r="BR38" s="53" t="n"/>
      <c r="BS38" s="53" t="n"/>
      <c r="BT38" s="53" t="n"/>
      <c r="BU38" s="53" t="n"/>
      <c r="BV38" s="53" t="n"/>
      <c r="BW38" s="53" t="n"/>
      <c r="BX38" s="53" t="n"/>
      <c r="BY38" s="53" t="n"/>
      <c r="BZ38" s="53" t="n"/>
      <c r="CA38" s="53" t="n"/>
      <c r="CB38" s="53" t="n"/>
      <c r="CC38" s="53" t="n"/>
      <c r="CD38" s="53" t="n"/>
      <c r="CE38" s="53" t="n"/>
      <c r="CF38" s="53" t="n"/>
      <c r="CG38" s="53" t="n"/>
      <c r="CJ38" s="53" t="n"/>
      <c r="CL38" s="53" t="n"/>
      <c r="CP38" s="61" t="n"/>
      <c r="CQ38" s="6" t="n"/>
      <c r="CR38" s="61" t="n"/>
      <c r="CT38" s="61" t="n"/>
      <c r="CU38" s="61" t="n"/>
      <c r="CW38" s="61" t="n"/>
      <c r="CX38" s="61" t="n"/>
      <c r="CY38" s="61" t="n"/>
      <c r="CZ38" s="61" t="n"/>
      <c r="DA38" s="61" t="n"/>
      <c r="DB38" s="61" t="n"/>
      <c r="DC38" s="61" t="n"/>
      <c r="DD38" s="61" t="n"/>
      <c r="DE38" s="61" t="n"/>
      <c r="DF38" s="61" t="n"/>
      <c r="DG38" s="61" t="n"/>
      <c r="DH38" s="61" t="n"/>
      <c r="DI38" s="61" t="n"/>
      <c r="DJ38" s="53" t="n"/>
      <c r="DK38" s="61" t="n"/>
      <c r="DL38" s="53" t="n"/>
      <c r="DM38" s="61" t="n"/>
      <c r="DN38" s="61" t="n"/>
      <c r="DO38" s="61" t="n"/>
      <c r="DP38" s="61" t="n"/>
      <c r="DQ38" s="61" t="n"/>
      <c r="DR38" s="61" t="n"/>
      <c r="DS38" s="61" t="n"/>
      <c r="DT38" s="61" t="n"/>
      <c r="DU38" s="61" t="n"/>
      <c r="DV38" s="61" t="n"/>
      <c r="DW38" s="61" t="n"/>
      <c r="DX38" s="360" t="n"/>
      <c r="DY38" s="61" t="n"/>
      <c r="DZ38" s="61" t="n"/>
      <c r="EA38" s="61" t="n"/>
      <c r="EB38" s="61" t="n"/>
      <c r="EC38" s="61" t="n"/>
      <c r="ED38" s="360" t="n"/>
      <c r="EE38" s="61" t="n"/>
      <c r="EF38" s="53" t="n"/>
      <c r="EG38" s="360" t="n"/>
      <c r="EQ38" s="289" t="n"/>
      <c r="ET38" s="289" t="n"/>
      <c r="EV38" s="289" t="n"/>
    </row>
    <row r="39">
      <c r="A39" s="215" t="inlineStr">
        <is>
          <t>TAG PAIS/25</t>
        </is>
      </c>
      <c r="B39" s="170" t="n"/>
      <c r="C39" s="171" t="n">
        <v>250</v>
      </c>
      <c r="E39" s="53" t="n"/>
      <c r="F39" s="53" t="n"/>
      <c r="G39" s="53" t="n"/>
      <c r="H39" s="53" t="n"/>
      <c r="I39" s="53" t="n"/>
      <c r="J39" s="53" t="n"/>
      <c r="K39" s="53" t="n"/>
      <c r="L39" s="53" t="n"/>
      <c r="M39" s="53" t="n"/>
      <c r="N39" s="53" t="n"/>
      <c r="O39" s="53" t="n"/>
      <c r="P39" s="53" t="n"/>
      <c r="Q39" s="53" t="n"/>
      <c r="R39" s="53" t="n"/>
      <c r="S39" s="53" t="n"/>
      <c r="T39" s="53" t="n"/>
      <c r="U39" s="53" t="n"/>
      <c r="V39" s="53" t="n"/>
      <c r="W39" s="53" t="n"/>
      <c r="X39" s="53" t="n"/>
      <c r="Y39" s="53" t="n"/>
      <c r="Z39" s="53" t="n"/>
      <c r="AA39" s="53" t="n"/>
      <c r="AB39" s="53" t="n"/>
      <c r="AC39" s="53" t="n"/>
      <c r="AD39" s="53" t="n"/>
      <c r="AE39" s="53" t="n"/>
      <c r="AF39" s="53" t="n"/>
      <c r="AG39" s="53" t="n"/>
      <c r="AH39" s="53" t="n"/>
      <c r="AI39" s="53" t="n"/>
      <c r="AJ39" s="53" t="n"/>
      <c r="AK39" s="53" t="n"/>
      <c r="AL39" s="53" t="n"/>
      <c r="AM39" s="53" t="n"/>
      <c r="AN39" s="53" t="n"/>
      <c r="AO39" s="53" t="n"/>
      <c r="AP39" s="53" t="n"/>
      <c r="AQ39" s="53" t="n"/>
      <c r="AR39" s="53" t="n"/>
      <c r="AS39" s="53" t="n"/>
      <c r="AT39" s="53" t="n"/>
      <c r="AU39" s="53" t="n"/>
      <c r="AV39" s="53" t="n"/>
      <c r="AW39" s="53" t="n"/>
      <c r="AX39" s="53" t="n"/>
      <c r="AY39" s="53" t="n"/>
      <c r="AZ39" s="53" t="n"/>
      <c r="BA39" s="53" t="n"/>
      <c r="BB39" s="53" t="n"/>
      <c r="BC39" s="53" t="n"/>
      <c r="BD39" s="53" t="n"/>
      <c r="BE39" s="53" t="n"/>
      <c r="BF39" s="53" t="n"/>
      <c r="BG39" s="53" t="n"/>
      <c r="BH39" s="53" t="n"/>
      <c r="BI39" s="53" t="n"/>
      <c r="BJ39" s="53" t="n"/>
      <c r="BK39" s="53" t="n"/>
      <c r="BL39" s="53" t="n"/>
      <c r="BM39" s="53" t="n"/>
      <c r="BN39" s="53" t="n"/>
      <c r="BO39" s="53" t="n"/>
      <c r="BP39" s="53" t="n"/>
      <c r="BQ39" s="53" t="n"/>
      <c r="BR39" s="53" t="n"/>
      <c r="BS39" s="53" t="n"/>
      <c r="BT39" s="53" t="n"/>
      <c r="BU39" s="53" t="n"/>
      <c r="BV39" s="53" t="n"/>
      <c r="BW39" s="53" t="n"/>
      <c r="BX39" s="53" t="n"/>
      <c r="BY39" s="53" t="n"/>
      <c r="BZ39" s="53" t="n"/>
      <c r="CA39" s="53" t="n"/>
      <c r="CB39" s="53" t="n"/>
      <c r="CC39" s="53" t="n"/>
      <c r="CD39" s="53" t="n"/>
      <c r="CE39" s="53" t="n"/>
      <c r="CF39" s="53" t="n"/>
      <c r="CG39" s="53" t="n"/>
      <c r="CJ39" s="53" t="n"/>
      <c r="CL39" s="53" t="n"/>
      <c r="CP39" s="61" t="n"/>
      <c r="CQ39" s="360" t="n"/>
      <c r="CR39" s="61" t="n"/>
      <c r="CT39" s="61" t="n"/>
      <c r="CU39" s="61" t="n"/>
      <c r="CW39" s="61" t="n"/>
      <c r="CX39" s="61" t="n"/>
      <c r="CY39" s="61" t="n"/>
      <c r="CZ39" s="61" t="n"/>
      <c r="DA39" s="61" t="n"/>
      <c r="DB39" s="61" t="n"/>
      <c r="DC39" s="61" t="n"/>
      <c r="DD39" s="61" t="n"/>
      <c r="DE39" s="61" t="n"/>
      <c r="DF39" s="61" t="n"/>
      <c r="DG39" s="61" t="n"/>
      <c r="DH39" s="61" t="n"/>
      <c r="DI39" s="61" t="n"/>
      <c r="DJ39" s="53" t="n"/>
      <c r="DK39" s="61" t="n"/>
      <c r="DL39" s="53" t="n"/>
      <c r="DM39" s="61" t="n"/>
      <c r="DN39" s="61" t="n"/>
      <c r="DO39" s="61" t="n"/>
      <c r="DP39" s="61" t="n"/>
      <c r="DQ39" s="61" t="n"/>
      <c r="DR39" s="61" t="n"/>
      <c r="DS39" s="61" t="n"/>
      <c r="DT39" s="61" t="n"/>
      <c r="DU39" s="61" t="n"/>
      <c r="DV39" s="61" t="n"/>
      <c r="DW39" s="61" t="n"/>
      <c r="DX39" s="360" t="n"/>
      <c r="DY39" s="61" t="n"/>
      <c r="DZ39" s="61" t="n"/>
      <c r="EA39" s="61" t="n"/>
      <c r="EB39" s="61" t="n"/>
      <c r="EC39" s="61" t="n"/>
      <c r="ED39" s="360" t="n"/>
      <c r="EE39" s="61" t="n"/>
      <c r="EF39" s="53" t="n"/>
      <c r="EG39" s="360" t="n"/>
      <c r="EQ39" s="289" t="n"/>
      <c r="ET39" s="289" t="n"/>
      <c r="EV39" s="289" t="n"/>
    </row>
    <row r="40">
      <c r="A40" s="371" t="inlineStr">
        <is>
          <t>TAG NAMORADOS/2023</t>
        </is>
      </c>
      <c r="B40" s="170" t="n"/>
      <c r="C40" s="171" t="n">
        <v>300</v>
      </c>
      <c r="CQ40" s="360" t="n"/>
      <c r="DJ40" s="53" t="n"/>
      <c r="DL40" s="53" t="n"/>
      <c r="DX40" s="53" t="n"/>
      <c r="DZ40" s="61" t="n"/>
      <c r="ED40" s="53" t="n"/>
      <c r="EF40" s="53" t="n"/>
      <c r="EG40" s="53" t="n"/>
      <c r="EQ40" s="289" t="n"/>
      <c r="ET40" s="289" t="n"/>
      <c r="EV40" s="289" t="n"/>
      <c r="FJ40" s="6" t="n"/>
      <c r="FK40" s="6" t="n"/>
      <c r="FL40" s="6" t="n"/>
      <c r="FM40" s="6" t="n"/>
      <c r="FN40" s="6" t="n"/>
      <c r="FO40" s="6" t="n"/>
      <c r="FP40" s="6" t="n"/>
      <c r="FQ40" s="6" t="n"/>
      <c r="FR40" s="6" t="n"/>
      <c r="FS40" s="6" t="n"/>
      <c r="FT40" s="6" t="n"/>
      <c r="FU40" s="6" t="n"/>
      <c r="FV40" s="6" t="n"/>
      <c r="FW40" s="6" t="n"/>
      <c r="FX40" s="6" t="n"/>
      <c r="GS40" s="49" t="n"/>
      <c r="GT40" s="49" t="n"/>
      <c r="GU40" s="49" t="n"/>
      <c r="GV40" s="49" t="n"/>
      <c r="GW40" s="49" t="n"/>
      <c r="GX40" s="49" t="n"/>
      <c r="GY40" s="49" t="n"/>
      <c r="GZ40" s="49" t="n"/>
      <c r="HA40" s="49" t="n"/>
      <c r="HB40" s="49" t="n"/>
      <c r="HC40" s="49" t="n"/>
      <c r="HD40" s="49" t="n"/>
      <c r="HE40" s="49" t="n"/>
      <c r="HF40" s="49" t="n"/>
      <c r="HG40" s="49" t="n"/>
      <c r="HI40" s="49" t="n"/>
      <c r="HJ40" s="49" t="n"/>
      <c r="HK40" s="49" t="n"/>
      <c r="HL40" s="49" t="n"/>
      <c r="HM40" s="49" t="n"/>
      <c r="HN40" s="49" t="n"/>
      <c r="HO40" s="49" t="n"/>
      <c r="HP40" s="49" t="n"/>
      <c r="HQ40" s="49" t="n"/>
      <c r="HR40" s="49" t="n"/>
      <c r="HS40" s="49" t="n"/>
      <c r="HT40" s="49" t="n"/>
      <c r="HU40" s="49" t="n"/>
      <c r="HV40" s="49" t="n"/>
      <c r="HW40" s="49" t="n"/>
      <c r="IE40" s="49" t="n"/>
      <c r="II40" s="49" t="n"/>
      <c r="IM40" s="49" t="n"/>
      <c r="IV40" s="49" t="n"/>
      <c r="JB40" s="61" t="n"/>
      <c r="JL40" s="168" t="n"/>
    </row>
    <row r="41" customFormat="1" s="49">
      <c r="E41" s="53" t="n"/>
      <c r="F41" s="53" t="n"/>
      <c r="G41" s="53" t="n"/>
      <c r="H41" s="53" t="n"/>
      <c r="I41" s="53" t="n"/>
      <c r="J41" s="53" t="n"/>
      <c r="K41" s="53" t="n"/>
      <c r="L41" s="53" t="n"/>
      <c r="M41" s="53" t="n"/>
      <c r="N41" s="53" t="n"/>
      <c r="O41" s="53" t="n"/>
      <c r="P41" s="53" t="n"/>
      <c r="Q41" s="53" t="n"/>
      <c r="R41" s="53" t="n"/>
      <c r="S41" s="53" t="n"/>
      <c r="T41" s="53" t="n"/>
      <c r="U41" s="53" t="n"/>
      <c r="V41" s="53" t="n"/>
      <c r="W41" s="53" t="n"/>
      <c r="X41" s="53" t="n"/>
      <c r="Y41" s="53" t="n"/>
      <c r="Z41" s="53" t="n"/>
      <c r="AA41" s="53" t="n"/>
      <c r="AB41" s="53" t="n"/>
      <c r="AC41" s="53" t="n"/>
      <c r="AD41" s="53" t="n"/>
      <c r="AE41" s="53" t="n"/>
      <c r="AF41" s="53" t="n"/>
      <c r="AG41" s="53" t="n"/>
      <c r="AH41" s="53" t="n"/>
      <c r="AI41" s="53" t="n"/>
      <c r="AJ41" s="53" t="n"/>
      <c r="AK41" s="53" t="n"/>
      <c r="AL41" s="53" t="n"/>
      <c r="AM41" s="53" t="n"/>
      <c r="AN41" s="53" t="n"/>
      <c r="AO41" s="53" t="n"/>
      <c r="AP41" s="53" t="n"/>
      <c r="AQ41" s="53" t="n"/>
      <c r="AR41" s="53" t="n"/>
      <c r="AS41" s="53" t="n"/>
      <c r="AT41" s="53" t="n"/>
      <c r="AU41" s="53" t="n"/>
      <c r="AV41" s="53" t="n"/>
      <c r="AW41" s="53" t="n"/>
      <c r="AX41" s="53" t="n"/>
      <c r="AY41" s="53" t="n"/>
      <c r="AZ41" s="53" t="n"/>
      <c r="BA41" s="53" t="n"/>
      <c r="BB41" s="53" t="n"/>
      <c r="BC41" s="53" t="n"/>
      <c r="BD41" s="53" t="n"/>
      <c r="BE41" s="53" t="n"/>
      <c r="BF41" s="53" t="n"/>
      <c r="BG41" s="53" t="n"/>
      <c r="BH41" s="53" t="n"/>
      <c r="BI41" s="53" t="n"/>
      <c r="BJ41" s="53" t="n"/>
      <c r="BK41" s="53" t="n"/>
      <c r="BL41" s="53" t="n"/>
      <c r="BM41" s="53" t="n"/>
      <c r="BN41" s="53" t="n"/>
      <c r="BO41" s="53" t="n"/>
      <c r="BP41" s="53" t="n"/>
      <c r="BQ41" s="53" t="n"/>
      <c r="BR41" s="53" t="n"/>
      <c r="BS41" s="53" t="n"/>
      <c r="BT41" s="53" t="n"/>
      <c r="BU41" s="53" t="n"/>
      <c r="BV41" s="53" t="n"/>
      <c r="BW41" s="53" t="n"/>
      <c r="BX41" s="53" t="n"/>
      <c r="BY41" s="53" t="n"/>
      <c r="BZ41" s="53" t="n"/>
      <c r="CA41" s="53" t="n"/>
      <c r="CB41" s="53" t="n"/>
      <c r="CC41" s="53" t="n"/>
      <c r="CD41" s="53" t="n"/>
      <c r="CE41" s="53" t="n"/>
      <c r="CF41" s="53" t="n"/>
      <c r="CG41" s="53" t="n"/>
      <c r="CH41" s="6" t="n"/>
      <c r="CJ41" s="53" t="n"/>
      <c r="CL41" s="6" t="n"/>
      <c r="CM41" s="6" t="n"/>
      <c r="CN41" s="6" t="n"/>
      <c r="CO41" s="6" t="n"/>
      <c r="CQ41" s="53" t="n"/>
      <c r="CS41" s="6" t="n"/>
      <c r="CV41" s="6" t="n"/>
      <c r="DJ41" s="53" t="n"/>
      <c r="DL41" s="53" t="n"/>
      <c r="DX41" s="53" t="n"/>
      <c r="ED41" s="53" t="n"/>
      <c r="EF41" s="53" t="n"/>
      <c r="EG41" s="53" t="n"/>
      <c r="EN41" s="57" t="n"/>
      <c r="EO41" s="57" t="n"/>
      <c r="EQ41" s="289" t="n"/>
      <c r="ER41" s="57" t="n"/>
      <c r="ES41" s="57" t="n"/>
      <c r="ET41" s="289" t="n"/>
      <c r="EU41" s="57" t="n"/>
      <c r="EV41" s="289" t="n"/>
      <c r="EW41" s="57" t="n"/>
      <c r="EX41" s="57" t="n"/>
      <c r="EY41" s="57" t="n"/>
      <c r="EZ41" s="57" t="n"/>
      <c r="FA41" s="57" t="n"/>
      <c r="FB41" s="57" t="n"/>
      <c r="FC41" s="57" t="n"/>
      <c r="FD41" s="57" t="n"/>
      <c r="FE41" s="57" t="n"/>
      <c r="FF41" s="57" t="n"/>
      <c r="FG41" s="57" t="n"/>
      <c r="FH41" s="57" t="n"/>
      <c r="FJ41" s="53" t="n"/>
      <c r="FK41" s="53" t="n"/>
      <c r="FL41" s="53" t="n"/>
      <c r="FM41" s="53" t="n"/>
      <c r="FN41" s="53" t="n"/>
      <c r="FO41" s="53" t="n"/>
      <c r="FP41" s="53" t="n"/>
      <c r="FQ41" s="53" t="n"/>
      <c r="FR41" s="53" t="n"/>
      <c r="FS41" s="53" t="n"/>
      <c r="FT41" s="53" t="n"/>
      <c r="FU41" s="53" t="n"/>
      <c r="FV41" s="53" t="n"/>
      <c r="FW41" s="53" t="n"/>
      <c r="FX41" s="53" t="n"/>
    </row>
    <row r="42">
      <c r="A42" s="699" t="inlineStr">
        <is>
          <t>FLACONETES</t>
        </is>
      </c>
      <c r="B42" s="658" t="n"/>
      <c r="C42" s="658" t="n"/>
      <c r="D42" s="670" t="n"/>
      <c r="F42" s="671" t="n">
        <v>45656</v>
      </c>
      <c r="G42" s="671" t="n">
        <v>45663</v>
      </c>
      <c r="H42" s="671" t="n">
        <v>45670</v>
      </c>
      <c r="I42" s="671" t="n">
        <v>45677</v>
      </c>
      <c r="J42" s="671" t="n">
        <v>45684</v>
      </c>
      <c r="K42" s="671" t="n">
        <v>45691</v>
      </c>
      <c r="L42" s="671" t="n">
        <v>45698</v>
      </c>
      <c r="M42" s="671" t="n">
        <v>45705</v>
      </c>
      <c r="N42" s="671" t="n">
        <v>45712</v>
      </c>
      <c r="O42" s="671" t="n">
        <v>45719</v>
      </c>
      <c r="P42" s="671" t="n">
        <v>45726</v>
      </c>
      <c r="Q42" s="671" t="n">
        <v>45733</v>
      </c>
      <c r="R42" s="671" t="n">
        <v>45740</v>
      </c>
      <c r="S42" s="671" t="n">
        <v>45747</v>
      </c>
      <c r="T42" s="671" t="n">
        <v>45754</v>
      </c>
      <c r="U42" s="671" t="n">
        <v>45761</v>
      </c>
      <c r="V42" s="671" t="n">
        <v>45768</v>
      </c>
      <c r="W42" s="671" t="n">
        <v>45775</v>
      </c>
      <c r="X42" s="671" t="n">
        <v>45782</v>
      </c>
      <c r="Y42" s="671" t="n">
        <v>45789</v>
      </c>
      <c r="Z42" s="671" t="n">
        <v>45796</v>
      </c>
      <c r="AA42" s="671" t="n">
        <v>45803</v>
      </c>
      <c r="AB42" s="671" t="n">
        <v>45810</v>
      </c>
      <c r="AC42" s="671" t="n">
        <v>45817</v>
      </c>
      <c r="AD42" s="671" t="n">
        <v>45824</v>
      </c>
      <c r="AE42" s="671" t="n">
        <v>45831</v>
      </c>
      <c r="AF42" s="671" t="n">
        <v>45838</v>
      </c>
      <c r="AG42" s="671" t="n">
        <v>45845</v>
      </c>
      <c r="AH42" s="671" t="n">
        <v>45852</v>
      </c>
      <c r="AI42" s="671" t="n">
        <v>45859</v>
      </c>
      <c r="AJ42" s="671" t="n">
        <v>45866</v>
      </c>
      <c r="AK42" s="671" t="n">
        <v>45873</v>
      </c>
      <c r="AL42" s="671" t="n">
        <v>45880</v>
      </c>
      <c r="AM42" s="671" t="n">
        <v>45887</v>
      </c>
      <c r="AN42" s="671" t="n">
        <v>45894</v>
      </c>
      <c r="AO42" s="671" t="n">
        <v>45901</v>
      </c>
      <c r="AP42" s="671" t="n">
        <v>45908</v>
      </c>
      <c r="AQ42" s="671" t="n">
        <v>45915</v>
      </c>
      <c r="AR42" s="671" t="n">
        <v>45922</v>
      </c>
      <c r="AS42" s="671" t="n">
        <v>45929</v>
      </c>
      <c r="AT42" s="671" t="n">
        <v>45936</v>
      </c>
      <c r="AU42" s="671" t="n">
        <v>45943</v>
      </c>
      <c r="AV42" s="671" t="n">
        <v>45950</v>
      </c>
      <c r="AW42" s="671" t="n">
        <v>45957</v>
      </c>
      <c r="AX42" s="671" t="n">
        <v>45964</v>
      </c>
      <c r="AY42" s="671" t="n">
        <v>45971</v>
      </c>
      <c r="AZ42" s="671" t="n">
        <v>45978</v>
      </c>
      <c r="BA42" s="671" t="n">
        <v>45985</v>
      </c>
      <c r="BB42" s="671" t="n">
        <v>45992</v>
      </c>
      <c r="BC42" s="671" t="n">
        <v>45999</v>
      </c>
      <c r="BD42" s="671" t="n">
        <v>46006</v>
      </c>
      <c r="BE42" s="671" t="n">
        <v>46013</v>
      </c>
      <c r="BF42" s="671" t="n">
        <v>46020</v>
      </c>
      <c r="BG42" s="671" t="n">
        <v>46027</v>
      </c>
      <c r="BH42" s="671" t="n">
        <v>46034</v>
      </c>
      <c r="BI42" s="671" t="n">
        <v>46041</v>
      </c>
      <c r="BJ42" s="671" t="n">
        <v>46048</v>
      </c>
      <c r="BK42" s="671" t="n">
        <v>46055</v>
      </c>
      <c r="BL42" s="671" t="n">
        <v>46062</v>
      </c>
      <c r="BM42" s="671" t="n">
        <v>46069</v>
      </c>
      <c r="BN42" s="671" t="n">
        <v>46076</v>
      </c>
      <c r="BO42" s="671" t="n">
        <v>46083</v>
      </c>
      <c r="BP42" s="671" t="n">
        <v>46090</v>
      </c>
      <c r="BQ42" s="671" t="n">
        <v>46097</v>
      </c>
      <c r="BR42" s="671" t="n">
        <v>46104</v>
      </c>
      <c r="BS42" s="671" t="n">
        <v>46111</v>
      </c>
      <c r="BT42" s="671" t="n">
        <v>46118</v>
      </c>
      <c r="BU42" s="671" t="n">
        <v>46125</v>
      </c>
      <c r="BV42" s="671" t="n">
        <v>46132</v>
      </c>
      <c r="BW42" s="671" t="n">
        <v>46139</v>
      </c>
      <c r="BX42" s="671" t="n">
        <v>46146</v>
      </c>
      <c r="BY42" s="671" t="n">
        <v>46154</v>
      </c>
      <c r="BZ42" s="671" t="n">
        <v>46160</v>
      </c>
      <c r="CA42" s="671" t="n">
        <v>46160</v>
      </c>
      <c r="CB42" s="671" t="n">
        <v>46160</v>
      </c>
      <c r="CC42" s="672" t="n">
        <v>46161.48003309028</v>
      </c>
      <c r="CD42" s="672" t="n">
        <v>46161.48071268519</v>
      </c>
      <c r="CE42" s="672" t="n">
        <v>46161.48287085707</v>
      </c>
      <c r="CH42" s="6" t="n"/>
      <c r="CL42" s="6" t="n"/>
      <c r="CM42" s="6" t="n"/>
      <c r="CN42" s="6" t="n"/>
      <c r="CO42" s="6" t="n"/>
      <c r="CQ42" s="53" t="n"/>
      <c r="CS42" s="6" t="n"/>
      <c r="CV42" s="6" t="n"/>
      <c r="DJ42" s="6" t="n"/>
      <c r="DL42" s="6" t="n"/>
      <c r="DX42" s="53" t="n"/>
      <c r="ED42" s="53" t="n"/>
      <c r="EF42" s="53" t="n"/>
      <c r="EG42" s="53" t="n"/>
      <c r="EN42" s="61" t="n"/>
      <c r="EO42" s="61" t="n"/>
      <c r="EQ42" s="289" t="n"/>
      <c r="ER42" s="61" t="n"/>
      <c r="ES42" s="61" t="n"/>
      <c r="ET42" s="289" t="n"/>
      <c r="EU42" s="61" t="n"/>
      <c r="EV42" s="289" t="n"/>
      <c r="EW42" s="61" t="n"/>
      <c r="EX42" s="61" t="n"/>
      <c r="EY42" s="61" t="n"/>
      <c r="EZ42" s="61" t="n"/>
      <c r="FA42" s="61" t="n"/>
      <c r="FB42" s="61" t="n"/>
      <c r="FC42" s="61" t="n"/>
      <c r="FD42" s="61" t="n"/>
      <c r="FE42" s="61" t="n"/>
      <c r="FF42" s="61" t="n"/>
      <c r="FG42" s="61" t="n"/>
      <c r="FH42" s="61" t="n"/>
      <c r="FJ42" s="53" t="n"/>
      <c r="FK42" s="53" t="n"/>
      <c r="FL42" s="53" t="n"/>
      <c r="FM42" s="53" t="n"/>
      <c r="FN42" s="53" t="n"/>
      <c r="FO42" s="53" t="n"/>
      <c r="FP42" s="53" t="n"/>
      <c r="FQ42" s="53" t="n"/>
      <c r="FR42" s="53" t="n"/>
      <c r="FS42" s="53" t="n"/>
      <c r="FT42" s="53" t="n"/>
      <c r="FU42" s="53" t="n"/>
      <c r="FV42" s="53" t="n"/>
      <c r="FW42" s="53" t="n"/>
      <c r="FX42" s="53" t="n"/>
    </row>
    <row r="43" hidden="1" ht="18.75" customHeight="1">
      <c r="A43" s="674" t="inlineStr">
        <is>
          <t xml:space="preserve">Botik vitamin C </t>
        </is>
      </c>
      <c r="B43" s="658" t="n"/>
      <c r="C43" s="658" t="n"/>
      <c r="D43" s="670" t="n"/>
      <c r="F43" s="116" t="n"/>
      <c r="G43" s="116" t="n"/>
      <c r="H43" s="116" t="n"/>
      <c r="I43" s="116" t="n"/>
      <c r="J43" s="116" t="n"/>
      <c r="K43" s="116" t="n"/>
      <c r="L43" s="116" t="n"/>
      <c r="M43" s="116" t="n"/>
      <c r="N43" s="116" t="n"/>
      <c r="O43" s="116" t="n"/>
      <c r="P43" s="116" t="n"/>
      <c r="Q43" s="116" t="n"/>
      <c r="R43" s="116" t="n"/>
      <c r="S43" s="116" t="n"/>
      <c r="T43" s="116" t="n"/>
      <c r="U43" s="116" t="n"/>
      <c r="V43" s="116" t="n"/>
      <c r="W43" s="116" t="n"/>
      <c r="X43" s="116" t="n"/>
      <c r="Y43" s="116" t="n"/>
      <c r="Z43" s="116" t="n"/>
      <c r="AA43" s="116" t="n"/>
      <c r="AB43" s="116" t="n"/>
      <c r="AC43" s="116" t="n"/>
      <c r="AD43" s="116" t="n"/>
      <c r="AE43" s="116" t="n"/>
      <c r="AF43" s="116" t="n"/>
      <c r="AG43" s="116" t="n"/>
      <c r="AH43" s="116" t="n"/>
      <c r="AI43" s="116" t="n"/>
      <c r="AJ43" s="116" t="n"/>
      <c r="AK43" s="116" t="n"/>
      <c r="AL43" s="116" t="n"/>
      <c r="AM43" s="116" t="n"/>
      <c r="AN43" s="116" t="n"/>
      <c r="AO43" s="116" t="n"/>
      <c r="AP43" s="116" t="n"/>
      <c r="AQ43" s="116" t="n"/>
      <c r="AR43" s="116" t="n"/>
      <c r="AS43" s="116" t="n"/>
      <c r="AT43" s="116" t="n"/>
      <c r="AU43" s="116" t="n"/>
      <c r="AV43" s="116" t="n"/>
      <c r="AW43" s="116" t="n"/>
      <c r="AX43" s="116" t="n"/>
      <c r="AY43" s="116" t="n"/>
      <c r="AZ43" s="116" t="n"/>
      <c r="BA43" s="116" t="n"/>
      <c r="BB43" s="116" t="n"/>
      <c r="BC43" s="116" t="n"/>
      <c r="BD43" s="116" t="n"/>
      <c r="BE43" s="116" t="n"/>
      <c r="BF43" s="116" t="n"/>
      <c r="BG43" s="116" t="n"/>
      <c r="BH43" s="116" t="n"/>
      <c r="BI43" s="116" t="n"/>
      <c r="BJ43" s="116" t="n"/>
      <c r="BK43" s="116" t="n"/>
      <c r="BL43" s="116" t="n"/>
      <c r="BM43" s="116" t="n"/>
      <c r="BN43" s="116" t="n"/>
      <c r="BO43" s="116" t="n"/>
      <c r="BP43" s="116" t="n"/>
      <c r="BQ43" s="116" t="n"/>
      <c r="BR43" s="116" t="n"/>
      <c r="BS43" s="116" t="n"/>
      <c r="BT43" s="116" t="n"/>
      <c r="BU43" s="116" t="n"/>
      <c r="BV43" s="116" t="n"/>
      <c r="BW43" s="116" t="n"/>
      <c r="BX43" s="116" t="n"/>
      <c r="BY43" s="116" t="n"/>
      <c r="BZ43" s="116" t="n"/>
      <c r="CA43" s="116" t="n"/>
      <c r="CB43" s="116" t="n"/>
      <c r="CC43" s="673" t="n"/>
      <c r="CD43" s="673" t="n"/>
      <c r="CE43" s="673" t="n"/>
      <c r="CH43" s="6" t="n"/>
      <c r="CL43" s="6" t="n"/>
      <c r="CM43" s="6" t="n"/>
      <c r="CN43" s="6" t="n"/>
      <c r="CO43" s="6" t="n"/>
      <c r="CQ43" s="53" t="n"/>
      <c r="CS43" s="6" t="n"/>
      <c r="CV43" s="6" t="n"/>
      <c r="DJ43" s="58" t="n"/>
      <c r="DL43" s="58" t="n"/>
      <c r="DX43" s="53" t="n"/>
      <c r="ED43" s="53" t="n"/>
      <c r="EF43" s="53" t="n"/>
      <c r="EG43" s="53" t="n"/>
      <c r="EH43" s="6" t="n"/>
      <c r="EI43" s="6" t="n"/>
      <c r="EJ43" s="6" t="n"/>
      <c r="EK43" s="6" t="n"/>
      <c r="EL43" s="6" t="n"/>
      <c r="EM43" s="6" t="n"/>
      <c r="EO43" s="61" t="n"/>
      <c r="EP43" s="6" t="n"/>
      <c r="EQ43" s="289" t="n"/>
      <c r="ET43" s="289" t="n"/>
      <c r="EV43" s="289" t="n"/>
      <c r="FJ43" s="53" t="n"/>
      <c r="FK43" s="53" t="n"/>
      <c r="FL43" s="53" t="n"/>
      <c r="FM43" s="53" t="n"/>
      <c r="FN43" s="53" t="n"/>
      <c r="FO43" s="53" t="n"/>
      <c r="FP43" s="53" t="n"/>
      <c r="FQ43" s="53" t="n"/>
      <c r="FR43" s="53" t="n"/>
      <c r="FS43" s="53" t="n"/>
      <c r="FT43" s="53" t="n"/>
      <c r="FU43" s="53" t="n"/>
      <c r="FV43" s="53" t="n"/>
      <c r="FW43" s="53" t="n"/>
      <c r="FX43" s="53" t="n"/>
    </row>
    <row r="44" hidden="1" ht="18.75" customHeight="1">
      <c r="A44" s="674" t="inlineStr">
        <is>
          <t xml:space="preserve">Botik Acido hialu </t>
        </is>
      </c>
      <c r="B44" s="658" t="n"/>
      <c r="C44" s="658" t="n"/>
      <c r="D44" s="670" t="n"/>
      <c r="F44" s="116" t="n"/>
      <c r="G44" s="116" t="n"/>
      <c r="H44" s="116" t="n"/>
      <c r="I44" s="116" t="n"/>
      <c r="J44" s="116" t="n"/>
      <c r="K44" s="116" t="n"/>
      <c r="L44" s="116" t="n"/>
      <c r="M44" s="116" t="n"/>
      <c r="N44" s="116" t="n"/>
      <c r="O44" s="116" t="n"/>
      <c r="P44" s="116" t="n"/>
      <c r="Q44" s="116" t="n"/>
      <c r="R44" s="116" t="n"/>
      <c r="S44" s="116" t="n"/>
      <c r="T44" s="116" t="n"/>
      <c r="U44" s="116" t="n"/>
      <c r="V44" s="116" t="n"/>
      <c r="W44" s="116" t="n"/>
      <c r="X44" s="116" t="n"/>
      <c r="Y44" s="116" t="n"/>
      <c r="Z44" s="116" t="n"/>
      <c r="AA44" s="116" t="n"/>
      <c r="AB44" s="116" t="n"/>
      <c r="AC44" s="116" t="n"/>
      <c r="AD44" s="116" t="n"/>
      <c r="AE44" s="116" t="n"/>
      <c r="AF44" s="116" t="n"/>
      <c r="AG44" s="116" t="n"/>
      <c r="AH44" s="116" t="n"/>
      <c r="AI44" s="116" t="n"/>
      <c r="AJ44" s="116" t="n"/>
      <c r="AK44" s="116" t="n"/>
      <c r="AL44" s="116" t="n"/>
      <c r="AM44" s="116" t="n"/>
      <c r="AN44" s="116" t="n"/>
      <c r="AO44" s="116" t="n"/>
      <c r="AP44" s="116" t="n"/>
      <c r="AQ44" s="116" t="n"/>
      <c r="AR44" s="116" t="n"/>
      <c r="AS44" s="116" t="n"/>
      <c r="AT44" s="116" t="n"/>
      <c r="AU44" s="116" t="n"/>
      <c r="AV44" s="116" t="n"/>
      <c r="AW44" s="116" t="n"/>
      <c r="AX44" s="116" t="n"/>
      <c r="AY44" s="116" t="n"/>
      <c r="AZ44" s="116" t="n"/>
      <c r="BA44" s="116" t="n"/>
      <c r="BB44" s="116" t="n"/>
      <c r="BC44" s="116" t="n"/>
      <c r="BD44" s="116" t="n"/>
      <c r="BE44" s="116" t="n"/>
      <c r="BF44" s="116" t="n"/>
      <c r="BG44" s="116" t="n"/>
      <c r="BH44" s="116" t="n"/>
      <c r="BI44" s="116" t="n"/>
      <c r="BJ44" s="116" t="n"/>
      <c r="BK44" s="116" t="n"/>
      <c r="BL44" s="116" t="n"/>
      <c r="BM44" s="116" t="n"/>
      <c r="BN44" s="116" t="n"/>
      <c r="BO44" s="116" t="n"/>
      <c r="BP44" s="116" t="n"/>
      <c r="BQ44" s="116" t="n"/>
      <c r="BR44" s="116" t="n"/>
      <c r="BS44" s="116" t="n"/>
      <c r="BT44" s="116" t="n"/>
      <c r="BU44" s="116" t="n"/>
      <c r="BV44" s="116" t="n"/>
      <c r="BW44" s="116" t="n"/>
      <c r="BX44" s="116" t="n"/>
      <c r="BY44" s="116" t="n"/>
      <c r="BZ44" s="116" t="n"/>
      <c r="CA44" s="116" t="n"/>
      <c r="CB44" s="116" t="n"/>
      <c r="CC44" s="673" t="n"/>
      <c r="CD44" s="673" t="n"/>
      <c r="CE44" s="673" t="n"/>
      <c r="CH44" s="6" t="n"/>
      <c r="CL44" s="6" t="n"/>
      <c r="CM44" s="6" t="n"/>
      <c r="CN44" s="6" t="n"/>
      <c r="CO44" s="6" t="n"/>
      <c r="CP44" s="6" t="n"/>
      <c r="CQ44" s="53" t="n"/>
      <c r="CR44" s="6" t="n"/>
      <c r="CS44" s="6" t="n"/>
      <c r="CT44" s="6" t="n"/>
      <c r="CU44" s="6" t="n"/>
      <c r="CV44" s="6" t="n"/>
      <c r="CW44" s="6" t="n"/>
      <c r="CX44" s="6" t="n"/>
      <c r="CY44" s="6" t="n"/>
      <c r="CZ44" s="6" t="n"/>
      <c r="DA44" s="6" t="n"/>
      <c r="DB44" s="6" t="n"/>
      <c r="DC44" s="6" t="n"/>
      <c r="DD44" s="6" t="n"/>
      <c r="DE44" s="6" t="n"/>
      <c r="DF44" s="6" t="n"/>
      <c r="DG44" s="6" t="n"/>
      <c r="DH44" s="6" t="n"/>
      <c r="DI44" s="6" t="n"/>
      <c r="DJ44" s="58" t="n"/>
      <c r="DK44" s="6" t="n"/>
      <c r="DL44" s="58" t="n"/>
      <c r="DM44" s="6" t="n"/>
      <c r="DN44" s="6" t="n"/>
      <c r="DO44" s="6" t="n"/>
      <c r="DP44" s="6" t="n"/>
      <c r="DQ44" s="6" t="n"/>
      <c r="DR44" s="6" t="n"/>
      <c r="DS44" s="6" t="n"/>
      <c r="DT44" s="6" t="n"/>
      <c r="DU44" s="6" t="n"/>
      <c r="DV44" s="6" t="n"/>
      <c r="DW44" s="6" t="n"/>
      <c r="DX44" s="53" t="n"/>
      <c r="DY44" s="6" t="n"/>
      <c r="EA44" s="6" t="n"/>
      <c r="EB44" s="6" t="n"/>
      <c r="EC44" s="6" t="n"/>
      <c r="ED44" s="53" t="n"/>
      <c r="EE44" s="6" t="n"/>
      <c r="EF44" s="53" t="n"/>
      <c r="EG44" s="53" t="n"/>
      <c r="EH44" s="6" t="n"/>
      <c r="EI44" s="6" t="n"/>
      <c r="EJ44" s="6" t="n"/>
      <c r="EK44" s="6" t="n"/>
      <c r="EL44" s="6" t="n"/>
      <c r="EM44" s="6" t="n"/>
      <c r="EP44" s="6" t="n"/>
      <c r="EQ44" s="289" t="n"/>
      <c r="ET44" s="289" t="n"/>
      <c r="EV44" s="289" t="n"/>
      <c r="FJ44" s="53" t="n"/>
      <c r="FK44" s="53" t="n"/>
      <c r="FL44" s="53" t="n"/>
      <c r="FM44" s="53" t="n"/>
      <c r="FN44" s="53" t="n"/>
      <c r="FO44" s="53" t="n"/>
      <c r="FP44" s="53" t="n"/>
      <c r="FQ44" s="53" t="n"/>
      <c r="FR44" s="53" t="n"/>
      <c r="FS44" s="53" t="n"/>
      <c r="FT44" s="53" t="n"/>
      <c r="FU44" s="53" t="n"/>
      <c r="FV44" s="53" t="n"/>
      <c r="FW44" s="53" t="n"/>
      <c r="FX44" s="53" t="n"/>
    </row>
    <row r="45" hidden="1" ht="18.75" customFormat="1" customHeight="1" s="49">
      <c r="A45" s="674" t="inlineStr">
        <is>
          <t xml:space="preserve">Botik serun vitam C  10% (novo)  </t>
        </is>
      </c>
      <c r="B45" s="658" t="n"/>
      <c r="C45" s="658" t="n"/>
      <c r="D45" s="670" t="n"/>
      <c r="E45" s="53" t="n"/>
      <c r="F45" s="116" t="n"/>
      <c r="G45" s="116" t="n"/>
      <c r="H45" s="116" t="n"/>
      <c r="I45" s="116" t="n"/>
      <c r="J45" s="116" t="n"/>
      <c r="K45" s="116" t="n"/>
      <c r="L45" s="116" t="n"/>
      <c r="M45" s="116" t="n"/>
      <c r="N45" s="116" t="n"/>
      <c r="O45" s="116" t="n"/>
      <c r="P45" s="116" t="n"/>
      <c r="Q45" s="116" t="n"/>
      <c r="R45" s="116" t="n"/>
      <c r="S45" s="116" t="n"/>
      <c r="T45" s="116" t="n"/>
      <c r="U45" s="116" t="n"/>
      <c r="V45" s="116" t="n"/>
      <c r="W45" s="116" t="n"/>
      <c r="X45" s="116" t="n"/>
      <c r="Y45" s="116" t="n"/>
      <c r="Z45" s="116" t="n"/>
      <c r="AA45" s="116" t="n"/>
      <c r="AB45" s="116" t="n"/>
      <c r="AC45" s="116" t="n"/>
      <c r="AD45" s="116" t="n"/>
      <c r="AE45" s="116" t="n"/>
      <c r="AF45" s="116" t="n"/>
      <c r="AG45" s="116" t="n"/>
      <c r="AH45" s="116" t="n"/>
      <c r="AI45" s="116" t="n"/>
      <c r="AJ45" s="116" t="n"/>
      <c r="AK45" s="116" t="n"/>
      <c r="AL45" s="116" t="n"/>
      <c r="AM45" s="116" t="n"/>
      <c r="AN45" s="116" t="n"/>
      <c r="AO45" s="116" t="n"/>
      <c r="AP45" s="116" t="n"/>
      <c r="AQ45" s="116" t="n"/>
      <c r="AR45" s="116" t="n"/>
      <c r="AS45" s="116" t="n"/>
      <c r="AT45" s="116" t="n"/>
      <c r="AU45" s="116" t="n"/>
      <c r="AV45" s="116" t="n"/>
      <c r="AW45" s="116" t="n"/>
      <c r="AX45" s="116" t="n"/>
      <c r="AY45" s="116" t="n"/>
      <c r="AZ45" s="116" t="n"/>
      <c r="BA45" s="116" t="n"/>
      <c r="BB45" s="116" t="n"/>
      <c r="BC45" s="116" t="n"/>
      <c r="BD45" s="116" t="n"/>
      <c r="BE45" s="116" t="n"/>
      <c r="BF45" s="116" t="n"/>
      <c r="BG45" s="116" t="n"/>
      <c r="BH45" s="116" t="n"/>
      <c r="BI45" s="116" t="n"/>
      <c r="BJ45" s="116" t="n"/>
      <c r="BK45" s="116" t="n"/>
      <c r="BL45" s="116" t="n"/>
      <c r="BM45" s="116" t="n"/>
      <c r="BN45" s="116" t="n"/>
      <c r="BO45" s="116" t="n"/>
      <c r="BP45" s="116" t="n"/>
      <c r="BQ45" s="116" t="n"/>
      <c r="BR45" s="116" t="n"/>
      <c r="BS45" s="116" t="n"/>
      <c r="BT45" s="116" t="n"/>
      <c r="BU45" s="116" t="n"/>
      <c r="BV45" s="116" t="n"/>
      <c r="BW45" s="116" t="n"/>
      <c r="BX45" s="116" t="n"/>
      <c r="BY45" s="116" t="n"/>
      <c r="BZ45" s="116" t="n"/>
      <c r="CA45" s="116" t="n"/>
      <c r="CB45" s="116" t="n"/>
      <c r="CC45" s="673" t="n"/>
      <c r="CD45" s="673" t="n"/>
      <c r="CE45" s="673" t="n"/>
      <c r="CF45" s="53" t="n"/>
      <c r="CG45" s="53" t="n"/>
      <c r="CH45" s="6" t="n"/>
      <c r="CI45" s="6" t="n"/>
      <c r="CJ45" s="53" t="n"/>
      <c r="CL45" s="6" t="n"/>
      <c r="CM45" s="6" t="n"/>
      <c r="CN45" s="6" t="n"/>
      <c r="CO45" s="6" t="n"/>
      <c r="CP45" s="6" t="n"/>
      <c r="CR45" s="6" t="n"/>
      <c r="CS45" s="6" t="n"/>
      <c r="CT45" s="6" t="n"/>
      <c r="CU45" s="6" t="n"/>
      <c r="CV45" s="6" t="n"/>
      <c r="CW45" s="6" t="n"/>
      <c r="CX45" s="6" t="n"/>
      <c r="CY45" s="6" t="n"/>
      <c r="CZ45" s="6" t="n"/>
      <c r="DA45" s="6" t="n"/>
      <c r="DB45" s="6" t="n"/>
      <c r="DC45" s="6" t="n"/>
      <c r="DD45" s="6" t="n"/>
      <c r="DE45" s="6" t="n"/>
      <c r="DF45" s="6" t="n"/>
      <c r="DG45" s="6" t="n"/>
      <c r="DH45" s="6" t="n"/>
      <c r="DI45" s="6" t="n"/>
      <c r="DK45" s="6" t="n"/>
      <c r="DM45" s="6" t="n"/>
      <c r="DN45" s="6" t="n"/>
      <c r="DO45" s="6" t="n"/>
      <c r="DP45" s="6" t="n"/>
      <c r="DQ45" s="6" t="n"/>
      <c r="DR45" s="6" t="n"/>
      <c r="DS45" s="6" t="n"/>
      <c r="DT45" s="6" t="n"/>
      <c r="DU45" s="6" t="n"/>
      <c r="DV45" s="6" t="n"/>
      <c r="DW45" s="6" t="n"/>
      <c r="DX45" s="53" t="n"/>
      <c r="DY45" s="6" t="n"/>
      <c r="DZ45" s="6" t="n"/>
      <c r="EA45" s="6" t="n"/>
      <c r="EB45" s="6" t="n"/>
      <c r="EC45" s="6" t="n"/>
      <c r="ED45" s="53" t="n"/>
      <c r="EE45" s="6" t="n"/>
      <c r="EF45" s="53" t="n"/>
      <c r="EG45" s="53" t="n"/>
      <c r="EH45" s="6" t="n"/>
      <c r="EI45" s="6" t="n"/>
      <c r="EJ45" s="6" t="n"/>
      <c r="EK45" s="6" t="n"/>
      <c r="EL45" s="6" t="n"/>
      <c r="EM45" s="6" t="n"/>
      <c r="EP45" s="6" t="n"/>
      <c r="EQ45" s="289" t="n"/>
      <c r="ET45" s="289" t="n"/>
      <c r="EV45" s="289" t="n"/>
    </row>
    <row r="46" hidden="1" ht="18.75" customFormat="1" customHeight="1" s="49">
      <c r="A46" s="674" t="inlineStr">
        <is>
          <t>Botica 214 Fiji  (Fem)</t>
        </is>
      </c>
      <c r="B46" s="658" t="n"/>
      <c r="C46" s="658" t="n"/>
      <c r="D46" s="670" t="n"/>
      <c r="E46" s="53" t="n"/>
      <c r="F46" s="116" t="n"/>
      <c r="G46" s="116" t="n"/>
      <c r="H46" s="116" t="n"/>
      <c r="I46" s="116" t="n"/>
      <c r="J46" s="116" t="n"/>
      <c r="K46" s="116" t="n"/>
      <c r="L46" s="116" t="n"/>
      <c r="M46" s="116" t="n"/>
      <c r="N46" s="116" t="n"/>
      <c r="O46" s="116" t="n"/>
      <c r="P46" s="116" t="n"/>
      <c r="Q46" s="116" t="n"/>
      <c r="R46" s="116" t="n"/>
      <c r="S46" s="116" t="n"/>
      <c r="T46" s="116" t="n"/>
      <c r="U46" s="116" t="n"/>
      <c r="V46" s="116" t="n"/>
      <c r="W46" s="116" t="n"/>
      <c r="X46" s="116" t="n"/>
      <c r="Y46" s="116" t="n"/>
      <c r="Z46" s="116" t="n"/>
      <c r="AA46" s="116" t="n"/>
      <c r="AB46" s="116" t="n"/>
      <c r="AC46" s="116" t="n"/>
      <c r="AD46" s="116" t="n"/>
      <c r="AE46" s="116" t="n"/>
      <c r="AF46" s="116" t="n"/>
      <c r="AG46" s="116" t="n"/>
      <c r="AH46" s="116" t="n"/>
      <c r="AI46" s="116" t="n"/>
      <c r="AJ46" s="116" t="n"/>
      <c r="AK46" s="116" t="n"/>
      <c r="AL46" s="116" t="n"/>
      <c r="AM46" s="116" t="n"/>
      <c r="AN46" s="116" t="n"/>
      <c r="AO46" s="116" t="n"/>
      <c r="AP46" s="116" t="n"/>
      <c r="AQ46" s="116" t="n"/>
      <c r="AR46" s="116" t="n"/>
      <c r="AS46" s="116" t="n"/>
      <c r="AT46" s="116" t="n"/>
      <c r="AU46" s="116" t="n"/>
      <c r="AV46" s="116" t="n"/>
      <c r="AW46" s="116" t="n"/>
      <c r="AX46" s="116" t="n"/>
      <c r="AY46" s="116" t="n"/>
      <c r="AZ46" s="116" t="n"/>
      <c r="BA46" s="116" t="n"/>
      <c r="BB46" s="116" t="n"/>
      <c r="BC46" s="116" t="n"/>
      <c r="BD46" s="116" t="n"/>
      <c r="BE46" s="116" t="n"/>
      <c r="BF46" s="116" t="n"/>
      <c r="BG46" s="116" t="n"/>
      <c r="BH46" s="116" t="n"/>
      <c r="BI46" s="116" t="n"/>
      <c r="BJ46" s="116" t="n"/>
      <c r="BK46" s="116" t="n"/>
      <c r="BL46" s="116" t="n"/>
      <c r="BM46" s="116" t="n"/>
      <c r="BN46" s="116" t="n"/>
      <c r="BO46" s="116" t="n"/>
      <c r="BP46" s="116" t="n"/>
      <c r="BQ46" s="116" t="n"/>
      <c r="BR46" s="116" t="n"/>
      <c r="BS46" s="116" t="n"/>
      <c r="BT46" s="116" t="n"/>
      <c r="BU46" s="116" t="n"/>
      <c r="BV46" s="116" t="n"/>
      <c r="BW46" s="116" t="n"/>
      <c r="BX46" s="116" t="n"/>
      <c r="BY46" s="116" t="n"/>
      <c r="BZ46" s="116" t="n"/>
      <c r="CA46" s="116" t="n"/>
      <c r="CB46" s="116" t="n"/>
      <c r="CC46" s="673" t="n"/>
      <c r="CD46" s="673" t="n"/>
      <c r="CE46" s="673" t="n"/>
      <c r="CF46" s="6" t="n"/>
      <c r="CG46" s="53" t="n"/>
      <c r="CH46" s="6" t="n"/>
      <c r="CI46" s="6" t="n"/>
      <c r="CJ46" s="53" t="n"/>
      <c r="CL46" s="6" t="n"/>
      <c r="CM46" s="6" t="n"/>
      <c r="CN46" s="6" t="n"/>
      <c r="CO46" s="6" t="n"/>
      <c r="CP46" s="6" t="n"/>
      <c r="CR46" s="6" t="n"/>
      <c r="CS46" s="6" t="n"/>
      <c r="CT46" s="6" t="n"/>
      <c r="CU46" s="6" t="n"/>
      <c r="CV46" s="6" t="n"/>
      <c r="CW46" s="6" t="n"/>
      <c r="CX46" s="6" t="n"/>
      <c r="CY46" s="6" t="n"/>
      <c r="CZ46" s="6" t="n"/>
      <c r="DA46" s="6" t="n"/>
      <c r="DB46" s="6" t="n"/>
      <c r="DC46" s="6" t="n"/>
      <c r="DD46" s="6" t="n"/>
      <c r="DE46" s="6" t="n"/>
      <c r="DF46" s="6" t="n"/>
      <c r="DG46" s="6" t="n"/>
      <c r="DH46" s="6" t="n"/>
      <c r="DI46" s="6" t="n"/>
      <c r="DK46" s="6" t="n"/>
      <c r="DM46" s="6" t="n"/>
      <c r="DN46" s="6" t="n"/>
      <c r="DO46" s="6" t="n"/>
      <c r="DP46" s="6" t="n"/>
      <c r="DQ46" s="6" t="n"/>
      <c r="DR46" s="6" t="n"/>
      <c r="DS46" s="6" t="n"/>
      <c r="DT46" s="6" t="n"/>
      <c r="DU46" s="6" t="n"/>
      <c r="DV46" s="6" t="n"/>
      <c r="DW46" s="6" t="n"/>
      <c r="DX46" s="53" t="n"/>
      <c r="DY46" s="6" t="n"/>
      <c r="DZ46" s="6" t="n"/>
      <c r="EA46" s="6" t="n"/>
      <c r="EB46" s="6" t="n"/>
      <c r="EC46" s="6" t="n"/>
      <c r="ED46" s="53" t="n"/>
      <c r="EE46" s="6" t="n"/>
      <c r="EF46" s="53" t="n"/>
      <c r="EG46" s="53" t="n"/>
      <c r="EH46" s="6" t="n"/>
      <c r="EI46" s="6" t="n"/>
      <c r="EJ46" s="6" t="n"/>
      <c r="EK46" s="6" t="n"/>
      <c r="EL46" s="6" t="n"/>
      <c r="EM46" s="6" t="n"/>
      <c r="EP46" s="6" t="n"/>
      <c r="EQ46" s="289" t="n"/>
      <c r="ET46" s="289" t="n"/>
      <c r="EV46" s="289" t="n"/>
    </row>
    <row r="47" hidden="1" ht="18.75" customFormat="1" customHeight="1" s="49">
      <c r="A47" s="674" t="inlineStr">
        <is>
          <t>Botica 214 Fiji  (Mascu)</t>
        </is>
      </c>
      <c r="B47" s="658" t="n"/>
      <c r="C47" s="658" t="n"/>
      <c r="D47" s="670" t="n"/>
      <c r="E47" s="6" t="n"/>
      <c r="F47" s="116" t="n"/>
      <c r="G47" s="116" t="n"/>
      <c r="H47" s="116" t="n"/>
      <c r="I47" s="116" t="n"/>
      <c r="J47" s="116" t="n"/>
      <c r="K47" s="116" t="n"/>
      <c r="L47" s="116" t="n"/>
      <c r="M47" s="116" t="n"/>
      <c r="N47" s="116" t="n"/>
      <c r="O47" s="116" t="n"/>
      <c r="P47" s="116" t="n"/>
      <c r="Q47" s="116" t="n"/>
      <c r="R47" s="116" t="n"/>
      <c r="S47" s="116" t="n"/>
      <c r="T47" s="116" t="n"/>
      <c r="U47" s="116" t="n"/>
      <c r="V47" s="116" t="n"/>
      <c r="W47" s="116" t="n"/>
      <c r="X47" s="116" t="n"/>
      <c r="Y47" s="116" t="n"/>
      <c r="Z47" s="116" t="n"/>
      <c r="AA47" s="116" t="n"/>
      <c r="AB47" s="116" t="n"/>
      <c r="AC47" s="116" t="n"/>
      <c r="AD47" s="116" t="n"/>
      <c r="AE47" s="116" t="n"/>
      <c r="AF47" s="116" t="n"/>
      <c r="AG47" s="116" t="n"/>
      <c r="AH47" s="116" t="n"/>
      <c r="AI47" s="116" t="n"/>
      <c r="AJ47" s="116" t="n"/>
      <c r="AK47" s="116" t="n"/>
      <c r="AL47" s="116" t="n"/>
      <c r="AM47" s="116" t="n"/>
      <c r="AN47" s="116" t="n"/>
      <c r="AO47" s="116" t="n"/>
      <c r="AP47" s="116" t="n"/>
      <c r="AQ47" s="116" t="n"/>
      <c r="AR47" s="116" t="n"/>
      <c r="AS47" s="116" t="n"/>
      <c r="AT47" s="116" t="n"/>
      <c r="AU47" s="116" t="n"/>
      <c r="AV47" s="116" t="n"/>
      <c r="AW47" s="116" t="n"/>
      <c r="AX47" s="116" t="n"/>
      <c r="AY47" s="116" t="n"/>
      <c r="AZ47" s="116" t="n"/>
      <c r="BA47" s="116" t="n"/>
      <c r="BB47" s="116" t="n"/>
      <c r="BC47" s="116" t="n"/>
      <c r="BD47" s="116" t="n"/>
      <c r="BE47" s="116" t="n"/>
      <c r="BF47" s="116" t="n"/>
      <c r="BG47" s="116" t="n"/>
      <c r="BH47" s="116" t="n"/>
      <c r="BI47" s="116" t="n"/>
      <c r="BJ47" s="116" t="n"/>
      <c r="BK47" s="116" t="n"/>
      <c r="BL47" s="116" t="n"/>
      <c r="BM47" s="116" t="n"/>
      <c r="BN47" s="116" t="n"/>
      <c r="BO47" s="116" t="n"/>
      <c r="BP47" s="116" t="n"/>
      <c r="BQ47" s="116" t="n"/>
      <c r="BR47" s="116" t="n"/>
      <c r="BS47" s="116" t="n"/>
      <c r="BT47" s="116" t="n"/>
      <c r="BU47" s="116" t="n"/>
      <c r="BV47" s="116" t="n"/>
      <c r="BW47" s="116" t="n"/>
      <c r="BX47" s="116" t="n"/>
      <c r="BY47" s="116" t="n"/>
      <c r="BZ47" s="116" t="n"/>
      <c r="CA47" s="116" t="n"/>
      <c r="CB47" s="116" t="n"/>
      <c r="CC47" s="673" t="n"/>
      <c r="CD47" s="673" t="n"/>
      <c r="CE47" s="673" t="n"/>
      <c r="CF47" s="6" t="n"/>
      <c r="CG47" s="6" t="n"/>
      <c r="CH47" s="6" t="n"/>
      <c r="CI47" s="6" t="n"/>
      <c r="CJ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W47" s="6" t="n"/>
      <c r="CX47" s="6" t="n"/>
      <c r="CY47" s="6" t="n"/>
      <c r="CZ47" s="6" t="n"/>
      <c r="DA47" s="6" t="n"/>
      <c r="DB47" s="6" t="n"/>
      <c r="DC47" s="6" t="n"/>
      <c r="DD47" s="6" t="n"/>
      <c r="DE47" s="6" t="n"/>
      <c r="DF47" s="6" t="n"/>
      <c r="DG47" s="6" t="n"/>
      <c r="DH47" s="6" t="n"/>
      <c r="DI47" s="6" t="n"/>
      <c r="DK47" s="6" t="n"/>
      <c r="DM47" s="6" t="n"/>
      <c r="DN47" s="6" t="n"/>
      <c r="DO47" s="6" t="n"/>
      <c r="DP47" s="6" t="n"/>
      <c r="DQ47" s="6" t="n"/>
      <c r="DR47" s="6" t="n"/>
      <c r="DS47" s="6" t="n"/>
      <c r="DT47" s="6" t="n"/>
      <c r="DU47" s="6" t="n"/>
      <c r="DV47" s="6" t="n"/>
      <c r="DW47" s="6" t="n"/>
      <c r="DX47" s="53" t="n"/>
      <c r="DY47" s="6" t="n"/>
      <c r="DZ47" s="6" t="n"/>
      <c r="EA47" s="6" t="n"/>
      <c r="EB47" s="6" t="n"/>
      <c r="EC47" s="6" t="n"/>
      <c r="ED47" s="53" t="n"/>
      <c r="EE47" s="6" t="n"/>
      <c r="EF47" s="6" t="n"/>
      <c r="EG47" s="53" t="n"/>
      <c r="EH47" s="6" t="n"/>
      <c r="EI47" s="6" t="n"/>
      <c r="EJ47" s="6" t="n"/>
      <c r="EK47" s="6" t="n"/>
      <c r="EL47" s="6" t="n"/>
      <c r="EM47" s="6" t="n"/>
      <c r="EN47" s="6" t="n"/>
      <c r="EO47" s="6" t="n"/>
      <c r="EP47" s="6" t="n"/>
      <c r="EQ47" s="289" t="n"/>
      <c r="ER47" s="6" t="n"/>
      <c r="ES47" s="6" t="n"/>
      <c r="ET47" s="289" t="n"/>
      <c r="EU47" s="6" t="n"/>
      <c r="EV47" s="289" t="n"/>
      <c r="EW47" s="6" t="n"/>
      <c r="EX47" s="6" t="n"/>
      <c r="EY47" s="6" t="n"/>
      <c r="EZ47" s="6" t="n"/>
      <c r="FA47" s="6" t="n"/>
      <c r="FB47" s="6" t="n"/>
      <c r="FC47" s="6" t="n"/>
      <c r="FD47" s="6" t="n"/>
      <c r="FE47" s="6" t="n"/>
      <c r="FF47" s="6" t="n"/>
      <c r="FG47" s="6" t="n"/>
      <c r="FH47" s="6" t="n"/>
      <c r="FJ47" s="6" t="n"/>
      <c r="FK47" s="6" t="n"/>
      <c r="FL47" s="6" t="n"/>
      <c r="FM47" s="6" t="n"/>
      <c r="FN47" s="6" t="n"/>
      <c r="FO47" s="6" t="n"/>
      <c r="FP47" s="6" t="n"/>
      <c r="FQ47" s="6" t="n"/>
      <c r="FR47" s="6" t="n"/>
      <c r="FS47" s="6" t="n"/>
      <c r="FT47" s="6" t="n"/>
      <c r="FU47" s="6" t="n"/>
      <c r="FV47" s="6" t="n"/>
      <c r="FW47" s="6" t="n"/>
      <c r="FX47" s="6" t="n"/>
    </row>
    <row r="48" hidden="1" ht="18.75" customHeight="1">
      <c r="A48" s="674" t="inlineStr">
        <is>
          <t xml:space="preserve">Egeo Free Fire </t>
        </is>
      </c>
      <c r="B48" s="658" t="n"/>
      <c r="C48" s="658" t="n"/>
      <c r="D48" s="670" t="n"/>
      <c r="F48" s="116" t="n"/>
      <c r="G48" s="116" t="n"/>
      <c r="H48" s="116" t="n"/>
      <c r="I48" s="116" t="n"/>
      <c r="J48" s="116" t="n"/>
      <c r="K48" s="116" t="n"/>
      <c r="L48" s="116" t="n"/>
      <c r="M48" s="116" t="n"/>
      <c r="N48" s="116" t="n"/>
      <c r="O48" s="116" t="n"/>
      <c r="P48" s="116" t="n"/>
      <c r="Q48" s="116" t="n"/>
      <c r="R48" s="116" t="n"/>
      <c r="S48" s="116" t="n"/>
      <c r="T48" s="116" t="n"/>
      <c r="U48" s="116" t="n"/>
      <c r="V48" s="116" t="n"/>
      <c r="W48" s="116" t="n"/>
      <c r="X48" s="116" t="n"/>
      <c r="Y48" s="116" t="n"/>
      <c r="Z48" s="116" t="n"/>
      <c r="AA48" s="116" t="n"/>
      <c r="AB48" s="116" t="n"/>
      <c r="AC48" s="116" t="n"/>
      <c r="AD48" s="116" t="n"/>
      <c r="AE48" s="116" t="n"/>
      <c r="AF48" s="116" t="n"/>
      <c r="AG48" s="116" t="n"/>
      <c r="AH48" s="116" t="n"/>
      <c r="AI48" s="116" t="n"/>
      <c r="AJ48" s="116" t="n"/>
      <c r="AK48" s="116" t="n"/>
      <c r="AL48" s="116" t="n"/>
      <c r="AM48" s="116" t="n"/>
      <c r="AN48" s="116" t="n"/>
      <c r="AO48" s="116" t="n"/>
      <c r="AP48" s="116" t="n"/>
      <c r="AQ48" s="116" t="n"/>
      <c r="AR48" s="116" t="n"/>
      <c r="AS48" s="116" t="n"/>
      <c r="AT48" s="116" t="n"/>
      <c r="AU48" s="116" t="n"/>
      <c r="AV48" s="116" t="n"/>
      <c r="AW48" s="116" t="n"/>
      <c r="AX48" s="116" t="n"/>
      <c r="AY48" s="116" t="n"/>
      <c r="AZ48" s="116" t="n"/>
      <c r="BA48" s="116" t="n"/>
      <c r="BB48" s="116" t="n"/>
      <c r="BC48" s="116" t="n"/>
      <c r="BD48" s="116" t="n"/>
      <c r="BE48" s="116" t="n"/>
      <c r="BF48" s="116" t="n"/>
      <c r="BG48" s="116" t="n"/>
      <c r="BH48" s="116" t="n"/>
      <c r="BI48" s="116" t="n"/>
      <c r="BJ48" s="116" t="n"/>
      <c r="BK48" s="116" t="n"/>
      <c r="BL48" s="116" t="n"/>
      <c r="BM48" s="116" t="n"/>
      <c r="BN48" s="116" t="n"/>
      <c r="BO48" s="116" t="n"/>
      <c r="BP48" s="116" t="n"/>
      <c r="BQ48" s="116" t="n"/>
      <c r="BR48" s="116" t="n"/>
      <c r="BS48" s="116" t="n"/>
      <c r="BT48" s="116" t="n"/>
      <c r="BU48" s="116" t="n"/>
      <c r="BV48" s="116" t="n"/>
      <c r="BW48" s="116" t="n"/>
      <c r="BX48" s="116" t="n"/>
      <c r="BY48" s="116" t="n"/>
      <c r="BZ48" s="116" t="n"/>
      <c r="CA48" s="116" t="n"/>
      <c r="CB48" s="116" t="n"/>
      <c r="CC48" s="673" t="n"/>
      <c r="CD48" s="673" t="n"/>
      <c r="CE48" s="673" t="n"/>
      <c r="CH48" s="6" t="n"/>
      <c r="CI48" s="6" t="n"/>
      <c r="CL48" s="6" t="n"/>
      <c r="CM48" s="6" t="n"/>
      <c r="CN48" s="6" t="n"/>
      <c r="CO48" s="6" t="n"/>
      <c r="CP48" s="6" t="n"/>
      <c r="CR48" s="6" t="n"/>
      <c r="CS48" s="6" t="n"/>
      <c r="CT48" s="6" t="n"/>
      <c r="CU48" s="6" t="n"/>
      <c r="CV48" s="6" t="n"/>
      <c r="CW48" s="6" t="n"/>
      <c r="CX48" s="6" t="n"/>
      <c r="CY48" s="6" t="n"/>
      <c r="CZ48" s="6" t="n"/>
      <c r="DA48" s="6" t="n"/>
      <c r="DB48" s="6" t="n"/>
      <c r="DC48" s="6" t="n"/>
      <c r="DD48" s="6" t="n"/>
      <c r="DE48" s="6" t="n"/>
      <c r="DF48" s="6" t="n"/>
      <c r="DG48" s="6" t="n"/>
      <c r="DH48" s="6" t="n"/>
      <c r="DI48" s="6" t="n"/>
      <c r="DK48" s="6" t="n"/>
      <c r="DM48" s="6" t="n"/>
      <c r="DN48" s="6" t="n"/>
      <c r="DO48" s="6" t="n"/>
      <c r="DP48" s="6" t="n"/>
      <c r="DQ48" s="6" t="n"/>
      <c r="DR48" s="6" t="n"/>
      <c r="DS48" s="6" t="n"/>
      <c r="DT48" s="6" t="n"/>
      <c r="DU48" s="6" t="n"/>
      <c r="DV48" s="6" t="n"/>
      <c r="DW48" s="6" t="n"/>
      <c r="DX48" s="6" t="n"/>
      <c r="DY48" s="6" t="n"/>
      <c r="DZ48" s="6" t="n"/>
      <c r="EA48" s="6" t="n"/>
      <c r="EB48" s="6" t="n"/>
      <c r="EC48" s="6" t="n"/>
      <c r="ED48" s="6" t="n"/>
      <c r="EE48" s="6" t="n"/>
      <c r="EF48" s="6" t="n"/>
      <c r="EG48" s="6" t="n"/>
      <c r="EH48" s="6" t="n"/>
      <c r="EI48" s="6" t="n"/>
      <c r="EJ48" s="6" t="n"/>
      <c r="EK48" s="6" t="n"/>
      <c r="EL48" s="6" t="n"/>
      <c r="EM48" s="6" t="n"/>
      <c r="EN48" s="6" t="n"/>
      <c r="EO48" s="6" t="n"/>
      <c r="EP48" s="6" t="n"/>
      <c r="EQ48" s="289" t="n"/>
      <c r="ER48" s="6" t="n"/>
      <c r="ES48" s="6" t="n"/>
      <c r="ET48" s="289" t="n"/>
      <c r="EU48" s="6" t="n"/>
      <c r="EV48" s="289" t="n"/>
      <c r="EW48" s="6" t="n"/>
      <c r="EX48" s="6" t="n"/>
      <c r="EY48" s="6" t="n"/>
      <c r="EZ48" s="6" t="n"/>
      <c r="FA48" s="6" t="n"/>
      <c r="FB48" s="6" t="n"/>
      <c r="FC48" s="6" t="n"/>
      <c r="FD48" s="6" t="n"/>
      <c r="FE48" s="6" t="n"/>
      <c r="FF48" s="6" t="n"/>
      <c r="FG48" s="6" t="n"/>
      <c r="FH48" s="6" t="n"/>
    </row>
    <row r="49" hidden="1" ht="18.75" customHeight="1">
      <c r="A49" s="674" t="inlineStr">
        <is>
          <t xml:space="preserve">Glamour Midnight </t>
        </is>
      </c>
      <c r="B49" s="658" t="n"/>
      <c r="C49" s="658" t="n"/>
      <c r="D49" s="670" t="n"/>
      <c r="F49" s="116" t="n"/>
      <c r="G49" s="116" t="n"/>
      <c r="H49" s="116" t="n"/>
      <c r="I49" s="116" t="n"/>
      <c r="J49" s="116" t="n"/>
      <c r="K49" s="116" t="n"/>
      <c r="L49" s="116" t="n"/>
      <c r="M49" s="116" t="n"/>
      <c r="N49" s="116" t="n"/>
      <c r="O49" s="116" t="n"/>
      <c r="P49" s="116" t="n"/>
      <c r="Q49" s="116" t="n"/>
      <c r="R49" s="116" t="n"/>
      <c r="S49" s="116" t="n"/>
      <c r="T49" s="116" t="n"/>
      <c r="U49" s="116" t="n"/>
      <c r="V49" s="116" t="n"/>
      <c r="W49" s="116" t="n"/>
      <c r="X49" s="116" t="n"/>
      <c r="Y49" s="116" t="n"/>
      <c r="Z49" s="116" t="n"/>
      <c r="AA49" s="116" t="n"/>
      <c r="AB49" s="116" t="n"/>
      <c r="AC49" s="116" t="n"/>
      <c r="AD49" s="116" t="n"/>
      <c r="AE49" s="116" t="n"/>
      <c r="AF49" s="116" t="n"/>
      <c r="AG49" s="116" t="n"/>
      <c r="AH49" s="116" t="n"/>
      <c r="AI49" s="116" t="n"/>
      <c r="AJ49" s="116" t="n"/>
      <c r="AK49" s="116" t="n"/>
      <c r="AL49" s="116" t="n"/>
      <c r="AM49" s="116" t="n"/>
      <c r="AN49" s="116" t="n"/>
      <c r="AO49" s="116" t="n"/>
      <c r="AP49" s="116" t="n"/>
      <c r="AQ49" s="116" t="n"/>
      <c r="AR49" s="116" t="n"/>
      <c r="AS49" s="116" t="n"/>
      <c r="AT49" s="116" t="n"/>
      <c r="AU49" s="116" t="n"/>
      <c r="AV49" s="116" t="n"/>
      <c r="AW49" s="116" t="n"/>
      <c r="AX49" s="116" t="n"/>
      <c r="AY49" s="116" t="n"/>
      <c r="AZ49" s="116" t="n"/>
      <c r="BA49" s="116" t="n"/>
      <c r="BB49" s="116" t="n"/>
      <c r="BC49" s="116" t="n"/>
      <c r="BD49" s="116" t="n"/>
      <c r="BE49" s="116" t="n"/>
      <c r="BF49" s="116" t="n"/>
      <c r="BG49" s="116" t="n"/>
      <c r="BH49" s="116" t="n"/>
      <c r="BI49" s="116" t="n"/>
      <c r="BJ49" s="116" t="n"/>
      <c r="BK49" s="116" t="n"/>
      <c r="BL49" s="116" t="n"/>
      <c r="BM49" s="116" t="n"/>
      <c r="BN49" s="116" t="n"/>
      <c r="BO49" s="116" t="n"/>
      <c r="BP49" s="116" t="n"/>
      <c r="BQ49" s="116" t="n"/>
      <c r="BR49" s="116" t="n"/>
      <c r="BS49" s="116" t="n"/>
      <c r="BT49" s="116" t="n"/>
      <c r="BU49" s="116" t="n"/>
      <c r="BV49" s="116" t="n"/>
      <c r="BW49" s="116" t="n"/>
      <c r="BX49" s="116" t="n"/>
      <c r="BY49" s="116" t="n"/>
      <c r="BZ49" s="116" t="n"/>
      <c r="CA49" s="116" t="n"/>
      <c r="CB49" s="116" t="n"/>
      <c r="CC49" s="673" t="n"/>
      <c r="CD49" s="673" t="n"/>
      <c r="CE49" s="673" t="n"/>
      <c r="CH49" s="6" t="n"/>
      <c r="CI49" s="6" t="n"/>
      <c r="CL49" s="6" t="n"/>
      <c r="CM49" s="6" t="n"/>
      <c r="CN49" s="6" t="n"/>
      <c r="CO49" s="6" t="n"/>
      <c r="CP49" s="6" t="n"/>
      <c r="CR49" s="6" t="n"/>
      <c r="CS49" s="6" t="n"/>
      <c r="CT49" s="6" t="n"/>
      <c r="CU49" s="6" t="n"/>
      <c r="CV49" s="6" t="n"/>
      <c r="CW49" s="6" t="n"/>
      <c r="CX49" s="6" t="n"/>
      <c r="CY49" s="6" t="n"/>
      <c r="CZ49" s="6" t="n"/>
      <c r="DA49" s="6" t="n"/>
      <c r="DB49" s="6" t="n"/>
      <c r="DC49" s="6" t="n"/>
      <c r="DD49" s="6" t="n"/>
      <c r="DE49" s="6" t="n"/>
      <c r="DF49" s="6" t="n"/>
      <c r="DG49" s="6" t="n"/>
      <c r="DH49" s="6" t="n"/>
      <c r="DI49" s="6" t="n"/>
      <c r="DJ49" s="6" t="n"/>
      <c r="DK49" s="6" t="n"/>
      <c r="DL49" s="6" t="n"/>
      <c r="DM49" s="6" t="n"/>
      <c r="DN49" s="6" t="n"/>
      <c r="DO49" s="6" t="n"/>
      <c r="DP49" s="6" t="n"/>
      <c r="DQ49" s="6" t="n"/>
      <c r="DR49" s="6" t="n"/>
      <c r="DS49" s="6" t="n"/>
      <c r="DT49" s="6" t="n"/>
      <c r="DU49" s="6" t="n"/>
      <c r="DV49" s="6" t="n"/>
      <c r="DW49" s="6" t="n"/>
      <c r="DX49" s="6" t="n"/>
      <c r="DY49" s="6" t="n"/>
      <c r="DZ49" s="6" t="n"/>
      <c r="EA49" s="6" t="n"/>
      <c r="EB49" s="6" t="n"/>
      <c r="EC49" s="6" t="n"/>
      <c r="ED49" s="6" t="n"/>
      <c r="EE49" s="6" t="n"/>
      <c r="EF49" s="58" t="n"/>
      <c r="EG49" s="6" t="n"/>
      <c r="EH49" s="6" t="n"/>
      <c r="EI49" s="6" t="n"/>
      <c r="EJ49" s="6" t="n"/>
      <c r="EK49" s="6" t="n"/>
      <c r="EL49" s="6" t="n"/>
      <c r="EM49" s="6" t="n"/>
      <c r="EN49" s="6" t="n"/>
      <c r="EO49" s="6" t="n"/>
      <c r="EP49" s="6" t="n"/>
      <c r="EQ49" s="289" t="n"/>
      <c r="ER49" s="6" t="n"/>
      <c r="ES49" s="6" t="n"/>
      <c r="ET49" s="289" t="n"/>
      <c r="EU49" s="6" t="n"/>
      <c r="EV49" s="289" t="n"/>
      <c r="EW49" s="6" t="n"/>
      <c r="EX49" s="6" t="n"/>
      <c r="EY49" s="6" t="n"/>
      <c r="EZ49" s="6" t="n"/>
      <c r="FA49" s="6" t="n"/>
      <c r="FB49" s="6" t="n"/>
      <c r="FC49" s="6" t="n"/>
      <c r="FD49" s="6" t="n"/>
      <c r="FE49" s="6" t="n"/>
      <c r="FF49" s="6" t="n"/>
      <c r="FG49" s="6" t="n"/>
      <c r="FH49" s="6" t="n"/>
    </row>
    <row r="50" hidden="1" ht="18.75" customHeight="1">
      <c r="A50" s="674" t="inlineStr">
        <is>
          <t>NSPA hidrat orquidea Noir</t>
        </is>
      </c>
      <c r="B50" s="658" t="n"/>
      <c r="C50" s="658" t="n"/>
      <c r="D50" s="670" t="n"/>
      <c r="F50" s="116" t="n"/>
      <c r="G50" s="116" t="n"/>
      <c r="H50" s="116" t="n"/>
      <c r="I50" s="116" t="n"/>
      <c r="J50" s="116" t="n"/>
      <c r="K50" s="116" t="n"/>
      <c r="L50" s="116" t="n"/>
      <c r="M50" s="116" t="n"/>
      <c r="N50" s="116" t="n"/>
      <c r="O50" s="116" t="n"/>
      <c r="P50" s="116" t="n"/>
      <c r="Q50" s="116" t="n"/>
      <c r="R50" s="116" t="n"/>
      <c r="S50" s="116" t="n"/>
      <c r="T50" s="116" t="n"/>
      <c r="U50" s="116" t="n"/>
      <c r="V50" s="116" t="n"/>
      <c r="W50" s="116" t="n"/>
      <c r="X50" s="116" t="n"/>
      <c r="Y50" s="116" t="n"/>
      <c r="Z50" s="116" t="n"/>
      <c r="AA50" s="116" t="n"/>
      <c r="AB50" s="116" t="n"/>
      <c r="AC50" s="116" t="n"/>
      <c r="AD50" s="116" t="n"/>
      <c r="AE50" s="116" t="n"/>
      <c r="AF50" s="116" t="n"/>
      <c r="AG50" s="116" t="n"/>
      <c r="AH50" s="116" t="n"/>
      <c r="AI50" s="116" t="n"/>
      <c r="AJ50" s="116" t="n"/>
      <c r="AK50" s="116" t="n"/>
      <c r="AL50" s="116" t="n"/>
      <c r="AM50" s="116" t="n"/>
      <c r="AN50" s="116" t="n"/>
      <c r="AO50" s="116" t="n"/>
      <c r="AP50" s="116" t="n"/>
      <c r="AQ50" s="116" t="n"/>
      <c r="AR50" s="116" t="n"/>
      <c r="AS50" s="116" t="n"/>
      <c r="AT50" s="116" t="n"/>
      <c r="AU50" s="116" t="n"/>
      <c r="AV50" s="116" t="n"/>
      <c r="AW50" s="116" t="n"/>
      <c r="AX50" s="116" t="n"/>
      <c r="AY50" s="116" t="n"/>
      <c r="AZ50" s="116" t="n"/>
      <c r="BA50" s="116" t="n"/>
      <c r="BB50" s="116" t="n"/>
      <c r="BC50" s="116" t="n"/>
      <c r="BD50" s="116" t="n"/>
      <c r="BE50" s="116" t="n"/>
      <c r="BF50" s="116" t="n"/>
      <c r="BG50" s="116" t="n"/>
      <c r="BH50" s="116" t="n"/>
      <c r="BI50" s="116" t="n"/>
      <c r="BJ50" s="116" t="n"/>
      <c r="BK50" s="116" t="n"/>
      <c r="BL50" s="116" t="n"/>
      <c r="BM50" s="116" t="n"/>
      <c r="BN50" s="116" t="n"/>
      <c r="BO50" s="116" t="n"/>
      <c r="BP50" s="116" t="n"/>
      <c r="BQ50" s="116" t="n"/>
      <c r="BR50" s="116" t="n"/>
      <c r="BS50" s="116" t="n"/>
      <c r="BT50" s="116" t="n"/>
      <c r="BU50" s="116" t="n"/>
      <c r="BV50" s="116" t="n"/>
      <c r="BW50" s="116" t="n"/>
      <c r="BX50" s="116" t="n"/>
      <c r="BY50" s="116" t="n"/>
      <c r="BZ50" s="116" t="n"/>
      <c r="CA50" s="116" t="n"/>
      <c r="CB50" s="116" t="n"/>
      <c r="CC50" s="673" t="n"/>
      <c r="CD50" s="673" t="n"/>
      <c r="CE50" s="673" t="n"/>
      <c r="CH50" s="6" t="n"/>
      <c r="CI50" s="6" t="n"/>
      <c r="CL50" s="6" t="n"/>
      <c r="CM50" s="6" t="n"/>
      <c r="CN50" s="6" t="n"/>
      <c r="CO50" s="6" t="n"/>
      <c r="CP50" s="6" t="n"/>
      <c r="CR50" s="6" t="n"/>
      <c r="CS50" s="6" t="n"/>
      <c r="CT50" s="6" t="n"/>
      <c r="CU50" s="6" t="n"/>
      <c r="CV50" s="6" t="n"/>
      <c r="CW50" s="6" t="n"/>
      <c r="CX50" s="6" t="n"/>
      <c r="CY50" s="6" t="n"/>
      <c r="CZ50" s="6" t="n"/>
      <c r="DA50" s="6" t="n"/>
      <c r="DB50" s="6" t="n"/>
      <c r="DC50" s="6" t="n"/>
      <c r="DD50" s="6" t="n"/>
      <c r="DE50" s="6" t="n"/>
      <c r="DF50" s="6" t="n"/>
      <c r="DG50" s="6" t="n"/>
      <c r="DH50" s="6" t="n"/>
      <c r="DI50" s="6" t="n"/>
      <c r="DJ50" s="6" t="n"/>
      <c r="DK50" s="6" t="n"/>
      <c r="DL50" s="6" t="n"/>
      <c r="DM50" s="6" t="n"/>
      <c r="DN50" s="6" t="n"/>
      <c r="DO50" s="6" t="n"/>
      <c r="DP50" s="6" t="n"/>
      <c r="DQ50" s="6" t="n"/>
      <c r="DR50" s="6" t="n"/>
      <c r="DS50" s="6" t="n"/>
      <c r="DT50" s="6" t="n"/>
      <c r="DU50" s="6" t="n"/>
      <c r="DV50" s="6" t="n"/>
      <c r="DW50" s="6" t="n"/>
      <c r="DX50" s="58" t="n"/>
      <c r="DY50" s="6" t="n"/>
      <c r="DZ50" s="6" t="n"/>
      <c r="EA50" s="6" t="n"/>
      <c r="EB50" s="6" t="n"/>
      <c r="EC50" s="6" t="n"/>
      <c r="ED50" s="58" t="n"/>
      <c r="EE50" s="6" t="n"/>
      <c r="EF50" s="58" t="n"/>
      <c r="EG50" s="58" t="n"/>
      <c r="EH50" s="6" t="n"/>
      <c r="EI50" s="6" t="n"/>
      <c r="EJ50" s="6" t="n"/>
      <c r="EK50" s="6" t="n"/>
      <c r="EL50" s="6" t="n"/>
      <c r="EM50" s="6" t="n"/>
      <c r="EN50" s="6" t="n"/>
      <c r="EO50" s="6" t="n"/>
      <c r="EP50" s="6" t="n"/>
      <c r="EQ50" s="290" t="n"/>
      <c r="ER50" s="6" t="n"/>
      <c r="ES50" s="6" t="n"/>
      <c r="ET50" s="289" t="n"/>
      <c r="EU50" s="6" t="n"/>
      <c r="EV50" s="289" t="n"/>
      <c r="EW50" s="6" t="n"/>
      <c r="EX50" s="6" t="n"/>
      <c r="EY50" s="6" t="n"/>
      <c r="EZ50" s="6" t="n"/>
      <c r="FA50" s="6" t="n"/>
      <c r="FB50" s="6" t="n"/>
      <c r="FC50" s="6" t="n"/>
      <c r="FD50" s="6" t="n"/>
      <c r="FE50" s="6" t="n"/>
      <c r="FF50" s="6" t="n"/>
      <c r="FG50" s="6" t="n"/>
      <c r="FH50" s="6" t="n"/>
    </row>
    <row r="51" hidden="1" ht="18.75" customHeight="1">
      <c r="A51" s="674" t="inlineStr">
        <is>
          <t xml:space="preserve">Her Code eau de parfun </t>
        </is>
      </c>
      <c r="B51" s="658" t="n"/>
      <c r="C51" s="658" t="n"/>
      <c r="D51" s="670" t="n"/>
      <c r="F51" s="116" t="n"/>
      <c r="G51" s="116" t="n"/>
      <c r="H51" s="116" t="n"/>
      <c r="I51" s="116" t="n"/>
      <c r="J51" s="116" t="n"/>
      <c r="K51" s="116" t="n"/>
      <c r="L51" s="116" t="n"/>
      <c r="M51" s="116" t="n"/>
      <c r="N51" s="116" t="n"/>
      <c r="O51" s="116" t="n"/>
      <c r="P51" s="116" t="n"/>
      <c r="Q51" s="116" t="n"/>
      <c r="R51" s="116" t="n"/>
      <c r="S51" s="116" t="n"/>
      <c r="T51" s="116" t="n"/>
      <c r="U51" s="116" t="n"/>
      <c r="V51" s="116" t="n"/>
      <c r="W51" s="116" t="n"/>
      <c r="X51" s="116" t="n"/>
      <c r="Y51" s="116" t="n"/>
      <c r="Z51" s="116" t="n"/>
      <c r="AA51" s="116" t="n"/>
      <c r="AB51" s="116" t="n"/>
      <c r="AC51" s="116" t="n"/>
      <c r="AD51" s="116" t="n"/>
      <c r="AE51" s="116" t="n"/>
      <c r="AF51" s="116" t="n"/>
      <c r="AG51" s="116" t="n"/>
      <c r="AH51" s="116" t="n"/>
      <c r="AI51" s="116" t="n"/>
      <c r="AJ51" s="116" t="n"/>
      <c r="AK51" s="116" t="n"/>
      <c r="AL51" s="116" t="n"/>
      <c r="AM51" s="116" t="n"/>
      <c r="AN51" s="116" t="n"/>
      <c r="AO51" s="116" t="n"/>
      <c r="AP51" s="116" t="n"/>
      <c r="AQ51" s="116" t="n"/>
      <c r="AR51" s="116" t="n"/>
      <c r="AS51" s="116" t="n"/>
      <c r="AT51" s="116" t="n"/>
      <c r="AU51" s="116" t="n"/>
      <c r="AV51" s="116" t="n"/>
      <c r="AW51" s="116" t="n"/>
      <c r="AX51" s="116" t="n"/>
      <c r="AY51" s="116" t="n"/>
      <c r="AZ51" s="116" t="n"/>
      <c r="BA51" s="116" t="n"/>
      <c r="BB51" s="116" t="n"/>
      <c r="BC51" s="116" t="n"/>
      <c r="BD51" s="116" t="n"/>
      <c r="BE51" s="116" t="n"/>
      <c r="BF51" s="116" t="n"/>
      <c r="BG51" s="116" t="n"/>
      <c r="BH51" s="116" t="n"/>
      <c r="BI51" s="116" t="n"/>
      <c r="BJ51" s="116" t="n"/>
      <c r="BK51" s="116" t="n"/>
      <c r="BL51" s="116" t="n"/>
      <c r="BM51" s="116" t="n"/>
      <c r="BN51" s="116" t="n"/>
      <c r="BO51" s="116" t="n"/>
      <c r="BP51" s="116" t="n"/>
      <c r="BQ51" s="116" t="n"/>
      <c r="BR51" s="116" t="n"/>
      <c r="BS51" s="116" t="n"/>
      <c r="BT51" s="116" t="n"/>
      <c r="BU51" s="116" t="n"/>
      <c r="BV51" s="116" t="n"/>
      <c r="BW51" s="116" t="n"/>
      <c r="BX51" s="116" t="n"/>
      <c r="BY51" s="116" t="n"/>
      <c r="BZ51" s="116" t="n"/>
      <c r="CA51" s="116" t="n"/>
      <c r="CB51" s="116" t="n"/>
      <c r="CC51" s="673" t="n"/>
      <c r="CD51" s="673" t="n"/>
      <c r="CE51" s="673" t="n"/>
      <c r="CH51" s="6" t="n"/>
      <c r="CI51" s="6" t="n"/>
      <c r="CL51" s="6" t="n"/>
      <c r="CM51" s="6" t="n"/>
      <c r="CN51" s="6" t="n"/>
      <c r="CO51" s="6" t="n"/>
      <c r="CP51" s="6" t="n"/>
      <c r="CR51" s="6" t="n"/>
      <c r="CS51" s="6" t="n"/>
      <c r="CT51" s="6" t="n"/>
      <c r="CU51" s="6" t="n"/>
      <c r="CV51" s="6" t="n"/>
      <c r="CW51" s="6" t="n"/>
      <c r="CX51" s="6" t="n"/>
      <c r="CY51" s="6" t="n"/>
      <c r="CZ51" s="6" t="n"/>
      <c r="DA51" s="6" t="n"/>
      <c r="DB51" s="6" t="n"/>
      <c r="DC51" s="6" t="n"/>
      <c r="DD51" s="6" t="n"/>
      <c r="DE51" s="6" t="n"/>
      <c r="DF51" s="6" t="n"/>
      <c r="DG51" s="6" t="n"/>
      <c r="DH51" s="6" t="n"/>
      <c r="DI51" s="6" t="n"/>
      <c r="DJ51" s="6" t="n"/>
      <c r="DK51" s="6" t="n"/>
      <c r="DL51" s="6" t="n"/>
      <c r="DM51" s="6" t="n"/>
      <c r="DN51" s="6" t="n"/>
      <c r="DO51" s="6" t="n"/>
      <c r="DP51" s="6" t="n"/>
      <c r="DQ51" s="6" t="n"/>
      <c r="DR51" s="6" t="n"/>
      <c r="DS51" s="6" t="n"/>
      <c r="DT51" s="6" t="n"/>
      <c r="DU51" s="6" t="n"/>
      <c r="DV51" s="6" t="n"/>
      <c r="DW51" s="6" t="n"/>
      <c r="DX51" s="58" t="n"/>
      <c r="DY51" s="6" t="n"/>
      <c r="DZ51" s="6" t="n"/>
      <c r="EA51" s="6" t="n"/>
      <c r="EB51" s="6" t="n"/>
      <c r="EC51" s="6" t="n"/>
      <c r="ED51" s="58" t="n"/>
      <c r="EE51" s="6" t="n"/>
      <c r="EF51" s="58" t="n"/>
      <c r="EG51" s="58" t="n"/>
      <c r="EH51" s="6" t="n"/>
      <c r="EI51" s="6" t="n"/>
      <c r="EJ51" s="6" t="n"/>
      <c r="EK51" s="6" t="n"/>
      <c r="EL51" s="6" t="n"/>
      <c r="EM51" s="6" t="n"/>
      <c r="EN51" s="6" t="n"/>
      <c r="EO51" s="6" t="n"/>
      <c r="EP51" s="6" t="n"/>
      <c r="EQ51" s="290" t="n"/>
      <c r="ER51" s="6" t="n"/>
      <c r="ES51" s="6" t="n"/>
      <c r="ET51" s="290" t="n"/>
      <c r="EU51" s="6" t="n"/>
      <c r="EV51" s="290" t="n"/>
      <c r="EW51" s="6" t="n"/>
      <c r="EX51" s="6" t="n"/>
      <c r="EY51" s="6" t="n"/>
      <c r="EZ51" s="6" t="n"/>
      <c r="FA51" s="6" t="n"/>
      <c r="FB51" s="6" t="n"/>
      <c r="FC51" s="6" t="n"/>
      <c r="FD51" s="6" t="n"/>
      <c r="FE51" s="6" t="n"/>
      <c r="FF51" s="6" t="n"/>
      <c r="FG51" s="6" t="n"/>
      <c r="FH51" s="6" t="n"/>
    </row>
    <row r="52" hidden="1" ht="18.75" customHeight="1">
      <c r="A52" s="674" t="inlineStr">
        <is>
          <t xml:space="preserve">Poliglu/rosa mosqueta </t>
        </is>
      </c>
      <c r="B52" s="658" t="n"/>
      <c r="C52" s="658" t="n"/>
      <c r="D52" s="670" t="n"/>
      <c r="F52" s="116" t="n"/>
      <c r="G52" s="116" t="n"/>
      <c r="H52" s="116" t="n"/>
      <c r="I52" s="116" t="n"/>
      <c r="J52" s="116" t="n"/>
      <c r="K52" s="116" t="n"/>
      <c r="L52" s="116" t="n"/>
      <c r="M52" s="116" t="n"/>
      <c r="N52" s="116" t="n"/>
      <c r="O52" s="116" t="n"/>
      <c r="P52" s="116" t="n"/>
      <c r="Q52" s="116" t="n"/>
      <c r="R52" s="116" t="n"/>
      <c r="S52" s="116" t="n"/>
      <c r="T52" s="116" t="n"/>
      <c r="U52" s="116" t="n"/>
      <c r="V52" s="116" t="n"/>
      <c r="W52" s="116" t="n"/>
      <c r="X52" s="116" t="n"/>
      <c r="Y52" s="116" t="n"/>
      <c r="Z52" s="116" t="n"/>
      <c r="AA52" s="116" t="n"/>
      <c r="AB52" s="116" t="n"/>
      <c r="AC52" s="116" t="n"/>
      <c r="AD52" s="116" t="n"/>
      <c r="AE52" s="116" t="n"/>
      <c r="AF52" s="116" t="n"/>
      <c r="AG52" s="116" t="n"/>
      <c r="AH52" s="116" t="n"/>
      <c r="AI52" s="116" t="n"/>
      <c r="AJ52" s="116" t="n"/>
      <c r="AK52" s="116" t="n"/>
      <c r="AL52" s="116" t="n"/>
      <c r="AM52" s="116" t="n"/>
      <c r="AN52" s="116" t="n"/>
      <c r="AO52" s="116" t="n"/>
      <c r="AP52" s="116" t="n"/>
      <c r="AQ52" s="116" t="n"/>
      <c r="AR52" s="116" t="n"/>
      <c r="AS52" s="116" t="n"/>
      <c r="AT52" s="116" t="n"/>
      <c r="AU52" s="116" t="n"/>
      <c r="AV52" s="116" t="n"/>
      <c r="AW52" s="116" t="n"/>
      <c r="AX52" s="116" t="n"/>
      <c r="AY52" s="116" t="n"/>
      <c r="AZ52" s="116" t="n"/>
      <c r="BA52" s="116" t="n"/>
      <c r="BB52" s="116" t="n"/>
      <c r="BC52" s="116" t="n"/>
      <c r="BD52" s="116" t="n"/>
      <c r="BE52" s="116" t="n"/>
      <c r="BF52" s="116" t="n"/>
      <c r="BG52" s="116" t="n"/>
      <c r="BH52" s="116" t="n"/>
      <c r="BI52" s="116" t="n"/>
      <c r="BJ52" s="116" t="n"/>
      <c r="BK52" s="116" t="n"/>
      <c r="BL52" s="116" t="n"/>
      <c r="BM52" s="116" t="n"/>
      <c r="BN52" s="116" t="n"/>
      <c r="BO52" s="116" t="n"/>
      <c r="BP52" s="116" t="n"/>
      <c r="BQ52" s="116" t="n"/>
      <c r="BR52" s="116" t="n"/>
      <c r="BS52" s="116" t="n"/>
      <c r="BT52" s="116" t="n"/>
      <c r="BU52" s="116" t="n"/>
      <c r="BV52" s="116" t="n"/>
      <c r="BW52" s="116" t="n"/>
      <c r="BX52" s="116" t="n"/>
      <c r="BY52" s="116" t="n"/>
      <c r="BZ52" s="116" t="n"/>
      <c r="CA52" s="116" t="n"/>
      <c r="CB52" s="116" t="n"/>
      <c r="CC52" s="673" t="n"/>
      <c r="CD52" s="673" t="n"/>
      <c r="CE52" s="673" t="n"/>
      <c r="CH52" s="6" t="n"/>
      <c r="CI52" s="6" t="n"/>
      <c r="CP52" s="6" t="n"/>
      <c r="CR52" s="6" t="n"/>
      <c r="CT52" s="6" t="n"/>
      <c r="CU52" s="6" t="n"/>
      <c r="CW52" s="6" t="n"/>
      <c r="CX52" s="6" t="n"/>
      <c r="CY52" s="6" t="n"/>
      <c r="CZ52" s="6" t="n"/>
      <c r="DA52" s="6" t="n"/>
      <c r="DB52" s="6" t="n"/>
      <c r="DC52" s="6" t="n"/>
      <c r="DD52" s="6" t="n"/>
      <c r="DE52" s="6" t="n"/>
      <c r="DF52" s="6" t="n"/>
      <c r="DG52" s="6" t="n"/>
      <c r="DH52" s="6" t="n"/>
      <c r="DI52" s="6" t="n"/>
      <c r="DK52" s="6" t="n"/>
      <c r="DM52" s="6" t="n"/>
      <c r="DN52" s="6" t="n"/>
      <c r="DO52" s="6" t="n"/>
      <c r="DP52" s="6" t="n"/>
      <c r="DQ52" s="6" t="n"/>
      <c r="DR52" s="6" t="n"/>
      <c r="DS52" s="6" t="n"/>
      <c r="DT52" s="6" t="n"/>
      <c r="DU52" s="6" t="n"/>
      <c r="DV52" s="6" t="n"/>
      <c r="DW52" s="6" t="n"/>
      <c r="DX52" s="58" t="n"/>
      <c r="DY52" s="6" t="n"/>
      <c r="DZ52" s="6" t="n"/>
      <c r="EA52" s="6" t="n"/>
      <c r="EB52" s="6" t="n"/>
      <c r="EC52" s="6" t="n"/>
      <c r="ED52" s="58" t="n"/>
      <c r="EE52" s="6" t="n"/>
      <c r="EG52" s="58" t="n"/>
      <c r="EN52" s="6" t="n"/>
      <c r="EO52" s="6" t="n"/>
      <c r="EQ52" s="291" t="n"/>
      <c r="ER52" s="6" t="n"/>
      <c r="ES52" s="6" t="n"/>
      <c r="ET52" s="290" t="n"/>
      <c r="EU52" s="6" t="n"/>
      <c r="EV52" s="290" t="n"/>
      <c r="EW52" s="6" t="n"/>
      <c r="EX52" s="6" t="n"/>
      <c r="EY52" s="6" t="n"/>
      <c r="EZ52" s="6" t="n"/>
      <c r="FA52" s="6" t="n"/>
      <c r="FB52" s="6" t="n"/>
      <c r="FC52" s="6" t="n"/>
      <c r="FD52" s="6" t="n"/>
      <c r="FE52" s="6" t="n"/>
      <c r="FF52" s="6" t="n"/>
      <c r="FG52" s="6" t="n"/>
      <c r="FH52" s="6" t="n"/>
    </row>
    <row r="53" hidden="1" ht="18.75" customHeight="1">
      <c r="A53" s="674" t="inlineStr">
        <is>
          <t xml:space="preserve">Portinari Absoluto </t>
        </is>
      </c>
      <c r="B53" s="658" t="n"/>
      <c r="C53" s="658" t="n"/>
      <c r="D53" s="670" t="n"/>
      <c r="F53" s="116" t="n"/>
      <c r="G53" s="116" t="n"/>
      <c r="H53" s="116" t="n"/>
      <c r="I53" s="116" t="n"/>
      <c r="J53" s="116" t="n"/>
      <c r="K53" s="116" t="n"/>
      <c r="L53" s="116" t="n"/>
      <c r="M53" s="116" t="n"/>
      <c r="N53" s="116" t="n"/>
      <c r="O53" s="116" t="n"/>
      <c r="P53" s="116" t="n"/>
      <c r="Q53" s="116" t="n"/>
      <c r="R53" s="116" t="n"/>
      <c r="S53" s="116" t="n"/>
      <c r="T53" s="116" t="n"/>
      <c r="U53" s="116" t="n"/>
      <c r="V53" s="116" t="n"/>
      <c r="W53" s="116" t="n"/>
      <c r="X53" s="116" t="n"/>
      <c r="Y53" s="116" t="n"/>
      <c r="Z53" s="116" t="n"/>
      <c r="AA53" s="116" t="n"/>
      <c r="AB53" s="116" t="n"/>
      <c r="AC53" s="116" t="n"/>
      <c r="AD53" s="116" t="n"/>
      <c r="AE53" s="116" t="n"/>
      <c r="AF53" s="116" t="n"/>
      <c r="AG53" s="116" t="n"/>
      <c r="AH53" s="116" t="n"/>
      <c r="AI53" s="116" t="n"/>
      <c r="AJ53" s="116" t="n"/>
      <c r="AK53" s="116" t="n"/>
      <c r="AL53" s="116" t="n"/>
      <c r="AM53" s="116" t="n"/>
      <c r="AN53" s="116" t="n"/>
      <c r="AO53" s="116" t="n"/>
      <c r="AP53" s="116" t="n"/>
      <c r="AQ53" s="116" t="n"/>
      <c r="AR53" s="116" t="n"/>
      <c r="AS53" s="116" t="n"/>
      <c r="AT53" s="116" t="n"/>
      <c r="AU53" s="116" t="n"/>
      <c r="AV53" s="116" t="n"/>
      <c r="AW53" s="116" t="n"/>
      <c r="AX53" s="116" t="n"/>
      <c r="AY53" s="116" t="n"/>
      <c r="AZ53" s="116" t="n"/>
      <c r="BA53" s="116" t="n"/>
      <c r="BB53" s="116" t="n"/>
      <c r="BC53" s="116" t="n"/>
      <c r="BD53" s="116" t="n"/>
      <c r="BE53" s="116" t="n"/>
      <c r="BF53" s="116" t="n"/>
      <c r="BG53" s="116" t="n"/>
      <c r="BH53" s="116" t="n"/>
      <c r="BI53" s="116" t="n"/>
      <c r="BJ53" s="116" t="n"/>
      <c r="BK53" s="116" t="n"/>
      <c r="BL53" s="116" t="n"/>
      <c r="BM53" s="116" t="n"/>
      <c r="BN53" s="116" t="n"/>
      <c r="BO53" s="116" t="n"/>
      <c r="BP53" s="116" t="n"/>
      <c r="BQ53" s="116" t="n"/>
      <c r="BR53" s="116" t="n"/>
      <c r="BS53" s="116" t="n"/>
      <c r="BT53" s="116" t="n"/>
      <c r="BU53" s="116" t="n"/>
      <c r="BV53" s="116" t="n"/>
      <c r="BW53" s="116" t="n"/>
      <c r="BX53" s="116" t="n"/>
      <c r="BY53" s="116" t="n"/>
      <c r="BZ53" s="116" t="n"/>
      <c r="CA53" s="116" t="n"/>
      <c r="CB53" s="116" t="n"/>
      <c r="CC53" s="673" t="n"/>
      <c r="CD53" s="673" t="n"/>
      <c r="CE53" s="673" t="n"/>
      <c r="CI53" s="6" t="n"/>
      <c r="CL53" s="6" t="n"/>
      <c r="CM53" s="6" t="n"/>
      <c r="CN53" s="6" t="n"/>
      <c r="CO53" s="6" t="n"/>
      <c r="CP53" s="6" t="n"/>
      <c r="CR53" s="6" t="n"/>
      <c r="CS53" s="6" t="n"/>
      <c r="CT53" s="6" t="n"/>
      <c r="CU53" s="6" t="n"/>
      <c r="CV53" s="6" t="n"/>
      <c r="CW53" s="6" t="n"/>
      <c r="CX53" s="6" t="n"/>
      <c r="CY53" s="6" t="n"/>
      <c r="CZ53" s="6" t="n"/>
      <c r="DA53" s="6" t="n"/>
      <c r="DB53" s="6" t="n"/>
      <c r="DC53" s="6" t="n"/>
      <c r="DD53" s="6" t="n"/>
      <c r="DE53" s="6" t="n"/>
      <c r="DF53" s="6" t="n"/>
      <c r="DG53" s="6" t="n"/>
      <c r="DH53" s="6" t="n"/>
      <c r="DI53" s="6" t="n"/>
      <c r="DK53" s="6" t="n"/>
      <c r="DM53" s="6" t="n"/>
      <c r="DN53" s="6" t="n"/>
      <c r="DO53" s="6" t="n"/>
      <c r="DP53" s="6" t="n"/>
      <c r="DQ53" s="6" t="n"/>
      <c r="DR53" s="6" t="n"/>
      <c r="DS53" s="6" t="n"/>
      <c r="DT53" s="6" t="n"/>
      <c r="DU53" s="6" t="n"/>
      <c r="DV53" s="6" t="n"/>
      <c r="DW53" s="6" t="n"/>
      <c r="DY53" s="6" t="n"/>
      <c r="DZ53" s="6" t="n"/>
      <c r="EA53" s="6" t="n"/>
      <c r="EB53" s="6" t="n"/>
      <c r="EC53" s="6" t="n"/>
      <c r="EE53" s="6" t="n"/>
      <c r="EH53" s="6" t="n"/>
      <c r="EI53" s="6" t="n"/>
      <c r="EJ53" s="6" t="n"/>
      <c r="EK53" s="6" t="n"/>
      <c r="EL53" s="6" t="n"/>
      <c r="EM53" s="6" t="n"/>
      <c r="EN53" s="6" t="n"/>
      <c r="EO53" s="6" t="n"/>
      <c r="EP53" s="6" t="n"/>
      <c r="EQ53" s="291" t="n"/>
      <c r="ER53" s="6" t="n"/>
      <c r="ES53" s="6" t="n"/>
      <c r="ET53" s="291" t="n"/>
      <c r="EU53" s="6" t="n"/>
      <c r="EV53" s="291" t="n"/>
      <c r="EW53" s="6" t="n"/>
      <c r="EX53" s="6" t="n"/>
      <c r="EY53" s="6" t="n"/>
      <c r="EZ53" s="6" t="n"/>
      <c r="FA53" s="6" t="n"/>
      <c r="FB53" s="6" t="n"/>
      <c r="FC53" s="6" t="n"/>
      <c r="FD53" s="6" t="n"/>
      <c r="FE53" s="6" t="n"/>
      <c r="FF53" s="6" t="n"/>
      <c r="FG53" s="6" t="n"/>
      <c r="FH53" s="6" t="n"/>
    </row>
    <row r="54" hidden="1" ht="18.75" customHeight="1">
      <c r="A54" s="674" t="inlineStr">
        <is>
          <t xml:space="preserve">Quasar Vision </t>
        </is>
      </c>
      <c r="B54" s="658" t="n"/>
      <c r="C54" s="658" t="n"/>
      <c r="D54" s="670" t="n"/>
      <c r="F54" s="116" t="n"/>
      <c r="G54" s="116" t="n"/>
      <c r="H54" s="116" t="n"/>
      <c r="I54" s="116" t="n"/>
      <c r="J54" s="116" t="n"/>
      <c r="K54" s="116" t="n"/>
      <c r="L54" s="116" t="n"/>
      <c r="M54" s="116" t="n"/>
      <c r="N54" s="116" t="n"/>
      <c r="O54" s="116" t="n"/>
      <c r="P54" s="116" t="n"/>
      <c r="Q54" s="116" t="n"/>
      <c r="R54" s="116" t="n"/>
      <c r="S54" s="116" t="n"/>
      <c r="T54" s="116" t="n"/>
      <c r="U54" s="116" t="n"/>
      <c r="V54" s="116" t="n"/>
      <c r="W54" s="116" t="n"/>
      <c r="X54" s="116" t="n"/>
      <c r="Y54" s="116" t="n"/>
      <c r="Z54" s="116" t="n"/>
      <c r="AA54" s="116" t="n"/>
      <c r="AB54" s="116" t="n"/>
      <c r="AC54" s="116" t="n"/>
      <c r="AD54" s="116" t="n"/>
      <c r="AE54" s="116" t="n"/>
      <c r="AF54" s="116" t="n"/>
      <c r="AG54" s="116" t="n"/>
      <c r="AH54" s="116" t="n"/>
      <c r="AI54" s="116" t="n"/>
      <c r="AJ54" s="116" t="n"/>
      <c r="AK54" s="116" t="n"/>
      <c r="AL54" s="116" t="n"/>
      <c r="AM54" s="116" t="n"/>
      <c r="AN54" s="116" t="n"/>
      <c r="AO54" s="116" t="n"/>
      <c r="AP54" s="116" t="n"/>
      <c r="AQ54" s="116" t="n"/>
      <c r="AR54" s="116" t="n"/>
      <c r="AS54" s="116" t="n"/>
      <c r="AT54" s="116" t="n"/>
      <c r="AU54" s="116" t="n"/>
      <c r="AV54" s="116" t="n"/>
      <c r="AW54" s="116" t="n"/>
      <c r="AX54" s="116" t="n"/>
      <c r="AY54" s="116" t="n"/>
      <c r="AZ54" s="116" t="n"/>
      <c r="BA54" s="116" t="n"/>
      <c r="BB54" s="116" t="n"/>
      <c r="BC54" s="116" t="n"/>
      <c r="BD54" s="116" t="n"/>
      <c r="BE54" s="116" t="n"/>
      <c r="BF54" s="116" t="n"/>
      <c r="BG54" s="116" t="n"/>
      <c r="BH54" s="116" t="n"/>
      <c r="BI54" s="116" t="n"/>
      <c r="BJ54" s="116" t="n"/>
      <c r="BK54" s="116" t="n"/>
      <c r="BL54" s="116" t="n"/>
      <c r="BM54" s="116" t="n"/>
      <c r="BN54" s="116" t="n"/>
      <c r="BO54" s="116" t="n"/>
      <c r="BP54" s="116" t="n"/>
      <c r="BQ54" s="116" t="n"/>
      <c r="BR54" s="116" t="n"/>
      <c r="BS54" s="116" t="n"/>
      <c r="BT54" s="116" t="n"/>
      <c r="BU54" s="116" t="n"/>
      <c r="BV54" s="116" t="n"/>
      <c r="BW54" s="116" t="n"/>
      <c r="BX54" s="116" t="n"/>
      <c r="BY54" s="116" t="n"/>
      <c r="BZ54" s="116" t="n"/>
      <c r="CA54" s="116" t="n"/>
      <c r="CB54" s="116" t="n"/>
      <c r="CC54" s="673" t="n"/>
      <c r="CD54" s="673" t="n"/>
      <c r="CE54" s="673" t="n"/>
      <c r="CP54" s="6" t="n"/>
      <c r="CR54" s="6" t="n"/>
      <c r="CT54" s="6" t="n"/>
      <c r="CU54" s="6" t="n"/>
      <c r="CW54" s="6" t="n"/>
      <c r="CX54" s="6" t="n"/>
      <c r="CY54" s="6" t="n"/>
      <c r="CZ54" s="6" t="n"/>
      <c r="DA54" s="6" t="n"/>
      <c r="DB54" s="6" t="n"/>
      <c r="DC54" s="6" t="n"/>
      <c r="DD54" s="6" t="n"/>
      <c r="DE54" s="6" t="n"/>
      <c r="DF54" s="6" t="n"/>
      <c r="DG54" s="6" t="n"/>
      <c r="DH54" s="6" t="n"/>
      <c r="DI54" s="6" t="n"/>
      <c r="DK54" s="6" t="n"/>
      <c r="DM54" s="6" t="n"/>
      <c r="DN54" s="6" t="n"/>
      <c r="DO54" s="6" t="n"/>
      <c r="DP54" s="6" t="n"/>
      <c r="DQ54" s="6" t="n"/>
      <c r="DR54" s="6" t="n"/>
      <c r="DS54" s="6" t="n"/>
      <c r="DT54" s="6" t="n"/>
      <c r="DU54" s="6" t="n"/>
      <c r="DV54" s="6" t="n"/>
      <c r="DW54" s="6" t="n"/>
      <c r="DY54" s="6" t="n"/>
      <c r="DZ54" s="6" t="n"/>
      <c r="EA54" s="6" t="n"/>
      <c r="EB54" s="6" t="n"/>
      <c r="EC54" s="6" t="n"/>
      <c r="EE54" s="6" t="n"/>
      <c r="EN54" s="6" t="n"/>
      <c r="EO54" s="6" t="n"/>
      <c r="EQ54" s="291" t="n"/>
      <c r="ER54" s="6" t="n"/>
      <c r="ES54" s="6" t="n"/>
      <c r="ET54" s="291" t="n"/>
      <c r="EU54" s="6" t="n"/>
      <c r="EV54" s="291" t="n"/>
      <c r="EW54" s="6" t="n"/>
      <c r="EX54" s="6" t="n"/>
      <c r="EY54" s="6" t="n"/>
      <c r="EZ54" s="6" t="n"/>
      <c r="FA54" s="6" t="n"/>
      <c r="FB54" s="6" t="n"/>
      <c r="FC54" s="6" t="n"/>
      <c r="FD54" s="6" t="n"/>
      <c r="FE54" s="6" t="n"/>
      <c r="FF54" s="6" t="n"/>
      <c r="FG54" s="6" t="n"/>
      <c r="FH54" s="6" t="n"/>
    </row>
    <row r="55" hidden="1" ht="18.75" customHeight="1">
      <c r="A55" s="674" t="inlineStr">
        <is>
          <t xml:space="preserve">Lily Solei </t>
        </is>
      </c>
      <c r="B55" s="658" t="n"/>
      <c r="C55" s="658" t="n"/>
      <c r="D55" s="670" t="n"/>
      <c r="F55" s="116" t="n"/>
      <c r="G55" s="116" t="n"/>
      <c r="H55" s="116" t="n"/>
      <c r="I55" s="116" t="n"/>
      <c r="J55" s="116" t="n"/>
      <c r="K55" s="116" t="n"/>
      <c r="L55" s="116" t="n"/>
      <c r="M55" s="116" t="n"/>
      <c r="N55" s="116" t="n"/>
      <c r="O55" s="116" t="n"/>
      <c r="P55" s="116" t="n"/>
      <c r="Q55" s="116" t="n"/>
      <c r="R55" s="116" t="n"/>
      <c r="S55" s="116" t="n"/>
      <c r="T55" s="116" t="n"/>
      <c r="U55" s="116" t="n"/>
      <c r="V55" s="116" t="n"/>
      <c r="W55" s="116" t="n"/>
      <c r="X55" s="116" t="n"/>
      <c r="Y55" s="116" t="n"/>
      <c r="Z55" s="116" t="n"/>
      <c r="AA55" s="116" t="n"/>
      <c r="AB55" s="116" t="n"/>
      <c r="AC55" s="116" t="n"/>
      <c r="AD55" s="116" t="n"/>
      <c r="AE55" s="116" t="n"/>
      <c r="AF55" s="116" t="n"/>
      <c r="AG55" s="116" t="n"/>
      <c r="AH55" s="116" t="n"/>
      <c r="AI55" s="116" t="n"/>
      <c r="AJ55" s="116" t="n"/>
      <c r="AK55" s="116" t="n"/>
      <c r="AL55" s="116" t="n"/>
      <c r="AM55" s="116" t="n"/>
      <c r="AN55" s="116" t="n"/>
      <c r="AO55" s="116" t="n"/>
      <c r="AP55" s="116" t="n"/>
      <c r="AQ55" s="116" t="n"/>
      <c r="AR55" s="116" t="n"/>
      <c r="AS55" s="116" t="n"/>
      <c r="AT55" s="116" t="n"/>
      <c r="AU55" s="116" t="n"/>
      <c r="AV55" s="116" t="n"/>
      <c r="AW55" s="116" t="n"/>
      <c r="AX55" s="116" t="n"/>
      <c r="AY55" s="116" t="n"/>
      <c r="AZ55" s="116" t="n"/>
      <c r="BA55" s="116" t="n"/>
      <c r="BB55" s="116" t="n"/>
      <c r="BC55" s="116" t="n"/>
      <c r="BD55" s="116" t="n"/>
      <c r="BE55" s="116" t="n"/>
      <c r="BF55" s="116" t="n"/>
      <c r="BG55" s="116" t="n"/>
      <c r="BH55" s="116" t="n"/>
      <c r="BI55" s="116" t="n"/>
      <c r="BJ55" s="116" t="n"/>
      <c r="BK55" s="116" t="n"/>
      <c r="BL55" s="116" t="n"/>
      <c r="BM55" s="116" t="n"/>
      <c r="BN55" s="116" t="n"/>
      <c r="BO55" s="116" t="n"/>
      <c r="BP55" s="116" t="n"/>
      <c r="BQ55" s="116" t="n"/>
      <c r="BR55" s="116" t="n"/>
      <c r="BS55" s="116" t="n"/>
      <c r="BT55" s="116" t="n"/>
      <c r="BU55" s="116" t="n"/>
      <c r="BV55" s="116" t="n"/>
      <c r="BW55" s="116" t="n"/>
      <c r="BX55" s="116" t="n"/>
      <c r="BY55" s="116" t="n"/>
      <c r="BZ55" s="116" t="n"/>
      <c r="CA55" s="116" t="n"/>
      <c r="CB55" s="116" t="n"/>
      <c r="CC55" s="673" t="n"/>
      <c r="CD55" s="673" t="n"/>
      <c r="CE55" s="673" t="n"/>
      <c r="DZ55" s="6" t="n"/>
      <c r="EN55" s="6" t="n"/>
      <c r="EO55" s="6" t="n"/>
      <c r="EQ55" s="291" t="n"/>
      <c r="ER55" s="6" t="n"/>
      <c r="ES55" s="6" t="n"/>
      <c r="ET55" s="291" t="n"/>
      <c r="EU55" s="6" t="n"/>
      <c r="EV55" s="291" t="n"/>
      <c r="EW55" s="6" t="n"/>
      <c r="EX55" s="6" t="n"/>
      <c r="EY55" s="6" t="n"/>
      <c r="EZ55" s="6" t="n"/>
      <c r="FA55" s="6" t="n"/>
      <c r="FB55" s="6" t="n"/>
      <c r="FC55" s="6" t="n"/>
      <c r="FD55" s="6" t="n"/>
      <c r="FE55" s="6" t="n"/>
      <c r="FF55" s="6" t="n"/>
      <c r="FG55" s="6" t="n"/>
      <c r="FH55" s="6" t="n"/>
    </row>
    <row r="56" hidden="1" ht="18.75" customHeight="1">
      <c r="A56" s="674" t="inlineStr">
        <is>
          <t>bot sun</t>
        </is>
      </c>
      <c r="B56" s="658" t="n"/>
      <c r="C56" s="658" t="n"/>
      <c r="D56" s="670" t="n"/>
      <c r="F56" s="116" t="n"/>
      <c r="G56" s="116" t="n"/>
      <c r="H56" s="116" t="n"/>
      <c r="I56" s="116" t="n"/>
      <c r="J56" s="116" t="n"/>
      <c r="K56" s="116" t="n"/>
      <c r="L56" s="116" t="n"/>
      <c r="M56" s="116" t="n"/>
      <c r="N56" s="116" t="n"/>
      <c r="O56" s="116" t="n"/>
      <c r="P56" s="116" t="n"/>
      <c r="Q56" s="116" t="n"/>
      <c r="R56" s="116" t="n"/>
      <c r="S56" s="116" t="n"/>
      <c r="T56" s="116" t="n"/>
      <c r="U56" s="116" t="n"/>
      <c r="V56" s="116" t="n"/>
      <c r="W56" s="116" t="n"/>
      <c r="X56" s="116" t="n"/>
      <c r="Y56" s="116" t="n"/>
      <c r="Z56" s="116" t="n"/>
      <c r="AA56" s="116" t="n"/>
      <c r="AB56" s="116" t="n"/>
      <c r="AC56" s="116" t="n"/>
      <c r="AD56" s="116" t="n"/>
      <c r="AE56" s="116" t="n"/>
      <c r="AF56" s="116" t="n"/>
      <c r="AG56" s="116" t="n"/>
      <c r="AH56" s="116" t="n"/>
      <c r="AI56" s="116" t="n"/>
      <c r="AJ56" s="116" t="n"/>
      <c r="AK56" s="116" t="n"/>
      <c r="AL56" s="116" t="n"/>
      <c r="AM56" s="116" t="n"/>
      <c r="AN56" s="116" t="n"/>
      <c r="AO56" s="116" t="n"/>
      <c r="AP56" s="116" t="n"/>
      <c r="AQ56" s="116" t="n"/>
      <c r="AR56" s="116" t="n"/>
      <c r="AS56" s="116" t="n"/>
      <c r="AT56" s="116" t="n"/>
      <c r="AU56" s="116" t="n"/>
      <c r="AV56" s="116" t="n"/>
      <c r="AW56" s="116" t="n"/>
      <c r="AX56" s="116" t="n"/>
      <c r="AY56" s="116" t="n"/>
      <c r="AZ56" s="116" t="n"/>
      <c r="BA56" s="116" t="n"/>
      <c r="BB56" s="116" t="n"/>
      <c r="BC56" s="116" t="n"/>
      <c r="BD56" s="116" t="n"/>
      <c r="BE56" s="116" t="n"/>
      <c r="BF56" s="116" t="n"/>
      <c r="BG56" s="116" t="n"/>
      <c r="BH56" s="116" t="n"/>
      <c r="BI56" s="116" t="n"/>
      <c r="BJ56" s="116" t="n"/>
      <c r="BK56" s="116" t="n"/>
      <c r="BL56" s="116" t="n"/>
      <c r="BM56" s="116" t="n"/>
      <c r="BN56" s="116" t="n"/>
      <c r="BO56" s="116" t="n"/>
      <c r="BP56" s="116" t="n"/>
      <c r="BQ56" s="116" t="n"/>
      <c r="BR56" s="116" t="n"/>
      <c r="BS56" s="116" t="n"/>
      <c r="BT56" s="116" t="n"/>
      <c r="BU56" s="116" t="n"/>
      <c r="BV56" s="116" t="n"/>
      <c r="BW56" s="116" t="n"/>
      <c r="BX56" s="116" t="n"/>
      <c r="BY56" s="116" t="n"/>
      <c r="BZ56" s="116" t="n"/>
      <c r="CA56" s="116" t="n"/>
      <c r="CB56" s="116" t="n"/>
      <c r="CC56" s="673" t="n"/>
      <c r="CD56" s="673" t="n"/>
      <c r="CE56" s="673" t="n"/>
      <c r="CP56" s="6" t="n"/>
      <c r="CR56" s="6" t="n"/>
      <c r="CT56" s="6" t="n"/>
      <c r="CU56" s="6" t="n"/>
      <c r="CW56" s="6" t="n"/>
      <c r="CX56" s="6" t="n"/>
      <c r="CY56" s="6" t="n"/>
      <c r="CZ56" s="6" t="n"/>
      <c r="DA56" s="6" t="n"/>
      <c r="DB56" s="6" t="n"/>
      <c r="DC56" s="6" t="n"/>
      <c r="DD56" s="6" t="n"/>
      <c r="DE56" s="6" t="n"/>
      <c r="DF56" s="6" t="n"/>
      <c r="DG56" s="6" t="n"/>
      <c r="DH56" s="6" t="n"/>
      <c r="DI56" s="6" t="n"/>
      <c r="DK56" s="6" t="n"/>
      <c r="DM56" s="6" t="n"/>
      <c r="DN56" s="6" t="n"/>
      <c r="DO56" s="6" t="n"/>
      <c r="DP56" s="6" t="n"/>
      <c r="DQ56" s="6" t="n"/>
      <c r="DR56" s="6" t="n"/>
      <c r="DS56" s="6" t="n"/>
      <c r="DT56" s="6" t="n"/>
      <c r="DU56" s="6" t="n"/>
      <c r="DV56" s="6" t="n"/>
      <c r="DW56" s="6" t="n"/>
      <c r="DY56" s="6" t="n"/>
      <c r="EA56" s="6" t="n"/>
      <c r="EB56" s="6" t="n"/>
      <c r="EC56" s="6" t="n"/>
      <c r="EE56" s="6" t="n"/>
      <c r="EH56" s="57" t="n"/>
      <c r="EI56" s="57" t="n"/>
      <c r="EJ56" s="57" t="n"/>
      <c r="EK56" s="57" t="n"/>
      <c r="EL56" s="57" t="n"/>
      <c r="EM56" s="57" t="n"/>
      <c r="EP56" s="57" t="n"/>
      <c r="EQ56" s="291" t="n"/>
      <c r="ET56" s="291" t="n"/>
      <c r="EV56" s="291" t="n"/>
    </row>
    <row r="57" hidden="1" ht="18.75" customHeight="1">
      <c r="A57" s="674" t="inlineStr">
        <is>
          <t>Cuide-se Bem de Leite</t>
        </is>
      </c>
      <c r="B57" s="658" t="n"/>
      <c r="C57" s="658" t="n"/>
      <c r="D57" s="670" t="n"/>
      <c r="F57" s="116" t="n"/>
      <c r="G57" s="116" t="n"/>
      <c r="H57" s="116" t="n"/>
      <c r="I57" s="116" t="n"/>
      <c r="J57" s="116" t="n"/>
      <c r="K57" s="116" t="n"/>
      <c r="L57" s="116" t="n"/>
      <c r="M57" s="116" t="n"/>
      <c r="N57" s="116" t="n"/>
      <c r="O57" s="116" t="n"/>
      <c r="P57" s="116" t="n"/>
      <c r="Q57" s="116" t="n"/>
      <c r="R57" s="116" t="n"/>
      <c r="S57" s="116" t="n"/>
      <c r="T57" s="116" t="n"/>
      <c r="U57" s="116" t="n"/>
      <c r="V57" s="116" t="n"/>
      <c r="W57" s="116" t="n"/>
      <c r="X57" s="116" t="n"/>
      <c r="Y57" s="116" t="n"/>
      <c r="Z57" s="116" t="n"/>
      <c r="AA57" s="116" t="n"/>
      <c r="AB57" s="116" t="n"/>
      <c r="AC57" s="116" t="n"/>
      <c r="AD57" s="116" t="n"/>
      <c r="AE57" s="116" t="n"/>
      <c r="AF57" s="116" t="n"/>
      <c r="AG57" s="116" t="n"/>
      <c r="AH57" s="116" t="n"/>
      <c r="AI57" s="116" t="n"/>
      <c r="AJ57" s="116" t="n"/>
      <c r="AK57" s="116" t="n"/>
      <c r="AL57" s="116" t="n"/>
      <c r="AM57" s="116" t="n"/>
      <c r="AN57" s="116" t="n"/>
      <c r="AO57" s="116" t="n"/>
      <c r="AP57" s="116" t="n"/>
      <c r="AQ57" s="116" t="n"/>
      <c r="AR57" s="116" t="n"/>
      <c r="AS57" s="116" t="n"/>
      <c r="AT57" s="116" t="n"/>
      <c r="AU57" s="116" t="n"/>
      <c r="AV57" s="116" t="n"/>
      <c r="AW57" s="116" t="n"/>
      <c r="AX57" s="116" t="n"/>
      <c r="AY57" s="116" t="n"/>
      <c r="AZ57" s="116" t="n"/>
      <c r="BA57" s="116" t="n"/>
      <c r="BB57" s="116" t="n"/>
      <c r="BC57" s="116" t="n"/>
      <c r="BD57" s="116" t="n"/>
      <c r="BE57" s="116" t="n"/>
      <c r="BF57" s="116" t="n"/>
      <c r="BG57" s="116" t="n"/>
      <c r="BH57" s="116" t="n"/>
      <c r="BI57" s="116" t="n"/>
      <c r="BJ57" s="116" t="n"/>
      <c r="BK57" s="116" t="n"/>
      <c r="BL57" s="116" t="n"/>
      <c r="BM57" s="116" t="n"/>
      <c r="BN57" s="116" t="n"/>
      <c r="BO57" s="116" t="n"/>
      <c r="BP57" s="116" t="n"/>
      <c r="BQ57" s="116" t="n"/>
      <c r="BR57" s="116" t="n"/>
      <c r="BS57" s="116" t="n"/>
      <c r="BT57" s="116" t="n"/>
      <c r="BU57" s="116" t="n"/>
      <c r="BV57" s="116" t="n"/>
      <c r="BW57" s="116" t="n"/>
      <c r="BX57" s="116" t="n"/>
      <c r="BY57" s="116" t="n"/>
      <c r="BZ57" s="116" t="n"/>
      <c r="CA57" s="116" t="n"/>
      <c r="CB57" s="116" t="n"/>
      <c r="CC57" s="673" t="n"/>
      <c r="CD57" s="673" t="n"/>
      <c r="CE57" s="673" t="n"/>
      <c r="DZ57" s="6" t="n"/>
      <c r="EH57" s="57" t="n"/>
      <c r="EI57" s="57" t="n"/>
      <c r="EJ57" s="57" t="n"/>
      <c r="EK57" s="57" t="n"/>
      <c r="EL57" s="57" t="n"/>
      <c r="EM57" s="57" t="n"/>
      <c r="EN57" s="6" t="n"/>
      <c r="EO57" s="6" t="n"/>
      <c r="EP57" s="57" t="n"/>
      <c r="EQ57" s="291" t="n"/>
      <c r="ER57" s="6" t="n"/>
      <c r="ES57" s="6" t="n"/>
      <c r="ET57" s="291" t="n"/>
      <c r="EU57" s="6" t="n"/>
      <c r="EV57" s="291" t="n"/>
      <c r="EW57" s="6" t="n"/>
      <c r="EX57" s="6" t="n"/>
      <c r="EY57" s="6" t="n"/>
      <c r="EZ57" s="6" t="n"/>
      <c r="FA57" s="6" t="n"/>
      <c r="FB57" s="6" t="n"/>
      <c r="FC57" s="6" t="n"/>
      <c r="FD57" s="6" t="n"/>
      <c r="FE57" s="6" t="n"/>
      <c r="FF57" s="6" t="n"/>
      <c r="FG57" s="6" t="n"/>
      <c r="FH57" s="6" t="n"/>
    </row>
    <row r="58" hidden="1" ht="18.75" customHeight="1">
      <c r="A58" s="674" t="inlineStr">
        <is>
          <t>Cuide-se Bem Rosa e Algodão</t>
        </is>
      </c>
      <c r="B58" s="658" t="n"/>
      <c r="C58" s="658" t="n"/>
      <c r="D58" s="670" t="n"/>
      <c r="F58" s="116" t="n"/>
      <c r="G58" s="116" t="n"/>
      <c r="H58" s="116" t="n"/>
      <c r="I58" s="116" t="n"/>
      <c r="J58" s="116" t="n"/>
      <c r="K58" s="116" t="n"/>
      <c r="L58" s="116" t="n"/>
      <c r="M58" s="116" t="n"/>
      <c r="N58" s="116" t="n"/>
      <c r="O58" s="116" t="n"/>
      <c r="P58" s="116" t="n"/>
      <c r="Q58" s="116" t="n"/>
      <c r="R58" s="116" t="n"/>
      <c r="S58" s="116" t="n"/>
      <c r="T58" s="116" t="n"/>
      <c r="U58" s="116" t="n"/>
      <c r="V58" s="116" t="n"/>
      <c r="W58" s="116" t="n"/>
      <c r="X58" s="116" t="n"/>
      <c r="Y58" s="116" t="n"/>
      <c r="Z58" s="116" t="n"/>
      <c r="AA58" s="116" t="n"/>
      <c r="AB58" s="116" t="n"/>
      <c r="AC58" s="116" t="n"/>
      <c r="AD58" s="116" t="n"/>
      <c r="AE58" s="116" t="n"/>
      <c r="AF58" s="116" t="n"/>
      <c r="AG58" s="116" t="n"/>
      <c r="AH58" s="116" t="n"/>
      <c r="AI58" s="116" t="n"/>
      <c r="AJ58" s="116" t="n"/>
      <c r="AK58" s="116" t="n"/>
      <c r="AL58" s="116" t="n"/>
      <c r="AM58" s="116" t="n"/>
      <c r="AN58" s="116" t="n"/>
      <c r="AO58" s="116" t="n"/>
      <c r="AP58" s="116" t="n"/>
      <c r="AQ58" s="116" t="n"/>
      <c r="AR58" s="116" t="n"/>
      <c r="AS58" s="116" t="n"/>
      <c r="AT58" s="116" t="n"/>
      <c r="AU58" s="116" t="n"/>
      <c r="AV58" s="116" t="n"/>
      <c r="AW58" s="116" t="n"/>
      <c r="AX58" s="116" t="n"/>
      <c r="AY58" s="116" t="n"/>
      <c r="AZ58" s="116" t="n"/>
      <c r="BA58" s="116" t="n"/>
      <c r="BB58" s="116" t="n"/>
      <c r="BC58" s="116" t="n"/>
      <c r="BD58" s="116" t="n"/>
      <c r="BE58" s="116" t="n"/>
      <c r="BF58" s="116" t="n"/>
      <c r="BG58" s="116" t="n"/>
      <c r="BH58" s="116" t="n"/>
      <c r="BI58" s="116" t="n"/>
      <c r="BJ58" s="116" t="n"/>
      <c r="BK58" s="116" t="n"/>
      <c r="BL58" s="116" t="n"/>
      <c r="BM58" s="116" t="n"/>
      <c r="BN58" s="116" t="n"/>
      <c r="BO58" s="116" t="n"/>
      <c r="BP58" s="116" t="n"/>
      <c r="BQ58" s="116" t="n"/>
      <c r="BR58" s="116" t="n"/>
      <c r="BS58" s="116" t="n"/>
      <c r="BT58" s="116" t="n"/>
      <c r="BU58" s="116" t="n"/>
      <c r="BV58" s="116" t="n"/>
      <c r="BW58" s="116" t="n"/>
      <c r="BX58" s="116" t="n"/>
      <c r="BY58" s="116" t="n"/>
      <c r="BZ58" s="116" t="n"/>
      <c r="CA58" s="116" t="n"/>
      <c r="CB58" s="116" t="n"/>
      <c r="CC58" s="673" t="n"/>
      <c r="CD58" s="673" t="n"/>
      <c r="CE58" s="673" t="n"/>
      <c r="EF58" s="6" t="n"/>
      <c r="EH58" s="57" t="n"/>
      <c r="EI58" s="57" t="n"/>
      <c r="EJ58" s="57" t="n"/>
      <c r="EK58" s="57" t="n"/>
      <c r="EL58" s="57" t="n"/>
      <c r="EM58" s="57" t="n"/>
      <c r="EN58" s="6" t="n"/>
      <c r="EO58" s="6" t="n"/>
      <c r="EP58" s="57" t="n"/>
      <c r="EQ58" s="289" t="n"/>
      <c r="ER58" s="6" t="n"/>
      <c r="ES58" s="6" t="n"/>
      <c r="ET58" s="291" t="n"/>
      <c r="EU58" s="6" t="n"/>
      <c r="EV58" s="291" t="n"/>
      <c r="EW58" s="6" t="n"/>
      <c r="EX58" s="6" t="n"/>
      <c r="EY58" s="6" t="n"/>
      <c r="EZ58" s="6" t="n"/>
      <c r="FA58" s="6" t="n"/>
      <c r="FB58" s="6" t="n"/>
      <c r="FC58" s="6" t="n"/>
      <c r="FD58" s="6" t="n"/>
      <c r="FE58" s="6" t="n"/>
      <c r="FF58" s="6" t="n"/>
      <c r="FG58" s="6" t="n"/>
      <c r="FH58" s="6" t="n"/>
    </row>
    <row r="59" hidden="1" ht="18.75" customHeight="1">
      <c r="A59" s="674" t="inlineStr">
        <is>
          <t>Cuide-se Bem Hidratante Nuvem</t>
        </is>
      </c>
      <c r="B59" s="658" t="n"/>
      <c r="C59" s="658" t="n"/>
      <c r="D59" s="670" t="n"/>
      <c r="F59" s="116" t="n"/>
      <c r="G59" s="116" t="n"/>
      <c r="H59" s="116" t="n"/>
      <c r="I59" s="116" t="n"/>
      <c r="J59" s="116" t="n"/>
      <c r="K59" s="116" t="n"/>
      <c r="L59" s="116" t="n"/>
      <c r="M59" s="116" t="n"/>
      <c r="N59" s="116" t="n"/>
      <c r="O59" s="116" t="n"/>
      <c r="P59" s="116" t="n"/>
      <c r="Q59" s="116" t="n"/>
      <c r="R59" s="116" t="n"/>
      <c r="S59" s="116" t="n"/>
      <c r="T59" s="116" t="n"/>
      <c r="U59" s="116" t="n"/>
      <c r="V59" s="116" t="n"/>
      <c r="W59" s="116" t="n"/>
      <c r="X59" s="116" t="n"/>
      <c r="Y59" s="116" t="n"/>
      <c r="Z59" s="116" t="n"/>
      <c r="AA59" s="116" t="n"/>
      <c r="AB59" s="116" t="n"/>
      <c r="AC59" s="116" t="n"/>
      <c r="AD59" s="116" t="n"/>
      <c r="AE59" s="116" t="n"/>
      <c r="AF59" s="116" t="n"/>
      <c r="AG59" s="116" t="n"/>
      <c r="AH59" s="116" t="n"/>
      <c r="AI59" s="116" t="n"/>
      <c r="AJ59" s="116" t="n"/>
      <c r="AK59" s="116" t="n"/>
      <c r="AL59" s="116" t="n"/>
      <c r="AM59" s="116" t="n"/>
      <c r="AN59" s="116" t="n"/>
      <c r="AO59" s="116" t="n"/>
      <c r="AP59" s="116" t="n"/>
      <c r="AQ59" s="116" t="n"/>
      <c r="AR59" s="116" t="n"/>
      <c r="AS59" s="116" t="n"/>
      <c r="AT59" s="116" t="n"/>
      <c r="AU59" s="116" t="n"/>
      <c r="AV59" s="116" t="n"/>
      <c r="AW59" s="116" t="n"/>
      <c r="AX59" s="116" t="n"/>
      <c r="AY59" s="116" t="n"/>
      <c r="AZ59" s="116" t="n"/>
      <c r="BA59" s="116" t="n"/>
      <c r="BB59" s="116" t="n"/>
      <c r="BC59" s="116" t="n"/>
      <c r="BD59" s="116" t="n"/>
      <c r="BE59" s="116" t="n"/>
      <c r="BF59" s="116" t="n"/>
      <c r="BG59" s="116" t="n"/>
      <c r="BH59" s="116" t="n"/>
      <c r="BI59" s="116" t="n"/>
      <c r="BJ59" s="116" t="n"/>
      <c r="BK59" s="116" t="n"/>
      <c r="BL59" s="116" t="n"/>
      <c r="BM59" s="116" t="n"/>
      <c r="BN59" s="116" t="n"/>
      <c r="BO59" s="116" t="n"/>
      <c r="BP59" s="116" t="n"/>
      <c r="BQ59" s="116" t="n"/>
      <c r="BR59" s="116" t="n"/>
      <c r="BS59" s="116" t="n"/>
      <c r="BT59" s="116" t="n"/>
      <c r="BU59" s="116" t="n"/>
      <c r="BV59" s="116" t="n"/>
      <c r="BW59" s="116" t="n"/>
      <c r="BX59" s="116" t="n"/>
      <c r="BY59" s="116" t="n"/>
      <c r="BZ59" s="116" t="n"/>
      <c r="CA59" s="116" t="n"/>
      <c r="CB59" s="116" t="n"/>
      <c r="CC59" s="673" t="n"/>
      <c r="CD59" s="673" t="n"/>
      <c r="CE59" s="673" t="n"/>
      <c r="CP59" s="57" t="n"/>
      <c r="CR59" s="57" t="n"/>
      <c r="CT59" s="57" t="n"/>
      <c r="CU59" s="57" t="n"/>
      <c r="CW59" s="57" t="n"/>
      <c r="CX59" s="57" t="n"/>
      <c r="CY59" s="57" t="n"/>
      <c r="CZ59" s="57" t="n"/>
      <c r="DA59" s="57" t="n"/>
      <c r="DB59" s="57" t="n"/>
      <c r="DC59" s="57" t="n"/>
      <c r="DD59" s="57" t="n"/>
      <c r="DE59" s="57" t="n"/>
      <c r="DF59" s="57" t="n"/>
      <c r="DG59" s="57" t="n"/>
      <c r="DH59" s="57" t="n"/>
      <c r="DI59" s="57" t="n"/>
      <c r="DK59" s="57" t="n"/>
      <c r="DM59" s="57" t="n"/>
      <c r="DN59" s="57" t="n"/>
      <c r="DO59" s="57" t="n"/>
      <c r="DP59" s="57" t="n"/>
      <c r="DQ59" s="57" t="n"/>
      <c r="DR59" s="57" t="n"/>
      <c r="DS59" s="57" t="n"/>
      <c r="DT59" s="57" t="n"/>
      <c r="DU59" s="57" t="n"/>
      <c r="DV59" s="57" t="n"/>
      <c r="DW59" s="57" t="n"/>
      <c r="DX59" s="6" t="n"/>
      <c r="DY59" s="57" t="n"/>
      <c r="EA59" s="57" t="n"/>
      <c r="EB59" s="57" t="n"/>
      <c r="EC59" s="57" t="n"/>
      <c r="ED59" s="6" t="n"/>
      <c r="EE59" s="57" t="n"/>
      <c r="EF59" s="6" t="n"/>
      <c r="EG59" s="6" t="n"/>
      <c r="EQ59" s="289" t="n"/>
      <c r="ET59" s="289" t="n"/>
      <c r="EV59" s="289" t="n"/>
    </row>
    <row r="60" hidden="1" ht="18.75" customHeight="1">
      <c r="A60" s="674" t="inlineStr">
        <is>
          <t>MALBEC ICON</t>
        </is>
      </c>
      <c r="B60" s="658" t="n"/>
      <c r="C60" s="658" t="n"/>
      <c r="D60" s="670" t="n"/>
      <c r="F60" s="116" t="n">
        <v>47</v>
      </c>
      <c r="G60" s="116" t="n">
        <v>47</v>
      </c>
      <c r="H60" s="116" t="n">
        <v>0</v>
      </c>
      <c r="I60" s="116" t="n">
        <v>0</v>
      </c>
      <c r="J60" s="116" t="n">
        <v>0</v>
      </c>
      <c r="K60" s="116" t="n">
        <v>28</v>
      </c>
      <c r="L60" s="116" t="n">
        <v>28</v>
      </c>
      <c r="M60" s="116" t="n">
        <v>28</v>
      </c>
      <c r="N60" s="116" t="n">
        <v>28</v>
      </c>
      <c r="O60" s="116" t="n">
        <v>28</v>
      </c>
      <c r="P60" s="116" t="n">
        <v>28</v>
      </c>
      <c r="Q60" s="116" t="n">
        <v>18</v>
      </c>
      <c r="R60" s="116" t="n">
        <v>18</v>
      </c>
      <c r="S60" s="116" t="n">
        <v>18</v>
      </c>
      <c r="T60" s="116" t="n">
        <v>13</v>
      </c>
      <c r="U60" s="116" t="n">
        <v>13</v>
      </c>
      <c r="V60" s="116" t="n">
        <v>13</v>
      </c>
      <c r="W60" s="116" t="n">
        <v>13</v>
      </c>
      <c r="X60" s="116" t="n">
        <v>13</v>
      </c>
      <c r="Y60" s="116" t="n">
        <v>13</v>
      </c>
      <c r="Z60" s="116" t="n">
        <v>13</v>
      </c>
      <c r="AA60" s="116" t="n">
        <v>9</v>
      </c>
      <c r="AB60" s="116" t="n">
        <v>9</v>
      </c>
      <c r="AC60" s="116" t="n">
        <v>9</v>
      </c>
      <c r="AD60" s="116" t="n">
        <v>9</v>
      </c>
      <c r="AE60" s="116" t="n">
        <v>9</v>
      </c>
      <c r="AF60" s="116" t="n">
        <v>9</v>
      </c>
      <c r="AG60" s="116" t="n">
        <v>0</v>
      </c>
      <c r="AH60" s="116" t="n">
        <v>0</v>
      </c>
      <c r="AI60" s="116" t="n"/>
      <c r="AJ60" s="116" t="n"/>
      <c r="AK60" s="116" t="n"/>
      <c r="AL60" s="116" t="n"/>
      <c r="AM60" s="116" t="n"/>
      <c r="AN60" s="116" t="n"/>
      <c r="AO60" s="116" t="n"/>
      <c r="AP60" s="116" t="n"/>
      <c r="AQ60" s="116" t="n"/>
      <c r="AR60" s="116" t="n"/>
      <c r="AS60" s="116" t="n"/>
      <c r="AT60" s="116" t="n"/>
      <c r="AU60" s="116" t="n"/>
      <c r="AV60" s="116" t="n"/>
      <c r="AW60" s="116" t="n"/>
      <c r="AX60" s="116" t="n"/>
      <c r="AY60" s="116" t="n"/>
      <c r="AZ60" s="116" t="n"/>
      <c r="BA60" s="116" t="n"/>
      <c r="BB60" s="116" t="n"/>
      <c r="BC60" s="116" t="n"/>
      <c r="BD60" s="116" t="n"/>
      <c r="BE60" s="116" t="n"/>
      <c r="BF60" s="116" t="n"/>
      <c r="BG60" s="116" t="n"/>
      <c r="BH60" s="116" t="n"/>
      <c r="BI60" s="116" t="n"/>
      <c r="BJ60" s="116" t="n"/>
      <c r="BK60" s="116" t="n"/>
      <c r="BL60" s="116" t="n"/>
      <c r="BM60" s="116" t="n"/>
      <c r="BN60" s="116" t="n"/>
      <c r="BO60" s="116" t="n"/>
      <c r="BP60" s="116" t="n"/>
      <c r="BQ60" s="116" t="n"/>
      <c r="BR60" s="116" t="n"/>
      <c r="BS60" s="116" t="n"/>
      <c r="BT60" s="116" t="n"/>
      <c r="BU60" s="116" t="n"/>
      <c r="BV60" s="116" t="n"/>
      <c r="BW60" s="116" t="n"/>
      <c r="BX60" s="116" t="n"/>
      <c r="BY60" s="116" t="n"/>
      <c r="BZ60" s="116" t="n"/>
      <c r="CA60" s="116" t="n"/>
      <c r="CB60" s="116" t="n"/>
      <c r="CC60" s="673" t="n"/>
      <c r="CD60" s="673" t="n"/>
      <c r="CE60" s="673" t="n"/>
      <c r="CP60" s="57" t="n"/>
      <c r="CR60" s="57" t="n"/>
      <c r="CT60" s="57" t="n"/>
      <c r="CU60" s="57" t="n"/>
      <c r="CW60" s="57" t="n"/>
      <c r="CX60" s="57" t="n"/>
      <c r="CY60" s="57" t="n"/>
      <c r="CZ60" s="57" t="n"/>
      <c r="DA60" s="57" t="n"/>
      <c r="DB60" s="57" t="n"/>
      <c r="DC60" s="57" t="n"/>
      <c r="DD60" s="57" t="n"/>
      <c r="DE60" s="57" t="n"/>
      <c r="DF60" s="57" t="n"/>
      <c r="DG60" s="57" t="n"/>
      <c r="DH60" s="57" t="n"/>
      <c r="DI60" s="57" t="n"/>
      <c r="DK60" s="57" t="n"/>
      <c r="DM60" s="57" t="n"/>
      <c r="DN60" s="57" t="n"/>
      <c r="DO60" s="57" t="n"/>
      <c r="DP60" s="57" t="n"/>
      <c r="DQ60" s="57" t="n"/>
      <c r="DR60" s="57" t="n"/>
      <c r="DS60" s="57" t="n"/>
      <c r="DT60" s="57" t="n"/>
      <c r="DU60" s="57" t="n"/>
      <c r="DV60" s="57" t="n"/>
      <c r="DW60" s="57" t="n"/>
      <c r="DX60" s="6" t="n"/>
      <c r="DY60" s="57" t="n"/>
      <c r="DZ60" s="57" t="n"/>
      <c r="EA60" s="57" t="n"/>
      <c r="EB60" s="57" t="n"/>
      <c r="EC60" s="57" t="n"/>
      <c r="ED60" s="6" t="n"/>
      <c r="EE60" s="57" t="n"/>
      <c r="EF60" s="6" t="n"/>
      <c r="EG60" s="6" t="n"/>
      <c r="EQ60" s="289" t="n"/>
      <c r="ET60" s="289" t="n"/>
      <c r="EV60" s="289" t="n"/>
    </row>
    <row r="61">
      <c r="A61" s="674" t="inlineStr">
        <is>
          <t>COFFEE ADDICTIVE</t>
        </is>
      </c>
      <c r="B61" s="658" t="n"/>
      <c r="C61" s="658" t="n"/>
      <c r="D61" s="670" t="n"/>
      <c r="F61" s="116" t="n">
        <v>96</v>
      </c>
      <c r="G61" s="116" t="n">
        <v>96</v>
      </c>
      <c r="H61" s="116" t="n">
        <v>0</v>
      </c>
      <c r="I61" s="116" t="n">
        <v>0</v>
      </c>
      <c r="J61" s="116" t="n">
        <v>0</v>
      </c>
      <c r="K61" s="116" t="n">
        <v>101</v>
      </c>
      <c r="L61" s="116" t="n">
        <v>101</v>
      </c>
      <c r="M61" s="116" t="n">
        <v>101</v>
      </c>
      <c r="N61" s="116" t="n">
        <v>101</v>
      </c>
      <c r="O61" s="116" t="n">
        <v>101</v>
      </c>
      <c r="P61" s="116" t="n">
        <v>101</v>
      </c>
      <c r="Q61" s="116" t="n">
        <v>80</v>
      </c>
      <c r="R61" s="116" t="n">
        <v>80</v>
      </c>
      <c r="S61" s="116" t="n">
        <v>80</v>
      </c>
      <c r="T61" s="116" t="n">
        <v>70</v>
      </c>
      <c r="U61" s="116" t="n">
        <v>70</v>
      </c>
      <c r="V61" s="116" t="n">
        <v>70</v>
      </c>
      <c r="W61" s="116" t="n">
        <v>70</v>
      </c>
      <c r="X61" s="116" t="n">
        <v>70</v>
      </c>
      <c r="Y61" s="116" t="n">
        <v>70</v>
      </c>
      <c r="Z61" s="116" t="n">
        <v>70</v>
      </c>
      <c r="AA61" s="116" t="n">
        <v>56</v>
      </c>
      <c r="AB61" s="116" t="n">
        <v>55</v>
      </c>
      <c r="AC61" s="116" t="n">
        <v>55</v>
      </c>
      <c r="AD61" s="116" t="n">
        <v>40</v>
      </c>
      <c r="AE61" s="116" t="n">
        <v>40</v>
      </c>
      <c r="AF61" s="116" t="n">
        <v>40</v>
      </c>
      <c r="AG61" s="116" t="n">
        <v>40</v>
      </c>
      <c r="AH61" s="116" t="n">
        <v>40</v>
      </c>
      <c r="AI61" s="116" t="n">
        <v>40</v>
      </c>
      <c r="AJ61" s="116" t="n">
        <v>30</v>
      </c>
      <c r="AK61" s="116" t="n">
        <v>30</v>
      </c>
      <c r="AL61" s="116" t="n">
        <v>30</v>
      </c>
      <c r="AM61" s="116" t="n">
        <v>30</v>
      </c>
      <c r="AN61" s="116" t="n">
        <v>30</v>
      </c>
      <c r="AO61" s="116" t="n">
        <v>30</v>
      </c>
      <c r="AP61" s="116" t="n">
        <v>20</v>
      </c>
      <c r="AQ61" s="116" t="n">
        <v>20</v>
      </c>
      <c r="AR61" s="116" t="n">
        <v>20</v>
      </c>
      <c r="AS61" s="116" t="n">
        <v>10</v>
      </c>
      <c r="AT61" s="116" t="n">
        <v>13</v>
      </c>
      <c r="AU61" s="116" t="n">
        <v>13</v>
      </c>
      <c r="AV61" s="116" t="n">
        <v>13</v>
      </c>
      <c r="AW61" s="116" t="n">
        <v>13</v>
      </c>
      <c r="AX61" s="116" t="n">
        <v>13</v>
      </c>
      <c r="AY61" s="116" t="n">
        <v>13</v>
      </c>
      <c r="AZ61" s="116" t="n">
        <v>13</v>
      </c>
      <c r="BA61" s="116" t="n">
        <v>13</v>
      </c>
      <c r="BB61" s="116" t="n">
        <v>13</v>
      </c>
      <c r="BC61" s="116" t="n">
        <v>13</v>
      </c>
      <c r="BD61" s="116" t="n">
        <v>0</v>
      </c>
      <c r="BE61" s="116" t="n">
        <v>0</v>
      </c>
      <c r="BF61" s="116" t="n">
        <v>0</v>
      </c>
      <c r="BG61" s="116" t="n">
        <v>0</v>
      </c>
      <c r="BH61" s="116" t="n">
        <v>0</v>
      </c>
      <c r="BI61" s="116" t="n">
        <v>0</v>
      </c>
      <c r="BJ61" s="116" t="n">
        <v>0</v>
      </c>
      <c r="BK61" s="116" t="n">
        <v>0</v>
      </c>
      <c r="BL61" s="116" t="n">
        <v>0</v>
      </c>
      <c r="BM61" s="116" t="n">
        <v>0</v>
      </c>
      <c r="BN61" s="116" t="n">
        <v>0</v>
      </c>
      <c r="BO61" s="116" t="n">
        <v>0</v>
      </c>
      <c r="BP61" s="116" t="n">
        <v>0</v>
      </c>
      <c r="BQ61" s="116" t="n">
        <v>0</v>
      </c>
      <c r="BR61" s="116" t="n">
        <v>0</v>
      </c>
      <c r="BS61" s="116" t="n">
        <v>0</v>
      </c>
      <c r="BT61" s="116" t="n">
        <v>0</v>
      </c>
      <c r="BU61" s="116" t="n">
        <v>0</v>
      </c>
      <c r="BV61" s="116" t="n">
        <v>0</v>
      </c>
      <c r="BW61" s="116" t="n">
        <v>0</v>
      </c>
      <c r="BX61" s="116" t="n">
        <v>0</v>
      </c>
      <c r="BY61" s="116" t="n">
        <v>0</v>
      </c>
      <c r="BZ61" s="116" t="n"/>
      <c r="CA61" s="116" t="n"/>
      <c r="CB61" s="116" t="n"/>
      <c r="CC61" s="673" t="n"/>
      <c r="CD61" s="673" t="n"/>
      <c r="CE61" s="673" t="n"/>
      <c r="CP61" s="57" t="n"/>
      <c r="CR61" s="57" t="n"/>
      <c r="CT61" s="57" t="n"/>
      <c r="CU61" s="57" t="n"/>
      <c r="CW61" s="57" t="n"/>
      <c r="CX61" s="57" t="n"/>
      <c r="CY61" s="57" t="n"/>
      <c r="CZ61" s="57" t="n"/>
      <c r="DA61" s="57" t="n"/>
      <c r="DB61" s="57" t="n"/>
      <c r="DC61" s="57" t="n"/>
      <c r="DD61" s="57" t="n"/>
      <c r="DE61" s="57" t="n"/>
      <c r="DF61" s="57" t="n"/>
      <c r="DG61" s="57" t="n"/>
      <c r="DH61" s="57" t="n"/>
      <c r="DI61" s="57" t="n"/>
      <c r="DK61" s="57" t="n"/>
      <c r="DM61" s="57" t="n"/>
      <c r="DN61" s="57" t="n"/>
      <c r="DO61" s="57" t="n"/>
      <c r="DP61" s="57" t="n"/>
      <c r="DQ61" s="57" t="n"/>
      <c r="DR61" s="57" t="n"/>
      <c r="DS61" s="57" t="n"/>
      <c r="DT61" s="57" t="n"/>
      <c r="DU61" s="57" t="n"/>
      <c r="DV61" s="57" t="n"/>
      <c r="DW61" s="57" t="n"/>
      <c r="DX61" s="6" t="n"/>
      <c r="DY61" s="57" t="n"/>
      <c r="DZ61" s="57" t="n"/>
      <c r="EA61" s="57" t="n"/>
      <c r="EB61" s="57" t="n"/>
      <c r="EC61" s="57" t="n"/>
      <c r="ED61" s="6" t="n"/>
      <c r="EE61" s="57" t="n"/>
      <c r="EG61" s="6" t="n"/>
      <c r="EN61" s="57" t="n"/>
      <c r="EO61" s="57" t="n"/>
      <c r="ER61" s="57" t="n"/>
      <c r="ES61" s="57" t="n"/>
      <c r="ET61" s="289" t="n"/>
      <c r="EU61" s="57" t="n"/>
      <c r="EV61" s="289" t="n"/>
      <c r="EW61" s="57" t="n"/>
      <c r="EX61" s="57" t="n"/>
      <c r="EY61" s="57" t="n"/>
      <c r="EZ61" s="57" t="n"/>
      <c r="FA61" s="57" t="n"/>
      <c r="FB61" s="57" t="n"/>
      <c r="FC61" s="57" t="n"/>
      <c r="FD61" s="57" t="n"/>
      <c r="FE61" s="57" t="n"/>
      <c r="FF61" s="57" t="n"/>
      <c r="FG61" s="57" t="n"/>
      <c r="FH61" s="57" t="n"/>
    </row>
    <row r="62" hidden="1" ht="18.75" customHeight="1">
      <c r="A62" s="674" t="inlineStr">
        <is>
          <t>HER CODE TOUCH</t>
        </is>
      </c>
      <c r="B62" s="658" t="n"/>
      <c r="C62" s="658" t="n"/>
      <c r="D62" s="670" t="n"/>
      <c r="F62" s="116" t="n">
        <v>60</v>
      </c>
      <c r="G62" s="116" t="n">
        <v>60</v>
      </c>
      <c r="H62" s="116" t="n">
        <v>0</v>
      </c>
      <c r="I62" s="116" t="n">
        <v>0</v>
      </c>
      <c r="J62" s="116" t="n">
        <v>0</v>
      </c>
      <c r="K62" s="116" t="n">
        <v>44</v>
      </c>
      <c r="L62" s="116" t="n">
        <v>44</v>
      </c>
      <c r="M62" s="116" t="n">
        <v>44</v>
      </c>
      <c r="N62" s="116" t="n">
        <v>44</v>
      </c>
      <c r="O62" s="116" t="n">
        <v>44</v>
      </c>
      <c r="P62" s="116" t="n">
        <v>44</v>
      </c>
      <c r="Q62" s="116" t="n">
        <v>34</v>
      </c>
      <c r="R62" s="116" t="n">
        <v>34</v>
      </c>
      <c r="S62" s="116" t="n">
        <v>34</v>
      </c>
      <c r="T62" s="116" t="n">
        <v>15</v>
      </c>
      <c r="U62" s="116" t="n">
        <v>15</v>
      </c>
      <c r="V62" s="116" t="n">
        <v>15</v>
      </c>
      <c r="W62" s="116" t="n">
        <v>15</v>
      </c>
      <c r="X62" s="116" t="n">
        <v>15</v>
      </c>
      <c r="Y62" s="116" t="n">
        <v>15</v>
      </c>
      <c r="Z62" s="116" t="n">
        <v>15</v>
      </c>
      <c r="AA62" s="116" t="n">
        <v>0</v>
      </c>
      <c r="AB62" s="116" t="n">
        <v>0</v>
      </c>
      <c r="AC62" s="116" t="n">
        <v>0</v>
      </c>
      <c r="AD62" s="116" t="n">
        <v>0</v>
      </c>
      <c r="AE62" s="116" t="n">
        <v>0</v>
      </c>
      <c r="AF62" s="116" t="n">
        <v>0</v>
      </c>
      <c r="AG62" s="116" t="n">
        <v>0</v>
      </c>
      <c r="AH62" s="116" t="n">
        <v>0</v>
      </c>
      <c r="AI62" s="116" t="n"/>
      <c r="AJ62" s="116" t="n"/>
      <c r="AK62" s="116" t="n"/>
      <c r="AL62" s="116" t="n"/>
      <c r="AM62" s="116" t="n"/>
      <c r="AN62" s="116" t="n"/>
      <c r="AO62" s="116" t="n"/>
      <c r="AP62" s="116" t="n"/>
      <c r="AQ62" s="116" t="n"/>
      <c r="AR62" s="116" t="n"/>
      <c r="AS62" s="116" t="n"/>
      <c r="AT62" s="116" t="n"/>
      <c r="AU62" s="116" t="n"/>
      <c r="AV62" s="116" t="n"/>
      <c r="AW62" s="116" t="n"/>
      <c r="AX62" s="116" t="n"/>
      <c r="AY62" s="116" t="n"/>
      <c r="AZ62" s="116" t="n"/>
      <c r="BA62" s="116" t="n"/>
      <c r="BB62" s="116" t="n"/>
      <c r="BC62" s="116" t="n"/>
      <c r="BD62" s="116" t="n"/>
      <c r="BE62" s="116" t="n"/>
      <c r="BF62" s="116" t="n"/>
      <c r="BG62" s="116" t="n"/>
      <c r="BH62" s="116" t="n"/>
      <c r="BI62" s="116" t="n"/>
      <c r="BJ62" s="116" t="n"/>
      <c r="BK62" s="116" t="n"/>
      <c r="BL62" s="116" t="n"/>
      <c r="BM62" s="116" t="n"/>
      <c r="BN62" s="116" t="n"/>
      <c r="BO62" s="116" t="n"/>
      <c r="BP62" s="116" t="n"/>
      <c r="BQ62" s="116" t="n"/>
      <c r="BR62" s="116" t="n"/>
      <c r="BS62" s="116" t="n"/>
      <c r="BT62" s="116" t="n"/>
      <c r="BU62" s="116" t="n"/>
      <c r="BV62" s="116" t="n"/>
      <c r="BW62" s="116" t="n"/>
      <c r="BX62" s="116" t="n"/>
      <c r="BY62" s="116" t="n"/>
      <c r="BZ62" s="116" t="n"/>
      <c r="CA62" s="116" t="n"/>
      <c r="CB62" s="116" t="n"/>
      <c r="CC62" s="673" t="n"/>
      <c r="CD62" s="673" t="n"/>
      <c r="CE62" s="673" t="n"/>
      <c r="DZ62" s="57" t="n"/>
      <c r="EN62" s="57" t="n"/>
      <c r="EO62" s="57" t="n"/>
      <c r="ER62" s="57" t="n"/>
      <c r="ES62" s="57" t="n"/>
      <c r="EU62" s="57" t="n"/>
      <c r="EW62" s="57" t="n"/>
      <c r="EX62" s="57" t="n"/>
      <c r="EY62" s="57" t="n"/>
      <c r="EZ62" s="57" t="n"/>
      <c r="FA62" s="57" t="n"/>
      <c r="FB62" s="57" t="n"/>
      <c r="FC62" s="57" t="n"/>
      <c r="FD62" s="57" t="n"/>
      <c r="FE62" s="57" t="n"/>
      <c r="FF62" s="57" t="n"/>
      <c r="FG62" s="57" t="n"/>
      <c r="FH62" s="57" t="n"/>
    </row>
    <row r="63" hidden="1" ht="18.75" customHeight="1">
      <c r="A63" s="674" t="inlineStr">
        <is>
          <t>CBEM HIDR. DOCURA NA PESSEGURA</t>
        </is>
      </c>
      <c r="B63" s="658" t="n"/>
      <c r="C63" s="658" t="n"/>
      <c r="D63" s="670" t="n"/>
      <c r="F63" s="116" t="n"/>
      <c r="G63" s="116" t="n"/>
      <c r="H63" s="116" t="n"/>
      <c r="I63" s="116" t="n"/>
      <c r="J63" s="116" t="n">
        <v>0</v>
      </c>
      <c r="K63" s="116" t="n">
        <v>195</v>
      </c>
      <c r="L63" s="116" t="n">
        <v>195</v>
      </c>
      <c r="M63" s="116" t="n">
        <v>150</v>
      </c>
      <c r="N63" s="116" t="n">
        <v>150</v>
      </c>
      <c r="O63" s="116" t="n">
        <v>150</v>
      </c>
      <c r="P63" s="116" t="n">
        <v>150</v>
      </c>
      <c r="Q63" s="116" t="n">
        <v>100</v>
      </c>
      <c r="R63" s="116" t="n">
        <v>100</v>
      </c>
      <c r="S63" s="116" t="n">
        <v>100</v>
      </c>
      <c r="T63" s="116" t="n">
        <v>107</v>
      </c>
      <c r="U63" s="116" t="n">
        <v>107</v>
      </c>
      <c r="V63" s="116" t="n">
        <v>107</v>
      </c>
      <c r="W63" s="116" t="n">
        <v>107</v>
      </c>
      <c r="X63" s="116" t="n">
        <v>107</v>
      </c>
      <c r="Y63" s="116" t="n">
        <v>107</v>
      </c>
      <c r="Z63" s="116" t="n">
        <v>107</v>
      </c>
      <c r="AA63" s="116" t="n">
        <v>0</v>
      </c>
      <c r="AB63" s="116" t="n">
        <v>0</v>
      </c>
      <c r="AC63" s="116" t="n">
        <v>0</v>
      </c>
      <c r="AD63" s="116" t="n">
        <v>0</v>
      </c>
      <c r="AE63" s="116" t="n">
        <v>0</v>
      </c>
      <c r="AF63" s="116" t="n">
        <v>0</v>
      </c>
      <c r="AG63" s="116" t="n">
        <v>0</v>
      </c>
      <c r="AH63" s="116" t="n">
        <v>0</v>
      </c>
      <c r="AI63" s="116" t="n"/>
      <c r="AJ63" s="116" t="n"/>
      <c r="AK63" s="116" t="n"/>
      <c r="AL63" s="116" t="n"/>
      <c r="AM63" s="116" t="n"/>
      <c r="AN63" s="116" t="n"/>
      <c r="AO63" s="116" t="n"/>
      <c r="AP63" s="116" t="n"/>
      <c r="AQ63" s="116" t="n"/>
      <c r="AR63" s="116" t="n"/>
      <c r="AS63" s="116" t="n"/>
      <c r="AT63" s="116" t="n"/>
      <c r="AU63" s="116" t="n"/>
      <c r="AV63" s="116" t="n"/>
      <c r="AW63" s="116" t="n"/>
      <c r="AX63" s="116" t="n"/>
      <c r="AY63" s="116" t="n"/>
      <c r="AZ63" s="116" t="n"/>
      <c r="BA63" s="116" t="n"/>
      <c r="BB63" s="116" t="n"/>
      <c r="BC63" s="116" t="n"/>
      <c r="BD63" s="116" t="n"/>
      <c r="BE63" s="116" t="n"/>
      <c r="BF63" s="116" t="n"/>
      <c r="BG63" s="116" t="n"/>
      <c r="BH63" s="116" t="n"/>
      <c r="BI63" s="116" t="n"/>
      <c r="BJ63" s="116" t="n"/>
      <c r="BK63" s="116" t="n"/>
      <c r="BL63" s="116" t="n"/>
      <c r="BM63" s="116" t="n"/>
      <c r="BN63" s="116" t="n"/>
      <c r="BO63" s="116" t="n"/>
      <c r="BP63" s="116" t="n"/>
      <c r="BQ63" s="116" t="n"/>
      <c r="BR63" s="116" t="n"/>
      <c r="BS63" s="116" t="n"/>
      <c r="BT63" s="116" t="n"/>
      <c r="BU63" s="116" t="n"/>
      <c r="BV63" s="116" t="n"/>
      <c r="BW63" s="116" t="n"/>
      <c r="BX63" s="116" t="n"/>
      <c r="BY63" s="116" t="n"/>
      <c r="BZ63" s="116" t="n"/>
      <c r="CA63" s="116" t="n"/>
      <c r="CB63" s="116" t="n"/>
      <c r="CC63" s="673" t="n"/>
      <c r="CD63" s="673" t="n"/>
      <c r="CE63" s="673" t="n"/>
      <c r="EN63" s="57" t="n"/>
      <c r="EO63" s="57" t="n"/>
      <c r="ER63" s="57" t="n"/>
      <c r="ES63" s="57" t="n"/>
      <c r="EU63" s="57" t="n"/>
      <c r="EW63" s="57" t="n"/>
      <c r="EX63" s="57" t="n"/>
      <c r="EY63" s="57" t="n"/>
      <c r="EZ63" s="57" t="n"/>
      <c r="FA63" s="57" t="n"/>
      <c r="FB63" s="57" t="n"/>
      <c r="FC63" s="57" t="n"/>
      <c r="FD63" s="57" t="n"/>
      <c r="FE63" s="57" t="n"/>
      <c r="FF63" s="57" t="n"/>
      <c r="FG63" s="57" t="n"/>
      <c r="FH63" s="57" t="n"/>
    </row>
    <row r="64" hidden="1" ht="18.75" customHeight="1">
      <c r="A64" s="674" t="inlineStr">
        <is>
          <t>LILY BLANCHE</t>
        </is>
      </c>
      <c r="B64" s="658" t="n"/>
      <c r="C64" s="658" t="n"/>
      <c r="D64" s="670" t="n"/>
      <c r="L64" s="116" t="n">
        <v>0</v>
      </c>
      <c r="M64" s="116" t="n">
        <v>96</v>
      </c>
      <c r="N64" s="116" t="n">
        <v>96</v>
      </c>
      <c r="O64" s="116" t="n">
        <v>96</v>
      </c>
      <c r="P64" s="116" t="n">
        <v>96</v>
      </c>
      <c r="Q64" s="116" t="n">
        <v>76</v>
      </c>
      <c r="R64" s="116" t="n">
        <v>76</v>
      </c>
      <c r="S64" s="116" t="n">
        <v>76</v>
      </c>
      <c r="T64" s="116" t="n">
        <v>35</v>
      </c>
      <c r="U64" s="116" t="n">
        <v>35</v>
      </c>
      <c r="V64" s="116" t="n">
        <v>35</v>
      </c>
      <c r="W64" s="116" t="n">
        <v>35</v>
      </c>
      <c r="X64" s="116" t="n">
        <v>35</v>
      </c>
      <c r="Y64" s="116" t="n">
        <v>35</v>
      </c>
      <c r="Z64" s="116" t="n">
        <v>35</v>
      </c>
      <c r="AA64" s="116" t="n">
        <v>0</v>
      </c>
      <c r="AB64" s="116" t="n">
        <v>0</v>
      </c>
      <c r="AC64" s="116" t="n">
        <v>0</v>
      </c>
      <c r="AD64" s="116" t="n">
        <v>0</v>
      </c>
      <c r="AE64" s="116" t="n">
        <v>0</v>
      </c>
      <c r="AF64" s="116" t="n">
        <v>0</v>
      </c>
      <c r="AG64" s="116" t="n">
        <v>0</v>
      </c>
      <c r="AH64" s="116" t="n">
        <v>0</v>
      </c>
      <c r="AI64" s="116" t="n"/>
      <c r="AJ64" s="116" t="n"/>
      <c r="AK64" s="116" t="n"/>
      <c r="AL64" s="116" t="n"/>
      <c r="AM64" s="116" t="n"/>
      <c r="AN64" s="116" t="n"/>
      <c r="AO64" s="116" t="n"/>
      <c r="AP64" s="116" t="n"/>
      <c r="AQ64" s="116" t="n"/>
      <c r="AR64" s="116" t="n"/>
      <c r="AS64" s="116" t="n"/>
      <c r="AT64" s="116" t="n"/>
      <c r="AU64" s="116" t="n"/>
      <c r="AV64" s="116" t="n"/>
      <c r="AW64" s="116" t="n"/>
      <c r="AX64" s="116" t="n"/>
      <c r="AY64" s="116" t="n"/>
      <c r="AZ64" s="116" t="n"/>
      <c r="BA64" s="116" t="n"/>
      <c r="BB64" s="116" t="n"/>
      <c r="BC64" s="116" t="n"/>
      <c r="BD64" s="116" t="n"/>
      <c r="BE64" s="116" t="n"/>
      <c r="BF64" s="116" t="n"/>
      <c r="BG64" s="116" t="n"/>
      <c r="BH64" s="116" t="n"/>
      <c r="BI64" s="116" t="n"/>
      <c r="BJ64" s="116" t="n"/>
      <c r="BK64" s="116" t="n"/>
      <c r="BL64" s="116" t="n"/>
      <c r="BM64" s="116" t="n"/>
      <c r="BN64" s="116" t="n"/>
      <c r="BO64" s="116" t="n"/>
      <c r="BP64" s="116" t="n"/>
      <c r="BQ64" s="116" t="n"/>
      <c r="BR64" s="116" t="n"/>
      <c r="BS64" s="116" t="n"/>
      <c r="BT64" s="116" t="n"/>
      <c r="BU64" s="116" t="n"/>
      <c r="BV64" s="116" t="n"/>
      <c r="BW64" s="116" t="n"/>
      <c r="BX64" s="116" t="n"/>
      <c r="BY64" s="116" t="n"/>
      <c r="BZ64" s="116" t="n"/>
      <c r="CA64" s="116" t="n"/>
      <c r="CB64" s="116" t="n"/>
      <c r="CC64" s="673" t="n"/>
      <c r="CD64" s="673" t="n"/>
      <c r="CE64" s="673" t="n"/>
    </row>
    <row r="65" hidden="1" ht="18.75" customHeight="1">
      <c r="A65" s="674" t="inlineStr">
        <is>
          <t>MEN NBA</t>
        </is>
      </c>
      <c r="B65" s="658" t="n"/>
      <c r="C65" s="658" t="n"/>
      <c r="D65" s="670" t="n"/>
      <c r="O65" s="116" t="n">
        <v>0</v>
      </c>
      <c r="P65" s="116" t="n">
        <v>49</v>
      </c>
      <c r="Q65" s="116" t="n">
        <v>49</v>
      </c>
      <c r="R65" s="116" t="n">
        <v>49</v>
      </c>
      <c r="S65" s="116" t="n">
        <v>49</v>
      </c>
      <c r="T65" s="116" t="n">
        <v>40</v>
      </c>
      <c r="U65" s="116" t="n">
        <v>40</v>
      </c>
      <c r="V65" s="116" t="n">
        <v>40</v>
      </c>
      <c r="W65" s="116" t="n">
        <v>40</v>
      </c>
      <c r="X65" s="116" t="n">
        <v>40</v>
      </c>
      <c r="Y65" s="116" t="n">
        <v>40</v>
      </c>
      <c r="Z65" s="116" t="n">
        <v>40</v>
      </c>
      <c r="AA65" s="116" t="n">
        <v>15</v>
      </c>
      <c r="AB65" s="116" t="n">
        <v>9</v>
      </c>
      <c r="AC65" s="116" t="n">
        <v>9</v>
      </c>
      <c r="AD65" s="116" t="n">
        <v>5</v>
      </c>
      <c r="AE65" s="116" t="n">
        <v>5</v>
      </c>
      <c r="AF65" s="116" t="n">
        <v>5</v>
      </c>
      <c r="AG65" s="116" t="n">
        <v>0</v>
      </c>
      <c r="AH65" s="116" t="n">
        <v>0</v>
      </c>
      <c r="AI65" s="116" t="n"/>
      <c r="AJ65" s="116" t="n"/>
      <c r="AK65" s="116" t="n"/>
      <c r="AL65" s="116" t="n"/>
      <c r="AM65" s="116" t="n"/>
      <c r="AN65" s="116" t="n"/>
      <c r="AO65" s="116" t="n"/>
      <c r="AP65" s="116" t="n"/>
      <c r="AQ65" s="116" t="n"/>
      <c r="AR65" s="116" t="n"/>
      <c r="AS65" s="116" t="n"/>
      <c r="AT65" s="116" t="n"/>
      <c r="AU65" s="116" t="n"/>
      <c r="AV65" s="116" t="n"/>
      <c r="AW65" s="116" t="n"/>
      <c r="AX65" s="116" t="n"/>
      <c r="AY65" s="116" t="n"/>
      <c r="AZ65" s="116" t="n"/>
      <c r="BA65" s="116" t="n"/>
      <c r="BB65" s="116" t="n"/>
      <c r="BC65" s="116" t="n"/>
      <c r="BD65" s="116" t="n"/>
      <c r="BE65" s="116" t="n"/>
      <c r="BF65" s="116" t="n"/>
      <c r="BG65" s="116" t="n"/>
      <c r="BH65" s="116" t="n"/>
      <c r="BI65" s="116" t="n"/>
      <c r="BJ65" s="116" t="n"/>
      <c r="BK65" s="116" t="n"/>
      <c r="BL65" s="116" t="n"/>
      <c r="BM65" s="116" t="n"/>
      <c r="BN65" s="116" t="n"/>
      <c r="BO65" s="116" t="n"/>
      <c r="BP65" s="116" t="n"/>
      <c r="BQ65" s="116" t="n"/>
      <c r="BR65" s="116" t="n"/>
      <c r="BS65" s="116" t="n"/>
      <c r="BT65" s="116" t="n"/>
      <c r="BU65" s="116" t="n"/>
      <c r="BV65" s="116" t="n"/>
      <c r="BW65" s="116" t="n"/>
      <c r="BX65" s="116" t="n"/>
      <c r="BY65" s="116" t="n"/>
      <c r="BZ65" s="116" t="n"/>
      <c r="CA65" s="116" t="n"/>
      <c r="CB65" s="116" t="n"/>
      <c r="CC65" s="673" t="n"/>
      <c r="CD65" s="673" t="n"/>
      <c r="CE65" s="673" t="n"/>
    </row>
    <row r="66">
      <c r="A66" s="674" t="inlineStr">
        <is>
          <t>ARBO ATLANTICA</t>
        </is>
      </c>
      <c r="B66" s="658" t="n"/>
      <c r="C66" s="658" t="n"/>
      <c r="D66" s="670" t="n"/>
      <c r="S66" s="116" t="n">
        <v>0</v>
      </c>
      <c r="T66" s="116" t="n">
        <v>115</v>
      </c>
      <c r="U66" s="116" t="n">
        <v>115</v>
      </c>
      <c r="V66" s="116" t="n">
        <v>115</v>
      </c>
      <c r="W66" s="116" t="n">
        <v>115</v>
      </c>
      <c r="X66" s="116" t="n">
        <v>115</v>
      </c>
      <c r="Y66" s="116" t="n">
        <v>115</v>
      </c>
      <c r="Z66" s="116" t="n">
        <v>115</v>
      </c>
      <c r="AA66" s="116" t="n">
        <v>77</v>
      </c>
      <c r="AB66" s="116" t="n">
        <v>67</v>
      </c>
      <c r="AC66" s="116" t="n">
        <v>67</v>
      </c>
      <c r="AD66" s="116" t="n">
        <v>19</v>
      </c>
      <c r="AE66" s="116" t="n">
        <v>19</v>
      </c>
      <c r="AF66" s="116" t="n">
        <v>19</v>
      </c>
      <c r="AG66" s="116" t="n">
        <v>35</v>
      </c>
      <c r="AH66" s="116" t="n">
        <v>35</v>
      </c>
      <c r="AI66" s="116" t="n">
        <v>30</v>
      </c>
      <c r="AJ66" s="116" t="n">
        <v>20</v>
      </c>
      <c r="AK66" s="116" t="n">
        <v>20</v>
      </c>
      <c r="AL66" s="116" t="n">
        <v>20</v>
      </c>
      <c r="AM66" s="116" t="n">
        <v>20</v>
      </c>
      <c r="AN66" s="116" t="n">
        <v>20</v>
      </c>
      <c r="AO66" s="116" t="n">
        <v>20</v>
      </c>
      <c r="AP66" s="116" t="n">
        <v>15</v>
      </c>
      <c r="AQ66" s="116" t="n">
        <v>15</v>
      </c>
      <c r="AR66" s="116" t="n">
        <v>15</v>
      </c>
      <c r="AS66" s="116" t="n">
        <v>10</v>
      </c>
      <c r="AT66" s="116" t="n">
        <v>15</v>
      </c>
      <c r="AU66" s="116" t="n">
        <v>15</v>
      </c>
      <c r="AV66" s="116" t="n">
        <v>15</v>
      </c>
      <c r="AW66" s="116" t="n">
        <v>15</v>
      </c>
      <c r="AX66" s="116" t="n">
        <v>15</v>
      </c>
      <c r="AY66" s="116" t="n">
        <v>15</v>
      </c>
      <c r="AZ66" s="116" t="n">
        <v>15</v>
      </c>
      <c r="BA66" s="116" t="n">
        <v>15</v>
      </c>
      <c r="BB66" s="116" t="n">
        <v>15</v>
      </c>
      <c r="BC66" s="116" t="n">
        <v>15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  <c r="CB66" s="116" t="n"/>
      <c r="CC66" s="673" t="n"/>
      <c r="CD66" s="673" t="n"/>
      <c r="CE66" s="673" t="n"/>
    </row>
    <row r="67">
      <c r="A67" s="674" t="inlineStr">
        <is>
          <t>QUASAR DEEP BLUE</t>
        </is>
      </c>
      <c r="B67" s="658" t="n"/>
      <c r="C67" s="658" t="n"/>
      <c r="D67" s="670" t="n"/>
      <c r="S67" s="116" t="n">
        <v>0</v>
      </c>
      <c r="T67" s="116" t="n">
        <v>125</v>
      </c>
      <c r="U67" s="116" t="n">
        <v>125</v>
      </c>
      <c r="V67" s="116" t="n">
        <v>125</v>
      </c>
      <c r="W67" s="116" t="n">
        <v>125</v>
      </c>
      <c r="X67" s="116" t="n">
        <v>125</v>
      </c>
      <c r="Y67" s="116" t="n">
        <v>125</v>
      </c>
      <c r="Z67" s="116" t="n">
        <v>125</v>
      </c>
      <c r="AA67" s="116" t="n">
        <v>91</v>
      </c>
      <c r="AB67" s="116" t="n">
        <v>91</v>
      </c>
      <c r="AC67" s="116" t="n">
        <v>91</v>
      </c>
      <c r="AD67" s="116" t="n">
        <v>60</v>
      </c>
      <c r="AE67" s="116" t="n">
        <v>60</v>
      </c>
      <c r="AF67" s="116" t="n">
        <v>60</v>
      </c>
      <c r="AG67" s="116" t="n">
        <v>68</v>
      </c>
      <c r="AH67" s="116" t="n">
        <v>68</v>
      </c>
      <c r="AI67" s="116" t="n">
        <v>58</v>
      </c>
      <c r="AJ67" s="116" t="n">
        <v>48</v>
      </c>
      <c r="AK67" s="116" t="n">
        <v>48</v>
      </c>
      <c r="AL67" s="116" t="n">
        <v>48</v>
      </c>
      <c r="AM67" s="116" t="n">
        <v>48</v>
      </c>
      <c r="AN67" s="116" t="n">
        <v>48</v>
      </c>
      <c r="AO67" s="116" t="n">
        <v>48</v>
      </c>
      <c r="AP67" s="116" t="n">
        <v>40</v>
      </c>
      <c r="AQ67" s="116" t="n">
        <v>40</v>
      </c>
      <c r="AR67" s="116" t="n">
        <v>40</v>
      </c>
      <c r="AS67" s="116" t="n">
        <v>30</v>
      </c>
      <c r="AT67" s="116" t="n">
        <v>33</v>
      </c>
      <c r="AU67" s="116" t="n">
        <v>33</v>
      </c>
      <c r="AV67" s="116" t="n">
        <v>33</v>
      </c>
      <c r="AW67" s="116" t="n">
        <v>33</v>
      </c>
      <c r="AX67" s="116" t="n">
        <v>33</v>
      </c>
      <c r="AY67" s="116" t="n">
        <v>33</v>
      </c>
      <c r="AZ67" s="116" t="n">
        <v>33</v>
      </c>
      <c r="BA67" s="116" t="n">
        <v>33</v>
      </c>
      <c r="BB67" s="116" t="n">
        <v>33</v>
      </c>
      <c r="BC67" s="116" t="n">
        <v>33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  <c r="CB67" s="116" t="n"/>
      <c r="CC67" s="673" t="n"/>
      <c r="CD67" s="673" t="n"/>
      <c r="CE67" s="673" t="n"/>
    </row>
    <row r="68" hidden="1" ht="18.75" customHeight="1">
      <c r="A68" s="674" t="inlineStr">
        <is>
          <t>SEVILLA DORADA</t>
        </is>
      </c>
      <c r="B68" s="658" t="n"/>
      <c r="C68" s="658" t="n"/>
      <c r="D68" s="670" t="n"/>
      <c r="S68" s="116" t="n"/>
      <c r="T68" s="116" t="n"/>
      <c r="U68" s="116" t="n"/>
      <c r="V68" s="116" t="n"/>
      <c r="W68" s="116" t="n"/>
      <c r="X68" s="116" t="n"/>
      <c r="Y68" s="116" t="n"/>
      <c r="Z68" s="116" t="n">
        <v>0</v>
      </c>
      <c r="AA68" s="116" t="n">
        <v>8</v>
      </c>
      <c r="AB68" s="116" t="n">
        <v>0</v>
      </c>
      <c r="AC68" s="116" t="n">
        <v>0</v>
      </c>
      <c r="AD68" s="116" t="n">
        <v>0</v>
      </c>
      <c r="AE68" s="116" t="n">
        <v>0</v>
      </c>
      <c r="AF68" s="116" t="n">
        <v>0</v>
      </c>
      <c r="AG68" s="116" t="n">
        <v>0</v>
      </c>
      <c r="AH68" s="116" t="n">
        <v>0</v>
      </c>
      <c r="AI68" s="116" t="n"/>
      <c r="AJ68" s="116" t="n"/>
      <c r="AK68" s="116" t="n"/>
      <c r="AL68" s="116" t="n"/>
      <c r="AM68" s="116" t="n"/>
      <c r="AN68" s="116" t="n"/>
      <c r="AO68" s="116" t="n"/>
      <c r="AP68" s="116" t="n"/>
      <c r="AQ68" s="116" t="n"/>
      <c r="AR68" s="116" t="n"/>
      <c r="AS68" s="116" t="n"/>
      <c r="AT68" s="116" t="n"/>
      <c r="AU68" s="116" t="n"/>
      <c r="AV68" s="116" t="n"/>
      <c r="AW68" s="116" t="n"/>
      <c r="AX68" s="116" t="n"/>
      <c r="AY68" s="116" t="n"/>
      <c r="AZ68" s="116" t="n"/>
      <c r="BA68" s="116" t="n"/>
      <c r="BB68" s="116" t="n"/>
      <c r="BC68" s="116" t="n"/>
      <c r="BD68" s="116" t="n"/>
      <c r="BE68" s="116" t="n"/>
      <c r="BF68" s="116" t="n"/>
      <c r="BG68" s="116" t="n"/>
      <c r="BH68" s="116" t="n"/>
      <c r="BI68" s="116" t="n"/>
      <c r="BJ68" s="116" t="n"/>
      <c r="BK68" s="116" t="n"/>
      <c r="BL68" s="116" t="n"/>
      <c r="BM68" s="116" t="n"/>
      <c r="BN68" s="116" t="n"/>
      <c r="BO68" s="116" t="n"/>
      <c r="BP68" s="116" t="n"/>
      <c r="BQ68" s="116" t="n"/>
      <c r="BR68" s="116" t="n"/>
      <c r="BS68" s="116" t="n"/>
      <c r="BT68" s="116" t="n"/>
      <c r="BU68" s="116" t="n"/>
      <c r="BV68" s="116" t="n"/>
      <c r="BW68" s="116" t="n"/>
      <c r="BX68" s="116" t="n"/>
      <c r="BY68" s="116" t="n"/>
      <c r="BZ68" s="116" t="n"/>
      <c r="CA68" s="116" t="n"/>
      <c r="CB68" s="116" t="n"/>
      <c r="CC68" s="673" t="n"/>
      <c r="CD68" s="673" t="n"/>
      <c r="CE68" s="673" t="n"/>
    </row>
    <row r="69" hidden="1" ht="18.75" customHeight="1">
      <c r="A69" s="674" t="inlineStr">
        <is>
          <t>57745 boti sun5,0</t>
        </is>
      </c>
      <c r="B69" s="658" t="n"/>
      <c r="C69" s="658" t="n"/>
      <c r="D69" s="670" t="n"/>
      <c r="Z69" s="358" t="n">
        <v>0</v>
      </c>
      <c r="AA69" s="116" t="n">
        <v>0</v>
      </c>
      <c r="AB69" s="116" t="n">
        <v>17</v>
      </c>
      <c r="AC69" s="116" t="n">
        <v>17</v>
      </c>
      <c r="AD69" s="116" t="n">
        <v>17</v>
      </c>
      <c r="AE69" s="116" t="n">
        <v>17</v>
      </c>
      <c r="AF69" s="116" t="n">
        <v>17</v>
      </c>
      <c r="AG69" s="116" t="n">
        <v>0</v>
      </c>
      <c r="AH69" s="116" t="n">
        <v>0</v>
      </c>
      <c r="AI69" s="116" t="n"/>
      <c r="AJ69" s="116" t="n"/>
      <c r="AK69" s="116" t="n"/>
      <c r="AL69" s="116" t="n"/>
      <c r="AM69" s="116" t="n"/>
      <c r="AN69" s="116" t="n"/>
      <c r="AO69" s="116" t="n"/>
      <c r="AP69" s="116" t="n"/>
      <c r="AQ69" s="116" t="n"/>
      <c r="AR69" s="116" t="n"/>
      <c r="AS69" s="116" t="n"/>
      <c r="AT69" s="116" t="n"/>
      <c r="AU69" s="116" t="n"/>
      <c r="AV69" s="116" t="n"/>
      <c r="AW69" s="116" t="n"/>
      <c r="AX69" s="116" t="n"/>
      <c r="AY69" s="116" t="n"/>
      <c r="AZ69" s="116" t="n"/>
      <c r="BA69" s="116" t="n"/>
      <c r="BB69" s="116" t="n"/>
      <c r="BC69" s="116" t="n"/>
      <c r="BD69" s="116" t="n"/>
      <c r="BE69" s="116" t="n"/>
      <c r="BF69" s="116" t="n"/>
      <c r="BG69" s="116" t="n"/>
      <c r="BH69" s="116" t="n"/>
      <c r="BI69" s="116" t="n"/>
      <c r="BJ69" s="116" t="n"/>
      <c r="BK69" s="116" t="n"/>
      <c r="BL69" s="116" t="n"/>
      <c r="BM69" s="116" t="n"/>
      <c r="BN69" s="116" t="n"/>
      <c r="BO69" s="116" t="n"/>
      <c r="BP69" s="116" t="n"/>
      <c r="BQ69" s="116" t="n"/>
      <c r="BR69" s="116" t="n"/>
      <c r="BS69" s="116" t="n"/>
      <c r="BT69" s="116" t="n"/>
      <c r="BU69" s="116" t="n"/>
      <c r="BV69" s="116" t="n"/>
      <c r="BW69" s="116" t="n"/>
      <c r="BX69" s="116" t="n"/>
      <c r="BY69" s="116" t="n"/>
      <c r="BZ69" s="116" t="n"/>
      <c r="CA69" s="116" t="n"/>
      <c r="CB69" s="116" t="n"/>
      <c r="CC69" s="673" t="n"/>
      <c r="CD69" s="673" t="n"/>
      <c r="CE69" s="673" t="n"/>
    </row>
    <row r="70">
      <c r="A70" s="674" t="inlineStr">
        <is>
          <t>57743 boti sun 1,0</t>
        </is>
      </c>
      <c r="B70" s="658" t="n"/>
      <c r="C70" s="658" t="n"/>
      <c r="D70" s="670" t="n"/>
      <c r="Z70" s="358" t="n">
        <v>0</v>
      </c>
      <c r="AA70" s="116" t="n">
        <v>0</v>
      </c>
      <c r="AB70" s="116" t="n">
        <v>4</v>
      </c>
      <c r="AC70" s="116" t="n">
        <v>4</v>
      </c>
      <c r="AD70" s="116" t="n">
        <v>4</v>
      </c>
      <c r="AE70" s="116" t="n">
        <v>4</v>
      </c>
      <c r="AF70" s="116" t="n">
        <v>4</v>
      </c>
      <c r="AG70" s="116" t="n">
        <v>4</v>
      </c>
      <c r="AH70" s="116" t="n">
        <v>4</v>
      </c>
      <c r="AI70" s="116" t="n">
        <v>4</v>
      </c>
      <c r="AJ70" s="116" t="n">
        <v>2</v>
      </c>
      <c r="AK70" s="116" t="n">
        <v>2</v>
      </c>
      <c r="AL70" s="116" t="n">
        <v>2</v>
      </c>
      <c r="AM70" s="116" t="n">
        <v>2</v>
      </c>
      <c r="AN70" s="116" t="n">
        <v>2</v>
      </c>
      <c r="AO70" s="116" t="n">
        <v>2</v>
      </c>
      <c r="AP70" s="116" t="n">
        <v>2</v>
      </c>
      <c r="AQ70" s="116" t="n">
        <v>2</v>
      </c>
      <c r="AR70" s="116" t="n">
        <v>2</v>
      </c>
      <c r="AS70" s="116" t="n">
        <v>2</v>
      </c>
      <c r="AT70" s="116" t="n">
        <v>0</v>
      </c>
      <c r="AU70" s="116" t="n">
        <v>0</v>
      </c>
      <c r="AV70" s="116" t="n">
        <v>0</v>
      </c>
      <c r="AW70" s="116" t="n">
        <v>0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  <c r="CB70" s="116" t="n"/>
      <c r="CC70" s="673" t="n"/>
      <c r="CD70" s="673" t="n"/>
      <c r="CE70" s="673" t="n"/>
    </row>
    <row r="71">
      <c r="A71" s="674" t="inlineStr">
        <is>
          <t>57744 boti sun 4,0</t>
        </is>
      </c>
      <c r="B71" s="658" t="n"/>
      <c r="C71" s="658" t="n"/>
      <c r="D71" s="670" t="n"/>
      <c r="Z71" s="358" t="n">
        <v>0</v>
      </c>
      <c r="AA71" s="116" t="n">
        <v>0</v>
      </c>
      <c r="AB71" s="116" t="n">
        <v>5</v>
      </c>
      <c r="AC71" s="116" t="n">
        <v>5</v>
      </c>
      <c r="AD71" s="116" t="n">
        <v>5</v>
      </c>
      <c r="AE71" s="116" t="n">
        <v>5</v>
      </c>
      <c r="AF71" s="116" t="n">
        <v>5</v>
      </c>
      <c r="AG71" s="116" t="n">
        <v>0</v>
      </c>
      <c r="AH71" s="116" t="n">
        <v>0</v>
      </c>
      <c r="AI71" s="116" t="n">
        <v>0</v>
      </c>
      <c r="AJ71" s="116" t="n">
        <v>0</v>
      </c>
      <c r="AK71" s="116" t="n">
        <v>0</v>
      </c>
      <c r="AL71" s="116" t="n">
        <v>0</v>
      </c>
      <c r="AM71" s="116" t="n">
        <v>0</v>
      </c>
      <c r="AN71" s="116" t="n">
        <v>0</v>
      </c>
      <c r="AO71" s="116" t="n">
        <v>0</v>
      </c>
      <c r="AP71" s="116" t="n">
        <v>0</v>
      </c>
      <c r="AQ71" s="116" t="n">
        <v>0</v>
      </c>
      <c r="AR71" s="116" t="n">
        <v>0</v>
      </c>
      <c r="AS71" s="116" t="n">
        <v>0</v>
      </c>
      <c r="AT71" s="116" t="n">
        <v>5</v>
      </c>
      <c r="AU71" s="116" t="n">
        <v>5</v>
      </c>
      <c r="AV71" s="116" t="n">
        <v>5</v>
      </c>
      <c r="AW71" s="116" t="n">
        <v>5</v>
      </c>
      <c r="AX71" s="116" t="n">
        <v>5</v>
      </c>
      <c r="AY71" s="116" t="n">
        <v>5</v>
      </c>
      <c r="AZ71" s="116" t="n">
        <v>5</v>
      </c>
      <c r="BA71" s="116" t="n">
        <v>5</v>
      </c>
      <c r="BB71" s="116" t="n">
        <v>4</v>
      </c>
      <c r="BC71" s="116" t="n">
        <v>4</v>
      </c>
      <c r="BD71" s="116" t="n">
        <v>0</v>
      </c>
      <c r="BE71" s="116" t="n">
        <v>0</v>
      </c>
      <c r="BF71" s="116" t="n">
        <v>0</v>
      </c>
      <c r="BG71" s="116" t="n">
        <v>0</v>
      </c>
      <c r="BH71" s="116" t="n">
        <v>0</v>
      </c>
      <c r="BI71" s="116" t="n">
        <v>0</v>
      </c>
      <c r="BJ71" s="116" t="n">
        <v>0</v>
      </c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0</v>
      </c>
      <c r="BV71" s="116" t="n">
        <v>0</v>
      </c>
      <c r="BW71" s="116" t="n">
        <v>0</v>
      </c>
      <c r="BX71" s="116" t="n">
        <v>0</v>
      </c>
      <c r="BY71" s="116" t="n">
        <v>0</v>
      </c>
      <c r="BZ71" s="116" t="n"/>
      <c r="CA71" s="116" t="n"/>
      <c r="CB71" s="116" t="n"/>
      <c r="CC71" s="673" t="n"/>
      <c r="CD71" s="673" t="n"/>
      <c r="CE71" s="673" t="n"/>
    </row>
    <row r="72">
      <c r="A72" s="674" t="inlineStr">
        <is>
          <t xml:space="preserve">57743 boti sun 2,0 </t>
        </is>
      </c>
      <c r="B72" s="658" t="n"/>
      <c r="C72" s="658" t="n"/>
      <c r="D72" s="670" t="n"/>
      <c r="Z72" s="358" t="n">
        <v>0</v>
      </c>
      <c r="AA72" s="116" t="n">
        <v>0</v>
      </c>
      <c r="AB72" s="116" t="n">
        <v>4</v>
      </c>
      <c r="AC72" s="116" t="n">
        <v>4</v>
      </c>
      <c r="AD72" s="116" t="n">
        <v>4</v>
      </c>
      <c r="AE72" s="116" t="n">
        <v>4</v>
      </c>
      <c r="AF72" s="116" t="n">
        <v>4</v>
      </c>
      <c r="AG72" s="116" t="n">
        <v>4</v>
      </c>
      <c r="AH72" s="116" t="n">
        <v>4</v>
      </c>
      <c r="AI72" s="116" t="n">
        <v>4</v>
      </c>
      <c r="AJ72" s="116" t="n">
        <v>2</v>
      </c>
      <c r="AK72" s="116" t="n">
        <v>2</v>
      </c>
      <c r="AL72" s="116" t="n">
        <v>2</v>
      </c>
      <c r="AM72" s="116" t="n">
        <v>2</v>
      </c>
      <c r="AN72" s="116" t="n">
        <v>2</v>
      </c>
      <c r="AO72" s="116" t="n">
        <v>2</v>
      </c>
      <c r="AP72" s="116" t="n">
        <v>2</v>
      </c>
      <c r="AQ72" s="116" t="n">
        <v>2</v>
      </c>
      <c r="AR72" s="116" t="n">
        <v>2</v>
      </c>
      <c r="AS72" s="116" t="n">
        <v>2</v>
      </c>
      <c r="AT72" s="116" t="n">
        <v>0</v>
      </c>
      <c r="AU72" s="116" t="n">
        <v>0</v>
      </c>
      <c r="AV72" s="116" t="n">
        <v>0</v>
      </c>
      <c r="AW72" s="116" t="n">
        <v>0</v>
      </c>
      <c r="AX72" s="116" t="n">
        <v>0</v>
      </c>
      <c r="AY72" s="116" t="n">
        <v>0</v>
      </c>
      <c r="AZ72" s="116" t="n">
        <v>0</v>
      </c>
      <c r="BA72" s="116" t="n">
        <v>0</v>
      </c>
      <c r="BB72" s="116" t="n">
        <v>0</v>
      </c>
      <c r="BC72" s="116" t="n">
        <v>0</v>
      </c>
      <c r="BD72" s="116" t="n">
        <v>0</v>
      </c>
      <c r="BE72" s="116" t="n">
        <v>0</v>
      </c>
      <c r="BF72" s="116" t="n">
        <v>0</v>
      </c>
      <c r="BG72" s="116" t="n">
        <v>0</v>
      </c>
      <c r="BH72" s="116" t="n">
        <v>0</v>
      </c>
      <c r="BI72" s="116" t="n">
        <v>0</v>
      </c>
      <c r="BJ72" s="116" t="n">
        <v>0</v>
      </c>
      <c r="BK72" s="116" t="n">
        <v>0</v>
      </c>
      <c r="BL72" s="116" t="n">
        <v>0</v>
      </c>
      <c r="BM72" s="116" t="n">
        <v>0</v>
      </c>
      <c r="BN72" s="116" t="n">
        <v>0</v>
      </c>
      <c r="BO72" s="116" t="n">
        <v>0</v>
      </c>
      <c r="BP72" s="116" t="n">
        <v>0</v>
      </c>
      <c r="BQ72" s="116" t="n">
        <v>0</v>
      </c>
      <c r="BR72" s="116" t="n">
        <v>0</v>
      </c>
      <c r="BS72" s="116" t="n">
        <v>0</v>
      </c>
      <c r="BT72" s="116" t="n">
        <v>0</v>
      </c>
      <c r="BU72" s="116" t="n">
        <v>0</v>
      </c>
      <c r="BV72" s="116" t="n">
        <v>0</v>
      </c>
      <c r="BW72" s="116" t="n">
        <v>0</v>
      </c>
      <c r="BX72" s="116" t="n">
        <v>0</v>
      </c>
      <c r="BY72" s="116" t="n">
        <v>0</v>
      </c>
      <c r="BZ72" s="116" t="n"/>
      <c r="CA72" s="116" t="n"/>
      <c r="CB72" s="116" t="n"/>
      <c r="CC72" s="673" t="n"/>
      <c r="CD72" s="673" t="n"/>
      <c r="CE72" s="673" t="n"/>
    </row>
    <row r="73">
      <c r="A73" s="674" t="inlineStr">
        <is>
          <t>57744 boti sun 3,0</t>
        </is>
      </c>
      <c r="B73" s="658" t="n"/>
      <c r="C73" s="658" t="n"/>
      <c r="D73" s="670" t="n"/>
      <c r="Z73" s="358" t="n">
        <v>0</v>
      </c>
      <c r="AA73" s="116" t="n">
        <v>0</v>
      </c>
      <c r="AB73" s="116" t="n">
        <v>8</v>
      </c>
      <c r="AC73" s="116" t="n">
        <v>8</v>
      </c>
      <c r="AD73" s="116" t="n">
        <v>8</v>
      </c>
      <c r="AE73" s="116" t="n">
        <v>8</v>
      </c>
      <c r="AF73" s="116" t="n">
        <v>8</v>
      </c>
      <c r="AG73" s="116" t="n">
        <v>8</v>
      </c>
      <c r="AH73" s="116" t="n">
        <v>8</v>
      </c>
      <c r="AI73" s="116" t="n">
        <v>8</v>
      </c>
      <c r="AJ73" s="116" t="n">
        <v>6</v>
      </c>
      <c r="AK73" s="116" t="n">
        <v>6</v>
      </c>
      <c r="AL73" s="116" t="n">
        <v>6</v>
      </c>
      <c r="AM73" s="116" t="n">
        <v>6</v>
      </c>
      <c r="AN73" s="116" t="n">
        <v>6</v>
      </c>
      <c r="AO73" s="116" t="n">
        <v>6</v>
      </c>
      <c r="AP73" s="116" t="n">
        <v>6</v>
      </c>
      <c r="AQ73" s="116" t="n">
        <v>6</v>
      </c>
      <c r="AR73" s="116" t="n">
        <v>6</v>
      </c>
      <c r="AS73" s="116" t="n">
        <v>0</v>
      </c>
      <c r="AT73" s="116" t="n">
        <v>6</v>
      </c>
      <c r="AU73" s="116" t="n">
        <v>6</v>
      </c>
      <c r="AV73" s="116" t="n">
        <v>6</v>
      </c>
      <c r="AW73" s="116" t="n">
        <v>6</v>
      </c>
      <c r="AX73" s="116" t="n">
        <v>6</v>
      </c>
      <c r="AY73" s="116" t="n">
        <v>6</v>
      </c>
      <c r="AZ73" s="116" t="n">
        <v>6</v>
      </c>
      <c r="BA73" s="116" t="n">
        <v>6</v>
      </c>
      <c r="BB73" s="116" t="n">
        <v>6</v>
      </c>
      <c r="BC73" s="116" t="n">
        <v>6</v>
      </c>
      <c r="BD73" s="116" t="n">
        <v>0</v>
      </c>
      <c r="BE73" s="116" t="n">
        <v>0</v>
      </c>
      <c r="BF73" s="116" t="n">
        <v>0</v>
      </c>
      <c r="BG73" s="116" t="n">
        <v>0</v>
      </c>
      <c r="BH73" s="116" t="n">
        <v>0</v>
      </c>
      <c r="BI73" s="116" t="n">
        <v>0</v>
      </c>
      <c r="BJ73" s="116" t="n">
        <v>0</v>
      </c>
      <c r="BK73" s="116" t="n">
        <v>0</v>
      </c>
      <c r="BL73" s="116" t="n">
        <v>0</v>
      </c>
      <c r="BM73" s="116" t="n">
        <v>0</v>
      </c>
      <c r="BN73" s="116" t="n">
        <v>0</v>
      </c>
      <c r="BO73" s="116" t="n">
        <v>0</v>
      </c>
      <c r="BP73" s="116" t="n">
        <v>0</v>
      </c>
      <c r="BQ73" s="116" t="n">
        <v>0</v>
      </c>
      <c r="BR73" s="116" t="n">
        <v>0</v>
      </c>
      <c r="BS73" s="116" t="n">
        <v>0</v>
      </c>
      <c r="BT73" s="116" t="n">
        <v>0</v>
      </c>
      <c r="BU73" s="116" t="n">
        <v>0</v>
      </c>
      <c r="BV73" s="116" t="n">
        <v>0</v>
      </c>
      <c r="BW73" s="116" t="n">
        <v>0</v>
      </c>
      <c r="BX73" s="116" t="n">
        <v>0</v>
      </c>
      <c r="BY73" s="116" t="n">
        <v>0</v>
      </c>
      <c r="BZ73" s="116" t="n"/>
      <c r="CA73" s="116" t="n"/>
      <c r="CB73" s="116" t="n"/>
      <c r="CC73" s="673" t="n"/>
      <c r="CD73" s="673" t="n"/>
      <c r="CE73" s="673" t="n"/>
    </row>
    <row r="74">
      <c r="A74" s="674" t="inlineStr">
        <is>
          <t>57745 boti sun 6,0</t>
        </is>
      </c>
      <c r="B74" s="658" t="n"/>
      <c r="C74" s="658" t="n"/>
      <c r="D74" s="670" t="n"/>
      <c r="Z74" s="358" t="n">
        <v>0</v>
      </c>
      <c r="AA74" s="116" t="n">
        <v>0</v>
      </c>
      <c r="AB74" s="116" t="n">
        <v>0</v>
      </c>
      <c r="AC74" s="116" t="n">
        <v>0</v>
      </c>
      <c r="AD74" s="116" t="n">
        <v>12</v>
      </c>
      <c r="AE74" s="116" t="n">
        <v>12</v>
      </c>
      <c r="AF74" s="116" t="n">
        <v>12</v>
      </c>
      <c r="AG74" s="116" t="n">
        <v>15</v>
      </c>
      <c r="AH74" s="116" t="n">
        <v>15</v>
      </c>
      <c r="AI74" s="116" t="n">
        <v>15</v>
      </c>
      <c r="AJ74" s="116" t="n">
        <v>10</v>
      </c>
      <c r="AK74" s="116" t="n">
        <v>10</v>
      </c>
      <c r="AL74" s="116" t="n">
        <v>10</v>
      </c>
      <c r="AM74" s="116" t="n">
        <v>10</v>
      </c>
      <c r="AN74" s="116" t="n">
        <v>10</v>
      </c>
      <c r="AO74" s="116" t="n">
        <v>10</v>
      </c>
      <c r="AP74" s="116" t="n">
        <v>8</v>
      </c>
      <c r="AQ74" s="116" t="n">
        <v>8</v>
      </c>
      <c r="AR74" s="116" t="n">
        <v>8</v>
      </c>
      <c r="AS74" s="116" t="n">
        <v>8</v>
      </c>
      <c r="AT74" s="116" t="n">
        <v>11</v>
      </c>
      <c r="AU74" s="116" t="n">
        <v>11</v>
      </c>
      <c r="AV74" s="116" t="n">
        <v>11</v>
      </c>
      <c r="AW74" s="116" t="n">
        <v>11</v>
      </c>
      <c r="AX74" s="116" t="n">
        <v>11</v>
      </c>
      <c r="AY74" s="116" t="n">
        <v>11</v>
      </c>
      <c r="AZ74" s="116" t="n">
        <v>11</v>
      </c>
      <c r="BA74" s="116" t="n">
        <v>11</v>
      </c>
      <c r="BB74" s="116" t="n">
        <v>11</v>
      </c>
      <c r="BC74" s="116" t="n">
        <v>11</v>
      </c>
      <c r="BD74" s="116" t="n">
        <v>0</v>
      </c>
      <c r="BE74" s="116" t="n">
        <v>0</v>
      </c>
      <c r="BF74" s="116" t="n">
        <v>0</v>
      </c>
      <c r="BG74" s="116" t="n">
        <v>0</v>
      </c>
      <c r="BH74" s="116" t="n">
        <v>0</v>
      </c>
      <c r="BI74" s="116" t="n">
        <v>0</v>
      </c>
      <c r="BJ74" s="116" t="n">
        <v>0</v>
      </c>
      <c r="BK74" s="116" t="n">
        <v>0</v>
      </c>
      <c r="BL74" s="116" t="n">
        <v>0</v>
      </c>
      <c r="BM74" s="116" t="n">
        <v>0</v>
      </c>
      <c r="BN74" s="116" t="n">
        <v>0</v>
      </c>
      <c r="BO74" s="116" t="n">
        <v>0</v>
      </c>
      <c r="BP74" s="116" t="n">
        <v>0</v>
      </c>
      <c r="BQ74" s="116" t="n">
        <v>0</v>
      </c>
      <c r="BR74" s="116" t="n">
        <v>0</v>
      </c>
      <c r="BS74" s="116" t="n">
        <v>0</v>
      </c>
      <c r="BT74" s="116" t="n">
        <v>0</v>
      </c>
      <c r="BU74" s="116" t="n">
        <v>0</v>
      </c>
      <c r="BV74" s="116" t="n">
        <v>0</v>
      </c>
      <c r="BW74" s="116" t="n">
        <v>0</v>
      </c>
      <c r="BX74" s="116" t="n">
        <v>0</v>
      </c>
      <c r="BY74" s="116" t="n">
        <v>0</v>
      </c>
      <c r="BZ74" s="116" t="n"/>
      <c r="CA74" s="116" t="n"/>
      <c r="CB74" s="116" t="n"/>
      <c r="CC74" s="673" t="n"/>
      <c r="CD74" s="673" t="n"/>
      <c r="CE74" s="673" t="n"/>
    </row>
    <row r="75">
      <c r="A75" s="674" t="inlineStr">
        <is>
          <t xml:space="preserve">57745 boti sun 7,0 </t>
        </is>
      </c>
      <c r="B75" s="658" t="n"/>
      <c r="C75" s="658" t="n"/>
      <c r="D75" s="670" t="n"/>
      <c r="Z75" s="358" t="n">
        <v>0</v>
      </c>
      <c r="AA75" s="116" t="n">
        <v>0</v>
      </c>
      <c r="AB75" s="116" t="n">
        <v>6</v>
      </c>
      <c r="AC75" s="116" t="n">
        <v>6</v>
      </c>
      <c r="AD75" s="116" t="n">
        <v>6</v>
      </c>
      <c r="AE75" s="116" t="n">
        <v>6</v>
      </c>
      <c r="AF75" s="116" t="n">
        <v>6</v>
      </c>
      <c r="AG75" s="116" t="n">
        <v>5</v>
      </c>
      <c r="AH75" s="116" t="n">
        <v>5</v>
      </c>
      <c r="AI75" s="116" t="n">
        <v>5</v>
      </c>
      <c r="AJ75" s="116" t="n">
        <v>3</v>
      </c>
      <c r="AK75" s="116" t="n">
        <v>3</v>
      </c>
      <c r="AL75" s="116" t="n">
        <v>3</v>
      </c>
      <c r="AM75" s="116" t="n">
        <v>3</v>
      </c>
      <c r="AN75" s="116" t="n">
        <v>3</v>
      </c>
      <c r="AO75" s="116" t="n">
        <v>3</v>
      </c>
      <c r="AP75" s="116" t="n">
        <v>3</v>
      </c>
      <c r="AQ75" s="116" t="n">
        <v>3</v>
      </c>
      <c r="AR75" s="116" t="n">
        <v>3</v>
      </c>
      <c r="AS75" s="116" t="n">
        <v>3</v>
      </c>
      <c r="AT75" s="116" t="n">
        <v>5</v>
      </c>
      <c r="AU75" s="116" t="n">
        <v>5</v>
      </c>
      <c r="AV75" s="116" t="n">
        <v>5</v>
      </c>
      <c r="AW75" s="116" t="n">
        <v>5</v>
      </c>
      <c r="AX75" s="116" t="n">
        <v>5</v>
      </c>
      <c r="AY75" s="116" t="n">
        <v>5</v>
      </c>
      <c r="AZ75" s="116" t="n">
        <v>5</v>
      </c>
      <c r="BA75" s="116" t="n">
        <v>5</v>
      </c>
      <c r="BB75" s="116" t="n">
        <v>5</v>
      </c>
      <c r="BC75" s="116" t="n">
        <v>5</v>
      </c>
      <c r="BD75" s="116" t="n">
        <v>0</v>
      </c>
      <c r="BE75" s="116" t="n">
        <v>0</v>
      </c>
      <c r="BF75" s="116" t="n">
        <v>0</v>
      </c>
      <c r="BG75" s="116" t="n">
        <v>0</v>
      </c>
      <c r="BH75" s="116" t="n">
        <v>0</v>
      </c>
      <c r="BI75" s="116" t="n">
        <v>0</v>
      </c>
      <c r="BJ75" s="116" t="n">
        <v>0</v>
      </c>
      <c r="BK75" s="116" t="n">
        <v>0</v>
      </c>
      <c r="BL75" s="116" t="n">
        <v>0</v>
      </c>
      <c r="BM75" s="116" t="n">
        <v>0</v>
      </c>
      <c r="BN75" s="116" t="n">
        <v>0</v>
      </c>
      <c r="BO75" s="116" t="n">
        <v>0</v>
      </c>
      <c r="BP75" s="116" t="n">
        <v>0</v>
      </c>
      <c r="BQ75" s="116" t="n">
        <v>0</v>
      </c>
      <c r="BR75" s="116" t="n">
        <v>0</v>
      </c>
      <c r="BS75" s="116" t="n">
        <v>0</v>
      </c>
      <c r="BT75" s="116" t="n">
        <v>0</v>
      </c>
      <c r="BU75" s="116" t="n">
        <v>0</v>
      </c>
      <c r="BV75" s="116" t="n">
        <v>0</v>
      </c>
      <c r="BW75" s="116" t="n">
        <v>0</v>
      </c>
      <c r="BX75" s="116" t="n">
        <v>0</v>
      </c>
      <c r="BY75" s="116" t="n">
        <v>0</v>
      </c>
      <c r="BZ75" s="116" t="n"/>
      <c r="CA75" s="116" t="n"/>
      <c r="CB75" s="116" t="n"/>
      <c r="CC75" s="673" t="n"/>
      <c r="CD75" s="673" t="n"/>
      <c r="CE75" s="673" t="n"/>
    </row>
    <row r="76">
      <c r="A76" s="674" t="inlineStr">
        <is>
          <t>ZAAD INTENSE</t>
        </is>
      </c>
      <c r="B76" s="658" t="n"/>
      <c r="C76" s="658" t="n"/>
      <c r="D76" s="670" t="n"/>
      <c r="AG76" s="116" t="n">
        <v>0</v>
      </c>
      <c r="AH76" s="116" t="n">
        <v>20</v>
      </c>
      <c r="AI76" s="116" t="n">
        <v>15</v>
      </c>
      <c r="AJ76" s="116" t="n">
        <v>10</v>
      </c>
      <c r="AK76" s="116" t="n">
        <v>10</v>
      </c>
      <c r="AL76" s="116" t="n">
        <v>20</v>
      </c>
      <c r="AM76" s="116" t="n">
        <v>20</v>
      </c>
      <c r="AN76" s="116" t="n">
        <v>20</v>
      </c>
      <c r="AO76" s="116" t="n">
        <v>20</v>
      </c>
      <c r="AP76" s="116" t="n">
        <v>12</v>
      </c>
      <c r="AQ76" s="116" t="n">
        <v>12</v>
      </c>
      <c r="AR76" s="116" t="n">
        <v>12</v>
      </c>
      <c r="AS76" s="116" t="n">
        <v>6</v>
      </c>
      <c r="AT76" s="116" t="n">
        <v>0</v>
      </c>
      <c r="AU76" s="116" t="n">
        <v>0</v>
      </c>
      <c r="AV76" s="116" t="n">
        <v>0</v>
      </c>
      <c r="AW76" s="116" t="n">
        <v>0</v>
      </c>
      <c r="AX76" s="116" t="n">
        <v>0</v>
      </c>
      <c r="AY76" s="116" t="n">
        <v>0</v>
      </c>
      <c r="AZ76" s="116" t="n">
        <v>0</v>
      </c>
      <c r="BA76" s="116" t="n">
        <v>0</v>
      </c>
      <c r="BB76" s="116" t="n">
        <v>0</v>
      </c>
      <c r="BC76" s="116" t="n">
        <v>0</v>
      </c>
      <c r="BD76" s="116" t="n">
        <v>0</v>
      </c>
      <c r="BE76" s="116" t="n">
        <v>0</v>
      </c>
      <c r="BF76" s="116" t="n">
        <v>0</v>
      </c>
      <c r="BG76" s="116" t="n">
        <v>0</v>
      </c>
      <c r="BH76" s="116" t="n">
        <v>0</v>
      </c>
      <c r="BI76" s="116" t="n">
        <v>0</v>
      </c>
      <c r="BJ76" s="116" t="n">
        <v>0</v>
      </c>
      <c r="BK76" s="116" t="n">
        <v>0</v>
      </c>
      <c r="BL76" s="116" t="n">
        <v>0</v>
      </c>
      <c r="BM76" s="116" t="n">
        <v>0</v>
      </c>
      <c r="BN76" s="116" t="n">
        <v>0</v>
      </c>
      <c r="BO76" s="116" t="n">
        <v>0</v>
      </c>
      <c r="BP76" s="116" t="n">
        <v>0</v>
      </c>
      <c r="BQ76" s="116" t="n">
        <v>0</v>
      </c>
      <c r="BR76" s="116" t="n">
        <v>0</v>
      </c>
      <c r="BS76" s="116" t="n">
        <v>0</v>
      </c>
      <c r="BT76" s="116" t="n">
        <v>0</v>
      </c>
      <c r="BU76" s="116" t="n">
        <v>0</v>
      </c>
      <c r="BV76" s="116" t="n">
        <v>0</v>
      </c>
      <c r="BW76" s="116" t="n">
        <v>0</v>
      </c>
      <c r="BX76" s="116" t="n">
        <v>0</v>
      </c>
      <c r="BY76" s="116" t="n">
        <v>0</v>
      </c>
      <c r="BZ76" s="116" t="n"/>
      <c r="CA76" s="116" t="n"/>
      <c r="CB76" s="116" t="n"/>
      <c r="CC76" s="673" t="n"/>
      <c r="CD76" s="673" t="n"/>
      <c r="CE76" s="673" t="n"/>
    </row>
    <row r="77">
      <c r="A77" s="674" t="inlineStr">
        <is>
          <t>EGEO COGU</t>
        </is>
      </c>
      <c r="B77" s="658" t="n"/>
      <c r="C77" s="658" t="n"/>
      <c r="D77" s="670" t="n"/>
      <c r="AG77" s="116" t="n">
        <v>0</v>
      </c>
      <c r="AH77" s="116" t="n">
        <v>50</v>
      </c>
      <c r="AI77" s="116" t="n">
        <v>40</v>
      </c>
      <c r="AJ77" s="116" t="n">
        <v>30</v>
      </c>
      <c r="AK77" s="116" t="n">
        <v>30</v>
      </c>
      <c r="AL77" s="116" t="n">
        <v>30</v>
      </c>
      <c r="AM77" s="116" t="n">
        <v>30</v>
      </c>
      <c r="AN77" s="116" t="n">
        <v>30</v>
      </c>
      <c r="AO77" s="116" t="n">
        <v>30</v>
      </c>
      <c r="AP77" s="116" t="n">
        <v>20</v>
      </c>
      <c r="AQ77" s="116" t="n">
        <v>20</v>
      </c>
      <c r="AR77" s="116" t="n">
        <v>20</v>
      </c>
      <c r="AS77" s="116" t="n">
        <v>10</v>
      </c>
      <c r="AT77" s="116" t="n">
        <v>20</v>
      </c>
      <c r="AU77" s="116" t="n">
        <v>20</v>
      </c>
      <c r="AV77" s="116" t="n">
        <v>20</v>
      </c>
      <c r="AW77" s="116" t="n">
        <v>20</v>
      </c>
      <c r="AX77" s="116" t="n">
        <v>20</v>
      </c>
      <c r="AY77" s="116" t="n">
        <v>20</v>
      </c>
      <c r="AZ77" s="116" t="n">
        <v>20</v>
      </c>
      <c r="BA77" s="116" t="n">
        <v>20</v>
      </c>
      <c r="BB77" s="116" t="n">
        <v>20</v>
      </c>
      <c r="BC77" s="116" t="n">
        <v>20</v>
      </c>
      <c r="BD77" s="116" t="n">
        <v>0</v>
      </c>
      <c r="BE77" s="116" t="n">
        <v>0</v>
      </c>
      <c r="BF77" s="116" t="n">
        <v>0</v>
      </c>
      <c r="BG77" s="116" t="n">
        <v>0</v>
      </c>
      <c r="BH77" s="116" t="n">
        <v>0</v>
      </c>
      <c r="BI77" s="116" t="n">
        <v>0</v>
      </c>
      <c r="BJ77" s="116" t="n">
        <v>0</v>
      </c>
      <c r="BK77" s="116" t="n">
        <v>0</v>
      </c>
      <c r="BL77" s="116" t="n">
        <v>0</v>
      </c>
      <c r="BM77" s="116" t="n">
        <v>0</v>
      </c>
      <c r="BN77" s="116" t="n">
        <v>0</v>
      </c>
      <c r="BO77" s="116" t="n">
        <v>0</v>
      </c>
      <c r="BP77" s="116" t="n">
        <v>0</v>
      </c>
      <c r="BQ77" s="116" t="n">
        <v>0</v>
      </c>
      <c r="BR77" s="116" t="n">
        <v>0</v>
      </c>
      <c r="BS77" s="116" t="n">
        <v>0</v>
      </c>
      <c r="BT77" s="116" t="n">
        <v>0</v>
      </c>
      <c r="BU77" s="116" t="n">
        <v>0</v>
      </c>
      <c r="BV77" s="116" t="n">
        <v>0</v>
      </c>
      <c r="BW77" s="116" t="n">
        <v>0</v>
      </c>
      <c r="BX77" s="116" t="n">
        <v>0</v>
      </c>
      <c r="BY77" s="116" t="n">
        <v>0</v>
      </c>
      <c r="BZ77" s="116" t="n"/>
      <c r="CA77" s="116" t="n"/>
      <c r="CB77" s="116" t="n"/>
      <c r="CC77" s="673" t="n"/>
      <c r="CD77" s="673" t="n"/>
      <c r="CE77" s="673" t="n"/>
    </row>
    <row r="78">
      <c r="A78" s="674" t="inlineStr">
        <is>
          <t>HER CODE CLIMAX</t>
        </is>
      </c>
      <c r="B78" s="658" t="n"/>
      <c r="C78" s="658" t="n"/>
      <c r="D78" s="670" t="n"/>
      <c r="AJ78" s="116" t="n">
        <v>0</v>
      </c>
      <c r="AK78" s="116" t="n">
        <v>56</v>
      </c>
      <c r="AL78" s="116" t="n">
        <v>46</v>
      </c>
      <c r="AM78" s="116" t="n">
        <v>46</v>
      </c>
      <c r="AN78" s="116" t="n">
        <v>46</v>
      </c>
      <c r="AO78" s="116" t="n">
        <v>46</v>
      </c>
      <c r="AP78" s="116" t="n">
        <v>46</v>
      </c>
      <c r="AQ78" s="116" t="n">
        <v>46</v>
      </c>
      <c r="AR78" s="116" t="n">
        <v>48</v>
      </c>
      <c r="AS78" s="116" t="n">
        <v>30</v>
      </c>
      <c r="AT78" s="116" t="n">
        <v>32</v>
      </c>
      <c r="AU78" s="116" t="n">
        <v>32</v>
      </c>
      <c r="AV78" s="116" t="n">
        <v>32</v>
      </c>
      <c r="AW78" s="116" t="n">
        <v>32</v>
      </c>
      <c r="AX78" s="116" t="n">
        <v>32</v>
      </c>
      <c r="AY78" s="116" t="n">
        <v>32</v>
      </c>
      <c r="AZ78" s="116" t="n">
        <v>32</v>
      </c>
      <c r="BA78" s="116" t="n">
        <v>32</v>
      </c>
      <c r="BB78" s="116" t="n">
        <v>32</v>
      </c>
      <c r="BC78" s="116" t="n">
        <v>32</v>
      </c>
      <c r="BD78" s="116" t="n">
        <v>0</v>
      </c>
      <c r="BE78" s="116" t="n">
        <v>0</v>
      </c>
      <c r="BF78" s="116" t="n">
        <v>0</v>
      </c>
      <c r="BG78" s="116" t="n">
        <v>0</v>
      </c>
      <c r="BH78" s="116" t="n">
        <v>0</v>
      </c>
      <c r="BI78" s="116" t="n">
        <v>0</v>
      </c>
      <c r="BJ78" s="116" t="n">
        <v>0</v>
      </c>
      <c r="BK78" s="116" t="n">
        <v>0</v>
      </c>
      <c r="BL78" s="116" t="n">
        <v>0</v>
      </c>
      <c r="BM78" s="116" t="n">
        <v>0</v>
      </c>
      <c r="BN78" s="116" t="n">
        <v>0</v>
      </c>
      <c r="BO78" s="116" t="n">
        <v>0</v>
      </c>
      <c r="BP78" s="116" t="n">
        <v>0</v>
      </c>
      <c r="BQ78" s="116" t="n">
        <v>0</v>
      </c>
      <c r="BR78" s="116" t="n">
        <v>0</v>
      </c>
      <c r="BS78" s="116" t="n">
        <v>0</v>
      </c>
      <c r="BT78" s="116" t="n">
        <v>0</v>
      </c>
      <c r="BU78" s="116" t="n">
        <v>0</v>
      </c>
      <c r="BV78" s="116" t="n">
        <v>0</v>
      </c>
      <c r="BW78" s="116" t="n">
        <v>0</v>
      </c>
      <c r="BX78" s="116" t="n">
        <v>0</v>
      </c>
      <c r="BY78" s="116" t="n">
        <v>0</v>
      </c>
      <c r="BZ78" s="116" t="n"/>
      <c r="CA78" s="116" t="n"/>
      <c r="CB78" s="116" t="n"/>
      <c r="CC78" s="673" t="n"/>
      <c r="CD78" s="673" t="n"/>
      <c r="CE78" s="673" t="n"/>
    </row>
    <row r="79">
      <c r="A79" s="674" t="inlineStr">
        <is>
          <t>COFFEE UNIQUE</t>
        </is>
      </c>
      <c r="B79" s="658" t="n"/>
      <c r="C79" s="658" t="n"/>
      <c r="D79" s="670" t="n"/>
      <c r="AJ79" s="116" t="n"/>
      <c r="AK79" s="116" t="n"/>
      <c r="AL79" s="116" t="n"/>
      <c r="AM79" s="116" t="n"/>
      <c r="AN79" s="116" t="n"/>
      <c r="AO79" s="116" t="n"/>
      <c r="AP79" s="116" t="n"/>
      <c r="AQ79" s="116" t="n"/>
      <c r="AR79" s="116" t="n"/>
      <c r="AS79" s="116" t="n"/>
      <c r="AT79" s="116" t="n"/>
      <c r="AU79" s="116" t="n"/>
      <c r="AV79" s="116" t="n"/>
      <c r="AW79" s="116" t="n"/>
      <c r="AX79" s="116" t="n">
        <v>0</v>
      </c>
      <c r="AY79" s="116" t="n">
        <v>0</v>
      </c>
      <c r="AZ79" s="116" t="n">
        <v>50</v>
      </c>
      <c r="BA79" s="116" t="n">
        <v>50</v>
      </c>
      <c r="BB79" s="116" t="n">
        <v>50</v>
      </c>
      <c r="BC79" s="116" t="n">
        <v>50</v>
      </c>
      <c r="BD79" s="116" t="n">
        <v>0</v>
      </c>
      <c r="BE79" s="116" t="n">
        <v>0</v>
      </c>
      <c r="BF79" s="116" t="n">
        <v>0</v>
      </c>
      <c r="BG79" s="116" t="n">
        <v>0</v>
      </c>
      <c r="BH79" s="116" t="n">
        <v>0</v>
      </c>
      <c r="BI79" s="116" t="n">
        <v>0</v>
      </c>
      <c r="BJ79" s="116" t="n">
        <v>0</v>
      </c>
      <c r="BK79" s="116" t="n">
        <v>0</v>
      </c>
      <c r="BL79" s="116" t="n">
        <v>0</v>
      </c>
      <c r="BM79" s="116" t="n">
        <v>0</v>
      </c>
      <c r="BN79" s="116" t="n">
        <v>0</v>
      </c>
      <c r="BO79" s="116" t="n">
        <v>0</v>
      </c>
      <c r="BP79" s="116" t="n">
        <v>0</v>
      </c>
      <c r="BQ79" s="116" t="n">
        <v>0</v>
      </c>
      <c r="BR79" s="116" t="n">
        <v>0</v>
      </c>
      <c r="BS79" s="116" t="n">
        <v>0</v>
      </c>
      <c r="BT79" s="116" t="n">
        <v>0</v>
      </c>
      <c r="BU79" s="116" t="n">
        <v>0</v>
      </c>
      <c r="BV79" s="116" t="n">
        <v>0</v>
      </c>
      <c r="BW79" s="116" t="n">
        <v>0</v>
      </c>
      <c r="BX79" s="116" t="n">
        <v>0</v>
      </c>
      <c r="BY79" s="116" t="n">
        <v>0</v>
      </c>
      <c r="BZ79" s="116" t="n"/>
      <c r="CA79" s="116" t="n"/>
      <c r="CB79" s="116" t="n"/>
      <c r="CC79" s="673" t="n"/>
      <c r="CD79" s="673" t="n"/>
      <c r="CE79" s="673" t="n"/>
    </row>
    <row r="80">
      <c r="A80" s="674" t="n"/>
      <c r="B80" s="658" t="n"/>
      <c r="C80" s="658" t="n"/>
      <c r="D80" s="670" t="n"/>
      <c r="AX80" s="116" t="n"/>
      <c r="AY80" s="116" t="n"/>
      <c r="AZ80" s="116" t="n"/>
      <c r="BA80" s="116" t="n"/>
      <c r="BB80" s="116" t="n"/>
      <c r="BC80" s="116" t="n"/>
      <c r="BD80" s="116" t="n"/>
      <c r="BE80" s="116" t="n"/>
      <c r="BF80" s="116" t="n"/>
      <c r="BG80" s="116" t="n"/>
      <c r="BH80" s="116" t="n"/>
      <c r="BI80" s="116" t="n"/>
      <c r="BJ80" s="116" t="n"/>
      <c r="BK80" s="116" t="n"/>
      <c r="BL80" s="116" t="n"/>
      <c r="BM80" s="116" t="n"/>
      <c r="BN80" s="116" t="n"/>
      <c r="BO80" s="116" t="n"/>
      <c r="BP80" s="116" t="n"/>
      <c r="BQ80" s="116" t="n"/>
      <c r="BR80" s="116" t="n"/>
      <c r="BS80" s="116" t="n"/>
      <c r="BT80" s="116" t="n"/>
      <c r="BU80" s="116" t="n"/>
      <c r="BV80" s="116" t="n"/>
      <c r="BW80" s="116" t="n"/>
      <c r="BX80" s="116" t="n"/>
      <c r="BY80" s="116" t="n"/>
      <c r="BZ80" s="116" t="n"/>
      <c r="CA80" s="116" t="n"/>
      <c r="CB80" s="116" t="n"/>
      <c r="CC80" s="673" t="n"/>
      <c r="CD80" s="673" t="n"/>
      <c r="CE80" s="673" t="n"/>
    </row>
  </sheetData>
  <mergeCells count="47">
    <mergeCell ref="FG7:FO7"/>
    <mergeCell ref="A53:D53"/>
    <mergeCell ref="F5:BZ5"/>
    <mergeCell ref="A62:D62"/>
    <mergeCell ref="A72:D72"/>
    <mergeCell ref="A52:D52"/>
    <mergeCell ref="A43:D43"/>
    <mergeCell ref="A63:D63"/>
    <mergeCell ref="A68:D68"/>
    <mergeCell ref="A44:D44"/>
    <mergeCell ref="A67:D67"/>
    <mergeCell ref="A58:D58"/>
    <mergeCell ref="A77:D77"/>
    <mergeCell ref="A48:D48"/>
    <mergeCell ref="A64:D64"/>
    <mergeCell ref="A59:D59"/>
    <mergeCell ref="A73:D73"/>
    <mergeCell ref="A49:D49"/>
    <mergeCell ref="A51:D51"/>
    <mergeCell ref="A60:D60"/>
    <mergeCell ref="A5:A6"/>
    <mergeCell ref="A45:D45"/>
    <mergeCell ref="A70:D70"/>
    <mergeCell ref="A79:D79"/>
    <mergeCell ref="A61:D61"/>
    <mergeCell ref="A69:D69"/>
    <mergeCell ref="A78:D78"/>
    <mergeCell ref="A54:D54"/>
    <mergeCell ref="A65:D65"/>
    <mergeCell ref="A46:D46"/>
    <mergeCell ref="B5:B6"/>
    <mergeCell ref="A66:D66"/>
    <mergeCell ref="D5:D6"/>
    <mergeCell ref="A80:D80"/>
    <mergeCell ref="A75:D75"/>
    <mergeCell ref="B3:D3"/>
    <mergeCell ref="A56:D56"/>
    <mergeCell ref="A74:D74"/>
    <mergeCell ref="A50:D50"/>
    <mergeCell ref="A55:D55"/>
    <mergeCell ref="A57:D57"/>
    <mergeCell ref="A71:D71"/>
    <mergeCell ref="A47:D47"/>
    <mergeCell ref="A42:D42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7" fitToHeight="0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Planilha27">
    <tabColor theme="9"/>
    <outlinePr summaryBelow="1" summaryRight="1"/>
    <pageSetUpPr/>
  </sheetPr>
  <dimension ref="A1:JD80"/>
  <sheetViews>
    <sheetView showGridLines="0" zoomScale="80" zoomScaleNormal="80" zoomScaleSheetLayoutView="70" workbookViewId="0">
      <selection activeCell="CA1" sqref="CA1:CA1048576"/>
    </sheetView>
  </sheetViews>
  <sheetFormatPr baseColWidth="8" defaultColWidth="9.140625" defaultRowHeight="18.75"/>
  <cols>
    <col width="27.140625" customWidth="1" style="52" min="1" max="1"/>
    <col width="9" customWidth="1" style="6" min="2" max="2"/>
    <col hidden="1" width="15.28515625" customWidth="1" style="6" min="3" max="3"/>
    <col width="16.140625" customWidth="1" style="6" min="4" max="4"/>
    <col width="1.85546875" customWidth="1" style="6" min="5" max="5"/>
    <col hidden="1" width="9.28515625" customWidth="1" style="6" min="6" max="61"/>
    <col hidden="1" width="8.140625" customWidth="1" style="6" min="62" max="76"/>
    <col width="8.140625" customWidth="1" style="6" min="77" max="79"/>
    <col width="9.28515625" customWidth="1" style="6" min="80" max="80"/>
    <col width="1.5703125" customWidth="1" style="6" min="81" max="81"/>
    <col width="20.42578125" bestFit="1" customWidth="1" style="49" min="82" max="82"/>
    <col width="14.28515625" bestFit="1" customWidth="1" style="49" min="83" max="83"/>
    <col width="1.5703125" customWidth="1" style="6" min="84" max="84"/>
    <col width="16.28515625" bestFit="1" customWidth="1" style="49" min="85" max="85"/>
    <col width="1.7109375" customWidth="1" style="6" min="86" max="86"/>
    <col width="8.140625" customWidth="1" style="49" min="87" max="89"/>
    <col width="8.140625" bestFit="1" customWidth="1" style="49" min="90" max="90"/>
    <col width="8.7109375" customWidth="1" style="51" min="91" max="91"/>
    <col width="8.140625" bestFit="1" customWidth="1" style="49" min="92" max="92"/>
    <col width="8.140625" customWidth="1" style="49" min="93" max="93"/>
    <col hidden="1" width="13.7109375" customWidth="1" style="49" min="94" max="94"/>
    <col hidden="1" width="23.28515625" customWidth="1" style="49" min="95" max="95"/>
    <col hidden="1" width="8.140625" customWidth="1" style="49" min="96" max="96"/>
    <col hidden="1" width="13.7109375" customWidth="1" style="49" min="97" max="97"/>
    <col hidden="1" width="9.7109375" customWidth="1" style="49" min="98" max="99"/>
    <col hidden="1" width="17.5703125" customWidth="1" style="49" min="100" max="100"/>
    <col hidden="1" width="9.7109375" customWidth="1" style="49" min="101" max="103"/>
    <col hidden="1" width="12.85546875" customWidth="1" style="49" min="104" max="104"/>
    <col hidden="1" width="9.7109375" customWidth="1" style="49" min="105" max="108"/>
    <col hidden="1" width="11.7109375" customWidth="1" style="49" min="109" max="109"/>
    <col hidden="1" width="12.28515625" customWidth="1" style="51" min="110" max="110"/>
    <col hidden="1" width="9.7109375" customWidth="1" style="49" min="111" max="111"/>
    <col hidden="1" width="8.7109375" customWidth="1" style="51" min="112" max="112"/>
    <col hidden="1" width="11.7109375" customWidth="1" style="49" min="113" max="114"/>
    <col hidden="1" width="9.7109375" customWidth="1" style="49" min="115" max="115"/>
    <col hidden="1" width="13.85546875" customWidth="1" style="49" min="116" max="116"/>
    <col hidden="1" width="9.7109375" customWidth="1" style="49" min="117" max="122"/>
    <col hidden="1" width="11" customWidth="1" style="49" min="123" max="123"/>
    <col hidden="1" width="12.28515625" customWidth="1" style="51" min="124" max="124"/>
    <col hidden="1" width="9.7109375" customWidth="1" style="49" min="125" max="129"/>
    <col hidden="1" width="12.28515625" customWidth="1" style="51" min="130" max="130"/>
    <col hidden="1" width="9.7109375" customWidth="1" style="49" min="131" max="131"/>
    <col hidden="1" width="17.5703125" customWidth="1" style="51" min="132" max="132"/>
    <col hidden="1" width="8.7109375" customWidth="1" style="51" min="133" max="133"/>
    <col hidden="1" width="9.7109375" customWidth="1" style="49" min="134" max="134"/>
    <col hidden="1" width="8.140625" customWidth="1" style="49" min="135" max="135"/>
    <col hidden="1" width="9.7109375" customWidth="1" style="49" min="136" max="138"/>
    <col hidden="1" width="13.5703125" customWidth="1" style="49" min="139" max="139"/>
    <col hidden="1" width="14.42578125" customWidth="1" style="49" min="140" max="140"/>
    <col hidden="1" width="9.7109375" customWidth="1" style="49" min="141" max="142"/>
    <col hidden="1" width="14" customWidth="1" style="285" min="143" max="143"/>
    <col hidden="1" width="9.7109375" customWidth="1" style="49" min="144" max="145"/>
    <col hidden="1" width="12.28515625" customWidth="1" style="285" min="146" max="146"/>
    <col hidden="1" width="12.28515625" customWidth="1" style="49" min="147" max="147"/>
    <col hidden="1" width="12" customWidth="1" style="285" min="148" max="148"/>
    <col hidden="1" width="9.7109375" customWidth="1" style="49" min="149" max="160"/>
    <col width="3.28515625" customWidth="1" style="6" min="161" max="161"/>
    <col width="21.85546875" bestFit="1" customWidth="1" style="6" min="162" max="162"/>
    <col width="9.140625" customWidth="1" style="6" min="163" max="163"/>
    <col hidden="1" width="13" customWidth="1" style="6" min="164" max="168"/>
    <col width="9.140625" customWidth="1" style="6" min="169" max="172"/>
    <col width="4" customWidth="1" style="6" min="173" max="173"/>
    <col width="9.140625" customWidth="1" style="6" min="174" max="16384"/>
  </cols>
  <sheetData>
    <row r="1" ht="23.25" customHeight="1">
      <c r="A1" s="75" t="inlineStr">
        <is>
          <t>Controle de Contagem Semanal - Antilhas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  <c r="AD1" s="75" t="n"/>
      <c r="AE1" s="75" t="n"/>
      <c r="AF1" s="75" t="n"/>
      <c r="AG1" s="75" t="n"/>
      <c r="AH1" s="75" t="n"/>
      <c r="AI1" s="75" t="n"/>
      <c r="AJ1" s="75" t="n"/>
      <c r="AK1" s="75" t="n"/>
      <c r="AL1" s="75" t="n"/>
      <c r="AM1" s="75" t="n"/>
      <c r="AN1" s="75" t="n"/>
      <c r="AO1" s="75" t="n"/>
      <c r="AP1" s="75" t="n"/>
      <c r="AQ1" s="75" t="n"/>
      <c r="AR1" s="75" t="n"/>
      <c r="AS1" s="75" t="n"/>
      <c r="AT1" s="75" t="n"/>
      <c r="AU1" s="75" t="n"/>
      <c r="AV1" s="75" t="n"/>
      <c r="AW1" s="75" t="n"/>
      <c r="AX1" s="75" t="n"/>
      <c r="AY1" s="75" t="n"/>
      <c r="AZ1" s="75" t="n"/>
      <c r="BA1" s="75" t="n"/>
      <c r="BB1" s="75" t="n"/>
      <c r="BC1" s="75" t="n"/>
      <c r="BD1" s="75" t="n"/>
      <c r="BE1" s="75" t="n"/>
      <c r="BF1" s="75" t="n"/>
      <c r="BG1" s="75" t="n"/>
      <c r="BH1" s="75" t="n"/>
      <c r="BI1" s="75" t="n"/>
      <c r="BJ1" s="75" t="n"/>
      <c r="BK1" s="75" t="n"/>
      <c r="BL1" s="75" t="n"/>
      <c r="BM1" s="75" t="n"/>
      <c r="BN1" s="75" t="n"/>
      <c r="BO1" s="75" t="n"/>
      <c r="BP1" s="75" t="n"/>
      <c r="BQ1" s="75" t="n"/>
      <c r="BR1" s="75" t="n"/>
      <c r="BS1" s="75" t="n"/>
      <c r="BT1" s="75" t="n"/>
      <c r="BU1" s="75" t="n"/>
      <c r="BV1" s="75" t="n"/>
      <c r="BW1" s="75" t="n"/>
      <c r="BX1" s="75" t="n"/>
      <c r="BY1" s="75" t="n"/>
      <c r="BZ1" s="75" t="n"/>
      <c r="CA1" s="75" t="n"/>
      <c r="CB1" s="75" t="n"/>
      <c r="CC1" s="75" t="n"/>
      <c r="CD1" s="74" t="n"/>
      <c r="CE1" s="74" t="n"/>
      <c r="CF1" s="75" t="n"/>
      <c r="CG1" s="75" t="n"/>
      <c r="CH1" s="75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284" t="n"/>
      <c r="EN1" s="74" t="n"/>
      <c r="EO1" s="74" t="n"/>
      <c r="EP1" s="284" t="n"/>
      <c r="EQ1" s="74" t="n"/>
      <c r="ER1" s="28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</row>
    <row r="2">
      <c r="A2" s="50" t="inlineStr">
        <is>
          <t>LOJA:</t>
        </is>
      </c>
      <c r="B2" s="639" t="inlineStr">
        <is>
          <t>MONGAGUÁ</t>
        </is>
      </c>
      <c r="C2" s="640" t="n"/>
      <c r="D2" s="641" t="n"/>
      <c r="CD2" s="6" t="n"/>
      <c r="CE2" s="6" t="n"/>
      <c r="CG2" s="6" t="n"/>
      <c r="CI2" s="6" t="n"/>
      <c r="CJ2" s="6" t="n"/>
      <c r="CK2" s="6" t="n"/>
      <c r="CL2" s="6" t="n"/>
      <c r="CN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G2" s="6" t="n"/>
      <c r="DI2" s="6" t="n"/>
      <c r="DJ2" s="6" t="n"/>
      <c r="DK2" s="6" t="n"/>
      <c r="DL2" s="6" t="n"/>
      <c r="DM2" s="6" t="n"/>
      <c r="DN2" s="6" t="n"/>
      <c r="DO2" s="6" t="n"/>
      <c r="DP2" s="6" t="n"/>
      <c r="DQ2" s="6" t="n"/>
      <c r="DR2" s="6" t="n"/>
      <c r="DS2" s="6" t="n"/>
      <c r="DU2" s="6" t="n"/>
      <c r="DV2" s="6" t="n"/>
      <c r="DW2" s="6" t="n"/>
      <c r="DX2" s="6" t="n"/>
      <c r="DY2" s="6" t="n"/>
      <c r="EA2" s="6" t="n"/>
      <c r="ED2" s="6" t="n"/>
      <c r="EE2" s="6" t="n"/>
      <c r="EF2" s="6" t="n"/>
      <c r="EG2" s="6" t="n"/>
      <c r="EH2" s="6" t="n"/>
      <c r="EI2" s="6" t="n"/>
      <c r="EJ2" s="6" t="n"/>
      <c r="EK2" s="6" t="n"/>
      <c r="EL2" s="6" t="n"/>
      <c r="EN2" s="6" t="n"/>
      <c r="EO2" s="6" t="n"/>
      <c r="EQ2" s="6" t="n"/>
      <c r="ES2" s="6" t="n"/>
      <c r="ET2" s="6" t="n"/>
      <c r="EU2" s="6" t="n"/>
      <c r="EV2" s="6" t="n"/>
      <c r="EW2" s="6" t="n"/>
      <c r="EX2" s="6" t="n"/>
      <c r="EY2" s="6" t="n"/>
      <c r="EZ2" s="6" t="n"/>
      <c r="FA2" s="6" t="n"/>
      <c r="FB2" s="6" t="n"/>
      <c r="FC2" s="6" t="n"/>
      <c r="FD2" s="6" t="n"/>
    </row>
    <row r="3">
      <c r="A3" s="50" t="inlineStr">
        <is>
          <t>Responsável:</t>
        </is>
      </c>
      <c r="B3" s="253" t="inlineStr">
        <is>
          <t>PATRÍCIA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706" t="n"/>
      <c r="AB3" s="706" t="n"/>
      <c r="AC3" s="706" t="n"/>
      <c r="AD3" s="706" t="n"/>
      <c r="AE3" s="706" t="n"/>
      <c r="AF3" s="706" t="n"/>
      <c r="AG3" s="706" t="n"/>
      <c r="AH3" s="706" t="n"/>
      <c r="AI3" s="706" t="n"/>
      <c r="AJ3" s="706" t="n"/>
      <c r="AK3" s="706" t="n"/>
      <c r="AL3" s="706" t="n"/>
      <c r="AM3" s="706" t="n"/>
      <c r="AN3" s="706" t="n"/>
      <c r="AO3" s="706" t="n"/>
      <c r="AP3" s="706" t="n"/>
      <c r="AQ3" s="706" t="n"/>
      <c r="AR3" s="706" t="n"/>
      <c r="AS3" s="706" t="n"/>
      <c r="AT3" s="706" t="n"/>
      <c r="AU3" s="706" t="n"/>
      <c r="AV3" s="706" t="n"/>
      <c r="AW3" s="706" t="n"/>
      <c r="AX3" s="706" t="n"/>
      <c r="AY3" s="706" t="n"/>
      <c r="AZ3" s="706" t="n"/>
      <c r="BA3" s="706" t="n"/>
      <c r="BB3" s="706" t="n"/>
      <c r="BC3" s="706" t="n"/>
      <c r="BD3" s="706" t="n"/>
      <c r="BE3" s="706" t="n"/>
      <c r="BF3" s="706" t="n"/>
      <c r="BG3" s="706" t="n"/>
      <c r="BH3" s="706" t="n"/>
      <c r="BI3" s="706" t="n"/>
      <c r="BJ3" s="706" t="n"/>
      <c r="BK3" s="706" t="n"/>
      <c r="BL3" s="706" t="n"/>
      <c r="BM3" s="706" t="n"/>
      <c r="BN3" s="706" t="n"/>
      <c r="BO3" s="706" t="n"/>
      <c r="BP3" s="706" t="n"/>
      <c r="BQ3" s="706" t="n"/>
      <c r="BR3" s="706" t="n"/>
      <c r="BS3" s="706" t="n"/>
      <c r="BT3" s="706" t="n"/>
      <c r="BU3" s="706" t="n"/>
      <c r="BV3" s="706" t="n"/>
      <c r="BW3" s="706" t="n"/>
      <c r="BX3" s="706" t="n"/>
      <c r="BY3" s="706" t="n"/>
      <c r="BZ3" s="706" t="n"/>
      <c r="CA3" s="706" t="n"/>
      <c r="CB3" s="642" t="n"/>
      <c r="CC3" s="642" t="n"/>
      <c r="CD3" s="642" t="n"/>
      <c r="CE3" s="642" t="n"/>
      <c r="CF3" s="642" t="n"/>
      <c r="CH3" s="642" t="n"/>
      <c r="CI3" s="642" t="n"/>
      <c r="CJ3" s="642" t="n"/>
      <c r="CK3" s="642" t="n"/>
      <c r="CL3" s="642" t="n"/>
      <c r="CN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D3" s="642" t="n"/>
      <c r="DE3" s="642" t="n"/>
      <c r="DG3" s="642" t="n"/>
      <c r="DI3" s="642" t="n"/>
      <c r="DJ3" s="642" t="n"/>
      <c r="DK3" s="642" t="n"/>
      <c r="DL3" s="642" t="n"/>
      <c r="DM3" s="642" t="n"/>
      <c r="DN3" s="642" t="n"/>
      <c r="DO3" s="642" t="n"/>
      <c r="DP3" s="642" t="n"/>
      <c r="DQ3" s="642" t="n"/>
      <c r="DR3" s="642" t="n"/>
      <c r="DS3" s="642" t="n"/>
      <c r="DU3" s="642" t="n"/>
      <c r="DV3" s="642" t="n"/>
      <c r="DW3" s="642" t="n"/>
      <c r="DX3" s="642" t="n"/>
      <c r="DY3" s="642" t="n"/>
      <c r="EA3" s="642" t="n"/>
      <c r="ED3" s="642" t="n"/>
      <c r="EE3" s="642" t="n"/>
      <c r="EF3" s="642" t="n"/>
      <c r="EG3" s="642" t="n"/>
      <c r="EH3" s="642" t="n"/>
      <c r="EI3" s="642" t="n"/>
      <c r="EJ3" s="642" t="n"/>
      <c r="EK3" s="642" t="n"/>
      <c r="EL3" s="642" t="n"/>
      <c r="EN3" s="642" t="n"/>
      <c r="EO3" s="642" t="n"/>
      <c r="EQ3" s="642" t="n"/>
      <c r="ES3" s="642" t="n"/>
      <c r="ET3" s="642" t="n"/>
      <c r="EU3" s="642" t="n"/>
      <c r="EV3" s="642" t="n"/>
      <c r="EW3" s="642" t="n"/>
      <c r="EX3" s="642" t="n"/>
      <c r="EY3" s="642" t="n"/>
      <c r="EZ3" s="642" t="n"/>
      <c r="FA3" s="642" t="n"/>
      <c r="FB3" s="642" t="n"/>
      <c r="FC3" s="642" t="n"/>
      <c r="FD3" s="642" t="n"/>
    </row>
    <row r="4">
      <c r="CD4" s="6" t="n"/>
      <c r="CE4" s="6" t="n"/>
      <c r="CI4" s="6" t="n"/>
      <c r="CJ4" s="6" t="n"/>
      <c r="CK4" s="6" t="n"/>
      <c r="CL4" s="6" t="n"/>
      <c r="CM4" s="254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254" t="n"/>
      <c r="DG4" s="6" t="n"/>
      <c r="DH4" s="254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254" t="n"/>
      <c r="DU4" s="6" t="n"/>
      <c r="DV4" s="6" t="n"/>
      <c r="DW4" s="6" t="n"/>
      <c r="DX4" s="6" t="n"/>
      <c r="DY4" s="6" t="n"/>
      <c r="DZ4" s="254" t="n"/>
      <c r="EA4" s="6" t="n"/>
      <c r="EB4" s="254" t="n"/>
      <c r="EC4" s="254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286" t="n"/>
      <c r="EN4" s="6" t="n"/>
      <c r="EO4" s="6" t="n"/>
      <c r="EP4" s="286" t="n"/>
      <c r="EQ4" s="6" t="n"/>
      <c r="ER4" s="286" t="n"/>
      <c r="ES4" s="6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G5" s="12" t="inlineStr">
        <is>
          <t>Novo Pedido</t>
        </is>
      </c>
      <c r="CI5" s="646" t="n">
        <v>46156</v>
      </c>
      <c r="CJ5" s="646" t="n">
        <v>46142</v>
      </c>
      <c r="CK5" s="646" t="n">
        <v>46114</v>
      </c>
      <c r="CL5" s="646" t="n">
        <v>46107</v>
      </c>
      <c r="CM5" s="647" t="n">
        <v>46065</v>
      </c>
      <c r="CN5" s="646" t="n">
        <v>46099</v>
      </c>
      <c r="CO5" s="646" t="n">
        <v>46092</v>
      </c>
      <c r="CP5" s="648" t="inlineStr">
        <is>
          <t>TRANSF.</t>
        </is>
      </c>
      <c r="CQ5" s="648" t="inlineStr">
        <is>
          <t>TRANSF.</t>
        </is>
      </c>
      <c r="CR5" s="646" t="n">
        <v>46071</v>
      </c>
      <c r="CS5" s="648" t="inlineStr">
        <is>
          <t>TRANSF.</t>
        </is>
      </c>
      <c r="CT5" s="646" t="n">
        <v>46035</v>
      </c>
      <c r="CU5" s="646" t="n">
        <v>46029</v>
      </c>
      <c r="CV5" s="648" t="inlineStr">
        <is>
          <t>TRANSF.</t>
        </is>
      </c>
      <c r="CW5" s="646" t="n">
        <v>46024</v>
      </c>
      <c r="CX5" s="646" t="n">
        <v>46372</v>
      </c>
      <c r="CY5" s="646" t="n">
        <v>46007</v>
      </c>
      <c r="CZ5" s="648" t="inlineStr">
        <is>
          <t>TRANSF.</t>
        </is>
      </c>
      <c r="DA5" s="646" t="n">
        <v>45986</v>
      </c>
      <c r="DB5" s="646" t="n">
        <v>45980</v>
      </c>
      <c r="DC5" s="646" t="n">
        <v>45960</v>
      </c>
      <c r="DD5" s="646" t="n">
        <v>45951</v>
      </c>
      <c r="DE5" s="648" t="inlineStr">
        <is>
          <t>TRANSF.</t>
        </is>
      </c>
      <c r="DF5" s="678" t="inlineStr">
        <is>
          <t>TRANSF.</t>
        </is>
      </c>
      <c r="DG5" s="646" t="n">
        <v>45937</v>
      </c>
      <c r="DH5" s="678" t="n">
        <v>45903</v>
      </c>
      <c r="DI5" s="648" t="inlineStr">
        <is>
          <t>TRANSF.</t>
        </is>
      </c>
      <c r="DJ5" s="648" t="inlineStr">
        <is>
          <t>TRANSF.</t>
        </is>
      </c>
      <c r="DK5" s="646" t="n">
        <v>45923</v>
      </c>
      <c r="DL5" s="679" t="inlineStr">
        <is>
          <t>TRANSF.</t>
        </is>
      </c>
      <c r="DM5" s="646" t="n">
        <v>45915</v>
      </c>
      <c r="DN5" s="679" t="n">
        <v>45863</v>
      </c>
      <c r="DO5" s="646" t="n">
        <v>45909</v>
      </c>
      <c r="DP5" s="646" t="n">
        <v>45903</v>
      </c>
      <c r="DQ5" s="646" t="n">
        <v>45903</v>
      </c>
      <c r="DR5" s="646" t="n">
        <v>45895</v>
      </c>
      <c r="DS5" s="648" t="inlineStr">
        <is>
          <t>TRANSF.</t>
        </is>
      </c>
      <c r="DT5" s="681" t="inlineStr">
        <is>
          <t>TRANSF.</t>
        </is>
      </c>
      <c r="DU5" s="646" t="n">
        <v>45888</v>
      </c>
      <c r="DV5" s="646" t="n">
        <v>45881</v>
      </c>
      <c r="DW5" s="646" t="n">
        <v>45874</v>
      </c>
      <c r="DX5" s="646" t="n">
        <v>45860</v>
      </c>
      <c r="DY5" s="646" t="n">
        <v>45848</v>
      </c>
      <c r="DZ5" s="681" t="inlineStr">
        <is>
          <t>TRANSF.</t>
        </is>
      </c>
      <c r="EA5" s="646" t="n">
        <v>45839</v>
      </c>
      <c r="EB5" s="681" t="inlineStr">
        <is>
          <t>AUTOMÁTICO</t>
        </is>
      </c>
      <c r="EC5" s="681" t="n">
        <v>45791</v>
      </c>
      <c r="ED5" s="646" t="n">
        <v>45825</v>
      </c>
      <c r="EE5" s="646" t="n">
        <v>45819</v>
      </c>
      <c r="EF5" s="646" t="n">
        <v>45813</v>
      </c>
      <c r="EG5" s="646" t="n">
        <v>45805</v>
      </c>
      <c r="EH5" s="646" t="n">
        <v>45798</v>
      </c>
      <c r="EI5" s="683" t="inlineStr">
        <is>
          <t>TRANSF.</t>
        </is>
      </c>
      <c r="EJ5" s="648" t="inlineStr">
        <is>
          <t>TRANSF.</t>
        </is>
      </c>
      <c r="EK5" s="654" t="n">
        <v>45790</v>
      </c>
      <c r="EL5" s="683" t="n">
        <v>45735</v>
      </c>
      <c r="EM5" s="684" t="inlineStr">
        <is>
          <t>TRANSF.</t>
        </is>
      </c>
      <c r="EN5" s="646" t="n">
        <v>45770</v>
      </c>
      <c r="EO5" s="646" t="n">
        <v>45743</v>
      </c>
      <c r="EP5" s="684" t="inlineStr">
        <is>
          <t>TRANSF.</t>
        </is>
      </c>
      <c r="EQ5" s="648" t="inlineStr">
        <is>
          <t>TRANSF.</t>
        </is>
      </c>
      <c r="ER5" s="684" t="n">
        <v>45700</v>
      </c>
      <c r="ES5" s="646" t="n">
        <v>45728</v>
      </c>
      <c r="ET5" s="646" t="n">
        <v>45722</v>
      </c>
      <c r="EU5" s="646" t="n">
        <v>45714</v>
      </c>
      <c r="EV5" s="646" t="n">
        <v>45706</v>
      </c>
      <c r="EW5" s="646" t="n">
        <v>45699</v>
      </c>
      <c r="EX5" s="646" t="n">
        <v>45693</v>
      </c>
      <c r="EY5" s="646" t="n">
        <v>45685</v>
      </c>
      <c r="EZ5" s="646" t="n">
        <v>45679</v>
      </c>
      <c r="FA5" s="646" t="n">
        <v>45674</v>
      </c>
      <c r="FB5" s="646" t="n">
        <v>45664</v>
      </c>
      <c r="FC5" s="646" t="n">
        <v>45660</v>
      </c>
      <c r="FD5" s="646" t="n">
        <v>45652</v>
      </c>
    </row>
    <row r="6" customForma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6" t="n"/>
      <c r="CD6" s="414" t="inlineStr">
        <is>
          <t>SUGESTÃO</t>
        </is>
      </c>
      <c r="CE6" s="214" t="n">
        <v>46156</v>
      </c>
      <c r="CF6" s="653" t="n"/>
      <c r="CG6" s="656" t="n"/>
      <c r="CH6" s="653" t="n"/>
      <c r="CI6" s="654" t="n"/>
      <c r="CJ6" s="654" t="n">
        <v>46148</v>
      </c>
      <c r="CK6" s="654" t="n">
        <v>46121</v>
      </c>
      <c r="CL6" s="654" t="n">
        <v>46111</v>
      </c>
      <c r="CM6" s="647" t="n">
        <v>46111</v>
      </c>
      <c r="CN6" s="654" t="n">
        <v>46106</v>
      </c>
      <c r="CO6" s="654" t="n">
        <v>46100</v>
      </c>
      <c r="CP6" s="655" t="n">
        <v>46080</v>
      </c>
      <c r="CQ6" s="655" t="n">
        <v>46079</v>
      </c>
      <c r="CR6" s="654" t="n">
        <v>46073</v>
      </c>
      <c r="CS6" s="655" t="n">
        <v>46055</v>
      </c>
      <c r="CT6" s="654" t="n">
        <v>46043</v>
      </c>
      <c r="CU6" s="654" t="n">
        <v>46043</v>
      </c>
      <c r="CV6" s="655" t="n">
        <v>46037</v>
      </c>
      <c r="CW6" s="654" t="n">
        <v>46031</v>
      </c>
      <c r="CX6" s="654" t="n">
        <v>46027</v>
      </c>
      <c r="CY6" s="654" t="n">
        <v>46014</v>
      </c>
      <c r="CZ6" s="655" t="n">
        <v>46375</v>
      </c>
      <c r="DA6" s="654" t="n">
        <v>45994</v>
      </c>
      <c r="DB6" s="654" t="n">
        <v>45989</v>
      </c>
      <c r="DC6" s="654" t="n">
        <v>45966</v>
      </c>
      <c r="DD6" s="654" t="n">
        <v>45958</v>
      </c>
      <c r="DE6" s="655" t="n">
        <v>45954</v>
      </c>
      <c r="DF6" s="687" t="n">
        <v>45954</v>
      </c>
      <c r="DG6" s="654" t="n">
        <v>45946</v>
      </c>
      <c r="DH6" s="687" t="n">
        <v>45946</v>
      </c>
      <c r="DI6" s="655" t="n">
        <v>45941</v>
      </c>
      <c r="DJ6" s="655" t="n">
        <v>45931</v>
      </c>
      <c r="DK6" s="654" t="n">
        <v>45927</v>
      </c>
      <c r="DL6" s="688" t="n">
        <v>45922</v>
      </c>
      <c r="DM6" s="654" t="n">
        <v>45920</v>
      </c>
      <c r="DN6" s="688" t="n">
        <v>45919</v>
      </c>
      <c r="DO6" s="654" t="n">
        <v>45913</v>
      </c>
      <c r="DP6" s="654" t="n">
        <v>45910</v>
      </c>
      <c r="DQ6" s="654" t="n">
        <v>45905</v>
      </c>
      <c r="DR6" s="654" t="n">
        <v>45902</v>
      </c>
      <c r="DS6" s="655" t="n">
        <v>45897</v>
      </c>
      <c r="DT6" s="681" t="n">
        <v>45896</v>
      </c>
      <c r="DU6" s="654" t="n">
        <v>45891</v>
      </c>
      <c r="DV6" s="654" t="n">
        <v>45887</v>
      </c>
      <c r="DW6" s="654" t="n">
        <v>45880</v>
      </c>
      <c r="DX6" s="654" t="n">
        <v>45866</v>
      </c>
      <c r="DY6" s="654" t="n">
        <v>45856</v>
      </c>
      <c r="DZ6" s="681" t="n">
        <v>45848</v>
      </c>
      <c r="EA6" s="654" t="n">
        <v>45842</v>
      </c>
      <c r="EB6" s="681" t="n">
        <v>45842</v>
      </c>
      <c r="EC6" s="681" t="n">
        <v>45840</v>
      </c>
      <c r="ED6" s="654" t="n">
        <v>45831</v>
      </c>
      <c r="EE6" s="654" t="n">
        <v>45824</v>
      </c>
      <c r="EF6" s="654" t="n">
        <v>45824</v>
      </c>
      <c r="EG6" s="654" t="n">
        <v>45810</v>
      </c>
      <c r="EH6" s="654" t="n">
        <v>45800</v>
      </c>
      <c r="EI6" s="690" t="n">
        <v>45798</v>
      </c>
      <c r="EJ6" s="655" t="n">
        <v>45798</v>
      </c>
      <c r="EK6" s="654" t="n">
        <v>45792</v>
      </c>
      <c r="EL6" s="690" t="n">
        <v>45791</v>
      </c>
      <c r="EM6" s="684" t="n">
        <v>45785</v>
      </c>
      <c r="EN6" s="654" t="n">
        <v>45777</v>
      </c>
      <c r="EO6" s="654" t="n">
        <v>45751</v>
      </c>
      <c r="EP6" s="684" t="n">
        <v>45751</v>
      </c>
      <c r="EQ6" s="655" t="n">
        <v>45750</v>
      </c>
      <c r="ER6" s="684" t="n">
        <v>45742</v>
      </c>
      <c r="ES6" s="654" t="n">
        <v>45735</v>
      </c>
      <c r="ET6" s="654" t="n">
        <v>45727</v>
      </c>
      <c r="EU6" s="654" t="n">
        <v>45727</v>
      </c>
      <c r="EV6" s="654" t="n">
        <v>45713</v>
      </c>
      <c r="EW6" s="654" t="n">
        <v>45702</v>
      </c>
      <c r="EX6" s="654" t="n">
        <v>45695</v>
      </c>
      <c r="EY6" s="654" t="n">
        <v>45692</v>
      </c>
      <c r="EZ6" s="654" t="n">
        <v>45686</v>
      </c>
      <c r="FA6" s="654" t="n">
        <v>45680</v>
      </c>
      <c r="FB6" s="654" t="n">
        <v>45670</v>
      </c>
      <c r="FC6" s="654" t="n">
        <v>45665</v>
      </c>
      <c r="FD6" s="654" t="n">
        <v>45659</v>
      </c>
      <c r="FF6" s="6" t="n"/>
      <c r="FG6" s="6" t="n"/>
      <c r="FH6" s="6" t="n"/>
      <c r="FI6" s="6" t="n"/>
      <c r="FJ6" s="6" t="n"/>
      <c r="FK6" s="6" t="n"/>
      <c r="FL6" s="6" t="n"/>
      <c r="FM6" s="6" t="n"/>
      <c r="FN6" s="6" t="n"/>
      <c r="FO6" s="6" t="n"/>
      <c r="FP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89" t="n"/>
      <c r="CE7" s="89" t="n"/>
      <c r="CF7" s="6" t="n"/>
      <c r="CG7" s="89" t="n"/>
      <c r="CH7" s="6" t="n"/>
      <c r="CI7" s="283" t="n"/>
      <c r="CJ7" s="283" t="n"/>
      <c r="CK7" s="283" t="n"/>
      <c r="CL7" s="283" t="n"/>
      <c r="CM7" s="575" t="inlineStr">
        <is>
          <t>MÃES</t>
        </is>
      </c>
      <c r="CN7" s="283" t="n"/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575" t="n"/>
      <c r="DG7" s="283" t="n"/>
      <c r="DH7" s="575" t="n"/>
      <c r="DI7" s="283" t="n"/>
      <c r="DJ7" s="283" t="n"/>
      <c r="DK7" s="283" t="n"/>
      <c r="DL7" s="575" t="n"/>
      <c r="DM7" s="283" t="n"/>
      <c r="DN7" s="575" t="inlineStr">
        <is>
          <t>HA</t>
        </is>
      </c>
      <c r="DO7" s="283" t="n"/>
      <c r="DP7" s="283" t="n"/>
      <c r="DQ7" s="283" t="n"/>
      <c r="DR7" s="283" t="n"/>
      <c r="DS7" s="283" t="n"/>
      <c r="DT7" s="575" t="inlineStr">
        <is>
          <t>PAIS/25</t>
        </is>
      </c>
      <c r="DU7" s="283" t="n"/>
      <c r="DV7" s="283" t="n"/>
      <c r="DW7" s="283" t="n"/>
      <c r="DX7" s="283" t="n"/>
      <c r="DY7" s="283" t="n"/>
      <c r="DZ7" s="575" t="inlineStr">
        <is>
          <t>PAIS/25</t>
        </is>
      </c>
      <c r="EA7" s="283" t="n"/>
      <c r="EB7" s="575" t="n"/>
      <c r="EC7" s="575" t="n"/>
      <c r="ED7" s="283" t="n"/>
      <c r="EE7" s="283" t="n"/>
      <c r="EF7" s="283" t="n"/>
      <c r="EG7" s="283" t="n"/>
      <c r="EH7" s="283" t="n"/>
      <c r="EI7" s="575" t="inlineStr">
        <is>
          <t>NAMO/25</t>
        </is>
      </c>
      <c r="EJ7" s="575" t="n"/>
      <c r="EK7" s="575" t="n"/>
      <c r="EL7" s="283" t="n"/>
      <c r="EM7" s="575" t="inlineStr">
        <is>
          <t>MÃES/25</t>
        </is>
      </c>
      <c r="EN7" s="575" t="n"/>
      <c r="EO7" s="575" t="n"/>
      <c r="EP7" s="575" t="inlineStr">
        <is>
          <t>MÃES/25</t>
        </is>
      </c>
      <c r="EQ7" s="575" t="n"/>
      <c r="ER7" s="575" t="inlineStr">
        <is>
          <t>MÃES/25</t>
        </is>
      </c>
      <c r="ES7" s="575" t="n"/>
      <c r="ET7" s="575" t="n"/>
      <c r="EU7" s="575" t="n"/>
      <c r="EV7" s="575" t="n"/>
      <c r="EW7" s="575" t="n"/>
      <c r="EX7" s="575" t="n"/>
      <c r="EY7" s="575" t="n"/>
      <c r="EZ7" s="575" t="n"/>
      <c r="FA7" s="575" t="n"/>
      <c r="FB7" s="575" t="n"/>
      <c r="FC7" s="575" t="n"/>
      <c r="FD7" s="575" t="n"/>
      <c r="FF7" s="504" t="inlineStr">
        <is>
          <t>MÃES 2026</t>
        </is>
      </c>
      <c r="FG7" s="658" t="n"/>
      <c r="FH7" s="658" t="n"/>
      <c r="FI7" s="658" t="n"/>
      <c r="FJ7" s="658" t="n"/>
      <c r="FK7" s="658" t="n"/>
      <c r="FL7" s="658" t="n"/>
      <c r="FM7" s="658" t="n"/>
      <c r="FN7" s="658" t="n"/>
      <c r="FO7" s="505" t="n"/>
      <c r="FP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350</v>
      </c>
      <c r="E8" s="6" t="n"/>
      <c r="F8" s="38">
        <f>410+FD8</f>
        <v/>
      </c>
      <c r="G8" s="38" t="n">
        <v>570</v>
      </c>
      <c r="H8" s="38" t="n">
        <v>790</v>
      </c>
      <c r="I8" s="38" t="n">
        <v>660</v>
      </c>
      <c r="J8" s="38" t="n">
        <v>550</v>
      </c>
      <c r="K8" s="38" t="n">
        <v>530</v>
      </c>
      <c r="L8" s="38" t="n">
        <v>410</v>
      </c>
      <c r="M8" s="38" t="n">
        <v>370</v>
      </c>
      <c r="N8" s="38" t="n">
        <v>350</v>
      </c>
      <c r="O8" s="38" t="n">
        <v>280</v>
      </c>
      <c r="P8" s="38">
        <f>130+ET8</f>
        <v/>
      </c>
      <c r="Q8" s="38" t="n">
        <v>370</v>
      </c>
      <c r="R8" s="38" t="n">
        <v>310</v>
      </c>
      <c r="S8" s="38" t="n">
        <v>200</v>
      </c>
      <c r="T8" s="38" t="n">
        <v>460</v>
      </c>
      <c r="U8" s="38" t="n">
        <v>360</v>
      </c>
      <c r="V8" s="38" t="n">
        <v>280</v>
      </c>
      <c r="W8" s="38" t="n">
        <v>160</v>
      </c>
      <c r="X8" s="38" t="n">
        <v>400</v>
      </c>
      <c r="Y8" s="38" t="n">
        <v>300</v>
      </c>
      <c r="Z8" s="38">
        <f>780-300</f>
        <v/>
      </c>
      <c r="AA8" s="38" t="n">
        <v>430</v>
      </c>
      <c r="AB8" s="38" t="n">
        <v>320</v>
      </c>
      <c r="AC8" s="38" t="n">
        <v>270</v>
      </c>
      <c r="AD8" s="38" t="n">
        <v>150</v>
      </c>
      <c r="AE8" s="38">
        <f>70+ED8</f>
        <v/>
      </c>
      <c r="AF8" s="38" t="n">
        <v>320</v>
      </c>
      <c r="AG8" s="38" t="n">
        <v>170</v>
      </c>
      <c r="AH8" s="38" t="n">
        <v>150</v>
      </c>
      <c r="AI8" s="38" t="n">
        <v>340</v>
      </c>
      <c r="AJ8" s="38" t="n">
        <v>290</v>
      </c>
      <c r="AK8" s="38" t="n">
        <v>180</v>
      </c>
      <c r="AL8" s="38">
        <f>50+DW8</f>
        <v/>
      </c>
      <c r="AM8" s="38" t="n">
        <v>300</v>
      </c>
      <c r="AN8" s="38" t="n">
        <v>300</v>
      </c>
      <c r="AO8" s="38" t="n">
        <v>150</v>
      </c>
      <c r="AP8" s="38" t="n">
        <v>110</v>
      </c>
      <c r="AQ8" s="38" t="n">
        <v>340</v>
      </c>
      <c r="AR8" s="38" t="n">
        <v>250</v>
      </c>
      <c r="AS8" s="38">
        <f>220+DK8</f>
        <v/>
      </c>
      <c r="AT8" s="38" t="n">
        <v>330</v>
      </c>
      <c r="AU8" s="38">
        <f>270+DG8</f>
        <v/>
      </c>
      <c r="AV8" s="38" t="n">
        <v>540</v>
      </c>
      <c r="AW8" s="38" t="n">
        <v>330</v>
      </c>
      <c r="AX8" s="38">
        <f>320+DC8</f>
        <v/>
      </c>
      <c r="AY8" s="38" t="n">
        <v>460</v>
      </c>
      <c r="AZ8" s="38" t="n">
        <v>370</v>
      </c>
      <c r="BA8" s="38">
        <f>290+DB8</f>
        <v/>
      </c>
      <c r="BB8" s="38" t="n">
        <v>590</v>
      </c>
      <c r="BC8" s="38" t="n">
        <v>590</v>
      </c>
      <c r="BD8" s="38" t="n">
        <v>140</v>
      </c>
      <c r="BE8" s="38">
        <f>100+300+600</f>
        <v/>
      </c>
      <c r="BF8" s="38" t="n">
        <v>820</v>
      </c>
      <c r="BG8" s="38" t="n">
        <v>590</v>
      </c>
      <c r="BH8" s="38" t="n">
        <v>550</v>
      </c>
      <c r="BI8" s="38">
        <f>500+CT8</f>
        <v/>
      </c>
      <c r="BJ8" s="38" t="n">
        <v>710</v>
      </c>
      <c r="BK8" s="38" t="n">
        <v>680</v>
      </c>
      <c r="BL8" s="38" t="n">
        <v>350</v>
      </c>
      <c r="BM8" s="38" t="n">
        <v>340</v>
      </c>
      <c r="BN8" s="38" t="n">
        <v>500</v>
      </c>
      <c r="BO8" s="38" t="n">
        <v>450</v>
      </c>
      <c r="BP8" s="38" t="n">
        <v>400</v>
      </c>
      <c r="BQ8" s="38" t="n">
        <v>350</v>
      </c>
      <c r="BR8" s="38" t="n">
        <v>340</v>
      </c>
      <c r="BS8" s="38" t="n">
        <v>240</v>
      </c>
      <c r="BT8" s="38">
        <f>50+CK8</f>
        <v/>
      </c>
      <c r="BU8" s="38" t="n">
        <v>350</v>
      </c>
      <c r="BV8" s="38" t="n">
        <v>350</v>
      </c>
      <c r="BW8" s="38" t="n">
        <v>340</v>
      </c>
      <c r="BX8" s="38">
        <f>310+CJ8</f>
        <v/>
      </c>
      <c r="BY8" s="38" t="n">
        <v>500</v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inlineStr">
        <is>
          <t>300 P/ ATC</t>
        </is>
      </c>
      <c r="CE8" s="19" t="n">
        <v>300</v>
      </c>
      <c r="CF8" s="6" t="n"/>
      <c r="CG8" s="23" t="n"/>
      <c r="CH8" s="6" t="n"/>
      <c r="CI8" s="18" t="n">
        <v>0</v>
      </c>
      <c r="CJ8" s="18" t="n">
        <v>300</v>
      </c>
      <c r="CK8" s="18" t="n">
        <v>300</v>
      </c>
      <c r="CL8" s="18" t="n"/>
      <c r="CM8" s="356" t="n"/>
      <c r="CN8" s="18" t="n"/>
      <c r="CO8" s="18" t="n"/>
      <c r="CP8" s="256" t="n"/>
      <c r="CQ8" s="256" t="n"/>
      <c r="CR8" s="18" t="n">
        <v>300</v>
      </c>
      <c r="CS8" s="256" t="n"/>
      <c r="CT8" s="18" t="n">
        <v>300</v>
      </c>
      <c r="CU8" s="18" t="n"/>
      <c r="CV8" s="256" t="n"/>
      <c r="CW8" s="18" t="n"/>
      <c r="CX8" s="18" t="n"/>
      <c r="CY8" s="18" t="n">
        <v>600</v>
      </c>
      <c r="CZ8" s="154" t="inlineStr">
        <is>
          <t>300 DE CD</t>
        </is>
      </c>
      <c r="DA8" s="18" t="n"/>
      <c r="DB8" s="18" t="n">
        <v>300</v>
      </c>
      <c r="DC8" s="18" t="n">
        <v>300</v>
      </c>
      <c r="DD8" s="18" t="n"/>
      <c r="DE8" s="18" t="n"/>
      <c r="DF8" s="256" t="n"/>
      <c r="DG8" s="18" t="n">
        <v>300</v>
      </c>
      <c r="DH8" s="256" t="n"/>
      <c r="DI8" s="18" t="n"/>
      <c r="DJ8" s="18" t="n"/>
      <c r="DK8" s="18" t="n">
        <v>300</v>
      </c>
      <c r="DL8" s="256" t="n"/>
      <c r="DM8" s="18" t="n"/>
      <c r="DN8" s="256" t="n"/>
      <c r="DO8" s="18" t="n"/>
      <c r="DP8" s="18" t="n">
        <v>300</v>
      </c>
      <c r="DQ8" s="18" t="n"/>
      <c r="DR8" s="18" t="n"/>
      <c r="DS8" s="18" t="n"/>
      <c r="DT8" s="256" t="n"/>
      <c r="DU8" s="18" t="n"/>
      <c r="DV8" s="18" t="n"/>
      <c r="DW8" s="18" t="n">
        <v>300</v>
      </c>
      <c r="DX8" s="18" t="n"/>
      <c r="DY8" s="18" t="n">
        <v>300</v>
      </c>
      <c r="DZ8" s="256" t="n"/>
      <c r="EA8" s="18" t="n"/>
      <c r="EB8" s="256" t="n"/>
      <c r="EC8" s="256" t="n"/>
      <c r="ED8" s="18" t="n">
        <v>300</v>
      </c>
      <c r="EE8" s="18" t="n"/>
      <c r="EF8" s="18" t="n"/>
      <c r="EG8" s="18" t="n"/>
      <c r="EH8" s="18" t="n"/>
      <c r="EI8" s="256" t="n"/>
      <c r="EJ8" s="241" t="inlineStr">
        <is>
          <t>300 P/ PBE</t>
        </is>
      </c>
      <c r="EK8" s="18" t="n">
        <v>600</v>
      </c>
      <c r="EL8" s="256" t="n"/>
      <c r="EM8" s="256" t="n"/>
      <c r="EN8" s="18" t="n">
        <v>300</v>
      </c>
      <c r="EO8" s="18" t="n">
        <v>300</v>
      </c>
      <c r="EP8" s="256" t="n"/>
      <c r="EQ8" s="18" t="n"/>
      <c r="ER8" s="256" t="n"/>
      <c r="ES8" s="18" t="n"/>
      <c r="ET8" s="18" t="n">
        <v>300</v>
      </c>
      <c r="EU8" s="18" t="n"/>
      <c r="EV8" s="18" t="n"/>
      <c r="EW8" s="18" t="n"/>
      <c r="EX8" s="18" t="n"/>
      <c r="EY8" s="18" t="n"/>
      <c r="EZ8" s="18" t="n"/>
      <c r="FA8" s="18" t="n"/>
      <c r="FB8" s="18" t="n">
        <v>300</v>
      </c>
      <c r="FC8" s="18" t="n"/>
      <c r="FD8" s="18" t="n">
        <v>300</v>
      </c>
      <c r="FF8" s="267" t="inlineStr">
        <is>
          <t xml:space="preserve">SACOLAS </t>
        </is>
      </c>
      <c r="FG8" s="205" t="inlineStr">
        <is>
          <t>PCT</t>
        </is>
      </c>
      <c r="FH8" s="650" t="n">
        <v>46118</v>
      </c>
      <c r="FI8" s="650" t="n">
        <v>46125</v>
      </c>
      <c r="FJ8" s="650" t="n">
        <v>46132</v>
      </c>
      <c r="FK8" s="650" t="n">
        <v>46139</v>
      </c>
      <c r="FL8" s="650" t="n">
        <v>46146</v>
      </c>
      <c r="FM8" s="650" t="n">
        <v>46154</v>
      </c>
      <c r="FN8" s="650" t="n">
        <v>46160</v>
      </c>
      <c r="FO8" s="650" t="n">
        <v>46160</v>
      </c>
      <c r="FP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600</v>
      </c>
      <c r="E9" s="6" t="n"/>
      <c r="F9" s="38">
        <f>150+FD9</f>
        <v/>
      </c>
      <c r="G9" s="38">
        <f>900+FC9</f>
        <v/>
      </c>
      <c r="H9" s="38" t="n">
        <v>1700</v>
      </c>
      <c r="I9" s="38" t="n">
        <v>1320</v>
      </c>
      <c r="J9" s="38" t="n">
        <v>1200</v>
      </c>
      <c r="K9" s="38" t="n">
        <v>990</v>
      </c>
      <c r="L9" s="38">
        <f>810+EW9</f>
        <v/>
      </c>
      <c r="M9" s="38" t="n">
        <v>760</v>
      </c>
      <c r="N9" s="38">
        <f>650+EV9</f>
        <v/>
      </c>
      <c r="O9" s="38" t="n">
        <v>930</v>
      </c>
      <c r="P9" s="38">
        <f>590+ET9</f>
        <v/>
      </c>
      <c r="Q9" s="38">
        <f>600+ES9</f>
        <v/>
      </c>
      <c r="R9" s="38" t="n">
        <v>790</v>
      </c>
      <c r="S9" s="38" t="n">
        <v>560</v>
      </c>
      <c r="T9" s="38" t="n">
        <v>690</v>
      </c>
      <c r="U9" s="38" t="n">
        <v>510</v>
      </c>
      <c r="V9" s="38" t="n">
        <v>400</v>
      </c>
      <c r="W9" s="38" t="n">
        <v>400</v>
      </c>
      <c r="X9" s="38" t="n">
        <v>400</v>
      </c>
      <c r="Y9" s="38" t="n">
        <v>400</v>
      </c>
      <c r="Z9" s="38" t="n">
        <v>240</v>
      </c>
      <c r="AA9" s="38" t="n">
        <v>460</v>
      </c>
      <c r="AB9" s="38">
        <f>320+EG9</f>
        <v/>
      </c>
      <c r="AC9" s="38" t="n">
        <v>360</v>
      </c>
      <c r="AD9" s="38" t="n">
        <v>500</v>
      </c>
      <c r="AE9" s="38">
        <f>340+ED9</f>
        <v/>
      </c>
      <c r="AF9" s="38" t="n">
        <v>820</v>
      </c>
      <c r="AG9" s="38" t="n">
        <v>870</v>
      </c>
      <c r="AH9" s="38" t="n">
        <v>670</v>
      </c>
      <c r="AI9" s="38" t="n">
        <v>510</v>
      </c>
      <c r="AJ9" s="38">
        <f>410+DX9</f>
        <v/>
      </c>
      <c r="AK9" s="38" t="n">
        <v>390</v>
      </c>
      <c r="AL9" s="38">
        <f>180+DW9</f>
        <v/>
      </c>
      <c r="AM9" s="38" t="n">
        <v>610</v>
      </c>
      <c r="AN9" s="38" t="n">
        <v>530</v>
      </c>
      <c r="AO9" s="38">
        <f>380+DR9</f>
        <v/>
      </c>
      <c r="AP9" s="38" t="n">
        <v>400</v>
      </c>
      <c r="AQ9" s="38" t="n">
        <v>480</v>
      </c>
      <c r="AR9" s="38" t="n">
        <v>440</v>
      </c>
      <c r="AS9" s="38">
        <f>400+DK9</f>
        <v/>
      </c>
      <c r="AT9" s="38" t="n">
        <v>400</v>
      </c>
      <c r="AU9" s="38">
        <f>200+DG9</f>
        <v/>
      </c>
      <c r="AV9" s="38" t="n">
        <v>200</v>
      </c>
      <c r="AW9" s="38">
        <f>70+DD9</f>
        <v/>
      </c>
      <c r="AX9" s="38" t="n">
        <v>480</v>
      </c>
      <c r="AY9" s="38" t="n">
        <v>480</v>
      </c>
      <c r="AZ9" s="38" t="n">
        <v>480</v>
      </c>
      <c r="BA9" s="38" t="n">
        <v>480</v>
      </c>
      <c r="BB9" s="38" t="n">
        <v>480</v>
      </c>
      <c r="BC9" s="38" t="n">
        <v>480</v>
      </c>
      <c r="BD9" s="38" t="n">
        <v>340</v>
      </c>
      <c r="BE9" s="38">
        <f>200+400+800</f>
        <v/>
      </c>
      <c r="BF9" s="38" t="n">
        <v>450</v>
      </c>
      <c r="BG9" s="38" t="n">
        <v>160</v>
      </c>
      <c r="BH9" s="38">
        <f>580+400</f>
        <v/>
      </c>
      <c r="BI9" s="38">
        <f>550+CU9+CT9</f>
        <v/>
      </c>
      <c r="BJ9" s="38" t="n">
        <v>1400</v>
      </c>
      <c r="BK9" s="38" t="n">
        <v>1340</v>
      </c>
      <c r="BL9" s="38" t="n">
        <v>1220</v>
      </c>
      <c r="BM9" s="38" t="n">
        <v>910</v>
      </c>
      <c r="BN9" s="38">
        <f>1110-200-200</f>
        <v/>
      </c>
      <c r="BO9" s="38" t="n">
        <v>650</v>
      </c>
      <c r="BP9" s="38" t="n">
        <v>400</v>
      </c>
      <c r="BQ9" s="38">
        <f>110+CO9</f>
        <v/>
      </c>
      <c r="BR9" s="38">
        <f>120+CN9</f>
        <v/>
      </c>
      <c r="BS9" s="38" t="n">
        <v>320</v>
      </c>
      <c r="BT9" s="38">
        <f>0+CK9</f>
        <v/>
      </c>
      <c r="BU9" s="38" t="n">
        <v>600</v>
      </c>
      <c r="BV9" s="38" t="n">
        <v>600</v>
      </c>
      <c r="BW9" s="38" t="n">
        <v>600</v>
      </c>
      <c r="BX9" s="38" t="n">
        <v>600</v>
      </c>
      <c r="BY9" s="38" t="n">
        <v>600</v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E9" s="19" t="n">
        <v>200</v>
      </c>
      <c r="CF9" s="6" t="n"/>
      <c r="CG9" s="23" t="n"/>
      <c r="CH9" s="6" t="n"/>
      <c r="CI9" s="18" t="n">
        <v>0</v>
      </c>
      <c r="CJ9" s="18" t="n">
        <v>0</v>
      </c>
      <c r="CK9" s="18" t="n">
        <v>600</v>
      </c>
      <c r="CL9" s="18" t="n"/>
      <c r="CM9" s="256" t="n">
        <v>1200</v>
      </c>
      <c r="CN9" s="18" t="n">
        <v>400</v>
      </c>
      <c r="CO9" s="18" t="n">
        <v>200</v>
      </c>
      <c r="CP9" s="154" t="inlineStr">
        <is>
          <t>200 P/ PBE</t>
        </is>
      </c>
      <c r="CQ9" s="154" t="inlineStr">
        <is>
          <t>200 P/ BQ</t>
        </is>
      </c>
      <c r="CR9" s="18" t="n">
        <v>400</v>
      </c>
      <c r="CS9" s="18" t="n"/>
      <c r="CT9" s="18" t="n">
        <v>400</v>
      </c>
      <c r="CU9" s="18" t="n">
        <v>400</v>
      </c>
      <c r="CV9" s="154" t="inlineStr">
        <is>
          <t>400 DE ER MG</t>
        </is>
      </c>
      <c r="CW9" s="18" t="n">
        <v>600</v>
      </c>
      <c r="CX9" s="18" t="n"/>
      <c r="CY9" s="18" t="n">
        <v>800</v>
      </c>
      <c r="CZ9" s="154" t="inlineStr">
        <is>
          <t>400 DE CD</t>
        </is>
      </c>
      <c r="DA9" s="18" t="n"/>
      <c r="DB9" s="18" t="n"/>
      <c r="DC9" s="18" t="n"/>
      <c r="DD9" s="18" t="n">
        <v>600</v>
      </c>
      <c r="DE9" s="18" t="n"/>
      <c r="DF9" s="256" t="n"/>
      <c r="DG9" s="18" t="n">
        <v>400</v>
      </c>
      <c r="DH9" s="256" t="n">
        <v>1400</v>
      </c>
      <c r="DI9" s="18" t="n"/>
      <c r="DJ9" s="18" t="n"/>
      <c r="DK9" s="18" t="n">
        <v>200</v>
      </c>
      <c r="DL9" s="256" t="n"/>
      <c r="DM9" s="18" t="n">
        <v>200</v>
      </c>
      <c r="DN9" s="256" t="n"/>
      <c r="DO9" s="18" t="n"/>
      <c r="DP9" s="18" t="n">
        <v>200</v>
      </c>
      <c r="DQ9" s="18" t="n"/>
      <c r="DR9" s="18" t="n">
        <v>200</v>
      </c>
      <c r="DS9" s="18" t="n"/>
      <c r="DT9" s="256" t="n"/>
      <c r="DU9" s="18" t="n"/>
      <c r="DV9" s="18" t="n">
        <v>200</v>
      </c>
      <c r="DW9" s="18" t="n">
        <v>400</v>
      </c>
      <c r="DX9" s="18" t="n">
        <v>200</v>
      </c>
      <c r="DY9" s="18" t="n"/>
      <c r="DZ9" s="256" t="n"/>
      <c r="EA9" s="18" t="n">
        <v>200</v>
      </c>
      <c r="EB9" s="256" t="n"/>
      <c r="EC9" s="256" t="n"/>
      <c r="ED9" s="18" t="n">
        <v>600</v>
      </c>
      <c r="EE9" s="18" t="n"/>
      <c r="EF9" s="18" t="n">
        <v>400</v>
      </c>
      <c r="EG9" s="18" t="n">
        <v>200</v>
      </c>
      <c r="EH9" s="18" t="n">
        <v>400</v>
      </c>
      <c r="EI9" s="256" t="n"/>
      <c r="EJ9" s="18" t="n"/>
      <c r="EK9" s="18" t="n"/>
      <c r="EL9" s="256" t="n"/>
      <c r="EM9" s="256" t="n"/>
      <c r="EN9" s="18" t="n"/>
      <c r="EO9" s="18" t="n">
        <v>200</v>
      </c>
      <c r="EP9" s="256" t="n"/>
      <c r="EQ9" s="18" t="n"/>
      <c r="ER9" s="256" t="n">
        <v>1000</v>
      </c>
      <c r="ES9" s="18" t="n">
        <v>400</v>
      </c>
      <c r="ET9" s="18" t="n">
        <v>200</v>
      </c>
      <c r="EU9" s="18" t="n"/>
      <c r="EV9" s="18" t="n">
        <v>400</v>
      </c>
      <c r="EW9" s="18" t="n">
        <v>200</v>
      </c>
      <c r="EX9" s="18" t="n"/>
      <c r="EY9" s="18" t="n"/>
      <c r="EZ9" s="18" t="n"/>
      <c r="FA9" s="18" t="n"/>
      <c r="FB9" s="18" t="n">
        <v>200</v>
      </c>
      <c r="FC9" s="18" t="n">
        <v>600</v>
      </c>
      <c r="FD9" s="18" t="n">
        <v>1000</v>
      </c>
      <c r="FF9" s="159" t="inlineStr">
        <is>
          <t xml:space="preserve">SACOLA P </t>
        </is>
      </c>
      <c r="FG9" s="129" t="n">
        <v>200</v>
      </c>
      <c r="FH9" s="38">
        <f>CM9</f>
        <v/>
      </c>
      <c r="FI9" s="38" t="n">
        <v>1000</v>
      </c>
      <c r="FJ9" s="38" t="n">
        <v>950</v>
      </c>
      <c r="FK9" s="38" t="n">
        <v>830</v>
      </c>
      <c r="FL9" s="38" t="n">
        <v>670</v>
      </c>
      <c r="FM9" s="38" t="n">
        <v>0</v>
      </c>
      <c r="FN9" s="38" t="n"/>
      <c r="FO9" s="38" t="n"/>
      <c r="FP9" s="246">
        <f>FN9+IF(NOT(ISBLANK(OFFSET(FP9,0,6))),N(OFFSET(FP9,0,6)),N(OFFSET(FP9,0,7)))-FO9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400</v>
      </c>
      <c r="E10" s="6" t="n"/>
      <c r="F10" s="38">
        <f>110+FD10</f>
        <v/>
      </c>
      <c r="G10" s="38">
        <f>650+FC10</f>
        <v/>
      </c>
      <c r="H10" s="38" t="n">
        <v>740</v>
      </c>
      <c r="I10" s="38">
        <f>690+FA10</f>
        <v/>
      </c>
      <c r="J10" s="38" t="n">
        <v>1010</v>
      </c>
      <c r="K10" s="38" t="n">
        <v>1560</v>
      </c>
      <c r="L10" s="38" t="n">
        <v>1450</v>
      </c>
      <c r="M10" s="38" t="n">
        <v>1360</v>
      </c>
      <c r="N10" s="38" t="n">
        <v>1330</v>
      </c>
      <c r="O10" s="38" t="n">
        <v>1280</v>
      </c>
      <c r="P10" s="38" t="n">
        <v>1110</v>
      </c>
      <c r="Q10" s="38" t="n">
        <v>1040</v>
      </c>
      <c r="R10" s="38" t="n">
        <v>1010</v>
      </c>
      <c r="S10" s="38" t="n">
        <v>910</v>
      </c>
      <c r="T10" s="38" t="n">
        <v>870</v>
      </c>
      <c r="U10" s="38" t="n">
        <v>800</v>
      </c>
      <c r="V10" s="38" t="n">
        <v>800</v>
      </c>
      <c r="W10" s="38" t="n">
        <v>800</v>
      </c>
      <c r="X10" s="38" t="n">
        <v>800</v>
      </c>
      <c r="Y10" s="38" t="n">
        <v>700</v>
      </c>
      <c r="Z10" s="38">
        <f>630-200</f>
        <v/>
      </c>
      <c r="AA10" s="38" t="n">
        <v>370</v>
      </c>
      <c r="AB10" s="38" t="n">
        <v>250</v>
      </c>
      <c r="AC10" s="38" t="n">
        <v>250</v>
      </c>
      <c r="AD10" s="38" t="n">
        <v>250</v>
      </c>
      <c r="AE10" s="38">
        <f>170+ED10</f>
        <v/>
      </c>
      <c r="AF10" s="38" t="n">
        <v>500</v>
      </c>
      <c r="AG10" s="38" t="n">
        <v>430</v>
      </c>
      <c r="AH10" s="38" t="n">
        <v>380</v>
      </c>
      <c r="AI10" s="38" t="n">
        <v>290</v>
      </c>
      <c r="AJ10" s="38" t="n">
        <v>200</v>
      </c>
      <c r="AK10" s="38" t="n">
        <v>200</v>
      </c>
      <c r="AL10" s="38">
        <f>190+DW10</f>
        <v/>
      </c>
      <c r="AM10" s="38" t="n">
        <v>510</v>
      </c>
      <c r="AN10" s="38" t="n">
        <v>460</v>
      </c>
      <c r="AO10" s="38" t="n">
        <v>360</v>
      </c>
      <c r="AP10" s="38" t="n">
        <v>300</v>
      </c>
      <c r="AQ10" s="38" t="n">
        <v>430</v>
      </c>
      <c r="AR10" s="38" t="n">
        <v>530</v>
      </c>
      <c r="AS10" s="38">
        <f>510+DK10</f>
        <v/>
      </c>
      <c r="AT10" s="38" t="n">
        <v>610</v>
      </c>
      <c r="AU10" s="38" t="n">
        <v>530</v>
      </c>
      <c r="AV10" s="38" t="n">
        <v>450</v>
      </c>
      <c r="AW10" s="38" t="n">
        <v>370</v>
      </c>
      <c r="AX10" s="38">
        <f>340+DC10</f>
        <v/>
      </c>
      <c r="AY10" s="38" t="n">
        <v>340</v>
      </c>
      <c r="AZ10" s="38" t="n">
        <v>540</v>
      </c>
      <c r="BA10" s="38" t="n">
        <v>540</v>
      </c>
      <c r="BB10" s="38" t="n">
        <v>540</v>
      </c>
      <c r="BC10" s="38" t="n">
        <v>540</v>
      </c>
      <c r="BD10" s="38" t="n">
        <v>350</v>
      </c>
      <c r="BE10" s="38">
        <f>200+200+400</f>
        <v/>
      </c>
      <c r="BF10" s="38" t="n">
        <v>150</v>
      </c>
      <c r="BG10" s="38" t="n">
        <v>100</v>
      </c>
      <c r="BH10" s="38">
        <f>500+800</f>
        <v/>
      </c>
      <c r="BI10" s="38">
        <f>1290+CT10</f>
        <v/>
      </c>
      <c r="BJ10" s="38" t="n">
        <v>1490</v>
      </c>
      <c r="BK10" s="38" t="n">
        <v>1450</v>
      </c>
      <c r="BL10" s="38" t="n">
        <v>1220</v>
      </c>
      <c r="BM10" s="38" t="n">
        <v>1220</v>
      </c>
      <c r="BN10" s="38">
        <f>1220-400</f>
        <v/>
      </c>
      <c r="BO10" s="38" t="n">
        <v>820</v>
      </c>
      <c r="BP10" s="38" t="n">
        <v>650</v>
      </c>
      <c r="BQ10" s="38" t="n">
        <v>580</v>
      </c>
      <c r="BR10" s="38" t="n">
        <v>460</v>
      </c>
      <c r="BS10" s="38" t="n">
        <v>420</v>
      </c>
      <c r="BT10" s="38" t="n">
        <v>400</v>
      </c>
      <c r="BU10" s="38" t="n">
        <v>300</v>
      </c>
      <c r="BV10" s="38" t="n">
        <v>240</v>
      </c>
      <c r="BW10" s="38" t="n">
        <v>200</v>
      </c>
      <c r="BX10" s="38" t="n">
        <v>200</v>
      </c>
      <c r="BY10" s="38" t="n">
        <v>200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19" t="n">
        <v>200</v>
      </c>
      <c r="CF10" s="6" t="n"/>
      <c r="CG10" s="23" t="n"/>
      <c r="CH10" s="6" t="n"/>
      <c r="CI10" s="18" t="n">
        <v>0</v>
      </c>
      <c r="CJ10" s="18" t="n">
        <v>0</v>
      </c>
      <c r="CK10" s="18" t="n"/>
      <c r="CL10" s="18" t="n"/>
      <c r="CM10" s="256" t="n">
        <v>600</v>
      </c>
      <c r="CN10" s="18" t="n"/>
      <c r="CO10" s="18" t="n"/>
      <c r="CP10" s="256" t="n"/>
      <c r="CQ10" s="154" t="inlineStr">
        <is>
          <t>400 P/ PL</t>
        </is>
      </c>
      <c r="CR10" s="18" t="n"/>
      <c r="CS10" s="18" t="n"/>
      <c r="CT10" s="18" t="n">
        <v>200</v>
      </c>
      <c r="CU10" s="18" t="n"/>
      <c r="CV10" s="154" t="inlineStr">
        <is>
          <t>800 DE ER MG</t>
        </is>
      </c>
      <c r="CW10" s="18" t="n">
        <v>400</v>
      </c>
      <c r="CX10" s="18" t="n"/>
      <c r="CY10" s="18" t="n">
        <v>400</v>
      </c>
      <c r="CZ10" s="154" t="inlineStr">
        <is>
          <t>200 DE CD</t>
        </is>
      </c>
      <c r="DA10" s="18" t="n"/>
      <c r="DB10" s="18" t="n"/>
      <c r="DC10" s="18" t="n">
        <v>200</v>
      </c>
      <c r="DD10" s="18" t="n"/>
      <c r="DE10" s="18" t="n"/>
      <c r="DF10" s="256" t="n"/>
      <c r="DG10" s="18" t="n"/>
      <c r="DH10" s="256" t="n">
        <v>600</v>
      </c>
      <c r="DI10" s="18" t="n"/>
      <c r="DJ10" s="18" t="n"/>
      <c r="DK10" s="18" t="n">
        <v>200</v>
      </c>
      <c r="DL10" s="378" t="inlineStr">
        <is>
          <t>100 P/ ATC</t>
        </is>
      </c>
      <c r="DM10" s="18" t="n">
        <v>200</v>
      </c>
      <c r="DN10" s="256" t="n">
        <v>200</v>
      </c>
      <c r="DO10" s="18" t="n"/>
      <c r="DP10" s="18" t="n">
        <v>200</v>
      </c>
      <c r="DQ10" s="18" t="n"/>
      <c r="DR10" s="18" t="n"/>
      <c r="DS10" s="18" t="n"/>
      <c r="DT10" s="256" t="n"/>
      <c r="DU10" s="18" t="n"/>
      <c r="DV10" s="18" t="n">
        <v>200</v>
      </c>
      <c r="DW10" s="18" t="n">
        <v>200</v>
      </c>
      <c r="DX10" s="18" t="n"/>
      <c r="DY10" s="18" t="n"/>
      <c r="DZ10" s="256" t="n"/>
      <c r="EA10" s="18" t="n"/>
      <c r="EB10" s="256" t="n"/>
      <c r="EC10" s="256" t="n">
        <v>400</v>
      </c>
      <c r="ED10" s="18" t="n">
        <v>400</v>
      </c>
      <c r="EE10" s="18" t="n"/>
      <c r="EF10" s="18" t="n"/>
      <c r="EG10" s="18" t="n"/>
      <c r="EH10" s="18" t="n"/>
      <c r="EI10" s="256" t="n"/>
      <c r="EJ10" s="241" t="inlineStr">
        <is>
          <t>200 P/ PBE</t>
        </is>
      </c>
      <c r="EK10" s="18" t="n"/>
      <c r="EL10" s="256" t="n">
        <v>400</v>
      </c>
      <c r="EM10" s="256" t="n"/>
      <c r="EN10" s="18" t="n"/>
      <c r="EO10" s="18" t="n"/>
      <c r="EP10" s="256" t="n"/>
      <c r="EQ10" s="18" t="n"/>
      <c r="ER10" s="256" t="n">
        <v>600</v>
      </c>
      <c r="ES10" s="18" t="n"/>
      <c r="ET10" s="18" t="n"/>
      <c r="EU10" s="18" t="n"/>
      <c r="EV10" s="18" t="n"/>
      <c r="EW10" s="18" t="n"/>
      <c r="EX10" s="18" t="n"/>
      <c r="EY10" s="18" t="n">
        <v>600</v>
      </c>
      <c r="EZ10" s="18" t="n"/>
      <c r="FA10" s="18" t="n">
        <v>400</v>
      </c>
      <c r="FB10" s="18" t="n"/>
      <c r="FC10" s="18" t="n">
        <v>200</v>
      </c>
      <c r="FD10" s="18" t="n">
        <v>600</v>
      </c>
      <c r="FF10" s="29" t="inlineStr">
        <is>
          <t xml:space="preserve">SACOLA M </t>
        </is>
      </c>
      <c r="FG10" s="9" t="n">
        <v>200</v>
      </c>
      <c r="FH10" s="38">
        <f>CM10</f>
        <v/>
      </c>
      <c r="FI10" s="38" t="n">
        <v>600</v>
      </c>
      <c r="FJ10" s="38" t="n">
        <v>540</v>
      </c>
      <c r="FK10" s="38" t="n">
        <v>470</v>
      </c>
      <c r="FL10" s="38" t="n">
        <v>330</v>
      </c>
      <c r="FM10" s="38" t="n">
        <v>20</v>
      </c>
      <c r="FN10" s="38" t="n"/>
      <c r="FO10" s="38" t="n"/>
      <c r="FP10" s="246">
        <f>FN10+IF(NOT(ISBLANK(OFFSET(FP10,0,6))),N(OFFSET(FP10,0,6)),N(OFFSET(FP10,0,7)))-FO10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40</v>
      </c>
      <c r="E11" s="6" t="n"/>
      <c r="F11" s="38" t="n">
        <v>100</v>
      </c>
      <c r="G11" s="38" t="n">
        <v>100</v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60</v>
      </c>
      <c r="M11" s="38" t="n">
        <v>30</v>
      </c>
      <c r="N11" s="38" t="n">
        <v>30</v>
      </c>
      <c r="O11" s="38" t="n">
        <v>30</v>
      </c>
      <c r="P11" s="38" t="n">
        <v>20</v>
      </c>
      <c r="Q11" s="38">
        <f>20+ES11</f>
        <v/>
      </c>
      <c r="R11" s="38" t="n">
        <v>120</v>
      </c>
      <c r="S11" s="38" t="n">
        <v>110</v>
      </c>
      <c r="T11" s="38" t="n">
        <v>100</v>
      </c>
      <c r="U11" s="38" t="n">
        <v>100</v>
      </c>
      <c r="V11" s="38" t="n">
        <v>100</v>
      </c>
      <c r="W11" s="38" t="n">
        <v>100</v>
      </c>
      <c r="X11" s="38" t="n">
        <v>100</v>
      </c>
      <c r="Y11" s="38" t="n">
        <v>50</v>
      </c>
      <c r="Z11" s="38" t="n">
        <v>140</v>
      </c>
      <c r="AA11" s="38" t="n">
        <v>140</v>
      </c>
      <c r="AB11" s="38" t="n">
        <v>140</v>
      </c>
      <c r="AC11" s="38" t="n">
        <v>140</v>
      </c>
      <c r="AD11" s="38" t="n">
        <v>140</v>
      </c>
      <c r="AE11" s="38" t="n">
        <v>140</v>
      </c>
      <c r="AF11" s="38" t="n">
        <v>140</v>
      </c>
      <c r="AG11" s="38" t="n">
        <v>140</v>
      </c>
      <c r="AH11" s="38" t="n">
        <v>120</v>
      </c>
      <c r="AI11" s="38" t="n">
        <v>120</v>
      </c>
      <c r="AJ11" s="38" t="n">
        <v>120</v>
      </c>
      <c r="AK11" s="38" t="n">
        <v>80</v>
      </c>
      <c r="AL11" s="38" t="n">
        <v>50</v>
      </c>
      <c r="AM11" s="38" t="n">
        <v>50</v>
      </c>
      <c r="AN11" s="38" t="n">
        <v>40</v>
      </c>
      <c r="AO11" s="38">
        <f>20+DR11</f>
        <v/>
      </c>
      <c r="AP11" s="38" t="n">
        <v>120</v>
      </c>
      <c r="AQ11" s="38" t="n">
        <v>120</v>
      </c>
      <c r="AR11" s="38" t="n">
        <v>110</v>
      </c>
      <c r="AS11" s="38" t="n">
        <v>110</v>
      </c>
      <c r="AT11" s="38" t="n">
        <v>110</v>
      </c>
      <c r="AU11" s="38" t="n">
        <v>110</v>
      </c>
      <c r="AV11" s="38" t="n">
        <v>100</v>
      </c>
      <c r="AW11" s="38" t="n">
        <v>100</v>
      </c>
      <c r="AX11" s="38" t="n">
        <v>100</v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100</v>
      </c>
      <c r="BF11" s="38" t="n">
        <v>30</v>
      </c>
      <c r="BG11" s="38" t="n">
        <v>30</v>
      </c>
      <c r="BH11" s="38">
        <f>130+300</f>
        <v/>
      </c>
      <c r="BI11" s="38" t="n">
        <v>400</v>
      </c>
      <c r="BJ11" s="38" t="n">
        <v>400</v>
      </c>
      <c r="BK11" s="38">
        <f>400-200</f>
        <v/>
      </c>
      <c r="BL11" s="38" t="n">
        <v>200</v>
      </c>
      <c r="BM11" s="38" t="n">
        <v>200</v>
      </c>
      <c r="BN11" s="38" t="n">
        <v>200</v>
      </c>
      <c r="BO11" s="261" t="n">
        <v>200</v>
      </c>
      <c r="BP11" s="38" t="n">
        <v>200</v>
      </c>
      <c r="BQ11" s="38" t="n">
        <v>0</v>
      </c>
      <c r="BR11" s="38" t="n">
        <v>0</v>
      </c>
      <c r="BS11" s="38">
        <f>0+CL11</f>
        <v/>
      </c>
      <c r="BT11" s="38" t="n">
        <v>100</v>
      </c>
      <c r="BU11" s="38" t="n">
        <v>100</v>
      </c>
      <c r="BV11" s="38" t="n">
        <v>0</v>
      </c>
      <c r="BW11" s="38" t="n">
        <v>0</v>
      </c>
      <c r="BX11" s="38" t="n">
        <v>0</v>
      </c>
      <c r="BY11" s="38" t="n">
        <v>0</v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inlineStr">
        <is>
          <t>100 de ER MG</t>
        </is>
      </c>
      <c r="CE11" s="19" t="n"/>
      <c r="CF11" s="6" t="n"/>
      <c r="CG11" s="318" t="n"/>
      <c r="CH11" s="6" t="n"/>
      <c r="CI11" s="18" t="n">
        <v>0</v>
      </c>
      <c r="CJ11" s="18" t="n">
        <v>0</v>
      </c>
      <c r="CK11" s="18" t="n"/>
      <c r="CL11" s="18" t="n">
        <v>100</v>
      </c>
      <c r="CM11" s="256" t="n">
        <v>100</v>
      </c>
      <c r="CN11" s="18" t="n"/>
      <c r="CO11" s="18" t="n"/>
      <c r="CP11" s="256" t="n"/>
      <c r="CQ11" s="154" t="n"/>
      <c r="CR11" s="18" t="n"/>
      <c r="CS11" s="154" t="inlineStr">
        <is>
          <t>200 P/ PBE</t>
        </is>
      </c>
      <c r="CT11" s="18" t="n"/>
      <c r="CU11" s="18" t="n"/>
      <c r="CV11" s="154" t="inlineStr">
        <is>
          <t>300 DE ER MG</t>
        </is>
      </c>
      <c r="CW11" s="18" t="n">
        <v>100</v>
      </c>
      <c r="CX11" s="18" t="n"/>
      <c r="CY11" s="18" t="n"/>
      <c r="CZ11" s="18" t="n"/>
      <c r="DA11" s="18" t="n"/>
      <c r="DB11" s="18" t="n"/>
      <c r="DC11" s="18" t="n"/>
      <c r="DD11" s="18" t="n"/>
      <c r="DE11" s="18" t="n"/>
      <c r="DF11" s="256" t="n"/>
      <c r="DG11" s="18" t="n"/>
      <c r="DH11" s="256" t="n">
        <v>100</v>
      </c>
      <c r="DI11" s="18" t="n"/>
      <c r="DJ11" s="18" t="n"/>
      <c r="DK11" s="18" t="n"/>
      <c r="DL11" s="256" t="n"/>
      <c r="DM11" s="18" t="n"/>
      <c r="DN11" s="256" t="n"/>
      <c r="DO11" s="18" t="n"/>
      <c r="DP11" s="18" t="n"/>
      <c r="DQ11" s="18" t="n"/>
      <c r="DR11" s="18" t="n">
        <v>100</v>
      </c>
      <c r="DS11" s="18" t="n"/>
      <c r="DT11" s="256" t="n"/>
      <c r="DU11" s="18" t="n"/>
      <c r="DV11" s="18" t="n"/>
      <c r="DW11" s="18" t="n"/>
      <c r="DX11" s="18" t="n"/>
      <c r="DY11" s="18" t="n"/>
      <c r="DZ11" s="256" t="n"/>
      <c r="EA11" s="18" t="n"/>
      <c r="EB11" s="256" t="n"/>
      <c r="EC11" s="256" t="n"/>
      <c r="ED11" s="18" t="n"/>
      <c r="EE11" s="18" t="n"/>
      <c r="EF11" s="18" t="n"/>
      <c r="EG11" s="18" t="n"/>
      <c r="EH11" s="18" t="n"/>
      <c r="EI11" s="312" t="inlineStr">
        <is>
          <t>50 P/ ATC</t>
        </is>
      </c>
      <c r="EJ11" s="18" t="n"/>
      <c r="EK11" s="18" t="n">
        <v>100</v>
      </c>
      <c r="EL11" s="256" t="n">
        <v>100</v>
      </c>
      <c r="EM11" s="256" t="n"/>
      <c r="EN11" s="18" t="n"/>
      <c r="EO11" s="18" t="n"/>
      <c r="EP11" s="256" t="n"/>
      <c r="EQ11" s="18" t="n"/>
      <c r="ER11" s="256" t="n">
        <v>100</v>
      </c>
      <c r="ES11" s="18" t="n">
        <v>100</v>
      </c>
      <c r="ET11" s="18" t="n"/>
      <c r="EU11" s="18" t="n"/>
      <c r="EV11" s="18" t="n"/>
      <c r="EW11" s="18" t="n"/>
      <c r="EX11" s="18" t="n"/>
      <c r="EY11" s="18" t="n"/>
      <c r="EZ11" s="18" t="n"/>
      <c r="FA11" s="18" t="n"/>
      <c r="FB11" s="18" t="n"/>
      <c r="FC11" s="18" t="n"/>
      <c r="FD11" s="18" t="n"/>
      <c r="FF11" s="30" t="inlineStr">
        <is>
          <t xml:space="preserve">SACOLA G </t>
        </is>
      </c>
      <c r="FG11" s="9" t="n">
        <v>100</v>
      </c>
      <c r="FH11" s="38">
        <f>CM11</f>
        <v/>
      </c>
      <c r="FI11" s="38" t="n">
        <v>100</v>
      </c>
      <c r="FJ11" s="38" t="n">
        <v>100</v>
      </c>
      <c r="FK11" s="38" t="n">
        <v>100</v>
      </c>
      <c r="FL11" s="38" t="n">
        <v>100</v>
      </c>
      <c r="FM11" s="38" t="n">
        <v>0</v>
      </c>
      <c r="FN11" s="38" t="n"/>
      <c r="FO11" s="38" t="n"/>
      <c r="FP11" s="246">
        <f>FN11+IF(NOT(ISBLANK(OFFSET(FP11,0,6))),N(OFFSET(FP11,0,6)),N(OFFSET(FP11,0,7)))-FO11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11" t="n"/>
      <c r="CF12" s="6" t="n"/>
      <c r="CG12" s="24" t="n"/>
      <c r="CH12" s="6" t="n"/>
      <c r="CI12" s="24" t="n"/>
      <c r="CJ12" s="24" t="n"/>
      <c r="CK12" s="24" t="n"/>
      <c r="CL12" s="24" t="n"/>
      <c r="CM12" s="257" t="n"/>
      <c r="CN12" s="24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57" t="n"/>
      <c r="DG12" s="24" t="n"/>
      <c r="DH12" s="257" t="n"/>
      <c r="DI12" s="24" t="n"/>
      <c r="DJ12" s="24" t="n"/>
      <c r="DK12" s="24" t="n"/>
      <c r="DL12" s="24" t="n"/>
      <c r="DM12" s="24" t="n"/>
      <c r="DN12" s="24" t="n"/>
      <c r="DO12" s="24" t="n"/>
      <c r="DP12" s="24" t="n"/>
      <c r="DQ12" s="24" t="n"/>
      <c r="DR12" s="24" t="n"/>
      <c r="DS12" s="24" t="n"/>
      <c r="DT12" s="257" t="n"/>
      <c r="DU12" s="24" t="n"/>
      <c r="DV12" s="24" t="n"/>
      <c r="DW12" s="24" t="n"/>
      <c r="DX12" s="24" t="n"/>
      <c r="DY12" s="24" t="n"/>
      <c r="DZ12" s="257" t="n"/>
      <c r="EA12" s="24" t="n"/>
      <c r="EB12" s="257" t="n"/>
      <c r="EC12" s="257" t="n"/>
      <c r="ED12" s="24" t="n"/>
      <c r="EE12" s="24" t="n"/>
      <c r="EF12" s="24" t="n"/>
      <c r="EG12" s="24" t="n"/>
      <c r="EH12" s="24" t="n"/>
      <c r="EI12" s="24" t="n"/>
      <c r="EJ12" s="24" t="n"/>
      <c r="EK12" s="24" t="n"/>
      <c r="EL12" s="24" t="n"/>
      <c r="EM12" s="271" t="n"/>
      <c r="EN12" s="24" t="n"/>
      <c r="EO12" s="24" t="n"/>
      <c r="EP12" s="271" t="n"/>
      <c r="EQ12" s="24" t="n"/>
      <c r="ER12" s="271" t="n"/>
      <c r="ES12" s="24" t="n"/>
      <c r="ET12" s="24" t="n"/>
      <c r="EU12" s="24" t="n"/>
      <c r="EV12" s="24" t="n"/>
      <c r="EW12" s="24" t="n"/>
      <c r="EX12" s="24" t="n"/>
      <c r="EY12" s="24" t="n"/>
      <c r="EZ12" s="24" t="n"/>
      <c r="FA12" s="24" t="n"/>
      <c r="FB12" s="24" t="n"/>
      <c r="FC12" s="24" t="n"/>
      <c r="FD12" s="24" t="n"/>
      <c r="FF12" s="31" t="n"/>
      <c r="FG12" s="2" t="n"/>
      <c r="FH12" s="4" t="n"/>
      <c r="FI12" s="4" t="n"/>
      <c r="FJ12" s="4" t="n"/>
      <c r="FK12" s="4" t="n"/>
      <c r="FL12" s="4" t="n"/>
      <c r="FM12" s="4" t="n"/>
      <c r="FN12" s="4" t="n"/>
      <c r="FO12" s="4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6" t="n"/>
      <c r="CD13" s="413" t="inlineStr">
        <is>
          <t>TRANSFERÊNCIA</t>
        </is>
      </c>
      <c r="CE13" s="35" t="inlineStr">
        <is>
          <t>Pendências</t>
        </is>
      </c>
      <c r="CF13" s="6" t="n"/>
      <c r="CG13" s="12" t="inlineStr">
        <is>
          <t>Novo Pedido</t>
        </is>
      </c>
      <c r="CH13" s="6" t="n"/>
      <c r="CI13" s="646" t="n">
        <v>46156</v>
      </c>
      <c r="CJ13" s="646" t="n">
        <v>46142</v>
      </c>
      <c r="CK13" s="646" t="n">
        <v>46114</v>
      </c>
      <c r="CL13" s="646" t="n">
        <v>46107</v>
      </c>
      <c r="CM13" s="647" t="n">
        <v>46065</v>
      </c>
      <c r="CN13" s="646" t="n">
        <v>46099</v>
      </c>
      <c r="CO13" s="646" t="n">
        <v>46092</v>
      </c>
      <c r="CP13" s="655" t="n">
        <v>46080</v>
      </c>
      <c r="CQ13" s="655" t="n">
        <v>46079</v>
      </c>
      <c r="CR13" s="646" t="n">
        <v>46071</v>
      </c>
      <c r="CS13" s="655" t="n">
        <v>46055</v>
      </c>
      <c r="CT13" s="646" t="n">
        <v>46035</v>
      </c>
      <c r="CU13" s="646" t="n">
        <v>46029</v>
      </c>
      <c r="CV13" s="655" t="n">
        <v>46037</v>
      </c>
      <c r="CW13" s="646" t="n">
        <v>46024</v>
      </c>
      <c r="CX13" s="646" t="n">
        <v>46372</v>
      </c>
      <c r="CY13" s="646" t="n">
        <v>46007</v>
      </c>
      <c r="CZ13" s="655" t="n">
        <v>46375</v>
      </c>
      <c r="DA13" s="646" t="n">
        <v>45986</v>
      </c>
      <c r="DB13" s="646" t="n">
        <v>45980</v>
      </c>
      <c r="DC13" s="646" t="n">
        <v>45960</v>
      </c>
      <c r="DD13" s="646" t="n">
        <v>45951</v>
      </c>
      <c r="DE13" s="655" t="n">
        <v>45954</v>
      </c>
      <c r="DF13" s="687" t="n">
        <v>45954</v>
      </c>
      <c r="DG13" s="646" t="n">
        <v>45937</v>
      </c>
      <c r="DH13" s="678" t="n">
        <v>45903</v>
      </c>
      <c r="DI13" s="655" t="n">
        <v>45941</v>
      </c>
      <c r="DJ13" s="655" t="n">
        <v>45931</v>
      </c>
      <c r="DK13" s="646" t="n">
        <v>45923</v>
      </c>
      <c r="DL13" s="688" t="n">
        <v>45922</v>
      </c>
      <c r="DM13" s="646" t="n">
        <v>45915</v>
      </c>
      <c r="DN13" s="679" t="n">
        <v>45863</v>
      </c>
      <c r="DO13" s="646" t="n">
        <v>45909</v>
      </c>
      <c r="DP13" s="646" t="n">
        <v>45903</v>
      </c>
      <c r="DQ13" s="646" t="n">
        <v>45903</v>
      </c>
      <c r="DR13" s="646" t="n">
        <v>45895</v>
      </c>
      <c r="DS13" s="655" t="n">
        <v>45897</v>
      </c>
      <c r="DT13" s="681" t="n">
        <v>45896</v>
      </c>
      <c r="DU13" s="646" t="n">
        <v>45888</v>
      </c>
      <c r="DV13" s="646" t="n">
        <v>45881</v>
      </c>
      <c r="DW13" s="646" t="n">
        <v>45874</v>
      </c>
      <c r="DX13" s="646" t="n">
        <v>45860</v>
      </c>
      <c r="DY13" s="646" t="n">
        <v>45848</v>
      </c>
      <c r="DZ13" s="681" t="n">
        <v>45848</v>
      </c>
      <c r="EA13" s="646" t="n">
        <v>45839</v>
      </c>
      <c r="EB13" s="681" t="n">
        <v>45842</v>
      </c>
      <c r="EC13" s="681" t="n">
        <v>45791</v>
      </c>
      <c r="ED13" s="646" t="n">
        <v>45825</v>
      </c>
      <c r="EE13" s="646" t="n">
        <v>45819</v>
      </c>
      <c r="EF13" s="646" t="n">
        <v>45813</v>
      </c>
      <c r="EG13" s="646" t="n">
        <v>45805</v>
      </c>
      <c r="EH13" s="646" t="n">
        <v>45798</v>
      </c>
      <c r="EI13" s="690" t="n">
        <v>45798</v>
      </c>
      <c r="EJ13" s="655" t="n">
        <v>45798</v>
      </c>
      <c r="EK13" s="654" t="n">
        <v>45790</v>
      </c>
      <c r="EL13" s="683" t="n">
        <v>45735</v>
      </c>
      <c r="EM13" s="684" t="n">
        <v>45785</v>
      </c>
      <c r="EN13" s="646" t="n">
        <v>45770</v>
      </c>
      <c r="EO13" s="646" t="n">
        <v>45743</v>
      </c>
      <c r="EP13" s="684" t="n">
        <v>45751</v>
      </c>
      <c r="EQ13" s="655" t="n">
        <v>45750</v>
      </c>
      <c r="ER13" s="684" t="n">
        <v>45700</v>
      </c>
      <c r="ES13" s="646" t="n">
        <v>45728</v>
      </c>
      <c r="ET13" s="646" t="n">
        <v>45722</v>
      </c>
      <c r="EU13" s="646" t="n">
        <v>45714</v>
      </c>
      <c r="EV13" s="646" t="n">
        <v>45706</v>
      </c>
      <c r="EW13" s="646" t="n">
        <v>45699</v>
      </c>
      <c r="EX13" s="646" t="n">
        <v>45693</v>
      </c>
      <c r="EY13" s="646" t="n">
        <v>45685</v>
      </c>
      <c r="EZ13" s="646" t="n">
        <v>45679</v>
      </c>
      <c r="FA13" s="646" t="n">
        <v>45674</v>
      </c>
      <c r="FB13" s="646" t="n">
        <v>45664</v>
      </c>
      <c r="FC13" s="646" t="n">
        <v>45660</v>
      </c>
      <c r="FD13" s="646" t="n">
        <v>45652</v>
      </c>
      <c r="FF13" s="267" t="inlineStr">
        <is>
          <t>DIVERSOS</t>
        </is>
      </c>
      <c r="FG13" s="205" t="inlineStr">
        <is>
          <t>PCT</t>
        </is>
      </c>
      <c r="FH13" s="650" t="n">
        <v>46118</v>
      </c>
      <c r="FI13" s="650" t="n">
        <v>46125</v>
      </c>
      <c r="FJ13" s="650" t="n">
        <v>46132</v>
      </c>
      <c r="FK13" s="650" t="n">
        <v>46139</v>
      </c>
      <c r="FL13" s="650" t="n">
        <v>46146</v>
      </c>
      <c r="FM13" s="650" t="n">
        <v>46154</v>
      </c>
      <c r="FN13" s="650" t="n">
        <v>46160</v>
      </c>
      <c r="FO13" s="650" t="n">
        <v>46160</v>
      </c>
      <c r="FP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38">
        <f>2+FD14</f>
        <v/>
      </c>
      <c r="G14" s="38">
        <f>3+FC14</f>
        <v/>
      </c>
      <c r="H14" s="38" t="n">
        <v>6</v>
      </c>
      <c r="I14" s="38" t="n">
        <v>5</v>
      </c>
      <c r="J14" s="38" t="n">
        <v>5</v>
      </c>
      <c r="K14" s="38" t="n">
        <v>4</v>
      </c>
      <c r="L14" s="38">
        <f>3+EW14</f>
        <v/>
      </c>
      <c r="M14" s="38" t="n">
        <v>4</v>
      </c>
      <c r="N14" s="38" t="n">
        <v>4</v>
      </c>
      <c r="O14" s="38" t="n">
        <v>3</v>
      </c>
      <c r="P14" s="38">
        <f>3+ET14</f>
        <v/>
      </c>
      <c r="Q14" s="38" t="n">
        <v>4</v>
      </c>
      <c r="R14" s="38" t="n">
        <v>4</v>
      </c>
      <c r="S14" s="38" t="n">
        <v>3</v>
      </c>
      <c r="T14" s="38" t="n">
        <v>3</v>
      </c>
      <c r="U14" s="38" t="n">
        <v>3</v>
      </c>
      <c r="V14" s="38" t="n">
        <v>3</v>
      </c>
      <c r="W14" s="38" t="n">
        <v>3</v>
      </c>
      <c r="X14" s="38" t="n">
        <v>3</v>
      </c>
      <c r="Y14" s="38" t="n">
        <v>0</v>
      </c>
      <c r="Z14" s="38" t="n">
        <v>3</v>
      </c>
      <c r="AA14" s="38" t="n">
        <v>2</v>
      </c>
      <c r="AB14" s="38">
        <f>2+EG14</f>
        <v/>
      </c>
      <c r="AC14" s="38" t="n">
        <v>4</v>
      </c>
      <c r="AD14" s="38" t="n">
        <v>3</v>
      </c>
      <c r="AE14" s="38">
        <f>2+ED14</f>
        <v/>
      </c>
      <c r="AF14" s="38" t="n">
        <v>3</v>
      </c>
      <c r="AG14" s="38" t="n">
        <v>3</v>
      </c>
      <c r="AH14" s="38" t="n">
        <v>3</v>
      </c>
      <c r="AI14" s="38" t="n">
        <v>2</v>
      </c>
      <c r="AJ14" s="38">
        <f>2+DX14</f>
        <v/>
      </c>
      <c r="AK14" s="38" t="n">
        <v>4</v>
      </c>
      <c r="AL14" s="38" t="n">
        <v>4</v>
      </c>
      <c r="AM14" s="38" t="n">
        <v>4</v>
      </c>
      <c r="AN14" s="38" t="n">
        <v>4</v>
      </c>
      <c r="AO14" s="38" t="n">
        <v>2</v>
      </c>
      <c r="AP14" s="38" t="n">
        <v>2</v>
      </c>
      <c r="AQ14" s="38" t="n">
        <v>2</v>
      </c>
      <c r="AR14" s="38" t="n">
        <v>1</v>
      </c>
      <c r="AS14" s="38">
        <f>1+DK14</f>
        <v/>
      </c>
      <c r="AT14" s="38" t="n">
        <v>3</v>
      </c>
      <c r="AU14" s="38" t="n">
        <v>2</v>
      </c>
      <c r="AV14" s="38" t="n">
        <v>1</v>
      </c>
      <c r="AW14" s="38">
        <f>1+DD14</f>
        <v/>
      </c>
      <c r="AX14" s="38" t="n">
        <v>2</v>
      </c>
      <c r="AY14" s="38" t="n">
        <v>2</v>
      </c>
      <c r="AZ14" s="38" t="n">
        <v>2</v>
      </c>
      <c r="BA14" s="38" t="n">
        <v>0</v>
      </c>
      <c r="BB14" s="38" t="n">
        <v>0</v>
      </c>
      <c r="BC14" s="38" t="n">
        <v>0</v>
      </c>
      <c r="BD14" s="38" t="n">
        <v>0</v>
      </c>
      <c r="BE14" s="38" t="n">
        <v>0</v>
      </c>
      <c r="BF14" s="38" t="n">
        <v>1</v>
      </c>
      <c r="BG14" s="38" t="n">
        <v>0</v>
      </c>
      <c r="BH14" s="38">
        <f>4+14</f>
        <v/>
      </c>
      <c r="BI14" s="38">
        <f>16+CU14</f>
        <v/>
      </c>
      <c r="BJ14" s="38" t="n">
        <v>20</v>
      </c>
      <c r="BK14" s="38" t="n">
        <v>20</v>
      </c>
      <c r="BL14" s="38" t="n">
        <v>20</v>
      </c>
      <c r="BM14" s="38" t="n">
        <v>17</v>
      </c>
      <c r="BN14" s="38">
        <f>17-6</f>
        <v/>
      </c>
      <c r="BO14" s="38" t="n">
        <v>8</v>
      </c>
      <c r="BP14" s="38" t="n">
        <v>8</v>
      </c>
      <c r="BQ14" s="38" t="n">
        <v>6</v>
      </c>
      <c r="BR14" s="38" t="n">
        <v>5</v>
      </c>
      <c r="BS14" s="38" t="n">
        <v>5</v>
      </c>
      <c r="BT14" s="38" t="n">
        <v>5</v>
      </c>
      <c r="BU14" s="38" t="n">
        <v>4</v>
      </c>
      <c r="BV14" s="38" t="n">
        <v>3</v>
      </c>
      <c r="BW14" s="38" t="n">
        <v>3</v>
      </c>
      <c r="BX14" s="38">
        <f>3+CJ14</f>
        <v/>
      </c>
      <c r="BY14" s="38" t="n">
        <v>3</v>
      </c>
      <c r="BZ14" s="38" t="n"/>
      <c r="CA14" s="38" t="n"/>
      <c r="CB14" s="154">
        <f>BZ14+IF(NOT(ISBLANK(OFFSET(CB14,0,6))),N(OFFSET(CB14,0,6)),N(OFFSET(CB14,0,7)))-CA14</f>
        <v/>
      </c>
      <c r="CC14" s="6" t="n"/>
      <c r="CD14" s="19" t="n"/>
      <c r="CE14" s="19" t="n"/>
      <c r="CF14" s="6" t="n"/>
      <c r="CG14" s="318" t="n"/>
      <c r="CH14" s="6" t="n"/>
      <c r="CI14" s="18" t="n">
        <v>0</v>
      </c>
      <c r="CJ14" s="18" t="n">
        <v>4</v>
      </c>
      <c r="CK14" s="18" t="n"/>
      <c r="CL14" s="18" t="n"/>
      <c r="CM14" s="256" t="n">
        <v>15</v>
      </c>
      <c r="CN14" s="18" t="n"/>
      <c r="CO14" s="18" t="n"/>
      <c r="CP14" s="256" t="n"/>
      <c r="CQ14" s="154" t="inlineStr">
        <is>
          <t>06 P/ PL</t>
        </is>
      </c>
      <c r="CR14" s="18" t="n"/>
      <c r="CS14" s="18" t="n"/>
      <c r="CT14" s="18" t="n"/>
      <c r="CU14" s="18" t="n">
        <v>5</v>
      </c>
      <c r="CV14" s="154" t="inlineStr">
        <is>
          <t>14 DE ER MG</t>
        </is>
      </c>
      <c r="CW14" s="18" t="n">
        <v>6</v>
      </c>
      <c r="CX14" s="18" t="n"/>
      <c r="CY14" s="18" t="n"/>
      <c r="CZ14" s="18" t="n"/>
      <c r="DA14" s="18" t="n">
        <v>4</v>
      </c>
      <c r="DB14" s="18" t="n"/>
      <c r="DC14" s="18" t="n"/>
      <c r="DD14" s="18" t="n">
        <v>2</v>
      </c>
      <c r="DE14" s="18" t="n"/>
      <c r="DF14" s="256" t="n"/>
      <c r="DG14" s="18" t="n"/>
      <c r="DH14" s="256" t="n">
        <v>15</v>
      </c>
      <c r="DI14" s="18" t="n"/>
      <c r="DJ14" s="18" t="n"/>
      <c r="DK14" s="18" t="n">
        <v>2</v>
      </c>
      <c r="DL14" s="378" t="inlineStr">
        <is>
          <t>100 P/ ATC</t>
        </is>
      </c>
      <c r="DM14" s="18" t="n"/>
      <c r="DN14" s="256" t="n">
        <v>200</v>
      </c>
      <c r="DO14" s="18" t="n"/>
      <c r="DP14" s="18" t="n"/>
      <c r="DQ14" s="18" t="n"/>
      <c r="DR14" s="18" t="n"/>
      <c r="DS14" s="18" t="n"/>
      <c r="DT14" s="256" t="n"/>
      <c r="DU14" s="18" t="n"/>
      <c r="DV14" s="18" t="n"/>
      <c r="DW14" s="18" t="n"/>
      <c r="DX14" s="18" t="n">
        <v>2</v>
      </c>
      <c r="DY14" s="18" t="n">
        <v>1</v>
      </c>
      <c r="DZ14" s="256" t="n"/>
      <c r="EA14" s="18" t="n">
        <v>1</v>
      </c>
      <c r="EB14" s="256" t="n"/>
      <c r="EC14" s="256" t="n">
        <v>5</v>
      </c>
      <c r="ED14" s="18" t="n">
        <v>1</v>
      </c>
      <c r="EE14" s="18" t="n"/>
      <c r="EF14" s="18" t="n"/>
      <c r="EG14" s="18" t="n">
        <v>2</v>
      </c>
      <c r="EH14" s="18" t="n"/>
      <c r="EI14" s="256" t="n"/>
      <c r="EJ14" s="18" t="n"/>
      <c r="EK14" s="18" t="n">
        <v>3</v>
      </c>
      <c r="EL14" s="256" t="n">
        <v>2</v>
      </c>
      <c r="EM14" s="256" t="n"/>
      <c r="EN14" s="18" t="n"/>
      <c r="EO14" s="18" t="n"/>
      <c r="EP14" s="256" t="n"/>
      <c r="EQ14" s="18" t="n"/>
      <c r="ER14" s="256" t="n">
        <v>8</v>
      </c>
      <c r="ES14" s="18" t="n"/>
      <c r="ET14" s="18" t="n">
        <v>2</v>
      </c>
      <c r="EU14" s="18" t="n"/>
      <c r="EV14" s="18" t="n"/>
      <c r="EW14" s="18" t="n">
        <v>1</v>
      </c>
      <c r="EX14" s="18" t="n"/>
      <c r="EY14" s="18" t="n"/>
      <c r="EZ14" s="18" t="n"/>
      <c r="FA14" s="18" t="n"/>
      <c r="FB14" s="18" t="n">
        <v>1</v>
      </c>
      <c r="FC14" s="18" t="n">
        <v>2</v>
      </c>
      <c r="FD14" s="18" t="n">
        <v>2</v>
      </c>
      <c r="FF14" s="159" t="inlineStr">
        <is>
          <t>PAPEL DE SEDA</t>
        </is>
      </c>
      <c r="FG14" s="129" t="n">
        <v>200</v>
      </c>
      <c r="FH14" s="38">
        <f>CM14</f>
        <v/>
      </c>
      <c r="FI14" s="38" t="n">
        <v>15</v>
      </c>
      <c r="FJ14" s="38" t="n">
        <v>13</v>
      </c>
      <c r="FK14" s="38" t="n">
        <v>11</v>
      </c>
      <c r="FL14" s="38" t="n">
        <v>9</v>
      </c>
      <c r="FM14" s="38" t="n">
        <v>5</v>
      </c>
      <c r="FN14" s="38" t="n"/>
      <c r="FO14" s="38" t="n"/>
      <c r="FP14" s="246">
        <f>FN14+IF(NOT(ISBLANK(OFFSET(FP14,0,6))),N(OFFSET(FP14,0,6)),N(OFFSET(FP14,0,7)))-FO14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38">
        <f>1+FD15</f>
        <v/>
      </c>
      <c r="G15" s="38" t="n">
        <v>1</v>
      </c>
      <c r="H15" s="38" t="n">
        <v>3</v>
      </c>
      <c r="I15" s="38" t="n">
        <v>3</v>
      </c>
      <c r="J15" s="38" t="n">
        <v>3</v>
      </c>
      <c r="K15" s="38" t="n">
        <v>3</v>
      </c>
      <c r="L15" s="38" t="n">
        <v>3</v>
      </c>
      <c r="M15" s="38" t="n">
        <v>3</v>
      </c>
      <c r="N15" s="38" t="n">
        <v>3</v>
      </c>
      <c r="O15" s="38" t="n">
        <v>3</v>
      </c>
      <c r="P15" s="38" t="n">
        <v>3</v>
      </c>
      <c r="Q15" s="38" t="n">
        <v>3</v>
      </c>
      <c r="R15" s="38" t="n">
        <v>3</v>
      </c>
      <c r="S15" s="38" t="n">
        <v>2</v>
      </c>
      <c r="T15" s="38" t="n">
        <v>2</v>
      </c>
      <c r="U15" s="38" t="n">
        <v>2</v>
      </c>
      <c r="V15" s="38" t="n">
        <v>2</v>
      </c>
      <c r="W15" s="38" t="n">
        <v>2</v>
      </c>
      <c r="X15" s="38" t="n">
        <v>2</v>
      </c>
      <c r="Y15" s="38" t="n">
        <v>2</v>
      </c>
      <c r="Z15" s="38" t="n">
        <v>1</v>
      </c>
      <c r="AA15" s="38" t="n">
        <v>1</v>
      </c>
      <c r="AB15" s="38">
        <f>1+EG15</f>
        <v/>
      </c>
      <c r="AC15" s="38" t="n">
        <v>2</v>
      </c>
      <c r="AD15" s="38" t="n">
        <v>2</v>
      </c>
      <c r="AE15" s="38" t="n">
        <v>2</v>
      </c>
      <c r="AF15" s="38" t="n">
        <v>2</v>
      </c>
      <c r="AG15" s="38" t="n">
        <v>2</v>
      </c>
      <c r="AH15" s="38" t="n">
        <v>3</v>
      </c>
      <c r="AI15" s="38" t="n">
        <v>3</v>
      </c>
      <c r="AJ15" s="38" t="n">
        <v>3</v>
      </c>
      <c r="AK15" s="38" t="n">
        <v>3</v>
      </c>
      <c r="AL15" s="38" t="n">
        <v>2</v>
      </c>
      <c r="AM15" s="38" t="n">
        <v>2</v>
      </c>
      <c r="AN15" s="38" t="n">
        <v>2</v>
      </c>
      <c r="AO15" s="38" t="n">
        <v>2</v>
      </c>
      <c r="AP15" s="38" t="n">
        <v>2</v>
      </c>
      <c r="AQ15" s="38" t="n">
        <v>2</v>
      </c>
      <c r="AR15" s="38" t="n">
        <v>2</v>
      </c>
      <c r="AS15" s="38" t="n">
        <v>2</v>
      </c>
      <c r="AT15" s="38" t="n">
        <v>2</v>
      </c>
      <c r="AU15" s="38" t="n">
        <v>2</v>
      </c>
      <c r="AV15" s="38" t="n">
        <v>2</v>
      </c>
      <c r="AW15" s="38" t="n">
        <v>2</v>
      </c>
      <c r="AX15" s="38" t="n">
        <v>2</v>
      </c>
      <c r="AY15" s="38" t="n">
        <v>2</v>
      </c>
      <c r="AZ15" s="38" t="n">
        <v>2</v>
      </c>
      <c r="BA15" s="38" t="n">
        <v>2</v>
      </c>
      <c r="BB15" s="38" t="n">
        <v>2</v>
      </c>
      <c r="BC15" s="38" t="n">
        <v>2</v>
      </c>
      <c r="BD15" s="38" t="n">
        <v>2</v>
      </c>
      <c r="BE15" s="38" t="n">
        <v>2</v>
      </c>
      <c r="BF15" s="38" t="n">
        <v>1</v>
      </c>
      <c r="BG15" s="38" t="n">
        <v>1</v>
      </c>
      <c r="BH15" s="38" t="n">
        <v>6</v>
      </c>
      <c r="BI15" s="38" t="n">
        <v>6</v>
      </c>
      <c r="BJ15" s="38" t="n">
        <v>6</v>
      </c>
      <c r="BK15" s="38" t="n">
        <v>6</v>
      </c>
      <c r="BL15" s="38" t="n">
        <v>6</v>
      </c>
      <c r="BM15" s="38" t="n">
        <v>6</v>
      </c>
      <c r="BN15" s="38" t="n">
        <v>6</v>
      </c>
      <c r="BO15" s="38" t="n">
        <v>6</v>
      </c>
      <c r="BP15" s="38" t="n">
        <v>6</v>
      </c>
      <c r="BQ15" s="38" t="n">
        <v>6</v>
      </c>
      <c r="BR15" s="38" t="n">
        <v>6</v>
      </c>
      <c r="BS15" s="38" t="n">
        <v>6</v>
      </c>
      <c r="BT15" s="38" t="n">
        <v>6</v>
      </c>
      <c r="BU15" s="38" t="n">
        <v>6</v>
      </c>
      <c r="BV15" s="38" t="n">
        <v>6</v>
      </c>
      <c r="BW15" s="38" t="n">
        <v>6</v>
      </c>
      <c r="BX15" s="38" t="n">
        <v>6</v>
      </c>
      <c r="BY15" s="38" t="n">
        <v>4</v>
      </c>
      <c r="BZ15" s="38" t="n"/>
      <c r="CA15" s="38" t="n"/>
      <c r="CB15" s="154">
        <f>BZ15+IF(NOT(ISBLANK(OFFSET(CB15,0,6))),N(OFFSET(CB15,0,6)),N(OFFSET(CB15,0,7)))-CA15</f>
        <v/>
      </c>
      <c r="CC15" s="6" t="n"/>
      <c r="CD15" s="19" t="n"/>
      <c r="CE15" s="19" t="n">
        <v>2</v>
      </c>
      <c r="CF15" s="6" t="n"/>
      <c r="CG15" s="23" t="n"/>
      <c r="CH15" s="6" t="n"/>
      <c r="CI15" s="18" t="n">
        <v>0</v>
      </c>
      <c r="CJ15" s="18" t="n">
        <v>0</v>
      </c>
      <c r="CK15" s="18" t="n"/>
      <c r="CL15" s="18" t="n"/>
      <c r="CM15" s="256" t="n">
        <v>3</v>
      </c>
      <c r="CN15" s="18" t="n"/>
      <c r="CO15" s="18" t="n"/>
      <c r="CP15" s="18" t="n"/>
      <c r="CQ15" s="18" t="n"/>
      <c r="CR15" s="18" t="n"/>
      <c r="CS15" s="18" t="n"/>
      <c r="CT15" s="18" t="n"/>
      <c r="CU15" s="18" t="n"/>
      <c r="CV15" s="18" t="n"/>
      <c r="CW15" s="18" t="n">
        <v>5</v>
      </c>
      <c r="CX15" s="18" t="n"/>
      <c r="CY15" s="18" t="n"/>
      <c r="CZ15" s="18" t="n"/>
      <c r="DA15" s="18" t="n"/>
      <c r="DB15" s="18" t="n"/>
      <c r="DC15" s="18" t="n"/>
      <c r="DD15" s="18" t="n"/>
      <c r="DE15" s="18" t="n"/>
      <c r="DF15" s="256" t="n"/>
      <c r="DG15" s="18" t="n"/>
      <c r="DH15" s="256" t="n">
        <v>11</v>
      </c>
      <c r="DI15" s="18" t="n"/>
      <c r="DJ15" s="18" t="n"/>
      <c r="DK15" s="18" t="n"/>
      <c r="DL15" s="378" t="inlineStr">
        <is>
          <t>100 P/ ATC</t>
        </is>
      </c>
      <c r="DM15" s="18" t="n"/>
      <c r="DN15" s="256" t="n">
        <v>200</v>
      </c>
      <c r="DO15" s="18" t="n"/>
      <c r="DP15" s="18" t="n"/>
      <c r="DQ15" s="18" t="n"/>
      <c r="DR15" s="18" t="n"/>
      <c r="DS15" s="18" t="n"/>
      <c r="DT15" s="256" t="n"/>
      <c r="DU15" s="18" t="n"/>
      <c r="DV15" s="18" t="n"/>
      <c r="DW15" s="18" t="n"/>
      <c r="DX15" s="18" t="n"/>
      <c r="DY15" s="18" t="n"/>
      <c r="DZ15" s="256" t="n"/>
      <c r="EA15" s="18" t="n"/>
      <c r="EB15" s="256" t="n"/>
      <c r="EC15" s="256" t="n">
        <v>1</v>
      </c>
      <c r="ED15" s="18" t="n"/>
      <c r="EE15" s="18" t="n"/>
      <c r="EF15" s="18" t="n"/>
      <c r="EG15" s="18" t="n">
        <v>1</v>
      </c>
      <c r="EH15" s="18" t="n"/>
      <c r="EI15" s="256" t="n"/>
      <c r="EJ15" s="18" t="n"/>
      <c r="EK15" s="18" t="n"/>
      <c r="EL15" s="256" t="n">
        <v>1</v>
      </c>
      <c r="EM15" s="256" t="n"/>
      <c r="EN15" s="18" t="n"/>
      <c r="EO15" s="18" t="n"/>
      <c r="EP15" s="256" t="n"/>
      <c r="EQ15" s="18" t="n"/>
      <c r="ER15" s="256" t="n">
        <v>300</v>
      </c>
      <c r="ES15" s="18" t="n"/>
      <c r="ET15" s="18" t="n"/>
      <c r="EU15" s="18" t="n"/>
      <c r="EV15" s="18" t="n"/>
      <c r="EW15" s="18" t="n"/>
      <c r="EX15" s="18" t="n"/>
      <c r="EY15" s="18" t="n"/>
      <c r="EZ15" s="18" t="n"/>
      <c r="FA15" s="18" t="n"/>
      <c r="FB15" s="18" t="n">
        <v>2</v>
      </c>
      <c r="FC15" s="18" t="n"/>
      <c r="FD15" s="18" t="n">
        <v>1</v>
      </c>
      <c r="FF15" s="29" t="inlineStr">
        <is>
          <t>ADESIVOS</t>
        </is>
      </c>
      <c r="FG15" s="9" t="n">
        <v>200</v>
      </c>
      <c r="FH15" s="38">
        <f>CM15</f>
        <v/>
      </c>
      <c r="FI15" s="38" t="n">
        <v>3</v>
      </c>
      <c r="FJ15" s="38" t="n">
        <v>3</v>
      </c>
      <c r="FK15" s="38" t="n">
        <v>3</v>
      </c>
      <c r="FL15" s="38" t="n">
        <v>2</v>
      </c>
      <c r="FM15" s="38" t="n">
        <v>0</v>
      </c>
      <c r="FN15" s="38" t="n"/>
      <c r="FO15" s="38" t="n"/>
      <c r="FP15" s="246">
        <f>FN15+IF(NOT(ISBLANK(OFFSET(FP15,0,6))),N(OFFSET(FP15,0,6)),N(OFFSET(FP15,0,7)))-FO15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4</v>
      </c>
      <c r="E16" s="2" t="n"/>
      <c r="F16" s="38">
        <f>0+FD16</f>
        <v/>
      </c>
      <c r="G16" s="38" t="n">
        <v>3</v>
      </c>
      <c r="H16" s="38" t="n">
        <v>2</v>
      </c>
      <c r="I16" s="38">
        <f>2+FA16</f>
        <v/>
      </c>
      <c r="J16" s="38" t="n">
        <v>4</v>
      </c>
      <c r="K16" s="38" t="n">
        <v>7</v>
      </c>
      <c r="L16" s="38" t="n">
        <v>6</v>
      </c>
      <c r="M16" s="38" t="n">
        <v>5</v>
      </c>
      <c r="N16" s="38" t="n">
        <v>5</v>
      </c>
      <c r="O16" s="38" t="n">
        <v>5</v>
      </c>
      <c r="P16" s="38" t="n">
        <v>3</v>
      </c>
      <c r="Q16" s="38">
        <f>3+ES16</f>
        <v/>
      </c>
      <c r="R16" s="38" t="n">
        <v>7</v>
      </c>
      <c r="S16" s="38" t="n">
        <v>6</v>
      </c>
      <c r="T16" s="38" t="n">
        <v>6</v>
      </c>
      <c r="U16" s="38" t="n">
        <v>4</v>
      </c>
      <c r="V16" s="38" t="n">
        <v>4</v>
      </c>
      <c r="W16" s="38" t="n">
        <v>4</v>
      </c>
      <c r="X16" s="38" t="n">
        <v>6</v>
      </c>
      <c r="Y16" s="38" t="n">
        <v>1</v>
      </c>
      <c r="Z16" s="38" t="n">
        <v>5</v>
      </c>
      <c r="AA16" s="38" t="n">
        <v>5</v>
      </c>
      <c r="AB16" s="38" t="n">
        <v>4</v>
      </c>
      <c r="AC16" s="38" t="n">
        <v>4</v>
      </c>
      <c r="AD16" s="38" t="n">
        <v>3</v>
      </c>
      <c r="AE16" s="38">
        <f>2+ED16</f>
        <v/>
      </c>
      <c r="AF16" s="38" t="n">
        <v>2</v>
      </c>
      <c r="AG16" s="38" t="n">
        <v>5</v>
      </c>
      <c r="AH16" s="38" t="n">
        <v>4</v>
      </c>
      <c r="AI16" s="38" t="n">
        <v>4</v>
      </c>
      <c r="AJ16" s="38" t="n">
        <v>4</v>
      </c>
      <c r="AK16" s="38" t="n">
        <v>2</v>
      </c>
      <c r="AL16" s="38">
        <f>2+DW16</f>
        <v/>
      </c>
      <c r="AM16" s="38" t="n">
        <v>4</v>
      </c>
      <c r="AN16" s="38" t="n">
        <v>4</v>
      </c>
      <c r="AO16" s="38" t="n">
        <v>3</v>
      </c>
      <c r="AP16" s="38" t="n">
        <v>2</v>
      </c>
      <c r="AQ16" s="38" t="n">
        <v>2</v>
      </c>
      <c r="AR16" s="38" t="n">
        <v>1</v>
      </c>
      <c r="AS16" s="38">
        <f>0+DK16</f>
        <v/>
      </c>
      <c r="AT16" s="38" t="n">
        <v>1</v>
      </c>
      <c r="AU16" s="38">
        <f>1+DG16</f>
        <v/>
      </c>
      <c r="AV16" s="38" t="n">
        <v>4</v>
      </c>
      <c r="AW16" s="38" t="n">
        <v>3</v>
      </c>
      <c r="AX16" s="38">
        <f>3+DC16</f>
        <v/>
      </c>
      <c r="AY16" s="38" t="n">
        <v>3</v>
      </c>
      <c r="AZ16" s="38" t="n">
        <v>2</v>
      </c>
      <c r="BA16" s="38">
        <f>1+DB16</f>
        <v/>
      </c>
      <c r="BB16" s="38" t="n">
        <v>4</v>
      </c>
      <c r="BC16" s="38" t="n">
        <v>4</v>
      </c>
      <c r="BD16" s="38" t="n">
        <v>4</v>
      </c>
      <c r="BE16" s="38" t="n">
        <v>4</v>
      </c>
      <c r="BF16" s="38" t="n">
        <v>0</v>
      </c>
      <c r="BG16" s="38" t="n">
        <v>0</v>
      </c>
      <c r="BH16" s="38" t="n">
        <v>3</v>
      </c>
      <c r="BI16" s="38">
        <f>3+CT16</f>
        <v/>
      </c>
      <c r="BJ16" s="38" t="n">
        <v>5</v>
      </c>
      <c r="BK16" s="38" t="n">
        <v>5</v>
      </c>
      <c r="BL16" s="38" t="n">
        <v>5</v>
      </c>
      <c r="BM16" s="38" t="n">
        <v>4</v>
      </c>
      <c r="BN16" s="38" t="n">
        <v>4</v>
      </c>
      <c r="BO16" s="38" t="n">
        <v>3</v>
      </c>
      <c r="BP16" s="38" t="n">
        <v>2</v>
      </c>
      <c r="BQ16" s="38">
        <f>1+CO16</f>
        <v/>
      </c>
      <c r="BR16" s="38" t="n">
        <v>2</v>
      </c>
      <c r="BS16" s="38" t="n">
        <v>1</v>
      </c>
      <c r="BT16" s="38">
        <f>0+CK16</f>
        <v/>
      </c>
      <c r="BU16" s="38" t="n">
        <v>4</v>
      </c>
      <c r="BV16" s="38" t="n">
        <v>2</v>
      </c>
      <c r="BW16" s="38" t="n">
        <v>2</v>
      </c>
      <c r="BX16" s="38">
        <f>2+CJ16</f>
        <v/>
      </c>
      <c r="BY16" s="38" t="n">
        <v>3</v>
      </c>
      <c r="BZ16" s="38" t="n"/>
      <c r="CA16" s="38" t="n"/>
      <c r="CB16" s="154">
        <f>BZ16+IF(NOT(ISBLANK(OFFSET(CB16,0,6))),N(OFFSET(CB16,0,6)),N(OFFSET(CB16,0,7)))-CA16</f>
        <v/>
      </c>
      <c r="CC16" s="6" t="n"/>
      <c r="CD16" s="19" t="n"/>
      <c r="CE16" s="19" t="n">
        <v>1</v>
      </c>
      <c r="CF16" s="6" t="n"/>
      <c r="CG16" s="23" t="n"/>
      <c r="CH16" s="6" t="n"/>
      <c r="CI16" s="18" t="n">
        <v>0</v>
      </c>
      <c r="CJ16" s="18" t="n">
        <v>1</v>
      </c>
      <c r="CK16" s="18" t="n">
        <v>4</v>
      </c>
      <c r="CL16" s="18" t="n"/>
      <c r="CM16" s="356" t="n"/>
      <c r="CN16" s="18" t="n"/>
      <c r="CO16" s="18" t="n">
        <v>1</v>
      </c>
      <c r="CP16" s="18" t="n"/>
      <c r="CQ16" s="18" t="n"/>
      <c r="CR16" s="18" t="n"/>
      <c r="CS16" s="18" t="n"/>
      <c r="CT16" s="18" t="n">
        <v>2</v>
      </c>
      <c r="CU16" s="18" t="n"/>
      <c r="CV16" s="18" t="n"/>
      <c r="CW16" s="18" t="n">
        <v>4</v>
      </c>
      <c r="CX16" s="18" t="n"/>
      <c r="CY16" s="18" t="n"/>
      <c r="CZ16" s="18" t="n"/>
      <c r="DA16" s="18" t="n">
        <v>2</v>
      </c>
      <c r="DB16" s="18" t="n">
        <v>3</v>
      </c>
      <c r="DC16" s="18" t="n">
        <v>1</v>
      </c>
      <c r="DD16" s="18" t="n"/>
      <c r="DE16" s="18" t="n"/>
      <c r="DF16" s="256" t="n"/>
      <c r="DG16" s="18" t="n">
        <v>4</v>
      </c>
      <c r="DH16" s="256" t="n"/>
      <c r="DI16" s="18" t="n"/>
      <c r="DJ16" s="18" t="n"/>
      <c r="DK16" s="18" t="n">
        <v>2</v>
      </c>
      <c r="DL16" s="256" t="n"/>
      <c r="DM16" s="18" t="n"/>
      <c r="DN16" s="256" t="n"/>
      <c r="DO16" s="18" t="n"/>
      <c r="DP16" s="18" t="n"/>
      <c r="DQ16" s="18" t="n"/>
      <c r="DR16" s="18" t="n"/>
      <c r="DS16" s="18" t="n"/>
      <c r="DT16" s="256" t="n"/>
      <c r="DU16" s="18" t="n"/>
      <c r="DV16" s="18" t="n"/>
      <c r="DW16" s="18" t="n">
        <v>2</v>
      </c>
      <c r="DX16" s="18" t="n"/>
      <c r="DY16" s="18" t="n"/>
      <c r="DZ16" s="256" t="n"/>
      <c r="EA16" s="18" t="n">
        <v>3</v>
      </c>
      <c r="EB16" s="256" t="n"/>
      <c r="EC16" s="256" t="n"/>
      <c r="ED16" s="18" t="n">
        <v>1</v>
      </c>
      <c r="EE16" s="18" t="n"/>
      <c r="EF16" s="18" t="n"/>
      <c r="EG16" s="18" t="n"/>
      <c r="EH16" s="18" t="n"/>
      <c r="EI16" s="256" t="n"/>
      <c r="EJ16" s="18" t="n"/>
      <c r="EK16" s="18" t="n">
        <v>4</v>
      </c>
      <c r="EL16" s="256" t="n"/>
      <c r="EM16" s="256" t="n"/>
      <c r="EN16" s="18" t="n">
        <v>3</v>
      </c>
      <c r="EO16" s="18" t="n"/>
      <c r="EP16" s="256" t="n"/>
      <c r="EQ16" s="18" t="n"/>
      <c r="ER16" s="256" t="n">
        <v>1</v>
      </c>
      <c r="ES16" s="18" t="n">
        <v>5</v>
      </c>
      <c r="ET16" s="18" t="n"/>
      <c r="EU16" s="18" t="n"/>
      <c r="EV16" s="18" t="n"/>
      <c r="EW16" s="18" t="n"/>
      <c r="EX16" s="18" t="n"/>
      <c r="EY16" s="18" t="n">
        <v>3</v>
      </c>
      <c r="EZ16" s="18" t="n"/>
      <c r="FA16" s="18" t="n">
        <v>3</v>
      </c>
      <c r="FB16" s="18" t="n">
        <v>1</v>
      </c>
      <c r="FC16" s="18" t="n"/>
      <c r="FD16" s="18" t="n">
        <v>4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38">
        <f>2+FD17</f>
        <v/>
      </c>
      <c r="G17" s="38">
        <f>3+FC17</f>
        <v/>
      </c>
      <c r="H17" s="38" t="n">
        <v>3</v>
      </c>
      <c r="I17" s="38">
        <f>3+FA17</f>
        <v/>
      </c>
      <c r="J17" s="38" t="n">
        <v>5</v>
      </c>
      <c r="K17" s="38" t="n">
        <v>4</v>
      </c>
      <c r="L17" s="38" t="n">
        <v>4</v>
      </c>
      <c r="M17" s="38" t="n">
        <v>3</v>
      </c>
      <c r="N17" s="38">
        <f>3+EV17</f>
        <v/>
      </c>
      <c r="O17" s="38" t="n">
        <v>4</v>
      </c>
      <c r="P17" s="38" t="n">
        <v>3</v>
      </c>
      <c r="Q17" s="38">
        <f>3+ES17</f>
        <v/>
      </c>
      <c r="R17" s="38" t="n">
        <v>4</v>
      </c>
      <c r="S17" s="38" t="n">
        <v>3</v>
      </c>
      <c r="T17" s="38" t="n">
        <v>3</v>
      </c>
      <c r="U17" s="38" t="n">
        <v>3</v>
      </c>
      <c r="V17" s="38" t="n">
        <v>2</v>
      </c>
      <c r="W17" s="38" t="n">
        <v>2</v>
      </c>
      <c r="X17" s="38" t="n">
        <v>3</v>
      </c>
      <c r="Y17" s="38" t="n">
        <v>2</v>
      </c>
      <c r="Z17" s="38" t="n">
        <v>2</v>
      </c>
      <c r="AA17" s="38" t="n">
        <v>2</v>
      </c>
      <c r="AB17" s="38">
        <f>2+EG17</f>
        <v/>
      </c>
      <c r="AC17" s="38" t="n">
        <v>2</v>
      </c>
      <c r="AD17" s="38" t="n">
        <v>2</v>
      </c>
      <c r="AE17" s="38">
        <f>2+ED17</f>
        <v/>
      </c>
      <c r="AF17" s="38" t="n">
        <v>3</v>
      </c>
      <c r="AG17" s="38" t="n">
        <v>2</v>
      </c>
      <c r="AH17" s="38" t="n">
        <v>2</v>
      </c>
      <c r="AI17" s="38" t="n">
        <v>2</v>
      </c>
      <c r="AJ17" s="38">
        <f>2+DX17</f>
        <v/>
      </c>
      <c r="AK17" s="38" t="n">
        <v>2</v>
      </c>
      <c r="AL17" s="38">
        <f>2+DW17</f>
        <v/>
      </c>
      <c r="AM17" s="38" t="n">
        <v>3</v>
      </c>
      <c r="AN17" s="38">
        <f>3-1</f>
        <v/>
      </c>
      <c r="AO17" s="38" t="n">
        <v>1</v>
      </c>
      <c r="AP17" s="38" t="n">
        <v>1</v>
      </c>
      <c r="AQ17" s="38" t="n">
        <v>0</v>
      </c>
      <c r="AR17" s="38" t="n">
        <v>2</v>
      </c>
      <c r="AS17" s="38" t="n">
        <v>2</v>
      </c>
      <c r="AT17" s="38" t="n">
        <v>2</v>
      </c>
      <c r="AU17" s="38">
        <f>1+DG17</f>
        <v/>
      </c>
      <c r="AV17" s="38" t="n">
        <v>1</v>
      </c>
      <c r="AW17" s="38">
        <f>1+DD17</f>
        <v/>
      </c>
      <c r="AX17" s="38" t="n">
        <v>3</v>
      </c>
      <c r="AY17" s="38" t="n">
        <v>2</v>
      </c>
      <c r="AZ17" s="38" t="n">
        <v>1</v>
      </c>
      <c r="BA17" s="38">
        <f>1+DB17</f>
        <v/>
      </c>
      <c r="BB17" s="38" t="n">
        <v>3</v>
      </c>
      <c r="BC17" s="38" t="n">
        <v>3</v>
      </c>
      <c r="BD17" s="38" t="n">
        <v>3</v>
      </c>
      <c r="BE17" s="38" t="n">
        <v>2</v>
      </c>
      <c r="BF17" s="38" t="n">
        <v>1</v>
      </c>
      <c r="BG17" s="38" t="n">
        <v>0</v>
      </c>
      <c r="BH17" s="38">
        <f>3+8</f>
        <v/>
      </c>
      <c r="BI17" s="38">
        <f>10+CU17</f>
        <v/>
      </c>
      <c r="BJ17" s="38" t="n">
        <v>10</v>
      </c>
      <c r="BK17" s="38" t="n">
        <v>10</v>
      </c>
      <c r="BL17" s="38" t="n">
        <v>9</v>
      </c>
      <c r="BM17" s="38" t="n">
        <v>9</v>
      </c>
      <c r="BN17" s="38">
        <f>9-4-1-1</f>
        <v/>
      </c>
      <c r="BO17" s="38" t="n">
        <v>3</v>
      </c>
      <c r="BP17" s="38" t="n">
        <v>2</v>
      </c>
      <c r="BQ17" s="38">
        <f>2+CO17</f>
        <v/>
      </c>
      <c r="BR17" s="38" t="n">
        <v>2</v>
      </c>
      <c r="BS17" s="38">
        <f>2+CL17</f>
        <v/>
      </c>
      <c r="BT17" s="38" t="n">
        <v>3</v>
      </c>
      <c r="BU17" s="38" t="n">
        <v>2</v>
      </c>
      <c r="BV17" s="38" t="n">
        <v>2</v>
      </c>
      <c r="BW17" s="38" t="n">
        <v>1</v>
      </c>
      <c r="BX17" s="38">
        <f>1+CJ17</f>
        <v/>
      </c>
      <c r="BY17" s="38" t="n">
        <v>1</v>
      </c>
      <c r="BZ17" s="38" t="n"/>
      <c r="CA17" s="38" t="n"/>
      <c r="CB17" s="154">
        <f>BZ17+IF(NOT(ISBLANK(OFFSET(CB17,0,6))),N(OFFSET(CB17,0,6)),N(OFFSET(CB17,0,7)))-CA17</f>
        <v/>
      </c>
      <c r="CC17" s="6" t="n"/>
      <c r="CD17" s="19" t="inlineStr">
        <is>
          <t>02 DE ER MG</t>
        </is>
      </c>
      <c r="CE17" s="19" t="n"/>
      <c r="CF17" s="6" t="n"/>
      <c r="CG17" s="318" t="n"/>
      <c r="CH17" s="6" t="n"/>
      <c r="CI17" s="18" t="n">
        <v>0</v>
      </c>
      <c r="CJ17" s="18" t="n">
        <v>2</v>
      </c>
      <c r="CK17" s="18" t="n"/>
      <c r="CL17" s="18" t="n">
        <v>1</v>
      </c>
      <c r="CM17" s="356" t="n"/>
      <c r="CN17" s="18" t="n"/>
      <c r="CO17" s="18" t="n">
        <v>1</v>
      </c>
      <c r="CP17" s="154" t="inlineStr">
        <is>
          <t>01 P/ ATC</t>
        </is>
      </c>
      <c r="CQ17" s="154" t="inlineStr">
        <is>
          <t>04 P/ PL + 01 P/ BQ</t>
        </is>
      </c>
      <c r="CR17" s="18" t="n"/>
      <c r="CS17" s="18" t="n"/>
      <c r="CT17" s="18" t="n"/>
      <c r="CU17" s="18" t="n">
        <v>1</v>
      </c>
      <c r="CV17" s="154" t="inlineStr">
        <is>
          <t>08 DE ER MG</t>
        </is>
      </c>
      <c r="CW17" s="18" t="n">
        <v>3</v>
      </c>
      <c r="CX17" s="18" t="n"/>
      <c r="CY17" s="18" t="n"/>
      <c r="CZ17" s="18" t="n"/>
      <c r="DA17" s="18" t="n">
        <v>1</v>
      </c>
      <c r="DB17" s="18" t="n">
        <v>3</v>
      </c>
      <c r="DC17" s="18" t="n"/>
      <c r="DD17" s="18" t="n">
        <v>2</v>
      </c>
      <c r="DE17" s="18" t="n"/>
      <c r="DF17" s="256" t="n"/>
      <c r="DG17" s="18" t="n">
        <v>1</v>
      </c>
      <c r="DH17" s="256" t="n"/>
      <c r="DI17" s="18" t="n"/>
      <c r="DJ17" s="18" t="n"/>
      <c r="DK17" s="18" t="n"/>
      <c r="DL17" s="256" t="n"/>
      <c r="DM17" s="18" t="n">
        <v>2</v>
      </c>
      <c r="DN17" s="256" t="n"/>
      <c r="DO17" s="18" t="n"/>
      <c r="DP17" s="18" t="n"/>
      <c r="DQ17" s="18" t="n"/>
      <c r="DR17" s="18" t="n"/>
      <c r="DS17" s="154" t="inlineStr">
        <is>
          <t>01 P/ PL</t>
        </is>
      </c>
      <c r="DT17" s="256" t="n"/>
      <c r="DU17" s="18" t="n"/>
      <c r="DV17" s="18" t="n"/>
      <c r="DW17" s="18" t="n">
        <v>1</v>
      </c>
      <c r="DX17" s="18" t="n">
        <v>1</v>
      </c>
      <c r="DY17" s="18" t="n">
        <v>1</v>
      </c>
      <c r="DZ17" s="256" t="n"/>
      <c r="EA17" s="18" t="n"/>
      <c r="EB17" s="256" t="n"/>
      <c r="EC17" s="256" t="n"/>
      <c r="ED17" s="18" t="n">
        <v>1</v>
      </c>
      <c r="EE17" s="18" t="n">
        <v>1</v>
      </c>
      <c r="EF17" s="18" t="n"/>
      <c r="EG17" s="18" t="n">
        <v>1</v>
      </c>
      <c r="EH17" s="18" t="n">
        <v>1</v>
      </c>
      <c r="EI17" s="256" t="n"/>
      <c r="EJ17" s="18" t="n"/>
      <c r="EK17" s="18" t="n"/>
      <c r="EL17" s="256" t="n"/>
      <c r="EM17" s="256" t="n"/>
      <c r="EN17" s="18" t="n">
        <v>2</v>
      </c>
      <c r="EO17" s="18" t="n"/>
      <c r="EP17" s="256" t="n"/>
      <c r="EQ17" s="18" t="n"/>
      <c r="ER17" s="256" t="n"/>
      <c r="ES17" s="18" t="n">
        <v>2</v>
      </c>
      <c r="ET17" s="18" t="n"/>
      <c r="EU17" s="18" t="n"/>
      <c r="EV17" s="18" t="n">
        <v>1</v>
      </c>
      <c r="EW17" s="18" t="n"/>
      <c r="EX17" s="18" t="n"/>
      <c r="EY17" s="18" t="n"/>
      <c r="EZ17" s="18" t="n"/>
      <c r="FA17" s="18" t="n">
        <v>2</v>
      </c>
      <c r="FB17" s="18" t="n"/>
      <c r="FC17" s="18" t="n">
        <v>1</v>
      </c>
      <c r="FD17" s="18" t="n">
        <v>1</v>
      </c>
    </row>
    <row r="18" ht="18.75" customFormat="1" customHeight="1" s="3">
      <c r="A18" s="31" t="n"/>
      <c r="C18" s="664" t="n"/>
      <c r="D18" s="398" t="n"/>
      <c r="CB18" s="4" t="n"/>
      <c r="CC18" s="6" t="n"/>
      <c r="CD18" s="16" t="n"/>
      <c r="CE18" s="16" t="n"/>
      <c r="CF18" s="6" t="n"/>
      <c r="CG18" s="25" t="n"/>
      <c r="CH18" s="6" t="n"/>
      <c r="CI18" s="16" t="n"/>
      <c r="CJ18" s="16" t="n"/>
      <c r="CK18" s="16" t="n"/>
      <c r="CL18" s="16" t="n"/>
      <c r="CM18" s="258" t="n"/>
      <c r="CN18" s="16" t="n"/>
      <c r="CO18" s="16" t="n"/>
      <c r="CP18" s="16" t="n"/>
      <c r="CQ18" s="16" t="n"/>
      <c r="CR18" s="16" t="n"/>
      <c r="CS18" s="16" t="n"/>
      <c r="CT18" s="16" t="n"/>
      <c r="CU18" s="16" t="n"/>
      <c r="CV18" s="16" t="n"/>
      <c r="CW18" s="16" t="n"/>
      <c r="CX18" s="16" t="n"/>
      <c r="CY18" s="16" t="n"/>
      <c r="CZ18" s="16" t="n"/>
      <c r="DA18" s="16" t="n"/>
      <c r="DB18" s="16" t="n"/>
      <c r="DC18" s="16" t="n"/>
      <c r="DD18" s="16" t="n"/>
      <c r="DE18" s="16" t="n"/>
      <c r="DG18" s="16" t="n"/>
      <c r="DI18" s="16" t="n"/>
      <c r="DJ18" s="16" t="n"/>
      <c r="DK18" s="16" t="n"/>
      <c r="DL18" s="16" t="n"/>
      <c r="DM18" s="16" t="n"/>
      <c r="DN18" s="16" t="n"/>
      <c r="DO18" s="16" t="n"/>
      <c r="DP18" s="16" t="n"/>
      <c r="DQ18" s="16" t="n"/>
      <c r="DR18" s="16" t="n"/>
      <c r="DS18" s="16" t="n"/>
      <c r="DT18" s="258" t="n"/>
      <c r="DU18" s="16" t="n"/>
      <c r="DV18" s="16" t="n"/>
      <c r="DW18" s="16" t="n"/>
      <c r="DX18" s="16" t="n"/>
      <c r="DY18" s="16" t="n"/>
      <c r="DZ18" s="258" t="n"/>
      <c r="EA18" s="16" t="n"/>
      <c r="EB18" s="258" t="n"/>
      <c r="EC18" s="258" t="n"/>
      <c r="ED18" s="16" t="n"/>
      <c r="EE18" s="16" t="n"/>
      <c r="EF18" s="16" t="n"/>
      <c r="EG18" s="16" t="n"/>
      <c r="EH18" s="16" t="n"/>
      <c r="EI18" s="16" t="n"/>
      <c r="EJ18" s="16" t="n"/>
      <c r="EK18" s="16" t="n"/>
      <c r="EL18" s="16" t="n"/>
      <c r="EM18" s="1" t="n"/>
      <c r="EN18" s="16" t="n"/>
      <c r="EO18" s="16" t="n"/>
      <c r="EP18" s="1" t="n"/>
      <c r="EQ18" s="16" t="n"/>
      <c r="ER18" s="1" t="n"/>
      <c r="ES18" s="16" t="n"/>
      <c r="ET18" s="16" t="n"/>
      <c r="EU18" s="16" t="n"/>
      <c r="EV18" s="16" t="n"/>
      <c r="EW18" s="16" t="n"/>
      <c r="EX18" s="16" t="n"/>
      <c r="EY18" s="16" t="n"/>
      <c r="EZ18" s="16" t="n"/>
      <c r="FA18" s="16" t="n"/>
      <c r="FB18" s="16" t="n"/>
      <c r="FC18" s="16" t="n"/>
      <c r="FD18" s="16" t="n"/>
    </row>
    <row r="19" ht="18.75" customFormat="1" customHeight="1" s="3">
      <c r="A19" s="32" t="inlineStr">
        <is>
          <t>CAIXAS</t>
        </is>
      </c>
      <c r="B19" s="575" t="inlineStr">
        <is>
          <t>PC</t>
        </is>
      </c>
      <c r="C19" s="694" t="n"/>
      <c r="D19" s="328" t="inlineStr">
        <is>
          <t>Estoque Ideal</t>
        </is>
      </c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46092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D19" s="413" t="inlineStr">
        <is>
          <t>TRANSFERÊNCIA</t>
        </is>
      </c>
      <c r="CE19" s="35" t="inlineStr">
        <is>
          <t>Pendências</t>
        </is>
      </c>
      <c r="CF19" s="6" t="n"/>
      <c r="CG19" s="12" t="inlineStr">
        <is>
          <t>Novo Pedido</t>
        </is>
      </c>
      <c r="CH19" s="6" t="n"/>
      <c r="CI19" s="646" t="n">
        <v>46156</v>
      </c>
      <c r="CJ19" s="646" t="n">
        <v>46142</v>
      </c>
      <c r="CK19" s="646" t="n">
        <v>46114</v>
      </c>
      <c r="CL19" s="646" t="n">
        <v>46107</v>
      </c>
      <c r="CM19" s="647" t="n">
        <v>46065</v>
      </c>
      <c r="CN19" s="646" t="n">
        <v>46099</v>
      </c>
      <c r="CO19" s="646" t="n">
        <v>46092</v>
      </c>
      <c r="CP19" s="655" t="n">
        <v>46080</v>
      </c>
      <c r="CQ19" s="655" t="n">
        <v>46079</v>
      </c>
      <c r="CR19" s="646" t="n">
        <v>46071</v>
      </c>
      <c r="CS19" s="655" t="n">
        <v>46055</v>
      </c>
      <c r="CT19" s="646" t="n">
        <v>46035</v>
      </c>
      <c r="CU19" s="646" t="n">
        <v>46029</v>
      </c>
      <c r="CV19" s="655" t="n">
        <v>46037</v>
      </c>
      <c r="CW19" s="646" t="n">
        <v>46024</v>
      </c>
      <c r="CX19" s="646" t="n">
        <v>46372</v>
      </c>
      <c r="CY19" s="646" t="n">
        <v>46007</v>
      </c>
      <c r="CZ19" s="655" t="n">
        <v>46375</v>
      </c>
      <c r="DA19" s="646" t="n">
        <v>45986</v>
      </c>
      <c r="DB19" s="646" t="n">
        <v>45980</v>
      </c>
      <c r="DC19" s="646" t="n">
        <v>45960</v>
      </c>
      <c r="DD19" s="646" t="n">
        <v>45951</v>
      </c>
      <c r="DE19" s="655" t="n">
        <v>45954</v>
      </c>
      <c r="DF19" s="687" t="n">
        <v>45954</v>
      </c>
      <c r="DG19" s="646" t="n">
        <v>45937</v>
      </c>
      <c r="DH19" s="678" t="n">
        <v>45903</v>
      </c>
      <c r="DI19" s="655" t="n">
        <v>45941</v>
      </c>
      <c r="DJ19" s="655" t="n">
        <v>45931</v>
      </c>
      <c r="DK19" s="646" t="n">
        <v>45923</v>
      </c>
      <c r="DL19" s="688" t="n">
        <v>45922</v>
      </c>
      <c r="DM19" s="646" t="n">
        <v>45915</v>
      </c>
      <c r="DN19" s="679" t="n">
        <v>45863</v>
      </c>
      <c r="DO19" s="646" t="n">
        <v>45909</v>
      </c>
      <c r="DP19" s="646" t="n">
        <v>45903</v>
      </c>
      <c r="DQ19" s="646" t="n">
        <v>45903</v>
      </c>
      <c r="DR19" s="646" t="n">
        <v>45895</v>
      </c>
      <c r="DS19" s="655" t="n">
        <v>45897</v>
      </c>
      <c r="DT19" s="681" t="n">
        <v>45896</v>
      </c>
      <c r="DU19" s="646" t="n">
        <v>45888</v>
      </c>
      <c r="DV19" s="646" t="n">
        <v>45881</v>
      </c>
      <c r="DW19" s="646" t="n">
        <v>45874</v>
      </c>
      <c r="DX19" s="646" t="n">
        <v>45860</v>
      </c>
      <c r="DY19" s="646" t="n">
        <v>45848</v>
      </c>
      <c r="DZ19" s="681" t="n">
        <v>45848</v>
      </c>
      <c r="EA19" s="646" t="n">
        <v>45839</v>
      </c>
      <c r="EB19" s="681" t="n">
        <v>45842</v>
      </c>
      <c r="EC19" s="681" t="n">
        <v>45791</v>
      </c>
      <c r="ED19" s="646" t="n">
        <v>45825</v>
      </c>
      <c r="EE19" s="646" t="n">
        <v>45819</v>
      </c>
      <c r="EF19" s="646" t="n">
        <v>45813</v>
      </c>
      <c r="EG19" s="646" t="n">
        <v>45805</v>
      </c>
      <c r="EH19" s="646" t="n">
        <v>45798</v>
      </c>
      <c r="EI19" s="690" t="n">
        <v>45798</v>
      </c>
      <c r="EJ19" s="655" t="n">
        <v>45798</v>
      </c>
      <c r="EK19" s="654" t="n">
        <v>45790</v>
      </c>
      <c r="EL19" s="683" t="n">
        <v>45735</v>
      </c>
      <c r="EM19" s="684" t="n">
        <v>45785</v>
      </c>
      <c r="EN19" s="646" t="n">
        <v>45770</v>
      </c>
      <c r="EO19" s="646" t="n">
        <v>45743</v>
      </c>
      <c r="EP19" s="684" t="n">
        <v>45751</v>
      </c>
      <c r="EQ19" s="655" t="n">
        <v>45750</v>
      </c>
      <c r="ER19" s="684" t="n">
        <v>45700</v>
      </c>
      <c r="ES19" s="646" t="n">
        <v>45728</v>
      </c>
      <c r="ET19" s="646" t="n">
        <v>45722</v>
      </c>
      <c r="EU19" s="646" t="n">
        <v>45714</v>
      </c>
      <c r="EV19" s="646" t="n">
        <v>45706</v>
      </c>
      <c r="EW19" s="646" t="n">
        <v>45699</v>
      </c>
      <c r="EX19" s="646" t="n">
        <v>45693</v>
      </c>
      <c r="EY19" s="646" t="n">
        <v>45685</v>
      </c>
      <c r="EZ19" s="646" t="n">
        <v>45679</v>
      </c>
      <c r="FA19" s="646" t="n">
        <v>45674</v>
      </c>
      <c r="FB19" s="646" t="n">
        <v>45664</v>
      </c>
      <c r="FC19" s="646" t="n">
        <v>45660</v>
      </c>
      <c r="FD19" s="646" t="n">
        <v>45652</v>
      </c>
      <c r="FF19" s="267" t="inlineStr">
        <is>
          <t>CAIXAS</t>
        </is>
      </c>
      <c r="FG19" s="205" t="inlineStr">
        <is>
          <t>PCT</t>
        </is>
      </c>
      <c r="FH19" s="650" t="n">
        <v>46118</v>
      </c>
      <c r="FI19" s="650" t="n">
        <v>46125</v>
      </c>
      <c r="FJ19" s="650" t="n">
        <v>46132</v>
      </c>
      <c r="FK19" s="650" t="n">
        <v>46139</v>
      </c>
      <c r="FL19" s="650" t="n">
        <v>46146</v>
      </c>
      <c r="FM19" s="650" t="n">
        <v>46154</v>
      </c>
      <c r="FN19" s="650" t="n">
        <v>46160</v>
      </c>
      <c r="FO19" s="650" t="n">
        <v>46160</v>
      </c>
      <c r="FP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150</v>
      </c>
      <c r="E20" s="2" t="n"/>
      <c r="F20" s="38" t="n">
        <v>159</v>
      </c>
      <c r="G20" s="38" t="n">
        <v>123</v>
      </c>
      <c r="H20" s="38" t="n">
        <v>69</v>
      </c>
      <c r="I20" s="38" t="n">
        <v>44</v>
      </c>
      <c r="J20" s="38">
        <f>12+EZ20</f>
        <v/>
      </c>
      <c r="K20" s="38" t="n">
        <v>138</v>
      </c>
      <c r="L20" s="38">
        <f>90+EW20</f>
        <v/>
      </c>
      <c r="M20" s="38" t="n">
        <v>204</v>
      </c>
      <c r="N20" s="38" t="n">
        <v>169</v>
      </c>
      <c r="O20" s="38" t="n">
        <v>136</v>
      </c>
      <c r="P20" s="38">
        <f>64+ET20+EU20</f>
        <v/>
      </c>
      <c r="Q20" s="38" t="n">
        <v>318</v>
      </c>
      <c r="R20" s="38" t="n">
        <v>278</v>
      </c>
      <c r="S20" s="38" t="n">
        <v>243</v>
      </c>
      <c r="T20" s="38" t="n">
        <v>213</v>
      </c>
      <c r="U20" s="38" t="n">
        <v>178</v>
      </c>
      <c r="V20" s="38" t="n">
        <v>168</v>
      </c>
      <c r="W20" s="38" t="n">
        <v>166</v>
      </c>
      <c r="X20" s="38" t="n">
        <v>134</v>
      </c>
      <c r="Y20" s="38" t="n">
        <v>41</v>
      </c>
      <c r="Z20" s="38" t="n">
        <v>142</v>
      </c>
      <c r="AA20" s="38" t="n">
        <v>131</v>
      </c>
      <c r="AB20" s="38" t="n">
        <v>107</v>
      </c>
      <c r="AC20" s="38" t="n">
        <v>66</v>
      </c>
      <c r="AD20" s="38" t="n">
        <v>148</v>
      </c>
      <c r="AE20" s="38" t="n">
        <v>273</v>
      </c>
      <c r="AF20" s="38" t="n">
        <v>249</v>
      </c>
      <c r="AG20" s="38" t="n">
        <v>225</v>
      </c>
      <c r="AH20" s="38" t="n">
        <v>187</v>
      </c>
      <c r="AI20" s="38" t="n">
        <v>160</v>
      </c>
      <c r="AJ20" s="38" t="n">
        <v>140</v>
      </c>
      <c r="AK20" s="38" t="n">
        <v>115</v>
      </c>
      <c r="AL20" s="38">
        <f>41+DW20</f>
        <v/>
      </c>
      <c r="AM20" s="38" t="n">
        <v>168</v>
      </c>
      <c r="AN20" s="38">
        <f>168+DU20</f>
        <v/>
      </c>
      <c r="AO20" s="38" t="n">
        <v>108</v>
      </c>
      <c r="AP20" s="38" t="n">
        <v>219</v>
      </c>
      <c r="AQ20" s="38">
        <f>172+150</f>
        <v/>
      </c>
      <c r="AR20" s="38">
        <f>300+DM20</f>
        <v/>
      </c>
      <c r="AS20" s="38">
        <f>430-150</f>
        <v/>
      </c>
      <c r="AT20" s="38" t="n">
        <v>255</v>
      </c>
      <c r="AU20" s="38" t="n">
        <v>215</v>
      </c>
      <c r="AV20" s="38">
        <f>179-50</f>
        <v/>
      </c>
      <c r="AW20" s="38">
        <f>109+DD20</f>
        <v/>
      </c>
      <c r="AX20" s="38" t="n">
        <v>235</v>
      </c>
      <c r="AY20" s="38" t="n">
        <v>208</v>
      </c>
      <c r="AZ20" s="38" t="n">
        <v>201</v>
      </c>
      <c r="BA20" s="38" t="n">
        <v>198</v>
      </c>
      <c r="BB20" s="38" t="n">
        <v>188</v>
      </c>
      <c r="BC20" s="38" t="n">
        <v>188</v>
      </c>
      <c r="BD20" s="38" t="n">
        <v>187</v>
      </c>
      <c r="BE20" s="38" t="n">
        <v>187</v>
      </c>
      <c r="BF20" s="38" t="n">
        <v>320</v>
      </c>
      <c r="BG20" s="38" t="n">
        <v>304</v>
      </c>
      <c r="BH20" s="38" t="n">
        <v>279</v>
      </c>
      <c r="BI20" s="38">
        <f>246+CT20</f>
        <v/>
      </c>
      <c r="BJ20" s="38" t="n">
        <v>384</v>
      </c>
      <c r="BK20" s="38" t="n">
        <v>379</v>
      </c>
      <c r="BL20" s="38" t="n">
        <v>372</v>
      </c>
      <c r="BM20" s="38" t="n">
        <v>371</v>
      </c>
      <c r="BN20" s="38" t="n">
        <v>366</v>
      </c>
      <c r="BO20" s="38" t="n">
        <v>363</v>
      </c>
      <c r="BP20" s="38" t="n">
        <v>338</v>
      </c>
      <c r="BQ20" s="38" t="n">
        <v>294</v>
      </c>
      <c r="BR20" s="38" t="n">
        <v>255</v>
      </c>
      <c r="BS20" s="38" t="n">
        <v>221</v>
      </c>
      <c r="BT20" s="38" t="n"/>
      <c r="BU20" s="38" t="n"/>
      <c r="BV20" s="38" t="n"/>
      <c r="BW20" s="38" t="n">
        <v>128</v>
      </c>
      <c r="BX20" s="38" t="n">
        <v>126</v>
      </c>
      <c r="BY20" s="38" t="n">
        <v>36</v>
      </c>
      <c r="BZ20" s="38" t="n">
        <v>16</v>
      </c>
      <c r="CA20" s="38" t="n">
        <v>16</v>
      </c>
      <c r="CB20" s="154">
        <f>BZ20+IF(NOT(ISBLANK(OFFSET(CB20,0,6))),N(OFFSET(CB20,0,6)),N(OFFSET(CB20,0,7)))-CA20</f>
        <v/>
      </c>
      <c r="CD20" s="122" t="n"/>
      <c r="CE20" s="122" t="n">
        <v>150</v>
      </c>
      <c r="CF20" s="6" t="n"/>
      <c r="CG20" s="23" t="n"/>
      <c r="CH20" s="6" t="n"/>
      <c r="CI20" s="18" t="n">
        <v>0</v>
      </c>
      <c r="CJ20" s="18" t="n">
        <v>0</v>
      </c>
      <c r="CK20" s="18" t="n"/>
      <c r="CL20" s="18" t="n"/>
      <c r="CM20" s="256" t="n">
        <v>150</v>
      </c>
      <c r="CN20" s="18" t="n"/>
      <c r="CO20" s="18" t="n"/>
      <c r="CP20" s="18" t="n"/>
      <c r="CQ20" s="18" t="n"/>
      <c r="CR20" s="18" t="n"/>
      <c r="CS20" s="18" t="n"/>
      <c r="CT20" s="18" t="n">
        <v>150</v>
      </c>
      <c r="CU20" s="18" t="n"/>
      <c r="CV20" s="18" t="n"/>
      <c r="CW20" s="18" t="n"/>
      <c r="CX20" s="18" t="n"/>
      <c r="CY20" s="18" t="n">
        <v>150</v>
      </c>
      <c r="CZ20" s="18" t="n"/>
      <c r="DA20" s="18" t="n"/>
      <c r="DB20" s="18" t="n"/>
      <c r="DC20" s="18" t="n"/>
      <c r="DD20" s="18" t="n">
        <v>150</v>
      </c>
      <c r="DE20" s="154" t="inlineStr">
        <is>
          <t>50 P/ ATC</t>
        </is>
      </c>
      <c r="DF20" s="403" t="inlineStr">
        <is>
          <t>30 P/ ATC</t>
        </is>
      </c>
      <c r="DG20" s="18" t="n"/>
      <c r="DH20" s="256" t="n">
        <v>300</v>
      </c>
      <c r="DI20" s="154" t="inlineStr">
        <is>
          <t>50 P/ ATC</t>
        </is>
      </c>
      <c r="DJ20" s="154" t="inlineStr">
        <is>
          <t>150 P/ PL</t>
        </is>
      </c>
      <c r="DK20" s="18" t="n"/>
      <c r="DL20" s="256" t="n"/>
      <c r="DM20" s="18" t="n">
        <v>150</v>
      </c>
      <c r="DN20" s="256" t="n"/>
      <c r="DO20" s="18" t="n"/>
      <c r="DP20" s="18" t="n"/>
      <c r="DQ20" s="18" t="n">
        <v>150</v>
      </c>
      <c r="DR20" s="18" t="n"/>
      <c r="DS20" s="18" t="n"/>
      <c r="DT20" s="256" t="n"/>
      <c r="DU20" s="18" t="n">
        <v>150</v>
      </c>
      <c r="DV20" s="18" t="n"/>
      <c r="DW20" s="18" t="n">
        <v>150</v>
      </c>
      <c r="DX20" s="18" t="n"/>
      <c r="DY20" s="18" t="n"/>
      <c r="DZ20" s="292" t="inlineStr">
        <is>
          <t>50 P/ ATC</t>
        </is>
      </c>
      <c r="EA20" s="18" t="n"/>
      <c r="EB20" s="256" t="n"/>
      <c r="EC20" s="256" t="n"/>
      <c r="ED20" s="18" t="n">
        <v>150</v>
      </c>
      <c r="EE20" s="18" t="n"/>
      <c r="EF20" s="18" t="n">
        <v>150</v>
      </c>
      <c r="EG20" s="18" t="n"/>
      <c r="EH20" s="18" t="n"/>
      <c r="EI20" s="256" t="n"/>
      <c r="EJ20" s="18" t="n"/>
      <c r="EK20" s="18" t="n">
        <v>150</v>
      </c>
      <c r="EL20" s="256" t="n">
        <v>100</v>
      </c>
      <c r="EM20" s="293" t="inlineStr">
        <is>
          <t>15 DE PBE</t>
        </is>
      </c>
      <c r="EN20" s="18" t="n"/>
      <c r="EO20" s="18" t="n"/>
      <c r="EP20" s="292" t="inlineStr">
        <is>
          <t>50 P/ ATC</t>
        </is>
      </c>
      <c r="EQ20" s="18" t="n"/>
      <c r="ER20" s="256" t="n">
        <v>150</v>
      </c>
      <c r="ES20" s="18" t="n"/>
      <c r="ET20" s="18" t="n">
        <v>150</v>
      </c>
      <c r="EU20" s="18" t="n">
        <v>150</v>
      </c>
      <c r="EV20" s="18" t="n"/>
      <c r="EW20" s="18" t="n">
        <v>150</v>
      </c>
      <c r="EX20" s="18" t="n"/>
      <c r="EY20" s="18" t="n"/>
      <c r="EZ20" s="18" t="n">
        <v>150</v>
      </c>
      <c r="FA20" s="18" t="n"/>
      <c r="FB20" s="18" t="n"/>
      <c r="FC20" s="18" t="n"/>
      <c r="FD20" s="18" t="n"/>
      <c r="FF20" s="159" t="inlineStr">
        <is>
          <t>CAIXA P</t>
        </is>
      </c>
      <c r="FG20" s="129" t="n">
        <v>150</v>
      </c>
      <c r="FH20" s="38">
        <f>CM20</f>
        <v/>
      </c>
      <c r="FI20" s="38" t="n"/>
      <c r="FJ20" s="38" t="n"/>
      <c r="FK20" s="38" t="n">
        <v>134</v>
      </c>
      <c r="FL20" s="38" t="n">
        <v>69</v>
      </c>
      <c r="FM20" s="38" t="n">
        <v>-3</v>
      </c>
      <c r="FN20" s="38" t="n">
        <v>-3</v>
      </c>
      <c r="FO20" s="38" t="n"/>
      <c r="FP20" s="246">
        <f>FN20+IF(NOT(ISBLANK(OFFSET(FP20,0,6))),N(OFFSET(FP20,0,6)),N(OFFSET(FP20,0,7)))-FO20</f>
        <v/>
      </c>
    </row>
    <row r="21" ht="18.75" customFormat="1" customHeight="1" s="3">
      <c r="A21" s="33" t="inlineStr">
        <is>
          <t>CAIXA M VERDE</t>
        </is>
      </c>
      <c r="B21" s="129" t="n">
        <v>100</v>
      </c>
      <c r="C21" s="665" t="n">
        <v>292.25</v>
      </c>
      <c r="D21" s="332" t="n">
        <v>150</v>
      </c>
      <c r="E21" s="2" t="n"/>
      <c r="F21" s="38" t="n">
        <v>172</v>
      </c>
      <c r="G21" s="38" t="n">
        <v>133</v>
      </c>
      <c r="H21" s="38" t="n">
        <v>80</v>
      </c>
      <c r="I21" s="38" t="n">
        <v>46</v>
      </c>
      <c r="J21" s="38">
        <f>12+EZ21</f>
        <v/>
      </c>
      <c r="K21" s="38" t="n">
        <v>86</v>
      </c>
      <c r="L21" s="38">
        <f>158+EW21</f>
        <v/>
      </c>
      <c r="M21" s="38" t="n">
        <v>226</v>
      </c>
      <c r="N21" s="38" t="n">
        <v>189</v>
      </c>
      <c r="O21" s="38" t="n">
        <v>143</v>
      </c>
      <c r="P21" s="38">
        <f>84+ET21+EU21</f>
        <v/>
      </c>
      <c r="Q21" s="38" t="n">
        <v>239</v>
      </c>
      <c r="R21" s="38" t="n">
        <v>204</v>
      </c>
      <c r="S21" s="38" t="n">
        <v>175</v>
      </c>
      <c r="T21" s="38" t="n">
        <v>154</v>
      </c>
      <c r="U21" s="38" t="n">
        <v>108</v>
      </c>
      <c r="V21" s="38" t="n">
        <v>99</v>
      </c>
      <c r="W21" s="38" t="n">
        <v>97</v>
      </c>
      <c r="X21" s="38" t="n">
        <v>87</v>
      </c>
      <c r="Y21" s="38" t="n">
        <v>0</v>
      </c>
      <c r="Z21" s="38" t="n">
        <v>75</v>
      </c>
      <c r="AA21" s="38">
        <f>61+EH21</f>
        <v/>
      </c>
      <c r="AB21" s="38" t="n">
        <v>138</v>
      </c>
      <c r="AC21" s="38" t="n">
        <v>97</v>
      </c>
      <c r="AD21" s="38" t="n">
        <v>100</v>
      </c>
      <c r="AE21" s="38" t="n">
        <v>269</v>
      </c>
      <c r="AF21" s="38" t="n">
        <v>231</v>
      </c>
      <c r="AG21" s="38" t="n">
        <v>197</v>
      </c>
      <c r="AH21" s="38" t="n">
        <v>168</v>
      </c>
      <c r="AI21" s="38" t="n">
        <v>128</v>
      </c>
      <c r="AJ21" s="38" t="n">
        <v>104</v>
      </c>
      <c r="AK21" s="38" t="n">
        <v>67</v>
      </c>
      <c r="AL21" s="38">
        <f>39+DW21</f>
        <v/>
      </c>
      <c r="AM21" s="38">
        <f>98+DV21</f>
        <v/>
      </c>
      <c r="AN21" s="38">
        <f>98+DU21+DV21</f>
        <v/>
      </c>
      <c r="AO21" s="38" t="n">
        <v>110</v>
      </c>
      <c r="AP21" s="38" t="n">
        <v>165</v>
      </c>
      <c r="AQ21" s="38" t="n">
        <v>218</v>
      </c>
      <c r="AR21" s="38" t="n">
        <v>178</v>
      </c>
      <c r="AS21" s="38" t="n">
        <v>246</v>
      </c>
      <c r="AT21" s="261" t="n">
        <v>312</v>
      </c>
      <c r="AU21" s="38" t="n">
        <v>256</v>
      </c>
      <c r="AV21" s="38">
        <f>221-50</f>
        <v/>
      </c>
      <c r="AW21" s="38" t="n">
        <v>75</v>
      </c>
      <c r="AX21" s="38">
        <f>45+DC21</f>
        <v/>
      </c>
      <c r="AY21" s="38" t="n">
        <v>211</v>
      </c>
      <c r="AZ21" s="38" t="n">
        <v>200</v>
      </c>
      <c r="BA21" s="38" t="n">
        <v>200</v>
      </c>
      <c r="BB21" s="38" t="n">
        <v>200</v>
      </c>
      <c r="BC21" s="38" t="n">
        <v>200</v>
      </c>
      <c r="BD21" s="38" t="n">
        <v>200</v>
      </c>
      <c r="BE21" s="38" t="n">
        <v>200</v>
      </c>
      <c r="BF21" s="38" t="n">
        <v>195</v>
      </c>
      <c r="BG21" s="38">
        <f>189+CX21</f>
        <v/>
      </c>
      <c r="BH21" s="38" t="n">
        <v>275</v>
      </c>
      <c r="BI21" s="38">
        <f>266+CT21</f>
        <v/>
      </c>
      <c r="BJ21" s="38" t="n">
        <v>359</v>
      </c>
      <c r="BK21" s="38" t="n">
        <v>347</v>
      </c>
      <c r="BL21" s="38" t="n">
        <v>330</v>
      </c>
      <c r="BM21" s="38" t="n">
        <v>314</v>
      </c>
      <c r="BN21" s="38" t="n">
        <v>290</v>
      </c>
      <c r="BO21" s="38" t="n">
        <v>262</v>
      </c>
      <c r="BP21" s="38" t="n">
        <v>220</v>
      </c>
      <c r="BQ21" s="38">
        <f>98+CO21</f>
        <v/>
      </c>
      <c r="BR21" s="38" t="n">
        <v>172</v>
      </c>
      <c r="BS21" s="38" t="n">
        <v>249</v>
      </c>
      <c r="BT21" s="38" t="n"/>
      <c r="BU21" s="38" t="n"/>
      <c r="BV21" s="38" t="n"/>
      <c r="BW21" s="38" t="n">
        <v>177</v>
      </c>
      <c r="BX21" s="38" t="n">
        <v>169</v>
      </c>
      <c r="BY21" s="38" t="n">
        <v>98</v>
      </c>
      <c r="BZ21" s="38" t="n">
        <v>66</v>
      </c>
      <c r="CA21" s="38" t="n">
        <v>66</v>
      </c>
      <c r="CB21" s="154">
        <f>BZ21+IF(NOT(ISBLANK(OFFSET(CB21,0,6))),N(OFFSET(CB21,0,6)),N(OFFSET(CB21,0,7)))-CA21</f>
        <v/>
      </c>
      <c r="CD21" s="19" t="n"/>
      <c r="CE21" s="122" t="n"/>
      <c r="CF21" s="6" t="n"/>
      <c r="CG21" s="23" t="n"/>
      <c r="CH21" s="6" t="n"/>
      <c r="CI21" s="18" t="n">
        <v>0</v>
      </c>
      <c r="CJ21" s="18" t="n">
        <v>0</v>
      </c>
      <c r="CK21" s="18" t="n"/>
      <c r="CL21" s="18" t="n">
        <v>100</v>
      </c>
      <c r="CM21" s="256" t="n">
        <v>200</v>
      </c>
      <c r="CN21" s="18" t="n"/>
      <c r="CO21" s="18" t="n">
        <v>100</v>
      </c>
      <c r="CP21" s="18" t="n"/>
      <c r="CQ21" s="18" t="n"/>
      <c r="CR21" s="18" t="n"/>
      <c r="CS21" s="18" t="n"/>
      <c r="CT21" s="18" t="n">
        <v>100</v>
      </c>
      <c r="CU21" s="18" t="n"/>
      <c r="CV21" s="18" t="n"/>
      <c r="CW21" s="18" t="n"/>
      <c r="CX21" s="18" t="n">
        <v>100</v>
      </c>
      <c r="CY21" s="18" t="n"/>
      <c r="CZ21" s="18" t="n"/>
      <c r="DA21" s="18" t="n"/>
      <c r="DB21" s="18" t="n"/>
      <c r="DC21" s="18" t="n">
        <v>200</v>
      </c>
      <c r="DD21" s="18" t="n"/>
      <c r="DE21" s="154" t="inlineStr">
        <is>
          <t>50 P/ ATC</t>
        </is>
      </c>
      <c r="DF21" s="403" t="inlineStr">
        <is>
          <t>50 P/ ATC</t>
        </is>
      </c>
      <c r="DG21" s="18" t="n"/>
      <c r="DH21" s="256" t="n">
        <v>400</v>
      </c>
      <c r="DI21" s="154" t="inlineStr">
        <is>
          <t>50 P/ ATC</t>
        </is>
      </c>
      <c r="DJ21" s="18" t="n"/>
      <c r="DK21" s="18" t="n">
        <v>100</v>
      </c>
      <c r="DL21" s="256" t="n"/>
      <c r="DM21" s="18" t="n"/>
      <c r="DN21" s="256" t="n"/>
      <c r="DO21" s="18" t="n">
        <v>100</v>
      </c>
      <c r="DP21" s="18" t="n"/>
      <c r="DQ21" s="18" t="n">
        <v>100</v>
      </c>
      <c r="DR21" s="18" t="n"/>
      <c r="DS21" s="372" t="n"/>
      <c r="DT21" s="256" t="n"/>
      <c r="DU21" s="278" t="n">
        <v>100</v>
      </c>
      <c r="DV21" s="18" t="n">
        <v>100</v>
      </c>
      <c r="DW21" s="18" t="n">
        <v>100</v>
      </c>
      <c r="DX21" s="18" t="n"/>
      <c r="DY21" s="18" t="n"/>
      <c r="DZ21" s="292" t="inlineStr">
        <is>
          <t>75 P/ ATC</t>
        </is>
      </c>
      <c r="EA21" s="18" t="n"/>
      <c r="EB21" s="256" t="n"/>
      <c r="EC21" s="256" t="n">
        <v>100</v>
      </c>
      <c r="ED21" s="18" t="n">
        <v>200</v>
      </c>
      <c r="EE21" s="18" t="n">
        <v>100</v>
      </c>
      <c r="EF21" s="18" t="n"/>
      <c r="EG21" s="18" t="n"/>
      <c r="EH21" s="18" t="n">
        <v>100</v>
      </c>
      <c r="EI21" s="312" t="inlineStr">
        <is>
          <t>50 P/ ATC</t>
        </is>
      </c>
      <c r="EJ21" s="18" t="n"/>
      <c r="EK21" s="18" t="n">
        <v>100</v>
      </c>
      <c r="EL21" s="256" t="n">
        <v>100</v>
      </c>
      <c r="EM21" s="256" t="n"/>
      <c r="EN21" s="18" t="n"/>
      <c r="EO21" s="18" t="n"/>
      <c r="EP21" s="256" t="n"/>
      <c r="EQ21" s="18" t="n"/>
      <c r="ER21" s="256" t="n">
        <v>200</v>
      </c>
      <c r="ES21" s="18" t="n"/>
      <c r="ET21" s="18" t="n">
        <v>100</v>
      </c>
      <c r="EU21" s="18" t="n">
        <v>100</v>
      </c>
      <c r="EV21" s="18" t="n"/>
      <c r="EW21" s="18" t="n">
        <v>100</v>
      </c>
      <c r="EX21" s="18" t="n">
        <v>100</v>
      </c>
      <c r="EY21" s="18" t="n"/>
      <c r="EZ21" s="18" t="n">
        <v>100</v>
      </c>
      <c r="FA21" s="18" t="n"/>
      <c r="FB21" s="18" t="n"/>
      <c r="FC21" s="18" t="n"/>
      <c r="FD21" s="18" t="n"/>
      <c r="FF21" s="29" t="inlineStr">
        <is>
          <t>CAIXA M</t>
        </is>
      </c>
      <c r="FG21" s="9" t="n">
        <v>100</v>
      </c>
      <c r="FH21" s="38">
        <f>CM21</f>
        <v/>
      </c>
      <c r="FI21" s="38" t="n"/>
      <c r="FJ21" s="38" t="n"/>
      <c r="FK21" s="38" t="n">
        <v>163</v>
      </c>
      <c r="FL21" s="38" t="n">
        <v>135</v>
      </c>
      <c r="FM21" s="38" t="n">
        <v>-1</v>
      </c>
      <c r="FN21" s="38" t="n">
        <v>-1</v>
      </c>
      <c r="FO21" s="38" t="n"/>
      <c r="FP21" s="246">
        <f>FN21+IF(NOT(ISBLANK(OFFSET(FP21,0,6))),N(OFFSET(FP21,0,6)),N(OFFSET(FP21,0,7)))-FO21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25</v>
      </c>
      <c r="E22" s="642" t="n"/>
      <c r="F22" s="38" t="n">
        <v>16</v>
      </c>
      <c r="G22" s="38" t="n">
        <v>15</v>
      </c>
      <c r="H22" s="38" t="n">
        <v>10</v>
      </c>
      <c r="I22" s="38" t="n">
        <v>20</v>
      </c>
      <c r="J22" s="38">
        <f>20+EZ22</f>
        <v/>
      </c>
      <c r="K22" s="38" t="n">
        <v>94</v>
      </c>
      <c r="L22" s="38" t="n">
        <v>93</v>
      </c>
      <c r="M22" s="38" t="n">
        <v>91</v>
      </c>
      <c r="N22" s="38" t="n">
        <v>90</v>
      </c>
      <c r="O22" s="38" t="n">
        <v>89</v>
      </c>
      <c r="P22" s="38">
        <f>89+EU22</f>
        <v/>
      </c>
      <c r="Q22" s="38" t="n">
        <v>164</v>
      </c>
      <c r="R22" s="38" t="n">
        <v>164</v>
      </c>
      <c r="S22" s="38">
        <f>164-75</f>
        <v/>
      </c>
      <c r="T22" s="38" t="n">
        <v>75</v>
      </c>
      <c r="U22" s="38" t="n">
        <v>75</v>
      </c>
      <c r="V22" s="38" t="n">
        <v>75</v>
      </c>
      <c r="W22" s="38" t="n">
        <v>75</v>
      </c>
      <c r="X22" s="38" t="n">
        <v>75</v>
      </c>
      <c r="Y22" s="38" t="n">
        <v>75</v>
      </c>
      <c r="Z22" s="38" t="n">
        <v>80</v>
      </c>
      <c r="AA22" s="38" t="n">
        <v>80</v>
      </c>
      <c r="AB22" s="38" t="n">
        <v>80</v>
      </c>
      <c r="AC22" s="38" t="n">
        <v>80</v>
      </c>
      <c r="AD22" s="38" t="n">
        <v>80</v>
      </c>
      <c r="AE22" s="38" t="n">
        <v>77</v>
      </c>
      <c r="AF22" s="38" t="n">
        <v>77</v>
      </c>
      <c r="AG22" s="38" t="n">
        <v>76</v>
      </c>
      <c r="AH22" s="38" t="n">
        <v>74</v>
      </c>
      <c r="AI22" s="38" t="n">
        <v>74</v>
      </c>
      <c r="AJ22" s="38" t="n">
        <v>74</v>
      </c>
      <c r="AK22" s="38" t="n">
        <v>74</v>
      </c>
      <c r="AL22" s="38" t="n">
        <v>74</v>
      </c>
      <c r="AM22" s="38" t="n">
        <v>74</v>
      </c>
      <c r="AN22" s="38" t="n">
        <v>74</v>
      </c>
      <c r="AO22" s="38" t="n">
        <v>74</v>
      </c>
      <c r="AP22" s="38" t="n">
        <v>74</v>
      </c>
      <c r="AQ22" s="38" t="n">
        <v>74</v>
      </c>
      <c r="AR22" s="38" t="n">
        <v>57</v>
      </c>
      <c r="AS22" s="38" t="n">
        <v>57</v>
      </c>
      <c r="AT22" s="261" t="n">
        <v>69</v>
      </c>
      <c r="AU22" s="38" t="n">
        <v>69</v>
      </c>
      <c r="AV22" s="38" t="n">
        <v>66</v>
      </c>
      <c r="AW22" s="38" t="n">
        <v>66</v>
      </c>
      <c r="AX22" s="38" t="n">
        <v>66</v>
      </c>
      <c r="AY22" s="38" t="n">
        <v>66</v>
      </c>
      <c r="AZ22" s="38" t="n">
        <v>66</v>
      </c>
      <c r="BA22" s="38" t="n">
        <v>66</v>
      </c>
      <c r="BB22" s="38" t="n">
        <v>66</v>
      </c>
      <c r="BC22" s="38" t="n">
        <v>66</v>
      </c>
      <c r="BD22" s="38" t="n">
        <v>66</v>
      </c>
      <c r="BE22" s="38" t="n">
        <v>63</v>
      </c>
      <c r="BF22" s="38" t="n">
        <v>59</v>
      </c>
      <c r="BG22" s="38" t="n">
        <v>59</v>
      </c>
      <c r="BH22" s="38" t="n">
        <v>59</v>
      </c>
      <c r="BI22" s="38" t="n">
        <v>59</v>
      </c>
      <c r="BJ22" s="38" t="n">
        <v>59</v>
      </c>
      <c r="BK22" s="38" t="n">
        <v>59</v>
      </c>
      <c r="BL22" s="38" t="n">
        <v>59</v>
      </c>
      <c r="BM22" s="38" t="n">
        <v>59</v>
      </c>
      <c r="BN22" s="38" t="n">
        <v>59</v>
      </c>
      <c r="BO22" s="38" t="n">
        <v>59</v>
      </c>
      <c r="BP22" s="38" t="n">
        <v>59</v>
      </c>
      <c r="BQ22" s="38" t="n">
        <v>59</v>
      </c>
      <c r="BR22" s="38" t="n">
        <v>59</v>
      </c>
      <c r="BS22" s="38" t="n">
        <v>58</v>
      </c>
      <c r="BT22" s="38" t="n">
        <v>58</v>
      </c>
      <c r="BU22" s="38" t="n">
        <v>58</v>
      </c>
      <c r="BV22" s="38" t="n">
        <v>58</v>
      </c>
      <c r="BW22" s="38" t="n">
        <v>58</v>
      </c>
      <c r="BX22" s="38" t="n">
        <v>58</v>
      </c>
      <c r="BY22" s="38" t="n">
        <v>49</v>
      </c>
      <c r="BZ22" s="261" t="n">
        <v>19</v>
      </c>
      <c r="CA22" s="261" t="n">
        <v>19</v>
      </c>
      <c r="CB22" s="154">
        <f>BZ22+IF(NOT(ISBLANK(OFFSET(CB22,0,6))),N(OFFSET(CB22,0,6)),N(OFFSET(CB22,0,7)))-CA22</f>
        <v/>
      </c>
      <c r="CD22" s="19" t="inlineStr">
        <is>
          <t>20 P/ PBE</t>
        </is>
      </c>
      <c r="CE22" s="122" t="n"/>
      <c r="CF22" s="6" t="n"/>
      <c r="CG22" s="23" t="n"/>
      <c r="CH22" s="6" t="n"/>
      <c r="CI22" s="18" t="n">
        <v>0</v>
      </c>
      <c r="CJ22" s="18" t="n">
        <v>0</v>
      </c>
      <c r="CK22" s="18" t="n"/>
      <c r="CL22" s="18" t="n"/>
      <c r="CM22" s="256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256" t="n"/>
      <c r="DG22" s="18" t="n"/>
      <c r="DH22" s="392" t="n">
        <v>0</v>
      </c>
      <c r="DI22" s="18" t="n"/>
      <c r="DJ22" s="18" t="n"/>
      <c r="DK22" s="18" t="n"/>
      <c r="DL22" s="256" t="n"/>
      <c r="DM22" s="18" t="n"/>
      <c r="DN22" s="256" t="n"/>
      <c r="DO22" s="18" t="n"/>
      <c r="DP22" s="18" t="n"/>
      <c r="DQ22" s="18" t="n"/>
      <c r="DR22" s="18" t="n"/>
      <c r="DS22" s="372" t="n"/>
      <c r="DT22" s="256" t="n"/>
      <c r="DU22" s="278" t="n"/>
      <c r="DV22" s="18" t="n"/>
      <c r="DW22" s="18" t="n"/>
      <c r="DX22" s="18" t="n"/>
      <c r="DY22" s="18" t="n"/>
      <c r="DZ22" s="256" t="n"/>
      <c r="EA22" s="18" t="n"/>
      <c r="EB22" s="256" t="n"/>
      <c r="EC22" s="256" t="n">
        <v>150</v>
      </c>
      <c r="ED22" s="18" t="n"/>
      <c r="EE22" s="18" t="n"/>
      <c r="EF22" s="18" t="n"/>
      <c r="EG22" s="18" t="n"/>
      <c r="EH22" s="18" t="n"/>
      <c r="EI22" s="312" t="inlineStr">
        <is>
          <t>50 P/ ATC</t>
        </is>
      </c>
      <c r="EJ22" s="18" t="n"/>
      <c r="EK22" s="18" t="n"/>
      <c r="EL22" s="256" t="n"/>
      <c r="EM22" s="256" t="n"/>
      <c r="EN22" s="18" t="n"/>
      <c r="EO22" s="18" t="n"/>
      <c r="EP22" s="292" t="inlineStr">
        <is>
          <t>25 P/ ATC</t>
        </is>
      </c>
      <c r="EQ22" s="241" t="inlineStr">
        <is>
          <t>75 P/ PBE</t>
        </is>
      </c>
      <c r="ER22" s="256" t="n">
        <v>75</v>
      </c>
      <c r="ES22" s="18" t="n"/>
      <c r="ET22" s="18" t="n"/>
      <c r="EU22" s="18" t="n">
        <v>75</v>
      </c>
      <c r="EV22" s="18" t="n"/>
      <c r="EW22" s="18" t="n"/>
      <c r="EX22" s="18" t="n"/>
      <c r="EY22" s="18" t="n"/>
      <c r="EZ22" s="18" t="n">
        <v>75</v>
      </c>
      <c r="FA22" s="18" t="n"/>
      <c r="FB22" s="18" t="n"/>
      <c r="FC22" s="18" t="n"/>
      <c r="FD22" s="18" t="n"/>
      <c r="FF22" s="30" t="inlineStr">
        <is>
          <t>CARTUCHO P</t>
        </is>
      </c>
      <c r="FG22" s="9" t="n">
        <v>200</v>
      </c>
      <c r="FH22" s="38" t="n">
        <v>0</v>
      </c>
      <c r="FI22" s="38" t="n"/>
      <c r="FJ22" s="38" t="n"/>
      <c r="FK22" s="38" t="n">
        <v>0</v>
      </c>
      <c r="FL22" s="38" t="n">
        <v>0</v>
      </c>
      <c r="FM22" s="38" t="n">
        <v>0</v>
      </c>
      <c r="FN22" s="38" t="n">
        <v>0</v>
      </c>
      <c r="FO22" s="38" t="n"/>
      <c r="FP22" s="246">
        <f>FN22+IF(NOT(ISBLANK(OFFSET(FP22,0,6))),N(OFFSET(FP22,0,6)),N(OFFSET(FP22,0,7)))-FO22</f>
        <v/>
      </c>
    </row>
    <row r="23">
      <c r="CD23" s="6" t="n"/>
      <c r="CE23" s="6" t="n"/>
      <c r="CI23" s="6" t="n"/>
      <c r="CJ23" s="6" t="n"/>
      <c r="CK23" s="6" t="n"/>
      <c r="CL23" s="6" t="n"/>
      <c r="CM23" s="256" t="n">
        <v>150</v>
      </c>
      <c r="CN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G23" s="6" t="n"/>
      <c r="DH23" s="288" t="n">
        <v>400</v>
      </c>
      <c r="DI23" s="6" t="n"/>
      <c r="DJ23" s="6" t="n"/>
      <c r="DK23" s="6" t="n"/>
      <c r="DL23" s="6" t="n"/>
      <c r="DM23" s="6" t="n"/>
      <c r="DN23" s="6" t="n"/>
      <c r="DO23" s="6" t="n"/>
      <c r="DP23" s="6" t="n"/>
      <c r="DQ23" s="6" t="n"/>
      <c r="DR23" s="6" t="n"/>
      <c r="DS23" s="6" t="n"/>
      <c r="DT23" s="238" t="n"/>
      <c r="DU23" s="6" t="n"/>
      <c r="DV23" s="6" t="n"/>
      <c r="DW23" s="6" t="n"/>
      <c r="DX23" s="6" t="n"/>
      <c r="DY23" s="6" t="n"/>
      <c r="DZ23" s="6" t="n"/>
      <c r="EA23" s="6" t="n"/>
      <c r="EB23" s="256" t="n">
        <v>25</v>
      </c>
      <c r="EC23" s="6" t="n"/>
      <c r="ED23" s="6" t="n"/>
      <c r="EE23" s="6" t="n"/>
      <c r="EF23" s="6" t="n"/>
      <c r="EG23" s="6" t="n"/>
      <c r="EH23" s="6" t="n"/>
      <c r="EI23" s="6" t="n"/>
      <c r="EJ23" s="6" t="n"/>
      <c r="EK23" s="6" t="n"/>
      <c r="EL23" s="6" t="n"/>
      <c r="EN23" s="6" t="n"/>
      <c r="EO23" s="6" t="n"/>
      <c r="EP23" s="288" t="n"/>
      <c r="EQ23" s="6" t="n"/>
      <c r="ER23" s="288" t="n"/>
      <c r="ES23" s="6" t="n"/>
      <c r="ET23" s="6" t="n"/>
      <c r="EU23" s="6" t="n"/>
      <c r="EV23" s="6" t="n"/>
      <c r="EW23" s="6" t="n"/>
      <c r="EX23" s="6" t="n"/>
      <c r="EY23" s="6" t="n"/>
      <c r="EZ23" s="6" t="n"/>
      <c r="FA23" s="6" t="n"/>
      <c r="FB23" s="6" t="n"/>
      <c r="FC23" s="6" t="n"/>
      <c r="FD23" s="6" t="n"/>
      <c r="FF23" s="30" t="inlineStr">
        <is>
          <t>CARTUCHO M</t>
        </is>
      </c>
      <c r="FG23" s="9" t="n">
        <v>150</v>
      </c>
      <c r="FH23" s="38">
        <f>CM23</f>
        <v/>
      </c>
      <c r="FI23" s="38" t="n"/>
      <c r="FJ23" s="38" t="n"/>
      <c r="FK23" s="38" t="n">
        <v>92</v>
      </c>
      <c r="FL23" s="261" t="n">
        <v>30</v>
      </c>
      <c r="FM23" s="38" t="n">
        <v>-2</v>
      </c>
      <c r="FN23" s="38" t="n">
        <v>-2</v>
      </c>
      <c r="FO23" s="38" t="n"/>
      <c r="FP23" s="246">
        <f>FN23+IF(NOT(ISBLANK(OFFSET(FP23,0,6))),N(OFFSET(FP23,0,6)),N(OFFSET(FP23,0,7)))-FO23</f>
        <v/>
      </c>
    </row>
    <row r="24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60" t="inlineStr">
        <is>
          <t>USOU</t>
        </is>
      </c>
      <c r="CD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G24" s="6" t="n"/>
      <c r="DH24" s="393" t="n">
        <v>300</v>
      </c>
      <c r="DI24" s="6" t="n"/>
      <c r="DJ24" s="6" t="n"/>
      <c r="DK24" s="6" t="n"/>
      <c r="DL24" s="6" t="n"/>
      <c r="DM24" s="6" t="n"/>
      <c r="DN24" s="6" t="n"/>
      <c r="DO24" s="6" t="n"/>
      <c r="DP24" s="6" t="n"/>
      <c r="DQ24" s="6" t="n"/>
      <c r="DR24" s="6" t="n"/>
      <c r="DS24" s="6" t="n"/>
      <c r="DT24" s="238" t="n"/>
      <c r="DU24" s="6" t="n"/>
      <c r="DV24" s="6" t="n"/>
      <c r="DW24" s="6" t="n"/>
      <c r="DX24" s="6" t="n"/>
      <c r="DY24" s="6" t="n"/>
      <c r="DZ24" s="6" t="n"/>
      <c r="EA24" s="6" t="n"/>
      <c r="EB24" s="256" t="n">
        <v>25</v>
      </c>
      <c r="EC24" s="6" t="n"/>
      <c r="ED24" s="6" t="n"/>
      <c r="EE24" s="6" t="n"/>
      <c r="EF24" s="6" t="n"/>
      <c r="EG24" s="6" t="n"/>
      <c r="EH24" s="6" t="n"/>
      <c r="EI24" s="6" t="n"/>
      <c r="EJ24" s="6" t="n"/>
      <c r="EK24" s="6" t="n"/>
      <c r="EL24" s="6" t="n"/>
      <c r="EN24" s="6" t="n"/>
      <c r="EO24" s="6" t="n"/>
      <c r="EP24" s="293" t="inlineStr">
        <is>
          <t>75 P/ ATC</t>
        </is>
      </c>
      <c r="EQ24" s="6" t="n"/>
      <c r="ER24" s="288" t="n">
        <v>150</v>
      </c>
      <c r="ES24" s="6" t="n"/>
      <c r="ET24" s="6" t="n"/>
      <c r="EU24" s="6" t="n"/>
      <c r="EV24" s="6" t="n"/>
      <c r="EW24" s="6" t="n"/>
      <c r="EX24" s="6" t="n"/>
      <c r="EY24" s="6" t="n"/>
      <c r="EZ24" s="6" t="n"/>
      <c r="FA24" s="6" t="n"/>
      <c r="FB24" s="6" t="n"/>
      <c r="FC24" s="6" t="n"/>
      <c r="FD24" s="6" t="n"/>
    </row>
    <row r="25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F25" s="38" t="n">
        <v>149</v>
      </c>
      <c r="G25" s="38" t="n">
        <v>149</v>
      </c>
      <c r="H25" s="38" t="n">
        <v>149</v>
      </c>
      <c r="I25" s="38" t="n">
        <v>149</v>
      </c>
      <c r="J25" s="38" t="n">
        <v>138</v>
      </c>
      <c r="K25" s="38" t="n">
        <v>138</v>
      </c>
      <c r="L25" s="38" t="n">
        <v>138</v>
      </c>
      <c r="M25" s="38" t="n">
        <v>138</v>
      </c>
      <c r="N25" s="38" t="n">
        <v>138</v>
      </c>
      <c r="O25" s="38" t="n">
        <v>138</v>
      </c>
      <c r="P25" s="38" t="n">
        <v>138</v>
      </c>
      <c r="Q25" s="38" t="n">
        <v>128</v>
      </c>
      <c r="R25" s="38" t="n">
        <v>128</v>
      </c>
      <c r="S25" s="38" t="n">
        <v>128</v>
      </c>
      <c r="T25" s="38" t="n">
        <v>125</v>
      </c>
      <c r="U25" s="38" t="n">
        <v>125</v>
      </c>
      <c r="V25" s="38" t="n">
        <v>125</v>
      </c>
      <c r="W25" s="38" t="n">
        <v>125</v>
      </c>
      <c r="X25" s="38" t="n">
        <v>125</v>
      </c>
      <c r="Y25" s="38" t="n">
        <v>125</v>
      </c>
      <c r="Z25" s="38" t="n">
        <v>125</v>
      </c>
      <c r="AA25" s="38" t="n">
        <v>115</v>
      </c>
      <c r="AB25" s="38" t="n">
        <v>115</v>
      </c>
      <c r="AC25" s="38" t="n">
        <v>115</v>
      </c>
      <c r="AD25" s="38" t="n">
        <v>90</v>
      </c>
      <c r="AE25" s="38" t="n">
        <v>97</v>
      </c>
      <c r="AF25" s="38" t="n">
        <v>97</v>
      </c>
      <c r="AG25" s="38" t="n">
        <v>97</v>
      </c>
      <c r="AH25" s="38" t="n">
        <v>96</v>
      </c>
      <c r="AI25" s="38" t="n">
        <v>96</v>
      </c>
      <c r="AJ25" s="38" t="n">
        <v>96</v>
      </c>
      <c r="AK25" s="38" t="n">
        <v>96</v>
      </c>
      <c r="AL25" s="38" t="n">
        <v>96</v>
      </c>
      <c r="AM25" s="38" t="n">
        <v>96</v>
      </c>
      <c r="AN25" s="38" t="n">
        <v>96</v>
      </c>
      <c r="AO25" s="38" t="n">
        <v>96</v>
      </c>
      <c r="AP25" s="38" t="n">
        <v>96</v>
      </c>
      <c r="AQ25" s="38" t="n">
        <v>96</v>
      </c>
      <c r="AR25" s="38" t="n">
        <v>74</v>
      </c>
      <c r="AS25" s="38" t="n">
        <v>74</v>
      </c>
      <c r="AT25" s="38" t="n">
        <v>71</v>
      </c>
      <c r="AU25" s="38" t="n">
        <v>70</v>
      </c>
      <c r="AV25" s="38" t="n">
        <v>66</v>
      </c>
      <c r="AW25" s="38" t="n">
        <v>66</v>
      </c>
      <c r="AX25" s="38" t="n">
        <v>66</v>
      </c>
      <c r="AY25" s="38" t="n">
        <v>66</v>
      </c>
      <c r="AZ25" s="38" t="n">
        <v>62</v>
      </c>
      <c r="BA25" s="38" t="n">
        <v>62</v>
      </c>
      <c r="BB25" s="38" t="n">
        <v>62</v>
      </c>
      <c r="BC25" s="38" t="n">
        <v>62</v>
      </c>
      <c r="BD25" s="38" t="n">
        <v>62</v>
      </c>
      <c r="BE25" s="38" t="n">
        <v>60</v>
      </c>
      <c r="BF25" s="38" t="n">
        <v>25</v>
      </c>
      <c r="BG25" s="38" t="n">
        <v>25</v>
      </c>
      <c r="BH25" s="38" t="n">
        <v>25</v>
      </c>
      <c r="BI25" s="38" t="n">
        <v>25</v>
      </c>
      <c r="BJ25" s="38" t="n">
        <v>3</v>
      </c>
      <c r="BK25" s="38" t="n">
        <v>3</v>
      </c>
      <c r="BL25" s="38" t="n">
        <v>3</v>
      </c>
      <c r="BM25" s="38" t="n">
        <v>3</v>
      </c>
      <c r="BN25" s="38" t="n">
        <v>3</v>
      </c>
      <c r="BO25" s="38" t="n">
        <v>3</v>
      </c>
      <c r="BP25" s="38" t="n">
        <v>3</v>
      </c>
      <c r="BQ25" s="38" t="n">
        <v>3</v>
      </c>
      <c r="BR25" s="38" t="n">
        <v>3</v>
      </c>
      <c r="BS25" s="38" t="n">
        <v>3</v>
      </c>
      <c r="BT25" s="38" t="n">
        <v>3</v>
      </c>
      <c r="BU25" s="38" t="n">
        <v>3</v>
      </c>
      <c r="BV25" s="38" t="n">
        <v>3</v>
      </c>
      <c r="BW25" s="38" t="n">
        <v>3</v>
      </c>
      <c r="BX25" s="38" t="n">
        <v>3</v>
      </c>
      <c r="BY25" s="38" t="n">
        <v>3</v>
      </c>
      <c r="BZ25" s="38" t="n">
        <v>3</v>
      </c>
      <c r="CA25" s="38" t="n">
        <v>3</v>
      </c>
      <c r="CB25" s="246">
        <f>BZ25+IF(NOT(ISBLANK(OFFSET(CB25,0,6))),N(OFFSET(CB25,0,6)),N(OFFSET(CB25,0,7)))-CA25</f>
        <v/>
      </c>
      <c r="CD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J25" s="6" t="n"/>
      <c r="EK25" s="6" t="n"/>
      <c r="EL25" s="6" t="n"/>
      <c r="EM25" s="289" t="n"/>
      <c r="EN25" s="6" t="n"/>
      <c r="EO25" s="6" t="n"/>
      <c r="EP25" s="289" t="n"/>
      <c r="EQ25" s="6" t="n"/>
      <c r="ER25" s="289" t="n"/>
      <c r="ES25" s="6" t="n"/>
      <c r="ET25" s="6" t="n"/>
      <c r="EU25" s="6" t="n"/>
      <c r="EV25" s="6" t="n"/>
      <c r="EW25" s="6" t="n"/>
      <c r="EX25" s="6" t="n"/>
      <c r="EY25" s="6" t="n"/>
      <c r="EZ25" s="6" t="n"/>
      <c r="FA25" s="6" t="n"/>
      <c r="FB25" s="6" t="n"/>
      <c r="FC25" s="6" t="n"/>
      <c r="FD25" s="6" t="n"/>
    </row>
    <row r="26" hidden="1">
      <c r="A26" s="250" t="inlineStr">
        <is>
          <t>ÁRVORE</t>
        </is>
      </c>
      <c r="B26" s="251" t="n">
        <v>100</v>
      </c>
      <c r="C26" s="667" t="n">
        <v>295</v>
      </c>
      <c r="D26" s="342" t="n"/>
      <c r="F26" s="9" t="n">
        <v>80</v>
      </c>
      <c r="G26" s="9" t="n">
        <v>80</v>
      </c>
      <c r="H26" s="38" t="n">
        <v>80</v>
      </c>
      <c r="I26" s="38" t="n">
        <v>80</v>
      </c>
      <c r="J26" s="38" t="n">
        <v>82</v>
      </c>
      <c r="K26" s="38" t="n">
        <v>82</v>
      </c>
      <c r="L26" s="38" t="n">
        <v>82</v>
      </c>
      <c r="M26" s="38" t="n">
        <v>85</v>
      </c>
      <c r="N26" s="38" t="n">
        <v>85</v>
      </c>
      <c r="O26" s="38" t="n">
        <v>85</v>
      </c>
      <c r="P26" s="38" t="n">
        <v>85</v>
      </c>
      <c r="Q26" s="38" t="n">
        <v>85</v>
      </c>
      <c r="R26" s="38" t="n">
        <v>85</v>
      </c>
      <c r="S26" s="38" t="n">
        <v>85</v>
      </c>
      <c r="T26" s="38" t="n">
        <v>85</v>
      </c>
      <c r="U26" s="38" t="n">
        <v>85</v>
      </c>
      <c r="V26" s="38" t="n">
        <v>85</v>
      </c>
      <c r="W26" s="38" t="n">
        <v>85</v>
      </c>
      <c r="X26" s="38" t="n">
        <v>85</v>
      </c>
      <c r="Y26" s="38" t="n">
        <v>85</v>
      </c>
      <c r="Z26" s="38" t="n">
        <v>85</v>
      </c>
      <c r="AA26" s="38" t="n">
        <v>85</v>
      </c>
      <c r="AB26" s="38" t="n">
        <v>85</v>
      </c>
      <c r="AC26" s="38" t="n">
        <v>85</v>
      </c>
      <c r="AD26" s="38" t="n">
        <v>85</v>
      </c>
      <c r="AE26" s="38" t="n">
        <v>85</v>
      </c>
      <c r="AF26" s="38" t="n">
        <v>85</v>
      </c>
      <c r="AG26" s="38" t="n">
        <v>85</v>
      </c>
      <c r="AH26" s="38" t="n">
        <v>85</v>
      </c>
      <c r="AI26" s="38" t="n">
        <v>85</v>
      </c>
      <c r="AJ26" s="38" t="n">
        <v>85</v>
      </c>
      <c r="AK26" s="38" t="n">
        <v>85</v>
      </c>
      <c r="AL26" s="38" t="n">
        <v>85</v>
      </c>
      <c r="AM26" s="38" t="n">
        <v>85</v>
      </c>
      <c r="AN26" s="38" t="n">
        <v>85</v>
      </c>
      <c r="AO26" s="38" t="n">
        <v>85</v>
      </c>
      <c r="AP26" s="38" t="n">
        <v>85</v>
      </c>
      <c r="AQ26" s="38" t="n">
        <v>85</v>
      </c>
      <c r="AR26" s="38" t="n">
        <v>85</v>
      </c>
      <c r="AS26" s="38" t="n">
        <v>85</v>
      </c>
      <c r="AT26" s="38" t="n">
        <v>85</v>
      </c>
      <c r="AU26" s="38" t="n">
        <v>85</v>
      </c>
      <c r="AV26" s="38" t="n">
        <v>85</v>
      </c>
      <c r="AW26" s="38" t="n">
        <v>85</v>
      </c>
      <c r="AX26" s="38" t="n">
        <v>85</v>
      </c>
      <c r="AY26" s="38" t="n">
        <v>85</v>
      </c>
      <c r="AZ26" s="38" t="n">
        <v>85</v>
      </c>
      <c r="BA26" s="38" t="n">
        <v>85</v>
      </c>
      <c r="BB26" s="38" t="n">
        <v>85</v>
      </c>
      <c r="BC26" s="38" t="n">
        <v>58</v>
      </c>
      <c r="BD26" s="38" t="n">
        <v>39</v>
      </c>
      <c r="BE26" s="38" t="n">
        <v>37</v>
      </c>
      <c r="BF26" s="38" t="n">
        <v>0</v>
      </c>
      <c r="BG26" s="38" t="n">
        <v>0</v>
      </c>
      <c r="BH26" s="38" t="n">
        <v>0</v>
      </c>
      <c r="BI26" s="38" t="n">
        <v>0</v>
      </c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246">
        <f>BZ26+IF(NOT(ISBLANK(OFFSET(CB26,0,6))),N(OFFSET(CB26,0,6)),N(OFFSET(CB26,0,7)))-CA26</f>
        <v/>
      </c>
      <c r="CM26" s="6" t="n"/>
      <c r="DF26" s="6" t="n"/>
      <c r="DH26" s="6" t="n"/>
      <c r="DT26" s="6" t="n"/>
      <c r="DZ26" s="6" t="n"/>
      <c r="EB26" s="6" t="n"/>
      <c r="EC26" s="6" t="n"/>
      <c r="EJ26" s="6" t="n"/>
      <c r="EK26" s="6" t="n"/>
      <c r="EM26" s="289" t="n"/>
      <c r="EN26" s="6" t="n"/>
      <c r="EO26" s="6" t="n"/>
      <c r="EP26" s="289" t="n"/>
      <c r="EQ26" s="6" t="n"/>
      <c r="ER26" s="289" t="n"/>
      <c r="ES26" s="6" t="n"/>
      <c r="ET26" s="6" t="n"/>
      <c r="EU26" s="6" t="n"/>
      <c r="EV26" s="6" t="n"/>
      <c r="EW26" s="6" t="n"/>
      <c r="EX26" s="6" t="n"/>
      <c r="EY26" s="6" t="n"/>
      <c r="EZ26" s="6" t="n"/>
      <c r="FA26" s="6" t="n"/>
      <c r="FB26" s="6" t="n"/>
      <c r="FC26" s="6" t="n"/>
      <c r="FD26" s="6" t="n"/>
    </row>
    <row r="27" hidden="1" ht="18.75" customHeight="1">
      <c r="A27" s="250" t="inlineStr">
        <is>
          <t>BOLA</t>
        </is>
      </c>
      <c r="B27" s="251" t="n">
        <v>100</v>
      </c>
      <c r="C27" s="667" t="n">
        <v>283</v>
      </c>
      <c r="D27" s="342" t="n"/>
      <c r="F27" s="9" t="n">
        <v>96</v>
      </c>
      <c r="G27" s="9" t="n">
        <v>56</v>
      </c>
      <c r="H27" s="38" t="n">
        <v>56</v>
      </c>
      <c r="I27" s="38" t="n">
        <v>56</v>
      </c>
      <c r="J27" s="38" t="n">
        <v>53</v>
      </c>
      <c r="K27" s="38" t="n">
        <v>53</v>
      </c>
      <c r="L27" s="38" t="n">
        <v>53</v>
      </c>
      <c r="M27" s="38" t="n">
        <v>54</v>
      </c>
      <c r="N27" s="38" t="n">
        <v>54</v>
      </c>
      <c r="O27" s="38" t="n">
        <v>54</v>
      </c>
      <c r="P27" s="38" t="n">
        <v>54</v>
      </c>
      <c r="Q27" s="38" t="n">
        <v>54</v>
      </c>
      <c r="R27" s="38" t="n">
        <v>54</v>
      </c>
      <c r="S27" s="38" t="n">
        <v>54</v>
      </c>
      <c r="T27" s="38" t="n">
        <v>54</v>
      </c>
      <c r="U27" s="38" t="n">
        <v>54</v>
      </c>
      <c r="V27" s="38" t="n">
        <v>54</v>
      </c>
      <c r="W27" s="38" t="n">
        <v>54</v>
      </c>
      <c r="X27" s="38" t="n">
        <v>54</v>
      </c>
      <c r="Y27" s="38" t="n">
        <v>54</v>
      </c>
      <c r="Z27" s="38" t="n">
        <v>54</v>
      </c>
      <c r="AA27" s="38" t="n">
        <v>54</v>
      </c>
      <c r="AB27" s="38" t="n">
        <v>54</v>
      </c>
      <c r="AC27" s="38" t="n">
        <v>54</v>
      </c>
      <c r="AD27" s="38" t="n">
        <v>54</v>
      </c>
      <c r="AE27" s="38" t="n">
        <v>54</v>
      </c>
      <c r="AF27" s="38" t="n">
        <v>54</v>
      </c>
      <c r="AG27" s="38" t="n">
        <v>54</v>
      </c>
      <c r="AH27" s="38" t="n">
        <v>54</v>
      </c>
      <c r="AI27" s="38" t="n">
        <v>54</v>
      </c>
      <c r="AJ27" s="38" t="n">
        <v>54</v>
      </c>
      <c r="AK27" s="38" t="n">
        <v>54</v>
      </c>
      <c r="AL27" s="38" t="n">
        <v>54</v>
      </c>
      <c r="AM27" s="38" t="n">
        <v>54</v>
      </c>
      <c r="AN27" s="38" t="n">
        <v>54</v>
      </c>
      <c r="AO27" s="38" t="n">
        <v>54</v>
      </c>
      <c r="AP27" s="38" t="n">
        <v>54</v>
      </c>
      <c r="AQ27" s="38" t="n">
        <v>54</v>
      </c>
      <c r="AR27" s="38" t="n">
        <v>54</v>
      </c>
      <c r="AS27" s="38" t="n">
        <v>54</v>
      </c>
      <c r="AT27" s="38" t="n">
        <v>54</v>
      </c>
      <c r="AU27" s="38" t="n">
        <v>54</v>
      </c>
      <c r="AV27" s="38" t="n">
        <v>54</v>
      </c>
      <c r="AW27" s="38" t="n">
        <v>54</v>
      </c>
      <c r="AX27" s="38" t="n">
        <v>54</v>
      </c>
      <c r="AY27" s="38" t="n">
        <v>54</v>
      </c>
      <c r="AZ27" s="38" t="n">
        <v>29</v>
      </c>
      <c r="BA27" s="38" t="n">
        <v>29</v>
      </c>
      <c r="BB27" s="38" t="n">
        <v>29</v>
      </c>
      <c r="BC27" s="38" t="n">
        <v>9</v>
      </c>
      <c r="BD27" s="38" t="n">
        <v>9</v>
      </c>
      <c r="BE27" s="38" t="n">
        <v>9</v>
      </c>
      <c r="BF27" s="38" t="n">
        <v>0</v>
      </c>
      <c r="BG27" s="38" t="n">
        <v>0</v>
      </c>
      <c r="BH27" s="38" t="n">
        <v>0</v>
      </c>
      <c r="BI27" s="38" t="n">
        <v>0</v>
      </c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M27" s="6" t="n"/>
      <c r="DF27" s="6" t="n"/>
      <c r="DH27" s="6" t="n"/>
      <c r="DT27" s="6" t="n"/>
      <c r="DZ27" s="6" t="n"/>
      <c r="EB27" s="6" t="n"/>
      <c r="EC27" s="6" t="n"/>
      <c r="EK27" s="6" t="n"/>
      <c r="EM27" s="289" t="n"/>
      <c r="EP27" s="289" t="n"/>
      <c r="ER27" s="289" t="n"/>
    </row>
    <row r="28" hidden="1" ht="18.75" customHeight="1">
      <c r="A28" s="33" t="inlineStr">
        <is>
          <t>CAIXA P NATAL/25</t>
        </is>
      </c>
      <c r="B28" s="9" t="n">
        <v>150</v>
      </c>
      <c r="C28" s="668" t="n">
        <v>805.35</v>
      </c>
      <c r="D28" s="342" t="n"/>
      <c r="BD28" s="9" t="n">
        <v>193</v>
      </c>
      <c r="BE28" s="9" t="n">
        <v>184</v>
      </c>
      <c r="BF28" s="9" t="n">
        <v>119</v>
      </c>
      <c r="BG28" s="9" t="n">
        <v>106</v>
      </c>
      <c r="BH28" s="9" t="n">
        <v>93</v>
      </c>
      <c r="BI28" s="9" t="n">
        <v>88</v>
      </c>
      <c r="BJ28" s="9" t="n">
        <v>74</v>
      </c>
      <c r="BK28" s="9" t="n">
        <v>66</v>
      </c>
      <c r="BL28" s="9" t="n">
        <v>43</v>
      </c>
      <c r="BM28" s="9" t="n">
        <v>34</v>
      </c>
      <c r="BN28" s="9" t="n">
        <v>19</v>
      </c>
      <c r="BO28" s="9" t="n">
        <v>4</v>
      </c>
      <c r="BP28" s="9" t="n">
        <v>0</v>
      </c>
      <c r="BQ28" s="9" t="n">
        <v>0</v>
      </c>
      <c r="BR28" s="9" t="n">
        <v>0</v>
      </c>
      <c r="BS28" s="9" t="n"/>
      <c r="BT28" s="9" t="n"/>
      <c r="BU28" s="9" t="n"/>
      <c r="BV28" s="9" t="n"/>
      <c r="BW28" s="9" t="n"/>
      <c r="BX28" s="9" t="n"/>
      <c r="BY28" s="9" t="n"/>
      <c r="BZ28" s="9" t="n"/>
      <c r="CA28" s="9" t="n"/>
      <c r="CB28" s="246">
        <f>BZ28+IF(NOT(ISBLANK(OFFSET(CB28,0,6))),N(OFFSET(CB28,0,6)),N(OFFSET(CB28,0,7)))-CA28</f>
        <v/>
      </c>
      <c r="CI28" s="57" t="n"/>
      <c r="CJ28" s="57" t="n"/>
      <c r="CK28" s="57" t="n"/>
      <c r="CM28" s="6" t="n"/>
      <c r="CO28" s="57" t="n"/>
      <c r="CR28" s="57" t="n"/>
      <c r="DF28" s="360" t="n"/>
      <c r="DH28" s="360" t="n"/>
      <c r="DT28" s="6" t="n"/>
      <c r="DZ28" s="6" t="n"/>
      <c r="EB28" s="6" t="n"/>
      <c r="EC28" s="6" t="n"/>
      <c r="ED28" s="57" t="n"/>
      <c r="EE28" s="57" t="n"/>
      <c r="EF28" s="57" t="n"/>
      <c r="EG28" s="57" t="n"/>
      <c r="EH28" s="57" t="n"/>
      <c r="EI28" s="57" t="n"/>
      <c r="EL28" s="57" t="n"/>
      <c r="EM28" s="289" t="n"/>
      <c r="EP28" s="289" t="n"/>
      <c r="ER28" s="289" t="n"/>
    </row>
    <row r="29" hidden="1" ht="18.75" customHeight="1">
      <c r="A29" s="33" t="inlineStr">
        <is>
          <t>CAIXA M NATAL/25</t>
        </is>
      </c>
      <c r="B29" s="9" t="n">
        <v>100</v>
      </c>
      <c r="C29" s="668" t="n">
        <v>792.2</v>
      </c>
      <c r="D29" s="342" t="n"/>
      <c r="BD29" s="9" t="n">
        <v>276</v>
      </c>
      <c r="BE29" s="9" t="n">
        <v>230</v>
      </c>
      <c r="BF29" s="9" t="n">
        <v>80</v>
      </c>
      <c r="BG29" s="9" t="n">
        <v>52</v>
      </c>
      <c r="BH29" s="9" t="n">
        <v>39</v>
      </c>
      <c r="BI29" s="9" t="n">
        <v>28</v>
      </c>
      <c r="BJ29" s="9" t="n">
        <v>24</v>
      </c>
      <c r="BK29" s="9" t="n">
        <v>17</v>
      </c>
      <c r="BL29" s="9" t="n">
        <v>8</v>
      </c>
      <c r="BM29" s="9" t="n">
        <v>1</v>
      </c>
      <c r="BN29" s="9" t="n">
        <v>1</v>
      </c>
      <c r="BO29" s="9" t="n">
        <v>1</v>
      </c>
      <c r="BP29" s="9" t="n">
        <v>1</v>
      </c>
      <c r="BQ29" s="9" t="n">
        <v>1</v>
      </c>
      <c r="BR29" s="9" t="n">
        <v>0</v>
      </c>
      <c r="BS29" s="9" t="n"/>
      <c r="BT29" s="9" t="n"/>
      <c r="BU29" s="9" t="n"/>
      <c r="BV29" s="9" t="n"/>
      <c r="BW29" s="9" t="n"/>
      <c r="BX29" s="9" t="n"/>
      <c r="BY29" s="9" t="n"/>
      <c r="BZ29" s="9" t="n"/>
      <c r="CA29" s="9" t="n"/>
      <c r="CB29" s="246">
        <f>BZ29+IF(NOT(ISBLANK(OFFSET(CB29,0,6))),N(OFFSET(CB29,0,6)),N(OFFSET(CB29,0,7)))-CA29</f>
        <v/>
      </c>
      <c r="CI29" s="57" t="n"/>
      <c r="CJ29" s="57" t="n"/>
      <c r="CK29" s="57" t="n"/>
      <c r="CM29" s="6" t="n"/>
      <c r="CO29" s="57" t="n"/>
      <c r="CR29" s="57" t="n"/>
      <c r="DF29" s="360" t="n"/>
      <c r="DH29" s="360" t="n"/>
      <c r="DT29" s="6" t="n"/>
      <c r="DZ29" s="6" t="n"/>
      <c r="EB29" s="6" t="n"/>
      <c r="EC29" s="6" t="n"/>
      <c r="ED29" s="57" t="n"/>
      <c r="EE29" s="57" t="n"/>
      <c r="EF29" s="57" t="n"/>
      <c r="EG29" s="57" t="n"/>
      <c r="EH29" s="57" t="n"/>
      <c r="EI29" s="57" t="n"/>
      <c r="EL29" s="57" t="n"/>
      <c r="EM29" s="289" t="n"/>
      <c r="EP29" s="289" t="n"/>
      <c r="ER29" s="289" t="n"/>
    </row>
    <row r="30" ht="18.75" customHeight="1">
      <c r="A30" s="33" t="inlineStr">
        <is>
          <t>CAIXA G NATAL/25</t>
        </is>
      </c>
      <c r="B30" s="9" t="n">
        <v>50</v>
      </c>
      <c r="C30" s="668" t="n"/>
      <c r="D30" s="342" t="n"/>
      <c r="BD30" s="9" t="n">
        <v>19</v>
      </c>
      <c r="BE30" s="9" t="n">
        <v>15</v>
      </c>
      <c r="BF30" s="9" t="n">
        <v>15</v>
      </c>
      <c r="BG30" s="9" t="n">
        <v>15</v>
      </c>
      <c r="BH30" s="9" t="n">
        <v>14</v>
      </c>
      <c r="BI30" s="9" t="n">
        <v>12</v>
      </c>
      <c r="BJ30" s="9" t="n">
        <v>12</v>
      </c>
      <c r="BK30" s="9" t="n">
        <v>12</v>
      </c>
      <c r="BL30" s="9" t="n">
        <v>10</v>
      </c>
      <c r="BM30" s="9" t="n">
        <v>10</v>
      </c>
      <c r="BN30" s="9" t="n">
        <v>10</v>
      </c>
      <c r="BO30" s="9" t="n">
        <v>9</v>
      </c>
      <c r="BP30" s="9" t="n">
        <v>8</v>
      </c>
      <c r="BQ30" s="9" t="n">
        <v>6</v>
      </c>
      <c r="BR30" s="9" t="n">
        <v>4</v>
      </c>
      <c r="BS30" s="9" t="n">
        <v>4</v>
      </c>
      <c r="BT30" s="9" t="n">
        <v>4</v>
      </c>
      <c r="BU30" s="9" t="n">
        <v>4</v>
      </c>
      <c r="BV30" s="9" t="n">
        <v>4</v>
      </c>
      <c r="BW30" s="9" t="n">
        <v>2</v>
      </c>
      <c r="BX30" s="9" t="n">
        <v>1</v>
      </c>
      <c r="BY30" s="9" t="n">
        <v>0</v>
      </c>
      <c r="BZ30" s="9" t="n">
        <v>0</v>
      </c>
      <c r="CA30" s="9" t="n">
        <v>0</v>
      </c>
      <c r="CB30" s="246">
        <f>BZ30+IF(NOT(ISBLANK(OFFSET(CB30,0,6))),N(OFFSET(CB30,0,6)),N(OFFSET(CB30,0,7)))-CA30</f>
        <v/>
      </c>
      <c r="CI30" s="57" t="n"/>
      <c r="CJ30" s="57" t="n"/>
      <c r="CK30" s="57" t="n"/>
      <c r="CM30" s="6" t="n"/>
      <c r="CO30" s="57" t="n"/>
      <c r="CR30" s="57" t="n"/>
      <c r="DF30" s="360" t="n"/>
      <c r="DH30" s="360" t="n"/>
      <c r="DT30" s="6" t="n"/>
      <c r="DZ30" s="6" t="n"/>
      <c r="EB30" s="6" t="n"/>
      <c r="EC30" s="6" t="n"/>
      <c r="ED30" s="57" t="n"/>
      <c r="EE30" s="57" t="n"/>
      <c r="EF30" s="57" t="n"/>
      <c r="EG30" s="57" t="n"/>
      <c r="EH30" s="57" t="n"/>
      <c r="EI30" s="57" t="n"/>
      <c r="EL30" s="57" t="n"/>
      <c r="EM30" s="289" t="n"/>
      <c r="EP30" s="289" t="n"/>
      <c r="ER30" s="289" t="n"/>
    </row>
    <row r="31" hidden="1" ht="18.75" customHeight="1">
      <c r="A31" s="33" t="inlineStr">
        <is>
          <t>CARTUCHO P NATAL/25</t>
        </is>
      </c>
      <c r="B31" s="9" t="n">
        <v>200</v>
      </c>
      <c r="C31" s="668" t="n">
        <v>487.2</v>
      </c>
      <c r="D31" s="342" t="n"/>
      <c r="BD31" s="9" t="n">
        <v>203</v>
      </c>
      <c r="BE31" s="9" t="n">
        <v>-20</v>
      </c>
      <c r="BF31" s="9" t="n">
        <v>0</v>
      </c>
      <c r="BG31" s="9" t="n">
        <v>-1</v>
      </c>
      <c r="BH31" s="9" t="n">
        <v>-3</v>
      </c>
      <c r="BI31" s="9" t="n">
        <v>-3</v>
      </c>
      <c r="BJ31" s="9" t="n">
        <v>0</v>
      </c>
      <c r="BK31" s="9" t="n">
        <v>0</v>
      </c>
      <c r="BL31" s="9" t="n">
        <v>0</v>
      </c>
      <c r="BM31" s="9" t="n">
        <v>0</v>
      </c>
      <c r="BN31" s="9" t="n">
        <v>0</v>
      </c>
      <c r="BO31" s="9" t="n">
        <v>0</v>
      </c>
      <c r="BP31" s="9" t="n">
        <v>0</v>
      </c>
      <c r="BQ31" s="9" t="n">
        <v>0</v>
      </c>
      <c r="BR31" s="9" t="n">
        <v>0</v>
      </c>
      <c r="BS31" s="9" t="n"/>
      <c r="BT31" s="9" t="n"/>
      <c r="BU31" s="9" t="n"/>
      <c r="BV31" s="9" t="n"/>
      <c r="BW31" s="9" t="n"/>
      <c r="BX31" s="9" t="n"/>
      <c r="BY31" s="9" t="n"/>
      <c r="BZ31" s="9" t="n"/>
      <c r="CA31" s="9" t="n"/>
      <c r="CB31" s="246">
        <f>BZ31+IF(NOT(ISBLANK(OFFSET(CB31,0,6))),N(OFFSET(CB31,0,6)),N(OFFSET(CB31,0,7)))-CA31</f>
        <v/>
      </c>
      <c r="CI31" s="57" t="n"/>
      <c r="CJ31" s="57" t="n"/>
      <c r="CK31" s="57" t="n"/>
      <c r="CM31" s="6" t="n"/>
      <c r="CO31" s="57" t="n"/>
      <c r="CR31" s="57" t="n"/>
      <c r="DF31" s="360" t="n"/>
      <c r="DH31" s="360" t="n"/>
      <c r="DT31" s="6" t="n"/>
      <c r="DZ31" s="6" t="n"/>
      <c r="EB31" s="6" t="n"/>
      <c r="EC31" s="6" t="n"/>
      <c r="ED31" s="57" t="n"/>
      <c r="EE31" s="57" t="n"/>
      <c r="EF31" s="57" t="n"/>
      <c r="EG31" s="57" t="n"/>
      <c r="EH31" s="57" t="n"/>
      <c r="EI31" s="57" t="n"/>
      <c r="EL31" s="57" t="n"/>
      <c r="EM31" s="289" t="n"/>
      <c r="EP31" s="289" t="n"/>
      <c r="ER31" s="289" t="n"/>
    </row>
    <row r="32" hidden="1" ht="18.75" customHeight="1">
      <c r="A32" s="33" t="inlineStr">
        <is>
          <t>CARTUCHO M NATAL/25</t>
        </is>
      </c>
      <c r="B32" s="9" t="n">
        <v>150</v>
      </c>
      <c r="C32" s="668" t="n">
        <v>460.35</v>
      </c>
      <c r="D32" s="342" t="n"/>
      <c r="BD32" s="9" t="n">
        <v>205</v>
      </c>
      <c r="BE32" s="9" t="n">
        <v>86</v>
      </c>
      <c r="BF32" s="9" t="n">
        <v>0</v>
      </c>
      <c r="BG32" s="9" t="n">
        <v>0</v>
      </c>
      <c r="BH32" s="9" t="n">
        <v>0</v>
      </c>
      <c r="BI32" s="9" t="n">
        <v>0</v>
      </c>
      <c r="BJ32" s="9" t="n">
        <v>0</v>
      </c>
      <c r="BK32" s="9" t="n">
        <v>0</v>
      </c>
      <c r="BL32" s="9" t="n">
        <v>0</v>
      </c>
      <c r="BM32" s="9" t="n">
        <v>0</v>
      </c>
      <c r="BN32" s="9" t="n">
        <v>0</v>
      </c>
      <c r="BO32" s="9" t="n">
        <v>0</v>
      </c>
      <c r="BP32" s="9" t="n">
        <v>0</v>
      </c>
      <c r="BQ32" s="9" t="n">
        <v>0</v>
      </c>
      <c r="BR32" s="9" t="n">
        <v>0</v>
      </c>
      <c r="BS32" s="9" t="n"/>
      <c r="BT32" s="9" t="n"/>
      <c r="BU32" s="9" t="n"/>
      <c r="BV32" s="9" t="n"/>
      <c r="BW32" s="9" t="n"/>
      <c r="BX32" s="9" t="n"/>
      <c r="BY32" s="9" t="n"/>
      <c r="BZ32" s="9" t="n"/>
      <c r="CA32" s="9" t="n"/>
      <c r="CB32" s="246">
        <f>BZ32+IF(NOT(ISBLANK(OFFSET(CB32,0,6))),N(OFFSET(CB32,0,6)),N(OFFSET(CB32,0,7)))-CA32</f>
        <v/>
      </c>
      <c r="CI32" s="57" t="n"/>
      <c r="CJ32" s="57" t="n"/>
      <c r="CK32" s="57" t="n"/>
      <c r="CM32" s="6" t="n"/>
      <c r="CO32" s="57" t="n"/>
      <c r="CR32" s="57" t="n"/>
      <c r="DF32" s="360" t="n"/>
      <c r="DH32" s="360" t="n"/>
      <c r="DT32" s="6" t="n"/>
      <c r="DZ32" s="6" t="n"/>
      <c r="EB32" s="6" t="n"/>
      <c r="EC32" s="6" t="n"/>
      <c r="ED32" s="57" t="n"/>
      <c r="EE32" s="57" t="n"/>
      <c r="EF32" s="57" t="n"/>
      <c r="EG32" s="57" t="n"/>
      <c r="EH32" s="57" t="n"/>
      <c r="EI32" s="57" t="n"/>
      <c r="EL32" s="57" t="n"/>
      <c r="EM32" s="289" t="n"/>
      <c r="EP32" s="289" t="n"/>
      <c r="ER32" s="289" t="n"/>
    </row>
    <row r="33" hidden="1" ht="18.75" customHeight="1">
      <c r="A33" s="33" t="inlineStr">
        <is>
          <t>PIN NATAL/25</t>
        </is>
      </c>
      <c r="B33" s="9" t="n">
        <v>10</v>
      </c>
      <c r="C33" s="668" t="n">
        <v>120</v>
      </c>
      <c r="D33" s="342" t="n"/>
      <c r="BD33" s="9" t="n"/>
      <c r="BE33" s="9" t="n"/>
      <c r="BF33" s="9" t="n">
        <v>6</v>
      </c>
      <c r="BG33" s="9" t="n">
        <v>6</v>
      </c>
      <c r="BH33" s="9" t="n">
        <v>6</v>
      </c>
      <c r="BI33" s="9" t="n">
        <v>4</v>
      </c>
      <c r="BJ33" s="9" t="n">
        <v>4</v>
      </c>
      <c r="BK33" s="9" t="n">
        <v>4</v>
      </c>
      <c r="BL33" s="9" t="n">
        <v>4</v>
      </c>
      <c r="BM33" s="9" t="n">
        <v>4</v>
      </c>
      <c r="BN33" s="9" t="n">
        <v>4</v>
      </c>
      <c r="BO33" s="9" t="n">
        <v>0</v>
      </c>
      <c r="BP33" s="9" t="n">
        <v>0</v>
      </c>
      <c r="BQ33" s="9" t="n">
        <v>0</v>
      </c>
      <c r="BR33" s="9" t="n">
        <v>0</v>
      </c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246">
        <f>BZ33+IF(NOT(ISBLANK(OFFSET(CB33,0,6))),N(OFFSET(CB33,0,6)),N(OFFSET(CB33,0,7)))-CA33</f>
        <v/>
      </c>
      <c r="CI33" s="57" t="n"/>
      <c r="CJ33" s="57" t="n"/>
      <c r="CK33" s="57" t="n"/>
      <c r="CM33" s="6" t="n"/>
      <c r="CO33" s="57" t="n"/>
      <c r="CR33" s="57" t="n"/>
      <c r="DF33" s="360" t="n"/>
      <c r="DH33" s="360" t="n"/>
      <c r="DT33" s="6" t="n"/>
      <c r="DZ33" s="6" t="n"/>
      <c r="EB33" s="6" t="n"/>
      <c r="EC33" s="6" t="n"/>
      <c r="ED33" s="57" t="n"/>
      <c r="EE33" s="57" t="n"/>
      <c r="EF33" s="57" t="n"/>
      <c r="EG33" s="57" t="n"/>
      <c r="EH33" s="57" t="n"/>
      <c r="EI33" s="57" t="n"/>
      <c r="EL33" s="57" t="n"/>
      <c r="EM33" s="289" t="n"/>
      <c r="EP33" s="289" t="n"/>
      <c r="ER33" s="289" t="n"/>
    </row>
    <row r="34" ht="18.75" customHeight="1">
      <c r="CI34" s="57" t="n"/>
      <c r="CJ34" s="57" t="n"/>
      <c r="CK34" s="57" t="n"/>
      <c r="CM34" s="6" t="n"/>
      <c r="CO34" s="57" t="n"/>
      <c r="CR34" s="57" t="n"/>
      <c r="DF34" s="360" t="n"/>
      <c r="DH34" s="360" t="n"/>
      <c r="DT34" s="6" t="n"/>
      <c r="DZ34" s="6" t="n"/>
      <c r="EB34" s="6" t="n"/>
      <c r="EC34" s="6" t="n"/>
      <c r="ED34" s="57" t="n"/>
      <c r="EE34" s="57" t="n"/>
      <c r="EF34" s="57" t="n"/>
      <c r="EG34" s="57" t="n"/>
      <c r="EH34" s="57" t="n"/>
      <c r="EI34" s="57" t="n"/>
      <c r="EL34" s="57" t="n"/>
      <c r="EM34" s="289" t="n"/>
      <c r="EP34" s="289" t="n"/>
      <c r="ER34" s="289" t="n"/>
    </row>
    <row r="35" ht="18.75" customHeight="1">
      <c r="CI35" s="61" t="n"/>
      <c r="CJ35" s="61" t="n"/>
      <c r="CK35" s="61" t="n"/>
      <c r="CM35" s="6" t="n"/>
      <c r="CO35" s="61" t="n"/>
      <c r="CR35" s="61" t="n"/>
      <c r="DF35" s="360" t="n"/>
      <c r="DH35" s="360" t="n"/>
      <c r="DT35" s="6" t="n"/>
      <c r="DZ35" s="6" t="n"/>
      <c r="EB35" s="6" t="n"/>
      <c r="EC35" s="6" t="n"/>
      <c r="ED35" s="57" t="n"/>
      <c r="EE35" s="57" t="n"/>
      <c r="EF35" s="57" t="n"/>
      <c r="EG35" s="57" t="n"/>
      <c r="EH35" s="57" t="n"/>
      <c r="EI35" s="57" t="n"/>
      <c r="EL35" s="57" t="n"/>
      <c r="EM35" s="289" t="n"/>
      <c r="EP35" s="289" t="n"/>
      <c r="ER35" s="289" t="n"/>
    </row>
    <row r="36" ht="21" customHeight="1">
      <c r="A36" s="320" t="inlineStr">
        <is>
          <t>SOBRAS DATAS COMEMORATIVAS</t>
        </is>
      </c>
      <c r="B36" s="320" t="n"/>
      <c r="C36" s="320" t="n"/>
      <c r="CB36" s="222" t="n"/>
      <c r="CC36" s="222" t="n"/>
      <c r="CF36" s="222" t="n"/>
      <c r="CG36" s="222" t="n"/>
      <c r="CH36" s="222" t="n"/>
      <c r="CI36" s="61" t="n"/>
      <c r="CJ36" s="61" t="n"/>
      <c r="CK36" s="61" t="n"/>
      <c r="CM36" s="6" t="n"/>
      <c r="CO36" s="61" t="n"/>
      <c r="CR36" s="61" t="n"/>
      <c r="DF36" s="360" t="n"/>
      <c r="DH36" s="360" t="n"/>
      <c r="DT36" s="6" t="n"/>
      <c r="DW36" s="57" t="n"/>
      <c r="DX36" s="57" t="n"/>
      <c r="DY36" s="57" t="n"/>
      <c r="DZ36" s="6" t="n"/>
      <c r="EA36" s="57" t="n"/>
      <c r="EB36" s="360" t="n"/>
      <c r="EC36" s="6" t="n"/>
      <c r="ED36" s="61" t="n"/>
      <c r="EE36" s="61" t="n"/>
      <c r="EF36" s="61" t="n"/>
      <c r="EG36" s="61" t="n"/>
      <c r="EH36" s="61" t="n"/>
      <c r="EI36" s="61" t="n"/>
      <c r="EL36" s="61" t="n"/>
      <c r="EM36" s="289" t="n"/>
      <c r="EP36" s="289" t="n"/>
      <c r="ER36" s="289" t="n"/>
    </row>
    <row r="37">
      <c r="A37" s="146" t="inlineStr">
        <is>
          <t>ITENS</t>
        </is>
      </c>
      <c r="B37" s="146" t="n"/>
      <c r="C37" s="146" t="inlineStr">
        <is>
          <t>ESTOQUE</t>
        </is>
      </c>
      <c r="E37" s="53" t="n"/>
      <c r="F37" s="53" t="n"/>
      <c r="G37" s="53" t="n"/>
      <c r="H37" s="53" t="n"/>
      <c r="I37" s="53" t="n"/>
      <c r="J37" s="53" t="n"/>
      <c r="K37" s="53" t="n"/>
      <c r="L37" s="53" t="n"/>
      <c r="M37" s="53" t="n"/>
      <c r="N37" s="53" t="n"/>
      <c r="O37" s="53" t="n"/>
      <c r="P37" s="53" t="n"/>
      <c r="Q37" s="53" t="n"/>
      <c r="R37" s="53" t="n"/>
      <c r="S37" s="53" t="n"/>
      <c r="T37" s="53" t="n"/>
      <c r="U37" s="53" t="n"/>
      <c r="V37" s="53" t="n"/>
      <c r="W37" s="53" t="n"/>
      <c r="X37" s="53" t="n"/>
      <c r="Y37" s="53" t="n"/>
      <c r="Z37" s="53" t="n"/>
      <c r="AA37" s="53" t="n"/>
      <c r="AB37" s="53" t="n"/>
      <c r="AC37" s="53" t="n"/>
      <c r="AD37" s="53" t="n"/>
      <c r="AE37" s="53" t="n"/>
      <c r="AF37" s="53" t="n"/>
      <c r="AG37" s="53" t="n"/>
      <c r="AH37" s="53" t="n"/>
      <c r="AI37" s="53" t="n"/>
      <c r="AJ37" s="53" t="n"/>
      <c r="AK37" s="53" t="n"/>
      <c r="AL37" s="53" t="n"/>
      <c r="AM37" s="53" t="n"/>
      <c r="AN37" s="53" t="n"/>
      <c r="AO37" s="53" t="n"/>
      <c r="AP37" s="53" t="n"/>
      <c r="AQ37" s="53" t="n"/>
      <c r="AR37" s="53" t="n"/>
      <c r="AS37" s="53" t="n"/>
      <c r="AT37" s="53" t="n"/>
      <c r="AU37" s="53" t="n"/>
      <c r="AV37" s="53" t="n"/>
      <c r="AW37" s="53" t="n"/>
      <c r="AX37" s="53" t="n"/>
      <c r="AY37" s="53" t="n"/>
      <c r="AZ37" s="53" t="n"/>
      <c r="BA37" s="53" t="n"/>
      <c r="BB37" s="53" t="n"/>
      <c r="BC37" s="53" t="n"/>
      <c r="BD37" s="53" t="n"/>
      <c r="BE37" s="53" t="n"/>
      <c r="BF37" s="53" t="n"/>
      <c r="BG37" s="53" t="n"/>
      <c r="BH37" s="53" t="n"/>
      <c r="BI37" s="53" t="n"/>
      <c r="BJ37" s="53" t="n"/>
      <c r="BK37" s="53" t="n"/>
      <c r="BL37" s="53" t="n"/>
      <c r="BM37" s="53" t="n"/>
      <c r="BN37" s="53" t="n"/>
      <c r="BO37" s="53" t="n"/>
      <c r="BP37" s="53" t="n"/>
      <c r="BQ37" s="53" t="n"/>
      <c r="BR37" s="53" t="n"/>
      <c r="BS37" s="53" t="n"/>
      <c r="BT37" s="53" t="n"/>
      <c r="BU37" s="53" t="n"/>
      <c r="BV37" s="53" t="n"/>
      <c r="BW37" s="53" t="n"/>
      <c r="BX37" s="53" t="n"/>
      <c r="BY37" s="53" t="n"/>
      <c r="BZ37" s="53" t="n"/>
      <c r="CA37" s="53" t="n"/>
      <c r="CB37" s="53" t="n"/>
      <c r="CC37" s="53" t="n"/>
      <c r="CF37" s="53" t="n"/>
      <c r="CH37" s="53" t="n"/>
      <c r="CL37" s="57" t="n"/>
      <c r="CM37" s="6" t="n"/>
      <c r="CN37" s="57" t="n"/>
      <c r="CP37" s="57" t="n"/>
      <c r="CQ37" s="57" t="n"/>
      <c r="CS37" s="57" t="n"/>
      <c r="CT37" s="57" t="n"/>
      <c r="CU37" s="57" t="n"/>
      <c r="CV37" s="57" t="n"/>
      <c r="CW37" s="57" t="n"/>
      <c r="CX37" s="57" t="n"/>
      <c r="CY37" s="57" t="n"/>
      <c r="CZ37" s="57" t="n"/>
      <c r="DA37" s="57" t="n"/>
      <c r="DB37" s="57" t="n"/>
      <c r="DC37" s="57" t="n"/>
      <c r="DD37" s="57" t="n"/>
      <c r="DE37" s="57" t="n"/>
      <c r="DF37" s="53" t="n"/>
      <c r="DG37" s="57" t="n"/>
      <c r="DH37" s="53" t="n"/>
      <c r="DI37" s="57" t="n"/>
      <c r="DJ37" s="57" t="n"/>
      <c r="DK37" s="57" t="n"/>
      <c r="DL37" s="57" t="n"/>
      <c r="DM37" s="57" t="n"/>
      <c r="DN37" s="57" t="n"/>
      <c r="DO37" s="57" t="n"/>
      <c r="DP37" s="57" t="n"/>
      <c r="DQ37" s="57" t="n"/>
      <c r="DR37" s="57" t="n"/>
      <c r="DS37" s="57" t="n"/>
      <c r="DT37" s="6" t="n"/>
      <c r="DU37" s="57" t="n"/>
      <c r="DV37" s="57" t="n"/>
      <c r="DW37" s="61" t="n"/>
      <c r="DX37" s="61" t="n"/>
      <c r="DY37" s="61" t="n"/>
      <c r="DZ37" s="360" t="n"/>
      <c r="EA37" s="61" t="n"/>
      <c r="EB37" s="360" t="n"/>
      <c r="EC37" s="360" t="n"/>
      <c r="ED37" s="61" t="n"/>
      <c r="EE37" s="61" t="n"/>
      <c r="EF37" s="61" t="n"/>
      <c r="EG37" s="61" t="n"/>
      <c r="EH37" s="61" t="n"/>
      <c r="EI37" s="61" t="n"/>
      <c r="EL37" s="61" t="n"/>
      <c r="EM37" s="289" t="n"/>
      <c r="EP37" s="289" t="n"/>
      <c r="ER37" s="289" t="n"/>
    </row>
    <row r="38">
      <c r="A38" s="215" t="inlineStr">
        <is>
          <t>TAG PAIS/24</t>
        </is>
      </c>
      <c r="B38" s="170" t="n"/>
      <c r="C38" s="171" t="n">
        <v>40</v>
      </c>
      <c r="E38" s="53" t="n"/>
      <c r="F38" s="53" t="n"/>
      <c r="G38" s="53" t="n"/>
      <c r="H38" s="53" t="n"/>
      <c r="I38" s="53" t="n"/>
      <c r="J38" s="53" t="n"/>
      <c r="K38" s="53" t="n"/>
      <c r="L38" s="53" t="n"/>
      <c r="M38" s="53" t="n"/>
      <c r="N38" s="53" t="n"/>
      <c r="O38" s="53" t="n"/>
      <c r="P38" s="53" t="n"/>
      <c r="Q38" s="53" t="n"/>
      <c r="R38" s="53" t="n"/>
      <c r="S38" s="53" t="n"/>
      <c r="T38" s="53" t="n"/>
      <c r="U38" s="53" t="n"/>
      <c r="V38" s="53" t="n"/>
      <c r="W38" s="53" t="n"/>
      <c r="X38" s="53" t="n"/>
      <c r="Y38" s="53" t="n"/>
      <c r="Z38" s="53" t="n"/>
      <c r="AA38" s="53" t="n"/>
      <c r="AB38" s="53" t="n"/>
      <c r="AC38" s="53" t="n"/>
      <c r="AD38" s="53" t="n"/>
      <c r="AE38" s="53" t="n"/>
      <c r="AF38" s="53" t="n"/>
      <c r="AG38" s="53" t="n"/>
      <c r="AH38" s="53" t="n"/>
      <c r="AI38" s="53" t="n"/>
      <c r="AJ38" s="53" t="n"/>
      <c r="AK38" s="53" t="n"/>
      <c r="AL38" s="53" t="n"/>
      <c r="AM38" s="53" t="n"/>
      <c r="AN38" s="53" t="n"/>
      <c r="AO38" s="53" t="n"/>
      <c r="AP38" s="53" t="n"/>
      <c r="AQ38" s="53" t="n"/>
      <c r="AR38" s="53" t="n"/>
      <c r="AS38" s="53" t="n"/>
      <c r="AT38" s="53" t="n"/>
      <c r="AU38" s="53" t="n"/>
      <c r="AV38" s="53" t="n"/>
      <c r="AW38" s="53" t="n"/>
      <c r="AX38" s="53" t="n"/>
      <c r="AY38" s="53" t="n"/>
      <c r="AZ38" s="53" t="n"/>
      <c r="BA38" s="53" t="n"/>
      <c r="BB38" s="53" t="n"/>
      <c r="BC38" s="53" t="n"/>
      <c r="BD38" s="53" t="n"/>
      <c r="BE38" s="53" t="n"/>
      <c r="BF38" s="53" t="n"/>
      <c r="BG38" s="53" t="n"/>
      <c r="BH38" s="53" t="n"/>
      <c r="BI38" s="53" t="n"/>
      <c r="BJ38" s="53" t="n"/>
      <c r="BK38" s="53" t="n"/>
      <c r="BL38" s="53" t="n"/>
      <c r="BM38" s="53" t="n"/>
      <c r="BN38" s="53" t="n"/>
      <c r="BO38" s="53" t="n"/>
      <c r="BP38" s="53" t="n"/>
      <c r="BQ38" s="53" t="n"/>
      <c r="BR38" s="53" t="n"/>
      <c r="BS38" s="53" t="n"/>
      <c r="BT38" s="53" t="n"/>
      <c r="BU38" s="53" t="n"/>
      <c r="BV38" s="53" t="n"/>
      <c r="BW38" s="53" t="n"/>
      <c r="BX38" s="53" t="n"/>
      <c r="BY38" s="53" t="n"/>
      <c r="BZ38" s="53" t="n"/>
      <c r="CA38" s="53" t="n"/>
      <c r="CB38" s="53" t="n"/>
      <c r="CC38" s="53" t="n"/>
      <c r="CF38" s="53" t="n"/>
      <c r="CH38" s="53" t="n"/>
      <c r="CL38" s="61" t="n"/>
      <c r="CM38" s="6" t="n"/>
      <c r="CN38" s="61" t="n"/>
      <c r="CP38" s="61" t="n"/>
      <c r="CQ38" s="61" t="n"/>
      <c r="CS38" s="61" t="n"/>
      <c r="CT38" s="61" t="n"/>
      <c r="CU38" s="61" t="n"/>
      <c r="CV38" s="61" t="n"/>
      <c r="CW38" s="61" t="n"/>
      <c r="CX38" s="61" t="n"/>
      <c r="CY38" s="61" t="n"/>
      <c r="CZ38" s="61" t="n"/>
      <c r="DA38" s="61" t="n"/>
      <c r="DB38" s="61" t="n"/>
      <c r="DC38" s="61" t="n"/>
      <c r="DD38" s="61" t="n"/>
      <c r="DE38" s="61" t="n"/>
      <c r="DF38" s="53" t="n"/>
      <c r="DG38" s="61" t="n"/>
      <c r="DH38" s="53" t="n"/>
      <c r="DI38" s="61" t="n"/>
      <c r="DJ38" s="61" t="n"/>
      <c r="DK38" s="61" t="n"/>
      <c r="DL38" s="61" t="n"/>
      <c r="DM38" s="61" t="n"/>
      <c r="DN38" s="61" t="n"/>
      <c r="DO38" s="61" t="n"/>
      <c r="DP38" s="61" t="n"/>
      <c r="DQ38" s="61" t="n"/>
      <c r="DR38" s="61" t="n"/>
      <c r="DS38" s="61" t="n"/>
      <c r="DT38" s="360" t="n"/>
      <c r="DU38" s="61" t="n"/>
      <c r="DV38" s="61" t="n"/>
      <c r="DW38" s="61" t="n"/>
      <c r="DX38" s="61" t="n"/>
      <c r="DY38" s="61" t="n"/>
      <c r="DZ38" s="360" t="n"/>
      <c r="EA38" s="61" t="n"/>
      <c r="EB38" s="53" t="n"/>
      <c r="EC38" s="360" t="n"/>
      <c r="EM38" s="289" t="n"/>
      <c r="EP38" s="289" t="n"/>
      <c r="ER38" s="289" t="n"/>
    </row>
    <row r="39">
      <c r="A39" s="215" t="inlineStr">
        <is>
          <t>TAG PAIS/25</t>
        </is>
      </c>
      <c r="B39" s="170" t="n"/>
      <c r="C39" s="171" t="n">
        <v>250</v>
      </c>
      <c r="E39" s="53" t="n"/>
      <c r="F39" s="53" t="n"/>
      <c r="G39" s="53" t="n"/>
      <c r="H39" s="53" t="n"/>
      <c r="I39" s="53" t="n"/>
      <c r="J39" s="53" t="n"/>
      <c r="K39" s="53" t="n"/>
      <c r="L39" s="53" t="n"/>
      <c r="M39" s="53" t="n"/>
      <c r="N39" s="53" t="n"/>
      <c r="O39" s="53" t="n"/>
      <c r="P39" s="53" t="n"/>
      <c r="Q39" s="53" t="n"/>
      <c r="R39" s="53" t="n"/>
      <c r="S39" s="53" t="n"/>
      <c r="T39" s="53" t="n"/>
      <c r="U39" s="53" t="n"/>
      <c r="V39" s="53" t="n"/>
      <c r="W39" s="53" t="n"/>
      <c r="X39" s="53" t="n"/>
      <c r="Y39" s="53" t="n"/>
      <c r="Z39" s="53" t="n"/>
      <c r="AA39" s="53" t="n"/>
      <c r="AB39" s="53" t="n"/>
      <c r="AC39" s="53" t="n"/>
      <c r="AD39" s="53" t="n"/>
      <c r="AE39" s="53" t="n"/>
      <c r="AF39" s="53" t="n"/>
      <c r="AG39" s="53" t="n"/>
      <c r="AH39" s="53" t="n"/>
      <c r="AI39" s="53" t="n"/>
      <c r="AJ39" s="53" t="n"/>
      <c r="AK39" s="53" t="n"/>
      <c r="AL39" s="53" t="n"/>
      <c r="AM39" s="53" t="n"/>
      <c r="AN39" s="53" t="n"/>
      <c r="AO39" s="53" t="n"/>
      <c r="AP39" s="53" t="n"/>
      <c r="AQ39" s="53" t="n"/>
      <c r="AR39" s="53" t="n"/>
      <c r="AS39" s="53" t="n"/>
      <c r="AT39" s="53" t="n"/>
      <c r="AU39" s="53" t="n"/>
      <c r="AV39" s="53" t="n"/>
      <c r="AW39" s="53" t="n"/>
      <c r="AX39" s="53" t="n"/>
      <c r="AY39" s="53" t="n"/>
      <c r="AZ39" s="53" t="n"/>
      <c r="BA39" s="53" t="n"/>
      <c r="BB39" s="53" t="n"/>
      <c r="BC39" s="53" t="n"/>
      <c r="BD39" s="53" t="n"/>
      <c r="BE39" s="53" t="n"/>
      <c r="BF39" s="53" t="n"/>
      <c r="BG39" s="53" t="n"/>
      <c r="BH39" s="53" t="n"/>
      <c r="BI39" s="53" t="n"/>
      <c r="BJ39" s="53" t="n"/>
      <c r="BK39" s="53" t="n"/>
      <c r="BL39" s="53" t="n"/>
      <c r="BM39" s="53" t="n"/>
      <c r="BN39" s="53" t="n"/>
      <c r="BO39" s="53" t="n"/>
      <c r="BP39" s="53" t="n"/>
      <c r="BQ39" s="53" t="n"/>
      <c r="BR39" s="53" t="n"/>
      <c r="BS39" s="53" t="n"/>
      <c r="BT39" s="53" t="n"/>
      <c r="BU39" s="53" t="n"/>
      <c r="BV39" s="53" t="n"/>
      <c r="BW39" s="53" t="n"/>
      <c r="BX39" s="53" t="n"/>
      <c r="BY39" s="53" t="n"/>
      <c r="BZ39" s="53" t="n"/>
      <c r="CA39" s="53" t="n"/>
      <c r="CB39" s="53" t="n"/>
      <c r="CC39" s="53" t="n"/>
      <c r="CF39" s="53" t="n"/>
      <c r="CH39" s="53" t="n"/>
      <c r="CL39" s="61" t="n"/>
      <c r="CM39" s="360" t="n"/>
      <c r="CN39" s="61" t="n"/>
      <c r="CP39" s="61" t="n"/>
      <c r="CQ39" s="61" t="n"/>
      <c r="CS39" s="61" t="n"/>
      <c r="CT39" s="61" t="n"/>
      <c r="CU39" s="61" t="n"/>
      <c r="CV39" s="61" t="n"/>
      <c r="CW39" s="61" t="n"/>
      <c r="CX39" s="61" t="n"/>
      <c r="CY39" s="61" t="n"/>
      <c r="CZ39" s="61" t="n"/>
      <c r="DA39" s="61" t="n"/>
      <c r="DB39" s="61" t="n"/>
      <c r="DC39" s="61" t="n"/>
      <c r="DD39" s="61" t="n"/>
      <c r="DE39" s="61" t="n"/>
      <c r="DF39" s="53" t="n"/>
      <c r="DG39" s="61" t="n"/>
      <c r="DH39" s="53" t="n"/>
      <c r="DI39" s="61" t="n"/>
      <c r="DJ39" s="61" t="n"/>
      <c r="DK39" s="61" t="n"/>
      <c r="DL39" s="61" t="n"/>
      <c r="DM39" s="61" t="n"/>
      <c r="DN39" s="61" t="n"/>
      <c r="DO39" s="61" t="n"/>
      <c r="DP39" s="61" t="n"/>
      <c r="DQ39" s="61" t="n"/>
      <c r="DR39" s="61" t="n"/>
      <c r="DS39" s="61" t="n"/>
      <c r="DT39" s="360" t="n"/>
      <c r="DU39" s="61" t="n"/>
      <c r="DV39" s="61" t="n"/>
      <c r="DW39" s="61" t="n"/>
      <c r="DX39" s="61" t="n"/>
      <c r="DY39" s="61" t="n"/>
      <c r="DZ39" s="360" t="n"/>
      <c r="EA39" s="61" t="n"/>
      <c r="EB39" s="53" t="n"/>
      <c r="EC39" s="360" t="n"/>
      <c r="EM39" s="289" t="n"/>
      <c r="EP39" s="289" t="n"/>
      <c r="ER39" s="289" t="n"/>
    </row>
    <row r="40">
      <c r="A40" s="371" t="inlineStr">
        <is>
          <t>TAG NAMORADOS/2023</t>
        </is>
      </c>
      <c r="B40" s="170" t="n"/>
      <c r="C40" s="171" t="n">
        <v>300</v>
      </c>
      <c r="CM40" s="360" t="n"/>
      <c r="DF40" s="53" t="n"/>
      <c r="DH40" s="53" t="n"/>
      <c r="DT40" s="53" t="n"/>
      <c r="DV40" s="61" t="n"/>
      <c r="DZ40" s="53" t="n"/>
      <c r="EB40" s="53" t="n"/>
      <c r="EC40" s="53" t="n"/>
      <c r="EM40" s="289" t="n"/>
      <c r="EP40" s="289" t="n"/>
      <c r="ER40" s="289" t="n"/>
      <c r="FF40" s="6" t="n"/>
      <c r="FG40" s="6" t="n"/>
      <c r="FH40" s="6" t="n"/>
      <c r="FI40" s="6" t="n"/>
      <c r="FJ40" s="6" t="n"/>
      <c r="FK40" s="6" t="n"/>
      <c r="FL40" s="6" t="n"/>
      <c r="FM40" s="6" t="n"/>
      <c r="FN40" s="6" t="n"/>
      <c r="FO40" s="6" t="n"/>
      <c r="FP40" s="6" t="n"/>
      <c r="GK40" s="49" t="n"/>
      <c r="GL40" s="49" t="n"/>
      <c r="GM40" s="49" t="n"/>
      <c r="GN40" s="49" t="n"/>
      <c r="GO40" s="49" t="n"/>
      <c r="GP40" s="49" t="n"/>
      <c r="GQ40" s="49" t="n"/>
      <c r="GR40" s="49" t="n"/>
      <c r="GS40" s="49" t="n"/>
      <c r="GT40" s="49" t="n"/>
      <c r="GU40" s="49" t="n"/>
      <c r="GV40" s="49" t="n"/>
      <c r="GW40" s="49" t="n"/>
      <c r="GX40" s="49" t="n"/>
      <c r="GY40" s="49" t="n"/>
      <c r="HA40" s="49" t="n"/>
      <c r="HB40" s="49" t="n"/>
      <c r="HC40" s="49" t="n"/>
      <c r="HD40" s="49" t="n"/>
      <c r="HE40" s="49" t="n"/>
      <c r="HF40" s="49" t="n"/>
      <c r="HG40" s="49" t="n"/>
      <c r="HH40" s="49" t="n"/>
      <c r="HI40" s="49" t="n"/>
      <c r="HJ40" s="49" t="n"/>
      <c r="HK40" s="49" t="n"/>
      <c r="HL40" s="49" t="n"/>
      <c r="HM40" s="49" t="n"/>
      <c r="HN40" s="49" t="n"/>
      <c r="HO40" s="49" t="n"/>
      <c r="HW40" s="49" t="n"/>
      <c r="IA40" s="49" t="n"/>
      <c r="IE40" s="49" t="n"/>
      <c r="IN40" s="49" t="n"/>
      <c r="IT40" s="61" t="n"/>
      <c r="JD40" s="168" t="n"/>
    </row>
    <row r="41" customFormat="1" s="49">
      <c r="E41" s="53" t="n"/>
      <c r="F41" s="53" t="n"/>
      <c r="G41" s="53" t="n"/>
      <c r="H41" s="53" t="n"/>
      <c r="I41" s="53" t="n"/>
      <c r="J41" s="53" t="n"/>
      <c r="K41" s="53" t="n"/>
      <c r="L41" s="53" t="n"/>
      <c r="M41" s="53" t="n"/>
      <c r="N41" s="53" t="n"/>
      <c r="O41" s="53" t="n"/>
      <c r="P41" s="53" t="n"/>
      <c r="Q41" s="53" t="n"/>
      <c r="R41" s="53" t="n"/>
      <c r="S41" s="53" t="n"/>
      <c r="T41" s="53" t="n"/>
      <c r="U41" s="53" t="n"/>
      <c r="V41" s="53" t="n"/>
      <c r="W41" s="53" t="n"/>
      <c r="X41" s="53" t="n"/>
      <c r="Y41" s="53" t="n"/>
      <c r="Z41" s="53" t="n"/>
      <c r="AA41" s="53" t="n"/>
      <c r="AB41" s="53" t="n"/>
      <c r="AC41" s="53" t="n"/>
      <c r="AD41" s="53" t="n"/>
      <c r="AE41" s="53" t="n"/>
      <c r="AF41" s="53" t="n"/>
      <c r="AG41" s="53" t="n"/>
      <c r="AH41" s="53" t="n"/>
      <c r="AI41" s="53" t="n"/>
      <c r="AJ41" s="53" t="n"/>
      <c r="AK41" s="53" t="n"/>
      <c r="AL41" s="53" t="n"/>
      <c r="AM41" s="53" t="n"/>
      <c r="AN41" s="53" t="n"/>
      <c r="AO41" s="53" t="n"/>
      <c r="AP41" s="53" t="n"/>
      <c r="AQ41" s="53" t="n"/>
      <c r="AR41" s="53" t="n"/>
      <c r="AS41" s="53" t="n"/>
      <c r="AT41" s="53" t="n"/>
      <c r="AU41" s="53" t="n"/>
      <c r="AV41" s="53" t="n"/>
      <c r="AW41" s="53" t="n"/>
      <c r="AX41" s="53" t="n"/>
      <c r="AY41" s="53" t="n"/>
      <c r="AZ41" s="53" t="n"/>
      <c r="BA41" s="53" t="n"/>
      <c r="BB41" s="53" t="n"/>
      <c r="BC41" s="53" t="n"/>
      <c r="BD41" s="53" t="n"/>
      <c r="BE41" s="53" t="n"/>
      <c r="BF41" s="53" t="n"/>
      <c r="BG41" s="53" t="n"/>
      <c r="BH41" s="53" t="n"/>
      <c r="BI41" s="53" t="n"/>
      <c r="BJ41" s="53" t="n"/>
      <c r="BK41" s="53" t="n"/>
      <c r="BL41" s="53" t="n"/>
      <c r="BM41" s="53" t="n"/>
      <c r="BN41" s="53" t="n"/>
      <c r="BO41" s="53" t="n"/>
      <c r="BP41" s="53" t="n"/>
      <c r="BQ41" s="53" t="n"/>
      <c r="BR41" s="53" t="n"/>
      <c r="BS41" s="53" t="n"/>
      <c r="BT41" s="53" t="n"/>
      <c r="BU41" s="53" t="n"/>
      <c r="BV41" s="53" t="n"/>
      <c r="BW41" s="53" t="n"/>
      <c r="BX41" s="53" t="n"/>
      <c r="BY41" s="53" t="n"/>
      <c r="BZ41" s="53" t="n"/>
      <c r="CA41" s="53" t="n"/>
      <c r="CB41" s="53" t="n"/>
      <c r="CC41" s="53" t="n"/>
      <c r="CD41" s="6" t="n"/>
      <c r="CF41" s="53" t="n"/>
      <c r="CH41" s="53" t="n"/>
      <c r="CI41" s="6" t="n"/>
      <c r="CJ41" s="6" t="n"/>
      <c r="CK41" s="6" t="n"/>
      <c r="CM41" s="53" t="n"/>
      <c r="CO41" s="6" t="n"/>
      <c r="CR41" s="6" t="n"/>
      <c r="DF41" s="53" t="n"/>
      <c r="DH41" s="53" t="n"/>
      <c r="DT41" s="53" t="n"/>
      <c r="DZ41" s="53" t="n"/>
      <c r="EB41" s="53" t="n"/>
      <c r="EC41" s="53" t="n"/>
      <c r="EJ41" s="57" t="n"/>
      <c r="EK41" s="57" t="n"/>
      <c r="EM41" s="289" t="n"/>
      <c r="EN41" s="57" t="n"/>
      <c r="EO41" s="57" t="n"/>
      <c r="EP41" s="289" t="n"/>
      <c r="EQ41" s="57" t="n"/>
      <c r="ER41" s="289" t="n"/>
      <c r="ES41" s="57" t="n"/>
      <c r="ET41" s="57" t="n"/>
      <c r="EU41" s="57" t="n"/>
      <c r="EV41" s="57" t="n"/>
      <c r="EW41" s="57" t="n"/>
      <c r="EX41" s="57" t="n"/>
      <c r="EY41" s="57" t="n"/>
      <c r="EZ41" s="57" t="n"/>
      <c r="FA41" s="57" t="n"/>
      <c r="FB41" s="57" t="n"/>
      <c r="FC41" s="57" t="n"/>
      <c r="FD41" s="57" t="n"/>
      <c r="FF41" s="53" t="n"/>
      <c r="FG41" s="53" t="n"/>
      <c r="FH41" s="53" t="n"/>
      <c r="FI41" s="53" t="n"/>
      <c r="FJ41" s="53" t="n"/>
      <c r="FK41" s="53" t="n"/>
      <c r="FL41" s="53" t="n"/>
      <c r="FM41" s="53" t="n"/>
      <c r="FN41" s="53" t="n"/>
      <c r="FO41" s="53" t="n"/>
      <c r="FP41" s="53" t="n"/>
    </row>
    <row r="42">
      <c r="A42" s="699" t="inlineStr">
        <is>
          <t>FLACONETES</t>
        </is>
      </c>
      <c r="B42" s="658" t="n"/>
      <c r="C42" s="658" t="n"/>
      <c r="D42" s="670" t="n"/>
      <c r="F42" s="671" t="n">
        <v>45656</v>
      </c>
      <c r="G42" s="671" t="n">
        <v>45663</v>
      </c>
      <c r="H42" s="671" t="n">
        <v>45670</v>
      </c>
      <c r="I42" s="671" t="n">
        <v>45677</v>
      </c>
      <c r="J42" s="671" t="n">
        <v>45684</v>
      </c>
      <c r="K42" s="671" t="n">
        <v>45691</v>
      </c>
      <c r="L42" s="671" t="n">
        <v>45698</v>
      </c>
      <c r="M42" s="671" t="n">
        <v>45705</v>
      </c>
      <c r="N42" s="671" t="n">
        <v>45712</v>
      </c>
      <c r="O42" s="671" t="n">
        <v>45719</v>
      </c>
      <c r="P42" s="671" t="n">
        <v>45726</v>
      </c>
      <c r="Q42" s="671" t="n">
        <v>45733</v>
      </c>
      <c r="R42" s="671" t="n">
        <v>45740</v>
      </c>
      <c r="S42" s="671" t="n">
        <v>45747</v>
      </c>
      <c r="T42" s="671" t="n">
        <v>45754</v>
      </c>
      <c r="U42" s="671" t="n">
        <v>45761</v>
      </c>
      <c r="V42" s="671" t="n">
        <v>45768</v>
      </c>
      <c r="W42" s="671" t="n">
        <v>45775</v>
      </c>
      <c r="X42" s="671" t="n">
        <v>45782</v>
      </c>
      <c r="Y42" s="671" t="n">
        <v>45789</v>
      </c>
      <c r="Z42" s="671" t="n">
        <v>45796</v>
      </c>
      <c r="AA42" s="671" t="n">
        <v>45803</v>
      </c>
      <c r="AB42" s="671" t="n">
        <v>45810</v>
      </c>
      <c r="AC42" s="671" t="n">
        <v>45817</v>
      </c>
      <c r="AD42" s="671" t="n">
        <v>45824</v>
      </c>
      <c r="AE42" s="671" t="n">
        <v>45831</v>
      </c>
      <c r="AF42" s="671" t="n">
        <v>45838</v>
      </c>
      <c r="AG42" s="671" t="n">
        <v>45845</v>
      </c>
      <c r="AH42" s="671" t="n">
        <v>45852</v>
      </c>
      <c r="AI42" s="671" t="n">
        <v>45859</v>
      </c>
      <c r="AJ42" s="671" t="n">
        <v>45866</v>
      </c>
      <c r="AK42" s="671" t="n">
        <v>45873</v>
      </c>
      <c r="AL42" s="671" t="n">
        <v>45880</v>
      </c>
      <c r="AM42" s="671" t="n">
        <v>45887</v>
      </c>
      <c r="AN42" s="671" t="n">
        <v>45894</v>
      </c>
      <c r="AO42" s="671" t="n">
        <v>45901</v>
      </c>
      <c r="AP42" s="671" t="n">
        <v>45908</v>
      </c>
      <c r="AQ42" s="671" t="n">
        <v>45915</v>
      </c>
      <c r="AR42" s="671" t="n">
        <v>45922</v>
      </c>
      <c r="AS42" s="671" t="n">
        <v>45929</v>
      </c>
      <c r="AT42" s="671" t="n">
        <v>45936</v>
      </c>
      <c r="AU42" s="671" t="n">
        <v>45943</v>
      </c>
      <c r="AV42" s="671" t="n">
        <v>45950</v>
      </c>
      <c r="AW42" s="671" t="n">
        <v>45957</v>
      </c>
      <c r="AX42" s="671" t="n">
        <v>45964</v>
      </c>
      <c r="AY42" s="671" t="n">
        <v>45971</v>
      </c>
      <c r="AZ42" s="671" t="n">
        <v>45978</v>
      </c>
      <c r="BA42" s="671" t="n">
        <v>45985</v>
      </c>
      <c r="BB42" s="671" t="n">
        <v>45992</v>
      </c>
      <c r="BC42" s="671" t="n">
        <v>45999</v>
      </c>
      <c r="BD42" s="671" t="n">
        <v>46006</v>
      </c>
      <c r="BE42" s="671" t="n">
        <v>46013</v>
      </c>
      <c r="BF42" s="671" t="n">
        <v>46020</v>
      </c>
      <c r="BG42" s="671" t="n">
        <v>46027</v>
      </c>
      <c r="BH42" s="671" t="n">
        <v>46034</v>
      </c>
      <c r="BI42" s="671" t="n">
        <v>46041</v>
      </c>
      <c r="BJ42" s="671" t="n">
        <v>46048</v>
      </c>
      <c r="BK42" s="671" t="n">
        <v>46055</v>
      </c>
      <c r="BL42" s="671" t="n">
        <v>46062</v>
      </c>
      <c r="BM42" s="671" t="n">
        <v>46069</v>
      </c>
      <c r="BN42" s="671" t="n">
        <v>46076</v>
      </c>
      <c r="BO42" s="671" t="n">
        <v>46083</v>
      </c>
      <c r="BP42" s="671" t="n">
        <v>46090</v>
      </c>
      <c r="BQ42" s="671" t="n">
        <v>46097</v>
      </c>
      <c r="BR42" s="671" t="n">
        <v>46104</v>
      </c>
      <c r="BS42" s="671" t="n">
        <v>46111</v>
      </c>
      <c r="BT42" s="671" t="n">
        <v>46118</v>
      </c>
      <c r="BU42" s="671" t="n">
        <v>46125</v>
      </c>
      <c r="BV42" s="671" t="n">
        <v>46132</v>
      </c>
      <c r="BW42" s="671" t="n">
        <v>46139</v>
      </c>
      <c r="BX42" s="671" t="n">
        <v>46146</v>
      </c>
      <c r="BY42" s="671" t="n">
        <v>46154</v>
      </c>
      <c r="BZ42" s="671" t="n">
        <v>46160</v>
      </c>
      <c r="CA42" s="671" t="n">
        <v>46160</v>
      </c>
      <c r="CD42" s="6" t="n"/>
      <c r="CI42" s="6" t="n"/>
      <c r="CJ42" s="6" t="n"/>
      <c r="CK42" s="6" t="n"/>
      <c r="CM42" s="53" t="n"/>
      <c r="CO42" s="6" t="n"/>
      <c r="CR42" s="6" t="n"/>
      <c r="DF42" s="6" t="n"/>
      <c r="DH42" s="6" t="n"/>
      <c r="DT42" s="53" t="n"/>
      <c r="DZ42" s="53" t="n"/>
      <c r="EB42" s="53" t="n"/>
      <c r="EC42" s="53" t="n"/>
      <c r="EJ42" s="61" t="n"/>
      <c r="EK42" s="61" t="n"/>
      <c r="EM42" s="289" t="n"/>
      <c r="EN42" s="61" t="n"/>
      <c r="EO42" s="61" t="n"/>
      <c r="EP42" s="289" t="n"/>
      <c r="EQ42" s="61" t="n"/>
      <c r="ER42" s="289" t="n"/>
      <c r="ES42" s="61" t="n"/>
      <c r="ET42" s="61" t="n"/>
      <c r="EU42" s="61" t="n"/>
      <c r="EV42" s="61" t="n"/>
      <c r="EW42" s="61" t="n"/>
      <c r="EX42" s="61" t="n"/>
      <c r="EY42" s="61" t="n"/>
      <c r="EZ42" s="61" t="n"/>
      <c r="FA42" s="61" t="n"/>
      <c r="FB42" s="61" t="n"/>
      <c r="FC42" s="61" t="n"/>
      <c r="FD42" s="61" t="n"/>
      <c r="FF42" s="53" t="n"/>
      <c r="FG42" s="53" t="n"/>
      <c r="FH42" s="53" t="n"/>
      <c r="FI42" s="53" t="n"/>
      <c r="FJ42" s="53" t="n"/>
      <c r="FK42" s="53" t="n"/>
      <c r="FL42" s="53" t="n"/>
      <c r="FM42" s="53" t="n"/>
      <c r="FN42" s="53" t="n"/>
      <c r="FO42" s="53" t="n"/>
      <c r="FP42" s="53" t="n"/>
    </row>
    <row r="43" hidden="1" ht="18.75" customHeight="1">
      <c r="A43" s="674" t="inlineStr">
        <is>
          <t xml:space="preserve">Botik vitamin C </t>
        </is>
      </c>
      <c r="B43" s="658" t="n"/>
      <c r="C43" s="658" t="n"/>
      <c r="D43" s="670" t="n"/>
      <c r="F43" s="116" t="n"/>
      <c r="G43" s="116" t="n"/>
      <c r="H43" s="116" t="n"/>
      <c r="I43" s="116" t="n"/>
      <c r="J43" s="116" t="n"/>
      <c r="K43" s="116" t="n"/>
      <c r="L43" s="116" t="n"/>
      <c r="M43" s="116" t="n"/>
      <c r="N43" s="116" t="n"/>
      <c r="O43" s="116" t="n"/>
      <c r="P43" s="116" t="n"/>
      <c r="Q43" s="116" t="n"/>
      <c r="R43" s="116" t="n"/>
      <c r="S43" s="116" t="n"/>
      <c r="T43" s="116" t="n"/>
      <c r="U43" s="116" t="n"/>
      <c r="V43" s="116" t="n"/>
      <c r="W43" s="116" t="n"/>
      <c r="X43" s="116" t="n"/>
      <c r="Y43" s="116" t="n"/>
      <c r="Z43" s="116" t="n"/>
      <c r="AA43" s="116" t="n"/>
      <c r="AB43" s="116" t="n"/>
      <c r="AC43" s="116" t="n"/>
      <c r="AD43" s="116" t="n"/>
      <c r="AE43" s="116" t="n"/>
      <c r="AF43" s="116" t="n"/>
      <c r="AG43" s="116" t="n"/>
      <c r="AH43" s="116" t="n"/>
      <c r="AI43" s="116" t="n"/>
      <c r="AJ43" s="116" t="n"/>
      <c r="AK43" s="116" t="n"/>
      <c r="AL43" s="116" t="n"/>
      <c r="AM43" s="116" t="n"/>
      <c r="AN43" s="116" t="n"/>
      <c r="AO43" s="116" t="n"/>
      <c r="AP43" s="116" t="n"/>
      <c r="AQ43" s="116" t="n"/>
      <c r="AR43" s="116" t="n"/>
      <c r="AS43" s="116" t="n"/>
      <c r="AT43" s="116" t="n"/>
      <c r="AU43" s="116" t="n"/>
      <c r="AV43" s="116" t="n"/>
      <c r="AW43" s="116" t="n"/>
      <c r="AX43" s="116" t="n"/>
      <c r="AY43" s="116" t="n"/>
      <c r="AZ43" s="116" t="n"/>
      <c r="BA43" s="116" t="n"/>
      <c r="BB43" s="116" t="n"/>
      <c r="BC43" s="116" t="n"/>
      <c r="BD43" s="116" t="n"/>
      <c r="BE43" s="116" t="n"/>
      <c r="BF43" s="116" t="n"/>
      <c r="BG43" s="116" t="n"/>
      <c r="BH43" s="116" t="n"/>
      <c r="BI43" s="116" t="n"/>
      <c r="BJ43" s="116" t="n"/>
      <c r="BK43" s="116" t="n"/>
      <c r="BL43" s="116" t="n"/>
      <c r="BM43" s="116" t="n"/>
      <c r="BN43" s="116" t="n"/>
      <c r="BO43" s="116" t="n"/>
      <c r="BP43" s="116" t="n"/>
      <c r="BQ43" s="116" t="n"/>
      <c r="BR43" s="116" t="n"/>
      <c r="BS43" s="116" t="n"/>
      <c r="BT43" s="116" t="n"/>
      <c r="BU43" s="116" t="n"/>
      <c r="BV43" s="116" t="n"/>
      <c r="BW43" s="116" t="n"/>
      <c r="BX43" s="116" t="n"/>
      <c r="BY43" s="116" t="n"/>
      <c r="BZ43" s="116" t="n"/>
      <c r="CA43" s="116" t="n"/>
      <c r="CD43" s="6" t="n"/>
      <c r="CI43" s="6" t="n"/>
      <c r="CJ43" s="6" t="n"/>
      <c r="CK43" s="6" t="n"/>
      <c r="CM43" s="53" t="n"/>
      <c r="CO43" s="6" t="n"/>
      <c r="CR43" s="6" t="n"/>
      <c r="DF43" s="58" t="n"/>
      <c r="DH43" s="58" t="n"/>
      <c r="DT43" s="53" t="n"/>
      <c r="DZ43" s="53" t="n"/>
      <c r="EB43" s="53" t="n"/>
      <c r="EC43" s="53" t="n"/>
      <c r="ED43" s="6" t="n"/>
      <c r="EE43" s="6" t="n"/>
      <c r="EF43" s="6" t="n"/>
      <c r="EG43" s="6" t="n"/>
      <c r="EH43" s="6" t="n"/>
      <c r="EI43" s="6" t="n"/>
      <c r="EK43" s="61" t="n"/>
      <c r="EL43" s="6" t="n"/>
      <c r="EM43" s="289" t="n"/>
      <c r="EP43" s="289" t="n"/>
      <c r="ER43" s="289" t="n"/>
      <c r="FF43" s="53" t="n"/>
      <c r="FG43" s="53" t="n"/>
      <c r="FH43" s="53" t="n"/>
      <c r="FI43" s="53" t="n"/>
      <c r="FJ43" s="53" t="n"/>
      <c r="FK43" s="53" t="n"/>
      <c r="FL43" s="53" t="n"/>
      <c r="FM43" s="53" t="n"/>
      <c r="FN43" s="53" t="n"/>
      <c r="FO43" s="53" t="n"/>
      <c r="FP43" s="53" t="n"/>
    </row>
    <row r="44" hidden="1" ht="18.75" customHeight="1">
      <c r="A44" s="674" t="inlineStr">
        <is>
          <t xml:space="preserve">Botik Acido hialu </t>
        </is>
      </c>
      <c r="B44" s="658" t="n"/>
      <c r="C44" s="658" t="n"/>
      <c r="D44" s="670" t="n"/>
      <c r="F44" s="116" t="n"/>
      <c r="G44" s="116" t="n"/>
      <c r="H44" s="116" t="n"/>
      <c r="I44" s="116" t="n"/>
      <c r="J44" s="116" t="n"/>
      <c r="K44" s="116" t="n"/>
      <c r="L44" s="116" t="n"/>
      <c r="M44" s="116" t="n"/>
      <c r="N44" s="116" t="n"/>
      <c r="O44" s="116" t="n"/>
      <c r="P44" s="116" t="n"/>
      <c r="Q44" s="116" t="n"/>
      <c r="R44" s="116" t="n"/>
      <c r="S44" s="116" t="n"/>
      <c r="T44" s="116" t="n"/>
      <c r="U44" s="116" t="n"/>
      <c r="V44" s="116" t="n"/>
      <c r="W44" s="116" t="n"/>
      <c r="X44" s="116" t="n"/>
      <c r="Y44" s="116" t="n"/>
      <c r="Z44" s="116" t="n"/>
      <c r="AA44" s="116" t="n"/>
      <c r="AB44" s="116" t="n"/>
      <c r="AC44" s="116" t="n"/>
      <c r="AD44" s="116" t="n"/>
      <c r="AE44" s="116" t="n"/>
      <c r="AF44" s="116" t="n"/>
      <c r="AG44" s="116" t="n"/>
      <c r="AH44" s="116" t="n"/>
      <c r="AI44" s="116" t="n"/>
      <c r="AJ44" s="116" t="n"/>
      <c r="AK44" s="116" t="n"/>
      <c r="AL44" s="116" t="n"/>
      <c r="AM44" s="116" t="n"/>
      <c r="AN44" s="116" t="n"/>
      <c r="AO44" s="116" t="n"/>
      <c r="AP44" s="116" t="n"/>
      <c r="AQ44" s="116" t="n"/>
      <c r="AR44" s="116" t="n"/>
      <c r="AS44" s="116" t="n"/>
      <c r="AT44" s="116" t="n"/>
      <c r="AU44" s="116" t="n"/>
      <c r="AV44" s="116" t="n"/>
      <c r="AW44" s="116" t="n"/>
      <c r="AX44" s="116" t="n"/>
      <c r="AY44" s="116" t="n"/>
      <c r="AZ44" s="116" t="n"/>
      <c r="BA44" s="116" t="n"/>
      <c r="BB44" s="116" t="n"/>
      <c r="BC44" s="116" t="n"/>
      <c r="BD44" s="116" t="n"/>
      <c r="BE44" s="116" t="n"/>
      <c r="BF44" s="116" t="n"/>
      <c r="BG44" s="116" t="n"/>
      <c r="BH44" s="116" t="n"/>
      <c r="BI44" s="116" t="n"/>
      <c r="BJ44" s="116" t="n"/>
      <c r="BK44" s="116" t="n"/>
      <c r="BL44" s="116" t="n"/>
      <c r="BM44" s="116" t="n"/>
      <c r="BN44" s="116" t="n"/>
      <c r="BO44" s="116" t="n"/>
      <c r="BP44" s="116" t="n"/>
      <c r="BQ44" s="116" t="n"/>
      <c r="BR44" s="116" t="n"/>
      <c r="BS44" s="116" t="n"/>
      <c r="BT44" s="116" t="n"/>
      <c r="BU44" s="116" t="n"/>
      <c r="BV44" s="116" t="n"/>
      <c r="BW44" s="116" t="n"/>
      <c r="BX44" s="116" t="n"/>
      <c r="BY44" s="116" t="n"/>
      <c r="BZ44" s="116" t="n"/>
      <c r="CA44" s="116" t="n"/>
      <c r="CD44" s="6" t="n"/>
      <c r="CI44" s="6" t="n"/>
      <c r="CJ44" s="6" t="n"/>
      <c r="CK44" s="6" t="n"/>
      <c r="CL44" s="6" t="n"/>
      <c r="CM44" s="53" t="n"/>
      <c r="CN44" s="6" t="n"/>
      <c r="CO44" s="6" t="n"/>
      <c r="CP44" s="6" t="n"/>
      <c r="CQ44" s="6" t="n"/>
      <c r="CR44" s="6" t="n"/>
      <c r="CS44" s="6" t="n"/>
      <c r="CT44" s="6" t="n"/>
      <c r="CU44" s="6" t="n"/>
      <c r="CV44" s="6" t="n"/>
      <c r="CW44" s="6" t="n"/>
      <c r="CX44" s="6" t="n"/>
      <c r="CY44" s="6" t="n"/>
      <c r="CZ44" s="6" t="n"/>
      <c r="DA44" s="6" t="n"/>
      <c r="DB44" s="6" t="n"/>
      <c r="DC44" s="6" t="n"/>
      <c r="DD44" s="6" t="n"/>
      <c r="DE44" s="6" t="n"/>
      <c r="DF44" s="58" t="n"/>
      <c r="DG44" s="6" t="n"/>
      <c r="DH44" s="58" t="n"/>
      <c r="DI44" s="6" t="n"/>
      <c r="DJ44" s="6" t="n"/>
      <c r="DK44" s="6" t="n"/>
      <c r="DL44" s="6" t="n"/>
      <c r="DM44" s="6" t="n"/>
      <c r="DN44" s="6" t="n"/>
      <c r="DO44" s="6" t="n"/>
      <c r="DP44" s="6" t="n"/>
      <c r="DQ44" s="6" t="n"/>
      <c r="DR44" s="6" t="n"/>
      <c r="DS44" s="6" t="n"/>
      <c r="DT44" s="53" t="n"/>
      <c r="DU44" s="6" t="n"/>
      <c r="DW44" s="6" t="n"/>
      <c r="DX44" s="6" t="n"/>
      <c r="DY44" s="6" t="n"/>
      <c r="DZ44" s="53" t="n"/>
      <c r="EA44" s="6" t="n"/>
      <c r="EB44" s="53" t="n"/>
      <c r="EC44" s="53" t="n"/>
      <c r="ED44" s="6" t="n"/>
      <c r="EE44" s="6" t="n"/>
      <c r="EF44" s="6" t="n"/>
      <c r="EG44" s="6" t="n"/>
      <c r="EH44" s="6" t="n"/>
      <c r="EI44" s="6" t="n"/>
      <c r="EL44" s="6" t="n"/>
      <c r="EM44" s="289" t="n"/>
      <c r="EP44" s="289" t="n"/>
      <c r="ER44" s="289" t="n"/>
      <c r="FF44" s="53" t="n"/>
      <c r="FG44" s="53" t="n"/>
      <c r="FH44" s="53" t="n"/>
      <c r="FI44" s="53" t="n"/>
      <c r="FJ44" s="53" t="n"/>
      <c r="FK44" s="53" t="n"/>
      <c r="FL44" s="53" t="n"/>
      <c r="FM44" s="53" t="n"/>
      <c r="FN44" s="53" t="n"/>
      <c r="FO44" s="53" t="n"/>
      <c r="FP44" s="53" t="n"/>
    </row>
    <row r="45" hidden="1" ht="18.75" customFormat="1" customHeight="1" s="49">
      <c r="A45" s="674" t="inlineStr">
        <is>
          <t xml:space="preserve">Botik serun vitam C  10% (novo)  </t>
        </is>
      </c>
      <c r="B45" s="658" t="n"/>
      <c r="C45" s="658" t="n"/>
      <c r="D45" s="670" t="n"/>
      <c r="E45" s="53" t="n"/>
      <c r="F45" s="116" t="n"/>
      <c r="G45" s="116" t="n"/>
      <c r="H45" s="116" t="n"/>
      <c r="I45" s="116" t="n"/>
      <c r="J45" s="116" t="n"/>
      <c r="K45" s="116" t="n"/>
      <c r="L45" s="116" t="n"/>
      <c r="M45" s="116" t="n"/>
      <c r="N45" s="116" t="n"/>
      <c r="O45" s="116" t="n"/>
      <c r="P45" s="116" t="n"/>
      <c r="Q45" s="116" t="n"/>
      <c r="R45" s="116" t="n"/>
      <c r="S45" s="116" t="n"/>
      <c r="T45" s="116" t="n"/>
      <c r="U45" s="116" t="n"/>
      <c r="V45" s="116" t="n"/>
      <c r="W45" s="116" t="n"/>
      <c r="X45" s="116" t="n"/>
      <c r="Y45" s="116" t="n"/>
      <c r="Z45" s="116" t="n"/>
      <c r="AA45" s="116" t="n"/>
      <c r="AB45" s="116" t="n"/>
      <c r="AC45" s="116" t="n"/>
      <c r="AD45" s="116" t="n"/>
      <c r="AE45" s="116" t="n"/>
      <c r="AF45" s="116" t="n"/>
      <c r="AG45" s="116" t="n"/>
      <c r="AH45" s="116" t="n"/>
      <c r="AI45" s="116" t="n"/>
      <c r="AJ45" s="116" t="n"/>
      <c r="AK45" s="116" t="n"/>
      <c r="AL45" s="116" t="n"/>
      <c r="AM45" s="116" t="n"/>
      <c r="AN45" s="116" t="n"/>
      <c r="AO45" s="116" t="n"/>
      <c r="AP45" s="116" t="n"/>
      <c r="AQ45" s="116" t="n"/>
      <c r="AR45" s="116" t="n"/>
      <c r="AS45" s="116" t="n"/>
      <c r="AT45" s="116" t="n"/>
      <c r="AU45" s="116" t="n"/>
      <c r="AV45" s="116" t="n"/>
      <c r="AW45" s="116" t="n"/>
      <c r="AX45" s="116" t="n"/>
      <c r="AY45" s="116" t="n"/>
      <c r="AZ45" s="116" t="n"/>
      <c r="BA45" s="116" t="n"/>
      <c r="BB45" s="116" t="n"/>
      <c r="BC45" s="116" t="n"/>
      <c r="BD45" s="116" t="n"/>
      <c r="BE45" s="116" t="n"/>
      <c r="BF45" s="116" t="n"/>
      <c r="BG45" s="116" t="n"/>
      <c r="BH45" s="116" t="n"/>
      <c r="BI45" s="116" t="n"/>
      <c r="BJ45" s="116" t="n"/>
      <c r="BK45" s="116" t="n"/>
      <c r="BL45" s="116" t="n"/>
      <c r="BM45" s="116" t="n"/>
      <c r="BN45" s="116" t="n"/>
      <c r="BO45" s="116" t="n"/>
      <c r="BP45" s="116" t="n"/>
      <c r="BQ45" s="116" t="n"/>
      <c r="BR45" s="116" t="n"/>
      <c r="BS45" s="116" t="n"/>
      <c r="BT45" s="116" t="n"/>
      <c r="BU45" s="116" t="n"/>
      <c r="BV45" s="116" t="n"/>
      <c r="BW45" s="116" t="n"/>
      <c r="BX45" s="116" t="n"/>
      <c r="BY45" s="116" t="n"/>
      <c r="BZ45" s="116" t="n"/>
      <c r="CA45" s="116" t="n"/>
      <c r="CB45" s="53" t="n"/>
      <c r="CC45" s="53" t="n"/>
      <c r="CD45" s="6" t="n"/>
      <c r="CE45" s="6" t="n"/>
      <c r="CF45" s="53" t="n"/>
      <c r="CH45" s="53" t="n"/>
      <c r="CI45" s="6" t="n"/>
      <c r="CJ45" s="6" t="n"/>
      <c r="CK45" s="6" t="n"/>
      <c r="CL45" s="6" t="n"/>
      <c r="CN45" s="6" t="n"/>
      <c r="CO45" s="6" t="n"/>
      <c r="CP45" s="6" t="n"/>
      <c r="CQ45" s="6" t="n"/>
      <c r="CR45" s="6" t="n"/>
      <c r="CS45" s="6" t="n"/>
      <c r="CT45" s="6" t="n"/>
      <c r="CU45" s="6" t="n"/>
      <c r="CV45" s="6" t="n"/>
      <c r="CW45" s="6" t="n"/>
      <c r="CX45" s="6" t="n"/>
      <c r="CY45" s="6" t="n"/>
      <c r="CZ45" s="6" t="n"/>
      <c r="DA45" s="6" t="n"/>
      <c r="DB45" s="6" t="n"/>
      <c r="DC45" s="6" t="n"/>
      <c r="DD45" s="6" t="n"/>
      <c r="DE45" s="6" t="n"/>
      <c r="DG45" s="6" t="n"/>
      <c r="DI45" s="6" t="n"/>
      <c r="DJ45" s="6" t="n"/>
      <c r="DK45" s="6" t="n"/>
      <c r="DL45" s="6" t="n"/>
      <c r="DM45" s="6" t="n"/>
      <c r="DN45" s="6" t="n"/>
      <c r="DO45" s="6" t="n"/>
      <c r="DP45" s="6" t="n"/>
      <c r="DQ45" s="6" t="n"/>
      <c r="DR45" s="6" t="n"/>
      <c r="DS45" s="6" t="n"/>
      <c r="DT45" s="53" t="n"/>
      <c r="DU45" s="6" t="n"/>
      <c r="DV45" s="6" t="n"/>
      <c r="DW45" s="6" t="n"/>
      <c r="DX45" s="6" t="n"/>
      <c r="DY45" s="6" t="n"/>
      <c r="DZ45" s="53" t="n"/>
      <c r="EA45" s="6" t="n"/>
      <c r="EB45" s="53" t="n"/>
      <c r="EC45" s="53" t="n"/>
      <c r="ED45" s="6" t="n"/>
      <c r="EE45" s="6" t="n"/>
      <c r="EF45" s="6" t="n"/>
      <c r="EG45" s="6" t="n"/>
      <c r="EH45" s="6" t="n"/>
      <c r="EI45" s="6" t="n"/>
      <c r="EL45" s="6" t="n"/>
      <c r="EM45" s="289" t="n"/>
      <c r="EP45" s="289" t="n"/>
      <c r="ER45" s="289" t="n"/>
    </row>
    <row r="46" hidden="1" ht="18.75" customFormat="1" customHeight="1" s="49">
      <c r="A46" s="674" t="inlineStr">
        <is>
          <t>Botica 214 Fiji  (Fem)</t>
        </is>
      </c>
      <c r="B46" s="658" t="n"/>
      <c r="C46" s="658" t="n"/>
      <c r="D46" s="670" t="n"/>
      <c r="E46" s="53" t="n"/>
      <c r="F46" s="116" t="n"/>
      <c r="G46" s="116" t="n"/>
      <c r="H46" s="116" t="n"/>
      <c r="I46" s="116" t="n"/>
      <c r="J46" s="116" t="n"/>
      <c r="K46" s="116" t="n"/>
      <c r="L46" s="116" t="n"/>
      <c r="M46" s="116" t="n"/>
      <c r="N46" s="116" t="n"/>
      <c r="O46" s="116" t="n"/>
      <c r="P46" s="116" t="n"/>
      <c r="Q46" s="116" t="n"/>
      <c r="R46" s="116" t="n"/>
      <c r="S46" s="116" t="n"/>
      <c r="T46" s="116" t="n"/>
      <c r="U46" s="116" t="n"/>
      <c r="V46" s="116" t="n"/>
      <c r="W46" s="116" t="n"/>
      <c r="X46" s="116" t="n"/>
      <c r="Y46" s="116" t="n"/>
      <c r="Z46" s="116" t="n"/>
      <c r="AA46" s="116" t="n"/>
      <c r="AB46" s="116" t="n"/>
      <c r="AC46" s="116" t="n"/>
      <c r="AD46" s="116" t="n"/>
      <c r="AE46" s="116" t="n"/>
      <c r="AF46" s="116" t="n"/>
      <c r="AG46" s="116" t="n"/>
      <c r="AH46" s="116" t="n"/>
      <c r="AI46" s="116" t="n"/>
      <c r="AJ46" s="116" t="n"/>
      <c r="AK46" s="116" t="n"/>
      <c r="AL46" s="116" t="n"/>
      <c r="AM46" s="116" t="n"/>
      <c r="AN46" s="116" t="n"/>
      <c r="AO46" s="116" t="n"/>
      <c r="AP46" s="116" t="n"/>
      <c r="AQ46" s="116" t="n"/>
      <c r="AR46" s="116" t="n"/>
      <c r="AS46" s="116" t="n"/>
      <c r="AT46" s="116" t="n"/>
      <c r="AU46" s="116" t="n"/>
      <c r="AV46" s="116" t="n"/>
      <c r="AW46" s="116" t="n"/>
      <c r="AX46" s="116" t="n"/>
      <c r="AY46" s="116" t="n"/>
      <c r="AZ46" s="116" t="n"/>
      <c r="BA46" s="116" t="n"/>
      <c r="BB46" s="116" t="n"/>
      <c r="BC46" s="116" t="n"/>
      <c r="BD46" s="116" t="n"/>
      <c r="BE46" s="116" t="n"/>
      <c r="BF46" s="116" t="n"/>
      <c r="BG46" s="116" t="n"/>
      <c r="BH46" s="116" t="n"/>
      <c r="BI46" s="116" t="n"/>
      <c r="BJ46" s="116" t="n"/>
      <c r="BK46" s="116" t="n"/>
      <c r="BL46" s="116" t="n"/>
      <c r="BM46" s="116" t="n"/>
      <c r="BN46" s="116" t="n"/>
      <c r="BO46" s="116" t="n"/>
      <c r="BP46" s="116" t="n"/>
      <c r="BQ46" s="116" t="n"/>
      <c r="BR46" s="116" t="n"/>
      <c r="BS46" s="116" t="n"/>
      <c r="BT46" s="116" t="n"/>
      <c r="BU46" s="116" t="n"/>
      <c r="BV46" s="116" t="n"/>
      <c r="BW46" s="116" t="n"/>
      <c r="BX46" s="116" t="n"/>
      <c r="BY46" s="116" t="n"/>
      <c r="BZ46" s="116" t="n"/>
      <c r="CA46" s="116" t="n"/>
      <c r="CB46" s="6" t="n"/>
      <c r="CC46" s="53" t="n"/>
      <c r="CD46" s="6" t="n"/>
      <c r="CE46" s="6" t="n"/>
      <c r="CF46" s="53" t="n"/>
      <c r="CH46" s="53" t="n"/>
      <c r="CI46" s="6" t="n"/>
      <c r="CJ46" s="6" t="n"/>
      <c r="CK46" s="6" t="n"/>
      <c r="CL46" s="6" t="n"/>
      <c r="CN46" s="6" t="n"/>
      <c r="CO46" s="6" t="n"/>
      <c r="CP46" s="6" t="n"/>
      <c r="CQ46" s="6" t="n"/>
      <c r="CR46" s="6" t="n"/>
      <c r="CS46" s="6" t="n"/>
      <c r="CT46" s="6" t="n"/>
      <c r="CU46" s="6" t="n"/>
      <c r="CV46" s="6" t="n"/>
      <c r="CW46" s="6" t="n"/>
      <c r="CX46" s="6" t="n"/>
      <c r="CY46" s="6" t="n"/>
      <c r="CZ46" s="6" t="n"/>
      <c r="DA46" s="6" t="n"/>
      <c r="DB46" s="6" t="n"/>
      <c r="DC46" s="6" t="n"/>
      <c r="DD46" s="6" t="n"/>
      <c r="DE46" s="6" t="n"/>
      <c r="DG46" s="6" t="n"/>
      <c r="DI46" s="6" t="n"/>
      <c r="DJ46" s="6" t="n"/>
      <c r="DK46" s="6" t="n"/>
      <c r="DL46" s="6" t="n"/>
      <c r="DM46" s="6" t="n"/>
      <c r="DN46" s="6" t="n"/>
      <c r="DO46" s="6" t="n"/>
      <c r="DP46" s="6" t="n"/>
      <c r="DQ46" s="6" t="n"/>
      <c r="DR46" s="6" t="n"/>
      <c r="DS46" s="6" t="n"/>
      <c r="DT46" s="53" t="n"/>
      <c r="DU46" s="6" t="n"/>
      <c r="DV46" s="6" t="n"/>
      <c r="DW46" s="6" t="n"/>
      <c r="DX46" s="6" t="n"/>
      <c r="DY46" s="6" t="n"/>
      <c r="DZ46" s="53" t="n"/>
      <c r="EA46" s="6" t="n"/>
      <c r="EB46" s="53" t="n"/>
      <c r="EC46" s="53" t="n"/>
      <c r="ED46" s="6" t="n"/>
      <c r="EE46" s="6" t="n"/>
      <c r="EF46" s="6" t="n"/>
      <c r="EG46" s="6" t="n"/>
      <c r="EH46" s="6" t="n"/>
      <c r="EI46" s="6" t="n"/>
      <c r="EL46" s="6" t="n"/>
      <c r="EM46" s="289" t="n"/>
      <c r="EP46" s="289" t="n"/>
      <c r="ER46" s="289" t="n"/>
    </row>
    <row r="47" hidden="1" ht="18.75" customFormat="1" customHeight="1" s="49">
      <c r="A47" s="674" t="inlineStr">
        <is>
          <t>Botica 214 Fiji  (Mascu)</t>
        </is>
      </c>
      <c r="B47" s="658" t="n"/>
      <c r="C47" s="658" t="n"/>
      <c r="D47" s="670" t="n"/>
      <c r="E47" s="6" t="n"/>
      <c r="F47" s="116" t="n"/>
      <c r="G47" s="116" t="n"/>
      <c r="H47" s="116" t="n"/>
      <c r="I47" s="116" t="n"/>
      <c r="J47" s="116" t="n"/>
      <c r="K47" s="116" t="n"/>
      <c r="L47" s="116" t="n"/>
      <c r="M47" s="116" t="n"/>
      <c r="N47" s="116" t="n"/>
      <c r="O47" s="116" t="n"/>
      <c r="P47" s="116" t="n"/>
      <c r="Q47" s="116" t="n"/>
      <c r="R47" s="116" t="n"/>
      <c r="S47" s="116" t="n"/>
      <c r="T47" s="116" t="n"/>
      <c r="U47" s="116" t="n"/>
      <c r="V47" s="116" t="n"/>
      <c r="W47" s="116" t="n"/>
      <c r="X47" s="116" t="n"/>
      <c r="Y47" s="116" t="n"/>
      <c r="Z47" s="116" t="n"/>
      <c r="AA47" s="116" t="n"/>
      <c r="AB47" s="116" t="n"/>
      <c r="AC47" s="116" t="n"/>
      <c r="AD47" s="116" t="n"/>
      <c r="AE47" s="116" t="n"/>
      <c r="AF47" s="116" t="n"/>
      <c r="AG47" s="116" t="n"/>
      <c r="AH47" s="116" t="n"/>
      <c r="AI47" s="116" t="n"/>
      <c r="AJ47" s="116" t="n"/>
      <c r="AK47" s="116" t="n"/>
      <c r="AL47" s="116" t="n"/>
      <c r="AM47" s="116" t="n"/>
      <c r="AN47" s="116" t="n"/>
      <c r="AO47" s="116" t="n"/>
      <c r="AP47" s="116" t="n"/>
      <c r="AQ47" s="116" t="n"/>
      <c r="AR47" s="116" t="n"/>
      <c r="AS47" s="116" t="n"/>
      <c r="AT47" s="116" t="n"/>
      <c r="AU47" s="116" t="n"/>
      <c r="AV47" s="116" t="n"/>
      <c r="AW47" s="116" t="n"/>
      <c r="AX47" s="116" t="n"/>
      <c r="AY47" s="116" t="n"/>
      <c r="AZ47" s="116" t="n"/>
      <c r="BA47" s="116" t="n"/>
      <c r="BB47" s="116" t="n"/>
      <c r="BC47" s="116" t="n"/>
      <c r="BD47" s="116" t="n"/>
      <c r="BE47" s="116" t="n"/>
      <c r="BF47" s="116" t="n"/>
      <c r="BG47" s="116" t="n"/>
      <c r="BH47" s="116" t="n"/>
      <c r="BI47" s="116" t="n"/>
      <c r="BJ47" s="116" t="n"/>
      <c r="BK47" s="116" t="n"/>
      <c r="BL47" s="116" t="n"/>
      <c r="BM47" s="116" t="n"/>
      <c r="BN47" s="116" t="n"/>
      <c r="BO47" s="116" t="n"/>
      <c r="BP47" s="116" t="n"/>
      <c r="BQ47" s="116" t="n"/>
      <c r="BR47" s="116" t="n"/>
      <c r="BS47" s="116" t="n"/>
      <c r="BT47" s="116" t="n"/>
      <c r="BU47" s="116" t="n"/>
      <c r="BV47" s="116" t="n"/>
      <c r="BW47" s="116" t="n"/>
      <c r="BX47" s="116" t="n"/>
      <c r="BY47" s="116" t="n"/>
      <c r="BZ47" s="116" t="n"/>
      <c r="CA47" s="116" t="n"/>
      <c r="CB47" s="6" t="n"/>
      <c r="CC47" s="6" t="n"/>
      <c r="CD47" s="6" t="n"/>
      <c r="CE47" s="6" t="n"/>
      <c r="CF47" s="6" t="n"/>
      <c r="CH47" s="6" t="n"/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W47" s="6" t="n"/>
      <c r="CX47" s="6" t="n"/>
      <c r="CY47" s="6" t="n"/>
      <c r="CZ47" s="6" t="n"/>
      <c r="DA47" s="6" t="n"/>
      <c r="DB47" s="6" t="n"/>
      <c r="DC47" s="6" t="n"/>
      <c r="DD47" s="6" t="n"/>
      <c r="DE47" s="6" t="n"/>
      <c r="DG47" s="6" t="n"/>
      <c r="DI47" s="6" t="n"/>
      <c r="DJ47" s="6" t="n"/>
      <c r="DK47" s="6" t="n"/>
      <c r="DL47" s="6" t="n"/>
      <c r="DM47" s="6" t="n"/>
      <c r="DN47" s="6" t="n"/>
      <c r="DO47" s="6" t="n"/>
      <c r="DP47" s="6" t="n"/>
      <c r="DQ47" s="6" t="n"/>
      <c r="DR47" s="6" t="n"/>
      <c r="DS47" s="6" t="n"/>
      <c r="DT47" s="53" t="n"/>
      <c r="DU47" s="6" t="n"/>
      <c r="DV47" s="6" t="n"/>
      <c r="DW47" s="6" t="n"/>
      <c r="DX47" s="6" t="n"/>
      <c r="DY47" s="6" t="n"/>
      <c r="DZ47" s="53" t="n"/>
      <c r="EA47" s="6" t="n"/>
      <c r="EB47" s="6" t="n"/>
      <c r="EC47" s="53" t="n"/>
      <c r="ED47" s="6" t="n"/>
      <c r="EE47" s="6" t="n"/>
      <c r="EF47" s="6" t="n"/>
      <c r="EG47" s="6" t="n"/>
      <c r="EH47" s="6" t="n"/>
      <c r="EI47" s="6" t="n"/>
      <c r="EJ47" s="6" t="n"/>
      <c r="EK47" s="6" t="n"/>
      <c r="EL47" s="6" t="n"/>
      <c r="EM47" s="289" t="n"/>
      <c r="EN47" s="6" t="n"/>
      <c r="EO47" s="6" t="n"/>
      <c r="EP47" s="289" t="n"/>
      <c r="EQ47" s="6" t="n"/>
      <c r="ER47" s="289" t="n"/>
      <c r="ES47" s="6" t="n"/>
      <c r="ET47" s="6" t="n"/>
      <c r="EU47" s="6" t="n"/>
      <c r="EV47" s="6" t="n"/>
      <c r="EW47" s="6" t="n"/>
      <c r="EX47" s="6" t="n"/>
      <c r="EY47" s="6" t="n"/>
      <c r="EZ47" s="6" t="n"/>
      <c r="FA47" s="6" t="n"/>
      <c r="FB47" s="6" t="n"/>
      <c r="FC47" s="6" t="n"/>
      <c r="FD47" s="6" t="n"/>
      <c r="FF47" s="6" t="n"/>
      <c r="FG47" s="6" t="n"/>
      <c r="FH47" s="6" t="n"/>
      <c r="FI47" s="6" t="n"/>
      <c r="FJ47" s="6" t="n"/>
      <c r="FK47" s="6" t="n"/>
      <c r="FL47" s="6" t="n"/>
      <c r="FM47" s="6" t="n"/>
      <c r="FN47" s="6" t="n"/>
      <c r="FO47" s="6" t="n"/>
      <c r="FP47" s="6" t="n"/>
    </row>
    <row r="48" hidden="1" ht="18.75" customHeight="1">
      <c r="A48" s="674" t="inlineStr">
        <is>
          <t xml:space="preserve">Egeo Free Fire </t>
        </is>
      </c>
      <c r="B48" s="658" t="n"/>
      <c r="C48" s="658" t="n"/>
      <c r="D48" s="670" t="n"/>
      <c r="F48" s="116" t="n"/>
      <c r="G48" s="116" t="n"/>
      <c r="H48" s="116" t="n"/>
      <c r="I48" s="116" t="n"/>
      <c r="J48" s="116" t="n"/>
      <c r="K48" s="116" t="n"/>
      <c r="L48" s="116" t="n"/>
      <c r="M48" s="116" t="n"/>
      <c r="N48" s="116" t="n"/>
      <c r="O48" s="116" t="n"/>
      <c r="P48" s="116" t="n"/>
      <c r="Q48" s="116" t="n"/>
      <c r="R48" s="116" t="n"/>
      <c r="S48" s="116" t="n"/>
      <c r="T48" s="116" t="n"/>
      <c r="U48" s="116" t="n"/>
      <c r="V48" s="116" t="n"/>
      <c r="W48" s="116" t="n"/>
      <c r="X48" s="116" t="n"/>
      <c r="Y48" s="116" t="n"/>
      <c r="Z48" s="116" t="n"/>
      <c r="AA48" s="116" t="n"/>
      <c r="AB48" s="116" t="n"/>
      <c r="AC48" s="116" t="n"/>
      <c r="AD48" s="116" t="n"/>
      <c r="AE48" s="116" t="n"/>
      <c r="AF48" s="116" t="n"/>
      <c r="AG48" s="116" t="n"/>
      <c r="AH48" s="116" t="n"/>
      <c r="AI48" s="116" t="n"/>
      <c r="AJ48" s="116" t="n"/>
      <c r="AK48" s="116" t="n"/>
      <c r="AL48" s="116" t="n"/>
      <c r="AM48" s="116" t="n"/>
      <c r="AN48" s="116" t="n"/>
      <c r="AO48" s="116" t="n"/>
      <c r="AP48" s="116" t="n"/>
      <c r="AQ48" s="116" t="n"/>
      <c r="AR48" s="116" t="n"/>
      <c r="AS48" s="116" t="n"/>
      <c r="AT48" s="116" t="n"/>
      <c r="AU48" s="116" t="n"/>
      <c r="AV48" s="116" t="n"/>
      <c r="AW48" s="116" t="n"/>
      <c r="AX48" s="116" t="n"/>
      <c r="AY48" s="116" t="n"/>
      <c r="AZ48" s="116" t="n"/>
      <c r="BA48" s="116" t="n"/>
      <c r="BB48" s="116" t="n"/>
      <c r="BC48" s="116" t="n"/>
      <c r="BD48" s="116" t="n"/>
      <c r="BE48" s="116" t="n"/>
      <c r="BF48" s="116" t="n"/>
      <c r="BG48" s="116" t="n"/>
      <c r="BH48" s="116" t="n"/>
      <c r="BI48" s="116" t="n"/>
      <c r="BJ48" s="116" t="n"/>
      <c r="BK48" s="116" t="n"/>
      <c r="BL48" s="116" t="n"/>
      <c r="BM48" s="116" t="n"/>
      <c r="BN48" s="116" t="n"/>
      <c r="BO48" s="116" t="n"/>
      <c r="BP48" s="116" t="n"/>
      <c r="BQ48" s="116" t="n"/>
      <c r="BR48" s="116" t="n"/>
      <c r="BS48" s="116" t="n"/>
      <c r="BT48" s="116" t="n"/>
      <c r="BU48" s="116" t="n"/>
      <c r="BV48" s="116" t="n"/>
      <c r="BW48" s="116" t="n"/>
      <c r="BX48" s="116" t="n"/>
      <c r="BY48" s="116" t="n"/>
      <c r="BZ48" s="116" t="n"/>
      <c r="CA48" s="116" t="n"/>
      <c r="CD48" s="6" t="n"/>
      <c r="CE48" s="6" t="n"/>
      <c r="CI48" s="6" t="n"/>
      <c r="CJ48" s="6" t="n"/>
      <c r="CK48" s="6" t="n"/>
      <c r="CL48" s="6" t="n"/>
      <c r="CN48" s="6" t="n"/>
      <c r="CO48" s="6" t="n"/>
      <c r="CP48" s="6" t="n"/>
      <c r="CQ48" s="6" t="n"/>
      <c r="CR48" s="6" t="n"/>
      <c r="CS48" s="6" t="n"/>
      <c r="CT48" s="6" t="n"/>
      <c r="CU48" s="6" t="n"/>
      <c r="CV48" s="6" t="n"/>
      <c r="CW48" s="6" t="n"/>
      <c r="CX48" s="6" t="n"/>
      <c r="CY48" s="6" t="n"/>
      <c r="CZ48" s="6" t="n"/>
      <c r="DA48" s="6" t="n"/>
      <c r="DB48" s="6" t="n"/>
      <c r="DC48" s="6" t="n"/>
      <c r="DD48" s="6" t="n"/>
      <c r="DE48" s="6" t="n"/>
      <c r="DG48" s="6" t="n"/>
      <c r="DI48" s="6" t="n"/>
      <c r="DJ48" s="6" t="n"/>
      <c r="DK48" s="6" t="n"/>
      <c r="DL48" s="6" t="n"/>
      <c r="DM48" s="6" t="n"/>
      <c r="DN48" s="6" t="n"/>
      <c r="DO48" s="6" t="n"/>
      <c r="DP48" s="6" t="n"/>
      <c r="DQ48" s="6" t="n"/>
      <c r="DR48" s="6" t="n"/>
      <c r="DS48" s="6" t="n"/>
      <c r="DT48" s="6" t="n"/>
      <c r="DU48" s="6" t="n"/>
      <c r="DV48" s="6" t="n"/>
      <c r="DW48" s="6" t="n"/>
      <c r="DX48" s="6" t="n"/>
      <c r="DY48" s="6" t="n"/>
      <c r="DZ48" s="6" t="n"/>
      <c r="EA48" s="6" t="n"/>
      <c r="EB48" s="6" t="n"/>
      <c r="EC48" s="6" t="n"/>
      <c r="ED48" s="6" t="n"/>
      <c r="EE48" s="6" t="n"/>
      <c r="EF48" s="6" t="n"/>
      <c r="EG48" s="6" t="n"/>
      <c r="EH48" s="6" t="n"/>
      <c r="EI48" s="6" t="n"/>
      <c r="EJ48" s="6" t="n"/>
      <c r="EK48" s="6" t="n"/>
      <c r="EL48" s="6" t="n"/>
      <c r="EM48" s="289" t="n"/>
      <c r="EN48" s="6" t="n"/>
      <c r="EO48" s="6" t="n"/>
      <c r="EP48" s="289" t="n"/>
      <c r="EQ48" s="6" t="n"/>
      <c r="ER48" s="289" t="n"/>
      <c r="ES48" s="6" t="n"/>
      <c r="ET48" s="6" t="n"/>
      <c r="EU48" s="6" t="n"/>
      <c r="EV48" s="6" t="n"/>
      <c r="EW48" s="6" t="n"/>
      <c r="EX48" s="6" t="n"/>
      <c r="EY48" s="6" t="n"/>
      <c r="EZ48" s="6" t="n"/>
      <c r="FA48" s="6" t="n"/>
      <c r="FB48" s="6" t="n"/>
      <c r="FC48" s="6" t="n"/>
      <c r="FD48" s="6" t="n"/>
    </row>
    <row r="49" hidden="1" ht="18.75" customHeight="1">
      <c r="A49" s="674" t="inlineStr">
        <is>
          <t xml:space="preserve">Glamour Midnight </t>
        </is>
      </c>
      <c r="B49" s="658" t="n"/>
      <c r="C49" s="658" t="n"/>
      <c r="D49" s="670" t="n"/>
      <c r="F49" s="116" t="n"/>
      <c r="G49" s="116" t="n"/>
      <c r="H49" s="116" t="n"/>
      <c r="I49" s="116" t="n"/>
      <c r="J49" s="116" t="n"/>
      <c r="K49" s="116" t="n"/>
      <c r="L49" s="116" t="n"/>
      <c r="M49" s="116" t="n"/>
      <c r="N49" s="116" t="n"/>
      <c r="O49" s="116" t="n"/>
      <c r="P49" s="116" t="n"/>
      <c r="Q49" s="116" t="n"/>
      <c r="R49" s="116" t="n"/>
      <c r="S49" s="116" t="n"/>
      <c r="T49" s="116" t="n"/>
      <c r="U49" s="116" t="n"/>
      <c r="V49" s="116" t="n"/>
      <c r="W49" s="116" t="n"/>
      <c r="X49" s="116" t="n"/>
      <c r="Y49" s="116" t="n"/>
      <c r="Z49" s="116" t="n"/>
      <c r="AA49" s="116" t="n"/>
      <c r="AB49" s="116" t="n"/>
      <c r="AC49" s="116" t="n"/>
      <c r="AD49" s="116" t="n"/>
      <c r="AE49" s="116" t="n"/>
      <c r="AF49" s="116" t="n"/>
      <c r="AG49" s="116" t="n"/>
      <c r="AH49" s="116" t="n"/>
      <c r="AI49" s="116" t="n"/>
      <c r="AJ49" s="116" t="n"/>
      <c r="AK49" s="116" t="n"/>
      <c r="AL49" s="116" t="n"/>
      <c r="AM49" s="116" t="n"/>
      <c r="AN49" s="116" t="n"/>
      <c r="AO49" s="116" t="n"/>
      <c r="AP49" s="116" t="n"/>
      <c r="AQ49" s="116" t="n"/>
      <c r="AR49" s="116" t="n"/>
      <c r="AS49" s="116" t="n"/>
      <c r="AT49" s="116" t="n"/>
      <c r="AU49" s="116" t="n"/>
      <c r="AV49" s="116" t="n"/>
      <c r="AW49" s="116" t="n"/>
      <c r="AX49" s="116" t="n"/>
      <c r="AY49" s="116" t="n"/>
      <c r="AZ49" s="116" t="n"/>
      <c r="BA49" s="116" t="n"/>
      <c r="BB49" s="116" t="n"/>
      <c r="BC49" s="116" t="n"/>
      <c r="BD49" s="116" t="n"/>
      <c r="BE49" s="116" t="n"/>
      <c r="BF49" s="116" t="n"/>
      <c r="BG49" s="116" t="n"/>
      <c r="BH49" s="116" t="n"/>
      <c r="BI49" s="116" t="n"/>
      <c r="BJ49" s="116" t="n"/>
      <c r="BK49" s="116" t="n"/>
      <c r="BL49" s="116" t="n"/>
      <c r="BM49" s="116" t="n"/>
      <c r="BN49" s="116" t="n"/>
      <c r="BO49" s="116" t="n"/>
      <c r="BP49" s="116" t="n"/>
      <c r="BQ49" s="116" t="n"/>
      <c r="BR49" s="116" t="n"/>
      <c r="BS49" s="116" t="n"/>
      <c r="BT49" s="116" t="n"/>
      <c r="BU49" s="116" t="n"/>
      <c r="BV49" s="116" t="n"/>
      <c r="BW49" s="116" t="n"/>
      <c r="BX49" s="116" t="n"/>
      <c r="BY49" s="116" t="n"/>
      <c r="BZ49" s="116" t="n"/>
      <c r="CA49" s="116" t="n"/>
      <c r="CD49" s="6" t="n"/>
      <c r="CE49" s="6" t="n"/>
      <c r="CI49" s="6" t="n"/>
      <c r="CJ49" s="6" t="n"/>
      <c r="CK49" s="6" t="n"/>
      <c r="CL49" s="6" t="n"/>
      <c r="CN49" s="6" t="n"/>
      <c r="CO49" s="6" t="n"/>
      <c r="CP49" s="6" t="n"/>
      <c r="CQ49" s="6" t="n"/>
      <c r="CR49" s="6" t="n"/>
      <c r="CS49" s="6" t="n"/>
      <c r="CT49" s="6" t="n"/>
      <c r="CU49" s="6" t="n"/>
      <c r="CV49" s="6" t="n"/>
      <c r="CW49" s="6" t="n"/>
      <c r="CX49" s="6" t="n"/>
      <c r="CY49" s="6" t="n"/>
      <c r="CZ49" s="6" t="n"/>
      <c r="DA49" s="6" t="n"/>
      <c r="DB49" s="6" t="n"/>
      <c r="DC49" s="6" t="n"/>
      <c r="DD49" s="6" t="n"/>
      <c r="DE49" s="6" t="n"/>
      <c r="DF49" s="6" t="n"/>
      <c r="DG49" s="6" t="n"/>
      <c r="DH49" s="6" t="n"/>
      <c r="DI49" s="6" t="n"/>
      <c r="DJ49" s="6" t="n"/>
      <c r="DK49" s="6" t="n"/>
      <c r="DL49" s="6" t="n"/>
      <c r="DM49" s="6" t="n"/>
      <c r="DN49" s="6" t="n"/>
      <c r="DO49" s="6" t="n"/>
      <c r="DP49" s="6" t="n"/>
      <c r="DQ49" s="6" t="n"/>
      <c r="DR49" s="6" t="n"/>
      <c r="DS49" s="6" t="n"/>
      <c r="DT49" s="6" t="n"/>
      <c r="DU49" s="6" t="n"/>
      <c r="DV49" s="6" t="n"/>
      <c r="DW49" s="6" t="n"/>
      <c r="DX49" s="6" t="n"/>
      <c r="DY49" s="6" t="n"/>
      <c r="DZ49" s="6" t="n"/>
      <c r="EA49" s="6" t="n"/>
      <c r="EB49" s="58" t="n"/>
      <c r="EC49" s="6" t="n"/>
      <c r="ED49" s="6" t="n"/>
      <c r="EE49" s="6" t="n"/>
      <c r="EF49" s="6" t="n"/>
      <c r="EG49" s="6" t="n"/>
      <c r="EH49" s="6" t="n"/>
      <c r="EI49" s="6" t="n"/>
      <c r="EJ49" s="6" t="n"/>
      <c r="EK49" s="6" t="n"/>
      <c r="EL49" s="6" t="n"/>
      <c r="EM49" s="289" t="n"/>
      <c r="EN49" s="6" t="n"/>
      <c r="EO49" s="6" t="n"/>
      <c r="EP49" s="289" t="n"/>
      <c r="EQ49" s="6" t="n"/>
      <c r="ER49" s="289" t="n"/>
      <c r="ES49" s="6" t="n"/>
      <c r="ET49" s="6" t="n"/>
      <c r="EU49" s="6" t="n"/>
      <c r="EV49" s="6" t="n"/>
      <c r="EW49" s="6" t="n"/>
      <c r="EX49" s="6" t="n"/>
      <c r="EY49" s="6" t="n"/>
      <c r="EZ49" s="6" t="n"/>
      <c r="FA49" s="6" t="n"/>
      <c r="FB49" s="6" t="n"/>
      <c r="FC49" s="6" t="n"/>
      <c r="FD49" s="6" t="n"/>
    </row>
    <row r="50" hidden="1" ht="18.75" customHeight="1">
      <c r="A50" s="674" t="inlineStr">
        <is>
          <t>NSPA hidrat orquidea Noir</t>
        </is>
      </c>
      <c r="B50" s="658" t="n"/>
      <c r="C50" s="658" t="n"/>
      <c r="D50" s="670" t="n"/>
      <c r="F50" s="116" t="n"/>
      <c r="G50" s="116" t="n"/>
      <c r="H50" s="116" t="n"/>
      <c r="I50" s="116" t="n"/>
      <c r="J50" s="116" t="n"/>
      <c r="K50" s="116" t="n"/>
      <c r="L50" s="116" t="n"/>
      <c r="M50" s="116" t="n"/>
      <c r="N50" s="116" t="n"/>
      <c r="O50" s="116" t="n"/>
      <c r="P50" s="116" t="n"/>
      <c r="Q50" s="116" t="n"/>
      <c r="R50" s="116" t="n"/>
      <c r="S50" s="116" t="n"/>
      <c r="T50" s="116" t="n"/>
      <c r="U50" s="116" t="n"/>
      <c r="V50" s="116" t="n"/>
      <c r="W50" s="116" t="n"/>
      <c r="X50" s="116" t="n"/>
      <c r="Y50" s="116" t="n"/>
      <c r="Z50" s="116" t="n"/>
      <c r="AA50" s="116" t="n"/>
      <c r="AB50" s="116" t="n"/>
      <c r="AC50" s="116" t="n"/>
      <c r="AD50" s="116" t="n"/>
      <c r="AE50" s="116" t="n"/>
      <c r="AF50" s="116" t="n"/>
      <c r="AG50" s="116" t="n"/>
      <c r="AH50" s="116" t="n"/>
      <c r="AI50" s="116" t="n"/>
      <c r="AJ50" s="116" t="n"/>
      <c r="AK50" s="116" t="n"/>
      <c r="AL50" s="116" t="n"/>
      <c r="AM50" s="116" t="n"/>
      <c r="AN50" s="116" t="n"/>
      <c r="AO50" s="116" t="n"/>
      <c r="AP50" s="116" t="n"/>
      <c r="AQ50" s="116" t="n"/>
      <c r="AR50" s="116" t="n"/>
      <c r="AS50" s="116" t="n"/>
      <c r="AT50" s="116" t="n"/>
      <c r="AU50" s="116" t="n"/>
      <c r="AV50" s="116" t="n"/>
      <c r="AW50" s="116" t="n"/>
      <c r="AX50" s="116" t="n"/>
      <c r="AY50" s="116" t="n"/>
      <c r="AZ50" s="116" t="n"/>
      <c r="BA50" s="116" t="n"/>
      <c r="BB50" s="116" t="n"/>
      <c r="BC50" s="116" t="n"/>
      <c r="BD50" s="116" t="n"/>
      <c r="BE50" s="116" t="n"/>
      <c r="BF50" s="116" t="n"/>
      <c r="BG50" s="116" t="n"/>
      <c r="BH50" s="116" t="n"/>
      <c r="BI50" s="116" t="n"/>
      <c r="BJ50" s="116" t="n"/>
      <c r="BK50" s="116" t="n"/>
      <c r="BL50" s="116" t="n"/>
      <c r="BM50" s="116" t="n"/>
      <c r="BN50" s="116" t="n"/>
      <c r="BO50" s="116" t="n"/>
      <c r="BP50" s="116" t="n"/>
      <c r="BQ50" s="116" t="n"/>
      <c r="BR50" s="116" t="n"/>
      <c r="BS50" s="116" t="n"/>
      <c r="BT50" s="116" t="n"/>
      <c r="BU50" s="116" t="n"/>
      <c r="BV50" s="116" t="n"/>
      <c r="BW50" s="116" t="n"/>
      <c r="BX50" s="116" t="n"/>
      <c r="BY50" s="116" t="n"/>
      <c r="BZ50" s="116" t="n"/>
      <c r="CA50" s="116" t="n"/>
      <c r="CD50" s="6" t="n"/>
      <c r="CE50" s="6" t="n"/>
      <c r="CI50" s="6" t="n"/>
      <c r="CJ50" s="6" t="n"/>
      <c r="CK50" s="6" t="n"/>
      <c r="CL50" s="6" t="n"/>
      <c r="CN50" s="6" t="n"/>
      <c r="CO50" s="6" t="n"/>
      <c r="CP50" s="6" t="n"/>
      <c r="CQ50" s="6" t="n"/>
      <c r="CR50" s="6" t="n"/>
      <c r="CS50" s="6" t="n"/>
      <c r="CT50" s="6" t="n"/>
      <c r="CU50" s="6" t="n"/>
      <c r="CV50" s="6" t="n"/>
      <c r="CW50" s="6" t="n"/>
      <c r="CX50" s="6" t="n"/>
      <c r="CY50" s="6" t="n"/>
      <c r="CZ50" s="6" t="n"/>
      <c r="DA50" s="6" t="n"/>
      <c r="DB50" s="6" t="n"/>
      <c r="DC50" s="6" t="n"/>
      <c r="DD50" s="6" t="n"/>
      <c r="DE50" s="6" t="n"/>
      <c r="DF50" s="6" t="n"/>
      <c r="DG50" s="6" t="n"/>
      <c r="DH50" s="6" t="n"/>
      <c r="DI50" s="6" t="n"/>
      <c r="DJ50" s="6" t="n"/>
      <c r="DK50" s="6" t="n"/>
      <c r="DL50" s="6" t="n"/>
      <c r="DM50" s="6" t="n"/>
      <c r="DN50" s="6" t="n"/>
      <c r="DO50" s="6" t="n"/>
      <c r="DP50" s="6" t="n"/>
      <c r="DQ50" s="6" t="n"/>
      <c r="DR50" s="6" t="n"/>
      <c r="DS50" s="6" t="n"/>
      <c r="DT50" s="58" t="n"/>
      <c r="DU50" s="6" t="n"/>
      <c r="DV50" s="6" t="n"/>
      <c r="DW50" s="6" t="n"/>
      <c r="DX50" s="6" t="n"/>
      <c r="DY50" s="6" t="n"/>
      <c r="DZ50" s="58" t="n"/>
      <c r="EA50" s="6" t="n"/>
      <c r="EB50" s="58" t="n"/>
      <c r="EC50" s="58" t="n"/>
      <c r="ED50" s="6" t="n"/>
      <c r="EE50" s="6" t="n"/>
      <c r="EF50" s="6" t="n"/>
      <c r="EG50" s="6" t="n"/>
      <c r="EH50" s="6" t="n"/>
      <c r="EI50" s="6" t="n"/>
      <c r="EJ50" s="6" t="n"/>
      <c r="EK50" s="6" t="n"/>
      <c r="EL50" s="6" t="n"/>
      <c r="EM50" s="290" t="n"/>
      <c r="EN50" s="6" t="n"/>
      <c r="EO50" s="6" t="n"/>
      <c r="EP50" s="289" t="n"/>
      <c r="EQ50" s="6" t="n"/>
      <c r="ER50" s="289" t="n"/>
      <c r="ES50" s="6" t="n"/>
      <c r="ET50" s="6" t="n"/>
      <c r="EU50" s="6" t="n"/>
      <c r="EV50" s="6" t="n"/>
      <c r="EW50" s="6" t="n"/>
      <c r="EX50" s="6" t="n"/>
      <c r="EY50" s="6" t="n"/>
      <c r="EZ50" s="6" t="n"/>
      <c r="FA50" s="6" t="n"/>
      <c r="FB50" s="6" t="n"/>
      <c r="FC50" s="6" t="n"/>
      <c r="FD50" s="6" t="n"/>
    </row>
    <row r="51" hidden="1" ht="18.75" customHeight="1">
      <c r="A51" s="674" t="inlineStr">
        <is>
          <t xml:space="preserve">Her Code eau de parfun </t>
        </is>
      </c>
      <c r="B51" s="658" t="n"/>
      <c r="C51" s="658" t="n"/>
      <c r="D51" s="670" t="n"/>
      <c r="F51" s="116" t="n"/>
      <c r="G51" s="116" t="n"/>
      <c r="H51" s="116" t="n"/>
      <c r="I51" s="116" t="n"/>
      <c r="J51" s="116" t="n"/>
      <c r="K51" s="116" t="n"/>
      <c r="L51" s="116" t="n"/>
      <c r="M51" s="116" t="n"/>
      <c r="N51" s="116" t="n"/>
      <c r="O51" s="116" t="n"/>
      <c r="P51" s="116" t="n"/>
      <c r="Q51" s="116" t="n"/>
      <c r="R51" s="116" t="n"/>
      <c r="S51" s="116" t="n"/>
      <c r="T51" s="116" t="n"/>
      <c r="U51" s="116" t="n"/>
      <c r="V51" s="116" t="n"/>
      <c r="W51" s="116" t="n"/>
      <c r="X51" s="116" t="n"/>
      <c r="Y51" s="116" t="n"/>
      <c r="Z51" s="116" t="n"/>
      <c r="AA51" s="116" t="n"/>
      <c r="AB51" s="116" t="n"/>
      <c r="AC51" s="116" t="n"/>
      <c r="AD51" s="116" t="n"/>
      <c r="AE51" s="116" t="n"/>
      <c r="AF51" s="116" t="n"/>
      <c r="AG51" s="116" t="n"/>
      <c r="AH51" s="116" t="n"/>
      <c r="AI51" s="116" t="n"/>
      <c r="AJ51" s="116" t="n"/>
      <c r="AK51" s="116" t="n"/>
      <c r="AL51" s="116" t="n"/>
      <c r="AM51" s="116" t="n"/>
      <c r="AN51" s="116" t="n"/>
      <c r="AO51" s="116" t="n"/>
      <c r="AP51" s="116" t="n"/>
      <c r="AQ51" s="116" t="n"/>
      <c r="AR51" s="116" t="n"/>
      <c r="AS51" s="116" t="n"/>
      <c r="AT51" s="116" t="n"/>
      <c r="AU51" s="116" t="n"/>
      <c r="AV51" s="116" t="n"/>
      <c r="AW51" s="116" t="n"/>
      <c r="AX51" s="116" t="n"/>
      <c r="AY51" s="116" t="n"/>
      <c r="AZ51" s="116" t="n"/>
      <c r="BA51" s="116" t="n"/>
      <c r="BB51" s="116" t="n"/>
      <c r="BC51" s="116" t="n"/>
      <c r="BD51" s="116" t="n"/>
      <c r="BE51" s="116" t="n"/>
      <c r="BF51" s="116" t="n"/>
      <c r="BG51" s="116" t="n"/>
      <c r="BH51" s="116" t="n"/>
      <c r="BI51" s="116" t="n"/>
      <c r="BJ51" s="116" t="n"/>
      <c r="BK51" s="116" t="n"/>
      <c r="BL51" s="116" t="n"/>
      <c r="BM51" s="116" t="n"/>
      <c r="BN51" s="116" t="n"/>
      <c r="BO51" s="116" t="n"/>
      <c r="BP51" s="116" t="n"/>
      <c r="BQ51" s="116" t="n"/>
      <c r="BR51" s="116" t="n"/>
      <c r="BS51" s="116" t="n"/>
      <c r="BT51" s="116" t="n"/>
      <c r="BU51" s="116" t="n"/>
      <c r="BV51" s="116" t="n"/>
      <c r="BW51" s="116" t="n"/>
      <c r="BX51" s="116" t="n"/>
      <c r="BY51" s="116" t="n"/>
      <c r="BZ51" s="116" t="n"/>
      <c r="CA51" s="116" t="n"/>
      <c r="CD51" s="6" t="n"/>
      <c r="CE51" s="6" t="n"/>
      <c r="CI51" s="6" t="n"/>
      <c r="CJ51" s="6" t="n"/>
      <c r="CK51" s="6" t="n"/>
      <c r="CL51" s="6" t="n"/>
      <c r="CN51" s="6" t="n"/>
      <c r="CO51" s="6" t="n"/>
      <c r="CP51" s="6" t="n"/>
      <c r="CQ51" s="6" t="n"/>
      <c r="CR51" s="6" t="n"/>
      <c r="CS51" s="6" t="n"/>
      <c r="CT51" s="6" t="n"/>
      <c r="CU51" s="6" t="n"/>
      <c r="CV51" s="6" t="n"/>
      <c r="CW51" s="6" t="n"/>
      <c r="CX51" s="6" t="n"/>
      <c r="CY51" s="6" t="n"/>
      <c r="CZ51" s="6" t="n"/>
      <c r="DA51" s="6" t="n"/>
      <c r="DB51" s="6" t="n"/>
      <c r="DC51" s="6" t="n"/>
      <c r="DD51" s="6" t="n"/>
      <c r="DE51" s="6" t="n"/>
      <c r="DF51" s="6" t="n"/>
      <c r="DG51" s="6" t="n"/>
      <c r="DH51" s="6" t="n"/>
      <c r="DI51" s="6" t="n"/>
      <c r="DJ51" s="6" t="n"/>
      <c r="DK51" s="6" t="n"/>
      <c r="DL51" s="6" t="n"/>
      <c r="DM51" s="6" t="n"/>
      <c r="DN51" s="6" t="n"/>
      <c r="DO51" s="6" t="n"/>
      <c r="DP51" s="6" t="n"/>
      <c r="DQ51" s="6" t="n"/>
      <c r="DR51" s="6" t="n"/>
      <c r="DS51" s="6" t="n"/>
      <c r="DT51" s="58" t="n"/>
      <c r="DU51" s="6" t="n"/>
      <c r="DV51" s="6" t="n"/>
      <c r="DW51" s="6" t="n"/>
      <c r="DX51" s="6" t="n"/>
      <c r="DY51" s="6" t="n"/>
      <c r="DZ51" s="58" t="n"/>
      <c r="EA51" s="6" t="n"/>
      <c r="EB51" s="58" t="n"/>
      <c r="EC51" s="58" t="n"/>
      <c r="ED51" s="6" t="n"/>
      <c r="EE51" s="6" t="n"/>
      <c r="EF51" s="6" t="n"/>
      <c r="EG51" s="6" t="n"/>
      <c r="EH51" s="6" t="n"/>
      <c r="EI51" s="6" t="n"/>
      <c r="EJ51" s="6" t="n"/>
      <c r="EK51" s="6" t="n"/>
      <c r="EL51" s="6" t="n"/>
      <c r="EM51" s="290" t="n"/>
      <c r="EN51" s="6" t="n"/>
      <c r="EO51" s="6" t="n"/>
      <c r="EP51" s="290" t="n"/>
      <c r="EQ51" s="6" t="n"/>
      <c r="ER51" s="290" t="n"/>
      <c r="ES51" s="6" t="n"/>
      <c r="ET51" s="6" t="n"/>
      <c r="EU51" s="6" t="n"/>
      <c r="EV51" s="6" t="n"/>
      <c r="EW51" s="6" t="n"/>
      <c r="EX51" s="6" t="n"/>
      <c r="EY51" s="6" t="n"/>
      <c r="EZ51" s="6" t="n"/>
      <c r="FA51" s="6" t="n"/>
      <c r="FB51" s="6" t="n"/>
      <c r="FC51" s="6" t="n"/>
      <c r="FD51" s="6" t="n"/>
    </row>
    <row r="52" hidden="1" ht="18.75" customHeight="1">
      <c r="A52" s="674" t="inlineStr">
        <is>
          <t xml:space="preserve">Poliglu/rosa mosqueta </t>
        </is>
      </c>
      <c r="B52" s="658" t="n"/>
      <c r="C52" s="658" t="n"/>
      <c r="D52" s="670" t="n"/>
      <c r="F52" s="116" t="n"/>
      <c r="G52" s="116" t="n"/>
      <c r="H52" s="116" t="n"/>
      <c r="I52" s="116" t="n"/>
      <c r="J52" s="116" t="n"/>
      <c r="K52" s="116" t="n"/>
      <c r="L52" s="116" t="n"/>
      <c r="M52" s="116" t="n"/>
      <c r="N52" s="116" t="n"/>
      <c r="O52" s="116" t="n"/>
      <c r="P52" s="116" t="n"/>
      <c r="Q52" s="116" t="n"/>
      <c r="R52" s="116" t="n"/>
      <c r="S52" s="116" t="n"/>
      <c r="T52" s="116" t="n"/>
      <c r="U52" s="116" t="n"/>
      <c r="V52" s="116" t="n"/>
      <c r="W52" s="116" t="n"/>
      <c r="X52" s="116" t="n"/>
      <c r="Y52" s="116" t="n"/>
      <c r="Z52" s="116" t="n"/>
      <c r="AA52" s="116" t="n"/>
      <c r="AB52" s="116" t="n"/>
      <c r="AC52" s="116" t="n"/>
      <c r="AD52" s="116" t="n"/>
      <c r="AE52" s="116" t="n"/>
      <c r="AF52" s="116" t="n"/>
      <c r="AG52" s="116" t="n"/>
      <c r="AH52" s="116" t="n"/>
      <c r="AI52" s="116" t="n"/>
      <c r="AJ52" s="116" t="n"/>
      <c r="AK52" s="116" t="n"/>
      <c r="AL52" s="116" t="n"/>
      <c r="AM52" s="116" t="n"/>
      <c r="AN52" s="116" t="n"/>
      <c r="AO52" s="116" t="n"/>
      <c r="AP52" s="116" t="n"/>
      <c r="AQ52" s="116" t="n"/>
      <c r="AR52" s="116" t="n"/>
      <c r="AS52" s="116" t="n"/>
      <c r="AT52" s="116" t="n"/>
      <c r="AU52" s="116" t="n"/>
      <c r="AV52" s="116" t="n"/>
      <c r="AW52" s="116" t="n"/>
      <c r="AX52" s="116" t="n"/>
      <c r="AY52" s="116" t="n"/>
      <c r="AZ52" s="116" t="n"/>
      <c r="BA52" s="116" t="n"/>
      <c r="BB52" s="116" t="n"/>
      <c r="BC52" s="116" t="n"/>
      <c r="BD52" s="116" t="n"/>
      <c r="BE52" s="116" t="n"/>
      <c r="BF52" s="116" t="n"/>
      <c r="BG52" s="116" t="n"/>
      <c r="BH52" s="116" t="n"/>
      <c r="BI52" s="116" t="n"/>
      <c r="BJ52" s="116" t="n"/>
      <c r="BK52" s="116" t="n"/>
      <c r="BL52" s="116" t="n"/>
      <c r="BM52" s="116" t="n"/>
      <c r="BN52" s="116" t="n"/>
      <c r="BO52" s="116" t="n"/>
      <c r="BP52" s="116" t="n"/>
      <c r="BQ52" s="116" t="n"/>
      <c r="BR52" s="116" t="n"/>
      <c r="BS52" s="116" t="n"/>
      <c r="BT52" s="116" t="n"/>
      <c r="BU52" s="116" t="n"/>
      <c r="BV52" s="116" t="n"/>
      <c r="BW52" s="116" t="n"/>
      <c r="BX52" s="116" t="n"/>
      <c r="BY52" s="116" t="n"/>
      <c r="BZ52" s="116" t="n"/>
      <c r="CA52" s="116" t="n"/>
      <c r="CD52" s="6" t="n"/>
      <c r="CE52" s="6" t="n"/>
      <c r="CL52" s="6" t="n"/>
      <c r="CN52" s="6" t="n"/>
      <c r="CP52" s="6" t="n"/>
      <c r="CQ52" s="6" t="n"/>
      <c r="CS52" s="6" t="n"/>
      <c r="CT52" s="6" t="n"/>
      <c r="CU52" s="6" t="n"/>
      <c r="CV52" s="6" t="n"/>
      <c r="CW52" s="6" t="n"/>
      <c r="CX52" s="6" t="n"/>
      <c r="CY52" s="6" t="n"/>
      <c r="CZ52" s="6" t="n"/>
      <c r="DA52" s="6" t="n"/>
      <c r="DB52" s="6" t="n"/>
      <c r="DC52" s="6" t="n"/>
      <c r="DD52" s="6" t="n"/>
      <c r="DE52" s="6" t="n"/>
      <c r="DG52" s="6" t="n"/>
      <c r="DI52" s="6" t="n"/>
      <c r="DJ52" s="6" t="n"/>
      <c r="DK52" s="6" t="n"/>
      <c r="DL52" s="6" t="n"/>
      <c r="DM52" s="6" t="n"/>
      <c r="DN52" s="6" t="n"/>
      <c r="DO52" s="6" t="n"/>
      <c r="DP52" s="6" t="n"/>
      <c r="DQ52" s="6" t="n"/>
      <c r="DR52" s="6" t="n"/>
      <c r="DS52" s="6" t="n"/>
      <c r="DT52" s="58" t="n"/>
      <c r="DU52" s="6" t="n"/>
      <c r="DV52" s="6" t="n"/>
      <c r="DW52" s="6" t="n"/>
      <c r="DX52" s="6" t="n"/>
      <c r="DY52" s="6" t="n"/>
      <c r="DZ52" s="58" t="n"/>
      <c r="EA52" s="6" t="n"/>
      <c r="EC52" s="58" t="n"/>
      <c r="EJ52" s="6" t="n"/>
      <c r="EK52" s="6" t="n"/>
      <c r="EM52" s="291" t="n"/>
      <c r="EN52" s="6" t="n"/>
      <c r="EO52" s="6" t="n"/>
      <c r="EP52" s="290" t="n"/>
      <c r="EQ52" s="6" t="n"/>
      <c r="ER52" s="290" t="n"/>
      <c r="ES52" s="6" t="n"/>
      <c r="ET52" s="6" t="n"/>
      <c r="EU52" s="6" t="n"/>
      <c r="EV52" s="6" t="n"/>
      <c r="EW52" s="6" t="n"/>
      <c r="EX52" s="6" t="n"/>
      <c r="EY52" s="6" t="n"/>
      <c r="EZ52" s="6" t="n"/>
      <c r="FA52" s="6" t="n"/>
      <c r="FB52" s="6" t="n"/>
      <c r="FC52" s="6" t="n"/>
      <c r="FD52" s="6" t="n"/>
    </row>
    <row r="53" hidden="1" ht="18.75" customHeight="1">
      <c r="A53" s="674" t="inlineStr">
        <is>
          <t xml:space="preserve">Portinari Absoluto </t>
        </is>
      </c>
      <c r="B53" s="658" t="n"/>
      <c r="C53" s="658" t="n"/>
      <c r="D53" s="670" t="n"/>
      <c r="F53" s="116" t="n"/>
      <c r="G53" s="116" t="n"/>
      <c r="H53" s="116" t="n"/>
      <c r="I53" s="116" t="n"/>
      <c r="J53" s="116" t="n"/>
      <c r="K53" s="116" t="n"/>
      <c r="L53" s="116" t="n"/>
      <c r="M53" s="116" t="n"/>
      <c r="N53" s="116" t="n"/>
      <c r="O53" s="116" t="n"/>
      <c r="P53" s="116" t="n"/>
      <c r="Q53" s="116" t="n"/>
      <c r="R53" s="116" t="n"/>
      <c r="S53" s="116" t="n"/>
      <c r="T53" s="116" t="n"/>
      <c r="U53" s="116" t="n"/>
      <c r="V53" s="116" t="n"/>
      <c r="W53" s="116" t="n"/>
      <c r="X53" s="116" t="n"/>
      <c r="Y53" s="116" t="n"/>
      <c r="Z53" s="116" t="n"/>
      <c r="AA53" s="116" t="n"/>
      <c r="AB53" s="116" t="n"/>
      <c r="AC53" s="116" t="n"/>
      <c r="AD53" s="116" t="n"/>
      <c r="AE53" s="116" t="n"/>
      <c r="AF53" s="116" t="n"/>
      <c r="AG53" s="116" t="n"/>
      <c r="AH53" s="116" t="n"/>
      <c r="AI53" s="116" t="n"/>
      <c r="AJ53" s="116" t="n"/>
      <c r="AK53" s="116" t="n"/>
      <c r="AL53" s="116" t="n"/>
      <c r="AM53" s="116" t="n"/>
      <c r="AN53" s="116" t="n"/>
      <c r="AO53" s="116" t="n"/>
      <c r="AP53" s="116" t="n"/>
      <c r="AQ53" s="116" t="n"/>
      <c r="AR53" s="116" t="n"/>
      <c r="AS53" s="116" t="n"/>
      <c r="AT53" s="116" t="n"/>
      <c r="AU53" s="116" t="n"/>
      <c r="AV53" s="116" t="n"/>
      <c r="AW53" s="116" t="n"/>
      <c r="AX53" s="116" t="n"/>
      <c r="AY53" s="116" t="n"/>
      <c r="AZ53" s="116" t="n"/>
      <c r="BA53" s="116" t="n"/>
      <c r="BB53" s="116" t="n"/>
      <c r="BC53" s="116" t="n"/>
      <c r="BD53" s="116" t="n"/>
      <c r="BE53" s="116" t="n"/>
      <c r="BF53" s="116" t="n"/>
      <c r="BG53" s="116" t="n"/>
      <c r="BH53" s="116" t="n"/>
      <c r="BI53" s="116" t="n"/>
      <c r="BJ53" s="116" t="n"/>
      <c r="BK53" s="116" t="n"/>
      <c r="BL53" s="116" t="n"/>
      <c r="BM53" s="116" t="n"/>
      <c r="BN53" s="116" t="n"/>
      <c r="BO53" s="116" t="n"/>
      <c r="BP53" s="116" t="n"/>
      <c r="BQ53" s="116" t="n"/>
      <c r="BR53" s="116" t="n"/>
      <c r="BS53" s="116" t="n"/>
      <c r="BT53" s="116" t="n"/>
      <c r="BU53" s="116" t="n"/>
      <c r="BV53" s="116" t="n"/>
      <c r="BW53" s="116" t="n"/>
      <c r="BX53" s="116" t="n"/>
      <c r="BY53" s="116" t="n"/>
      <c r="BZ53" s="116" t="n"/>
      <c r="CA53" s="116" t="n"/>
      <c r="CE53" s="6" t="n"/>
      <c r="CI53" s="6" t="n"/>
      <c r="CJ53" s="6" t="n"/>
      <c r="CK53" s="6" t="n"/>
      <c r="CL53" s="6" t="n"/>
      <c r="CN53" s="6" t="n"/>
      <c r="CO53" s="6" t="n"/>
      <c r="CP53" s="6" t="n"/>
      <c r="CQ53" s="6" t="n"/>
      <c r="CR53" s="6" t="n"/>
      <c r="CS53" s="6" t="n"/>
      <c r="CT53" s="6" t="n"/>
      <c r="CU53" s="6" t="n"/>
      <c r="CV53" s="6" t="n"/>
      <c r="CW53" s="6" t="n"/>
      <c r="CX53" s="6" t="n"/>
      <c r="CY53" s="6" t="n"/>
      <c r="CZ53" s="6" t="n"/>
      <c r="DA53" s="6" t="n"/>
      <c r="DB53" s="6" t="n"/>
      <c r="DC53" s="6" t="n"/>
      <c r="DD53" s="6" t="n"/>
      <c r="DE53" s="6" t="n"/>
      <c r="DG53" s="6" t="n"/>
      <c r="DI53" s="6" t="n"/>
      <c r="DJ53" s="6" t="n"/>
      <c r="DK53" s="6" t="n"/>
      <c r="DL53" s="6" t="n"/>
      <c r="DM53" s="6" t="n"/>
      <c r="DN53" s="6" t="n"/>
      <c r="DO53" s="6" t="n"/>
      <c r="DP53" s="6" t="n"/>
      <c r="DQ53" s="6" t="n"/>
      <c r="DR53" s="6" t="n"/>
      <c r="DS53" s="6" t="n"/>
      <c r="DU53" s="6" t="n"/>
      <c r="DV53" s="6" t="n"/>
      <c r="DW53" s="6" t="n"/>
      <c r="DX53" s="6" t="n"/>
      <c r="DY53" s="6" t="n"/>
      <c r="EA53" s="6" t="n"/>
      <c r="ED53" s="6" t="n"/>
      <c r="EE53" s="6" t="n"/>
      <c r="EF53" s="6" t="n"/>
      <c r="EG53" s="6" t="n"/>
      <c r="EH53" s="6" t="n"/>
      <c r="EI53" s="6" t="n"/>
      <c r="EJ53" s="6" t="n"/>
      <c r="EK53" s="6" t="n"/>
      <c r="EL53" s="6" t="n"/>
      <c r="EM53" s="291" t="n"/>
      <c r="EN53" s="6" t="n"/>
      <c r="EO53" s="6" t="n"/>
      <c r="EP53" s="291" t="n"/>
      <c r="EQ53" s="6" t="n"/>
      <c r="ER53" s="291" t="n"/>
      <c r="ES53" s="6" t="n"/>
      <c r="ET53" s="6" t="n"/>
      <c r="EU53" s="6" t="n"/>
      <c r="EV53" s="6" t="n"/>
      <c r="EW53" s="6" t="n"/>
      <c r="EX53" s="6" t="n"/>
      <c r="EY53" s="6" t="n"/>
      <c r="EZ53" s="6" t="n"/>
      <c r="FA53" s="6" t="n"/>
      <c r="FB53" s="6" t="n"/>
      <c r="FC53" s="6" t="n"/>
      <c r="FD53" s="6" t="n"/>
    </row>
    <row r="54" hidden="1" ht="18.75" customHeight="1">
      <c r="A54" s="674" t="inlineStr">
        <is>
          <t xml:space="preserve">Quasar Vision </t>
        </is>
      </c>
      <c r="B54" s="658" t="n"/>
      <c r="C54" s="658" t="n"/>
      <c r="D54" s="670" t="n"/>
      <c r="F54" s="116" t="n"/>
      <c r="G54" s="116" t="n"/>
      <c r="H54" s="116" t="n"/>
      <c r="I54" s="116" t="n"/>
      <c r="J54" s="116" t="n"/>
      <c r="K54" s="116" t="n"/>
      <c r="L54" s="116" t="n"/>
      <c r="M54" s="116" t="n"/>
      <c r="N54" s="116" t="n"/>
      <c r="O54" s="116" t="n"/>
      <c r="P54" s="116" t="n"/>
      <c r="Q54" s="116" t="n"/>
      <c r="R54" s="116" t="n"/>
      <c r="S54" s="116" t="n"/>
      <c r="T54" s="116" t="n"/>
      <c r="U54" s="116" t="n"/>
      <c r="V54" s="116" t="n"/>
      <c r="W54" s="116" t="n"/>
      <c r="X54" s="116" t="n"/>
      <c r="Y54" s="116" t="n"/>
      <c r="Z54" s="116" t="n"/>
      <c r="AA54" s="116" t="n"/>
      <c r="AB54" s="116" t="n"/>
      <c r="AC54" s="116" t="n"/>
      <c r="AD54" s="116" t="n"/>
      <c r="AE54" s="116" t="n"/>
      <c r="AF54" s="116" t="n"/>
      <c r="AG54" s="116" t="n"/>
      <c r="AH54" s="116" t="n"/>
      <c r="AI54" s="116" t="n"/>
      <c r="AJ54" s="116" t="n"/>
      <c r="AK54" s="116" t="n"/>
      <c r="AL54" s="116" t="n"/>
      <c r="AM54" s="116" t="n"/>
      <c r="AN54" s="116" t="n"/>
      <c r="AO54" s="116" t="n"/>
      <c r="AP54" s="116" t="n"/>
      <c r="AQ54" s="116" t="n"/>
      <c r="AR54" s="116" t="n"/>
      <c r="AS54" s="116" t="n"/>
      <c r="AT54" s="116" t="n"/>
      <c r="AU54" s="116" t="n"/>
      <c r="AV54" s="116" t="n"/>
      <c r="AW54" s="116" t="n"/>
      <c r="AX54" s="116" t="n"/>
      <c r="AY54" s="116" t="n"/>
      <c r="AZ54" s="116" t="n"/>
      <c r="BA54" s="116" t="n"/>
      <c r="BB54" s="116" t="n"/>
      <c r="BC54" s="116" t="n"/>
      <c r="BD54" s="116" t="n"/>
      <c r="BE54" s="116" t="n"/>
      <c r="BF54" s="116" t="n"/>
      <c r="BG54" s="116" t="n"/>
      <c r="BH54" s="116" t="n"/>
      <c r="BI54" s="116" t="n"/>
      <c r="BJ54" s="116" t="n"/>
      <c r="BK54" s="116" t="n"/>
      <c r="BL54" s="116" t="n"/>
      <c r="BM54" s="116" t="n"/>
      <c r="BN54" s="116" t="n"/>
      <c r="BO54" s="116" t="n"/>
      <c r="BP54" s="116" t="n"/>
      <c r="BQ54" s="116" t="n"/>
      <c r="BR54" s="116" t="n"/>
      <c r="BS54" s="116" t="n"/>
      <c r="BT54" s="116" t="n"/>
      <c r="BU54" s="116" t="n"/>
      <c r="BV54" s="116" t="n"/>
      <c r="BW54" s="116" t="n"/>
      <c r="BX54" s="116" t="n"/>
      <c r="BY54" s="116" t="n"/>
      <c r="BZ54" s="116" t="n"/>
      <c r="CA54" s="116" t="n"/>
      <c r="CL54" s="6" t="n"/>
      <c r="CN54" s="6" t="n"/>
      <c r="CP54" s="6" t="n"/>
      <c r="CQ54" s="6" t="n"/>
      <c r="CS54" s="6" t="n"/>
      <c r="CT54" s="6" t="n"/>
      <c r="CU54" s="6" t="n"/>
      <c r="CV54" s="6" t="n"/>
      <c r="CW54" s="6" t="n"/>
      <c r="CX54" s="6" t="n"/>
      <c r="CY54" s="6" t="n"/>
      <c r="CZ54" s="6" t="n"/>
      <c r="DA54" s="6" t="n"/>
      <c r="DB54" s="6" t="n"/>
      <c r="DC54" s="6" t="n"/>
      <c r="DD54" s="6" t="n"/>
      <c r="DE54" s="6" t="n"/>
      <c r="DG54" s="6" t="n"/>
      <c r="DI54" s="6" t="n"/>
      <c r="DJ54" s="6" t="n"/>
      <c r="DK54" s="6" t="n"/>
      <c r="DL54" s="6" t="n"/>
      <c r="DM54" s="6" t="n"/>
      <c r="DN54" s="6" t="n"/>
      <c r="DO54" s="6" t="n"/>
      <c r="DP54" s="6" t="n"/>
      <c r="DQ54" s="6" t="n"/>
      <c r="DR54" s="6" t="n"/>
      <c r="DS54" s="6" t="n"/>
      <c r="DU54" s="6" t="n"/>
      <c r="DV54" s="6" t="n"/>
      <c r="DW54" s="6" t="n"/>
      <c r="DX54" s="6" t="n"/>
      <c r="DY54" s="6" t="n"/>
      <c r="EA54" s="6" t="n"/>
      <c r="EJ54" s="6" t="n"/>
      <c r="EK54" s="6" t="n"/>
      <c r="EM54" s="291" t="n"/>
      <c r="EN54" s="6" t="n"/>
      <c r="EO54" s="6" t="n"/>
      <c r="EP54" s="291" t="n"/>
      <c r="EQ54" s="6" t="n"/>
      <c r="ER54" s="291" t="n"/>
      <c r="ES54" s="6" t="n"/>
      <c r="ET54" s="6" t="n"/>
      <c r="EU54" s="6" t="n"/>
      <c r="EV54" s="6" t="n"/>
      <c r="EW54" s="6" t="n"/>
      <c r="EX54" s="6" t="n"/>
      <c r="EY54" s="6" t="n"/>
      <c r="EZ54" s="6" t="n"/>
      <c r="FA54" s="6" t="n"/>
      <c r="FB54" s="6" t="n"/>
      <c r="FC54" s="6" t="n"/>
      <c r="FD54" s="6" t="n"/>
    </row>
    <row r="55" hidden="1" ht="18.75" customHeight="1">
      <c r="A55" s="674" t="inlineStr">
        <is>
          <t xml:space="preserve">Lily Solei </t>
        </is>
      </c>
      <c r="B55" s="658" t="n"/>
      <c r="C55" s="658" t="n"/>
      <c r="D55" s="670" t="n"/>
      <c r="F55" s="116" t="n"/>
      <c r="G55" s="116" t="n"/>
      <c r="H55" s="116" t="n"/>
      <c r="I55" s="116" t="n"/>
      <c r="J55" s="116" t="n"/>
      <c r="K55" s="116" t="n"/>
      <c r="L55" s="116" t="n"/>
      <c r="M55" s="116" t="n"/>
      <c r="N55" s="116" t="n"/>
      <c r="O55" s="116" t="n"/>
      <c r="P55" s="116" t="n"/>
      <c r="Q55" s="116" t="n"/>
      <c r="R55" s="116" t="n"/>
      <c r="S55" s="116" t="n"/>
      <c r="T55" s="116" t="n"/>
      <c r="U55" s="116" t="n"/>
      <c r="V55" s="116" t="n"/>
      <c r="W55" s="116" t="n"/>
      <c r="X55" s="116" t="n"/>
      <c r="Y55" s="116" t="n"/>
      <c r="Z55" s="116" t="n"/>
      <c r="AA55" s="116" t="n"/>
      <c r="AB55" s="116" t="n"/>
      <c r="AC55" s="116" t="n"/>
      <c r="AD55" s="116" t="n"/>
      <c r="AE55" s="116" t="n"/>
      <c r="AF55" s="116" t="n"/>
      <c r="AG55" s="116" t="n"/>
      <c r="AH55" s="116" t="n"/>
      <c r="AI55" s="116" t="n"/>
      <c r="AJ55" s="116" t="n"/>
      <c r="AK55" s="116" t="n"/>
      <c r="AL55" s="116" t="n"/>
      <c r="AM55" s="116" t="n"/>
      <c r="AN55" s="116" t="n"/>
      <c r="AO55" s="116" t="n"/>
      <c r="AP55" s="116" t="n"/>
      <c r="AQ55" s="116" t="n"/>
      <c r="AR55" s="116" t="n"/>
      <c r="AS55" s="116" t="n"/>
      <c r="AT55" s="116" t="n"/>
      <c r="AU55" s="116" t="n"/>
      <c r="AV55" s="116" t="n"/>
      <c r="AW55" s="116" t="n"/>
      <c r="AX55" s="116" t="n"/>
      <c r="AY55" s="116" t="n"/>
      <c r="AZ55" s="116" t="n"/>
      <c r="BA55" s="116" t="n"/>
      <c r="BB55" s="116" t="n"/>
      <c r="BC55" s="116" t="n"/>
      <c r="BD55" s="116" t="n"/>
      <c r="BE55" s="116" t="n"/>
      <c r="BF55" s="116" t="n"/>
      <c r="BG55" s="116" t="n"/>
      <c r="BH55" s="116" t="n"/>
      <c r="BI55" s="116" t="n"/>
      <c r="BJ55" s="116" t="n"/>
      <c r="BK55" s="116" t="n"/>
      <c r="BL55" s="116" t="n"/>
      <c r="BM55" s="116" t="n"/>
      <c r="BN55" s="116" t="n"/>
      <c r="BO55" s="116" t="n"/>
      <c r="BP55" s="116" t="n"/>
      <c r="BQ55" s="116" t="n"/>
      <c r="BR55" s="116" t="n"/>
      <c r="BS55" s="116" t="n"/>
      <c r="BT55" s="116" t="n"/>
      <c r="BU55" s="116" t="n"/>
      <c r="BV55" s="116" t="n"/>
      <c r="BW55" s="116" t="n"/>
      <c r="BX55" s="116" t="n"/>
      <c r="BY55" s="116" t="n"/>
      <c r="BZ55" s="116" t="n"/>
      <c r="CA55" s="116" t="n"/>
      <c r="DV55" s="6" t="n"/>
      <c r="EJ55" s="6" t="n"/>
      <c r="EK55" s="6" t="n"/>
      <c r="EM55" s="291" t="n"/>
      <c r="EN55" s="6" t="n"/>
      <c r="EO55" s="6" t="n"/>
      <c r="EP55" s="291" t="n"/>
      <c r="EQ55" s="6" t="n"/>
      <c r="ER55" s="291" t="n"/>
      <c r="ES55" s="6" t="n"/>
      <c r="ET55" s="6" t="n"/>
      <c r="EU55" s="6" t="n"/>
      <c r="EV55" s="6" t="n"/>
      <c r="EW55" s="6" t="n"/>
      <c r="EX55" s="6" t="n"/>
      <c r="EY55" s="6" t="n"/>
      <c r="EZ55" s="6" t="n"/>
      <c r="FA55" s="6" t="n"/>
      <c r="FB55" s="6" t="n"/>
      <c r="FC55" s="6" t="n"/>
      <c r="FD55" s="6" t="n"/>
    </row>
    <row r="56" hidden="1" ht="18.75" customHeight="1">
      <c r="A56" s="674" t="inlineStr">
        <is>
          <t>bot sun</t>
        </is>
      </c>
      <c r="B56" s="658" t="n"/>
      <c r="C56" s="658" t="n"/>
      <c r="D56" s="670" t="n"/>
      <c r="F56" s="116" t="n"/>
      <c r="G56" s="116" t="n"/>
      <c r="H56" s="116" t="n"/>
      <c r="I56" s="116" t="n"/>
      <c r="J56" s="116" t="n"/>
      <c r="K56" s="116" t="n"/>
      <c r="L56" s="116" t="n"/>
      <c r="M56" s="116" t="n"/>
      <c r="N56" s="116" t="n"/>
      <c r="O56" s="116" t="n"/>
      <c r="P56" s="116" t="n"/>
      <c r="Q56" s="116" t="n"/>
      <c r="R56" s="116" t="n"/>
      <c r="S56" s="116" t="n"/>
      <c r="T56" s="116" t="n"/>
      <c r="U56" s="116" t="n"/>
      <c r="V56" s="116" t="n"/>
      <c r="W56" s="116" t="n"/>
      <c r="X56" s="116" t="n"/>
      <c r="Y56" s="116" t="n"/>
      <c r="Z56" s="116" t="n"/>
      <c r="AA56" s="116" t="n"/>
      <c r="AB56" s="116" t="n"/>
      <c r="AC56" s="116" t="n"/>
      <c r="AD56" s="116" t="n"/>
      <c r="AE56" s="116" t="n"/>
      <c r="AF56" s="116" t="n"/>
      <c r="AG56" s="116" t="n"/>
      <c r="AH56" s="116" t="n"/>
      <c r="AI56" s="116" t="n"/>
      <c r="AJ56" s="116" t="n"/>
      <c r="AK56" s="116" t="n"/>
      <c r="AL56" s="116" t="n"/>
      <c r="AM56" s="116" t="n"/>
      <c r="AN56" s="116" t="n"/>
      <c r="AO56" s="116" t="n"/>
      <c r="AP56" s="116" t="n"/>
      <c r="AQ56" s="116" t="n"/>
      <c r="AR56" s="116" t="n"/>
      <c r="AS56" s="116" t="n"/>
      <c r="AT56" s="116" t="n"/>
      <c r="AU56" s="116" t="n"/>
      <c r="AV56" s="116" t="n"/>
      <c r="AW56" s="116" t="n"/>
      <c r="AX56" s="116" t="n"/>
      <c r="AY56" s="116" t="n"/>
      <c r="AZ56" s="116" t="n"/>
      <c r="BA56" s="116" t="n"/>
      <c r="BB56" s="116" t="n"/>
      <c r="BC56" s="116" t="n"/>
      <c r="BD56" s="116" t="n"/>
      <c r="BE56" s="116" t="n"/>
      <c r="BF56" s="116" t="n"/>
      <c r="BG56" s="116" t="n"/>
      <c r="BH56" s="116" t="n"/>
      <c r="BI56" s="116" t="n"/>
      <c r="BJ56" s="116" t="n"/>
      <c r="BK56" s="116" t="n"/>
      <c r="BL56" s="116" t="n"/>
      <c r="BM56" s="116" t="n"/>
      <c r="BN56" s="116" t="n"/>
      <c r="BO56" s="116" t="n"/>
      <c r="BP56" s="116" t="n"/>
      <c r="BQ56" s="116" t="n"/>
      <c r="BR56" s="116" t="n"/>
      <c r="BS56" s="116" t="n"/>
      <c r="BT56" s="116" t="n"/>
      <c r="BU56" s="116" t="n"/>
      <c r="BV56" s="116" t="n"/>
      <c r="BW56" s="116" t="n"/>
      <c r="BX56" s="116" t="n"/>
      <c r="BY56" s="116" t="n"/>
      <c r="BZ56" s="116" t="n"/>
      <c r="CA56" s="116" t="n"/>
      <c r="CL56" s="6" t="n"/>
      <c r="CN56" s="6" t="n"/>
      <c r="CP56" s="6" t="n"/>
      <c r="CQ56" s="6" t="n"/>
      <c r="CS56" s="6" t="n"/>
      <c r="CT56" s="6" t="n"/>
      <c r="CU56" s="6" t="n"/>
      <c r="CV56" s="6" t="n"/>
      <c r="CW56" s="6" t="n"/>
      <c r="CX56" s="6" t="n"/>
      <c r="CY56" s="6" t="n"/>
      <c r="CZ56" s="6" t="n"/>
      <c r="DA56" s="6" t="n"/>
      <c r="DB56" s="6" t="n"/>
      <c r="DC56" s="6" t="n"/>
      <c r="DD56" s="6" t="n"/>
      <c r="DE56" s="6" t="n"/>
      <c r="DG56" s="6" t="n"/>
      <c r="DI56" s="6" t="n"/>
      <c r="DJ56" s="6" t="n"/>
      <c r="DK56" s="6" t="n"/>
      <c r="DL56" s="6" t="n"/>
      <c r="DM56" s="6" t="n"/>
      <c r="DN56" s="6" t="n"/>
      <c r="DO56" s="6" t="n"/>
      <c r="DP56" s="6" t="n"/>
      <c r="DQ56" s="6" t="n"/>
      <c r="DR56" s="6" t="n"/>
      <c r="DS56" s="6" t="n"/>
      <c r="DU56" s="6" t="n"/>
      <c r="DW56" s="6" t="n"/>
      <c r="DX56" s="6" t="n"/>
      <c r="DY56" s="6" t="n"/>
      <c r="EA56" s="6" t="n"/>
      <c r="ED56" s="57" t="n"/>
      <c r="EE56" s="57" t="n"/>
      <c r="EF56" s="57" t="n"/>
      <c r="EG56" s="57" t="n"/>
      <c r="EH56" s="57" t="n"/>
      <c r="EI56" s="57" t="n"/>
      <c r="EL56" s="57" t="n"/>
      <c r="EM56" s="291" t="n"/>
      <c r="EP56" s="291" t="n"/>
      <c r="ER56" s="291" t="n"/>
    </row>
    <row r="57" hidden="1" ht="18.75" customHeight="1">
      <c r="A57" s="674" t="inlineStr">
        <is>
          <t>Cuide-se Bem de Leite</t>
        </is>
      </c>
      <c r="B57" s="658" t="n"/>
      <c r="C57" s="658" t="n"/>
      <c r="D57" s="670" t="n"/>
      <c r="F57" s="116" t="n"/>
      <c r="G57" s="116" t="n"/>
      <c r="H57" s="116" t="n"/>
      <c r="I57" s="116" t="n"/>
      <c r="J57" s="116" t="n"/>
      <c r="K57" s="116" t="n"/>
      <c r="L57" s="116" t="n"/>
      <c r="M57" s="116" t="n"/>
      <c r="N57" s="116" t="n"/>
      <c r="O57" s="116" t="n"/>
      <c r="P57" s="116" t="n"/>
      <c r="Q57" s="116" t="n"/>
      <c r="R57" s="116" t="n"/>
      <c r="S57" s="116" t="n"/>
      <c r="T57" s="116" t="n"/>
      <c r="U57" s="116" t="n"/>
      <c r="V57" s="116" t="n"/>
      <c r="W57" s="116" t="n"/>
      <c r="X57" s="116" t="n"/>
      <c r="Y57" s="116" t="n"/>
      <c r="Z57" s="116" t="n"/>
      <c r="AA57" s="116" t="n"/>
      <c r="AB57" s="116" t="n"/>
      <c r="AC57" s="116" t="n"/>
      <c r="AD57" s="116" t="n"/>
      <c r="AE57" s="116" t="n"/>
      <c r="AF57" s="116" t="n"/>
      <c r="AG57" s="116" t="n"/>
      <c r="AH57" s="116" t="n"/>
      <c r="AI57" s="116" t="n"/>
      <c r="AJ57" s="116" t="n"/>
      <c r="AK57" s="116" t="n"/>
      <c r="AL57" s="116" t="n"/>
      <c r="AM57" s="116" t="n"/>
      <c r="AN57" s="116" t="n"/>
      <c r="AO57" s="116" t="n"/>
      <c r="AP57" s="116" t="n"/>
      <c r="AQ57" s="116" t="n"/>
      <c r="AR57" s="116" t="n"/>
      <c r="AS57" s="116" t="n"/>
      <c r="AT57" s="116" t="n"/>
      <c r="AU57" s="116" t="n"/>
      <c r="AV57" s="116" t="n"/>
      <c r="AW57" s="116" t="n"/>
      <c r="AX57" s="116" t="n"/>
      <c r="AY57" s="116" t="n"/>
      <c r="AZ57" s="116" t="n"/>
      <c r="BA57" s="116" t="n"/>
      <c r="BB57" s="116" t="n"/>
      <c r="BC57" s="116" t="n"/>
      <c r="BD57" s="116" t="n"/>
      <c r="BE57" s="116" t="n"/>
      <c r="BF57" s="116" t="n"/>
      <c r="BG57" s="116" t="n"/>
      <c r="BH57" s="116" t="n"/>
      <c r="BI57" s="116" t="n"/>
      <c r="BJ57" s="116" t="n"/>
      <c r="BK57" s="116" t="n"/>
      <c r="BL57" s="116" t="n"/>
      <c r="BM57" s="116" t="n"/>
      <c r="BN57" s="116" t="n"/>
      <c r="BO57" s="116" t="n"/>
      <c r="BP57" s="116" t="n"/>
      <c r="BQ57" s="116" t="n"/>
      <c r="BR57" s="116" t="n"/>
      <c r="BS57" s="116" t="n"/>
      <c r="BT57" s="116" t="n"/>
      <c r="BU57" s="116" t="n"/>
      <c r="BV57" s="116" t="n"/>
      <c r="BW57" s="116" t="n"/>
      <c r="BX57" s="116" t="n"/>
      <c r="BY57" s="116" t="n"/>
      <c r="BZ57" s="116" t="n"/>
      <c r="CA57" s="116" t="n"/>
      <c r="DV57" s="6" t="n"/>
      <c r="ED57" s="57" t="n"/>
      <c r="EE57" s="57" t="n"/>
      <c r="EF57" s="57" t="n"/>
      <c r="EG57" s="57" t="n"/>
      <c r="EH57" s="57" t="n"/>
      <c r="EI57" s="57" t="n"/>
      <c r="EJ57" s="6" t="n"/>
      <c r="EK57" s="6" t="n"/>
      <c r="EL57" s="57" t="n"/>
      <c r="EM57" s="291" t="n"/>
      <c r="EN57" s="6" t="n"/>
      <c r="EO57" s="6" t="n"/>
      <c r="EP57" s="291" t="n"/>
      <c r="EQ57" s="6" t="n"/>
      <c r="ER57" s="291" t="n"/>
      <c r="ES57" s="6" t="n"/>
      <c r="ET57" s="6" t="n"/>
      <c r="EU57" s="6" t="n"/>
      <c r="EV57" s="6" t="n"/>
      <c r="EW57" s="6" t="n"/>
      <c r="EX57" s="6" t="n"/>
      <c r="EY57" s="6" t="n"/>
      <c r="EZ57" s="6" t="n"/>
      <c r="FA57" s="6" t="n"/>
      <c r="FB57" s="6" t="n"/>
      <c r="FC57" s="6" t="n"/>
      <c r="FD57" s="6" t="n"/>
    </row>
    <row r="58" hidden="1" ht="18.75" customHeight="1">
      <c r="A58" s="674" t="inlineStr">
        <is>
          <t>Cuide-se Bem Rosa e Algodão</t>
        </is>
      </c>
      <c r="B58" s="658" t="n"/>
      <c r="C58" s="658" t="n"/>
      <c r="D58" s="670" t="n"/>
      <c r="F58" s="116" t="n"/>
      <c r="G58" s="116" t="n"/>
      <c r="H58" s="116" t="n"/>
      <c r="I58" s="116" t="n"/>
      <c r="J58" s="116" t="n"/>
      <c r="K58" s="116" t="n"/>
      <c r="L58" s="116" t="n"/>
      <c r="M58" s="116" t="n"/>
      <c r="N58" s="116" t="n"/>
      <c r="O58" s="116" t="n"/>
      <c r="P58" s="116" t="n"/>
      <c r="Q58" s="116" t="n"/>
      <c r="R58" s="116" t="n"/>
      <c r="S58" s="116" t="n"/>
      <c r="T58" s="116" t="n"/>
      <c r="U58" s="116" t="n"/>
      <c r="V58" s="116" t="n"/>
      <c r="W58" s="116" t="n"/>
      <c r="X58" s="116" t="n"/>
      <c r="Y58" s="116" t="n"/>
      <c r="Z58" s="116" t="n"/>
      <c r="AA58" s="116" t="n"/>
      <c r="AB58" s="116" t="n"/>
      <c r="AC58" s="116" t="n"/>
      <c r="AD58" s="116" t="n"/>
      <c r="AE58" s="116" t="n"/>
      <c r="AF58" s="116" t="n"/>
      <c r="AG58" s="116" t="n"/>
      <c r="AH58" s="116" t="n"/>
      <c r="AI58" s="116" t="n"/>
      <c r="AJ58" s="116" t="n"/>
      <c r="AK58" s="116" t="n"/>
      <c r="AL58" s="116" t="n"/>
      <c r="AM58" s="116" t="n"/>
      <c r="AN58" s="116" t="n"/>
      <c r="AO58" s="116" t="n"/>
      <c r="AP58" s="116" t="n"/>
      <c r="AQ58" s="116" t="n"/>
      <c r="AR58" s="116" t="n"/>
      <c r="AS58" s="116" t="n"/>
      <c r="AT58" s="116" t="n"/>
      <c r="AU58" s="116" t="n"/>
      <c r="AV58" s="116" t="n"/>
      <c r="AW58" s="116" t="n"/>
      <c r="AX58" s="116" t="n"/>
      <c r="AY58" s="116" t="n"/>
      <c r="AZ58" s="116" t="n"/>
      <c r="BA58" s="116" t="n"/>
      <c r="BB58" s="116" t="n"/>
      <c r="BC58" s="116" t="n"/>
      <c r="BD58" s="116" t="n"/>
      <c r="BE58" s="116" t="n"/>
      <c r="BF58" s="116" t="n"/>
      <c r="BG58" s="116" t="n"/>
      <c r="BH58" s="116" t="n"/>
      <c r="BI58" s="116" t="n"/>
      <c r="BJ58" s="116" t="n"/>
      <c r="BK58" s="116" t="n"/>
      <c r="BL58" s="116" t="n"/>
      <c r="BM58" s="116" t="n"/>
      <c r="BN58" s="116" t="n"/>
      <c r="BO58" s="116" t="n"/>
      <c r="BP58" s="116" t="n"/>
      <c r="BQ58" s="116" t="n"/>
      <c r="BR58" s="116" t="n"/>
      <c r="BS58" s="116" t="n"/>
      <c r="BT58" s="116" t="n"/>
      <c r="BU58" s="116" t="n"/>
      <c r="BV58" s="116" t="n"/>
      <c r="BW58" s="116" t="n"/>
      <c r="BX58" s="116" t="n"/>
      <c r="BY58" s="116" t="n"/>
      <c r="BZ58" s="116" t="n"/>
      <c r="CA58" s="116" t="n"/>
      <c r="EB58" s="6" t="n"/>
      <c r="ED58" s="57" t="n"/>
      <c r="EE58" s="57" t="n"/>
      <c r="EF58" s="57" t="n"/>
      <c r="EG58" s="57" t="n"/>
      <c r="EH58" s="57" t="n"/>
      <c r="EI58" s="57" t="n"/>
      <c r="EJ58" s="6" t="n"/>
      <c r="EK58" s="6" t="n"/>
      <c r="EL58" s="57" t="n"/>
      <c r="EM58" s="289" t="n"/>
      <c r="EN58" s="6" t="n"/>
      <c r="EO58" s="6" t="n"/>
      <c r="EP58" s="291" t="n"/>
      <c r="EQ58" s="6" t="n"/>
      <c r="ER58" s="291" t="n"/>
      <c r="ES58" s="6" t="n"/>
      <c r="ET58" s="6" t="n"/>
      <c r="EU58" s="6" t="n"/>
      <c r="EV58" s="6" t="n"/>
      <c r="EW58" s="6" t="n"/>
      <c r="EX58" s="6" t="n"/>
      <c r="EY58" s="6" t="n"/>
      <c r="EZ58" s="6" t="n"/>
      <c r="FA58" s="6" t="n"/>
      <c r="FB58" s="6" t="n"/>
      <c r="FC58" s="6" t="n"/>
      <c r="FD58" s="6" t="n"/>
    </row>
    <row r="59" hidden="1" ht="18.75" customHeight="1">
      <c r="A59" s="674" t="inlineStr">
        <is>
          <t>Cuide-se Bem Hidratante Nuvem</t>
        </is>
      </c>
      <c r="B59" s="658" t="n"/>
      <c r="C59" s="658" t="n"/>
      <c r="D59" s="670" t="n"/>
      <c r="F59" s="116" t="n"/>
      <c r="G59" s="116" t="n"/>
      <c r="H59" s="116" t="n"/>
      <c r="I59" s="116" t="n"/>
      <c r="J59" s="116" t="n"/>
      <c r="K59" s="116" t="n"/>
      <c r="L59" s="116" t="n"/>
      <c r="M59" s="116" t="n"/>
      <c r="N59" s="116" t="n"/>
      <c r="O59" s="116" t="n"/>
      <c r="P59" s="116" t="n"/>
      <c r="Q59" s="116" t="n"/>
      <c r="R59" s="116" t="n"/>
      <c r="S59" s="116" t="n"/>
      <c r="T59" s="116" t="n"/>
      <c r="U59" s="116" t="n"/>
      <c r="V59" s="116" t="n"/>
      <c r="W59" s="116" t="n"/>
      <c r="X59" s="116" t="n"/>
      <c r="Y59" s="116" t="n"/>
      <c r="Z59" s="116" t="n"/>
      <c r="AA59" s="116" t="n"/>
      <c r="AB59" s="116" t="n"/>
      <c r="AC59" s="116" t="n"/>
      <c r="AD59" s="116" t="n"/>
      <c r="AE59" s="116" t="n"/>
      <c r="AF59" s="116" t="n"/>
      <c r="AG59" s="116" t="n"/>
      <c r="AH59" s="116" t="n"/>
      <c r="AI59" s="116" t="n"/>
      <c r="AJ59" s="116" t="n"/>
      <c r="AK59" s="116" t="n"/>
      <c r="AL59" s="116" t="n"/>
      <c r="AM59" s="116" t="n"/>
      <c r="AN59" s="116" t="n"/>
      <c r="AO59" s="116" t="n"/>
      <c r="AP59" s="116" t="n"/>
      <c r="AQ59" s="116" t="n"/>
      <c r="AR59" s="116" t="n"/>
      <c r="AS59" s="116" t="n"/>
      <c r="AT59" s="116" t="n"/>
      <c r="AU59" s="116" t="n"/>
      <c r="AV59" s="116" t="n"/>
      <c r="AW59" s="116" t="n"/>
      <c r="AX59" s="116" t="n"/>
      <c r="AY59" s="116" t="n"/>
      <c r="AZ59" s="116" t="n"/>
      <c r="BA59" s="116" t="n"/>
      <c r="BB59" s="116" t="n"/>
      <c r="BC59" s="116" t="n"/>
      <c r="BD59" s="116" t="n"/>
      <c r="BE59" s="116" t="n"/>
      <c r="BF59" s="116" t="n"/>
      <c r="BG59" s="116" t="n"/>
      <c r="BH59" s="116" t="n"/>
      <c r="BI59" s="116" t="n"/>
      <c r="BJ59" s="116" t="n"/>
      <c r="BK59" s="116" t="n"/>
      <c r="BL59" s="116" t="n"/>
      <c r="BM59" s="116" t="n"/>
      <c r="BN59" s="116" t="n"/>
      <c r="BO59" s="116" t="n"/>
      <c r="BP59" s="116" t="n"/>
      <c r="BQ59" s="116" t="n"/>
      <c r="BR59" s="116" t="n"/>
      <c r="BS59" s="116" t="n"/>
      <c r="BT59" s="116" t="n"/>
      <c r="BU59" s="116" t="n"/>
      <c r="BV59" s="116" t="n"/>
      <c r="BW59" s="116" t="n"/>
      <c r="BX59" s="116" t="n"/>
      <c r="BY59" s="116" t="n"/>
      <c r="BZ59" s="116" t="n"/>
      <c r="CA59" s="116" t="n"/>
      <c r="CL59" s="57" t="n"/>
      <c r="CN59" s="57" t="n"/>
      <c r="CP59" s="57" t="n"/>
      <c r="CQ59" s="57" t="n"/>
      <c r="CS59" s="57" t="n"/>
      <c r="CT59" s="57" t="n"/>
      <c r="CU59" s="57" t="n"/>
      <c r="CV59" s="57" t="n"/>
      <c r="CW59" s="57" t="n"/>
      <c r="CX59" s="57" t="n"/>
      <c r="CY59" s="57" t="n"/>
      <c r="CZ59" s="57" t="n"/>
      <c r="DA59" s="57" t="n"/>
      <c r="DB59" s="57" t="n"/>
      <c r="DC59" s="57" t="n"/>
      <c r="DD59" s="57" t="n"/>
      <c r="DE59" s="57" t="n"/>
      <c r="DG59" s="57" t="n"/>
      <c r="DI59" s="57" t="n"/>
      <c r="DJ59" s="57" t="n"/>
      <c r="DK59" s="57" t="n"/>
      <c r="DL59" s="57" t="n"/>
      <c r="DM59" s="57" t="n"/>
      <c r="DN59" s="57" t="n"/>
      <c r="DO59" s="57" t="n"/>
      <c r="DP59" s="57" t="n"/>
      <c r="DQ59" s="57" t="n"/>
      <c r="DR59" s="57" t="n"/>
      <c r="DS59" s="57" t="n"/>
      <c r="DT59" s="6" t="n"/>
      <c r="DU59" s="57" t="n"/>
      <c r="DW59" s="57" t="n"/>
      <c r="DX59" s="57" t="n"/>
      <c r="DY59" s="57" t="n"/>
      <c r="DZ59" s="6" t="n"/>
      <c r="EA59" s="57" t="n"/>
      <c r="EB59" s="6" t="n"/>
      <c r="EC59" s="6" t="n"/>
      <c r="EM59" s="289" t="n"/>
      <c r="EP59" s="289" t="n"/>
      <c r="ER59" s="289" t="n"/>
    </row>
    <row r="60" hidden="1" ht="18.75" customHeight="1">
      <c r="A60" s="674" t="inlineStr">
        <is>
          <t>MALBEC ICON</t>
        </is>
      </c>
      <c r="B60" s="658" t="n"/>
      <c r="C60" s="658" t="n"/>
      <c r="D60" s="670" t="n"/>
      <c r="F60" s="116" t="n">
        <v>47</v>
      </c>
      <c r="G60" s="116" t="n">
        <v>47</v>
      </c>
      <c r="H60" s="116" t="n">
        <v>0</v>
      </c>
      <c r="I60" s="116" t="n">
        <v>0</v>
      </c>
      <c r="J60" s="116" t="n">
        <v>0</v>
      </c>
      <c r="K60" s="116" t="n">
        <v>28</v>
      </c>
      <c r="L60" s="116" t="n">
        <v>28</v>
      </c>
      <c r="M60" s="116" t="n">
        <v>28</v>
      </c>
      <c r="N60" s="116" t="n">
        <v>28</v>
      </c>
      <c r="O60" s="116" t="n">
        <v>28</v>
      </c>
      <c r="P60" s="116" t="n">
        <v>28</v>
      </c>
      <c r="Q60" s="116" t="n">
        <v>18</v>
      </c>
      <c r="R60" s="116" t="n">
        <v>18</v>
      </c>
      <c r="S60" s="116" t="n">
        <v>18</v>
      </c>
      <c r="T60" s="116" t="n">
        <v>13</v>
      </c>
      <c r="U60" s="116" t="n">
        <v>13</v>
      </c>
      <c r="V60" s="116" t="n">
        <v>13</v>
      </c>
      <c r="W60" s="116" t="n">
        <v>13</v>
      </c>
      <c r="X60" s="116" t="n">
        <v>13</v>
      </c>
      <c r="Y60" s="116" t="n">
        <v>13</v>
      </c>
      <c r="Z60" s="116" t="n">
        <v>13</v>
      </c>
      <c r="AA60" s="116" t="n">
        <v>9</v>
      </c>
      <c r="AB60" s="116" t="n">
        <v>9</v>
      </c>
      <c r="AC60" s="116" t="n">
        <v>9</v>
      </c>
      <c r="AD60" s="116" t="n">
        <v>9</v>
      </c>
      <c r="AE60" s="116" t="n">
        <v>9</v>
      </c>
      <c r="AF60" s="116" t="n">
        <v>9</v>
      </c>
      <c r="AG60" s="116" t="n">
        <v>0</v>
      </c>
      <c r="AH60" s="116" t="n">
        <v>0</v>
      </c>
      <c r="AI60" s="116" t="n"/>
      <c r="AJ60" s="116" t="n"/>
      <c r="AK60" s="116" t="n"/>
      <c r="AL60" s="116" t="n"/>
      <c r="AM60" s="116" t="n"/>
      <c r="AN60" s="116" t="n"/>
      <c r="AO60" s="116" t="n"/>
      <c r="AP60" s="116" t="n"/>
      <c r="AQ60" s="116" t="n"/>
      <c r="AR60" s="116" t="n"/>
      <c r="AS60" s="116" t="n"/>
      <c r="AT60" s="116" t="n"/>
      <c r="AU60" s="116" t="n"/>
      <c r="AV60" s="116" t="n"/>
      <c r="AW60" s="116" t="n"/>
      <c r="AX60" s="116" t="n"/>
      <c r="AY60" s="116" t="n"/>
      <c r="AZ60" s="116" t="n"/>
      <c r="BA60" s="116" t="n"/>
      <c r="BB60" s="116" t="n"/>
      <c r="BC60" s="116" t="n"/>
      <c r="BD60" s="116" t="n"/>
      <c r="BE60" s="116" t="n"/>
      <c r="BF60" s="116" t="n"/>
      <c r="BG60" s="116" t="n"/>
      <c r="BH60" s="116" t="n"/>
      <c r="BI60" s="116" t="n"/>
      <c r="BJ60" s="116" t="n"/>
      <c r="BK60" s="116" t="n"/>
      <c r="BL60" s="116" t="n"/>
      <c r="BM60" s="116" t="n"/>
      <c r="BN60" s="116" t="n"/>
      <c r="BO60" s="116" t="n"/>
      <c r="BP60" s="116" t="n"/>
      <c r="BQ60" s="116" t="n"/>
      <c r="BR60" s="116" t="n"/>
      <c r="BS60" s="116" t="n"/>
      <c r="BT60" s="116" t="n"/>
      <c r="BU60" s="116" t="n"/>
      <c r="BV60" s="116" t="n"/>
      <c r="BW60" s="116" t="n"/>
      <c r="BX60" s="116" t="n"/>
      <c r="BY60" s="116" t="n"/>
      <c r="BZ60" s="116" t="n"/>
      <c r="CA60" s="116" t="n"/>
      <c r="CL60" s="57" t="n"/>
      <c r="CN60" s="57" t="n"/>
      <c r="CP60" s="57" t="n"/>
      <c r="CQ60" s="57" t="n"/>
      <c r="CS60" s="57" t="n"/>
      <c r="CT60" s="57" t="n"/>
      <c r="CU60" s="57" t="n"/>
      <c r="CV60" s="57" t="n"/>
      <c r="CW60" s="57" t="n"/>
      <c r="CX60" s="57" t="n"/>
      <c r="CY60" s="57" t="n"/>
      <c r="CZ60" s="57" t="n"/>
      <c r="DA60" s="57" t="n"/>
      <c r="DB60" s="57" t="n"/>
      <c r="DC60" s="57" t="n"/>
      <c r="DD60" s="57" t="n"/>
      <c r="DE60" s="57" t="n"/>
      <c r="DG60" s="57" t="n"/>
      <c r="DI60" s="57" t="n"/>
      <c r="DJ60" s="57" t="n"/>
      <c r="DK60" s="57" t="n"/>
      <c r="DL60" s="57" t="n"/>
      <c r="DM60" s="57" t="n"/>
      <c r="DN60" s="57" t="n"/>
      <c r="DO60" s="57" t="n"/>
      <c r="DP60" s="57" t="n"/>
      <c r="DQ60" s="57" t="n"/>
      <c r="DR60" s="57" t="n"/>
      <c r="DS60" s="57" t="n"/>
      <c r="DT60" s="6" t="n"/>
      <c r="DU60" s="57" t="n"/>
      <c r="DV60" s="57" t="n"/>
      <c r="DW60" s="57" t="n"/>
      <c r="DX60" s="57" t="n"/>
      <c r="DY60" s="57" t="n"/>
      <c r="DZ60" s="6" t="n"/>
      <c r="EA60" s="57" t="n"/>
      <c r="EB60" s="6" t="n"/>
      <c r="EC60" s="6" t="n"/>
      <c r="EM60" s="289" t="n"/>
      <c r="EP60" s="289" t="n"/>
      <c r="ER60" s="289" t="n"/>
    </row>
    <row r="61">
      <c r="A61" s="674" t="inlineStr">
        <is>
          <t>COFFEE ADDICTIVE</t>
        </is>
      </c>
      <c r="B61" s="658" t="n"/>
      <c r="C61" s="658" t="n"/>
      <c r="D61" s="670" t="n"/>
      <c r="F61" s="116" t="n">
        <v>96</v>
      </c>
      <c r="G61" s="116" t="n">
        <v>96</v>
      </c>
      <c r="H61" s="116" t="n">
        <v>0</v>
      </c>
      <c r="I61" s="116" t="n">
        <v>0</v>
      </c>
      <c r="J61" s="116" t="n">
        <v>0</v>
      </c>
      <c r="K61" s="116" t="n">
        <v>101</v>
      </c>
      <c r="L61" s="116" t="n">
        <v>101</v>
      </c>
      <c r="M61" s="116" t="n">
        <v>101</v>
      </c>
      <c r="N61" s="116" t="n">
        <v>101</v>
      </c>
      <c r="O61" s="116" t="n">
        <v>101</v>
      </c>
      <c r="P61" s="116" t="n">
        <v>101</v>
      </c>
      <c r="Q61" s="116" t="n">
        <v>80</v>
      </c>
      <c r="R61" s="116" t="n">
        <v>80</v>
      </c>
      <c r="S61" s="116" t="n">
        <v>80</v>
      </c>
      <c r="T61" s="116" t="n">
        <v>70</v>
      </c>
      <c r="U61" s="116" t="n">
        <v>70</v>
      </c>
      <c r="V61" s="116" t="n">
        <v>70</v>
      </c>
      <c r="W61" s="116" t="n">
        <v>70</v>
      </c>
      <c r="X61" s="116" t="n">
        <v>70</v>
      </c>
      <c r="Y61" s="116" t="n">
        <v>70</v>
      </c>
      <c r="Z61" s="116" t="n">
        <v>70</v>
      </c>
      <c r="AA61" s="116" t="n">
        <v>56</v>
      </c>
      <c r="AB61" s="116" t="n">
        <v>55</v>
      </c>
      <c r="AC61" s="116" t="n">
        <v>55</v>
      </c>
      <c r="AD61" s="116" t="n">
        <v>40</v>
      </c>
      <c r="AE61" s="116" t="n">
        <v>40</v>
      </c>
      <c r="AF61" s="116" t="n">
        <v>40</v>
      </c>
      <c r="AG61" s="116" t="n">
        <v>40</v>
      </c>
      <c r="AH61" s="116" t="n">
        <v>40</v>
      </c>
      <c r="AI61" s="116" t="n">
        <v>40</v>
      </c>
      <c r="AJ61" s="116" t="n">
        <v>30</v>
      </c>
      <c r="AK61" s="116" t="n">
        <v>30</v>
      </c>
      <c r="AL61" s="116" t="n">
        <v>30</v>
      </c>
      <c r="AM61" s="116" t="n">
        <v>30</v>
      </c>
      <c r="AN61" s="116" t="n">
        <v>30</v>
      </c>
      <c r="AO61" s="116" t="n">
        <v>30</v>
      </c>
      <c r="AP61" s="116" t="n">
        <v>20</v>
      </c>
      <c r="AQ61" s="116" t="n">
        <v>20</v>
      </c>
      <c r="AR61" s="116" t="n">
        <v>20</v>
      </c>
      <c r="AS61" s="116" t="n">
        <v>10</v>
      </c>
      <c r="AT61" s="116" t="n">
        <v>13</v>
      </c>
      <c r="AU61" s="116" t="n">
        <v>13</v>
      </c>
      <c r="AV61" s="116" t="n">
        <v>13</v>
      </c>
      <c r="AW61" s="116" t="n">
        <v>13</v>
      </c>
      <c r="AX61" s="116" t="n">
        <v>13</v>
      </c>
      <c r="AY61" s="116" t="n">
        <v>13</v>
      </c>
      <c r="AZ61" s="116" t="n">
        <v>13</v>
      </c>
      <c r="BA61" s="116" t="n">
        <v>13</v>
      </c>
      <c r="BB61" s="116" t="n">
        <v>13</v>
      </c>
      <c r="BC61" s="116" t="n">
        <v>13</v>
      </c>
      <c r="BD61" s="116" t="n">
        <v>0</v>
      </c>
      <c r="BE61" s="116" t="n">
        <v>0</v>
      </c>
      <c r="BF61" s="116" t="n">
        <v>0</v>
      </c>
      <c r="BG61" s="116" t="n">
        <v>0</v>
      </c>
      <c r="BH61" s="116" t="n">
        <v>0</v>
      </c>
      <c r="BI61" s="116" t="n">
        <v>0</v>
      </c>
      <c r="BJ61" s="116" t="n">
        <v>0</v>
      </c>
      <c r="BK61" s="116" t="n">
        <v>0</v>
      </c>
      <c r="BL61" s="116" t="n">
        <v>0</v>
      </c>
      <c r="BM61" s="116" t="n">
        <v>0</v>
      </c>
      <c r="BN61" s="116" t="n">
        <v>0</v>
      </c>
      <c r="BO61" s="116" t="n">
        <v>0</v>
      </c>
      <c r="BP61" s="116" t="n">
        <v>0</v>
      </c>
      <c r="BQ61" s="116" t="n">
        <v>0</v>
      </c>
      <c r="BR61" s="116" t="n">
        <v>0</v>
      </c>
      <c r="BS61" s="116" t="n">
        <v>0</v>
      </c>
      <c r="BT61" s="116" t="n">
        <v>0</v>
      </c>
      <c r="BU61" s="116" t="n">
        <v>0</v>
      </c>
      <c r="BV61" s="116" t="n">
        <v>0</v>
      </c>
      <c r="BW61" s="116" t="n">
        <v>0</v>
      </c>
      <c r="BX61" s="116" t="n">
        <v>0</v>
      </c>
      <c r="BY61" s="116" t="n">
        <v>0</v>
      </c>
      <c r="BZ61" s="116" t="n"/>
      <c r="CA61" s="116" t="n"/>
      <c r="CL61" s="57" t="n"/>
      <c r="CN61" s="57" t="n"/>
      <c r="CP61" s="57" t="n"/>
      <c r="CQ61" s="57" t="n"/>
      <c r="CS61" s="57" t="n"/>
      <c r="CT61" s="57" t="n"/>
      <c r="CU61" s="57" t="n"/>
      <c r="CV61" s="57" t="n"/>
      <c r="CW61" s="57" t="n"/>
      <c r="CX61" s="57" t="n"/>
      <c r="CY61" s="57" t="n"/>
      <c r="CZ61" s="57" t="n"/>
      <c r="DA61" s="57" t="n"/>
      <c r="DB61" s="57" t="n"/>
      <c r="DC61" s="57" t="n"/>
      <c r="DD61" s="57" t="n"/>
      <c r="DE61" s="57" t="n"/>
      <c r="DG61" s="57" t="n"/>
      <c r="DI61" s="57" t="n"/>
      <c r="DJ61" s="57" t="n"/>
      <c r="DK61" s="57" t="n"/>
      <c r="DL61" s="57" t="n"/>
      <c r="DM61" s="57" t="n"/>
      <c r="DN61" s="57" t="n"/>
      <c r="DO61" s="57" t="n"/>
      <c r="DP61" s="57" t="n"/>
      <c r="DQ61" s="57" t="n"/>
      <c r="DR61" s="57" t="n"/>
      <c r="DS61" s="57" t="n"/>
      <c r="DT61" s="6" t="n"/>
      <c r="DU61" s="57" t="n"/>
      <c r="DV61" s="57" t="n"/>
      <c r="DW61" s="57" t="n"/>
      <c r="DX61" s="57" t="n"/>
      <c r="DY61" s="57" t="n"/>
      <c r="DZ61" s="6" t="n"/>
      <c r="EA61" s="57" t="n"/>
      <c r="EC61" s="6" t="n"/>
      <c r="EJ61" s="57" t="n"/>
      <c r="EK61" s="57" t="n"/>
      <c r="EN61" s="57" t="n"/>
      <c r="EO61" s="57" t="n"/>
      <c r="EP61" s="289" t="n"/>
      <c r="EQ61" s="57" t="n"/>
      <c r="ER61" s="289" t="n"/>
      <c r="ES61" s="57" t="n"/>
      <c r="ET61" s="57" t="n"/>
      <c r="EU61" s="57" t="n"/>
      <c r="EV61" s="57" t="n"/>
      <c r="EW61" s="57" t="n"/>
      <c r="EX61" s="57" t="n"/>
      <c r="EY61" s="57" t="n"/>
      <c r="EZ61" s="57" t="n"/>
      <c r="FA61" s="57" t="n"/>
      <c r="FB61" s="57" t="n"/>
      <c r="FC61" s="57" t="n"/>
      <c r="FD61" s="57" t="n"/>
    </row>
    <row r="62" hidden="1" ht="18.75" customHeight="1">
      <c r="A62" s="674" t="inlineStr">
        <is>
          <t>HER CODE TOUCH</t>
        </is>
      </c>
      <c r="B62" s="658" t="n"/>
      <c r="C62" s="658" t="n"/>
      <c r="D62" s="670" t="n"/>
      <c r="F62" s="116" t="n">
        <v>60</v>
      </c>
      <c r="G62" s="116" t="n">
        <v>60</v>
      </c>
      <c r="H62" s="116" t="n">
        <v>0</v>
      </c>
      <c r="I62" s="116" t="n">
        <v>0</v>
      </c>
      <c r="J62" s="116" t="n">
        <v>0</v>
      </c>
      <c r="K62" s="116" t="n">
        <v>44</v>
      </c>
      <c r="L62" s="116" t="n">
        <v>44</v>
      </c>
      <c r="M62" s="116" t="n">
        <v>44</v>
      </c>
      <c r="N62" s="116" t="n">
        <v>44</v>
      </c>
      <c r="O62" s="116" t="n">
        <v>44</v>
      </c>
      <c r="P62" s="116" t="n">
        <v>44</v>
      </c>
      <c r="Q62" s="116" t="n">
        <v>34</v>
      </c>
      <c r="R62" s="116" t="n">
        <v>34</v>
      </c>
      <c r="S62" s="116" t="n">
        <v>34</v>
      </c>
      <c r="T62" s="116" t="n">
        <v>15</v>
      </c>
      <c r="U62" s="116" t="n">
        <v>15</v>
      </c>
      <c r="V62" s="116" t="n">
        <v>15</v>
      </c>
      <c r="W62" s="116" t="n">
        <v>15</v>
      </c>
      <c r="X62" s="116" t="n">
        <v>15</v>
      </c>
      <c r="Y62" s="116" t="n">
        <v>15</v>
      </c>
      <c r="Z62" s="116" t="n">
        <v>15</v>
      </c>
      <c r="AA62" s="116" t="n">
        <v>0</v>
      </c>
      <c r="AB62" s="116" t="n">
        <v>0</v>
      </c>
      <c r="AC62" s="116" t="n">
        <v>0</v>
      </c>
      <c r="AD62" s="116" t="n">
        <v>0</v>
      </c>
      <c r="AE62" s="116" t="n">
        <v>0</v>
      </c>
      <c r="AF62" s="116" t="n">
        <v>0</v>
      </c>
      <c r="AG62" s="116" t="n">
        <v>0</v>
      </c>
      <c r="AH62" s="116" t="n">
        <v>0</v>
      </c>
      <c r="AI62" s="116" t="n"/>
      <c r="AJ62" s="116" t="n"/>
      <c r="AK62" s="116" t="n"/>
      <c r="AL62" s="116" t="n"/>
      <c r="AM62" s="116" t="n"/>
      <c r="AN62" s="116" t="n"/>
      <c r="AO62" s="116" t="n"/>
      <c r="AP62" s="116" t="n"/>
      <c r="AQ62" s="116" t="n"/>
      <c r="AR62" s="116" t="n"/>
      <c r="AS62" s="116" t="n"/>
      <c r="AT62" s="116" t="n"/>
      <c r="AU62" s="116" t="n"/>
      <c r="AV62" s="116" t="n"/>
      <c r="AW62" s="116" t="n"/>
      <c r="AX62" s="116" t="n"/>
      <c r="AY62" s="116" t="n"/>
      <c r="AZ62" s="116" t="n"/>
      <c r="BA62" s="116" t="n"/>
      <c r="BB62" s="116" t="n"/>
      <c r="BC62" s="116" t="n"/>
      <c r="BD62" s="116" t="n"/>
      <c r="BE62" s="116" t="n"/>
      <c r="BF62" s="116" t="n"/>
      <c r="BG62" s="116" t="n"/>
      <c r="BH62" s="116" t="n"/>
      <c r="BI62" s="116" t="n"/>
      <c r="BJ62" s="116" t="n"/>
      <c r="BK62" s="116" t="n"/>
      <c r="BL62" s="116" t="n"/>
      <c r="BM62" s="116" t="n"/>
      <c r="BN62" s="116" t="n"/>
      <c r="BO62" s="116" t="n"/>
      <c r="BP62" s="116" t="n"/>
      <c r="BQ62" s="116" t="n"/>
      <c r="BR62" s="116" t="n"/>
      <c r="BS62" s="116" t="n"/>
      <c r="BT62" s="116" t="n"/>
      <c r="BU62" s="116" t="n"/>
      <c r="BV62" s="116" t="n"/>
      <c r="BW62" s="116" t="n"/>
      <c r="BX62" s="116" t="n"/>
      <c r="BY62" s="116" t="n"/>
      <c r="BZ62" s="116" t="n"/>
      <c r="CA62" s="116" t="n"/>
      <c r="DV62" s="57" t="n"/>
      <c r="EJ62" s="57" t="n"/>
      <c r="EK62" s="57" t="n"/>
      <c r="EN62" s="57" t="n"/>
      <c r="EO62" s="57" t="n"/>
      <c r="EQ62" s="57" t="n"/>
      <c r="ES62" s="57" t="n"/>
      <c r="ET62" s="57" t="n"/>
      <c r="EU62" s="57" t="n"/>
      <c r="EV62" s="57" t="n"/>
      <c r="EW62" s="57" t="n"/>
      <c r="EX62" s="57" t="n"/>
      <c r="EY62" s="57" t="n"/>
      <c r="EZ62" s="57" t="n"/>
      <c r="FA62" s="57" t="n"/>
      <c r="FB62" s="57" t="n"/>
      <c r="FC62" s="57" t="n"/>
      <c r="FD62" s="57" t="n"/>
    </row>
    <row r="63" hidden="1" ht="18.75" customHeight="1">
      <c r="A63" s="674" t="inlineStr">
        <is>
          <t>CBEM HIDR. DOCURA NA PESSEGURA</t>
        </is>
      </c>
      <c r="B63" s="658" t="n"/>
      <c r="C63" s="658" t="n"/>
      <c r="D63" s="670" t="n"/>
      <c r="F63" s="116" t="n"/>
      <c r="G63" s="116" t="n"/>
      <c r="H63" s="116" t="n"/>
      <c r="I63" s="116" t="n"/>
      <c r="J63" s="116" t="n">
        <v>0</v>
      </c>
      <c r="K63" s="116" t="n">
        <v>195</v>
      </c>
      <c r="L63" s="116" t="n">
        <v>195</v>
      </c>
      <c r="M63" s="116" t="n">
        <v>150</v>
      </c>
      <c r="N63" s="116" t="n">
        <v>150</v>
      </c>
      <c r="O63" s="116" t="n">
        <v>150</v>
      </c>
      <c r="P63" s="116" t="n">
        <v>150</v>
      </c>
      <c r="Q63" s="116" t="n">
        <v>100</v>
      </c>
      <c r="R63" s="116" t="n">
        <v>100</v>
      </c>
      <c r="S63" s="116" t="n">
        <v>100</v>
      </c>
      <c r="T63" s="116" t="n">
        <v>107</v>
      </c>
      <c r="U63" s="116" t="n">
        <v>107</v>
      </c>
      <c r="V63" s="116" t="n">
        <v>107</v>
      </c>
      <c r="W63" s="116" t="n">
        <v>107</v>
      </c>
      <c r="X63" s="116" t="n">
        <v>107</v>
      </c>
      <c r="Y63" s="116" t="n">
        <v>107</v>
      </c>
      <c r="Z63" s="116" t="n">
        <v>107</v>
      </c>
      <c r="AA63" s="116" t="n">
        <v>0</v>
      </c>
      <c r="AB63" s="116" t="n">
        <v>0</v>
      </c>
      <c r="AC63" s="116" t="n">
        <v>0</v>
      </c>
      <c r="AD63" s="116" t="n">
        <v>0</v>
      </c>
      <c r="AE63" s="116" t="n">
        <v>0</v>
      </c>
      <c r="AF63" s="116" t="n">
        <v>0</v>
      </c>
      <c r="AG63" s="116" t="n">
        <v>0</v>
      </c>
      <c r="AH63" s="116" t="n">
        <v>0</v>
      </c>
      <c r="AI63" s="116" t="n"/>
      <c r="AJ63" s="116" t="n"/>
      <c r="AK63" s="116" t="n"/>
      <c r="AL63" s="116" t="n"/>
      <c r="AM63" s="116" t="n"/>
      <c r="AN63" s="116" t="n"/>
      <c r="AO63" s="116" t="n"/>
      <c r="AP63" s="116" t="n"/>
      <c r="AQ63" s="116" t="n"/>
      <c r="AR63" s="116" t="n"/>
      <c r="AS63" s="116" t="n"/>
      <c r="AT63" s="116" t="n"/>
      <c r="AU63" s="116" t="n"/>
      <c r="AV63" s="116" t="n"/>
      <c r="AW63" s="116" t="n"/>
      <c r="AX63" s="116" t="n"/>
      <c r="AY63" s="116" t="n"/>
      <c r="AZ63" s="116" t="n"/>
      <c r="BA63" s="116" t="n"/>
      <c r="BB63" s="116" t="n"/>
      <c r="BC63" s="116" t="n"/>
      <c r="BD63" s="116" t="n"/>
      <c r="BE63" s="116" t="n"/>
      <c r="BF63" s="116" t="n"/>
      <c r="BG63" s="116" t="n"/>
      <c r="BH63" s="116" t="n"/>
      <c r="BI63" s="116" t="n"/>
      <c r="BJ63" s="116" t="n"/>
      <c r="BK63" s="116" t="n"/>
      <c r="BL63" s="116" t="n"/>
      <c r="BM63" s="116" t="n"/>
      <c r="BN63" s="116" t="n"/>
      <c r="BO63" s="116" t="n"/>
      <c r="BP63" s="116" t="n"/>
      <c r="BQ63" s="116" t="n"/>
      <c r="BR63" s="116" t="n"/>
      <c r="BS63" s="116" t="n"/>
      <c r="BT63" s="116" t="n"/>
      <c r="BU63" s="116" t="n"/>
      <c r="BV63" s="116" t="n"/>
      <c r="BW63" s="116" t="n"/>
      <c r="BX63" s="116" t="n"/>
      <c r="BY63" s="116" t="n"/>
      <c r="BZ63" s="116" t="n"/>
      <c r="CA63" s="116" t="n"/>
      <c r="EJ63" s="57" t="n"/>
      <c r="EK63" s="57" t="n"/>
      <c r="EN63" s="57" t="n"/>
      <c r="EO63" s="57" t="n"/>
      <c r="EQ63" s="57" t="n"/>
      <c r="ES63" s="57" t="n"/>
      <c r="ET63" s="57" t="n"/>
      <c r="EU63" s="57" t="n"/>
      <c r="EV63" s="57" t="n"/>
      <c r="EW63" s="57" t="n"/>
      <c r="EX63" s="57" t="n"/>
      <c r="EY63" s="57" t="n"/>
      <c r="EZ63" s="57" t="n"/>
      <c r="FA63" s="57" t="n"/>
      <c r="FB63" s="57" t="n"/>
      <c r="FC63" s="57" t="n"/>
      <c r="FD63" s="57" t="n"/>
    </row>
    <row r="64" hidden="1" ht="18.75" customHeight="1">
      <c r="A64" s="674" t="inlineStr">
        <is>
          <t>LILY BLANCHE</t>
        </is>
      </c>
      <c r="B64" s="658" t="n"/>
      <c r="C64" s="658" t="n"/>
      <c r="D64" s="670" t="n"/>
      <c r="L64" s="116" t="n">
        <v>0</v>
      </c>
      <c r="M64" s="116" t="n">
        <v>96</v>
      </c>
      <c r="N64" s="116" t="n">
        <v>96</v>
      </c>
      <c r="O64" s="116" t="n">
        <v>96</v>
      </c>
      <c r="P64" s="116" t="n">
        <v>96</v>
      </c>
      <c r="Q64" s="116" t="n">
        <v>76</v>
      </c>
      <c r="R64" s="116" t="n">
        <v>76</v>
      </c>
      <c r="S64" s="116" t="n">
        <v>76</v>
      </c>
      <c r="T64" s="116" t="n">
        <v>35</v>
      </c>
      <c r="U64" s="116" t="n">
        <v>35</v>
      </c>
      <c r="V64" s="116" t="n">
        <v>35</v>
      </c>
      <c r="W64" s="116" t="n">
        <v>35</v>
      </c>
      <c r="X64" s="116" t="n">
        <v>35</v>
      </c>
      <c r="Y64" s="116" t="n">
        <v>35</v>
      </c>
      <c r="Z64" s="116" t="n">
        <v>35</v>
      </c>
      <c r="AA64" s="116" t="n">
        <v>0</v>
      </c>
      <c r="AB64" s="116" t="n">
        <v>0</v>
      </c>
      <c r="AC64" s="116" t="n">
        <v>0</v>
      </c>
      <c r="AD64" s="116" t="n">
        <v>0</v>
      </c>
      <c r="AE64" s="116" t="n">
        <v>0</v>
      </c>
      <c r="AF64" s="116" t="n">
        <v>0</v>
      </c>
      <c r="AG64" s="116" t="n">
        <v>0</v>
      </c>
      <c r="AH64" s="116" t="n">
        <v>0</v>
      </c>
      <c r="AI64" s="116" t="n"/>
      <c r="AJ64" s="116" t="n"/>
      <c r="AK64" s="116" t="n"/>
      <c r="AL64" s="116" t="n"/>
      <c r="AM64" s="116" t="n"/>
      <c r="AN64" s="116" t="n"/>
      <c r="AO64" s="116" t="n"/>
      <c r="AP64" s="116" t="n"/>
      <c r="AQ64" s="116" t="n"/>
      <c r="AR64" s="116" t="n"/>
      <c r="AS64" s="116" t="n"/>
      <c r="AT64" s="116" t="n"/>
      <c r="AU64" s="116" t="n"/>
      <c r="AV64" s="116" t="n"/>
      <c r="AW64" s="116" t="n"/>
      <c r="AX64" s="116" t="n"/>
      <c r="AY64" s="116" t="n"/>
      <c r="AZ64" s="116" t="n"/>
      <c r="BA64" s="116" t="n"/>
      <c r="BB64" s="116" t="n"/>
      <c r="BC64" s="116" t="n"/>
      <c r="BD64" s="116" t="n"/>
      <c r="BE64" s="116" t="n"/>
      <c r="BF64" s="116" t="n"/>
      <c r="BG64" s="116" t="n"/>
      <c r="BH64" s="116" t="n"/>
      <c r="BI64" s="116" t="n"/>
      <c r="BJ64" s="116" t="n"/>
      <c r="BK64" s="116" t="n"/>
      <c r="BL64" s="116" t="n"/>
      <c r="BM64" s="116" t="n"/>
      <c r="BN64" s="116" t="n"/>
      <c r="BO64" s="116" t="n"/>
      <c r="BP64" s="116" t="n"/>
      <c r="BQ64" s="116" t="n"/>
      <c r="BR64" s="116" t="n"/>
      <c r="BS64" s="116" t="n"/>
      <c r="BT64" s="116" t="n"/>
      <c r="BU64" s="116" t="n"/>
      <c r="BV64" s="116" t="n"/>
      <c r="BW64" s="116" t="n"/>
      <c r="BX64" s="116" t="n"/>
      <c r="BY64" s="116" t="n"/>
      <c r="BZ64" s="116" t="n"/>
      <c r="CA64" s="116" t="n"/>
    </row>
    <row r="65" hidden="1" ht="18.75" customHeight="1">
      <c r="A65" s="674" t="inlineStr">
        <is>
          <t>MEN NBA</t>
        </is>
      </c>
      <c r="B65" s="658" t="n"/>
      <c r="C65" s="658" t="n"/>
      <c r="D65" s="670" t="n"/>
      <c r="O65" s="116" t="n">
        <v>0</v>
      </c>
      <c r="P65" s="116" t="n">
        <v>49</v>
      </c>
      <c r="Q65" s="116" t="n">
        <v>49</v>
      </c>
      <c r="R65" s="116" t="n">
        <v>49</v>
      </c>
      <c r="S65" s="116" t="n">
        <v>49</v>
      </c>
      <c r="T65" s="116" t="n">
        <v>40</v>
      </c>
      <c r="U65" s="116" t="n">
        <v>40</v>
      </c>
      <c r="V65" s="116" t="n">
        <v>40</v>
      </c>
      <c r="W65" s="116" t="n">
        <v>40</v>
      </c>
      <c r="X65" s="116" t="n">
        <v>40</v>
      </c>
      <c r="Y65" s="116" t="n">
        <v>40</v>
      </c>
      <c r="Z65" s="116" t="n">
        <v>40</v>
      </c>
      <c r="AA65" s="116" t="n">
        <v>15</v>
      </c>
      <c r="AB65" s="116" t="n">
        <v>9</v>
      </c>
      <c r="AC65" s="116" t="n">
        <v>9</v>
      </c>
      <c r="AD65" s="116" t="n">
        <v>5</v>
      </c>
      <c r="AE65" s="116" t="n">
        <v>5</v>
      </c>
      <c r="AF65" s="116" t="n">
        <v>5</v>
      </c>
      <c r="AG65" s="116" t="n">
        <v>0</v>
      </c>
      <c r="AH65" s="116" t="n">
        <v>0</v>
      </c>
      <c r="AI65" s="116" t="n"/>
      <c r="AJ65" s="116" t="n"/>
      <c r="AK65" s="116" t="n"/>
      <c r="AL65" s="116" t="n"/>
      <c r="AM65" s="116" t="n"/>
      <c r="AN65" s="116" t="n"/>
      <c r="AO65" s="116" t="n"/>
      <c r="AP65" s="116" t="n"/>
      <c r="AQ65" s="116" t="n"/>
      <c r="AR65" s="116" t="n"/>
      <c r="AS65" s="116" t="n"/>
      <c r="AT65" s="116" t="n"/>
      <c r="AU65" s="116" t="n"/>
      <c r="AV65" s="116" t="n"/>
      <c r="AW65" s="116" t="n"/>
      <c r="AX65" s="116" t="n"/>
      <c r="AY65" s="116" t="n"/>
      <c r="AZ65" s="116" t="n"/>
      <c r="BA65" s="116" t="n"/>
      <c r="BB65" s="116" t="n"/>
      <c r="BC65" s="116" t="n"/>
      <c r="BD65" s="116" t="n"/>
      <c r="BE65" s="116" t="n"/>
      <c r="BF65" s="116" t="n"/>
      <c r="BG65" s="116" t="n"/>
      <c r="BH65" s="116" t="n"/>
      <c r="BI65" s="116" t="n"/>
      <c r="BJ65" s="116" t="n"/>
      <c r="BK65" s="116" t="n"/>
      <c r="BL65" s="116" t="n"/>
      <c r="BM65" s="116" t="n"/>
      <c r="BN65" s="116" t="n"/>
      <c r="BO65" s="116" t="n"/>
      <c r="BP65" s="116" t="n"/>
      <c r="BQ65" s="116" t="n"/>
      <c r="BR65" s="116" t="n"/>
      <c r="BS65" s="116" t="n"/>
      <c r="BT65" s="116" t="n"/>
      <c r="BU65" s="116" t="n"/>
      <c r="BV65" s="116" t="n"/>
      <c r="BW65" s="116" t="n"/>
      <c r="BX65" s="116" t="n"/>
      <c r="BY65" s="116" t="n"/>
      <c r="BZ65" s="116" t="n"/>
      <c r="CA65" s="116" t="n"/>
    </row>
    <row r="66">
      <c r="A66" s="674" t="inlineStr">
        <is>
          <t>ARBO ATLANTICA</t>
        </is>
      </c>
      <c r="B66" s="658" t="n"/>
      <c r="C66" s="658" t="n"/>
      <c r="D66" s="670" t="n"/>
      <c r="S66" s="116" t="n">
        <v>0</v>
      </c>
      <c r="T66" s="116" t="n">
        <v>115</v>
      </c>
      <c r="U66" s="116" t="n">
        <v>115</v>
      </c>
      <c r="V66" s="116" t="n">
        <v>115</v>
      </c>
      <c r="W66" s="116" t="n">
        <v>115</v>
      </c>
      <c r="X66" s="116" t="n">
        <v>115</v>
      </c>
      <c r="Y66" s="116" t="n">
        <v>115</v>
      </c>
      <c r="Z66" s="116" t="n">
        <v>115</v>
      </c>
      <c r="AA66" s="116" t="n">
        <v>77</v>
      </c>
      <c r="AB66" s="116" t="n">
        <v>67</v>
      </c>
      <c r="AC66" s="116" t="n">
        <v>67</v>
      </c>
      <c r="AD66" s="116" t="n">
        <v>19</v>
      </c>
      <c r="AE66" s="116" t="n">
        <v>19</v>
      </c>
      <c r="AF66" s="116" t="n">
        <v>19</v>
      </c>
      <c r="AG66" s="116" t="n">
        <v>35</v>
      </c>
      <c r="AH66" s="116" t="n">
        <v>35</v>
      </c>
      <c r="AI66" s="116" t="n">
        <v>30</v>
      </c>
      <c r="AJ66" s="116" t="n">
        <v>20</v>
      </c>
      <c r="AK66" s="116" t="n">
        <v>20</v>
      </c>
      <c r="AL66" s="116" t="n">
        <v>20</v>
      </c>
      <c r="AM66" s="116" t="n">
        <v>20</v>
      </c>
      <c r="AN66" s="116" t="n">
        <v>20</v>
      </c>
      <c r="AO66" s="116" t="n">
        <v>20</v>
      </c>
      <c r="AP66" s="116" t="n">
        <v>15</v>
      </c>
      <c r="AQ66" s="116" t="n">
        <v>15</v>
      </c>
      <c r="AR66" s="116" t="n">
        <v>15</v>
      </c>
      <c r="AS66" s="116" t="n">
        <v>10</v>
      </c>
      <c r="AT66" s="116" t="n">
        <v>15</v>
      </c>
      <c r="AU66" s="116" t="n">
        <v>15</v>
      </c>
      <c r="AV66" s="116" t="n">
        <v>15</v>
      </c>
      <c r="AW66" s="116" t="n">
        <v>15</v>
      </c>
      <c r="AX66" s="116" t="n">
        <v>15</v>
      </c>
      <c r="AY66" s="116" t="n">
        <v>15</v>
      </c>
      <c r="AZ66" s="116" t="n">
        <v>15</v>
      </c>
      <c r="BA66" s="116" t="n">
        <v>15</v>
      </c>
      <c r="BB66" s="116" t="n">
        <v>15</v>
      </c>
      <c r="BC66" s="116" t="n">
        <v>15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</row>
    <row r="67">
      <c r="A67" s="674" t="inlineStr">
        <is>
          <t>QUASAR DEEP BLUE</t>
        </is>
      </c>
      <c r="B67" s="658" t="n"/>
      <c r="C67" s="658" t="n"/>
      <c r="D67" s="670" t="n"/>
      <c r="S67" s="116" t="n">
        <v>0</v>
      </c>
      <c r="T67" s="116" t="n">
        <v>125</v>
      </c>
      <c r="U67" s="116" t="n">
        <v>125</v>
      </c>
      <c r="V67" s="116" t="n">
        <v>125</v>
      </c>
      <c r="W67" s="116" t="n">
        <v>125</v>
      </c>
      <c r="X67" s="116" t="n">
        <v>125</v>
      </c>
      <c r="Y67" s="116" t="n">
        <v>125</v>
      </c>
      <c r="Z67" s="116" t="n">
        <v>125</v>
      </c>
      <c r="AA67" s="116" t="n">
        <v>91</v>
      </c>
      <c r="AB67" s="116" t="n">
        <v>91</v>
      </c>
      <c r="AC67" s="116" t="n">
        <v>91</v>
      </c>
      <c r="AD67" s="116" t="n">
        <v>60</v>
      </c>
      <c r="AE67" s="116" t="n">
        <v>60</v>
      </c>
      <c r="AF67" s="116" t="n">
        <v>60</v>
      </c>
      <c r="AG67" s="116" t="n">
        <v>68</v>
      </c>
      <c r="AH67" s="116" t="n">
        <v>68</v>
      </c>
      <c r="AI67" s="116" t="n">
        <v>58</v>
      </c>
      <c r="AJ67" s="116" t="n">
        <v>48</v>
      </c>
      <c r="AK67" s="116" t="n">
        <v>48</v>
      </c>
      <c r="AL67" s="116" t="n">
        <v>48</v>
      </c>
      <c r="AM67" s="116" t="n">
        <v>48</v>
      </c>
      <c r="AN67" s="116" t="n">
        <v>48</v>
      </c>
      <c r="AO67" s="116" t="n">
        <v>48</v>
      </c>
      <c r="AP67" s="116" t="n">
        <v>40</v>
      </c>
      <c r="AQ67" s="116" t="n">
        <v>40</v>
      </c>
      <c r="AR67" s="116" t="n">
        <v>40</v>
      </c>
      <c r="AS67" s="116" t="n">
        <v>30</v>
      </c>
      <c r="AT67" s="116" t="n">
        <v>33</v>
      </c>
      <c r="AU67" s="116" t="n">
        <v>33</v>
      </c>
      <c r="AV67" s="116" t="n">
        <v>33</v>
      </c>
      <c r="AW67" s="116" t="n">
        <v>33</v>
      </c>
      <c r="AX67" s="116" t="n">
        <v>33</v>
      </c>
      <c r="AY67" s="116" t="n">
        <v>33</v>
      </c>
      <c r="AZ67" s="116" t="n">
        <v>33</v>
      </c>
      <c r="BA67" s="116" t="n">
        <v>33</v>
      </c>
      <c r="BB67" s="116" t="n">
        <v>33</v>
      </c>
      <c r="BC67" s="116" t="n">
        <v>33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</row>
    <row r="68" hidden="1" ht="18.75" customHeight="1">
      <c r="A68" s="674" t="inlineStr">
        <is>
          <t>SEVILLA DORADA</t>
        </is>
      </c>
      <c r="B68" s="658" t="n"/>
      <c r="C68" s="658" t="n"/>
      <c r="D68" s="670" t="n"/>
      <c r="S68" s="116" t="n"/>
      <c r="T68" s="116" t="n"/>
      <c r="U68" s="116" t="n"/>
      <c r="V68" s="116" t="n"/>
      <c r="W68" s="116" t="n"/>
      <c r="X68" s="116" t="n"/>
      <c r="Y68" s="116" t="n"/>
      <c r="Z68" s="116" t="n">
        <v>0</v>
      </c>
      <c r="AA68" s="116" t="n">
        <v>8</v>
      </c>
      <c r="AB68" s="116" t="n">
        <v>0</v>
      </c>
      <c r="AC68" s="116" t="n">
        <v>0</v>
      </c>
      <c r="AD68" s="116" t="n">
        <v>0</v>
      </c>
      <c r="AE68" s="116" t="n">
        <v>0</v>
      </c>
      <c r="AF68" s="116" t="n">
        <v>0</v>
      </c>
      <c r="AG68" s="116" t="n">
        <v>0</v>
      </c>
      <c r="AH68" s="116" t="n">
        <v>0</v>
      </c>
      <c r="AI68" s="116" t="n"/>
      <c r="AJ68" s="116" t="n"/>
      <c r="AK68" s="116" t="n"/>
      <c r="AL68" s="116" t="n"/>
      <c r="AM68" s="116" t="n"/>
      <c r="AN68" s="116" t="n"/>
      <c r="AO68" s="116" t="n"/>
      <c r="AP68" s="116" t="n"/>
      <c r="AQ68" s="116" t="n"/>
      <c r="AR68" s="116" t="n"/>
      <c r="AS68" s="116" t="n"/>
      <c r="AT68" s="116" t="n"/>
      <c r="AU68" s="116" t="n"/>
      <c r="AV68" s="116" t="n"/>
      <c r="AW68" s="116" t="n"/>
      <c r="AX68" s="116" t="n"/>
      <c r="AY68" s="116" t="n"/>
      <c r="AZ68" s="116" t="n"/>
      <c r="BA68" s="116" t="n"/>
      <c r="BB68" s="116" t="n"/>
      <c r="BC68" s="116" t="n"/>
      <c r="BD68" s="116" t="n"/>
      <c r="BE68" s="116" t="n"/>
      <c r="BF68" s="116" t="n"/>
      <c r="BG68" s="116" t="n"/>
      <c r="BH68" s="116" t="n"/>
      <c r="BI68" s="116" t="n"/>
      <c r="BJ68" s="116" t="n"/>
      <c r="BK68" s="116" t="n"/>
      <c r="BL68" s="116" t="n"/>
      <c r="BM68" s="116" t="n"/>
      <c r="BN68" s="116" t="n"/>
      <c r="BO68" s="116" t="n"/>
      <c r="BP68" s="116" t="n"/>
      <c r="BQ68" s="116" t="n"/>
      <c r="BR68" s="116" t="n"/>
      <c r="BS68" s="116" t="n"/>
      <c r="BT68" s="116" t="n"/>
      <c r="BU68" s="116" t="n"/>
      <c r="BV68" s="116" t="n"/>
      <c r="BW68" s="116" t="n"/>
      <c r="BX68" s="116" t="n"/>
      <c r="BY68" s="116" t="n"/>
      <c r="BZ68" s="116" t="n"/>
      <c r="CA68" s="116" t="n"/>
    </row>
    <row r="69" hidden="1" ht="18.75" customHeight="1">
      <c r="A69" s="674" t="inlineStr">
        <is>
          <t>57745 boti sun5,0</t>
        </is>
      </c>
      <c r="B69" s="658" t="n"/>
      <c r="C69" s="658" t="n"/>
      <c r="D69" s="670" t="n"/>
      <c r="Z69" s="358" t="n">
        <v>0</v>
      </c>
      <c r="AA69" s="116" t="n">
        <v>0</v>
      </c>
      <c r="AB69" s="116" t="n">
        <v>17</v>
      </c>
      <c r="AC69" s="116" t="n">
        <v>17</v>
      </c>
      <c r="AD69" s="116" t="n">
        <v>17</v>
      </c>
      <c r="AE69" s="116" t="n">
        <v>17</v>
      </c>
      <c r="AF69" s="116" t="n">
        <v>17</v>
      </c>
      <c r="AG69" s="116" t="n">
        <v>0</v>
      </c>
      <c r="AH69" s="116" t="n">
        <v>0</v>
      </c>
      <c r="AI69" s="116" t="n"/>
      <c r="AJ69" s="116" t="n"/>
      <c r="AK69" s="116" t="n"/>
      <c r="AL69" s="116" t="n"/>
      <c r="AM69" s="116" t="n"/>
      <c r="AN69" s="116" t="n"/>
      <c r="AO69" s="116" t="n"/>
      <c r="AP69" s="116" t="n"/>
      <c r="AQ69" s="116" t="n"/>
      <c r="AR69" s="116" t="n"/>
      <c r="AS69" s="116" t="n"/>
      <c r="AT69" s="116" t="n"/>
      <c r="AU69" s="116" t="n"/>
      <c r="AV69" s="116" t="n"/>
      <c r="AW69" s="116" t="n"/>
      <c r="AX69" s="116" t="n"/>
      <c r="AY69" s="116" t="n"/>
      <c r="AZ69" s="116" t="n"/>
      <c r="BA69" s="116" t="n"/>
      <c r="BB69" s="116" t="n"/>
      <c r="BC69" s="116" t="n"/>
      <c r="BD69" s="116" t="n"/>
      <c r="BE69" s="116" t="n"/>
      <c r="BF69" s="116" t="n"/>
      <c r="BG69" s="116" t="n"/>
      <c r="BH69" s="116" t="n"/>
      <c r="BI69" s="116" t="n"/>
      <c r="BJ69" s="116" t="n"/>
      <c r="BK69" s="116" t="n"/>
      <c r="BL69" s="116" t="n"/>
      <c r="BM69" s="116" t="n"/>
      <c r="BN69" s="116" t="n"/>
      <c r="BO69" s="116" t="n"/>
      <c r="BP69" s="116" t="n"/>
      <c r="BQ69" s="116" t="n"/>
      <c r="BR69" s="116" t="n"/>
      <c r="BS69" s="116" t="n"/>
      <c r="BT69" s="116" t="n"/>
      <c r="BU69" s="116" t="n"/>
      <c r="BV69" s="116" t="n"/>
      <c r="BW69" s="116" t="n"/>
      <c r="BX69" s="116" t="n"/>
      <c r="BY69" s="116" t="n"/>
      <c r="BZ69" s="116" t="n"/>
      <c r="CA69" s="116" t="n"/>
    </row>
    <row r="70">
      <c r="A70" s="674" t="inlineStr">
        <is>
          <t>57743 boti sun 1,0</t>
        </is>
      </c>
      <c r="B70" s="658" t="n"/>
      <c r="C70" s="658" t="n"/>
      <c r="D70" s="670" t="n"/>
      <c r="Z70" s="358" t="n">
        <v>0</v>
      </c>
      <c r="AA70" s="116" t="n">
        <v>0</v>
      </c>
      <c r="AB70" s="116" t="n">
        <v>4</v>
      </c>
      <c r="AC70" s="116" t="n">
        <v>4</v>
      </c>
      <c r="AD70" s="116" t="n">
        <v>4</v>
      </c>
      <c r="AE70" s="116" t="n">
        <v>4</v>
      </c>
      <c r="AF70" s="116" t="n">
        <v>4</v>
      </c>
      <c r="AG70" s="116" t="n">
        <v>4</v>
      </c>
      <c r="AH70" s="116" t="n">
        <v>4</v>
      </c>
      <c r="AI70" s="116" t="n">
        <v>4</v>
      </c>
      <c r="AJ70" s="116" t="n">
        <v>2</v>
      </c>
      <c r="AK70" s="116" t="n">
        <v>2</v>
      </c>
      <c r="AL70" s="116" t="n">
        <v>2</v>
      </c>
      <c r="AM70" s="116" t="n">
        <v>2</v>
      </c>
      <c r="AN70" s="116" t="n">
        <v>2</v>
      </c>
      <c r="AO70" s="116" t="n">
        <v>2</v>
      </c>
      <c r="AP70" s="116" t="n">
        <v>2</v>
      </c>
      <c r="AQ70" s="116" t="n">
        <v>2</v>
      </c>
      <c r="AR70" s="116" t="n">
        <v>2</v>
      </c>
      <c r="AS70" s="116" t="n">
        <v>2</v>
      </c>
      <c r="AT70" s="116" t="n">
        <v>0</v>
      </c>
      <c r="AU70" s="116" t="n">
        <v>0</v>
      </c>
      <c r="AV70" s="116" t="n">
        <v>0</v>
      </c>
      <c r="AW70" s="116" t="n">
        <v>0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</row>
    <row r="71">
      <c r="A71" s="674" t="inlineStr">
        <is>
          <t>57744 boti sun 4,0</t>
        </is>
      </c>
      <c r="B71" s="658" t="n"/>
      <c r="C71" s="658" t="n"/>
      <c r="D71" s="670" t="n"/>
      <c r="Z71" s="358" t="n">
        <v>0</v>
      </c>
      <c r="AA71" s="116" t="n">
        <v>0</v>
      </c>
      <c r="AB71" s="116" t="n">
        <v>5</v>
      </c>
      <c r="AC71" s="116" t="n">
        <v>5</v>
      </c>
      <c r="AD71" s="116" t="n">
        <v>5</v>
      </c>
      <c r="AE71" s="116" t="n">
        <v>5</v>
      </c>
      <c r="AF71" s="116" t="n">
        <v>5</v>
      </c>
      <c r="AG71" s="116" t="n">
        <v>0</v>
      </c>
      <c r="AH71" s="116" t="n">
        <v>0</v>
      </c>
      <c r="AI71" s="116" t="n">
        <v>0</v>
      </c>
      <c r="AJ71" s="116" t="n">
        <v>0</v>
      </c>
      <c r="AK71" s="116" t="n">
        <v>0</v>
      </c>
      <c r="AL71" s="116" t="n">
        <v>0</v>
      </c>
      <c r="AM71" s="116" t="n">
        <v>0</v>
      </c>
      <c r="AN71" s="116" t="n">
        <v>0</v>
      </c>
      <c r="AO71" s="116" t="n">
        <v>0</v>
      </c>
      <c r="AP71" s="116" t="n">
        <v>0</v>
      </c>
      <c r="AQ71" s="116" t="n">
        <v>0</v>
      </c>
      <c r="AR71" s="116" t="n">
        <v>0</v>
      </c>
      <c r="AS71" s="116" t="n">
        <v>0</v>
      </c>
      <c r="AT71" s="116" t="n">
        <v>5</v>
      </c>
      <c r="AU71" s="116" t="n">
        <v>5</v>
      </c>
      <c r="AV71" s="116" t="n">
        <v>5</v>
      </c>
      <c r="AW71" s="116" t="n">
        <v>5</v>
      </c>
      <c r="AX71" s="116" t="n">
        <v>5</v>
      </c>
      <c r="AY71" s="116" t="n">
        <v>5</v>
      </c>
      <c r="AZ71" s="116" t="n">
        <v>5</v>
      </c>
      <c r="BA71" s="116" t="n">
        <v>5</v>
      </c>
      <c r="BB71" s="116" t="n">
        <v>4</v>
      </c>
      <c r="BC71" s="116" t="n">
        <v>4</v>
      </c>
      <c r="BD71" s="116" t="n">
        <v>0</v>
      </c>
      <c r="BE71" s="116" t="n">
        <v>0</v>
      </c>
      <c r="BF71" s="116" t="n">
        <v>0</v>
      </c>
      <c r="BG71" s="116" t="n">
        <v>0</v>
      </c>
      <c r="BH71" s="116" t="n">
        <v>0</v>
      </c>
      <c r="BI71" s="116" t="n">
        <v>0</v>
      </c>
      <c r="BJ71" s="116" t="n">
        <v>0</v>
      </c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0</v>
      </c>
      <c r="BV71" s="116" t="n">
        <v>0</v>
      </c>
      <c r="BW71" s="116" t="n">
        <v>0</v>
      </c>
      <c r="BX71" s="116" t="n">
        <v>0</v>
      </c>
      <c r="BY71" s="116" t="n">
        <v>0</v>
      </c>
      <c r="BZ71" s="116" t="n"/>
      <c r="CA71" s="116" t="n"/>
    </row>
    <row r="72">
      <c r="A72" s="674" t="inlineStr">
        <is>
          <t xml:space="preserve">57743 boti sun 2,0 </t>
        </is>
      </c>
      <c r="B72" s="658" t="n"/>
      <c r="C72" s="658" t="n"/>
      <c r="D72" s="670" t="n"/>
      <c r="Z72" s="358" t="n">
        <v>0</v>
      </c>
      <c r="AA72" s="116" t="n">
        <v>0</v>
      </c>
      <c r="AB72" s="116" t="n">
        <v>4</v>
      </c>
      <c r="AC72" s="116" t="n">
        <v>4</v>
      </c>
      <c r="AD72" s="116" t="n">
        <v>4</v>
      </c>
      <c r="AE72" s="116" t="n">
        <v>4</v>
      </c>
      <c r="AF72" s="116" t="n">
        <v>4</v>
      </c>
      <c r="AG72" s="116" t="n">
        <v>4</v>
      </c>
      <c r="AH72" s="116" t="n">
        <v>4</v>
      </c>
      <c r="AI72" s="116" t="n">
        <v>4</v>
      </c>
      <c r="AJ72" s="116" t="n">
        <v>2</v>
      </c>
      <c r="AK72" s="116" t="n">
        <v>2</v>
      </c>
      <c r="AL72" s="116" t="n">
        <v>2</v>
      </c>
      <c r="AM72" s="116" t="n">
        <v>2</v>
      </c>
      <c r="AN72" s="116" t="n">
        <v>2</v>
      </c>
      <c r="AO72" s="116" t="n">
        <v>2</v>
      </c>
      <c r="AP72" s="116" t="n">
        <v>2</v>
      </c>
      <c r="AQ72" s="116" t="n">
        <v>2</v>
      </c>
      <c r="AR72" s="116" t="n">
        <v>2</v>
      </c>
      <c r="AS72" s="116" t="n">
        <v>2</v>
      </c>
      <c r="AT72" s="116" t="n">
        <v>0</v>
      </c>
      <c r="AU72" s="116" t="n">
        <v>0</v>
      </c>
      <c r="AV72" s="116" t="n">
        <v>0</v>
      </c>
      <c r="AW72" s="116" t="n">
        <v>0</v>
      </c>
      <c r="AX72" s="116" t="n">
        <v>0</v>
      </c>
      <c r="AY72" s="116" t="n">
        <v>0</v>
      </c>
      <c r="AZ72" s="116" t="n">
        <v>0</v>
      </c>
      <c r="BA72" s="116" t="n">
        <v>0</v>
      </c>
      <c r="BB72" s="116" t="n">
        <v>0</v>
      </c>
      <c r="BC72" s="116" t="n">
        <v>0</v>
      </c>
      <c r="BD72" s="116" t="n">
        <v>0</v>
      </c>
      <c r="BE72" s="116" t="n">
        <v>0</v>
      </c>
      <c r="BF72" s="116" t="n">
        <v>0</v>
      </c>
      <c r="BG72" s="116" t="n">
        <v>0</v>
      </c>
      <c r="BH72" s="116" t="n">
        <v>0</v>
      </c>
      <c r="BI72" s="116" t="n">
        <v>0</v>
      </c>
      <c r="BJ72" s="116" t="n">
        <v>0</v>
      </c>
      <c r="BK72" s="116" t="n">
        <v>0</v>
      </c>
      <c r="BL72" s="116" t="n">
        <v>0</v>
      </c>
      <c r="BM72" s="116" t="n">
        <v>0</v>
      </c>
      <c r="BN72" s="116" t="n">
        <v>0</v>
      </c>
      <c r="BO72" s="116" t="n">
        <v>0</v>
      </c>
      <c r="BP72" s="116" t="n">
        <v>0</v>
      </c>
      <c r="BQ72" s="116" t="n">
        <v>0</v>
      </c>
      <c r="BR72" s="116" t="n">
        <v>0</v>
      </c>
      <c r="BS72" s="116" t="n">
        <v>0</v>
      </c>
      <c r="BT72" s="116" t="n">
        <v>0</v>
      </c>
      <c r="BU72" s="116" t="n">
        <v>0</v>
      </c>
      <c r="BV72" s="116" t="n">
        <v>0</v>
      </c>
      <c r="BW72" s="116" t="n">
        <v>0</v>
      </c>
      <c r="BX72" s="116" t="n">
        <v>0</v>
      </c>
      <c r="BY72" s="116" t="n">
        <v>0</v>
      </c>
      <c r="BZ72" s="116" t="n"/>
      <c r="CA72" s="116" t="n"/>
    </row>
    <row r="73">
      <c r="A73" s="674" t="inlineStr">
        <is>
          <t>57744 boti sun 3,0</t>
        </is>
      </c>
      <c r="B73" s="658" t="n"/>
      <c r="C73" s="658" t="n"/>
      <c r="D73" s="670" t="n"/>
      <c r="Z73" s="358" t="n">
        <v>0</v>
      </c>
      <c r="AA73" s="116" t="n">
        <v>0</v>
      </c>
      <c r="AB73" s="116" t="n">
        <v>8</v>
      </c>
      <c r="AC73" s="116" t="n">
        <v>8</v>
      </c>
      <c r="AD73" s="116" t="n">
        <v>8</v>
      </c>
      <c r="AE73" s="116" t="n">
        <v>8</v>
      </c>
      <c r="AF73" s="116" t="n">
        <v>8</v>
      </c>
      <c r="AG73" s="116" t="n">
        <v>8</v>
      </c>
      <c r="AH73" s="116" t="n">
        <v>8</v>
      </c>
      <c r="AI73" s="116" t="n">
        <v>8</v>
      </c>
      <c r="AJ73" s="116" t="n">
        <v>6</v>
      </c>
      <c r="AK73" s="116" t="n">
        <v>6</v>
      </c>
      <c r="AL73" s="116" t="n">
        <v>6</v>
      </c>
      <c r="AM73" s="116" t="n">
        <v>6</v>
      </c>
      <c r="AN73" s="116" t="n">
        <v>6</v>
      </c>
      <c r="AO73" s="116" t="n">
        <v>6</v>
      </c>
      <c r="AP73" s="116" t="n">
        <v>6</v>
      </c>
      <c r="AQ73" s="116" t="n">
        <v>6</v>
      </c>
      <c r="AR73" s="116" t="n">
        <v>6</v>
      </c>
      <c r="AS73" s="116" t="n">
        <v>0</v>
      </c>
      <c r="AT73" s="116" t="n">
        <v>6</v>
      </c>
      <c r="AU73" s="116" t="n">
        <v>6</v>
      </c>
      <c r="AV73" s="116" t="n">
        <v>6</v>
      </c>
      <c r="AW73" s="116" t="n">
        <v>6</v>
      </c>
      <c r="AX73" s="116" t="n">
        <v>6</v>
      </c>
      <c r="AY73" s="116" t="n">
        <v>6</v>
      </c>
      <c r="AZ73" s="116" t="n">
        <v>6</v>
      </c>
      <c r="BA73" s="116" t="n">
        <v>6</v>
      </c>
      <c r="BB73" s="116" t="n">
        <v>6</v>
      </c>
      <c r="BC73" s="116" t="n">
        <v>6</v>
      </c>
      <c r="BD73" s="116" t="n">
        <v>0</v>
      </c>
      <c r="BE73" s="116" t="n">
        <v>0</v>
      </c>
      <c r="BF73" s="116" t="n">
        <v>0</v>
      </c>
      <c r="BG73" s="116" t="n">
        <v>0</v>
      </c>
      <c r="BH73" s="116" t="n">
        <v>0</v>
      </c>
      <c r="BI73" s="116" t="n">
        <v>0</v>
      </c>
      <c r="BJ73" s="116" t="n">
        <v>0</v>
      </c>
      <c r="BK73" s="116" t="n">
        <v>0</v>
      </c>
      <c r="BL73" s="116" t="n">
        <v>0</v>
      </c>
      <c r="BM73" s="116" t="n">
        <v>0</v>
      </c>
      <c r="BN73" s="116" t="n">
        <v>0</v>
      </c>
      <c r="BO73" s="116" t="n">
        <v>0</v>
      </c>
      <c r="BP73" s="116" t="n">
        <v>0</v>
      </c>
      <c r="BQ73" s="116" t="n">
        <v>0</v>
      </c>
      <c r="BR73" s="116" t="n">
        <v>0</v>
      </c>
      <c r="BS73" s="116" t="n">
        <v>0</v>
      </c>
      <c r="BT73" s="116" t="n">
        <v>0</v>
      </c>
      <c r="BU73" s="116" t="n">
        <v>0</v>
      </c>
      <c r="BV73" s="116" t="n">
        <v>0</v>
      </c>
      <c r="BW73" s="116" t="n">
        <v>0</v>
      </c>
      <c r="BX73" s="116" t="n">
        <v>0</v>
      </c>
      <c r="BY73" s="116" t="n">
        <v>0</v>
      </c>
      <c r="BZ73" s="116" t="n"/>
      <c r="CA73" s="116" t="n"/>
    </row>
    <row r="74">
      <c r="A74" s="674" t="inlineStr">
        <is>
          <t>57745 boti sun 6,0</t>
        </is>
      </c>
      <c r="B74" s="658" t="n"/>
      <c r="C74" s="658" t="n"/>
      <c r="D74" s="670" t="n"/>
      <c r="Z74" s="358" t="n">
        <v>0</v>
      </c>
      <c r="AA74" s="116" t="n">
        <v>0</v>
      </c>
      <c r="AB74" s="116" t="n">
        <v>0</v>
      </c>
      <c r="AC74" s="116" t="n">
        <v>0</v>
      </c>
      <c r="AD74" s="116" t="n">
        <v>12</v>
      </c>
      <c r="AE74" s="116" t="n">
        <v>12</v>
      </c>
      <c r="AF74" s="116" t="n">
        <v>12</v>
      </c>
      <c r="AG74" s="116" t="n">
        <v>15</v>
      </c>
      <c r="AH74" s="116" t="n">
        <v>15</v>
      </c>
      <c r="AI74" s="116" t="n">
        <v>15</v>
      </c>
      <c r="AJ74" s="116" t="n">
        <v>10</v>
      </c>
      <c r="AK74" s="116" t="n">
        <v>10</v>
      </c>
      <c r="AL74" s="116" t="n">
        <v>10</v>
      </c>
      <c r="AM74" s="116" t="n">
        <v>10</v>
      </c>
      <c r="AN74" s="116" t="n">
        <v>10</v>
      </c>
      <c r="AO74" s="116" t="n">
        <v>10</v>
      </c>
      <c r="AP74" s="116" t="n">
        <v>8</v>
      </c>
      <c r="AQ74" s="116" t="n">
        <v>8</v>
      </c>
      <c r="AR74" s="116" t="n">
        <v>8</v>
      </c>
      <c r="AS74" s="116" t="n">
        <v>8</v>
      </c>
      <c r="AT74" s="116" t="n">
        <v>11</v>
      </c>
      <c r="AU74" s="116" t="n">
        <v>11</v>
      </c>
      <c r="AV74" s="116" t="n">
        <v>11</v>
      </c>
      <c r="AW74" s="116" t="n">
        <v>11</v>
      </c>
      <c r="AX74" s="116" t="n">
        <v>11</v>
      </c>
      <c r="AY74" s="116" t="n">
        <v>11</v>
      </c>
      <c r="AZ74" s="116" t="n">
        <v>11</v>
      </c>
      <c r="BA74" s="116" t="n">
        <v>11</v>
      </c>
      <c r="BB74" s="116" t="n">
        <v>11</v>
      </c>
      <c r="BC74" s="116" t="n">
        <v>11</v>
      </c>
      <c r="BD74" s="116" t="n">
        <v>0</v>
      </c>
      <c r="BE74" s="116" t="n">
        <v>0</v>
      </c>
      <c r="BF74" s="116" t="n">
        <v>0</v>
      </c>
      <c r="BG74" s="116" t="n">
        <v>0</v>
      </c>
      <c r="BH74" s="116" t="n">
        <v>0</v>
      </c>
      <c r="BI74" s="116" t="n">
        <v>0</v>
      </c>
      <c r="BJ74" s="116" t="n">
        <v>0</v>
      </c>
      <c r="BK74" s="116" t="n">
        <v>0</v>
      </c>
      <c r="BL74" s="116" t="n">
        <v>0</v>
      </c>
      <c r="BM74" s="116" t="n">
        <v>0</v>
      </c>
      <c r="BN74" s="116" t="n">
        <v>0</v>
      </c>
      <c r="BO74" s="116" t="n">
        <v>0</v>
      </c>
      <c r="BP74" s="116" t="n">
        <v>0</v>
      </c>
      <c r="BQ74" s="116" t="n">
        <v>0</v>
      </c>
      <c r="BR74" s="116" t="n">
        <v>0</v>
      </c>
      <c r="BS74" s="116" t="n">
        <v>0</v>
      </c>
      <c r="BT74" s="116" t="n">
        <v>0</v>
      </c>
      <c r="BU74" s="116" t="n">
        <v>0</v>
      </c>
      <c r="BV74" s="116" t="n">
        <v>0</v>
      </c>
      <c r="BW74" s="116" t="n">
        <v>0</v>
      </c>
      <c r="BX74" s="116" t="n">
        <v>0</v>
      </c>
      <c r="BY74" s="116" t="n">
        <v>0</v>
      </c>
      <c r="BZ74" s="116" t="n"/>
      <c r="CA74" s="116" t="n"/>
    </row>
    <row r="75">
      <c r="A75" s="674" t="inlineStr">
        <is>
          <t xml:space="preserve">57745 boti sun 7,0 </t>
        </is>
      </c>
      <c r="B75" s="658" t="n"/>
      <c r="C75" s="658" t="n"/>
      <c r="D75" s="670" t="n"/>
      <c r="Z75" s="358" t="n">
        <v>0</v>
      </c>
      <c r="AA75" s="116" t="n">
        <v>0</v>
      </c>
      <c r="AB75" s="116" t="n">
        <v>6</v>
      </c>
      <c r="AC75" s="116" t="n">
        <v>6</v>
      </c>
      <c r="AD75" s="116" t="n">
        <v>6</v>
      </c>
      <c r="AE75" s="116" t="n">
        <v>6</v>
      </c>
      <c r="AF75" s="116" t="n">
        <v>6</v>
      </c>
      <c r="AG75" s="116" t="n">
        <v>5</v>
      </c>
      <c r="AH75" s="116" t="n">
        <v>5</v>
      </c>
      <c r="AI75" s="116" t="n">
        <v>5</v>
      </c>
      <c r="AJ75" s="116" t="n">
        <v>3</v>
      </c>
      <c r="AK75" s="116" t="n">
        <v>3</v>
      </c>
      <c r="AL75" s="116" t="n">
        <v>3</v>
      </c>
      <c r="AM75" s="116" t="n">
        <v>3</v>
      </c>
      <c r="AN75" s="116" t="n">
        <v>3</v>
      </c>
      <c r="AO75" s="116" t="n">
        <v>3</v>
      </c>
      <c r="AP75" s="116" t="n">
        <v>3</v>
      </c>
      <c r="AQ75" s="116" t="n">
        <v>3</v>
      </c>
      <c r="AR75" s="116" t="n">
        <v>3</v>
      </c>
      <c r="AS75" s="116" t="n">
        <v>3</v>
      </c>
      <c r="AT75" s="116" t="n">
        <v>5</v>
      </c>
      <c r="AU75" s="116" t="n">
        <v>5</v>
      </c>
      <c r="AV75" s="116" t="n">
        <v>5</v>
      </c>
      <c r="AW75" s="116" t="n">
        <v>5</v>
      </c>
      <c r="AX75" s="116" t="n">
        <v>5</v>
      </c>
      <c r="AY75" s="116" t="n">
        <v>5</v>
      </c>
      <c r="AZ75" s="116" t="n">
        <v>5</v>
      </c>
      <c r="BA75" s="116" t="n">
        <v>5</v>
      </c>
      <c r="BB75" s="116" t="n">
        <v>5</v>
      </c>
      <c r="BC75" s="116" t="n">
        <v>5</v>
      </c>
      <c r="BD75" s="116" t="n">
        <v>0</v>
      </c>
      <c r="BE75" s="116" t="n">
        <v>0</v>
      </c>
      <c r="BF75" s="116" t="n">
        <v>0</v>
      </c>
      <c r="BG75" s="116" t="n">
        <v>0</v>
      </c>
      <c r="BH75" s="116" t="n">
        <v>0</v>
      </c>
      <c r="BI75" s="116" t="n">
        <v>0</v>
      </c>
      <c r="BJ75" s="116" t="n">
        <v>0</v>
      </c>
      <c r="BK75" s="116" t="n">
        <v>0</v>
      </c>
      <c r="BL75" s="116" t="n">
        <v>0</v>
      </c>
      <c r="BM75" s="116" t="n">
        <v>0</v>
      </c>
      <c r="BN75" s="116" t="n">
        <v>0</v>
      </c>
      <c r="BO75" s="116" t="n">
        <v>0</v>
      </c>
      <c r="BP75" s="116" t="n">
        <v>0</v>
      </c>
      <c r="BQ75" s="116" t="n">
        <v>0</v>
      </c>
      <c r="BR75" s="116" t="n">
        <v>0</v>
      </c>
      <c r="BS75" s="116" t="n">
        <v>0</v>
      </c>
      <c r="BT75" s="116" t="n">
        <v>0</v>
      </c>
      <c r="BU75" s="116" t="n">
        <v>0</v>
      </c>
      <c r="BV75" s="116" t="n">
        <v>0</v>
      </c>
      <c r="BW75" s="116" t="n">
        <v>0</v>
      </c>
      <c r="BX75" s="116" t="n">
        <v>0</v>
      </c>
      <c r="BY75" s="116" t="n">
        <v>0</v>
      </c>
      <c r="BZ75" s="116" t="n"/>
      <c r="CA75" s="116" t="n"/>
    </row>
    <row r="76">
      <c r="A76" s="674" t="inlineStr">
        <is>
          <t>ZAAD INTENSE</t>
        </is>
      </c>
      <c r="B76" s="658" t="n"/>
      <c r="C76" s="658" t="n"/>
      <c r="D76" s="670" t="n"/>
      <c r="AG76" s="116" t="n">
        <v>0</v>
      </c>
      <c r="AH76" s="116" t="n">
        <v>20</v>
      </c>
      <c r="AI76" s="116" t="n">
        <v>15</v>
      </c>
      <c r="AJ76" s="116" t="n">
        <v>10</v>
      </c>
      <c r="AK76" s="116" t="n">
        <v>10</v>
      </c>
      <c r="AL76" s="116" t="n">
        <v>20</v>
      </c>
      <c r="AM76" s="116" t="n">
        <v>20</v>
      </c>
      <c r="AN76" s="116" t="n">
        <v>20</v>
      </c>
      <c r="AO76" s="116" t="n">
        <v>20</v>
      </c>
      <c r="AP76" s="116" t="n">
        <v>12</v>
      </c>
      <c r="AQ76" s="116" t="n">
        <v>12</v>
      </c>
      <c r="AR76" s="116" t="n">
        <v>12</v>
      </c>
      <c r="AS76" s="116" t="n">
        <v>6</v>
      </c>
      <c r="AT76" s="116" t="n">
        <v>0</v>
      </c>
      <c r="AU76" s="116" t="n">
        <v>0</v>
      </c>
      <c r="AV76" s="116" t="n">
        <v>0</v>
      </c>
      <c r="AW76" s="116" t="n">
        <v>0</v>
      </c>
      <c r="AX76" s="116" t="n">
        <v>0</v>
      </c>
      <c r="AY76" s="116" t="n">
        <v>0</v>
      </c>
      <c r="AZ76" s="116" t="n">
        <v>0</v>
      </c>
      <c r="BA76" s="116" t="n">
        <v>0</v>
      </c>
      <c r="BB76" s="116" t="n">
        <v>0</v>
      </c>
      <c r="BC76" s="116" t="n">
        <v>0</v>
      </c>
      <c r="BD76" s="116" t="n">
        <v>0</v>
      </c>
      <c r="BE76" s="116" t="n">
        <v>0</v>
      </c>
      <c r="BF76" s="116" t="n">
        <v>0</v>
      </c>
      <c r="BG76" s="116" t="n">
        <v>0</v>
      </c>
      <c r="BH76" s="116" t="n">
        <v>0</v>
      </c>
      <c r="BI76" s="116" t="n">
        <v>0</v>
      </c>
      <c r="BJ76" s="116" t="n">
        <v>0</v>
      </c>
      <c r="BK76" s="116" t="n">
        <v>0</v>
      </c>
      <c r="BL76" s="116" t="n">
        <v>0</v>
      </c>
      <c r="BM76" s="116" t="n">
        <v>0</v>
      </c>
      <c r="BN76" s="116" t="n">
        <v>0</v>
      </c>
      <c r="BO76" s="116" t="n">
        <v>0</v>
      </c>
      <c r="BP76" s="116" t="n">
        <v>0</v>
      </c>
      <c r="BQ76" s="116" t="n">
        <v>0</v>
      </c>
      <c r="BR76" s="116" t="n">
        <v>0</v>
      </c>
      <c r="BS76" s="116" t="n">
        <v>0</v>
      </c>
      <c r="BT76" s="116" t="n">
        <v>0</v>
      </c>
      <c r="BU76" s="116" t="n">
        <v>0</v>
      </c>
      <c r="BV76" s="116" t="n">
        <v>0</v>
      </c>
      <c r="BW76" s="116" t="n">
        <v>0</v>
      </c>
      <c r="BX76" s="116" t="n">
        <v>0</v>
      </c>
      <c r="BY76" s="116" t="n">
        <v>0</v>
      </c>
      <c r="BZ76" s="116" t="n"/>
      <c r="CA76" s="116" t="n"/>
    </row>
    <row r="77">
      <c r="A77" s="674" t="inlineStr">
        <is>
          <t>EGEO COGU</t>
        </is>
      </c>
      <c r="B77" s="658" t="n"/>
      <c r="C77" s="658" t="n"/>
      <c r="D77" s="670" t="n"/>
      <c r="AG77" s="116" t="n">
        <v>0</v>
      </c>
      <c r="AH77" s="116" t="n">
        <v>50</v>
      </c>
      <c r="AI77" s="116" t="n">
        <v>40</v>
      </c>
      <c r="AJ77" s="116" t="n">
        <v>30</v>
      </c>
      <c r="AK77" s="116" t="n">
        <v>30</v>
      </c>
      <c r="AL77" s="116" t="n">
        <v>30</v>
      </c>
      <c r="AM77" s="116" t="n">
        <v>30</v>
      </c>
      <c r="AN77" s="116" t="n">
        <v>30</v>
      </c>
      <c r="AO77" s="116" t="n">
        <v>30</v>
      </c>
      <c r="AP77" s="116" t="n">
        <v>20</v>
      </c>
      <c r="AQ77" s="116" t="n">
        <v>20</v>
      </c>
      <c r="AR77" s="116" t="n">
        <v>20</v>
      </c>
      <c r="AS77" s="116" t="n">
        <v>10</v>
      </c>
      <c r="AT77" s="116" t="n">
        <v>20</v>
      </c>
      <c r="AU77" s="116" t="n">
        <v>20</v>
      </c>
      <c r="AV77" s="116" t="n">
        <v>20</v>
      </c>
      <c r="AW77" s="116" t="n">
        <v>20</v>
      </c>
      <c r="AX77" s="116" t="n">
        <v>20</v>
      </c>
      <c r="AY77" s="116" t="n">
        <v>20</v>
      </c>
      <c r="AZ77" s="116" t="n">
        <v>20</v>
      </c>
      <c r="BA77" s="116" t="n">
        <v>20</v>
      </c>
      <c r="BB77" s="116" t="n">
        <v>20</v>
      </c>
      <c r="BC77" s="116" t="n">
        <v>20</v>
      </c>
      <c r="BD77" s="116" t="n">
        <v>0</v>
      </c>
      <c r="BE77" s="116" t="n">
        <v>0</v>
      </c>
      <c r="BF77" s="116" t="n">
        <v>0</v>
      </c>
      <c r="BG77" s="116" t="n">
        <v>0</v>
      </c>
      <c r="BH77" s="116" t="n">
        <v>0</v>
      </c>
      <c r="BI77" s="116" t="n">
        <v>0</v>
      </c>
      <c r="BJ77" s="116" t="n">
        <v>0</v>
      </c>
      <c r="BK77" s="116" t="n">
        <v>0</v>
      </c>
      <c r="BL77" s="116" t="n">
        <v>0</v>
      </c>
      <c r="BM77" s="116" t="n">
        <v>0</v>
      </c>
      <c r="BN77" s="116" t="n">
        <v>0</v>
      </c>
      <c r="BO77" s="116" t="n">
        <v>0</v>
      </c>
      <c r="BP77" s="116" t="n">
        <v>0</v>
      </c>
      <c r="BQ77" s="116" t="n">
        <v>0</v>
      </c>
      <c r="BR77" s="116" t="n">
        <v>0</v>
      </c>
      <c r="BS77" s="116" t="n">
        <v>0</v>
      </c>
      <c r="BT77" s="116" t="n">
        <v>0</v>
      </c>
      <c r="BU77" s="116" t="n">
        <v>0</v>
      </c>
      <c r="BV77" s="116" t="n">
        <v>0</v>
      </c>
      <c r="BW77" s="116" t="n">
        <v>0</v>
      </c>
      <c r="BX77" s="116" t="n">
        <v>0</v>
      </c>
      <c r="BY77" s="116" t="n">
        <v>0</v>
      </c>
      <c r="BZ77" s="116" t="n"/>
      <c r="CA77" s="116" t="n"/>
    </row>
    <row r="78">
      <c r="A78" s="674" t="inlineStr">
        <is>
          <t>HER CODE CLIMAX</t>
        </is>
      </c>
      <c r="B78" s="658" t="n"/>
      <c r="C78" s="658" t="n"/>
      <c r="D78" s="670" t="n"/>
      <c r="AJ78" s="116" t="n">
        <v>0</v>
      </c>
      <c r="AK78" s="116" t="n">
        <v>56</v>
      </c>
      <c r="AL78" s="116" t="n">
        <v>46</v>
      </c>
      <c r="AM78" s="116" t="n">
        <v>46</v>
      </c>
      <c r="AN78" s="116" t="n">
        <v>46</v>
      </c>
      <c r="AO78" s="116" t="n">
        <v>46</v>
      </c>
      <c r="AP78" s="116" t="n">
        <v>46</v>
      </c>
      <c r="AQ78" s="116" t="n">
        <v>46</v>
      </c>
      <c r="AR78" s="116" t="n">
        <v>48</v>
      </c>
      <c r="AS78" s="116" t="n">
        <v>30</v>
      </c>
      <c r="AT78" s="116" t="n">
        <v>32</v>
      </c>
      <c r="AU78" s="116" t="n">
        <v>32</v>
      </c>
      <c r="AV78" s="116" t="n">
        <v>32</v>
      </c>
      <c r="AW78" s="116" t="n">
        <v>32</v>
      </c>
      <c r="AX78" s="116" t="n">
        <v>32</v>
      </c>
      <c r="AY78" s="116" t="n">
        <v>32</v>
      </c>
      <c r="AZ78" s="116" t="n">
        <v>32</v>
      </c>
      <c r="BA78" s="116" t="n">
        <v>32</v>
      </c>
      <c r="BB78" s="116" t="n">
        <v>32</v>
      </c>
      <c r="BC78" s="116" t="n">
        <v>32</v>
      </c>
      <c r="BD78" s="116" t="n">
        <v>0</v>
      </c>
      <c r="BE78" s="116" t="n">
        <v>0</v>
      </c>
      <c r="BF78" s="116" t="n">
        <v>0</v>
      </c>
      <c r="BG78" s="116" t="n">
        <v>0</v>
      </c>
      <c r="BH78" s="116" t="n">
        <v>0</v>
      </c>
      <c r="BI78" s="116" t="n">
        <v>0</v>
      </c>
      <c r="BJ78" s="116" t="n">
        <v>0</v>
      </c>
      <c r="BK78" s="116" t="n">
        <v>0</v>
      </c>
      <c r="BL78" s="116" t="n">
        <v>0</v>
      </c>
      <c r="BM78" s="116" t="n">
        <v>0</v>
      </c>
      <c r="BN78" s="116" t="n">
        <v>0</v>
      </c>
      <c r="BO78" s="116" t="n">
        <v>0</v>
      </c>
      <c r="BP78" s="116" t="n">
        <v>0</v>
      </c>
      <c r="BQ78" s="116" t="n">
        <v>0</v>
      </c>
      <c r="BR78" s="116" t="n">
        <v>0</v>
      </c>
      <c r="BS78" s="116" t="n">
        <v>0</v>
      </c>
      <c r="BT78" s="116" t="n">
        <v>0</v>
      </c>
      <c r="BU78" s="116" t="n">
        <v>0</v>
      </c>
      <c r="BV78" s="116" t="n">
        <v>0</v>
      </c>
      <c r="BW78" s="116" t="n">
        <v>0</v>
      </c>
      <c r="BX78" s="116" t="n">
        <v>0</v>
      </c>
      <c r="BY78" s="116" t="n">
        <v>0</v>
      </c>
      <c r="BZ78" s="116" t="n"/>
      <c r="CA78" s="116" t="n"/>
    </row>
    <row r="79">
      <c r="A79" s="674" t="inlineStr">
        <is>
          <t>COFFEE UNIQUE</t>
        </is>
      </c>
      <c r="B79" s="658" t="n"/>
      <c r="C79" s="658" t="n"/>
      <c r="D79" s="670" t="n"/>
      <c r="AJ79" s="116" t="n"/>
      <c r="AK79" s="116" t="n"/>
      <c r="AL79" s="116" t="n"/>
      <c r="AM79" s="116" t="n"/>
      <c r="AN79" s="116" t="n"/>
      <c r="AO79" s="116" t="n"/>
      <c r="AP79" s="116" t="n"/>
      <c r="AQ79" s="116" t="n"/>
      <c r="AR79" s="116" t="n"/>
      <c r="AS79" s="116" t="n"/>
      <c r="AT79" s="116" t="n"/>
      <c r="AU79" s="116" t="n"/>
      <c r="AV79" s="116" t="n"/>
      <c r="AW79" s="116" t="n"/>
      <c r="AX79" s="116" t="n">
        <v>0</v>
      </c>
      <c r="AY79" s="116" t="n">
        <v>0</v>
      </c>
      <c r="AZ79" s="116" t="n">
        <v>50</v>
      </c>
      <c r="BA79" s="116" t="n">
        <v>50</v>
      </c>
      <c r="BB79" s="116" t="n">
        <v>50</v>
      </c>
      <c r="BC79" s="116" t="n">
        <v>50</v>
      </c>
      <c r="BD79" s="116" t="n">
        <v>0</v>
      </c>
      <c r="BE79" s="116" t="n">
        <v>0</v>
      </c>
      <c r="BF79" s="116" t="n">
        <v>0</v>
      </c>
      <c r="BG79" s="116" t="n">
        <v>0</v>
      </c>
      <c r="BH79" s="116" t="n">
        <v>0</v>
      </c>
      <c r="BI79" s="116" t="n">
        <v>0</v>
      </c>
      <c r="BJ79" s="116" t="n">
        <v>0</v>
      </c>
      <c r="BK79" s="116" t="n">
        <v>0</v>
      </c>
      <c r="BL79" s="116" t="n">
        <v>0</v>
      </c>
      <c r="BM79" s="116" t="n">
        <v>0</v>
      </c>
      <c r="BN79" s="116" t="n">
        <v>0</v>
      </c>
      <c r="BO79" s="116" t="n">
        <v>0</v>
      </c>
      <c r="BP79" s="116" t="n">
        <v>0</v>
      </c>
      <c r="BQ79" s="116" t="n">
        <v>0</v>
      </c>
      <c r="BR79" s="116" t="n">
        <v>0</v>
      </c>
      <c r="BS79" s="116" t="n">
        <v>0</v>
      </c>
      <c r="BT79" s="116" t="n">
        <v>0</v>
      </c>
      <c r="BU79" s="116" t="n">
        <v>0</v>
      </c>
      <c r="BV79" s="116" t="n">
        <v>0</v>
      </c>
      <c r="BW79" s="116" t="n">
        <v>0</v>
      </c>
      <c r="BX79" s="116" t="n">
        <v>0</v>
      </c>
      <c r="BY79" s="116" t="n">
        <v>0</v>
      </c>
      <c r="BZ79" s="116" t="n"/>
      <c r="CA79" s="116" t="n"/>
    </row>
    <row r="80">
      <c r="A80" s="674" t="n"/>
      <c r="B80" s="658" t="n"/>
      <c r="C80" s="658" t="n"/>
      <c r="D80" s="670" t="n"/>
      <c r="AX80" s="116" t="n"/>
      <c r="AY80" s="116" t="n"/>
      <c r="AZ80" s="116" t="n"/>
      <c r="BA80" s="116" t="n"/>
      <c r="BB80" s="116" t="n"/>
      <c r="BC80" s="116" t="n"/>
      <c r="BD80" s="116" t="n"/>
      <c r="BE80" s="116" t="n"/>
      <c r="BF80" s="116" t="n"/>
      <c r="BG80" s="116" t="n"/>
      <c r="BH80" s="116" t="n"/>
      <c r="BI80" s="116" t="n"/>
      <c r="BJ80" s="116" t="n"/>
      <c r="BK80" s="116" t="n"/>
      <c r="BL80" s="116" t="n"/>
      <c r="BM80" s="116" t="n"/>
      <c r="BN80" s="116" t="n"/>
      <c r="BO80" s="116" t="n"/>
      <c r="BP80" s="116" t="n"/>
      <c r="BQ80" s="116" t="n"/>
      <c r="BR80" s="116" t="n"/>
      <c r="BS80" s="116" t="n"/>
      <c r="BT80" s="116" t="n"/>
      <c r="BU80" s="116" t="n"/>
      <c r="BV80" s="116" t="n"/>
      <c r="BW80" s="116" t="n"/>
      <c r="BX80" s="116" t="n"/>
      <c r="BY80" s="116" t="n"/>
      <c r="BZ80" s="116" t="n"/>
      <c r="CA80" s="116" t="n"/>
    </row>
  </sheetData>
  <mergeCells count="47">
    <mergeCell ref="A53:D53"/>
    <mergeCell ref="F5:BZ5"/>
    <mergeCell ref="A62:D62"/>
    <mergeCell ref="A72:D72"/>
    <mergeCell ref="A52:D52"/>
    <mergeCell ref="A43:D43"/>
    <mergeCell ref="A63:D63"/>
    <mergeCell ref="A68:D68"/>
    <mergeCell ref="A44:D44"/>
    <mergeCell ref="A67:D67"/>
    <mergeCell ref="A58:D58"/>
    <mergeCell ref="A77:D77"/>
    <mergeCell ref="A48:D48"/>
    <mergeCell ref="A64:D64"/>
    <mergeCell ref="A59:D59"/>
    <mergeCell ref="FF7:FN7"/>
    <mergeCell ref="A73:D73"/>
    <mergeCell ref="A49:D49"/>
    <mergeCell ref="A51:D51"/>
    <mergeCell ref="A60:D60"/>
    <mergeCell ref="A5:A6"/>
    <mergeCell ref="A45:D45"/>
    <mergeCell ref="A70:D70"/>
    <mergeCell ref="A79:D79"/>
    <mergeCell ref="A61:D61"/>
    <mergeCell ref="A69:D69"/>
    <mergeCell ref="A78:D78"/>
    <mergeCell ref="A54:D54"/>
    <mergeCell ref="A65:D65"/>
    <mergeCell ref="A46:D46"/>
    <mergeCell ref="B5:B6"/>
    <mergeCell ref="A66:D66"/>
    <mergeCell ref="D5:D6"/>
    <mergeCell ref="A80:D80"/>
    <mergeCell ref="A75:D75"/>
    <mergeCell ref="B3:D3"/>
    <mergeCell ref="A56:D56"/>
    <mergeCell ref="A74:D74"/>
    <mergeCell ref="A50:D50"/>
    <mergeCell ref="A55:D55"/>
    <mergeCell ref="A57:D57"/>
    <mergeCell ref="A71:D71"/>
    <mergeCell ref="A47:D47"/>
    <mergeCell ref="A42:D42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7" fitToHeight="0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Planilha11">
    <tabColor theme="9"/>
    <outlinePr summaryBelow="1" summaryRight="1"/>
    <pageSetUpPr/>
  </sheetPr>
  <dimension ref="A1:JW78"/>
  <sheetViews>
    <sheetView showGridLines="0" zoomScale="80" zoomScaleNormal="80" workbookViewId="0">
      <selection activeCell="CB1" sqref="CB1:CB1048576"/>
    </sheetView>
  </sheetViews>
  <sheetFormatPr baseColWidth="8" defaultColWidth="9.140625" defaultRowHeight="18.75"/>
  <cols>
    <col width="28.42578125" customWidth="1" min="1" max="1"/>
    <col width="6.85546875" customWidth="1" min="2" max="2"/>
    <col hidden="1" width="15.28515625" customWidth="1" min="3" max="3"/>
    <col width="15.28515625" customWidth="1" min="4" max="4"/>
    <col width="1.85546875" customWidth="1" min="5" max="5"/>
    <col hidden="1" width="8.71093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710937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8.42578125" customWidth="1" min="84" max="84"/>
    <col width="1.7109375" customWidth="1" min="85" max="85"/>
    <col width="14.28515625" customWidth="1" min="86" max="86"/>
    <col width="1.7109375" customWidth="1" min="87" max="87"/>
    <col width="15.28515625" customWidth="1" min="88" max="88"/>
    <col width="2.140625" customWidth="1" min="89" max="89"/>
    <col width="8.140625" customWidth="1" min="90" max="90"/>
    <col width="13" customWidth="1" min="91" max="91"/>
    <col hidden="1" width="13" customWidth="1" min="92" max="92"/>
    <col hidden="1" width="8.7109375" customWidth="1" min="93" max="93"/>
    <col hidden="1" width="8.140625" customWidth="1" min="94" max="94"/>
    <col hidden="1" width="8.140625" customWidth="1" min="95" max="95"/>
    <col hidden="1" width="13.7109375" customWidth="1" min="96" max="96"/>
    <col hidden="1" width="8.140625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9.7109375" customWidth="1" min="105" max="105"/>
    <col hidden="1" width="13" customWidth="1" min="106" max="106"/>
    <col hidden="1" width="11.7109375" customWidth="1" min="107" max="107"/>
    <col hidden="1" width="12.28515625" customWidth="1" min="108" max="108"/>
    <col hidden="1" width="13.7109375" customWidth="1" min="109" max="109"/>
    <col hidden="1" width="11.7109375" customWidth="1" min="110" max="110"/>
    <col hidden="1" width="9.7109375" customWidth="1" min="111" max="111"/>
    <col hidden="1" width="11.7109375" customWidth="1" min="112" max="112"/>
    <col hidden="1" width="8.7109375" customWidth="1" min="113" max="113"/>
    <col hidden="1" width="9.7109375" customWidth="1" min="114" max="114"/>
    <col hidden="1" width="13" customWidth="1" min="115" max="115"/>
    <col hidden="1" width="13.85546875" customWidth="1" min="116" max="116"/>
    <col hidden="1" width="11.7109375" customWidth="1" min="117" max="117"/>
    <col hidden="1" width="13.85546875" customWidth="1" min="118" max="118"/>
    <col hidden="1" width="11.7109375" customWidth="1" min="119" max="119"/>
    <col hidden="1" width="9.7109375" customWidth="1" min="120" max="120"/>
    <col hidden="1" width="13" customWidth="1" min="121" max="121"/>
    <col hidden="1" width="13" customWidth="1" min="122" max="122"/>
    <col hidden="1" width="13" customWidth="1" min="123" max="123"/>
    <col hidden="1" width="12.28515625" customWidth="1" min="124" max="124"/>
    <col hidden="1" width="8.7109375" customWidth="1" min="125" max="125"/>
    <col hidden="1" width="17.5703125" customWidth="1" min="126" max="126"/>
    <col hidden="1" width="9.7109375" customWidth="1" min="127" max="127"/>
    <col hidden="1" width="13" customWidth="1" min="128" max="128"/>
    <col hidden="1" width="13" customWidth="1" min="129" max="129"/>
    <col hidden="1" width="11" customWidth="1" min="130" max="130"/>
    <col hidden="1" width="9.7109375" customWidth="1" min="131" max="131"/>
    <col hidden="1" width="13" customWidth="1" min="132" max="132"/>
    <col hidden="1" width="13.5703125" customWidth="1" min="133" max="133"/>
    <col hidden="1" width="14" customWidth="1" min="134" max="134"/>
    <col hidden="1" width="24.28515625" customWidth="1" min="135" max="135"/>
    <col hidden="1" width="22.85546875" customWidth="1" min="136" max="136"/>
    <col hidden="1" width="9.7109375" customWidth="1" min="137" max="137"/>
    <col hidden="1" width="13.28515625" customWidth="1" min="138" max="138"/>
    <col hidden="1" width="9.7109375" customWidth="1" min="139" max="139"/>
    <col hidden="1" width="12.28515625" customWidth="1" min="140" max="140"/>
    <col hidden="1" width="14" customWidth="1" min="141" max="141"/>
    <col hidden="1" width="9.7109375" customWidth="1" min="142" max="142"/>
    <col hidden="1" width="13" customWidth="1" min="143" max="143"/>
    <col hidden="1" width="13" customWidth="1" min="144" max="144"/>
    <col hidden="1" width="12.28515625" customWidth="1" min="145" max="145"/>
    <col hidden="1" width="9.7109375" customWidth="1" min="146" max="146"/>
    <col hidden="1" width="12" customWidth="1" min="147" max="147"/>
    <col hidden="1" width="9.7109375" customWidth="1" min="148" max="148"/>
    <col hidden="1" width="24.28515625" customWidth="1" min="149" max="149"/>
    <col hidden="1" width="9.7109375" customWidth="1" min="150" max="150"/>
    <col hidden="1" width="15" customWidth="1" min="151" max="151"/>
    <col hidden="1" width="9.7109375" customWidth="1" min="152" max="152"/>
    <col hidden="1" width="15" customWidth="1" min="153" max="153"/>
    <col hidden="1" width="9.7109375" customWidth="1" min="154" max="154"/>
    <col hidden="1" width="13" customWidth="1" min="155" max="155"/>
    <col hidden="1" width="13" customWidth="1" min="156" max="156"/>
    <col hidden="1" width="22.85546875" customWidth="1" min="157" max="157"/>
    <col hidden="1" width="9.7109375" customWidth="1" min="158" max="158"/>
    <col hidden="1" width="13" customWidth="1" min="159" max="159"/>
    <col width="4" customWidth="1" min="160" max="160"/>
    <col width="21.85546875" customWidth="1" min="161" max="161"/>
    <col width="9.140625" customWidth="1" min="162" max="162"/>
    <col hidden="1" width="13" customWidth="1" min="163" max="163"/>
    <col hidden="1" width="13" customWidth="1" min="164" max="164"/>
    <col hidden="1" width="13" customWidth="1" min="165" max="165"/>
    <col hidden="1" width="13" customWidth="1" min="166" max="166"/>
    <col hidden="1" width="13" customWidth="1" min="167" max="167"/>
    <col hidden="1" width="9.140625" customWidth="1" min="168" max="168"/>
    <col hidden="1" width="13" customWidth="1" min="169" max="169"/>
    <col hidden="1" width="13" customWidth="1" min="170" max="170"/>
    <col hidden="1" width="13" customWidth="1" min="171" max="171"/>
    <col hidden="1" width="13" customWidth="1" min="172" max="172"/>
    <col width="13" customWidth="1" min="173" max="173"/>
    <col width="13" customWidth="1" min="174" max="174"/>
    <col width="4.85546875" customWidth="1" min="176" max="176"/>
    <col width="9.140625" customWidth="1" min="177" max="177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5" t="n"/>
      <c r="CJ1" s="75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284" t="n"/>
      <c r="EE1" s="74" t="n"/>
      <c r="EF1" s="74" t="n"/>
      <c r="EG1" s="74" t="n"/>
      <c r="EH1" s="74" t="n"/>
      <c r="EI1" s="74" t="n"/>
      <c r="EJ1" s="74" t="n"/>
      <c r="EK1" s="284" t="n"/>
      <c r="EL1" s="74" t="n"/>
      <c r="EM1" s="74" t="n"/>
      <c r="EN1" s="74" t="n"/>
      <c r="EO1" s="284" t="n"/>
      <c r="EP1" s="74" t="n"/>
      <c r="EQ1" s="28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</row>
    <row r="2">
      <c r="A2" s="50" t="inlineStr">
        <is>
          <t>LOJA:</t>
        </is>
      </c>
      <c r="B2" s="639" t="inlineStr">
        <is>
          <t>ATACADÃO</t>
        </is>
      </c>
      <c r="C2" s="640" t="n"/>
      <c r="D2" s="641" t="n"/>
      <c r="CH2" s="6" t="n"/>
      <c r="CI2" s="6" t="n"/>
      <c r="CJ2" s="6" t="n"/>
      <c r="CK2" s="6" t="n"/>
      <c r="CL2" s="6" t="n"/>
      <c r="CM2" s="6" t="n"/>
      <c r="CN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F2" s="6" t="n"/>
      <c r="DG2" s="6" t="n"/>
      <c r="DH2" s="6" t="n"/>
      <c r="DJ2" s="6" t="n"/>
      <c r="DK2" s="6" t="n"/>
      <c r="DL2" s="6" t="n"/>
      <c r="DM2" s="6" t="n"/>
      <c r="DN2" s="6" t="n"/>
      <c r="DO2" s="6" t="n"/>
      <c r="DP2" s="6" t="n"/>
      <c r="DQ2" s="6" t="n"/>
      <c r="DR2" s="6" t="n"/>
      <c r="DS2" s="6" t="n"/>
      <c r="DW2" s="6" t="n"/>
      <c r="DX2" s="6" t="n"/>
      <c r="DY2" s="6" t="n"/>
      <c r="DZ2" s="6" t="n"/>
      <c r="EA2" s="6" t="n"/>
      <c r="EB2" s="6" t="n"/>
      <c r="EC2" s="6" t="n"/>
      <c r="EE2" s="6" t="n"/>
      <c r="EG2" s="6" t="n"/>
      <c r="EH2" s="6" t="n"/>
      <c r="EI2" s="6" t="n"/>
      <c r="EJ2" s="6" t="n"/>
      <c r="EL2" s="6" t="n"/>
      <c r="EM2" s="6" t="n"/>
      <c r="EN2" s="6" t="n"/>
      <c r="EP2" s="6" t="n"/>
      <c r="ER2" s="6" t="n"/>
      <c r="ES2" s="6" t="n"/>
      <c r="ET2" s="6" t="n"/>
      <c r="EU2" s="6" t="n"/>
      <c r="EV2" s="6" t="n"/>
      <c r="EW2" s="6" t="n"/>
      <c r="EX2" s="6" t="n"/>
      <c r="EY2" s="6" t="n"/>
      <c r="EZ2" s="6" t="n"/>
      <c r="FB2" s="6" t="n"/>
      <c r="FC2" s="6" t="n"/>
    </row>
    <row r="3" ht="18.75" customHeight="1">
      <c r="A3" s="50" t="inlineStr">
        <is>
          <t>Responsável:</t>
        </is>
      </c>
      <c r="B3" s="253" t="inlineStr">
        <is>
          <t>RAIANE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706" t="n"/>
      <c r="AB3" s="706" t="n"/>
      <c r="AC3" s="706" t="n"/>
      <c r="AD3" s="706" t="n"/>
      <c r="AE3" s="706" t="n"/>
      <c r="AF3" s="706" t="n"/>
      <c r="AG3" s="706" t="n"/>
      <c r="AH3" s="706" t="n"/>
      <c r="AI3" s="706" t="n"/>
      <c r="AJ3" s="706" t="n"/>
      <c r="AK3" s="706" t="n"/>
      <c r="AL3" s="706" t="n"/>
      <c r="AM3" s="706" t="n"/>
      <c r="AN3" s="706" t="n"/>
      <c r="AO3" s="706" t="n"/>
      <c r="AP3" s="706" t="n"/>
      <c r="AQ3" s="706" t="n"/>
      <c r="AR3" s="706" t="n"/>
      <c r="AS3" s="706" t="n"/>
      <c r="AT3" s="706" t="n"/>
      <c r="AU3" s="706" t="n"/>
      <c r="AV3" s="706" t="n"/>
      <c r="AW3" s="706" t="n"/>
      <c r="AX3" s="706" t="n"/>
      <c r="AY3" s="706" t="n"/>
      <c r="AZ3" s="706" t="n"/>
      <c r="BA3" s="706" t="n"/>
      <c r="BB3" s="706" t="n"/>
      <c r="BC3" s="706" t="n"/>
      <c r="BD3" s="706" t="n"/>
      <c r="BE3" s="706" t="n"/>
      <c r="BF3" s="706" t="n"/>
      <c r="BG3" s="706" t="n"/>
      <c r="BH3" s="706" t="n"/>
      <c r="BI3" s="706" t="n"/>
      <c r="BJ3" s="706" t="n"/>
      <c r="BK3" s="706" t="n"/>
      <c r="BL3" s="706" t="n"/>
      <c r="BM3" s="706" t="n"/>
      <c r="BN3" s="706" t="n"/>
      <c r="BO3" s="706" t="n"/>
      <c r="BP3" s="706" t="n"/>
      <c r="BQ3" s="706" t="n"/>
      <c r="BR3" s="706" t="n"/>
      <c r="BS3" s="706" t="n"/>
      <c r="BT3" s="706" t="n"/>
      <c r="BU3" s="706" t="n"/>
      <c r="BV3" s="706" t="n"/>
      <c r="BW3" s="706" t="n"/>
      <c r="BX3" s="706" t="n"/>
      <c r="BY3" s="706" t="n"/>
      <c r="BZ3" s="706" t="n"/>
      <c r="CA3" s="706" t="n"/>
      <c r="CB3" s="706" t="n"/>
      <c r="CC3" s="707" t="n"/>
      <c r="CD3" s="707" t="n"/>
      <c r="CE3" s="707" t="n"/>
      <c r="CF3" s="642" t="n"/>
      <c r="CG3" s="642" t="n"/>
      <c r="CH3" s="642" t="n"/>
      <c r="CI3" s="642" t="n"/>
      <c r="CK3" s="642" t="n"/>
      <c r="CL3" s="642" t="n"/>
      <c r="CM3" s="642" t="n"/>
      <c r="CN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F3" s="642" t="n"/>
      <c r="DG3" s="642" t="n"/>
      <c r="DH3" s="642" t="n"/>
      <c r="DJ3" s="642" t="n"/>
      <c r="DK3" s="642" t="n"/>
      <c r="DL3" s="642" t="n"/>
      <c r="DM3" s="642" t="n"/>
      <c r="DN3" s="642" t="n"/>
      <c r="DO3" s="642" t="n"/>
      <c r="DP3" s="642" t="n"/>
      <c r="DQ3" s="642" t="n"/>
      <c r="DR3" s="642" t="n"/>
      <c r="DS3" s="642" t="n"/>
      <c r="DW3" s="642" t="n"/>
      <c r="DX3" s="642" t="n"/>
      <c r="DY3" s="642" t="n"/>
      <c r="DZ3" s="642" t="n"/>
      <c r="EA3" s="642" t="n"/>
      <c r="EB3" s="642" t="n"/>
      <c r="EC3" s="642" t="n"/>
      <c r="EE3" s="642" t="n"/>
      <c r="EG3" s="642" t="n"/>
      <c r="EH3" s="642" t="n"/>
      <c r="EI3" s="642" t="n"/>
      <c r="EJ3" s="642" t="n"/>
      <c r="EL3" s="642" t="n"/>
      <c r="EM3" s="642" t="n"/>
      <c r="EN3" s="642" t="n"/>
      <c r="EP3" s="642" t="n"/>
      <c r="ER3" s="642" t="n"/>
      <c r="ES3" s="642" t="n"/>
      <c r="ET3" s="642" t="n"/>
      <c r="EU3" s="642" t="n"/>
      <c r="EV3" s="642" t="n"/>
      <c r="EW3" s="642" t="n"/>
      <c r="EX3" s="642" t="n"/>
      <c r="EY3" s="642" t="n"/>
      <c r="EZ3" s="642" t="n"/>
      <c r="FB3" s="642" t="n"/>
      <c r="FC3" s="642" t="n"/>
    </row>
    <row r="4">
      <c r="CH4" s="6" t="n"/>
      <c r="CI4" s="6" t="n"/>
      <c r="CJ4" s="6" t="n"/>
      <c r="CK4" s="6" t="n"/>
      <c r="CL4" s="6" t="n"/>
      <c r="CM4" s="6" t="n"/>
      <c r="CN4" s="6" t="n"/>
      <c r="CO4" s="254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254" t="n"/>
      <c r="DE4" s="254" t="n"/>
      <c r="DF4" s="6" t="n"/>
      <c r="DG4" s="6" t="n"/>
      <c r="DH4" s="6" t="n"/>
      <c r="DI4" s="254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254" t="n"/>
      <c r="DU4" s="254" t="n"/>
      <c r="DV4" s="254" t="n"/>
      <c r="DW4" s="6" t="n"/>
      <c r="DX4" s="6" t="n"/>
      <c r="DY4" s="6" t="n"/>
      <c r="DZ4" s="6" t="n"/>
      <c r="EA4" s="6" t="n"/>
      <c r="EB4" s="6" t="n"/>
      <c r="EC4" s="6" t="n"/>
      <c r="ED4" s="286" t="n"/>
      <c r="EE4" s="6" t="n"/>
      <c r="EF4" s="254" t="n"/>
      <c r="EG4" s="6" t="n"/>
      <c r="EH4" s="6" t="n"/>
      <c r="EI4" s="6" t="n"/>
      <c r="EJ4" s="6" t="n"/>
      <c r="EK4" s="286" t="n"/>
      <c r="EL4" s="6" t="n"/>
      <c r="EM4" s="6" t="n"/>
      <c r="EN4" s="6" t="n"/>
      <c r="EO4" s="286" t="n"/>
      <c r="EP4" s="6" t="n"/>
      <c r="EQ4" s="286" t="n"/>
      <c r="ER4" s="6" t="n"/>
      <c r="ES4" s="6" t="n"/>
      <c r="ET4" s="6" t="n"/>
      <c r="EU4" s="6" t="n"/>
      <c r="EV4" s="6" t="n"/>
      <c r="EW4" s="6" t="n"/>
      <c r="EX4" s="6" t="n"/>
      <c r="EY4" s="6" t="n"/>
      <c r="EZ4" s="6" t="n"/>
      <c r="FA4" s="254" t="n"/>
      <c r="FB4" s="6" t="n"/>
      <c r="FC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510" t="n"/>
      <c r="CF5" s="153" t="n"/>
      <c r="CH5" s="35" t="inlineStr">
        <is>
          <t>Pendências</t>
        </is>
      </c>
      <c r="CI5" s="6" t="n"/>
      <c r="CJ5" s="12" t="inlineStr">
        <is>
          <t>Novo Pedido</t>
        </is>
      </c>
      <c r="CK5" s="677" t="n">
        <v>46161.4828714264</v>
      </c>
      <c r="CL5" s="646" t="n">
        <v>46149</v>
      </c>
      <c r="CM5" s="646" t="n">
        <v>46142</v>
      </c>
      <c r="CN5" s="646" t="n">
        <v>46114</v>
      </c>
      <c r="CO5" s="647" t="n">
        <v>46065</v>
      </c>
      <c r="CP5" s="646" t="n">
        <v>46099</v>
      </c>
      <c r="CQ5" s="646" t="n">
        <v>46092</v>
      </c>
      <c r="CR5" s="648" t="inlineStr">
        <is>
          <t>TRANSF.</t>
        </is>
      </c>
      <c r="CS5" s="646" t="n">
        <v>46071</v>
      </c>
      <c r="CT5" s="646" t="n">
        <v>46043</v>
      </c>
      <c r="CU5" s="646" t="n">
        <v>46035</v>
      </c>
      <c r="CV5" s="646" t="n">
        <v>46029</v>
      </c>
      <c r="CW5" s="646" t="n">
        <v>46017</v>
      </c>
      <c r="CX5" s="646" t="n">
        <v>46007</v>
      </c>
      <c r="CY5" s="646" t="n">
        <v>46007</v>
      </c>
      <c r="CZ5" s="646" t="n">
        <v>46001</v>
      </c>
      <c r="DA5" s="646" t="n">
        <v>45980</v>
      </c>
      <c r="DB5" s="646" t="n">
        <v>45951</v>
      </c>
      <c r="DC5" s="648" t="inlineStr">
        <is>
          <t>TRANSF.</t>
        </is>
      </c>
      <c r="DD5" s="678" t="inlineStr">
        <is>
          <t>TRANSF.</t>
        </is>
      </c>
      <c r="DE5" s="678" t="inlineStr">
        <is>
          <t>TRANSF.</t>
        </is>
      </c>
      <c r="DF5" s="648" t="inlineStr">
        <is>
          <t>TRANSF.</t>
        </is>
      </c>
      <c r="DG5" s="646" t="n">
        <v>45937</v>
      </c>
      <c r="DH5" s="648" t="inlineStr">
        <is>
          <t>TRANSF.</t>
        </is>
      </c>
      <c r="DI5" s="678" t="n">
        <v>45903</v>
      </c>
      <c r="DJ5" s="646" t="n">
        <v>45923</v>
      </c>
      <c r="DK5" s="646" t="n">
        <v>45915</v>
      </c>
      <c r="DL5" s="679" t="inlineStr">
        <is>
          <t>TRANSF.</t>
        </is>
      </c>
      <c r="DM5" s="648" t="inlineStr">
        <is>
          <t>TRANSF.</t>
        </is>
      </c>
      <c r="DN5" s="679" t="inlineStr">
        <is>
          <t>TRANSF.</t>
        </is>
      </c>
      <c r="DO5" s="648" t="inlineStr">
        <is>
          <t>TRANSF.</t>
        </is>
      </c>
      <c r="DP5" s="646" t="n">
        <v>45895</v>
      </c>
      <c r="DQ5" s="646" t="n">
        <v>45881</v>
      </c>
      <c r="DR5" s="646" t="n">
        <v>45874</v>
      </c>
      <c r="DS5" s="646" t="n">
        <v>45848</v>
      </c>
      <c r="DT5" s="681" t="inlineStr">
        <is>
          <t>TRANSF.</t>
        </is>
      </c>
      <c r="DU5" s="681" t="n">
        <v>45791</v>
      </c>
      <c r="DV5" s="681" t="inlineStr">
        <is>
          <t>AUTOMÁTICO</t>
        </is>
      </c>
      <c r="DW5" s="646" t="n">
        <v>45832</v>
      </c>
      <c r="DX5" s="646" t="n">
        <v>45825</v>
      </c>
      <c r="DY5" s="646" t="n">
        <v>45813</v>
      </c>
      <c r="DZ5" s="648" t="inlineStr">
        <is>
          <t>TRANSF.</t>
        </is>
      </c>
      <c r="EA5" s="646" t="n">
        <v>45805</v>
      </c>
      <c r="EB5" s="646" t="n">
        <v>45798</v>
      </c>
      <c r="EC5" s="683" t="inlineStr">
        <is>
          <t>TRANSF.</t>
        </is>
      </c>
      <c r="ED5" s="684" t="inlineStr">
        <is>
          <t>TRANSF.</t>
        </is>
      </c>
      <c r="EE5" s="680" t="inlineStr">
        <is>
          <t>TRANSF. DISNEY/24</t>
        </is>
      </c>
      <c r="EF5" s="685" t="inlineStr">
        <is>
          <t>TRANSF. NATAL/24</t>
        </is>
      </c>
      <c r="EG5" s="654" t="n">
        <v>45790</v>
      </c>
      <c r="EH5" s="648" t="inlineStr">
        <is>
          <t>TRANSF.</t>
        </is>
      </c>
      <c r="EI5" s="683" t="n">
        <v>45735</v>
      </c>
      <c r="EJ5" s="648" t="inlineStr">
        <is>
          <t>TRANSF.</t>
        </is>
      </c>
      <c r="EK5" s="684" t="inlineStr">
        <is>
          <t>TRANSF.</t>
        </is>
      </c>
      <c r="EL5" s="646" t="n">
        <v>45783</v>
      </c>
      <c r="EM5" s="646" t="n">
        <v>45770</v>
      </c>
      <c r="EN5" s="646" t="n">
        <v>45756</v>
      </c>
      <c r="EO5" s="684" t="inlineStr">
        <is>
          <t>TRANSF.</t>
        </is>
      </c>
      <c r="EP5" s="646" t="n">
        <v>45734</v>
      </c>
      <c r="EQ5" s="684" t="n">
        <v>45700</v>
      </c>
      <c r="ER5" s="646" t="n">
        <v>45722</v>
      </c>
      <c r="ES5" s="680" t="inlineStr">
        <is>
          <t>TRANSF. DISNEY/24</t>
        </is>
      </c>
      <c r="ET5" s="646" t="n">
        <v>45706</v>
      </c>
      <c r="EU5" s="648" t="inlineStr">
        <is>
          <t>TRANSF.</t>
        </is>
      </c>
      <c r="EV5" s="646" t="n">
        <v>45699</v>
      </c>
      <c r="EW5" s="648" t="inlineStr">
        <is>
          <t>TRANSF.</t>
        </is>
      </c>
      <c r="EX5" s="646" t="n">
        <v>45685</v>
      </c>
      <c r="EY5" s="646" t="n">
        <v>45679</v>
      </c>
      <c r="EZ5" s="646" t="n">
        <v>45664</v>
      </c>
      <c r="FA5" s="685" t="inlineStr">
        <is>
          <t>TRANSF. NATAL/24</t>
        </is>
      </c>
      <c r="FB5" s="646" t="n">
        <v>45660</v>
      </c>
      <c r="FC5" s="646" t="n">
        <v>45652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46161.48003486111</v>
      </c>
      <c r="CD6" s="651" t="n">
        <v>46161.48071435185</v>
      </c>
      <c r="CE6" s="651" t="n">
        <v>46161.48287244294</v>
      </c>
      <c r="CF6" s="652" t="inlineStr">
        <is>
          <t>USOU</t>
        </is>
      </c>
      <c r="CG6" s="54" t="n"/>
      <c r="CH6" s="214" t="n"/>
      <c r="CI6" s="653" t="n"/>
      <c r="CJ6" s="656" t="n">
        <v>46156</v>
      </c>
      <c r="CK6" s="708" t="n">
        <v>46161.48287142664</v>
      </c>
      <c r="CL6" s="654" t="n">
        <v>46154</v>
      </c>
      <c r="CM6" s="654" t="n">
        <v>46148</v>
      </c>
      <c r="CN6" s="654" t="n">
        <v>46121</v>
      </c>
      <c r="CO6" s="647" t="n">
        <v>46111</v>
      </c>
      <c r="CP6" s="654" t="n">
        <v>46105</v>
      </c>
      <c r="CQ6" s="654" t="n">
        <v>46098</v>
      </c>
      <c r="CR6" s="655" t="n">
        <v>46080</v>
      </c>
      <c r="CS6" s="654" t="n">
        <v>46078</v>
      </c>
      <c r="CT6" s="654" t="n">
        <v>46051</v>
      </c>
      <c r="CU6" s="654" t="n">
        <v>46039</v>
      </c>
      <c r="CV6" s="654" t="n">
        <v>46036</v>
      </c>
      <c r="CW6" s="654" t="n">
        <v>46030</v>
      </c>
      <c r="CX6" s="654" t="n">
        <v>46027</v>
      </c>
      <c r="CY6" s="654" t="n">
        <v>46014</v>
      </c>
      <c r="CZ6" s="654" t="n">
        <v>46009</v>
      </c>
      <c r="DA6" s="654" t="n">
        <v>45992</v>
      </c>
      <c r="DB6" s="654" t="n">
        <v>45959</v>
      </c>
      <c r="DC6" s="655" t="n">
        <v>45954</v>
      </c>
      <c r="DD6" s="687" t="n">
        <v>45954</v>
      </c>
      <c r="DE6" s="687" t="n">
        <v>45952</v>
      </c>
      <c r="DF6" s="655" t="n">
        <v>45950</v>
      </c>
      <c r="DG6" s="654" t="n">
        <v>45946</v>
      </c>
      <c r="DH6" s="655" t="n">
        <v>45941</v>
      </c>
      <c r="DI6" s="687" t="n">
        <v>45932</v>
      </c>
      <c r="DJ6" s="654" t="n">
        <v>45930</v>
      </c>
      <c r="DK6" s="654" t="n">
        <v>45925</v>
      </c>
      <c r="DL6" s="688" t="n">
        <v>45924</v>
      </c>
      <c r="DM6" s="655" t="n">
        <v>45923</v>
      </c>
      <c r="DN6" s="688" t="n">
        <v>45922</v>
      </c>
      <c r="DO6" s="655" t="n">
        <v>45915</v>
      </c>
      <c r="DP6" s="654" t="n">
        <v>45898</v>
      </c>
      <c r="DQ6" s="654" t="n">
        <v>45888</v>
      </c>
      <c r="DR6" s="654" t="n">
        <v>45877</v>
      </c>
      <c r="DS6" s="654" t="n">
        <v>45853</v>
      </c>
      <c r="DT6" s="681" t="n">
        <v>45848</v>
      </c>
      <c r="DU6" s="681" t="n">
        <v>45840</v>
      </c>
      <c r="DV6" s="681" t="n">
        <v>45838</v>
      </c>
      <c r="DW6" s="654" t="n">
        <v>45838</v>
      </c>
      <c r="DX6" s="654" t="n">
        <v>45831</v>
      </c>
      <c r="DY6" s="654" t="n">
        <v>45821</v>
      </c>
      <c r="DZ6" s="655" t="n">
        <v>45820</v>
      </c>
      <c r="EA6" s="654" t="n">
        <v>45811</v>
      </c>
      <c r="EB6" s="654" t="n">
        <v>45800</v>
      </c>
      <c r="EC6" s="690" t="n">
        <v>45798</v>
      </c>
      <c r="ED6" s="684" t="n">
        <v>45798</v>
      </c>
      <c r="EE6" s="689" t="n">
        <v>45798</v>
      </c>
      <c r="EF6" s="685" t="n">
        <v>45798</v>
      </c>
      <c r="EG6" s="654" t="n">
        <v>45793</v>
      </c>
      <c r="EH6" s="655" t="n">
        <v>45790</v>
      </c>
      <c r="EI6" s="690" t="n">
        <v>45790</v>
      </c>
      <c r="EJ6" s="655" t="n">
        <v>45785</v>
      </c>
      <c r="EK6" s="684" t="n">
        <v>45785</v>
      </c>
      <c r="EL6" s="654" t="n">
        <v>45785</v>
      </c>
      <c r="EM6" s="654" t="n">
        <v>45777</v>
      </c>
      <c r="EN6" s="654" t="n">
        <v>45762</v>
      </c>
      <c r="EO6" s="684" t="n">
        <v>45751</v>
      </c>
      <c r="EP6" s="654" t="n">
        <v>45747</v>
      </c>
      <c r="EQ6" s="684" t="n">
        <v>45733</v>
      </c>
      <c r="ER6" s="654" t="n">
        <v>45727</v>
      </c>
      <c r="ES6" s="689" t="n">
        <v>45723</v>
      </c>
      <c r="ET6" s="654" t="n">
        <v>45721</v>
      </c>
      <c r="EU6" s="655" t="n">
        <v>45721</v>
      </c>
      <c r="EV6" s="654" t="n">
        <v>45707</v>
      </c>
      <c r="EW6" s="655" t="n">
        <v>45695</v>
      </c>
      <c r="EX6" s="654" t="n">
        <v>45692</v>
      </c>
      <c r="EY6" s="654" t="n">
        <v>45684</v>
      </c>
      <c r="EZ6" s="654" t="n">
        <v>45671</v>
      </c>
      <c r="FA6" s="685" t="n">
        <v>45670</v>
      </c>
      <c r="FB6" s="654" t="n">
        <v>45665</v>
      </c>
      <c r="FC6" s="654" t="n">
        <v>45660</v>
      </c>
      <c r="FE6" s="6" t="n"/>
      <c r="FF6" s="6" t="n"/>
      <c r="FG6" s="6" t="n"/>
      <c r="FH6" s="6" t="n"/>
      <c r="FI6" s="6" t="n"/>
      <c r="FJ6" s="6" t="n"/>
      <c r="FK6" s="6" t="n"/>
      <c r="FL6" s="6" t="n"/>
      <c r="FM6" s="6" t="n"/>
      <c r="FN6" s="6" t="n"/>
      <c r="FO6" s="6" t="n"/>
      <c r="FP6" s="6" t="n"/>
      <c r="FQ6" s="6" t="n"/>
      <c r="FR6" s="6" t="n"/>
      <c r="FS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575" t="n"/>
      <c r="CG7" s="6" t="n"/>
      <c r="CH7" s="89" t="n"/>
      <c r="CJ7" s="76" t="n"/>
      <c r="CK7" s="283" t="n"/>
      <c r="CL7" s="283" t="n"/>
      <c r="CM7" s="283" t="n"/>
      <c r="CN7" s="283" t="n"/>
      <c r="CO7" s="575" t="inlineStr">
        <is>
          <t>MÃES</t>
        </is>
      </c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575" t="n"/>
      <c r="DE7" s="575" t="n"/>
      <c r="DF7" s="283" t="n"/>
      <c r="DG7" s="283" t="n"/>
      <c r="DH7" s="283" t="n"/>
      <c r="DI7" s="575" t="n"/>
      <c r="DJ7" s="283" t="n"/>
      <c r="DK7" s="283" t="n"/>
      <c r="DL7" s="575" t="n"/>
      <c r="DM7" s="283" t="n"/>
      <c r="DN7" s="575" t="n"/>
      <c r="DO7" s="283" t="n"/>
      <c r="DP7" s="283" t="n"/>
      <c r="DQ7" s="283" t="n"/>
      <c r="DR7" s="283" t="n"/>
      <c r="DS7" s="283" t="n"/>
      <c r="DT7" s="575" t="inlineStr">
        <is>
          <t>PAIS/25</t>
        </is>
      </c>
      <c r="DU7" s="575" t="n"/>
      <c r="DV7" s="575" t="n"/>
      <c r="DW7" s="283" t="n"/>
      <c r="DX7" s="283" t="n"/>
      <c r="DY7" s="283" t="n"/>
      <c r="DZ7" s="283" t="n"/>
      <c r="EA7" s="283" t="n"/>
      <c r="EB7" s="283" t="n"/>
      <c r="EC7" s="575" t="inlineStr">
        <is>
          <t>NAMO/25</t>
        </is>
      </c>
      <c r="ED7" s="575" t="inlineStr">
        <is>
          <t>MÃES/25</t>
        </is>
      </c>
      <c r="EE7" s="575" t="n"/>
      <c r="EF7" s="575" t="n"/>
      <c r="EG7" s="575" t="n"/>
      <c r="EH7" s="575" t="n"/>
      <c r="EI7" s="283" t="n"/>
      <c r="EJ7" s="575" t="n"/>
      <c r="EK7" s="575" t="inlineStr">
        <is>
          <t>MÃES/25</t>
        </is>
      </c>
      <c r="EL7" s="575" t="n"/>
      <c r="EM7" s="575" t="n"/>
      <c r="EN7" s="575" t="n"/>
      <c r="EO7" s="575" t="inlineStr">
        <is>
          <t>MÃES/25</t>
        </is>
      </c>
      <c r="EP7" s="575" t="n"/>
      <c r="EQ7" s="575" t="inlineStr">
        <is>
          <t>MÃES/25</t>
        </is>
      </c>
      <c r="ER7" s="575" t="n"/>
      <c r="ES7" s="575" t="n"/>
      <c r="ET7" s="575" t="n"/>
      <c r="EU7" s="575" t="n"/>
      <c r="EV7" s="575" t="n"/>
      <c r="EW7" s="575" t="n"/>
      <c r="EX7" s="575" t="n"/>
      <c r="EY7" s="575" t="n"/>
      <c r="EZ7" s="575" t="n"/>
      <c r="FA7" s="575" t="n"/>
      <c r="FB7" s="575" t="n"/>
      <c r="FC7" s="575" t="n"/>
      <c r="FD7" s="658" t="n"/>
      <c r="FE7" s="658" t="n"/>
      <c r="FF7" s="658" t="n"/>
      <c r="FG7" s="658" t="n"/>
      <c r="FH7" s="658" t="n"/>
      <c r="FI7" s="658" t="n"/>
      <c r="FJ7" s="658" t="n"/>
      <c r="FK7" s="670" t="n"/>
      <c r="FL7" s="747" t="n"/>
      <c r="FM7" s="658" t="n"/>
      <c r="FN7" s="505" t="n"/>
      <c r="FO7" s="505" t="n"/>
      <c r="FP7" s="505" t="n"/>
      <c r="FQ7" s="505" t="n"/>
      <c r="FR7" s="505" t="n"/>
      <c r="FS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250</v>
      </c>
      <c r="E8" s="6" t="n"/>
      <c r="F8" s="38" t="n">
        <v>260</v>
      </c>
      <c r="G8" s="38" t="n">
        <v>260</v>
      </c>
      <c r="H8" s="38" t="n">
        <v>220</v>
      </c>
      <c r="I8" s="38" t="n">
        <v>180</v>
      </c>
      <c r="J8" s="38">
        <f>100+EV8</f>
        <v/>
      </c>
      <c r="K8" s="38" t="n">
        <v>380</v>
      </c>
      <c r="L8" s="38" t="n">
        <v>300</v>
      </c>
      <c r="M8" s="38" t="n">
        <v>300</v>
      </c>
      <c r="N8" s="38" t="n">
        <v>300</v>
      </c>
      <c r="O8" s="38" t="n">
        <v>250</v>
      </c>
      <c r="P8" s="38">
        <f>140+EO8</f>
        <v/>
      </c>
      <c r="Q8" s="38" t="n">
        <v>700</v>
      </c>
      <c r="R8" s="38" t="n">
        <v>640</v>
      </c>
      <c r="S8" s="38" t="n">
        <v>600</v>
      </c>
      <c r="T8" s="38" t="n">
        <v>500</v>
      </c>
      <c r="U8" s="38" t="n">
        <v>400</v>
      </c>
      <c r="V8" s="38" t="n">
        <v>300</v>
      </c>
      <c r="W8" s="38" t="n">
        <v>300</v>
      </c>
      <c r="X8" s="38" t="n">
        <v>540</v>
      </c>
      <c r="Y8" s="38" t="n">
        <v>460</v>
      </c>
      <c r="Z8" s="38" t="n">
        <v>420</v>
      </c>
      <c r="AA8" s="38" t="n">
        <v>360</v>
      </c>
      <c r="AB8" s="38" t="n">
        <v>340</v>
      </c>
      <c r="AC8" s="38" t="n">
        <v>300</v>
      </c>
      <c r="AD8" s="38" t="n">
        <v>240</v>
      </c>
      <c r="AE8" s="38" t="n">
        <v>460</v>
      </c>
      <c r="AF8" s="38" t="n">
        <v>460</v>
      </c>
      <c r="AG8" s="38" t="n">
        <v>440</v>
      </c>
      <c r="AH8" s="38" t="n">
        <v>380</v>
      </c>
      <c r="AI8" s="38" t="n">
        <v>300</v>
      </c>
      <c r="AJ8" s="38" t="n">
        <v>300</v>
      </c>
      <c r="AK8" s="38" t="n">
        <v>100</v>
      </c>
      <c r="AL8" s="38" t="n">
        <v>180</v>
      </c>
      <c r="AM8" s="38">
        <f>180+DN8</f>
        <v/>
      </c>
      <c r="AN8" s="38" t="n">
        <v>420</v>
      </c>
      <c r="AO8" s="38" t="n">
        <v>380</v>
      </c>
      <c r="AP8" s="38" t="n">
        <v>360</v>
      </c>
      <c r="AQ8" s="38" t="n">
        <v>300</v>
      </c>
      <c r="AR8" s="38" t="n">
        <v>300</v>
      </c>
      <c r="AS8" s="38" t="n">
        <v>220</v>
      </c>
      <c r="AT8" s="38" t="n">
        <v>140</v>
      </c>
      <c r="AU8" s="38">
        <f>60+DD8</f>
        <v/>
      </c>
      <c r="AV8" s="38" t="n">
        <v>320</v>
      </c>
      <c r="AW8" s="38">
        <f>320+CY8</f>
        <v/>
      </c>
      <c r="AX8" s="38" t="n">
        <v>620</v>
      </c>
      <c r="AY8" s="38" t="n">
        <v>520</v>
      </c>
      <c r="AZ8" s="38" t="n">
        <v>500</v>
      </c>
      <c r="BA8" s="38" t="n">
        <v>320</v>
      </c>
      <c r="BB8" s="38" t="n">
        <v>300</v>
      </c>
      <c r="BC8" s="38" t="n">
        <v>300</v>
      </c>
      <c r="BD8" s="38">
        <f>300+CW8</f>
        <v/>
      </c>
      <c r="BE8" s="38" t="n">
        <v>460</v>
      </c>
      <c r="BF8" s="38" t="n">
        <v>380</v>
      </c>
      <c r="BG8" s="38" t="n">
        <v>380</v>
      </c>
      <c r="BH8" s="38" t="n">
        <v>340</v>
      </c>
      <c r="BI8" s="38" t="n">
        <v>300</v>
      </c>
      <c r="BJ8" s="38" t="n">
        <v>240</v>
      </c>
      <c r="BK8" s="38" t="n">
        <v>240</v>
      </c>
      <c r="BL8" s="38" t="n">
        <v>200</v>
      </c>
      <c r="BM8" s="38" t="n">
        <v>160</v>
      </c>
      <c r="BN8" s="38" t="n">
        <v>140</v>
      </c>
      <c r="BO8" s="38" t="n">
        <v>280</v>
      </c>
      <c r="BP8" s="38" t="n">
        <v>280</v>
      </c>
      <c r="BQ8" s="38" t="n">
        <v>320</v>
      </c>
      <c r="BR8" s="38" t="n">
        <v>600</v>
      </c>
      <c r="BS8" s="38" t="n">
        <v>500</v>
      </c>
      <c r="BT8" s="38" t="n">
        <v>460</v>
      </c>
      <c r="BU8" s="38" t="n">
        <v>380</v>
      </c>
      <c r="BV8" s="38" t="n">
        <v>360</v>
      </c>
      <c r="BW8" s="38" t="n">
        <v>360</v>
      </c>
      <c r="BX8" s="38" t="n">
        <v>360</v>
      </c>
      <c r="BY8" s="38" t="n">
        <v>80</v>
      </c>
      <c r="BZ8" s="38" t="n"/>
      <c r="CA8" s="38" t="n"/>
      <c r="CB8" s="38" t="n"/>
      <c r="CC8" s="9" t="n"/>
      <c r="CD8" s="9" t="n"/>
      <c r="CE8" s="9" t="n"/>
      <c r="CF8" s="154">
        <f>CD8+IF(NOT(ISBLANK(OFFSET(CF8,0,6))),N(OFFSET(CF8,0,6)),N(OFFSET(CF8,0,7)))-CE8</f>
        <v/>
      </c>
      <c r="CG8" s="6" t="n"/>
      <c r="CH8" s="19" t="n"/>
      <c r="CJ8" s="23" t="n"/>
      <c r="CK8" s="691" t="n">
        <v>0</v>
      </c>
      <c r="CL8" s="18" t="n">
        <v>0</v>
      </c>
      <c r="CM8" s="18" t="n">
        <v>0</v>
      </c>
      <c r="CN8" s="18" t="n"/>
      <c r="CO8" s="356" t="n"/>
      <c r="CP8" s="18" t="n">
        <v>300</v>
      </c>
      <c r="CQ8" s="18" t="n"/>
      <c r="CR8" s="256" t="n"/>
      <c r="CS8" s="18" t="n">
        <v>300</v>
      </c>
      <c r="CT8" s="18" t="n"/>
      <c r="CU8" s="18" t="n"/>
      <c r="CV8" s="18" t="n"/>
      <c r="CW8" s="18" t="n"/>
      <c r="CX8" s="18" t="n"/>
      <c r="CY8" s="18" t="n"/>
      <c r="CZ8" s="18" t="n">
        <v>300</v>
      </c>
      <c r="DA8" s="18" t="n"/>
      <c r="DB8" s="18" t="n">
        <v>300</v>
      </c>
      <c r="DC8" s="18" t="n"/>
      <c r="DD8" s="256" t="n"/>
      <c r="DE8" s="256" t="n"/>
      <c r="DF8" s="18" t="n"/>
      <c r="DG8" s="18" t="n">
        <v>300</v>
      </c>
      <c r="DH8" s="18" t="n"/>
      <c r="DI8" s="256" t="n"/>
      <c r="DJ8" s="18" t="n"/>
      <c r="DK8" s="18" t="n"/>
      <c r="DL8" s="256" t="n"/>
      <c r="DM8" s="18" t="n"/>
      <c r="DN8" s="256" t="n"/>
      <c r="DO8" s="18" t="n"/>
      <c r="DP8" s="18" t="n"/>
      <c r="DQ8" s="18" t="n">
        <v>300</v>
      </c>
      <c r="DR8" s="18" t="n">
        <v>300</v>
      </c>
      <c r="DS8" s="18" t="n"/>
      <c r="DT8" s="256" t="n"/>
      <c r="DU8" s="256" t="n"/>
      <c r="DV8" s="256" t="n"/>
      <c r="DW8" s="18" t="n"/>
      <c r="DX8" s="18" t="n"/>
      <c r="DY8" s="18" t="n"/>
      <c r="DZ8" s="18" t="n"/>
      <c r="EA8" s="18" t="n"/>
      <c r="EB8" s="18" t="n"/>
      <c r="EC8" s="256" t="n"/>
      <c r="ED8" s="256" t="n"/>
      <c r="EE8" s="18" t="n"/>
      <c r="EF8" s="256" t="n"/>
      <c r="EG8" s="18" t="n"/>
      <c r="EH8" s="18" t="n"/>
      <c r="EI8" s="256" t="n"/>
      <c r="EJ8" s="18" t="n"/>
      <c r="EK8" s="256" t="n"/>
      <c r="EL8" s="18" t="n"/>
      <c r="EM8" s="18" t="n">
        <v>300</v>
      </c>
      <c r="EN8" s="18" t="n"/>
      <c r="EO8" s="256" t="n"/>
      <c r="EP8" s="18" t="n"/>
      <c r="EQ8" s="256" t="n"/>
      <c r="ER8" s="18" t="n">
        <v>600</v>
      </c>
      <c r="ES8" s="18" t="n"/>
      <c r="ET8" s="18" t="n"/>
      <c r="EU8" s="18" t="n"/>
      <c r="EV8" s="18" t="n"/>
      <c r="EW8" s="18" t="n"/>
      <c r="EX8" s="18" t="n"/>
      <c r="EY8" s="18" t="n">
        <v>300</v>
      </c>
      <c r="EZ8" s="18" t="n"/>
      <c r="FA8" s="256" t="n"/>
      <c r="FB8" s="18" t="n"/>
      <c r="FC8" s="18" t="n"/>
      <c r="FE8" s="267" t="inlineStr">
        <is>
          <t xml:space="preserve">SACOLAS </t>
        </is>
      </c>
      <c r="FF8" s="205" t="inlineStr">
        <is>
          <t>PCT</t>
        </is>
      </c>
      <c r="FG8" s="650" t="n">
        <v>46118</v>
      </c>
      <c r="FH8" s="650" t="n">
        <v>46125</v>
      </c>
      <c r="FI8" s="650" t="n">
        <v>46132</v>
      </c>
      <c r="FJ8" s="650" t="n">
        <v>46139</v>
      </c>
      <c r="FK8" s="650" t="n">
        <v>46146</v>
      </c>
      <c r="FL8" s="650" t="n">
        <v>46154</v>
      </c>
      <c r="FM8" s="650" t="n">
        <v>46160</v>
      </c>
      <c r="FN8" s="650" t="n">
        <v>46160</v>
      </c>
      <c r="FO8" s="650" t="n">
        <v>46160</v>
      </c>
      <c r="FP8" s="651" t="n">
        <v>46161.48003422454</v>
      </c>
      <c r="FQ8" s="651" t="n">
        <v>46161.48071375</v>
      </c>
      <c r="FR8" s="651" t="n">
        <v>46161.48287182692</v>
      </c>
      <c r="FS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400</v>
      </c>
      <c r="E9" s="6" t="n"/>
      <c r="F9" s="38" t="n">
        <v>440</v>
      </c>
      <c r="G9" s="38" t="n">
        <v>600</v>
      </c>
      <c r="H9" s="38" t="n">
        <v>420</v>
      </c>
      <c r="I9" s="38" t="n">
        <v>320</v>
      </c>
      <c r="J9" s="38" t="n">
        <v>200</v>
      </c>
      <c r="K9" s="38">
        <f>100+EU9</f>
        <v/>
      </c>
      <c r="L9" s="38" t="n">
        <v>400</v>
      </c>
      <c r="M9" s="38" t="n">
        <v>280</v>
      </c>
      <c r="N9" s="38">
        <f>200+200</f>
        <v/>
      </c>
      <c r="O9" s="38" t="n">
        <v>280</v>
      </c>
      <c r="P9" s="38">
        <f>180+EO9</f>
        <v/>
      </c>
      <c r="Q9" s="38" t="n">
        <v>420</v>
      </c>
      <c r="R9" s="38" t="n">
        <v>320</v>
      </c>
      <c r="S9" s="38" t="n">
        <v>400</v>
      </c>
      <c r="T9" s="38" t="n">
        <v>80</v>
      </c>
      <c r="U9" s="38">
        <f>240+EK9</f>
        <v/>
      </c>
      <c r="V9" s="38" t="n">
        <v>500</v>
      </c>
      <c r="W9" s="38" t="n">
        <v>440</v>
      </c>
      <c r="X9" s="38" t="n">
        <v>360</v>
      </c>
      <c r="Y9" s="38" t="n">
        <v>200</v>
      </c>
      <c r="Z9" s="38" t="n">
        <v>860</v>
      </c>
      <c r="AA9" s="38" t="n">
        <v>1200</v>
      </c>
      <c r="AB9" s="38" t="n">
        <v>1100</v>
      </c>
      <c r="AC9" s="38">
        <f>900-200</f>
        <v/>
      </c>
      <c r="AD9" s="38" t="n">
        <v>660</v>
      </c>
      <c r="AE9" s="38" t="n">
        <v>600</v>
      </c>
      <c r="AF9" s="38" t="n">
        <v>600</v>
      </c>
      <c r="AG9" s="38" t="n">
        <v>383</v>
      </c>
      <c r="AH9" s="38">
        <f>363+DP9</f>
        <v/>
      </c>
      <c r="AI9" s="38" t="n">
        <v>663</v>
      </c>
      <c r="AJ9" s="38" t="n">
        <v>600</v>
      </c>
      <c r="AK9" s="38" t="n">
        <v>480</v>
      </c>
      <c r="AL9" s="38" t="n">
        <v>500</v>
      </c>
      <c r="AM9" s="38" t="n">
        <v>500</v>
      </c>
      <c r="AN9" s="38" t="n">
        <v>360</v>
      </c>
      <c r="AO9" s="38" t="n">
        <v>480</v>
      </c>
      <c r="AP9" s="38" t="n">
        <v>380</v>
      </c>
      <c r="AQ9" s="38" t="n">
        <v>220</v>
      </c>
      <c r="AR9" s="38" t="n">
        <v>60</v>
      </c>
      <c r="AS9" s="38">
        <f>400+DG9</f>
        <v/>
      </c>
      <c r="AT9" s="38" t="n">
        <v>440</v>
      </c>
      <c r="AU9" s="38" t="n">
        <v>320</v>
      </c>
      <c r="AV9" s="38" t="n">
        <v>220</v>
      </c>
      <c r="AW9" s="38">
        <f>120+CY9</f>
        <v/>
      </c>
      <c r="AX9" s="38" t="n">
        <v>450</v>
      </c>
      <c r="AY9" s="38" t="n">
        <v>400</v>
      </c>
      <c r="AZ9" s="38" t="n">
        <v>440</v>
      </c>
      <c r="BA9" s="38" t="n">
        <v>440</v>
      </c>
      <c r="BB9" s="38" t="n">
        <v>440</v>
      </c>
      <c r="BC9" s="38" t="n">
        <v>350</v>
      </c>
      <c r="BD9" s="38">
        <f>150+CW9</f>
        <v/>
      </c>
      <c r="BE9" s="38" t="n">
        <v>440</v>
      </c>
      <c r="BF9" s="38" t="n">
        <v>300</v>
      </c>
      <c r="BG9" s="38" t="n">
        <v>200</v>
      </c>
      <c r="BH9" s="38" t="n">
        <v>260</v>
      </c>
      <c r="BI9" s="38" t="n">
        <v>760</v>
      </c>
      <c r="BJ9" s="38" t="n">
        <v>620</v>
      </c>
      <c r="BK9" s="38" t="n">
        <v>620</v>
      </c>
      <c r="BL9" s="38" t="n">
        <v>400</v>
      </c>
      <c r="BM9" s="38" t="n">
        <v>280</v>
      </c>
      <c r="BN9" s="38" t="n">
        <v>300</v>
      </c>
      <c r="BO9" s="38" t="n">
        <v>460</v>
      </c>
      <c r="BP9" s="38" t="n">
        <v>60</v>
      </c>
      <c r="BQ9" s="38">
        <f>0+CN9</f>
        <v/>
      </c>
      <c r="BR9" s="38" t="n">
        <v>200</v>
      </c>
      <c r="BS9" s="38" t="n">
        <v>80</v>
      </c>
      <c r="BT9" s="38">
        <f>0+CK9</f>
        <v/>
      </c>
      <c r="BU9" s="38" t="n">
        <v>240</v>
      </c>
      <c r="BV9" s="38" t="n">
        <v>240</v>
      </c>
      <c r="BW9" s="38" t="n">
        <v>280</v>
      </c>
      <c r="BX9" s="38">
        <f>280+CJ9</f>
        <v/>
      </c>
      <c r="BY9" s="38">
        <f>480+CI9</f>
        <v/>
      </c>
      <c r="BZ9" s="38" t="n"/>
      <c r="CA9" s="38" t="n"/>
      <c r="CB9" s="38" t="n"/>
      <c r="CC9" s="9" t="n"/>
      <c r="CD9" s="9" t="n"/>
      <c r="CE9" s="9" t="n"/>
      <c r="CF9" s="154">
        <f>CD9+IF(NOT(ISBLANK(OFFSET(CF9,0,6))),N(OFFSET(CF9,0,6)),N(OFFSET(CF9,0,7)))-CE9</f>
        <v/>
      </c>
      <c r="CG9" s="6" t="n"/>
      <c r="CH9" s="19" t="n"/>
      <c r="CJ9" s="23" t="n"/>
      <c r="CK9" s="691" t="n">
        <v>0</v>
      </c>
      <c r="CL9" s="18" t="n">
        <v>200</v>
      </c>
      <c r="CM9" s="18" t="n">
        <v>200</v>
      </c>
      <c r="CN9" s="18" t="n">
        <v>400</v>
      </c>
      <c r="CO9" s="256" t="n">
        <v>600</v>
      </c>
      <c r="CP9" s="18" t="n"/>
      <c r="CQ9" s="18" t="n">
        <v>400</v>
      </c>
      <c r="CR9" s="256" t="n"/>
      <c r="CS9" s="18" t="n">
        <v>200</v>
      </c>
      <c r="CT9" s="18" t="n"/>
      <c r="CU9" s="18" t="n">
        <v>400</v>
      </c>
      <c r="CV9" s="18" t="n">
        <v>200</v>
      </c>
      <c r="CW9" s="18" t="n">
        <v>400</v>
      </c>
      <c r="CX9" s="18" t="n"/>
      <c r="CY9" s="18" t="n">
        <v>400</v>
      </c>
      <c r="CZ9" s="18" t="n">
        <v>200</v>
      </c>
      <c r="DA9" s="18" t="n"/>
      <c r="DB9" s="18" t="n">
        <v>200</v>
      </c>
      <c r="DC9" s="18" t="n"/>
      <c r="DD9" s="256" t="n"/>
      <c r="DE9" s="256" t="n"/>
      <c r="DF9" s="18" t="n"/>
      <c r="DG9" s="18" t="n"/>
      <c r="DH9" s="18" t="n"/>
      <c r="DI9" s="256" t="n">
        <v>800</v>
      </c>
      <c r="DJ9" s="18" t="n">
        <v>200</v>
      </c>
      <c r="DK9" s="18" t="n">
        <v>400</v>
      </c>
      <c r="DL9" s="256" t="n"/>
      <c r="DM9" s="18" t="n"/>
      <c r="DN9" s="256" t="n"/>
      <c r="DO9" s="18" t="n"/>
      <c r="DP9" s="18" t="n">
        <v>200</v>
      </c>
      <c r="DQ9" s="18" t="n"/>
      <c r="DR9" s="18" t="n">
        <v>200</v>
      </c>
      <c r="DS9" s="18" t="n">
        <v>400</v>
      </c>
      <c r="DT9" s="256" t="n"/>
      <c r="DU9" s="256" t="n"/>
      <c r="DV9" s="256" t="n"/>
      <c r="DW9" s="18" t="n"/>
      <c r="DX9" s="18" t="n"/>
      <c r="DY9" s="18" t="n"/>
      <c r="DZ9" s="241" t="inlineStr">
        <is>
          <t>200 P/ TP</t>
        </is>
      </c>
      <c r="EA9" s="18" t="n"/>
      <c r="EB9" s="18" t="n">
        <v>400</v>
      </c>
      <c r="EC9" s="256" t="n"/>
      <c r="ED9" s="256" t="n"/>
      <c r="EE9" s="18" t="n"/>
      <c r="EF9" s="256" t="n"/>
      <c r="EG9" s="18" t="n">
        <v>400</v>
      </c>
      <c r="EH9" s="18" t="n"/>
      <c r="EI9" s="256" t="n"/>
      <c r="EJ9" s="18" t="n"/>
      <c r="EK9" s="256" t="n"/>
      <c r="EL9" s="18" t="n">
        <v>200</v>
      </c>
      <c r="EM9" s="18" t="n"/>
      <c r="EN9" s="18" t="n">
        <v>400</v>
      </c>
      <c r="EO9" s="256" t="n"/>
      <c r="EP9" s="18" t="n">
        <v>200</v>
      </c>
      <c r="EQ9" s="256" t="n">
        <v>200</v>
      </c>
      <c r="ER9" s="18" t="n">
        <v>400</v>
      </c>
      <c r="ES9" s="18" t="n"/>
      <c r="ET9" s="18" t="n"/>
      <c r="EU9" s="241" t="inlineStr">
        <is>
          <t>200 DE TP</t>
        </is>
      </c>
      <c r="EV9" s="18" t="n"/>
      <c r="EW9" s="18" t="n"/>
      <c r="EX9" s="18" t="n">
        <v>400</v>
      </c>
      <c r="EY9" s="18" t="n"/>
      <c r="EZ9" s="18" t="n"/>
      <c r="FA9" s="256" t="n"/>
      <c r="FB9" s="18" t="n"/>
      <c r="FC9" s="18" t="n">
        <v>200</v>
      </c>
      <c r="FE9" s="159" t="inlineStr">
        <is>
          <t xml:space="preserve">SACOLA P </t>
        </is>
      </c>
      <c r="FF9" s="129" t="n">
        <v>200</v>
      </c>
      <c r="FG9" s="38">
        <f>CL9</f>
        <v/>
      </c>
      <c r="FH9" s="38" t="n">
        <v>500</v>
      </c>
      <c r="FI9" s="38" t="n">
        <v>420</v>
      </c>
      <c r="FJ9" s="38" t="n">
        <v>420</v>
      </c>
      <c r="FK9" s="38" t="n">
        <v>320</v>
      </c>
      <c r="FL9" s="38" t="n">
        <v>0</v>
      </c>
      <c r="FM9" s="38" t="n"/>
      <c r="FN9" s="38" t="n"/>
      <c r="FO9" s="38" t="n"/>
      <c r="FP9" s="9" t="n"/>
      <c r="FQ9" s="9" t="n"/>
      <c r="FR9" s="9" t="n"/>
      <c r="FS9" s="246">
        <f>FQ9+IF(NOT(ISBLANK(OFFSET(FS9,0,6))),N(OFFSET(FS9,0,6)),N(OFFSET(FS9,0,7)))-FR9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250</v>
      </c>
      <c r="E10" s="6" t="n"/>
      <c r="F10" s="38" t="n">
        <v>100</v>
      </c>
      <c r="G10" s="38">
        <f>80+EY10</f>
        <v/>
      </c>
      <c r="H10" s="38">
        <f>220+EW10</f>
        <v/>
      </c>
      <c r="I10" s="38" t="n">
        <v>400</v>
      </c>
      <c r="J10" s="38" t="n">
        <v>340</v>
      </c>
      <c r="K10" s="38" t="n">
        <v>320</v>
      </c>
      <c r="L10" s="38" t="n">
        <v>320</v>
      </c>
      <c r="M10" s="38" t="n">
        <v>280</v>
      </c>
      <c r="N10" s="38" t="n">
        <v>200</v>
      </c>
      <c r="O10" s="38" t="n">
        <v>180</v>
      </c>
      <c r="P10" s="38">
        <f>160+EO10</f>
        <v/>
      </c>
      <c r="Q10" s="38" t="n">
        <v>480</v>
      </c>
      <c r="R10" s="38" t="n">
        <v>660</v>
      </c>
      <c r="S10" s="38" t="n">
        <v>600</v>
      </c>
      <c r="T10" s="38" t="n">
        <v>500</v>
      </c>
      <c r="U10" s="38" t="n">
        <v>560</v>
      </c>
      <c r="V10" s="38" t="n">
        <v>560</v>
      </c>
      <c r="W10" s="38" t="n">
        <v>540</v>
      </c>
      <c r="X10" s="38" t="n">
        <v>440</v>
      </c>
      <c r="Y10" s="38" t="n">
        <v>420</v>
      </c>
      <c r="Z10" s="38" t="n">
        <v>400</v>
      </c>
      <c r="AA10" s="38" t="n">
        <v>260</v>
      </c>
      <c r="AB10" s="38" t="n">
        <v>220</v>
      </c>
      <c r="AC10" s="38" t="n">
        <v>380</v>
      </c>
      <c r="AD10" s="38" t="n">
        <v>280</v>
      </c>
      <c r="AE10" s="38" t="n">
        <v>290</v>
      </c>
      <c r="AF10" s="38" t="n">
        <v>460</v>
      </c>
      <c r="AG10" s="38" t="n">
        <v>400</v>
      </c>
      <c r="AH10" s="38" t="n">
        <v>280</v>
      </c>
      <c r="AI10" s="38" t="n">
        <v>280</v>
      </c>
      <c r="AJ10" s="38" t="n">
        <v>280</v>
      </c>
      <c r="AK10" s="38" t="n">
        <v>280</v>
      </c>
      <c r="AL10" s="38" t="n">
        <v>280</v>
      </c>
      <c r="AM10" s="38" t="n">
        <v>200</v>
      </c>
      <c r="AN10" s="38" t="n">
        <v>80</v>
      </c>
      <c r="AO10" s="38" t="n">
        <v>220</v>
      </c>
      <c r="AP10" s="38" t="n">
        <v>220</v>
      </c>
      <c r="AQ10" s="38" t="n">
        <v>160</v>
      </c>
      <c r="AR10" s="38" t="n">
        <v>140</v>
      </c>
      <c r="AS10" s="38" t="n">
        <v>260</v>
      </c>
      <c r="AT10" s="38" t="n">
        <v>220</v>
      </c>
      <c r="AU10" s="38" t="n">
        <v>200</v>
      </c>
      <c r="AV10" s="38" t="n">
        <v>160</v>
      </c>
      <c r="AW10" s="38">
        <f>180+CY10</f>
        <v/>
      </c>
      <c r="AX10" s="38" t="n">
        <v>400</v>
      </c>
      <c r="AY10" s="38" t="n">
        <v>400</v>
      </c>
      <c r="AZ10" s="38" t="n">
        <v>400</v>
      </c>
      <c r="BA10" s="38" t="n">
        <v>360</v>
      </c>
      <c r="BB10" s="38" t="n">
        <v>240</v>
      </c>
      <c r="BC10" s="38" t="n">
        <v>200</v>
      </c>
      <c r="BD10" s="38">
        <f>120+CW10</f>
        <v/>
      </c>
      <c r="BE10" s="38" t="n">
        <v>0</v>
      </c>
      <c r="BF10" s="38" t="n">
        <v>0</v>
      </c>
      <c r="BG10" s="38" t="n">
        <v>0</v>
      </c>
      <c r="BH10" s="38" t="n">
        <v>60</v>
      </c>
      <c r="BI10" s="38" t="n">
        <v>460</v>
      </c>
      <c r="BJ10" s="38" t="n">
        <v>400</v>
      </c>
      <c r="BK10" s="38" t="n">
        <v>460</v>
      </c>
      <c r="BL10" s="38" t="n">
        <v>460</v>
      </c>
      <c r="BM10" s="38" t="n">
        <v>460</v>
      </c>
      <c r="BN10" s="38" t="n">
        <v>440</v>
      </c>
      <c r="BO10" s="38" t="n">
        <v>440</v>
      </c>
      <c r="BP10" s="38" t="n">
        <v>360</v>
      </c>
      <c r="BQ10" s="38" t="n">
        <v>340</v>
      </c>
      <c r="BR10" s="38" t="n">
        <v>260</v>
      </c>
      <c r="BS10" s="38" t="n">
        <v>260</v>
      </c>
      <c r="BT10" s="38" t="n">
        <v>260</v>
      </c>
      <c r="BU10" s="38" t="n">
        <v>260</v>
      </c>
      <c r="BV10" s="38" t="n">
        <v>260</v>
      </c>
      <c r="BW10" s="38" t="n">
        <v>260</v>
      </c>
      <c r="BX10" s="38" t="n">
        <v>260</v>
      </c>
      <c r="BY10" s="38" t="n">
        <v>240</v>
      </c>
      <c r="BZ10" s="38" t="n"/>
      <c r="CA10" s="38" t="n"/>
      <c r="CB10" s="38" t="n"/>
      <c r="CC10" s="9" t="n"/>
      <c r="CD10" s="9" t="n"/>
      <c r="CE10" s="9" t="n"/>
      <c r="CF10" s="154">
        <f>CD10+IF(NOT(ISBLANK(OFFSET(CF10,0,6))),N(OFFSET(CF10,0,6)),N(OFFSET(CF10,0,7)))-CE10</f>
        <v/>
      </c>
      <c r="CG10" s="6" t="n"/>
      <c r="CH10" s="19" t="n"/>
      <c r="CI10" s="4" t="n"/>
      <c r="CJ10" s="23" t="n"/>
      <c r="CK10" s="691" t="n">
        <v>0</v>
      </c>
      <c r="CL10" s="18" t="n">
        <v>0</v>
      </c>
      <c r="CM10" s="18" t="n">
        <v>0</v>
      </c>
      <c r="CN10" s="18" t="n"/>
      <c r="CO10" s="256" t="n">
        <v>600</v>
      </c>
      <c r="CP10" s="18" t="n"/>
      <c r="CQ10" s="18" t="n"/>
      <c r="CR10" s="256" t="n"/>
      <c r="CS10" s="18" t="n"/>
      <c r="CT10" s="18" t="n">
        <v>200</v>
      </c>
      <c r="CU10" s="18" t="n">
        <v>200</v>
      </c>
      <c r="CV10" s="18" t="n">
        <v>200</v>
      </c>
      <c r="CW10" s="18" t="n">
        <v>200</v>
      </c>
      <c r="CX10" s="18" t="n"/>
      <c r="CY10" s="18" t="n"/>
      <c r="CZ10" s="18" t="n">
        <v>200</v>
      </c>
      <c r="DA10" s="18" t="n"/>
      <c r="DB10" s="18" t="n">
        <v>200</v>
      </c>
      <c r="DC10" s="18" t="n"/>
      <c r="DD10" s="256" t="n"/>
      <c r="DE10" s="256" t="n"/>
      <c r="DF10" s="18" t="n"/>
      <c r="DG10" s="18" t="n"/>
      <c r="DH10" s="18" t="n"/>
      <c r="DI10" s="256" t="n">
        <v>200</v>
      </c>
      <c r="DJ10" s="18" t="n"/>
      <c r="DK10" s="18" t="n">
        <v>200</v>
      </c>
      <c r="DL10" s="256" t="n"/>
      <c r="DM10" s="18" t="n"/>
      <c r="DN10" s="378" t="inlineStr">
        <is>
          <t>100 DE MG</t>
        </is>
      </c>
      <c r="DO10" s="18" t="n"/>
      <c r="DP10" s="18" t="n">
        <v>200</v>
      </c>
      <c r="DQ10" s="18" t="n"/>
      <c r="DR10" s="18" t="n"/>
      <c r="DS10" s="18" t="n"/>
      <c r="DT10" s="256" t="n"/>
      <c r="DU10" s="256" t="n">
        <v>200</v>
      </c>
      <c r="DV10" s="256" t="n"/>
      <c r="DW10" s="18" t="n">
        <v>200</v>
      </c>
      <c r="DX10" s="18" t="n"/>
      <c r="DY10" s="18" t="n"/>
      <c r="DZ10" s="18" t="n"/>
      <c r="EA10" s="18" t="n">
        <v>200</v>
      </c>
      <c r="EB10" s="18" t="n"/>
      <c r="EC10" s="256" t="n"/>
      <c r="ED10" s="256" t="n"/>
      <c r="EE10" s="18" t="n"/>
      <c r="EF10" s="256" t="n"/>
      <c r="EG10" s="18" t="n"/>
      <c r="EH10" s="18" t="n"/>
      <c r="EI10" s="256" t="n">
        <v>200</v>
      </c>
      <c r="EJ10" s="18" t="n"/>
      <c r="EK10" s="256" t="n"/>
      <c r="EL10" s="18" t="n">
        <v>200</v>
      </c>
      <c r="EM10" s="18" t="n"/>
      <c r="EN10" s="18" t="n"/>
      <c r="EO10" s="256" t="n"/>
      <c r="EP10" s="18" t="n"/>
      <c r="EQ10" s="256" t="n">
        <v>200</v>
      </c>
      <c r="ER10" s="18" t="n">
        <v>400</v>
      </c>
      <c r="ES10" s="18" t="n"/>
      <c r="ET10" s="18" t="n"/>
      <c r="EU10" s="18" t="n"/>
      <c r="EV10" s="18" t="n"/>
      <c r="EW10" s="18" t="n"/>
      <c r="EX10" s="18" t="n"/>
      <c r="EY10" s="18" t="n"/>
      <c r="EZ10" s="18" t="n">
        <v>200</v>
      </c>
      <c r="FA10" s="256" t="n"/>
      <c r="FB10" s="18" t="n">
        <v>200</v>
      </c>
      <c r="FC10" s="18" t="n"/>
      <c r="FE10" s="29" t="inlineStr">
        <is>
          <t xml:space="preserve">SACOLA M </t>
        </is>
      </c>
      <c r="FF10" s="9" t="n">
        <v>200</v>
      </c>
      <c r="FG10" s="38">
        <f>CL10</f>
        <v/>
      </c>
      <c r="FH10" s="38" t="n">
        <v>600</v>
      </c>
      <c r="FI10" s="38" t="n">
        <v>600</v>
      </c>
      <c r="FJ10" s="38" t="n">
        <v>580</v>
      </c>
      <c r="FK10" s="38" t="n">
        <v>500</v>
      </c>
      <c r="FL10" s="38" t="n">
        <v>380</v>
      </c>
      <c r="FM10" s="38" t="n"/>
      <c r="FN10" s="38" t="n"/>
      <c r="FO10" s="38" t="n"/>
      <c r="FP10" s="9" t="n"/>
      <c r="FQ10" s="9" t="n"/>
      <c r="FR10" s="9" t="n"/>
      <c r="FS10" s="246">
        <f>FQ10+IF(NOT(ISBLANK(OFFSET(FS10,0,6))),N(OFFSET(FS10,0,6)),N(OFFSET(FS10,0,7)))-FR10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30</v>
      </c>
      <c r="E11" s="6" t="n"/>
      <c r="F11" s="38" t="n">
        <v>100</v>
      </c>
      <c r="G11" s="38">
        <f>100+EY11</f>
        <v/>
      </c>
      <c r="H11" s="38" t="n">
        <v>200</v>
      </c>
      <c r="I11" s="38" t="n">
        <v>200</v>
      </c>
      <c r="J11" s="38" t="n">
        <v>200</v>
      </c>
      <c r="K11" s="38" t="n">
        <v>200</v>
      </c>
      <c r="L11" s="38" t="n">
        <v>200</v>
      </c>
      <c r="M11" s="38" t="n">
        <v>200</v>
      </c>
      <c r="N11" s="38" t="n">
        <v>200</v>
      </c>
      <c r="O11" s="38" t="n">
        <v>200</v>
      </c>
      <c r="P11" s="38" t="n">
        <v>200</v>
      </c>
      <c r="Q11" s="38" t="n">
        <v>200</v>
      </c>
      <c r="R11" s="38" t="n">
        <v>200</v>
      </c>
      <c r="S11" s="38" t="n">
        <v>200</v>
      </c>
      <c r="T11" s="38" t="n">
        <v>200</v>
      </c>
      <c r="U11" s="38" t="n">
        <v>200</v>
      </c>
      <c r="V11" s="38" t="n">
        <v>200</v>
      </c>
      <c r="W11" s="38" t="n">
        <v>200</v>
      </c>
      <c r="X11" s="38" t="n">
        <v>200</v>
      </c>
      <c r="Y11" s="38" t="n">
        <v>200</v>
      </c>
      <c r="Z11" s="38" t="n">
        <v>200</v>
      </c>
      <c r="AA11" s="38" t="n">
        <v>200</v>
      </c>
      <c r="AB11" s="38" t="n">
        <v>200</v>
      </c>
      <c r="AC11" s="38" t="n">
        <v>200</v>
      </c>
      <c r="AD11" s="38" t="n">
        <v>200</v>
      </c>
      <c r="AE11" s="38" t="n">
        <v>200</v>
      </c>
      <c r="AF11" s="38" t="n">
        <v>200</v>
      </c>
      <c r="AG11" s="38" t="n">
        <v>200</v>
      </c>
      <c r="AH11" s="38" t="n">
        <v>200</v>
      </c>
      <c r="AI11" s="38" t="n">
        <v>200</v>
      </c>
      <c r="AJ11" s="38" t="n">
        <v>200</v>
      </c>
      <c r="AK11" s="38" t="n">
        <v>200</v>
      </c>
      <c r="AL11" s="38" t="n">
        <v>200</v>
      </c>
      <c r="AM11" s="38" t="n">
        <v>200</v>
      </c>
      <c r="AN11" s="38" t="n">
        <v>200</v>
      </c>
      <c r="AO11" s="38" t="n">
        <v>200</v>
      </c>
      <c r="AP11" s="38" t="n">
        <v>200</v>
      </c>
      <c r="AQ11" s="38" t="n">
        <v>200</v>
      </c>
      <c r="AR11" s="38" t="n">
        <v>200</v>
      </c>
      <c r="AS11" s="38" t="n">
        <v>197</v>
      </c>
      <c r="AT11" s="38" t="n">
        <v>197</v>
      </c>
      <c r="AU11" s="38" t="n">
        <v>197</v>
      </c>
      <c r="AV11" s="38" t="n">
        <v>197</v>
      </c>
      <c r="AW11" s="38" t="n">
        <v>197</v>
      </c>
      <c r="AX11" s="38" t="n">
        <v>197</v>
      </c>
      <c r="AY11" s="38" t="n">
        <v>197</v>
      </c>
      <c r="AZ11" s="38" t="n">
        <v>197</v>
      </c>
      <c r="BA11" s="38" t="n">
        <v>197</v>
      </c>
      <c r="BB11" s="38" t="n">
        <v>197</v>
      </c>
      <c r="BC11" s="38" t="n">
        <v>197</v>
      </c>
      <c r="BD11" s="38" t="n">
        <v>197</v>
      </c>
      <c r="BE11" s="38" t="n">
        <v>139</v>
      </c>
      <c r="BF11" s="38" t="n">
        <v>100</v>
      </c>
      <c r="BG11" s="38" t="n">
        <v>100</v>
      </c>
      <c r="BH11" s="38" t="n">
        <v>100</v>
      </c>
      <c r="BI11" s="38" t="n">
        <v>100</v>
      </c>
      <c r="BJ11" s="38" t="n">
        <v>100</v>
      </c>
      <c r="BK11" s="38" t="n">
        <v>120</v>
      </c>
      <c r="BL11" s="38" t="n">
        <v>120</v>
      </c>
      <c r="BM11" s="38" t="n">
        <v>120</v>
      </c>
      <c r="BN11" s="38" t="n">
        <v>120</v>
      </c>
      <c r="BO11" s="38" t="n">
        <v>120</v>
      </c>
      <c r="BP11" s="38" t="n">
        <v>120</v>
      </c>
      <c r="BQ11" s="38" t="n">
        <v>100</v>
      </c>
      <c r="BR11" s="38" t="n">
        <v>100</v>
      </c>
      <c r="BS11" s="38" t="n">
        <v>100</v>
      </c>
      <c r="BT11" s="38" t="n">
        <v>100</v>
      </c>
      <c r="BU11" s="38" t="n">
        <v>100</v>
      </c>
      <c r="BV11" s="38" t="n">
        <v>100</v>
      </c>
      <c r="BW11" s="38" t="n">
        <v>100</v>
      </c>
      <c r="BX11" s="38" t="n">
        <v>100</v>
      </c>
      <c r="BY11" s="38" t="n">
        <v>100</v>
      </c>
      <c r="BZ11" s="38" t="n"/>
      <c r="CA11" s="38" t="n"/>
      <c r="CB11" s="38" t="n"/>
      <c r="CC11" s="9" t="n"/>
      <c r="CD11" s="9" t="n"/>
      <c r="CE11" s="9" t="n"/>
      <c r="CF11" s="154">
        <f>CD11+IF(NOT(ISBLANK(OFFSET(CF11,0,6))),N(OFFSET(CF11,0,6)),N(OFFSET(CF11,0,7)))-CE11</f>
        <v/>
      </c>
      <c r="CG11" s="6" t="n"/>
      <c r="CH11" s="19" t="n"/>
      <c r="CI11" s="4" t="n"/>
      <c r="CJ11" s="23" t="n"/>
      <c r="CK11" s="691" t="n">
        <v>0</v>
      </c>
      <c r="CL11" s="18" t="n">
        <v>0</v>
      </c>
      <c r="CM11" s="18" t="n">
        <v>0</v>
      </c>
      <c r="CN11" s="18" t="n"/>
      <c r="CO11" s="256" t="n"/>
      <c r="CP11" s="18" t="n"/>
      <c r="CQ11" s="18" t="n"/>
      <c r="CR11" s="256" t="n"/>
      <c r="CS11" s="18" t="n"/>
      <c r="CT11" s="18" t="n"/>
      <c r="CU11" s="18" t="n"/>
      <c r="CV11" s="18" t="n"/>
      <c r="CW11" s="18" t="n"/>
      <c r="CX11" s="18" t="n"/>
      <c r="CY11" s="18" t="n"/>
      <c r="CZ11" s="18" t="n"/>
      <c r="DA11" s="18" t="n"/>
      <c r="DB11" s="18" t="n"/>
      <c r="DC11" s="18" t="n"/>
      <c r="DD11" s="256" t="n"/>
      <c r="DE11" s="256" t="n"/>
      <c r="DF11" s="18" t="n"/>
      <c r="DG11" s="18" t="n"/>
      <c r="DH11" s="18" t="n"/>
      <c r="DI11" s="256" t="n">
        <v>100</v>
      </c>
      <c r="DJ11" s="18" t="n"/>
      <c r="DK11" s="18" t="n"/>
      <c r="DL11" s="256" t="n"/>
      <c r="DM11" s="18" t="n"/>
      <c r="DN11" s="256" t="n"/>
      <c r="DO11" s="18" t="n"/>
      <c r="DP11" s="18" t="n"/>
      <c r="DQ11" s="18" t="n"/>
      <c r="DR11" s="18" t="n"/>
      <c r="DS11" s="18" t="n"/>
      <c r="DT11" s="256" t="n"/>
      <c r="DU11" s="256" t="n"/>
      <c r="DV11" s="256" t="n"/>
      <c r="DW11" s="18" t="n"/>
      <c r="DX11" s="18" t="n"/>
      <c r="DY11" s="18" t="n"/>
      <c r="DZ11" s="18" t="n"/>
      <c r="EA11" s="18" t="n"/>
      <c r="EB11" s="18" t="n"/>
      <c r="EC11" s="312" t="inlineStr">
        <is>
          <t>50 DE MG</t>
        </is>
      </c>
      <c r="ED11" s="256" t="n"/>
      <c r="EE11" s="18" t="n"/>
      <c r="EF11" s="256" t="n"/>
      <c r="EG11" s="18" t="n"/>
      <c r="EH11" s="18" t="n"/>
      <c r="EI11" s="256" t="n"/>
      <c r="EJ11" s="18" t="n"/>
      <c r="EK11" s="256" t="n"/>
      <c r="EL11" s="18" t="n"/>
      <c r="EM11" s="18" t="n"/>
      <c r="EN11" s="18" t="n"/>
      <c r="EO11" s="256" t="n"/>
      <c r="EP11" s="18" t="n"/>
      <c r="EQ11" s="256" t="n">
        <v>100</v>
      </c>
      <c r="ER11" s="18" t="n"/>
      <c r="ES11" s="18" t="n"/>
      <c r="ET11" s="18" t="n"/>
      <c r="EU11" s="18" t="n"/>
      <c r="EV11" s="18" t="n"/>
      <c r="EW11" s="18" t="n"/>
      <c r="EX11" s="18" t="n"/>
      <c r="EY11" s="18" t="n"/>
      <c r="EZ11" s="18" t="n"/>
      <c r="FA11" s="256" t="n"/>
      <c r="FB11" s="18" t="n">
        <v>100</v>
      </c>
      <c r="FC11" s="18" t="n"/>
      <c r="FE11" s="30" t="inlineStr">
        <is>
          <t xml:space="preserve">SACOLA G </t>
        </is>
      </c>
      <c r="FF11" s="9" t="n">
        <v>100</v>
      </c>
      <c r="FG11" s="38" t="n">
        <v>0</v>
      </c>
      <c r="FH11" s="38" t="n">
        <v>0</v>
      </c>
      <c r="FI11" s="38" t="n">
        <v>0</v>
      </c>
      <c r="FJ11" s="38" t="n">
        <v>0</v>
      </c>
      <c r="FK11" s="38" t="n">
        <v>0</v>
      </c>
      <c r="FL11" s="38" t="n">
        <v>0</v>
      </c>
      <c r="FM11" s="38" t="n"/>
      <c r="FN11" s="38" t="n"/>
      <c r="FO11" s="38" t="n"/>
      <c r="FP11" s="9" t="n"/>
      <c r="FQ11" s="9" t="n"/>
      <c r="FR11" s="9" t="n"/>
      <c r="FS11" s="246">
        <f>FQ11+IF(NOT(ISBLANK(OFFSET(FS11,0,6))),N(OFFSET(FS11,0,6)),N(OFFSET(FS11,0,7)))-FR11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2" t="n"/>
      <c r="CE12" s="2" t="n"/>
      <c r="CF12" s="4" t="n"/>
      <c r="CG12" s="6" t="n"/>
      <c r="CH12" s="11" t="n"/>
      <c r="CI12" s="4" t="n"/>
      <c r="CJ12" s="17" t="n"/>
      <c r="CK12" s="24" t="n"/>
      <c r="CL12" s="24" t="n"/>
      <c r="CM12" s="24" t="n"/>
      <c r="CN12" s="24" t="n"/>
      <c r="CO12" s="257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57" t="n"/>
      <c r="DE12" s="257" t="n"/>
      <c r="DF12" s="24" t="n"/>
      <c r="DG12" s="24" t="n"/>
      <c r="DH12" s="24" t="n"/>
      <c r="DI12" s="257" t="n"/>
      <c r="DJ12" s="24" t="n"/>
      <c r="DK12" s="24" t="n"/>
      <c r="DL12" s="24" t="n"/>
      <c r="DM12" s="24" t="n"/>
      <c r="DN12" s="24" t="n"/>
      <c r="DO12" s="24" t="n"/>
      <c r="DP12" s="24" t="n"/>
      <c r="DQ12" s="24" t="n"/>
      <c r="DR12" s="24" t="n"/>
      <c r="DS12" s="24" t="n"/>
      <c r="DT12" s="257" t="n"/>
      <c r="DU12" s="257" t="n"/>
      <c r="DV12" s="257" t="n"/>
      <c r="DW12" s="24" t="n"/>
      <c r="DX12" s="24" t="n"/>
      <c r="DY12" s="24" t="n"/>
      <c r="DZ12" s="24" t="n"/>
      <c r="EA12" s="24" t="n"/>
      <c r="EB12" s="24" t="n"/>
      <c r="EC12" s="24" t="n"/>
      <c r="ED12" s="271" t="n"/>
      <c r="EE12" s="24" t="n"/>
      <c r="EF12" s="257" t="n"/>
      <c r="EG12" s="24" t="n"/>
      <c r="EH12" s="24" t="n"/>
      <c r="EI12" s="24" t="n"/>
      <c r="EJ12" s="24" t="n"/>
      <c r="EK12" s="271" t="n"/>
      <c r="EL12" s="24" t="n"/>
      <c r="EM12" s="24" t="n"/>
      <c r="EN12" s="24" t="n"/>
      <c r="EO12" s="271" t="n"/>
      <c r="EP12" s="24" t="n"/>
      <c r="EQ12" s="271" t="n"/>
      <c r="ER12" s="24" t="n"/>
      <c r="ES12" s="24" t="n"/>
      <c r="ET12" s="24" t="n"/>
      <c r="EU12" s="24" t="n"/>
      <c r="EV12" s="24" t="n"/>
      <c r="EW12" s="24" t="n"/>
      <c r="EX12" s="24" t="n"/>
      <c r="EY12" s="24" t="n"/>
      <c r="EZ12" s="24" t="n"/>
      <c r="FA12" s="257" t="n"/>
      <c r="FB12" s="24" t="n"/>
      <c r="FC12" s="24" t="n"/>
      <c r="FE12" s="31" t="n"/>
      <c r="FF12" s="2" t="n"/>
      <c r="FG12" s="4" t="n"/>
      <c r="FH12" s="4" t="n"/>
      <c r="FI12" s="4" t="n"/>
      <c r="FJ12" s="4" t="n"/>
      <c r="FK12" s="4" t="n"/>
      <c r="FL12" s="4" t="n"/>
      <c r="FM12" s="4" t="n"/>
      <c r="FN12" s="4" t="n"/>
      <c r="FO12" s="4" t="n"/>
      <c r="FP12" s="2" t="n"/>
      <c r="FQ12" s="2" t="n"/>
      <c r="FR12" s="2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1" t="n">
        <v>46161.48003486111</v>
      </c>
      <c r="CD13" s="651" t="n">
        <v>46161.48071435185</v>
      </c>
      <c r="CE13" s="651" t="n">
        <v>46161.48287244323</v>
      </c>
      <c r="CF13" s="652" t="inlineStr">
        <is>
          <t>USOU</t>
        </is>
      </c>
      <c r="CG13" s="642" t="n"/>
      <c r="CH13" s="35" t="inlineStr">
        <is>
          <t>Pendências</t>
        </is>
      </c>
      <c r="CI13" s="6" t="n"/>
      <c r="CJ13" s="12" t="inlineStr">
        <is>
          <t>Novo Pedido</t>
        </is>
      </c>
      <c r="CK13" s="702" t="n">
        <v>46161.482871427</v>
      </c>
      <c r="CL13" s="646" t="n">
        <v>46149</v>
      </c>
      <c r="CM13" s="646" t="n">
        <v>46142</v>
      </c>
      <c r="CN13" s="646" t="n">
        <v>46114</v>
      </c>
      <c r="CO13" s="647" t="n">
        <v>46065</v>
      </c>
      <c r="CP13" s="646" t="n">
        <v>46099</v>
      </c>
      <c r="CQ13" s="646" t="n">
        <v>46092</v>
      </c>
      <c r="CR13" s="655" t="n">
        <v>46080</v>
      </c>
      <c r="CS13" s="646" t="n">
        <v>46071</v>
      </c>
      <c r="CT13" s="646" t="n">
        <v>46043</v>
      </c>
      <c r="CU13" s="646" t="n">
        <v>46035</v>
      </c>
      <c r="CV13" s="646" t="n">
        <v>46029</v>
      </c>
      <c r="CW13" s="646" t="n">
        <v>46017</v>
      </c>
      <c r="CX13" s="646" t="n">
        <v>46007</v>
      </c>
      <c r="CY13" s="646" t="n">
        <v>46007</v>
      </c>
      <c r="CZ13" s="646" t="n">
        <v>46001</v>
      </c>
      <c r="DA13" s="646" t="n">
        <v>45980</v>
      </c>
      <c r="DB13" s="646" t="n">
        <v>45951</v>
      </c>
      <c r="DC13" s="655" t="n">
        <v>45954</v>
      </c>
      <c r="DD13" s="687" t="n">
        <v>45954</v>
      </c>
      <c r="DE13" s="687" t="n">
        <v>45952</v>
      </c>
      <c r="DF13" s="655" t="n">
        <v>45950</v>
      </c>
      <c r="DG13" s="646" t="n">
        <v>45937</v>
      </c>
      <c r="DH13" s="655" t="n">
        <v>45941</v>
      </c>
      <c r="DI13" s="678" t="n">
        <v>45903</v>
      </c>
      <c r="DJ13" s="646" t="n">
        <v>45923</v>
      </c>
      <c r="DK13" s="646" t="n">
        <v>45915</v>
      </c>
      <c r="DL13" s="688" t="n">
        <v>45924</v>
      </c>
      <c r="DM13" s="655" t="n">
        <v>45923</v>
      </c>
      <c r="DN13" s="688" t="n">
        <v>45922</v>
      </c>
      <c r="DO13" s="655" t="n">
        <v>45915</v>
      </c>
      <c r="DP13" s="646" t="n">
        <v>45895</v>
      </c>
      <c r="DQ13" s="646" t="n">
        <v>45881</v>
      </c>
      <c r="DR13" s="646" t="n">
        <v>45874</v>
      </c>
      <c r="DS13" s="646" t="n">
        <v>45848</v>
      </c>
      <c r="DT13" s="681" t="n">
        <v>45848</v>
      </c>
      <c r="DU13" s="681" t="n">
        <v>45791</v>
      </c>
      <c r="DV13" s="681" t="n">
        <v>45838</v>
      </c>
      <c r="DW13" s="646" t="n">
        <v>45832</v>
      </c>
      <c r="DX13" s="646" t="n">
        <v>45825</v>
      </c>
      <c r="DY13" s="646" t="n">
        <v>45813</v>
      </c>
      <c r="DZ13" s="655" t="n">
        <v>45820</v>
      </c>
      <c r="EA13" s="646" t="n">
        <v>45805</v>
      </c>
      <c r="EB13" s="646" t="n">
        <v>45798</v>
      </c>
      <c r="EC13" s="690" t="n">
        <v>45798</v>
      </c>
      <c r="ED13" s="684" t="n">
        <v>45798</v>
      </c>
      <c r="EE13" s="689" t="n">
        <v>45798</v>
      </c>
      <c r="EF13" s="685" t="n">
        <v>45798</v>
      </c>
      <c r="EG13" s="654" t="n">
        <v>45790</v>
      </c>
      <c r="EH13" s="655" t="n">
        <v>45790</v>
      </c>
      <c r="EI13" s="683" t="n">
        <v>45735</v>
      </c>
      <c r="EJ13" s="655" t="n">
        <v>45785</v>
      </c>
      <c r="EK13" s="684" t="n">
        <v>45785</v>
      </c>
      <c r="EL13" s="646" t="n">
        <v>45783</v>
      </c>
      <c r="EM13" s="646" t="n">
        <v>45770</v>
      </c>
      <c r="EN13" s="646" t="n">
        <v>45756</v>
      </c>
      <c r="EO13" s="684" t="n">
        <v>45751</v>
      </c>
      <c r="EP13" s="646" t="n">
        <v>45734</v>
      </c>
      <c r="EQ13" s="684" t="n">
        <v>45700</v>
      </c>
      <c r="ER13" s="646" t="n">
        <v>45722</v>
      </c>
      <c r="ES13" s="689" t="n">
        <v>45723</v>
      </c>
      <c r="ET13" s="646" t="n">
        <v>45706</v>
      </c>
      <c r="EU13" s="655" t="n">
        <v>45721</v>
      </c>
      <c r="EV13" s="646" t="n">
        <v>45699</v>
      </c>
      <c r="EW13" s="655" t="n">
        <v>45695</v>
      </c>
      <c r="EX13" s="646" t="n">
        <v>45685</v>
      </c>
      <c r="EY13" s="646" t="n">
        <v>45679</v>
      </c>
      <c r="EZ13" s="646" t="n">
        <v>45664</v>
      </c>
      <c r="FA13" s="685" t="n">
        <v>45670</v>
      </c>
      <c r="FB13" s="646" t="n">
        <v>45660</v>
      </c>
      <c r="FC13" s="646" t="n">
        <v>45652</v>
      </c>
      <c r="FE13" s="267" t="inlineStr">
        <is>
          <t>DIVERSOS</t>
        </is>
      </c>
      <c r="FF13" s="205" t="inlineStr">
        <is>
          <t>PCT</t>
        </is>
      </c>
      <c r="FG13" s="650" t="n">
        <v>46118</v>
      </c>
      <c r="FH13" s="650" t="n">
        <v>46125</v>
      </c>
      <c r="FI13" s="650" t="n">
        <v>46132</v>
      </c>
      <c r="FJ13" s="650" t="n">
        <v>46139</v>
      </c>
      <c r="FK13" s="650" t="n">
        <v>46146</v>
      </c>
      <c r="FL13" s="650" t="n">
        <v>46154</v>
      </c>
      <c r="FM13" s="650" t="n">
        <v>46160</v>
      </c>
      <c r="FN13" s="650" t="n">
        <v>46160</v>
      </c>
      <c r="FO13" s="650" t="n">
        <v>46160</v>
      </c>
      <c r="FP13" s="651" t="n">
        <v>46161.48003422454</v>
      </c>
      <c r="FQ13" s="651" t="n">
        <v>46161.48071375</v>
      </c>
      <c r="FR13" s="651" t="n">
        <v>46161.48287182717</v>
      </c>
      <c r="FS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231" t="n">
        <v>3</v>
      </c>
      <c r="G14" s="231" t="n">
        <v>6</v>
      </c>
      <c r="H14" s="231" t="n">
        <v>6</v>
      </c>
      <c r="I14" s="231" t="n">
        <v>6</v>
      </c>
      <c r="J14" s="231" t="n">
        <v>6</v>
      </c>
      <c r="K14" s="231" t="n">
        <v>6</v>
      </c>
      <c r="L14" s="231" t="n">
        <v>5</v>
      </c>
      <c r="M14" s="231" t="n">
        <v>5</v>
      </c>
      <c r="N14" s="231" t="n">
        <v>5</v>
      </c>
      <c r="O14" s="231" t="n">
        <v>5</v>
      </c>
      <c r="P14" s="231" t="n">
        <v>4</v>
      </c>
      <c r="Q14" s="231" t="n">
        <v>4</v>
      </c>
      <c r="R14" s="231" t="n">
        <v>4</v>
      </c>
      <c r="S14" s="231" t="n">
        <v>4</v>
      </c>
      <c r="T14" s="231" t="n">
        <v>3</v>
      </c>
      <c r="U14" s="231" t="n">
        <v>3</v>
      </c>
      <c r="V14" s="231" t="n">
        <v>3</v>
      </c>
      <c r="W14" s="231" t="n">
        <v>3</v>
      </c>
      <c r="X14" s="231" t="n">
        <v>3</v>
      </c>
      <c r="Y14" s="231" t="n">
        <v>4</v>
      </c>
      <c r="Z14" s="231" t="n">
        <v>4</v>
      </c>
      <c r="AA14" s="231" t="n">
        <v>2</v>
      </c>
      <c r="AB14" s="231" t="n">
        <v>2</v>
      </c>
      <c r="AC14" s="231" t="n">
        <v>3</v>
      </c>
      <c r="AD14" s="231" t="n">
        <v>4</v>
      </c>
      <c r="AE14" s="231" t="n">
        <v>5</v>
      </c>
      <c r="AF14" s="231" t="n">
        <v>5</v>
      </c>
      <c r="AG14" s="231" t="n">
        <v>5</v>
      </c>
      <c r="AH14" s="231" t="n">
        <v>5</v>
      </c>
      <c r="AI14" s="231" t="n">
        <v>5</v>
      </c>
      <c r="AJ14" s="231" t="n">
        <v>5</v>
      </c>
      <c r="AK14" s="231" t="n">
        <v>5</v>
      </c>
      <c r="AL14" s="231" t="n">
        <v>4</v>
      </c>
      <c r="AM14" s="231" t="n">
        <v>4</v>
      </c>
      <c r="AN14" s="231" t="n">
        <v>4</v>
      </c>
      <c r="AO14" s="231" t="n">
        <v>4</v>
      </c>
      <c r="AP14" s="231" t="n">
        <v>3</v>
      </c>
      <c r="AQ14" s="231" t="n">
        <v>3</v>
      </c>
      <c r="AR14" s="231">
        <f>3-1</f>
        <v/>
      </c>
      <c r="AS14" s="231">
        <f>1+DG14</f>
        <v/>
      </c>
      <c r="AT14" s="231" t="n">
        <v>2</v>
      </c>
      <c r="AU14" s="231">
        <f>2+DD14</f>
        <v/>
      </c>
      <c r="AV14" s="231" t="n">
        <v>2</v>
      </c>
      <c r="AW14" s="231">
        <f>1+CY14</f>
        <v/>
      </c>
      <c r="AX14" s="231" t="n">
        <v>2</v>
      </c>
      <c r="AY14" s="231" t="n">
        <v>2</v>
      </c>
      <c r="AZ14" s="231" t="n">
        <v>4</v>
      </c>
      <c r="BA14" s="231" t="n">
        <v>4</v>
      </c>
      <c r="BB14" s="231" t="n">
        <v>3</v>
      </c>
      <c r="BC14" s="231" t="n">
        <v>3</v>
      </c>
      <c r="BD14" s="231" t="n">
        <v>3</v>
      </c>
      <c r="BE14" s="231" t="n">
        <v>3</v>
      </c>
      <c r="BF14" s="231" t="n">
        <v>1</v>
      </c>
      <c r="BG14" s="231" t="n">
        <v>0</v>
      </c>
      <c r="BH14" s="231" t="n">
        <v>2</v>
      </c>
      <c r="BI14" s="231" t="n">
        <v>9</v>
      </c>
      <c r="BJ14" s="231" t="n">
        <v>9</v>
      </c>
      <c r="BK14" s="231" t="n">
        <v>9</v>
      </c>
      <c r="BL14" s="231" t="n">
        <v>8</v>
      </c>
      <c r="BM14" s="231" t="n">
        <v>7</v>
      </c>
      <c r="BN14" s="231" t="n">
        <v>6</v>
      </c>
      <c r="BO14" s="231" t="n">
        <v>6</v>
      </c>
      <c r="BP14" s="231" t="n">
        <v>5</v>
      </c>
      <c r="BQ14" s="231" t="n">
        <v>4</v>
      </c>
      <c r="BR14" s="231" t="n">
        <v>4</v>
      </c>
      <c r="BS14" s="231" t="n">
        <v>3</v>
      </c>
      <c r="BT14" s="231">
        <f>2+CK14</f>
        <v/>
      </c>
      <c r="BU14" s="231" t="n">
        <v>4</v>
      </c>
      <c r="BV14" s="231" t="n">
        <v>4</v>
      </c>
      <c r="BW14" s="231" t="n">
        <v>4</v>
      </c>
      <c r="BX14" s="231">
        <f>4+CJ14</f>
        <v/>
      </c>
      <c r="BY14" s="231" t="n">
        <v>5</v>
      </c>
      <c r="BZ14" s="231" t="n"/>
      <c r="CA14" s="231" t="n"/>
      <c r="CB14" s="231" t="n"/>
      <c r="CC14" s="709" t="n"/>
      <c r="CD14" s="709" t="n"/>
      <c r="CE14" s="709" t="n"/>
      <c r="CF14" s="188">
        <f>CD14+IF(NOT(ISBLANK(OFFSET(CF14,0,6))),N(OFFSET(CF14,0,6)),N(OFFSET(CF14,0,7)))-CE14</f>
        <v/>
      </c>
      <c r="CG14" s="642" t="n"/>
      <c r="CH14" s="19" t="n"/>
      <c r="CI14" s="4" t="n"/>
      <c r="CJ14" s="23" t="n"/>
      <c r="CK14" s="703" t="n">
        <v>0</v>
      </c>
      <c r="CL14" s="18" t="n">
        <v>0</v>
      </c>
      <c r="CM14" s="18" t="n">
        <v>2</v>
      </c>
      <c r="CN14" s="18" t="n">
        <v>2</v>
      </c>
      <c r="CO14" s="256" t="n">
        <v>5</v>
      </c>
      <c r="CP14" s="18" t="n"/>
      <c r="CQ14" s="18" t="n"/>
      <c r="CR14" s="256" t="n"/>
      <c r="CS14" s="18" t="n"/>
      <c r="CT14" s="18" t="n"/>
      <c r="CU14" s="18" t="n">
        <v>2</v>
      </c>
      <c r="CV14" s="18" t="n">
        <v>5</v>
      </c>
      <c r="CW14" s="18" t="n">
        <v>2</v>
      </c>
      <c r="CX14" s="18" t="n"/>
      <c r="CY14" s="18" t="n"/>
      <c r="CZ14" s="18" t="n"/>
      <c r="DA14" s="18" t="n"/>
      <c r="DB14" s="18" t="n">
        <v>1</v>
      </c>
      <c r="DC14" s="18" t="n"/>
      <c r="DD14" s="256" t="n"/>
      <c r="DE14" s="256" t="n"/>
      <c r="DF14" s="18" t="n"/>
      <c r="DG14" s="18" t="n">
        <v>1</v>
      </c>
      <c r="DH14" s="18" t="n"/>
      <c r="DI14" s="256" t="n">
        <v>6</v>
      </c>
      <c r="DJ14" s="18" t="n">
        <v>1</v>
      </c>
      <c r="DK14" s="18" t="n"/>
      <c r="DL14" s="256" t="n"/>
      <c r="DM14" s="154" t="inlineStr">
        <is>
          <t>01 P/ PL</t>
        </is>
      </c>
      <c r="DN14" s="378" t="inlineStr">
        <is>
          <t>100 DE MG</t>
        </is>
      </c>
      <c r="DO14" s="18" t="n"/>
      <c r="DP14" s="18" t="n"/>
      <c r="DQ14" s="18" t="n"/>
      <c r="DR14" s="18" t="n"/>
      <c r="DS14" s="18" t="n"/>
      <c r="DT14" s="256" t="n"/>
      <c r="DU14" s="256" t="n">
        <v>2</v>
      </c>
      <c r="DV14" s="256" t="n"/>
      <c r="DW14" s="18" t="n"/>
      <c r="DX14" s="18" t="n"/>
      <c r="DY14" s="18" t="n">
        <v>2</v>
      </c>
      <c r="DZ14" s="18" t="n"/>
      <c r="EA14" s="18" t="n">
        <v>1</v>
      </c>
      <c r="EB14" s="18" t="n"/>
      <c r="EC14" s="256" t="n"/>
      <c r="ED14" s="256" t="n"/>
      <c r="EE14" s="18" t="n"/>
      <c r="EF14" s="256" t="n"/>
      <c r="EG14" s="18" t="n"/>
      <c r="EH14" s="18" t="n"/>
      <c r="EI14" s="256" t="n">
        <v>1</v>
      </c>
      <c r="EJ14" s="18" t="n"/>
      <c r="EK14" s="256" t="n"/>
      <c r="EL14" s="18" t="n">
        <v>1</v>
      </c>
      <c r="EM14" s="18" t="n">
        <v>1</v>
      </c>
      <c r="EN14" s="18" t="n"/>
      <c r="EO14" s="256" t="n"/>
      <c r="EP14" s="18" t="n"/>
      <c r="EQ14" s="256" t="n">
        <v>2</v>
      </c>
      <c r="ER14" s="18" t="n"/>
      <c r="ES14" s="18" t="n"/>
      <c r="ET14" s="18" t="n"/>
      <c r="EU14" s="18" t="n"/>
      <c r="EV14" s="18" t="n"/>
      <c r="EW14" s="18" t="n"/>
      <c r="EX14" s="18" t="n"/>
      <c r="EY14" s="18" t="n"/>
      <c r="EZ14" s="18" t="n"/>
      <c r="FA14" s="256" t="n"/>
      <c r="FB14" s="18" t="n"/>
      <c r="FC14" s="18" t="n">
        <v>3</v>
      </c>
      <c r="FE14" s="159" t="inlineStr">
        <is>
          <t>PAPEL DE SEDA</t>
        </is>
      </c>
      <c r="FF14" s="129" t="n">
        <v>200</v>
      </c>
      <c r="FG14" s="38">
        <f>CL14</f>
        <v/>
      </c>
      <c r="FH14" s="38" t="n">
        <v>4</v>
      </c>
      <c r="FI14" s="38" t="n">
        <v>2</v>
      </c>
      <c r="FJ14" s="38" t="n">
        <v>1</v>
      </c>
      <c r="FK14" s="38" t="n">
        <v>1</v>
      </c>
      <c r="FL14" s="38" t="n">
        <v>1</v>
      </c>
      <c r="FM14" s="38" t="n"/>
      <c r="FN14" s="38" t="n"/>
      <c r="FO14" s="38" t="n"/>
      <c r="FP14" s="9" t="n"/>
      <c r="FQ14" s="9" t="n"/>
      <c r="FR14" s="9" t="n"/>
      <c r="FS14" s="246">
        <f>FQ14+IF(NOT(ISBLANK(OFFSET(FS14,0,6))),N(OFFSET(FS14,0,6)),N(OFFSET(FS14,0,7)))-FR14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1</v>
      </c>
      <c r="E15" s="642" t="n"/>
      <c r="F15" s="231" t="n">
        <v>0</v>
      </c>
      <c r="G15" s="231">
        <f>1+EY15</f>
        <v/>
      </c>
      <c r="H15" s="231" t="n">
        <v>1</v>
      </c>
      <c r="I15" s="231" t="n">
        <v>1</v>
      </c>
      <c r="J15" s="231">
        <f>1+EV15</f>
        <v/>
      </c>
      <c r="K15" s="231" t="n">
        <v>3</v>
      </c>
      <c r="L15" s="231" t="n">
        <v>3</v>
      </c>
      <c r="M15" s="231" t="n">
        <v>4</v>
      </c>
      <c r="N15" s="231" t="n">
        <v>4</v>
      </c>
      <c r="O15" s="231" t="n">
        <v>4</v>
      </c>
      <c r="P15" s="231" t="n">
        <v>4</v>
      </c>
      <c r="Q15" s="231" t="n">
        <v>4</v>
      </c>
      <c r="R15" s="231" t="n">
        <v>4</v>
      </c>
      <c r="S15" s="231" t="n">
        <v>4</v>
      </c>
      <c r="T15" s="231" t="n">
        <v>4</v>
      </c>
      <c r="U15" s="231" t="n">
        <v>3</v>
      </c>
      <c r="V15" s="231" t="n">
        <v>3</v>
      </c>
      <c r="W15" s="231" t="n">
        <v>3</v>
      </c>
      <c r="X15" s="231" t="n">
        <v>3</v>
      </c>
      <c r="Y15" s="231">
        <f>3-2</f>
        <v/>
      </c>
      <c r="Z15" s="231" t="n">
        <v>1</v>
      </c>
      <c r="AA15" s="231" t="n">
        <v>2</v>
      </c>
      <c r="AB15" s="231" t="n">
        <v>1</v>
      </c>
      <c r="AC15" s="231" t="n">
        <v>1</v>
      </c>
      <c r="AD15" s="231" t="n">
        <v>2</v>
      </c>
      <c r="AE15" s="231" t="n">
        <v>2</v>
      </c>
      <c r="AF15" s="231" t="n">
        <v>2</v>
      </c>
      <c r="AG15" s="231" t="n">
        <v>2</v>
      </c>
      <c r="AH15" s="231" t="n">
        <v>2</v>
      </c>
      <c r="AI15" s="231" t="n">
        <v>2</v>
      </c>
      <c r="AJ15" s="231" t="n">
        <v>2</v>
      </c>
      <c r="AK15" s="231" t="n">
        <v>2</v>
      </c>
      <c r="AL15" s="231" t="n">
        <v>2</v>
      </c>
      <c r="AM15" s="231" t="n">
        <v>2</v>
      </c>
      <c r="AN15" s="231" t="n">
        <v>2</v>
      </c>
      <c r="AO15" s="231" t="n">
        <v>2</v>
      </c>
      <c r="AP15" s="231" t="n">
        <v>2</v>
      </c>
      <c r="AQ15" s="231" t="n">
        <v>1</v>
      </c>
      <c r="AR15" s="231" t="n">
        <v>1</v>
      </c>
      <c r="AS15" s="231" t="n">
        <v>2</v>
      </c>
      <c r="AT15" s="231" t="n">
        <v>2</v>
      </c>
      <c r="AU15" s="231" t="n">
        <v>2</v>
      </c>
      <c r="AV15" s="231" t="n">
        <v>2</v>
      </c>
      <c r="AW15" s="231" t="n">
        <v>2</v>
      </c>
      <c r="AX15" s="231" t="n">
        <v>2</v>
      </c>
      <c r="AY15" s="231" t="n">
        <v>2</v>
      </c>
      <c r="AZ15" s="231" t="n">
        <v>2</v>
      </c>
      <c r="BA15" s="231" t="n">
        <v>2</v>
      </c>
      <c r="BB15" s="231" t="n">
        <v>2</v>
      </c>
      <c r="BC15" s="231" t="n">
        <v>2</v>
      </c>
      <c r="BD15" s="231" t="n">
        <v>2</v>
      </c>
      <c r="BE15" s="231" t="n">
        <v>2</v>
      </c>
      <c r="BF15" s="231" t="n">
        <v>1</v>
      </c>
      <c r="BG15" s="231" t="n">
        <v>1</v>
      </c>
      <c r="BH15" s="231" t="n">
        <v>1</v>
      </c>
      <c r="BI15" s="231" t="n">
        <v>3</v>
      </c>
      <c r="BJ15" s="231" t="n">
        <v>2</v>
      </c>
      <c r="BK15" s="231" t="n">
        <v>2</v>
      </c>
      <c r="BL15" s="231" t="n">
        <v>2</v>
      </c>
      <c r="BM15" s="231" t="n">
        <v>2</v>
      </c>
      <c r="BN15" s="231" t="n">
        <v>1</v>
      </c>
      <c r="BO15" s="231" t="n">
        <v>1</v>
      </c>
      <c r="BP15" s="231" t="n">
        <v>1</v>
      </c>
      <c r="BQ15" s="231" t="n">
        <v>1</v>
      </c>
      <c r="BR15" s="231" t="n">
        <v>1</v>
      </c>
      <c r="BS15" s="231" t="n">
        <v>1</v>
      </c>
      <c r="BT15" s="231" t="n">
        <v>1</v>
      </c>
      <c r="BU15" s="231" t="n">
        <v>0</v>
      </c>
      <c r="BV15" s="231" t="n">
        <v>0</v>
      </c>
      <c r="BW15" s="231" t="n">
        <v>0</v>
      </c>
      <c r="BX15" s="231">
        <f>0+CJ15</f>
        <v/>
      </c>
      <c r="BY15" s="231" t="n">
        <v>1</v>
      </c>
      <c r="BZ15" s="231" t="n"/>
      <c r="CA15" s="231" t="n"/>
      <c r="CB15" s="231" t="n"/>
      <c r="CC15" s="709" t="n"/>
      <c r="CD15" s="709" t="n"/>
      <c r="CE15" s="709" t="n"/>
      <c r="CF15" s="188">
        <f>CD15+IF(NOT(ISBLANK(OFFSET(CF15,0,6))),N(OFFSET(CF15,0,6)),N(OFFSET(CF15,0,7)))-CE15</f>
        <v/>
      </c>
      <c r="CG15" s="642" t="n"/>
      <c r="CH15" s="19" t="n"/>
      <c r="CI15" s="4" t="n"/>
      <c r="CJ15" s="23" t="n"/>
      <c r="CK15" s="703" t="n">
        <v>0</v>
      </c>
      <c r="CL15" s="18" t="n">
        <v>0</v>
      </c>
      <c r="CM15" s="18" t="n">
        <v>1</v>
      </c>
      <c r="CN15" s="18" t="n"/>
      <c r="CO15" s="256" t="n">
        <v>2</v>
      </c>
      <c r="CP15" s="18" t="n"/>
      <c r="CQ15" s="18" t="n"/>
      <c r="CR15" s="18" t="n"/>
      <c r="CS15" s="18" t="n"/>
      <c r="CT15" s="18" t="n"/>
      <c r="CU15" s="18" t="n"/>
      <c r="CV15" s="18" t="n">
        <v>2</v>
      </c>
      <c r="CW15" s="18" t="n"/>
      <c r="CX15" s="18" t="n"/>
      <c r="CY15" s="18" t="n"/>
      <c r="CZ15" s="18" t="n"/>
      <c r="DA15" s="18" t="n"/>
      <c r="DB15" s="18" t="n"/>
      <c r="DC15" s="18" t="n"/>
      <c r="DD15" s="256" t="n"/>
      <c r="DE15" s="256" t="n"/>
      <c r="DF15" s="18" t="n"/>
      <c r="DG15" s="18" t="n"/>
      <c r="DH15" s="18" t="n"/>
      <c r="DI15" s="256" t="n">
        <v>4</v>
      </c>
      <c r="DJ15" s="18" t="n"/>
      <c r="DK15" s="18" t="n">
        <v>1</v>
      </c>
      <c r="DL15" s="256" t="n"/>
      <c r="DM15" s="18" t="n"/>
      <c r="DN15" s="378" t="inlineStr">
        <is>
          <t>100 DE MG</t>
        </is>
      </c>
      <c r="DO15" s="18" t="n"/>
      <c r="DP15" s="18" t="n"/>
      <c r="DQ15" s="18" t="n"/>
      <c r="DR15" s="18" t="n"/>
      <c r="DS15" s="18" t="n"/>
      <c r="DT15" s="256" t="n"/>
      <c r="DU15" s="256" t="n">
        <v>1</v>
      </c>
      <c r="DV15" s="256" t="n"/>
      <c r="DW15" s="18" t="n"/>
      <c r="DX15" s="18" t="n"/>
      <c r="DY15" s="18" t="n">
        <v>1</v>
      </c>
      <c r="DZ15" s="18" t="n"/>
      <c r="EA15" s="18" t="n"/>
      <c r="EB15" s="18" t="n">
        <v>1</v>
      </c>
      <c r="EC15" s="256" t="n"/>
      <c r="ED15" s="256" t="n"/>
      <c r="EE15" s="18" t="n"/>
      <c r="EF15" s="256" t="n"/>
      <c r="EG15" s="18" t="n"/>
      <c r="EH15" s="241" t="inlineStr">
        <is>
          <t>02 P/ TP</t>
        </is>
      </c>
      <c r="EI15" s="256" t="n">
        <v>1</v>
      </c>
      <c r="EJ15" s="18" t="n"/>
      <c r="EK15" s="256" t="n"/>
      <c r="EL15" s="18" t="n"/>
      <c r="EM15" s="18" t="n"/>
      <c r="EN15" s="18" t="n"/>
      <c r="EO15" s="256" t="n"/>
      <c r="EP15" s="18" t="n"/>
      <c r="EQ15" s="256" t="n"/>
      <c r="ER15" s="18" t="n"/>
      <c r="ES15" s="18" t="n"/>
      <c r="ET15" s="18" t="n"/>
      <c r="EU15" s="18" t="n"/>
      <c r="EV15" s="18" t="n"/>
      <c r="EW15" s="18" t="n"/>
      <c r="EX15" s="18" t="n"/>
      <c r="EY15" s="18" t="n">
        <v>2</v>
      </c>
      <c r="EZ15" s="18" t="n"/>
      <c r="FA15" s="256" t="n"/>
      <c r="FB15" s="18" t="n">
        <v>1</v>
      </c>
      <c r="FC15" s="18" t="n">
        <v>1</v>
      </c>
      <c r="FE15" s="29" t="inlineStr">
        <is>
          <t>ADESIVOS</t>
        </is>
      </c>
      <c r="FF15" s="9" t="n">
        <v>200</v>
      </c>
      <c r="FG15" s="38">
        <f>CL15</f>
        <v/>
      </c>
      <c r="FH15" s="38" t="n">
        <v>1</v>
      </c>
      <c r="FI15" s="38" t="n">
        <v>1</v>
      </c>
      <c r="FJ15" s="38" t="n">
        <v>1</v>
      </c>
      <c r="FK15" s="38" t="n">
        <v>1</v>
      </c>
      <c r="FL15" s="38" t="n">
        <v>1</v>
      </c>
      <c r="FM15" s="38" t="n"/>
      <c r="FN15" s="38" t="n"/>
      <c r="FO15" s="38" t="n"/>
      <c r="FP15" s="9" t="n"/>
      <c r="FQ15" s="9" t="n"/>
      <c r="FR15" s="9" t="n"/>
      <c r="FS15" s="246">
        <f>FQ15+IF(NOT(ISBLANK(OFFSET(FS15,0,6))),N(OFFSET(FS15,0,6)),N(OFFSET(FS15,0,7)))-FR15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4</v>
      </c>
      <c r="E16" s="2" t="n"/>
      <c r="F16" s="115" t="n">
        <v>2</v>
      </c>
      <c r="G16" s="115" t="n">
        <v>2</v>
      </c>
      <c r="H16" s="115" t="n">
        <v>2</v>
      </c>
      <c r="I16" s="115" t="n">
        <v>1</v>
      </c>
      <c r="J16" s="115">
        <f>1+EV16</f>
        <v/>
      </c>
      <c r="K16" s="115" t="n">
        <v>4</v>
      </c>
      <c r="L16" s="115" t="n">
        <v>4</v>
      </c>
      <c r="M16" s="115" t="n">
        <v>3</v>
      </c>
      <c r="N16" s="115" t="n">
        <v>3</v>
      </c>
      <c r="O16" s="115" t="n">
        <v>3</v>
      </c>
      <c r="P16" s="115" t="n">
        <v>3</v>
      </c>
      <c r="Q16" s="115" t="n">
        <v>3</v>
      </c>
      <c r="R16" s="115" t="n">
        <v>3</v>
      </c>
      <c r="S16" s="115" t="n">
        <v>3</v>
      </c>
      <c r="T16" s="115" t="n">
        <v>3</v>
      </c>
      <c r="U16" s="115" t="n">
        <v>2</v>
      </c>
      <c r="V16" s="115" t="n">
        <v>2</v>
      </c>
      <c r="W16" s="115" t="n">
        <v>2</v>
      </c>
      <c r="X16" s="115" t="n">
        <v>4</v>
      </c>
      <c r="Y16" s="115" t="n">
        <v>3</v>
      </c>
      <c r="Z16" s="115" t="n">
        <v>3</v>
      </c>
      <c r="AA16" s="115" t="n">
        <v>2</v>
      </c>
      <c r="AB16" s="115" t="n">
        <v>2</v>
      </c>
      <c r="AC16" s="115" t="n">
        <v>3</v>
      </c>
      <c r="AD16" s="115" t="n">
        <v>3</v>
      </c>
      <c r="AE16" s="115" t="n">
        <v>2</v>
      </c>
      <c r="AF16" s="115" t="n">
        <v>5</v>
      </c>
      <c r="AG16" s="115" t="n">
        <v>5</v>
      </c>
      <c r="AH16" s="115" t="n">
        <v>5</v>
      </c>
      <c r="AI16" s="115" t="n">
        <v>5</v>
      </c>
      <c r="AJ16" s="115" t="n">
        <v>5</v>
      </c>
      <c r="AK16" s="115" t="n">
        <v>5</v>
      </c>
      <c r="AL16" s="115" t="n">
        <v>4</v>
      </c>
      <c r="AM16" s="115" t="n">
        <v>4</v>
      </c>
      <c r="AN16" s="115" t="n">
        <v>4</v>
      </c>
      <c r="AO16" s="115" t="n">
        <v>4</v>
      </c>
      <c r="AP16" s="115" t="n">
        <v>4</v>
      </c>
      <c r="AQ16" s="115" t="n">
        <v>3</v>
      </c>
      <c r="AR16" s="115" t="n">
        <v>3</v>
      </c>
      <c r="AS16" s="115" t="n">
        <v>3</v>
      </c>
      <c r="AT16" s="115" t="n">
        <v>2</v>
      </c>
      <c r="AU16" s="115">
        <f>2+DD16</f>
        <v/>
      </c>
      <c r="AV16" s="115" t="n">
        <v>5</v>
      </c>
      <c r="AW16" s="231">
        <f>5+CY16</f>
        <v/>
      </c>
      <c r="AX16" s="231" t="n">
        <v>6</v>
      </c>
      <c r="AY16" s="231" t="n">
        <v>4</v>
      </c>
      <c r="AZ16" s="231" t="n">
        <v>2</v>
      </c>
      <c r="BA16" s="231" t="n">
        <v>1</v>
      </c>
      <c r="BB16" s="231" t="n">
        <v>4</v>
      </c>
      <c r="BC16" s="231" t="n">
        <v>4</v>
      </c>
      <c r="BD16" s="231" t="n">
        <v>4</v>
      </c>
      <c r="BE16" s="231" t="n">
        <v>3</v>
      </c>
      <c r="BF16" s="231" t="n">
        <v>3</v>
      </c>
      <c r="BG16" s="231" t="n">
        <v>3</v>
      </c>
      <c r="BH16" s="231" t="n">
        <v>5</v>
      </c>
      <c r="BI16" s="231" t="n">
        <v>5</v>
      </c>
      <c r="BJ16" s="231" t="n">
        <v>5</v>
      </c>
      <c r="BK16" s="231" t="n">
        <v>5</v>
      </c>
      <c r="BL16" s="231" t="n">
        <v>5</v>
      </c>
      <c r="BM16" s="231" t="n">
        <v>5</v>
      </c>
      <c r="BN16" s="231" t="n">
        <v>5</v>
      </c>
      <c r="BO16" s="231" t="n">
        <v>5</v>
      </c>
      <c r="BP16" s="231" t="n">
        <v>5</v>
      </c>
      <c r="BQ16" s="231" t="n">
        <v>1</v>
      </c>
      <c r="BR16" s="231" t="n">
        <v>4</v>
      </c>
      <c r="BS16" s="231" t="n">
        <v>4</v>
      </c>
      <c r="BT16" s="231" t="n">
        <v>4</v>
      </c>
      <c r="BU16" s="231" t="n">
        <v>4</v>
      </c>
      <c r="BV16" s="231" t="n">
        <v>4</v>
      </c>
      <c r="BW16" s="231" t="n">
        <v>4</v>
      </c>
      <c r="BX16" s="231" t="n">
        <v>2</v>
      </c>
      <c r="BY16" s="231">
        <f>1+CI16</f>
        <v/>
      </c>
      <c r="BZ16" s="231" t="n"/>
      <c r="CA16" s="231" t="n"/>
      <c r="CB16" s="231" t="n"/>
      <c r="CC16" s="709" t="n"/>
      <c r="CD16" s="709" t="n"/>
      <c r="CE16" s="709" t="n"/>
      <c r="CF16" s="188">
        <f>CD16+IF(NOT(ISBLANK(OFFSET(CF16,0,6))),N(OFFSET(CF16,0,6)),N(OFFSET(CF16,0,7)))-CE16</f>
        <v/>
      </c>
      <c r="CG16" s="2" t="n"/>
      <c r="CH16" s="19" t="n"/>
      <c r="CI16" s="4" t="n"/>
      <c r="CJ16" s="23" t="n"/>
      <c r="CK16" s="691" t="n">
        <v>0</v>
      </c>
      <c r="CL16" s="18" t="n">
        <v>4</v>
      </c>
      <c r="CM16" s="18" t="n">
        <v>0</v>
      </c>
      <c r="CN16" s="18" t="n"/>
      <c r="CO16" s="356" t="n"/>
      <c r="CP16" s="18" t="n">
        <v>3</v>
      </c>
      <c r="CQ16" s="18" t="n"/>
      <c r="CR16" s="18" t="n"/>
      <c r="CS16" s="18" t="n"/>
      <c r="CT16" s="18" t="n"/>
      <c r="CU16" s="18" t="n"/>
      <c r="CV16" s="18" t="n"/>
      <c r="CW16" s="18" t="n">
        <v>2</v>
      </c>
      <c r="CX16" s="18" t="n"/>
      <c r="CY16" s="18" t="n"/>
      <c r="CZ16" s="18" t="n"/>
      <c r="DA16" s="18" t="n">
        <v>4</v>
      </c>
      <c r="DB16" s="18" t="n">
        <v>1</v>
      </c>
      <c r="DC16" s="18" t="n"/>
      <c r="DD16" s="256" t="n"/>
      <c r="DE16" s="256" t="n"/>
      <c r="DF16" s="18" t="n"/>
      <c r="DG16" s="18" t="n">
        <v>3</v>
      </c>
      <c r="DH16" s="18" t="n"/>
      <c r="DI16" s="256" t="n"/>
      <c r="DJ16" s="18" t="n"/>
      <c r="DK16" s="18" t="n"/>
      <c r="DL16" s="256" t="n"/>
      <c r="DM16" s="18" t="n"/>
      <c r="DN16" s="256" t="n"/>
      <c r="DO16" s="18" t="n"/>
      <c r="DP16" s="18" t="n"/>
      <c r="DQ16" s="18" t="n"/>
      <c r="DR16" s="18" t="n"/>
      <c r="DS16" s="18" t="n"/>
      <c r="DT16" s="256" t="n"/>
      <c r="DU16" s="256" t="n"/>
      <c r="DV16" s="256" t="n"/>
      <c r="DW16" s="18" t="n">
        <v>3</v>
      </c>
      <c r="DX16" s="18" t="n"/>
      <c r="DY16" s="18" t="n"/>
      <c r="DZ16" s="18" t="n"/>
      <c r="EA16" s="18" t="n">
        <v>1</v>
      </c>
      <c r="EB16" s="18" t="n"/>
      <c r="EC16" s="256" t="n"/>
      <c r="ED16" s="256" t="n"/>
      <c r="EE16" s="18" t="n"/>
      <c r="EF16" s="256" t="n"/>
      <c r="EG16" s="18" t="n"/>
      <c r="EH16" s="18" t="n"/>
      <c r="EI16" s="256" t="n"/>
      <c r="EJ16" s="18" t="n"/>
      <c r="EK16" s="256" t="n"/>
      <c r="EL16" s="18" t="n"/>
      <c r="EM16" s="18" t="n">
        <v>2</v>
      </c>
      <c r="EN16" s="18" t="n"/>
      <c r="EO16" s="256" t="n"/>
      <c r="EP16" s="18" t="n"/>
      <c r="EQ16" s="256" t="n">
        <v>1</v>
      </c>
      <c r="ER16" s="18" t="n"/>
      <c r="ES16" s="18" t="n"/>
      <c r="ET16" s="18" t="n"/>
      <c r="EU16" s="18" t="n"/>
      <c r="EV16" s="18" t="n"/>
      <c r="EW16" s="18" t="n"/>
      <c r="EX16" s="18" t="n"/>
      <c r="EY16" s="18" t="n">
        <v>3</v>
      </c>
      <c r="EZ16" s="18" t="n"/>
      <c r="FA16" s="256" t="n"/>
      <c r="FB16" s="18" t="n"/>
      <c r="FC16" s="18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2</v>
      </c>
      <c r="E17" s="2" t="n"/>
      <c r="F17" s="231" t="n">
        <v>2</v>
      </c>
      <c r="G17" s="231" t="n">
        <v>4</v>
      </c>
      <c r="H17" s="231" t="n">
        <v>4</v>
      </c>
      <c r="I17" s="231" t="n">
        <v>3</v>
      </c>
      <c r="J17" s="231">
        <f>3+EV17</f>
        <v/>
      </c>
      <c r="K17" s="231" t="n">
        <v>4</v>
      </c>
      <c r="L17" s="231" t="n">
        <v>4</v>
      </c>
      <c r="M17" s="231" t="n">
        <v>4</v>
      </c>
      <c r="N17" s="231" t="n">
        <v>4</v>
      </c>
      <c r="O17" s="231" t="n">
        <v>3</v>
      </c>
      <c r="P17" s="231">
        <f>3+EO17</f>
        <v/>
      </c>
      <c r="Q17" s="231" t="n">
        <v>4</v>
      </c>
      <c r="R17" s="231" t="n">
        <v>3</v>
      </c>
      <c r="S17" s="231" t="n">
        <v>3</v>
      </c>
      <c r="T17" s="231" t="n">
        <v>3</v>
      </c>
      <c r="U17" s="231" t="n">
        <v>2</v>
      </c>
      <c r="V17" s="231" t="n">
        <v>2</v>
      </c>
      <c r="W17" s="231" t="n">
        <v>2</v>
      </c>
      <c r="X17" s="231" t="n">
        <v>1</v>
      </c>
      <c r="Y17" s="231">
        <f>0+1</f>
        <v/>
      </c>
      <c r="Z17" s="231" t="n">
        <v>2</v>
      </c>
      <c r="AA17" s="231" t="n">
        <v>2</v>
      </c>
      <c r="AB17" s="231" t="n">
        <v>3</v>
      </c>
      <c r="AC17" s="231" t="n">
        <v>3</v>
      </c>
      <c r="AD17" s="231" t="n">
        <v>2</v>
      </c>
      <c r="AE17" s="231" t="n">
        <v>2</v>
      </c>
      <c r="AF17" s="231" t="n">
        <v>3</v>
      </c>
      <c r="AG17" s="231" t="n">
        <v>3</v>
      </c>
      <c r="AH17" s="231" t="n">
        <v>3</v>
      </c>
      <c r="AI17" s="231" t="n">
        <v>3</v>
      </c>
      <c r="AJ17" s="231" t="n">
        <v>2</v>
      </c>
      <c r="AK17" s="231" t="n">
        <v>2</v>
      </c>
      <c r="AL17" s="231" t="n">
        <v>2</v>
      </c>
      <c r="AM17" s="231" t="n">
        <v>2</v>
      </c>
      <c r="AN17" s="231" t="n">
        <v>1</v>
      </c>
      <c r="AO17" s="231" t="n">
        <v>2</v>
      </c>
      <c r="AP17" s="231" t="n">
        <v>2</v>
      </c>
      <c r="AQ17" s="231">
        <f>2-1</f>
        <v/>
      </c>
      <c r="AR17" s="231" t="n">
        <v>0</v>
      </c>
      <c r="AS17" s="231">
        <f>0+DG17</f>
        <v/>
      </c>
      <c r="AT17" s="231" t="n">
        <v>2</v>
      </c>
      <c r="AU17" s="231" t="n">
        <v>2</v>
      </c>
      <c r="AV17" s="231" t="n">
        <v>1</v>
      </c>
      <c r="AW17" s="231">
        <f>1+CY17</f>
        <v/>
      </c>
      <c r="AX17" s="231" t="n">
        <v>2</v>
      </c>
      <c r="AY17" s="231" t="n">
        <v>2</v>
      </c>
      <c r="AZ17" s="231" t="n">
        <v>1</v>
      </c>
      <c r="BA17" s="231" t="n">
        <v>1</v>
      </c>
      <c r="BB17" s="231" t="n">
        <v>3</v>
      </c>
      <c r="BC17" s="231" t="n">
        <v>3</v>
      </c>
      <c r="BD17" s="231" t="n">
        <v>3</v>
      </c>
      <c r="BE17" s="231" t="n">
        <v>3</v>
      </c>
      <c r="BF17" s="231" t="n">
        <v>3</v>
      </c>
      <c r="BG17" s="231" t="n">
        <v>3</v>
      </c>
      <c r="BH17" s="231" t="n">
        <v>3</v>
      </c>
      <c r="BI17" s="231" t="n">
        <v>1</v>
      </c>
      <c r="BJ17" s="231" t="n">
        <v>1</v>
      </c>
      <c r="BK17" s="231" t="n">
        <v>1</v>
      </c>
      <c r="BL17" s="231" t="n">
        <v>1</v>
      </c>
      <c r="BM17" s="231" t="n">
        <v>1</v>
      </c>
      <c r="BN17" s="231">
        <f>1+1</f>
        <v/>
      </c>
      <c r="BO17" s="231" t="n">
        <v>2</v>
      </c>
      <c r="BP17" s="231" t="n">
        <v>1</v>
      </c>
      <c r="BQ17" s="231">
        <f>0+CN17</f>
        <v/>
      </c>
      <c r="BR17" s="231" t="n">
        <v>1</v>
      </c>
      <c r="BS17" s="231" t="n">
        <v>1</v>
      </c>
      <c r="BT17" s="231">
        <f>1+CK17</f>
        <v/>
      </c>
      <c r="BU17" s="231" t="n">
        <v>1</v>
      </c>
      <c r="BV17" s="231" t="n">
        <v>1</v>
      </c>
      <c r="BW17" s="231" t="n">
        <v>1</v>
      </c>
      <c r="BX17" s="231" t="n">
        <v>0</v>
      </c>
      <c r="BY17" s="231">
        <f>0+CI17</f>
        <v/>
      </c>
      <c r="BZ17" s="231" t="n"/>
      <c r="CA17" s="231" t="n"/>
      <c r="CB17" s="231" t="n"/>
      <c r="CC17" s="709" t="n"/>
      <c r="CD17" s="709" t="n"/>
      <c r="CE17" s="709" t="n"/>
      <c r="CF17" s="188">
        <f>CD17+IF(NOT(ISBLANK(OFFSET(CF17,0,6))),N(OFFSET(CF17,0,6)),N(OFFSET(CF17,0,7)))-CE17</f>
        <v/>
      </c>
      <c r="CG17" s="2" t="n"/>
      <c r="CH17" s="19" t="n"/>
      <c r="CI17" s="4" t="n"/>
      <c r="CJ17" s="23" t="n"/>
      <c r="CK17" s="691" t="n">
        <v>0</v>
      </c>
      <c r="CL17" s="18" t="n">
        <v>2</v>
      </c>
      <c r="CM17" s="18" t="n">
        <v>0</v>
      </c>
      <c r="CN17" s="18" t="n">
        <v>1</v>
      </c>
      <c r="CO17" s="356" t="n"/>
      <c r="CP17" s="18" t="n"/>
      <c r="CQ17" s="18" t="n">
        <v>1</v>
      </c>
      <c r="CR17" s="154" t="inlineStr">
        <is>
          <t>01 DE MG</t>
        </is>
      </c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>
        <v>3</v>
      </c>
      <c r="DB17" s="18" t="n">
        <v>1</v>
      </c>
      <c r="DC17" s="18" t="n"/>
      <c r="DD17" s="256" t="n"/>
      <c r="DE17" s="256" t="n"/>
      <c r="DF17" s="18" t="n"/>
      <c r="DG17" s="18" t="n"/>
      <c r="DH17" s="18" t="n"/>
      <c r="DI17" s="256" t="n"/>
      <c r="DJ17" s="18" t="n">
        <v>2</v>
      </c>
      <c r="DK17" s="18" t="n"/>
      <c r="DL17" s="256" t="n"/>
      <c r="DM17" s="18" t="n"/>
      <c r="DN17" s="256" t="n"/>
      <c r="DO17" s="154" t="inlineStr">
        <is>
          <t>01 P/ PL</t>
        </is>
      </c>
      <c r="DP17" s="18" t="n">
        <v>1</v>
      </c>
      <c r="DQ17" s="18" t="n"/>
      <c r="DR17" s="18" t="n"/>
      <c r="DS17" s="18" t="n"/>
      <c r="DT17" s="256" t="n"/>
      <c r="DU17" s="256" t="n"/>
      <c r="DV17" s="256" t="n"/>
      <c r="DW17" s="18" t="n">
        <v>1</v>
      </c>
      <c r="DX17" s="18" t="n"/>
      <c r="DY17" s="18" t="n">
        <v>1</v>
      </c>
      <c r="DZ17" s="18" t="n"/>
      <c r="EA17" s="18" t="n"/>
      <c r="EB17" s="18" t="n"/>
      <c r="EC17" s="256" t="n"/>
      <c r="ED17" s="256" t="n"/>
      <c r="EE17" s="18" t="n"/>
      <c r="EF17" s="256" t="n"/>
      <c r="EG17" s="18" t="n">
        <v>1</v>
      </c>
      <c r="EH17" s="241" t="inlineStr">
        <is>
          <t>01 DE TP</t>
        </is>
      </c>
      <c r="EI17" s="256" t="n"/>
      <c r="EJ17" s="18" t="n"/>
      <c r="EK17" s="256" t="n"/>
      <c r="EL17" s="18" t="n">
        <v>1</v>
      </c>
      <c r="EM17" s="18" t="n"/>
      <c r="EN17" s="18" t="n"/>
      <c r="EO17" s="256" t="n"/>
      <c r="EP17" s="18" t="n"/>
      <c r="EQ17" s="256" t="n"/>
      <c r="ER17" s="18" t="n">
        <v>1</v>
      </c>
      <c r="ES17" s="18" t="n"/>
      <c r="ET17" s="18" t="n"/>
      <c r="EU17" s="18" t="n"/>
      <c r="EV17" s="18" t="n"/>
      <c r="EW17" s="18" t="n"/>
      <c r="EX17" s="18" t="n"/>
      <c r="EY17" s="18" t="n">
        <v>1</v>
      </c>
      <c r="EZ17" s="18" t="n"/>
      <c r="FA17" s="256" t="n"/>
      <c r="FB17" s="18" t="n"/>
      <c r="FC17" s="18" t="n">
        <v>2</v>
      </c>
    </row>
    <row r="18" ht="18.75" customFormat="1" customHeight="1" s="3">
      <c r="A18" s="31" t="n"/>
      <c r="C18" s="664" t="n"/>
      <c r="D18" s="398" t="n"/>
      <c r="CF18" s="4" t="n"/>
      <c r="CH18" s="16" t="n"/>
      <c r="CJ18" s="64" t="n"/>
      <c r="CK18" s="16" t="n"/>
      <c r="CL18" s="16" t="n"/>
      <c r="CM18" s="16" t="n"/>
      <c r="CN18" s="16" t="n"/>
      <c r="CO18" s="258" t="n"/>
      <c r="CP18" s="16" t="n"/>
      <c r="CQ18" s="16" t="n"/>
      <c r="CR18" s="16" t="n"/>
      <c r="CS18" s="16" t="n"/>
      <c r="CT18" s="16" t="n"/>
      <c r="CU18" s="16" t="n"/>
      <c r="DA18" s="16" t="n"/>
      <c r="DB18" s="16" t="n"/>
      <c r="DC18" s="16" t="n"/>
      <c r="DF18" s="16" t="n"/>
      <c r="DG18" s="16" t="n"/>
      <c r="DH18" s="16" t="n"/>
      <c r="DJ18" s="16" t="n"/>
      <c r="DK18" s="16" t="n"/>
      <c r="DL18" s="16" t="n"/>
      <c r="DM18" s="16" t="n"/>
      <c r="DN18" s="16" t="n"/>
      <c r="DO18" s="16" t="n"/>
      <c r="DP18" s="16" t="n"/>
      <c r="DQ18" s="16" t="n"/>
      <c r="DR18" s="16" t="n"/>
      <c r="DS18" s="16" t="n"/>
      <c r="DT18" s="258" t="n"/>
      <c r="DU18" s="258" t="n"/>
      <c r="DV18" s="258" t="n"/>
      <c r="DW18" s="16" t="n"/>
      <c r="DX18" s="16" t="n"/>
      <c r="DY18" s="16" t="n"/>
      <c r="DZ18" s="16" t="n"/>
      <c r="EA18" s="16" t="n"/>
      <c r="EB18" s="16" t="n"/>
      <c r="EC18" s="16" t="n"/>
      <c r="ED18" s="1" t="n"/>
      <c r="EE18" s="16" t="n"/>
      <c r="EF18" s="258" t="n"/>
      <c r="EG18" s="16" t="n"/>
      <c r="EH18" s="16" t="n"/>
      <c r="EI18" s="16" t="n"/>
      <c r="EJ18" s="16" t="n"/>
      <c r="EK18" s="1" t="n"/>
      <c r="EL18" s="16" t="n"/>
      <c r="EM18" s="16" t="n"/>
      <c r="EN18" s="16" t="n"/>
      <c r="EO18" s="1" t="n"/>
      <c r="EP18" s="16" t="n"/>
      <c r="EQ18" s="1" t="n"/>
      <c r="ER18" s="16" t="n"/>
      <c r="ES18" s="16" t="n"/>
      <c r="ET18" s="16" t="n"/>
      <c r="EU18" s="16" t="n"/>
      <c r="EV18" s="16" t="n"/>
      <c r="EW18" s="16" t="n"/>
      <c r="EX18" s="16" t="n"/>
      <c r="EY18" s="16" t="n"/>
      <c r="EZ18" s="16" t="n"/>
      <c r="FA18" s="258" t="n"/>
      <c r="FB18" s="16" t="n"/>
      <c r="FC18" s="16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1" t="n">
        <v>46161.48003486111</v>
      </c>
      <c r="CD19" s="651" t="n">
        <v>46161.48071435185</v>
      </c>
      <c r="CE19" s="651" t="n">
        <v>46161.48287244337</v>
      </c>
      <c r="CF19" s="652" t="inlineStr">
        <is>
          <t>USOU</t>
        </is>
      </c>
      <c r="CG19" s="2" t="n"/>
      <c r="CH19" s="35" t="inlineStr">
        <is>
          <t>Pendências</t>
        </is>
      </c>
      <c r="CI19" s="6" t="n"/>
      <c r="CJ19" s="12" t="inlineStr">
        <is>
          <t>Novo Pedido</t>
        </is>
      </c>
      <c r="CK19" s="677" t="n">
        <v>46161.48287142729</v>
      </c>
      <c r="CL19" s="646" t="n">
        <v>46149</v>
      </c>
      <c r="CM19" s="646" t="n">
        <v>46142</v>
      </c>
      <c r="CN19" s="646" t="n">
        <v>46114</v>
      </c>
      <c r="CO19" s="647" t="n">
        <v>46065</v>
      </c>
      <c r="CP19" s="646" t="n">
        <v>46099</v>
      </c>
      <c r="CQ19" s="646" t="n">
        <v>46092</v>
      </c>
      <c r="CR19" s="655" t="n">
        <v>46080</v>
      </c>
      <c r="CS19" s="646" t="n">
        <v>46071</v>
      </c>
      <c r="CT19" s="646" t="n">
        <v>46043</v>
      </c>
      <c r="CU19" s="646" t="n">
        <v>46035</v>
      </c>
      <c r="CV19" s="646" t="n">
        <v>46029</v>
      </c>
      <c r="CW19" s="646" t="n">
        <v>46017</v>
      </c>
      <c r="CX19" s="646" t="n">
        <v>46007</v>
      </c>
      <c r="CY19" s="646" t="n">
        <v>46007</v>
      </c>
      <c r="CZ19" s="646" t="n">
        <v>46001</v>
      </c>
      <c r="DA19" s="646" t="n">
        <v>45980</v>
      </c>
      <c r="DB19" s="646" t="n">
        <v>45951</v>
      </c>
      <c r="DC19" s="655" t="n">
        <v>45954</v>
      </c>
      <c r="DD19" s="687" t="n">
        <v>45954</v>
      </c>
      <c r="DE19" s="687" t="n">
        <v>45952</v>
      </c>
      <c r="DF19" s="655" t="n">
        <v>45950</v>
      </c>
      <c r="DG19" s="646" t="n">
        <v>45937</v>
      </c>
      <c r="DH19" s="655" t="n">
        <v>45941</v>
      </c>
      <c r="DI19" s="678" t="n">
        <v>45903</v>
      </c>
      <c r="DJ19" s="646" t="n">
        <v>45923</v>
      </c>
      <c r="DK19" s="646" t="n">
        <v>45915</v>
      </c>
      <c r="DL19" s="688" t="n">
        <v>45924</v>
      </c>
      <c r="DM19" s="655" t="n">
        <v>45923</v>
      </c>
      <c r="DN19" s="688" t="n">
        <v>45922</v>
      </c>
      <c r="DO19" s="655" t="n">
        <v>45915</v>
      </c>
      <c r="DP19" s="646" t="n">
        <v>45895</v>
      </c>
      <c r="DQ19" s="646" t="n">
        <v>45881</v>
      </c>
      <c r="DR19" s="646" t="n">
        <v>45874</v>
      </c>
      <c r="DS19" s="646" t="n">
        <v>45848</v>
      </c>
      <c r="DT19" s="681" t="n">
        <v>45848</v>
      </c>
      <c r="DU19" s="681" t="n">
        <v>45791</v>
      </c>
      <c r="DV19" s="681" t="n">
        <v>45838</v>
      </c>
      <c r="DW19" s="646" t="n">
        <v>45832</v>
      </c>
      <c r="DX19" s="646" t="n">
        <v>45825</v>
      </c>
      <c r="DY19" s="646" t="n">
        <v>45813</v>
      </c>
      <c r="DZ19" s="655" t="n">
        <v>45820</v>
      </c>
      <c r="EA19" s="646" t="n">
        <v>45805</v>
      </c>
      <c r="EB19" s="646" t="n">
        <v>45798</v>
      </c>
      <c r="EC19" s="690" t="n">
        <v>45798</v>
      </c>
      <c r="ED19" s="684" t="n">
        <v>45798</v>
      </c>
      <c r="EE19" s="689" t="n">
        <v>45798</v>
      </c>
      <c r="EF19" s="685" t="n">
        <v>45798</v>
      </c>
      <c r="EG19" s="654" t="n">
        <v>45790</v>
      </c>
      <c r="EH19" s="655" t="n">
        <v>45790</v>
      </c>
      <c r="EI19" s="683" t="n">
        <v>45735</v>
      </c>
      <c r="EJ19" s="655" t="n">
        <v>45785</v>
      </c>
      <c r="EK19" s="684" t="n">
        <v>45785</v>
      </c>
      <c r="EL19" s="646" t="n">
        <v>45783</v>
      </c>
      <c r="EM19" s="646" t="n">
        <v>45770</v>
      </c>
      <c r="EN19" s="646" t="n">
        <v>45756</v>
      </c>
      <c r="EO19" s="684" t="n">
        <v>45751</v>
      </c>
      <c r="EP19" s="646" t="n">
        <v>45734</v>
      </c>
      <c r="EQ19" s="684" t="n">
        <v>45700</v>
      </c>
      <c r="ER19" s="646" t="n">
        <v>45722</v>
      </c>
      <c r="ES19" s="689" t="n">
        <v>45723</v>
      </c>
      <c r="ET19" s="646" t="n">
        <v>45706</v>
      </c>
      <c r="EU19" s="655" t="n">
        <v>45721</v>
      </c>
      <c r="EV19" s="646" t="n">
        <v>45699</v>
      </c>
      <c r="EW19" s="655" t="n">
        <v>45695</v>
      </c>
      <c r="EX19" s="646" t="n">
        <v>45685</v>
      </c>
      <c r="EY19" s="646" t="n">
        <v>45679</v>
      </c>
      <c r="EZ19" s="646" t="n">
        <v>45664</v>
      </c>
      <c r="FA19" s="685" t="n">
        <v>45670</v>
      </c>
      <c r="FB19" s="646" t="n">
        <v>45660</v>
      </c>
      <c r="FC19" s="646" t="n">
        <v>45652</v>
      </c>
      <c r="FE19" s="267" t="inlineStr">
        <is>
          <t>CAIXAS</t>
        </is>
      </c>
      <c r="FF19" s="205" t="inlineStr">
        <is>
          <t>PCT</t>
        </is>
      </c>
      <c r="FG19" s="650" t="n">
        <v>46118</v>
      </c>
      <c r="FH19" s="650" t="n">
        <v>46125</v>
      </c>
      <c r="FI19" s="650" t="n">
        <v>46132</v>
      </c>
      <c r="FJ19" s="650" t="n">
        <v>46139</v>
      </c>
      <c r="FK19" s="650" t="n">
        <v>46146</v>
      </c>
      <c r="FL19" s="650" t="n">
        <v>46154</v>
      </c>
      <c r="FM19" s="650" t="n">
        <v>46160</v>
      </c>
      <c r="FN19" s="650" t="n">
        <v>46160</v>
      </c>
      <c r="FO19" s="650" t="n">
        <v>46160</v>
      </c>
      <c r="FP19" s="651" t="n">
        <v>46161.48003422454</v>
      </c>
      <c r="FQ19" s="651" t="n">
        <v>46161.48071375</v>
      </c>
      <c r="FR19" s="651" t="n">
        <v>46161.48287182729</v>
      </c>
      <c r="FS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100</v>
      </c>
      <c r="E20" s="2" t="n"/>
      <c r="F20" s="38" t="n">
        <v>60</v>
      </c>
      <c r="G20" s="38" t="n">
        <v>61</v>
      </c>
      <c r="H20" s="38" t="n">
        <v>61</v>
      </c>
      <c r="I20" s="38" t="n">
        <v>61</v>
      </c>
      <c r="J20" s="38" t="n">
        <v>61</v>
      </c>
      <c r="K20" s="38" t="n">
        <v>61</v>
      </c>
      <c r="L20" s="38" t="n">
        <v>61</v>
      </c>
      <c r="M20" s="38" t="n">
        <v>62</v>
      </c>
      <c r="N20" s="38" t="n">
        <v>62</v>
      </c>
      <c r="O20" s="38" t="n">
        <v>62</v>
      </c>
      <c r="P20" s="38" t="n">
        <v>57</v>
      </c>
      <c r="Q20" s="38" t="n">
        <v>43</v>
      </c>
      <c r="R20" s="38" t="n">
        <v>28</v>
      </c>
      <c r="S20" s="38" t="n">
        <v>161</v>
      </c>
      <c r="T20" s="38" t="n">
        <v>145</v>
      </c>
      <c r="U20" s="38" t="n">
        <v>126</v>
      </c>
      <c r="V20" s="38" t="n">
        <v>125</v>
      </c>
      <c r="W20" s="38" t="n">
        <v>119</v>
      </c>
      <c r="X20" s="38" t="n">
        <v>117</v>
      </c>
      <c r="Y20" s="38" t="n">
        <v>81</v>
      </c>
      <c r="Z20" s="38" t="n">
        <v>70</v>
      </c>
      <c r="AA20" s="38" t="n">
        <v>51</v>
      </c>
      <c r="AB20" s="38" t="n">
        <v>45</v>
      </c>
      <c r="AC20" s="38">
        <f>35+DX20</f>
        <v/>
      </c>
      <c r="AD20" s="38" t="n">
        <v>138</v>
      </c>
      <c r="AE20" s="38" t="n">
        <v>127</v>
      </c>
      <c r="AF20" s="38" t="n">
        <v>119</v>
      </c>
      <c r="AG20" s="38" t="n">
        <v>111</v>
      </c>
      <c r="AH20" s="38" t="n">
        <v>99</v>
      </c>
      <c r="AI20" s="38" t="n">
        <v>86</v>
      </c>
      <c r="AJ20" s="38" t="n">
        <v>77</v>
      </c>
      <c r="AK20" s="38" t="n">
        <v>63</v>
      </c>
      <c r="AL20" s="38" t="n">
        <v>38</v>
      </c>
      <c r="AM20" s="38">
        <f>31+DN20</f>
        <v/>
      </c>
      <c r="AN20" s="38">
        <f>31+DN20</f>
        <v/>
      </c>
      <c r="AO20" s="38" t="n">
        <v>161</v>
      </c>
      <c r="AP20" s="38" t="n">
        <v>154</v>
      </c>
      <c r="AQ20" s="38" t="n">
        <v>135</v>
      </c>
      <c r="AR20" s="38" t="n">
        <v>116</v>
      </c>
      <c r="AS20" s="38" t="n">
        <v>96</v>
      </c>
      <c r="AT20" s="38" t="n">
        <v>58</v>
      </c>
      <c r="AU20" s="38" t="n">
        <v>31</v>
      </c>
      <c r="AV20" s="38">
        <f>20+50</f>
        <v/>
      </c>
      <c r="AW20" s="38">
        <f>58+CY20</f>
        <v/>
      </c>
      <c r="AX20" s="38" t="n">
        <v>199</v>
      </c>
      <c r="AY20" s="38" t="n">
        <v>197</v>
      </c>
      <c r="AZ20" s="38" t="n">
        <v>197</v>
      </c>
      <c r="BA20" s="38" t="n">
        <v>197</v>
      </c>
      <c r="BB20" s="38" t="n">
        <v>188</v>
      </c>
      <c r="BC20" s="38" t="n">
        <v>186</v>
      </c>
      <c r="BD20" s="38" t="n">
        <v>186</v>
      </c>
      <c r="BE20" s="38" t="n">
        <v>135</v>
      </c>
      <c r="BF20" s="38" t="n">
        <v>134</v>
      </c>
      <c r="BG20" s="38" t="n">
        <v>132</v>
      </c>
      <c r="BH20" s="38" t="n">
        <v>115</v>
      </c>
      <c r="BI20" s="38">
        <f>96+CR20</f>
        <v/>
      </c>
      <c r="BJ20" s="38" t="n">
        <v>229</v>
      </c>
      <c r="BK20" s="38" t="n">
        <v>207</v>
      </c>
      <c r="BL20" s="38" t="n">
        <v>179</v>
      </c>
      <c r="BM20" s="38" t="n">
        <v>172</v>
      </c>
      <c r="BN20" s="38" t="n">
        <v>158</v>
      </c>
      <c r="BO20" s="38" t="n">
        <v>151</v>
      </c>
      <c r="BP20" s="38" t="n">
        <v>132</v>
      </c>
      <c r="BQ20" s="38" t="n">
        <v>126</v>
      </c>
      <c r="BR20" s="38" t="n">
        <v>113</v>
      </c>
      <c r="BS20" s="38" t="n">
        <v>111</v>
      </c>
      <c r="BT20" s="38" t="n"/>
      <c r="BU20" s="38" t="n"/>
      <c r="BV20" s="38" t="n"/>
      <c r="BW20" s="38" t="n">
        <v>68</v>
      </c>
      <c r="BX20" s="38" t="n">
        <v>63</v>
      </c>
      <c r="BY20" s="38" t="n">
        <v>59</v>
      </c>
      <c r="BZ20" s="38" t="n">
        <v>49</v>
      </c>
      <c r="CA20" s="38" t="n">
        <v>49</v>
      </c>
      <c r="CB20" s="38" t="n">
        <v>49</v>
      </c>
      <c r="CC20" s="9" t="n">
        <v>49</v>
      </c>
      <c r="CD20" s="9" t="n">
        <v>49</v>
      </c>
      <c r="CE20" s="9" t="n">
        <v>49</v>
      </c>
      <c r="CF20" s="154">
        <f>CD20+IF(NOT(ISBLANK(OFFSET(CF20,0,6))),N(OFFSET(CF20,0,6)),N(OFFSET(CF20,0,7)))-CE20</f>
        <v/>
      </c>
      <c r="CG20" s="2" t="n"/>
      <c r="CH20" s="122" t="inlineStr">
        <is>
          <t>40 DE PL</t>
        </is>
      </c>
      <c r="CI20" s="4" t="n"/>
      <c r="CJ20" s="23" t="n"/>
      <c r="CK20" s="691" t="n">
        <v>0</v>
      </c>
      <c r="CL20" s="18" t="n">
        <v>0</v>
      </c>
      <c r="CM20" s="18" t="n">
        <v>0</v>
      </c>
      <c r="CN20" s="18" t="n"/>
      <c r="CO20" s="356" t="n"/>
      <c r="CP20" s="18" t="n"/>
      <c r="CQ20" s="18" t="n"/>
      <c r="CR20" s="18" t="n"/>
      <c r="CS20" s="18" t="n"/>
      <c r="CT20" s="18" t="n"/>
      <c r="CU20" s="18" t="n">
        <v>150</v>
      </c>
      <c r="CV20" s="18" t="n"/>
      <c r="CW20" s="18" t="n"/>
      <c r="CX20" s="18" t="n"/>
      <c r="CY20" s="18" t="n"/>
      <c r="CZ20" s="18" t="n"/>
      <c r="DA20" s="18" t="n"/>
      <c r="DB20" s="18" t="n">
        <v>150</v>
      </c>
      <c r="DC20" s="154" t="inlineStr">
        <is>
          <t>50 DE MG</t>
        </is>
      </c>
      <c r="DD20" s="403" t="inlineStr">
        <is>
          <t>30 DE MG</t>
        </is>
      </c>
      <c r="DE20" s="256" t="n"/>
      <c r="DF20" s="256" t="n"/>
      <c r="DG20" s="18" t="n"/>
      <c r="DH20" s="154" t="inlineStr">
        <is>
          <t>50 DE MG</t>
        </is>
      </c>
      <c r="DI20" s="256" t="n"/>
      <c r="DJ20" s="18" t="n"/>
      <c r="DK20" s="18" t="n"/>
      <c r="DL20" s="256" t="n"/>
      <c r="DM20" s="18" t="n"/>
      <c r="DN20" s="256" t="n"/>
      <c r="DO20" s="18" t="n"/>
      <c r="DP20" s="18" t="n"/>
      <c r="DQ20" s="18" t="n">
        <v>150</v>
      </c>
      <c r="DR20" s="18" t="n"/>
      <c r="DS20" s="18" t="n"/>
      <c r="DT20" s="292" t="inlineStr">
        <is>
          <t>50 DE MG</t>
        </is>
      </c>
      <c r="DU20" s="256" t="n"/>
      <c r="DV20" s="256" t="n"/>
      <c r="DW20" s="18" t="n"/>
      <c r="DX20" s="18" t="n"/>
      <c r="DY20" s="18" t="n"/>
      <c r="DZ20" s="18" t="n"/>
      <c r="EA20" s="18" t="n">
        <v>150</v>
      </c>
      <c r="EB20" s="18" t="n"/>
      <c r="EC20" s="256" t="n"/>
      <c r="ED20" s="256" t="n"/>
      <c r="EE20" s="256" t="n"/>
      <c r="EF20" s="256" t="n"/>
      <c r="EG20" s="18" t="n"/>
      <c r="EH20" s="18" t="n"/>
      <c r="EI20" s="256" t="n"/>
      <c r="EJ20" s="18" t="n"/>
      <c r="EK20" s="256" t="n"/>
      <c r="EL20" s="18" t="n"/>
      <c r="EM20" s="18" t="n"/>
      <c r="EN20" s="18" t="n"/>
      <c r="EO20" s="292" t="inlineStr">
        <is>
          <t>50 DE MG</t>
        </is>
      </c>
      <c r="EP20" s="18" t="n">
        <v>150</v>
      </c>
      <c r="EQ20" s="256" t="n"/>
      <c r="ER20" s="18" t="n"/>
      <c r="ES20" s="256" t="n"/>
      <c r="ET20" s="18" t="n"/>
      <c r="EU20" s="256" t="n"/>
      <c r="EV20" s="18" t="n"/>
      <c r="EW20" s="256" t="n"/>
      <c r="EX20" s="18" t="n"/>
      <c r="EY20" s="18" t="n"/>
      <c r="EZ20" s="18" t="n"/>
      <c r="FA20" s="259" t="inlineStr">
        <is>
          <t>50 P/ PL</t>
        </is>
      </c>
      <c r="FB20" s="18" t="n"/>
      <c r="FC20" s="18" t="n"/>
      <c r="FE20" s="159" t="inlineStr">
        <is>
          <t>CAIXA P</t>
        </is>
      </c>
      <c r="FF20" s="129" t="n">
        <v>150</v>
      </c>
      <c r="FG20" s="38" t="n">
        <v>0</v>
      </c>
      <c r="FH20" s="38" t="n"/>
      <c r="FI20" s="38" t="n"/>
      <c r="FJ20" s="261" t="n">
        <v>0</v>
      </c>
      <c r="FK20" s="261" t="n">
        <v>31</v>
      </c>
      <c r="FL20" s="38" t="n">
        <v>0</v>
      </c>
      <c r="FM20" s="38" t="n">
        <v>0</v>
      </c>
      <c r="FN20" s="38" t="n"/>
      <c r="FO20" s="38" t="n"/>
      <c r="FP20" s="9" t="n"/>
      <c r="FQ20" s="9" t="n"/>
      <c r="FR20" s="9" t="n"/>
      <c r="FS20" s="246">
        <f>FQ20+IF(NOT(ISBLANK(OFFSET(FS20,0,6))),N(OFFSET(FS20,0,6)),N(OFFSET(FS20,0,7)))-FR20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100</v>
      </c>
      <c r="E21" s="2" t="n"/>
      <c r="F21" s="38" t="n">
        <v>60</v>
      </c>
      <c r="G21" s="38" t="n">
        <v>60</v>
      </c>
      <c r="H21" s="38" t="n">
        <v>60</v>
      </c>
      <c r="I21" s="38" t="n">
        <v>60</v>
      </c>
      <c r="J21" s="38" t="n">
        <v>60</v>
      </c>
      <c r="K21" s="38">
        <f>59-40</f>
        <v/>
      </c>
      <c r="L21" s="38" t="n">
        <v>14</v>
      </c>
      <c r="M21" s="38" t="n">
        <v>14</v>
      </c>
      <c r="N21" s="38" t="n">
        <v>114</v>
      </c>
      <c r="O21" s="38" t="n">
        <v>98</v>
      </c>
      <c r="P21" s="38">
        <f>67+EO21</f>
        <v/>
      </c>
      <c r="Q21" s="38" t="n">
        <v>152</v>
      </c>
      <c r="R21" s="38" t="n">
        <v>123</v>
      </c>
      <c r="S21" s="38" t="n">
        <v>105</v>
      </c>
      <c r="T21" s="38" t="n">
        <v>92</v>
      </c>
      <c r="U21" s="38" t="n">
        <v>80</v>
      </c>
      <c r="V21" s="38" t="n">
        <v>80</v>
      </c>
      <c r="W21" s="38" t="n">
        <v>79</v>
      </c>
      <c r="X21" s="38" t="n">
        <v>79</v>
      </c>
      <c r="Y21" s="38" t="n">
        <v>22</v>
      </c>
      <c r="Z21" s="38" t="n">
        <v>11</v>
      </c>
      <c r="AA21" s="38">
        <f>2+DY21</f>
        <v/>
      </c>
      <c r="AB21" s="38" t="n">
        <v>99</v>
      </c>
      <c r="AC21" s="38" t="n">
        <v>92</v>
      </c>
      <c r="AD21" s="38" t="n">
        <v>48</v>
      </c>
      <c r="AE21" s="38">
        <f>37+DU21</f>
        <v/>
      </c>
      <c r="AF21" s="38" t="n">
        <v>129</v>
      </c>
      <c r="AG21" s="38" t="n">
        <v>108</v>
      </c>
      <c r="AH21" s="38" t="n">
        <v>91</v>
      </c>
      <c r="AI21" s="38" t="n">
        <v>82</v>
      </c>
      <c r="AJ21" s="38" t="n">
        <v>68</v>
      </c>
      <c r="AK21" s="38" t="n">
        <v>64</v>
      </c>
      <c r="AL21" s="38" t="n">
        <v>57</v>
      </c>
      <c r="AM21" s="38">
        <f>55+DN21</f>
        <v/>
      </c>
      <c r="AN21" s="38">
        <f>55+DN21</f>
        <v/>
      </c>
      <c r="AO21" s="38" t="n">
        <v>148</v>
      </c>
      <c r="AP21" s="38" t="n">
        <v>118</v>
      </c>
      <c r="AQ21" s="38" t="n">
        <v>90</v>
      </c>
      <c r="AR21" s="38" t="n">
        <v>61</v>
      </c>
      <c r="AS21" s="38" t="n">
        <v>40</v>
      </c>
      <c r="AT21" s="38" t="n">
        <v>38</v>
      </c>
      <c r="AU21" s="38" t="n">
        <v>2</v>
      </c>
      <c r="AV21" s="38">
        <f>0+50+20</f>
        <v/>
      </c>
      <c r="AW21" s="38" t="n">
        <v>70</v>
      </c>
      <c r="AX21" s="38" t="n">
        <v>39</v>
      </c>
      <c r="AY21" s="38" t="n">
        <v>38</v>
      </c>
      <c r="AZ21" s="38" t="n">
        <v>37</v>
      </c>
      <c r="BA21" s="38" t="n">
        <v>37</v>
      </c>
      <c r="BB21" s="38" t="n">
        <v>44</v>
      </c>
      <c r="BC21" s="38" t="n">
        <v>44</v>
      </c>
      <c r="BD21" s="38" t="n">
        <v>43</v>
      </c>
      <c r="BE21" s="38" t="n">
        <v>41</v>
      </c>
      <c r="BF21" s="38" t="n">
        <v>40</v>
      </c>
      <c r="BG21" s="38">
        <f>32+CU21</f>
        <v/>
      </c>
      <c r="BH21" s="38" t="n">
        <v>120</v>
      </c>
      <c r="BI21" s="38">
        <f>111+CR21</f>
        <v/>
      </c>
      <c r="BJ21" s="38" t="n">
        <v>200</v>
      </c>
      <c r="BK21" s="38" t="n">
        <v>180</v>
      </c>
      <c r="BL21" s="38" t="n">
        <v>159</v>
      </c>
      <c r="BM21" s="38" t="n">
        <v>148</v>
      </c>
      <c r="BN21" s="38" t="n">
        <v>139</v>
      </c>
      <c r="BO21" s="38" t="n">
        <v>126</v>
      </c>
      <c r="BP21" s="38" t="n">
        <v>107</v>
      </c>
      <c r="BQ21" s="38">
        <f>102+CN21</f>
        <v/>
      </c>
      <c r="BR21" s="38" t="n">
        <v>220</v>
      </c>
      <c r="BS21" s="38" t="n">
        <v>213</v>
      </c>
      <c r="BT21" s="38" t="n"/>
      <c r="BU21" s="38" t="n"/>
      <c r="BV21" s="38" t="n"/>
      <c r="BW21" s="38" t="n">
        <v>166</v>
      </c>
      <c r="BX21" s="38" t="n">
        <v>166</v>
      </c>
      <c r="BY21" s="38" t="n">
        <v>128</v>
      </c>
      <c r="BZ21" s="38" t="n">
        <v>123</v>
      </c>
      <c r="CA21" s="38" t="n">
        <v>123</v>
      </c>
      <c r="CB21" s="38" t="n">
        <v>123</v>
      </c>
      <c r="CC21" s="9" t="n">
        <v>123</v>
      </c>
      <c r="CD21" s="9" t="n">
        <v>123</v>
      </c>
      <c r="CE21" s="9" t="n">
        <v>123</v>
      </c>
      <c r="CF21" s="154">
        <f>CD21+IF(NOT(ISBLANK(OFFSET(CF21,0,6))),N(OFFSET(CF21,0,6)),N(OFFSET(CF21,0,7)))-CE21</f>
        <v/>
      </c>
      <c r="CG21" s="2" t="n"/>
      <c r="CH21" s="122" t="n"/>
      <c r="CI21" s="4" t="n"/>
      <c r="CJ21" s="23" t="n"/>
      <c r="CK21" s="691" t="n">
        <v>0</v>
      </c>
      <c r="CL21" s="18" t="n">
        <v>0</v>
      </c>
      <c r="CM21" s="18" t="n">
        <v>0</v>
      </c>
      <c r="CN21" s="18" t="n"/>
      <c r="CO21" s="256" t="n">
        <v>100</v>
      </c>
      <c r="CP21" s="18" t="n"/>
      <c r="CQ21" s="18" t="n">
        <v>100</v>
      </c>
      <c r="CR21" s="18" t="n"/>
      <c r="CS21" s="18" t="n"/>
      <c r="CT21" s="18" t="n"/>
      <c r="CU21" s="18" t="n">
        <v>100</v>
      </c>
      <c r="CV21" s="18" t="n"/>
      <c r="CW21" s="18" t="n"/>
      <c r="CX21" s="18" t="n">
        <v>100</v>
      </c>
      <c r="CY21" s="18" t="n"/>
      <c r="CZ21" s="18" t="n"/>
      <c r="DA21" s="18" t="n"/>
      <c r="DB21" s="18" t="n"/>
      <c r="DC21" s="154" t="inlineStr">
        <is>
          <t>50 DE MG</t>
        </is>
      </c>
      <c r="DD21" s="403" t="inlineStr">
        <is>
          <t>50 DE MG</t>
        </is>
      </c>
      <c r="DE21" s="256" t="n"/>
      <c r="DF21" s="154" t="inlineStr">
        <is>
          <t>20 DE PL</t>
        </is>
      </c>
      <c r="DG21" s="18" t="n"/>
      <c r="DH21" s="154" t="inlineStr">
        <is>
          <t>50 DE MG</t>
        </is>
      </c>
      <c r="DI21" s="256" t="n"/>
      <c r="DJ21" s="18" t="n"/>
      <c r="DK21" s="18" t="n"/>
      <c r="DL21" s="378" t="inlineStr">
        <is>
          <t>10 DE PL</t>
        </is>
      </c>
      <c r="DM21" s="18" t="n"/>
      <c r="DN21" s="256" t="n"/>
      <c r="DO21" s="18" t="n"/>
      <c r="DP21" s="18" t="n"/>
      <c r="DQ21" s="18" t="n">
        <v>100</v>
      </c>
      <c r="DR21" s="18" t="n"/>
      <c r="DS21" s="18" t="n"/>
      <c r="DT21" s="292" t="inlineStr">
        <is>
          <t>75 DE MG</t>
        </is>
      </c>
      <c r="DU21" s="256" t="n"/>
      <c r="DV21" s="256" t="n"/>
      <c r="DW21" s="18" t="n"/>
      <c r="DX21" s="18" t="n">
        <v>100</v>
      </c>
      <c r="DY21" s="18" t="n"/>
      <c r="DZ21" s="18" t="n"/>
      <c r="EA21" s="18" t="n"/>
      <c r="EB21" s="18" t="n">
        <v>100</v>
      </c>
      <c r="EC21" s="312" t="inlineStr">
        <is>
          <t>50 DE MG</t>
        </is>
      </c>
      <c r="ED21" s="256" t="n"/>
      <c r="EE21" s="263" t="inlineStr">
        <is>
          <t>20 DE BOQ</t>
        </is>
      </c>
      <c r="EF21" s="256" t="n"/>
      <c r="EG21" s="18" t="n"/>
      <c r="EH21" s="18" t="n"/>
      <c r="EI21" s="256" t="n"/>
      <c r="EJ21" s="18" t="n"/>
      <c r="EK21" s="256" t="n"/>
      <c r="EL21" s="18" t="n"/>
      <c r="EM21" s="18" t="n"/>
      <c r="EN21" s="18" t="n"/>
      <c r="EO21" s="256" t="n"/>
      <c r="EP21" s="18" t="n"/>
      <c r="EQ21" s="256" t="n">
        <v>100</v>
      </c>
      <c r="ER21" s="18" t="n">
        <v>100</v>
      </c>
      <c r="ES21" s="263" t="inlineStr">
        <is>
          <t>50 DE BOQ</t>
        </is>
      </c>
      <c r="ET21" s="18" t="n"/>
      <c r="EU21" s="256" t="n"/>
      <c r="EV21" s="18" t="n">
        <v>100</v>
      </c>
      <c r="EW21" s="241" t="inlineStr">
        <is>
          <t>40 P/ PL</t>
        </is>
      </c>
      <c r="EX21" s="18" t="n"/>
      <c r="EY21" s="18" t="n"/>
      <c r="EZ21" s="18" t="n"/>
      <c r="FA21" s="256" t="n"/>
      <c r="FB21" s="18" t="n"/>
      <c r="FC21" s="18" t="n"/>
      <c r="FE21" s="29" t="inlineStr">
        <is>
          <t>CAIXA M</t>
        </is>
      </c>
      <c r="FF21" s="9" t="n">
        <v>100</v>
      </c>
      <c r="FG21" s="38">
        <f>CL21</f>
        <v/>
      </c>
      <c r="FH21" s="38" t="n"/>
      <c r="FI21" s="38" t="n"/>
      <c r="FJ21" s="38" t="n">
        <v>79</v>
      </c>
      <c r="FK21" s="38" t="n">
        <v>60</v>
      </c>
      <c r="FL21" s="38" t="n">
        <v>2</v>
      </c>
      <c r="FM21" s="38" t="n">
        <v>-1</v>
      </c>
      <c r="FN21" s="38" t="n"/>
      <c r="FO21" s="38" t="n"/>
      <c r="FP21" s="9" t="n"/>
      <c r="FQ21" s="9" t="n"/>
      <c r="FR21" s="9" t="n"/>
      <c r="FS21" s="246">
        <f>FQ21+IF(NOT(ISBLANK(OFFSET(FS21,0,6))),N(OFFSET(FS21,0,6)),N(OFFSET(FS21,0,7)))-FR21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20</v>
      </c>
      <c r="E22" s="642" t="n"/>
      <c r="F22" s="38" t="n">
        <v>10</v>
      </c>
      <c r="G22" s="38" t="n">
        <v>10</v>
      </c>
      <c r="H22" s="38" t="n">
        <v>10</v>
      </c>
      <c r="I22" s="38" t="n">
        <v>10</v>
      </c>
      <c r="J22" s="38" t="n">
        <v>10</v>
      </c>
      <c r="K22" s="38" t="n">
        <v>7</v>
      </c>
      <c r="L22" s="38" t="n">
        <v>6</v>
      </c>
      <c r="M22" s="38" t="n">
        <v>4</v>
      </c>
      <c r="N22" s="38" t="n">
        <v>0</v>
      </c>
      <c r="O22" s="38">
        <f>5+EQ22</f>
        <v/>
      </c>
      <c r="P22" s="38" t="n">
        <v>80</v>
      </c>
      <c r="Q22" s="38" t="n">
        <v>80</v>
      </c>
      <c r="R22" s="38" t="n">
        <v>80</v>
      </c>
      <c r="S22" s="38" t="n">
        <v>80</v>
      </c>
      <c r="T22" s="38" t="n">
        <v>80</v>
      </c>
      <c r="U22" s="38" t="n">
        <v>80</v>
      </c>
      <c r="V22" s="38" t="n">
        <v>80</v>
      </c>
      <c r="W22" s="38" t="n">
        <v>80</v>
      </c>
      <c r="X22" s="38">
        <f>80-26</f>
        <v/>
      </c>
      <c r="Y22" s="38" t="n">
        <v>57</v>
      </c>
      <c r="Z22" s="38" t="n">
        <v>57</v>
      </c>
      <c r="AA22" s="38" t="n">
        <v>57</v>
      </c>
      <c r="AB22" s="38" t="n">
        <v>57</v>
      </c>
      <c r="AC22" s="38" t="n">
        <v>56</v>
      </c>
      <c r="AD22" s="38" t="n">
        <v>56</v>
      </c>
      <c r="AE22" s="38" t="n">
        <v>56</v>
      </c>
      <c r="AF22" s="38" t="n">
        <v>56</v>
      </c>
      <c r="AG22" s="38" t="n">
        <v>56</v>
      </c>
      <c r="AH22" s="38" t="n">
        <v>56</v>
      </c>
      <c r="AI22" s="38" t="n">
        <v>56</v>
      </c>
      <c r="AJ22" s="38" t="n">
        <v>56</v>
      </c>
      <c r="AK22" s="38" t="n">
        <v>56</v>
      </c>
      <c r="AL22" s="38" t="n">
        <v>56</v>
      </c>
      <c r="AM22" s="38" t="n">
        <v>56</v>
      </c>
      <c r="AN22" s="38" t="n">
        <v>56</v>
      </c>
      <c r="AO22" s="38" t="n">
        <v>56</v>
      </c>
      <c r="AP22" s="38" t="n">
        <v>56</v>
      </c>
      <c r="AQ22" s="38" t="n">
        <v>56</v>
      </c>
      <c r="AR22" s="38" t="n">
        <v>56</v>
      </c>
      <c r="AS22" s="38" t="n">
        <v>56</v>
      </c>
      <c r="AT22" s="38" t="n">
        <v>51</v>
      </c>
      <c r="AU22" s="38" t="n">
        <v>51</v>
      </c>
      <c r="AV22" s="38" t="n">
        <v>51</v>
      </c>
      <c r="AW22" s="38" t="n">
        <v>51</v>
      </c>
      <c r="AX22" s="38" t="n">
        <v>51</v>
      </c>
      <c r="AY22" s="38" t="n">
        <v>51</v>
      </c>
      <c r="AZ22" s="38" t="n">
        <v>51</v>
      </c>
      <c r="BA22" s="38" t="n">
        <v>49</v>
      </c>
      <c r="BB22" s="38" t="n">
        <v>48</v>
      </c>
      <c r="BC22" s="38" t="n">
        <v>48</v>
      </c>
      <c r="BD22" s="38" t="n">
        <v>48</v>
      </c>
      <c r="BE22" s="38" t="n">
        <v>48</v>
      </c>
      <c r="BF22" s="38" t="n">
        <v>48</v>
      </c>
      <c r="BG22" s="38" t="n">
        <v>48</v>
      </c>
      <c r="BH22" s="38" t="n">
        <v>48</v>
      </c>
      <c r="BI22" s="38" t="n">
        <v>51</v>
      </c>
      <c r="BJ22" s="38" t="n">
        <v>51</v>
      </c>
      <c r="BK22" s="38" t="n">
        <v>51</v>
      </c>
      <c r="BL22" s="38" t="n">
        <v>51</v>
      </c>
      <c r="BM22" s="38" t="n">
        <v>51</v>
      </c>
      <c r="BN22" s="38" t="n">
        <v>51</v>
      </c>
      <c r="BO22" s="38" t="n">
        <v>51</v>
      </c>
      <c r="BP22" s="38" t="n">
        <v>51</v>
      </c>
      <c r="BQ22" s="38" t="n">
        <v>51</v>
      </c>
      <c r="BR22" s="38" t="n">
        <v>51</v>
      </c>
      <c r="BS22" s="38" t="n">
        <v>51</v>
      </c>
      <c r="BT22" s="38" t="n">
        <v>51</v>
      </c>
      <c r="BU22" s="38" t="n">
        <v>51</v>
      </c>
      <c r="BV22" s="38" t="n">
        <v>51</v>
      </c>
      <c r="BW22" s="38" t="n">
        <v>51</v>
      </c>
      <c r="BX22" s="38" t="n">
        <v>51</v>
      </c>
      <c r="BY22" s="38" t="n">
        <v>51</v>
      </c>
      <c r="BZ22" s="261" t="n">
        <v>28</v>
      </c>
      <c r="CA22" s="261" t="n">
        <v>28</v>
      </c>
      <c r="CB22" s="261" t="n">
        <v>28</v>
      </c>
      <c r="CC22" s="190" t="n">
        <v>28</v>
      </c>
      <c r="CD22" s="190" t="n">
        <v>28</v>
      </c>
      <c r="CE22" s="190" t="n">
        <v>28</v>
      </c>
      <c r="CF22" s="154">
        <f>CD22+IF(NOT(ISBLANK(OFFSET(CF22,0,6))),N(OFFSET(CF22,0,6)),N(OFFSET(CF22,0,7)))-CE22</f>
        <v/>
      </c>
      <c r="CG22" s="642" t="n"/>
      <c r="CH22" s="122" t="inlineStr">
        <is>
          <t>30 P/ TP</t>
        </is>
      </c>
      <c r="CI22" s="4" t="n"/>
      <c r="CJ22" s="23" t="n"/>
      <c r="CK22" s="703" t="n">
        <v>0</v>
      </c>
      <c r="CL22" s="18" t="n">
        <v>0</v>
      </c>
      <c r="CM22" s="18" t="n">
        <v>0</v>
      </c>
      <c r="CN22" s="18" t="n"/>
      <c r="CO22" s="256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256" t="n"/>
      <c r="DE22" s="403" t="inlineStr">
        <is>
          <t>10 DE BOQ</t>
        </is>
      </c>
      <c r="DF22" s="18" t="n"/>
      <c r="DG22" s="18" t="n"/>
      <c r="DH22" s="18" t="n"/>
      <c r="DI22" s="392" t="n"/>
      <c r="DJ22" s="18" t="n"/>
      <c r="DK22" s="18" t="n"/>
      <c r="DL22" s="256" t="n"/>
      <c r="DM22" s="18" t="n"/>
      <c r="DN22" s="256" t="n"/>
      <c r="DO22" s="18" t="n"/>
      <c r="DP22" s="18" t="n"/>
      <c r="DQ22" s="18" t="n"/>
      <c r="DR22" s="18" t="n"/>
      <c r="DS22" s="18" t="n"/>
      <c r="DT22" s="256" t="n"/>
      <c r="DU22" s="256" t="n"/>
      <c r="DV22" s="256" t="n"/>
      <c r="DW22" s="18" t="n"/>
      <c r="DX22" s="18" t="n"/>
      <c r="DY22" s="18" t="n"/>
      <c r="DZ22" s="18" t="n"/>
      <c r="EA22" s="18" t="n"/>
      <c r="EB22" s="18" t="n"/>
      <c r="EC22" s="312" t="inlineStr">
        <is>
          <t>50 DE MG</t>
        </is>
      </c>
      <c r="ED22" s="293" t="inlineStr">
        <is>
          <t>05 DE BOQ</t>
        </is>
      </c>
      <c r="EE22" s="18" t="n"/>
      <c r="EF22" s="259" t="inlineStr">
        <is>
          <t>09 P/ PL</t>
        </is>
      </c>
      <c r="EG22" s="18" t="n"/>
      <c r="EH22" s="18" t="n"/>
      <c r="EI22" s="256" t="n"/>
      <c r="EJ22" s="241" t="inlineStr">
        <is>
          <t>26 P/ TP</t>
        </is>
      </c>
      <c r="EK22" s="293" t="inlineStr">
        <is>
          <t>24 P/ TP</t>
        </is>
      </c>
      <c r="EL22" s="18" t="n"/>
      <c r="EM22" s="18" t="n"/>
      <c r="EN22" s="18" t="n"/>
      <c r="EO22" s="292" t="inlineStr">
        <is>
          <t>25 DE MG</t>
        </is>
      </c>
      <c r="EP22" s="18" t="n"/>
      <c r="EQ22" s="256" t="n"/>
      <c r="ER22" s="18" t="n"/>
      <c r="ES22" s="18" t="n"/>
      <c r="ET22" s="18" t="n">
        <v>75</v>
      </c>
      <c r="EU22" s="18" t="n"/>
      <c r="EV22" s="18" t="n"/>
      <c r="EW22" s="18" t="n"/>
      <c r="EX22" s="18" t="n"/>
      <c r="EY22" s="18" t="n"/>
      <c r="EZ22" s="18" t="n"/>
      <c r="FA22" s="256" t="n"/>
      <c r="FB22" s="18" t="n"/>
      <c r="FC22" s="18" t="n"/>
      <c r="FE22" s="30" t="inlineStr">
        <is>
          <t>CARTUCHO P</t>
        </is>
      </c>
      <c r="FF22" s="9" t="n">
        <v>200</v>
      </c>
      <c r="FG22" s="38" t="n">
        <v>0</v>
      </c>
      <c r="FH22" s="38" t="n"/>
      <c r="FI22" s="38" t="n"/>
      <c r="FJ22" s="38" t="n">
        <v>0</v>
      </c>
      <c r="FK22" s="38" t="n">
        <v>0</v>
      </c>
      <c r="FL22" s="38" t="n">
        <v>0</v>
      </c>
      <c r="FM22" s="38" t="n">
        <v>0</v>
      </c>
      <c r="FN22" s="38" t="n"/>
      <c r="FO22" s="38" t="n"/>
      <c r="FP22" s="9" t="n"/>
      <c r="FQ22" s="9" t="n"/>
      <c r="FR22" s="9" t="n"/>
      <c r="FS22" s="246">
        <f>FQ22+IF(NOT(ISBLANK(OFFSET(FS22,0,6))),N(OFFSET(FS22,0,6)),N(OFFSET(FS22,0,7)))-FR22</f>
        <v/>
      </c>
    </row>
    <row r="23" ht="18.75" customHeight="1">
      <c r="CH23" s="6" t="n"/>
      <c r="CK23" s="6" t="n"/>
      <c r="CL23" s="6" t="n"/>
      <c r="CM23" s="6" t="n"/>
      <c r="CN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F23" s="6" t="n"/>
      <c r="DG23" s="6" t="n"/>
      <c r="DH23" s="6" t="n"/>
      <c r="DI23" s="288" t="n">
        <v>200</v>
      </c>
      <c r="DJ23" s="6" t="n"/>
      <c r="DK23" s="6" t="n"/>
      <c r="DL23" s="6" t="n"/>
      <c r="DM23" s="6" t="n"/>
      <c r="DN23" s="6" t="n"/>
      <c r="DO23" s="6" t="n"/>
      <c r="DP23" s="6" t="n"/>
      <c r="DQ23" s="6" t="n"/>
      <c r="DR23" s="6" t="n"/>
      <c r="DS23" s="6" t="n"/>
      <c r="DT23" s="6" t="n"/>
      <c r="DU23" s="6" t="n"/>
      <c r="DV23" s="256" t="n">
        <v>25</v>
      </c>
      <c r="DW23" s="6" t="n"/>
      <c r="DX23" s="6" t="n"/>
      <c r="DY23" s="6" t="n"/>
      <c r="DZ23" s="6" t="n"/>
      <c r="EA23" s="6" t="n"/>
      <c r="EB23" s="6" t="n"/>
      <c r="EC23" s="6" t="n"/>
      <c r="EE23" s="6" t="n"/>
      <c r="EG23" s="6" t="n"/>
      <c r="EH23" s="6" t="n"/>
      <c r="EI23" s="6" t="n"/>
      <c r="EJ23" s="6" t="n"/>
      <c r="EL23" s="6" t="n"/>
      <c r="EM23" s="6" t="n"/>
      <c r="EN23" s="6" t="n"/>
      <c r="EO23" s="288" t="n"/>
      <c r="EP23" s="6" t="n"/>
      <c r="EQ23" s="288" t="n"/>
      <c r="ER23" s="6" t="n"/>
      <c r="ES23" s="6" t="n"/>
      <c r="ET23" s="6" t="n"/>
      <c r="EU23" s="6" t="n"/>
      <c r="EV23" s="6" t="n"/>
      <c r="EW23" s="6" t="n"/>
      <c r="EX23" s="6" t="n"/>
      <c r="EY23" s="6" t="n"/>
      <c r="EZ23" s="6" t="n"/>
      <c r="FA23" s="259" t="inlineStr">
        <is>
          <t>60 P/ PL</t>
        </is>
      </c>
      <c r="FB23" s="6" t="n"/>
      <c r="FC23" s="6" t="n"/>
      <c r="FE23" s="30" t="inlineStr">
        <is>
          <t>CARTUCHO M</t>
        </is>
      </c>
      <c r="FF23" s="9" t="n">
        <v>150</v>
      </c>
      <c r="FG23" s="38" t="n">
        <v>0</v>
      </c>
      <c r="FH23" s="38" t="n"/>
      <c r="FI23" s="38" t="n"/>
      <c r="FJ23" s="261" t="n">
        <v>0</v>
      </c>
      <c r="FK23" s="261" t="n">
        <v>30</v>
      </c>
      <c r="FL23" s="38" t="n">
        <v>8</v>
      </c>
      <c r="FM23" s="38" t="n">
        <v>7</v>
      </c>
      <c r="FN23" s="38" t="n"/>
      <c r="FO23" s="38" t="n"/>
      <c r="FP23" s="9" t="n"/>
      <c r="FQ23" s="9" t="n"/>
      <c r="FR23" s="9" t="n"/>
      <c r="FS23" s="246">
        <f>FQ23+IF(NOT(ISBLANK(OFFSET(FS23,0,6))),N(OFFSET(FS23,0,6)),N(OFFSET(FS23,0,7)))-FR23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1" t="n">
        <v>46161.48003486111</v>
      </c>
      <c r="CD24" s="651" t="n">
        <v>46161.48071435185</v>
      </c>
      <c r="CE24" s="651" t="n">
        <v>46161.4828724436</v>
      </c>
      <c r="CF24" s="660" t="inlineStr">
        <is>
          <t>USOU</t>
        </is>
      </c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F24" s="6" t="n"/>
      <c r="DG24" s="6" t="n"/>
      <c r="DH24" s="6" t="n"/>
      <c r="DI24" s="393" t="n">
        <v>150</v>
      </c>
      <c r="DJ24" s="6" t="n"/>
      <c r="DK24" s="6" t="n"/>
      <c r="DL24" s="6" t="n"/>
      <c r="DM24" s="6" t="n"/>
      <c r="DN24" s="6" t="n"/>
      <c r="DO24" s="6" t="n"/>
      <c r="DP24" s="6" t="n"/>
      <c r="DQ24" s="6" t="n"/>
      <c r="DR24" s="6" t="n"/>
      <c r="DS24" s="6" t="n"/>
      <c r="DT24" s="6" t="n"/>
      <c r="DU24" s="6" t="n"/>
      <c r="DV24" s="256" t="n">
        <v>25</v>
      </c>
      <c r="DW24" s="6" t="n"/>
      <c r="DX24" s="6" t="n"/>
      <c r="DY24" s="6" t="n"/>
      <c r="DZ24" s="6" t="n"/>
      <c r="EA24" s="6" t="n"/>
      <c r="EB24" s="6" t="n"/>
      <c r="EC24" s="6" t="n"/>
      <c r="EE24" s="6" t="n"/>
      <c r="EG24" s="6" t="n"/>
      <c r="EH24" s="6" t="n"/>
      <c r="EI24" s="6" t="n"/>
      <c r="EJ24" s="6" t="n"/>
      <c r="EO24" s="293" t="inlineStr">
        <is>
          <t>75 DE MG</t>
        </is>
      </c>
      <c r="EQ24" s="288" t="n"/>
      <c r="ES24" s="6" t="n"/>
      <c r="EU24" s="6" t="n"/>
      <c r="EW24" s="6" t="n"/>
      <c r="FA24" s="259" t="inlineStr">
        <is>
          <t>60 P/ PL</t>
        </is>
      </c>
    </row>
    <row r="25" ht="18.75" customHeight="1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F25" s="38" t="n">
        <v>53</v>
      </c>
      <c r="G25" s="38" t="n">
        <v>53</v>
      </c>
      <c r="H25" s="38" t="n">
        <v>12</v>
      </c>
      <c r="I25" s="38" t="n">
        <v>12</v>
      </c>
      <c r="J25" s="38" t="n">
        <v>10</v>
      </c>
      <c r="K25" s="38" t="n">
        <v>12</v>
      </c>
      <c r="L25" s="38" t="n">
        <v>12</v>
      </c>
      <c r="M25" s="38" t="n">
        <v>6</v>
      </c>
      <c r="N25" s="38" t="n">
        <v>4</v>
      </c>
      <c r="O25" s="38">
        <f>0+50</f>
        <v/>
      </c>
      <c r="P25" s="38" t="n">
        <v>47</v>
      </c>
      <c r="Q25" s="38" t="n">
        <v>47</v>
      </c>
      <c r="R25" s="38" t="n">
        <v>43</v>
      </c>
      <c r="S25" s="38" t="n">
        <v>40</v>
      </c>
      <c r="T25" s="38" t="n">
        <v>36</v>
      </c>
      <c r="U25" s="38" t="n">
        <v>36</v>
      </c>
      <c r="V25" s="38" t="n">
        <v>34</v>
      </c>
      <c r="W25" s="38" t="n">
        <v>30</v>
      </c>
      <c r="X25" s="38" t="n">
        <v>30</v>
      </c>
      <c r="Y25" s="38" t="n">
        <v>26</v>
      </c>
      <c r="Z25" s="38">
        <f>21+20</f>
        <v/>
      </c>
      <c r="AA25" s="38" t="n">
        <v>37</v>
      </c>
      <c r="AB25" s="38" t="n">
        <v>33</v>
      </c>
      <c r="AC25" s="38" t="n">
        <v>29</v>
      </c>
      <c r="AD25" s="38" t="n">
        <v>27</v>
      </c>
      <c r="AE25" s="38" t="n">
        <v>27</v>
      </c>
      <c r="AF25" s="38" t="n">
        <v>32</v>
      </c>
      <c r="AG25" s="38" t="n">
        <v>32</v>
      </c>
      <c r="AH25" s="38" t="n">
        <v>16</v>
      </c>
      <c r="AI25" s="38" t="n">
        <v>16</v>
      </c>
      <c r="AJ25" s="38" t="n">
        <v>13</v>
      </c>
      <c r="AK25" s="38" t="n">
        <v>10</v>
      </c>
      <c r="AL25" s="38" t="n">
        <v>10</v>
      </c>
      <c r="AM25" s="38" t="n">
        <v>10</v>
      </c>
      <c r="AN25" s="38" t="n">
        <v>7</v>
      </c>
      <c r="AO25" s="38" t="n">
        <v>7</v>
      </c>
      <c r="AP25" s="38" t="n">
        <v>5</v>
      </c>
      <c r="AQ25" s="38" t="n">
        <v>5</v>
      </c>
      <c r="AR25" s="38" t="n">
        <v>4</v>
      </c>
      <c r="AS25" s="38" t="n">
        <v>5</v>
      </c>
      <c r="AT25" s="38" t="n">
        <v>5</v>
      </c>
      <c r="AU25" s="38" t="n">
        <v>3</v>
      </c>
      <c r="AV25" s="38" t="n">
        <v>3</v>
      </c>
      <c r="AW25" s="38" t="n">
        <v>3</v>
      </c>
      <c r="AX25" s="38" t="n">
        <v>3</v>
      </c>
      <c r="AY25" s="38" t="n">
        <v>3</v>
      </c>
      <c r="AZ25" s="38" t="n">
        <v>3</v>
      </c>
      <c r="BA25" s="38" t="n">
        <v>3</v>
      </c>
      <c r="BB25" s="38" t="n">
        <v>3</v>
      </c>
      <c r="BC25" s="38" t="n">
        <v>3</v>
      </c>
      <c r="BD25" s="38" t="n">
        <v>3</v>
      </c>
      <c r="BE25" s="38" t="n">
        <v>3</v>
      </c>
      <c r="BF25" s="38" t="n">
        <v>3</v>
      </c>
      <c r="BG25" s="38" t="n">
        <v>3</v>
      </c>
      <c r="BH25" s="38" t="n">
        <v>3</v>
      </c>
      <c r="BI25" s="38" t="n">
        <v>7</v>
      </c>
      <c r="BJ25" s="38" t="n">
        <v>7</v>
      </c>
      <c r="BK25" s="38" t="n">
        <v>7</v>
      </c>
      <c r="BL25" s="38" t="n">
        <v>7</v>
      </c>
      <c r="BM25" s="38" t="n">
        <v>7</v>
      </c>
      <c r="BN25" s="38" t="n">
        <v>7</v>
      </c>
      <c r="BO25" s="38" t="n">
        <v>7</v>
      </c>
      <c r="BP25" s="38" t="n">
        <v>6</v>
      </c>
      <c r="BQ25" s="38" t="n">
        <v>5</v>
      </c>
      <c r="BR25" s="38" t="n">
        <v>5</v>
      </c>
      <c r="BS25" s="38" t="n">
        <v>5</v>
      </c>
      <c r="BT25" s="38" t="n">
        <v>5</v>
      </c>
      <c r="BU25" s="38" t="n">
        <v>5</v>
      </c>
      <c r="BV25" s="38" t="n">
        <v>5</v>
      </c>
      <c r="BW25" s="38" t="n">
        <v>5</v>
      </c>
      <c r="BX25" s="38" t="n">
        <v>5</v>
      </c>
      <c r="BY25" s="38" t="n">
        <v>5</v>
      </c>
      <c r="BZ25" s="38" t="n">
        <v>4</v>
      </c>
      <c r="CA25" s="38" t="n">
        <v>4</v>
      </c>
      <c r="CB25" s="38" t="n">
        <v>4</v>
      </c>
      <c r="CC25" s="9" t="n">
        <v>4</v>
      </c>
      <c r="CD25" s="9" t="n">
        <v>4</v>
      </c>
      <c r="CE25" s="9" t="n">
        <v>4</v>
      </c>
      <c r="CF25" s="246">
        <f>CD25+IF(NOT(ISBLANK(OFFSET(CF25,0,6))),N(OFFSET(CF25,0,6)),N(OFFSET(CF25,0,7)))-CE25</f>
        <v/>
      </c>
      <c r="CG25" s="53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289" t="n"/>
      <c r="EE25" s="6" t="n"/>
      <c r="EG25" s="6" t="n"/>
      <c r="EH25" s="6" t="n"/>
      <c r="EI25" s="6" t="n"/>
      <c r="EJ25" s="6" t="n"/>
      <c r="EK25" s="289" t="n"/>
      <c r="EO25" s="289" t="n"/>
      <c r="EQ25" s="289" t="n"/>
      <c r="ES25" s="6" t="n"/>
      <c r="EU25" s="6" t="n"/>
      <c r="EW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7" t="n">
        <v>715.5</v>
      </c>
      <c r="D26" s="342" t="n"/>
      <c r="F26" s="9" t="n">
        <v>100</v>
      </c>
      <c r="G26" s="9">
        <f>97-50</f>
        <v/>
      </c>
      <c r="H26" s="38" t="n">
        <v>41</v>
      </c>
      <c r="I26" s="38" t="n">
        <v>36</v>
      </c>
      <c r="J26" s="38" t="n">
        <v>33</v>
      </c>
      <c r="K26" s="38" t="n">
        <v>27</v>
      </c>
      <c r="L26" s="38" t="n">
        <v>27</v>
      </c>
      <c r="M26" s="38" t="n">
        <v>24</v>
      </c>
      <c r="N26" s="38" t="n">
        <v>18</v>
      </c>
      <c r="O26" s="38" t="n">
        <v>15</v>
      </c>
      <c r="P26" s="38" t="n">
        <v>3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>
        <v>0</v>
      </c>
      <c r="AB26" s="38" t="n">
        <v>0</v>
      </c>
      <c r="AC26" s="38" t="n">
        <v>0</v>
      </c>
      <c r="AD26" s="38" t="n">
        <v>0</v>
      </c>
      <c r="AE26" s="38" t="n">
        <v>0</v>
      </c>
      <c r="AF26" s="38" t="n">
        <v>0</v>
      </c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38" t="n"/>
      <c r="CC26" s="9" t="n"/>
      <c r="CD26" s="9" t="n"/>
      <c r="CE26" s="9" t="n"/>
      <c r="CF26" s="246">
        <f>CD26+IF(NOT(ISBLANK(OFFSET(CF26,0,6))),N(OFFSET(CF26,0,6)),N(OFFSET(CF26,0,7)))-CE26</f>
        <v/>
      </c>
      <c r="CG26" s="53" t="n"/>
      <c r="CK26" s="53" t="n"/>
      <c r="CO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6" t="n"/>
      <c r="ED26" s="289" t="n"/>
      <c r="EE26" s="6" t="n"/>
      <c r="EG26" s="6" t="n"/>
      <c r="EH26" s="6" t="n"/>
      <c r="EI26" s="6" t="n"/>
      <c r="EJ26" s="6" t="n"/>
      <c r="EK26" s="289" t="n"/>
      <c r="EO26" s="289" t="n"/>
      <c r="EQ26" s="289" t="n"/>
      <c r="ES26" s="6" t="n"/>
      <c r="EU26" s="6" t="n"/>
      <c r="EW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7" t="n">
        <v>746</v>
      </c>
      <c r="D27" s="342" t="n"/>
      <c r="F27" s="9" t="n">
        <v>70</v>
      </c>
      <c r="G27" s="9" t="n">
        <v>60</v>
      </c>
      <c r="H27" s="38" t="n">
        <v>46</v>
      </c>
      <c r="I27" s="38" t="n">
        <v>40</v>
      </c>
      <c r="J27" s="38" t="n">
        <v>29</v>
      </c>
      <c r="K27" s="38" t="n">
        <v>23</v>
      </c>
      <c r="L27" s="38" t="n">
        <v>14</v>
      </c>
      <c r="M27" s="38" t="n">
        <v>2</v>
      </c>
      <c r="N27" s="38" t="n">
        <v>0</v>
      </c>
      <c r="O27" s="38" t="n">
        <v>0</v>
      </c>
      <c r="P27" s="38" t="n">
        <v>0</v>
      </c>
      <c r="Q27" s="38" t="n">
        <v>0</v>
      </c>
      <c r="R27" s="38" t="n">
        <v>0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1</v>
      </c>
      <c r="Z27" s="38" t="n">
        <v>1</v>
      </c>
      <c r="AA27" s="38" t="n">
        <v>1</v>
      </c>
      <c r="AB27" s="38" t="n">
        <v>1</v>
      </c>
      <c r="AC27" s="38" t="n">
        <v>1</v>
      </c>
      <c r="AD27" s="38" t="n">
        <v>0</v>
      </c>
      <c r="AE27" s="38" t="n">
        <v>0</v>
      </c>
      <c r="AF27" s="38" t="n">
        <v>0</v>
      </c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9" t="n"/>
      <c r="CE27" s="9" t="n"/>
      <c r="CF27" s="246">
        <f>CD27+IF(NOT(ISBLANK(OFFSET(CF27,0,6))),N(OFFSET(CF27,0,6)),N(OFFSET(CF27,0,7)))-CE27</f>
        <v/>
      </c>
      <c r="CG27" s="53" t="n"/>
      <c r="CK27" s="53" t="n"/>
      <c r="CO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6" t="n"/>
      <c r="ED27" s="289" t="n"/>
      <c r="EE27" s="6" t="n"/>
      <c r="EF27" s="53" t="n"/>
      <c r="EG27" s="6" t="n"/>
      <c r="EH27" s="6" t="n"/>
      <c r="EI27" s="6" t="n"/>
      <c r="EJ27" s="6" t="n"/>
      <c r="EK27" s="289" t="n"/>
      <c r="EO27" s="289" t="n"/>
      <c r="EQ27" s="289" t="n"/>
      <c r="ES27" s="6" t="n"/>
      <c r="EU27" s="6" t="n"/>
      <c r="EW27" s="6" t="n"/>
      <c r="FA27" s="53" t="n"/>
    </row>
    <row r="28" hidden="1" ht="18.75" customHeight="1">
      <c r="A28" s="250" t="inlineStr">
        <is>
          <t>CAIXA G NAT./24</t>
        </is>
      </c>
      <c r="B28" s="251" t="n">
        <v>50</v>
      </c>
      <c r="C28" s="667" t="n">
        <v>777</v>
      </c>
      <c r="D28" s="342" t="n"/>
      <c r="F28" s="9" t="n">
        <v>13</v>
      </c>
      <c r="G28" s="9" t="n">
        <v>12</v>
      </c>
      <c r="H28" s="38" t="n">
        <v>10</v>
      </c>
      <c r="I28" s="38" t="n">
        <v>10</v>
      </c>
      <c r="J28" s="38" t="n">
        <v>10</v>
      </c>
      <c r="K28" s="38" t="n">
        <v>10</v>
      </c>
      <c r="L28" s="38" t="n">
        <v>9</v>
      </c>
      <c r="M28" s="38" t="n">
        <v>9</v>
      </c>
      <c r="N28" s="38" t="n">
        <v>11</v>
      </c>
      <c r="O28" s="38" t="n">
        <v>11</v>
      </c>
      <c r="P28" s="38" t="n">
        <v>11</v>
      </c>
      <c r="Q28" s="38" t="n">
        <v>11</v>
      </c>
      <c r="R28" s="38" t="n">
        <v>11</v>
      </c>
      <c r="S28" s="38" t="n">
        <v>11</v>
      </c>
      <c r="T28" s="38" t="n">
        <v>11</v>
      </c>
      <c r="U28" s="38" t="n">
        <v>11</v>
      </c>
      <c r="V28" s="38" t="n">
        <v>11</v>
      </c>
      <c r="W28" s="38" t="n">
        <v>11</v>
      </c>
      <c r="X28" s="38" t="n">
        <v>11</v>
      </c>
      <c r="Y28" s="38" t="n">
        <v>10</v>
      </c>
      <c r="Z28" s="38">
        <f>10-9</f>
        <v/>
      </c>
      <c r="AA28" s="38" t="n">
        <v>1</v>
      </c>
      <c r="AB28" s="38" t="n">
        <v>1</v>
      </c>
      <c r="AC28" s="38" t="n">
        <v>1</v>
      </c>
      <c r="AD28" s="38" t="n">
        <v>1</v>
      </c>
      <c r="AE28" s="38" t="n">
        <v>1</v>
      </c>
      <c r="AF28" s="38" t="n">
        <v>1</v>
      </c>
      <c r="AG28" s="38" t="n">
        <v>1</v>
      </c>
      <c r="AH28" s="38" t="n">
        <v>1</v>
      </c>
      <c r="AI28" s="38" t="n">
        <v>0</v>
      </c>
      <c r="AJ28" s="38" t="n">
        <v>0</v>
      </c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38" t="n"/>
      <c r="CC28" s="9" t="n"/>
      <c r="CD28" s="9" t="n"/>
      <c r="CE28" s="9" t="n"/>
      <c r="CF28" s="246">
        <f>CD28+IF(NOT(ISBLANK(OFFSET(CF28,0,6))),N(OFFSET(CF28,0,6)),N(OFFSET(CF28,0,7)))-CE28</f>
        <v/>
      </c>
      <c r="CG28" s="53" t="n"/>
      <c r="CK28" s="696" t="n"/>
      <c r="CL28" s="57" t="n"/>
      <c r="CM28" s="57" t="n"/>
      <c r="CN28" s="57" t="n"/>
      <c r="CO28" s="6" t="n"/>
      <c r="CQ28" s="57" t="n"/>
      <c r="CS28" s="57" t="n"/>
      <c r="DD28" s="6" t="n"/>
      <c r="DE28" s="6" t="n"/>
      <c r="DI28" s="6" t="n"/>
      <c r="DT28" s="6" t="n"/>
      <c r="DU28" s="6" t="n"/>
      <c r="DV28" s="6" t="n"/>
      <c r="ED28" s="289" t="n"/>
      <c r="EF28" s="53" t="n"/>
      <c r="EG28" s="6" t="n"/>
      <c r="EH28" s="6" t="n"/>
      <c r="EJ28" s="6" t="n"/>
      <c r="EK28" s="289" t="n"/>
      <c r="EO28" s="289" t="n"/>
      <c r="EQ28" s="289" t="n"/>
      <c r="FA28" s="53" t="n"/>
    </row>
    <row r="29" hidden="1" ht="18.75" customHeight="1">
      <c r="A29" s="250" t="inlineStr">
        <is>
          <t>CARTUCHO P NAT./24</t>
        </is>
      </c>
      <c r="B29" s="251" t="n">
        <v>200</v>
      </c>
      <c r="C29" s="667" t="n">
        <v>486</v>
      </c>
      <c r="D29" s="342" t="n"/>
      <c r="F29" s="9" t="n">
        <v>70</v>
      </c>
      <c r="G29" s="38">
        <f>70-60</f>
        <v/>
      </c>
      <c r="H29" s="38" t="n">
        <v>0</v>
      </c>
      <c r="I29" s="38" t="n">
        <v>0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38" t="n"/>
      <c r="CC29" s="9" t="n"/>
      <c r="CD29" s="9" t="n"/>
      <c r="CE29" s="9" t="n"/>
      <c r="CF29" s="246">
        <f>CD29+IF(NOT(ISBLANK(OFFSET(CF29,0,6))),N(OFFSET(CF29,0,6)),N(OFFSET(CF29,0,7)))-CE29</f>
        <v/>
      </c>
      <c r="CG29" s="53" t="n"/>
      <c r="CK29" s="696" t="n"/>
      <c r="CL29" s="57" t="n"/>
      <c r="CM29" s="57" t="n"/>
      <c r="CN29" s="57" t="n"/>
      <c r="CO29" s="6" t="n"/>
      <c r="CQ29" s="57" t="n"/>
      <c r="CS29" s="57" t="n"/>
      <c r="DD29" s="6" t="n"/>
      <c r="DE29" s="6" t="n"/>
      <c r="DI29" s="6" t="n"/>
      <c r="DT29" s="6" t="n"/>
      <c r="DU29" s="6" t="n"/>
      <c r="DV29" s="6" t="n"/>
      <c r="ED29" s="289" t="n"/>
      <c r="EF29" s="53" t="n"/>
      <c r="EG29" s="6" t="n"/>
      <c r="EH29" s="6" t="n"/>
      <c r="EJ29" s="6" t="n"/>
      <c r="EK29" s="289" t="n"/>
      <c r="EO29" s="289" t="n"/>
      <c r="EQ29" s="289" t="n"/>
      <c r="FA29" s="53" t="n"/>
    </row>
    <row r="30" hidden="1" ht="18.75" customHeight="1">
      <c r="A30" s="250" t="inlineStr">
        <is>
          <t>CARTUCHO M NAT./24</t>
        </is>
      </c>
      <c r="B30" s="251" t="n">
        <v>150</v>
      </c>
      <c r="C30" s="667" t="n">
        <v>459</v>
      </c>
      <c r="D30" s="342" t="n"/>
      <c r="F30" s="9" t="n">
        <v>73</v>
      </c>
      <c r="G30" s="9">
        <f>73-60</f>
        <v/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38" t="n"/>
      <c r="CC30" s="9" t="n"/>
      <c r="CD30" s="9" t="n"/>
      <c r="CE30" s="9" t="n"/>
      <c r="CF30" s="246">
        <f>CD30+IF(NOT(ISBLANK(OFFSET(CF30,0,6))),N(OFFSET(CF30,0,6)),N(OFFSET(CF30,0,7)))-CE30</f>
        <v/>
      </c>
      <c r="CG30" s="53" t="n"/>
      <c r="CK30" s="696" t="n"/>
      <c r="CL30" s="57" t="n"/>
      <c r="CM30" s="57" t="n"/>
      <c r="CN30" s="57" t="n"/>
      <c r="CO30" s="6" t="n"/>
      <c r="CQ30" s="57" t="n"/>
      <c r="CS30" s="57" t="n"/>
      <c r="DD30" s="6" t="n"/>
      <c r="DE30" s="6" t="n"/>
      <c r="DI30" s="6" t="n"/>
      <c r="DT30" s="6" t="n"/>
      <c r="DU30" s="6" t="n"/>
      <c r="DV30" s="6" t="n"/>
      <c r="ED30" s="289" t="n"/>
      <c r="EF30" s="53" t="n"/>
      <c r="EG30" s="6" t="n"/>
      <c r="EH30" s="6" t="n"/>
      <c r="EJ30" s="6" t="n"/>
      <c r="EK30" s="289" t="n"/>
      <c r="EO30" s="289" t="n"/>
      <c r="EQ30" s="289" t="n"/>
      <c r="FA30" s="53" t="n"/>
    </row>
    <row r="31" hidden="1" ht="18.75" customHeight="1">
      <c r="A31" s="250" t="inlineStr">
        <is>
          <t>ÁRVORE</t>
        </is>
      </c>
      <c r="B31" s="251" t="n">
        <v>100</v>
      </c>
      <c r="C31" s="667" t="n">
        <v>295</v>
      </c>
      <c r="D31" s="342" t="n"/>
      <c r="F31" s="9" t="n">
        <v>15</v>
      </c>
      <c r="G31" s="9" t="n">
        <v>15</v>
      </c>
      <c r="H31" s="38" t="n">
        <v>15</v>
      </c>
      <c r="I31" s="38" t="n">
        <v>15</v>
      </c>
      <c r="J31" s="38" t="n">
        <v>15</v>
      </c>
      <c r="K31" s="38" t="n">
        <v>15</v>
      </c>
      <c r="L31" s="38" t="n">
        <v>15</v>
      </c>
      <c r="M31" s="38" t="n">
        <v>15</v>
      </c>
      <c r="N31" s="38" t="n">
        <v>15</v>
      </c>
      <c r="O31" s="38" t="n">
        <v>15</v>
      </c>
      <c r="P31" s="38" t="n">
        <v>15</v>
      </c>
      <c r="Q31" s="38" t="n">
        <v>15</v>
      </c>
      <c r="R31" s="38" t="n">
        <v>15</v>
      </c>
      <c r="S31" s="38" t="n">
        <v>15</v>
      </c>
      <c r="T31" s="38" t="n">
        <v>15</v>
      </c>
      <c r="U31" s="38" t="n">
        <v>15</v>
      </c>
      <c r="V31" s="38" t="n">
        <v>15</v>
      </c>
      <c r="W31" s="38" t="n">
        <v>15</v>
      </c>
      <c r="X31" s="38" t="n">
        <v>15</v>
      </c>
      <c r="Y31" s="38" t="n">
        <v>15</v>
      </c>
      <c r="Z31" s="38" t="n">
        <v>15</v>
      </c>
      <c r="AA31" s="38" t="n">
        <v>15</v>
      </c>
      <c r="AB31" s="38" t="n">
        <v>15</v>
      </c>
      <c r="AC31" s="38" t="n">
        <v>15</v>
      </c>
      <c r="AD31" s="38" t="n">
        <v>15</v>
      </c>
      <c r="AE31" s="38" t="n">
        <v>15</v>
      </c>
      <c r="AF31" s="38" t="n">
        <v>15</v>
      </c>
      <c r="AG31" s="38" t="n">
        <v>15</v>
      </c>
      <c r="AH31" s="38" t="n">
        <v>15</v>
      </c>
      <c r="AI31" s="38" t="n">
        <v>15</v>
      </c>
      <c r="AJ31" s="38" t="n">
        <v>15</v>
      </c>
      <c r="AK31" s="38" t="n">
        <v>15</v>
      </c>
      <c r="AL31" s="38" t="n">
        <v>15</v>
      </c>
      <c r="AM31" s="38" t="n">
        <v>15</v>
      </c>
      <c r="AN31" s="38" t="n">
        <v>15</v>
      </c>
      <c r="AO31" s="38" t="n">
        <v>15</v>
      </c>
      <c r="AP31" s="38" t="n">
        <v>15</v>
      </c>
      <c r="AQ31" s="38" t="n">
        <v>15</v>
      </c>
      <c r="AR31" s="38" t="n">
        <v>15</v>
      </c>
      <c r="AS31" s="38" t="n">
        <v>15</v>
      </c>
      <c r="AT31" s="38" t="n">
        <v>15</v>
      </c>
      <c r="AU31" s="38" t="n">
        <v>15</v>
      </c>
      <c r="AV31" s="38" t="n">
        <v>15</v>
      </c>
      <c r="AW31" s="38" t="n">
        <v>15</v>
      </c>
      <c r="AX31" s="38" t="n">
        <v>15</v>
      </c>
      <c r="AY31" s="38" t="n">
        <v>15</v>
      </c>
      <c r="AZ31" s="38" t="n">
        <v>15</v>
      </c>
      <c r="BA31" s="38" t="n">
        <v>15</v>
      </c>
      <c r="BB31" s="38" t="n">
        <v>13</v>
      </c>
      <c r="BC31" s="38" t="n">
        <v>13</v>
      </c>
      <c r="BD31" s="38" t="n">
        <v>10</v>
      </c>
      <c r="BE31" s="38" t="n">
        <v>7</v>
      </c>
      <c r="BF31" s="38" t="n">
        <v>6</v>
      </c>
      <c r="BG31" s="38" t="n">
        <v>6</v>
      </c>
      <c r="BH31" s="38" t="n">
        <v>6</v>
      </c>
      <c r="BI31" s="38" t="n">
        <v>6</v>
      </c>
      <c r="BJ31" s="38" t="n">
        <v>6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38" t="n"/>
      <c r="CC31" s="9" t="n"/>
      <c r="CD31" s="9" t="n"/>
      <c r="CE31" s="9" t="n"/>
      <c r="CF31" s="246">
        <f>CD31+IF(NOT(ISBLANK(OFFSET(CF31,0,6))),N(OFFSET(CF31,0,6)),N(OFFSET(CF31,0,7)))-CE31</f>
        <v/>
      </c>
      <c r="CG31" s="53" t="n"/>
      <c r="CK31" s="696" t="n"/>
      <c r="CL31" s="57" t="n"/>
      <c r="CM31" s="57" t="n"/>
      <c r="CN31" s="57" t="n"/>
      <c r="CO31" s="6" t="n"/>
      <c r="CQ31" s="57" t="n"/>
      <c r="CS31" s="57" t="n"/>
      <c r="DD31" s="6" t="n"/>
      <c r="DE31" s="6" t="n"/>
      <c r="DI31" s="6" t="n"/>
      <c r="DT31" s="6" t="n"/>
      <c r="DU31" s="6" t="n"/>
      <c r="DV31" s="6" t="n"/>
      <c r="ED31" s="289" t="n"/>
      <c r="EF31" s="53" t="n"/>
      <c r="EG31" s="6" t="n"/>
      <c r="EH31" s="6" t="n"/>
      <c r="EJ31" s="6" t="n"/>
      <c r="EK31" s="289" t="n"/>
      <c r="EO31" s="289" t="n"/>
      <c r="EQ31" s="289" t="n"/>
      <c r="FA31" s="53" t="n"/>
    </row>
    <row r="32" hidden="1" ht="18.75" customHeight="1">
      <c r="A32" s="250" t="inlineStr">
        <is>
          <t>BOLA</t>
        </is>
      </c>
      <c r="B32" s="251" t="n">
        <v>100</v>
      </c>
      <c r="C32" s="667" t="n">
        <v>283</v>
      </c>
      <c r="D32" s="342" t="n"/>
      <c r="F32" s="9" t="n">
        <v>0</v>
      </c>
      <c r="G32" s="9" t="n">
        <v>0</v>
      </c>
      <c r="H32" s="38" t="n">
        <v>0</v>
      </c>
      <c r="I32" s="38" t="n">
        <v>0</v>
      </c>
      <c r="J32" s="38" t="n">
        <v>0</v>
      </c>
      <c r="K32" s="38" t="n">
        <v>0</v>
      </c>
      <c r="L32" s="38" t="n">
        <v>0</v>
      </c>
      <c r="M32" s="38" t="n">
        <v>0</v>
      </c>
      <c r="N32" s="38" t="n">
        <v>0</v>
      </c>
      <c r="O32" s="38" t="n">
        <v>0</v>
      </c>
      <c r="P32" s="38" t="n">
        <v>0</v>
      </c>
      <c r="Q32" s="38" t="n">
        <v>0</v>
      </c>
      <c r="R32" s="38" t="n">
        <v>0</v>
      </c>
      <c r="S32" s="38" t="n">
        <v>0</v>
      </c>
      <c r="T32" s="38" t="n">
        <v>0</v>
      </c>
      <c r="U32" s="38" t="n">
        <v>0</v>
      </c>
      <c r="V32" s="38" t="n">
        <v>0</v>
      </c>
      <c r="W32" s="38" t="n">
        <v>0</v>
      </c>
      <c r="X32" s="38" t="n">
        <v>0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/>
      <c r="AI32" s="38" t="n"/>
      <c r="AJ32" s="38" t="n"/>
      <c r="AK32" s="38" t="n"/>
      <c r="AL32" s="38" t="n"/>
      <c r="AM32" s="3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38" t="n"/>
      <c r="AW32" s="38" t="n"/>
      <c r="AX32" s="38" t="n"/>
      <c r="AY32" s="38" t="n"/>
      <c r="AZ32" s="38" t="n">
        <v>5</v>
      </c>
      <c r="BA32" s="38" t="n">
        <v>5</v>
      </c>
      <c r="BB32" s="38" t="n">
        <v>5</v>
      </c>
      <c r="BC32" s="38" t="n">
        <v>5</v>
      </c>
      <c r="BD32" s="38" t="n">
        <v>5</v>
      </c>
      <c r="BE32" s="38" t="n">
        <v>5</v>
      </c>
      <c r="BF32" s="38" t="n">
        <v>5</v>
      </c>
      <c r="BG32" s="38" t="n">
        <v>5</v>
      </c>
      <c r="BH32" s="38" t="n">
        <v>5</v>
      </c>
      <c r="BI32" s="38" t="n">
        <v>5</v>
      </c>
      <c r="BJ32" s="38" t="n">
        <v>5</v>
      </c>
      <c r="BK32" s="38" t="n">
        <v>1</v>
      </c>
      <c r="BL32" s="38" t="n">
        <v>1</v>
      </c>
      <c r="BM32" s="38" t="n">
        <v>1</v>
      </c>
      <c r="BN32" s="38" t="n">
        <v>1</v>
      </c>
      <c r="BO32" s="38" t="n">
        <v>0</v>
      </c>
      <c r="BP32" s="38" t="n">
        <v>0</v>
      </c>
      <c r="BQ32" s="38" t="n">
        <v>0</v>
      </c>
      <c r="BR32" s="38" t="n">
        <v>0</v>
      </c>
      <c r="BS32" s="38" t="n"/>
      <c r="BT32" s="38" t="n"/>
      <c r="BU32" s="38" t="n"/>
      <c r="BV32" s="38" t="n"/>
      <c r="BW32" s="38" t="n"/>
      <c r="BX32" s="38" t="n"/>
      <c r="BY32" s="38" t="n"/>
      <c r="BZ32" s="38" t="n"/>
      <c r="CA32" s="38" t="n"/>
      <c r="CB32" s="38" t="n"/>
      <c r="CC32" s="9" t="n"/>
      <c r="CD32" s="9" t="n"/>
      <c r="CE32" s="9" t="n"/>
      <c r="CF32" s="246">
        <f>CD32+IF(NOT(ISBLANK(OFFSET(CF32,0,6))),N(OFFSET(CF32,0,6)),N(OFFSET(CF32,0,7)))-CE32</f>
        <v/>
      </c>
      <c r="CG32" s="53" t="n"/>
      <c r="CK32" s="696" t="n"/>
      <c r="CL32" s="57" t="n"/>
      <c r="CM32" s="57" t="n"/>
      <c r="CN32" s="57" t="n"/>
      <c r="CO32" s="6" t="n"/>
      <c r="CQ32" s="57" t="n"/>
      <c r="CS32" s="57" t="n"/>
      <c r="DD32" s="6" t="n"/>
      <c r="DE32" s="6" t="n"/>
      <c r="DI32" s="6" t="n"/>
      <c r="DT32" s="6" t="n"/>
      <c r="DU32" s="6" t="n"/>
      <c r="DV32" s="6" t="n"/>
      <c r="ED32" s="289" t="n"/>
      <c r="EF32" s="53" t="n"/>
      <c r="EG32" s="6" t="n"/>
      <c r="EK32" s="289" t="n"/>
      <c r="EO32" s="289" t="n"/>
      <c r="EQ32" s="289" t="n"/>
      <c r="FA32" s="53" t="n"/>
    </row>
    <row r="33" hidden="1" ht="18.75" customHeight="1">
      <c r="A33" s="243" t="inlineStr">
        <is>
          <t>CAIXA P MÃES/25</t>
        </is>
      </c>
      <c r="B33" s="244" t="n">
        <v>150</v>
      </c>
      <c r="C33" s="697" t="n">
        <v>781.05</v>
      </c>
      <c r="D33" s="342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8</v>
      </c>
      <c r="AA33" s="9" t="n">
        <v>8</v>
      </c>
      <c r="AB33" s="9" t="n">
        <v>8</v>
      </c>
      <c r="AC33" s="9" t="n">
        <v>8</v>
      </c>
      <c r="AD33" s="9" t="n">
        <v>0</v>
      </c>
      <c r="AE33" s="9" t="n">
        <v>0</v>
      </c>
      <c r="AF33" s="9" t="n">
        <v>0</v>
      </c>
      <c r="AG33" s="9" t="n"/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9" t="n"/>
      <c r="CC33" s="9" t="n"/>
      <c r="CD33" s="9" t="n"/>
      <c r="CE33" s="9" t="n"/>
      <c r="CF33" s="246">
        <f>CD33+IF(NOT(ISBLANK(OFFSET(CF33,0,6))),N(OFFSET(CF33,0,6)),N(OFFSET(CF33,0,7)))-CE33</f>
        <v/>
      </c>
      <c r="CG33" s="53" t="n"/>
      <c r="CK33" s="696" t="n"/>
      <c r="CL33" s="57" t="n"/>
      <c r="CM33" s="57" t="n"/>
      <c r="CN33" s="57" t="n"/>
      <c r="CO33" s="6" t="n"/>
      <c r="CQ33" s="57" t="n"/>
      <c r="CS33" s="57" t="n"/>
      <c r="DD33" s="6" t="n"/>
      <c r="DE33" s="6" t="n"/>
      <c r="DI33" s="6" t="n"/>
      <c r="DT33" s="6" t="n"/>
      <c r="DU33" s="6" t="n"/>
      <c r="DV33" s="6" t="n"/>
      <c r="ED33" s="289" t="n"/>
      <c r="EF33" s="53" t="n"/>
      <c r="EG33" s="6" t="n"/>
      <c r="EK33" s="289" t="n"/>
      <c r="EO33" s="289" t="n"/>
      <c r="EQ33" s="289" t="n"/>
      <c r="FA33" s="53" t="n"/>
    </row>
    <row r="34" hidden="1" ht="18.75" customHeight="1">
      <c r="A34" s="243" t="inlineStr">
        <is>
          <t>CAIXA M MÃES/25</t>
        </is>
      </c>
      <c r="B34" s="244" t="n">
        <v>100</v>
      </c>
      <c r="C34" s="697" t="n">
        <v>789</v>
      </c>
      <c r="D34" s="342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190" t="n">
        <v>-6</v>
      </c>
      <c r="AA34" s="190" t="n">
        <v>-6</v>
      </c>
      <c r="AB34" s="190" t="n">
        <v>-6</v>
      </c>
      <c r="AC34" s="9" t="n">
        <v>0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9" t="n"/>
      <c r="CC34" s="9" t="n"/>
      <c r="CD34" s="9" t="n"/>
      <c r="CE34" s="9" t="n"/>
      <c r="CF34" s="246">
        <f>CD34+IF(NOT(ISBLANK(OFFSET(CF34,0,6))),N(OFFSET(CF34,0,6)),N(OFFSET(CF34,0,7)))-CE34</f>
        <v/>
      </c>
      <c r="CG34" s="53" t="n"/>
      <c r="CK34" s="696" t="n"/>
      <c r="CL34" s="57" t="n"/>
      <c r="CM34" s="57" t="n"/>
      <c r="CN34" s="57" t="n"/>
      <c r="CO34" s="6" t="n"/>
      <c r="CQ34" s="57" t="n"/>
      <c r="CS34" s="57" t="n"/>
      <c r="DD34" s="6" t="n"/>
      <c r="DE34" s="6" t="n"/>
      <c r="DI34" s="6" t="n"/>
      <c r="DT34" s="6" t="n"/>
      <c r="DU34" s="6" t="n"/>
      <c r="DV34" s="6" t="n"/>
      <c r="ED34" s="289" t="n"/>
      <c r="EF34" s="53" t="n"/>
      <c r="EG34" s="6" t="n"/>
      <c r="EK34" s="289" t="n"/>
      <c r="EO34" s="289" t="n"/>
      <c r="EQ34" s="289" t="n"/>
      <c r="FA34" s="53" t="n"/>
    </row>
    <row r="35" hidden="1" ht="18.75" customHeight="1">
      <c r="A35" s="243" t="inlineStr">
        <is>
          <t>CAIXA G MÃES/25</t>
        </is>
      </c>
      <c r="B35" s="244" t="n">
        <v>75</v>
      </c>
      <c r="C35" s="697" t="n">
        <v>844.05</v>
      </c>
      <c r="D35" s="342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>
        <f>0+5</f>
        <v/>
      </c>
      <c r="AA35" s="9" t="n">
        <v>5</v>
      </c>
      <c r="AB35" s="9" t="n">
        <v>5</v>
      </c>
      <c r="AC35" s="9" t="n">
        <v>5</v>
      </c>
      <c r="AD35" s="9" t="n">
        <v>5</v>
      </c>
      <c r="AE35" s="9" t="n">
        <v>5</v>
      </c>
      <c r="AF35" s="9" t="n">
        <v>5</v>
      </c>
      <c r="AG35" s="9" t="n">
        <v>5</v>
      </c>
      <c r="AH35" s="9" t="n">
        <v>5</v>
      </c>
      <c r="AI35" s="9" t="n">
        <v>5</v>
      </c>
      <c r="AJ35" s="9" t="n">
        <v>5</v>
      </c>
      <c r="AK35" s="9" t="n">
        <v>5</v>
      </c>
      <c r="AL35" s="9" t="n">
        <v>5</v>
      </c>
      <c r="AM35" s="9" t="n">
        <v>5</v>
      </c>
      <c r="AN35" s="9" t="n">
        <v>5</v>
      </c>
      <c r="AO35" s="9" t="n">
        <v>5</v>
      </c>
      <c r="AP35" s="9" t="n">
        <v>5</v>
      </c>
      <c r="AQ35" s="9" t="n">
        <v>5</v>
      </c>
      <c r="AR35" s="9" t="n">
        <v>5</v>
      </c>
      <c r="AS35" s="9" t="n">
        <v>5</v>
      </c>
      <c r="AT35" s="9" t="n">
        <v>5</v>
      </c>
      <c r="AU35" s="9" t="n">
        <v>5</v>
      </c>
      <c r="AV35" s="9" t="n">
        <v>5</v>
      </c>
      <c r="AW35" s="9" t="n">
        <v>5</v>
      </c>
      <c r="AX35" s="9" t="n">
        <v>5</v>
      </c>
      <c r="AY35" s="9" t="n">
        <v>5</v>
      </c>
      <c r="AZ35" s="9" t="n">
        <v>5</v>
      </c>
      <c r="BA35" s="9" t="n">
        <v>5</v>
      </c>
      <c r="BB35" s="9" t="n">
        <v>5</v>
      </c>
      <c r="BC35" s="9" t="n">
        <v>5</v>
      </c>
      <c r="BD35" s="9" t="n">
        <v>0</v>
      </c>
      <c r="BE35" s="9" t="n">
        <v>0</v>
      </c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9" t="n"/>
      <c r="CD35" s="9" t="n"/>
      <c r="CE35" s="9" t="n"/>
      <c r="CF35" s="246">
        <f>CD35+IF(NOT(ISBLANK(OFFSET(CF35,0,6))),N(OFFSET(CF35,0,6)),N(OFFSET(CF35,0,7)))-CE35</f>
        <v/>
      </c>
      <c r="CG35" s="53" t="n"/>
      <c r="CK35" s="290" t="n"/>
      <c r="CL35" s="61" t="n"/>
      <c r="CM35" s="61" t="n"/>
      <c r="CN35" s="61" t="n"/>
      <c r="CO35" s="6" t="n"/>
      <c r="CQ35" s="61" t="n"/>
      <c r="CS35" s="61" t="n"/>
      <c r="DD35" s="6" t="n"/>
      <c r="DE35" s="6" t="n"/>
      <c r="DI35" s="6" t="n"/>
      <c r="DT35" s="6" t="n"/>
      <c r="DU35" s="6" t="n"/>
      <c r="DV35" s="6" t="n"/>
      <c r="ED35" s="289" t="n"/>
      <c r="EF35" s="53" t="n"/>
      <c r="EG35" s="6" t="n"/>
      <c r="EK35" s="289" t="n"/>
      <c r="EO35" s="289" t="n"/>
      <c r="EQ35" s="289" t="n"/>
      <c r="FA35" s="53" t="n"/>
    </row>
    <row r="36" hidden="1" ht="18.75" customHeight="1">
      <c r="A36" s="243" t="inlineStr">
        <is>
          <t>CARTUCHO P MÃES/25</t>
        </is>
      </c>
      <c r="B36" s="244" t="n">
        <v>200</v>
      </c>
      <c r="C36" s="697" t="n">
        <v>450</v>
      </c>
      <c r="D36" s="342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9" t="n"/>
      <c r="CD36" s="9" t="n"/>
      <c r="CE36" s="9" t="n"/>
      <c r="CF36" s="246">
        <f>CD36+IF(NOT(ISBLANK(OFFSET(CF36,0,6))),N(OFFSET(CF36,0,6)),N(OFFSET(CF36,0,7)))-CE36</f>
        <v/>
      </c>
      <c r="CG36" s="53" t="n"/>
      <c r="CK36" s="290" t="n"/>
      <c r="CL36" s="61" t="n"/>
      <c r="CM36" s="61" t="n"/>
      <c r="CN36" s="61" t="n"/>
      <c r="CO36" s="6" t="n"/>
      <c r="CQ36" s="61" t="n"/>
      <c r="CS36" s="61" t="n"/>
      <c r="DD36" s="6" t="n"/>
      <c r="DE36" s="6" t="n"/>
      <c r="DI36" s="6" t="n"/>
      <c r="DT36" s="6" t="n"/>
      <c r="DU36" s="6" t="n"/>
      <c r="DV36" s="6" t="n"/>
      <c r="ED36" s="289" t="n"/>
      <c r="EF36" s="53" t="n"/>
      <c r="EG36" s="6" t="n"/>
      <c r="EK36" s="289" t="n"/>
      <c r="EO36" s="289" t="n"/>
      <c r="EQ36" s="289" t="n"/>
      <c r="FA36" s="53" t="n"/>
    </row>
    <row r="37" hidden="1" ht="18.75" customHeight="1">
      <c r="A37" s="243" t="inlineStr">
        <is>
          <t>CARTUCHO M MÃES/25</t>
        </is>
      </c>
      <c r="B37" s="244" t="n">
        <v>150</v>
      </c>
      <c r="C37" s="697" t="n">
        <v>430.5</v>
      </c>
      <c r="D37" s="342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1</v>
      </c>
      <c r="AA37" s="9" t="n">
        <v>1</v>
      </c>
      <c r="AB37" s="9" t="n">
        <v>1</v>
      </c>
      <c r="AC37" s="9" t="n">
        <v>1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9" t="n"/>
      <c r="CD37" s="9" t="n"/>
      <c r="CE37" s="9" t="n"/>
      <c r="CF37" s="246">
        <f>CD37+IF(NOT(ISBLANK(OFFSET(CF37,0,6))),N(OFFSET(CF37,0,6)),N(OFFSET(CF37,0,7)))-CE37</f>
        <v/>
      </c>
      <c r="CG37" s="53" t="n"/>
      <c r="CK37" s="53" t="n"/>
      <c r="CO37" s="6" t="n"/>
      <c r="CP37" s="57" t="n"/>
      <c r="CR37" s="57" t="n"/>
      <c r="CT37" s="57" t="n"/>
      <c r="CU37" s="57" t="n"/>
      <c r="DD37" s="6" t="n"/>
      <c r="DE37" s="6" t="n"/>
      <c r="DI37" s="6" t="n"/>
      <c r="DT37" s="6" t="n"/>
      <c r="DU37" s="6" t="n"/>
      <c r="DV37" s="6" t="n"/>
      <c r="ED37" s="289" t="n"/>
      <c r="EF37" s="53" t="n"/>
      <c r="EG37" s="6" t="n"/>
      <c r="EK37" s="289" t="n"/>
      <c r="EO37" s="289" t="n"/>
      <c r="EQ37" s="289" t="n"/>
      <c r="FA37" s="53" t="n"/>
    </row>
    <row r="38" hidden="1" ht="18.75" customHeight="1">
      <c r="A38" s="352" t="inlineStr">
        <is>
          <t>CAIXA M NAMO/25</t>
        </is>
      </c>
      <c r="B38" s="127" t="n">
        <v>100</v>
      </c>
      <c r="C38" s="705" t="n">
        <v>789</v>
      </c>
      <c r="D38" s="354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/>
      <c r="AA38" s="9" t="n"/>
      <c r="AB38" s="9" t="n"/>
      <c r="AC38" s="9" t="n"/>
      <c r="AD38" s="9" t="n"/>
      <c r="AE38" s="9" t="n"/>
      <c r="AF38" s="9" t="n">
        <v>4</v>
      </c>
      <c r="AG38" s="9" t="n">
        <v>3</v>
      </c>
      <c r="AH38" s="9" t="n">
        <v>3</v>
      </c>
      <c r="AI38" s="9" t="n">
        <v>0</v>
      </c>
      <c r="AJ38" s="9" t="n">
        <v>0</v>
      </c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9" t="n"/>
      <c r="CD38" s="9" t="n"/>
      <c r="CE38" s="9" t="n"/>
      <c r="CF38" s="246">
        <f>CD38+IF(NOT(ISBLANK(OFFSET(CF38,0,6))),N(OFFSET(CF38,0,6)),N(OFFSET(CF38,0,7)))-CE38</f>
        <v/>
      </c>
      <c r="CG38" s="53" t="n"/>
      <c r="CK38" s="53" t="n"/>
      <c r="CO38" s="6" t="n"/>
      <c r="CP38" s="61" t="n"/>
      <c r="CR38" s="61" t="n"/>
      <c r="CT38" s="61" t="n"/>
      <c r="CU38" s="61" t="n"/>
      <c r="DD38" s="6" t="n"/>
      <c r="DE38" s="6" t="n"/>
      <c r="DI38" s="6" t="n"/>
      <c r="DT38" s="6" t="n"/>
      <c r="DU38" s="6" t="n"/>
      <c r="DV38" s="6" t="n"/>
      <c r="ED38" s="289" t="n"/>
      <c r="EF38" s="53" t="n"/>
      <c r="EG38" s="6" t="n"/>
      <c r="EK38" s="289" t="n"/>
      <c r="EO38" s="289" t="n"/>
      <c r="EQ38" s="289" t="n"/>
      <c r="FA38" s="53" t="n"/>
    </row>
    <row r="39" hidden="1" ht="18.75" customHeight="1">
      <c r="A39" s="352" t="inlineStr">
        <is>
          <t>CARTUCHO M NAMO/25</t>
        </is>
      </c>
      <c r="B39" s="127" t="n">
        <v>150</v>
      </c>
      <c r="C39" s="705" t="n">
        <v>289</v>
      </c>
      <c r="D39" s="354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/>
      <c r="AA39" s="9" t="n"/>
      <c r="AB39" s="9" t="n"/>
      <c r="AC39" s="9" t="n"/>
      <c r="AD39" s="9" t="n"/>
      <c r="AE39" s="9" t="n"/>
      <c r="AF39" s="9" t="n">
        <v>2</v>
      </c>
      <c r="AG39" s="9" t="n">
        <v>2</v>
      </c>
      <c r="AH39" s="9" t="n">
        <v>2</v>
      </c>
      <c r="AI39" s="9" t="n">
        <v>0</v>
      </c>
      <c r="AJ39" s="9" t="n">
        <v>0</v>
      </c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9" t="n"/>
      <c r="CD39" s="9" t="n"/>
      <c r="CE39" s="9" t="n"/>
      <c r="CF39" s="246">
        <f>CD39+IF(NOT(ISBLANK(OFFSET(CF39,0,6))),N(OFFSET(CF39,0,6)),N(OFFSET(CF39,0,7)))-CE39</f>
        <v/>
      </c>
      <c r="CG39" s="53" t="n"/>
      <c r="CK39" s="53" t="n"/>
      <c r="CO39" s="360" t="n"/>
      <c r="CP39" s="61" t="n"/>
      <c r="CR39" s="61" t="n"/>
      <c r="CT39" s="61" t="n"/>
      <c r="CU39" s="61" t="n"/>
      <c r="DD39" s="6" t="n"/>
      <c r="DE39" s="6" t="n"/>
      <c r="DI39" s="6" t="n"/>
      <c r="DR39" s="57" t="n"/>
      <c r="DT39" s="6" t="n"/>
      <c r="DU39" s="6" t="n"/>
      <c r="DV39" s="360" t="n"/>
      <c r="ED39" s="289" t="n"/>
      <c r="EF39" s="53" t="n"/>
      <c r="EG39" s="6" t="n"/>
      <c r="EK39" s="289" t="n"/>
      <c r="EO39" s="289" t="n"/>
      <c r="EQ39" s="289" t="n"/>
      <c r="FA39" s="53" t="n"/>
    </row>
    <row r="40" hidden="1" ht="18.75" customHeight="1">
      <c r="A40" s="343" t="inlineStr">
        <is>
          <t>CAIXA M PAIS/25</t>
        </is>
      </c>
      <c r="B40" s="344" t="n">
        <v>100</v>
      </c>
      <c r="C40" s="705" t="n"/>
      <c r="D40" s="354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1</v>
      </c>
      <c r="AP40" s="9" t="n">
        <v>0</v>
      </c>
      <c r="AQ40" s="9" t="n">
        <v>0</v>
      </c>
      <c r="AR40" s="9" t="n">
        <v>0</v>
      </c>
      <c r="AS40" s="9" t="n">
        <v>0</v>
      </c>
      <c r="AT40" s="9" t="n">
        <v>0</v>
      </c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9" t="n"/>
      <c r="CD40" s="9" t="n"/>
      <c r="CE40" s="9" t="n"/>
      <c r="CF40" s="246">
        <f>CD40+IF(NOT(ISBLANK(OFFSET(CF40,0,6))),N(OFFSET(CF40,0,6)),N(OFFSET(CF40,0,7)))-CE40</f>
        <v/>
      </c>
      <c r="CG40" s="53" t="n"/>
      <c r="CK40" s="53" t="n"/>
      <c r="CO40" s="360" t="n"/>
      <c r="DD40" s="6" t="n"/>
      <c r="DE40" s="6" t="n"/>
      <c r="DI40" s="6" t="n"/>
      <c r="DR40" s="57" t="n"/>
      <c r="DT40" s="6" t="n"/>
      <c r="DU40" s="6" t="n"/>
      <c r="DV40" s="360" t="n"/>
      <c r="ED40" s="289" t="n"/>
      <c r="EF40" s="53" t="n"/>
      <c r="EG40" s="6" t="n"/>
      <c r="EK40" s="289" t="n"/>
      <c r="EO40" s="289" t="n"/>
      <c r="EQ40" s="289" t="n"/>
      <c r="FA40" s="53" t="n"/>
    </row>
    <row r="41" hidden="1" ht="18.75" customHeight="1">
      <c r="A41" s="343" t="inlineStr">
        <is>
          <t>ENVELOPE M PAIS/25</t>
        </is>
      </c>
      <c r="B41" s="344" t="n">
        <v>150</v>
      </c>
      <c r="C41" s="705" t="n"/>
      <c r="D41" s="354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0</v>
      </c>
      <c r="AP41" s="9" t="n">
        <v>0</v>
      </c>
      <c r="AQ41" s="9" t="n">
        <v>0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9" t="n"/>
      <c r="CD41" s="9" t="n"/>
      <c r="CE41" s="9" t="n"/>
      <c r="CF41" s="246">
        <f>CD41+IF(NOT(ISBLANK(OFFSET(CF41,0,6))),N(OFFSET(CF41,0,6)),N(OFFSET(CF41,0,7)))-CE41</f>
        <v/>
      </c>
      <c r="CG41" s="53" t="n"/>
      <c r="CK41" s="6" t="n"/>
      <c r="CL41" s="6" t="n"/>
      <c r="CM41" s="6" t="n"/>
      <c r="CN41" s="6" t="n"/>
      <c r="CO41" s="53" t="n"/>
      <c r="CQ41" s="6" t="n"/>
      <c r="CS41" s="6" t="n"/>
      <c r="DD41" s="6" t="n"/>
      <c r="DE41" s="6" t="n"/>
      <c r="DI41" s="6" t="n"/>
      <c r="DR41" s="57" t="n"/>
      <c r="DT41" s="6" t="n"/>
      <c r="DU41" s="6" t="n"/>
      <c r="DV41" s="360" t="n"/>
      <c r="ED41" s="289" t="n"/>
      <c r="EF41" s="53" t="n"/>
      <c r="EG41" s="6" t="n"/>
      <c r="EK41" s="289" t="n"/>
      <c r="EO41" s="289" t="n"/>
      <c r="EQ41" s="289" t="n"/>
      <c r="FA41" s="53" t="n"/>
      <c r="FE41" s="53" t="n"/>
      <c r="FF41" s="53" t="n"/>
      <c r="FG41" s="53" t="n"/>
      <c r="FH41" s="53" t="n"/>
      <c r="FI41" s="53" t="n"/>
      <c r="FJ41" s="53" t="n"/>
      <c r="FK41" s="53" t="n"/>
      <c r="FL41" s="53" t="n"/>
      <c r="FM41" s="53" t="n"/>
      <c r="FN41" s="53" t="n"/>
      <c r="FO41" s="53" t="n"/>
      <c r="FP41" s="53" t="n"/>
      <c r="FQ41" s="53" t="n"/>
      <c r="FR41" s="53" t="n"/>
      <c r="FS41" s="53" t="n"/>
    </row>
    <row r="42" hidden="1" ht="18.75" customHeight="1">
      <c r="A42" s="343" t="inlineStr">
        <is>
          <t>PIN MELHOR PAI DO MDO</t>
        </is>
      </c>
      <c r="B42" s="344" t="n">
        <v>25</v>
      </c>
      <c r="C42" s="705" t="n"/>
      <c r="D42" s="354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11</v>
      </c>
      <c r="AP42" s="9" t="n">
        <v>1</v>
      </c>
      <c r="AQ42" s="9" t="n">
        <v>1</v>
      </c>
      <c r="AR42" s="9" t="n">
        <v>1</v>
      </c>
      <c r="AS42" s="9" t="n">
        <v>1</v>
      </c>
      <c r="AT42" s="9" t="n">
        <v>1</v>
      </c>
      <c r="AU42" s="9" t="n">
        <v>1</v>
      </c>
      <c r="AV42" s="9" t="n">
        <v>1</v>
      </c>
      <c r="AW42" s="9" t="n">
        <v>1</v>
      </c>
      <c r="AX42" s="9" t="n">
        <v>1</v>
      </c>
      <c r="AY42" s="9" t="n">
        <v>1</v>
      </c>
      <c r="AZ42" s="9" t="n">
        <v>1</v>
      </c>
      <c r="BA42" s="9" t="n">
        <v>1</v>
      </c>
      <c r="BB42" s="9" t="n">
        <v>1</v>
      </c>
      <c r="BC42" s="9" t="n">
        <v>1</v>
      </c>
      <c r="BD42" s="9" t="n">
        <v>0</v>
      </c>
      <c r="BE42" s="9" t="n">
        <v>0</v>
      </c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9" t="n"/>
      <c r="CD42" s="9" t="n"/>
      <c r="CE42" s="9" t="n"/>
      <c r="CF42" s="246">
        <f>CD42+IF(NOT(ISBLANK(OFFSET(CF42,0,6))),N(OFFSET(CF42,0,6)),N(OFFSET(CF42,0,7)))-CE42</f>
        <v/>
      </c>
      <c r="CG42" s="53" t="n"/>
      <c r="CK42" s="6" t="n"/>
      <c r="CL42" s="6" t="n"/>
      <c r="CM42" s="6" t="n"/>
      <c r="CN42" s="6" t="n"/>
      <c r="CO42" s="53" t="n"/>
      <c r="CQ42" s="6" t="n"/>
      <c r="CS42" s="6" t="n"/>
      <c r="DD42" s="6" t="n"/>
      <c r="DE42" s="6" t="n"/>
      <c r="DI42" s="6" t="n"/>
      <c r="DR42" s="57" t="n"/>
      <c r="DT42" s="6" t="n"/>
      <c r="DU42" s="6" t="n"/>
      <c r="DV42" s="360" t="n"/>
      <c r="ED42" s="289" t="n"/>
      <c r="EF42" s="53" t="n"/>
      <c r="EG42" s="6" t="n"/>
      <c r="EK42" s="289" t="n"/>
      <c r="EO42" s="289" t="n"/>
      <c r="EQ42" s="289" t="n"/>
      <c r="FA42" s="53" t="n"/>
      <c r="FE42" s="53" t="n"/>
      <c r="FF42" s="53" t="n"/>
      <c r="FG42" s="53" t="n"/>
      <c r="FH42" s="53" t="n"/>
      <c r="FI42" s="53" t="n"/>
      <c r="FJ42" s="53" t="n"/>
      <c r="FK42" s="53" t="n"/>
      <c r="FL42" s="53" t="n"/>
      <c r="FM42" s="53" t="n"/>
      <c r="FN42" s="53" t="n"/>
      <c r="FO42" s="53" t="n"/>
      <c r="FP42" s="53" t="n"/>
      <c r="FQ42" s="53" t="n"/>
      <c r="FR42" s="53" t="n"/>
      <c r="FS42" s="53" t="n"/>
    </row>
    <row r="43" hidden="1" ht="18.75" customHeight="1">
      <c r="A43" s="343" t="inlineStr">
        <is>
          <t>PIN BALÃO</t>
        </is>
      </c>
      <c r="B43" s="344" t="n">
        <v>25</v>
      </c>
      <c r="C43" s="705" t="n"/>
      <c r="D43" s="354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21</v>
      </c>
      <c r="AP43" s="9" t="n">
        <v>0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/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9" t="n"/>
      <c r="CD43" s="9" t="n"/>
      <c r="CE43" s="9" t="n"/>
      <c r="CF43" s="246">
        <f>CD43+IF(NOT(ISBLANK(OFFSET(CF43,0,6))),N(OFFSET(CF43,0,6)),N(OFFSET(CF43,0,7)))-CE43</f>
        <v/>
      </c>
      <c r="CG43" s="53" t="n"/>
      <c r="CK43" s="6" t="n"/>
      <c r="CL43" s="6" t="n"/>
      <c r="CM43" s="6" t="n"/>
      <c r="CN43" s="6" t="n"/>
      <c r="CO43" s="53" t="n"/>
      <c r="CQ43" s="6" t="n"/>
      <c r="CS43" s="6" t="n"/>
      <c r="DD43" s="360" t="n"/>
      <c r="DE43" s="360" t="n"/>
      <c r="DI43" s="360" t="n"/>
      <c r="DR43" s="57" t="n"/>
      <c r="DT43" s="6" t="n"/>
      <c r="DU43" s="6" t="n"/>
      <c r="DV43" s="360" t="n"/>
      <c r="ED43" s="289" t="n"/>
      <c r="EF43" s="53" t="n"/>
      <c r="EG43" s="6" t="n"/>
      <c r="EK43" s="289" t="n"/>
      <c r="EO43" s="289" t="n"/>
      <c r="EQ43" s="289" t="n"/>
      <c r="FA43" s="53" t="n"/>
      <c r="FE43" s="53" t="n"/>
      <c r="FF43" s="53" t="n"/>
      <c r="FG43" s="53" t="n"/>
      <c r="FH43" s="53" t="n"/>
      <c r="FI43" s="53" t="n"/>
      <c r="FJ43" s="53" t="n"/>
      <c r="FK43" s="53" t="n"/>
      <c r="FL43" s="53" t="n"/>
      <c r="FM43" s="53" t="n"/>
      <c r="FN43" s="53" t="n"/>
      <c r="FO43" s="53" t="n"/>
      <c r="FP43" s="53" t="n"/>
      <c r="FQ43" s="53" t="n"/>
      <c r="FR43" s="53" t="n"/>
      <c r="FS43" s="53" t="n"/>
    </row>
    <row r="44" hidden="1" ht="18.75" customHeight="1">
      <c r="A44" s="343" t="inlineStr">
        <is>
          <t>PIN AMOR</t>
        </is>
      </c>
      <c r="B44" s="344" t="n">
        <v>25</v>
      </c>
      <c r="C44" s="705" t="n"/>
      <c r="D44" s="354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9" t="n">
        <v>22</v>
      </c>
      <c r="AP44" s="9" t="n">
        <v>1</v>
      </c>
      <c r="AQ44" s="9" t="n">
        <v>1</v>
      </c>
      <c r="AR44" s="9" t="n">
        <v>1</v>
      </c>
      <c r="AS44" s="9" t="n">
        <v>1</v>
      </c>
      <c r="AT44" s="9" t="n">
        <v>1</v>
      </c>
      <c r="AU44" s="9" t="n">
        <v>1</v>
      </c>
      <c r="AV44" s="9" t="n">
        <v>1</v>
      </c>
      <c r="AW44" s="9" t="n">
        <v>1</v>
      </c>
      <c r="AX44" s="9" t="n">
        <v>1</v>
      </c>
      <c r="AY44" s="9" t="n">
        <v>1</v>
      </c>
      <c r="AZ44" s="9" t="n">
        <v>1</v>
      </c>
      <c r="BA44" s="9" t="n">
        <v>1</v>
      </c>
      <c r="BB44" s="9" t="n">
        <v>1</v>
      </c>
      <c r="BC44" s="9" t="n">
        <v>1</v>
      </c>
      <c r="BD44" s="9" t="n">
        <v>0</v>
      </c>
      <c r="BE44" s="9" t="n">
        <v>0</v>
      </c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9" t="n"/>
      <c r="CD44" s="9" t="n"/>
      <c r="CE44" s="9" t="n"/>
      <c r="CF44" s="246">
        <f>CD44+IF(NOT(ISBLANK(OFFSET(CF44,0,6))),N(OFFSET(CF44,0,6)),N(OFFSET(CF44,0,7)))-CE44</f>
        <v/>
      </c>
      <c r="CG44" s="53" t="n"/>
      <c r="CK44" s="6" t="n"/>
      <c r="CL44" s="6" t="n"/>
      <c r="CM44" s="6" t="n"/>
      <c r="CN44" s="6" t="n"/>
      <c r="CO44" s="53" t="n"/>
      <c r="CP44" s="6" t="n"/>
      <c r="CQ44" s="6" t="n"/>
      <c r="CR44" s="6" t="n"/>
      <c r="CS44" s="6" t="n"/>
      <c r="CT44" s="6" t="n"/>
      <c r="CU44" s="6" t="n"/>
      <c r="DD44" s="360" t="n"/>
      <c r="DE44" s="360" t="n"/>
      <c r="DI44" s="360" t="n"/>
      <c r="DR44" s="57" t="n"/>
      <c r="DT44" s="6" t="n"/>
      <c r="DU44" s="6" t="n"/>
      <c r="DV44" s="360" t="n"/>
      <c r="ED44" s="289" t="n"/>
      <c r="EF44" s="53" t="n"/>
      <c r="EG44" s="6" t="n"/>
      <c r="EK44" s="289" t="n"/>
      <c r="EO44" s="289" t="n"/>
      <c r="EQ44" s="289" t="n"/>
      <c r="FA44" s="53" t="n"/>
      <c r="FE44" s="53" t="n"/>
      <c r="FF44" s="53" t="n"/>
      <c r="FG44" s="53" t="n"/>
      <c r="FH44" s="53" t="n"/>
      <c r="FI44" s="53" t="n"/>
      <c r="FJ44" s="53" t="n"/>
      <c r="FK44" s="53" t="n"/>
      <c r="FL44" s="53" t="n"/>
      <c r="FM44" s="53" t="n"/>
      <c r="FN44" s="53" t="n"/>
      <c r="FO44" s="53" t="n"/>
      <c r="FP44" s="53" t="n"/>
      <c r="FQ44" s="53" t="n"/>
      <c r="FR44" s="53" t="n"/>
      <c r="FS44" s="53" t="n"/>
    </row>
    <row r="45" ht="18.75" customHeight="1">
      <c r="A45" s="33" t="inlineStr">
        <is>
          <t>CAIXA P NATAL/25</t>
        </is>
      </c>
      <c r="B45" s="9" t="n">
        <v>150</v>
      </c>
      <c r="C45" s="668" t="n">
        <v>805.35</v>
      </c>
      <c r="D45" s="342" t="n"/>
      <c r="BD45" s="9" t="n">
        <v>71</v>
      </c>
      <c r="BE45" s="9" t="n">
        <v>53</v>
      </c>
      <c r="BF45" s="9" t="n">
        <v>23</v>
      </c>
      <c r="BG45" s="9" t="n">
        <v>17</v>
      </c>
      <c r="BH45" s="9" t="n">
        <v>17</v>
      </c>
      <c r="BI45" s="9" t="n">
        <v>17</v>
      </c>
      <c r="BJ45" s="9" t="n">
        <v>17</v>
      </c>
      <c r="BK45" s="9" t="n">
        <v>20</v>
      </c>
      <c r="BL45" s="9" t="n">
        <v>20</v>
      </c>
      <c r="BM45" s="9" t="n">
        <v>20</v>
      </c>
      <c r="BN45" s="9" t="n">
        <v>20</v>
      </c>
      <c r="BO45" s="9" t="n">
        <v>19</v>
      </c>
      <c r="BP45" s="9" t="n">
        <v>19</v>
      </c>
      <c r="BQ45" s="9" t="n">
        <v>19</v>
      </c>
      <c r="BR45" s="9" t="n">
        <v>9</v>
      </c>
      <c r="BS45" s="9" t="n">
        <v>9</v>
      </c>
      <c r="BT45" s="9" t="n"/>
      <c r="BU45" s="9" t="n"/>
      <c r="BV45" s="9" t="n"/>
      <c r="BW45" s="9" t="n">
        <v>19</v>
      </c>
      <c r="BX45" s="9" t="n">
        <v>19</v>
      </c>
      <c r="BY45" s="9" t="n">
        <v>19</v>
      </c>
      <c r="BZ45" s="9" t="n">
        <v>19</v>
      </c>
      <c r="CA45" s="9" t="n">
        <v>19</v>
      </c>
      <c r="CB45" s="9" t="n">
        <v>19</v>
      </c>
      <c r="CC45" s="9" t="n">
        <v>19</v>
      </c>
      <c r="CD45" s="9" t="n">
        <v>19</v>
      </c>
      <c r="CE45" s="9" t="n">
        <v>19</v>
      </c>
      <c r="CF45" s="246">
        <f>CD45+IF(NOT(ISBLANK(OFFSET(CF45,0,6))),N(OFFSET(CF45,0,6)),N(OFFSET(CF45,0,7)))-CE45</f>
        <v/>
      </c>
      <c r="CG45" s="53" t="n"/>
      <c r="CK45" s="6" t="n"/>
      <c r="CL45" s="6" t="n"/>
      <c r="CM45" s="6" t="n"/>
      <c r="CN45" s="6" t="n"/>
      <c r="CP45" s="6" t="n"/>
      <c r="CQ45" s="6" t="n"/>
      <c r="CR45" s="6" t="n"/>
      <c r="CS45" s="6" t="n"/>
      <c r="CT45" s="6" t="n"/>
      <c r="CU45" s="6" t="n"/>
      <c r="CV45" s="57" t="n"/>
      <c r="CW45" s="57" t="n"/>
      <c r="CX45" s="57" t="n"/>
      <c r="CY45" s="57" t="n"/>
      <c r="CZ45" s="57" t="n"/>
      <c r="DA45" s="57" t="n"/>
      <c r="DB45" s="57" t="n"/>
      <c r="DC45" s="57" t="n"/>
      <c r="DD45" s="53" t="n"/>
      <c r="DE45" s="53" t="n"/>
      <c r="DF45" s="57" t="n"/>
      <c r="DG45" s="57" t="n"/>
      <c r="DH45" s="57" t="n"/>
      <c r="DI45" s="53" t="n"/>
      <c r="DJ45" s="57" t="n"/>
      <c r="DK45" s="57" t="n"/>
      <c r="DL45" s="57" t="n"/>
      <c r="DM45" s="57" t="n"/>
      <c r="DN45" s="57" t="n"/>
      <c r="DO45" s="57" t="n"/>
      <c r="DP45" s="57" t="n"/>
      <c r="DQ45" s="57" t="n"/>
      <c r="DR45" s="61" t="n"/>
      <c r="DS45" s="57" t="n"/>
      <c r="DT45" s="360" t="n"/>
      <c r="DU45" s="360" t="n"/>
      <c r="DV45" s="360" t="n"/>
      <c r="DW45" s="57" t="n"/>
      <c r="DX45" s="57" t="n"/>
      <c r="DY45" s="57" t="n"/>
      <c r="DZ45" s="57" t="n"/>
      <c r="EA45" s="57" t="n"/>
      <c r="EB45" s="57" t="n"/>
      <c r="EC45" s="57" t="n"/>
      <c r="ED45" s="289" t="n"/>
      <c r="EE45" s="57" t="n"/>
      <c r="EF45" s="53" t="n"/>
      <c r="EI45" s="57" t="n"/>
      <c r="EK45" s="289" t="n"/>
      <c r="EO45" s="289" t="n"/>
      <c r="EQ45" s="289" t="n"/>
      <c r="ES45" s="57" t="n"/>
      <c r="EU45" s="57" t="n"/>
      <c r="EW45" s="57" t="n"/>
      <c r="FA45" s="53" t="n"/>
    </row>
    <row r="46" ht="18.75" customHeight="1">
      <c r="A46" s="33" t="inlineStr">
        <is>
          <t>CAIXA M NATAL/25</t>
        </is>
      </c>
      <c r="B46" s="9" t="n">
        <v>100</v>
      </c>
      <c r="C46" s="668" t="n">
        <v>792.2</v>
      </c>
      <c r="D46" s="342" t="n"/>
      <c r="BD46" s="9" t="n">
        <v>50</v>
      </c>
      <c r="BE46" s="9" t="n">
        <v>31</v>
      </c>
      <c r="BF46" s="9" t="n">
        <v>-5</v>
      </c>
      <c r="BG46" s="9" t="n">
        <v>-10</v>
      </c>
      <c r="BH46" s="9" t="n">
        <v>-14</v>
      </c>
      <c r="BI46" s="9" t="n">
        <v>-20</v>
      </c>
      <c r="BJ46" s="9" t="n">
        <v>-27</v>
      </c>
      <c r="BK46" s="9" t="n">
        <v>24</v>
      </c>
      <c r="BL46" s="9" t="n">
        <v>21</v>
      </c>
      <c r="BM46" s="9" t="n">
        <v>21</v>
      </c>
      <c r="BN46" s="9" t="n">
        <v>21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/>
      <c r="BU46" s="9" t="n"/>
      <c r="BV46" s="9" t="n"/>
      <c r="BW46" s="9" t="n">
        <v>5</v>
      </c>
      <c r="BX46" s="9" t="n">
        <v>5</v>
      </c>
      <c r="BY46" s="9" t="n">
        <v>5</v>
      </c>
      <c r="BZ46" s="9" t="n">
        <v>5</v>
      </c>
      <c r="CA46" s="9" t="n">
        <v>5</v>
      </c>
      <c r="CB46" s="9" t="n">
        <v>5</v>
      </c>
      <c r="CC46" s="9" t="n">
        <v>5</v>
      </c>
      <c r="CD46" s="9" t="n">
        <v>5</v>
      </c>
      <c r="CE46" s="9" t="n">
        <v>5</v>
      </c>
      <c r="CF46" s="246">
        <f>CD46+IF(NOT(ISBLANK(OFFSET(CF46,0,6))),N(OFFSET(CF46,0,6)),N(OFFSET(CF46,0,7)))-CE46</f>
        <v/>
      </c>
      <c r="CG46" s="53" t="n"/>
      <c r="CK46" s="6" t="n"/>
      <c r="CL46" s="6" t="n"/>
      <c r="CM46" s="6" t="n"/>
      <c r="CN46" s="6" t="n"/>
      <c r="CP46" s="6" t="n"/>
      <c r="CQ46" s="6" t="n"/>
      <c r="CR46" s="6" t="n"/>
      <c r="CS46" s="6" t="n"/>
      <c r="CT46" s="6" t="n"/>
      <c r="CU46" s="6" t="n"/>
      <c r="CV46" s="57" t="n"/>
      <c r="CW46" s="57" t="n"/>
      <c r="CX46" s="57" t="n"/>
      <c r="CY46" s="57" t="n"/>
      <c r="CZ46" s="57" t="n"/>
      <c r="DA46" s="57" t="n"/>
      <c r="DB46" s="57" t="n"/>
      <c r="DC46" s="57" t="n"/>
      <c r="DD46" s="53" t="n"/>
      <c r="DE46" s="53" t="n"/>
      <c r="DF46" s="57" t="n"/>
      <c r="DG46" s="57" t="n"/>
      <c r="DH46" s="57" t="n"/>
      <c r="DI46" s="53" t="n"/>
      <c r="DJ46" s="57" t="n"/>
      <c r="DK46" s="57" t="n"/>
      <c r="DL46" s="57" t="n"/>
      <c r="DM46" s="57" t="n"/>
      <c r="DN46" s="57" t="n"/>
      <c r="DO46" s="57" t="n"/>
      <c r="DP46" s="57" t="n"/>
      <c r="DQ46" s="57" t="n"/>
      <c r="DR46" s="61" t="n"/>
      <c r="DS46" s="57" t="n"/>
      <c r="DT46" s="360" t="n"/>
      <c r="DU46" s="360" t="n"/>
      <c r="DV46" s="360" t="n"/>
      <c r="DW46" s="57" t="n"/>
      <c r="DX46" s="57" t="n"/>
      <c r="DY46" s="57" t="n"/>
      <c r="DZ46" s="57" t="n"/>
      <c r="EA46" s="57" t="n"/>
      <c r="EB46" s="57" t="n"/>
      <c r="EC46" s="57" t="n"/>
      <c r="ED46" s="289" t="n"/>
      <c r="EE46" s="57" t="n"/>
      <c r="EF46" s="53" t="n"/>
      <c r="EI46" s="57" t="n"/>
      <c r="EK46" s="289" t="n"/>
      <c r="EO46" s="289" t="n"/>
      <c r="EQ46" s="289" t="n"/>
      <c r="ES46" s="57" t="n"/>
      <c r="EU46" s="57" t="n"/>
      <c r="EW46" s="57" t="n"/>
      <c r="FA46" s="53" t="n"/>
    </row>
    <row r="47" ht="18.75" customHeight="1">
      <c r="A47" s="33" t="inlineStr">
        <is>
          <t>CAIXA G NATAL/25</t>
        </is>
      </c>
      <c r="B47" s="9" t="n">
        <v>50</v>
      </c>
      <c r="C47" s="668" t="n"/>
      <c r="D47" s="342" t="n"/>
      <c r="BD47" s="9" t="n">
        <v>8</v>
      </c>
      <c r="BE47" s="9" t="n">
        <v>8</v>
      </c>
      <c r="BF47" s="9" t="n">
        <v>8</v>
      </c>
      <c r="BG47" s="9" t="n">
        <v>8</v>
      </c>
      <c r="BH47" s="9" t="n">
        <v>8</v>
      </c>
      <c r="BI47" s="9" t="n">
        <v>8</v>
      </c>
      <c r="BJ47" s="9" t="n">
        <v>8</v>
      </c>
      <c r="BK47" s="9" t="n">
        <v>9</v>
      </c>
      <c r="BL47" s="9" t="n">
        <v>9</v>
      </c>
      <c r="BM47" s="9" t="n">
        <v>9</v>
      </c>
      <c r="BN47" s="9" t="n">
        <v>9</v>
      </c>
      <c r="BO47" s="9" t="n">
        <v>8</v>
      </c>
      <c r="BP47" s="9" t="n">
        <v>8</v>
      </c>
      <c r="BQ47" s="9" t="n">
        <v>8</v>
      </c>
      <c r="BR47" s="9" t="n">
        <v>1</v>
      </c>
      <c r="BS47" s="9" t="n">
        <v>1</v>
      </c>
      <c r="BT47" s="9" t="n"/>
      <c r="BU47" s="9" t="n"/>
      <c r="BV47" s="9" t="n"/>
      <c r="BW47" s="9" t="n">
        <v>9</v>
      </c>
      <c r="BX47" s="9" t="n">
        <v>9</v>
      </c>
      <c r="BY47" s="9" t="n">
        <v>9</v>
      </c>
      <c r="BZ47" s="9" t="n">
        <v>9</v>
      </c>
      <c r="CA47" s="9" t="n">
        <v>9</v>
      </c>
      <c r="CB47" s="9" t="n">
        <v>9</v>
      </c>
      <c r="CC47" s="9" t="n">
        <v>9</v>
      </c>
      <c r="CD47" s="9" t="n">
        <v>9</v>
      </c>
      <c r="CE47" s="9" t="n">
        <v>9</v>
      </c>
      <c r="CF47" s="246">
        <f>CD47+IF(NOT(ISBLANK(OFFSET(CF47,0,6))),N(OFFSET(CF47,0,6)),N(OFFSET(CF47,0,7)))-CE47</f>
        <v/>
      </c>
      <c r="CG47" s="53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57" t="n"/>
      <c r="CW47" s="57" t="n"/>
      <c r="CX47" s="57" t="n"/>
      <c r="CY47" s="57" t="n"/>
      <c r="CZ47" s="57" t="n"/>
      <c r="DA47" s="57" t="n"/>
      <c r="DB47" s="57" t="n"/>
      <c r="DC47" s="57" t="n"/>
      <c r="DD47" s="53" t="n"/>
      <c r="DE47" s="53" t="n"/>
      <c r="DF47" s="57" t="n"/>
      <c r="DG47" s="57" t="n"/>
      <c r="DH47" s="57" t="n"/>
      <c r="DI47" s="53" t="n"/>
      <c r="DJ47" s="57" t="n"/>
      <c r="DK47" s="57" t="n"/>
      <c r="DL47" s="57" t="n"/>
      <c r="DM47" s="57" t="n"/>
      <c r="DN47" s="57" t="n"/>
      <c r="DO47" s="57" t="n"/>
      <c r="DP47" s="57" t="n"/>
      <c r="DQ47" s="57" t="n"/>
      <c r="DR47" s="61" t="n"/>
      <c r="DS47" s="57" t="n"/>
      <c r="DT47" s="360" t="n"/>
      <c r="DU47" s="360" t="n"/>
      <c r="DV47" s="360" t="n"/>
      <c r="DW47" s="57" t="n"/>
      <c r="DX47" s="57" t="n"/>
      <c r="DY47" s="57" t="n"/>
      <c r="DZ47" s="57" t="n"/>
      <c r="EA47" s="57" t="n"/>
      <c r="EB47" s="57" t="n"/>
      <c r="EC47" s="57" t="n"/>
      <c r="ED47" s="289" t="n"/>
      <c r="EE47" s="57" t="n"/>
      <c r="EF47" s="53" t="n"/>
      <c r="EI47" s="57" t="n"/>
      <c r="EK47" s="289" t="n"/>
      <c r="EO47" s="289" t="n"/>
      <c r="EQ47" s="289" t="n"/>
      <c r="ES47" s="57" t="n"/>
      <c r="EU47" s="57" t="n"/>
      <c r="EW47" s="57" t="n"/>
      <c r="FA47" s="53" t="n"/>
    </row>
    <row r="48" hidden="1" ht="18.75" customHeight="1">
      <c r="A48" s="33" t="inlineStr">
        <is>
          <t>CARTUCHO P NATAL/25</t>
        </is>
      </c>
      <c r="B48" s="9" t="n">
        <v>200</v>
      </c>
      <c r="C48" s="668" t="n">
        <v>487.2</v>
      </c>
      <c r="D48" s="342" t="n"/>
      <c r="BD48" s="9" t="n">
        <v>37</v>
      </c>
      <c r="BE48" s="9" t="n">
        <v>-7</v>
      </c>
      <c r="BF48" s="9" t="n">
        <v>-13</v>
      </c>
      <c r="BG48" s="9" t="n">
        <v>-13</v>
      </c>
      <c r="BH48" s="9" t="n">
        <v>-13</v>
      </c>
      <c r="BI48" s="9" t="n">
        <v>-13</v>
      </c>
      <c r="BJ48" s="9" t="n">
        <v>-13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9" t="n"/>
      <c r="CD48" s="9" t="n"/>
      <c r="CE48" s="9" t="n"/>
      <c r="CF48" s="246">
        <f>CD48+IF(NOT(ISBLANK(OFFSET(CF48,0,6))),N(OFFSET(CF48,0,6)),N(OFFSET(CF48,0,7)))-CE48</f>
        <v/>
      </c>
      <c r="CG48" s="53" t="n"/>
      <c r="CK48" s="6" t="n"/>
      <c r="CL48" s="6" t="n"/>
      <c r="CM48" s="6" t="n"/>
      <c r="CN48" s="6" t="n"/>
      <c r="CP48" s="6" t="n"/>
      <c r="CQ48" s="6" t="n"/>
      <c r="CR48" s="6" t="n"/>
      <c r="CS48" s="6" t="n"/>
      <c r="CT48" s="6" t="n"/>
      <c r="CU48" s="6" t="n"/>
      <c r="CV48" s="57" t="n"/>
      <c r="CW48" s="57" t="n"/>
      <c r="CX48" s="57" t="n"/>
      <c r="CY48" s="57" t="n"/>
      <c r="CZ48" s="57" t="n"/>
      <c r="DA48" s="57" t="n"/>
      <c r="DB48" s="57" t="n"/>
      <c r="DC48" s="57" t="n"/>
      <c r="DD48" s="53" t="n"/>
      <c r="DE48" s="53" t="n"/>
      <c r="DF48" s="57" t="n"/>
      <c r="DG48" s="57" t="n"/>
      <c r="DH48" s="57" t="n"/>
      <c r="DI48" s="53" t="n"/>
      <c r="DJ48" s="57" t="n"/>
      <c r="DK48" s="57" t="n"/>
      <c r="DL48" s="57" t="n"/>
      <c r="DM48" s="57" t="n"/>
      <c r="DN48" s="57" t="n"/>
      <c r="DO48" s="57" t="n"/>
      <c r="DP48" s="57" t="n"/>
      <c r="DQ48" s="57" t="n"/>
      <c r="DR48" s="61" t="n"/>
      <c r="DS48" s="57" t="n"/>
      <c r="DT48" s="360" t="n"/>
      <c r="DU48" s="360" t="n"/>
      <c r="DV48" s="360" t="n"/>
      <c r="DW48" s="57" t="n"/>
      <c r="DX48" s="57" t="n"/>
      <c r="DY48" s="57" t="n"/>
      <c r="DZ48" s="57" t="n"/>
      <c r="EA48" s="57" t="n"/>
      <c r="EB48" s="57" t="n"/>
      <c r="EC48" s="57" t="n"/>
      <c r="ED48" s="289" t="n"/>
      <c r="EE48" s="57" t="n"/>
      <c r="EF48" s="53" t="n"/>
      <c r="EI48" s="57" t="n"/>
      <c r="EK48" s="289" t="n"/>
      <c r="EO48" s="289" t="n"/>
      <c r="EQ48" s="289" t="n"/>
      <c r="ES48" s="57" t="n"/>
      <c r="EU48" s="57" t="n"/>
      <c r="EW48" s="57" t="n"/>
      <c r="FA48" s="53" t="n"/>
    </row>
    <row r="49" hidden="1" ht="18.75" customHeight="1">
      <c r="A49" s="33" t="inlineStr">
        <is>
          <t>CARTUCHO M NATAL/25</t>
        </is>
      </c>
      <c r="B49" s="9" t="n">
        <v>150</v>
      </c>
      <c r="C49" s="668" t="n">
        <v>460.35</v>
      </c>
      <c r="D49" s="342" t="n"/>
      <c r="BD49" s="9" t="n">
        <v>89</v>
      </c>
      <c r="BE49" s="9" t="n">
        <v>51</v>
      </c>
      <c r="BF49" s="9" t="n">
        <v>-26</v>
      </c>
      <c r="BG49" s="9" t="n">
        <v>-27</v>
      </c>
      <c r="BH49" s="9" t="n">
        <v>-27</v>
      </c>
      <c r="BI49" s="9" t="n">
        <v>-27</v>
      </c>
      <c r="BJ49" s="9" t="n">
        <v>-27</v>
      </c>
      <c r="BK49" s="9" t="n">
        <v>1</v>
      </c>
      <c r="BL49" s="9" t="n">
        <v>0</v>
      </c>
      <c r="BM49" s="9" t="n">
        <v>0</v>
      </c>
      <c r="BN49" s="9" t="n">
        <v>0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9" t="n"/>
      <c r="CC49" s="9" t="n"/>
      <c r="CD49" s="9" t="n"/>
      <c r="CE49" s="9" t="n"/>
      <c r="CF49" s="246">
        <f>CD49+IF(NOT(ISBLANK(OFFSET(CF49,0,6))),N(OFFSET(CF49,0,6)),N(OFFSET(CF49,0,7)))-CE49</f>
        <v/>
      </c>
      <c r="CG49" s="53" t="n"/>
      <c r="CK49" s="6" t="n"/>
      <c r="CL49" s="6" t="n"/>
      <c r="CM49" s="6" t="n"/>
      <c r="CN49" s="6" t="n"/>
      <c r="CP49" s="6" t="n"/>
      <c r="CQ49" s="6" t="n"/>
      <c r="CR49" s="6" t="n"/>
      <c r="CS49" s="6" t="n"/>
      <c r="CT49" s="6" t="n"/>
      <c r="CU49" s="6" t="n"/>
      <c r="CV49" s="57" t="n"/>
      <c r="CW49" s="57" t="n"/>
      <c r="CX49" s="57" t="n"/>
      <c r="CY49" s="57" t="n"/>
      <c r="CZ49" s="57" t="n"/>
      <c r="DA49" s="57" t="n"/>
      <c r="DB49" s="57" t="n"/>
      <c r="DC49" s="57" t="n"/>
      <c r="DD49" s="53" t="n"/>
      <c r="DE49" s="53" t="n"/>
      <c r="DF49" s="57" t="n"/>
      <c r="DG49" s="57" t="n"/>
      <c r="DH49" s="57" t="n"/>
      <c r="DI49" s="53" t="n"/>
      <c r="DJ49" s="57" t="n"/>
      <c r="DK49" s="57" t="n"/>
      <c r="DL49" s="57" t="n"/>
      <c r="DM49" s="57" t="n"/>
      <c r="DN49" s="57" t="n"/>
      <c r="DO49" s="57" t="n"/>
      <c r="DP49" s="57" t="n"/>
      <c r="DQ49" s="57" t="n"/>
      <c r="DR49" s="61" t="n"/>
      <c r="DS49" s="57" t="n"/>
      <c r="DT49" s="360" t="n"/>
      <c r="DU49" s="360" t="n"/>
      <c r="DV49" s="360" t="n"/>
      <c r="DW49" s="57" t="n"/>
      <c r="DX49" s="57" t="n"/>
      <c r="DY49" s="57" t="n"/>
      <c r="DZ49" s="57" t="n"/>
      <c r="EA49" s="57" t="n"/>
      <c r="EB49" s="57" t="n"/>
      <c r="EC49" s="57" t="n"/>
      <c r="ED49" s="289" t="n"/>
      <c r="EE49" s="57" t="n"/>
      <c r="EF49" s="53" t="n"/>
      <c r="EI49" s="57" t="n"/>
      <c r="EK49" s="289" t="n"/>
      <c r="EO49" s="289" t="n"/>
      <c r="EQ49" s="289" t="n"/>
      <c r="ES49" s="57" t="n"/>
      <c r="EU49" s="57" t="n"/>
      <c r="EW49" s="57" t="n"/>
      <c r="FA49" s="53" t="n"/>
    </row>
    <row r="50" hidden="1" ht="18.75" customHeight="1">
      <c r="A50" s="33" t="inlineStr">
        <is>
          <t>PIN NATAL/25</t>
        </is>
      </c>
      <c r="B50" s="9" t="n">
        <v>10</v>
      </c>
      <c r="C50" s="668" t="n">
        <v>120</v>
      </c>
      <c r="D50" s="342" t="n"/>
      <c r="BD50" s="9" t="n"/>
      <c r="BE50" s="9" t="n"/>
      <c r="BF50" s="9" t="n"/>
      <c r="BG50" s="9" t="n"/>
      <c r="BH50" s="9" t="n">
        <v>0</v>
      </c>
      <c r="BI50" s="9" t="n">
        <v>0</v>
      </c>
      <c r="BJ50" s="9" t="n">
        <v>0</v>
      </c>
      <c r="BK50" s="9" t="n">
        <v>0</v>
      </c>
      <c r="BL50" s="9" t="n">
        <v>0</v>
      </c>
      <c r="BM50" s="9" t="n">
        <v>0</v>
      </c>
      <c r="BN50" s="9" t="n">
        <v>0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9" t="n"/>
      <c r="CC50" s="9" t="n"/>
      <c r="CD50" s="9" t="n"/>
      <c r="CE50" s="9" t="n"/>
      <c r="CF50" s="246">
        <f>CD50+IF(NOT(ISBLANK(OFFSET(CF50,0,6))),N(OFFSET(CF50,0,6)),N(OFFSET(CF50,0,7)))-CE50</f>
        <v/>
      </c>
      <c r="CG50" s="53" t="n"/>
      <c r="CK50" s="6" t="n"/>
      <c r="CL50" s="6" t="n"/>
      <c r="CM50" s="6" t="n"/>
      <c r="CN50" s="6" t="n"/>
      <c r="CP50" s="6" t="n"/>
      <c r="CQ50" s="6" t="n"/>
      <c r="CR50" s="6" t="n"/>
      <c r="CS50" s="6" t="n"/>
      <c r="CT50" s="6" t="n"/>
      <c r="CU50" s="6" t="n"/>
      <c r="CV50" s="57" t="n"/>
      <c r="CW50" s="57" t="n"/>
      <c r="CX50" s="57" t="n"/>
      <c r="CY50" s="57" t="n"/>
      <c r="CZ50" s="57" t="n"/>
      <c r="DA50" s="57" t="n"/>
      <c r="DB50" s="57" t="n"/>
      <c r="DC50" s="57" t="n"/>
      <c r="DD50" s="53" t="n"/>
      <c r="DE50" s="53" t="n"/>
      <c r="DF50" s="57" t="n"/>
      <c r="DG50" s="57" t="n"/>
      <c r="DH50" s="57" t="n"/>
      <c r="DI50" s="53" t="n"/>
      <c r="DJ50" s="57" t="n"/>
      <c r="DK50" s="57" t="n"/>
      <c r="DL50" s="57" t="n"/>
      <c r="DM50" s="57" t="n"/>
      <c r="DN50" s="57" t="n"/>
      <c r="DO50" s="57" t="n"/>
      <c r="DP50" s="57" t="n"/>
      <c r="DQ50" s="57" t="n"/>
      <c r="DR50" s="61" t="n"/>
      <c r="DS50" s="57" t="n"/>
      <c r="DT50" s="360" t="n"/>
      <c r="DU50" s="360" t="n"/>
      <c r="DV50" s="360" t="n"/>
      <c r="DW50" s="57" t="n"/>
      <c r="DX50" s="57" t="n"/>
      <c r="DY50" s="57" t="n"/>
      <c r="DZ50" s="57" t="n"/>
      <c r="EA50" s="57" t="n"/>
      <c r="EB50" s="57" t="n"/>
      <c r="EC50" s="57" t="n"/>
      <c r="ED50" s="289" t="n"/>
      <c r="EE50" s="57" t="n"/>
      <c r="EF50" s="53" t="n"/>
      <c r="EI50" s="57" t="n"/>
      <c r="EK50" s="289" t="n"/>
      <c r="EO50" s="289" t="n"/>
      <c r="EQ50" s="289" t="n"/>
      <c r="ES50" s="57" t="n"/>
      <c r="EU50" s="57" t="n"/>
      <c r="EW50" s="57" t="n"/>
      <c r="FA50" s="53" t="n"/>
    </row>
    <row r="51" ht="18.75" customHeight="1">
      <c r="CG51" s="53" t="n"/>
      <c r="CK51" s="6" t="n"/>
      <c r="CL51" s="6" t="n"/>
      <c r="CM51" s="6" t="n"/>
      <c r="CN51" s="6" t="n"/>
      <c r="CP51" s="6" t="n"/>
      <c r="CQ51" s="6" t="n"/>
      <c r="CR51" s="6" t="n"/>
      <c r="CS51" s="6" t="n"/>
      <c r="CT51" s="6" t="n"/>
      <c r="CU51" s="6" t="n"/>
      <c r="CV51" s="57" t="n"/>
      <c r="CW51" s="57" t="n"/>
      <c r="CX51" s="57" t="n"/>
      <c r="CY51" s="57" t="n"/>
      <c r="CZ51" s="57" t="n"/>
      <c r="DA51" s="57" t="n"/>
      <c r="DB51" s="57" t="n"/>
      <c r="DC51" s="57" t="n"/>
      <c r="DD51" s="53" t="n"/>
      <c r="DE51" s="53" t="n"/>
      <c r="DF51" s="57" t="n"/>
      <c r="DG51" s="57" t="n"/>
      <c r="DH51" s="57" t="n"/>
      <c r="DI51" s="53" t="n"/>
      <c r="DJ51" s="57" t="n"/>
      <c r="DK51" s="57" t="n"/>
      <c r="DL51" s="57" t="n"/>
      <c r="DM51" s="57" t="n"/>
      <c r="DN51" s="57" t="n"/>
      <c r="DO51" s="57" t="n"/>
      <c r="DP51" s="57" t="n"/>
      <c r="DQ51" s="57" t="n"/>
      <c r="DR51" s="61" t="n"/>
      <c r="DS51" s="57" t="n"/>
      <c r="DT51" s="360" t="n"/>
      <c r="DU51" s="360" t="n"/>
      <c r="DV51" s="360" t="n"/>
      <c r="DW51" s="57" t="n"/>
      <c r="DX51" s="57" t="n"/>
      <c r="DY51" s="57" t="n"/>
      <c r="DZ51" s="57" t="n"/>
      <c r="EA51" s="57" t="n"/>
      <c r="EB51" s="57" t="n"/>
      <c r="EC51" s="57" t="n"/>
      <c r="ED51" s="289" t="n"/>
      <c r="EE51" s="57" t="n"/>
      <c r="EF51" s="53" t="n"/>
      <c r="EI51" s="57" t="n"/>
      <c r="EK51" s="289" t="n"/>
      <c r="EO51" s="289" t="n"/>
      <c r="EQ51" s="289" t="n"/>
      <c r="ES51" s="57" t="n"/>
      <c r="EU51" s="57" t="n"/>
      <c r="EW51" s="57" t="n"/>
      <c r="FA51" s="53" t="n"/>
    </row>
    <row r="52" ht="21" customHeight="1">
      <c r="A52" s="320" t="inlineStr">
        <is>
          <t>SOBRAS DATAS COMEMORATIVAS</t>
        </is>
      </c>
      <c r="B52" s="320" t="n"/>
      <c r="C52" s="320" t="n"/>
      <c r="E52" s="53" t="n"/>
      <c r="F52" s="513" t="n"/>
      <c r="CA52" s="513" t="n"/>
      <c r="CB52" s="513" t="n"/>
      <c r="CC52" s="513" t="n"/>
      <c r="CD52" s="513" t="n"/>
      <c r="CE52" s="513" t="n"/>
      <c r="CF52" s="513" t="n"/>
      <c r="CP52" s="6" t="n"/>
      <c r="CR52" s="6" t="n"/>
      <c r="CT52" s="6" t="n"/>
      <c r="CU52" s="6" t="n"/>
      <c r="CV52" s="61" t="n"/>
      <c r="CW52" s="61" t="n"/>
      <c r="CX52" s="61" t="n"/>
      <c r="CY52" s="61" t="n"/>
      <c r="CZ52" s="61" t="n"/>
      <c r="DA52" s="61" t="n"/>
      <c r="DB52" s="61" t="n"/>
      <c r="DC52" s="61" t="n"/>
      <c r="DD52" s="53" t="n"/>
      <c r="DE52" s="53" t="n"/>
      <c r="DF52" s="61" t="n"/>
      <c r="DG52" s="61" t="n"/>
      <c r="DH52" s="61" t="n"/>
      <c r="DI52" s="53" t="n"/>
      <c r="DJ52" s="61" t="n"/>
      <c r="DK52" s="61" t="n"/>
      <c r="DL52" s="61" t="n"/>
      <c r="DM52" s="61" t="n"/>
      <c r="DN52" s="61" t="n"/>
      <c r="DO52" s="61" t="n"/>
      <c r="DP52" s="61" t="n"/>
      <c r="DQ52" s="61" t="n"/>
      <c r="DR52" s="61" t="n"/>
      <c r="DS52" s="61" t="n"/>
      <c r="DT52" s="360" t="n"/>
      <c r="DU52" s="360" t="n"/>
      <c r="DV52" s="53" t="n"/>
      <c r="DW52" s="61" t="n"/>
      <c r="DX52" s="61" t="n"/>
      <c r="DY52" s="61" t="n"/>
      <c r="DZ52" s="61" t="n"/>
      <c r="EA52" s="61" t="n"/>
      <c r="EB52" s="61" t="n"/>
      <c r="EC52" s="61" t="n"/>
      <c r="ED52" s="289" t="n"/>
      <c r="EE52" s="61" t="n"/>
      <c r="EF52" s="6" t="n"/>
      <c r="EI52" s="61" t="n"/>
      <c r="EK52" s="289" t="n"/>
      <c r="EO52" s="289" t="n"/>
      <c r="EQ52" s="289" t="n"/>
      <c r="ES52" s="61" t="n"/>
      <c r="EU52" s="61" t="n"/>
      <c r="EW52" s="61" t="n"/>
      <c r="FA52" s="6" t="n"/>
      <c r="GA52" s="49" t="n"/>
      <c r="GH52" s="57" t="n"/>
      <c r="GS52" s="57" t="n"/>
      <c r="GT52" s="166" t="n"/>
      <c r="GU52" s="60" t="n"/>
      <c r="GV52" s="167" t="n"/>
      <c r="GW52" s="167" t="n"/>
      <c r="GX52" s="167" t="n"/>
      <c r="GY52" s="167" t="n"/>
      <c r="GZ52" s="167" t="n"/>
      <c r="HA52" s="167" t="n"/>
      <c r="HB52" s="167" t="n"/>
      <c r="HC52" s="167" t="n"/>
      <c r="HD52" s="168" t="n"/>
      <c r="HE52" s="167" t="n"/>
      <c r="HF52" s="167" t="n"/>
      <c r="HG52" s="167" t="n"/>
      <c r="HH52" s="167" t="n"/>
      <c r="HI52" s="167" t="n"/>
      <c r="HJ52" s="167" t="n"/>
      <c r="HK52" s="167" t="n"/>
      <c r="HL52" s="167" t="n"/>
      <c r="HM52" s="167" t="n"/>
      <c r="HN52" s="167" t="n"/>
      <c r="HO52" s="167" t="n"/>
      <c r="HP52" s="167" t="n"/>
      <c r="HQ52" s="167" t="n"/>
      <c r="HR52" s="167" t="n"/>
      <c r="HS52" s="167" t="n"/>
      <c r="HT52" s="167" t="n"/>
      <c r="HU52" s="167" t="n"/>
      <c r="HV52" s="167" t="n"/>
      <c r="HW52" s="167" t="n"/>
      <c r="HX52" s="167" t="n"/>
      <c r="HY52" s="167" t="n"/>
      <c r="HZ52" s="167" t="n"/>
      <c r="IA52" s="167" t="n"/>
      <c r="IB52" s="167" t="n"/>
      <c r="IC52" s="167" t="n"/>
      <c r="ID52" s="167" t="n"/>
      <c r="IE52" s="167" t="n"/>
      <c r="IF52" s="167" t="n"/>
      <c r="IG52" s="167" t="n"/>
      <c r="IH52" s="167" t="n"/>
      <c r="II52" s="167" t="n"/>
      <c r="IJ52" s="167" t="n"/>
      <c r="IK52" s="167" t="n"/>
      <c r="IL52" s="167" t="n"/>
      <c r="IM52" s="167" t="n"/>
      <c r="IN52" s="167" t="n"/>
      <c r="IO52" s="167" t="n"/>
      <c r="IP52" s="167" t="n"/>
      <c r="IQ52" s="167" t="n"/>
      <c r="IR52" s="167" t="n"/>
      <c r="IS52" s="167" t="n"/>
      <c r="IT52" s="167" t="n"/>
      <c r="IU52" s="167" t="n"/>
      <c r="IV52" s="167" t="n"/>
      <c r="IW52" s="167" t="n"/>
      <c r="IX52" s="167" t="n"/>
      <c r="IY52" s="167" t="n"/>
      <c r="IZ52" s="167" t="n"/>
      <c r="JA52" s="167" t="n"/>
      <c r="JB52" s="167" t="n"/>
      <c r="JC52" s="167" t="n"/>
      <c r="JD52" s="167" t="n"/>
      <c r="JE52" s="167" t="n"/>
      <c r="JF52" s="167" t="n"/>
      <c r="JG52" s="167" t="n"/>
      <c r="JH52" s="167" t="n"/>
      <c r="JI52" s="167" t="n"/>
      <c r="JJ52" s="167" t="n"/>
      <c r="JK52" s="167" t="n"/>
      <c r="JL52" s="167" t="n"/>
      <c r="JM52" s="167" t="n"/>
      <c r="JN52" s="167" t="n"/>
      <c r="JO52" s="167" t="n"/>
      <c r="JP52" s="167" t="n"/>
      <c r="JQ52" s="167" t="n"/>
      <c r="JR52" s="167" t="n"/>
      <c r="JS52" s="167" t="n"/>
      <c r="JT52" s="167" t="n"/>
      <c r="JU52" s="167" t="n"/>
      <c r="JV52" s="167" t="n"/>
      <c r="JW52" s="167" t="n"/>
    </row>
    <row r="53">
      <c r="A53" s="146" t="inlineStr">
        <is>
          <t>ITENS</t>
        </is>
      </c>
      <c r="B53" s="146" t="n"/>
      <c r="C53" s="146" t="inlineStr">
        <is>
          <t>ESTOQUE</t>
        </is>
      </c>
      <c r="E53" s="53" t="n"/>
      <c r="CA53" s="513" t="n"/>
      <c r="CB53" s="513" t="n"/>
      <c r="CC53" s="513" t="n"/>
      <c r="CD53" s="513" t="n"/>
      <c r="CE53" s="513" t="n"/>
      <c r="CF53" s="513" t="n"/>
      <c r="CK53" s="6" t="n"/>
      <c r="CL53" s="6" t="n"/>
      <c r="CM53" s="6" t="n"/>
      <c r="CN53" s="6" t="n"/>
      <c r="CP53" s="6" t="n"/>
      <c r="CQ53" s="6" t="n"/>
      <c r="CR53" s="6" t="n"/>
      <c r="CS53" s="6" t="n"/>
      <c r="CT53" s="6" t="n"/>
      <c r="CU53" s="6" t="n"/>
      <c r="CV53" s="61" t="n"/>
      <c r="CW53" s="61" t="n"/>
      <c r="CX53" s="61" t="n"/>
      <c r="CY53" s="61" t="n"/>
      <c r="CZ53" s="61" t="n"/>
      <c r="DA53" s="61" t="n"/>
      <c r="DB53" s="61" t="n"/>
      <c r="DC53" s="61" t="n"/>
      <c r="DD53" s="53" t="n"/>
      <c r="DE53" s="53" t="n"/>
      <c r="DF53" s="61" t="n"/>
      <c r="DG53" s="61" t="n"/>
      <c r="DH53" s="61" t="n"/>
      <c r="DI53" s="53" t="n"/>
      <c r="DJ53" s="61" t="n"/>
      <c r="DK53" s="61" t="n"/>
      <c r="DL53" s="61" t="n"/>
      <c r="DM53" s="61" t="n"/>
      <c r="DN53" s="61" t="n"/>
      <c r="DO53" s="61" t="n"/>
      <c r="DP53" s="61" t="n"/>
      <c r="DQ53" s="61" t="n"/>
      <c r="DS53" s="61" t="n"/>
      <c r="DT53" s="53" t="n"/>
      <c r="DU53" s="53" t="n"/>
      <c r="DV53" s="53" t="n"/>
      <c r="DW53" s="61" t="n"/>
      <c r="DX53" s="61" t="n"/>
      <c r="DY53" s="61" t="n"/>
      <c r="DZ53" s="61" t="n"/>
      <c r="EA53" s="61" t="n"/>
      <c r="EB53" s="61" t="n"/>
      <c r="EC53" s="61" t="n"/>
      <c r="ED53" s="289" t="n"/>
      <c r="EE53" s="61" t="n"/>
      <c r="EF53" s="6" t="n"/>
      <c r="EI53" s="61" t="n"/>
      <c r="EK53" s="289" t="n"/>
      <c r="EO53" s="289" t="n"/>
      <c r="EQ53" s="289" t="n"/>
      <c r="ES53" s="61" t="n"/>
      <c r="EU53" s="61" t="n"/>
      <c r="EW53" s="61" t="n"/>
      <c r="FA53" s="6" t="n"/>
      <c r="GA53" s="49" t="n"/>
      <c r="GH53" s="61" t="n"/>
      <c r="GS53" s="57" t="n"/>
      <c r="GT53" s="166" t="n"/>
      <c r="GU53" s="60" t="n"/>
      <c r="GV53" s="167" t="n"/>
      <c r="GW53" s="167" t="n"/>
      <c r="GX53" s="167" t="n"/>
      <c r="GY53" s="167" t="n"/>
      <c r="GZ53" s="167" t="n"/>
      <c r="HA53" s="167" t="n"/>
      <c r="HB53" s="167" t="n"/>
      <c r="HC53" s="167" t="n"/>
      <c r="HD53" s="168" t="n"/>
      <c r="HE53" s="167" t="n"/>
      <c r="HF53" s="167" t="n"/>
      <c r="HG53" s="167" t="n"/>
      <c r="HH53" s="167" t="n"/>
      <c r="HI53" s="167" t="n"/>
      <c r="HJ53" s="167" t="n"/>
      <c r="HK53" s="167" t="n"/>
      <c r="HL53" s="167" t="n"/>
      <c r="HM53" s="167" t="n"/>
      <c r="HN53" s="167" t="n"/>
      <c r="HO53" s="167" t="n"/>
      <c r="HP53" s="167" t="n"/>
      <c r="HQ53" s="167" t="n"/>
      <c r="HR53" s="167" t="n"/>
      <c r="HS53" s="167" t="n"/>
      <c r="HT53" s="167" t="n"/>
      <c r="HU53" s="167" t="n"/>
      <c r="HV53" s="167" t="n"/>
      <c r="HW53" s="167" t="n"/>
      <c r="HX53" s="167" t="n"/>
      <c r="HY53" s="167" t="n"/>
      <c r="HZ53" s="167" t="n"/>
      <c r="IA53" s="167" t="n"/>
      <c r="IB53" s="167" t="n"/>
      <c r="IC53" s="167" t="n"/>
      <c r="ID53" s="167" t="n"/>
      <c r="IE53" s="167" t="n"/>
      <c r="IF53" s="167" t="n"/>
      <c r="IG53" s="167" t="n"/>
      <c r="IH53" s="167" t="n"/>
      <c r="II53" s="167" t="n"/>
      <c r="IJ53" s="167" t="n"/>
      <c r="IK53" s="167" t="n"/>
      <c r="IL53" s="167" t="n"/>
      <c r="IM53" s="167" t="n"/>
      <c r="IN53" s="167" t="n"/>
      <c r="IO53" s="167" t="n"/>
      <c r="IP53" s="167" t="n"/>
      <c r="IQ53" s="167" t="n"/>
      <c r="IR53" s="167" t="n"/>
      <c r="IS53" s="167" t="n"/>
      <c r="IT53" s="167" t="n"/>
      <c r="IU53" s="167" t="n"/>
      <c r="IV53" s="167" t="n"/>
      <c r="IW53" s="167" t="n"/>
      <c r="IX53" s="167" t="n"/>
      <c r="IY53" s="167" t="n"/>
      <c r="IZ53" s="167" t="n"/>
      <c r="JA53" s="167" t="n"/>
      <c r="JB53" s="167" t="n"/>
      <c r="JC53" s="167" t="n"/>
      <c r="JD53" s="167" t="n"/>
      <c r="JE53" s="167" t="n"/>
      <c r="JF53" s="167" t="n"/>
      <c r="JG53" s="167" t="n"/>
      <c r="JH53" s="167" t="n"/>
      <c r="JI53" s="167" t="n"/>
      <c r="JJ53" s="167" t="n"/>
      <c r="JK53" s="167" t="n"/>
      <c r="JL53" s="167" t="n"/>
      <c r="JM53" s="167" t="n"/>
      <c r="JN53" s="167" t="n"/>
      <c r="JO53" s="167" t="n"/>
      <c r="JP53" s="167" t="n"/>
      <c r="JQ53" s="167" t="n"/>
      <c r="JR53" s="167" t="n"/>
      <c r="JS53" s="167" t="n"/>
      <c r="JT53" s="167" t="n"/>
      <c r="JU53" s="167" t="n"/>
      <c r="JV53" s="167" t="n"/>
      <c r="JW53" s="167" t="n"/>
    </row>
    <row r="54">
      <c r="A54" s="163" t="n"/>
      <c r="B54" s="164" t="n"/>
      <c r="C54" s="165" t="n"/>
      <c r="CA54" s="513" t="n"/>
      <c r="CB54" s="513" t="n"/>
      <c r="CC54" s="513" t="n"/>
      <c r="CD54" s="513" t="n"/>
      <c r="CE54" s="513" t="n"/>
      <c r="CF54" s="513" t="n"/>
      <c r="CP54" s="6" t="n"/>
      <c r="CR54" s="6" t="n"/>
      <c r="CT54" s="6" t="n"/>
      <c r="CU54" s="6" t="n"/>
      <c r="DD54" s="53" t="n"/>
      <c r="DE54" s="53" t="n"/>
      <c r="DI54" s="53" t="n"/>
      <c r="DT54" s="53" t="n"/>
      <c r="DU54" s="53" t="n"/>
      <c r="DV54" s="53" t="n"/>
      <c r="ED54" s="289" t="n"/>
      <c r="EF54" s="58" t="n"/>
      <c r="EK54" s="289" t="n"/>
      <c r="EL54" s="57" t="n"/>
      <c r="EM54" s="57" t="n"/>
      <c r="EN54" s="57" t="n"/>
      <c r="EO54" s="289" t="n"/>
      <c r="EP54" s="57" t="n"/>
      <c r="EQ54" s="289" t="n"/>
      <c r="ER54" s="57" t="n"/>
      <c r="ET54" s="57" t="n"/>
      <c r="EV54" s="57" t="n"/>
      <c r="EX54" s="57" t="n"/>
      <c r="EY54" s="57" t="n"/>
      <c r="EZ54" s="57" t="n"/>
      <c r="FA54" s="58" t="n"/>
      <c r="FB54" s="57" t="n"/>
      <c r="FC54" s="57" t="n"/>
      <c r="GA54" s="49" t="n"/>
      <c r="GH54" s="61" t="n"/>
      <c r="GS54" s="57" t="n"/>
      <c r="GT54" s="166" t="n"/>
      <c r="GU54" s="60" t="n"/>
      <c r="GV54" s="167" t="n"/>
      <c r="GW54" s="167" t="n"/>
      <c r="GX54" s="167" t="n"/>
      <c r="GY54" s="167" t="n"/>
      <c r="GZ54" s="167" t="n"/>
      <c r="HA54" s="167" t="n"/>
      <c r="HB54" s="167" t="n"/>
      <c r="HC54" s="167" t="n"/>
      <c r="HD54" s="168" t="n"/>
      <c r="HE54" s="167" t="n"/>
      <c r="HF54" s="167" t="n"/>
      <c r="HG54" s="167" t="n"/>
      <c r="HH54" s="167" t="n"/>
      <c r="HI54" s="167" t="n"/>
      <c r="HJ54" s="167" t="n"/>
      <c r="HK54" s="167" t="n"/>
      <c r="HL54" s="167" t="n"/>
      <c r="HM54" s="167" t="n"/>
      <c r="HN54" s="167" t="n"/>
      <c r="HO54" s="167" t="n"/>
      <c r="HP54" s="167" t="n"/>
      <c r="HQ54" s="167" t="n"/>
      <c r="HR54" s="167" t="n"/>
      <c r="HS54" s="167" t="n"/>
      <c r="HT54" s="167" t="n"/>
      <c r="HU54" s="167" t="n"/>
      <c r="HV54" s="167" t="n"/>
      <c r="HW54" s="167" t="n"/>
      <c r="HX54" s="167" t="n"/>
      <c r="HY54" s="167" t="n"/>
      <c r="HZ54" s="167" t="n"/>
      <c r="IA54" s="167" t="n"/>
      <c r="IB54" s="167" t="n"/>
      <c r="IC54" s="167" t="n"/>
      <c r="ID54" s="167" t="n"/>
      <c r="IE54" s="167" t="n"/>
      <c r="IF54" s="167" t="n"/>
      <c r="IG54" s="167" t="n"/>
      <c r="IH54" s="167" t="n"/>
      <c r="II54" s="167" t="n"/>
      <c r="IJ54" s="167" t="n"/>
      <c r="IK54" s="167" t="n"/>
      <c r="IL54" s="167" t="n"/>
      <c r="IM54" s="167" t="n"/>
      <c r="IN54" s="167" t="n"/>
      <c r="IO54" s="167" t="n"/>
      <c r="IP54" s="167" t="n"/>
      <c r="IQ54" s="167" t="n"/>
      <c r="IR54" s="167" t="n"/>
      <c r="IS54" s="167" t="n"/>
      <c r="IT54" s="167" t="n"/>
      <c r="IU54" s="167" t="n"/>
      <c r="IV54" s="167" t="n"/>
      <c r="IW54" s="167" t="n"/>
      <c r="IX54" s="167" t="n"/>
      <c r="IY54" s="167" t="n"/>
      <c r="IZ54" s="167" t="n"/>
      <c r="JA54" s="167" t="n"/>
      <c r="JB54" s="167" t="n"/>
      <c r="JC54" s="167" t="n"/>
      <c r="JD54" s="167" t="n"/>
      <c r="JE54" s="167" t="n"/>
      <c r="JF54" s="167" t="n"/>
      <c r="JG54" s="167" t="n"/>
      <c r="JH54" s="167" t="n"/>
      <c r="JI54" s="167" t="n"/>
      <c r="JJ54" s="167" t="n"/>
      <c r="JK54" s="167" t="n"/>
      <c r="JL54" s="167" t="n"/>
      <c r="JM54" s="167" t="n"/>
      <c r="JN54" s="167" t="n"/>
      <c r="JO54" s="167" t="n"/>
      <c r="JP54" s="167" t="n"/>
      <c r="JQ54" s="167" t="n"/>
      <c r="JR54" s="167" t="n"/>
      <c r="JS54" s="167" t="n"/>
      <c r="JT54" s="167" t="n"/>
      <c r="JU54" s="167" t="n"/>
      <c r="JV54" s="167" t="n"/>
      <c r="JW54" s="167" t="n"/>
    </row>
    <row r="55">
      <c r="A55" s="169" t="n"/>
      <c r="B55" s="170" t="n"/>
      <c r="C55" s="171" t="n"/>
      <c r="CA55" s="513" t="n"/>
      <c r="CB55" s="513" t="n"/>
      <c r="CC55" s="513" t="n"/>
      <c r="CD55" s="513" t="n"/>
      <c r="CE55" s="513" t="n"/>
      <c r="CF55" s="513" t="n"/>
      <c r="DD55" s="53" t="n"/>
      <c r="DE55" s="53" t="n"/>
      <c r="DI55" s="53" t="n"/>
      <c r="DT55" s="53" t="n"/>
      <c r="DU55" s="53" t="n"/>
      <c r="DV55" s="53" t="n"/>
      <c r="ED55" s="289" t="n"/>
      <c r="EF55" s="58" t="n"/>
      <c r="EK55" s="289" t="n"/>
      <c r="EL55" s="61" t="n"/>
      <c r="EM55" s="61" t="n"/>
      <c r="EN55" s="61" t="n"/>
      <c r="EO55" s="289" t="n"/>
      <c r="EP55" s="61" t="n"/>
      <c r="EQ55" s="289" t="n"/>
      <c r="ER55" s="61" t="n"/>
      <c r="ET55" s="61" t="n"/>
      <c r="EV55" s="61" t="n"/>
      <c r="EX55" s="61" t="n"/>
      <c r="EY55" s="61" t="n"/>
      <c r="EZ55" s="61" t="n"/>
      <c r="FA55" s="58" t="n"/>
      <c r="FB55" s="61" t="n"/>
      <c r="FC55" s="61" t="n"/>
      <c r="GA55" s="49" t="n"/>
      <c r="GH55" s="61" t="n"/>
      <c r="GS55" s="57" t="n"/>
      <c r="GT55" s="166" t="n"/>
      <c r="GU55" s="60" t="n"/>
      <c r="GV55" s="167" t="n"/>
      <c r="GW55" s="167" t="n"/>
      <c r="GX55" s="167" t="n"/>
      <c r="GY55" s="167" t="n"/>
      <c r="GZ55" s="167" t="n"/>
      <c r="HA55" s="167" t="n"/>
      <c r="HB55" s="167" t="n"/>
      <c r="HC55" s="167" t="n"/>
      <c r="HD55" s="168" t="n"/>
      <c r="HE55" s="167" t="n"/>
      <c r="HF55" s="167" t="n"/>
      <c r="HG55" s="167" t="n"/>
      <c r="HH55" s="167" t="n"/>
      <c r="HI55" s="167" t="n"/>
      <c r="HJ55" s="167" t="n"/>
      <c r="HK55" s="167" t="n"/>
      <c r="HL55" s="167" t="n"/>
      <c r="HM55" s="167" t="n"/>
      <c r="HN55" s="167" t="n"/>
      <c r="HO55" s="167" t="n"/>
      <c r="HP55" s="167" t="n"/>
      <c r="HQ55" s="167" t="n"/>
      <c r="HR55" s="167" t="n"/>
      <c r="HS55" s="167" t="n"/>
      <c r="HT55" s="167" t="n"/>
      <c r="HU55" s="167" t="n"/>
      <c r="HV55" s="167" t="n"/>
      <c r="HW55" s="167" t="n"/>
      <c r="HX55" s="167" t="n"/>
      <c r="HY55" s="167" t="n"/>
      <c r="HZ55" s="167" t="n"/>
      <c r="IA55" s="167" t="n"/>
      <c r="IB55" s="167" t="n"/>
      <c r="IC55" s="167" t="n"/>
      <c r="ID55" s="167" t="n"/>
      <c r="IE55" s="167" t="n"/>
      <c r="IF55" s="167" t="n"/>
      <c r="IG55" s="167" t="n"/>
      <c r="IH55" s="167" t="n"/>
      <c r="II55" s="167" t="n"/>
      <c r="IJ55" s="167" t="n"/>
      <c r="IK55" s="167" t="n"/>
      <c r="IL55" s="167" t="n"/>
      <c r="IM55" s="167" t="n"/>
      <c r="IN55" s="167" t="n"/>
      <c r="IO55" s="167" t="n"/>
      <c r="IP55" s="167" t="n"/>
      <c r="IQ55" s="167" t="n"/>
      <c r="IR55" s="167" t="n"/>
      <c r="IS55" s="167" t="n"/>
      <c r="IT55" s="167" t="n"/>
      <c r="IU55" s="167" t="n"/>
      <c r="IV55" s="167" t="n"/>
      <c r="IW55" s="167" t="n"/>
      <c r="IX55" s="167" t="n"/>
      <c r="IY55" s="167" t="n"/>
      <c r="IZ55" s="167" t="n"/>
      <c r="JA55" s="167" t="n"/>
      <c r="JB55" s="167" t="n"/>
      <c r="JC55" s="167" t="n"/>
      <c r="JD55" s="167" t="n"/>
      <c r="JE55" s="167" t="n"/>
      <c r="JF55" s="167" t="n"/>
      <c r="JG55" s="167" t="n"/>
      <c r="JH55" s="167" t="n"/>
      <c r="JI55" s="167" t="n"/>
      <c r="JJ55" s="167" t="n"/>
      <c r="JK55" s="167" t="n"/>
      <c r="JL55" s="167" t="n"/>
      <c r="JM55" s="167" t="n"/>
      <c r="JN55" s="167" t="n"/>
      <c r="JO55" s="167" t="n"/>
      <c r="JP55" s="167" t="n"/>
      <c r="JQ55" s="167" t="n"/>
      <c r="JR55" s="167" t="n"/>
      <c r="JS55" s="167" t="n"/>
      <c r="JT55" s="167" t="n"/>
      <c r="JU55" s="167" t="n"/>
      <c r="JV55" s="167" t="n"/>
      <c r="JW55" s="167" t="n"/>
    </row>
    <row r="56" customFormat="1" s="49">
      <c r="A56" s="338" t="n"/>
      <c r="B56" s="339" t="n"/>
      <c r="C56" s="339" t="n"/>
      <c r="CA56" s="513" t="n"/>
      <c r="CB56" s="513" t="n"/>
      <c r="CC56" s="513" t="n"/>
      <c r="CD56" s="513" t="n"/>
      <c r="CE56" s="513" t="n"/>
      <c r="CF56" s="513" t="n"/>
      <c r="CG56" s="53" t="n"/>
      <c r="CK56" s="53" t="n"/>
      <c r="CO56" s="51" t="n"/>
      <c r="CP56" s="6" t="n"/>
      <c r="CR56" s="6" t="n"/>
      <c r="CT56" s="6" t="n"/>
      <c r="CU56" s="6" t="n"/>
      <c r="DD56" s="6" t="n"/>
      <c r="DE56" s="6" t="n"/>
      <c r="DI56" s="6" t="n"/>
      <c r="DT56" s="53" t="n"/>
      <c r="DU56" s="53" t="n"/>
      <c r="DV56" s="53" t="n"/>
      <c r="ED56" s="289" t="n"/>
      <c r="EG56" s="57" t="n"/>
      <c r="EH56" s="57" t="n"/>
      <c r="EJ56" s="57" t="n"/>
      <c r="EK56" s="289" t="n"/>
      <c r="EL56" s="61" t="n"/>
      <c r="EM56" s="61" t="n"/>
      <c r="EN56" s="61" t="n"/>
      <c r="EO56" s="289" t="n"/>
      <c r="EP56" s="61" t="n"/>
      <c r="EQ56" s="289" t="n"/>
      <c r="ER56" s="61" t="n"/>
      <c r="ET56" s="61" t="n"/>
      <c r="EV56" s="61" t="n"/>
      <c r="EX56" s="61" t="n"/>
      <c r="EY56" s="61" t="n"/>
      <c r="EZ56" s="61" t="n"/>
      <c r="FB56" s="61" t="n"/>
      <c r="FC56" s="61" t="n"/>
      <c r="FE56" s="6" t="n"/>
      <c r="FF56" s="6" t="n"/>
      <c r="FG56" s="6" t="n"/>
      <c r="FH56" s="6" t="n"/>
      <c r="FI56" s="6" t="n"/>
      <c r="FJ56" s="6" t="n"/>
      <c r="FK56" s="6" t="n"/>
      <c r="FL56" s="6" t="n"/>
      <c r="FM56" s="6" t="n"/>
      <c r="FN56" s="6" t="n"/>
      <c r="FO56" s="6" t="n"/>
      <c r="FP56" s="6" t="n"/>
      <c r="FQ56" s="6" t="n"/>
      <c r="FR56" s="6" t="n"/>
      <c r="FS56" s="6" t="n"/>
    </row>
    <row r="57" customFormat="1" s="49">
      <c r="A57" s="215" t="n"/>
      <c r="B57" s="170" t="n"/>
      <c r="C57" s="171" t="n"/>
      <c r="CG57" s="53" t="n"/>
      <c r="CK57" s="53" t="n"/>
      <c r="CO57" s="51" t="n"/>
      <c r="DD57" s="58" t="n"/>
      <c r="DE57" s="58" t="n"/>
      <c r="DI57" s="58" t="n"/>
      <c r="DR57" s="6" t="n"/>
      <c r="DT57" s="53" t="n"/>
      <c r="DU57" s="53" t="n"/>
      <c r="DV57" s="53" t="n"/>
      <c r="ED57" s="289" t="n"/>
      <c r="EG57" s="61" t="n"/>
      <c r="EH57" s="61" t="n"/>
      <c r="EJ57" s="61" t="n"/>
      <c r="EK57" s="289" t="n"/>
      <c r="EO57" s="289" t="n"/>
      <c r="EQ57" s="289" t="n"/>
      <c r="FE57" s="6" t="n"/>
      <c r="FF57" s="6" t="n"/>
      <c r="FG57" s="6" t="n"/>
      <c r="FH57" s="6" t="n"/>
      <c r="FI57" s="6" t="n"/>
      <c r="FJ57" s="6" t="n"/>
      <c r="FK57" s="6" t="n"/>
      <c r="FL57" s="6" t="n"/>
      <c r="FM57" s="6" t="n"/>
      <c r="FN57" s="6" t="n"/>
      <c r="FO57" s="6" t="n"/>
      <c r="FP57" s="6" t="n"/>
      <c r="FQ57" s="6" t="n"/>
      <c r="FR57" s="6" t="n"/>
      <c r="FS57" s="6" t="n"/>
    </row>
    <row r="58">
      <c r="E58" s="53" t="n"/>
      <c r="F58" s="53" t="n"/>
      <c r="G58" s="53" t="n"/>
      <c r="H58" s="53" t="n"/>
      <c r="I58" s="53" t="n"/>
      <c r="J58" s="53" t="n"/>
      <c r="K58" s="53" t="n"/>
      <c r="L58" s="53" t="n"/>
      <c r="M58" s="53" t="n"/>
      <c r="N58" s="53" t="n"/>
      <c r="O58" s="53" t="n"/>
      <c r="P58" s="53" t="n"/>
      <c r="Q58" s="53" t="n"/>
      <c r="R58" s="53" t="n"/>
      <c r="S58" s="53" t="n"/>
      <c r="T58" s="53" t="n"/>
      <c r="U58" s="53" t="n"/>
      <c r="V58" s="53" t="n"/>
      <c r="W58" s="53" t="n"/>
      <c r="X58" s="53" t="n"/>
      <c r="Y58" s="53" t="n"/>
      <c r="Z58" s="53" t="n"/>
      <c r="AA58" s="53" t="n"/>
      <c r="AB58" s="53" t="n"/>
      <c r="AC58" s="53" t="n"/>
      <c r="AD58" s="53" t="n"/>
      <c r="AE58" s="53" t="n"/>
      <c r="AF58" s="53" t="n"/>
      <c r="AG58" s="53" t="n"/>
      <c r="AH58" s="53" t="n"/>
      <c r="AI58" s="53" t="n"/>
      <c r="AJ58" s="53" t="n"/>
      <c r="AK58" s="53" t="n"/>
      <c r="AL58" s="53" t="n"/>
      <c r="AM58" s="53" t="n"/>
      <c r="AN58" s="53" t="n"/>
      <c r="AO58" s="53" t="n"/>
      <c r="AP58" s="53" t="n"/>
      <c r="AQ58" s="53" t="n"/>
      <c r="AR58" s="53" t="n"/>
      <c r="AS58" s="53" t="n"/>
      <c r="AT58" s="53" t="n"/>
      <c r="AU58" s="53" t="n"/>
      <c r="AV58" s="53" t="n"/>
      <c r="AW58" s="53" t="n"/>
      <c r="AX58" s="53" t="n"/>
      <c r="AY58" s="53" t="n"/>
      <c r="AZ58" s="53" t="n"/>
      <c r="BA58" s="53" t="n"/>
      <c r="BB58" s="53" t="n"/>
      <c r="BC58" s="53" t="n"/>
      <c r="BD58" s="53" t="n"/>
      <c r="BE58" s="53" t="n"/>
      <c r="CV58" s="6" t="n"/>
      <c r="CW58" s="6" t="n"/>
      <c r="CX58" s="6" t="n"/>
      <c r="CY58" s="6" t="n"/>
      <c r="CZ58" s="6" t="n"/>
      <c r="DA58" s="6" t="n"/>
      <c r="DB58" s="6" t="n"/>
      <c r="DC58" s="6" t="n"/>
      <c r="DD58" s="58" t="n"/>
      <c r="DE58" s="58" t="n"/>
      <c r="DF58" s="6" t="n"/>
      <c r="DG58" s="6" t="n"/>
      <c r="DH58" s="6" t="n"/>
      <c r="DI58" s="58" t="n"/>
      <c r="DJ58" s="6" t="n"/>
      <c r="DK58" s="6" t="n"/>
      <c r="DL58" s="6" t="n"/>
      <c r="DM58" s="6" t="n"/>
      <c r="DN58" s="6" t="n"/>
      <c r="DO58" s="6" t="n"/>
      <c r="DP58" s="6" t="n"/>
      <c r="DQ58" s="6" t="n"/>
      <c r="DR58" s="6" t="n"/>
      <c r="DS58" s="6" t="n"/>
      <c r="DT58" s="53" t="n"/>
      <c r="DU58" s="53" t="n"/>
      <c r="DV58" s="53" t="n"/>
      <c r="DW58" s="6" t="n"/>
      <c r="DX58" s="6" t="n"/>
      <c r="DY58" s="6" t="n"/>
      <c r="DZ58" s="6" t="n"/>
      <c r="EA58" s="6" t="n"/>
      <c r="EB58" s="6" t="n"/>
      <c r="EC58" s="6" t="n"/>
      <c r="ED58" s="289" t="n"/>
      <c r="EE58" s="6" t="n"/>
      <c r="EG58" s="61" t="n"/>
      <c r="EI58" s="6" t="n"/>
      <c r="EK58" s="289" t="n"/>
      <c r="EO58" s="289" t="n"/>
      <c r="EQ58" s="289" t="n"/>
      <c r="ES58" s="6" t="n"/>
      <c r="EU58" s="6" t="n"/>
      <c r="EW58" s="6" t="n"/>
    </row>
    <row r="59">
      <c r="E59" s="53" t="n"/>
      <c r="F59" s="53" t="n"/>
      <c r="G59" s="53" t="n"/>
      <c r="H59" s="53" t="n"/>
      <c r="I59" s="53" t="n"/>
      <c r="J59" s="53" t="n"/>
      <c r="K59" s="53" t="n"/>
      <c r="L59" s="53" t="n"/>
      <c r="M59" s="53" t="n"/>
      <c r="N59" s="53" t="n"/>
      <c r="O59" s="53" t="n"/>
      <c r="P59" s="53" t="n"/>
      <c r="Q59" s="53" t="n"/>
      <c r="R59" s="53" t="n"/>
      <c r="S59" s="53" t="n"/>
      <c r="T59" s="53" t="n"/>
      <c r="U59" s="53" t="n"/>
      <c r="V59" s="53" t="n"/>
      <c r="W59" s="53" t="n"/>
      <c r="X59" s="53" t="n"/>
      <c r="Y59" s="53" t="n"/>
      <c r="Z59" s="53" t="n"/>
      <c r="AA59" s="53" t="n"/>
      <c r="AB59" s="53" t="n"/>
      <c r="AC59" s="53" t="n"/>
      <c r="AD59" s="53" t="n"/>
      <c r="AE59" s="53" t="n"/>
      <c r="AF59" s="53" t="n"/>
      <c r="AG59" s="53" t="n"/>
      <c r="AH59" s="53" t="n"/>
      <c r="AI59" s="53" t="n"/>
      <c r="AJ59" s="53" t="n"/>
      <c r="AK59" s="53" t="n"/>
      <c r="AL59" s="53" t="n"/>
      <c r="AM59" s="53" t="n"/>
      <c r="AN59" s="53" t="n"/>
      <c r="AO59" s="53" t="n"/>
      <c r="AP59" s="53" t="n"/>
      <c r="AQ59" s="53" t="n"/>
      <c r="AR59" s="53" t="n"/>
      <c r="AS59" s="53" t="n"/>
      <c r="AT59" s="53" t="n"/>
      <c r="AU59" s="53" t="n"/>
      <c r="AV59" s="53" t="n"/>
      <c r="AW59" s="53" t="n"/>
      <c r="AX59" s="53" t="n"/>
      <c r="AY59" s="53" t="n"/>
      <c r="AZ59" s="53" t="n"/>
      <c r="BA59" s="53" t="n"/>
      <c r="BB59" s="53" t="n"/>
      <c r="BC59" s="53" t="n"/>
      <c r="BD59" s="53" t="n"/>
      <c r="BE59" s="53" t="n"/>
      <c r="BF59" s="53" t="n"/>
      <c r="BG59" s="53" t="n"/>
      <c r="BH59" s="53" t="n"/>
      <c r="BI59" s="53" t="n"/>
      <c r="BJ59" s="53" t="n"/>
      <c r="BK59" s="53" t="n"/>
      <c r="BL59" s="53" t="n"/>
      <c r="BM59" s="53" t="n"/>
      <c r="BN59" s="53" t="n"/>
      <c r="BO59" s="53" t="n"/>
      <c r="BP59" s="53" t="n"/>
      <c r="BQ59" s="53" t="n"/>
      <c r="BR59" s="53" t="n"/>
      <c r="BS59" s="53" t="n"/>
      <c r="BT59" s="53" t="n"/>
      <c r="BU59" s="53" t="n"/>
      <c r="BV59" s="53" t="n"/>
      <c r="BW59" s="53" t="n"/>
      <c r="BX59" s="53" t="n"/>
      <c r="BY59" s="53" t="n"/>
      <c r="BZ59" s="53" t="n"/>
      <c r="CA59" s="53" t="n"/>
      <c r="CB59" s="53" t="n"/>
      <c r="CC59" s="53" t="n"/>
      <c r="CD59" s="53" t="n"/>
      <c r="CE59" s="53" t="n"/>
      <c r="CH59" s="6" t="n"/>
      <c r="CP59" s="57" t="n"/>
      <c r="CR59" s="57" t="n"/>
      <c r="CT59" s="57" t="n"/>
      <c r="CU59" s="57" t="n"/>
      <c r="CV59" s="6" t="n"/>
      <c r="CW59" s="6" t="n"/>
      <c r="CX59" s="6" t="n"/>
      <c r="CY59" s="6" t="n"/>
      <c r="CZ59" s="6" t="n"/>
      <c r="DA59" s="6" t="n"/>
      <c r="DB59" s="6" t="n"/>
      <c r="DC59" s="6" t="n"/>
      <c r="DF59" s="6" t="n"/>
      <c r="DG59" s="6" t="n"/>
      <c r="DH59" s="6" t="n"/>
      <c r="DJ59" s="6" t="n"/>
      <c r="DK59" s="6" t="n"/>
      <c r="DL59" s="6" t="n"/>
      <c r="DM59" s="6" t="n"/>
      <c r="DN59" s="6" t="n"/>
      <c r="DO59" s="6" t="n"/>
      <c r="DP59" s="6" t="n"/>
      <c r="DQ59" s="6" t="n"/>
      <c r="DR59" s="6" t="n"/>
      <c r="DS59" s="6" t="n"/>
      <c r="DT59" s="53" t="n"/>
      <c r="DU59" s="53" t="n"/>
      <c r="DV59" s="53" t="n"/>
      <c r="DW59" s="6" t="n"/>
      <c r="DX59" s="6" t="n"/>
      <c r="DY59" s="6" t="n"/>
      <c r="DZ59" s="6" t="n"/>
      <c r="EA59" s="6" t="n"/>
      <c r="EB59" s="6" t="n"/>
      <c r="EC59" s="6" t="n"/>
      <c r="ED59" s="289" t="n"/>
      <c r="EE59" s="6" t="n"/>
      <c r="EI59" s="6" t="n"/>
      <c r="EK59" s="289" t="n"/>
      <c r="EO59" s="289" t="n"/>
      <c r="EQ59" s="289" t="n"/>
      <c r="ES59" s="6" t="n"/>
      <c r="EU59" s="6" t="n"/>
      <c r="EW59" s="6" t="n"/>
    </row>
    <row r="60">
      <c r="A60" s="699" t="inlineStr">
        <is>
          <t>FLACONETES</t>
        </is>
      </c>
      <c r="B60" s="658" t="n"/>
      <c r="C60" s="658" t="n"/>
      <c r="D60" s="670" t="n"/>
      <c r="F60" s="671" t="n">
        <v>45656</v>
      </c>
      <c r="G60" s="671" t="n">
        <v>45663</v>
      </c>
      <c r="H60" s="671" t="n">
        <v>45670</v>
      </c>
      <c r="I60" s="671" t="n">
        <v>45677</v>
      </c>
      <c r="J60" s="671" t="n">
        <v>45684</v>
      </c>
      <c r="K60" s="671" t="n">
        <v>45691</v>
      </c>
      <c r="L60" s="671" t="n">
        <v>45698</v>
      </c>
      <c r="M60" s="671" t="n">
        <v>45705</v>
      </c>
      <c r="N60" s="671" t="n">
        <v>45712</v>
      </c>
      <c r="O60" s="671" t="n">
        <v>45719</v>
      </c>
      <c r="P60" s="671" t="n">
        <v>45726</v>
      </c>
      <c r="Q60" s="671" t="n">
        <v>45733</v>
      </c>
      <c r="R60" s="671" t="n">
        <v>45740</v>
      </c>
      <c r="S60" s="671" t="n">
        <v>45747</v>
      </c>
      <c r="T60" s="671" t="n">
        <v>45754</v>
      </c>
      <c r="U60" s="671" t="n">
        <v>45761</v>
      </c>
      <c r="V60" s="671" t="n">
        <v>45768</v>
      </c>
      <c r="W60" s="671" t="n">
        <v>45775</v>
      </c>
      <c r="X60" s="671" t="n">
        <v>45782</v>
      </c>
      <c r="Y60" s="671" t="n">
        <v>45789</v>
      </c>
      <c r="Z60" s="671" t="n">
        <v>45796</v>
      </c>
      <c r="AA60" s="671" t="n">
        <v>45803</v>
      </c>
      <c r="AB60" s="671" t="n">
        <v>45810</v>
      </c>
      <c r="AC60" s="671" t="n">
        <v>45817</v>
      </c>
      <c r="AD60" s="671" t="n">
        <v>45824</v>
      </c>
      <c r="AE60" s="671" t="n">
        <v>45831</v>
      </c>
      <c r="AF60" s="671" t="n">
        <v>45838</v>
      </c>
      <c r="AG60" s="671" t="n">
        <v>45845</v>
      </c>
      <c r="AH60" s="671" t="n">
        <v>45852</v>
      </c>
      <c r="AI60" s="671" t="n">
        <v>45859</v>
      </c>
      <c r="AJ60" s="671" t="n">
        <v>45866</v>
      </c>
      <c r="AK60" s="671" t="n">
        <v>45873</v>
      </c>
      <c r="AL60" s="671" t="n">
        <v>45880</v>
      </c>
      <c r="AM60" s="671" t="n">
        <v>45887</v>
      </c>
      <c r="AN60" s="671" t="n">
        <v>45894</v>
      </c>
      <c r="AO60" s="671" t="n">
        <v>45901</v>
      </c>
      <c r="AP60" s="671" t="n">
        <v>45908</v>
      </c>
      <c r="AQ60" s="671" t="n">
        <v>45915</v>
      </c>
      <c r="AR60" s="671" t="n">
        <v>45922</v>
      </c>
      <c r="AS60" s="671" t="n">
        <v>45929</v>
      </c>
      <c r="AT60" s="671" t="n">
        <v>45936</v>
      </c>
      <c r="AU60" s="671" t="n">
        <v>45943</v>
      </c>
      <c r="AV60" s="671" t="n">
        <v>45950</v>
      </c>
      <c r="AW60" s="671" t="n">
        <v>45957</v>
      </c>
      <c r="AX60" s="671" t="n">
        <v>45964</v>
      </c>
      <c r="AY60" s="671" t="n">
        <v>45971</v>
      </c>
      <c r="AZ60" s="671" t="n">
        <v>45978</v>
      </c>
      <c r="BA60" s="671" t="n">
        <v>45985</v>
      </c>
      <c r="BB60" s="671" t="n">
        <v>45992</v>
      </c>
      <c r="BC60" s="671" t="n">
        <v>45999</v>
      </c>
      <c r="BD60" s="671" t="n">
        <v>46006</v>
      </c>
      <c r="BE60" s="671" t="n">
        <v>46013</v>
      </c>
      <c r="BF60" s="671" t="n">
        <v>46020</v>
      </c>
      <c r="BG60" s="671" t="n">
        <v>46027</v>
      </c>
      <c r="BH60" s="671" t="n">
        <v>46034</v>
      </c>
      <c r="BI60" s="671" t="n">
        <v>46041</v>
      </c>
      <c r="BJ60" s="671" t="n">
        <v>46048</v>
      </c>
      <c r="BK60" s="671" t="n">
        <v>46055</v>
      </c>
      <c r="BL60" s="671" t="n">
        <v>46062</v>
      </c>
      <c r="BM60" s="671" t="n">
        <v>46069</v>
      </c>
      <c r="BN60" s="671" t="n">
        <v>46076</v>
      </c>
      <c r="BO60" s="671" t="n">
        <v>46083</v>
      </c>
      <c r="BP60" s="671" t="n">
        <v>46090</v>
      </c>
      <c r="BQ60" s="671" t="n">
        <v>46097</v>
      </c>
      <c r="BR60" s="671" t="n">
        <v>46104</v>
      </c>
      <c r="BS60" s="671" t="n">
        <v>46111</v>
      </c>
      <c r="BT60" s="671" t="n">
        <v>46118</v>
      </c>
      <c r="BU60" s="671" t="n">
        <v>46125</v>
      </c>
      <c r="BV60" s="671" t="n">
        <v>46132</v>
      </c>
      <c r="BW60" s="671" t="n">
        <v>46139</v>
      </c>
      <c r="BX60" s="671" t="n">
        <v>46146</v>
      </c>
      <c r="BY60" s="671" t="n">
        <v>46154</v>
      </c>
      <c r="BZ60" s="671" t="n">
        <v>46160</v>
      </c>
      <c r="CA60" s="671" t="n">
        <v>46160</v>
      </c>
      <c r="CB60" s="671" t="n">
        <v>46160</v>
      </c>
      <c r="CC60" s="672" t="n">
        <v>46161.48003486111</v>
      </c>
      <c r="CD60" s="672" t="n">
        <v>46161.48071435185</v>
      </c>
      <c r="CE60" s="672" t="n">
        <v>46161.48287244404</v>
      </c>
      <c r="CH60" s="6" t="n"/>
      <c r="CP60" s="57" t="n"/>
      <c r="CR60" s="57" t="n"/>
      <c r="CT60" s="57" t="n"/>
      <c r="CU60" s="57" t="n"/>
      <c r="CV60" s="6" t="n"/>
      <c r="CW60" s="6" t="n"/>
      <c r="CX60" s="6" t="n"/>
      <c r="CY60" s="6" t="n"/>
      <c r="CZ60" s="6" t="n"/>
      <c r="DA60" s="6" t="n"/>
      <c r="DB60" s="6" t="n"/>
      <c r="DC60" s="6" t="n"/>
      <c r="DF60" s="6" t="n"/>
      <c r="DG60" s="6" t="n"/>
      <c r="DH60" s="6" t="n"/>
      <c r="DJ60" s="6" t="n"/>
      <c r="DK60" s="6" t="n"/>
      <c r="DL60" s="6" t="n"/>
      <c r="DM60" s="6" t="n"/>
      <c r="DN60" s="6" t="n"/>
      <c r="DO60" s="6" t="n"/>
      <c r="DP60" s="6" t="n"/>
      <c r="DQ60" s="6" t="n"/>
      <c r="DR60" s="6" t="n"/>
      <c r="DS60" s="6" t="n"/>
      <c r="DT60" s="53" t="n"/>
      <c r="DU60" s="53" t="n"/>
      <c r="DV60" s="6" t="n"/>
      <c r="DW60" s="6" t="n"/>
      <c r="DX60" s="6" t="n"/>
      <c r="DY60" s="6" t="n"/>
      <c r="DZ60" s="6" t="n"/>
      <c r="EA60" s="6" t="n"/>
      <c r="EB60" s="6" t="n"/>
      <c r="EC60" s="6" t="n"/>
      <c r="ED60" s="289" t="n"/>
      <c r="EE60" s="6" t="n"/>
      <c r="EI60" s="6" t="n"/>
      <c r="EK60" s="289" t="n"/>
      <c r="EO60" s="289" t="n"/>
      <c r="EQ60" s="289" t="n"/>
      <c r="ES60" s="6" t="n"/>
      <c r="EU60" s="6" t="n"/>
      <c r="EW60" s="6" t="n"/>
    </row>
    <row r="61" ht="18.75" customHeight="1">
      <c r="A61" s="674" t="inlineStr">
        <is>
          <t xml:space="preserve">HER CODE </t>
        </is>
      </c>
      <c r="B61" s="658" t="n"/>
      <c r="C61" s="658" t="n"/>
      <c r="D61" s="670" t="n"/>
      <c r="F61" s="116" t="n">
        <v>155</v>
      </c>
      <c r="G61" s="116" t="n">
        <v>155</v>
      </c>
      <c r="H61" s="116" t="n">
        <v>155</v>
      </c>
      <c r="I61" s="116" t="n">
        <v>100</v>
      </c>
      <c r="J61" s="116" t="n">
        <v>87</v>
      </c>
      <c r="K61" s="116" t="n">
        <v>90</v>
      </c>
      <c r="L61" s="116" t="n">
        <v>90</v>
      </c>
      <c r="M61" s="116" t="n">
        <v>80</v>
      </c>
      <c r="N61" s="116" t="n">
        <v>60</v>
      </c>
      <c r="O61" s="116" t="n">
        <v>40</v>
      </c>
      <c r="P61" s="116" t="n">
        <v>40</v>
      </c>
      <c r="Q61" s="116" t="n">
        <v>40</v>
      </c>
      <c r="R61" s="116" t="n">
        <v>40</v>
      </c>
      <c r="S61" s="116" t="n">
        <v>40</v>
      </c>
      <c r="T61" s="116" t="n">
        <v>70</v>
      </c>
      <c r="U61" s="116" t="n">
        <v>0</v>
      </c>
      <c r="V61" s="116" t="n">
        <v>0</v>
      </c>
      <c r="W61" s="116" t="n">
        <v>0</v>
      </c>
      <c r="X61" s="116" t="n">
        <v>0</v>
      </c>
      <c r="Y61" s="116" t="n">
        <v>0</v>
      </c>
      <c r="Z61" s="116" t="n">
        <v>0</v>
      </c>
      <c r="AA61" s="116" t="n">
        <v>0</v>
      </c>
      <c r="AB61" s="116" t="n">
        <v>0</v>
      </c>
      <c r="AC61" s="116" t="n">
        <v>0</v>
      </c>
      <c r="AD61" s="116" t="n">
        <v>0</v>
      </c>
      <c r="AE61" s="116" t="n">
        <v>0</v>
      </c>
      <c r="AF61" s="116" t="n">
        <v>0</v>
      </c>
      <c r="AG61" s="116" t="n">
        <v>0</v>
      </c>
      <c r="AH61" s="116" t="n">
        <v>0</v>
      </c>
      <c r="AI61" s="116" t="n">
        <v>0</v>
      </c>
      <c r="AJ61" s="116" t="n">
        <v>0</v>
      </c>
      <c r="AK61" s="116" t="n">
        <v>0</v>
      </c>
      <c r="AL61" s="116" t="n">
        <v>0</v>
      </c>
      <c r="AM61" s="116" t="n">
        <v>0</v>
      </c>
      <c r="AN61" s="116" t="n">
        <v>0</v>
      </c>
      <c r="AO61" s="116" t="n">
        <v>0</v>
      </c>
      <c r="AP61" s="116" t="n">
        <v>0</v>
      </c>
      <c r="AQ61" s="116" t="n">
        <v>0</v>
      </c>
      <c r="AR61" s="116" t="n">
        <v>0</v>
      </c>
      <c r="AS61" s="116" t="n">
        <v>0</v>
      </c>
      <c r="AT61" s="116" t="n">
        <v>0</v>
      </c>
      <c r="AU61" s="116" t="n">
        <v>0</v>
      </c>
      <c r="AV61" s="116" t="n">
        <v>0</v>
      </c>
      <c r="AW61" s="116" t="n">
        <v>0</v>
      </c>
      <c r="AX61" s="116" t="n">
        <v>0</v>
      </c>
      <c r="AY61" s="116" t="n">
        <v>0</v>
      </c>
      <c r="AZ61" s="116" t="n">
        <v>0</v>
      </c>
      <c r="BA61" s="116" t="n">
        <v>0</v>
      </c>
      <c r="BB61" s="116" t="n">
        <v>0</v>
      </c>
      <c r="BC61" s="116" t="n">
        <v>0</v>
      </c>
      <c r="BD61" s="116" t="n">
        <v>0</v>
      </c>
      <c r="BE61" s="116" t="n">
        <v>0</v>
      </c>
      <c r="BF61" s="116" t="n">
        <v>0</v>
      </c>
      <c r="BG61" s="116" t="n">
        <v>0</v>
      </c>
      <c r="BH61" s="116" t="n">
        <v>0</v>
      </c>
      <c r="BI61" s="116" t="n">
        <v>0</v>
      </c>
      <c r="BJ61" s="116" t="n">
        <v>0</v>
      </c>
      <c r="BK61" s="116" t="n">
        <v>0</v>
      </c>
      <c r="BL61" s="116" t="n">
        <v>0</v>
      </c>
      <c r="BM61" s="116" t="n">
        <v>0</v>
      </c>
      <c r="BN61" s="116" t="n">
        <v>0</v>
      </c>
      <c r="BO61" s="116" t="n">
        <v>0</v>
      </c>
      <c r="BP61" s="116" t="n">
        <v>0</v>
      </c>
      <c r="BQ61" s="116" t="n">
        <v>0</v>
      </c>
      <c r="BR61" s="116" t="n">
        <v>0</v>
      </c>
      <c r="BS61" s="116" t="n">
        <v>0</v>
      </c>
      <c r="BT61" s="116" t="n">
        <v>0</v>
      </c>
      <c r="BU61" s="116" t="n">
        <v>0</v>
      </c>
      <c r="BV61" s="116" t="n">
        <v>0</v>
      </c>
      <c r="BW61" s="116" t="n">
        <v>0</v>
      </c>
      <c r="BX61" s="116" t="n">
        <v>0</v>
      </c>
      <c r="BY61" s="116" t="n">
        <v>0</v>
      </c>
      <c r="BZ61" s="116" t="n"/>
      <c r="CA61" s="116" t="n"/>
      <c r="CB61" s="116" t="n"/>
      <c r="CC61" s="673" t="n"/>
      <c r="CD61" s="673" t="n"/>
      <c r="CE61" s="673" t="n"/>
      <c r="CH61" s="6" t="n"/>
      <c r="CP61" s="57" t="n"/>
      <c r="CR61" s="57" t="n"/>
      <c r="CT61" s="57" t="n"/>
      <c r="CU61" s="57" t="n"/>
      <c r="CV61" s="6" t="n"/>
      <c r="CW61" s="6" t="n"/>
      <c r="CX61" s="6" t="n"/>
      <c r="CY61" s="6" t="n"/>
      <c r="CZ61" s="6" t="n"/>
      <c r="DA61" s="6" t="n"/>
      <c r="DB61" s="6" t="n"/>
      <c r="DC61" s="6" t="n"/>
      <c r="DF61" s="6" t="n"/>
      <c r="DG61" s="6" t="n"/>
      <c r="DH61" s="6" t="n"/>
      <c r="DJ61" s="6" t="n"/>
      <c r="DK61" s="6" t="n"/>
      <c r="DL61" s="6" t="n"/>
      <c r="DM61" s="6" t="n"/>
      <c r="DN61" s="6" t="n"/>
      <c r="DO61" s="6" t="n"/>
      <c r="DP61" s="6" t="n"/>
      <c r="DQ61" s="6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6" t="n"/>
      <c r="EA61" s="6" t="n"/>
      <c r="EB61" s="6" t="n"/>
      <c r="EC61" s="6" t="n"/>
      <c r="ED61" s="289" t="n"/>
      <c r="EE61" s="6" t="n"/>
      <c r="EI61" s="6" t="n"/>
      <c r="EK61" s="289" t="n"/>
      <c r="EL61" s="6" t="n"/>
      <c r="EM61" s="6" t="n"/>
      <c r="EN61" s="6" t="n"/>
      <c r="EO61" s="289" t="n"/>
      <c r="EP61" s="6" t="n"/>
      <c r="EQ61" s="289" t="n"/>
      <c r="ER61" s="6" t="n"/>
      <c r="ES61" s="6" t="n"/>
      <c r="ET61" s="6" t="n"/>
      <c r="EU61" s="6" t="n"/>
      <c r="EV61" s="6" t="n"/>
      <c r="EW61" s="6" t="n"/>
      <c r="EX61" s="6" t="n"/>
      <c r="EY61" s="6" t="n"/>
      <c r="EZ61" s="6" t="n"/>
      <c r="FB61" s="6" t="n"/>
      <c r="FC61" s="6" t="n"/>
    </row>
    <row r="62" customFormat="1" s="49">
      <c r="A62" s="674" t="inlineStr">
        <is>
          <t>MALBEC ICON</t>
        </is>
      </c>
      <c r="B62" s="658" t="n"/>
      <c r="C62" s="658" t="n"/>
      <c r="D62" s="670" t="n"/>
      <c r="E62" s="6" t="n"/>
      <c r="F62" s="116" t="n">
        <v>150</v>
      </c>
      <c r="G62" s="116" t="n">
        <v>150</v>
      </c>
      <c r="H62" s="116" t="n">
        <v>150</v>
      </c>
      <c r="I62" s="116" t="n">
        <v>150</v>
      </c>
      <c r="J62" s="116" t="n">
        <v>137</v>
      </c>
      <c r="K62" s="116" t="n">
        <v>150</v>
      </c>
      <c r="L62" s="116" t="n">
        <v>150</v>
      </c>
      <c r="M62" s="116" t="n">
        <v>145</v>
      </c>
      <c r="N62" s="116" t="n">
        <v>130</v>
      </c>
      <c r="O62" s="116" t="n">
        <v>110</v>
      </c>
      <c r="P62" s="116" t="n">
        <v>110</v>
      </c>
      <c r="Q62" s="116" t="n">
        <v>90</v>
      </c>
      <c r="R62" s="116" t="n">
        <v>70</v>
      </c>
      <c r="S62" s="116" t="n">
        <v>70</v>
      </c>
      <c r="T62" s="116" t="n">
        <v>0</v>
      </c>
      <c r="U62" s="116" t="n">
        <v>70</v>
      </c>
      <c r="V62" s="116" t="n">
        <v>70</v>
      </c>
      <c r="W62" s="116" t="n">
        <v>70</v>
      </c>
      <c r="X62" s="116" t="n">
        <v>70</v>
      </c>
      <c r="Y62" s="116" t="n">
        <v>50</v>
      </c>
      <c r="Z62" s="116" t="n">
        <v>50</v>
      </c>
      <c r="AA62" s="116" t="n">
        <v>50</v>
      </c>
      <c r="AB62" s="116" t="n">
        <v>50</v>
      </c>
      <c r="AC62" s="116" t="n">
        <v>45</v>
      </c>
      <c r="AD62" s="116" t="n">
        <v>30</v>
      </c>
      <c r="AE62" s="116" t="n">
        <v>10</v>
      </c>
      <c r="AF62" s="116" t="n">
        <v>10</v>
      </c>
      <c r="AG62" s="116" t="n">
        <v>10</v>
      </c>
      <c r="AH62" s="116" t="n">
        <v>5</v>
      </c>
      <c r="AI62" s="116" t="n">
        <v>5</v>
      </c>
      <c r="AJ62" s="116" t="n">
        <v>0</v>
      </c>
      <c r="AK62" s="116" t="n">
        <v>0</v>
      </c>
      <c r="AL62" s="116" t="n">
        <v>0</v>
      </c>
      <c r="AM62" s="116" t="n">
        <v>0</v>
      </c>
      <c r="AN62" s="116" t="n">
        <v>0</v>
      </c>
      <c r="AO62" s="116" t="n">
        <v>0</v>
      </c>
      <c r="AP62" s="116" t="n">
        <v>0</v>
      </c>
      <c r="AQ62" s="116" t="n">
        <v>30</v>
      </c>
      <c r="AR62" s="116" t="n">
        <v>30</v>
      </c>
      <c r="AS62" s="116" t="n">
        <v>30</v>
      </c>
      <c r="AT62" s="116" t="n">
        <v>0</v>
      </c>
      <c r="AU62" s="116" t="n">
        <v>0</v>
      </c>
      <c r="AV62" s="116" t="n">
        <v>0</v>
      </c>
      <c r="AW62" s="116" t="n">
        <v>0</v>
      </c>
      <c r="AX62" s="116" t="n">
        <v>0</v>
      </c>
      <c r="AY62" s="116" t="n">
        <v>0</v>
      </c>
      <c r="AZ62" s="116" t="n">
        <v>0</v>
      </c>
      <c r="BA62" s="116" t="n">
        <v>0</v>
      </c>
      <c r="BB62" s="116" t="n">
        <v>0</v>
      </c>
      <c r="BC62" s="116" t="n">
        <v>0</v>
      </c>
      <c r="BD62" s="116" t="n">
        <v>0</v>
      </c>
      <c r="BE62" s="116" t="n">
        <v>0</v>
      </c>
      <c r="BF62" s="116" t="n">
        <v>0</v>
      </c>
      <c r="BG62" s="116" t="n">
        <v>0</v>
      </c>
      <c r="BH62" s="116" t="n">
        <v>0</v>
      </c>
      <c r="BI62" s="116" t="n">
        <v>0</v>
      </c>
      <c r="BJ62" s="116" t="n">
        <v>0</v>
      </c>
      <c r="BK62" s="116" t="n">
        <v>0</v>
      </c>
      <c r="BL62" s="116" t="n">
        <v>0</v>
      </c>
      <c r="BM62" s="116" t="n">
        <v>0</v>
      </c>
      <c r="BN62" s="116" t="n">
        <v>0</v>
      </c>
      <c r="BO62" s="116" t="n">
        <v>0</v>
      </c>
      <c r="BP62" s="116" t="n">
        <v>0</v>
      </c>
      <c r="BQ62" s="116" t="n">
        <v>0</v>
      </c>
      <c r="BR62" s="116" t="n">
        <v>0</v>
      </c>
      <c r="BS62" s="116" t="n">
        <v>0</v>
      </c>
      <c r="BT62" s="116" t="n">
        <v>0</v>
      </c>
      <c r="BU62" s="116" t="n">
        <v>0</v>
      </c>
      <c r="BV62" s="116" t="n">
        <v>0</v>
      </c>
      <c r="BW62" s="116" t="n">
        <v>0</v>
      </c>
      <c r="BX62" s="116" t="n">
        <v>0</v>
      </c>
      <c r="BY62" s="116" t="n">
        <v>0</v>
      </c>
      <c r="BZ62" s="116" t="n"/>
      <c r="CA62" s="116" t="n"/>
      <c r="CB62" s="116" t="n"/>
      <c r="CC62" s="673" t="n"/>
      <c r="CD62" s="673" t="n"/>
      <c r="CE62" s="673" t="n"/>
      <c r="CG62" s="6" t="n"/>
      <c r="CH62" s="6" t="n"/>
      <c r="CK62" s="6" t="n"/>
      <c r="CO62" s="51" t="n"/>
      <c r="CV62" s="6" t="n"/>
      <c r="CW62" s="6" t="n"/>
      <c r="CX62" s="6" t="n"/>
      <c r="CY62" s="6" t="n"/>
      <c r="CZ62" s="6" t="n"/>
      <c r="DA62" s="6" t="n"/>
      <c r="DB62" s="6" t="n"/>
      <c r="DC62" s="6" t="n"/>
      <c r="DF62" s="6" t="n"/>
      <c r="DG62" s="6" t="n"/>
      <c r="DH62" s="6" t="n"/>
      <c r="DJ62" s="6" t="n"/>
      <c r="DK62" s="6" t="n"/>
      <c r="DL62" s="6" t="n"/>
      <c r="DM62" s="6" t="n"/>
      <c r="DN62" s="6" t="n"/>
      <c r="DO62" s="6" t="n"/>
      <c r="DP62" s="6" t="n"/>
      <c r="DQ62" s="6" t="n"/>
      <c r="DR62" s="6" t="n"/>
      <c r="DS62" s="6" t="n"/>
      <c r="DT62" s="6" t="n"/>
      <c r="DU62" s="6" t="n"/>
      <c r="DV62" s="58" t="n"/>
      <c r="DW62" s="6" t="n"/>
      <c r="DX62" s="6" t="n"/>
      <c r="DY62" s="6" t="n"/>
      <c r="DZ62" s="6" t="n"/>
      <c r="EA62" s="6" t="n"/>
      <c r="EB62" s="6" t="n"/>
      <c r="EC62" s="6" t="n"/>
      <c r="ED62" s="289" t="n"/>
      <c r="EE62" s="6" t="n"/>
      <c r="EF62" s="6" t="n"/>
      <c r="EG62" s="6" t="n"/>
      <c r="EH62" s="6" t="n"/>
      <c r="EI62" s="6" t="n"/>
      <c r="EJ62" s="6" t="n"/>
      <c r="EK62" s="289" t="n"/>
      <c r="EL62" s="6" t="n"/>
      <c r="EM62" s="6" t="n"/>
      <c r="EN62" s="6" t="n"/>
      <c r="EO62" s="289" t="n"/>
      <c r="EP62" s="6" t="n"/>
      <c r="EQ62" s="289" t="n"/>
      <c r="ER62" s="6" t="n"/>
      <c r="ES62" s="6" t="n"/>
      <c r="ET62" s="6" t="n"/>
      <c r="EU62" s="6" t="n"/>
      <c r="EV62" s="6" t="n"/>
      <c r="EW62" s="6" t="n"/>
      <c r="EX62" s="6" t="n"/>
      <c r="EY62" s="6" t="n"/>
      <c r="EZ62" s="6" t="n"/>
      <c r="FA62" s="6" t="n"/>
      <c r="FB62" s="6" t="n"/>
      <c r="FC62" s="6" t="n"/>
      <c r="FE62" s="6" t="n"/>
      <c r="FF62" s="6" t="n"/>
      <c r="FG62" s="6" t="n"/>
      <c r="FH62" s="6" t="n"/>
      <c r="FI62" s="6" t="n"/>
      <c r="FJ62" s="6" t="n"/>
      <c r="FK62" s="6" t="n"/>
      <c r="FL62" s="6" t="n"/>
      <c r="FM62" s="6" t="n"/>
      <c r="FN62" s="6" t="n"/>
      <c r="FO62" s="6" t="n"/>
      <c r="FP62" s="6" t="n"/>
      <c r="FQ62" s="6" t="n"/>
      <c r="FR62" s="6" t="n"/>
      <c r="FS62" s="6" t="n"/>
    </row>
    <row r="63" ht="18.75" customHeight="1">
      <c r="A63" s="674" t="inlineStr">
        <is>
          <t>FLORATTA RED PASSION</t>
        </is>
      </c>
      <c r="B63" s="658" t="n"/>
      <c r="C63" s="658" t="n"/>
      <c r="D63" s="670" t="n"/>
      <c r="F63" s="116" t="n"/>
      <c r="G63" s="116" t="n">
        <v>0</v>
      </c>
      <c r="H63" s="116" t="n">
        <v>40</v>
      </c>
      <c r="I63" s="116" t="n">
        <v>40</v>
      </c>
      <c r="J63" s="116" t="n">
        <v>35</v>
      </c>
      <c r="K63" s="116" t="n">
        <v>15</v>
      </c>
      <c r="L63" s="116" t="n">
        <v>15</v>
      </c>
      <c r="M63" s="116" t="n">
        <v>15</v>
      </c>
      <c r="N63" s="116" t="n">
        <v>0</v>
      </c>
      <c r="O63" s="116" t="n">
        <v>0</v>
      </c>
      <c r="P63" s="116" t="n">
        <v>0</v>
      </c>
      <c r="Q63" s="116" t="n">
        <v>0</v>
      </c>
      <c r="R63" s="116" t="n">
        <v>0</v>
      </c>
      <c r="S63" s="116" t="n">
        <v>0</v>
      </c>
      <c r="T63" s="116" t="n">
        <v>0</v>
      </c>
      <c r="U63" s="116" t="n"/>
      <c r="V63" s="116" t="n"/>
      <c r="W63" s="116" t="n"/>
      <c r="X63" s="116" t="n"/>
      <c r="Y63" s="116" t="n"/>
      <c r="Z63" s="116" t="n"/>
      <c r="AA63" s="116" t="n"/>
      <c r="AB63" s="116" t="n"/>
      <c r="AC63" s="116" t="n"/>
      <c r="AD63" s="116" t="n"/>
      <c r="AE63" s="116" t="n"/>
      <c r="AF63" s="116" t="n"/>
      <c r="AG63" s="116" t="n"/>
      <c r="AH63" s="116" t="n"/>
      <c r="AI63" s="116" t="n"/>
      <c r="AJ63" s="116" t="n"/>
      <c r="AK63" s="116" t="n"/>
      <c r="AL63" s="116" t="n"/>
      <c r="AM63" s="116" t="n"/>
      <c r="AN63" s="116" t="n"/>
      <c r="AO63" s="116" t="n"/>
      <c r="AP63" s="116" t="n">
        <v>0</v>
      </c>
      <c r="AQ63" s="116" t="n">
        <v>0</v>
      </c>
      <c r="AR63" s="116" t="n">
        <v>0</v>
      </c>
      <c r="AS63" s="116" t="n">
        <v>0</v>
      </c>
      <c r="AT63" s="116" t="n">
        <v>0</v>
      </c>
      <c r="AU63" s="116" t="n">
        <v>0</v>
      </c>
      <c r="AV63" s="116" t="n">
        <v>0</v>
      </c>
      <c r="AW63" s="116" t="n">
        <v>0</v>
      </c>
      <c r="AX63" s="116" t="n">
        <v>0</v>
      </c>
      <c r="AY63" s="116" t="n">
        <v>0</v>
      </c>
      <c r="AZ63" s="116" t="n">
        <v>0</v>
      </c>
      <c r="BA63" s="116" t="n">
        <v>0</v>
      </c>
      <c r="BB63" s="116" t="n">
        <v>0</v>
      </c>
      <c r="BC63" s="116" t="n">
        <v>0</v>
      </c>
      <c r="BD63" s="116" t="n">
        <v>0</v>
      </c>
      <c r="BE63" s="116" t="n">
        <v>0</v>
      </c>
      <c r="BF63" s="116" t="n">
        <v>0</v>
      </c>
      <c r="BG63" s="116" t="n">
        <v>0</v>
      </c>
      <c r="BH63" s="116" t="n">
        <v>0</v>
      </c>
      <c r="BI63" s="116" t="n">
        <v>0</v>
      </c>
      <c r="BJ63" s="116" t="n">
        <v>0</v>
      </c>
      <c r="BK63" s="116" t="n">
        <v>0</v>
      </c>
      <c r="BL63" s="116" t="n">
        <v>0</v>
      </c>
      <c r="BM63" s="116" t="n">
        <v>0</v>
      </c>
      <c r="BN63" s="116" t="n">
        <v>0</v>
      </c>
      <c r="BO63" s="116" t="n">
        <v>0</v>
      </c>
      <c r="BP63" s="116" t="n">
        <v>0</v>
      </c>
      <c r="BQ63" s="116" t="n">
        <v>0</v>
      </c>
      <c r="BR63" s="116" t="n">
        <v>0</v>
      </c>
      <c r="BS63" s="116" t="n">
        <v>0</v>
      </c>
      <c r="BT63" s="116" t="n">
        <v>0</v>
      </c>
      <c r="BU63" s="116" t="n">
        <v>0</v>
      </c>
      <c r="BV63" s="116" t="n">
        <v>0</v>
      </c>
      <c r="BW63" s="116" t="n">
        <v>0</v>
      </c>
      <c r="BX63" s="116" t="n">
        <v>0</v>
      </c>
      <c r="BY63" s="116" t="n">
        <v>0</v>
      </c>
      <c r="BZ63" s="116" t="n"/>
      <c r="CA63" s="116" t="n"/>
      <c r="CB63" s="116" t="n"/>
      <c r="CC63" s="673" t="n"/>
      <c r="CD63" s="673" t="n"/>
      <c r="CE63" s="673" t="n"/>
      <c r="CF63" s="112" t="n"/>
      <c r="CH63" s="6" t="n"/>
      <c r="CV63" s="6" t="n"/>
      <c r="CW63" s="6" t="n"/>
      <c r="CX63" s="6" t="n"/>
      <c r="CY63" s="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L63" s="6" t="n"/>
      <c r="DM63" s="6" t="n"/>
      <c r="DN63" s="6" t="n"/>
      <c r="DO63" s="6" t="n"/>
      <c r="DP63" s="6" t="n"/>
      <c r="DQ63" s="6" t="n"/>
      <c r="DR63" s="6" t="n"/>
      <c r="DS63" s="6" t="n"/>
      <c r="DT63" s="58" t="n"/>
      <c r="DU63" s="58" t="n"/>
      <c r="DV63" s="58" t="n"/>
      <c r="DW63" s="6" t="n"/>
      <c r="DX63" s="6" t="n"/>
      <c r="DY63" s="6" t="n"/>
      <c r="DZ63" s="6" t="n"/>
      <c r="EA63" s="6" t="n"/>
      <c r="EB63" s="6" t="n"/>
      <c r="EC63" s="6" t="n"/>
      <c r="ED63" s="289" t="n"/>
      <c r="EE63" s="6" t="n"/>
      <c r="EF63" s="6" t="n"/>
      <c r="EG63" s="6" t="n"/>
      <c r="EH63" s="6" t="n"/>
      <c r="EI63" s="6" t="n"/>
      <c r="EJ63" s="6" t="n"/>
      <c r="EK63" s="289" t="n"/>
      <c r="EL63" s="6" t="n"/>
      <c r="EM63" s="6" t="n"/>
      <c r="EN63" s="6" t="n"/>
      <c r="EO63" s="289" t="n"/>
      <c r="EP63" s="6" t="n"/>
      <c r="EQ63" s="289" t="n"/>
      <c r="ER63" s="6" t="n"/>
      <c r="ES63" s="6" t="n"/>
      <c r="ET63" s="6" t="n"/>
      <c r="EU63" s="6" t="n"/>
      <c r="EV63" s="6" t="n"/>
      <c r="EW63" s="6" t="n"/>
      <c r="EX63" s="6" t="n"/>
      <c r="EY63" s="6" t="n"/>
      <c r="EZ63" s="6" t="n"/>
      <c r="FA63" s="6" t="n"/>
      <c r="FB63" s="6" t="n"/>
      <c r="FC63" s="6" t="n"/>
    </row>
    <row r="64">
      <c r="A64" s="674" t="inlineStr">
        <is>
          <t>CBEM HIDR. DOCURA NA PESSEGURA</t>
        </is>
      </c>
      <c r="B64" s="658" t="n"/>
      <c r="C64" s="658" t="n"/>
      <c r="D64" s="670" t="n"/>
      <c r="F64" s="116" t="n"/>
      <c r="G64" s="116" t="n"/>
      <c r="H64" s="116" t="n"/>
      <c r="I64" s="116" t="n"/>
      <c r="J64" s="116" t="n">
        <v>0</v>
      </c>
      <c r="K64" s="116" t="n">
        <v>115</v>
      </c>
      <c r="L64" s="116" t="n">
        <v>115</v>
      </c>
      <c r="M64" s="116" t="n">
        <v>104</v>
      </c>
      <c r="N64" s="116" t="n">
        <v>100</v>
      </c>
      <c r="O64" s="116" t="n">
        <v>80</v>
      </c>
      <c r="P64" s="116" t="n">
        <v>80</v>
      </c>
      <c r="Q64" s="116" t="n">
        <v>70</v>
      </c>
      <c r="R64" s="116" t="n">
        <v>70</v>
      </c>
      <c r="S64" s="116" t="n">
        <v>70</v>
      </c>
      <c r="T64" s="116" t="n">
        <v>80</v>
      </c>
      <c r="U64" s="116" t="n">
        <v>18</v>
      </c>
      <c r="V64" s="116" t="n">
        <v>0</v>
      </c>
      <c r="W64" s="116" t="n">
        <v>0</v>
      </c>
      <c r="X64" s="116" t="n">
        <v>0</v>
      </c>
      <c r="Y64" s="116" t="n">
        <v>0</v>
      </c>
      <c r="Z64" s="116" t="n">
        <v>0</v>
      </c>
      <c r="AA64" s="116" t="n">
        <v>0</v>
      </c>
      <c r="AB64" s="116" t="n">
        <v>0</v>
      </c>
      <c r="AC64" s="116" t="n">
        <v>0</v>
      </c>
      <c r="AD64" s="116" t="n">
        <v>0</v>
      </c>
      <c r="AE64" s="116" t="n">
        <v>0</v>
      </c>
      <c r="AF64" s="116" t="n">
        <v>0</v>
      </c>
      <c r="AG64" s="116" t="n">
        <v>0</v>
      </c>
      <c r="AH64" s="116" t="n">
        <v>0</v>
      </c>
      <c r="AI64" s="116" t="n">
        <v>0</v>
      </c>
      <c r="AJ64" s="116" t="n">
        <v>0</v>
      </c>
      <c r="AK64" s="116" t="n">
        <v>0</v>
      </c>
      <c r="AL64" s="116" t="n">
        <v>0</v>
      </c>
      <c r="AM64" s="116" t="n">
        <v>0</v>
      </c>
      <c r="AN64" s="116" t="n">
        <v>0</v>
      </c>
      <c r="AO64" s="116" t="n">
        <v>0</v>
      </c>
      <c r="AP64" s="116" t="n">
        <v>0</v>
      </c>
      <c r="AQ64" s="116" t="n">
        <v>0</v>
      </c>
      <c r="AR64" s="116" t="n">
        <v>0</v>
      </c>
      <c r="AS64" s="116" t="n">
        <v>0</v>
      </c>
      <c r="AT64" s="116" t="n">
        <v>0</v>
      </c>
      <c r="AU64" s="116" t="n">
        <v>0</v>
      </c>
      <c r="AV64" s="116" t="n">
        <v>0</v>
      </c>
      <c r="AW64" s="116" t="n">
        <v>0</v>
      </c>
      <c r="AX64" s="116" t="n">
        <v>0</v>
      </c>
      <c r="AY64" s="116" t="n">
        <v>0</v>
      </c>
      <c r="AZ64" s="116" t="n">
        <v>0</v>
      </c>
      <c r="BA64" s="116" t="n">
        <v>0</v>
      </c>
      <c r="BB64" s="116" t="n">
        <v>0</v>
      </c>
      <c r="BC64" s="116" t="n">
        <v>0</v>
      </c>
      <c r="BD64" s="116" t="n">
        <v>0</v>
      </c>
      <c r="BE64" s="116" t="n">
        <v>0</v>
      </c>
      <c r="BF64" s="116" t="n">
        <v>0</v>
      </c>
      <c r="BG64" s="116" t="n">
        <v>0</v>
      </c>
      <c r="BH64" s="116" t="n">
        <v>0</v>
      </c>
      <c r="BI64" s="116" t="n">
        <v>0</v>
      </c>
      <c r="BJ64" s="116" t="n">
        <v>0</v>
      </c>
      <c r="BK64" s="116" t="n">
        <v>0</v>
      </c>
      <c r="BL64" s="116" t="n">
        <v>0</v>
      </c>
      <c r="BM64" s="116" t="n">
        <v>0</v>
      </c>
      <c r="BN64" s="116" t="n">
        <v>0</v>
      </c>
      <c r="BO64" s="116" t="n">
        <v>0</v>
      </c>
      <c r="BP64" s="116" t="n">
        <v>0</v>
      </c>
      <c r="BQ64" s="116" t="n">
        <v>0</v>
      </c>
      <c r="BR64" s="116" t="n">
        <v>0</v>
      </c>
      <c r="BS64" s="116" t="n">
        <v>0</v>
      </c>
      <c r="BT64" s="116" t="n">
        <v>0</v>
      </c>
      <c r="BU64" s="116" t="n">
        <v>0</v>
      </c>
      <c r="BV64" s="116" t="n">
        <v>0</v>
      </c>
      <c r="BW64" s="116" t="n">
        <v>0</v>
      </c>
      <c r="BX64" s="116" t="n">
        <v>0</v>
      </c>
      <c r="BY64" s="116" t="n">
        <v>0</v>
      </c>
      <c r="BZ64" s="116" t="n"/>
      <c r="CA64" s="116" t="n"/>
      <c r="CB64" s="116" t="n"/>
      <c r="CC64" s="673" t="n"/>
      <c r="CD64" s="673" t="n"/>
      <c r="CE64" s="673" t="n"/>
      <c r="CH64" s="6" t="n"/>
      <c r="CV64" s="6" t="n"/>
      <c r="CW64" s="6" t="n"/>
      <c r="CX64" s="6" t="n"/>
      <c r="CY64" s="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6" t="n"/>
      <c r="DQ64" s="6" t="n"/>
      <c r="DR64" s="6" t="n"/>
      <c r="DS64" s="6" t="n"/>
      <c r="DT64" s="58" t="n"/>
      <c r="DU64" s="58" t="n"/>
      <c r="DV64" s="58" t="n"/>
      <c r="DW64" s="6" t="n"/>
      <c r="DX64" s="6" t="n"/>
      <c r="DY64" s="6" t="n"/>
      <c r="DZ64" s="6" t="n"/>
      <c r="EA64" s="6" t="n"/>
      <c r="EB64" s="6" t="n"/>
      <c r="EC64" s="6" t="n"/>
      <c r="ED64" s="289" t="n"/>
      <c r="EE64" s="6" t="n"/>
      <c r="EF64" s="6" t="n"/>
      <c r="EG64" s="6" t="n"/>
      <c r="EH64" s="6" t="n"/>
      <c r="EI64" s="6" t="n"/>
      <c r="EJ64" s="6" t="n"/>
      <c r="EK64" s="289" t="n"/>
      <c r="EL64" s="6" t="n"/>
      <c r="EM64" s="6" t="n"/>
      <c r="EN64" s="6" t="n"/>
      <c r="EO64" s="289" t="n"/>
      <c r="EP64" s="6" t="n"/>
      <c r="EQ64" s="289" t="n"/>
      <c r="ER64" s="6" t="n"/>
      <c r="ES64" s="6" t="n"/>
      <c r="ET64" s="6" t="n"/>
      <c r="EU64" s="6" t="n"/>
      <c r="EV64" s="6" t="n"/>
      <c r="EW64" s="6" t="n"/>
      <c r="EX64" s="6" t="n"/>
      <c r="EY64" s="6" t="n"/>
      <c r="EZ64" s="6" t="n"/>
      <c r="FA64" s="6" t="n"/>
      <c r="FB64" s="6" t="n"/>
      <c r="FC64" s="6" t="n"/>
    </row>
    <row r="65">
      <c r="A65" s="674" t="inlineStr">
        <is>
          <t>LILY BLANCHE</t>
        </is>
      </c>
      <c r="B65" s="658" t="n"/>
      <c r="C65" s="658" t="n"/>
      <c r="D65" s="670" t="n"/>
      <c r="L65" s="116" t="n">
        <v>0</v>
      </c>
      <c r="M65" s="116" t="n">
        <v>60</v>
      </c>
      <c r="N65" s="116" t="n">
        <v>75</v>
      </c>
      <c r="O65" s="116" t="n">
        <v>55</v>
      </c>
      <c r="P65" s="116" t="n">
        <v>55</v>
      </c>
      <c r="Q65" s="116" t="n">
        <v>55</v>
      </c>
      <c r="R65" s="116" t="n">
        <v>40</v>
      </c>
      <c r="S65" s="116" t="n">
        <v>40</v>
      </c>
      <c r="T65" s="116" t="n">
        <v>15</v>
      </c>
      <c r="U65" s="116" t="n">
        <v>0</v>
      </c>
      <c r="V65" s="116" t="n">
        <v>0</v>
      </c>
      <c r="W65" s="116" t="n">
        <v>0</v>
      </c>
      <c r="X65" s="116" t="n">
        <v>0</v>
      </c>
      <c r="Y65" s="116" t="n">
        <v>0</v>
      </c>
      <c r="Z65" s="116" t="n">
        <v>0</v>
      </c>
      <c r="AA65" s="116" t="n">
        <v>0</v>
      </c>
      <c r="AB65" s="116" t="n">
        <v>0</v>
      </c>
      <c r="AC65" s="116" t="n">
        <v>0</v>
      </c>
      <c r="AD65" s="116" t="n">
        <v>0</v>
      </c>
      <c r="AE65" s="116" t="n">
        <v>0</v>
      </c>
      <c r="AF65" s="116" t="n">
        <v>0</v>
      </c>
      <c r="AG65" s="116" t="n">
        <v>0</v>
      </c>
      <c r="AH65" s="116" t="n">
        <v>0</v>
      </c>
      <c r="AI65" s="116" t="n">
        <v>0</v>
      </c>
      <c r="AJ65" s="116" t="n">
        <v>0</v>
      </c>
      <c r="AK65" s="116" t="n">
        <v>0</v>
      </c>
      <c r="AL65" s="116" t="n">
        <v>0</v>
      </c>
      <c r="AM65" s="116" t="n">
        <v>0</v>
      </c>
      <c r="AN65" s="116" t="n">
        <v>0</v>
      </c>
      <c r="AO65" s="116" t="n">
        <v>0</v>
      </c>
      <c r="AP65" s="116" t="n">
        <v>0</v>
      </c>
      <c r="AQ65" s="116" t="n">
        <v>0</v>
      </c>
      <c r="AR65" s="116" t="n">
        <v>0</v>
      </c>
      <c r="AS65" s="116" t="n">
        <v>0</v>
      </c>
      <c r="AT65" s="116" t="n">
        <v>0</v>
      </c>
      <c r="AU65" s="116" t="n">
        <v>0</v>
      </c>
      <c r="AV65" s="116" t="n">
        <v>0</v>
      </c>
      <c r="AW65" s="116" t="n">
        <v>0</v>
      </c>
      <c r="AX65" s="116" t="n">
        <v>0</v>
      </c>
      <c r="AY65" s="116" t="n">
        <v>0</v>
      </c>
      <c r="AZ65" s="116" t="n">
        <v>0</v>
      </c>
      <c r="BA65" s="116" t="n">
        <v>0</v>
      </c>
      <c r="BB65" s="116" t="n">
        <v>0</v>
      </c>
      <c r="BC65" s="116" t="n">
        <v>0</v>
      </c>
      <c r="BD65" s="116" t="n">
        <v>0</v>
      </c>
      <c r="BE65" s="116" t="n">
        <v>0</v>
      </c>
      <c r="BF65" s="116" t="n">
        <v>0</v>
      </c>
      <c r="BG65" s="116" t="n">
        <v>0</v>
      </c>
      <c r="BH65" s="116" t="n">
        <v>0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>
        <v>0</v>
      </c>
      <c r="BZ65" s="116" t="n"/>
      <c r="CA65" s="116" t="n"/>
      <c r="CB65" s="116" t="n"/>
      <c r="CC65" s="673" t="n"/>
      <c r="CD65" s="673" t="n"/>
      <c r="CE65" s="673" t="n"/>
      <c r="CH65" s="6" t="n"/>
      <c r="CV65" s="6" t="n"/>
      <c r="CW65" s="6" t="n"/>
      <c r="CX65" s="6" t="n"/>
      <c r="CY65" s="6" t="n"/>
      <c r="CZ65" s="6" t="n"/>
      <c r="DA65" s="6" t="n"/>
      <c r="DB65" s="6" t="n"/>
      <c r="DC65" s="6" t="n"/>
      <c r="DD65" s="6" t="n"/>
      <c r="DE65" s="6" t="n"/>
      <c r="DF65" s="6" t="n"/>
      <c r="DG65" s="6" t="n"/>
      <c r="DH65" s="6" t="n"/>
      <c r="DI65" s="6" t="n"/>
      <c r="DJ65" s="6" t="n"/>
      <c r="DK65" s="6" t="n"/>
      <c r="DL65" s="6" t="n"/>
      <c r="DM65" s="6" t="n"/>
      <c r="DN65" s="6" t="n"/>
      <c r="DO65" s="6" t="n"/>
      <c r="DP65" s="6" t="n"/>
      <c r="DQ65" s="6" t="n"/>
      <c r="DR65" s="6" t="n"/>
      <c r="DS65" s="6" t="n"/>
      <c r="DT65" s="58" t="n"/>
      <c r="DU65" s="58" t="n"/>
      <c r="DW65" s="6" t="n"/>
      <c r="DX65" s="6" t="n"/>
      <c r="DY65" s="6" t="n"/>
      <c r="DZ65" s="6" t="n"/>
      <c r="EA65" s="6" t="n"/>
      <c r="EB65" s="6" t="n"/>
      <c r="EC65" s="6" t="n"/>
      <c r="ED65" s="290" t="n"/>
      <c r="EE65" s="6" t="n"/>
      <c r="EG65" s="6" t="n"/>
      <c r="EH65" s="6" t="n"/>
      <c r="EI65" s="6" t="n"/>
      <c r="EJ65" s="6" t="n"/>
      <c r="EK65" s="290" t="n"/>
      <c r="EL65" s="6" t="n"/>
      <c r="EM65" s="6" t="n"/>
      <c r="EN65" s="6" t="n"/>
      <c r="EO65" s="290" t="n"/>
      <c r="EP65" s="6" t="n"/>
      <c r="EQ65" s="290" t="n"/>
      <c r="ER65" s="6" t="n"/>
      <c r="ES65" s="6" t="n"/>
      <c r="ET65" s="6" t="n"/>
      <c r="EU65" s="6" t="n"/>
      <c r="EV65" s="6" t="n"/>
      <c r="EW65" s="6" t="n"/>
      <c r="EX65" s="6" t="n"/>
      <c r="EY65" s="6" t="n"/>
      <c r="EZ65" s="6" t="n"/>
      <c r="FB65" s="6" t="n"/>
      <c r="FC65" s="6" t="n"/>
    </row>
    <row r="66">
      <c r="A66" s="674" t="inlineStr">
        <is>
          <t>MEN NBA</t>
        </is>
      </c>
      <c r="B66" s="658" t="n"/>
      <c r="C66" s="658" t="n"/>
      <c r="D66" s="670" t="n"/>
      <c r="O66" s="116" t="n">
        <v>0</v>
      </c>
      <c r="P66" s="116" t="n">
        <v>40</v>
      </c>
      <c r="Q66" s="116" t="n">
        <v>40</v>
      </c>
      <c r="R66" s="116" t="n">
        <v>45</v>
      </c>
      <c r="S66" s="116" t="n">
        <v>35</v>
      </c>
      <c r="T66" s="116" t="n">
        <v>35</v>
      </c>
      <c r="U66" s="116" t="n">
        <v>25</v>
      </c>
      <c r="V66" s="116" t="n">
        <v>25</v>
      </c>
      <c r="W66" s="116" t="n">
        <v>25</v>
      </c>
      <c r="X66" s="116" t="n">
        <v>25</v>
      </c>
      <c r="Y66" s="116" t="n">
        <v>50</v>
      </c>
      <c r="Z66" s="116" t="n">
        <v>25</v>
      </c>
      <c r="AA66" s="116" t="n">
        <v>25</v>
      </c>
      <c r="AB66" s="116" t="n">
        <v>25</v>
      </c>
      <c r="AC66" s="116" t="n">
        <v>15</v>
      </c>
      <c r="AD66" s="116" t="n">
        <v>20</v>
      </c>
      <c r="AE66" s="116" t="n">
        <v>15</v>
      </c>
      <c r="AF66" s="116" t="n">
        <v>15</v>
      </c>
      <c r="AG66" s="116" t="n">
        <v>15</v>
      </c>
      <c r="AH66" s="116" t="n">
        <v>10</v>
      </c>
      <c r="AI66" s="116" t="n">
        <v>8</v>
      </c>
      <c r="AJ66" s="116" t="n">
        <v>0</v>
      </c>
      <c r="AK66" s="116" t="n">
        <v>0</v>
      </c>
      <c r="AL66" s="116" t="n">
        <v>0</v>
      </c>
      <c r="AM66" s="116" t="n">
        <v>0</v>
      </c>
      <c r="AN66" s="116" t="n">
        <v>0</v>
      </c>
      <c r="AO66" s="116" t="n">
        <v>0</v>
      </c>
      <c r="AP66" s="116" t="n">
        <v>0</v>
      </c>
      <c r="AQ66" s="116" t="n">
        <v>10</v>
      </c>
      <c r="AR66" s="116" t="n">
        <v>10</v>
      </c>
      <c r="AS66" s="116" t="n">
        <v>10</v>
      </c>
      <c r="AT66" s="116" t="n">
        <v>10</v>
      </c>
      <c r="AU66" s="116" t="n">
        <v>9</v>
      </c>
      <c r="AV66" s="116" t="n">
        <v>9</v>
      </c>
      <c r="AW66" s="116" t="n">
        <v>5</v>
      </c>
      <c r="AX66" s="116" t="n">
        <v>0</v>
      </c>
      <c r="AY66" s="116" t="n">
        <v>0</v>
      </c>
      <c r="AZ66" s="116" t="n">
        <v>0</v>
      </c>
      <c r="BA66" s="116" t="n">
        <v>0</v>
      </c>
      <c r="BB66" s="116" t="n">
        <v>0</v>
      </c>
      <c r="BC66" s="116" t="n">
        <v>0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  <c r="CB66" s="116" t="n"/>
      <c r="CC66" s="673" t="n"/>
      <c r="CD66" s="673" t="n"/>
      <c r="CE66" s="673" t="n"/>
      <c r="CH66" s="6" t="n"/>
      <c r="CV66" s="6" t="n"/>
      <c r="CW66" s="6" t="n"/>
      <c r="CX66" s="6" t="n"/>
      <c r="CY66" s="6" t="n"/>
      <c r="CZ66" s="6" t="n"/>
      <c r="DA66" s="6" t="n"/>
      <c r="DB66" s="6" t="n"/>
      <c r="DC66" s="6" t="n"/>
      <c r="DF66" s="6" t="n"/>
      <c r="DG66" s="6" t="n"/>
      <c r="DH66" s="6" t="n"/>
      <c r="DJ66" s="6" t="n"/>
      <c r="DK66" s="6" t="n"/>
      <c r="DL66" s="6" t="n"/>
      <c r="DM66" s="6" t="n"/>
      <c r="DN66" s="6" t="n"/>
      <c r="DO66" s="6" t="n"/>
      <c r="DP66" s="6" t="n"/>
      <c r="DQ66" s="6" t="n"/>
      <c r="DR66" s="6" t="n"/>
      <c r="DS66" s="6" t="n"/>
      <c r="DW66" s="6" t="n"/>
      <c r="DX66" s="6" t="n"/>
      <c r="DY66" s="6" t="n"/>
      <c r="DZ66" s="6" t="n"/>
      <c r="EA66" s="6" t="n"/>
      <c r="EB66" s="6" t="n"/>
      <c r="EC66" s="6" t="n"/>
      <c r="ED66" s="290" t="n"/>
      <c r="EE66" s="6" t="n"/>
      <c r="EG66" s="6" t="n"/>
      <c r="EH66" s="6" t="n"/>
      <c r="EI66" s="6" t="n"/>
      <c r="EJ66" s="6" t="n"/>
      <c r="EK66" s="290" t="n"/>
      <c r="EL66" s="6" t="n"/>
      <c r="EM66" s="6" t="n"/>
      <c r="EN66" s="6" t="n"/>
      <c r="EO66" s="290" t="n"/>
      <c r="EP66" s="6" t="n"/>
      <c r="EQ66" s="290" t="n"/>
      <c r="ER66" s="6" t="n"/>
      <c r="ES66" s="6" t="n"/>
      <c r="ET66" s="6" t="n"/>
      <c r="EU66" s="6" t="n"/>
      <c r="EV66" s="6" t="n"/>
      <c r="EW66" s="6" t="n"/>
      <c r="EX66" s="6" t="n"/>
      <c r="EY66" s="6" t="n"/>
      <c r="EZ66" s="6" t="n"/>
      <c r="FB66" s="6" t="n"/>
      <c r="FC66" s="6" t="n"/>
    </row>
    <row r="67">
      <c r="A67" s="674" t="inlineStr">
        <is>
          <t>ARBO ATLANTICA</t>
        </is>
      </c>
      <c r="B67" s="658" t="n"/>
      <c r="C67" s="658" t="n"/>
      <c r="D67" s="670" t="n"/>
      <c r="S67" s="116" t="n">
        <v>0</v>
      </c>
      <c r="T67" s="116" t="n">
        <v>70</v>
      </c>
      <c r="U67" s="116" t="n">
        <v>60</v>
      </c>
      <c r="V67" s="116" t="n">
        <v>60</v>
      </c>
      <c r="W67" s="116" t="n">
        <v>60</v>
      </c>
      <c r="X67" s="116" t="n">
        <v>60</v>
      </c>
      <c r="Y67" s="116" t="n">
        <v>50</v>
      </c>
      <c r="Z67" s="116" t="n">
        <v>50</v>
      </c>
      <c r="AA67" s="116" t="n">
        <v>50</v>
      </c>
      <c r="AB67" s="116" t="n">
        <v>50</v>
      </c>
      <c r="AC67" s="116" t="n">
        <v>30</v>
      </c>
      <c r="AD67" s="116" t="n">
        <v>20</v>
      </c>
      <c r="AE67" s="116" t="n">
        <v>20</v>
      </c>
      <c r="AF67" s="116" t="n">
        <v>20</v>
      </c>
      <c r="AG67" s="116" t="n">
        <v>20</v>
      </c>
      <c r="AH67" s="116" t="n">
        <v>9</v>
      </c>
      <c r="AI67" s="116" t="n">
        <v>9</v>
      </c>
      <c r="AJ67" s="116" t="n">
        <v>0</v>
      </c>
      <c r="AK67" s="116" t="n">
        <v>0</v>
      </c>
      <c r="AL67" s="116" t="n">
        <v>0</v>
      </c>
      <c r="AM67" s="116" t="n">
        <v>0</v>
      </c>
      <c r="AN67" s="116" t="n">
        <v>0</v>
      </c>
      <c r="AO67" s="116" t="n">
        <v>0</v>
      </c>
      <c r="AP67" s="116" t="n">
        <v>0</v>
      </c>
      <c r="AQ67" s="116" t="n">
        <v>10</v>
      </c>
      <c r="AR67" s="116" t="n">
        <v>10</v>
      </c>
      <c r="AS67" s="116" t="n">
        <v>10</v>
      </c>
      <c r="AT67" s="116" t="n">
        <v>6</v>
      </c>
      <c r="AU67" s="116" t="n">
        <v>9</v>
      </c>
      <c r="AV67" s="116" t="n">
        <v>9</v>
      </c>
      <c r="AW67" s="116" t="n">
        <v>5</v>
      </c>
      <c r="AX67" s="116" t="n">
        <v>5</v>
      </c>
      <c r="AY67" s="116" t="n">
        <v>5</v>
      </c>
      <c r="AZ67" s="116" t="n">
        <v>5</v>
      </c>
      <c r="BA67" s="116" t="n">
        <v>0</v>
      </c>
      <c r="BB67" s="116" t="n">
        <v>0</v>
      </c>
      <c r="BC67" s="116" t="n">
        <v>0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  <c r="CB67" s="116" t="n"/>
      <c r="CC67" s="673" t="n"/>
      <c r="CD67" s="673" t="n"/>
      <c r="CE67" s="673" t="n"/>
      <c r="CH67" s="6" t="n"/>
      <c r="CV67" s="6" t="n"/>
      <c r="CW67" s="6" t="n"/>
      <c r="CX67" s="6" t="n"/>
      <c r="CY67" s="6" t="n"/>
      <c r="CZ67" s="6" t="n"/>
      <c r="DA67" s="6" t="n"/>
      <c r="DB67" s="6" t="n"/>
      <c r="DC67" s="6" t="n"/>
      <c r="DF67" s="6" t="n"/>
      <c r="DG67" s="6" t="n"/>
      <c r="DH67" s="6" t="n"/>
      <c r="DJ67" s="6" t="n"/>
      <c r="DK67" s="6" t="n"/>
      <c r="DL67" s="6" t="n"/>
      <c r="DM67" s="6" t="n"/>
      <c r="DN67" s="6" t="n"/>
      <c r="DO67" s="6" t="n"/>
      <c r="DP67" s="6" t="n"/>
      <c r="DQ67" s="6" t="n"/>
      <c r="DR67" s="6" t="n"/>
      <c r="ED67" s="291" t="n"/>
      <c r="EG67" s="6" t="n"/>
      <c r="EH67" s="6" t="n"/>
      <c r="EJ67" s="6" t="n"/>
      <c r="EK67" s="291" t="n"/>
      <c r="EL67" s="6" t="n"/>
      <c r="EM67" s="6" t="n"/>
      <c r="EN67" s="6" t="n"/>
      <c r="EO67" s="291" t="n"/>
      <c r="EP67" s="6" t="n"/>
      <c r="EQ67" s="291" t="n"/>
      <c r="ER67" s="6" t="n"/>
      <c r="ET67" s="6" t="n"/>
      <c r="EV67" s="6" t="n"/>
      <c r="EX67" s="6" t="n"/>
      <c r="EY67" s="6" t="n"/>
      <c r="EZ67" s="6" t="n"/>
      <c r="FB67" s="6" t="n"/>
      <c r="FC67" s="6" t="n"/>
    </row>
    <row r="68">
      <c r="A68" s="674" t="inlineStr">
        <is>
          <t>QUASAR DEEP BLUE</t>
        </is>
      </c>
      <c r="B68" s="658" t="n"/>
      <c r="C68" s="658" t="n"/>
      <c r="D68" s="670" t="n"/>
      <c r="S68" s="116" t="n">
        <v>0</v>
      </c>
      <c r="T68" s="116" t="n">
        <v>70</v>
      </c>
      <c r="U68" s="116" t="n">
        <v>70</v>
      </c>
      <c r="V68" s="116" t="n">
        <v>70</v>
      </c>
      <c r="W68" s="116" t="n">
        <v>70</v>
      </c>
      <c r="X68" s="116" t="n">
        <v>70</v>
      </c>
      <c r="Y68" s="116" t="n">
        <v>60</v>
      </c>
      <c r="Z68" s="116" t="n">
        <v>50</v>
      </c>
      <c r="AA68" s="116" t="n">
        <v>50</v>
      </c>
      <c r="AB68" s="116" t="n">
        <v>50</v>
      </c>
      <c r="AC68" s="116" t="n">
        <v>40</v>
      </c>
      <c r="AD68" s="116" t="n">
        <v>30</v>
      </c>
      <c r="AE68" s="116" t="n">
        <v>30</v>
      </c>
      <c r="AF68" s="116" t="n">
        <v>30</v>
      </c>
      <c r="AG68" s="116" t="n">
        <v>30</v>
      </c>
      <c r="AH68" s="116" t="n">
        <v>30</v>
      </c>
      <c r="AI68" s="116" t="n">
        <v>30</v>
      </c>
      <c r="AJ68" s="116" t="n">
        <v>20</v>
      </c>
      <c r="AK68" s="116" t="n">
        <v>5</v>
      </c>
      <c r="AL68" s="116" t="n">
        <v>20</v>
      </c>
      <c r="AM68" s="116" t="n">
        <v>20</v>
      </c>
      <c r="AN68" s="116" t="n">
        <v>0</v>
      </c>
      <c r="AO68" s="116" t="n">
        <v>0</v>
      </c>
      <c r="AP68" s="116" t="n">
        <v>0</v>
      </c>
      <c r="AQ68" s="116" t="n">
        <v>30</v>
      </c>
      <c r="AR68" s="116" t="n">
        <v>30</v>
      </c>
      <c r="AS68" s="116" t="n">
        <v>30</v>
      </c>
      <c r="AT68" s="116" t="n">
        <v>14</v>
      </c>
      <c r="AU68" s="116" t="n">
        <v>14</v>
      </c>
      <c r="AV68" s="116" t="n">
        <v>14</v>
      </c>
      <c r="AW68" s="116" t="n">
        <v>10</v>
      </c>
      <c r="AX68" s="116" t="n">
        <v>5</v>
      </c>
      <c r="AY68" s="116" t="n">
        <v>5</v>
      </c>
      <c r="AZ68" s="116" t="n">
        <v>5</v>
      </c>
      <c r="BA68" s="116" t="n">
        <v>0</v>
      </c>
      <c r="BB68" s="116" t="n">
        <v>0</v>
      </c>
      <c r="BC68" s="116" t="n">
        <v>0</v>
      </c>
      <c r="BD68" s="116" t="n">
        <v>0</v>
      </c>
      <c r="BE68" s="116" t="n">
        <v>0</v>
      </c>
      <c r="BF68" s="116" t="n">
        <v>0</v>
      </c>
      <c r="BG68" s="116" t="n">
        <v>0</v>
      </c>
      <c r="BH68" s="116" t="n">
        <v>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>
        <v>0</v>
      </c>
      <c r="BZ68" s="116" t="n"/>
      <c r="CA68" s="116" t="n"/>
      <c r="CB68" s="116" t="n"/>
      <c r="CC68" s="673" t="n"/>
      <c r="CD68" s="673" t="n"/>
      <c r="CE68" s="673" t="n"/>
      <c r="CV68" s="6" t="n"/>
      <c r="CW68" s="6" t="n"/>
      <c r="CX68" s="6" t="n"/>
      <c r="CY68" s="6" t="n"/>
      <c r="CZ68" s="6" t="n"/>
      <c r="DA68" s="6" t="n"/>
      <c r="DB68" s="6" t="n"/>
      <c r="DC68" s="6" t="n"/>
      <c r="DF68" s="6" t="n"/>
      <c r="DG68" s="6" t="n"/>
      <c r="DH68" s="6" t="n"/>
      <c r="DJ68" s="6" t="n"/>
      <c r="DK68" s="6" t="n"/>
      <c r="DL68" s="6" t="n"/>
      <c r="DM68" s="6" t="n"/>
      <c r="DN68" s="6" t="n"/>
      <c r="DO68" s="6" t="n"/>
      <c r="DP68" s="6" t="n"/>
      <c r="DQ68" s="6" t="n"/>
      <c r="DS68" s="6" t="n"/>
      <c r="DW68" s="6" t="n"/>
      <c r="DX68" s="6" t="n"/>
      <c r="DY68" s="6" t="n"/>
      <c r="DZ68" s="6" t="n"/>
      <c r="EA68" s="6" t="n"/>
      <c r="EB68" s="6" t="n"/>
      <c r="EC68" s="6" t="n"/>
      <c r="ED68" s="291" t="n"/>
      <c r="EE68" s="6" t="n"/>
      <c r="EG68" s="6" t="n"/>
      <c r="EH68" s="6" t="n"/>
      <c r="EI68" s="6" t="n"/>
      <c r="EJ68" s="6" t="n"/>
      <c r="EK68" s="291" t="n"/>
      <c r="EL68" s="6" t="n"/>
      <c r="EM68" s="6" t="n"/>
      <c r="EN68" s="6" t="n"/>
      <c r="EO68" s="291" t="n"/>
      <c r="EP68" s="6" t="n"/>
      <c r="EQ68" s="291" t="n"/>
      <c r="ER68" s="6" t="n"/>
      <c r="ES68" s="6" t="n"/>
      <c r="ET68" s="6" t="n"/>
      <c r="EU68" s="6" t="n"/>
      <c r="EV68" s="6" t="n"/>
      <c r="EW68" s="6" t="n"/>
      <c r="EX68" s="6" t="n"/>
      <c r="EY68" s="6" t="n"/>
      <c r="EZ68" s="6" t="n"/>
      <c r="FB68" s="6" t="n"/>
      <c r="FC68" s="6" t="n"/>
    </row>
    <row r="69">
      <c r="A69" s="674" t="inlineStr">
        <is>
          <t>EGEO COGU</t>
        </is>
      </c>
      <c r="B69" s="658" t="n"/>
      <c r="C69" s="658" t="n"/>
      <c r="D69" s="670" t="n"/>
      <c r="AG69" s="116" t="n">
        <v>0</v>
      </c>
      <c r="AH69" s="116" t="n">
        <v>50</v>
      </c>
      <c r="AI69" s="116" t="n">
        <v>39</v>
      </c>
      <c r="AJ69" s="116" t="n">
        <v>0</v>
      </c>
      <c r="AK69" s="116" t="n">
        <v>0</v>
      </c>
      <c r="AL69" s="116" t="n">
        <v>0</v>
      </c>
      <c r="AM69" s="116" t="n">
        <v>0</v>
      </c>
      <c r="AN69" s="116" t="n">
        <v>0</v>
      </c>
      <c r="AO69" s="116" t="n">
        <v>0</v>
      </c>
      <c r="AP69" s="116" t="n">
        <v>0</v>
      </c>
      <c r="AQ69" s="116" t="n">
        <v>0</v>
      </c>
      <c r="AR69" s="116" t="n">
        <v>0</v>
      </c>
      <c r="AS69" s="116" t="n">
        <v>0</v>
      </c>
      <c r="AT69" s="116" t="n">
        <v>0</v>
      </c>
      <c r="AU69" s="116" t="n">
        <v>0</v>
      </c>
      <c r="AV69" s="116" t="n">
        <v>0</v>
      </c>
      <c r="AW69" s="116" t="n">
        <v>0</v>
      </c>
      <c r="AX69" s="116" t="n">
        <v>0</v>
      </c>
      <c r="AY69" s="116" t="n">
        <v>0</v>
      </c>
      <c r="AZ69" s="116" t="n">
        <v>0</v>
      </c>
      <c r="BA69" s="116" t="n">
        <v>0</v>
      </c>
      <c r="BB69" s="116" t="n">
        <v>0</v>
      </c>
      <c r="BC69" s="116" t="n">
        <v>0</v>
      </c>
      <c r="BD69" s="116" t="n">
        <v>0</v>
      </c>
      <c r="BE69" s="116" t="n">
        <v>0</v>
      </c>
      <c r="BF69" s="116" t="n">
        <v>0</v>
      </c>
      <c r="BG69" s="116" t="n">
        <v>0</v>
      </c>
      <c r="BH69" s="116" t="n">
        <v>0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>
        <v>0</v>
      </c>
      <c r="BZ69" s="116" t="n"/>
      <c r="CA69" s="116" t="n"/>
      <c r="CB69" s="116" t="n"/>
      <c r="CC69" s="673" t="n"/>
      <c r="CD69" s="673" t="n"/>
      <c r="CE69" s="673" t="n"/>
      <c r="DR69" s="6" t="n"/>
      <c r="ED69" s="291" t="n"/>
      <c r="EG69" s="6" t="n"/>
      <c r="EH69" s="6" t="n"/>
      <c r="EJ69" s="6" t="n"/>
      <c r="EK69" s="291" t="n"/>
      <c r="EL69" s="6" t="n"/>
      <c r="EM69" s="6" t="n"/>
      <c r="EN69" s="6" t="n"/>
      <c r="EO69" s="291" t="n"/>
      <c r="EP69" s="6" t="n"/>
      <c r="EQ69" s="291" t="n"/>
      <c r="ER69" s="6" t="n"/>
      <c r="ET69" s="6" t="n"/>
      <c r="EV69" s="6" t="n"/>
      <c r="EX69" s="6" t="n"/>
      <c r="EY69" s="6" t="n"/>
      <c r="EZ69" s="6" t="n"/>
      <c r="FB69" s="6" t="n"/>
      <c r="FC69" s="6" t="n"/>
    </row>
    <row r="70">
      <c r="A70" s="674" t="inlineStr">
        <is>
          <t>ZAAD INTENSE</t>
        </is>
      </c>
      <c r="B70" s="658" t="n"/>
      <c r="C70" s="658" t="n"/>
      <c r="D70" s="670" t="n"/>
      <c r="AH70" s="116" t="n">
        <v>0</v>
      </c>
      <c r="AI70" s="116" t="n">
        <v>15</v>
      </c>
      <c r="AJ70" s="116" t="n">
        <v>15</v>
      </c>
      <c r="AK70" s="116" t="n">
        <v>15</v>
      </c>
      <c r="AL70" s="116" t="n">
        <v>15</v>
      </c>
      <c r="AM70" s="116" t="n">
        <v>15</v>
      </c>
      <c r="AN70" s="116" t="n">
        <v>0</v>
      </c>
      <c r="AO70" s="116" t="n">
        <v>0</v>
      </c>
      <c r="AP70" s="116" t="n">
        <v>0</v>
      </c>
      <c r="AQ70" s="116" t="n">
        <v>0</v>
      </c>
      <c r="AR70" s="116" t="n">
        <v>0</v>
      </c>
      <c r="AS70" s="116" t="n">
        <v>0</v>
      </c>
      <c r="AT70" s="116" t="n">
        <v>0</v>
      </c>
      <c r="AU70" s="116" t="n">
        <v>0</v>
      </c>
      <c r="AV70" s="116" t="n">
        <v>0</v>
      </c>
      <c r="AW70" s="116" t="n">
        <v>0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  <c r="CB70" s="116" t="n"/>
      <c r="CC70" s="673" t="n"/>
      <c r="CD70" s="673" t="n"/>
      <c r="CE70" s="673" t="n"/>
      <c r="CV70" s="6" t="n"/>
      <c r="CW70" s="6" t="n"/>
      <c r="CX70" s="6" t="n"/>
      <c r="CY70" s="6" t="n"/>
      <c r="CZ70" s="6" t="n"/>
      <c r="DA70" s="6" t="n"/>
      <c r="DB70" s="6" t="n"/>
      <c r="DC70" s="6" t="n"/>
      <c r="DF70" s="6" t="n"/>
      <c r="DG70" s="6" t="n"/>
      <c r="DH70" s="6" t="n"/>
      <c r="DJ70" s="6" t="n"/>
      <c r="DK70" s="6" t="n"/>
      <c r="DL70" s="6" t="n"/>
      <c r="DM70" s="6" t="n"/>
      <c r="DN70" s="6" t="n"/>
      <c r="DO70" s="6" t="n"/>
      <c r="DP70" s="6" t="n"/>
      <c r="DQ70" s="6" t="n"/>
      <c r="ED70" s="291" t="n"/>
      <c r="EG70" s="6" t="n"/>
      <c r="EH70" s="6" t="n"/>
      <c r="EJ70" s="6" t="n"/>
      <c r="EK70" s="291" t="n"/>
      <c r="EO70" s="291" t="n"/>
      <c r="EQ70" s="291" t="n"/>
    </row>
    <row r="71">
      <c r="A71" s="674" t="inlineStr">
        <is>
          <t xml:space="preserve">COFFEE ADDICTIVE </t>
        </is>
      </c>
      <c r="B71" s="658" t="n"/>
      <c r="C71" s="658" t="n"/>
      <c r="D71" s="670" t="n"/>
      <c r="AP71" s="116" t="n">
        <v>0</v>
      </c>
      <c r="AQ71" s="116" t="n">
        <v>20</v>
      </c>
      <c r="AR71" s="116" t="n">
        <v>20</v>
      </c>
      <c r="AS71" s="116" t="n">
        <v>20</v>
      </c>
      <c r="AT71" s="116" t="n">
        <v>20</v>
      </c>
      <c r="AU71" s="116" t="n">
        <v>19</v>
      </c>
      <c r="AV71" s="116" t="n">
        <v>19</v>
      </c>
      <c r="AW71" s="116" t="n">
        <v>10</v>
      </c>
      <c r="AX71" s="116" t="n">
        <v>5</v>
      </c>
      <c r="AY71" s="116" t="n">
        <v>5</v>
      </c>
      <c r="AZ71" s="116" t="n">
        <v>5</v>
      </c>
      <c r="BA71" s="116" t="n">
        <v>0</v>
      </c>
      <c r="BB71" s="116" t="n">
        <v>0</v>
      </c>
      <c r="BC71" s="116" t="n">
        <v>0</v>
      </c>
      <c r="BD71" s="116" t="n">
        <v>0</v>
      </c>
      <c r="BE71" s="116" t="n">
        <v>0</v>
      </c>
      <c r="BF71" s="116" t="n">
        <v>0</v>
      </c>
      <c r="BG71" s="116" t="n">
        <v>0</v>
      </c>
      <c r="BH71" s="116" t="n">
        <v>0</v>
      </c>
      <c r="BI71" s="116" t="n">
        <v>0</v>
      </c>
      <c r="BJ71" s="116" t="n">
        <v>0</v>
      </c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0</v>
      </c>
      <c r="BV71" s="116" t="n">
        <v>0</v>
      </c>
      <c r="BW71" s="116" t="n">
        <v>0</v>
      </c>
      <c r="BX71" s="116" t="n">
        <v>0</v>
      </c>
      <c r="BY71" s="116" t="n">
        <v>0</v>
      </c>
      <c r="BZ71" s="116" t="n"/>
      <c r="CA71" s="116" t="n"/>
      <c r="CB71" s="116" t="n"/>
      <c r="CC71" s="673" t="n"/>
      <c r="CD71" s="673" t="n"/>
      <c r="CE71" s="673" t="n"/>
      <c r="DS71" s="57" t="n"/>
      <c r="DV71" s="6" t="n"/>
      <c r="DW71" s="57" t="n"/>
      <c r="DX71" s="57" t="n"/>
      <c r="DY71" s="57" t="n"/>
      <c r="DZ71" s="57" t="n"/>
      <c r="EA71" s="57" t="n"/>
      <c r="EB71" s="57" t="n"/>
      <c r="EC71" s="57" t="n"/>
      <c r="ED71" s="291" t="n"/>
      <c r="EE71" s="57" t="n"/>
      <c r="EI71" s="57" t="n"/>
      <c r="EK71" s="291" t="n"/>
      <c r="EL71" s="6" t="n"/>
      <c r="EM71" s="6" t="n"/>
      <c r="EN71" s="6" t="n"/>
      <c r="EO71" s="291" t="n"/>
      <c r="EP71" s="6" t="n"/>
      <c r="EQ71" s="291" t="n"/>
      <c r="ER71" s="6" t="n"/>
      <c r="ES71" s="57" t="n"/>
      <c r="ET71" s="6" t="n"/>
      <c r="EU71" s="57" t="n"/>
      <c r="EV71" s="6" t="n"/>
      <c r="EW71" s="57" t="n"/>
      <c r="EX71" s="6" t="n"/>
      <c r="EY71" s="6" t="n"/>
      <c r="EZ71" s="6" t="n"/>
      <c r="FB71" s="6" t="n"/>
      <c r="FC71" s="6" t="n"/>
    </row>
    <row r="72">
      <c r="A72" s="674" t="inlineStr">
        <is>
          <t>HER CODE TOUCH</t>
        </is>
      </c>
      <c r="B72" s="658" t="n"/>
      <c r="C72" s="658" t="n"/>
      <c r="D72" s="670" t="n"/>
      <c r="AP72" s="116" t="n">
        <v>0</v>
      </c>
      <c r="AQ72" s="116" t="n">
        <v>15</v>
      </c>
      <c r="AR72" s="116" t="n">
        <v>15</v>
      </c>
      <c r="AS72" s="116" t="n">
        <v>15</v>
      </c>
      <c r="AT72" s="116" t="n">
        <v>10</v>
      </c>
      <c r="AU72" s="116" t="n">
        <v>0</v>
      </c>
      <c r="AV72" s="116" t="n">
        <v>0</v>
      </c>
      <c r="AW72" s="116" t="n">
        <v>0</v>
      </c>
      <c r="AX72" s="116" t="n">
        <v>0</v>
      </c>
      <c r="AY72" s="116" t="n">
        <v>0</v>
      </c>
      <c r="AZ72" s="116" t="n">
        <v>0</v>
      </c>
      <c r="BA72" s="116" t="n">
        <v>0</v>
      </c>
      <c r="BB72" s="116" t="n">
        <v>0</v>
      </c>
      <c r="BC72" s="116" t="n">
        <v>0</v>
      </c>
      <c r="BD72" s="116" t="n">
        <v>0</v>
      </c>
      <c r="BE72" s="116" t="n">
        <v>0</v>
      </c>
      <c r="BF72" s="116" t="n">
        <v>0</v>
      </c>
      <c r="BG72" s="116" t="n">
        <v>0</v>
      </c>
      <c r="BH72" s="116" t="n">
        <v>0</v>
      </c>
      <c r="BI72" s="116" t="n">
        <v>0</v>
      </c>
      <c r="BJ72" s="116" t="n">
        <v>0</v>
      </c>
      <c r="BK72" s="116" t="n">
        <v>0</v>
      </c>
      <c r="BL72" s="116" t="n">
        <v>0</v>
      </c>
      <c r="BM72" s="116" t="n">
        <v>0</v>
      </c>
      <c r="BN72" s="116" t="n">
        <v>0</v>
      </c>
      <c r="BO72" s="116" t="n">
        <v>0</v>
      </c>
      <c r="BP72" s="116" t="n">
        <v>0</v>
      </c>
      <c r="BQ72" s="116" t="n">
        <v>0</v>
      </c>
      <c r="BR72" s="116" t="n">
        <v>0</v>
      </c>
      <c r="BS72" s="116" t="n">
        <v>0</v>
      </c>
      <c r="BT72" s="116" t="n">
        <v>0</v>
      </c>
      <c r="BU72" s="116" t="n">
        <v>0</v>
      </c>
      <c r="BV72" s="116" t="n">
        <v>0</v>
      </c>
      <c r="BW72" s="116" t="n">
        <v>0</v>
      </c>
      <c r="BX72" s="116" t="n">
        <v>0</v>
      </c>
      <c r="BY72" s="116" t="n">
        <v>0</v>
      </c>
      <c r="BZ72" s="116" t="n"/>
      <c r="CA72" s="116" t="n"/>
      <c r="CB72" s="116" t="n"/>
      <c r="CC72" s="673" t="n"/>
      <c r="CD72" s="673" t="n"/>
      <c r="CE72" s="673" t="n"/>
      <c r="DR72" s="57" t="n"/>
      <c r="DS72" s="57" t="n"/>
      <c r="DT72" s="6" t="n"/>
      <c r="DU72" s="6" t="n"/>
      <c r="DV72" s="6" t="n"/>
      <c r="DW72" s="57" t="n"/>
      <c r="DX72" s="57" t="n"/>
      <c r="DY72" s="57" t="n"/>
      <c r="DZ72" s="57" t="n"/>
      <c r="EA72" s="57" t="n"/>
      <c r="EB72" s="57" t="n"/>
      <c r="EC72" s="57" t="n"/>
      <c r="ED72" s="291" t="n"/>
      <c r="EE72" s="57" t="n"/>
      <c r="EG72" s="6" t="n"/>
      <c r="EH72" s="6" t="n"/>
      <c r="EI72" s="57" t="n"/>
      <c r="EJ72" s="6" t="n"/>
      <c r="EK72" s="291" t="n"/>
      <c r="EL72" s="6" t="n"/>
      <c r="EM72" s="6" t="n"/>
      <c r="EN72" s="6" t="n"/>
      <c r="EO72" s="291" t="n"/>
      <c r="EP72" s="6" t="n"/>
      <c r="EQ72" s="291" t="n"/>
      <c r="ER72" s="6" t="n"/>
      <c r="ES72" s="57" t="n"/>
      <c r="ET72" s="6" t="n"/>
      <c r="EU72" s="57" t="n"/>
      <c r="EV72" s="6" t="n"/>
      <c r="EW72" s="57" t="n"/>
      <c r="EX72" s="6" t="n"/>
      <c r="EY72" s="6" t="n"/>
      <c r="EZ72" s="6" t="n"/>
      <c r="FB72" s="6" t="n"/>
      <c r="FC72" s="6" t="n"/>
    </row>
    <row r="73">
      <c r="A73" s="674" t="inlineStr">
        <is>
          <t>CEREJA DE FASES</t>
        </is>
      </c>
      <c r="B73" s="658" t="n"/>
      <c r="C73" s="658" t="n"/>
      <c r="D73" s="670" t="n"/>
      <c r="AP73" s="116" t="n"/>
      <c r="AQ73" s="116" t="n"/>
      <c r="AR73" s="116" t="n"/>
      <c r="AS73" s="116" t="n"/>
      <c r="AT73" s="116" t="n"/>
      <c r="AU73" s="116" t="n"/>
      <c r="AV73" s="116" t="n"/>
      <c r="AW73" s="116" t="n"/>
      <c r="AX73" s="116" t="n"/>
      <c r="AY73" s="116" t="n"/>
      <c r="AZ73" s="116" t="n"/>
      <c r="BA73" s="116" t="n"/>
      <c r="BB73" s="116" t="n"/>
      <c r="BC73" s="116" t="n"/>
      <c r="BD73" s="116" t="n"/>
      <c r="BE73" s="116" t="n"/>
      <c r="BF73" s="116" t="n"/>
      <c r="BG73" s="116" t="n"/>
      <c r="BH73" s="116" t="n"/>
      <c r="BI73" s="116" t="n"/>
      <c r="BJ73" s="116" t="n"/>
      <c r="BK73" s="116" t="n"/>
      <c r="BL73" s="116" t="n">
        <v>0</v>
      </c>
      <c r="BM73" s="116" t="n">
        <v>0</v>
      </c>
      <c r="BN73" s="116" t="n">
        <v>0</v>
      </c>
      <c r="BO73" s="116" t="n">
        <v>0</v>
      </c>
      <c r="BP73" s="116" t="n">
        <v>0</v>
      </c>
      <c r="BQ73" s="116" t="n">
        <v>0</v>
      </c>
      <c r="BR73" s="116" t="n">
        <v>102</v>
      </c>
      <c r="BS73" s="116" t="n">
        <v>102</v>
      </c>
      <c r="BT73" s="116" t="n">
        <v>82</v>
      </c>
      <c r="BU73" s="116" t="n">
        <v>70</v>
      </c>
      <c r="BV73" s="116" t="n">
        <v>70</v>
      </c>
      <c r="BW73" s="116" t="n">
        <v>70</v>
      </c>
      <c r="BX73" s="116" t="n">
        <v>50</v>
      </c>
      <c r="BY73" s="116" t="n">
        <v>50</v>
      </c>
      <c r="BZ73" s="116" t="n"/>
      <c r="CA73" s="116" t="n"/>
      <c r="CB73" s="116" t="n"/>
      <c r="CC73" s="673" t="n"/>
      <c r="CD73" s="673" t="n"/>
      <c r="CE73" s="673" t="n"/>
      <c r="CV73" s="57" t="n"/>
      <c r="CW73" s="57" t="n"/>
      <c r="CX73" s="57" t="n"/>
      <c r="CY73" s="57" t="n"/>
      <c r="CZ73" s="57" t="n"/>
      <c r="DA73" s="57" t="n"/>
      <c r="DB73" s="57" t="n"/>
      <c r="DC73" s="57" t="n"/>
      <c r="DF73" s="57" t="n"/>
      <c r="DG73" s="57" t="n"/>
      <c r="DH73" s="57" t="n"/>
      <c r="DJ73" s="57" t="n"/>
      <c r="DK73" s="57" t="n"/>
      <c r="DL73" s="57" t="n"/>
      <c r="DM73" s="57" t="n"/>
      <c r="DN73" s="57" t="n"/>
      <c r="DO73" s="57" t="n"/>
      <c r="DP73" s="57" t="n"/>
      <c r="DQ73" s="57" t="n"/>
      <c r="DR73" s="57" t="n"/>
      <c r="DS73" s="57" t="n"/>
      <c r="DT73" s="6" t="n"/>
      <c r="DU73" s="6" t="n"/>
      <c r="DV73" s="6" t="n"/>
      <c r="DW73" s="57" t="n"/>
      <c r="DX73" s="57" t="n"/>
      <c r="DY73" s="57" t="n"/>
      <c r="DZ73" s="57" t="n"/>
      <c r="EA73" s="57" t="n"/>
      <c r="EB73" s="57" t="n"/>
      <c r="EC73" s="57" t="n"/>
      <c r="ED73" s="289" t="n"/>
      <c r="EE73" s="57" t="n"/>
      <c r="EG73" s="6" t="n"/>
      <c r="EH73" s="6" t="n"/>
      <c r="EI73" s="57" t="n"/>
      <c r="EJ73" s="6" t="n"/>
      <c r="EK73" s="289" t="n"/>
      <c r="EO73" s="289" t="n"/>
      <c r="EQ73" s="289" t="n"/>
      <c r="ES73" s="57" t="n"/>
      <c r="EU73" s="57" t="n"/>
      <c r="EW73" s="57" t="n"/>
    </row>
    <row r="74">
      <c r="A74" s="674" t="inlineStr">
        <is>
          <t>AMEIXA DOURADA</t>
        </is>
      </c>
      <c r="B74" s="658" t="n"/>
      <c r="C74" s="658" t="n"/>
      <c r="D74" s="670" t="n"/>
      <c r="AP74" s="116" t="n"/>
      <c r="AQ74" s="116" t="n"/>
      <c r="AR74" s="116" t="n"/>
      <c r="AS74" s="116" t="n"/>
      <c r="AT74" s="116" t="n"/>
      <c r="AU74" s="116" t="n"/>
      <c r="AV74" s="116" t="n"/>
      <c r="AW74" s="116" t="n"/>
      <c r="AX74" s="116" t="n"/>
      <c r="AY74" s="116" t="n"/>
      <c r="AZ74" s="116" t="n"/>
      <c r="BA74" s="116" t="n"/>
      <c r="BB74" s="116" t="n"/>
      <c r="BC74" s="116" t="n"/>
      <c r="BD74" s="116" t="n"/>
      <c r="BE74" s="116" t="n"/>
      <c r="BF74" s="116" t="n"/>
      <c r="BG74" s="116" t="n"/>
      <c r="BH74" s="116" t="n"/>
      <c r="BI74" s="116" t="n"/>
      <c r="BJ74" s="116" t="n"/>
      <c r="BK74" s="116" t="n"/>
      <c r="BL74" s="116" t="n">
        <v>0</v>
      </c>
      <c r="BM74" s="116" t="n">
        <v>0</v>
      </c>
      <c r="BN74" s="116" t="n">
        <v>0</v>
      </c>
      <c r="BO74" s="116" t="n">
        <v>0</v>
      </c>
      <c r="BP74" s="116" t="n">
        <v>0</v>
      </c>
      <c r="BQ74" s="116" t="n">
        <v>0</v>
      </c>
      <c r="BR74" s="116" t="n">
        <v>26</v>
      </c>
      <c r="BS74" s="116" t="n">
        <v>26</v>
      </c>
      <c r="BT74" s="116" t="n">
        <v>2</v>
      </c>
      <c r="BU74" s="116" t="n">
        <v>0</v>
      </c>
      <c r="BV74" s="116" t="n">
        <v>0</v>
      </c>
      <c r="BW74" s="116" t="n">
        <v>0</v>
      </c>
      <c r="BX74" s="116" t="n">
        <v>0</v>
      </c>
      <c r="BY74" s="116" t="n">
        <v>0</v>
      </c>
      <c r="BZ74" s="116" t="n"/>
      <c r="CA74" s="116" t="n"/>
      <c r="CB74" s="116" t="n"/>
      <c r="CC74" s="673" t="n"/>
      <c r="CD74" s="673" t="n"/>
      <c r="CE74" s="673" t="n"/>
      <c r="CV74" s="57" t="n"/>
      <c r="CW74" s="57" t="n"/>
      <c r="CX74" s="57" t="n"/>
      <c r="CY74" s="57" t="n"/>
      <c r="CZ74" s="57" t="n"/>
      <c r="DA74" s="57" t="n"/>
      <c r="DB74" s="57" t="n"/>
      <c r="DC74" s="57" t="n"/>
      <c r="DF74" s="57" t="n"/>
      <c r="DG74" s="57" t="n"/>
      <c r="DH74" s="57" t="n"/>
      <c r="DJ74" s="57" t="n"/>
      <c r="DK74" s="57" t="n"/>
      <c r="DL74" s="57" t="n"/>
      <c r="DM74" s="57" t="n"/>
      <c r="DN74" s="57" t="n"/>
      <c r="DO74" s="57" t="n"/>
      <c r="DP74" s="57" t="n"/>
      <c r="DQ74" s="57" t="n"/>
      <c r="DR74" s="57" t="n"/>
      <c r="DT74" s="6" t="n"/>
      <c r="DU74" s="6" t="n"/>
      <c r="ED74" s="289" t="n"/>
      <c r="EK74" s="289" t="n"/>
      <c r="EO74" s="289" t="n"/>
      <c r="EQ74" s="289" t="n"/>
    </row>
    <row r="75">
      <c r="A75" s="674" t="n"/>
      <c r="B75" s="658" t="n"/>
      <c r="C75" s="658" t="n"/>
      <c r="D75" s="670" t="n"/>
      <c r="BL75" s="116" t="n"/>
      <c r="BM75" s="116" t="n"/>
      <c r="BN75" s="116" t="n"/>
      <c r="BO75" s="116" t="n"/>
      <c r="BP75" s="116" t="n"/>
      <c r="BQ75" s="116" t="n"/>
      <c r="BR75" s="116" t="n"/>
      <c r="BS75" s="116" t="n"/>
      <c r="BT75" s="116" t="n"/>
      <c r="BU75" s="116" t="n"/>
      <c r="BV75" s="116" t="n"/>
      <c r="BW75" s="116" t="n"/>
      <c r="BX75" s="116" t="n"/>
      <c r="BY75" s="116" t="n"/>
      <c r="BZ75" s="116" t="n"/>
      <c r="CA75" s="116" t="n"/>
      <c r="CB75" s="116" t="n"/>
      <c r="CC75" s="673" t="n"/>
      <c r="CD75" s="673" t="n"/>
      <c r="CE75" s="673" t="n"/>
      <c r="CV75" s="57" t="n"/>
      <c r="CW75" s="57" t="n"/>
      <c r="CX75" s="57" t="n"/>
      <c r="CY75" s="57" t="n"/>
      <c r="CZ75" s="57" t="n"/>
      <c r="DA75" s="57" t="n"/>
      <c r="DB75" s="57" t="n"/>
      <c r="DC75" s="57" t="n"/>
      <c r="DF75" s="57" t="n"/>
      <c r="DG75" s="57" t="n"/>
      <c r="DH75" s="57" t="n"/>
      <c r="DJ75" s="57" t="n"/>
      <c r="DK75" s="57" t="n"/>
      <c r="DL75" s="57" t="n"/>
      <c r="DM75" s="57" t="n"/>
      <c r="DN75" s="57" t="n"/>
      <c r="DO75" s="57" t="n"/>
      <c r="DP75" s="57" t="n"/>
      <c r="DQ75" s="57" t="n"/>
      <c r="ED75" s="289" t="n"/>
      <c r="EK75" s="289" t="n"/>
      <c r="EL75" s="57" t="n"/>
      <c r="EM75" s="57" t="n"/>
      <c r="EN75" s="57" t="n"/>
      <c r="EO75" s="289" t="n"/>
      <c r="EP75" s="57" t="n"/>
      <c r="EQ75" s="289" t="n"/>
      <c r="ER75" s="57" t="n"/>
      <c r="ET75" s="57" t="n"/>
      <c r="EV75" s="57" t="n"/>
      <c r="EX75" s="57" t="n"/>
      <c r="EY75" s="57" t="n"/>
      <c r="EZ75" s="57" t="n"/>
      <c r="FB75" s="57" t="n"/>
      <c r="FC75" s="57" t="n"/>
    </row>
    <row r="76">
      <c r="A76" s="674" t="n"/>
      <c r="B76" s="658" t="n"/>
      <c r="C76" s="658" t="n"/>
      <c r="D76" s="670" t="n"/>
      <c r="BL76" s="116" t="n"/>
      <c r="BM76" s="116" t="n"/>
      <c r="BN76" s="116" t="n"/>
      <c r="BO76" s="116" t="n"/>
      <c r="BP76" s="116" t="n"/>
      <c r="BQ76" s="116" t="n"/>
      <c r="BR76" s="116" t="n"/>
      <c r="BS76" s="116" t="n"/>
      <c r="BT76" s="116" t="n"/>
      <c r="BU76" s="116" t="n"/>
      <c r="BV76" s="116" t="n"/>
      <c r="BW76" s="116" t="n"/>
      <c r="BX76" s="116" t="n"/>
      <c r="BY76" s="116" t="n"/>
      <c r="BZ76" s="116" t="n"/>
      <c r="CA76" s="116" t="n"/>
      <c r="CB76" s="116" t="n"/>
      <c r="CC76" s="673" t="n"/>
      <c r="CD76" s="673" t="n"/>
      <c r="CE76" s="673" t="n"/>
      <c r="EG76" s="57" t="n"/>
      <c r="EH76" s="57" t="n"/>
      <c r="EJ76" s="57" t="n"/>
      <c r="EL76" s="57" t="n"/>
      <c r="EM76" s="57" t="n"/>
      <c r="EN76" s="57" t="n"/>
      <c r="EP76" s="57" t="n"/>
      <c r="ER76" s="57" t="n"/>
      <c r="ET76" s="57" t="n"/>
      <c r="EV76" s="57" t="n"/>
      <c r="EX76" s="57" t="n"/>
      <c r="EY76" s="57" t="n"/>
      <c r="EZ76" s="57" t="n"/>
      <c r="FB76" s="57" t="n"/>
      <c r="FC76" s="57" t="n"/>
    </row>
    <row r="77">
      <c r="EG77" s="57" t="n"/>
      <c r="EH77" s="57" t="n"/>
      <c r="EJ77" s="57" t="n"/>
      <c r="EL77" s="57" t="n"/>
      <c r="EM77" s="57" t="n"/>
      <c r="EN77" s="57" t="n"/>
      <c r="EP77" s="57" t="n"/>
      <c r="ER77" s="57" t="n"/>
      <c r="ET77" s="57" t="n"/>
      <c r="EV77" s="57" t="n"/>
      <c r="EX77" s="57" t="n"/>
      <c r="EY77" s="57" t="n"/>
      <c r="EZ77" s="57" t="n"/>
      <c r="FB77" s="57" t="n"/>
      <c r="FC77" s="57" t="n"/>
    </row>
    <row r="78">
      <c r="EG78" s="57" t="n"/>
      <c r="EH78" s="57" t="n"/>
      <c r="EJ78" s="57" t="n"/>
    </row>
  </sheetData>
  <mergeCells count="26">
    <mergeCell ref="F5:BZ5"/>
    <mergeCell ref="A62:D62"/>
    <mergeCell ref="A72:D72"/>
    <mergeCell ref="A63:D63"/>
    <mergeCell ref="FB7:FJ7"/>
    <mergeCell ref="A68:D68"/>
    <mergeCell ref="A67:D67"/>
    <mergeCell ref="A64:D64"/>
    <mergeCell ref="A73:D73"/>
    <mergeCell ref="A60:D60"/>
    <mergeCell ref="A5:A6"/>
    <mergeCell ref="A70:D70"/>
    <mergeCell ref="A61:D61"/>
    <mergeCell ref="A69:D69"/>
    <mergeCell ref="A65:D65"/>
    <mergeCell ref="B5:B6"/>
    <mergeCell ref="F52:BZ56"/>
    <mergeCell ref="A66:D66"/>
    <mergeCell ref="D5:D6"/>
    <mergeCell ref="A75:D75"/>
    <mergeCell ref="B3:D3"/>
    <mergeCell ref="A74:D74"/>
    <mergeCell ref="A71:D71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1" fitToHeight="0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Planilha28">
    <tabColor theme="9"/>
    <outlinePr summaryBelow="1" summaryRight="1"/>
    <pageSetUpPr/>
  </sheetPr>
  <dimension ref="A1:JO78"/>
  <sheetViews>
    <sheetView showGridLines="0" topLeftCell="A6" zoomScale="80" zoomScaleNormal="80" workbookViewId="0">
      <selection activeCell="CA1" sqref="CA1:CA1048576"/>
    </sheetView>
  </sheetViews>
  <sheetFormatPr baseColWidth="8" defaultColWidth="9.140625" defaultRowHeight="18.75"/>
  <cols>
    <col width="28.42578125" customWidth="1" style="52" min="1" max="1"/>
    <col width="6.85546875" customWidth="1" style="6" min="2" max="2"/>
    <col hidden="1" width="15.28515625" customWidth="1" style="6" min="3" max="3"/>
    <col width="15.28515625" customWidth="1" style="6" min="4" max="4"/>
    <col width="1.85546875" customWidth="1" style="6" min="5" max="5"/>
    <col hidden="1" width="8.7109375" customWidth="1" style="6" min="6" max="76"/>
    <col width="8.7109375" customWidth="1" style="6" min="77" max="79"/>
    <col width="8.42578125" customWidth="1" style="6" min="80" max="80"/>
    <col width="1.7109375" customWidth="1" style="6" min="81" max="81"/>
    <col width="14.28515625" bestFit="1" customWidth="1" style="49" min="82" max="82"/>
    <col width="1.7109375" customWidth="1" style="49" min="83" max="83"/>
    <col width="15.28515625" customWidth="1" style="49" min="84" max="84"/>
    <col width="2.140625" customWidth="1" style="6" min="85" max="85"/>
    <col width="8.140625" customWidth="1" style="49" min="86" max="88"/>
    <col width="8.7109375" customWidth="1" style="51" min="89" max="89"/>
    <col width="8.140625" bestFit="1" customWidth="1" style="49" min="90" max="90"/>
    <col width="8.140625" customWidth="1" style="49" min="91" max="91"/>
    <col hidden="1" width="13.7109375" customWidth="1" style="49" min="92" max="92"/>
    <col hidden="1" width="8.140625" customWidth="1" style="49" min="93" max="100"/>
    <col hidden="1" width="9.7109375" customWidth="1" style="49" min="101" max="102"/>
    <col hidden="1" width="11.7109375" customWidth="1" style="49" min="103" max="103"/>
    <col hidden="1" width="12.28515625" customWidth="1" style="51" min="104" max="104"/>
    <col hidden="1" width="13.7109375" customWidth="1" style="51" min="105" max="105"/>
    <col hidden="1" width="11.7109375" customWidth="1" style="49" min="106" max="106"/>
    <col hidden="1" width="9.7109375" customWidth="1" style="49" min="107" max="107"/>
    <col hidden="1" width="11.7109375" customWidth="1" style="49" min="108" max="108"/>
    <col hidden="1" width="8.7109375" customWidth="1" style="51" min="109" max="109"/>
    <col hidden="1" width="9.7109375" customWidth="1" style="49" min="110" max="111"/>
    <col hidden="1" width="13.85546875" customWidth="1" style="49" min="112" max="112"/>
    <col hidden="1" width="11.7109375" customWidth="1" style="49" min="113" max="113"/>
    <col hidden="1" width="13.85546875" customWidth="1" style="49" min="114" max="114"/>
    <col hidden="1" width="11.7109375" customWidth="1" style="49" min="115" max="115"/>
    <col hidden="1" width="9.7109375" customWidth="1" style="49" min="116" max="119"/>
    <col hidden="1" width="12.28515625" customWidth="1" style="51" min="120" max="120"/>
    <col hidden="1" width="8.7109375" customWidth="1" style="51" min="121" max="121"/>
    <col hidden="1" width="17.5703125" customWidth="1" style="51" min="122" max="122"/>
    <col hidden="1" width="9.7109375" customWidth="1" style="49" min="123" max="125"/>
    <col hidden="1" width="11" customWidth="1" style="49" min="126" max="126"/>
    <col hidden="1" width="9.7109375" customWidth="1" style="49" min="127" max="128"/>
    <col hidden="1" width="13.5703125" customWidth="1" style="49" min="129" max="129"/>
    <col hidden="1" width="14" customWidth="1" style="285" min="130" max="130"/>
    <col hidden="1" width="24.28515625" customWidth="1" style="49" min="131" max="131"/>
    <col hidden="1" width="22.85546875" customWidth="1" style="51" min="132" max="132"/>
    <col hidden="1" width="9.7109375" customWidth="1" style="49" min="133" max="133"/>
    <col hidden="1" width="13.28515625" customWidth="1" style="49" min="134" max="134"/>
    <col hidden="1" width="9.7109375" customWidth="1" style="49" min="135" max="135"/>
    <col hidden="1" width="12.28515625" customWidth="1" style="49" min="136" max="136"/>
    <col hidden="1" width="14" customWidth="1" style="285" min="137" max="137"/>
    <col hidden="1" width="9.7109375" customWidth="1" style="49" min="138" max="140"/>
    <col hidden="1" width="12.28515625" customWidth="1" style="285" min="141" max="141"/>
    <col hidden="1" width="9.7109375" customWidth="1" style="49" min="142" max="142"/>
    <col hidden="1" width="12" customWidth="1" style="285" min="143" max="143"/>
    <col hidden="1" width="9.7109375" customWidth="1" style="49" min="144" max="144"/>
    <col hidden="1" width="24.28515625" customWidth="1" style="49" min="145" max="145"/>
    <col hidden="1" width="9.7109375" customWidth="1" style="49" min="146" max="146"/>
    <col hidden="1" width="15" customWidth="1" style="49" min="147" max="147"/>
    <col hidden="1" width="9.7109375" customWidth="1" style="49" min="148" max="148"/>
    <col hidden="1" width="15" customWidth="1" style="49" min="149" max="149"/>
    <col hidden="1" width="9.7109375" customWidth="1" style="49" min="150" max="152"/>
    <col hidden="1" width="22.85546875" customWidth="1" style="51" min="153" max="153"/>
    <col hidden="1" width="9.7109375" customWidth="1" style="49" min="154" max="155"/>
    <col width="4" customWidth="1" style="6" min="156" max="156"/>
    <col width="21.85546875" bestFit="1" customWidth="1" style="6" min="157" max="157"/>
    <col width="9.140625" customWidth="1" style="6" min="158" max="158"/>
    <col hidden="1" width="13" customWidth="1" style="6" min="159" max="163"/>
    <col width="9.140625" customWidth="1" style="6" min="164" max="167"/>
    <col width="4.85546875" customWidth="1" style="6" min="168" max="168"/>
    <col width="9.140625" customWidth="1" style="6" min="169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5" t="n"/>
      <c r="CF1" s="75" t="n"/>
      <c r="CG1" s="75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284" t="n"/>
      <c r="EA1" s="74" t="n"/>
      <c r="EB1" s="74" t="n"/>
      <c r="EC1" s="74" t="n"/>
      <c r="ED1" s="74" t="n"/>
      <c r="EE1" s="74" t="n"/>
      <c r="EF1" s="74" t="n"/>
      <c r="EG1" s="284" t="n"/>
      <c r="EH1" s="74" t="n"/>
      <c r="EI1" s="74" t="n"/>
      <c r="EJ1" s="74" t="n"/>
      <c r="EK1" s="284" t="n"/>
      <c r="EL1" s="74" t="n"/>
      <c r="EM1" s="28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</row>
    <row r="2">
      <c r="A2" s="50" t="inlineStr">
        <is>
          <t>LOJA:</t>
        </is>
      </c>
      <c r="B2" s="639" t="inlineStr">
        <is>
          <t>ATACADÃO</t>
        </is>
      </c>
      <c r="C2" s="640" t="n"/>
      <c r="D2" s="641" t="n"/>
      <c r="CD2" s="6" t="n"/>
      <c r="CE2" s="6" t="n"/>
      <c r="CF2" s="6" t="n"/>
      <c r="CH2" s="6" t="n"/>
      <c r="CI2" s="6" t="n"/>
      <c r="CJ2" s="6" t="n"/>
      <c r="CL2" s="6" t="n"/>
      <c r="CM2" s="6" t="n"/>
      <c r="CN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DB2" s="6" t="n"/>
      <c r="DC2" s="6" t="n"/>
      <c r="DD2" s="6" t="n"/>
      <c r="DF2" s="6" t="n"/>
      <c r="DG2" s="6" t="n"/>
      <c r="DH2" s="6" t="n"/>
      <c r="DI2" s="6" t="n"/>
      <c r="DJ2" s="6" t="n"/>
      <c r="DK2" s="6" t="n"/>
      <c r="DL2" s="6" t="n"/>
      <c r="DM2" s="6" t="n"/>
      <c r="DN2" s="6" t="n"/>
      <c r="DO2" s="6" t="n"/>
      <c r="DS2" s="6" t="n"/>
      <c r="DT2" s="6" t="n"/>
      <c r="DU2" s="6" t="n"/>
      <c r="DV2" s="6" t="n"/>
      <c r="DW2" s="6" t="n"/>
      <c r="DX2" s="6" t="n"/>
      <c r="DY2" s="6" t="n"/>
      <c r="EA2" s="6" t="n"/>
      <c r="EC2" s="6" t="n"/>
      <c r="ED2" s="6" t="n"/>
      <c r="EE2" s="6" t="n"/>
      <c r="EF2" s="6" t="n"/>
      <c r="EH2" s="6" t="n"/>
      <c r="EI2" s="6" t="n"/>
      <c r="EJ2" s="6" t="n"/>
      <c r="EL2" s="6" t="n"/>
      <c r="EN2" s="6" t="n"/>
      <c r="EO2" s="6" t="n"/>
      <c r="EP2" s="6" t="n"/>
      <c r="EQ2" s="6" t="n"/>
      <c r="ER2" s="6" t="n"/>
      <c r="ES2" s="6" t="n"/>
      <c r="ET2" s="6" t="n"/>
      <c r="EU2" s="6" t="n"/>
      <c r="EV2" s="6" t="n"/>
      <c r="EX2" s="6" t="n"/>
      <c r="EY2" s="6" t="n"/>
    </row>
    <row r="3" ht="18.75" customHeight="1">
      <c r="A3" s="50" t="inlineStr">
        <is>
          <t>Responsável:</t>
        </is>
      </c>
      <c r="B3" s="253" t="inlineStr">
        <is>
          <t>RAIANE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706" t="n"/>
      <c r="AB3" s="706" t="n"/>
      <c r="AC3" s="706" t="n"/>
      <c r="AD3" s="706" t="n"/>
      <c r="AE3" s="706" t="n"/>
      <c r="AF3" s="706" t="n"/>
      <c r="AG3" s="706" t="n"/>
      <c r="AH3" s="706" t="n"/>
      <c r="AI3" s="706" t="n"/>
      <c r="AJ3" s="706" t="n"/>
      <c r="AK3" s="706" t="n"/>
      <c r="AL3" s="706" t="n"/>
      <c r="AM3" s="706" t="n"/>
      <c r="AN3" s="706" t="n"/>
      <c r="AO3" s="706" t="n"/>
      <c r="AP3" s="706" t="n"/>
      <c r="AQ3" s="706" t="n"/>
      <c r="AR3" s="706" t="n"/>
      <c r="AS3" s="706" t="n"/>
      <c r="AT3" s="706" t="n"/>
      <c r="AU3" s="706" t="n"/>
      <c r="AV3" s="706" t="n"/>
      <c r="AW3" s="706" t="n"/>
      <c r="AX3" s="706" t="n"/>
      <c r="AY3" s="706" t="n"/>
      <c r="AZ3" s="706" t="n"/>
      <c r="BA3" s="706" t="n"/>
      <c r="BB3" s="706" t="n"/>
      <c r="BC3" s="706" t="n"/>
      <c r="BD3" s="706" t="n"/>
      <c r="BE3" s="706" t="n"/>
      <c r="BF3" s="706" t="n"/>
      <c r="BG3" s="706" t="n"/>
      <c r="BH3" s="706" t="n"/>
      <c r="BI3" s="706" t="n"/>
      <c r="BJ3" s="706" t="n"/>
      <c r="BK3" s="706" t="n"/>
      <c r="BL3" s="706" t="n"/>
      <c r="BM3" s="706" t="n"/>
      <c r="BN3" s="706" t="n"/>
      <c r="BO3" s="706" t="n"/>
      <c r="BP3" s="706" t="n"/>
      <c r="BQ3" s="706" t="n"/>
      <c r="BR3" s="706" t="n"/>
      <c r="BS3" s="706" t="n"/>
      <c r="BT3" s="706" t="n"/>
      <c r="BU3" s="706" t="n"/>
      <c r="BV3" s="706" t="n"/>
      <c r="BW3" s="706" t="n"/>
      <c r="BX3" s="706" t="n"/>
      <c r="BY3" s="706" t="n"/>
      <c r="BZ3" s="706" t="n"/>
      <c r="CA3" s="706" t="n"/>
      <c r="CB3" s="642" t="n"/>
      <c r="CC3" s="642" t="n"/>
      <c r="CD3" s="642" t="n"/>
      <c r="CE3" s="642" t="n"/>
      <c r="CG3" s="642" t="n"/>
      <c r="CH3" s="642" t="n"/>
      <c r="CI3" s="642" t="n"/>
      <c r="CJ3" s="642" t="n"/>
      <c r="CL3" s="642" t="n"/>
      <c r="CM3" s="642" t="n"/>
      <c r="CN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DB3" s="642" t="n"/>
      <c r="DC3" s="642" t="n"/>
      <c r="DD3" s="642" t="n"/>
      <c r="DF3" s="642" t="n"/>
      <c r="DG3" s="642" t="n"/>
      <c r="DH3" s="642" t="n"/>
      <c r="DI3" s="642" t="n"/>
      <c r="DJ3" s="642" t="n"/>
      <c r="DK3" s="642" t="n"/>
      <c r="DL3" s="642" t="n"/>
      <c r="DM3" s="642" t="n"/>
      <c r="DN3" s="642" t="n"/>
      <c r="DO3" s="642" t="n"/>
      <c r="DS3" s="642" t="n"/>
      <c r="DT3" s="642" t="n"/>
      <c r="DU3" s="642" t="n"/>
      <c r="DV3" s="642" t="n"/>
      <c r="DW3" s="642" t="n"/>
      <c r="DX3" s="642" t="n"/>
      <c r="DY3" s="642" t="n"/>
      <c r="EA3" s="642" t="n"/>
      <c r="EC3" s="642" t="n"/>
      <c r="ED3" s="642" t="n"/>
      <c r="EE3" s="642" t="n"/>
      <c r="EF3" s="642" t="n"/>
      <c r="EH3" s="642" t="n"/>
      <c r="EI3" s="642" t="n"/>
      <c r="EJ3" s="642" t="n"/>
      <c r="EL3" s="642" t="n"/>
      <c r="EN3" s="642" t="n"/>
      <c r="EO3" s="642" t="n"/>
      <c r="EP3" s="642" t="n"/>
      <c r="EQ3" s="642" t="n"/>
      <c r="ER3" s="642" t="n"/>
      <c r="ES3" s="642" t="n"/>
      <c r="ET3" s="642" t="n"/>
      <c r="EU3" s="642" t="n"/>
      <c r="EV3" s="642" t="n"/>
      <c r="EX3" s="642" t="n"/>
      <c r="EY3" s="642" t="n"/>
    </row>
    <row r="4">
      <c r="CD4" s="6" t="n"/>
      <c r="CE4" s="6" t="n"/>
      <c r="CF4" s="6" t="n"/>
      <c r="CH4" s="6" t="n"/>
      <c r="CI4" s="6" t="n"/>
      <c r="CJ4" s="6" t="n"/>
      <c r="CK4" s="254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254" t="n"/>
      <c r="DA4" s="254" t="n"/>
      <c r="DB4" s="6" t="n"/>
      <c r="DC4" s="6" t="n"/>
      <c r="DD4" s="6" t="n"/>
      <c r="DE4" s="254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254" t="n"/>
      <c r="DQ4" s="254" t="n"/>
      <c r="DR4" s="254" t="n"/>
      <c r="DS4" s="6" t="n"/>
      <c r="DT4" s="6" t="n"/>
      <c r="DU4" s="6" t="n"/>
      <c r="DV4" s="6" t="n"/>
      <c r="DW4" s="6" t="n"/>
      <c r="DX4" s="6" t="n"/>
      <c r="DY4" s="6" t="n"/>
      <c r="DZ4" s="286" t="n"/>
      <c r="EA4" s="6" t="n"/>
      <c r="EB4" s="254" t="n"/>
      <c r="EC4" s="6" t="n"/>
      <c r="ED4" s="6" t="n"/>
      <c r="EE4" s="6" t="n"/>
      <c r="EF4" s="6" t="n"/>
      <c r="EG4" s="286" t="n"/>
      <c r="EH4" s="6" t="n"/>
      <c r="EI4" s="6" t="n"/>
      <c r="EJ4" s="6" t="n"/>
      <c r="EK4" s="286" t="n"/>
      <c r="EL4" s="6" t="n"/>
      <c r="EM4" s="286" t="n"/>
      <c r="EN4" s="6" t="n"/>
      <c r="EO4" s="6" t="n"/>
      <c r="EP4" s="6" t="n"/>
      <c r="EQ4" s="6" t="n"/>
      <c r="ER4" s="6" t="n"/>
      <c r="ES4" s="6" t="n"/>
      <c r="ET4" s="6" t="n"/>
      <c r="EU4" s="6" t="n"/>
      <c r="EV4" s="6" t="n"/>
      <c r="EW4" s="254" t="n"/>
      <c r="EX4" s="6" t="n"/>
      <c r="EY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35" t="inlineStr">
        <is>
          <t>Pendências</t>
        </is>
      </c>
      <c r="CE5" s="6" t="n"/>
      <c r="CF5" s="12" t="inlineStr">
        <is>
          <t>Novo Pedido</t>
        </is>
      </c>
      <c r="CH5" s="646" t="n">
        <v>46149</v>
      </c>
      <c r="CI5" s="646" t="n">
        <v>46142</v>
      </c>
      <c r="CJ5" s="646" t="n">
        <v>46114</v>
      </c>
      <c r="CK5" s="647" t="n">
        <v>46065</v>
      </c>
      <c r="CL5" s="646" t="n">
        <v>46099</v>
      </c>
      <c r="CM5" s="646" t="n">
        <v>46092</v>
      </c>
      <c r="CN5" s="648" t="inlineStr">
        <is>
          <t>TRANSF.</t>
        </is>
      </c>
      <c r="CO5" s="646" t="n">
        <v>46071</v>
      </c>
      <c r="CP5" s="646" t="n">
        <v>46043</v>
      </c>
      <c r="CQ5" s="646" t="n">
        <v>46035</v>
      </c>
      <c r="CR5" s="646" t="n">
        <v>46029</v>
      </c>
      <c r="CS5" s="646" t="n">
        <v>46017</v>
      </c>
      <c r="CT5" s="646" t="n">
        <v>46007</v>
      </c>
      <c r="CU5" s="646" t="n">
        <v>46007</v>
      </c>
      <c r="CV5" s="646" t="n">
        <v>46001</v>
      </c>
      <c r="CW5" s="646" t="n">
        <v>45980</v>
      </c>
      <c r="CX5" s="646" t="n">
        <v>45951</v>
      </c>
      <c r="CY5" s="648" t="inlineStr">
        <is>
          <t>TRANSF.</t>
        </is>
      </c>
      <c r="CZ5" s="678" t="inlineStr">
        <is>
          <t>TRANSF.</t>
        </is>
      </c>
      <c r="DA5" s="678" t="inlineStr">
        <is>
          <t>TRANSF.</t>
        </is>
      </c>
      <c r="DB5" s="648" t="inlineStr">
        <is>
          <t>TRANSF.</t>
        </is>
      </c>
      <c r="DC5" s="646" t="n">
        <v>45937</v>
      </c>
      <c r="DD5" s="648" t="inlineStr">
        <is>
          <t>TRANSF.</t>
        </is>
      </c>
      <c r="DE5" s="678" t="n">
        <v>45903</v>
      </c>
      <c r="DF5" s="646" t="n">
        <v>45923</v>
      </c>
      <c r="DG5" s="646" t="n">
        <v>45915</v>
      </c>
      <c r="DH5" s="679" t="inlineStr">
        <is>
          <t>TRANSF.</t>
        </is>
      </c>
      <c r="DI5" s="648" t="inlineStr">
        <is>
          <t>TRANSF.</t>
        </is>
      </c>
      <c r="DJ5" s="679" t="inlineStr">
        <is>
          <t>TRANSF.</t>
        </is>
      </c>
      <c r="DK5" s="648" t="inlineStr">
        <is>
          <t>TRANSF.</t>
        </is>
      </c>
      <c r="DL5" s="646" t="n">
        <v>45895</v>
      </c>
      <c r="DM5" s="646" t="n">
        <v>45881</v>
      </c>
      <c r="DN5" s="646" t="n">
        <v>45874</v>
      </c>
      <c r="DO5" s="646" t="n">
        <v>45848</v>
      </c>
      <c r="DP5" s="681" t="inlineStr">
        <is>
          <t>TRANSF.</t>
        </is>
      </c>
      <c r="DQ5" s="681" t="n">
        <v>45791</v>
      </c>
      <c r="DR5" s="681" t="inlineStr">
        <is>
          <t>AUTOMÁTICO</t>
        </is>
      </c>
      <c r="DS5" s="646" t="n">
        <v>45832</v>
      </c>
      <c r="DT5" s="646" t="n">
        <v>45825</v>
      </c>
      <c r="DU5" s="646" t="n">
        <v>45813</v>
      </c>
      <c r="DV5" s="648" t="inlineStr">
        <is>
          <t>TRANSF.</t>
        </is>
      </c>
      <c r="DW5" s="646" t="n">
        <v>45805</v>
      </c>
      <c r="DX5" s="646" t="n">
        <v>45798</v>
      </c>
      <c r="DY5" s="683" t="inlineStr">
        <is>
          <t>TRANSF.</t>
        </is>
      </c>
      <c r="DZ5" s="684" t="inlineStr">
        <is>
          <t>TRANSF.</t>
        </is>
      </c>
      <c r="EA5" s="680" t="inlineStr">
        <is>
          <t>TRANSF. DISNEY/24</t>
        </is>
      </c>
      <c r="EB5" s="685" t="inlineStr">
        <is>
          <t>TRANSF. NATAL/24</t>
        </is>
      </c>
      <c r="EC5" s="654" t="n">
        <v>45790</v>
      </c>
      <c r="ED5" s="648" t="inlineStr">
        <is>
          <t>TRANSF.</t>
        </is>
      </c>
      <c r="EE5" s="683" t="n">
        <v>45735</v>
      </c>
      <c r="EF5" s="648" t="inlineStr">
        <is>
          <t>TRANSF.</t>
        </is>
      </c>
      <c r="EG5" s="684" t="inlineStr">
        <is>
          <t>TRANSF.</t>
        </is>
      </c>
      <c r="EH5" s="646" t="n">
        <v>45783</v>
      </c>
      <c r="EI5" s="646" t="n">
        <v>45770</v>
      </c>
      <c r="EJ5" s="646" t="n">
        <v>45756</v>
      </c>
      <c r="EK5" s="684" t="inlineStr">
        <is>
          <t>TRANSF.</t>
        </is>
      </c>
      <c r="EL5" s="646" t="n">
        <v>45734</v>
      </c>
      <c r="EM5" s="684" t="n">
        <v>45700</v>
      </c>
      <c r="EN5" s="646" t="n">
        <v>45722</v>
      </c>
      <c r="EO5" s="680" t="inlineStr">
        <is>
          <t>TRANSF. DISNEY/24</t>
        </is>
      </c>
      <c r="EP5" s="646" t="n">
        <v>45706</v>
      </c>
      <c r="EQ5" s="648" t="inlineStr">
        <is>
          <t>TRANSF.</t>
        </is>
      </c>
      <c r="ER5" s="646" t="n">
        <v>45699</v>
      </c>
      <c r="ES5" s="648" t="inlineStr">
        <is>
          <t>TRANSF.</t>
        </is>
      </c>
      <c r="ET5" s="646" t="n">
        <v>45685</v>
      </c>
      <c r="EU5" s="646" t="n">
        <v>45679</v>
      </c>
      <c r="EV5" s="646" t="n">
        <v>45664</v>
      </c>
      <c r="EW5" s="685" t="inlineStr">
        <is>
          <t>TRANSF. NATAL/24</t>
        </is>
      </c>
      <c r="EX5" s="646" t="n">
        <v>45660</v>
      </c>
      <c r="EY5" s="646" t="n">
        <v>45652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54" t="n"/>
      <c r="CD6" s="214" t="n"/>
      <c r="CE6" s="653" t="n"/>
      <c r="CF6" s="656" t="n">
        <v>46156</v>
      </c>
      <c r="CG6" s="653" t="n"/>
      <c r="CH6" s="654" t="n">
        <v>46154</v>
      </c>
      <c r="CI6" s="654" t="n">
        <v>46148</v>
      </c>
      <c r="CJ6" s="654" t="n">
        <v>46121</v>
      </c>
      <c r="CK6" s="647" t="n">
        <v>46111</v>
      </c>
      <c r="CL6" s="654" t="n">
        <v>46105</v>
      </c>
      <c r="CM6" s="654" t="n">
        <v>46098</v>
      </c>
      <c r="CN6" s="655" t="n">
        <v>46080</v>
      </c>
      <c r="CO6" s="654" t="n">
        <v>46078</v>
      </c>
      <c r="CP6" s="654" t="n">
        <v>46051</v>
      </c>
      <c r="CQ6" s="654" t="n">
        <v>46039</v>
      </c>
      <c r="CR6" s="654" t="n">
        <v>46036</v>
      </c>
      <c r="CS6" s="654" t="n">
        <v>46030</v>
      </c>
      <c r="CT6" s="654" t="n">
        <v>46027</v>
      </c>
      <c r="CU6" s="654" t="n">
        <v>46014</v>
      </c>
      <c r="CV6" s="654" t="n">
        <v>46009</v>
      </c>
      <c r="CW6" s="654" t="n">
        <v>45992</v>
      </c>
      <c r="CX6" s="654" t="n">
        <v>45959</v>
      </c>
      <c r="CY6" s="655" t="n">
        <v>45954</v>
      </c>
      <c r="CZ6" s="687" t="n">
        <v>45954</v>
      </c>
      <c r="DA6" s="687" t="n">
        <v>45952</v>
      </c>
      <c r="DB6" s="655" t="n">
        <v>45950</v>
      </c>
      <c r="DC6" s="654" t="n">
        <v>45946</v>
      </c>
      <c r="DD6" s="655" t="n">
        <v>45941</v>
      </c>
      <c r="DE6" s="687" t="n">
        <v>45932</v>
      </c>
      <c r="DF6" s="654" t="n">
        <v>45930</v>
      </c>
      <c r="DG6" s="654" t="n">
        <v>45925</v>
      </c>
      <c r="DH6" s="688" t="n">
        <v>45924</v>
      </c>
      <c r="DI6" s="655" t="n">
        <v>45923</v>
      </c>
      <c r="DJ6" s="688" t="n">
        <v>45922</v>
      </c>
      <c r="DK6" s="655" t="n">
        <v>45915</v>
      </c>
      <c r="DL6" s="654" t="n">
        <v>45898</v>
      </c>
      <c r="DM6" s="654" t="n">
        <v>45888</v>
      </c>
      <c r="DN6" s="654" t="n">
        <v>45877</v>
      </c>
      <c r="DO6" s="654" t="n">
        <v>45853</v>
      </c>
      <c r="DP6" s="681" t="n">
        <v>45848</v>
      </c>
      <c r="DQ6" s="681" t="n">
        <v>45840</v>
      </c>
      <c r="DR6" s="681" t="n">
        <v>45838</v>
      </c>
      <c r="DS6" s="654" t="n">
        <v>45838</v>
      </c>
      <c r="DT6" s="654" t="n">
        <v>45831</v>
      </c>
      <c r="DU6" s="654" t="n">
        <v>45821</v>
      </c>
      <c r="DV6" s="655" t="n">
        <v>45820</v>
      </c>
      <c r="DW6" s="654" t="n">
        <v>45811</v>
      </c>
      <c r="DX6" s="654" t="n">
        <v>45800</v>
      </c>
      <c r="DY6" s="690" t="n">
        <v>45798</v>
      </c>
      <c r="DZ6" s="684" t="n">
        <v>45798</v>
      </c>
      <c r="EA6" s="689" t="n">
        <v>45798</v>
      </c>
      <c r="EB6" s="685" t="n">
        <v>45798</v>
      </c>
      <c r="EC6" s="654" t="n">
        <v>45793</v>
      </c>
      <c r="ED6" s="655" t="n">
        <v>45790</v>
      </c>
      <c r="EE6" s="690" t="n">
        <v>45790</v>
      </c>
      <c r="EF6" s="655" t="n">
        <v>45785</v>
      </c>
      <c r="EG6" s="684" t="n">
        <v>45785</v>
      </c>
      <c r="EH6" s="654" t="n">
        <v>45785</v>
      </c>
      <c r="EI6" s="654" t="n">
        <v>45777</v>
      </c>
      <c r="EJ6" s="654" t="n">
        <v>45762</v>
      </c>
      <c r="EK6" s="684" t="n">
        <v>45751</v>
      </c>
      <c r="EL6" s="654" t="n">
        <v>45747</v>
      </c>
      <c r="EM6" s="684" t="n">
        <v>45733</v>
      </c>
      <c r="EN6" s="654" t="n">
        <v>45727</v>
      </c>
      <c r="EO6" s="689" t="n">
        <v>45723</v>
      </c>
      <c r="EP6" s="654" t="n">
        <v>45721</v>
      </c>
      <c r="EQ6" s="655" t="n">
        <v>45721</v>
      </c>
      <c r="ER6" s="654" t="n">
        <v>45707</v>
      </c>
      <c r="ES6" s="655" t="n">
        <v>45695</v>
      </c>
      <c r="ET6" s="654" t="n">
        <v>45692</v>
      </c>
      <c r="EU6" s="654" t="n">
        <v>45684</v>
      </c>
      <c r="EV6" s="654" t="n">
        <v>45671</v>
      </c>
      <c r="EW6" s="685" t="n">
        <v>45670</v>
      </c>
      <c r="EX6" s="654" t="n">
        <v>45665</v>
      </c>
      <c r="EY6" s="654" t="n">
        <v>45660</v>
      </c>
      <c r="FA6" s="6" t="n"/>
      <c r="FB6" s="6" t="n"/>
      <c r="FC6" s="6" t="n"/>
      <c r="FD6" s="6" t="n"/>
      <c r="FE6" s="6" t="n"/>
      <c r="FF6" s="6" t="n"/>
      <c r="FG6" s="6" t="n"/>
      <c r="FH6" s="6" t="n"/>
      <c r="FI6" s="6" t="n"/>
      <c r="FJ6" s="6" t="n"/>
      <c r="FK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89" t="n"/>
      <c r="CF7" s="76" t="n"/>
      <c r="CG7" s="6" t="n"/>
      <c r="CH7" s="283" t="n"/>
      <c r="CI7" s="283" t="n"/>
      <c r="CJ7" s="283" t="n"/>
      <c r="CK7" s="575" t="inlineStr">
        <is>
          <t>MÃES</t>
        </is>
      </c>
      <c r="CL7" s="283" t="n"/>
      <c r="CM7" s="283" t="n"/>
      <c r="CN7" s="283" t="n"/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575" t="n"/>
      <c r="DA7" s="575" t="n"/>
      <c r="DB7" s="283" t="n"/>
      <c r="DC7" s="283" t="n"/>
      <c r="DD7" s="283" t="n"/>
      <c r="DE7" s="575" t="n"/>
      <c r="DF7" s="283" t="n"/>
      <c r="DG7" s="283" t="n"/>
      <c r="DH7" s="575" t="n"/>
      <c r="DI7" s="283" t="n"/>
      <c r="DJ7" s="575" t="n"/>
      <c r="DK7" s="283" t="n"/>
      <c r="DL7" s="283" t="n"/>
      <c r="DM7" s="283" t="n"/>
      <c r="DN7" s="283" t="n"/>
      <c r="DO7" s="283" t="n"/>
      <c r="DP7" s="575" t="inlineStr">
        <is>
          <t>PAIS/25</t>
        </is>
      </c>
      <c r="DQ7" s="575" t="n"/>
      <c r="DR7" s="575" t="n"/>
      <c r="DS7" s="283" t="n"/>
      <c r="DT7" s="283" t="n"/>
      <c r="DU7" s="283" t="n"/>
      <c r="DV7" s="283" t="n"/>
      <c r="DW7" s="283" t="n"/>
      <c r="DX7" s="283" t="n"/>
      <c r="DY7" s="575" t="inlineStr">
        <is>
          <t>NAMO/25</t>
        </is>
      </c>
      <c r="DZ7" s="575" t="inlineStr">
        <is>
          <t>MÃES/25</t>
        </is>
      </c>
      <c r="EA7" s="575" t="n"/>
      <c r="EB7" s="575" t="n"/>
      <c r="EC7" s="575" t="n"/>
      <c r="ED7" s="575" t="n"/>
      <c r="EE7" s="283" t="n"/>
      <c r="EF7" s="575" t="n"/>
      <c r="EG7" s="575" t="inlineStr">
        <is>
          <t>MÃES/25</t>
        </is>
      </c>
      <c r="EH7" s="575" t="n"/>
      <c r="EI7" s="575" t="n"/>
      <c r="EJ7" s="575" t="n"/>
      <c r="EK7" s="575" t="inlineStr">
        <is>
          <t>MÃES/25</t>
        </is>
      </c>
      <c r="EL7" s="575" t="n"/>
      <c r="EM7" s="575" t="inlineStr">
        <is>
          <t>MÃES/25</t>
        </is>
      </c>
      <c r="EN7" s="575" t="n"/>
      <c r="EO7" s="575" t="n"/>
      <c r="EP7" s="575" t="n"/>
      <c r="EQ7" s="575" t="n"/>
      <c r="ER7" s="575" t="n"/>
      <c r="ES7" s="575" t="n"/>
      <c r="ET7" s="575" t="n"/>
      <c r="EU7" s="575" t="n"/>
      <c r="EV7" s="575" t="n"/>
      <c r="EW7" s="575" t="n"/>
      <c r="EX7" s="575" t="n"/>
      <c r="EY7" s="575" t="n"/>
      <c r="FA7" s="504" t="inlineStr">
        <is>
          <t>MÃES 2026</t>
        </is>
      </c>
      <c r="FB7" s="658" t="n"/>
      <c r="FC7" s="658" t="n"/>
      <c r="FD7" s="658" t="n"/>
      <c r="FE7" s="658" t="n"/>
      <c r="FF7" s="658" t="n"/>
      <c r="FG7" s="658" t="n"/>
      <c r="FH7" s="658" t="n"/>
      <c r="FI7" s="658" t="n"/>
      <c r="FJ7" s="505" t="n"/>
      <c r="FK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250</v>
      </c>
      <c r="E8" s="6" t="n"/>
      <c r="F8" s="38" t="n">
        <v>260</v>
      </c>
      <c r="G8" s="38" t="n">
        <v>260</v>
      </c>
      <c r="H8" s="38" t="n">
        <v>220</v>
      </c>
      <c r="I8" s="38" t="n">
        <v>180</v>
      </c>
      <c r="J8" s="38">
        <f>100+EU8</f>
        <v/>
      </c>
      <c r="K8" s="38" t="n">
        <v>380</v>
      </c>
      <c r="L8" s="38" t="n">
        <v>300</v>
      </c>
      <c r="M8" s="38" t="n">
        <v>300</v>
      </c>
      <c r="N8" s="38" t="n">
        <v>300</v>
      </c>
      <c r="O8" s="38" t="n">
        <v>250</v>
      </c>
      <c r="P8" s="38">
        <f>140+EN8</f>
        <v/>
      </c>
      <c r="Q8" s="38" t="n">
        <v>700</v>
      </c>
      <c r="R8" s="38" t="n">
        <v>640</v>
      </c>
      <c r="S8" s="38" t="n">
        <v>600</v>
      </c>
      <c r="T8" s="38" t="n">
        <v>500</v>
      </c>
      <c r="U8" s="38" t="n">
        <v>400</v>
      </c>
      <c r="V8" s="38" t="n">
        <v>300</v>
      </c>
      <c r="W8" s="38" t="n">
        <v>300</v>
      </c>
      <c r="X8" s="38" t="n">
        <v>540</v>
      </c>
      <c r="Y8" s="38" t="n">
        <v>460</v>
      </c>
      <c r="Z8" s="38" t="n">
        <v>420</v>
      </c>
      <c r="AA8" s="38" t="n">
        <v>360</v>
      </c>
      <c r="AB8" s="38" t="n">
        <v>340</v>
      </c>
      <c r="AC8" s="38" t="n">
        <v>300</v>
      </c>
      <c r="AD8" s="38" t="n">
        <v>240</v>
      </c>
      <c r="AE8" s="38" t="n">
        <v>460</v>
      </c>
      <c r="AF8" s="38" t="n">
        <v>460</v>
      </c>
      <c r="AG8" s="38" t="n">
        <v>440</v>
      </c>
      <c r="AH8" s="38" t="n">
        <v>380</v>
      </c>
      <c r="AI8" s="38" t="n">
        <v>300</v>
      </c>
      <c r="AJ8" s="38" t="n">
        <v>300</v>
      </c>
      <c r="AK8" s="38" t="n">
        <v>100</v>
      </c>
      <c r="AL8" s="38" t="n">
        <v>180</v>
      </c>
      <c r="AM8" s="38">
        <f>180+DM8</f>
        <v/>
      </c>
      <c r="AN8" s="38" t="n">
        <v>420</v>
      </c>
      <c r="AO8" s="38" t="n">
        <v>380</v>
      </c>
      <c r="AP8" s="38" t="n">
        <v>360</v>
      </c>
      <c r="AQ8" s="38" t="n">
        <v>300</v>
      </c>
      <c r="AR8" s="38" t="n">
        <v>300</v>
      </c>
      <c r="AS8" s="38" t="n">
        <v>220</v>
      </c>
      <c r="AT8" s="38" t="n">
        <v>140</v>
      </c>
      <c r="AU8" s="38">
        <f>60+DC8</f>
        <v/>
      </c>
      <c r="AV8" s="38" t="n">
        <v>320</v>
      </c>
      <c r="AW8" s="38">
        <f>320+CX8</f>
        <v/>
      </c>
      <c r="AX8" s="38" t="n">
        <v>620</v>
      </c>
      <c r="AY8" s="38" t="n">
        <v>520</v>
      </c>
      <c r="AZ8" s="38" t="n">
        <v>500</v>
      </c>
      <c r="BA8" s="38" t="n">
        <v>320</v>
      </c>
      <c r="BB8" s="38" t="n">
        <v>300</v>
      </c>
      <c r="BC8" s="38" t="n">
        <v>300</v>
      </c>
      <c r="BD8" s="38">
        <f>300+CV8</f>
        <v/>
      </c>
      <c r="BE8" s="38" t="n">
        <v>460</v>
      </c>
      <c r="BF8" s="38" t="n">
        <v>380</v>
      </c>
      <c r="BG8" s="38" t="n">
        <v>380</v>
      </c>
      <c r="BH8" s="38" t="n">
        <v>340</v>
      </c>
      <c r="BI8" s="38" t="n">
        <v>300</v>
      </c>
      <c r="BJ8" s="38" t="n">
        <v>240</v>
      </c>
      <c r="BK8" s="38" t="n">
        <v>240</v>
      </c>
      <c r="BL8" s="38" t="n">
        <v>200</v>
      </c>
      <c r="BM8" s="38" t="n">
        <v>160</v>
      </c>
      <c r="BN8" s="38" t="n">
        <v>140</v>
      </c>
      <c r="BO8" s="38" t="n">
        <v>280</v>
      </c>
      <c r="BP8" s="38" t="n">
        <v>280</v>
      </c>
      <c r="BQ8" s="38" t="n">
        <v>320</v>
      </c>
      <c r="BR8" s="38" t="n">
        <v>600</v>
      </c>
      <c r="BS8" s="38" t="n">
        <v>500</v>
      </c>
      <c r="BT8" s="38" t="n">
        <v>460</v>
      </c>
      <c r="BU8" s="38" t="n">
        <v>380</v>
      </c>
      <c r="BV8" s="38" t="n">
        <v>360</v>
      </c>
      <c r="BW8" s="38" t="n">
        <v>360</v>
      </c>
      <c r="BX8" s="38" t="n">
        <v>360</v>
      </c>
      <c r="BY8" s="38" t="n">
        <v>80</v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n"/>
      <c r="CF8" s="23" t="n"/>
      <c r="CG8" s="6" t="n"/>
      <c r="CH8" s="18" t="n">
        <v>0</v>
      </c>
      <c r="CI8" s="18" t="n">
        <v>0</v>
      </c>
      <c r="CJ8" s="18" t="n"/>
      <c r="CK8" s="356" t="n"/>
      <c r="CL8" s="18" t="n">
        <v>300</v>
      </c>
      <c r="CM8" s="18" t="n"/>
      <c r="CN8" s="256" t="n"/>
      <c r="CO8" s="18" t="n">
        <v>300</v>
      </c>
      <c r="CP8" s="18" t="n"/>
      <c r="CQ8" s="18" t="n"/>
      <c r="CR8" s="18" t="n"/>
      <c r="CS8" s="18" t="n"/>
      <c r="CT8" s="18" t="n"/>
      <c r="CU8" s="18" t="n"/>
      <c r="CV8" s="18" t="n">
        <v>300</v>
      </c>
      <c r="CW8" s="18" t="n"/>
      <c r="CX8" s="18" t="n">
        <v>300</v>
      </c>
      <c r="CY8" s="18" t="n"/>
      <c r="CZ8" s="256" t="n"/>
      <c r="DA8" s="256" t="n"/>
      <c r="DB8" s="18" t="n"/>
      <c r="DC8" s="18" t="n">
        <v>300</v>
      </c>
      <c r="DD8" s="18" t="n"/>
      <c r="DE8" s="256" t="n"/>
      <c r="DF8" s="18" t="n"/>
      <c r="DG8" s="18" t="n"/>
      <c r="DH8" s="256" t="n"/>
      <c r="DI8" s="18" t="n"/>
      <c r="DJ8" s="256" t="n"/>
      <c r="DK8" s="18" t="n"/>
      <c r="DL8" s="18" t="n"/>
      <c r="DM8" s="18" t="n">
        <v>300</v>
      </c>
      <c r="DN8" s="18" t="n">
        <v>300</v>
      </c>
      <c r="DO8" s="18" t="n"/>
      <c r="DP8" s="256" t="n"/>
      <c r="DQ8" s="256" t="n"/>
      <c r="DR8" s="256" t="n"/>
      <c r="DS8" s="18" t="n"/>
      <c r="DT8" s="18" t="n"/>
      <c r="DU8" s="18" t="n"/>
      <c r="DV8" s="18" t="n"/>
      <c r="DW8" s="18" t="n"/>
      <c r="DX8" s="18" t="n"/>
      <c r="DY8" s="256" t="n"/>
      <c r="DZ8" s="256" t="n"/>
      <c r="EA8" s="18" t="n"/>
      <c r="EB8" s="256" t="n"/>
      <c r="EC8" s="18" t="n"/>
      <c r="ED8" s="18" t="n"/>
      <c r="EE8" s="256" t="n"/>
      <c r="EF8" s="18" t="n"/>
      <c r="EG8" s="256" t="n"/>
      <c r="EH8" s="18" t="n"/>
      <c r="EI8" s="18" t="n">
        <v>300</v>
      </c>
      <c r="EJ8" s="18" t="n"/>
      <c r="EK8" s="256" t="n"/>
      <c r="EL8" s="18" t="n"/>
      <c r="EM8" s="256" t="n"/>
      <c r="EN8" s="18" t="n">
        <v>600</v>
      </c>
      <c r="EO8" s="18" t="n"/>
      <c r="EP8" s="18" t="n"/>
      <c r="EQ8" s="18" t="n"/>
      <c r="ER8" s="18" t="n"/>
      <c r="ES8" s="18" t="n"/>
      <c r="ET8" s="18" t="n"/>
      <c r="EU8" s="18" t="n">
        <v>300</v>
      </c>
      <c r="EV8" s="18" t="n"/>
      <c r="EW8" s="256" t="n"/>
      <c r="EX8" s="18" t="n"/>
      <c r="EY8" s="18" t="n"/>
      <c r="FA8" s="267" t="inlineStr">
        <is>
          <t xml:space="preserve">SACOLAS </t>
        </is>
      </c>
      <c r="FB8" s="205" t="inlineStr">
        <is>
          <t>PCT</t>
        </is>
      </c>
      <c r="FC8" s="650" t="n">
        <v>46118</v>
      </c>
      <c r="FD8" s="650" t="n">
        <v>46125</v>
      </c>
      <c r="FE8" s="650" t="n">
        <v>46132</v>
      </c>
      <c r="FF8" s="650" t="n">
        <v>46139</v>
      </c>
      <c r="FG8" s="650" t="n">
        <v>46146</v>
      </c>
      <c r="FH8" s="650" t="n">
        <v>46154</v>
      </c>
      <c r="FI8" s="650" t="n">
        <v>46160</v>
      </c>
      <c r="FJ8" s="650" t="n">
        <v>46160</v>
      </c>
      <c r="FK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400</v>
      </c>
      <c r="E9" s="6" t="n"/>
      <c r="F9" s="38" t="n">
        <v>440</v>
      </c>
      <c r="G9" s="38" t="n">
        <v>600</v>
      </c>
      <c r="H9" s="38" t="n">
        <v>420</v>
      </c>
      <c r="I9" s="38" t="n">
        <v>320</v>
      </c>
      <c r="J9" s="38" t="n">
        <v>200</v>
      </c>
      <c r="K9" s="38">
        <f>100+ET9</f>
        <v/>
      </c>
      <c r="L9" s="38" t="n">
        <v>400</v>
      </c>
      <c r="M9" s="38" t="n">
        <v>280</v>
      </c>
      <c r="N9" s="38">
        <f>200+200</f>
        <v/>
      </c>
      <c r="O9" s="38" t="n">
        <v>280</v>
      </c>
      <c r="P9" s="38">
        <f>180+EN9</f>
        <v/>
      </c>
      <c r="Q9" s="38" t="n">
        <v>420</v>
      </c>
      <c r="R9" s="38" t="n">
        <v>320</v>
      </c>
      <c r="S9" s="38" t="n">
        <v>400</v>
      </c>
      <c r="T9" s="38" t="n">
        <v>80</v>
      </c>
      <c r="U9" s="38">
        <f>240+EJ9</f>
        <v/>
      </c>
      <c r="V9" s="38" t="n">
        <v>500</v>
      </c>
      <c r="W9" s="38" t="n">
        <v>440</v>
      </c>
      <c r="X9" s="38" t="n">
        <v>360</v>
      </c>
      <c r="Y9" s="38" t="n">
        <v>200</v>
      </c>
      <c r="Z9" s="38" t="n">
        <v>860</v>
      </c>
      <c r="AA9" s="38" t="n">
        <v>1200</v>
      </c>
      <c r="AB9" s="38" t="n">
        <v>1100</v>
      </c>
      <c r="AC9" s="38">
        <f>900-200</f>
        <v/>
      </c>
      <c r="AD9" s="38" t="n">
        <v>660</v>
      </c>
      <c r="AE9" s="38" t="n">
        <v>600</v>
      </c>
      <c r="AF9" s="38" t="n">
        <v>600</v>
      </c>
      <c r="AG9" s="38" t="n">
        <v>383</v>
      </c>
      <c r="AH9" s="38">
        <f>363+DO9</f>
        <v/>
      </c>
      <c r="AI9" s="38" t="n">
        <v>663</v>
      </c>
      <c r="AJ9" s="38" t="n">
        <v>600</v>
      </c>
      <c r="AK9" s="38" t="n">
        <v>480</v>
      </c>
      <c r="AL9" s="38" t="n">
        <v>500</v>
      </c>
      <c r="AM9" s="38" t="n">
        <v>500</v>
      </c>
      <c r="AN9" s="38" t="n">
        <v>360</v>
      </c>
      <c r="AO9" s="38" t="n">
        <v>480</v>
      </c>
      <c r="AP9" s="38" t="n">
        <v>380</v>
      </c>
      <c r="AQ9" s="38" t="n">
        <v>220</v>
      </c>
      <c r="AR9" s="38" t="n">
        <v>60</v>
      </c>
      <c r="AS9" s="38">
        <f>400+DF9</f>
        <v/>
      </c>
      <c r="AT9" s="38" t="n">
        <v>440</v>
      </c>
      <c r="AU9" s="38" t="n">
        <v>320</v>
      </c>
      <c r="AV9" s="38" t="n">
        <v>220</v>
      </c>
      <c r="AW9" s="38">
        <f>120+CX9</f>
        <v/>
      </c>
      <c r="AX9" s="38" t="n">
        <v>450</v>
      </c>
      <c r="AY9" s="38" t="n">
        <v>400</v>
      </c>
      <c r="AZ9" s="38" t="n">
        <v>440</v>
      </c>
      <c r="BA9" s="38" t="n">
        <v>440</v>
      </c>
      <c r="BB9" s="38" t="n">
        <v>440</v>
      </c>
      <c r="BC9" s="38" t="n">
        <v>350</v>
      </c>
      <c r="BD9" s="38">
        <f>150+CV9</f>
        <v/>
      </c>
      <c r="BE9" s="38" t="n">
        <v>440</v>
      </c>
      <c r="BF9" s="38" t="n">
        <v>300</v>
      </c>
      <c r="BG9" s="38" t="n">
        <v>200</v>
      </c>
      <c r="BH9" s="38" t="n">
        <v>260</v>
      </c>
      <c r="BI9" s="38" t="n">
        <v>760</v>
      </c>
      <c r="BJ9" s="38" t="n">
        <v>620</v>
      </c>
      <c r="BK9" s="38" t="n">
        <v>620</v>
      </c>
      <c r="BL9" s="38" t="n">
        <v>400</v>
      </c>
      <c r="BM9" s="38" t="n">
        <v>280</v>
      </c>
      <c r="BN9" s="38" t="n">
        <v>300</v>
      </c>
      <c r="BO9" s="38" t="n">
        <v>460</v>
      </c>
      <c r="BP9" s="38" t="n">
        <v>60</v>
      </c>
      <c r="BQ9" s="38">
        <f>0+CM9</f>
        <v/>
      </c>
      <c r="BR9" s="38" t="n">
        <v>200</v>
      </c>
      <c r="BS9" s="38" t="n">
        <v>80</v>
      </c>
      <c r="BT9" s="38">
        <f>0+CJ9</f>
        <v/>
      </c>
      <c r="BU9" s="38" t="n">
        <v>240</v>
      </c>
      <c r="BV9" s="38" t="n">
        <v>240</v>
      </c>
      <c r="BW9" s="38" t="n">
        <v>280</v>
      </c>
      <c r="BX9" s="38">
        <f>280+CI9</f>
        <v/>
      </c>
      <c r="BY9" s="38">
        <f>480+CH9</f>
        <v/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F9" s="23" t="n"/>
      <c r="CG9" s="6" t="n"/>
      <c r="CH9" s="18" t="n">
        <v>200</v>
      </c>
      <c r="CI9" s="18" t="n">
        <v>200</v>
      </c>
      <c r="CJ9" s="18" t="n">
        <v>400</v>
      </c>
      <c r="CK9" s="256" t="n">
        <v>600</v>
      </c>
      <c r="CL9" s="18" t="n"/>
      <c r="CM9" s="18" t="n">
        <v>400</v>
      </c>
      <c r="CN9" s="256" t="n"/>
      <c r="CO9" s="18" t="n">
        <v>200</v>
      </c>
      <c r="CP9" s="18" t="n"/>
      <c r="CQ9" s="18" t="n">
        <v>400</v>
      </c>
      <c r="CR9" s="18" t="n">
        <v>200</v>
      </c>
      <c r="CS9" s="18" t="n">
        <v>400</v>
      </c>
      <c r="CT9" s="18" t="n"/>
      <c r="CU9" s="18" t="n">
        <v>400</v>
      </c>
      <c r="CV9" s="18" t="n">
        <v>200</v>
      </c>
      <c r="CW9" s="18" t="n"/>
      <c r="CX9" s="18" t="n">
        <v>200</v>
      </c>
      <c r="CY9" s="18" t="n"/>
      <c r="CZ9" s="256" t="n"/>
      <c r="DA9" s="256" t="n"/>
      <c r="DB9" s="18" t="n"/>
      <c r="DC9" s="18" t="n"/>
      <c r="DD9" s="18" t="n"/>
      <c r="DE9" s="256" t="n">
        <v>800</v>
      </c>
      <c r="DF9" s="18" t="n">
        <v>200</v>
      </c>
      <c r="DG9" s="18" t="n">
        <v>400</v>
      </c>
      <c r="DH9" s="256" t="n"/>
      <c r="DI9" s="18" t="n"/>
      <c r="DJ9" s="256" t="n"/>
      <c r="DK9" s="18" t="n"/>
      <c r="DL9" s="18" t="n">
        <v>200</v>
      </c>
      <c r="DM9" s="18" t="n"/>
      <c r="DN9" s="18" t="n">
        <v>200</v>
      </c>
      <c r="DO9" s="18" t="n">
        <v>400</v>
      </c>
      <c r="DP9" s="256" t="n"/>
      <c r="DQ9" s="256" t="n"/>
      <c r="DR9" s="256" t="n"/>
      <c r="DS9" s="18" t="n"/>
      <c r="DT9" s="18" t="n"/>
      <c r="DU9" s="18" t="n"/>
      <c r="DV9" s="241" t="inlineStr">
        <is>
          <t>200 P/ TP</t>
        </is>
      </c>
      <c r="DW9" s="18" t="n"/>
      <c r="DX9" s="18" t="n">
        <v>400</v>
      </c>
      <c r="DY9" s="256" t="n"/>
      <c r="DZ9" s="256" t="n"/>
      <c r="EA9" s="18" t="n"/>
      <c r="EB9" s="256" t="n"/>
      <c r="EC9" s="18" t="n">
        <v>400</v>
      </c>
      <c r="ED9" s="18" t="n"/>
      <c r="EE9" s="256" t="n"/>
      <c r="EF9" s="18" t="n"/>
      <c r="EG9" s="256" t="n"/>
      <c r="EH9" s="18" t="n">
        <v>200</v>
      </c>
      <c r="EI9" s="18" t="n"/>
      <c r="EJ9" s="18" t="n">
        <v>400</v>
      </c>
      <c r="EK9" s="256" t="n"/>
      <c r="EL9" s="18" t="n">
        <v>200</v>
      </c>
      <c r="EM9" s="256" t="n">
        <v>200</v>
      </c>
      <c r="EN9" s="18" t="n">
        <v>400</v>
      </c>
      <c r="EO9" s="18" t="n"/>
      <c r="EP9" s="18" t="n"/>
      <c r="EQ9" s="241" t="inlineStr">
        <is>
          <t>200 DE TP</t>
        </is>
      </c>
      <c r="ER9" s="18" t="n"/>
      <c r="ES9" s="18" t="n"/>
      <c r="ET9" s="18" t="n">
        <v>400</v>
      </c>
      <c r="EU9" s="18" t="n"/>
      <c r="EV9" s="18" t="n"/>
      <c r="EW9" s="256" t="n"/>
      <c r="EX9" s="18" t="n"/>
      <c r="EY9" s="18" t="n">
        <v>200</v>
      </c>
      <c r="FA9" s="159" t="inlineStr">
        <is>
          <t xml:space="preserve">SACOLA P </t>
        </is>
      </c>
      <c r="FB9" s="129" t="n">
        <v>200</v>
      </c>
      <c r="FC9" s="38">
        <f>CK9</f>
        <v/>
      </c>
      <c r="FD9" s="38" t="n">
        <v>500</v>
      </c>
      <c r="FE9" s="38" t="n">
        <v>420</v>
      </c>
      <c r="FF9" s="38" t="n">
        <v>420</v>
      </c>
      <c r="FG9" s="38" t="n">
        <v>320</v>
      </c>
      <c r="FH9" s="38" t="n">
        <v>0</v>
      </c>
      <c r="FI9" s="38" t="n"/>
      <c r="FJ9" s="38" t="n"/>
      <c r="FK9" s="246">
        <f>FI9+IF(NOT(ISBLANK(OFFSET(FK9,0,6))),N(OFFSET(FK9,0,6)),N(OFFSET(FK9,0,7)))-FJ9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250</v>
      </c>
      <c r="E10" s="6" t="n"/>
      <c r="F10" s="38" t="n">
        <v>100</v>
      </c>
      <c r="G10" s="38">
        <f>80+EX10</f>
        <v/>
      </c>
      <c r="H10" s="38">
        <f>220+EV10</f>
        <v/>
      </c>
      <c r="I10" s="38" t="n">
        <v>400</v>
      </c>
      <c r="J10" s="38" t="n">
        <v>340</v>
      </c>
      <c r="K10" s="38" t="n">
        <v>320</v>
      </c>
      <c r="L10" s="38" t="n">
        <v>320</v>
      </c>
      <c r="M10" s="38" t="n">
        <v>280</v>
      </c>
      <c r="N10" s="38" t="n">
        <v>200</v>
      </c>
      <c r="O10" s="38" t="n">
        <v>180</v>
      </c>
      <c r="P10" s="38">
        <f>160+EN10</f>
        <v/>
      </c>
      <c r="Q10" s="38" t="n">
        <v>480</v>
      </c>
      <c r="R10" s="38" t="n">
        <v>660</v>
      </c>
      <c r="S10" s="38" t="n">
        <v>600</v>
      </c>
      <c r="T10" s="38" t="n">
        <v>500</v>
      </c>
      <c r="U10" s="38" t="n">
        <v>560</v>
      </c>
      <c r="V10" s="38" t="n">
        <v>560</v>
      </c>
      <c r="W10" s="38" t="n">
        <v>540</v>
      </c>
      <c r="X10" s="38" t="n">
        <v>440</v>
      </c>
      <c r="Y10" s="38" t="n">
        <v>420</v>
      </c>
      <c r="Z10" s="38" t="n">
        <v>400</v>
      </c>
      <c r="AA10" s="38" t="n">
        <v>260</v>
      </c>
      <c r="AB10" s="38" t="n">
        <v>220</v>
      </c>
      <c r="AC10" s="38" t="n">
        <v>380</v>
      </c>
      <c r="AD10" s="38" t="n">
        <v>280</v>
      </c>
      <c r="AE10" s="38" t="n">
        <v>290</v>
      </c>
      <c r="AF10" s="38" t="n">
        <v>460</v>
      </c>
      <c r="AG10" s="38" t="n">
        <v>400</v>
      </c>
      <c r="AH10" s="38" t="n">
        <v>280</v>
      </c>
      <c r="AI10" s="38" t="n">
        <v>280</v>
      </c>
      <c r="AJ10" s="38" t="n">
        <v>280</v>
      </c>
      <c r="AK10" s="38" t="n">
        <v>280</v>
      </c>
      <c r="AL10" s="38" t="n">
        <v>280</v>
      </c>
      <c r="AM10" s="38" t="n">
        <v>200</v>
      </c>
      <c r="AN10" s="38" t="n">
        <v>80</v>
      </c>
      <c r="AO10" s="38" t="n">
        <v>220</v>
      </c>
      <c r="AP10" s="38" t="n">
        <v>220</v>
      </c>
      <c r="AQ10" s="38" t="n">
        <v>160</v>
      </c>
      <c r="AR10" s="38" t="n">
        <v>140</v>
      </c>
      <c r="AS10" s="38" t="n">
        <v>260</v>
      </c>
      <c r="AT10" s="38" t="n">
        <v>220</v>
      </c>
      <c r="AU10" s="38" t="n">
        <v>200</v>
      </c>
      <c r="AV10" s="38" t="n">
        <v>160</v>
      </c>
      <c r="AW10" s="38">
        <f>180+CX10</f>
        <v/>
      </c>
      <c r="AX10" s="38" t="n">
        <v>400</v>
      </c>
      <c r="AY10" s="38" t="n">
        <v>400</v>
      </c>
      <c r="AZ10" s="38" t="n">
        <v>400</v>
      </c>
      <c r="BA10" s="38" t="n">
        <v>360</v>
      </c>
      <c r="BB10" s="38" t="n">
        <v>240</v>
      </c>
      <c r="BC10" s="38" t="n">
        <v>200</v>
      </c>
      <c r="BD10" s="38">
        <f>120+CV10</f>
        <v/>
      </c>
      <c r="BE10" s="38" t="n">
        <v>0</v>
      </c>
      <c r="BF10" s="38" t="n">
        <v>0</v>
      </c>
      <c r="BG10" s="38" t="n">
        <v>0</v>
      </c>
      <c r="BH10" s="38" t="n">
        <v>60</v>
      </c>
      <c r="BI10" s="38" t="n">
        <v>460</v>
      </c>
      <c r="BJ10" s="38" t="n">
        <v>400</v>
      </c>
      <c r="BK10" s="38" t="n">
        <v>460</v>
      </c>
      <c r="BL10" s="38" t="n">
        <v>460</v>
      </c>
      <c r="BM10" s="38" t="n">
        <v>460</v>
      </c>
      <c r="BN10" s="38" t="n">
        <v>440</v>
      </c>
      <c r="BO10" s="38" t="n">
        <v>440</v>
      </c>
      <c r="BP10" s="38" t="n">
        <v>360</v>
      </c>
      <c r="BQ10" s="38" t="n">
        <v>340</v>
      </c>
      <c r="BR10" s="38" t="n">
        <v>260</v>
      </c>
      <c r="BS10" s="38" t="n">
        <v>260</v>
      </c>
      <c r="BT10" s="38" t="n">
        <v>260</v>
      </c>
      <c r="BU10" s="38" t="n">
        <v>260</v>
      </c>
      <c r="BV10" s="38" t="n">
        <v>260</v>
      </c>
      <c r="BW10" s="38" t="n">
        <v>260</v>
      </c>
      <c r="BX10" s="38" t="n">
        <v>260</v>
      </c>
      <c r="BY10" s="38" t="n">
        <v>240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4" t="n"/>
      <c r="CF10" s="23" t="n"/>
      <c r="CG10" s="6" t="n"/>
      <c r="CH10" s="18" t="n">
        <v>0</v>
      </c>
      <c r="CI10" s="18" t="n">
        <v>0</v>
      </c>
      <c r="CJ10" s="18" t="n"/>
      <c r="CK10" s="256" t="n">
        <v>600</v>
      </c>
      <c r="CL10" s="18" t="n"/>
      <c r="CM10" s="18" t="n"/>
      <c r="CN10" s="256" t="n"/>
      <c r="CO10" s="18" t="n"/>
      <c r="CP10" s="18" t="n">
        <v>200</v>
      </c>
      <c r="CQ10" s="18" t="n">
        <v>200</v>
      </c>
      <c r="CR10" s="18" t="n">
        <v>200</v>
      </c>
      <c r="CS10" s="18" t="n">
        <v>200</v>
      </c>
      <c r="CT10" s="18" t="n"/>
      <c r="CU10" s="18" t="n"/>
      <c r="CV10" s="18" t="n">
        <v>200</v>
      </c>
      <c r="CW10" s="18" t="n"/>
      <c r="CX10" s="18" t="n">
        <v>200</v>
      </c>
      <c r="CY10" s="18" t="n"/>
      <c r="CZ10" s="256" t="n"/>
      <c r="DA10" s="256" t="n"/>
      <c r="DB10" s="18" t="n"/>
      <c r="DC10" s="18" t="n"/>
      <c r="DD10" s="18" t="n"/>
      <c r="DE10" s="256" t="n">
        <v>200</v>
      </c>
      <c r="DF10" s="18" t="n"/>
      <c r="DG10" s="18" t="n">
        <v>200</v>
      </c>
      <c r="DH10" s="256" t="n"/>
      <c r="DI10" s="18" t="n"/>
      <c r="DJ10" s="378" t="inlineStr">
        <is>
          <t>100 DE MG</t>
        </is>
      </c>
      <c r="DK10" s="18" t="n"/>
      <c r="DL10" s="18" t="n">
        <v>200</v>
      </c>
      <c r="DM10" s="18" t="n"/>
      <c r="DN10" s="18" t="n"/>
      <c r="DO10" s="18" t="n"/>
      <c r="DP10" s="256" t="n"/>
      <c r="DQ10" s="256" t="n">
        <v>200</v>
      </c>
      <c r="DR10" s="256" t="n"/>
      <c r="DS10" s="18" t="n">
        <v>200</v>
      </c>
      <c r="DT10" s="18" t="n"/>
      <c r="DU10" s="18" t="n"/>
      <c r="DV10" s="18" t="n"/>
      <c r="DW10" s="18" t="n">
        <v>200</v>
      </c>
      <c r="DX10" s="18" t="n"/>
      <c r="DY10" s="256" t="n"/>
      <c r="DZ10" s="256" t="n"/>
      <c r="EA10" s="18" t="n"/>
      <c r="EB10" s="256" t="n"/>
      <c r="EC10" s="18" t="n"/>
      <c r="ED10" s="18" t="n"/>
      <c r="EE10" s="256" t="n">
        <v>200</v>
      </c>
      <c r="EF10" s="18" t="n"/>
      <c r="EG10" s="256" t="n"/>
      <c r="EH10" s="18" t="n">
        <v>200</v>
      </c>
      <c r="EI10" s="18" t="n"/>
      <c r="EJ10" s="18" t="n"/>
      <c r="EK10" s="256" t="n"/>
      <c r="EL10" s="18" t="n"/>
      <c r="EM10" s="256" t="n">
        <v>200</v>
      </c>
      <c r="EN10" s="18" t="n">
        <v>400</v>
      </c>
      <c r="EO10" s="18" t="n"/>
      <c r="EP10" s="18" t="n"/>
      <c r="EQ10" s="18" t="n"/>
      <c r="ER10" s="18" t="n"/>
      <c r="ES10" s="18" t="n"/>
      <c r="ET10" s="18" t="n"/>
      <c r="EU10" s="18" t="n"/>
      <c r="EV10" s="18" t="n">
        <v>200</v>
      </c>
      <c r="EW10" s="256" t="n"/>
      <c r="EX10" s="18" t="n">
        <v>200</v>
      </c>
      <c r="EY10" s="18" t="n"/>
      <c r="FA10" s="29" t="inlineStr">
        <is>
          <t xml:space="preserve">SACOLA M </t>
        </is>
      </c>
      <c r="FB10" s="9" t="n">
        <v>200</v>
      </c>
      <c r="FC10" s="38">
        <f>CK10</f>
        <v/>
      </c>
      <c r="FD10" s="38" t="n">
        <v>600</v>
      </c>
      <c r="FE10" s="38" t="n">
        <v>600</v>
      </c>
      <c r="FF10" s="38" t="n">
        <v>580</v>
      </c>
      <c r="FG10" s="38" t="n">
        <v>500</v>
      </c>
      <c r="FH10" s="38" t="n">
        <v>380</v>
      </c>
      <c r="FI10" s="38" t="n"/>
      <c r="FJ10" s="38" t="n"/>
      <c r="FK10" s="246">
        <f>FI10+IF(NOT(ISBLANK(OFFSET(FK10,0,6))),N(OFFSET(FK10,0,6)),N(OFFSET(FK10,0,7)))-FJ10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30</v>
      </c>
      <c r="E11" s="6" t="n"/>
      <c r="F11" s="38" t="n">
        <v>100</v>
      </c>
      <c r="G11" s="38">
        <f>100+EX11</f>
        <v/>
      </c>
      <c r="H11" s="38" t="n">
        <v>200</v>
      </c>
      <c r="I11" s="38" t="n">
        <v>200</v>
      </c>
      <c r="J11" s="38" t="n">
        <v>200</v>
      </c>
      <c r="K11" s="38" t="n">
        <v>200</v>
      </c>
      <c r="L11" s="38" t="n">
        <v>200</v>
      </c>
      <c r="M11" s="38" t="n">
        <v>200</v>
      </c>
      <c r="N11" s="38" t="n">
        <v>200</v>
      </c>
      <c r="O11" s="38" t="n">
        <v>200</v>
      </c>
      <c r="P11" s="38" t="n">
        <v>200</v>
      </c>
      <c r="Q11" s="38" t="n">
        <v>200</v>
      </c>
      <c r="R11" s="38" t="n">
        <v>200</v>
      </c>
      <c r="S11" s="38" t="n">
        <v>200</v>
      </c>
      <c r="T11" s="38" t="n">
        <v>200</v>
      </c>
      <c r="U11" s="38" t="n">
        <v>200</v>
      </c>
      <c r="V11" s="38" t="n">
        <v>200</v>
      </c>
      <c r="W11" s="38" t="n">
        <v>200</v>
      </c>
      <c r="X11" s="38" t="n">
        <v>200</v>
      </c>
      <c r="Y11" s="38" t="n">
        <v>200</v>
      </c>
      <c r="Z11" s="38" t="n">
        <v>200</v>
      </c>
      <c r="AA11" s="38" t="n">
        <v>200</v>
      </c>
      <c r="AB11" s="38" t="n">
        <v>200</v>
      </c>
      <c r="AC11" s="38" t="n">
        <v>200</v>
      </c>
      <c r="AD11" s="38" t="n">
        <v>200</v>
      </c>
      <c r="AE11" s="38" t="n">
        <v>200</v>
      </c>
      <c r="AF11" s="38" t="n">
        <v>200</v>
      </c>
      <c r="AG11" s="38" t="n">
        <v>200</v>
      </c>
      <c r="AH11" s="38" t="n">
        <v>200</v>
      </c>
      <c r="AI11" s="38" t="n">
        <v>200</v>
      </c>
      <c r="AJ11" s="38" t="n">
        <v>200</v>
      </c>
      <c r="AK11" s="38" t="n">
        <v>200</v>
      </c>
      <c r="AL11" s="38" t="n">
        <v>200</v>
      </c>
      <c r="AM11" s="38" t="n">
        <v>200</v>
      </c>
      <c r="AN11" s="38" t="n">
        <v>200</v>
      </c>
      <c r="AO11" s="38" t="n">
        <v>200</v>
      </c>
      <c r="AP11" s="38" t="n">
        <v>200</v>
      </c>
      <c r="AQ11" s="38" t="n">
        <v>200</v>
      </c>
      <c r="AR11" s="38" t="n">
        <v>200</v>
      </c>
      <c r="AS11" s="38" t="n">
        <v>197</v>
      </c>
      <c r="AT11" s="38" t="n">
        <v>197</v>
      </c>
      <c r="AU11" s="38" t="n">
        <v>197</v>
      </c>
      <c r="AV11" s="38" t="n">
        <v>197</v>
      </c>
      <c r="AW11" s="38" t="n">
        <v>197</v>
      </c>
      <c r="AX11" s="38" t="n">
        <v>197</v>
      </c>
      <c r="AY11" s="38" t="n">
        <v>197</v>
      </c>
      <c r="AZ11" s="38" t="n">
        <v>197</v>
      </c>
      <c r="BA11" s="38" t="n">
        <v>197</v>
      </c>
      <c r="BB11" s="38" t="n">
        <v>197</v>
      </c>
      <c r="BC11" s="38" t="n">
        <v>197</v>
      </c>
      <c r="BD11" s="38" t="n">
        <v>197</v>
      </c>
      <c r="BE11" s="38" t="n">
        <v>139</v>
      </c>
      <c r="BF11" s="38" t="n">
        <v>100</v>
      </c>
      <c r="BG11" s="38" t="n">
        <v>100</v>
      </c>
      <c r="BH11" s="38" t="n">
        <v>100</v>
      </c>
      <c r="BI11" s="38" t="n">
        <v>100</v>
      </c>
      <c r="BJ11" s="38" t="n">
        <v>100</v>
      </c>
      <c r="BK11" s="38" t="n">
        <v>120</v>
      </c>
      <c r="BL11" s="38" t="n">
        <v>120</v>
      </c>
      <c r="BM11" s="38" t="n">
        <v>120</v>
      </c>
      <c r="BN11" s="38" t="n">
        <v>120</v>
      </c>
      <c r="BO11" s="38" t="n">
        <v>120</v>
      </c>
      <c r="BP11" s="38" t="n">
        <v>120</v>
      </c>
      <c r="BQ11" s="38" t="n">
        <v>100</v>
      </c>
      <c r="BR11" s="38" t="n">
        <v>100</v>
      </c>
      <c r="BS11" s="38" t="n">
        <v>100</v>
      </c>
      <c r="BT11" s="38" t="n">
        <v>100</v>
      </c>
      <c r="BU11" s="38" t="n">
        <v>100</v>
      </c>
      <c r="BV11" s="38" t="n">
        <v>100</v>
      </c>
      <c r="BW11" s="38" t="n">
        <v>100</v>
      </c>
      <c r="BX11" s="38" t="n">
        <v>100</v>
      </c>
      <c r="BY11" s="38" t="n">
        <v>100</v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n"/>
      <c r="CE11" s="4" t="n"/>
      <c r="CF11" s="23" t="n"/>
      <c r="CG11" s="6" t="n"/>
      <c r="CH11" s="18" t="n">
        <v>0</v>
      </c>
      <c r="CI11" s="18" t="n">
        <v>0</v>
      </c>
      <c r="CJ11" s="18" t="n"/>
      <c r="CK11" s="256" t="n"/>
      <c r="CL11" s="18" t="n"/>
      <c r="CM11" s="18" t="n"/>
      <c r="CN11" s="256" t="n"/>
      <c r="CO11" s="18" t="n"/>
      <c r="CP11" s="18" t="n"/>
      <c r="CQ11" s="18" t="n"/>
      <c r="CR11" s="18" t="n"/>
      <c r="CS11" s="18" t="n"/>
      <c r="CT11" s="18" t="n"/>
      <c r="CU11" s="18" t="n"/>
      <c r="CV11" s="18" t="n"/>
      <c r="CW11" s="18" t="n"/>
      <c r="CX11" s="18" t="n"/>
      <c r="CY11" s="18" t="n"/>
      <c r="CZ11" s="256" t="n"/>
      <c r="DA11" s="256" t="n"/>
      <c r="DB11" s="18" t="n"/>
      <c r="DC11" s="18" t="n"/>
      <c r="DD11" s="18" t="n"/>
      <c r="DE11" s="256" t="n">
        <v>100</v>
      </c>
      <c r="DF11" s="18" t="n"/>
      <c r="DG11" s="18" t="n"/>
      <c r="DH11" s="256" t="n"/>
      <c r="DI11" s="18" t="n"/>
      <c r="DJ11" s="256" t="n"/>
      <c r="DK11" s="18" t="n"/>
      <c r="DL11" s="18" t="n"/>
      <c r="DM11" s="18" t="n"/>
      <c r="DN11" s="18" t="n"/>
      <c r="DO11" s="18" t="n"/>
      <c r="DP11" s="256" t="n"/>
      <c r="DQ11" s="256" t="n"/>
      <c r="DR11" s="256" t="n"/>
      <c r="DS11" s="18" t="n"/>
      <c r="DT11" s="18" t="n"/>
      <c r="DU11" s="18" t="n"/>
      <c r="DV11" s="18" t="n"/>
      <c r="DW11" s="18" t="n"/>
      <c r="DX11" s="18" t="n"/>
      <c r="DY11" s="312" t="inlineStr">
        <is>
          <t>50 DE MG</t>
        </is>
      </c>
      <c r="DZ11" s="256" t="n"/>
      <c r="EA11" s="18" t="n"/>
      <c r="EB11" s="256" t="n"/>
      <c r="EC11" s="18" t="n"/>
      <c r="ED11" s="18" t="n"/>
      <c r="EE11" s="256" t="n"/>
      <c r="EF11" s="18" t="n"/>
      <c r="EG11" s="256" t="n"/>
      <c r="EH11" s="18" t="n"/>
      <c r="EI11" s="18" t="n"/>
      <c r="EJ11" s="18" t="n"/>
      <c r="EK11" s="256" t="n"/>
      <c r="EL11" s="18" t="n"/>
      <c r="EM11" s="256" t="n">
        <v>100</v>
      </c>
      <c r="EN11" s="18" t="n"/>
      <c r="EO11" s="18" t="n"/>
      <c r="EP11" s="18" t="n"/>
      <c r="EQ11" s="18" t="n"/>
      <c r="ER11" s="18" t="n"/>
      <c r="ES11" s="18" t="n"/>
      <c r="ET11" s="18" t="n"/>
      <c r="EU11" s="18" t="n"/>
      <c r="EV11" s="18" t="n"/>
      <c r="EW11" s="256" t="n"/>
      <c r="EX11" s="18" t="n">
        <v>100</v>
      </c>
      <c r="EY11" s="18" t="n"/>
      <c r="FA11" s="30" t="inlineStr">
        <is>
          <t xml:space="preserve">SACOLA G </t>
        </is>
      </c>
      <c r="FB11" s="9" t="n">
        <v>100</v>
      </c>
      <c r="FC11" s="38" t="n">
        <v>0</v>
      </c>
      <c r="FD11" s="38" t="n">
        <v>0</v>
      </c>
      <c r="FE11" s="38" t="n">
        <v>0</v>
      </c>
      <c r="FF11" s="38" t="n">
        <v>0</v>
      </c>
      <c r="FG11" s="38" t="n">
        <v>0</v>
      </c>
      <c r="FH11" s="38" t="n">
        <v>0</v>
      </c>
      <c r="FI11" s="38" t="n"/>
      <c r="FJ11" s="38" t="n"/>
      <c r="FK11" s="246">
        <f>FI11+IF(NOT(ISBLANK(OFFSET(FK11,0,6))),N(OFFSET(FK11,0,6)),N(OFFSET(FK11,0,7)))-FJ11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4" t="n"/>
      <c r="CF12" s="17" t="n"/>
      <c r="CG12" s="17" t="n"/>
      <c r="CH12" s="24" t="n"/>
      <c r="CI12" s="24" t="n"/>
      <c r="CJ12" s="24" t="n"/>
      <c r="CK12" s="257" t="n"/>
      <c r="CL12" s="24" t="n"/>
      <c r="CM12" s="24" t="n"/>
      <c r="CN12" s="24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57" t="n"/>
      <c r="DA12" s="257" t="n"/>
      <c r="DB12" s="24" t="n"/>
      <c r="DC12" s="24" t="n"/>
      <c r="DD12" s="24" t="n"/>
      <c r="DE12" s="257" t="n"/>
      <c r="DF12" s="24" t="n"/>
      <c r="DG12" s="24" t="n"/>
      <c r="DH12" s="24" t="n"/>
      <c r="DI12" s="24" t="n"/>
      <c r="DJ12" s="24" t="n"/>
      <c r="DK12" s="24" t="n"/>
      <c r="DL12" s="24" t="n"/>
      <c r="DM12" s="24" t="n"/>
      <c r="DN12" s="24" t="n"/>
      <c r="DO12" s="24" t="n"/>
      <c r="DP12" s="257" t="n"/>
      <c r="DQ12" s="257" t="n"/>
      <c r="DR12" s="257" t="n"/>
      <c r="DS12" s="24" t="n"/>
      <c r="DT12" s="24" t="n"/>
      <c r="DU12" s="24" t="n"/>
      <c r="DV12" s="24" t="n"/>
      <c r="DW12" s="24" t="n"/>
      <c r="DX12" s="24" t="n"/>
      <c r="DY12" s="24" t="n"/>
      <c r="DZ12" s="271" t="n"/>
      <c r="EA12" s="24" t="n"/>
      <c r="EB12" s="257" t="n"/>
      <c r="EC12" s="24" t="n"/>
      <c r="ED12" s="24" t="n"/>
      <c r="EE12" s="24" t="n"/>
      <c r="EF12" s="24" t="n"/>
      <c r="EG12" s="271" t="n"/>
      <c r="EH12" s="24" t="n"/>
      <c r="EI12" s="24" t="n"/>
      <c r="EJ12" s="24" t="n"/>
      <c r="EK12" s="271" t="n"/>
      <c r="EL12" s="24" t="n"/>
      <c r="EM12" s="271" t="n"/>
      <c r="EN12" s="24" t="n"/>
      <c r="EO12" s="24" t="n"/>
      <c r="EP12" s="24" t="n"/>
      <c r="EQ12" s="24" t="n"/>
      <c r="ER12" s="24" t="n"/>
      <c r="ES12" s="24" t="n"/>
      <c r="ET12" s="24" t="n"/>
      <c r="EU12" s="24" t="n"/>
      <c r="EV12" s="24" t="n"/>
      <c r="EW12" s="257" t="n"/>
      <c r="EX12" s="24" t="n"/>
      <c r="EY12" s="24" t="n"/>
      <c r="FA12" s="31" t="n"/>
      <c r="FB12" s="2" t="n"/>
      <c r="FC12" s="4" t="n"/>
      <c r="FD12" s="4" t="n"/>
      <c r="FE12" s="4" t="n"/>
      <c r="FF12" s="4" t="n"/>
      <c r="FG12" s="4" t="n"/>
      <c r="FH12" s="4" t="n"/>
      <c r="FI12" s="4" t="n"/>
      <c r="FJ12" s="4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642" t="n"/>
      <c r="CD13" s="35" t="inlineStr">
        <is>
          <t>Pendências</t>
        </is>
      </c>
      <c r="CE13" s="6" t="n"/>
      <c r="CF13" s="12" t="inlineStr">
        <is>
          <t>Novo Pedido</t>
        </is>
      </c>
      <c r="CG13" s="642" t="n"/>
      <c r="CH13" s="646" t="n">
        <v>46149</v>
      </c>
      <c r="CI13" s="646" t="n">
        <v>46142</v>
      </c>
      <c r="CJ13" s="646" t="n">
        <v>46114</v>
      </c>
      <c r="CK13" s="647" t="n">
        <v>46065</v>
      </c>
      <c r="CL13" s="646" t="n">
        <v>46099</v>
      </c>
      <c r="CM13" s="646" t="n">
        <v>46092</v>
      </c>
      <c r="CN13" s="655" t="n">
        <v>46080</v>
      </c>
      <c r="CO13" s="646" t="n">
        <v>46071</v>
      </c>
      <c r="CP13" s="646" t="n">
        <v>46043</v>
      </c>
      <c r="CQ13" s="646" t="n">
        <v>46035</v>
      </c>
      <c r="CR13" s="646" t="n">
        <v>46029</v>
      </c>
      <c r="CS13" s="646" t="n">
        <v>46017</v>
      </c>
      <c r="CT13" s="646" t="n">
        <v>46007</v>
      </c>
      <c r="CU13" s="646" t="n">
        <v>46007</v>
      </c>
      <c r="CV13" s="646" t="n">
        <v>46001</v>
      </c>
      <c r="CW13" s="646" t="n">
        <v>45980</v>
      </c>
      <c r="CX13" s="646" t="n">
        <v>45951</v>
      </c>
      <c r="CY13" s="655" t="n">
        <v>45954</v>
      </c>
      <c r="CZ13" s="687" t="n">
        <v>45954</v>
      </c>
      <c r="DA13" s="687" t="n">
        <v>45952</v>
      </c>
      <c r="DB13" s="655" t="n">
        <v>45950</v>
      </c>
      <c r="DC13" s="646" t="n">
        <v>45937</v>
      </c>
      <c r="DD13" s="655" t="n">
        <v>45941</v>
      </c>
      <c r="DE13" s="678" t="n">
        <v>45903</v>
      </c>
      <c r="DF13" s="646" t="n">
        <v>45923</v>
      </c>
      <c r="DG13" s="646" t="n">
        <v>45915</v>
      </c>
      <c r="DH13" s="688" t="n">
        <v>45924</v>
      </c>
      <c r="DI13" s="655" t="n">
        <v>45923</v>
      </c>
      <c r="DJ13" s="688" t="n">
        <v>45922</v>
      </c>
      <c r="DK13" s="655" t="n">
        <v>45915</v>
      </c>
      <c r="DL13" s="646" t="n">
        <v>45895</v>
      </c>
      <c r="DM13" s="646" t="n">
        <v>45881</v>
      </c>
      <c r="DN13" s="646" t="n">
        <v>45874</v>
      </c>
      <c r="DO13" s="646" t="n">
        <v>45848</v>
      </c>
      <c r="DP13" s="681" t="n">
        <v>45848</v>
      </c>
      <c r="DQ13" s="681" t="n">
        <v>45791</v>
      </c>
      <c r="DR13" s="681" t="n">
        <v>45838</v>
      </c>
      <c r="DS13" s="646" t="n">
        <v>45832</v>
      </c>
      <c r="DT13" s="646" t="n">
        <v>45825</v>
      </c>
      <c r="DU13" s="646" t="n">
        <v>45813</v>
      </c>
      <c r="DV13" s="655" t="n">
        <v>45820</v>
      </c>
      <c r="DW13" s="646" t="n">
        <v>45805</v>
      </c>
      <c r="DX13" s="646" t="n">
        <v>45798</v>
      </c>
      <c r="DY13" s="690" t="n">
        <v>45798</v>
      </c>
      <c r="DZ13" s="684" t="n">
        <v>45798</v>
      </c>
      <c r="EA13" s="689" t="n">
        <v>45798</v>
      </c>
      <c r="EB13" s="685" t="n">
        <v>45798</v>
      </c>
      <c r="EC13" s="654" t="n">
        <v>45790</v>
      </c>
      <c r="ED13" s="655" t="n">
        <v>45790</v>
      </c>
      <c r="EE13" s="683" t="n">
        <v>45735</v>
      </c>
      <c r="EF13" s="655" t="n">
        <v>45785</v>
      </c>
      <c r="EG13" s="684" t="n">
        <v>45785</v>
      </c>
      <c r="EH13" s="646" t="n">
        <v>45783</v>
      </c>
      <c r="EI13" s="646" t="n">
        <v>45770</v>
      </c>
      <c r="EJ13" s="646" t="n">
        <v>45756</v>
      </c>
      <c r="EK13" s="684" t="n">
        <v>45751</v>
      </c>
      <c r="EL13" s="646" t="n">
        <v>45734</v>
      </c>
      <c r="EM13" s="684" t="n">
        <v>45700</v>
      </c>
      <c r="EN13" s="646" t="n">
        <v>45722</v>
      </c>
      <c r="EO13" s="689" t="n">
        <v>45723</v>
      </c>
      <c r="EP13" s="646" t="n">
        <v>45706</v>
      </c>
      <c r="EQ13" s="655" t="n">
        <v>45721</v>
      </c>
      <c r="ER13" s="646" t="n">
        <v>45699</v>
      </c>
      <c r="ES13" s="655" t="n">
        <v>45695</v>
      </c>
      <c r="ET13" s="646" t="n">
        <v>45685</v>
      </c>
      <c r="EU13" s="646" t="n">
        <v>45679</v>
      </c>
      <c r="EV13" s="646" t="n">
        <v>45664</v>
      </c>
      <c r="EW13" s="685" t="n">
        <v>45670</v>
      </c>
      <c r="EX13" s="646" t="n">
        <v>45660</v>
      </c>
      <c r="EY13" s="646" t="n">
        <v>45652</v>
      </c>
      <c r="FA13" s="267" t="inlineStr">
        <is>
          <t>DIVERSOS</t>
        </is>
      </c>
      <c r="FB13" s="205" t="inlineStr">
        <is>
          <t>PCT</t>
        </is>
      </c>
      <c r="FC13" s="650" t="n">
        <v>46118</v>
      </c>
      <c r="FD13" s="650" t="n">
        <v>46125</v>
      </c>
      <c r="FE13" s="650" t="n">
        <v>46132</v>
      </c>
      <c r="FF13" s="650" t="n">
        <v>46139</v>
      </c>
      <c r="FG13" s="650" t="n">
        <v>46146</v>
      </c>
      <c r="FH13" s="650" t="n">
        <v>46154</v>
      </c>
      <c r="FI13" s="650" t="n">
        <v>46160</v>
      </c>
      <c r="FJ13" s="650" t="n">
        <v>46160</v>
      </c>
      <c r="FK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231" t="n">
        <v>3</v>
      </c>
      <c r="G14" s="231" t="n">
        <v>6</v>
      </c>
      <c r="H14" s="231" t="n">
        <v>6</v>
      </c>
      <c r="I14" s="231" t="n">
        <v>6</v>
      </c>
      <c r="J14" s="231" t="n">
        <v>6</v>
      </c>
      <c r="K14" s="231" t="n">
        <v>6</v>
      </c>
      <c r="L14" s="231" t="n">
        <v>5</v>
      </c>
      <c r="M14" s="231" t="n">
        <v>5</v>
      </c>
      <c r="N14" s="231" t="n">
        <v>5</v>
      </c>
      <c r="O14" s="231" t="n">
        <v>5</v>
      </c>
      <c r="P14" s="231" t="n">
        <v>4</v>
      </c>
      <c r="Q14" s="231" t="n">
        <v>4</v>
      </c>
      <c r="R14" s="231" t="n">
        <v>4</v>
      </c>
      <c r="S14" s="231" t="n">
        <v>4</v>
      </c>
      <c r="T14" s="231" t="n">
        <v>3</v>
      </c>
      <c r="U14" s="231" t="n">
        <v>3</v>
      </c>
      <c r="V14" s="231" t="n">
        <v>3</v>
      </c>
      <c r="W14" s="231" t="n">
        <v>3</v>
      </c>
      <c r="X14" s="231" t="n">
        <v>3</v>
      </c>
      <c r="Y14" s="231" t="n">
        <v>4</v>
      </c>
      <c r="Z14" s="231" t="n">
        <v>4</v>
      </c>
      <c r="AA14" s="231" t="n">
        <v>2</v>
      </c>
      <c r="AB14" s="231" t="n">
        <v>2</v>
      </c>
      <c r="AC14" s="231" t="n">
        <v>3</v>
      </c>
      <c r="AD14" s="231" t="n">
        <v>4</v>
      </c>
      <c r="AE14" s="231" t="n">
        <v>5</v>
      </c>
      <c r="AF14" s="231" t="n">
        <v>5</v>
      </c>
      <c r="AG14" s="231" t="n">
        <v>5</v>
      </c>
      <c r="AH14" s="231" t="n">
        <v>5</v>
      </c>
      <c r="AI14" s="231" t="n">
        <v>5</v>
      </c>
      <c r="AJ14" s="231" t="n">
        <v>5</v>
      </c>
      <c r="AK14" s="231" t="n">
        <v>5</v>
      </c>
      <c r="AL14" s="231" t="n">
        <v>4</v>
      </c>
      <c r="AM14" s="231" t="n">
        <v>4</v>
      </c>
      <c r="AN14" s="231" t="n">
        <v>4</v>
      </c>
      <c r="AO14" s="231" t="n">
        <v>4</v>
      </c>
      <c r="AP14" s="231" t="n">
        <v>3</v>
      </c>
      <c r="AQ14" s="231" t="n">
        <v>3</v>
      </c>
      <c r="AR14" s="231">
        <f>3-1</f>
        <v/>
      </c>
      <c r="AS14" s="231">
        <f>1+DF14</f>
        <v/>
      </c>
      <c r="AT14" s="231" t="n">
        <v>2</v>
      </c>
      <c r="AU14" s="231">
        <f>2+DC14</f>
        <v/>
      </c>
      <c r="AV14" s="231" t="n">
        <v>2</v>
      </c>
      <c r="AW14" s="231">
        <f>1+CX14</f>
        <v/>
      </c>
      <c r="AX14" s="231" t="n">
        <v>2</v>
      </c>
      <c r="AY14" s="231" t="n">
        <v>2</v>
      </c>
      <c r="AZ14" s="231" t="n">
        <v>4</v>
      </c>
      <c r="BA14" s="231" t="n">
        <v>4</v>
      </c>
      <c r="BB14" s="231" t="n">
        <v>3</v>
      </c>
      <c r="BC14" s="231" t="n">
        <v>3</v>
      </c>
      <c r="BD14" s="231" t="n">
        <v>3</v>
      </c>
      <c r="BE14" s="231" t="n">
        <v>3</v>
      </c>
      <c r="BF14" s="231" t="n">
        <v>1</v>
      </c>
      <c r="BG14" s="231" t="n">
        <v>0</v>
      </c>
      <c r="BH14" s="231" t="n">
        <v>2</v>
      </c>
      <c r="BI14" s="231" t="n">
        <v>9</v>
      </c>
      <c r="BJ14" s="231" t="n">
        <v>9</v>
      </c>
      <c r="BK14" s="231" t="n">
        <v>9</v>
      </c>
      <c r="BL14" s="231" t="n">
        <v>8</v>
      </c>
      <c r="BM14" s="231" t="n">
        <v>7</v>
      </c>
      <c r="BN14" s="231" t="n">
        <v>6</v>
      </c>
      <c r="BO14" s="231" t="n">
        <v>6</v>
      </c>
      <c r="BP14" s="231" t="n">
        <v>5</v>
      </c>
      <c r="BQ14" s="231" t="n">
        <v>4</v>
      </c>
      <c r="BR14" s="231" t="n">
        <v>4</v>
      </c>
      <c r="BS14" s="231" t="n">
        <v>3</v>
      </c>
      <c r="BT14" s="231">
        <f>2+CJ14</f>
        <v/>
      </c>
      <c r="BU14" s="231" t="n">
        <v>4</v>
      </c>
      <c r="BV14" s="231" t="n">
        <v>4</v>
      </c>
      <c r="BW14" s="231" t="n">
        <v>4</v>
      </c>
      <c r="BX14" s="231">
        <f>4+CI14</f>
        <v/>
      </c>
      <c r="BY14" s="231" t="n">
        <v>5</v>
      </c>
      <c r="BZ14" s="231" t="n"/>
      <c r="CA14" s="231" t="n"/>
      <c r="CB14" s="188">
        <f>BZ14+IF(NOT(ISBLANK(OFFSET(CB14,0,6))),N(OFFSET(CB14,0,6)),N(OFFSET(CB14,0,7)))-CA14</f>
        <v/>
      </c>
      <c r="CC14" s="642" t="n"/>
      <c r="CD14" s="19" t="n"/>
      <c r="CE14" s="4" t="n"/>
      <c r="CF14" s="23" t="n"/>
      <c r="CG14" s="642" t="n"/>
      <c r="CH14" s="18" t="n">
        <v>0</v>
      </c>
      <c r="CI14" s="18" t="n">
        <v>2</v>
      </c>
      <c r="CJ14" s="18" t="n">
        <v>2</v>
      </c>
      <c r="CK14" s="256" t="n">
        <v>5</v>
      </c>
      <c r="CL14" s="18" t="n"/>
      <c r="CM14" s="18" t="n"/>
      <c r="CN14" s="256" t="n"/>
      <c r="CO14" s="18" t="n"/>
      <c r="CP14" s="18" t="n"/>
      <c r="CQ14" s="18" t="n">
        <v>2</v>
      </c>
      <c r="CR14" s="18" t="n">
        <v>5</v>
      </c>
      <c r="CS14" s="18" t="n">
        <v>2</v>
      </c>
      <c r="CT14" s="18" t="n"/>
      <c r="CU14" s="18" t="n"/>
      <c r="CV14" s="18" t="n"/>
      <c r="CW14" s="18" t="n"/>
      <c r="CX14" s="18" t="n">
        <v>1</v>
      </c>
      <c r="CY14" s="18" t="n"/>
      <c r="CZ14" s="256" t="n"/>
      <c r="DA14" s="256" t="n"/>
      <c r="DB14" s="18" t="n"/>
      <c r="DC14" s="18" t="n">
        <v>1</v>
      </c>
      <c r="DD14" s="18" t="n"/>
      <c r="DE14" s="256" t="n">
        <v>6</v>
      </c>
      <c r="DF14" s="18" t="n">
        <v>1</v>
      </c>
      <c r="DG14" s="18" t="n"/>
      <c r="DH14" s="256" t="n"/>
      <c r="DI14" s="154" t="inlineStr">
        <is>
          <t>01 P/ PL</t>
        </is>
      </c>
      <c r="DJ14" s="378" t="inlineStr">
        <is>
          <t>100 DE MG</t>
        </is>
      </c>
      <c r="DK14" s="18" t="n"/>
      <c r="DL14" s="18" t="n"/>
      <c r="DM14" s="18" t="n"/>
      <c r="DN14" s="18" t="n"/>
      <c r="DO14" s="18" t="n"/>
      <c r="DP14" s="256" t="n"/>
      <c r="DQ14" s="256" t="n">
        <v>2</v>
      </c>
      <c r="DR14" s="256" t="n"/>
      <c r="DS14" s="18" t="n"/>
      <c r="DT14" s="18" t="n"/>
      <c r="DU14" s="18" t="n">
        <v>2</v>
      </c>
      <c r="DV14" s="18" t="n"/>
      <c r="DW14" s="18" t="n">
        <v>1</v>
      </c>
      <c r="DX14" s="18" t="n"/>
      <c r="DY14" s="256" t="n"/>
      <c r="DZ14" s="256" t="n"/>
      <c r="EA14" s="18" t="n"/>
      <c r="EB14" s="256" t="n"/>
      <c r="EC14" s="18" t="n"/>
      <c r="ED14" s="18" t="n"/>
      <c r="EE14" s="256" t="n">
        <v>1</v>
      </c>
      <c r="EF14" s="18" t="n"/>
      <c r="EG14" s="256" t="n"/>
      <c r="EH14" s="18" t="n">
        <v>1</v>
      </c>
      <c r="EI14" s="18" t="n">
        <v>1</v>
      </c>
      <c r="EJ14" s="18" t="n"/>
      <c r="EK14" s="256" t="n"/>
      <c r="EL14" s="18" t="n"/>
      <c r="EM14" s="256" t="n">
        <v>2</v>
      </c>
      <c r="EN14" s="18" t="n"/>
      <c r="EO14" s="18" t="n"/>
      <c r="EP14" s="18" t="n"/>
      <c r="EQ14" s="18" t="n"/>
      <c r="ER14" s="18" t="n"/>
      <c r="ES14" s="18" t="n"/>
      <c r="ET14" s="18" t="n"/>
      <c r="EU14" s="18" t="n"/>
      <c r="EV14" s="18" t="n"/>
      <c r="EW14" s="256" t="n"/>
      <c r="EX14" s="18" t="n"/>
      <c r="EY14" s="18" t="n">
        <v>3</v>
      </c>
      <c r="FA14" s="159" t="inlineStr">
        <is>
          <t>PAPEL DE SEDA</t>
        </is>
      </c>
      <c r="FB14" s="129" t="n">
        <v>200</v>
      </c>
      <c r="FC14" s="38">
        <f>CK14</f>
        <v/>
      </c>
      <c r="FD14" s="38" t="n">
        <v>4</v>
      </c>
      <c r="FE14" s="38" t="n">
        <v>2</v>
      </c>
      <c r="FF14" s="38" t="n">
        <v>1</v>
      </c>
      <c r="FG14" s="38" t="n">
        <v>1</v>
      </c>
      <c r="FH14" s="38" t="n">
        <v>1</v>
      </c>
      <c r="FI14" s="38" t="n"/>
      <c r="FJ14" s="38" t="n"/>
      <c r="FK14" s="246">
        <f>FI14+IF(NOT(ISBLANK(OFFSET(FK14,0,6))),N(OFFSET(FK14,0,6)),N(OFFSET(FK14,0,7)))-FJ14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1</v>
      </c>
      <c r="E15" s="642" t="n"/>
      <c r="F15" s="231" t="n">
        <v>0</v>
      </c>
      <c r="G15" s="231">
        <f>1+EX15</f>
        <v/>
      </c>
      <c r="H15" s="231" t="n">
        <v>1</v>
      </c>
      <c r="I15" s="231" t="n">
        <v>1</v>
      </c>
      <c r="J15" s="231">
        <f>1+EU15</f>
        <v/>
      </c>
      <c r="K15" s="231" t="n">
        <v>3</v>
      </c>
      <c r="L15" s="231" t="n">
        <v>3</v>
      </c>
      <c r="M15" s="231" t="n">
        <v>4</v>
      </c>
      <c r="N15" s="231" t="n">
        <v>4</v>
      </c>
      <c r="O15" s="231" t="n">
        <v>4</v>
      </c>
      <c r="P15" s="231" t="n">
        <v>4</v>
      </c>
      <c r="Q15" s="231" t="n">
        <v>4</v>
      </c>
      <c r="R15" s="231" t="n">
        <v>4</v>
      </c>
      <c r="S15" s="231" t="n">
        <v>4</v>
      </c>
      <c r="T15" s="231" t="n">
        <v>4</v>
      </c>
      <c r="U15" s="231" t="n">
        <v>3</v>
      </c>
      <c r="V15" s="231" t="n">
        <v>3</v>
      </c>
      <c r="W15" s="231" t="n">
        <v>3</v>
      </c>
      <c r="X15" s="231" t="n">
        <v>3</v>
      </c>
      <c r="Y15" s="231">
        <f>3-2</f>
        <v/>
      </c>
      <c r="Z15" s="231" t="n">
        <v>1</v>
      </c>
      <c r="AA15" s="231" t="n">
        <v>2</v>
      </c>
      <c r="AB15" s="231" t="n">
        <v>1</v>
      </c>
      <c r="AC15" s="231" t="n">
        <v>1</v>
      </c>
      <c r="AD15" s="231" t="n">
        <v>2</v>
      </c>
      <c r="AE15" s="231" t="n">
        <v>2</v>
      </c>
      <c r="AF15" s="231" t="n">
        <v>2</v>
      </c>
      <c r="AG15" s="231" t="n">
        <v>2</v>
      </c>
      <c r="AH15" s="231" t="n">
        <v>2</v>
      </c>
      <c r="AI15" s="231" t="n">
        <v>2</v>
      </c>
      <c r="AJ15" s="231" t="n">
        <v>2</v>
      </c>
      <c r="AK15" s="231" t="n">
        <v>2</v>
      </c>
      <c r="AL15" s="231" t="n">
        <v>2</v>
      </c>
      <c r="AM15" s="231" t="n">
        <v>2</v>
      </c>
      <c r="AN15" s="231" t="n">
        <v>2</v>
      </c>
      <c r="AO15" s="231" t="n">
        <v>2</v>
      </c>
      <c r="AP15" s="231" t="n">
        <v>2</v>
      </c>
      <c r="AQ15" s="231" t="n">
        <v>1</v>
      </c>
      <c r="AR15" s="231" t="n">
        <v>1</v>
      </c>
      <c r="AS15" s="231" t="n">
        <v>2</v>
      </c>
      <c r="AT15" s="231" t="n">
        <v>2</v>
      </c>
      <c r="AU15" s="231" t="n">
        <v>2</v>
      </c>
      <c r="AV15" s="231" t="n">
        <v>2</v>
      </c>
      <c r="AW15" s="231" t="n">
        <v>2</v>
      </c>
      <c r="AX15" s="231" t="n">
        <v>2</v>
      </c>
      <c r="AY15" s="231" t="n">
        <v>2</v>
      </c>
      <c r="AZ15" s="231" t="n">
        <v>2</v>
      </c>
      <c r="BA15" s="231" t="n">
        <v>2</v>
      </c>
      <c r="BB15" s="231" t="n">
        <v>2</v>
      </c>
      <c r="BC15" s="231" t="n">
        <v>2</v>
      </c>
      <c r="BD15" s="231" t="n">
        <v>2</v>
      </c>
      <c r="BE15" s="231" t="n">
        <v>2</v>
      </c>
      <c r="BF15" s="231" t="n">
        <v>1</v>
      </c>
      <c r="BG15" s="231" t="n">
        <v>1</v>
      </c>
      <c r="BH15" s="231" t="n">
        <v>1</v>
      </c>
      <c r="BI15" s="231" t="n">
        <v>3</v>
      </c>
      <c r="BJ15" s="231" t="n">
        <v>2</v>
      </c>
      <c r="BK15" s="231" t="n">
        <v>2</v>
      </c>
      <c r="BL15" s="231" t="n">
        <v>2</v>
      </c>
      <c r="BM15" s="231" t="n">
        <v>2</v>
      </c>
      <c r="BN15" s="231" t="n">
        <v>1</v>
      </c>
      <c r="BO15" s="231" t="n">
        <v>1</v>
      </c>
      <c r="BP15" s="231" t="n">
        <v>1</v>
      </c>
      <c r="BQ15" s="231" t="n">
        <v>1</v>
      </c>
      <c r="BR15" s="231" t="n">
        <v>1</v>
      </c>
      <c r="BS15" s="231" t="n">
        <v>1</v>
      </c>
      <c r="BT15" s="231" t="n">
        <v>1</v>
      </c>
      <c r="BU15" s="231" t="n">
        <v>0</v>
      </c>
      <c r="BV15" s="231" t="n">
        <v>0</v>
      </c>
      <c r="BW15" s="231" t="n">
        <v>0</v>
      </c>
      <c r="BX15" s="231">
        <f>0+CI15</f>
        <v/>
      </c>
      <c r="BY15" s="231" t="n">
        <v>1</v>
      </c>
      <c r="BZ15" s="231" t="n"/>
      <c r="CA15" s="231" t="n"/>
      <c r="CB15" s="188">
        <f>BZ15+IF(NOT(ISBLANK(OFFSET(CB15,0,6))),N(OFFSET(CB15,0,6)),N(OFFSET(CB15,0,7)))-CA15</f>
        <v/>
      </c>
      <c r="CC15" s="642" t="n"/>
      <c r="CD15" s="19" t="n"/>
      <c r="CE15" s="4" t="n"/>
      <c r="CF15" s="23" t="n"/>
      <c r="CG15" s="642" t="n"/>
      <c r="CH15" s="18" t="n">
        <v>0</v>
      </c>
      <c r="CI15" s="18" t="n">
        <v>1</v>
      </c>
      <c r="CJ15" s="18" t="n"/>
      <c r="CK15" s="256" t="n">
        <v>2</v>
      </c>
      <c r="CL15" s="18" t="n"/>
      <c r="CM15" s="18" t="n"/>
      <c r="CN15" s="18" t="n"/>
      <c r="CO15" s="18" t="n"/>
      <c r="CP15" s="18" t="n"/>
      <c r="CQ15" s="18" t="n"/>
      <c r="CR15" s="18" t="n">
        <v>2</v>
      </c>
      <c r="CS15" s="18" t="n"/>
      <c r="CT15" s="18" t="n"/>
      <c r="CU15" s="18" t="n"/>
      <c r="CV15" s="18" t="n"/>
      <c r="CW15" s="18" t="n"/>
      <c r="CX15" s="18" t="n"/>
      <c r="CY15" s="18" t="n"/>
      <c r="CZ15" s="256" t="n"/>
      <c r="DA15" s="256" t="n"/>
      <c r="DB15" s="18" t="n"/>
      <c r="DC15" s="18" t="n"/>
      <c r="DD15" s="18" t="n"/>
      <c r="DE15" s="256" t="n">
        <v>4</v>
      </c>
      <c r="DF15" s="18" t="n"/>
      <c r="DG15" s="18" t="n">
        <v>1</v>
      </c>
      <c r="DH15" s="256" t="n"/>
      <c r="DI15" s="18" t="n"/>
      <c r="DJ15" s="378" t="inlineStr">
        <is>
          <t>100 DE MG</t>
        </is>
      </c>
      <c r="DK15" s="18" t="n"/>
      <c r="DL15" s="18" t="n"/>
      <c r="DM15" s="18" t="n"/>
      <c r="DN15" s="18" t="n"/>
      <c r="DO15" s="18" t="n"/>
      <c r="DP15" s="256" t="n"/>
      <c r="DQ15" s="256" t="n">
        <v>1</v>
      </c>
      <c r="DR15" s="256" t="n"/>
      <c r="DS15" s="18" t="n"/>
      <c r="DT15" s="18" t="n"/>
      <c r="DU15" s="18" t="n">
        <v>1</v>
      </c>
      <c r="DV15" s="18" t="n"/>
      <c r="DW15" s="18" t="n"/>
      <c r="DX15" s="18" t="n">
        <v>1</v>
      </c>
      <c r="DY15" s="256" t="n"/>
      <c r="DZ15" s="256" t="n"/>
      <c r="EA15" s="18" t="n"/>
      <c r="EB15" s="256" t="n"/>
      <c r="EC15" s="18" t="n"/>
      <c r="ED15" s="241" t="inlineStr">
        <is>
          <t>02 P/ TP</t>
        </is>
      </c>
      <c r="EE15" s="256" t="n">
        <v>1</v>
      </c>
      <c r="EF15" s="18" t="n"/>
      <c r="EG15" s="256" t="n"/>
      <c r="EH15" s="18" t="n"/>
      <c r="EI15" s="18" t="n"/>
      <c r="EJ15" s="18" t="n"/>
      <c r="EK15" s="256" t="n"/>
      <c r="EL15" s="18" t="n"/>
      <c r="EM15" s="256" t="n"/>
      <c r="EN15" s="18" t="n"/>
      <c r="EO15" s="18" t="n"/>
      <c r="EP15" s="18" t="n"/>
      <c r="EQ15" s="18" t="n"/>
      <c r="ER15" s="18" t="n"/>
      <c r="ES15" s="18" t="n"/>
      <c r="ET15" s="18" t="n"/>
      <c r="EU15" s="18" t="n">
        <v>2</v>
      </c>
      <c r="EV15" s="18" t="n"/>
      <c r="EW15" s="256" t="n"/>
      <c r="EX15" s="18" t="n">
        <v>1</v>
      </c>
      <c r="EY15" s="18" t="n">
        <v>1</v>
      </c>
      <c r="FA15" s="29" t="inlineStr">
        <is>
          <t>ADESIVOS</t>
        </is>
      </c>
      <c r="FB15" s="9" t="n">
        <v>200</v>
      </c>
      <c r="FC15" s="38">
        <f>CK15</f>
        <v/>
      </c>
      <c r="FD15" s="38" t="n">
        <v>1</v>
      </c>
      <c r="FE15" s="38" t="n">
        <v>1</v>
      </c>
      <c r="FF15" s="38" t="n">
        <v>1</v>
      </c>
      <c r="FG15" s="38" t="n">
        <v>1</v>
      </c>
      <c r="FH15" s="38" t="n">
        <v>1</v>
      </c>
      <c r="FI15" s="38" t="n"/>
      <c r="FJ15" s="38" t="n"/>
      <c r="FK15" s="246">
        <f>FI15+IF(NOT(ISBLANK(OFFSET(FK15,0,6))),N(OFFSET(FK15,0,6)),N(OFFSET(FK15,0,7)))-FJ15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4</v>
      </c>
      <c r="E16" s="2" t="n"/>
      <c r="F16" s="115" t="n">
        <v>2</v>
      </c>
      <c r="G16" s="115" t="n">
        <v>2</v>
      </c>
      <c r="H16" s="115" t="n">
        <v>2</v>
      </c>
      <c r="I16" s="115" t="n">
        <v>1</v>
      </c>
      <c r="J16" s="115">
        <f>1+EU16</f>
        <v/>
      </c>
      <c r="K16" s="115" t="n">
        <v>4</v>
      </c>
      <c r="L16" s="115" t="n">
        <v>4</v>
      </c>
      <c r="M16" s="115" t="n">
        <v>3</v>
      </c>
      <c r="N16" s="115" t="n">
        <v>3</v>
      </c>
      <c r="O16" s="115" t="n">
        <v>3</v>
      </c>
      <c r="P16" s="115" t="n">
        <v>3</v>
      </c>
      <c r="Q16" s="115" t="n">
        <v>3</v>
      </c>
      <c r="R16" s="115" t="n">
        <v>3</v>
      </c>
      <c r="S16" s="115" t="n">
        <v>3</v>
      </c>
      <c r="T16" s="115" t="n">
        <v>3</v>
      </c>
      <c r="U16" s="115" t="n">
        <v>2</v>
      </c>
      <c r="V16" s="115" t="n">
        <v>2</v>
      </c>
      <c r="W16" s="115" t="n">
        <v>2</v>
      </c>
      <c r="X16" s="115" t="n">
        <v>4</v>
      </c>
      <c r="Y16" s="115" t="n">
        <v>3</v>
      </c>
      <c r="Z16" s="115" t="n">
        <v>3</v>
      </c>
      <c r="AA16" s="115" t="n">
        <v>2</v>
      </c>
      <c r="AB16" s="115" t="n">
        <v>2</v>
      </c>
      <c r="AC16" s="115" t="n">
        <v>3</v>
      </c>
      <c r="AD16" s="115" t="n">
        <v>3</v>
      </c>
      <c r="AE16" s="115" t="n">
        <v>2</v>
      </c>
      <c r="AF16" s="115" t="n">
        <v>5</v>
      </c>
      <c r="AG16" s="115" t="n">
        <v>5</v>
      </c>
      <c r="AH16" s="115" t="n">
        <v>5</v>
      </c>
      <c r="AI16" s="115" t="n">
        <v>5</v>
      </c>
      <c r="AJ16" s="115" t="n">
        <v>5</v>
      </c>
      <c r="AK16" s="115" t="n">
        <v>5</v>
      </c>
      <c r="AL16" s="115" t="n">
        <v>4</v>
      </c>
      <c r="AM16" s="115" t="n">
        <v>4</v>
      </c>
      <c r="AN16" s="115" t="n">
        <v>4</v>
      </c>
      <c r="AO16" s="115" t="n">
        <v>4</v>
      </c>
      <c r="AP16" s="115" t="n">
        <v>4</v>
      </c>
      <c r="AQ16" s="115" t="n">
        <v>3</v>
      </c>
      <c r="AR16" s="115" t="n">
        <v>3</v>
      </c>
      <c r="AS16" s="115" t="n">
        <v>3</v>
      </c>
      <c r="AT16" s="115" t="n">
        <v>2</v>
      </c>
      <c r="AU16" s="115">
        <f>2+DC16</f>
        <v/>
      </c>
      <c r="AV16" s="115" t="n">
        <v>5</v>
      </c>
      <c r="AW16" s="231">
        <f>5+CX16</f>
        <v/>
      </c>
      <c r="AX16" s="231" t="n">
        <v>6</v>
      </c>
      <c r="AY16" s="231" t="n">
        <v>4</v>
      </c>
      <c r="AZ16" s="231" t="n">
        <v>2</v>
      </c>
      <c r="BA16" s="231" t="n">
        <v>1</v>
      </c>
      <c r="BB16" s="231" t="n">
        <v>4</v>
      </c>
      <c r="BC16" s="231" t="n">
        <v>4</v>
      </c>
      <c r="BD16" s="231" t="n">
        <v>4</v>
      </c>
      <c r="BE16" s="231" t="n">
        <v>3</v>
      </c>
      <c r="BF16" s="231" t="n">
        <v>3</v>
      </c>
      <c r="BG16" s="231" t="n">
        <v>3</v>
      </c>
      <c r="BH16" s="231" t="n">
        <v>5</v>
      </c>
      <c r="BI16" s="231" t="n">
        <v>5</v>
      </c>
      <c r="BJ16" s="231" t="n">
        <v>5</v>
      </c>
      <c r="BK16" s="231" t="n">
        <v>5</v>
      </c>
      <c r="BL16" s="231" t="n">
        <v>5</v>
      </c>
      <c r="BM16" s="231" t="n">
        <v>5</v>
      </c>
      <c r="BN16" s="231" t="n">
        <v>5</v>
      </c>
      <c r="BO16" s="231" t="n">
        <v>5</v>
      </c>
      <c r="BP16" s="231" t="n">
        <v>5</v>
      </c>
      <c r="BQ16" s="231" t="n">
        <v>1</v>
      </c>
      <c r="BR16" s="231" t="n">
        <v>4</v>
      </c>
      <c r="BS16" s="231" t="n">
        <v>4</v>
      </c>
      <c r="BT16" s="231" t="n">
        <v>4</v>
      </c>
      <c r="BU16" s="231" t="n">
        <v>4</v>
      </c>
      <c r="BV16" s="231" t="n">
        <v>4</v>
      </c>
      <c r="BW16" s="231" t="n">
        <v>4</v>
      </c>
      <c r="BX16" s="231" t="n">
        <v>2</v>
      </c>
      <c r="BY16" s="231">
        <f>1+CH16</f>
        <v/>
      </c>
      <c r="BZ16" s="231" t="n"/>
      <c r="CA16" s="231" t="n"/>
      <c r="CB16" s="188">
        <f>BZ16+IF(NOT(ISBLANK(OFFSET(CB16,0,6))),N(OFFSET(CB16,0,6)),N(OFFSET(CB16,0,7)))-CA16</f>
        <v/>
      </c>
      <c r="CC16" s="2" t="n"/>
      <c r="CD16" s="19" t="n"/>
      <c r="CE16" s="4" t="n"/>
      <c r="CF16" s="23" t="n"/>
      <c r="CG16" s="2" t="n"/>
      <c r="CH16" s="18" t="n">
        <v>4</v>
      </c>
      <c r="CI16" s="18" t="n">
        <v>0</v>
      </c>
      <c r="CJ16" s="18" t="n"/>
      <c r="CK16" s="356" t="n"/>
      <c r="CL16" s="18" t="n">
        <v>3</v>
      </c>
      <c r="CM16" s="18" t="n"/>
      <c r="CN16" s="18" t="n"/>
      <c r="CO16" s="18" t="n"/>
      <c r="CP16" s="18" t="n"/>
      <c r="CQ16" s="18" t="n"/>
      <c r="CR16" s="18" t="n"/>
      <c r="CS16" s="18" t="n">
        <v>2</v>
      </c>
      <c r="CT16" s="18" t="n"/>
      <c r="CU16" s="18" t="n"/>
      <c r="CV16" s="18" t="n"/>
      <c r="CW16" s="18" t="n">
        <v>4</v>
      </c>
      <c r="CX16" s="18" t="n">
        <v>1</v>
      </c>
      <c r="CY16" s="18" t="n"/>
      <c r="CZ16" s="256" t="n"/>
      <c r="DA16" s="256" t="n"/>
      <c r="DB16" s="18" t="n"/>
      <c r="DC16" s="18" t="n">
        <v>3</v>
      </c>
      <c r="DD16" s="18" t="n"/>
      <c r="DE16" s="256" t="n"/>
      <c r="DF16" s="18" t="n"/>
      <c r="DG16" s="18" t="n"/>
      <c r="DH16" s="256" t="n"/>
      <c r="DI16" s="18" t="n"/>
      <c r="DJ16" s="256" t="n"/>
      <c r="DK16" s="18" t="n"/>
      <c r="DL16" s="18" t="n"/>
      <c r="DM16" s="18" t="n"/>
      <c r="DN16" s="18" t="n"/>
      <c r="DO16" s="18" t="n"/>
      <c r="DP16" s="256" t="n"/>
      <c r="DQ16" s="256" t="n"/>
      <c r="DR16" s="256" t="n"/>
      <c r="DS16" s="18" t="n">
        <v>3</v>
      </c>
      <c r="DT16" s="18" t="n"/>
      <c r="DU16" s="18" t="n"/>
      <c r="DV16" s="18" t="n"/>
      <c r="DW16" s="18" t="n">
        <v>1</v>
      </c>
      <c r="DX16" s="18" t="n"/>
      <c r="DY16" s="256" t="n"/>
      <c r="DZ16" s="256" t="n"/>
      <c r="EA16" s="18" t="n"/>
      <c r="EB16" s="256" t="n"/>
      <c r="EC16" s="18" t="n"/>
      <c r="ED16" s="18" t="n"/>
      <c r="EE16" s="256" t="n"/>
      <c r="EF16" s="18" t="n"/>
      <c r="EG16" s="256" t="n"/>
      <c r="EH16" s="18" t="n"/>
      <c r="EI16" s="18" t="n">
        <v>2</v>
      </c>
      <c r="EJ16" s="18" t="n"/>
      <c r="EK16" s="256" t="n"/>
      <c r="EL16" s="18" t="n"/>
      <c r="EM16" s="256" t="n">
        <v>1</v>
      </c>
      <c r="EN16" s="18" t="n"/>
      <c r="EO16" s="18" t="n"/>
      <c r="EP16" s="18" t="n"/>
      <c r="EQ16" s="18" t="n"/>
      <c r="ER16" s="18" t="n"/>
      <c r="ES16" s="18" t="n"/>
      <c r="ET16" s="18" t="n"/>
      <c r="EU16" s="18" t="n">
        <v>3</v>
      </c>
      <c r="EV16" s="18" t="n"/>
      <c r="EW16" s="256" t="n"/>
      <c r="EX16" s="18" t="n"/>
      <c r="EY16" s="18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2</v>
      </c>
      <c r="E17" s="2" t="n"/>
      <c r="F17" s="231" t="n">
        <v>2</v>
      </c>
      <c r="G17" s="231" t="n">
        <v>4</v>
      </c>
      <c r="H17" s="231" t="n">
        <v>4</v>
      </c>
      <c r="I17" s="231" t="n">
        <v>3</v>
      </c>
      <c r="J17" s="231">
        <f>3+EU17</f>
        <v/>
      </c>
      <c r="K17" s="231" t="n">
        <v>4</v>
      </c>
      <c r="L17" s="231" t="n">
        <v>4</v>
      </c>
      <c r="M17" s="231" t="n">
        <v>4</v>
      </c>
      <c r="N17" s="231" t="n">
        <v>4</v>
      </c>
      <c r="O17" s="231" t="n">
        <v>3</v>
      </c>
      <c r="P17" s="231">
        <f>3+EN17</f>
        <v/>
      </c>
      <c r="Q17" s="231" t="n">
        <v>4</v>
      </c>
      <c r="R17" s="231" t="n">
        <v>3</v>
      </c>
      <c r="S17" s="231" t="n">
        <v>3</v>
      </c>
      <c r="T17" s="231" t="n">
        <v>3</v>
      </c>
      <c r="U17" s="231" t="n">
        <v>2</v>
      </c>
      <c r="V17" s="231" t="n">
        <v>2</v>
      </c>
      <c r="W17" s="231" t="n">
        <v>2</v>
      </c>
      <c r="X17" s="231" t="n">
        <v>1</v>
      </c>
      <c r="Y17" s="231">
        <f>0+1</f>
        <v/>
      </c>
      <c r="Z17" s="231" t="n">
        <v>2</v>
      </c>
      <c r="AA17" s="231" t="n">
        <v>2</v>
      </c>
      <c r="AB17" s="231" t="n">
        <v>3</v>
      </c>
      <c r="AC17" s="231" t="n">
        <v>3</v>
      </c>
      <c r="AD17" s="231" t="n">
        <v>2</v>
      </c>
      <c r="AE17" s="231" t="n">
        <v>2</v>
      </c>
      <c r="AF17" s="231" t="n">
        <v>3</v>
      </c>
      <c r="AG17" s="231" t="n">
        <v>3</v>
      </c>
      <c r="AH17" s="231" t="n">
        <v>3</v>
      </c>
      <c r="AI17" s="231" t="n">
        <v>3</v>
      </c>
      <c r="AJ17" s="231" t="n">
        <v>2</v>
      </c>
      <c r="AK17" s="231" t="n">
        <v>2</v>
      </c>
      <c r="AL17" s="231" t="n">
        <v>2</v>
      </c>
      <c r="AM17" s="231" t="n">
        <v>2</v>
      </c>
      <c r="AN17" s="231" t="n">
        <v>1</v>
      </c>
      <c r="AO17" s="231" t="n">
        <v>2</v>
      </c>
      <c r="AP17" s="231" t="n">
        <v>2</v>
      </c>
      <c r="AQ17" s="231">
        <f>2-1</f>
        <v/>
      </c>
      <c r="AR17" s="231" t="n">
        <v>0</v>
      </c>
      <c r="AS17" s="231">
        <f>0+DF17</f>
        <v/>
      </c>
      <c r="AT17" s="231" t="n">
        <v>2</v>
      </c>
      <c r="AU17" s="231" t="n">
        <v>2</v>
      </c>
      <c r="AV17" s="231" t="n">
        <v>1</v>
      </c>
      <c r="AW17" s="231">
        <f>1+CX17</f>
        <v/>
      </c>
      <c r="AX17" s="231" t="n">
        <v>2</v>
      </c>
      <c r="AY17" s="231" t="n">
        <v>2</v>
      </c>
      <c r="AZ17" s="231" t="n">
        <v>1</v>
      </c>
      <c r="BA17" s="231" t="n">
        <v>1</v>
      </c>
      <c r="BB17" s="231" t="n">
        <v>3</v>
      </c>
      <c r="BC17" s="231" t="n">
        <v>3</v>
      </c>
      <c r="BD17" s="231" t="n">
        <v>3</v>
      </c>
      <c r="BE17" s="231" t="n">
        <v>3</v>
      </c>
      <c r="BF17" s="231" t="n">
        <v>3</v>
      </c>
      <c r="BG17" s="231" t="n">
        <v>3</v>
      </c>
      <c r="BH17" s="231" t="n">
        <v>3</v>
      </c>
      <c r="BI17" s="231" t="n">
        <v>1</v>
      </c>
      <c r="BJ17" s="231" t="n">
        <v>1</v>
      </c>
      <c r="BK17" s="231" t="n">
        <v>1</v>
      </c>
      <c r="BL17" s="231" t="n">
        <v>1</v>
      </c>
      <c r="BM17" s="231" t="n">
        <v>1</v>
      </c>
      <c r="BN17" s="231">
        <f>1+1</f>
        <v/>
      </c>
      <c r="BO17" s="231" t="n">
        <v>2</v>
      </c>
      <c r="BP17" s="231" t="n">
        <v>1</v>
      </c>
      <c r="BQ17" s="231">
        <f>0+CM17</f>
        <v/>
      </c>
      <c r="BR17" s="231" t="n">
        <v>1</v>
      </c>
      <c r="BS17" s="231" t="n">
        <v>1</v>
      </c>
      <c r="BT17" s="231">
        <f>1+CJ17</f>
        <v/>
      </c>
      <c r="BU17" s="231" t="n">
        <v>1</v>
      </c>
      <c r="BV17" s="231" t="n">
        <v>1</v>
      </c>
      <c r="BW17" s="231" t="n">
        <v>1</v>
      </c>
      <c r="BX17" s="231" t="n">
        <v>0</v>
      </c>
      <c r="BY17" s="231">
        <f>0+CH17</f>
        <v/>
      </c>
      <c r="BZ17" s="231" t="n"/>
      <c r="CA17" s="231" t="n"/>
      <c r="CB17" s="188">
        <f>BZ17+IF(NOT(ISBLANK(OFFSET(CB17,0,6))),N(OFFSET(CB17,0,6)),N(OFFSET(CB17,0,7)))-CA17</f>
        <v/>
      </c>
      <c r="CC17" s="2" t="n"/>
      <c r="CD17" s="19" t="n"/>
      <c r="CE17" s="4" t="n"/>
      <c r="CF17" s="23" t="n"/>
      <c r="CG17" s="2" t="n"/>
      <c r="CH17" s="18" t="n">
        <v>2</v>
      </c>
      <c r="CI17" s="18" t="n">
        <v>0</v>
      </c>
      <c r="CJ17" s="18" t="n">
        <v>1</v>
      </c>
      <c r="CK17" s="356" t="n"/>
      <c r="CL17" s="18" t="n"/>
      <c r="CM17" s="18" t="n">
        <v>1</v>
      </c>
      <c r="CN17" s="154" t="inlineStr">
        <is>
          <t>01 DE MG</t>
        </is>
      </c>
      <c r="CO17" s="18" t="n"/>
      <c r="CP17" s="18" t="n"/>
      <c r="CQ17" s="18" t="n"/>
      <c r="CR17" s="18" t="n"/>
      <c r="CS17" s="18" t="n"/>
      <c r="CT17" s="18" t="n"/>
      <c r="CU17" s="18" t="n"/>
      <c r="CV17" s="18" t="n"/>
      <c r="CW17" s="18" t="n">
        <v>3</v>
      </c>
      <c r="CX17" s="18" t="n">
        <v>1</v>
      </c>
      <c r="CY17" s="18" t="n"/>
      <c r="CZ17" s="256" t="n"/>
      <c r="DA17" s="256" t="n"/>
      <c r="DB17" s="18" t="n"/>
      <c r="DC17" s="18" t="n"/>
      <c r="DD17" s="18" t="n"/>
      <c r="DE17" s="256" t="n"/>
      <c r="DF17" s="18" t="n">
        <v>2</v>
      </c>
      <c r="DG17" s="18" t="n"/>
      <c r="DH17" s="256" t="n"/>
      <c r="DI17" s="18" t="n"/>
      <c r="DJ17" s="256" t="n"/>
      <c r="DK17" s="154" t="inlineStr">
        <is>
          <t>01 P/ PL</t>
        </is>
      </c>
      <c r="DL17" s="18" t="n">
        <v>1</v>
      </c>
      <c r="DM17" s="18" t="n"/>
      <c r="DN17" s="18" t="n"/>
      <c r="DO17" s="18" t="n"/>
      <c r="DP17" s="256" t="n"/>
      <c r="DQ17" s="256" t="n"/>
      <c r="DR17" s="256" t="n"/>
      <c r="DS17" s="18" t="n">
        <v>1</v>
      </c>
      <c r="DT17" s="18" t="n"/>
      <c r="DU17" s="18" t="n">
        <v>1</v>
      </c>
      <c r="DV17" s="18" t="n"/>
      <c r="DW17" s="18" t="n"/>
      <c r="DX17" s="18" t="n"/>
      <c r="DY17" s="256" t="n"/>
      <c r="DZ17" s="256" t="n"/>
      <c r="EA17" s="18" t="n"/>
      <c r="EB17" s="256" t="n"/>
      <c r="EC17" s="18" t="n">
        <v>1</v>
      </c>
      <c r="ED17" s="241" t="inlineStr">
        <is>
          <t>01 DE TP</t>
        </is>
      </c>
      <c r="EE17" s="256" t="n"/>
      <c r="EF17" s="18" t="n"/>
      <c r="EG17" s="256" t="n"/>
      <c r="EH17" s="18" t="n">
        <v>1</v>
      </c>
      <c r="EI17" s="18" t="n"/>
      <c r="EJ17" s="18" t="n"/>
      <c r="EK17" s="256" t="n"/>
      <c r="EL17" s="18" t="n"/>
      <c r="EM17" s="256" t="n"/>
      <c r="EN17" s="18" t="n">
        <v>1</v>
      </c>
      <c r="EO17" s="18" t="n"/>
      <c r="EP17" s="18" t="n"/>
      <c r="EQ17" s="18" t="n"/>
      <c r="ER17" s="18" t="n"/>
      <c r="ES17" s="18" t="n"/>
      <c r="ET17" s="18" t="n"/>
      <c r="EU17" s="18" t="n">
        <v>1</v>
      </c>
      <c r="EV17" s="18" t="n"/>
      <c r="EW17" s="256" t="n"/>
      <c r="EX17" s="18" t="n"/>
      <c r="EY17" s="18" t="n">
        <v>2</v>
      </c>
    </row>
    <row r="18" ht="18.75" customFormat="1" customHeight="1" s="3">
      <c r="A18" s="31" t="n"/>
      <c r="C18" s="664" t="n"/>
      <c r="D18" s="398" t="n"/>
      <c r="CB18" s="4" t="n"/>
      <c r="CD18" s="16" t="n"/>
      <c r="CF18" s="64" t="n"/>
      <c r="CH18" s="16" t="n"/>
      <c r="CI18" s="16" t="n"/>
      <c r="CJ18" s="16" t="n"/>
      <c r="CK18" s="258" t="n"/>
      <c r="CL18" s="16" t="n"/>
      <c r="CM18" s="16" t="n"/>
      <c r="CN18" s="16" t="n"/>
      <c r="CO18" s="16" t="n"/>
      <c r="CP18" s="16" t="n"/>
      <c r="CQ18" s="16" t="n"/>
      <c r="CW18" s="16" t="n"/>
      <c r="CX18" s="16" t="n"/>
      <c r="CY18" s="16" t="n"/>
      <c r="DB18" s="16" t="n"/>
      <c r="DC18" s="16" t="n"/>
      <c r="DD18" s="16" t="n"/>
      <c r="DF18" s="16" t="n"/>
      <c r="DG18" s="16" t="n"/>
      <c r="DH18" s="16" t="n"/>
      <c r="DI18" s="16" t="n"/>
      <c r="DJ18" s="16" t="n"/>
      <c r="DK18" s="16" t="n"/>
      <c r="DL18" s="16" t="n"/>
      <c r="DM18" s="16" t="n"/>
      <c r="DN18" s="16" t="n"/>
      <c r="DO18" s="16" t="n"/>
      <c r="DP18" s="258" t="n"/>
      <c r="DQ18" s="258" t="n"/>
      <c r="DR18" s="258" t="n"/>
      <c r="DS18" s="16" t="n"/>
      <c r="DT18" s="16" t="n"/>
      <c r="DU18" s="16" t="n"/>
      <c r="DV18" s="16" t="n"/>
      <c r="DW18" s="16" t="n"/>
      <c r="DX18" s="16" t="n"/>
      <c r="DY18" s="16" t="n"/>
      <c r="DZ18" s="1" t="n"/>
      <c r="EA18" s="16" t="n"/>
      <c r="EB18" s="258" t="n"/>
      <c r="EC18" s="16" t="n"/>
      <c r="ED18" s="16" t="n"/>
      <c r="EE18" s="16" t="n"/>
      <c r="EF18" s="16" t="n"/>
      <c r="EG18" s="1" t="n"/>
      <c r="EH18" s="16" t="n"/>
      <c r="EI18" s="16" t="n"/>
      <c r="EJ18" s="16" t="n"/>
      <c r="EK18" s="1" t="n"/>
      <c r="EL18" s="16" t="n"/>
      <c r="EM18" s="1" t="n"/>
      <c r="EN18" s="16" t="n"/>
      <c r="EO18" s="16" t="n"/>
      <c r="EP18" s="16" t="n"/>
      <c r="EQ18" s="16" t="n"/>
      <c r="ER18" s="16" t="n"/>
      <c r="ES18" s="16" t="n"/>
      <c r="ET18" s="16" t="n"/>
      <c r="EU18" s="16" t="n"/>
      <c r="EV18" s="16" t="n"/>
      <c r="EW18" s="258" t="n"/>
      <c r="EX18" s="16" t="n"/>
      <c r="EY18" s="16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C19" s="2" t="n"/>
      <c r="CD19" s="35" t="inlineStr">
        <is>
          <t>Pendências</t>
        </is>
      </c>
      <c r="CE19" s="6" t="n"/>
      <c r="CF19" s="12" t="inlineStr">
        <is>
          <t>Novo Pedido</t>
        </is>
      </c>
      <c r="CG19" s="2" t="n"/>
      <c r="CH19" s="646" t="n">
        <v>46149</v>
      </c>
      <c r="CI19" s="646" t="n">
        <v>46142</v>
      </c>
      <c r="CJ19" s="646" t="n">
        <v>46114</v>
      </c>
      <c r="CK19" s="647" t="n">
        <v>46065</v>
      </c>
      <c r="CL19" s="646" t="n">
        <v>46099</v>
      </c>
      <c r="CM19" s="646" t="n">
        <v>46092</v>
      </c>
      <c r="CN19" s="655" t="n">
        <v>46080</v>
      </c>
      <c r="CO19" s="646" t="n">
        <v>46071</v>
      </c>
      <c r="CP19" s="646" t="n">
        <v>46043</v>
      </c>
      <c r="CQ19" s="646" t="n">
        <v>46035</v>
      </c>
      <c r="CR19" s="646" t="n">
        <v>46029</v>
      </c>
      <c r="CS19" s="646" t="n">
        <v>46017</v>
      </c>
      <c r="CT19" s="646" t="n">
        <v>46007</v>
      </c>
      <c r="CU19" s="646" t="n">
        <v>46007</v>
      </c>
      <c r="CV19" s="646" t="n">
        <v>46001</v>
      </c>
      <c r="CW19" s="646" t="n">
        <v>45980</v>
      </c>
      <c r="CX19" s="646" t="n">
        <v>45951</v>
      </c>
      <c r="CY19" s="655" t="n">
        <v>45954</v>
      </c>
      <c r="CZ19" s="687" t="n">
        <v>45954</v>
      </c>
      <c r="DA19" s="687" t="n">
        <v>45952</v>
      </c>
      <c r="DB19" s="655" t="n">
        <v>45950</v>
      </c>
      <c r="DC19" s="646" t="n">
        <v>45937</v>
      </c>
      <c r="DD19" s="655" t="n">
        <v>45941</v>
      </c>
      <c r="DE19" s="678" t="n">
        <v>45903</v>
      </c>
      <c r="DF19" s="646" t="n">
        <v>45923</v>
      </c>
      <c r="DG19" s="646" t="n">
        <v>45915</v>
      </c>
      <c r="DH19" s="688" t="n">
        <v>45924</v>
      </c>
      <c r="DI19" s="655" t="n">
        <v>45923</v>
      </c>
      <c r="DJ19" s="688" t="n">
        <v>45922</v>
      </c>
      <c r="DK19" s="655" t="n">
        <v>45915</v>
      </c>
      <c r="DL19" s="646" t="n">
        <v>45895</v>
      </c>
      <c r="DM19" s="646" t="n">
        <v>45881</v>
      </c>
      <c r="DN19" s="646" t="n">
        <v>45874</v>
      </c>
      <c r="DO19" s="646" t="n">
        <v>45848</v>
      </c>
      <c r="DP19" s="681" t="n">
        <v>45848</v>
      </c>
      <c r="DQ19" s="681" t="n">
        <v>45791</v>
      </c>
      <c r="DR19" s="681" t="n">
        <v>45838</v>
      </c>
      <c r="DS19" s="646" t="n">
        <v>45832</v>
      </c>
      <c r="DT19" s="646" t="n">
        <v>45825</v>
      </c>
      <c r="DU19" s="646" t="n">
        <v>45813</v>
      </c>
      <c r="DV19" s="655" t="n">
        <v>45820</v>
      </c>
      <c r="DW19" s="646" t="n">
        <v>45805</v>
      </c>
      <c r="DX19" s="646" t="n">
        <v>45798</v>
      </c>
      <c r="DY19" s="690" t="n">
        <v>45798</v>
      </c>
      <c r="DZ19" s="684" t="n">
        <v>45798</v>
      </c>
      <c r="EA19" s="689" t="n">
        <v>45798</v>
      </c>
      <c r="EB19" s="685" t="n">
        <v>45798</v>
      </c>
      <c r="EC19" s="654" t="n">
        <v>45790</v>
      </c>
      <c r="ED19" s="655" t="n">
        <v>45790</v>
      </c>
      <c r="EE19" s="683" t="n">
        <v>45735</v>
      </c>
      <c r="EF19" s="655" t="n">
        <v>45785</v>
      </c>
      <c r="EG19" s="684" t="n">
        <v>45785</v>
      </c>
      <c r="EH19" s="646" t="n">
        <v>45783</v>
      </c>
      <c r="EI19" s="646" t="n">
        <v>45770</v>
      </c>
      <c r="EJ19" s="646" t="n">
        <v>45756</v>
      </c>
      <c r="EK19" s="684" t="n">
        <v>45751</v>
      </c>
      <c r="EL19" s="646" t="n">
        <v>45734</v>
      </c>
      <c r="EM19" s="684" t="n">
        <v>45700</v>
      </c>
      <c r="EN19" s="646" t="n">
        <v>45722</v>
      </c>
      <c r="EO19" s="689" t="n">
        <v>45723</v>
      </c>
      <c r="EP19" s="646" t="n">
        <v>45706</v>
      </c>
      <c r="EQ19" s="655" t="n">
        <v>45721</v>
      </c>
      <c r="ER19" s="646" t="n">
        <v>45699</v>
      </c>
      <c r="ES19" s="655" t="n">
        <v>45695</v>
      </c>
      <c r="ET19" s="646" t="n">
        <v>45685</v>
      </c>
      <c r="EU19" s="646" t="n">
        <v>45679</v>
      </c>
      <c r="EV19" s="646" t="n">
        <v>45664</v>
      </c>
      <c r="EW19" s="685" t="n">
        <v>45670</v>
      </c>
      <c r="EX19" s="646" t="n">
        <v>45660</v>
      </c>
      <c r="EY19" s="646" t="n">
        <v>45652</v>
      </c>
      <c r="FA19" s="267" t="inlineStr">
        <is>
          <t>CAIXAS</t>
        </is>
      </c>
      <c r="FB19" s="205" t="inlineStr">
        <is>
          <t>PCT</t>
        </is>
      </c>
      <c r="FC19" s="650" t="n">
        <v>46118</v>
      </c>
      <c r="FD19" s="650" t="n">
        <v>46125</v>
      </c>
      <c r="FE19" s="650" t="n">
        <v>46132</v>
      </c>
      <c r="FF19" s="650" t="n">
        <v>46139</v>
      </c>
      <c r="FG19" s="650" t="n">
        <v>46146</v>
      </c>
      <c r="FH19" s="650" t="n">
        <v>46154</v>
      </c>
      <c r="FI19" s="650" t="n">
        <v>46160</v>
      </c>
      <c r="FJ19" s="650" t="n">
        <v>46160</v>
      </c>
      <c r="FK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100</v>
      </c>
      <c r="E20" s="2" t="n"/>
      <c r="F20" s="38" t="n">
        <v>60</v>
      </c>
      <c r="G20" s="38" t="n">
        <v>61</v>
      </c>
      <c r="H20" s="38" t="n">
        <v>61</v>
      </c>
      <c r="I20" s="38" t="n">
        <v>61</v>
      </c>
      <c r="J20" s="38" t="n">
        <v>61</v>
      </c>
      <c r="K20" s="38" t="n">
        <v>61</v>
      </c>
      <c r="L20" s="38" t="n">
        <v>61</v>
      </c>
      <c r="M20" s="38" t="n">
        <v>62</v>
      </c>
      <c r="N20" s="38" t="n">
        <v>62</v>
      </c>
      <c r="O20" s="38" t="n">
        <v>62</v>
      </c>
      <c r="P20" s="38" t="n">
        <v>57</v>
      </c>
      <c r="Q20" s="38" t="n">
        <v>43</v>
      </c>
      <c r="R20" s="38" t="n">
        <v>28</v>
      </c>
      <c r="S20" s="38" t="n">
        <v>161</v>
      </c>
      <c r="T20" s="38" t="n">
        <v>145</v>
      </c>
      <c r="U20" s="38" t="n">
        <v>126</v>
      </c>
      <c r="V20" s="38" t="n">
        <v>125</v>
      </c>
      <c r="W20" s="38" t="n">
        <v>119</v>
      </c>
      <c r="X20" s="38" t="n">
        <v>117</v>
      </c>
      <c r="Y20" s="38" t="n">
        <v>81</v>
      </c>
      <c r="Z20" s="38" t="n">
        <v>70</v>
      </c>
      <c r="AA20" s="38" t="n">
        <v>51</v>
      </c>
      <c r="AB20" s="38" t="n">
        <v>45</v>
      </c>
      <c r="AC20" s="38">
        <f>35+DW20</f>
        <v/>
      </c>
      <c r="AD20" s="38" t="n">
        <v>138</v>
      </c>
      <c r="AE20" s="38" t="n">
        <v>127</v>
      </c>
      <c r="AF20" s="38" t="n">
        <v>119</v>
      </c>
      <c r="AG20" s="38" t="n">
        <v>111</v>
      </c>
      <c r="AH20" s="38" t="n">
        <v>99</v>
      </c>
      <c r="AI20" s="38" t="n">
        <v>86</v>
      </c>
      <c r="AJ20" s="38" t="n">
        <v>77</v>
      </c>
      <c r="AK20" s="38" t="n">
        <v>63</v>
      </c>
      <c r="AL20" s="38" t="n">
        <v>38</v>
      </c>
      <c r="AM20" s="38">
        <f>31+DM20</f>
        <v/>
      </c>
      <c r="AN20" s="38">
        <f>31+DM20</f>
        <v/>
      </c>
      <c r="AO20" s="38" t="n">
        <v>161</v>
      </c>
      <c r="AP20" s="38" t="n">
        <v>154</v>
      </c>
      <c r="AQ20" s="38" t="n">
        <v>135</v>
      </c>
      <c r="AR20" s="38" t="n">
        <v>116</v>
      </c>
      <c r="AS20" s="38" t="n">
        <v>96</v>
      </c>
      <c r="AT20" s="38" t="n">
        <v>58</v>
      </c>
      <c r="AU20" s="38" t="n">
        <v>31</v>
      </c>
      <c r="AV20" s="38">
        <f>20+50</f>
        <v/>
      </c>
      <c r="AW20" s="38">
        <f>58+CX20</f>
        <v/>
      </c>
      <c r="AX20" s="38" t="n">
        <v>199</v>
      </c>
      <c r="AY20" s="38" t="n">
        <v>197</v>
      </c>
      <c r="AZ20" s="38" t="n">
        <v>197</v>
      </c>
      <c r="BA20" s="38" t="n">
        <v>197</v>
      </c>
      <c r="BB20" s="38" t="n">
        <v>188</v>
      </c>
      <c r="BC20" s="38" t="n">
        <v>186</v>
      </c>
      <c r="BD20" s="38" t="n">
        <v>186</v>
      </c>
      <c r="BE20" s="38" t="n">
        <v>135</v>
      </c>
      <c r="BF20" s="38" t="n">
        <v>134</v>
      </c>
      <c r="BG20" s="38" t="n">
        <v>132</v>
      </c>
      <c r="BH20" s="38" t="n">
        <v>115</v>
      </c>
      <c r="BI20" s="38">
        <f>96+CQ20</f>
        <v/>
      </c>
      <c r="BJ20" s="38" t="n">
        <v>229</v>
      </c>
      <c r="BK20" s="38" t="n">
        <v>207</v>
      </c>
      <c r="BL20" s="38" t="n">
        <v>179</v>
      </c>
      <c r="BM20" s="38" t="n">
        <v>172</v>
      </c>
      <c r="BN20" s="38" t="n">
        <v>158</v>
      </c>
      <c r="BO20" s="38" t="n">
        <v>151</v>
      </c>
      <c r="BP20" s="38" t="n">
        <v>132</v>
      </c>
      <c r="BQ20" s="38" t="n">
        <v>126</v>
      </c>
      <c r="BR20" s="38" t="n">
        <v>113</v>
      </c>
      <c r="BS20" s="38" t="n">
        <v>111</v>
      </c>
      <c r="BT20" s="38" t="n"/>
      <c r="BU20" s="38" t="n"/>
      <c r="BV20" s="38" t="n"/>
      <c r="BW20" s="38" t="n">
        <v>68</v>
      </c>
      <c r="BX20" s="38" t="n">
        <v>63</v>
      </c>
      <c r="BY20" s="38" t="n">
        <v>59</v>
      </c>
      <c r="BZ20" s="38" t="n">
        <v>49</v>
      </c>
      <c r="CA20" s="38" t="n">
        <v>49</v>
      </c>
      <c r="CB20" s="154">
        <f>BZ20+IF(NOT(ISBLANK(OFFSET(CB20,0,6))),N(OFFSET(CB20,0,6)),N(OFFSET(CB20,0,7)))-CA20</f>
        <v/>
      </c>
      <c r="CC20" s="2" t="n"/>
      <c r="CD20" s="122" t="inlineStr">
        <is>
          <t>40 DE PL</t>
        </is>
      </c>
      <c r="CE20" s="4" t="n"/>
      <c r="CF20" s="23" t="n"/>
      <c r="CG20" s="2" t="n"/>
      <c r="CH20" s="18" t="n">
        <v>0</v>
      </c>
      <c r="CI20" s="18" t="n">
        <v>0</v>
      </c>
      <c r="CJ20" s="18" t="n"/>
      <c r="CK20" s="356" t="n"/>
      <c r="CL20" s="18" t="n"/>
      <c r="CM20" s="18" t="n"/>
      <c r="CN20" s="18" t="n"/>
      <c r="CO20" s="18" t="n"/>
      <c r="CP20" s="18" t="n"/>
      <c r="CQ20" s="18" t="n">
        <v>150</v>
      </c>
      <c r="CR20" s="18" t="n"/>
      <c r="CS20" s="18" t="n"/>
      <c r="CT20" s="18" t="n"/>
      <c r="CU20" s="18" t="n"/>
      <c r="CV20" s="18" t="n"/>
      <c r="CW20" s="18" t="n"/>
      <c r="CX20" s="18" t="n">
        <v>150</v>
      </c>
      <c r="CY20" s="154" t="inlineStr">
        <is>
          <t>50 DE MG</t>
        </is>
      </c>
      <c r="CZ20" s="403" t="inlineStr">
        <is>
          <t>30 DE MG</t>
        </is>
      </c>
      <c r="DA20" s="256" t="n"/>
      <c r="DB20" s="256" t="n"/>
      <c r="DC20" s="18" t="n"/>
      <c r="DD20" s="154" t="inlineStr">
        <is>
          <t>50 DE MG</t>
        </is>
      </c>
      <c r="DE20" s="256" t="n"/>
      <c r="DF20" s="18" t="n"/>
      <c r="DG20" s="18" t="n"/>
      <c r="DH20" s="256" t="n"/>
      <c r="DI20" s="18" t="n"/>
      <c r="DJ20" s="256" t="n"/>
      <c r="DK20" s="18" t="n"/>
      <c r="DL20" s="18" t="n"/>
      <c r="DM20" s="18" t="n">
        <v>150</v>
      </c>
      <c r="DN20" s="18" t="n"/>
      <c r="DO20" s="18" t="n"/>
      <c r="DP20" s="292" t="inlineStr">
        <is>
          <t>50 DE MG</t>
        </is>
      </c>
      <c r="DQ20" s="256" t="n"/>
      <c r="DR20" s="256" t="n"/>
      <c r="DS20" s="18" t="n"/>
      <c r="DT20" s="18" t="n"/>
      <c r="DU20" s="18" t="n"/>
      <c r="DV20" s="18" t="n"/>
      <c r="DW20" s="18" t="n">
        <v>150</v>
      </c>
      <c r="DX20" s="18" t="n"/>
      <c r="DY20" s="256" t="n"/>
      <c r="DZ20" s="256" t="n"/>
      <c r="EA20" s="256" t="n"/>
      <c r="EB20" s="256" t="n"/>
      <c r="EC20" s="18" t="n"/>
      <c r="ED20" s="18" t="n"/>
      <c r="EE20" s="256" t="n"/>
      <c r="EF20" s="18" t="n"/>
      <c r="EG20" s="256" t="n"/>
      <c r="EH20" s="18" t="n"/>
      <c r="EI20" s="18" t="n"/>
      <c r="EJ20" s="18" t="n"/>
      <c r="EK20" s="292" t="inlineStr">
        <is>
          <t>50 DE MG</t>
        </is>
      </c>
      <c r="EL20" s="18" t="n">
        <v>150</v>
      </c>
      <c r="EM20" s="256" t="n"/>
      <c r="EN20" s="18" t="n"/>
      <c r="EO20" s="256" t="n"/>
      <c r="EP20" s="18" t="n"/>
      <c r="EQ20" s="256" t="n"/>
      <c r="ER20" s="18" t="n"/>
      <c r="ES20" s="256" t="n"/>
      <c r="ET20" s="18" t="n"/>
      <c r="EU20" s="18" t="n"/>
      <c r="EV20" s="18" t="n"/>
      <c r="EW20" s="259" t="inlineStr">
        <is>
          <t>50 P/ PL</t>
        </is>
      </c>
      <c r="EX20" s="18" t="n"/>
      <c r="EY20" s="18" t="n"/>
      <c r="FA20" s="159" t="inlineStr">
        <is>
          <t>CAIXA P</t>
        </is>
      </c>
      <c r="FB20" s="129" t="n">
        <v>150</v>
      </c>
      <c r="FC20" s="38" t="n">
        <v>0</v>
      </c>
      <c r="FD20" s="38" t="n"/>
      <c r="FE20" s="38" t="n"/>
      <c r="FF20" s="261" t="n">
        <v>0</v>
      </c>
      <c r="FG20" s="261" t="n">
        <v>31</v>
      </c>
      <c r="FH20" s="38" t="n">
        <v>0</v>
      </c>
      <c r="FI20" s="38" t="n">
        <v>0</v>
      </c>
      <c r="FJ20" s="38" t="n"/>
      <c r="FK20" s="246">
        <f>FI20+IF(NOT(ISBLANK(OFFSET(FK20,0,6))),N(OFFSET(FK20,0,6)),N(OFFSET(FK20,0,7)))-FJ20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100</v>
      </c>
      <c r="E21" s="2" t="n"/>
      <c r="F21" s="38" t="n">
        <v>60</v>
      </c>
      <c r="G21" s="38" t="n">
        <v>60</v>
      </c>
      <c r="H21" s="38" t="n">
        <v>60</v>
      </c>
      <c r="I21" s="38" t="n">
        <v>60</v>
      </c>
      <c r="J21" s="38" t="n">
        <v>60</v>
      </c>
      <c r="K21" s="38">
        <f>59-40</f>
        <v/>
      </c>
      <c r="L21" s="38" t="n">
        <v>14</v>
      </c>
      <c r="M21" s="38" t="n">
        <v>14</v>
      </c>
      <c r="N21" s="38" t="n">
        <v>114</v>
      </c>
      <c r="O21" s="38" t="n">
        <v>98</v>
      </c>
      <c r="P21" s="38">
        <f>67+EN21</f>
        <v/>
      </c>
      <c r="Q21" s="38" t="n">
        <v>152</v>
      </c>
      <c r="R21" s="38" t="n">
        <v>123</v>
      </c>
      <c r="S21" s="38" t="n">
        <v>105</v>
      </c>
      <c r="T21" s="38" t="n">
        <v>92</v>
      </c>
      <c r="U21" s="38" t="n">
        <v>80</v>
      </c>
      <c r="V21" s="38" t="n">
        <v>80</v>
      </c>
      <c r="W21" s="38" t="n">
        <v>79</v>
      </c>
      <c r="X21" s="38" t="n">
        <v>79</v>
      </c>
      <c r="Y21" s="38" t="n">
        <v>22</v>
      </c>
      <c r="Z21" s="38" t="n">
        <v>11</v>
      </c>
      <c r="AA21" s="38">
        <f>2+DX21</f>
        <v/>
      </c>
      <c r="AB21" s="38" t="n">
        <v>99</v>
      </c>
      <c r="AC21" s="38" t="n">
        <v>92</v>
      </c>
      <c r="AD21" s="38" t="n">
        <v>48</v>
      </c>
      <c r="AE21" s="38">
        <f>37+DT21</f>
        <v/>
      </c>
      <c r="AF21" s="38" t="n">
        <v>129</v>
      </c>
      <c r="AG21" s="38" t="n">
        <v>108</v>
      </c>
      <c r="AH21" s="38" t="n">
        <v>91</v>
      </c>
      <c r="AI21" s="38" t="n">
        <v>82</v>
      </c>
      <c r="AJ21" s="38" t="n">
        <v>68</v>
      </c>
      <c r="AK21" s="38" t="n">
        <v>64</v>
      </c>
      <c r="AL21" s="38" t="n">
        <v>57</v>
      </c>
      <c r="AM21" s="38">
        <f>55+DM21</f>
        <v/>
      </c>
      <c r="AN21" s="38">
        <f>55+DM21</f>
        <v/>
      </c>
      <c r="AO21" s="38" t="n">
        <v>148</v>
      </c>
      <c r="AP21" s="38" t="n">
        <v>118</v>
      </c>
      <c r="AQ21" s="38" t="n">
        <v>90</v>
      </c>
      <c r="AR21" s="38" t="n">
        <v>61</v>
      </c>
      <c r="AS21" s="38" t="n">
        <v>40</v>
      </c>
      <c r="AT21" s="38" t="n">
        <v>38</v>
      </c>
      <c r="AU21" s="38" t="n">
        <v>2</v>
      </c>
      <c r="AV21" s="38">
        <f>0+50+20</f>
        <v/>
      </c>
      <c r="AW21" s="38" t="n">
        <v>70</v>
      </c>
      <c r="AX21" s="38" t="n">
        <v>39</v>
      </c>
      <c r="AY21" s="38" t="n">
        <v>38</v>
      </c>
      <c r="AZ21" s="38" t="n">
        <v>37</v>
      </c>
      <c r="BA21" s="38" t="n">
        <v>37</v>
      </c>
      <c r="BB21" s="38" t="n">
        <v>44</v>
      </c>
      <c r="BC21" s="38" t="n">
        <v>44</v>
      </c>
      <c r="BD21" s="38" t="n">
        <v>43</v>
      </c>
      <c r="BE21" s="38" t="n">
        <v>41</v>
      </c>
      <c r="BF21" s="38" t="n">
        <v>40</v>
      </c>
      <c r="BG21" s="38">
        <f>32+CT21</f>
        <v/>
      </c>
      <c r="BH21" s="38" t="n">
        <v>120</v>
      </c>
      <c r="BI21" s="38">
        <f>111+CQ21</f>
        <v/>
      </c>
      <c r="BJ21" s="38" t="n">
        <v>200</v>
      </c>
      <c r="BK21" s="38" t="n">
        <v>180</v>
      </c>
      <c r="BL21" s="38" t="n">
        <v>159</v>
      </c>
      <c r="BM21" s="38" t="n">
        <v>148</v>
      </c>
      <c r="BN21" s="38" t="n">
        <v>139</v>
      </c>
      <c r="BO21" s="38" t="n">
        <v>126</v>
      </c>
      <c r="BP21" s="38" t="n">
        <v>107</v>
      </c>
      <c r="BQ21" s="38">
        <f>102+CM21</f>
        <v/>
      </c>
      <c r="BR21" s="38" t="n">
        <v>220</v>
      </c>
      <c r="BS21" s="38" t="n">
        <v>213</v>
      </c>
      <c r="BT21" s="38" t="n"/>
      <c r="BU21" s="38" t="n"/>
      <c r="BV21" s="38" t="n"/>
      <c r="BW21" s="38" t="n">
        <v>166</v>
      </c>
      <c r="BX21" s="38" t="n">
        <v>166</v>
      </c>
      <c r="BY21" s="38" t="n">
        <v>128</v>
      </c>
      <c r="BZ21" s="38" t="n">
        <v>123</v>
      </c>
      <c r="CA21" s="38" t="n">
        <v>123</v>
      </c>
      <c r="CB21" s="154">
        <f>BZ21+IF(NOT(ISBLANK(OFFSET(CB21,0,6))),N(OFFSET(CB21,0,6)),N(OFFSET(CB21,0,7)))-CA21</f>
        <v/>
      </c>
      <c r="CC21" s="2" t="n"/>
      <c r="CD21" s="122" t="n"/>
      <c r="CE21" s="4" t="n"/>
      <c r="CF21" s="23" t="n"/>
      <c r="CG21" s="2" t="n"/>
      <c r="CH21" s="18" t="n">
        <v>0</v>
      </c>
      <c r="CI21" s="18" t="n">
        <v>0</v>
      </c>
      <c r="CJ21" s="18" t="n"/>
      <c r="CK21" s="256" t="n">
        <v>100</v>
      </c>
      <c r="CL21" s="18" t="n"/>
      <c r="CM21" s="18" t="n">
        <v>100</v>
      </c>
      <c r="CN21" s="18" t="n"/>
      <c r="CO21" s="18" t="n"/>
      <c r="CP21" s="18" t="n"/>
      <c r="CQ21" s="18" t="n">
        <v>100</v>
      </c>
      <c r="CR21" s="18" t="n"/>
      <c r="CS21" s="18" t="n"/>
      <c r="CT21" s="18" t="n">
        <v>100</v>
      </c>
      <c r="CU21" s="18" t="n"/>
      <c r="CV21" s="18" t="n"/>
      <c r="CW21" s="18" t="n"/>
      <c r="CX21" s="18" t="n"/>
      <c r="CY21" s="154" t="inlineStr">
        <is>
          <t>50 DE MG</t>
        </is>
      </c>
      <c r="CZ21" s="403" t="inlineStr">
        <is>
          <t>50 DE MG</t>
        </is>
      </c>
      <c r="DA21" s="256" t="n"/>
      <c r="DB21" s="154" t="inlineStr">
        <is>
          <t>20 DE PL</t>
        </is>
      </c>
      <c r="DC21" s="18" t="n"/>
      <c r="DD21" s="154" t="inlineStr">
        <is>
          <t>50 DE MG</t>
        </is>
      </c>
      <c r="DE21" s="256" t="n"/>
      <c r="DF21" s="18" t="n"/>
      <c r="DG21" s="18" t="n"/>
      <c r="DH21" s="378" t="inlineStr">
        <is>
          <t>10 DE PL</t>
        </is>
      </c>
      <c r="DI21" s="18" t="n"/>
      <c r="DJ21" s="256" t="n"/>
      <c r="DK21" s="18" t="n"/>
      <c r="DL21" s="18" t="n"/>
      <c r="DM21" s="18" t="n">
        <v>100</v>
      </c>
      <c r="DN21" s="18" t="n"/>
      <c r="DO21" s="18" t="n"/>
      <c r="DP21" s="292" t="inlineStr">
        <is>
          <t>75 DE MG</t>
        </is>
      </c>
      <c r="DQ21" s="256" t="n"/>
      <c r="DR21" s="256" t="n"/>
      <c r="DS21" s="18" t="n"/>
      <c r="DT21" s="18" t="n">
        <v>100</v>
      </c>
      <c r="DU21" s="18" t="n"/>
      <c r="DV21" s="18" t="n"/>
      <c r="DW21" s="18" t="n"/>
      <c r="DX21" s="18" t="n">
        <v>100</v>
      </c>
      <c r="DY21" s="312" t="inlineStr">
        <is>
          <t>50 DE MG</t>
        </is>
      </c>
      <c r="DZ21" s="256" t="n"/>
      <c r="EA21" s="263" t="inlineStr">
        <is>
          <t>20 DE BOQ</t>
        </is>
      </c>
      <c r="EB21" s="256" t="n"/>
      <c r="EC21" s="18" t="n"/>
      <c r="ED21" s="18" t="n"/>
      <c r="EE21" s="256" t="n"/>
      <c r="EF21" s="18" t="n"/>
      <c r="EG21" s="256" t="n"/>
      <c r="EH21" s="18" t="n"/>
      <c r="EI21" s="18" t="n"/>
      <c r="EJ21" s="18" t="n"/>
      <c r="EK21" s="256" t="n"/>
      <c r="EL21" s="18" t="n"/>
      <c r="EM21" s="256" t="n">
        <v>100</v>
      </c>
      <c r="EN21" s="18" t="n">
        <v>100</v>
      </c>
      <c r="EO21" s="263" t="inlineStr">
        <is>
          <t>50 DE BOQ</t>
        </is>
      </c>
      <c r="EP21" s="18" t="n"/>
      <c r="EQ21" s="256" t="n"/>
      <c r="ER21" s="18" t="n">
        <v>100</v>
      </c>
      <c r="ES21" s="241" t="inlineStr">
        <is>
          <t>40 P/ PL</t>
        </is>
      </c>
      <c r="ET21" s="18" t="n"/>
      <c r="EU21" s="18" t="n"/>
      <c r="EV21" s="18" t="n"/>
      <c r="EW21" s="256" t="n"/>
      <c r="EX21" s="18" t="n"/>
      <c r="EY21" s="18" t="n"/>
      <c r="FA21" s="29" t="inlineStr">
        <is>
          <t>CAIXA M</t>
        </is>
      </c>
      <c r="FB21" s="9" t="n">
        <v>100</v>
      </c>
      <c r="FC21" s="38">
        <f>CK21</f>
        <v/>
      </c>
      <c r="FD21" s="38" t="n"/>
      <c r="FE21" s="38" t="n"/>
      <c r="FF21" s="38" t="n">
        <v>79</v>
      </c>
      <c r="FG21" s="38" t="n">
        <v>60</v>
      </c>
      <c r="FH21" s="38" t="n">
        <v>2</v>
      </c>
      <c r="FI21" s="38" t="n">
        <v>-1</v>
      </c>
      <c r="FJ21" s="38" t="n"/>
      <c r="FK21" s="246">
        <f>FI21+IF(NOT(ISBLANK(OFFSET(FK21,0,6))),N(OFFSET(FK21,0,6)),N(OFFSET(FK21,0,7)))-FJ21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20</v>
      </c>
      <c r="E22" s="642" t="n"/>
      <c r="F22" s="38" t="n">
        <v>10</v>
      </c>
      <c r="G22" s="38" t="n">
        <v>10</v>
      </c>
      <c r="H22" s="38" t="n">
        <v>10</v>
      </c>
      <c r="I22" s="38" t="n">
        <v>10</v>
      </c>
      <c r="J22" s="38" t="n">
        <v>10</v>
      </c>
      <c r="K22" s="38" t="n">
        <v>7</v>
      </c>
      <c r="L22" s="38" t="n">
        <v>6</v>
      </c>
      <c r="M22" s="38" t="n">
        <v>4</v>
      </c>
      <c r="N22" s="38" t="n">
        <v>0</v>
      </c>
      <c r="O22" s="38">
        <f>5+EP22</f>
        <v/>
      </c>
      <c r="P22" s="38" t="n">
        <v>80</v>
      </c>
      <c r="Q22" s="38" t="n">
        <v>80</v>
      </c>
      <c r="R22" s="38" t="n">
        <v>80</v>
      </c>
      <c r="S22" s="38" t="n">
        <v>80</v>
      </c>
      <c r="T22" s="38" t="n">
        <v>80</v>
      </c>
      <c r="U22" s="38" t="n">
        <v>80</v>
      </c>
      <c r="V22" s="38" t="n">
        <v>80</v>
      </c>
      <c r="W22" s="38" t="n">
        <v>80</v>
      </c>
      <c r="X22" s="38">
        <f>80-26</f>
        <v/>
      </c>
      <c r="Y22" s="38" t="n">
        <v>57</v>
      </c>
      <c r="Z22" s="38" t="n">
        <v>57</v>
      </c>
      <c r="AA22" s="38" t="n">
        <v>57</v>
      </c>
      <c r="AB22" s="38" t="n">
        <v>57</v>
      </c>
      <c r="AC22" s="38" t="n">
        <v>56</v>
      </c>
      <c r="AD22" s="38" t="n">
        <v>56</v>
      </c>
      <c r="AE22" s="38" t="n">
        <v>56</v>
      </c>
      <c r="AF22" s="38" t="n">
        <v>56</v>
      </c>
      <c r="AG22" s="38" t="n">
        <v>56</v>
      </c>
      <c r="AH22" s="38" t="n">
        <v>56</v>
      </c>
      <c r="AI22" s="38" t="n">
        <v>56</v>
      </c>
      <c r="AJ22" s="38" t="n">
        <v>56</v>
      </c>
      <c r="AK22" s="38" t="n">
        <v>56</v>
      </c>
      <c r="AL22" s="38" t="n">
        <v>56</v>
      </c>
      <c r="AM22" s="38" t="n">
        <v>56</v>
      </c>
      <c r="AN22" s="38" t="n">
        <v>56</v>
      </c>
      <c r="AO22" s="38" t="n">
        <v>56</v>
      </c>
      <c r="AP22" s="38" t="n">
        <v>56</v>
      </c>
      <c r="AQ22" s="38" t="n">
        <v>56</v>
      </c>
      <c r="AR22" s="38" t="n">
        <v>56</v>
      </c>
      <c r="AS22" s="38" t="n">
        <v>56</v>
      </c>
      <c r="AT22" s="38" t="n">
        <v>51</v>
      </c>
      <c r="AU22" s="38" t="n">
        <v>51</v>
      </c>
      <c r="AV22" s="38" t="n">
        <v>51</v>
      </c>
      <c r="AW22" s="38" t="n">
        <v>51</v>
      </c>
      <c r="AX22" s="38" t="n">
        <v>51</v>
      </c>
      <c r="AY22" s="38" t="n">
        <v>51</v>
      </c>
      <c r="AZ22" s="38" t="n">
        <v>51</v>
      </c>
      <c r="BA22" s="38" t="n">
        <v>49</v>
      </c>
      <c r="BB22" s="38" t="n">
        <v>48</v>
      </c>
      <c r="BC22" s="38" t="n">
        <v>48</v>
      </c>
      <c r="BD22" s="38" t="n">
        <v>48</v>
      </c>
      <c r="BE22" s="38" t="n">
        <v>48</v>
      </c>
      <c r="BF22" s="38" t="n">
        <v>48</v>
      </c>
      <c r="BG22" s="38" t="n">
        <v>48</v>
      </c>
      <c r="BH22" s="38" t="n">
        <v>48</v>
      </c>
      <c r="BI22" s="38" t="n">
        <v>51</v>
      </c>
      <c r="BJ22" s="38" t="n">
        <v>51</v>
      </c>
      <c r="BK22" s="38" t="n">
        <v>51</v>
      </c>
      <c r="BL22" s="38" t="n">
        <v>51</v>
      </c>
      <c r="BM22" s="38" t="n">
        <v>51</v>
      </c>
      <c r="BN22" s="38" t="n">
        <v>51</v>
      </c>
      <c r="BO22" s="38" t="n">
        <v>51</v>
      </c>
      <c r="BP22" s="38" t="n">
        <v>51</v>
      </c>
      <c r="BQ22" s="38" t="n">
        <v>51</v>
      </c>
      <c r="BR22" s="38" t="n">
        <v>51</v>
      </c>
      <c r="BS22" s="38" t="n">
        <v>51</v>
      </c>
      <c r="BT22" s="38" t="n">
        <v>51</v>
      </c>
      <c r="BU22" s="38" t="n">
        <v>51</v>
      </c>
      <c r="BV22" s="38" t="n">
        <v>51</v>
      </c>
      <c r="BW22" s="38" t="n">
        <v>51</v>
      </c>
      <c r="BX22" s="38" t="n">
        <v>51</v>
      </c>
      <c r="BY22" s="38" t="n">
        <v>51</v>
      </c>
      <c r="BZ22" s="261" t="n">
        <v>28</v>
      </c>
      <c r="CA22" s="261" t="n">
        <v>28</v>
      </c>
      <c r="CB22" s="154">
        <f>BZ22+IF(NOT(ISBLANK(OFFSET(CB22,0,6))),N(OFFSET(CB22,0,6)),N(OFFSET(CB22,0,7)))-CA22</f>
        <v/>
      </c>
      <c r="CC22" s="642" t="n"/>
      <c r="CD22" s="122" t="inlineStr">
        <is>
          <t>30 P/ TP</t>
        </is>
      </c>
      <c r="CE22" s="4" t="n"/>
      <c r="CF22" s="23" t="n"/>
      <c r="CG22" s="642" t="n"/>
      <c r="CH22" s="18" t="n">
        <v>0</v>
      </c>
      <c r="CI22" s="18" t="n">
        <v>0</v>
      </c>
      <c r="CJ22" s="18" t="n"/>
      <c r="CK22" s="256" t="n"/>
      <c r="CL22" s="18" t="n"/>
      <c r="CM22" s="18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256" t="n"/>
      <c r="DA22" s="403" t="inlineStr">
        <is>
          <t>10 DE BOQ</t>
        </is>
      </c>
      <c r="DB22" s="18" t="n"/>
      <c r="DC22" s="18" t="n"/>
      <c r="DD22" s="18" t="n"/>
      <c r="DE22" s="392" t="n"/>
      <c r="DF22" s="18" t="n"/>
      <c r="DG22" s="18" t="n"/>
      <c r="DH22" s="256" t="n"/>
      <c r="DI22" s="18" t="n"/>
      <c r="DJ22" s="256" t="n"/>
      <c r="DK22" s="18" t="n"/>
      <c r="DL22" s="18" t="n"/>
      <c r="DM22" s="18" t="n"/>
      <c r="DN22" s="18" t="n"/>
      <c r="DO22" s="18" t="n"/>
      <c r="DP22" s="256" t="n"/>
      <c r="DQ22" s="256" t="n"/>
      <c r="DR22" s="256" t="n"/>
      <c r="DS22" s="18" t="n"/>
      <c r="DT22" s="18" t="n"/>
      <c r="DU22" s="18" t="n"/>
      <c r="DV22" s="18" t="n"/>
      <c r="DW22" s="18" t="n"/>
      <c r="DX22" s="18" t="n"/>
      <c r="DY22" s="312" t="inlineStr">
        <is>
          <t>50 DE MG</t>
        </is>
      </c>
      <c r="DZ22" s="293" t="inlineStr">
        <is>
          <t>05 DE BOQ</t>
        </is>
      </c>
      <c r="EA22" s="18" t="n"/>
      <c r="EB22" s="259" t="inlineStr">
        <is>
          <t>09 P/ PL</t>
        </is>
      </c>
      <c r="EC22" s="18" t="n"/>
      <c r="ED22" s="18" t="n"/>
      <c r="EE22" s="256" t="n"/>
      <c r="EF22" s="241" t="inlineStr">
        <is>
          <t>26 P/ TP</t>
        </is>
      </c>
      <c r="EG22" s="293" t="inlineStr">
        <is>
          <t>24 P/ TP</t>
        </is>
      </c>
      <c r="EH22" s="18" t="n"/>
      <c r="EI22" s="18" t="n"/>
      <c r="EJ22" s="18" t="n"/>
      <c r="EK22" s="292" t="inlineStr">
        <is>
          <t>25 DE MG</t>
        </is>
      </c>
      <c r="EL22" s="18" t="n"/>
      <c r="EM22" s="256" t="n"/>
      <c r="EN22" s="18" t="n"/>
      <c r="EO22" s="18" t="n"/>
      <c r="EP22" s="18" t="n">
        <v>75</v>
      </c>
      <c r="EQ22" s="18" t="n"/>
      <c r="ER22" s="18" t="n"/>
      <c r="ES22" s="18" t="n"/>
      <c r="ET22" s="18" t="n"/>
      <c r="EU22" s="18" t="n"/>
      <c r="EV22" s="18" t="n"/>
      <c r="EW22" s="256" t="n"/>
      <c r="EX22" s="18" t="n"/>
      <c r="EY22" s="18" t="n"/>
      <c r="FA22" s="30" t="inlineStr">
        <is>
          <t>CARTUCHO P</t>
        </is>
      </c>
      <c r="FB22" s="9" t="n">
        <v>200</v>
      </c>
      <c r="FC22" s="38" t="n">
        <v>0</v>
      </c>
      <c r="FD22" s="38" t="n"/>
      <c r="FE22" s="38" t="n"/>
      <c r="FF22" s="38" t="n">
        <v>0</v>
      </c>
      <c r="FG22" s="38" t="n">
        <v>0</v>
      </c>
      <c r="FH22" s="38" t="n">
        <v>0</v>
      </c>
      <c r="FI22" s="38" t="n">
        <v>0</v>
      </c>
      <c r="FJ22" s="38" t="n"/>
      <c r="FK22" s="246">
        <f>FI22+IF(NOT(ISBLANK(OFFSET(FK22,0,6))),N(OFFSET(FK22,0,6)),N(OFFSET(FK22,0,7)))-FJ22</f>
        <v/>
      </c>
    </row>
    <row r="23" ht="18.75" customHeight="1">
      <c r="CD23" s="6" t="n"/>
      <c r="CH23" s="6" t="n"/>
      <c r="CI23" s="6" t="n"/>
      <c r="CJ23" s="6" t="n"/>
      <c r="CL23" s="6" t="n"/>
      <c r="CM23" s="6" t="n"/>
      <c r="CN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DB23" s="6" t="n"/>
      <c r="DC23" s="6" t="n"/>
      <c r="DD23" s="6" t="n"/>
      <c r="DE23" s="288" t="n">
        <v>200</v>
      </c>
      <c r="DF23" s="6" t="n"/>
      <c r="DG23" s="6" t="n"/>
      <c r="DH23" s="6" t="n"/>
      <c r="DI23" s="6" t="n"/>
      <c r="DJ23" s="6" t="n"/>
      <c r="DK23" s="6" t="n"/>
      <c r="DL23" s="6" t="n"/>
      <c r="DM23" s="6" t="n"/>
      <c r="DN23" s="6" t="n"/>
      <c r="DO23" s="6" t="n"/>
      <c r="DP23" s="6" t="n"/>
      <c r="DQ23" s="6" t="n"/>
      <c r="DR23" s="256" t="n">
        <v>25</v>
      </c>
      <c r="DS23" s="6" t="n"/>
      <c r="DT23" s="6" t="n"/>
      <c r="DU23" s="6" t="n"/>
      <c r="DV23" s="6" t="n"/>
      <c r="DW23" s="6" t="n"/>
      <c r="DX23" s="6" t="n"/>
      <c r="DY23" s="6" t="n"/>
      <c r="EA23" s="6" t="n"/>
      <c r="EC23" s="6" t="n"/>
      <c r="ED23" s="6" t="n"/>
      <c r="EE23" s="6" t="n"/>
      <c r="EF23" s="6" t="n"/>
      <c r="EH23" s="6" t="n"/>
      <c r="EI23" s="6" t="n"/>
      <c r="EJ23" s="6" t="n"/>
      <c r="EK23" s="288" t="n"/>
      <c r="EL23" s="6" t="n"/>
      <c r="EM23" s="288" t="n"/>
      <c r="EN23" s="6" t="n"/>
      <c r="EO23" s="6" t="n"/>
      <c r="EP23" s="6" t="n"/>
      <c r="EQ23" s="6" t="n"/>
      <c r="ER23" s="6" t="n"/>
      <c r="ES23" s="6" t="n"/>
      <c r="ET23" s="6" t="n"/>
      <c r="EU23" s="6" t="n"/>
      <c r="EV23" s="6" t="n"/>
      <c r="EW23" s="259" t="inlineStr">
        <is>
          <t>60 P/ PL</t>
        </is>
      </c>
      <c r="EX23" s="6" t="n"/>
      <c r="EY23" s="6" t="n"/>
      <c r="FA23" s="30" t="inlineStr">
        <is>
          <t>CARTUCHO M</t>
        </is>
      </c>
      <c r="FB23" s="9" t="n">
        <v>150</v>
      </c>
      <c r="FC23" s="38" t="n">
        <v>0</v>
      </c>
      <c r="FD23" s="38" t="n"/>
      <c r="FE23" s="38" t="n"/>
      <c r="FF23" s="261" t="n">
        <v>0</v>
      </c>
      <c r="FG23" s="261" t="n">
        <v>30</v>
      </c>
      <c r="FH23" s="38" t="n">
        <v>8</v>
      </c>
      <c r="FI23" s="38" t="n">
        <v>7</v>
      </c>
      <c r="FJ23" s="38" t="n"/>
      <c r="FK23" s="246">
        <f>FI23+IF(NOT(ISBLANK(OFFSET(FK23,0,6))),N(OFFSET(FK23,0,6)),N(OFFSET(FK23,0,7)))-FJ23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60" t="inlineStr">
        <is>
          <t>USOU</t>
        </is>
      </c>
      <c r="CG24" s="88" t="n"/>
      <c r="CH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DB24" s="6" t="n"/>
      <c r="DC24" s="6" t="n"/>
      <c r="DD24" s="6" t="n"/>
      <c r="DE24" s="393" t="n">
        <v>150</v>
      </c>
      <c r="DF24" s="6" t="n"/>
      <c r="DG24" s="6" t="n"/>
      <c r="DH24" s="6" t="n"/>
      <c r="DI24" s="6" t="n"/>
      <c r="DJ24" s="6" t="n"/>
      <c r="DK24" s="6" t="n"/>
      <c r="DL24" s="6" t="n"/>
      <c r="DM24" s="6" t="n"/>
      <c r="DN24" s="6" t="n"/>
      <c r="DO24" s="6" t="n"/>
      <c r="DP24" s="6" t="n"/>
      <c r="DQ24" s="6" t="n"/>
      <c r="DR24" s="256" t="n">
        <v>25</v>
      </c>
      <c r="DS24" s="6" t="n"/>
      <c r="DT24" s="6" t="n"/>
      <c r="DU24" s="6" t="n"/>
      <c r="DV24" s="6" t="n"/>
      <c r="DW24" s="6" t="n"/>
      <c r="DX24" s="6" t="n"/>
      <c r="DY24" s="6" t="n"/>
      <c r="EA24" s="6" t="n"/>
      <c r="EC24" s="6" t="n"/>
      <c r="ED24" s="6" t="n"/>
      <c r="EE24" s="6" t="n"/>
      <c r="EF24" s="6" t="n"/>
      <c r="EK24" s="293" t="inlineStr">
        <is>
          <t>75 DE MG</t>
        </is>
      </c>
      <c r="EM24" s="288" t="n"/>
      <c r="EO24" s="6" t="n"/>
      <c r="EQ24" s="6" t="n"/>
      <c r="ES24" s="6" t="n"/>
      <c r="EW24" s="259" t="inlineStr">
        <is>
          <t>60 P/ PL</t>
        </is>
      </c>
    </row>
    <row r="25" ht="18.75" customHeight="1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F25" s="38" t="n">
        <v>53</v>
      </c>
      <c r="G25" s="38" t="n">
        <v>53</v>
      </c>
      <c r="H25" s="38" t="n">
        <v>12</v>
      </c>
      <c r="I25" s="38" t="n">
        <v>12</v>
      </c>
      <c r="J25" s="38" t="n">
        <v>10</v>
      </c>
      <c r="K25" s="38" t="n">
        <v>12</v>
      </c>
      <c r="L25" s="38" t="n">
        <v>12</v>
      </c>
      <c r="M25" s="38" t="n">
        <v>6</v>
      </c>
      <c r="N25" s="38" t="n">
        <v>4</v>
      </c>
      <c r="O25" s="38">
        <f>0+50</f>
        <v/>
      </c>
      <c r="P25" s="38" t="n">
        <v>47</v>
      </c>
      <c r="Q25" s="38" t="n">
        <v>47</v>
      </c>
      <c r="R25" s="38" t="n">
        <v>43</v>
      </c>
      <c r="S25" s="38" t="n">
        <v>40</v>
      </c>
      <c r="T25" s="38" t="n">
        <v>36</v>
      </c>
      <c r="U25" s="38" t="n">
        <v>36</v>
      </c>
      <c r="V25" s="38" t="n">
        <v>34</v>
      </c>
      <c r="W25" s="38" t="n">
        <v>30</v>
      </c>
      <c r="X25" s="38" t="n">
        <v>30</v>
      </c>
      <c r="Y25" s="38" t="n">
        <v>26</v>
      </c>
      <c r="Z25" s="38">
        <f>21+20</f>
        <v/>
      </c>
      <c r="AA25" s="38" t="n">
        <v>37</v>
      </c>
      <c r="AB25" s="38" t="n">
        <v>33</v>
      </c>
      <c r="AC25" s="38" t="n">
        <v>29</v>
      </c>
      <c r="AD25" s="38" t="n">
        <v>27</v>
      </c>
      <c r="AE25" s="38" t="n">
        <v>27</v>
      </c>
      <c r="AF25" s="38" t="n">
        <v>32</v>
      </c>
      <c r="AG25" s="38" t="n">
        <v>32</v>
      </c>
      <c r="AH25" s="38" t="n">
        <v>16</v>
      </c>
      <c r="AI25" s="38" t="n">
        <v>16</v>
      </c>
      <c r="AJ25" s="38" t="n">
        <v>13</v>
      </c>
      <c r="AK25" s="38" t="n">
        <v>10</v>
      </c>
      <c r="AL25" s="38" t="n">
        <v>10</v>
      </c>
      <c r="AM25" s="38" t="n">
        <v>10</v>
      </c>
      <c r="AN25" s="38" t="n">
        <v>7</v>
      </c>
      <c r="AO25" s="38" t="n">
        <v>7</v>
      </c>
      <c r="AP25" s="38" t="n">
        <v>5</v>
      </c>
      <c r="AQ25" s="38" t="n">
        <v>5</v>
      </c>
      <c r="AR25" s="38" t="n">
        <v>4</v>
      </c>
      <c r="AS25" s="38" t="n">
        <v>5</v>
      </c>
      <c r="AT25" s="38" t="n">
        <v>5</v>
      </c>
      <c r="AU25" s="38" t="n">
        <v>3</v>
      </c>
      <c r="AV25" s="38" t="n">
        <v>3</v>
      </c>
      <c r="AW25" s="38" t="n">
        <v>3</v>
      </c>
      <c r="AX25" s="38" t="n">
        <v>3</v>
      </c>
      <c r="AY25" s="38" t="n">
        <v>3</v>
      </c>
      <c r="AZ25" s="38" t="n">
        <v>3</v>
      </c>
      <c r="BA25" s="38" t="n">
        <v>3</v>
      </c>
      <c r="BB25" s="38" t="n">
        <v>3</v>
      </c>
      <c r="BC25" s="38" t="n">
        <v>3</v>
      </c>
      <c r="BD25" s="38" t="n">
        <v>3</v>
      </c>
      <c r="BE25" s="38" t="n">
        <v>3</v>
      </c>
      <c r="BF25" s="38" t="n">
        <v>3</v>
      </c>
      <c r="BG25" s="38" t="n">
        <v>3</v>
      </c>
      <c r="BH25" s="38" t="n">
        <v>3</v>
      </c>
      <c r="BI25" s="38" t="n">
        <v>7</v>
      </c>
      <c r="BJ25" s="38" t="n">
        <v>7</v>
      </c>
      <c r="BK25" s="38" t="n">
        <v>7</v>
      </c>
      <c r="BL25" s="38" t="n">
        <v>7</v>
      </c>
      <c r="BM25" s="38" t="n">
        <v>7</v>
      </c>
      <c r="BN25" s="38" t="n">
        <v>7</v>
      </c>
      <c r="BO25" s="38" t="n">
        <v>7</v>
      </c>
      <c r="BP25" s="38" t="n">
        <v>6</v>
      </c>
      <c r="BQ25" s="38" t="n">
        <v>5</v>
      </c>
      <c r="BR25" s="38" t="n">
        <v>5</v>
      </c>
      <c r="BS25" s="38" t="n">
        <v>5</v>
      </c>
      <c r="BT25" s="38" t="n">
        <v>5</v>
      </c>
      <c r="BU25" s="38" t="n">
        <v>5</v>
      </c>
      <c r="BV25" s="38" t="n">
        <v>5</v>
      </c>
      <c r="BW25" s="38" t="n">
        <v>5</v>
      </c>
      <c r="BX25" s="38" t="n">
        <v>5</v>
      </c>
      <c r="BY25" s="38" t="n">
        <v>5</v>
      </c>
      <c r="BZ25" s="38" t="n">
        <v>4</v>
      </c>
      <c r="CA25" s="38" t="n">
        <v>4</v>
      </c>
      <c r="CB25" s="246">
        <f>BZ25+IF(NOT(ISBLANK(OFFSET(CB25,0,6))),N(OFFSET(CB25,0,6)),N(OFFSET(CB25,0,7)))-CA25</f>
        <v/>
      </c>
      <c r="CC25" s="53" t="n"/>
      <c r="CG25" s="53" t="n"/>
      <c r="CH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289" t="n"/>
      <c r="EA25" s="6" t="n"/>
      <c r="EC25" s="6" t="n"/>
      <c r="ED25" s="6" t="n"/>
      <c r="EE25" s="6" t="n"/>
      <c r="EF25" s="6" t="n"/>
      <c r="EG25" s="289" t="n"/>
      <c r="EK25" s="289" t="n"/>
      <c r="EM25" s="289" t="n"/>
      <c r="EO25" s="6" t="n"/>
      <c r="EQ25" s="6" t="n"/>
      <c r="ES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7" t="n">
        <v>715.5</v>
      </c>
      <c r="D26" s="342" t="n"/>
      <c r="F26" s="9" t="n">
        <v>100</v>
      </c>
      <c r="G26" s="9">
        <f>97-50</f>
        <v/>
      </c>
      <c r="H26" s="38" t="n">
        <v>41</v>
      </c>
      <c r="I26" s="38" t="n">
        <v>36</v>
      </c>
      <c r="J26" s="38" t="n">
        <v>33</v>
      </c>
      <c r="K26" s="38" t="n">
        <v>27</v>
      </c>
      <c r="L26" s="38" t="n">
        <v>27</v>
      </c>
      <c r="M26" s="38" t="n">
        <v>24</v>
      </c>
      <c r="N26" s="38" t="n">
        <v>18</v>
      </c>
      <c r="O26" s="38" t="n">
        <v>15</v>
      </c>
      <c r="P26" s="38" t="n">
        <v>3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>
        <v>0</v>
      </c>
      <c r="AB26" s="38" t="n">
        <v>0</v>
      </c>
      <c r="AC26" s="38" t="n">
        <v>0</v>
      </c>
      <c r="AD26" s="38" t="n">
        <v>0</v>
      </c>
      <c r="AE26" s="38" t="n">
        <v>0</v>
      </c>
      <c r="AF26" s="38" t="n">
        <v>0</v>
      </c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246">
        <f>BZ26+IF(NOT(ISBLANK(OFFSET(CB26,0,6))),N(OFFSET(CB26,0,6)),N(OFFSET(CB26,0,7)))-CA26</f>
        <v/>
      </c>
      <c r="CC26" s="53" t="n"/>
      <c r="CG26" s="53" t="n"/>
      <c r="CK26" s="6" t="n"/>
      <c r="CR26" s="6" t="n"/>
      <c r="CS26" s="6" t="n"/>
      <c r="CT26" s="6" t="n"/>
      <c r="CU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289" t="n"/>
      <c r="EA26" s="6" t="n"/>
      <c r="EC26" s="6" t="n"/>
      <c r="ED26" s="6" t="n"/>
      <c r="EE26" s="6" t="n"/>
      <c r="EF26" s="6" t="n"/>
      <c r="EG26" s="289" t="n"/>
      <c r="EK26" s="289" t="n"/>
      <c r="EM26" s="289" t="n"/>
      <c r="EO26" s="6" t="n"/>
      <c r="EQ26" s="6" t="n"/>
      <c r="ES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7" t="n">
        <v>746</v>
      </c>
      <c r="D27" s="342" t="n"/>
      <c r="F27" s="9" t="n">
        <v>70</v>
      </c>
      <c r="G27" s="9" t="n">
        <v>60</v>
      </c>
      <c r="H27" s="38" t="n">
        <v>46</v>
      </c>
      <c r="I27" s="38" t="n">
        <v>40</v>
      </c>
      <c r="J27" s="38" t="n">
        <v>29</v>
      </c>
      <c r="K27" s="38" t="n">
        <v>23</v>
      </c>
      <c r="L27" s="38" t="n">
        <v>14</v>
      </c>
      <c r="M27" s="38" t="n">
        <v>2</v>
      </c>
      <c r="N27" s="38" t="n">
        <v>0</v>
      </c>
      <c r="O27" s="38" t="n">
        <v>0</v>
      </c>
      <c r="P27" s="38" t="n">
        <v>0</v>
      </c>
      <c r="Q27" s="38" t="n">
        <v>0</v>
      </c>
      <c r="R27" s="38" t="n">
        <v>0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1</v>
      </c>
      <c r="Z27" s="38" t="n">
        <v>1</v>
      </c>
      <c r="AA27" s="38" t="n">
        <v>1</v>
      </c>
      <c r="AB27" s="38" t="n">
        <v>1</v>
      </c>
      <c r="AC27" s="38" t="n">
        <v>1</v>
      </c>
      <c r="AD27" s="38" t="n">
        <v>0</v>
      </c>
      <c r="AE27" s="38" t="n">
        <v>0</v>
      </c>
      <c r="AF27" s="38" t="n">
        <v>0</v>
      </c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C27" s="53" t="n"/>
      <c r="CG27" s="53" t="n"/>
      <c r="CK27" s="6" t="n"/>
      <c r="CR27" s="6" t="n"/>
      <c r="CS27" s="6" t="n"/>
      <c r="CT27" s="6" t="n"/>
      <c r="CU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289" t="n"/>
      <c r="EA27" s="6" t="n"/>
      <c r="EB27" s="53" t="n"/>
      <c r="EC27" s="6" t="n"/>
      <c r="ED27" s="6" t="n"/>
      <c r="EE27" s="6" t="n"/>
      <c r="EF27" s="6" t="n"/>
      <c r="EG27" s="289" t="n"/>
      <c r="EK27" s="289" t="n"/>
      <c r="EM27" s="289" t="n"/>
      <c r="EO27" s="6" t="n"/>
      <c r="EQ27" s="6" t="n"/>
      <c r="ES27" s="6" t="n"/>
      <c r="EW27" s="53" t="n"/>
    </row>
    <row r="28" hidden="1" ht="18.75" customHeight="1">
      <c r="A28" s="250" t="inlineStr">
        <is>
          <t>CAIXA G NAT./24</t>
        </is>
      </c>
      <c r="B28" s="251" t="n">
        <v>50</v>
      </c>
      <c r="C28" s="667" t="n">
        <v>777</v>
      </c>
      <c r="D28" s="342" t="n"/>
      <c r="F28" s="9" t="n">
        <v>13</v>
      </c>
      <c r="G28" s="9" t="n">
        <v>12</v>
      </c>
      <c r="H28" s="38" t="n">
        <v>10</v>
      </c>
      <c r="I28" s="38" t="n">
        <v>10</v>
      </c>
      <c r="J28" s="38" t="n">
        <v>10</v>
      </c>
      <c r="K28" s="38" t="n">
        <v>10</v>
      </c>
      <c r="L28" s="38" t="n">
        <v>9</v>
      </c>
      <c r="M28" s="38" t="n">
        <v>9</v>
      </c>
      <c r="N28" s="38" t="n">
        <v>11</v>
      </c>
      <c r="O28" s="38" t="n">
        <v>11</v>
      </c>
      <c r="P28" s="38" t="n">
        <v>11</v>
      </c>
      <c r="Q28" s="38" t="n">
        <v>11</v>
      </c>
      <c r="R28" s="38" t="n">
        <v>11</v>
      </c>
      <c r="S28" s="38" t="n">
        <v>11</v>
      </c>
      <c r="T28" s="38" t="n">
        <v>11</v>
      </c>
      <c r="U28" s="38" t="n">
        <v>11</v>
      </c>
      <c r="V28" s="38" t="n">
        <v>11</v>
      </c>
      <c r="W28" s="38" t="n">
        <v>11</v>
      </c>
      <c r="X28" s="38" t="n">
        <v>11</v>
      </c>
      <c r="Y28" s="38" t="n">
        <v>10</v>
      </c>
      <c r="Z28" s="38">
        <f>10-9</f>
        <v/>
      </c>
      <c r="AA28" s="38" t="n">
        <v>1</v>
      </c>
      <c r="AB28" s="38" t="n">
        <v>1</v>
      </c>
      <c r="AC28" s="38" t="n">
        <v>1</v>
      </c>
      <c r="AD28" s="38" t="n">
        <v>1</v>
      </c>
      <c r="AE28" s="38" t="n">
        <v>1</v>
      </c>
      <c r="AF28" s="38" t="n">
        <v>1</v>
      </c>
      <c r="AG28" s="38" t="n">
        <v>1</v>
      </c>
      <c r="AH28" s="38" t="n">
        <v>1</v>
      </c>
      <c r="AI28" s="38" t="n">
        <v>0</v>
      </c>
      <c r="AJ28" s="38" t="n">
        <v>0</v>
      </c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246">
        <f>BZ28+IF(NOT(ISBLANK(OFFSET(CB28,0,6))),N(OFFSET(CB28,0,6)),N(OFFSET(CB28,0,7)))-CA28</f>
        <v/>
      </c>
      <c r="CC28" s="53" t="n"/>
      <c r="CG28" s="53" t="n"/>
      <c r="CH28" s="57" t="n"/>
      <c r="CI28" s="57" t="n"/>
      <c r="CJ28" s="57" t="n"/>
      <c r="CK28" s="6" t="n"/>
      <c r="CM28" s="57" t="n"/>
      <c r="CO28" s="57" t="n"/>
      <c r="CZ28" s="6" t="n"/>
      <c r="DA28" s="6" t="n"/>
      <c r="DE28" s="6" t="n"/>
      <c r="DP28" s="6" t="n"/>
      <c r="DQ28" s="6" t="n"/>
      <c r="DR28" s="6" t="n"/>
      <c r="DZ28" s="289" t="n"/>
      <c r="EB28" s="53" t="n"/>
      <c r="EC28" s="6" t="n"/>
      <c r="ED28" s="6" t="n"/>
      <c r="EF28" s="6" t="n"/>
      <c r="EG28" s="289" t="n"/>
      <c r="EK28" s="289" t="n"/>
      <c r="EM28" s="289" t="n"/>
      <c r="EW28" s="53" t="n"/>
    </row>
    <row r="29" hidden="1" ht="18.75" customHeight="1">
      <c r="A29" s="250" t="inlineStr">
        <is>
          <t>CARTUCHO P NAT./24</t>
        </is>
      </c>
      <c r="B29" s="251" t="n">
        <v>200</v>
      </c>
      <c r="C29" s="667" t="n">
        <v>486</v>
      </c>
      <c r="D29" s="342" t="n"/>
      <c r="F29" s="9" t="n">
        <v>70</v>
      </c>
      <c r="G29" s="38">
        <f>70-60</f>
        <v/>
      </c>
      <c r="H29" s="38" t="n">
        <v>0</v>
      </c>
      <c r="I29" s="38" t="n">
        <v>0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246">
        <f>BZ29+IF(NOT(ISBLANK(OFFSET(CB29,0,6))),N(OFFSET(CB29,0,6)),N(OFFSET(CB29,0,7)))-CA29</f>
        <v/>
      </c>
      <c r="CC29" s="53" t="n"/>
      <c r="CG29" s="53" t="n"/>
      <c r="CH29" s="57" t="n"/>
      <c r="CI29" s="57" t="n"/>
      <c r="CJ29" s="57" t="n"/>
      <c r="CK29" s="6" t="n"/>
      <c r="CM29" s="57" t="n"/>
      <c r="CO29" s="57" t="n"/>
      <c r="CZ29" s="6" t="n"/>
      <c r="DA29" s="6" t="n"/>
      <c r="DE29" s="6" t="n"/>
      <c r="DP29" s="6" t="n"/>
      <c r="DQ29" s="6" t="n"/>
      <c r="DR29" s="6" t="n"/>
      <c r="DZ29" s="289" t="n"/>
      <c r="EB29" s="53" t="n"/>
      <c r="EC29" s="6" t="n"/>
      <c r="ED29" s="6" t="n"/>
      <c r="EF29" s="6" t="n"/>
      <c r="EG29" s="289" t="n"/>
      <c r="EK29" s="289" t="n"/>
      <c r="EM29" s="289" t="n"/>
      <c r="EW29" s="53" t="n"/>
    </row>
    <row r="30" hidden="1" ht="18.75" customHeight="1">
      <c r="A30" s="250" t="inlineStr">
        <is>
          <t>CARTUCHO M NAT./24</t>
        </is>
      </c>
      <c r="B30" s="251" t="n">
        <v>150</v>
      </c>
      <c r="C30" s="667" t="n">
        <v>459</v>
      </c>
      <c r="D30" s="342" t="n"/>
      <c r="F30" s="9" t="n">
        <v>73</v>
      </c>
      <c r="G30" s="9">
        <f>73-60</f>
        <v/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246">
        <f>BZ30+IF(NOT(ISBLANK(OFFSET(CB30,0,6))),N(OFFSET(CB30,0,6)),N(OFFSET(CB30,0,7)))-CA30</f>
        <v/>
      </c>
      <c r="CC30" s="53" t="n"/>
      <c r="CG30" s="53" t="n"/>
      <c r="CH30" s="57" t="n"/>
      <c r="CI30" s="57" t="n"/>
      <c r="CJ30" s="57" t="n"/>
      <c r="CK30" s="6" t="n"/>
      <c r="CM30" s="57" t="n"/>
      <c r="CO30" s="57" t="n"/>
      <c r="CZ30" s="6" t="n"/>
      <c r="DA30" s="6" t="n"/>
      <c r="DE30" s="6" t="n"/>
      <c r="DP30" s="6" t="n"/>
      <c r="DQ30" s="6" t="n"/>
      <c r="DR30" s="6" t="n"/>
      <c r="DZ30" s="289" t="n"/>
      <c r="EB30" s="53" t="n"/>
      <c r="EC30" s="6" t="n"/>
      <c r="ED30" s="6" t="n"/>
      <c r="EF30" s="6" t="n"/>
      <c r="EG30" s="289" t="n"/>
      <c r="EK30" s="289" t="n"/>
      <c r="EM30" s="289" t="n"/>
      <c r="EW30" s="53" t="n"/>
    </row>
    <row r="31" hidden="1" ht="18.75" customHeight="1">
      <c r="A31" s="250" t="inlineStr">
        <is>
          <t>ÁRVORE</t>
        </is>
      </c>
      <c r="B31" s="251" t="n">
        <v>100</v>
      </c>
      <c r="C31" s="667" t="n">
        <v>295</v>
      </c>
      <c r="D31" s="342" t="n"/>
      <c r="F31" s="9" t="n">
        <v>15</v>
      </c>
      <c r="G31" s="9" t="n">
        <v>15</v>
      </c>
      <c r="H31" s="38" t="n">
        <v>15</v>
      </c>
      <c r="I31" s="38" t="n">
        <v>15</v>
      </c>
      <c r="J31" s="38" t="n">
        <v>15</v>
      </c>
      <c r="K31" s="38" t="n">
        <v>15</v>
      </c>
      <c r="L31" s="38" t="n">
        <v>15</v>
      </c>
      <c r="M31" s="38" t="n">
        <v>15</v>
      </c>
      <c r="N31" s="38" t="n">
        <v>15</v>
      </c>
      <c r="O31" s="38" t="n">
        <v>15</v>
      </c>
      <c r="P31" s="38" t="n">
        <v>15</v>
      </c>
      <c r="Q31" s="38" t="n">
        <v>15</v>
      </c>
      <c r="R31" s="38" t="n">
        <v>15</v>
      </c>
      <c r="S31" s="38" t="n">
        <v>15</v>
      </c>
      <c r="T31" s="38" t="n">
        <v>15</v>
      </c>
      <c r="U31" s="38" t="n">
        <v>15</v>
      </c>
      <c r="V31" s="38" t="n">
        <v>15</v>
      </c>
      <c r="W31" s="38" t="n">
        <v>15</v>
      </c>
      <c r="X31" s="38" t="n">
        <v>15</v>
      </c>
      <c r="Y31" s="38" t="n">
        <v>15</v>
      </c>
      <c r="Z31" s="38" t="n">
        <v>15</v>
      </c>
      <c r="AA31" s="38" t="n">
        <v>15</v>
      </c>
      <c r="AB31" s="38" t="n">
        <v>15</v>
      </c>
      <c r="AC31" s="38" t="n">
        <v>15</v>
      </c>
      <c r="AD31" s="38" t="n">
        <v>15</v>
      </c>
      <c r="AE31" s="38" t="n">
        <v>15</v>
      </c>
      <c r="AF31" s="38" t="n">
        <v>15</v>
      </c>
      <c r="AG31" s="38" t="n">
        <v>15</v>
      </c>
      <c r="AH31" s="38" t="n">
        <v>15</v>
      </c>
      <c r="AI31" s="38" t="n">
        <v>15</v>
      </c>
      <c r="AJ31" s="38" t="n">
        <v>15</v>
      </c>
      <c r="AK31" s="38" t="n">
        <v>15</v>
      </c>
      <c r="AL31" s="38" t="n">
        <v>15</v>
      </c>
      <c r="AM31" s="38" t="n">
        <v>15</v>
      </c>
      <c r="AN31" s="38" t="n">
        <v>15</v>
      </c>
      <c r="AO31" s="38" t="n">
        <v>15</v>
      </c>
      <c r="AP31" s="38" t="n">
        <v>15</v>
      </c>
      <c r="AQ31" s="38" t="n">
        <v>15</v>
      </c>
      <c r="AR31" s="38" t="n">
        <v>15</v>
      </c>
      <c r="AS31" s="38" t="n">
        <v>15</v>
      </c>
      <c r="AT31" s="38" t="n">
        <v>15</v>
      </c>
      <c r="AU31" s="38" t="n">
        <v>15</v>
      </c>
      <c r="AV31" s="38" t="n">
        <v>15</v>
      </c>
      <c r="AW31" s="38" t="n">
        <v>15</v>
      </c>
      <c r="AX31" s="38" t="n">
        <v>15</v>
      </c>
      <c r="AY31" s="38" t="n">
        <v>15</v>
      </c>
      <c r="AZ31" s="38" t="n">
        <v>15</v>
      </c>
      <c r="BA31" s="38" t="n">
        <v>15</v>
      </c>
      <c r="BB31" s="38" t="n">
        <v>13</v>
      </c>
      <c r="BC31" s="38" t="n">
        <v>13</v>
      </c>
      <c r="BD31" s="38" t="n">
        <v>10</v>
      </c>
      <c r="BE31" s="38" t="n">
        <v>7</v>
      </c>
      <c r="BF31" s="38" t="n">
        <v>6</v>
      </c>
      <c r="BG31" s="38" t="n">
        <v>6</v>
      </c>
      <c r="BH31" s="38" t="n">
        <v>6</v>
      </c>
      <c r="BI31" s="38" t="n">
        <v>6</v>
      </c>
      <c r="BJ31" s="38" t="n">
        <v>6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246">
        <f>BZ31+IF(NOT(ISBLANK(OFFSET(CB31,0,6))),N(OFFSET(CB31,0,6)),N(OFFSET(CB31,0,7)))-CA31</f>
        <v/>
      </c>
      <c r="CC31" s="53" t="n"/>
      <c r="CG31" s="53" t="n"/>
      <c r="CH31" s="57" t="n"/>
      <c r="CI31" s="57" t="n"/>
      <c r="CJ31" s="57" t="n"/>
      <c r="CK31" s="6" t="n"/>
      <c r="CM31" s="57" t="n"/>
      <c r="CO31" s="57" t="n"/>
      <c r="CZ31" s="6" t="n"/>
      <c r="DA31" s="6" t="n"/>
      <c r="DE31" s="6" t="n"/>
      <c r="DP31" s="6" t="n"/>
      <c r="DQ31" s="6" t="n"/>
      <c r="DR31" s="6" t="n"/>
      <c r="DZ31" s="289" t="n"/>
      <c r="EB31" s="53" t="n"/>
      <c r="EC31" s="6" t="n"/>
      <c r="ED31" s="6" t="n"/>
      <c r="EF31" s="6" t="n"/>
      <c r="EG31" s="289" t="n"/>
      <c r="EK31" s="289" t="n"/>
      <c r="EM31" s="289" t="n"/>
      <c r="EW31" s="53" t="n"/>
    </row>
    <row r="32" hidden="1" ht="18.75" customHeight="1">
      <c r="A32" s="250" t="inlineStr">
        <is>
          <t>BOLA</t>
        </is>
      </c>
      <c r="B32" s="251" t="n">
        <v>100</v>
      </c>
      <c r="C32" s="667" t="n">
        <v>283</v>
      </c>
      <c r="D32" s="342" t="n"/>
      <c r="F32" s="9" t="n">
        <v>0</v>
      </c>
      <c r="G32" s="9" t="n">
        <v>0</v>
      </c>
      <c r="H32" s="38" t="n">
        <v>0</v>
      </c>
      <c r="I32" s="38" t="n">
        <v>0</v>
      </c>
      <c r="J32" s="38" t="n">
        <v>0</v>
      </c>
      <c r="K32" s="38" t="n">
        <v>0</v>
      </c>
      <c r="L32" s="38" t="n">
        <v>0</v>
      </c>
      <c r="M32" s="38" t="n">
        <v>0</v>
      </c>
      <c r="N32" s="38" t="n">
        <v>0</v>
      </c>
      <c r="O32" s="38" t="n">
        <v>0</v>
      </c>
      <c r="P32" s="38" t="n">
        <v>0</v>
      </c>
      <c r="Q32" s="38" t="n">
        <v>0</v>
      </c>
      <c r="R32" s="38" t="n">
        <v>0</v>
      </c>
      <c r="S32" s="38" t="n">
        <v>0</v>
      </c>
      <c r="T32" s="38" t="n">
        <v>0</v>
      </c>
      <c r="U32" s="38" t="n">
        <v>0</v>
      </c>
      <c r="V32" s="38" t="n">
        <v>0</v>
      </c>
      <c r="W32" s="38" t="n">
        <v>0</v>
      </c>
      <c r="X32" s="38" t="n">
        <v>0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/>
      <c r="AI32" s="38" t="n"/>
      <c r="AJ32" s="38" t="n"/>
      <c r="AK32" s="38" t="n"/>
      <c r="AL32" s="38" t="n"/>
      <c r="AM32" s="3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38" t="n"/>
      <c r="AW32" s="38" t="n"/>
      <c r="AX32" s="38" t="n"/>
      <c r="AY32" s="38" t="n"/>
      <c r="AZ32" s="38" t="n">
        <v>5</v>
      </c>
      <c r="BA32" s="38" t="n">
        <v>5</v>
      </c>
      <c r="BB32" s="38" t="n">
        <v>5</v>
      </c>
      <c r="BC32" s="38" t="n">
        <v>5</v>
      </c>
      <c r="BD32" s="38" t="n">
        <v>5</v>
      </c>
      <c r="BE32" s="38" t="n">
        <v>5</v>
      </c>
      <c r="BF32" s="38" t="n">
        <v>5</v>
      </c>
      <c r="BG32" s="38" t="n">
        <v>5</v>
      </c>
      <c r="BH32" s="38" t="n">
        <v>5</v>
      </c>
      <c r="BI32" s="38" t="n">
        <v>5</v>
      </c>
      <c r="BJ32" s="38" t="n">
        <v>5</v>
      </c>
      <c r="BK32" s="38" t="n">
        <v>1</v>
      </c>
      <c r="BL32" s="38" t="n">
        <v>1</v>
      </c>
      <c r="BM32" s="38" t="n">
        <v>1</v>
      </c>
      <c r="BN32" s="38" t="n">
        <v>1</v>
      </c>
      <c r="BO32" s="38" t="n">
        <v>0</v>
      </c>
      <c r="BP32" s="38" t="n">
        <v>0</v>
      </c>
      <c r="BQ32" s="38" t="n">
        <v>0</v>
      </c>
      <c r="BR32" s="38" t="n">
        <v>0</v>
      </c>
      <c r="BS32" s="38" t="n"/>
      <c r="BT32" s="38" t="n"/>
      <c r="BU32" s="38" t="n"/>
      <c r="BV32" s="38" t="n"/>
      <c r="BW32" s="38" t="n"/>
      <c r="BX32" s="38" t="n"/>
      <c r="BY32" s="38" t="n"/>
      <c r="BZ32" s="38" t="n"/>
      <c r="CA32" s="38" t="n"/>
      <c r="CB32" s="246">
        <f>BZ32+IF(NOT(ISBLANK(OFFSET(CB32,0,6))),N(OFFSET(CB32,0,6)),N(OFFSET(CB32,0,7)))-CA32</f>
        <v/>
      </c>
      <c r="CC32" s="53" t="n"/>
      <c r="CG32" s="53" t="n"/>
      <c r="CH32" s="57" t="n"/>
      <c r="CI32" s="57" t="n"/>
      <c r="CJ32" s="57" t="n"/>
      <c r="CK32" s="6" t="n"/>
      <c r="CM32" s="57" t="n"/>
      <c r="CO32" s="57" t="n"/>
      <c r="CZ32" s="6" t="n"/>
      <c r="DA32" s="6" t="n"/>
      <c r="DE32" s="6" t="n"/>
      <c r="DP32" s="6" t="n"/>
      <c r="DQ32" s="6" t="n"/>
      <c r="DR32" s="6" t="n"/>
      <c r="DZ32" s="289" t="n"/>
      <c r="EB32" s="53" t="n"/>
      <c r="EC32" s="6" t="n"/>
      <c r="EG32" s="289" t="n"/>
      <c r="EK32" s="289" t="n"/>
      <c r="EM32" s="289" t="n"/>
      <c r="EW32" s="53" t="n"/>
    </row>
    <row r="33" hidden="1" ht="18.75" customHeight="1">
      <c r="A33" s="243" t="inlineStr">
        <is>
          <t>CAIXA P MÃES/25</t>
        </is>
      </c>
      <c r="B33" s="244" t="n">
        <v>150</v>
      </c>
      <c r="C33" s="697" t="n">
        <v>781.05</v>
      </c>
      <c r="D33" s="342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8</v>
      </c>
      <c r="AA33" s="9" t="n">
        <v>8</v>
      </c>
      <c r="AB33" s="9" t="n">
        <v>8</v>
      </c>
      <c r="AC33" s="9" t="n">
        <v>8</v>
      </c>
      <c r="AD33" s="9" t="n">
        <v>0</v>
      </c>
      <c r="AE33" s="9" t="n">
        <v>0</v>
      </c>
      <c r="AF33" s="9" t="n">
        <v>0</v>
      </c>
      <c r="AG33" s="9" t="n"/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246">
        <f>BZ33+IF(NOT(ISBLANK(OFFSET(CB33,0,6))),N(OFFSET(CB33,0,6)),N(OFFSET(CB33,0,7)))-CA33</f>
        <v/>
      </c>
      <c r="CC33" s="53" t="n"/>
      <c r="CG33" s="53" t="n"/>
      <c r="CH33" s="57" t="n"/>
      <c r="CI33" s="57" t="n"/>
      <c r="CJ33" s="57" t="n"/>
      <c r="CK33" s="6" t="n"/>
      <c r="CM33" s="57" t="n"/>
      <c r="CO33" s="57" t="n"/>
      <c r="CZ33" s="6" t="n"/>
      <c r="DA33" s="6" t="n"/>
      <c r="DE33" s="6" t="n"/>
      <c r="DP33" s="6" t="n"/>
      <c r="DQ33" s="6" t="n"/>
      <c r="DR33" s="6" t="n"/>
      <c r="DZ33" s="289" t="n"/>
      <c r="EB33" s="53" t="n"/>
      <c r="EC33" s="6" t="n"/>
      <c r="EG33" s="289" t="n"/>
      <c r="EK33" s="289" t="n"/>
      <c r="EM33" s="289" t="n"/>
      <c r="EW33" s="53" t="n"/>
    </row>
    <row r="34" hidden="1" ht="18.75" customHeight="1">
      <c r="A34" s="243" t="inlineStr">
        <is>
          <t>CAIXA M MÃES/25</t>
        </is>
      </c>
      <c r="B34" s="244" t="n">
        <v>100</v>
      </c>
      <c r="C34" s="697" t="n">
        <v>789</v>
      </c>
      <c r="D34" s="342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190" t="n">
        <v>-6</v>
      </c>
      <c r="AA34" s="190" t="n">
        <v>-6</v>
      </c>
      <c r="AB34" s="190" t="n">
        <v>-6</v>
      </c>
      <c r="AC34" s="9" t="n">
        <v>0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246">
        <f>BZ34+IF(NOT(ISBLANK(OFFSET(CB34,0,6))),N(OFFSET(CB34,0,6)),N(OFFSET(CB34,0,7)))-CA34</f>
        <v/>
      </c>
      <c r="CC34" s="53" t="n"/>
      <c r="CG34" s="53" t="n"/>
      <c r="CH34" s="57" t="n"/>
      <c r="CI34" s="57" t="n"/>
      <c r="CJ34" s="57" t="n"/>
      <c r="CK34" s="6" t="n"/>
      <c r="CM34" s="57" t="n"/>
      <c r="CO34" s="57" t="n"/>
      <c r="CZ34" s="6" t="n"/>
      <c r="DA34" s="6" t="n"/>
      <c r="DE34" s="6" t="n"/>
      <c r="DP34" s="6" t="n"/>
      <c r="DQ34" s="6" t="n"/>
      <c r="DR34" s="6" t="n"/>
      <c r="DZ34" s="289" t="n"/>
      <c r="EB34" s="53" t="n"/>
      <c r="EC34" s="6" t="n"/>
      <c r="EG34" s="289" t="n"/>
      <c r="EK34" s="289" t="n"/>
      <c r="EM34" s="289" t="n"/>
      <c r="EW34" s="53" t="n"/>
    </row>
    <row r="35" hidden="1" ht="18.75" customHeight="1">
      <c r="A35" s="243" t="inlineStr">
        <is>
          <t>CAIXA G MÃES/25</t>
        </is>
      </c>
      <c r="B35" s="244" t="n">
        <v>75</v>
      </c>
      <c r="C35" s="697" t="n">
        <v>844.05</v>
      </c>
      <c r="D35" s="342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>
        <f>0+5</f>
        <v/>
      </c>
      <c r="AA35" s="9" t="n">
        <v>5</v>
      </c>
      <c r="AB35" s="9" t="n">
        <v>5</v>
      </c>
      <c r="AC35" s="9" t="n">
        <v>5</v>
      </c>
      <c r="AD35" s="9" t="n">
        <v>5</v>
      </c>
      <c r="AE35" s="9" t="n">
        <v>5</v>
      </c>
      <c r="AF35" s="9" t="n">
        <v>5</v>
      </c>
      <c r="AG35" s="9" t="n">
        <v>5</v>
      </c>
      <c r="AH35" s="9" t="n">
        <v>5</v>
      </c>
      <c r="AI35" s="9" t="n">
        <v>5</v>
      </c>
      <c r="AJ35" s="9" t="n">
        <v>5</v>
      </c>
      <c r="AK35" s="9" t="n">
        <v>5</v>
      </c>
      <c r="AL35" s="9" t="n">
        <v>5</v>
      </c>
      <c r="AM35" s="9" t="n">
        <v>5</v>
      </c>
      <c r="AN35" s="9" t="n">
        <v>5</v>
      </c>
      <c r="AO35" s="9" t="n">
        <v>5</v>
      </c>
      <c r="AP35" s="9" t="n">
        <v>5</v>
      </c>
      <c r="AQ35" s="9" t="n">
        <v>5</v>
      </c>
      <c r="AR35" s="9" t="n">
        <v>5</v>
      </c>
      <c r="AS35" s="9" t="n">
        <v>5</v>
      </c>
      <c r="AT35" s="9" t="n">
        <v>5</v>
      </c>
      <c r="AU35" s="9" t="n">
        <v>5</v>
      </c>
      <c r="AV35" s="9" t="n">
        <v>5</v>
      </c>
      <c r="AW35" s="9" t="n">
        <v>5</v>
      </c>
      <c r="AX35" s="9" t="n">
        <v>5</v>
      </c>
      <c r="AY35" s="9" t="n">
        <v>5</v>
      </c>
      <c r="AZ35" s="9" t="n">
        <v>5</v>
      </c>
      <c r="BA35" s="9" t="n">
        <v>5</v>
      </c>
      <c r="BB35" s="9" t="n">
        <v>5</v>
      </c>
      <c r="BC35" s="9" t="n">
        <v>5</v>
      </c>
      <c r="BD35" s="9" t="n">
        <v>0</v>
      </c>
      <c r="BE35" s="9" t="n">
        <v>0</v>
      </c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246">
        <f>BZ35+IF(NOT(ISBLANK(OFFSET(CB35,0,6))),N(OFFSET(CB35,0,6)),N(OFFSET(CB35,0,7)))-CA35</f>
        <v/>
      </c>
      <c r="CC35" s="53" t="n"/>
      <c r="CG35" s="53" t="n"/>
      <c r="CH35" s="61" t="n"/>
      <c r="CI35" s="61" t="n"/>
      <c r="CJ35" s="61" t="n"/>
      <c r="CK35" s="6" t="n"/>
      <c r="CM35" s="61" t="n"/>
      <c r="CO35" s="61" t="n"/>
      <c r="CZ35" s="6" t="n"/>
      <c r="DA35" s="6" t="n"/>
      <c r="DE35" s="6" t="n"/>
      <c r="DP35" s="6" t="n"/>
      <c r="DQ35" s="6" t="n"/>
      <c r="DR35" s="6" t="n"/>
      <c r="DZ35" s="289" t="n"/>
      <c r="EB35" s="53" t="n"/>
      <c r="EC35" s="6" t="n"/>
      <c r="EG35" s="289" t="n"/>
      <c r="EK35" s="289" t="n"/>
      <c r="EM35" s="289" t="n"/>
      <c r="EW35" s="53" t="n"/>
    </row>
    <row r="36" hidden="1" ht="18.75" customHeight="1">
      <c r="A36" s="243" t="inlineStr">
        <is>
          <t>CARTUCHO P MÃES/25</t>
        </is>
      </c>
      <c r="B36" s="244" t="n">
        <v>200</v>
      </c>
      <c r="C36" s="697" t="n">
        <v>450</v>
      </c>
      <c r="D36" s="342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246">
        <f>BZ36+IF(NOT(ISBLANK(OFFSET(CB36,0,6))),N(OFFSET(CB36,0,6)),N(OFFSET(CB36,0,7)))-CA36</f>
        <v/>
      </c>
      <c r="CC36" s="53" t="n"/>
      <c r="CG36" s="53" t="n"/>
      <c r="CH36" s="61" t="n"/>
      <c r="CI36" s="61" t="n"/>
      <c r="CJ36" s="61" t="n"/>
      <c r="CK36" s="6" t="n"/>
      <c r="CM36" s="61" t="n"/>
      <c r="CO36" s="61" t="n"/>
      <c r="CZ36" s="6" t="n"/>
      <c r="DA36" s="6" t="n"/>
      <c r="DE36" s="6" t="n"/>
      <c r="DP36" s="6" t="n"/>
      <c r="DQ36" s="6" t="n"/>
      <c r="DR36" s="6" t="n"/>
      <c r="DZ36" s="289" t="n"/>
      <c r="EB36" s="53" t="n"/>
      <c r="EC36" s="6" t="n"/>
      <c r="EG36" s="289" t="n"/>
      <c r="EK36" s="289" t="n"/>
      <c r="EM36" s="289" t="n"/>
      <c r="EW36" s="53" t="n"/>
    </row>
    <row r="37" hidden="1" ht="18.75" customHeight="1">
      <c r="A37" s="243" t="inlineStr">
        <is>
          <t>CARTUCHO M MÃES/25</t>
        </is>
      </c>
      <c r="B37" s="244" t="n">
        <v>150</v>
      </c>
      <c r="C37" s="697" t="n">
        <v>430.5</v>
      </c>
      <c r="D37" s="342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1</v>
      </c>
      <c r="AA37" s="9" t="n">
        <v>1</v>
      </c>
      <c r="AB37" s="9" t="n">
        <v>1</v>
      </c>
      <c r="AC37" s="9" t="n">
        <v>1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246">
        <f>BZ37+IF(NOT(ISBLANK(OFFSET(CB37,0,6))),N(OFFSET(CB37,0,6)),N(OFFSET(CB37,0,7)))-CA37</f>
        <v/>
      </c>
      <c r="CC37" s="53" t="n"/>
      <c r="CG37" s="53" t="n"/>
      <c r="CK37" s="6" t="n"/>
      <c r="CL37" s="57" t="n"/>
      <c r="CN37" s="57" t="n"/>
      <c r="CP37" s="57" t="n"/>
      <c r="CQ37" s="57" t="n"/>
      <c r="CZ37" s="6" t="n"/>
      <c r="DA37" s="6" t="n"/>
      <c r="DE37" s="6" t="n"/>
      <c r="DP37" s="6" t="n"/>
      <c r="DQ37" s="6" t="n"/>
      <c r="DR37" s="6" t="n"/>
      <c r="DZ37" s="289" t="n"/>
      <c r="EB37" s="53" t="n"/>
      <c r="EC37" s="6" t="n"/>
      <c r="EG37" s="289" t="n"/>
      <c r="EK37" s="289" t="n"/>
      <c r="EM37" s="289" t="n"/>
      <c r="EW37" s="53" t="n"/>
    </row>
    <row r="38" hidden="1" ht="18.75" customHeight="1">
      <c r="A38" s="352" t="inlineStr">
        <is>
          <t>CAIXA M NAMO/25</t>
        </is>
      </c>
      <c r="B38" s="127" t="n">
        <v>100</v>
      </c>
      <c r="C38" s="705" t="n">
        <v>789</v>
      </c>
      <c r="D38" s="354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/>
      <c r="AA38" s="9" t="n"/>
      <c r="AB38" s="9" t="n"/>
      <c r="AC38" s="9" t="n"/>
      <c r="AD38" s="9" t="n"/>
      <c r="AE38" s="9" t="n"/>
      <c r="AF38" s="9" t="n">
        <v>4</v>
      </c>
      <c r="AG38" s="9" t="n">
        <v>3</v>
      </c>
      <c r="AH38" s="9" t="n">
        <v>3</v>
      </c>
      <c r="AI38" s="9" t="n">
        <v>0</v>
      </c>
      <c r="AJ38" s="9" t="n">
        <v>0</v>
      </c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246">
        <f>BZ38+IF(NOT(ISBLANK(OFFSET(CB38,0,6))),N(OFFSET(CB38,0,6)),N(OFFSET(CB38,0,7)))-CA38</f>
        <v/>
      </c>
      <c r="CC38" s="53" t="n"/>
      <c r="CG38" s="53" t="n"/>
      <c r="CK38" s="6" t="n"/>
      <c r="CL38" s="61" t="n"/>
      <c r="CN38" s="61" t="n"/>
      <c r="CP38" s="61" t="n"/>
      <c r="CQ38" s="61" t="n"/>
      <c r="CZ38" s="6" t="n"/>
      <c r="DA38" s="6" t="n"/>
      <c r="DE38" s="6" t="n"/>
      <c r="DP38" s="6" t="n"/>
      <c r="DQ38" s="6" t="n"/>
      <c r="DR38" s="6" t="n"/>
      <c r="DZ38" s="289" t="n"/>
      <c r="EB38" s="53" t="n"/>
      <c r="EC38" s="6" t="n"/>
      <c r="EG38" s="289" t="n"/>
      <c r="EK38" s="289" t="n"/>
      <c r="EM38" s="289" t="n"/>
      <c r="EW38" s="53" t="n"/>
    </row>
    <row r="39" hidden="1" ht="18.75" customHeight="1">
      <c r="A39" s="352" t="inlineStr">
        <is>
          <t>CARTUCHO M NAMO/25</t>
        </is>
      </c>
      <c r="B39" s="127" t="n">
        <v>150</v>
      </c>
      <c r="C39" s="705" t="n">
        <v>289</v>
      </c>
      <c r="D39" s="354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/>
      <c r="AA39" s="9" t="n"/>
      <c r="AB39" s="9" t="n"/>
      <c r="AC39" s="9" t="n"/>
      <c r="AD39" s="9" t="n"/>
      <c r="AE39" s="9" t="n"/>
      <c r="AF39" s="9" t="n">
        <v>2</v>
      </c>
      <c r="AG39" s="9" t="n">
        <v>2</v>
      </c>
      <c r="AH39" s="9" t="n">
        <v>2</v>
      </c>
      <c r="AI39" s="9" t="n">
        <v>0</v>
      </c>
      <c r="AJ39" s="9" t="n">
        <v>0</v>
      </c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246">
        <f>BZ39+IF(NOT(ISBLANK(OFFSET(CB39,0,6))),N(OFFSET(CB39,0,6)),N(OFFSET(CB39,0,7)))-CA39</f>
        <v/>
      </c>
      <c r="CC39" s="53" t="n"/>
      <c r="CG39" s="53" t="n"/>
      <c r="CK39" s="360" t="n"/>
      <c r="CL39" s="61" t="n"/>
      <c r="CN39" s="61" t="n"/>
      <c r="CP39" s="61" t="n"/>
      <c r="CQ39" s="61" t="n"/>
      <c r="CZ39" s="6" t="n"/>
      <c r="DA39" s="6" t="n"/>
      <c r="DE39" s="6" t="n"/>
      <c r="DN39" s="57" t="n"/>
      <c r="DP39" s="6" t="n"/>
      <c r="DQ39" s="6" t="n"/>
      <c r="DR39" s="360" t="n"/>
      <c r="DZ39" s="289" t="n"/>
      <c r="EB39" s="53" t="n"/>
      <c r="EC39" s="6" t="n"/>
      <c r="EG39" s="289" t="n"/>
      <c r="EK39" s="289" t="n"/>
      <c r="EM39" s="289" t="n"/>
      <c r="EW39" s="53" t="n"/>
    </row>
    <row r="40" hidden="1" ht="18.75" customHeight="1">
      <c r="A40" s="343" t="inlineStr">
        <is>
          <t>CAIXA M PAIS/25</t>
        </is>
      </c>
      <c r="B40" s="344" t="n">
        <v>100</v>
      </c>
      <c r="C40" s="705" t="n"/>
      <c r="D40" s="354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1</v>
      </c>
      <c r="AP40" s="9" t="n">
        <v>0</v>
      </c>
      <c r="AQ40" s="9" t="n">
        <v>0</v>
      </c>
      <c r="AR40" s="9" t="n">
        <v>0</v>
      </c>
      <c r="AS40" s="9" t="n">
        <v>0</v>
      </c>
      <c r="AT40" s="9" t="n">
        <v>0</v>
      </c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246">
        <f>BZ40+IF(NOT(ISBLANK(OFFSET(CB40,0,6))),N(OFFSET(CB40,0,6)),N(OFFSET(CB40,0,7)))-CA40</f>
        <v/>
      </c>
      <c r="CC40" s="53" t="n"/>
      <c r="CG40" s="53" t="n"/>
      <c r="CK40" s="360" t="n"/>
      <c r="CZ40" s="6" t="n"/>
      <c r="DA40" s="6" t="n"/>
      <c r="DE40" s="6" t="n"/>
      <c r="DN40" s="57" t="n"/>
      <c r="DP40" s="6" t="n"/>
      <c r="DQ40" s="6" t="n"/>
      <c r="DR40" s="360" t="n"/>
      <c r="DZ40" s="289" t="n"/>
      <c r="EB40" s="53" t="n"/>
      <c r="EC40" s="6" t="n"/>
      <c r="EG40" s="289" t="n"/>
      <c r="EK40" s="289" t="n"/>
      <c r="EM40" s="289" t="n"/>
      <c r="EW40" s="53" t="n"/>
    </row>
    <row r="41" hidden="1" ht="18.75" customHeight="1">
      <c r="A41" s="343" t="inlineStr">
        <is>
          <t>ENVELOPE M PAIS/25</t>
        </is>
      </c>
      <c r="B41" s="344" t="n">
        <v>150</v>
      </c>
      <c r="C41" s="705" t="n"/>
      <c r="D41" s="354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0</v>
      </c>
      <c r="AP41" s="9" t="n">
        <v>0</v>
      </c>
      <c r="AQ41" s="9" t="n">
        <v>0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246">
        <f>BZ41+IF(NOT(ISBLANK(OFFSET(CB41,0,6))),N(OFFSET(CB41,0,6)),N(OFFSET(CB41,0,7)))-CA41</f>
        <v/>
      </c>
      <c r="CC41" s="53" t="n"/>
      <c r="CG41" s="53" t="n"/>
      <c r="CH41" s="6" t="n"/>
      <c r="CI41" s="6" t="n"/>
      <c r="CJ41" s="6" t="n"/>
      <c r="CK41" s="53" t="n"/>
      <c r="CM41" s="6" t="n"/>
      <c r="CO41" s="6" t="n"/>
      <c r="CZ41" s="6" t="n"/>
      <c r="DA41" s="6" t="n"/>
      <c r="DE41" s="6" t="n"/>
      <c r="DN41" s="57" t="n"/>
      <c r="DP41" s="6" t="n"/>
      <c r="DQ41" s="6" t="n"/>
      <c r="DR41" s="360" t="n"/>
      <c r="DZ41" s="289" t="n"/>
      <c r="EB41" s="53" t="n"/>
      <c r="EC41" s="6" t="n"/>
      <c r="EG41" s="289" t="n"/>
      <c r="EK41" s="289" t="n"/>
      <c r="EM41" s="289" t="n"/>
      <c r="EW41" s="53" t="n"/>
      <c r="FA41" s="53" t="n"/>
      <c r="FB41" s="53" t="n"/>
      <c r="FC41" s="53" t="n"/>
      <c r="FD41" s="53" t="n"/>
      <c r="FE41" s="53" t="n"/>
      <c r="FF41" s="53" t="n"/>
      <c r="FG41" s="53" t="n"/>
      <c r="FH41" s="53" t="n"/>
      <c r="FI41" s="53" t="n"/>
      <c r="FJ41" s="53" t="n"/>
      <c r="FK41" s="53" t="n"/>
    </row>
    <row r="42" hidden="1" ht="18.75" customHeight="1">
      <c r="A42" s="343" t="inlineStr">
        <is>
          <t>PIN MELHOR PAI DO MDO</t>
        </is>
      </c>
      <c r="B42" s="344" t="n">
        <v>25</v>
      </c>
      <c r="C42" s="705" t="n"/>
      <c r="D42" s="354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11</v>
      </c>
      <c r="AP42" s="9" t="n">
        <v>1</v>
      </c>
      <c r="AQ42" s="9" t="n">
        <v>1</v>
      </c>
      <c r="AR42" s="9" t="n">
        <v>1</v>
      </c>
      <c r="AS42" s="9" t="n">
        <v>1</v>
      </c>
      <c r="AT42" s="9" t="n">
        <v>1</v>
      </c>
      <c r="AU42" s="9" t="n">
        <v>1</v>
      </c>
      <c r="AV42" s="9" t="n">
        <v>1</v>
      </c>
      <c r="AW42" s="9" t="n">
        <v>1</v>
      </c>
      <c r="AX42" s="9" t="n">
        <v>1</v>
      </c>
      <c r="AY42" s="9" t="n">
        <v>1</v>
      </c>
      <c r="AZ42" s="9" t="n">
        <v>1</v>
      </c>
      <c r="BA42" s="9" t="n">
        <v>1</v>
      </c>
      <c r="BB42" s="9" t="n">
        <v>1</v>
      </c>
      <c r="BC42" s="9" t="n">
        <v>1</v>
      </c>
      <c r="BD42" s="9" t="n">
        <v>0</v>
      </c>
      <c r="BE42" s="9" t="n">
        <v>0</v>
      </c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246">
        <f>BZ42+IF(NOT(ISBLANK(OFFSET(CB42,0,6))),N(OFFSET(CB42,0,6)),N(OFFSET(CB42,0,7)))-CA42</f>
        <v/>
      </c>
      <c r="CC42" s="53" t="n"/>
      <c r="CG42" s="53" t="n"/>
      <c r="CH42" s="6" t="n"/>
      <c r="CI42" s="6" t="n"/>
      <c r="CJ42" s="6" t="n"/>
      <c r="CK42" s="53" t="n"/>
      <c r="CM42" s="6" t="n"/>
      <c r="CO42" s="6" t="n"/>
      <c r="CZ42" s="6" t="n"/>
      <c r="DA42" s="6" t="n"/>
      <c r="DE42" s="6" t="n"/>
      <c r="DN42" s="57" t="n"/>
      <c r="DP42" s="6" t="n"/>
      <c r="DQ42" s="6" t="n"/>
      <c r="DR42" s="360" t="n"/>
      <c r="DZ42" s="289" t="n"/>
      <c r="EB42" s="53" t="n"/>
      <c r="EC42" s="6" t="n"/>
      <c r="EG42" s="289" t="n"/>
      <c r="EK42" s="289" t="n"/>
      <c r="EM42" s="289" t="n"/>
      <c r="EW42" s="53" t="n"/>
      <c r="FA42" s="53" t="n"/>
      <c r="FB42" s="53" t="n"/>
      <c r="FC42" s="53" t="n"/>
      <c r="FD42" s="53" t="n"/>
      <c r="FE42" s="53" t="n"/>
      <c r="FF42" s="53" t="n"/>
      <c r="FG42" s="53" t="n"/>
      <c r="FH42" s="53" t="n"/>
      <c r="FI42" s="53" t="n"/>
      <c r="FJ42" s="53" t="n"/>
      <c r="FK42" s="53" t="n"/>
    </row>
    <row r="43" hidden="1" ht="18.75" customHeight="1">
      <c r="A43" s="343" t="inlineStr">
        <is>
          <t>PIN BALÃO</t>
        </is>
      </c>
      <c r="B43" s="344" t="n">
        <v>25</v>
      </c>
      <c r="C43" s="705" t="n"/>
      <c r="D43" s="354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21</v>
      </c>
      <c r="AP43" s="9" t="n">
        <v>0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/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246">
        <f>BZ43+IF(NOT(ISBLANK(OFFSET(CB43,0,6))),N(OFFSET(CB43,0,6)),N(OFFSET(CB43,0,7)))-CA43</f>
        <v/>
      </c>
      <c r="CC43" s="53" t="n"/>
      <c r="CG43" s="53" t="n"/>
      <c r="CH43" s="6" t="n"/>
      <c r="CI43" s="6" t="n"/>
      <c r="CJ43" s="6" t="n"/>
      <c r="CK43" s="53" t="n"/>
      <c r="CM43" s="6" t="n"/>
      <c r="CO43" s="6" t="n"/>
      <c r="CZ43" s="360" t="n"/>
      <c r="DA43" s="360" t="n"/>
      <c r="DE43" s="360" t="n"/>
      <c r="DN43" s="57" t="n"/>
      <c r="DP43" s="6" t="n"/>
      <c r="DQ43" s="6" t="n"/>
      <c r="DR43" s="360" t="n"/>
      <c r="DZ43" s="289" t="n"/>
      <c r="EB43" s="53" t="n"/>
      <c r="EC43" s="6" t="n"/>
      <c r="EG43" s="289" t="n"/>
      <c r="EK43" s="289" t="n"/>
      <c r="EM43" s="289" t="n"/>
      <c r="EW43" s="53" t="n"/>
      <c r="FA43" s="53" t="n"/>
      <c r="FB43" s="53" t="n"/>
      <c r="FC43" s="53" t="n"/>
      <c r="FD43" s="53" t="n"/>
      <c r="FE43" s="53" t="n"/>
      <c r="FF43" s="53" t="n"/>
      <c r="FG43" s="53" t="n"/>
      <c r="FH43" s="53" t="n"/>
      <c r="FI43" s="53" t="n"/>
      <c r="FJ43" s="53" t="n"/>
      <c r="FK43" s="53" t="n"/>
    </row>
    <row r="44" hidden="1" ht="18.75" customHeight="1">
      <c r="A44" s="343" t="inlineStr">
        <is>
          <t>PIN AMOR</t>
        </is>
      </c>
      <c r="B44" s="344" t="n">
        <v>25</v>
      </c>
      <c r="C44" s="705" t="n"/>
      <c r="D44" s="354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9" t="n">
        <v>22</v>
      </c>
      <c r="AP44" s="9" t="n">
        <v>1</v>
      </c>
      <c r="AQ44" s="9" t="n">
        <v>1</v>
      </c>
      <c r="AR44" s="9" t="n">
        <v>1</v>
      </c>
      <c r="AS44" s="9" t="n">
        <v>1</v>
      </c>
      <c r="AT44" s="9" t="n">
        <v>1</v>
      </c>
      <c r="AU44" s="9" t="n">
        <v>1</v>
      </c>
      <c r="AV44" s="9" t="n">
        <v>1</v>
      </c>
      <c r="AW44" s="9" t="n">
        <v>1</v>
      </c>
      <c r="AX44" s="9" t="n">
        <v>1</v>
      </c>
      <c r="AY44" s="9" t="n">
        <v>1</v>
      </c>
      <c r="AZ44" s="9" t="n">
        <v>1</v>
      </c>
      <c r="BA44" s="9" t="n">
        <v>1</v>
      </c>
      <c r="BB44" s="9" t="n">
        <v>1</v>
      </c>
      <c r="BC44" s="9" t="n">
        <v>1</v>
      </c>
      <c r="BD44" s="9" t="n">
        <v>0</v>
      </c>
      <c r="BE44" s="9" t="n">
        <v>0</v>
      </c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246">
        <f>BZ44+IF(NOT(ISBLANK(OFFSET(CB44,0,6))),N(OFFSET(CB44,0,6)),N(OFFSET(CB44,0,7)))-CA44</f>
        <v/>
      </c>
      <c r="CC44" s="53" t="n"/>
      <c r="CG44" s="53" t="n"/>
      <c r="CH44" s="6" t="n"/>
      <c r="CI44" s="6" t="n"/>
      <c r="CJ44" s="6" t="n"/>
      <c r="CK44" s="53" t="n"/>
      <c r="CL44" s="6" t="n"/>
      <c r="CM44" s="6" t="n"/>
      <c r="CN44" s="6" t="n"/>
      <c r="CO44" s="6" t="n"/>
      <c r="CP44" s="6" t="n"/>
      <c r="CQ44" s="6" t="n"/>
      <c r="CZ44" s="360" t="n"/>
      <c r="DA44" s="360" t="n"/>
      <c r="DE44" s="360" t="n"/>
      <c r="DN44" s="57" t="n"/>
      <c r="DP44" s="6" t="n"/>
      <c r="DQ44" s="6" t="n"/>
      <c r="DR44" s="360" t="n"/>
      <c r="DZ44" s="289" t="n"/>
      <c r="EB44" s="53" t="n"/>
      <c r="EC44" s="6" t="n"/>
      <c r="EG44" s="289" t="n"/>
      <c r="EK44" s="289" t="n"/>
      <c r="EM44" s="289" t="n"/>
      <c r="EW44" s="53" t="n"/>
      <c r="FA44" s="53" t="n"/>
      <c r="FB44" s="53" t="n"/>
      <c r="FC44" s="53" t="n"/>
      <c r="FD44" s="53" t="n"/>
      <c r="FE44" s="53" t="n"/>
      <c r="FF44" s="53" t="n"/>
      <c r="FG44" s="53" t="n"/>
      <c r="FH44" s="53" t="n"/>
      <c r="FI44" s="53" t="n"/>
      <c r="FJ44" s="53" t="n"/>
      <c r="FK44" s="53" t="n"/>
    </row>
    <row r="45" ht="18.75" customHeight="1">
      <c r="A45" s="33" t="inlineStr">
        <is>
          <t>CAIXA P NATAL/25</t>
        </is>
      </c>
      <c r="B45" s="9" t="n">
        <v>150</v>
      </c>
      <c r="C45" s="668" t="n">
        <v>805.35</v>
      </c>
      <c r="D45" s="342" t="n"/>
      <c r="BD45" s="9" t="n">
        <v>71</v>
      </c>
      <c r="BE45" s="9" t="n">
        <v>53</v>
      </c>
      <c r="BF45" s="9" t="n">
        <v>23</v>
      </c>
      <c r="BG45" s="9" t="n">
        <v>17</v>
      </c>
      <c r="BH45" s="9" t="n">
        <v>17</v>
      </c>
      <c r="BI45" s="9" t="n">
        <v>17</v>
      </c>
      <c r="BJ45" s="9" t="n">
        <v>17</v>
      </c>
      <c r="BK45" s="9" t="n">
        <v>20</v>
      </c>
      <c r="BL45" s="9" t="n">
        <v>20</v>
      </c>
      <c r="BM45" s="9" t="n">
        <v>20</v>
      </c>
      <c r="BN45" s="9" t="n">
        <v>20</v>
      </c>
      <c r="BO45" s="9" t="n">
        <v>19</v>
      </c>
      <c r="BP45" s="9" t="n">
        <v>19</v>
      </c>
      <c r="BQ45" s="9" t="n">
        <v>19</v>
      </c>
      <c r="BR45" s="9" t="n">
        <v>9</v>
      </c>
      <c r="BS45" s="9" t="n">
        <v>9</v>
      </c>
      <c r="BT45" s="9" t="n"/>
      <c r="BU45" s="9" t="n"/>
      <c r="BV45" s="9" t="n"/>
      <c r="BW45" s="9" t="n">
        <v>19</v>
      </c>
      <c r="BX45" s="9" t="n">
        <v>19</v>
      </c>
      <c r="BY45" s="9" t="n">
        <v>19</v>
      </c>
      <c r="BZ45" s="9" t="n">
        <v>19</v>
      </c>
      <c r="CA45" s="9" t="n">
        <v>19</v>
      </c>
      <c r="CB45" s="246">
        <f>BZ45+IF(NOT(ISBLANK(OFFSET(CB45,0,6))),N(OFFSET(CB45,0,6)),N(OFFSET(CB45,0,7)))-CA45</f>
        <v/>
      </c>
      <c r="CC45" s="53" t="n"/>
      <c r="CG45" s="53" t="n"/>
      <c r="CH45" s="6" t="n"/>
      <c r="CI45" s="6" t="n"/>
      <c r="CJ45" s="6" t="n"/>
      <c r="CL45" s="6" t="n"/>
      <c r="CM45" s="6" t="n"/>
      <c r="CN45" s="6" t="n"/>
      <c r="CO45" s="6" t="n"/>
      <c r="CP45" s="6" t="n"/>
      <c r="CQ45" s="6" t="n"/>
      <c r="CR45" s="57" t="n"/>
      <c r="CS45" s="57" t="n"/>
      <c r="CT45" s="57" t="n"/>
      <c r="CU45" s="57" t="n"/>
      <c r="CV45" s="57" t="n"/>
      <c r="CW45" s="57" t="n"/>
      <c r="CX45" s="57" t="n"/>
      <c r="CY45" s="57" t="n"/>
      <c r="CZ45" s="53" t="n"/>
      <c r="DA45" s="53" t="n"/>
      <c r="DB45" s="57" t="n"/>
      <c r="DC45" s="57" t="n"/>
      <c r="DD45" s="57" t="n"/>
      <c r="DE45" s="53" t="n"/>
      <c r="DF45" s="57" t="n"/>
      <c r="DG45" s="57" t="n"/>
      <c r="DH45" s="57" t="n"/>
      <c r="DI45" s="57" t="n"/>
      <c r="DJ45" s="57" t="n"/>
      <c r="DK45" s="57" t="n"/>
      <c r="DL45" s="57" t="n"/>
      <c r="DM45" s="57" t="n"/>
      <c r="DN45" s="61" t="n"/>
      <c r="DO45" s="57" t="n"/>
      <c r="DP45" s="360" t="n"/>
      <c r="DQ45" s="360" t="n"/>
      <c r="DR45" s="360" t="n"/>
      <c r="DS45" s="57" t="n"/>
      <c r="DT45" s="57" t="n"/>
      <c r="DU45" s="57" t="n"/>
      <c r="DV45" s="57" t="n"/>
      <c r="DW45" s="57" t="n"/>
      <c r="DX45" s="57" t="n"/>
      <c r="DY45" s="57" t="n"/>
      <c r="DZ45" s="289" t="n"/>
      <c r="EA45" s="57" t="n"/>
      <c r="EB45" s="53" t="n"/>
      <c r="EE45" s="57" t="n"/>
      <c r="EG45" s="289" t="n"/>
      <c r="EK45" s="289" t="n"/>
      <c r="EM45" s="289" t="n"/>
      <c r="EO45" s="57" t="n"/>
      <c r="EQ45" s="57" t="n"/>
      <c r="ES45" s="57" t="n"/>
      <c r="EW45" s="53" t="n"/>
    </row>
    <row r="46" ht="18.75" customHeight="1">
      <c r="A46" s="33" t="inlineStr">
        <is>
          <t>CAIXA M NATAL/25</t>
        </is>
      </c>
      <c r="B46" s="9" t="n">
        <v>100</v>
      </c>
      <c r="C46" s="668" t="n">
        <v>792.2</v>
      </c>
      <c r="D46" s="342" t="n"/>
      <c r="BD46" s="9" t="n">
        <v>50</v>
      </c>
      <c r="BE46" s="9" t="n">
        <v>31</v>
      </c>
      <c r="BF46" s="9" t="n">
        <v>-5</v>
      </c>
      <c r="BG46" s="9" t="n">
        <v>-10</v>
      </c>
      <c r="BH46" s="9" t="n">
        <v>-14</v>
      </c>
      <c r="BI46" s="9" t="n">
        <v>-20</v>
      </c>
      <c r="BJ46" s="9" t="n">
        <v>-27</v>
      </c>
      <c r="BK46" s="9" t="n">
        <v>24</v>
      </c>
      <c r="BL46" s="9" t="n">
        <v>21</v>
      </c>
      <c r="BM46" s="9" t="n">
        <v>21</v>
      </c>
      <c r="BN46" s="9" t="n">
        <v>21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/>
      <c r="BU46" s="9" t="n"/>
      <c r="BV46" s="9" t="n"/>
      <c r="BW46" s="9" t="n">
        <v>5</v>
      </c>
      <c r="BX46" s="9" t="n">
        <v>5</v>
      </c>
      <c r="BY46" s="9" t="n">
        <v>5</v>
      </c>
      <c r="BZ46" s="9" t="n">
        <v>5</v>
      </c>
      <c r="CA46" s="9" t="n">
        <v>5</v>
      </c>
      <c r="CB46" s="246">
        <f>BZ46+IF(NOT(ISBLANK(OFFSET(CB46,0,6))),N(OFFSET(CB46,0,6)),N(OFFSET(CB46,0,7)))-CA46</f>
        <v/>
      </c>
      <c r="CC46" s="53" t="n"/>
      <c r="CG46" s="53" t="n"/>
      <c r="CH46" s="6" t="n"/>
      <c r="CI46" s="6" t="n"/>
      <c r="CJ46" s="6" t="n"/>
      <c r="CL46" s="6" t="n"/>
      <c r="CM46" s="6" t="n"/>
      <c r="CN46" s="6" t="n"/>
      <c r="CO46" s="6" t="n"/>
      <c r="CP46" s="6" t="n"/>
      <c r="CQ46" s="6" t="n"/>
      <c r="CR46" s="57" t="n"/>
      <c r="CS46" s="57" t="n"/>
      <c r="CT46" s="57" t="n"/>
      <c r="CU46" s="57" t="n"/>
      <c r="CV46" s="57" t="n"/>
      <c r="CW46" s="57" t="n"/>
      <c r="CX46" s="57" t="n"/>
      <c r="CY46" s="57" t="n"/>
      <c r="CZ46" s="53" t="n"/>
      <c r="DA46" s="53" t="n"/>
      <c r="DB46" s="57" t="n"/>
      <c r="DC46" s="57" t="n"/>
      <c r="DD46" s="57" t="n"/>
      <c r="DE46" s="53" t="n"/>
      <c r="DF46" s="57" t="n"/>
      <c r="DG46" s="57" t="n"/>
      <c r="DH46" s="57" t="n"/>
      <c r="DI46" s="57" t="n"/>
      <c r="DJ46" s="57" t="n"/>
      <c r="DK46" s="57" t="n"/>
      <c r="DL46" s="57" t="n"/>
      <c r="DM46" s="57" t="n"/>
      <c r="DN46" s="61" t="n"/>
      <c r="DO46" s="57" t="n"/>
      <c r="DP46" s="360" t="n"/>
      <c r="DQ46" s="360" t="n"/>
      <c r="DR46" s="360" t="n"/>
      <c r="DS46" s="57" t="n"/>
      <c r="DT46" s="57" t="n"/>
      <c r="DU46" s="57" t="n"/>
      <c r="DV46" s="57" t="n"/>
      <c r="DW46" s="57" t="n"/>
      <c r="DX46" s="57" t="n"/>
      <c r="DY46" s="57" t="n"/>
      <c r="DZ46" s="289" t="n"/>
      <c r="EA46" s="57" t="n"/>
      <c r="EB46" s="53" t="n"/>
      <c r="EE46" s="57" t="n"/>
      <c r="EG46" s="289" t="n"/>
      <c r="EK46" s="289" t="n"/>
      <c r="EM46" s="289" t="n"/>
      <c r="EO46" s="57" t="n"/>
      <c r="EQ46" s="57" t="n"/>
      <c r="ES46" s="57" t="n"/>
      <c r="EW46" s="53" t="n"/>
    </row>
    <row r="47" ht="18.75" customHeight="1">
      <c r="A47" s="33" t="inlineStr">
        <is>
          <t>CAIXA G NATAL/25</t>
        </is>
      </c>
      <c r="B47" s="9" t="n">
        <v>50</v>
      </c>
      <c r="C47" s="668" t="n"/>
      <c r="D47" s="342" t="n"/>
      <c r="BD47" s="9" t="n">
        <v>8</v>
      </c>
      <c r="BE47" s="9" t="n">
        <v>8</v>
      </c>
      <c r="BF47" s="9" t="n">
        <v>8</v>
      </c>
      <c r="BG47" s="9" t="n">
        <v>8</v>
      </c>
      <c r="BH47" s="9" t="n">
        <v>8</v>
      </c>
      <c r="BI47" s="9" t="n">
        <v>8</v>
      </c>
      <c r="BJ47" s="9" t="n">
        <v>8</v>
      </c>
      <c r="BK47" s="9" t="n">
        <v>9</v>
      </c>
      <c r="BL47" s="9" t="n">
        <v>9</v>
      </c>
      <c r="BM47" s="9" t="n">
        <v>9</v>
      </c>
      <c r="BN47" s="9" t="n">
        <v>9</v>
      </c>
      <c r="BO47" s="9" t="n">
        <v>8</v>
      </c>
      <c r="BP47" s="9" t="n">
        <v>8</v>
      </c>
      <c r="BQ47" s="9" t="n">
        <v>8</v>
      </c>
      <c r="BR47" s="9" t="n">
        <v>1</v>
      </c>
      <c r="BS47" s="9" t="n">
        <v>1</v>
      </c>
      <c r="BT47" s="9" t="n"/>
      <c r="BU47" s="9" t="n"/>
      <c r="BV47" s="9" t="n"/>
      <c r="BW47" s="9" t="n">
        <v>9</v>
      </c>
      <c r="BX47" s="9" t="n">
        <v>9</v>
      </c>
      <c r="BY47" s="9" t="n">
        <v>9</v>
      </c>
      <c r="BZ47" s="9" t="n">
        <v>9</v>
      </c>
      <c r="CA47" s="9" t="n">
        <v>9</v>
      </c>
      <c r="CB47" s="246">
        <f>BZ47+IF(NOT(ISBLANK(OFFSET(CB47,0,6))),N(OFFSET(CB47,0,6)),N(OFFSET(CB47,0,7)))-CA47</f>
        <v/>
      </c>
      <c r="CC47" s="53" t="n"/>
      <c r="CG47" s="53" t="n"/>
      <c r="CH47" s="6" t="n"/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57" t="n"/>
      <c r="CS47" s="57" t="n"/>
      <c r="CT47" s="57" t="n"/>
      <c r="CU47" s="57" t="n"/>
      <c r="CV47" s="57" t="n"/>
      <c r="CW47" s="57" t="n"/>
      <c r="CX47" s="57" t="n"/>
      <c r="CY47" s="57" t="n"/>
      <c r="CZ47" s="53" t="n"/>
      <c r="DA47" s="53" t="n"/>
      <c r="DB47" s="57" t="n"/>
      <c r="DC47" s="57" t="n"/>
      <c r="DD47" s="57" t="n"/>
      <c r="DE47" s="53" t="n"/>
      <c r="DF47" s="57" t="n"/>
      <c r="DG47" s="57" t="n"/>
      <c r="DH47" s="57" t="n"/>
      <c r="DI47" s="57" t="n"/>
      <c r="DJ47" s="57" t="n"/>
      <c r="DK47" s="57" t="n"/>
      <c r="DL47" s="57" t="n"/>
      <c r="DM47" s="57" t="n"/>
      <c r="DN47" s="61" t="n"/>
      <c r="DO47" s="57" t="n"/>
      <c r="DP47" s="360" t="n"/>
      <c r="DQ47" s="360" t="n"/>
      <c r="DR47" s="360" t="n"/>
      <c r="DS47" s="57" t="n"/>
      <c r="DT47" s="57" t="n"/>
      <c r="DU47" s="57" t="n"/>
      <c r="DV47" s="57" t="n"/>
      <c r="DW47" s="57" t="n"/>
      <c r="DX47" s="57" t="n"/>
      <c r="DY47" s="57" t="n"/>
      <c r="DZ47" s="289" t="n"/>
      <c r="EA47" s="57" t="n"/>
      <c r="EB47" s="53" t="n"/>
      <c r="EE47" s="57" t="n"/>
      <c r="EG47" s="289" t="n"/>
      <c r="EK47" s="289" t="n"/>
      <c r="EM47" s="289" t="n"/>
      <c r="EO47" s="57" t="n"/>
      <c r="EQ47" s="57" t="n"/>
      <c r="ES47" s="57" t="n"/>
      <c r="EW47" s="53" t="n"/>
    </row>
    <row r="48" hidden="1" ht="18.75" customHeight="1">
      <c r="A48" s="33" t="inlineStr">
        <is>
          <t>CARTUCHO P NATAL/25</t>
        </is>
      </c>
      <c r="B48" s="9" t="n">
        <v>200</v>
      </c>
      <c r="C48" s="668" t="n">
        <v>487.2</v>
      </c>
      <c r="D48" s="342" t="n"/>
      <c r="BD48" s="9" t="n">
        <v>37</v>
      </c>
      <c r="BE48" s="9" t="n">
        <v>-7</v>
      </c>
      <c r="BF48" s="9" t="n">
        <v>-13</v>
      </c>
      <c r="BG48" s="9" t="n">
        <v>-13</v>
      </c>
      <c r="BH48" s="9" t="n">
        <v>-13</v>
      </c>
      <c r="BI48" s="9" t="n">
        <v>-13</v>
      </c>
      <c r="BJ48" s="9" t="n">
        <v>-13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246">
        <f>BZ48+IF(NOT(ISBLANK(OFFSET(CB48,0,6))),N(OFFSET(CB48,0,6)),N(OFFSET(CB48,0,7)))-CA48</f>
        <v/>
      </c>
      <c r="CC48" s="53" t="n"/>
      <c r="CG48" s="53" t="n"/>
      <c r="CH48" s="6" t="n"/>
      <c r="CI48" s="6" t="n"/>
      <c r="CJ48" s="6" t="n"/>
      <c r="CL48" s="6" t="n"/>
      <c r="CM48" s="6" t="n"/>
      <c r="CN48" s="6" t="n"/>
      <c r="CO48" s="6" t="n"/>
      <c r="CP48" s="6" t="n"/>
      <c r="CQ48" s="6" t="n"/>
      <c r="CR48" s="57" t="n"/>
      <c r="CS48" s="57" t="n"/>
      <c r="CT48" s="57" t="n"/>
      <c r="CU48" s="57" t="n"/>
      <c r="CV48" s="57" t="n"/>
      <c r="CW48" s="57" t="n"/>
      <c r="CX48" s="57" t="n"/>
      <c r="CY48" s="57" t="n"/>
      <c r="CZ48" s="53" t="n"/>
      <c r="DA48" s="53" t="n"/>
      <c r="DB48" s="57" t="n"/>
      <c r="DC48" s="57" t="n"/>
      <c r="DD48" s="57" t="n"/>
      <c r="DE48" s="53" t="n"/>
      <c r="DF48" s="57" t="n"/>
      <c r="DG48" s="57" t="n"/>
      <c r="DH48" s="57" t="n"/>
      <c r="DI48" s="57" t="n"/>
      <c r="DJ48" s="57" t="n"/>
      <c r="DK48" s="57" t="n"/>
      <c r="DL48" s="57" t="n"/>
      <c r="DM48" s="57" t="n"/>
      <c r="DN48" s="61" t="n"/>
      <c r="DO48" s="57" t="n"/>
      <c r="DP48" s="360" t="n"/>
      <c r="DQ48" s="360" t="n"/>
      <c r="DR48" s="360" t="n"/>
      <c r="DS48" s="57" t="n"/>
      <c r="DT48" s="57" t="n"/>
      <c r="DU48" s="57" t="n"/>
      <c r="DV48" s="57" t="n"/>
      <c r="DW48" s="57" t="n"/>
      <c r="DX48" s="57" t="n"/>
      <c r="DY48" s="57" t="n"/>
      <c r="DZ48" s="289" t="n"/>
      <c r="EA48" s="57" t="n"/>
      <c r="EB48" s="53" t="n"/>
      <c r="EE48" s="57" t="n"/>
      <c r="EG48" s="289" t="n"/>
      <c r="EK48" s="289" t="n"/>
      <c r="EM48" s="289" t="n"/>
      <c r="EO48" s="57" t="n"/>
      <c r="EQ48" s="57" t="n"/>
      <c r="ES48" s="57" t="n"/>
      <c r="EW48" s="53" t="n"/>
    </row>
    <row r="49" hidden="1" ht="18.75" customHeight="1">
      <c r="A49" s="33" t="inlineStr">
        <is>
          <t>CARTUCHO M NATAL/25</t>
        </is>
      </c>
      <c r="B49" s="9" t="n">
        <v>150</v>
      </c>
      <c r="C49" s="668" t="n">
        <v>460.35</v>
      </c>
      <c r="D49" s="342" t="n"/>
      <c r="BD49" s="9" t="n">
        <v>89</v>
      </c>
      <c r="BE49" s="9" t="n">
        <v>51</v>
      </c>
      <c r="BF49" s="9" t="n">
        <v>-26</v>
      </c>
      <c r="BG49" s="9" t="n">
        <v>-27</v>
      </c>
      <c r="BH49" s="9" t="n">
        <v>-27</v>
      </c>
      <c r="BI49" s="9" t="n">
        <v>-27</v>
      </c>
      <c r="BJ49" s="9" t="n">
        <v>-27</v>
      </c>
      <c r="BK49" s="9" t="n">
        <v>1</v>
      </c>
      <c r="BL49" s="9" t="n">
        <v>0</v>
      </c>
      <c r="BM49" s="9" t="n">
        <v>0</v>
      </c>
      <c r="BN49" s="9" t="n">
        <v>0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246">
        <f>BZ49+IF(NOT(ISBLANK(OFFSET(CB49,0,6))),N(OFFSET(CB49,0,6)),N(OFFSET(CB49,0,7)))-CA49</f>
        <v/>
      </c>
      <c r="CC49" s="53" t="n"/>
      <c r="CG49" s="53" t="n"/>
      <c r="CH49" s="6" t="n"/>
      <c r="CI49" s="6" t="n"/>
      <c r="CJ49" s="6" t="n"/>
      <c r="CL49" s="6" t="n"/>
      <c r="CM49" s="6" t="n"/>
      <c r="CN49" s="6" t="n"/>
      <c r="CO49" s="6" t="n"/>
      <c r="CP49" s="6" t="n"/>
      <c r="CQ49" s="6" t="n"/>
      <c r="CR49" s="57" t="n"/>
      <c r="CS49" s="57" t="n"/>
      <c r="CT49" s="57" t="n"/>
      <c r="CU49" s="57" t="n"/>
      <c r="CV49" s="57" t="n"/>
      <c r="CW49" s="57" t="n"/>
      <c r="CX49" s="57" t="n"/>
      <c r="CY49" s="57" t="n"/>
      <c r="CZ49" s="53" t="n"/>
      <c r="DA49" s="53" t="n"/>
      <c r="DB49" s="57" t="n"/>
      <c r="DC49" s="57" t="n"/>
      <c r="DD49" s="57" t="n"/>
      <c r="DE49" s="53" t="n"/>
      <c r="DF49" s="57" t="n"/>
      <c r="DG49" s="57" t="n"/>
      <c r="DH49" s="57" t="n"/>
      <c r="DI49" s="57" t="n"/>
      <c r="DJ49" s="57" t="n"/>
      <c r="DK49" s="57" t="n"/>
      <c r="DL49" s="57" t="n"/>
      <c r="DM49" s="57" t="n"/>
      <c r="DN49" s="61" t="n"/>
      <c r="DO49" s="57" t="n"/>
      <c r="DP49" s="360" t="n"/>
      <c r="DQ49" s="360" t="n"/>
      <c r="DR49" s="360" t="n"/>
      <c r="DS49" s="57" t="n"/>
      <c r="DT49" s="57" t="n"/>
      <c r="DU49" s="57" t="n"/>
      <c r="DV49" s="57" t="n"/>
      <c r="DW49" s="57" t="n"/>
      <c r="DX49" s="57" t="n"/>
      <c r="DY49" s="57" t="n"/>
      <c r="DZ49" s="289" t="n"/>
      <c r="EA49" s="57" t="n"/>
      <c r="EB49" s="53" t="n"/>
      <c r="EE49" s="57" t="n"/>
      <c r="EG49" s="289" t="n"/>
      <c r="EK49" s="289" t="n"/>
      <c r="EM49" s="289" t="n"/>
      <c r="EO49" s="57" t="n"/>
      <c r="EQ49" s="57" t="n"/>
      <c r="ES49" s="57" t="n"/>
      <c r="EW49" s="53" t="n"/>
    </row>
    <row r="50" hidden="1" ht="18.75" customHeight="1">
      <c r="A50" s="33" t="inlineStr">
        <is>
          <t>PIN NATAL/25</t>
        </is>
      </c>
      <c r="B50" s="9" t="n">
        <v>10</v>
      </c>
      <c r="C50" s="668" t="n">
        <v>120</v>
      </c>
      <c r="D50" s="342" t="n"/>
      <c r="BD50" s="9" t="n"/>
      <c r="BE50" s="9" t="n"/>
      <c r="BF50" s="9" t="n"/>
      <c r="BG50" s="9" t="n"/>
      <c r="BH50" s="9" t="n">
        <v>0</v>
      </c>
      <c r="BI50" s="9" t="n">
        <v>0</v>
      </c>
      <c r="BJ50" s="9" t="n">
        <v>0</v>
      </c>
      <c r="BK50" s="9" t="n">
        <v>0</v>
      </c>
      <c r="BL50" s="9" t="n">
        <v>0</v>
      </c>
      <c r="BM50" s="9" t="n">
        <v>0</v>
      </c>
      <c r="BN50" s="9" t="n">
        <v>0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246">
        <f>BZ50+IF(NOT(ISBLANK(OFFSET(CB50,0,6))),N(OFFSET(CB50,0,6)),N(OFFSET(CB50,0,7)))-CA50</f>
        <v/>
      </c>
      <c r="CC50" s="53" t="n"/>
      <c r="CG50" s="53" t="n"/>
      <c r="CH50" s="6" t="n"/>
      <c r="CI50" s="6" t="n"/>
      <c r="CJ50" s="6" t="n"/>
      <c r="CL50" s="6" t="n"/>
      <c r="CM50" s="6" t="n"/>
      <c r="CN50" s="6" t="n"/>
      <c r="CO50" s="6" t="n"/>
      <c r="CP50" s="6" t="n"/>
      <c r="CQ50" s="6" t="n"/>
      <c r="CR50" s="57" t="n"/>
      <c r="CS50" s="57" t="n"/>
      <c r="CT50" s="57" t="n"/>
      <c r="CU50" s="57" t="n"/>
      <c r="CV50" s="57" t="n"/>
      <c r="CW50" s="57" t="n"/>
      <c r="CX50" s="57" t="n"/>
      <c r="CY50" s="57" t="n"/>
      <c r="CZ50" s="53" t="n"/>
      <c r="DA50" s="53" t="n"/>
      <c r="DB50" s="57" t="n"/>
      <c r="DC50" s="57" t="n"/>
      <c r="DD50" s="57" t="n"/>
      <c r="DE50" s="53" t="n"/>
      <c r="DF50" s="57" t="n"/>
      <c r="DG50" s="57" t="n"/>
      <c r="DH50" s="57" t="n"/>
      <c r="DI50" s="57" t="n"/>
      <c r="DJ50" s="57" t="n"/>
      <c r="DK50" s="57" t="n"/>
      <c r="DL50" s="57" t="n"/>
      <c r="DM50" s="57" t="n"/>
      <c r="DN50" s="61" t="n"/>
      <c r="DO50" s="57" t="n"/>
      <c r="DP50" s="360" t="n"/>
      <c r="DQ50" s="360" t="n"/>
      <c r="DR50" s="360" t="n"/>
      <c r="DS50" s="57" t="n"/>
      <c r="DT50" s="57" t="n"/>
      <c r="DU50" s="57" t="n"/>
      <c r="DV50" s="57" t="n"/>
      <c r="DW50" s="57" t="n"/>
      <c r="DX50" s="57" t="n"/>
      <c r="DY50" s="57" t="n"/>
      <c r="DZ50" s="289" t="n"/>
      <c r="EA50" s="57" t="n"/>
      <c r="EB50" s="53" t="n"/>
      <c r="EE50" s="57" t="n"/>
      <c r="EG50" s="289" t="n"/>
      <c r="EK50" s="289" t="n"/>
      <c r="EM50" s="289" t="n"/>
      <c r="EO50" s="57" t="n"/>
      <c r="EQ50" s="57" t="n"/>
      <c r="ES50" s="57" t="n"/>
      <c r="EW50" s="53" t="n"/>
    </row>
    <row r="51" ht="18.75" customHeight="1">
      <c r="CC51" s="53" t="n"/>
      <c r="CG51" s="53" t="n"/>
      <c r="CH51" s="6" t="n"/>
      <c r="CI51" s="6" t="n"/>
      <c r="CJ51" s="6" t="n"/>
      <c r="CL51" s="6" t="n"/>
      <c r="CM51" s="6" t="n"/>
      <c r="CN51" s="6" t="n"/>
      <c r="CO51" s="6" t="n"/>
      <c r="CP51" s="6" t="n"/>
      <c r="CQ51" s="6" t="n"/>
      <c r="CR51" s="57" t="n"/>
      <c r="CS51" s="57" t="n"/>
      <c r="CT51" s="57" t="n"/>
      <c r="CU51" s="57" t="n"/>
      <c r="CV51" s="57" t="n"/>
      <c r="CW51" s="57" t="n"/>
      <c r="CX51" s="57" t="n"/>
      <c r="CY51" s="57" t="n"/>
      <c r="CZ51" s="53" t="n"/>
      <c r="DA51" s="53" t="n"/>
      <c r="DB51" s="57" t="n"/>
      <c r="DC51" s="57" t="n"/>
      <c r="DD51" s="57" t="n"/>
      <c r="DE51" s="53" t="n"/>
      <c r="DF51" s="57" t="n"/>
      <c r="DG51" s="57" t="n"/>
      <c r="DH51" s="57" t="n"/>
      <c r="DI51" s="57" t="n"/>
      <c r="DJ51" s="57" t="n"/>
      <c r="DK51" s="57" t="n"/>
      <c r="DL51" s="57" t="n"/>
      <c r="DM51" s="57" t="n"/>
      <c r="DN51" s="61" t="n"/>
      <c r="DO51" s="57" t="n"/>
      <c r="DP51" s="360" t="n"/>
      <c r="DQ51" s="360" t="n"/>
      <c r="DR51" s="360" t="n"/>
      <c r="DS51" s="57" t="n"/>
      <c r="DT51" s="57" t="n"/>
      <c r="DU51" s="57" t="n"/>
      <c r="DV51" s="57" t="n"/>
      <c r="DW51" s="57" t="n"/>
      <c r="DX51" s="57" t="n"/>
      <c r="DY51" s="57" t="n"/>
      <c r="DZ51" s="289" t="n"/>
      <c r="EA51" s="57" t="n"/>
      <c r="EB51" s="53" t="n"/>
      <c r="EE51" s="57" t="n"/>
      <c r="EG51" s="289" t="n"/>
      <c r="EK51" s="289" t="n"/>
      <c r="EM51" s="289" t="n"/>
      <c r="EO51" s="57" t="n"/>
      <c r="EQ51" s="57" t="n"/>
      <c r="ES51" s="57" t="n"/>
      <c r="EW51" s="53" t="n"/>
    </row>
    <row r="52" ht="21" customHeight="1">
      <c r="A52" s="320" t="inlineStr">
        <is>
          <t>SOBRAS DATAS COMEMORATIVAS</t>
        </is>
      </c>
      <c r="B52" s="320" t="n"/>
      <c r="C52" s="320" t="n"/>
      <c r="E52" s="53" t="n"/>
      <c r="F52" s="513" t="n"/>
      <c r="CA52" s="513" t="n"/>
      <c r="CB52" s="513" t="n"/>
      <c r="CL52" s="6" t="n"/>
      <c r="CN52" s="6" t="n"/>
      <c r="CP52" s="6" t="n"/>
      <c r="CQ52" s="6" t="n"/>
      <c r="CR52" s="61" t="n"/>
      <c r="CS52" s="61" t="n"/>
      <c r="CT52" s="61" t="n"/>
      <c r="CU52" s="61" t="n"/>
      <c r="CV52" s="61" t="n"/>
      <c r="CW52" s="61" t="n"/>
      <c r="CX52" s="61" t="n"/>
      <c r="CY52" s="61" t="n"/>
      <c r="CZ52" s="53" t="n"/>
      <c r="DA52" s="53" t="n"/>
      <c r="DB52" s="61" t="n"/>
      <c r="DC52" s="61" t="n"/>
      <c r="DD52" s="61" t="n"/>
      <c r="DE52" s="53" t="n"/>
      <c r="DF52" s="61" t="n"/>
      <c r="DG52" s="61" t="n"/>
      <c r="DH52" s="61" t="n"/>
      <c r="DI52" s="61" t="n"/>
      <c r="DJ52" s="61" t="n"/>
      <c r="DK52" s="61" t="n"/>
      <c r="DL52" s="61" t="n"/>
      <c r="DM52" s="61" t="n"/>
      <c r="DN52" s="61" t="n"/>
      <c r="DO52" s="61" t="n"/>
      <c r="DP52" s="360" t="n"/>
      <c r="DQ52" s="360" t="n"/>
      <c r="DR52" s="53" t="n"/>
      <c r="DS52" s="61" t="n"/>
      <c r="DT52" s="61" t="n"/>
      <c r="DU52" s="61" t="n"/>
      <c r="DV52" s="61" t="n"/>
      <c r="DW52" s="61" t="n"/>
      <c r="DX52" s="61" t="n"/>
      <c r="DY52" s="61" t="n"/>
      <c r="DZ52" s="289" t="n"/>
      <c r="EA52" s="61" t="n"/>
      <c r="EB52" s="6" t="n"/>
      <c r="EE52" s="61" t="n"/>
      <c r="EG52" s="289" t="n"/>
      <c r="EK52" s="289" t="n"/>
      <c r="EM52" s="289" t="n"/>
      <c r="EO52" s="61" t="n"/>
      <c r="EQ52" s="61" t="n"/>
      <c r="ES52" s="61" t="n"/>
      <c r="EW52" s="6" t="n"/>
      <c r="FS52" s="49" t="n"/>
      <c r="FZ52" s="57" t="n"/>
      <c r="GK52" s="57" t="n"/>
      <c r="GL52" s="166" t="n"/>
      <c r="GM52" s="60" t="n"/>
      <c r="GN52" s="167" t="n"/>
      <c r="GO52" s="167" t="n"/>
      <c r="GP52" s="167" t="n"/>
      <c r="GQ52" s="167" t="n"/>
      <c r="GR52" s="167" t="n"/>
      <c r="GS52" s="167" t="n"/>
      <c r="GT52" s="167" t="n"/>
      <c r="GU52" s="167" t="n"/>
      <c r="GV52" s="168" t="n"/>
      <c r="GW52" s="167" t="n"/>
      <c r="GX52" s="167" t="n"/>
      <c r="GY52" s="167" t="n"/>
      <c r="GZ52" s="167" t="n"/>
      <c r="HA52" s="167" t="n"/>
      <c r="HB52" s="167" t="n"/>
      <c r="HC52" s="167" t="n"/>
      <c r="HD52" s="167" t="n"/>
      <c r="HE52" s="167" t="n"/>
      <c r="HF52" s="167" t="n"/>
      <c r="HG52" s="167" t="n"/>
      <c r="HH52" s="167" t="n"/>
      <c r="HI52" s="167" t="n"/>
      <c r="HJ52" s="167" t="n"/>
      <c r="HK52" s="167" t="n"/>
      <c r="HL52" s="167" t="n"/>
      <c r="HM52" s="167" t="n"/>
      <c r="HN52" s="167" t="n"/>
      <c r="HO52" s="167" t="n"/>
      <c r="HP52" s="167" t="n"/>
      <c r="HQ52" s="167" t="n"/>
      <c r="HR52" s="167" t="n"/>
      <c r="HS52" s="167" t="n"/>
      <c r="HT52" s="167" t="n"/>
      <c r="HU52" s="167" t="n"/>
      <c r="HV52" s="167" t="n"/>
      <c r="HW52" s="167" t="n"/>
      <c r="HX52" s="167" t="n"/>
      <c r="HY52" s="167" t="n"/>
      <c r="HZ52" s="167" t="n"/>
      <c r="IA52" s="167" t="n"/>
      <c r="IB52" s="167" t="n"/>
      <c r="IC52" s="167" t="n"/>
      <c r="ID52" s="167" t="n"/>
      <c r="IE52" s="167" t="n"/>
      <c r="IF52" s="167" t="n"/>
      <c r="IG52" s="167" t="n"/>
      <c r="IH52" s="167" t="n"/>
      <c r="II52" s="167" t="n"/>
      <c r="IJ52" s="167" t="n"/>
      <c r="IK52" s="167" t="n"/>
      <c r="IL52" s="167" t="n"/>
      <c r="IM52" s="167" t="n"/>
      <c r="IN52" s="167" t="n"/>
      <c r="IO52" s="167" t="n"/>
      <c r="IP52" s="167" t="n"/>
      <c r="IQ52" s="167" t="n"/>
      <c r="IR52" s="167" t="n"/>
      <c r="IS52" s="167" t="n"/>
      <c r="IT52" s="167" t="n"/>
      <c r="IU52" s="167" t="n"/>
      <c r="IV52" s="167" t="n"/>
      <c r="IW52" s="167" t="n"/>
      <c r="IX52" s="167" t="n"/>
      <c r="IY52" s="167" t="n"/>
      <c r="IZ52" s="167" t="n"/>
      <c r="JA52" s="167" t="n"/>
      <c r="JB52" s="167" t="n"/>
      <c r="JC52" s="167" t="n"/>
      <c r="JD52" s="167" t="n"/>
      <c r="JE52" s="167" t="n"/>
      <c r="JF52" s="167" t="n"/>
      <c r="JG52" s="167" t="n"/>
      <c r="JH52" s="167" t="n"/>
      <c r="JI52" s="167" t="n"/>
      <c r="JJ52" s="167" t="n"/>
      <c r="JK52" s="167" t="n"/>
      <c r="JL52" s="167" t="n"/>
      <c r="JM52" s="167" t="n"/>
      <c r="JN52" s="167" t="n"/>
      <c r="JO52" s="167" t="n"/>
    </row>
    <row r="53">
      <c r="A53" s="146" t="inlineStr">
        <is>
          <t>ITENS</t>
        </is>
      </c>
      <c r="B53" s="146" t="n"/>
      <c r="C53" s="146" t="inlineStr">
        <is>
          <t>ESTOQUE</t>
        </is>
      </c>
      <c r="E53" s="53" t="n"/>
      <c r="CA53" s="513" t="n"/>
      <c r="CB53" s="513" t="n"/>
      <c r="CH53" s="6" t="n"/>
      <c r="CI53" s="6" t="n"/>
      <c r="CJ53" s="6" t="n"/>
      <c r="CL53" s="6" t="n"/>
      <c r="CM53" s="6" t="n"/>
      <c r="CN53" s="6" t="n"/>
      <c r="CO53" s="6" t="n"/>
      <c r="CP53" s="6" t="n"/>
      <c r="CQ53" s="6" t="n"/>
      <c r="CR53" s="61" t="n"/>
      <c r="CS53" s="61" t="n"/>
      <c r="CT53" s="61" t="n"/>
      <c r="CU53" s="61" t="n"/>
      <c r="CV53" s="61" t="n"/>
      <c r="CW53" s="61" t="n"/>
      <c r="CX53" s="61" t="n"/>
      <c r="CY53" s="61" t="n"/>
      <c r="CZ53" s="53" t="n"/>
      <c r="DA53" s="53" t="n"/>
      <c r="DB53" s="61" t="n"/>
      <c r="DC53" s="61" t="n"/>
      <c r="DD53" s="61" t="n"/>
      <c r="DE53" s="53" t="n"/>
      <c r="DF53" s="61" t="n"/>
      <c r="DG53" s="61" t="n"/>
      <c r="DH53" s="61" t="n"/>
      <c r="DI53" s="61" t="n"/>
      <c r="DJ53" s="61" t="n"/>
      <c r="DK53" s="61" t="n"/>
      <c r="DL53" s="61" t="n"/>
      <c r="DM53" s="61" t="n"/>
      <c r="DO53" s="61" t="n"/>
      <c r="DP53" s="53" t="n"/>
      <c r="DQ53" s="53" t="n"/>
      <c r="DR53" s="53" t="n"/>
      <c r="DS53" s="61" t="n"/>
      <c r="DT53" s="61" t="n"/>
      <c r="DU53" s="61" t="n"/>
      <c r="DV53" s="61" t="n"/>
      <c r="DW53" s="61" t="n"/>
      <c r="DX53" s="61" t="n"/>
      <c r="DY53" s="61" t="n"/>
      <c r="DZ53" s="289" t="n"/>
      <c r="EA53" s="61" t="n"/>
      <c r="EB53" s="6" t="n"/>
      <c r="EE53" s="61" t="n"/>
      <c r="EG53" s="289" t="n"/>
      <c r="EK53" s="289" t="n"/>
      <c r="EM53" s="289" t="n"/>
      <c r="EO53" s="61" t="n"/>
      <c r="EQ53" s="61" t="n"/>
      <c r="ES53" s="61" t="n"/>
      <c r="EW53" s="6" t="n"/>
      <c r="FS53" s="49" t="n"/>
      <c r="FZ53" s="61" t="n"/>
      <c r="GK53" s="57" t="n"/>
      <c r="GL53" s="166" t="n"/>
      <c r="GM53" s="60" t="n"/>
      <c r="GN53" s="167" t="n"/>
      <c r="GO53" s="167" t="n"/>
      <c r="GP53" s="167" t="n"/>
      <c r="GQ53" s="167" t="n"/>
      <c r="GR53" s="167" t="n"/>
      <c r="GS53" s="167" t="n"/>
      <c r="GT53" s="167" t="n"/>
      <c r="GU53" s="167" t="n"/>
      <c r="GV53" s="168" t="n"/>
      <c r="GW53" s="167" t="n"/>
      <c r="GX53" s="167" t="n"/>
      <c r="GY53" s="167" t="n"/>
      <c r="GZ53" s="167" t="n"/>
      <c r="HA53" s="167" t="n"/>
      <c r="HB53" s="167" t="n"/>
      <c r="HC53" s="167" t="n"/>
      <c r="HD53" s="167" t="n"/>
      <c r="HE53" s="167" t="n"/>
      <c r="HF53" s="167" t="n"/>
      <c r="HG53" s="167" t="n"/>
      <c r="HH53" s="167" t="n"/>
      <c r="HI53" s="167" t="n"/>
      <c r="HJ53" s="167" t="n"/>
      <c r="HK53" s="167" t="n"/>
      <c r="HL53" s="167" t="n"/>
      <c r="HM53" s="167" t="n"/>
      <c r="HN53" s="167" t="n"/>
      <c r="HO53" s="167" t="n"/>
      <c r="HP53" s="167" t="n"/>
      <c r="HQ53" s="167" t="n"/>
      <c r="HR53" s="167" t="n"/>
      <c r="HS53" s="167" t="n"/>
      <c r="HT53" s="167" t="n"/>
      <c r="HU53" s="167" t="n"/>
      <c r="HV53" s="167" t="n"/>
      <c r="HW53" s="167" t="n"/>
      <c r="HX53" s="167" t="n"/>
      <c r="HY53" s="167" t="n"/>
      <c r="HZ53" s="167" t="n"/>
      <c r="IA53" s="167" t="n"/>
      <c r="IB53" s="167" t="n"/>
      <c r="IC53" s="167" t="n"/>
      <c r="ID53" s="167" t="n"/>
      <c r="IE53" s="167" t="n"/>
      <c r="IF53" s="167" t="n"/>
      <c r="IG53" s="167" t="n"/>
      <c r="IH53" s="167" t="n"/>
      <c r="II53" s="167" t="n"/>
      <c r="IJ53" s="167" t="n"/>
      <c r="IK53" s="167" t="n"/>
      <c r="IL53" s="167" t="n"/>
      <c r="IM53" s="167" t="n"/>
      <c r="IN53" s="167" t="n"/>
      <c r="IO53" s="167" t="n"/>
      <c r="IP53" s="167" t="n"/>
      <c r="IQ53" s="167" t="n"/>
      <c r="IR53" s="167" t="n"/>
      <c r="IS53" s="167" t="n"/>
      <c r="IT53" s="167" t="n"/>
      <c r="IU53" s="167" t="n"/>
      <c r="IV53" s="167" t="n"/>
      <c r="IW53" s="167" t="n"/>
      <c r="IX53" s="167" t="n"/>
      <c r="IY53" s="167" t="n"/>
      <c r="IZ53" s="167" t="n"/>
      <c r="JA53" s="167" t="n"/>
      <c r="JB53" s="167" t="n"/>
      <c r="JC53" s="167" t="n"/>
      <c r="JD53" s="167" t="n"/>
      <c r="JE53" s="167" t="n"/>
      <c r="JF53" s="167" t="n"/>
      <c r="JG53" s="167" t="n"/>
      <c r="JH53" s="167" t="n"/>
      <c r="JI53" s="167" t="n"/>
      <c r="JJ53" s="167" t="n"/>
      <c r="JK53" s="167" t="n"/>
      <c r="JL53" s="167" t="n"/>
      <c r="JM53" s="167" t="n"/>
      <c r="JN53" s="167" t="n"/>
      <c r="JO53" s="167" t="n"/>
    </row>
    <row r="54">
      <c r="A54" s="163" t="n"/>
      <c r="B54" s="164" t="n"/>
      <c r="C54" s="165" t="n"/>
      <c r="CA54" s="513" t="n"/>
      <c r="CB54" s="513" t="n"/>
      <c r="CL54" s="6" t="n"/>
      <c r="CN54" s="6" t="n"/>
      <c r="CP54" s="6" t="n"/>
      <c r="CQ54" s="6" t="n"/>
      <c r="CZ54" s="53" t="n"/>
      <c r="DA54" s="53" t="n"/>
      <c r="DE54" s="53" t="n"/>
      <c r="DP54" s="53" t="n"/>
      <c r="DQ54" s="53" t="n"/>
      <c r="DR54" s="53" t="n"/>
      <c r="DZ54" s="289" t="n"/>
      <c r="EB54" s="58" t="n"/>
      <c r="EG54" s="289" t="n"/>
      <c r="EH54" s="57" t="n"/>
      <c r="EI54" s="57" t="n"/>
      <c r="EJ54" s="57" t="n"/>
      <c r="EK54" s="289" t="n"/>
      <c r="EL54" s="57" t="n"/>
      <c r="EM54" s="289" t="n"/>
      <c r="EN54" s="57" t="n"/>
      <c r="EP54" s="57" t="n"/>
      <c r="ER54" s="57" t="n"/>
      <c r="ET54" s="57" t="n"/>
      <c r="EU54" s="57" t="n"/>
      <c r="EV54" s="57" t="n"/>
      <c r="EW54" s="58" t="n"/>
      <c r="EX54" s="57" t="n"/>
      <c r="EY54" s="57" t="n"/>
      <c r="FS54" s="49" t="n"/>
      <c r="FZ54" s="61" t="n"/>
      <c r="GK54" s="57" t="n"/>
      <c r="GL54" s="166" t="n"/>
      <c r="GM54" s="60" t="n"/>
      <c r="GN54" s="167" t="n"/>
      <c r="GO54" s="167" t="n"/>
      <c r="GP54" s="167" t="n"/>
      <c r="GQ54" s="167" t="n"/>
      <c r="GR54" s="167" t="n"/>
      <c r="GS54" s="167" t="n"/>
      <c r="GT54" s="167" t="n"/>
      <c r="GU54" s="167" t="n"/>
      <c r="GV54" s="168" t="n"/>
      <c r="GW54" s="167" t="n"/>
      <c r="GX54" s="167" t="n"/>
      <c r="GY54" s="167" t="n"/>
      <c r="GZ54" s="167" t="n"/>
      <c r="HA54" s="167" t="n"/>
      <c r="HB54" s="167" t="n"/>
      <c r="HC54" s="167" t="n"/>
      <c r="HD54" s="167" t="n"/>
      <c r="HE54" s="167" t="n"/>
      <c r="HF54" s="167" t="n"/>
      <c r="HG54" s="167" t="n"/>
      <c r="HH54" s="167" t="n"/>
      <c r="HI54" s="167" t="n"/>
      <c r="HJ54" s="167" t="n"/>
      <c r="HK54" s="167" t="n"/>
      <c r="HL54" s="167" t="n"/>
      <c r="HM54" s="167" t="n"/>
      <c r="HN54" s="167" t="n"/>
      <c r="HO54" s="167" t="n"/>
      <c r="HP54" s="167" t="n"/>
      <c r="HQ54" s="167" t="n"/>
      <c r="HR54" s="167" t="n"/>
      <c r="HS54" s="167" t="n"/>
      <c r="HT54" s="167" t="n"/>
      <c r="HU54" s="167" t="n"/>
      <c r="HV54" s="167" t="n"/>
      <c r="HW54" s="167" t="n"/>
      <c r="HX54" s="167" t="n"/>
      <c r="HY54" s="167" t="n"/>
      <c r="HZ54" s="167" t="n"/>
      <c r="IA54" s="167" t="n"/>
      <c r="IB54" s="167" t="n"/>
      <c r="IC54" s="167" t="n"/>
      <c r="ID54" s="167" t="n"/>
      <c r="IE54" s="167" t="n"/>
      <c r="IF54" s="167" t="n"/>
      <c r="IG54" s="167" t="n"/>
      <c r="IH54" s="167" t="n"/>
      <c r="II54" s="167" t="n"/>
      <c r="IJ54" s="167" t="n"/>
      <c r="IK54" s="167" t="n"/>
      <c r="IL54" s="167" t="n"/>
      <c r="IM54" s="167" t="n"/>
      <c r="IN54" s="167" t="n"/>
      <c r="IO54" s="167" t="n"/>
      <c r="IP54" s="167" t="n"/>
      <c r="IQ54" s="167" t="n"/>
      <c r="IR54" s="167" t="n"/>
      <c r="IS54" s="167" t="n"/>
      <c r="IT54" s="167" t="n"/>
      <c r="IU54" s="167" t="n"/>
      <c r="IV54" s="167" t="n"/>
      <c r="IW54" s="167" t="n"/>
      <c r="IX54" s="167" t="n"/>
      <c r="IY54" s="167" t="n"/>
      <c r="IZ54" s="167" t="n"/>
      <c r="JA54" s="167" t="n"/>
      <c r="JB54" s="167" t="n"/>
      <c r="JC54" s="167" t="n"/>
      <c r="JD54" s="167" t="n"/>
      <c r="JE54" s="167" t="n"/>
      <c r="JF54" s="167" t="n"/>
      <c r="JG54" s="167" t="n"/>
      <c r="JH54" s="167" t="n"/>
      <c r="JI54" s="167" t="n"/>
      <c r="JJ54" s="167" t="n"/>
      <c r="JK54" s="167" t="n"/>
      <c r="JL54" s="167" t="n"/>
      <c r="JM54" s="167" t="n"/>
      <c r="JN54" s="167" t="n"/>
      <c r="JO54" s="167" t="n"/>
    </row>
    <row r="55">
      <c r="A55" s="169" t="n"/>
      <c r="B55" s="170" t="n"/>
      <c r="C55" s="171" t="n"/>
      <c r="CA55" s="513" t="n"/>
      <c r="CB55" s="513" t="n"/>
      <c r="CZ55" s="53" t="n"/>
      <c r="DA55" s="53" t="n"/>
      <c r="DE55" s="53" t="n"/>
      <c r="DP55" s="53" t="n"/>
      <c r="DQ55" s="53" t="n"/>
      <c r="DR55" s="53" t="n"/>
      <c r="DZ55" s="289" t="n"/>
      <c r="EB55" s="58" t="n"/>
      <c r="EG55" s="289" t="n"/>
      <c r="EH55" s="61" t="n"/>
      <c r="EI55" s="61" t="n"/>
      <c r="EJ55" s="61" t="n"/>
      <c r="EK55" s="289" t="n"/>
      <c r="EL55" s="61" t="n"/>
      <c r="EM55" s="289" t="n"/>
      <c r="EN55" s="61" t="n"/>
      <c r="EP55" s="61" t="n"/>
      <c r="ER55" s="61" t="n"/>
      <c r="ET55" s="61" t="n"/>
      <c r="EU55" s="61" t="n"/>
      <c r="EV55" s="61" t="n"/>
      <c r="EW55" s="58" t="n"/>
      <c r="EX55" s="61" t="n"/>
      <c r="EY55" s="61" t="n"/>
      <c r="FS55" s="49" t="n"/>
      <c r="FZ55" s="61" t="n"/>
      <c r="GK55" s="57" t="n"/>
      <c r="GL55" s="166" t="n"/>
      <c r="GM55" s="60" t="n"/>
      <c r="GN55" s="167" t="n"/>
      <c r="GO55" s="167" t="n"/>
      <c r="GP55" s="167" t="n"/>
      <c r="GQ55" s="167" t="n"/>
      <c r="GR55" s="167" t="n"/>
      <c r="GS55" s="167" t="n"/>
      <c r="GT55" s="167" t="n"/>
      <c r="GU55" s="167" t="n"/>
      <c r="GV55" s="168" t="n"/>
      <c r="GW55" s="167" t="n"/>
      <c r="GX55" s="167" t="n"/>
      <c r="GY55" s="167" t="n"/>
      <c r="GZ55" s="167" t="n"/>
      <c r="HA55" s="167" t="n"/>
      <c r="HB55" s="167" t="n"/>
      <c r="HC55" s="167" t="n"/>
      <c r="HD55" s="167" t="n"/>
      <c r="HE55" s="167" t="n"/>
      <c r="HF55" s="167" t="n"/>
      <c r="HG55" s="167" t="n"/>
      <c r="HH55" s="167" t="n"/>
      <c r="HI55" s="167" t="n"/>
      <c r="HJ55" s="167" t="n"/>
      <c r="HK55" s="167" t="n"/>
      <c r="HL55" s="167" t="n"/>
      <c r="HM55" s="167" t="n"/>
      <c r="HN55" s="167" t="n"/>
      <c r="HO55" s="167" t="n"/>
      <c r="HP55" s="167" t="n"/>
      <c r="HQ55" s="167" t="n"/>
      <c r="HR55" s="167" t="n"/>
      <c r="HS55" s="167" t="n"/>
      <c r="HT55" s="167" t="n"/>
      <c r="HU55" s="167" t="n"/>
      <c r="HV55" s="167" t="n"/>
      <c r="HW55" s="167" t="n"/>
      <c r="HX55" s="167" t="n"/>
      <c r="HY55" s="167" t="n"/>
      <c r="HZ55" s="167" t="n"/>
      <c r="IA55" s="167" t="n"/>
      <c r="IB55" s="167" t="n"/>
      <c r="IC55" s="167" t="n"/>
      <c r="ID55" s="167" t="n"/>
      <c r="IE55" s="167" t="n"/>
      <c r="IF55" s="167" t="n"/>
      <c r="IG55" s="167" t="n"/>
      <c r="IH55" s="167" t="n"/>
      <c r="II55" s="167" t="n"/>
      <c r="IJ55" s="167" t="n"/>
      <c r="IK55" s="167" t="n"/>
      <c r="IL55" s="167" t="n"/>
      <c r="IM55" s="167" t="n"/>
      <c r="IN55" s="167" t="n"/>
      <c r="IO55" s="167" t="n"/>
      <c r="IP55" s="167" t="n"/>
      <c r="IQ55" s="167" t="n"/>
      <c r="IR55" s="167" t="n"/>
      <c r="IS55" s="167" t="n"/>
      <c r="IT55" s="167" t="n"/>
      <c r="IU55" s="167" t="n"/>
      <c r="IV55" s="167" t="n"/>
      <c r="IW55" s="167" t="n"/>
      <c r="IX55" s="167" t="n"/>
      <c r="IY55" s="167" t="n"/>
      <c r="IZ55" s="167" t="n"/>
      <c r="JA55" s="167" t="n"/>
      <c r="JB55" s="167" t="n"/>
      <c r="JC55" s="167" t="n"/>
      <c r="JD55" s="167" t="n"/>
      <c r="JE55" s="167" t="n"/>
      <c r="JF55" s="167" t="n"/>
      <c r="JG55" s="167" t="n"/>
      <c r="JH55" s="167" t="n"/>
      <c r="JI55" s="167" t="n"/>
      <c r="JJ55" s="167" t="n"/>
      <c r="JK55" s="167" t="n"/>
      <c r="JL55" s="167" t="n"/>
      <c r="JM55" s="167" t="n"/>
      <c r="JN55" s="167" t="n"/>
      <c r="JO55" s="167" t="n"/>
    </row>
    <row r="56" customFormat="1" s="49">
      <c r="A56" s="338" t="n"/>
      <c r="B56" s="339" t="n"/>
      <c r="C56" s="339" t="n"/>
      <c r="CA56" s="513" t="n"/>
      <c r="CB56" s="513" t="n"/>
      <c r="CC56" s="53" t="n"/>
      <c r="CG56" s="53" t="n"/>
      <c r="CK56" s="51" t="n"/>
      <c r="CL56" s="6" t="n"/>
      <c r="CN56" s="6" t="n"/>
      <c r="CP56" s="6" t="n"/>
      <c r="CQ56" s="6" t="n"/>
      <c r="CZ56" s="6" t="n"/>
      <c r="DA56" s="6" t="n"/>
      <c r="DE56" s="6" t="n"/>
      <c r="DP56" s="53" t="n"/>
      <c r="DQ56" s="53" t="n"/>
      <c r="DR56" s="53" t="n"/>
      <c r="DZ56" s="289" t="n"/>
      <c r="EC56" s="57" t="n"/>
      <c r="ED56" s="57" t="n"/>
      <c r="EF56" s="57" t="n"/>
      <c r="EG56" s="289" t="n"/>
      <c r="EH56" s="61" t="n"/>
      <c r="EI56" s="61" t="n"/>
      <c r="EJ56" s="61" t="n"/>
      <c r="EK56" s="289" t="n"/>
      <c r="EL56" s="61" t="n"/>
      <c r="EM56" s="289" t="n"/>
      <c r="EN56" s="61" t="n"/>
      <c r="EP56" s="61" t="n"/>
      <c r="ER56" s="61" t="n"/>
      <c r="ET56" s="61" t="n"/>
      <c r="EU56" s="61" t="n"/>
      <c r="EV56" s="61" t="n"/>
      <c r="EX56" s="61" t="n"/>
      <c r="EY56" s="61" t="n"/>
      <c r="FA56" s="6" t="n"/>
      <c r="FB56" s="6" t="n"/>
      <c r="FC56" s="6" t="n"/>
      <c r="FD56" s="6" t="n"/>
      <c r="FE56" s="6" t="n"/>
      <c r="FF56" s="6" t="n"/>
      <c r="FG56" s="6" t="n"/>
      <c r="FH56" s="6" t="n"/>
      <c r="FI56" s="6" t="n"/>
      <c r="FJ56" s="6" t="n"/>
      <c r="FK56" s="6" t="n"/>
    </row>
    <row r="57" customFormat="1" s="49">
      <c r="A57" s="215" t="n"/>
      <c r="B57" s="170" t="n"/>
      <c r="C57" s="171" t="n"/>
      <c r="CC57" s="53" t="n"/>
      <c r="CG57" s="53" t="n"/>
      <c r="CK57" s="51" t="n"/>
      <c r="CZ57" s="58" t="n"/>
      <c r="DA57" s="58" t="n"/>
      <c r="DE57" s="58" t="n"/>
      <c r="DN57" s="6" t="n"/>
      <c r="DP57" s="53" t="n"/>
      <c r="DQ57" s="53" t="n"/>
      <c r="DR57" s="53" t="n"/>
      <c r="DZ57" s="289" t="n"/>
      <c r="EC57" s="61" t="n"/>
      <c r="ED57" s="61" t="n"/>
      <c r="EF57" s="61" t="n"/>
      <c r="EG57" s="289" t="n"/>
      <c r="EK57" s="289" t="n"/>
      <c r="EM57" s="289" t="n"/>
      <c r="FA57" s="6" t="n"/>
      <c r="FB57" s="6" t="n"/>
      <c r="FC57" s="6" t="n"/>
      <c r="FD57" s="6" t="n"/>
      <c r="FE57" s="6" t="n"/>
      <c r="FF57" s="6" t="n"/>
      <c r="FG57" s="6" t="n"/>
      <c r="FH57" s="6" t="n"/>
      <c r="FI57" s="6" t="n"/>
      <c r="FJ57" s="6" t="n"/>
      <c r="FK57" s="6" t="n"/>
    </row>
    <row r="58">
      <c r="E58" s="53" t="n"/>
      <c r="F58" s="53" t="n"/>
      <c r="G58" s="53" t="n"/>
      <c r="H58" s="53" t="n"/>
      <c r="I58" s="53" t="n"/>
      <c r="J58" s="53" t="n"/>
      <c r="K58" s="53" t="n"/>
      <c r="L58" s="53" t="n"/>
      <c r="M58" s="53" t="n"/>
      <c r="N58" s="53" t="n"/>
      <c r="O58" s="53" t="n"/>
      <c r="P58" s="53" t="n"/>
      <c r="Q58" s="53" t="n"/>
      <c r="R58" s="53" t="n"/>
      <c r="S58" s="53" t="n"/>
      <c r="T58" s="53" t="n"/>
      <c r="U58" s="53" t="n"/>
      <c r="V58" s="53" t="n"/>
      <c r="W58" s="53" t="n"/>
      <c r="X58" s="53" t="n"/>
      <c r="Y58" s="53" t="n"/>
      <c r="Z58" s="53" t="n"/>
      <c r="AA58" s="53" t="n"/>
      <c r="AB58" s="53" t="n"/>
      <c r="AC58" s="53" t="n"/>
      <c r="AD58" s="53" t="n"/>
      <c r="AE58" s="53" t="n"/>
      <c r="AF58" s="53" t="n"/>
      <c r="AG58" s="53" t="n"/>
      <c r="AH58" s="53" t="n"/>
      <c r="AI58" s="53" t="n"/>
      <c r="AJ58" s="53" t="n"/>
      <c r="AK58" s="53" t="n"/>
      <c r="AL58" s="53" t="n"/>
      <c r="AM58" s="53" t="n"/>
      <c r="AN58" s="53" t="n"/>
      <c r="AO58" s="53" t="n"/>
      <c r="AP58" s="53" t="n"/>
      <c r="AQ58" s="53" t="n"/>
      <c r="AR58" s="53" t="n"/>
      <c r="AS58" s="53" t="n"/>
      <c r="AT58" s="53" t="n"/>
      <c r="AU58" s="53" t="n"/>
      <c r="AV58" s="53" t="n"/>
      <c r="AW58" s="53" t="n"/>
      <c r="AX58" s="53" t="n"/>
      <c r="AY58" s="53" t="n"/>
      <c r="AZ58" s="53" t="n"/>
      <c r="BA58" s="53" t="n"/>
      <c r="BB58" s="53" t="n"/>
      <c r="BC58" s="53" t="n"/>
      <c r="BD58" s="53" t="n"/>
      <c r="BE58" s="53" t="n"/>
      <c r="CR58" s="6" t="n"/>
      <c r="CS58" s="6" t="n"/>
      <c r="CT58" s="6" t="n"/>
      <c r="CU58" s="6" t="n"/>
      <c r="CV58" s="6" t="n"/>
      <c r="CW58" s="6" t="n"/>
      <c r="CX58" s="6" t="n"/>
      <c r="CY58" s="6" t="n"/>
      <c r="CZ58" s="58" t="n"/>
      <c r="DA58" s="58" t="n"/>
      <c r="DB58" s="6" t="n"/>
      <c r="DC58" s="6" t="n"/>
      <c r="DD58" s="6" t="n"/>
      <c r="DE58" s="58" t="n"/>
      <c r="DF58" s="6" t="n"/>
      <c r="DG58" s="6" t="n"/>
      <c r="DH58" s="6" t="n"/>
      <c r="DI58" s="6" t="n"/>
      <c r="DJ58" s="6" t="n"/>
      <c r="DK58" s="6" t="n"/>
      <c r="DL58" s="6" t="n"/>
      <c r="DM58" s="6" t="n"/>
      <c r="DN58" s="6" t="n"/>
      <c r="DO58" s="6" t="n"/>
      <c r="DP58" s="53" t="n"/>
      <c r="DQ58" s="53" t="n"/>
      <c r="DR58" s="53" t="n"/>
      <c r="DS58" s="6" t="n"/>
      <c r="DT58" s="6" t="n"/>
      <c r="DU58" s="6" t="n"/>
      <c r="DV58" s="6" t="n"/>
      <c r="DW58" s="6" t="n"/>
      <c r="DX58" s="6" t="n"/>
      <c r="DY58" s="6" t="n"/>
      <c r="DZ58" s="289" t="n"/>
      <c r="EA58" s="6" t="n"/>
      <c r="EC58" s="61" t="n"/>
      <c r="EE58" s="6" t="n"/>
      <c r="EG58" s="289" t="n"/>
      <c r="EK58" s="289" t="n"/>
      <c r="EM58" s="289" t="n"/>
      <c r="EO58" s="6" t="n"/>
      <c r="EQ58" s="6" t="n"/>
      <c r="ES58" s="6" t="n"/>
    </row>
    <row r="59">
      <c r="E59" s="53" t="n"/>
      <c r="F59" s="53" t="n"/>
      <c r="G59" s="53" t="n"/>
      <c r="H59" s="53" t="n"/>
      <c r="I59" s="53" t="n"/>
      <c r="J59" s="53" t="n"/>
      <c r="K59" s="53" t="n"/>
      <c r="L59" s="53" t="n"/>
      <c r="M59" s="53" t="n"/>
      <c r="N59" s="53" t="n"/>
      <c r="O59" s="53" t="n"/>
      <c r="P59" s="53" t="n"/>
      <c r="Q59" s="53" t="n"/>
      <c r="R59" s="53" t="n"/>
      <c r="S59" s="53" t="n"/>
      <c r="T59" s="53" t="n"/>
      <c r="U59" s="53" t="n"/>
      <c r="V59" s="53" t="n"/>
      <c r="W59" s="53" t="n"/>
      <c r="X59" s="53" t="n"/>
      <c r="Y59" s="53" t="n"/>
      <c r="Z59" s="53" t="n"/>
      <c r="AA59" s="53" t="n"/>
      <c r="AB59" s="53" t="n"/>
      <c r="AC59" s="53" t="n"/>
      <c r="AD59" s="53" t="n"/>
      <c r="AE59" s="53" t="n"/>
      <c r="AF59" s="53" t="n"/>
      <c r="AG59" s="53" t="n"/>
      <c r="AH59" s="53" t="n"/>
      <c r="AI59" s="53" t="n"/>
      <c r="AJ59" s="53" t="n"/>
      <c r="AK59" s="53" t="n"/>
      <c r="AL59" s="53" t="n"/>
      <c r="AM59" s="53" t="n"/>
      <c r="AN59" s="53" t="n"/>
      <c r="AO59" s="53" t="n"/>
      <c r="AP59" s="53" t="n"/>
      <c r="AQ59" s="53" t="n"/>
      <c r="AR59" s="53" t="n"/>
      <c r="AS59" s="53" t="n"/>
      <c r="AT59" s="53" t="n"/>
      <c r="AU59" s="53" t="n"/>
      <c r="AV59" s="53" t="n"/>
      <c r="AW59" s="53" t="n"/>
      <c r="AX59" s="53" t="n"/>
      <c r="AY59" s="53" t="n"/>
      <c r="AZ59" s="53" t="n"/>
      <c r="BA59" s="53" t="n"/>
      <c r="BB59" s="53" t="n"/>
      <c r="BC59" s="53" t="n"/>
      <c r="BD59" s="53" t="n"/>
      <c r="BE59" s="53" t="n"/>
      <c r="BF59" s="53" t="n"/>
      <c r="BG59" s="53" t="n"/>
      <c r="BH59" s="53" t="n"/>
      <c r="BI59" s="53" t="n"/>
      <c r="BJ59" s="53" t="n"/>
      <c r="BK59" s="53" t="n"/>
      <c r="BL59" s="53" t="n"/>
      <c r="BM59" s="53" t="n"/>
      <c r="BN59" s="53" t="n"/>
      <c r="BO59" s="53" t="n"/>
      <c r="BP59" s="53" t="n"/>
      <c r="BQ59" s="53" t="n"/>
      <c r="BR59" s="53" t="n"/>
      <c r="BS59" s="53" t="n"/>
      <c r="BT59" s="53" t="n"/>
      <c r="BU59" s="53" t="n"/>
      <c r="BV59" s="53" t="n"/>
      <c r="BW59" s="53" t="n"/>
      <c r="BX59" s="53" t="n"/>
      <c r="BY59" s="53" t="n"/>
      <c r="BZ59" s="53" t="n"/>
      <c r="CA59" s="53" t="n"/>
      <c r="CD59" s="6" t="n"/>
      <c r="CL59" s="57" t="n"/>
      <c r="CN59" s="57" t="n"/>
      <c r="CP59" s="57" t="n"/>
      <c r="CQ59" s="57" t="n"/>
      <c r="CR59" s="6" t="n"/>
      <c r="CS59" s="6" t="n"/>
      <c r="CT59" s="6" t="n"/>
      <c r="CU59" s="6" t="n"/>
      <c r="CV59" s="6" t="n"/>
      <c r="CW59" s="6" t="n"/>
      <c r="CX59" s="6" t="n"/>
      <c r="CY59" s="6" t="n"/>
      <c r="DB59" s="6" t="n"/>
      <c r="DC59" s="6" t="n"/>
      <c r="DD59" s="6" t="n"/>
      <c r="DF59" s="6" t="n"/>
      <c r="DG59" s="6" t="n"/>
      <c r="DH59" s="6" t="n"/>
      <c r="DI59" s="6" t="n"/>
      <c r="DJ59" s="6" t="n"/>
      <c r="DK59" s="6" t="n"/>
      <c r="DL59" s="6" t="n"/>
      <c r="DM59" s="6" t="n"/>
      <c r="DN59" s="6" t="n"/>
      <c r="DO59" s="6" t="n"/>
      <c r="DP59" s="53" t="n"/>
      <c r="DQ59" s="53" t="n"/>
      <c r="DR59" s="53" t="n"/>
      <c r="DS59" s="6" t="n"/>
      <c r="DT59" s="6" t="n"/>
      <c r="DU59" s="6" t="n"/>
      <c r="DV59" s="6" t="n"/>
      <c r="DW59" s="6" t="n"/>
      <c r="DX59" s="6" t="n"/>
      <c r="DY59" s="6" t="n"/>
      <c r="DZ59" s="289" t="n"/>
      <c r="EA59" s="6" t="n"/>
      <c r="EE59" s="6" t="n"/>
      <c r="EG59" s="289" t="n"/>
      <c r="EK59" s="289" t="n"/>
      <c r="EM59" s="289" t="n"/>
      <c r="EO59" s="6" t="n"/>
      <c r="EQ59" s="6" t="n"/>
      <c r="ES59" s="6" t="n"/>
    </row>
    <row r="60">
      <c r="A60" s="699" t="inlineStr">
        <is>
          <t>FLACONETES</t>
        </is>
      </c>
      <c r="B60" s="658" t="n"/>
      <c r="C60" s="658" t="n"/>
      <c r="D60" s="670" t="n"/>
      <c r="F60" s="671" t="n">
        <v>45656</v>
      </c>
      <c r="G60" s="671" t="n">
        <v>45663</v>
      </c>
      <c r="H60" s="671" t="n">
        <v>45670</v>
      </c>
      <c r="I60" s="671" t="n">
        <v>45677</v>
      </c>
      <c r="J60" s="671" t="n">
        <v>45684</v>
      </c>
      <c r="K60" s="671" t="n">
        <v>45691</v>
      </c>
      <c r="L60" s="671" t="n">
        <v>45698</v>
      </c>
      <c r="M60" s="671" t="n">
        <v>45705</v>
      </c>
      <c r="N60" s="671" t="n">
        <v>45712</v>
      </c>
      <c r="O60" s="671" t="n">
        <v>45719</v>
      </c>
      <c r="P60" s="671" t="n">
        <v>45726</v>
      </c>
      <c r="Q60" s="671" t="n">
        <v>45733</v>
      </c>
      <c r="R60" s="671" t="n">
        <v>45740</v>
      </c>
      <c r="S60" s="671" t="n">
        <v>45747</v>
      </c>
      <c r="T60" s="671" t="n">
        <v>45754</v>
      </c>
      <c r="U60" s="671" t="n">
        <v>45761</v>
      </c>
      <c r="V60" s="671" t="n">
        <v>45768</v>
      </c>
      <c r="W60" s="671" t="n">
        <v>45775</v>
      </c>
      <c r="X60" s="671" t="n">
        <v>45782</v>
      </c>
      <c r="Y60" s="671" t="n">
        <v>45789</v>
      </c>
      <c r="Z60" s="671" t="n">
        <v>45796</v>
      </c>
      <c r="AA60" s="671" t="n">
        <v>45803</v>
      </c>
      <c r="AB60" s="671" t="n">
        <v>45810</v>
      </c>
      <c r="AC60" s="671" t="n">
        <v>45817</v>
      </c>
      <c r="AD60" s="671" t="n">
        <v>45824</v>
      </c>
      <c r="AE60" s="671" t="n">
        <v>45831</v>
      </c>
      <c r="AF60" s="671" t="n">
        <v>45838</v>
      </c>
      <c r="AG60" s="671" t="n">
        <v>45845</v>
      </c>
      <c r="AH60" s="671" t="n">
        <v>45852</v>
      </c>
      <c r="AI60" s="671" t="n">
        <v>45859</v>
      </c>
      <c r="AJ60" s="671" t="n">
        <v>45866</v>
      </c>
      <c r="AK60" s="671" t="n">
        <v>45873</v>
      </c>
      <c r="AL60" s="671" t="n">
        <v>45880</v>
      </c>
      <c r="AM60" s="671" t="n">
        <v>45887</v>
      </c>
      <c r="AN60" s="671" t="n">
        <v>45894</v>
      </c>
      <c r="AO60" s="671" t="n">
        <v>45901</v>
      </c>
      <c r="AP60" s="671" t="n">
        <v>45908</v>
      </c>
      <c r="AQ60" s="671" t="n">
        <v>45915</v>
      </c>
      <c r="AR60" s="671" t="n">
        <v>45922</v>
      </c>
      <c r="AS60" s="671" t="n">
        <v>45929</v>
      </c>
      <c r="AT60" s="671" t="n">
        <v>45936</v>
      </c>
      <c r="AU60" s="671" t="n">
        <v>45943</v>
      </c>
      <c r="AV60" s="671" t="n">
        <v>45950</v>
      </c>
      <c r="AW60" s="671" t="n">
        <v>45957</v>
      </c>
      <c r="AX60" s="671" t="n">
        <v>45964</v>
      </c>
      <c r="AY60" s="671" t="n">
        <v>45971</v>
      </c>
      <c r="AZ60" s="671" t="n">
        <v>45978</v>
      </c>
      <c r="BA60" s="671" t="n">
        <v>45985</v>
      </c>
      <c r="BB60" s="671" t="n">
        <v>45992</v>
      </c>
      <c r="BC60" s="671" t="n">
        <v>45999</v>
      </c>
      <c r="BD60" s="671" t="n">
        <v>46006</v>
      </c>
      <c r="BE60" s="671" t="n">
        <v>46013</v>
      </c>
      <c r="BF60" s="671" t="n">
        <v>46020</v>
      </c>
      <c r="BG60" s="671" t="n">
        <v>46027</v>
      </c>
      <c r="BH60" s="671" t="n">
        <v>46034</v>
      </c>
      <c r="BI60" s="671" t="n">
        <v>46041</v>
      </c>
      <c r="BJ60" s="671" t="n">
        <v>46048</v>
      </c>
      <c r="BK60" s="671" t="n">
        <v>46055</v>
      </c>
      <c r="BL60" s="671" t="n">
        <v>46062</v>
      </c>
      <c r="BM60" s="671" t="n">
        <v>46069</v>
      </c>
      <c r="BN60" s="671" t="n">
        <v>46076</v>
      </c>
      <c r="BO60" s="671" t="n">
        <v>46083</v>
      </c>
      <c r="BP60" s="671" t="n">
        <v>46090</v>
      </c>
      <c r="BQ60" s="671" t="n">
        <v>46097</v>
      </c>
      <c r="BR60" s="671" t="n">
        <v>46104</v>
      </c>
      <c r="BS60" s="671" t="n">
        <v>46111</v>
      </c>
      <c r="BT60" s="671" t="n">
        <v>46118</v>
      </c>
      <c r="BU60" s="671" t="n">
        <v>46125</v>
      </c>
      <c r="BV60" s="671" t="n">
        <v>46132</v>
      </c>
      <c r="BW60" s="671" t="n">
        <v>46139</v>
      </c>
      <c r="BX60" s="671" t="n">
        <v>46146</v>
      </c>
      <c r="BY60" s="671" t="n">
        <v>46154</v>
      </c>
      <c r="BZ60" s="671" t="n">
        <v>46160</v>
      </c>
      <c r="CA60" s="671" t="n">
        <v>46160</v>
      </c>
      <c r="CD60" s="6" t="n"/>
      <c r="CL60" s="57" t="n"/>
      <c r="CN60" s="57" t="n"/>
      <c r="CP60" s="57" t="n"/>
      <c r="CQ60" s="57" t="n"/>
      <c r="CR60" s="6" t="n"/>
      <c r="CS60" s="6" t="n"/>
      <c r="CT60" s="6" t="n"/>
      <c r="CU60" s="6" t="n"/>
      <c r="CV60" s="6" t="n"/>
      <c r="CW60" s="6" t="n"/>
      <c r="CX60" s="6" t="n"/>
      <c r="CY60" s="6" t="n"/>
      <c r="DB60" s="6" t="n"/>
      <c r="DC60" s="6" t="n"/>
      <c r="DD60" s="6" t="n"/>
      <c r="DF60" s="6" t="n"/>
      <c r="DG60" s="6" t="n"/>
      <c r="DH60" s="6" t="n"/>
      <c r="DI60" s="6" t="n"/>
      <c r="DJ60" s="6" t="n"/>
      <c r="DK60" s="6" t="n"/>
      <c r="DL60" s="6" t="n"/>
      <c r="DM60" s="6" t="n"/>
      <c r="DN60" s="6" t="n"/>
      <c r="DO60" s="6" t="n"/>
      <c r="DP60" s="53" t="n"/>
      <c r="DQ60" s="53" t="n"/>
      <c r="DR60" s="6" t="n"/>
      <c r="DS60" s="6" t="n"/>
      <c r="DT60" s="6" t="n"/>
      <c r="DU60" s="6" t="n"/>
      <c r="DV60" s="6" t="n"/>
      <c r="DW60" s="6" t="n"/>
      <c r="DX60" s="6" t="n"/>
      <c r="DY60" s="6" t="n"/>
      <c r="DZ60" s="289" t="n"/>
      <c r="EA60" s="6" t="n"/>
      <c r="EE60" s="6" t="n"/>
      <c r="EG60" s="289" t="n"/>
      <c r="EK60" s="289" t="n"/>
      <c r="EM60" s="289" t="n"/>
      <c r="EO60" s="6" t="n"/>
      <c r="EQ60" s="6" t="n"/>
      <c r="ES60" s="6" t="n"/>
    </row>
    <row r="61" ht="18.75" customHeight="1">
      <c r="A61" s="674" t="inlineStr">
        <is>
          <t xml:space="preserve">HER CODE </t>
        </is>
      </c>
      <c r="B61" s="658" t="n"/>
      <c r="C61" s="658" t="n"/>
      <c r="D61" s="670" t="n"/>
      <c r="F61" s="116" t="n">
        <v>155</v>
      </c>
      <c r="G61" s="116" t="n">
        <v>155</v>
      </c>
      <c r="H61" s="116" t="n">
        <v>155</v>
      </c>
      <c r="I61" s="116" t="n">
        <v>100</v>
      </c>
      <c r="J61" s="116" t="n">
        <v>87</v>
      </c>
      <c r="K61" s="116" t="n">
        <v>90</v>
      </c>
      <c r="L61" s="116" t="n">
        <v>90</v>
      </c>
      <c r="M61" s="116" t="n">
        <v>80</v>
      </c>
      <c r="N61" s="116" t="n">
        <v>60</v>
      </c>
      <c r="O61" s="116" t="n">
        <v>40</v>
      </c>
      <c r="P61" s="116" t="n">
        <v>40</v>
      </c>
      <c r="Q61" s="116" t="n">
        <v>40</v>
      </c>
      <c r="R61" s="116" t="n">
        <v>40</v>
      </c>
      <c r="S61" s="116" t="n">
        <v>40</v>
      </c>
      <c r="T61" s="116" t="n">
        <v>70</v>
      </c>
      <c r="U61" s="116" t="n">
        <v>0</v>
      </c>
      <c r="V61" s="116" t="n">
        <v>0</v>
      </c>
      <c r="W61" s="116" t="n">
        <v>0</v>
      </c>
      <c r="X61" s="116" t="n">
        <v>0</v>
      </c>
      <c r="Y61" s="116" t="n">
        <v>0</v>
      </c>
      <c r="Z61" s="116" t="n">
        <v>0</v>
      </c>
      <c r="AA61" s="116" t="n">
        <v>0</v>
      </c>
      <c r="AB61" s="116" t="n">
        <v>0</v>
      </c>
      <c r="AC61" s="116" t="n">
        <v>0</v>
      </c>
      <c r="AD61" s="116" t="n">
        <v>0</v>
      </c>
      <c r="AE61" s="116" t="n">
        <v>0</v>
      </c>
      <c r="AF61" s="116" t="n">
        <v>0</v>
      </c>
      <c r="AG61" s="116" t="n">
        <v>0</v>
      </c>
      <c r="AH61" s="116" t="n">
        <v>0</v>
      </c>
      <c r="AI61" s="116" t="n">
        <v>0</v>
      </c>
      <c r="AJ61" s="116" t="n">
        <v>0</v>
      </c>
      <c r="AK61" s="116" t="n">
        <v>0</v>
      </c>
      <c r="AL61" s="116" t="n">
        <v>0</v>
      </c>
      <c r="AM61" s="116" t="n">
        <v>0</v>
      </c>
      <c r="AN61" s="116" t="n">
        <v>0</v>
      </c>
      <c r="AO61" s="116" t="n">
        <v>0</v>
      </c>
      <c r="AP61" s="116" t="n">
        <v>0</v>
      </c>
      <c r="AQ61" s="116" t="n">
        <v>0</v>
      </c>
      <c r="AR61" s="116" t="n">
        <v>0</v>
      </c>
      <c r="AS61" s="116" t="n">
        <v>0</v>
      </c>
      <c r="AT61" s="116" t="n">
        <v>0</v>
      </c>
      <c r="AU61" s="116" t="n">
        <v>0</v>
      </c>
      <c r="AV61" s="116" t="n">
        <v>0</v>
      </c>
      <c r="AW61" s="116" t="n">
        <v>0</v>
      </c>
      <c r="AX61" s="116" t="n">
        <v>0</v>
      </c>
      <c r="AY61" s="116" t="n">
        <v>0</v>
      </c>
      <c r="AZ61" s="116" t="n">
        <v>0</v>
      </c>
      <c r="BA61" s="116" t="n">
        <v>0</v>
      </c>
      <c r="BB61" s="116" t="n">
        <v>0</v>
      </c>
      <c r="BC61" s="116" t="n">
        <v>0</v>
      </c>
      <c r="BD61" s="116" t="n">
        <v>0</v>
      </c>
      <c r="BE61" s="116" t="n">
        <v>0</v>
      </c>
      <c r="BF61" s="116" t="n">
        <v>0</v>
      </c>
      <c r="BG61" s="116" t="n">
        <v>0</v>
      </c>
      <c r="BH61" s="116" t="n">
        <v>0</v>
      </c>
      <c r="BI61" s="116" t="n">
        <v>0</v>
      </c>
      <c r="BJ61" s="116" t="n">
        <v>0</v>
      </c>
      <c r="BK61" s="116" t="n">
        <v>0</v>
      </c>
      <c r="BL61" s="116" t="n">
        <v>0</v>
      </c>
      <c r="BM61" s="116" t="n">
        <v>0</v>
      </c>
      <c r="BN61" s="116" t="n">
        <v>0</v>
      </c>
      <c r="BO61" s="116" t="n">
        <v>0</v>
      </c>
      <c r="BP61" s="116" t="n">
        <v>0</v>
      </c>
      <c r="BQ61" s="116" t="n">
        <v>0</v>
      </c>
      <c r="BR61" s="116" t="n">
        <v>0</v>
      </c>
      <c r="BS61" s="116" t="n">
        <v>0</v>
      </c>
      <c r="BT61" s="116" t="n">
        <v>0</v>
      </c>
      <c r="BU61" s="116" t="n">
        <v>0</v>
      </c>
      <c r="BV61" s="116" t="n">
        <v>0</v>
      </c>
      <c r="BW61" s="116" t="n">
        <v>0</v>
      </c>
      <c r="BX61" s="116" t="n">
        <v>0</v>
      </c>
      <c r="BY61" s="116" t="n">
        <v>0</v>
      </c>
      <c r="BZ61" s="116" t="n"/>
      <c r="CA61" s="116" t="n"/>
      <c r="CD61" s="6" t="n"/>
      <c r="CL61" s="57" t="n"/>
      <c r="CN61" s="57" t="n"/>
      <c r="CP61" s="57" t="n"/>
      <c r="CQ61" s="57" t="n"/>
      <c r="CR61" s="6" t="n"/>
      <c r="CS61" s="6" t="n"/>
      <c r="CT61" s="6" t="n"/>
      <c r="CU61" s="6" t="n"/>
      <c r="CV61" s="6" t="n"/>
      <c r="CW61" s="6" t="n"/>
      <c r="CX61" s="6" t="n"/>
      <c r="CY61" s="6" t="n"/>
      <c r="DB61" s="6" t="n"/>
      <c r="DC61" s="6" t="n"/>
      <c r="DD61" s="6" t="n"/>
      <c r="DF61" s="6" t="n"/>
      <c r="DG61" s="6" t="n"/>
      <c r="DH61" s="6" t="n"/>
      <c r="DI61" s="6" t="n"/>
      <c r="DJ61" s="6" t="n"/>
      <c r="DK61" s="6" t="n"/>
      <c r="DL61" s="6" t="n"/>
      <c r="DM61" s="6" t="n"/>
      <c r="DN61" s="6" t="n"/>
      <c r="DO61" s="6" t="n"/>
      <c r="DP61" s="6" t="n"/>
      <c r="DQ61" s="6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289" t="n"/>
      <c r="EA61" s="6" t="n"/>
      <c r="EE61" s="6" t="n"/>
      <c r="EG61" s="289" t="n"/>
      <c r="EH61" s="6" t="n"/>
      <c r="EI61" s="6" t="n"/>
      <c r="EJ61" s="6" t="n"/>
      <c r="EK61" s="289" t="n"/>
      <c r="EL61" s="6" t="n"/>
      <c r="EM61" s="289" t="n"/>
      <c r="EN61" s="6" t="n"/>
      <c r="EO61" s="6" t="n"/>
      <c r="EP61" s="6" t="n"/>
      <c r="EQ61" s="6" t="n"/>
      <c r="ER61" s="6" t="n"/>
      <c r="ES61" s="6" t="n"/>
      <c r="ET61" s="6" t="n"/>
      <c r="EU61" s="6" t="n"/>
      <c r="EV61" s="6" t="n"/>
      <c r="EX61" s="6" t="n"/>
      <c r="EY61" s="6" t="n"/>
    </row>
    <row r="62" customFormat="1" s="49">
      <c r="A62" s="674" t="inlineStr">
        <is>
          <t>MALBEC ICON</t>
        </is>
      </c>
      <c r="B62" s="658" t="n"/>
      <c r="C62" s="658" t="n"/>
      <c r="D62" s="670" t="n"/>
      <c r="E62" s="6" t="n"/>
      <c r="F62" s="116" t="n">
        <v>150</v>
      </c>
      <c r="G62" s="116" t="n">
        <v>150</v>
      </c>
      <c r="H62" s="116" t="n">
        <v>150</v>
      </c>
      <c r="I62" s="116" t="n">
        <v>150</v>
      </c>
      <c r="J62" s="116" t="n">
        <v>137</v>
      </c>
      <c r="K62" s="116" t="n">
        <v>150</v>
      </c>
      <c r="L62" s="116" t="n">
        <v>150</v>
      </c>
      <c r="M62" s="116" t="n">
        <v>145</v>
      </c>
      <c r="N62" s="116" t="n">
        <v>130</v>
      </c>
      <c r="O62" s="116" t="n">
        <v>110</v>
      </c>
      <c r="P62" s="116" t="n">
        <v>110</v>
      </c>
      <c r="Q62" s="116" t="n">
        <v>90</v>
      </c>
      <c r="R62" s="116" t="n">
        <v>70</v>
      </c>
      <c r="S62" s="116" t="n">
        <v>70</v>
      </c>
      <c r="T62" s="116" t="n">
        <v>0</v>
      </c>
      <c r="U62" s="116" t="n">
        <v>70</v>
      </c>
      <c r="V62" s="116" t="n">
        <v>70</v>
      </c>
      <c r="W62" s="116" t="n">
        <v>70</v>
      </c>
      <c r="X62" s="116" t="n">
        <v>70</v>
      </c>
      <c r="Y62" s="116" t="n">
        <v>50</v>
      </c>
      <c r="Z62" s="116" t="n">
        <v>50</v>
      </c>
      <c r="AA62" s="116" t="n">
        <v>50</v>
      </c>
      <c r="AB62" s="116" t="n">
        <v>50</v>
      </c>
      <c r="AC62" s="116" t="n">
        <v>45</v>
      </c>
      <c r="AD62" s="116" t="n">
        <v>30</v>
      </c>
      <c r="AE62" s="116" t="n">
        <v>10</v>
      </c>
      <c r="AF62" s="116" t="n">
        <v>10</v>
      </c>
      <c r="AG62" s="116" t="n">
        <v>10</v>
      </c>
      <c r="AH62" s="116" t="n">
        <v>5</v>
      </c>
      <c r="AI62" s="116" t="n">
        <v>5</v>
      </c>
      <c r="AJ62" s="116" t="n">
        <v>0</v>
      </c>
      <c r="AK62" s="116" t="n">
        <v>0</v>
      </c>
      <c r="AL62" s="116" t="n">
        <v>0</v>
      </c>
      <c r="AM62" s="116" t="n">
        <v>0</v>
      </c>
      <c r="AN62" s="116" t="n">
        <v>0</v>
      </c>
      <c r="AO62" s="116" t="n">
        <v>0</v>
      </c>
      <c r="AP62" s="116" t="n">
        <v>0</v>
      </c>
      <c r="AQ62" s="116" t="n">
        <v>30</v>
      </c>
      <c r="AR62" s="116" t="n">
        <v>30</v>
      </c>
      <c r="AS62" s="116" t="n">
        <v>30</v>
      </c>
      <c r="AT62" s="116" t="n">
        <v>0</v>
      </c>
      <c r="AU62" s="116" t="n">
        <v>0</v>
      </c>
      <c r="AV62" s="116" t="n">
        <v>0</v>
      </c>
      <c r="AW62" s="116" t="n">
        <v>0</v>
      </c>
      <c r="AX62" s="116" t="n">
        <v>0</v>
      </c>
      <c r="AY62" s="116" t="n">
        <v>0</v>
      </c>
      <c r="AZ62" s="116" t="n">
        <v>0</v>
      </c>
      <c r="BA62" s="116" t="n">
        <v>0</v>
      </c>
      <c r="BB62" s="116" t="n">
        <v>0</v>
      </c>
      <c r="BC62" s="116" t="n">
        <v>0</v>
      </c>
      <c r="BD62" s="116" t="n">
        <v>0</v>
      </c>
      <c r="BE62" s="116" t="n">
        <v>0</v>
      </c>
      <c r="BF62" s="116" t="n">
        <v>0</v>
      </c>
      <c r="BG62" s="116" t="n">
        <v>0</v>
      </c>
      <c r="BH62" s="116" t="n">
        <v>0</v>
      </c>
      <c r="BI62" s="116" t="n">
        <v>0</v>
      </c>
      <c r="BJ62" s="116" t="n">
        <v>0</v>
      </c>
      <c r="BK62" s="116" t="n">
        <v>0</v>
      </c>
      <c r="BL62" s="116" t="n">
        <v>0</v>
      </c>
      <c r="BM62" s="116" t="n">
        <v>0</v>
      </c>
      <c r="BN62" s="116" t="n">
        <v>0</v>
      </c>
      <c r="BO62" s="116" t="n">
        <v>0</v>
      </c>
      <c r="BP62" s="116" t="n">
        <v>0</v>
      </c>
      <c r="BQ62" s="116" t="n">
        <v>0</v>
      </c>
      <c r="BR62" s="116" t="n">
        <v>0</v>
      </c>
      <c r="BS62" s="116" t="n">
        <v>0</v>
      </c>
      <c r="BT62" s="116" t="n">
        <v>0</v>
      </c>
      <c r="BU62" s="116" t="n">
        <v>0</v>
      </c>
      <c r="BV62" s="116" t="n">
        <v>0</v>
      </c>
      <c r="BW62" s="116" t="n">
        <v>0</v>
      </c>
      <c r="BX62" s="116" t="n">
        <v>0</v>
      </c>
      <c r="BY62" s="116" t="n">
        <v>0</v>
      </c>
      <c r="BZ62" s="116" t="n"/>
      <c r="CA62" s="116" t="n"/>
      <c r="CC62" s="6" t="n"/>
      <c r="CD62" s="6" t="n"/>
      <c r="CG62" s="6" t="n"/>
      <c r="CK62" s="51" t="n"/>
      <c r="CR62" s="6" t="n"/>
      <c r="CS62" s="6" t="n"/>
      <c r="CT62" s="6" t="n"/>
      <c r="CU62" s="6" t="n"/>
      <c r="CV62" s="6" t="n"/>
      <c r="CW62" s="6" t="n"/>
      <c r="CX62" s="6" t="n"/>
      <c r="CY62" s="6" t="n"/>
      <c r="DB62" s="6" t="n"/>
      <c r="DC62" s="6" t="n"/>
      <c r="DD62" s="6" t="n"/>
      <c r="DF62" s="6" t="n"/>
      <c r="DG62" s="6" t="n"/>
      <c r="DH62" s="6" t="n"/>
      <c r="DI62" s="6" t="n"/>
      <c r="DJ62" s="6" t="n"/>
      <c r="DK62" s="6" t="n"/>
      <c r="DL62" s="6" t="n"/>
      <c r="DM62" s="6" t="n"/>
      <c r="DN62" s="6" t="n"/>
      <c r="DO62" s="6" t="n"/>
      <c r="DP62" s="6" t="n"/>
      <c r="DQ62" s="6" t="n"/>
      <c r="DR62" s="58" t="n"/>
      <c r="DS62" s="6" t="n"/>
      <c r="DT62" s="6" t="n"/>
      <c r="DU62" s="6" t="n"/>
      <c r="DV62" s="6" t="n"/>
      <c r="DW62" s="6" t="n"/>
      <c r="DX62" s="6" t="n"/>
      <c r="DY62" s="6" t="n"/>
      <c r="DZ62" s="289" t="n"/>
      <c r="EA62" s="6" t="n"/>
      <c r="EB62" s="6" t="n"/>
      <c r="EC62" s="6" t="n"/>
      <c r="ED62" s="6" t="n"/>
      <c r="EE62" s="6" t="n"/>
      <c r="EF62" s="6" t="n"/>
      <c r="EG62" s="289" t="n"/>
      <c r="EH62" s="6" t="n"/>
      <c r="EI62" s="6" t="n"/>
      <c r="EJ62" s="6" t="n"/>
      <c r="EK62" s="289" t="n"/>
      <c r="EL62" s="6" t="n"/>
      <c r="EM62" s="289" t="n"/>
      <c r="EN62" s="6" t="n"/>
      <c r="EO62" s="6" t="n"/>
      <c r="EP62" s="6" t="n"/>
      <c r="EQ62" s="6" t="n"/>
      <c r="ER62" s="6" t="n"/>
      <c r="ES62" s="6" t="n"/>
      <c r="ET62" s="6" t="n"/>
      <c r="EU62" s="6" t="n"/>
      <c r="EV62" s="6" t="n"/>
      <c r="EW62" s="6" t="n"/>
      <c r="EX62" s="6" t="n"/>
      <c r="EY62" s="6" t="n"/>
      <c r="FA62" s="6" t="n"/>
      <c r="FB62" s="6" t="n"/>
      <c r="FC62" s="6" t="n"/>
      <c r="FD62" s="6" t="n"/>
      <c r="FE62" s="6" t="n"/>
      <c r="FF62" s="6" t="n"/>
      <c r="FG62" s="6" t="n"/>
      <c r="FH62" s="6" t="n"/>
      <c r="FI62" s="6" t="n"/>
      <c r="FJ62" s="6" t="n"/>
      <c r="FK62" s="6" t="n"/>
    </row>
    <row r="63" ht="18.75" customHeight="1">
      <c r="A63" s="674" t="inlineStr">
        <is>
          <t>FLORATTA RED PASSION</t>
        </is>
      </c>
      <c r="B63" s="658" t="n"/>
      <c r="C63" s="658" t="n"/>
      <c r="D63" s="670" t="n"/>
      <c r="F63" s="116" t="n"/>
      <c r="G63" s="116" t="n">
        <v>0</v>
      </c>
      <c r="H63" s="116" t="n">
        <v>40</v>
      </c>
      <c r="I63" s="116" t="n">
        <v>40</v>
      </c>
      <c r="J63" s="116" t="n">
        <v>35</v>
      </c>
      <c r="K63" s="116" t="n">
        <v>15</v>
      </c>
      <c r="L63" s="116" t="n">
        <v>15</v>
      </c>
      <c r="M63" s="116" t="n">
        <v>15</v>
      </c>
      <c r="N63" s="116" t="n">
        <v>0</v>
      </c>
      <c r="O63" s="116" t="n">
        <v>0</v>
      </c>
      <c r="P63" s="116" t="n">
        <v>0</v>
      </c>
      <c r="Q63" s="116" t="n">
        <v>0</v>
      </c>
      <c r="R63" s="116" t="n">
        <v>0</v>
      </c>
      <c r="S63" s="116" t="n">
        <v>0</v>
      </c>
      <c r="T63" s="116" t="n">
        <v>0</v>
      </c>
      <c r="U63" s="116" t="n"/>
      <c r="V63" s="116" t="n"/>
      <c r="W63" s="116" t="n"/>
      <c r="X63" s="116" t="n"/>
      <c r="Y63" s="116" t="n"/>
      <c r="Z63" s="116" t="n"/>
      <c r="AA63" s="116" t="n"/>
      <c r="AB63" s="116" t="n"/>
      <c r="AC63" s="116" t="n"/>
      <c r="AD63" s="116" t="n"/>
      <c r="AE63" s="116" t="n"/>
      <c r="AF63" s="116" t="n"/>
      <c r="AG63" s="116" t="n"/>
      <c r="AH63" s="116" t="n"/>
      <c r="AI63" s="116" t="n"/>
      <c r="AJ63" s="116" t="n"/>
      <c r="AK63" s="116" t="n"/>
      <c r="AL63" s="116" t="n"/>
      <c r="AM63" s="116" t="n"/>
      <c r="AN63" s="116" t="n"/>
      <c r="AO63" s="116" t="n"/>
      <c r="AP63" s="116" t="n">
        <v>0</v>
      </c>
      <c r="AQ63" s="116" t="n">
        <v>0</v>
      </c>
      <c r="AR63" s="116" t="n">
        <v>0</v>
      </c>
      <c r="AS63" s="116" t="n">
        <v>0</v>
      </c>
      <c r="AT63" s="116" t="n">
        <v>0</v>
      </c>
      <c r="AU63" s="116" t="n">
        <v>0</v>
      </c>
      <c r="AV63" s="116" t="n">
        <v>0</v>
      </c>
      <c r="AW63" s="116" t="n">
        <v>0</v>
      </c>
      <c r="AX63" s="116" t="n">
        <v>0</v>
      </c>
      <c r="AY63" s="116" t="n">
        <v>0</v>
      </c>
      <c r="AZ63" s="116" t="n">
        <v>0</v>
      </c>
      <c r="BA63" s="116" t="n">
        <v>0</v>
      </c>
      <c r="BB63" s="116" t="n">
        <v>0</v>
      </c>
      <c r="BC63" s="116" t="n">
        <v>0</v>
      </c>
      <c r="BD63" s="116" t="n">
        <v>0</v>
      </c>
      <c r="BE63" s="116" t="n">
        <v>0</v>
      </c>
      <c r="BF63" s="116" t="n">
        <v>0</v>
      </c>
      <c r="BG63" s="116" t="n">
        <v>0</v>
      </c>
      <c r="BH63" s="116" t="n">
        <v>0</v>
      </c>
      <c r="BI63" s="116" t="n">
        <v>0</v>
      </c>
      <c r="BJ63" s="116" t="n">
        <v>0</v>
      </c>
      <c r="BK63" s="116" t="n">
        <v>0</v>
      </c>
      <c r="BL63" s="116" t="n">
        <v>0</v>
      </c>
      <c r="BM63" s="116" t="n">
        <v>0</v>
      </c>
      <c r="BN63" s="116" t="n">
        <v>0</v>
      </c>
      <c r="BO63" s="116" t="n">
        <v>0</v>
      </c>
      <c r="BP63" s="116" t="n">
        <v>0</v>
      </c>
      <c r="BQ63" s="116" t="n">
        <v>0</v>
      </c>
      <c r="BR63" s="116" t="n">
        <v>0</v>
      </c>
      <c r="BS63" s="116" t="n">
        <v>0</v>
      </c>
      <c r="BT63" s="116" t="n">
        <v>0</v>
      </c>
      <c r="BU63" s="116" t="n">
        <v>0</v>
      </c>
      <c r="BV63" s="116" t="n">
        <v>0</v>
      </c>
      <c r="BW63" s="116" t="n">
        <v>0</v>
      </c>
      <c r="BX63" s="116" t="n">
        <v>0</v>
      </c>
      <c r="BY63" s="116" t="n">
        <v>0</v>
      </c>
      <c r="BZ63" s="116" t="n"/>
      <c r="CA63" s="116" t="n"/>
      <c r="CB63" s="112" t="n"/>
      <c r="CD63" s="6" t="n"/>
      <c r="CR63" s="6" t="n"/>
      <c r="CS63" s="6" t="n"/>
      <c r="CT63" s="6" t="n"/>
      <c r="CU63" s="6" t="n"/>
      <c r="CV63" s="6" t="n"/>
      <c r="CW63" s="6" t="n"/>
      <c r="CX63" s="6" t="n"/>
      <c r="CY63" s="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L63" s="6" t="n"/>
      <c r="DM63" s="6" t="n"/>
      <c r="DN63" s="6" t="n"/>
      <c r="DO63" s="6" t="n"/>
      <c r="DP63" s="58" t="n"/>
      <c r="DQ63" s="58" t="n"/>
      <c r="DR63" s="58" t="n"/>
      <c r="DS63" s="6" t="n"/>
      <c r="DT63" s="6" t="n"/>
      <c r="DU63" s="6" t="n"/>
      <c r="DV63" s="6" t="n"/>
      <c r="DW63" s="6" t="n"/>
      <c r="DX63" s="6" t="n"/>
      <c r="DY63" s="6" t="n"/>
      <c r="DZ63" s="289" t="n"/>
      <c r="EA63" s="6" t="n"/>
      <c r="EB63" s="6" t="n"/>
      <c r="EC63" s="6" t="n"/>
      <c r="ED63" s="6" t="n"/>
      <c r="EE63" s="6" t="n"/>
      <c r="EF63" s="6" t="n"/>
      <c r="EG63" s="289" t="n"/>
      <c r="EH63" s="6" t="n"/>
      <c r="EI63" s="6" t="n"/>
      <c r="EJ63" s="6" t="n"/>
      <c r="EK63" s="289" t="n"/>
      <c r="EL63" s="6" t="n"/>
      <c r="EM63" s="289" t="n"/>
      <c r="EN63" s="6" t="n"/>
      <c r="EO63" s="6" t="n"/>
      <c r="EP63" s="6" t="n"/>
      <c r="EQ63" s="6" t="n"/>
      <c r="ER63" s="6" t="n"/>
      <c r="ES63" s="6" t="n"/>
      <c r="ET63" s="6" t="n"/>
      <c r="EU63" s="6" t="n"/>
      <c r="EV63" s="6" t="n"/>
      <c r="EW63" s="6" t="n"/>
      <c r="EX63" s="6" t="n"/>
      <c r="EY63" s="6" t="n"/>
    </row>
    <row r="64">
      <c r="A64" s="674" t="inlineStr">
        <is>
          <t>CBEM HIDR. DOCURA NA PESSEGURA</t>
        </is>
      </c>
      <c r="B64" s="658" t="n"/>
      <c r="C64" s="658" t="n"/>
      <c r="D64" s="670" t="n"/>
      <c r="F64" s="116" t="n"/>
      <c r="G64" s="116" t="n"/>
      <c r="H64" s="116" t="n"/>
      <c r="I64" s="116" t="n"/>
      <c r="J64" s="116" t="n">
        <v>0</v>
      </c>
      <c r="K64" s="116" t="n">
        <v>115</v>
      </c>
      <c r="L64" s="116" t="n">
        <v>115</v>
      </c>
      <c r="M64" s="116" t="n">
        <v>104</v>
      </c>
      <c r="N64" s="116" t="n">
        <v>100</v>
      </c>
      <c r="O64" s="116" t="n">
        <v>80</v>
      </c>
      <c r="P64" s="116" t="n">
        <v>80</v>
      </c>
      <c r="Q64" s="116" t="n">
        <v>70</v>
      </c>
      <c r="R64" s="116" t="n">
        <v>70</v>
      </c>
      <c r="S64" s="116" t="n">
        <v>70</v>
      </c>
      <c r="T64" s="116" t="n">
        <v>80</v>
      </c>
      <c r="U64" s="116" t="n">
        <v>18</v>
      </c>
      <c r="V64" s="116" t="n">
        <v>0</v>
      </c>
      <c r="W64" s="116" t="n">
        <v>0</v>
      </c>
      <c r="X64" s="116" t="n">
        <v>0</v>
      </c>
      <c r="Y64" s="116" t="n">
        <v>0</v>
      </c>
      <c r="Z64" s="116" t="n">
        <v>0</v>
      </c>
      <c r="AA64" s="116" t="n">
        <v>0</v>
      </c>
      <c r="AB64" s="116" t="n">
        <v>0</v>
      </c>
      <c r="AC64" s="116" t="n">
        <v>0</v>
      </c>
      <c r="AD64" s="116" t="n">
        <v>0</v>
      </c>
      <c r="AE64" s="116" t="n">
        <v>0</v>
      </c>
      <c r="AF64" s="116" t="n">
        <v>0</v>
      </c>
      <c r="AG64" s="116" t="n">
        <v>0</v>
      </c>
      <c r="AH64" s="116" t="n">
        <v>0</v>
      </c>
      <c r="AI64" s="116" t="n">
        <v>0</v>
      </c>
      <c r="AJ64" s="116" t="n">
        <v>0</v>
      </c>
      <c r="AK64" s="116" t="n">
        <v>0</v>
      </c>
      <c r="AL64" s="116" t="n">
        <v>0</v>
      </c>
      <c r="AM64" s="116" t="n">
        <v>0</v>
      </c>
      <c r="AN64" s="116" t="n">
        <v>0</v>
      </c>
      <c r="AO64" s="116" t="n">
        <v>0</v>
      </c>
      <c r="AP64" s="116" t="n">
        <v>0</v>
      </c>
      <c r="AQ64" s="116" t="n">
        <v>0</v>
      </c>
      <c r="AR64" s="116" t="n">
        <v>0</v>
      </c>
      <c r="AS64" s="116" t="n">
        <v>0</v>
      </c>
      <c r="AT64" s="116" t="n">
        <v>0</v>
      </c>
      <c r="AU64" s="116" t="n">
        <v>0</v>
      </c>
      <c r="AV64" s="116" t="n">
        <v>0</v>
      </c>
      <c r="AW64" s="116" t="n">
        <v>0</v>
      </c>
      <c r="AX64" s="116" t="n">
        <v>0</v>
      </c>
      <c r="AY64" s="116" t="n">
        <v>0</v>
      </c>
      <c r="AZ64" s="116" t="n">
        <v>0</v>
      </c>
      <c r="BA64" s="116" t="n">
        <v>0</v>
      </c>
      <c r="BB64" s="116" t="n">
        <v>0</v>
      </c>
      <c r="BC64" s="116" t="n">
        <v>0</v>
      </c>
      <c r="BD64" s="116" t="n">
        <v>0</v>
      </c>
      <c r="BE64" s="116" t="n">
        <v>0</v>
      </c>
      <c r="BF64" s="116" t="n">
        <v>0</v>
      </c>
      <c r="BG64" s="116" t="n">
        <v>0</v>
      </c>
      <c r="BH64" s="116" t="n">
        <v>0</v>
      </c>
      <c r="BI64" s="116" t="n">
        <v>0</v>
      </c>
      <c r="BJ64" s="116" t="n">
        <v>0</v>
      </c>
      <c r="BK64" s="116" t="n">
        <v>0</v>
      </c>
      <c r="BL64" s="116" t="n">
        <v>0</v>
      </c>
      <c r="BM64" s="116" t="n">
        <v>0</v>
      </c>
      <c r="BN64" s="116" t="n">
        <v>0</v>
      </c>
      <c r="BO64" s="116" t="n">
        <v>0</v>
      </c>
      <c r="BP64" s="116" t="n">
        <v>0</v>
      </c>
      <c r="BQ64" s="116" t="n">
        <v>0</v>
      </c>
      <c r="BR64" s="116" t="n">
        <v>0</v>
      </c>
      <c r="BS64" s="116" t="n">
        <v>0</v>
      </c>
      <c r="BT64" s="116" t="n">
        <v>0</v>
      </c>
      <c r="BU64" s="116" t="n">
        <v>0</v>
      </c>
      <c r="BV64" s="116" t="n">
        <v>0</v>
      </c>
      <c r="BW64" s="116" t="n">
        <v>0</v>
      </c>
      <c r="BX64" s="116" t="n">
        <v>0</v>
      </c>
      <c r="BY64" s="116" t="n">
        <v>0</v>
      </c>
      <c r="BZ64" s="116" t="n"/>
      <c r="CA64" s="116" t="n"/>
      <c r="CD64" s="6" t="n"/>
      <c r="CR64" s="6" t="n"/>
      <c r="CS64" s="6" t="n"/>
      <c r="CT64" s="6" t="n"/>
      <c r="CU64" s="6" t="n"/>
      <c r="CV64" s="6" t="n"/>
      <c r="CW64" s="6" t="n"/>
      <c r="CX64" s="6" t="n"/>
      <c r="CY64" s="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58" t="n"/>
      <c r="DQ64" s="58" t="n"/>
      <c r="DR64" s="58" t="n"/>
      <c r="DS64" s="6" t="n"/>
      <c r="DT64" s="6" t="n"/>
      <c r="DU64" s="6" t="n"/>
      <c r="DV64" s="6" t="n"/>
      <c r="DW64" s="6" t="n"/>
      <c r="DX64" s="6" t="n"/>
      <c r="DY64" s="6" t="n"/>
      <c r="DZ64" s="289" t="n"/>
      <c r="EA64" s="6" t="n"/>
      <c r="EB64" s="6" t="n"/>
      <c r="EC64" s="6" t="n"/>
      <c r="ED64" s="6" t="n"/>
      <c r="EE64" s="6" t="n"/>
      <c r="EF64" s="6" t="n"/>
      <c r="EG64" s="289" t="n"/>
      <c r="EH64" s="6" t="n"/>
      <c r="EI64" s="6" t="n"/>
      <c r="EJ64" s="6" t="n"/>
      <c r="EK64" s="289" t="n"/>
      <c r="EL64" s="6" t="n"/>
      <c r="EM64" s="289" t="n"/>
      <c r="EN64" s="6" t="n"/>
      <c r="EO64" s="6" t="n"/>
      <c r="EP64" s="6" t="n"/>
      <c r="EQ64" s="6" t="n"/>
      <c r="ER64" s="6" t="n"/>
      <c r="ES64" s="6" t="n"/>
      <c r="ET64" s="6" t="n"/>
      <c r="EU64" s="6" t="n"/>
      <c r="EV64" s="6" t="n"/>
      <c r="EW64" s="6" t="n"/>
      <c r="EX64" s="6" t="n"/>
      <c r="EY64" s="6" t="n"/>
    </row>
    <row r="65">
      <c r="A65" s="674" t="inlineStr">
        <is>
          <t>LILY BLANCHE</t>
        </is>
      </c>
      <c r="B65" s="658" t="n"/>
      <c r="C65" s="658" t="n"/>
      <c r="D65" s="670" t="n"/>
      <c r="L65" s="116" t="n">
        <v>0</v>
      </c>
      <c r="M65" s="116" t="n">
        <v>60</v>
      </c>
      <c r="N65" s="116" t="n">
        <v>75</v>
      </c>
      <c r="O65" s="116" t="n">
        <v>55</v>
      </c>
      <c r="P65" s="116" t="n">
        <v>55</v>
      </c>
      <c r="Q65" s="116" t="n">
        <v>55</v>
      </c>
      <c r="R65" s="116" t="n">
        <v>40</v>
      </c>
      <c r="S65" s="116" t="n">
        <v>40</v>
      </c>
      <c r="T65" s="116" t="n">
        <v>15</v>
      </c>
      <c r="U65" s="116" t="n">
        <v>0</v>
      </c>
      <c r="V65" s="116" t="n">
        <v>0</v>
      </c>
      <c r="W65" s="116" t="n">
        <v>0</v>
      </c>
      <c r="X65" s="116" t="n">
        <v>0</v>
      </c>
      <c r="Y65" s="116" t="n">
        <v>0</v>
      </c>
      <c r="Z65" s="116" t="n">
        <v>0</v>
      </c>
      <c r="AA65" s="116" t="n">
        <v>0</v>
      </c>
      <c r="AB65" s="116" t="n">
        <v>0</v>
      </c>
      <c r="AC65" s="116" t="n">
        <v>0</v>
      </c>
      <c r="AD65" s="116" t="n">
        <v>0</v>
      </c>
      <c r="AE65" s="116" t="n">
        <v>0</v>
      </c>
      <c r="AF65" s="116" t="n">
        <v>0</v>
      </c>
      <c r="AG65" s="116" t="n">
        <v>0</v>
      </c>
      <c r="AH65" s="116" t="n">
        <v>0</v>
      </c>
      <c r="AI65" s="116" t="n">
        <v>0</v>
      </c>
      <c r="AJ65" s="116" t="n">
        <v>0</v>
      </c>
      <c r="AK65" s="116" t="n">
        <v>0</v>
      </c>
      <c r="AL65" s="116" t="n">
        <v>0</v>
      </c>
      <c r="AM65" s="116" t="n">
        <v>0</v>
      </c>
      <c r="AN65" s="116" t="n">
        <v>0</v>
      </c>
      <c r="AO65" s="116" t="n">
        <v>0</v>
      </c>
      <c r="AP65" s="116" t="n">
        <v>0</v>
      </c>
      <c r="AQ65" s="116" t="n">
        <v>0</v>
      </c>
      <c r="AR65" s="116" t="n">
        <v>0</v>
      </c>
      <c r="AS65" s="116" t="n">
        <v>0</v>
      </c>
      <c r="AT65" s="116" t="n">
        <v>0</v>
      </c>
      <c r="AU65" s="116" t="n">
        <v>0</v>
      </c>
      <c r="AV65" s="116" t="n">
        <v>0</v>
      </c>
      <c r="AW65" s="116" t="n">
        <v>0</v>
      </c>
      <c r="AX65" s="116" t="n">
        <v>0</v>
      </c>
      <c r="AY65" s="116" t="n">
        <v>0</v>
      </c>
      <c r="AZ65" s="116" t="n">
        <v>0</v>
      </c>
      <c r="BA65" s="116" t="n">
        <v>0</v>
      </c>
      <c r="BB65" s="116" t="n">
        <v>0</v>
      </c>
      <c r="BC65" s="116" t="n">
        <v>0</v>
      </c>
      <c r="BD65" s="116" t="n">
        <v>0</v>
      </c>
      <c r="BE65" s="116" t="n">
        <v>0</v>
      </c>
      <c r="BF65" s="116" t="n">
        <v>0</v>
      </c>
      <c r="BG65" s="116" t="n">
        <v>0</v>
      </c>
      <c r="BH65" s="116" t="n">
        <v>0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>
        <v>0</v>
      </c>
      <c r="BZ65" s="116" t="n"/>
      <c r="CA65" s="116" t="n"/>
      <c r="CD65" s="6" t="n"/>
      <c r="CR65" s="6" t="n"/>
      <c r="CS65" s="6" t="n"/>
      <c r="CT65" s="6" t="n"/>
      <c r="CU65" s="6" t="n"/>
      <c r="CV65" s="6" t="n"/>
      <c r="CW65" s="6" t="n"/>
      <c r="CX65" s="6" t="n"/>
      <c r="CY65" s="6" t="n"/>
      <c r="CZ65" s="6" t="n"/>
      <c r="DA65" s="6" t="n"/>
      <c r="DB65" s="6" t="n"/>
      <c r="DC65" s="6" t="n"/>
      <c r="DD65" s="6" t="n"/>
      <c r="DE65" s="6" t="n"/>
      <c r="DF65" s="6" t="n"/>
      <c r="DG65" s="6" t="n"/>
      <c r="DH65" s="6" t="n"/>
      <c r="DI65" s="6" t="n"/>
      <c r="DJ65" s="6" t="n"/>
      <c r="DK65" s="6" t="n"/>
      <c r="DL65" s="6" t="n"/>
      <c r="DM65" s="6" t="n"/>
      <c r="DN65" s="6" t="n"/>
      <c r="DO65" s="6" t="n"/>
      <c r="DP65" s="58" t="n"/>
      <c r="DQ65" s="58" t="n"/>
      <c r="DS65" s="6" t="n"/>
      <c r="DT65" s="6" t="n"/>
      <c r="DU65" s="6" t="n"/>
      <c r="DV65" s="6" t="n"/>
      <c r="DW65" s="6" t="n"/>
      <c r="DX65" s="6" t="n"/>
      <c r="DY65" s="6" t="n"/>
      <c r="DZ65" s="290" t="n"/>
      <c r="EA65" s="6" t="n"/>
      <c r="EC65" s="6" t="n"/>
      <c r="ED65" s="6" t="n"/>
      <c r="EE65" s="6" t="n"/>
      <c r="EF65" s="6" t="n"/>
      <c r="EG65" s="290" t="n"/>
      <c r="EH65" s="6" t="n"/>
      <c r="EI65" s="6" t="n"/>
      <c r="EJ65" s="6" t="n"/>
      <c r="EK65" s="290" t="n"/>
      <c r="EL65" s="6" t="n"/>
      <c r="EM65" s="290" t="n"/>
      <c r="EN65" s="6" t="n"/>
      <c r="EO65" s="6" t="n"/>
      <c r="EP65" s="6" t="n"/>
      <c r="EQ65" s="6" t="n"/>
      <c r="ER65" s="6" t="n"/>
      <c r="ES65" s="6" t="n"/>
      <c r="ET65" s="6" t="n"/>
      <c r="EU65" s="6" t="n"/>
      <c r="EV65" s="6" t="n"/>
      <c r="EX65" s="6" t="n"/>
      <c r="EY65" s="6" t="n"/>
    </row>
    <row r="66">
      <c r="A66" s="674" t="inlineStr">
        <is>
          <t>MEN NBA</t>
        </is>
      </c>
      <c r="B66" s="658" t="n"/>
      <c r="C66" s="658" t="n"/>
      <c r="D66" s="670" t="n"/>
      <c r="O66" s="116" t="n">
        <v>0</v>
      </c>
      <c r="P66" s="116" t="n">
        <v>40</v>
      </c>
      <c r="Q66" s="116" t="n">
        <v>40</v>
      </c>
      <c r="R66" s="116" t="n">
        <v>45</v>
      </c>
      <c r="S66" s="116" t="n">
        <v>35</v>
      </c>
      <c r="T66" s="116" t="n">
        <v>35</v>
      </c>
      <c r="U66" s="116" t="n">
        <v>25</v>
      </c>
      <c r="V66" s="116" t="n">
        <v>25</v>
      </c>
      <c r="W66" s="116" t="n">
        <v>25</v>
      </c>
      <c r="X66" s="116" t="n">
        <v>25</v>
      </c>
      <c r="Y66" s="116" t="n">
        <v>50</v>
      </c>
      <c r="Z66" s="116" t="n">
        <v>25</v>
      </c>
      <c r="AA66" s="116" t="n">
        <v>25</v>
      </c>
      <c r="AB66" s="116" t="n">
        <v>25</v>
      </c>
      <c r="AC66" s="116" t="n">
        <v>15</v>
      </c>
      <c r="AD66" s="116" t="n">
        <v>20</v>
      </c>
      <c r="AE66" s="116" t="n">
        <v>15</v>
      </c>
      <c r="AF66" s="116" t="n">
        <v>15</v>
      </c>
      <c r="AG66" s="116" t="n">
        <v>15</v>
      </c>
      <c r="AH66" s="116" t="n">
        <v>10</v>
      </c>
      <c r="AI66" s="116" t="n">
        <v>8</v>
      </c>
      <c r="AJ66" s="116" t="n">
        <v>0</v>
      </c>
      <c r="AK66" s="116" t="n">
        <v>0</v>
      </c>
      <c r="AL66" s="116" t="n">
        <v>0</v>
      </c>
      <c r="AM66" s="116" t="n">
        <v>0</v>
      </c>
      <c r="AN66" s="116" t="n">
        <v>0</v>
      </c>
      <c r="AO66" s="116" t="n">
        <v>0</v>
      </c>
      <c r="AP66" s="116" t="n">
        <v>0</v>
      </c>
      <c r="AQ66" s="116" t="n">
        <v>10</v>
      </c>
      <c r="AR66" s="116" t="n">
        <v>10</v>
      </c>
      <c r="AS66" s="116" t="n">
        <v>10</v>
      </c>
      <c r="AT66" s="116" t="n">
        <v>10</v>
      </c>
      <c r="AU66" s="116" t="n">
        <v>9</v>
      </c>
      <c r="AV66" s="116" t="n">
        <v>9</v>
      </c>
      <c r="AW66" s="116" t="n">
        <v>5</v>
      </c>
      <c r="AX66" s="116" t="n">
        <v>0</v>
      </c>
      <c r="AY66" s="116" t="n">
        <v>0</v>
      </c>
      <c r="AZ66" s="116" t="n">
        <v>0</v>
      </c>
      <c r="BA66" s="116" t="n">
        <v>0</v>
      </c>
      <c r="BB66" s="116" t="n">
        <v>0</v>
      </c>
      <c r="BC66" s="116" t="n">
        <v>0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  <c r="CD66" s="6" t="n"/>
      <c r="CR66" s="6" t="n"/>
      <c r="CS66" s="6" t="n"/>
      <c r="CT66" s="6" t="n"/>
      <c r="CU66" s="6" t="n"/>
      <c r="CV66" s="6" t="n"/>
      <c r="CW66" s="6" t="n"/>
      <c r="CX66" s="6" t="n"/>
      <c r="CY66" s="6" t="n"/>
      <c r="DB66" s="6" t="n"/>
      <c r="DC66" s="6" t="n"/>
      <c r="DD66" s="6" t="n"/>
      <c r="DF66" s="6" t="n"/>
      <c r="DG66" s="6" t="n"/>
      <c r="DH66" s="6" t="n"/>
      <c r="DI66" s="6" t="n"/>
      <c r="DJ66" s="6" t="n"/>
      <c r="DK66" s="6" t="n"/>
      <c r="DL66" s="6" t="n"/>
      <c r="DM66" s="6" t="n"/>
      <c r="DN66" s="6" t="n"/>
      <c r="DO66" s="6" t="n"/>
      <c r="DS66" s="6" t="n"/>
      <c r="DT66" s="6" t="n"/>
      <c r="DU66" s="6" t="n"/>
      <c r="DV66" s="6" t="n"/>
      <c r="DW66" s="6" t="n"/>
      <c r="DX66" s="6" t="n"/>
      <c r="DY66" s="6" t="n"/>
      <c r="DZ66" s="290" t="n"/>
      <c r="EA66" s="6" t="n"/>
      <c r="EC66" s="6" t="n"/>
      <c r="ED66" s="6" t="n"/>
      <c r="EE66" s="6" t="n"/>
      <c r="EF66" s="6" t="n"/>
      <c r="EG66" s="290" t="n"/>
      <c r="EH66" s="6" t="n"/>
      <c r="EI66" s="6" t="n"/>
      <c r="EJ66" s="6" t="n"/>
      <c r="EK66" s="290" t="n"/>
      <c r="EL66" s="6" t="n"/>
      <c r="EM66" s="290" t="n"/>
      <c r="EN66" s="6" t="n"/>
      <c r="EO66" s="6" t="n"/>
      <c r="EP66" s="6" t="n"/>
      <c r="EQ66" s="6" t="n"/>
      <c r="ER66" s="6" t="n"/>
      <c r="ES66" s="6" t="n"/>
      <c r="ET66" s="6" t="n"/>
      <c r="EU66" s="6" t="n"/>
      <c r="EV66" s="6" t="n"/>
      <c r="EX66" s="6" t="n"/>
      <c r="EY66" s="6" t="n"/>
    </row>
    <row r="67">
      <c r="A67" s="674" t="inlineStr">
        <is>
          <t>ARBO ATLANTICA</t>
        </is>
      </c>
      <c r="B67" s="658" t="n"/>
      <c r="C67" s="658" t="n"/>
      <c r="D67" s="670" t="n"/>
      <c r="S67" s="116" t="n">
        <v>0</v>
      </c>
      <c r="T67" s="116" t="n">
        <v>70</v>
      </c>
      <c r="U67" s="116" t="n">
        <v>60</v>
      </c>
      <c r="V67" s="116" t="n">
        <v>60</v>
      </c>
      <c r="W67" s="116" t="n">
        <v>60</v>
      </c>
      <c r="X67" s="116" t="n">
        <v>60</v>
      </c>
      <c r="Y67" s="116" t="n">
        <v>50</v>
      </c>
      <c r="Z67" s="116" t="n">
        <v>50</v>
      </c>
      <c r="AA67" s="116" t="n">
        <v>50</v>
      </c>
      <c r="AB67" s="116" t="n">
        <v>50</v>
      </c>
      <c r="AC67" s="116" t="n">
        <v>30</v>
      </c>
      <c r="AD67" s="116" t="n">
        <v>20</v>
      </c>
      <c r="AE67" s="116" t="n">
        <v>20</v>
      </c>
      <c r="AF67" s="116" t="n">
        <v>20</v>
      </c>
      <c r="AG67" s="116" t="n">
        <v>20</v>
      </c>
      <c r="AH67" s="116" t="n">
        <v>9</v>
      </c>
      <c r="AI67" s="116" t="n">
        <v>9</v>
      </c>
      <c r="AJ67" s="116" t="n">
        <v>0</v>
      </c>
      <c r="AK67" s="116" t="n">
        <v>0</v>
      </c>
      <c r="AL67" s="116" t="n">
        <v>0</v>
      </c>
      <c r="AM67" s="116" t="n">
        <v>0</v>
      </c>
      <c r="AN67" s="116" t="n">
        <v>0</v>
      </c>
      <c r="AO67" s="116" t="n">
        <v>0</v>
      </c>
      <c r="AP67" s="116" t="n">
        <v>0</v>
      </c>
      <c r="AQ67" s="116" t="n">
        <v>10</v>
      </c>
      <c r="AR67" s="116" t="n">
        <v>10</v>
      </c>
      <c r="AS67" s="116" t="n">
        <v>10</v>
      </c>
      <c r="AT67" s="116" t="n">
        <v>6</v>
      </c>
      <c r="AU67" s="116" t="n">
        <v>9</v>
      </c>
      <c r="AV67" s="116" t="n">
        <v>9</v>
      </c>
      <c r="AW67" s="116" t="n">
        <v>5</v>
      </c>
      <c r="AX67" s="116" t="n">
        <v>5</v>
      </c>
      <c r="AY67" s="116" t="n">
        <v>5</v>
      </c>
      <c r="AZ67" s="116" t="n">
        <v>5</v>
      </c>
      <c r="BA67" s="116" t="n">
        <v>0</v>
      </c>
      <c r="BB67" s="116" t="n">
        <v>0</v>
      </c>
      <c r="BC67" s="116" t="n">
        <v>0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  <c r="CD67" s="6" t="n"/>
      <c r="CR67" s="6" t="n"/>
      <c r="CS67" s="6" t="n"/>
      <c r="CT67" s="6" t="n"/>
      <c r="CU67" s="6" t="n"/>
      <c r="CV67" s="6" t="n"/>
      <c r="CW67" s="6" t="n"/>
      <c r="CX67" s="6" t="n"/>
      <c r="CY67" s="6" t="n"/>
      <c r="DB67" s="6" t="n"/>
      <c r="DC67" s="6" t="n"/>
      <c r="DD67" s="6" t="n"/>
      <c r="DF67" s="6" t="n"/>
      <c r="DG67" s="6" t="n"/>
      <c r="DH67" s="6" t="n"/>
      <c r="DI67" s="6" t="n"/>
      <c r="DJ67" s="6" t="n"/>
      <c r="DK67" s="6" t="n"/>
      <c r="DL67" s="6" t="n"/>
      <c r="DM67" s="6" t="n"/>
      <c r="DN67" s="6" t="n"/>
      <c r="DZ67" s="291" t="n"/>
      <c r="EC67" s="6" t="n"/>
      <c r="ED67" s="6" t="n"/>
      <c r="EF67" s="6" t="n"/>
      <c r="EG67" s="291" t="n"/>
      <c r="EH67" s="6" t="n"/>
      <c r="EI67" s="6" t="n"/>
      <c r="EJ67" s="6" t="n"/>
      <c r="EK67" s="291" t="n"/>
      <c r="EL67" s="6" t="n"/>
      <c r="EM67" s="291" t="n"/>
      <c r="EN67" s="6" t="n"/>
      <c r="EP67" s="6" t="n"/>
      <c r="ER67" s="6" t="n"/>
      <c r="ET67" s="6" t="n"/>
      <c r="EU67" s="6" t="n"/>
      <c r="EV67" s="6" t="n"/>
      <c r="EX67" s="6" t="n"/>
      <c r="EY67" s="6" t="n"/>
    </row>
    <row r="68">
      <c r="A68" s="674" t="inlineStr">
        <is>
          <t>QUASAR DEEP BLUE</t>
        </is>
      </c>
      <c r="B68" s="658" t="n"/>
      <c r="C68" s="658" t="n"/>
      <c r="D68" s="670" t="n"/>
      <c r="S68" s="116" t="n">
        <v>0</v>
      </c>
      <c r="T68" s="116" t="n">
        <v>70</v>
      </c>
      <c r="U68" s="116" t="n">
        <v>70</v>
      </c>
      <c r="V68" s="116" t="n">
        <v>70</v>
      </c>
      <c r="W68" s="116" t="n">
        <v>70</v>
      </c>
      <c r="X68" s="116" t="n">
        <v>70</v>
      </c>
      <c r="Y68" s="116" t="n">
        <v>60</v>
      </c>
      <c r="Z68" s="116" t="n">
        <v>50</v>
      </c>
      <c r="AA68" s="116" t="n">
        <v>50</v>
      </c>
      <c r="AB68" s="116" t="n">
        <v>50</v>
      </c>
      <c r="AC68" s="116" t="n">
        <v>40</v>
      </c>
      <c r="AD68" s="116" t="n">
        <v>30</v>
      </c>
      <c r="AE68" s="116" t="n">
        <v>30</v>
      </c>
      <c r="AF68" s="116" t="n">
        <v>30</v>
      </c>
      <c r="AG68" s="116" t="n">
        <v>30</v>
      </c>
      <c r="AH68" s="116" t="n">
        <v>30</v>
      </c>
      <c r="AI68" s="116" t="n">
        <v>30</v>
      </c>
      <c r="AJ68" s="116" t="n">
        <v>20</v>
      </c>
      <c r="AK68" s="116" t="n">
        <v>5</v>
      </c>
      <c r="AL68" s="116" t="n">
        <v>20</v>
      </c>
      <c r="AM68" s="116" t="n">
        <v>20</v>
      </c>
      <c r="AN68" s="116" t="n">
        <v>0</v>
      </c>
      <c r="AO68" s="116" t="n">
        <v>0</v>
      </c>
      <c r="AP68" s="116" t="n">
        <v>0</v>
      </c>
      <c r="AQ68" s="116" t="n">
        <v>30</v>
      </c>
      <c r="AR68" s="116" t="n">
        <v>30</v>
      </c>
      <c r="AS68" s="116" t="n">
        <v>30</v>
      </c>
      <c r="AT68" s="116" t="n">
        <v>14</v>
      </c>
      <c r="AU68" s="116" t="n">
        <v>14</v>
      </c>
      <c r="AV68" s="116" t="n">
        <v>14</v>
      </c>
      <c r="AW68" s="116" t="n">
        <v>10</v>
      </c>
      <c r="AX68" s="116" t="n">
        <v>5</v>
      </c>
      <c r="AY68" s="116" t="n">
        <v>5</v>
      </c>
      <c r="AZ68" s="116" t="n">
        <v>5</v>
      </c>
      <c r="BA68" s="116" t="n">
        <v>0</v>
      </c>
      <c r="BB68" s="116" t="n">
        <v>0</v>
      </c>
      <c r="BC68" s="116" t="n">
        <v>0</v>
      </c>
      <c r="BD68" s="116" t="n">
        <v>0</v>
      </c>
      <c r="BE68" s="116" t="n">
        <v>0</v>
      </c>
      <c r="BF68" s="116" t="n">
        <v>0</v>
      </c>
      <c r="BG68" s="116" t="n">
        <v>0</v>
      </c>
      <c r="BH68" s="116" t="n">
        <v>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>
        <v>0</v>
      </c>
      <c r="BZ68" s="116" t="n"/>
      <c r="CA68" s="116" t="n"/>
      <c r="CR68" s="6" t="n"/>
      <c r="CS68" s="6" t="n"/>
      <c r="CT68" s="6" t="n"/>
      <c r="CU68" s="6" t="n"/>
      <c r="CV68" s="6" t="n"/>
      <c r="CW68" s="6" t="n"/>
      <c r="CX68" s="6" t="n"/>
      <c r="CY68" s="6" t="n"/>
      <c r="DB68" s="6" t="n"/>
      <c r="DC68" s="6" t="n"/>
      <c r="DD68" s="6" t="n"/>
      <c r="DF68" s="6" t="n"/>
      <c r="DG68" s="6" t="n"/>
      <c r="DH68" s="6" t="n"/>
      <c r="DI68" s="6" t="n"/>
      <c r="DJ68" s="6" t="n"/>
      <c r="DK68" s="6" t="n"/>
      <c r="DL68" s="6" t="n"/>
      <c r="DM68" s="6" t="n"/>
      <c r="DO68" s="6" t="n"/>
      <c r="DS68" s="6" t="n"/>
      <c r="DT68" s="6" t="n"/>
      <c r="DU68" s="6" t="n"/>
      <c r="DV68" s="6" t="n"/>
      <c r="DW68" s="6" t="n"/>
      <c r="DX68" s="6" t="n"/>
      <c r="DY68" s="6" t="n"/>
      <c r="DZ68" s="291" t="n"/>
      <c r="EA68" s="6" t="n"/>
      <c r="EC68" s="6" t="n"/>
      <c r="ED68" s="6" t="n"/>
      <c r="EE68" s="6" t="n"/>
      <c r="EF68" s="6" t="n"/>
      <c r="EG68" s="291" t="n"/>
      <c r="EH68" s="6" t="n"/>
      <c r="EI68" s="6" t="n"/>
      <c r="EJ68" s="6" t="n"/>
      <c r="EK68" s="291" t="n"/>
      <c r="EL68" s="6" t="n"/>
      <c r="EM68" s="291" t="n"/>
      <c r="EN68" s="6" t="n"/>
      <c r="EO68" s="6" t="n"/>
      <c r="EP68" s="6" t="n"/>
      <c r="EQ68" s="6" t="n"/>
      <c r="ER68" s="6" t="n"/>
      <c r="ES68" s="6" t="n"/>
      <c r="ET68" s="6" t="n"/>
      <c r="EU68" s="6" t="n"/>
      <c r="EV68" s="6" t="n"/>
      <c r="EX68" s="6" t="n"/>
      <c r="EY68" s="6" t="n"/>
    </row>
    <row r="69">
      <c r="A69" s="674" t="inlineStr">
        <is>
          <t>EGEO COGU</t>
        </is>
      </c>
      <c r="B69" s="658" t="n"/>
      <c r="C69" s="658" t="n"/>
      <c r="D69" s="670" t="n"/>
      <c r="AG69" s="116" t="n">
        <v>0</v>
      </c>
      <c r="AH69" s="116" t="n">
        <v>50</v>
      </c>
      <c r="AI69" s="116" t="n">
        <v>39</v>
      </c>
      <c r="AJ69" s="116" t="n">
        <v>0</v>
      </c>
      <c r="AK69" s="116" t="n">
        <v>0</v>
      </c>
      <c r="AL69" s="116" t="n">
        <v>0</v>
      </c>
      <c r="AM69" s="116" t="n">
        <v>0</v>
      </c>
      <c r="AN69" s="116" t="n">
        <v>0</v>
      </c>
      <c r="AO69" s="116" t="n">
        <v>0</v>
      </c>
      <c r="AP69" s="116" t="n">
        <v>0</v>
      </c>
      <c r="AQ69" s="116" t="n">
        <v>0</v>
      </c>
      <c r="AR69" s="116" t="n">
        <v>0</v>
      </c>
      <c r="AS69" s="116" t="n">
        <v>0</v>
      </c>
      <c r="AT69" s="116" t="n">
        <v>0</v>
      </c>
      <c r="AU69" s="116" t="n">
        <v>0</v>
      </c>
      <c r="AV69" s="116" t="n">
        <v>0</v>
      </c>
      <c r="AW69" s="116" t="n">
        <v>0</v>
      </c>
      <c r="AX69" s="116" t="n">
        <v>0</v>
      </c>
      <c r="AY69" s="116" t="n">
        <v>0</v>
      </c>
      <c r="AZ69" s="116" t="n">
        <v>0</v>
      </c>
      <c r="BA69" s="116" t="n">
        <v>0</v>
      </c>
      <c r="BB69" s="116" t="n">
        <v>0</v>
      </c>
      <c r="BC69" s="116" t="n">
        <v>0</v>
      </c>
      <c r="BD69" s="116" t="n">
        <v>0</v>
      </c>
      <c r="BE69" s="116" t="n">
        <v>0</v>
      </c>
      <c r="BF69" s="116" t="n">
        <v>0</v>
      </c>
      <c r="BG69" s="116" t="n">
        <v>0</v>
      </c>
      <c r="BH69" s="116" t="n">
        <v>0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>
        <v>0</v>
      </c>
      <c r="BZ69" s="116" t="n"/>
      <c r="CA69" s="116" t="n"/>
      <c r="DN69" s="6" t="n"/>
      <c r="DZ69" s="291" t="n"/>
      <c r="EC69" s="6" t="n"/>
      <c r="ED69" s="6" t="n"/>
      <c r="EF69" s="6" t="n"/>
      <c r="EG69" s="291" t="n"/>
      <c r="EH69" s="6" t="n"/>
      <c r="EI69" s="6" t="n"/>
      <c r="EJ69" s="6" t="n"/>
      <c r="EK69" s="291" t="n"/>
      <c r="EL69" s="6" t="n"/>
      <c r="EM69" s="291" t="n"/>
      <c r="EN69" s="6" t="n"/>
      <c r="EP69" s="6" t="n"/>
      <c r="ER69" s="6" t="n"/>
      <c r="ET69" s="6" t="n"/>
      <c r="EU69" s="6" t="n"/>
      <c r="EV69" s="6" t="n"/>
      <c r="EX69" s="6" t="n"/>
      <c r="EY69" s="6" t="n"/>
    </row>
    <row r="70">
      <c r="A70" s="674" t="inlineStr">
        <is>
          <t>ZAAD INTENSE</t>
        </is>
      </c>
      <c r="B70" s="658" t="n"/>
      <c r="C70" s="658" t="n"/>
      <c r="D70" s="670" t="n"/>
      <c r="AH70" s="116" t="n">
        <v>0</v>
      </c>
      <c r="AI70" s="116" t="n">
        <v>15</v>
      </c>
      <c r="AJ70" s="116" t="n">
        <v>15</v>
      </c>
      <c r="AK70" s="116" t="n">
        <v>15</v>
      </c>
      <c r="AL70" s="116" t="n">
        <v>15</v>
      </c>
      <c r="AM70" s="116" t="n">
        <v>15</v>
      </c>
      <c r="AN70" s="116" t="n">
        <v>0</v>
      </c>
      <c r="AO70" s="116" t="n">
        <v>0</v>
      </c>
      <c r="AP70" s="116" t="n">
        <v>0</v>
      </c>
      <c r="AQ70" s="116" t="n">
        <v>0</v>
      </c>
      <c r="AR70" s="116" t="n">
        <v>0</v>
      </c>
      <c r="AS70" s="116" t="n">
        <v>0</v>
      </c>
      <c r="AT70" s="116" t="n">
        <v>0</v>
      </c>
      <c r="AU70" s="116" t="n">
        <v>0</v>
      </c>
      <c r="AV70" s="116" t="n">
        <v>0</v>
      </c>
      <c r="AW70" s="116" t="n">
        <v>0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  <c r="CR70" s="6" t="n"/>
      <c r="CS70" s="6" t="n"/>
      <c r="CT70" s="6" t="n"/>
      <c r="CU70" s="6" t="n"/>
      <c r="CV70" s="6" t="n"/>
      <c r="CW70" s="6" t="n"/>
      <c r="CX70" s="6" t="n"/>
      <c r="CY70" s="6" t="n"/>
      <c r="DB70" s="6" t="n"/>
      <c r="DC70" s="6" t="n"/>
      <c r="DD70" s="6" t="n"/>
      <c r="DF70" s="6" t="n"/>
      <c r="DG70" s="6" t="n"/>
      <c r="DH70" s="6" t="n"/>
      <c r="DI70" s="6" t="n"/>
      <c r="DJ70" s="6" t="n"/>
      <c r="DK70" s="6" t="n"/>
      <c r="DL70" s="6" t="n"/>
      <c r="DM70" s="6" t="n"/>
      <c r="DZ70" s="291" t="n"/>
      <c r="EC70" s="6" t="n"/>
      <c r="ED70" s="6" t="n"/>
      <c r="EF70" s="6" t="n"/>
      <c r="EG70" s="291" t="n"/>
      <c r="EK70" s="291" t="n"/>
      <c r="EM70" s="291" t="n"/>
    </row>
    <row r="71">
      <c r="A71" s="674" t="inlineStr">
        <is>
          <t xml:space="preserve">COFFEE ADDICTIVE </t>
        </is>
      </c>
      <c r="B71" s="658" t="n"/>
      <c r="C71" s="658" t="n"/>
      <c r="D71" s="670" t="n"/>
      <c r="AP71" s="116" t="n">
        <v>0</v>
      </c>
      <c r="AQ71" s="116" t="n">
        <v>20</v>
      </c>
      <c r="AR71" s="116" t="n">
        <v>20</v>
      </c>
      <c r="AS71" s="116" t="n">
        <v>20</v>
      </c>
      <c r="AT71" s="116" t="n">
        <v>20</v>
      </c>
      <c r="AU71" s="116" t="n">
        <v>19</v>
      </c>
      <c r="AV71" s="116" t="n">
        <v>19</v>
      </c>
      <c r="AW71" s="116" t="n">
        <v>10</v>
      </c>
      <c r="AX71" s="116" t="n">
        <v>5</v>
      </c>
      <c r="AY71" s="116" t="n">
        <v>5</v>
      </c>
      <c r="AZ71" s="116" t="n">
        <v>5</v>
      </c>
      <c r="BA71" s="116" t="n">
        <v>0</v>
      </c>
      <c r="BB71" s="116" t="n">
        <v>0</v>
      </c>
      <c r="BC71" s="116" t="n">
        <v>0</v>
      </c>
      <c r="BD71" s="116" t="n">
        <v>0</v>
      </c>
      <c r="BE71" s="116" t="n">
        <v>0</v>
      </c>
      <c r="BF71" s="116" t="n">
        <v>0</v>
      </c>
      <c r="BG71" s="116" t="n">
        <v>0</v>
      </c>
      <c r="BH71" s="116" t="n">
        <v>0</v>
      </c>
      <c r="BI71" s="116" t="n">
        <v>0</v>
      </c>
      <c r="BJ71" s="116" t="n">
        <v>0</v>
      </c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0</v>
      </c>
      <c r="BV71" s="116" t="n">
        <v>0</v>
      </c>
      <c r="BW71" s="116" t="n">
        <v>0</v>
      </c>
      <c r="BX71" s="116" t="n">
        <v>0</v>
      </c>
      <c r="BY71" s="116" t="n">
        <v>0</v>
      </c>
      <c r="BZ71" s="116" t="n"/>
      <c r="CA71" s="116" t="n"/>
      <c r="DO71" s="57" t="n"/>
      <c r="DR71" s="6" t="n"/>
      <c r="DS71" s="57" t="n"/>
      <c r="DT71" s="57" t="n"/>
      <c r="DU71" s="57" t="n"/>
      <c r="DV71" s="57" t="n"/>
      <c r="DW71" s="57" t="n"/>
      <c r="DX71" s="57" t="n"/>
      <c r="DY71" s="57" t="n"/>
      <c r="DZ71" s="291" t="n"/>
      <c r="EA71" s="57" t="n"/>
      <c r="EE71" s="57" t="n"/>
      <c r="EG71" s="291" t="n"/>
      <c r="EH71" s="6" t="n"/>
      <c r="EI71" s="6" t="n"/>
      <c r="EJ71" s="6" t="n"/>
      <c r="EK71" s="291" t="n"/>
      <c r="EL71" s="6" t="n"/>
      <c r="EM71" s="291" t="n"/>
      <c r="EN71" s="6" t="n"/>
      <c r="EO71" s="57" t="n"/>
      <c r="EP71" s="6" t="n"/>
      <c r="EQ71" s="57" t="n"/>
      <c r="ER71" s="6" t="n"/>
      <c r="ES71" s="57" t="n"/>
      <c r="ET71" s="6" t="n"/>
      <c r="EU71" s="6" t="n"/>
      <c r="EV71" s="6" t="n"/>
      <c r="EX71" s="6" t="n"/>
      <c r="EY71" s="6" t="n"/>
    </row>
    <row r="72">
      <c r="A72" s="674" t="inlineStr">
        <is>
          <t>HER CODE TOUCH</t>
        </is>
      </c>
      <c r="B72" s="658" t="n"/>
      <c r="C72" s="658" t="n"/>
      <c r="D72" s="670" t="n"/>
      <c r="AP72" s="116" t="n">
        <v>0</v>
      </c>
      <c r="AQ72" s="116" t="n">
        <v>15</v>
      </c>
      <c r="AR72" s="116" t="n">
        <v>15</v>
      </c>
      <c r="AS72" s="116" t="n">
        <v>15</v>
      </c>
      <c r="AT72" s="116" t="n">
        <v>10</v>
      </c>
      <c r="AU72" s="116" t="n">
        <v>0</v>
      </c>
      <c r="AV72" s="116" t="n">
        <v>0</v>
      </c>
      <c r="AW72" s="116" t="n">
        <v>0</v>
      </c>
      <c r="AX72" s="116" t="n">
        <v>0</v>
      </c>
      <c r="AY72" s="116" t="n">
        <v>0</v>
      </c>
      <c r="AZ72" s="116" t="n">
        <v>0</v>
      </c>
      <c r="BA72" s="116" t="n">
        <v>0</v>
      </c>
      <c r="BB72" s="116" t="n">
        <v>0</v>
      </c>
      <c r="BC72" s="116" t="n">
        <v>0</v>
      </c>
      <c r="BD72" s="116" t="n">
        <v>0</v>
      </c>
      <c r="BE72" s="116" t="n">
        <v>0</v>
      </c>
      <c r="BF72" s="116" t="n">
        <v>0</v>
      </c>
      <c r="BG72" s="116" t="n">
        <v>0</v>
      </c>
      <c r="BH72" s="116" t="n">
        <v>0</v>
      </c>
      <c r="BI72" s="116" t="n">
        <v>0</v>
      </c>
      <c r="BJ72" s="116" t="n">
        <v>0</v>
      </c>
      <c r="BK72" s="116" t="n">
        <v>0</v>
      </c>
      <c r="BL72" s="116" t="n">
        <v>0</v>
      </c>
      <c r="BM72" s="116" t="n">
        <v>0</v>
      </c>
      <c r="BN72" s="116" t="n">
        <v>0</v>
      </c>
      <c r="BO72" s="116" t="n">
        <v>0</v>
      </c>
      <c r="BP72" s="116" t="n">
        <v>0</v>
      </c>
      <c r="BQ72" s="116" t="n">
        <v>0</v>
      </c>
      <c r="BR72" s="116" t="n">
        <v>0</v>
      </c>
      <c r="BS72" s="116" t="n">
        <v>0</v>
      </c>
      <c r="BT72" s="116" t="n">
        <v>0</v>
      </c>
      <c r="BU72" s="116" t="n">
        <v>0</v>
      </c>
      <c r="BV72" s="116" t="n">
        <v>0</v>
      </c>
      <c r="BW72" s="116" t="n">
        <v>0</v>
      </c>
      <c r="BX72" s="116" t="n">
        <v>0</v>
      </c>
      <c r="BY72" s="116" t="n">
        <v>0</v>
      </c>
      <c r="BZ72" s="116" t="n"/>
      <c r="CA72" s="116" t="n"/>
      <c r="DN72" s="57" t="n"/>
      <c r="DO72" s="57" t="n"/>
      <c r="DP72" s="6" t="n"/>
      <c r="DQ72" s="6" t="n"/>
      <c r="DR72" s="6" t="n"/>
      <c r="DS72" s="57" t="n"/>
      <c r="DT72" s="57" t="n"/>
      <c r="DU72" s="57" t="n"/>
      <c r="DV72" s="57" t="n"/>
      <c r="DW72" s="57" t="n"/>
      <c r="DX72" s="57" t="n"/>
      <c r="DY72" s="57" t="n"/>
      <c r="DZ72" s="291" t="n"/>
      <c r="EA72" s="57" t="n"/>
      <c r="EC72" s="6" t="n"/>
      <c r="ED72" s="6" t="n"/>
      <c r="EE72" s="57" t="n"/>
      <c r="EF72" s="6" t="n"/>
      <c r="EG72" s="291" t="n"/>
      <c r="EH72" s="6" t="n"/>
      <c r="EI72" s="6" t="n"/>
      <c r="EJ72" s="6" t="n"/>
      <c r="EK72" s="291" t="n"/>
      <c r="EL72" s="6" t="n"/>
      <c r="EM72" s="291" t="n"/>
      <c r="EN72" s="6" t="n"/>
      <c r="EO72" s="57" t="n"/>
      <c r="EP72" s="6" t="n"/>
      <c r="EQ72" s="57" t="n"/>
      <c r="ER72" s="6" t="n"/>
      <c r="ES72" s="57" t="n"/>
      <c r="ET72" s="6" t="n"/>
      <c r="EU72" s="6" t="n"/>
      <c r="EV72" s="6" t="n"/>
      <c r="EX72" s="6" t="n"/>
      <c r="EY72" s="6" t="n"/>
    </row>
    <row r="73">
      <c r="A73" s="674" t="inlineStr">
        <is>
          <t>CEREJA DE FASES</t>
        </is>
      </c>
      <c r="B73" s="658" t="n"/>
      <c r="C73" s="658" t="n"/>
      <c r="D73" s="670" t="n"/>
      <c r="AP73" s="116" t="n"/>
      <c r="AQ73" s="116" t="n"/>
      <c r="AR73" s="116" t="n"/>
      <c r="AS73" s="116" t="n"/>
      <c r="AT73" s="116" t="n"/>
      <c r="AU73" s="116" t="n"/>
      <c r="AV73" s="116" t="n"/>
      <c r="AW73" s="116" t="n"/>
      <c r="AX73" s="116" t="n"/>
      <c r="AY73" s="116" t="n"/>
      <c r="AZ73" s="116" t="n"/>
      <c r="BA73" s="116" t="n"/>
      <c r="BB73" s="116" t="n"/>
      <c r="BC73" s="116" t="n"/>
      <c r="BD73" s="116" t="n"/>
      <c r="BE73" s="116" t="n"/>
      <c r="BF73" s="116" t="n"/>
      <c r="BG73" s="116" t="n"/>
      <c r="BH73" s="116" t="n"/>
      <c r="BI73" s="116" t="n"/>
      <c r="BJ73" s="116" t="n"/>
      <c r="BK73" s="116" t="n"/>
      <c r="BL73" s="116" t="n">
        <v>0</v>
      </c>
      <c r="BM73" s="116" t="n">
        <v>0</v>
      </c>
      <c r="BN73" s="116" t="n">
        <v>0</v>
      </c>
      <c r="BO73" s="116" t="n">
        <v>0</v>
      </c>
      <c r="BP73" s="116" t="n">
        <v>0</v>
      </c>
      <c r="BQ73" s="116" t="n">
        <v>0</v>
      </c>
      <c r="BR73" s="116" t="n">
        <v>102</v>
      </c>
      <c r="BS73" s="116" t="n">
        <v>102</v>
      </c>
      <c r="BT73" s="116" t="n">
        <v>82</v>
      </c>
      <c r="BU73" s="116" t="n">
        <v>70</v>
      </c>
      <c r="BV73" s="116" t="n">
        <v>70</v>
      </c>
      <c r="BW73" s="116" t="n">
        <v>70</v>
      </c>
      <c r="BX73" s="116" t="n">
        <v>50</v>
      </c>
      <c r="BY73" s="116" t="n">
        <v>50</v>
      </c>
      <c r="BZ73" s="116" t="n"/>
      <c r="CA73" s="116" t="n"/>
      <c r="CR73" s="57" t="n"/>
      <c r="CS73" s="57" t="n"/>
      <c r="CT73" s="57" t="n"/>
      <c r="CU73" s="57" t="n"/>
      <c r="CV73" s="57" t="n"/>
      <c r="CW73" s="57" t="n"/>
      <c r="CX73" s="57" t="n"/>
      <c r="CY73" s="57" t="n"/>
      <c r="DB73" s="57" t="n"/>
      <c r="DC73" s="57" t="n"/>
      <c r="DD73" s="57" t="n"/>
      <c r="DF73" s="57" t="n"/>
      <c r="DG73" s="57" t="n"/>
      <c r="DH73" s="57" t="n"/>
      <c r="DI73" s="57" t="n"/>
      <c r="DJ73" s="57" t="n"/>
      <c r="DK73" s="57" t="n"/>
      <c r="DL73" s="57" t="n"/>
      <c r="DM73" s="57" t="n"/>
      <c r="DN73" s="57" t="n"/>
      <c r="DO73" s="57" t="n"/>
      <c r="DP73" s="6" t="n"/>
      <c r="DQ73" s="6" t="n"/>
      <c r="DR73" s="6" t="n"/>
      <c r="DS73" s="57" t="n"/>
      <c r="DT73" s="57" t="n"/>
      <c r="DU73" s="57" t="n"/>
      <c r="DV73" s="57" t="n"/>
      <c r="DW73" s="57" t="n"/>
      <c r="DX73" s="57" t="n"/>
      <c r="DY73" s="57" t="n"/>
      <c r="DZ73" s="289" t="n"/>
      <c r="EA73" s="57" t="n"/>
      <c r="EC73" s="6" t="n"/>
      <c r="ED73" s="6" t="n"/>
      <c r="EE73" s="57" t="n"/>
      <c r="EF73" s="6" t="n"/>
      <c r="EG73" s="289" t="n"/>
      <c r="EK73" s="289" t="n"/>
      <c r="EM73" s="289" t="n"/>
      <c r="EO73" s="57" t="n"/>
      <c r="EQ73" s="57" t="n"/>
      <c r="ES73" s="57" t="n"/>
    </row>
    <row r="74">
      <c r="A74" s="674" t="inlineStr">
        <is>
          <t>AMEIXA DOURADA</t>
        </is>
      </c>
      <c r="B74" s="658" t="n"/>
      <c r="C74" s="658" t="n"/>
      <c r="D74" s="670" t="n"/>
      <c r="AP74" s="116" t="n"/>
      <c r="AQ74" s="116" t="n"/>
      <c r="AR74" s="116" t="n"/>
      <c r="AS74" s="116" t="n"/>
      <c r="AT74" s="116" t="n"/>
      <c r="AU74" s="116" t="n"/>
      <c r="AV74" s="116" t="n"/>
      <c r="AW74" s="116" t="n"/>
      <c r="AX74" s="116" t="n"/>
      <c r="AY74" s="116" t="n"/>
      <c r="AZ74" s="116" t="n"/>
      <c r="BA74" s="116" t="n"/>
      <c r="BB74" s="116" t="n"/>
      <c r="BC74" s="116" t="n"/>
      <c r="BD74" s="116" t="n"/>
      <c r="BE74" s="116" t="n"/>
      <c r="BF74" s="116" t="n"/>
      <c r="BG74" s="116" t="n"/>
      <c r="BH74" s="116" t="n"/>
      <c r="BI74" s="116" t="n"/>
      <c r="BJ74" s="116" t="n"/>
      <c r="BK74" s="116" t="n"/>
      <c r="BL74" s="116" t="n">
        <v>0</v>
      </c>
      <c r="BM74" s="116" t="n">
        <v>0</v>
      </c>
      <c r="BN74" s="116" t="n">
        <v>0</v>
      </c>
      <c r="BO74" s="116" t="n">
        <v>0</v>
      </c>
      <c r="BP74" s="116" t="n">
        <v>0</v>
      </c>
      <c r="BQ74" s="116" t="n">
        <v>0</v>
      </c>
      <c r="BR74" s="116" t="n">
        <v>26</v>
      </c>
      <c r="BS74" s="116" t="n">
        <v>26</v>
      </c>
      <c r="BT74" s="116" t="n">
        <v>2</v>
      </c>
      <c r="BU74" s="116" t="n">
        <v>0</v>
      </c>
      <c r="BV74" s="116" t="n">
        <v>0</v>
      </c>
      <c r="BW74" s="116" t="n">
        <v>0</v>
      </c>
      <c r="BX74" s="116" t="n">
        <v>0</v>
      </c>
      <c r="BY74" s="116" t="n">
        <v>0</v>
      </c>
      <c r="BZ74" s="116" t="n"/>
      <c r="CA74" s="116" t="n"/>
      <c r="CR74" s="57" t="n"/>
      <c r="CS74" s="57" t="n"/>
      <c r="CT74" s="57" t="n"/>
      <c r="CU74" s="57" t="n"/>
      <c r="CV74" s="57" t="n"/>
      <c r="CW74" s="57" t="n"/>
      <c r="CX74" s="57" t="n"/>
      <c r="CY74" s="57" t="n"/>
      <c r="DB74" s="57" t="n"/>
      <c r="DC74" s="57" t="n"/>
      <c r="DD74" s="57" t="n"/>
      <c r="DF74" s="57" t="n"/>
      <c r="DG74" s="57" t="n"/>
      <c r="DH74" s="57" t="n"/>
      <c r="DI74" s="57" t="n"/>
      <c r="DJ74" s="57" t="n"/>
      <c r="DK74" s="57" t="n"/>
      <c r="DL74" s="57" t="n"/>
      <c r="DM74" s="57" t="n"/>
      <c r="DN74" s="57" t="n"/>
      <c r="DP74" s="6" t="n"/>
      <c r="DQ74" s="6" t="n"/>
      <c r="DZ74" s="289" t="n"/>
      <c r="EG74" s="289" t="n"/>
      <c r="EK74" s="289" t="n"/>
      <c r="EM74" s="289" t="n"/>
    </row>
    <row r="75">
      <c r="A75" s="674" t="n"/>
      <c r="B75" s="658" t="n"/>
      <c r="C75" s="658" t="n"/>
      <c r="D75" s="670" t="n"/>
      <c r="BL75" s="116" t="n"/>
      <c r="BM75" s="116" t="n"/>
      <c r="BN75" s="116" t="n"/>
      <c r="BO75" s="116" t="n"/>
      <c r="BP75" s="116" t="n"/>
      <c r="BQ75" s="116" t="n"/>
      <c r="BR75" s="116" t="n"/>
      <c r="BS75" s="116" t="n"/>
      <c r="BT75" s="116" t="n"/>
      <c r="BU75" s="116" t="n"/>
      <c r="BV75" s="116" t="n"/>
      <c r="BW75" s="116" t="n"/>
      <c r="BX75" s="116" t="n"/>
      <c r="BY75" s="116" t="n"/>
      <c r="BZ75" s="116" t="n"/>
      <c r="CA75" s="116" t="n"/>
      <c r="CR75" s="57" t="n"/>
      <c r="CS75" s="57" t="n"/>
      <c r="CT75" s="57" t="n"/>
      <c r="CU75" s="57" t="n"/>
      <c r="CV75" s="57" t="n"/>
      <c r="CW75" s="57" t="n"/>
      <c r="CX75" s="57" t="n"/>
      <c r="CY75" s="57" t="n"/>
      <c r="DB75" s="57" t="n"/>
      <c r="DC75" s="57" t="n"/>
      <c r="DD75" s="57" t="n"/>
      <c r="DF75" s="57" t="n"/>
      <c r="DG75" s="57" t="n"/>
      <c r="DH75" s="57" t="n"/>
      <c r="DI75" s="57" t="n"/>
      <c r="DJ75" s="57" t="n"/>
      <c r="DK75" s="57" t="n"/>
      <c r="DL75" s="57" t="n"/>
      <c r="DM75" s="57" t="n"/>
      <c r="DZ75" s="289" t="n"/>
      <c r="EG75" s="289" t="n"/>
      <c r="EH75" s="57" t="n"/>
      <c r="EI75" s="57" t="n"/>
      <c r="EJ75" s="57" t="n"/>
      <c r="EK75" s="289" t="n"/>
      <c r="EL75" s="57" t="n"/>
      <c r="EM75" s="289" t="n"/>
      <c r="EN75" s="57" t="n"/>
      <c r="EP75" s="57" t="n"/>
      <c r="ER75" s="57" t="n"/>
      <c r="ET75" s="57" t="n"/>
      <c r="EU75" s="57" t="n"/>
      <c r="EV75" s="57" t="n"/>
      <c r="EX75" s="57" t="n"/>
      <c r="EY75" s="57" t="n"/>
    </row>
    <row r="76">
      <c r="A76" s="674" t="n"/>
      <c r="B76" s="658" t="n"/>
      <c r="C76" s="658" t="n"/>
      <c r="D76" s="670" t="n"/>
      <c r="BL76" s="116" t="n"/>
      <c r="BM76" s="116" t="n"/>
      <c r="BN76" s="116" t="n"/>
      <c r="BO76" s="116" t="n"/>
      <c r="BP76" s="116" t="n"/>
      <c r="BQ76" s="116" t="n"/>
      <c r="BR76" s="116" t="n"/>
      <c r="BS76" s="116" t="n"/>
      <c r="BT76" s="116" t="n"/>
      <c r="BU76" s="116" t="n"/>
      <c r="BV76" s="116" t="n"/>
      <c r="BW76" s="116" t="n"/>
      <c r="BX76" s="116" t="n"/>
      <c r="BY76" s="116" t="n"/>
      <c r="BZ76" s="116" t="n"/>
      <c r="CA76" s="116" t="n"/>
      <c r="EC76" s="57" t="n"/>
      <c r="ED76" s="57" t="n"/>
      <c r="EF76" s="57" t="n"/>
      <c r="EH76" s="57" t="n"/>
      <c r="EI76" s="57" t="n"/>
      <c r="EJ76" s="57" t="n"/>
      <c r="EL76" s="57" t="n"/>
      <c r="EN76" s="57" t="n"/>
      <c r="EP76" s="57" t="n"/>
      <c r="ER76" s="57" t="n"/>
      <c r="ET76" s="57" t="n"/>
      <c r="EU76" s="57" t="n"/>
      <c r="EV76" s="57" t="n"/>
      <c r="EX76" s="57" t="n"/>
      <c r="EY76" s="57" t="n"/>
    </row>
    <row r="77">
      <c r="EC77" s="57" t="n"/>
      <c r="ED77" s="57" t="n"/>
      <c r="EF77" s="57" t="n"/>
      <c r="EH77" s="57" t="n"/>
      <c r="EI77" s="57" t="n"/>
      <c r="EJ77" s="57" t="n"/>
      <c r="EL77" s="57" t="n"/>
      <c r="EN77" s="57" t="n"/>
      <c r="EP77" s="57" t="n"/>
      <c r="ER77" s="57" t="n"/>
      <c r="ET77" s="57" t="n"/>
      <c r="EU77" s="57" t="n"/>
      <c r="EV77" s="57" t="n"/>
      <c r="EX77" s="57" t="n"/>
      <c r="EY77" s="57" t="n"/>
    </row>
    <row r="78">
      <c r="EC78" s="57" t="n"/>
      <c r="ED78" s="57" t="n"/>
      <c r="EF78" s="57" t="n"/>
    </row>
  </sheetData>
  <mergeCells count="26">
    <mergeCell ref="F5:BZ5"/>
    <mergeCell ref="A62:D62"/>
    <mergeCell ref="A72:D72"/>
    <mergeCell ref="A63:D63"/>
    <mergeCell ref="A68:D68"/>
    <mergeCell ref="A67:D67"/>
    <mergeCell ref="A64:D64"/>
    <mergeCell ref="A73:D73"/>
    <mergeCell ref="A60:D60"/>
    <mergeCell ref="FA7:FI7"/>
    <mergeCell ref="A5:A6"/>
    <mergeCell ref="A70:D70"/>
    <mergeCell ref="A61:D61"/>
    <mergeCell ref="A69:D69"/>
    <mergeCell ref="A65:D65"/>
    <mergeCell ref="B5:B6"/>
    <mergeCell ref="F52:BZ56"/>
    <mergeCell ref="A66:D66"/>
    <mergeCell ref="D5:D6"/>
    <mergeCell ref="A75:D75"/>
    <mergeCell ref="B3:D3"/>
    <mergeCell ref="A74:D74"/>
    <mergeCell ref="A71:D71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1" fitToHeight="0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Planilha9">
    <tabColor theme="9"/>
    <outlinePr summaryBelow="1" summaryRight="1"/>
    <pageSetUpPr fitToPage="1"/>
  </sheetPr>
  <dimension ref="A1:GU130"/>
  <sheetViews>
    <sheetView showGridLines="0" zoomScale="80" zoomScaleNormal="80" workbookViewId="0">
      <selection activeCell="CB1" sqref="CB1:CB1048576"/>
    </sheetView>
  </sheetViews>
  <sheetFormatPr baseColWidth="8" defaultColWidth="9.140625" defaultRowHeight="18.75" customHeight="1"/>
  <cols>
    <col width="36.5703125" customWidth="1" min="1" max="1"/>
    <col width="10.140625" customWidth="1" min="2" max="2"/>
    <col hidden="1" width="16.7109375" customWidth="1" min="3" max="3"/>
    <col width="16.140625" customWidth="1" min="4" max="4"/>
    <col width="1.5703125" customWidth="1" min="5" max="5"/>
    <col hidden="1" width="9.855468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8.140625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14062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8.85546875" customWidth="1" min="84" max="84"/>
    <col width="1.85546875" customWidth="1" min="85" max="85"/>
    <col hidden="1" width="26.85546875" customWidth="1" min="86" max="86"/>
    <col width="33.7109375" customWidth="1" min="87" max="87"/>
    <col width="17" customWidth="1" min="88" max="88"/>
    <col width="15.85546875" customWidth="1" min="89" max="89"/>
    <col width="1.28515625" customWidth="1" min="90" max="90"/>
    <col width="8.28515625" customWidth="1" min="91" max="91"/>
    <col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7.5703125" customWidth="1" min="97" max="97"/>
    <col hidden="1" width="8.28515625" customWidth="1" min="98" max="98"/>
    <col hidden="1" width="16" customWidth="1" min="99" max="99"/>
    <col hidden="1" width="8.28515625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13" customWidth="1" min="114" max="114"/>
    <col hidden="1" width="13" customWidth="1" min="115" max="115"/>
    <col hidden="1" width="13" customWidth="1" min="116" max="116"/>
    <col hidden="1" width="17" customWidth="1" min="117" max="117"/>
    <col hidden="1" width="8.28515625" customWidth="1" min="118" max="118"/>
    <col hidden="1" width="13" customWidth="1" min="119" max="119"/>
    <col hidden="1" width="13" customWidth="1" min="120" max="120"/>
    <col hidden="1" width="9.140625" customWidth="1" min="121" max="121"/>
    <col hidden="1" width="8.28515625" customWidth="1" min="122" max="122"/>
    <col hidden="1" width="9.28515625" customWidth="1" min="123" max="123"/>
    <col hidden="1" width="17" customWidth="1" min="124" max="124"/>
    <col hidden="1" width="13" customWidth="1" min="125" max="125"/>
    <col hidden="1" width="8.28515625" customWidth="1" min="126" max="126"/>
    <col hidden="1" width="13" customWidth="1" min="127" max="127"/>
    <col hidden="1" width="13" customWidth="1" min="128" max="128"/>
    <col hidden="1" width="13" customWidth="1" min="129" max="129"/>
    <col hidden="1" width="13" customWidth="1" min="130" max="130"/>
    <col hidden="1" width="13" customWidth="1" min="131" max="131"/>
    <col hidden="1" width="30.5703125" customWidth="1" min="132" max="132"/>
    <col hidden="1" width="8.28515625" customWidth="1" min="133" max="133"/>
    <col hidden="1" width="13" customWidth="1" min="134" max="134"/>
    <col hidden="1" width="13" customWidth="1" min="135" max="135"/>
    <col hidden="1" width="13" customWidth="1" min="136" max="136"/>
    <col hidden="1" width="16.140625" customWidth="1" min="137" max="137"/>
    <col hidden="1" width="14.85546875" customWidth="1" min="138" max="138"/>
    <col hidden="1" width="8.28515625" customWidth="1" min="139" max="139"/>
    <col hidden="1" width="13" customWidth="1" min="140" max="140"/>
    <col hidden="1" width="13" customWidth="1" min="141" max="141"/>
    <col hidden="1" width="14.85546875" customWidth="1" min="142" max="142"/>
    <col hidden="1" width="13" customWidth="1" min="143" max="143"/>
    <col hidden="1" width="8.28515625" customWidth="1" min="144" max="144"/>
    <col hidden="1" width="13" customWidth="1" min="145" max="145"/>
    <col hidden="1" width="18" customWidth="1" min="146" max="146"/>
    <col hidden="1" width="8.28515625" customWidth="1" min="147" max="147"/>
    <col hidden="1" width="13" customWidth="1" min="148" max="148"/>
    <col hidden="1" width="13" customWidth="1" min="149" max="149"/>
    <col hidden="1" width="18.28515625" customWidth="1" min="150" max="150"/>
    <col hidden="1" width="8.28515625" customWidth="1" min="151" max="151"/>
    <col hidden="1" width="13" customWidth="1" min="152" max="152"/>
    <col hidden="1" width="17.42578125" customWidth="1" min="153" max="153"/>
    <col hidden="1" width="13" customWidth="1" min="154" max="154"/>
    <col hidden="1" width="8.28515625" customWidth="1" min="155" max="155"/>
    <col hidden="1" width="13" customWidth="1" min="156" max="156"/>
    <col hidden="1" width="17.42578125" customWidth="1" min="157" max="157"/>
    <col hidden="1" width="13" customWidth="1" min="158" max="158"/>
    <col hidden="1" width="8.28515625" customWidth="1" min="159" max="159"/>
    <col hidden="1" width="17.42578125" customWidth="1" min="160" max="160"/>
    <col hidden="1" width="8.28515625" customWidth="1" min="161" max="161"/>
    <col hidden="1" width="17.42578125" customWidth="1" min="162" max="162"/>
    <col hidden="1" width="13" customWidth="1" min="163" max="163"/>
    <col hidden="1" width="13.140625" customWidth="1" min="164" max="164"/>
    <col hidden="1" width="17.42578125" customWidth="1" min="165" max="165"/>
    <col hidden="1" width="13" customWidth="1" min="166" max="166"/>
    <col hidden="1" width="8.28515625" customWidth="1" min="167" max="167"/>
    <col hidden="1" width="13" customWidth="1" min="168" max="168"/>
    <col hidden="1" width="13" customWidth="1" min="169" max="169"/>
    <col hidden="1" width="13" customWidth="1" min="170" max="170"/>
    <col hidden="1" width="13" customWidth="1" min="171" max="171"/>
    <col hidden="1" width="13" customWidth="1" min="172" max="172"/>
    <col hidden="1" width="13" customWidth="1" min="173" max="173"/>
    <col hidden="1" width="13" customWidth="1" min="174" max="174"/>
    <col hidden="1" width="13" customWidth="1" min="175" max="175"/>
    <col hidden="1" width="13" customWidth="1" min="176" max="176"/>
    <col hidden="1" width="13" customWidth="1" min="177" max="177"/>
    <col hidden="1" width="13" customWidth="1" min="178" max="178"/>
    <col hidden="1" width="13" customWidth="1" min="179" max="179"/>
    <col hidden="1" width="12" customWidth="1" min="180" max="180"/>
    <col hidden="1" width="8.28515625" customWidth="1" min="181" max="181"/>
    <col hidden="1" width="11.85546875" customWidth="1" min="182" max="182"/>
    <col hidden="1" width="13" customWidth="1" min="183" max="183"/>
    <col hidden="1" width="8.28515625" customWidth="1" min="184" max="184"/>
    <col hidden="1" width="13" customWidth="1" min="185" max="185"/>
    <col hidden="1" width="17.42578125" customWidth="1" min="186" max="186"/>
    <col hidden="1" width="8.28515625" customWidth="1" min="187" max="187"/>
    <col hidden="1" width="13" customWidth="1" min="188" max="188"/>
    <col hidden="1" width="13" customWidth="1" min="189" max="189"/>
    <col hidden="1" width="64.42578125" customWidth="1" min="190" max="190"/>
    <col hidden="1" width="17.42578125" customWidth="1" min="191" max="191"/>
    <col hidden="1" width="13" customWidth="1" min="192" max="192"/>
    <col hidden="1" width="8.28515625" customWidth="1" min="193" max="193"/>
    <col hidden="1" width="17.42578125" customWidth="1" min="194" max="194"/>
    <col hidden="1" width="8.28515625" customWidth="1" min="195" max="195"/>
    <col hidden="1" width="13" customWidth="1" min="196" max="196"/>
    <col hidden="1" width="13" customWidth="1" min="197" max="197"/>
    <col hidden="1" width="13" customWidth="1" min="198" max="198"/>
    <col hidden="1" width="13" customWidth="1" min="199" max="199"/>
    <col hidden="1" width="13" customWidth="1" min="200" max="200"/>
    <col width="3.140625" customWidth="1" min="201" max="201"/>
    <col width="9.140625" customWidth="1" min="202" max="202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5" t="n"/>
      <c r="CI1" s="75" t="n"/>
      <c r="CJ1" s="75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  <c r="GE1" s="74" t="n"/>
      <c r="GF1" s="74" t="n"/>
      <c r="GG1" s="74" t="n"/>
      <c r="GH1" s="74" t="n"/>
      <c r="GI1" s="74" t="n"/>
      <c r="GJ1" s="74" t="n"/>
      <c r="GK1" s="74" t="n"/>
      <c r="GL1" s="74" t="n"/>
      <c r="GM1" s="74" t="n"/>
      <c r="GN1" s="74" t="n"/>
      <c r="GO1" s="74" t="n"/>
      <c r="GP1" s="74" t="n"/>
      <c r="GQ1" s="74" t="n"/>
      <c r="GR1" s="74" t="n"/>
    </row>
    <row r="2">
      <c r="A2" s="50" t="inlineStr">
        <is>
          <t>LOJA:</t>
        </is>
      </c>
      <c r="B2" s="639" t="inlineStr">
        <is>
          <t>CD PRAIA</t>
        </is>
      </c>
      <c r="C2" s="640" t="n"/>
      <c r="D2" s="641" t="n"/>
      <c r="CH2" s="49" t="n"/>
      <c r="CI2" s="49" t="n"/>
      <c r="CJ2" s="49" t="n"/>
      <c r="CL2" s="6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49" t="n"/>
      <c r="DP2" s="49" t="n"/>
      <c r="DQ2" s="49" t="n"/>
      <c r="DR2" s="49" t="n"/>
      <c r="DS2" s="6" t="n"/>
      <c r="DT2" s="49" t="n"/>
      <c r="DU2" s="49" t="n"/>
      <c r="DV2" s="49" t="n"/>
      <c r="DW2" s="49" t="n"/>
      <c r="DX2" s="49" t="n"/>
      <c r="DY2" s="49" t="n"/>
      <c r="DZ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S2" s="49" t="n"/>
      <c r="EU2" s="49" t="n"/>
      <c r="EV2" s="49" t="n"/>
      <c r="EY2" s="49" t="n"/>
      <c r="EZ2" s="49" t="n"/>
      <c r="FB2" s="49" t="n"/>
      <c r="FC2" s="49" t="n"/>
      <c r="FD2" s="49" t="n"/>
      <c r="FE2" s="49" t="n"/>
      <c r="FF2" s="49" t="n"/>
      <c r="FG2" s="49" t="n"/>
      <c r="FI2" s="49" t="n"/>
      <c r="FJ2" s="49" t="n"/>
      <c r="FK2" s="49" t="n"/>
      <c r="FL2" s="49" t="n"/>
      <c r="FM2" s="49" t="n"/>
      <c r="FN2" s="49" t="n"/>
      <c r="FO2" s="49" t="n"/>
      <c r="FP2" s="49" t="n"/>
      <c r="FQ2" s="49" t="n"/>
      <c r="FR2" s="49" t="n"/>
      <c r="FS2" s="49" t="n"/>
      <c r="FT2" s="49" t="n"/>
      <c r="FU2" s="49" t="n"/>
      <c r="FV2" s="49" t="n"/>
      <c r="FW2" s="49" t="n"/>
      <c r="FY2" s="49" t="n"/>
      <c r="FZ2" s="49" t="n"/>
      <c r="GA2" s="49" t="n"/>
      <c r="GB2" s="49" t="n"/>
      <c r="GC2" s="49" t="n"/>
      <c r="GD2" s="49" t="n"/>
      <c r="GE2" s="49" t="n"/>
      <c r="GF2" s="49" t="n"/>
      <c r="GG2" s="49" t="n"/>
      <c r="GH2" s="49" t="n"/>
      <c r="GI2" s="49" t="n"/>
      <c r="GJ2" s="49" t="n"/>
      <c r="GK2" s="49" t="n"/>
      <c r="GL2" s="49" t="n"/>
      <c r="GM2" s="49" t="n"/>
      <c r="GN2" s="49" t="n"/>
      <c r="GO2" s="49" t="n"/>
      <c r="GP2" s="49" t="n"/>
      <c r="GQ2" s="49" t="n"/>
      <c r="GR2" s="49" t="n"/>
    </row>
    <row r="3">
      <c r="A3" s="50" t="inlineStr">
        <is>
          <t>Responsável:</t>
        </is>
      </c>
      <c r="B3" s="253" t="inlineStr">
        <is>
          <t>VINICIUS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5" t="n"/>
      <c r="CD3" s="675" t="n"/>
      <c r="CE3" s="675" t="n"/>
      <c r="CF3" s="642" t="n"/>
      <c r="CH3" s="49" t="n"/>
      <c r="CI3" s="49" t="n"/>
      <c r="CJ3" s="49" t="n"/>
      <c r="CL3" s="6" t="n"/>
      <c r="CM3" s="49" t="n"/>
      <c r="CN3" s="49" t="n"/>
      <c r="CO3" s="49" t="n"/>
      <c r="CP3" s="49" t="n"/>
      <c r="CQ3" s="49" t="n"/>
      <c r="CR3" s="49" t="n"/>
      <c r="CS3" s="49" t="n"/>
      <c r="CT3" s="49" t="n"/>
      <c r="CU3" s="49" t="n"/>
      <c r="CV3" s="49" t="n"/>
      <c r="CW3" s="49" t="n"/>
      <c r="CX3" s="49" t="n"/>
      <c r="CY3" s="49" t="n"/>
      <c r="CZ3" s="49" t="n"/>
      <c r="DA3" s="49" t="n"/>
      <c r="DB3" s="49" t="n"/>
      <c r="DC3" s="49" t="n"/>
      <c r="DD3" s="49" t="n"/>
      <c r="DE3" s="49" t="n"/>
      <c r="DF3" s="49" t="n"/>
      <c r="DG3" s="49" t="n"/>
      <c r="DH3" s="49" t="n"/>
      <c r="DI3" s="49" t="n"/>
      <c r="DJ3" s="49" t="n"/>
      <c r="DK3" s="49" t="n"/>
      <c r="DL3" s="49" t="n"/>
      <c r="DM3" s="49" t="n"/>
      <c r="DN3" s="49" t="n"/>
      <c r="DO3" s="49" t="n"/>
      <c r="DP3" s="49" t="n"/>
      <c r="DQ3" s="49" t="n"/>
      <c r="DR3" s="49" t="n"/>
      <c r="DS3" s="6" t="n"/>
      <c r="DT3" s="49" t="n"/>
      <c r="DU3" s="49" t="n"/>
      <c r="DV3" s="49" t="n"/>
      <c r="DW3" s="49" t="n"/>
      <c r="DX3" s="49" t="n"/>
      <c r="DY3" s="49" t="n"/>
      <c r="DZ3" s="49" t="n"/>
      <c r="EA3" s="49" t="n"/>
      <c r="EB3" s="49" t="n"/>
      <c r="EC3" s="49" t="n"/>
      <c r="ED3" s="49" t="n"/>
      <c r="EE3" s="49" t="n"/>
      <c r="EF3" s="49" t="n"/>
      <c r="EG3" s="49" t="n"/>
      <c r="EH3" s="49" t="n"/>
      <c r="EI3" s="49" t="n"/>
      <c r="EJ3" s="49" t="n"/>
      <c r="EK3" s="49" t="n"/>
      <c r="EL3" s="49" t="n"/>
      <c r="EM3" s="49" t="n"/>
      <c r="EN3" s="49" t="n"/>
      <c r="EO3" s="49" t="n"/>
      <c r="EP3" s="49" t="n"/>
      <c r="EQ3" s="49" t="n"/>
      <c r="ER3" s="49" t="n"/>
      <c r="ES3" s="49" t="n"/>
      <c r="EU3" s="49" t="n"/>
      <c r="EV3" s="49" t="n"/>
      <c r="EY3" s="49" t="n"/>
      <c r="EZ3" s="49" t="n"/>
      <c r="FB3" s="49" t="n"/>
      <c r="FC3" s="49" t="n"/>
      <c r="FD3" s="49" t="n"/>
      <c r="FE3" s="49" t="n"/>
      <c r="FF3" s="49" t="n"/>
      <c r="FG3" s="49" t="n"/>
      <c r="FI3" s="49" t="n"/>
      <c r="FJ3" s="49" t="n"/>
      <c r="FK3" s="49" t="n"/>
      <c r="FL3" s="49" t="n"/>
      <c r="FM3" s="49" t="n"/>
      <c r="FN3" s="49" t="n"/>
      <c r="FO3" s="49" t="n"/>
      <c r="FP3" s="49" t="n"/>
      <c r="FQ3" s="49" t="n"/>
      <c r="FR3" s="49" t="n"/>
      <c r="FS3" s="49" t="n"/>
      <c r="FT3" s="49" t="n"/>
      <c r="FU3" s="49" t="n"/>
      <c r="FV3" s="49" t="n"/>
      <c r="FW3" s="49" t="n"/>
      <c r="FY3" s="49" t="n"/>
      <c r="FZ3" s="49" t="n"/>
      <c r="GA3" s="49" t="n"/>
      <c r="GB3" s="49" t="n"/>
      <c r="GC3" s="49" t="n"/>
      <c r="GD3" s="49" t="n"/>
      <c r="GE3" s="49" t="n"/>
      <c r="GF3" s="49" t="n"/>
      <c r="GG3" s="49" t="n"/>
      <c r="GH3" s="49" t="n"/>
      <c r="GI3" s="49" t="n"/>
      <c r="GJ3" s="49" t="n"/>
      <c r="GK3" s="49" t="n"/>
      <c r="GL3" s="49" t="n"/>
      <c r="GM3" s="49" t="n"/>
      <c r="GN3" s="49" t="n"/>
      <c r="GO3" s="49" t="n"/>
      <c r="GP3" s="49" t="n"/>
      <c r="GQ3" s="49" t="n"/>
      <c r="GR3" s="49" t="n"/>
    </row>
    <row r="4" ht="39.75" customHeight="1">
      <c r="BQ4" s="412" t="inlineStr">
        <is>
          <t>CDP NOVO</t>
        </is>
      </c>
      <c r="BR4" s="412" t="n"/>
      <c r="BS4" s="412" t="n"/>
      <c r="BT4" s="412" t="n"/>
      <c r="BU4" s="412" t="n"/>
      <c r="BV4" s="412" t="n"/>
      <c r="BW4" s="412" t="n"/>
      <c r="BX4" s="412" t="n"/>
      <c r="BY4" s="412" t="n"/>
      <c r="BZ4" s="412" t="n"/>
      <c r="CA4" s="412" t="n"/>
      <c r="CB4" s="412" t="n"/>
      <c r="CC4" s="412" t="n"/>
      <c r="CD4" s="412" t="n"/>
      <c r="CE4" s="412" t="n"/>
      <c r="CH4" s="49" t="n"/>
      <c r="CI4" s="49" t="n"/>
      <c r="CJ4" s="49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6" t="n"/>
      <c r="ET4" s="269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6" t="n"/>
      <c r="FG4" s="6" t="n"/>
      <c r="FH4" s="269" t="n"/>
      <c r="FI4" s="6" t="n"/>
      <c r="FJ4" s="6" t="n"/>
      <c r="FK4" s="6" t="n"/>
      <c r="FL4" s="6" t="n"/>
      <c r="FM4" s="6" t="n"/>
      <c r="FN4" s="6" t="n"/>
      <c r="FO4" s="6" t="n"/>
      <c r="FP4" s="6" t="n"/>
      <c r="FQ4" s="6" t="n"/>
      <c r="FR4" s="6" t="n"/>
      <c r="FS4" s="6" t="n"/>
      <c r="FT4" s="6" t="n"/>
      <c r="FU4" s="6" t="n"/>
      <c r="FV4" s="6" t="n"/>
      <c r="FW4" s="6" t="n"/>
      <c r="FX4" s="269" t="n"/>
      <c r="FY4" s="6" t="n"/>
      <c r="FZ4" s="6" t="n"/>
      <c r="GA4" s="6" t="n"/>
      <c r="GB4" s="6" t="n"/>
      <c r="GC4" s="6" t="n"/>
      <c r="GD4" s="6" t="n"/>
      <c r="GE4" s="6" t="n"/>
      <c r="GF4" s="6" t="n"/>
      <c r="GG4" s="6" t="n"/>
      <c r="GH4" s="6" t="n"/>
      <c r="GI4" s="6" t="n"/>
      <c r="GJ4" s="6" t="n"/>
      <c r="GK4" s="6" t="n"/>
      <c r="GL4" s="6" t="n"/>
      <c r="GM4" s="6" t="n"/>
      <c r="GN4" s="6" t="n"/>
      <c r="GO4" s="6" t="n"/>
      <c r="GP4" s="6" t="n"/>
      <c r="GQ4" s="6" t="n"/>
      <c r="GR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510" t="n"/>
      <c r="CF5" s="153" t="n"/>
      <c r="CH5" s="35" t="inlineStr">
        <is>
          <t>Pendências</t>
        </is>
      </c>
      <c r="CI5" s="413" t="inlineStr">
        <is>
          <t>TRANSFERÊNCIA</t>
        </is>
      </c>
      <c r="CJ5" s="35" t="inlineStr">
        <is>
          <t>Pendências</t>
        </is>
      </c>
      <c r="CK5" s="12" t="inlineStr">
        <is>
          <t>Novo Pedido</t>
        </is>
      </c>
      <c r="CL5" s="708" t="n">
        <v>46161.48287347775</v>
      </c>
      <c r="CM5" s="654" t="n">
        <v>46149</v>
      </c>
      <c r="CN5" s="654" t="n">
        <v>46114</v>
      </c>
      <c r="CO5" s="654" t="n">
        <v>46099</v>
      </c>
      <c r="CP5" s="710" t="n">
        <v>46065</v>
      </c>
      <c r="CQ5" s="711" t="n">
        <v>46045</v>
      </c>
      <c r="CR5" s="654" t="n">
        <v>46076</v>
      </c>
      <c r="CS5" s="655" t="inlineStr">
        <is>
          <t>TRANSF.</t>
        </is>
      </c>
      <c r="CT5" s="654" t="n">
        <v>46077</v>
      </c>
      <c r="CU5" s="655" t="inlineStr">
        <is>
          <t>TRANSF.</t>
        </is>
      </c>
      <c r="CV5" s="654" t="n">
        <v>46071</v>
      </c>
      <c r="CW5" s="654" t="n">
        <v>46071</v>
      </c>
      <c r="CX5" s="654" t="n">
        <v>46056</v>
      </c>
      <c r="CY5" s="654" t="n">
        <v>46043</v>
      </c>
      <c r="CZ5" s="654" t="n">
        <v>46035</v>
      </c>
      <c r="DA5" s="654" t="n">
        <v>46029</v>
      </c>
      <c r="DB5" s="654" t="n">
        <v>46017</v>
      </c>
      <c r="DC5" s="654" t="n">
        <v>46001</v>
      </c>
      <c r="DD5" s="654" t="n">
        <v>46007</v>
      </c>
      <c r="DE5" s="654" t="n">
        <v>45994</v>
      </c>
      <c r="DF5" s="654" t="n">
        <v>45986</v>
      </c>
      <c r="DG5" s="654" t="n">
        <v>45986</v>
      </c>
      <c r="DH5" s="654" t="n">
        <v>45980</v>
      </c>
      <c r="DI5" s="654" t="n">
        <v>45980</v>
      </c>
      <c r="DJ5" s="654" t="n">
        <v>45973</v>
      </c>
      <c r="DK5" s="654" t="n">
        <v>45965</v>
      </c>
      <c r="DL5" s="654" t="n">
        <v>45960</v>
      </c>
      <c r="DM5" s="655" t="inlineStr">
        <is>
          <t>TRANSF.</t>
        </is>
      </c>
      <c r="DN5" s="654" t="n">
        <v>45937</v>
      </c>
      <c r="DO5" s="654" t="n">
        <v>45951</v>
      </c>
      <c r="DP5" s="654" t="n">
        <v>45931</v>
      </c>
      <c r="DQ5" s="654" t="n">
        <v>45923</v>
      </c>
      <c r="DR5" s="654" t="n">
        <v>45923</v>
      </c>
      <c r="DS5" s="678" t="n">
        <v>45903</v>
      </c>
      <c r="DT5" s="655" t="inlineStr">
        <is>
          <t>TRANSF.</t>
        </is>
      </c>
      <c r="DU5" s="679" t="inlineStr">
        <is>
          <t>TRANSF.</t>
        </is>
      </c>
      <c r="DV5" s="654" t="n">
        <v>45915</v>
      </c>
      <c r="DW5" s="654" t="n">
        <v>45909</v>
      </c>
      <c r="DX5" s="654" t="n">
        <v>45903</v>
      </c>
      <c r="DY5" s="654" t="n">
        <v>45903</v>
      </c>
      <c r="DZ5" s="654" t="n">
        <v>45895</v>
      </c>
      <c r="EA5" s="654" t="n">
        <v>45881</v>
      </c>
      <c r="EB5" s="679" t="inlineStr">
        <is>
          <t>TRANSFERÊNCIA</t>
        </is>
      </c>
      <c r="EC5" s="654" t="n">
        <v>45888</v>
      </c>
      <c r="ED5" s="679" t="n">
        <v>45839</v>
      </c>
      <c r="EE5" s="654" t="n">
        <v>45874</v>
      </c>
      <c r="EF5" s="654" t="n">
        <v>45867</v>
      </c>
      <c r="EG5" s="655" t="inlineStr">
        <is>
          <t>TRANSF.</t>
        </is>
      </c>
      <c r="EH5" s="655" t="inlineStr">
        <is>
          <t>TRANSF.</t>
        </is>
      </c>
      <c r="EI5" s="654" t="n">
        <v>45874</v>
      </c>
      <c r="EJ5" s="654" t="n">
        <v>45867</v>
      </c>
      <c r="EK5" s="654" t="n">
        <v>45860</v>
      </c>
      <c r="EL5" s="655" t="inlineStr">
        <is>
          <t>TRANSF.</t>
        </is>
      </c>
      <c r="EM5" s="655" t="inlineStr">
        <is>
          <t>TRANSF.</t>
        </is>
      </c>
      <c r="EN5" s="654" t="n">
        <v>45860</v>
      </c>
      <c r="EO5" s="654" t="n">
        <v>45853</v>
      </c>
      <c r="EP5" s="681" t="inlineStr">
        <is>
          <t>TRANSF.</t>
        </is>
      </c>
      <c r="EQ5" s="654" t="n">
        <v>45848</v>
      </c>
      <c r="ER5" s="654" t="n">
        <v>45839</v>
      </c>
      <c r="ES5" s="654" t="n">
        <v>45832</v>
      </c>
      <c r="ET5" s="650" t="inlineStr">
        <is>
          <t>TRANSF.</t>
        </is>
      </c>
      <c r="EU5" s="654" t="n">
        <v>45832</v>
      </c>
      <c r="EV5" s="654" t="n">
        <v>45825</v>
      </c>
      <c r="EW5" s="655" t="inlineStr">
        <is>
          <t>TRANSF.</t>
        </is>
      </c>
      <c r="EX5" s="655" t="inlineStr">
        <is>
          <t>TRANSF.</t>
        </is>
      </c>
      <c r="EY5" s="654" t="n">
        <v>45819</v>
      </c>
      <c r="EZ5" s="654" t="n">
        <v>45813</v>
      </c>
      <c r="FA5" s="655" t="inlineStr">
        <is>
          <t>TRANSF.</t>
        </is>
      </c>
      <c r="FB5" s="655" t="inlineStr">
        <is>
          <t>TRANSF.</t>
        </is>
      </c>
      <c r="FC5" s="654" t="n">
        <v>45805</v>
      </c>
      <c r="FD5" s="655" t="inlineStr">
        <is>
          <t>TRANSF.</t>
        </is>
      </c>
      <c r="FE5" s="654" t="n">
        <v>45790</v>
      </c>
      <c r="FF5" s="655" t="inlineStr">
        <is>
          <t>TRANSF.</t>
        </is>
      </c>
      <c r="FG5" s="683" t="inlineStr">
        <is>
          <t>TRANSF.</t>
        </is>
      </c>
      <c r="FH5" s="650" t="inlineStr">
        <is>
          <t>TRANSF.</t>
        </is>
      </c>
      <c r="FI5" s="655" t="inlineStr">
        <is>
          <t>TRANSF.</t>
        </is>
      </c>
      <c r="FJ5" s="655" t="inlineStr">
        <is>
          <t>TRANSF.</t>
        </is>
      </c>
      <c r="FK5" s="654" t="n">
        <v>45790</v>
      </c>
      <c r="FL5" s="654" t="n">
        <v>45783</v>
      </c>
      <c r="FM5" s="654" t="n">
        <v>45775</v>
      </c>
      <c r="FN5" s="654" t="n">
        <v>45756</v>
      </c>
      <c r="FO5" s="654" t="n">
        <v>45770</v>
      </c>
      <c r="FP5" s="654" t="n">
        <v>45756</v>
      </c>
      <c r="FQ5" s="654" t="n">
        <v>45749</v>
      </c>
      <c r="FR5" s="654" t="n">
        <v>45736</v>
      </c>
      <c r="FS5" s="654" t="n">
        <v>45743</v>
      </c>
      <c r="FT5" s="654" t="n">
        <v>45735</v>
      </c>
      <c r="FU5" s="654" t="n">
        <v>45728</v>
      </c>
      <c r="FV5" s="654" t="n">
        <v>45722</v>
      </c>
      <c r="FW5" s="654" t="n">
        <v>45714</v>
      </c>
      <c r="FX5" s="650" t="n">
        <v>45700</v>
      </c>
      <c r="FY5" s="654" t="n">
        <v>45706</v>
      </c>
      <c r="FZ5" s="654" t="n">
        <v>45700</v>
      </c>
      <c r="GA5" s="654" t="n">
        <v>45684</v>
      </c>
      <c r="GB5" s="654" t="n">
        <v>45699</v>
      </c>
      <c r="GC5" s="654" t="n">
        <v>45699</v>
      </c>
      <c r="GD5" s="655" t="inlineStr">
        <is>
          <t>TRANSF.</t>
        </is>
      </c>
      <c r="GE5" s="654" t="n">
        <v>45693</v>
      </c>
      <c r="GF5" s="654" t="n">
        <v>45693</v>
      </c>
      <c r="GG5" s="654" t="n">
        <v>45685</v>
      </c>
      <c r="GH5" s="216" t="inlineStr">
        <is>
          <t>TRANSF. DISNEY/24</t>
        </is>
      </c>
      <c r="GI5" s="655" t="inlineStr">
        <is>
          <t>TRANSF.</t>
        </is>
      </c>
      <c r="GJ5" s="655" t="inlineStr">
        <is>
          <t>TRANSF.</t>
        </is>
      </c>
      <c r="GK5" s="654" t="n">
        <v>45674</v>
      </c>
      <c r="GL5" s="655" t="inlineStr">
        <is>
          <t>TRANSF.</t>
        </is>
      </c>
      <c r="GM5" s="654" t="n">
        <v>45664</v>
      </c>
      <c r="GN5" s="654" t="n">
        <v>46008</v>
      </c>
      <c r="GO5" s="654" t="n">
        <v>45660</v>
      </c>
      <c r="GP5" s="654" t="n">
        <v>45652</v>
      </c>
      <c r="GQ5" s="654" t="n">
        <v>45638</v>
      </c>
      <c r="GR5" s="654" t="n">
        <v>45643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46161.48003686342</v>
      </c>
      <c r="CD6" s="651" t="n">
        <v>46161.48071633102</v>
      </c>
      <c r="CE6" s="651" t="n">
        <v>46161.48287467094</v>
      </c>
      <c r="CF6" s="652" t="inlineStr">
        <is>
          <t>USOU</t>
        </is>
      </c>
      <c r="CG6" s="6" t="n"/>
      <c r="CH6" s="234" t="inlineStr">
        <is>
          <t>TRANSF.</t>
        </is>
      </c>
      <c r="CI6" s="414" t="inlineStr">
        <is>
          <t>SUGESTÃO</t>
        </is>
      </c>
      <c r="CJ6" s="214" t="n">
        <v>46149</v>
      </c>
      <c r="CK6" s="656" t="n">
        <v>46156</v>
      </c>
      <c r="CL6" s="708" t="n">
        <v>46161.48287347801</v>
      </c>
      <c r="CM6" s="654" t="n">
        <v>46154</v>
      </c>
      <c r="CN6" s="654" t="n">
        <v>46122</v>
      </c>
      <c r="CO6" s="654" t="n">
        <v>46106</v>
      </c>
      <c r="CP6" s="710" t="n">
        <v>46106</v>
      </c>
      <c r="CQ6" s="711" t="n">
        <v>46090</v>
      </c>
      <c r="CR6" s="654" t="n">
        <v>46087</v>
      </c>
      <c r="CS6" s="655" t="n">
        <v>46084</v>
      </c>
      <c r="CT6" s="654" t="n">
        <v>46083</v>
      </c>
      <c r="CU6" s="655" t="n">
        <v>46077</v>
      </c>
      <c r="CV6" s="654" t="n">
        <v>46076</v>
      </c>
      <c r="CW6" s="654" t="n">
        <v>46073</v>
      </c>
      <c r="CX6" s="654" t="n">
        <v>46062</v>
      </c>
      <c r="CY6" s="654" t="n">
        <v>46052</v>
      </c>
      <c r="CZ6" s="654" t="n">
        <v>46041</v>
      </c>
      <c r="DA6" s="654" t="n">
        <v>46036</v>
      </c>
      <c r="DB6" s="654" t="n">
        <v>46030</v>
      </c>
      <c r="DC6" s="654" t="n">
        <v>46030</v>
      </c>
      <c r="DD6" s="654" t="n">
        <v>46013</v>
      </c>
      <c r="DE6" s="654" t="n">
        <v>46002</v>
      </c>
      <c r="DF6" s="654" t="n">
        <v>45999</v>
      </c>
      <c r="DG6" s="654" t="n">
        <v>45993</v>
      </c>
      <c r="DH6" s="654" t="n">
        <v>45993</v>
      </c>
      <c r="DI6" s="654" t="n">
        <v>45988</v>
      </c>
      <c r="DJ6" s="654" t="n">
        <v>45979</v>
      </c>
      <c r="DK6" s="654" t="n">
        <v>45974</v>
      </c>
      <c r="DL6" s="654" t="n">
        <v>45968</v>
      </c>
      <c r="DM6" s="655" t="n">
        <v>45967</v>
      </c>
      <c r="DN6" s="654" t="n">
        <v>45961</v>
      </c>
      <c r="DO6" s="654" t="n">
        <v>45958</v>
      </c>
      <c r="DP6" s="654" t="n">
        <v>45940</v>
      </c>
      <c r="DQ6" s="654" t="n">
        <v>45937</v>
      </c>
      <c r="DR6" s="654" t="n">
        <v>45937</v>
      </c>
      <c r="DS6" s="687" t="n">
        <v>45932</v>
      </c>
      <c r="DT6" s="655" t="n">
        <v>45931</v>
      </c>
      <c r="DU6" s="688" t="n">
        <v>45931</v>
      </c>
      <c r="DV6" s="654" t="n">
        <v>45925</v>
      </c>
      <c r="DW6" s="654" t="n">
        <v>45915</v>
      </c>
      <c r="DX6" s="654" t="n">
        <v>45910</v>
      </c>
      <c r="DY6" s="654" t="n">
        <v>45906</v>
      </c>
      <c r="DZ6" s="654" t="n">
        <v>45901</v>
      </c>
      <c r="EA6" s="654" t="n">
        <v>45897</v>
      </c>
      <c r="EB6" s="679" t="n">
        <v>45896</v>
      </c>
      <c r="EC6" s="654" t="n">
        <v>45894</v>
      </c>
      <c r="ED6" s="679" t="n">
        <v>45894</v>
      </c>
      <c r="EE6" s="654" t="n">
        <v>45891</v>
      </c>
      <c r="EF6" s="654" t="n">
        <v>45888</v>
      </c>
      <c r="EG6" s="655" t="n">
        <v>45882</v>
      </c>
      <c r="EH6" s="655" t="n">
        <v>45881</v>
      </c>
      <c r="EI6" s="654" t="n">
        <v>45881</v>
      </c>
      <c r="EJ6" s="654" t="n">
        <v>45873</v>
      </c>
      <c r="EK6" s="654" t="n">
        <v>45868</v>
      </c>
      <c r="EL6" s="655" t="n">
        <v>45863</v>
      </c>
      <c r="EM6" s="655" t="n">
        <v>45860</v>
      </c>
      <c r="EN6" s="654" t="n">
        <v>45863</v>
      </c>
      <c r="EO6" s="654" t="n">
        <v>45861</v>
      </c>
      <c r="EP6" s="681" t="n">
        <v>45855</v>
      </c>
      <c r="EQ6" s="654" t="n">
        <v>45853</v>
      </c>
      <c r="ER6" s="654" t="n">
        <v>45845</v>
      </c>
      <c r="ES6" s="654" t="n">
        <v>45845</v>
      </c>
      <c r="ET6" s="650" t="n">
        <v>45842</v>
      </c>
      <c r="EU6" s="654" t="n">
        <v>45836</v>
      </c>
      <c r="EV6" s="654" t="n">
        <v>45832</v>
      </c>
      <c r="EW6" s="655" t="n">
        <v>45826</v>
      </c>
      <c r="EX6" s="655" t="n">
        <v>45825</v>
      </c>
      <c r="EY6" s="654" t="n">
        <v>45824</v>
      </c>
      <c r="EZ6" s="654" t="n">
        <v>45824</v>
      </c>
      <c r="FA6" s="655" t="n">
        <v>45820</v>
      </c>
      <c r="FB6" s="655" t="n">
        <v>45818</v>
      </c>
      <c r="FC6" s="654" t="n">
        <v>45810</v>
      </c>
      <c r="FD6" s="655" t="n">
        <v>45807</v>
      </c>
      <c r="FE6" s="654" t="n">
        <v>45803</v>
      </c>
      <c r="FF6" s="655" t="n">
        <v>45799</v>
      </c>
      <c r="FG6" s="690" t="n">
        <v>45799</v>
      </c>
      <c r="FH6" s="650" t="n">
        <v>45798</v>
      </c>
      <c r="FI6" s="655" t="n">
        <v>45798</v>
      </c>
      <c r="FJ6" s="655" t="n">
        <v>45797</v>
      </c>
      <c r="FK6" s="654" t="n">
        <v>45792</v>
      </c>
      <c r="FL6" s="654" t="n">
        <v>45785</v>
      </c>
      <c r="FM6" s="654" t="n">
        <v>45783</v>
      </c>
      <c r="FN6" s="654" t="n">
        <v>45777</v>
      </c>
      <c r="FO6" s="654" t="n">
        <v>45776</v>
      </c>
      <c r="FP6" s="654" t="n">
        <v>45772</v>
      </c>
      <c r="FQ6" s="654" t="n">
        <v>45756</v>
      </c>
      <c r="FR6" s="654" t="n">
        <v>45757</v>
      </c>
      <c r="FS6" s="654" t="n">
        <v>45750</v>
      </c>
      <c r="FT6" s="654" t="n">
        <v>45744</v>
      </c>
      <c r="FU6" s="654" t="n">
        <v>45733</v>
      </c>
      <c r="FV6" s="654" t="n">
        <v>45727</v>
      </c>
      <c r="FW6" s="654" t="n">
        <v>45721</v>
      </c>
      <c r="FX6" s="650" t="n">
        <v>45715</v>
      </c>
      <c r="FY6" s="654" t="n">
        <v>45716</v>
      </c>
      <c r="FZ6" s="654" t="n">
        <v>45714</v>
      </c>
      <c r="GA6" s="654" t="n">
        <v>45713</v>
      </c>
      <c r="GB6" s="654" t="n">
        <v>45709</v>
      </c>
      <c r="GC6" s="654" t="n">
        <v>45708</v>
      </c>
      <c r="GD6" s="655" t="n">
        <v>45706</v>
      </c>
      <c r="GE6" s="654" t="n">
        <v>45701</v>
      </c>
      <c r="GF6" s="654" t="n">
        <v>45699</v>
      </c>
      <c r="GG6" s="654" t="n">
        <v>45692</v>
      </c>
      <c r="GH6" s="712" t="n">
        <v>45692</v>
      </c>
      <c r="GI6" s="655" t="n">
        <v>45691</v>
      </c>
      <c r="GJ6" s="655" t="n">
        <v>45681</v>
      </c>
      <c r="GK6" s="654" t="n">
        <v>45678</v>
      </c>
      <c r="GL6" s="655" t="n">
        <v>45672</v>
      </c>
      <c r="GM6" s="654" t="n">
        <v>45667</v>
      </c>
      <c r="GN6" s="654" t="n">
        <v>45667</v>
      </c>
      <c r="GO6" s="654" t="n">
        <v>45665</v>
      </c>
      <c r="GP6" s="654" t="n">
        <v>45660</v>
      </c>
      <c r="GQ6" s="654" t="n">
        <v>45660</v>
      </c>
      <c r="GR6" s="654" t="n">
        <v>45660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575" t="n"/>
      <c r="CG7" s="6" t="n"/>
      <c r="CH7" s="20" t="inlineStr">
        <is>
          <t>VDP P/ LOJAS</t>
        </is>
      </c>
      <c r="CI7" s="20" t="n"/>
      <c r="CJ7" s="89" t="n"/>
      <c r="CK7" s="22" t="n"/>
      <c r="CL7" s="575" t="n"/>
      <c r="CM7" s="575" t="n"/>
      <c r="CN7" s="575" t="n"/>
      <c r="CO7" s="575" t="n"/>
      <c r="CP7" s="270" t="inlineStr">
        <is>
          <t>MÃES</t>
        </is>
      </c>
      <c r="CQ7" s="270" t="inlineStr">
        <is>
          <t>MÃES</t>
        </is>
      </c>
      <c r="CR7" s="575" t="n"/>
      <c r="CS7" s="575" t="n"/>
      <c r="CT7" s="575" t="n"/>
      <c r="CU7" s="575" t="n"/>
      <c r="CV7" s="575" t="n"/>
      <c r="CW7" s="575" t="n"/>
      <c r="CX7" s="575" t="n"/>
      <c r="CY7" s="575" t="n"/>
      <c r="CZ7" s="575" t="n"/>
      <c r="DA7" s="575" t="n"/>
      <c r="DB7" s="575" t="n"/>
      <c r="DC7" s="575" t="n"/>
      <c r="DD7" s="575" t="n"/>
      <c r="DE7" s="575" t="n"/>
      <c r="DF7" s="575" t="n"/>
      <c r="DG7" s="575" t="n"/>
      <c r="DH7" s="575" t="n"/>
      <c r="DI7" s="575" t="n"/>
      <c r="DJ7" s="575" t="n"/>
      <c r="DK7" s="575" t="n"/>
      <c r="DL7" s="575" t="n"/>
      <c r="DM7" s="575" t="n"/>
      <c r="DN7" s="575" t="n"/>
      <c r="DO7" s="575" t="n"/>
      <c r="DP7" s="575" t="n"/>
      <c r="DQ7" s="575" t="inlineStr">
        <is>
          <t>CAIXAS</t>
        </is>
      </c>
      <c r="DR7" s="575" t="n"/>
      <c r="DS7" s="394" t="n"/>
      <c r="DT7" s="575" t="n"/>
      <c r="DU7" s="575" t="n"/>
      <c r="DV7" s="575" t="n"/>
      <c r="DW7" s="575" t="n"/>
      <c r="DX7" s="575" t="n"/>
      <c r="DY7" s="575" t="n"/>
      <c r="DZ7" s="575" t="n"/>
      <c r="EA7" s="575" t="n"/>
      <c r="EB7" s="270" t="inlineStr">
        <is>
          <t>HARRY POTTER</t>
        </is>
      </c>
      <c r="EC7" s="575" t="n"/>
      <c r="ED7" s="270" t="inlineStr">
        <is>
          <t>HP</t>
        </is>
      </c>
      <c r="EE7" s="575" t="inlineStr">
        <is>
          <t>caixas</t>
        </is>
      </c>
      <c r="EF7" s="575" t="n"/>
      <c r="EG7" s="575" t="n"/>
      <c r="EH7" s="575" t="n"/>
      <c r="EI7" s="575" t="n"/>
      <c r="EJ7" s="575" t="n"/>
      <c r="EK7" s="575" t="n"/>
      <c r="EL7" s="575" t="n"/>
      <c r="EM7" s="575" t="n"/>
      <c r="EN7" s="575" t="n"/>
      <c r="EO7" s="575" t="n"/>
      <c r="EP7" s="575" t="inlineStr">
        <is>
          <t>PAIS/25</t>
        </is>
      </c>
      <c r="EQ7" s="575" t="n"/>
      <c r="ER7" s="575" t="n"/>
      <c r="ES7" s="575" t="n"/>
      <c r="ET7" s="76" t="inlineStr">
        <is>
          <t>MÃES/25</t>
        </is>
      </c>
      <c r="EU7" s="575" t="n"/>
      <c r="EV7" s="575" t="n"/>
      <c r="EW7" s="575" t="n"/>
      <c r="EX7" s="575" t="n"/>
      <c r="EY7" s="575" t="n"/>
      <c r="EZ7" s="575" t="n"/>
      <c r="FA7" s="575" t="n"/>
      <c r="FB7" s="575" t="n"/>
      <c r="FC7" s="575" t="n"/>
      <c r="FD7" s="575" t="n"/>
      <c r="FE7" s="575" t="n"/>
      <c r="FF7" s="575" t="n"/>
      <c r="FG7" s="575" t="inlineStr">
        <is>
          <t>NAMO/25</t>
        </is>
      </c>
      <c r="FH7" s="76" t="inlineStr">
        <is>
          <t>MÃES/25</t>
        </is>
      </c>
      <c r="FI7" s="575" t="n"/>
      <c r="FJ7" s="575" t="n"/>
      <c r="FK7" s="575" t="n"/>
      <c r="FL7" s="575" t="n"/>
      <c r="FM7" s="575" t="n"/>
      <c r="FN7" s="575" t="n"/>
      <c r="FO7" s="575" t="n"/>
      <c r="FP7" s="575" t="n"/>
      <c r="FQ7" s="575" t="n"/>
      <c r="FR7" s="575" t="n"/>
      <c r="FS7" s="575" t="n"/>
      <c r="FT7" s="575" t="n"/>
      <c r="FU7" s="575" t="n"/>
      <c r="FV7" s="575" t="n"/>
      <c r="FW7" s="575" t="n"/>
      <c r="FX7" s="270" t="inlineStr">
        <is>
          <t>MÃES/25</t>
        </is>
      </c>
      <c r="FY7" s="575" t="n"/>
      <c r="FZ7" s="575" t="inlineStr">
        <is>
          <t>LUAPACK</t>
        </is>
      </c>
      <c r="GA7" s="575" t="inlineStr">
        <is>
          <t>LUAPACK</t>
        </is>
      </c>
      <c r="GB7" s="575" t="n"/>
      <c r="GC7" s="575" t="n"/>
      <c r="GD7" s="575" t="n"/>
      <c r="GE7" s="575" t="n"/>
      <c r="GF7" s="575" t="n"/>
      <c r="GG7" s="575" t="n"/>
      <c r="GH7" s="575" t="n"/>
      <c r="GI7" s="575" t="n"/>
      <c r="GJ7" s="575" t="n"/>
      <c r="GK7" s="575" t="n"/>
      <c r="GL7" s="575" t="n"/>
      <c r="GM7" s="575" t="n"/>
      <c r="GN7" s="575" t="n"/>
      <c r="GO7" s="575" t="n"/>
      <c r="GP7" s="575" t="n"/>
      <c r="GQ7" s="575" t="n"/>
      <c r="GR7" s="575" t="inlineStr">
        <is>
          <t>OUI</t>
        </is>
      </c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1200</v>
      </c>
      <c r="E8" s="6" t="n"/>
      <c r="F8" s="187" t="n">
        <v>2700</v>
      </c>
      <c r="G8" s="187">
        <f>2600+GL8</f>
        <v/>
      </c>
      <c r="H8" s="187" t="n">
        <v>5700</v>
      </c>
      <c r="I8" s="187">
        <f>5700-900</f>
        <v/>
      </c>
      <c r="J8" s="187" t="n">
        <v>3000</v>
      </c>
      <c r="K8" s="187">
        <f>2400+GD8</f>
        <v/>
      </c>
      <c r="L8" s="187" t="n">
        <v>3129</v>
      </c>
      <c r="M8" s="187" t="n">
        <v>1800</v>
      </c>
      <c r="N8" s="187" t="n">
        <v>3000</v>
      </c>
      <c r="O8" s="187">
        <f>2700+FV8</f>
        <v/>
      </c>
      <c r="P8" s="187" t="n">
        <v>3600</v>
      </c>
      <c r="Q8" s="187">
        <f>3600+FR8</f>
        <v/>
      </c>
      <c r="R8" s="187">
        <f>3600+FQ8</f>
        <v/>
      </c>
      <c r="S8" s="187" t="n">
        <v>6600</v>
      </c>
      <c r="T8" s="187" t="n">
        <v>6300</v>
      </c>
      <c r="U8" s="187" t="n">
        <v>6300</v>
      </c>
      <c r="V8" s="187" t="n">
        <v>6000</v>
      </c>
      <c r="W8" s="187" t="n">
        <v>6000</v>
      </c>
      <c r="X8" s="187" t="n">
        <v>6000</v>
      </c>
      <c r="Y8" s="187">
        <f>5400-1500</f>
        <v/>
      </c>
      <c r="Z8" s="187" t="n">
        <v>3600</v>
      </c>
      <c r="AA8" s="187">
        <f>3600-600</f>
        <v/>
      </c>
      <c r="AB8" s="187" t="n">
        <v>2100</v>
      </c>
      <c r="AC8" s="187">
        <f>900+600+300</f>
        <v/>
      </c>
      <c r="AD8" s="187" t="n">
        <v>1200</v>
      </c>
      <c r="AE8" s="187" t="n">
        <v>600</v>
      </c>
      <c r="AF8" s="187">
        <f>0+ER8</f>
        <v/>
      </c>
      <c r="AG8" s="187">
        <f>900+EO8</f>
        <v/>
      </c>
      <c r="AH8" s="187" t="n">
        <v>900</v>
      </c>
      <c r="AI8" s="187">
        <f>900+EL8</f>
        <v/>
      </c>
      <c r="AJ8" s="187" t="n">
        <v>1500</v>
      </c>
      <c r="AK8" s="187" t="n">
        <v>1500</v>
      </c>
      <c r="AL8" s="187" t="n">
        <v>1500</v>
      </c>
      <c r="AM8" s="187" t="n">
        <v>1500</v>
      </c>
      <c r="AN8" s="187" t="n">
        <v>1200</v>
      </c>
      <c r="AO8" s="187">
        <f>1200+DW8</f>
        <v/>
      </c>
      <c r="AP8" s="187" t="n">
        <v>1200</v>
      </c>
      <c r="AQ8" s="187" t="n">
        <v>900</v>
      </c>
      <c r="AR8" s="187" t="n">
        <v>900</v>
      </c>
      <c r="AS8" s="187" t="n">
        <v>900</v>
      </c>
      <c r="AT8" s="187" t="n">
        <v>900</v>
      </c>
      <c r="AU8" s="187" t="n">
        <v>900</v>
      </c>
      <c r="AV8" s="187" t="n">
        <v>600</v>
      </c>
      <c r="AW8" s="187" t="n">
        <v>600</v>
      </c>
      <c r="AX8" s="187">
        <f>600-300</f>
        <v/>
      </c>
      <c r="AY8" s="187" t="n">
        <v>0</v>
      </c>
      <c r="AZ8" s="187">
        <f>0+DG8</f>
        <v/>
      </c>
      <c r="BA8" s="187" t="n">
        <v>1200</v>
      </c>
      <c r="BB8" s="187" t="n">
        <v>900</v>
      </c>
      <c r="BC8" s="187">
        <f>600+DB8</f>
        <v/>
      </c>
      <c r="BD8" s="187" t="n">
        <v>900</v>
      </c>
      <c r="BE8" s="187">
        <f>0+DA8</f>
        <v/>
      </c>
      <c r="BF8" s="187" t="n">
        <v>600</v>
      </c>
      <c r="BG8" s="187" t="n">
        <v>300</v>
      </c>
      <c r="BH8" s="187" t="n">
        <v>2100</v>
      </c>
      <c r="BI8" s="187" t="n">
        <v>2100</v>
      </c>
      <c r="BJ8" s="187" t="n">
        <v>1800</v>
      </c>
      <c r="BK8" s="187" t="n">
        <v>1800</v>
      </c>
      <c r="BL8" s="187" t="n">
        <v>1800</v>
      </c>
      <c r="BM8" s="187" t="n">
        <v>0</v>
      </c>
      <c r="BN8" s="187">
        <f>1200+CT8</f>
        <v/>
      </c>
      <c r="BO8" s="187">
        <f>2400-1200</f>
        <v/>
      </c>
      <c r="BP8" s="187" t="n">
        <v>1200</v>
      </c>
      <c r="BQ8" s="187" t="n">
        <v>900</v>
      </c>
      <c r="BR8" s="187">
        <f>900+CL8</f>
        <v/>
      </c>
      <c r="BS8" s="187" t="n">
        <v>900</v>
      </c>
      <c r="BT8" s="187" t="n">
        <v>1200</v>
      </c>
      <c r="BU8" s="187" t="n">
        <v>1200</v>
      </c>
      <c r="BV8" s="187" t="n">
        <v>1500</v>
      </c>
      <c r="BW8" s="187" t="n">
        <v>1500</v>
      </c>
      <c r="BX8" s="187" t="n">
        <v>900</v>
      </c>
      <c r="BY8" s="187">
        <f>600+CJ8</f>
        <v/>
      </c>
      <c r="BZ8" s="187" t="n"/>
      <c r="CA8" s="187" t="n"/>
      <c r="CB8" s="187" t="n"/>
      <c r="CC8" s="422" t="n"/>
      <c r="CD8" s="422" t="n"/>
      <c r="CE8" s="422" t="n"/>
      <c r="CF8" s="188">
        <f>CD8+IF(NOT(ISBLANK(OFFSET(CF8,0,6))),N(OFFSET(CF8,0,6)),N(OFFSET(CF8,0,7)))-CE8</f>
        <v/>
      </c>
      <c r="CG8" s="6" t="n"/>
      <c r="CH8" s="19" t="n"/>
      <c r="CI8" s="346" t="n"/>
      <c r="CJ8" s="346" t="n"/>
      <c r="CK8" s="27" t="n"/>
      <c r="CL8" s="110" t="n">
        <v>0</v>
      </c>
      <c r="CM8" s="179" t="n">
        <v>1200</v>
      </c>
      <c r="CN8" s="179" t="n">
        <v>600</v>
      </c>
      <c r="CO8" s="179" t="n">
        <v>300</v>
      </c>
      <c r="CP8" s="179" t="n"/>
      <c r="CQ8" s="179" t="n"/>
      <c r="CR8" s="179" t="n"/>
      <c r="CS8" s="402" t="inlineStr">
        <is>
          <t>1200 P/ ER PG</t>
        </is>
      </c>
      <c r="CT8" s="179" t="n"/>
      <c r="CU8" s="260" t="n"/>
      <c r="CV8" s="179" t="n"/>
      <c r="CW8" s="179" t="n">
        <v>1200</v>
      </c>
      <c r="CX8" s="179" t="n"/>
      <c r="CY8" s="179" t="n"/>
      <c r="CZ8" s="179" t="n"/>
      <c r="DA8" s="179" t="n"/>
      <c r="DB8" s="179" t="n">
        <v>900</v>
      </c>
      <c r="DC8" s="179" t="n">
        <v>900</v>
      </c>
      <c r="DD8" s="179" t="n">
        <v>900</v>
      </c>
      <c r="DE8" s="179" t="n">
        <v>600</v>
      </c>
      <c r="DF8" s="179" t="n"/>
      <c r="DG8" s="179" t="n"/>
      <c r="DH8" s="179" t="n"/>
      <c r="DI8" s="179" t="n"/>
      <c r="DJ8" s="179" t="n">
        <v>1200</v>
      </c>
      <c r="DK8" s="179" t="n"/>
      <c r="DL8" s="179" t="n">
        <v>300</v>
      </c>
      <c r="DM8" s="402" t="inlineStr">
        <is>
          <t>300 P/ ER MG</t>
        </is>
      </c>
      <c r="DN8" s="179" t="n"/>
      <c r="DO8" s="179" t="n">
        <v>600</v>
      </c>
      <c r="DP8" s="179" t="n"/>
      <c r="DQ8" s="179" t="n"/>
      <c r="DR8" s="179" t="n"/>
      <c r="DS8" s="356" t="n"/>
      <c r="DT8" s="260" t="n"/>
      <c r="DU8" s="260" t="n"/>
      <c r="DV8" s="179" t="n"/>
      <c r="DW8" s="179" t="n"/>
      <c r="DX8" s="179" t="n"/>
      <c r="DY8" s="179" t="n"/>
      <c r="DZ8" s="179" t="n">
        <v>600</v>
      </c>
      <c r="EA8" s="179" t="n"/>
      <c r="EB8" s="356" t="n"/>
      <c r="EC8" s="179" t="n"/>
      <c r="ED8" s="356" t="n"/>
      <c r="EE8" s="179" t="n"/>
      <c r="EF8" s="179" t="n"/>
      <c r="EG8" s="179" t="n"/>
      <c r="EH8" s="179" t="n"/>
      <c r="EI8" s="179" t="n"/>
      <c r="EJ8" s="179" t="n"/>
      <c r="EK8" s="179" t="n"/>
      <c r="EL8" s="179" t="n"/>
      <c r="EM8" s="179" t="n"/>
      <c r="EN8" s="179" t="n"/>
      <c r="EO8" s="179" t="n">
        <v>600</v>
      </c>
      <c r="EP8" s="179" t="n"/>
      <c r="EQ8" s="179" t="n"/>
      <c r="ER8" s="179" t="n">
        <v>600</v>
      </c>
      <c r="ES8" s="179" t="n"/>
      <c r="ET8" s="256" t="n"/>
      <c r="EU8" s="179" t="n">
        <v>1200</v>
      </c>
      <c r="EV8" s="179" t="n"/>
      <c r="EW8" s="260" t="n"/>
      <c r="EX8" s="260" t="n"/>
      <c r="EY8" s="179" t="n"/>
      <c r="EZ8" s="179" t="n"/>
      <c r="FA8" s="239" t="inlineStr">
        <is>
          <t>300 DE BOQ</t>
        </is>
      </c>
      <c r="FB8" s="239" t="inlineStr">
        <is>
          <t>600 DE PL</t>
        </is>
      </c>
      <c r="FC8" s="179" t="n"/>
      <c r="FD8" s="239" t="inlineStr">
        <is>
          <t>600 P/ ER PBE</t>
        </is>
      </c>
      <c r="FE8" s="179" t="n"/>
      <c r="FF8" s="260" t="n"/>
      <c r="FG8" s="260" t="n"/>
      <c r="FH8" s="256" t="n"/>
      <c r="FI8" s="260" t="n"/>
      <c r="FJ8" s="239" t="inlineStr">
        <is>
          <t>1500 P/ ER</t>
        </is>
      </c>
      <c r="FK8" s="179" t="n"/>
      <c r="FL8" s="179" t="n"/>
      <c r="FM8" s="179" t="n"/>
      <c r="FN8" s="179" t="n"/>
      <c r="FO8" s="179" t="n"/>
      <c r="FP8" s="179" t="n"/>
      <c r="FQ8" s="179" t="n"/>
      <c r="FR8" s="179" t="n"/>
      <c r="FS8" s="179" t="n"/>
      <c r="FT8" s="179" t="n">
        <v>3000</v>
      </c>
      <c r="FU8" s="179" t="n">
        <v>1500</v>
      </c>
      <c r="FV8" s="179" t="n"/>
      <c r="FW8" s="179" t="n"/>
      <c r="FX8" s="256" t="n"/>
      <c r="FY8" s="179" t="n">
        <v>2100</v>
      </c>
      <c r="FZ8" s="179" t="n"/>
      <c r="GA8" s="179" t="n"/>
      <c r="GB8" s="179" t="n"/>
      <c r="GC8" s="179" t="n">
        <v>1500</v>
      </c>
      <c r="GD8" s="260" t="n"/>
      <c r="GE8" s="179" t="n"/>
      <c r="GF8" s="179" t="n"/>
      <c r="GG8" s="179" t="n">
        <v>2100</v>
      </c>
      <c r="GH8" s="260" t="n"/>
      <c r="GI8" s="260" t="n"/>
      <c r="GJ8" s="239" t="inlineStr">
        <is>
          <t>900 P/ ER</t>
        </is>
      </c>
      <c r="GK8" s="179" t="n"/>
      <c r="GL8" s="179" t="n"/>
      <c r="GM8" s="179" t="n"/>
      <c r="GN8" s="179" t="n"/>
      <c r="GO8" s="179" t="n">
        <v>3600</v>
      </c>
      <c r="GP8" s="179" t="n"/>
      <c r="GQ8" s="179" t="n"/>
      <c r="GR8" s="179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3600</v>
      </c>
      <c r="E9" s="6" t="n"/>
      <c r="F9" s="187" t="n">
        <v>2600</v>
      </c>
      <c r="G9" s="187">
        <f>4400+GL9+GJ9</f>
        <v/>
      </c>
      <c r="H9" s="187" t="n">
        <v>8800</v>
      </c>
      <c r="I9" s="187">
        <f>8800-2000</f>
        <v/>
      </c>
      <c r="J9" s="187">
        <f>6200-2200</f>
        <v/>
      </c>
      <c r="K9" s="187" t="n">
        <v>3400</v>
      </c>
      <c r="L9" s="187" t="n">
        <v>2600</v>
      </c>
      <c r="M9" s="187" t="n">
        <v>2600</v>
      </c>
      <c r="N9" s="187" t="n">
        <v>1800</v>
      </c>
      <c r="O9" s="187">
        <f>800+FV9+FT9</f>
        <v/>
      </c>
      <c r="P9" s="187">
        <f>1400+FS9</f>
        <v/>
      </c>
      <c r="Q9" s="187" t="n">
        <v>3400</v>
      </c>
      <c r="R9" s="187">
        <f>3200+FQ9</f>
        <v/>
      </c>
      <c r="S9" s="187" t="n">
        <v>6000</v>
      </c>
      <c r="T9" s="187" t="n">
        <v>4000</v>
      </c>
      <c r="U9" s="187" t="n">
        <v>3400</v>
      </c>
      <c r="V9" s="187" t="n">
        <v>2800</v>
      </c>
      <c r="W9" s="187">
        <f>2800+FM9</f>
        <v/>
      </c>
      <c r="X9" s="187" t="n">
        <v>4800</v>
      </c>
      <c r="Y9" s="187">
        <f>4800-1000</f>
        <v/>
      </c>
      <c r="Z9" s="187" t="n">
        <v>3400</v>
      </c>
      <c r="AA9" s="187" t="n">
        <v>2200</v>
      </c>
      <c r="AB9" s="187">
        <f>1400+EZ9</f>
        <v/>
      </c>
      <c r="AC9" s="187" t="n">
        <v>1600</v>
      </c>
      <c r="AD9" s="187">
        <f>1200+EW9+EV9</f>
        <v/>
      </c>
      <c r="AE9" s="187" t="n">
        <v>2600</v>
      </c>
      <c r="AF9" s="187">
        <f>2000+ER9</f>
        <v/>
      </c>
      <c r="AG9" s="187">
        <f>1000+EO9</f>
        <v/>
      </c>
      <c r="AH9" s="187">
        <f>1000+EN9</f>
        <v/>
      </c>
      <c r="AI9" s="187" t="n">
        <v>3000</v>
      </c>
      <c r="AJ9" s="187" t="n">
        <v>2200</v>
      </c>
      <c r="AK9" s="187" t="n">
        <v>3400</v>
      </c>
      <c r="AL9" s="187">
        <f>2600+EF9</f>
        <v/>
      </c>
      <c r="AM9" s="187" t="n">
        <v>2200</v>
      </c>
      <c r="AN9" s="187">
        <f>1000+DZ9</f>
        <v/>
      </c>
      <c r="AO9" s="187">
        <f>600+DW9</f>
        <v/>
      </c>
      <c r="AP9" s="187" t="n">
        <v>1600</v>
      </c>
      <c r="AQ9" s="187">
        <f>1400+DT9</f>
        <v/>
      </c>
      <c r="AR9" s="187" t="n">
        <v>3000</v>
      </c>
      <c r="AS9" s="187" t="n">
        <v>2400</v>
      </c>
      <c r="AT9" s="187">
        <f>1200+DO9</f>
        <v/>
      </c>
      <c r="AU9" s="187" t="n">
        <v>1800</v>
      </c>
      <c r="AV9" s="187" t="n">
        <v>1600</v>
      </c>
      <c r="AW9" s="187" t="n">
        <v>1200</v>
      </c>
      <c r="AX9" s="187">
        <f>4800-600</f>
        <v/>
      </c>
      <c r="AY9" s="187" t="n">
        <v>2400</v>
      </c>
      <c r="AZ9" s="187">
        <f>800+DG9</f>
        <v/>
      </c>
      <c r="BA9" s="187">
        <f>3000+DF9</f>
        <v/>
      </c>
      <c r="BB9" s="187">
        <f>2600+DD9</f>
        <v/>
      </c>
      <c r="BC9" s="187">
        <f>1800+DB9</f>
        <v/>
      </c>
      <c r="BD9" s="187" t="n">
        <v>4200</v>
      </c>
      <c r="BE9" s="187">
        <f>800+DA9</f>
        <v/>
      </c>
      <c r="BF9" s="187" t="n">
        <v>2400</v>
      </c>
      <c r="BG9" s="187" t="n">
        <v>1200</v>
      </c>
      <c r="BH9" s="187" t="n">
        <v>7400</v>
      </c>
      <c r="BI9" s="187" t="n">
        <v>6800</v>
      </c>
      <c r="BJ9" s="187" t="n">
        <v>5200</v>
      </c>
      <c r="BK9" s="187" t="n">
        <v>6000</v>
      </c>
      <c r="BL9" s="187" t="n">
        <v>5000</v>
      </c>
      <c r="BM9" s="187" t="n">
        <v>3200</v>
      </c>
      <c r="BN9" s="187">
        <f>1800+CT9</f>
        <v/>
      </c>
      <c r="BO9" s="187">
        <f>4800+CQ9-1600</f>
        <v/>
      </c>
      <c r="BP9" s="187" t="n">
        <v>4000</v>
      </c>
      <c r="BQ9" s="187" t="n">
        <v>2200</v>
      </c>
      <c r="BR9" s="187">
        <f>1400+CL9</f>
        <v/>
      </c>
      <c r="BS9" s="187" t="n">
        <v>2400</v>
      </c>
      <c r="BT9" s="187" t="n">
        <v>2200</v>
      </c>
      <c r="BU9" s="187" t="n">
        <v>5600</v>
      </c>
      <c r="BV9" s="187" t="n">
        <v>3400</v>
      </c>
      <c r="BW9" s="187" t="n">
        <v>2400</v>
      </c>
      <c r="BX9" s="187" t="n">
        <v>200</v>
      </c>
      <c r="BY9" s="187" t="n">
        <v>0</v>
      </c>
      <c r="BZ9" s="187" t="n"/>
      <c r="CA9" s="187" t="n"/>
      <c r="CB9" s="187" t="n"/>
      <c r="CC9" s="422" t="n"/>
      <c r="CD9" s="422" t="n"/>
      <c r="CE9" s="422" t="n"/>
      <c r="CF9" s="188">
        <f>CD9+IF(NOT(ISBLANK(OFFSET(CF9,0,6))),N(OFFSET(CF9,0,6)),N(OFFSET(CF9,0,7)))-CE9</f>
        <v/>
      </c>
      <c r="CG9" s="6" t="n"/>
      <c r="CH9" s="19" t="n"/>
      <c r="CI9" s="346" t="n"/>
      <c r="CJ9" s="346" t="n"/>
      <c r="CK9" s="27" t="n">
        <v>1000</v>
      </c>
      <c r="CL9" s="110" t="n">
        <v>0</v>
      </c>
      <c r="CM9" s="179" t="n">
        <v>0</v>
      </c>
      <c r="CN9" s="179" t="n">
        <v>4000</v>
      </c>
      <c r="CO9" s="179" t="n">
        <v>3600</v>
      </c>
      <c r="CP9" s="403" t="n">
        <v>6000</v>
      </c>
      <c r="CQ9" s="179" t="n"/>
      <c r="CR9" s="179" t="n"/>
      <c r="CS9" s="402" t="inlineStr">
        <is>
          <t>1600 P/ ER PG</t>
        </is>
      </c>
      <c r="CT9" s="179" t="n">
        <v>1600</v>
      </c>
      <c r="CU9" s="260" t="n"/>
      <c r="CV9" s="179" t="n"/>
      <c r="CW9" s="179" t="n">
        <v>4000</v>
      </c>
      <c r="CX9" s="179" t="n"/>
      <c r="CY9" s="179" t="n">
        <v>2000</v>
      </c>
      <c r="CZ9" s="179" t="n"/>
      <c r="DA9" s="179" t="n">
        <v>1600</v>
      </c>
      <c r="DB9" s="179" t="n">
        <v>3600</v>
      </c>
      <c r="DC9" s="179" t="n">
        <v>3600</v>
      </c>
      <c r="DD9" s="179" t="n">
        <v>1600</v>
      </c>
      <c r="DE9" s="179" t="n">
        <v>3600</v>
      </c>
      <c r="DF9" s="179" t="n"/>
      <c r="DG9" s="179" t="n">
        <v>1600</v>
      </c>
      <c r="DH9" s="179" t="n"/>
      <c r="DI9" s="179" t="n">
        <v>1600</v>
      </c>
      <c r="DJ9" s="179" t="n">
        <v>3600</v>
      </c>
      <c r="DK9" s="179" t="n"/>
      <c r="DL9" s="179" t="n">
        <v>1000</v>
      </c>
      <c r="DM9" s="402" t="inlineStr">
        <is>
          <t>600 P/ ER MG</t>
        </is>
      </c>
      <c r="DN9" s="179" t="n">
        <v>3600</v>
      </c>
      <c r="DO9" s="179" t="n"/>
      <c r="DP9" s="179" t="n"/>
      <c r="DQ9" s="179" t="n"/>
      <c r="DR9" s="179" t="n">
        <v>1600</v>
      </c>
      <c r="DS9" s="256" t="n">
        <v>200</v>
      </c>
      <c r="DT9" s="260" t="n"/>
      <c r="DU9" s="260" t="n"/>
      <c r="DV9" s="179" t="n">
        <v>1000</v>
      </c>
      <c r="DW9" s="179" t="n">
        <v>2600</v>
      </c>
      <c r="DX9" s="179" t="n">
        <v>1000</v>
      </c>
      <c r="DY9" s="179" t="n"/>
      <c r="DZ9" s="179" t="n">
        <v>3600</v>
      </c>
      <c r="EA9" s="179" t="n"/>
      <c r="EB9" s="376" t="inlineStr">
        <is>
          <t>60 P/ ER PG + 40 P/ ER PB</t>
        </is>
      </c>
      <c r="EC9" s="179" t="n">
        <v>1800</v>
      </c>
      <c r="ED9" s="256" t="n">
        <v>200</v>
      </c>
      <c r="EE9" s="179" t="n"/>
      <c r="EF9" s="179" t="n"/>
      <c r="EG9" s="179" t="n"/>
      <c r="EH9" s="179" t="n"/>
      <c r="EI9" s="179" t="n">
        <v>1000</v>
      </c>
      <c r="EJ9" s="179" t="n"/>
      <c r="EK9" s="179" t="n">
        <v>2000</v>
      </c>
      <c r="EL9" s="179" t="n"/>
      <c r="EM9" s="179" t="n"/>
      <c r="EN9" s="179" t="n"/>
      <c r="EO9" s="179" t="n"/>
      <c r="EP9" s="179" t="n"/>
      <c r="EQ9" s="179" t="n">
        <v>3600</v>
      </c>
      <c r="ER9" s="179" t="n">
        <v>600</v>
      </c>
      <c r="ES9" s="179" t="n"/>
      <c r="ET9" s="256" t="n"/>
      <c r="EU9" s="179" t="n">
        <v>1200</v>
      </c>
      <c r="EV9" s="179" t="n"/>
      <c r="EW9" s="260" t="n"/>
      <c r="EX9" s="260" t="n"/>
      <c r="EY9" s="179" t="n">
        <v>1600</v>
      </c>
      <c r="EZ9" s="179" t="n">
        <v>800</v>
      </c>
      <c r="FA9" s="260" t="n"/>
      <c r="FB9" s="260" t="n"/>
      <c r="FC9" s="179" t="n">
        <v>1400</v>
      </c>
      <c r="FD9" s="260" t="n"/>
      <c r="FE9" s="179" t="n"/>
      <c r="FF9" s="260" t="n"/>
      <c r="FG9" s="260" t="n"/>
      <c r="FH9" s="256" t="n"/>
      <c r="FI9" s="260" t="n"/>
      <c r="FJ9" s="239" t="inlineStr">
        <is>
          <t>1000 P/ ER</t>
        </is>
      </c>
      <c r="FK9" s="179" t="n"/>
      <c r="FL9" s="179" t="n"/>
      <c r="FM9" s="179" t="n"/>
      <c r="FN9" s="179" t="n"/>
      <c r="FO9" s="179" t="n">
        <v>800</v>
      </c>
      <c r="FP9" s="179" t="n">
        <v>2000</v>
      </c>
      <c r="FQ9" s="179" t="n"/>
      <c r="FR9" s="179" t="n"/>
      <c r="FS9" s="179" t="n"/>
      <c r="FT9" s="179" t="n">
        <v>3000</v>
      </c>
      <c r="FU9" s="179" t="n">
        <v>2000</v>
      </c>
      <c r="FV9" s="179" t="n">
        <v>2800</v>
      </c>
      <c r="FW9" s="179" t="n">
        <v>1000</v>
      </c>
      <c r="FX9" s="256" t="n">
        <v>5000</v>
      </c>
      <c r="FY9" s="179" t="n">
        <v>800</v>
      </c>
      <c r="FZ9" s="179" t="n"/>
      <c r="GA9" s="179" t="n"/>
      <c r="GB9" s="179" t="n"/>
      <c r="GC9" s="179" t="n"/>
      <c r="GD9" s="260" t="n"/>
      <c r="GE9" s="179" t="n">
        <v>800</v>
      </c>
      <c r="GF9" s="179" t="n"/>
      <c r="GG9" s="179" t="n"/>
      <c r="GH9" s="263" t="inlineStr">
        <is>
          <t>16 SAC. M Disney 2023 + 1600 SAC. M Divert 2024 P/ ER</t>
        </is>
      </c>
      <c r="GI9" s="239" t="inlineStr">
        <is>
          <t>2200 P/ ER</t>
        </is>
      </c>
      <c r="GJ9" s="239" t="inlineStr">
        <is>
          <t>2000 P/ ER</t>
        </is>
      </c>
      <c r="GK9" s="179" t="n"/>
      <c r="GL9" s="179" t="n"/>
      <c r="GM9" s="179" t="n">
        <v>1000</v>
      </c>
      <c r="GN9" s="179" t="n"/>
      <c r="GO9" s="179" t="n">
        <v>2400</v>
      </c>
      <c r="GP9" s="179" t="n">
        <v>2000</v>
      </c>
      <c r="GQ9" s="179" t="n"/>
      <c r="GR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2000</v>
      </c>
      <c r="E10" s="6" t="n"/>
      <c r="F10" s="187" t="n">
        <v>4000</v>
      </c>
      <c r="G10" s="187">
        <f>4400+GL10</f>
        <v/>
      </c>
      <c r="H10" s="187" t="n">
        <v>4600</v>
      </c>
      <c r="I10" s="187">
        <f>4400-1000</f>
        <v/>
      </c>
      <c r="J10" s="187">
        <f>3400-1400</f>
        <v/>
      </c>
      <c r="K10" s="187" t="n">
        <v>1800</v>
      </c>
      <c r="L10" s="187" t="n">
        <v>1600</v>
      </c>
      <c r="M10" s="187" t="n">
        <v>2000</v>
      </c>
      <c r="N10" s="187" t="n">
        <v>1800</v>
      </c>
      <c r="O10" s="187" t="n">
        <v>1800</v>
      </c>
      <c r="P10" s="187" t="n">
        <v>1400</v>
      </c>
      <c r="Q10" s="187" t="n">
        <v>1400</v>
      </c>
      <c r="R10" s="187">
        <f>1200+FQ10</f>
        <v/>
      </c>
      <c r="S10" s="187" t="n">
        <v>2000</v>
      </c>
      <c r="T10" s="187" t="n">
        <v>1600</v>
      </c>
      <c r="U10" s="187" t="n">
        <v>1600</v>
      </c>
      <c r="V10" s="187" t="n">
        <v>1200</v>
      </c>
      <c r="W10" s="187">
        <f>1200+FM10</f>
        <v/>
      </c>
      <c r="X10" s="187" t="n">
        <v>2200</v>
      </c>
      <c r="Y10" s="187" t="n">
        <v>1200</v>
      </c>
      <c r="Z10" s="187" t="n">
        <v>2800</v>
      </c>
      <c r="AA10" s="187" t="n">
        <v>1800</v>
      </c>
      <c r="AB10" s="187">
        <f>1400+EZ10</f>
        <v/>
      </c>
      <c r="AC10" s="187">
        <f>1600+600</f>
        <v/>
      </c>
      <c r="AD10" s="187" t="n">
        <v>2200</v>
      </c>
      <c r="AE10" s="187" t="n">
        <v>1200</v>
      </c>
      <c r="AF10" s="187">
        <f>1000+ER10</f>
        <v/>
      </c>
      <c r="AG10" s="187" t="n">
        <v>2000</v>
      </c>
      <c r="AH10" s="187" t="n">
        <v>1600</v>
      </c>
      <c r="AI10" s="187">
        <f>1200+EL10</f>
        <v/>
      </c>
      <c r="AJ10" s="187" t="n">
        <v>1400</v>
      </c>
      <c r="AK10" s="187" t="n">
        <v>1200</v>
      </c>
      <c r="AL10" s="187">
        <f>1200+EF10</f>
        <v/>
      </c>
      <c r="AM10" s="187" t="n">
        <v>2000</v>
      </c>
      <c r="AN10" s="187" t="n">
        <v>2000</v>
      </c>
      <c r="AO10" s="187" t="n">
        <v>1400</v>
      </c>
      <c r="AP10" s="187" t="n">
        <v>1200</v>
      </c>
      <c r="AQ10" s="187" t="n">
        <v>2000</v>
      </c>
      <c r="AR10" s="187" t="n">
        <v>2000</v>
      </c>
      <c r="AS10" s="187" t="n">
        <v>1200</v>
      </c>
      <c r="AT10" s="187" t="n">
        <v>200</v>
      </c>
      <c r="AU10" s="187" t="n">
        <v>400</v>
      </c>
      <c r="AV10" s="187" t="n">
        <v>0</v>
      </c>
      <c r="AW10" s="187" t="n">
        <v>0</v>
      </c>
      <c r="AX10" s="187" t="n">
        <v>2000</v>
      </c>
      <c r="AY10" s="187" t="n">
        <v>2600</v>
      </c>
      <c r="AZ10" s="187">
        <f>2600+DG10</f>
        <v/>
      </c>
      <c r="BA10" s="187">
        <f>4000+DF10</f>
        <v/>
      </c>
      <c r="BB10" s="187" t="n">
        <v>5000</v>
      </c>
      <c r="BC10" s="187" t="n">
        <v>4800</v>
      </c>
      <c r="BD10" s="187" t="n">
        <v>4600</v>
      </c>
      <c r="BE10" s="187" t="n">
        <v>3200</v>
      </c>
      <c r="BF10" s="187" t="n">
        <v>3000</v>
      </c>
      <c r="BG10" s="187" t="n">
        <v>2000</v>
      </c>
      <c r="BH10" s="187" t="n">
        <v>2000</v>
      </c>
      <c r="BI10" s="187" t="n">
        <v>2600</v>
      </c>
      <c r="BJ10" s="187" t="n">
        <v>2600</v>
      </c>
      <c r="BK10" s="187" t="n">
        <v>2600</v>
      </c>
      <c r="BL10" s="187" t="n">
        <v>3400</v>
      </c>
      <c r="BM10" s="187" t="n">
        <v>3400</v>
      </c>
      <c r="BN10" s="187" t="n">
        <v>1200</v>
      </c>
      <c r="BO10" s="187">
        <f>1000+CQ10-1000</f>
        <v/>
      </c>
      <c r="BP10" s="187" t="n">
        <v>2200</v>
      </c>
      <c r="BQ10" s="187" t="n">
        <v>1800</v>
      </c>
      <c r="BR10" s="187">
        <f>1800+CL10</f>
        <v/>
      </c>
      <c r="BS10" s="187" t="n">
        <v>2000</v>
      </c>
      <c r="BT10" s="187" t="n">
        <v>2000</v>
      </c>
      <c r="BU10" s="187" t="n">
        <v>2200</v>
      </c>
      <c r="BV10" s="187" t="n">
        <v>1600</v>
      </c>
      <c r="BW10" s="187" t="n">
        <v>1400</v>
      </c>
      <c r="BX10" s="187" t="n">
        <v>1200</v>
      </c>
      <c r="BY10" s="187" t="n">
        <v>600</v>
      </c>
      <c r="BZ10" s="187" t="n"/>
      <c r="CA10" s="187" t="n"/>
      <c r="CB10" s="187" t="n"/>
      <c r="CC10" s="422" t="n"/>
      <c r="CD10" s="422" t="n"/>
      <c r="CE10" s="422" t="n"/>
      <c r="CF10" s="188">
        <f>CD10+IF(NOT(ISBLANK(OFFSET(CF10,0,6))),N(OFFSET(CF10,0,6)),N(OFFSET(CF10,0,7)))-CE10</f>
        <v/>
      </c>
      <c r="CG10" s="6" t="n"/>
      <c r="CH10" s="19" t="n"/>
      <c r="CI10" s="346" t="n"/>
      <c r="CJ10" s="346" t="n"/>
      <c r="CK10" s="27" t="n"/>
      <c r="CL10" s="18" t="n">
        <v>0</v>
      </c>
      <c r="CM10" s="18" t="n">
        <v>0</v>
      </c>
      <c r="CN10" s="18" t="n">
        <v>400</v>
      </c>
      <c r="CO10" s="18" t="n">
        <v>400</v>
      </c>
      <c r="CP10" s="403" t="n">
        <v>3000</v>
      </c>
      <c r="CQ10" s="418" t="n">
        <v>4800</v>
      </c>
      <c r="CR10" s="18" t="n"/>
      <c r="CS10" s="154" t="inlineStr">
        <is>
          <t>1000 P/ ER PG</t>
        </is>
      </c>
      <c r="CT10" s="18" t="n">
        <v>2600</v>
      </c>
      <c r="CU10" s="256" t="n"/>
      <c r="CV10" s="18" t="n"/>
      <c r="CW10" s="18" t="n"/>
      <c r="CX10" s="18" t="n"/>
      <c r="CY10" s="18" t="n"/>
      <c r="CZ10" s="18" t="n"/>
      <c r="DA10" s="18" t="n">
        <v>800</v>
      </c>
      <c r="DB10" s="18" t="n"/>
      <c r="DC10" s="18" t="n"/>
      <c r="DD10" s="18" t="n"/>
      <c r="DE10" s="18" t="n"/>
      <c r="DF10" s="18" t="n"/>
      <c r="DG10" s="18" t="n"/>
      <c r="DH10" s="18" t="n"/>
      <c r="DI10" s="18" t="n">
        <v>1000</v>
      </c>
      <c r="DJ10" s="18" t="n">
        <v>2000</v>
      </c>
      <c r="DK10" s="18" t="n"/>
      <c r="DL10" s="18" t="n">
        <v>1000</v>
      </c>
      <c r="DM10" s="18" t="n"/>
      <c r="DN10" s="18" t="n">
        <v>2000</v>
      </c>
      <c r="DO10" s="18" t="n"/>
      <c r="DP10" s="18" t="n">
        <v>400</v>
      </c>
      <c r="DQ10" s="18" t="n"/>
      <c r="DR10" s="18" t="n"/>
      <c r="DS10" s="256" t="n">
        <v>200</v>
      </c>
      <c r="DT10" s="18" t="n"/>
      <c r="DU10" s="405" t="inlineStr">
        <is>
          <t>130 P/ ER PG</t>
        </is>
      </c>
      <c r="DV10" s="18" t="n"/>
      <c r="DW10" s="18" t="n"/>
      <c r="DX10" s="18" t="n">
        <v>800</v>
      </c>
      <c r="DY10" s="18" t="n"/>
      <c r="DZ10" s="18" t="n"/>
      <c r="EA10" s="18" t="n"/>
      <c r="EB10" s="376" t="inlineStr">
        <is>
          <t>60 P/ ER PG + 40 P/ ER PB</t>
        </is>
      </c>
      <c r="EC10" s="18" t="n"/>
      <c r="ED10" s="256" t="n">
        <v>200</v>
      </c>
      <c r="EE10" s="18" t="n"/>
      <c r="EF10" s="18" t="n"/>
      <c r="EG10" s="18" t="n"/>
      <c r="EH10" s="18" t="n"/>
      <c r="EI10" s="18" t="n">
        <v>1000</v>
      </c>
      <c r="EJ10" s="18" t="n"/>
      <c r="EK10" s="18" t="n"/>
      <c r="EL10" s="18" t="n"/>
      <c r="EM10" s="18" t="n"/>
      <c r="EN10" s="18" t="n"/>
      <c r="EO10" s="18" t="n">
        <v>400</v>
      </c>
      <c r="EP10" s="292" t="inlineStr">
        <is>
          <t>1000 DE ER PG</t>
        </is>
      </c>
      <c r="EQ10" s="18" t="n"/>
      <c r="ER10" s="18" t="n"/>
      <c r="ES10" s="18" t="n"/>
      <c r="ET10" s="256" t="n"/>
      <c r="EU10" s="18" t="n">
        <v>1200</v>
      </c>
      <c r="EV10" s="18" t="n"/>
      <c r="EW10" s="260" t="n"/>
      <c r="EX10" s="260" t="n"/>
      <c r="EY10" s="18" t="n"/>
      <c r="EZ10" s="18" t="n"/>
      <c r="FA10" s="260" t="n"/>
      <c r="FB10" s="239" t="inlineStr">
        <is>
          <t>600 DE ER PG</t>
        </is>
      </c>
      <c r="FC10" s="18" t="n">
        <v>600</v>
      </c>
      <c r="FD10" s="260" t="n"/>
      <c r="FE10" s="18" t="n"/>
      <c r="FF10" s="260" t="n"/>
      <c r="FG10" s="312" t="inlineStr">
        <is>
          <t>200 DE ER</t>
        </is>
      </c>
      <c r="FH10" s="256" t="n"/>
      <c r="FI10" s="260" t="n"/>
      <c r="FJ10" s="260" t="n"/>
      <c r="FK10" s="18" t="n">
        <v>2000</v>
      </c>
      <c r="FL10" s="18" t="n"/>
      <c r="FM10" s="18" t="n"/>
      <c r="FN10" s="18" t="n"/>
      <c r="FO10" s="18" t="n">
        <v>800</v>
      </c>
      <c r="FP10" s="18" t="n">
        <v>600</v>
      </c>
      <c r="FQ10" s="18" t="n"/>
      <c r="FR10" s="18" t="n"/>
      <c r="FS10" s="18" t="n"/>
      <c r="FT10" s="18" t="n">
        <v>800</v>
      </c>
      <c r="FU10" s="18" t="n">
        <v>600</v>
      </c>
      <c r="FV10" s="18" t="n"/>
      <c r="FW10" s="18" t="n"/>
      <c r="FX10" s="256" t="n">
        <v>2800</v>
      </c>
      <c r="FY10" s="18" t="n"/>
      <c r="FZ10" s="18" t="n"/>
      <c r="GA10" s="18" t="n"/>
      <c r="GB10" s="18" t="n"/>
      <c r="GC10" s="18" t="n"/>
      <c r="GD10" s="260" t="n"/>
      <c r="GE10" s="18" t="n">
        <v>400</v>
      </c>
      <c r="GF10" s="18" t="n"/>
      <c r="GG10" s="18" t="n"/>
      <c r="GH10" s="260" t="n"/>
      <c r="GI10" s="239" t="inlineStr">
        <is>
          <t>1400 P/ ER</t>
        </is>
      </c>
      <c r="GJ10" s="239" t="inlineStr">
        <is>
          <t>1000 P/ ER</t>
        </is>
      </c>
      <c r="GK10" s="18" t="n"/>
      <c r="GL10" s="18" t="n"/>
      <c r="GM10" s="18" t="n"/>
      <c r="GN10" s="18" t="n"/>
      <c r="GO10" s="18" t="n">
        <v>400</v>
      </c>
      <c r="GP10" s="18" t="n">
        <v>400</v>
      </c>
      <c r="GQ10" s="18" t="n"/>
      <c r="GR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700</v>
      </c>
      <c r="E11" s="6" t="n"/>
      <c r="F11" s="187" t="n">
        <v>1100</v>
      </c>
      <c r="G11" s="187">
        <f>1100+GL11</f>
        <v/>
      </c>
      <c r="H11" s="187" t="n">
        <v>1500</v>
      </c>
      <c r="I11" s="187" t="n">
        <v>1500</v>
      </c>
      <c r="J11" s="187">
        <f>1500-1000</f>
        <v/>
      </c>
      <c r="K11" s="187" t="n">
        <v>500</v>
      </c>
      <c r="L11" s="187" t="n">
        <v>500</v>
      </c>
      <c r="M11" s="187" t="n">
        <v>500</v>
      </c>
      <c r="N11" s="187" t="n">
        <v>500</v>
      </c>
      <c r="O11" s="187" t="n">
        <v>500</v>
      </c>
      <c r="P11" s="187">
        <f>500+FS11</f>
        <v/>
      </c>
      <c r="Q11" s="187" t="n">
        <v>500</v>
      </c>
      <c r="R11" s="187">
        <f>300+FQ11</f>
        <v/>
      </c>
      <c r="S11" s="187" t="n">
        <v>600</v>
      </c>
      <c r="T11" s="187" t="n">
        <v>900</v>
      </c>
      <c r="U11" s="187" t="n">
        <v>900</v>
      </c>
      <c r="V11" s="187" t="n">
        <v>700</v>
      </c>
      <c r="W11" s="187" t="n">
        <v>600</v>
      </c>
      <c r="X11" s="187" t="n">
        <v>700</v>
      </c>
      <c r="Y11" s="187" t="n">
        <v>400</v>
      </c>
      <c r="Z11" s="187" t="n">
        <v>600</v>
      </c>
      <c r="AA11" s="187" t="n">
        <v>400</v>
      </c>
      <c r="AB11" s="187">
        <f>400+EZ11</f>
        <v/>
      </c>
      <c r="AC11" s="187" t="n">
        <v>600</v>
      </c>
      <c r="AD11" s="187" t="n">
        <v>600</v>
      </c>
      <c r="AE11" s="187" t="n">
        <v>500</v>
      </c>
      <c r="AF11" s="187">
        <f>500+ER11</f>
        <v/>
      </c>
      <c r="AG11" s="187" t="n">
        <v>700</v>
      </c>
      <c r="AH11" s="187" t="n">
        <v>700</v>
      </c>
      <c r="AI11" s="187" t="n">
        <v>600</v>
      </c>
      <c r="AJ11" s="187" t="n">
        <v>500</v>
      </c>
      <c r="AK11" s="187">
        <f>500+EG11</f>
        <v/>
      </c>
      <c r="AL11" s="187" t="n">
        <v>700</v>
      </c>
      <c r="AM11" s="187" t="n">
        <v>700</v>
      </c>
      <c r="AN11" s="187" t="n">
        <v>700</v>
      </c>
      <c r="AO11" s="187" t="n">
        <v>700</v>
      </c>
      <c r="AP11" s="187" t="n">
        <v>700</v>
      </c>
      <c r="AQ11" s="187" t="n">
        <v>700</v>
      </c>
      <c r="AR11" s="187" t="n">
        <v>700</v>
      </c>
      <c r="AS11" s="187" t="n">
        <v>200</v>
      </c>
      <c r="AT11" s="187" t="n">
        <v>100</v>
      </c>
      <c r="AU11" s="187" t="n">
        <v>800</v>
      </c>
      <c r="AV11" s="187" t="n">
        <v>700</v>
      </c>
      <c r="AW11" s="187" t="n">
        <v>600</v>
      </c>
      <c r="AX11" s="187" t="n">
        <v>600</v>
      </c>
      <c r="AY11" s="187" t="n">
        <v>600</v>
      </c>
      <c r="AZ11" s="187">
        <f>600+DG11</f>
        <v/>
      </c>
      <c r="BA11" s="187" t="n">
        <v>700</v>
      </c>
      <c r="BB11" s="187" t="n">
        <v>700</v>
      </c>
      <c r="BC11" s="187" t="n">
        <v>600</v>
      </c>
      <c r="BD11" s="187" t="n">
        <v>600</v>
      </c>
      <c r="BE11" s="187" t="n">
        <v>400</v>
      </c>
      <c r="BF11" s="187" t="n">
        <v>400</v>
      </c>
      <c r="BG11" s="187" t="n">
        <v>300</v>
      </c>
      <c r="BH11" s="187" t="n">
        <v>700</v>
      </c>
      <c r="BI11" s="187" t="n">
        <v>600</v>
      </c>
      <c r="BJ11" s="187" t="n">
        <v>700</v>
      </c>
      <c r="BK11" s="187" t="n">
        <v>700</v>
      </c>
      <c r="BL11" s="187" t="n">
        <v>700</v>
      </c>
      <c r="BM11" s="187" t="n">
        <v>400</v>
      </c>
      <c r="BN11" s="187">
        <f>100+CT11</f>
        <v/>
      </c>
      <c r="BO11" s="187">
        <f>500+CQ11</f>
        <v/>
      </c>
      <c r="BP11" s="187" t="n">
        <v>900</v>
      </c>
      <c r="BQ11" s="187" t="n">
        <v>700</v>
      </c>
      <c r="BR11" s="187">
        <f>600+CL11</f>
        <v/>
      </c>
      <c r="BS11" s="187" t="n">
        <v>1200</v>
      </c>
      <c r="BT11" s="187" t="n">
        <v>1200</v>
      </c>
      <c r="BU11" s="187" t="n">
        <v>1200</v>
      </c>
      <c r="BV11" s="187" t="n">
        <v>1100</v>
      </c>
      <c r="BW11" s="187" t="n">
        <v>1100</v>
      </c>
      <c r="BX11" s="187" t="n">
        <v>800</v>
      </c>
      <c r="BY11" s="187" t="n">
        <v>600</v>
      </c>
      <c r="BZ11" s="187" t="n"/>
      <c r="CA11" s="187" t="n"/>
      <c r="CB11" s="187" t="n"/>
      <c r="CC11" s="422" t="n"/>
      <c r="CD11" s="422" t="n"/>
      <c r="CE11" s="422" t="n"/>
      <c r="CF11" s="188">
        <f>CD11+IF(NOT(ISBLANK(OFFSET(CF11,0,6))),N(OFFSET(CF11,0,6)),N(OFFSET(CF11,0,7)))-CE11</f>
        <v/>
      </c>
      <c r="CG11" s="6" t="n"/>
      <c r="CH11" s="19" t="n"/>
      <c r="CI11" s="19" t="n"/>
      <c r="CJ11" s="346" t="n"/>
      <c r="CK11" s="65" t="n"/>
      <c r="CL11" s="18" t="n">
        <v>0</v>
      </c>
      <c r="CM11" s="18" t="n">
        <v>0</v>
      </c>
      <c r="CN11" s="18" t="n"/>
      <c r="CO11" s="18" t="n">
        <v>700</v>
      </c>
      <c r="CP11" s="403" t="n">
        <v>1000</v>
      </c>
      <c r="CQ11" s="18" t="n"/>
      <c r="CR11" s="18" t="n"/>
      <c r="CS11" s="18" t="n"/>
      <c r="CT11" s="18" t="n">
        <v>700</v>
      </c>
      <c r="CU11" s="18" t="n"/>
      <c r="CV11" s="18" t="n"/>
      <c r="CW11" s="18" t="n">
        <v>700</v>
      </c>
      <c r="CX11" s="18" t="n"/>
      <c r="CY11" s="18" t="n"/>
      <c r="CZ11" s="18" t="n"/>
      <c r="DA11" s="18" t="n"/>
      <c r="DB11" s="18" t="n">
        <v>400</v>
      </c>
      <c r="DC11" s="18" t="n"/>
      <c r="DD11" s="18" t="n"/>
      <c r="DE11" s="18" t="n"/>
      <c r="DF11" s="18" t="n"/>
      <c r="DG11" s="18" t="n"/>
      <c r="DH11" s="18" t="n"/>
      <c r="DI11" s="18" t="n"/>
      <c r="DJ11" s="18" t="n">
        <v>200</v>
      </c>
      <c r="DK11" s="18" t="n"/>
      <c r="DL11" s="18" t="n">
        <v>100</v>
      </c>
      <c r="DM11" s="18" t="n"/>
      <c r="DN11" s="18" t="n"/>
      <c r="DO11" s="18" t="n"/>
      <c r="DP11" s="18" t="n">
        <v>800</v>
      </c>
      <c r="DQ11" s="18" t="n"/>
      <c r="DR11" s="18" t="n"/>
      <c r="DS11" s="256" t="n"/>
      <c r="DT11" s="18" t="n"/>
      <c r="DU11" s="18" t="n"/>
      <c r="DV11" s="18" t="n"/>
      <c r="DW11" s="18" t="n"/>
      <c r="DX11" s="18" t="n"/>
      <c r="DY11" s="18" t="n"/>
      <c r="DZ11" s="18" t="n"/>
      <c r="EA11" s="18" t="n"/>
      <c r="EB11" s="376" t="inlineStr">
        <is>
          <t>50 P/ ER PG + 25 P/ ER PB</t>
        </is>
      </c>
      <c r="EC11" s="18" t="n"/>
      <c r="ED11" s="256" t="n">
        <v>150</v>
      </c>
      <c r="EE11" s="18" t="n"/>
      <c r="EF11" s="18" t="n"/>
      <c r="EG11" s="18" t="n"/>
      <c r="EH11" s="18" t="n"/>
      <c r="EI11" s="18" t="n"/>
      <c r="EJ11" s="18" t="n">
        <v>200</v>
      </c>
      <c r="EK11" s="18" t="n"/>
      <c r="EL11" s="18" t="n"/>
      <c r="EM11" s="18" t="n"/>
      <c r="EN11" s="18" t="n"/>
      <c r="EO11" s="18" t="n"/>
      <c r="EP11" s="18" t="n"/>
      <c r="EQ11" s="18" t="n"/>
      <c r="ER11" s="18" t="n"/>
      <c r="ES11" s="18" t="n"/>
      <c r="ET11" s="256" t="n"/>
      <c r="EU11" s="18" t="n">
        <v>200</v>
      </c>
      <c r="EV11" s="18" t="n"/>
      <c r="EW11" s="260" t="n"/>
      <c r="EX11" s="260" t="n"/>
      <c r="EY11" s="18" t="n"/>
      <c r="EZ11" s="18" t="n"/>
      <c r="FA11" s="260" t="n"/>
      <c r="FB11" s="260" t="n"/>
      <c r="FC11" s="18" t="n">
        <v>200</v>
      </c>
      <c r="FD11" s="260" t="n"/>
      <c r="FE11" s="18" t="n"/>
      <c r="FF11" s="260" t="n"/>
      <c r="FG11" s="312" t="inlineStr">
        <is>
          <t>100 DE ER</t>
        </is>
      </c>
      <c r="FH11" s="256" t="n"/>
      <c r="FI11" s="260" t="n"/>
      <c r="FJ11" s="260" t="n"/>
      <c r="FK11" s="18" t="n">
        <v>300</v>
      </c>
      <c r="FL11" s="18" t="n"/>
      <c r="FM11" s="18" t="n"/>
      <c r="FN11" s="18" t="n"/>
      <c r="FO11" s="18" t="n">
        <v>200</v>
      </c>
      <c r="FP11" s="18" t="n"/>
      <c r="FQ11" s="18" t="n"/>
      <c r="FR11" s="18" t="n"/>
      <c r="FS11" s="18" t="n">
        <v>500</v>
      </c>
      <c r="FT11" s="18" t="n">
        <v>300</v>
      </c>
      <c r="FU11" s="18" t="n"/>
      <c r="FV11" s="18" t="n">
        <v>200</v>
      </c>
      <c r="FW11" s="18" t="n"/>
      <c r="FX11" s="256" t="n">
        <v>1000</v>
      </c>
      <c r="FY11" s="18" t="n"/>
      <c r="FZ11" s="18" t="n"/>
      <c r="GA11" s="18" t="n"/>
      <c r="GB11" s="18" t="n"/>
      <c r="GC11" s="18" t="n"/>
      <c r="GD11" s="260" t="n"/>
      <c r="GE11" s="18" t="n"/>
      <c r="GF11" s="18" t="n"/>
      <c r="GG11" s="18" t="n"/>
      <c r="GH11" s="260" t="n"/>
      <c r="GI11" s="239" t="inlineStr">
        <is>
          <t>1000 P/ ER</t>
        </is>
      </c>
      <c r="GJ11" s="18" t="n"/>
      <c r="GK11" s="18" t="n"/>
      <c r="GL11" s="18" t="n"/>
      <c r="GM11" s="18" t="n"/>
      <c r="GN11" s="18" t="n"/>
      <c r="GO11" s="18" t="n">
        <v>400</v>
      </c>
      <c r="GP11" s="18" t="n"/>
      <c r="GQ11" s="18" t="n"/>
      <c r="GR11" s="18" t="n"/>
    </row>
    <row r="12" hidden="1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713" t="n"/>
      <c r="E12" s="6" t="n"/>
      <c r="F12" s="38" t="n">
        <v>0</v>
      </c>
      <c r="G12" s="38" t="n">
        <v>200</v>
      </c>
      <c r="H12" s="38" t="n">
        <v>200</v>
      </c>
      <c r="I12" s="38">
        <f>200-200</f>
        <v/>
      </c>
      <c r="J12" s="38" t="n">
        <v>0</v>
      </c>
      <c r="K12" s="38" t="n">
        <v>0</v>
      </c>
      <c r="L12" s="38" t="n">
        <v>0</v>
      </c>
      <c r="M12" s="38" t="n">
        <v>0</v>
      </c>
      <c r="N12" s="38" t="n">
        <v>0</v>
      </c>
      <c r="O12" s="38" t="n">
        <v>0</v>
      </c>
      <c r="P12" s="38" t="n">
        <v>0</v>
      </c>
      <c r="Q12" s="38" t="n">
        <v>0</v>
      </c>
      <c r="R12" s="38" t="n"/>
      <c r="S12" s="38" t="n"/>
      <c r="T12" s="38" t="n"/>
      <c r="U12" s="38" t="n"/>
      <c r="V12" s="38" t="n"/>
      <c r="W12" s="38" t="n"/>
      <c r="X12" s="38" t="n"/>
      <c r="Y12" s="38" t="n"/>
      <c r="Z12" s="38" t="n"/>
      <c r="AA12" s="38" t="n"/>
      <c r="AB12" s="38" t="n"/>
      <c r="AC12" s="38" t="n"/>
      <c r="AD12" s="38" t="n"/>
      <c r="AE12" s="38" t="n"/>
      <c r="AF12" s="38" t="n"/>
      <c r="AG12" s="38" t="n"/>
      <c r="AH12" s="38" t="n"/>
      <c r="AI12" s="38" t="n"/>
      <c r="AJ12" s="38" t="n"/>
      <c r="AK12" s="38" t="n"/>
      <c r="AL12" s="38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38" t="n"/>
      <c r="BA12" s="38" t="n"/>
      <c r="BB12" s="38" t="n"/>
      <c r="BC12" s="38" t="n"/>
      <c r="BD12" s="38" t="n"/>
      <c r="BE12" s="38" t="n"/>
      <c r="BF12" s="38" t="n"/>
      <c r="BG12" s="38" t="n"/>
      <c r="BH12" s="38" t="n"/>
      <c r="BI12" s="38" t="n"/>
      <c r="BJ12" s="38" t="n"/>
      <c r="BK12" s="38" t="n"/>
      <c r="BL12" s="38" t="n"/>
      <c r="BM12" s="38" t="n"/>
      <c r="BN12" s="38" t="n"/>
      <c r="BO12" s="38" t="n"/>
      <c r="BP12" s="38" t="n"/>
      <c r="BQ12" s="38" t="n"/>
      <c r="BR12" s="38" t="n"/>
      <c r="BS12" s="38" t="n"/>
      <c r="BT12" s="38" t="n"/>
      <c r="BU12" s="38" t="n"/>
      <c r="BV12" s="38" t="n"/>
      <c r="BW12" s="38" t="n"/>
      <c r="BX12" s="38" t="n"/>
      <c r="BY12" s="38" t="n"/>
      <c r="BZ12" s="38" t="n"/>
      <c r="CA12" s="38" t="n"/>
      <c r="CB12" s="38" t="n"/>
      <c r="CC12" s="9" t="n"/>
      <c r="CD12" s="9" t="n"/>
      <c r="CE12" s="9" t="n"/>
      <c r="CF12" s="188">
        <f>CD12+IF(NOT(ISBLANK(OFFSET(CF12,0,6))),N(OFFSET(CF12,0,6)),N(OFFSET(CF12,0,7)))-CE12</f>
        <v/>
      </c>
      <c r="CG12" s="6" t="n"/>
      <c r="CH12" s="19" t="n"/>
      <c r="CI12" s="19" t="n"/>
      <c r="CJ12" s="19" t="n"/>
      <c r="CK12" s="65" t="n"/>
      <c r="CL12" s="18" t="n"/>
      <c r="CM12" s="18" t="n"/>
      <c r="CN12" s="18" t="n"/>
      <c r="CO12" s="18" t="n"/>
      <c r="CP12" s="18" t="n"/>
      <c r="CQ12" s="18" t="n"/>
      <c r="CR12" s="18" t="n"/>
      <c r="CS12" s="18" t="n"/>
      <c r="CT12" s="18" t="n"/>
      <c r="CU12" s="18" t="n"/>
      <c r="CV12" s="18" t="n"/>
      <c r="CW12" s="18" t="n"/>
      <c r="CX12" s="18" t="n"/>
      <c r="CY12" s="18" t="n"/>
      <c r="CZ12" s="18" t="n"/>
      <c r="DA12" s="18" t="n"/>
      <c r="DB12" s="18" t="n"/>
      <c r="DC12" s="18" t="n"/>
      <c r="DD12" s="18" t="n"/>
      <c r="DE12" s="18" t="n"/>
      <c r="DF12" s="18" t="n"/>
      <c r="DG12" s="18" t="n"/>
      <c r="DH12" s="18" t="n"/>
      <c r="DI12" s="18" t="n"/>
      <c r="DJ12" s="18" t="n"/>
      <c r="DK12" s="18" t="n"/>
      <c r="DL12" s="18" t="n"/>
      <c r="DM12" s="18" t="n"/>
      <c r="DN12" s="18" t="n"/>
      <c r="DO12" s="18" t="n"/>
      <c r="DP12" s="18" t="n"/>
      <c r="DQ12" s="18" t="n"/>
      <c r="DR12" s="18" t="n"/>
      <c r="DS12" s="356" t="n"/>
      <c r="DT12" s="18" t="n"/>
      <c r="DU12" s="18" t="n"/>
      <c r="DV12" s="18" t="n"/>
      <c r="DW12" s="18" t="n"/>
      <c r="DX12" s="18" t="n"/>
      <c r="DY12" s="18" t="n"/>
      <c r="DZ12" s="18" t="n"/>
      <c r="EA12" s="18" t="n"/>
      <c r="EB12" s="256" t="n"/>
      <c r="EC12" s="18" t="n"/>
      <c r="ED12" s="256" t="n"/>
      <c r="EE12" s="18" t="n"/>
      <c r="EF12" s="18" t="n"/>
      <c r="EG12" s="18" t="n"/>
      <c r="EH12" s="18" t="n"/>
      <c r="EI12" s="18" t="n"/>
      <c r="EJ12" s="18" t="n"/>
      <c r="EK12" s="18" t="n"/>
      <c r="EL12" s="18" t="n"/>
      <c r="EM12" s="18" t="n"/>
      <c r="EN12" s="18" t="n"/>
      <c r="EO12" s="18" t="n"/>
      <c r="EP12" s="18" t="n"/>
      <c r="EQ12" s="18" t="n"/>
      <c r="ER12" s="18" t="n"/>
      <c r="ES12" s="18" t="n"/>
      <c r="ET12" s="256" t="n"/>
      <c r="EU12" s="18" t="n"/>
      <c r="EV12" s="18" t="n"/>
      <c r="EW12" s="260" t="n"/>
      <c r="EX12" s="260" t="n"/>
      <c r="EY12" s="18" t="n"/>
      <c r="EZ12" s="18" t="n"/>
      <c r="FA12" s="260" t="n"/>
      <c r="FB12" s="260" t="n"/>
      <c r="FC12" s="18" t="n"/>
      <c r="FD12" s="260" t="n"/>
      <c r="FE12" s="18" t="n"/>
      <c r="FF12" s="260" t="n"/>
      <c r="FG12" s="260" t="n"/>
      <c r="FH12" s="256" t="n"/>
      <c r="FI12" s="260" t="n"/>
      <c r="FJ12" s="260" t="n"/>
      <c r="FK12" s="18" t="n"/>
      <c r="FL12" s="18" t="n"/>
      <c r="FM12" s="18" t="n"/>
      <c r="FN12" s="18" t="n"/>
      <c r="FO12" s="18" t="n"/>
      <c r="FP12" s="18" t="n"/>
      <c r="FQ12" s="18" t="n"/>
      <c r="FR12" s="18" t="n"/>
      <c r="FS12" s="18" t="n"/>
      <c r="FT12" s="18" t="n"/>
      <c r="FU12" s="18" t="n"/>
      <c r="FV12" s="18" t="n"/>
      <c r="FW12" s="18" t="n"/>
      <c r="FX12" s="256" t="n"/>
      <c r="FY12" s="18" t="n"/>
      <c r="FZ12" s="18" t="n"/>
      <c r="GA12" s="18" t="n"/>
      <c r="GB12" s="18" t="n"/>
      <c r="GC12" s="18" t="n"/>
      <c r="GD12" s="260" t="n"/>
      <c r="GE12" s="18" t="n"/>
      <c r="GF12" s="18" t="n"/>
      <c r="GG12" s="18" t="n"/>
      <c r="GH12" s="260" t="n"/>
      <c r="GI12" s="260" t="n"/>
      <c r="GJ12" s="239" t="inlineStr">
        <is>
          <t>200 P/ ER</t>
        </is>
      </c>
      <c r="GK12" s="18" t="n"/>
      <c r="GL12" s="18" t="n"/>
      <c r="GM12" s="18" t="n"/>
      <c r="GN12" s="18" t="n"/>
      <c r="GO12" s="18" t="n"/>
      <c r="GP12" s="18" t="n">
        <v>200</v>
      </c>
      <c r="GQ12" s="18" t="n"/>
      <c r="GR12" s="18" t="n"/>
    </row>
    <row r="13" hidden="1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713" t="n"/>
      <c r="E13" s="6" t="n"/>
      <c r="F13" s="38" t="n">
        <v>0</v>
      </c>
      <c r="G13" s="38" t="n">
        <v>100</v>
      </c>
      <c r="H13" s="38" t="n">
        <v>100</v>
      </c>
      <c r="I13" s="38">
        <f>100-100</f>
        <v/>
      </c>
      <c r="J13" s="38" t="n">
        <v>0</v>
      </c>
      <c r="K13" s="38" t="n">
        <v>0</v>
      </c>
      <c r="L13" s="38" t="n">
        <v>0</v>
      </c>
      <c r="M13" s="38" t="n">
        <v>0</v>
      </c>
      <c r="N13" s="38" t="n">
        <v>0</v>
      </c>
      <c r="O13" s="38" t="n">
        <v>0</v>
      </c>
      <c r="P13" s="38" t="n">
        <v>0</v>
      </c>
      <c r="Q13" s="38" t="n">
        <v>0</v>
      </c>
      <c r="R13" s="38" t="n"/>
      <c r="S13" s="38" t="n"/>
      <c r="T13" s="38" t="n"/>
      <c r="U13" s="38" t="n"/>
      <c r="V13" s="38" t="n"/>
      <c r="W13" s="38" t="n"/>
      <c r="X13" s="38" t="n"/>
      <c r="Y13" s="38" t="n"/>
      <c r="Z13" s="38" t="n"/>
      <c r="AA13" s="38" t="n"/>
      <c r="AB13" s="38" t="n"/>
      <c r="AC13" s="38" t="n"/>
      <c r="AD13" s="38" t="n"/>
      <c r="AE13" s="38" t="n"/>
      <c r="AF13" s="38" t="n"/>
      <c r="AG13" s="38" t="n"/>
      <c r="AH13" s="38" t="n"/>
      <c r="AI13" s="38" t="n"/>
      <c r="AJ13" s="38" t="n"/>
      <c r="AK13" s="38" t="n"/>
      <c r="AL13" s="38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38" t="n"/>
      <c r="BA13" s="38" t="n"/>
      <c r="BB13" s="38" t="n"/>
      <c r="BC13" s="38" t="n"/>
      <c r="BD13" s="38" t="n"/>
      <c r="BE13" s="38" t="n"/>
      <c r="BF13" s="38" t="n"/>
      <c r="BG13" s="38" t="n"/>
      <c r="BH13" s="38" t="n"/>
      <c r="BI13" s="38" t="n"/>
      <c r="BJ13" s="38" t="n"/>
      <c r="BK13" s="38" t="n"/>
      <c r="BL13" s="38" t="n"/>
      <c r="BM13" s="38" t="n"/>
      <c r="BN13" s="38" t="n"/>
      <c r="BO13" s="38" t="n"/>
      <c r="BP13" s="38" t="n"/>
      <c r="BQ13" s="38" t="n"/>
      <c r="BR13" s="38" t="n"/>
      <c r="BS13" s="38" t="n"/>
      <c r="BT13" s="38" t="n"/>
      <c r="BU13" s="38" t="n"/>
      <c r="BV13" s="38" t="n"/>
      <c r="BW13" s="38" t="n"/>
      <c r="BX13" s="38" t="n"/>
      <c r="BY13" s="38" t="n"/>
      <c r="BZ13" s="38" t="n"/>
      <c r="CA13" s="38" t="n"/>
      <c r="CB13" s="38" t="n"/>
      <c r="CC13" s="9" t="n"/>
      <c r="CD13" s="9" t="n"/>
      <c r="CE13" s="9" t="n"/>
      <c r="CF13" s="188">
        <f>CD13+IF(NOT(ISBLANK(OFFSET(CF13,0,6))),N(OFFSET(CF13,0,6)),N(OFFSET(CF13,0,7)))-CE13</f>
        <v/>
      </c>
      <c r="CG13" s="6" t="n"/>
      <c r="CH13" s="19" t="n"/>
      <c r="CI13" s="19" t="n"/>
      <c r="CJ13" s="19" t="n"/>
      <c r="CK13" s="65" t="n"/>
      <c r="CL13" s="18" t="n"/>
      <c r="CM13" s="18" t="n"/>
      <c r="CN13" s="18" t="n"/>
      <c r="CO13" s="18" t="n"/>
      <c r="CP13" s="18" t="n"/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8" t="n"/>
      <c r="DA13" s="18" t="n"/>
      <c r="DB13" s="18" t="n"/>
      <c r="DC13" s="18" t="n"/>
      <c r="DD13" s="18" t="n"/>
      <c r="DE13" s="18" t="n"/>
      <c r="DF13" s="18" t="n"/>
      <c r="DG13" s="18" t="n"/>
      <c r="DH13" s="18" t="n"/>
      <c r="DI13" s="18" t="n"/>
      <c r="DJ13" s="18" t="n"/>
      <c r="DK13" s="18" t="n"/>
      <c r="DL13" s="18" t="n"/>
      <c r="DM13" s="18" t="n"/>
      <c r="DN13" s="18" t="n"/>
      <c r="DO13" s="18" t="n"/>
      <c r="DP13" s="18" t="n"/>
      <c r="DQ13" s="18" t="n"/>
      <c r="DR13" s="18" t="n"/>
      <c r="DS13" s="356" t="n"/>
      <c r="DT13" s="18" t="n"/>
      <c r="DU13" s="18" t="n"/>
      <c r="DV13" s="18" t="n"/>
      <c r="DW13" s="18" t="n"/>
      <c r="DX13" s="18" t="n"/>
      <c r="DY13" s="18" t="n"/>
      <c r="DZ13" s="18" t="n"/>
      <c r="EA13" s="18" t="n"/>
      <c r="EB13" s="256" t="n"/>
      <c r="EC13" s="18" t="n"/>
      <c r="ED13" s="256" t="n"/>
      <c r="EE13" s="18" t="n"/>
      <c r="EF13" s="18" t="n"/>
      <c r="EG13" s="18" t="n"/>
      <c r="EH13" s="18" t="n"/>
      <c r="EI13" s="18" t="n"/>
      <c r="EJ13" s="18" t="n"/>
      <c r="EK13" s="18" t="n"/>
      <c r="EL13" s="18" t="n"/>
      <c r="EM13" s="18" t="n"/>
      <c r="EN13" s="18" t="n"/>
      <c r="EO13" s="18" t="n"/>
      <c r="EP13" s="18" t="n"/>
      <c r="EQ13" s="18" t="n"/>
      <c r="ER13" s="18" t="n"/>
      <c r="ES13" s="18" t="n"/>
      <c r="ET13" s="256" t="n"/>
      <c r="EU13" s="18" t="n"/>
      <c r="EV13" s="18" t="n"/>
      <c r="EW13" s="260" t="n"/>
      <c r="EX13" s="260" t="n"/>
      <c r="EY13" s="18" t="n"/>
      <c r="EZ13" s="18" t="n"/>
      <c r="FA13" s="260" t="n"/>
      <c r="FB13" s="260" t="n"/>
      <c r="FC13" s="18" t="n"/>
      <c r="FD13" s="260" t="n"/>
      <c r="FE13" s="18" t="n"/>
      <c r="FF13" s="260" t="n"/>
      <c r="FG13" s="260" t="n"/>
      <c r="FH13" s="256" t="n"/>
      <c r="FI13" s="260" t="n"/>
      <c r="FJ13" s="260" t="n"/>
      <c r="FK13" s="18" t="n"/>
      <c r="FL13" s="18" t="n"/>
      <c r="FM13" s="18" t="n"/>
      <c r="FN13" s="18" t="n"/>
      <c r="FO13" s="18" t="n"/>
      <c r="FP13" s="18" t="n"/>
      <c r="FQ13" s="18" t="n"/>
      <c r="FR13" s="18" t="n"/>
      <c r="FS13" s="18" t="n"/>
      <c r="FT13" s="18" t="n"/>
      <c r="FU13" s="18" t="n"/>
      <c r="FV13" s="18" t="n"/>
      <c r="FW13" s="18" t="n"/>
      <c r="FX13" s="256" t="n"/>
      <c r="FY13" s="18" t="n"/>
      <c r="FZ13" s="18" t="n"/>
      <c r="GA13" s="18" t="n"/>
      <c r="GB13" s="18" t="n"/>
      <c r="GC13" s="18" t="n"/>
      <c r="GD13" s="260" t="n"/>
      <c r="GE13" s="18" t="n"/>
      <c r="GF13" s="18" t="n"/>
      <c r="GG13" s="18" t="n"/>
      <c r="GH13" s="260" t="n"/>
      <c r="GI13" s="260" t="n"/>
      <c r="GJ13" s="239" t="inlineStr">
        <is>
          <t>100 P/ ER</t>
        </is>
      </c>
      <c r="GK13" s="18" t="n"/>
      <c r="GL13" s="18" t="n"/>
      <c r="GM13" s="18" t="n"/>
      <c r="GN13" s="18" t="n"/>
      <c r="GO13" s="18" t="n"/>
      <c r="GP13" s="18" t="n">
        <v>100</v>
      </c>
      <c r="GQ13" s="18" t="n"/>
      <c r="GR13" s="18" t="n"/>
    </row>
    <row r="14" hidden="1" ht="18.75" customHeight="1">
      <c r="CF14" s="53" t="n"/>
      <c r="CH14" s="69" t="n"/>
      <c r="CI14" s="69" t="n"/>
      <c r="CJ14" s="69" t="n"/>
      <c r="DS14" s="17" t="n"/>
      <c r="ET14" s="271" t="n"/>
      <c r="FH14" s="271" t="n"/>
      <c r="FX14" s="271" t="n"/>
    </row>
    <row r="15" hidden="1" ht="18.75" customFormat="1" customHeight="1" s="3">
      <c r="A15" s="32" t="inlineStr">
        <is>
          <t>KIT SACOLAS BOTICÁRIO VENDIDAS</t>
        </is>
      </c>
      <c r="B15" s="575" t="inlineStr">
        <is>
          <t>MÓD</t>
        </is>
      </c>
      <c r="C15" s="575" t="inlineStr">
        <is>
          <t>R$</t>
        </is>
      </c>
      <c r="D15" s="575" t="n"/>
      <c r="E15" s="642" t="n"/>
      <c r="F15" s="650" t="n">
        <v>45656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/>
      <c r="BD15" s="650" t="n"/>
      <c r="BE15" s="650" t="n"/>
      <c r="BF15" s="650" t="n"/>
      <c r="BG15" s="650" t="n"/>
      <c r="BH15" s="650" t="n"/>
      <c r="BI15" s="650" t="n"/>
      <c r="BJ15" s="650" t="n"/>
      <c r="BK15" s="650" t="n"/>
      <c r="BL15" s="650" t="n"/>
      <c r="BM15" s="650" t="n"/>
      <c r="BN15" s="650" t="n"/>
      <c r="BO15" s="650" t="n"/>
      <c r="BP15" s="650" t="n"/>
      <c r="BQ15" s="650" t="n"/>
      <c r="BR15" s="650" t="n"/>
      <c r="BS15" s="650" t="n"/>
      <c r="BT15" s="650" t="n"/>
      <c r="BU15" s="650" t="n"/>
      <c r="BV15" s="650" t="n"/>
      <c r="BW15" s="650" t="n"/>
      <c r="BX15" s="650" t="n"/>
      <c r="BY15" s="650" t="n"/>
      <c r="BZ15" s="650" t="n"/>
      <c r="CA15" s="650" t="n"/>
      <c r="CB15" s="650" t="n"/>
      <c r="CC15" s="650" t="n"/>
      <c r="CD15" s="650" t="n"/>
      <c r="CE15" s="650" t="n"/>
      <c r="CF15" s="652" t="inlineStr">
        <is>
          <t>USOU</t>
        </is>
      </c>
      <c r="CG15" s="6" t="n"/>
      <c r="CH15" s="35" t="inlineStr">
        <is>
          <t>Pend.</t>
        </is>
      </c>
      <c r="CI15" s="35" t="inlineStr">
        <is>
          <t>Pend.</t>
        </is>
      </c>
      <c r="CJ15" s="35" t="inlineStr">
        <is>
          <t>Pend.</t>
        </is>
      </c>
      <c r="CK15" s="12" t="inlineStr">
        <is>
          <t>Novo Pedido</t>
        </is>
      </c>
      <c r="CL15" s="654" t="n"/>
      <c r="CM15" s="654" t="n"/>
      <c r="CN15" s="654" t="n"/>
      <c r="CO15" s="654" t="n"/>
      <c r="CP15" s="654" t="n"/>
      <c r="CQ15" s="654" t="n"/>
      <c r="CR15" s="654" t="n"/>
      <c r="CS15" s="654" t="n"/>
      <c r="CT15" s="654" t="n"/>
      <c r="CU15" s="654" t="n"/>
      <c r="CV15" s="654" t="n"/>
      <c r="CW15" s="654" t="n"/>
      <c r="CX15" s="654" t="n"/>
      <c r="CY15" s="654" t="n"/>
      <c r="CZ15" s="654" t="n"/>
      <c r="DA15" s="654" t="n"/>
      <c r="DB15" s="654" t="n"/>
      <c r="DC15" s="654" t="n"/>
      <c r="DD15" s="654" t="n"/>
      <c r="DE15" s="654" t="n"/>
      <c r="DF15" s="654" t="n"/>
      <c r="DG15" s="654" t="n">
        <v>45986</v>
      </c>
      <c r="DH15" s="654" t="n">
        <v>45980</v>
      </c>
      <c r="DI15" s="654" t="n">
        <v>45980</v>
      </c>
      <c r="DJ15" s="654" t="n">
        <v>45973</v>
      </c>
      <c r="DK15" s="654" t="n">
        <v>45965</v>
      </c>
      <c r="DL15" s="654" t="n">
        <v>45960</v>
      </c>
      <c r="DM15" s="655" t="n">
        <v>45967</v>
      </c>
      <c r="DN15" s="654" t="n">
        <v>45937</v>
      </c>
      <c r="DO15" s="654" t="n">
        <v>45951</v>
      </c>
      <c r="DP15" s="654" t="n">
        <v>45931</v>
      </c>
      <c r="DQ15" s="654" t="n">
        <v>45923</v>
      </c>
      <c r="DR15" s="654" t="n">
        <v>45923</v>
      </c>
      <c r="DS15" s="678" t="n">
        <v>45903</v>
      </c>
      <c r="DT15" s="655" t="n">
        <v>45931</v>
      </c>
      <c r="DU15" s="688" t="n">
        <v>45931</v>
      </c>
      <c r="DV15" s="654" t="n">
        <v>45915</v>
      </c>
      <c r="DW15" s="654" t="n">
        <v>45909</v>
      </c>
      <c r="DX15" s="654" t="n">
        <v>45903</v>
      </c>
      <c r="DY15" s="654" t="n">
        <v>45903</v>
      </c>
      <c r="DZ15" s="654" t="n">
        <v>45895</v>
      </c>
      <c r="EA15" s="654" t="n">
        <v>45881</v>
      </c>
      <c r="EB15" s="679" t="n">
        <v>45896</v>
      </c>
      <c r="EC15" s="654" t="n">
        <v>45888</v>
      </c>
      <c r="ED15" s="679" t="n">
        <v>45839</v>
      </c>
      <c r="EE15" s="654" t="n">
        <v>45874</v>
      </c>
      <c r="EF15" s="654" t="n">
        <v>45867</v>
      </c>
      <c r="EG15" s="655" t="n">
        <v>45882</v>
      </c>
      <c r="EH15" s="655" t="n">
        <v>45881</v>
      </c>
      <c r="EI15" s="654" t="n">
        <v>45874</v>
      </c>
      <c r="EJ15" s="654" t="n">
        <v>45867</v>
      </c>
      <c r="EK15" s="654" t="n">
        <v>45860</v>
      </c>
      <c r="EL15" s="655" t="n">
        <v>45863</v>
      </c>
      <c r="EM15" s="655" t="n">
        <v>45860</v>
      </c>
      <c r="EN15" s="654" t="n">
        <v>45860</v>
      </c>
      <c r="EO15" s="654" t="n">
        <v>45853</v>
      </c>
      <c r="EP15" s="681" t="n">
        <v>45855</v>
      </c>
      <c r="EQ15" s="654" t="n">
        <v>45848</v>
      </c>
      <c r="ER15" s="654" t="n">
        <v>45839</v>
      </c>
      <c r="ES15" s="654" t="n">
        <v>45832</v>
      </c>
      <c r="ET15" s="650" t="n">
        <v>45842</v>
      </c>
      <c r="EU15" s="654" t="n">
        <v>45832</v>
      </c>
      <c r="EV15" s="654" t="n">
        <v>45825</v>
      </c>
      <c r="EW15" s="655" t="n">
        <v>45826</v>
      </c>
      <c r="EX15" s="655" t="n">
        <v>45825</v>
      </c>
      <c r="EY15" s="654" t="n">
        <v>45819</v>
      </c>
      <c r="EZ15" s="654" t="n">
        <v>45813</v>
      </c>
      <c r="FA15" s="655" t="n">
        <v>45820</v>
      </c>
      <c r="FB15" s="655" t="n">
        <v>45818</v>
      </c>
      <c r="FC15" s="654" t="n">
        <v>45805</v>
      </c>
      <c r="FD15" s="655" t="n">
        <v>45807</v>
      </c>
      <c r="FE15" s="654" t="n">
        <v>45790</v>
      </c>
      <c r="FF15" s="655" t="n">
        <v>45799</v>
      </c>
      <c r="FG15" s="690" t="n">
        <v>45799</v>
      </c>
      <c r="FH15" s="650" t="n">
        <v>45798</v>
      </c>
      <c r="FI15" s="655" t="n">
        <v>45798</v>
      </c>
      <c r="FJ15" s="655" t="n">
        <v>45797</v>
      </c>
      <c r="FK15" s="654" t="n">
        <v>45790</v>
      </c>
      <c r="FL15" s="654" t="n">
        <v>45783</v>
      </c>
      <c r="FM15" s="654" t="n">
        <v>45775</v>
      </c>
      <c r="FN15" s="654" t="n">
        <v>45756</v>
      </c>
      <c r="FO15" s="654" t="n">
        <v>45770</v>
      </c>
      <c r="FP15" s="654" t="n">
        <v>45756</v>
      </c>
      <c r="FQ15" s="654" t="n">
        <v>45749</v>
      </c>
      <c r="FR15" s="654" t="n">
        <v>45736</v>
      </c>
      <c r="FS15" s="654" t="n">
        <v>45743</v>
      </c>
      <c r="FT15" s="654" t="n">
        <v>45735</v>
      </c>
      <c r="FU15" s="654" t="n">
        <v>45728</v>
      </c>
      <c r="FV15" s="654" t="n">
        <v>45722</v>
      </c>
      <c r="FW15" s="654" t="n">
        <v>45714</v>
      </c>
      <c r="FX15" s="650" t="n">
        <v>45700</v>
      </c>
      <c r="FY15" s="654" t="n">
        <v>45706</v>
      </c>
      <c r="FZ15" s="654" t="n">
        <v>45700</v>
      </c>
      <c r="GA15" s="654" t="n">
        <v>45684</v>
      </c>
      <c r="GB15" s="654" t="n">
        <v>45699</v>
      </c>
      <c r="GC15" s="654" t="n">
        <v>45699</v>
      </c>
      <c r="GD15" s="655" t="n">
        <v>45706</v>
      </c>
      <c r="GE15" s="654" t="n">
        <v>45693</v>
      </c>
      <c r="GF15" s="654" t="n">
        <v>45693</v>
      </c>
      <c r="GG15" s="654" t="n">
        <v>45685</v>
      </c>
      <c r="GH15" s="712" t="n">
        <v>45692</v>
      </c>
      <c r="GI15" s="655" t="n">
        <v>45691</v>
      </c>
      <c r="GJ15" s="655" t="n">
        <v>45681</v>
      </c>
      <c r="GK15" s="654" t="n">
        <v>45674</v>
      </c>
      <c r="GL15" s="655" t="n">
        <v>45672</v>
      </c>
      <c r="GM15" s="654" t="n">
        <v>45664</v>
      </c>
      <c r="GN15" s="654" t="n">
        <v>46008</v>
      </c>
      <c r="GO15" s="654" t="n">
        <v>45660</v>
      </c>
      <c r="GP15" s="654" t="n">
        <v>45652</v>
      </c>
      <c r="GQ15" s="654" t="n">
        <v>45638</v>
      </c>
      <c r="GR15" s="654" t="n">
        <v>45643</v>
      </c>
    </row>
    <row r="16" hidden="1" ht="18.75" customFormat="1" customHeight="1" s="3">
      <c r="A16" s="33" t="inlineStr">
        <is>
          <t>KIT SACOLA PP VERDE (KIT C/ 10)</t>
        </is>
      </c>
      <c r="B16" s="9" t="n">
        <v>280</v>
      </c>
      <c r="C16" s="662" t="n">
        <v>166.44</v>
      </c>
      <c r="D16" s="329" t="n">
        <v>40</v>
      </c>
      <c r="E16" s="714" t="n"/>
      <c r="F16" s="120" t="n">
        <v>149</v>
      </c>
      <c r="G16" s="120" t="n">
        <v>144</v>
      </c>
      <c r="H16" s="120" t="n">
        <v>142</v>
      </c>
      <c r="I16" s="120" t="n">
        <v>140</v>
      </c>
      <c r="J16" s="120" t="n">
        <v>135</v>
      </c>
      <c r="K16" s="120" t="n">
        <v>127</v>
      </c>
      <c r="L16" s="262" t="n">
        <v>165</v>
      </c>
      <c r="M16" s="120" t="n">
        <v>164</v>
      </c>
      <c r="N16" s="120" t="n">
        <v>155</v>
      </c>
      <c r="O16" s="120" t="n">
        <v>151</v>
      </c>
      <c r="P16" s="120" t="n">
        <v>142</v>
      </c>
      <c r="Q16" s="120" t="n">
        <v>142</v>
      </c>
      <c r="R16" s="120" t="n">
        <v>142</v>
      </c>
      <c r="S16" s="120" t="n">
        <v>135</v>
      </c>
      <c r="T16" s="120" t="n">
        <v>131</v>
      </c>
      <c r="U16" s="120" t="n">
        <v>124</v>
      </c>
      <c r="V16" s="120" t="n">
        <v>122</v>
      </c>
      <c r="W16" s="120" t="n">
        <v>119</v>
      </c>
      <c r="X16" s="120" t="n">
        <v>104</v>
      </c>
      <c r="Y16" s="120" t="n">
        <v>84</v>
      </c>
      <c r="Z16" s="120" t="n">
        <v>80</v>
      </c>
      <c r="AA16" s="120" t="n">
        <v>76</v>
      </c>
      <c r="AB16" s="120" t="n">
        <v>70</v>
      </c>
      <c r="AC16" s="120" t="n">
        <v>59</v>
      </c>
      <c r="AD16" s="120" t="n">
        <v>50</v>
      </c>
      <c r="AE16" s="120" t="n">
        <v>47</v>
      </c>
      <c r="AF16" s="120" t="n">
        <v>32</v>
      </c>
      <c r="AG16" s="120" t="n">
        <v>29</v>
      </c>
      <c r="AH16" s="120" t="n">
        <v>22</v>
      </c>
      <c r="AI16" s="120">
        <f>17+40</f>
        <v/>
      </c>
      <c r="AJ16" s="120" t="n">
        <v>52</v>
      </c>
      <c r="AK16" s="120" t="n">
        <v>47</v>
      </c>
      <c r="AL16" s="120" t="n">
        <v>33</v>
      </c>
      <c r="AM16" s="120" t="n">
        <v>21</v>
      </c>
      <c r="AN16" s="120" t="n">
        <v>21</v>
      </c>
      <c r="AO16" s="120" t="n">
        <v>9</v>
      </c>
      <c r="AP16" s="120" t="n">
        <v>0</v>
      </c>
      <c r="AQ16" s="120" t="n">
        <v>0</v>
      </c>
      <c r="AR16" s="120" t="n">
        <v>0</v>
      </c>
      <c r="AS16" s="120" t="n">
        <v>0</v>
      </c>
      <c r="AT16" s="120" t="n">
        <v>0</v>
      </c>
      <c r="AU16" s="120" t="n">
        <v>0</v>
      </c>
      <c r="AV16" s="120" t="n">
        <v>0</v>
      </c>
      <c r="AW16" s="120" t="n">
        <v>0</v>
      </c>
      <c r="AX16" s="120" t="n">
        <v>0</v>
      </c>
      <c r="AY16" s="120" t="n">
        <v>0</v>
      </c>
      <c r="AZ16" s="120" t="n">
        <v>0</v>
      </c>
      <c r="BA16" s="120" t="n">
        <v>0</v>
      </c>
      <c r="BB16" s="120" t="n"/>
      <c r="BC16" s="120" t="n"/>
      <c r="BD16" s="120" t="n"/>
      <c r="BE16" s="120" t="n"/>
      <c r="BF16" s="120" t="n"/>
      <c r="BG16" s="120" t="n"/>
      <c r="BH16" s="120" t="n"/>
      <c r="BI16" s="120" t="n"/>
      <c r="BJ16" s="120" t="n"/>
      <c r="BK16" s="120" t="n"/>
      <c r="BL16" s="120" t="n"/>
      <c r="BM16" s="120" t="n"/>
      <c r="BN16" s="120" t="n"/>
      <c r="BO16" s="120" t="n"/>
      <c r="BP16" s="120" t="n"/>
      <c r="BQ16" s="120" t="n"/>
      <c r="BR16" s="120" t="n"/>
      <c r="BS16" s="120" t="n"/>
      <c r="BT16" s="120" t="n"/>
      <c r="BU16" s="120" t="n"/>
      <c r="BV16" s="120" t="n"/>
      <c r="BW16" s="120" t="n"/>
      <c r="BX16" s="120" t="n"/>
      <c r="BY16" s="120" t="n"/>
      <c r="BZ16" s="120" t="n"/>
      <c r="CA16" s="120" t="n"/>
      <c r="CB16" s="120" t="n"/>
      <c r="CC16" s="715" t="n"/>
      <c r="CD16" s="715" t="n"/>
      <c r="CE16" s="715" t="n"/>
      <c r="CF16" s="154">
        <f>CD16+IF(NOT(ISBLANK(OFFSET(CF16,0,6))),N(OFFSET(CF16,0,6)),N(OFFSET(CF16,0,7)))-CE16</f>
        <v/>
      </c>
      <c r="CG16" s="118" t="n"/>
      <c r="CH16" s="19" t="n"/>
      <c r="CI16" s="19" t="n"/>
      <c r="CJ16" s="19" t="n"/>
      <c r="CK16" s="65" t="n"/>
      <c r="CL16" s="691" t="n"/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8" t="n"/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18" t="n"/>
      <c r="DM16" s="18" t="n"/>
      <c r="DN16" s="18" t="n"/>
      <c r="DO16" s="18" t="n"/>
      <c r="DP16" s="18" t="n"/>
      <c r="DQ16" s="18" t="n"/>
      <c r="DR16" s="18" t="n"/>
      <c r="DS16" s="356" t="n"/>
      <c r="DT16" s="18" t="n"/>
      <c r="DU16" s="18" t="n"/>
      <c r="DV16" s="18" t="n"/>
      <c r="DW16" s="18" t="n"/>
      <c r="DX16" s="18" t="n"/>
      <c r="DY16" s="18" t="n"/>
      <c r="DZ16" s="18" t="n"/>
      <c r="EA16" s="18" t="n"/>
      <c r="EB16" s="18" t="n"/>
      <c r="EC16" s="18" t="n"/>
      <c r="ED16" s="18" t="n"/>
      <c r="EE16" s="18" t="n"/>
      <c r="EF16" s="18" t="n"/>
      <c r="EG16" s="18" t="n"/>
      <c r="EH16" s="18" t="n"/>
      <c r="EI16" s="18" t="n"/>
      <c r="EJ16" s="18" t="n"/>
      <c r="EK16" s="18" t="n"/>
      <c r="EL16" s="241" t="inlineStr">
        <is>
          <t>40 DE ER PB</t>
        </is>
      </c>
      <c r="EM16" s="18" t="n"/>
      <c r="EN16" s="18" t="n"/>
      <c r="EO16" s="18" t="n"/>
      <c r="EP16" s="18" t="n"/>
      <c r="EQ16" s="18" t="n"/>
      <c r="ER16" s="18" t="n"/>
      <c r="ES16" s="18" t="n"/>
      <c r="ET16" s="292" t="inlineStr">
        <is>
          <t>167 P/ BRINDE</t>
        </is>
      </c>
      <c r="EU16" s="18" t="n"/>
      <c r="EV16" s="18" t="n"/>
      <c r="EW16" s="18" t="n"/>
      <c r="EX16" s="18" t="n"/>
      <c r="EY16" s="18" t="n"/>
      <c r="EZ16" s="18" t="n"/>
      <c r="FA16" s="18" t="n"/>
      <c r="FB16" s="18" t="n"/>
      <c r="FC16" s="18" t="n"/>
      <c r="FD16" s="18" t="n"/>
      <c r="FE16" s="18" t="n"/>
      <c r="FF16" s="18" t="n"/>
      <c r="FG16" s="18" t="n"/>
      <c r="FH16" s="292" t="inlineStr">
        <is>
          <t>295 P/ ER</t>
        </is>
      </c>
      <c r="FI16" s="18" t="n"/>
      <c r="FJ16" s="18" t="n"/>
      <c r="FK16" s="18" t="n"/>
      <c r="FL16" s="18" t="n"/>
      <c r="FM16" s="18" t="n"/>
      <c r="FN16" s="18" t="n"/>
      <c r="FO16" s="18" t="n"/>
      <c r="FP16" s="18" t="n"/>
      <c r="FQ16" s="18" t="n"/>
      <c r="FR16" s="18" t="n"/>
      <c r="FS16" s="18" t="n"/>
      <c r="FT16" s="18" t="n"/>
      <c r="FU16" s="18" t="n"/>
      <c r="FV16" s="18" t="n"/>
      <c r="FW16" s="18" t="n"/>
      <c r="FX16" s="256" t="n">
        <v>600</v>
      </c>
      <c r="FY16" s="18" t="n"/>
      <c r="FZ16" s="18" t="n"/>
      <c r="GA16" s="18" t="n"/>
      <c r="GB16" s="18" t="n"/>
      <c r="GC16" s="18" t="n"/>
      <c r="GD16" s="18" t="n"/>
      <c r="GE16" s="18" t="n"/>
      <c r="GF16" s="18" t="n"/>
      <c r="GG16" s="18" t="n"/>
      <c r="GH16" s="18" t="n"/>
      <c r="GI16" s="18" t="n"/>
      <c r="GJ16" s="18" t="n"/>
      <c r="GK16" s="18" t="n"/>
      <c r="GL16" s="18" t="n"/>
      <c r="GM16" s="18" t="n"/>
      <c r="GN16" s="18" t="n"/>
      <c r="GO16" s="18" t="n"/>
      <c r="GP16" s="18" t="n"/>
      <c r="GQ16" s="18" t="n"/>
      <c r="GR16" s="18" t="n"/>
    </row>
    <row r="17" hidden="1" ht="18.75" customFormat="1" customHeight="1" s="3">
      <c r="A17" s="33" t="inlineStr">
        <is>
          <t>KIT SACOLA P VERDE (KIT C/ 10)</t>
        </is>
      </c>
      <c r="B17" s="9" t="n">
        <v>200</v>
      </c>
      <c r="C17" s="662" t="n">
        <v>184.08</v>
      </c>
      <c r="D17" s="329" t="n">
        <v>60</v>
      </c>
      <c r="E17" s="2" t="n"/>
      <c r="F17" s="38" t="n">
        <v>55</v>
      </c>
      <c r="G17" s="38" t="n">
        <v>66</v>
      </c>
      <c r="H17" s="38" t="n">
        <v>38</v>
      </c>
      <c r="I17" s="38">
        <f>33+GH17</f>
        <v/>
      </c>
      <c r="J17" s="38" t="n">
        <v>68</v>
      </c>
      <c r="K17" s="38" t="n">
        <v>58</v>
      </c>
      <c r="L17" s="261" t="n">
        <v>59</v>
      </c>
      <c r="M17" s="38" t="n">
        <v>73</v>
      </c>
      <c r="N17" s="38" t="n">
        <v>60</v>
      </c>
      <c r="O17" s="38">
        <f>54+FT17</f>
        <v/>
      </c>
      <c r="P17" s="38" t="n">
        <v>54</v>
      </c>
      <c r="Q17" s="38">
        <f>52+FR17</f>
        <v/>
      </c>
      <c r="R17" s="38" t="n">
        <v>81</v>
      </c>
      <c r="S17" s="38" t="n">
        <v>72</v>
      </c>
      <c r="T17" s="38" t="n">
        <v>125</v>
      </c>
      <c r="U17" s="38" t="n">
        <v>111</v>
      </c>
      <c r="V17" s="38" t="n">
        <v>107</v>
      </c>
      <c r="W17" s="38" t="n">
        <v>104</v>
      </c>
      <c r="X17" s="38" t="n">
        <v>93</v>
      </c>
      <c r="Y17" s="38" t="n">
        <v>76</v>
      </c>
      <c r="Z17" s="38" t="n">
        <v>66</v>
      </c>
      <c r="AA17" s="38">
        <f>52+30</f>
        <v/>
      </c>
      <c r="AB17" s="38" t="n">
        <v>64</v>
      </c>
      <c r="AC17" s="38" t="n">
        <v>54</v>
      </c>
      <c r="AD17" s="38" t="n">
        <v>50</v>
      </c>
      <c r="AE17" s="38" t="n">
        <v>38</v>
      </c>
      <c r="AF17" s="38" t="n">
        <v>25</v>
      </c>
      <c r="AG17" s="38" t="n">
        <v>23</v>
      </c>
      <c r="AH17" s="38" t="n">
        <v>19</v>
      </c>
      <c r="AI17" s="38">
        <f>13+20</f>
        <v/>
      </c>
      <c r="AJ17" s="38" t="n">
        <v>21</v>
      </c>
      <c r="AK17" s="38" t="n">
        <v>20</v>
      </c>
      <c r="AL17" s="38" t="n">
        <v>2</v>
      </c>
      <c r="AM17" s="38" t="n">
        <v>0</v>
      </c>
      <c r="AN17" s="38">
        <f>0+EC17</f>
        <v/>
      </c>
      <c r="AO17" s="38" t="n">
        <v>31</v>
      </c>
      <c r="AP17" s="38" t="n">
        <v>27</v>
      </c>
      <c r="AQ17" s="38" t="n">
        <v>19</v>
      </c>
      <c r="AR17" s="38" t="n">
        <v>11</v>
      </c>
      <c r="AS17" s="38" t="n">
        <v>69</v>
      </c>
      <c r="AT17" s="38" t="n">
        <v>53</v>
      </c>
      <c r="AU17" s="38" t="n">
        <v>47</v>
      </c>
      <c r="AV17" s="38" t="n">
        <v>37</v>
      </c>
      <c r="AW17" s="38" t="n">
        <v>28</v>
      </c>
      <c r="AX17" s="38" t="n">
        <v>25</v>
      </c>
      <c r="AY17" s="38" t="n">
        <v>2</v>
      </c>
      <c r="AZ17" s="38" t="n">
        <v>0</v>
      </c>
      <c r="BA17" s="38" t="n">
        <v>0</v>
      </c>
      <c r="BB17" s="38" t="n"/>
      <c r="BC17" s="38" t="n"/>
      <c r="BD17" s="38" t="n"/>
      <c r="BE17" s="38" t="n"/>
      <c r="BF17" s="38" t="n"/>
      <c r="BG17" s="38" t="n"/>
      <c r="BH17" s="38" t="n"/>
      <c r="BI17" s="38" t="n"/>
      <c r="BJ17" s="38" t="n"/>
      <c r="BK17" s="38" t="n"/>
      <c r="BL17" s="38" t="n"/>
      <c r="BM17" s="38" t="n"/>
      <c r="BN17" s="38" t="n"/>
      <c r="BO17" s="38" t="n"/>
      <c r="BP17" s="38" t="n"/>
      <c r="BQ17" s="38" t="n"/>
      <c r="BR17" s="38" t="n"/>
      <c r="BS17" s="38" t="n"/>
      <c r="BT17" s="38" t="n"/>
      <c r="BU17" s="38" t="n"/>
      <c r="BV17" s="38" t="n"/>
      <c r="BW17" s="38" t="n"/>
      <c r="BX17" s="38" t="n"/>
      <c r="BY17" s="38" t="n"/>
      <c r="BZ17" s="38" t="n"/>
      <c r="CA17" s="38" t="n"/>
      <c r="CB17" s="38" t="n"/>
      <c r="CC17" s="9" t="n"/>
      <c r="CD17" s="9" t="n"/>
      <c r="CE17" s="9" t="n"/>
      <c r="CF17" s="154">
        <f>CD17+IF(NOT(ISBLANK(OFFSET(CF17,0,6))),N(OFFSET(CF17,0,6)),N(OFFSET(CF17,0,7)))-CE17</f>
        <v/>
      </c>
      <c r="CG17" s="118" t="n"/>
      <c r="CH17" s="233" t="inlineStr">
        <is>
          <t>335 NATAL P/ BRINDE</t>
        </is>
      </c>
      <c r="CI17" s="19" t="n"/>
      <c r="CJ17" s="19" t="n"/>
      <c r="CK17" s="65" t="n"/>
      <c r="CL17" s="691" t="n"/>
      <c r="CM17" s="18" t="n"/>
      <c r="CN17" s="18" t="n"/>
      <c r="CO17" s="18" t="n"/>
      <c r="CP17" s="18" t="n"/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18" t="n"/>
      <c r="DP17" s="18" t="n"/>
      <c r="DQ17" s="18" t="n"/>
      <c r="DR17" s="18" t="n"/>
      <c r="DS17" s="356" t="n"/>
      <c r="DT17" s="18" t="n"/>
      <c r="DU17" s="18" t="n"/>
      <c r="DV17" s="18" t="n">
        <v>60</v>
      </c>
      <c r="DW17" s="18" t="n"/>
      <c r="DX17" s="18" t="n"/>
      <c r="DY17" s="18" t="n"/>
      <c r="DZ17" s="18" t="n"/>
      <c r="EA17" s="18" t="n"/>
      <c r="EB17" s="18" t="n"/>
      <c r="EC17" s="18" t="n"/>
      <c r="ED17" s="18" t="n"/>
      <c r="EE17" s="18" t="n"/>
      <c r="EF17" s="18" t="n">
        <v>40</v>
      </c>
      <c r="EG17" s="18" t="n"/>
      <c r="EH17" s="18" t="n"/>
      <c r="EI17" s="18" t="n"/>
      <c r="EJ17" s="18" t="n"/>
      <c r="EK17" s="18" t="n"/>
      <c r="EL17" s="18" t="n"/>
      <c r="EM17" s="241" t="inlineStr">
        <is>
          <t>20 DE ER PG</t>
        </is>
      </c>
      <c r="EN17" s="18" t="n"/>
      <c r="EO17" s="18" t="n"/>
      <c r="EP17" s="18" t="n"/>
      <c r="EQ17" s="18" t="n"/>
      <c r="ER17" s="18" t="n"/>
      <c r="ES17" s="18" t="n"/>
      <c r="ET17" s="256" t="n"/>
      <c r="EU17" s="18" t="n"/>
      <c r="EV17" s="18" t="n"/>
      <c r="EW17" s="18" t="n"/>
      <c r="EX17" s="18" t="n"/>
      <c r="EY17" s="18" t="n"/>
      <c r="EZ17" s="18" t="n"/>
      <c r="FA17" s="18" t="n"/>
      <c r="FB17" s="18" t="n"/>
      <c r="FC17" s="18" t="n"/>
      <c r="FD17" s="239" t="inlineStr">
        <is>
          <t>30 DE ER PG</t>
        </is>
      </c>
      <c r="FE17" s="18" t="n"/>
      <c r="FF17" s="18" t="n"/>
      <c r="FG17" s="312" t="inlineStr">
        <is>
          <t>50 DE ER</t>
        </is>
      </c>
      <c r="FH17" s="292" t="inlineStr">
        <is>
          <t>184 P/ ER</t>
        </is>
      </c>
      <c r="FI17" s="18" t="n"/>
      <c r="FJ17" s="18" t="n"/>
      <c r="FK17" s="18" t="n"/>
      <c r="FL17" s="18" t="n"/>
      <c r="FM17" s="18" t="n"/>
      <c r="FN17" s="18" t="n"/>
      <c r="FO17" s="18" t="n"/>
      <c r="FP17" s="18" t="n"/>
      <c r="FQ17" s="18" t="n"/>
      <c r="FR17" s="18" t="n"/>
      <c r="FS17" s="18" t="n">
        <v>60</v>
      </c>
      <c r="FT17" s="18" t="n"/>
      <c r="FU17" s="18" t="n">
        <v>40</v>
      </c>
      <c r="FV17" s="18" t="n"/>
      <c r="FW17" s="18" t="n">
        <v>20</v>
      </c>
      <c r="FX17" s="256" t="n">
        <v>400</v>
      </c>
      <c r="FY17" s="18" t="n"/>
      <c r="FZ17" s="18" t="n"/>
      <c r="GA17" s="18" t="n"/>
      <c r="GB17" s="18" t="n"/>
      <c r="GC17" s="18" t="n"/>
      <c r="GD17" s="18" t="n"/>
      <c r="GE17" s="18" t="n">
        <v>20</v>
      </c>
      <c r="GF17" s="18" t="n"/>
      <c r="GG17" s="18" t="n"/>
      <c r="GH17" s="18" t="n"/>
      <c r="GI17" s="18" t="n"/>
      <c r="GJ17" s="18" t="n"/>
      <c r="GK17" s="18" t="n">
        <v>40</v>
      </c>
      <c r="GL17" s="18" t="n"/>
      <c r="GM17" s="18" t="n"/>
      <c r="GN17" s="18" t="n"/>
      <c r="GO17" s="18" t="n"/>
      <c r="GP17" s="18" t="n">
        <v>20</v>
      </c>
      <c r="GQ17" s="18" t="n"/>
      <c r="GR17" s="18" t="n"/>
    </row>
    <row r="18" hidden="1" ht="18.75" customFormat="1" customHeight="1" s="3">
      <c r="A18" s="33" t="inlineStr">
        <is>
          <t>KIT SACOLA M VERDE (KIT C/ 10)</t>
        </is>
      </c>
      <c r="B18" s="9" t="n">
        <v>150</v>
      </c>
      <c r="C18" s="662" t="n">
        <v>181.31</v>
      </c>
      <c r="D18" s="329" t="n">
        <v>30</v>
      </c>
      <c r="E18" s="2" t="n"/>
      <c r="F18" s="38" t="n">
        <v>75</v>
      </c>
      <c r="G18" s="38" t="n">
        <v>71</v>
      </c>
      <c r="H18" s="38" t="n">
        <v>59</v>
      </c>
      <c r="I18" s="38">
        <f>54+GH18</f>
        <v/>
      </c>
      <c r="J18" s="38" t="n">
        <v>64</v>
      </c>
      <c r="K18" s="38" t="n">
        <v>59</v>
      </c>
      <c r="L18" s="261" t="n">
        <v>145</v>
      </c>
      <c r="M18" s="38" t="n">
        <v>142</v>
      </c>
      <c r="N18" s="38" t="n">
        <v>137</v>
      </c>
      <c r="O18" s="38" t="n">
        <v>133</v>
      </c>
      <c r="P18" s="38" t="n">
        <v>126</v>
      </c>
      <c r="Q18" s="38" t="n">
        <v>122</v>
      </c>
      <c r="R18" s="38" t="n">
        <v>119</v>
      </c>
      <c r="S18" s="38" t="n">
        <v>116</v>
      </c>
      <c r="T18" s="38" t="n">
        <v>112</v>
      </c>
      <c r="U18" s="38" t="n">
        <v>107</v>
      </c>
      <c r="V18" s="38" t="n">
        <v>104</v>
      </c>
      <c r="W18" s="38" t="n">
        <v>102</v>
      </c>
      <c r="X18" s="38" t="n">
        <v>95</v>
      </c>
      <c r="Y18" s="38" t="n">
        <v>82</v>
      </c>
      <c r="Z18" s="38" t="n">
        <v>80</v>
      </c>
      <c r="AA18" s="38" t="n">
        <v>76</v>
      </c>
      <c r="AB18" s="38" t="n">
        <v>72</v>
      </c>
      <c r="AC18" s="38" t="n">
        <v>68</v>
      </c>
      <c r="AD18" s="38" t="n">
        <v>65</v>
      </c>
      <c r="AE18" s="38" t="n">
        <v>59</v>
      </c>
      <c r="AF18" s="38" t="n">
        <v>54</v>
      </c>
      <c r="AG18" s="38" t="n">
        <v>53</v>
      </c>
      <c r="AH18" s="38" t="n">
        <v>50</v>
      </c>
      <c r="AI18" s="38" t="n">
        <v>45</v>
      </c>
      <c r="AJ18" s="38" t="n">
        <v>39</v>
      </c>
      <c r="AK18" s="38" t="n">
        <v>36</v>
      </c>
      <c r="AL18" s="38" t="n">
        <v>29</v>
      </c>
      <c r="AM18" s="38" t="n">
        <v>22</v>
      </c>
      <c r="AN18" s="38">
        <f>22+DZ18</f>
        <v/>
      </c>
      <c r="AO18" s="38" t="n">
        <v>28</v>
      </c>
      <c r="AP18" s="38" t="n">
        <v>27</v>
      </c>
      <c r="AQ18" s="38" t="n">
        <v>23</v>
      </c>
      <c r="AR18" s="38" t="n">
        <v>18</v>
      </c>
      <c r="AS18" s="38" t="n">
        <v>16</v>
      </c>
      <c r="AT18" s="38" t="n">
        <v>15</v>
      </c>
      <c r="AU18" s="38" t="n">
        <v>9</v>
      </c>
      <c r="AV18" s="38" t="n">
        <v>5</v>
      </c>
      <c r="AW18" s="38" t="n">
        <v>0</v>
      </c>
      <c r="AX18" s="38" t="n">
        <v>0</v>
      </c>
      <c r="AY18" s="38" t="n">
        <v>0</v>
      </c>
      <c r="AZ18" s="38" t="n">
        <v>0</v>
      </c>
      <c r="BA18" s="38" t="n">
        <v>0</v>
      </c>
      <c r="BB18" s="38" t="n"/>
      <c r="BC18" s="38" t="n"/>
      <c r="BD18" s="38" t="n"/>
      <c r="BE18" s="38" t="n"/>
      <c r="BF18" s="38" t="n"/>
      <c r="BG18" s="38" t="n"/>
      <c r="BH18" s="38" t="n"/>
      <c r="BI18" s="38" t="n"/>
      <c r="BJ18" s="38" t="n"/>
      <c r="BK18" s="38" t="n"/>
      <c r="BL18" s="38" t="n"/>
      <c r="BM18" s="38" t="n"/>
      <c r="BN18" s="38" t="n"/>
      <c r="BO18" s="38" t="n"/>
      <c r="BP18" s="38" t="n"/>
      <c r="BQ18" s="38" t="n"/>
      <c r="BR18" s="38" t="n"/>
      <c r="BS18" s="38" t="n"/>
      <c r="BT18" s="38" t="n"/>
      <c r="BU18" s="38" t="n"/>
      <c r="BV18" s="38" t="n"/>
      <c r="BW18" s="38" t="n"/>
      <c r="BX18" s="38" t="n"/>
      <c r="BY18" s="38" t="n"/>
      <c r="BZ18" s="38" t="n"/>
      <c r="CA18" s="38" t="n"/>
      <c r="CB18" s="38" t="n"/>
      <c r="CC18" s="9" t="n"/>
      <c r="CD18" s="9" t="n"/>
      <c r="CE18" s="9" t="n"/>
      <c r="CF18" s="154">
        <f>CD18+IF(NOT(ISBLANK(OFFSET(CF18,0,6))),N(OFFSET(CF18,0,6)),N(OFFSET(CF18,0,7)))-CE18</f>
        <v/>
      </c>
      <c r="CG18" s="118" t="n"/>
      <c r="CH18" s="19" t="n"/>
      <c r="CI18" s="19" t="n"/>
      <c r="CJ18" s="19" t="n"/>
      <c r="CK18" s="65" t="n"/>
      <c r="CL18" s="691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18" t="n"/>
      <c r="DP18" s="18" t="n"/>
      <c r="DQ18" s="18" t="n"/>
      <c r="DR18" s="18" t="n"/>
      <c r="DS18" s="356" t="n"/>
      <c r="DT18" s="18" t="n"/>
      <c r="DU18" s="18" t="n"/>
      <c r="DV18" s="18" t="n"/>
      <c r="DW18" s="18" t="n"/>
      <c r="DX18" s="18" t="n"/>
      <c r="DY18" s="18" t="n"/>
      <c r="DZ18" s="18" t="n"/>
      <c r="EA18" s="18" t="n"/>
      <c r="EB18" s="18" t="n"/>
      <c r="EC18" s="18" t="n">
        <v>15</v>
      </c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18" t="n"/>
      <c r="ET18" s="256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18" t="n"/>
      <c r="FD18" s="18" t="n"/>
      <c r="FE18" s="18" t="n"/>
      <c r="FF18" s="18" t="n"/>
      <c r="FG18" s="312" t="inlineStr">
        <is>
          <t>20 DE ER</t>
        </is>
      </c>
      <c r="FH18" s="292" t="inlineStr">
        <is>
          <t>02 P/ ER</t>
        </is>
      </c>
      <c r="FI18" s="18" t="n"/>
      <c r="FJ18" s="18" t="n"/>
      <c r="FK18" s="18" t="n"/>
      <c r="FL18" s="18" t="n"/>
      <c r="FM18" s="18" t="n"/>
      <c r="FN18" s="18" t="n"/>
      <c r="FO18" s="18" t="n"/>
      <c r="FP18" s="18" t="n"/>
      <c r="FQ18" s="18" t="n"/>
      <c r="FR18" s="18" t="n"/>
      <c r="FS18" s="18" t="n"/>
      <c r="FT18" s="18" t="n"/>
      <c r="FU18" s="18" t="n"/>
      <c r="FV18" s="18" t="n"/>
      <c r="FW18" s="18" t="n"/>
      <c r="FX18" s="256" t="n">
        <v>100</v>
      </c>
      <c r="FY18" s="18" t="n"/>
      <c r="FZ18" s="18" t="n"/>
      <c r="GA18" s="18" t="n"/>
      <c r="GB18" s="18" t="n"/>
      <c r="GC18" s="18" t="n"/>
      <c r="GD18" s="18" t="n"/>
      <c r="GE18" s="18" t="n"/>
      <c r="GF18" s="18" t="n"/>
      <c r="GG18" s="18" t="n"/>
      <c r="GH18" s="18" t="n"/>
      <c r="GI18" s="18" t="n"/>
      <c r="GJ18" s="18" t="n"/>
      <c r="GK18" s="18" t="n">
        <v>15</v>
      </c>
      <c r="GL18" s="18" t="n"/>
      <c r="GM18" s="18" t="n"/>
      <c r="GN18" s="18" t="n"/>
      <c r="GO18" s="18" t="n"/>
      <c r="GP18" s="18" t="n"/>
      <c r="GQ18" s="18" t="n"/>
      <c r="GR18" s="18" t="n"/>
    </row>
    <row r="19" ht="18.75" customHeight="1">
      <c r="CF19" s="53" t="n"/>
      <c r="CH19" s="69" t="n"/>
      <c r="CI19" s="69" t="n"/>
      <c r="CJ19" s="69" t="n"/>
      <c r="DS19" s="17" t="n"/>
      <c r="ET19" s="271" t="n"/>
      <c r="FH19" s="271" t="n"/>
      <c r="FX19" s="271" t="n"/>
    </row>
    <row r="20" ht="18.75" customHeight="1">
      <c r="A20" s="32" t="inlineStr">
        <is>
          <t>SACOLAS P/ VENDA EM UND</t>
        </is>
      </c>
      <c r="B20" s="575" t="inlineStr">
        <is>
          <t>PC</t>
        </is>
      </c>
      <c r="C20" s="693" t="inlineStr">
        <is>
          <t>R$</t>
        </is>
      </c>
      <c r="D20" s="575" t="inlineStr">
        <is>
          <t>Estoque Ideal</t>
        </is>
      </c>
      <c r="AY20" s="650" t="n">
        <v>45971</v>
      </c>
      <c r="AZ20" s="650" t="n">
        <v>45978</v>
      </c>
      <c r="BA20" s="650" t="n">
        <v>45985</v>
      </c>
      <c r="BB20" s="650" t="n">
        <v>45992</v>
      </c>
      <c r="BC20" s="650" t="n">
        <v>45999</v>
      </c>
      <c r="BD20" s="650" t="n">
        <v>46006</v>
      </c>
      <c r="BE20" s="650" t="n">
        <v>46013</v>
      </c>
      <c r="BF20" s="650" t="n">
        <v>46020</v>
      </c>
      <c r="BG20" s="650" t="n">
        <v>46027</v>
      </c>
      <c r="BH20" s="650" t="n">
        <v>46034</v>
      </c>
      <c r="BI20" s="650" t="n">
        <v>46041</v>
      </c>
      <c r="BJ20" s="650" t="n">
        <v>46048</v>
      </c>
      <c r="BK20" s="650" t="n">
        <v>46055</v>
      </c>
      <c r="BL20" s="650" t="n">
        <v>46062</v>
      </c>
      <c r="BM20" s="650" t="n">
        <v>46069</v>
      </c>
      <c r="BN20" s="650" t="n">
        <v>46076</v>
      </c>
      <c r="BO20" s="650" t="n">
        <v>46083</v>
      </c>
      <c r="BP20" s="650" t="n">
        <v>46090</v>
      </c>
      <c r="BQ20" s="650" t="n">
        <v>46097</v>
      </c>
      <c r="BR20" s="650" t="n">
        <v>46104</v>
      </c>
      <c r="BS20" s="650" t="n">
        <v>46111</v>
      </c>
      <c r="BT20" s="650" t="n">
        <v>46118</v>
      </c>
      <c r="BU20" s="650" t="n">
        <v>46125</v>
      </c>
      <c r="BV20" s="650" t="n">
        <v>46132</v>
      </c>
      <c r="BW20" s="650" t="n">
        <v>46139</v>
      </c>
      <c r="BX20" s="650" t="n">
        <v>46146</v>
      </c>
      <c r="BY20" s="650" t="n">
        <v>46154</v>
      </c>
      <c r="BZ20" s="650" t="n">
        <v>46160</v>
      </c>
      <c r="CA20" s="650" t="n">
        <v>46160</v>
      </c>
      <c r="CB20" s="650" t="n">
        <v>46160</v>
      </c>
      <c r="CC20" s="651" t="n">
        <v>46161.48003686342</v>
      </c>
      <c r="CD20" s="651" t="n">
        <v>46161.48071633102</v>
      </c>
      <c r="CE20" s="651" t="n">
        <v>46161.48287467135</v>
      </c>
      <c r="CF20" s="652" t="inlineStr">
        <is>
          <t>USOU</t>
        </is>
      </c>
      <c r="CH20" s="69" t="n"/>
      <c r="CI20" s="413" t="inlineStr">
        <is>
          <t>TRANSFERÊNCIA</t>
        </is>
      </c>
      <c r="CJ20" s="35" t="inlineStr">
        <is>
          <t>Pend.</t>
        </is>
      </c>
      <c r="CK20" s="12" t="inlineStr">
        <is>
          <t>Novo Pedido</t>
        </is>
      </c>
      <c r="CL20" s="708" t="n">
        <v>46161.48287347861</v>
      </c>
      <c r="CM20" s="654" t="n">
        <v>46149</v>
      </c>
      <c r="CN20" s="654" t="n">
        <v>46114</v>
      </c>
      <c r="CO20" s="654" t="n">
        <v>46099</v>
      </c>
      <c r="CP20" s="710" t="n">
        <v>46065</v>
      </c>
      <c r="CQ20" s="711" t="n">
        <v>46045</v>
      </c>
      <c r="CR20" s="654" t="n">
        <v>46076</v>
      </c>
      <c r="CS20" s="655" t="n">
        <v>46084</v>
      </c>
      <c r="CT20" s="654" t="n">
        <v>46077</v>
      </c>
      <c r="CU20" s="655" t="n">
        <v>46077</v>
      </c>
      <c r="CV20" s="654" t="n">
        <v>46071</v>
      </c>
      <c r="CW20" s="654" t="n">
        <v>46071</v>
      </c>
      <c r="CX20" s="654" t="n">
        <v>46056</v>
      </c>
      <c r="CY20" s="654" t="n">
        <v>46043</v>
      </c>
      <c r="CZ20" s="654" t="n">
        <v>46035</v>
      </c>
      <c r="DA20" s="654" t="n">
        <v>46029</v>
      </c>
      <c r="DB20" s="654" t="n">
        <v>46017</v>
      </c>
      <c r="DC20" s="654" t="n">
        <v>46001</v>
      </c>
      <c r="DD20" s="654" t="n">
        <v>46007</v>
      </c>
      <c r="DE20" s="654" t="n">
        <v>45994</v>
      </c>
      <c r="DF20" s="654" t="n">
        <v>45986</v>
      </c>
      <c r="DG20" s="654" t="n">
        <v>45986</v>
      </c>
      <c r="DH20" s="654" t="n">
        <v>45980</v>
      </c>
      <c r="DI20" s="654" t="n">
        <v>45980</v>
      </c>
      <c r="DJ20" s="654" t="n">
        <v>45973</v>
      </c>
      <c r="DK20" s="654" t="n">
        <v>45965</v>
      </c>
      <c r="DL20" s="654" t="n">
        <v>45960</v>
      </c>
      <c r="DM20" s="655" t="n">
        <v>45967</v>
      </c>
      <c r="DN20" s="654" t="n">
        <v>45937</v>
      </c>
      <c r="DO20" s="654" t="n">
        <v>45951</v>
      </c>
      <c r="DP20" s="654" t="n">
        <v>45931</v>
      </c>
      <c r="DS20" s="17" t="n"/>
      <c r="ET20" s="271" t="n"/>
      <c r="FH20" s="271" t="n"/>
      <c r="FX20" s="271" t="n"/>
    </row>
    <row r="21" ht="18.75" customHeight="1">
      <c r="A21" s="33" t="inlineStr">
        <is>
          <t>SACOLA PP 2025</t>
        </is>
      </c>
      <c r="B21" s="9" t="n">
        <v>300</v>
      </c>
      <c r="C21" s="662" t="n">
        <v>216</v>
      </c>
      <c r="D21" s="329" t="n">
        <v>300</v>
      </c>
      <c r="AY21" s="120" t="n">
        <v>0</v>
      </c>
      <c r="AZ21" s="120" t="n">
        <v>300</v>
      </c>
      <c r="BA21" s="120" t="n">
        <v>271</v>
      </c>
      <c r="BB21" s="120">
        <f>228+DD21</f>
        <v/>
      </c>
      <c r="BC21" s="120" t="n">
        <v>363</v>
      </c>
      <c r="BD21" s="120" t="n">
        <v>252</v>
      </c>
      <c r="BE21" s="120" t="n">
        <v>169</v>
      </c>
      <c r="BF21" s="120" t="n">
        <v>135</v>
      </c>
      <c r="BG21" s="120" t="n">
        <v>135</v>
      </c>
      <c r="BH21" s="120" t="n">
        <v>489</v>
      </c>
      <c r="BI21" s="120" t="n">
        <v>762</v>
      </c>
      <c r="BJ21" s="120" t="n">
        <v>699</v>
      </c>
      <c r="BK21" s="120" t="n">
        <v>675</v>
      </c>
      <c r="BL21" s="120" t="n">
        <v>668</v>
      </c>
      <c r="BM21" s="120" t="n">
        <v>665</v>
      </c>
      <c r="BN21" s="120" t="n">
        <v>612</v>
      </c>
      <c r="BO21" s="120" t="n">
        <v>590</v>
      </c>
      <c r="BP21" s="120" t="n">
        <v>566</v>
      </c>
      <c r="BQ21" s="120" t="n">
        <v>546</v>
      </c>
      <c r="BR21" s="120" t="n">
        <v>423</v>
      </c>
      <c r="BS21" s="120" t="n">
        <v>371</v>
      </c>
      <c r="BT21" s="120" t="n"/>
      <c r="BU21" s="120" t="n"/>
      <c r="BV21" s="120" t="n"/>
      <c r="BW21" s="120" t="n">
        <v>246</v>
      </c>
      <c r="BX21" s="120" t="n">
        <v>187</v>
      </c>
      <c r="BY21" s="120" t="n">
        <v>135</v>
      </c>
      <c r="BZ21" s="120" t="n">
        <v>79</v>
      </c>
      <c r="CA21" s="120" t="n">
        <v>79</v>
      </c>
      <c r="CB21" s="120" t="n">
        <v>79</v>
      </c>
      <c r="CC21" s="715" t="n">
        <v>79</v>
      </c>
      <c r="CD21" s="715" t="n">
        <v>79</v>
      </c>
      <c r="CE21" s="715" t="n">
        <v>79</v>
      </c>
      <c r="CF21" s="154">
        <f>CD21+IF(NOT(ISBLANK(OFFSET(CF21,0,6))),N(OFFSET(CF21,0,6)),N(OFFSET(CF21,0,7)))-CE21</f>
        <v/>
      </c>
      <c r="CH21" s="69" t="n"/>
      <c r="CI21" s="19" t="n"/>
      <c r="CJ21" s="19" t="n"/>
      <c r="CK21" s="65" t="n"/>
      <c r="CL21" s="691" t="n">
        <v>0</v>
      </c>
      <c r="CM21" s="18" t="n">
        <v>0</v>
      </c>
      <c r="CN21" s="18" t="n"/>
      <c r="CO21" s="18" t="n"/>
      <c r="CP21" s="18" t="n"/>
      <c r="CQ21" s="18" t="n"/>
      <c r="CR21" s="18" t="n"/>
      <c r="CS21" s="18" t="n"/>
      <c r="CT21" s="18" t="n"/>
      <c r="CU21" s="18" t="n"/>
      <c r="CV21" s="18" t="n"/>
      <c r="CW21" s="18" t="n"/>
      <c r="CX21" s="18" t="n"/>
      <c r="CY21" s="18" t="n"/>
      <c r="CZ21" s="18" t="n"/>
      <c r="DA21" s="18" t="n">
        <v>300</v>
      </c>
      <c r="DB21" s="18" t="n"/>
      <c r="DC21" s="18" t="n">
        <v>300</v>
      </c>
      <c r="DD21" s="18" t="n"/>
      <c r="DE21" s="18" t="n"/>
      <c r="DF21" s="18" t="n"/>
      <c r="DG21" s="18" t="n">
        <v>300</v>
      </c>
      <c r="DH21" s="18" t="n"/>
      <c r="DI21" s="18" t="n"/>
      <c r="DJ21" s="18" t="n">
        <v>300</v>
      </c>
      <c r="DK21" s="18" t="n"/>
      <c r="DL21" s="18" t="n"/>
      <c r="DM21" s="18" t="n"/>
      <c r="DN21" s="18" t="n"/>
      <c r="DO21" s="18" t="n"/>
      <c r="DP21" s="18" t="n"/>
      <c r="DS21" s="17" t="n"/>
      <c r="ET21" s="271" t="n"/>
      <c r="FH21" s="271" t="n"/>
      <c r="FX21" s="271" t="n"/>
    </row>
    <row r="22" ht="18.75" customHeight="1">
      <c r="A22" s="33" t="inlineStr">
        <is>
          <t>SACOLA P 2025</t>
        </is>
      </c>
      <c r="B22" s="9" t="n">
        <v>200</v>
      </c>
      <c r="C22" s="662" t="n">
        <v>246.28</v>
      </c>
      <c r="D22" s="329" t="n">
        <v>200</v>
      </c>
      <c r="AY22" s="38" t="n">
        <v>0</v>
      </c>
      <c r="AZ22" s="38" t="n">
        <v>200</v>
      </c>
      <c r="BA22" s="38" t="n">
        <v>194</v>
      </c>
      <c r="BB22" s="38">
        <f>147+DD22</f>
        <v/>
      </c>
      <c r="BC22" s="261" t="n">
        <v>-14</v>
      </c>
      <c r="BD22" s="261" t="n">
        <v>-14</v>
      </c>
      <c r="BE22" s="38" t="n">
        <v>0</v>
      </c>
      <c r="BF22" s="38" t="n">
        <v>-14</v>
      </c>
      <c r="BG22" s="38" t="n">
        <v>-14</v>
      </c>
      <c r="BH22" s="38" t="n">
        <v>400</v>
      </c>
      <c r="BI22" s="38" t="n">
        <v>785</v>
      </c>
      <c r="BJ22" s="38" t="n">
        <v>763</v>
      </c>
      <c r="BK22" s="38" t="n">
        <v>724</v>
      </c>
      <c r="BL22" s="38" t="n">
        <v>722</v>
      </c>
      <c r="BM22" s="38" t="n">
        <v>722</v>
      </c>
      <c r="BN22" s="38" t="n">
        <v>710</v>
      </c>
      <c r="BO22" s="38" t="n">
        <v>686</v>
      </c>
      <c r="BP22" s="38" t="n">
        <v>156</v>
      </c>
      <c r="BQ22" s="38" t="n">
        <v>142</v>
      </c>
      <c r="BR22" s="38" t="n">
        <v>101</v>
      </c>
      <c r="BS22" s="38" t="n">
        <v>59</v>
      </c>
      <c r="BT22" s="38" t="n"/>
      <c r="BU22" s="38" t="n"/>
      <c r="BV22" s="38" t="n"/>
      <c r="BW22" s="38" t="n">
        <v>12</v>
      </c>
      <c r="BX22" s="38" t="n">
        <v>0</v>
      </c>
      <c r="BY22" s="38" t="n">
        <v>154</v>
      </c>
      <c r="BZ22" s="38" t="n">
        <v>126</v>
      </c>
      <c r="CA22" s="38" t="n">
        <v>126</v>
      </c>
      <c r="CB22" s="38" t="n">
        <v>126</v>
      </c>
      <c r="CC22" s="9" t="n">
        <v>126</v>
      </c>
      <c r="CD22" s="9" t="n">
        <v>126</v>
      </c>
      <c r="CE22" s="9" t="n">
        <v>126</v>
      </c>
      <c r="CF22" s="154">
        <f>CD22+IF(NOT(ISBLANK(OFFSET(CF22,0,6))),N(OFFSET(CF22,0,6)),N(OFFSET(CF22,0,7)))-CE22</f>
        <v/>
      </c>
      <c r="CH22" s="69" t="n"/>
      <c r="CI22" s="19" t="n"/>
      <c r="CJ22" s="19" t="n"/>
      <c r="CK22" s="65" t="n"/>
      <c r="CL22" s="691" t="n">
        <v>0</v>
      </c>
      <c r="CM22" s="18" t="n">
        <v>0</v>
      </c>
      <c r="CN22" s="18" t="n"/>
      <c r="CO22" s="18" t="n"/>
      <c r="CP22" s="403" t="n">
        <v>400</v>
      </c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>
        <v>400</v>
      </c>
      <c r="DB22" s="18" t="n"/>
      <c r="DC22" s="18" t="n">
        <v>400</v>
      </c>
      <c r="DD22" s="18" t="n"/>
      <c r="DE22" s="18" t="n"/>
      <c r="DF22" s="18" t="n"/>
      <c r="DG22" s="18" t="n">
        <v>200</v>
      </c>
      <c r="DH22" s="18" t="n"/>
      <c r="DI22" s="18" t="n"/>
      <c r="DJ22" s="18" t="n">
        <v>200</v>
      </c>
      <c r="DK22" s="18" t="n"/>
      <c r="DL22" s="18" t="n"/>
      <c r="DM22" s="18" t="n"/>
      <c r="DN22" s="18" t="n"/>
      <c r="DO22" s="18" t="n"/>
      <c r="DP22" s="18" t="n"/>
      <c r="DS22" s="17" t="n"/>
      <c r="ET22" s="271" t="n"/>
      <c r="FH22" s="271" t="n"/>
      <c r="FX22" s="271" t="n"/>
    </row>
    <row r="23" ht="18.75" customHeight="1">
      <c r="A23" s="33" t="inlineStr">
        <is>
          <t>SACOLA M 2025</t>
        </is>
      </c>
      <c r="B23" s="9" t="n">
        <v>200</v>
      </c>
      <c r="C23" s="662" t="n">
        <v>316.91</v>
      </c>
      <c r="D23" s="329" t="n">
        <v>200</v>
      </c>
      <c r="AY23" s="38" t="n">
        <v>0</v>
      </c>
      <c r="AZ23" s="38" t="n">
        <v>200</v>
      </c>
      <c r="BA23" s="38" t="n">
        <v>186</v>
      </c>
      <c r="BB23" s="38">
        <f>182+DD23</f>
        <v/>
      </c>
      <c r="BC23" s="38" t="n">
        <v>323</v>
      </c>
      <c r="BD23" s="38" t="n">
        <v>294</v>
      </c>
      <c r="BE23" s="38" t="n">
        <v>237</v>
      </c>
      <c r="BF23" s="38" t="n">
        <v>225</v>
      </c>
      <c r="BG23" s="38" t="n">
        <v>217</v>
      </c>
      <c r="BH23" s="38" t="n">
        <v>229</v>
      </c>
      <c r="BI23" s="38" t="n">
        <v>223</v>
      </c>
      <c r="BJ23" s="38" t="n">
        <v>204</v>
      </c>
      <c r="BK23" s="38" t="n">
        <v>197</v>
      </c>
      <c r="BL23" s="38" t="n">
        <v>162</v>
      </c>
      <c r="BM23" s="38" t="n">
        <v>162</v>
      </c>
      <c r="BN23" s="38" t="n">
        <v>159</v>
      </c>
      <c r="BO23" s="38" t="n">
        <v>141</v>
      </c>
      <c r="BP23" s="38" t="n">
        <v>119</v>
      </c>
      <c r="BQ23" s="38" t="n">
        <v>186</v>
      </c>
      <c r="BR23" s="38" t="n">
        <v>133</v>
      </c>
      <c r="BS23" s="38" t="n">
        <v>114</v>
      </c>
      <c r="BT23" s="38" t="n"/>
      <c r="BU23" s="38" t="n"/>
      <c r="BV23" s="38" t="n"/>
      <c r="BW23" s="38" t="n">
        <v>14</v>
      </c>
      <c r="BX23" s="38" t="n">
        <v>0</v>
      </c>
      <c r="BY23" s="38" t="n">
        <v>18</v>
      </c>
      <c r="BZ23" s="261" t="n">
        <v>132</v>
      </c>
      <c r="CA23" s="261" t="n">
        <v>132</v>
      </c>
      <c r="CB23" s="261" t="n">
        <v>132</v>
      </c>
      <c r="CC23" s="190" t="n">
        <v>132</v>
      </c>
      <c r="CD23" s="190" t="n">
        <v>132</v>
      </c>
      <c r="CE23" s="190" t="n">
        <v>132</v>
      </c>
      <c r="CF23" s="154">
        <f>CD23+IF(NOT(ISBLANK(OFFSET(CF23,0,6))),N(OFFSET(CF23,0,6)),N(OFFSET(CF23,0,7)))-CE23</f>
        <v/>
      </c>
      <c r="CH23" s="69" t="n"/>
      <c r="CI23" s="19" t="n"/>
      <c r="CJ23" s="19" t="n"/>
      <c r="CK23" s="65" t="n"/>
      <c r="CL23" s="691" t="n">
        <v>0</v>
      </c>
      <c r="CM23" s="18" t="n">
        <v>0</v>
      </c>
      <c r="CN23" s="18" t="n"/>
      <c r="CO23" s="18" t="n"/>
      <c r="CP23" s="18" t="n"/>
      <c r="CQ23" s="418" t="n">
        <v>600</v>
      </c>
      <c r="CR23" s="18" t="n"/>
      <c r="CS23" s="18" t="n"/>
      <c r="CT23" s="18" t="n"/>
      <c r="CU23" s="18" t="n"/>
      <c r="CV23" s="18" t="n"/>
      <c r="CW23" s="18" t="n"/>
      <c r="CX23" s="18" t="n"/>
      <c r="CY23" s="18" t="n"/>
      <c r="CZ23" s="18" t="n"/>
      <c r="DA23" s="18" t="n"/>
      <c r="DB23" s="18" t="n"/>
      <c r="DC23" s="18" t="n"/>
      <c r="DD23" s="18" t="n"/>
      <c r="DE23" s="18" t="n"/>
      <c r="DF23" s="18" t="n"/>
      <c r="DG23" s="18" t="n">
        <v>200</v>
      </c>
      <c r="DH23" s="18" t="n"/>
      <c r="DI23" s="18" t="n"/>
      <c r="DJ23" s="18" t="n">
        <v>200</v>
      </c>
      <c r="DK23" s="18" t="n"/>
      <c r="DL23" s="18" t="n"/>
      <c r="DM23" s="18" t="n"/>
      <c r="DN23" s="18" t="n"/>
      <c r="DO23" s="18" t="n"/>
      <c r="DP23" s="18" t="n"/>
      <c r="DS23" s="17" t="n"/>
      <c r="ET23" s="271" t="n"/>
      <c r="FH23" s="271" t="n"/>
      <c r="FX23" s="271" t="n"/>
    </row>
    <row r="24" ht="18.75" customHeight="1">
      <c r="CF24" s="53" t="n"/>
      <c r="CH24" s="69" t="n"/>
      <c r="CI24" s="69" t="n"/>
      <c r="CJ24" s="69" t="n"/>
      <c r="DS24" s="17" t="n"/>
      <c r="ET24" s="271" t="n"/>
      <c r="FH24" s="271" t="n"/>
      <c r="FX24" s="271" t="n"/>
    </row>
    <row r="25" ht="18.75" customFormat="1" customHeight="1" s="3">
      <c r="A25" s="32" t="inlineStr">
        <is>
          <t>DIVERSOS VENDÁVEIS BOTICÁRIO</t>
        </is>
      </c>
      <c r="B25" s="575" t="inlineStr">
        <is>
          <t>MÓD</t>
        </is>
      </c>
      <c r="C25" s="575" t="n"/>
      <c r="D25" s="575" t="n"/>
      <c r="E25" s="642" t="n"/>
      <c r="F25" s="650" t="n">
        <v>45656</v>
      </c>
      <c r="G25" s="650" t="n">
        <v>45663</v>
      </c>
      <c r="H25" s="650" t="n">
        <v>45670</v>
      </c>
      <c r="I25" s="650" t="n">
        <v>45677</v>
      </c>
      <c r="J25" s="650" t="n">
        <v>45684</v>
      </c>
      <c r="K25" s="650" t="n">
        <v>45691</v>
      </c>
      <c r="L25" s="650" t="n">
        <v>45698</v>
      </c>
      <c r="M25" s="650" t="n">
        <v>45705</v>
      </c>
      <c r="N25" s="650" t="n">
        <v>45712</v>
      </c>
      <c r="O25" s="650" t="n">
        <v>45719</v>
      </c>
      <c r="P25" s="650" t="n">
        <v>45726</v>
      </c>
      <c r="Q25" s="650" t="n">
        <v>45733</v>
      </c>
      <c r="R25" s="650" t="n">
        <v>45740</v>
      </c>
      <c r="S25" s="650" t="n">
        <v>45747</v>
      </c>
      <c r="T25" s="650" t="n">
        <v>45754</v>
      </c>
      <c r="U25" s="650" t="n">
        <v>45761</v>
      </c>
      <c r="V25" s="650" t="n">
        <v>45768</v>
      </c>
      <c r="W25" s="650" t="n">
        <v>45775</v>
      </c>
      <c r="X25" s="650" t="n">
        <v>45782</v>
      </c>
      <c r="Y25" s="650" t="n">
        <v>45789</v>
      </c>
      <c r="Z25" s="650" t="n">
        <v>45796</v>
      </c>
      <c r="AA25" s="650" t="n">
        <v>45803</v>
      </c>
      <c r="AB25" s="650" t="n">
        <v>45810</v>
      </c>
      <c r="AC25" s="650" t="n">
        <v>45817</v>
      </c>
      <c r="AD25" s="650" t="n">
        <v>45824</v>
      </c>
      <c r="AE25" s="650" t="n">
        <v>45831</v>
      </c>
      <c r="AF25" s="650" t="n">
        <v>45838</v>
      </c>
      <c r="AG25" s="650" t="n">
        <v>45845</v>
      </c>
      <c r="AH25" s="650" t="n">
        <v>45852</v>
      </c>
      <c r="AI25" s="650" t="n">
        <v>45859</v>
      </c>
      <c r="AJ25" s="650" t="n">
        <v>45866</v>
      </c>
      <c r="AK25" s="650" t="n">
        <v>45873</v>
      </c>
      <c r="AL25" s="650" t="n">
        <v>45880</v>
      </c>
      <c r="AM25" s="650" t="n">
        <v>45887</v>
      </c>
      <c r="AN25" s="650" t="n">
        <v>45894</v>
      </c>
      <c r="AO25" s="650" t="n">
        <v>45901</v>
      </c>
      <c r="AP25" s="650" t="n">
        <v>45908</v>
      </c>
      <c r="AQ25" s="650" t="n">
        <v>45915</v>
      </c>
      <c r="AR25" s="650" t="n">
        <v>45922</v>
      </c>
      <c r="AS25" s="650" t="n">
        <v>45929</v>
      </c>
      <c r="AT25" s="650" t="n">
        <v>45936</v>
      </c>
      <c r="AU25" s="650" t="n">
        <v>45943</v>
      </c>
      <c r="AV25" s="650" t="n">
        <v>45950</v>
      </c>
      <c r="AW25" s="650" t="n">
        <v>45957</v>
      </c>
      <c r="AX25" s="650" t="n">
        <v>45964</v>
      </c>
      <c r="AY25" s="650" t="n">
        <v>45971</v>
      </c>
      <c r="AZ25" s="650" t="n">
        <v>45978</v>
      </c>
      <c r="BA25" s="650" t="n">
        <v>45985</v>
      </c>
      <c r="BB25" s="650" t="n">
        <v>45992</v>
      </c>
      <c r="BC25" s="650" t="n">
        <v>45999</v>
      </c>
      <c r="BD25" s="650" t="n">
        <v>46006</v>
      </c>
      <c r="BE25" s="650" t="n">
        <v>46013</v>
      </c>
      <c r="BF25" s="650" t="n">
        <v>46020</v>
      </c>
      <c r="BG25" s="650" t="n">
        <v>46027</v>
      </c>
      <c r="BH25" s="650" t="n">
        <v>46034</v>
      </c>
      <c r="BI25" s="650" t="n">
        <v>46041</v>
      </c>
      <c r="BJ25" s="650" t="n">
        <v>46048</v>
      </c>
      <c r="BK25" s="650" t="n">
        <v>46055</v>
      </c>
      <c r="BL25" s="650" t="n">
        <v>46062</v>
      </c>
      <c r="BM25" s="650" t="n">
        <v>46069</v>
      </c>
      <c r="BN25" s="650" t="n">
        <v>46076</v>
      </c>
      <c r="BO25" s="650" t="n">
        <v>46083</v>
      </c>
      <c r="BP25" s="650" t="n">
        <v>46090</v>
      </c>
      <c r="BQ25" s="650" t="n">
        <v>46097</v>
      </c>
      <c r="BR25" s="650" t="n">
        <v>46104</v>
      </c>
      <c r="BS25" s="650" t="n">
        <v>46111</v>
      </c>
      <c r="BT25" s="650" t="n">
        <v>46118</v>
      </c>
      <c r="BU25" s="650" t="n">
        <v>46125</v>
      </c>
      <c r="BV25" s="650" t="n">
        <v>46132</v>
      </c>
      <c r="BW25" s="650" t="n">
        <v>46139</v>
      </c>
      <c r="BX25" s="650" t="n">
        <v>46146</v>
      </c>
      <c r="BY25" s="650" t="n">
        <v>46154</v>
      </c>
      <c r="BZ25" s="650" t="n">
        <v>46160</v>
      </c>
      <c r="CA25" s="650" t="n">
        <v>46160</v>
      </c>
      <c r="CB25" s="650" t="n">
        <v>46160</v>
      </c>
      <c r="CC25" s="651" t="n">
        <v>46161.48003686342</v>
      </c>
      <c r="CD25" s="651" t="n">
        <v>46161.48071633102</v>
      </c>
      <c r="CE25" s="651" t="n">
        <v>46161.48287467162</v>
      </c>
      <c r="CF25" s="652" t="inlineStr">
        <is>
          <t>USOU</t>
        </is>
      </c>
      <c r="CG25" s="6" t="n"/>
      <c r="CH25" s="35" t="inlineStr">
        <is>
          <t>Pend.</t>
        </is>
      </c>
      <c r="CI25" s="413" t="inlineStr">
        <is>
          <t>TRANSFERÊNCIA</t>
        </is>
      </c>
      <c r="CJ25" s="35" t="inlineStr">
        <is>
          <t>Pend.</t>
        </is>
      </c>
      <c r="CK25" s="12" t="inlineStr">
        <is>
          <t>Novo Pedido</t>
        </is>
      </c>
      <c r="CL25" s="716" t="n">
        <v>46161.48287347887</v>
      </c>
      <c r="CM25" s="654" t="n">
        <v>46149</v>
      </c>
      <c r="CN25" s="654" t="n">
        <v>46114</v>
      </c>
      <c r="CO25" s="654" t="n">
        <v>46099</v>
      </c>
      <c r="CP25" s="710" t="n">
        <v>46065</v>
      </c>
      <c r="CQ25" s="711" t="n">
        <v>46045</v>
      </c>
      <c r="CR25" s="654" t="n">
        <v>46076</v>
      </c>
      <c r="CS25" s="655" t="n">
        <v>46084</v>
      </c>
      <c r="CT25" s="654" t="n">
        <v>46077</v>
      </c>
      <c r="CU25" s="655" t="n">
        <v>46077</v>
      </c>
      <c r="CV25" s="654" t="n">
        <v>46071</v>
      </c>
      <c r="CW25" s="654" t="n">
        <v>46071</v>
      </c>
      <c r="CX25" s="654" t="n">
        <v>46056</v>
      </c>
      <c r="CY25" s="654" t="n">
        <v>46043</v>
      </c>
      <c r="CZ25" s="654" t="n">
        <v>46035</v>
      </c>
      <c r="DA25" s="654" t="n">
        <v>46029</v>
      </c>
      <c r="DB25" s="654" t="n">
        <v>46017</v>
      </c>
      <c r="DC25" s="654" t="n">
        <v>46001</v>
      </c>
      <c r="DD25" s="654" t="n">
        <v>46007</v>
      </c>
      <c r="DE25" s="654" t="n">
        <v>45994</v>
      </c>
      <c r="DF25" s="654" t="n">
        <v>45986</v>
      </c>
      <c r="DG25" s="654" t="n">
        <v>45986</v>
      </c>
      <c r="DH25" s="654" t="n">
        <v>45980</v>
      </c>
      <c r="DI25" s="654" t="n">
        <v>45980</v>
      </c>
      <c r="DJ25" s="654" t="n">
        <v>45973</v>
      </c>
      <c r="DK25" s="654" t="n">
        <v>45965</v>
      </c>
      <c r="DL25" s="654" t="n">
        <v>45960</v>
      </c>
      <c r="DM25" s="655" t="n">
        <v>45967</v>
      </c>
      <c r="DN25" s="654" t="n">
        <v>45937</v>
      </c>
      <c r="DO25" s="654" t="n">
        <v>45951</v>
      </c>
      <c r="DP25" s="654" t="n">
        <v>45931</v>
      </c>
      <c r="DQ25" s="654" t="n">
        <v>45923</v>
      </c>
      <c r="DR25" s="654" t="n">
        <v>45923</v>
      </c>
      <c r="DS25" s="678" t="n">
        <v>45903</v>
      </c>
      <c r="DT25" s="655" t="n">
        <v>45931</v>
      </c>
      <c r="DU25" s="688" t="n">
        <v>45931</v>
      </c>
      <c r="DV25" s="654" t="n">
        <v>45915</v>
      </c>
      <c r="DW25" s="654" t="n">
        <v>45909</v>
      </c>
      <c r="DX25" s="654" t="n">
        <v>45903</v>
      </c>
      <c r="DY25" s="654" t="n">
        <v>45903</v>
      </c>
      <c r="DZ25" s="654" t="n">
        <v>45895</v>
      </c>
      <c r="EA25" s="654" t="n">
        <v>45881</v>
      </c>
      <c r="EB25" s="679" t="n">
        <v>45896</v>
      </c>
      <c r="EC25" s="654" t="n">
        <v>45888</v>
      </c>
      <c r="ED25" s="679" t="n">
        <v>45839</v>
      </c>
      <c r="EE25" s="654" t="n">
        <v>45874</v>
      </c>
      <c r="EF25" s="654" t="n">
        <v>45867</v>
      </c>
      <c r="EG25" s="655" t="n">
        <v>45882</v>
      </c>
      <c r="EH25" s="655" t="n">
        <v>45881</v>
      </c>
      <c r="EI25" s="654" t="n">
        <v>45874</v>
      </c>
      <c r="EJ25" s="654" t="n">
        <v>45867</v>
      </c>
      <c r="EK25" s="654" t="n">
        <v>45860</v>
      </c>
      <c r="EL25" s="655" t="n">
        <v>45863</v>
      </c>
      <c r="EM25" s="655" t="n">
        <v>45860</v>
      </c>
      <c r="EN25" s="654" t="n">
        <v>45860</v>
      </c>
      <c r="EO25" s="654" t="n">
        <v>45853</v>
      </c>
      <c r="EP25" s="681" t="n">
        <v>45855</v>
      </c>
      <c r="EQ25" s="654" t="n">
        <v>45848</v>
      </c>
      <c r="ER25" s="654" t="n">
        <v>45839</v>
      </c>
      <c r="ES25" s="654" t="n">
        <v>45832</v>
      </c>
      <c r="ET25" s="650" t="n">
        <v>45842</v>
      </c>
      <c r="EU25" s="654" t="n">
        <v>45832</v>
      </c>
      <c r="EV25" s="654" t="n">
        <v>45825</v>
      </c>
      <c r="EW25" s="655" t="n">
        <v>45826</v>
      </c>
      <c r="EX25" s="655" t="n">
        <v>45825</v>
      </c>
      <c r="EY25" s="654" t="n">
        <v>45819</v>
      </c>
      <c r="EZ25" s="654" t="n">
        <v>45813</v>
      </c>
      <c r="FA25" s="655" t="n">
        <v>45820</v>
      </c>
      <c r="FB25" s="655" t="n">
        <v>45818</v>
      </c>
      <c r="FC25" s="654" t="n">
        <v>45805</v>
      </c>
      <c r="FD25" s="655" t="n">
        <v>45807</v>
      </c>
      <c r="FE25" s="654" t="n">
        <v>45790</v>
      </c>
      <c r="FF25" s="655" t="n">
        <v>45799</v>
      </c>
      <c r="FG25" s="690" t="n">
        <v>45799</v>
      </c>
      <c r="FH25" s="650" t="n">
        <v>45798</v>
      </c>
      <c r="FI25" s="655" t="n">
        <v>45798</v>
      </c>
      <c r="FJ25" s="655" t="n">
        <v>45797</v>
      </c>
      <c r="FK25" s="654" t="n">
        <v>45790</v>
      </c>
      <c r="FL25" s="654" t="n">
        <v>45783</v>
      </c>
      <c r="FM25" s="654" t="n">
        <v>45775</v>
      </c>
      <c r="FN25" s="654" t="n">
        <v>45756</v>
      </c>
      <c r="FO25" s="654" t="n">
        <v>45770</v>
      </c>
      <c r="FP25" s="654" t="n">
        <v>45756</v>
      </c>
      <c r="FQ25" s="654" t="n">
        <v>45749</v>
      </c>
      <c r="FR25" s="654" t="n">
        <v>45736</v>
      </c>
      <c r="FS25" s="654" t="n">
        <v>45743</v>
      </c>
      <c r="FT25" s="654" t="n">
        <v>45735</v>
      </c>
      <c r="FU25" s="654" t="n">
        <v>45728</v>
      </c>
      <c r="FV25" s="654" t="n">
        <v>45722</v>
      </c>
      <c r="FW25" s="654" t="n">
        <v>45714</v>
      </c>
      <c r="FX25" s="650" t="n">
        <v>45700</v>
      </c>
      <c r="FY25" s="654" t="n">
        <v>45706</v>
      </c>
      <c r="FZ25" s="654" t="n">
        <v>45700</v>
      </c>
      <c r="GA25" s="654" t="n">
        <v>45684</v>
      </c>
      <c r="GB25" s="654" t="n">
        <v>45699</v>
      </c>
      <c r="GC25" s="654" t="n">
        <v>45699</v>
      </c>
      <c r="GD25" s="655" t="n">
        <v>45706</v>
      </c>
      <c r="GE25" s="654" t="n">
        <v>45693</v>
      </c>
      <c r="GF25" s="654" t="n">
        <v>45693</v>
      </c>
      <c r="GG25" s="654" t="n">
        <v>45685</v>
      </c>
      <c r="GH25" s="712" t="n">
        <v>45692</v>
      </c>
      <c r="GI25" s="655" t="n">
        <v>45691</v>
      </c>
      <c r="GJ25" s="655" t="n">
        <v>45681</v>
      </c>
      <c r="GK25" s="654" t="n">
        <v>45674</v>
      </c>
      <c r="GL25" s="655" t="n">
        <v>45672</v>
      </c>
      <c r="GM25" s="654" t="n">
        <v>45664</v>
      </c>
      <c r="GN25" s="654" t="n">
        <v>46008</v>
      </c>
      <c r="GO25" s="654" t="n">
        <v>45660</v>
      </c>
      <c r="GP25" s="654" t="n">
        <v>45652</v>
      </c>
      <c r="GQ25" s="654" t="n">
        <v>45638</v>
      </c>
      <c r="GR25" s="654" t="n">
        <v>45643</v>
      </c>
    </row>
    <row r="26" ht="18.75" customFormat="1" customHeight="1" s="3">
      <c r="A26" s="33" t="inlineStr">
        <is>
          <t>KIT PAPEL DE SEDA (20 c/ 25 un)</t>
        </is>
      </c>
      <c r="B26" s="9" t="n">
        <v>500</v>
      </c>
      <c r="C26" s="662" t="n">
        <v>95.90000000000001</v>
      </c>
      <c r="D26" s="329" t="n">
        <v>20</v>
      </c>
      <c r="E26" s="642" t="n"/>
      <c r="F26" s="38" t="n">
        <v>74</v>
      </c>
      <c r="G26" s="38" t="n">
        <v>74</v>
      </c>
      <c r="H26" s="38" t="n">
        <v>73</v>
      </c>
      <c r="I26" s="38" t="n">
        <v>72</v>
      </c>
      <c r="J26" s="38" t="n">
        <v>71</v>
      </c>
      <c r="K26" s="38" t="n">
        <v>67</v>
      </c>
      <c r="L26" s="38" t="n">
        <v>66</v>
      </c>
      <c r="M26" s="38" t="n">
        <v>64</v>
      </c>
      <c r="N26" s="38" t="n">
        <v>62</v>
      </c>
      <c r="O26" s="38" t="n">
        <v>62</v>
      </c>
      <c r="P26" s="38" t="n">
        <v>62</v>
      </c>
      <c r="Q26" s="38" t="n">
        <v>52</v>
      </c>
      <c r="R26" s="38" t="n">
        <v>50</v>
      </c>
      <c r="S26" s="38" t="n">
        <v>46</v>
      </c>
      <c r="T26" s="38" t="n">
        <v>145</v>
      </c>
      <c r="U26" s="38" t="n">
        <v>108</v>
      </c>
      <c r="V26" s="261" t="n">
        <v>207</v>
      </c>
      <c r="W26" s="38" t="n">
        <v>242</v>
      </c>
      <c r="X26" s="38" t="n">
        <v>149</v>
      </c>
      <c r="Y26" s="38" t="n">
        <v>146</v>
      </c>
      <c r="Z26" s="38" t="n">
        <v>144</v>
      </c>
      <c r="AA26" s="38" t="n">
        <v>143</v>
      </c>
      <c r="AB26" s="38" t="n">
        <v>143</v>
      </c>
      <c r="AC26" s="38" t="n">
        <v>140</v>
      </c>
      <c r="AD26" s="38" t="n">
        <v>139</v>
      </c>
      <c r="AE26" s="38" t="n">
        <v>136</v>
      </c>
      <c r="AF26" s="38" t="n">
        <v>131</v>
      </c>
      <c r="AG26" s="38" t="n">
        <v>131</v>
      </c>
      <c r="AH26" s="38" t="n">
        <v>130</v>
      </c>
      <c r="AI26" s="38" t="n">
        <v>129</v>
      </c>
      <c r="AJ26" s="38" t="n">
        <v>129</v>
      </c>
      <c r="AK26" s="38" t="n">
        <v>128</v>
      </c>
      <c r="AL26" s="38" t="n">
        <v>128</v>
      </c>
      <c r="AM26" s="38" t="n">
        <v>128</v>
      </c>
      <c r="AN26" s="38" t="n">
        <v>128</v>
      </c>
      <c r="AO26" s="38" t="n">
        <v>125</v>
      </c>
      <c r="AP26" s="38" t="n">
        <v>121</v>
      </c>
      <c r="AQ26" s="38" t="n">
        <v>119</v>
      </c>
      <c r="AR26" s="38" t="n">
        <v>115</v>
      </c>
      <c r="AS26" s="38" t="n">
        <v>115</v>
      </c>
      <c r="AT26" s="38" t="n">
        <v>113</v>
      </c>
      <c r="AU26" s="38" t="n">
        <v>111</v>
      </c>
      <c r="AV26" s="38" t="n">
        <v>109</v>
      </c>
      <c r="AW26" s="38" t="n">
        <v>103</v>
      </c>
      <c r="AX26" s="38" t="n">
        <v>102</v>
      </c>
      <c r="AY26" s="38" t="n">
        <v>91</v>
      </c>
      <c r="AZ26" s="38" t="n">
        <v>88</v>
      </c>
      <c r="BA26" s="38" t="n">
        <v>86</v>
      </c>
      <c r="BB26" s="38" t="n">
        <v>84</v>
      </c>
      <c r="BC26" s="38" t="n">
        <v>84</v>
      </c>
      <c r="BD26" s="38" t="n">
        <v>78</v>
      </c>
      <c r="BE26" s="38" t="n">
        <v>74</v>
      </c>
      <c r="BF26" s="38" t="n">
        <v>74</v>
      </c>
      <c r="BG26" s="38" t="n">
        <v>74</v>
      </c>
      <c r="BH26" s="38" t="n">
        <v>73</v>
      </c>
      <c r="BI26" s="38" t="n">
        <v>73</v>
      </c>
      <c r="BJ26" s="38" t="n">
        <v>71</v>
      </c>
      <c r="BK26" s="38" t="n">
        <v>71</v>
      </c>
      <c r="BL26" s="38" t="n">
        <v>68</v>
      </c>
      <c r="BM26" s="38" t="n">
        <v>68</v>
      </c>
      <c r="BN26" s="38" t="n">
        <v>67</v>
      </c>
      <c r="BO26" s="38" t="n">
        <v>65</v>
      </c>
      <c r="BP26" s="38" t="n">
        <v>65</v>
      </c>
      <c r="BQ26" s="38" t="n">
        <v>63</v>
      </c>
      <c r="BR26" s="38" t="n">
        <v>59</v>
      </c>
      <c r="BS26" s="38" t="n">
        <v>59</v>
      </c>
      <c r="BT26" s="38" t="n"/>
      <c r="BU26" s="38" t="n"/>
      <c r="BV26" s="38" t="n"/>
      <c r="BW26" s="38" t="n">
        <v>51</v>
      </c>
      <c r="BX26" s="38" t="n">
        <v>45</v>
      </c>
      <c r="BY26" s="38" t="n">
        <v>39</v>
      </c>
      <c r="BZ26" s="38" t="n">
        <v>42</v>
      </c>
      <c r="CA26" s="38" t="n">
        <v>42</v>
      </c>
      <c r="CB26" s="38" t="n">
        <v>42</v>
      </c>
      <c r="CC26" s="9" t="n">
        <v>42</v>
      </c>
      <c r="CD26" s="9" t="n">
        <v>42</v>
      </c>
      <c r="CE26" s="9" t="n">
        <v>42</v>
      </c>
      <c r="CF26" s="154">
        <f>CD26+IF(NOT(ISBLANK(OFFSET(CF26,0,6))),N(OFFSET(CF26,0,6)),N(OFFSET(CF26,0,7)))-CE26</f>
        <v/>
      </c>
      <c r="CG26" s="6" t="n"/>
      <c r="CH26" s="19" t="n"/>
      <c r="CI26" s="19" t="n"/>
      <c r="CJ26" s="19" t="n"/>
      <c r="CK26" s="65" t="n"/>
      <c r="CL26" s="18" t="n">
        <v>0</v>
      </c>
      <c r="CM26" s="18" t="n">
        <v>0</v>
      </c>
      <c r="CN26" s="18" t="n"/>
      <c r="CO26" s="18" t="n"/>
      <c r="CP26" s="403" t="n">
        <v>10</v>
      </c>
      <c r="CQ26" s="18" t="n"/>
      <c r="CR26" s="18" t="n"/>
      <c r="CS26" s="18" t="n"/>
      <c r="CT26" s="18" t="n"/>
      <c r="CU26" s="18" t="n"/>
      <c r="CV26" s="18" t="n"/>
      <c r="CW26" s="18" t="n"/>
      <c r="CX26" s="18" t="n"/>
      <c r="CY26" s="18" t="n"/>
      <c r="CZ26" s="18" t="n"/>
      <c r="DA26" s="18" t="n"/>
      <c r="DB26" s="18" t="n"/>
      <c r="DC26" s="18" t="n"/>
      <c r="DD26" s="18" t="n"/>
      <c r="DE26" s="18" t="n"/>
      <c r="DF26" s="18" t="n"/>
      <c r="DG26" s="18" t="n"/>
      <c r="DH26" s="18" t="n"/>
      <c r="DI26" s="18" t="n"/>
      <c r="DJ26" s="18" t="n"/>
      <c r="DK26" s="18" t="n"/>
      <c r="DL26" s="18" t="n"/>
      <c r="DM26" s="18" t="n"/>
      <c r="DN26" s="18" t="n"/>
      <c r="DO26" s="18" t="n"/>
      <c r="DP26" s="18" t="n"/>
      <c r="DQ26" s="18" t="n"/>
      <c r="DR26" s="18" t="n"/>
      <c r="DS26" s="256" t="n">
        <v>20</v>
      </c>
      <c r="DT26" s="18" t="n"/>
      <c r="DU26" s="405" t="inlineStr">
        <is>
          <t>40 P/ ER PG</t>
        </is>
      </c>
      <c r="DV26" s="18" t="n"/>
      <c r="DW26" s="18" t="n"/>
      <c r="DX26" s="18" t="n"/>
      <c r="DY26" s="18" t="n"/>
      <c r="DZ26" s="18" t="n"/>
      <c r="EA26" s="18" t="n"/>
      <c r="EB26" s="18" t="n"/>
      <c r="EC26" s="18" t="n"/>
      <c r="ED26" s="18" t="n"/>
      <c r="EE26" s="18" t="n"/>
      <c r="EF26" s="18" t="n"/>
      <c r="EG26" s="18" t="n"/>
      <c r="EH26" s="18" t="n"/>
      <c r="EI26" s="18" t="n"/>
      <c r="EJ26" s="18" t="n"/>
      <c r="EK26" s="18" t="n"/>
      <c r="EL26" s="18" t="n"/>
      <c r="EM26" s="18" t="n"/>
      <c r="EN26" s="18" t="n"/>
      <c r="EO26" s="18" t="n"/>
      <c r="EP26" s="18" t="n"/>
      <c r="EQ26" s="18" t="n"/>
      <c r="ER26" s="18" t="n"/>
      <c r="ES26" s="18" t="n"/>
      <c r="ET26" s="256" t="n"/>
      <c r="EU26" s="18" t="n"/>
      <c r="EV26" s="18" t="n"/>
      <c r="EW26" s="18" t="n"/>
      <c r="EX26" s="18" t="n"/>
      <c r="EY26" s="18" t="n"/>
      <c r="EZ26" s="18" t="n"/>
      <c r="FA26" s="18" t="n"/>
      <c r="FB26" s="18" t="n"/>
      <c r="FC26" s="18" t="n"/>
      <c r="FD26" s="18" t="n"/>
      <c r="FE26" s="18" t="n"/>
      <c r="FF26" s="18" t="n"/>
      <c r="FG26" s="312" t="inlineStr">
        <is>
          <t>10 DE ER</t>
        </is>
      </c>
      <c r="FH26" s="256" t="n"/>
      <c r="FI26" s="18" t="n"/>
      <c r="FJ26" s="18" t="n"/>
      <c r="FK26" s="18" t="n"/>
      <c r="FL26" s="18" t="n"/>
      <c r="FM26" s="18" t="n"/>
      <c r="FN26" s="18" t="n"/>
      <c r="FO26" s="18" t="n"/>
      <c r="FP26" s="18" t="n"/>
      <c r="FQ26" s="18" t="n"/>
      <c r="FR26" s="18" t="n"/>
      <c r="FS26" s="18" t="n">
        <v>100</v>
      </c>
      <c r="FT26" s="18" t="n"/>
      <c r="FU26" s="18" t="n"/>
      <c r="FV26" s="18" t="n"/>
      <c r="FW26" s="18" t="n"/>
      <c r="FX26" s="256" t="n">
        <v>20</v>
      </c>
      <c r="FY26" s="18" t="n"/>
      <c r="FZ26" s="18" t="n"/>
      <c r="GA26" s="18" t="n"/>
      <c r="GB26" s="18" t="n"/>
      <c r="GC26" s="18" t="n"/>
      <c r="GD26" s="18" t="n"/>
      <c r="GE26" s="18" t="n"/>
      <c r="GF26" s="18" t="n"/>
      <c r="GG26" s="18" t="n"/>
      <c r="GH26" s="18" t="n"/>
      <c r="GI26" s="18" t="n"/>
      <c r="GJ26" s="18" t="n"/>
      <c r="GK26" s="18" t="n"/>
      <c r="GL26" s="18" t="n"/>
      <c r="GM26" s="18" t="n"/>
      <c r="GN26" s="18" t="n"/>
      <c r="GO26" s="18" t="n"/>
      <c r="GP26" s="18" t="n"/>
      <c r="GQ26" s="18" t="n"/>
      <c r="GR26" s="18" t="n"/>
    </row>
    <row r="27" ht="18.75" customFormat="1" customHeight="1" s="3">
      <c r="A27" s="33" t="inlineStr">
        <is>
          <t>KIT ETIQ (50 c/ 50 un)</t>
        </is>
      </c>
      <c r="B27" s="9" t="n">
        <v>2500</v>
      </c>
      <c r="C27" s="662" t="n">
        <v>66.87</v>
      </c>
      <c r="D27" s="329" t="n">
        <v>20</v>
      </c>
      <c r="E27" s="642" t="n"/>
      <c r="F27" s="38" t="n">
        <v>95</v>
      </c>
      <c r="G27" s="38" t="n">
        <v>95</v>
      </c>
      <c r="H27" s="38" t="n">
        <v>79</v>
      </c>
      <c r="I27" s="38" t="n">
        <v>79</v>
      </c>
      <c r="J27" s="38" t="n">
        <v>79</v>
      </c>
      <c r="K27" s="38" t="n">
        <v>79</v>
      </c>
      <c r="L27" s="38" t="n">
        <v>79</v>
      </c>
      <c r="M27" s="38" t="n">
        <v>79</v>
      </c>
      <c r="N27" s="38" t="n">
        <v>79</v>
      </c>
      <c r="O27" s="38" t="n">
        <v>79</v>
      </c>
      <c r="P27" s="38" t="n">
        <v>79</v>
      </c>
      <c r="Q27" s="38" t="n">
        <v>75</v>
      </c>
      <c r="R27" s="38" t="n">
        <v>71</v>
      </c>
      <c r="S27" s="38" t="n">
        <v>71</v>
      </c>
      <c r="T27" s="38" t="n">
        <v>177</v>
      </c>
      <c r="U27" s="38" t="n">
        <v>177</v>
      </c>
      <c r="V27" s="38" t="n">
        <v>175</v>
      </c>
      <c r="W27" s="38" t="n">
        <v>175</v>
      </c>
      <c r="X27" s="38" t="n">
        <v>174</v>
      </c>
      <c r="Y27" s="38" t="n">
        <v>170</v>
      </c>
      <c r="Z27" s="38" t="n">
        <v>167</v>
      </c>
      <c r="AA27" s="38" t="n">
        <v>161</v>
      </c>
      <c r="AB27" s="38" t="n">
        <v>157</v>
      </c>
      <c r="AC27" s="38" t="n">
        <v>156</v>
      </c>
      <c r="AD27" s="38" t="n">
        <v>151</v>
      </c>
      <c r="AE27" s="38" t="n">
        <v>148</v>
      </c>
      <c r="AF27" s="38" t="n">
        <v>141</v>
      </c>
      <c r="AG27" s="38" t="n">
        <v>139</v>
      </c>
      <c r="AH27" s="38" t="n">
        <v>136</v>
      </c>
      <c r="AI27" s="38" t="n">
        <v>135</v>
      </c>
      <c r="AJ27" s="38" t="n">
        <v>130</v>
      </c>
      <c r="AK27" s="38" t="n">
        <v>129</v>
      </c>
      <c r="AL27" s="38" t="n">
        <v>121</v>
      </c>
      <c r="AM27" s="38" t="n">
        <v>117</v>
      </c>
      <c r="AN27" s="38" t="n">
        <v>117</v>
      </c>
      <c r="AO27" s="38" t="n">
        <v>108</v>
      </c>
      <c r="AP27" s="38" t="n">
        <v>103</v>
      </c>
      <c r="AQ27" s="38" t="n">
        <v>98</v>
      </c>
      <c r="AR27" s="38" t="n">
        <v>95</v>
      </c>
      <c r="AS27" s="38" t="n">
        <v>94</v>
      </c>
      <c r="AT27" s="38" t="n">
        <v>91</v>
      </c>
      <c r="AU27" s="38" t="n">
        <v>86</v>
      </c>
      <c r="AV27" s="38" t="n">
        <v>83</v>
      </c>
      <c r="AW27" s="38" t="n">
        <v>79</v>
      </c>
      <c r="AX27" s="38" t="n">
        <v>78</v>
      </c>
      <c r="AY27" s="38" t="n">
        <v>73</v>
      </c>
      <c r="AZ27" s="38" t="n">
        <v>65</v>
      </c>
      <c r="BA27" s="38" t="n">
        <v>64</v>
      </c>
      <c r="BB27" s="38" t="n">
        <v>52</v>
      </c>
      <c r="BC27" s="38" t="n">
        <v>47</v>
      </c>
      <c r="BD27" s="38" t="n">
        <v>45</v>
      </c>
      <c r="BE27" s="38" t="n">
        <v>43</v>
      </c>
      <c r="BF27" s="38" t="n">
        <v>42</v>
      </c>
      <c r="BG27" s="38" t="n">
        <v>42</v>
      </c>
      <c r="BH27" s="38" t="n">
        <v>41</v>
      </c>
      <c r="BI27" s="261" t="n">
        <v>0</v>
      </c>
      <c r="BJ27" s="38" t="n">
        <v>0</v>
      </c>
      <c r="BK27" s="38" t="n">
        <v>0</v>
      </c>
      <c r="BL27" s="38" t="n">
        <v>0</v>
      </c>
      <c r="BM27" s="38" t="n">
        <v>0</v>
      </c>
      <c r="BN27" s="38" t="n">
        <v>0</v>
      </c>
      <c r="BO27" s="38" t="n">
        <v>0</v>
      </c>
      <c r="BP27" s="38" t="n">
        <v>0</v>
      </c>
      <c r="BQ27" s="38" t="n">
        <v>0</v>
      </c>
      <c r="BR27" s="261" t="n">
        <v>70</v>
      </c>
      <c r="BS27" s="38" t="n">
        <v>66</v>
      </c>
      <c r="BT27" s="38" t="n"/>
      <c r="BU27" s="38" t="n"/>
      <c r="BV27" s="38" t="n"/>
      <c r="BW27" s="38" t="n">
        <v>50</v>
      </c>
      <c r="BX27" s="38" t="n">
        <v>49</v>
      </c>
      <c r="BY27" s="38" t="n">
        <v>40</v>
      </c>
      <c r="BZ27" s="38" t="n">
        <v>38</v>
      </c>
      <c r="CA27" s="38" t="n">
        <v>38</v>
      </c>
      <c r="CB27" s="38" t="n">
        <v>38</v>
      </c>
      <c r="CC27" s="9" t="n">
        <v>38</v>
      </c>
      <c r="CD27" s="9" t="n">
        <v>38</v>
      </c>
      <c r="CE27" s="9" t="n">
        <v>38</v>
      </c>
      <c r="CF27" s="154">
        <f>CD27+IF(NOT(ISBLANK(OFFSET(CF27,0,6))),N(OFFSET(CF27,0,6)),N(OFFSET(CF27,0,7)))-CE27</f>
        <v/>
      </c>
      <c r="CG27" s="6" t="n"/>
      <c r="CH27" s="19" t="n"/>
      <c r="CI27" s="19" t="n"/>
      <c r="CJ27" s="19" t="n"/>
      <c r="CK27" s="65" t="n"/>
      <c r="CL27" s="18" t="n">
        <v>0</v>
      </c>
      <c r="CM27" s="18" t="n">
        <v>0</v>
      </c>
      <c r="CN27" s="18" t="n"/>
      <c r="CO27" s="18" t="n"/>
      <c r="CP27" s="18" t="n"/>
      <c r="CQ27" s="418" t="n">
        <v>2</v>
      </c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  <c r="DU27" s="18" t="n"/>
      <c r="DV27" s="18" t="n"/>
      <c r="DW27" s="18" t="n"/>
      <c r="DX27" s="18" t="n"/>
      <c r="DY27" s="18" t="n"/>
      <c r="DZ27" s="18" t="n"/>
      <c r="EA27" s="18" t="n"/>
      <c r="EB27" s="18" t="n"/>
      <c r="EC27" s="18" t="n"/>
      <c r="ED27" s="18" t="n"/>
      <c r="EE27" s="18" t="n"/>
      <c r="EF27" s="18" t="n"/>
      <c r="EG27" s="18" t="n"/>
      <c r="EH27" s="18" t="n"/>
      <c r="EI27" s="18" t="n"/>
      <c r="EJ27" s="18" t="n"/>
      <c r="EK27" s="18" t="n"/>
      <c r="EL27" s="18" t="n"/>
      <c r="EM27" s="18" t="n"/>
      <c r="EN27" s="18" t="n"/>
      <c r="EO27" s="18" t="n"/>
      <c r="EP27" s="256" t="n"/>
      <c r="EQ27" s="18" t="n"/>
      <c r="ER27" s="18" t="n"/>
      <c r="ES27" s="18" t="n"/>
      <c r="ET27" s="256" t="n"/>
      <c r="EU27" s="18" t="n"/>
      <c r="EV27" s="18" t="n"/>
      <c r="EW27" s="18" t="n"/>
      <c r="EX27" s="18" t="n"/>
      <c r="EY27" s="18" t="n"/>
      <c r="EZ27" s="18" t="n"/>
      <c r="FA27" s="18" t="n"/>
      <c r="FB27" s="18" t="n"/>
      <c r="FC27" s="18" t="n"/>
      <c r="FD27" s="18" t="n"/>
      <c r="FE27" s="18" t="n"/>
      <c r="FF27" s="18" t="n"/>
      <c r="FG27" s="18" t="n"/>
      <c r="FH27" s="256" t="n"/>
      <c r="FI27" s="18" t="n"/>
      <c r="FJ27" s="18" t="n"/>
      <c r="FK27" s="18" t="n"/>
      <c r="FL27" s="18" t="n"/>
      <c r="FM27" s="18" t="n"/>
      <c r="FN27" s="18" t="n"/>
      <c r="FO27" s="18" t="n"/>
      <c r="FP27" s="18" t="n"/>
      <c r="FQ27" s="18" t="n"/>
      <c r="FR27" s="18" t="n"/>
      <c r="FS27" s="18" t="n">
        <v>100</v>
      </c>
      <c r="FT27" s="18" t="n"/>
      <c r="FU27" s="18" t="n"/>
      <c r="FV27" s="18" t="n"/>
      <c r="FW27" s="18" t="n"/>
      <c r="FX27" s="256" t="n">
        <v>15</v>
      </c>
      <c r="FY27" s="18" t="n"/>
      <c r="FZ27" s="18" t="n"/>
      <c r="GA27" s="18" t="n"/>
      <c r="GB27" s="18" t="n"/>
      <c r="GC27" s="18" t="n"/>
      <c r="GD27" s="18" t="n"/>
      <c r="GE27" s="18" t="n"/>
      <c r="GF27" s="18" t="n"/>
      <c r="GG27" s="18" t="n"/>
      <c r="GH27" s="18" t="n"/>
      <c r="GI27" s="18" t="n"/>
      <c r="GJ27" s="18" t="n"/>
      <c r="GK27" s="18" t="n"/>
      <c r="GL27" s="18" t="n"/>
      <c r="GM27" s="18" t="n"/>
      <c r="GN27" s="18" t="n"/>
      <c r="GO27" s="18" t="n"/>
      <c r="GP27" s="18" t="n"/>
      <c r="GQ27" s="18" t="n"/>
      <c r="GR27" s="18" t="n"/>
    </row>
    <row r="28" ht="18.75" customFormat="1" customHeight="1" s="3">
      <c r="A28" s="33" t="inlineStr">
        <is>
          <t>KIT TAGS  (21 c/ 50 un)</t>
        </is>
      </c>
      <c r="B28" s="9" t="n">
        <v>1050</v>
      </c>
      <c r="C28" s="662" t="n">
        <v>52.14</v>
      </c>
      <c r="D28" s="329" t="n">
        <v>20</v>
      </c>
      <c r="E28" s="2" t="n"/>
      <c r="F28" s="38" t="n">
        <v>48</v>
      </c>
      <c r="G28" s="38" t="n">
        <v>55</v>
      </c>
      <c r="H28" s="38" t="n">
        <v>55</v>
      </c>
      <c r="I28" s="38" t="n">
        <v>55</v>
      </c>
      <c r="J28" s="38" t="n">
        <v>55</v>
      </c>
      <c r="K28" s="38" t="n">
        <v>55</v>
      </c>
      <c r="L28" s="38" t="n">
        <v>55</v>
      </c>
      <c r="M28" s="38" t="n">
        <v>55</v>
      </c>
      <c r="N28" s="38" t="n">
        <v>55</v>
      </c>
      <c r="O28" s="38" t="n">
        <v>55</v>
      </c>
      <c r="P28" s="38" t="n">
        <v>55</v>
      </c>
      <c r="Q28" s="38" t="n">
        <v>45</v>
      </c>
      <c r="R28" s="38" t="n">
        <v>45</v>
      </c>
      <c r="S28" s="38" t="n">
        <v>45</v>
      </c>
      <c r="T28" s="38" t="n">
        <v>160</v>
      </c>
      <c r="U28" s="38" t="n">
        <v>160</v>
      </c>
      <c r="V28" s="38" t="n">
        <v>160</v>
      </c>
      <c r="W28" s="38" t="n">
        <v>265</v>
      </c>
      <c r="X28" s="38" t="n">
        <v>160</v>
      </c>
      <c r="Y28" s="38" t="n">
        <v>160</v>
      </c>
      <c r="Z28" s="38" t="n">
        <v>160</v>
      </c>
      <c r="AA28" s="38" t="n">
        <v>160</v>
      </c>
      <c r="AB28" s="38" t="n">
        <v>160</v>
      </c>
      <c r="AC28" s="38" t="n">
        <v>160</v>
      </c>
      <c r="AD28" s="38" t="n">
        <v>160</v>
      </c>
      <c r="AE28" s="38" t="n">
        <v>160</v>
      </c>
      <c r="AF28" s="38" t="n">
        <v>160</v>
      </c>
      <c r="AG28" s="38" t="n">
        <v>160</v>
      </c>
      <c r="AH28" s="38" t="n">
        <v>160</v>
      </c>
      <c r="AI28" s="38" t="n">
        <v>160</v>
      </c>
      <c r="AJ28" s="38" t="n">
        <v>160</v>
      </c>
      <c r="AK28" s="38" t="n">
        <v>160</v>
      </c>
      <c r="AL28" s="38" t="n">
        <v>160</v>
      </c>
      <c r="AM28" s="38" t="n">
        <v>160</v>
      </c>
      <c r="AN28" s="38" t="n">
        <v>160</v>
      </c>
      <c r="AO28" s="38" t="n">
        <v>160</v>
      </c>
      <c r="AP28" s="38" t="n">
        <v>146</v>
      </c>
      <c r="AQ28" s="38" t="n">
        <v>145</v>
      </c>
      <c r="AR28" s="38" t="n">
        <v>143</v>
      </c>
      <c r="AS28" s="38" t="n">
        <v>143</v>
      </c>
      <c r="AT28" s="38" t="n">
        <v>143</v>
      </c>
      <c r="AU28" s="38" t="n">
        <v>139</v>
      </c>
      <c r="AV28" s="38" t="n">
        <v>136</v>
      </c>
      <c r="AW28" s="38" t="n">
        <v>131</v>
      </c>
      <c r="AX28" s="38" t="n">
        <v>131</v>
      </c>
      <c r="AY28" s="38" t="n">
        <v>124</v>
      </c>
      <c r="AZ28" s="38" t="n">
        <v>122</v>
      </c>
      <c r="BA28" s="38" t="n">
        <v>122</v>
      </c>
      <c r="BB28" s="38" t="n">
        <v>122</v>
      </c>
      <c r="BC28" s="38" t="n">
        <v>114</v>
      </c>
      <c r="BD28" s="38" t="n">
        <v>112</v>
      </c>
      <c r="BE28" s="38" t="n">
        <v>110</v>
      </c>
      <c r="BF28" s="38" t="n">
        <v>110</v>
      </c>
      <c r="BG28" s="38" t="n">
        <v>110</v>
      </c>
      <c r="BH28" s="38" t="n">
        <v>107</v>
      </c>
      <c r="BI28" s="38" t="n">
        <v>106</v>
      </c>
      <c r="BJ28" s="38" t="n">
        <v>103</v>
      </c>
      <c r="BK28" s="38" t="n">
        <v>103</v>
      </c>
      <c r="BL28" s="38" t="n">
        <v>103</v>
      </c>
      <c r="BM28" s="38" t="n">
        <v>103</v>
      </c>
      <c r="BN28" s="38" t="n">
        <v>103</v>
      </c>
      <c r="BO28" s="38" t="n">
        <v>101</v>
      </c>
      <c r="BP28" s="38" t="n">
        <v>99</v>
      </c>
      <c r="BQ28" s="38" t="n">
        <v>96</v>
      </c>
      <c r="BR28" s="38" t="n">
        <v>92</v>
      </c>
      <c r="BS28" s="38" t="n">
        <v>90</v>
      </c>
      <c r="BT28" s="38" t="n"/>
      <c r="BU28" s="38" t="n"/>
      <c r="BV28" s="38" t="n"/>
      <c r="BW28" s="38" t="n">
        <v>63</v>
      </c>
      <c r="BX28" s="38" t="n">
        <v>61</v>
      </c>
      <c r="BY28" s="38">
        <f>97-34</f>
        <v/>
      </c>
      <c r="BZ28" s="38" t="n">
        <v>63</v>
      </c>
      <c r="CA28" s="38" t="n">
        <v>63</v>
      </c>
      <c r="CB28" s="38" t="n">
        <v>63</v>
      </c>
      <c r="CC28" s="9" t="n">
        <v>63</v>
      </c>
      <c r="CD28" s="9" t="n">
        <v>63</v>
      </c>
      <c r="CE28" s="9" t="n">
        <v>63</v>
      </c>
      <c r="CF28" s="154">
        <f>CD28+IF(NOT(ISBLANK(OFFSET(CF28,0,6))),N(OFFSET(CF28,0,6)),N(OFFSET(CF28,0,7)))-CE28</f>
        <v/>
      </c>
      <c r="CG28" s="6" t="n"/>
      <c r="CH28" s="19" t="n"/>
      <c r="CI28" s="19" t="n"/>
      <c r="CJ28" s="19" t="n"/>
      <c r="CK28" s="65" t="n"/>
      <c r="CL28" s="18" t="n">
        <v>0</v>
      </c>
      <c r="CM28" s="18" t="n">
        <v>0</v>
      </c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18" t="n"/>
      <c r="EB28" s="18" t="n"/>
      <c r="EC28" s="18" t="n"/>
      <c r="ED28" s="18" t="n"/>
      <c r="EE28" s="18" t="n"/>
      <c r="EF28" s="18" t="n"/>
      <c r="EG28" s="18" t="n"/>
      <c r="EH28" s="18" t="n"/>
      <c r="EI28" s="18" t="n"/>
      <c r="EJ28" s="18" t="n"/>
      <c r="EK28" s="18" t="n"/>
      <c r="EL28" s="18" t="n"/>
      <c r="EM28" s="18" t="n"/>
      <c r="EN28" s="18" t="n"/>
      <c r="EO28" s="18" t="n"/>
      <c r="EP28" s="18" t="n"/>
      <c r="EQ28" s="18" t="n"/>
      <c r="ER28" s="18" t="n"/>
      <c r="ES28" s="18" t="n"/>
      <c r="ET28" s="256" t="n"/>
      <c r="EU28" s="18" t="n"/>
      <c r="EV28" s="18" t="n"/>
      <c r="EW28" s="18" t="n"/>
      <c r="EX28" s="18" t="n"/>
      <c r="EY28" s="18" t="n"/>
      <c r="EZ28" s="18" t="n"/>
      <c r="FA28" s="18" t="n"/>
      <c r="FB28" s="18" t="n"/>
      <c r="FC28" s="18" t="n"/>
      <c r="FD28" s="18" t="n"/>
      <c r="FE28" s="18" t="n"/>
      <c r="FF28" s="18" t="n"/>
      <c r="FG28" s="18" t="n"/>
      <c r="FH28" s="256" t="n"/>
      <c r="FI28" s="18" t="n"/>
      <c r="FJ28" s="18" t="n"/>
      <c r="FK28" s="18" t="n"/>
      <c r="FL28" s="18" t="n"/>
      <c r="FM28" s="18" t="n"/>
      <c r="FN28" s="18" t="n"/>
      <c r="FO28" s="18" t="n"/>
      <c r="FP28" s="18" t="n"/>
      <c r="FQ28" s="18" t="n"/>
      <c r="FR28" s="18" t="n"/>
      <c r="FS28" s="18" t="n">
        <v>105</v>
      </c>
      <c r="FT28" s="18" t="n"/>
      <c r="FU28" s="18" t="n"/>
      <c r="FV28" s="18" t="n"/>
      <c r="FW28" s="18" t="n"/>
      <c r="FX28" s="256" t="n"/>
      <c r="FY28" s="18" t="n"/>
      <c r="FZ28" s="18" t="n"/>
      <c r="GA28" s="18" t="n"/>
      <c r="GB28" s="18" t="n"/>
      <c r="GC28" s="18" t="n"/>
      <c r="GD28" s="18" t="n"/>
      <c r="GE28" s="18" t="n"/>
      <c r="GF28" s="18" t="n"/>
      <c r="GG28" s="18" t="n"/>
      <c r="GH28" s="18" t="n"/>
      <c r="GI28" s="18" t="n"/>
      <c r="GJ28" s="18" t="n"/>
      <c r="GK28" s="18" t="n"/>
      <c r="GL28" s="18" t="n"/>
      <c r="GM28" s="18" t="n"/>
      <c r="GN28" s="18" t="n"/>
      <c r="GO28" s="18" t="n"/>
      <c r="GP28" s="18" t="n"/>
      <c r="GQ28" s="18" t="n"/>
      <c r="GR28" s="18" t="n"/>
    </row>
    <row r="29" ht="18.75" customFormat="1" customHeight="1" s="3" thickBot="1">
      <c r="A29" s="31" t="n"/>
      <c r="CG29" s="6" t="n"/>
      <c r="CH29" s="67" t="n"/>
      <c r="CI29" s="67" t="n"/>
      <c r="CJ29" s="67" t="n"/>
      <c r="CL29" s="1" t="n"/>
      <c r="CM29" s="1" t="n"/>
      <c r="CN29" s="1" t="n"/>
      <c r="CO29" s="1" t="n"/>
      <c r="CP29" s="1" t="n"/>
      <c r="CQ29" s="1" t="n"/>
      <c r="CR29" s="1" t="n"/>
      <c r="CS29" s="1" t="n"/>
      <c r="CT29" s="1" t="n"/>
      <c r="CU29" s="1" t="n"/>
      <c r="CV29" s="1" t="n"/>
      <c r="CW29" s="1" t="n"/>
      <c r="CX29" s="1" t="n"/>
      <c r="CY29" s="1" t="n"/>
      <c r="CZ29" s="1" t="n"/>
      <c r="DA29" s="1" t="n"/>
      <c r="DB29" s="1" t="n"/>
      <c r="DC29" s="1" t="n"/>
      <c r="DD29" s="1" t="n"/>
      <c r="DE29" s="1" t="n"/>
      <c r="DF29" s="1" t="n"/>
      <c r="DG29" s="1" t="n"/>
      <c r="DH29" s="1" t="n"/>
      <c r="DI29" s="1" t="n"/>
      <c r="DJ29" s="1" t="n"/>
      <c r="DK29" s="1" t="n"/>
      <c r="DL29" s="1" t="n"/>
      <c r="DM29" s="1" t="n"/>
      <c r="DN29" s="1" t="n"/>
      <c r="DO29" s="1" t="n"/>
      <c r="DP29" s="1" t="n"/>
      <c r="DQ29" s="1" t="n"/>
      <c r="DR29" s="1" t="n"/>
      <c r="DS29" s="395" t="n"/>
      <c r="DT29" s="1" t="n"/>
      <c r="DU29" s="1" t="n"/>
      <c r="DV29" s="1" t="n"/>
      <c r="DW29" s="1" t="n"/>
      <c r="DX29" s="1" t="n"/>
      <c r="DY29" s="1" t="n"/>
      <c r="DZ29" s="1" t="n"/>
      <c r="EA29" s="1" t="n"/>
      <c r="EB29" s="1" t="n"/>
      <c r="EC29" s="1" t="n"/>
      <c r="ED29" s="1" t="n"/>
      <c r="EE29" s="1" t="n"/>
      <c r="EF29" s="1" t="n"/>
      <c r="EG29" s="1" t="n"/>
      <c r="EH29" s="1" t="n"/>
      <c r="EI29" s="1" t="n"/>
      <c r="EJ29" s="1" t="n"/>
      <c r="EK29" s="1" t="n"/>
      <c r="EL29" s="1" t="n"/>
      <c r="EM29" s="1" t="n"/>
      <c r="EN29" s="1" t="n"/>
      <c r="EO29" s="1" t="n"/>
      <c r="EP29" s="51" t="n"/>
      <c r="EQ29" s="1" t="n"/>
      <c r="ER29" s="1" t="n"/>
      <c r="ES29" s="1" t="n"/>
      <c r="ET29" s="272" t="n"/>
      <c r="EU29" s="1" t="n"/>
      <c r="EV29" s="1" t="n"/>
      <c r="EW29" s="1" t="n"/>
      <c r="EX29" s="1" t="n"/>
      <c r="EY29" s="1" t="n"/>
      <c r="EZ29" s="1" t="n"/>
      <c r="FA29" s="1" t="n"/>
      <c r="FB29" s="1" t="n"/>
      <c r="FC29" s="1" t="n"/>
      <c r="FD29" s="1" t="n"/>
      <c r="FE29" s="1" t="n"/>
      <c r="FF29" s="1" t="n"/>
      <c r="FG29" s="1" t="n"/>
      <c r="FH29" s="272" t="n"/>
      <c r="FI29" s="1" t="n"/>
      <c r="FJ29" s="1" t="n"/>
      <c r="FK29" s="1" t="n"/>
      <c r="FL29" s="1" t="n"/>
      <c r="FM29" s="1" t="n"/>
      <c r="FN29" s="1" t="n"/>
      <c r="FO29" s="1" t="n"/>
      <c r="FP29" s="1" t="n"/>
      <c r="FQ29" s="1" t="n"/>
      <c r="FR29" s="1" t="n"/>
      <c r="FS29" s="1" t="n"/>
      <c r="FT29" s="1" t="n"/>
      <c r="FU29" s="1" t="n"/>
      <c r="FV29" s="1" t="n"/>
      <c r="FW29" s="1" t="n"/>
      <c r="FX29" s="272" t="n"/>
      <c r="FY29" s="1" t="n"/>
      <c r="FZ29" s="1" t="n"/>
      <c r="GA29" s="1" t="n"/>
      <c r="GB29" s="1" t="n"/>
      <c r="GC29" s="1" t="n"/>
      <c r="GD29" s="1" t="n"/>
      <c r="GE29" s="1" t="n"/>
      <c r="GF29" s="1" t="n"/>
      <c r="GG29" s="1" t="n"/>
      <c r="GH29" s="1" t="n"/>
      <c r="GI29" s="1" t="n"/>
      <c r="GJ29" s="1" t="n"/>
      <c r="GK29" s="1" t="n"/>
      <c r="GL29" s="1" t="n"/>
      <c r="GM29" s="1" t="n"/>
      <c r="GN29" s="1" t="n"/>
      <c r="GO29" s="1" t="n"/>
      <c r="GP29" s="1" t="n"/>
      <c r="GQ29" s="1" t="n"/>
      <c r="GR29" s="1" t="n"/>
    </row>
    <row r="30" ht="18.75" customFormat="1" customHeight="1" s="3">
      <c r="A30" s="32" t="inlineStr">
        <is>
          <t>CAIXAS BOTICÁRIO</t>
        </is>
      </c>
      <c r="B30" s="575" t="inlineStr">
        <is>
          <t>MÓD</t>
        </is>
      </c>
      <c r="C30" s="575" t="n"/>
      <c r="D30" s="575" t="n"/>
      <c r="E30" s="2" t="n"/>
      <c r="F30" s="650" t="n">
        <v>45656</v>
      </c>
      <c r="G30" s="650" t="n">
        <v>45663</v>
      </c>
      <c r="H30" s="650" t="n">
        <v>45670</v>
      </c>
      <c r="I30" s="650" t="n">
        <v>45677</v>
      </c>
      <c r="J30" s="650" t="n">
        <v>45684</v>
      </c>
      <c r="K30" s="650" t="n">
        <v>45691</v>
      </c>
      <c r="L30" s="650" t="n">
        <v>45698</v>
      </c>
      <c r="M30" s="650" t="n">
        <v>45705</v>
      </c>
      <c r="N30" s="650" t="n">
        <v>45712</v>
      </c>
      <c r="O30" s="650" t="n">
        <v>45719</v>
      </c>
      <c r="P30" s="650" t="n">
        <v>45726</v>
      </c>
      <c r="Q30" s="650" t="n">
        <v>45733</v>
      </c>
      <c r="R30" s="650" t="n">
        <v>45740</v>
      </c>
      <c r="S30" s="650" t="n">
        <v>45747</v>
      </c>
      <c r="T30" s="650" t="n">
        <v>45754</v>
      </c>
      <c r="U30" s="650" t="n">
        <v>45761</v>
      </c>
      <c r="V30" s="650" t="n">
        <v>45768</v>
      </c>
      <c r="W30" s="650" t="n">
        <v>45775</v>
      </c>
      <c r="X30" s="650" t="n">
        <v>45782</v>
      </c>
      <c r="Y30" s="650" t="n">
        <v>45789</v>
      </c>
      <c r="Z30" s="650" t="n">
        <v>45796</v>
      </c>
      <c r="AA30" s="650" t="n">
        <v>45803</v>
      </c>
      <c r="AB30" s="650" t="n">
        <v>45810</v>
      </c>
      <c r="AC30" s="650" t="n">
        <v>45817</v>
      </c>
      <c r="AD30" s="650" t="n">
        <v>45824</v>
      </c>
      <c r="AE30" s="650" t="n">
        <v>45831</v>
      </c>
      <c r="AF30" s="650" t="n">
        <v>45838</v>
      </c>
      <c r="AG30" s="650" t="n">
        <v>45845</v>
      </c>
      <c r="AH30" s="650" t="n">
        <v>45852</v>
      </c>
      <c r="AI30" s="650" t="n">
        <v>45859</v>
      </c>
      <c r="AJ30" s="650" t="n">
        <v>45866</v>
      </c>
      <c r="AK30" s="650" t="n">
        <v>45873</v>
      </c>
      <c r="AL30" s="650" t="n">
        <v>45880</v>
      </c>
      <c r="AM30" s="650" t="n">
        <v>45887</v>
      </c>
      <c r="AN30" s="650" t="n">
        <v>45894</v>
      </c>
      <c r="AO30" s="650" t="n">
        <v>45901</v>
      </c>
      <c r="AP30" s="650" t="n">
        <v>45908</v>
      </c>
      <c r="AQ30" s="650" t="n">
        <v>45915</v>
      </c>
      <c r="AR30" s="650" t="n">
        <v>45922</v>
      </c>
      <c r="AS30" s="650" t="n">
        <v>45929</v>
      </c>
      <c r="AT30" s="650" t="n">
        <v>45936</v>
      </c>
      <c r="AU30" s="650" t="n">
        <v>45943</v>
      </c>
      <c r="AV30" s="650" t="n">
        <v>45950</v>
      </c>
      <c r="AW30" s="650" t="n">
        <v>45957</v>
      </c>
      <c r="AX30" s="650" t="n">
        <v>45964</v>
      </c>
      <c r="AY30" s="650" t="n">
        <v>45971</v>
      </c>
      <c r="AZ30" s="650" t="n">
        <v>45978</v>
      </c>
      <c r="BA30" s="650" t="n">
        <v>45985</v>
      </c>
      <c r="BB30" s="650" t="n">
        <v>45992</v>
      </c>
      <c r="BC30" s="650" t="n">
        <v>45999</v>
      </c>
      <c r="BD30" s="650" t="n">
        <v>46006</v>
      </c>
      <c r="BE30" s="650" t="n">
        <v>46013</v>
      </c>
      <c r="BF30" s="650" t="n">
        <v>46020</v>
      </c>
      <c r="BG30" s="650" t="n">
        <v>46027</v>
      </c>
      <c r="BH30" s="650" t="n">
        <v>46034</v>
      </c>
      <c r="BI30" s="650" t="n">
        <v>46041</v>
      </c>
      <c r="BJ30" s="650" t="n">
        <v>46048</v>
      </c>
      <c r="BK30" s="650" t="n">
        <v>46055</v>
      </c>
      <c r="BL30" s="650" t="n">
        <v>46062</v>
      </c>
      <c r="BM30" s="650" t="n">
        <v>46069</v>
      </c>
      <c r="BN30" s="650" t="n">
        <v>46076</v>
      </c>
      <c r="BO30" s="650" t="n">
        <v>46083</v>
      </c>
      <c r="BP30" s="650" t="n">
        <v>46090</v>
      </c>
      <c r="BQ30" s="650" t="n">
        <v>46097</v>
      </c>
      <c r="BR30" s="650" t="n">
        <v>46104</v>
      </c>
      <c r="BS30" s="650" t="n">
        <v>46111</v>
      </c>
      <c r="BT30" s="650" t="n">
        <v>46118</v>
      </c>
      <c r="BU30" s="650" t="n">
        <v>46125</v>
      </c>
      <c r="BV30" s="650" t="n">
        <v>46132</v>
      </c>
      <c r="BW30" s="650" t="n">
        <v>46139</v>
      </c>
      <c r="BX30" s="650" t="n">
        <v>46146</v>
      </c>
      <c r="BY30" s="650" t="n">
        <v>46154</v>
      </c>
      <c r="BZ30" s="650" t="n">
        <v>46160</v>
      </c>
      <c r="CA30" s="650" t="n">
        <v>46160</v>
      </c>
      <c r="CB30" s="650" t="n">
        <v>46160</v>
      </c>
      <c r="CC30" s="651" t="n">
        <v>46161.48003686342</v>
      </c>
      <c r="CD30" s="651" t="n">
        <v>46161.48071633102</v>
      </c>
      <c r="CE30" s="651" t="n">
        <v>46161.48287467183</v>
      </c>
      <c r="CF30" s="652" t="inlineStr">
        <is>
          <t>USOU</t>
        </is>
      </c>
      <c r="CG30" s="6" t="n"/>
      <c r="CH30" s="35" t="inlineStr">
        <is>
          <t>Pend.</t>
        </is>
      </c>
      <c r="CI30" s="413" t="inlineStr">
        <is>
          <t>TRANSFERÊNCIA</t>
        </is>
      </c>
      <c r="CJ30" s="35" t="inlineStr">
        <is>
          <t>Pend.</t>
        </is>
      </c>
      <c r="CK30" s="12" t="inlineStr">
        <is>
          <t>Novo Pedido</t>
        </is>
      </c>
      <c r="CL30" s="716" t="n">
        <v>46161.4828734791</v>
      </c>
      <c r="CM30" s="654" t="n">
        <v>46149</v>
      </c>
      <c r="CN30" s="654" t="n">
        <v>46114</v>
      </c>
      <c r="CO30" s="654" t="n">
        <v>46099</v>
      </c>
      <c r="CP30" s="710" t="n">
        <v>46065</v>
      </c>
      <c r="CQ30" s="711" t="n">
        <v>46045</v>
      </c>
      <c r="CR30" s="654" t="n">
        <v>46076</v>
      </c>
      <c r="CS30" s="655" t="n">
        <v>46084</v>
      </c>
      <c r="CT30" s="654" t="n">
        <v>46077</v>
      </c>
      <c r="CU30" s="655" t="n">
        <v>46077</v>
      </c>
      <c r="CV30" s="654" t="n">
        <v>46071</v>
      </c>
      <c r="CW30" s="654" t="n">
        <v>46071</v>
      </c>
      <c r="CX30" s="654" t="n">
        <v>46056</v>
      </c>
      <c r="CY30" s="654" t="n">
        <v>46043</v>
      </c>
      <c r="CZ30" s="654" t="n">
        <v>46035</v>
      </c>
      <c r="DA30" s="654" t="n">
        <v>46029</v>
      </c>
      <c r="DB30" s="654" t="n">
        <v>46017</v>
      </c>
      <c r="DC30" s="654" t="n">
        <v>46001</v>
      </c>
      <c r="DD30" s="654" t="n">
        <v>46007</v>
      </c>
      <c r="DE30" s="654" t="n">
        <v>45994</v>
      </c>
      <c r="DF30" s="654" t="n">
        <v>45986</v>
      </c>
      <c r="DG30" s="654" t="n">
        <v>45986</v>
      </c>
      <c r="DH30" s="654" t="n">
        <v>45980</v>
      </c>
      <c r="DI30" s="654" t="n">
        <v>45980</v>
      </c>
      <c r="DJ30" s="654" t="n">
        <v>45973</v>
      </c>
      <c r="DK30" s="654" t="n">
        <v>45965</v>
      </c>
      <c r="DL30" s="654" t="n">
        <v>45960</v>
      </c>
      <c r="DM30" s="655" t="n">
        <v>45967</v>
      </c>
      <c r="DN30" s="654" t="n">
        <v>45937</v>
      </c>
      <c r="DO30" s="654" t="n">
        <v>45951</v>
      </c>
      <c r="DP30" s="654" t="n">
        <v>45931</v>
      </c>
      <c r="DQ30" s="654" t="n">
        <v>45923</v>
      </c>
      <c r="DR30" s="654" t="n">
        <v>45923</v>
      </c>
      <c r="DS30" s="678" t="n">
        <v>45903</v>
      </c>
      <c r="DT30" s="655" t="n">
        <v>45931</v>
      </c>
      <c r="DU30" s="688" t="n">
        <v>45931</v>
      </c>
      <c r="DV30" s="654" t="n">
        <v>45915</v>
      </c>
      <c r="DW30" s="654" t="n">
        <v>45909</v>
      </c>
      <c r="DX30" s="654" t="n">
        <v>45903</v>
      </c>
      <c r="DY30" s="654" t="n">
        <v>45903</v>
      </c>
      <c r="DZ30" s="654" t="n">
        <v>45895</v>
      </c>
      <c r="EA30" s="654" t="n">
        <v>45881</v>
      </c>
      <c r="EB30" s="679" t="n">
        <v>45896</v>
      </c>
      <c r="EC30" s="654" t="n">
        <v>45888</v>
      </c>
      <c r="ED30" s="679" t="n">
        <v>45839</v>
      </c>
      <c r="EE30" s="654" t="n">
        <v>45874</v>
      </c>
      <c r="EF30" s="654" t="n">
        <v>45867</v>
      </c>
      <c r="EG30" s="655" t="n">
        <v>45882</v>
      </c>
      <c r="EH30" s="655" t="n">
        <v>45881</v>
      </c>
      <c r="EI30" s="654" t="n">
        <v>45874</v>
      </c>
      <c r="EJ30" s="654" t="n">
        <v>45867</v>
      </c>
      <c r="EK30" s="654" t="n">
        <v>45860</v>
      </c>
      <c r="EL30" s="655" t="n">
        <v>45863</v>
      </c>
      <c r="EM30" s="655" t="n">
        <v>45860</v>
      </c>
      <c r="EN30" s="654" t="n">
        <v>45860</v>
      </c>
      <c r="EO30" s="654" t="n">
        <v>45853</v>
      </c>
      <c r="EP30" s="681" t="n">
        <v>45855</v>
      </c>
      <c r="EQ30" s="654" t="n">
        <v>45848</v>
      </c>
      <c r="ER30" s="654" t="n">
        <v>45839</v>
      </c>
      <c r="ES30" s="654" t="n">
        <v>45832</v>
      </c>
      <c r="ET30" s="650" t="n">
        <v>45842</v>
      </c>
      <c r="EU30" s="654" t="n">
        <v>45832</v>
      </c>
      <c r="EV30" s="654" t="n">
        <v>45825</v>
      </c>
      <c r="EW30" s="655" t="n">
        <v>45826</v>
      </c>
      <c r="EX30" s="655" t="n">
        <v>45825</v>
      </c>
      <c r="EY30" s="654" t="n">
        <v>45819</v>
      </c>
      <c r="EZ30" s="654" t="n">
        <v>45813</v>
      </c>
      <c r="FA30" s="655" t="n">
        <v>45820</v>
      </c>
      <c r="FB30" s="655" t="n">
        <v>45818</v>
      </c>
      <c r="FC30" s="654" t="n">
        <v>45805</v>
      </c>
      <c r="FD30" s="655" t="n">
        <v>45807</v>
      </c>
      <c r="FE30" s="654" t="n">
        <v>45790</v>
      </c>
      <c r="FF30" s="655" t="n">
        <v>45799</v>
      </c>
      <c r="FG30" s="690" t="n">
        <v>45799</v>
      </c>
      <c r="FH30" s="650" t="n">
        <v>45798</v>
      </c>
      <c r="FI30" s="655" t="n">
        <v>45798</v>
      </c>
      <c r="FJ30" s="655" t="n">
        <v>45797</v>
      </c>
      <c r="FK30" s="654" t="n">
        <v>45790</v>
      </c>
      <c r="FL30" s="654" t="n">
        <v>45783</v>
      </c>
      <c r="FM30" s="654" t="n">
        <v>45775</v>
      </c>
      <c r="FN30" s="654" t="n">
        <v>45756</v>
      </c>
      <c r="FO30" s="654" t="n">
        <v>45770</v>
      </c>
      <c r="FP30" s="654" t="n">
        <v>45756</v>
      </c>
      <c r="FQ30" s="654" t="n">
        <v>45749</v>
      </c>
      <c r="FR30" s="654" t="n">
        <v>45736</v>
      </c>
      <c r="FS30" s="654" t="n">
        <v>45743</v>
      </c>
      <c r="FT30" s="654" t="n">
        <v>45735</v>
      </c>
      <c r="FU30" s="654" t="n">
        <v>45728</v>
      </c>
      <c r="FV30" s="654" t="n">
        <v>45722</v>
      </c>
      <c r="FW30" s="654" t="n">
        <v>45714</v>
      </c>
      <c r="FX30" s="650" t="n">
        <v>45700</v>
      </c>
      <c r="FY30" s="654" t="n">
        <v>45706</v>
      </c>
      <c r="FZ30" s="654" t="n">
        <v>45700</v>
      </c>
      <c r="GA30" s="654" t="n">
        <v>45684</v>
      </c>
      <c r="GB30" s="654" t="n">
        <v>45699</v>
      </c>
      <c r="GC30" s="654" t="n">
        <v>45699</v>
      </c>
      <c r="GD30" s="655" t="n">
        <v>45706</v>
      </c>
      <c r="GE30" s="654" t="n">
        <v>45693</v>
      </c>
      <c r="GF30" s="654" t="n">
        <v>45693</v>
      </c>
      <c r="GG30" s="654" t="n">
        <v>45685</v>
      </c>
      <c r="GH30" s="712" t="n">
        <v>45692</v>
      </c>
      <c r="GI30" s="655" t="n">
        <v>45691</v>
      </c>
      <c r="GJ30" s="655" t="n">
        <v>45681</v>
      </c>
      <c r="GK30" s="654" t="n">
        <v>45674</v>
      </c>
      <c r="GL30" s="655" t="n">
        <v>45672</v>
      </c>
      <c r="GM30" s="654" t="n">
        <v>45664</v>
      </c>
      <c r="GN30" s="654" t="n">
        <v>46008</v>
      </c>
      <c r="GO30" s="654" t="n">
        <v>45660</v>
      </c>
      <c r="GP30" s="654" t="n">
        <v>45652</v>
      </c>
      <c r="GQ30" s="654" t="n">
        <v>45638</v>
      </c>
      <c r="GR30" s="654" t="n">
        <v>45643</v>
      </c>
      <c r="GS30" s="764" t="n"/>
      <c r="GU30" s="718" t="n"/>
    </row>
    <row r="31" ht="18.75" customFormat="1" customHeight="1" s="3">
      <c r="A31" s="33" t="inlineStr">
        <is>
          <t>KIT CAIXA P VERDE</t>
        </is>
      </c>
      <c r="B31" s="129" t="n">
        <v>75</v>
      </c>
      <c r="C31" s="665" t="n">
        <v>239.21</v>
      </c>
      <c r="D31" s="329" t="n">
        <v>30</v>
      </c>
      <c r="E31" s="2" t="n"/>
      <c r="F31" s="38" t="n">
        <v>4</v>
      </c>
      <c r="G31" s="38">
        <f>75-17</f>
        <v/>
      </c>
      <c r="H31" s="38" t="n">
        <v>57</v>
      </c>
      <c r="I31" s="38" t="n">
        <v>55</v>
      </c>
      <c r="J31" s="38" t="n">
        <v>52</v>
      </c>
      <c r="K31" s="38" t="n">
        <v>47</v>
      </c>
      <c r="L31" s="38" t="n">
        <v>44</v>
      </c>
      <c r="M31" s="38" t="n">
        <v>41</v>
      </c>
      <c r="N31" s="38" t="n">
        <v>38</v>
      </c>
      <c r="O31" s="38" t="n">
        <v>33</v>
      </c>
      <c r="P31" s="38" t="n">
        <v>29</v>
      </c>
      <c r="Q31" s="38" t="n">
        <v>26</v>
      </c>
      <c r="R31" s="38" t="n">
        <v>25</v>
      </c>
      <c r="S31" s="38" t="n">
        <v>21</v>
      </c>
      <c r="T31" s="38" t="n">
        <v>19</v>
      </c>
      <c r="U31" s="38" t="n">
        <v>10</v>
      </c>
      <c r="V31" s="38" t="n">
        <v>0</v>
      </c>
      <c r="W31" s="38" t="n">
        <v>0</v>
      </c>
      <c r="X31" s="38" t="n">
        <v>75</v>
      </c>
      <c r="Y31" s="38" t="n">
        <v>69</v>
      </c>
      <c r="Z31" s="38" t="n">
        <v>58</v>
      </c>
      <c r="AA31" s="38" t="n">
        <v>54</v>
      </c>
      <c r="AB31" s="38" t="n">
        <v>43</v>
      </c>
      <c r="AC31" s="38" t="n">
        <v>33</v>
      </c>
      <c r="AD31" s="38" t="n">
        <v>18</v>
      </c>
      <c r="AE31" s="38" t="n">
        <v>17</v>
      </c>
      <c r="AF31" s="38" t="n">
        <v>15</v>
      </c>
      <c r="AG31" s="38" t="n">
        <v>9</v>
      </c>
      <c r="AH31" s="38">
        <f>4+EN31</f>
        <v/>
      </c>
      <c r="AI31" s="38" t="n">
        <v>72</v>
      </c>
      <c r="AJ31" s="38" t="n">
        <v>67</v>
      </c>
      <c r="AK31" s="38" t="n">
        <v>64</v>
      </c>
      <c r="AL31" s="38" t="n">
        <v>53</v>
      </c>
      <c r="AM31" s="38" t="n">
        <v>50</v>
      </c>
      <c r="AN31" s="38" t="n">
        <v>50</v>
      </c>
      <c r="AO31" s="38" t="n">
        <v>42</v>
      </c>
      <c r="AP31" s="38" t="n">
        <v>35</v>
      </c>
      <c r="AQ31" s="38" t="n">
        <v>30</v>
      </c>
      <c r="AR31" s="38" t="n">
        <v>24</v>
      </c>
      <c r="AS31" s="38" t="n">
        <v>12</v>
      </c>
      <c r="AT31" s="38" t="n">
        <v>12</v>
      </c>
      <c r="AU31" s="38" t="n">
        <v>0</v>
      </c>
      <c r="AV31" s="38" t="n">
        <v>0</v>
      </c>
      <c r="AW31" s="38" t="n">
        <v>0</v>
      </c>
      <c r="AX31" s="38" t="n">
        <v>0</v>
      </c>
      <c r="AY31" s="38">
        <f>0+DI31</f>
        <v/>
      </c>
      <c r="AZ31" s="261" t="n">
        <v>141</v>
      </c>
      <c r="BA31" s="38" t="n">
        <v>136</v>
      </c>
      <c r="BB31" s="38" t="n">
        <v>131</v>
      </c>
      <c r="BC31" s="38" t="n">
        <v>43</v>
      </c>
      <c r="BD31" s="38" t="n">
        <v>29</v>
      </c>
      <c r="BE31" s="38" t="n">
        <v>0</v>
      </c>
      <c r="BF31" s="38" t="n">
        <v>0</v>
      </c>
      <c r="BG31" s="38" t="n">
        <v>0</v>
      </c>
      <c r="BH31" s="38" t="n">
        <v>0</v>
      </c>
      <c r="BI31" s="38" t="n">
        <v>0</v>
      </c>
      <c r="BJ31" s="38" t="n">
        <v>0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>
        <v>0</v>
      </c>
      <c r="BT31" s="38" t="n">
        <v>0</v>
      </c>
      <c r="BU31" s="38" t="n">
        <v>0</v>
      </c>
      <c r="BV31" s="38" t="n">
        <v>0</v>
      </c>
      <c r="BW31" s="38" t="n">
        <v>0</v>
      </c>
      <c r="BX31" s="38" t="n">
        <v>0</v>
      </c>
      <c r="BY31" s="38" t="n">
        <v>0</v>
      </c>
      <c r="BZ31" s="38" t="n">
        <v>0</v>
      </c>
      <c r="CA31" s="38" t="n">
        <v>0</v>
      </c>
      <c r="CB31" s="38" t="n">
        <v>0</v>
      </c>
      <c r="CC31" s="9" t="n">
        <v>0</v>
      </c>
      <c r="CD31" s="9" t="n">
        <v>0</v>
      </c>
      <c r="CE31" s="9" t="n">
        <v>0</v>
      </c>
      <c r="CF31" s="154">
        <f>CD31+IF(NOT(ISBLANK(OFFSET(CF31,0,6))),N(OFFSET(CF31,0,6)),N(OFFSET(CF31,0,7)))-CE31</f>
        <v/>
      </c>
      <c r="CG31" s="6" t="n"/>
      <c r="CH31" s="19" t="n"/>
      <c r="CI31" s="19" t="n"/>
      <c r="CJ31" s="19" t="n"/>
      <c r="CK31" s="27" t="n"/>
      <c r="CL31" s="18" t="n">
        <v>0</v>
      </c>
      <c r="CM31" s="18" t="n">
        <v>0</v>
      </c>
      <c r="CN31" s="18" t="n"/>
      <c r="CO31" s="18" t="n"/>
      <c r="CP31" s="18" t="n"/>
      <c r="CQ31" s="418" t="n">
        <v>200</v>
      </c>
      <c r="CR31" s="18" t="n"/>
      <c r="CS31" s="18" t="n"/>
      <c r="CT31" s="18" t="n"/>
      <c r="CU31" s="18" t="n"/>
      <c r="CV31" s="18" t="n"/>
      <c r="CW31" s="18" t="n"/>
      <c r="CX31" s="18" t="n"/>
      <c r="CY31" s="18" t="n"/>
      <c r="CZ31" s="18" t="n"/>
      <c r="DA31" s="18" t="n"/>
      <c r="DB31" s="18" t="n"/>
      <c r="DC31" s="18" t="n"/>
      <c r="DD31" s="18" t="n"/>
      <c r="DE31" s="18" t="n"/>
      <c r="DF31" s="18" t="n"/>
      <c r="DG31" s="18" t="n"/>
      <c r="DH31" s="18" t="n"/>
      <c r="DI31" s="18" t="n"/>
      <c r="DJ31" s="18" t="n"/>
      <c r="DK31" s="18" t="n"/>
      <c r="DL31" s="18" t="n">
        <v>75</v>
      </c>
      <c r="DM31" s="18" t="n"/>
      <c r="DN31" s="18" t="n"/>
      <c r="DO31" s="18" t="n"/>
      <c r="DP31" s="18" t="n"/>
      <c r="DQ31" s="18" t="n"/>
      <c r="DR31" s="18" t="n"/>
      <c r="DS31" s="256" t="n">
        <v>150</v>
      </c>
      <c r="DT31" s="18" t="n"/>
      <c r="DU31" s="18" t="n"/>
      <c r="DV31" s="18" t="n"/>
      <c r="DW31" s="18" t="n"/>
      <c r="DX31" s="18" t="n"/>
      <c r="DY31" s="18" t="n"/>
      <c r="DZ31" s="18" t="n"/>
      <c r="EA31" s="18" t="n"/>
      <c r="EB31" s="18" t="n"/>
      <c r="EC31" s="18" t="n"/>
      <c r="ED31" s="18" t="n"/>
      <c r="EE31" s="18" t="n"/>
      <c r="EF31" s="18" t="n"/>
      <c r="EG31" s="18" t="n"/>
      <c r="EH31" s="18" t="n"/>
      <c r="EI31" s="18" t="n"/>
      <c r="EJ31" s="18" t="n"/>
      <c r="EK31" s="18" t="n"/>
      <c r="EL31" s="18" t="n"/>
      <c r="EM31" s="18" t="n"/>
      <c r="EN31" s="18" t="n"/>
      <c r="EO31" s="18" t="n"/>
      <c r="EP31" s="18" t="n"/>
      <c r="EQ31" s="18" t="n">
        <v>75</v>
      </c>
      <c r="ER31" s="18" t="n"/>
      <c r="ES31" s="18" t="n"/>
      <c r="ET31" s="256" t="n"/>
      <c r="EU31" s="18" t="n"/>
      <c r="EV31" s="18" t="n"/>
      <c r="EW31" s="260" t="n"/>
      <c r="EX31" s="260" t="n"/>
      <c r="EY31" s="18" t="n"/>
      <c r="EZ31" s="18" t="n"/>
      <c r="FA31" s="260" t="n"/>
      <c r="FB31" s="260" t="n"/>
      <c r="FC31" s="18" t="n"/>
      <c r="FD31" s="260" t="n"/>
      <c r="FE31" s="18" t="n"/>
      <c r="FF31" s="260" t="n"/>
      <c r="FG31" s="260" t="n"/>
      <c r="FH31" s="292" t="inlineStr">
        <is>
          <t>67 P/ PL</t>
        </is>
      </c>
      <c r="FI31" s="260" t="n"/>
      <c r="FJ31" s="260" t="n"/>
      <c r="FK31" s="18" t="n"/>
      <c r="FL31" s="18" t="n"/>
      <c r="FM31" s="18" t="n"/>
      <c r="FN31" s="18" t="n">
        <v>75</v>
      </c>
      <c r="FO31" s="18" t="n"/>
      <c r="FP31" s="18" t="n"/>
      <c r="FQ31" s="18" t="n"/>
      <c r="FR31" s="18" t="n"/>
      <c r="FS31" s="18" t="n"/>
      <c r="FT31" s="18" t="n"/>
      <c r="FU31" s="18" t="n"/>
      <c r="FV31" s="18" t="n"/>
      <c r="FW31" s="18" t="n"/>
      <c r="FX31" s="256" t="n">
        <v>150</v>
      </c>
      <c r="FY31" s="18" t="n"/>
      <c r="FZ31" s="18" t="n"/>
      <c r="GA31" s="18" t="n"/>
      <c r="GB31" s="18" t="n"/>
      <c r="GC31" s="18" t="n"/>
      <c r="GD31" s="260" t="n"/>
      <c r="GE31" s="18" t="n"/>
      <c r="GF31" s="18" t="n"/>
      <c r="GG31" s="18" t="n"/>
      <c r="GH31" s="260" t="n"/>
      <c r="GI31" s="260" t="n"/>
      <c r="GJ31" s="260" t="n"/>
      <c r="GK31" s="18" t="n"/>
      <c r="GL31" s="239" t="inlineStr">
        <is>
          <t>17 P/ ER PBE</t>
        </is>
      </c>
      <c r="GM31" s="18" t="n"/>
      <c r="GN31" s="18" t="n"/>
      <c r="GO31" s="18" t="n"/>
      <c r="GP31" s="18" t="n">
        <v>75</v>
      </c>
      <c r="GQ31" s="18" t="n"/>
      <c r="GR31" s="762" t="n"/>
      <c r="GS31" s="765" t="n"/>
      <c r="GU31" s="720" t="n"/>
    </row>
    <row r="32" ht="18.75" customFormat="1" customHeight="1" s="3">
      <c r="A32" s="33" t="inlineStr">
        <is>
          <t>KIT CAIXA M VERDE</t>
        </is>
      </c>
      <c r="B32" s="129" t="n">
        <v>75</v>
      </c>
      <c r="C32" s="662" t="n">
        <v>312.27</v>
      </c>
      <c r="D32" s="329" t="n">
        <v>40</v>
      </c>
      <c r="E32" s="2" t="n"/>
      <c r="F32" s="38" t="n">
        <v>33</v>
      </c>
      <c r="G32" s="38" t="n">
        <v>106</v>
      </c>
      <c r="H32" s="38" t="n">
        <v>91</v>
      </c>
      <c r="I32" s="38" t="n">
        <v>89</v>
      </c>
      <c r="J32" s="38" t="n">
        <v>87</v>
      </c>
      <c r="K32" s="38" t="n">
        <v>79</v>
      </c>
      <c r="L32" s="38" t="n">
        <v>76</v>
      </c>
      <c r="M32" s="38" t="n">
        <v>73</v>
      </c>
      <c r="N32" s="38" t="n">
        <v>69</v>
      </c>
      <c r="O32" s="38" t="n">
        <v>67</v>
      </c>
      <c r="P32" s="38" t="n">
        <v>63</v>
      </c>
      <c r="Q32" s="38" t="n">
        <v>54</v>
      </c>
      <c r="R32" s="38" t="n">
        <v>51</v>
      </c>
      <c r="S32" s="38" t="n">
        <v>46</v>
      </c>
      <c r="T32" s="38" t="n">
        <v>36</v>
      </c>
      <c r="U32" s="38" t="n">
        <v>32</v>
      </c>
      <c r="V32" s="38" t="n">
        <v>18</v>
      </c>
      <c r="W32" s="38" t="n">
        <v>93</v>
      </c>
      <c r="X32" s="38" t="n">
        <v>74</v>
      </c>
      <c r="Y32" s="38" t="n">
        <v>60</v>
      </c>
      <c r="Z32" s="38" t="n">
        <v>44</v>
      </c>
      <c r="AA32" s="38" t="n">
        <v>35</v>
      </c>
      <c r="AB32" s="38" t="n">
        <v>29</v>
      </c>
      <c r="AC32" s="38" t="n">
        <v>18</v>
      </c>
      <c r="AD32" s="38">
        <f>78-20</f>
        <v/>
      </c>
      <c r="AE32" s="38" t="n">
        <v>53</v>
      </c>
      <c r="AF32" s="38" t="n">
        <v>49</v>
      </c>
      <c r="AG32" s="38" t="n">
        <v>36</v>
      </c>
      <c r="AH32" s="38" t="n">
        <v>26</v>
      </c>
      <c r="AI32" s="38" t="n">
        <v>22</v>
      </c>
      <c r="AJ32" s="38" t="n">
        <v>16</v>
      </c>
      <c r="AK32" s="38">
        <f>4+EG32</f>
        <v/>
      </c>
      <c r="AL32" s="38">
        <f>72-20</f>
        <v/>
      </c>
      <c r="AM32" s="38" t="n">
        <v>44</v>
      </c>
      <c r="AN32" s="38" t="n">
        <v>44</v>
      </c>
      <c r="AO32" s="38" t="n">
        <v>37</v>
      </c>
      <c r="AP32" s="38" t="n">
        <v>32</v>
      </c>
      <c r="AQ32" s="38" t="n">
        <v>25</v>
      </c>
      <c r="AR32" s="38">
        <f>22-10</f>
        <v/>
      </c>
      <c r="AS32" s="38" t="n">
        <v>6</v>
      </c>
      <c r="AT32" s="38" t="n">
        <v>4</v>
      </c>
      <c r="AU32" s="38" t="n">
        <v>0</v>
      </c>
      <c r="AV32" s="38" t="n">
        <v>0</v>
      </c>
      <c r="AW32" s="38" t="n">
        <v>0</v>
      </c>
      <c r="AX32" s="38" t="n">
        <v>0</v>
      </c>
      <c r="AY32" s="38" t="n">
        <v>0</v>
      </c>
      <c r="AZ32" s="38" t="n">
        <v>0</v>
      </c>
      <c r="BA32" s="38" t="n">
        <v>0</v>
      </c>
      <c r="BB32" s="38" t="n">
        <v>0</v>
      </c>
      <c r="BC32" s="38" t="n">
        <v>0</v>
      </c>
      <c r="BD32" s="38" t="n">
        <v>0</v>
      </c>
      <c r="BE32" s="38" t="n">
        <v>0</v>
      </c>
      <c r="BF32" s="38" t="n">
        <v>0</v>
      </c>
      <c r="BG32" s="38" t="n">
        <v>0</v>
      </c>
      <c r="BH32" s="38" t="n">
        <v>0</v>
      </c>
      <c r="BI32" s="38" t="n">
        <v>0</v>
      </c>
      <c r="BJ32" s="38" t="n">
        <v>0</v>
      </c>
      <c r="BK32" s="38" t="n">
        <v>0</v>
      </c>
      <c r="BL32" s="261" t="n">
        <v>94</v>
      </c>
      <c r="BM32" s="38" t="n">
        <v>94</v>
      </c>
      <c r="BN32" s="38" t="n">
        <v>85</v>
      </c>
      <c r="BO32" s="38" t="n">
        <v>80</v>
      </c>
      <c r="BP32" s="38" t="n">
        <v>0</v>
      </c>
      <c r="BQ32" s="38" t="n">
        <v>0</v>
      </c>
      <c r="BR32" s="38" t="n">
        <v>0</v>
      </c>
      <c r="BS32" s="38" t="n">
        <v>0</v>
      </c>
      <c r="BT32" s="38" t="n">
        <v>0</v>
      </c>
      <c r="BU32" s="38" t="n">
        <v>0</v>
      </c>
      <c r="BV32" s="38" t="n">
        <v>0</v>
      </c>
      <c r="BW32" s="38" t="n">
        <v>0</v>
      </c>
      <c r="BX32" s="38" t="n">
        <v>0</v>
      </c>
      <c r="BY32" s="38" t="n">
        <v>0</v>
      </c>
      <c r="BZ32" s="38" t="n">
        <v>0</v>
      </c>
      <c r="CA32" s="38" t="n">
        <v>0</v>
      </c>
      <c r="CB32" s="38" t="n">
        <v>0</v>
      </c>
      <c r="CC32" s="9" t="n">
        <v>0</v>
      </c>
      <c r="CD32" s="9" t="n">
        <v>0</v>
      </c>
      <c r="CE32" s="9" t="n">
        <v>0</v>
      </c>
      <c r="CF32" s="154">
        <f>CD32+IF(NOT(ISBLANK(OFFSET(CF32,0,6))),N(OFFSET(CF32,0,6)),N(OFFSET(CF32,0,7)))-CE32</f>
        <v/>
      </c>
      <c r="CG32" s="6" t="n"/>
      <c r="CH32" s="19" t="n"/>
      <c r="CI32" s="127" t="n"/>
      <c r="CJ32" s="19" t="n"/>
      <c r="CK32" s="65" t="n"/>
      <c r="CL32" s="18" t="n">
        <v>0</v>
      </c>
      <c r="CM32" s="18" t="n">
        <v>0</v>
      </c>
      <c r="CN32" s="18" t="n"/>
      <c r="CO32" s="18" t="n"/>
      <c r="CP32" s="403" t="n">
        <v>100</v>
      </c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18" t="n"/>
      <c r="DP32" s="18" t="n"/>
      <c r="DQ32" s="18" t="n"/>
      <c r="DR32" s="18" t="n"/>
      <c r="DS32" s="256" t="n">
        <v>100</v>
      </c>
      <c r="DT32" s="154" t="inlineStr">
        <is>
          <t>10 P/ ER PG</t>
        </is>
      </c>
      <c r="DU32" s="405" t="inlineStr">
        <is>
          <t>20 P/ ER PG</t>
        </is>
      </c>
      <c r="DV32" s="18" t="n"/>
      <c r="DW32" s="18" t="n"/>
      <c r="DX32" s="18" t="n"/>
      <c r="DY32" s="18" t="n"/>
      <c r="DZ32" s="18" t="n"/>
      <c r="EA32" s="18" t="n"/>
      <c r="EB32" s="18" t="n"/>
      <c r="EC32" s="18" t="n"/>
      <c r="ED32" s="18" t="n"/>
      <c r="EE32" s="18" t="n"/>
      <c r="EF32" s="18" t="n"/>
      <c r="EG32" s="18" t="n"/>
      <c r="EH32" s="154" t="inlineStr">
        <is>
          <t>20 P/ ER PBE</t>
        </is>
      </c>
      <c r="EI32" s="18" t="n"/>
      <c r="EJ32" s="18" t="n">
        <v>75</v>
      </c>
      <c r="EK32" s="18" t="n"/>
      <c r="EL32" s="18" t="n"/>
      <c r="EM32" s="18" t="n"/>
      <c r="EN32" s="18" t="n"/>
      <c r="EO32" s="18" t="n"/>
      <c r="EP32" s="292" t="inlineStr">
        <is>
          <t>50 DE ER PG</t>
        </is>
      </c>
      <c r="EQ32" s="18" t="n"/>
      <c r="ER32" s="18" t="n"/>
      <c r="ES32" s="18" t="n"/>
      <c r="ET32" s="256" t="n"/>
      <c r="EU32" s="18" t="n"/>
      <c r="EV32" s="18" t="n"/>
      <c r="EW32" s="18" t="n"/>
      <c r="EX32" s="241" t="inlineStr">
        <is>
          <t>20 P/ BOQ</t>
        </is>
      </c>
      <c r="EY32" s="18" t="n">
        <v>75</v>
      </c>
      <c r="EZ32" s="18" t="n"/>
      <c r="FA32" s="18" t="n"/>
      <c r="FB32" s="18" t="n"/>
      <c r="FC32" s="18" t="n"/>
      <c r="FD32" s="18" t="n"/>
      <c r="FE32" s="18" t="n"/>
      <c r="FF32" s="18" t="n"/>
      <c r="FG32" s="312" t="inlineStr">
        <is>
          <t>50 DE ER</t>
        </is>
      </c>
      <c r="FH32" s="256" t="n"/>
      <c r="FI32" s="18" t="n"/>
      <c r="FJ32" s="18" t="n"/>
      <c r="FK32" s="18" t="n"/>
      <c r="FL32" s="18" t="n"/>
      <c r="FM32" s="18" t="n"/>
      <c r="FN32" s="18" t="n"/>
      <c r="FO32" s="18" t="n"/>
      <c r="FP32" s="18" t="n">
        <v>75</v>
      </c>
      <c r="FQ32" s="18" t="n"/>
      <c r="FR32" s="18" t="n"/>
      <c r="FS32" s="18" t="n"/>
      <c r="FT32" s="18" t="n"/>
      <c r="FU32" s="18" t="n"/>
      <c r="FV32" s="18" t="n"/>
      <c r="FW32" s="18" t="n"/>
      <c r="FX32" s="256" t="n">
        <v>100</v>
      </c>
      <c r="FY32" s="18" t="n"/>
      <c r="FZ32" s="18" t="n"/>
      <c r="GA32" s="18" t="n"/>
      <c r="GB32" s="18" t="n"/>
      <c r="GC32" s="18" t="n"/>
      <c r="GD32" s="18" t="n"/>
      <c r="GE32" s="18" t="n"/>
      <c r="GF32" s="18" t="n"/>
      <c r="GG32" s="18" t="n"/>
      <c r="GH32" s="18" t="n"/>
      <c r="GI32" s="18" t="n"/>
      <c r="GJ32" s="18" t="n"/>
      <c r="GK32" s="18" t="n"/>
      <c r="GL32" s="18" t="n"/>
      <c r="GM32" s="18" t="n"/>
      <c r="GN32" s="18" t="n"/>
      <c r="GO32" s="18" t="n"/>
      <c r="GP32" s="18" t="n">
        <v>75</v>
      </c>
      <c r="GQ32" s="18" t="n"/>
      <c r="GR32" s="762" t="n"/>
      <c r="GS32" s="765" t="n"/>
      <c r="GU32" s="720" t="n"/>
    </row>
    <row r="33" ht="18.75" customHeight="1" thickBot="1">
      <c r="A33" s="33" t="inlineStr">
        <is>
          <t>KIT CAIXA G VERDE</t>
        </is>
      </c>
      <c r="B33" s="129" t="n">
        <v>50</v>
      </c>
      <c r="C33" s="662" t="n">
        <v>367.65</v>
      </c>
      <c r="D33" s="329" t="n">
        <v>10</v>
      </c>
      <c r="F33" s="38" t="n">
        <v>0</v>
      </c>
      <c r="G33" s="38">
        <f>0+GK33-15</f>
        <v/>
      </c>
      <c r="H33" s="38" t="n">
        <v>35</v>
      </c>
      <c r="I33" s="38" t="n">
        <v>35</v>
      </c>
      <c r="J33" s="38" t="n">
        <v>35</v>
      </c>
      <c r="K33" s="38" t="n">
        <v>35</v>
      </c>
      <c r="L33" s="38" t="n">
        <v>35</v>
      </c>
      <c r="M33" s="38" t="n">
        <v>35</v>
      </c>
      <c r="N33" s="38" t="n">
        <v>35</v>
      </c>
      <c r="O33" s="38" t="n">
        <v>35</v>
      </c>
      <c r="P33" s="38" t="n">
        <v>35</v>
      </c>
      <c r="Q33" s="38" t="n">
        <v>35</v>
      </c>
      <c r="R33" s="38" t="n">
        <v>35</v>
      </c>
      <c r="S33" s="38" t="n">
        <v>35</v>
      </c>
      <c r="T33" s="38" t="n">
        <v>35</v>
      </c>
      <c r="U33" s="38" t="n">
        <v>35</v>
      </c>
      <c r="V33" s="38" t="n">
        <v>35</v>
      </c>
      <c r="W33" s="38" t="n">
        <v>35</v>
      </c>
      <c r="X33" s="38" t="n">
        <v>35</v>
      </c>
      <c r="Y33" s="38" t="n">
        <v>35</v>
      </c>
      <c r="Z33" s="38" t="n">
        <v>35</v>
      </c>
      <c r="AA33" s="38" t="n">
        <v>35</v>
      </c>
      <c r="AB33" s="38" t="n">
        <v>35</v>
      </c>
      <c r="AC33" s="38" t="n">
        <v>35</v>
      </c>
      <c r="AD33" s="38" t="n">
        <v>35</v>
      </c>
      <c r="AE33" s="38" t="n">
        <v>35</v>
      </c>
      <c r="AF33" s="38" t="n">
        <v>35</v>
      </c>
      <c r="AG33" s="38" t="n">
        <v>35</v>
      </c>
      <c r="AH33" s="38" t="n">
        <v>35</v>
      </c>
      <c r="AI33" s="38" t="n">
        <v>35</v>
      </c>
      <c r="AJ33" s="38" t="n">
        <v>35</v>
      </c>
      <c r="AK33" s="38" t="n">
        <v>35</v>
      </c>
      <c r="AL33" s="38" t="n">
        <v>33</v>
      </c>
      <c r="AM33" s="38" t="n">
        <v>33</v>
      </c>
      <c r="AN33" s="38" t="n">
        <v>33</v>
      </c>
      <c r="AO33" s="38" t="n">
        <v>30</v>
      </c>
      <c r="AP33" s="38" t="n">
        <v>29</v>
      </c>
      <c r="AQ33" s="38" t="n">
        <v>25</v>
      </c>
      <c r="AR33" s="38" t="n">
        <v>25</v>
      </c>
      <c r="AS33" s="38" t="n">
        <v>25</v>
      </c>
      <c r="AT33" s="38" t="n">
        <v>24</v>
      </c>
      <c r="AU33" s="38" t="n">
        <v>24</v>
      </c>
      <c r="AV33" s="38" t="n">
        <v>23</v>
      </c>
      <c r="AW33" s="38" t="n">
        <v>15</v>
      </c>
      <c r="AX33" s="38" t="n">
        <v>15</v>
      </c>
      <c r="AY33" s="38" t="n">
        <v>15</v>
      </c>
      <c r="AZ33" s="38" t="n">
        <v>13</v>
      </c>
      <c r="BA33" s="38" t="n">
        <v>12</v>
      </c>
      <c r="BB33" s="38" t="n">
        <v>10</v>
      </c>
      <c r="BC33" s="38" t="n">
        <v>4</v>
      </c>
      <c r="BD33" s="38" t="n">
        <v>0</v>
      </c>
      <c r="BE33" s="38" t="n">
        <v>0</v>
      </c>
      <c r="BF33" s="38" t="n">
        <v>0</v>
      </c>
      <c r="BG33" s="38" t="n">
        <v>0</v>
      </c>
      <c r="BH33" s="38" t="n">
        <v>0</v>
      </c>
      <c r="BI33" s="38" t="n">
        <v>0</v>
      </c>
      <c r="BJ33" s="38" t="n">
        <v>0</v>
      </c>
      <c r="BK33" s="38" t="n">
        <v>0</v>
      </c>
      <c r="BL33" s="38" t="n">
        <v>0</v>
      </c>
      <c r="BM33" s="38" t="n">
        <v>0</v>
      </c>
      <c r="BN33" s="38" t="n">
        <v>0</v>
      </c>
      <c r="BO33" s="38" t="n">
        <v>0</v>
      </c>
      <c r="BP33" s="38" t="n">
        <v>0</v>
      </c>
      <c r="BQ33" s="38" t="n">
        <v>0</v>
      </c>
      <c r="BR33" s="38" t="n">
        <v>0</v>
      </c>
      <c r="BS33" s="38" t="n">
        <v>0</v>
      </c>
      <c r="BT33" s="38" t="n">
        <v>0</v>
      </c>
      <c r="BU33" s="38" t="n">
        <v>0</v>
      </c>
      <c r="BV33" s="38" t="n">
        <v>0</v>
      </c>
      <c r="BW33" s="38" t="n">
        <v>0</v>
      </c>
      <c r="BX33" s="38" t="n">
        <v>0</v>
      </c>
      <c r="BY33" s="38" t="n">
        <v>0</v>
      </c>
      <c r="BZ33" s="38" t="n">
        <v>0</v>
      </c>
      <c r="CA33" s="38" t="n">
        <v>0</v>
      </c>
      <c r="CB33" s="38" t="n">
        <v>0</v>
      </c>
      <c r="CC33" s="9" t="n">
        <v>0</v>
      </c>
      <c r="CD33" s="9" t="n">
        <v>0</v>
      </c>
      <c r="CE33" s="9" t="n">
        <v>0</v>
      </c>
      <c r="CF33" s="154">
        <f>CD33+IF(NOT(ISBLANK(OFFSET(CF33,0,6))),N(OFFSET(CF33,0,6)),N(OFFSET(CF33,0,7)))-CE33</f>
        <v/>
      </c>
      <c r="CH33" s="233" t="inlineStr">
        <is>
          <t>05 NAT. P/ TP</t>
        </is>
      </c>
      <c r="CI33" s="127" t="n"/>
      <c r="CJ33" s="19" t="n"/>
      <c r="CK33" s="65" t="n"/>
      <c r="CL33" s="18" t="n">
        <v>0</v>
      </c>
      <c r="CM33" s="18" t="n">
        <v>0</v>
      </c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18" t="n"/>
      <c r="DP33" s="18" t="n"/>
      <c r="DQ33" s="18" t="n"/>
      <c r="DR33" s="18" t="n"/>
      <c r="DS33" s="256" t="n">
        <v>200</v>
      </c>
      <c r="DT33" s="18" t="n"/>
      <c r="DU33" s="18" t="n"/>
      <c r="DV33" s="18" t="n"/>
      <c r="DW33" s="18" t="n"/>
      <c r="DX33" s="18" t="n"/>
      <c r="DY33" s="18" t="n"/>
      <c r="DZ33" s="18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18" t="n"/>
      <c r="EP33" s="256" t="n"/>
      <c r="EQ33" s="18" t="n"/>
      <c r="ER33" s="18" t="n"/>
      <c r="ES33" s="18" t="n"/>
      <c r="ET33" s="256" t="n"/>
      <c r="EU33" s="18" t="n"/>
      <c r="EV33" s="18" t="n"/>
      <c r="EW33" s="260" t="n"/>
      <c r="EX33" s="260" t="n"/>
      <c r="EY33" s="18" t="n"/>
      <c r="EZ33" s="18" t="n"/>
      <c r="FA33" s="260" t="n"/>
      <c r="FB33" s="260" t="n"/>
      <c r="FC33" s="18" t="n"/>
      <c r="FD33" s="260" t="n"/>
      <c r="FE33" s="18" t="n"/>
      <c r="FF33" s="260" t="n"/>
      <c r="FG33" s="312" t="inlineStr">
        <is>
          <t>20 DE ER</t>
        </is>
      </c>
      <c r="FH33" s="256" t="n"/>
      <c r="FI33" s="260" t="n"/>
      <c r="FJ33" s="260" t="n"/>
      <c r="FK33" s="18" t="n"/>
      <c r="FL33" s="18" t="n"/>
      <c r="FM33" s="18" t="n"/>
      <c r="FN33" s="18" t="n"/>
      <c r="FO33" s="18" t="n"/>
      <c r="FP33" s="18" t="n"/>
      <c r="FQ33" s="18" t="n"/>
      <c r="FR33" s="18" t="n"/>
      <c r="FS33" s="18" t="n"/>
      <c r="FT33" s="18" t="n"/>
      <c r="FU33" s="18" t="n"/>
      <c r="FV33" s="18" t="n"/>
      <c r="FW33" s="18" t="n"/>
      <c r="FX33" s="256" t="n">
        <v>200</v>
      </c>
      <c r="FY33" s="18" t="n"/>
      <c r="FZ33" s="18" t="n"/>
      <c r="GA33" s="18" t="n"/>
      <c r="GB33" s="18" t="n"/>
      <c r="GC33" s="18" t="n"/>
      <c r="GD33" s="260" t="n"/>
      <c r="GE33" s="18" t="n"/>
      <c r="GF33" s="18" t="n"/>
      <c r="GG33" s="18" t="n"/>
      <c r="GH33" s="260" t="n"/>
      <c r="GI33" s="260" t="n"/>
      <c r="GJ33" s="260" t="n"/>
      <c r="GK33" s="18" t="n"/>
      <c r="GL33" s="239" t="inlineStr">
        <is>
          <t>15 P/ ER PBE</t>
        </is>
      </c>
      <c r="GM33" s="18" t="n"/>
      <c r="GN33" s="18" t="n">
        <v>50</v>
      </c>
      <c r="GO33" s="18" t="n"/>
      <c r="GP33" s="18" t="n"/>
      <c r="GQ33" s="18" t="n"/>
      <c r="GR33" s="766" t="n"/>
      <c r="GS33" s="748" t="n"/>
      <c r="GT33" s="763" t="n"/>
      <c r="GU33" s="722" t="n"/>
    </row>
    <row r="34" ht="18.75" customFormat="1" customHeight="1" s="3">
      <c r="A34" s="31" t="n"/>
      <c r="B34" s="2" t="n"/>
      <c r="C34" s="661" t="n"/>
      <c r="D34" s="398" t="n"/>
      <c r="E34" s="6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  <c r="AA34" s="4" t="n"/>
      <c r="AB34" s="4" t="n"/>
      <c r="AC34" s="4" t="n"/>
      <c r="AD34" s="4" t="n"/>
      <c r="AE34" s="4" t="n"/>
      <c r="AF34" s="4" t="n"/>
      <c r="AG34" s="4" t="n"/>
      <c r="AH34" s="4" t="n"/>
      <c r="AI34" s="4" t="n"/>
      <c r="AJ34" s="4" t="n"/>
      <c r="AK34" s="4" t="n"/>
      <c r="AL34" s="4" t="n"/>
      <c r="AM34" s="4" t="n"/>
      <c r="AN34" s="4" t="n"/>
      <c r="AO34" s="4" t="n"/>
      <c r="AP34" s="4" t="n"/>
      <c r="AQ34" s="4" t="n"/>
      <c r="AR34" s="4" t="n"/>
      <c r="AS34" s="4" t="n"/>
      <c r="AT34" s="4" t="n"/>
      <c r="AU34" s="4" t="n"/>
      <c r="AV34" s="4" t="n"/>
      <c r="AW34" s="4" t="n"/>
      <c r="AX34" s="4" t="n"/>
      <c r="AY34" s="4" t="n"/>
      <c r="AZ34" s="4" t="n"/>
      <c r="BA34" s="4" t="n"/>
      <c r="BB34" s="4" t="n"/>
      <c r="BC34" s="4" t="n"/>
      <c r="BD34" s="4" t="n"/>
      <c r="BE34" s="4" t="n"/>
      <c r="BF34" s="4" t="n"/>
      <c r="BG34" s="4" t="n"/>
      <c r="BH34" s="4" t="n"/>
      <c r="BI34" s="4" t="n"/>
      <c r="BJ34" s="4" t="n"/>
      <c r="BK34" s="4" t="n"/>
      <c r="BL34" s="4" t="n"/>
      <c r="BM34" s="4" t="n"/>
      <c r="BN34" s="4" t="n"/>
      <c r="BO34" s="4" t="n"/>
      <c r="BP34" s="4" t="n"/>
      <c r="BQ34" s="4" t="n"/>
      <c r="BR34" s="4" t="n"/>
      <c r="BS34" s="4" t="n"/>
      <c r="BT34" s="4" t="n"/>
      <c r="BU34" s="4" t="n"/>
      <c r="BV34" s="4" t="n"/>
      <c r="BW34" s="4" t="n"/>
      <c r="BX34" s="4" t="n"/>
      <c r="BY34" s="4" t="n"/>
      <c r="BZ34" s="4" t="n"/>
      <c r="CA34" s="4" t="n"/>
      <c r="CB34" s="4" t="n"/>
      <c r="CC34" s="2" t="n"/>
      <c r="CD34" s="2" t="n"/>
      <c r="CE34" s="2" t="n"/>
      <c r="CI34" s="26" t="n"/>
      <c r="CJ34" s="26" t="n"/>
      <c r="CK34" s="108" t="n"/>
      <c r="CL34" s="17" t="n"/>
      <c r="CM34" s="17" t="n"/>
      <c r="CN34" s="17" t="n"/>
      <c r="CO34" s="17" t="n"/>
      <c r="CP34" s="17" t="n"/>
      <c r="CQ34" s="17" t="n"/>
      <c r="CR34" s="17" t="n"/>
      <c r="CS34" s="17" t="n"/>
      <c r="CT34" s="17" t="n"/>
      <c r="CU34" s="17" t="n"/>
      <c r="CV34" s="17" t="n"/>
      <c r="CW34" s="17" t="n"/>
      <c r="CX34" s="17" t="n"/>
      <c r="CY34" s="17" t="n"/>
      <c r="CZ34" s="17" t="n"/>
      <c r="DA34" s="17" t="n"/>
      <c r="DB34" s="17" t="n"/>
      <c r="DC34" s="17" t="n"/>
      <c r="DD34" s="17" t="n"/>
      <c r="DE34" s="17" t="n"/>
      <c r="DF34" s="17" t="n"/>
      <c r="DG34" s="17" t="n"/>
      <c r="DH34" s="17" t="n"/>
      <c r="DI34" s="17" t="n"/>
      <c r="DJ34" s="17" t="n"/>
      <c r="DK34" s="17" t="n"/>
      <c r="DL34" s="17" t="n"/>
      <c r="DM34" s="17" t="n"/>
      <c r="DN34" s="17" t="n"/>
      <c r="DO34" s="17" t="n"/>
      <c r="DP34" s="17" t="n"/>
      <c r="DQ34" s="17" t="n"/>
      <c r="DR34" s="17" t="n"/>
      <c r="DS34" s="256" t="n">
        <v>150</v>
      </c>
      <c r="DT34" s="17" t="n"/>
      <c r="DU34" s="17" t="n"/>
      <c r="FH34" s="292" t="inlineStr">
        <is>
          <t>100 P/ PL</t>
        </is>
      </c>
      <c r="FX34" s="256" t="n">
        <v>150</v>
      </c>
    </row>
    <row r="35" hidden="1" ht="18.75" customHeight="1">
      <c r="A35" s="31" t="n"/>
      <c r="B35" s="2" t="n"/>
      <c r="C35" s="661" t="n"/>
      <c r="D35" s="661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4" t="n"/>
      <c r="CA35" s="4" t="n"/>
      <c r="CB35" s="4" t="n"/>
      <c r="CC35" s="2" t="n"/>
      <c r="CD35" s="2" t="n"/>
      <c r="CE35" s="2" t="n"/>
      <c r="CH35" s="233" t="inlineStr">
        <is>
          <t>05 NAT. P/ TP</t>
        </is>
      </c>
      <c r="CI35" s="26" t="n"/>
      <c r="CJ35" s="26" t="n"/>
      <c r="CK35" s="108" t="n"/>
      <c r="CL35" s="5" t="n"/>
      <c r="FH35" s="292" t="inlineStr">
        <is>
          <t>50 P/ PL</t>
        </is>
      </c>
      <c r="FX35" s="271" t="n"/>
    </row>
    <row r="36" hidden="1" ht="18.75" customHeight="1">
      <c r="A36" s="31" t="n"/>
      <c r="B36" s="2" t="n"/>
      <c r="C36" s="661" t="n"/>
      <c r="D36" s="661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  <c r="AA36" s="4" t="n"/>
      <c r="AB36" s="4" t="n"/>
      <c r="AC36" s="4" t="n"/>
      <c r="AD36" s="4" t="n"/>
      <c r="AE36" s="4" t="n"/>
      <c r="AF36" s="4" t="n"/>
      <c r="AG36" s="4" t="n"/>
      <c r="AH36" s="4" t="n"/>
      <c r="AI36" s="4" t="n"/>
      <c r="AJ36" s="4" t="n"/>
      <c r="AK36" s="4" t="n"/>
      <c r="AL36" s="4" t="n"/>
      <c r="AM36" s="4" t="n"/>
      <c r="AN36" s="4" t="n"/>
      <c r="AO36" s="4" t="n"/>
      <c r="AP36" s="4" t="n"/>
      <c r="AQ36" s="4" t="n"/>
      <c r="AR36" s="4" t="n"/>
      <c r="AS36" s="4" t="n"/>
      <c r="AT36" s="4" t="n"/>
      <c r="AU36" s="4" t="n"/>
      <c r="AV36" s="4" t="n"/>
      <c r="AW36" s="4" t="n"/>
      <c r="AX36" s="4" t="n"/>
      <c r="AY36" s="4" t="n"/>
      <c r="AZ36" s="4" t="n"/>
      <c r="BA36" s="4" t="n"/>
      <c r="BB36" s="4" t="n"/>
      <c r="BC36" s="4" t="n"/>
      <c r="BD36" s="4" t="n"/>
      <c r="BE36" s="4" t="n"/>
      <c r="BF36" s="4" t="n"/>
      <c r="BG36" s="4" t="n"/>
      <c r="BH36" s="4" t="n"/>
      <c r="BI36" s="4" t="n"/>
      <c r="BJ36" s="4" t="n"/>
      <c r="BK36" s="4" t="n"/>
      <c r="BL36" s="4" t="n"/>
      <c r="BM36" s="4" t="n"/>
      <c r="BN36" s="4" t="n"/>
      <c r="BO36" s="4" t="n"/>
      <c r="BP36" s="4" t="n"/>
      <c r="BQ36" s="4" t="n"/>
      <c r="BR36" s="4" t="n"/>
      <c r="BS36" s="4" t="n"/>
      <c r="BT36" s="4" t="n"/>
      <c r="BU36" s="4" t="n"/>
      <c r="BV36" s="4" t="n"/>
      <c r="BW36" s="4" t="n"/>
      <c r="BX36" s="4" t="n"/>
      <c r="BY36" s="4" t="n"/>
      <c r="BZ36" s="4" t="n"/>
      <c r="CA36" s="4" t="n"/>
      <c r="CB36" s="4" t="n"/>
      <c r="CC36" s="2" t="n"/>
      <c r="CD36" s="2" t="n"/>
      <c r="CE36" s="2" t="n"/>
      <c r="CH36" s="233" t="n"/>
      <c r="CI36" s="26" t="n"/>
      <c r="CJ36" s="26" t="n"/>
      <c r="CK36" s="108" t="n"/>
      <c r="CL36" s="5" t="n"/>
      <c r="ET36" s="271" t="n"/>
      <c r="FH36" s="271" t="n"/>
      <c r="FX36" s="271" t="n"/>
    </row>
    <row r="37" ht="18.75" customHeight="1">
      <c r="A37" s="32" t="inlineStr">
        <is>
          <t>SACOLAS OMNI BOTICÁRIO</t>
        </is>
      </c>
      <c r="B37" s="575" t="inlineStr">
        <is>
          <t>PC</t>
        </is>
      </c>
      <c r="C37" s="575" t="n"/>
      <c r="D37" s="575" t="inlineStr">
        <is>
          <t>Estoque Ideal</t>
        </is>
      </c>
      <c r="F37" s="650" t="n">
        <v>45656</v>
      </c>
      <c r="G37" s="650" t="n">
        <v>45663</v>
      </c>
      <c r="H37" s="650" t="n">
        <v>45670</v>
      </c>
      <c r="I37" s="650" t="n">
        <v>45677</v>
      </c>
      <c r="J37" s="650" t="n">
        <v>45684</v>
      </c>
      <c r="K37" s="650" t="n">
        <v>45691</v>
      </c>
      <c r="L37" s="650" t="n">
        <v>45698</v>
      </c>
      <c r="M37" s="650" t="n">
        <v>45705</v>
      </c>
      <c r="N37" s="650" t="n">
        <v>45712</v>
      </c>
      <c r="O37" s="650" t="n">
        <v>45719</v>
      </c>
      <c r="P37" s="650" t="n">
        <v>45726</v>
      </c>
      <c r="Q37" s="650" t="n">
        <v>45733</v>
      </c>
      <c r="R37" s="650" t="n">
        <v>45740</v>
      </c>
      <c r="S37" s="650" t="n">
        <v>45747</v>
      </c>
      <c r="T37" s="650" t="n">
        <v>45754</v>
      </c>
      <c r="U37" s="650" t="n">
        <v>45761</v>
      </c>
      <c r="V37" s="650" t="n">
        <v>45768</v>
      </c>
      <c r="W37" s="650" t="n">
        <v>45775</v>
      </c>
      <c r="X37" s="650" t="n">
        <v>45782</v>
      </c>
      <c r="Y37" s="650" t="n">
        <v>45789</v>
      </c>
      <c r="Z37" s="650" t="n">
        <v>45796</v>
      </c>
      <c r="AA37" s="650" t="n">
        <v>45803</v>
      </c>
      <c r="AB37" s="650" t="n">
        <v>45810</v>
      </c>
      <c r="AC37" s="650" t="n">
        <v>45817</v>
      </c>
      <c r="AD37" s="650" t="n">
        <v>45824</v>
      </c>
      <c r="AE37" s="650" t="n">
        <v>45831</v>
      </c>
      <c r="AF37" s="650" t="n">
        <v>45838</v>
      </c>
      <c r="AG37" s="650" t="n">
        <v>45845</v>
      </c>
      <c r="AH37" s="650" t="n">
        <v>45852</v>
      </c>
      <c r="AI37" s="650" t="n">
        <v>45859</v>
      </c>
      <c r="AJ37" s="650" t="n">
        <v>45866</v>
      </c>
      <c r="AK37" s="650" t="n">
        <v>45873</v>
      </c>
      <c r="AL37" s="650" t="n">
        <v>45880</v>
      </c>
      <c r="AM37" s="650" t="n">
        <v>45887</v>
      </c>
      <c r="AN37" s="650" t="n">
        <v>45894</v>
      </c>
      <c r="AO37" s="650" t="n">
        <v>45901</v>
      </c>
      <c r="AP37" s="650" t="n">
        <v>45908</v>
      </c>
      <c r="AQ37" s="650" t="n">
        <v>45915</v>
      </c>
      <c r="AR37" s="650" t="n">
        <v>45922</v>
      </c>
      <c r="AS37" s="650" t="n">
        <v>45929</v>
      </c>
      <c r="AT37" s="650" t="n">
        <v>45936</v>
      </c>
      <c r="AU37" s="650" t="n">
        <v>45943</v>
      </c>
      <c r="AV37" s="650" t="n">
        <v>45950</v>
      </c>
      <c r="AW37" s="650" t="n">
        <v>45957</v>
      </c>
      <c r="AX37" s="650" t="n">
        <v>45964</v>
      </c>
      <c r="AY37" s="650" t="n">
        <v>45971</v>
      </c>
      <c r="AZ37" s="650" t="n">
        <v>45978</v>
      </c>
      <c r="BA37" s="650" t="n">
        <v>45985</v>
      </c>
      <c r="BB37" s="650" t="n">
        <v>45992</v>
      </c>
      <c r="BC37" s="650" t="n">
        <v>45999</v>
      </c>
      <c r="BD37" s="650" t="n">
        <v>46006</v>
      </c>
      <c r="BE37" s="650" t="n">
        <v>46013</v>
      </c>
      <c r="BF37" s="650" t="n">
        <v>46020</v>
      </c>
      <c r="BG37" s="650" t="n">
        <v>46027</v>
      </c>
      <c r="BH37" s="650" t="n">
        <v>46034</v>
      </c>
      <c r="BI37" s="650" t="n">
        <v>46041</v>
      </c>
      <c r="BJ37" s="650" t="n">
        <v>46048</v>
      </c>
      <c r="BK37" s="650" t="n">
        <v>46055</v>
      </c>
      <c r="BL37" s="650" t="n">
        <v>46062</v>
      </c>
      <c r="BM37" s="650" t="n">
        <v>46069</v>
      </c>
      <c r="BN37" s="650" t="n">
        <v>46076</v>
      </c>
      <c r="BO37" s="650" t="n">
        <v>46083</v>
      </c>
      <c r="BP37" s="650" t="n">
        <v>46090</v>
      </c>
      <c r="BQ37" s="650" t="n">
        <v>46097</v>
      </c>
      <c r="BR37" s="650" t="n">
        <v>46104</v>
      </c>
      <c r="BS37" s="650" t="n">
        <v>46111</v>
      </c>
      <c r="BT37" s="650" t="n">
        <v>46118</v>
      </c>
      <c r="BU37" s="650" t="n">
        <v>46125</v>
      </c>
      <c r="BV37" s="650" t="n">
        <v>46132</v>
      </c>
      <c r="BW37" s="650" t="n">
        <v>46139</v>
      </c>
      <c r="BX37" s="650" t="n">
        <v>46146</v>
      </c>
      <c r="BY37" s="650" t="n">
        <v>46154</v>
      </c>
      <c r="BZ37" s="650" t="n">
        <v>46160</v>
      </c>
      <c r="CA37" s="650" t="n">
        <v>46160</v>
      </c>
      <c r="CB37" s="650" t="n">
        <v>46160</v>
      </c>
      <c r="CC37" s="651" t="n">
        <v>46161.48003686342</v>
      </c>
      <c r="CD37" s="651" t="n">
        <v>46161.48071633102</v>
      </c>
      <c r="CE37" s="651" t="n">
        <v>46161.48287467199</v>
      </c>
      <c r="CF37" s="652" t="inlineStr">
        <is>
          <t>USOU</t>
        </is>
      </c>
      <c r="CH37" s="35" t="inlineStr">
        <is>
          <t>Pend.</t>
        </is>
      </c>
      <c r="CI37" s="413" t="inlineStr">
        <is>
          <t>TRANSFERÊNCIA</t>
        </is>
      </c>
      <c r="CJ37" s="35" t="inlineStr">
        <is>
          <t>Pend.</t>
        </is>
      </c>
      <c r="CK37" s="12" t="inlineStr">
        <is>
          <t>Novo Pedido</t>
        </is>
      </c>
      <c r="CL37" s="708" t="n">
        <v>46161.4828734794</v>
      </c>
      <c r="CM37" s="654" t="n">
        <v>46149</v>
      </c>
      <c r="CN37" s="654" t="n">
        <v>46114</v>
      </c>
      <c r="CO37" s="654" t="n">
        <v>46099</v>
      </c>
      <c r="CP37" s="710" t="n">
        <v>46065</v>
      </c>
      <c r="CQ37" s="711" t="n">
        <v>46045</v>
      </c>
      <c r="CR37" s="654" t="n">
        <v>46076</v>
      </c>
      <c r="CS37" s="655" t="n">
        <v>46084</v>
      </c>
      <c r="CT37" s="654" t="n">
        <v>46077</v>
      </c>
      <c r="CU37" s="655" t="n">
        <v>46077</v>
      </c>
      <c r="CV37" s="654" t="n">
        <v>46071</v>
      </c>
      <c r="CW37" s="654" t="n">
        <v>46071</v>
      </c>
      <c r="CX37" s="654" t="n">
        <v>46056</v>
      </c>
      <c r="CY37" s="654" t="n">
        <v>46043</v>
      </c>
      <c r="CZ37" s="654" t="n">
        <v>46035</v>
      </c>
      <c r="DA37" s="654" t="n">
        <v>46029</v>
      </c>
      <c r="DB37" s="654" t="n">
        <v>46017</v>
      </c>
      <c r="DC37" s="654" t="n">
        <v>46001</v>
      </c>
      <c r="DD37" s="654" t="n">
        <v>46007</v>
      </c>
      <c r="DE37" s="654" t="n">
        <v>45994</v>
      </c>
      <c r="DF37" s="654" t="n">
        <v>45986</v>
      </c>
      <c r="DG37" s="654" t="n">
        <v>45986</v>
      </c>
      <c r="DH37" s="654" t="n">
        <v>45980</v>
      </c>
      <c r="DI37" s="654" t="n">
        <v>45980</v>
      </c>
      <c r="DJ37" s="654" t="n">
        <v>45973</v>
      </c>
      <c r="DK37" s="654" t="n">
        <v>45965</v>
      </c>
      <c r="DL37" s="654" t="n">
        <v>45960</v>
      </c>
      <c r="DM37" s="655" t="n">
        <v>45967</v>
      </c>
      <c r="DN37" s="654" t="n">
        <v>45937</v>
      </c>
      <c r="DO37" s="654" t="n">
        <v>45951</v>
      </c>
      <c r="DP37" s="654" t="n">
        <v>45931</v>
      </c>
      <c r="DQ37" s="654" t="n">
        <v>45923</v>
      </c>
      <c r="DR37" s="654" t="n">
        <v>45923</v>
      </c>
      <c r="DS37" s="678" t="n">
        <v>45903</v>
      </c>
      <c r="DT37" s="655" t="n">
        <v>45931</v>
      </c>
      <c r="DU37" s="688" t="n">
        <v>45931</v>
      </c>
      <c r="DV37" s="18" t="n"/>
      <c r="DW37" s="18" t="n"/>
      <c r="DX37" s="18" t="n"/>
      <c r="DY37" s="18" t="n"/>
      <c r="DZ37" s="18" t="n"/>
      <c r="EA37" s="18" t="n"/>
      <c r="EB37" s="18" t="n"/>
      <c r="EC37" s="18" t="n"/>
      <c r="ED37" s="18" t="n"/>
      <c r="EE37" s="18" t="n"/>
      <c r="EF37" s="18" t="n"/>
      <c r="EG37" s="154" t="inlineStr">
        <is>
          <t>50 DE ER PBE</t>
        </is>
      </c>
      <c r="EH37" s="18" t="n"/>
      <c r="EI37" s="18" t="n"/>
      <c r="EJ37" s="18" t="n"/>
      <c r="EK37" s="18" t="n"/>
      <c r="EL37" s="18" t="n"/>
      <c r="EM37" s="241" t="inlineStr">
        <is>
          <t>20 DE ER PG</t>
        </is>
      </c>
      <c r="EN37" s="18" t="n"/>
      <c r="EO37" s="18" t="n"/>
      <c r="EP37" s="18" t="n"/>
      <c r="EQ37" s="18" t="n"/>
      <c r="ER37" s="18" t="n"/>
      <c r="ES37" s="18" t="n"/>
      <c r="ET37" s="256" t="n"/>
      <c r="EU37" s="18" t="n"/>
      <c r="EV37" s="18" t="n"/>
      <c r="EW37" s="18" t="n"/>
      <c r="EX37" s="18" t="n"/>
      <c r="EY37" s="18" t="n"/>
      <c r="EZ37" s="18" t="n"/>
      <c r="FA37" s="18" t="n"/>
      <c r="FB37" s="18" t="n"/>
      <c r="FC37" s="18" t="n"/>
      <c r="FD37" s="18" t="n"/>
      <c r="FE37" s="18" t="n"/>
      <c r="FF37" s="18" t="n"/>
      <c r="FG37" s="18" t="n"/>
      <c r="FH37" s="256" t="n"/>
      <c r="FI37" s="18" t="n"/>
      <c r="FJ37" s="18" t="n"/>
      <c r="FK37" s="18" t="n"/>
      <c r="FL37" s="18" t="n"/>
      <c r="FM37" s="18" t="n"/>
      <c r="FN37" s="18" t="n"/>
      <c r="FO37" s="18" t="n"/>
      <c r="FP37" s="18" t="n"/>
      <c r="FQ37" s="18" t="n"/>
      <c r="FR37" s="18" t="n"/>
      <c r="FS37" s="18" t="n">
        <v>25</v>
      </c>
      <c r="FT37" s="18" t="n"/>
      <c r="FU37" s="18" t="n">
        <v>75</v>
      </c>
      <c r="FV37" s="18" t="n"/>
      <c r="FW37" s="18" t="n"/>
      <c r="FX37" s="256" t="n"/>
      <c r="FY37" s="18" t="n"/>
      <c r="FZ37" s="18" t="n"/>
      <c r="GA37" s="18" t="n"/>
      <c r="GB37" s="18" t="n"/>
      <c r="GC37" s="18" t="n"/>
      <c r="GD37" s="18" t="n"/>
      <c r="GE37" s="18" t="n"/>
      <c r="GF37" s="18" t="n"/>
      <c r="GG37" s="18" t="n"/>
      <c r="GH37" s="18" t="n"/>
      <c r="GI37" s="18" t="n"/>
      <c r="GJ37" s="18" t="n"/>
      <c r="GK37" s="18" t="n"/>
      <c r="GL37" s="18" t="n"/>
      <c r="GM37" s="18" t="n"/>
      <c r="GN37" s="18" t="n"/>
      <c r="GO37" s="18" t="n"/>
      <c r="GP37" s="18" t="n"/>
      <c r="GQ37" s="18" t="n"/>
      <c r="GR37" s="18" t="n"/>
    </row>
    <row r="38" ht="18.75" customHeight="1">
      <c r="A38" s="33" t="inlineStr">
        <is>
          <t>KIT OVERBAG OMNI P</t>
        </is>
      </c>
      <c r="B38" s="9" t="n">
        <v>25</v>
      </c>
      <c r="C38" s="662" t="n">
        <v>41.75</v>
      </c>
      <c r="D38" s="329" t="n">
        <v>30</v>
      </c>
      <c r="F38" s="9" t="n">
        <v>107</v>
      </c>
      <c r="G38" s="9" t="n">
        <v>137</v>
      </c>
      <c r="H38" s="9" t="n">
        <v>137</v>
      </c>
      <c r="I38" s="9" t="n">
        <v>125</v>
      </c>
      <c r="J38" s="9" t="n">
        <v>122</v>
      </c>
      <c r="K38" s="9" t="n">
        <v>117</v>
      </c>
      <c r="L38" s="9" t="n">
        <v>49</v>
      </c>
      <c r="M38" s="9" t="n">
        <v>42</v>
      </c>
      <c r="N38" s="9" t="n">
        <v>38</v>
      </c>
      <c r="O38" s="9" t="n">
        <v>38</v>
      </c>
      <c r="P38" s="9" t="n">
        <v>28</v>
      </c>
      <c r="Q38" s="9">
        <f>26+FR37</f>
        <v/>
      </c>
      <c r="R38" s="9" t="n">
        <v>89</v>
      </c>
      <c r="S38" s="9" t="n">
        <v>86</v>
      </c>
      <c r="T38" s="9" t="n">
        <v>103</v>
      </c>
      <c r="U38" s="9" t="n">
        <v>100</v>
      </c>
      <c r="V38" s="9" t="n">
        <v>97</v>
      </c>
      <c r="W38" s="9" t="n">
        <v>97</v>
      </c>
      <c r="X38" s="9" t="n">
        <v>97</v>
      </c>
      <c r="Y38" s="9" t="n">
        <v>90</v>
      </c>
      <c r="Z38" s="9" t="n">
        <v>90</v>
      </c>
      <c r="AA38" s="9" t="n">
        <v>83</v>
      </c>
      <c r="AB38" s="9" t="n">
        <v>75</v>
      </c>
      <c r="AC38" s="9" t="n">
        <v>54</v>
      </c>
      <c r="AD38" s="9" t="n">
        <v>53</v>
      </c>
      <c r="AE38" s="9" t="n">
        <v>46</v>
      </c>
      <c r="AF38" s="9" t="n">
        <v>35</v>
      </c>
      <c r="AG38" s="9" t="n">
        <v>35</v>
      </c>
      <c r="AH38" s="9" t="n">
        <v>32</v>
      </c>
      <c r="AI38" s="9">
        <f>19+20</f>
        <v/>
      </c>
      <c r="AJ38" s="9" t="n">
        <v>35</v>
      </c>
      <c r="AK38" s="9" t="n">
        <v>34</v>
      </c>
      <c r="AL38" s="9">
        <f>17+50</f>
        <v/>
      </c>
      <c r="AM38" s="9" t="n">
        <v>56</v>
      </c>
      <c r="AN38" s="9" t="n">
        <v>56</v>
      </c>
      <c r="AO38" s="9" t="n">
        <v>47</v>
      </c>
      <c r="AP38" s="9" t="n">
        <v>44</v>
      </c>
      <c r="AQ38" s="9" t="n">
        <v>40</v>
      </c>
      <c r="AR38" s="9" t="n">
        <v>35</v>
      </c>
      <c r="AS38" s="9" t="n">
        <v>34</v>
      </c>
      <c r="AT38" s="9" t="n">
        <v>20</v>
      </c>
      <c r="AU38" s="9" t="n">
        <v>8</v>
      </c>
      <c r="AV38" s="9" t="n">
        <v>3</v>
      </c>
      <c r="AW38" s="9" t="n">
        <v>0</v>
      </c>
      <c r="AX38" s="9" t="n">
        <v>0</v>
      </c>
      <c r="AY38" s="9" t="n">
        <v>0</v>
      </c>
      <c r="AZ38" s="9" t="n">
        <v>0</v>
      </c>
      <c r="BA38" s="9" t="n">
        <v>0</v>
      </c>
      <c r="BB38" s="9" t="n">
        <v>9</v>
      </c>
      <c r="BC38" s="9" t="n">
        <v>0</v>
      </c>
      <c r="BD38" s="9" t="n">
        <v>0</v>
      </c>
      <c r="BE38" s="9" t="n">
        <v>0</v>
      </c>
      <c r="BF38" s="9" t="n">
        <v>0</v>
      </c>
      <c r="BG38" s="9" t="n">
        <v>0</v>
      </c>
      <c r="BH38" s="9" t="n">
        <v>0</v>
      </c>
      <c r="BI38" s="9" t="n">
        <v>0</v>
      </c>
      <c r="BJ38" s="9" t="n">
        <v>0</v>
      </c>
      <c r="BK38" s="9" t="n">
        <v>0</v>
      </c>
      <c r="BL38" s="190" t="n">
        <v>42</v>
      </c>
      <c r="BM38" s="9" t="n">
        <v>42</v>
      </c>
      <c r="BN38" s="9" t="n">
        <v>41</v>
      </c>
      <c r="BO38" s="9" t="n">
        <v>40</v>
      </c>
      <c r="BP38" s="9" t="n">
        <v>14</v>
      </c>
      <c r="BQ38" s="9" t="n">
        <v>3</v>
      </c>
      <c r="BR38" s="9" t="n">
        <v>0</v>
      </c>
      <c r="BS38" s="9" t="n">
        <v>0</v>
      </c>
      <c r="BT38" s="9" t="n"/>
      <c r="BU38" s="9" t="n"/>
      <c r="BV38" s="9" t="n"/>
      <c r="BW38" s="9" t="n">
        <v>4</v>
      </c>
      <c r="BX38" s="9" t="n">
        <v>0</v>
      </c>
      <c r="BY38" s="9" t="n">
        <v>0</v>
      </c>
      <c r="BZ38" s="9" t="n">
        <v>0</v>
      </c>
      <c r="CA38" s="9" t="n"/>
      <c r="CB38" s="9" t="n"/>
      <c r="CC38" s="9" t="n"/>
      <c r="CD38" s="9" t="n"/>
      <c r="CE38" s="9" t="n"/>
      <c r="CF38" s="156">
        <f>CD38+IF(NOT(ISBLANK(OFFSET(CF38,0,6))),N(OFFSET(CF38,0,6)),N(OFFSET(CF38,0,7)))-CE38</f>
        <v/>
      </c>
      <c r="CH38" s="127" t="n"/>
      <c r="CI38" s="127" t="n"/>
      <c r="CJ38" s="127" t="n"/>
      <c r="CK38" s="27" t="n"/>
      <c r="CL38" s="691" t="n">
        <v>0</v>
      </c>
      <c r="CM38" s="18" t="n">
        <v>0</v>
      </c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18" t="n"/>
      <c r="DP38" s="18" t="n"/>
      <c r="DQ38" s="18" t="n"/>
      <c r="DR38" s="18" t="n"/>
      <c r="DS38" s="396" t="n"/>
      <c r="DT38" s="18" t="n"/>
      <c r="DU38" s="18" t="n"/>
      <c r="DV38" s="18" t="n"/>
      <c r="DW38" s="18" t="n"/>
      <c r="DX38" s="18" t="n"/>
      <c r="DY38" s="18" t="n"/>
      <c r="DZ38" s="18" t="n"/>
      <c r="EA38" s="18" t="n"/>
      <c r="EB38" s="18" t="n"/>
      <c r="EC38" s="18" t="n"/>
      <c r="ED38" s="18" t="n"/>
      <c r="EE38" s="18" t="n"/>
      <c r="EF38" s="18" t="n"/>
      <c r="EG38" s="18" t="n"/>
      <c r="EH38" s="18" t="n"/>
      <c r="EI38" s="18" t="n"/>
      <c r="EJ38" s="18" t="n"/>
      <c r="EK38" s="18" t="n"/>
      <c r="EL38" s="18" t="n"/>
      <c r="EM38" s="18" t="n"/>
      <c r="EN38" s="18" t="n"/>
      <c r="EO38" s="18" t="n"/>
      <c r="EP38" s="18" t="n"/>
      <c r="EQ38" s="18" t="n"/>
      <c r="ER38" s="18" t="n"/>
      <c r="ES38" s="18" t="n"/>
      <c r="ET38" s="256" t="n"/>
      <c r="EU38" s="18" t="n"/>
      <c r="EV38" s="18" t="n"/>
      <c r="EW38" s="18" t="n"/>
      <c r="EX38" s="18" t="n"/>
      <c r="EY38" s="18" t="n"/>
      <c r="EZ38" s="18" t="n"/>
      <c r="FA38" s="18" t="n"/>
      <c r="FB38" s="18" t="n"/>
      <c r="FC38" s="18" t="n"/>
      <c r="FD38" s="18" t="n"/>
      <c r="FE38" s="18" t="n"/>
      <c r="FF38" s="18" t="n"/>
      <c r="FG38" s="18" t="n"/>
      <c r="FH38" s="256" t="n"/>
      <c r="FI38" s="18" t="n"/>
      <c r="FJ38" s="18" t="n"/>
      <c r="FK38" s="18" t="n"/>
      <c r="FL38" s="18" t="n"/>
      <c r="FM38" s="18" t="n"/>
      <c r="FN38" s="18" t="n"/>
      <c r="FO38" s="18" t="n"/>
      <c r="FP38" s="18" t="n"/>
      <c r="FQ38" s="18" t="n"/>
      <c r="FR38" s="18" t="n"/>
      <c r="FS38" s="18" t="n"/>
      <c r="FT38" s="18" t="n"/>
      <c r="FU38" s="18" t="n">
        <v>75</v>
      </c>
      <c r="FV38" s="18" t="n"/>
      <c r="FW38" s="18" t="n"/>
      <c r="FX38" s="256" t="n"/>
      <c r="FY38" s="18" t="n"/>
      <c r="FZ38" s="18" t="n"/>
      <c r="GA38" s="18" t="n"/>
      <c r="GB38" s="18" t="n"/>
      <c r="GC38" s="18" t="n"/>
      <c r="GD38" s="18" t="n"/>
      <c r="GE38" s="18" t="n"/>
      <c r="GF38" s="18" t="n"/>
      <c r="GG38" s="18" t="n"/>
      <c r="GH38" s="18" t="n"/>
      <c r="GI38" s="18" t="n"/>
      <c r="GJ38" s="18" t="n"/>
      <c r="GK38" s="18" t="n">
        <v>50</v>
      </c>
      <c r="GL38" s="18" t="n"/>
      <c r="GM38" s="18" t="n"/>
      <c r="GN38" s="18" t="n"/>
      <c r="GO38" s="18" t="n"/>
      <c r="GP38" s="18" t="n"/>
      <c r="GQ38" s="18" t="n"/>
      <c r="GR38" s="18" t="n"/>
    </row>
    <row r="39" ht="18.75" customHeight="1">
      <c r="A39" s="33" t="inlineStr">
        <is>
          <t>KIT OVERBAG OMNI M</t>
        </is>
      </c>
      <c r="B39" s="9" t="n">
        <v>25</v>
      </c>
      <c r="C39" s="662" t="n">
        <v>57</v>
      </c>
      <c r="D39" s="329" t="n">
        <v>30</v>
      </c>
      <c r="F39" s="38" t="n">
        <v>76</v>
      </c>
      <c r="G39" s="38" t="n">
        <v>74</v>
      </c>
      <c r="H39" s="38" t="n">
        <v>43</v>
      </c>
      <c r="I39" s="38">
        <f>42+GH38</f>
        <v/>
      </c>
      <c r="J39" s="38" t="n">
        <v>92</v>
      </c>
      <c r="K39" s="38" t="n">
        <v>88</v>
      </c>
      <c r="L39" s="261" t="n">
        <v>128</v>
      </c>
      <c r="M39" s="38" t="n">
        <v>127</v>
      </c>
      <c r="N39" s="38" t="n">
        <v>127</v>
      </c>
      <c r="O39" s="38" t="n">
        <v>116</v>
      </c>
      <c r="P39" s="38" t="n">
        <v>93</v>
      </c>
      <c r="Q39" s="38">
        <f>87+FR38</f>
        <v/>
      </c>
      <c r="R39" s="38" t="n">
        <v>155</v>
      </c>
      <c r="S39" s="38" t="n">
        <v>153</v>
      </c>
      <c r="T39" s="38" t="n">
        <v>150</v>
      </c>
      <c r="U39" s="38" t="n">
        <v>147</v>
      </c>
      <c r="V39" s="38" t="n">
        <v>145</v>
      </c>
      <c r="W39" s="38" t="n">
        <v>145</v>
      </c>
      <c r="X39" s="38" t="n">
        <v>145</v>
      </c>
      <c r="Y39" s="38" t="n">
        <v>143</v>
      </c>
      <c r="Z39" s="38" t="n">
        <v>143</v>
      </c>
      <c r="AA39" s="38" t="n">
        <v>143</v>
      </c>
      <c r="AB39" s="38" t="n">
        <v>135</v>
      </c>
      <c r="AC39" s="38" t="n">
        <v>114</v>
      </c>
      <c r="AD39" s="38" t="n">
        <v>114</v>
      </c>
      <c r="AE39" s="38" t="n">
        <v>112</v>
      </c>
      <c r="AF39" s="38" t="n">
        <v>111</v>
      </c>
      <c r="AG39" s="38" t="n">
        <v>110</v>
      </c>
      <c r="AH39" s="38" t="n">
        <v>103</v>
      </c>
      <c r="AI39" s="38" t="n">
        <v>102</v>
      </c>
      <c r="AJ39" s="38" t="n">
        <v>101</v>
      </c>
      <c r="AK39" s="38" t="n">
        <v>97</v>
      </c>
      <c r="AL39" s="38" t="n">
        <v>91</v>
      </c>
      <c r="AM39" s="38" t="n">
        <v>88</v>
      </c>
      <c r="AN39" s="38" t="n">
        <v>88</v>
      </c>
      <c r="AO39" s="38" t="n">
        <v>77</v>
      </c>
      <c r="AP39" s="38" t="n">
        <v>74</v>
      </c>
      <c r="AQ39" s="38" t="n">
        <v>72</v>
      </c>
      <c r="AR39" s="38" t="n">
        <v>70</v>
      </c>
      <c r="AS39" s="38" t="n">
        <v>64</v>
      </c>
      <c r="AT39" s="38" t="n">
        <v>62</v>
      </c>
      <c r="AU39" s="38" t="n">
        <v>54</v>
      </c>
      <c r="AV39" s="38" t="n">
        <v>51</v>
      </c>
      <c r="AW39" s="38" t="n">
        <v>42</v>
      </c>
      <c r="AX39" s="38" t="n">
        <v>41</v>
      </c>
      <c r="AY39" s="38" t="n">
        <v>31</v>
      </c>
      <c r="AZ39" s="38" t="n">
        <v>31</v>
      </c>
      <c r="BA39" s="38" t="n">
        <v>27</v>
      </c>
      <c r="BB39" s="38" t="n">
        <v>12</v>
      </c>
      <c r="BC39" s="38" t="n">
        <v>10</v>
      </c>
      <c r="BD39" s="38" t="n">
        <v>2</v>
      </c>
      <c r="BE39" s="38" t="n">
        <v>29</v>
      </c>
      <c r="BF39" s="38" t="n">
        <v>27</v>
      </c>
      <c r="BG39" s="38" t="n">
        <v>27</v>
      </c>
      <c r="BH39" s="38" t="n">
        <v>25</v>
      </c>
      <c r="BI39" s="38" t="n">
        <v>24</v>
      </c>
      <c r="BJ39" s="38" t="n">
        <v>24</v>
      </c>
      <c r="BK39" s="38" t="n">
        <v>24</v>
      </c>
      <c r="BL39" s="38" t="n">
        <v>24</v>
      </c>
      <c r="BM39" s="38" t="n">
        <v>24</v>
      </c>
      <c r="BN39" s="38" t="n">
        <v>23</v>
      </c>
      <c r="BO39" s="38" t="n">
        <v>20</v>
      </c>
      <c r="BP39" s="38" t="n">
        <v>62</v>
      </c>
      <c r="BQ39" s="38" t="n">
        <v>61</v>
      </c>
      <c r="BR39" s="38" t="n">
        <v>42</v>
      </c>
      <c r="BS39" s="38" t="n">
        <v>42</v>
      </c>
      <c r="BT39" s="38" t="n"/>
      <c r="BU39" s="38" t="n"/>
      <c r="BV39" s="38" t="n"/>
      <c r="BW39" s="38" t="n">
        <v>13</v>
      </c>
      <c r="BX39" s="38" t="n">
        <v>6</v>
      </c>
      <c r="BY39" s="38" t="n">
        <v>0</v>
      </c>
      <c r="BZ39" s="38" t="n">
        <v>0</v>
      </c>
      <c r="CA39" s="38" t="n">
        <v>0</v>
      </c>
      <c r="CB39" s="38" t="n">
        <v>0</v>
      </c>
      <c r="CC39" s="9" t="n">
        <v>0</v>
      </c>
      <c r="CD39" s="9" t="n">
        <v>0</v>
      </c>
      <c r="CE39" s="9" t="n">
        <v>0</v>
      </c>
      <c r="CF39" s="156">
        <f>CD39+IF(NOT(ISBLANK(OFFSET(CF39,0,6))),N(OFFSET(CF39,0,6)),N(OFFSET(CF39,0,7)))-CE39</f>
        <v/>
      </c>
      <c r="CH39" s="19" t="n"/>
      <c r="CI39" s="127" t="n"/>
      <c r="CJ39" s="19" t="n"/>
      <c r="CK39" s="27" t="n"/>
      <c r="CL39" s="691" t="n">
        <v>0</v>
      </c>
      <c r="CM39" s="18" t="n">
        <v>0</v>
      </c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18" t="n"/>
      <c r="DP39" s="18" t="n"/>
      <c r="DQ39" s="18" t="n"/>
      <c r="DR39" s="18" t="n"/>
      <c r="DS39" s="396" t="n"/>
      <c r="DT39" s="18" t="n"/>
      <c r="DU39" s="18" t="n"/>
    </row>
    <row r="40" ht="18.75" customHeight="1">
      <c r="B40" s="53" t="n"/>
      <c r="C40" s="53" t="n"/>
      <c r="D40" s="53" t="n"/>
      <c r="CF40" s="53" t="n"/>
      <c r="CK40" s="6" t="n"/>
      <c r="DS40" s="723" t="n"/>
      <c r="DV40" s="654" t="n">
        <v>45915</v>
      </c>
      <c r="DW40" s="654" t="n">
        <v>45909</v>
      </c>
      <c r="DX40" s="654" t="n">
        <v>45903</v>
      </c>
      <c r="DY40" s="654" t="n">
        <v>45903</v>
      </c>
      <c r="DZ40" s="654" t="n">
        <v>45895</v>
      </c>
      <c r="EA40" s="654" t="n">
        <v>45881</v>
      </c>
      <c r="EB40" s="679" t="n">
        <v>45896</v>
      </c>
      <c r="EC40" s="654" t="n">
        <v>45888</v>
      </c>
      <c r="ED40" s="679" t="n">
        <v>45839</v>
      </c>
      <c r="EE40" s="654" t="n">
        <v>45874</v>
      </c>
      <c r="EF40" s="654" t="n">
        <v>45867</v>
      </c>
      <c r="EG40" s="655" t="n">
        <v>45882</v>
      </c>
      <c r="EH40" s="655" t="n">
        <v>45881</v>
      </c>
      <c r="EI40" s="654" t="n">
        <v>45874</v>
      </c>
      <c r="EJ40" s="654" t="n">
        <v>45867</v>
      </c>
      <c r="EK40" s="654" t="n">
        <v>45860</v>
      </c>
      <c r="EL40" s="655" t="n">
        <v>45863</v>
      </c>
      <c r="EM40" s="655" t="n">
        <v>45860</v>
      </c>
      <c r="EN40" s="654" t="n">
        <v>45860</v>
      </c>
      <c r="EO40" s="654" t="n">
        <v>45853</v>
      </c>
      <c r="EP40" s="681" t="n">
        <v>45855</v>
      </c>
      <c r="EQ40" s="654" t="n">
        <v>45848</v>
      </c>
      <c r="ER40" s="654" t="n">
        <v>45839</v>
      </c>
      <c r="ES40" s="654" t="n">
        <v>45832</v>
      </c>
      <c r="ET40" s="650" t="n">
        <v>45842</v>
      </c>
      <c r="EU40" s="654" t="n">
        <v>45832</v>
      </c>
      <c r="EV40" s="654" t="n">
        <v>45825</v>
      </c>
      <c r="EW40" s="655" t="n">
        <v>45826</v>
      </c>
      <c r="EX40" s="655" t="n">
        <v>45825</v>
      </c>
      <c r="EY40" s="654" t="n">
        <v>45819</v>
      </c>
      <c r="EZ40" s="654" t="n">
        <v>45813</v>
      </c>
      <c r="FA40" s="655" t="n">
        <v>45820</v>
      </c>
      <c r="FB40" s="655" t="n">
        <v>45818</v>
      </c>
      <c r="FC40" s="654" t="n">
        <v>45805</v>
      </c>
      <c r="FD40" s="655" t="n">
        <v>45807</v>
      </c>
      <c r="FE40" s="654" t="n">
        <v>45790</v>
      </c>
      <c r="FF40" s="655" t="n">
        <v>45799</v>
      </c>
      <c r="FG40" s="690" t="n">
        <v>45799</v>
      </c>
      <c r="FH40" s="650" t="n">
        <v>45798</v>
      </c>
      <c r="FI40" s="655" t="n">
        <v>45798</v>
      </c>
      <c r="FJ40" s="655" t="n">
        <v>45797</v>
      </c>
      <c r="FK40" s="654" t="n">
        <v>45790</v>
      </c>
      <c r="FL40" s="654" t="n">
        <v>45783</v>
      </c>
      <c r="FM40" s="654" t="n">
        <v>45775</v>
      </c>
      <c r="FN40" s="654" t="n">
        <v>45756</v>
      </c>
      <c r="FO40" s="654" t="n">
        <v>45770</v>
      </c>
      <c r="FP40" s="654" t="n">
        <v>45756</v>
      </c>
      <c r="FQ40" s="654" t="n">
        <v>45749</v>
      </c>
      <c r="FR40" s="654" t="n">
        <v>45736</v>
      </c>
      <c r="FS40" s="654" t="n">
        <v>45743</v>
      </c>
      <c r="FT40" s="654" t="n">
        <v>45735</v>
      </c>
      <c r="FU40" s="654" t="n">
        <v>45728</v>
      </c>
      <c r="FV40" s="654" t="n">
        <v>45722</v>
      </c>
      <c r="FW40" s="654" t="n">
        <v>45714</v>
      </c>
      <c r="FX40" s="650" t="n">
        <v>45700</v>
      </c>
      <c r="FY40" s="654" t="n">
        <v>45706</v>
      </c>
      <c r="FZ40" s="654" t="n">
        <v>45700</v>
      </c>
      <c r="GA40" s="654" t="n">
        <v>45684</v>
      </c>
      <c r="GB40" s="654" t="n">
        <v>45699</v>
      </c>
      <c r="GC40" s="654" t="n">
        <v>45699</v>
      </c>
      <c r="GD40" s="655" t="n">
        <v>45706</v>
      </c>
      <c r="GE40" s="654" t="n">
        <v>45693</v>
      </c>
      <c r="GF40" s="654" t="n">
        <v>45693</v>
      </c>
      <c r="GG40" s="654" t="n">
        <v>45685</v>
      </c>
      <c r="GH40" s="712" t="n">
        <v>45692</v>
      </c>
      <c r="GI40" s="655" t="n">
        <v>45691</v>
      </c>
      <c r="GJ40" s="655" t="n">
        <v>45681</v>
      </c>
      <c r="GK40" s="654" t="n">
        <v>45674</v>
      </c>
      <c r="GL40" s="655" t="n">
        <v>45672</v>
      </c>
      <c r="GM40" s="654" t="n">
        <v>45664</v>
      </c>
      <c r="GN40" s="654" t="n">
        <v>46008</v>
      </c>
      <c r="GO40" s="654" t="n">
        <v>45660</v>
      </c>
      <c r="GP40" s="654" t="n">
        <v>45652</v>
      </c>
      <c r="GQ40" s="654" t="n">
        <v>45638</v>
      </c>
      <c r="GR40" s="654" t="n">
        <v>45643</v>
      </c>
    </row>
    <row r="41" ht="18.75" customHeight="1">
      <c r="A41" s="586" t="inlineStr">
        <is>
          <t>SACOLAS/SACO/DIVERSOS OUI</t>
        </is>
      </c>
      <c r="B41" s="133" t="inlineStr">
        <is>
          <t>MÓD</t>
        </is>
      </c>
      <c r="C41" s="133" t="n"/>
      <c r="D41" s="133" t="n"/>
      <c r="F41" s="650" t="n">
        <v>45656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>
        <v>46083</v>
      </c>
      <c r="BP41" s="650" t="n">
        <v>46090</v>
      </c>
      <c r="BQ41" s="650" t="n">
        <v>46097</v>
      </c>
      <c r="BR41" s="650" t="n">
        <v>46104</v>
      </c>
      <c r="BS41" s="650" t="n">
        <v>46111</v>
      </c>
      <c r="BT41" s="650" t="n">
        <v>46118</v>
      </c>
      <c r="BU41" s="650" t="n">
        <v>46125</v>
      </c>
      <c r="BV41" s="650" t="n">
        <v>46132</v>
      </c>
      <c r="BW41" s="650" t="n">
        <v>46139</v>
      </c>
      <c r="BX41" s="650" t="n">
        <v>46146</v>
      </c>
      <c r="BY41" s="650" t="n">
        <v>46154</v>
      </c>
      <c r="BZ41" s="650" t="n">
        <v>46160</v>
      </c>
      <c r="CA41" s="650" t="n">
        <v>46160</v>
      </c>
      <c r="CB41" s="650" t="n">
        <v>46160</v>
      </c>
      <c r="CC41" s="651" t="n">
        <v>46161.48003686342</v>
      </c>
      <c r="CD41" s="651" t="n">
        <v>46161.48071633102</v>
      </c>
      <c r="CE41" s="651" t="n">
        <v>46161.48287467212</v>
      </c>
      <c r="CF41" s="652" t="inlineStr">
        <is>
          <t>USOU</t>
        </is>
      </c>
      <c r="CH41" s="35" t="inlineStr">
        <is>
          <t>Pend.</t>
        </is>
      </c>
      <c r="CI41" s="413" t="inlineStr">
        <is>
          <t>TRANSFERÊNCIA</t>
        </is>
      </c>
      <c r="CJ41" s="35" t="inlineStr">
        <is>
          <t>Pend.</t>
        </is>
      </c>
      <c r="CK41" s="12" t="inlineStr">
        <is>
          <t>Novo Pedido</t>
        </is>
      </c>
      <c r="CL41" s="708" t="n">
        <v>46161.48287347958</v>
      </c>
      <c r="CM41" s="654" t="n">
        <v>46149</v>
      </c>
      <c r="CN41" s="654" t="n">
        <v>46114</v>
      </c>
      <c r="CO41" s="654" t="n">
        <v>46099</v>
      </c>
      <c r="CP41" s="710" t="n">
        <v>46065</v>
      </c>
      <c r="CQ41" s="711" t="n">
        <v>46045</v>
      </c>
      <c r="CR41" s="654" t="n">
        <v>46076</v>
      </c>
      <c r="CS41" s="655" t="n">
        <v>46084</v>
      </c>
      <c r="CT41" s="654" t="n">
        <v>46077</v>
      </c>
      <c r="CU41" s="655" t="n">
        <v>46077</v>
      </c>
      <c r="CV41" s="654" t="n">
        <v>46071</v>
      </c>
      <c r="CW41" s="654" t="n">
        <v>46071</v>
      </c>
      <c r="CX41" s="654" t="n">
        <v>46056</v>
      </c>
      <c r="CY41" s="654" t="n">
        <v>46043</v>
      </c>
      <c r="CZ41" s="654" t="n">
        <v>46035</v>
      </c>
      <c r="DA41" s="654" t="n">
        <v>46029</v>
      </c>
      <c r="DB41" s="654" t="n">
        <v>46017</v>
      </c>
      <c r="DC41" s="654" t="n">
        <v>46001</v>
      </c>
      <c r="DD41" s="654" t="n">
        <v>46007</v>
      </c>
      <c r="DE41" s="654" t="n">
        <v>45994</v>
      </c>
      <c r="DF41" s="654" t="n">
        <v>45986</v>
      </c>
      <c r="DG41" s="654" t="n">
        <v>45986</v>
      </c>
      <c r="DH41" s="654" t="n">
        <v>45980</v>
      </c>
      <c r="DI41" s="654" t="n">
        <v>45980</v>
      </c>
      <c r="DJ41" s="654" t="n">
        <v>45973</v>
      </c>
      <c r="DK41" s="654" t="n">
        <v>45965</v>
      </c>
      <c r="DL41" s="654" t="n">
        <v>45960</v>
      </c>
      <c r="DM41" s="655" t="n">
        <v>45967</v>
      </c>
      <c r="DN41" s="654" t="n">
        <v>45937</v>
      </c>
      <c r="DO41" s="654" t="n">
        <v>45951</v>
      </c>
      <c r="DP41" s="654" t="n">
        <v>45931</v>
      </c>
      <c r="DQ41" s="654" t="n">
        <v>45923</v>
      </c>
      <c r="DR41" s="654" t="n">
        <v>45923</v>
      </c>
      <c r="DS41" s="678" t="n">
        <v>45903</v>
      </c>
      <c r="DT41" s="655" t="n">
        <v>45931</v>
      </c>
      <c r="DU41" s="688" t="n">
        <v>45931</v>
      </c>
      <c r="DV41" s="18" t="n"/>
      <c r="DW41" s="18" t="n"/>
      <c r="DX41" s="18" t="n"/>
      <c r="DY41" s="18" t="n"/>
      <c r="DZ41" s="18" t="n"/>
      <c r="EA41" s="18" t="n"/>
      <c r="EB41" s="18" t="n"/>
      <c r="EC41" s="18" t="n"/>
      <c r="ED41" s="18" t="n"/>
      <c r="EE41" s="18" t="n"/>
      <c r="EF41" s="18" t="n"/>
      <c r="EG41" s="18" t="n"/>
      <c r="EH41" s="18" t="n"/>
      <c r="EI41" s="18" t="n"/>
      <c r="EJ41" s="18" t="n"/>
      <c r="EK41" s="18" t="n"/>
      <c r="EL41" s="18" t="n"/>
      <c r="EM41" s="18" t="n"/>
      <c r="EN41" s="18" t="n"/>
      <c r="EO41" s="18" t="n"/>
      <c r="EP41" s="18" t="n"/>
      <c r="EQ41" s="18" t="n"/>
      <c r="ER41" s="18" t="n"/>
      <c r="ES41" s="18" t="n"/>
      <c r="ET41" s="256" t="n"/>
      <c r="EU41" s="18" t="n"/>
      <c r="EV41" s="18" t="n"/>
      <c r="EW41" s="18" t="n"/>
      <c r="EX41" s="18" t="n"/>
      <c r="EY41" s="18" t="n"/>
      <c r="EZ41" s="18" t="n"/>
      <c r="FA41" s="18" t="n"/>
      <c r="FB41" s="18" t="n"/>
      <c r="FC41" s="18" t="n"/>
      <c r="FD41" s="18" t="n"/>
      <c r="FE41" s="18" t="n"/>
      <c r="FF41" s="18" t="n"/>
      <c r="FG41" s="18" t="n"/>
      <c r="FH41" s="256" t="n"/>
      <c r="FI41" s="18" t="n"/>
      <c r="FJ41" s="18" t="n"/>
      <c r="FK41" s="18" t="n"/>
      <c r="FL41" s="18" t="n"/>
      <c r="FM41" s="18" t="n"/>
      <c r="FN41" s="18" t="n"/>
      <c r="FO41" s="18" t="n"/>
      <c r="FP41" s="18" t="n"/>
      <c r="FQ41" s="18" t="n"/>
      <c r="FR41" s="18" t="n"/>
      <c r="FS41" s="18" t="n"/>
      <c r="FT41" s="18" t="n"/>
      <c r="FU41" s="18" t="n"/>
      <c r="FV41" s="18" t="n"/>
      <c r="FW41" s="18" t="n"/>
      <c r="FX41" s="256" t="n"/>
      <c r="FY41" s="18" t="n"/>
      <c r="FZ41" s="18" t="n"/>
      <c r="GA41" s="18" t="n"/>
      <c r="GB41" s="18" t="n"/>
      <c r="GC41" s="18" t="n"/>
      <c r="GD41" s="18" t="n"/>
      <c r="GE41" s="18" t="n"/>
      <c r="GF41" s="18" t="n"/>
      <c r="GG41" s="18" t="n"/>
      <c r="GH41" s="18" t="n"/>
      <c r="GI41" s="18" t="n"/>
      <c r="GJ41" s="18" t="n"/>
      <c r="GK41" s="18" t="n"/>
      <c r="GL41" s="18" t="n"/>
      <c r="GM41" s="18" t="n"/>
      <c r="GN41" s="18" t="n"/>
      <c r="GO41" s="18" t="n"/>
      <c r="GP41" s="18" t="n"/>
      <c r="GQ41" s="18" t="n"/>
      <c r="GR41" s="18" t="n"/>
    </row>
    <row r="42" ht="18.75" customFormat="1" customHeight="1" s="3">
      <c r="A42" s="43" t="inlineStr">
        <is>
          <t>SACOLA P OUI</t>
        </is>
      </c>
      <c r="B42" s="36" t="n">
        <v>150</v>
      </c>
      <c r="C42" s="668" t="n">
        <v>453.38</v>
      </c>
      <c r="D42" s="329" t="n">
        <v>15</v>
      </c>
      <c r="F42" s="38" t="n">
        <v>77</v>
      </c>
      <c r="G42" s="38" t="n">
        <v>77</v>
      </c>
      <c r="H42" s="38" t="n">
        <v>77</v>
      </c>
      <c r="I42" s="38" t="n">
        <v>77</v>
      </c>
      <c r="J42" s="38" t="n">
        <v>65</v>
      </c>
      <c r="K42" s="38" t="n">
        <v>65</v>
      </c>
      <c r="L42" s="38" t="n">
        <v>64</v>
      </c>
      <c r="M42" s="38" t="n">
        <v>64</v>
      </c>
      <c r="N42" s="38" t="n">
        <v>64</v>
      </c>
      <c r="O42" s="38" t="n">
        <v>64</v>
      </c>
      <c r="P42" s="38" t="n">
        <v>57</v>
      </c>
      <c r="Q42" s="38" t="n">
        <v>61</v>
      </c>
      <c r="R42" s="38" t="n">
        <v>61</v>
      </c>
      <c r="S42" s="38" t="n">
        <v>61</v>
      </c>
      <c r="T42" s="38" t="n">
        <v>57</v>
      </c>
      <c r="U42" s="38" t="n">
        <v>55</v>
      </c>
      <c r="V42" s="38" t="n">
        <v>55</v>
      </c>
      <c r="W42" s="38" t="n">
        <v>55</v>
      </c>
      <c r="X42" s="38" t="n">
        <v>55</v>
      </c>
      <c r="Y42" s="38" t="n">
        <v>54</v>
      </c>
      <c r="Z42" s="38" t="n">
        <v>53</v>
      </c>
      <c r="AA42" s="38" t="n">
        <v>50</v>
      </c>
      <c r="AB42" s="38" t="n">
        <v>41</v>
      </c>
      <c r="AC42" s="38" t="n">
        <v>39</v>
      </c>
      <c r="AD42" s="38" t="n">
        <v>38</v>
      </c>
      <c r="AE42" s="38" t="n">
        <v>34</v>
      </c>
      <c r="AF42" s="38" t="n">
        <v>34</v>
      </c>
      <c r="AG42" s="38" t="n">
        <v>33</v>
      </c>
      <c r="AH42" s="38" t="n">
        <v>26</v>
      </c>
      <c r="AI42" s="38" t="n">
        <v>26</v>
      </c>
      <c r="AJ42" s="38" t="n">
        <v>23</v>
      </c>
      <c r="AK42" s="38" t="n">
        <v>23</v>
      </c>
      <c r="AL42" s="38" t="n">
        <v>20</v>
      </c>
      <c r="AM42" s="38" t="n">
        <v>20</v>
      </c>
      <c r="AN42" s="38" t="n">
        <v>20</v>
      </c>
      <c r="AO42" s="38" t="n">
        <v>15</v>
      </c>
      <c r="AP42" s="38" t="n">
        <v>15</v>
      </c>
      <c r="AQ42" s="38" t="n">
        <v>12</v>
      </c>
      <c r="AR42" s="38" t="n">
        <v>9</v>
      </c>
      <c r="AS42" s="38" t="n">
        <v>9</v>
      </c>
      <c r="AT42" s="38" t="n">
        <v>8</v>
      </c>
      <c r="AU42" s="38" t="n">
        <v>6</v>
      </c>
      <c r="AV42" s="38" t="n">
        <v>4</v>
      </c>
      <c r="AW42" s="38" t="n">
        <v>3</v>
      </c>
      <c r="AX42" s="38" t="n">
        <v>0</v>
      </c>
      <c r="AY42" s="38" t="n">
        <v>0</v>
      </c>
      <c r="AZ42" s="38" t="n">
        <v>0</v>
      </c>
      <c r="BA42" s="38" t="n">
        <v>0</v>
      </c>
      <c r="BB42" s="261" t="n">
        <v>5</v>
      </c>
      <c r="BC42" s="38" t="n">
        <v>0</v>
      </c>
      <c r="BD42" s="38" t="n">
        <v>0</v>
      </c>
      <c r="BE42" s="38" t="n">
        <v>12</v>
      </c>
      <c r="BF42" s="38" t="n">
        <v>10</v>
      </c>
      <c r="BG42" s="38" t="n">
        <v>10</v>
      </c>
      <c r="BH42" s="38" t="n">
        <v>5</v>
      </c>
      <c r="BI42" s="38" t="n">
        <v>0</v>
      </c>
      <c r="BJ42" s="38" t="n">
        <v>0</v>
      </c>
      <c r="BK42" s="38" t="n">
        <v>0</v>
      </c>
      <c r="BL42" s="38" t="n">
        <v>0</v>
      </c>
      <c r="BM42" s="38" t="n">
        <v>0</v>
      </c>
      <c r="BN42" s="38" t="n">
        <v>0</v>
      </c>
      <c r="BO42" s="38" t="n">
        <v>0</v>
      </c>
      <c r="BP42" s="38" t="n">
        <v>13</v>
      </c>
      <c r="BQ42" s="38" t="n">
        <v>13</v>
      </c>
      <c r="BR42" s="261" t="n">
        <v>40</v>
      </c>
      <c r="BS42" s="38" t="n">
        <v>37</v>
      </c>
      <c r="BT42" s="38" t="n"/>
      <c r="BU42" s="38" t="n"/>
      <c r="BV42" s="38" t="n"/>
      <c r="BW42" s="38" t="n">
        <v>20</v>
      </c>
      <c r="BX42" s="38" t="n">
        <v>17</v>
      </c>
      <c r="BY42" s="38" t="n">
        <v>5</v>
      </c>
      <c r="BZ42" s="38" t="n">
        <v>4</v>
      </c>
      <c r="CA42" s="38" t="n">
        <v>4</v>
      </c>
      <c r="CB42" s="38" t="n">
        <v>4</v>
      </c>
      <c r="CC42" s="9" t="n">
        <v>4</v>
      </c>
      <c r="CD42" s="9" t="n">
        <v>4</v>
      </c>
      <c r="CE42" s="9" t="n">
        <v>4</v>
      </c>
      <c r="CF42" s="154">
        <f>CD42+IF(NOT(ISBLANK(OFFSET(CF42,0,6))),N(OFFSET(CF42,0,6)),N(OFFSET(CF42,0,7)))-CE42</f>
        <v/>
      </c>
      <c r="CG42" s="6" t="n"/>
      <c r="CH42" s="19" t="n"/>
      <c r="CI42" s="127" t="n"/>
      <c r="CJ42" s="19" t="n"/>
      <c r="CK42" s="39" t="n"/>
      <c r="CL42" s="18" t="n">
        <v>0</v>
      </c>
      <c r="CM42" s="18" t="n">
        <v>0</v>
      </c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18" t="n"/>
      <c r="ET42" s="256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18" t="n"/>
      <c r="FE42" s="18" t="n"/>
      <c r="FF42" s="18" t="n"/>
      <c r="FG42" s="18" t="n"/>
      <c r="FH42" s="256" t="n"/>
      <c r="FI42" s="18" t="n"/>
      <c r="FJ42" s="18" t="n"/>
      <c r="FK42" s="18" t="n"/>
      <c r="FL42" s="18" t="n"/>
      <c r="FM42" s="18" t="n"/>
      <c r="FN42" s="18" t="n"/>
      <c r="FO42" s="18" t="n"/>
      <c r="FP42" s="18" t="n"/>
      <c r="FQ42" s="18" t="n"/>
      <c r="FR42" s="18" t="n"/>
      <c r="FS42" s="18" t="n"/>
      <c r="FT42" s="18" t="n"/>
      <c r="FU42" s="18" t="n"/>
      <c r="FV42" s="18" t="n"/>
      <c r="FW42" s="18" t="n"/>
      <c r="FX42" s="256" t="n"/>
      <c r="FY42" s="18" t="n"/>
      <c r="FZ42" s="18" t="n"/>
      <c r="GA42" s="18" t="n"/>
      <c r="GB42" s="18" t="n"/>
      <c r="GC42" s="18" t="n"/>
      <c r="GD42" s="18" t="n"/>
      <c r="GE42" s="18" t="n"/>
      <c r="GF42" s="18" t="n"/>
      <c r="GG42" s="18" t="n"/>
      <c r="GH42" s="18" t="n"/>
      <c r="GI42" s="18" t="n"/>
      <c r="GJ42" s="18" t="n"/>
      <c r="GK42" s="18" t="n"/>
      <c r="GL42" s="18" t="n"/>
      <c r="GM42" s="18" t="n"/>
      <c r="GN42" s="18" t="n"/>
      <c r="GO42" s="18" t="n"/>
      <c r="GP42" s="18" t="n"/>
      <c r="GQ42" s="18" t="n"/>
      <c r="GR42" s="18" t="n"/>
    </row>
    <row r="43" ht="18.75" customFormat="1" customHeight="1" s="3">
      <c r="A43" s="43" t="inlineStr">
        <is>
          <t>SACOLA M OUI</t>
        </is>
      </c>
      <c r="B43" s="36" t="n">
        <v>100</v>
      </c>
      <c r="C43" s="668" t="n">
        <v>355.78</v>
      </c>
      <c r="D43" s="329" t="n">
        <v>15</v>
      </c>
      <c r="F43" s="38" t="n">
        <v>47</v>
      </c>
      <c r="G43" s="38" t="n">
        <v>63</v>
      </c>
      <c r="H43" s="38" t="n">
        <v>63</v>
      </c>
      <c r="I43" s="38" t="n">
        <v>63</v>
      </c>
      <c r="J43" s="38" t="n">
        <v>63</v>
      </c>
      <c r="K43" s="38" t="n">
        <v>63</v>
      </c>
      <c r="L43" s="38" t="n">
        <v>61</v>
      </c>
      <c r="M43" s="38" t="n">
        <v>61</v>
      </c>
      <c r="N43" s="38" t="n">
        <v>61</v>
      </c>
      <c r="O43" s="38" t="n">
        <v>61</v>
      </c>
      <c r="P43" s="38" t="n">
        <v>59</v>
      </c>
      <c r="Q43" s="38" t="n">
        <v>61</v>
      </c>
      <c r="R43" s="38" t="n">
        <v>61</v>
      </c>
      <c r="S43" s="38" t="n">
        <v>60</v>
      </c>
      <c r="T43" s="38" t="n">
        <v>60</v>
      </c>
      <c r="U43" s="38" t="n">
        <v>56</v>
      </c>
      <c r="V43" s="38" t="n">
        <v>56</v>
      </c>
      <c r="W43" s="38" t="n">
        <v>56</v>
      </c>
      <c r="X43" s="38" t="n">
        <v>56</v>
      </c>
      <c r="Y43" s="38" t="n">
        <v>53</v>
      </c>
      <c r="Z43" s="38" t="n">
        <v>52</v>
      </c>
      <c r="AA43" s="38" t="n">
        <v>50</v>
      </c>
      <c r="AB43" s="38" t="n">
        <v>50</v>
      </c>
      <c r="AC43" s="38" t="n">
        <v>50</v>
      </c>
      <c r="AD43" s="38" t="n">
        <v>47</v>
      </c>
      <c r="AE43" s="38" t="n">
        <v>46</v>
      </c>
      <c r="AF43" s="38" t="n">
        <v>46</v>
      </c>
      <c r="AG43" s="38" t="n">
        <v>46</v>
      </c>
      <c r="AH43" s="38" t="n">
        <v>43</v>
      </c>
      <c r="AI43" s="38" t="n">
        <v>42</v>
      </c>
      <c r="AJ43" s="38" t="n">
        <v>42</v>
      </c>
      <c r="AK43" s="38" t="n">
        <v>42</v>
      </c>
      <c r="AL43" s="38" t="n">
        <v>40</v>
      </c>
      <c r="AM43" s="38" t="n">
        <v>40</v>
      </c>
      <c r="AN43" s="38" t="n">
        <v>40</v>
      </c>
      <c r="AO43" s="38" t="n">
        <v>39</v>
      </c>
      <c r="AP43" s="38" t="n">
        <v>39</v>
      </c>
      <c r="AQ43" s="38" t="n">
        <v>39</v>
      </c>
      <c r="AR43" s="38" t="n">
        <v>39</v>
      </c>
      <c r="AS43" s="38" t="n">
        <v>37</v>
      </c>
      <c r="AT43" s="38" t="n">
        <v>30</v>
      </c>
      <c r="AU43" s="38" t="n">
        <v>27</v>
      </c>
      <c r="AV43" s="38" t="n">
        <v>25</v>
      </c>
      <c r="AW43" s="38" t="n">
        <v>24</v>
      </c>
      <c r="AX43" s="38" t="n">
        <v>22</v>
      </c>
      <c r="AY43" s="38" t="n">
        <v>9</v>
      </c>
      <c r="AZ43" s="38" t="n">
        <v>0</v>
      </c>
      <c r="BA43" s="38" t="n">
        <v>0</v>
      </c>
      <c r="BB43" s="261" t="n">
        <v>15</v>
      </c>
      <c r="BC43" s="38" t="n">
        <v>8</v>
      </c>
      <c r="BD43" s="38" t="n">
        <v>2</v>
      </c>
      <c r="BE43" s="38" t="n">
        <v>15</v>
      </c>
      <c r="BF43" s="38" t="n">
        <v>14</v>
      </c>
      <c r="BG43" s="38" t="n">
        <v>14</v>
      </c>
      <c r="BH43" s="38" t="n">
        <v>13</v>
      </c>
      <c r="BI43" s="38" t="n">
        <v>8</v>
      </c>
      <c r="BJ43" s="38" t="n">
        <v>5</v>
      </c>
      <c r="BK43" s="38" t="n">
        <v>5</v>
      </c>
      <c r="BL43" s="38" t="n">
        <v>1</v>
      </c>
      <c r="BM43" s="38" t="n">
        <v>1</v>
      </c>
      <c r="BN43" s="38" t="n">
        <v>1</v>
      </c>
      <c r="BO43" s="38" t="n">
        <v>0</v>
      </c>
      <c r="BP43" s="38" t="n">
        <v>0</v>
      </c>
      <c r="BQ43" s="38" t="n">
        <v>0</v>
      </c>
      <c r="BR43" s="261" t="n">
        <v>20</v>
      </c>
      <c r="BS43" s="38" t="n">
        <v>19</v>
      </c>
      <c r="BT43" s="38" t="n"/>
      <c r="BU43" s="38" t="n"/>
      <c r="BV43" s="38" t="n"/>
      <c r="BW43" s="38" t="n">
        <v>16</v>
      </c>
      <c r="BX43" s="38" t="n">
        <v>12</v>
      </c>
      <c r="BY43" s="38" t="n">
        <v>10</v>
      </c>
      <c r="BZ43" s="38" t="n">
        <v>9</v>
      </c>
      <c r="CA43" s="38" t="n">
        <v>9</v>
      </c>
      <c r="CB43" s="38" t="n">
        <v>9</v>
      </c>
      <c r="CC43" s="9" t="n">
        <v>9</v>
      </c>
      <c r="CD43" s="9" t="n">
        <v>9</v>
      </c>
      <c r="CE43" s="9" t="n">
        <v>9</v>
      </c>
      <c r="CF43" s="154">
        <f>CD43+IF(NOT(ISBLANK(OFFSET(CF43,0,6))),N(OFFSET(CF43,0,6)),N(OFFSET(CF43,0,7)))-CE43</f>
        <v/>
      </c>
      <c r="CG43" s="6" t="n"/>
      <c r="CH43" s="19" t="n"/>
      <c r="CI43" s="127" t="n"/>
      <c r="CJ43" s="19" t="n"/>
      <c r="CK43" s="65" t="n"/>
      <c r="CL43" s="18" t="n">
        <v>0</v>
      </c>
      <c r="CM43" s="18" t="n">
        <v>0</v>
      </c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  <c r="DU43" s="18" t="n"/>
      <c r="DV43" s="18" t="n"/>
      <c r="DW43" s="18" t="n"/>
      <c r="DX43" s="18" t="n"/>
      <c r="DY43" s="18" t="n"/>
      <c r="DZ43" s="18" t="n"/>
      <c r="EA43" s="18" t="n"/>
      <c r="EB43" s="18" t="n"/>
      <c r="EC43" s="18" t="n"/>
      <c r="ED43" s="18" t="n"/>
      <c r="EE43" s="18" t="n"/>
      <c r="EF43" s="18" t="n"/>
      <c r="EG43" s="18" t="n"/>
      <c r="EH43" s="18" t="n"/>
      <c r="EI43" s="18" t="n"/>
      <c r="EJ43" s="18" t="n"/>
      <c r="EK43" s="18" t="n"/>
      <c r="EL43" s="18" t="n"/>
      <c r="EM43" s="18" t="n"/>
      <c r="EN43" s="18" t="n"/>
      <c r="EO43" s="18" t="n"/>
      <c r="EP43" s="18" t="n"/>
      <c r="EQ43" s="18" t="n"/>
      <c r="ER43" s="18" t="n"/>
      <c r="ES43" s="18" t="n"/>
      <c r="ET43" s="256" t="n"/>
      <c r="EU43" s="18" t="n"/>
      <c r="EV43" s="18" t="n"/>
      <c r="EW43" s="260" t="n"/>
      <c r="EX43" s="260" t="n"/>
      <c r="EY43" s="18" t="n"/>
      <c r="EZ43" s="18" t="n"/>
      <c r="FA43" s="260" t="n"/>
      <c r="FB43" s="260" t="n"/>
      <c r="FC43" s="18" t="n"/>
      <c r="FD43" s="260" t="n"/>
      <c r="FE43" s="18" t="n"/>
      <c r="FF43" s="260" t="n"/>
      <c r="FG43" s="260" t="n"/>
      <c r="FH43" s="256" t="n"/>
      <c r="FI43" s="260" t="n"/>
      <c r="FJ43" s="260" t="n"/>
      <c r="FK43" s="18" t="n"/>
      <c r="FL43" s="18" t="n"/>
      <c r="FM43" s="18" t="n"/>
      <c r="FN43" s="18" t="n"/>
      <c r="FO43" s="18" t="n"/>
      <c r="FP43" s="18" t="n"/>
      <c r="FQ43" s="18" t="n"/>
      <c r="FR43" s="18" t="n"/>
      <c r="FS43" s="18" t="n"/>
      <c r="FT43" s="18" t="n"/>
      <c r="FU43" s="18" t="n"/>
      <c r="FV43" s="18" t="n"/>
      <c r="FW43" s="18" t="n"/>
      <c r="FX43" s="256" t="n"/>
      <c r="FY43" s="18" t="n"/>
      <c r="FZ43" s="18" t="n"/>
      <c r="GA43" s="18" t="n"/>
      <c r="GB43" s="18" t="n"/>
      <c r="GC43" s="18" t="n"/>
      <c r="GD43" s="260" t="n"/>
      <c r="GE43" s="18" t="n"/>
      <c r="GF43" s="18" t="n"/>
      <c r="GG43" s="18" t="n"/>
      <c r="GH43" s="260" t="n"/>
      <c r="GI43" s="260" t="n"/>
      <c r="GJ43" s="260" t="n"/>
      <c r="GK43" s="18" t="n"/>
      <c r="GL43" s="239" t="inlineStr">
        <is>
          <t>10 P/ ER PBE</t>
        </is>
      </c>
      <c r="GM43" s="18" t="n"/>
      <c r="GN43" s="18" t="n"/>
      <c r="GO43" s="18" t="n"/>
      <c r="GP43" s="18" t="n"/>
      <c r="GQ43" s="18" t="n"/>
      <c r="GR43" s="18" t="n">
        <v>50</v>
      </c>
    </row>
    <row r="44" ht="18.75" customHeight="1">
      <c r="A44" s="43" t="inlineStr">
        <is>
          <t>SACOLA G OUI</t>
        </is>
      </c>
      <c r="B44" s="36" t="n">
        <v>50</v>
      </c>
      <c r="C44" s="668" t="n">
        <v>249.26</v>
      </c>
      <c r="D44" s="329" t="n">
        <v>10</v>
      </c>
      <c r="F44" s="38" t="n">
        <v>6</v>
      </c>
      <c r="G44" s="38">
        <f>56-10</f>
        <v/>
      </c>
      <c r="H44" s="38" t="n">
        <v>45</v>
      </c>
      <c r="I44" s="38" t="n">
        <v>45</v>
      </c>
      <c r="J44" s="38" t="n">
        <v>45</v>
      </c>
      <c r="K44" s="38" t="n">
        <v>45</v>
      </c>
      <c r="L44" s="38" t="n">
        <v>45</v>
      </c>
      <c r="M44" s="38" t="n">
        <v>45</v>
      </c>
      <c r="N44" s="38" t="n">
        <v>45</v>
      </c>
      <c r="O44" s="38" t="n">
        <v>45</v>
      </c>
      <c r="P44" s="38" t="n">
        <v>44</v>
      </c>
      <c r="Q44" s="38" t="n">
        <v>25</v>
      </c>
      <c r="R44" s="38" t="n">
        <v>25</v>
      </c>
      <c r="S44" s="38" t="n">
        <v>25</v>
      </c>
      <c r="T44" s="38" t="n">
        <v>25</v>
      </c>
      <c r="U44" s="38" t="n">
        <v>25</v>
      </c>
      <c r="V44" s="38" t="n">
        <v>25</v>
      </c>
      <c r="W44" s="38" t="n">
        <v>25</v>
      </c>
      <c r="X44" s="38" t="n">
        <v>25</v>
      </c>
      <c r="Y44" s="38" t="n">
        <v>25</v>
      </c>
      <c r="Z44" s="38" t="n">
        <v>25</v>
      </c>
      <c r="AA44" s="38" t="n">
        <v>25</v>
      </c>
      <c r="AB44" s="38" t="n">
        <v>21</v>
      </c>
      <c r="AC44" s="38" t="n">
        <v>20</v>
      </c>
      <c r="AD44" s="38" t="n">
        <v>19</v>
      </c>
      <c r="AE44" s="38" t="n">
        <v>19</v>
      </c>
      <c r="AF44" s="38" t="n">
        <v>19</v>
      </c>
      <c r="AG44" s="38" t="n">
        <v>17</v>
      </c>
      <c r="AH44" s="38" t="n">
        <v>17</v>
      </c>
      <c r="AI44" s="38" t="n">
        <v>17</v>
      </c>
      <c r="AJ44" s="38" t="n">
        <v>15</v>
      </c>
      <c r="AK44" s="38" t="n">
        <v>15</v>
      </c>
      <c r="AL44" s="38" t="n">
        <v>15</v>
      </c>
      <c r="AM44" s="38" t="n">
        <v>15</v>
      </c>
      <c r="AN44" s="38" t="n">
        <v>15</v>
      </c>
      <c r="AO44" s="38" t="n">
        <v>13</v>
      </c>
      <c r="AP44" s="38" t="n">
        <v>13</v>
      </c>
      <c r="AQ44" s="38" t="n">
        <v>11</v>
      </c>
      <c r="AR44" s="38" t="n">
        <v>10</v>
      </c>
      <c r="AS44" s="38" t="n">
        <v>8</v>
      </c>
      <c r="AT44" s="38" t="n">
        <v>3</v>
      </c>
      <c r="AU44" s="38" t="n">
        <v>3</v>
      </c>
      <c r="AV44" s="38" t="n">
        <v>3</v>
      </c>
      <c r="AW44" s="38" t="n">
        <v>3</v>
      </c>
      <c r="AX44" s="38" t="n">
        <v>3</v>
      </c>
      <c r="AY44" s="38" t="n">
        <v>0</v>
      </c>
      <c r="AZ44" s="38" t="n">
        <v>0</v>
      </c>
      <c r="BA44" s="38" t="n">
        <v>0</v>
      </c>
      <c r="BB44" s="261" t="n">
        <v>10</v>
      </c>
      <c r="BC44" s="38" t="n">
        <v>7</v>
      </c>
      <c r="BD44" s="38" t="n">
        <v>5</v>
      </c>
      <c r="BE44" s="38" t="n">
        <v>2</v>
      </c>
      <c r="BF44" s="38" t="n">
        <v>2</v>
      </c>
      <c r="BG44" s="38" t="n">
        <v>1</v>
      </c>
      <c r="BH44" s="38" t="n">
        <v>1</v>
      </c>
      <c r="BI44" s="38" t="n">
        <v>1</v>
      </c>
      <c r="BJ44" s="38" t="n">
        <v>1</v>
      </c>
      <c r="BK44" s="38" t="n">
        <v>0</v>
      </c>
      <c r="BL44" s="38" t="n">
        <v>0</v>
      </c>
      <c r="BM44" s="38" t="n">
        <v>0</v>
      </c>
      <c r="BN44" s="38" t="n">
        <v>0</v>
      </c>
      <c r="BO44" s="38" t="n">
        <v>0</v>
      </c>
      <c r="BP44" s="38" t="n">
        <v>5</v>
      </c>
      <c r="BQ44" s="38" t="n">
        <v>5</v>
      </c>
      <c r="BR44" s="261" t="n">
        <v>11</v>
      </c>
      <c r="BS44" s="38" t="n">
        <v>10</v>
      </c>
      <c r="BT44" s="38" t="n"/>
      <c r="BU44" s="38" t="n"/>
      <c r="BV44" s="38" t="n"/>
      <c r="BW44" s="38" t="n">
        <v>13</v>
      </c>
      <c r="BX44" s="38" t="n">
        <v>8</v>
      </c>
      <c r="BY44" s="38" t="n">
        <v>7</v>
      </c>
      <c r="BZ44" s="38" t="n">
        <v>7</v>
      </c>
      <c r="CA44" s="38" t="n">
        <v>7</v>
      </c>
      <c r="CB44" s="38" t="n">
        <v>7</v>
      </c>
      <c r="CC44" s="9" t="n">
        <v>7</v>
      </c>
      <c r="CD44" s="9" t="n">
        <v>7</v>
      </c>
      <c r="CE44" s="9" t="n">
        <v>7</v>
      </c>
      <c r="CF44" s="154">
        <f>CD44+IF(NOT(ISBLANK(OFFSET(CF44,0,6))),N(OFFSET(CF44,0,6)),N(OFFSET(CF44,0,7)))-CE44</f>
        <v/>
      </c>
      <c r="CG44" s="53" t="n"/>
      <c r="CH44" s="19" t="n"/>
      <c r="CI44" s="127" t="n"/>
      <c r="CJ44" s="19" t="n"/>
      <c r="CK44" s="65" t="n"/>
      <c r="CL44" s="691" t="n">
        <v>0</v>
      </c>
      <c r="CM44" s="18" t="n">
        <v>0</v>
      </c>
      <c r="CN44" s="18" t="n"/>
      <c r="CO44" s="18" t="n"/>
      <c r="CP44" s="18" t="n"/>
      <c r="CQ44" s="18" t="n"/>
      <c r="CR44" s="18" t="n"/>
      <c r="CS44" s="18" t="n"/>
      <c r="CT44" s="18" t="n"/>
      <c r="CU44" s="18" t="n"/>
      <c r="CV44" s="18" t="n"/>
      <c r="CW44" s="18" t="n"/>
      <c r="CX44" s="18" t="n"/>
      <c r="CY44" s="18" t="n"/>
      <c r="CZ44" s="18" t="n"/>
      <c r="DA44" s="18" t="n"/>
      <c r="DB44" s="18" t="n"/>
      <c r="DC44" s="18" t="n"/>
      <c r="DD44" s="18" t="n"/>
      <c r="DE44" s="18" t="n"/>
      <c r="DF44" s="18" t="n"/>
      <c r="DG44" s="18" t="n"/>
      <c r="DH44" s="18" t="n"/>
      <c r="DI44" s="18" t="n"/>
      <c r="DJ44" s="18" t="n"/>
      <c r="DK44" s="18" t="n"/>
      <c r="DL44" s="18" t="n"/>
      <c r="DM44" s="18" t="n"/>
      <c r="DN44" s="18" t="n"/>
      <c r="DO44" s="18" t="n"/>
      <c r="DP44" s="18" t="n"/>
      <c r="DQ44" s="18" t="n"/>
      <c r="DR44" s="18" t="n"/>
      <c r="DS44" s="18" t="n"/>
      <c r="DT44" s="18" t="n"/>
      <c r="DU44" s="18" t="n"/>
      <c r="DV44" s="18" t="n"/>
      <c r="DW44" s="18" t="n"/>
      <c r="DX44" s="18" t="n"/>
      <c r="DY44" s="18" t="n"/>
      <c r="DZ44" s="18" t="n"/>
      <c r="EA44" s="18" t="n"/>
      <c r="EB44" s="18" t="n"/>
      <c r="EC44" s="18" t="n"/>
      <c r="ED44" s="18" t="n"/>
      <c r="EE44" s="18" t="n"/>
      <c r="EF44" s="18" t="n"/>
      <c r="EG44" s="154" t="inlineStr">
        <is>
          <t>200 DE ER PBE</t>
        </is>
      </c>
      <c r="EH44" s="18" t="n"/>
      <c r="EI44" s="18" t="n"/>
      <c r="EJ44" s="18" t="n"/>
      <c r="EK44" s="18" t="n"/>
      <c r="EL44" s="18" t="n"/>
      <c r="EM44" s="18" t="n"/>
      <c r="EN44" s="18" t="n"/>
      <c r="EO44" s="18" t="n"/>
      <c r="EP44" s="18" t="n"/>
      <c r="EQ44" s="18" t="n"/>
      <c r="ER44" s="18" t="n"/>
      <c r="ES44" s="18" t="n"/>
      <c r="ET44" s="256" t="n"/>
      <c r="EU44" s="18" t="n"/>
      <c r="EV44" s="18" t="n"/>
      <c r="EW44" s="260" t="n"/>
      <c r="EX44" s="260" t="n"/>
      <c r="EY44" s="18" t="n"/>
      <c r="EZ44" s="18" t="n"/>
      <c r="FA44" s="260" t="n"/>
      <c r="FB44" s="260" t="n"/>
      <c r="FC44" s="18" t="n"/>
      <c r="FD44" s="260" t="n"/>
      <c r="FE44" s="18" t="n"/>
      <c r="FF44" s="260" t="n"/>
      <c r="FG44" s="260" t="n"/>
      <c r="FH44" s="256" t="n"/>
      <c r="FI44" s="260" t="n"/>
      <c r="FJ44" s="260" t="n"/>
      <c r="FK44" s="18" t="n"/>
      <c r="FL44" s="18" t="n"/>
      <c r="FM44" s="18" t="n"/>
      <c r="FN44" s="18" t="n"/>
      <c r="FO44" s="18" t="n"/>
      <c r="FP44" s="18" t="n"/>
      <c r="FQ44" s="18" t="n">
        <v>400</v>
      </c>
      <c r="FR44" s="18" t="n"/>
      <c r="FS44" s="18" t="n"/>
      <c r="FT44" s="18" t="n"/>
      <c r="FU44" s="18" t="n"/>
      <c r="FV44" s="18" t="n"/>
      <c r="FW44" s="18" t="n"/>
      <c r="FX44" s="256" t="n"/>
      <c r="FY44" s="18" t="n"/>
      <c r="FZ44" s="18" t="n"/>
      <c r="GA44" s="18" t="n"/>
      <c r="GB44" s="18" t="n"/>
      <c r="GC44" s="18" t="n"/>
      <c r="GD44" s="239" t="inlineStr">
        <is>
          <t>400 P/ ER</t>
        </is>
      </c>
      <c r="GE44" s="18" t="n"/>
      <c r="GF44" s="18" t="n"/>
      <c r="GG44" s="18" t="n"/>
      <c r="GH44" s="260" t="n"/>
      <c r="GI44" s="260" t="n"/>
      <c r="GJ44" s="260" t="n"/>
      <c r="GK44" s="18" t="n"/>
      <c r="GL44" s="239" t="inlineStr">
        <is>
          <t>200 P/ ER</t>
        </is>
      </c>
      <c r="GM44" s="18" t="n"/>
      <c r="GN44" s="18" t="n"/>
      <c r="GO44" s="18" t="n">
        <v>200</v>
      </c>
      <c r="GP44" s="18" t="n"/>
      <c r="GQ44" s="18" t="n"/>
      <c r="GR44" s="18" t="n"/>
    </row>
    <row r="45" ht="18.75" customHeight="1">
      <c r="A45" s="43" t="inlineStr">
        <is>
          <t>SACO M OUI (BRINDE)</t>
        </is>
      </c>
      <c r="B45" s="36" t="n">
        <v>200</v>
      </c>
      <c r="C45" s="662" t="n">
        <v>249.78</v>
      </c>
      <c r="D45" s="329" t="n">
        <v>50</v>
      </c>
      <c r="F45" s="38" t="n">
        <v>498</v>
      </c>
      <c r="G45" s="38">
        <f>498+GL44</f>
        <v/>
      </c>
      <c r="H45" s="38">
        <f>698-200</f>
        <v/>
      </c>
      <c r="I45" s="38" t="n">
        <v>498</v>
      </c>
      <c r="J45" s="38" t="n">
        <v>498</v>
      </c>
      <c r="K45" s="38" t="n">
        <v>498</v>
      </c>
      <c r="L45" s="38" t="n">
        <v>606</v>
      </c>
      <c r="M45" s="38">
        <f>606-400</f>
        <v/>
      </c>
      <c r="N45" s="38" t="n">
        <v>206</v>
      </c>
      <c r="O45" s="38" t="n">
        <v>206</v>
      </c>
      <c r="P45" s="38" t="n">
        <v>206</v>
      </c>
      <c r="Q45" s="38" t="n">
        <v>206</v>
      </c>
      <c r="R45" s="38" t="n">
        <v>206</v>
      </c>
      <c r="S45" s="38" t="n">
        <v>0</v>
      </c>
      <c r="T45" s="38">
        <f>0+FN44</f>
        <v/>
      </c>
      <c r="U45" s="38" t="n">
        <v>400</v>
      </c>
      <c r="V45" s="38" t="n">
        <v>400</v>
      </c>
      <c r="W45" s="38" t="n">
        <v>400</v>
      </c>
      <c r="X45" s="38" t="n">
        <v>400</v>
      </c>
      <c r="Y45" s="38" t="n">
        <v>400</v>
      </c>
      <c r="Z45" s="38" t="n">
        <v>400</v>
      </c>
      <c r="AA45" s="38" t="n">
        <v>400</v>
      </c>
      <c r="AB45" s="38" t="n">
        <v>400</v>
      </c>
      <c r="AC45" s="38" t="n">
        <v>400</v>
      </c>
      <c r="AD45" s="38" t="n">
        <v>400</v>
      </c>
      <c r="AE45" s="38" t="n">
        <v>400</v>
      </c>
      <c r="AF45" s="38" t="n">
        <v>400</v>
      </c>
      <c r="AG45" s="38" t="n">
        <v>400</v>
      </c>
      <c r="AH45" s="38" t="n">
        <v>400</v>
      </c>
      <c r="AI45" s="38" t="n">
        <v>200</v>
      </c>
      <c r="AJ45" s="38" t="n">
        <v>200</v>
      </c>
      <c r="AK45" s="38" t="n">
        <v>200</v>
      </c>
      <c r="AL45" s="38">
        <f>200+200</f>
        <v/>
      </c>
      <c r="AM45" s="38" t="n">
        <v>400</v>
      </c>
      <c r="AN45" s="38" t="n">
        <v>400</v>
      </c>
      <c r="AO45" s="38" t="n">
        <v>400</v>
      </c>
      <c r="AP45" s="38" t="n">
        <v>400</v>
      </c>
      <c r="AQ45" s="38" t="n">
        <v>400</v>
      </c>
      <c r="AR45" s="38" t="n">
        <v>400</v>
      </c>
      <c r="AS45" s="38" t="n">
        <v>400</v>
      </c>
      <c r="AT45" s="38" t="n">
        <v>400</v>
      </c>
      <c r="AU45" s="38" t="n">
        <v>400</v>
      </c>
      <c r="AV45" s="38" t="n">
        <v>400</v>
      </c>
      <c r="AW45" s="38" t="n">
        <v>400</v>
      </c>
      <c r="AX45" s="38" t="n">
        <v>400</v>
      </c>
      <c r="AY45" s="38" t="n">
        <v>400</v>
      </c>
      <c r="AZ45" s="38" t="n">
        <v>400</v>
      </c>
      <c r="BA45" s="38" t="n">
        <v>400</v>
      </c>
      <c r="BB45" s="38" t="n">
        <v>400</v>
      </c>
      <c r="BC45" s="38" t="n">
        <v>400</v>
      </c>
      <c r="BD45" s="38" t="n">
        <v>400</v>
      </c>
      <c r="BE45" s="38" t="n">
        <v>400</v>
      </c>
      <c r="BF45" s="38" t="n">
        <v>400</v>
      </c>
      <c r="BG45" s="38" t="n">
        <v>400</v>
      </c>
      <c r="BH45" s="38" t="n">
        <v>400</v>
      </c>
      <c r="BI45" s="38" t="n">
        <v>400</v>
      </c>
      <c r="BJ45" s="38" t="n">
        <v>400</v>
      </c>
      <c r="BK45" s="38" t="n">
        <v>400</v>
      </c>
      <c r="BL45" s="38" t="n">
        <v>400</v>
      </c>
      <c r="BM45" s="38" t="n">
        <v>400</v>
      </c>
      <c r="BN45" s="38">
        <f>400-200</f>
        <v/>
      </c>
      <c r="BO45" s="38" t="n">
        <v>200</v>
      </c>
      <c r="BP45" s="38" t="n">
        <v>200</v>
      </c>
      <c r="BQ45" s="38" t="n">
        <v>200</v>
      </c>
      <c r="BR45" s="38" t="n">
        <v>200</v>
      </c>
      <c r="BS45" s="38" t="n">
        <v>200</v>
      </c>
      <c r="BT45" s="38" t="n">
        <v>200</v>
      </c>
      <c r="BU45" s="38" t="n">
        <v>200</v>
      </c>
      <c r="BV45" s="38" t="n">
        <v>0</v>
      </c>
      <c r="BW45" s="38" t="n">
        <v>0</v>
      </c>
      <c r="BX45" s="38" t="n">
        <v>0</v>
      </c>
      <c r="BY45" s="38">
        <f>0+CJ45</f>
        <v/>
      </c>
      <c r="BZ45" s="38" t="n"/>
      <c r="CA45" s="38" t="n"/>
      <c r="CB45" s="38" t="n"/>
      <c r="CC45" s="9" t="n"/>
      <c r="CD45" s="9" t="n"/>
      <c r="CE45" s="9" t="n"/>
      <c r="CF45" s="154">
        <f>CD45+IF(NOT(ISBLANK(OFFSET(CF45,0,6))),N(OFFSET(CF45,0,6)),N(OFFSET(CF45,0,7)))-CE45</f>
        <v/>
      </c>
      <c r="CH45" s="128" t="n"/>
      <c r="CI45" s="127" t="n"/>
      <c r="CJ45" s="128" t="n"/>
      <c r="CK45" s="27" t="n"/>
      <c r="CL45" s="691" t="n">
        <v>0</v>
      </c>
      <c r="CM45" s="18" t="n">
        <v>200</v>
      </c>
      <c r="CN45" s="18" t="n"/>
      <c r="CO45" s="18" t="n"/>
      <c r="CP45" s="18" t="n"/>
      <c r="CQ45" s="18" t="n"/>
      <c r="CR45" s="18" t="n"/>
      <c r="CS45" s="18" t="n"/>
      <c r="CT45" s="18" t="n"/>
      <c r="CU45" s="154" t="inlineStr">
        <is>
          <t>200 P/ ER PG</t>
        </is>
      </c>
      <c r="CV45" s="18" t="n"/>
      <c r="CW45" s="18" t="n"/>
      <c r="CX45" s="18" t="n"/>
      <c r="CY45" s="18" t="n"/>
      <c r="CZ45" s="18" t="n"/>
      <c r="DA45" s="18" t="n"/>
      <c r="DB45" s="18" t="n"/>
      <c r="DC45" s="18" t="n"/>
      <c r="DD45" s="18" t="n"/>
      <c r="DE45" s="18" t="n"/>
      <c r="DF45" s="18" t="n"/>
      <c r="DG45" s="18" t="n"/>
      <c r="DH45" s="18" t="n"/>
      <c r="DI45" s="18" t="n"/>
      <c r="DJ45" s="18" t="n"/>
      <c r="DK45" s="18" t="n"/>
      <c r="DL45" s="18" t="n"/>
      <c r="DM45" s="18" t="n"/>
      <c r="DN45" s="18" t="n"/>
      <c r="DO45" s="18" t="n"/>
      <c r="DP45" s="18" t="n"/>
      <c r="DQ45" s="18" t="n"/>
      <c r="DR45" s="18" t="n"/>
      <c r="DS45" s="18" t="n"/>
      <c r="DT45" s="18" t="n"/>
      <c r="DU45" s="18" t="n"/>
    </row>
    <row r="46" ht="18.75" customHeight="1">
      <c r="A46" s="6" t="n"/>
      <c r="CH46" s="69" t="n"/>
      <c r="CI46" s="69" t="n"/>
      <c r="CJ46" s="69" t="n"/>
      <c r="DS46" s="56" t="n"/>
      <c r="DV46" s="654" t="n">
        <v>45915</v>
      </c>
      <c r="DW46" s="654" t="n">
        <v>45909</v>
      </c>
      <c r="DX46" s="654" t="n">
        <v>45903</v>
      </c>
      <c r="DY46" s="654" t="n">
        <v>45903</v>
      </c>
      <c r="DZ46" s="654" t="n">
        <v>45895</v>
      </c>
      <c r="EA46" s="654" t="n">
        <v>45881</v>
      </c>
      <c r="EB46" s="679" t="n">
        <v>45896</v>
      </c>
      <c r="EC46" s="654" t="n">
        <v>45888</v>
      </c>
      <c r="ED46" s="679" t="n">
        <v>45839</v>
      </c>
      <c r="EE46" s="654" t="n">
        <v>45874</v>
      </c>
      <c r="EF46" s="654" t="n">
        <v>45867</v>
      </c>
      <c r="EG46" s="655" t="n">
        <v>45882</v>
      </c>
      <c r="EH46" s="655" t="n">
        <v>45881</v>
      </c>
      <c r="EI46" s="654" t="n">
        <v>45874</v>
      </c>
      <c r="EJ46" s="654" t="n">
        <v>45867</v>
      </c>
      <c r="EK46" s="654" t="n">
        <v>45860</v>
      </c>
      <c r="EL46" s="655" t="n">
        <v>45863</v>
      </c>
      <c r="EM46" s="655" t="n">
        <v>45860</v>
      </c>
      <c r="EN46" s="654" t="n">
        <v>45860</v>
      </c>
      <c r="EO46" s="654" t="n">
        <v>45853</v>
      </c>
      <c r="EP46" s="681" t="n">
        <v>45855</v>
      </c>
      <c r="EQ46" s="654" t="n">
        <v>45848</v>
      </c>
      <c r="ER46" s="654" t="n">
        <v>45839</v>
      </c>
      <c r="ES46" s="654" t="n">
        <v>45832</v>
      </c>
      <c r="ET46" s="650" t="n">
        <v>45842</v>
      </c>
      <c r="EU46" s="654" t="n">
        <v>45832</v>
      </c>
      <c r="EV46" s="654" t="n">
        <v>45825</v>
      </c>
      <c r="EW46" s="655" t="n">
        <v>45826</v>
      </c>
      <c r="EX46" s="655" t="n">
        <v>45825</v>
      </c>
      <c r="EY46" s="654" t="n">
        <v>45819</v>
      </c>
      <c r="EZ46" s="654" t="n">
        <v>45813</v>
      </c>
      <c r="FA46" s="655" t="n">
        <v>45820</v>
      </c>
      <c r="FB46" s="655" t="n">
        <v>45818</v>
      </c>
      <c r="FC46" s="654" t="n">
        <v>45805</v>
      </c>
      <c r="FD46" s="655" t="n">
        <v>45807</v>
      </c>
      <c r="FE46" s="654" t="n">
        <v>45790</v>
      </c>
      <c r="FF46" s="655" t="n">
        <v>45799</v>
      </c>
      <c r="FG46" s="690" t="n">
        <v>45799</v>
      </c>
      <c r="FH46" s="650" t="n">
        <v>45798</v>
      </c>
      <c r="FI46" s="655" t="n">
        <v>45798</v>
      </c>
      <c r="FJ46" s="655" t="n">
        <v>45797</v>
      </c>
      <c r="FK46" s="654" t="n">
        <v>45790</v>
      </c>
      <c r="FL46" s="654" t="n">
        <v>45783</v>
      </c>
      <c r="FM46" s="654" t="n">
        <v>45775</v>
      </c>
      <c r="FN46" s="654" t="n">
        <v>45756</v>
      </c>
      <c r="FO46" s="654" t="n">
        <v>45770</v>
      </c>
      <c r="FP46" s="654" t="n">
        <v>45756</v>
      </c>
      <c r="FQ46" s="654" t="n">
        <v>45749</v>
      </c>
      <c r="FR46" s="654" t="n">
        <v>45736</v>
      </c>
      <c r="FS46" s="654" t="n">
        <v>45743</v>
      </c>
      <c r="FT46" s="654" t="n">
        <v>45735</v>
      </c>
      <c r="FU46" s="654" t="n">
        <v>45728</v>
      </c>
      <c r="FV46" s="654" t="n">
        <v>45722</v>
      </c>
      <c r="FW46" s="654" t="n">
        <v>45714</v>
      </c>
      <c r="FX46" s="650" t="n">
        <v>45700</v>
      </c>
      <c r="FY46" s="654" t="n">
        <v>45706</v>
      </c>
      <c r="FZ46" s="654" t="n">
        <v>45700</v>
      </c>
      <c r="GA46" s="654" t="n">
        <v>45684</v>
      </c>
      <c r="GB46" s="654" t="n">
        <v>45699</v>
      </c>
      <c r="GC46" s="654" t="n">
        <v>45699</v>
      </c>
      <c r="GD46" s="655" t="n">
        <v>45706</v>
      </c>
      <c r="GE46" s="654" t="n">
        <v>45693</v>
      </c>
      <c r="GF46" s="654" t="n">
        <v>45693</v>
      </c>
      <c r="GG46" s="654" t="n">
        <v>45685</v>
      </c>
      <c r="GH46" s="712" t="n">
        <v>45692</v>
      </c>
      <c r="GI46" s="655" t="n">
        <v>45691</v>
      </c>
      <c r="GJ46" s="655" t="n">
        <v>45681</v>
      </c>
      <c r="GK46" s="654" t="n">
        <v>45674</v>
      </c>
      <c r="GL46" s="655" t="n">
        <v>45672</v>
      </c>
      <c r="GM46" s="654" t="n">
        <v>45664</v>
      </c>
      <c r="GN46" s="654" t="n">
        <v>46008</v>
      </c>
      <c r="GO46" s="654" t="n">
        <v>45660</v>
      </c>
      <c r="GP46" s="654" t="n">
        <v>45652</v>
      </c>
      <c r="GQ46" s="654" t="n">
        <v>45638</v>
      </c>
      <c r="GR46" s="654" t="n">
        <v>45643</v>
      </c>
    </row>
    <row r="47" ht="18.75" customHeight="1">
      <c r="A47" s="586" t="inlineStr">
        <is>
          <t>CAIXAS OUI</t>
        </is>
      </c>
      <c r="B47" s="133" t="inlineStr">
        <is>
          <t>MÓD</t>
        </is>
      </c>
      <c r="C47" s="133" t="n"/>
      <c r="D47" s="133" t="n"/>
      <c r="F47" s="650" t="n">
        <v>45656</v>
      </c>
      <c r="G47" s="650" t="n">
        <v>45663</v>
      </c>
      <c r="H47" s="650" t="n">
        <v>45670</v>
      </c>
      <c r="I47" s="650" t="n">
        <v>45677</v>
      </c>
      <c r="J47" s="650" t="n">
        <v>45684</v>
      </c>
      <c r="K47" s="650" t="n">
        <v>45691</v>
      </c>
      <c r="L47" s="650" t="n">
        <v>45698</v>
      </c>
      <c r="M47" s="650" t="n">
        <v>45705</v>
      </c>
      <c r="N47" s="650" t="n">
        <v>45712</v>
      </c>
      <c r="O47" s="650" t="n">
        <v>45719</v>
      </c>
      <c r="P47" s="650" t="n">
        <v>45726</v>
      </c>
      <c r="Q47" s="650" t="n">
        <v>45733</v>
      </c>
      <c r="R47" s="650" t="n">
        <v>45740</v>
      </c>
      <c r="S47" s="650" t="n">
        <v>45747</v>
      </c>
      <c r="T47" s="650" t="n">
        <v>45754</v>
      </c>
      <c r="U47" s="650" t="n">
        <v>45761</v>
      </c>
      <c r="V47" s="650" t="n">
        <v>45768</v>
      </c>
      <c r="W47" s="650" t="n">
        <v>45775</v>
      </c>
      <c r="X47" s="650" t="n">
        <v>45782</v>
      </c>
      <c r="Y47" s="650" t="n">
        <v>45789</v>
      </c>
      <c r="Z47" s="650" t="n">
        <v>45796</v>
      </c>
      <c r="AA47" s="650" t="n">
        <v>45803</v>
      </c>
      <c r="AB47" s="650" t="n">
        <v>45810</v>
      </c>
      <c r="AC47" s="650" t="n">
        <v>45817</v>
      </c>
      <c r="AD47" s="650" t="n">
        <v>45824</v>
      </c>
      <c r="AE47" s="650" t="n">
        <v>45831</v>
      </c>
      <c r="AF47" s="650" t="n">
        <v>45838</v>
      </c>
      <c r="AG47" s="650" t="n">
        <v>45845</v>
      </c>
      <c r="AH47" s="650" t="n">
        <v>45852</v>
      </c>
      <c r="AI47" s="650" t="n">
        <v>45859</v>
      </c>
      <c r="AJ47" s="650" t="n">
        <v>45866</v>
      </c>
      <c r="AK47" s="650" t="n">
        <v>45873</v>
      </c>
      <c r="AL47" s="650" t="n">
        <v>45880</v>
      </c>
      <c r="AM47" s="650" t="n">
        <v>45887</v>
      </c>
      <c r="AN47" s="650" t="n">
        <v>45894</v>
      </c>
      <c r="AO47" s="650" t="n">
        <v>45901</v>
      </c>
      <c r="AP47" s="650" t="n">
        <v>45908</v>
      </c>
      <c r="AQ47" s="650" t="n">
        <v>45915</v>
      </c>
      <c r="AR47" s="650" t="n">
        <v>45922</v>
      </c>
      <c r="AS47" s="650" t="n">
        <v>45929</v>
      </c>
      <c r="AT47" s="650" t="n">
        <v>45936</v>
      </c>
      <c r="AU47" s="650" t="n">
        <v>45943</v>
      </c>
      <c r="AV47" s="650" t="n">
        <v>45950</v>
      </c>
      <c r="AW47" s="650" t="n">
        <v>45957</v>
      </c>
      <c r="AX47" s="650" t="n">
        <v>45964</v>
      </c>
      <c r="AY47" s="650" t="n">
        <v>45971</v>
      </c>
      <c r="AZ47" s="650" t="n">
        <v>45978</v>
      </c>
      <c r="BA47" s="650" t="n">
        <v>45985</v>
      </c>
      <c r="BB47" s="650" t="n">
        <v>45992</v>
      </c>
      <c r="BC47" s="650" t="n">
        <v>45999</v>
      </c>
      <c r="BD47" s="650" t="n">
        <v>46006</v>
      </c>
      <c r="BE47" s="650" t="n">
        <v>46013</v>
      </c>
      <c r="BF47" s="650" t="n">
        <v>46020</v>
      </c>
      <c r="BG47" s="650" t="n">
        <v>46027</v>
      </c>
      <c r="BH47" s="650" t="n">
        <v>46034</v>
      </c>
      <c r="BI47" s="650" t="n">
        <v>46041</v>
      </c>
      <c r="BJ47" s="650" t="n">
        <v>46048</v>
      </c>
      <c r="BK47" s="650" t="n">
        <v>46055</v>
      </c>
      <c r="BL47" s="650" t="n">
        <v>46062</v>
      </c>
      <c r="BM47" s="650" t="n">
        <v>46069</v>
      </c>
      <c r="BN47" s="650" t="n">
        <v>46076</v>
      </c>
      <c r="BO47" s="650" t="n">
        <v>46083</v>
      </c>
      <c r="BP47" s="650" t="n">
        <v>46090</v>
      </c>
      <c r="BQ47" s="650" t="n">
        <v>46097</v>
      </c>
      <c r="BR47" s="650" t="n">
        <v>46104</v>
      </c>
      <c r="BS47" s="650" t="n">
        <v>46111</v>
      </c>
      <c r="BT47" s="650" t="n">
        <v>46118</v>
      </c>
      <c r="BU47" s="650" t="n">
        <v>46125</v>
      </c>
      <c r="BV47" s="650" t="n">
        <v>46132</v>
      </c>
      <c r="BW47" s="650" t="n">
        <v>46139</v>
      </c>
      <c r="BX47" s="650" t="n">
        <v>46146</v>
      </c>
      <c r="BY47" s="650" t="n">
        <v>46154</v>
      </c>
      <c r="BZ47" s="650" t="n">
        <v>46160</v>
      </c>
      <c r="CA47" s="650" t="n">
        <v>46160</v>
      </c>
      <c r="CB47" s="650" t="n">
        <v>46160</v>
      </c>
      <c r="CC47" s="651" t="n">
        <v>46161.48003686342</v>
      </c>
      <c r="CD47" s="651" t="n">
        <v>46161.48071633102</v>
      </c>
      <c r="CE47" s="651" t="n">
        <v>46161.48287467233</v>
      </c>
      <c r="CF47" s="652" t="inlineStr">
        <is>
          <t>USOU</t>
        </is>
      </c>
      <c r="CH47" s="35" t="inlineStr">
        <is>
          <t>Pend.</t>
        </is>
      </c>
      <c r="CI47" s="413" t="inlineStr">
        <is>
          <t>TRANSFERÊNCIA</t>
        </is>
      </c>
      <c r="CJ47" s="35" t="inlineStr">
        <is>
          <t>Pend.</t>
        </is>
      </c>
      <c r="CK47" s="12" t="inlineStr">
        <is>
          <t>Novo Pedido</t>
        </is>
      </c>
      <c r="CL47" s="708" t="n">
        <v>46161.48287347989</v>
      </c>
      <c r="CM47" s="654" t="n">
        <v>46149</v>
      </c>
      <c r="CN47" s="654" t="n">
        <v>46114</v>
      </c>
      <c r="CO47" s="654" t="n">
        <v>46099</v>
      </c>
      <c r="CP47" s="710" t="n">
        <v>46065</v>
      </c>
      <c r="CQ47" s="711" t="n">
        <v>46045</v>
      </c>
      <c r="CR47" s="654" t="n">
        <v>46076</v>
      </c>
      <c r="CS47" s="655" t="n">
        <v>46084</v>
      </c>
      <c r="CT47" s="654" t="n">
        <v>46077</v>
      </c>
      <c r="CU47" s="655" t="n">
        <v>46077</v>
      </c>
      <c r="CV47" s="654" t="n">
        <v>46071</v>
      </c>
      <c r="CW47" s="654" t="n">
        <v>46071</v>
      </c>
      <c r="CX47" s="654" t="n">
        <v>46056</v>
      </c>
      <c r="CY47" s="654" t="n">
        <v>46043</v>
      </c>
      <c r="CZ47" s="654" t="n">
        <v>46035</v>
      </c>
      <c r="DA47" s="654" t="n">
        <v>46029</v>
      </c>
      <c r="DB47" s="654" t="n">
        <v>46017</v>
      </c>
      <c r="DC47" s="654" t="n">
        <v>46001</v>
      </c>
      <c r="DD47" s="654" t="n">
        <v>46007</v>
      </c>
      <c r="DE47" s="654" t="n">
        <v>45994</v>
      </c>
      <c r="DF47" s="654" t="n">
        <v>45986</v>
      </c>
      <c r="DG47" s="654" t="n">
        <v>45986</v>
      </c>
      <c r="DH47" s="654" t="n">
        <v>45980</v>
      </c>
      <c r="DI47" s="654" t="n">
        <v>45980</v>
      </c>
      <c r="DJ47" s="654" t="n">
        <v>45973</v>
      </c>
      <c r="DK47" s="654" t="n">
        <v>45965</v>
      </c>
      <c r="DL47" s="654" t="n">
        <v>45960</v>
      </c>
      <c r="DM47" s="655" t="n">
        <v>45967</v>
      </c>
      <c r="DN47" s="654" t="n">
        <v>45937</v>
      </c>
      <c r="DO47" s="654" t="n">
        <v>45951</v>
      </c>
      <c r="DP47" s="654" t="n">
        <v>45931</v>
      </c>
      <c r="DQ47" s="654" t="n">
        <v>45923</v>
      </c>
      <c r="DR47" s="654" t="n">
        <v>45923</v>
      </c>
      <c r="DS47" s="678" t="n">
        <v>45903</v>
      </c>
      <c r="DT47" s="655" t="n">
        <v>45931</v>
      </c>
      <c r="DU47" s="688" t="n">
        <v>45931</v>
      </c>
      <c r="DV47" s="18" t="n"/>
      <c r="DW47" s="18" t="n"/>
      <c r="DX47" s="18" t="n"/>
      <c r="DY47" s="18" t="n"/>
      <c r="DZ47" s="18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18" t="n"/>
      <c r="ET47" s="256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18" t="n"/>
      <c r="FE47" s="18" t="n"/>
      <c r="FF47" s="18" t="n"/>
      <c r="FG47" s="18" t="n"/>
      <c r="FH47" s="256" t="n"/>
      <c r="FI47" s="18" t="n"/>
      <c r="FJ47" s="18" t="n"/>
      <c r="FK47" s="18" t="n"/>
      <c r="FL47" s="18" t="n"/>
      <c r="FM47" s="18" t="n"/>
      <c r="FN47" s="18" t="n"/>
      <c r="FO47" s="18" t="n"/>
      <c r="FP47" s="18" t="n"/>
      <c r="FQ47" s="18" t="n"/>
      <c r="FR47" s="18" t="n"/>
      <c r="FS47" s="18" t="n"/>
      <c r="FT47" s="18" t="n"/>
      <c r="FU47" s="18" t="n"/>
      <c r="FV47" s="18" t="n"/>
      <c r="FW47" s="18" t="n"/>
      <c r="FX47" s="256" t="n"/>
      <c r="FY47" s="18" t="n"/>
      <c r="FZ47" s="18" t="n"/>
      <c r="GA47" s="18" t="n"/>
      <c r="GB47" s="18" t="n"/>
      <c r="GC47" s="18" t="n"/>
      <c r="GD47" s="18" t="n"/>
      <c r="GE47" s="18" t="n"/>
      <c r="GF47" s="18" t="n"/>
      <c r="GG47" s="18" t="n"/>
      <c r="GH47" s="18" t="n"/>
      <c r="GI47" s="18" t="n"/>
      <c r="GJ47" s="18" t="n"/>
      <c r="GK47" s="18" t="n"/>
      <c r="GL47" s="18" t="n"/>
      <c r="GM47" s="18" t="n"/>
      <c r="GN47" s="18" t="n"/>
      <c r="GO47" s="18" t="n"/>
      <c r="GP47" s="18" t="n"/>
      <c r="GQ47" s="18" t="n"/>
      <c r="GR47" s="18" t="n"/>
    </row>
    <row r="48" ht="18.75" customHeight="1">
      <c r="A48" s="43" t="inlineStr">
        <is>
          <t>KIT CAIXA P OUI</t>
        </is>
      </c>
      <c r="B48" s="36" t="n">
        <v>100</v>
      </c>
      <c r="C48" s="668" t="n">
        <v>539.7</v>
      </c>
      <c r="D48" s="329" t="n">
        <v>15</v>
      </c>
      <c r="F48" s="38" t="n">
        <v>39</v>
      </c>
      <c r="G48" s="38" t="n">
        <v>39</v>
      </c>
      <c r="H48" s="38" t="n">
        <v>39</v>
      </c>
      <c r="I48" s="38" t="n">
        <v>39</v>
      </c>
      <c r="J48" s="38" t="n">
        <v>27</v>
      </c>
      <c r="K48" s="38" t="n">
        <v>27</v>
      </c>
      <c r="L48" s="38" t="n">
        <v>26</v>
      </c>
      <c r="M48" s="38" t="n">
        <v>26</v>
      </c>
      <c r="N48" s="38" t="n">
        <v>26</v>
      </c>
      <c r="O48" s="38" t="n">
        <v>26</v>
      </c>
      <c r="P48" s="38" t="n">
        <v>25</v>
      </c>
      <c r="Q48" s="38" t="n">
        <v>25</v>
      </c>
      <c r="R48" s="38" t="n">
        <v>25</v>
      </c>
      <c r="S48" s="38" t="n">
        <v>25</v>
      </c>
      <c r="T48" s="38" t="n">
        <v>25</v>
      </c>
      <c r="U48" s="38" t="n">
        <v>25</v>
      </c>
      <c r="V48" s="38" t="n">
        <v>25</v>
      </c>
      <c r="W48" s="38" t="n">
        <v>25</v>
      </c>
      <c r="X48" s="38" t="n">
        <v>25</v>
      </c>
      <c r="Y48" s="38" t="n">
        <v>23</v>
      </c>
      <c r="Z48" s="38" t="n">
        <v>22</v>
      </c>
      <c r="AA48" s="38" t="n">
        <v>22</v>
      </c>
      <c r="AB48" s="38" t="n">
        <v>20</v>
      </c>
      <c r="AC48" s="38" t="n">
        <v>20</v>
      </c>
      <c r="AD48" s="38" t="n">
        <v>20</v>
      </c>
      <c r="AE48" s="38" t="n">
        <v>20</v>
      </c>
      <c r="AF48" s="38" t="n">
        <v>19</v>
      </c>
      <c r="AG48" s="38" t="n">
        <v>19</v>
      </c>
      <c r="AH48" s="38" t="n">
        <v>19</v>
      </c>
      <c r="AI48" s="38" t="n">
        <v>19</v>
      </c>
      <c r="AJ48" s="38" t="n">
        <v>19</v>
      </c>
      <c r="AK48" s="38" t="n">
        <v>18</v>
      </c>
      <c r="AL48" s="38" t="n">
        <v>18</v>
      </c>
      <c r="AM48" s="38" t="n">
        <v>18</v>
      </c>
      <c r="AN48" s="38" t="n">
        <v>18</v>
      </c>
      <c r="AO48" s="38" t="n">
        <v>18</v>
      </c>
      <c r="AP48" s="38" t="n">
        <v>18</v>
      </c>
      <c r="AQ48" s="38" t="n">
        <v>18</v>
      </c>
      <c r="AR48" s="38" t="n">
        <v>18</v>
      </c>
      <c r="AS48" s="38" t="n">
        <v>18</v>
      </c>
      <c r="AT48" s="38" t="n">
        <v>18</v>
      </c>
      <c r="AU48" s="38" t="n">
        <v>18</v>
      </c>
      <c r="AV48" s="38" t="n">
        <v>17</v>
      </c>
      <c r="AW48" s="38" t="n">
        <v>17</v>
      </c>
      <c r="AX48" s="38" t="n">
        <v>17</v>
      </c>
      <c r="AY48" s="38" t="n">
        <v>17</v>
      </c>
      <c r="AZ48" s="38" t="n">
        <v>17</v>
      </c>
      <c r="BA48" s="38" t="n">
        <v>17</v>
      </c>
      <c r="BB48" s="38" t="n">
        <v>17</v>
      </c>
      <c r="BC48" s="38" t="n">
        <v>16</v>
      </c>
      <c r="BD48" s="38" t="n">
        <v>16</v>
      </c>
      <c r="BE48" s="38" t="n">
        <v>16</v>
      </c>
      <c r="BF48" s="38" t="n">
        <v>15</v>
      </c>
      <c r="BG48" s="38" t="n">
        <v>15</v>
      </c>
      <c r="BH48" s="38" t="n">
        <v>15</v>
      </c>
      <c r="BI48" s="38" t="n">
        <v>14</v>
      </c>
      <c r="BJ48" s="38" t="n">
        <v>14</v>
      </c>
      <c r="BK48" s="38" t="n">
        <v>14</v>
      </c>
      <c r="BL48" s="261" t="n">
        <v>21</v>
      </c>
      <c r="BM48" s="38" t="n">
        <v>21</v>
      </c>
      <c r="BN48" s="38" t="n">
        <v>21</v>
      </c>
      <c r="BO48" s="38" t="n">
        <v>21</v>
      </c>
      <c r="BP48" s="38" t="n">
        <v>20</v>
      </c>
      <c r="BQ48" s="38" t="n">
        <v>20</v>
      </c>
      <c r="BR48" s="38" t="n">
        <v>19</v>
      </c>
      <c r="BS48" s="38" t="n">
        <v>19</v>
      </c>
      <c r="BT48" s="38" t="n"/>
      <c r="BU48" s="38" t="n"/>
      <c r="BV48" s="38" t="n"/>
      <c r="BW48" s="38" t="n">
        <v>18</v>
      </c>
      <c r="BX48" s="38" t="n">
        <v>18</v>
      </c>
      <c r="BY48" s="38" t="n">
        <v>19</v>
      </c>
      <c r="BZ48" s="38" t="n">
        <v>19</v>
      </c>
      <c r="CA48" s="38" t="n">
        <v>19</v>
      </c>
      <c r="CB48" s="38" t="n">
        <v>19</v>
      </c>
      <c r="CC48" s="9" t="n">
        <v>19</v>
      </c>
      <c r="CD48" s="9" t="n">
        <v>19</v>
      </c>
      <c r="CE48" s="9" t="n">
        <v>19</v>
      </c>
      <c r="CF48" s="154">
        <f>CD48+IF(NOT(ISBLANK(OFFSET(CF48,0,6))),N(OFFSET(CF48,0,6)),N(OFFSET(CF48,0,7)))-CE48</f>
        <v/>
      </c>
      <c r="CH48" s="68" t="n"/>
      <c r="CI48" s="127" t="n"/>
      <c r="CJ48" s="68" t="n"/>
      <c r="CK48" s="27" t="n"/>
      <c r="CL48" s="691" t="n">
        <v>0</v>
      </c>
      <c r="CM48" s="18" t="n">
        <v>0</v>
      </c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18" t="n"/>
      <c r="ET48" s="256" t="n"/>
      <c r="EU48" s="18" t="n"/>
      <c r="EV48" s="18" t="n"/>
      <c r="EW48" s="260" t="n"/>
      <c r="EX48" s="260" t="n"/>
      <c r="EY48" s="18" t="n"/>
      <c r="EZ48" s="18" t="n"/>
      <c r="FA48" s="260" t="n"/>
      <c r="FB48" s="260" t="n"/>
      <c r="FC48" s="18" t="n"/>
      <c r="FD48" s="260" t="n"/>
      <c r="FE48" s="18" t="n"/>
      <c r="FF48" s="260" t="n"/>
      <c r="FG48" s="260" t="n"/>
      <c r="FH48" s="256" t="n"/>
      <c r="FI48" s="260" t="n"/>
      <c r="FJ48" s="260" t="n"/>
      <c r="FK48" s="18" t="n"/>
      <c r="FL48" s="18" t="n"/>
      <c r="FM48" s="18" t="n"/>
      <c r="FN48" s="18" t="n"/>
      <c r="FO48" s="18" t="n">
        <v>100</v>
      </c>
      <c r="FP48" s="18" t="n"/>
      <c r="FQ48" s="18" t="n"/>
      <c r="FR48" s="18" t="n"/>
      <c r="FS48" s="18" t="n"/>
      <c r="FT48" s="18" t="n"/>
      <c r="FU48" s="18" t="n"/>
      <c r="FV48" s="18" t="n"/>
      <c r="FW48" s="18" t="n"/>
      <c r="FX48" s="256" t="n"/>
      <c r="FY48" s="18" t="n"/>
      <c r="FZ48" s="18" t="n"/>
      <c r="GA48" s="18" t="n"/>
      <c r="GB48" s="18" t="n"/>
      <c r="GC48" s="18" t="n"/>
      <c r="GD48" s="260" t="n"/>
      <c r="GE48" s="18" t="n"/>
      <c r="GF48" s="18" t="n"/>
      <c r="GG48" s="18" t="n"/>
      <c r="GH48" s="260" t="n"/>
      <c r="GI48" s="260" t="n"/>
      <c r="GJ48" s="260" t="n"/>
      <c r="GK48" s="18" t="n"/>
      <c r="GL48" s="239" t="inlineStr">
        <is>
          <t>10 P/ ER PBE</t>
        </is>
      </c>
      <c r="GM48" s="18" t="n"/>
      <c r="GN48" s="18" t="n"/>
      <c r="GO48" s="18" t="n"/>
      <c r="GP48" s="18" t="n">
        <v>100</v>
      </c>
      <c r="GQ48" s="18" t="n"/>
      <c r="GR48" s="18" t="n"/>
    </row>
    <row r="49" ht="18.75" customHeight="1">
      <c r="A49" s="43" t="inlineStr">
        <is>
          <t>KIT CAIXA M OUI</t>
        </is>
      </c>
      <c r="B49" s="36" t="n">
        <v>100</v>
      </c>
      <c r="C49" s="668" t="n">
        <v>652.05</v>
      </c>
      <c r="D49" s="329" t="n">
        <v>30</v>
      </c>
      <c r="F49" s="38" t="n">
        <v>0</v>
      </c>
      <c r="G49" s="38">
        <f>100-10</f>
        <v/>
      </c>
      <c r="H49" s="38" t="n">
        <v>76</v>
      </c>
      <c r="I49" s="38" t="n">
        <v>76</v>
      </c>
      <c r="J49" s="38" t="n">
        <v>76</v>
      </c>
      <c r="K49" s="38" t="n">
        <v>76</v>
      </c>
      <c r="L49" s="261" t="n">
        <v>86</v>
      </c>
      <c r="M49" s="38" t="n">
        <v>86</v>
      </c>
      <c r="N49" s="38" t="n">
        <v>86</v>
      </c>
      <c r="O49" s="38" t="n">
        <v>86</v>
      </c>
      <c r="P49" s="38" t="n">
        <v>85</v>
      </c>
      <c r="Q49" s="38" t="n">
        <v>83</v>
      </c>
      <c r="R49" s="38" t="n">
        <v>82</v>
      </c>
      <c r="S49" s="38" t="n">
        <v>79</v>
      </c>
      <c r="T49" s="38" t="n">
        <v>75</v>
      </c>
      <c r="U49" s="38" t="n">
        <v>61</v>
      </c>
      <c r="V49" s="38" t="n">
        <v>43</v>
      </c>
      <c r="W49" s="38" t="n">
        <v>35</v>
      </c>
      <c r="X49" s="38" t="n">
        <v>129</v>
      </c>
      <c r="Y49" s="38" t="n">
        <v>115</v>
      </c>
      <c r="Z49" s="38" t="n">
        <v>108</v>
      </c>
      <c r="AA49" s="38" t="n">
        <v>107</v>
      </c>
      <c r="AB49" s="38" t="n">
        <v>99</v>
      </c>
      <c r="AC49" s="38" t="n">
        <v>98</v>
      </c>
      <c r="AD49" s="38" t="n">
        <v>97</v>
      </c>
      <c r="AE49" s="38" t="n">
        <v>97</v>
      </c>
      <c r="AF49" s="38" t="n">
        <v>96</v>
      </c>
      <c r="AG49" s="38" t="n">
        <v>96</v>
      </c>
      <c r="AH49" s="38" t="n">
        <v>94</v>
      </c>
      <c r="AI49" s="38" t="n">
        <v>92</v>
      </c>
      <c r="AJ49" s="38" t="n">
        <v>92</v>
      </c>
      <c r="AK49" s="38" t="n">
        <v>91</v>
      </c>
      <c r="AL49" s="38" t="n">
        <v>87</v>
      </c>
      <c r="AM49" s="38" t="n">
        <v>86</v>
      </c>
      <c r="AN49" s="38" t="n">
        <v>86</v>
      </c>
      <c r="AO49" s="38" t="n">
        <v>86</v>
      </c>
      <c r="AP49" s="38" t="n">
        <v>86</v>
      </c>
      <c r="AQ49" s="38" t="n">
        <v>85</v>
      </c>
      <c r="AR49" s="38" t="n">
        <v>83</v>
      </c>
      <c r="AS49" s="38" t="n">
        <v>80</v>
      </c>
      <c r="AT49" s="38" t="n">
        <v>72</v>
      </c>
      <c r="AU49" s="38" t="n">
        <v>67</v>
      </c>
      <c r="AV49" s="38" t="n">
        <v>64</v>
      </c>
      <c r="AW49" s="38" t="n">
        <v>60</v>
      </c>
      <c r="AX49" s="38" t="n">
        <v>58</v>
      </c>
      <c r="AY49" s="38" t="n">
        <v>51</v>
      </c>
      <c r="AZ49" s="38" t="n">
        <v>48</v>
      </c>
      <c r="BA49" s="38" t="n">
        <v>45</v>
      </c>
      <c r="BB49" s="38" t="n">
        <v>40</v>
      </c>
      <c r="BC49" s="38" t="n">
        <v>36</v>
      </c>
      <c r="BD49" s="38" t="n">
        <v>32</v>
      </c>
      <c r="BE49" s="38" t="n">
        <v>28</v>
      </c>
      <c r="BF49" s="38" t="n">
        <v>22</v>
      </c>
      <c r="BG49" s="38" t="n">
        <v>22</v>
      </c>
      <c r="BH49" s="38" t="n">
        <v>23</v>
      </c>
      <c r="BI49" s="38" t="n">
        <v>23</v>
      </c>
      <c r="BJ49" s="38" t="n">
        <v>23</v>
      </c>
      <c r="BK49" s="38" t="n">
        <v>22</v>
      </c>
      <c r="BL49" s="261" t="n">
        <v>26</v>
      </c>
      <c r="BM49" s="38" t="n">
        <v>26</v>
      </c>
      <c r="BN49" s="38" t="n">
        <v>26</v>
      </c>
      <c r="BO49" s="38" t="n">
        <v>25</v>
      </c>
      <c r="BP49" s="38" t="n">
        <v>25</v>
      </c>
      <c r="BQ49" s="38" t="n">
        <v>25</v>
      </c>
      <c r="BR49" s="38" t="n">
        <v>24</v>
      </c>
      <c r="BS49" s="38" t="n">
        <v>24</v>
      </c>
      <c r="BT49" s="38" t="n"/>
      <c r="BU49" s="38" t="n"/>
      <c r="BV49" s="38" t="n"/>
      <c r="BW49" s="38" t="n">
        <v>21</v>
      </c>
      <c r="BX49" s="38" t="n">
        <v>16</v>
      </c>
      <c r="BY49" s="38" t="n">
        <v>11</v>
      </c>
      <c r="BZ49" s="38" t="n">
        <v>9</v>
      </c>
      <c r="CA49" s="38" t="n">
        <v>9</v>
      </c>
      <c r="CB49" s="38" t="n">
        <v>9</v>
      </c>
      <c r="CC49" s="9" t="n">
        <v>9</v>
      </c>
      <c r="CD49" s="9" t="n">
        <v>9</v>
      </c>
      <c r="CE49" s="9" t="n">
        <v>9</v>
      </c>
      <c r="CF49" s="154">
        <f>CD49+IF(NOT(ISBLANK(OFFSET(CF49,0,6))),N(OFFSET(CF49,0,6)),N(OFFSET(CF49,0,7)))-CE49</f>
        <v/>
      </c>
      <c r="CG49" s="53" t="n"/>
      <c r="CH49" s="19" t="n"/>
      <c r="CI49" s="127" t="n"/>
      <c r="CJ49" s="19" t="n"/>
      <c r="CK49" s="27" t="n"/>
      <c r="CL49" s="691" t="n">
        <v>0</v>
      </c>
      <c r="CM49" s="18" t="n">
        <v>0</v>
      </c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18" t="n"/>
      <c r="ET49" s="256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18" t="n"/>
      <c r="FE49" s="18" t="n"/>
      <c r="FF49" s="18" t="n"/>
      <c r="FG49" s="18" t="n"/>
      <c r="FH49" s="256" t="n"/>
      <c r="FI49" s="18" t="n"/>
      <c r="FJ49" s="18" t="n"/>
      <c r="FK49" s="18" t="n"/>
      <c r="FL49" s="18" t="n"/>
      <c r="FM49" s="18" t="n"/>
      <c r="FN49" s="18" t="n"/>
      <c r="FO49" s="18" t="n"/>
      <c r="FP49" s="18" t="n"/>
      <c r="FQ49" s="18" t="n"/>
      <c r="FR49" s="18" t="n"/>
      <c r="FS49" s="18" t="n"/>
      <c r="FT49" s="18" t="n"/>
      <c r="FU49" s="18" t="n"/>
      <c r="FV49" s="18" t="n"/>
      <c r="FW49" s="18" t="n"/>
      <c r="FX49" s="256" t="n"/>
      <c r="FY49" s="18" t="n"/>
      <c r="FZ49" s="18" t="n"/>
      <c r="GA49" s="18" t="n"/>
      <c r="GB49" s="18" t="n"/>
      <c r="GC49" s="18" t="n"/>
      <c r="GD49" s="18" t="n"/>
      <c r="GE49" s="18" t="n"/>
      <c r="GF49" s="18" t="n"/>
      <c r="GG49" s="18" t="n"/>
      <c r="GH49" s="18" t="n"/>
      <c r="GI49" s="18" t="n"/>
      <c r="GJ49" s="18" t="n"/>
      <c r="GK49" s="18" t="n"/>
      <c r="GL49" s="18" t="n"/>
      <c r="GM49" s="18" t="n"/>
      <c r="GN49" s="18" t="n"/>
      <c r="GO49" s="18" t="n"/>
      <c r="GP49" s="18" t="n"/>
      <c r="GQ49" s="18" t="n"/>
      <c r="GR49" s="18" t="n"/>
    </row>
    <row r="50" ht="18.75" customHeight="1">
      <c r="A50" s="43" t="inlineStr">
        <is>
          <t>KIT CAIXA G OUI</t>
        </is>
      </c>
      <c r="B50" s="36" t="n">
        <v>50</v>
      </c>
      <c r="C50" s="668" t="n">
        <v>567.53</v>
      </c>
      <c r="D50" s="329" t="n">
        <v>5</v>
      </c>
      <c r="F50" s="38" t="n">
        <v>43</v>
      </c>
      <c r="G50" s="38" t="n">
        <v>43</v>
      </c>
      <c r="H50" s="38" t="n">
        <v>20</v>
      </c>
      <c r="I50" s="38" t="n">
        <v>20</v>
      </c>
      <c r="J50" s="38" t="n">
        <v>20</v>
      </c>
      <c r="K50" s="38" t="n">
        <v>20</v>
      </c>
      <c r="L50" s="261" t="n">
        <v>21</v>
      </c>
      <c r="M50" s="38" t="n">
        <v>21</v>
      </c>
      <c r="N50" s="38" t="n">
        <v>21</v>
      </c>
      <c r="O50" s="38" t="n">
        <v>21</v>
      </c>
      <c r="P50" s="38" t="n">
        <v>21</v>
      </c>
      <c r="Q50" s="38" t="n">
        <v>20</v>
      </c>
      <c r="R50" s="38" t="n">
        <v>20</v>
      </c>
      <c r="S50" s="38" t="n">
        <v>20</v>
      </c>
      <c r="T50" s="38" t="n">
        <v>20</v>
      </c>
      <c r="U50" s="38" t="n">
        <v>20</v>
      </c>
      <c r="V50" s="38" t="n">
        <v>20</v>
      </c>
      <c r="W50" s="38" t="n">
        <v>20</v>
      </c>
      <c r="X50" s="38" t="n">
        <v>20</v>
      </c>
      <c r="Y50" s="38" t="n">
        <v>19</v>
      </c>
      <c r="Z50" s="38" t="n">
        <v>18</v>
      </c>
      <c r="AA50" s="38" t="n">
        <v>18</v>
      </c>
      <c r="AB50" s="38" t="n">
        <v>18</v>
      </c>
      <c r="AC50" s="38" t="n">
        <v>18</v>
      </c>
      <c r="AD50" s="38" t="n">
        <v>18</v>
      </c>
      <c r="AE50" s="38" t="n">
        <v>18</v>
      </c>
      <c r="AF50" s="38" t="n">
        <v>18</v>
      </c>
      <c r="AG50" s="38" t="n">
        <v>18</v>
      </c>
      <c r="AH50" s="38" t="n">
        <v>18</v>
      </c>
      <c r="AI50" s="38" t="n">
        <v>18</v>
      </c>
      <c r="AJ50" s="38" t="n">
        <v>18</v>
      </c>
      <c r="AK50" s="38" t="n">
        <v>18</v>
      </c>
      <c r="AL50" s="38" t="n">
        <v>18</v>
      </c>
      <c r="AM50" s="38" t="n">
        <v>18</v>
      </c>
      <c r="AN50" s="38" t="n">
        <v>18</v>
      </c>
      <c r="AO50" s="38" t="n">
        <v>18</v>
      </c>
      <c r="AP50" s="38" t="n">
        <v>18</v>
      </c>
      <c r="AQ50" s="38" t="n">
        <v>18</v>
      </c>
      <c r="AR50" s="38" t="n">
        <v>18</v>
      </c>
      <c r="AS50" s="38" t="n">
        <v>18</v>
      </c>
      <c r="AT50" s="38" t="n">
        <v>18</v>
      </c>
      <c r="AU50" s="38" t="n">
        <v>18</v>
      </c>
      <c r="AV50" s="38" t="n">
        <v>18</v>
      </c>
      <c r="AW50" s="38" t="n">
        <v>18</v>
      </c>
      <c r="AX50" s="38" t="n">
        <v>18</v>
      </c>
      <c r="AY50" s="38" t="n">
        <v>18</v>
      </c>
      <c r="AZ50" s="38" t="n">
        <v>18</v>
      </c>
      <c r="BA50" s="38" t="n">
        <v>18</v>
      </c>
      <c r="BB50" s="38" t="n">
        <v>18</v>
      </c>
      <c r="BC50" s="38" t="n">
        <v>18</v>
      </c>
      <c r="BD50" s="38" t="n">
        <v>18</v>
      </c>
      <c r="BE50" s="38" t="n">
        <v>17</v>
      </c>
      <c r="BF50" s="38" t="n">
        <v>17</v>
      </c>
      <c r="BG50" s="38" t="n">
        <v>17</v>
      </c>
      <c r="BH50" s="38" t="n">
        <v>17</v>
      </c>
      <c r="BI50" s="38" t="n">
        <v>17</v>
      </c>
      <c r="BJ50" s="38" t="n">
        <v>17</v>
      </c>
      <c r="BK50" s="38" t="n">
        <v>17</v>
      </c>
      <c r="BL50" s="38" t="n">
        <v>16</v>
      </c>
      <c r="BM50" s="38" t="n">
        <v>16</v>
      </c>
      <c r="BN50" s="38" t="n">
        <v>16</v>
      </c>
      <c r="BO50" s="38" t="n">
        <v>16</v>
      </c>
      <c r="BP50" s="38" t="n">
        <v>16</v>
      </c>
      <c r="BQ50" s="38" t="n">
        <v>15</v>
      </c>
      <c r="BR50" s="38" t="n">
        <v>14</v>
      </c>
      <c r="BS50" s="38" t="n">
        <v>14</v>
      </c>
      <c r="BT50" s="38" t="n"/>
      <c r="BU50" s="38" t="n"/>
      <c r="BV50" s="38" t="n"/>
      <c r="BW50" s="38" t="n">
        <v>15</v>
      </c>
      <c r="BX50" s="38" t="n">
        <v>15</v>
      </c>
      <c r="BY50" s="38" t="n">
        <v>15</v>
      </c>
      <c r="BZ50" s="38" t="n">
        <v>15</v>
      </c>
      <c r="CA50" s="38" t="n">
        <v>15</v>
      </c>
      <c r="CB50" s="38" t="n">
        <v>15</v>
      </c>
      <c r="CC50" s="9" t="n">
        <v>15</v>
      </c>
      <c r="CD50" s="9" t="n">
        <v>15</v>
      </c>
      <c r="CE50" s="9" t="n">
        <v>15</v>
      </c>
      <c r="CF50" s="154">
        <f>CD50+IF(NOT(ISBLANK(OFFSET(CF50,0,6))),N(OFFSET(CF50,0,6)),N(OFFSET(CF50,0,7)))-CE50</f>
        <v/>
      </c>
      <c r="CH50" s="19" t="n"/>
      <c r="CI50" s="19" t="n"/>
      <c r="CJ50" s="19" t="n"/>
      <c r="CK50" s="65" t="n"/>
      <c r="CL50" s="691" t="n">
        <v>0</v>
      </c>
      <c r="CM50" s="18" t="n">
        <v>0</v>
      </c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8" t="n"/>
      <c r="DS50" s="18" t="n"/>
      <c r="DT50" s="18" t="n"/>
      <c r="DU50" s="18" t="n"/>
      <c r="DV50" s="17" t="n"/>
      <c r="DW50" s="17" t="n"/>
      <c r="DX50" s="17" t="n"/>
      <c r="DY50" s="17" t="n"/>
      <c r="DZ50" s="17" t="n"/>
      <c r="EA50" s="17" t="n"/>
      <c r="EB50" s="17" t="n"/>
      <c r="EC50" s="17" t="n"/>
      <c r="ED50" s="17" t="n"/>
      <c r="EE50" s="17" t="n"/>
      <c r="EF50" s="17" t="n"/>
      <c r="EG50" s="17" t="n"/>
      <c r="EH50" s="17" t="n"/>
      <c r="EI50" s="17" t="n"/>
      <c r="EJ50" s="17" t="n"/>
      <c r="EK50" s="17" t="n"/>
      <c r="EL50" s="17" t="n"/>
      <c r="EM50" s="17" t="n"/>
      <c r="EN50" s="17" t="n"/>
      <c r="EO50" s="17" t="n"/>
      <c r="EP50" s="17" t="n"/>
      <c r="EQ50" s="17" t="n"/>
      <c r="ER50" s="17" t="n"/>
      <c r="ES50" s="17" t="n"/>
      <c r="ET50" s="271" t="n"/>
      <c r="EU50" s="17" t="n"/>
      <c r="EV50" s="17" t="n"/>
      <c r="EW50" s="17" t="n"/>
      <c r="EX50" s="17" t="n"/>
      <c r="EY50" s="17" t="n"/>
      <c r="EZ50" s="17" t="n"/>
      <c r="FA50" s="17" t="n"/>
      <c r="FB50" s="17" t="n"/>
      <c r="FC50" s="17" t="n"/>
      <c r="FD50" s="17" t="n"/>
      <c r="FE50" s="17" t="n"/>
      <c r="FF50" s="17" t="n"/>
      <c r="FG50" s="17" t="n"/>
      <c r="FH50" s="271" t="n"/>
      <c r="FI50" s="17" t="n"/>
      <c r="FJ50" s="17" t="n"/>
      <c r="FK50" s="17" t="n"/>
      <c r="FL50" s="17" t="n"/>
      <c r="FM50" s="17" t="n"/>
      <c r="FN50" s="17" t="n"/>
      <c r="FO50" s="17" t="n"/>
      <c r="FP50" s="17" t="n"/>
      <c r="FQ50" s="17" t="n"/>
      <c r="FR50" s="17" t="n"/>
      <c r="FS50" s="17" t="n"/>
      <c r="FT50" s="17" t="n"/>
      <c r="FU50" s="17" t="n"/>
      <c r="FV50" s="17" t="n"/>
      <c r="FW50" s="17" t="n"/>
      <c r="FX50" s="271" t="n"/>
      <c r="FY50" s="17" t="n"/>
      <c r="FZ50" s="17" t="n"/>
      <c r="GA50" s="17" t="n"/>
      <c r="GB50" s="17" t="n"/>
      <c r="GC50" s="17" t="n"/>
      <c r="GD50" s="17" t="n"/>
      <c r="GE50" s="17" t="n"/>
      <c r="GF50" s="17" t="n"/>
      <c r="GG50" s="17" t="n"/>
      <c r="GH50" s="17" t="n"/>
      <c r="GI50" s="17" t="n"/>
      <c r="GJ50" s="17" t="n"/>
      <c r="GK50" s="17" t="n"/>
      <c r="GL50" s="17" t="n"/>
      <c r="GM50" s="17" t="n"/>
      <c r="GN50" s="17" t="n"/>
      <c r="GO50" s="17" t="n"/>
      <c r="GP50" s="17" t="n"/>
      <c r="GQ50" s="17" t="n"/>
      <c r="GR50" s="17" t="n"/>
    </row>
    <row r="51" hidden="1" ht="18.75" customHeight="1">
      <c r="B51" s="53" t="n"/>
      <c r="C51" s="724" t="n"/>
      <c r="D51" s="72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  <c r="AA51" s="4" t="n"/>
      <c r="AB51" s="4" t="n"/>
      <c r="AC51" s="4" t="n"/>
      <c r="AD51" s="4" t="n"/>
      <c r="AE51" s="4" t="n"/>
      <c r="AF51" s="4" t="n"/>
      <c r="AG51" s="4" t="n"/>
      <c r="AH51" s="4" t="n"/>
      <c r="AI51" s="4" t="n"/>
      <c r="AJ51" s="4" t="n"/>
      <c r="AK51" s="4" t="n"/>
      <c r="AL51" s="4" t="n"/>
      <c r="AM51" s="4" t="n"/>
      <c r="AN51" s="4" t="n"/>
      <c r="AO51" s="4" t="n"/>
      <c r="AP51" s="4" t="n"/>
      <c r="AQ51" s="4" t="n"/>
      <c r="AR51" s="4" t="n"/>
      <c r="AS51" s="4" t="n"/>
      <c r="AT51" s="4" t="n"/>
      <c r="AU51" s="4" t="n"/>
      <c r="AV51" s="4" t="n"/>
      <c r="AW51" s="4" t="n"/>
      <c r="AX51" s="4" t="n"/>
      <c r="AY51" s="4" t="n"/>
      <c r="AZ51" s="4" t="n"/>
      <c r="BA51" s="4" t="n"/>
      <c r="BB51" s="4" t="n"/>
      <c r="BC51" s="4" t="n"/>
      <c r="BD51" s="4" t="n"/>
      <c r="BE51" s="4" t="n"/>
      <c r="BF51" s="4" t="n"/>
      <c r="BG51" s="4" t="n"/>
      <c r="BH51" s="4" t="n"/>
      <c r="BI51" s="4" t="n"/>
      <c r="BJ51" s="4" t="n"/>
      <c r="BK51" s="4" t="n"/>
      <c r="BL51" s="4" t="n"/>
      <c r="BM51" s="4" t="n"/>
      <c r="BN51" s="4" t="n"/>
      <c r="BO51" s="4" t="n"/>
      <c r="BP51" s="4" t="n"/>
      <c r="BQ51" s="4" t="n"/>
      <c r="BR51" s="4" t="n"/>
      <c r="BS51" s="4" t="n"/>
      <c r="BT51" s="4" t="n"/>
      <c r="BU51" s="4" t="n"/>
      <c r="BV51" s="4" t="n"/>
      <c r="BW51" s="4" t="n"/>
      <c r="BX51" s="4" t="n"/>
      <c r="BY51" s="4" t="n"/>
      <c r="BZ51" s="4" t="n"/>
      <c r="CA51" s="4" t="n"/>
      <c r="CB51" s="4" t="n"/>
      <c r="CC51" s="2" t="n"/>
      <c r="CD51" s="2" t="n"/>
      <c r="CE51" s="2" t="n"/>
      <c r="CF51" s="4" t="n"/>
      <c r="CH51" s="26" t="n"/>
      <c r="CI51" s="26" t="n"/>
      <c r="CJ51" s="26" t="n"/>
      <c r="CK51" s="108" t="n"/>
      <c r="CL51" s="725" t="n"/>
      <c r="CM51" s="17" t="n"/>
      <c r="CN51" s="17" t="n"/>
      <c r="CO51" s="17" t="n"/>
      <c r="CP51" s="17" t="n"/>
      <c r="CQ51" s="17" t="n"/>
      <c r="CR51" s="17" t="n"/>
      <c r="CS51" s="17" t="n"/>
      <c r="CT51" s="17" t="n"/>
      <c r="CU51" s="17" t="n"/>
      <c r="CV51" s="17" t="n"/>
      <c r="CW51" s="17" t="n"/>
      <c r="CX51" s="17" t="n"/>
      <c r="CY51" s="17" t="n"/>
      <c r="CZ51" s="17" t="n"/>
      <c r="DA51" s="17" t="n"/>
      <c r="DB51" s="17" t="n"/>
      <c r="DC51" s="17" t="n"/>
      <c r="DD51" s="17" t="n"/>
      <c r="DE51" s="17" t="n"/>
      <c r="DF51" s="17" t="n"/>
      <c r="DG51" s="17" t="n"/>
      <c r="DH51" s="17" t="n"/>
      <c r="DI51" s="17" t="n"/>
      <c r="DJ51" s="17" t="n"/>
      <c r="DK51" s="17" t="n"/>
      <c r="DL51" s="17" t="n"/>
      <c r="DM51" s="17" t="n"/>
      <c r="DN51" s="17" t="n"/>
      <c r="DO51" s="17" t="n"/>
      <c r="DP51" s="17" t="n"/>
      <c r="DQ51" s="17" t="n"/>
      <c r="DR51" s="17" t="n"/>
      <c r="DS51" s="6" t="n"/>
      <c r="DT51" s="17" t="n"/>
      <c r="DU51" s="17" t="n"/>
      <c r="DV51" s="654" t="n"/>
      <c r="DW51" s="654" t="n"/>
      <c r="DX51" s="654" t="n"/>
      <c r="DY51" s="654" t="n"/>
      <c r="DZ51" s="654" t="n"/>
      <c r="EA51" s="654" t="n"/>
      <c r="EB51" s="654" t="n"/>
      <c r="EC51" s="654" t="n"/>
      <c r="ED51" s="654" t="n"/>
      <c r="EE51" s="654" t="n"/>
      <c r="EF51" s="654" t="n"/>
      <c r="EG51" s="654" t="n"/>
      <c r="EH51" s="654" t="n"/>
      <c r="EI51" s="654" t="n"/>
      <c r="EJ51" s="654" t="n"/>
      <c r="EK51" s="654" t="n"/>
      <c r="EL51" s="654" t="n"/>
      <c r="EM51" s="654" t="n"/>
      <c r="EN51" s="654" t="n"/>
      <c r="EO51" s="654" t="n"/>
      <c r="EP51" s="681" t="n">
        <v>45855</v>
      </c>
      <c r="EQ51" s="654" t="n"/>
      <c r="ER51" s="654" t="n"/>
      <c r="ES51" s="654" t="n"/>
      <c r="ET51" s="650" t="n">
        <v>45798</v>
      </c>
      <c r="EU51" s="654" t="n"/>
      <c r="EV51" s="654" t="n"/>
      <c r="EW51" s="655" t="n">
        <v>45807</v>
      </c>
      <c r="EX51" s="655" t="n">
        <v>45807</v>
      </c>
      <c r="EY51" s="654" t="n"/>
      <c r="EZ51" s="654" t="n">
        <v>45813</v>
      </c>
      <c r="FA51" s="655" t="n">
        <v>45807</v>
      </c>
      <c r="FB51" s="655" t="n">
        <v>45807</v>
      </c>
      <c r="FC51" s="654" t="n">
        <v>45805</v>
      </c>
      <c r="FD51" s="655" t="n">
        <v>45807</v>
      </c>
      <c r="FE51" s="654" t="n">
        <v>45790</v>
      </c>
      <c r="FF51" s="655" t="n">
        <v>45799</v>
      </c>
      <c r="FG51" s="690" t="n">
        <v>45799</v>
      </c>
      <c r="FH51" s="650" t="n">
        <v>45798</v>
      </c>
      <c r="FI51" s="655" t="n">
        <v>45798</v>
      </c>
      <c r="FJ51" s="655" t="n">
        <v>45797</v>
      </c>
      <c r="FK51" s="654" t="n">
        <v>45790</v>
      </c>
      <c r="FL51" s="654" t="n">
        <v>45783</v>
      </c>
      <c r="FM51" s="654" t="n">
        <v>45775</v>
      </c>
      <c r="FN51" s="654" t="n">
        <v>45756</v>
      </c>
      <c r="FO51" s="654" t="n">
        <v>45770</v>
      </c>
      <c r="FP51" s="654" t="n">
        <v>45756</v>
      </c>
      <c r="FQ51" s="654" t="n">
        <v>45749</v>
      </c>
      <c r="FR51" s="654" t="n">
        <v>45736</v>
      </c>
      <c r="FS51" s="654" t="n">
        <v>45743</v>
      </c>
      <c r="FT51" s="654" t="n">
        <v>45735</v>
      </c>
      <c r="FU51" s="654" t="n">
        <v>45728</v>
      </c>
      <c r="FV51" s="654" t="n">
        <v>45722</v>
      </c>
      <c r="FW51" s="654" t="n">
        <v>45714</v>
      </c>
      <c r="FX51" s="650" t="n">
        <v>45700</v>
      </c>
      <c r="FY51" s="654" t="n">
        <v>45706</v>
      </c>
      <c r="FZ51" s="654" t="n">
        <v>45700</v>
      </c>
      <c r="GA51" s="654" t="n">
        <v>45684</v>
      </c>
      <c r="GB51" s="654" t="n">
        <v>45699</v>
      </c>
      <c r="GC51" s="654" t="n">
        <v>45699</v>
      </c>
      <c r="GD51" s="655" t="n">
        <v>45706</v>
      </c>
      <c r="GE51" s="654" t="n">
        <v>45693</v>
      </c>
      <c r="GF51" s="654" t="n">
        <v>45693</v>
      </c>
      <c r="GG51" s="654" t="n">
        <v>45685</v>
      </c>
      <c r="GH51" s="712" t="n">
        <v>45692</v>
      </c>
      <c r="GI51" s="655" t="n">
        <v>45691</v>
      </c>
      <c r="GJ51" s="655" t="n">
        <v>45681</v>
      </c>
      <c r="GK51" s="654" t="n">
        <v>45674</v>
      </c>
      <c r="GL51" s="655" t="n">
        <v>45672</v>
      </c>
      <c r="GM51" s="654" t="n">
        <v>45664</v>
      </c>
      <c r="GN51" s="654" t="n">
        <v>46008</v>
      </c>
      <c r="GO51" s="654" t="n">
        <v>45660</v>
      </c>
      <c r="GP51" s="654" t="n">
        <v>45652</v>
      </c>
      <c r="GQ51" s="654" t="n">
        <v>45638</v>
      </c>
      <c r="GR51" s="654" t="n">
        <v>45643</v>
      </c>
    </row>
    <row r="52" hidden="1" ht="18.75" customHeight="1">
      <c r="A52" s="585" t="inlineStr">
        <is>
          <t>SACOLAS E CAIXAS QDB</t>
        </is>
      </c>
      <c r="B52" s="135" t="inlineStr">
        <is>
          <t>MÓD</t>
        </is>
      </c>
      <c r="C52" s="135" t="n"/>
      <c r="D52" s="135" t="n"/>
      <c r="F52" s="650" t="n">
        <v>45656</v>
      </c>
      <c r="G52" s="650" t="n">
        <v>45663</v>
      </c>
      <c r="H52" s="650" t="n">
        <v>45670</v>
      </c>
      <c r="I52" s="650" t="n">
        <v>45677</v>
      </c>
      <c r="J52" s="650" t="n">
        <v>45684</v>
      </c>
      <c r="K52" s="650" t="n">
        <v>45691</v>
      </c>
      <c r="L52" s="650" t="n">
        <v>45698</v>
      </c>
      <c r="M52" s="650" t="n">
        <v>45705</v>
      </c>
      <c r="N52" s="650" t="n">
        <v>45712</v>
      </c>
      <c r="O52" s="650" t="n">
        <v>45719</v>
      </c>
      <c r="P52" s="650" t="n">
        <v>45726</v>
      </c>
      <c r="Q52" s="650" t="n">
        <v>45733</v>
      </c>
      <c r="R52" s="650" t="n">
        <v>45740</v>
      </c>
      <c r="S52" s="650" t="n">
        <v>45747</v>
      </c>
      <c r="T52" s="650" t="n">
        <v>45754</v>
      </c>
      <c r="U52" s="650" t="n">
        <v>45761</v>
      </c>
      <c r="V52" s="650" t="n">
        <v>45768</v>
      </c>
      <c r="W52" s="650" t="n">
        <v>45775</v>
      </c>
      <c r="X52" s="650" t="n">
        <v>45782</v>
      </c>
      <c r="Y52" s="650" t="n">
        <v>45789</v>
      </c>
      <c r="Z52" s="650" t="n">
        <v>45796</v>
      </c>
      <c r="AA52" s="650" t="n">
        <v>45803</v>
      </c>
      <c r="AB52" s="650" t="n">
        <v>45810</v>
      </c>
      <c r="AC52" s="650" t="n">
        <v>45817</v>
      </c>
      <c r="AD52" s="650" t="n"/>
      <c r="AE52" s="650" t="n"/>
      <c r="AF52" s="650" t="n"/>
      <c r="AG52" s="650" t="n"/>
      <c r="AH52" s="650" t="n"/>
      <c r="AI52" s="650" t="n"/>
      <c r="AJ52" s="650" t="n"/>
      <c r="AK52" s="650" t="n"/>
      <c r="AL52" s="650" t="n"/>
      <c r="AM52" s="650" t="n"/>
      <c r="AN52" s="650" t="n"/>
      <c r="AO52" s="650" t="n"/>
      <c r="AP52" s="650" t="n"/>
      <c r="AQ52" s="650" t="n"/>
      <c r="AR52" s="650" t="n"/>
      <c r="AS52" s="650" t="n"/>
      <c r="AT52" s="650" t="n"/>
      <c r="AU52" s="650" t="n"/>
      <c r="AV52" s="650" t="n"/>
      <c r="AW52" s="650" t="n"/>
      <c r="AX52" s="650" t="n"/>
      <c r="AY52" s="650" t="n"/>
      <c r="AZ52" s="650" t="n"/>
      <c r="BA52" s="650" t="n"/>
      <c r="BB52" s="650" t="n"/>
      <c r="BC52" s="650" t="n"/>
      <c r="BD52" s="650" t="n"/>
      <c r="BE52" s="650" t="n"/>
      <c r="BF52" s="650" t="n"/>
      <c r="BG52" s="650" t="n"/>
      <c r="BH52" s="650" t="n"/>
      <c r="BI52" s="650" t="n"/>
      <c r="BJ52" s="650" t="n"/>
      <c r="BK52" s="650" t="n"/>
      <c r="BL52" s="650" t="n"/>
      <c r="BM52" s="650" t="n"/>
      <c r="BN52" s="650" t="n"/>
      <c r="BO52" s="650" t="n"/>
      <c r="BP52" s="650" t="n"/>
      <c r="BQ52" s="650" t="n"/>
      <c r="BR52" s="650" t="n"/>
      <c r="BS52" s="650" t="n"/>
      <c r="BT52" s="650" t="n"/>
      <c r="BU52" s="650" t="n"/>
      <c r="BV52" s="650" t="n"/>
      <c r="BW52" s="650" t="n"/>
      <c r="BX52" s="650" t="n"/>
      <c r="BY52" s="650" t="n"/>
      <c r="BZ52" s="650" t="n"/>
      <c r="CA52" s="650" t="n"/>
      <c r="CB52" s="650" t="n"/>
      <c r="CC52" s="650" t="n"/>
      <c r="CD52" s="650" t="n"/>
      <c r="CE52" s="650" t="n"/>
      <c r="CF52" s="652" t="inlineStr">
        <is>
          <t>USOU</t>
        </is>
      </c>
      <c r="CH52" s="35" t="inlineStr">
        <is>
          <t>Pend.</t>
        </is>
      </c>
      <c r="CI52" s="35" t="inlineStr">
        <is>
          <t>Pend.</t>
        </is>
      </c>
      <c r="CJ52" s="35" t="inlineStr">
        <is>
          <t>Pend.</t>
        </is>
      </c>
      <c r="CK52" s="12" t="inlineStr">
        <is>
          <t>Novo Pedido</t>
        </is>
      </c>
      <c r="CL52" s="654" t="n"/>
      <c r="CM52" s="654" t="n"/>
      <c r="CN52" s="654" t="n"/>
      <c r="CO52" s="654" t="n"/>
      <c r="CP52" s="654" t="n"/>
      <c r="CQ52" s="654" t="n"/>
      <c r="CR52" s="654" t="n"/>
      <c r="CS52" s="654" t="n"/>
      <c r="CT52" s="654" t="n"/>
      <c r="CU52" s="654" t="n"/>
      <c r="CV52" s="654" t="n"/>
      <c r="CW52" s="654" t="n"/>
      <c r="CX52" s="654" t="n"/>
      <c r="CY52" s="654" t="n"/>
      <c r="CZ52" s="654" t="n"/>
      <c r="DA52" s="654" t="n"/>
      <c r="DB52" s="654" t="n"/>
      <c r="DC52" s="654" t="n"/>
      <c r="DD52" s="654" t="n"/>
      <c r="DE52" s="654" t="n"/>
      <c r="DF52" s="654" t="n"/>
      <c r="DG52" s="654" t="n"/>
      <c r="DH52" s="654" t="n"/>
      <c r="DI52" s="654" t="n"/>
      <c r="DJ52" s="654" t="n"/>
      <c r="DK52" s="654" t="n"/>
      <c r="DL52" s="654" t="n"/>
      <c r="DM52" s="654" t="n"/>
      <c r="DN52" s="654" t="n"/>
      <c r="DO52" s="654" t="n"/>
      <c r="DP52" s="654" t="n"/>
      <c r="DQ52" s="654" t="n"/>
      <c r="DR52" s="654" t="n"/>
      <c r="DT52" s="654" t="n"/>
      <c r="DU52" s="654" t="n"/>
      <c r="DV52" s="18" t="n"/>
      <c r="DW52" s="18" t="n"/>
      <c r="DX52" s="18" t="n"/>
      <c r="DY52" s="18" t="n"/>
      <c r="DZ52" s="18" t="n"/>
      <c r="EA52" s="18" t="n"/>
      <c r="EB52" s="18" t="n"/>
      <c r="EC52" s="18" t="n"/>
      <c r="ED52" s="18" t="n"/>
      <c r="EE52" s="18" t="n"/>
      <c r="EF52" s="18" t="n"/>
      <c r="EG52" s="18" t="n"/>
      <c r="EH52" s="18" t="n"/>
      <c r="EI52" s="18" t="n"/>
      <c r="EJ52" s="18" t="n"/>
      <c r="EK52" s="18" t="n"/>
      <c r="EL52" s="18" t="n"/>
      <c r="EM52" s="18" t="n"/>
      <c r="EN52" s="18" t="n"/>
      <c r="EO52" s="18" t="n"/>
      <c r="EP52" s="18" t="n"/>
      <c r="EQ52" s="18" t="n"/>
      <c r="ER52" s="18" t="n"/>
      <c r="ES52" s="18" t="n"/>
      <c r="ET52" s="256" t="n"/>
      <c r="EU52" s="18" t="n"/>
      <c r="EV52" s="18" t="n"/>
      <c r="EW52" s="18" t="n"/>
      <c r="EX52" s="18" t="n"/>
      <c r="EY52" s="18" t="n"/>
      <c r="EZ52" s="18" t="n"/>
      <c r="FA52" s="18" t="n"/>
      <c r="FB52" s="18" t="n"/>
      <c r="FC52" s="18" t="n"/>
      <c r="FD52" s="18" t="n"/>
      <c r="FE52" s="18" t="n"/>
      <c r="FF52" s="18" t="n"/>
      <c r="FG52" s="18" t="n"/>
      <c r="FH52" s="256" t="n"/>
      <c r="FI52" s="18" t="n"/>
      <c r="FJ52" s="18" t="n"/>
      <c r="FK52" s="18" t="n"/>
      <c r="FL52" s="18" t="n"/>
      <c r="FM52" s="18" t="n"/>
      <c r="FN52" s="18" t="n"/>
      <c r="FO52" s="18" t="n"/>
      <c r="FP52" s="18" t="n"/>
      <c r="FQ52" s="18" t="n"/>
      <c r="FR52" s="18" t="n"/>
      <c r="FS52" s="18" t="n"/>
      <c r="FT52" s="18" t="n"/>
      <c r="FU52" s="18" t="n"/>
      <c r="FV52" s="18" t="n"/>
      <c r="FW52" s="18" t="n"/>
      <c r="FX52" s="256" t="n"/>
      <c r="FY52" s="18" t="n"/>
      <c r="FZ52" s="18" t="n"/>
      <c r="GA52" s="18" t="n"/>
      <c r="GB52" s="18" t="n"/>
      <c r="GC52" s="18" t="n"/>
      <c r="GD52" s="18" t="n"/>
      <c r="GE52" s="18" t="n"/>
      <c r="GF52" s="18" t="n"/>
      <c r="GG52" s="18" t="n"/>
      <c r="GH52" s="18" t="n"/>
      <c r="GI52" s="18" t="n"/>
      <c r="GJ52" s="18" t="n"/>
      <c r="GK52" s="18" t="n"/>
      <c r="GL52" s="18" t="n"/>
      <c r="GM52" s="18" t="n"/>
      <c r="GN52" s="18" t="n"/>
      <c r="GO52" s="18" t="n"/>
      <c r="GP52" s="18" t="n">
        <v>900</v>
      </c>
      <c r="GQ52" s="18" t="n"/>
      <c r="GR52" s="18" t="n"/>
    </row>
    <row r="53" hidden="1" ht="18.75" customHeight="1">
      <c r="A53" s="43" t="inlineStr">
        <is>
          <t>SACOLA P QDB</t>
        </is>
      </c>
      <c r="B53" s="149" t="n">
        <v>300</v>
      </c>
      <c r="C53" s="726" t="n">
        <v>187.11</v>
      </c>
      <c r="D53" s="727" t="inlineStr">
        <is>
          <t>Sugiro ter só no ER</t>
        </is>
      </c>
      <c r="F53" s="9" t="n">
        <v>0</v>
      </c>
      <c r="G53" s="9" t="n">
        <v>900</v>
      </c>
      <c r="H53" s="9" t="n">
        <v>900</v>
      </c>
      <c r="I53" s="9" t="n">
        <v>900</v>
      </c>
      <c r="J53" s="9" t="n">
        <v>900</v>
      </c>
      <c r="K53" s="9" t="n">
        <v>900</v>
      </c>
      <c r="L53" s="9" t="n">
        <v>900</v>
      </c>
      <c r="M53" s="9" t="n">
        <v>900</v>
      </c>
      <c r="N53" s="9" t="n">
        <v>900</v>
      </c>
      <c r="O53" s="9" t="n">
        <v>900</v>
      </c>
      <c r="P53" s="9" t="n">
        <v>900</v>
      </c>
      <c r="Q53" s="9" t="n">
        <v>900</v>
      </c>
      <c r="R53" s="9" t="n">
        <v>600</v>
      </c>
      <c r="S53" s="9" t="n">
        <v>600</v>
      </c>
      <c r="T53" s="9" t="n">
        <v>600</v>
      </c>
      <c r="U53" s="9" t="n">
        <v>600</v>
      </c>
      <c r="V53" s="9" t="n">
        <v>600</v>
      </c>
      <c r="W53" s="9" t="n">
        <v>600</v>
      </c>
      <c r="X53" s="9" t="n">
        <v>600</v>
      </c>
      <c r="Y53" s="9" t="n">
        <v>600</v>
      </c>
      <c r="Z53" s="9" t="n">
        <v>600</v>
      </c>
      <c r="AA53" s="9" t="n">
        <v>0</v>
      </c>
      <c r="AB53" s="9" t="n">
        <v>0</v>
      </c>
      <c r="AC53" s="9" t="n">
        <v>0</v>
      </c>
      <c r="AD53" s="9" t="n"/>
      <c r="AE53" s="9" t="n"/>
      <c r="AF53" s="9" t="n"/>
      <c r="AG53" s="9" t="n"/>
      <c r="AH53" s="9" t="n"/>
      <c r="AI53" s="9" t="n"/>
      <c r="AJ53" s="9" t="n"/>
      <c r="AK53" s="9" t="n"/>
      <c r="AL53" s="9" t="n"/>
      <c r="AM53" s="9" t="n"/>
      <c r="AN53" s="9" t="n"/>
      <c r="AO53" s="9" t="n"/>
      <c r="AP53" s="9" t="n"/>
      <c r="AQ53" s="9" t="n"/>
      <c r="AR53" s="9" t="n"/>
      <c r="AS53" s="9" t="n"/>
      <c r="AT53" s="9" t="n"/>
      <c r="AU53" s="9" t="n"/>
      <c r="AV53" s="9" t="n"/>
      <c r="AW53" s="9" t="n"/>
      <c r="AX53" s="9" t="n"/>
      <c r="AY53" s="9" t="n"/>
      <c r="AZ53" s="9" t="n"/>
      <c r="BA53" s="9" t="n"/>
      <c r="BB53" s="9" t="n"/>
      <c r="BC53" s="9" t="n"/>
      <c r="BD53" s="9" t="n"/>
      <c r="BE53" s="9" t="n"/>
      <c r="BF53" s="9" t="n"/>
      <c r="BG53" s="9" t="n"/>
      <c r="BH53" s="9" t="n"/>
      <c r="BI53" s="9" t="n"/>
      <c r="BJ53" s="9" t="n"/>
      <c r="BK53" s="9" t="n"/>
      <c r="BL53" s="9" t="n"/>
      <c r="BM53" s="9" t="n"/>
      <c r="BN53" s="9" t="n"/>
      <c r="BO53" s="9" t="n"/>
      <c r="BP53" s="9" t="n"/>
      <c r="BQ53" s="9" t="n"/>
      <c r="BR53" s="9" t="n"/>
      <c r="BS53" s="9" t="n"/>
      <c r="BT53" s="9" t="n"/>
      <c r="BU53" s="9" t="n"/>
      <c r="BV53" s="9" t="n"/>
      <c r="BW53" s="9" t="n"/>
      <c r="BX53" s="9" t="n"/>
      <c r="BY53" s="9" t="n"/>
      <c r="BZ53" s="9" t="n"/>
      <c r="CA53" s="9" t="n"/>
      <c r="CB53" s="9" t="n"/>
      <c r="CC53" s="9" t="n"/>
      <c r="CD53" s="9" t="n"/>
      <c r="CE53" s="9" t="n"/>
      <c r="CF53" s="154">
        <f>CD53+IF(NOT(ISBLANK(OFFSET(CF53,0,6))),N(OFFSET(CF53,0,6)),N(OFFSET(CF53,0,7)))-CE53</f>
        <v/>
      </c>
      <c r="CH53" s="128" t="n"/>
      <c r="CI53" s="728" t="inlineStr">
        <is>
          <t>Ñ VAMOS COMPRAR MAIS</t>
        </is>
      </c>
      <c r="CJ53" s="728" t="inlineStr">
        <is>
          <t>Ñ VAMOS COMPRAR MAIS</t>
        </is>
      </c>
      <c r="CK53" s="27" t="n"/>
      <c r="CL53" s="691" t="n"/>
      <c r="CM53" s="18" t="n"/>
      <c r="CN53" s="18" t="n"/>
      <c r="CO53" s="18" t="n"/>
      <c r="CP53" s="18" t="n"/>
      <c r="CQ53" s="18" t="n"/>
      <c r="CR53" s="18" t="n"/>
      <c r="CS53" s="18" t="n"/>
      <c r="CT53" s="18" t="n"/>
      <c r="CU53" s="18" t="n"/>
      <c r="CV53" s="18" t="n"/>
      <c r="CW53" s="18" t="n"/>
      <c r="CX53" s="18" t="n"/>
      <c r="CY53" s="18" t="n"/>
      <c r="CZ53" s="18" t="n"/>
      <c r="DA53" s="18" t="n"/>
      <c r="DB53" s="18" t="n"/>
      <c r="DC53" s="18" t="n"/>
      <c r="DD53" s="18" t="n"/>
      <c r="DE53" s="18" t="n"/>
      <c r="DF53" s="18" t="n"/>
      <c r="DG53" s="18" t="n"/>
      <c r="DH53" s="18" t="n"/>
      <c r="DI53" s="18" t="n"/>
      <c r="DJ53" s="18" t="n"/>
      <c r="DK53" s="18" t="n"/>
      <c r="DL53" s="18" t="n"/>
      <c r="DM53" s="18" t="n"/>
      <c r="DN53" s="18" t="n"/>
      <c r="DO53" s="18" t="n"/>
      <c r="DP53" s="18" t="n"/>
      <c r="DQ53" s="18" t="n"/>
      <c r="DR53" s="18" t="n"/>
      <c r="DS53" s="678" t="n">
        <v>45903</v>
      </c>
      <c r="DT53" s="18" t="n"/>
      <c r="DU53" s="18" t="n"/>
      <c r="DV53" s="18" t="n"/>
      <c r="DW53" s="18" t="n"/>
      <c r="DX53" s="18" t="n"/>
      <c r="DY53" s="18" t="n"/>
      <c r="DZ53" s="18" t="n"/>
      <c r="EA53" s="18" t="n"/>
      <c r="EB53" s="18" t="n"/>
      <c r="EC53" s="18" t="n"/>
      <c r="ED53" s="18" t="n"/>
      <c r="EE53" s="18" t="n"/>
      <c r="EF53" s="18" t="n"/>
      <c r="EG53" s="18" t="n"/>
      <c r="EH53" s="18" t="n"/>
      <c r="EI53" s="18" t="n"/>
      <c r="EJ53" s="18" t="n"/>
      <c r="EK53" s="18" t="n"/>
      <c r="EL53" s="18" t="n"/>
      <c r="EM53" s="18" t="n"/>
      <c r="EN53" s="18" t="n"/>
      <c r="EO53" s="18" t="n"/>
      <c r="EP53" s="18" t="n"/>
      <c r="EQ53" s="18" t="n"/>
      <c r="ER53" s="18" t="n"/>
      <c r="ES53" s="18" t="n"/>
      <c r="ET53" s="256" t="n"/>
      <c r="EU53" s="18" t="n"/>
      <c r="EV53" s="18" t="n"/>
      <c r="EW53" s="18" t="n"/>
      <c r="EX53" s="18" t="n"/>
      <c r="EY53" s="18" t="n"/>
      <c r="EZ53" s="18" t="n"/>
      <c r="FA53" s="18" t="n"/>
      <c r="FB53" s="18" t="n"/>
      <c r="FC53" s="18" t="n"/>
      <c r="FD53" s="18" t="n"/>
      <c r="FE53" s="18" t="n"/>
      <c r="FF53" s="18" t="n"/>
      <c r="FG53" s="18" t="n"/>
      <c r="FH53" s="256" t="n"/>
      <c r="FI53" s="18" t="n"/>
      <c r="FJ53" s="18" t="n"/>
      <c r="FK53" s="18" t="n"/>
      <c r="FL53" s="18" t="n"/>
      <c r="FM53" s="18" t="n"/>
      <c r="FN53" s="18" t="n"/>
      <c r="FO53" s="18" t="n"/>
      <c r="FP53" s="18" t="n"/>
      <c r="FQ53" s="18" t="n"/>
      <c r="FR53" s="18" t="n"/>
      <c r="FS53" s="18" t="n"/>
      <c r="FT53" s="18" t="n"/>
      <c r="FU53" s="18" t="n"/>
      <c r="FV53" s="18" t="n"/>
      <c r="FW53" s="18" t="n"/>
      <c r="FX53" s="256" t="n"/>
      <c r="FY53" s="18" t="n"/>
      <c r="FZ53" s="18" t="n"/>
      <c r="GA53" s="18" t="n"/>
      <c r="GB53" s="18" t="n"/>
      <c r="GC53" s="18" t="n"/>
      <c r="GD53" s="18" t="n"/>
      <c r="GE53" s="18" t="n"/>
      <c r="GF53" s="18" t="n"/>
      <c r="GG53" s="18" t="n"/>
      <c r="GH53" s="18" t="n"/>
      <c r="GI53" s="18" t="n"/>
      <c r="GJ53" s="18" t="n"/>
      <c r="GK53" s="18" t="n"/>
      <c r="GL53" s="18" t="n"/>
      <c r="GM53" s="18" t="n"/>
      <c r="GN53" s="18" t="n"/>
      <c r="GO53" s="18" t="n"/>
      <c r="GP53" s="18" t="n">
        <v>200</v>
      </c>
      <c r="GQ53" s="18" t="n"/>
      <c r="GR53" s="18" t="n"/>
    </row>
    <row r="54" hidden="1" ht="18.75" customHeight="1">
      <c r="A54" s="43" t="inlineStr">
        <is>
          <t>SACOLA M  QDB</t>
        </is>
      </c>
      <c r="B54" s="149" t="n">
        <v>200</v>
      </c>
      <c r="C54" s="726" t="n">
        <v>193.08</v>
      </c>
      <c r="D54" s="729" t="n"/>
      <c r="F54" s="9" t="n">
        <v>400</v>
      </c>
      <c r="G54" s="9" t="n">
        <v>600</v>
      </c>
      <c r="H54" s="9" t="n">
        <v>600</v>
      </c>
      <c r="I54" s="9" t="n">
        <v>600</v>
      </c>
      <c r="J54" s="9" t="n">
        <v>600</v>
      </c>
      <c r="K54" s="9" t="n">
        <v>600</v>
      </c>
      <c r="L54" s="9" t="n">
        <v>600</v>
      </c>
      <c r="M54" s="9" t="n">
        <v>600</v>
      </c>
      <c r="N54" s="9" t="n">
        <v>600</v>
      </c>
      <c r="O54" s="9" t="n">
        <v>600</v>
      </c>
      <c r="P54" s="9" t="n">
        <v>600</v>
      </c>
      <c r="Q54" s="9" t="n">
        <v>600</v>
      </c>
      <c r="R54" s="9" t="n">
        <v>600</v>
      </c>
      <c r="S54" s="9" t="n">
        <v>600</v>
      </c>
      <c r="T54" s="9" t="n">
        <v>600</v>
      </c>
      <c r="U54" s="9" t="n">
        <v>600</v>
      </c>
      <c r="V54" s="9" t="n">
        <v>600</v>
      </c>
      <c r="W54" s="9" t="n">
        <v>600</v>
      </c>
      <c r="X54" s="9" t="n">
        <v>600</v>
      </c>
      <c r="Y54" s="9" t="n">
        <v>600</v>
      </c>
      <c r="Z54" s="9" t="n">
        <v>600</v>
      </c>
      <c r="AA54" s="9" t="n">
        <v>0</v>
      </c>
      <c r="AB54" s="9" t="n">
        <v>0</v>
      </c>
      <c r="AC54" s="9" t="n">
        <v>0</v>
      </c>
      <c r="AD54" s="9" t="n"/>
      <c r="AE54" s="9" t="n"/>
      <c r="AF54" s="9" t="n"/>
      <c r="AG54" s="9" t="n"/>
      <c r="AH54" s="9" t="n"/>
      <c r="AI54" s="9" t="n"/>
      <c r="AJ54" s="9" t="n"/>
      <c r="AK54" s="9" t="n"/>
      <c r="AL54" s="9" t="n"/>
      <c r="AM54" s="9" t="n"/>
      <c r="AN54" s="9" t="n"/>
      <c r="AO54" s="9" t="n"/>
      <c r="AP54" s="9" t="n"/>
      <c r="AQ54" s="9" t="n"/>
      <c r="AR54" s="9" t="n"/>
      <c r="AS54" s="9" t="n"/>
      <c r="AT54" s="9" t="n"/>
      <c r="AU54" s="9" t="n"/>
      <c r="AV54" s="9" t="n"/>
      <c r="AW54" s="9" t="n"/>
      <c r="AX54" s="9" t="n"/>
      <c r="AY54" s="9" t="n"/>
      <c r="AZ54" s="9" t="n"/>
      <c r="BA54" s="9" t="n"/>
      <c r="BB54" s="9" t="n"/>
      <c r="BC54" s="9" t="n"/>
      <c r="BD54" s="9" t="n"/>
      <c r="BE54" s="9" t="n"/>
      <c r="BF54" s="9" t="n"/>
      <c r="BG54" s="9" t="n"/>
      <c r="BH54" s="9" t="n"/>
      <c r="BI54" s="9" t="n"/>
      <c r="BJ54" s="9" t="n"/>
      <c r="BK54" s="9" t="n"/>
      <c r="BL54" s="9" t="n"/>
      <c r="BM54" s="9" t="n"/>
      <c r="BN54" s="9" t="n"/>
      <c r="BO54" s="9" t="n"/>
      <c r="BP54" s="9" t="n"/>
      <c r="BQ54" s="9" t="n"/>
      <c r="BR54" s="9" t="n"/>
      <c r="BS54" s="9" t="n"/>
      <c r="BT54" s="9" t="n"/>
      <c r="BU54" s="9" t="n"/>
      <c r="BV54" s="9" t="n"/>
      <c r="BW54" s="9" t="n"/>
      <c r="BX54" s="9" t="n"/>
      <c r="BY54" s="9" t="n"/>
      <c r="BZ54" s="9" t="n"/>
      <c r="CA54" s="9" t="n"/>
      <c r="CB54" s="9" t="n"/>
      <c r="CC54" s="9" t="n"/>
      <c r="CD54" s="9" t="n"/>
      <c r="CE54" s="9" t="n"/>
      <c r="CF54" s="154">
        <f>CD54+IF(NOT(ISBLANK(OFFSET(CF54,0,6))),N(OFFSET(CF54,0,6)),N(OFFSET(CF54,0,7)))-CE54</f>
        <v/>
      </c>
      <c r="CH54" s="730" t="n"/>
      <c r="CI54" s="730" t="n"/>
      <c r="CJ54" s="730" t="n"/>
      <c r="CK54" s="27" t="n"/>
      <c r="CL54" s="691" t="n"/>
      <c r="CM54" s="18" t="n"/>
      <c r="CN54" s="18" t="n"/>
      <c r="CO54" s="18" t="n"/>
      <c r="CP54" s="18" t="n"/>
      <c r="CQ54" s="18" t="n"/>
      <c r="CR54" s="18" t="n"/>
      <c r="CS54" s="18" t="n"/>
      <c r="CT54" s="18" t="n"/>
      <c r="CU54" s="18" t="n"/>
      <c r="CV54" s="18" t="n"/>
      <c r="CW54" s="18" t="n"/>
      <c r="CX54" s="18" t="n"/>
      <c r="CY54" s="18" t="n"/>
      <c r="CZ54" s="18" t="n"/>
      <c r="DA54" s="18" t="n"/>
      <c r="DB54" s="18" t="n"/>
      <c r="DC54" s="18" t="n"/>
      <c r="DD54" s="18" t="n"/>
      <c r="DE54" s="18" t="n"/>
      <c r="DF54" s="18" t="n"/>
      <c r="DG54" s="18" t="n"/>
      <c r="DH54" s="18" t="n"/>
      <c r="DI54" s="18" t="n"/>
      <c r="DJ54" s="18" t="n"/>
      <c r="DK54" s="18" t="n"/>
      <c r="DL54" s="18" t="n"/>
      <c r="DM54" s="18" t="n"/>
      <c r="DN54" s="18" t="n"/>
      <c r="DO54" s="18" t="n"/>
      <c r="DP54" s="18" t="n"/>
      <c r="DQ54" s="18" t="n"/>
      <c r="DR54" s="18" t="n"/>
      <c r="DS54" s="396" t="n"/>
      <c r="DT54" s="18" t="n"/>
      <c r="DU54" s="18" t="n"/>
      <c r="DV54" s="18" t="n"/>
      <c r="DW54" s="18" t="n"/>
      <c r="DX54" s="18" t="n"/>
      <c r="DY54" s="18" t="n"/>
      <c r="DZ54" s="18" t="n"/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18" t="n"/>
      <c r="ET54" s="256" t="n"/>
      <c r="EU54" s="18" t="n"/>
      <c r="EV54" s="18" t="n"/>
      <c r="EW54" s="18" t="n"/>
      <c r="EX54" s="18" t="n"/>
      <c r="EY54" s="18" t="n"/>
      <c r="EZ54" s="18" t="n"/>
      <c r="FA54" s="18" t="n"/>
      <c r="FB54" s="18" t="n"/>
      <c r="FC54" s="18" t="n"/>
      <c r="FD54" s="18" t="n"/>
      <c r="FE54" s="18" t="n"/>
      <c r="FF54" s="239" t="inlineStr">
        <is>
          <t>1400 P/ ER</t>
        </is>
      </c>
      <c r="FG54" s="18" t="n"/>
      <c r="FH54" s="256" t="n"/>
      <c r="FI54" s="18" t="n"/>
      <c r="FJ54" s="18" t="n"/>
      <c r="FK54" s="18" t="n"/>
      <c r="FL54" s="18" t="n">
        <v>800</v>
      </c>
      <c r="FM54" s="18" t="n"/>
      <c r="FN54" s="18" t="n"/>
      <c r="FO54" s="18" t="n"/>
      <c r="FP54" s="18" t="n"/>
      <c r="FQ54" s="18" t="n"/>
      <c r="FR54" s="18" t="n"/>
      <c r="FS54" s="18" t="n"/>
      <c r="FT54" s="18" t="n"/>
      <c r="FU54" s="18" t="n"/>
      <c r="FV54" s="18" t="n"/>
      <c r="FW54" s="18" t="n"/>
      <c r="FX54" s="256" t="n"/>
      <c r="FY54" s="18" t="n"/>
      <c r="FZ54" s="18" t="n"/>
      <c r="GA54" s="18" t="n"/>
      <c r="GB54" s="18" t="n"/>
      <c r="GC54" s="18" t="n"/>
      <c r="GD54" s="18" t="n"/>
      <c r="GE54" s="18" t="n"/>
      <c r="GF54" s="18" t="n"/>
      <c r="GG54" s="18" t="n"/>
      <c r="GH54" s="18" t="n"/>
      <c r="GI54" s="18" t="n"/>
      <c r="GJ54" s="18" t="n"/>
      <c r="GK54" s="18" t="n"/>
      <c r="GL54" s="18" t="n"/>
      <c r="GM54" s="18" t="n"/>
      <c r="GN54" s="18" t="n"/>
      <c r="GO54" s="18" t="n"/>
      <c r="GP54" s="18" t="n"/>
      <c r="GQ54" s="18" t="n"/>
      <c r="GR54" s="18" t="n"/>
    </row>
    <row r="55" hidden="1" ht="18.75" customHeight="1">
      <c r="A55" s="43" t="inlineStr">
        <is>
          <t>SACOLA G  QDB</t>
        </is>
      </c>
      <c r="B55" s="149" t="n">
        <v>200</v>
      </c>
      <c r="C55" s="726" t="n">
        <v>253.82</v>
      </c>
      <c r="D55" s="649" t="n"/>
      <c r="F55" s="9" t="n">
        <v>1200</v>
      </c>
      <c r="G55" s="9" t="n">
        <v>1200</v>
      </c>
      <c r="H55" s="9" t="n">
        <v>1200</v>
      </c>
      <c r="I55" s="9" t="n">
        <v>1200</v>
      </c>
      <c r="J55" s="9" t="n">
        <v>1200</v>
      </c>
      <c r="K55" s="9" t="n">
        <v>1200</v>
      </c>
      <c r="L55" s="9" t="n">
        <v>1200</v>
      </c>
      <c r="M55" s="9" t="n">
        <v>1200</v>
      </c>
      <c r="N55" s="9" t="n">
        <v>1200</v>
      </c>
      <c r="O55" s="9" t="n">
        <v>1200</v>
      </c>
      <c r="P55" s="9" t="n">
        <v>1200</v>
      </c>
      <c r="Q55" s="9" t="n">
        <v>1329</v>
      </c>
      <c r="R55" s="9" t="n">
        <v>1329</v>
      </c>
      <c r="S55" s="9" t="n">
        <v>1200</v>
      </c>
      <c r="T55" s="9" t="n">
        <v>1200</v>
      </c>
      <c r="U55" s="9" t="n">
        <v>1200</v>
      </c>
      <c r="V55" s="9" t="n">
        <v>1200</v>
      </c>
      <c r="W55" s="9" t="n">
        <v>1200</v>
      </c>
      <c r="X55" s="9" t="n">
        <v>1200</v>
      </c>
      <c r="Y55" s="9" t="n">
        <v>2000</v>
      </c>
      <c r="Z55" s="9">
        <f>2000-1400</f>
        <v/>
      </c>
      <c r="AA55" s="9" t="n">
        <v>400</v>
      </c>
      <c r="AB55" s="9" t="n">
        <v>0</v>
      </c>
      <c r="AC55" s="9" t="n">
        <v>0</v>
      </c>
      <c r="AD55" s="9" t="n"/>
      <c r="AE55" s="9" t="n"/>
      <c r="AF55" s="9" t="n"/>
      <c r="AG55" s="9" t="n"/>
      <c r="AH55" s="9" t="n"/>
      <c r="AI55" s="9" t="n"/>
      <c r="AJ55" s="9" t="n"/>
      <c r="AK55" s="9" t="n"/>
      <c r="AL55" s="9" t="n"/>
      <c r="AM55" s="9" t="n"/>
      <c r="AN55" s="9" t="n"/>
      <c r="AO55" s="9" t="n"/>
      <c r="AP55" s="9" t="n"/>
      <c r="AQ55" s="9" t="n"/>
      <c r="AR55" s="9" t="n"/>
      <c r="AS55" s="9" t="n"/>
      <c r="AT55" s="9" t="n"/>
      <c r="AU55" s="9" t="n"/>
      <c r="AV55" s="9" t="n"/>
      <c r="AW55" s="9" t="n"/>
      <c r="AX55" s="9" t="n"/>
      <c r="AY55" s="9" t="n"/>
      <c r="AZ55" s="9" t="n"/>
      <c r="BA55" s="9" t="n"/>
      <c r="BB55" s="9" t="n"/>
      <c r="BC55" s="9" t="n"/>
      <c r="BD55" s="9" t="n"/>
      <c r="BE55" s="9" t="n"/>
      <c r="BF55" s="9" t="n"/>
      <c r="BG55" s="9" t="n"/>
      <c r="BH55" s="9" t="n"/>
      <c r="BI55" s="9" t="n"/>
      <c r="BJ55" s="9" t="n"/>
      <c r="BK55" s="9" t="n"/>
      <c r="BL55" s="9" t="n"/>
      <c r="BM55" s="9" t="n"/>
      <c r="BN55" s="9" t="n"/>
      <c r="BO55" s="9" t="n"/>
      <c r="BP55" s="9" t="n"/>
      <c r="BQ55" s="9" t="n"/>
      <c r="BR55" s="9" t="n"/>
      <c r="BS55" s="9" t="n"/>
      <c r="BT55" s="9" t="n"/>
      <c r="BU55" s="9" t="n"/>
      <c r="BV55" s="9" t="n"/>
      <c r="BW55" s="9" t="n"/>
      <c r="BX55" s="9" t="n"/>
      <c r="BY55" s="9" t="n"/>
      <c r="BZ55" s="9" t="n"/>
      <c r="CA55" s="9" t="n"/>
      <c r="CB55" s="9" t="n"/>
      <c r="CC55" s="9" t="n"/>
      <c r="CD55" s="9" t="n"/>
      <c r="CE55" s="9" t="n"/>
      <c r="CF55" s="154">
        <f>CD55+IF(NOT(ISBLANK(OFFSET(CF55,0,6))),N(OFFSET(CF55,0,6)),N(OFFSET(CF55,0,7)))-CE55</f>
        <v/>
      </c>
      <c r="CH55" s="730" t="n"/>
      <c r="CI55" s="730" t="n"/>
      <c r="CJ55" s="730" t="n"/>
      <c r="CK55" s="27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18" t="n"/>
      <c r="DP55" s="18" t="n"/>
      <c r="DQ55" s="18" t="n"/>
      <c r="DR55" s="18" t="n"/>
      <c r="DS55" s="396" t="n"/>
      <c r="DT55" s="18" t="n"/>
      <c r="DU55" s="18" t="n"/>
      <c r="DV55" s="18" t="n"/>
      <c r="DW55" s="18" t="n"/>
      <c r="DX55" s="18" t="n"/>
      <c r="DY55" s="18" t="n"/>
      <c r="DZ55" s="18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18" t="n"/>
      <c r="ET55" s="251" t="n"/>
      <c r="EU55" s="18" t="n"/>
      <c r="EV55" s="18" t="n"/>
      <c r="EW55" s="260" t="n"/>
      <c r="EX55" s="260" t="n"/>
      <c r="EY55" s="18" t="n"/>
      <c r="EZ55" s="18" t="n"/>
      <c r="FA55" s="260" t="n"/>
      <c r="FB55" s="260" t="n"/>
      <c r="FC55" s="18" t="n"/>
      <c r="FD55" s="260" t="n"/>
      <c r="FE55" s="18" t="n"/>
      <c r="FF55" s="260" t="n"/>
      <c r="FG55" s="260" t="n"/>
      <c r="FH55" s="251" t="n"/>
      <c r="FI55" s="239" t="inlineStr">
        <is>
          <t>124 P/ ER</t>
        </is>
      </c>
      <c r="FJ55" s="260" t="n"/>
      <c r="FK55" s="18" t="n"/>
      <c r="FL55" s="18" t="n"/>
      <c r="FM55" s="18" t="n"/>
      <c r="FN55" s="18" t="n"/>
      <c r="FO55" s="18" t="n"/>
      <c r="FP55" s="18" t="n"/>
      <c r="FQ55" s="18" t="n"/>
      <c r="FR55" s="18" t="n"/>
      <c r="FS55" s="18" t="n"/>
      <c r="FT55" s="18" t="n"/>
      <c r="FU55" s="18" t="n"/>
      <c r="FV55" s="18" t="n"/>
      <c r="FW55" s="18" t="n"/>
      <c r="FX55" s="251" t="n"/>
      <c r="FY55" s="18" t="n"/>
      <c r="FZ55" s="18" t="n"/>
      <c r="GA55" s="18" t="n"/>
      <c r="GB55" s="18" t="n"/>
      <c r="GC55" s="18" t="n"/>
      <c r="GD55" s="260" t="n"/>
      <c r="GE55" s="18" t="n"/>
      <c r="GF55" s="18" t="n"/>
      <c r="GG55" s="18" t="n"/>
      <c r="GH55" s="260" t="n"/>
      <c r="GI55" s="260" t="n"/>
      <c r="GJ55" s="260" t="n"/>
      <c r="GK55" s="18" t="n"/>
      <c r="GL55" s="239" t="inlineStr">
        <is>
          <t>10 P/ ER PBE</t>
        </is>
      </c>
      <c r="GM55" s="18" t="n"/>
      <c r="GN55" s="18" t="n"/>
      <c r="GO55" s="18" t="n"/>
      <c r="GP55" s="18" t="n">
        <v>150</v>
      </c>
      <c r="GQ55" s="18" t="n"/>
      <c r="GR55" s="18" t="n"/>
    </row>
    <row r="56" hidden="1" ht="18.75" customHeight="1">
      <c r="A56" s="43" t="inlineStr">
        <is>
          <t>CAIXA P  QDB</t>
        </is>
      </c>
      <c r="B56" s="149" t="n">
        <v>150</v>
      </c>
      <c r="C56" s="726" t="n">
        <v>306</v>
      </c>
      <c r="D56" s="329" t="n">
        <v>10</v>
      </c>
      <c r="F56" s="9" t="n">
        <v>0</v>
      </c>
      <c r="G56" s="9">
        <f>150-10</f>
        <v/>
      </c>
      <c r="H56" s="9" t="n">
        <v>127</v>
      </c>
      <c r="I56" s="9" t="n">
        <v>127</v>
      </c>
      <c r="J56" s="9" t="n">
        <v>127</v>
      </c>
      <c r="K56" s="9" t="n">
        <v>122</v>
      </c>
      <c r="L56" s="190" t="n">
        <v>132</v>
      </c>
      <c r="M56" s="9" t="n">
        <v>132</v>
      </c>
      <c r="N56" s="9" t="n">
        <v>132</v>
      </c>
      <c r="O56" s="9" t="n">
        <v>132</v>
      </c>
      <c r="P56" s="9" t="n">
        <v>132</v>
      </c>
      <c r="Q56" s="9" t="n">
        <v>131</v>
      </c>
      <c r="R56" s="9" t="n">
        <v>125</v>
      </c>
      <c r="S56" s="9" t="n">
        <v>125</v>
      </c>
      <c r="T56" s="9" t="n">
        <v>125</v>
      </c>
      <c r="U56" s="9" t="n">
        <v>125</v>
      </c>
      <c r="V56" s="9" t="n">
        <v>125</v>
      </c>
      <c r="W56" s="9" t="n">
        <v>125</v>
      </c>
      <c r="X56" s="9" t="n">
        <v>125</v>
      </c>
      <c r="Y56" s="9" t="n">
        <v>125</v>
      </c>
      <c r="Z56" s="9">
        <f>124-124</f>
        <v/>
      </c>
      <c r="AA56" s="9" t="n">
        <v>0</v>
      </c>
      <c r="AB56" s="9" t="n">
        <v>0</v>
      </c>
      <c r="AC56" s="9" t="n">
        <v>0</v>
      </c>
      <c r="AD56" s="9" t="n"/>
      <c r="AE56" s="9" t="n"/>
      <c r="AF56" s="9" t="n"/>
      <c r="AG56" s="9" t="n"/>
      <c r="AH56" s="9" t="n"/>
      <c r="AI56" s="9" t="n"/>
      <c r="AJ56" s="9" t="n"/>
      <c r="AK56" s="9" t="n"/>
      <c r="AL56" s="9" t="n"/>
      <c r="AM56" s="9" t="n"/>
      <c r="AN56" s="9" t="n"/>
      <c r="AO56" s="9" t="n"/>
      <c r="AP56" s="9" t="n"/>
      <c r="AQ56" s="9" t="n"/>
      <c r="AR56" s="9" t="n"/>
      <c r="AS56" s="9" t="n"/>
      <c r="AT56" s="9" t="n"/>
      <c r="AU56" s="9" t="n"/>
      <c r="AV56" s="9" t="n"/>
      <c r="AW56" s="9" t="n"/>
      <c r="AX56" s="9" t="n"/>
      <c r="AY56" s="9" t="n"/>
      <c r="AZ56" s="9" t="n"/>
      <c r="BA56" s="9" t="n"/>
      <c r="BB56" s="9" t="n"/>
      <c r="BC56" s="9" t="n"/>
      <c r="BD56" s="9" t="n"/>
      <c r="BE56" s="9" t="n"/>
      <c r="BF56" s="9" t="n"/>
      <c r="BG56" s="9" t="n"/>
      <c r="BH56" s="9" t="n"/>
      <c r="BI56" s="9" t="n"/>
      <c r="BJ56" s="9" t="n"/>
      <c r="BK56" s="9" t="n"/>
      <c r="BL56" s="9" t="n"/>
      <c r="BM56" s="9" t="n"/>
      <c r="BN56" s="9" t="n"/>
      <c r="BO56" s="9" t="n"/>
      <c r="BP56" s="9" t="n"/>
      <c r="BQ56" s="9" t="n"/>
      <c r="BR56" s="9" t="n"/>
      <c r="BS56" s="9" t="n"/>
      <c r="BT56" s="9" t="n"/>
      <c r="BU56" s="9" t="n"/>
      <c r="BV56" s="9" t="n"/>
      <c r="BW56" s="9" t="n"/>
      <c r="BX56" s="9" t="n"/>
      <c r="BY56" s="9" t="n"/>
      <c r="BZ56" s="9" t="n"/>
      <c r="CA56" s="9" t="n"/>
      <c r="CB56" s="9" t="n"/>
      <c r="CC56" s="9" t="n"/>
      <c r="CD56" s="9" t="n"/>
      <c r="CE56" s="9" t="n"/>
      <c r="CF56" s="154">
        <f>CD56+IF(NOT(ISBLANK(OFFSET(CF56,0,6))),N(OFFSET(CF56,0,6)),N(OFFSET(CF56,0,7)))-CE56</f>
        <v/>
      </c>
      <c r="CH56" s="730" t="n"/>
      <c r="CI56" s="730" t="n"/>
      <c r="CJ56" s="730" t="n"/>
      <c r="CK56" s="27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18" t="n"/>
      <c r="DP56" s="18" t="n"/>
      <c r="DQ56" s="18" t="n"/>
      <c r="DR56" s="18" t="n"/>
      <c r="DS56" s="396" t="n"/>
      <c r="DT56" s="18" t="n"/>
      <c r="DU56" s="18" t="n"/>
      <c r="DV56" s="18" t="n"/>
      <c r="DW56" s="18" t="n"/>
      <c r="DX56" s="18" t="n"/>
      <c r="DY56" s="18" t="n"/>
      <c r="DZ56" s="18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18" t="n"/>
      <c r="ET56" s="251" t="n"/>
      <c r="EU56" s="18" t="n"/>
      <c r="EV56" s="18" t="n"/>
      <c r="EW56" s="260" t="n"/>
      <c r="EX56" s="260" t="n"/>
      <c r="EY56" s="18" t="n"/>
      <c r="EZ56" s="18" t="n"/>
      <c r="FA56" s="260" t="n"/>
      <c r="FB56" s="260" t="n"/>
      <c r="FC56" s="18" t="n"/>
      <c r="FD56" s="260" t="n"/>
      <c r="FE56" s="18" t="n"/>
      <c r="FF56" s="260" t="n"/>
      <c r="FG56" s="260" t="n"/>
      <c r="FH56" s="251" t="n"/>
      <c r="FI56" s="239" t="inlineStr">
        <is>
          <t>50 P/ ER</t>
        </is>
      </c>
      <c r="FJ56" s="18" t="n"/>
      <c r="FK56" s="18" t="n"/>
      <c r="FL56" s="18" t="n"/>
      <c r="FM56" s="18" t="n"/>
      <c r="FN56" s="18" t="n"/>
      <c r="FO56" s="18" t="n"/>
      <c r="FP56" s="18" t="n"/>
      <c r="FQ56" s="18" t="n"/>
      <c r="FR56" s="18" t="n"/>
      <c r="FS56" s="18" t="n"/>
      <c r="FT56" s="18" t="n"/>
      <c r="FU56" s="18" t="n"/>
      <c r="FV56" s="18" t="n"/>
      <c r="FW56" s="18" t="n"/>
      <c r="FX56" s="251" t="n"/>
      <c r="FY56" s="18" t="n"/>
      <c r="FZ56" s="18" t="n"/>
      <c r="GA56" s="18" t="n"/>
      <c r="GB56" s="18" t="n"/>
      <c r="GC56" s="18" t="n"/>
      <c r="GD56" s="18" t="n"/>
      <c r="GE56" s="18" t="n"/>
      <c r="GF56" s="18" t="n"/>
      <c r="GG56" s="18" t="n"/>
      <c r="GH56" s="18" t="n"/>
      <c r="GI56" s="18" t="n"/>
      <c r="GJ56" s="18" t="n"/>
      <c r="GK56" s="18" t="n"/>
      <c r="GL56" s="18" t="n"/>
      <c r="GM56" s="18" t="n"/>
      <c r="GN56" s="18" t="n"/>
      <c r="GO56" s="18" t="n"/>
      <c r="GP56" s="18" t="n"/>
      <c r="GQ56" s="18" t="n"/>
      <c r="GR56" s="18" t="n"/>
    </row>
    <row r="57" hidden="1" ht="18.75" customHeight="1">
      <c r="A57" s="43" t="inlineStr">
        <is>
          <t>CAIXA M  QDB</t>
        </is>
      </c>
      <c r="B57" s="149" t="n">
        <v>75</v>
      </c>
      <c r="C57" s="726" t="n">
        <v>225.68</v>
      </c>
      <c r="D57" s="329" t="n">
        <v>10</v>
      </c>
      <c r="F57" s="38" t="n">
        <v>40</v>
      </c>
      <c r="G57" s="38" t="n">
        <v>49</v>
      </c>
      <c r="H57" s="38" t="n">
        <v>49</v>
      </c>
      <c r="I57" s="38" t="n">
        <v>49</v>
      </c>
      <c r="J57" s="38" t="n">
        <v>49</v>
      </c>
      <c r="K57" s="38" t="n">
        <v>49</v>
      </c>
      <c r="L57" s="38" t="n">
        <v>49</v>
      </c>
      <c r="M57" s="38" t="n">
        <v>49</v>
      </c>
      <c r="N57" s="38" t="n">
        <v>49</v>
      </c>
      <c r="O57" s="38" t="n">
        <v>49</v>
      </c>
      <c r="P57" s="38" t="n">
        <v>49</v>
      </c>
      <c r="Q57" s="38" t="n">
        <v>49</v>
      </c>
      <c r="R57" s="38" t="n">
        <v>49</v>
      </c>
      <c r="S57" s="38" t="n">
        <v>49</v>
      </c>
      <c r="T57" s="38" t="n">
        <v>50</v>
      </c>
      <c r="U57" s="38" t="n">
        <v>50</v>
      </c>
      <c r="V57" s="38" t="n">
        <v>50</v>
      </c>
      <c r="W57" s="38" t="n">
        <v>50</v>
      </c>
      <c r="X57" s="38" t="n">
        <v>50</v>
      </c>
      <c r="Y57" s="38" t="n">
        <v>50</v>
      </c>
      <c r="Z57" s="38">
        <f>50-50</f>
        <v/>
      </c>
      <c r="AA57" s="38" t="n">
        <v>0</v>
      </c>
      <c r="AB57" s="38" t="n">
        <v>0</v>
      </c>
      <c r="AC57" s="38" t="n">
        <v>0</v>
      </c>
      <c r="AD57" s="38" t="n"/>
      <c r="AE57" s="38" t="n"/>
      <c r="AF57" s="38" t="n"/>
      <c r="AG57" s="38" t="n"/>
      <c r="AH57" s="38" t="n"/>
      <c r="AI57" s="38" t="n"/>
      <c r="AJ57" s="38" t="n"/>
      <c r="AK57" s="38" t="n"/>
      <c r="AL57" s="38" t="n"/>
      <c r="AM57" s="38" t="n"/>
      <c r="AN57" s="38" t="n"/>
      <c r="AO57" s="38" t="n"/>
      <c r="AP57" s="38" t="n"/>
      <c r="AQ57" s="38" t="n"/>
      <c r="AR57" s="38" t="n"/>
      <c r="AS57" s="38" t="n"/>
      <c r="AT57" s="38" t="n"/>
      <c r="AU57" s="38" t="n"/>
      <c r="AV57" s="38" t="n"/>
      <c r="AW57" s="38" t="n"/>
      <c r="AX57" s="38" t="n"/>
      <c r="AY57" s="38" t="n"/>
      <c r="AZ57" s="38" t="n"/>
      <c r="BA57" s="38" t="n"/>
      <c r="BB57" s="38" t="n"/>
      <c r="BC57" s="38" t="n"/>
      <c r="BD57" s="38" t="n"/>
      <c r="BE57" s="38" t="n"/>
      <c r="BF57" s="38" t="n"/>
      <c r="BG57" s="38" t="n"/>
      <c r="BH57" s="38" t="n"/>
      <c r="BI57" s="38" t="n"/>
      <c r="BJ57" s="38" t="n"/>
      <c r="BK57" s="38" t="n"/>
      <c r="BL57" s="38" t="n"/>
      <c r="BM57" s="38" t="n"/>
      <c r="BN57" s="38" t="n"/>
      <c r="BO57" s="38" t="n"/>
      <c r="BP57" s="38" t="n"/>
      <c r="BQ57" s="38" t="n"/>
      <c r="BR57" s="38" t="n"/>
      <c r="BS57" s="38" t="n"/>
      <c r="BT57" s="38" t="n"/>
      <c r="BU57" s="38" t="n"/>
      <c r="BV57" s="38" t="n"/>
      <c r="BW57" s="38" t="n"/>
      <c r="BX57" s="38" t="n"/>
      <c r="BY57" s="38" t="n"/>
      <c r="BZ57" s="38" t="n"/>
      <c r="CA57" s="38" t="n"/>
      <c r="CB57" s="38" t="n"/>
      <c r="CC57" s="9" t="n"/>
      <c r="CD57" s="9" t="n"/>
      <c r="CE57" s="9" t="n"/>
      <c r="CF57" s="154">
        <f>CD57+IF(NOT(ISBLANK(OFFSET(CF57,0,6))),N(OFFSET(CF57,0,6)),N(OFFSET(CF57,0,7)))-CE57</f>
        <v/>
      </c>
      <c r="CH57" s="730" t="n"/>
      <c r="CI57" s="730" t="n"/>
      <c r="CJ57" s="730" t="n"/>
      <c r="CK57" s="27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18" t="n"/>
      <c r="DP57" s="18" t="n"/>
      <c r="DQ57" s="18" t="n"/>
      <c r="DR57" s="18" t="n"/>
      <c r="DS57" s="396" t="n"/>
      <c r="DT57" s="18" t="n"/>
      <c r="DU57" s="18" t="n"/>
      <c r="DV57" s="18" t="n"/>
      <c r="DW57" s="18" t="n"/>
      <c r="DX57" s="18" t="n"/>
      <c r="DY57" s="18" t="n"/>
      <c r="DZ57" s="18" t="n"/>
      <c r="EA57" s="18" t="n"/>
      <c r="EB57" s="18" t="n"/>
      <c r="EC57" s="18" t="n"/>
      <c r="ED57" s="18" t="n"/>
      <c r="EE57" s="18" t="n"/>
      <c r="EF57" s="18" t="n"/>
      <c r="EG57" s="18" t="n"/>
      <c r="EH57" s="18" t="n"/>
      <c r="EI57" s="18" t="n"/>
      <c r="EJ57" s="18" t="n"/>
      <c r="EK57" s="18" t="n"/>
      <c r="EL57" s="18" t="n"/>
      <c r="EM57" s="18" t="n"/>
      <c r="EN57" s="18" t="n"/>
      <c r="EO57" s="18" t="n"/>
      <c r="EP57" s="18" t="n"/>
      <c r="EQ57" s="18" t="n"/>
      <c r="ER57" s="18" t="n"/>
      <c r="ES57" s="18" t="n"/>
      <c r="ET57" s="251" t="n"/>
      <c r="EU57" s="18" t="n"/>
      <c r="EV57" s="18" t="n"/>
      <c r="EW57" s="260" t="n"/>
      <c r="EX57" s="260" t="n"/>
      <c r="EY57" s="18" t="n"/>
      <c r="EZ57" s="18" t="n"/>
      <c r="FA57" s="260" t="n"/>
      <c r="FB57" s="260" t="n"/>
      <c r="FC57" s="18" t="n"/>
      <c r="FD57" s="260" t="n"/>
      <c r="FE57" s="18" t="n"/>
      <c r="FF57" s="260" t="n"/>
      <c r="FG57" s="260" t="n"/>
      <c r="FH57" s="251" t="n"/>
      <c r="FI57" s="239" t="inlineStr">
        <is>
          <t>138 P/ ER</t>
        </is>
      </c>
      <c r="FJ57" s="260" t="n"/>
      <c r="FK57" s="18" t="n"/>
      <c r="FL57" s="18" t="n"/>
      <c r="FM57" s="18" t="n"/>
      <c r="FN57" s="18" t="n"/>
      <c r="FO57" s="18" t="n"/>
      <c r="FP57" s="18" t="n"/>
      <c r="FQ57" s="18" t="n"/>
      <c r="FR57" s="18" t="n"/>
      <c r="FS57" s="18" t="n"/>
      <c r="FT57" s="18" t="n"/>
      <c r="FU57" s="18" t="n"/>
      <c r="FV57" s="18" t="n"/>
      <c r="FW57" s="18" t="n"/>
      <c r="FX57" s="251" t="n"/>
      <c r="FY57" s="18" t="n"/>
      <c r="FZ57" s="18" t="n"/>
      <c r="GA57" s="18" t="n"/>
      <c r="GB57" s="18" t="n"/>
      <c r="GC57" s="18" t="n"/>
      <c r="GD57" s="260" t="n"/>
      <c r="GE57" s="18" t="n"/>
      <c r="GF57" s="18" t="n"/>
      <c r="GG57" s="18" t="n"/>
      <c r="GH57" s="260" t="n"/>
      <c r="GI57" s="260" t="n"/>
      <c r="GJ57" s="260" t="n"/>
      <c r="GK57" s="18" t="n"/>
      <c r="GL57" s="239" t="inlineStr">
        <is>
          <t>10 P/ ER PBE</t>
        </is>
      </c>
      <c r="GM57" s="18" t="n"/>
      <c r="GN57" s="18" t="n"/>
      <c r="GO57" s="18" t="n"/>
      <c r="GP57" s="18" t="n">
        <v>100</v>
      </c>
      <c r="GQ57" s="18" t="n"/>
      <c r="GR57" s="18" t="n"/>
    </row>
    <row r="58" hidden="1" ht="18.75" customHeight="1">
      <c r="A58" s="43" t="inlineStr">
        <is>
          <t>CAIXA G  QDB</t>
        </is>
      </c>
      <c r="B58" s="149" t="n">
        <v>100</v>
      </c>
      <c r="C58" s="726" t="n">
        <v>306</v>
      </c>
      <c r="D58" s="329" t="n">
        <v>5</v>
      </c>
      <c r="F58" s="38" t="n">
        <v>0</v>
      </c>
      <c r="G58" s="38">
        <f>100-10</f>
        <v/>
      </c>
      <c r="H58" s="38" t="n">
        <v>134</v>
      </c>
      <c r="I58" s="38" t="n">
        <v>134</v>
      </c>
      <c r="J58" s="38" t="n">
        <v>134</v>
      </c>
      <c r="K58" s="38" t="n">
        <v>134</v>
      </c>
      <c r="L58" s="261" t="n">
        <v>143</v>
      </c>
      <c r="M58" s="38" t="n">
        <v>143</v>
      </c>
      <c r="N58" s="38" t="n">
        <v>143</v>
      </c>
      <c r="O58" s="38" t="n">
        <v>143</v>
      </c>
      <c r="P58" s="38" t="n">
        <v>143</v>
      </c>
      <c r="Q58" s="38" t="n">
        <v>142</v>
      </c>
      <c r="R58" s="38" t="n">
        <v>141</v>
      </c>
      <c r="S58" s="38" t="n">
        <v>141</v>
      </c>
      <c r="T58" s="38" t="n">
        <v>141</v>
      </c>
      <c r="U58" s="38" t="n">
        <v>141</v>
      </c>
      <c r="V58" s="38" t="n">
        <v>141</v>
      </c>
      <c r="W58" s="38" t="n">
        <v>141</v>
      </c>
      <c r="X58" s="38" t="n">
        <v>141</v>
      </c>
      <c r="Y58" s="38" t="n">
        <v>139</v>
      </c>
      <c r="Z58" s="38">
        <f>138-138</f>
        <v/>
      </c>
      <c r="AA58" s="38" t="n">
        <v>0</v>
      </c>
      <c r="AB58" s="38" t="n">
        <v>0</v>
      </c>
      <c r="AC58" s="38" t="n">
        <v>0</v>
      </c>
      <c r="AD58" s="38" t="n"/>
      <c r="AE58" s="38" t="n"/>
      <c r="AF58" s="38" t="n"/>
      <c r="AG58" s="38" t="n"/>
      <c r="AH58" s="38" t="n"/>
      <c r="AI58" s="38" t="n"/>
      <c r="AJ58" s="38" t="n"/>
      <c r="AK58" s="38" t="n"/>
      <c r="AL58" s="38" t="n"/>
      <c r="AM58" s="38" t="n"/>
      <c r="AN58" s="38" t="n"/>
      <c r="AO58" s="38" t="n"/>
      <c r="AP58" s="38" t="n"/>
      <c r="AQ58" s="38" t="n"/>
      <c r="AR58" s="38" t="n"/>
      <c r="AS58" s="38" t="n"/>
      <c r="AT58" s="38" t="n"/>
      <c r="AU58" s="38" t="n"/>
      <c r="AV58" s="38" t="n"/>
      <c r="AW58" s="38" t="n"/>
      <c r="AX58" s="38" t="n"/>
      <c r="AY58" s="38" t="n"/>
      <c r="AZ58" s="38" t="n"/>
      <c r="BA58" s="38" t="n"/>
      <c r="BB58" s="38" t="n"/>
      <c r="BC58" s="38" t="n"/>
      <c r="BD58" s="38" t="n"/>
      <c r="BE58" s="38" t="n"/>
      <c r="BF58" s="38" t="n"/>
      <c r="BG58" s="38" t="n"/>
      <c r="BH58" s="38" t="n"/>
      <c r="BI58" s="38" t="n"/>
      <c r="BJ58" s="38" t="n"/>
      <c r="BK58" s="38" t="n"/>
      <c r="BL58" s="38" t="n"/>
      <c r="BM58" s="38" t="n"/>
      <c r="BN58" s="38" t="n"/>
      <c r="BO58" s="38" t="n"/>
      <c r="BP58" s="38" t="n"/>
      <c r="BQ58" s="38" t="n"/>
      <c r="BR58" s="38" t="n"/>
      <c r="BS58" s="38" t="n"/>
      <c r="BT58" s="38" t="n"/>
      <c r="BU58" s="38" t="n"/>
      <c r="BV58" s="38" t="n"/>
      <c r="BW58" s="38" t="n"/>
      <c r="BX58" s="38" t="n"/>
      <c r="BY58" s="38" t="n"/>
      <c r="BZ58" s="38" t="n"/>
      <c r="CA58" s="38" t="n"/>
      <c r="CB58" s="38" t="n"/>
      <c r="CC58" s="9" t="n"/>
      <c r="CD58" s="9" t="n"/>
      <c r="CE58" s="9" t="n"/>
      <c r="CF58" s="154">
        <f>CD58+IF(NOT(ISBLANK(OFFSET(CF58,0,6))),N(OFFSET(CF58,0,6)),N(OFFSET(CF58,0,7)))-CE58</f>
        <v/>
      </c>
      <c r="CH58" s="731" t="n"/>
      <c r="CI58" s="731" t="n"/>
      <c r="CJ58" s="731" t="n"/>
      <c r="CK58" s="65" t="n"/>
      <c r="CL58" s="18" t="n"/>
      <c r="CM58" s="18" t="n"/>
      <c r="CN58" s="18" t="n"/>
      <c r="CO58" s="18" t="n"/>
      <c r="CP58" s="18" t="n"/>
      <c r="CQ58" s="18" t="n"/>
      <c r="CR58" s="18" t="n"/>
      <c r="CS58" s="18" t="n"/>
      <c r="CT58" s="18" t="n"/>
      <c r="CU58" s="18" t="n"/>
      <c r="CV58" s="18" t="n"/>
      <c r="CW58" s="18" t="n"/>
      <c r="CX58" s="18" t="n"/>
      <c r="CY58" s="18" t="n"/>
      <c r="CZ58" s="18" t="n"/>
      <c r="DA58" s="18" t="n"/>
      <c r="DB58" s="18" t="n"/>
      <c r="DC58" s="18" t="n"/>
      <c r="DD58" s="18" t="n"/>
      <c r="DE58" s="18" t="n"/>
      <c r="DF58" s="18" t="n"/>
      <c r="DG58" s="18" t="n"/>
      <c r="DH58" s="18" t="n"/>
      <c r="DI58" s="18" t="n"/>
      <c r="DJ58" s="18" t="n"/>
      <c r="DK58" s="18" t="n"/>
      <c r="DL58" s="18" t="n"/>
      <c r="DM58" s="18" t="n"/>
      <c r="DN58" s="18" t="n"/>
      <c r="DO58" s="18" t="n"/>
      <c r="DP58" s="18" t="n"/>
      <c r="DQ58" s="18" t="n"/>
      <c r="DR58" s="18" t="n"/>
      <c r="DS58" s="396" t="n"/>
      <c r="DT58" s="18" t="n"/>
      <c r="DU58" s="18" t="n"/>
      <c r="EP58" s="18" t="n"/>
      <c r="ET58" s="271" t="n"/>
      <c r="FH58" s="271" t="n"/>
      <c r="FX58" s="271" t="n"/>
    </row>
    <row r="59" ht="18.75" customHeight="1">
      <c r="DS59" s="396" t="n"/>
      <c r="DV59" s="654" t="n">
        <v>45915</v>
      </c>
      <c r="DW59" s="654" t="n">
        <v>45909</v>
      </c>
      <c r="DX59" s="654" t="n">
        <v>45903</v>
      </c>
      <c r="DY59" s="654" t="n">
        <v>45903</v>
      </c>
      <c r="DZ59" s="654" t="n">
        <v>45895</v>
      </c>
      <c r="EA59" s="654" t="n">
        <v>45881</v>
      </c>
      <c r="EB59" s="679" t="n">
        <v>45896</v>
      </c>
      <c r="EC59" s="654" t="n">
        <v>45888</v>
      </c>
      <c r="ED59" s="679" t="n">
        <v>45839</v>
      </c>
      <c r="EE59" s="654" t="n">
        <v>45874</v>
      </c>
      <c r="EF59" s="654" t="n">
        <v>45867</v>
      </c>
      <c r="EG59" s="655" t="n">
        <v>45882</v>
      </c>
      <c r="EH59" s="655" t="n">
        <v>45881</v>
      </c>
      <c r="EI59" s="654" t="n">
        <v>45874</v>
      </c>
      <c r="EJ59" s="654" t="n">
        <v>45867</v>
      </c>
      <c r="EK59" s="654" t="n">
        <v>45860</v>
      </c>
      <c r="EL59" s="655" t="n">
        <v>45863</v>
      </c>
      <c r="EM59" s="655" t="n">
        <v>45860</v>
      </c>
      <c r="EN59" s="654" t="n">
        <v>45860</v>
      </c>
      <c r="EO59" s="654" t="n">
        <v>45853</v>
      </c>
      <c r="EP59" s="681" t="n">
        <v>45855</v>
      </c>
      <c r="EQ59" s="654" t="n">
        <v>45848</v>
      </c>
      <c r="ER59" s="654" t="n">
        <v>45839</v>
      </c>
      <c r="ES59" s="654" t="n">
        <v>45832</v>
      </c>
      <c r="ET59" s="650" t="n">
        <v>45842</v>
      </c>
      <c r="EU59" s="654" t="n">
        <v>45832</v>
      </c>
      <c r="EV59" s="654" t="n">
        <v>45825</v>
      </c>
      <c r="EW59" s="655" t="n">
        <v>45826</v>
      </c>
      <c r="EX59" s="655" t="n">
        <v>45825</v>
      </c>
      <c r="EY59" s="654" t="n">
        <v>45819</v>
      </c>
      <c r="EZ59" s="654" t="n">
        <v>45813</v>
      </c>
      <c r="FA59" s="655" t="n">
        <v>45820</v>
      </c>
      <c r="FB59" s="655" t="n">
        <v>45818</v>
      </c>
      <c r="FC59" s="654" t="n">
        <v>45805</v>
      </c>
      <c r="FD59" s="655" t="n">
        <v>45807</v>
      </c>
      <c r="FE59" s="654" t="n">
        <v>45790</v>
      </c>
      <c r="FF59" s="655" t="n">
        <v>45799</v>
      </c>
      <c r="FG59" s="690" t="n">
        <v>45799</v>
      </c>
      <c r="FH59" s="650" t="n">
        <v>45798</v>
      </c>
      <c r="FI59" s="655" t="n">
        <v>45798</v>
      </c>
      <c r="FJ59" s="655" t="n">
        <v>45797</v>
      </c>
      <c r="FK59" s="654" t="n">
        <v>45790</v>
      </c>
      <c r="FL59" s="654" t="n">
        <v>45783</v>
      </c>
      <c r="FM59" s="654" t="n">
        <v>45775</v>
      </c>
      <c r="FN59" s="654" t="n">
        <v>45756</v>
      </c>
      <c r="FO59" s="654" t="n">
        <v>45770</v>
      </c>
      <c r="FP59" s="654" t="n">
        <v>45756</v>
      </c>
      <c r="FQ59" s="654" t="n">
        <v>45749</v>
      </c>
      <c r="FR59" s="654" t="n">
        <v>45736</v>
      </c>
      <c r="FS59" s="654" t="n">
        <v>45743</v>
      </c>
      <c r="FT59" s="654" t="n">
        <v>45735</v>
      </c>
      <c r="FU59" s="654" t="n">
        <v>45728</v>
      </c>
      <c r="FV59" s="654" t="n">
        <v>45722</v>
      </c>
      <c r="FW59" s="654" t="n">
        <v>45714</v>
      </c>
      <c r="FX59" s="650" t="n">
        <v>45700</v>
      </c>
      <c r="FY59" s="654" t="n">
        <v>45706</v>
      </c>
      <c r="FZ59" s="654" t="n">
        <v>45700</v>
      </c>
      <c r="GA59" s="654" t="n">
        <v>45684</v>
      </c>
      <c r="GB59" s="654" t="n">
        <v>45699</v>
      </c>
      <c r="GC59" s="654" t="n">
        <v>45699</v>
      </c>
      <c r="GD59" s="655" t="n">
        <v>45706</v>
      </c>
      <c r="GE59" s="654" t="n">
        <v>45693</v>
      </c>
      <c r="GF59" s="654" t="n">
        <v>45693</v>
      </c>
      <c r="GG59" s="654" t="n">
        <v>45685</v>
      </c>
      <c r="GH59" s="712" t="n">
        <v>45692</v>
      </c>
      <c r="GI59" s="655" t="n">
        <v>45691</v>
      </c>
      <c r="GJ59" s="655" t="n">
        <v>45681</v>
      </c>
      <c r="GK59" s="654" t="n">
        <v>45674</v>
      </c>
      <c r="GL59" s="655" t="n">
        <v>45672</v>
      </c>
      <c r="GM59" s="654" t="n">
        <v>45664</v>
      </c>
      <c r="GN59" s="654" t="n">
        <v>46008</v>
      </c>
      <c r="GO59" s="654" t="n">
        <v>45660</v>
      </c>
      <c r="GP59" s="654" t="n">
        <v>45652</v>
      </c>
      <c r="GQ59" s="654" t="n">
        <v>45638</v>
      </c>
      <c r="GR59" s="654" t="n">
        <v>45643</v>
      </c>
    </row>
    <row r="60" ht="18.75" customHeight="1">
      <c r="A60" s="202" t="inlineStr">
        <is>
          <t>SACOLAS E CAIXAS EUDORA</t>
        </is>
      </c>
      <c r="B60" s="203" t="inlineStr">
        <is>
          <t>MÓD</t>
        </is>
      </c>
      <c r="C60" s="203" t="n"/>
      <c r="D60" s="203" t="n"/>
      <c r="F60" s="650" t="n">
        <v>45656</v>
      </c>
      <c r="G60" s="650" t="n">
        <v>45663</v>
      </c>
      <c r="H60" s="650" t="n">
        <v>45670</v>
      </c>
      <c r="I60" s="650" t="n">
        <v>45677</v>
      </c>
      <c r="J60" s="650" t="n">
        <v>45684</v>
      </c>
      <c r="K60" s="650" t="n">
        <v>45691</v>
      </c>
      <c r="L60" s="650" t="n">
        <v>45698</v>
      </c>
      <c r="M60" s="650" t="n">
        <v>45705</v>
      </c>
      <c r="N60" s="650" t="n">
        <v>45712</v>
      </c>
      <c r="O60" s="650" t="n">
        <v>45719</v>
      </c>
      <c r="P60" s="650" t="n">
        <v>45726</v>
      </c>
      <c r="Q60" s="650" t="n">
        <v>45733</v>
      </c>
      <c r="R60" s="650" t="n">
        <v>45740</v>
      </c>
      <c r="S60" s="650" t="n">
        <v>45747</v>
      </c>
      <c r="T60" s="650" t="n">
        <v>45754</v>
      </c>
      <c r="U60" s="650" t="n">
        <v>45761</v>
      </c>
      <c r="V60" s="650" t="n">
        <v>45768</v>
      </c>
      <c r="W60" s="650" t="n">
        <v>45775</v>
      </c>
      <c r="X60" s="650" t="n">
        <v>45782</v>
      </c>
      <c r="Y60" s="650" t="n">
        <v>45789</v>
      </c>
      <c r="Z60" s="650" t="n">
        <v>45796</v>
      </c>
      <c r="AA60" s="650" t="n">
        <v>45803</v>
      </c>
      <c r="AB60" s="650" t="n">
        <v>45810</v>
      </c>
      <c r="AC60" s="650" t="n">
        <v>45817</v>
      </c>
      <c r="AD60" s="650" t="n">
        <v>45824</v>
      </c>
      <c r="AE60" s="650" t="n">
        <v>45831</v>
      </c>
      <c r="AF60" s="650" t="n">
        <v>45838</v>
      </c>
      <c r="AG60" s="650" t="n">
        <v>45845</v>
      </c>
      <c r="AH60" s="650" t="n">
        <v>45852</v>
      </c>
      <c r="AI60" s="650" t="n">
        <v>45859</v>
      </c>
      <c r="AJ60" s="650" t="n">
        <v>45866</v>
      </c>
      <c r="AK60" s="650" t="n">
        <v>45873</v>
      </c>
      <c r="AL60" s="650" t="n">
        <v>45880</v>
      </c>
      <c r="AM60" s="650" t="n">
        <v>45887</v>
      </c>
      <c r="AN60" s="650" t="n">
        <v>45894</v>
      </c>
      <c r="AO60" s="650" t="n">
        <v>45901</v>
      </c>
      <c r="AP60" s="650" t="n">
        <v>45908</v>
      </c>
      <c r="AQ60" s="650" t="n">
        <v>45915</v>
      </c>
      <c r="AR60" s="650" t="n">
        <v>45922</v>
      </c>
      <c r="AS60" s="650" t="n">
        <v>45929</v>
      </c>
      <c r="AT60" s="650" t="n">
        <v>45936</v>
      </c>
      <c r="AU60" s="650" t="n">
        <v>45943</v>
      </c>
      <c r="AV60" s="650" t="n">
        <v>45950</v>
      </c>
      <c r="AW60" s="650" t="n">
        <v>45957</v>
      </c>
      <c r="AX60" s="650" t="n">
        <v>45964</v>
      </c>
      <c r="AY60" s="650" t="n">
        <v>45971</v>
      </c>
      <c r="AZ60" s="650" t="n">
        <v>45978</v>
      </c>
      <c r="BA60" s="650" t="n">
        <v>45985</v>
      </c>
      <c r="BB60" s="650" t="n">
        <v>45992</v>
      </c>
      <c r="BC60" s="650" t="n">
        <v>45999</v>
      </c>
      <c r="BD60" s="650" t="n">
        <v>46006</v>
      </c>
      <c r="BE60" s="650" t="n">
        <v>46013</v>
      </c>
      <c r="BF60" s="650" t="n">
        <v>46020</v>
      </c>
      <c r="BG60" s="650" t="n">
        <v>46027</v>
      </c>
      <c r="BH60" s="650" t="n">
        <v>46034</v>
      </c>
      <c r="BI60" s="650" t="n">
        <v>46041</v>
      </c>
      <c r="BJ60" s="650" t="n">
        <v>46048</v>
      </c>
      <c r="BK60" s="650" t="n">
        <v>46055</v>
      </c>
      <c r="BL60" s="650" t="n">
        <v>46062</v>
      </c>
      <c r="BM60" s="650" t="n">
        <v>46069</v>
      </c>
      <c r="BN60" s="650" t="n">
        <v>46076</v>
      </c>
      <c r="BO60" s="650" t="n">
        <v>46083</v>
      </c>
      <c r="BP60" s="650" t="n">
        <v>46090</v>
      </c>
      <c r="BQ60" s="650" t="n">
        <v>46097</v>
      </c>
      <c r="BR60" s="650" t="n">
        <v>46104</v>
      </c>
      <c r="BS60" s="650" t="n">
        <v>46111</v>
      </c>
      <c r="BT60" s="650" t="n">
        <v>46118</v>
      </c>
      <c r="BU60" s="650" t="n">
        <v>46125</v>
      </c>
      <c r="BV60" s="650" t="n">
        <v>46132</v>
      </c>
      <c r="BW60" s="650" t="n">
        <v>46139</v>
      </c>
      <c r="BX60" s="650" t="n">
        <v>46146</v>
      </c>
      <c r="BY60" s="650" t="n">
        <v>46154</v>
      </c>
      <c r="BZ60" s="650" t="n">
        <v>46160</v>
      </c>
      <c r="CA60" s="650" t="n">
        <v>46160</v>
      </c>
      <c r="CB60" s="650" t="n">
        <v>46160</v>
      </c>
      <c r="CC60" s="651" t="n">
        <v>46161.48003686342</v>
      </c>
      <c r="CD60" s="651" t="n">
        <v>46161.48071633102</v>
      </c>
      <c r="CE60" s="651" t="n">
        <v>46161.48287467281</v>
      </c>
      <c r="CF60" s="652" t="inlineStr">
        <is>
          <t>USOU</t>
        </is>
      </c>
      <c r="CH60" s="35" t="inlineStr">
        <is>
          <t>Pend.</t>
        </is>
      </c>
      <c r="CI60" s="413" t="inlineStr">
        <is>
          <t>TRANSFERÊNCIA</t>
        </is>
      </c>
      <c r="CJ60" s="35" t="inlineStr">
        <is>
          <t>Pend.</t>
        </is>
      </c>
      <c r="CK60" s="12" t="inlineStr">
        <is>
          <t>Novo Pedido</t>
        </is>
      </c>
      <c r="CL60" s="708" t="n">
        <v>46161.48287348035</v>
      </c>
      <c r="CM60" s="654" t="n">
        <v>46149</v>
      </c>
      <c r="CN60" s="654" t="n">
        <v>46114</v>
      </c>
      <c r="CO60" s="654" t="n">
        <v>46099</v>
      </c>
      <c r="CP60" s="710" t="n">
        <v>46065</v>
      </c>
      <c r="CQ60" s="711" t="n">
        <v>46045</v>
      </c>
      <c r="CR60" s="654" t="n">
        <v>46076</v>
      </c>
      <c r="CS60" s="655" t="n">
        <v>46084</v>
      </c>
      <c r="CT60" s="654" t="n">
        <v>46077</v>
      </c>
      <c r="CU60" s="655" t="n">
        <v>46077</v>
      </c>
      <c r="CV60" s="654" t="n">
        <v>46071</v>
      </c>
      <c r="CW60" s="654" t="n">
        <v>46071</v>
      </c>
      <c r="CX60" s="654" t="n">
        <v>46056</v>
      </c>
      <c r="CY60" s="654" t="n">
        <v>46043</v>
      </c>
      <c r="CZ60" s="654" t="n">
        <v>46035</v>
      </c>
      <c r="DA60" s="654" t="n">
        <v>46029</v>
      </c>
      <c r="DB60" s="654" t="n">
        <v>46017</v>
      </c>
      <c r="DC60" s="654" t="n">
        <v>46001</v>
      </c>
      <c r="DD60" s="654" t="n">
        <v>46007</v>
      </c>
      <c r="DE60" s="654" t="n">
        <v>45994</v>
      </c>
      <c r="DF60" s="654" t="n">
        <v>45986</v>
      </c>
      <c r="DG60" s="654" t="n">
        <v>45986</v>
      </c>
      <c r="DH60" s="654" t="n">
        <v>45980</v>
      </c>
      <c r="DI60" s="654" t="n">
        <v>45980</v>
      </c>
      <c r="DJ60" s="654" t="n">
        <v>45973</v>
      </c>
      <c r="DK60" s="654" t="n">
        <v>45965</v>
      </c>
      <c r="DL60" s="654" t="n">
        <v>45960</v>
      </c>
      <c r="DM60" s="655" t="n">
        <v>45967</v>
      </c>
      <c r="DN60" s="654" t="n">
        <v>45937</v>
      </c>
      <c r="DO60" s="654" t="n">
        <v>45951</v>
      </c>
      <c r="DP60" s="654" t="n">
        <v>45931</v>
      </c>
      <c r="DQ60" s="654" t="n">
        <v>45923</v>
      </c>
      <c r="DR60" s="654" t="n">
        <v>45923</v>
      </c>
      <c r="DS60" s="678" t="n">
        <v>45903</v>
      </c>
      <c r="DT60" s="655" t="n">
        <v>45931</v>
      </c>
      <c r="DU60" s="688" t="n">
        <v>45931</v>
      </c>
      <c r="DV60" s="18" t="n"/>
      <c r="DW60" s="18" t="n">
        <v>2000</v>
      </c>
      <c r="DX60" s="18" t="n"/>
      <c r="DY60" s="18" t="n">
        <v>600</v>
      </c>
      <c r="DZ60" s="18" t="n"/>
      <c r="EA60" s="18" t="n">
        <v>800</v>
      </c>
      <c r="EB60" s="18" t="n"/>
      <c r="EC60" s="18" t="n">
        <v>400</v>
      </c>
      <c r="ED60" s="18" t="n"/>
      <c r="EE60" s="18" t="n"/>
      <c r="EF60" s="18" t="n"/>
      <c r="EG60" s="18" t="n"/>
      <c r="EH60" s="18" t="n"/>
      <c r="EI60" s="18" t="n">
        <v>1000</v>
      </c>
      <c r="EJ60" s="18" t="n"/>
      <c r="EK60" s="18" t="n"/>
      <c r="EL60" s="18" t="n"/>
      <c r="EM60" s="18" t="n"/>
      <c r="EN60" s="18" t="n">
        <v>1800</v>
      </c>
      <c r="EO60" s="18" t="n"/>
      <c r="EP60" s="18" t="n"/>
      <c r="EQ60" s="18" t="n">
        <v>400</v>
      </c>
      <c r="ER60" s="18" t="n">
        <v>400</v>
      </c>
      <c r="ES60" s="18" t="n"/>
      <c r="ET60" s="274" t="n"/>
      <c r="EU60" s="18" t="n">
        <v>400</v>
      </c>
      <c r="EV60" s="18" t="n">
        <v>600</v>
      </c>
      <c r="EW60" s="260" t="n"/>
      <c r="EX60" s="260" t="n"/>
      <c r="EY60" s="18" t="n"/>
      <c r="EZ60" s="18" t="n">
        <v>1800</v>
      </c>
      <c r="FA60" s="260" t="n"/>
      <c r="FB60" s="260" t="n"/>
      <c r="FC60" s="18" t="n">
        <v>600</v>
      </c>
      <c r="FD60" s="260" t="n"/>
      <c r="FE60" s="18" t="n">
        <v>800</v>
      </c>
      <c r="FF60" s="260" t="n"/>
      <c r="FG60" s="260" t="n"/>
      <c r="FH60" s="274" t="n"/>
      <c r="FI60" s="260" t="n"/>
      <c r="FJ60" s="260" t="n"/>
      <c r="FK60" s="18" t="n"/>
      <c r="FL60" s="18" t="n"/>
      <c r="FM60" s="18" t="n">
        <v>1000</v>
      </c>
      <c r="FN60" s="18" t="n"/>
      <c r="FO60" s="18" t="n">
        <v>800</v>
      </c>
      <c r="FP60" s="18" t="n"/>
      <c r="FQ60" s="18" t="n"/>
      <c r="FR60" s="18" t="n"/>
      <c r="FS60" s="18" t="n">
        <v>600</v>
      </c>
      <c r="FT60" s="18" t="n"/>
      <c r="FU60" s="18" t="n"/>
      <c r="FV60" s="18" t="n"/>
      <c r="FW60" s="18" t="n">
        <v>1000</v>
      </c>
      <c r="FX60" s="274" t="n"/>
      <c r="FY60" s="18" t="n">
        <v>1000</v>
      </c>
      <c r="FZ60" s="18" t="n"/>
      <c r="GA60" s="18" t="n"/>
      <c r="GB60" s="18" t="n">
        <v>400</v>
      </c>
      <c r="GC60" s="18" t="n"/>
      <c r="GD60" s="260" t="n"/>
      <c r="GE60" s="18" t="n"/>
      <c r="GF60" s="18" t="n">
        <v>3000</v>
      </c>
      <c r="GG60" s="18" t="n"/>
      <c r="GH60" s="260" t="n"/>
      <c r="GI60" s="260" t="n"/>
      <c r="GJ60" s="239" t="inlineStr">
        <is>
          <t>1200 P/ ER</t>
        </is>
      </c>
      <c r="GK60" s="18" t="n"/>
      <c r="GL60" s="239" t="inlineStr">
        <is>
          <t>400 P/ ER PBE</t>
        </is>
      </c>
      <c r="GM60" s="18" t="n">
        <v>800</v>
      </c>
      <c r="GN60" s="18" t="n"/>
      <c r="GO60" s="18" t="n"/>
      <c r="GP60" s="18" t="n">
        <v>2000</v>
      </c>
      <c r="GQ60" s="18" t="n">
        <v>2000</v>
      </c>
      <c r="GR60" s="18" t="n"/>
    </row>
    <row r="61" ht="18.75" customHeight="1">
      <c r="A61" s="33" t="inlineStr">
        <is>
          <t>SACOLA P EUDORA</t>
        </is>
      </c>
      <c r="B61" s="9" t="n">
        <v>200</v>
      </c>
      <c r="C61" s="662" t="n">
        <v>174.51</v>
      </c>
      <c r="D61" s="329" t="n">
        <v>1800</v>
      </c>
      <c r="F61" s="9" t="n">
        <v>0</v>
      </c>
      <c r="G61" s="9">
        <f>3800-400</f>
        <v/>
      </c>
      <c r="H61" s="9" t="n">
        <v>3000</v>
      </c>
      <c r="I61" s="9">
        <f>3000-1200</f>
        <v/>
      </c>
      <c r="J61" s="9" t="n">
        <v>1800</v>
      </c>
      <c r="K61" s="9" t="n">
        <v>800</v>
      </c>
      <c r="L61" s="9">
        <f>400+GC60</f>
        <v/>
      </c>
      <c r="M61" s="9" t="n">
        <v>2600</v>
      </c>
      <c r="N61" s="9" t="n">
        <v>1800</v>
      </c>
      <c r="O61" s="9">
        <f>2400+FT60</f>
        <v/>
      </c>
      <c r="P61" s="9" t="n">
        <v>3400</v>
      </c>
      <c r="Q61" s="9" t="n">
        <v>2600</v>
      </c>
      <c r="R61" s="9" t="n">
        <v>2000</v>
      </c>
      <c r="S61" s="9" t="n">
        <v>2000</v>
      </c>
      <c r="T61" s="9" t="n">
        <v>2000</v>
      </c>
      <c r="U61" s="9" t="n">
        <v>1400</v>
      </c>
      <c r="V61" s="9" t="n">
        <v>1000</v>
      </c>
      <c r="W61" s="9" t="n">
        <v>800</v>
      </c>
      <c r="X61" s="9" t="n">
        <v>1000</v>
      </c>
      <c r="Y61" s="9" t="n">
        <v>1200</v>
      </c>
      <c r="Z61" s="9" t="n">
        <v>800</v>
      </c>
      <c r="AA61" s="9">
        <f>200+FB60</f>
        <v/>
      </c>
      <c r="AB61" s="9">
        <f>0+EZ60</f>
        <v/>
      </c>
      <c r="AC61" s="9" t="n">
        <v>0</v>
      </c>
      <c r="AD61" s="9">
        <f>0+EW60</f>
        <v/>
      </c>
      <c r="AE61" s="9">
        <f>1400+ES60</f>
        <v/>
      </c>
      <c r="AF61" s="9">
        <f>1200+ER60</f>
        <v/>
      </c>
      <c r="AG61" s="9">
        <f>1000+EO60</f>
        <v/>
      </c>
      <c r="AH61" s="9">
        <f>1200+EN60</f>
        <v/>
      </c>
      <c r="AI61" s="9" t="n">
        <v>600</v>
      </c>
      <c r="AJ61" s="9">
        <f>600+EK60</f>
        <v/>
      </c>
      <c r="AK61" s="9" t="n">
        <v>1600</v>
      </c>
      <c r="AL61" s="9">
        <f>800+EF60</f>
        <v/>
      </c>
      <c r="AM61" s="9" t="n">
        <v>1400</v>
      </c>
      <c r="AN61" s="9">
        <f>800+DX60+DZ60</f>
        <v/>
      </c>
      <c r="AO61" s="9" t="n">
        <v>1600</v>
      </c>
      <c r="AP61" s="9" t="n">
        <v>1000</v>
      </c>
      <c r="AQ61" s="9">
        <f>800+DT60</f>
        <v/>
      </c>
      <c r="AR61" s="9" t="n">
        <v>2400</v>
      </c>
      <c r="AS61" s="9" t="n">
        <v>1800</v>
      </c>
      <c r="AT61" s="9" t="n">
        <v>1200</v>
      </c>
      <c r="AU61" s="9" t="n">
        <v>1200</v>
      </c>
      <c r="AV61" s="9" t="n">
        <v>600</v>
      </c>
      <c r="AW61" s="9">
        <f>200+DL61</f>
        <v/>
      </c>
      <c r="AX61" s="9" t="n">
        <v>600</v>
      </c>
      <c r="AY61" s="9">
        <f>0+DH61</f>
        <v/>
      </c>
      <c r="AZ61" s="9" t="n">
        <v>1800</v>
      </c>
      <c r="BA61" s="9" t="n">
        <v>1200</v>
      </c>
      <c r="BB61" s="9">
        <f>400+DE61</f>
        <v/>
      </c>
      <c r="BC61" s="9">
        <f>200+DC61+DB61</f>
        <v/>
      </c>
      <c r="BD61" s="9" t="n">
        <v>1200</v>
      </c>
      <c r="BE61" s="9">
        <f>400+DA61</f>
        <v/>
      </c>
      <c r="BF61" s="9" t="n">
        <v>1000</v>
      </c>
      <c r="BG61" s="9" t="n">
        <v>800</v>
      </c>
      <c r="BH61" s="9" t="n">
        <v>1000</v>
      </c>
      <c r="BI61" s="9" t="n">
        <v>1400</v>
      </c>
      <c r="BJ61" s="9" t="n">
        <v>1000</v>
      </c>
      <c r="BK61" s="9" t="n">
        <v>1000</v>
      </c>
      <c r="BL61" s="9">
        <f>600+CU61</f>
        <v/>
      </c>
      <c r="BM61" s="9" t="n">
        <v>1400</v>
      </c>
      <c r="BN61" s="9" t="n">
        <v>800</v>
      </c>
      <c r="BO61" s="9" t="n">
        <v>3200</v>
      </c>
      <c r="BP61" s="9" t="n">
        <v>3000</v>
      </c>
      <c r="BQ61" s="9" t="n">
        <v>2200</v>
      </c>
      <c r="BR61" s="9" t="n">
        <v>1600</v>
      </c>
      <c r="BS61" s="9" t="n">
        <v>1200</v>
      </c>
      <c r="BT61" s="9" t="n">
        <v>400</v>
      </c>
      <c r="BU61" s="9" t="n">
        <v>200</v>
      </c>
      <c r="BV61" s="9" t="n">
        <v>0</v>
      </c>
      <c r="BW61" s="9" t="n">
        <v>0</v>
      </c>
      <c r="BX61" s="9" t="n">
        <v>0</v>
      </c>
      <c r="BY61" s="9">
        <f>0+CJ61</f>
        <v/>
      </c>
      <c r="BZ61" s="9" t="n"/>
      <c r="CA61" s="9" t="n"/>
      <c r="CB61" s="9" t="n"/>
      <c r="CC61" s="9" t="n"/>
      <c r="CD61" s="9" t="n"/>
      <c r="CE61" s="9" t="n"/>
      <c r="CF61" s="154">
        <f>CD61+IF(NOT(ISBLANK(OFFSET(CF61,0,6))),N(OFFSET(CF61,0,6)),N(OFFSET(CF61,0,7)))-CE61</f>
        <v/>
      </c>
      <c r="CH61" s="127" t="n"/>
      <c r="CI61" s="127" t="n"/>
      <c r="CJ61" s="127" t="n"/>
      <c r="CK61" s="65" t="n"/>
      <c r="CL61" s="691" t="n">
        <v>0</v>
      </c>
      <c r="CM61" s="18" t="n">
        <v>800</v>
      </c>
      <c r="CN61" s="18" t="n">
        <v>600</v>
      </c>
      <c r="CO61" s="18" t="n"/>
      <c r="CP61" s="18" t="n"/>
      <c r="CQ61" s="18" t="n"/>
      <c r="CR61" s="18" t="n"/>
      <c r="CS61" s="18" t="n"/>
      <c r="CT61" s="18" t="n"/>
      <c r="CU61" s="18" t="n"/>
      <c r="CV61" s="18" t="n">
        <v>3000</v>
      </c>
      <c r="CW61" s="18" t="n"/>
      <c r="CX61" s="18" t="n">
        <v>2000</v>
      </c>
      <c r="CY61" s="18" t="n">
        <v>1000</v>
      </c>
      <c r="CZ61" s="18" t="n">
        <v>1000</v>
      </c>
      <c r="DA61" s="18" t="n"/>
      <c r="DB61" s="18" t="n">
        <v>1000</v>
      </c>
      <c r="DC61" s="18" t="n"/>
      <c r="DD61" s="18" t="n">
        <v>1000</v>
      </c>
      <c r="DE61" s="18" t="n">
        <v>800</v>
      </c>
      <c r="DF61" s="18" t="n">
        <v>1000</v>
      </c>
      <c r="DG61" s="18" t="n"/>
      <c r="DH61" s="18" t="n">
        <v>400</v>
      </c>
      <c r="DI61" s="18" t="n"/>
      <c r="DJ61" s="18" t="n"/>
      <c r="DK61" s="18" t="n">
        <v>2000</v>
      </c>
      <c r="DL61" s="18" t="n"/>
      <c r="DM61" s="18" t="n"/>
      <c r="DN61" s="18" t="n"/>
      <c r="DO61" s="18" t="n">
        <v>1200</v>
      </c>
      <c r="DP61" s="18" t="n">
        <v>800</v>
      </c>
      <c r="DQ61" s="18" t="n"/>
      <c r="DR61" s="18" t="n"/>
      <c r="DS61" s="396" t="n"/>
      <c r="DT61" s="18" t="n"/>
      <c r="DU61" s="18" t="n"/>
      <c r="DV61" s="18" t="n"/>
      <c r="DW61" s="18" t="n"/>
      <c r="DX61" s="18" t="n"/>
      <c r="DY61" s="18" t="n"/>
      <c r="DZ61" s="18" t="n"/>
      <c r="EA61" s="18" t="n"/>
      <c r="EB61" s="18" t="n"/>
      <c r="EC61" s="18" t="n"/>
      <c r="ED61" s="18" t="n"/>
      <c r="EE61" s="18" t="n"/>
      <c r="EF61" s="18" t="n"/>
      <c r="EG61" s="18" t="n"/>
      <c r="EH61" s="18" t="n"/>
      <c r="EI61" s="18" t="n"/>
      <c r="EJ61" s="18" t="n">
        <v>800</v>
      </c>
      <c r="EK61" s="18" t="n"/>
      <c r="EL61" s="18" t="n"/>
      <c r="EM61" s="18" t="n"/>
      <c r="EN61" s="18" t="n">
        <v>600</v>
      </c>
      <c r="EO61" s="18" t="n"/>
      <c r="EP61" s="18" t="n"/>
      <c r="EQ61" s="18" t="n">
        <v>200</v>
      </c>
      <c r="ER61" s="18" t="n"/>
      <c r="ES61" s="18" t="n"/>
      <c r="ET61" s="274" t="n"/>
      <c r="EU61" s="18" t="n"/>
      <c r="EV61" s="18" t="n"/>
      <c r="EW61" s="260" t="n"/>
      <c r="EX61" s="260" t="n"/>
      <c r="EY61" s="18" t="n">
        <v>400</v>
      </c>
      <c r="EZ61" s="18" t="n"/>
      <c r="FA61" s="260" t="n"/>
      <c r="FB61" s="260" t="n"/>
      <c r="FC61" s="18" t="n">
        <v>200</v>
      </c>
      <c r="FD61" s="260" t="n"/>
      <c r="FE61" s="18" t="n"/>
      <c r="FF61" s="260" t="n"/>
      <c r="FG61" s="260" t="n"/>
      <c r="FH61" s="274" t="n"/>
      <c r="FI61" s="260" t="n"/>
      <c r="FJ61" s="260" t="n"/>
      <c r="FK61" s="18" t="n">
        <v>800</v>
      </c>
      <c r="FL61" s="18" t="n"/>
      <c r="FM61" s="18" t="n"/>
      <c r="FN61" s="18" t="n"/>
      <c r="FO61" s="18" t="n"/>
      <c r="FP61" s="18" t="n">
        <v>400</v>
      </c>
      <c r="FQ61" s="18" t="n"/>
      <c r="FR61" s="18" t="n"/>
      <c r="FS61" s="18" t="n"/>
      <c r="FT61" s="18" t="n"/>
      <c r="FU61" s="18" t="n">
        <v>400</v>
      </c>
      <c r="FV61" s="18" t="n"/>
      <c r="FW61" s="18" t="n">
        <v>800</v>
      </c>
      <c r="FX61" s="274" t="n"/>
      <c r="FY61" s="18" t="n"/>
      <c r="FZ61" s="18" t="n"/>
      <c r="GA61" s="18" t="n"/>
      <c r="GB61" s="18" t="n"/>
      <c r="GC61" s="18" t="n"/>
      <c r="GD61" s="260" t="n"/>
      <c r="GE61" s="18" t="n"/>
      <c r="GF61" s="18" t="n"/>
      <c r="GG61" s="18" t="n"/>
      <c r="GH61" s="260" t="n"/>
      <c r="GI61" s="260" t="n"/>
      <c r="GJ61" s="260" t="n"/>
      <c r="GK61" s="18" t="n"/>
      <c r="GL61" s="239" t="inlineStr">
        <is>
          <t>400 P/ ER PBE</t>
        </is>
      </c>
      <c r="GM61" s="18" t="n">
        <v>800</v>
      </c>
      <c r="GN61" s="18" t="n"/>
      <c r="GO61" s="18" t="n"/>
      <c r="GP61" s="18" t="n">
        <v>600</v>
      </c>
      <c r="GQ61" s="18" t="n"/>
      <c r="GR61" s="18" t="n"/>
    </row>
    <row r="62" ht="18.75" customHeight="1">
      <c r="A62" s="33" t="inlineStr">
        <is>
          <t>SACOLA M EUDORA</t>
        </is>
      </c>
      <c r="B62" s="9" t="n">
        <v>200</v>
      </c>
      <c r="C62" s="662" t="n">
        <v>229.36</v>
      </c>
      <c r="D62" s="329" t="n">
        <v>1200</v>
      </c>
      <c r="F62" s="9">
        <f>600+#REF!</f>
        <v/>
      </c>
      <c r="G62" s="9">
        <f>1800-400</f>
        <v/>
      </c>
      <c r="H62" s="9" t="n">
        <v>2000</v>
      </c>
      <c r="I62" s="9" t="n">
        <v>2000</v>
      </c>
      <c r="J62" s="9" t="n">
        <v>2000</v>
      </c>
      <c r="K62" s="9" t="n">
        <v>2000</v>
      </c>
      <c r="L62" s="9" t="n">
        <v>1800</v>
      </c>
      <c r="M62" s="9" t="n">
        <v>1800</v>
      </c>
      <c r="N62" s="9" t="n">
        <v>1200</v>
      </c>
      <c r="O62" s="9">
        <f>1200+FT61</f>
        <v/>
      </c>
      <c r="P62" s="9" t="n">
        <v>1800</v>
      </c>
      <c r="Q62" s="9">
        <f>1400+FR61</f>
        <v/>
      </c>
      <c r="R62" s="9" t="n">
        <v>1600</v>
      </c>
      <c r="S62" s="9" t="n">
        <v>1600</v>
      </c>
      <c r="T62" s="9" t="n">
        <v>1400</v>
      </c>
      <c r="U62" s="9" t="n">
        <v>1400</v>
      </c>
      <c r="V62" s="9" t="n">
        <v>1400</v>
      </c>
      <c r="W62" s="9">
        <f>1000+FM61</f>
        <v/>
      </c>
      <c r="X62" s="9" t="n">
        <v>1200</v>
      </c>
      <c r="Y62" s="9" t="n">
        <v>600</v>
      </c>
      <c r="Z62" s="9" t="n">
        <v>1000</v>
      </c>
      <c r="AA62" s="9" t="n">
        <v>800</v>
      </c>
      <c r="AB62" s="9">
        <f>800+EZ61</f>
        <v/>
      </c>
      <c r="AC62" s="9" t="n">
        <v>800</v>
      </c>
      <c r="AD62" s="9">
        <f>800+EV61</f>
        <v/>
      </c>
      <c r="AE62" s="9" t="n">
        <v>1000</v>
      </c>
      <c r="AF62" s="9" t="n">
        <v>1000</v>
      </c>
      <c r="AG62" s="9" t="n">
        <v>1000</v>
      </c>
      <c r="AH62" s="9">
        <f>800+EN61</f>
        <v/>
      </c>
      <c r="AI62" s="9" t="n">
        <v>600</v>
      </c>
      <c r="AJ62" s="9" t="n">
        <v>1000</v>
      </c>
      <c r="AK62" s="9">
        <f>1000+EG61</f>
        <v/>
      </c>
      <c r="AL62" s="9" t="n">
        <v>1800</v>
      </c>
      <c r="AM62" s="9" t="n">
        <v>1800</v>
      </c>
      <c r="AN62" s="9" t="n">
        <v>1800</v>
      </c>
      <c r="AO62" s="9" t="n">
        <v>1800</v>
      </c>
      <c r="AP62" s="9" t="n">
        <v>1800</v>
      </c>
      <c r="AQ62" s="9" t="n">
        <v>1800</v>
      </c>
      <c r="AR62" s="9" t="n">
        <v>1800</v>
      </c>
      <c r="AS62" s="9" t="n">
        <v>1600</v>
      </c>
      <c r="AT62" s="9" t="n">
        <v>1600</v>
      </c>
      <c r="AU62" s="9" t="n">
        <v>1600</v>
      </c>
      <c r="AV62" s="9" t="n">
        <v>1200</v>
      </c>
      <c r="AW62" s="9" t="n">
        <v>1200</v>
      </c>
      <c r="AX62" s="9" t="n">
        <v>1000</v>
      </c>
      <c r="AY62" s="9" t="n">
        <v>400</v>
      </c>
      <c r="AZ62" s="9">
        <f>0+DG62</f>
        <v/>
      </c>
      <c r="BA62" s="9">
        <f>1200+DF62</f>
        <v/>
      </c>
      <c r="BB62" s="9" t="n">
        <v>1800</v>
      </c>
      <c r="BC62" s="9" t="n">
        <v>1600</v>
      </c>
      <c r="BD62" s="9" t="n">
        <v>1400</v>
      </c>
      <c r="BE62" s="9">
        <f>1200+DA62</f>
        <v/>
      </c>
      <c r="BF62" s="9" t="n">
        <v>1800</v>
      </c>
      <c r="BG62" s="9" t="n">
        <v>1800</v>
      </c>
      <c r="BH62" s="9" t="n">
        <v>1600</v>
      </c>
      <c r="BI62" s="9" t="n">
        <v>1400</v>
      </c>
      <c r="BJ62" s="9" t="n">
        <v>1400</v>
      </c>
      <c r="BK62" s="9" t="n">
        <v>1400</v>
      </c>
      <c r="BL62" s="9" t="n">
        <v>1400</v>
      </c>
      <c r="BM62" s="9" t="n">
        <v>1200</v>
      </c>
      <c r="BN62" s="9" t="n">
        <v>1200</v>
      </c>
      <c r="BO62" s="9" t="n">
        <v>1400</v>
      </c>
      <c r="BP62" s="9" t="n">
        <v>1400</v>
      </c>
      <c r="BQ62" s="9" t="n">
        <v>1400</v>
      </c>
      <c r="BR62" s="9" t="n">
        <v>1400</v>
      </c>
      <c r="BS62" s="9" t="n">
        <v>1200</v>
      </c>
      <c r="BT62" s="422" t="n">
        <v>1200</v>
      </c>
      <c r="BU62" s="422" t="n">
        <v>1200</v>
      </c>
      <c r="BV62" s="9" t="n">
        <v>800</v>
      </c>
      <c r="BW62" s="9" t="n">
        <v>600</v>
      </c>
      <c r="BX62" s="9" t="n">
        <v>400</v>
      </c>
      <c r="BY62" s="9" t="n">
        <v>400</v>
      </c>
      <c r="BZ62" s="9" t="n"/>
      <c r="CA62" s="9" t="n"/>
      <c r="CB62" s="9" t="n"/>
      <c r="CC62" s="9" t="n"/>
      <c r="CD62" s="9" t="n"/>
      <c r="CE62" s="9" t="n"/>
      <c r="CF62" s="154">
        <f>CD62+IF(NOT(ISBLANK(OFFSET(CF62,0,6))),N(OFFSET(CF62,0,6)),N(OFFSET(CF62,0,7)))-CE62</f>
        <v/>
      </c>
      <c r="CH62" s="127" t="n"/>
      <c r="CI62" s="127" t="n"/>
      <c r="CJ62" s="127" t="n"/>
      <c r="CK62" s="65" t="n"/>
      <c r="CL62" s="691" t="n">
        <v>0</v>
      </c>
      <c r="CM62" s="18" t="n">
        <v>0</v>
      </c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>
        <v>400</v>
      </c>
      <c r="CW62" s="18" t="n"/>
      <c r="CX62" s="18" t="n"/>
      <c r="CY62" s="18" t="n"/>
      <c r="CZ62" s="18" t="n"/>
      <c r="DA62" s="18" t="n"/>
      <c r="DB62" s="18" t="n"/>
      <c r="DC62" s="18" t="n"/>
      <c r="DD62" s="18" t="n">
        <v>600</v>
      </c>
      <c r="DE62" s="18" t="n"/>
      <c r="DF62" s="18" t="n"/>
      <c r="DG62" s="18" t="n"/>
      <c r="DH62" s="18" t="n"/>
      <c r="DI62" s="18" t="n">
        <v>600</v>
      </c>
      <c r="DJ62" s="18" t="n">
        <v>1200</v>
      </c>
      <c r="DK62" s="18" t="n"/>
      <c r="DL62" s="18" t="n"/>
      <c r="DM62" s="18" t="n"/>
      <c r="DN62" s="18" t="n"/>
      <c r="DO62" s="18" t="n"/>
      <c r="DP62" s="18" t="n"/>
      <c r="DQ62" s="18" t="n"/>
      <c r="DR62" s="18" t="n"/>
      <c r="DS62" s="396" t="n"/>
      <c r="DT62" s="18" t="n"/>
      <c r="DU62" s="18" t="n"/>
      <c r="DV62" s="18" t="n"/>
      <c r="DW62" s="18" t="n"/>
      <c r="DX62" s="18" t="n"/>
      <c r="DY62" s="18" t="n"/>
      <c r="DZ62" s="18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18" t="n"/>
      <c r="ET62" s="274" t="n"/>
      <c r="EU62" s="18" t="n"/>
      <c r="EV62" s="18" t="n"/>
      <c r="EW62" s="239" t="inlineStr">
        <is>
          <t>800 P/ ER PG</t>
        </is>
      </c>
      <c r="EX62" s="260" t="n"/>
      <c r="EY62" s="18" t="n"/>
      <c r="EZ62" s="18" t="n"/>
      <c r="FA62" s="18" t="n"/>
      <c r="FB62" s="18" t="n"/>
      <c r="FC62" s="18" t="n"/>
      <c r="FD62" s="18" t="n"/>
      <c r="FE62" s="18" t="n"/>
      <c r="FF62" s="18" t="n"/>
      <c r="FG62" s="18" t="n"/>
      <c r="FH62" s="274" t="n"/>
      <c r="FI62" s="18" t="n"/>
      <c r="FJ62" s="18" t="n"/>
      <c r="FK62" s="18" t="n"/>
      <c r="FL62" s="18" t="n"/>
      <c r="FM62" s="18" t="n"/>
      <c r="FN62" s="18" t="n"/>
      <c r="FO62" s="18" t="n"/>
      <c r="FP62" s="18" t="n"/>
      <c r="FQ62" s="18" t="n"/>
      <c r="FR62" s="18" t="n"/>
      <c r="FS62" s="18" t="n"/>
      <c r="FT62" s="18" t="n"/>
      <c r="FU62" s="18" t="n"/>
      <c r="FV62" s="18" t="n"/>
      <c r="FW62" s="18" t="n">
        <v>200</v>
      </c>
      <c r="FX62" s="274" t="n"/>
      <c r="FY62" s="18" t="n"/>
      <c r="FZ62" s="18" t="n"/>
      <c r="GA62" s="18" t="n"/>
      <c r="GB62" s="18" t="n"/>
      <c r="GC62" s="18" t="n"/>
      <c r="GD62" s="18" t="n"/>
      <c r="GE62" s="18" t="n"/>
      <c r="GF62" s="18" t="n"/>
      <c r="GG62" s="18" t="n"/>
      <c r="GH62" s="18" t="n"/>
      <c r="GI62" s="18" t="n"/>
      <c r="GJ62" s="18" t="n"/>
      <c r="GK62" s="18" t="n"/>
      <c r="GL62" s="18" t="n"/>
      <c r="GM62" s="18" t="n">
        <v>200</v>
      </c>
      <c r="GN62" s="18" t="n"/>
      <c r="GO62" s="18" t="n"/>
      <c r="GP62" s="18" t="n"/>
      <c r="GQ62" s="18" t="n"/>
      <c r="GR62" s="18" t="n"/>
    </row>
    <row r="63" ht="18.75" customHeight="1">
      <c r="A63" s="33" t="inlineStr">
        <is>
          <t>SACOLA G EUDORA</t>
        </is>
      </c>
      <c r="B63" s="9" t="n">
        <v>100</v>
      </c>
      <c r="C63" s="662" t="n">
        <v>166.79</v>
      </c>
      <c r="D63" s="329" t="n">
        <v>200</v>
      </c>
      <c r="F63" s="9" t="n">
        <v>700</v>
      </c>
      <c r="G63" s="9" t="n">
        <v>600</v>
      </c>
      <c r="H63" s="9" t="n">
        <v>900</v>
      </c>
      <c r="I63" s="9" t="n">
        <v>900</v>
      </c>
      <c r="J63" s="9" t="n">
        <v>900</v>
      </c>
      <c r="K63" s="9" t="n">
        <v>900</v>
      </c>
      <c r="L63" s="9" t="n">
        <v>900</v>
      </c>
      <c r="M63" s="9" t="n">
        <v>900</v>
      </c>
      <c r="N63" s="9" t="n">
        <v>700</v>
      </c>
      <c r="O63" s="9" t="n">
        <v>1100</v>
      </c>
      <c r="P63" s="9" t="n">
        <v>1100</v>
      </c>
      <c r="Q63" s="9" t="n">
        <v>1100</v>
      </c>
      <c r="R63" s="9" t="n">
        <v>1100</v>
      </c>
      <c r="S63" s="9" t="n">
        <v>1100</v>
      </c>
      <c r="T63" s="9" t="n">
        <v>1100</v>
      </c>
      <c r="U63" s="9" t="n">
        <v>1100</v>
      </c>
      <c r="V63" s="9" t="n">
        <v>1100</v>
      </c>
      <c r="W63" s="9" t="n">
        <v>1100</v>
      </c>
      <c r="X63" s="9" t="n">
        <v>1100</v>
      </c>
      <c r="Y63" s="9" t="n">
        <v>1100</v>
      </c>
      <c r="Z63" s="9" t="n">
        <v>1100</v>
      </c>
      <c r="AA63" s="9" t="n">
        <v>1100</v>
      </c>
      <c r="AB63" s="9" t="n">
        <v>1100</v>
      </c>
      <c r="AC63" s="9" t="n">
        <v>1100</v>
      </c>
      <c r="AD63" s="9">
        <f>1100-800</f>
        <v/>
      </c>
      <c r="AE63" s="9" t="n">
        <v>300</v>
      </c>
      <c r="AF63" s="9" t="n">
        <v>300</v>
      </c>
      <c r="AG63" s="9" t="n">
        <v>300</v>
      </c>
      <c r="AH63" s="9" t="n">
        <v>300</v>
      </c>
      <c r="AI63" s="9" t="n">
        <v>300</v>
      </c>
      <c r="AJ63" s="9" t="n">
        <v>300</v>
      </c>
      <c r="AK63" s="9" t="n">
        <v>300</v>
      </c>
      <c r="AL63" s="9" t="n">
        <v>300</v>
      </c>
      <c r="AM63" s="9" t="n">
        <v>300</v>
      </c>
      <c r="AN63" s="9" t="n">
        <v>300</v>
      </c>
      <c r="AO63" s="9" t="n">
        <v>300</v>
      </c>
      <c r="AP63" s="9" t="n">
        <v>300</v>
      </c>
      <c r="AQ63" s="9" t="n">
        <v>300</v>
      </c>
      <c r="AR63" s="9" t="n">
        <v>300</v>
      </c>
      <c r="AS63" s="9" t="n">
        <v>300</v>
      </c>
      <c r="AT63" s="9" t="n">
        <v>300</v>
      </c>
      <c r="AU63" s="9" t="n">
        <v>300</v>
      </c>
      <c r="AV63" s="9" t="n">
        <v>300</v>
      </c>
      <c r="AW63" s="9" t="n">
        <v>300</v>
      </c>
      <c r="AX63" s="9" t="n">
        <v>300</v>
      </c>
      <c r="AY63" s="9" t="n">
        <v>300</v>
      </c>
      <c r="AZ63" s="9" t="n">
        <v>100</v>
      </c>
      <c r="BA63" s="9">
        <f>0+DF63</f>
        <v/>
      </c>
      <c r="BB63" s="9">
        <f>300+DD63</f>
        <v/>
      </c>
      <c r="BC63" s="9" t="n">
        <v>500</v>
      </c>
      <c r="BD63" s="9" t="n">
        <v>500</v>
      </c>
      <c r="BE63" s="9" t="n">
        <v>500</v>
      </c>
      <c r="BF63" s="9" t="n">
        <v>500</v>
      </c>
      <c r="BG63" s="9" t="n">
        <v>500</v>
      </c>
      <c r="BH63" s="9" t="n">
        <v>500</v>
      </c>
      <c r="BI63" s="9" t="n">
        <v>500</v>
      </c>
      <c r="BJ63" s="9" t="n">
        <v>500</v>
      </c>
      <c r="BK63" s="9" t="n">
        <v>500</v>
      </c>
      <c r="BL63" s="9" t="n">
        <v>600</v>
      </c>
      <c r="BM63" s="9" t="n">
        <v>500</v>
      </c>
      <c r="BN63" s="9" t="n">
        <v>400</v>
      </c>
      <c r="BO63" s="9" t="n">
        <v>500</v>
      </c>
      <c r="BP63" s="9" t="n">
        <v>500</v>
      </c>
      <c r="BQ63" s="9" t="n">
        <v>500</v>
      </c>
      <c r="BR63" s="9" t="n">
        <v>400</v>
      </c>
      <c r="BS63" s="9" t="n">
        <v>400</v>
      </c>
      <c r="BT63" s="9" t="n">
        <v>500</v>
      </c>
      <c r="BU63" s="9" t="n">
        <v>500</v>
      </c>
      <c r="BV63" s="9" t="n">
        <v>400</v>
      </c>
      <c r="BW63" s="9" t="n">
        <v>300</v>
      </c>
      <c r="BX63" s="9" t="n">
        <v>500</v>
      </c>
      <c r="BY63" s="9" t="n">
        <v>500</v>
      </c>
      <c r="BZ63" s="9" t="n"/>
      <c r="CA63" s="9" t="n"/>
      <c r="CB63" s="9" t="n"/>
      <c r="CC63" s="9" t="n"/>
      <c r="CD63" s="9" t="n"/>
      <c r="CE63" s="9" t="n"/>
      <c r="CF63" s="154">
        <f>CD63+IF(NOT(ISBLANK(OFFSET(CF63,0,6))),N(OFFSET(CF63,0,6)),N(OFFSET(CF63,0,7)))-CE63</f>
        <v/>
      </c>
      <c r="CH63" s="127" t="n"/>
      <c r="CI63" s="127" t="inlineStr">
        <is>
          <t>200 P/ ER PG</t>
        </is>
      </c>
      <c r="CJ63" s="127" t="n"/>
      <c r="CK63" s="65" t="n"/>
      <c r="CL63" s="691" t="n">
        <v>0</v>
      </c>
      <c r="CM63" s="18" t="n">
        <v>0</v>
      </c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/>
      <c r="DD63" s="18" t="n"/>
      <c r="DE63" s="18" t="n"/>
      <c r="DF63" s="18" t="n"/>
      <c r="DG63" s="18" t="n">
        <v>200</v>
      </c>
      <c r="DH63" s="18" t="n"/>
      <c r="DI63" s="18" t="n">
        <v>300</v>
      </c>
      <c r="DJ63" s="18" t="n"/>
      <c r="DK63" s="18" t="n"/>
      <c r="DL63" s="18" t="n"/>
      <c r="DM63" s="18" t="n"/>
      <c r="DN63" s="18" t="n"/>
      <c r="DO63" s="18" t="n"/>
      <c r="DP63" s="18" t="n"/>
      <c r="DQ63" s="18" t="n"/>
      <c r="DR63" s="18" t="n"/>
      <c r="DS63" s="396" t="n"/>
      <c r="DT63" s="18" t="n"/>
      <c r="DU63" s="18" t="n"/>
      <c r="DV63" s="18" t="n"/>
      <c r="DW63" s="18" t="n"/>
      <c r="DX63" s="18" t="n"/>
      <c r="DY63" s="18" t="n"/>
      <c r="DZ63" s="18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18" t="n"/>
      <c r="ET63" s="275" t="n"/>
      <c r="EU63" s="18" t="n"/>
      <c r="EV63" s="18" t="n"/>
      <c r="EW63" s="260" t="n"/>
      <c r="EX63" s="260" t="n"/>
      <c r="EY63" s="18" t="n"/>
      <c r="EZ63" s="18" t="n"/>
      <c r="FA63" s="260" t="n"/>
      <c r="FB63" s="260" t="n"/>
      <c r="FC63" s="18" t="n"/>
      <c r="FD63" s="260" t="n"/>
      <c r="FE63" s="18" t="n"/>
      <c r="FF63" s="260" t="n"/>
      <c r="FG63" s="260" t="n"/>
      <c r="FH63" s="275" t="n"/>
      <c r="FI63" s="260" t="n"/>
      <c r="FJ63" s="260" t="n"/>
      <c r="FK63" s="18" t="n"/>
      <c r="FL63" s="18" t="n"/>
      <c r="FM63" s="18" t="n"/>
      <c r="FN63" s="18" t="n"/>
      <c r="FO63" s="18" t="n"/>
      <c r="FP63" s="18" t="n"/>
      <c r="FQ63" s="18" t="n"/>
      <c r="FR63" s="18" t="n"/>
      <c r="FS63" s="18" t="n">
        <v>100</v>
      </c>
      <c r="FT63" s="18" t="n"/>
      <c r="FU63" s="18" t="n">
        <v>20</v>
      </c>
      <c r="FV63" s="18" t="n"/>
      <c r="FW63" s="18" t="n"/>
      <c r="FX63" s="275" t="n"/>
      <c r="FY63" s="18" t="n"/>
      <c r="FZ63" s="18" t="n"/>
      <c r="GA63" s="18" t="n"/>
      <c r="GB63" s="18" t="n"/>
      <c r="GC63" s="18" t="n"/>
      <c r="GD63" s="260" t="n"/>
      <c r="GE63" s="18" t="n"/>
      <c r="GF63" s="18" t="n"/>
      <c r="GG63" s="18" t="n"/>
      <c r="GH63" s="260" t="n"/>
      <c r="GI63" s="260" t="n"/>
      <c r="GJ63" s="260" t="n"/>
      <c r="GK63" s="18" t="n"/>
      <c r="GL63" s="239" t="inlineStr">
        <is>
          <t>20 P/ ER PBE</t>
        </is>
      </c>
      <c r="GM63" s="18" t="n"/>
      <c r="GN63" s="18" t="n"/>
      <c r="GO63" s="18" t="n"/>
      <c r="GP63" s="18" t="n"/>
      <c r="GQ63" s="18" t="n"/>
      <c r="GR63" s="18" t="n"/>
    </row>
    <row r="64" ht="18.75" customHeight="1">
      <c r="A64" s="43" t="inlineStr">
        <is>
          <t>KIT SACOLA P EUDORA (C/ 10)</t>
        </is>
      </c>
      <c r="B64" s="149" t="n">
        <v>200</v>
      </c>
      <c r="C64" s="726" t="n">
        <v>175.36</v>
      </c>
      <c r="D64" s="329" t="n">
        <v>30</v>
      </c>
      <c r="F64" s="9" t="n">
        <v>63</v>
      </c>
      <c r="G64" s="9">
        <f>58-20</f>
        <v/>
      </c>
      <c r="H64" s="9" t="n">
        <v>19</v>
      </c>
      <c r="I64" s="9" t="n">
        <v>19</v>
      </c>
      <c r="J64" s="9" t="n">
        <v>18</v>
      </c>
      <c r="K64" s="9" t="n">
        <v>17</v>
      </c>
      <c r="L64" s="190" t="n">
        <v>44</v>
      </c>
      <c r="M64" s="9" t="n">
        <v>43</v>
      </c>
      <c r="N64" s="9" t="n">
        <v>41</v>
      </c>
      <c r="O64" s="9" t="n">
        <v>39</v>
      </c>
      <c r="P64" s="9" t="n">
        <v>36</v>
      </c>
      <c r="Q64" s="9">
        <f>25+FR63</f>
        <v/>
      </c>
      <c r="R64" s="9" t="n">
        <v>26</v>
      </c>
      <c r="S64" s="9" t="n">
        <v>23</v>
      </c>
      <c r="T64" s="9" t="n">
        <v>122</v>
      </c>
      <c r="U64" s="9" t="n">
        <v>122</v>
      </c>
      <c r="V64" s="9" t="n">
        <v>120</v>
      </c>
      <c r="W64" s="9" t="n">
        <v>119</v>
      </c>
      <c r="X64" s="9" t="n">
        <v>110</v>
      </c>
      <c r="Y64" s="9" t="n">
        <v>108</v>
      </c>
      <c r="Z64" s="9" t="n">
        <v>107</v>
      </c>
      <c r="AA64" s="9" t="n">
        <v>105</v>
      </c>
      <c r="AB64" s="9" t="n">
        <v>105</v>
      </c>
      <c r="AC64" s="9" t="n">
        <v>107</v>
      </c>
      <c r="AD64" s="9" t="n">
        <v>107</v>
      </c>
      <c r="AE64" s="9" t="n">
        <v>99</v>
      </c>
      <c r="AF64" s="9">
        <f>98+15</f>
        <v/>
      </c>
      <c r="AG64" s="9" t="n">
        <v>112</v>
      </c>
      <c r="AH64" s="9" t="n">
        <v>111</v>
      </c>
      <c r="AI64" s="9" t="n">
        <v>110</v>
      </c>
      <c r="AJ64" s="9" t="n">
        <v>108</v>
      </c>
      <c r="AK64" s="9" t="n">
        <v>106</v>
      </c>
      <c r="AL64" s="9" t="n">
        <v>102</v>
      </c>
      <c r="AM64" s="9" t="n">
        <v>102</v>
      </c>
      <c r="AN64" s="9" t="n">
        <v>102</v>
      </c>
      <c r="AO64" s="9" t="n">
        <v>102</v>
      </c>
      <c r="AP64" s="9" t="n">
        <v>89</v>
      </c>
      <c r="AQ64" s="9" t="n">
        <v>87</v>
      </c>
      <c r="AR64" s="9" t="n">
        <v>87</v>
      </c>
      <c r="AS64" s="9" t="n">
        <v>85</v>
      </c>
      <c r="AT64" s="9" t="n">
        <v>84</v>
      </c>
      <c r="AU64" s="9" t="n">
        <v>82</v>
      </c>
      <c r="AV64" s="9" t="n">
        <v>82</v>
      </c>
      <c r="AW64" s="9" t="n">
        <v>82</v>
      </c>
      <c r="AX64" s="9" t="n">
        <v>82</v>
      </c>
      <c r="AY64" s="9" t="n">
        <v>77</v>
      </c>
      <c r="AZ64" s="9" t="n">
        <v>71</v>
      </c>
      <c r="BA64" s="9" t="n">
        <v>70</v>
      </c>
      <c r="BB64" s="9" t="n">
        <v>69</v>
      </c>
      <c r="BC64" s="9" t="n">
        <v>67</v>
      </c>
      <c r="BD64" s="9" t="n">
        <v>65</v>
      </c>
      <c r="BE64" s="9" t="n">
        <v>63</v>
      </c>
      <c r="BF64" s="9" t="n">
        <v>63</v>
      </c>
      <c r="BG64" s="9" t="n">
        <v>63</v>
      </c>
      <c r="BH64" s="9" t="n">
        <v>62</v>
      </c>
      <c r="BI64" s="9" t="n">
        <v>61</v>
      </c>
      <c r="BJ64" s="9" t="n">
        <v>60</v>
      </c>
      <c r="BK64" s="9" t="n">
        <v>60</v>
      </c>
      <c r="BL64" s="190" t="n">
        <v>72</v>
      </c>
      <c r="BM64" s="9" t="n">
        <v>72</v>
      </c>
      <c r="BN64" s="9" t="n">
        <v>71</v>
      </c>
      <c r="BO64" s="9" t="n">
        <v>69</v>
      </c>
      <c r="BP64" s="9" t="n">
        <v>60</v>
      </c>
      <c r="BQ64" s="9" t="n">
        <v>59</v>
      </c>
      <c r="BR64" s="9" t="n">
        <v>55</v>
      </c>
      <c r="BS64" s="9" t="n">
        <v>53</v>
      </c>
      <c r="BT64" s="9" t="n"/>
      <c r="BU64" s="9" t="n"/>
      <c r="BV64" s="9" t="n"/>
      <c r="BW64" s="9" t="n">
        <v>53</v>
      </c>
      <c r="BX64" s="9" t="n">
        <v>53</v>
      </c>
      <c r="BY64" s="9" t="n">
        <v>54</v>
      </c>
      <c r="BZ64" s="9" t="n">
        <v>54</v>
      </c>
      <c r="CA64" s="9" t="n">
        <v>54</v>
      </c>
      <c r="CB64" s="9" t="n">
        <v>54</v>
      </c>
      <c r="CC64" s="9" t="n">
        <v>54</v>
      </c>
      <c r="CD64" s="9" t="n">
        <v>54</v>
      </c>
      <c r="CE64" s="9" t="n">
        <v>54</v>
      </c>
      <c r="CF64" s="154">
        <f>CD64+IF(NOT(ISBLANK(OFFSET(CF64,0,6))),N(OFFSET(CF64,0,6)),N(OFFSET(CF64,0,7)))-CE64</f>
        <v/>
      </c>
      <c r="CH64" s="19" t="n"/>
      <c r="CI64" s="19" t="inlineStr">
        <is>
          <t>05 P/ ER MG</t>
        </is>
      </c>
      <c r="CJ64" s="19" t="n"/>
      <c r="CK64" s="27" t="n"/>
      <c r="CL64" s="691" t="n">
        <v>0</v>
      </c>
      <c r="CM64" s="18" t="n">
        <v>0</v>
      </c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18" t="n"/>
      <c r="DP64" s="18" t="n"/>
      <c r="DQ64" s="18" t="n"/>
      <c r="DR64" s="18" t="n"/>
      <c r="DS64" s="396" t="n"/>
      <c r="DT64" s="18" t="n"/>
      <c r="DU64" s="18" t="n"/>
      <c r="DV64" s="18" t="n"/>
      <c r="DW64" s="18" t="n"/>
      <c r="DX64" s="18" t="n"/>
      <c r="DY64" s="18" t="n"/>
      <c r="DZ64" s="18" t="n"/>
      <c r="EA64" s="18" t="n"/>
      <c r="EB64" s="18" t="n"/>
      <c r="EC64" s="18" t="n">
        <v>15</v>
      </c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18" t="n"/>
      <c r="ET64" s="275" t="n"/>
      <c r="EU64" s="18" t="n"/>
      <c r="EV64" s="18" t="n"/>
      <c r="EW64" s="260" t="n"/>
      <c r="EX64" s="260" t="n"/>
      <c r="EY64" s="18" t="n"/>
      <c r="EZ64" s="18" t="n"/>
      <c r="FA64" s="260" t="n"/>
      <c r="FB64" s="260" t="n"/>
      <c r="FC64" s="18" t="n"/>
      <c r="FD64" s="260" t="n"/>
      <c r="FE64" s="18" t="n"/>
      <c r="FF64" s="260" t="n"/>
      <c r="FG64" s="260" t="n"/>
      <c r="FH64" s="275" t="n"/>
      <c r="FI64" s="260" t="n"/>
      <c r="FJ64" s="260" t="n"/>
      <c r="FK64" s="18" t="n"/>
      <c r="FL64" s="18" t="n"/>
      <c r="FM64" s="18" t="n"/>
      <c r="FN64" s="18" t="n"/>
      <c r="FO64" s="18" t="n"/>
      <c r="FP64" s="18" t="n">
        <v>15</v>
      </c>
      <c r="FQ64" s="18" t="n"/>
      <c r="FR64" s="18" t="n"/>
      <c r="FS64" s="18" t="n"/>
      <c r="FT64" s="18" t="n"/>
      <c r="FU64" s="18" t="n"/>
      <c r="FV64" s="18" t="n"/>
      <c r="FW64" s="18" t="n"/>
      <c r="FX64" s="275" t="n"/>
      <c r="FY64" s="18" t="n"/>
      <c r="FZ64" s="18" t="n"/>
      <c r="GA64" s="18" t="n"/>
      <c r="GB64" s="18" t="n"/>
      <c r="GC64" s="18" t="n"/>
      <c r="GD64" s="260" t="n"/>
      <c r="GE64" s="18" t="n"/>
      <c r="GF64" s="18" t="n"/>
      <c r="GG64" s="18" t="n"/>
      <c r="GH64" s="260" t="n"/>
      <c r="GI64" s="260" t="n"/>
      <c r="GJ64" s="260" t="n"/>
      <c r="GK64" s="18" t="n"/>
      <c r="GL64" s="239" t="inlineStr">
        <is>
          <t>30 P/ ER PBE</t>
        </is>
      </c>
      <c r="GM64" s="18" t="n"/>
      <c r="GN64" s="18" t="n"/>
      <c r="GO64" s="18" t="n"/>
      <c r="GP64" s="18" t="n"/>
      <c r="GQ64" s="18" t="n"/>
      <c r="GR64" s="18" t="n"/>
    </row>
    <row r="65" ht="18.75" customHeight="1">
      <c r="A65" s="43" t="inlineStr">
        <is>
          <t>KIT SACOLA M EUDORA (C/ 10)</t>
        </is>
      </c>
      <c r="B65" s="149" t="n">
        <v>150</v>
      </c>
      <c r="C65" s="726" t="n">
        <v>172.76</v>
      </c>
      <c r="D65" s="329" t="n">
        <v>50</v>
      </c>
      <c r="F65" s="9" t="n">
        <v>60</v>
      </c>
      <c r="G65" s="9">
        <f>59-30</f>
        <v/>
      </c>
      <c r="H65" s="9" t="n">
        <v>24</v>
      </c>
      <c r="I65" s="9" t="n">
        <v>24</v>
      </c>
      <c r="J65" s="9" t="n">
        <v>24</v>
      </c>
      <c r="K65" s="9" t="n">
        <v>23</v>
      </c>
      <c r="L65" s="9" t="n">
        <v>19</v>
      </c>
      <c r="M65" s="9" t="n">
        <v>19</v>
      </c>
      <c r="N65" s="9" t="n">
        <v>19</v>
      </c>
      <c r="O65" s="9" t="n">
        <v>19</v>
      </c>
      <c r="P65" s="9" t="n">
        <v>19</v>
      </c>
      <c r="Q65" s="9" t="n">
        <v>18</v>
      </c>
      <c r="R65" s="9" t="n">
        <v>16</v>
      </c>
      <c r="S65" s="9" t="n">
        <v>16</v>
      </c>
      <c r="T65" s="9" t="n">
        <v>16</v>
      </c>
      <c r="U65" s="190" t="n">
        <v>55</v>
      </c>
      <c r="V65" s="9" t="n">
        <v>53</v>
      </c>
      <c r="W65" s="9" t="n">
        <v>75</v>
      </c>
      <c r="X65" s="9" t="n">
        <v>75</v>
      </c>
      <c r="Y65" s="9" t="n">
        <v>68</v>
      </c>
      <c r="Z65" s="9" t="n">
        <v>66</v>
      </c>
      <c r="AA65" s="9" t="n">
        <v>64</v>
      </c>
      <c r="AB65" s="9" t="n">
        <v>64</v>
      </c>
      <c r="AC65" s="9" t="n">
        <v>68</v>
      </c>
      <c r="AD65" s="9" t="n">
        <v>68</v>
      </c>
      <c r="AE65" s="9" t="n">
        <v>64</v>
      </c>
      <c r="AF65" s="9">
        <f>61-15</f>
        <v/>
      </c>
      <c r="AG65" s="9" t="n">
        <v>46</v>
      </c>
      <c r="AH65" s="9" t="n">
        <v>44</v>
      </c>
      <c r="AI65" s="9" t="n">
        <v>44</v>
      </c>
      <c r="AJ65" s="9" t="n">
        <v>42</v>
      </c>
      <c r="AK65" s="9" t="n">
        <v>42</v>
      </c>
      <c r="AL65" s="9" t="n">
        <v>41</v>
      </c>
      <c r="AM65" s="9" t="n">
        <v>38</v>
      </c>
      <c r="AN65" s="9">
        <f>38+DZ64</f>
        <v/>
      </c>
      <c r="AO65" s="9" t="n">
        <v>51</v>
      </c>
      <c r="AP65" s="9" t="n">
        <v>51</v>
      </c>
      <c r="AQ65" s="9" t="n">
        <v>50</v>
      </c>
      <c r="AR65" s="9" t="n">
        <v>47</v>
      </c>
      <c r="AS65" s="9" t="n">
        <v>47</v>
      </c>
      <c r="AT65" s="9" t="n">
        <v>46</v>
      </c>
      <c r="AU65" s="9" t="n">
        <v>45</v>
      </c>
      <c r="AV65" s="9" t="n">
        <v>45</v>
      </c>
      <c r="AW65" s="9" t="n">
        <v>43</v>
      </c>
      <c r="AX65" s="9" t="n">
        <v>43</v>
      </c>
      <c r="AY65" s="9" t="n">
        <v>40</v>
      </c>
      <c r="AZ65" s="9" t="n">
        <v>37</v>
      </c>
      <c r="BA65" s="9" t="n">
        <v>37</v>
      </c>
      <c r="BB65" s="9" t="n">
        <v>37</v>
      </c>
      <c r="BC65" s="9" t="n">
        <v>35</v>
      </c>
      <c r="BD65" s="9" t="n">
        <v>34</v>
      </c>
      <c r="BE65" s="9" t="n">
        <v>31</v>
      </c>
      <c r="BF65" s="9" t="n">
        <v>31</v>
      </c>
      <c r="BG65" s="9" t="n">
        <v>31</v>
      </c>
      <c r="BH65" s="9" t="n">
        <v>28</v>
      </c>
      <c r="BI65" s="9" t="n">
        <v>27</v>
      </c>
      <c r="BJ65" s="9" t="n">
        <v>27</v>
      </c>
      <c r="BK65" s="9" t="n">
        <v>27</v>
      </c>
      <c r="BL65" s="190" t="n">
        <v>46</v>
      </c>
      <c r="BM65" s="9" t="n">
        <v>46</v>
      </c>
      <c r="BN65" s="9" t="n">
        <v>46</v>
      </c>
      <c r="BO65" s="9" t="n">
        <v>46</v>
      </c>
      <c r="BP65" s="9" t="n">
        <v>39</v>
      </c>
      <c r="BQ65" s="9" t="n">
        <v>38</v>
      </c>
      <c r="BR65" s="9" t="n">
        <v>35</v>
      </c>
      <c r="BS65" s="9" t="n">
        <v>34</v>
      </c>
      <c r="BT65" s="9" t="n"/>
      <c r="BU65" s="9" t="n"/>
      <c r="BV65" s="9" t="n"/>
      <c r="BW65" s="9" t="n">
        <v>35</v>
      </c>
      <c r="BX65" s="9" t="n">
        <v>35</v>
      </c>
      <c r="BY65" s="9" t="n">
        <v>35</v>
      </c>
      <c r="BZ65" s="9" t="n">
        <v>35</v>
      </c>
      <c r="CA65" s="9" t="n">
        <v>35</v>
      </c>
      <c r="CB65" s="9" t="n">
        <v>35</v>
      </c>
      <c r="CC65" s="9" t="n">
        <v>35</v>
      </c>
      <c r="CD65" s="9" t="n">
        <v>35</v>
      </c>
      <c r="CE65" s="9" t="n">
        <v>35</v>
      </c>
      <c r="CF65" s="154">
        <f>CD65+IF(NOT(ISBLANK(OFFSET(CF65,0,6))),N(OFFSET(CF65,0,6)),N(OFFSET(CF65,0,7)))-CE65</f>
        <v/>
      </c>
      <c r="CH65" s="19" t="n"/>
      <c r="CI65" s="19" t="inlineStr">
        <is>
          <t>05 P/ ER MG</t>
        </is>
      </c>
      <c r="CJ65" s="19" t="n"/>
      <c r="CK65" s="27" t="n"/>
      <c r="CL65" s="691" t="n">
        <v>0</v>
      </c>
      <c r="CM65" s="18" t="n">
        <v>0</v>
      </c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18" t="n"/>
      <c r="DP65" s="18" t="n"/>
      <c r="DQ65" s="18" t="n"/>
      <c r="DR65" s="18" t="n"/>
      <c r="DS65" s="396" t="n"/>
      <c r="DT65" s="18" t="n"/>
      <c r="DU65" s="18" t="n"/>
      <c r="DV65" s="18" t="n"/>
      <c r="DW65" s="18" t="n"/>
      <c r="DX65" s="18" t="n"/>
      <c r="DY65" s="18" t="n"/>
      <c r="DZ65" s="18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18" t="n"/>
      <c r="ET65" s="275" t="n"/>
      <c r="EU65" s="18" t="n"/>
      <c r="EV65" s="18" t="n"/>
      <c r="EW65" s="18" t="n"/>
      <c r="EX65" s="18" t="n"/>
      <c r="EY65" s="18" t="n"/>
      <c r="EZ65" s="18" t="n"/>
      <c r="FA65" s="18" t="n"/>
      <c r="FB65" s="18" t="n"/>
      <c r="FC65" s="18" t="n"/>
      <c r="FD65" s="18" t="n"/>
      <c r="FE65" s="18" t="n"/>
      <c r="FF65" s="18" t="n"/>
      <c r="FG65" s="18" t="n"/>
      <c r="FH65" s="275" t="n"/>
      <c r="FI65" s="18" t="n"/>
      <c r="FJ65" s="18" t="n"/>
      <c r="FK65" s="18" t="n"/>
      <c r="FL65" s="18" t="n"/>
      <c r="FM65" s="18" t="n"/>
      <c r="FN65" s="18" t="n"/>
      <c r="FO65" s="18" t="n"/>
      <c r="FP65" s="18" t="n"/>
      <c r="FQ65" s="18" t="n"/>
      <c r="FR65" s="18" t="n"/>
      <c r="FS65" s="18" t="n"/>
      <c r="FT65" s="18" t="n"/>
      <c r="FU65" s="18" t="n"/>
      <c r="FV65" s="18" t="n"/>
      <c r="FW65" s="18" t="n"/>
      <c r="FX65" s="275" t="n"/>
      <c r="FY65" s="18" t="n"/>
      <c r="FZ65" s="18" t="n"/>
      <c r="GA65" s="18" t="n"/>
      <c r="GB65" s="18" t="n"/>
      <c r="GC65" s="18" t="n"/>
      <c r="GD65" s="18" t="n"/>
      <c r="GE65" s="18" t="n"/>
      <c r="GF65" s="18" t="n"/>
      <c r="GG65" s="18" t="n"/>
      <c r="GH65" s="18" t="n"/>
      <c r="GI65" s="18" t="n"/>
      <c r="GJ65" s="18" t="n"/>
      <c r="GK65" s="18" t="n"/>
      <c r="GL65" s="18" t="n"/>
      <c r="GM65" s="18" t="n"/>
      <c r="GN65" s="18" t="n"/>
      <c r="GO65" s="18" t="n"/>
      <c r="GP65" s="18" t="n"/>
      <c r="GQ65" s="18" t="n"/>
      <c r="GR65" s="18" t="n"/>
    </row>
    <row r="66" ht="18.75" customHeight="1">
      <c r="A66" s="43" t="inlineStr">
        <is>
          <t>KIT SACOLA G EUDORA (C/ 10)</t>
        </is>
      </c>
      <c r="B66" s="149" t="inlineStr">
        <is>
          <t>-</t>
        </is>
      </c>
      <c r="C66" s="726" t="inlineStr">
        <is>
          <t>-</t>
        </is>
      </c>
      <c r="D66" s="329" t="n">
        <v>5</v>
      </c>
      <c r="F66" s="9" t="n">
        <v>6</v>
      </c>
      <c r="G66" s="9" t="n">
        <v>6</v>
      </c>
      <c r="H66" s="9" t="n">
        <v>5</v>
      </c>
      <c r="I66" s="9" t="n">
        <v>5</v>
      </c>
      <c r="J66" s="9" t="n">
        <v>5</v>
      </c>
      <c r="K66" s="9" t="n">
        <v>5</v>
      </c>
      <c r="L66" s="9" t="n">
        <v>5</v>
      </c>
      <c r="M66" s="9" t="n">
        <v>4</v>
      </c>
      <c r="N66" s="9" t="n">
        <v>4</v>
      </c>
      <c r="O66" s="9" t="n">
        <v>4</v>
      </c>
      <c r="P66" s="9" t="n">
        <v>4</v>
      </c>
      <c r="Q66" s="9" t="n">
        <v>4</v>
      </c>
      <c r="R66" s="9" t="n">
        <v>4</v>
      </c>
      <c r="S66" s="9" t="n">
        <v>4</v>
      </c>
      <c r="T66" s="9" t="n">
        <v>4</v>
      </c>
      <c r="U66" s="9" t="n">
        <v>4</v>
      </c>
      <c r="V66" s="9" t="n">
        <v>4</v>
      </c>
      <c r="W66" s="9" t="n">
        <v>4</v>
      </c>
      <c r="X66" s="9" t="n">
        <v>4</v>
      </c>
      <c r="Y66" s="9" t="n">
        <v>4</v>
      </c>
      <c r="Z66" s="9" t="n">
        <v>4</v>
      </c>
      <c r="AA66" s="9" t="n">
        <v>4</v>
      </c>
      <c r="AB66" s="9" t="n">
        <v>4</v>
      </c>
      <c r="AC66" s="9" t="n">
        <v>4</v>
      </c>
      <c r="AD66" s="9" t="n">
        <v>4</v>
      </c>
      <c r="AE66" s="9" t="n">
        <v>4</v>
      </c>
      <c r="AF66" s="9" t="n">
        <v>4</v>
      </c>
      <c r="AG66" s="9" t="n">
        <v>4</v>
      </c>
      <c r="AH66" s="9" t="n">
        <v>4</v>
      </c>
      <c r="AI66" s="9" t="n">
        <v>4</v>
      </c>
      <c r="AJ66" s="9" t="n">
        <v>4</v>
      </c>
      <c r="AK66" s="9" t="n">
        <v>4</v>
      </c>
      <c r="AL66" s="9" t="n">
        <v>4</v>
      </c>
      <c r="AM66" s="9" t="n">
        <v>0</v>
      </c>
      <c r="AN66" s="9" t="n">
        <v>0</v>
      </c>
      <c r="AO66" s="9" t="n">
        <v>4</v>
      </c>
      <c r="AP66" s="9" t="n">
        <v>4</v>
      </c>
      <c r="AQ66" s="9" t="n">
        <v>4</v>
      </c>
      <c r="AR66" s="9" t="n">
        <v>4</v>
      </c>
      <c r="AS66" s="9" t="n">
        <v>4</v>
      </c>
      <c r="AT66" s="9" t="n">
        <v>4</v>
      </c>
      <c r="AU66" s="9" t="n">
        <v>4</v>
      </c>
      <c r="AV66" s="9" t="n">
        <v>4</v>
      </c>
      <c r="AW66" s="9" t="n">
        <v>4</v>
      </c>
      <c r="AX66" s="9" t="n">
        <v>4</v>
      </c>
      <c r="AY66" s="9" t="n">
        <v>4</v>
      </c>
      <c r="AZ66" s="9" t="n">
        <v>2</v>
      </c>
      <c r="BA66" s="9" t="n">
        <v>2</v>
      </c>
      <c r="BB66" s="9" t="n">
        <v>2</v>
      </c>
      <c r="BC66" s="9" t="n">
        <v>2</v>
      </c>
      <c r="BD66" s="9" t="n">
        <v>2</v>
      </c>
      <c r="BE66" s="9" t="n">
        <v>1</v>
      </c>
      <c r="BF66" s="9" t="n">
        <v>1</v>
      </c>
      <c r="BG66" s="9" t="n">
        <v>1</v>
      </c>
      <c r="BH66" s="9" t="n">
        <v>1</v>
      </c>
      <c r="BI66" s="9" t="n">
        <v>1</v>
      </c>
      <c r="BJ66" s="9" t="n">
        <v>1</v>
      </c>
      <c r="BK66" s="9" t="n">
        <v>1</v>
      </c>
      <c r="BL66" s="9" t="n">
        <v>1</v>
      </c>
      <c r="BM66" s="9" t="n">
        <v>1</v>
      </c>
      <c r="BN66" s="9" t="n">
        <v>1</v>
      </c>
      <c r="BO66" s="9" t="n">
        <v>1</v>
      </c>
      <c r="BP66" s="9" t="n">
        <v>1</v>
      </c>
      <c r="BQ66" s="9" t="n">
        <v>1</v>
      </c>
      <c r="BR66" s="9" t="n">
        <v>1</v>
      </c>
      <c r="BS66" s="9" t="n">
        <v>43</v>
      </c>
      <c r="BT66" s="9" t="n"/>
      <c r="BU66" s="9" t="n"/>
      <c r="BV66" s="9" t="n"/>
      <c r="BW66" s="9" t="n">
        <v>41</v>
      </c>
      <c r="BX66" s="9" t="n">
        <v>41</v>
      </c>
      <c r="BY66" s="9" t="n">
        <v>44</v>
      </c>
      <c r="BZ66" s="9" t="n">
        <v>44</v>
      </c>
      <c r="CA66" s="9" t="n">
        <v>44</v>
      </c>
      <c r="CB66" s="9" t="n">
        <v>44</v>
      </c>
      <c r="CC66" s="9" t="n">
        <v>44</v>
      </c>
      <c r="CD66" s="9" t="n">
        <v>44</v>
      </c>
      <c r="CE66" s="9" t="n">
        <v>44</v>
      </c>
      <c r="CF66" s="154">
        <f>CD66+IF(NOT(ISBLANK(OFFSET(CF66,0,6))),N(OFFSET(CF66,0,6)),N(OFFSET(CF66,0,7)))-CE66</f>
        <v/>
      </c>
      <c r="CH66" s="19" t="n"/>
      <c r="CI66" s="19" t="inlineStr">
        <is>
          <t>05 P/ ER MG</t>
        </is>
      </c>
      <c r="CJ66" s="19" t="n"/>
      <c r="CK66" s="27" t="n"/>
      <c r="CL66" s="691" t="n">
        <v>0</v>
      </c>
      <c r="CM66" s="18" t="n">
        <v>0</v>
      </c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18" t="n"/>
      <c r="DP66" s="18" t="n"/>
      <c r="DQ66" s="18" t="n"/>
      <c r="DR66" s="18" t="n"/>
      <c r="DS66" s="396" t="n"/>
      <c r="DT66" s="18" t="n"/>
      <c r="DU66" s="18" t="n"/>
      <c r="DV66" s="18" t="n"/>
      <c r="DW66" s="18" t="n"/>
      <c r="DX66" s="18" t="n">
        <v>150</v>
      </c>
      <c r="DY66" s="18" t="n"/>
      <c r="DZ66" s="18" t="n"/>
      <c r="EA66" s="18" t="n"/>
      <c r="EB66" s="18" t="n"/>
      <c r="EC66" s="18" t="n">
        <v>150</v>
      </c>
      <c r="ED66" s="18" t="n"/>
      <c r="EE66" s="18" t="n"/>
      <c r="EF66" s="18" t="n"/>
      <c r="EG66" s="18" t="n"/>
      <c r="EH66" s="18" t="n"/>
      <c r="EI66" s="18" t="n"/>
      <c r="EJ66" s="18" t="n"/>
      <c r="EK66" s="18" t="n"/>
      <c r="EL66" s="18" t="n"/>
      <c r="EM66" s="18" t="n"/>
      <c r="EN66" s="18" t="n"/>
      <c r="EO66" s="18" t="n"/>
      <c r="EP66" s="18" t="n"/>
      <c r="EQ66" s="18" t="n"/>
      <c r="ER66" s="18" t="n"/>
      <c r="ES66" s="18" t="n"/>
      <c r="ET66" s="256" t="n"/>
      <c r="EU66" s="18" t="n"/>
      <c r="EV66" s="18" t="n"/>
      <c r="EW66" s="239" t="inlineStr">
        <is>
          <t>20 P/ ER PG</t>
        </is>
      </c>
      <c r="EX66" s="260" t="n"/>
      <c r="EY66" s="18" t="n"/>
      <c r="EZ66" s="18" t="n"/>
      <c r="FA66" s="18" t="n"/>
      <c r="FB66" s="18" t="n"/>
      <c r="FC66" s="18" t="n"/>
      <c r="FD66" s="18" t="n"/>
      <c r="FE66" s="18" t="n"/>
      <c r="FF66" s="18" t="n"/>
      <c r="FG66" s="18" t="n"/>
      <c r="FH66" s="256" t="n"/>
      <c r="FI66" s="239" t="inlineStr">
        <is>
          <t>30 P/ ER</t>
        </is>
      </c>
      <c r="FJ66" s="18" t="n"/>
      <c r="FK66" s="18" t="n"/>
      <c r="FL66" s="18" t="n"/>
      <c r="FM66" s="18" t="n"/>
      <c r="FN66" s="18" t="n"/>
      <c r="FO66" s="18" t="n"/>
      <c r="FP66" s="18" t="n"/>
      <c r="FQ66" s="18" t="n"/>
      <c r="FR66" s="18" t="n"/>
      <c r="FS66" s="18" t="n"/>
      <c r="FT66" s="18" t="n"/>
      <c r="FU66" s="18" t="n"/>
      <c r="FV66" s="18" t="n"/>
      <c r="FW66" s="18" t="n"/>
      <c r="FX66" s="256" t="n"/>
      <c r="FY66" s="18" t="n"/>
      <c r="FZ66" s="18" t="n"/>
      <c r="GA66" s="18" t="n"/>
      <c r="GB66" s="18" t="n"/>
      <c r="GC66" s="18" t="n"/>
      <c r="GD66" s="18" t="n"/>
      <c r="GE66" s="18" t="n"/>
      <c r="GF66" s="18" t="n"/>
      <c r="GG66" s="18" t="n"/>
      <c r="GH66" s="18" t="n"/>
      <c r="GI66" s="18" t="n"/>
      <c r="GJ66" s="18" t="n"/>
      <c r="GK66" s="18" t="n"/>
      <c r="GL66" s="18" t="n"/>
      <c r="GM66" s="18" t="n"/>
      <c r="GN66" s="18" t="n"/>
      <c r="GO66" s="18" t="n"/>
      <c r="GP66" s="18" t="n"/>
      <c r="GQ66" s="18" t="n"/>
      <c r="GR66" s="18" t="n"/>
    </row>
    <row r="67" ht="18.75" customHeight="1">
      <c r="A67" s="43" t="inlineStr">
        <is>
          <t>CAIXA P EUDORA</t>
        </is>
      </c>
      <c r="B67" s="149" t="n">
        <v>150</v>
      </c>
      <c r="C67" s="726" t="n">
        <v>400.5</v>
      </c>
      <c r="D67" s="329" t="n">
        <v>10</v>
      </c>
      <c r="F67" s="9" t="n">
        <v>104</v>
      </c>
      <c r="G67" s="9" t="n">
        <v>104</v>
      </c>
      <c r="H67" s="9" t="n">
        <v>97</v>
      </c>
      <c r="I67" s="9" t="n">
        <v>95</v>
      </c>
      <c r="J67" s="9" t="n">
        <v>94</v>
      </c>
      <c r="K67" s="9" t="n">
        <v>94</v>
      </c>
      <c r="L67" s="9" t="n">
        <v>94</v>
      </c>
      <c r="M67" s="9" t="n">
        <v>94</v>
      </c>
      <c r="N67" s="9" t="n">
        <v>94</v>
      </c>
      <c r="O67" s="9" t="n">
        <v>93</v>
      </c>
      <c r="P67" s="9" t="n">
        <v>92</v>
      </c>
      <c r="Q67" s="9" t="n">
        <v>87</v>
      </c>
      <c r="R67" s="9" t="n">
        <v>87</v>
      </c>
      <c r="S67" s="9" t="n">
        <v>87</v>
      </c>
      <c r="T67" s="9" t="n">
        <v>89</v>
      </c>
      <c r="U67" s="9" t="n">
        <v>89</v>
      </c>
      <c r="V67" s="9" t="n">
        <v>86</v>
      </c>
      <c r="W67" s="9" t="n">
        <v>85</v>
      </c>
      <c r="X67" s="9" t="n">
        <v>84</v>
      </c>
      <c r="Y67" s="9" t="n">
        <v>79</v>
      </c>
      <c r="Z67" s="9">
        <f>79-30</f>
        <v/>
      </c>
      <c r="AA67" s="9" t="n">
        <v>49</v>
      </c>
      <c r="AB67" s="9" t="n">
        <v>49</v>
      </c>
      <c r="AC67" s="9" t="n">
        <v>45</v>
      </c>
      <c r="AD67" s="9">
        <f>45-20</f>
        <v/>
      </c>
      <c r="AE67" s="9" t="n">
        <v>25</v>
      </c>
      <c r="AF67" s="9" t="n">
        <v>25</v>
      </c>
      <c r="AG67" s="9" t="n">
        <v>25</v>
      </c>
      <c r="AH67" s="9" t="n">
        <v>25</v>
      </c>
      <c r="AI67" s="9" t="n">
        <v>25</v>
      </c>
      <c r="AJ67" s="9" t="n">
        <v>25</v>
      </c>
      <c r="AK67" s="9" t="n">
        <v>25</v>
      </c>
      <c r="AL67" s="9" t="n">
        <v>24</v>
      </c>
      <c r="AM67" s="9" t="n">
        <v>0</v>
      </c>
      <c r="AN67" s="9">
        <f>0+DZ66</f>
        <v/>
      </c>
      <c r="AO67" s="9" t="n">
        <v>0</v>
      </c>
      <c r="AP67" s="9" t="n">
        <v>0</v>
      </c>
      <c r="AQ67" s="9" t="n">
        <v>150</v>
      </c>
      <c r="AR67" s="9" t="n">
        <v>150</v>
      </c>
      <c r="AS67" s="9" t="n">
        <v>150</v>
      </c>
      <c r="AT67" s="9" t="n">
        <v>150</v>
      </c>
      <c r="AU67" s="9" t="n">
        <v>150</v>
      </c>
      <c r="AV67" s="9" t="n">
        <v>148</v>
      </c>
      <c r="AW67" s="9" t="n">
        <v>148</v>
      </c>
      <c r="AX67" s="9" t="n">
        <v>147</v>
      </c>
      <c r="AY67" s="9" t="n">
        <v>145</v>
      </c>
      <c r="AZ67" s="9" t="n">
        <v>145</v>
      </c>
      <c r="BA67" s="9" t="n">
        <v>143</v>
      </c>
      <c r="BB67" s="9" t="n">
        <v>142</v>
      </c>
      <c r="BC67" s="9" t="n">
        <v>0</v>
      </c>
      <c r="BD67" s="9" t="n">
        <v>0</v>
      </c>
      <c r="BE67" s="9" t="n">
        <v>0</v>
      </c>
      <c r="BF67" s="9" t="n">
        <v>0</v>
      </c>
      <c r="BG67" s="9" t="n">
        <v>0</v>
      </c>
      <c r="BH67" s="9" t="n">
        <v>150</v>
      </c>
      <c r="BI67" s="9" t="n">
        <v>150</v>
      </c>
      <c r="BJ67" s="9" t="n">
        <v>150</v>
      </c>
      <c r="BK67" s="9" t="n">
        <v>150</v>
      </c>
      <c r="BL67" s="9" t="n">
        <v>150</v>
      </c>
      <c r="BM67" s="9" t="n">
        <v>150</v>
      </c>
      <c r="BN67" s="9" t="n">
        <v>150</v>
      </c>
      <c r="BO67" s="9" t="n">
        <v>148</v>
      </c>
      <c r="BP67" s="9" t="n">
        <v>147</v>
      </c>
      <c r="BQ67" s="9" t="n">
        <v>147</v>
      </c>
      <c r="BR67" s="9" t="n">
        <v>147</v>
      </c>
      <c r="BS67" s="9" t="n">
        <v>147</v>
      </c>
      <c r="BT67" s="9" t="n"/>
      <c r="BU67" s="9" t="n"/>
      <c r="BV67" s="9" t="n"/>
      <c r="BW67" s="9" t="n">
        <v>144</v>
      </c>
      <c r="BX67" s="9" t="n">
        <v>137</v>
      </c>
      <c r="BY67" s="9" t="n">
        <v>136</v>
      </c>
      <c r="BZ67" s="9" t="n">
        <v>135</v>
      </c>
      <c r="CA67" s="9" t="n">
        <v>135</v>
      </c>
      <c r="CB67" s="9" t="n">
        <v>135</v>
      </c>
      <c r="CC67" s="9" t="n">
        <v>135</v>
      </c>
      <c r="CD67" s="9" t="n">
        <v>135</v>
      </c>
      <c r="CE67" s="9" t="n">
        <v>135</v>
      </c>
      <c r="CF67" s="154">
        <f>CD67+IF(NOT(ISBLANK(OFFSET(CF67,0,6))),N(OFFSET(CF67,0,6)),N(OFFSET(CF67,0,7)))-CE67</f>
        <v/>
      </c>
      <c r="CH67" s="19" t="n"/>
      <c r="CI67" s="19" t="n"/>
      <c r="CJ67" s="19" t="n"/>
      <c r="CK67" s="27" t="n"/>
      <c r="CL67" s="691" t="n">
        <v>0</v>
      </c>
      <c r="CM67" s="18" t="n">
        <v>0</v>
      </c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>
        <v>150</v>
      </c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18" t="n"/>
      <c r="DP67" s="18" t="n"/>
      <c r="DQ67" s="18" t="n"/>
      <c r="DR67" s="18" t="n"/>
      <c r="DS67" s="396" t="n"/>
      <c r="DT67" s="18" t="n"/>
      <c r="DU67" s="18" t="n"/>
      <c r="DV67" s="18" t="n"/>
      <c r="DW67" s="18" t="n"/>
      <c r="DX67" s="18" t="n"/>
      <c r="DY67" s="18" t="n"/>
      <c r="DZ67" s="18" t="n"/>
      <c r="EA67" s="18" t="n"/>
      <c r="EB67" s="18" t="n"/>
      <c r="EC67" s="18" t="n"/>
      <c r="ED67" s="18" t="n"/>
      <c r="EE67" s="18" t="n"/>
      <c r="EF67" s="18" t="n"/>
      <c r="EG67" s="18" t="n"/>
      <c r="EH67" s="18" t="n"/>
      <c r="EI67" s="18" t="n"/>
      <c r="EJ67" s="18" t="n"/>
      <c r="EK67" s="18" t="n"/>
      <c r="EL67" s="18" t="n"/>
      <c r="EM67" s="18" t="n"/>
      <c r="EN67" s="18" t="n"/>
      <c r="EO67" s="18" t="n"/>
      <c r="EP67" s="18" t="n"/>
      <c r="EQ67" s="18" t="n"/>
      <c r="ER67" s="18" t="n"/>
      <c r="ES67" s="18" t="n"/>
      <c r="ET67" s="256" t="n"/>
      <c r="EU67" s="18" t="n"/>
      <c r="EV67" s="18" t="n"/>
      <c r="EW67" s="18" t="n"/>
      <c r="EX67" s="18" t="n"/>
      <c r="EY67" s="18" t="n"/>
      <c r="EZ67" s="18" t="n"/>
      <c r="FA67" s="18" t="n"/>
      <c r="FB67" s="18" t="n"/>
      <c r="FC67" s="18" t="n"/>
      <c r="FD67" s="18" t="n"/>
      <c r="FE67" s="18" t="n"/>
      <c r="FF67" s="18" t="n"/>
      <c r="FG67" s="18" t="n"/>
      <c r="FH67" s="256" t="n"/>
      <c r="FI67" s="18" t="n"/>
      <c r="FJ67" s="18" t="n"/>
      <c r="FK67" s="18" t="n"/>
      <c r="FL67" s="18" t="n"/>
      <c r="FM67" s="18" t="n"/>
      <c r="FN67" s="18" t="n"/>
      <c r="FO67" s="18" t="n"/>
      <c r="FP67" s="18" t="n"/>
      <c r="FQ67" s="18" t="n"/>
      <c r="FR67" s="18" t="n"/>
      <c r="FS67" s="18" t="n"/>
      <c r="FT67" s="18" t="n"/>
      <c r="FU67" s="18" t="n"/>
      <c r="FV67" s="18" t="n"/>
      <c r="FW67" s="18" t="n"/>
      <c r="FX67" s="256" t="n"/>
      <c r="FY67" s="18" t="n"/>
      <c r="FZ67" s="18" t="n"/>
      <c r="GA67" s="18" t="n"/>
      <c r="GB67" s="18" t="n"/>
      <c r="GC67" s="18" t="n"/>
      <c r="GD67" s="18" t="n"/>
      <c r="GE67" s="18" t="n"/>
      <c r="GF67" s="18" t="n"/>
      <c r="GG67" s="18" t="n"/>
      <c r="GH67" s="18" t="n"/>
      <c r="GI67" s="18" t="n"/>
      <c r="GJ67" s="18" t="n"/>
      <c r="GK67" s="18" t="n"/>
      <c r="GL67" s="18" t="n"/>
      <c r="GM67" s="18" t="n"/>
      <c r="GN67" s="18" t="n"/>
      <c r="GO67" s="18" t="n"/>
      <c r="GP67" s="18" t="n"/>
      <c r="GQ67" s="18" t="n"/>
      <c r="GR67" s="18" t="n"/>
    </row>
    <row r="68" ht="18.75" customHeight="1">
      <c r="A68" s="43" t="inlineStr">
        <is>
          <t>CAIXA M EUDORA</t>
        </is>
      </c>
      <c r="B68" s="149" t="n">
        <v>100</v>
      </c>
      <c r="C68" s="726" t="n">
        <v>365</v>
      </c>
      <c r="D68" s="329" t="n">
        <v>10</v>
      </c>
      <c r="F68" s="9" t="n">
        <v>66</v>
      </c>
      <c r="G68" s="9" t="n">
        <v>66</v>
      </c>
      <c r="H68" s="9" t="n">
        <v>37</v>
      </c>
      <c r="I68" s="9" t="n">
        <v>37</v>
      </c>
      <c r="J68" s="9" t="n">
        <v>37</v>
      </c>
      <c r="K68" s="9" t="n">
        <v>37</v>
      </c>
      <c r="L68" s="9" t="n">
        <v>36</v>
      </c>
      <c r="M68" s="9" t="n">
        <v>34</v>
      </c>
      <c r="N68" s="9" t="n">
        <v>32</v>
      </c>
      <c r="O68" s="9" t="n">
        <v>31</v>
      </c>
      <c r="P68" s="9" t="n">
        <v>31</v>
      </c>
      <c r="Q68" s="9" t="n">
        <v>31</v>
      </c>
      <c r="R68" s="9" t="n">
        <v>31</v>
      </c>
      <c r="S68" s="9" t="n">
        <v>31</v>
      </c>
      <c r="T68" s="9" t="n">
        <v>31</v>
      </c>
      <c r="U68" s="9" t="n">
        <v>31</v>
      </c>
      <c r="V68" s="9" t="n">
        <v>30</v>
      </c>
      <c r="W68" s="9" t="n">
        <v>30</v>
      </c>
      <c r="X68" s="9" t="n">
        <v>29</v>
      </c>
      <c r="Y68" s="9" t="n">
        <v>28</v>
      </c>
      <c r="Z68" s="9" t="n">
        <v>27</v>
      </c>
      <c r="AA68" s="9" t="n">
        <v>27</v>
      </c>
      <c r="AB68" s="9" t="n">
        <v>24</v>
      </c>
      <c r="AC68" s="9" t="n">
        <v>24</v>
      </c>
      <c r="AD68" s="9" t="n">
        <v>24</v>
      </c>
      <c r="AE68" s="9" t="n">
        <v>22</v>
      </c>
      <c r="AF68" s="9" t="n">
        <v>22</v>
      </c>
      <c r="AG68" s="9" t="n">
        <v>21</v>
      </c>
      <c r="AH68" s="9" t="n">
        <v>21</v>
      </c>
      <c r="AI68" s="9" t="n">
        <v>21</v>
      </c>
      <c r="AJ68" s="9" t="n">
        <v>21</v>
      </c>
      <c r="AK68" s="9" t="n">
        <v>21</v>
      </c>
      <c r="AL68" s="9" t="n">
        <v>20</v>
      </c>
      <c r="AM68" s="9" t="n">
        <v>19</v>
      </c>
      <c r="AN68" s="9" t="n">
        <v>19</v>
      </c>
      <c r="AO68" s="9" t="n">
        <v>18</v>
      </c>
      <c r="AP68" s="9" t="n">
        <v>18</v>
      </c>
      <c r="AQ68" s="9" t="n">
        <v>17</v>
      </c>
      <c r="AR68" s="9" t="n">
        <v>16</v>
      </c>
      <c r="AS68" s="9" t="n">
        <v>16</v>
      </c>
      <c r="AT68" s="9" t="n">
        <v>15</v>
      </c>
      <c r="AU68" s="9" t="n">
        <v>13</v>
      </c>
      <c r="AV68" s="9" t="n">
        <v>13</v>
      </c>
      <c r="AW68" s="9" t="n">
        <v>11</v>
      </c>
      <c r="AX68" s="9" t="n">
        <v>10</v>
      </c>
      <c r="AY68" s="9" t="n">
        <v>10</v>
      </c>
      <c r="AZ68" s="9" t="n">
        <v>8</v>
      </c>
      <c r="BA68" s="9" t="n">
        <v>5</v>
      </c>
      <c r="BB68" s="9" t="n">
        <v>4</v>
      </c>
      <c r="BC68" s="9" t="n">
        <v>3</v>
      </c>
      <c r="BD68" s="9" t="n">
        <v>2</v>
      </c>
      <c r="BE68" s="9" t="n">
        <v>0</v>
      </c>
      <c r="BF68" s="9" t="n">
        <v>0</v>
      </c>
      <c r="BG68" s="9" t="n">
        <v>0</v>
      </c>
      <c r="BH68" s="9" t="n">
        <v>100</v>
      </c>
      <c r="BI68" s="9" t="n">
        <v>100</v>
      </c>
      <c r="BJ68" s="9" t="n">
        <v>99</v>
      </c>
      <c r="BK68" s="9" t="n">
        <v>99</v>
      </c>
      <c r="BL68" s="9" t="n">
        <v>99</v>
      </c>
      <c r="BM68" s="9" t="n">
        <v>99</v>
      </c>
      <c r="BN68" s="9" t="n">
        <v>99</v>
      </c>
      <c r="BO68" s="9" t="n">
        <v>97</v>
      </c>
      <c r="BP68" s="9" t="n">
        <v>96</v>
      </c>
      <c r="BQ68" s="9" t="n">
        <v>96</v>
      </c>
      <c r="BR68" s="9" t="n">
        <v>96</v>
      </c>
      <c r="BS68" s="9" t="n">
        <v>96</v>
      </c>
      <c r="BT68" s="9" t="n"/>
      <c r="BU68" s="9" t="n"/>
      <c r="BV68" s="9" t="n"/>
      <c r="BW68" s="9" t="n">
        <v>92</v>
      </c>
      <c r="BX68" s="9" t="n">
        <v>89</v>
      </c>
      <c r="BY68" s="190" t="n">
        <v>66</v>
      </c>
      <c r="BZ68" s="9" t="n">
        <v>66</v>
      </c>
      <c r="CA68" s="9" t="n">
        <v>66</v>
      </c>
      <c r="CB68" s="9" t="n">
        <v>66</v>
      </c>
      <c r="CC68" s="9" t="n">
        <v>66</v>
      </c>
      <c r="CD68" s="9" t="n">
        <v>66</v>
      </c>
      <c r="CE68" s="9" t="n">
        <v>66</v>
      </c>
      <c r="CF68" s="154">
        <f>CD68+IF(NOT(ISBLANK(OFFSET(CF68,0,6))),N(OFFSET(CF68,0,6)),N(OFFSET(CF68,0,7)))-CE68</f>
        <v/>
      </c>
      <c r="CH68" s="19" t="n"/>
      <c r="CI68" s="19" t="n"/>
      <c r="CJ68" s="19" t="n"/>
      <c r="CK68" s="27" t="n"/>
      <c r="CL68" s="691" t="n">
        <v>0</v>
      </c>
      <c r="CM68" s="18" t="n">
        <v>0</v>
      </c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>
        <v>100</v>
      </c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18" t="n"/>
      <c r="DP68" s="18" t="n"/>
      <c r="DQ68" s="18" t="n"/>
      <c r="DR68" s="18" t="n"/>
      <c r="DS68" s="396" t="n"/>
      <c r="DT68" s="18" t="n"/>
      <c r="DU68" s="18" t="n"/>
      <c r="DV68" s="18" t="n"/>
      <c r="DW68" s="18" t="n"/>
      <c r="DX68" s="18" t="n"/>
      <c r="DY68" s="18" t="n"/>
      <c r="DZ68" s="18" t="n"/>
      <c r="EA68" s="18" t="n"/>
      <c r="EB68" s="18" t="n"/>
      <c r="EC68" s="18" t="n"/>
      <c r="ED68" s="18" t="n"/>
      <c r="EE68" s="18" t="n"/>
      <c r="EF68" s="18" t="n"/>
      <c r="EG68" s="18" t="n"/>
      <c r="EH68" s="18" t="n"/>
      <c r="EI68" s="18" t="n"/>
      <c r="EJ68" s="18" t="n"/>
      <c r="EK68" s="18" t="n"/>
      <c r="EL68" s="18" t="n"/>
      <c r="EM68" s="18" t="n"/>
      <c r="EN68" s="18" t="n"/>
      <c r="EO68" s="18" t="n"/>
      <c r="EP68" s="18" t="n"/>
      <c r="EQ68" s="18" t="n"/>
      <c r="ER68" s="18" t="n"/>
      <c r="ES68" s="18" t="n"/>
      <c r="ET68" s="276" t="n"/>
      <c r="EU68" s="18" t="n"/>
      <c r="EV68" s="18" t="n"/>
      <c r="EW68" s="18" t="n"/>
      <c r="EX68" s="18" t="n"/>
      <c r="EY68" s="18" t="n"/>
      <c r="EZ68" s="18" t="n"/>
      <c r="FA68" s="18" t="n"/>
      <c r="FB68" s="18" t="n"/>
      <c r="FC68" s="18" t="n"/>
      <c r="FD68" s="18" t="n"/>
      <c r="FE68" s="18" t="n"/>
      <c r="FF68" s="18" t="n"/>
      <c r="FG68" s="18" t="n"/>
      <c r="FH68" s="276" t="n"/>
      <c r="FI68" s="18" t="n"/>
      <c r="FJ68" s="18" t="n"/>
      <c r="FK68" s="18" t="n"/>
      <c r="FL68" s="18" t="n"/>
      <c r="FM68" s="18" t="n"/>
      <c r="FN68" s="18" t="n"/>
      <c r="FO68" s="18" t="n"/>
      <c r="FP68" s="18" t="n"/>
      <c r="FQ68" s="18" t="n"/>
      <c r="FR68" s="18" t="n"/>
      <c r="FS68" s="18" t="n"/>
      <c r="FT68" s="18" t="n"/>
      <c r="FU68" s="18" t="n"/>
      <c r="FV68" s="18" t="n"/>
      <c r="FW68" s="18" t="n"/>
      <c r="FX68" s="276" t="n"/>
      <c r="FY68" s="18" t="n"/>
      <c r="FZ68" s="18" t="n"/>
      <c r="GA68" s="18" t="n"/>
      <c r="GB68" s="18" t="n"/>
      <c r="GC68" s="18" t="n"/>
      <c r="GD68" s="18" t="n"/>
      <c r="GE68" s="18" t="n"/>
      <c r="GF68" s="18" t="n"/>
      <c r="GG68" s="18" t="n"/>
      <c r="GH68" s="18" t="n"/>
      <c r="GI68" s="18" t="n"/>
      <c r="GJ68" s="18" t="n"/>
      <c r="GK68" s="18" t="n"/>
      <c r="GL68" s="18" t="n"/>
      <c r="GM68" s="18" t="n"/>
      <c r="GN68" s="18" t="n"/>
      <c r="GO68" s="18" t="n"/>
      <c r="GP68" s="18" t="n"/>
      <c r="GQ68" s="18" t="n"/>
      <c r="GR68" s="18" t="n"/>
    </row>
    <row r="69" ht="18.75" customHeight="1">
      <c r="A69" s="43" t="inlineStr">
        <is>
          <t>CAIXA G EUDORA</t>
        </is>
      </c>
      <c r="B69" s="149" t="n">
        <v>75</v>
      </c>
      <c r="C69" s="726" t="n">
        <v>438.75</v>
      </c>
      <c r="D69" s="329" t="n">
        <v>5</v>
      </c>
      <c r="F69" s="9" t="n">
        <v>59</v>
      </c>
      <c r="G69" s="9" t="n">
        <v>59</v>
      </c>
      <c r="H69" s="9" t="n">
        <v>59</v>
      </c>
      <c r="I69" s="9" t="n">
        <v>59</v>
      </c>
      <c r="J69" s="9" t="n">
        <v>59</v>
      </c>
      <c r="K69" s="9" t="n">
        <v>59</v>
      </c>
      <c r="L69" s="9" t="n">
        <v>59</v>
      </c>
      <c r="M69" s="9" t="n">
        <v>59</v>
      </c>
      <c r="N69" s="9" t="n">
        <v>59</v>
      </c>
      <c r="O69" s="9" t="n">
        <v>58</v>
      </c>
      <c r="P69" s="9" t="n">
        <v>58</v>
      </c>
      <c r="Q69" s="9" t="n">
        <v>41</v>
      </c>
      <c r="R69" s="9" t="n">
        <v>41</v>
      </c>
      <c r="S69" s="9" t="n">
        <v>41</v>
      </c>
      <c r="T69" s="9" t="n">
        <v>41</v>
      </c>
      <c r="U69" s="9" t="n">
        <v>40</v>
      </c>
      <c r="V69" s="9" t="n">
        <v>40</v>
      </c>
      <c r="W69" s="9" t="n">
        <v>40</v>
      </c>
      <c r="X69" s="9" t="n">
        <v>40</v>
      </c>
      <c r="Y69" s="9" t="n">
        <v>40</v>
      </c>
      <c r="Z69" s="9" t="n">
        <v>40</v>
      </c>
      <c r="AA69" s="9" t="n">
        <v>40</v>
      </c>
      <c r="AB69" s="9" t="n">
        <v>40</v>
      </c>
      <c r="AC69" s="9" t="n">
        <v>40</v>
      </c>
      <c r="AD69" s="9" t="n">
        <v>40</v>
      </c>
      <c r="AE69" s="9" t="n">
        <v>40</v>
      </c>
      <c r="AF69" s="9" t="n">
        <v>40</v>
      </c>
      <c r="AG69" s="9" t="n">
        <v>40</v>
      </c>
      <c r="AH69" s="9" t="n">
        <v>40</v>
      </c>
      <c r="AI69" s="9" t="n">
        <v>40</v>
      </c>
      <c r="AJ69" s="9" t="n">
        <v>40</v>
      </c>
      <c r="AK69" s="9" t="n">
        <v>40</v>
      </c>
      <c r="AL69" s="9" t="n">
        <v>40</v>
      </c>
      <c r="AM69" s="9" t="n">
        <v>40</v>
      </c>
      <c r="AN69" s="9" t="n">
        <v>40</v>
      </c>
      <c r="AO69" s="9" t="n">
        <v>40</v>
      </c>
      <c r="AP69" s="9" t="n">
        <v>40</v>
      </c>
      <c r="AQ69" s="9" t="n">
        <v>40</v>
      </c>
      <c r="AR69" s="9" t="n">
        <v>40</v>
      </c>
      <c r="AS69" s="9" t="n">
        <v>40</v>
      </c>
      <c r="AT69" s="9" t="n">
        <v>40</v>
      </c>
      <c r="AU69" s="9" t="n">
        <v>40</v>
      </c>
      <c r="AV69" s="9" t="n">
        <v>40</v>
      </c>
      <c r="AW69" s="9" t="n">
        <v>40</v>
      </c>
      <c r="AX69" s="9" t="n">
        <v>40</v>
      </c>
      <c r="AY69" s="9" t="n">
        <v>40</v>
      </c>
      <c r="AZ69" s="9" t="n">
        <v>38</v>
      </c>
      <c r="BA69" s="9" t="n">
        <v>38</v>
      </c>
      <c r="BB69" s="9" t="n">
        <v>38</v>
      </c>
      <c r="BC69" s="9" t="n">
        <v>38</v>
      </c>
      <c r="BD69" s="9" t="n">
        <v>38</v>
      </c>
      <c r="BE69" s="9" t="n">
        <v>38</v>
      </c>
      <c r="BF69" s="9" t="n">
        <v>38</v>
      </c>
      <c r="BG69" s="9" t="n">
        <v>38</v>
      </c>
      <c r="BH69" s="9" t="n">
        <v>38</v>
      </c>
      <c r="BI69" s="9" t="n">
        <v>38</v>
      </c>
      <c r="BJ69" s="9" t="n">
        <v>38</v>
      </c>
      <c r="BK69" s="9" t="n">
        <v>38</v>
      </c>
      <c r="BL69" s="9" t="n">
        <v>38</v>
      </c>
      <c r="BM69" s="9" t="n">
        <v>38</v>
      </c>
      <c r="BN69" s="9" t="n">
        <v>38</v>
      </c>
      <c r="BO69" s="9" t="n">
        <v>38</v>
      </c>
      <c r="BP69" s="9" t="n">
        <v>38</v>
      </c>
      <c r="BQ69" s="9" t="n">
        <v>38</v>
      </c>
      <c r="BR69" s="9" t="n">
        <v>38</v>
      </c>
      <c r="BS69" s="9" t="n">
        <v>38</v>
      </c>
      <c r="BT69" s="9" t="n"/>
      <c r="BU69" s="9" t="n"/>
      <c r="BV69" s="9" t="n"/>
      <c r="BW69" s="9" t="n">
        <v>38</v>
      </c>
      <c r="BX69" s="9" t="n">
        <v>38</v>
      </c>
      <c r="BY69" s="9" t="n">
        <v>38</v>
      </c>
      <c r="BZ69" s="9" t="n">
        <v>38</v>
      </c>
      <c r="CA69" s="9" t="n">
        <v>38</v>
      </c>
      <c r="CB69" s="9" t="n">
        <v>38</v>
      </c>
      <c r="CC69" s="9" t="n">
        <v>38</v>
      </c>
      <c r="CD69" s="9" t="n">
        <v>38</v>
      </c>
      <c r="CE69" s="9" t="n">
        <v>38</v>
      </c>
      <c r="CF69" s="154">
        <f>CD69+IF(NOT(ISBLANK(OFFSET(CF69,0,6))),N(OFFSET(CF69,0,6)),N(OFFSET(CF69,0,7)))-CE69</f>
        <v/>
      </c>
      <c r="CH69" s="19" t="n"/>
      <c r="CI69" s="19" t="n"/>
      <c r="CJ69" s="19" t="n"/>
      <c r="CK69" s="27" t="n"/>
      <c r="CL69" s="691" t="n">
        <v>0</v>
      </c>
      <c r="CM69" s="18" t="n">
        <v>0</v>
      </c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18" t="n"/>
      <c r="DP69" s="18" t="n"/>
      <c r="DQ69" s="18" t="n"/>
      <c r="DR69" s="18" t="n"/>
      <c r="DS69" s="396" t="n"/>
      <c r="DT69" s="18" t="n"/>
      <c r="DU69" s="18" t="n"/>
    </row>
    <row r="70" ht="18.75" customHeight="1">
      <c r="A70" s="31" t="n"/>
      <c r="B70" s="53" t="n"/>
      <c r="C70" s="53" t="n"/>
      <c r="D70" s="53" t="n"/>
      <c r="E70" s="53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4" t="n"/>
      <c r="AL70" s="4" t="n"/>
      <c r="AM70" s="4" t="n"/>
      <c r="AN70" s="4" t="n"/>
      <c r="AO70" s="4" t="n"/>
      <c r="AP70" s="4" t="n"/>
      <c r="AQ70" s="4" t="n"/>
      <c r="AR70" s="4" t="n"/>
      <c r="AS70" s="4" t="n"/>
      <c r="AT70" s="4" t="n"/>
      <c r="AU70" s="4" t="n"/>
      <c r="AV70" s="4" t="n"/>
      <c r="AW70" s="4" t="n"/>
      <c r="AX70" s="4" t="n"/>
      <c r="AY70" s="4" t="n"/>
      <c r="AZ70" s="4" t="n"/>
      <c r="BA70" s="4" t="n"/>
      <c r="BB70" s="4" t="n"/>
      <c r="BC70" s="4" t="n"/>
      <c r="BD70" s="4" t="n"/>
      <c r="BE70" s="4" t="n"/>
      <c r="BF70" s="4" t="n"/>
      <c r="BG70" s="4" t="n"/>
      <c r="BH70" s="4" t="n"/>
      <c r="BI70" s="4" t="n"/>
      <c r="BJ70" s="4" t="n"/>
      <c r="BK70" s="4" t="n"/>
      <c r="BL70" s="4" t="n"/>
      <c r="BM70" s="4" t="n"/>
      <c r="BN70" s="4" t="n"/>
      <c r="BO70" s="4" t="n"/>
      <c r="BP70" s="4" t="n"/>
      <c r="BQ70" s="4" t="n"/>
      <c r="BR70" s="4" t="n"/>
      <c r="BS70" s="4" t="n"/>
      <c r="BT70" s="4" t="n"/>
      <c r="BU70" s="4" t="n"/>
      <c r="BV70" s="4" t="n"/>
      <c r="BW70" s="4" t="n"/>
      <c r="BX70" s="4" t="n"/>
      <c r="BY70" s="4" t="n"/>
      <c r="BZ70" s="4" t="n"/>
      <c r="CA70" s="4" t="n"/>
      <c r="CB70" s="4" t="n"/>
      <c r="CC70" s="2" t="n"/>
      <c r="CD70" s="2" t="n"/>
      <c r="CE70" s="2" t="n"/>
      <c r="CF70" s="53" t="n"/>
      <c r="CI70" s="411" t="n"/>
      <c r="DV70" s="654" t="n">
        <v>45915</v>
      </c>
      <c r="DW70" s="654" t="n">
        <v>45909</v>
      </c>
      <c r="DX70" s="654" t="n">
        <v>45903</v>
      </c>
      <c r="DY70" s="654" t="n">
        <v>45903</v>
      </c>
      <c r="DZ70" s="654" t="n">
        <v>45895</v>
      </c>
      <c r="EA70" s="654" t="n">
        <v>45881</v>
      </c>
      <c r="EB70" s="679" t="n">
        <v>45896</v>
      </c>
      <c r="EC70" s="654" t="n">
        <v>45888</v>
      </c>
      <c r="ED70" s="679" t="n">
        <v>45839</v>
      </c>
      <c r="EE70" s="654" t="n">
        <v>45874</v>
      </c>
      <c r="EF70" s="654" t="n">
        <v>45867</v>
      </c>
      <c r="EG70" s="655" t="n">
        <v>45882</v>
      </c>
      <c r="EH70" s="655" t="n">
        <v>45881</v>
      </c>
      <c r="EI70" s="654" t="n">
        <v>45874</v>
      </c>
      <c r="EJ70" s="654" t="n">
        <v>45867</v>
      </c>
      <c r="EK70" s="654" t="n">
        <v>45860</v>
      </c>
      <c r="EL70" s="655" t="n">
        <v>45863</v>
      </c>
      <c r="EM70" s="655" t="n">
        <v>45860</v>
      </c>
      <c r="EN70" s="654" t="n">
        <v>45860</v>
      </c>
      <c r="EO70" s="654" t="n">
        <v>45853</v>
      </c>
      <c r="EP70" s="681" t="n">
        <v>45855</v>
      </c>
      <c r="EQ70" s="654" t="n">
        <v>45848</v>
      </c>
      <c r="ER70" s="654" t="n">
        <v>45839</v>
      </c>
      <c r="ES70" s="654" t="n">
        <v>45832</v>
      </c>
      <c r="ET70" s="650" t="n">
        <v>45842</v>
      </c>
      <c r="EU70" s="654" t="n">
        <v>45832</v>
      </c>
      <c r="EV70" s="654" t="n">
        <v>45825</v>
      </c>
      <c r="EW70" s="655" t="n">
        <v>45826</v>
      </c>
      <c r="EX70" s="655" t="n">
        <v>45825</v>
      </c>
      <c r="EY70" s="654" t="n">
        <v>45819</v>
      </c>
      <c r="EZ70" s="654" t="n">
        <v>45813</v>
      </c>
      <c r="FA70" s="655" t="n">
        <v>45820</v>
      </c>
      <c r="FB70" s="655" t="n">
        <v>45818</v>
      </c>
      <c r="FC70" s="654" t="n">
        <v>45805</v>
      </c>
      <c r="FD70" s="655" t="n">
        <v>45807</v>
      </c>
      <c r="FE70" s="654" t="n">
        <v>45790</v>
      </c>
      <c r="FF70" s="655" t="n">
        <v>45799</v>
      </c>
      <c r="FG70" s="690" t="n">
        <v>45799</v>
      </c>
      <c r="FH70" s="650" t="n">
        <v>45798</v>
      </c>
      <c r="FI70" s="655" t="n">
        <v>45798</v>
      </c>
      <c r="FJ70" s="655" t="n">
        <v>45797</v>
      </c>
      <c r="FK70" s="654" t="n">
        <v>45790</v>
      </c>
      <c r="FL70" s="654" t="n">
        <v>45783</v>
      </c>
      <c r="FM70" s="654" t="n">
        <v>45775</v>
      </c>
      <c r="FN70" s="654" t="n">
        <v>45756</v>
      </c>
      <c r="FO70" s="654" t="n">
        <v>45770</v>
      </c>
      <c r="FP70" s="654" t="n">
        <v>45756</v>
      </c>
      <c r="FQ70" s="654" t="n">
        <v>45749</v>
      </c>
      <c r="FR70" s="654" t="n">
        <v>45736</v>
      </c>
      <c r="FS70" s="654" t="n">
        <v>45743</v>
      </c>
      <c r="FT70" s="654" t="n">
        <v>45735</v>
      </c>
      <c r="FU70" s="654" t="n">
        <v>45728</v>
      </c>
      <c r="FV70" s="654" t="n">
        <v>45722</v>
      </c>
      <c r="FW70" s="654" t="n">
        <v>45714</v>
      </c>
      <c r="FX70" s="650" t="n">
        <v>45700</v>
      </c>
      <c r="FY70" s="654" t="n">
        <v>45706</v>
      </c>
      <c r="FZ70" s="654" t="n">
        <v>45700</v>
      </c>
      <c r="GA70" s="654" t="n">
        <v>45684</v>
      </c>
      <c r="GB70" s="654" t="n">
        <v>45699</v>
      </c>
      <c r="GC70" s="654" t="n">
        <v>45699</v>
      </c>
      <c r="GD70" s="655" t="n">
        <v>45706</v>
      </c>
      <c r="GE70" s="654" t="n">
        <v>45693</v>
      </c>
      <c r="GF70" s="654" t="n">
        <v>45693</v>
      </c>
      <c r="GG70" s="654" t="n">
        <v>45685</v>
      </c>
      <c r="GH70" s="712" t="n">
        <v>45692</v>
      </c>
      <c r="GI70" s="655" t="n">
        <v>45691</v>
      </c>
      <c r="GJ70" s="655" t="n">
        <v>45681</v>
      </c>
      <c r="GK70" s="654" t="n">
        <v>45674</v>
      </c>
      <c r="GL70" s="655" t="n">
        <v>45672</v>
      </c>
      <c r="GM70" s="654" t="n">
        <v>45664</v>
      </c>
      <c r="GN70" s="654" t="n">
        <v>46008</v>
      </c>
      <c r="GO70" s="654" t="n">
        <v>45660</v>
      </c>
      <c r="GP70" s="654" t="n">
        <v>45652</v>
      </c>
      <c r="GQ70" s="654" t="n">
        <v>45638</v>
      </c>
      <c r="GR70" s="654" t="n">
        <v>45643</v>
      </c>
    </row>
    <row r="71" ht="18.75" customHeight="1">
      <c r="A71" s="208" t="inlineStr">
        <is>
          <t>CAIXAS KRAFTS - LUAPACK</t>
        </is>
      </c>
      <c r="B71" s="365" t="inlineStr">
        <is>
          <t>PC</t>
        </is>
      </c>
      <c r="C71" s="365" t="inlineStr">
        <is>
          <t>R$/ UND.</t>
        </is>
      </c>
      <c r="D71" s="208" t="n"/>
      <c r="E71" s="53" t="n"/>
      <c r="F71" s="650" t="n">
        <v>45656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0" t="n">
        <v>46160</v>
      </c>
      <c r="CC71" s="651" t="n">
        <v>46161.48003686342</v>
      </c>
      <c r="CD71" s="651" t="n">
        <v>46161.48071633102</v>
      </c>
      <c r="CE71" s="651" t="n">
        <v>46161.48287467357</v>
      </c>
      <c r="CF71" s="652" t="inlineStr">
        <is>
          <t>USOU</t>
        </is>
      </c>
      <c r="CH71" s="35" t="inlineStr">
        <is>
          <t>Pend.</t>
        </is>
      </c>
      <c r="CI71" s="413" t="inlineStr">
        <is>
          <t>TRANSFERÊNCIA</t>
        </is>
      </c>
      <c r="CJ71" s="35" t="inlineStr">
        <is>
          <t>Pend.</t>
        </is>
      </c>
      <c r="CK71" s="12" t="inlineStr">
        <is>
          <t>Novo Pedido</t>
        </is>
      </c>
      <c r="CL71" s="708" t="n">
        <v>46161.48287348083</v>
      </c>
      <c r="CM71" s="654" t="n">
        <v>46149</v>
      </c>
      <c r="CN71" s="654" t="n">
        <v>46114</v>
      </c>
      <c r="CO71" s="654" t="n">
        <v>46099</v>
      </c>
      <c r="CP71" s="710" t="n">
        <v>46065</v>
      </c>
      <c r="CQ71" s="711" t="n">
        <v>46045</v>
      </c>
      <c r="CR71" s="654" t="n">
        <v>46076</v>
      </c>
      <c r="CS71" s="655" t="n">
        <v>46084</v>
      </c>
      <c r="CT71" s="654" t="n">
        <v>46077</v>
      </c>
      <c r="CU71" s="655" t="n">
        <v>46077</v>
      </c>
      <c r="CV71" s="654" t="n">
        <v>46071</v>
      </c>
      <c r="CW71" s="654" t="n">
        <v>46071</v>
      </c>
      <c r="CX71" s="654" t="n">
        <v>46056</v>
      </c>
      <c r="CY71" s="654" t="n">
        <v>46043</v>
      </c>
      <c r="CZ71" s="654" t="n">
        <v>46035</v>
      </c>
      <c r="DA71" s="654" t="n">
        <v>46029</v>
      </c>
      <c r="DB71" s="654" t="n">
        <v>46017</v>
      </c>
      <c r="DC71" s="654" t="n">
        <v>46001</v>
      </c>
      <c r="DD71" s="654" t="n">
        <v>46007</v>
      </c>
      <c r="DE71" s="654" t="n">
        <v>45994</v>
      </c>
      <c r="DF71" s="654" t="n">
        <v>45986</v>
      </c>
      <c r="DG71" s="654" t="n">
        <v>45986</v>
      </c>
      <c r="DH71" s="654" t="n">
        <v>45980</v>
      </c>
      <c r="DI71" s="654" t="n">
        <v>45980</v>
      </c>
      <c r="DJ71" s="654" t="n">
        <v>45973</v>
      </c>
      <c r="DK71" s="654" t="n">
        <v>45965</v>
      </c>
      <c r="DL71" s="654" t="n">
        <v>45960</v>
      </c>
      <c r="DM71" s="655" t="n">
        <v>45967</v>
      </c>
      <c r="DN71" s="654" t="n">
        <v>45937</v>
      </c>
      <c r="DO71" s="654" t="n">
        <v>45951</v>
      </c>
      <c r="DP71" s="654" t="n">
        <v>45931</v>
      </c>
      <c r="DQ71" s="654" t="n">
        <v>45923</v>
      </c>
      <c r="DR71" s="654" t="n">
        <v>45923</v>
      </c>
      <c r="DS71" s="678" t="n">
        <v>45903</v>
      </c>
      <c r="DT71" s="655" t="n">
        <v>45931</v>
      </c>
      <c r="DU71" s="688" t="n">
        <v>45931</v>
      </c>
      <c r="DV71" s="110" t="n"/>
      <c r="DW71" s="110" t="n"/>
      <c r="DX71" s="110" t="n"/>
      <c r="DY71" s="110" t="n"/>
      <c r="DZ71" s="110" t="n"/>
      <c r="EA71" s="110" t="n"/>
      <c r="EB71" s="110" t="n"/>
      <c r="EC71" s="110" t="n"/>
      <c r="ED71" s="110" t="n"/>
      <c r="EE71" s="110" t="n">
        <v>5050</v>
      </c>
      <c r="EF71" s="110" t="n"/>
      <c r="EG71" s="110" t="n"/>
      <c r="EH71" s="110" t="n"/>
      <c r="EI71" s="110" t="n"/>
      <c r="EJ71" s="110" t="n"/>
      <c r="EK71" s="110" t="n"/>
      <c r="EL71" s="110" t="n"/>
      <c r="EM71" s="110" t="n"/>
      <c r="EN71" s="110" t="n"/>
      <c r="EO71" s="110" t="n"/>
      <c r="EP71" s="18" t="n"/>
      <c r="EQ71" s="110" t="n"/>
      <c r="ER71" s="110" t="n"/>
      <c r="ES71" s="110" t="n">
        <v>3722</v>
      </c>
      <c r="ET71" s="274" t="n"/>
      <c r="EU71" s="110" t="n"/>
      <c r="EV71" s="110" t="n"/>
      <c r="EW71" s="110" t="n"/>
      <c r="EX71" s="110" t="n"/>
      <c r="EY71" s="110" t="n"/>
      <c r="EZ71" s="110" t="n"/>
      <c r="FA71" s="110" t="n"/>
      <c r="FB71" s="110" t="n"/>
      <c r="FC71" s="110" t="n"/>
      <c r="FD71" s="110" t="n"/>
      <c r="FE71" s="110" t="n"/>
      <c r="FF71" s="110" t="n"/>
      <c r="FG71" s="110" t="n"/>
      <c r="FH71" s="274" t="n"/>
      <c r="FI71" s="110" t="n"/>
      <c r="FJ71" s="110" t="n"/>
      <c r="FK71" s="110" t="n"/>
      <c r="FL71" s="110" t="n"/>
      <c r="FM71" s="110" t="n"/>
      <c r="FN71" s="110" t="n"/>
      <c r="FO71" s="110" t="n"/>
      <c r="FP71" s="110" t="n"/>
      <c r="FQ71" s="110" t="n"/>
      <c r="FR71" s="110" t="n">
        <v>4598</v>
      </c>
      <c r="FS71" s="110" t="n"/>
      <c r="FT71" s="110" t="n"/>
      <c r="FU71" s="110" t="n"/>
      <c r="FV71" s="110" t="n"/>
      <c r="FW71" s="110" t="n"/>
      <c r="FX71" s="274" t="n"/>
      <c r="FY71" s="110" t="n"/>
      <c r="FZ71" s="110" t="n">
        <v>2021</v>
      </c>
      <c r="GA71" s="110" t="n"/>
      <c r="GB71" s="110" t="n"/>
      <c r="GC71" s="110" t="n"/>
      <c r="GD71" s="110" t="n"/>
      <c r="GE71" s="110" t="n"/>
      <c r="GF71" s="110" t="n"/>
      <c r="GG71" s="110" t="n"/>
      <c r="GH71" s="110" t="n"/>
      <c r="GI71" s="110" t="n"/>
      <c r="GJ71" s="110" t="n"/>
      <c r="GK71" s="110" t="n"/>
      <c r="GL71" s="110" t="n"/>
      <c r="GM71" s="110" t="n"/>
      <c r="GN71" s="110" t="n"/>
      <c r="GO71" s="110" t="n"/>
      <c r="GP71" s="110" t="n"/>
      <c r="GQ71" s="110" t="n"/>
      <c r="GR71" s="110" t="n"/>
    </row>
    <row r="72" ht="18.75" customHeight="1">
      <c r="A72" s="33" t="inlineStr">
        <is>
          <t>CAIXA P</t>
        </is>
      </c>
      <c r="B72" s="36" t="n">
        <v>25</v>
      </c>
      <c r="C72" s="668" t="n">
        <v>1.43</v>
      </c>
      <c r="D72" s="342" t="n"/>
      <c r="E72" s="53" t="n"/>
      <c r="F72" s="38" t="n">
        <v>3150</v>
      </c>
      <c r="G72" s="38" t="n">
        <v>2975</v>
      </c>
      <c r="H72" s="38" t="n">
        <v>2850</v>
      </c>
      <c r="I72" s="38" t="n">
        <v>2600</v>
      </c>
      <c r="J72" s="38" t="n">
        <v>2350</v>
      </c>
      <c r="K72" s="38" t="n">
        <v>2150</v>
      </c>
      <c r="L72" s="38" t="n">
        <v>1725</v>
      </c>
      <c r="M72" s="38" t="n">
        <v>1425</v>
      </c>
      <c r="N72" s="38">
        <f>1075+FW71</f>
        <v/>
      </c>
      <c r="O72" s="38" t="n">
        <v>2775</v>
      </c>
      <c r="P72" s="38" t="n">
        <v>2450</v>
      </c>
      <c r="Q72" s="38" t="n">
        <v>1950</v>
      </c>
      <c r="R72" s="38" t="n">
        <v>1525</v>
      </c>
      <c r="S72" s="38" t="n">
        <v>1425</v>
      </c>
      <c r="T72" s="38">
        <f>1125+FO71</f>
        <v/>
      </c>
      <c r="U72" s="38" t="n">
        <v>5500</v>
      </c>
      <c r="V72" s="38" t="n">
        <v>5100</v>
      </c>
      <c r="W72" s="38" t="n">
        <v>4725</v>
      </c>
      <c r="X72" s="38" t="n">
        <v>4425</v>
      </c>
      <c r="Y72" s="38" t="n">
        <v>4050</v>
      </c>
      <c r="Z72" s="38" t="n">
        <v>3550</v>
      </c>
      <c r="AA72" s="38" t="n">
        <v>2950</v>
      </c>
      <c r="AB72" s="38" t="n">
        <v>2350</v>
      </c>
      <c r="AC72" s="38" t="n">
        <v>1700</v>
      </c>
      <c r="AD72" s="38" t="n">
        <v>1325</v>
      </c>
      <c r="AE72" s="38" t="n">
        <v>750</v>
      </c>
      <c r="AF72" s="38" t="n">
        <v>300</v>
      </c>
      <c r="AG72" s="38">
        <f>0+EP71</f>
        <v/>
      </c>
      <c r="AH72" s="38" t="n">
        <v>3325</v>
      </c>
      <c r="AI72" s="38" t="n">
        <v>2650</v>
      </c>
      <c r="AJ72" s="38" t="n">
        <v>2050</v>
      </c>
      <c r="AK72" s="38" t="n">
        <v>1400</v>
      </c>
      <c r="AL72" s="38" t="n">
        <v>1000</v>
      </c>
      <c r="AM72" s="38" t="n">
        <v>425</v>
      </c>
      <c r="AN72" s="38">
        <f>0+EB71</f>
        <v/>
      </c>
      <c r="AO72" s="38" t="n">
        <v>4525</v>
      </c>
      <c r="AP72" s="38" t="n">
        <v>3775</v>
      </c>
      <c r="AQ72" s="38" t="n">
        <v>3275</v>
      </c>
      <c r="AR72" s="38" t="n">
        <v>2250</v>
      </c>
      <c r="AS72" s="38" t="n">
        <v>2067</v>
      </c>
      <c r="AT72" s="38" t="n">
        <v>1675</v>
      </c>
      <c r="AU72" s="38" t="n">
        <v>10375</v>
      </c>
      <c r="AV72" s="38" t="n">
        <v>10075</v>
      </c>
      <c r="AW72" s="38" t="n">
        <v>9600</v>
      </c>
      <c r="AX72" s="38" t="n">
        <v>8825</v>
      </c>
      <c r="AY72" s="38" t="n">
        <v>8675</v>
      </c>
      <c r="AZ72" s="38" t="n">
        <v>8025</v>
      </c>
      <c r="BA72" s="38" t="n">
        <v>7475</v>
      </c>
      <c r="BB72" s="38" t="n">
        <v>6825</v>
      </c>
      <c r="BC72" s="38" t="n">
        <v>6175</v>
      </c>
      <c r="BD72" s="38" t="n">
        <v>5550</v>
      </c>
      <c r="BE72" s="187" t="n">
        <v>4800</v>
      </c>
      <c r="BF72" s="187" t="n">
        <v>4600</v>
      </c>
      <c r="BG72" s="187" t="n">
        <v>4500</v>
      </c>
      <c r="BH72" s="187" t="n">
        <v>4050</v>
      </c>
      <c r="BI72" s="187" t="n">
        <v>3425</v>
      </c>
      <c r="BJ72" s="187" t="n">
        <v>3050</v>
      </c>
      <c r="BK72" s="187" t="n">
        <v>2625</v>
      </c>
      <c r="BL72" s="187" t="n">
        <v>2150</v>
      </c>
      <c r="BM72" s="187" t="n">
        <v>1425</v>
      </c>
      <c r="BN72" s="187" t="n">
        <v>1225</v>
      </c>
      <c r="BO72" s="187" t="n">
        <v>700</v>
      </c>
      <c r="BP72" s="187">
        <f>400+CO72</f>
        <v/>
      </c>
      <c r="BQ72" s="187" t="n">
        <v>8950</v>
      </c>
      <c r="BR72" s="187" t="n">
        <v>8850</v>
      </c>
      <c r="BS72" s="187" t="n">
        <v>8400</v>
      </c>
      <c r="BT72" s="187" t="n">
        <v>8075</v>
      </c>
      <c r="BU72" s="187" t="n">
        <v>7875</v>
      </c>
      <c r="BV72" s="187" t="n">
        <v>7525</v>
      </c>
      <c r="BW72" s="187" t="n">
        <v>7300</v>
      </c>
      <c r="BX72" s="187" t="n">
        <v>6625</v>
      </c>
      <c r="BY72" s="187" t="n">
        <v>6300</v>
      </c>
      <c r="BZ72" s="187" t="n"/>
      <c r="CA72" s="187" t="n"/>
      <c r="CB72" s="187" t="n"/>
      <c r="CC72" s="422" t="n"/>
      <c r="CD72" s="422" t="n"/>
      <c r="CE72" s="422" t="n"/>
      <c r="CF72" s="188">
        <f>CD72+IF(NOT(ISBLANK(OFFSET(CF72,0,6))),N(OFFSET(CF72,0,6)),N(OFFSET(CF72,0,7)))-CE72</f>
        <v/>
      </c>
      <c r="CH72" s="127" t="n"/>
      <c r="CI72" s="127" t="n"/>
      <c r="CJ72" s="127" t="n"/>
      <c r="CK72" s="27" t="n"/>
      <c r="CL72" s="110" t="n">
        <v>0</v>
      </c>
      <c r="CM72" s="110" t="n">
        <v>0</v>
      </c>
      <c r="CN72" s="110" t="n"/>
      <c r="CO72" s="110" t="n"/>
      <c r="CP72" s="110" t="n"/>
      <c r="CQ72" s="110" t="n"/>
      <c r="CR72" s="110" t="n">
        <v>9225</v>
      </c>
      <c r="CS72" s="110" t="n"/>
      <c r="CT72" s="110" t="n"/>
      <c r="CU72" s="110" t="n"/>
      <c r="CV72" s="110" t="n"/>
      <c r="CW72" s="110" t="n"/>
      <c r="CX72" s="110" t="n"/>
      <c r="CY72" s="110" t="n"/>
      <c r="CZ72" s="110" t="n"/>
      <c r="DA72" s="110" t="n"/>
      <c r="DB72" s="110" t="n"/>
      <c r="DC72" s="110" t="n"/>
      <c r="DD72" s="110" t="n"/>
      <c r="DE72" s="110" t="n"/>
      <c r="DF72" s="110" t="n"/>
      <c r="DG72" s="110" t="n"/>
      <c r="DH72" s="110" t="n"/>
      <c r="DI72" s="110" t="n"/>
      <c r="DJ72" s="110" t="n"/>
      <c r="DK72" s="110" t="n"/>
      <c r="DL72" s="110" t="n"/>
      <c r="DM72" s="110" t="n"/>
      <c r="DN72" s="110" t="n"/>
      <c r="DO72" s="110" t="n"/>
      <c r="DP72" s="110" t="n"/>
      <c r="DQ72" s="110" t="n">
        <v>9159</v>
      </c>
      <c r="DR72" s="110" t="n"/>
      <c r="DS72" s="396" t="n"/>
      <c r="DT72" s="110" t="n"/>
      <c r="DU72" s="110" t="n"/>
      <c r="DV72" s="110" t="n"/>
      <c r="DW72" s="110" t="n"/>
      <c r="DX72" s="110" t="n"/>
      <c r="DY72" s="110" t="n"/>
      <c r="DZ72" s="110" t="n"/>
      <c r="EA72" s="110" t="n"/>
      <c r="EB72" s="110" t="n"/>
      <c r="EC72" s="110" t="n"/>
      <c r="ED72" s="110" t="n"/>
      <c r="EE72" s="110" t="n">
        <v>4400</v>
      </c>
      <c r="EF72" s="110" t="n"/>
      <c r="EG72" s="110" t="n"/>
      <c r="EH72" s="110" t="n"/>
      <c r="EI72" s="110" t="n"/>
      <c r="EJ72" s="110" t="n"/>
      <c r="EK72" s="110" t="n"/>
      <c r="EL72" s="110" t="n"/>
      <c r="EM72" s="110" t="n"/>
      <c r="EN72" s="110" t="n"/>
      <c r="EO72" s="110" t="n"/>
      <c r="EP72" s="342" t="n"/>
      <c r="EQ72" s="110" t="n"/>
      <c r="ER72" s="110" t="n"/>
      <c r="ES72" s="110" t="n">
        <v>2311</v>
      </c>
      <c r="ET72" s="274" t="n"/>
      <c r="EU72" s="110" t="n"/>
      <c r="EV72" s="110" t="n"/>
      <c r="EW72" s="110" t="n"/>
      <c r="EX72" s="110" t="n"/>
      <c r="EY72" s="110" t="n"/>
      <c r="EZ72" s="110" t="n"/>
      <c r="FA72" s="110" t="n"/>
      <c r="FB72" s="110" t="n"/>
      <c r="FC72" s="110" t="n"/>
      <c r="FD72" s="110" t="n"/>
      <c r="FE72" s="110" t="n"/>
      <c r="FF72" s="110" t="n"/>
      <c r="FG72" s="110" t="n"/>
      <c r="FH72" s="274" t="n"/>
      <c r="FI72" s="110" t="n"/>
      <c r="FJ72" s="110" t="n"/>
      <c r="FK72" s="110" t="n"/>
      <c r="FL72" s="110" t="n"/>
      <c r="FM72" s="110" t="n"/>
      <c r="FN72" s="110" t="n"/>
      <c r="FO72" s="110" t="n"/>
      <c r="FP72" s="110" t="n"/>
      <c r="FQ72" s="110" t="n"/>
      <c r="FR72" s="110" t="n">
        <v>3114</v>
      </c>
      <c r="FS72" s="110" t="n"/>
      <c r="FT72" s="110" t="n"/>
      <c r="FU72" s="110" t="n"/>
      <c r="FV72" s="110" t="n"/>
      <c r="FW72" s="110" t="n"/>
      <c r="FX72" s="274" t="n"/>
      <c r="FY72" s="110" t="n"/>
      <c r="FZ72" s="110" t="n">
        <v>3311</v>
      </c>
      <c r="GA72" s="110" t="n"/>
      <c r="GB72" s="110" t="n"/>
      <c r="GC72" s="110" t="n"/>
      <c r="GD72" s="110" t="n"/>
      <c r="GE72" s="110" t="n"/>
      <c r="GF72" s="110" t="n"/>
      <c r="GG72" s="110" t="n"/>
      <c r="GH72" s="110" t="n"/>
      <c r="GI72" s="110" t="n"/>
      <c r="GJ72" s="110" t="n"/>
      <c r="GK72" s="110" t="n"/>
      <c r="GL72" s="110" t="n"/>
      <c r="GM72" s="110" t="n"/>
      <c r="GN72" s="110" t="n"/>
      <c r="GO72" s="110" t="n"/>
      <c r="GP72" s="110" t="n"/>
      <c r="GQ72" s="110" t="n"/>
      <c r="GR72" s="110" t="n"/>
    </row>
    <row r="73" ht="18.75" customHeight="1">
      <c r="A73" s="33" t="inlineStr">
        <is>
          <t>CAIXA M</t>
        </is>
      </c>
      <c r="B73" s="36" t="n">
        <v>25</v>
      </c>
      <c r="C73" s="668" t="n">
        <v>2.37</v>
      </c>
      <c r="D73" s="342" t="n"/>
      <c r="E73" s="53" t="n"/>
      <c r="F73" s="38" t="n">
        <v>3425</v>
      </c>
      <c r="G73" s="38" t="n">
        <v>3050</v>
      </c>
      <c r="H73" s="38" t="n">
        <v>2700</v>
      </c>
      <c r="I73" s="38" t="n">
        <v>2325</v>
      </c>
      <c r="J73" s="38" t="n">
        <v>1800</v>
      </c>
      <c r="K73" s="38" t="n">
        <v>1450</v>
      </c>
      <c r="L73" s="38" t="n">
        <v>900</v>
      </c>
      <c r="M73" s="38" t="n">
        <v>550</v>
      </c>
      <c r="N73" s="38">
        <f>250+FW72</f>
        <v/>
      </c>
      <c r="O73" s="38" t="n">
        <v>3300</v>
      </c>
      <c r="P73" s="38" t="n">
        <v>2800</v>
      </c>
      <c r="Q73" s="38" t="n">
        <v>2325</v>
      </c>
      <c r="R73" s="38" t="n">
        <v>2325</v>
      </c>
      <c r="S73" s="38" t="n">
        <v>2250</v>
      </c>
      <c r="T73" s="38">
        <f>2000+FO72</f>
        <v/>
      </c>
      <c r="U73" s="38" t="n">
        <v>4925</v>
      </c>
      <c r="V73" s="38" t="n">
        <v>4650</v>
      </c>
      <c r="W73" s="38" t="n">
        <v>4275</v>
      </c>
      <c r="X73" s="38" t="n">
        <v>3375</v>
      </c>
      <c r="Y73" s="38" t="n">
        <v>3200</v>
      </c>
      <c r="Z73" s="38" t="n">
        <v>2750</v>
      </c>
      <c r="AA73" s="38" t="n">
        <v>2215</v>
      </c>
      <c r="AB73" s="38" t="n">
        <v>1750</v>
      </c>
      <c r="AC73" s="38" t="n">
        <v>1025</v>
      </c>
      <c r="AD73" s="38" t="n">
        <v>900</v>
      </c>
      <c r="AE73" s="38" t="n">
        <v>600</v>
      </c>
      <c r="AF73" s="38" t="n">
        <v>400</v>
      </c>
      <c r="AG73" s="38">
        <f>0+EP72</f>
        <v/>
      </c>
      <c r="AH73" s="38" t="n">
        <v>2050</v>
      </c>
      <c r="AI73" s="38" t="n">
        <v>1850</v>
      </c>
      <c r="AJ73" s="38" t="n">
        <v>1550</v>
      </c>
      <c r="AK73" s="38" t="n">
        <v>1200</v>
      </c>
      <c r="AL73" s="38" t="n">
        <v>1000</v>
      </c>
      <c r="AM73" s="38" t="n">
        <v>725</v>
      </c>
      <c r="AN73" s="38">
        <f>375+EB72</f>
        <v/>
      </c>
      <c r="AO73" s="38" t="n">
        <v>4475</v>
      </c>
      <c r="AP73" s="38" t="n">
        <v>4025</v>
      </c>
      <c r="AQ73" s="38" t="n">
        <v>3775</v>
      </c>
      <c r="AR73" s="38" t="n">
        <v>3500</v>
      </c>
      <c r="AS73" s="38" t="n">
        <v>3150</v>
      </c>
      <c r="AT73" s="38" t="n">
        <v>2750</v>
      </c>
      <c r="AU73" s="38" t="n">
        <v>7225</v>
      </c>
      <c r="AV73" s="38" t="n">
        <v>7125</v>
      </c>
      <c r="AW73" s="38" t="n">
        <v>6900</v>
      </c>
      <c r="AX73" s="38" t="n">
        <v>6625</v>
      </c>
      <c r="AY73" s="38" t="n">
        <v>6225</v>
      </c>
      <c r="AZ73" s="38" t="n">
        <v>5750</v>
      </c>
      <c r="BA73" s="38" t="n">
        <v>5475</v>
      </c>
      <c r="BB73" s="38" t="n">
        <v>5225</v>
      </c>
      <c r="BC73" s="38" t="n">
        <v>4750</v>
      </c>
      <c r="BD73" s="38" t="n">
        <v>4425</v>
      </c>
      <c r="BE73" s="187" t="n">
        <v>4100</v>
      </c>
      <c r="BF73" s="187" t="n">
        <v>4000</v>
      </c>
      <c r="BG73" s="187" t="n">
        <v>3875</v>
      </c>
      <c r="BH73" s="187" t="n">
        <v>3600</v>
      </c>
      <c r="BI73" s="187" t="n">
        <v>3275</v>
      </c>
      <c r="BJ73" s="187" t="n">
        <v>3075</v>
      </c>
      <c r="BK73" s="187" t="n">
        <v>2825</v>
      </c>
      <c r="BL73" s="187" t="n">
        <v>2600</v>
      </c>
      <c r="BM73" s="187" t="n">
        <v>2275</v>
      </c>
      <c r="BN73" s="187" t="n">
        <v>2175</v>
      </c>
      <c r="BO73" s="187" t="n">
        <v>1925</v>
      </c>
      <c r="BP73" s="187">
        <f>1800+CO73</f>
        <v/>
      </c>
      <c r="BQ73" s="187" t="n">
        <v>5975</v>
      </c>
      <c r="BR73" s="187" t="n">
        <v>5800</v>
      </c>
      <c r="BS73" s="187" t="n">
        <v>5500</v>
      </c>
      <c r="BT73" s="187" t="n">
        <v>5250</v>
      </c>
      <c r="BU73" s="187" t="n">
        <v>5100</v>
      </c>
      <c r="BV73" s="187" t="n">
        <v>4650</v>
      </c>
      <c r="BW73" s="187" t="n">
        <v>4575</v>
      </c>
      <c r="BX73" s="187" t="n">
        <v>4050</v>
      </c>
      <c r="BY73" s="187" t="n">
        <v>3800</v>
      </c>
      <c r="BZ73" s="187" t="n"/>
      <c r="CA73" s="187" t="n"/>
      <c r="CB73" s="187" t="n"/>
      <c r="CC73" s="422" t="n"/>
      <c r="CD73" s="422" t="n"/>
      <c r="CE73" s="422" t="n"/>
      <c r="CF73" s="188">
        <f>CD73+IF(NOT(ISBLANK(OFFSET(CF73,0,6))),N(OFFSET(CF73,0,6)),N(OFFSET(CF73,0,7)))-CE73</f>
        <v/>
      </c>
      <c r="CH73" s="127" t="n"/>
      <c r="CI73" s="127" t="n"/>
      <c r="CJ73" s="127" t="n"/>
      <c r="CK73" s="27" t="n"/>
      <c r="CL73" s="110" t="n">
        <v>0</v>
      </c>
      <c r="CM73" s="110" t="n">
        <v>0</v>
      </c>
      <c r="CN73" s="110" t="n"/>
      <c r="CO73" s="110" t="n"/>
      <c r="CP73" s="110" t="n"/>
      <c r="CQ73" s="110" t="n"/>
      <c r="CR73" s="110" t="n">
        <v>4500</v>
      </c>
      <c r="CS73" s="110" t="n"/>
      <c r="CT73" s="110" t="n"/>
      <c r="CU73" s="110" t="n"/>
      <c r="CV73" s="110" t="n"/>
      <c r="CW73" s="110" t="n"/>
      <c r="CX73" s="110" t="n"/>
      <c r="CY73" s="110" t="n"/>
      <c r="CZ73" s="110" t="n"/>
      <c r="DA73" s="110" t="n"/>
      <c r="DB73" s="110" t="n"/>
      <c r="DC73" s="110" t="n"/>
      <c r="DD73" s="110" t="n"/>
      <c r="DE73" s="110" t="n"/>
      <c r="DF73" s="110" t="n"/>
      <c r="DG73" s="110" t="n"/>
      <c r="DH73" s="110" t="n"/>
      <c r="DI73" s="110" t="n"/>
      <c r="DJ73" s="110" t="n"/>
      <c r="DK73" s="110" t="n"/>
      <c r="DL73" s="110" t="n"/>
      <c r="DM73" s="110" t="n"/>
      <c r="DN73" s="110" t="n"/>
      <c r="DO73" s="110" t="n"/>
      <c r="DP73" s="110" t="n"/>
      <c r="DQ73" s="110" t="n">
        <v>4928</v>
      </c>
      <c r="DR73" s="110" t="n"/>
      <c r="DS73" s="396" t="n"/>
      <c r="DT73" s="110" t="n"/>
      <c r="DU73" s="110" t="n"/>
      <c r="DV73" s="253" t="n"/>
      <c r="DW73" s="253" t="n"/>
      <c r="DX73" s="253" t="n"/>
      <c r="DY73" s="253" t="n"/>
      <c r="DZ73" s="253" t="n"/>
      <c r="EA73" s="253" t="n"/>
      <c r="EB73" s="253" t="n"/>
      <c r="EC73" s="253" t="n"/>
      <c r="ED73" s="253" t="n"/>
      <c r="EE73" s="253" t="n"/>
      <c r="EF73" s="253" t="n"/>
      <c r="EG73" s="253" t="n"/>
      <c r="EH73" s="253" t="n"/>
      <c r="EI73" s="253" t="n"/>
      <c r="EJ73" s="253" t="n"/>
      <c r="EK73" s="253" t="n"/>
      <c r="EL73" s="253" t="n"/>
      <c r="EM73" s="253" t="n"/>
      <c r="EN73" s="253" t="n"/>
      <c r="EO73" s="253" t="n"/>
      <c r="EP73" s="342" t="n"/>
      <c r="EQ73" s="253" t="n"/>
      <c r="ER73" s="253" t="n"/>
      <c r="ES73" s="110" t="n">
        <v>2050</v>
      </c>
      <c r="ET73" s="274" t="n"/>
      <c r="EU73" s="253" t="n"/>
      <c r="EV73" s="253" t="n"/>
      <c r="EW73" s="253" t="n"/>
      <c r="EX73" s="253" t="n"/>
      <c r="EY73" s="253" t="n"/>
      <c r="EZ73" s="253" t="n"/>
      <c r="FA73" s="253" t="n"/>
      <c r="FB73" s="253" t="n"/>
      <c r="FC73" s="253" t="n"/>
      <c r="FD73" s="253" t="n"/>
      <c r="FE73" s="253" t="n"/>
      <c r="FF73" s="253" t="n"/>
      <c r="FG73" s="253" t="n"/>
      <c r="FH73" s="274" t="n"/>
      <c r="FI73" s="253" t="n"/>
      <c r="FJ73" s="253" t="n"/>
      <c r="FK73" s="253" t="n"/>
      <c r="FL73" s="253" t="n"/>
      <c r="FM73" s="253" t="n"/>
      <c r="FN73" s="253" t="n"/>
      <c r="FO73" s="253" t="n"/>
      <c r="FP73" s="253" t="n"/>
      <c r="FQ73" s="253" t="n"/>
      <c r="FR73" s="110" t="n">
        <v>2425</v>
      </c>
      <c r="FS73" s="253" t="n"/>
      <c r="FT73" s="253" t="n"/>
      <c r="FU73" s="253" t="n"/>
      <c r="FV73" s="253" t="n"/>
      <c r="FW73" s="253" t="n"/>
      <c r="FX73" s="274" t="n"/>
      <c r="FY73" s="253" t="n"/>
      <c r="FZ73" s="253" t="n"/>
      <c r="GA73" s="110" t="n">
        <v>1650</v>
      </c>
      <c r="GB73" s="253" t="n"/>
      <c r="GC73" s="253" t="n"/>
      <c r="GD73" s="253" t="n"/>
      <c r="GE73" s="253" t="n"/>
      <c r="GF73" s="253" t="n"/>
      <c r="GG73" s="253" t="n"/>
      <c r="GH73" s="253" t="n"/>
      <c r="GI73" s="253" t="n"/>
      <c r="GJ73" s="253" t="n"/>
      <c r="GK73" s="253" t="n"/>
      <c r="GL73" s="253" t="n"/>
      <c r="GM73" s="253" t="n"/>
      <c r="GN73" s="253" t="n"/>
      <c r="GO73" s="253" t="n"/>
      <c r="GP73" s="253" t="n"/>
      <c r="GQ73" s="253" t="n"/>
      <c r="GR73" s="253" t="n"/>
    </row>
    <row r="74" ht="18.75" customHeight="1">
      <c r="A74" s="33" t="inlineStr">
        <is>
          <t>CAIXA G</t>
        </is>
      </c>
      <c r="B74" s="36" t="n">
        <v>25</v>
      </c>
      <c r="C74" s="668" t="n">
        <v>2.86</v>
      </c>
      <c r="D74" s="342" t="n"/>
      <c r="E74" s="53" t="n"/>
      <c r="F74" s="4" t="n"/>
      <c r="G74" s="38" t="n">
        <v>0</v>
      </c>
      <c r="H74" s="38" t="n">
        <v>0</v>
      </c>
      <c r="I74" s="38" t="n">
        <v>0</v>
      </c>
      <c r="J74" s="38" t="n">
        <v>0</v>
      </c>
      <c r="K74" s="38" t="n">
        <v>0</v>
      </c>
      <c r="L74" s="38" t="n">
        <v>0</v>
      </c>
      <c r="M74" s="38" t="n">
        <v>0</v>
      </c>
      <c r="N74" s="38">
        <f>0+FX73</f>
        <v/>
      </c>
      <c r="O74" s="38" t="n">
        <v>1550</v>
      </c>
      <c r="P74" s="38" t="n">
        <v>1400</v>
      </c>
      <c r="Q74" s="38" t="n">
        <v>1075</v>
      </c>
      <c r="R74" s="38" t="n">
        <v>775</v>
      </c>
      <c r="S74" s="38" t="n">
        <v>700</v>
      </c>
      <c r="T74" s="38">
        <f>450+FO73</f>
        <v/>
      </c>
      <c r="U74" s="38" t="n">
        <v>2650</v>
      </c>
      <c r="V74" s="38" t="n">
        <v>2375</v>
      </c>
      <c r="W74" s="38" t="n">
        <v>2300</v>
      </c>
      <c r="X74" s="38" t="n">
        <v>2175</v>
      </c>
      <c r="Y74" s="38" t="n">
        <v>2075</v>
      </c>
      <c r="Z74" s="38" t="n">
        <v>1975</v>
      </c>
      <c r="AA74" s="38" t="n">
        <v>1875</v>
      </c>
      <c r="AB74" s="38" t="n">
        <v>1800</v>
      </c>
      <c r="AC74" s="38" t="n">
        <v>1750</v>
      </c>
      <c r="AD74" s="38" t="n">
        <v>1725</v>
      </c>
      <c r="AE74" s="38" t="n">
        <v>1650</v>
      </c>
      <c r="AF74" s="38" t="n">
        <v>1600</v>
      </c>
      <c r="AG74" s="38">
        <f>1500+EP73</f>
        <v/>
      </c>
      <c r="AH74" s="38" t="n">
        <v>3375</v>
      </c>
      <c r="AI74" s="38" t="n">
        <v>3375</v>
      </c>
      <c r="AJ74" s="38" t="n">
        <v>3325</v>
      </c>
      <c r="AK74" s="38" t="n">
        <v>3125</v>
      </c>
      <c r="AL74" s="38" t="n">
        <v>3125</v>
      </c>
      <c r="AM74" s="38" t="n">
        <v>3175</v>
      </c>
      <c r="AN74" s="38" t="n">
        <v>3175</v>
      </c>
      <c r="AO74" s="38" t="n">
        <v>3175</v>
      </c>
      <c r="AP74" s="38" t="n">
        <v>2900</v>
      </c>
      <c r="AQ74" s="38" t="n">
        <v>2875</v>
      </c>
      <c r="AR74" s="38" t="n">
        <v>2875</v>
      </c>
      <c r="AS74" s="38" t="n">
        <v>2800</v>
      </c>
      <c r="AT74" s="38" t="n">
        <v>2700</v>
      </c>
      <c r="AU74" s="38" t="n">
        <v>2575</v>
      </c>
      <c r="AV74" s="38" t="n">
        <v>2575</v>
      </c>
      <c r="AW74" s="38" t="n">
        <v>2475</v>
      </c>
      <c r="AX74" s="38" t="n">
        <v>2400</v>
      </c>
      <c r="AY74" s="38" t="n">
        <v>2350</v>
      </c>
      <c r="AZ74" s="38" t="n">
        <v>2300</v>
      </c>
      <c r="BA74" s="38" t="n">
        <v>2275</v>
      </c>
      <c r="BB74" s="38" t="n">
        <v>2200</v>
      </c>
      <c r="BC74" s="38" t="n">
        <v>2125</v>
      </c>
      <c r="BD74" s="38" t="n">
        <v>2100</v>
      </c>
      <c r="BE74" s="187" t="n">
        <v>2050</v>
      </c>
      <c r="BF74" s="187" t="n">
        <v>2025</v>
      </c>
      <c r="BG74" s="187" t="n">
        <v>2000</v>
      </c>
      <c r="BH74" s="187" t="n">
        <v>1975</v>
      </c>
      <c r="BI74" s="187" t="n">
        <v>1875</v>
      </c>
      <c r="BJ74" s="187" t="n">
        <v>1850</v>
      </c>
      <c r="BK74" s="187" t="n">
        <v>1850</v>
      </c>
      <c r="BL74" s="187" t="n">
        <v>1825</v>
      </c>
      <c r="BM74" s="187" t="n">
        <v>1750</v>
      </c>
      <c r="BN74" s="187" t="n">
        <v>1750</v>
      </c>
      <c r="BO74" s="187" t="n">
        <v>1675</v>
      </c>
      <c r="BP74" s="187" t="n">
        <v>1650</v>
      </c>
      <c r="BQ74" s="187" t="n">
        <v>1550</v>
      </c>
      <c r="BR74" s="187" t="n">
        <v>1500</v>
      </c>
      <c r="BS74" s="187" t="n">
        <v>1400</v>
      </c>
      <c r="BT74" s="187" t="n">
        <v>1350</v>
      </c>
      <c r="BU74" s="187" t="n">
        <v>1325</v>
      </c>
      <c r="BV74" s="187" t="n">
        <v>1200</v>
      </c>
      <c r="BW74" s="187" t="n">
        <v>1150</v>
      </c>
      <c r="BX74" s="187" t="n">
        <v>1100</v>
      </c>
      <c r="BY74" s="187" t="n">
        <v>1000</v>
      </c>
      <c r="BZ74" s="187" t="n"/>
      <c r="CA74" s="187" t="n"/>
      <c r="CB74" s="187" t="n"/>
      <c r="CC74" s="422" t="n"/>
      <c r="CD74" s="422" t="n"/>
      <c r="CE74" s="422" t="n"/>
      <c r="CF74" s="188">
        <f>CD74+IF(NOT(ISBLANK(OFFSET(CF74,0,6))),N(OFFSET(CF74,0,6)),N(OFFSET(CF74,0,7)))-CE74</f>
        <v/>
      </c>
      <c r="CI74" s="127" t="n"/>
      <c r="CJ74" s="127" t="n"/>
      <c r="CK74" s="27" t="n"/>
      <c r="CL74" s="110" t="n">
        <v>0</v>
      </c>
      <c r="CM74" s="110" t="n">
        <v>0</v>
      </c>
      <c r="CN74" s="253" t="n"/>
      <c r="CO74" s="253" t="n"/>
      <c r="CP74" s="253" t="n"/>
      <c r="CQ74" s="253" t="n"/>
      <c r="CR74" s="253" t="n"/>
      <c r="CS74" s="253" t="n"/>
      <c r="CT74" s="253" t="n"/>
      <c r="CU74" s="253" t="n"/>
      <c r="CV74" s="253" t="n"/>
      <c r="CW74" s="253" t="n"/>
      <c r="CX74" s="253" t="n"/>
      <c r="CY74" s="253" t="n"/>
      <c r="CZ74" s="253" t="n"/>
      <c r="DA74" s="253" t="n"/>
      <c r="DB74" s="253" t="n"/>
      <c r="DC74" s="253" t="n"/>
      <c r="DD74" s="253" t="n"/>
      <c r="DE74" s="253" t="n"/>
      <c r="DF74" s="253" t="n"/>
      <c r="DG74" s="253" t="n"/>
      <c r="DH74" s="253" t="n"/>
      <c r="DI74" s="253" t="n"/>
      <c r="DJ74" s="253" t="n"/>
      <c r="DK74" s="253" t="n"/>
      <c r="DL74" s="253" t="n"/>
      <c r="DM74" s="253" t="n"/>
      <c r="DN74" s="253" t="n"/>
      <c r="DO74" s="253" t="n"/>
      <c r="DP74" s="253" t="n"/>
      <c r="DQ74" s="253" t="n"/>
      <c r="DR74" s="253" t="n"/>
      <c r="DS74" s="396" t="n"/>
      <c r="DT74" s="253" t="n"/>
      <c r="DU74" s="253" t="n"/>
    </row>
    <row r="75">
      <c r="A75" s="31" t="n"/>
      <c r="B75" s="53" t="n"/>
      <c r="C75" s="53" t="n"/>
      <c r="D75" s="53" t="n"/>
      <c r="E75" s="53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  <c r="AA75" s="4" t="n"/>
      <c r="AB75" s="4" t="n"/>
      <c r="AC75" s="4" t="n"/>
      <c r="AD75" s="4" t="n"/>
      <c r="AE75" s="4" t="n"/>
      <c r="AF75" s="4" t="n"/>
      <c r="AG75" s="4" t="n"/>
      <c r="AH75" s="4" t="n"/>
      <c r="AI75" s="4" t="n"/>
      <c r="AJ75" s="4" t="n"/>
      <c r="AK75" s="4" t="n"/>
      <c r="AL75" s="4" t="n"/>
      <c r="AM75" s="4" t="n"/>
      <c r="AN75" s="4" t="n"/>
      <c r="AO75" s="4" t="n"/>
      <c r="AP75" s="4" t="n"/>
      <c r="AQ75" s="4" t="n"/>
      <c r="AR75" s="4" t="n"/>
      <c r="AS75" s="4" t="n"/>
      <c r="AT75" s="4" t="n"/>
      <c r="AU75" s="4" t="n"/>
      <c r="AV75" s="4" t="n"/>
      <c r="AW75" s="4" t="n"/>
      <c r="AX75" s="4" t="n"/>
      <c r="AY75" s="4" t="n"/>
      <c r="AZ75" s="4" t="n"/>
      <c r="BA75" s="4" t="n"/>
      <c r="BB75" s="4" t="n"/>
      <c r="BC75" s="4" t="n"/>
      <c r="BD75" s="4" t="n"/>
      <c r="BE75" s="4" t="n"/>
      <c r="BF75" s="4" t="n"/>
      <c r="BG75" s="4" t="n"/>
      <c r="BH75" s="4" t="n"/>
      <c r="BI75" s="4" t="n"/>
      <c r="BJ75" s="4" t="n"/>
      <c r="BK75" s="4" t="n"/>
      <c r="BL75" s="4" t="n"/>
      <c r="BM75" s="4" t="n"/>
      <c r="BN75" s="4" t="n"/>
      <c r="BO75" s="4" t="n"/>
      <c r="BP75" s="4" t="n"/>
      <c r="BQ75" s="4" t="n"/>
      <c r="BR75" s="4" t="n"/>
      <c r="BS75" s="4" t="n"/>
      <c r="BT75" s="4" t="n"/>
      <c r="BU75" s="4" t="n"/>
      <c r="BV75" s="4" t="n"/>
      <c r="BW75" s="4" t="n"/>
      <c r="BX75" s="4" t="n"/>
      <c r="BY75" s="4" t="n"/>
      <c r="BZ75" s="4" t="n"/>
      <c r="CA75" s="4" t="n"/>
      <c r="CB75" s="4" t="n"/>
      <c r="CC75" s="2" t="n"/>
      <c r="CD75" s="2" t="n"/>
      <c r="CE75" s="2" t="n"/>
      <c r="CF75" s="53" t="n"/>
      <c r="CK75" s="148" t="n"/>
      <c r="FS75" s="314" t="n"/>
      <c r="FT75" s="314" t="n"/>
      <c r="FW75" s="314" t="n"/>
      <c r="GJ75" s="314" t="n"/>
      <c r="GK75" s="314" t="n"/>
    </row>
    <row r="76" hidden="1">
      <c r="A76" s="374" t="inlineStr">
        <is>
          <t>HARRY POTTER/25</t>
        </is>
      </c>
      <c r="B76" s="375" t="inlineStr">
        <is>
          <t>PC</t>
        </is>
      </c>
      <c r="C76" s="375" t="inlineStr">
        <is>
          <t>R$</t>
        </is>
      </c>
      <c r="D76" s="375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  <c r="AA76" s="4" t="n"/>
      <c r="AB76" s="4" t="n"/>
      <c r="AC76" s="4" t="n"/>
      <c r="AD76" s="4" t="n"/>
      <c r="AE76" s="4" t="n"/>
      <c r="AF76" s="4" t="n"/>
      <c r="AG76" s="4" t="n"/>
      <c r="AH76" s="4" t="n"/>
      <c r="AI76" s="4" t="n"/>
      <c r="AJ76" s="4" t="n"/>
      <c r="AK76" s="650" t="n">
        <v>45873</v>
      </c>
      <c r="AL76" s="650" t="n">
        <v>45880</v>
      </c>
      <c r="AM76" s="650" t="n">
        <v>45887</v>
      </c>
      <c r="AN76" s="650" t="n">
        <v>45894</v>
      </c>
      <c r="AO76" s="650" t="n">
        <v>45901</v>
      </c>
      <c r="AP76" s="650" t="n">
        <v>45908</v>
      </c>
      <c r="AQ76" s="650" t="n">
        <v>45915</v>
      </c>
      <c r="AR76" s="650" t="n">
        <v>45922</v>
      </c>
      <c r="AS76" s="650" t="n">
        <v>45929</v>
      </c>
      <c r="AT76" s="650" t="n">
        <v>45936</v>
      </c>
      <c r="AU76" s="650" t="n">
        <v>45943</v>
      </c>
      <c r="AV76" s="650" t="n">
        <v>45950</v>
      </c>
      <c r="AW76" s="650" t="n">
        <v>45957</v>
      </c>
      <c r="AX76" s="650" t="n">
        <v>45964</v>
      </c>
      <c r="AY76" s="650" t="n">
        <v>45971</v>
      </c>
      <c r="AZ76" s="650" t="n">
        <v>45978</v>
      </c>
      <c r="BA76" s="650" t="n">
        <v>45985</v>
      </c>
      <c r="BB76" s="650" t="n">
        <v>45992</v>
      </c>
      <c r="BC76" s="650" t="n">
        <v>45999</v>
      </c>
      <c r="BD76" s="650" t="n">
        <v>46006</v>
      </c>
      <c r="BE76" s="650" t="n">
        <v>46013</v>
      </c>
      <c r="BF76" s="650" t="n">
        <v>46020</v>
      </c>
      <c r="BG76" s="650" t="n">
        <v>46027</v>
      </c>
      <c r="BH76" s="650" t="n">
        <v>46034</v>
      </c>
      <c r="BI76" s="650" t="n">
        <v>46041</v>
      </c>
      <c r="BJ76" s="650" t="n">
        <v>46048</v>
      </c>
      <c r="BK76" s="650" t="n"/>
      <c r="BL76" s="650" t="n"/>
      <c r="BM76" s="650" t="n"/>
      <c r="BN76" s="650" t="n"/>
      <c r="BO76" s="650" t="n"/>
      <c r="BP76" s="650" t="n"/>
      <c r="BQ76" s="650" t="n"/>
      <c r="BR76" s="650" t="n"/>
      <c r="BS76" s="650" t="n"/>
      <c r="BT76" s="650" t="n"/>
      <c r="BU76" s="650" t="n"/>
      <c r="BV76" s="650" t="n"/>
      <c r="BW76" s="650" t="n"/>
      <c r="BX76" s="650" t="n"/>
      <c r="BY76" s="650" t="n"/>
      <c r="BZ76" s="650" t="n"/>
      <c r="CA76" s="650" t="n"/>
      <c r="CB76" s="650" t="n"/>
      <c r="CC76" s="650" t="n"/>
      <c r="CD76" s="650" t="n"/>
      <c r="CE76" s="650" t="n"/>
      <c r="CF76" s="660" t="inlineStr">
        <is>
          <t>USOU</t>
        </is>
      </c>
      <c r="FS76" s="314" t="n"/>
      <c r="FT76" s="314" t="n"/>
      <c r="FW76" s="314" t="n"/>
      <c r="GJ76" s="314" t="n"/>
      <c r="GK76" s="314" t="n"/>
    </row>
    <row r="77" hidden="1">
      <c r="A77" s="33" t="inlineStr">
        <is>
          <t>SACOLA G HP/25</t>
        </is>
      </c>
      <c r="B77" s="9" t="n">
        <v>100</v>
      </c>
      <c r="C77" s="662" t="n">
        <v>316</v>
      </c>
      <c r="D77" s="329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  <c r="AA77" s="4" t="n"/>
      <c r="AB77" s="4" t="n"/>
      <c r="AC77" s="4" t="n"/>
      <c r="AD77" s="4" t="n"/>
      <c r="AE77" s="4" t="n"/>
      <c r="AF77" s="4" t="n"/>
      <c r="AG77" s="4" t="n"/>
      <c r="AH77" s="4" t="n"/>
      <c r="AI77" s="4" t="n"/>
      <c r="AJ77" s="4" t="n"/>
      <c r="AK77" s="38" t="n">
        <v>0</v>
      </c>
      <c r="AL77" s="38" t="n">
        <v>0</v>
      </c>
      <c r="AM77" s="38" t="n">
        <v>0</v>
      </c>
      <c r="AN77" s="38">
        <f>0+EA9-60-40</f>
        <v/>
      </c>
      <c r="AO77" s="38" t="n">
        <v>100</v>
      </c>
      <c r="AP77" s="38" t="n">
        <v>26</v>
      </c>
      <c r="AQ77" s="38" t="n">
        <v>9</v>
      </c>
      <c r="AR77" s="38" t="n"/>
      <c r="AS77" s="38" t="n"/>
      <c r="AT77" s="38" t="n"/>
      <c r="AU77" s="38" t="n"/>
      <c r="AV77" s="38" t="n"/>
      <c r="AW77" s="38" t="n"/>
      <c r="AX77" s="38" t="n"/>
      <c r="AY77" s="38" t="n"/>
      <c r="AZ77" s="38" t="n"/>
      <c r="BA77" s="38" t="n">
        <v>0</v>
      </c>
      <c r="BB77" s="38" t="n">
        <v>0</v>
      </c>
      <c r="BC77" s="38" t="n">
        <v>0</v>
      </c>
      <c r="BD77" s="38" t="n">
        <v>0</v>
      </c>
      <c r="BE77" s="38" t="n">
        <v>0</v>
      </c>
      <c r="BF77" s="38" t="n">
        <v>0</v>
      </c>
      <c r="BG77" s="38" t="n">
        <v>0</v>
      </c>
      <c r="BH77" s="38" t="n">
        <v>0</v>
      </c>
      <c r="BI77" s="38" t="n">
        <v>0</v>
      </c>
      <c r="BJ77" s="38" t="n">
        <v>0</v>
      </c>
      <c r="BK77" s="38" t="n"/>
      <c r="BL77" s="38" t="n"/>
      <c r="BM77" s="38" t="n"/>
      <c r="BN77" s="38" t="n"/>
      <c r="BO77" s="38" t="n"/>
      <c r="BP77" s="38" t="n"/>
      <c r="BQ77" s="38" t="n"/>
      <c r="BR77" s="38" t="n"/>
      <c r="BS77" s="38" t="n"/>
      <c r="BT77" s="38" t="n"/>
      <c r="BU77" s="38" t="n"/>
      <c r="BV77" s="38" t="n"/>
      <c r="BW77" s="38" t="n"/>
      <c r="BX77" s="38" t="n"/>
      <c r="BY77" s="38" t="n"/>
      <c r="BZ77" s="38" t="n"/>
      <c r="CA77" s="38" t="n"/>
      <c r="CB77" s="38" t="n"/>
      <c r="CC77" s="9" t="n"/>
      <c r="CD77" s="9" t="n"/>
      <c r="CE77" s="9" t="n"/>
      <c r="CF77" s="246">
        <f>CD77+IF(NOT(ISBLANK(OFFSET(CF77,0,6))),N(OFFSET(CF77,0,6)),N(OFFSET(CF77,0,7)))-CE77</f>
        <v/>
      </c>
      <c r="FS77" s="314" t="n"/>
      <c r="FT77" s="314" t="n"/>
      <c r="FW77" s="314" t="n"/>
      <c r="GJ77" s="314" t="n"/>
      <c r="GK77" s="314" t="n"/>
    </row>
    <row r="78" hidden="1">
      <c r="A78" s="33" t="inlineStr">
        <is>
          <t>TAG HP/25</t>
        </is>
      </c>
      <c r="B78" s="9" t="n">
        <v>100</v>
      </c>
      <c r="C78" s="662" t="n">
        <v>41</v>
      </c>
      <c r="D78" s="329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  <c r="AA78" s="4" t="n"/>
      <c r="AB78" s="4" t="n"/>
      <c r="AC78" s="4" t="n"/>
      <c r="AD78" s="4" t="n"/>
      <c r="AE78" s="4" t="n"/>
      <c r="AF78" s="4" t="n"/>
      <c r="AG78" s="4" t="n"/>
      <c r="AH78" s="4" t="n"/>
      <c r="AI78" s="4" t="n"/>
      <c r="AJ78" s="4" t="n"/>
      <c r="AK78" s="38" t="n">
        <v>0</v>
      </c>
      <c r="AL78" s="38" t="n">
        <v>0</v>
      </c>
      <c r="AM78" s="38" t="n">
        <v>0</v>
      </c>
      <c r="AN78" s="38">
        <f>0+EA10-60-40</f>
        <v/>
      </c>
      <c r="AO78" s="38" t="n">
        <v>100</v>
      </c>
      <c r="AP78" s="38" t="n"/>
      <c r="AQ78" s="38" t="n"/>
      <c r="AR78" s="38" t="n"/>
      <c r="AS78" s="38" t="n"/>
      <c r="AT78" s="38" t="n"/>
      <c r="AU78" s="38" t="n"/>
      <c r="AV78" s="38" t="n"/>
      <c r="AW78" s="38" t="n"/>
      <c r="AX78" s="38" t="n"/>
      <c r="AY78" s="38" t="n"/>
      <c r="AZ78" s="38" t="n"/>
      <c r="BA78" s="38" t="n">
        <v>0</v>
      </c>
      <c r="BB78" s="38" t="n">
        <v>0</v>
      </c>
      <c r="BC78" s="38" t="n">
        <v>0</v>
      </c>
      <c r="BD78" s="38" t="n">
        <v>0</v>
      </c>
      <c r="BE78" s="38" t="n">
        <v>0</v>
      </c>
      <c r="BF78" s="38" t="n">
        <v>0</v>
      </c>
      <c r="BG78" s="38" t="n">
        <v>0</v>
      </c>
      <c r="BH78" s="38" t="n">
        <v>0</v>
      </c>
      <c r="BI78" s="38" t="n">
        <v>0</v>
      </c>
      <c r="BJ78" s="38" t="n">
        <v>0</v>
      </c>
      <c r="BK78" s="38" t="n"/>
      <c r="BL78" s="38" t="n"/>
      <c r="BM78" s="38" t="n"/>
      <c r="BN78" s="38" t="n"/>
      <c r="BO78" s="38" t="n"/>
      <c r="BP78" s="38" t="n"/>
      <c r="BQ78" s="38" t="n"/>
      <c r="BR78" s="38" t="n"/>
      <c r="BS78" s="38" t="n"/>
      <c r="BT78" s="38" t="n"/>
      <c r="BU78" s="38" t="n"/>
      <c r="BV78" s="38" t="n"/>
      <c r="BW78" s="38" t="n"/>
      <c r="BX78" s="38" t="n"/>
      <c r="BY78" s="38" t="n"/>
      <c r="BZ78" s="38" t="n"/>
      <c r="CA78" s="38" t="n"/>
      <c r="CB78" s="38" t="n"/>
      <c r="CC78" s="9" t="n"/>
      <c r="CD78" s="9" t="n"/>
      <c r="CE78" s="9" t="n"/>
      <c r="CF78" s="246">
        <f>CD78+IF(NOT(ISBLANK(OFFSET(CF78,0,6))),N(OFFSET(CF78,0,6)),N(OFFSET(CF78,0,7)))-CE78</f>
        <v/>
      </c>
      <c r="FS78" s="314" t="n"/>
      <c r="FT78" s="314" t="n"/>
      <c r="FW78" s="314" t="n"/>
      <c r="GJ78" s="314" t="n"/>
      <c r="GK78" s="314" t="n"/>
    </row>
    <row r="79" hidden="1" ht="18.75" customHeight="1">
      <c r="A79" s="33" t="inlineStr">
        <is>
          <t>CARTUCHO P HP/25</t>
        </is>
      </c>
      <c r="B79" s="9" t="n">
        <v>150</v>
      </c>
      <c r="C79" s="662" t="n">
        <v>478.5</v>
      </c>
      <c r="D79" s="329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  <c r="AA79" s="4" t="n"/>
      <c r="AB79" s="4" t="n"/>
      <c r="AC79" s="4" t="n"/>
      <c r="AD79" s="4" t="n"/>
      <c r="AE79" s="4" t="n"/>
      <c r="AF79" s="4" t="n"/>
      <c r="AG79" s="4" t="n"/>
      <c r="AH79" s="4" t="n"/>
      <c r="AI79" s="4" t="n"/>
      <c r="AJ79" s="4" t="n"/>
      <c r="AK79" s="38" t="n">
        <v>0</v>
      </c>
      <c r="AL79" s="38" t="n">
        <v>0</v>
      </c>
      <c r="AM79" s="38" t="n">
        <v>0</v>
      </c>
      <c r="AN79" s="38">
        <f>0+EA11-50-25</f>
        <v/>
      </c>
      <c r="AO79" s="38" t="n">
        <v>75</v>
      </c>
      <c r="AP79" s="38" t="n">
        <v>64</v>
      </c>
      <c r="AQ79" s="38" t="n">
        <v>58</v>
      </c>
      <c r="AR79" s="38" t="n"/>
      <c r="AS79" s="38" t="n"/>
      <c r="AT79" s="38" t="n"/>
      <c r="AU79" s="38" t="n"/>
      <c r="AV79" s="38" t="n"/>
      <c r="AW79" s="38" t="n"/>
      <c r="AX79" s="38" t="n"/>
      <c r="AY79" s="38" t="n"/>
      <c r="AZ79" s="38" t="n"/>
      <c r="BA79" s="38" t="n">
        <v>22</v>
      </c>
      <c r="BB79" s="38" t="n">
        <v>22</v>
      </c>
      <c r="BC79" s="38" t="n">
        <v>22</v>
      </c>
      <c r="BD79" s="38" t="n">
        <v>22</v>
      </c>
      <c r="BE79" s="38" t="n">
        <v>22</v>
      </c>
      <c r="BF79" s="38" t="n">
        <v>22</v>
      </c>
      <c r="BG79" s="38" t="n">
        <v>22</v>
      </c>
      <c r="BH79" s="38" t="n">
        <v>22</v>
      </c>
      <c r="BI79" s="261" t="n">
        <v>0</v>
      </c>
      <c r="BJ79" s="38" t="n">
        <v>0</v>
      </c>
      <c r="BK79" s="38" t="n"/>
      <c r="BL79" s="38" t="n"/>
      <c r="BM79" s="38" t="n"/>
      <c r="BN79" s="38" t="n"/>
      <c r="BO79" s="38" t="n"/>
      <c r="BP79" s="38" t="n"/>
      <c r="BQ79" s="38" t="n"/>
      <c r="BR79" s="38" t="n"/>
      <c r="BS79" s="38" t="n"/>
      <c r="BT79" s="38" t="n"/>
      <c r="BU79" s="38" t="n"/>
      <c r="BV79" s="38" t="n"/>
      <c r="BW79" s="38" t="n"/>
      <c r="BX79" s="38" t="n"/>
      <c r="BY79" s="38" t="n"/>
      <c r="BZ79" s="38" t="n"/>
      <c r="CA79" s="38" t="n"/>
      <c r="CB79" s="38" t="n"/>
      <c r="CC79" s="9" t="n"/>
      <c r="CD79" s="9" t="n"/>
      <c r="CE79" s="9" t="n"/>
      <c r="CF79" s="246">
        <f>CD79+IF(NOT(ISBLANK(OFFSET(CF79,0,6))),N(OFFSET(CF79,0,6)),N(OFFSET(CF79,0,7)))-CE79</f>
        <v/>
      </c>
    </row>
    <row r="80" hidden="1" ht="18.75" customHeight="1"/>
    <row r="81" hidden="1" ht="18.75" customHeight="1">
      <c r="A81" s="406" t="inlineStr">
        <is>
          <t>HOMEM ARANHA/25</t>
        </is>
      </c>
      <c r="B81" s="407" t="inlineStr">
        <is>
          <t>PC</t>
        </is>
      </c>
      <c r="C81" s="407" t="inlineStr">
        <is>
          <t>R$</t>
        </is>
      </c>
      <c r="D81" s="407" t="n"/>
      <c r="AY81" s="650" t="n">
        <v>45971</v>
      </c>
      <c r="AZ81" s="650" t="n">
        <v>45978</v>
      </c>
      <c r="BA81" s="650" t="n">
        <v>45985</v>
      </c>
      <c r="BB81" s="650" t="n">
        <v>45992</v>
      </c>
      <c r="BC81" s="650" t="n">
        <v>45999</v>
      </c>
      <c r="BD81" s="650" t="n">
        <v>46006</v>
      </c>
      <c r="BE81" s="650" t="n">
        <v>46013</v>
      </c>
      <c r="BF81" s="650" t="n">
        <v>46020</v>
      </c>
      <c r="BG81" s="650" t="n">
        <v>46027</v>
      </c>
      <c r="BH81" s="650" t="n">
        <v>46034</v>
      </c>
      <c r="BI81" s="650" t="n">
        <v>46041</v>
      </c>
      <c r="BJ81" s="650" t="n">
        <v>46048</v>
      </c>
      <c r="BK81" s="650" t="n"/>
      <c r="BL81" s="650" t="n"/>
      <c r="BM81" s="650" t="n"/>
      <c r="BN81" s="650" t="n"/>
      <c r="BO81" s="650" t="n"/>
      <c r="BP81" s="650" t="n"/>
      <c r="BQ81" s="650" t="n"/>
      <c r="BR81" s="650" t="n"/>
      <c r="BS81" s="650" t="n"/>
      <c r="BT81" s="650" t="n"/>
      <c r="BU81" s="650" t="n"/>
      <c r="BV81" s="650" t="n"/>
      <c r="BW81" s="650" t="n"/>
      <c r="BX81" s="650" t="n"/>
      <c r="BY81" s="650" t="n"/>
      <c r="BZ81" s="650" t="n"/>
      <c r="CA81" s="650" t="n"/>
      <c r="CB81" s="650" t="n"/>
      <c r="CC81" s="650" t="n"/>
      <c r="CD81" s="650" t="n"/>
      <c r="CE81" s="650" t="n"/>
      <c r="CF81" s="660" t="inlineStr">
        <is>
          <t>USOU</t>
        </is>
      </c>
    </row>
    <row r="82" hidden="1" ht="18.75" customHeight="1">
      <c r="A82" s="33" t="inlineStr">
        <is>
          <t>SACOLA M</t>
        </is>
      </c>
      <c r="B82" s="9" t="n">
        <v>200</v>
      </c>
      <c r="C82" s="662" t="n">
        <v>479.2</v>
      </c>
      <c r="D82" s="329" t="n"/>
      <c r="AY82" s="38" t="n"/>
      <c r="AZ82" s="38" t="n"/>
      <c r="BA82" s="38" t="n">
        <v>0</v>
      </c>
      <c r="BB82" s="38" t="n">
        <v>0</v>
      </c>
      <c r="BC82" s="38" t="n">
        <v>0</v>
      </c>
      <c r="BD82" s="38" t="n">
        <v>0</v>
      </c>
      <c r="BE82" s="38" t="n">
        <v>0</v>
      </c>
      <c r="BF82" s="38" t="n">
        <v>0</v>
      </c>
      <c r="BG82" s="38" t="n">
        <v>0</v>
      </c>
      <c r="BH82" s="38" t="n">
        <v>0</v>
      </c>
      <c r="BI82" s="38" t="n">
        <v>0</v>
      </c>
      <c r="BJ82" s="38" t="n">
        <v>0</v>
      </c>
      <c r="BK82" s="38" t="n"/>
      <c r="BL82" s="38" t="n"/>
      <c r="BM82" s="38" t="n"/>
      <c r="BN82" s="38" t="n"/>
      <c r="BO82" s="38" t="n"/>
      <c r="BP82" s="38" t="n"/>
      <c r="BQ82" s="38" t="n"/>
      <c r="BR82" s="38" t="n"/>
      <c r="BS82" s="38" t="n"/>
      <c r="BT82" s="38" t="n"/>
      <c r="BU82" s="38" t="n"/>
      <c r="BV82" s="38" t="n"/>
      <c r="BW82" s="38" t="n"/>
      <c r="BX82" s="38" t="n"/>
      <c r="BY82" s="38" t="n"/>
      <c r="BZ82" s="38" t="n"/>
      <c r="CA82" s="38" t="n"/>
      <c r="CB82" s="38" t="n"/>
      <c r="CC82" s="9" t="n"/>
      <c r="CD82" s="9" t="n"/>
      <c r="CE82" s="9" t="n"/>
      <c r="CF82" s="246">
        <f>CD82+IF(NOT(ISBLANK(OFFSET(CF82,0,6))),N(OFFSET(CF82,0,6)),N(OFFSET(CF82,0,7)))-CE82</f>
        <v/>
      </c>
    </row>
    <row r="83" hidden="1" ht="18.75" customHeight="1">
      <c r="A83" s="33" t="inlineStr">
        <is>
          <t>PAPEL DE SEDA</t>
        </is>
      </c>
      <c r="B83" s="9" t="n">
        <v>200</v>
      </c>
      <c r="C83" s="662" t="n">
        <v>45.47</v>
      </c>
      <c r="D83" s="329" t="n"/>
      <c r="AY83" s="38" t="n"/>
      <c r="AZ83" s="38" t="n"/>
      <c r="BA83" s="38" t="n">
        <v>0</v>
      </c>
      <c r="BB83" s="38" t="n">
        <v>0</v>
      </c>
      <c r="BC83" s="38" t="n">
        <v>0</v>
      </c>
      <c r="BD83" s="38" t="n">
        <v>0</v>
      </c>
      <c r="BE83" s="38" t="n">
        <v>0</v>
      </c>
      <c r="BF83" s="38" t="n">
        <v>0</v>
      </c>
      <c r="BG83" s="38" t="n">
        <v>0</v>
      </c>
      <c r="BH83" s="38" t="n">
        <v>0</v>
      </c>
      <c r="BI83" s="38" t="n">
        <v>0</v>
      </c>
      <c r="BJ83" s="38" t="n">
        <v>0</v>
      </c>
      <c r="BK83" s="38" t="n"/>
      <c r="BL83" s="38" t="n"/>
      <c r="BM83" s="38" t="n"/>
      <c r="BN83" s="38" t="n"/>
      <c r="BO83" s="38" t="n"/>
      <c r="BP83" s="38" t="n"/>
      <c r="BQ83" s="38" t="n"/>
      <c r="BR83" s="38" t="n"/>
      <c r="BS83" s="38" t="n"/>
      <c r="BT83" s="38" t="n"/>
      <c r="BU83" s="38" t="n"/>
      <c r="BV83" s="38" t="n"/>
      <c r="BW83" s="38" t="n"/>
      <c r="BX83" s="38" t="n"/>
      <c r="BY83" s="38" t="n"/>
      <c r="BZ83" s="38" t="n"/>
      <c r="CA83" s="38" t="n"/>
      <c r="CB83" s="38" t="n"/>
      <c r="CC83" s="9" t="n"/>
      <c r="CD83" s="9" t="n"/>
      <c r="CE83" s="9" t="n"/>
      <c r="CF83" s="246">
        <f>CD83+IF(NOT(ISBLANK(OFFSET(CF83,0,6))),N(OFFSET(CF83,0,6)),N(OFFSET(CF83,0,7)))-CE83</f>
        <v/>
      </c>
    </row>
    <row r="84" hidden="1" ht="18.75" customHeight="1">
      <c r="A84" s="33" t="inlineStr">
        <is>
          <t>CAIXA M</t>
        </is>
      </c>
      <c r="B84" s="9" t="n">
        <v>100</v>
      </c>
      <c r="C84" s="662" t="n">
        <v>1490</v>
      </c>
      <c r="D84" s="329" t="n"/>
      <c r="AY84" s="38" t="n"/>
      <c r="AZ84" s="38" t="n"/>
      <c r="BA84" s="38" t="n">
        <v>16</v>
      </c>
      <c r="BB84" s="38" t="n">
        <v>16</v>
      </c>
      <c r="BC84" s="38" t="n">
        <v>16</v>
      </c>
      <c r="BD84" s="38" t="n">
        <v>16</v>
      </c>
      <c r="BE84" s="38" t="n">
        <v>16</v>
      </c>
      <c r="BF84" s="38" t="n">
        <v>16</v>
      </c>
      <c r="BG84" s="38" t="n">
        <v>16</v>
      </c>
      <c r="BH84" s="38" t="n">
        <v>16</v>
      </c>
      <c r="BI84" s="261" t="n">
        <v>0</v>
      </c>
      <c r="BJ84" s="38" t="n">
        <v>0</v>
      </c>
      <c r="BK84" s="38" t="n"/>
      <c r="BL84" s="38" t="n"/>
      <c r="BM84" s="38" t="n"/>
      <c r="BN84" s="38" t="n"/>
      <c r="BO84" s="38" t="n"/>
      <c r="BP84" s="38" t="n"/>
      <c r="BQ84" s="38" t="n"/>
      <c r="BR84" s="38" t="n"/>
      <c r="BS84" s="38" t="n"/>
      <c r="BT84" s="38" t="n"/>
      <c r="BU84" s="38" t="n"/>
      <c r="BV84" s="38" t="n"/>
      <c r="BW84" s="38" t="n"/>
      <c r="BX84" s="38" t="n"/>
      <c r="BY84" s="38" t="n"/>
      <c r="BZ84" s="38" t="n"/>
      <c r="CA84" s="38" t="n"/>
      <c r="CB84" s="38" t="n"/>
      <c r="CC84" s="9" t="n"/>
      <c r="CD84" s="9" t="n"/>
      <c r="CE84" s="9" t="n"/>
      <c r="CF84" s="246">
        <f>CD84+IF(NOT(ISBLANK(OFFSET(CF84,0,6))),N(OFFSET(CF84,0,6)),N(OFFSET(CF84,0,7)))-CE84</f>
        <v/>
      </c>
    </row>
    <row r="85" hidden="1" ht="18.75" customHeight="1"/>
    <row r="86" ht="18.75" customHeight="1">
      <c r="A86" s="408" t="inlineStr">
        <is>
          <t>EUDORA NATAL/25</t>
        </is>
      </c>
      <c r="B86" s="409" t="inlineStr">
        <is>
          <t>PC</t>
        </is>
      </c>
      <c r="C86" s="409" t="inlineStr">
        <is>
          <t>R$</t>
        </is>
      </c>
      <c r="D86" s="409" t="n"/>
      <c r="AY86" s="650" t="n">
        <v>45971</v>
      </c>
      <c r="AZ86" s="650" t="n">
        <v>45978</v>
      </c>
      <c r="BA86" s="650" t="n">
        <v>45985</v>
      </c>
      <c r="BB86" s="650" t="n">
        <v>45992</v>
      </c>
      <c r="BC86" s="650" t="n">
        <v>45999</v>
      </c>
      <c r="BD86" s="650" t="n">
        <v>46006</v>
      </c>
      <c r="BE86" s="650" t="n">
        <v>46013</v>
      </c>
      <c r="BF86" s="650" t="n">
        <v>46020</v>
      </c>
      <c r="BG86" s="650" t="n">
        <v>46027</v>
      </c>
      <c r="BH86" s="650" t="n">
        <v>46034</v>
      </c>
      <c r="BI86" s="650" t="n">
        <v>46041</v>
      </c>
      <c r="BJ86" s="650" t="n">
        <v>46048</v>
      </c>
      <c r="BK86" s="650" t="n">
        <v>46055</v>
      </c>
      <c r="BL86" s="650" t="n">
        <v>46062</v>
      </c>
      <c r="BM86" s="650" t="n">
        <v>46069</v>
      </c>
      <c r="BN86" s="650" t="n">
        <v>46076</v>
      </c>
      <c r="BO86" s="650" t="n">
        <v>46083</v>
      </c>
      <c r="BP86" s="650" t="n">
        <v>46090</v>
      </c>
      <c r="BQ86" s="650" t="n">
        <v>46097</v>
      </c>
      <c r="BR86" s="650" t="n">
        <v>46104</v>
      </c>
      <c r="BS86" s="650" t="n">
        <v>46111</v>
      </c>
      <c r="BT86" s="650" t="n">
        <v>46118</v>
      </c>
      <c r="BU86" s="650" t="n">
        <v>46125</v>
      </c>
      <c r="BV86" s="650" t="n">
        <v>46132</v>
      </c>
      <c r="BW86" s="650" t="n">
        <v>46139</v>
      </c>
      <c r="BX86" s="650" t="n">
        <v>46146</v>
      </c>
      <c r="BY86" s="650" t="n">
        <v>46154</v>
      </c>
      <c r="BZ86" s="650" t="n">
        <v>46160</v>
      </c>
      <c r="CA86" s="650" t="n">
        <v>46160</v>
      </c>
      <c r="CB86" s="650" t="n">
        <v>46160</v>
      </c>
      <c r="CC86" s="651" t="n">
        <v>46161.48003686342</v>
      </c>
      <c r="CD86" s="651" t="n">
        <v>46161.48071633102</v>
      </c>
      <c r="CE86" s="651" t="n">
        <v>46161.4828746738</v>
      </c>
      <c r="CF86" s="660" t="inlineStr">
        <is>
          <t>USOU</t>
        </is>
      </c>
    </row>
    <row r="87" ht="18.75" customHeight="1">
      <c r="A87" s="33" t="inlineStr">
        <is>
          <t xml:space="preserve">SACOLA M </t>
        </is>
      </c>
      <c r="B87" s="9" t="n">
        <v>200</v>
      </c>
      <c r="C87" s="662" t="n">
        <v>336</v>
      </c>
      <c r="D87" s="329" t="n"/>
      <c r="AY87" s="38" t="n"/>
      <c r="AZ87" s="38" t="n"/>
      <c r="BA87" s="38" t="n">
        <v>371</v>
      </c>
      <c r="BB87" s="38" t="n">
        <v>213</v>
      </c>
      <c r="BC87" s="38" t="n">
        <v>195</v>
      </c>
      <c r="BD87" s="38" t="n">
        <v>8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261" t="n">
        <v>3</v>
      </c>
      <c r="BM87" s="38" t="n">
        <v>3</v>
      </c>
      <c r="BN87" s="38" t="n">
        <v>0</v>
      </c>
      <c r="BO87" s="38" t="n">
        <v>0</v>
      </c>
      <c r="BP87" s="38" t="n">
        <v>0</v>
      </c>
      <c r="BQ87" s="261" t="n">
        <v>124</v>
      </c>
      <c r="BR87" s="38" t="n">
        <v>120</v>
      </c>
      <c r="BS87" s="38" t="n">
        <v>90</v>
      </c>
      <c r="BT87" s="38" t="n"/>
      <c r="BU87" s="38" t="n"/>
      <c r="BV87" s="38" t="n"/>
      <c r="BW87" s="38" t="n">
        <v>0</v>
      </c>
      <c r="BX87" s="38" t="n">
        <v>0</v>
      </c>
      <c r="BY87" s="38" t="n">
        <v>0</v>
      </c>
      <c r="BZ87" s="38" t="n">
        <v>0</v>
      </c>
      <c r="CA87" s="38" t="n">
        <v>0</v>
      </c>
      <c r="CB87" s="38" t="n">
        <v>0</v>
      </c>
      <c r="CC87" s="9" t="n">
        <v>0</v>
      </c>
      <c r="CD87" s="9" t="n">
        <v>0</v>
      </c>
      <c r="CE87" s="9" t="n">
        <v>0</v>
      </c>
      <c r="CF87" s="246">
        <f>CD87+IF(NOT(ISBLANK(OFFSET(CF87,0,6))),N(OFFSET(CF87,0,6)),N(OFFSET(CF87,0,7)))-CE87</f>
        <v/>
      </c>
    </row>
    <row r="88" ht="18.75" customHeight="1">
      <c r="A88" s="33" t="inlineStr">
        <is>
          <t>PAPEL DE SEDA</t>
        </is>
      </c>
      <c r="B88" s="9" t="n">
        <v>200</v>
      </c>
      <c r="C88" s="662" t="n">
        <v>54</v>
      </c>
      <c r="D88" s="329" t="n"/>
      <c r="AY88" s="38" t="n"/>
      <c r="AZ88" s="38" t="n"/>
      <c r="BA88" s="38" t="n">
        <v>0</v>
      </c>
      <c r="BB88" s="38" t="n">
        <v>0</v>
      </c>
      <c r="BC88" s="38" t="n">
        <v>0</v>
      </c>
      <c r="BD88" s="38" t="n">
        <v>0</v>
      </c>
      <c r="BE88" s="38" t="n">
        <v>0</v>
      </c>
      <c r="BF88" s="38" t="n">
        <v>0</v>
      </c>
      <c r="BG88" s="38" t="n">
        <v>0</v>
      </c>
      <c r="BH88" s="38" t="n">
        <v>0</v>
      </c>
      <c r="BI88" s="38" t="n">
        <v>0</v>
      </c>
      <c r="BJ88" s="38" t="n">
        <v>0</v>
      </c>
      <c r="BK88" s="38" t="n">
        <v>0</v>
      </c>
      <c r="BL88" s="38" t="n">
        <v>0</v>
      </c>
      <c r="BM88" s="38" t="n">
        <v>0</v>
      </c>
      <c r="BN88" s="38" t="n">
        <v>0</v>
      </c>
      <c r="BO88" s="38" t="n">
        <v>0</v>
      </c>
      <c r="BP88" s="38" t="n">
        <v>0</v>
      </c>
      <c r="BQ88" s="38" t="n">
        <v>0</v>
      </c>
      <c r="BR88" s="38" t="n">
        <v>0</v>
      </c>
      <c r="BS88" s="38" t="n">
        <v>0</v>
      </c>
      <c r="BT88" s="38" t="n"/>
      <c r="BU88" s="38" t="n"/>
      <c r="BV88" s="38" t="n"/>
      <c r="BW88" s="38" t="n">
        <v>0</v>
      </c>
      <c r="BX88" s="38" t="n">
        <v>0</v>
      </c>
      <c r="BY88" s="38" t="n">
        <v>0</v>
      </c>
      <c r="BZ88" s="38" t="n">
        <v>0</v>
      </c>
      <c r="CA88" s="38" t="n">
        <v>0</v>
      </c>
      <c r="CB88" s="38" t="n">
        <v>0</v>
      </c>
      <c r="CC88" s="9" t="n">
        <v>0</v>
      </c>
      <c r="CD88" s="9" t="n">
        <v>0</v>
      </c>
      <c r="CE88" s="9" t="n">
        <v>0</v>
      </c>
      <c r="CF88" s="246">
        <f>CD88+IF(NOT(ISBLANK(OFFSET(CF88,0,6))),N(OFFSET(CF88,0,6)),N(OFFSET(CF88,0,7)))-CE88</f>
        <v/>
      </c>
    </row>
    <row r="89" ht="18.75" customHeight="1">
      <c r="A89" s="33" t="inlineStr">
        <is>
          <t>KIT TAG 10 C/ 20</t>
        </is>
      </c>
      <c r="B89" s="9" t="n">
        <v>200</v>
      </c>
      <c r="C89" s="662" t="n">
        <v>40</v>
      </c>
      <c r="D89" s="329" t="n"/>
      <c r="AY89" s="38" t="n"/>
      <c r="AZ89" s="38" t="n"/>
      <c r="BA89" s="38" t="n">
        <v>0</v>
      </c>
      <c r="BB89" s="38" t="n">
        <v>0</v>
      </c>
      <c r="BC89" s="38" t="n">
        <v>0</v>
      </c>
      <c r="BD89" s="38" t="n">
        <v>0</v>
      </c>
      <c r="BE89" s="38" t="n">
        <v>0</v>
      </c>
      <c r="BF89" s="38" t="n">
        <v>0</v>
      </c>
      <c r="BG89" s="38" t="n">
        <v>0</v>
      </c>
      <c r="BH89" s="38" t="n">
        <v>0</v>
      </c>
      <c r="BI89" s="38" t="n">
        <v>0</v>
      </c>
      <c r="BJ89" s="38" t="n">
        <v>0</v>
      </c>
      <c r="BK89" s="38" t="n">
        <v>0</v>
      </c>
      <c r="BL89" s="38" t="n">
        <v>0</v>
      </c>
      <c r="BM89" s="38" t="n">
        <v>0</v>
      </c>
      <c r="BN89" s="38" t="n">
        <v>0</v>
      </c>
      <c r="BO89" s="38" t="n">
        <v>0</v>
      </c>
      <c r="BP89" s="38" t="n">
        <v>0</v>
      </c>
      <c r="BQ89" s="38" t="n">
        <v>0</v>
      </c>
      <c r="BR89" s="38" t="n">
        <v>0</v>
      </c>
      <c r="BS89" s="38" t="n">
        <v>0</v>
      </c>
      <c r="BT89" s="38" t="n"/>
      <c r="BU89" s="38" t="n"/>
      <c r="BV89" s="38" t="n"/>
      <c r="BW89" s="38" t="n">
        <v>0</v>
      </c>
      <c r="BX89" s="38" t="n">
        <v>0</v>
      </c>
      <c r="BY89" s="38" t="n">
        <v>0</v>
      </c>
      <c r="BZ89" s="38" t="n">
        <v>0</v>
      </c>
      <c r="CA89" s="38" t="n">
        <v>0</v>
      </c>
      <c r="CB89" s="38" t="n">
        <v>0</v>
      </c>
      <c r="CC89" s="9" t="n">
        <v>0</v>
      </c>
      <c r="CD89" s="9" t="n">
        <v>0</v>
      </c>
      <c r="CE89" s="9" t="n">
        <v>0</v>
      </c>
      <c r="CF89" s="246">
        <f>CD89+IF(NOT(ISBLANK(OFFSET(CF89,0,6))),N(OFFSET(CF89,0,6)),N(OFFSET(CF89,0,7)))-CE89</f>
        <v/>
      </c>
    </row>
    <row r="90" ht="18.75" customHeight="1">
      <c r="A90" s="238" t="inlineStr">
        <is>
          <t>CAIXA M</t>
        </is>
      </c>
      <c r="B90" s="36" t="n">
        <v>100</v>
      </c>
      <c r="C90" s="668" t="n">
        <v>904</v>
      </c>
      <c r="D90" s="36" t="n"/>
      <c r="AY90" s="38" t="n"/>
      <c r="AZ90" s="38" t="n"/>
      <c r="BA90" s="38" t="n">
        <v>93</v>
      </c>
      <c r="BB90" s="38" t="n">
        <v>93</v>
      </c>
      <c r="BC90" s="38" t="n">
        <v>92</v>
      </c>
      <c r="BD90" s="38" t="n">
        <v>91</v>
      </c>
      <c r="BE90" s="38" t="n">
        <v>90</v>
      </c>
      <c r="BF90" s="38" t="n">
        <v>90</v>
      </c>
      <c r="BG90" s="38" t="n">
        <v>90</v>
      </c>
      <c r="BH90" s="38" t="n">
        <v>89</v>
      </c>
      <c r="BI90" s="38" t="n">
        <v>89</v>
      </c>
      <c r="BJ90" s="38" t="n">
        <v>89</v>
      </c>
      <c r="BK90" s="38" t="n">
        <v>89</v>
      </c>
      <c r="BL90" s="38" t="n">
        <v>89</v>
      </c>
      <c r="BM90" s="38" t="n">
        <v>89</v>
      </c>
      <c r="BN90" s="38" t="n">
        <v>89</v>
      </c>
      <c r="BO90" s="38" t="n">
        <v>89</v>
      </c>
      <c r="BP90" s="38" t="n">
        <v>89</v>
      </c>
      <c r="BQ90" s="38" t="n">
        <v>89</v>
      </c>
      <c r="BR90" s="38" t="n">
        <v>89</v>
      </c>
      <c r="BS90" s="38" t="n">
        <v>89</v>
      </c>
      <c r="BT90" s="38" t="n"/>
      <c r="BU90" s="38" t="n"/>
      <c r="BV90" s="38" t="n"/>
      <c r="BW90" s="38" t="n">
        <v>89</v>
      </c>
      <c r="BX90" s="38" t="n">
        <v>89</v>
      </c>
      <c r="BY90" s="38" t="n">
        <v>60</v>
      </c>
      <c r="BZ90" s="38" t="n">
        <v>60</v>
      </c>
      <c r="CA90" s="38" t="n">
        <v>60</v>
      </c>
      <c r="CB90" s="38" t="n">
        <v>60</v>
      </c>
      <c r="CC90" s="9" t="n">
        <v>60</v>
      </c>
      <c r="CD90" s="9" t="n">
        <v>60</v>
      </c>
      <c r="CE90" s="9" t="n">
        <v>60</v>
      </c>
      <c r="CF90" s="246">
        <f>CD90+IF(NOT(ISBLANK(OFFSET(CF90,0,6))),N(OFFSET(CF90,0,6)),N(OFFSET(CF90,0,7)))-CE90</f>
        <v/>
      </c>
    </row>
    <row r="91" ht="18.75" customHeight="1">
      <c r="A91" s="238" t="inlineStr">
        <is>
          <t>CARTUCHO P</t>
        </is>
      </c>
      <c r="B91" s="36" t="n">
        <v>200</v>
      </c>
      <c r="C91" s="668" t="n">
        <v>464</v>
      </c>
      <c r="D91" s="36" t="n"/>
      <c r="AY91" s="38" t="n"/>
      <c r="AZ91" s="38" t="n"/>
      <c r="BA91" s="38" t="n">
        <v>30</v>
      </c>
      <c r="BB91" s="38" t="n">
        <v>29</v>
      </c>
      <c r="BC91" s="38" t="n">
        <v>18</v>
      </c>
      <c r="BD91" s="38" t="n">
        <v>5</v>
      </c>
      <c r="BE91" s="38" t="n">
        <v>5</v>
      </c>
      <c r="BF91" s="38" t="n">
        <v>3</v>
      </c>
      <c r="BG91" s="38" t="n">
        <v>3</v>
      </c>
      <c r="BH91" s="38" t="n">
        <v>3</v>
      </c>
      <c r="BI91" s="38" t="n">
        <v>3</v>
      </c>
      <c r="BJ91" s="38" t="n">
        <v>3</v>
      </c>
      <c r="BK91" s="38" t="n">
        <v>3</v>
      </c>
      <c r="BL91" s="38" t="n">
        <v>1</v>
      </c>
      <c r="BM91" s="38" t="n">
        <v>0</v>
      </c>
      <c r="BN91" s="38" t="n">
        <v>0</v>
      </c>
      <c r="BO91" s="38" t="n">
        <v>0</v>
      </c>
      <c r="BP91" s="38" t="n">
        <v>0</v>
      </c>
      <c r="BQ91" s="38" t="n">
        <v>0</v>
      </c>
      <c r="BR91" s="38" t="n">
        <v>0</v>
      </c>
      <c r="BS91" s="38" t="n">
        <v>0</v>
      </c>
      <c r="BT91" s="38" t="n"/>
      <c r="BU91" s="38" t="n"/>
      <c r="BV91" s="38" t="n"/>
      <c r="BW91" s="38" t="n">
        <v>0</v>
      </c>
      <c r="BX91" s="38" t="n">
        <v>0</v>
      </c>
      <c r="BY91" s="38" t="n">
        <v>0</v>
      </c>
      <c r="BZ91" s="38" t="n">
        <v>0</v>
      </c>
      <c r="CA91" s="38" t="n">
        <v>0</v>
      </c>
      <c r="CB91" s="38" t="n">
        <v>0</v>
      </c>
      <c r="CC91" s="9" t="n">
        <v>0</v>
      </c>
      <c r="CD91" s="9" t="n">
        <v>0</v>
      </c>
      <c r="CE91" s="9" t="n">
        <v>0</v>
      </c>
      <c r="CF91" s="246">
        <f>CD91+IF(NOT(ISBLANK(OFFSET(CF91,0,6))),N(OFFSET(CF91,0,6)),N(OFFSET(CF91,0,7)))-CE91</f>
        <v/>
      </c>
    </row>
    <row r="92" ht="11.25" customHeight="1"/>
    <row r="93" hidden="1" ht="18.75" customHeight="1">
      <c r="A93" s="410" t="inlineStr">
        <is>
          <t>BOTICÁRIO NATAL/25</t>
        </is>
      </c>
      <c r="B93" s="357" t="inlineStr">
        <is>
          <t>PC</t>
        </is>
      </c>
      <c r="C93" s="357" t="inlineStr">
        <is>
          <t>R$</t>
        </is>
      </c>
      <c r="D93" s="357" t="n"/>
      <c r="AY93" s="650" t="n">
        <v>45971</v>
      </c>
      <c r="AZ93" s="650" t="n">
        <v>45978</v>
      </c>
      <c r="BA93" s="650" t="n">
        <v>45985</v>
      </c>
      <c r="BB93" s="650" t="n">
        <v>45992</v>
      </c>
      <c r="BC93" s="650" t="n">
        <v>45999</v>
      </c>
      <c r="BD93" s="650" t="n">
        <v>46006</v>
      </c>
      <c r="BE93" s="650" t="n">
        <v>46013</v>
      </c>
      <c r="BF93" s="650" t="n">
        <v>46020</v>
      </c>
      <c r="BG93" s="650" t="n">
        <v>46027</v>
      </c>
      <c r="BH93" s="650" t="n">
        <v>46034</v>
      </c>
      <c r="BI93" s="650" t="n">
        <v>46041</v>
      </c>
      <c r="BJ93" s="650" t="n"/>
      <c r="BK93" s="650" t="n"/>
      <c r="BL93" s="650" t="n"/>
      <c r="BM93" s="650" t="n"/>
      <c r="BN93" s="650" t="n"/>
      <c r="BO93" s="650" t="n"/>
      <c r="BP93" s="650" t="n"/>
      <c r="BQ93" s="650" t="n"/>
      <c r="BR93" s="650" t="n"/>
      <c r="BS93" s="650" t="n"/>
      <c r="BT93" s="650" t="n"/>
      <c r="BU93" s="650" t="n"/>
      <c r="BV93" s="650" t="n"/>
      <c r="BW93" s="650" t="n"/>
      <c r="BX93" s="650" t="n"/>
      <c r="BY93" s="650" t="n"/>
      <c r="BZ93" s="650" t="n"/>
      <c r="CA93" s="650" t="n"/>
      <c r="CB93" s="650" t="n"/>
      <c r="CC93" s="650" t="n"/>
      <c r="CD93" s="650" t="n"/>
      <c r="CE93" s="650" t="n"/>
      <c r="CF93" s="660" t="inlineStr">
        <is>
          <t>USOU</t>
        </is>
      </c>
    </row>
    <row r="94" hidden="1" ht="18.75" customHeight="1">
      <c r="A94" s="33" t="inlineStr">
        <is>
          <t>SACOLA P</t>
        </is>
      </c>
      <c r="B94" s="9" t="n">
        <v>200</v>
      </c>
      <c r="C94" s="662" t="n">
        <v>274.2</v>
      </c>
      <c r="D94" s="329" t="n"/>
      <c r="AY94" s="38" t="n"/>
      <c r="AZ94" s="38" t="n"/>
      <c r="BA94" s="38" t="n">
        <v>0</v>
      </c>
      <c r="BB94" s="38" t="n">
        <v>0</v>
      </c>
      <c r="BC94" s="38" t="n">
        <v>0</v>
      </c>
      <c r="BD94" s="38" t="n">
        <v>0</v>
      </c>
      <c r="BE94" s="38" t="n">
        <v>0</v>
      </c>
      <c r="BF94" s="38" t="n">
        <v>0</v>
      </c>
      <c r="BG94" s="38" t="n">
        <v>0</v>
      </c>
      <c r="BH94" s="38" t="n">
        <v>0</v>
      </c>
      <c r="BI94" s="38" t="n">
        <v>0</v>
      </c>
      <c r="BJ94" s="38" t="n"/>
      <c r="BK94" s="38" t="n"/>
      <c r="BL94" s="38" t="n"/>
      <c r="BM94" s="38" t="n"/>
      <c r="BN94" s="38" t="n"/>
      <c r="BO94" s="38" t="n"/>
      <c r="BP94" s="38" t="n"/>
      <c r="BQ94" s="38" t="n"/>
      <c r="BR94" s="38" t="n"/>
      <c r="BS94" s="38" t="n"/>
      <c r="BT94" s="38" t="n"/>
      <c r="BU94" s="38" t="n"/>
      <c r="BV94" s="38" t="n"/>
      <c r="BW94" s="38" t="n"/>
      <c r="BX94" s="38" t="n"/>
      <c r="BY94" s="38" t="n"/>
      <c r="BZ94" s="38" t="n"/>
      <c r="CA94" s="38" t="n"/>
      <c r="CB94" s="38" t="n"/>
      <c r="CC94" s="9" t="n"/>
      <c r="CD94" s="9" t="n"/>
      <c r="CE94" s="9" t="n"/>
      <c r="CF94" s="246">
        <f>CD94+IF(NOT(ISBLANK(OFFSET(CF94,0,6))),N(OFFSET(CF94,0,6)),N(OFFSET(CF94,0,7)))-CE94</f>
        <v/>
      </c>
    </row>
    <row r="95" hidden="1" ht="18.75" customHeight="1">
      <c r="A95" s="33" t="inlineStr">
        <is>
          <t>SACOLA M</t>
        </is>
      </c>
      <c r="B95" s="9" t="n">
        <v>200</v>
      </c>
      <c r="C95" s="662" t="n">
        <v>347.8</v>
      </c>
      <c r="D95" s="329" t="n"/>
      <c r="AY95" s="38" t="n"/>
      <c r="AZ95" s="38" t="n"/>
      <c r="BA95" s="38" t="n">
        <v>11</v>
      </c>
      <c r="BB95" s="38" t="n">
        <v>0</v>
      </c>
      <c r="BC95" s="38" t="n">
        <v>0</v>
      </c>
      <c r="BD95" s="38" t="n">
        <v>0</v>
      </c>
      <c r="BE95" s="38" t="n">
        <v>0</v>
      </c>
      <c r="BF95" s="38" t="n">
        <v>0</v>
      </c>
      <c r="BG95" s="38" t="n">
        <v>0</v>
      </c>
      <c r="BH95" s="38" t="n">
        <v>0</v>
      </c>
      <c r="BI95" s="38" t="n">
        <v>0</v>
      </c>
      <c r="BJ95" s="38" t="n"/>
      <c r="BK95" s="38" t="n"/>
      <c r="BL95" s="38" t="n"/>
      <c r="BM95" s="38" t="n"/>
      <c r="BN95" s="38" t="n"/>
      <c r="BO95" s="38" t="n"/>
      <c r="BP95" s="38" t="n"/>
      <c r="BQ95" s="38" t="n"/>
      <c r="BR95" s="38" t="n"/>
      <c r="BS95" s="38" t="n"/>
      <c r="BT95" s="38" t="n"/>
      <c r="BU95" s="38" t="n"/>
      <c r="BV95" s="38" t="n"/>
      <c r="BW95" s="38" t="n"/>
      <c r="BX95" s="38" t="n"/>
      <c r="BY95" s="38" t="n"/>
      <c r="BZ95" s="38" t="n"/>
      <c r="CA95" s="38" t="n"/>
      <c r="CB95" s="38" t="n"/>
      <c r="CC95" s="9" t="n"/>
      <c r="CD95" s="9" t="n"/>
      <c r="CE95" s="9" t="n"/>
      <c r="CF95" s="246">
        <f>CD95+IF(NOT(ISBLANK(OFFSET(CF95,0,6))),N(OFFSET(CF95,0,6)),N(OFFSET(CF95,0,7)))-CE95</f>
        <v/>
      </c>
    </row>
    <row r="96" hidden="1" ht="18.75" customHeight="1">
      <c r="A96" s="33" t="inlineStr">
        <is>
          <t>SACOLA G</t>
        </is>
      </c>
      <c r="B96" s="9" t="n">
        <v>100</v>
      </c>
      <c r="C96" s="662" t="n">
        <v>267</v>
      </c>
      <c r="D96" s="329" t="n"/>
      <c r="AY96" s="38" t="n"/>
      <c r="AZ96" s="38" t="n"/>
      <c r="BA96" s="38" t="n">
        <v>0</v>
      </c>
      <c r="BB96" s="38" t="n">
        <v>0</v>
      </c>
      <c r="BC96" s="38" t="n">
        <v>0</v>
      </c>
      <c r="BD96" s="38" t="n">
        <v>0</v>
      </c>
      <c r="BE96" s="38" t="n">
        <v>0</v>
      </c>
      <c r="BF96" s="38" t="n">
        <v>0</v>
      </c>
      <c r="BG96" s="38" t="n">
        <v>0</v>
      </c>
      <c r="BH96" s="38" t="n">
        <v>0</v>
      </c>
      <c r="BI96" s="38" t="n">
        <v>0</v>
      </c>
      <c r="BJ96" s="38" t="n"/>
      <c r="BK96" s="38" t="n"/>
      <c r="BL96" s="38" t="n"/>
      <c r="BM96" s="38" t="n"/>
      <c r="BN96" s="38" t="n"/>
      <c r="BO96" s="38" t="n"/>
      <c r="BP96" s="38" t="n"/>
      <c r="BQ96" s="38" t="n"/>
      <c r="BR96" s="38" t="n"/>
      <c r="BS96" s="38" t="n"/>
      <c r="BT96" s="38" t="n"/>
      <c r="BU96" s="38" t="n"/>
      <c r="BV96" s="38" t="n"/>
      <c r="BW96" s="38" t="n"/>
      <c r="BX96" s="38" t="n"/>
      <c r="BY96" s="38" t="n"/>
      <c r="BZ96" s="38" t="n"/>
      <c r="CA96" s="38" t="n"/>
      <c r="CB96" s="38" t="n"/>
      <c r="CC96" s="9" t="n"/>
      <c r="CD96" s="9" t="n"/>
      <c r="CE96" s="9" t="n"/>
      <c r="CF96" s="246">
        <f>CD96+IF(NOT(ISBLANK(OFFSET(CF96,0,6))),N(OFFSET(CF96,0,6)),N(OFFSET(CF96,0,7)))-CE96</f>
        <v/>
      </c>
    </row>
    <row r="97" hidden="1" ht="18.75" customHeight="1">
      <c r="A97" s="238" t="inlineStr">
        <is>
          <t>KIT PAPEL DE SEDA 10 C/ 20</t>
        </is>
      </c>
      <c r="B97" s="36" t="n">
        <v>200</v>
      </c>
      <c r="C97" s="668" t="n">
        <v>44.4</v>
      </c>
      <c r="D97" s="36" t="n"/>
      <c r="AY97" s="38" t="n"/>
      <c r="AZ97" s="38" t="n"/>
      <c r="BA97" s="38" t="n">
        <v>250</v>
      </c>
      <c r="BB97" s="38" t="n">
        <v>198</v>
      </c>
      <c r="BC97" s="38" t="n">
        <v>137</v>
      </c>
      <c r="BD97" s="38" t="n">
        <v>43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/>
      <c r="BK97" s="38" t="n"/>
      <c r="BL97" s="38" t="n"/>
      <c r="BM97" s="38" t="n"/>
      <c r="BN97" s="38" t="n"/>
      <c r="BO97" s="38" t="n"/>
      <c r="BP97" s="38" t="n"/>
      <c r="BQ97" s="38" t="n"/>
      <c r="BR97" s="38" t="n"/>
      <c r="BS97" s="38" t="n"/>
      <c r="BT97" s="38" t="n"/>
      <c r="BU97" s="38" t="n"/>
      <c r="BV97" s="38" t="n"/>
      <c r="BW97" s="38" t="n"/>
      <c r="BX97" s="38" t="n"/>
      <c r="BY97" s="38" t="n"/>
      <c r="BZ97" s="38" t="n"/>
      <c r="CA97" s="38" t="n"/>
      <c r="CB97" s="38" t="n"/>
      <c r="CC97" s="9" t="n"/>
      <c r="CD97" s="9" t="n"/>
      <c r="CE97" s="9" t="n"/>
      <c r="CF97" s="246">
        <f>CD97+IF(NOT(ISBLANK(OFFSET(CF97,0,6))),N(OFFSET(CF97,0,6)),N(OFFSET(CF97,0,7)))-CE97</f>
        <v/>
      </c>
    </row>
    <row r="98" hidden="1" ht="18.75" customHeight="1">
      <c r="A98" s="238" t="inlineStr">
        <is>
          <t>CAIXA P</t>
        </is>
      </c>
      <c r="B98" s="36" t="n">
        <v>150</v>
      </c>
      <c r="C98" s="668" t="n">
        <v>805.35</v>
      </c>
      <c r="D98" s="36" t="n"/>
      <c r="AY98" s="38" t="n"/>
      <c r="AZ98" s="38" t="n"/>
      <c r="BA98" s="38" t="n">
        <v>80</v>
      </c>
      <c r="BB98" s="38" t="n">
        <v>79</v>
      </c>
      <c r="BC98" s="38" t="n">
        <v>63</v>
      </c>
      <c r="BD98" s="38" t="n">
        <v>58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/>
      <c r="BK98" s="38" t="n"/>
      <c r="BL98" s="38" t="n"/>
      <c r="BM98" s="38" t="n"/>
      <c r="BN98" s="38" t="n"/>
      <c r="BO98" s="38" t="n"/>
      <c r="BP98" s="38" t="n"/>
      <c r="BQ98" s="38" t="n"/>
      <c r="BR98" s="38" t="n"/>
      <c r="BS98" s="38" t="n"/>
      <c r="BT98" s="38" t="n"/>
      <c r="BU98" s="38" t="n"/>
      <c r="BV98" s="38" t="n"/>
      <c r="BW98" s="38" t="n"/>
      <c r="BX98" s="38" t="n"/>
      <c r="BY98" s="38" t="n"/>
      <c r="BZ98" s="38" t="n"/>
      <c r="CA98" s="38" t="n"/>
      <c r="CB98" s="38" t="n"/>
      <c r="CC98" s="9" t="n"/>
      <c r="CD98" s="9" t="n"/>
      <c r="CE98" s="9" t="n"/>
      <c r="CF98" s="246">
        <f>CD98+IF(NOT(ISBLANK(OFFSET(CF98,0,6))),N(OFFSET(CF98,0,6)),N(OFFSET(CF98,0,7)))-CE98</f>
        <v/>
      </c>
    </row>
    <row r="99" hidden="1" ht="18.75" customHeight="1">
      <c r="A99" s="238" t="inlineStr">
        <is>
          <t>CAIXA M</t>
        </is>
      </c>
      <c r="B99" s="36" t="n">
        <v>100</v>
      </c>
      <c r="C99" s="668" t="n">
        <v>792.2</v>
      </c>
      <c r="D99" s="36" t="n"/>
      <c r="AY99" s="38" t="n"/>
      <c r="AZ99" s="38" t="n"/>
      <c r="BA99" s="38" t="n">
        <v>76</v>
      </c>
      <c r="BB99" s="38" t="n">
        <v>71</v>
      </c>
      <c r="BC99" s="38" t="n">
        <v>53</v>
      </c>
      <c r="BD99" s="38" t="n">
        <v>38</v>
      </c>
      <c r="BE99" s="38" t="n">
        <v>0</v>
      </c>
      <c r="BF99" s="38" t="n">
        <v>0</v>
      </c>
      <c r="BG99" s="38" t="n">
        <v>0</v>
      </c>
      <c r="BH99" s="38" t="n">
        <v>0</v>
      </c>
      <c r="BI99" s="38" t="n">
        <v>0</v>
      </c>
      <c r="BJ99" s="38" t="n"/>
      <c r="BK99" s="38" t="n"/>
      <c r="BL99" s="38" t="n"/>
      <c r="BM99" s="38" t="n"/>
      <c r="BN99" s="38" t="n"/>
      <c r="BO99" s="38" t="n"/>
      <c r="BP99" s="38" t="n"/>
      <c r="BQ99" s="38" t="n"/>
      <c r="BR99" s="38" t="n"/>
      <c r="BS99" s="38" t="n"/>
      <c r="BT99" s="38" t="n"/>
      <c r="BU99" s="38" t="n"/>
      <c r="BV99" s="38" t="n"/>
      <c r="BW99" s="38" t="n"/>
      <c r="BX99" s="38" t="n"/>
      <c r="BY99" s="38" t="n"/>
      <c r="BZ99" s="38" t="n"/>
      <c r="CA99" s="38" t="n"/>
      <c r="CB99" s="38" t="n"/>
      <c r="CC99" s="9" t="n"/>
      <c r="CD99" s="9" t="n"/>
      <c r="CE99" s="9" t="n"/>
      <c r="CF99" s="246">
        <f>CD99+IF(NOT(ISBLANK(OFFSET(CF99,0,6))),N(OFFSET(CF99,0,6)),N(OFFSET(CF99,0,7)))-CE99</f>
        <v/>
      </c>
    </row>
    <row r="100" hidden="1" ht="18.75" customHeight="1">
      <c r="A100" s="238" t="inlineStr">
        <is>
          <t>CARTUCHO P</t>
        </is>
      </c>
      <c r="B100" s="36" t="n">
        <v>200</v>
      </c>
      <c r="C100" s="668" t="n">
        <v>487.2</v>
      </c>
      <c r="D100" s="36" t="n"/>
      <c r="AY100" s="38" t="n"/>
      <c r="AZ100" s="38" t="n"/>
      <c r="BA100" s="38" t="n">
        <v>151</v>
      </c>
      <c r="BB100" s="38" t="n">
        <v>143</v>
      </c>
      <c r="BC100" s="38" t="n">
        <v>129</v>
      </c>
      <c r="BD100" s="38" t="n">
        <v>115</v>
      </c>
      <c r="BE100" s="38" t="n">
        <v>0</v>
      </c>
      <c r="BF100" s="38" t="n">
        <v>0</v>
      </c>
      <c r="BG100" s="38" t="n">
        <v>0</v>
      </c>
      <c r="BH100" s="38" t="n">
        <v>0</v>
      </c>
      <c r="BI100" s="38" t="n">
        <v>0</v>
      </c>
      <c r="BJ100" s="38" t="n"/>
      <c r="BK100" s="38" t="n"/>
      <c r="BL100" s="38" t="n"/>
      <c r="BM100" s="38" t="n"/>
      <c r="BN100" s="38" t="n"/>
      <c r="BO100" s="38" t="n"/>
      <c r="BP100" s="38" t="n"/>
      <c r="BQ100" s="38" t="n"/>
      <c r="BR100" s="38" t="n"/>
      <c r="BS100" s="38" t="n"/>
      <c r="BT100" s="38" t="n"/>
      <c r="BU100" s="38" t="n"/>
      <c r="BV100" s="38" t="n"/>
      <c r="BW100" s="38" t="n"/>
      <c r="BX100" s="38" t="n"/>
      <c r="BY100" s="38" t="n"/>
      <c r="BZ100" s="38" t="n"/>
      <c r="CA100" s="38" t="n"/>
      <c r="CB100" s="38" t="n"/>
      <c r="CC100" s="9" t="n"/>
      <c r="CD100" s="9" t="n"/>
      <c r="CE100" s="9" t="n"/>
      <c r="CF100" s="246">
        <f>CD100+IF(NOT(ISBLANK(OFFSET(CF100,0,6))),N(OFFSET(CF100,0,6)),N(OFFSET(CF100,0,7)))-CE100</f>
        <v/>
      </c>
    </row>
    <row r="101" hidden="1" ht="18.75" customHeight="1">
      <c r="A101" s="238" t="inlineStr">
        <is>
          <t>CARTUCHO M</t>
        </is>
      </c>
      <c r="B101" s="36" t="n">
        <v>150</v>
      </c>
      <c r="C101" s="668" t="n">
        <v>460.35</v>
      </c>
      <c r="D101" s="36" t="n"/>
      <c r="AY101" s="38" t="n"/>
      <c r="AZ101" s="38" t="n"/>
      <c r="BA101" s="38" t="n">
        <v>73</v>
      </c>
      <c r="BB101" s="38" t="n">
        <v>61</v>
      </c>
      <c r="BC101" s="38" t="n">
        <v>38</v>
      </c>
      <c r="BD101" s="38" t="n">
        <v>23</v>
      </c>
      <c r="BE101" s="38" t="n">
        <v>0</v>
      </c>
      <c r="BF101" s="38" t="n">
        <v>0</v>
      </c>
      <c r="BG101" s="38" t="n">
        <v>0</v>
      </c>
      <c r="BH101" s="38" t="n">
        <v>0</v>
      </c>
      <c r="BI101" s="38" t="n">
        <v>0</v>
      </c>
      <c r="BJ101" s="38" t="n"/>
      <c r="BK101" s="38" t="n"/>
      <c r="BL101" s="38" t="n"/>
      <c r="BM101" s="38" t="n"/>
      <c r="BN101" s="38" t="n"/>
      <c r="BO101" s="38" t="n"/>
      <c r="BP101" s="38" t="n"/>
      <c r="BQ101" s="38" t="n"/>
      <c r="BR101" s="38" t="n"/>
      <c r="BS101" s="38" t="n"/>
      <c r="BT101" s="38" t="n"/>
      <c r="BU101" s="38" t="n"/>
      <c r="BV101" s="38" t="n"/>
      <c r="BW101" s="38" t="n"/>
      <c r="BX101" s="38" t="n"/>
      <c r="BY101" s="38" t="n"/>
      <c r="BZ101" s="38" t="n"/>
      <c r="CA101" s="38" t="n"/>
      <c r="CB101" s="38" t="n"/>
      <c r="CC101" s="9" t="n"/>
      <c r="CD101" s="9" t="n"/>
      <c r="CE101" s="9" t="n"/>
      <c r="CF101" s="246">
        <f>CD101+IF(NOT(ISBLANK(OFFSET(CF101,0,6))),N(OFFSET(CF101,0,6)),N(OFFSET(CF101,0,7)))-CE101</f>
        <v/>
      </c>
    </row>
    <row r="102" hidden="1" ht="18.75" customHeight="1"/>
    <row r="103" ht="18.75" customHeight="1">
      <c r="A103" s="408" t="inlineStr">
        <is>
          <t>EUDORA MÃES/26</t>
        </is>
      </c>
      <c r="B103" s="409" t="inlineStr">
        <is>
          <t>PC</t>
        </is>
      </c>
      <c r="C103" s="409" t="inlineStr">
        <is>
          <t>R$</t>
        </is>
      </c>
      <c r="D103" s="409" t="n"/>
      <c r="BM103" s="650" t="n">
        <v>46069</v>
      </c>
      <c r="BN103" s="650" t="n">
        <v>46076</v>
      </c>
      <c r="BO103" s="650" t="n">
        <v>46083</v>
      </c>
      <c r="BP103" s="650" t="n">
        <v>46090</v>
      </c>
      <c r="BQ103" s="650" t="n">
        <v>46097</v>
      </c>
      <c r="BR103" s="650" t="n">
        <v>46104</v>
      </c>
      <c r="BS103" s="650" t="n">
        <v>46111</v>
      </c>
      <c r="BT103" s="650" t="n">
        <v>46118</v>
      </c>
      <c r="BU103" s="650" t="n">
        <v>46125</v>
      </c>
      <c r="BV103" s="650" t="n">
        <v>46132</v>
      </c>
      <c r="BW103" s="650" t="n">
        <v>46139</v>
      </c>
      <c r="BX103" s="650" t="n">
        <v>46146</v>
      </c>
      <c r="BY103" s="650" t="n">
        <v>46154</v>
      </c>
      <c r="BZ103" s="650" t="n">
        <v>46160</v>
      </c>
      <c r="CA103" s="650" t="n">
        <v>46160</v>
      </c>
      <c r="CB103" s="650" t="n">
        <v>46160</v>
      </c>
      <c r="CC103" s="651" t="n">
        <v>46161.48003686342</v>
      </c>
      <c r="CD103" s="651" t="n">
        <v>46161.48071633102</v>
      </c>
      <c r="CE103" s="651" t="n">
        <v>46161.48287467407</v>
      </c>
      <c r="CF103" s="660" t="inlineStr">
        <is>
          <t>USOU</t>
        </is>
      </c>
      <c r="CI103" s="413" t="inlineStr">
        <is>
          <t>TRANSFERÊNCIA</t>
        </is>
      </c>
    </row>
    <row r="104" ht="18.75" customHeight="1">
      <c r="A104" s="33" t="inlineStr">
        <is>
          <t xml:space="preserve">SACOLA M </t>
        </is>
      </c>
      <c r="B104" s="9" t="n">
        <v>150</v>
      </c>
      <c r="C104" s="662" t="n"/>
      <c r="D104" s="329" t="n"/>
      <c r="BM104" s="38" t="n">
        <v>0</v>
      </c>
      <c r="BN104" s="38" t="n">
        <v>0</v>
      </c>
      <c r="BO104" s="38" t="n">
        <v>0</v>
      </c>
      <c r="BP104" s="38">
        <f>CN10</f>
        <v/>
      </c>
      <c r="BQ104" s="38" t="n">
        <v>4800</v>
      </c>
      <c r="BR104" s="38" t="n">
        <v>4800</v>
      </c>
      <c r="BS104" s="38" t="n">
        <v>4800</v>
      </c>
      <c r="BT104" s="38" t="n">
        <v>4700</v>
      </c>
      <c r="BU104" s="38" t="n">
        <v>4600</v>
      </c>
      <c r="BV104" s="38" t="n">
        <v>4650</v>
      </c>
      <c r="BW104" s="187" t="n">
        <v>4650</v>
      </c>
      <c r="BX104" s="187" t="n">
        <v>3900</v>
      </c>
      <c r="BY104" s="187" t="n">
        <v>3450</v>
      </c>
      <c r="BZ104" s="187" t="n"/>
      <c r="CA104" s="187" t="n"/>
      <c r="CB104" s="187" t="n"/>
      <c r="CC104" s="422" t="n"/>
      <c r="CD104" s="422" t="n"/>
      <c r="CE104" s="422" t="n"/>
      <c r="CF104" s="423">
        <f>CD104+IF(NOT(ISBLANK(OFFSET(CF104,0,6))),N(OFFSET(CF104,0,6)),N(OFFSET(CF104,0,7)))-CE104</f>
        <v/>
      </c>
      <c r="CI104" s="127" t="n"/>
    </row>
    <row r="105" ht="18.75" customHeight="1">
      <c r="A105" s="33" t="inlineStr">
        <is>
          <t>ADESIVO</t>
        </is>
      </c>
      <c r="B105" s="9" t="n">
        <v>1000</v>
      </c>
      <c r="C105" s="662" t="n"/>
      <c r="D105" s="329" t="n"/>
      <c r="BM105" s="38" t="n">
        <v>0</v>
      </c>
      <c r="BN105" s="38" t="n">
        <v>0</v>
      </c>
      <c r="BO105" s="38" t="n">
        <v>0</v>
      </c>
      <c r="BP105" s="38">
        <f>CN27</f>
        <v/>
      </c>
      <c r="BQ105" s="38" t="n">
        <v>2</v>
      </c>
      <c r="BR105" s="38" t="n">
        <v>2</v>
      </c>
      <c r="BS105" s="38" t="n">
        <v>2</v>
      </c>
      <c r="BT105" s="38" t="n">
        <v>0</v>
      </c>
      <c r="BU105" s="38" t="n">
        <v>0</v>
      </c>
      <c r="BV105" s="38" t="n">
        <v>0</v>
      </c>
      <c r="BW105" s="38" t="n">
        <v>0</v>
      </c>
      <c r="BX105" s="38" t="n">
        <v>0</v>
      </c>
      <c r="BY105" s="38" t="n">
        <v>0</v>
      </c>
      <c r="BZ105" s="38" t="n"/>
      <c r="CA105" s="38" t="n"/>
      <c r="CB105" s="38" t="n"/>
      <c r="CC105" s="9" t="n"/>
      <c r="CD105" s="9" t="n"/>
      <c r="CE105" s="9" t="n"/>
      <c r="CF105" s="246">
        <f>CD105+IF(NOT(ISBLANK(OFFSET(CF105,0,6))),N(OFFSET(CF105,0,6)),N(OFFSET(CF105,0,7)))-CE105</f>
        <v/>
      </c>
    </row>
    <row r="106" ht="18.75" customHeight="1">
      <c r="A106" s="33" t="inlineStr">
        <is>
          <t>PAPEL DE SEDA</t>
        </is>
      </c>
      <c r="B106" s="9" t="n">
        <v>200</v>
      </c>
      <c r="C106" s="662" t="n"/>
      <c r="D106" s="329" t="n"/>
      <c r="BM106" s="38" t="n">
        <v>0</v>
      </c>
      <c r="BN106" s="38" t="n">
        <v>0</v>
      </c>
      <c r="BO106" s="38" t="n">
        <v>0</v>
      </c>
      <c r="BP106" s="38" t="n">
        <v>0</v>
      </c>
      <c r="BQ106" s="38" t="n">
        <v>0</v>
      </c>
      <c r="BR106" s="38" t="n">
        <v>0</v>
      </c>
      <c r="BS106" s="38" t="n">
        <v>0</v>
      </c>
      <c r="BT106" s="38" t="n">
        <v>0</v>
      </c>
      <c r="BU106" s="38" t="n">
        <v>0</v>
      </c>
      <c r="BV106" s="38" t="n">
        <v>0</v>
      </c>
      <c r="BW106" s="38" t="n">
        <v>0</v>
      </c>
      <c r="BX106" s="38" t="n">
        <v>0</v>
      </c>
      <c r="BY106" s="38" t="n">
        <v>0</v>
      </c>
      <c r="BZ106" s="38" t="n"/>
      <c r="CA106" s="38" t="n"/>
      <c r="CB106" s="38" t="n"/>
      <c r="CC106" s="9" t="n"/>
      <c r="CD106" s="9" t="n"/>
      <c r="CE106" s="9" t="n"/>
      <c r="CF106" s="246">
        <f>CD106+IF(NOT(ISBLANK(OFFSET(CF106,0,6))),N(OFFSET(CF106,0,6)),N(OFFSET(CF106,0,7)))-CE106</f>
        <v/>
      </c>
    </row>
    <row r="107" ht="18.75" customHeight="1">
      <c r="A107" s="33" t="inlineStr">
        <is>
          <t>SACOLA M VENDA</t>
        </is>
      </c>
      <c r="B107" s="9" t="n">
        <v>150</v>
      </c>
      <c r="C107" s="662" t="n"/>
      <c r="D107" s="329" t="n"/>
      <c r="BM107" s="38" t="n">
        <v>0</v>
      </c>
      <c r="BN107" s="38" t="n">
        <v>0</v>
      </c>
      <c r="BO107" s="38" t="n">
        <v>0</v>
      </c>
      <c r="BP107" s="38">
        <f>CN23</f>
        <v/>
      </c>
      <c r="BQ107" s="38" t="n">
        <v>411</v>
      </c>
      <c r="BR107" s="38" t="n">
        <v>134</v>
      </c>
      <c r="BS107" s="38" t="n">
        <v>2</v>
      </c>
      <c r="BT107" s="38" t="n"/>
      <c r="BU107" s="38" t="n"/>
      <c r="BV107" s="38" t="n"/>
      <c r="BW107" s="38" t="n">
        <v>471</v>
      </c>
      <c r="BX107" s="38" t="n">
        <v>304</v>
      </c>
      <c r="BY107" s="38" t="n">
        <v>67</v>
      </c>
      <c r="BZ107" s="38" t="n">
        <v>9</v>
      </c>
      <c r="CA107" s="38" t="n">
        <v>9</v>
      </c>
      <c r="CB107" s="38" t="n">
        <v>9</v>
      </c>
      <c r="CC107" s="9" t="n">
        <v>9</v>
      </c>
      <c r="CD107" s="9" t="n">
        <v>9</v>
      </c>
      <c r="CE107" s="9" t="n">
        <v>9</v>
      </c>
      <c r="CF107" s="246">
        <f>CD107+IF(NOT(ISBLANK(OFFSET(CF107,0,6))),N(OFFSET(CF107,0,6)),N(OFFSET(CF107,0,7)))-CE107</f>
        <v/>
      </c>
    </row>
    <row r="108" ht="18.75" customHeight="1">
      <c r="A108" s="33" t="inlineStr">
        <is>
          <t>KIT TAG 10 C/ 20</t>
        </is>
      </c>
      <c r="B108" s="9" t="n">
        <v>200</v>
      </c>
      <c r="C108" s="662" t="n"/>
      <c r="D108" s="329" t="n"/>
      <c r="BM108" s="38" t="n">
        <v>0</v>
      </c>
      <c r="BN108" s="38" t="n">
        <v>0</v>
      </c>
      <c r="BO108" s="38" t="n">
        <v>0</v>
      </c>
      <c r="BP108" s="38" t="n">
        <v>0</v>
      </c>
      <c r="BQ108" s="38" t="n">
        <v>0</v>
      </c>
      <c r="BR108" s="38" t="n">
        <v>0</v>
      </c>
      <c r="BS108" s="38" t="n">
        <v>0</v>
      </c>
      <c r="BT108" s="38" t="n"/>
      <c r="BU108" s="38" t="n"/>
      <c r="BV108" s="38" t="n"/>
      <c r="BW108" s="38" t="n">
        <v>0</v>
      </c>
      <c r="BX108" s="38" t="n">
        <v>0</v>
      </c>
      <c r="BY108" s="38" t="n">
        <v>0</v>
      </c>
      <c r="BZ108" s="38" t="n">
        <v>0</v>
      </c>
      <c r="CA108" s="38" t="n">
        <v>0</v>
      </c>
      <c r="CB108" s="38" t="n">
        <v>0</v>
      </c>
      <c r="CC108" s="9" t="n">
        <v>0</v>
      </c>
      <c r="CD108" s="9" t="n">
        <v>0</v>
      </c>
      <c r="CE108" s="9" t="n">
        <v>0</v>
      </c>
      <c r="CF108" s="246">
        <f>CD108+IF(NOT(ISBLANK(OFFSET(CF108,0,6))),N(OFFSET(CF108,0,6)),N(OFFSET(CF108,0,7)))-CE108</f>
        <v/>
      </c>
    </row>
    <row r="109" ht="18.75" customHeight="1">
      <c r="A109" s="238" t="inlineStr">
        <is>
          <t>CAIXA M</t>
        </is>
      </c>
      <c r="B109" s="36" t="n">
        <v>100</v>
      </c>
      <c r="C109" s="668" t="n"/>
      <c r="D109" s="36" t="n"/>
      <c r="BM109" s="38" t="n">
        <v>0</v>
      </c>
      <c r="BN109" s="38" t="n">
        <v>0</v>
      </c>
      <c r="BO109" s="38" t="n">
        <v>0</v>
      </c>
      <c r="BP109" s="38" t="n">
        <v>0</v>
      </c>
      <c r="BQ109" s="261" t="n">
        <v>87</v>
      </c>
      <c r="BR109" s="38" t="n">
        <v>87</v>
      </c>
      <c r="BS109" s="38" t="n">
        <v>87</v>
      </c>
      <c r="BT109" s="38" t="n"/>
      <c r="BU109" s="38" t="n"/>
      <c r="BV109" s="38" t="n"/>
      <c r="BW109" s="38" t="n">
        <v>83</v>
      </c>
      <c r="BX109" s="38" t="n">
        <v>79</v>
      </c>
      <c r="BY109" s="38" t="n">
        <v>46</v>
      </c>
      <c r="BZ109" s="38" t="n">
        <v>44</v>
      </c>
      <c r="CA109" s="38" t="n">
        <v>44</v>
      </c>
      <c r="CB109" s="38" t="n">
        <v>44</v>
      </c>
      <c r="CC109" s="9" t="n">
        <v>44</v>
      </c>
      <c r="CD109" s="9" t="n">
        <v>44</v>
      </c>
      <c r="CE109" s="9" t="n">
        <v>44</v>
      </c>
      <c r="CF109" s="246">
        <f>CD109+IF(NOT(ISBLANK(OFFSET(CF109,0,6))),N(OFFSET(CF109,0,6)),N(OFFSET(CF109,0,7)))-CE109</f>
        <v/>
      </c>
    </row>
    <row r="110" ht="18.75" customHeight="1">
      <c r="A110" s="238" t="inlineStr">
        <is>
          <t>CARTUCHO P</t>
        </is>
      </c>
      <c r="B110" s="36" t="n">
        <v>200</v>
      </c>
      <c r="C110" s="668" t="n"/>
      <c r="D110" s="36" t="n"/>
      <c r="BM110" s="38" t="n">
        <v>0</v>
      </c>
      <c r="BN110" s="38" t="n">
        <v>0</v>
      </c>
      <c r="BO110" s="38" t="n">
        <v>0</v>
      </c>
      <c r="BP110" s="38">
        <f>CN31</f>
        <v/>
      </c>
      <c r="BQ110" s="38" t="n">
        <v>200</v>
      </c>
      <c r="BR110" s="38" t="n">
        <v>128</v>
      </c>
      <c r="BS110" s="38" t="n">
        <v>128</v>
      </c>
      <c r="BT110" s="38" t="n"/>
      <c r="BU110" s="38" t="n"/>
      <c r="BV110" s="38" t="n"/>
      <c r="BW110" s="38" t="n">
        <v>121</v>
      </c>
      <c r="BX110" s="38" t="n">
        <v>120</v>
      </c>
      <c r="BY110" s="38" t="n">
        <v>114</v>
      </c>
      <c r="BZ110" s="38" t="n">
        <v>114</v>
      </c>
      <c r="CA110" s="38" t="n">
        <v>114</v>
      </c>
      <c r="CB110" s="38" t="n">
        <v>114</v>
      </c>
      <c r="CC110" s="9" t="n">
        <v>114</v>
      </c>
      <c r="CD110" s="9" t="n">
        <v>114</v>
      </c>
      <c r="CE110" s="9" t="n">
        <v>114</v>
      </c>
      <c r="CF110" s="246">
        <f>CD110+IF(NOT(ISBLANK(OFFSET(CF110,0,6))),N(OFFSET(CF110,0,6)),N(OFFSET(CF110,0,7)))-CE110</f>
        <v/>
      </c>
    </row>
    <row r="111" ht="18.75" customHeight="1"/>
    <row r="112" ht="18.75" customHeight="1">
      <c r="A112" s="410" t="inlineStr">
        <is>
          <t>BOTICÁRIO MÃES/26</t>
        </is>
      </c>
      <c r="B112" s="357" t="inlineStr">
        <is>
          <t>PC</t>
        </is>
      </c>
      <c r="C112" s="357" t="inlineStr">
        <is>
          <t>R$</t>
        </is>
      </c>
      <c r="D112" s="357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50" t="n">
        <v>46160</v>
      </c>
      <c r="CC112" s="651" t="n">
        <v>46161.48003686342</v>
      </c>
      <c r="CD112" s="651" t="n">
        <v>46161.48071633102</v>
      </c>
      <c r="CE112" s="651" t="n">
        <v>46161.48287467451</v>
      </c>
      <c r="CF112" s="660" t="inlineStr">
        <is>
          <t>USOU</t>
        </is>
      </c>
      <c r="CI112" s="413" t="inlineStr">
        <is>
          <t>TRANSFERÊNCIA</t>
        </is>
      </c>
    </row>
    <row r="113" ht="18.75" customHeight="1">
      <c r="A113" s="33" t="inlineStr">
        <is>
          <t>SACOLA P</t>
        </is>
      </c>
      <c r="B113" s="9" t="n">
        <v>200</v>
      </c>
      <c r="C113" s="662" t="n"/>
      <c r="D113" s="329" t="n"/>
      <c r="BM113" s="38" t="n">
        <v>0</v>
      </c>
      <c r="BN113" s="38" t="n">
        <v>0</v>
      </c>
      <c r="BO113" s="38" t="n">
        <v>0</v>
      </c>
      <c r="BP113" s="38" t="n">
        <v>0</v>
      </c>
      <c r="BQ113" s="38" t="n">
        <v>0</v>
      </c>
      <c r="BR113" s="38">
        <f>CM9</f>
        <v/>
      </c>
      <c r="BS113" s="187" t="n">
        <v>5800</v>
      </c>
      <c r="BT113" s="187" t="n">
        <v>5800</v>
      </c>
      <c r="BU113" s="187">
        <f>5600-386</f>
        <v/>
      </c>
      <c r="BV113" s="424" t="n">
        <v>5400</v>
      </c>
      <c r="BW113" s="424" t="n">
        <v>5400</v>
      </c>
      <c r="BX113" s="424" t="n">
        <v>2600</v>
      </c>
      <c r="BY113" s="187" t="n">
        <v>1400</v>
      </c>
      <c r="BZ113" s="187" t="n"/>
      <c r="CA113" s="187" t="n"/>
      <c r="CB113" s="187" t="n"/>
      <c r="CC113" s="422" t="n"/>
      <c r="CD113" s="422" t="n"/>
      <c r="CE113" s="422" t="n"/>
      <c r="CF113" s="423">
        <f>CD113+IF(NOT(ISBLANK(OFFSET(CF113,0,6))),N(OFFSET(CF113,0,6)),N(OFFSET(CF113,0,7)))-CE113</f>
        <v/>
      </c>
      <c r="CI113" s="127" t="inlineStr">
        <is>
          <t>1000 DE ER PG</t>
        </is>
      </c>
    </row>
    <row r="114" ht="18.75" customHeight="1">
      <c r="A114" s="33" t="inlineStr">
        <is>
          <t>SACOLA M</t>
        </is>
      </c>
      <c r="B114" s="9" t="n">
        <v>200</v>
      </c>
      <c r="C114" s="662" t="n"/>
      <c r="D114" s="329" t="n"/>
      <c r="BM114" s="38" t="n">
        <v>0</v>
      </c>
      <c r="BN114" s="38" t="n">
        <v>0</v>
      </c>
      <c r="BO114" s="38" t="n">
        <v>0</v>
      </c>
      <c r="BP114" s="38" t="n">
        <v>0</v>
      </c>
      <c r="BQ114" s="38" t="n">
        <v>0</v>
      </c>
      <c r="BR114" s="38">
        <f>CM10</f>
        <v/>
      </c>
      <c r="BS114" s="187" t="n">
        <v>2800</v>
      </c>
      <c r="BT114" s="187" t="n">
        <v>3000</v>
      </c>
      <c r="BU114" s="187">
        <f>3000-600</f>
        <v/>
      </c>
      <c r="BV114" s="187" t="n">
        <v>2400</v>
      </c>
      <c r="BW114" s="187" t="n">
        <v>2400</v>
      </c>
      <c r="BX114" s="187" t="n">
        <v>800</v>
      </c>
      <c r="BY114" s="187" t="n">
        <v>600</v>
      </c>
      <c r="BZ114" s="187" t="n"/>
      <c r="CA114" s="187" t="n"/>
      <c r="CB114" s="187" t="n"/>
      <c r="CC114" s="422" t="n"/>
      <c r="CD114" s="422" t="n"/>
      <c r="CE114" s="422" t="n"/>
      <c r="CF114" s="423">
        <f>CD114+IF(NOT(ISBLANK(OFFSET(CF114,0,6))),N(OFFSET(CF114,0,6)),N(OFFSET(CF114,0,7)))-CE114</f>
        <v/>
      </c>
      <c r="CI114" s="127" t="n"/>
    </row>
    <row r="115" ht="18.75" customHeight="1">
      <c r="A115" s="33" t="inlineStr">
        <is>
          <t>SACOLA G</t>
        </is>
      </c>
      <c r="B115" s="9" t="n">
        <v>100</v>
      </c>
      <c r="C115" s="662" t="n"/>
      <c r="D115" s="329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>
        <f>CM11</f>
        <v/>
      </c>
      <c r="BS115" s="187" t="n">
        <v>1000</v>
      </c>
      <c r="BT115" s="187" t="n">
        <v>1000</v>
      </c>
      <c r="BU115" s="187">
        <f>1000-100</f>
        <v/>
      </c>
      <c r="BV115" s="38" t="n">
        <v>900</v>
      </c>
      <c r="BW115" s="38" t="n">
        <v>900</v>
      </c>
      <c r="BX115" s="38" t="n">
        <v>800</v>
      </c>
      <c r="BY115" s="38" t="n">
        <v>800</v>
      </c>
      <c r="BZ115" s="38" t="n"/>
      <c r="CA115" s="38" t="n"/>
      <c r="CB115" s="38" t="n"/>
      <c r="CC115" s="9" t="n"/>
      <c r="CD115" s="9" t="n"/>
      <c r="CE115" s="9" t="n"/>
      <c r="CF115" s="246">
        <f>CD115+IF(NOT(ISBLANK(OFFSET(CF115,0,6))),N(OFFSET(CF115,0,6)),N(OFFSET(CF115,0,7)))-CE115</f>
        <v/>
      </c>
      <c r="CI115" s="127" t="inlineStr">
        <is>
          <t>200 P/ ER PBE</t>
        </is>
      </c>
    </row>
    <row r="116" ht="18.75" customHeight="1">
      <c r="A116" s="33" t="inlineStr">
        <is>
          <t>SACOLA P VENDA</t>
        </is>
      </c>
      <c r="B116" s="9" t="n">
        <v>200</v>
      </c>
      <c r="C116" s="662" t="n"/>
      <c r="D116" s="329" t="n"/>
      <c r="BM116" s="38" t="n">
        <v>0</v>
      </c>
      <c r="BN116" s="38" t="n">
        <v>0</v>
      </c>
      <c r="BO116" s="38" t="n">
        <v>0</v>
      </c>
      <c r="BP116" s="38" t="n">
        <v>0</v>
      </c>
      <c r="BQ116" s="38" t="n">
        <v>0</v>
      </c>
      <c r="BR116" s="38">
        <f>CM22</f>
        <v/>
      </c>
      <c r="BS116" s="38" t="n">
        <v>299</v>
      </c>
      <c r="BT116" s="38" t="n">
        <v>14</v>
      </c>
      <c r="BU116" s="38" t="n">
        <v>400</v>
      </c>
      <c r="BV116" s="38" t="n"/>
      <c r="BW116" s="38" t="n">
        <v>317</v>
      </c>
      <c r="BX116" s="38" t="n">
        <v>272</v>
      </c>
      <c r="BY116" s="38" t="n">
        <v>224</v>
      </c>
      <c r="BZ116" s="38" t="n">
        <v>211</v>
      </c>
      <c r="CA116" s="38" t="n">
        <v>211</v>
      </c>
      <c r="CB116" s="38" t="n">
        <v>211</v>
      </c>
      <c r="CC116" s="9" t="n">
        <v>211</v>
      </c>
      <c r="CD116" s="9" t="n">
        <v>211</v>
      </c>
      <c r="CE116" s="9" t="n">
        <v>211</v>
      </c>
      <c r="CF116" s="246">
        <f>CD116+IF(NOT(ISBLANK(OFFSET(CF116,0,6))),N(OFFSET(CF116,0,6)),N(OFFSET(CF116,0,7)))-CE116</f>
        <v/>
      </c>
    </row>
    <row r="117" ht="18.75" customHeight="1">
      <c r="A117" s="33" t="inlineStr">
        <is>
          <t>SACOLA M VENDA</t>
        </is>
      </c>
      <c r="B117" s="9" t="n">
        <v>200</v>
      </c>
      <c r="C117" s="662" t="n"/>
      <c r="D117" s="329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600</v>
      </c>
      <c r="BV117" s="38" t="n"/>
      <c r="BW117" s="38" t="n">
        <v>512</v>
      </c>
      <c r="BX117" s="38" t="n">
        <v>479</v>
      </c>
      <c r="BY117" s="38" t="n">
        <v>238</v>
      </c>
      <c r="BZ117" s="261" t="n">
        <v>424</v>
      </c>
      <c r="CA117" s="261" t="n">
        <v>424</v>
      </c>
      <c r="CB117" s="261" t="n">
        <v>424</v>
      </c>
      <c r="CC117" s="190" t="n">
        <v>424</v>
      </c>
      <c r="CD117" s="190" t="n">
        <v>424</v>
      </c>
      <c r="CE117" s="190" t="n">
        <v>424</v>
      </c>
      <c r="CF117" s="246">
        <f>CD117+IF(NOT(ISBLANK(OFFSET(CF117,0,6))),N(OFFSET(CF117,0,6)),N(OFFSET(CF117,0,7)))-CE117</f>
        <v/>
      </c>
    </row>
    <row r="118" ht="18.75" customHeight="1">
      <c r="A118" s="33" t="inlineStr">
        <is>
          <t>SACOLA G VENDA</t>
        </is>
      </c>
      <c r="B118" s="9" t="n">
        <v>100</v>
      </c>
      <c r="C118" s="662" t="n"/>
      <c r="D118" s="329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0</v>
      </c>
      <c r="BR118" s="38" t="n">
        <v>0</v>
      </c>
      <c r="BS118" s="38" t="n">
        <v>0</v>
      </c>
      <c r="BT118" s="38" t="n">
        <v>0</v>
      </c>
      <c r="BU118" s="38" t="n">
        <v>100</v>
      </c>
      <c r="BV118" s="38" t="n">
        <v>100</v>
      </c>
      <c r="BW118" s="38" t="n">
        <v>67</v>
      </c>
      <c r="BX118" s="38" t="n">
        <v>39</v>
      </c>
      <c r="BY118" s="38" t="n">
        <v>0</v>
      </c>
      <c r="BZ118" s="38" t="n">
        <v>0</v>
      </c>
      <c r="CA118" s="38" t="n"/>
      <c r="CB118" s="38" t="n"/>
      <c r="CC118" s="9" t="n"/>
      <c r="CD118" s="9" t="n"/>
      <c r="CE118" s="9" t="n"/>
      <c r="CF118" s="246">
        <f>CD118+IF(NOT(ISBLANK(OFFSET(CF118,0,6))),N(OFFSET(CF118,0,6)),N(OFFSET(CF118,0,7)))-CE118</f>
        <v/>
      </c>
    </row>
    <row r="119" ht="18.75" customHeight="1">
      <c r="A119" s="238" t="inlineStr">
        <is>
          <t>KIT PAPEL DE SEDA 10 C/ 20</t>
        </is>
      </c>
      <c r="B119" s="36" t="n">
        <v>200</v>
      </c>
      <c r="C119" s="668" t="n"/>
      <c r="D119" s="36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>
        <f>CM26</f>
        <v/>
      </c>
      <c r="BS119" s="38" t="n">
        <v>10</v>
      </c>
      <c r="BT119" s="38" t="n">
        <v>10</v>
      </c>
      <c r="BU119" s="38" t="n"/>
      <c r="BV119" s="38" t="n"/>
      <c r="BW119" s="38" t="n">
        <v>4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38" t="n">
        <v>0</v>
      </c>
      <c r="CC119" s="9" t="n">
        <v>0</v>
      </c>
      <c r="CD119" s="9" t="n">
        <v>0</v>
      </c>
      <c r="CE119" s="9" t="n">
        <v>0</v>
      </c>
      <c r="CF119" s="246">
        <f>CD119+IF(NOT(ISBLANK(OFFSET(CF119,0,6))),N(OFFSET(CF119,0,6)),N(OFFSET(CF119,0,7)))-CE119</f>
        <v/>
      </c>
    </row>
    <row r="120" ht="18.75" customHeight="1">
      <c r="A120" s="238" t="inlineStr">
        <is>
          <t>CAIXA P</t>
        </is>
      </c>
      <c r="B120" s="36" t="n">
        <v>150</v>
      </c>
      <c r="C120" s="668" t="n"/>
      <c r="D120" s="36" t="n"/>
      <c r="BM120" s="38" t="n">
        <v>0</v>
      </c>
      <c r="BN120" s="38" t="n">
        <v>0</v>
      </c>
      <c r="BO120" s="38" t="n">
        <v>0</v>
      </c>
      <c r="BP120" s="38" t="n">
        <v>0</v>
      </c>
      <c r="BQ120" s="38" t="n">
        <v>0</v>
      </c>
      <c r="BR120" s="38" t="n">
        <v>0</v>
      </c>
      <c r="BS120" s="38" t="n">
        <v>0</v>
      </c>
      <c r="BT120" s="38" t="n">
        <v>0</v>
      </c>
      <c r="BU120" s="38" t="n"/>
      <c r="BV120" s="38" t="n"/>
      <c r="BW120" s="38" t="n">
        <v>5</v>
      </c>
      <c r="BX120" s="38" t="n">
        <v>0</v>
      </c>
      <c r="BY120" s="38" t="n">
        <v>0</v>
      </c>
      <c r="BZ120" s="38" t="n">
        <v>0</v>
      </c>
      <c r="CA120" s="38" t="n">
        <v>0</v>
      </c>
      <c r="CB120" s="38" t="n">
        <v>0</v>
      </c>
      <c r="CC120" s="9" t="n">
        <v>0</v>
      </c>
      <c r="CD120" s="9" t="n">
        <v>0</v>
      </c>
      <c r="CE120" s="9" t="n">
        <v>0</v>
      </c>
      <c r="CF120" s="246">
        <f>CD120+IF(NOT(ISBLANK(OFFSET(CF120,0,6))),N(OFFSET(CF120,0,6)),N(OFFSET(CF120,0,7)))-CE120</f>
        <v/>
      </c>
    </row>
    <row r="121" ht="18.75" customHeight="1">
      <c r="A121" s="238" t="inlineStr">
        <is>
          <t>CAIXA M</t>
        </is>
      </c>
      <c r="B121" s="36" t="n">
        <v>100</v>
      </c>
      <c r="C121" s="668" t="n"/>
      <c r="D121" s="36" t="n"/>
      <c r="BM121" s="38" t="n">
        <v>0</v>
      </c>
      <c r="BN121" s="38" t="n">
        <v>0</v>
      </c>
      <c r="BO121" s="38" t="n">
        <v>0</v>
      </c>
      <c r="BP121" s="38" t="n">
        <v>0</v>
      </c>
      <c r="BQ121" s="38" t="n">
        <v>0</v>
      </c>
      <c r="BR121" s="38">
        <f>CM32</f>
        <v/>
      </c>
      <c r="BS121" s="38" t="n">
        <v>95</v>
      </c>
      <c r="BT121" s="38" t="n">
        <v>95</v>
      </c>
      <c r="BU121" s="38" t="n"/>
      <c r="BV121" s="38" t="n"/>
      <c r="BW121" s="38" t="n">
        <v>26</v>
      </c>
      <c r="BX121" s="38" t="n">
        <v>13</v>
      </c>
      <c r="BY121" s="38" t="n">
        <v>0</v>
      </c>
      <c r="BZ121" s="38" t="n">
        <v>0</v>
      </c>
      <c r="CA121" s="38" t="n">
        <v>0</v>
      </c>
      <c r="CB121" s="38" t="n">
        <v>0</v>
      </c>
      <c r="CC121" s="9" t="n">
        <v>0</v>
      </c>
      <c r="CD121" s="9" t="n">
        <v>0</v>
      </c>
      <c r="CE121" s="9" t="n">
        <v>0</v>
      </c>
      <c r="CF121" s="246">
        <f>CD121+IF(NOT(ISBLANK(OFFSET(CF121,0,6))),N(OFFSET(CF121,0,6)),N(OFFSET(CF121,0,7)))-CE121</f>
        <v/>
      </c>
    </row>
    <row r="122" ht="18.75" customHeight="1">
      <c r="A122" s="238" t="inlineStr">
        <is>
          <t>CARTUCHO M</t>
        </is>
      </c>
      <c r="B122" s="36" t="n">
        <v>150</v>
      </c>
      <c r="C122" s="668" t="n"/>
      <c r="D122" s="36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 t="n">
        <v>0</v>
      </c>
      <c r="BS122" s="38" t="n">
        <v>0</v>
      </c>
      <c r="BT122" s="38" t="n">
        <v>0</v>
      </c>
      <c r="BU122" s="38" t="n"/>
      <c r="BV122" s="38" t="n"/>
      <c r="BW122" s="38" t="n">
        <v>0</v>
      </c>
      <c r="BX122" s="38" t="n">
        <v>0</v>
      </c>
      <c r="BY122" s="38" t="n">
        <v>0</v>
      </c>
      <c r="BZ122" s="38" t="n">
        <v>0</v>
      </c>
      <c r="CA122" s="38" t="n">
        <v>0</v>
      </c>
      <c r="CB122" s="38" t="n">
        <v>0</v>
      </c>
      <c r="CC122" s="9" t="n">
        <v>0</v>
      </c>
      <c r="CD122" s="9" t="n">
        <v>0</v>
      </c>
      <c r="CE122" s="9" t="n">
        <v>0</v>
      </c>
      <c r="CF122" s="246">
        <f>CD122+IF(NOT(ISBLANK(OFFSET(CF122,0,6))),N(OFFSET(CF122,0,6)),N(OFFSET(CF122,0,7)))-CE122</f>
        <v/>
      </c>
    </row>
    <row r="123" ht="18.75" customHeight="1"/>
    <row r="124" ht="45.6" customHeight="1">
      <c r="A124" s="669" t="inlineStr">
        <is>
          <t>SOBRAS DATAS COMEMORATIVAS</t>
        </is>
      </c>
      <c r="B124" s="658" t="n"/>
      <c r="C124" s="670" t="n"/>
    </row>
    <row r="125" ht="18.75" customHeight="1">
      <c r="A125" s="146" t="inlineStr">
        <is>
          <t>ITENS</t>
        </is>
      </c>
      <c r="B125" s="146" t="n"/>
      <c r="C125" s="146" t="inlineStr">
        <is>
          <t>TEMOS EM ESTOQUE</t>
        </is>
      </c>
    </row>
    <row r="126" ht="18.75" customHeight="1">
      <c r="A126" s="193" t="inlineStr">
        <is>
          <t>CARTUCHO P MÃES/24</t>
        </is>
      </c>
      <c r="B126" s="192" t="n"/>
      <c r="C126" s="171" t="n">
        <v>11</v>
      </c>
    </row>
    <row r="127" ht="18.75" customHeight="1"/>
    <row r="128" ht="18.75" customHeight="1"/>
    <row r="129" ht="18.75" customHeight="1"/>
    <row r="130" ht="18.75" customHeight="1">
      <c r="DS130" s="6" t="n"/>
    </row>
  </sheetData>
  <mergeCells count="12">
    <mergeCell ref="A5:A6"/>
    <mergeCell ref="B3:D3"/>
    <mergeCell ref="D53:D55"/>
    <mergeCell ref="F5:BZ5"/>
    <mergeCell ref="CF53:CF58"/>
    <mergeCell ref="CG53:CG58"/>
    <mergeCell ref="A124:C124"/>
    <mergeCell ref="GQ30:GR33"/>
    <mergeCell ref="D5:D6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84" horizontalDpi="4294967295" verticalDpi="429496729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Planilha29">
    <tabColor theme="9"/>
    <outlinePr summaryBelow="1" summaryRight="1"/>
    <pageSetUpPr fitToPage="1"/>
  </sheetPr>
  <dimension ref="A1:GQ130"/>
  <sheetViews>
    <sheetView showGridLines="0" topLeftCell="A33" zoomScale="80" zoomScaleNormal="80" workbookViewId="0">
      <selection activeCell="CA1" sqref="CA1:CA1048576"/>
    </sheetView>
  </sheetViews>
  <sheetFormatPr baseColWidth="8" defaultColWidth="9.140625" defaultRowHeight="18.75" customHeight="1"/>
  <cols>
    <col width="36.5703125" customWidth="1" style="52" min="1" max="1"/>
    <col width="10.140625" customWidth="1" style="6" min="2" max="2"/>
    <col hidden="1" width="16.7109375" customWidth="1" style="6" min="3" max="3"/>
    <col width="16.140625" customWidth="1" style="6" min="4" max="4"/>
    <col width="1.5703125" customWidth="1" style="6" min="5" max="5"/>
    <col hidden="1" width="9.85546875" customWidth="1" style="6" min="6" max="32"/>
    <col hidden="1" width="8.140625" customWidth="1" style="6" min="33" max="76"/>
    <col width="8.140625" customWidth="1" style="6" min="77" max="79"/>
    <col width="8.85546875" customWidth="1" style="6" min="80" max="80"/>
    <col width="1.85546875" customWidth="1" style="6" min="81" max="81"/>
    <col hidden="1" width="26.85546875" customWidth="1" style="51" min="82" max="82"/>
    <col width="33.7109375" bestFit="1" customWidth="1" style="51" min="83" max="83"/>
    <col width="17" customWidth="1" style="51" min="84" max="84"/>
    <col width="15.85546875" bestFit="1" customWidth="1" style="49" min="85" max="85"/>
    <col width="1.28515625" customWidth="1" style="49" min="86" max="86"/>
    <col width="8.28515625" customWidth="1" style="51" min="87" max="92"/>
    <col hidden="1" width="17.5703125" customWidth="1" style="51" min="93" max="93"/>
    <col hidden="1" width="8.28515625" customWidth="1" style="51" min="94" max="94"/>
    <col hidden="1" width="16" customWidth="1" style="51" min="95" max="95"/>
    <col hidden="1" width="8.28515625" customWidth="1" style="51" min="96" max="112"/>
    <col hidden="1" width="17" customWidth="1" style="51" min="113" max="113"/>
    <col hidden="1" width="8.28515625" customWidth="1" style="51" min="114" max="116"/>
    <col hidden="1" width="9.140625" customWidth="1" style="51" min="117" max="117"/>
    <col hidden="1" width="8.28515625" customWidth="1" style="51" min="118" max="118"/>
    <col hidden="1" width="9.28515625" customWidth="1" style="49" min="119" max="119"/>
    <col hidden="1" width="17" customWidth="1" style="51" min="120" max="121"/>
    <col hidden="1" width="8.28515625" customWidth="1" style="51" min="122" max="127"/>
    <col hidden="1" width="30.5703125" customWidth="1" style="51" min="128" max="128"/>
    <col hidden="1" width="8.28515625" customWidth="1" style="51" min="129" max="132"/>
    <col hidden="1" width="16.140625" customWidth="1" style="51" min="133" max="133"/>
    <col hidden="1" width="14.85546875" customWidth="1" style="51" min="134" max="134"/>
    <col hidden="1" width="8.28515625" customWidth="1" style="51" min="135" max="137"/>
    <col hidden="1" width="14.85546875" customWidth="1" style="51" min="138" max="139"/>
    <col hidden="1" width="8.28515625" customWidth="1" style="51" min="140" max="141"/>
    <col hidden="1" width="18" customWidth="1" style="51" min="142" max="142"/>
    <col hidden="1" width="8.28515625" customWidth="1" style="51" min="143" max="145"/>
    <col hidden="1" width="18.28515625" customWidth="1" style="268" min="146" max="146"/>
    <col hidden="1" width="8.28515625" customWidth="1" style="51" min="147" max="148"/>
    <col hidden="1" width="17.42578125" customWidth="1" style="51" min="149" max="150"/>
    <col hidden="1" width="8.28515625" customWidth="1" style="51" min="151" max="152"/>
    <col hidden="1" width="17.42578125" customWidth="1" style="51" min="153" max="154"/>
    <col hidden="1" width="8.28515625" customWidth="1" style="51" min="155" max="155"/>
    <col hidden="1" width="17.42578125" customWidth="1" style="51" min="156" max="156"/>
    <col hidden="1" width="8.28515625" customWidth="1" style="51" min="157" max="157"/>
    <col hidden="1" width="17.42578125" customWidth="1" style="51" min="158" max="159"/>
    <col hidden="1" width="13.140625" customWidth="1" style="268" min="160" max="160"/>
    <col hidden="1" width="17.42578125" customWidth="1" style="51" min="161" max="162"/>
    <col hidden="1" width="8.28515625" customWidth="1" style="51" min="163" max="175"/>
    <col hidden="1" width="12" customWidth="1" style="268" min="176" max="176"/>
    <col hidden="1" width="8.28515625" customWidth="1" style="51" min="177" max="177"/>
    <col hidden="1" width="11.85546875" customWidth="1" style="51" min="178" max="179"/>
    <col hidden="1" width="8.28515625" customWidth="1" style="51" min="180" max="181"/>
    <col hidden="1" width="17.42578125" customWidth="1" style="51" min="182" max="182"/>
    <col hidden="1" width="8.28515625" customWidth="1" style="51" min="183" max="185"/>
    <col hidden="1" width="64.42578125" customWidth="1" style="51" min="186" max="186"/>
    <col hidden="1" width="17.42578125" customWidth="1" style="51" min="187" max="188"/>
    <col hidden="1" width="8.28515625" customWidth="1" style="51" min="189" max="189"/>
    <col hidden="1" width="17.42578125" customWidth="1" style="51" min="190" max="190"/>
    <col hidden="1" width="8.28515625" customWidth="1" style="51" min="191" max="196"/>
    <col width="3.140625" customWidth="1" style="6" min="197" max="197"/>
    <col width="9.140625" customWidth="1" style="6" min="198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5" t="n"/>
      <c r="CE1" s="75" t="n"/>
      <c r="CF1" s="75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  <c r="GE1" s="74" t="n"/>
      <c r="GF1" s="74" t="n"/>
      <c r="GG1" s="74" t="n"/>
      <c r="GH1" s="74" t="n"/>
      <c r="GI1" s="74" t="n"/>
      <c r="GJ1" s="74" t="n"/>
      <c r="GK1" s="74" t="n"/>
      <c r="GL1" s="74" t="n"/>
      <c r="GM1" s="74" t="n"/>
      <c r="GN1" s="74" t="n"/>
    </row>
    <row r="2">
      <c r="A2" s="50" t="inlineStr">
        <is>
          <t>LOJA:</t>
        </is>
      </c>
      <c r="B2" s="639" t="inlineStr">
        <is>
          <t>CD PRAIA</t>
        </is>
      </c>
      <c r="C2" s="640" t="n"/>
      <c r="D2" s="641" t="n"/>
      <c r="CD2" s="49" t="n"/>
      <c r="CE2" s="49" t="n"/>
      <c r="CF2" s="49" t="n"/>
      <c r="CI2" s="49" t="n"/>
      <c r="CJ2" s="49" t="n"/>
      <c r="CK2" s="49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6" t="n"/>
      <c r="DP2" s="49" t="n"/>
      <c r="DQ2" s="49" t="n"/>
      <c r="DR2" s="49" t="n"/>
      <c r="DS2" s="49" t="n"/>
      <c r="DT2" s="49" t="n"/>
      <c r="DU2" s="49" t="n"/>
      <c r="DV2" s="49" t="n"/>
      <c r="DW2" s="49" t="n"/>
      <c r="DX2" s="49" t="n"/>
      <c r="DY2" s="49" t="n"/>
      <c r="DZ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Q2" s="49" t="n"/>
      <c r="ER2" s="49" t="n"/>
      <c r="EU2" s="49" t="n"/>
      <c r="EV2" s="49" t="n"/>
      <c r="EX2" s="49" t="n"/>
      <c r="EY2" s="49" t="n"/>
      <c r="EZ2" s="49" t="n"/>
      <c r="FA2" s="49" t="n"/>
      <c r="FB2" s="49" t="n"/>
      <c r="FC2" s="49" t="n"/>
      <c r="FE2" s="49" t="n"/>
      <c r="FF2" s="49" t="n"/>
      <c r="FG2" s="49" t="n"/>
      <c r="FH2" s="49" t="n"/>
      <c r="FI2" s="49" t="n"/>
      <c r="FJ2" s="49" t="n"/>
      <c r="FK2" s="49" t="n"/>
      <c r="FL2" s="49" t="n"/>
      <c r="FM2" s="49" t="n"/>
      <c r="FN2" s="49" t="n"/>
      <c r="FO2" s="49" t="n"/>
      <c r="FP2" s="49" t="n"/>
      <c r="FQ2" s="49" t="n"/>
      <c r="FR2" s="49" t="n"/>
      <c r="FS2" s="49" t="n"/>
      <c r="FU2" s="49" t="n"/>
      <c r="FV2" s="49" t="n"/>
      <c r="FW2" s="49" t="n"/>
      <c r="FX2" s="49" t="n"/>
      <c r="FY2" s="49" t="n"/>
      <c r="FZ2" s="49" t="n"/>
      <c r="GA2" s="49" t="n"/>
      <c r="GB2" s="49" t="n"/>
      <c r="GC2" s="49" t="n"/>
      <c r="GD2" s="49" t="n"/>
      <c r="GE2" s="49" t="n"/>
      <c r="GF2" s="49" t="n"/>
      <c r="GG2" s="49" t="n"/>
      <c r="GH2" s="49" t="n"/>
      <c r="GI2" s="49" t="n"/>
      <c r="GJ2" s="49" t="n"/>
      <c r="GK2" s="49" t="n"/>
      <c r="GL2" s="49" t="n"/>
      <c r="GM2" s="49" t="n"/>
      <c r="GN2" s="49" t="n"/>
    </row>
    <row r="3">
      <c r="A3" s="50" t="inlineStr">
        <is>
          <t>Responsável:</t>
        </is>
      </c>
      <c r="B3" s="253" t="inlineStr">
        <is>
          <t>VINICIUS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D3" s="49" t="n"/>
      <c r="CE3" s="49" t="n"/>
      <c r="CF3" s="49" t="n"/>
      <c r="CI3" s="49" t="n"/>
      <c r="CJ3" s="49" t="n"/>
      <c r="CK3" s="49" t="n"/>
      <c r="CL3" s="49" t="n"/>
      <c r="CM3" s="49" t="n"/>
      <c r="CN3" s="49" t="n"/>
      <c r="CO3" s="49" t="n"/>
      <c r="CP3" s="49" t="n"/>
      <c r="CQ3" s="49" t="n"/>
      <c r="CR3" s="49" t="n"/>
      <c r="CS3" s="49" t="n"/>
      <c r="CT3" s="49" t="n"/>
      <c r="CU3" s="49" t="n"/>
      <c r="CV3" s="49" t="n"/>
      <c r="CW3" s="49" t="n"/>
      <c r="CX3" s="49" t="n"/>
      <c r="CY3" s="49" t="n"/>
      <c r="CZ3" s="49" t="n"/>
      <c r="DA3" s="49" t="n"/>
      <c r="DB3" s="49" t="n"/>
      <c r="DC3" s="49" t="n"/>
      <c r="DD3" s="49" t="n"/>
      <c r="DE3" s="49" t="n"/>
      <c r="DF3" s="49" t="n"/>
      <c r="DG3" s="49" t="n"/>
      <c r="DH3" s="49" t="n"/>
      <c r="DI3" s="49" t="n"/>
      <c r="DJ3" s="49" t="n"/>
      <c r="DK3" s="49" t="n"/>
      <c r="DL3" s="49" t="n"/>
      <c r="DM3" s="49" t="n"/>
      <c r="DN3" s="49" t="n"/>
      <c r="DO3" s="6" t="n"/>
      <c r="DP3" s="49" t="n"/>
      <c r="DQ3" s="49" t="n"/>
      <c r="DR3" s="49" t="n"/>
      <c r="DS3" s="49" t="n"/>
      <c r="DT3" s="49" t="n"/>
      <c r="DU3" s="49" t="n"/>
      <c r="DV3" s="49" t="n"/>
      <c r="DW3" s="49" t="n"/>
      <c r="DX3" s="49" t="n"/>
      <c r="DY3" s="49" t="n"/>
      <c r="DZ3" s="49" t="n"/>
      <c r="EA3" s="49" t="n"/>
      <c r="EB3" s="49" t="n"/>
      <c r="EC3" s="49" t="n"/>
      <c r="ED3" s="49" t="n"/>
      <c r="EE3" s="49" t="n"/>
      <c r="EF3" s="49" t="n"/>
      <c r="EG3" s="49" t="n"/>
      <c r="EH3" s="49" t="n"/>
      <c r="EI3" s="49" t="n"/>
      <c r="EJ3" s="49" t="n"/>
      <c r="EK3" s="49" t="n"/>
      <c r="EL3" s="49" t="n"/>
      <c r="EM3" s="49" t="n"/>
      <c r="EN3" s="49" t="n"/>
      <c r="EO3" s="49" t="n"/>
      <c r="EQ3" s="49" t="n"/>
      <c r="ER3" s="49" t="n"/>
      <c r="EU3" s="49" t="n"/>
      <c r="EV3" s="49" t="n"/>
      <c r="EX3" s="49" t="n"/>
      <c r="EY3" s="49" t="n"/>
      <c r="EZ3" s="49" t="n"/>
      <c r="FA3" s="49" t="n"/>
      <c r="FB3" s="49" t="n"/>
      <c r="FC3" s="49" t="n"/>
      <c r="FE3" s="49" t="n"/>
      <c r="FF3" s="49" t="n"/>
      <c r="FG3" s="49" t="n"/>
      <c r="FH3" s="49" t="n"/>
      <c r="FI3" s="49" t="n"/>
      <c r="FJ3" s="49" t="n"/>
      <c r="FK3" s="49" t="n"/>
      <c r="FL3" s="49" t="n"/>
      <c r="FM3" s="49" t="n"/>
      <c r="FN3" s="49" t="n"/>
      <c r="FO3" s="49" t="n"/>
      <c r="FP3" s="49" t="n"/>
      <c r="FQ3" s="49" t="n"/>
      <c r="FR3" s="49" t="n"/>
      <c r="FS3" s="49" t="n"/>
      <c r="FU3" s="49" t="n"/>
      <c r="FV3" s="49" t="n"/>
      <c r="FW3" s="49" t="n"/>
      <c r="FX3" s="49" t="n"/>
      <c r="FY3" s="49" t="n"/>
      <c r="FZ3" s="49" t="n"/>
      <c r="GA3" s="49" t="n"/>
      <c r="GB3" s="49" t="n"/>
      <c r="GC3" s="49" t="n"/>
      <c r="GD3" s="49" t="n"/>
      <c r="GE3" s="49" t="n"/>
      <c r="GF3" s="49" t="n"/>
      <c r="GG3" s="49" t="n"/>
      <c r="GH3" s="49" t="n"/>
      <c r="GI3" s="49" t="n"/>
      <c r="GJ3" s="49" t="n"/>
      <c r="GK3" s="49" t="n"/>
      <c r="GL3" s="49" t="n"/>
      <c r="GM3" s="49" t="n"/>
      <c r="GN3" s="49" t="n"/>
    </row>
    <row r="4" ht="39.75" customHeight="1">
      <c r="BQ4" s="412" t="inlineStr">
        <is>
          <t>CDP NOVO</t>
        </is>
      </c>
      <c r="BR4" s="412" t="n"/>
      <c r="BS4" s="412" t="n"/>
      <c r="BT4" s="412" t="n"/>
      <c r="BU4" s="412" t="n"/>
      <c r="BV4" s="412" t="n"/>
      <c r="BW4" s="412" t="n"/>
      <c r="BX4" s="412" t="n"/>
      <c r="BY4" s="412" t="n"/>
      <c r="BZ4" s="412" t="n"/>
      <c r="CA4" s="412" t="n"/>
      <c r="CD4" s="49" t="n"/>
      <c r="CE4" s="49" t="n"/>
      <c r="CF4" s="49" t="n"/>
      <c r="CI4" s="6" t="n"/>
      <c r="CJ4" s="6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269" t="n"/>
      <c r="EQ4" s="6" t="n"/>
      <c r="ER4" s="6" t="n"/>
      <c r="ES4" s="6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269" t="n"/>
      <c r="FE4" s="6" t="n"/>
      <c r="FF4" s="6" t="n"/>
      <c r="FG4" s="6" t="n"/>
      <c r="FH4" s="6" t="n"/>
      <c r="FI4" s="6" t="n"/>
      <c r="FJ4" s="6" t="n"/>
      <c r="FK4" s="6" t="n"/>
      <c r="FL4" s="6" t="n"/>
      <c r="FM4" s="6" t="n"/>
      <c r="FN4" s="6" t="n"/>
      <c r="FO4" s="6" t="n"/>
      <c r="FP4" s="6" t="n"/>
      <c r="FQ4" s="6" t="n"/>
      <c r="FR4" s="6" t="n"/>
      <c r="FS4" s="6" t="n"/>
      <c r="FT4" s="269" t="n"/>
      <c r="FU4" s="6" t="n"/>
      <c r="FV4" s="6" t="n"/>
      <c r="FW4" s="6" t="n"/>
      <c r="FX4" s="6" t="n"/>
      <c r="FY4" s="6" t="n"/>
      <c r="FZ4" s="6" t="n"/>
      <c r="GA4" s="6" t="n"/>
      <c r="GB4" s="6" t="n"/>
      <c r="GC4" s="6" t="n"/>
      <c r="GD4" s="6" t="n"/>
      <c r="GE4" s="6" t="n"/>
      <c r="GF4" s="6" t="n"/>
      <c r="GG4" s="6" t="n"/>
      <c r="GH4" s="6" t="n"/>
      <c r="GI4" s="6" t="n"/>
      <c r="GJ4" s="6" t="n"/>
      <c r="GK4" s="6" t="n"/>
      <c r="GL4" s="6" t="n"/>
      <c r="GM4" s="6" t="n"/>
      <c r="GN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35" t="inlineStr">
        <is>
          <t>Pendências</t>
        </is>
      </c>
      <c r="CE5" s="413" t="inlineStr">
        <is>
          <t>TRANSFERÊNCIA</t>
        </is>
      </c>
      <c r="CF5" s="35" t="inlineStr">
        <is>
          <t>Pendências</t>
        </is>
      </c>
      <c r="CG5" s="12" t="inlineStr">
        <is>
          <t>Novo Pedido</t>
        </is>
      </c>
      <c r="CH5" s="6" t="n"/>
      <c r="CI5" s="654" t="n">
        <v>46149</v>
      </c>
      <c r="CJ5" s="654" t="n">
        <v>46114</v>
      </c>
      <c r="CK5" s="654" t="n">
        <v>46099</v>
      </c>
      <c r="CL5" s="710" t="n">
        <v>46065</v>
      </c>
      <c r="CM5" s="711" t="n">
        <v>46045</v>
      </c>
      <c r="CN5" s="654" t="n">
        <v>46076</v>
      </c>
      <c r="CO5" s="655" t="inlineStr">
        <is>
          <t>TRANSF.</t>
        </is>
      </c>
      <c r="CP5" s="654" t="n">
        <v>46077</v>
      </c>
      <c r="CQ5" s="655" t="inlineStr">
        <is>
          <t>TRANSF.</t>
        </is>
      </c>
      <c r="CR5" s="654" t="n">
        <v>46071</v>
      </c>
      <c r="CS5" s="654" t="n">
        <v>46071</v>
      </c>
      <c r="CT5" s="654" t="n">
        <v>46056</v>
      </c>
      <c r="CU5" s="654" t="n">
        <v>46043</v>
      </c>
      <c r="CV5" s="654" t="n">
        <v>46035</v>
      </c>
      <c r="CW5" s="654" t="n">
        <v>46029</v>
      </c>
      <c r="CX5" s="654" t="n">
        <v>46017</v>
      </c>
      <c r="CY5" s="654" t="n">
        <v>46001</v>
      </c>
      <c r="CZ5" s="654" t="n">
        <v>46007</v>
      </c>
      <c r="DA5" s="654" t="n">
        <v>45994</v>
      </c>
      <c r="DB5" s="654" t="n">
        <v>45986</v>
      </c>
      <c r="DC5" s="654" t="n">
        <v>45986</v>
      </c>
      <c r="DD5" s="654" t="n">
        <v>45980</v>
      </c>
      <c r="DE5" s="654" t="n">
        <v>45980</v>
      </c>
      <c r="DF5" s="654" t="n">
        <v>45973</v>
      </c>
      <c r="DG5" s="654" t="n">
        <v>45965</v>
      </c>
      <c r="DH5" s="654" t="n">
        <v>45960</v>
      </c>
      <c r="DI5" s="655" t="inlineStr">
        <is>
          <t>TRANSF.</t>
        </is>
      </c>
      <c r="DJ5" s="654" t="n">
        <v>45937</v>
      </c>
      <c r="DK5" s="654" t="n">
        <v>45951</v>
      </c>
      <c r="DL5" s="654" t="n">
        <v>45931</v>
      </c>
      <c r="DM5" s="654" t="n">
        <v>45923</v>
      </c>
      <c r="DN5" s="654" t="n">
        <v>45923</v>
      </c>
      <c r="DO5" s="678" t="n">
        <v>45903</v>
      </c>
      <c r="DP5" s="655" t="inlineStr">
        <is>
          <t>TRANSF.</t>
        </is>
      </c>
      <c r="DQ5" s="679" t="inlineStr">
        <is>
          <t>TRANSF.</t>
        </is>
      </c>
      <c r="DR5" s="654" t="n">
        <v>45915</v>
      </c>
      <c r="DS5" s="654" t="n">
        <v>45909</v>
      </c>
      <c r="DT5" s="654" t="n">
        <v>45903</v>
      </c>
      <c r="DU5" s="654" t="n">
        <v>45903</v>
      </c>
      <c r="DV5" s="654" t="n">
        <v>45895</v>
      </c>
      <c r="DW5" s="654" t="n">
        <v>45881</v>
      </c>
      <c r="DX5" s="679" t="inlineStr">
        <is>
          <t>TRANSFERÊNCIA</t>
        </is>
      </c>
      <c r="DY5" s="654" t="n">
        <v>45888</v>
      </c>
      <c r="DZ5" s="679" t="n">
        <v>45839</v>
      </c>
      <c r="EA5" s="654" t="n">
        <v>45874</v>
      </c>
      <c r="EB5" s="654" t="n">
        <v>45867</v>
      </c>
      <c r="EC5" s="655" t="inlineStr">
        <is>
          <t>TRANSF.</t>
        </is>
      </c>
      <c r="ED5" s="655" t="inlineStr">
        <is>
          <t>TRANSF.</t>
        </is>
      </c>
      <c r="EE5" s="654" t="n">
        <v>45874</v>
      </c>
      <c r="EF5" s="654" t="n">
        <v>45867</v>
      </c>
      <c r="EG5" s="654" t="n">
        <v>45860</v>
      </c>
      <c r="EH5" s="655" t="inlineStr">
        <is>
          <t>TRANSF.</t>
        </is>
      </c>
      <c r="EI5" s="655" t="inlineStr">
        <is>
          <t>TRANSF.</t>
        </is>
      </c>
      <c r="EJ5" s="654" t="n">
        <v>45860</v>
      </c>
      <c r="EK5" s="654" t="n">
        <v>45853</v>
      </c>
      <c r="EL5" s="681" t="inlineStr">
        <is>
          <t>TRANSF.</t>
        </is>
      </c>
      <c r="EM5" s="654" t="n">
        <v>45848</v>
      </c>
      <c r="EN5" s="654" t="n">
        <v>45839</v>
      </c>
      <c r="EO5" s="654" t="n">
        <v>45832</v>
      </c>
      <c r="EP5" s="650" t="inlineStr">
        <is>
          <t>TRANSF.</t>
        </is>
      </c>
      <c r="EQ5" s="654" t="n">
        <v>45832</v>
      </c>
      <c r="ER5" s="654" t="n">
        <v>45825</v>
      </c>
      <c r="ES5" s="655" t="inlineStr">
        <is>
          <t>TRANSF.</t>
        </is>
      </c>
      <c r="ET5" s="655" t="inlineStr">
        <is>
          <t>TRANSF.</t>
        </is>
      </c>
      <c r="EU5" s="654" t="n">
        <v>45819</v>
      </c>
      <c r="EV5" s="654" t="n">
        <v>45813</v>
      </c>
      <c r="EW5" s="655" t="inlineStr">
        <is>
          <t>TRANSF.</t>
        </is>
      </c>
      <c r="EX5" s="655" t="inlineStr">
        <is>
          <t>TRANSF.</t>
        </is>
      </c>
      <c r="EY5" s="654" t="n">
        <v>45805</v>
      </c>
      <c r="EZ5" s="655" t="inlineStr">
        <is>
          <t>TRANSF.</t>
        </is>
      </c>
      <c r="FA5" s="654" t="n">
        <v>45790</v>
      </c>
      <c r="FB5" s="655" t="inlineStr">
        <is>
          <t>TRANSF.</t>
        </is>
      </c>
      <c r="FC5" s="683" t="inlineStr">
        <is>
          <t>TRANSF.</t>
        </is>
      </c>
      <c r="FD5" s="650" t="inlineStr">
        <is>
          <t>TRANSF.</t>
        </is>
      </c>
      <c r="FE5" s="655" t="inlineStr">
        <is>
          <t>TRANSF.</t>
        </is>
      </c>
      <c r="FF5" s="655" t="inlineStr">
        <is>
          <t>TRANSF.</t>
        </is>
      </c>
      <c r="FG5" s="654" t="n">
        <v>45790</v>
      </c>
      <c r="FH5" s="654" t="n">
        <v>45783</v>
      </c>
      <c r="FI5" s="654" t="n">
        <v>45775</v>
      </c>
      <c r="FJ5" s="654" t="n">
        <v>45756</v>
      </c>
      <c r="FK5" s="654" t="n">
        <v>45770</v>
      </c>
      <c r="FL5" s="654" t="n">
        <v>45756</v>
      </c>
      <c r="FM5" s="654" t="n">
        <v>45749</v>
      </c>
      <c r="FN5" s="654" t="n">
        <v>45736</v>
      </c>
      <c r="FO5" s="654" t="n">
        <v>45743</v>
      </c>
      <c r="FP5" s="654" t="n">
        <v>45735</v>
      </c>
      <c r="FQ5" s="654" t="n">
        <v>45728</v>
      </c>
      <c r="FR5" s="654" t="n">
        <v>45722</v>
      </c>
      <c r="FS5" s="654" t="n">
        <v>45714</v>
      </c>
      <c r="FT5" s="650" t="n">
        <v>45700</v>
      </c>
      <c r="FU5" s="654" t="n">
        <v>45706</v>
      </c>
      <c r="FV5" s="654" t="n">
        <v>45700</v>
      </c>
      <c r="FW5" s="654" t="n">
        <v>45684</v>
      </c>
      <c r="FX5" s="654" t="n">
        <v>45699</v>
      </c>
      <c r="FY5" s="654" t="n">
        <v>45699</v>
      </c>
      <c r="FZ5" s="655" t="inlineStr">
        <is>
          <t>TRANSF.</t>
        </is>
      </c>
      <c r="GA5" s="654" t="n">
        <v>45693</v>
      </c>
      <c r="GB5" s="654" t="n">
        <v>45693</v>
      </c>
      <c r="GC5" s="654" t="n">
        <v>45685</v>
      </c>
      <c r="GD5" s="216" t="inlineStr">
        <is>
          <t>TRANSF. DISNEY/24</t>
        </is>
      </c>
      <c r="GE5" s="655" t="inlineStr">
        <is>
          <t>TRANSF.</t>
        </is>
      </c>
      <c r="GF5" s="655" t="inlineStr">
        <is>
          <t>TRANSF.</t>
        </is>
      </c>
      <c r="GG5" s="654" t="n">
        <v>45674</v>
      </c>
      <c r="GH5" s="655" t="inlineStr">
        <is>
          <t>TRANSF.</t>
        </is>
      </c>
      <c r="GI5" s="654" t="n">
        <v>45664</v>
      </c>
      <c r="GJ5" s="654" t="n">
        <v>46008</v>
      </c>
      <c r="GK5" s="654" t="n">
        <v>45660</v>
      </c>
      <c r="GL5" s="654" t="n">
        <v>45652</v>
      </c>
      <c r="GM5" s="654" t="n">
        <v>45638</v>
      </c>
      <c r="GN5" s="654" t="n">
        <v>45643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6" t="n"/>
      <c r="CD6" s="234" t="inlineStr">
        <is>
          <t>TRANSF.</t>
        </is>
      </c>
      <c r="CE6" s="414" t="inlineStr">
        <is>
          <t>SUGESTÃO</t>
        </is>
      </c>
      <c r="CF6" s="214" t="n">
        <v>46149</v>
      </c>
      <c r="CG6" s="656" t="n">
        <v>46156</v>
      </c>
      <c r="CH6" s="6" t="n"/>
      <c r="CI6" s="654" t="n">
        <v>46154</v>
      </c>
      <c r="CJ6" s="654" t="n">
        <v>46122</v>
      </c>
      <c r="CK6" s="654" t="n">
        <v>46106</v>
      </c>
      <c r="CL6" s="710" t="n">
        <v>46106</v>
      </c>
      <c r="CM6" s="711" t="n">
        <v>46090</v>
      </c>
      <c r="CN6" s="654" t="n">
        <v>46087</v>
      </c>
      <c r="CO6" s="655" t="n">
        <v>46084</v>
      </c>
      <c r="CP6" s="654" t="n">
        <v>46083</v>
      </c>
      <c r="CQ6" s="655" t="n">
        <v>46077</v>
      </c>
      <c r="CR6" s="654" t="n">
        <v>46076</v>
      </c>
      <c r="CS6" s="654" t="n">
        <v>46073</v>
      </c>
      <c r="CT6" s="654" t="n">
        <v>46062</v>
      </c>
      <c r="CU6" s="654" t="n">
        <v>46052</v>
      </c>
      <c r="CV6" s="654" t="n">
        <v>46041</v>
      </c>
      <c r="CW6" s="654" t="n">
        <v>46036</v>
      </c>
      <c r="CX6" s="654" t="n">
        <v>46030</v>
      </c>
      <c r="CY6" s="654" t="n">
        <v>46030</v>
      </c>
      <c r="CZ6" s="654" t="n">
        <v>46013</v>
      </c>
      <c r="DA6" s="654" t="n">
        <v>46002</v>
      </c>
      <c r="DB6" s="654" t="n">
        <v>45999</v>
      </c>
      <c r="DC6" s="654" t="n">
        <v>45993</v>
      </c>
      <c r="DD6" s="654" t="n">
        <v>45993</v>
      </c>
      <c r="DE6" s="654" t="n">
        <v>45988</v>
      </c>
      <c r="DF6" s="654" t="n">
        <v>45979</v>
      </c>
      <c r="DG6" s="654" t="n">
        <v>45974</v>
      </c>
      <c r="DH6" s="654" t="n">
        <v>45968</v>
      </c>
      <c r="DI6" s="655" t="n">
        <v>45967</v>
      </c>
      <c r="DJ6" s="654" t="n">
        <v>45961</v>
      </c>
      <c r="DK6" s="654" t="n">
        <v>45958</v>
      </c>
      <c r="DL6" s="654" t="n">
        <v>45940</v>
      </c>
      <c r="DM6" s="654" t="n">
        <v>45937</v>
      </c>
      <c r="DN6" s="654" t="n">
        <v>45937</v>
      </c>
      <c r="DO6" s="687" t="n">
        <v>45932</v>
      </c>
      <c r="DP6" s="655" t="n">
        <v>45931</v>
      </c>
      <c r="DQ6" s="688" t="n">
        <v>45931</v>
      </c>
      <c r="DR6" s="654" t="n">
        <v>45925</v>
      </c>
      <c r="DS6" s="654" t="n">
        <v>45915</v>
      </c>
      <c r="DT6" s="654" t="n">
        <v>45910</v>
      </c>
      <c r="DU6" s="654" t="n">
        <v>45906</v>
      </c>
      <c r="DV6" s="654" t="n">
        <v>45901</v>
      </c>
      <c r="DW6" s="654" t="n">
        <v>45897</v>
      </c>
      <c r="DX6" s="679" t="n">
        <v>45896</v>
      </c>
      <c r="DY6" s="654" t="n">
        <v>45894</v>
      </c>
      <c r="DZ6" s="679" t="n">
        <v>45894</v>
      </c>
      <c r="EA6" s="654" t="n">
        <v>45891</v>
      </c>
      <c r="EB6" s="654" t="n">
        <v>45888</v>
      </c>
      <c r="EC6" s="655" t="n">
        <v>45882</v>
      </c>
      <c r="ED6" s="655" t="n">
        <v>45881</v>
      </c>
      <c r="EE6" s="654" t="n">
        <v>45881</v>
      </c>
      <c r="EF6" s="654" t="n">
        <v>45873</v>
      </c>
      <c r="EG6" s="654" t="n">
        <v>45868</v>
      </c>
      <c r="EH6" s="655" t="n">
        <v>45863</v>
      </c>
      <c r="EI6" s="655" t="n">
        <v>45860</v>
      </c>
      <c r="EJ6" s="654" t="n">
        <v>45863</v>
      </c>
      <c r="EK6" s="654" t="n">
        <v>45861</v>
      </c>
      <c r="EL6" s="681" t="n">
        <v>45855</v>
      </c>
      <c r="EM6" s="654" t="n">
        <v>45853</v>
      </c>
      <c r="EN6" s="654" t="n">
        <v>45845</v>
      </c>
      <c r="EO6" s="654" t="n">
        <v>45845</v>
      </c>
      <c r="EP6" s="650" t="n">
        <v>45842</v>
      </c>
      <c r="EQ6" s="654" t="n">
        <v>45836</v>
      </c>
      <c r="ER6" s="654" t="n">
        <v>45832</v>
      </c>
      <c r="ES6" s="655" t="n">
        <v>45826</v>
      </c>
      <c r="ET6" s="655" t="n">
        <v>45825</v>
      </c>
      <c r="EU6" s="654" t="n">
        <v>45824</v>
      </c>
      <c r="EV6" s="654" t="n">
        <v>45824</v>
      </c>
      <c r="EW6" s="655" t="n">
        <v>45820</v>
      </c>
      <c r="EX6" s="655" t="n">
        <v>45818</v>
      </c>
      <c r="EY6" s="654" t="n">
        <v>45810</v>
      </c>
      <c r="EZ6" s="655" t="n">
        <v>45807</v>
      </c>
      <c r="FA6" s="654" t="n">
        <v>45803</v>
      </c>
      <c r="FB6" s="655" t="n">
        <v>45799</v>
      </c>
      <c r="FC6" s="690" t="n">
        <v>45799</v>
      </c>
      <c r="FD6" s="650" t="n">
        <v>45798</v>
      </c>
      <c r="FE6" s="655" t="n">
        <v>45798</v>
      </c>
      <c r="FF6" s="655" t="n">
        <v>45797</v>
      </c>
      <c r="FG6" s="654" t="n">
        <v>45792</v>
      </c>
      <c r="FH6" s="654" t="n">
        <v>45785</v>
      </c>
      <c r="FI6" s="654" t="n">
        <v>45783</v>
      </c>
      <c r="FJ6" s="654" t="n">
        <v>45777</v>
      </c>
      <c r="FK6" s="654" t="n">
        <v>45776</v>
      </c>
      <c r="FL6" s="654" t="n">
        <v>45772</v>
      </c>
      <c r="FM6" s="654" t="n">
        <v>45756</v>
      </c>
      <c r="FN6" s="654" t="n">
        <v>45757</v>
      </c>
      <c r="FO6" s="654" t="n">
        <v>45750</v>
      </c>
      <c r="FP6" s="654" t="n">
        <v>45744</v>
      </c>
      <c r="FQ6" s="654" t="n">
        <v>45733</v>
      </c>
      <c r="FR6" s="654" t="n">
        <v>45727</v>
      </c>
      <c r="FS6" s="654" t="n">
        <v>45721</v>
      </c>
      <c r="FT6" s="650" t="n">
        <v>45715</v>
      </c>
      <c r="FU6" s="654" t="n">
        <v>45716</v>
      </c>
      <c r="FV6" s="654" t="n">
        <v>45714</v>
      </c>
      <c r="FW6" s="654" t="n">
        <v>45713</v>
      </c>
      <c r="FX6" s="654" t="n">
        <v>45709</v>
      </c>
      <c r="FY6" s="654" t="n">
        <v>45708</v>
      </c>
      <c r="FZ6" s="655" t="n">
        <v>45706</v>
      </c>
      <c r="GA6" s="654" t="n">
        <v>45701</v>
      </c>
      <c r="GB6" s="654" t="n">
        <v>45699</v>
      </c>
      <c r="GC6" s="654" t="n">
        <v>45692</v>
      </c>
      <c r="GD6" s="712" t="n">
        <v>45692</v>
      </c>
      <c r="GE6" s="655" t="n">
        <v>45691</v>
      </c>
      <c r="GF6" s="655" t="n">
        <v>45681</v>
      </c>
      <c r="GG6" s="654" t="n">
        <v>45678</v>
      </c>
      <c r="GH6" s="655" t="n">
        <v>45672</v>
      </c>
      <c r="GI6" s="654" t="n">
        <v>45667</v>
      </c>
      <c r="GJ6" s="654" t="n">
        <v>45667</v>
      </c>
      <c r="GK6" s="654" t="n">
        <v>45665</v>
      </c>
      <c r="GL6" s="654" t="n">
        <v>45660</v>
      </c>
      <c r="GM6" s="654" t="n">
        <v>45660</v>
      </c>
      <c r="GN6" s="654" t="n">
        <v>45660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20" t="inlineStr">
        <is>
          <t>VDP P/ LOJAS</t>
        </is>
      </c>
      <c r="CE7" s="20" t="n"/>
      <c r="CF7" s="89" t="n"/>
      <c r="CG7" s="22" t="n"/>
      <c r="CH7" s="6" t="n"/>
      <c r="CI7" s="575" t="n"/>
      <c r="CJ7" s="575" t="n"/>
      <c r="CK7" s="575" t="n"/>
      <c r="CL7" s="270" t="inlineStr">
        <is>
          <t>MÃES</t>
        </is>
      </c>
      <c r="CM7" s="270" t="inlineStr">
        <is>
          <t>MÃES</t>
        </is>
      </c>
      <c r="CN7" s="575" t="n"/>
      <c r="CO7" s="575" t="n"/>
      <c r="CP7" s="575" t="n"/>
      <c r="CQ7" s="575" t="n"/>
      <c r="CR7" s="575" t="n"/>
      <c r="CS7" s="575" t="n"/>
      <c r="CT7" s="575" t="n"/>
      <c r="CU7" s="575" t="n"/>
      <c r="CV7" s="575" t="n"/>
      <c r="CW7" s="575" t="n"/>
      <c r="CX7" s="575" t="n"/>
      <c r="CY7" s="575" t="n"/>
      <c r="CZ7" s="575" t="n"/>
      <c r="DA7" s="575" t="n"/>
      <c r="DB7" s="575" t="n"/>
      <c r="DC7" s="575" t="n"/>
      <c r="DD7" s="575" t="n"/>
      <c r="DE7" s="575" t="n"/>
      <c r="DF7" s="575" t="n"/>
      <c r="DG7" s="575" t="n"/>
      <c r="DH7" s="575" t="n"/>
      <c r="DI7" s="575" t="n"/>
      <c r="DJ7" s="575" t="n"/>
      <c r="DK7" s="575" t="n"/>
      <c r="DL7" s="575" t="n"/>
      <c r="DM7" s="575" t="inlineStr">
        <is>
          <t>CAIXAS</t>
        </is>
      </c>
      <c r="DN7" s="575" t="n"/>
      <c r="DO7" s="394" t="n"/>
      <c r="DP7" s="575" t="n"/>
      <c r="DQ7" s="575" t="n"/>
      <c r="DR7" s="575" t="n"/>
      <c r="DS7" s="575" t="n"/>
      <c r="DT7" s="575" t="n"/>
      <c r="DU7" s="575" t="n"/>
      <c r="DV7" s="575" t="n"/>
      <c r="DW7" s="575" t="n"/>
      <c r="DX7" s="270" t="inlineStr">
        <is>
          <t>HARRY POTTER</t>
        </is>
      </c>
      <c r="DY7" s="575" t="n"/>
      <c r="DZ7" s="270" t="inlineStr">
        <is>
          <t>HP</t>
        </is>
      </c>
      <c r="EA7" s="575" t="inlineStr">
        <is>
          <t>caixas</t>
        </is>
      </c>
      <c r="EB7" s="575" t="n"/>
      <c r="EC7" s="575" t="n"/>
      <c r="ED7" s="575" t="n"/>
      <c r="EE7" s="575" t="n"/>
      <c r="EF7" s="575" t="n"/>
      <c r="EG7" s="575" t="n"/>
      <c r="EH7" s="575" t="n"/>
      <c r="EI7" s="575" t="n"/>
      <c r="EJ7" s="575" t="n"/>
      <c r="EK7" s="575" t="n"/>
      <c r="EL7" s="575" t="inlineStr">
        <is>
          <t>PAIS/25</t>
        </is>
      </c>
      <c r="EM7" s="575" t="n"/>
      <c r="EN7" s="575" t="n"/>
      <c r="EO7" s="575" t="n"/>
      <c r="EP7" s="76" t="inlineStr">
        <is>
          <t>MÃES/25</t>
        </is>
      </c>
      <c r="EQ7" s="575" t="n"/>
      <c r="ER7" s="575" t="n"/>
      <c r="ES7" s="575" t="n"/>
      <c r="ET7" s="575" t="n"/>
      <c r="EU7" s="575" t="n"/>
      <c r="EV7" s="575" t="n"/>
      <c r="EW7" s="575" t="n"/>
      <c r="EX7" s="575" t="n"/>
      <c r="EY7" s="575" t="n"/>
      <c r="EZ7" s="575" t="n"/>
      <c r="FA7" s="575" t="n"/>
      <c r="FB7" s="575" t="n"/>
      <c r="FC7" s="575" t="inlineStr">
        <is>
          <t>NAMO/25</t>
        </is>
      </c>
      <c r="FD7" s="76" t="inlineStr">
        <is>
          <t>MÃES/25</t>
        </is>
      </c>
      <c r="FE7" s="575" t="n"/>
      <c r="FF7" s="575" t="n"/>
      <c r="FG7" s="575" t="n"/>
      <c r="FH7" s="575" t="n"/>
      <c r="FI7" s="575" t="n"/>
      <c r="FJ7" s="575" t="n"/>
      <c r="FK7" s="575" t="n"/>
      <c r="FL7" s="575" t="n"/>
      <c r="FM7" s="575" t="n"/>
      <c r="FN7" s="575" t="n"/>
      <c r="FO7" s="575" t="n"/>
      <c r="FP7" s="575" t="n"/>
      <c r="FQ7" s="575" t="n"/>
      <c r="FR7" s="575" t="n"/>
      <c r="FS7" s="575" t="n"/>
      <c r="FT7" s="270" t="inlineStr">
        <is>
          <t>MÃES/25</t>
        </is>
      </c>
      <c r="FU7" s="575" t="n"/>
      <c r="FV7" s="575" t="inlineStr">
        <is>
          <t>LUAPACK</t>
        </is>
      </c>
      <c r="FW7" s="575" t="inlineStr">
        <is>
          <t>LUAPACK</t>
        </is>
      </c>
      <c r="FX7" s="575" t="n"/>
      <c r="FY7" s="575" t="n"/>
      <c r="FZ7" s="575" t="n"/>
      <c r="GA7" s="575" t="n"/>
      <c r="GB7" s="575" t="n"/>
      <c r="GC7" s="575" t="n"/>
      <c r="GD7" s="575" t="n"/>
      <c r="GE7" s="575" t="n"/>
      <c r="GF7" s="575" t="n"/>
      <c r="GG7" s="575" t="n"/>
      <c r="GH7" s="575" t="n"/>
      <c r="GI7" s="575" t="n"/>
      <c r="GJ7" s="575" t="n"/>
      <c r="GK7" s="575" t="n"/>
      <c r="GL7" s="575" t="n"/>
      <c r="GM7" s="575" t="n"/>
      <c r="GN7" s="575" t="inlineStr">
        <is>
          <t>OUI</t>
        </is>
      </c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1200</v>
      </c>
      <c r="E8" s="6" t="n"/>
      <c r="F8" s="187" t="n">
        <v>2700</v>
      </c>
      <c r="G8" s="187">
        <f>2600+GK8</f>
        <v/>
      </c>
      <c r="H8" s="187" t="n">
        <v>5700</v>
      </c>
      <c r="I8" s="187">
        <f>5700-900</f>
        <v/>
      </c>
      <c r="J8" s="187" t="n">
        <v>3000</v>
      </c>
      <c r="K8" s="187">
        <f>2400+GC8</f>
        <v/>
      </c>
      <c r="L8" s="187" t="n">
        <v>3129</v>
      </c>
      <c r="M8" s="187" t="n">
        <v>1800</v>
      </c>
      <c r="N8" s="187" t="n">
        <v>3000</v>
      </c>
      <c r="O8" s="187">
        <f>2700+FU8</f>
        <v/>
      </c>
      <c r="P8" s="187" t="n">
        <v>3600</v>
      </c>
      <c r="Q8" s="187">
        <f>3600+FQ8</f>
        <v/>
      </c>
      <c r="R8" s="187">
        <f>3600+FP8</f>
        <v/>
      </c>
      <c r="S8" s="187" t="n">
        <v>6600</v>
      </c>
      <c r="T8" s="187" t="n">
        <v>6300</v>
      </c>
      <c r="U8" s="187" t="n">
        <v>6300</v>
      </c>
      <c r="V8" s="187" t="n">
        <v>6000</v>
      </c>
      <c r="W8" s="187" t="n">
        <v>6000</v>
      </c>
      <c r="X8" s="187" t="n">
        <v>6000</v>
      </c>
      <c r="Y8" s="187">
        <f>5400-1500</f>
        <v/>
      </c>
      <c r="Z8" s="187" t="n">
        <v>3600</v>
      </c>
      <c r="AA8" s="187">
        <f>3600-600</f>
        <v/>
      </c>
      <c r="AB8" s="187" t="n">
        <v>2100</v>
      </c>
      <c r="AC8" s="187">
        <f>900+600+300</f>
        <v/>
      </c>
      <c r="AD8" s="187" t="n">
        <v>1200</v>
      </c>
      <c r="AE8" s="187" t="n">
        <v>600</v>
      </c>
      <c r="AF8" s="187">
        <f>0+EQ8</f>
        <v/>
      </c>
      <c r="AG8" s="187">
        <f>900+EN8</f>
        <v/>
      </c>
      <c r="AH8" s="187" t="n">
        <v>900</v>
      </c>
      <c r="AI8" s="187">
        <f>900+EK8</f>
        <v/>
      </c>
      <c r="AJ8" s="187" t="n">
        <v>1500</v>
      </c>
      <c r="AK8" s="187" t="n">
        <v>1500</v>
      </c>
      <c r="AL8" s="187" t="n">
        <v>1500</v>
      </c>
      <c r="AM8" s="187" t="n">
        <v>1500</v>
      </c>
      <c r="AN8" s="187" t="n">
        <v>1200</v>
      </c>
      <c r="AO8" s="187">
        <f>1200+DV8</f>
        <v/>
      </c>
      <c r="AP8" s="187" t="n">
        <v>1200</v>
      </c>
      <c r="AQ8" s="187" t="n">
        <v>900</v>
      </c>
      <c r="AR8" s="187" t="n">
        <v>900</v>
      </c>
      <c r="AS8" s="187" t="n">
        <v>900</v>
      </c>
      <c r="AT8" s="187" t="n">
        <v>900</v>
      </c>
      <c r="AU8" s="187" t="n">
        <v>900</v>
      </c>
      <c r="AV8" s="187" t="n">
        <v>600</v>
      </c>
      <c r="AW8" s="187" t="n">
        <v>600</v>
      </c>
      <c r="AX8" s="187">
        <f>600-300</f>
        <v/>
      </c>
      <c r="AY8" s="187" t="n">
        <v>0</v>
      </c>
      <c r="AZ8" s="187">
        <f>0+DF8</f>
        <v/>
      </c>
      <c r="BA8" s="187" t="n">
        <v>1200</v>
      </c>
      <c r="BB8" s="187" t="n">
        <v>900</v>
      </c>
      <c r="BC8" s="187">
        <f>600+DA8</f>
        <v/>
      </c>
      <c r="BD8" s="187" t="n">
        <v>900</v>
      </c>
      <c r="BE8" s="187">
        <f>0+CZ8</f>
        <v/>
      </c>
      <c r="BF8" s="187" t="n">
        <v>600</v>
      </c>
      <c r="BG8" s="187" t="n">
        <v>300</v>
      </c>
      <c r="BH8" s="187" t="n">
        <v>2100</v>
      </c>
      <c r="BI8" s="187" t="n">
        <v>2100</v>
      </c>
      <c r="BJ8" s="187" t="n">
        <v>1800</v>
      </c>
      <c r="BK8" s="187" t="n">
        <v>1800</v>
      </c>
      <c r="BL8" s="187" t="n">
        <v>1800</v>
      </c>
      <c r="BM8" s="187" t="n">
        <v>0</v>
      </c>
      <c r="BN8" s="187">
        <f>1200+CS8</f>
        <v/>
      </c>
      <c r="BO8" s="187">
        <f>2400-1200</f>
        <v/>
      </c>
      <c r="BP8" s="187" t="n">
        <v>1200</v>
      </c>
      <c r="BQ8" s="187" t="n">
        <v>900</v>
      </c>
      <c r="BR8" s="187">
        <f>900+CK8</f>
        <v/>
      </c>
      <c r="BS8" s="187" t="n">
        <v>900</v>
      </c>
      <c r="BT8" s="187" t="n">
        <v>1200</v>
      </c>
      <c r="BU8" s="187" t="n">
        <v>1200</v>
      </c>
      <c r="BV8" s="187" t="n">
        <v>1500</v>
      </c>
      <c r="BW8" s="187" t="n">
        <v>1500</v>
      </c>
      <c r="BX8" s="187" t="n">
        <v>900</v>
      </c>
      <c r="BY8" s="187">
        <f>600+CI8</f>
        <v/>
      </c>
      <c r="BZ8" s="187" t="n"/>
      <c r="CA8" s="187" t="n"/>
      <c r="CB8" s="188">
        <f>BZ8+IF(NOT(ISBLANK(OFFSET(CB8,0,6))),N(OFFSET(CB8,0,6)),N(OFFSET(CB8,0,7)))-CA8</f>
        <v/>
      </c>
      <c r="CC8" s="6" t="n"/>
      <c r="CD8" s="19" t="n"/>
      <c r="CE8" s="346" t="n"/>
      <c r="CF8" s="346" t="n"/>
      <c r="CG8" s="27" t="n"/>
      <c r="CI8" s="179" t="n">
        <v>1200</v>
      </c>
      <c r="CJ8" s="179" t="n">
        <v>600</v>
      </c>
      <c r="CK8" s="179" t="n">
        <v>300</v>
      </c>
      <c r="CL8" s="179" t="n"/>
      <c r="CM8" s="179" t="n"/>
      <c r="CN8" s="179" t="n"/>
      <c r="CO8" s="402" t="inlineStr">
        <is>
          <t>1200 P/ ER PG</t>
        </is>
      </c>
      <c r="CP8" s="179" t="n"/>
      <c r="CQ8" s="260" t="n"/>
      <c r="CR8" s="179" t="n"/>
      <c r="CS8" s="179" t="n">
        <v>1200</v>
      </c>
      <c r="CT8" s="179" t="n"/>
      <c r="CU8" s="179" t="n"/>
      <c r="CV8" s="179" t="n"/>
      <c r="CW8" s="179" t="n"/>
      <c r="CX8" s="179" t="n">
        <v>900</v>
      </c>
      <c r="CY8" s="179" t="n">
        <v>900</v>
      </c>
      <c r="CZ8" s="179" t="n">
        <v>900</v>
      </c>
      <c r="DA8" s="179" t="n">
        <v>600</v>
      </c>
      <c r="DB8" s="179" t="n"/>
      <c r="DC8" s="179" t="n"/>
      <c r="DD8" s="179" t="n"/>
      <c r="DE8" s="179" t="n"/>
      <c r="DF8" s="179" t="n">
        <v>1200</v>
      </c>
      <c r="DG8" s="179" t="n"/>
      <c r="DH8" s="179" t="n">
        <v>300</v>
      </c>
      <c r="DI8" s="402" t="inlineStr">
        <is>
          <t>300 P/ ER MG</t>
        </is>
      </c>
      <c r="DJ8" s="179" t="n"/>
      <c r="DK8" s="179" t="n">
        <v>600</v>
      </c>
      <c r="DL8" s="179" t="n"/>
      <c r="DM8" s="179" t="n"/>
      <c r="DN8" s="179" t="n"/>
      <c r="DO8" s="356" t="n"/>
      <c r="DP8" s="260" t="n"/>
      <c r="DQ8" s="260" t="n"/>
      <c r="DR8" s="179" t="n"/>
      <c r="DS8" s="179" t="n"/>
      <c r="DT8" s="179" t="n"/>
      <c r="DU8" s="179" t="n"/>
      <c r="DV8" s="179" t="n">
        <v>600</v>
      </c>
      <c r="DW8" s="179" t="n"/>
      <c r="DX8" s="356" t="n"/>
      <c r="DY8" s="179" t="n"/>
      <c r="DZ8" s="356" t="n"/>
      <c r="EA8" s="179" t="n"/>
      <c r="EB8" s="179" t="n"/>
      <c r="EC8" s="179" t="n"/>
      <c r="ED8" s="179" t="n"/>
      <c r="EE8" s="179" t="n"/>
      <c r="EF8" s="179" t="n"/>
      <c r="EG8" s="179" t="n"/>
      <c r="EH8" s="179" t="n"/>
      <c r="EI8" s="179" t="n"/>
      <c r="EJ8" s="179" t="n"/>
      <c r="EK8" s="179" t="n">
        <v>600</v>
      </c>
      <c r="EL8" s="179" t="n"/>
      <c r="EM8" s="179" t="n"/>
      <c r="EN8" s="179" t="n">
        <v>600</v>
      </c>
      <c r="EO8" s="179" t="n"/>
      <c r="EP8" s="256" t="n"/>
      <c r="EQ8" s="179" t="n">
        <v>1200</v>
      </c>
      <c r="ER8" s="179" t="n"/>
      <c r="ES8" s="260" t="n"/>
      <c r="ET8" s="260" t="n"/>
      <c r="EU8" s="179" t="n"/>
      <c r="EV8" s="179" t="n"/>
      <c r="EW8" s="239" t="inlineStr">
        <is>
          <t>300 DE BOQ</t>
        </is>
      </c>
      <c r="EX8" s="239" t="inlineStr">
        <is>
          <t>600 DE PL</t>
        </is>
      </c>
      <c r="EY8" s="179" t="n"/>
      <c r="EZ8" s="239" t="inlineStr">
        <is>
          <t>600 P/ ER PBE</t>
        </is>
      </c>
      <c r="FA8" s="179" t="n"/>
      <c r="FB8" s="260" t="n"/>
      <c r="FC8" s="260" t="n"/>
      <c r="FD8" s="256" t="n"/>
      <c r="FE8" s="260" t="n"/>
      <c r="FF8" s="239" t="inlineStr">
        <is>
          <t>1500 P/ ER</t>
        </is>
      </c>
      <c r="FG8" s="179" t="n"/>
      <c r="FH8" s="179" t="n"/>
      <c r="FI8" s="179" t="n"/>
      <c r="FJ8" s="179" t="n"/>
      <c r="FK8" s="179" t="n"/>
      <c r="FL8" s="179" t="n"/>
      <c r="FM8" s="179" t="n"/>
      <c r="FN8" s="179" t="n"/>
      <c r="FO8" s="179" t="n"/>
      <c r="FP8" s="179" t="n">
        <v>3000</v>
      </c>
      <c r="FQ8" s="179" t="n">
        <v>1500</v>
      </c>
      <c r="FR8" s="179" t="n"/>
      <c r="FS8" s="179" t="n"/>
      <c r="FT8" s="256" t="n"/>
      <c r="FU8" s="179" t="n">
        <v>2100</v>
      </c>
      <c r="FV8" s="179" t="n"/>
      <c r="FW8" s="179" t="n"/>
      <c r="FX8" s="179" t="n"/>
      <c r="FY8" s="179" t="n">
        <v>1500</v>
      </c>
      <c r="FZ8" s="260" t="n"/>
      <c r="GA8" s="179" t="n"/>
      <c r="GB8" s="179" t="n"/>
      <c r="GC8" s="179" t="n">
        <v>2100</v>
      </c>
      <c r="GD8" s="260" t="n"/>
      <c r="GE8" s="260" t="n"/>
      <c r="GF8" s="239" t="inlineStr">
        <is>
          <t>900 P/ ER</t>
        </is>
      </c>
      <c r="GG8" s="179" t="n"/>
      <c r="GH8" s="179" t="n"/>
      <c r="GI8" s="179" t="n"/>
      <c r="GJ8" s="179" t="n"/>
      <c r="GK8" s="179" t="n">
        <v>3600</v>
      </c>
      <c r="GL8" s="179" t="n"/>
      <c r="GM8" s="179" t="n"/>
      <c r="GN8" s="179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3600</v>
      </c>
      <c r="E9" s="6" t="n"/>
      <c r="F9" s="187" t="n">
        <v>2600</v>
      </c>
      <c r="G9" s="187">
        <f>4400+GK9+GI9</f>
        <v/>
      </c>
      <c r="H9" s="187" t="n">
        <v>8800</v>
      </c>
      <c r="I9" s="187">
        <f>8800-2000</f>
        <v/>
      </c>
      <c r="J9" s="187">
        <f>6200-2200</f>
        <v/>
      </c>
      <c r="K9" s="187" t="n">
        <v>3400</v>
      </c>
      <c r="L9" s="187" t="n">
        <v>2600</v>
      </c>
      <c r="M9" s="187" t="n">
        <v>2600</v>
      </c>
      <c r="N9" s="187" t="n">
        <v>1800</v>
      </c>
      <c r="O9" s="187">
        <f>800+FU9+FS9</f>
        <v/>
      </c>
      <c r="P9" s="187">
        <f>1400+FR9</f>
        <v/>
      </c>
      <c r="Q9" s="187" t="n">
        <v>3400</v>
      </c>
      <c r="R9" s="187">
        <f>3200+FP9</f>
        <v/>
      </c>
      <c r="S9" s="187" t="n">
        <v>6000</v>
      </c>
      <c r="T9" s="187" t="n">
        <v>4000</v>
      </c>
      <c r="U9" s="187" t="n">
        <v>3400</v>
      </c>
      <c r="V9" s="187" t="n">
        <v>2800</v>
      </c>
      <c r="W9" s="187">
        <f>2800+FL9</f>
        <v/>
      </c>
      <c r="X9" s="187" t="n">
        <v>4800</v>
      </c>
      <c r="Y9" s="187">
        <f>4800-1000</f>
        <v/>
      </c>
      <c r="Z9" s="187" t="n">
        <v>3400</v>
      </c>
      <c r="AA9" s="187" t="n">
        <v>2200</v>
      </c>
      <c r="AB9" s="187">
        <f>1400+EY9</f>
        <v/>
      </c>
      <c r="AC9" s="187" t="n">
        <v>1600</v>
      </c>
      <c r="AD9" s="187">
        <f>1200+EV9+EU9</f>
        <v/>
      </c>
      <c r="AE9" s="187" t="n">
        <v>2600</v>
      </c>
      <c r="AF9" s="187">
        <f>2000+EQ9</f>
        <v/>
      </c>
      <c r="AG9" s="187">
        <f>1000+EN9</f>
        <v/>
      </c>
      <c r="AH9" s="187">
        <f>1000+EM9</f>
        <v/>
      </c>
      <c r="AI9" s="187" t="n">
        <v>3000</v>
      </c>
      <c r="AJ9" s="187" t="n">
        <v>2200</v>
      </c>
      <c r="AK9" s="187" t="n">
        <v>3400</v>
      </c>
      <c r="AL9" s="187">
        <f>2600+EE9</f>
        <v/>
      </c>
      <c r="AM9" s="187" t="n">
        <v>2200</v>
      </c>
      <c r="AN9" s="187">
        <f>1000+DY9</f>
        <v/>
      </c>
      <c r="AO9" s="187">
        <f>600+DV9</f>
        <v/>
      </c>
      <c r="AP9" s="187" t="n">
        <v>1600</v>
      </c>
      <c r="AQ9" s="187">
        <f>1400+DS9</f>
        <v/>
      </c>
      <c r="AR9" s="187" t="n">
        <v>3000</v>
      </c>
      <c r="AS9" s="187" t="n">
        <v>2400</v>
      </c>
      <c r="AT9" s="187">
        <f>1200+DN9</f>
        <v/>
      </c>
      <c r="AU9" s="187" t="n">
        <v>1800</v>
      </c>
      <c r="AV9" s="187" t="n">
        <v>1600</v>
      </c>
      <c r="AW9" s="187" t="n">
        <v>1200</v>
      </c>
      <c r="AX9" s="187">
        <f>4800-600</f>
        <v/>
      </c>
      <c r="AY9" s="187" t="n">
        <v>2400</v>
      </c>
      <c r="AZ9" s="187">
        <f>800+DF9</f>
        <v/>
      </c>
      <c r="BA9" s="187">
        <f>3000+DE9</f>
        <v/>
      </c>
      <c r="BB9" s="187">
        <f>2600+DC9</f>
        <v/>
      </c>
      <c r="BC9" s="187">
        <f>1800+DA9</f>
        <v/>
      </c>
      <c r="BD9" s="187" t="n">
        <v>4200</v>
      </c>
      <c r="BE9" s="187">
        <f>800+CZ9</f>
        <v/>
      </c>
      <c r="BF9" s="187" t="n">
        <v>2400</v>
      </c>
      <c r="BG9" s="187" t="n">
        <v>1200</v>
      </c>
      <c r="BH9" s="187" t="n">
        <v>7400</v>
      </c>
      <c r="BI9" s="187" t="n">
        <v>6800</v>
      </c>
      <c r="BJ9" s="187" t="n">
        <v>5200</v>
      </c>
      <c r="BK9" s="187" t="n">
        <v>6000</v>
      </c>
      <c r="BL9" s="187" t="n">
        <v>5000</v>
      </c>
      <c r="BM9" s="187" t="n">
        <v>3200</v>
      </c>
      <c r="BN9" s="187">
        <f>1800+CS9</f>
        <v/>
      </c>
      <c r="BO9" s="187">
        <f>4800+CP9-1600</f>
        <v/>
      </c>
      <c r="BP9" s="187" t="n">
        <v>4000</v>
      </c>
      <c r="BQ9" s="187" t="n">
        <v>2200</v>
      </c>
      <c r="BR9" s="187">
        <f>1400+CK9</f>
        <v/>
      </c>
      <c r="BS9" s="187" t="n">
        <v>2400</v>
      </c>
      <c r="BT9" s="187" t="n">
        <v>2200</v>
      </c>
      <c r="BU9" s="187" t="n">
        <v>5600</v>
      </c>
      <c r="BV9" s="187" t="n">
        <v>3400</v>
      </c>
      <c r="BW9" s="187" t="n">
        <v>2400</v>
      </c>
      <c r="BX9" s="187" t="n">
        <v>200</v>
      </c>
      <c r="BY9" s="187" t="n">
        <v>0</v>
      </c>
      <c r="BZ9" s="187" t="n"/>
      <c r="CA9" s="187" t="n"/>
      <c r="CB9" s="188">
        <f>BZ9+IF(NOT(ISBLANK(OFFSET(CB9,0,6))),N(OFFSET(CB9,0,6)),N(OFFSET(CB9,0,7)))-CA9</f>
        <v/>
      </c>
      <c r="CC9" s="6" t="n"/>
      <c r="CD9" s="19" t="n"/>
      <c r="CE9" s="346" t="n"/>
      <c r="CF9" s="346" t="n"/>
      <c r="CG9" s="27" t="n">
        <v>1000</v>
      </c>
      <c r="CI9" s="179" t="n">
        <v>0</v>
      </c>
      <c r="CJ9" s="179" t="n">
        <v>4000</v>
      </c>
      <c r="CK9" s="179" t="n">
        <v>3600</v>
      </c>
      <c r="CL9" s="403" t="n">
        <v>6000</v>
      </c>
      <c r="CM9" s="179" t="n"/>
      <c r="CN9" s="179" t="n"/>
      <c r="CO9" s="402" t="inlineStr">
        <is>
          <t>1600 P/ ER PG</t>
        </is>
      </c>
      <c r="CP9" s="179" t="n">
        <v>1600</v>
      </c>
      <c r="CQ9" s="260" t="n"/>
      <c r="CR9" s="179" t="n"/>
      <c r="CS9" s="179" t="n">
        <v>4000</v>
      </c>
      <c r="CT9" s="179" t="n"/>
      <c r="CU9" s="179" t="n">
        <v>2000</v>
      </c>
      <c r="CV9" s="179" t="n"/>
      <c r="CW9" s="179" t="n">
        <v>1600</v>
      </c>
      <c r="CX9" s="179" t="n">
        <v>3600</v>
      </c>
      <c r="CY9" s="179" t="n">
        <v>3600</v>
      </c>
      <c r="CZ9" s="179" t="n">
        <v>1600</v>
      </c>
      <c r="DA9" s="179" t="n">
        <v>3600</v>
      </c>
      <c r="DB9" s="179" t="n"/>
      <c r="DC9" s="179" t="n">
        <v>1600</v>
      </c>
      <c r="DD9" s="179" t="n"/>
      <c r="DE9" s="179" t="n">
        <v>1600</v>
      </c>
      <c r="DF9" s="179" t="n">
        <v>3600</v>
      </c>
      <c r="DG9" s="179" t="n"/>
      <c r="DH9" s="179" t="n">
        <v>1000</v>
      </c>
      <c r="DI9" s="402" t="inlineStr">
        <is>
          <t>600 P/ ER MG</t>
        </is>
      </c>
      <c r="DJ9" s="179" t="n">
        <v>3600</v>
      </c>
      <c r="DK9" s="179" t="n"/>
      <c r="DL9" s="179" t="n"/>
      <c r="DM9" s="179" t="n"/>
      <c r="DN9" s="179" t="n">
        <v>1600</v>
      </c>
      <c r="DO9" s="256" t="n">
        <v>200</v>
      </c>
      <c r="DP9" s="260" t="n"/>
      <c r="DQ9" s="260" t="n"/>
      <c r="DR9" s="179" t="n">
        <v>1000</v>
      </c>
      <c r="DS9" s="179" t="n">
        <v>2600</v>
      </c>
      <c r="DT9" s="179" t="n">
        <v>1000</v>
      </c>
      <c r="DU9" s="179" t="n"/>
      <c r="DV9" s="179" t="n">
        <v>3600</v>
      </c>
      <c r="DW9" s="179" t="n"/>
      <c r="DX9" s="376" t="inlineStr">
        <is>
          <t>60 P/ ER PG + 40 P/ ER PB</t>
        </is>
      </c>
      <c r="DY9" s="179" t="n">
        <v>1800</v>
      </c>
      <c r="DZ9" s="256" t="n">
        <v>200</v>
      </c>
      <c r="EA9" s="179" t="n"/>
      <c r="EB9" s="179" t="n"/>
      <c r="EC9" s="179" t="n"/>
      <c r="ED9" s="179" t="n"/>
      <c r="EE9" s="179" t="n">
        <v>1000</v>
      </c>
      <c r="EF9" s="179" t="n"/>
      <c r="EG9" s="179" t="n">
        <v>2000</v>
      </c>
      <c r="EH9" s="179" t="n"/>
      <c r="EI9" s="179" t="n"/>
      <c r="EJ9" s="179" t="n"/>
      <c r="EK9" s="179" t="n"/>
      <c r="EL9" s="179" t="n"/>
      <c r="EM9" s="179" t="n">
        <v>3600</v>
      </c>
      <c r="EN9" s="179" t="n">
        <v>600</v>
      </c>
      <c r="EO9" s="179" t="n"/>
      <c r="EP9" s="256" t="n"/>
      <c r="EQ9" s="179" t="n">
        <v>1200</v>
      </c>
      <c r="ER9" s="179" t="n"/>
      <c r="ES9" s="260" t="n"/>
      <c r="ET9" s="260" t="n"/>
      <c r="EU9" s="179" t="n">
        <v>1600</v>
      </c>
      <c r="EV9" s="179" t="n">
        <v>800</v>
      </c>
      <c r="EW9" s="260" t="n"/>
      <c r="EX9" s="260" t="n"/>
      <c r="EY9" s="179" t="n">
        <v>1400</v>
      </c>
      <c r="EZ9" s="260" t="n"/>
      <c r="FA9" s="179" t="n"/>
      <c r="FB9" s="260" t="n"/>
      <c r="FC9" s="260" t="n"/>
      <c r="FD9" s="256" t="n"/>
      <c r="FE9" s="260" t="n"/>
      <c r="FF9" s="239" t="inlineStr">
        <is>
          <t>1000 P/ ER</t>
        </is>
      </c>
      <c r="FG9" s="179" t="n"/>
      <c r="FH9" s="179" t="n"/>
      <c r="FI9" s="179" t="n"/>
      <c r="FJ9" s="179" t="n"/>
      <c r="FK9" s="179" t="n">
        <v>800</v>
      </c>
      <c r="FL9" s="179" t="n">
        <v>2000</v>
      </c>
      <c r="FM9" s="179" t="n"/>
      <c r="FN9" s="179" t="n"/>
      <c r="FO9" s="179" t="n"/>
      <c r="FP9" s="179" t="n">
        <v>3000</v>
      </c>
      <c r="FQ9" s="179" t="n">
        <v>2000</v>
      </c>
      <c r="FR9" s="179" t="n">
        <v>2800</v>
      </c>
      <c r="FS9" s="179" t="n">
        <v>1000</v>
      </c>
      <c r="FT9" s="256" t="n">
        <v>5000</v>
      </c>
      <c r="FU9" s="179" t="n">
        <v>800</v>
      </c>
      <c r="FV9" s="179" t="n"/>
      <c r="FW9" s="179" t="n"/>
      <c r="FX9" s="179" t="n"/>
      <c r="FY9" s="179" t="n"/>
      <c r="FZ9" s="260" t="n"/>
      <c r="GA9" s="179" t="n">
        <v>800</v>
      </c>
      <c r="GB9" s="179" t="n"/>
      <c r="GC9" s="179" t="n"/>
      <c r="GD9" s="263" t="inlineStr">
        <is>
          <t>16 SAC. M Disney 2023 + 1600 SAC. M Divert 2024 P/ ER</t>
        </is>
      </c>
      <c r="GE9" s="239" t="inlineStr">
        <is>
          <t>2200 P/ ER</t>
        </is>
      </c>
      <c r="GF9" s="239" t="inlineStr">
        <is>
          <t>2000 P/ ER</t>
        </is>
      </c>
      <c r="GG9" s="179" t="n"/>
      <c r="GH9" s="179" t="n"/>
      <c r="GI9" s="179" t="n">
        <v>1000</v>
      </c>
      <c r="GJ9" s="179" t="n"/>
      <c r="GK9" s="179" t="n">
        <v>2400</v>
      </c>
      <c r="GL9" s="179" t="n">
        <v>2000</v>
      </c>
      <c r="GM9" s="179" t="n"/>
      <c r="GN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2000</v>
      </c>
      <c r="E10" s="6" t="n"/>
      <c r="F10" s="187" t="n">
        <v>4000</v>
      </c>
      <c r="G10" s="187">
        <f>4400+GK10</f>
        <v/>
      </c>
      <c r="H10" s="187" t="n">
        <v>4600</v>
      </c>
      <c r="I10" s="187">
        <f>4400-1000</f>
        <v/>
      </c>
      <c r="J10" s="187">
        <f>3400-1400</f>
        <v/>
      </c>
      <c r="K10" s="187" t="n">
        <v>1800</v>
      </c>
      <c r="L10" s="187" t="n">
        <v>1600</v>
      </c>
      <c r="M10" s="187" t="n">
        <v>2000</v>
      </c>
      <c r="N10" s="187" t="n">
        <v>1800</v>
      </c>
      <c r="O10" s="187" t="n">
        <v>1800</v>
      </c>
      <c r="P10" s="187" t="n">
        <v>1400</v>
      </c>
      <c r="Q10" s="187" t="n">
        <v>1400</v>
      </c>
      <c r="R10" s="187">
        <f>1200+FP10</f>
        <v/>
      </c>
      <c r="S10" s="187" t="n">
        <v>2000</v>
      </c>
      <c r="T10" s="187" t="n">
        <v>1600</v>
      </c>
      <c r="U10" s="187" t="n">
        <v>1600</v>
      </c>
      <c r="V10" s="187" t="n">
        <v>1200</v>
      </c>
      <c r="W10" s="187">
        <f>1200+FL10</f>
        <v/>
      </c>
      <c r="X10" s="187" t="n">
        <v>2200</v>
      </c>
      <c r="Y10" s="187" t="n">
        <v>1200</v>
      </c>
      <c r="Z10" s="187" t="n">
        <v>2800</v>
      </c>
      <c r="AA10" s="187" t="n">
        <v>1800</v>
      </c>
      <c r="AB10" s="187">
        <f>1400+EY10</f>
        <v/>
      </c>
      <c r="AC10" s="187">
        <f>1600+600</f>
        <v/>
      </c>
      <c r="AD10" s="187" t="n">
        <v>2200</v>
      </c>
      <c r="AE10" s="187" t="n">
        <v>1200</v>
      </c>
      <c r="AF10" s="187">
        <f>1000+EQ10</f>
        <v/>
      </c>
      <c r="AG10" s="187" t="n">
        <v>2000</v>
      </c>
      <c r="AH10" s="187" t="n">
        <v>1600</v>
      </c>
      <c r="AI10" s="187">
        <f>1200+EK10</f>
        <v/>
      </c>
      <c r="AJ10" s="187" t="n">
        <v>1400</v>
      </c>
      <c r="AK10" s="187" t="n">
        <v>1200</v>
      </c>
      <c r="AL10" s="187">
        <f>1200+EE10</f>
        <v/>
      </c>
      <c r="AM10" s="187" t="n">
        <v>2000</v>
      </c>
      <c r="AN10" s="187" t="n">
        <v>2000</v>
      </c>
      <c r="AO10" s="187" t="n">
        <v>1400</v>
      </c>
      <c r="AP10" s="187" t="n">
        <v>1200</v>
      </c>
      <c r="AQ10" s="187" t="n">
        <v>2000</v>
      </c>
      <c r="AR10" s="187" t="n">
        <v>2000</v>
      </c>
      <c r="AS10" s="187" t="n">
        <v>1200</v>
      </c>
      <c r="AT10" s="187" t="n">
        <v>200</v>
      </c>
      <c r="AU10" s="187" t="n">
        <v>400</v>
      </c>
      <c r="AV10" s="187" t="n">
        <v>0</v>
      </c>
      <c r="AW10" s="187" t="n">
        <v>0</v>
      </c>
      <c r="AX10" s="187" t="n">
        <v>2000</v>
      </c>
      <c r="AY10" s="187" t="n">
        <v>2600</v>
      </c>
      <c r="AZ10" s="187">
        <f>2600+DF10</f>
        <v/>
      </c>
      <c r="BA10" s="187">
        <f>4000+DE10</f>
        <v/>
      </c>
      <c r="BB10" s="187" t="n">
        <v>5000</v>
      </c>
      <c r="BC10" s="187" t="n">
        <v>4800</v>
      </c>
      <c r="BD10" s="187" t="n">
        <v>4600</v>
      </c>
      <c r="BE10" s="187" t="n">
        <v>3200</v>
      </c>
      <c r="BF10" s="187" t="n">
        <v>3000</v>
      </c>
      <c r="BG10" s="187" t="n">
        <v>2000</v>
      </c>
      <c r="BH10" s="187" t="n">
        <v>2000</v>
      </c>
      <c r="BI10" s="187" t="n">
        <v>2600</v>
      </c>
      <c r="BJ10" s="187" t="n">
        <v>2600</v>
      </c>
      <c r="BK10" s="187" t="n">
        <v>2600</v>
      </c>
      <c r="BL10" s="187" t="n">
        <v>3400</v>
      </c>
      <c r="BM10" s="187" t="n">
        <v>3400</v>
      </c>
      <c r="BN10" s="187" t="n">
        <v>1200</v>
      </c>
      <c r="BO10" s="187">
        <f>1000+CP10-1000</f>
        <v/>
      </c>
      <c r="BP10" s="187" t="n">
        <v>2200</v>
      </c>
      <c r="BQ10" s="187" t="n">
        <v>1800</v>
      </c>
      <c r="BR10" s="187">
        <f>1800+CK10</f>
        <v/>
      </c>
      <c r="BS10" s="187" t="n">
        <v>2000</v>
      </c>
      <c r="BT10" s="187" t="n">
        <v>2000</v>
      </c>
      <c r="BU10" s="187" t="n">
        <v>2200</v>
      </c>
      <c r="BV10" s="187" t="n">
        <v>1600</v>
      </c>
      <c r="BW10" s="187" t="n">
        <v>1400</v>
      </c>
      <c r="BX10" s="187" t="n">
        <v>1200</v>
      </c>
      <c r="BY10" s="187" t="n">
        <v>600</v>
      </c>
      <c r="BZ10" s="187" t="n"/>
      <c r="CA10" s="187" t="n"/>
      <c r="CB10" s="188">
        <f>BZ10+IF(NOT(ISBLANK(OFFSET(CB10,0,6))),N(OFFSET(CB10,0,6)),N(OFFSET(CB10,0,7)))-CA10</f>
        <v/>
      </c>
      <c r="CC10" s="6" t="n"/>
      <c r="CD10" s="19" t="n"/>
      <c r="CE10" s="346" t="n"/>
      <c r="CF10" s="346" t="n"/>
      <c r="CG10" s="27" t="n"/>
      <c r="CH10" s="4" t="n"/>
      <c r="CI10" s="18" t="n">
        <v>0</v>
      </c>
      <c r="CJ10" s="18" t="n">
        <v>400</v>
      </c>
      <c r="CK10" s="18" t="n">
        <v>400</v>
      </c>
      <c r="CL10" s="403" t="n">
        <v>3000</v>
      </c>
      <c r="CM10" s="418" t="n">
        <v>4800</v>
      </c>
      <c r="CN10" s="18" t="n"/>
      <c r="CO10" s="154" t="inlineStr">
        <is>
          <t>1000 P/ ER PG</t>
        </is>
      </c>
      <c r="CP10" s="18" t="n">
        <v>2600</v>
      </c>
      <c r="CQ10" s="256" t="n"/>
      <c r="CR10" s="18" t="n"/>
      <c r="CS10" s="18" t="n"/>
      <c r="CT10" s="18" t="n"/>
      <c r="CU10" s="18" t="n"/>
      <c r="CV10" s="18" t="n"/>
      <c r="CW10" s="18" t="n">
        <v>800</v>
      </c>
      <c r="CX10" s="18" t="n"/>
      <c r="CY10" s="18" t="n"/>
      <c r="CZ10" s="18" t="n"/>
      <c r="DA10" s="18" t="n"/>
      <c r="DB10" s="18" t="n"/>
      <c r="DC10" s="18" t="n"/>
      <c r="DD10" s="18" t="n"/>
      <c r="DE10" s="18" t="n">
        <v>1000</v>
      </c>
      <c r="DF10" s="18" t="n">
        <v>2000</v>
      </c>
      <c r="DG10" s="18" t="n"/>
      <c r="DH10" s="18" t="n">
        <v>1000</v>
      </c>
      <c r="DI10" s="18" t="n"/>
      <c r="DJ10" s="18" t="n">
        <v>2000</v>
      </c>
      <c r="DK10" s="18" t="n"/>
      <c r="DL10" s="18" t="n">
        <v>400</v>
      </c>
      <c r="DM10" s="18" t="n"/>
      <c r="DN10" s="18" t="n"/>
      <c r="DO10" s="256" t="n">
        <v>200</v>
      </c>
      <c r="DP10" s="18" t="n"/>
      <c r="DQ10" s="405" t="inlineStr">
        <is>
          <t>130 P/ ER PG</t>
        </is>
      </c>
      <c r="DR10" s="18" t="n"/>
      <c r="DS10" s="18" t="n"/>
      <c r="DT10" s="18" t="n">
        <v>800</v>
      </c>
      <c r="DU10" s="18" t="n"/>
      <c r="DV10" s="18" t="n"/>
      <c r="DW10" s="18" t="n"/>
      <c r="DX10" s="376" t="inlineStr">
        <is>
          <t>60 P/ ER PG + 40 P/ ER PB</t>
        </is>
      </c>
      <c r="DY10" s="18" t="n"/>
      <c r="DZ10" s="256" t="n">
        <v>200</v>
      </c>
      <c r="EA10" s="18" t="n"/>
      <c r="EB10" s="18" t="n"/>
      <c r="EC10" s="18" t="n"/>
      <c r="ED10" s="18" t="n"/>
      <c r="EE10" s="18" t="n">
        <v>1000</v>
      </c>
      <c r="EF10" s="18" t="n"/>
      <c r="EG10" s="18" t="n"/>
      <c r="EH10" s="18" t="n"/>
      <c r="EI10" s="18" t="n"/>
      <c r="EJ10" s="18" t="n"/>
      <c r="EK10" s="18" t="n">
        <v>400</v>
      </c>
      <c r="EL10" s="292" t="inlineStr">
        <is>
          <t>1000 DE ER PG</t>
        </is>
      </c>
      <c r="EM10" s="18" t="n"/>
      <c r="EN10" s="18" t="n"/>
      <c r="EO10" s="18" t="n"/>
      <c r="EP10" s="256" t="n"/>
      <c r="EQ10" s="18" t="n">
        <v>1200</v>
      </c>
      <c r="ER10" s="18" t="n"/>
      <c r="ES10" s="260" t="n"/>
      <c r="ET10" s="260" t="n"/>
      <c r="EU10" s="18" t="n"/>
      <c r="EV10" s="18" t="n"/>
      <c r="EW10" s="260" t="n"/>
      <c r="EX10" s="239" t="inlineStr">
        <is>
          <t>600 DE ER PG</t>
        </is>
      </c>
      <c r="EY10" s="18" t="n">
        <v>600</v>
      </c>
      <c r="EZ10" s="260" t="n"/>
      <c r="FA10" s="18" t="n"/>
      <c r="FB10" s="260" t="n"/>
      <c r="FC10" s="312" t="inlineStr">
        <is>
          <t>200 DE ER</t>
        </is>
      </c>
      <c r="FD10" s="256" t="n"/>
      <c r="FE10" s="260" t="n"/>
      <c r="FF10" s="260" t="n"/>
      <c r="FG10" s="18" t="n">
        <v>2000</v>
      </c>
      <c r="FH10" s="18" t="n"/>
      <c r="FI10" s="18" t="n"/>
      <c r="FJ10" s="18" t="n"/>
      <c r="FK10" s="18" t="n">
        <v>800</v>
      </c>
      <c r="FL10" s="18" t="n">
        <v>600</v>
      </c>
      <c r="FM10" s="18" t="n"/>
      <c r="FN10" s="18" t="n"/>
      <c r="FO10" s="18" t="n"/>
      <c r="FP10" s="18" t="n">
        <v>800</v>
      </c>
      <c r="FQ10" s="18" t="n">
        <v>600</v>
      </c>
      <c r="FR10" s="18" t="n"/>
      <c r="FS10" s="18" t="n"/>
      <c r="FT10" s="256" t="n">
        <v>2800</v>
      </c>
      <c r="FU10" s="18" t="n"/>
      <c r="FV10" s="18" t="n"/>
      <c r="FW10" s="18" t="n"/>
      <c r="FX10" s="18" t="n"/>
      <c r="FY10" s="18" t="n"/>
      <c r="FZ10" s="260" t="n"/>
      <c r="GA10" s="18" t="n">
        <v>400</v>
      </c>
      <c r="GB10" s="18" t="n"/>
      <c r="GC10" s="18" t="n"/>
      <c r="GD10" s="260" t="n"/>
      <c r="GE10" s="239" t="inlineStr">
        <is>
          <t>1400 P/ ER</t>
        </is>
      </c>
      <c r="GF10" s="239" t="inlineStr">
        <is>
          <t>1000 P/ ER</t>
        </is>
      </c>
      <c r="GG10" s="18" t="n"/>
      <c r="GH10" s="18" t="n"/>
      <c r="GI10" s="18" t="n"/>
      <c r="GJ10" s="18" t="n"/>
      <c r="GK10" s="18" t="n">
        <v>400</v>
      </c>
      <c r="GL10" s="18" t="n">
        <v>400</v>
      </c>
      <c r="GM10" s="18" t="n"/>
      <c r="GN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700</v>
      </c>
      <c r="E11" s="6" t="n"/>
      <c r="F11" s="187" t="n">
        <v>1100</v>
      </c>
      <c r="G11" s="187">
        <f>1100+GK11</f>
        <v/>
      </c>
      <c r="H11" s="187" t="n">
        <v>1500</v>
      </c>
      <c r="I11" s="187" t="n">
        <v>1500</v>
      </c>
      <c r="J11" s="187">
        <f>1500-1000</f>
        <v/>
      </c>
      <c r="K11" s="187" t="n">
        <v>500</v>
      </c>
      <c r="L11" s="187" t="n">
        <v>500</v>
      </c>
      <c r="M11" s="187" t="n">
        <v>500</v>
      </c>
      <c r="N11" s="187" t="n">
        <v>500</v>
      </c>
      <c r="O11" s="187" t="n">
        <v>500</v>
      </c>
      <c r="P11" s="187">
        <f>500+FR11</f>
        <v/>
      </c>
      <c r="Q11" s="187" t="n">
        <v>500</v>
      </c>
      <c r="R11" s="187">
        <f>300+FP11</f>
        <v/>
      </c>
      <c r="S11" s="187" t="n">
        <v>600</v>
      </c>
      <c r="T11" s="187" t="n">
        <v>900</v>
      </c>
      <c r="U11" s="187" t="n">
        <v>900</v>
      </c>
      <c r="V11" s="187" t="n">
        <v>700</v>
      </c>
      <c r="W11" s="187" t="n">
        <v>600</v>
      </c>
      <c r="X11" s="187" t="n">
        <v>700</v>
      </c>
      <c r="Y11" s="187" t="n">
        <v>400</v>
      </c>
      <c r="Z11" s="187" t="n">
        <v>600</v>
      </c>
      <c r="AA11" s="187" t="n">
        <v>400</v>
      </c>
      <c r="AB11" s="187">
        <f>400+EY11</f>
        <v/>
      </c>
      <c r="AC11" s="187" t="n">
        <v>600</v>
      </c>
      <c r="AD11" s="187" t="n">
        <v>600</v>
      </c>
      <c r="AE11" s="187" t="n">
        <v>500</v>
      </c>
      <c r="AF11" s="187">
        <f>500+EQ11</f>
        <v/>
      </c>
      <c r="AG11" s="187" t="n">
        <v>700</v>
      </c>
      <c r="AH11" s="187" t="n">
        <v>700</v>
      </c>
      <c r="AI11" s="187" t="n">
        <v>600</v>
      </c>
      <c r="AJ11" s="187" t="n">
        <v>500</v>
      </c>
      <c r="AK11" s="187">
        <f>500+EF11</f>
        <v/>
      </c>
      <c r="AL11" s="187" t="n">
        <v>700</v>
      </c>
      <c r="AM11" s="187" t="n">
        <v>700</v>
      </c>
      <c r="AN11" s="187" t="n">
        <v>700</v>
      </c>
      <c r="AO11" s="187" t="n">
        <v>700</v>
      </c>
      <c r="AP11" s="187" t="n">
        <v>700</v>
      </c>
      <c r="AQ11" s="187" t="n">
        <v>700</v>
      </c>
      <c r="AR11" s="187" t="n">
        <v>700</v>
      </c>
      <c r="AS11" s="187" t="n">
        <v>200</v>
      </c>
      <c r="AT11" s="187" t="n">
        <v>100</v>
      </c>
      <c r="AU11" s="187" t="n">
        <v>800</v>
      </c>
      <c r="AV11" s="187" t="n">
        <v>700</v>
      </c>
      <c r="AW11" s="187" t="n">
        <v>600</v>
      </c>
      <c r="AX11" s="187" t="n">
        <v>600</v>
      </c>
      <c r="AY11" s="187" t="n">
        <v>600</v>
      </c>
      <c r="AZ11" s="187">
        <f>600+DF11</f>
        <v/>
      </c>
      <c r="BA11" s="187" t="n">
        <v>700</v>
      </c>
      <c r="BB11" s="187" t="n">
        <v>700</v>
      </c>
      <c r="BC11" s="187" t="n">
        <v>600</v>
      </c>
      <c r="BD11" s="187" t="n">
        <v>600</v>
      </c>
      <c r="BE11" s="187" t="n">
        <v>400</v>
      </c>
      <c r="BF11" s="187" t="n">
        <v>400</v>
      </c>
      <c r="BG11" s="187" t="n">
        <v>300</v>
      </c>
      <c r="BH11" s="187" t="n">
        <v>700</v>
      </c>
      <c r="BI11" s="187" t="n">
        <v>600</v>
      </c>
      <c r="BJ11" s="187" t="n">
        <v>700</v>
      </c>
      <c r="BK11" s="187" t="n">
        <v>700</v>
      </c>
      <c r="BL11" s="187" t="n">
        <v>700</v>
      </c>
      <c r="BM11" s="187" t="n">
        <v>400</v>
      </c>
      <c r="BN11" s="187">
        <f>100+CS11</f>
        <v/>
      </c>
      <c r="BO11" s="187">
        <f>500+CP11</f>
        <v/>
      </c>
      <c r="BP11" s="187" t="n">
        <v>900</v>
      </c>
      <c r="BQ11" s="187" t="n">
        <v>700</v>
      </c>
      <c r="BR11" s="187">
        <f>600+CK11</f>
        <v/>
      </c>
      <c r="BS11" s="187" t="n">
        <v>1200</v>
      </c>
      <c r="BT11" s="187" t="n">
        <v>1200</v>
      </c>
      <c r="BU11" s="187" t="n">
        <v>1200</v>
      </c>
      <c r="BV11" s="187" t="n">
        <v>1100</v>
      </c>
      <c r="BW11" s="187" t="n">
        <v>1100</v>
      </c>
      <c r="BX11" s="187" t="n">
        <v>800</v>
      </c>
      <c r="BY11" s="187" t="n">
        <v>600</v>
      </c>
      <c r="BZ11" s="187" t="n"/>
      <c r="CA11" s="187" t="n"/>
      <c r="CB11" s="188">
        <f>BZ11+IF(NOT(ISBLANK(OFFSET(CB11,0,6))),N(OFFSET(CB11,0,6)),N(OFFSET(CB11,0,7)))-CA11</f>
        <v/>
      </c>
      <c r="CC11" s="6" t="n"/>
      <c r="CD11" s="19" t="n"/>
      <c r="CE11" s="19" t="n"/>
      <c r="CF11" s="346" t="n"/>
      <c r="CG11" s="65" t="n"/>
      <c r="CH11" s="4" t="n"/>
      <c r="CI11" s="18" t="n">
        <v>0</v>
      </c>
      <c r="CJ11" s="18" t="n"/>
      <c r="CK11" s="18" t="n">
        <v>700</v>
      </c>
      <c r="CL11" s="403" t="n">
        <v>1000</v>
      </c>
      <c r="CM11" s="18" t="n"/>
      <c r="CN11" s="18" t="n"/>
      <c r="CO11" s="18" t="n"/>
      <c r="CP11" s="18" t="n">
        <v>700</v>
      </c>
      <c r="CQ11" s="18" t="n"/>
      <c r="CR11" s="18" t="n"/>
      <c r="CS11" s="18" t="n">
        <v>700</v>
      </c>
      <c r="CT11" s="18" t="n"/>
      <c r="CU11" s="18" t="n"/>
      <c r="CV11" s="18" t="n"/>
      <c r="CW11" s="18" t="n"/>
      <c r="CX11" s="18" t="n">
        <v>400</v>
      </c>
      <c r="CY11" s="18" t="n"/>
      <c r="CZ11" s="18" t="n"/>
      <c r="DA11" s="18" t="n"/>
      <c r="DB11" s="18" t="n"/>
      <c r="DC11" s="18" t="n"/>
      <c r="DD11" s="18" t="n"/>
      <c r="DE11" s="18" t="n"/>
      <c r="DF11" s="18" t="n">
        <v>200</v>
      </c>
      <c r="DG11" s="18" t="n"/>
      <c r="DH11" s="18" t="n">
        <v>100</v>
      </c>
      <c r="DI11" s="18" t="n"/>
      <c r="DJ11" s="18" t="n"/>
      <c r="DK11" s="18" t="n"/>
      <c r="DL11" s="18" t="n">
        <v>800</v>
      </c>
      <c r="DM11" s="18" t="n"/>
      <c r="DN11" s="18" t="n"/>
      <c r="DO11" s="256" t="n"/>
      <c r="DP11" s="18" t="n"/>
      <c r="DQ11" s="18" t="n"/>
      <c r="DR11" s="18" t="n"/>
      <c r="DS11" s="18" t="n"/>
      <c r="DT11" s="18" t="n"/>
      <c r="DU11" s="18" t="n"/>
      <c r="DV11" s="18" t="n"/>
      <c r="DW11" s="18" t="n"/>
      <c r="DX11" s="376" t="inlineStr">
        <is>
          <t>50 P/ ER PG + 25 P/ ER PB</t>
        </is>
      </c>
      <c r="DY11" s="18" t="n"/>
      <c r="DZ11" s="256" t="n">
        <v>150</v>
      </c>
      <c r="EA11" s="18" t="n"/>
      <c r="EB11" s="18" t="n"/>
      <c r="EC11" s="18" t="n"/>
      <c r="ED11" s="18" t="n"/>
      <c r="EE11" s="18" t="n"/>
      <c r="EF11" s="18" t="n">
        <v>200</v>
      </c>
      <c r="EG11" s="18" t="n"/>
      <c r="EH11" s="18" t="n"/>
      <c r="EI11" s="18" t="n"/>
      <c r="EJ11" s="18" t="n"/>
      <c r="EK11" s="18" t="n"/>
      <c r="EL11" s="18" t="n"/>
      <c r="EM11" s="18" t="n"/>
      <c r="EN11" s="18" t="n"/>
      <c r="EO11" s="18" t="n"/>
      <c r="EP11" s="256" t="n"/>
      <c r="EQ11" s="18" t="n">
        <v>200</v>
      </c>
      <c r="ER11" s="18" t="n"/>
      <c r="ES11" s="260" t="n"/>
      <c r="ET11" s="260" t="n"/>
      <c r="EU11" s="18" t="n"/>
      <c r="EV11" s="18" t="n"/>
      <c r="EW11" s="260" t="n"/>
      <c r="EX11" s="260" t="n"/>
      <c r="EY11" s="18" t="n">
        <v>200</v>
      </c>
      <c r="EZ11" s="260" t="n"/>
      <c r="FA11" s="18" t="n"/>
      <c r="FB11" s="260" t="n"/>
      <c r="FC11" s="312" t="inlineStr">
        <is>
          <t>100 DE ER</t>
        </is>
      </c>
      <c r="FD11" s="256" t="n"/>
      <c r="FE11" s="260" t="n"/>
      <c r="FF11" s="260" t="n"/>
      <c r="FG11" s="18" t="n">
        <v>300</v>
      </c>
      <c r="FH11" s="18" t="n"/>
      <c r="FI11" s="18" t="n"/>
      <c r="FJ11" s="18" t="n"/>
      <c r="FK11" s="18" t="n">
        <v>200</v>
      </c>
      <c r="FL11" s="18" t="n"/>
      <c r="FM11" s="18" t="n"/>
      <c r="FN11" s="18" t="n"/>
      <c r="FO11" s="18" t="n">
        <v>500</v>
      </c>
      <c r="FP11" s="18" t="n">
        <v>300</v>
      </c>
      <c r="FQ11" s="18" t="n"/>
      <c r="FR11" s="18" t="n">
        <v>200</v>
      </c>
      <c r="FS11" s="18" t="n"/>
      <c r="FT11" s="256" t="n">
        <v>1000</v>
      </c>
      <c r="FU11" s="18" t="n"/>
      <c r="FV11" s="18" t="n"/>
      <c r="FW11" s="18" t="n"/>
      <c r="FX11" s="18" t="n"/>
      <c r="FY11" s="18" t="n"/>
      <c r="FZ11" s="260" t="n"/>
      <c r="GA11" s="18" t="n"/>
      <c r="GB11" s="18" t="n"/>
      <c r="GC11" s="18" t="n"/>
      <c r="GD11" s="260" t="n"/>
      <c r="GE11" s="239" t="inlineStr">
        <is>
          <t>1000 P/ ER</t>
        </is>
      </c>
      <c r="GF11" s="18" t="n"/>
      <c r="GG11" s="18" t="n"/>
      <c r="GH11" s="18" t="n"/>
      <c r="GI11" s="18" t="n"/>
      <c r="GJ11" s="18" t="n"/>
      <c r="GK11" s="18" t="n">
        <v>400</v>
      </c>
      <c r="GL11" s="18" t="n"/>
      <c r="GM11" s="18" t="n"/>
      <c r="GN11" s="18" t="n"/>
    </row>
    <row r="12" hidden="1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713" t="n"/>
      <c r="E12" s="6" t="n"/>
      <c r="F12" s="38" t="n">
        <v>0</v>
      </c>
      <c r="G12" s="38" t="n">
        <v>200</v>
      </c>
      <c r="H12" s="38" t="n">
        <v>200</v>
      </c>
      <c r="I12" s="38">
        <f>200-200</f>
        <v/>
      </c>
      <c r="J12" s="38" t="n">
        <v>0</v>
      </c>
      <c r="K12" s="38" t="n">
        <v>0</v>
      </c>
      <c r="L12" s="38" t="n">
        <v>0</v>
      </c>
      <c r="M12" s="38" t="n">
        <v>0</v>
      </c>
      <c r="N12" s="38" t="n">
        <v>0</v>
      </c>
      <c r="O12" s="38" t="n">
        <v>0</v>
      </c>
      <c r="P12" s="38" t="n">
        <v>0</v>
      </c>
      <c r="Q12" s="38" t="n">
        <v>0</v>
      </c>
      <c r="R12" s="38" t="n"/>
      <c r="S12" s="38" t="n"/>
      <c r="T12" s="38" t="n"/>
      <c r="U12" s="38" t="n"/>
      <c r="V12" s="38" t="n"/>
      <c r="W12" s="38" t="n"/>
      <c r="X12" s="38" t="n"/>
      <c r="Y12" s="38" t="n"/>
      <c r="Z12" s="38" t="n"/>
      <c r="AA12" s="38" t="n"/>
      <c r="AB12" s="38" t="n"/>
      <c r="AC12" s="38" t="n"/>
      <c r="AD12" s="38" t="n"/>
      <c r="AE12" s="38" t="n"/>
      <c r="AF12" s="38" t="n"/>
      <c r="AG12" s="38" t="n"/>
      <c r="AH12" s="38" t="n"/>
      <c r="AI12" s="38" t="n"/>
      <c r="AJ12" s="38" t="n"/>
      <c r="AK12" s="38" t="n"/>
      <c r="AL12" s="38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38" t="n"/>
      <c r="BA12" s="38" t="n"/>
      <c r="BB12" s="38" t="n"/>
      <c r="BC12" s="38" t="n"/>
      <c r="BD12" s="38" t="n"/>
      <c r="BE12" s="38" t="n"/>
      <c r="BF12" s="38" t="n"/>
      <c r="BG12" s="38" t="n"/>
      <c r="BH12" s="38" t="n"/>
      <c r="BI12" s="38" t="n"/>
      <c r="BJ12" s="38" t="n"/>
      <c r="BK12" s="38" t="n"/>
      <c r="BL12" s="38" t="n"/>
      <c r="BM12" s="38" t="n"/>
      <c r="BN12" s="38" t="n"/>
      <c r="BO12" s="38" t="n"/>
      <c r="BP12" s="38" t="n"/>
      <c r="BQ12" s="38" t="n"/>
      <c r="BR12" s="38" t="n"/>
      <c r="BS12" s="38" t="n"/>
      <c r="BT12" s="38" t="n"/>
      <c r="BU12" s="38" t="n"/>
      <c r="BV12" s="38" t="n"/>
      <c r="BW12" s="38" t="n"/>
      <c r="BX12" s="38" t="n"/>
      <c r="BY12" s="38" t="n"/>
      <c r="BZ12" s="38" t="n"/>
      <c r="CA12" s="38" t="n"/>
      <c r="CB12" s="188">
        <f>BZ12+IF(NOT(ISBLANK(OFFSET(CB12,0,6))),N(OFFSET(CB12,0,6)),N(OFFSET(CB12,0,7)))-CA12</f>
        <v/>
      </c>
      <c r="CC12" s="6" t="n"/>
      <c r="CD12" s="19" t="n"/>
      <c r="CE12" s="19" t="n"/>
      <c r="CF12" s="19" t="n"/>
      <c r="CG12" s="65" t="n"/>
      <c r="CH12" s="4" t="n"/>
      <c r="CI12" s="18" t="n"/>
      <c r="CJ12" s="18" t="n"/>
      <c r="CK12" s="18" t="n"/>
      <c r="CL12" s="18" t="n"/>
      <c r="CM12" s="18" t="n"/>
      <c r="CN12" s="18" t="n"/>
      <c r="CO12" s="18" t="n"/>
      <c r="CP12" s="18" t="n"/>
      <c r="CQ12" s="18" t="n"/>
      <c r="CR12" s="18" t="n"/>
      <c r="CS12" s="18" t="n"/>
      <c r="CT12" s="18" t="n"/>
      <c r="CU12" s="18" t="n"/>
      <c r="CV12" s="18" t="n"/>
      <c r="CW12" s="18" t="n"/>
      <c r="CX12" s="18" t="n"/>
      <c r="CY12" s="18" t="n"/>
      <c r="CZ12" s="18" t="n"/>
      <c r="DA12" s="18" t="n"/>
      <c r="DB12" s="18" t="n"/>
      <c r="DC12" s="18" t="n"/>
      <c r="DD12" s="18" t="n"/>
      <c r="DE12" s="18" t="n"/>
      <c r="DF12" s="18" t="n"/>
      <c r="DG12" s="18" t="n"/>
      <c r="DH12" s="18" t="n"/>
      <c r="DI12" s="18" t="n"/>
      <c r="DJ12" s="18" t="n"/>
      <c r="DK12" s="18" t="n"/>
      <c r="DL12" s="18" t="n"/>
      <c r="DM12" s="18" t="n"/>
      <c r="DN12" s="18" t="n"/>
      <c r="DO12" s="356" t="n"/>
      <c r="DP12" s="18" t="n"/>
      <c r="DQ12" s="18" t="n"/>
      <c r="DR12" s="18" t="n"/>
      <c r="DS12" s="18" t="n"/>
      <c r="DT12" s="18" t="n"/>
      <c r="DU12" s="18" t="n"/>
      <c r="DV12" s="18" t="n"/>
      <c r="DW12" s="18" t="n"/>
      <c r="DX12" s="256" t="n"/>
      <c r="DY12" s="18" t="n"/>
      <c r="DZ12" s="256" t="n"/>
      <c r="EA12" s="18" t="n"/>
      <c r="EB12" s="18" t="n"/>
      <c r="EC12" s="18" t="n"/>
      <c r="ED12" s="18" t="n"/>
      <c r="EE12" s="18" t="n"/>
      <c r="EF12" s="18" t="n"/>
      <c r="EG12" s="18" t="n"/>
      <c r="EH12" s="18" t="n"/>
      <c r="EI12" s="18" t="n"/>
      <c r="EJ12" s="18" t="n"/>
      <c r="EK12" s="18" t="n"/>
      <c r="EL12" s="18" t="n"/>
      <c r="EM12" s="18" t="n"/>
      <c r="EN12" s="18" t="n"/>
      <c r="EO12" s="18" t="n"/>
      <c r="EP12" s="256" t="n"/>
      <c r="EQ12" s="18" t="n"/>
      <c r="ER12" s="18" t="n"/>
      <c r="ES12" s="260" t="n"/>
      <c r="ET12" s="260" t="n"/>
      <c r="EU12" s="18" t="n"/>
      <c r="EV12" s="18" t="n"/>
      <c r="EW12" s="260" t="n"/>
      <c r="EX12" s="260" t="n"/>
      <c r="EY12" s="18" t="n"/>
      <c r="EZ12" s="260" t="n"/>
      <c r="FA12" s="18" t="n"/>
      <c r="FB12" s="260" t="n"/>
      <c r="FC12" s="260" t="n"/>
      <c r="FD12" s="256" t="n"/>
      <c r="FE12" s="260" t="n"/>
      <c r="FF12" s="260" t="n"/>
      <c r="FG12" s="18" t="n"/>
      <c r="FH12" s="18" t="n"/>
      <c r="FI12" s="18" t="n"/>
      <c r="FJ12" s="18" t="n"/>
      <c r="FK12" s="18" t="n"/>
      <c r="FL12" s="18" t="n"/>
      <c r="FM12" s="18" t="n"/>
      <c r="FN12" s="18" t="n"/>
      <c r="FO12" s="18" t="n"/>
      <c r="FP12" s="18" t="n"/>
      <c r="FQ12" s="18" t="n"/>
      <c r="FR12" s="18" t="n"/>
      <c r="FS12" s="18" t="n"/>
      <c r="FT12" s="256" t="n"/>
      <c r="FU12" s="18" t="n"/>
      <c r="FV12" s="18" t="n"/>
      <c r="FW12" s="18" t="n"/>
      <c r="FX12" s="18" t="n"/>
      <c r="FY12" s="18" t="n"/>
      <c r="FZ12" s="260" t="n"/>
      <c r="GA12" s="18" t="n"/>
      <c r="GB12" s="18" t="n"/>
      <c r="GC12" s="18" t="n"/>
      <c r="GD12" s="260" t="n"/>
      <c r="GE12" s="260" t="n"/>
      <c r="GF12" s="239" t="inlineStr">
        <is>
          <t>200 P/ ER</t>
        </is>
      </c>
      <c r="GG12" s="18" t="n"/>
      <c r="GH12" s="18" t="n"/>
      <c r="GI12" s="18" t="n"/>
      <c r="GJ12" s="18" t="n"/>
      <c r="GK12" s="18" t="n"/>
      <c r="GL12" s="18" t="n">
        <v>200</v>
      </c>
      <c r="GM12" s="18" t="n"/>
      <c r="GN12" s="18" t="n"/>
    </row>
    <row r="13" hidden="1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713" t="n"/>
      <c r="E13" s="6" t="n"/>
      <c r="F13" s="38" t="n">
        <v>0</v>
      </c>
      <c r="G13" s="38" t="n">
        <v>100</v>
      </c>
      <c r="H13" s="38" t="n">
        <v>100</v>
      </c>
      <c r="I13" s="38">
        <f>100-100</f>
        <v/>
      </c>
      <c r="J13" s="38" t="n">
        <v>0</v>
      </c>
      <c r="K13" s="38" t="n">
        <v>0</v>
      </c>
      <c r="L13" s="38" t="n">
        <v>0</v>
      </c>
      <c r="M13" s="38" t="n">
        <v>0</v>
      </c>
      <c r="N13" s="38" t="n">
        <v>0</v>
      </c>
      <c r="O13" s="38" t="n">
        <v>0</v>
      </c>
      <c r="P13" s="38" t="n">
        <v>0</v>
      </c>
      <c r="Q13" s="38" t="n">
        <v>0</v>
      </c>
      <c r="R13" s="38" t="n"/>
      <c r="S13" s="38" t="n"/>
      <c r="T13" s="38" t="n"/>
      <c r="U13" s="38" t="n"/>
      <c r="V13" s="38" t="n"/>
      <c r="W13" s="38" t="n"/>
      <c r="X13" s="38" t="n"/>
      <c r="Y13" s="38" t="n"/>
      <c r="Z13" s="38" t="n"/>
      <c r="AA13" s="38" t="n"/>
      <c r="AB13" s="38" t="n"/>
      <c r="AC13" s="38" t="n"/>
      <c r="AD13" s="38" t="n"/>
      <c r="AE13" s="38" t="n"/>
      <c r="AF13" s="38" t="n"/>
      <c r="AG13" s="38" t="n"/>
      <c r="AH13" s="38" t="n"/>
      <c r="AI13" s="38" t="n"/>
      <c r="AJ13" s="38" t="n"/>
      <c r="AK13" s="38" t="n"/>
      <c r="AL13" s="38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38" t="n"/>
      <c r="BA13" s="38" t="n"/>
      <c r="BB13" s="38" t="n"/>
      <c r="BC13" s="38" t="n"/>
      <c r="BD13" s="38" t="n"/>
      <c r="BE13" s="38" t="n"/>
      <c r="BF13" s="38" t="n"/>
      <c r="BG13" s="38" t="n"/>
      <c r="BH13" s="38" t="n"/>
      <c r="BI13" s="38" t="n"/>
      <c r="BJ13" s="38" t="n"/>
      <c r="BK13" s="38" t="n"/>
      <c r="BL13" s="38" t="n"/>
      <c r="BM13" s="38" t="n"/>
      <c r="BN13" s="38" t="n"/>
      <c r="BO13" s="38" t="n"/>
      <c r="BP13" s="38" t="n"/>
      <c r="BQ13" s="38" t="n"/>
      <c r="BR13" s="38" t="n"/>
      <c r="BS13" s="38" t="n"/>
      <c r="BT13" s="38" t="n"/>
      <c r="BU13" s="38" t="n"/>
      <c r="BV13" s="38" t="n"/>
      <c r="BW13" s="38" t="n"/>
      <c r="BX13" s="38" t="n"/>
      <c r="BY13" s="38" t="n"/>
      <c r="BZ13" s="38" t="n"/>
      <c r="CA13" s="38" t="n"/>
      <c r="CB13" s="188">
        <f>BZ13+IF(NOT(ISBLANK(OFFSET(CB13,0,6))),N(OFFSET(CB13,0,6)),N(OFFSET(CB13,0,7)))-CA13</f>
        <v/>
      </c>
      <c r="CC13" s="6" t="n"/>
      <c r="CD13" s="19" t="n"/>
      <c r="CE13" s="19" t="n"/>
      <c r="CF13" s="19" t="n"/>
      <c r="CG13" s="65" t="n"/>
      <c r="CH13" s="4" t="n"/>
      <c r="CI13" s="18" t="n"/>
      <c r="CJ13" s="18" t="n"/>
      <c r="CK13" s="18" t="n"/>
      <c r="CL13" s="18" t="n"/>
      <c r="CM13" s="18" t="n"/>
      <c r="CN13" s="18" t="n"/>
      <c r="CO13" s="18" t="n"/>
      <c r="CP13" s="18" t="n"/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8" t="n"/>
      <c r="DA13" s="18" t="n"/>
      <c r="DB13" s="18" t="n"/>
      <c r="DC13" s="18" t="n"/>
      <c r="DD13" s="18" t="n"/>
      <c r="DE13" s="18" t="n"/>
      <c r="DF13" s="18" t="n"/>
      <c r="DG13" s="18" t="n"/>
      <c r="DH13" s="18" t="n"/>
      <c r="DI13" s="18" t="n"/>
      <c r="DJ13" s="18" t="n"/>
      <c r="DK13" s="18" t="n"/>
      <c r="DL13" s="18" t="n"/>
      <c r="DM13" s="18" t="n"/>
      <c r="DN13" s="18" t="n"/>
      <c r="DO13" s="356" t="n"/>
      <c r="DP13" s="18" t="n"/>
      <c r="DQ13" s="18" t="n"/>
      <c r="DR13" s="18" t="n"/>
      <c r="DS13" s="18" t="n"/>
      <c r="DT13" s="18" t="n"/>
      <c r="DU13" s="18" t="n"/>
      <c r="DV13" s="18" t="n"/>
      <c r="DW13" s="18" t="n"/>
      <c r="DX13" s="256" t="n"/>
      <c r="DY13" s="18" t="n"/>
      <c r="DZ13" s="256" t="n"/>
      <c r="EA13" s="18" t="n"/>
      <c r="EB13" s="18" t="n"/>
      <c r="EC13" s="18" t="n"/>
      <c r="ED13" s="18" t="n"/>
      <c r="EE13" s="18" t="n"/>
      <c r="EF13" s="18" t="n"/>
      <c r="EG13" s="18" t="n"/>
      <c r="EH13" s="18" t="n"/>
      <c r="EI13" s="18" t="n"/>
      <c r="EJ13" s="18" t="n"/>
      <c r="EK13" s="18" t="n"/>
      <c r="EL13" s="18" t="n"/>
      <c r="EM13" s="18" t="n"/>
      <c r="EN13" s="18" t="n"/>
      <c r="EO13" s="18" t="n"/>
      <c r="EP13" s="256" t="n"/>
      <c r="EQ13" s="18" t="n"/>
      <c r="ER13" s="18" t="n"/>
      <c r="ES13" s="260" t="n"/>
      <c r="ET13" s="260" t="n"/>
      <c r="EU13" s="18" t="n"/>
      <c r="EV13" s="18" t="n"/>
      <c r="EW13" s="260" t="n"/>
      <c r="EX13" s="260" t="n"/>
      <c r="EY13" s="18" t="n"/>
      <c r="EZ13" s="260" t="n"/>
      <c r="FA13" s="18" t="n"/>
      <c r="FB13" s="260" t="n"/>
      <c r="FC13" s="260" t="n"/>
      <c r="FD13" s="256" t="n"/>
      <c r="FE13" s="260" t="n"/>
      <c r="FF13" s="260" t="n"/>
      <c r="FG13" s="18" t="n"/>
      <c r="FH13" s="18" t="n"/>
      <c r="FI13" s="18" t="n"/>
      <c r="FJ13" s="18" t="n"/>
      <c r="FK13" s="18" t="n"/>
      <c r="FL13" s="18" t="n"/>
      <c r="FM13" s="18" t="n"/>
      <c r="FN13" s="18" t="n"/>
      <c r="FO13" s="18" t="n"/>
      <c r="FP13" s="18" t="n"/>
      <c r="FQ13" s="18" t="n"/>
      <c r="FR13" s="18" t="n"/>
      <c r="FS13" s="18" t="n"/>
      <c r="FT13" s="256" t="n"/>
      <c r="FU13" s="18" t="n"/>
      <c r="FV13" s="18" t="n"/>
      <c r="FW13" s="18" t="n"/>
      <c r="FX13" s="18" t="n"/>
      <c r="FY13" s="18" t="n"/>
      <c r="FZ13" s="260" t="n"/>
      <c r="GA13" s="18" t="n"/>
      <c r="GB13" s="18" t="n"/>
      <c r="GC13" s="18" t="n"/>
      <c r="GD13" s="260" t="n"/>
      <c r="GE13" s="260" t="n"/>
      <c r="GF13" s="239" t="inlineStr">
        <is>
          <t>100 P/ ER</t>
        </is>
      </c>
      <c r="GG13" s="18" t="n"/>
      <c r="GH13" s="18" t="n"/>
      <c r="GI13" s="18" t="n"/>
      <c r="GJ13" s="18" t="n"/>
      <c r="GK13" s="18" t="n"/>
      <c r="GL13" s="18" t="n">
        <v>100</v>
      </c>
      <c r="GM13" s="18" t="n"/>
      <c r="GN13" s="18" t="n"/>
    </row>
    <row r="14" hidden="1" ht="18.75" customHeight="1">
      <c r="CB14" s="53" t="n"/>
      <c r="CD14" s="69" t="n"/>
      <c r="CE14" s="69" t="n"/>
      <c r="CF14" s="69" t="n"/>
      <c r="DO14" s="17" t="n"/>
      <c r="EP14" s="271" t="n"/>
      <c r="FD14" s="271" t="n"/>
      <c r="FT14" s="271" t="n"/>
    </row>
    <row r="15" hidden="1" ht="18.75" customFormat="1" customHeight="1" s="3">
      <c r="A15" s="32" t="inlineStr">
        <is>
          <t>KIT SACOLAS BOTICÁRIO VENDIDAS</t>
        </is>
      </c>
      <c r="B15" s="575" t="inlineStr">
        <is>
          <t>MÓD</t>
        </is>
      </c>
      <c r="C15" s="575" t="inlineStr">
        <is>
          <t>R$</t>
        </is>
      </c>
      <c r="D15" s="575" t="n"/>
      <c r="E15" s="642" t="n"/>
      <c r="F15" s="650" t="n">
        <v>45656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/>
      <c r="BD15" s="650" t="n"/>
      <c r="BE15" s="650" t="n"/>
      <c r="BF15" s="650" t="n"/>
      <c r="BG15" s="650" t="n"/>
      <c r="BH15" s="650" t="n"/>
      <c r="BI15" s="650" t="n"/>
      <c r="BJ15" s="650" t="n"/>
      <c r="BK15" s="650" t="n"/>
      <c r="BL15" s="650" t="n"/>
      <c r="BM15" s="650" t="n"/>
      <c r="BN15" s="650" t="n"/>
      <c r="BO15" s="650" t="n"/>
      <c r="BP15" s="650" t="n"/>
      <c r="BQ15" s="650" t="n"/>
      <c r="BR15" s="650" t="n"/>
      <c r="BS15" s="650" t="n"/>
      <c r="BT15" s="650" t="n"/>
      <c r="BU15" s="650" t="n"/>
      <c r="BV15" s="650" t="n"/>
      <c r="BW15" s="650" t="n"/>
      <c r="BX15" s="650" t="n"/>
      <c r="BY15" s="650" t="n"/>
      <c r="BZ15" s="650" t="n"/>
      <c r="CA15" s="650" t="n"/>
      <c r="CB15" s="652" t="inlineStr">
        <is>
          <t>USOU</t>
        </is>
      </c>
      <c r="CC15" s="6" t="n"/>
      <c r="CD15" s="35" t="inlineStr">
        <is>
          <t>Pend.</t>
        </is>
      </c>
      <c r="CE15" s="35" t="inlineStr">
        <is>
          <t>Pend.</t>
        </is>
      </c>
      <c r="CF15" s="35" t="inlineStr">
        <is>
          <t>Pend.</t>
        </is>
      </c>
      <c r="CG15" s="12" t="inlineStr">
        <is>
          <t>Novo Pedido</t>
        </is>
      </c>
      <c r="CI15" s="654" t="n"/>
      <c r="CJ15" s="654" t="n"/>
      <c r="CK15" s="654" t="n"/>
      <c r="CL15" s="654" t="n"/>
      <c r="CM15" s="654" t="n"/>
      <c r="CN15" s="654" t="n"/>
      <c r="CO15" s="654" t="n"/>
      <c r="CP15" s="654" t="n"/>
      <c r="CQ15" s="654" t="n"/>
      <c r="CR15" s="654" t="n"/>
      <c r="CS15" s="654" t="n"/>
      <c r="CT15" s="654" t="n"/>
      <c r="CU15" s="654" t="n"/>
      <c r="CV15" s="654" t="n"/>
      <c r="CW15" s="654" t="n"/>
      <c r="CX15" s="654" t="n"/>
      <c r="CY15" s="654" t="n"/>
      <c r="CZ15" s="654" t="n"/>
      <c r="DA15" s="654" t="n"/>
      <c r="DB15" s="654" t="n"/>
      <c r="DC15" s="654" t="n">
        <v>45986</v>
      </c>
      <c r="DD15" s="654" t="n">
        <v>45980</v>
      </c>
      <c r="DE15" s="654" t="n">
        <v>45980</v>
      </c>
      <c r="DF15" s="654" t="n">
        <v>45973</v>
      </c>
      <c r="DG15" s="654" t="n">
        <v>45965</v>
      </c>
      <c r="DH15" s="654" t="n">
        <v>45960</v>
      </c>
      <c r="DI15" s="655" t="n">
        <v>45967</v>
      </c>
      <c r="DJ15" s="654" t="n">
        <v>45937</v>
      </c>
      <c r="DK15" s="654" t="n">
        <v>45951</v>
      </c>
      <c r="DL15" s="654" t="n">
        <v>45931</v>
      </c>
      <c r="DM15" s="654" t="n">
        <v>45923</v>
      </c>
      <c r="DN15" s="654" t="n">
        <v>45923</v>
      </c>
      <c r="DO15" s="678" t="n">
        <v>45903</v>
      </c>
      <c r="DP15" s="655" t="n">
        <v>45931</v>
      </c>
      <c r="DQ15" s="688" t="n">
        <v>45931</v>
      </c>
      <c r="DR15" s="654" t="n">
        <v>45915</v>
      </c>
      <c r="DS15" s="654" t="n">
        <v>45909</v>
      </c>
      <c r="DT15" s="654" t="n">
        <v>45903</v>
      </c>
      <c r="DU15" s="654" t="n">
        <v>45903</v>
      </c>
      <c r="DV15" s="654" t="n">
        <v>45895</v>
      </c>
      <c r="DW15" s="654" t="n">
        <v>45881</v>
      </c>
      <c r="DX15" s="679" t="n">
        <v>45896</v>
      </c>
      <c r="DY15" s="654" t="n">
        <v>45888</v>
      </c>
      <c r="DZ15" s="679" t="n">
        <v>45839</v>
      </c>
      <c r="EA15" s="654" t="n">
        <v>45874</v>
      </c>
      <c r="EB15" s="654" t="n">
        <v>45867</v>
      </c>
      <c r="EC15" s="655" t="n">
        <v>45882</v>
      </c>
      <c r="ED15" s="655" t="n">
        <v>45881</v>
      </c>
      <c r="EE15" s="654" t="n">
        <v>45874</v>
      </c>
      <c r="EF15" s="654" t="n">
        <v>45867</v>
      </c>
      <c r="EG15" s="654" t="n">
        <v>45860</v>
      </c>
      <c r="EH15" s="655" t="n">
        <v>45863</v>
      </c>
      <c r="EI15" s="655" t="n">
        <v>45860</v>
      </c>
      <c r="EJ15" s="654" t="n">
        <v>45860</v>
      </c>
      <c r="EK15" s="654" t="n">
        <v>45853</v>
      </c>
      <c r="EL15" s="681" t="n">
        <v>45855</v>
      </c>
      <c r="EM15" s="654" t="n">
        <v>45848</v>
      </c>
      <c r="EN15" s="654" t="n">
        <v>45839</v>
      </c>
      <c r="EO15" s="654" t="n">
        <v>45832</v>
      </c>
      <c r="EP15" s="650" t="n">
        <v>45842</v>
      </c>
      <c r="EQ15" s="654" t="n">
        <v>45832</v>
      </c>
      <c r="ER15" s="654" t="n">
        <v>45825</v>
      </c>
      <c r="ES15" s="655" t="n">
        <v>45826</v>
      </c>
      <c r="ET15" s="655" t="n">
        <v>45825</v>
      </c>
      <c r="EU15" s="654" t="n">
        <v>45819</v>
      </c>
      <c r="EV15" s="654" t="n">
        <v>45813</v>
      </c>
      <c r="EW15" s="655" t="n">
        <v>45820</v>
      </c>
      <c r="EX15" s="655" t="n">
        <v>45818</v>
      </c>
      <c r="EY15" s="654" t="n">
        <v>45805</v>
      </c>
      <c r="EZ15" s="655" t="n">
        <v>45807</v>
      </c>
      <c r="FA15" s="654" t="n">
        <v>45790</v>
      </c>
      <c r="FB15" s="655" t="n">
        <v>45799</v>
      </c>
      <c r="FC15" s="690" t="n">
        <v>45799</v>
      </c>
      <c r="FD15" s="650" t="n">
        <v>45798</v>
      </c>
      <c r="FE15" s="655" t="n">
        <v>45798</v>
      </c>
      <c r="FF15" s="655" t="n">
        <v>45797</v>
      </c>
      <c r="FG15" s="654" t="n">
        <v>45790</v>
      </c>
      <c r="FH15" s="654" t="n">
        <v>45783</v>
      </c>
      <c r="FI15" s="654" t="n">
        <v>45775</v>
      </c>
      <c r="FJ15" s="654" t="n">
        <v>45756</v>
      </c>
      <c r="FK15" s="654" t="n">
        <v>45770</v>
      </c>
      <c r="FL15" s="654" t="n">
        <v>45756</v>
      </c>
      <c r="FM15" s="654" t="n">
        <v>45749</v>
      </c>
      <c r="FN15" s="654" t="n">
        <v>45736</v>
      </c>
      <c r="FO15" s="654" t="n">
        <v>45743</v>
      </c>
      <c r="FP15" s="654" t="n">
        <v>45735</v>
      </c>
      <c r="FQ15" s="654" t="n">
        <v>45728</v>
      </c>
      <c r="FR15" s="654" t="n">
        <v>45722</v>
      </c>
      <c r="FS15" s="654" t="n">
        <v>45714</v>
      </c>
      <c r="FT15" s="650" t="n">
        <v>45700</v>
      </c>
      <c r="FU15" s="654" t="n">
        <v>45706</v>
      </c>
      <c r="FV15" s="654" t="n">
        <v>45700</v>
      </c>
      <c r="FW15" s="654" t="n">
        <v>45684</v>
      </c>
      <c r="FX15" s="654" t="n">
        <v>45699</v>
      </c>
      <c r="FY15" s="654" t="n">
        <v>45699</v>
      </c>
      <c r="FZ15" s="655" t="n">
        <v>45706</v>
      </c>
      <c r="GA15" s="654" t="n">
        <v>45693</v>
      </c>
      <c r="GB15" s="654" t="n">
        <v>45693</v>
      </c>
      <c r="GC15" s="654" t="n">
        <v>45685</v>
      </c>
      <c r="GD15" s="712" t="n">
        <v>45692</v>
      </c>
      <c r="GE15" s="655" t="n">
        <v>45691</v>
      </c>
      <c r="GF15" s="655" t="n">
        <v>45681</v>
      </c>
      <c r="GG15" s="654" t="n">
        <v>45674</v>
      </c>
      <c r="GH15" s="655" t="n">
        <v>45672</v>
      </c>
      <c r="GI15" s="654" t="n">
        <v>45664</v>
      </c>
      <c r="GJ15" s="654" t="n">
        <v>46008</v>
      </c>
      <c r="GK15" s="654" t="n">
        <v>45660</v>
      </c>
      <c r="GL15" s="654" t="n">
        <v>45652</v>
      </c>
      <c r="GM15" s="654" t="n">
        <v>45638</v>
      </c>
      <c r="GN15" s="654" t="n">
        <v>45643</v>
      </c>
    </row>
    <row r="16" hidden="1" ht="18.75" customFormat="1" customHeight="1" s="3">
      <c r="A16" s="33" t="inlineStr">
        <is>
          <t>KIT SACOLA PP VERDE (KIT C/ 10)</t>
        </is>
      </c>
      <c r="B16" s="9" t="n">
        <v>280</v>
      </c>
      <c r="C16" s="662" t="n">
        <v>166.44</v>
      </c>
      <c r="D16" s="329" t="n">
        <v>40</v>
      </c>
      <c r="E16" s="714" t="n"/>
      <c r="F16" s="120" t="n">
        <v>149</v>
      </c>
      <c r="G16" s="120" t="n">
        <v>144</v>
      </c>
      <c r="H16" s="120" t="n">
        <v>142</v>
      </c>
      <c r="I16" s="120" t="n">
        <v>140</v>
      </c>
      <c r="J16" s="120" t="n">
        <v>135</v>
      </c>
      <c r="K16" s="120" t="n">
        <v>127</v>
      </c>
      <c r="L16" s="262" t="n">
        <v>165</v>
      </c>
      <c r="M16" s="120" t="n">
        <v>164</v>
      </c>
      <c r="N16" s="120" t="n">
        <v>155</v>
      </c>
      <c r="O16" s="120" t="n">
        <v>151</v>
      </c>
      <c r="P16" s="120" t="n">
        <v>142</v>
      </c>
      <c r="Q16" s="120" t="n">
        <v>142</v>
      </c>
      <c r="R16" s="120" t="n">
        <v>142</v>
      </c>
      <c r="S16" s="120" t="n">
        <v>135</v>
      </c>
      <c r="T16" s="120" t="n">
        <v>131</v>
      </c>
      <c r="U16" s="120" t="n">
        <v>124</v>
      </c>
      <c r="V16" s="120" t="n">
        <v>122</v>
      </c>
      <c r="W16" s="120" t="n">
        <v>119</v>
      </c>
      <c r="X16" s="120" t="n">
        <v>104</v>
      </c>
      <c r="Y16" s="120" t="n">
        <v>84</v>
      </c>
      <c r="Z16" s="120" t="n">
        <v>80</v>
      </c>
      <c r="AA16" s="120" t="n">
        <v>76</v>
      </c>
      <c r="AB16" s="120" t="n">
        <v>70</v>
      </c>
      <c r="AC16" s="120" t="n">
        <v>59</v>
      </c>
      <c r="AD16" s="120" t="n">
        <v>50</v>
      </c>
      <c r="AE16" s="120" t="n">
        <v>47</v>
      </c>
      <c r="AF16" s="120" t="n">
        <v>32</v>
      </c>
      <c r="AG16" s="120" t="n">
        <v>29</v>
      </c>
      <c r="AH16" s="120" t="n">
        <v>22</v>
      </c>
      <c r="AI16" s="120">
        <f>17+40</f>
        <v/>
      </c>
      <c r="AJ16" s="120" t="n">
        <v>52</v>
      </c>
      <c r="AK16" s="120" t="n">
        <v>47</v>
      </c>
      <c r="AL16" s="120" t="n">
        <v>33</v>
      </c>
      <c r="AM16" s="120" t="n">
        <v>21</v>
      </c>
      <c r="AN16" s="120" t="n">
        <v>21</v>
      </c>
      <c r="AO16" s="120" t="n">
        <v>9</v>
      </c>
      <c r="AP16" s="120" t="n">
        <v>0</v>
      </c>
      <c r="AQ16" s="120" t="n">
        <v>0</v>
      </c>
      <c r="AR16" s="120" t="n">
        <v>0</v>
      </c>
      <c r="AS16" s="120" t="n">
        <v>0</v>
      </c>
      <c r="AT16" s="120" t="n">
        <v>0</v>
      </c>
      <c r="AU16" s="120" t="n">
        <v>0</v>
      </c>
      <c r="AV16" s="120" t="n">
        <v>0</v>
      </c>
      <c r="AW16" s="120" t="n">
        <v>0</v>
      </c>
      <c r="AX16" s="120" t="n">
        <v>0</v>
      </c>
      <c r="AY16" s="120" t="n">
        <v>0</v>
      </c>
      <c r="AZ16" s="120" t="n">
        <v>0</v>
      </c>
      <c r="BA16" s="120" t="n">
        <v>0</v>
      </c>
      <c r="BB16" s="120" t="n"/>
      <c r="BC16" s="120" t="n"/>
      <c r="BD16" s="120" t="n"/>
      <c r="BE16" s="120" t="n"/>
      <c r="BF16" s="120" t="n"/>
      <c r="BG16" s="120" t="n"/>
      <c r="BH16" s="120" t="n"/>
      <c r="BI16" s="120" t="n"/>
      <c r="BJ16" s="120" t="n"/>
      <c r="BK16" s="120" t="n"/>
      <c r="BL16" s="120" t="n"/>
      <c r="BM16" s="120" t="n"/>
      <c r="BN16" s="120" t="n"/>
      <c r="BO16" s="120" t="n"/>
      <c r="BP16" s="120" t="n"/>
      <c r="BQ16" s="120" t="n"/>
      <c r="BR16" s="120" t="n"/>
      <c r="BS16" s="120" t="n"/>
      <c r="BT16" s="120" t="n"/>
      <c r="BU16" s="120" t="n"/>
      <c r="BV16" s="120" t="n"/>
      <c r="BW16" s="120" t="n"/>
      <c r="BX16" s="120" t="n"/>
      <c r="BY16" s="120" t="n"/>
      <c r="BZ16" s="120" t="n"/>
      <c r="CA16" s="120" t="n"/>
      <c r="CB16" s="154">
        <f>BZ16+IF(NOT(ISBLANK(OFFSET(CB16,0,6))),N(OFFSET(CB16,0,6)),N(OFFSET(CB16,0,7)))-CA16</f>
        <v/>
      </c>
      <c r="CC16" s="118" t="n"/>
      <c r="CD16" s="19" t="n"/>
      <c r="CE16" s="19" t="n"/>
      <c r="CF16" s="19" t="n"/>
      <c r="CG16" s="65" t="n"/>
      <c r="CH16" s="119" t="n"/>
      <c r="CI16" s="18" t="n"/>
      <c r="CJ16" s="18" t="n"/>
      <c r="CK16" s="18" t="n"/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8" t="n"/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18" t="n"/>
      <c r="DM16" s="18" t="n"/>
      <c r="DN16" s="18" t="n"/>
      <c r="DO16" s="356" t="n"/>
      <c r="DP16" s="18" t="n"/>
      <c r="DQ16" s="18" t="n"/>
      <c r="DR16" s="18" t="n"/>
      <c r="DS16" s="18" t="n"/>
      <c r="DT16" s="18" t="n"/>
      <c r="DU16" s="18" t="n"/>
      <c r="DV16" s="18" t="n"/>
      <c r="DW16" s="18" t="n"/>
      <c r="DX16" s="18" t="n"/>
      <c r="DY16" s="18" t="n"/>
      <c r="DZ16" s="18" t="n"/>
      <c r="EA16" s="18" t="n"/>
      <c r="EB16" s="18" t="n"/>
      <c r="EC16" s="18" t="n"/>
      <c r="ED16" s="18" t="n"/>
      <c r="EE16" s="18" t="n"/>
      <c r="EF16" s="18" t="n"/>
      <c r="EG16" s="18" t="n"/>
      <c r="EH16" s="241" t="inlineStr">
        <is>
          <t>40 DE ER PB</t>
        </is>
      </c>
      <c r="EI16" s="18" t="n"/>
      <c r="EJ16" s="18" t="n"/>
      <c r="EK16" s="18" t="n"/>
      <c r="EL16" s="18" t="n"/>
      <c r="EM16" s="18" t="n"/>
      <c r="EN16" s="18" t="n"/>
      <c r="EO16" s="18" t="n"/>
      <c r="EP16" s="292" t="inlineStr">
        <is>
          <t>167 P/ BRINDE</t>
        </is>
      </c>
      <c r="EQ16" s="18" t="n"/>
      <c r="ER16" s="18" t="n"/>
      <c r="ES16" s="18" t="n"/>
      <c r="ET16" s="18" t="n"/>
      <c r="EU16" s="18" t="n"/>
      <c r="EV16" s="18" t="n"/>
      <c r="EW16" s="18" t="n"/>
      <c r="EX16" s="18" t="n"/>
      <c r="EY16" s="18" t="n"/>
      <c r="EZ16" s="18" t="n"/>
      <c r="FA16" s="18" t="n"/>
      <c r="FB16" s="18" t="n"/>
      <c r="FC16" s="18" t="n"/>
      <c r="FD16" s="292" t="inlineStr">
        <is>
          <t>295 P/ ER</t>
        </is>
      </c>
      <c r="FE16" s="18" t="n"/>
      <c r="FF16" s="18" t="n"/>
      <c r="FG16" s="18" t="n"/>
      <c r="FH16" s="18" t="n"/>
      <c r="FI16" s="18" t="n"/>
      <c r="FJ16" s="18" t="n"/>
      <c r="FK16" s="18" t="n"/>
      <c r="FL16" s="18" t="n"/>
      <c r="FM16" s="18" t="n"/>
      <c r="FN16" s="18" t="n"/>
      <c r="FO16" s="18" t="n"/>
      <c r="FP16" s="18" t="n"/>
      <c r="FQ16" s="18" t="n"/>
      <c r="FR16" s="18" t="n"/>
      <c r="FS16" s="18" t="n"/>
      <c r="FT16" s="256" t="n">
        <v>600</v>
      </c>
      <c r="FU16" s="18" t="n"/>
      <c r="FV16" s="18" t="n"/>
      <c r="FW16" s="18" t="n"/>
      <c r="FX16" s="18" t="n"/>
      <c r="FY16" s="18" t="n"/>
      <c r="FZ16" s="18" t="n"/>
      <c r="GA16" s="18" t="n"/>
      <c r="GB16" s="18" t="n"/>
      <c r="GC16" s="18" t="n"/>
      <c r="GD16" s="18" t="n"/>
      <c r="GE16" s="18" t="n"/>
      <c r="GF16" s="18" t="n"/>
      <c r="GG16" s="18" t="n"/>
      <c r="GH16" s="18" t="n"/>
      <c r="GI16" s="18" t="n"/>
      <c r="GJ16" s="18" t="n"/>
      <c r="GK16" s="18" t="n"/>
      <c r="GL16" s="18" t="n"/>
      <c r="GM16" s="18" t="n"/>
      <c r="GN16" s="18" t="n"/>
    </row>
    <row r="17" hidden="1" ht="18.75" customFormat="1" customHeight="1" s="3">
      <c r="A17" s="33" t="inlineStr">
        <is>
          <t>KIT SACOLA P VERDE (KIT C/ 10)</t>
        </is>
      </c>
      <c r="B17" s="9" t="n">
        <v>200</v>
      </c>
      <c r="C17" s="662" t="n">
        <v>184.08</v>
      </c>
      <c r="D17" s="329" t="n">
        <v>60</v>
      </c>
      <c r="E17" s="2" t="n"/>
      <c r="F17" s="38" t="n">
        <v>55</v>
      </c>
      <c r="G17" s="38" t="n">
        <v>66</v>
      </c>
      <c r="H17" s="38" t="n">
        <v>38</v>
      </c>
      <c r="I17" s="38">
        <f>33+GG17</f>
        <v/>
      </c>
      <c r="J17" s="38" t="n">
        <v>68</v>
      </c>
      <c r="K17" s="38" t="n">
        <v>58</v>
      </c>
      <c r="L17" s="261" t="n">
        <v>59</v>
      </c>
      <c r="M17" s="38" t="n">
        <v>73</v>
      </c>
      <c r="N17" s="38" t="n">
        <v>60</v>
      </c>
      <c r="O17" s="38">
        <f>54+FS17</f>
        <v/>
      </c>
      <c r="P17" s="38" t="n">
        <v>54</v>
      </c>
      <c r="Q17" s="38">
        <f>52+FQ17</f>
        <v/>
      </c>
      <c r="R17" s="38" t="n">
        <v>81</v>
      </c>
      <c r="S17" s="38" t="n">
        <v>72</v>
      </c>
      <c r="T17" s="38" t="n">
        <v>125</v>
      </c>
      <c r="U17" s="38" t="n">
        <v>111</v>
      </c>
      <c r="V17" s="38" t="n">
        <v>107</v>
      </c>
      <c r="W17" s="38" t="n">
        <v>104</v>
      </c>
      <c r="X17" s="38" t="n">
        <v>93</v>
      </c>
      <c r="Y17" s="38" t="n">
        <v>76</v>
      </c>
      <c r="Z17" s="38" t="n">
        <v>66</v>
      </c>
      <c r="AA17" s="38">
        <f>52+30</f>
        <v/>
      </c>
      <c r="AB17" s="38" t="n">
        <v>64</v>
      </c>
      <c r="AC17" s="38" t="n">
        <v>54</v>
      </c>
      <c r="AD17" s="38" t="n">
        <v>50</v>
      </c>
      <c r="AE17" s="38" t="n">
        <v>38</v>
      </c>
      <c r="AF17" s="38" t="n">
        <v>25</v>
      </c>
      <c r="AG17" s="38" t="n">
        <v>23</v>
      </c>
      <c r="AH17" s="38" t="n">
        <v>19</v>
      </c>
      <c r="AI17" s="38">
        <f>13+20</f>
        <v/>
      </c>
      <c r="AJ17" s="38" t="n">
        <v>21</v>
      </c>
      <c r="AK17" s="38" t="n">
        <v>20</v>
      </c>
      <c r="AL17" s="38" t="n">
        <v>2</v>
      </c>
      <c r="AM17" s="38" t="n">
        <v>0</v>
      </c>
      <c r="AN17" s="38">
        <f>0+EB17</f>
        <v/>
      </c>
      <c r="AO17" s="38" t="n">
        <v>31</v>
      </c>
      <c r="AP17" s="38" t="n">
        <v>27</v>
      </c>
      <c r="AQ17" s="38" t="n">
        <v>19</v>
      </c>
      <c r="AR17" s="38" t="n">
        <v>11</v>
      </c>
      <c r="AS17" s="38" t="n">
        <v>69</v>
      </c>
      <c r="AT17" s="38" t="n">
        <v>53</v>
      </c>
      <c r="AU17" s="38" t="n">
        <v>47</v>
      </c>
      <c r="AV17" s="38" t="n">
        <v>37</v>
      </c>
      <c r="AW17" s="38" t="n">
        <v>28</v>
      </c>
      <c r="AX17" s="38" t="n">
        <v>25</v>
      </c>
      <c r="AY17" s="38" t="n">
        <v>2</v>
      </c>
      <c r="AZ17" s="38" t="n">
        <v>0</v>
      </c>
      <c r="BA17" s="38" t="n">
        <v>0</v>
      </c>
      <c r="BB17" s="38" t="n"/>
      <c r="BC17" s="38" t="n"/>
      <c r="BD17" s="38" t="n"/>
      <c r="BE17" s="38" t="n"/>
      <c r="BF17" s="38" t="n"/>
      <c r="BG17" s="38" t="n"/>
      <c r="BH17" s="38" t="n"/>
      <c r="BI17" s="38" t="n"/>
      <c r="BJ17" s="38" t="n"/>
      <c r="BK17" s="38" t="n"/>
      <c r="BL17" s="38" t="n"/>
      <c r="BM17" s="38" t="n"/>
      <c r="BN17" s="38" t="n"/>
      <c r="BO17" s="38" t="n"/>
      <c r="BP17" s="38" t="n"/>
      <c r="BQ17" s="38" t="n"/>
      <c r="BR17" s="38" t="n"/>
      <c r="BS17" s="38" t="n"/>
      <c r="BT17" s="38" t="n"/>
      <c r="BU17" s="38" t="n"/>
      <c r="BV17" s="38" t="n"/>
      <c r="BW17" s="38" t="n"/>
      <c r="BX17" s="38" t="n"/>
      <c r="BY17" s="38" t="n"/>
      <c r="BZ17" s="38" t="n"/>
      <c r="CA17" s="38" t="n"/>
      <c r="CB17" s="154">
        <f>BZ17+IF(NOT(ISBLANK(OFFSET(CB17,0,6))),N(OFFSET(CB17,0,6)),N(OFFSET(CB17,0,7)))-CA17</f>
        <v/>
      </c>
      <c r="CC17" s="118" t="n"/>
      <c r="CD17" s="233" t="inlineStr">
        <is>
          <t>335 NATAL P/ BRINDE</t>
        </is>
      </c>
      <c r="CE17" s="19" t="n"/>
      <c r="CF17" s="19" t="n"/>
      <c r="CG17" s="65" t="n"/>
      <c r="CH17" s="119" t="n"/>
      <c r="CI17" s="18" t="n"/>
      <c r="CJ17" s="18" t="n"/>
      <c r="CK17" s="18" t="n"/>
      <c r="CL17" s="18" t="n"/>
      <c r="CM17" s="18" t="n"/>
      <c r="CN17" s="18" t="n"/>
      <c r="CO17" s="18" t="n"/>
      <c r="CP17" s="18" t="n"/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356" t="n"/>
      <c r="DP17" s="18" t="n"/>
      <c r="DQ17" s="18" t="n"/>
      <c r="DR17" s="18" t="n">
        <v>60</v>
      </c>
      <c r="DS17" s="18" t="n"/>
      <c r="DT17" s="18" t="n"/>
      <c r="DU17" s="18" t="n"/>
      <c r="DV17" s="18" t="n"/>
      <c r="DW17" s="18" t="n"/>
      <c r="DX17" s="18" t="n"/>
      <c r="DY17" s="18" t="n"/>
      <c r="DZ17" s="18" t="n"/>
      <c r="EA17" s="18" t="n"/>
      <c r="EB17" s="18" t="n">
        <v>40</v>
      </c>
      <c r="EC17" s="18" t="n"/>
      <c r="ED17" s="18" t="n"/>
      <c r="EE17" s="18" t="n"/>
      <c r="EF17" s="18" t="n"/>
      <c r="EG17" s="18" t="n"/>
      <c r="EH17" s="18" t="n"/>
      <c r="EI17" s="241" t="inlineStr">
        <is>
          <t>20 DE ER PG</t>
        </is>
      </c>
      <c r="EJ17" s="18" t="n"/>
      <c r="EK17" s="18" t="n"/>
      <c r="EL17" s="18" t="n"/>
      <c r="EM17" s="18" t="n"/>
      <c r="EN17" s="18" t="n"/>
      <c r="EO17" s="18" t="n"/>
      <c r="EP17" s="256" t="n"/>
      <c r="EQ17" s="18" t="n"/>
      <c r="ER17" s="18" t="n"/>
      <c r="ES17" s="18" t="n"/>
      <c r="ET17" s="18" t="n"/>
      <c r="EU17" s="18" t="n"/>
      <c r="EV17" s="18" t="n"/>
      <c r="EW17" s="18" t="n"/>
      <c r="EX17" s="18" t="n"/>
      <c r="EY17" s="18" t="n"/>
      <c r="EZ17" s="239" t="inlineStr">
        <is>
          <t>30 DE ER PG</t>
        </is>
      </c>
      <c r="FA17" s="18" t="n"/>
      <c r="FB17" s="18" t="n"/>
      <c r="FC17" s="312" t="inlineStr">
        <is>
          <t>50 DE ER</t>
        </is>
      </c>
      <c r="FD17" s="292" t="inlineStr">
        <is>
          <t>184 P/ ER</t>
        </is>
      </c>
      <c r="FE17" s="18" t="n"/>
      <c r="FF17" s="18" t="n"/>
      <c r="FG17" s="18" t="n"/>
      <c r="FH17" s="18" t="n"/>
      <c r="FI17" s="18" t="n"/>
      <c r="FJ17" s="18" t="n"/>
      <c r="FK17" s="18" t="n"/>
      <c r="FL17" s="18" t="n"/>
      <c r="FM17" s="18" t="n"/>
      <c r="FN17" s="18" t="n"/>
      <c r="FO17" s="18" t="n">
        <v>60</v>
      </c>
      <c r="FP17" s="18" t="n"/>
      <c r="FQ17" s="18" t="n">
        <v>40</v>
      </c>
      <c r="FR17" s="18" t="n"/>
      <c r="FS17" s="18" t="n">
        <v>20</v>
      </c>
      <c r="FT17" s="256" t="n">
        <v>400</v>
      </c>
      <c r="FU17" s="18" t="n"/>
      <c r="FV17" s="18" t="n"/>
      <c r="FW17" s="18" t="n"/>
      <c r="FX17" s="18" t="n"/>
      <c r="FY17" s="18" t="n"/>
      <c r="FZ17" s="18" t="n"/>
      <c r="GA17" s="18" t="n">
        <v>20</v>
      </c>
      <c r="GB17" s="18" t="n"/>
      <c r="GC17" s="18" t="n"/>
      <c r="GD17" s="18" t="n"/>
      <c r="GE17" s="18" t="n"/>
      <c r="GF17" s="18" t="n"/>
      <c r="GG17" s="18" t="n">
        <v>40</v>
      </c>
      <c r="GH17" s="18" t="n"/>
      <c r="GI17" s="18" t="n"/>
      <c r="GJ17" s="18" t="n"/>
      <c r="GK17" s="18" t="n"/>
      <c r="GL17" s="18" t="n">
        <v>20</v>
      </c>
      <c r="GM17" s="18" t="n"/>
      <c r="GN17" s="18" t="n"/>
    </row>
    <row r="18" hidden="1" ht="18.75" customFormat="1" customHeight="1" s="3">
      <c r="A18" s="33" t="inlineStr">
        <is>
          <t>KIT SACOLA M VERDE (KIT C/ 10)</t>
        </is>
      </c>
      <c r="B18" s="9" t="n">
        <v>150</v>
      </c>
      <c r="C18" s="662" t="n">
        <v>181.31</v>
      </c>
      <c r="D18" s="329" t="n">
        <v>30</v>
      </c>
      <c r="E18" s="2" t="n"/>
      <c r="F18" s="38" t="n">
        <v>75</v>
      </c>
      <c r="G18" s="38" t="n">
        <v>71</v>
      </c>
      <c r="H18" s="38" t="n">
        <v>59</v>
      </c>
      <c r="I18" s="38">
        <f>54+GG18</f>
        <v/>
      </c>
      <c r="J18" s="38" t="n">
        <v>64</v>
      </c>
      <c r="K18" s="38" t="n">
        <v>59</v>
      </c>
      <c r="L18" s="261" t="n">
        <v>145</v>
      </c>
      <c r="M18" s="38" t="n">
        <v>142</v>
      </c>
      <c r="N18" s="38" t="n">
        <v>137</v>
      </c>
      <c r="O18" s="38" t="n">
        <v>133</v>
      </c>
      <c r="P18" s="38" t="n">
        <v>126</v>
      </c>
      <c r="Q18" s="38" t="n">
        <v>122</v>
      </c>
      <c r="R18" s="38" t="n">
        <v>119</v>
      </c>
      <c r="S18" s="38" t="n">
        <v>116</v>
      </c>
      <c r="T18" s="38" t="n">
        <v>112</v>
      </c>
      <c r="U18" s="38" t="n">
        <v>107</v>
      </c>
      <c r="V18" s="38" t="n">
        <v>104</v>
      </c>
      <c r="W18" s="38" t="n">
        <v>102</v>
      </c>
      <c r="X18" s="38" t="n">
        <v>95</v>
      </c>
      <c r="Y18" s="38" t="n">
        <v>82</v>
      </c>
      <c r="Z18" s="38" t="n">
        <v>80</v>
      </c>
      <c r="AA18" s="38" t="n">
        <v>76</v>
      </c>
      <c r="AB18" s="38" t="n">
        <v>72</v>
      </c>
      <c r="AC18" s="38" t="n">
        <v>68</v>
      </c>
      <c r="AD18" s="38" t="n">
        <v>65</v>
      </c>
      <c r="AE18" s="38" t="n">
        <v>59</v>
      </c>
      <c r="AF18" s="38" t="n">
        <v>54</v>
      </c>
      <c r="AG18" s="38" t="n">
        <v>53</v>
      </c>
      <c r="AH18" s="38" t="n">
        <v>50</v>
      </c>
      <c r="AI18" s="38" t="n">
        <v>45</v>
      </c>
      <c r="AJ18" s="38" t="n">
        <v>39</v>
      </c>
      <c r="AK18" s="38" t="n">
        <v>36</v>
      </c>
      <c r="AL18" s="38" t="n">
        <v>29</v>
      </c>
      <c r="AM18" s="38" t="n">
        <v>22</v>
      </c>
      <c r="AN18" s="38">
        <f>22+DY18</f>
        <v/>
      </c>
      <c r="AO18" s="38" t="n">
        <v>28</v>
      </c>
      <c r="AP18" s="38" t="n">
        <v>27</v>
      </c>
      <c r="AQ18" s="38" t="n">
        <v>23</v>
      </c>
      <c r="AR18" s="38" t="n">
        <v>18</v>
      </c>
      <c r="AS18" s="38" t="n">
        <v>16</v>
      </c>
      <c r="AT18" s="38" t="n">
        <v>15</v>
      </c>
      <c r="AU18" s="38" t="n">
        <v>9</v>
      </c>
      <c r="AV18" s="38" t="n">
        <v>5</v>
      </c>
      <c r="AW18" s="38" t="n">
        <v>0</v>
      </c>
      <c r="AX18" s="38" t="n">
        <v>0</v>
      </c>
      <c r="AY18" s="38" t="n">
        <v>0</v>
      </c>
      <c r="AZ18" s="38" t="n">
        <v>0</v>
      </c>
      <c r="BA18" s="38" t="n">
        <v>0</v>
      </c>
      <c r="BB18" s="38" t="n"/>
      <c r="BC18" s="38" t="n"/>
      <c r="BD18" s="38" t="n"/>
      <c r="BE18" s="38" t="n"/>
      <c r="BF18" s="38" t="n"/>
      <c r="BG18" s="38" t="n"/>
      <c r="BH18" s="38" t="n"/>
      <c r="BI18" s="38" t="n"/>
      <c r="BJ18" s="38" t="n"/>
      <c r="BK18" s="38" t="n"/>
      <c r="BL18" s="38" t="n"/>
      <c r="BM18" s="38" t="n"/>
      <c r="BN18" s="38" t="n"/>
      <c r="BO18" s="38" t="n"/>
      <c r="BP18" s="38" t="n"/>
      <c r="BQ18" s="38" t="n"/>
      <c r="BR18" s="38" t="n"/>
      <c r="BS18" s="38" t="n"/>
      <c r="BT18" s="38" t="n"/>
      <c r="BU18" s="38" t="n"/>
      <c r="BV18" s="38" t="n"/>
      <c r="BW18" s="38" t="n"/>
      <c r="BX18" s="38" t="n"/>
      <c r="BY18" s="38" t="n"/>
      <c r="BZ18" s="38" t="n"/>
      <c r="CA18" s="38" t="n"/>
      <c r="CB18" s="154">
        <f>BZ18+IF(NOT(ISBLANK(OFFSET(CB18,0,6))),N(OFFSET(CB18,0,6)),N(OFFSET(CB18,0,7)))-CA18</f>
        <v/>
      </c>
      <c r="CC18" s="118" t="n"/>
      <c r="CD18" s="19" t="n"/>
      <c r="CE18" s="19" t="n"/>
      <c r="CF18" s="19" t="n"/>
      <c r="CG18" s="65" t="n"/>
      <c r="CH18" s="119" t="n"/>
      <c r="CI18" s="18" t="n"/>
      <c r="CJ18" s="18" t="n"/>
      <c r="CK18" s="18" t="n"/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356" t="n"/>
      <c r="DP18" s="18" t="n"/>
      <c r="DQ18" s="18" t="n"/>
      <c r="DR18" s="18" t="n"/>
      <c r="DS18" s="18" t="n"/>
      <c r="DT18" s="18" t="n"/>
      <c r="DU18" s="18" t="n"/>
      <c r="DV18" s="18" t="n"/>
      <c r="DW18" s="18" t="n"/>
      <c r="DX18" s="18" t="n"/>
      <c r="DY18" s="18" t="n">
        <v>15</v>
      </c>
      <c r="DZ18" s="18" t="n"/>
      <c r="EA18" s="18" t="n"/>
      <c r="EB18" s="18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256" t="n"/>
      <c r="EQ18" s="18" t="n"/>
      <c r="ER18" s="18" t="n"/>
      <c r="ES18" s="18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312" t="inlineStr">
        <is>
          <t>20 DE ER</t>
        </is>
      </c>
      <c r="FD18" s="292" t="inlineStr">
        <is>
          <t>02 P/ ER</t>
        </is>
      </c>
      <c r="FE18" s="18" t="n"/>
      <c r="FF18" s="18" t="n"/>
      <c r="FG18" s="18" t="n"/>
      <c r="FH18" s="18" t="n"/>
      <c r="FI18" s="18" t="n"/>
      <c r="FJ18" s="18" t="n"/>
      <c r="FK18" s="18" t="n"/>
      <c r="FL18" s="18" t="n"/>
      <c r="FM18" s="18" t="n"/>
      <c r="FN18" s="18" t="n"/>
      <c r="FO18" s="18" t="n"/>
      <c r="FP18" s="18" t="n"/>
      <c r="FQ18" s="18" t="n"/>
      <c r="FR18" s="18" t="n"/>
      <c r="FS18" s="18" t="n"/>
      <c r="FT18" s="256" t="n">
        <v>100</v>
      </c>
      <c r="FU18" s="18" t="n"/>
      <c r="FV18" s="18" t="n"/>
      <c r="FW18" s="18" t="n"/>
      <c r="FX18" s="18" t="n"/>
      <c r="FY18" s="18" t="n"/>
      <c r="FZ18" s="18" t="n"/>
      <c r="GA18" s="18" t="n"/>
      <c r="GB18" s="18" t="n"/>
      <c r="GC18" s="18" t="n"/>
      <c r="GD18" s="18" t="n"/>
      <c r="GE18" s="18" t="n"/>
      <c r="GF18" s="18" t="n"/>
      <c r="GG18" s="18" t="n">
        <v>15</v>
      </c>
      <c r="GH18" s="18" t="n"/>
      <c r="GI18" s="18" t="n"/>
      <c r="GJ18" s="18" t="n"/>
      <c r="GK18" s="18" t="n"/>
      <c r="GL18" s="18" t="n"/>
      <c r="GM18" s="18" t="n"/>
      <c r="GN18" s="18" t="n"/>
    </row>
    <row r="19" ht="18.75" customHeight="1">
      <c r="CB19" s="53" t="n"/>
      <c r="CD19" s="69" t="n"/>
      <c r="CE19" s="69" t="n"/>
      <c r="CF19" s="69" t="n"/>
      <c r="DO19" s="17" t="n"/>
      <c r="EP19" s="271" t="n"/>
      <c r="FD19" s="271" t="n"/>
      <c r="FT19" s="271" t="n"/>
    </row>
    <row r="20" ht="18.75" customHeight="1">
      <c r="A20" s="32" t="inlineStr">
        <is>
          <t>SACOLAS P/ VENDA EM UND</t>
        </is>
      </c>
      <c r="B20" s="575" t="inlineStr">
        <is>
          <t>PC</t>
        </is>
      </c>
      <c r="C20" s="693" t="inlineStr">
        <is>
          <t>R$</t>
        </is>
      </c>
      <c r="D20" s="575" t="inlineStr">
        <is>
          <t>Estoque Ideal</t>
        </is>
      </c>
      <c r="AY20" s="650" t="n">
        <v>45971</v>
      </c>
      <c r="AZ20" s="650" t="n">
        <v>45978</v>
      </c>
      <c r="BA20" s="650" t="n">
        <v>45985</v>
      </c>
      <c r="BB20" s="650" t="n">
        <v>45992</v>
      </c>
      <c r="BC20" s="650" t="n">
        <v>45999</v>
      </c>
      <c r="BD20" s="650" t="n">
        <v>46006</v>
      </c>
      <c r="BE20" s="650" t="n">
        <v>46013</v>
      </c>
      <c r="BF20" s="650" t="n">
        <v>46020</v>
      </c>
      <c r="BG20" s="650" t="n">
        <v>46027</v>
      </c>
      <c r="BH20" s="650" t="n">
        <v>46034</v>
      </c>
      <c r="BI20" s="650" t="n">
        <v>46041</v>
      </c>
      <c r="BJ20" s="650" t="n">
        <v>46048</v>
      </c>
      <c r="BK20" s="650" t="n">
        <v>46055</v>
      </c>
      <c r="BL20" s="650" t="n">
        <v>46062</v>
      </c>
      <c r="BM20" s="650" t="n">
        <v>46069</v>
      </c>
      <c r="BN20" s="650" t="n">
        <v>46076</v>
      </c>
      <c r="BO20" s="650" t="n">
        <v>46083</v>
      </c>
      <c r="BP20" s="650" t="n">
        <v>46090</v>
      </c>
      <c r="BQ20" s="650" t="n">
        <v>46097</v>
      </c>
      <c r="BR20" s="650" t="n">
        <v>46104</v>
      </c>
      <c r="BS20" s="650" t="n">
        <v>46111</v>
      </c>
      <c r="BT20" s="650" t="n">
        <v>46118</v>
      </c>
      <c r="BU20" s="650" t="n">
        <v>46125</v>
      </c>
      <c r="BV20" s="650" t="n">
        <v>46132</v>
      </c>
      <c r="BW20" s="650" t="n">
        <v>46139</v>
      </c>
      <c r="BX20" s="650" t="n">
        <v>46146</v>
      </c>
      <c r="BY20" s="650" t="n">
        <v>46154</v>
      </c>
      <c r="BZ20" s="650" t="n">
        <v>46160</v>
      </c>
      <c r="CA20" s="650" t="n">
        <v>46160</v>
      </c>
      <c r="CB20" s="652" t="inlineStr">
        <is>
          <t>USOU</t>
        </is>
      </c>
      <c r="CD20" s="69" t="n"/>
      <c r="CE20" s="413" t="inlineStr">
        <is>
          <t>TRANSFERÊNCIA</t>
        </is>
      </c>
      <c r="CF20" s="35" t="inlineStr">
        <is>
          <t>Pend.</t>
        </is>
      </c>
      <c r="CG20" s="12" t="inlineStr">
        <is>
          <t>Novo Pedido</t>
        </is>
      </c>
      <c r="CI20" s="654" t="n">
        <v>46149</v>
      </c>
      <c r="CJ20" s="654" t="n">
        <v>46114</v>
      </c>
      <c r="CK20" s="654" t="n">
        <v>46099</v>
      </c>
      <c r="CL20" s="710" t="n">
        <v>46065</v>
      </c>
      <c r="CM20" s="711" t="n">
        <v>46045</v>
      </c>
      <c r="CN20" s="654" t="n">
        <v>46076</v>
      </c>
      <c r="CO20" s="655" t="n">
        <v>46084</v>
      </c>
      <c r="CP20" s="654" t="n">
        <v>46077</v>
      </c>
      <c r="CQ20" s="655" t="n">
        <v>46077</v>
      </c>
      <c r="CR20" s="654" t="n">
        <v>46071</v>
      </c>
      <c r="CS20" s="654" t="n">
        <v>46071</v>
      </c>
      <c r="CT20" s="654" t="n">
        <v>46056</v>
      </c>
      <c r="CU20" s="654" t="n">
        <v>46043</v>
      </c>
      <c r="CV20" s="654" t="n">
        <v>46035</v>
      </c>
      <c r="CW20" s="654" t="n">
        <v>46029</v>
      </c>
      <c r="CX20" s="654" t="n">
        <v>46017</v>
      </c>
      <c r="CY20" s="654" t="n">
        <v>46001</v>
      </c>
      <c r="CZ20" s="654" t="n">
        <v>46007</v>
      </c>
      <c r="DA20" s="654" t="n">
        <v>45994</v>
      </c>
      <c r="DB20" s="654" t="n">
        <v>45986</v>
      </c>
      <c r="DC20" s="654" t="n">
        <v>45986</v>
      </c>
      <c r="DD20" s="654" t="n">
        <v>45980</v>
      </c>
      <c r="DE20" s="654" t="n">
        <v>45980</v>
      </c>
      <c r="DF20" s="654" t="n">
        <v>45973</v>
      </c>
      <c r="DG20" s="654" t="n">
        <v>45965</v>
      </c>
      <c r="DH20" s="654" t="n">
        <v>45960</v>
      </c>
      <c r="DI20" s="655" t="n">
        <v>45967</v>
      </c>
      <c r="DJ20" s="654" t="n">
        <v>45937</v>
      </c>
      <c r="DK20" s="654" t="n">
        <v>45951</v>
      </c>
      <c r="DL20" s="654" t="n">
        <v>45931</v>
      </c>
      <c r="DO20" s="17" t="n"/>
      <c r="EP20" s="271" t="n"/>
      <c r="FD20" s="271" t="n"/>
      <c r="FT20" s="271" t="n"/>
    </row>
    <row r="21" ht="18.75" customHeight="1">
      <c r="A21" s="33" t="inlineStr">
        <is>
          <t>SACOLA PP 2025</t>
        </is>
      </c>
      <c r="B21" s="9" t="n">
        <v>300</v>
      </c>
      <c r="C21" s="662" t="n">
        <v>216</v>
      </c>
      <c r="D21" s="329" t="n">
        <v>300</v>
      </c>
      <c r="AY21" s="120" t="n">
        <v>0</v>
      </c>
      <c r="AZ21" s="120" t="n">
        <v>300</v>
      </c>
      <c r="BA21" s="120" t="n">
        <v>271</v>
      </c>
      <c r="BB21" s="120">
        <f>228+DC21</f>
        <v/>
      </c>
      <c r="BC21" s="120" t="n">
        <v>363</v>
      </c>
      <c r="BD21" s="120" t="n">
        <v>252</v>
      </c>
      <c r="BE21" s="120" t="n">
        <v>169</v>
      </c>
      <c r="BF21" s="120" t="n">
        <v>135</v>
      </c>
      <c r="BG21" s="120" t="n">
        <v>135</v>
      </c>
      <c r="BH21" s="120" t="n">
        <v>489</v>
      </c>
      <c r="BI21" s="120" t="n">
        <v>762</v>
      </c>
      <c r="BJ21" s="120" t="n">
        <v>699</v>
      </c>
      <c r="BK21" s="120" t="n">
        <v>675</v>
      </c>
      <c r="BL21" s="120" t="n">
        <v>668</v>
      </c>
      <c r="BM21" s="120" t="n">
        <v>665</v>
      </c>
      <c r="BN21" s="120" t="n">
        <v>612</v>
      </c>
      <c r="BO21" s="120" t="n">
        <v>590</v>
      </c>
      <c r="BP21" s="120" t="n">
        <v>566</v>
      </c>
      <c r="BQ21" s="120" t="n">
        <v>546</v>
      </c>
      <c r="BR21" s="120" t="n">
        <v>423</v>
      </c>
      <c r="BS21" s="120" t="n">
        <v>371</v>
      </c>
      <c r="BT21" s="120" t="n"/>
      <c r="BU21" s="120" t="n"/>
      <c r="BV21" s="120" t="n"/>
      <c r="BW21" s="120" t="n">
        <v>246</v>
      </c>
      <c r="BX21" s="120" t="n">
        <v>187</v>
      </c>
      <c r="BY21" s="120" t="n">
        <v>135</v>
      </c>
      <c r="BZ21" s="120" t="n">
        <v>79</v>
      </c>
      <c r="CA21" s="120" t="n">
        <v>79</v>
      </c>
      <c r="CB21" s="154">
        <f>BZ21+IF(NOT(ISBLANK(OFFSET(CB21,0,6))),N(OFFSET(CB21,0,6)),N(OFFSET(CB21,0,7)))-CA21</f>
        <v/>
      </c>
      <c r="CD21" s="69" t="n"/>
      <c r="CE21" s="19" t="n"/>
      <c r="CF21" s="19" t="n"/>
      <c r="CG21" s="65" t="n"/>
      <c r="CI21" s="18" t="n">
        <v>0</v>
      </c>
      <c r="CJ21" s="18" t="n"/>
      <c r="CK21" s="18" t="n"/>
      <c r="CL21" s="18" t="n"/>
      <c r="CM21" s="18" t="n"/>
      <c r="CN21" s="18" t="n"/>
      <c r="CO21" s="18" t="n"/>
      <c r="CP21" s="18" t="n"/>
      <c r="CQ21" s="18" t="n"/>
      <c r="CR21" s="18" t="n"/>
      <c r="CS21" s="18" t="n"/>
      <c r="CT21" s="18" t="n"/>
      <c r="CU21" s="18" t="n"/>
      <c r="CV21" s="18" t="n"/>
      <c r="CW21" s="18" t="n">
        <v>300</v>
      </c>
      <c r="CX21" s="18" t="n"/>
      <c r="CY21" s="18" t="n">
        <v>300</v>
      </c>
      <c r="CZ21" s="18" t="n"/>
      <c r="DA21" s="18" t="n"/>
      <c r="DB21" s="18" t="n"/>
      <c r="DC21" s="18" t="n">
        <v>300</v>
      </c>
      <c r="DD21" s="18" t="n"/>
      <c r="DE21" s="18" t="n"/>
      <c r="DF21" s="18" t="n">
        <v>300</v>
      </c>
      <c r="DG21" s="18" t="n"/>
      <c r="DH21" s="18" t="n"/>
      <c r="DI21" s="18" t="n"/>
      <c r="DJ21" s="18" t="n"/>
      <c r="DK21" s="18" t="n"/>
      <c r="DL21" s="18" t="n"/>
      <c r="DO21" s="17" t="n"/>
      <c r="EP21" s="271" t="n"/>
      <c r="FD21" s="271" t="n"/>
      <c r="FT21" s="271" t="n"/>
    </row>
    <row r="22" ht="18.75" customHeight="1">
      <c r="A22" s="33" t="inlineStr">
        <is>
          <t>SACOLA P 2025</t>
        </is>
      </c>
      <c r="B22" s="9" t="n">
        <v>200</v>
      </c>
      <c r="C22" s="662" t="n">
        <v>246.28</v>
      </c>
      <c r="D22" s="329" t="n">
        <v>200</v>
      </c>
      <c r="AY22" s="38" t="n">
        <v>0</v>
      </c>
      <c r="AZ22" s="38" t="n">
        <v>200</v>
      </c>
      <c r="BA22" s="38" t="n">
        <v>194</v>
      </c>
      <c r="BB22" s="38">
        <f>147+DC22</f>
        <v/>
      </c>
      <c r="BC22" s="261" t="n">
        <v>-14</v>
      </c>
      <c r="BD22" s="261" t="n">
        <v>-14</v>
      </c>
      <c r="BE22" s="38" t="n">
        <v>0</v>
      </c>
      <c r="BF22" s="38" t="n">
        <v>-14</v>
      </c>
      <c r="BG22" s="38" t="n">
        <v>-14</v>
      </c>
      <c r="BH22" s="38" t="n">
        <v>400</v>
      </c>
      <c r="BI22" s="38" t="n">
        <v>785</v>
      </c>
      <c r="BJ22" s="38" t="n">
        <v>763</v>
      </c>
      <c r="BK22" s="38" t="n">
        <v>724</v>
      </c>
      <c r="BL22" s="38" t="n">
        <v>722</v>
      </c>
      <c r="BM22" s="38" t="n">
        <v>722</v>
      </c>
      <c r="BN22" s="38" t="n">
        <v>710</v>
      </c>
      <c r="BO22" s="38" t="n">
        <v>686</v>
      </c>
      <c r="BP22" s="38" t="n">
        <v>156</v>
      </c>
      <c r="BQ22" s="38" t="n">
        <v>142</v>
      </c>
      <c r="BR22" s="38" t="n">
        <v>101</v>
      </c>
      <c r="BS22" s="38" t="n">
        <v>59</v>
      </c>
      <c r="BT22" s="38" t="n"/>
      <c r="BU22" s="38" t="n"/>
      <c r="BV22" s="38" t="n"/>
      <c r="BW22" s="38" t="n">
        <v>12</v>
      </c>
      <c r="BX22" s="38" t="n">
        <v>0</v>
      </c>
      <c r="BY22" s="38" t="n">
        <v>154</v>
      </c>
      <c r="BZ22" s="38" t="n">
        <v>126</v>
      </c>
      <c r="CA22" s="38" t="n">
        <v>126</v>
      </c>
      <c r="CB22" s="154">
        <f>BZ22+IF(NOT(ISBLANK(OFFSET(CB22,0,6))),N(OFFSET(CB22,0,6)),N(OFFSET(CB22,0,7)))-CA22</f>
        <v/>
      </c>
      <c r="CD22" s="69" t="n"/>
      <c r="CE22" s="19" t="n"/>
      <c r="CF22" s="19" t="n"/>
      <c r="CG22" s="65" t="n"/>
      <c r="CI22" s="18" t="n">
        <v>0</v>
      </c>
      <c r="CJ22" s="18" t="n"/>
      <c r="CK22" s="18" t="n"/>
      <c r="CL22" s="403" t="n">
        <v>400</v>
      </c>
      <c r="CM22" s="18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>
        <v>400</v>
      </c>
      <c r="CX22" s="18" t="n"/>
      <c r="CY22" s="18" t="n">
        <v>400</v>
      </c>
      <c r="CZ22" s="18" t="n"/>
      <c r="DA22" s="18" t="n"/>
      <c r="DB22" s="18" t="n"/>
      <c r="DC22" s="18" t="n">
        <v>200</v>
      </c>
      <c r="DD22" s="18" t="n"/>
      <c r="DE22" s="18" t="n"/>
      <c r="DF22" s="18" t="n">
        <v>200</v>
      </c>
      <c r="DG22" s="18" t="n"/>
      <c r="DH22" s="18" t="n"/>
      <c r="DI22" s="18" t="n"/>
      <c r="DJ22" s="18" t="n"/>
      <c r="DK22" s="18" t="n"/>
      <c r="DL22" s="18" t="n"/>
      <c r="DO22" s="17" t="n"/>
      <c r="EP22" s="271" t="n"/>
      <c r="FD22" s="271" t="n"/>
      <c r="FT22" s="271" t="n"/>
    </row>
    <row r="23" ht="18.75" customHeight="1">
      <c r="A23" s="33" t="inlineStr">
        <is>
          <t>SACOLA M 2025</t>
        </is>
      </c>
      <c r="B23" s="9" t="n">
        <v>200</v>
      </c>
      <c r="C23" s="662" t="n">
        <v>316.91</v>
      </c>
      <c r="D23" s="329" t="n">
        <v>200</v>
      </c>
      <c r="AY23" s="38" t="n">
        <v>0</v>
      </c>
      <c r="AZ23" s="38" t="n">
        <v>200</v>
      </c>
      <c r="BA23" s="38" t="n">
        <v>186</v>
      </c>
      <c r="BB23" s="38">
        <f>182+DC23</f>
        <v/>
      </c>
      <c r="BC23" s="38" t="n">
        <v>323</v>
      </c>
      <c r="BD23" s="38" t="n">
        <v>294</v>
      </c>
      <c r="BE23" s="38" t="n">
        <v>237</v>
      </c>
      <c r="BF23" s="38" t="n">
        <v>225</v>
      </c>
      <c r="BG23" s="38" t="n">
        <v>217</v>
      </c>
      <c r="BH23" s="38" t="n">
        <v>229</v>
      </c>
      <c r="BI23" s="38" t="n">
        <v>223</v>
      </c>
      <c r="BJ23" s="38" t="n">
        <v>204</v>
      </c>
      <c r="BK23" s="38" t="n">
        <v>197</v>
      </c>
      <c r="BL23" s="38" t="n">
        <v>162</v>
      </c>
      <c r="BM23" s="38" t="n">
        <v>162</v>
      </c>
      <c r="BN23" s="38" t="n">
        <v>159</v>
      </c>
      <c r="BO23" s="38" t="n">
        <v>141</v>
      </c>
      <c r="BP23" s="38" t="n">
        <v>119</v>
      </c>
      <c r="BQ23" s="38" t="n">
        <v>186</v>
      </c>
      <c r="BR23" s="38" t="n">
        <v>133</v>
      </c>
      <c r="BS23" s="38" t="n">
        <v>114</v>
      </c>
      <c r="BT23" s="38" t="n"/>
      <c r="BU23" s="38" t="n"/>
      <c r="BV23" s="38" t="n"/>
      <c r="BW23" s="38" t="n">
        <v>14</v>
      </c>
      <c r="BX23" s="38" t="n">
        <v>0</v>
      </c>
      <c r="BY23" s="38" t="n">
        <v>18</v>
      </c>
      <c r="BZ23" s="261" t="n">
        <v>132</v>
      </c>
      <c r="CA23" s="261" t="n">
        <v>132</v>
      </c>
      <c r="CB23" s="154">
        <f>BZ23+IF(NOT(ISBLANK(OFFSET(CB23,0,6))),N(OFFSET(CB23,0,6)),N(OFFSET(CB23,0,7)))-CA23</f>
        <v/>
      </c>
      <c r="CD23" s="69" t="n"/>
      <c r="CE23" s="19" t="n"/>
      <c r="CF23" s="19" t="n"/>
      <c r="CG23" s="65" t="n"/>
      <c r="CI23" s="18" t="n">
        <v>0</v>
      </c>
      <c r="CJ23" s="18" t="n"/>
      <c r="CK23" s="18" t="n"/>
      <c r="CL23" s="18" t="n"/>
      <c r="CM23" s="418" t="n">
        <v>600</v>
      </c>
      <c r="CN23" s="18" t="n"/>
      <c r="CO23" s="18" t="n"/>
      <c r="CP23" s="18" t="n"/>
      <c r="CQ23" s="18" t="n"/>
      <c r="CR23" s="18" t="n"/>
      <c r="CS23" s="18" t="n"/>
      <c r="CT23" s="18" t="n"/>
      <c r="CU23" s="18" t="n"/>
      <c r="CV23" s="18" t="n"/>
      <c r="CW23" s="18" t="n"/>
      <c r="CX23" s="18" t="n"/>
      <c r="CY23" s="18" t="n"/>
      <c r="CZ23" s="18" t="n"/>
      <c r="DA23" s="18" t="n"/>
      <c r="DB23" s="18" t="n"/>
      <c r="DC23" s="18" t="n">
        <v>200</v>
      </c>
      <c r="DD23" s="18" t="n"/>
      <c r="DE23" s="18" t="n"/>
      <c r="DF23" s="18" t="n">
        <v>200</v>
      </c>
      <c r="DG23" s="18" t="n"/>
      <c r="DH23" s="18" t="n"/>
      <c r="DI23" s="18" t="n"/>
      <c r="DJ23" s="18" t="n"/>
      <c r="DK23" s="18" t="n"/>
      <c r="DL23" s="18" t="n"/>
      <c r="DO23" s="17" t="n"/>
      <c r="EP23" s="271" t="n"/>
      <c r="FD23" s="271" t="n"/>
      <c r="FT23" s="271" t="n"/>
    </row>
    <row r="24" ht="18.75" customHeight="1">
      <c r="CB24" s="53" t="n"/>
      <c r="CD24" s="69" t="n"/>
      <c r="CE24" s="69" t="n"/>
      <c r="CF24" s="69" t="n"/>
      <c r="DO24" s="17" t="n"/>
      <c r="EP24" s="271" t="n"/>
      <c r="FD24" s="271" t="n"/>
      <c r="FT24" s="271" t="n"/>
    </row>
    <row r="25" ht="18.75" customFormat="1" customHeight="1" s="3">
      <c r="A25" s="32" t="inlineStr">
        <is>
          <t>DIVERSOS VENDÁVEIS BOTICÁRIO</t>
        </is>
      </c>
      <c r="B25" s="575" t="inlineStr">
        <is>
          <t>MÓD</t>
        </is>
      </c>
      <c r="C25" s="575" t="n"/>
      <c r="D25" s="575" t="n"/>
      <c r="E25" s="642" t="n"/>
      <c r="F25" s="650" t="n">
        <v>45656</v>
      </c>
      <c r="G25" s="650" t="n">
        <v>45663</v>
      </c>
      <c r="H25" s="650" t="n">
        <v>45670</v>
      </c>
      <c r="I25" s="650" t="n">
        <v>45677</v>
      </c>
      <c r="J25" s="650" t="n">
        <v>45684</v>
      </c>
      <c r="K25" s="650" t="n">
        <v>45691</v>
      </c>
      <c r="L25" s="650" t="n">
        <v>45698</v>
      </c>
      <c r="M25" s="650" t="n">
        <v>45705</v>
      </c>
      <c r="N25" s="650" t="n">
        <v>45712</v>
      </c>
      <c r="O25" s="650" t="n">
        <v>45719</v>
      </c>
      <c r="P25" s="650" t="n">
        <v>45726</v>
      </c>
      <c r="Q25" s="650" t="n">
        <v>45733</v>
      </c>
      <c r="R25" s="650" t="n">
        <v>45740</v>
      </c>
      <c r="S25" s="650" t="n">
        <v>45747</v>
      </c>
      <c r="T25" s="650" t="n">
        <v>45754</v>
      </c>
      <c r="U25" s="650" t="n">
        <v>45761</v>
      </c>
      <c r="V25" s="650" t="n">
        <v>45768</v>
      </c>
      <c r="W25" s="650" t="n">
        <v>45775</v>
      </c>
      <c r="X25" s="650" t="n">
        <v>45782</v>
      </c>
      <c r="Y25" s="650" t="n">
        <v>45789</v>
      </c>
      <c r="Z25" s="650" t="n">
        <v>45796</v>
      </c>
      <c r="AA25" s="650" t="n">
        <v>45803</v>
      </c>
      <c r="AB25" s="650" t="n">
        <v>45810</v>
      </c>
      <c r="AC25" s="650" t="n">
        <v>45817</v>
      </c>
      <c r="AD25" s="650" t="n">
        <v>45824</v>
      </c>
      <c r="AE25" s="650" t="n">
        <v>45831</v>
      </c>
      <c r="AF25" s="650" t="n">
        <v>45838</v>
      </c>
      <c r="AG25" s="650" t="n">
        <v>45845</v>
      </c>
      <c r="AH25" s="650" t="n">
        <v>45852</v>
      </c>
      <c r="AI25" s="650" t="n">
        <v>45859</v>
      </c>
      <c r="AJ25" s="650" t="n">
        <v>45866</v>
      </c>
      <c r="AK25" s="650" t="n">
        <v>45873</v>
      </c>
      <c r="AL25" s="650" t="n">
        <v>45880</v>
      </c>
      <c r="AM25" s="650" t="n">
        <v>45887</v>
      </c>
      <c r="AN25" s="650" t="n">
        <v>45894</v>
      </c>
      <c r="AO25" s="650" t="n">
        <v>45901</v>
      </c>
      <c r="AP25" s="650" t="n">
        <v>45908</v>
      </c>
      <c r="AQ25" s="650" t="n">
        <v>45915</v>
      </c>
      <c r="AR25" s="650" t="n">
        <v>45922</v>
      </c>
      <c r="AS25" s="650" t="n">
        <v>45929</v>
      </c>
      <c r="AT25" s="650" t="n">
        <v>45936</v>
      </c>
      <c r="AU25" s="650" t="n">
        <v>45943</v>
      </c>
      <c r="AV25" s="650" t="n">
        <v>45950</v>
      </c>
      <c r="AW25" s="650" t="n">
        <v>45957</v>
      </c>
      <c r="AX25" s="650" t="n">
        <v>45964</v>
      </c>
      <c r="AY25" s="650" t="n">
        <v>45971</v>
      </c>
      <c r="AZ25" s="650" t="n">
        <v>45978</v>
      </c>
      <c r="BA25" s="650" t="n">
        <v>45985</v>
      </c>
      <c r="BB25" s="650" t="n">
        <v>45992</v>
      </c>
      <c r="BC25" s="650" t="n">
        <v>45999</v>
      </c>
      <c r="BD25" s="650" t="n">
        <v>46006</v>
      </c>
      <c r="BE25" s="650" t="n">
        <v>46013</v>
      </c>
      <c r="BF25" s="650" t="n">
        <v>46020</v>
      </c>
      <c r="BG25" s="650" t="n">
        <v>46027</v>
      </c>
      <c r="BH25" s="650" t="n">
        <v>46034</v>
      </c>
      <c r="BI25" s="650" t="n">
        <v>46041</v>
      </c>
      <c r="BJ25" s="650" t="n">
        <v>46048</v>
      </c>
      <c r="BK25" s="650" t="n">
        <v>46055</v>
      </c>
      <c r="BL25" s="650" t="n">
        <v>46062</v>
      </c>
      <c r="BM25" s="650" t="n">
        <v>46069</v>
      </c>
      <c r="BN25" s="650" t="n">
        <v>46076</v>
      </c>
      <c r="BO25" s="650" t="n">
        <v>46083</v>
      </c>
      <c r="BP25" s="650" t="n">
        <v>46090</v>
      </c>
      <c r="BQ25" s="650" t="n">
        <v>46097</v>
      </c>
      <c r="BR25" s="650" t="n">
        <v>46104</v>
      </c>
      <c r="BS25" s="650" t="n">
        <v>46111</v>
      </c>
      <c r="BT25" s="650" t="n">
        <v>46118</v>
      </c>
      <c r="BU25" s="650" t="n">
        <v>46125</v>
      </c>
      <c r="BV25" s="650" t="n">
        <v>46132</v>
      </c>
      <c r="BW25" s="650" t="n">
        <v>46139</v>
      </c>
      <c r="BX25" s="650" t="n">
        <v>46146</v>
      </c>
      <c r="BY25" s="650" t="n">
        <v>46154</v>
      </c>
      <c r="BZ25" s="650" t="n">
        <v>46160</v>
      </c>
      <c r="CA25" s="650" t="n">
        <v>46160</v>
      </c>
      <c r="CB25" s="652" t="inlineStr">
        <is>
          <t>USOU</t>
        </is>
      </c>
      <c r="CC25" s="6" t="n"/>
      <c r="CD25" s="35" t="inlineStr">
        <is>
          <t>Pend.</t>
        </is>
      </c>
      <c r="CE25" s="413" t="inlineStr">
        <is>
          <t>TRANSFERÊNCIA</t>
        </is>
      </c>
      <c r="CF25" s="35" t="inlineStr">
        <is>
          <t>Pend.</t>
        </is>
      </c>
      <c r="CG25" s="12" t="inlineStr">
        <is>
          <t>Novo Pedido</t>
        </is>
      </c>
      <c r="CH25" s="4" t="n"/>
      <c r="CI25" s="654" t="n">
        <v>46149</v>
      </c>
      <c r="CJ25" s="654" t="n">
        <v>46114</v>
      </c>
      <c r="CK25" s="654" t="n">
        <v>46099</v>
      </c>
      <c r="CL25" s="710" t="n">
        <v>46065</v>
      </c>
      <c r="CM25" s="711" t="n">
        <v>46045</v>
      </c>
      <c r="CN25" s="654" t="n">
        <v>46076</v>
      </c>
      <c r="CO25" s="655" t="n">
        <v>46084</v>
      </c>
      <c r="CP25" s="654" t="n">
        <v>46077</v>
      </c>
      <c r="CQ25" s="655" t="n">
        <v>46077</v>
      </c>
      <c r="CR25" s="654" t="n">
        <v>46071</v>
      </c>
      <c r="CS25" s="654" t="n">
        <v>46071</v>
      </c>
      <c r="CT25" s="654" t="n">
        <v>46056</v>
      </c>
      <c r="CU25" s="654" t="n">
        <v>46043</v>
      </c>
      <c r="CV25" s="654" t="n">
        <v>46035</v>
      </c>
      <c r="CW25" s="654" t="n">
        <v>46029</v>
      </c>
      <c r="CX25" s="654" t="n">
        <v>46017</v>
      </c>
      <c r="CY25" s="654" t="n">
        <v>46001</v>
      </c>
      <c r="CZ25" s="654" t="n">
        <v>46007</v>
      </c>
      <c r="DA25" s="654" t="n">
        <v>45994</v>
      </c>
      <c r="DB25" s="654" t="n">
        <v>45986</v>
      </c>
      <c r="DC25" s="654" t="n">
        <v>45986</v>
      </c>
      <c r="DD25" s="654" t="n">
        <v>45980</v>
      </c>
      <c r="DE25" s="654" t="n">
        <v>45980</v>
      </c>
      <c r="DF25" s="654" t="n">
        <v>45973</v>
      </c>
      <c r="DG25" s="654" t="n">
        <v>45965</v>
      </c>
      <c r="DH25" s="654" t="n">
        <v>45960</v>
      </c>
      <c r="DI25" s="655" t="n">
        <v>45967</v>
      </c>
      <c r="DJ25" s="654" t="n">
        <v>45937</v>
      </c>
      <c r="DK25" s="654" t="n">
        <v>45951</v>
      </c>
      <c r="DL25" s="654" t="n">
        <v>45931</v>
      </c>
      <c r="DM25" s="654" t="n">
        <v>45923</v>
      </c>
      <c r="DN25" s="654" t="n">
        <v>45923</v>
      </c>
      <c r="DO25" s="678" t="n">
        <v>45903</v>
      </c>
      <c r="DP25" s="655" t="n">
        <v>45931</v>
      </c>
      <c r="DQ25" s="688" t="n">
        <v>45931</v>
      </c>
      <c r="DR25" s="654" t="n">
        <v>45915</v>
      </c>
      <c r="DS25" s="654" t="n">
        <v>45909</v>
      </c>
      <c r="DT25" s="654" t="n">
        <v>45903</v>
      </c>
      <c r="DU25" s="654" t="n">
        <v>45903</v>
      </c>
      <c r="DV25" s="654" t="n">
        <v>45895</v>
      </c>
      <c r="DW25" s="654" t="n">
        <v>45881</v>
      </c>
      <c r="DX25" s="679" t="n">
        <v>45896</v>
      </c>
      <c r="DY25" s="654" t="n">
        <v>45888</v>
      </c>
      <c r="DZ25" s="679" t="n">
        <v>45839</v>
      </c>
      <c r="EA25" s="654" t="n">
        <v>45874</v>
      </c>
      <c r="EB25" s="654" t="n">
        <v>45867</v>
      </c>
      <c r="EC25" s="655" t="n">
        <v>45882</v>
      </c>
      <c r="ED25" s="655" t="n">
        <v>45881</v>
      </c>
      <c r="EE25" s="654" t="n">
        <v>45874</v>
      </c>
      <c r="EF25" s="654" t="n">
        <v>45867</v>
      </c>
      <c r="EG25" s="654" t="n">
        <v>45860</v>
      </c>
      <c r="EH25" s="655" t="n">
        <v>45863</v>
      </c>
      <c r="EI25" s="655" t="n">
        <v>45860</v>
      </c>
      <c r="EJ25" s="654" t="n">
        <v>45860</v>
      </c>
      <c r="EK25" s="654" t="n">
        <v>45853</v>
      </c>
      <c r="EL25" s="681" t="n">
        <v>45855</v>
      </c>
      <c r="EM25" s="654" t="n">
        <v>45848</v>
      </c>
      <c r="EN25" s="654" t="n">
        <v>45839</v>
      </c>
      <c r="EO25" s="654" t="n">
        <v>45832</v>
      </c>
      <c r="EP25" s="650" t="n">
        <v>45842</v>
      </c>
      <c r="EQ25" s="654" t="n">
        <v>45832</v>
      </c>
      <c r="ER25" s="654" t="n">
        <v>45825</v>
      </c>
      <c r="ES25" s="655" t="n">
        <v>45826</v>
      </c>
      <c r="ET25" s="655" t="n">
        <v>45825</v>
      </c>
      <c r="EU25" s="654" t="n">
        <v>45819</v>
      </c>
      <c r="EV25" s="654" t="n">
        <v>45813</v>
      </c>
      <c r="EW25" s="655" t="n">
        <v>45820</v>
      </c>
      <c r="EX25" s="655" t="n">
        <v>45818</v>
      </c>
      <c r="EY25" s="654" t="n">
        <v>45805</v>
      </c>
      <c r="EZ25" s="655" t="n">
        <v>45807</v>
      </c>
      <c r="FA25" s="654" t="n">
        <v>45790</v>
      </c>
      <c r="FB25" s="655" t="n">
        <v>45799</v>
      </c>
      <c r="FC25" s="690" t="n">
        <v>45799</v>
      </c>
      <c r="FD25" s="650" t="n">
        <v>45798</v>
      </c>
      <c r="FE25" s="655" t="n">
        <v>45798</v>
      </c>
      <c r="FF25" s="655" t="n">
        <v>45797</v>
      </c>
      <c r="FG25" s="654" t="n">
        <v>45790</v>
      </c>
      <c r="FH25" s="654" t="n">
        <v>45783</v>
      </c>
      <c r="FI25" s="654" t="n">
        <v>45775</v>
      </c>
      <c r="FJ25" s="654" t="n">
        <v>45756</v>
      </c>
      <c r="FK25" s="654" t="n">
        <v>45770</v>
      </c>
      <c r="FL25" s="654" t="n">
        <v>45756</v>
      </c>
      <c r="FM25" s="654" t="n">
        <v>45749</v>
      </c>
      <c r="FN25" s="654" t="n">
        <v>45736</v>
      </c>
      <c r="FO25" s="654" t="n">
        <v>45743</v>
      </c>
      <c r="FP25" s="654" t="n">
        <v>45735</v>
      </c>
      <c r="FQ25" s="654" t="n">
        <v>45728</v>
      </c>
      <c r="FR25" s="654" t="n">
        <v>45722</v>
      </c>
      <c r="FS25" s="654" t="n">
        <v>45714</v>
      </c>
      <c r="FT25" s="650" t="n">
        <v>45700</v>
      </c>
      <c r="FU25" s="654" t="n">
        <v>45706</v>
      </c>
      <c r="FV25" s="654" t="n">
        <v>45700</v>
      </c>
      <c r="FW25" s="654" t="n">
        <v>45684</v>
      </c>
      <c r="FX25" s="654" t="n">
        <v>45699</v>
      </c>
      <c r="FY25" s="654" t="n">
        <v>45699</v>
      </c>
      <c r="FZ25" s="655" t="n">
        <v>45706</v>
      </c>
      <c r="GA25" s="654" t="n">
        <v>45693</v>
      </c>
      <c r="GB25" s="654" t="n">
        <v>45693</v>
      </c>
      <c r="GC25" s="654" t="n">
        <v>45685</v>
      </c>
      <c r="GD25" s="712" t="n">
        <v>45692</v>
      </c>
      <c r="GE25" s="655" t="n">
        <v>45691</v>
      </c>
      <c r="GF25" s="655" t="n">
        <v>45681</v>
      </c>
      <c r="GG25" s="654" t="n">
        <v>45674</v>
      </c>
      <c r="GH25" s="655" t="n">
        <v>45672</v>
      </c>
      <c r="GI25" s="654" t="n">
        <v>45664</v>
      </c>
      <c r="GJ25" s="654" t="n">
        <v>46008</v>
      </c>
      <c r="GK25" s="654" t="n">
        <v>45660</v>
      </c>
      <c r="GL25" s="654" t="n">
        <v>45652</v>
      </c>
      <c r="GM25" s="654" t="n">
        <v>45638</v>
      </c>
      <c r="GN25" s="654" t="n">
        <v>45643</v>
      </c>
    </row>
    <row r="26" ht="18.75" customFormat="1" customHeight="1" s="3">
      <c r="A26" s="33" t="inlineStr">
        <is>
          <t>KIT PAPEL DE SEDA (20 c/ 25 un)</t>
        </is>
      </c>
      <c r="B26" s="9" t="n">
        <v>500</v>
      </c>
      <c r="C26" s="662" t="n">
        <v>95.90000000000001</v>
      </c>
      <c r="D26" s="329" t="n">
        <v>20</v>
      </c>
      <c r="E26" s="642" t="n"/>
      <c r="F26" s="38" t="n">
        <v>74</v>
      </c>
      <c r="G26" s="38" t="n">
        <v>74</v>
      </c>
      <c r="H26" s="38" t="n">
        <v>73</v>
      </c>
      <c r="I26" s="38" t="n">
        <v>72</v>
      </c>
      <c r="J26" s="38" t="n">
        <v>71</v>
      </c>
      <c r="K26" s="38" t="n">
        <v>67</v>
      </c>
      <c r="L26" s="38" t="n">
        <v>66</v>
      </c>
      <c r="M26" s="38" t="n">
        <v>64</v>
      </c>
      <c r="N26" s="38" t="n">
        <v>62</v>
      </c>
      <c r="O26" s="38" t="n">
        <v>62</v>
      </c>
      <c r="P26" s="38" t="n">
        <v>62</v>
      </c>
      <c r="Q26" s="38" t="n">
        <v>52</v>
      </c>
      <c r="R26" s="38" t="n">
        <v>50</v>
      </c>
      <c r="S26" s="38" t="n">
        <v>46</v>
      </c>
      <c r="T26" s="38" t="n">
        <v>145</v>
      </c>
      <c r="U26" s="38" t="n">
        <v>108</v>
      </c>
      <c r="V26" s="261" t="n">
        <v>207</v>
      </c>
      <c r="W26" s="38" t="n">
        <v>242</v>
      </c>
      <c r="X26" s="38" t="n">
        <v>149</v>
      </c>
      <c r="Y26" s="38" t="n">
        <v>146</v>
      </c>
      <c r="Z26" s="38" t="n">
        <v>144</v>
      </c>
      <c r="AA26" s="38" t="n">
        <v>143</v>
      </c>
      <c r="AB26" s="38" t="n">
        <v>143</v>
      </c>
      <c r="AC26" s="38" t="n">
        <v>140</v>
      </c>
      <c r="AD26" s="38" t="n">
        <v>139</v>
      </c>
      <c r="AE26" s="38" t="n">
        <v>136</v>
      </c>
      <c r="AF26" s="38" t="n">
        <v>131</v>
      </c>
      <c r="AG26" s="38" t="n">
        <v>131</v>
      </c>
      <c r="AH26" s="38" t="n">
        <v>130</v>
      </c>
      <c r="AI26" s="38" t="n">
        <v>129</v>
      </c>
      <c r="AJ26" s="38" t="n">
        <v>129</v>
      </c>
      <c r="AK26" s="38" t="n">
        <v>128</v>
      </c>
      <c r="AL26" s="38" t="n">
        <v>128</v>
      </c>
      <c r="AM26" s="38" t="n">
        <v>128</v>
      </c>
      <c r="AN26" s="38" t="n">
        <v>128</v>
      </c>
      <c r="AO26" s="38" t="n">
        <v>125</v>
      </c>
      <c r="AP26" s="38" t="n">
        <v>121</v>
      </c>
      <c r="AQ26" s="38" t="n">
        <v>119</v>
      </c>
      <c r="AR26" s="38" t="n">
        <v>115</v>
      </c>
      <c r="AS26" s="38" t="n">
        <v>115</v>
      </c>
      <c r="AT26" s="38" t="n">
        <v>113</v>
      </c>
      <c r="AU26" s="38" t="n">
        <v>111</v>
      </c>
      <c r="AV26" s="38" t="n">
        <v>109</v>
      </c>
      <c r="AW26" s="38" t="n">
        <v>103</v>
      </c>
      <c r="AX26" s="38" t="n">
        <v>102</v>
      </c>
      <c r="AY26" s="38" t="n">
        <v>91</v>
      </c>
      <c r="AZ26" s="38" t="n">
        <v>88</v>
      </c>
      <c r="BA26" s="38" t="n">
        <v>86</v>
      </c>
      <c r="BB26" s="38" t="n">
        <v>84</v>
      </c>
      <c r="BC26" s="38" t="n">
        <v>84</v>
      </c>
      <c r="BD26" s="38" t="n">
        <v>78</v>
      </c>
      <c r="BE26" s="38" t="n">
        <v>74</v>
      </c>
      <c r="BF26" s="38" t="n">
        <v>74</v>
      </c>
      <c r="BG26" s="38" t="n">
        <v>74</v>
      </c>
      <c r="BH26" s="38" t="n">
        <v>73</v>
      </c>
      <c r="BI26" s="38" t="n">
        <v>73</v>
      </c>
      <c r="BJ26" s="38" t="n">
        <v>71</v>
      </c>
      <c r="BK26" s="38" t="n">
        <v>71</v>
      </c>
      <c r="BL26" s="38" t="n">
        <v>68</v>
      </c>
      <c r="BM26" s="38" t="n">
        <v>68</v>
      </c>
      <c r="BN26" s="38" t="n">
        <v>67</v>
      </c>
      <c r="BO26" s="38" t="n">
        <v>65</v>
      </c>
      <c r="BP26" s="38" t="n">
        <v>65</v>
      </c>
      <c r="BQ26" s="38" t="n">
        <v>63</v>
      </c>
      <c r="BR26" s="38" t="n">
        <v>59</v>
      </c>
      <c r="BS26" s="38" t="n">
        <v>59</v>
      </c>
      <c r="BT26" s="38" t="n"/>
      <c r="BU26" s="38" t="n"/>
      <c r="BV26" s="38" t="n"/>
      <c r="BW26" s="38" t="n">
        <v>51</v>
      </c>
      <c r="BX26" s="38" t="n">
        <v>45</v>
      </c>
      <c r="BY26" s="38" t="n">
        <v>39</v>
      </c>
      <c r="BZ26" s="38" t="n">
        <v>42</v>
      </c>
      <c r="CA26" s="38" t="n">
        <v>42</v>
      </c>
      <c r="CB26" s="154">
        <f>BZ26+IF(NOT(ISBLANK(OFFSET(CB26,0,6))),N(OFFSET(CB26,0,6)),N(OFFSET(CB26,0,7)))-CA26</f>
        <v/>
      </c>
      <c r="CC26" s="6" t="n"/>
      <c r="CD26" s="19" t="n"/>
      <c r="CE26" s="19" t="n"/>
      <c r="CF26" s="19" t="n"/>
      <c r="CG26" s="65" t="n"/>
      <c r="CH26" s="4" t="n"/>
      <c r="CI26" s="18" t="n">
        <v>0</v>
      </c>
      <c r="CJ26" s="18" t="n"/>
      <c r="CK26" s="18" t="n"/>
      <c r="CL26" s="403" t="n">
        <v>10</v>
      </c>
      <c r="CM26" s="18" t="n"/>
      <c r="CN26" s="18" t="n"/>
      <c r="CO26" s="18" t="n"/>
      <c r="CP26" s="18" t="n"/>
      <c r="CQ26" s="18" t="n"/>
      <c r="CR26" s="18" t="n"/>
      <c r="CS26" s="18" t="n"/>
      <c r="CT26" s="18" t="n"/>
      <c r="CU26" s="18" t="n"/>
      <c r="CV26" s="18" t="n"/>
      <c r="CW26" s="18" t="n"/>
      <c r="CX26" s="18" t="n"/>
      <c r="CY26" s="18" t="n"/>
      <c r="CZ26" s="18" t="n"/>
      <c r="DA26" s="18" t="n"/>
      <c r="DB26" s="18" t="n"/>
      <c r="DC26" s="18" t="n"/>
      <c r="DD26" s="18" t="n"/>
      <c r="DE26" s="18" t="n"/>
      <c r="DF26" s="18" t="n"/>
      <c r="DG26" s="18" t="n"/>
      <c r="DH26" s="18" t="n"/>
      <c r="DI26" s="18" t="n"/>
      <c r="DJ26" s="18" t="n"/>
      <c r="DK26" s="18" t="n"/>
      <c r="DL26" s="18" t="n"/>
      <c r="DM26" s="18" t="n"/>
      <c r="DN26" s="18" t="n"/>
      <c r="DO26" s="256" t="n">
        <v>20</v>
      </c>
      <c r="DP26" s="18" t="n"/>
      <c r="DQ26" s="405" t="inlineStr">
        <is>
          <t>40 P/ ER PG</t>
        </is>
      </c>
      <c r="DR26" s="18" t="n"/>
      <c r="DS26" s="18" t="n"/>
      <c r="DT26" s="18" t="n"/>
      <c r="DU26" s="18" t="n"/>
      <c r="DV26" s="18" t="n"/>
      <c r="DW26" s="18" t="n"/>
      <c r="DX26" s="18" t="n"/>
      <c r="DY26" s="18" t="n"/>
      <c r="DZ26" s="18" t="n"/>
      <c r="EA26" s="18" t="n"/>
      <c r="EB26" s="18" t="n"/>
      <c r="EC26" s="18" t="n"/>
      <c r="ED26" s="18" t="n"/>
      <c r="EE26" s="18" t="n"/>
      <c r="EF26" s="18" t="n"/>
      <c r="EG26" s="18" t="n"/>
      <c r="EH26" s="18" t="n"/>
      <c r="EI26" s="18" t="n"/>
      <c r="EJ26" s="18" t="n"/>
      <c r="EK26" s="18" t="n"/>
      <c r="EL26" s="18" t="n"/>
      <c r="EM26" s="18" t="n"/>
      <c r="EN26" s="18" t="n"/>
      <c r="EO26" s="18" t="n"/>
      <c r="EP26" s="256" t="n"/>
      <c r="EQ26" s="18" t="n"/>
      <c r="ER26" s="18" t="n"/>
      <c r="ES26" s="18" t="n"/>
      <c r="ET26" s="18" t="n"/>
      <c r="EU26" s="18" t="n"/>
      <c r="EV26" s="18" t="n"/>
      <c r="EW26" s="18" t="n"/>
      <c r="EX26" s="18" t="n"/>
      <c r="EY26" s="18" t="n"/>
      <c r="EZ26" s="18" t="n"/>
      <c r="FA26" s="18" t="n"/>
      <c r="FB26" s="18" t="n"/>
      <c r="FC26" s="312" t="inlineStr">
        <is>
          <t>10 DE ER</t>
        </is>
      </c>
      <c r="FD26" s="256" t="n"/>
      <c r="FE26" s="18" t="n"/>
      <c r="FF26" s="18" t="n"/>
      <c r="FG26" s="18" t="n"/>
      <c r="FH26" s="18" t="n"/>
      <c r="FI26" s="18" t="n"/>
      <c r="FJ26" s="18" t="n"/>
      <c r="FK26" s="18" t="n"/>
      <c r="FL26" s="18" t="n"/>
      <c r="FM26" s="18" t="n"/>
      <c r="FN26" s="18" t="n"/>
      <c r="FO26" s="18" t="n">
        <v>100</v>
      </c>
      <c r="FP26" s="18" t="n"/>
      <c r="FQ26" s="18" t="n"/>
      <c r="FR26" s="18" t="n"/>
      <c r="FS26" s="18" t="n"/>
      <c r="FT26" s="256" t="n">
        <v>20</v>
      </c>
      <c r="FU26" s="18" t="n"/>
      <c r="FV26" s="18" t="n"/>
      <c r="FW26" s="18" t="n"/>
      <c r="FX26" s="18" t="n"/>
      <c r="FY26" s="18" t="n"/>
      <c r="FZ26" s="18" t="n"/>
      <c r="GA26" s="18" t="n"/>
      <c r="GB26" s="18" t="n"/>
      <c r="GC26" s="18" t="n"/>
      <c r="GD26" s="18" t="n"/>
      <c r="GE26" s="18" t="n"/>
      <c r="GF26" s="18" t="n"/>
      <c r="GG26" s="18" t="n"/>
      <c r="GH26" s="18" t="n"/>
      <c r="GI26" s="18" t="n"/>
      <c r="GJ26" s="18" t="n"/>
      <c r="GK26" s="18" t="n"/>
      <c r="GL26" s="18" t="n"/>
      <c r="GM26" s="18" t="n"/>
      <c r="GN26" s="18" t="n"/>
    </row>
    <row r="27" ht="18.75" customFormat="1" customHeight="1" s="3">
      <c r="A27" s="33" t="inlineStr">
        <is>
          <t>KIT ETIQ (50 c/ 50 un)</t>
        </is>
      </c>
      <c r="B27" s="9" t="n">
        <v>2500</v>
      </c>
      <c r="C27" s="662" t="n">
        <v>66.87</v>
      </c>
      <c r="D27" s="329" t="n">
        <v>20</v>
      </c>
      <c r="E27" s="642" t="n"/>
      <c r="F27" s="38" t="n">
        <v>95</v>
      </c>
      <c r="G27" s="38" t="n">
        <v>95</v>
      </c>
      <c r="H27" s="38" t="n">
        <v>79</v>
      </c>
      <c r="I27" s="38" t="n">
        <v>79</v>
      </c>
      <c r="J27" s="38" t="n">
        <v>79</v>
      </c>
      <c r="K27" s="38" t="n">
        <v>79</v>
      </c>
      <c r="L27" s="38" t="n">
        <v>79</v>
      </c>
      <c r="M27" s="38" t="n">
        <v>79</v>
      </c>
      <c r="N27" s="38" t="n">
        <v>79</v>
      </c>
      <c r="O27" s="38" t="n">
        <v>79</v>
      </c>
      <c r="P27" s="38" t="n">
        <v>79</v>
      </c>
      <c r="Q27" s="38" t="n">
        <v>75</v>
      </c>
      <c r="R27" s="38" t="n">
        <v>71</v>
      </c>
      <c r="S27" s="38" t="n">
        <v>71</v>
      </c>
      <c r="T27" s="38" t="n">
        <v>177</v>
      </c>
      <c r="U27" s="38" t="n">
        <v>177</v>
      </c>
      <c r="V27" s="38" t="n">
        <v>175</v>
      </c>
      <c r="W27" s="38" t="n">
        <v>175</v>
      </c>
      <c r="X27" s="38" t="n">
        <v>174</v>
      </c>
      <c r="Y27" s="38" t="n">
        <v>170</v>
      </c>
      <c r="Z27" s="38" t="n">
        <v>167</v>
      </c>
      <c r="AA27" s="38" t="n">
        <v>161</v>
      </c>
      <c r="AB27" s="38" t="n">
        <v>157</v>
      </c>
      <c r="AC27" s="38" t="n">
        <v>156</v>
      </c>
      <c r="AD27" s="38" t="n">
        <v>151</v>
      </c>
      <c r="AE27" s="38" t="n">
        <v>148</v>
      </c>
      <c r="AF27" s="38" t="n">
        <v>141</v>
      </c>
      <c r="AG27" s="38" t="n">
        <v>139</v>
      </c>
      <c r="AH27" s="38" t="n">
        <v>136</v>
      </c>
      <c r="AI27" s="38" t="n">
        <v>135</v>
      </c>
      <c r="AJ27" s="38" t="n">
        <v>130</v>
      </c>
      <c r="AK27" s="38" t="n">
        <v>129</v>
      </c>
      <c r="AL27" s="38" t="n">
        <v>121</v>
      </c>
      <c r="AM27" s="38" t="n">
        <v>117</v>
      </c>
      <c r="AN27" s="38" t="n">
        <v>117</v>
      </c>
      <c r="AO27" s="38" t="n">
        <v>108</v>
      </c>
      <c r="AP27" s="38" t="n">
        <v>103</v>
      </c>
      <c r="AQ27" s="38" t="n">
        <v>98</v>
      </c>
      <c r="AR27" s="38" t="n">
        <v>95</v>
      </c>
      <c r="AS27" s="38" t="n">
        <v>94</v>
      </c>
      <c r="AT27" s="38" t="n">
        <v>91</v>
      </c>
      <c r="AU27" s="38" t="n">
        <v>86</v>
      </c>
      <c r="AV27" s="38" t="n">
        <v>83</v>
      </c>
      <c r="AW27" s="38" t="n">
        <v>79</v>
      </c>
      <c r="AX27" s="38" t="n">
        <v>78</v>
      </c>
      <c r="AY27" s="38" t="n">
        <v>73</v>
      </c>
      <c r="AZ27" s="38" t="n">
        <v>65</v>
      </c>
      <c r="BA27" s="38" t="n">
        <v>64</v>
      </c>
      <c r="BB27" s="38" t="n">
        <v>52</v>
      </c>
      <c r="BC27" s="38" t="n">
        <v>47</v>
      </c>
      <c r="BD27" s="38" t="n">
        <v>45</v>
      </c>
      <c r="BE27" s="38" t="n">
        <v>43</v>
      </c>
      <c r="BF27" s="38" t="n">
        <v>42</v>
      </c>
      <c r="BG27" s="38" t="n">
        <v>42</v>
      </c>
      <c r="BH27" s="38" t="n">
        <v>41</v>
      </c>
      <c r="BI27" s="261" t="n">
        <v>0</v>
      </c>
      <c r="BJ27" s="38" t="n">
        <v>0</v>
      </c>
      <c r="BK27" s="38" t="n">
        <v>0</v>
      </c>
      <c r="BL27" s="38" t="n">
        <v>0</v>
      </c>
      <c r="BM27" s="38" t="n">
        <v>0</v>
      </c>
      <c r="BN27" s="38" t="n">
        <v>0</v>
      </c>
      <c r="BO27" s="38" t="n">
        <v>0</v>
      </c>
      <c r="BP27" s="38" t="n">
        <v>0</v>
      </c>
      <c r="BQ27" s="38" t="n">
        <v>0</v>
      </c>
      <c r="BR27" s="261" t="n">
        <v>70</v>
      </c>
      <c r="BS27" s="38" t="n">
        <v>66</v>
      </c>
      <c r="BT27" s="38" t="n"/>
      <c r="BU27" s="38" t="n"/>
      <c r="BV27" s="38" t="n"/>
      <c r="BW27" s="38" t="n">
        <v>50</v>
      </c>
      <c r="BX27" s="38" t="n">
        <v>49</v>
      </c>
      <c r="BY27" s="38" t="n">
        <v>40</v>
      </c>
      <c r="BZ27" s="38" t="n">
        <v>38</v>
      </c>
      <c r="CA27" s="38" t="n">
        <v>38</v>
      </c>
      <c r="CB27" s="154">
        <f>BZ27+IF(NOT(ISBLANK(OFFSET(CB27,0,6))),N(OFFSET(CB27,0,6)),N(OFFSET(CB27,0,7)))-CA27</f>
        <v/>
      </c>
      <c r="CC27" s="6" t="n"/>
      <c r="CD27" s="19" t="n"/>
      <c r="CE27" s="19" t="n"/>
      <c r="CF27" s="19" t="n"/>
      <c r="CG27" s="65" t="n"/>
      <c r="CH27" s="4" t="n"/>
      <c r="CI27" s="18" t="n">
        <v>0</v>
      </c>
      <c r="CJ27" s="18" t="n"/>
      <c r="CK27" s="18" t="n"/>
      <c r="CL27" s="18" t="n"/>
      <c r="CM27" s="418" t="n">
        <v>2</v>
      </c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  <c r="DU27" s="18" t="n"/>
      <c r="DV27" s="18" t="n"/>
      <c r="DW27" s="18" t="n"/>
      <c r="DX27" s="18" t="n"/>
      <c r="DY27" s="18" t="n"/>
      <c r="DZ27" s="18" t="n"/>
      <c r="EA27" s="18" t="n"/>
      <c r="EB27" s="18" t="n"/>
      <c r="EC27" s="18" t="n"/>
      <c r="ED27" s="18" t="n"/>
      <c r="EE27" s="18" t="n"/>
      <c r="EF27" s="18" t="n"/>
      <c r="EG27" s="18" t="n"/>
      <c r="EH27" s="18" t="n"/>
      <c r="EI27" s="18" t="n"/>
      <c r="EJ27" s="18" t="n"/>
      <c r="EK27" s="18" t="n"/>
      <c r="EL27" s="256" t="n"/>
      <c r="EM27" s="18" t="n"/>
      <c r="EN27" s="18" t="n"/>
      <c r="EO27" s="18" t="n"/>
      <c r="EP27" s="256" t="n"/>
      <c r="EQ27" s="18" t="n"/>
      <c r="ER27" s="18" t="n"/>
      <c r="ES27" s="18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/>
      <c r="FC27" s="18" t="n"/>
      <c r="FD27" s="256" t="n"/>
      <c r="FE27" s="18" t="n"/>
      <c r="FF27" s="18" t="n"/>
      <c r="FG27" s="18" t="n"/>
      <c r="FH27" s="18" t="n"/>
      <c r="FI27" s="18" t="n"/>
      <c r="FJ27" s="18" t="n"/>
      <c r="FK27" s="18" t="n"/>
      <c r="FL27" s="18" t="n"/>
      <c r="FM27" s="18" t="n"/>
      <c r="FN27" s="18" t="n"/>
      <c r="FO27" s="18" t="n">
        <v>100</v>
      </c>
      <c r="FP27" s="18" t="n"/>
      <c r="FQ27" s="18" t="n"/>
      <c r="FR27" s="18" t="n"/>
      <c r="FS27" s="18" t="n"/>
      <c r="FT27" s="256" t="n">
        <v>15</v>
      </c>
      <c r="FU27" s="18" t="n"/>
      <c r="FV27" s="18" t="n"/>
      <c r="FW27" s="18" t="n"/>
      <c r="FX27" s="18" t="n"/>
      <c r="FY27" s="18" t="n"/>
      <c r="FZ27" s="18" t="n"/>
      <c r="GA27" s="18" t="n"/>
      <c r="GB27" s="18" t="n"/>
      <c r="GC27" s="18" t="n"/>
      <c r="GD27" s="18" t="n"/>
      <c r="GE27" s="18" t="n"/>
      <c r="GF27" s="18" t="n"/>
      <c r="GG27" s="18" t="n"/>
      <c r="GH27" s="18" t="n"/>
      <c r="GI27" s="18" t="n"/>
      <c r="GJ27" s="18" t="n"/>
      <c r="GK27" s="18" t="n"/>
      <c r="GL27" s="18" t="n"/>
      <c r="GM27" s="18" t="n"/>
      <c r="GN27" s="18" t="n"/>
    </row>
    <row r="28" ht="18.75" customFormat="1" customHeight="1" s="3">
      <c r="A28" s="33" t="inlineStr">
        <is>
          <t>KIT TAGS  (21 c/ 50 un)</t>
        </is>
      </c>
      <c r="B28" s="9" t="n">
        <v>1050</v>
      </c>
      <c r="C28" s="662" t="n">
        <v>52.14</v>
      </c>
      <c r="D28" s="329" t="n">
        <v>20</v>
      </c>
      <c r="E28" s="2" t="n"/>
      <c r="F28" s="38" t="n">
        <v>48</v>
      </c>
      <c r="G28" s="38" t="n">
        <v>55</v>
      </c>
      <c r="H28" s="38" t="n">
        <v>55</v>
      </c>
      <c r="I28" s="38" t="n">
        <v>55</v>
      </c>
      <c r="J28" s="38" t="n">
        <v>55</v>
      </c>
      <c r="K28" s="38" t="n">
        <v>55</v>
      </c>
      <c r="L28" s="38" t="n">
        <v>55</v>
      </c>
      <c r="M28" s="38" t="n">
        <v>55</v>
      </c>
      <c r="N28" s="38" t="n">
        <v>55</v>
      </c>
      <c r="O28" s="38" t="n">
        <v>55</v>
      </c>
      <c r="P28" s="38" t="n">
        <v>55</v>
      </c>
      <c r="Q28" s="38" t="n">
        <v>45</v>
      </c>
      <c r="R28" s="38" t="n">
        <v>45</v>
      </c>
      <c r="S28" s="38" t="n">
        <v>45</v>
      </c>
      <c r="T28" s="38" t="n">
        <v>160</v>
      </c>
      <c r="U28" s="38" t="n">
        <v>160</v>
      </c>
      <c r="V28" s="38" t="n">
        <v>160</v>
      </c>
      <c r="W28" s="38" t="n">
        <v>265</v>
      </c>
      <c r="X28" s="38" t="n">
        <v>160</v>
      </c>
      <c r="Y28" s="38" t="n">
        <v>160</v>
      </c>
      <c r="Z28" s="38" t="n">
        <v>160</v>
      </c>
      <c r="AA28" s="38" t="n">
        <v>160</v>
      </c>
      <c r="AB28" s="38" t="n">
        <v>160</v>
      </c>
      <c r="AC28" s="38" t="n">
        <v>160</v>
      </c>
      <c r="AD28" s="38" t="n">
        <v>160</v>
      </c>
      <c r="AE28" s="38" t="n">
        <v>160</v>
      </c>
      <c r="AF28" s="38" t="n">
        <v>160</v>
      </c>
      <c r="AG28" s="38" t="n">
        <v>160</v>
      </c>
      <c r="AH28" s="38" t="n">
        <v>160</v>
      </c>
      <c r="AI28" s="38" t="n">
        <v>160</v>
      </c>
      <c r="AJ28" s="38" t="n">
        <v>160</v>
      </c>
      <c r="AK28" s="38" t="n">
        <v>160</v>
      </c>
      <c r="AL28" s="38" t="n">
        <v>160</v>
      </c>
      <c r="AM28" s="38" t="n">
        <v>160</v>
      </c>
      <c r="AN28" s="38" t="n">
        <v>160</v>
      </c>
      <c r="AO28" s="38" t="n">
        <v>160</v>
      </c>
      <c r="AP28" s="38" t="n">
        <v>146</v>
      </c>
      <c r="AQ28" s="38" t="n">
        <v>145</v>
      </c>
      <c r="AR28" s="38" t="n">
        <v>143</v>
      </c>
      <c r="AS28" s="38" t="n">
        <v>143</v>
      </c>
      <c r="AT28" s="38" t="n">
        <v>143</v>
      </c>
      <c r="AU28" s="38" t="n">
        <v>139</v>
      </c>
      <c r="AV28" s="38" t="n">
        <v>136</v>
      </c>
      <c r="AW28" s="38" t="n">
        <v>131</v>
      </c>
      <c r="AX28" s="38" t="n">
        <v>131</v>
      </c>
      <c r="AY28" s="38" t="n">
        <v>124</v>
      </c>
      <c r="AZ28" s="38" t="n">
        <v>122</v>
      </c>
      <c r="BA28" s="38" t="n">
        <v>122</v>
      </c>
      <c r="BB28" s="38" t="n">
        <v>122</v>
      </c>
      <c r="BC28" s="38" t="n">
        <v>114</v>
      </c>
      <c r="BD28" s="38" t="n">
        <v>112</v>
      </c>
      <c r="BE28" s="38" t="n">
        <v>110</v>
      </c>
      <c r="BF28" s="38" t="n">
        <v>110</v>
      </c>
      <c r="BG28" s="38" t="n">
        <v>110</v>
      </c>
      <c r="BH28" s="38" t="n">
        <v>107</v>
      </c>
      <c r="BI28" s="38" t="n">
        <v>106</v>
      </c>
      <c r="BJ28" s="38" t="n">
        <v>103</v>
      </c>
      <c r="BK28" s="38" t="n">
        <v>103</v>
      </c>
      <c r="BL28" s="38" t="n">
        <v>103</v>
      </c>
      <c r="BM28" s="38" t="n">
        <v>103</v>
      </c>
      <c r="BN28" s="38" t="n">
        <v>103</v>
      </c>
      <c r="BO28" s="38" t="n">
        <v>101</v>
      </c>
      <c r="BP28" s="38" t="n">
        <v>99</v>
      </c>
      <c r="BQ28" s="38" t="n">
        <v>96</v>
      </c>
      <c r="BR28" s="38" t="n">
        <v>92</v>
      </c>
      <c r="BS28" s="38" t="n">
        <v>90</v>
      </c>
      <c r="BT28" s="38" t="n"/>
      <c r="BU28" s="38" t="n"/>
      <c r="BV28" s="38" t="n"/>
      <c r="BW28" s="38" t="n">
        <v>63</v>
      </c>
      <c r="BX28" s="38" t="n">
        <v>61</v>
      </c>
      <c r="BY28" s="38">
        <f>97-34</f>
        <v/>
      </c>
      <c r="BZ28" s="38" t="n">
        <v>63</v>
      </c>
      <c r="CA28" s="38" t="n">
        <v>63</v>
      </c>
      <c r="CB28" s="154">
        <f>BZ28+IF(NOT(ISBLANK(OFFSET(CB28,0,6))),N(OFFSET(CB28,0,6)),N(OFFSET(CB28,0,7)))-CA28</f>
        <v/>
      </c>
      <c r="CC28" s="6" t="n"/>
      <c r="CD28" s="19" t="n"/>
      <c r="CE28" s="19" t="n"/>
      <c r="CF28" s="19" t="n"/>
      <c r="CG28" s="65" t="n"/>
      <c r="CH28" s="4" t="n"/>
      <c r="CI28" s="18" t="n">
        <v>0</v>
      </c>
      <c r="CJ28" s="18" t="n"/>
      <c r="CK28" s="18" t="n"/>
      <c r="CL28" s="18" t="n"/>
      <c r="CM28" s="18" t="n"/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18" t="n"/>
      <c r="EB28" s="18" t="n"/>
      <c r="EC28" s="18" t="n"/>
      <c r="ED28" s="18" t="n"/>
      <c r="EE28" s="18" t="n"/>
      <c r="EF28" s="18" t="n"/>
      <c r="EG28" s="18" t="n"/>
      <c r="EH28" s="18" t="n"/>
      <c r="EI28" s="18" t="n"/>
      <c r="EJ28" s="18" t="n"/>
      <c r="EK28" s="18" t="n"/>
      <c r="EL28" s="18" t="n"/>
      <c r="EM28" s="18" t="n"/>
      <c r="EN28" s="18" t="n"/>
      <c r="EO28" s="18" t="n"/>
      <c r="EP28" s="256" t="n"/>
      <c r="EQ28" s="18" t="n"/>
      <c r="ER28" s="18" t="n"/>
      <c r="ES28" s="18" t="n"/>
      <c r="ET28" s="18" t="n"/>
      <c r="EU28" s="18" t="n"/>
      <c r="EV28" s="18" t="n"/>
      <c r="EW28" s="18" t="n"/>
      <c r="EX28" s="18" t="n"/>
      <c r="EY28" s="18" t="n"/>
      <c r="EZ28" s="18" t="n"/>
      <c r="FA28" s="18" t="n"/>
      <c r="FB28" s="18" t="n"/>
      <c r="FC28" s="18" t="n"/>
      <c r="FD28" s="256" t="n"/>
      <c r="FE28" s="18" t="n"/>
      <c r="FF28" s="18" t="n"/>
      <c r="FG28" s="18" t="n"/>
      <c r="FH28" s="18" t="n"/>
      <c r="FI28" s="18" t="n"/>
      <c r="FJ28" s="18" t="n"/>
      <c r="FK28" s="18" t="n"/>
      <c r="FL28" s="18" t="n"/>
      <c r="FM28" s="18" t="n"/>
      <c r="FN28" s="18" t="n"/>
      <c r="FO28" s="18" t="n">
        <v>105</v>
      </c>
      <c r="FP28" s="18" t="n"/>
      <c r="FQ28" s="18" t="n"/>
      <c r="FR28" s="18" t="n"/>
      <c r="FS28" s="18" t="n"/>
      <c r="FT28" s="256" t="n"/>
      <c r="FU28" s="18" t="n"/>
      <c r="FV28" s="18" t="n"/>
      <c r="FW28" s="18" t="n"/>
      <c r="FX28" s="18" t="n"/>
      <c r="FY28" s="18" t="n"/>
      <c r="FZ28" s="18" t="n"/>
      <c r="GA28" s="18" t="n"/>
      <c r="GB28" s="18" t="n"/>
      <c r="GC28" s="18" t="n"/>
      <c r="GD28" s="18" t="n"/>
      <c r="GE28" s="18" t="n"/>
      <c r="GF28" s="18" t="n"/>
      <c r="GG28" s="18" t="n"/>
      <c r="GH28" s="18" t="n"/>
      <c r="GI28" s="18" t="n"/>
      <c r="GJ28" s="18" t="n"/>
      <c r="GK28" s="18" t="n"/>
      <c r="GL28" s="18" t="n"/>
      <c r="GM28" s="18" t="n"/>
      <c r="GN28" s="18" t="n"/>
    </row>
    <row r="29" ht="18.75" customFormat="1" customHeight="1" s="3" thickBot="1">
      <c r="A29" s="31" t="n"/>
      <c r="CC29" s="6" t="n"/>
      <c r="CD29" s="67" t="n"/>
      <c r="CE29" s="67" t="n"/>
      <c r="CF29" s="67" t="n"/>
      <c r="CI29" s="1" t="n"/>
      <c r="CJ29" s="1" t="n"/>
      <c r="CK29" s="1" t="n"/>
      <c r="CL29" s="1" t="n"/>
      <c r="CM29" s="1" t="n"/>
      <c r="CN29" s="1" t="n"/>
      <c r="CO29" s="1" t="n"/>
      <c r="CP29" s="1" t="n"/>
      <c r="CQ29" s="1" t="n"/>
      <c r="CR29" s="1" t="n"/>
      <c r="CS29" s="1" t="n"/>
      <c r="CT29" s="1" t="n"/>
      <c r="CU29" s="1" t="n"/>
      <c r="CV29" s="1" t="n"/>
      <c r="CW29" s="1" t="n"/>
      <c r="CX29" s="1" t="n"/>
      <c r="CY29" s="1" t="n"/>
      <c r="CZ29" s="1" t="n"/>
      <c r="DA29" s="1" t="n"/>
      <c r="DB29" s="1" t="n"/>
      <c r="DC29" s="1" t="n"/>
      <c r="DD29" s="1" t="n"/>
      <c r="DE29" s="1" t="n"/>
      <c r="DF29" s="1" t="n"/>
      <c r="DG29" s="1" t="n"/>
      <c r="DH29" s="1" t="n"/>
      <c r="DI29" s="1" t="n"/>
      <c r="DJ29" s="1" t="n"/>
      <c r="DK29" s="1" t="n"/>
      <c r="DL29" s="1" t="n"/>
      <c r="DM29" s="1" t="n"/>
      <c r="DN29" s="1" t="n"/>
      <c r="DO29" s="395" t="n"/>
      <c r="DP29" s="1" t="n"/>
      <c r="DQ29" s="1" t="n"/>
      <c r="DR29" s="1" t="n"/>
      <c r="DS29" s="1" t="n"/>
      <c r="DT29" s="1" t="n"/>
      <c r="DU29" s="1" t="n"/>
      <c r="DV29" s="1" t="n"/>
      <c r="DW29" s="1" t="n"/>
      <c r="DX29" s="1" t="n"/>
      <c r="DY29" s="1" t="n"/>
      <c r="DZ29" s="1" t="n"/>
      <c r="EA29" s="1" t="n"/>
      <c r="EB29" s="1" t="n"/>
      <c r="EC29" s="1" t="n"/>
      <c r="ED29" s="1" t="n"/>
      <c r="EE29" s="1" t="n"/>
      <c r="EF29" s="1" t="n"/>
      <c r="EG29" s="1" t="n"/>
      <c r="EH29" s="1" t="n"/>
      <c r="EI29" s="1" t="n"/>
      <c r="EJ29" s="1" t="n"/>
      <c r="EK29" s="1" t="n"/>
      <c r="EL29" s="51" t="n"/>
      <c r="EM29" s="1" t="n"/>
      <c r="EN29" s="1" t="n"/>
      <c r="EO29" s="1" t="n"/>
      <c r="EP29" s="272" t="n"/>
      <c r="EQ29" s="1" t="n"/>
      <c r="ER29" s="1" t="n"/>
      <c r="ES29" s="1" t="n"/>
      <c r="ET29" s="1" t="n"/>
      <c r="EU29" s="1" t="n"/>
      <c r="EV29" s="1" t="n"/>
      <c r="EW29" s="1" t="n"/>
      <c r="EX29" s="1" t="n"/>
      <c r="EY29" s="1" t="n"/>
      <c r="EZ29" s="1" t="n"/>
      <c r="FA29" s="1" t="n"/>
      <c r="FB29" s="1" t="n"/>
      <c r="FC29" s="1" t="n"/>
      <c r="FD29" s="272" t="n"/>
      <c r="FE29" s="1" t="n"/>
      <c r="FF29" s="1" t="n"/>
      <c r="FG29" s="1" t="n"/>
      <c r="FH29" s="1" t="n"/>
      <c r="FI29" s="1" t="n"/>
      <c r="FJ29" s="1" t="n"/>
      <c r="FK29" s="1" t="n"/>
      <c r="FL29" s="1" t="n"/>
      <c r="FM29" s="1" t="n"/>
      <c r="FN29" s="1" t="n"/>
      <c r="FO29" s="1" t="n"/>
      <c r="FP29" s="1" t="n"/>
      <c r="FQ29" s="1" t="n"/>
      <c r="FR29" s="1" t="n"/>
      <c r="FS29" s="1" t="n"/>
      <c r="FT29" s="272" t="n"/>
      <c r="FU29" s="1" t="n"/>
      <c r="FV29" s="1" t="n"/>
      <c r="FW29" s="1" t="n"/>
      <c r="FX29" s="1" t="n"/>
      <c r="FY29" s="1" t="n"/>
      <c r="FZ29" s="1" t="n"/>
      <c r="GA29" s="1" t="n"/>
      <c r="GB29" s="1" t="n"/>
      <c r="GC29" s="1" t="n"/>
      <c r="GD29" s="1" t="n"/>
      <c r="GE29" s="1" t="n"/>
      <c r="GF29" s="1" t="n"/>
      <c r="GG29" s="1" t="n"/>
      <c r="GH29" s="1" t="n"/>
      <c r="GI29" s="1" t="n"/>
      <c r="GJ29" s="1" t="n"/>
      <c r="GK29" s="1" t="n"/>
      <c r="GL29" s="1" t="n"/>
      <c r="GM29" s="1" t="n"/>
      <c r="GN29" s="1" t="n"/>
    </row>
    <row r="30" ht="18.75" customFormat="1" customHeight="1" s="3">
      <c r="A30" s="32" t="inlineStr">
        <is>
          <t>CAIXAS BOTICÁRIO</t>
        </is>
      </c>
      <c r="B30" s="575" t="inlineStr">
        <is>
          <t>MÓD</t>
        </is>
      </c>
      <c r="C30" s="575" t="n"/>
      <c r="D30" s="575" t="n"/>
      <c r="E30" s="2" t="n"/>
      <c r="F30" s="650" t="n">
        <v>45656</v>
      </c>
      <c r="G30" s="650" t="n">
        <v>45663</v>
      </c>
      <c r="H30" s="650" t="n">
        <v>45670</v>
      </c>
      <c r="I30" s="650" t="n">
        <v>45677</v>
      </c>
      <c r="J30" s="650" t="n">
        <v>45684</v>
      </c>
      <c r="K30" s="650" t="n">
        <v>45691</v>
      </c>
      <c r="L30" s="650" t="n">
        <v>45698</v>
      </c>
      <c r="M30" s="650" t="n">
        <v>45705</v>
      </c>
      <c r="N30" s="650" t="n">
        <v>45712</v>
      </c>
      <c r="O30" s="650" t="n">
        <v>45719</v>
      </c>
      <c r="P30" s="650" t="n">
        <v>45726</v>
      </c>
      <c r="Q30" s="650" t="n">
        <v>45733</v>
      </c>
      <c r="R30" s="650" t="n">
        <v>45740</v>
      </c>
      <c r="S30" s="650" t="n">
        <v>45747</v>
      </c>
      <c r="T30" s="650" t="n">
        <v>45754</v>
      </c>
      <c r="U30" s="650" t="n">
        <v>45761</v>
      </c>
      <c r="V30" s="650" t="n">
        <v>45768</v>
      </c>
      <c r="W30" s="650" t="n">
        <v>45775</v>
      </c>
      <c r="X30" s="650" t="n">
        <v>45782</v>
      </c>
      <c r="Y30" s="650" t="n">
        <v>45789</v>
      </c>
      <c r="Z30" s="650" t="n">
        <v>45796</v>
      </c>
      <c r="AA30" s="650" t="n">
        <v>45803</v>
      </c>
      <c r="AB30" s="650" t="n">
        <v>45810</v>
      </c>
      <c r="AC30" s="650" t="n">
        <v>45817</v>
      </c>
      <c r="AD30" s="650" t="n">
        <v>45824</v>
      </c>
      <c r="AE30" s="650" t="n">
        <v>45831</v>
      </c>
      <c r="AF30" s="650" t="n">
        <v>45838</v>
      </c>
      <c r="AG30" s="650" t="n">
        <v>45845</v>
      </c>
      <c r="AH30" s="650" t="n">
        <v>45852</v>
      </c>
      <c r="AI30" s="650" t="n">
        <v>45859</v>
      </c>
      <c r="AJ30" s="650" t="n">
        <v>45866</v>
      </c>
      <c r="AK30" s="650" t="n">
        <v>45873</v>
      </c>
      <c r="AL30" s="650" t="n">
        <v>45880</v>
      </c>
      <c r="AM30" s="650" t="n">
        <v>45887</v>
      </c>
      <c r="AN30" s="650" t="n">
        <v>45894</v>
      </c>
      <c r="AO30" s="650" t="n">
        <v>45901</v>
      </c>
      <c r="AP30" s="650" t="n">
        <v>45908</v>
      </c>
      <c r="AQ30" s="650" t="n">
        <v>45915</v>
      </c>
      <c r="AR30" s="650" t="n">
        <v>45922</v>
      </c>
      <c r="AS30" s="650" t="n">
        <v>45929</v>
      </c>
      <c r="AT30" s="650" t="n">
        <v>45936</v>
      </c>
      <c r="AU30" s="650" t="n">
        <v>45943</v>
      </c>
      <c r="AV30" s="650" t="n">
        <v>45950</v>
      </c>
      <c r="AW30" s="650" t="n">
        <v>45957</v>
      </c>
      <c r="AX30" s="650" t="n">
        <v>45964</v>
      </c>
      <c r="AY30" s="650" t="n">
        <v>45971</v>
      </c>
      <c r="AZ30" s="650" t="n">
        <v>45978</v>
      </c>
      <c r="BA30" s="650" t="n">
        <v>45985</v>
      </c>
      <c r="BB30" s="650" t="n">
        <v>45992</v>
      </c>
      <c r="BC30" s="650" t="n">
        <v>45999</v>
      </c>
      <c r="BD30" s="650" t="n">
        <v>46006</v>
      </c>
      <c r="BE30" s="650" t="n">
        <v>46013</v>
      </c>
      <c r="BF30" s="650" t="n">
        <v>46020</v>
      </c>
      <c r="BG30" s="650" t="n">
        <v>46027</v>
      </c>
      <c r="BH30" s="650" t="n">
        <v>46034</v>
      </c>
      <c r="BI30" s="650" t="n">
        <v>46041</v>
      </c>
      <c r="BJ30" s="650" t="n">
        <v>46048</v>
      </c>
      <c r="BK30" s="650" t="n">
        <v>46055</v>
      </c>
      <c r="BL30" s="650" t="n">
        <v>46062</v>
      </c>
      <c r="BM30" s="650" t="n">
        <v>46069</v>
      </c>
      <c r="BN30" s="650" t="n">
        <v>46076</v>
      </c>
      <c r="BO30" s="650" t="n">
        <v>46083</v>
      </c>
      <c r="BP30" s="650" t="n">
        <v>46090</v>
      </c>
      <c r="BQ30" s="650" t="n">
        <v>46097</v>
      </c>
      <c r="BR30" s="650" t="n">
        <v>46104</v>
      </c>
      <c r="BS30" s="650" t="n">
        <v>46111</v>
      </c>
      <c r="BT30" s="650" t="n">
        <v>46118</v>
      </c>
      <c r="BU30" s="650" t="n">
        <v>46125</v>
      </c>
      <c r="BV30" s="650" t="n">
        <v>46132</v>
      </c>
      <c r="BW30" s="650" t="n">
        <v>46139</v>
      </c>
      <c r="BX30" s="650" t="n">
        <v>46146</v>
      </c>
      <c r="BY30" s="650" t="n">
        <v>46154</v>
      </c>
      <c r="BZ30" s="650" t="n">
        <v>46160</v>
      </c>
      <c r="CA30" s="650" t="n">
        <v>46160</v>
      </c>
      <c r="CB30" s="652" t="inlineStr">
        <is>
          <t>USOU</t>
        </is>
      </c>
      <c r="CC30" s="6" t="n"/>
      <c r="CD30" s="35" t="inlineStr">
        <is>
          <t>Pend.</t>
        </is>
      </c>
      <c r="CE30" s="413" t="inlineStr">
        <is>
          <t>TRANSFERÊNCIA</t>
        </is>
      </c>
      <c r="CF30" s="35" t="inlineStr">
        <is>
          <t>Pend.</t>
        </is>
      </c>
      <c r="CG30" s="12" t="inlineStr">
        <is>
          <t>Novo Pedido</t>
        </is>
      </c>
      <c r="CH30" s="4" t="n"/>
      <c r="CI30" s="654" t="n">
        <v>46149</v>
      </c>
      <c r="CJ30" s="654" t="n">
        <v>46114</v>
      </c>
      <c r="CK30" s="654" t="n">
        <v>46099</v>
      </c>
      <c r="CL30" s="710" t="n">
        <v>46065</v>
      </c>
      <c r="CM30" s="711" t="n">
        <v>46045</v>
      </c>
      <c r="CN30" s="654" t="n">
        <v>46076</v>
      </c>
      <c r="CO30" s="655" t="n">
        <v>46084</v>
      </c>
      <c r="CP30" s="654" t="n">
        <v>46077</v>
      </c>
      <c r="CQ30" s="655" t="n">
        <v>46077</v>
      </c>
      <c r="CR30" s="654" t="n">
        <v>46071</v>
      </c>
      <c r="CS30" s="654" t="n">
        <v>46071</v>
      </c>
      <c r="CT30" s="654" t="n">
        <v>46056</v>
      </c>
      <c r="CU30" s="654" t="n">
        <v>46043</v>
      </c>
      <c r="CV30" s="654" t="n">
        <v>46035</v>
      </c>
      <c r="CW30" s="654" t="n">
        <v>46029</v>
      </c>
      <c r="CX30" s="654" t="n">
        <v>46017</v>
      </c>
      <c r="CY30" s="654" t="n">
        <v>46001</v>
      </c>
      <c r="CZ30" s="654" t="n">
        <v>46007</v>
      </c>
      <c r="DA30" s="654" t="n">
        <v>45994</v>
      </c>
      <c r="DB30" s="654" t="n">
        <v>45986</v>
      </c>
      <c r="DC30" s="654" t="n">
        <v>45986</v>
      </c>
      <c r="DD30" s="654" t="n">
        <v>45980</v>
      </c>
      <c r="DE30" s="654" t="n">
        <v>45980</v>
      </c>
      <c r="DF30" s="654" t="n">
        <v>45973</v>
      </c>
      <c r="DG30" s="654" t="n">
        <v>45965</v>
      </c>
      <c r="DH30" s="654" t="n">
        <v>45960</v>
      </c>
      <c r="DI30" s="655" t="n">
        <v>45967</v>
      </c>
      <c r="DJ30" s="654" t="n">
        <v>45937</v>
      </c>
      <c r="DK30" s="654" t="n">
        <v>45951</v>
      </c>
      <c r="DL30" s="654" t="n">
        <v>45931</v>
      </c>
      <c r="DM30" s="654" t="n">
        <v>45923</v>
      </c>
      <c r="DN30" s="654" t="n">
        <v>45923</v>
      </c>
      <c r="DO30" s="678" t="n">
        <v>45903</v>
      </c>
      <c r="DP30" s="655" t="n">
        <v>45931</v>
      </c>
      <c r="DQ30" s="688" t="n">
        <v>45931</v>
      </c>
      <c r="DR30" s="654" t="n">
        <v>45915</v>
      </c>
      <c r="DS30" s="654" t="n">
        <v>45909</v>
      </c>
      <c r="DT30" s="654" t="n">
        <v>45903</v>
      </c>
      <c r="DU30" s="654" t="n">
        <v>45903</v>
      </c>
      <c r="DV30" s="654" t="n">
        <v>45895</v>
      </c>
      <c r="DW30" s="654" t="n">
        <v>45881</v>
      </c>
      <c r="DX30" s="679" t="n">
        <v>45896</v>
      </c>
      <c r="DY30" s="654" t="n">
        <v>45888</v>
      </c>
      <c r="DZ30" s="679" t="n">
        <v>45839</v>
      </c>
      <c r="EA30" s="654" t="n">
        <v>45874</v>
      </c>
      <c r="EB30" s="654" t="n">
        <v>45867</v>
      </c>
      <c r="EC30" s="655" t="n">
        <v>45882</v>
      </c>
      <c r="ED30" s="655" t="n">
        <v>45881</v>
      </c>
      <c r="EE30" s="654" t="n">
        <v>45874</v>
      </c>
      <c r="EF30" s="654" t="n">
        <v>45867</v>
      </c>
      <c r="EG30" s="654" t="n">
        <v>45860</v>
      </c>
      <c r="EH30" s="655" t="n">
        <v>45863</v>
      </c>
      <c r="EI30" s="655" t="n">
        <v>45860</v>
      </c>
      <c r="EJ30" s="654" t="n">
        <v>45860</v>
      </c>
      <c r="EK30" s="654" t="n">
        <v>45853</v>
      </c>
      <c r="EL30" s="681" t="n">
        <v>45855</v>
      </c>
      <c r="EM30" s="654" t="n">
        <v>45848</v>
      </c>
      <c r="EN30" s="654" t="n">
        <v>45839</v>
      </c>
      <c r="EO30" s="654" t="n">
        <v>45832</v>
      </c>
      <c r="EP30" s="650" t="n">
        <v>45842</v>
      </c>
      <c r="EQ30" s="654" t="n">
        <v>45832</v>
      </c>
      <c r="ER30" s="654" t="n">
        <v>45825</v>
      </c>
      <c r="ES30" s="655" t="n">
        <v>45826</v>
      </c>
      <c r="ET30" s="655" t="n">
        <v>45825</v>
      </c>
      <c r="EU30" s="654" t="n">
        <v>45819</v>
      </c>
      <c r="EV30" s="654" t="n">
        <v>45813</v>
      </c>
      <c r="EW30" s="655" t="n">
        <v>45820</v>
      </c>
      <c r="EX30" s="655" t="n">
        <v>45818</v>
      </c>
      <c r="EY30" s="654" t="n">
        <v>45805</v>
      </c>
      <c r="EZ30" s="655" t="n">
        <v>45807</v>
      </c>
      <c r="FA30" s="654" t="n">
        <v>45790</v>
      </c>
      <c r="FB30" s="655" t="n">
        <v>45799</v>
      </c>
      <c r="FC30" s="690" t="n">
        <v>45799</v>
      </c>
      <c r="FD30" s="650" t="n">
        <v>45798</v>
      </c>
      <c r="FE30" s="655" t="n">
        <v>45798</v>
      </c>
      <c r="FF30" s="655" t="n">
        <v>45797</v>
      </c>
      <c r="FG30" s="654" t="n">
        <v>45790</v>
      </c>
      <c r="FH30" s="654" t="n">
        <v>45783</v>
      </c>
      <c r="FI30" s="654" t="n">
        <v>45775</v>
      </c>
      <c r="FJ30" s="654" t="n">
        <v>45756</v>
      </c>
      <c r="FK30" s="654" t="n">
        <v>45770</v>
      </c>
      <c r="FL30" s="654" t="n">
        <v>45756</v>
      </c>
      <c r="FM30" s="654" t="n">
        <v>45749</v>
      </c>
      <c r="FN30" s="654" t="n">
        <v>45736</v>
      </c>
      <c r="FO30" s="654" t="n">
        <v>45743</v>
      </c>
      <c r="FP30" s="654" t="n">
        <v>45735</v>
      </c>
      <c r="FQ30" s="654" t="n">
        <v>45728</v>
      </c>
      <c r="FR30" s="654" t="n">
        <v>45722</v>
      </c>
      <c r="FS30" s="654" t="n">
        <v>45714</v>
      </c>
      <c r="FT30" s="650" t="n">
        <v>45700</v>
      </c>
      <c r="FU30" s="654" t="n">
        <v>45706</v>
      </c>
      <c r="FV30" s="654" t="n">
        <v>45700</v>
      </c>
      <c r="FW30" s="654" t="n">
        <v>45684</v>
      </c>
      <c r="FX30" s="654" t="n">
        <v>45699</v>
      </c>
      <c r="FY30" s="654" t="n">
        <v>45699</v>
      </c>
      <c r="FZ30" s="655" t="n">
        <v>45706</v>
      </c>
      <c r="GA30" s="654" t="n">
        <v>45693</v>
      </c>
      <c r="GB30" s="654" t="n">
        <v>45693</v>
      </c>
      <c r="GC30" s="654" t="n">
        <v>45685</v>
      </c>
      <c r="GD30" s="712" t="n">
        <v>45692</v>
      </c>
      <c r="GE30" s="655" t="n">
        <v>45691</v>
      </c>
      <c r="GF30" s="655" t="n">
        <v>45681</v>
      </c>
      <c r="GG30" s="654" t="n">
        <v>45674</v>
      </c>
      <c r="GH30" s="655" t="n">
        <v>45672</v>
      </c>
      <c r="GI30" s="654" t="n">
        <v>45664</v>
      </c>
      <c r="GJ30" s="654" t="n">
        <v>46008</v>
      </c>
      <c r="GK30" s="654" t="n">
        <v>45660</v>
      </c>
      <c r="GL30" s="654" t="n">
        <v>45652</v>
      </c>
      <c r="GM30" s="654" t="n">
        <v>45638</v>
      </c>
      <c r="GN30" s="654" t="n">
        <v>45643</v>
      </c>
      <c r="GP30" s="717" t="inlineStr">
        <is>
          <t>Ñ EXISTE MAIS KIT'S CAIXAS</t>
        </is>
      </c>
      <c r="GQ30" s="718" t="n"/>
    </row>
    <row r="31" ht="18.75" customFormat="1" customHeight="1" s="3">
      <c r="A31" s="33" t="inlineStr">
        <is>
          <t>KIT CAIXA P VERDE</t>
        </is>
      </c>
      <c r="B31" s="129" t="n">
        <v>75</v>
      </c>
      <c r="C31" s="665" t="n">
        <v>239.21</v>
      </c>
      <c r="D31" s="329" t="n">
        <v>30</v>
      </c>
      <c r="E31" s="2" t="n"/>
      <c r="F31" s="38" t="n">
        <v>4</v>
      </c>
      <c r="G31" s="38">
        <f>75-17</f>
        <v/>
      </c>
      <c r="H31" s="38" t="n">
        <v>57</v>
      </c>
      <c r="I31" s="38" t="n">
        <v>55</v>
      </c>
      <c r="J31" s="38" t="n">
        <v>52</v>
      </c>
      <c r="K31" s="38" t="n">
        <v>47</v>
      </c>
      <c r="L31" s="38" t="n">
        <v>44</v>
      </c>
      <c r="M31" s="38" t="n">
        <v>41</v>
      </c>
      <c r="N31" s="38" t="n">
        <v>38</v>
      </c>
      <c r="O31" s="38" t="n">
        <v>33</v>
      </c>
      <c r="P31" s="38" t="n">
        <v>29</v>
      </c>
      <c r="Q31" s="38" t="n">
        <v>26</v>
      </c>
      <c r="R31" s="38" t="n">
        <v>25</v>
      </c>
      <c r="S31" s="38" t="n">
        <v>21</v>
      </c>
      <c r="T31" s="38" t="n">
        <v>19</v>
      </c>
      <c r="U31" s="38" t="n">
        <v>10</v>
      </c>
      <c r="V31" s="38" t="n">
        <v>0</v>
      </c>
      <c r="W31" s="38" t="n">
        <v>0</v>
      </c>
      <c r="X31" s="38" t="n">
        <v>75</v>
      </c>
      <c r="Y31" s="38" t="n">
        <v>69</v>
      </c>
      <c r="Z31" s="38" t="n">
        <v>58</v>
      </c>
      <c r="AA31" s="38" t="n">
        <v>54</v>
      </c>
      <c r="AB31" s="38" t="n">
        <v>43</v>
      </c>
      <c r="AC31" s="38" t="n">
        <v>33</v>
      </c>
      <c r="AD31" s="38" t="n">
        <v>18</v>
      </c>
      <c r="AE31" s="38" t="n">
        <v>17</v>
      </c>
      <c r="AF31" s="38" t="n">
        <v>15</v>
      </c>
      <c r="AG31" s="38" t="n">
        <v>9</v>
      </c>
      <c r="AH31" s="38">
        <f>4+EM31</f>
        <v/>
      </c>
      <c r="AI31" s="38" t="n">
        <v>72</v>
      </c>
      <c r="AJ31" s="38" t="n">
        <v>67</v>
      </c>
      <c r="AK31" s="38" t="n">
        <v>64</v>
      </c>
      <c r="AL31" s="38" t="n">
        <v>53</v>
      </c>
      <c r="AM31" s="38" t="n">
        <v>50</v>
      </c>
      <c r="AN31" s="38" t="n">
        <v>50</v>
      </c>
      <c r="AO31" s="38" t="n">
        <v>42</v>
      </c>
      <c r="AP31" s="38" t="n">
        <v>35</v>
      </c>
      <c r="AQ31" s="38" t="n">
        <v>30</v>
      </c>
      <c r="AR31" s="38" t="n">
        <v>24</v>
      </c>
      <c r="AS31" s="38" t="n">
        <v>12</v>
      </c>
      <c r="AT31" s="38" t="n">
        <v>12</v>
      </c>
      <c r="AU31" s="38" t="n">
        <v>0</v>
      </c>
      <c r="AV31" s="38" t="n">
        <v>0</v>
      </c>
      <c r="AW31" s="38" t="n">
        <v>0</v>
      </c>
      <c r="AX31" s="38" t="n">
        <v>0</v>
      </c>
      <c r="AY31" s="38">
        <f>0+DH31</f>
        <v/>
      </c>
      <c r="AZ31" s="261" t="n">
        <v>141</v>
      </c>
      <c r="BA31" s="38" t="n">
        <v>136</v>
      </c>
      <c r="BB31" s="38" t="n">
        <v>131</v>
      </c>
      <c r="BC31" s="38" t="n">
        <v>43</v>
      </c>
      <c r="BD31" s="38" t="n">
        <v>29</v>
      </c>
      <c r="BE31" s="38" t="n">
        <v>0</v>
      </c>
      <c r="BF31" s="38" t="n">
        <v>0</v>
      </c>
      <c r="BG31" s="38" t="n">
        <v>0</v>
      </c>
      <c r="BH31" s="38" t="n">
        <v>0</v>
      </c>
      <c r="BI31" s="38" t="n">
        <v>0</v>
      </c>
      <c r="BJ31" s="38" t="n">
        <v>0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>
        <v>0</v>
      </c>
      <c r="BT31" s="38" t="n">
        <v>0</v>
      </c>
      <c r="BU31" s="38" t="n">
        <v>0</v>
      </c>
      <c r="BV31" s="38" t="n">
        <v>0</v>
      </c>
      <c r="BW31" s="38" t="n">
        <v>0</v>
      </c>
      <c r="BX31" s="38" t="n">
        <v>0</v>
      </c>
      <c r="BY31" s="38" t="n">
        <v>0</v>
      </c>
      <c r="BZ31" s="38" t="n">
        <v>0</v>
      </c>
      <c r="CA31" s="38" t="n">
        <v>0</v>
      </c>
      <c r="CB31" s="154">
        <f>BZ31+IF(NOT(ISBLANK(OFFSET(CB31,0,6))),N(OFFSET(CB31,0,6)),N(OFFSET(CB31,0,7)))-CA31</f>
        <v/>
      </c>
      <c r="CC31" s="6" t="n"/>
      <c r="CD31" s="19" t="n"/>
      <c r="CE31" s="19" t="n"/>
      <c r="CF31" s="19" t="n"/>
      <c r="CG31" s="27" t="n"/>
      <c r="CH31" s="4" t="n"/>
      <c r="CI31" s="18" t="n">
        <v>0</v>
      </c>
      <c r="CJ31" s="18" t="n"/>
      <c r="CK31" s="18" t="n"/>
      <c r="CL31" s="18" t="n"/>
      <c r="CM31" s="418" t="n">
        <v>200</v>
      </c>
      <c r="CN31" s="18" t="n"/>
      <c r="CO31" s="18" t="n"/>
      <c r="CP31" s="18" t="n"/>
      <c r="CQ31" s="18" t="n"/>
      <c r="CR31" s="18" t="n"/>
      <c r="CS31" s="18" t="n"/>
      <c r="CT31" s="18" t="n"/>
      <c r="CU31" s="18" t="n"/>
      <c r="CV31" s="18" t="n"/>
      <c r="CW31" s="18" t="n"/>
      <c r="CX31" s="18" t="n"/>
      <c r="CY31" s="18" t="n"/>
      <c r="CZ31" s="18" t="n"/>
      <c r="DA31" s="18" t="n"/>
      <c r="DB31" s="18" t="n"/>
      <c r="DC31" s="18" t="n"/>
      <c r="DD31" s="18" t="n"/>
      <c r="DE31" s="18" t="n"/>
      <c r="DF31" s="18" t="n"/>
      <c r="DG31" s="18" t="n"/>
      <c r="DH31" s="18" t="n">
        <v>75</v>
      </c>
      <c r="DI31" s="18" t="n"/>
      <c r="DJ31" s="18" t="n"/>
      <c r="DK31" s="18" t="n"/>
      <c r="DL31" s="18" t="n"/>
      <c r="DM31" s="18" t="n"/>
      <c r="DN31" s="18" t="n"/>
      <c r="DO31" s="256" t="n">
        <v>150</v>
      </c>
      <c r="DP31" s="18" t="n"/>
      <c r="DQ31" s="18" t="n"/>
      <c r="DR31" s="18" t="n"/>
      <c r="DS31" s="18" t="n"/>
      <c r="DT31" s="18" t="n"/>
      <c r="DU31" s="18" t="n"/>
      <c r="DV31" s="18" t="n"/>
      <c r="DW31" s="18" t="n"/>
      <c r="DX31" s="18" t="n"/>
      <c r="DY31" s="18" t="n"/>
      <c r="DZ31" s="18" t="n"/>
      <c r="EA31" s="18" t="n"/>
      <c r="EB31" s="18" t="n"/>
      <c r="EC31" s="18" t="n"/>
      <c r="ED31" s="18" t="n"/>
      <c r="EE31" s="18" t="n"/>
      <c r="EF31" s="18" t="n"/>
      <c r="EG31" s="18" t="n"/>
      <c r="EH31" s="18" t="n"/>
      <c r="EI31" s="18" t="n"/>
      <c r="EJ31" s="18" t="n"/>
      <c r="EK31" s="18" t="n"/>
      <c r="EL31" s="18" t="n"/>
      <c r="EM31" s="18" t="n">
        <v>75</v>
      </c>
      <c r="EN31" s="18" t="n"/>
      <c r="EO31" s="18" t="n"/>
      <c r="EP31" s="256" t="n"/>
      <c r="EQ31" s="18" t="n"/>
      <c r="ER31" s="18" t="n"/>
      <c r="ES31" s="260" t="n"/>
      <c r="ET31" s="260" t="n"/>
      <c r="EU31" s="18" t="n"/>
      <c r="EV31" s="18" t="n"/>
      <c r="EW31" s="260" t="n"/>
      <c r="EX31" s="260" t="n"/>
      <c r="EY31" s="18" t="n"/>
      <c r="EZ31" s="260" t="n"/>
      <c r="FA31" s="18" t="n"/>
      <c r="FB31" s="260" t="n"/>
      <c r="FC31" s="260" t="n"/>
      <c r="FD31" s="292" t="inlineStr">
        <is>
          <t>67 P/ PL</t>
        </is>
      </c>
      <c r="FE31" s="260" t="n"/>
      <c r="FF31" s="260" t="n"/>
      <c r="FG31" s="18" t="n"/>
      <c r="FH31" s="18" t="n"/>
      <c r="FI31" s="18" t="n"/>
      <c r="FJ31" s="18" t="n">
        <v>75</v>
      </c>
      <c r="FK31" s="18" t="n"/>
      <c r="FL31" s="18" t="n"/>
      <c r="FM31" s="18" t="n"/>
      <c r="FN31" s="18" t="n"/>
      <c r="FO31" s="18" t="n"/>
      <c r="FP31" s="18" t="n"/>
      <c r="FQ31" s="18" t="n"/>
      <c r="FR31" s="18" t="n"/>
      <c r="FS31" s="18" t="n"/>
      <c r="FT31" s="256" t="n">
        <v>150</v>
      </c>
      <c r="FU31" s="18" t="n"/>
      <c r="FV31" s="18" t="n"/>
      <c r="FW31" s="18" t="n"/>
      <c r="FX31" s="18" t="n"/>
      <c r="FY31" s="18" t="n"/>
      <c r="FZ31" s="260" t="n"/>
      <c r="GA31" s="18" t="n"/>
      <c r="GB31" s="18" t="n"/>
      <c r="GC31" s="18" t="n"/>
      <c r="GD31" s="260" t="n"/>
      <c r="GE31" s="260" t="n"/>
      <c r="GF31" s="260" t="n"/>
      <c r="GG31" s="18" t="n"/>
      <c r="GH31" s="239" t="inlineStr">
        <is>
          <t>17 P/ ER PBE</t>
        </is>
      </c>
      <c r="GI31" s="18" t="n"/>
      <c r="GJ31" s="18" t="n"/>
      <c r="GK31" s="18" t="n"/>
      <c r="GL31" s="18" t="n">
        <v>75</v>
      </c>
      <c r="GM31" s="18" t="n"/>
      <c r="GN31" s="18" t="n"/>
      <c r="GP31" s="719" t="n"/>
      <c r="GQ31" s="720" t="n"/>
    </row>
    <row r="32" ht="18.75" customFormat="1" customHeight="1" s="3">
      <c r="A32" s="33" t="inlineStr">
        <is>
          <t>KIT CAIXA M VERDE</t>
        </is>
      </c>
      <c r="B32" s="129" t="n">
        <v>75</v>
      </c>
      <c r="C32" s="662" t="n">
        <v>312.27</v>
      </c>
      <c r="D32" s="329" t="n">
        <v>40</v>
      </c>
      <c r="E32" s="2" t="n"/>
      <c r="F32" s="38" t="n">
        <v>33</v>
      </c>
      <c r="G32" s="38" t="n">
        <v>106</v>
      </c>
      <c r="H32" s="38" t="n">
        <v>91</v>
      </c>
      <c r="I32" s="38" t="n">
        <v>89</v>
      </c>
      <c r="J32" s="38" t="n">
        <v>87</v>
      </c>
      <c r="K32" s="38" t="n">
        <v>79</v>
      </c>
      <c r="L32" s="38" t="n">
        <v>76</v>
      </c>
      <c r="M32" s="38" t="n">
        <v>73</v>
      </c>
      <c r="N32" s="38" t="n">
        <v>69</v>
      </c>
      <c r="O32" s="38" t="n">
        <v>67</v>
      </c>
      <c r="P32" s="38" t="n">
        <v>63</v>
      </c>
      <c r="Q32" s="38" t="n">
        <v>54</v>
      </c>
      <c r="R32" s="38" t="n">
        <v>51</v>
      </c>
      <c r="S32" s="38" t="n">
        <v>46</v>
      </c>
      <c r="T32" s="38" t="n">
        <v>36</v>
      </c>
      <c r="U32" s="38" t="n">
        <v>32</v>
      </c>
      <c r="V32" s="38" t="n">
        <v>18</v>
      </c>
      <c r="W32" s="38" t="n">
        <v>93</v>
      </c>
      <c r="X32" s="38" t="n">
        <v>74</v>
      </c>
      <c r="Y32" s="38" t="n">
        <v>60</v>
      </c>
      <c r="Z32" s="38" t="n">
        <v>44</v>
      </c>
      <c r="AA32" s="38" t="n">
        <v>35</v>
      </c>
      <c r="AB32" s="38" t="n">
        <v>29</v>
      </c>
      <c r="AC32" s="38" t="n">
        <v>18</v>
      </c>
      <c r="AD32" s="38">
        <f>78-20</f>
        <v/>
      </c>
      <c r="AE32" s="38" t="n">
        <v>53</v>
      </c>
      <c r="AF32" s="38" t="n">
        <v>49</v>
      </c>
      <c r="AG32" s="38" t="n">
        <v>36</v>
      </c>
      <c r="AH32" s="38" t="n">
        <v>26</v>
      </c>
      <c r="AI32" s="38" t="n">
        <v>22</v>
      </c>
      <c r="AJ32" s="38" t="n">
        <v>16</v>
      </c>
      <c r="AK32" s="38">
        <f>4+EF32</f>
        <v/>
      </c>
      <c r="AL32" s="38">
        <f>72-20</f>
        <v/>
      </c>
      <c r="AM32" s="38" t="n">
        <v>44</v>
      </c>
      <c r="AN32" s="38" t="n">
        <v>44</v>
      </c>
      <c r="AO32" s="38" t="n">
        <v>37</v>
      </c>
      <c r="AP32" s="38" t="n">
        <v>32</v>
      </c>
      <c r="AQ32" s="38" t="n">
        <v>25</v>
      </c>
      <c r="AR32" s="38">
        <f>22-10</f>
        <v/>
      </c>
      <c r="AS32" s="38" t="n">
        <v>6</v>
      </c>
      <c r="AT32" s="38" t="n">
        <v>4</v>
      </c>
      <c r="AU32" s="38" t="n">
        <v>0</v>
      </c>
      <c r="AV32" s="38" t="n">
        <v>0</v>
      </c>
      <c r="AW32" s="38" t="n">
        <v>0</v>
      </c>
      <c r="AX32" s="38" t="n">
        <v>0</v>
      </c>
      <c r="AY32" s="38" t="n">
        <v>0</v>
      </c>
      <c r="AZ32" s="38" t="n">
        <v>0</v>
      </c>
      <c r="BA32" s="38" t="n">
        <v>0</v>
      </c>
      <c r="BB32" s="38" t="n">
        <v>0</v>
      </c>
      <c r="BC32" s="38" t="n">
        <v>0</v>
      </c>
      <c r="BD32" s="38" t="n">
        <v>0</v>
      </c>
      <c r="BE32" s="38" t="n">
        <v>0</v>
      </c>
      <c r="BF32" s="38" t="n">
        <v>0</v>
      </c>
      <c r="BG32" s="38" t="n">
        <v>0</v>
      </c>
      <c r="BH32" s="38" t="n">
        <v>0</v>
      </c>
      <c r="BI32" s="38" t="n">
        <v>0</v>
      </c>
      <c r="BJ32" s="38" t="n">
        <v>0</v>
      </c>
      <c r="BK32" s="38" t="n">
        <v>0</v>
      </c>
      <c r="BL32" s="261" t="n">
        <v>94</v>
      </c>
      <c r="BM32" s="38" t="n">
        <v>94</v>
      </c>
      <c r="BN32" s="38" t="n">
        <v>85</v>
      </c>
      <c r="BO32" s="38" t="n">
        <v>80</v>
      </c>
      <c r="BP32" s="38" t="n">
        <v>0</v>
      </c>
      <c r="BQ32" s="38" t="n">
        <v>0</v>
      </c>
      <c r="BR32" s="38" t="n">
        <v>0</v>
      </c>
      <c r="BS32" s="38" t="n">
        <v>0</v>
      </c>
      <c r="BT32" s="38" t="n">
        <v>0</v>
      </c>
      <c r="BU32" s="38" t="n">
        <v>0</v>
      </c>
      <c r="BV32" s="38" t="n">
        <v>0</v>
      </c>
      <c r="BW32" s="38" t="n">
        <v>0</v>
      </c>
      <c r="BX32" s="38" t="n">
        <v>0</v>
      </c>
      <c r="BY32" s="38" t="n">
        <v>0</v>
      </c>
      <c r="BZ32" s="38" t="n">
        <v>0</v>
      </c>
      <c r="CA32" s="38" t="n">
        <v>0</v>
      </c>
      <c r="CB32" s="154">
        <f>BZ32+IF(NOT(ISBLANK(OFFSET(CB32,0,6))),N(OFFSET(CB32,0,6)),N(OFFSET(CB32,0,7)))-CA32</f>
        <v/>
      </c>
      <c r="CC32" s="6" t="n"/>
      <c r="CD32" s="19" t="n"/>
      <c r="CE32" s="127" t="n"/>
      <c r="CF32" s="19" t="n"/>
      <c r="CG32" s="65" t="n"/>
      <c r="CH32" s="5" t="n"/>
      <c r="CI32" s="18" t="n">
        <v>0</v>
      </c>
      <c r="CJ32" s="18" t="n"/>
      <c r="CK32" s="18" t="n"/>
      <c r="CL32" s="403" t="n">
        <v>100</v>
      </c>
      <c r="CM32" s="18" t="n"/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256" t="n">
        <v>100</v>
      </c>
      <c r="DP32" s="154" t="inlineStr">
        <is>
          <t>10 P/ ER PG</t>
        </is>
      </c>
      <c r="DQ32" s="405" t="inlineStr">
        <is>
          <t>20 P/ ER PG</t>
        </is>
      </c>
      <c r="DR32" s="18" t="n"/>
      <c r="DS32" s="18" t="n"/>
      <c r="DT32" s="18" t="n"/>
      <c r="DU32" s="18" t="n"/>
      <c r="DV32" s="18" t="n"/>
      <c r="DW32" s="18" t="n"/>
      <c r="DX32" s="18" t="n"/>
      <c r="DY32" s="18" t="n"/>
      <c r="DZ32" s="18" t="n"/>
      <c r="EA32" s="18" t="n"/>
      <c r="EB32" s="18" t="n"/>
      <c r="EC32" s="18" t="n"/>
      <c r="ED32" s="154" t="inlineStr">
        <is>
          <t>20 P/ ER PBE</t>
        </is>
      </c>
      <c r="EE32" s="18" t="n"/>
      <c r="EF32" s="18" t="n">
        <v>75</v>
      </c>
      <c r="EG32" s="18" t="n"/>
      <c r="EH32" s="18" t="n"/>
      <c r="EI32" s="18" t="n"/>
      <c r="EJ32" s="18" t="n"/>
      <c r="EK32" s="18" t="n"/>
      <c r="EL32" s="292" t="inlineStr">
        <is>
          <t>50 DE ER PG</t>
        </is>
      </c>
      <c r="EM32" s="18" t="n"/>
      <c r="EN32" s="18" t="n"/>
      <c r="EO32" s="18" t="n"/>
      <c r="EP32" s="256" t="n"/>
      <c r="EQ32" s="18" t="n"/>
      <c r="ER32" s="18" t="n"/>
      <c r="ES32" s="18" t="n"/>
      <c r="ET32" s="241" t="inlineStr">
        <is>
          <t>20 P/ BOQ</t>
        </is>
      </c>
      <c r="EU32" s="18" t="n">
        <v>75</v>
      </c>
      <c r="EV32" s="18" t="n"/>
      <c r="EW32" s="18" t="n"/>
      <c r="EX32" s="18" t="n"/>
      <c r="EY32" s="18" t="n"/>
      <c r="EZ32" s="18" t="n"/>
      <c r="FA32" s="18" t="n"/>
      <c r="FB32" s="18" t="n"/>
      <c r="FC32" s="312" t="inlineStr">
        <is>
          <t>50 DE ER</t>
        </is>
      </c>
      <c r="FD32" s="256" t="n"/>
      <c r="FE32" s="18" t="n"/>
      <c r="FF32" s="18" t="n"/>
      <c r="FG32" s="18" t="n"/>
      <c r="FH32" s="18" t="n"/>
      <c r="FI32" s="18" t="n"/>
      <c r="FJ32" s="18" t="n"/>
      <c r="FK32" s="18" t="n"/>
      <c r="FL32" s="18" t="n">
        <v>75</v>
      </c>
      <c r="FM32" s="18" t="n"/>
      <c r="FN32" s="18" t="n"/>
      <c r="FO32" s="18" t="n"/>
      <c r="FP32" s="18" t="n"/>
      <c r="FQ32" s="18" t="n"/>
      <c r="FR32" s="18" t="n"/>
      <c r="FS32" s="18" t="n"/>
      <c r="FT32" s="256" t="n">
        <v>100</v>
      </c>
      <c r="FU32" s="18" t="n"/>
      <c r="FV32" s="18" t="n"/>
      <c r="FW32" s="18" t="n"/>
      <c r="FX32" s="18" t="n"/>
      <c r="FY32" s="18" t="n"/>
      <c r="FZ32" s="18" t="n"/>
      <c r="GA32" s="18" t="n"/>
      <c r="GB32" s="18" t="n"/>
      <c r="GC32" s="18" t="n"/>
      <c r="GD32" s="18" t="n"/>
      <c r="GE32" s="18" t="n"/>
      <c r="GF32" s="18" t="n"/>
      <c r="GG32" s="18" t="n"/>
      <c r="GH32" s="18" t="n"/>
      <c r="GI32" s="18" t="n"/>
      <c r="GJ32" s="18" t="n"/>
      <c r="GK32" s="18" t="n"/>
      <c r="GL32" s="18" t="n">
        <v>75</v>
      </c>
      <c r="GM32" s="18" t="n"/>
      <c r="GN32" s="18" t="n"/>
      <c r="GP32" s="719" t="n"/>
      <c r="GQ32" s="720" t="n"/>
    </row>
    <row r="33" ht="18.75" customHeight="1" thickBot="1">
      <c r="A33" s="33" t="inlineStr">
        <is>
          <t>KIT CAIXA G VERDE</t>
        </is>
      </c>
      <c r="B33" s="129" t="n">
        <v>50</v>
      </c>
      <c r="C33" s="662" t="n">
        <v>367.65</v>
      </c>
      <c r="D33" s="329" t="n">
        <v>10</v>
      </c>
      <c r="F33" s="38" t="n">
        <v>0</v>
      </c>
      <c r="G33" s="38">
        <f>0+GJ33-15</f>
        <v/>
      </c>
      <c r="H33" s="38" t="n">
        <v>35</v>
      </c>
      <c r="I33" s="38" t="n">
        <v>35</v>
      </c>
      <c r="J33" s="38" t="n">
        <v>35</v>
      </c>
      <c r="K33" s="38" t="n">
        <v>35</v>
      </c>
      <c r="L33" s="38" t="n">
        <v>35</v>
      </c>
      <c r="M33" s="38" t="n">
        <v>35</v>
      </c>
      <c r="N33" s="38" t="n">
        <v>35</v>
      </c>
      <c r="O33" s="38" t="n">
        <v>35</v>
      </c>
      <c r="P33" s="38" t="n">
        <v>35</v>
      </c>
      <c r="Q33" s="38" t="n">
        <v>35</v>
      </c>
      <c r="R33" s="38" t="n">
        <v>35</v>
      </c>
      <c r="S33" s="38" t="n">
        <v>35</v>
      </c>
      <c r="T33" s="38" t="n">
        <v>35</v>
      </c>
      <c r="U33" s="38" t="n">
        <v>35</v>
      </c>
      <c r="V33" s="38" t="n">
        <v>35</v>
      </c>
      <c r="W33" s="38" t="n">
        <v>35</v>
      </c>
      <c r="X33" s="38" t="n">
        <v>35</v>
      </c>
      <c r="Y33" s="38" t="n">
        <v>35</v>
      </c>
      <c r="Z33" s="38" t="n">
        <v>35</v>
      </c>
      <c r="AA33" s="38" t="n">
        <v>35</v>
      </c>
      <c r="AB33" s="38" t="n">
        <v>35</v>
      </c>
      <c r="AC33" s="38" t="n">
        <v>35</v>
      </c>
      <c r="AD33" s="38" t="n">
        <v>35</v>
      </c>
      <c r="AE33" s="38" t="n">
        <v>35</v>
      </c>
      <c r="AF33" s="38" t="n">
        <v>35</v>
      </c>
      <c r="AG33" s="38" t="n">
        <v>35</v>
      </c>
      <c r="AH33" s="38" t="n">
        <v>35</v>
      </c>
      <c r="AI33" s="38" t="n">
        <v>35</v>
      </c>
      <c r="AJ33" s="38" t="n">
        <v>35</v>
      </c>
      <c r="AK33" s="38" t="n">
        <v>35</v>
      </c>
      <c r="AL33" s="38" t="n">
        <v>33</v>
      </c>
      <c r="AM33" s="38" t="n">
        <v>33</v>
      </c>
      <c r="AN33" s="38" t="n">
        <v>33</v>
      </c>
      <c r="AO33" s="38" t="n">
        <v>30</v>
      </c>
      <c r="AP33" s="38" t="n">
        <v>29</v>
      </c>
      <c r="AQ33" s="38" t="n">
        <v>25</v>
      </c>
      <c r="AR33" s="38" t="n">
        <v>25</v>
      </c>
      <c r="AS33" s="38" t="n">
        <v>25</v>
      </c>
      <c r="AT33" s="38" t="n">
        <v>24</v>
      </c>
      <c r="AU33" s="38" t="n">
        <v>24</v>
      </c>
      <c r="AV33" s="38" t="n">
        <v>23</v>
      </c>
      <c r="AW33" s="38" t="n">
        <v>15</v>
      </c>
      <c r="AX33" s="38" t="n">
        <v>15</v>
      </c>
      <c r="AY33" s="38" t="n">
        <v>15</v>
      </c>
      <c r="AZ33" s="38" t="n">
        <v>13</v>
      </c>
      <c r="BA33" s="38" t="n">
        <v>12</v>
      </c>
      <c r="BB33" s="38" t="n">
        <v>10</v>
      </c>
      <c r="BC33" s="38" t="n">
        <v>4</v>
      </c>
      <c r="BD33" s="38" t="n">
        <v>0</v>
      </c>
      <c r="BE33" s="38" t="n">
        <v>0</v>
      </c>
      <c r="BF33" s="38" t="n">
        <v>0</v>
      </c>
      <c r="BG33" s="38" t="n">
        <v>0</v>
      </c>
      <c r="BH33" s="38" t="n">
        <v>0</v>
      </c>
      <c r="BI33" s="38" t="n">
        <v>0</v>
      </c>
      <c r="BJ33" s="38" t="n">
        <v>0</v>
      </c>
      <c r="BK33" s="38" t="n">
        <v>0</v>
      </c>
      <c r="BL33" s="38" t="n">
        <v>0</v>
      </c>
      <c r="BM33" s="38" t="n">
        <v>0</v>
      </c>
      <c r="BN33" s="38" t="n">
        <v>0</v>
      </c>
      <c r="BO33" s="38" t="n">
        <v>0</v>
      </c>
      <c r="BP33" s="38" t="n">
        <v>0</v>
      </c>
      <c r="BQ33" s="38" t="n">
        <v>0</v>
      </c>
      <c r="BR33" s="38" t="n">
        <v>0</v>
      </c>
      <c r="BS33" s="38" t="n">
        <v>0</v>
      </c>
      <c r="BT33" s="38" t="n">
        <v>0</v>
      </c>
      <c r="BU33" s="38" t="n">
        <v>0</v>
      </c>
      <c r="BV33" s="38" t="n">
        <v>0</v>
      </c>
      <c r="BW33" s="38" t="n">
        <v>0</v>
      </c>
      <c r="BX33" s="38" t="n">
        <v>0</v>
      </c>
      <c r="BY33" s="38" t="n">
        <v>0</v>
      </c>
      <c r="BZ33" s="38" t="n">
        <v>0</v>
      </c>
      <c r="CA33" s="38" t="n">
        <v>0</v>
      </c>
      <c r="CB33" s="154">
        <f>BZ33+IF(NOT(ISBLANK(OFFSET(CB33,0,6))),N(OFFSET(CB33,0,6)),N(OFFSET(CB33,0,7)))-CA33</f>
        <v/>
      </c>
      <c r="CD33" s="233" t="inlineStr">
        <is>
          <t>05 NAT. P/ TP</t>
        </is>
      </c>
      <c r="CE33" s="127" t="n"/>
      <c r="CF33" s="19" t="n"/>
      <c r="CG33" s="65" t="n"/>
      <c r="CH33" s="5" t="n"/>
      <c r="CI33" s="18" t="n">
        <v>0</v>
      </c>
      <c r="CJ33" s="18" t="n"/>
      <c r="CK33" s="18" t="n"/>
      <c r="CL33" s="18" t="n"/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256" t="n">
        <v>200</v>
      </c>
      <c r="DP33" s="18" t="n"/>
      <c r="DQ33" s="18" t="n"/>
      <c r="DR33" s="18" t="n"/>
      <c r="DS33" s="18" t="n"/>
      <c r="DT33" s="18" t="n"/>
      <c r="DU33" s="18" t="n"/>
      <c r="DV33" s="18" t="n"/>
      <c r="DW33" s="18" t="n"/>
      <c r="DX33" s="18" t="n"/>
      <c r="DY33" s="18" t="n"/>
      <c r="DZ33" s="18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256" t="n"/>
      <c r="EM33" s="18" t="n"/>
      <c r="EN33" s="18" t="n"/>
      <c r="EO33" s="18" t="n"/>
      <c r="EP33" s="256" t="n"/>
      <c r="EQ33" s="18" t="n"/>
      <c r="ER33" s="18" t="n"/>
      <c r="ES33" s="260" t="n"/>
      <c r="ET33" s="260" t="n"/>
      <c r="EU33" s="18" t="n"/>
      <c r="EV33" s="18" t="n"/>
      <c r="EW33" s="260" t="n"/>
      <c r="EX33" s="260" t="n"/>
      <c r="EY33" s="18" t="n"/>
      <c r="EZ33" s="260" t="n"/>
      <c r="FA33" s="18" t="n"/>
      <c r="FB33" s="260" t="n"/>
      <c r="FC33" s="312" t="inlineStr">
        <is>
          <t>20 DE ER</t>
        </is>
      </c>
      <c r="FD33" s="256" t="n"/>
      <c r="FE33" s="260" t="n"/>
      <c r="FF33" s="260" t="n"/>
      <c r="FG33" s="18" t="n"/>
      <c r="FH33" s="18" t="n"/>
      <c r="FI33" s="18" t="n"/>
      <c r="FJ33" s="18" t="n"/>
      <c r="FK33" s="18" t="n"/>
      <c r="FL33" s="18" t="n"/>
      <c r="FM33" s="18" t="n"/>
      <c r="FN33" s="18" t="n"/>
      <c r="FO33" s="18" t="n"/>
      <c r="FP33" s="18" t="n"/>
      <c r="FQ33" s="18" t="n"/>
      <c r="FR33" s="18" t="n"/>
      <c r="FS33" s="18" t="n"/>
      <c r="FT33" s="256" t="n">
        <v>200</v>
      </c>
      <c r="FU33" s="18" t="n"/>
      <c r="FV33" s="18" t="n"/>
      <c r="FW33" s="18" t="n"/>
      <c r="FX33" s="18" t="n"/>
      <c r="FY33" s="18" t="n"/>
      <c r="FZ33" s="260" t="n"/>
      <c r="GA33" s="18" t="n"/>
      <c r="GB33" s="18" t="n"/>
      <c r="GC33" s="18" t="n"/>
      <c r="GD33" s="260" t="n"/>
      <c r="GE33" s="260" t="n"/>
      <c r="GF33" s="260" t="n"/>
      <c r="GG33" s="18" t="n"/>
      <c r="GH33" s="239" t="inlineStr">
        <is>
          <t>15 P/ ER PBE</t>
        </is>
      </c>
      <c r="GI33" s="18" t="n"/>
      <c r="GJ33" s="18" t="n">
        <v>50</v>
      </c>
      <c r="GK33" s="18" t="n"/>
      <c r="GL33" s="18" t="n"/>
      <c r="GM33" s="18" t="n"/>
      <c r="GN33" s="18" t="n"/>
      <c r="GP33" s="721" t="n"/>
      <c r="GQ33" s="722" t="n"/>
    </row>
    <row r="34" ht="18.75" customFormat="1" customHeight="1" s="3">
      <c r="A34" s="31" t="n"/>
      <c r="B34" s="2" t="n"/>
      <c r="C34" s="661" t="n"/>
      <c r="D34" s="398" t="n"/>
      <c r="E34" s="6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  <c r="AA34" s="4" t="n"/>
      <c r="AB34" s="4" t="n"/>
      <c r="AC34" s="4" t="n"/>
      <c r="AD34" s="4" t="n"/>
      <c r="AE34" s="4" t="n"/>
      <c r="AF34" s="4" t="n"/>
      <c r="AG34" s="4" t="n"/>
      <c r="AH34" s="4" t="n"/>
      <c r="AI34" s="4" t="n"/>
      <c r="AJ34" s="4" t="n"/>
      <c r="AK34" s="4" t="n"/>
      <c r="AL34" s="4" t="n"/>
      <c r="AM34" s="4" t="n"/>
      <c r="AN34" s="4" t="n"/>
      <c r="AO34" s="4" t="n"/>
      <c r="AP34" s="4" t="n"/>
      <c r="AQ34" s="4" t="n"/>
      <c r="AR34" s="4" t="n"/>
      <c r="AS34" s="4" t="n"/>
      <c r="AT34" s="4" t="n"/>
      <c r="AU34" s="4" t="n"/>
      <c r="AV34" s="4" t="n"/>
      <c r="AW34" s="4" t="n"/>
      <c r="AX34" s="4" t="n"/>
      <c r="AY34" s="4" t="n"/>
      <c r="AZ34" s="4" t="n"/>
      <c r="BA34" s="4" t="n"/>
      <c r="BB34" s="4" t="n"/>
      <c r="BC34" s="4" t="n"/>
      <c r="BD34" s="4" t="n"/>
      <c r="BE34" s="4" t="n"/>
      <c r="BF34" s="4" t="n"/>
      <c r="BG34" s="4" t="n"/>
      <c r="BH34" s="4" t="n"/>
      <c r="BI34" s="4" t="n"/>
      <c r="BJ34" s="4" t="n"/>
      <c r="BK34" s="4" t="n"/>
      <c r="BL34" s="4" t="n"/>
      <c r="BM34" s="4" t="n"/>
      <c r="BN34" s="4" t="n"/>
      <c r="BO34" s="4" t="n"/>
      <c r="BP34" s="4" t="n"/>
      <c r="BQ34" s="4" t="n"/>
      <c r="BR34" s="4" t="n"/>
      <c r="BS34" s="4" t="n"/>
      <c r="BT34" s="4" t="n"/>
      <c r="BU34" s="4" t="n"/>
      <c r="BV34" s="4" t="n"/>
      <c r="BW34" s="4" t="n"/>
      <c r="BX34" s="4" t="n"/>
      <c r="BY34" s="4" t="n"/>
      <c r="BZ34" s="4" t="n"/>
      <c r="CA34" s="4" t="n"/>
      <c r="CE34" s="26" t="n"/>
      <c r="CF34" s="26" t="n"/>
      <c r="CG34" s="108" t="n"/>
      <c r="CH34" s="5" t="n"/>
      <c r="CI34" s="17" t="n"/>
      <c r="CJ34" s="17" t="n"/>
      <c r="CK34" s="17" t="n"/>
      <c r="CL34" s="17" t="n"/>
      <c r="CM34" s="17" t="n"/>
      <c r="CN34" s="17" t="n"/>
      <c r="CO34" s="17" t="n"/>
      <c r="CP34" s="17" t="n"/>
      <c r="CQ34" s="17" t="n"/>
      <c r="CR34" s="17" t="n"/>
      <c r="CS34" s="17" t="n"/>
      <c r="CT34" s="17" t="n"/>
      <c r="CU34" s="17" t="n"/>
      <c r="CV34" s="17" t="n"/>
      <c r="CW34" s="17" t="n"/>
      <c r="CX34" s="17" t="n"/>
      <c r="CY34" s="17" t="n"/>
      <c r="CZ34" s="17" t="n"/>
      <c r="DA34" s="17" t="n"/>
      <c r="DB34" s="17" t="n"/>
      <c r="DC34" s="17" t="n"/>
      <c r="DD34" s="17" t="n"/>
      <c r="DE34" s="17" t="n"/>
      <c r="DF34" s="17" t="n"/>
      <c r="DG34" s="17" t="n"/>
      <c r="DH34" s="17" t="n"/>
      <c r="DI34" s="17" t="n"/>
      <c r="DJ34" s="17" t="n"/>
      <c r="DK34" s="17" t="n"/>
      <c r="DL34" s="17" t="n"/>
      <c r="DM34" s="17" t="n"/>
      <c r="DN34" s="17" t="n"/>
      <c r="DO34" s="256" t="n">
        <v>150</v>
      </c>
      <c r="DP34" s="17" t="n"/>
      <c r="DQ34" s="17" t="n"/>
      <c r="FD34" s="292" t="inlineStr">
        <is>
          <t>100 P/ PL</t>
        </is>
      </c>
      <c r="FT34" s="256" t="n">
        <v>150</v>
      </c>
    </row>
    <row r="35" hidden="1" ht="18.75" customHeight="1">
      <c r="A35" s="31" t="n"/>
      <c r="B35" s="2" t="n"/>
      <c r="C35" s="661" t="n"/>
      <c r="D35" s="661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4" t="n"/>
      <c r="CA35" s="4" t="n"/>
      <c r="CD35" s="233" t="inlineStr">
        <is>
          <t>05 NAT. P/ TP</t>
        </is>
      </c>
      <c r="CE35" s="26" t="n"/>
      <c r="CF35" s="26" t="n"/>
      <c r="CG35" s="108" t="n"/>
      <c r="CH35" s="5" t="n"/>
      <c r="FD35" s="292" t="inlineStr">
        <is>
          <t>50 P/ PL</t>
        </is>
      </c>
      <c r="FT35" s="271" t="n"/>
    </row>
    <row r="36" hidden="1" ht="18.75" customHeight="1">
      <c r="A36" s="31" t="n"/>
      <c r="B36" s="2" t="n"/>
      <c r="C36" s="661" t="n"/>
      <c r="D36" s="661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  <c r="AA36" s="4" t="n"/>
      <c r="AB36" s="4" t="n"/>
      <c r="AC36" s="4" t="n"/>
      <c r="AD36" s="4" t="n"/>
      <c r="AE36" s="4" t="n"/>
      <c r="AF36" s="4" t="n"/>
      <c r="AG36" s="4" t="n"/>
      <c r="AH36" s="4" t="n"/>
      <c r="AI36" s="4" t="n"/>
      <c r="AJ36" s="4" t="n"/>
      <c r="AK36" s="4" t="n"/>
      <c r="AL36" s="4" t="n"/>
      <c r="AM36" s="4" t="n"/>
      <c r="AN36" s="4" t="n"/>
      <c r="AO36" s="4" t="n"/>
      <c r="AP36" s="4" t="n"/>
      <c r="AQ36" s="4" t="n"/>
      <c r="AR36" s="4" t="n"/>
      <c r="AS36" s="4" t="n"/>
      <c r="AT36" s="4" t="n"/>
      <c r="AU36" s="4" t="n"/>
      <c r="AV36" s="4" t="n"/>
      <c r="AW36" s="4" t="n"/>
      <c r="AX36" s="4" t="n"/>
      <c r="AY36" s="4" t="n"/>
      <c r="AZ36" s="4" t="n"/>
      <c r="BA36" s="4" t="n"/>
      <c r="BB36" s="4" t="n"/>
      <c r="BC36" s="4" t="n"/>
      <c r="BD36" s="4" t="n"/>
      <c r="BE36" s="4" t="n"/>
      <c r="BF36" s="4" t="n"/>
      <c r="BG36" s="4" t="n"/>
      <c r="BH36" s="4" t="n"/>
      <c r="BI36" s="4" t="n"/>
      <c r="BJ36" s="4" t="n"/>
      <c r="BK36" s="4" t="n"/>
      <c r="BL36" s="4" t="n"/>
      <c r="BM36" s="4" t="n"/>
      <c r="BN36" s="4" t="n"/>
      <c r="BO36" s="4" t="n"/>
      <c r="BP36" s="4" t="n"/>
      <c r="BQ36" s="4" t="n"/>
      <c r="BR36" s="4" t="n"/>
      <c r="BS36" s="4" t="n"/>
      <c r="BT36" s="4" t="n"/>
      <c r="BU36" s="4" t="n"/>
      <c r="BV36" s="4" t="n"/>
      <c r="BW36" s="4" t="n"/>
      <c r="BX36" s="4" t="n"/>
      <c r="BY36" s="4" t="n"/>
      <c r="BZ36" s="4" t="n"/>
      <c r="CA36" s="4" t="n"/>
      <c r="CD36" s="233" t="n"/>
      <c r="CE36" s="26" t="n"/>
      <c r="CF36" s="26" t="n"/>
      <c r="CG36" s="108" t="n"/>
      <c r="CH36" s="5" t="n"/>
      <c r="EP36" s="271" t="n"/>
      <c r="FD36" s="271" t="n"/>
      <c r="FT36" s="271" t="n"/>
    </row>
    <row r="37" ht="18.75" customHeight="1">
      <c r="A37" s="32" t="inlineStr">
        <is>
          <t>SACOLAS OMNI BOTICÁRIO</t>
        </is>
      </c>
      <c r="B37" s="575" t="inlineStr">
        <is>
          <t>PC</t>
        </is>
      </c>
      <c r="C37" s="575" t="n"/>
      <c r="D37" s="575" t="inlineStr">
        <is>
          <t>Estoque Ideal</t>
        </is>
      </c>
      <c r="F37" s="650" t="n">
        <v>45656</v>
      </c>
      <c r="G37" s="650" t="n">
        <v>45663</v>
      </c>
      <c r="H37" s="650" t="n">
        <v>45670</v>
      </c>
      <c r="I37" s="650" t="n">
        <v>45677</v>
      </c>
      <c r="J37" s="650" t="n">
        <v>45684</v>
      </c>
      <c r="K37" s="650" t="n">
        <v>45691</v>
      </c>
      <c r="L37" s="650" t="n">
        <v>45698</v>
      </c>
      <c r="M37" s="650" t="n">
        <v>45705</v>
      </c>
      <c r="N37" s="650" t="n">
        <v>45712</v>
      </c>
      <c r="O37" s="650" t="n">
        <v>45719</v>
      </c>
      <c r="P37" s="650" t="n">
        <v>45726</v>
      </c>
      <c r="Q37" s="650" t="n">
        <v>45733</v>
      </c>
      <c r="R37" s="650" t="n">
        <v>45740</v>
      </c>
      <c r="S37" s="650" t="n">
        <v>45747</v>
      </c>
      <c r="T37" s="650" t="n">
        <v>45754</v>
      </c>
      <c r="U37" s="650" t="n">
        <v>45761</v>
      </c>
      <c r="V37" s="650" t="n">
        <v>45768</v>
      </c>
      <c r="W37" s="650" t="n">
        <v>45775</v>
      </c>
      <c r="X37" s="650" t="n">
        <v>45782</v>
      </c>
      <c r="Y37" s="650" t="n">
        <v>45789</v>
      </c>
      <c r="Z37" s="650" t="n">
        <v>45796</v>
      </c>
      <c r="AA37" s="650" t="n">
        <v>45803</v>
      </c>
      <c r="AB37" s="650" t="n">
        <v>45810</v>
      </c>
      <c r="AC37" s="650" t="n">
        <v>45817</v>
      </c>
      <c r="AD37" s="650" t="n">
        <v>45824</v>
      </c>
      <c r="AE37" s="650" t="n">
        <v>45831</v>
      </c>
      <c r="AF37" s="650" t="n">
        <v>45838</v>
      </c>
      <c r="AG37" s="650" t="n">
        <v>45845</v>
      </c>
      <c r="AH37" s="650" t="n">
        <v>45852</v>
      </c>
      <c r="AI37" s="650" t="n">
        <v>45859</v>
      </c>
      <c r="AJ37" s="650" t="n">
        <v>45866</v>
      </c>
      <c r="AK37" s="650" t="n">
        <v>45873</v>
      </c>
      <c r="AL37" s="650" t="n">
        <v>45880</v>
      </c>
      <c r="AM37" s="650" t="n">
        <v>45887</v>
      </c>
      <c r="AN37" s="650" t="n">
        <v>45894</v>
      </c>
      <c r="AO37" s="650" t="n">
        <v>45901</v>
      </c>
      <c r="AP37" s="650" t="n">
        <v>45908</v>
      </c>
      <c r="AQ37" s="650" t="n">
        <v>45915</v>
      </c>
      <c r="AR37" s="650" t="n">
        <v>45922</v>
      </c>
      <c r="AS37" s="650" t="n">
        <v>45929</v>
      </c>
      <c r="AT37" s="650" t="n">
        <v>45936</v>
      </c>
      <c r="AU37" s="650" t="n">
        <v>45943</v>
      </c>
      <c r="AV37" s="650" t="n">
        <v>45950</v>
      </c>
      <c r="AW37" s="650" t="n">
        <v>45957</v>
      </c>
      <c r="AX37" s="650" t="n">
        <v>45964</v>
      </c>
      <c r="AY37" s="650" t="n">
        <v>45971</v>
      </c>
      <c r="AZ37" s="650" t="n">
        <v>45978</v>
      </c>
      <c r="BA37" s="650" t="n">
        <v>45985</v>
      </c>
      <c r="BB37" s="650" t="n">
        <v>45992</v>
      </c>
      <c r="BC37" s="650" t="n">
        <v>45999</v>
      </c>
      <c r="BD37" s="650" t="n">
        <v>46006</v>
      </c>
      <c r="BE37" s="650" t="n">
        <v>46013</v>
      </c>
      <c r="BF37" s="650" t="n">
        <v>46020</v>
      </c>
      <c r="BG37" s="650" t="n">
        <v>46027</v>
      </c>
      <c r="BH37" s="650" t="n">
        <v>46034</v>
      </c>
      <c r="BI37" s="650" t="n">
        <v>46041</v>
      </c>
      <c r="BJ37" s="650" t="n">
        <v>46048</v>
      </c>
      <c r="BK37" s="650" t="n">
        <v>46055</v>
      </c>
      <c r="BL37" s="650" t="n">
        <v>46062</v>
      </c>
      <c r="BM37" s="650" t="n">
        <v>46069</v>
      </c>
      <c r="BN37" s="650" t="n">
        <v>46076</v>
      </c>
      <c r="BO37" s="650" t="n">
        <v>46083</v>
      </c>
      <c r="BP37" s="650" t="n">
        <v>46090</v>
      </c>
      <c r="BQ37" s="650" t="n">
        <v>46097</v>
      </c>
      <c r="BR37" s="650" t="n">
        <v>46104</v>
      </c>
      <c r="BS37" s="650" t="n">
        <v>46111</v>
      </c>
      <c r="BT37" s="650" t="n">
        <v>46118</v>
      </c>
      <c r="BU37" s="650" t="n">
        <v>46125</v>
      </c>
      <c r="BV37" s="650" t="n">
        <v>46132</v>
      </c>
      <c r="BW37" s="650" t="n">
        <v>46139</v>
      </c>
      <c r="BX37" s="650" t="n">
        <v>46146</v>
      </c>
      <c r="BY37" s="650" t="n">
        <v>46154</v>
      </c>
      <c r="BZ37" s="650" t="n">
        <v>46160</v>
      </c>
      <c r="CA37" s="650" t="n">
        <v>46160</v>
      </c>
      <c r="CB37" s="652" t="inlineStr">
        <is>
          <t>USOU</t>
        </is>
      </c>
      <c r="CD37" s="35" t="inlineStr">
        <is>
          <t>Pend.</t>
        </is>
      </c>
      <c r="CE37" s="413" t="inlineStr">
        <is>
          <t>TRANSFERÊNCIA</t>
        </is>
      </c>
      <c r="CF37" s="35" t="inlineStr">
        <is>
          <t>Pend.</t>
        </is>
      </c>
      <c r="CG37" s="12" t="inlineStr">
        <is>
          <t>Novo Pedido</t>
        </is>
      </c>
      <c r="CI37" s="654" t="n">
        <v>46149</v>
      </c>
      <c r="CJ37" s="654" t="n">
        <v>46114</v>
      </c>
      <c r="CK37" s="654" t="n">
        <v>46099</v>
      </c>
      <c r="CL37" s="710" t="n">
        <v>46065</v>
      </c>
      <c r="CM37" s="711" t="n">
        <v>46045</v>
      </c>
      <c r="CN37" s="654" t="n">
        <v>46076</v>
      </c>
      <c r="CO37" s="655" t="n">
        <v>46084</v>
      </c>
      <c r="CP37" s="654" t="n">
        <v>46077</v>
      </c>
      <c r="CQ37" s="655" t="n">
        <v>46077</v>
      </c>
      <c r="CR37" s="654" t="n">
        <v>46071</v>
      </c>
      <c r="CS37" s="654" t="n">
        <v>46071</v>
      </c>
      <c r="CT37" s="654" t="n">
        <v>46056</v>
      </c>
      <c r="CU37" s="654" t="n">
        <v>46043</v>
      </c>
      <c r="CV37" s="654" t="n">
        <v>46035</v>
      </c>
      <c r="CW37" s="654" t="n">
        <v>46029</v>
      </c>
      <c r="CX37" s="654" t="n">
        <v>46017</v>
      </c>
      <c r="CY37" s="654" t="n">
        <v>46001</v>
      </c>
      <c r="CZ37" s="654" t="n">
        <v>46007</v>
      </c>
      <c r="DA37" s="654" t="n">
        <v>45994</v>
      </c>
      <c r="DB37" s="654" t="n">
        <v>45986</v>
      </c>
      <c r="DC37" s="654" t="n">
        <v>45986</v>
      </c>
      <c r="DD37" s="654" t="n">
        <v>45980</v>
      </c>
      <c r="DE37" s="654" t="n">
        <v>45980</v>
      </c>
      <c r="DF37" s="654" t="n">
        <v>45973</v>
      </c>
      <c r="DG37" s="654" t="n">
        <v>45965</v>
      </c>
      <c r="DH37" s="654" t="n">
        <v>45960</v>
      </c>
      <c r="DI37" s="655" t="n">
        <v>45967</v>
      </c>
      <c r="DJ37" s="654" t="n">
        <v>45937</v>
      </c>
      <c r="DK37" s="654" t="n">
        <v>45951</v>
      </c>
      <c r="DL37" s="654" t="n">
        <v>45931</v>
      </c>
      <c r="DM37" s="654" t="n">
        <v>45923</v>
      </c>
      <c r="DN37" s="654" t="n">
        <v>45923</v>
      </c>
      <c r="DO37" s="678" t="n">
        <v>45903</v>
      </c>
      <c r="DP37" s="655" t="n">
        <v>45931</v>
      </c>
      <c r="DQ37" s="688" t="n">
        <v>45931</v>
      </c>
      <c r="DR37" s="18" t="n"/>
      <c r="DS37" s="18" t="n"/>
      <c r="DT37" s="18" t="n"/>
      <c r="DU37" s="18" t="n"/>
      <c r="DV37" s="18" t="n"/>
      <c r="DW37" s="18" t="n"/>
      <c r="DX37" s="18" t="n"/>
      <c r="DY37" s="18" t="n"/>
      <c r="DZ37" s="18" t="n"/>
      <c r="EA37" s="18" t="n"/>
      <c r="EB37" s="18" t="n"/>
      <c r="EC37" s="154" t="inlineStr">
        <is>
          <t>50 DE ER PBE</t>
        </is>
      </c>
      <c r="ED37" s="18" t="n"/>
      <c r="EE37" s="18" t="n"/>
      <c r="EF37" s="18" t="n"/>
      <c r="EG37" s="18" t="n"/>
      <c r="EH37" s="18" t="n"/>
      <c r="EI37" s="241" t="inlineStr">
        <is>
          <t>20 DE ER PG</t>
        </is>
      </c>
      <c r="EJ37" s="18" t="n"/>
      <c r="EK37" s="18" t="n"/>
      <c r="EL37" s="18" t="n"/>
      <c r="EM37" s="18" t="n"/>
      <c r="EN37" s="18" t="n"/>
      <c r="EO37" s="18" t="n"/>
      <c r="EP37" s="256" t="n"/>
      <c r="EQ37" s="18" t="n"/>
      <c r="ER37" s="18" t="n"/>
      <c r="ES37" s="18" t="n"/>
      <c r="ET37" s="18" t="n"/>
      <c r="EU37" s="18" t="n"/>
      <c r="EV37" s="18" t="n"/>
      <c r="EW37" s="18" t="n"/>
      <c r="EX37" s="18" t="n"/>
      <c r="EY37" s="18" t="n"/>
      <c r="EZ37" s="18" t="n"/>
      <c r="FA37" s="18" t="n"/>
      <c r="FB37" s="18" t="n"/>
      <c r="FC37" s="18" t="n"/>
      <c r="FD37" s="256" t="n"/>
      <c r="FE37" s="18" t="n"/>
      <c r="FF37" s="18" t="n"/>
      <c r="FG37" s="18" t="n"/>
      <c r="FH37" s="18" t="n"/>
      <c r="FI37" s="18" t="n"/>
      <c r="FJ37" s="18" t="n"/>
      <c r="FK37" s="18" t="n"/>
      <c r="FL37" s="18" t="n"/>
      <c r="FM37" s="18" t="n"/>
      <c r="FN37" s="18" t="n"/>
      <c r="FO37" s="18" t="n">
        <v>25</v>
      </c>
      <c r="FP37" s="18" t="n"/>
      <c r="FQ37" s="18" t="n">
        <v>75</v>
      </c>
      <c r="FR37" s="18" t="n"/>
      <c r="FS37" s="18" t="n"/>
      <c r="FT37" s="256" t="n"/>
      <c r="FU37" s="18" t="n"/>
      <c r="FV37" s="18" t="n"/>
      <c r="FW37" s="18" t="n"/>
      <c r="FX37" s="18" t="n"/>
      <c r="FY37" s="18" t="n"/>
      <c r="FZ37" s="18" t="n"/>
      <c r="GA37" s="18" t="n"/>
      <c r="GB37" s="18" t="n"/>
      <c r="GC37" s="18" t="n"/>
      <c r="GD37" s="18" t="n"/>
      <c r="GE37" s="18" t="n"/>
      <c r="GF37" s="18" t="n"/>
      <c r="GG37" s="18" t="n"/>
      <c r="GH37" s="18" t="n"/>
      <c r="GI37" s="18" t="n"/>
      <c r="GJ37" s="18" t="n"/>
      <c r="GK37" s="18" t="n"/>
      <c r="GL37" s="18" t="n"/>
      <c r="GM37" s="18" t="n"/>
      <c r="GN37" s="18" t="n"/>
    </row>
    <row r="38" ht="18.75" customHeight="1">
      <c r="A38" s="33" t="inlineStr">
        <is>
          <t>KIT OVERBAG OMNI P</t>
        </is>
      </c>
      <c r="B38" s="9" t="n">
        <v>25</v>
      </c>
      <c r="C38" s="662" t="n">
        <v>41.75</v>
      </c>
      <c r="D38" s="329" t="n">
        <v>30</v>
      </c>
      <c r="F38" s="9" t="n">
        <v>107</v>
      </c>
      <c r="G38" s="9" t="n">
        <v>137</v>
      </c>
      <c r="H38" s="9" t="n">
        <v>137</v>
      </c>
      <c r="I38" s="9" t="n">
        <v>125</v>
      </c>
      <c r="J38" s="9" t="n">
        <v>122</v>
      </c>
      <c r="K38" s="9" t="n">
        <v>117</v>
      </c>
      <c r="L38" s="9" t="n">
        <v>49</v>
      </c>
      <c r="M38" s="9" t="n">
        <v>42</v>
      </c>
      <c r="N38" s="9" t="n">
        <v>38</v>
      </c>
      <c r="O38" s="9" t="n">
        <v>38</v>
      </c>
      <c r="P38" s="9" t="n">
        <v>28</v>
      </c>
      <c r="Q38" s="9">
        <f>26+FQ37</f>
        <v/>
      </c>
      <c r="R38" s="9" t="n">
        <v>89</v>
      </c>
      <c r="S38" s="9" t="n">
        <v>86</v>
      </c>
      <c r="T38" s="9" t="n">
        <v>103</v>
      </c>
      <c r="U38" s="9" t="n">
        <v>100</v>
      </c>
      <c r="V38" s="9" t="n">
        <v>97</v>
      </c>
      <c r="W38" s="9" t="n">
        <v>97</v>
      </c>
      <c r="X38" s="9" t="n">
        <v>97</v>
      </c>
      <c r="Y38" s="9" t="n">
        <v>90</v>
      </c>
      <c r="Z38" s="9" t="n">
        <v>90</v>
      </c>
      <c r="AA38" s="9" t="n">
        <v>83</v>
      </c>
      <c r="AB38" s="9" t="n">
        <v>75</v>
      </c>
      <c r="AC38" s="9" t="n">
        <v>54</v>
      </c>
      <c r="AD38" s="9" t="n">
        <v>53</v>
      </c>
      <c r="AE38" s="9" t="n">
        <v>46</v>
      </c>
      <c r="AF38" s="9" t="n">
        <v>35</v>
      </c>
      <c r="AG38" s="9" t="n">
        <v>35</v>
      </c>
      <c r="AH38" s="9" t="n">
        <v>32</v>
      </c>
      <c r="AI38" s="9">
        <f>19+20</f>
        <v/>
      </c>
      <c r="AJ38" s="9" t="n">
        <v>35</v>
      </c>
      <c r="AK38" s="9" t="n">
        <v>34</v>
      </c>
      <c r="AL38" s="9">
        <f>17+50</f>
        <v/>
      </c>
      <c r="AM38" s="9" t="n">
        <v>56</v>
      </c>
      <c r="AN38" s="9" t="n">
        <v>56</v>
      </c>
      <c r="AO38" s="9" t="n">
        <v>47</v>
      </c>
      <c r="AP38" s="9" t="n">
        <v>44</v>
      </c>
      <c r="AQ38" s="9" t="n">
        <v>40</v>
      </c>
      <c r="AR38" s="9" t="n">
        <v>35</v>
      </c>
      <c r="AS38" s="9" t="n">
        <v>34</v>
      </c>
      <c r="AT38" s="9" t="n">
        <v>20</v>
      </c>
      <c r="AU38" s="9" t="n">
        <v>8</v>
      </c>
      <c r="AV38" s="9" t="n">
        <v>3</v>
      </c>
      <c r="AW38" s="9" t="n">
        <v>0</v>
      </c>
      <c r="AX38" s="9" t="n">
        <v>0</v>
      </c>
      <c r="AY38" s="9" t="n">
        <v>0</v>
      </c>
      <c r="AZ38" s="9" t="n">
        <v>0</v>
      </c>
      <c r="BA38" s="9" t="n">
        <v>0</v>
      </c>
      <c r="BB38" s="9" t="n">
        <v>9</v>
      </c>
      <c r="BC38" s="9" t="n">
        <v>0</v>
      </c>
      <c r="BD38" s="9" t="n">
        <v>0</v>
      </c>
      <c r="BE38" s="9" t="n">
        <v>0</v>
      </c>
      <c r="BF38" s="9" t="n">
        <v>0</v>
      </c>
      <c r="BG38" s="9" t="n">
        <v>0</v>
      </c>
      <c r="BH38" s="9" t="n">
        <v>0</v>
      </c>
      <c r="BI38" s="9" t="n">
        <v>0</v>
      </c>
      <c r="BJ38" s="9" t="n">
        <v>0</v>
      </c>
      <c r="BK38" s="9" t="n">
        <v>0</v>
      </c>
      <c r="BL38" s="190" t="n">
        <v>42</v>
      </c>
      <c r="BM38" s="9" t="n">
        <v>42</v>
      </c>
      <c r="BN38" s="9" t="n">
        <v>41</v>
      </c>
      <c r="BO38" s="9" t="n">
        <v>40</v>
      </c>
      <c r="BP38" s="9" t="n">
        <v>14</v>
      </c>
      <c r="BQ38" s="9" t="n">
        <v>3</v>
      </c>
      <c r="BR38" s="9" t="n">
        <v>0</v>
      </c>
      <c r="BS38" s="9" t="n">
        <v>0</v>
      </c>
      <c r="BT38" s="9" t="n"/>
      <c r="BU38" s="9" t="n"/>
      <c r="BV38" s="9" t="n"/>
      <c r="BW38" s="9" t="n">
        <v>4</v>
      </c>
      <c r="BX38" s="9" t="n">
        <v>0</v>
      </c>
      <c r="BY38" s="9" t="n">
        <v>0</v>
      </c>
      <c r="BZ38" s="9" t="n">
        <v>0</v>
      </c>
      <c r="CA38" s="9" t="n"/>
      <c r="CB38" s="156">
        <f>BZ38+IF(NOT(ISBLANK(OFFSET(CB38,0,6))),N(OFFSET(CB38,0,6)),N(OFFSET(CB38,0,7)))-CA38</f>
        <v/>
      </c>
      <c r="CD38" s="127" t="n"/>
      <c r="CE38" s="127" t="n"/>
      <c r="CF38" s="127" t="n"/>
      <c r="CG38" s="27" t="n"/>
      <c r="CI38" s="18" t="n">
        <v>0</v>
      </c>
      <c r="CJ38" s="18" t="n"/>
      <c r="CK38" s="18" t="n"/>
      <c r="CL38" s="18" t="n"/>
      <c r="CM38" s="18" t="n"/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396" t="n"/>
      <c r="DP38" s="18" t="n"/>
      <c r="DQ38" s="18" t="n"/>
      <c r="DR38" s="18" t="n"/>
      <c r="DS38" s="18" t="n"/>
      <c r="DT38" s="18" t="n"/>
      <c r="DU38" s="18" t="n"/>
      <c r="DV38" s="18" t="n"/>
      <c r="DW38" s="18" t="n"/>
      <c r="DX38" s="18" t="n"/>
      <c r="DY38" s="18" t="n"/>
      <c r="DZ38" s="18" t="n"/>
      <c r="EA38" s="18" t="n"/>
      <c r="EB38" s="18" t="n"/>
      <c r="EC38" s="18" t="n"/>
      <c r="ED38" s="18" t="n"/>
      <c r="EE38" s="18" t="n"/>
      <c r="EF38" s="18" t="n"/>
      <c r="EG38" s="18" t="n"/>
      <c r="EH38" s="18" t="n"/>
      <c r="EI38" s="18" t="n"/>
      <c r="EJ38" s="18" t="n"/>
      <c r="EK38" s="18" t="n"/>
      <c r="EL38" s="18" t="n"/>
      <c r="EM38" s="18" t="n"/>
      <c r="EN38" s="18" t="n"/>
      <c r="EO38" s="18" t="n"/>
      <c r="EP38" s="256" t="n"/>
      <c r="EQ38" s="18" t="n"/>
      <c r="ER38" s="18" t="n"/>
      <c r="ES38" s="18" t="n"/>
      <c r="ET38" s="18" t="n"/>
      <c r="EU38" s="18" t="n"/>
      <c r="EV38" s="18" t="n"/>
      <c r="EW38" s="18" t="n"/>
      <c r="EX38" s="18" t="n"/>
      <c r="EY38" s="18" t="n"/>
      <c r="EZ38" s="18" t="n"/>
      <c r="FA38" s="18" t="n"/>
      <c r="FB38" s="18" t="n"/>
      <c r="FC38" s="18" t="n"/>
      <c r="FD38" s="256" t="n"/>
      <c r="FE38" s="18" t="n"/>
      <c r="FF38" s="18" t="n"/>
      <c r="FG38" s="18" t="n"/>
      <c r="FH38" s="18" t="n"/>
      <c r="FI38" s="18" t="n"/>
      <c r="FJ38" s="18" t="n"/>
      <c r="FK38" s="18" t="n"/>
      <c r="FL38" s="18" t="n"/>
      <c r="FM38" s="18" t="n"/>
      <c r="FN38" s="18" t="n"/>
      <c r="FO38" s="18" t="n"/>
      <c r="FP38" s="18" t="n"/>
      <c r="FQ38" s="18" t="n">
        <v>75</v>
      </c>
      <c r="FR38" s="18" t="n"/>
      <c r="FS38" s="18" t="n"/>
      <c r="FT38" s="256" t="n"/>
      <c r="FU38" s="18" t="n"/>
      <c r="FV38" s="18" t="n"/>
      <c r="FW38" s="18" t="n"/>
      <c r="FX38" s="18" t="n"/>
      <c r="FY38" s="18" t="n"/>
      <c r="FZ38" s="18" t="n"/>
      <c r="GA38" s="18" t="n"/>
      <c r="GB38" s="18" t="n"/>
      <c r="GC38" s="18" t="n"/>
      <c r="GD38" s="18" t="n"/>
      <c r="GE38" s="18" t="n"/>
      <c r="GF38" s="18" t="n"/>
      <c r="GG38" s="18" t="n">
        <v>50</v>
      </c>
      <c r="GH38" s="18" t="n"/>
      <c r="GI38" s="18" t="n"/>
      <c r="GJ38" s="18" t="n"/>
      <c r="GK38" s="18" t="n"/>
      <c r="GL38" s="18" t="n"/>
      <c r="GM38" s="18" t="n"/>
      <c r="GN38" s="18" t="n"/>
    </row>
    <row r="39" ht="18.75" customHeight="1">
      <c r="A39" s="33" t="inlineStr">
        <is>
          <t>KIT OVERBAG OMNI M</t>
        </is>
      </c>
      <c r="B39" s="9" t="n">
        <v>25</v>
      </c>
      <c r="C39" s="662" t="n">
        <v>57</v>
      </c>
      <c r="D39" s="329" t="n">
        <v>30</v>
      </c>
      <c r="F39" s="38" t="n">
        <v>76</v>
      </c>
      <c r="G39" s="38" t="n">
        <v>74</v>
      </c>
      <c r="H39" s="38" t="n">
        <v>43</v>
      </c>
      <c r="I39" s="38">
        <f>42+GG38</f>
        <v/>
      </c>
      <c r="J39" s="38" t="n">
        <v>92</v>
      </c>
      <c r="K39" s="38" t="n">
        <v>88</v>
      </c>
      <c r="L39" s="261" t="n">
        <v>128</v>
      </c>
      <c r="M39" s="38" t="n">
        <v>127</v>
      </c>
      <c r="N39" s="38" t="n">
        <v>127</v>
      </c>
      <c r="O39" s="38" t="n">
        <v>116</v>
      </c>
      <c r="P39" s="38" t="n">
        <v>93</v>
      </c>
      <c r="Q39" s="38">
        <f>87+FQ38</f>
        <v/>
      </c>
      <c r="R39" s="38" t="n">
        <v>155</v>
      </c>
      <c r="S39" s="38" t="n">
        <v>153</v>
      </c>
      <c r="T39" s="38" t="n">
        <v>150</v>
      </c>
      <c r="U39" s="38" t="n">
        <v>147</v>
      </c>
      <c r="V39" s="38" t="n">
        <v>145</v>
      </c>
      <c r="W39" s="38" t="n">
        <v>145</v>
      </c>
      <c r="X39" s="38" t="n">
        <v>145</v>
      </c>
      <c r="Y39" s="38" t="n">
        <v>143</v>
      </c>
      <c r="Z39" s="38" t="n">
        <v>143</v>
      </c>
      <c r="AA39" s="38" t="n">
        <v>143</v>
      </c>
      <c r="AB39" s="38" t="n">
        <v>135</v>
      </c>
      <c r="AC39" s="38" t="n">
        <v>114</v>
      </c>
      <c r="AD39" s="38" t="n">
        <v>114</v>
      </c>
      <c r="AE39" s="38" t="n">
        <v>112</v>
      </c>
      <c r="AF39" s="38" t="n">
        <v>111</v>
      </c>
      <c r="AG39" s="38" t="n">
        <v>110</v>
      </c>
      <c r="AH39" s="38" t="n">
        <v>103</v>
      </c>
      <c r="AI39" s="38" t="n">
        <v>102</v>
      </c>
      <c r="AJ39" s="38" t="n">
        <v>101</v>
      </c>
      <c r="AK39" s="38" t="n">
        <v>97</v>
      </c>
      <c r="AL39" s="38" t="n">
        <v>91</v>
      </c>
      <c r="AM39" s="38" t="n">
        <v>88</v>
      </c>
      <c r="AN39" s="38" t="n">
        <v>88</v>
      </c>
      <c r="AO39" s="38" t="n">
        <v>77</v>
      </c>
      <c r="AP39" s="38" t="n">
        <v>74</v>
      </c>
      <c r="AQ39" s="38" t="n">
        <v>72</v>
      </c>
      <c r="AR39" s="38" t="n">
        <v>70</v>
      </c>
      <c r="AS39" s="38" t="n">
        <v>64</v>
      </c>
      <c r="AT39" s="38" t="n">
        <v>62</v>
      </c>
      <c r="AU39" s="38" t="n">
        <v>54</v>
      </c>
      <c r="AV39" s="38" t="n">
        <v>51</v>
      </c>
      <c r="AW39" s="38" t="n">
        <v>42</v>
      </c>
      <c r="AX39" s="38" t="n">
        <v>41</v>
      </c>
      <c r="AY39" s="38" t="n">
        <v>31</v>
      </c>
      <c r="AZ39" s="38" t="n">
        <v>31</v>
      </c>
      <c r="BA39" s="38" t="n">
        <v>27</v>
      </c>
      <c r="BB39" s="38" t="n">
        <v>12</v>
      </c>
      <c r="BC39" s="38" t="n">
        <v>10</v>
      </c>
      <c r="BD39" s="38" t="n">
        <v>2</v>
      </c>
      <c r="BE39" s="38" t="n">
        <v>29</v>
      </c>
      <c r="BF39" s="38" t="n">
        <v>27</v>
      </c>
      <c r="BG39" s="38" t="n">
        <v>27</v>
      </c>
      <c r="BH39" s="38" t="n">
        <v>25</v>
      </c>
      <c r="BI39" s="38" t="n">
        <v>24</v>
      </c>
      <c r="BJ39" s="38" t="n">
        <v>24</v>
      </c>
      <c r="BK39" s="38" t="n">
        <v>24</v>
      </c>
      <c r="BL39" s="38" t="n">
        <v>24</v>
      </c>
      <c r="BM39" s="38" t="n">
        <v>24</v>
      </c>
      <c r="BN39" s="38" t="n">
        <v>23</v>
      </c>
      <c r="BO39" s="38" t="n">
        <v>20</v>
      </c>
      <c r="BP39" s="38" t="n">
        <v>62</v>
      </c>
      <c r="BQ39" s="38" t="n">
        <v>61</v>
      </c>
      <c r="BR39" s="38" t="n">
        <v>42</v>
      </c>
      <c r="BS39" s="38" t="n">
        <v>42</v>
      </c>
      <c r="BT39" s="38" t="n"/>
      <c r="BU39" s="38" t="n"/>
      <c r="BV39" s="38" t="n"/>
      <c r="BW39" s="38" t="n">
        <v>13</v>
      </c>
      <c r="BX39" s="38" t="n">
        <v>6</v>
      </c>
      <c r="BY39" s="38" t="n">
        <v>0</v>
      </c>
      <c r="BZ39" s="38" t="n">
        <v>0</v>
      </c>
      <c r="CA39" s="38" t="n">
        <v>0</v>
      </c>
      <c r="CB39" s="156">
        <f>BZ39+IF(NOT(ISBLANK(OFFSET(CB39,0,6))),N(OFFSET(CB39,0,6)),N(OFFSET(CB39,0,7)))-CA39</f>
        <v/>
      </c>
      <c r="CD39" s="19" t="n"/>
      <c r="CE39" s="127" t="n"/>
      <c r="CF39" s="19" t="n"/>
      <c r="CG39" s="27" t="n"/>
      <c r="CI39" s="18" t="n">
        <v>0</v>
      </c>
      <c r="CJ39" s="18" t="n"/>
      <c r="CK39" s="18" t="n"/>
      <c r="CL39" s="18" t="n"/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396" t="n"/>
      <c r="DP39" s="18" t="n"/>
      <c r="DQ39" s="18" t="n"/>
    </row>
    <row r="40" ht="18.75" customHeight="1">
      <c r="B40" s="53" t="n"/>
      <c r="C40" s="53" t="n"/>
      <c r="D40" s="53" t="n"/>
      <c r="CB40" s="53" t="n"/>
      <c r="CG40" s="6" t="n"/>
      <c r="DO40" s="723" t="n"/>
      <c r="DR40" s="654" t="n">
        <v>45915</v>
      </c>
      <c r="DS40" s="654" t="n">
        <v>45909</v>
      </c>
      <c r="DT40" s="654" t="n">
        <v>45903</v>
      </c>
      <c r="DU40" s="654" t="n">
        <v>45903</v>
      </c>
      <c r="DV40" s="654" t="n">
        <v>45895</v>
      </c>
      <c r="DW40" s="654" t="n">
        <v>45881</v>
      </c>
      <c r="DX40" s="679" t="n">
        <v>45896</v>
      </c>
      <c r="DY40" s="654" t="n">
        <v>45888</v>
      </c>
      <c r="DZ40" s="679" t="n">
        <v>45839</v>
      </c>
      <c r="EA40" s="654" t="n">
        <v>45874</v>
      </c>
      <c r="EB40" s="654" t="n">
        <v>45867</v>
      </c>
      <c r="EC40" s="655" t="n">
        <v>45882</v>
      </c>
      <c r="ED40" s="655" t="n">
        <v>45881</v>
      </c>
      <c r="EE40" s="654" t="n">
        <v>45874</v>
      </c>
      <c r="EF40" s="654" t="n">
        <v>45867</v>
      </c>
      <c r="EG40" s="654" t="n">
        <v>45860</v>
      </c>
      <c r="EH40" s="655" t="n">
        <v>45863</v>
      </c>
      <c r="EI40" s="655" t="n">
        <v>45860</v>
      </c>
      <c r="EJ40" s="654" t="n">
        <v>45860</v>
      </c>
      <c r="EK40" s="654" t="n">
        <v>45853</v>
      </c>
      <c r="EL40" s="681" t="n">
        <v>45855</v>
      </c>
      <c r="EM40" s="654" t="n">
        <v>45848</v>
      </c>
      <c r="EN40" s="654" t="n">
        <v>45839</v>
      </c>
      <c r="EO40" s="654" t="n">
        <v>45832</v>
      </c>
      <c r="EP40" s="650" t="n">
        <v>45842</v>
      </c>
      <c r="EQ40" s="654" t="n">
        <v>45832</v>
      </c>
      <c r="ER40" s="654" t="n">
        <v>45825</v>
      </c>
      <c r="ES40" s="655" t="n">
        <v>45826</v>
      </c>
      <c r="ET40" s="655" t="n">
        <v>45825</v>
      </c>
      <c r="EU40" s="654" t="n">
        <v>45819</v>
      </c>
      <c r="EV40" s="654" t="n">
        <v>45813</v>
      </c>
      <c r="EW40" s="655" t="n">
        <v>45820</v>
      </c>
      <c r="EX40" s="655" t="n">
        <v>45818</v>
      </c>
      <c r="EY40" s="654" t="n">
        <v>45805</v>
      </c>
      <c r="EZ40" s="655" t="n">
        <v>45807</v>
      </c>
      <c r="FA40" s="654" t="n">
        <v>45790</v>
      </c>
      <c r="FB40" s="655" t="n">
        <v>45799</v>
      </c>
      <c r="FC40" s="690" t="n">
        <v>45799</v>
      </c>
      <c r="FD40" s="650" t="n">
        <v>45798</v>
      </c>
      <c r="FE40" s="655" t="n">
        <v>45798</v>
      </c>
      <c r="FF40" s="655" t="n">
        <v>45797</v>
      </c>
      <c r="FG40" s="654" t="n">
        <v>45790</v>
      </c>
      <c r="FH40" s="654" t="n">
        <v>45783</v>
      </c>
      <c r="FI40" s="654" t="n">
        <v>45775</v>
      </c>
      <c r="FJ40" s="654" t="n">
        <v>45756</v>
      </c>
      <c r="FK40" s="654" t="n">
        <v>45770</v>
      </c>
      <c r="FL40" s="654" t="n">
        <v>45756</v>
      </c>
      <c r="FM40" s="654" t="n">
        <v>45749</v>
      </c>
      <c r="FN40" s="654" t="n">
        <v>45736</v>
      </c>
      <c r="FO40" s="654" t="n">
        <v>45743</v>
      </c>
      <c r="FP40" s="654" t="n">
        <v>45735</v>
      </c>
      <c r="FQ40" s="654" t="n">
        <v>45728</v>
      </c>
      <c r="FR40" s="654" t="n">
        <v>45722</v>
      </c>
      <c r="FS40" s="654" t="n">
        <v>45714</v>
      </c>
      <c r="FT40" s="650" t="n">
        <v>45700</v>
      </c>
      <c r="FU40" s="654" t="n">
        <v>45706</v>
      </c>
      <c r="FV40" s="654" t="n">
        <v>45700</v>
      </c>
      <c r="FW40" s="654" t="n">
        <v>45684</v>
      </c>
      <c r="FX40" s="654" t="n">
        <v>45699</v>
      </c>
      <c r="FY40" s="654" t="n">
        <v>45699</v>
      </c>
      <c r="FZ40" s="655" t="n">
        <v>45706</v>
      </c>
      <c r="GA40" s="654" t="n">
        <v>45693</v>
      </c>
      <c r="GB40" s="654" t="n">
        <v>45693</v>
      </c>
      <c r="GC40" s="654" t="n">
        <v>45685</v>
      </c>
      <c r="GD40" s="712" t="n">
        <v>45692</v>
      </c>
      <c r="GE40" s="655" t="n">
        <v>45691</v>
      </c>
      <c r="GF40" s="655" t="n">
        <v>45681</v>
      </c>
      <c r="GG40" s="654" t="n">
        <v>45674</v>
      </c>
      <c r="GH40" s="655" t="n">
        <v>45672</v>
      </c>
      <c r="GI40" s="654" t="n">
        <v>45664</v>
      </c>
      <c r="GJ40" s="654" t="n">
        <v>46008</v>
      </c>
      <c r="GK40" s="654" t="n">
        <v>45660</v>
      </c>
      <c r="GL40" s="654" t="n">
        <v>45652</v>
      </c>
      <c r="GM40" s="654" t="n">
        <v>45638</v>
      </c>
      <c r="GN40" s="654" t="n">
        <v>45643</v>
      </c>
    </row>
    <row r="41" ht="18.75" customHeight="1">
      <c r="A41" s="586" t="inlineStr">
        <is>
          <t>SACOLAS/SACO/DIVERSOS OUI</t>
        </is>
      </c>
      <c r="B41" s="133" t="inlineStr">
        <is>
          <t>MÓD</t>
        </is>
      </c>
      <c r="C41" s="133" t="n"/>
      <c r="D41" s="133" t="n"/>
      <c r="F41" s="650" t="n">
        <v>45656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>
        <v>46083</v>
      </c>
      <c r="BP41" s="650" t="n">
        <v>46090</v>
      </c>
      <c r="BQ41" s="650" t="n">
        <v>46097</v>
      </c>
      <c r="BR41" s="650" t="n">
        <v>46104</v>
      </c>
      <c r="BS41" s="650" t="n">
        <v>46111</v>
      </c>
      <c r="BT41" s="650" t="n">
        <v>46118</v>
      </c>
      <c r="BU41" s="650" t="n">
        <v>46125</v>
      </c>
      <c r="BV41" s="650" t="n">
        <v>46132</v>
      </c>
      <c r="BW41" s="650" t="n">
        <v>46139</v>
      </c>
      <c r="BX41" s="650" t="n">
        <v>46146</v>
      </c>
      <c r="BY41" s="650" t="n">
        <v>46154</v>
      </c>
      <c r="BZ41" s="650" t="n">
        <v>46160</v>
      </c>
      <c r="CA41" s="650" t="n">
        <v>46160</v>
      </c>
      <c r="CB41" s="652" t="inlineStr">
        <is>
          <t>USOU</t>
        </is>
      </c>
      <c r="CD41" s="35" t="inlineStr">
        <is>
          <t>Pend.</t>
        </is>
      </c>
      <c r="CE41" s="413" t="inlineStr">
        <is>
          <t>TRANSFERÊNCIA</t>
        </is>
      </c>
      <c r="CF41" s="35" t="inlineStr">
        <is>
          <t>Pend.</t>
        </is>
      </c>
      <c r="CG41" s="12" t="inlineStr">
        <is>
          <t>Novo Pedido</t>
        </is>
      </c>
      <c r="CI41" s="654" t="n">
        <v>46149</v>
      </c>
      <c r="CJ41" s="654" t="n">
        <v>46114</v>
      </c>
      <c r="CK41" s="654" t="n">
        <v>46099</v>
      </c>
      <c r="CL41" s="710" t="n">
        <v>46065</v>
      </c>
      <c r="CM41" s="711" t="n">
        <v>46045</v>
      </c>
      <c r="CN41" s="654" t="n">
        <v>46076</v>
      </c>
      <c r="CO41" s="655" t="n">
        <v>46084</v>
      </c>
      <c r="CP41" s="654" t="n">
        <v>46077</v>
      </c>
      <c r="CQ41" s="655" t="n">
        <v>46077</v>
      </c>
      <c r="CR41" s="654" t="n">
        <v>46071</v>
      </c>
      <c r="CS41" s="654" t="n">
        <v>46071</v>
      </c>
      <c r="CT41" s="654" t="n">
        <v>46056</v>
      </c>
      <c r="CU41" s="654" t="n">
        <v>46043</v>
      </c>
      <c r="CV41" s="654" t="n">
        <v>46035</v>
      </c>
      <c r="CW41" s="654" t="n">
        <v>46029</v>
      </c>
      <c r="CX41" s="654" t="n">
        <v>46017</v>
      </c>
      <c r="CY41" s="654" t="n">
        <v>46001</v>
      </c>
      <c r="CZ41" s="654" t="n">
        <v>46007</v>
      </c>
      <c r="DA41" s="654" t="n">
        <v>45994</v>
      </c>
      <c r="DB41" s="654" t="n">
        <v>45986</v>
      </c>
      <c r="DC41" s="654" t="n">
        <v>45986</v>
      </c>
      <c r="DD41" s="654" t="n">
        <v>45980</v>
      </c>
      <c r="DE41" s="654" t="n">
        <v>45980</v>
      </c>
      <c r="DF41" s="654" t="n">
        <v>45973</v>
      </c>
      <c r="DG41" s="654" t="n">
        <v>45965</v>
      </c>
      <c r="DH41" s="654" t="n">
        <v>45960</v>
      </c>
      <c r="DI41" s="655" t="n">
        <v>45967</v>
      </c>
      <c r="DJ41" s="654" t="n">
        <v>45937</v>
      </c>
      <c r="DK41" s="654" t="n">
        <v>45951</v>
      </c>
      <c r="DL41" s="654" t="n">
        <v>45931</v>
      </c>
      <c r="DM41" s="654" t="n">
        <v>45923</v>
      </c>
      <c r="DN41" s="654" t="n">
        <v>45923</v>
      </c>
      <c r="DO41" s="678" t="n">
        <v>45903</v>
      </c>
      <c r="DP41" s="655" t="n">
        <v>45931</v>
      </c>
      <c r="DQ41" s="688" t="n">
        <v>45931</v>
      </c>
      <c r="DR41" s="18" t="n"/>
      <c r="DS41" s="18" t="n"/>
      <c r="DT41" s="18" t="n"/>
      <c r="DU41" s="18" t="n"/>
      <c r="DV41" s="18" t="n"/>
      <c r="DW41" s="18" t="n"/>
      <c r="DX41" s="18" t="n"/>
      <c r="DY41" s="18" t="n"/>
      <c r="DZ41" s="18" t="n"/>
      <c r="EA41" s="18" t="n"/>
      <c r="EB41" s="18" t="n"/>
      <c r="EC41" s="18" t="n"/>
      <c r="ED41" s="18" t="n"/>
      <c r="EE41" s="18" t="n"/>
      <c r="EF41" s="18" t="n"/>
      <c r="EG41" s="18" t="n"/>
      <c r="EH41" s="18" t="n"/>
      <c r="EI41" s="18" t="n"/>
      <c r="EJ41" s="18" t="n"/>
      <c r="EK41" s="18" t="n"/>
      <c r="EL41" s="18" t="n"/>
      <c r="EM41" s="18" t="n"/>
      <c r="EN41" s="18" t="n"/>
      <c r="EO41" s="18" t="n"/>
      <c r="EP41" s="256" t="n"/>
      <c r="EQ41" s="18" t="n"/>
      <c r="ER41" s="18" t="n"/>
      <c r="ES41" s="18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/>
      <c r="FC41" s="18" t="n"/>
      <c r="FD41" s="256" t="n"/>
      <c r="FE41" s="18" t="n"/>
      <c r="FF41" s="18" t="n"/>
      <c r="FG41" s="18" t="n"/>
      <c r="FH41" s="18" t="n"/>
      <c r="FI41" s="18" t="n"/>
      <c r="FJ41" s="18" t="n"/>
      <c r="FK41" s="18" t="n"/>
      <c r="FL41" s="18" t="n"/>
      <c r="FM41" s="18" t="n"/>
      <c r="FN41" s="18" t="n"/>
      <c r="FO41" s="18" t="n"/>
      <c r="FP41" s="18" t="n"/>
      <c r="FQ41" s="18" t="n"/>
      <c r="FR41" s="18" t="n"/>
      <c r="FS41" s="18" t="n"/>
      <c r="FT41" s="256" t="n"/>
      <c r="FU41" s="18" t="n"/>
      <c r="FV41" s="18" t="n"/>
      <c r="FW41" s="18" t="n"/>
      <c r="FX41" s="18" t="n"/>
      <c r="FY41" s="18" t="n"/>
      <c r="FZ41" s="18" t="n"/>
      <c r="GA41" s="18" t="n"/>
      <c r="GB41" s="18" t="n"/>
      <c r="GC41" s="18" t="n"/>
      <c r="GD41" s="18" t="n"/>
      <c r="GE41" s="18" t="n"/>
      <c r="GF41" s="18" t="n"/>
      <c r="GG41" s="18" t="n"/>
      <c r="GH41" s="18" t="n"/>
      <c r="GI41" s="18" t="n"/>
      <c r="GJ41" s="18" t="n"/>
      <c r="GK41" s="18" t="n"/>
      <c r="GL41" s="18" t="n"/>
      <c r="GM41" s="18" t="n"/>
      <c r="GN41" s="18" t="n"/>
    </row>
    <row r="42" ht="18.75" customFormat="1" customHeight="1" s="3">
      <c r="A42" s="43" t="inlineStr">
        <is>
          <t>SACOLA P OUI</t>
        </is>
      </c>
      <c r="B42" s="36" t="n">
        <v>150</v>
      </c>
      <c r="C42" s="668" t="n">
        <v>453.38</v>
      </c>
      <c r="D42" s="329" t="n">
        <v>15</v>
      </c>
      <c r="F42" s="38" t="n">
        <v>77</v>
      </c>
      <c r="G42" s="38" t="n">
        <v>77</v>
      </c>
      <c r="H42" s="38" t="n">
        <v>77</v>
      </c>
      <c r="I42" s="38" t="n">
        <v>77</v>
      </c>
      <c r="J42" s="38" t="n">
        <v>65</v>
      </c>
      <c r="K42" s="38" t="n">
        <v>65</v>
      </c>
      <c r="L42" s="38" t="n">
        <v>64</v>
      </c>
      <c r="M42" s="38" t="n">
        <v>64</v>
      </c>
      <c r="N42" s="38" t="n">
        <v>64</v>
      </c>
      <c r="O42" s="38" t="n">
        <v>64</v>
      </c>
      <c r="P42" s="38" t="n">
        <v>57</v>
      </c>
      <c r="Q42" s="38" t="n">
        <v>61</v>
      </c>
      <c r="R42" s="38" t="n">
        <v>61</v>
      </c>
      <c r="S42" s="38" t="n">
        <v>61</v>
      </c>
      <c r="T42" s="38" t="n">
        <v>57</v>
      </c>
      <c r="U42" s="38" t="n">
        <v>55</v>
      </c>
      <c r="V42" s="38" t="n">
        <v>55</v>
      </c>
      <c r="W42" s="38" t="n">
        <v>55</v>
      </c>
      <c r="X42" s="38" t="n">
        <v>55</v>
      </c>
      <c r="Y42" s="38" t="n">
        <v>54</v>
      </c>
      <c r="Z42" s="38" t="n">
        <v>53</v>
      </c>
      <c r="AA42" s="38" t="n">
        <v>50</v>
      </c>
      <c r="AB42" s="38" t="n">
        <v>41</v>
      </c>
      <c r="AC42" s="38" t="n">
        <v>39</v>
      </c>
      <c r="AD42" s="38" t="n">
        <v>38</v>
      </c>
      <c r="AE42" s="38" t="n">
        <v>34</v>
      </c>
      <c r="AF42" s="38" t="n">
        <v>34</v>
      </c>
      <c r="AG42" s="38" t="n">
        <v>33</v>
      </c>
      <c r="AH42" s="38" t="n">
        <v>26</v>
      </c>
      <c r="AI42" s="38" t="n">
        <v>26</v>
      </c>
      <c r="AJ42" s="38" t="n">
        <v>23</v>
      </c>
      <c r="AK42" s="38" t="n">
        <v>23</v>
      </c>
      <c r="AL42" s="38" t="n">
        <v>20</v>
      </c>
      <c r="AM42" s="38" t="n">
        <v>20</v>
      </c>
      <c r="AN42" s="38" t="n">
        <v>20</v>
      </c>
      <c r="AO42" s="38" t="n">
        <v>15</v>
      </c>
      <c r="AP42" s="38" t="n">
        <v>15</v>
      </c>
      <c r="AQ42" s="38" t="n">
        <v>12</v>
      </c>
      <c r="AR42" s="38" t="n">
        <v>9</v>
      </c>
      <c r="AS42" s="38" t="n">
        <v>9</v>
      </c>
      <c r="AT42" s="38" t="n">
        <v>8</v>
      </c>
      <c r="AU42" s="38" t="n">
        <v>6</v>
      </c>
      <c r="AV42" s="38" t="n">
        <v>4</v>
      </c>
      <c r="AW42" s="38" t="n">
        <v>3</v>
      </c>
      <c r="AX42" s="38" t="n">
        <v>0</v>
      </c>
      <c r="AY42" s="38" t="n">
        <v>0</v>
      </c>
      <c r="AZ42" s="38" t="n">
        <v>0</v>
      </c>
      <c r="BA42" s="38" t="n">
        <v>0</v>
      </c>
      <c r="BB42" s="261" t="n">
        <v>5</v>
      </c>
      <c r="BC42" s="38" t="n">
        <v>0</v>
      </c>
      <c r="BD42" s="38" t="n">
        <v>0</v>
      </c>
      <c r="BE42" s="38" t="n">
        <v>12</v>
      </c>
      <c r="BF42" s="38" t="n">
        <v>10</v>
      </c>
      <c r="BG42" s="38" t="n">
        <v>10</v>
      </c>
      <c r="BH42" s="38" t="n">
        <v>5</v>
      </c>
      <c r="BI42" s="38" t="n">
        <v>0</v>
      </c>
      <c r="BJ42" s="38" t="n">
        <v>0</v>
      </c>
      <c r="BK42" s="38" t="n">
        <v>0</v>
      </c>
      <c r="BL42" s="38" t="n">
        <v>0</v>
      </c>
      <c r="BM42" s="38" t="n">
        <v>0</v>
      </c>
      <c r="BN42" s="38" t="n">
        <v>0</v>
      </c>
      <c r="BO42" s="38" t="n">
        <v>0</v>
      </c>
      <c r="BP42" s="38" t="n">
        <v>13</v>
      </c>
      <c r="BQ42" s="38" t="n">
        <v>13</v>
      </c>
      <c r="BR42" s="261" t="n">
        <v>40</v>
      </c>
      <c r="BS42" s="38" t="n">
        <v>37</v>
      </c>
      <c r="BT42" s="38" t="n"/>
      <c r="BU42" s="38" t="n"/>
      <c r="BV42" s="38" t="n"/>
      <c r="BW42" s="38" t="n">
        <v>20</v>
      </c>
      <c r="BX42" s="38" t="n">
        <v>17</v>
      </c>
      <c r="BY42" s="38" t="n">
        <v>5</v>
      </c>
      <c r="BZ42" s="38" t="n">
        <v>4</v>
      </c>
      <c r="CA42" s="38" t="n">
        <v>4</v>
      </c>
      <c r="CB42" s="154">
        <f>BZ42+IF(NOT(ISBLANK(OFFSET(CB42,0,6))),N(OFFSET(CB42,0,6)),N(OFFSET(CB42,0,7)))-CA42</f>
        <v/>
      </c>
      <c r="CC42" s="6" t="n"/>
      <c r="CD42" s="19" t="n"/>
      <c r="CE42" s="127" t="n"/>
      <c r="CF42" s="19" t="n"/>
      <c r="CG42" s="39" t="n"/>
      <c r="CH42" s="51" t="n"/>
      <c r="CI42" s="18" t="n">
        <v>0</v>
      </c>
      <c r="CJ42" s="18" t="n"/>
      <c r="CK42" s="18" t="n"/>
      <c r="CL42" s="18" t="n"/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256" t="n"/>
      <c r="EQ42" s="18" t="n"/>
      <c r="ER42" s="18" t="n"/>
      <c r="ES42" s="18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256" t="n"/>
      <c r="FE42" s="18" t="n"/>
      <c r="FF42" s="18" t="n"/>
      <c r="FG42" s="18" t="n"/>
      <c r="FH42" s="18" t="n"/>
      <c r="FI42" s="18" t="n"/>
      <c r="FJ42" s="18" t="n"/>
      <c r="FK42" s="18" t="n"/>
      <c r="FL42" s="18" t="n"/>
      <c r="FM42" s="18" t="n"/>
      <c r="FN42" s="18" t="n"/>
      <c r="FO42" s="18" t="n"/>
      <c r="FP42" s="18" t="n"/>
      <c r="FQ42" s="18" t="n"/>
      <c r="FR42" s="18" t="n"/>
      <c r="FS42" s="18" t="n"/>
      <c r="FT42" s="256" t="n"/>
      <c r="FU42" s="18" t="n"/>
      <c r="FV42" s="18" t="n"/>
      <c r="FW42" s="18" t="n"/>
      <c r="FX42" s="18" t="n"/>
      <c r="FY42" s="18" t="n"/>
      <c r="FZ42" s="18" t="n"/>
      <c r="GA42" s="18" t="n"/>
      <c r="GB42" s="18" t="n"/>
      <c r="GC42" s="18" t="n"/>
      <c r="GD42" s="18" t="n"/>
      <c r="GE42" s="18" t="n"/>
      <c r="GF42" s="18" t="n"/>
      <c r="GG42" s="18" t="n"/>
      <c r="GH42" s="18" t="n"/>
      <c r="GI42" s="18" t="n"/>
      <c r="GJ42" s="18" t="n"/>
      <c r="GK42" s="18" t="n"/>
      <c r="GL42" s="18" t="n"/>
      <c r="GM42" s="18" t="n"/>
      <c r="GN42" s="18" t="n"/>
    </row>
    <row r="43" ht="18.75" customFormat="1" customHeight="1" s="3">
      <c r="A43" s="43" t="inlineStr">
        <is>
          <t>SACOLA M OUI</t>
        </is>
      </c>
      <c r="B43" s="36" t="n">
        <v>100</v>
      </c>
      <c r="C43" s="668" t="n">
        <v>355.78</v>
      </c>
      <c r="D43" s="329" t="n">
        <v>15</v>
      </c>
      <c r="F43" s="38" t="n">
        <v>47</v>
      </c>
      <c r="G43" s="38" t="n">
        <v>63</v>
      </c>
      <c r="H43" s="38" t="n">
        <v>63</v>
      </c>
      <c r="I43" s="38" t="n">
        <v>63</v>
      </c>
      <c r="J43" s="38" t="n">
        <v>63</v>
      </c>
      <c r="K43" s="38" t="n">
        <v>63</v>
      </c>
      <c r="L43" s="38" t="n">
        <v>61</v>
      </c>
      <c r="M43" s="38" t="n">
        <v>61</v>
      </c>
      <c r="N43" s="38" t="n">
        <v>61</v>
      </c>
      <c r="O43" s="38" t="n">
        <v>61</v>
      </c>
      <c r="P43" s="38" t="n">
        <v>59</v>
      </c>
      <c r="Q43" s="38" t="n">
        <v>61</v>
      </c>
      <c r="R43" s="38" t="n">
        <v>61</v>
      </c>
      <c r="S43" s="38" t="n">
        <v>60</v>
      </c>
      <c r="T43" s="38" t="n">
        <v>60</v>
      </c>
      <c r="U43" s="38" t="n">
        <v>56</v>
      </c>
      <c r="V43" s="38" t="n">
        <v>56</v>
      </c>
      <c r="W43" s="38" t="n">
        <v>56</v>
      </c>
      <c r="X43" s="38" t="n">
        <v>56</v>
      </c>
      <c r="Y43" s="38" t="n">
        <v>53</v>
      </c>
      <c r="Z43" s="38" t="n">
        <v>52</v>
      </c>
      <c r="AA43" s="38" t="n">
        <v>50</v>
      </c>
      <c r="AB43" s="38" t="n">
        <v>50</v>
      </c>
      <c r="AC43" s="38" t="n">
        <v>50</v>
      </c>
      <c r="AD43" s="38" t="n">
        <v>47</v>
      </c>
      <c r="AE43" s="38" t="n">
        <v>46</v>
      </c>
      <c r="AF43" s="38" t="n">
        <v>46</v>
      </c>
      <c r="AG43" s="38" t="n">
        <v>46</v>
      </c>
      <c r="AH43" s="38" t="n">
        <v>43</v>
      </c>
      <c r="AI43" s="38" t="n">
        <v>42</v>
      </c>
      <c r="AJ43" s="38" t="n">
        <v>42</v>
      </c>
      <c r="AK43" s="38" t="n">
        <v>42</v>
      </c>
      <c r="AL43" s="38" t="n">
        <v>40</v>
      </c>
      <c r="AM43" s="38" t="n">
        <v>40</v>
      </c>
      <c r="AN43" s="38" t="n">
        <v>40</v>
      </c>
      <c r="AO43" s="38" t="n">
        <v>39</v>
      </c>
      <c r="AP43" s="38" t="n">
        <v>39</v>
      </c>
      <c r="AQ43" s="38" t="n">
        <v>39</v>
      </c>
      <c r="AR43" s="38" t="n">
        <v>39</v>
      </c>
      <c r="AS43" s="38" t="n">
        <v>37</v>
      </c>
      <c r="AT43" s="38" t="n">
        <v>30</v>
      </c>
      <c r="AU43" s="38" t="n">
        <v>27</v>
      </c>
      <c r="AV43" s="38" t="n">
        <v>25</v>
      </c>
      <c r="AW43" s="38" t="n">
        <v>24</v>
      </c>
      <c r="AX43" s="38" t="n">
        <v>22</v>
      </c>
      <c r="AY43" s="38" t="n">
        <v>9</v>
      </c>
      <c r="AZ43" s="38" t="n">
        <v>0</v>
      </c>
      <c r="BA43" s="38" t="n">
        <v>0</v>
      </c>
      <c r="BB43" s="261" t="n">
        <v>15</v>
      </c>
      <c r="BC43" s="38" t="n">
        <v>8</v>
      </c>
      <c r="BD43" s="38" t="n">
        <v>2</v>
      </c>
      <c r="BE43" s="38" t="n">
        <v>15</v>
      </c>
      <c r="BF43" s="38" t="n">
        <v>14</v>
      </c>
      <c r="BG43" s="38" t="n">
        <v>14</v>
      </c>
      <c r="BH43" s="38" t="n">
        <v>13</v>
      </c>
      <c r="BI43" s="38" t="n">
        <v>8</v>
      </c>
      <c r="BJ43" s="38" t="n">
        <v>5</v>
      </c>
      <c r="BK43" s="38" t="n">
        <v>5</v>
      </c>
      <c r="BL43" s="38" t="n">
        <v>1</v>
      </c>
      <c r="BM43" s="38" t="n">
        <v>1</v>
      </c>
      <c r="BN43" s="38" t="n">
        <v>1</v>
      </c>
      <c r="BO43" s="38" t="n">
        <v>0</v>
      </c>
      <c r="BP43" s="38" t="n">
        <v>0</v>
      </c>
      <c r="BQ43" s="38" t="n">
        <v>0</v>
      </c>
      <c r="BR43" s="261" t="n">
        <v>20</v>
      </c>
      <c r="BS43" s="38" t="n">
        <v>19</v>
      </c>
      <c r="BT43" s="38" t="n"/>
      <c r="BU43" s="38" t="n"/>
      <c r="BV43" s="38" t="n"/>
      <c r="BW43" s="38" t="n">
        <v>16</v>
      </c>
      <c r="BX43" s="38" t="n">
        <v>12</v>
      </c>
      <c r="BY43" s="38" t="n">
        <v>10</v>
      </c>
      <c r="BZ43" s="38" t="n">
        <v>9</v>
      </c>
      <c r="CA43" s="38" t="n">
        <v>9</v>
      </c>
      <c r="CB43" s="154">
        <f>BZ43+IF(NOT(ISBLANK(OFFSET(CB43,0,6))),N(OFFSET(CB43,0,6)),N(OFFSET(CB43,0,7)))-CA43</f>
        <v/>
      </c>
      <c r="CC43" s="6" t="n"/>
      <c r="CD43" s="19" t="n"/>
      <c r="CE43" s="127" t="n"/>
      <c r="CF43" s="19" t="n"/>
      <c r="CG43" s="65" t="n"/>
      <c r="CH43" s="49" t="n"/>
      <c r="CI43" s="18" t="n">
        <v>0</v>
      </c>
      <c r="CJ43" s="18" t="n"/>
      <c r="CK43" s="18" t="n"/>
      <c r="CL43" s="18" t="n"/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  <c r="DU43" s="18" t="n"/>
      <c r="DV43" s="18" t="n"/>
      <c r="DW43" s="18" t="n"/>
      <c r="DX43" s="18" t="n"/>
      <c r="DY43" s="18" t="n"/>
      <c r="DZ43" s="18" t="n"/>
      <c r="EA43" s="18" t="n"/>
      <c r="EB43" s="18" t="n"/>
      <c r="EC43" s="18" t="n"/>
      <c r="ED43" s="18" t="n"/>
      <c r="EE43" s="18" t="n"/>
      <c r="EF43" s="18" t="n"/>
      <c r="EG43" s="18" t="n"/>
      <c r="EH43" s="18" t="n"/>
      <c r="EI43" s="18" t="n"/>
      <c r="EJ43" s="18" t="n"/>
      <c r="EK43" s="18" t="n"/>
      <c r="EL43" s="18" t="n"/>
      <c r="EM43" s="18" t="n"/>
      <c r="EN43" s="18" t="n"/>
      <c r="EO43" s="18" t="n"/>
      <c r="EP43" s="256" t="n"/>
      <c r="EQ43" s="18" t="n"/>
      <c r="ER43" s="18" t="n"/>
      <c r="ES43" s="260" t="n"/>
      <c r="ET43" s="260" t="n"/>
      <c r="EU43" s="18" t="n"/>
      <c r="EV43" s="18" t="n"/>
      <c r="EW43" s="260" t="n"/>
      <c r="EX43" s="260" t="n"/>
      <c r="EY43" s="18" t="n"/>
      <c r="EZ43" s="260" t="n"/>
      <c r="FA43" s="18" t="n"/>
      <c r="FB43" s="260" t="n"/>
      <c r="FC43" s="260" t="n"/>
      <c r="FD43" s="256" t="n"/>
      <c r="FE43" s="260" t="n"/>
      <c r="FF43" s="260" t="n"/>
      <c r="FG43" s="18" t="n"/>
      <c r="FH43" s="18" t="n"/>
      <c r="FI43" s="18" t="n"/>
      <c r="FJ43" s="18" t="n"/>
      <c r="FK43" s="18" t="n"/>
      <c r="FL43" s="18" t="n"/>
      <c r="FM43" s="18" t="n"/>
      <c r="FN43" s="18" t="n"/>
      <c r="FO43" s="18" t="n"/>
      <c r="FP43" s="18" t="n"/>
      <c r="FQ43" s="18" t="n"/>
      <c r="FR43" s="18" t="n"/>
      <c r="FS43" s="18" t="n"/>
      <c r="FT43" s="256" t="n"/>
      <c r="FU43" s="18" t="n"/>
      <c r="FV43" s="18" t="n"/>
      <c r="FW43" s="18" t="n"/>
      <c r="FX43" s="18" t="n"/>
      <c r="FY43" s="18" t="n"/>
      <c r="FZ43" s="260" t="n"/>
      <c r="GA43" s="18" t="n"/>
      <c r="GB43" s="18" t="n"/>
      <c r="GC43" s="18" t="n"/>
      <c r="GD43" s="260" t="n"/>
      <c r="GE43" s="260" t="n"/>
      <c r="GF43" s="260" t="n"/>
      <c r="GG43" s="18" t="n"/>
      <c r="GH43" s="239" t="inlineStr">
        <is>
          <t>10 P/ ER PBE</t>
        </is>
      </c>
      <c r="GI43" s="18" t="n"/>
      <c r="GJ43" s="18" t="n"/>
      <c r="GK43" s="18" t="n"/>
      <c r="GL43" s="18" t="n"/>
      <c r="GM43" s="18" t="n"/>
      <c r="GN43" s="18" t="n">
        <v>50</v>
      </c>
    </row>
    <row r="44" ht="18.75" customHeight="1">
      <c r="A44" s="43" t="inlineStr">
        <is>
          <t>SACOLA G OUI</t>
        </is>
      </c>
      <c r="B44" s="36" t="n">
        <v>50</v>
      </c>
      <c r="C44" s="668" t="n">
        <v>249.26</v>
      </c>
      <c r="D44" s="329" t="n">
        <v>10</v>
      </c>
      <c r="F44" s="38" t="n">
        <v>6</v>
      </c>
      <c r="G44" s="38">
        <f>56-10</f>
        <v/>
      </c>
      <c r="H44" s="38" t="n">
        <v>45</v>
      </c>
      <c r="I44" s="38" t="n">
        <v>45</v>
      </c>
      <c r="J44" s="38" t="n">
        <v>45</v>
      </c>
      <c r="K44" s="38" t="n">
        <v>45</v>
      </c>
      <c r="L44" s="38" t="n">
        <v>45</v>
      </c>
      <c r="M44" s="38" t="n">
        <v>45</v>
      </c>
      <c r="N44" s="38" t="n">
        <v>45</v>
      </c>
      <c r="O44" s="38" t="n">
        <v>45</v>
      </c>
      <c r="P44" s="38" t="n">
        <v>44</v>
      </c>
      <c r="Q44" s="38" t="n">
        <v>25</v>
      </c>
      <c r="R44" s="38" t="n">
        <v>25</v>
      </c>
      <c r="S44" s="38" t="n">
        <v>25</v>
      </c>
      <c r="T44" s="38" t="n">
        <v>25</v>
      </c>
      <c r="U44" s="38" t="n">
        <v>25</v>
      </c>
      <c r="V44" s="38" t="n">
        <v>25</v>
      </c>
      <c r="W44" s="38" t="n">
        <v>25</v>
      </c>
      <c r="X44" s="38" t="n">
        <v>25</v>
      </c>
      <c r="Y44" s="38" t="n">
        <v>25</v>
      </c>
      <c r="Z44" s="38" t="n">
        <v>25</v>
      </c>
      <c r="AA44" s="38" t="n">
        <v>25</v>
      </c>
      <c r="AB44" s="38" t="n">
        <v>21</v>
      </c>
      <c r="AC44" s="38" t="n">
        <v>20</v>
      </c>
      <c r="AD44" s="38" t="n">
        <v>19</v>
      </c>
      <c r="AE44" s="38" t="n">
        <v>19</v>
      </c>
      <c r="AF44" s="38" t="n">
        <v>19</v>
      </c>
      <c r="AG44" s="38" t="n">
        <v>17</v>
      </c>
      <c r="AH44" s="38" t="n">
        <v>17</v>
      </c>
      <c r="AI44" s="38" t="n">
        <v>17</v>
      </c>
      <c r="AJ44" s="38" t="n">
        <v>15</v>
      </c>
      <c r="AK44" s="38" t="n">
        <v>15</v>
      </c>
      <c r="AL44" s="38" t="n">
        <v>15</v>
      </c>
      <c r="AM44" s="38" t="n">
        <v>15</v>
      </c>
      <c r="AN44" s="38" t="n">
        <v>15</v>
      </c>
      <c r="AO44" s="38" t="n">
        <v>13</v>
      </c>
      <c r="AP44" s="38" t="n">
        <v>13</v>
      </c>
      <c r="AQ44" s="38" t="n">
        <v>11</v>
      </c>
      <c r="AR44" s="38" t="n">
        <v>10</v>
      </c>
      <c r="AS44" s="38" t="n">
        <v>8</v>
      </c>
      <c r="AT44" s="38" t="n">
        <v>3</v>
      </c>
      <c r="AU44" s="38" t="n">
        <v>3</v>
      </c>
      <c r="AV44" s="38" t="n">
        <v>3</v>
      </c>
      <c r="AW44" s="38" t="n">
        <v>3</v>
      </c>
      <c r="AX44" s="38" t="n">
        <v>3</v>
      </c>
      <c r="AY44" s="38" t="n">
        <v>0</v>
      </c>
      <c r="AZ44" s="38" t="n">
        <v>0</v>
      </c>
      <c r="BA44" s="38" t="n">
        <v>0</v>
      </c>
      <c r="BB44" s="261" t="n">
        <v>10</v>
      </c>
      <c r="BC44" s="38" t="n">
        <v>7</v>
      </c>
      <c r="BD44" s="38" t="n">
        <v>5</v>
      </c>
      <c r="BE44" s="38" t="n">
        <v>2</v>
      </c>
      <c r="BF44" s="38" t="n">
        <v>2</v>
      </c>
      <c r="BG44" s="38" t="n">
        <v>1</v>
      </c>
      <c r="BH44" s="38" t="n">
        <v>1</v>
      </c>
      <c r="BI44" s="38" t="n">
        <v>1</v>
      </c>
      <c r="BJ44" s="38" t="n">
        <v>1</v>
      </c>
      <c r="BK44" s="38" t="n">
        <v>0</v>
      </c>
      <c r="BL44" s="38" t="n">
        <v>0</v>
      </c>
      <c r="BM44" s="38" t="n">
        <v>0</v>
      </c>
      <c r="BN44" s="38" t="n">
        <v>0</v>
      </c>
      <c r="BO44" s="38" t="n">
        <v>0</v>
      </c>
      <c r="BP44" s="38" t="n">
        <v>5</v>
      </c>
      <c r="BQ44" s="38" t="n">
        <v>5</v>
      </c>
      <c r="BR44" s="261" t="n">
        <v>11</v>
      </c>
      <c r="BS44" s="38" t="n">
        <v>10</v>
      </c>
      <c r="BT44" s="38" t="n"/>
      <c r="BU44" s="38" t="n"/>
      <c r="BV44" s="38" t="n"/>
      <c r="BW44" s="38" t="n">
        <v>13</v>
      </c>
      <c r="BX44" s="38" t="n">
        <v>8</v>
      </c>
      <c r="BY44" s="38" t="n">
        <v>7</v>
      </c>
      <c r="BZ44" s="38" t="n">
        <v>7</v>
      </c>
      <c r="CA44" s="38" t="n">
        <v>7</v>
      </c>
      <c r="CB44" s="154">
        <f>BZ44+IF(NOT(ISBLANK(OFFSET(CB44,0,6))),N(OFFSET(CB44,0,6)),N(OFFSET(CB44,0,7)))-CA44</f>
        <v/>
      </c>
      <c r="CC44" s="53" t="n"/>
      <c r="CD44" s="19" t="n"/>
      <c r="CE44" s="127" t="n"/>
      <c r="CF44" s="19" t="n"/>
      <c r="CG44" s="65" t="n"/>
      <c r="CI44" s="18" t="n">
        <v>0</v>
      </c>
      <c r="CJ44" s="18" t="n"/>
      <c r="CK44" s="18" t="n"/>
      <c r="CL44" s="18" t="n"/>
      <c r="CM44" s="18" t="n"/>
      <c r="CN44" s="18" t="n"/>
      <c r="CO44" s="18" t="n"/>
      <c r="CP44" s="18" t="n"/>
      <c r="CQ44" s="18" t="n"/>
      <c r="CR44" s="18" t="n"/>
      <c r="CS44" s="18" t="n"/>
      <c r="CT44" s="18" t="n"/>
      <c r="CU44" s="18" t="n"/>
      <c r="CV44" s="18" t="n"/>
      <c r="CW44" s="18" t="n"/>
      <c r="CX44" s="18" t="n"/>
      <c r="CY44" s="18" t="n"/>
      <c r="CZ44" s="18" t="n"/>
      <c r="DA44" s="18" t="n"/>
      <c r="DB44" s="18" t="n"/>
      <c r="DC44" s="18" t="n"/>
      <c r="DD44" s="18" t="n"/>
      <c r="DE44" s="18" t="n"/>
      <c r="DF44" s="18" t="n"/>
      <c r="DG44" s="18" t="n"/>
      <c r="DH44" s="18" t="n"/>
      <c r="DI44" s="18" t="n"/>
      <c r="DJ44" s="18" t="n"/>
      <c r="DK44" s="18" t="n"/>
      <c r="DL44" s="18" t="n"/>
      <c r="DM44" s="18" t="n"/>
      <c r="DN44" s="18" t="n"/>
      <c r="DO44" s="18" t="n"/>
      <c r="DP44" s="18" t="n"/>
      <c r="DQ44" s="18" t="n"/>
      <c r="DR44" s="18" t="n"/>
      <c r="DS44" s="18" t="n"/>
      <c r="DT44" s="18" t="n"/>
      <c r="DU44" s="18" t="n"/>
      <c r="DV44" s="18" t="n"/>
      <c r="DW44" s="18" t="n"/>
      <c r="DX44" s="18" t="n"/>
      <c r="DY44" s="18" t="n"/>
      <c r="DZ44" s="18" t="n"/>
      <c r="EA44" s="18" t="n"/>
      <c r="EB44" s="18" t="n"/>
      <c r="EC44" s="154" t="inlineStr">
        <is>
          <t>200 DE ER PBE</t>
        </is>
      </c>
      <c r="ED44" s="18" t="n"/>
      <c r="EE44" s="18" t="n"/>
      <c r="EF44" s="18" t="n"/>
      <c r="EG44" s="18" t="n"/>
      <c r="EH44" s="18" t="n"/>
      <c r="EI44" s="18" t="n"/>
      <c r="EJ44" s="18" t="n"/>
      <c r="EK44" s="18" t="n"/>
      <c r="EL44" s="18" t="n"/>
      <c r="EM44" s="18" t="n"/>
      <c r="EN44" s="18" t="n"/>
      <c r="EO44" s="18" t="n"/>
      <c r="EP44" s="256" t="n"/>
      <c r="EQ44" s="18" t="n"/>
      <c r="ER44" s="18" t="n"/>
      <c r="ES44" s="260" t="n"/>
      <c r="ET44" s="260" t="n"/>
      <c r="EU44" s="18" t="n"/>
      <c r="EV44" s="18" t="n"/>
      <c r="EW44" s="260" t="n"/>
      <c r="EX44" s="260" t="n"/>
      <c r="EY44" s="18" t="n"/>
      <c r="EZ44" s="260" t="n"/>
      <c r="FA44" s="18" t="n"/>
      <c r="FB44" s="260" t="n"/>
      <c r="FC44" s="260" t="n"/>
      <c r="FD44" s="256" t="n"/>
      <c r="FE44" s="260" t="n"/>
      <c r="FF44" s="260" t="n"/>
      <c r="FG44" s="18" t="n"/>
      <c r="FH44" s="18" t="n"/>
      <c r="FI44" s="18" t="n"/>
      <c r="FJ44" s="18" t="n"/>
      <c r="FK44" s="18" t="n"/>
      <c r="FL44" s="18" t="n"/>
      <c r="FM44" s="18" t="n">
        <v>400</v>
      </c>
      <c r="FN44" s="18" t="n"/>
      <c r="FO44" s="18" t="n"/>
      <c r="FP44" s="18" t="n"/>
      <c r="FQ44" s="18" t="n"/>
      <c r="FR44" s="18" t="n"/>
      <c r="FS44" s="18" t="n"/>
      <c r="FT44" s="256" t="n"/>
      <c r="FU44" s="18" t="n"/>
      <c r="FV44" s="18" t="n"/>
      <c r="FW44" s="18" t="n"/>
      <c r="FX44" s="18" t="n"/>
      <c r="FY44" s="18" t="n"/>
      <c r="FZ44" s="239" t="inlineStr">
        <is>
          <t>400 P/ ER</t>
        </is>
      </c>
      <c r="GA44" s="18" t="n"/>
      <c r="GB44" s="18" t="n"/>
      <c r="GC44" s="18" t="n"/>
      <c r="GD44" s="260" t="n"/>
      <c r="GE44" s="260" t="n"/>
      <c r="GF44" s="260" t="n"/>
      <c r="GG44" s="18" t="n"/>
      <c r="GH44" s="239" t="inlineStr">
        <is>
          <t>200 P/ ER</t>
        </is>
      </c>
      <c r="GI44" s="18" t="n"/>
      <c r="GJ44" s="18" t="n"/>
      <c r="GK44" s="18" t="n">
        <v>200</v>
      </c>
      <c r="GL44" s="18" t="n"/>
      <c r="GM44" s="18" t="n"/>
      <c r="GN44" s="18" t="n"/>
    </row>
    <row r="45" ht="18.75" customHeight="1">
      <c r="A45" s="43" t="inlineStr">
        <is>
          <t>SACO M OUI (BRINDE)</t>
        </is>
      </c>
      <c r="B45" s="36" t="n">
        <v>200</v>
      </c>
      <c r="C45" s="662" t="n">
        <v>249.78</v>
      </c>
      <c r="D45" s="329" t="n">
        <v>50</v>
      </c>
      <c r="F45" s="38" t="n">
        <v>498</v>
      </c>
      <c r="G45" s="38">
        <f>498+GK44</f>
        <v/>
      </c>
      <c r="H45" s="38">
        <f>698-200</f>
        <v/>
      </c>
      <c r="I45" s="38" t="n">
        <v>498</v>
      </c>
      <c r="J45" s="38" t="n">
        <v>498</v>
      </c>
      <c r="K45" s="38" t="n">
        <v>498</v>
      </c>
      <c r="L45" s="38" t="n">
        <v>606</v>
      </c>
      <c r="M45" s="38">
        <f>606-400</f>
        <v/>
      </c>
      <c r="N45" s="38" t="n">
        <v>206</v>
      </c>
      <c r="O45" s="38" t="n">
        <v>206</v>
      </c>
      <c r="P45" s="38" t="n">
        <v>206</v>
      </c>
      <c r="Q45" s="38" t="n">
        <v>206</v>
      </c>
      <c r="R45" s="38" t="n">
        <v>206</v>
      </c>
      <c r="S45" s="38" t="n">
        <v>0</v>
      </c>
      <c r="T45" s="38">
        <f>0+FM44</f>
        <v/>
      </c>
      <c r="U45" s="38" t="n">
        <v>400</v>
      </c>
      <c r="V45" s="38" t="n">
        <v>400</v>
      </c>
      <c r="W45" s="38" t="n">
        <v>400</v>
      </c>
      <c r="X45" s="38" t="n">
        <v>400</v>
      </c>
      <c r="Y45" s="38" t="n">
        <v>400</v>
      </c>
      <c r="Z45" s="38" t="n">
        <v>400</v>
      </c>
      <c r="AA45" s="38" t="n">
        <v>400</v>
      </c>
      <c r="AB45" s="38" t="n">
        <v>400</v>
      </c>
      <c r="AC45" s="38" t="n">
        <v>400</v>
      </c>
      <c r="AD45" s="38" t="n">
        <v>400</v>
      </c>
      <c r="AE45" s="38" t="n">
        <v>400</v>
      </c>
      <c r="AF45" s="38" t="n">
        <v>400</v>
      </c>
      <c r="AG45" s="38" t="n">
        <v>400</v>
      </c>
      <c r="AH45" s="38" t="n">
        <v>400</v>
      </c>
      <c r="AI45" s="38" t="n">
        <v>200</v>
      </c>
      <c r="AJ45" s="38" t="n">
        <v>200</v>
      </c>
      <c r="AK45" s="38" t="n">
        <v>200</v>
      </c>
      <c r="AL45" s="38">
        <f>200+200</f>
        <v/>
      </c>
      <c r="AM45" s="38" t="n">
        <v>400</v>
      </c>
      <c r="AN45" s="38" t="n">
        <v>400</v>
      </c>
      <c r="AO45" s="38" t="n">
        <v>400</v>
      </c>
      <c r="AP45" s="38" t="n">
        <v>400</v>
      </c>
      <c r="AQ45" s="38" t="n">
        <v>400</v>
      </c>
      <c r="AR45" s="38" t="n">
        <v>400</v>
      </c>
      <c r="AS45" s="38" t="n">
        <v>400</v>
      </c>
      <c r="AT45" s="38" t="n">
        <v>400</v>
      </c>
      <c r="AU45" s="38" t="n">
        <v>400</v>
      </c>
      <c r="AV45" s="38" t="n">
        <v>400</v>
      </c>
      <c r="AW45" s="38" t="n">
        <v>400</v>
      </c>
      <c r="AX45" s="38" t="n">
        <v>400</v>
      </c>
      <c r="AY45" s="38" t="n">
        <v>400</v>
      </c>
      <c r="AZ45" s="38" t="n">
        <v>400</v>
      </c>
      <c r="BA45" s="38" t="n">
        <v>400</v>
      </c>
      <c r="BB45" s="38" t="n">
        <v>400</v>
      </c>
      <c r="BC45" s="38" t="n">
        <v>400</v>
      </c>
      <c r="BD45" s="38" t="n">
        <v>400</v>
      </c>
      <c r="BE45" s="38" t="n">
        <v>400</v>
      </c>
      <c r="BF45" s="38" t="n">
        <v>400</v>
      </c>
      <c r="BG45" s="38" t="n">
        <v>400</v>
      </c>
      <c r="BH45" s="38" t="n">
        <v>400</v>
      </c>
      <c r="BI45" s="38" t="n">
        <v>400</v>
      </c>
      <c r="BJ45" s="38" t="n">
        <v>400</v>
      </c>
      <c r="BK45" s="38" t="n">
        <v>400</v>
      </c>
      <c r="BL45" s="38" t="n">
        <v>400</v>
      </c>
      <c r="BM45" s="38" t="n">
        <v>400</v>
      </c>
      <c r="BN45" s="38">
        <f>400-200</f>
        <v/>
      </c>
      <c r="BO45" s="38" t="n">
        <v>200</v>
      </c>
      <c r="BP45" s="38" t="n">
        <v>200</v>
      </c>
      <c r="BQ45" s="38" t="n">
        <v>200</v>
      </c>
      <c r="BR45" s="38" t="n">
        <v>200</v>
      </c>
      <c r="BS45" s="38" t="n">
        <v>200</v>
      </c>
      <c r="BT45" s="38" t="n">
        <v>200</v>
      </c>
      <c r="BU45" s="38" t="n">
        <v>200</v>
      </c>
      <c r="BV45" s="38" t="n">
        <v>0</v>
      </c>
      <c r="BW45" s="38" t="n">
        <v>0</v>
      </c>
      <c r="BX45" s="38" t="n">
        <v>0</v>
      </c>
      <c r="BY45" s="38">
        <f>0+CI45</f>
        <v/>
      </c>
      <c r="BZ45" s="38" t="n"/>
      <c r="CA45" s="38" t="n"/>
      <c r="CB45" s="154">
        <f>BZ45+IF(NOT(ISBLANK(OFFSET(CB45,0,6))),N(OFFSET(CB45,0,6)),N(OFFSET(CB45,0,7)))-CA45</f>
        <v/>
      </c>
      <c r="CD45" s="128" t="n"/>
      <c r="CE45" s="127" t="n"/>
      <c r="CF45" s="128" t="n"/>
      <c r="CG45" s="27" t="n"/>
      <c r="CI45" s="18" t="n">
        <v>200</v>
      </c>
      <c r="CJ45" s="18" t="n"/>
      <c r="CK45" s="18" t="n"/>
      <c r="CL45" s="18" t="n"/>
      <c r="CM45" s="18" t="n"/>
      <c r="CN45" s="18" t="n"/>
      <c r="CO45" s="18" t="n"/>
      <c r="CP45" s="18" t="n"/>
      <c r="CQ45" s="154" t="inlineStr">
        <is>
          <t>200 P/ ER PG</t>
        </is>
      </c>
      <c r="CR45" s="18" t="n"/>
      <c r="CS45" s="18" t="n"/>
      <c r="CT45" s="18" t="n"/>
      <c r="CU45" s="18" t="n"/>
      <c r="CV45" s="18" t="n"/>
      <c r="CW45" s="18" t="n"/>
      <c r="CX45" s="18" t="n"/>
      <c r="CY45" s="18" t="n"/>
      <c r="CZ45" s="18" t="n"/>
      <c r="DA45" s="18" t="n"/>
      <c r="DB45" s="18" t="n"/>
      <c r="DC45" s="18" t="n"/>
      <c r="DD45" s="18" t="n"/>
      <c r="DE45" s="18" t="n"/>
      <c r="DF45" s="18" t="n"/>
      <c r="DG45" s="18" t="n"/>
      <c r="DH45" s="18" t="n"/>
      <c r="DI45" s="18" t="n"/>
      <c r="DJ45" s="18" t="n"/>
      <c r="DK45" s="18" t="n"/>
      <c r="DL45" s="18" t="n"/>
      <c r="DM45" s="18" t="n"/>
      <c r="DN45" s="18" t="n"/>
      <c r="DO45" s="18" t="n"/>
      <c r="DP45" s="18" t="n"/>
      <c r="DQ45" s="18" t="n"/>
    </row>
    <row r="46" ht="18.75" customHeight="1">
      <c r="A46" s="6" t="n"/>
      <c r="CD46" s="69" t="n"/>
      <c r="CE46" s="69" t="n"/>
      <c r="CF46" s="69" t="n"/>
      <c r="DO46" s="56" t="n"/>
      <c r="DR46" s="654" t="n">
        <v>45915</v>
      </c>
      <c r="DS46" s="654" t="n">
        <v>45909</v>
      </c>
      <c r="DT46" s="654" t="n">
        <v>45903</v>
      </c>
      <c r="DU46" s="654" t="n">
        <v>45903</v>
      </c>
      <c r="DV46" s="654" t="n">
        <v>45895</v>
      </c>
      <c r="DW46" s="654" t="n">
        <v>45881</v>
      </c>
      <c r="DX46" s="679" t="n">
        <v>45896</v>
      </c>
      <c r="DY46" s="654" t="n">
        <v>45888</v>
      </c>
      <c r="DZ46" s="679" t="n">
        <v>45839</v>
      </c>
      <c r="EA46" s="654" t="n">
        <v>45874</v>
      </c>
      <c r="EB46" s="654" t="n">
        <v>45867</v>
      </c>
      <c r="EC46" s="655" t="n">
        <v>45882</v>
      </c>
      <c r="ED46" s="655" t="n">
        <v>45881</v>
      </c>
      <c r="EE46" s="654" t="n">
        <v>45874</v>
      </c>
      <c r="EF46" s="654" t="n">
        <v>45867</v>
      </c>
      <c r="EG46" s="654" t="n">
        <v>45860</v>
      </c>
      <c r="EH46" s="655" t="n">
        <v>45863</v>
      </c>
      <c r="EI46" s="655" t="n">
        <v>45860</v>
      </c>
      <c r="EJ46" s="654" t="n">
        <v>45860</v>
      </c>
      <c r="EK46" s="654" t="n">
        <v>45853</v>
      </c>
      <c r="EL46" s="681" t="n">
        <v>45855</v>
      </c>
      <c r="EM46" s="654" t="n">
        <v>45848</v>
      </c>
      <c r="EN46" s="654" t="n">
        <v>45839</v>
      </c>
      <c r="EO46" s="654" t="n">
        <v>45832</v>
      </c>
      <c r="EP46" s="650" t="n">
        <v>45842</v>
      </c>
      <c r="EQ46" s="654" t="n">
        <v>45832</v>
      </c>
      <c r="ER46" s="654" t="n">
        <v>45825</v>
      </c>
      <c r="ES46" s="655" t="n">
        <v>45826</v>
      </c>
      <c r="ET46" s="655" t="n">
        <v>45825</v>
      </c>
      <c r="EU46" s="654" t="n">
        <v>45819</v>
      </c>
      <c r="EV46" s="654" t="n">
        <v>45813</v>
      </c>
      <c r="EW46" s="655" t="n">
        <v>45820</v>
      </c>
      <c r="EX46" s="655" t="n">
        <v>45818</v>
      </c>
      <c r="EY46" s="654" t="n">
        <v>45805</v>
      </c>
      <c r="EZ46" s="655" t="n">
        <v>45807</v>
      </c>
      <c r="FA46" s="654" t="n">
        <v>45790</v>
      </c>
      <c r="FB46" s="655" t="n">
        <v>45799</v>
      </c>
      <c r="FC46" s="690" t="n">
        <v>45799</v>
      </c>
      <c r="FD46" s="650" t="n">
        <v>45798</v>
      </c>
      <c r="FE46" s="655" t="n">
        <v>45798</v>
      </c>
      <c r="FF46" s="655" t="n">
        <v>45797</v>
      </c>
      <c r="FG46" s="654" t="n">
        <v>45790</v>
      </c>
      <c r="FH46" s="654" t="n">
        <v>45783</v>
      </c>
      <c r="FI46" s="654" t="n">
        <v>45775</v>
      </c>
      <c r="FJ46" s="654" t="n">
        <v>45756</v>
      </c>
      <c r="FK46" s="654" t="n">
        <v>45770</v>
      </c>
      <c r="FL46" s="654" t="n">
        <v>45756</v>
      </c>
      <c r="FM46" s="654" t="n">
        <v>45749</v>
      </c>
      <c r="FN46" s="654" t="n">
        <v>45736</v>
      </c>
      <c r="FO46" s="654" t="n">
        <v>45743</v>
      </c>
      <c r="FP46" s="654" t="n">
        <v>45735</v>
      </c>
      <c r="FQ46" s="654" t="n">
        <v>45728</v>
      </c>
      <c r="FR46" s="654" t="n">
        <v>45722</v>
      </c>
      <c r="FS46" s="654" t="n">
        <v>45714</v>
      </c>
      <c r="FT46" s="650" t="n">
        <v>45700</v>
      </c>
      <c r="FU46" s="654" t="n">
        <v>45706</v>
      </c>
      <c r="FV46" s="654" t="n">
        <v>45700</v>
      </c>
      <c r="FW46" s="654" t="n">
        <v>45684</v>
      </c>
      <c r="FX46" s="654" t="n">
        <v>45699</v>
      </c>
      <c r="FY46" s="654" t="n">
        <v>45699</v>
      </c>
      <c r="FZ46" s="655" t="n">
        <v>45706</v>
      </c>
      <c r="GA46" s="654" t="n">
        <v>45693</v>
      </c>
      <c r="GB46" s="654" t="n">
        <v>45693</v>
      </c>
      <c r="GC46" s="654" t="n">
        <v>45685</v>
      </c>
      <c r="GD46" s="712" t="n">
        <v>45692</v>
      </c>
      <c r="GE46" s="655" t="n">
        <v>45691</v>
      </c>
      <c r="GF46" s="655" t="n">
        <v>45681</v>
      </c>
      <c r="GG46" s="654" t="n">
        <v>45674</v>
      </c>
      <c r="GH46" s="655" t="n">
        <v>45672</v>
      </c>
      <c r="GI46" s="654" t="n">
        <v>45664</v>
      </c>
      <c r="GJ46" s="654" t="n">
        <v>46008</v>
      </c>
      <c r="GK46" s="654" t="n">
        <v>45660</v>
      </c>
      <c r="GL46" s="654" t="n">
        <v>45652</v>
      </c>
      <c r="GM46" s="654" t="n">
        <v>45638</v>
      </c>
      <c r="GN46" s="654" t="n">
        <v>45643</v>
      </c>
    </row>
    <row r="47" ht="18.75" customHeight="1">
      <c r="A47" s="586" t="inlineStr">
        <is>
          <t>CAIXAS OUI</t>
        </is>
      </c>
      <c r="B47" s="133" t="inlineStr">
        <is>
          <t>MÓD</t>
        </is>
      </c>
      <c r="C47" s="133" t="n"/>
      <c r="D47" s="133" t="n"/>
      <c r="F47" s="650" t="n">
        <v>45656</v>
      </c>
      <c r="G47" s="650" t="n">
        <v>45663</v>
      </c>
      <c r="H47" s="650" t="n">
        <v>45670</v>
      </c>
      <c r="I47" s="650" t="n">
        <v>45677</v>
      </c>
      <c r="J47" s="650" t="n">
        <v>45684</v>
      </c>
      <c r="K47" s="650" t="n">
        <v>45691</v>
      </c>
      <c r="L47" s="650" t="n">
        <v>45698</v>
      </c>
      <c r="M47" s="650" t="n">
        <v>45705</v>
      </c>
      <c r="N47" s="650" t="n">
        <v>45712</v>
      </c>
      <c r="O47" s="650" t="n">
        <v>45719</v>
      </c>
      <c r="P47" s="650" t="n">
        <v>45726</v>
      </c>
      <c r="Q47" s="650" t="n">
        <v>45733</v>
      </c>
      <c r="R47" s="650" t="n">
        <v>45740</v>
      </c>
      <c r="S47" s="650" t="n">
        <v>45747</v>
      </c>
      <c r="T47" s="650" t="n">
        <v>45754</v>
      </c>
      <c r="U47" s="650" t="n">
        <v>45761</v>
      </c>
      <c r="V47" s="650" t="n">
        <v>45768</v>
      </c>
      <c r="W47" s="650" t="n">
        <v>45775</v>
      </c>
      <c r="X47" s="650" t="n">
        <v>45782</v>
      </c>
      <c r="Y47" s="650" t="n">
        <v>45789</v>
      </c>
      <c r="Z47" s="650" t="n">
        <v>45796</v>
      </c>
      <c r="AA47" s="650" t="n">
        <v>45803</v>
      </c>
      <c r="AB47" s="650" t="n">
        <v>45810</v>
      </c>
      <c r="AC47" s="650" t="n">
        <v>45817</v>
      </c>
      <c r="AD47" s="650" t="n">
        <v>45824</v>
      </c>
      <c r="AE47" s="650" t="n">
        <v>45831</v>
      </c>
      <c r="AF47" s="650" t="n">
        <v>45838</v>
      </c>
      <c r="AG47" s="650" t="n">
        <v>45845</v>
      </c>
      <c r="AH47" s="650" t="n">
        <v>45852</v>
      </c>
      <c r="AI47" s="650" t="n">
        <v>45859</v>
      </c>
      <c r="AJ47" s="650" t="n">
        <v>45866</v>
      </c>
      <c r="AK47" s="650" t="n">
        <v>45873</v>
      </c>
      <c r="AL47" s="650" t="n">
        <v>45880</v>
      </c>
      <c r="AM47" s="650" t="n">
        <v>45887</v>
      </c>
      <c r="AN47" s="650" t="n">
        <v>45894</v>
      </c>
      <c r="AO47" s="650" t="n">
        <v>45901</v>
      </c>
      <c r="AP47" s="650" t="n">
        <v>45908</v>
      </c>
      <c r="AQ47" s="650" t="n">
        <v>45915</v>
      </c>
      <c r="AR47" s="650" t="n">
        <v>45922</v>
      </c>
      <c r="AS47" s="650" t="n">
        <v>45929</v>
      </c>
      <c r="AT47" s="650" t="n">
        <v>45936</v>
      </c>
      <c r="AU47" s="650" t="n">
        <v>45943</v>
      </c>
      <c r="AV47" s="650" t="n">
        <v>45950</v>
      </c>
      <c r="AW47" s="650" t="n">
        <v>45957</v>
      </c>
      <c r="AX47" s="650" t="n">
        <v>45964</v>
      </c>
      <c r="AY47" s="650" t="n">
        <v>45971</v>
      </c>
      <c r="AZ47" s="650" t="n">
        <v>45978</v>
      </c>
      <c r="BA47" s="650" t="n">
        <v>45985</v>
      </c>
      <c r="BB47" s="650" t="n">
        <v>45992</v>
      </c>
      <c r="BC47" s="650" t="n">
        <v>45999</v>
      </c>
      <c r="BD47" s="650" t="n">
        <v>46006</v>
      </c>
      <c r="BE47" s="650" t="n">
        <v>46013</v>
      </c>
      <c r="BF47" s="650" t="n">
        <v>46020</v>
      </c>
      <c r="BG47" s="650" t="n">
        <v>46027</v>
      </c>
      <c r="BH47" s="650" t="n">
        <v>46034</v>
      </c>
      <c r="BI47" s="650" t="n">
        <v>46041</v>
      </c>
      <c r="BJ47" s="650" t="n">
        <v>46048</v>
      </c>
      <c r="BK47" s="650" t="n">
        <v>46055</v>
      </c>
      <c r="BL47" s="650" t="n">
        <v>46062</v>
      </c>
      <c r="BM47" s="650" t="n">
        <v>46069</v>
      </c>
      <c r="BN47" s="650" t="n">
        <v>46076</v>
      </c>
      <c r="BO47" s="650" t="n">
        <v>46083</v>
      </c>
      <c r="BP47" s="650" t="n">
        <v>46090</v>
      </c>
      <c r="BQ47" s="650" t="n">
        <v>46097</v>
      </c>
      <c r="BR47" s="650" t="n">
        <v>46104</v>
      </c>
      <c r="BS47" s="650" t="n">
        <v>46111</v>
      </c>
      <c r="BT47" s="650" t="n">
        <v>46118</v>
      </c>
      <c r="BU47" s="650" t="n">
        <v>46125</v>
      </c>
      <c r="BV47" s="650" t="n">
        <v>46132</v>
      </c>
      <c r="BW47" s="650" t="n">
        <v>46139</v>
      </c>
      <c r="BX47" s="650" t="n">
        <v>46146</v>
      </c>
      <c r="BY47" s="650" t="n">
        <v>46154</v>
      </c>
      <c r="BZ47" s="650" t="n">
        <v>46160</v>
      </c>
      <c r="CA47" s="650" t="n">
        <v>46160</v>
      </c>
      <c r="CB47" s="652" t="inlineStr">
        <is>
          <t>USOU</t>
        </is>
      </c>
      <c r="CD47" s="35" t="inlineStr">
        <is>
          <t>Pend.</t>
        </is>
      </c>
      <c r="CE47" s="413" t="inlineStr">
        <is>
          <t>TRANSFERÊNCIA</t>
        </is>
      </c>
      <c r="CF47" s="35" t="inlineStr">
        <is>
          <t>Pend.</t>
        </is>
      </c>
      <c r="CG47" s="12" t="inlineStr">
        <is>
          <t>Novo Pedido</t>
        </is>
      </c>
      <c r="CI47" s="654" t="n">
        <v>46149</v>
      </c>
      <c r="CJ47" s="654" t="n">
        <v>46114</v>
      </c>
      <c r="CK47" s="654" t="n">
        <v>46099</v>
      </c>
      <c r="CL47" s="710" t="n">
        <v>46065</v>
      </c>
      <c r="CM47" s="711" t="n">
        <v>46045</v>
      </c>
      <c r="CN47" s="654" t="n">
        <v>46076</v>
      </c>
      <c r="CO47" s="655" t="n">
        <v>46084</v>
      </c>
      <c r="CP47" s="654" t="n">
        <v>46077</v>
      </c>
      <c r="CQ47" s="655" t="n">
        <v>46077</v>
      </c>
      <c r="CR47" s="654" t="n">
        <v>46071</v>
      </c>
      <c r="CS47" s="654" t="n">
        <v>46071</v>
      </c>
      <c r="CT47" s="654" t="n">
        <v>46056</v>
      </c>
      <c r="CU47" s="654" t="n">
        <v>46043</v>
      </c>
      <c r="CV47" s="654" t="n">
        <v>46035</v>
      </c>
      <c r="CW47" s="654" t="n">
        <v>46029</v>
      </c>
      <c r="CX47" s="654" t="n">
        <v>46017</v>
      </c>
      <c r="CY47" s="654" t="n">
        <v>46001</v>
      </c>
      <c r="CZ47" s="654" t="n">
        <v>46007</v>
      </c>
      <c r="DA47" s="654" t="n">
        <v>45994</v>
      </c>
      <c r="DB47" s="654" t="n">
        <v>45986</v>
      </c>
      <c r="DC47" s="654" t="n">
        <v>45986</v>
      </c>
      <c r="DD47" s="654" t="n">
        <v>45980</v>
      </c>
      <c r="DE47" s="654" t="n">
        <v>45980</v>
      </c>
      <c r="DF47" s="654" t="n">
        <v>45973</v>
      </c>
      <c r="DG47" s="654" t="n">
        <v>45965</v>
      </c>
      <c r="DH47" s="654" t="n">
        <v>45960</v>
      </c>
      <c r="DI47" s="655" t="n">
        <v>45967</v>
      </c>
      <c r="DJ47" s="654" t="n">
        <v>45937</v>
      </c>
      <c r="DK47" s="654" t="n">
        <v>45951</v>
      </c>
      <c r="DL47" s="654" t="n">
        <v>45931</v>
      </c>
      <c r="DM47" s="654" t="n">
        <v>45923</v>
      </c>
      <c r="DN47" s="654" t="n">
        <v>45923</v>
      </c>
      <c r="DO47" s="678" t="n">
        <v>45903</v>
      </c>
      <c r="DP47" s="655" t="n">
        <v>45931</v>
      </c>
      <c r="DQ47" s="688" t="n">
        <v>45931</v>
      </c>
      <c r="DR47" s="18" t="n"/>
      <c r="DS47" s="18" t="n"/>
      <c r="DT47" s="18" t="n"/>
      <c r="DU47" s="18" t="n"/>
      <c r="DV47" s="18" t="n"/>
      <c r="DW47" s="18" t="n"/>
      <c r="DX47" s="18" t="n"/>
      <c r="DY47" s="18" t="n"/>
      <c r="DZ47" s="18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256" t="n"/>
      <c r="EQ47" s="18" t="n"/>
      <c r="ER47" s="18" t="n"/>
      <c r="ES47" s="18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256" t="n"/>
      <c r="FE47" s="18" t="n"/>
      <c r="FF47" s="18" t="n"/>
      <c r="FG47" s="18" t="n"/>
      <c r="FH47" s="18" t="n"/>
      <c r="FI47" s="18" t="n"/>
      <c r="FJ47" s="18" t="n"/>
      <c r="FK47" s="18" t="n"/>
      <c r="FL47" s="18" t="n"/>
      <c r="FM47" s="18" t="n"/>
      <c r="FN47" s="18" t="n"/>
      <c r="FO47" s="18" t="n"/>
      <c r="FP47" s="18" t="n"/>
      <c r="FQ47" s="18" t="n"/>
      <c r="FR47" s="18" t="n"/>
      <c r="FS47" s="18" t="n"/>
      <c r="FT47" s="256" t="n"/>
      <c r="FU47" s="18" t="n"/>
      <c r="FV47" s="18" t="n"/>
      <c r="FW47" s="18" t="n"/>
      <c r="FX47" s="18" t="n"/>
      <c r="FY47" s="18" t="n"/>
      <c r="FZ47" s="18" t="n"/>
      <c r="GA47" s="18" t="n"/>
      <c r="GB47" s="18" t="n"/>
      <c r="GC47" s="18" t="n"/>
      <c r="GD47" s="18" t="n"/>
      <c r="GE47" s="18" t="n"/>
      <c r="GF47" s="18" t="n"/>
      <c r="GG47" s="18" t="n"/>
      <c r="GH47" s="18" t="n"/>
      <c r="GI47" s="18" t="n"/>
      <c r="GJ47" s="18" t="n"/>
      <c r="GK47" s="18" t="n"/>
      <c r="GL47" s="18" t="n"/>
      <c r="GM47" s="18" t="n"/>
      <c r="GN47" s="18" t="n"/>
    </row>
    <row r="48" ht="18.75" customHeight="1">
      <c r="A48" s="43" t="inlineStr">
        <is>
          <t>KIT CAIXA P OUI</t>
        </is>
      </c>
      <c r="B48" s="36" t="n">
        <v>100</v>
      </c>
      <c r="C48" s="668" t="n">
        <v>539.7</v>
      </c>
      <c r="D48" s="329" t="n">
        <v>15</v>
      </c>
      <c r="F48" s="38" t="n">
        <v>39</v>
      </c>
      <c r="G48" s="38" t="n">
        <v>39</v>
      </c>
      <c r="H48" s="38" t="n">
        <v>39</v>
      </c>
      <c r="I48" s="38" t="n">
        <v>39</v>
      </c>
      <c r="J48" s="38" t="n">
        <v>27</v>
      </c>
      <c r="K48" s="38" t="n">
        <v>27</v>
      </c>
      <c r="L48" s="38" t="n">
        <v>26</v>
      </c>
      <c r="M48" s="38" t="n">
        <v>26</v>
      </c>
      <c r="N48" s="38" t="n">
        <v>26</v>
      </c>
      <c r="O48" s="38" t="n">
        <v>26</v>
      </c>
      <c r="P48" s="38" t="n">
        <v>25</v>
      </c>
      <c r="Q48" s="38" t="n">
        <v>25</v>
      </c>
      <c r="R48" s="38" t="n">
        <v>25</v>
      </c>
      <c r="S48" s="38" t="n">
        <v>25</v>
      </c>
      <c r="T48" s="38" t="n">
        <v>25</v>
      </c>
      <c r="U48" s="38" t="n">
        <v>25</v>
      </c>
      <c r="V48" s="38" t="n">
        <v>25</v>
      </c>
      <c r="W48" s="38" t="n">
        <v>25</v>
      </c>
      <c r="X48" s="38" t="n">
        <v>25</v>
      </c>
      <c r="Y48" s="38" t="n">
        <v>23</v>
      </c>
      <c r="Z48" s="38" t="n">
        <v>22</v>
      </c>
      <c r="AA48" s="38" t="n">
        <v>22</v>
      </c>
      <c r="AB48" s="38" t="n">
        <v>20</v>
      </c>
      <c r="AC48" s="38" t="n">
        <v>20</v>
      </c>
      <c r="AD48" s="38" t="n">
        <v>20</v>
      </c>
      <c r="AE48" s="38" t="n">
        <v>20</v>
      </c>
      <c r="AF48" s="38" t="n">
        <v>19</v>
      </c>
      <c r="AG48" s="38" t="n">
        <v>19</v>
      </c>
      <c r="AH48" s="38" t="n">
        <v>19</v>
      </c>
      <c r="AI48" s="38" t="n">
        <v>19</v>
      </c>
      <c r="AJ48" s="38" t="n">
        <v>19</v>
      </c>
      <c r="AK48" s="38" t="n">
        <v>18</v>
      </c>
      <c r="AL48" s="38" t="n">
        <v>18</v>
      </c>
      <c r="AM48" s="38" t="n">
        <v>18</v>
      </c>
      <c r="AN48" s="38" t="n">
        <v>18</v>
      </c>
      <c r="AO48" s="38" t="n">
        <v>18</v>
      </c>
      <c r="AP48" s="38" t="n">
        <v>18</v>
      </c>
      <c r="AQ48" s="38" t="n">
        <v>18</v>
      </c>
      <c r="AR48" s="38" t="n">
        <v>18</v>
      </c>
      <c r="AS48" s="38" t="n">
        <v>18</v>
      </c>
      <c r="AT48" s="38" t="n">
        <v>18</v>
      </c>
      <c r="AU48" s="38" t="n">
        <v>18</v>
      </c>
      <c r="AV48" s="38" t="n">
        <v>17</v>
      </c>
      <c r="AW48" s="38" t="n">
        <v>17</v>
      </c>
      <c r="AX48" s="38" t="n">
        <v>17</v>
      </c>
      <c r="AY48" s="38" t="n">
        <v>17</v>
      </c>
      <c r="AZ48" s="38" t="n">
        <v>17</v>
      </c>
      <c r="BA48" s="38" t="n">
        <v>17</v>
      </c>
      <c r="BB48" s="38" t="n">
        <v>17</v>
      </c>
      <c r="BC48" s="38" t="n">
        <v>16</v>
      </c>
      <c r="BD48" s="38" t="n">
        <v>16</v>
      </c>
      <c r="BE48" s="38" t="n">
        <v>16</v>
      </c>
      <c r="BF48" s="38" t="n">
        <v>15</v>
      </c>
      <c r="BG48" s="38" t="n">
        <v>15</v>
      </c>
      <c r="BH48" s="38" t="n">
        <v>15</v>
      </c>
      <c r="BI48" s="38" t="n">
        <v>14</v>
      </c>
      <c r="BJ48" s="38" t="n">
        <v>14</v>
      </c>
      <c r="BK48" s="38" t="n">
        <v>14</v>
      </c>
      <c r="BL48" s="261" t="n">
        <v>21</v>
      </c>
      <c r="BM48" s="38" t="n">
        <v>21</v>
      </c>
      <c r="BN48" s="38" t="n">
        <v>21</v>
      </c>
      <c r="BO48" s="38" t="n">
        <v>21</v>
      </c>
      <c r="BP48" s="38" t="n">
        <v>20</v>
      </c>
      <c r="BQ48" s="38" t="n">
        <v>20</v>
      </c>
      <c r="BR48" s="38" t="n">
        <v>19</v>
      </c>
      <c r="BS48" s="38" t="n">
        <v>19</v>
      </c>
      <c r="BT48" s="38" t="n"/>
      <c r="BU48" s="38" t="n"/>
      <c r="BV48" s="38" t="n"/>
      <c r="BW48" s="38" t="n">
        <v>18</v>
      </c>
      <c r="BX48" s="38" t="n">
        <v>18</v>
      </c>
      <c r="BY48" s="38" t="n">
        <v>19</v>
      </c>
      <c r="BZ48" s="38" t="n">
        <v>19</v>
      </c>
      <c r="CA48" s="38" t="n">
        <v>19</v>
      </c>
      <c r="CB48" s="154">
        <f>BZ48+IF(NOT(ISBLANK(OFFSET(CB48,0,6))),N(OFFSET(CB48,0,6)),N(OFFSET(CB48,0,7)))-CA48</f>
        <v/>
      </c>
      <c r="CD48" s="68" t="n"/>
      <c r="CE48" s="127" t="n"/>
      <c r="CF48" s="68" t="n"/>
      <c r="CG48" s="27" t="n"/>
      <c r="CI48" s="18" t="n">
        <v>0</v>
      </c>
      <c r="CJ48" s="18" t="n"/>
      <c r="CK48" s="18" t="n"/>
      <c r="CL48" s="18" t="n"/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256" t="n"/>
      <c r="EQ48" s="18" t="n"/>
      <c r="ER48" s="18" t="n"/>
      <c r="ES48" s="260" t="n"/>
      <c r="ET48" s="260" t="n"/>
      <c r="EU48" s="18" t="n"/>
      <c r="EV48" s="18" t="n"/>
      <c r="EW48" s="260" t="n"/>
      <c r="EX48" s="260" t="n"/>
      <c r="EY48" s="18" t="n"/>
      <c r="EZ48" s="260" t="n"/>
      <c r="FA48" s="18" t="n"/>
      <c r="FB48" s="260" t="n"/>
      <c r="FC48" s="260" t="n"/>
      <c r="FD48" s="256" t="n"/>
      <c r="FE48" s="260" t="n"/>
      <c r="FF48" s="260" t="n"/>
      <c r="FG48" s="18" t="n"/>
      <c r="FH48" s="18" t="n"/>
      <c r="FI48" s="18" t="n"/>
      <c r="FJ48" s="18" t="n"/>
      <c r="FK48" s="18" t="n">
        <v>100</v>
      </c>
      <c r="FL48" s="18" t="n"/>
      <c r="FM48" s="18" t="n"/>
      <c r="FN48" s="18" t="n"/>
      <c r="FO48" s="18" t="n"/>
      <c r="FP48" s="18" t="n"/>
      <c r="FQ48" s="18" t="n"/>
      <c r="FR48" s="18" t="n"/>
      <c r="FS48" s="18" t="n"/>
      <c r="FT48" s="256" t="n"/>
      <c r="FU48" s="18" t="n"/>
      <c r="FV48" s="18" t="n"/>
      <c r="FW48" s="18" t="n"/>
      <c r="FX48" s="18" t="n"/>
      <c r="FY48" s="18" t="n"/>
      <c r="FZ48" s="260" t="n"/>
      <c r="GA48" s="18" t="n"/>
      <c r="GB48" s="18" t="n"/>
      <c r="GC48" s="18" t="n"/>
      <c r="GD48" s="260" t="n"/>
      <c r="GE48" s="260" t="n"/>
      <c r="GF48" s="260" t="n"/>
      <c r="GG48" s="18" t="n"/>
      <c r="GH48" s="239" t="inlineStr">
        <is>
          <t>10 P/ ER PBE</t>
        </is>
      </c>
      <c r="GI48" s="18" t="n"/>
      <c r="GJ48" s="18" t="n"/>
      <c r="GK48" s="18" t="n"/>
      <c r="GL48" s="18" t="n">
        <v>100</v>
      </c>
      <c r="GM48" s="18" t="n"/>
      <c r="GN48" s="18" t="n"/>
    </row>
    <row r="49" ht="18.75" customHeight="1">
      <c r="A49" s="43" t="inlineStr">
        <is>
          <t>KIT CAIXA M OUI</t>
        </is>
      </c>
      <c r="B49" s="36" t="n">
        <v>100</v>
      </c>
      <c r="C49" s="668" t="n">
        <v>652.05</v>
      </c>
      <c r="D49" s="329" t="n">
        <v>30</v>
      </c>
      <c r="F49" s="38" t="n">
        <v>0</v>
      </c>
      <c r="G49" s="38">
        <f>100-10</f>
        <v/>
      </c>
      <c r="H49" s="38" t="n">
        <v>76</v>
      </c>
      <c r="I49" s="38" t="n">
        <v>76</v>
      </c>
      <c r="J49" s="38" t="n">
        <v>76</v>
      </c>
      <c r="K49" s="38" t="n">
        <v>76</v>
      </c>
      <c r="L49" s="261" t="n">
        <v>86</v>
      </c>
      <c r="M49" s="38" t="n">
        <v>86</v>
      </c>
      <c r="N49" s="38" t="n">
        <v>86</v>
      </c>
      <c r="O49" s="38" t="n">
        <v>86</v>
      </c>
      <c r="P49" s="38" t="n">
        <v>85</v>
      </c>
      <c r="Q49" s="38" t="n">
        <v>83</v>
      </c>
      <c r="R49" s="38" t="n">
        <v>82</v>
      </c>
      <c r="S49" s="38" t="n">
        <v>79</v>
      </c>
      <c r="T49" s="38" t="n">
        <v>75</v>
      </c>
      <c r="U49" s="38" t="n">
        <v>61</v>
      </c>
      <c r="V49" s="38" t="n">
        <v>43</v>
      </c>
      <c r="W49" s="38" t="n">
        <v>35</v>
      </c>
      <c r="X49" s="38" t="n">
        <v>129</v>
      </c>
      <c r="Y49" s="38" t="n">
        <v>115</v>
      </c>
      <c r="Z49" s="38" t="n">
        <v>108</v>
      </c>
      <c r="AA49" s="38" t="n">
        <v>107</v>
      </c>
      <c r="AB49" s="38" t="n">
        <v>99</v>
      </c>
      <c r="AC49" s="38" t="n">
        <v>98</v>
      </c>
      <c r="AD49" s="38" t="n">
        <v>97</v>
      </c>
      <c r="AE49" s="38" t="n">
        <v>97</v>
      </c>
      <c r="AF49" s="38" t="n">
        <v>96</v>
      </c>
      <c r="AG49" s="38" t="n">
        <v>96</v>
      </c>
      <c r="AH49" s="38" t="n">
        <v>94</v>
      </c>
      <c r="AI49" s="38" t="n">
        <v>92</v>
      </c>
      <c r="AJ49" s="38" t="n">
        <v>92</v>
      </c>
      <c r="AK49" s="38" t="n">
        <v>91</v>
      </c>
      <c r="AL49" s="38" t="n">
        <v>87</v>
      </c>
      <c r="AM49" s="38" t="n">
        <v>86</v>
      </c>
      <c r="AN49" s="38" t="n">
        <v>86</v>
      </c>
      <c r="AO49" s="38" t="n">
        <v>86</v>
      </c>
      <c r="AP49" s="38" t="n">
        <v>86</v>
      </c>
      <c r="AQ49" s="38" t="n">
        <v>85</v>
      </c>
      <c r="AR49" s="38" t="n">
        <v>83</v>
      </c>
      <c r="AS49" s="38" t="n">
        <v>80</v>
      </c>
      <c r="AT49" s="38" t="n">
        <v>72</v>
      </c>
      <c r="AU49" s="38" t="n">
        <v>67</v>
      </c>
      <c r="AV49" s="38" t="n">
        <v>64</v>
      </c>
      <c r="AW49" s="38" t="n">
        <v>60</v>
      </c>
      <c r="AX49" s="38" t="n">
        <v>58</v>
      </c>
      <c r="AY49" s="38" t="n">
        <v>51</v>
      </c>
      <c r="AZ49" s="38" t="n">
        <v>48</v>
      </c>
      <c r="BA49" s="38" t="n">
        <v>45</v>
      </c>
      <c r="BB49" s="38" t="n">
        <v>40</v>
      </c>
      <c r="BC49" s="38" t="n">
        <v>36</v>
      </c>
      <c r="BD49" s="38" t="n">
        <v>32</v>
      </c>
      <c r="BE49" s="38" t="n">
        <v>28</v>
      </c>
      <c r="BF49" s="38" t="n">
        <v>22</v>
      </c>
      <c r="BG49" s="38" t="n">
        <v>22</v>
      </c>
      <c r="BH49" s="38" t="n">
        <v>23</v>
      </c>
      <c r="BI49" s="38" t="n">
        <v>23</v>
      </c>
      <c r="BJ49" s="38" t="n">
        <v>23</v>
      </c>
      <c r="BK49" s="38" t="n">
        <v>22</v>
      </c>
      <c r="BL49" s="261" t="n">
        <v>26</v>
      </c>
      <c r="BM49" s="38" t="n">
        <v>26</v>
      </c>
      <c r="BN49" s="38" t="n">
        <v>26</v>
      </c>
      <c r="BO49" s="38" t="n">
        <v>25</v>
      </c>
      <c r="BP49" s="38" t="n">
        <v>25</v>
      </c>
      <c r="BQ49" s="38" t="n">
        <v>25</v>
      </c>
      <c r="BR49" s="38" t="n">
        <v>24</v>
      </c>
      <c r="BS49" s="38" t="n">
        <v>24</v>
      </c>
      <c r="BT49" s="38" t="n"/>
      <c r="BU49" s="38" t="n"/>
      <c r="BV49" s="38" t="n"/>
      <c r="BW49" s="38" t="n">
        <v>21</v>
      </c>
      <c r="BX49" s="38" t="n">
        <v>16</v>
      </c>
      <c r="BY49" s="38" t="n">
        <v>11</v>
      </c>
      <c r="BZ49" s="38" t="n">
        <v>9</v>
      </c>
      <c r="CA49" s="38" t="n">
        <v>9</v>
      </c>
      <c r="CB49" s="154">
        <f>BZ49+IF(NOT(ISBLANK(OFFSET(CB49,0,6))),N(OFFSET(CB49,0,6)),N(OFFSET(CB49,0,7)))-CA49</f>
        <v/>
      </c>
      <c r="CC49" s="53" t="n"/>
      <c r="CD49" s="19" t="n"/>
      <c r="CE49" s="127" t="n"/>
      <c r="CF49" s="19" t="n"/>
      <c r="CG49" s="27" t="n"/>
      <c r="CI49" s="18" t="n">
        <v>0</v>
      </c>
      <c r="CJ49" s="18" t="n"/>
      <c r="CK49" s="18" t="n"/>
      <c r="CL49" s="18" t="n"/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256" t="n"/>
      <c r="EQ49" s="18" t="n"/>
      <c r="ER49" s="18" t="n"/>
      <c r="ES49" s="18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256" t="n"/>
      <c r="FE49" s="18" t="n"/>
      <c r="FF49" s="18" t="n"/>
      <c r="FG49" s="18" t="n"/>
      <c r="FH49" s="18" t="n"/>
      <c r="FI49" s="18" t="n"/>
      <c r="FJ49" s="18" t="n"/>
      <c r="FK49" s="18" t="n"/>
      <c r="FL49" s="18" t="n"/>
      <c r="FM49" s="18" t="n"/>
      <c r="FN49" s="18" t="n"/>
      <c r="FO49" s="18" t="n"/>
      <c r="FP49" s="18" t="n"/>
      <c r="FQ49" s="18" t="n"/>
      <c r="FR49" s="18" t="n"/>
      <c r="FS49" s="18" t="n"/>
      <c r="FT49" s="256" t="n"/>
      <c r="FU49" s="18" t="n"/>
      <c r="FV49" s="18" t="n"/>
      <c r="FW49" s="18" t="n"/>
      <c r="FX49" s="18" t="n"/>
      <c r="FY49" s="18" t="n"/>
      <c r="FZ49" s="18" t="n"/>
      <c r="GA49" s="18" t="n"/>
      <c r="GB49" s="18" t="n"/>
      <c r="GC49" s="18" t="n"/>
      <c r="GD49" s="18" t="n"/>
      <c r="GE49" s="18" t="n"/>
      <c r="GF49" s="18" t="n"/>
      <c r="GG49" s="18" t="n"/>
      <c r="GH49" s="18" t="n"/>
      <c r="GI49" s="18" t="n"/>
      <c r="GJ49" s="18" t="n"/>
      <c r="GK49" s="18" t="n"/>
      <c r="GL49" s="18" t="n"/>
      <c r="GM49" s="18" t="n"/>
      <c r="GN49" s="18" t="n"/>
    </row>
    <row r="50" ht="18.75" customHeight="1">
      <c r="A50" s="43" t="inlineStr">
        <is>
          <t>KIT CAIXA G OUI</t>
        </is>
      </c>
      <c r="B50" s="36" t="n">
        <v>50</v>
      </c>
      <c r="C50" s="668" t="n">
        <v>567.53</v>
      </c>
      <c r="D50" s="329" t="n">
        <v>5</v>
      </c>
      <c r="F50" s="38" t="n">
        <v>43</v>
      </c>
      <c r="G50" s="38" t="n">
        <v>43</v>
      </c>
      <c r="H50" s="38" t="n">
        <v>20</v>
      </c>
      <c r="I50" s="38" t="n">
        <v>20</v>
      </c>
      <c r="J50" s="38" t="n">
        <v>20</v>
      </c>
      <c r="K50" s="38" t="n">
        <v>20</v>
      </c>
      <c r="L50" s="261" t="n">
        <v>21</v>
      </c>
      <c r="M50" s="38" t="n">
        <v>21</v>
      </c>
      <c r="N50" s="38" t="n">
        <v>21</v>
      </c>
      <c r="O50" s="38" t="n">
        <v>21</v>
      </c>
      <c r="P50" s="38" t="n">
        <v>21</v>
      </c>
      <c r="Q50" s="38" t="n">
        <v>20</v>
      </c>
      <c r="R50" s="38" t="n">
        <v>20</v>
      </c>
      <c r="S50" s="38" t="n">
        <v>20</v>
      </c>
      <c r="T50" s="38" t="n">
        <v>20</v>
      </c>
      <c r="U50" s="38" t="n">
        <v>20</v>
      </c>
      <c r="V50" s="38" t="n">
        <v>20</v>
      </c>
      <c r="W50" s="38" t="n">
        <v>20</v>
      </c>
      <c r="X50" s="38" t="n">
        <v>20</v>
      </c>
      <c r="Y50" s="38" t="n">
        <v>19</v>
      </c>
      <c r="Z50" s="38" t="n">
        <v>18</v>
      </c>
      <c r="AA50" s="38" t="n">
        <v>18</v>
      </c>
      <c r="AB50" s="38" t="n">
        <v>18</v>
      </c>
      <c r="AC50" s="38" t="n">
        <v>18</v>
      </c>
      <c r="AD50" s="38" t="n">
        <v>18</v>
      </c>
      <c r="AE50" s="38" t="n">
        <v>18</v>
      </c>
      <c r="AF50" s="38" t="n">
        <v>18</v>
      </c>
      <c r="AG50" s="38" t="n">
        <v>18</v>
      </c>
      <c r="AH50" s="38" t="n">
        <v>18</v>
      </c>
      <c r="AI50" s="38" t="n">
        <v>18</v>
      </c>
      <c r="AJ50" s="38" t="n">
        <v>18</v>
      </c>
      <c r="AK50" s="38" t="n">
        <v>18</v>
      </c>
      <c r="AL50" s="38" t="n">
        <v>18</v>
      </c>
      <c r="AM50" s="38" t="n">
        <v>18</v>
      </c>
      <c r="AN50" s="38" t="n">
        <v>18</v>
      </c>
      <c r="AO50" s="38" t="n">
        <v>18</v>
      </c>
      <c r="AP50" s="38" t="n">
        <v>18</v>
      </c>
      <c r="AQ50" s="38" t="n">
        <v>18</v>
      </c>
      <c r="AR50" s="38" t="n">
        <v>18</v>
      </c>
      <c r="AS50" s="38" t="n">
        <v>18</v>
      </c>
      <c r="AT50" s="38" t="n">
        <v>18</v>
      </c>
      <c r="AU50" s="38" t="n">
        <v>18</v>
      </c>
      <c r="AV50" s="38" t="n">
        <v>18</v>
      </c>
      <c r="AW50" s="38" t="n">
        <v>18</v>
      </c>
      <c r="AX50" s="38" t="n">
        <v>18</v>
      </c>
      <c r="AY50" s="38" t="n">
        <v>18</v>
      </c>
      <c r="AZ50" s="38" t="n">
        <v>18</v>
      </c>
      <c r="BA50" s="38" t="n">
        <v>18</v>
      </c>
      <c r="BB50" s="38" t="n">
        <v>18</v>
      </c>
      <c r="BC50" s="38" t="n">
        <v>18</v>
      </c>
      <c r="BD50" s="38" t="n">
        <v>18</v>
      </c>
      <c r="BE50" s="38" t="n">
        <v>17</v>
      </c>
      <c r="BF50" s="38" t="n">
        <v>17</v>
      </c>
      <c r="BG50" s="38" t="n">
        <v>17</v>
      </c>
      <c r="BH50" s="38" t="n">
        <v>17</v>
      </c>
      <c r="BI50" s="38" t="n">
        <v>17</v>
      </c>
      <c r="BJ50" s="38" t="n">
        <v>17</v>
      </c>
      <c r="BK50" s="38" t="n">
        <v>17</v>
      </c>
      <c r="BL50" s="38" t="n">
        <v>16</v>
      </c>
      <c r="BM50" s="38" t="n">
        <v>16</v>
      </c>
      <c r="BN50" s="38" t="n">
        <v>16</v>
      </c>
      <c r="BO50" s="38" t="n">
        <v>16</v>
      </c>
      <c r="BP50" s="38" t="n">
        <v>16</v>
      </c>
      <c r="BQ50" s="38" t="n">
        <v>15</v>
      </c>
      <c r="BR50" s="38" t="n">
        <v>14</v>
      </c>
      <c r="BS50" s="38" t="n">
        <v>14</v>
      </c>
      <c r="BT50" s="38" t="n"/>
      <c r="BU50" s="38" t="n"/>
      <c r="BV50" s="38" t="n"/>
      <c r="BW50" s="38" t="n">
        <v>15</v>
      </c>
      <c r="BX50" s="38" t="n">
        <v>15</v>
      </c>
      <c r="BY50" s="38" t="n">
        <v>15</v>
      </c>
      <c r="BZ50" s="38" t="n">
        <v>15</v>
      </c>
      <c r="CA50" s="38" t="n">
        <v>15</v>
      </c>
      <c r="CB50" s="154">
        <f>BZ50+IF(NOT(ISBLANK(OFFSET(CB50,0,6))),N(OFFSET(CB50,0,6)),N(OFFSET(CB50,0,7)))-CA50</f>
        <v/>
      </c>
      <c r="CD50" s="19" t="n"/>
      <c r="CE50" s="19" t="n"/>
      <c r="CF50" s="19" t="n"/>
      <c r="CG50" s="65" t="n"/>
      <c r="CI50" s="18" t="n">
        <v>0</v>
      </c>
      <c r="CJ50" s="18" t="n"/>
      <c r="CK50" s="18" t="n"/>
      <c r="CL50" s="18" t="n"/>
      <c r="CM50" s="18" t="n"/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7" t="n"/>
      <c r="DS50" s="17" t="n"/>
      <c r="DT50" s="17" t="n"/>
      <c r="DU50" s="17" t="n"/>
      <c r="DV50" s="17" t="n"/>
      <c r="DW50" s="17" t="n"/>
      <c r="DX50" s="17" t="n"/>
      <c r="DY50" s="17" t="n"/>
      <c r="DZ50" s="17" t="n"/>
      <c r="EA50" s="17" t="n"/>
      <c r="EB50" s="17" t="n"/>
      <c r="EC50" s="17" t="n"/>
      <c r="ED50" s="17" t="n"/>
      <c r="EE50" s="17" t="n"/>
      <c r="EF50" s="17" t="n"/>
      <c r="EG50" s="17" t="n"/>
      <c r="EH50" s="17" t="n"/>
      <c r="EI50" s="17" t="n"/>
      <c r="EJ50" s="17" t="n"/>
      <c r="EK50" s="17" t="n"/>
      <c r="EL50" s="17" t="n"/>
      <c r="EM50" s="17" t="n"/>
      <c r="EN50" s="17" t="n"/>
      <c r="EO50" s="17" t="n"/>
      <c r="EP50" s="271" t="n"/>
      <c r="EQ50" s="17" t="n"/>
      <c r="ER50" s="17" t="n"/>
      <c r="ES50" s="17" t="n"/>
      <c r="ET50" s="17" t="n"/>
      <c r="EU50" s="17" t="n"/>
      <c r="EV50" s="17" t="n"/>
      <c r="EW50" s="17" t="n"/>
      <c r="EX50" s="17" t="n"/>
      <c r="EY50" s="17" t="n"/>
      <c r="EZ50" s="17" t="n"/>
      <c r="FA50" s="17" t="n"/>
      <c r="FB50" s="17" t="n"/>
      <c r="FC50" s="17" t="n"/>
      <c r="FD50" s="271" t="n"/>
      <c r="FE50" s="17" t="n"/>
      <c r="FF50" s="17" t="n"/>
      <c r="FG50" s="17" t="n"/>
      <c r="FH50" s="17" t="n"/>
      <c r="FI50" s="17" t="n"/>
      <c r="FJ50" s="17" t="n"/>
      <c r="FK50" s="17" t="n"/>
      <c r="FL50" s="17" t="n"/>
      <c r="FM50" s="17" t="n"/>
      <c r="FN50" s="17" t="n"/>
      <c r="FO50" s="17" t="n"/>
      <c r="FP50" s="17" t="n"/>
      <c r="FQ50" s="17" t="n"/>
      <c r="FR50" s="17" t="n"/>
      <c r="FS50" s="17" t="n"/>
      <c r="FT50" s="271" t="n"/>
      <c r="FU50" s="17" t="n"/>
      <c r="FV50" s="17" t="n"/>
      <c r="FW50" s="17" t="n"/>
      <c r="FX50" s="17" t="n"/>
      <c r="FY50" s="17" t="n"/>
      <c r="FZ50" s="17" t="n"/>
      <c r="GA50" s="17" t="n"/>
      <c r="GB50" s="17" t="n"/>
      <c r="GC50" s="17" t="n"/>
      <c r="GD50" s="17" t="n"/>
      <c r="GE50" s="17" t="n"/>
      <c r="GF50" s="17" t="n"/>
      <c r="GG50" s="17" t="n"/>
      <c r="GH50" s="17" t="n"/>
      <c r="GI50" s="17" t="n"/>
      <c r="GJ50" s="17" t="n"/>
      <c r="GK50" s="17" t="n"/>
      <c r="GL50" s="17" t="n"/>
      <c r="GM50" s="17" t="n"/>
      <c r="GN50" s="17" t="n"/>
    </row>
    <row r="51" hidden="1" ht="18.75" customHeight="1">
      <c r="B51" s="53" t="n"/>
      <c r="C51" s="724" t="n"/>
      <c r="D51" s="72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  <c r="AA51" s="4" t="n"/>
      <c r="AB51" s="4" t="n"/>
      <c r="AC51" s="4" t="n"/>
      <c r="AD51" s="4" t="n"/>
      <c r="AE51" s="4" t="n"/>
      <c r="AF51" s="4" t="n"/>
      <c r="AG51" s="4" t="n"/>
      <c r="AH51" s="4" t="n"/>
      <c r="AI51" s="4" t="n"/>
      <c r="AJ51" s="4" t="n"/>
      <c r="AK51" s="4" t="n"/>
      <c r="AL51" s="4" t="n"/>
      <c r="AM51" s="4" t="n"/>
      <c r="AN51" s="4" t="n"/>
      <c r="AO51" s="4" t="n"/>
      <c r="AP51" s="4" t="n"/>
      <c r="AQ51" s="4" t="n"/>
      <c r="AR51" s="4" t="n"/>
      <c r="AS51" s="4" t="n"/>
      <c r="AT51" s="4" t="n"/>
      <c r="AU51" s="4" t="n"/>
      <c r="AV51" s="4" t="n"/>
      <c r="AW51" s="4" t="n"/>
      <c r="AX51" s="4" t="n"/>
      <c r="AY51" s="4" t="n"/>
      <c r="AZ51" s="4" t="n"/>
      <c r="BA51" s="4" t="n"/>
      <c r="BB51" s="4" t="n"/>
      <c r="BC51" s="4" t="n"/>
      <c r="BD51" s="4" t="n"/>
      <c r="BE51" s="4" t="n"/>
      <c r="BF51" s="4" t="n"/>
      <c r="BG51" s="4" t="n"/>
      <c r="BH51" s="4" t="n"/>
      <c r="BI51" s="4" t="n"/>
      <c r="BJ51" s="4" t="n"/>
      <c r="BK51" s="4" t="n"/>
      <c r="BL51" s="4" t="n"/>
      <c r="BM51" s="4" t="n"/>
      <c r="BN51" s="4" t="n"/>
      <c r="BO51" s="4" t="n"/>
      <c r="BP51" s="4" t="n"/>
      <c r="BQ51" s="4" t="n"/>
      <c r="BR51" s="4" t="n"/>
      <c r="BS51" s="4" t="n"/>
      <c r="BT51" s="4" t="n"/>
      <c r="BU51" s="4" t="n"/>
      <c r="BV51" s="4" t="n"/>
      <c r="BW51" s="4" t="n"/>
      <c r="BX51" s="4" t="n"/>
      <c r="BY51" s="4" t="n"/>
      <c r="BZ51" s="4" t="n"/>
      <c r="CA51" s="4" t="n"/>
      <c r="CB51" s="4" t="n"/>
      <c r="CD51" s="26" t="n"/>
      <c r="CE51" s="26" t="n"/>
      <c r="CF51" s="26" t="n"/>
      <c r="CG51" s="108" t="n"/>
      <c r="CI51" s="17" t="n"/>
      <c r="CJ51" s="17" t="n"/>
      <c r="CK51" s="17" t="n"/>
      <c r="CL51" s="17" t="n"/>
      <c r="CM51" s="17" t="n"/>
      <c r="CN51" s="17" t="n"/>
      <c r="CO51" s="17" t="n"/>
      <c r="CP51" s="17" t="n"/>
      <c r="CQ51" s="17" t="n"/>
      <c r="CR51" s="17" t="n"/>
      <c r="CS51" s="17" t="n"/>
      <c r="CT51" s="17" t="n"/>
      <c r="CU51" s="17" t="n"/>
      <c r="CV51" s="17" t="n"/>
      <c r="CW51" s="17" t="n"/>
      <c r="CX51" s="17" t="n"/>
      <c r="CY51" s="17" t="n"/>
      <c r="CZ51" s="17" t="n"/>
      <c r="DA51" s="17" t="n"/>
      <c r="DB51" s="17" t="n"/>
      <c r="DC51" s="17" t="n"/>
      <c r="DD51" s="17" t="n"/>
      <c r="DE51" s="17" t="n"/>
      <c r="DF51" s="17" t="n"/>
      <c r="DG51" s="17" t="n"/>
      <c r="DH51" s="17" t="n"/>
      <c r="DI51" s="17" t="n"/>
      <c r="DJ51" s="17" t="n"/>
      <c r="DK51" s="17" t="n"/>
      <c r="DL51" s="17" t="n"/>
      <c r="DM51" s="17" t="n"/>
      <c r="DN51" s="17" t="n"/>
      <c r="DO51" s="6" t="n"/>
      <c r="DP51" s="17" t="n"/>
      <c r="DQ51" s="17" t="n"/>
      <c r="DR51" s="654" t="n"/>
      <c r="DS51" s="654" t="n"/>
      <c r="DT51" s="654" t="n"/>
      <c r="DU51" s="654" t="n"/>
      <c r="DV51" s="654" t="n"/>
      <c r="DW51" s="654" t="n"/>
      <c r="DX51" s="654" t="n"/>
      <c r="DY51" s="654" t="n"/>
      <c r="DZ51" s="654" t="n"/>
      <c r="EA51" s="654" t="n"/>
      <c r="EB51" s="654" t="n"/>
      <c r="EC51" s="654" t="n"/>
      <c r="ED51" s="654" t="n"/>
      <c r="EE51" s="654" t="n"/>
      <c r="EF51" s="654" t="n"/>
      <c r="EG51" s="654" t="n"/>
      <c r="EH51" s="654" t="n"/>
      <c r="EI51" s="654" t="n"/>
      <c r="EJ51" s="654" t="n"/>
      <c r="EK51" s="654" t="n"/>
      <c r="EL51" s="681" t="n">
        <v>45855</v>
      </c>
      <c r="EM51" s="654" t="n"/>
      <c r="EN51" s="654" t="n"/>
      <c r="EO51" s="654" t="n"/>
      <c r="EP51" s="650" t="n">
        <v>45798</v>
      </c>
      <c r="EQ51" s="654" t="n"/>
      <c r="ER51" s="654" t="n"/>
      <c r="ES51" s="655" t="n">
        <v>45807</v>
      </c>
      <c r="ET51" s="655" t="n">
        <v>45807</v>
      </c>
      <c r="EU51" s="654" t="n"/>
      <c r="EV51" s="654" t="n">
        <v>45813</v>
      </c>
      <c r="EW51" s="655" t="n">
        <v>45807</v>
      </c>
      <c r="EX51" s="655" t="n">
        <v>45807</v>
      </c>
      <c r="EY51" s="654" t="n">
        <v>45805</v>
      </c>
      <c r="EZ51" s="655" t="n">
        <v>45807</v>
      </c>
      <c r="FA51" s="654" t="n">
        <v>45790</v>
      </c>
      <c r="FB51" s="655" t="n">
        <v>45799</v>
      </c>
      <c r="FC51" s="690" t="n">
        <v>45799</v>
      </c>
      <c r="FD51" s="650" t="n">
        <v>45798</v>
      </c>
      <c r="FE51" s="655" t="n">
        <v>45798</v>
      </c>
      <c r="FF51" s="655" t="n">
        <v>45797</v>
      </c>
      <c r="FG51" s="654" t="n">
        <v>45790</v>
      </c>
      <c r="FH51" s="654" t="n">
        <v>45783</v>
      </c>
      <c r="FI51" s="654" t="n">
        <v>45775</v>
      </c>
      <c r="FJ51" s="654" t="n">
        <v>45756</v>
      </c>
      <c r="FK51" s="654" t="n">
        <v>45770</v>
      </c>
      <c r="FL51" s="654" t="n">
        <v>45756</v>
      </c>
      <c r="FM51" s="654" t="n">
        <v>45749</v>
      </c>
      <c r="FN51" s="654" t="n">
        <v>45736</v>
      </c>
      <c r="FO51" s="654" t="n">
        <v>45743</v>
      </c>
      <c r="FP51" s="654" t="n">
        <v>45735</v>
      </c>
      <c r="FQ51" s="654" t="n">
        <v>45728</v>
      </c>
      <c r="FR51" s="654" t="n">
        <v>45722</v>
      </c>
      <c r="FS51" s="654" t="n">
        <v>45714</v>
      </c>
      <c r="FT51" s="650" t="n">
        <v>45700</v>
      </c>
      <c r="FU51" s="654" t="n">
        <v>45706</v>
      </c>
      <c r="FV51" s="654" t="n">
        <v>45700</v>
      </c>
      <c r="FW51" s="654" t="n">
        <v>45684</v>
      </c>
      <c r="FX51" s="654" t="n">
        <v>45699</v>
      </c>
      <c r="FY51" s="654" t="n">
        <v>45699</v>
      </c>
      <c r="FZ51" s="655" t="n">
        <v>45706</v>
      </c>
      <c r="GA51" s="654" t="n">
        <v>45693</v>
      </c>
      <c r="GB51" s="654" t="n">
        <v>45693</v>
      </c>
      <c r="GC51" s="654" t="n">
        <v>45685</v>
      </c>
      <c r="GD51" s="712" t="n">
        <v>45692</v>
      </c>
      <c r="GE51" s="655" t="n">
        <v>45691</v>
      </c>
      <c r="GF51" s="655" t="n">
        <v>45681</v>
      </c>
      <c r="GG51" s="654" t="n">
        <v>45674</v>
      </c>
      <c r="GH51" s="655" t="n">
        <v>45672</v>
      </c>
      <c r="GI51" s="654" t="n">
        <v>45664</v>
      </c>
      <c r="GJ51" s="654" t="n">
        <v>46008</v>
      </c>
      <c r="GK51" s="654" t="n">
        <v>45660</v>
      </c>
      <c r="GL51" s="654" t="n">
        <v>45652</v>
      </c>
      <c r="GM51" s="654" t="n">
        <v>45638</v>
      </c>
      <c r="GN51" s="654" t="n">
        <v>45643</v>
      </c>
    </row>
    <row r="52" hidden="1" ht="18.75" customHeight="1">
      <c r="A52" s="585" t="inlineStr">
        <is>
          <t>SACOLAS E CAIXAS QDB</t>
        </is>
      </c>
      <c r="B52" s="135" t="inlineStr">
        <is>
          <t>MÓD</t>
        </is>
      </c>
      <c r="C52" s="135" t="n"/>
      <c r="D52" s="135" t="n"/>
      <c r="F52" s="650" t="n">
        <v>45656</v>
      </c>
      <c r="G52" s="650" t="n">
        <v>45663</v>
      </c>
      <c r="H52" s="650" t="n">
        <v>45670</v>
      </c>
      <c r="I52" s="650" t="n">
        <v>45677</v>
      </c>
      <c r="J52" s="650" t="n">
        <v>45684</v>
      </c>
      <c r="K52" s="650" t="n">
        <v>45691</v>
      </c>
      <c r="L52" s="650" t="n">
        <v>45698</v>
      </c>
      <c r="M52" s="650" t="n">
        <v>45705</v>
      </c>
      <c r="N52" s="650" t="n">
        <v>45712</v>
      </c>
      <c r="O52" s="650" t="n">
        <v>45719</v>
      </c>
      <c r="P52" s="650" t="n">
        <v>45726</v>
      </c>
      <c r="Q52" s="650" t="n">
        <v>45733</v>
      </c>
      <c r="R52" s="650" t="n">
        <v>45740</v>
      </c>
      <c r="S52" s="650" t="n">
        <v>45747</v>
      </c>
      <c r="T52" s="650" t="n">
        <v>45754</v>
      </c>
      <c r="U52" s="650" t="n">
        <v>45761</v>
      </c>
      <c r="V52" s="650" t="n">
        <v>45768</v>
      </c>
      <c r="W52" s="650" t="n">
        <v>45775</v>
      </c>
      <c r="X52" s="650" t="n">
        <v>45782</v>
      </c>
      <c r="Y52" s="650" t="n">
        <v>45789</v>
      </c>
      <c r="Z52" s="650" t="n">
        <v>45796</v>
      </c>
      <c r="AA52" s="650" t="n">
        <v>45803</v>
      </c>
      <c r="AB52" s="650" t="n">
        <v>45810</v>
      </c>
      <c r="AC52" s="650" t="n">
        <v>45817</v>
      </c>
      <c r="AD52" s="650" t="n"/>
      <c r="AE52" s="650" t="n"/>
      <c r="AF52" s="650" t="n"/>
      <c r="AG52" s="650" t="n"/>
      <c r="AH52" s="650" t="n"/>
      <c r="AI52" s="650" t="n"/>
      <c r="AJ52" s="650" t="n"/>
      <c r="AK52" s="650" t="n"/>
      <c r="AL52" s="650" t="n"/>
      <c r="AM52" s="650" t="n"/>
      <c r="AN52" s="650" t="n"/>
      <c r="AO52" s="650" t="n"/>
      <c r="AP52" s="650" t="n"/>
      <c r="AQ52" s="650" t="n"/>
      <c r="AR52" s="650" t="n"/>
      <c r="AS52" s="650" t="n"/>
      <c r="AT52" s="650" t="n"/>
      <c r="AU52" s="650" t="n"/>
      <c r="AV52" s="650" t="n"/>
      <c r="AW52" s="650" t="n"/>
      <c r="AX52" s="650" t="n"/>
      <c r="AY52" s="650" t="n"/>
      <c r="AZ52" s="650" t="n"/>
      <c r="BA52" s="650" t="n"/>
      <c r="BB52" s="650" t="n"/>
      <c r="BC52" s="650" t="n"/>
      <c r="BD52" s="650" t="n"/>
      <c r="BE52" s="650" t="n"/>
      <c r="BF52" s="650" t="n"/>
      <c r="BG52" s="650" t="n"/>
      <c r="BH52" s="650" t="n"/>
      <c r="BI52" s="650" t="n"/>
      <c r="BJ52" s="650" t="n"/>
      <c r="BK52" s="650" t="n"/>
      <c r="BL52" s="650" t="n"/>
      <c r="BM52" s="650" t="n"/>
      <c r="BN52" s="650" t="n"/>
      <c r="BO52" s="650" t="n"/>
      <c r="BP52" s="650" t="n"/>
      <c r="BQ52" s="650" t="n"/>
      <c r="BR52" s="650" t="n"/>
      <c r="BS52" s="650" t="n"/>
      <c r="BT52" s="650" t="n"/>
      <c r="BU52" s="650" t="n"/>
      <c r="BV52" s="650" t="n"/>
      <c r="BW52" s="650" t="n"/>
      <c r="BX52" s="650" t="n"/>
      <c r="BY52" s="650" t="n"/>
      <c r="BZ52" s="650" t="n"/>
      <c r="CA52" s="650" t="n"/>
      <c r="CB52" s="652" t="inlineStr">
        <is>
          <t>USOU</t>
        </is>
      </c>
      <c r="CD52" s="35" t="inlineStr">
        <is>
          <t>Pend.</t>
        </is>
      </c>
      <c r="CE52" s="35" t="inlineStr">
        <is>
          <t>Pend.</t>
        </is>
      </c>
      <c r="CF52" s="35" t="inlineStr">
        <is>
          <t>Pend.</t>
        </is>
      </c>
      <c r="CG52" s="12" t="inlineStr">
        <is>
          <t>Novo Pedido</t>
        </is>
      </c>
      <c r="CI52" s="654" t="n"/>
      <c r="CJ52" s="654" t="n"/>
      <c r="CK52" s="654" t="n"/>
      <c r="CL52" s="654" t="n"/>
      <c r="CM52" s="654" t="n"/>
      <c r="CN52" s="654" t="n"/>
      <c r="CO52" s="654" t="n"/>
      <c r="CP52" s="654" t="n"/>
      <c r="CQ52" s="654" t="n"/>
      <c r="CR52" s="654" t="n"/>
      <c r="CS52" s="654" t="n"/>
      <c r="CT52" s="654" t="n"/>
      <c r="CU52" s="654" t="n"/>
      <c r="CV52" s="654" t="n"/>
      <c r="CW52" s="654" t="n"/>
      <c r="CX52" s="654" t="n"/>
      <c r="CY52" s="654" t="n"/>
      <c r="CZ52" s="654" t="n"/>
      <c r="DA52" s="654" t="n"/>
      <c r="DB52" s="654" t="n"/>
      <c r="DC52" s="654" t="n"/>
      <c r="DD52" s="654" t="n"/>
      <c r="DE52" s="654" t="n"/>
      <c r="DF52" s="654" t="n"/>
      <c r="DG52" s="654" t="n"/>
      <c r="DH52" s="654" t="n"/>
      <c r="DI52" s="654" t="n"/>
      <c r="DJ52" s="654" t="n"/>
      <c r="DK52" s="654" t="n"/>
      <c r="DL52" s="654" t="n"/>
      <c r="DM52" s="654" t="n"/>
      <c r="DN52" s="654" t="n"/>
      <c r="DP52" s="654" t="n"/>
      <c r="DQ52" s="654" t="n"/>
      <c r="DR52" s="18" t="n"/>
      <c r="DS52" s="18" t="n"/>
      <c r="DT52" s="18" t="n"/>
      <c r="DU52" s="18" t="n"/>
      <c r="DV52" s="18" t="n"/>
      <c r="DW52" s="18" t="n"/>
      <c r="DX52" s="18" t="n"/>
      <c r="DY52" s="18" t="n"/>
      <c r="DZ52" s="18" t="n"/>
      <c r="EA52" s="18" t="n"/>
      <c r="EB52" s="18" t="n"/>
      <c r="EC52" s="18" t="n"/>
      <c r="ED52" s="18" t="n"/>
      <c r="EE52" s="18" t="n"/>
      <c r="EF52" s="18" t="n"/>
      <c r="EG52" s="18" t="n"/>
      <c r="EH52" s="18" t="n"/>
      <c r="EI52" s="18" t="n"/>
      <c r="EJ52" s="18" t="n"/>
      <c r="EK52" s="18" t="n"/>
      <c r="EL52" s="18" t="n"/>
      <c r="EM52" s="18" t="n"/>
      <c r="EN52" s="18" t="n"/>
      <c r="EO52" s="18" t="n"/>
      <c r="EP52" s="256" t="n"/>
      <c r="EQ52" s="18" t="n"/>
      <c r="ER52" s="18" t="n"/>
      <c r="ES52" s="18" t="n"/>
      <c r="ET52" s="18" t="n"/>
      <c r="EU52" s="18" t="n"/>
      <c r="EV52" s="18" t="n"/>
      <c r="EW52" s="18" t="n"/>
      <c r="EX52" s="18" t="n"/>
      <c r="EY52" s="18" t="n"/>
      <c r="EZ52" s="18" t="n"/>
      <c r="FA52" s="18" t="n"/>
      <c r="FB52" s="18" t="n"/>
      <c r="FC52" s="18" t="n"/>
      <c r="FD52" s="256" t="n"/>
      <c r="FE52" s="18" t="n"/>
      <c r="FF52" s="18" t="n"/>
      <c r="FG52" s="18" t="n"/>
      <c r="FH52" s="18" t="n"/>
      <c r="FI52" s="18" t="n"/>
      <c r="FJ52" s="18" t="n"/>
      <c r="FK52" s="18" t="n"/>
      <c r="FL52" s="18" t="n"/>
      <c r="FM52" s="18" t="n"/>
      <c r="FN52" s="18" t="n"/>
      <c r="FO52" s="18" t="n"/>
      <c r="FP52" s="18" t="n"/>
      <c r="FQ52" s="18" t="n"/>
      <c r="FR52" s="18" t="n"/>
      <c r="FS52" s="18" t="n"/>
      <c r="FT52" s="256" t="n"/>
      <c r="FU52" s="18" t="n"/>
      <c r="FV52" s="18" t="n"/>
      <c r="FW52" s="18" t="n"/>
      <c r="FX52" s="18" t="n"/>
      <c r="FY52" s="18" t="n"/>
      <c r="FZ52" s="18" t="n"/>
      <c r="GA52" s="18" t="n"/>
      <c r="GB52" s="18" t="n"/>
      <c r="GC52" s="18" t="n"/>
      <c r="GD52" s="18" t="n"/>
      <c r="GE52" s="18" t="n"/>
      <c r="GF52" s="18" t="n"/>
      <c r="GG52" s="18" t="n"/>
      <c r="GH52" s="18" t="n"/>
      <c r="GI52" s="18" t="n"/>
      <c r="GJ52" s="18" t="n"/>
      <c r="GK52" s="18" t="n"/>
      <c r="GL52" s="18" t="n">
        <v>900</v>
      </c>
      <c r="GM52" s="18" t="n"/>
      <c r="GN52" s="18" t="n"/>
    </row>
    <row r="53" hidden="1" ht="18.75" customHeight="1">
      <c r="A53" s="43" t="inlineStr">
        <is>
          <t>SACOLA P QDB</t>
        </is>
      </c>
      <c r="B53" s="149" t="n">
        <v>300</v>
      </c>
      <c r="C53" s="726" t="n">
        <v>187.11</v>
      </c>
      <c r="D53" s="727" t="inlineStr">
        <is>
          <t>Sugiro ter só no ER</t>
        </is>
      </c>
      <c r="F53" s="9" t="n">
        <v>0</v>
      </c>
      <c r="G53" s="9" t="n">
        <v>900</v>
      </c>
      <c r="H53" s="9" t="n">
        <v>900</v>
      </c>
      <c r="I53" s="9" t="n">
        <v>900</v>
      </c>
      <c r="J53" s="9" t="n">
        <v>900</v>
      </c>
      <c r="K53" s="9" t="n">
        <v>900</v>
      </c>
      <c r="L53" s="9" t="n">
        <v>900</v>
      </c>
      <c r="M53" s="9" t="n">
        <v>900</v>
      </c>
      <c r="N53" s="9" t="n">
        <v>900</v>
      </c>
      <c r="O53" s="9" t="n">
        <v>900</v>
      </c>
      <c r="P53" s="9" t="n">
        <v>900</v>
      </c>
      <c r="Q53" s="9" t="n">
        <v>900</v>
      </c>
      <c r="R53" s="9" t="n">
        <v>600</v>
      </c>
      <c r="S53" s="9" t="n">
        <v>600</v>
      </c>
      <c r="T53" s="9" t="n">
        <v>600</v>
      </c>
      <c r="U53" s="9" t="n">
        <v>600</v>
      </c>
      <c r="V53" s="9" t="n">
        <v>600</v>
      </c>
      <c r="W53" s="9" t="n">
        <v>600</v>
      </c>
      <c r="X53" s="9" t="n">
        <v>600</v>
      </c>
      <c r="Y53" s="9" t="n">
        <v>600</v>
      </c>
      <c r="Z53" s="9" t="n">
        <v>600</v>
      </c>
      <c r="AA53" s="9" t="n">
        <v>0</v>
      </c>
      <c r="AB53" s="9" t="n">
        <v>0</v>
      </c>
      <c r="AC53" s="9" t="n">
        <v>0</v>
      </c>
      <c r="AD53" s="9" t="n"/>
      <c r="AE53" s="9" t="n"/>
      <c r="AF53" s="9" t="n"/>
      <c r="AG53" s="9" t="n"/>
      <c r="AH53" s="9" t="n"/>
      <c r="AI53" s="9" t="n"/>
      <c r="AJ53" s="9" t="n"/>
      <c r="AK53" s="9" t="n"/>
      <c r="AL53" s="9" t="n"/>
      <c r="AM53" s="9" t="n"/>
      <c r="AN53" s="9" t="n"/>
      <c r="AO53" s="9" t="n"/>
      <c r="AP53" s="9" t="n"/>
      <c r="AQ53" s="9" t="n"/>
      <c r="AR53" s="9" t="n"/>
      <c r="AS53" s="9" t="n"/>
      <c r="AT53" s="9" t="n"/>
      <c r="AU53" s="9" t="n"/>
      <c r="AV53" s="9" t="n"/>
      <c r="AW53" s="9" t="n"/>
      <c r="AX53" s="9" t="n"/>
      <c r="AY53" s="9" t="n"/>
      <c r="AZ53" s="9" t="n"/>
      <c r="BA53" s="9" t="n"/>
      <c r="BB53" s="9" t="n"/>
      <c r="BC53" s="9" t="n"/>
      <c r="BD53" s="9" t="n"/>
      <c r="BE53" s="9" t="n"/>
      <c r="BF53" s="9" t="n"/>
      <c r="BG53" s="9" t="n"/>
      <c r="BH53" s="9" t="n"/>
      <c r="BI53" s="9" t="n"/>
      <c r="BJ53" s="9" t="n"/>
      <c r="BK53" s="9" t="n"/>
      <c r="BL53" s="9" t="n"/>
      <c r="BM53" s="9" t="n"/>
      <c r="BN53" s="9" t="n"/>
      <c r="BO53" s="9" t="n"/>
      <c r="BP53" s="9" t="n"/>
      <c r="BQ53" s="9" t="n"/>
      <c r="BR53" s="9" t="n"/>
      <c r="BS53" s="9" t="n"/>
      <c r="BT53" s="9" t="n"/>
      <c r="BU53" s="9" t="n"/>
      <c r="BV53" s="9" t="n"/>
      <c r="BW53" s="9" t="n"/>
      <c r="BX53" s="9" t="n"/>
      <c r="BY53" s="9" t="n"/>
      <c r="BZ53" s="9" t="n"/>
      <c r="CA53" s="9" t="n"/>
      <c r="CB53" s="154">
        <f>BZ53+IF(NOT(ISBLANK(OFFSET(CB53,0,6))),N(OFFSET(CB53,0,6)),N(OFFSET(CB53,0,7)))-CA53</f>
        <v/>
      </c>
      <c r="CD53" s="128" t="n"/>
      <c r="CE53" s="728" t="inlineStr">
        <is>
          <t>Ñ VAMOS COMPRAR MAIS</t>
        </is>
      </c>
      <c r="CF53" s="728" t="inlineStr">
        <is>
          <t>Ñ VAMOS COMPRAR MAIS</t>
        </is>
      </c>
      <c r="CG53" s="27" t="n"/>
      <c r="CI53" s="18" t="n"/>
      <c r="CJ53" s="18" t="n"/>
      <c r="CK53" s="18" t="n"/>
      <c r="CL53" s="18" t="n"/>
      <c r="CM53" s="18" t="n"/>
      <c r="CN53" s="18" t="n"/>
      <c r="CO53" s="18" t="n"/>
      <c r="CP53" s="18" t="n"/>
      <c r="CQ53" s="18" t="n"/>
      <c r="CR53" s="18" t="n"/>
      <c r="CS53" s="18" t="n"/>
      <c r="CT53" s="18" t="n"/>
      <c r="CU53" s="18" t="n"/>
      <c r="CV53" s="18" t="n"/>
      <c r="CW53" s="18" t="n"/>
      <c r="CX53" s="18" t="n"/>
      <c r="CY53" s="18" t="n"/>
      <c r="CZ53" s="18" t="n"/>
      <c r="DA53" s="18" t="n"/>
      <c r="DB53" s="18" t="n"/>
      <c r="DC53" s="18" t="n"/>
      <c r="DD53" s="18" t="n"/>
      <c r="DE53" s="18" t="n"/>
      <c r="DF53" s="18" t="n"/>
      <c r="DG53" s="18" t="n"/>
      <c r="DH53" s="18" t="n"/>
      <c r="DI53" s="18" t="n"/>
      <c r="DJ53" s="18" t="n"/>
      <c r="DK53" s="18" t="n"/>
      <c r="DL53" s="18" t="n"/>
      <c r="DM53" s="18" t="n"/>
      <c r="DN53" s="18" t="n"/>
      <c r="DO53" s="678" t="n">
        <v>45903</v>
      </c>
      <c r="DP53" s="18" t="n"/>
      <c r="DQ53" s="18" t="n"/>
      <c r="DR53" s="18" t="n"/>
      <c r="DS53" s="18" t="n"/>
      <c r="DT53" s="18" t="n"/>
      <c r="DU53" s="18" t="n"/>
      <c r="DV53" s="18" t="n"/>
      <c r="DW53" s="18" t="n"/>
      <c r="DX53" s="18" t="n"/>
      <c r="DY53" s="18" t="n"/>
      <c r="DZ53" s="18" t="n"/>
      <c r="EA53" s="18" t="n"/>
      <c r="EB53" s="18" t="n"/>
      <c r="EC53" s="18" t="n"/>
      <c r="ED53" s="18" t="n"/>
      <c r="EE53" s="18" t="n"/>
      <c r="EF53" s="18" t="n"/>
      <c r="EG53" s="18" t="n"/>
      <c r="EH53" s="18" t="n"/>
      <c r="EI53" s="18" t="n"/>
      <c r="EJ53" s="18" t="n"/>
      <c r="EK53" s="18" t="n"/>
      <c r="EL53" s="18" t="n"/>
      <c r="EM53" s="18" t="n"/>
      <c r="EN53" s="18" t="n"/>
      <c r="EO53" s="18" t="n"/>
      <c r="EP53" s="256" t="n"/>
      <c r="EQ53" s="18" t="n"/>
      <c r="ER53" s="18" t="n"/>
      <c r="ES53" s="18" t="n"/>
      <c r="ET53" s="18" t="n"/>
      <c r="EU53" s="18" t="n"/>
      <c r="EV53" s="18" t="n"/>
      <c r="EW53" s="18" t="n"/>
      <c r="EX53" s="18" t="n"/>
      <c r="EY53" s="18" t="n"/>
      <c r="EZ53" s="18" t="n"/>
      <c r="FA53" s="18" t="n"/>
      <c r="FB53" s="18" t="n"/>
      <c r="FC53" s="18" t="n"/>
      <c r="FD53" s="256" t="n"/>
      <c r="FE53" s="18" t="n"/>
      <c r="FF53" s="18" t="n"/>
      <c r="FG53" s="18" t="n"/>
      <c r="FH53" s="18" t="n"/>
      <c r="FI53" s="18" t="n"/>
      <c r="FJ53" s="18" t="n"/>
      <c r="FK53" s="18" t="n"/>
      <c r="FL53" s="18" t="n"/>
      <c r="FM53" s="18" t="n"/>
      <c r="FN53" s="18" t="n"/>
      <c r="FO53" s="18" t="n"/>
      <c r="FP53" s="18" t="n"/>
      <c r="FQ53" s="18" t="n"/>
      <c r="FR53" s="18" t="n"/>
      <c r="FS53" s="18" t="n"/>
      <c r="FT53" s="256" t="n"/>
      <c r="FU53" s="18" t="n"/>
      <c r="FV53" s="18" t="n"/>
      <c r="FW53" s="18" t="n"/>
      <c r="FX53" s="18" t="n"/>
      <c r="FY53" s="18" t="n"/>
      <c r="FZ53" s="18" t="n"/>
      <c r="GA53" s="18" t="n"/>
      <c r="GB53" s="18" t="n"/>
      <c r="GC53" s="18" t="n"/>
      <c r="GD53" s="18" t="n"/>
      <c r="GE53" s="18" t="n"/>
      <c r="GF53" s="18" t="n"/>
      <c r="GG53" s="18" t="n"/>
      <c r="GH53" s="18" t="n"/>
      <c r="GI53" s="18" t="n"/>
      <c r="GJ53" s="18" t="n"/>
      <c r="GK53" s="18" t="n"/>
      <c r="GL53" s="18" t="n">
        <v>200</v>
      </c>
      <c r="GM53" s="18" t="n"/>
      <c r="GN53" s="18" t="n"/>
    </row>
    <row r="54" hidden="1" ht="18.75" customHeight="1">
      <c r="A54" s="43" t="inlineStr">
        <is>
          <t>SACOLA M  QDB</t>
        </is>
      </c>
      <c r="B54" s="149" t="n">
        <v>200</v>
      </c>
      <c r="C54" s="726" t="n">
        <v>193.08</v>
      </c>
      <c r="D54" s="729" t="n"/>
      <c r="F54" s="9" t="n">
        <v>400</v>
      </c>
      <c r="G54" s="9" t="n">
        <v>600</v>
      </c>
      <c r="H54" s="9" t="n">
        <v>600</v>
      </c>
      <c r="I54" s="9" t="n">
        <v>600</v>
      </c>
      <c r="J54" s="9" t="n">
        <v>600</v>
      </c>
      <c r="K54" s="9" t="n">
        <v>600</v>
      </c>
      <c r="L54" s="9" t="n">
        <v>600</v>
      </c>
      <c r="M54" s="9" t="n">
        <v>600</v>
      </c>
      <c r="N54" s="9" t="n">
        <v>600</v>
      </c>
      <c r="O54" s="9" t="n">
        <v>600</v>
      </c>
      <c r="P54" s="9" t="n">
        <v>600</v>
      </c>
      <c r="Q54" s="9" t="n">
        <v>600</v>
      </c>
      <c r="R54" s="9" t="n">
        <v>600</v>
      </c>
      <c r="S54" s="9" t="n">
        <v>600</v>
      </c>
      <c r="T54" s="9" t="n">
        <v>600</v>
      </c>
      <c r="U54" s="9" t="n">
        <v>600</v>
      </c>
      <c r="V54" s="9" t="n">
        <v>600</v>
      </c>
      <c r="W54" s="9" t="n">
        <v>600</v>
      </c>
      <c r="X54" s="9" t="n">
        <v>600</v>
      </c>
      <c r="Y54" s="9" t="n">
        <v>600</v>
      </c>
      <c r="Z54" s="9" t="n">
        <v>600</v>
      </c>
      <c r="AA54" s="9" t="n">
        <v>0</v>
      </c>
      <c r="AB54" s="9" t="n">
        <v>0</v>
      </c>
      <c r="AC54" s="9" t="n">
        <v>0</v>
      </c>
      <c r="AD54" s="9" t="n"/>
      <c r="AE54" s="9" t="n"/>
      <c r="AF54" s="9" t="n"/>
      <c r="AG54" s="9" t="n"/>
      <c r="AH54" s="9" t="n"/>
      <c r="AI54" s="9" t="n"/>
      <c r="AJ54" s="9" t="n"/>
      <c r="AK54" s="9" t="n"/>
      <c r="AL54" s="9" t="n"/>
      <c r="AM54" s="9" t="n"/>
      <c r="AN54" s="9" t="n"/>
      <c r="AO54" s="9" t="n"/>
      <c r="AP54" s="9" t="n"/>
      <c r="AQ54" s="9" t="n"/>
      <c r="AR54" s="9" t="n"/>
      <c r="AS54" s="9" t="n"/>
      <c r="AT54" s="9" t="n"/>
      <c r="AU54" s="9" t="n"/>
      <c r="AV54" s="9" t="n"/>
      <c r="AW54" s="9" t="n"/>
      <c r="AX54" s="9" t="n"/>
      <c r="AY54" s="9" t="n"/>
      <c r="AZ54" s="9" t="n"/>
      <c r="BA54" s="9" t="n"/>
      <c r="BB54" s="9" t="n"/>
      <c r="BC54" s="9" t="n"/>
      <c r="BD54" s="9" t="n"/>
      <c r="BE54" s="9" t="n"/>
      <c r="BF54" s="9" t="n"/>
      <c r="BG54" s="9" t="n"/>
      <c r="BH54" s="9" t="n"/>
      <c r="BI54" s="9" t="n"/>
      <c r="BJ54" s="9" t="n"/>
      <c r="BK54" s="9" t="n"/>
      <c r="BL54" s="9" t="n"/>
      <c r="BM54" s="9" t="n"/>
      <c r="BN54" s="9" t="n"/>
      <c r="BO54" s="9" t="n"/>
      <c r="BP54" s="9" t="n"/>
      <c r="BQ54" s="9" t="n"/>
      <c r="BR54" s="9" t="n"/>
      <c r="BS54" s="9" t="n"/>
      <c r="BT54" s="9" t="n"/>
      <c r="BU54" s="9" t="n"/>
      <c r="BV54" s="9" t="n"/>
      <c r="BW54" s="9" t="n"/>
      <c r="BX54" s="9" t="n"/>
      <c r="BY54" s="9" t="n"/>
      <c r="BZ54" s="9" t="n"/>
      <c r="CA54" s="9" t="n"/>
      <c r="CB54" s="154">
        <f>BZ54+IF(NOT(ISBLANK(OFFSET(CB54,0,6))),N(OFFSET(CB54,0,6)),N(OFFSET(CB54,0,7)))-CA54</f>
        <v/>
      </c>
      <c r="CD54" s="128" t="n"/>
      <c r="CE54" s="730" t="n"/>
      <c r="CF54" s="730" t="n"/>
      <c r="CG54" s="27" t="n"/>
      <c r="CI54" s="18" t="n"/>
      <c r="CJ54" s="18" t="n"/>
      <c r="CK54" s="18" t="n"/>
      <c r="CL54" s="18" t="n"/>
      <c r="CM54" s="18" t="n"/>
      <c r="CN54" s="18" t="n"/>
      <c r="CO54" s="18" t="n"/>
      <c r="CP54" s="18" t="n"/>
      <c r="CQ54" s="18" t="n"/>
      <c r="CR54" s="18" t="n"/>
      <c r="CS54" s="18" t="n"/>
      <c r="CT54" s="18" t="n"/>
      <c r="CU54" s="18" t="n"/>
      <c r="CV54" s="18" t="n"/>
      <c r="CW54" s="18" t="n"/>
      <c r="CX54" s="18" t="n"/>
      <c r="CY54" s="18" t="n"/>
      <c r="CZ54" s="18" t="n"/>
      <c r="DA54" s="18" t="n"/>
      <c r="DB54" s="18" t="n"/>
      <c r="DC54" s="18" t="n"/>
      <c r="DD54" s="18" t="n"/>
      <c r="DE54" s="18" t="n"/>
      <c r="DF54" s="18" t="n"/>
      <c r="DG54" s="18" t="n"/>
      <c r="DH54" s="18" t="n"/>
      <c r="DI54" s="18" t="n"/>
      <c r="DJ54" s="18" t="n"/>
      <c r="DK54" s="18" t="n"/>
      <c r="DL54" s="18" t="n"/>
      <c r="DM54" s="18" t="n"/>
      <c r="DN54" s="18" t="n"/>
      <c r="DO54" s="396" t="n"/>
      <c r="DP54" s="18" t="n"/>
      <c r="DQ54" s="18" t="n"/>
      <c r="DR54" s="18" t="n"/>
      <c r="DS54" s="18" t="n"/>
      <c r="DT54" s="18" t="n"/>
      <c r="DU54" s="18" t="n"/>
      <c r="DV54" s="18" t="n"/>
      <c r="DW54" s="18" t="n"/>
      <c r="DX54" s="18" t="n"/>
      <c r="DY54" s="18" t="n"/>
      <c r="DZ54" s="18" t="n"/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256" t="n"/>
      <c r="EQ54" s="18" t="n"/>
      <c r="ER54" s="18" t="n"/>
      <c r="ES54" s="18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239" t="inlineStr">
        <is>
          <t>1400 P/ ER</t>
        </is>
      </c>
      <c r="FC54" s="18" t="n"/>
      <c r="FD54" s="256" t="n"/>
      <c r="FE54" s="18" t="n"/>
      <c r="FF54" s="18" t="n"/>
      <c r="FG54" s="18" t="n"/>
      <c r="FH54" s="18" t="n">
        <v>800</v>
      </c>
      <c r="FI54" s="18" t="n"/>
      <c r="FJ54" s="18" t="n"/>
      <c r="FK54" s="18" t="n"/>
      <c r="FL54" s="18" t="n"/>
      <c r="FM54" s="18" t="n"/>
      <c r="FN54" s="18" t="n"/>
      <c r="FO54" s="18" t="n"/>
      <c r="FP54" s="18" t="n"/>
      <c r="FQ54" s="18" t="n"/>
      <c r="FR54" s="18" t="n"/>
      <c r="FS54" s="18" t="n"/>
      <c r="FT54" s="256" t="n"/>
      <c r="FU54" s="18" t="n"/>
      <c r="FV54" s="18" t="n"/>
      <c r="FW54" s="18" t="n"/>
      <c r="FX54" s="18" t="n"/>
      <c r="FY54" s="18" t="n"/>
      <c r="FZ54" s="18" t="n"/>
      <c r="GA54" s="18" t="n"/>
      <c r="GB54" s="18" t="n"/>
      <c r="GC54" s="18" t="n"/>
      <c r="GD54" s="18" t="n"/>
      <c r="GE54" s="18" t="n"/>
      <c r="GF54" s="18" t="n"/>
      <c r="GG54" s="18" t="n"/>
      <c r="GH54" s="18" t="n"/>
      <c r="GI54" s="18" t="n"/>
      <c r="GJ54" s="18" t="n"/>
      <c r="GK54" s="18" t="n"/>
      <c r="GL54" s="18" t="n"/>
      <c r="GM54" s="18" t="n"/>
      <c r="GN54" s="18" t="n"/>
    </row>
    <row r="55" hidden="1" ht="18.75" customHeight="1">
      <c r="A55" s="43" t="inlineStr">
        <is>
          <t>SACOLA G  QDB</t>
        </is>
      </c>
      <c r="B55" s="149" t="n">
        <v>200</v>
      </c>
      <c r="C55" s="726" t="n">
        <v>253.82</v>
      </c>
      <c r="D55" s="649" t="n"/>
      <c r="F55" s="9" t="n">
        <v>1200</v>
      </c>
      <c r="G55" s="9" t="n">
        <v>1200</v>
      </c>
      <c r="H55" s="9" t="n">
        <v>1200</v>
      </c>
      <c r="I55" s="9" t="n">
        <v>1200</v>
      </c>
      <c r="J55" s="9" t="n">
        <v>1200</v>
      </c>
      <c r="K55" s="9" t="n">
        <v>1200</v>
      </c>
      <c r="L55" s="9" t="n">
        <v>1200</v>
      </c>
      <c r="M55" s="9" t="n">
        <v>1200</v>
      </c>
      <c r="N55" s="9" t="n">
        <v>1200</v>
      </c>
      <c r="O55" s="9" t="n">
        <v>1200</v>
      </c>
      <c r="P55" s="9" t="n">
        <v>1200</v>
      </c>
      <c r="Q55" s="9" t="n">
        <v>1329</v>
      </c>
      <c r="R55" s="9" t="n">
        <v>1329</v>
      </c>
      <c r="S55" s="9" t="n">
        <v>1200</v>
      </c>
      <c r="T55" s="9" t="n">
        <v>1200</v>
      </c>
      <c r="U55" s="9" t="n">
        <v>1200</v>
      </c>
      <c r="V55" s="9" t="n">
        <v>1200</v>
      </c>
      <c r="W55" s="9" t="n">
        <v>1200</v>
      </c>
      <c r="X55" s="9" t="n">
        <v>1200</v>
      </c>
      <c r="Y55" s="9" t="n">
        <v>2000</v>
      </c>
      <c r="Z55" s="9">
        <f>2000-1400</f>
        <v/>
      </c>
      <c r="AA55" s="9" t="n">
        <v>400</v>
      </c>
      <c r="AB55" s="9" t="n">
        <v>0</v>
      </c>
      <c r="AC55" s="9" t="n">
        <v>0</v>
      </c>
      <c r="AD55" s="9" t="n"/>
      <c r="AE55" s="9" t="n"/>
      <c r="AF55" s="9" t="n"/>
      <c r="AG55" s="9" t="n"/>
      <c r="AH55" s="9" t="n"/>
      <c r="AI55" s="9" t="n"/>
      <c r="AJ55" s="9" t="n"/>
      <c r="AK55" s="9" t="n"/>
      <c r="AL55" s="9" t="n"/>
      <c r="AM55" s="9" t="n"/>
      <c r="AN55" s="9" t="n"/>
      <c r="AO55" s="9" t="n"/>
      <c r="AP55" s="9" t="n"/>
      <c r="AQ55" s="9" t="n"/>
      <c r="AR55" s="9" t="n"/>
      <c r="AS55" s="9" t="n"/>
      <c r="AT55" s="9" t="n"/>
      <c r="AU55" s="9" t="n"/>
      <c r="AV55" s="9" t="n"/>
      <c r="AW55" s="9" t="n"/>
      <c r="AX55" s="9" t="n"/>
      <c r="AY55" s="9" t="n"/>
      <c r="AZ55" s="9" t="n"/>
      <c r="BA55" s="9" t="n"/>
      <c r="BB55" s="9" t="n"/>
      <c r="BC55" s="9" t="n"/>
      <c r="BD55" s="9" t="n"/>
      <c r="BE55" s="9" t="n"/>
      <c r="BF55" s="9" t="n"/>
      <c r="BG55" s="9" t="n"/>
      <c r="BH55" s="9" t="n"/>
      <c r="BI55" s="9" t="n"/>
      <c r="BJ55" s="9" t="n"/>
      <c r="BK55" s="9" t="n"/>
      <c r="BL55" s="9" t="n"/>
      <c r="BM55" s="9" t="n"/>
      <c r="BN55" s="9" t="n"/>
      <c r="BO55" s="9" t="n"/>
      <c r="BP55" s="9" t="n"/>
      <c r="BQ55" s="9" t="n"/>
      <c r="BR55" s="9" t="n"/>
      <c r="BS55" s="9" t="n"/>
      <c r="BT55" s="9" t="n"/>
      <c r="BU55" s="9" t="n"/>
      <c r="BV55" s="9" t="n"/>
      <c r="BW55" s="9" t="n"/>
      <c r="BX55" s="9" t="n"/>
      <c r="BY55" s="9" t="n"/>
      <c r="BZ55" s="9" t="n"/>
      <c r="CA55" s="9" t="n"/>
      <c r="CB55" s="154">
        <f>BZ55+IF(NOT(ISBLANK(OFFSET(CB55,0,6))),N(OFFSET(CB55,0,6)),N(OFFSET(CB55,0,7)))-CA55</f>
        <v/>
      </c>
      <c r="CC55" s="6" t="n"/>
      <c r="CD55" s="128" t="n"/>
      <c r="CE55" s="730" t="n"/>
      <c r="CF55" s="730" t="n"/>
      <c r="CG55" s="27" t="n"/>
      <c r="CH55" s="49" t="n"/>
      <c r="CI55" s="18" t="n"/>
      <c r="CJ55" s="18" t="n"/>
      <c r="CK55" s="18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396" t="n"/>
      <c r="DP55" s="18" t="n"/>
      <c r="DQ55" s="18" t="n"/>
      <c r="DR55" s="18" t="n"/>
      <c r="DS55" s="18" t="n"/>
      <c r="DT55" s="18" t="n"/>
      <c r="DU55" s="18" t="n"/>
      <c r="DV55" s="18" t="n"/>
      <c r="DW55" s="18" t="n"/>
      <c r="DX55" s="18" t="n"/>
      <c r="DY55" s="18" t="n"/>
      <c r="DZ55" s="18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251" t="n"/>
      <c r="EQ55" s="18" t="n"/>
      <c r="ER55" s="18" t="n"/>
      <c r="ES55" s="260" t="n"/>
      <c r="ET55" s="260" t="n"/>
      <c r="EU55" s="18" t="n"/>
      <c r="EV55" s="18" t="n"/>
      <c r="EW55" s="260" t="n"/>
      <c r="EX55" s="260" t="n"/>
      <c r="EY55" s="18" t="n"/>
      <c r="EZ55" s="260" t="n"/>
      <c r="FA55" s="18" t="n"/>
      <c r="FB55" s="260" t="n"/>
      <c r="FC55" s="260" t="n"/>
      <c r="FD55" s="251" t="n"/>
      <c r="FE55" s="239" t="inlineStr">
        <is>
          <t>124 P/ ER</t>
        </is>
      </c>
      <c r="FF55" s="260" t="n"/>
      <c r="FG55" s="18" t="n"/>
      <c r="FH55" s="18" t="n"/>
      <c r="FI55" s="18" t="n"/>
      <c r="FJ55" s="18" t="n"/>
      <c r="FK55" s="18" t="n"/>
      <c r="FL55" s="18" t="n"/>
      <c r="FM55" s="18" t="n"/>
      <c r="FN55" s="18" t="n"/>
      <c r="FO55" s="18" t="n"/>
      <c r="FP55" s="18" t="n"/>
      <c r="FQ55" s="18" t="n"/>
      <c r="FR55" s="18" t="n"/>
      <c r="FS55" s="18" t="n"/>
      <c r="FT55" s="251" t="n"/>
      <c r="FU55" s="18" t="n"/>
      <c r="FV55" s="18" t="n"/>
      <c r="FW55" s="18" t="n"/>
      <c r="FX55" s="18" t="n"/>
      <c r="FY55" s="18" t="n"/>
      <c r="FZ55" s="260" t="n"/>
      <c r="GA55" s="18" t="n"/>
      <c r="GB55" s="18" t="n"/>
      <c r="GC55" s="18" t="n"/>
      <c r="GD55" s="260" t="n"/>
      <c r="GE55" s="260" t="n"/>
      <c r="GF55" s="260" t="n"/>
      <c r="GG55" s="18" t="n"/>
      <c r="GH55" s="239" t="inlineStr">
        <is>
          <t>10 P/ ER PBE</t>
        </is>
      </c>
      <c r="GI55" s="18" t="n"/>
      <c r="GJ55" s="18" t="n"/>
      <c r="GK55" s="18" t="n"/>
      <c r="GL55" s="18" t="n">
        <v>150</v>
      </c>
      <c r="GM55" s="18" t="n"/>
      <c r="GN55" s="18" t="n"/>
    </row>
    <row r="56" hidden="1" ht="18.75" customHeight="1">
      <c r="A56" s="43" t="inlineStr">
        <is>
          <t>CAIXA P  QDB</t>
        </is>
      </c>
      <c r="B56" s="149" t="n">
        <v>150</v>
      </c>
      <c r="C56" s="726" t="n">
        <v>306</v>
      </c>
      <c r="D56" s="329" t="n">
        <v>10</v>
      </c>
      <c r="F56" s="9" t="n">
        <v>0</v>
      </c>
      <c r="G56" s="9">
        <f>150-10</f>
        <v/>
      </c>
      <c r="H56" s="9" t="n">
        <v>127</v>
      </c>
      <c r="I56" s="9" t="n">
        <v>127</v>
      </c>
      <c r="J56" s="9" t="n">
        <v>127</v>
      </c>
      <c r="K56" s="9" t="n">
        <v>122</v>
      </c>
      <c r="L56" s="190" t="n">
        <v>132</v>
      </c>
      <c r="M56" s="9" t="n">
        <v>132</v>
      </c>
      <c r="N56" s="9" t="n">
        <v>132</v>
      </c>
      <c r="O56" s="9" t="n">
        <v>132</v>
      </c>
      <c r="P56" s="9" t="n">
        <v>132</v>
      </c>
      <c r="Q56" s="9" t="n">
        <v>131</v>
      </c>
      <c r="R56" s="9" t="n">
        <v>125</v>
      </c>
      <c r="S56" s="9" t="n">
        <v>125</v>
      </c>
      <c r="T56" s="9" t="n">
        <v>125</v>
      </c>
      <c r="U56" s="9" t="n">
        <v>125</v>
      </c>
      <c r="V56" s="9" t="n">
        <v>125</v>
      </c>
      <c r="W56" s="9" t="n">
        <v>125</v>
      </c>
      <c r="X56" s="9" t="n">
        <v>125</v>
      </c>
      <c r="Y56" s="9" t="n">
        <v>125</v>
      </c>
      <c r="Z56" s="9">
        <f>124-124</f>
        <v/>
      </c>
      <c r="AA56" s="9" t="n">
        <v>0</v>
      </c>
      <c r="AB56" s="9" t="n">
        <v>0</v>
      </c>
      <c r="AC56" s="9" t="n">
        <v>0</v>
      </c>
      <c r="AD56" s="9" t="n"/>
      <c r="AE56" s="9" t="n"/>
      <c r="AF56" s="9" t="n"/>
      <c r="AG56" s="9" t="n"/>
      <c r="AH56" s="9" t="n"/>
      <c r="AI56" s="9" t="n"/>
      <c r="AJ56" s="9" t="n"/>
      <c r="AK56" s="9" t="n"/>
      <c r="AL56" s="9" t="n"/>
      <c r="AM56" s="9" t="n"/>
      <c r="AN56" s="9" t="n"/>
      <c r="AO56" s="9" t="n"/>
      <c r="AP56" s="9" t="n"/>
      <c r="AQ56" s="9" t="n"/>
      <c r="AR56" s="9" t="n"/>
      <c r="AS56" s="9" t="n"/>
      <c r="AT56" s="9" t="n"/>
      <c r="AU56" s="9" t="n"/>
      <c r="AV56" s="9" t="n"/>
      <c r="AW56" s="9" t="n"/>
      <c r="AX56" s="9" t="n"/>
      <c r="AY56" s="9" t="n"/>
      <c r="AZ56" s="9" t="n"/>
      <c r="BA56" s="9" t="n"/>
      <c r="BB56" s="9" t="n"/>
      <c r="BC56" s="9" t="n"/>
      <c r="BD56" s="9" t="n"/>
      <c r="BE56" s="9" t="n"/>
      <c r="BF56" s="9" t="n"/>
      <c r="BG56" s="9" t="n"/>
      <c r="BH56" s="9" t="n"/>
      <c r="BI56" s="9" t="n"/>
      <c r="BJ56" s="9" t="n"/>
      <c r="BK56" s="9" t="n"/>
      <c r="BL56" s="9" t="n"/>
      <c r="BM56" s="9" t="n"/>
      <c r="BN56" s="9" t="n"/>
      <c r="BO56" s="9" t="n"/>
      <c r="BP56" s="9" t="n"/>
      <c r="BQ56" s="9" t="n"/>
      <c r="BR56" s="9" t="n"/>
      <c r="BS56" s="9" t="n"/>
      <c r="BT56" s="9" t="n"/>
      <c r="BU56" s="9" t="n"/>
      <c r="BV56" s="9" t="n"/>
      <c r="BW56" s="9" t="n"/>
      <c r="BX56" s="9" t="n"/>
      <c r="BY56" s="9" t="n"/>
      <c r="BZ56" s="9" t="n"/>
      <c r="CA56" s="9" t="n"/>
      <c r="CB56" s="154">
        <f>BZ56+IF(NOT(ISBLANK(OFFSET(CB56,0,6))),N(OFFSET(CB56,0,6)),N(OFFSET(CB56,0,7)))-CA56</f>
        <v/>
      </c>
      <c r="CC56" s="6" t="n"/>
      <c r="CD56" s="128" t="n"/>
      <c r="CE56" s="730" t="n"/>
      <c r="CF56" s="730" t="n"/>
      <c r="CG56" s="27" t="n"/>
      <c r="CH56" s="49" t="n"/>
      <c r="CI56" s="18" t="n"/>
      <c r="CJ56" s="18" t="n"/>
      <c r="CK56" s="18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396" t="n"/>
      <c r="DP56" s="18" t="n"/>
      <c r="DQ56" s="18" t="n"/>
      <c r="DR56" s="18" t="n"/>
      <c r="DS56" s="18" t="n"/>
      <c r="DT56" s="18" t="n"/>
      <c r="DU56" s="18" t="n"/>
      <c r="DV56" s="18" t="n"/>
      <c r="DW56" s="18" t="n"/>
      <c r="DX56" s="18" t="n"/>
      <c r="DY56" s="18" t="n"/>
      <c r="DZ56" s="18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251" t="n"/>
      <c r="EQ56" s="18" t="n"/>
      <c r="ER56" s="18" t="n"/>
      <c r="ES56" s="260" t="n"/>
      <c r="ET56" s="260" t="n"/>
      <c r="EU56" s="18" t="n"/>
      <c r="EV56" s="18" t="n"/>
      <c r="EW56" s="260" t="n"/>
      <c r="EX56" s="260" t="n"/>
      <c r="EY56" s="18" t="n"/>
      <c r="EZ56" s="260" t="n"/>
      <c r="FA56" s="18" t="n"/>
      <c r="FB56" s="260" t="n"/>
      <c r="FC56" s="260" t="n"/>
      <c r="FD56" s="251" t="n"/>
      <c r="FE56" s="239" t="inlineStr">
        <is>
          <t>50 P/ ER</t>
        </is>
      </c>
      <c r="FF56" s="18" t="n"/>
      <c r="FG56" s="18" t="n"/>
      <c r="FH56" s="18" t="n"/>
      <c r="FI56" s="18" t="n"/>
      <c r="FJ56" s="18" t="n"/>
      <c r="FK56" s="18" t="n"/>
      <c r="FL56" s="18" t="n"/>
      <c r="FM56" s="18" t="n"/>
      <c r="FN56" s="18" t="n"/>
      <c r="FO56" s="18" t="n"/>
      <c r="FP56" s="18" t="n"/>
      <c r="FQ56" s="18" t="n"/>
      <c r="FR56" s="18" t="n"/>
      <c r="FS56" s="18" t="n"/>
      <c r="FT56" s="251" t="n"/>
      <c r="FU56" s="18" t="n"/>
      <c r="FV56" s="18" t="n"/>
      <c r="FW56" s="18" t="n"/>
      <c r="FX56" s="18" t="n"/>
      <c r="FY56" s="18" t="n"/>
      <c r="FZ56" s="18" t="n"/>
      <c r="GA56" s="18" t="n"/>
      <c r="GB56" s="18" t="n"/>
      <c r="GC56" s="18" t="n"/>
      <c r="GD56" s="18" t="n"/>
      <c r="GE56" s="18" t="n"/>
      <c r="GF56" s="18" t="n"/>
      <c r="GG56" s="18" t="n"/>
      <c r="GH56" s="18" t="n"/>
      <c r="GI56" s="18" t="n"/>
      <c r="GJ56" s="18" t="n"/>
      <c r="GK56" s="18" t="n"/>
      <c r="GL56" s="18" t="n"/>
      <c r="GM56" s="18" t="n"/>
      <c r="GN56" s="18" t="n"/>
    </row>
    <row r="57" hidden="1" ht="18.75" customHeight="1">
      <c r="A57" s="43" t="inlineStr">
        <is>
          <t>CAIXA M  QDB</t>
        </is>
      </c>
      <c r="B57" s="149" t="n">
        <v>75</v>
      </c>
      <c r="C57" s="726" t="n">
        <v>225.68</v>
      </c>
      <c r="D57" s="329" t="n">
        <v>10</v>
      </c>
      <c r="F57" s="38" t="n">
        <v>40</v>
      </c>
      <c r="G57" s="38" t="n">
        <v>49</v>
      </c>
      <c r="H57" s="38" t="n">
        <v>49</v>
      </c>
      <c r="I57" s="38" t="n">
        <v>49</v>
      </c>
      <c r="J57" s="38" t="n">
        <v>49</v>
      </c>
      <c r="K57" s="38" t="n">
        <v>49</v>
      </c>
      <c r="L57" s="38" t="n">
        <v>49</v>
      </c>
      <c r="M57" s="38" t="n">
        <v>49</v>
      </c>
      <c r="N57" s="38" t="n">
        <v>49</v>
      </c>
      <c r="O57" s="38" t="n">
        <v>49</v>
      </c>
      <c r="P57" s="38" t="n">
        <v>49</v>
      </c>
      <c r="Q57" s="38" t="n">
        <v>49</v>
      </c>
      <c r="R57" s="38" t="n">
        <v>49</v>
      </c>
      <c r="S57" s="38" t="n">
        <v>49</v>
      </c>
      <c r="T57" s="38" t="n">
        <v>50</v>
      </c>
      <c r="U57" s="38" t="n">
        <v>50</v>
      </c>
      <c r="V57" s="38" t="n">
        <v>50</v>
      </c>
      <c r="W57" s="38" t="n">
        <v>50</v>
      </c>
      <c r="X57" s="38" t="n">
        <v>50</v>
      </c>
      <c r="Y57" s="38" t="n">
        <v>50</v>
      </c>
      <c r="Z57" s="38">
        <f>50-50</f>
        <v/>
      </c>
      <c r="AA57" s="38" t="n">
        <v>0</v>
      </c>
      <c r="AB57" s="38" t="n">
        <v>0</v>
      </c>
      <c r="AC57" s="38" t="n">
        <v>0</v>
      </c>
      <c r="AD57" s="38" t="n"/>
      <c r="AE57" s="38" t="n"/>
      <c r="AF57" s="38" t="n"/>
      <c r="AG57" s="38" t="n"/>
      <c r="AH57" s="38" t="n"/>
      <c r="AI57" s="38" t="n"/>
      <c r="AJ57" s="38" t="n"/>
      <c r="AK57" s="38" t="n"/>
      <c r="AL57" s="38" t="n"/>
      <c r="AM57" s="38" t="n"/>
      <c r="AN57" s="38" t="n"/>
      <c r="AO57" s="38" t="n"/>
      <c r="AP57" s="38" t="n"/>
      <c r="AQ57" s="38" t="n"/>
      <c r="AR57" s="38" t="n"/>
      <c r="AS57" s="38" t="n"/>
      <c r="AT57" s="38" t="n"/>
      <c r="AU57" s="38" t="n"/>
      <c r="AV57" s="38" t="n"/>
      <c r="AW57" s="38" t="n"/>
      <c r="AX57" s="38" t="n"/>
      <c r="AY57" s="38" t="n"/>
      <c r="AZ57" s="38" t="n"/>
      <c r="BA57" s="38" t="n"/>
      <c r="BB57" s="38" t="n"/>
      <c r="BC57" s="38" t="n"/>
      <c r="BD57" s="38" t="n"/>
      <c r="BE57" s="38" t="n"/>
      <c r="BF57" s="38" t="n"/>
      <c r="BG57" s="38" t="n"/>
      <c r="BH57" s="38" t="n"/>
      <c r="BI57" s="38" t="n"/>
      <c r="BJ57" s="38" t="n"/>
      <c r="BK57" s="38" t="n"/>
      <c r="BL57" s="38" t="n"/>
      <c r="BM57" s="38" t="n"/>
      <c r="BN57" s="38" t="n"/>
      <c r="BO57" s="38" t="n"/>
      <c r="BP57" s="38" t="n"/>
      <c r="BQ57" s="38" t="n"/>
      <c r="BR57" s="38" t="n"/>
      <c r="BS57" s="38" t="n"/>
      <c r="BT57" s="38" t="n"/>
      <c r="BU57" s="38" t="n"/>
      <c r="BV57" s="38" t="n"/>
      <c r="BW57" s="38" t="n"/>
      <c r="BX57" s="38" t="n"/>
      <c r="BY57" s="38" t="n"/>
      <c r="BZ57" s="38" t="n"/>
      <c r="CA57" s="38" t="n"/>
      <c r="CB57" s="154">
        <f>BZ57+IF(NOT(ISBLANK(OFFSET(CB57,0,6))),N(OFFSET(CB57,0,6)),N(OFFSET(CB57,0,7)))-CA57</f>
        <v/>
      </c>
      <c r="CC57" s="53" t="n"/>
      <c r="CD57" s="19" t="n"/>
      <c r="CE57" s="730" t="n"/>
      <c r="CF57" s="730" t="n"/>
      <c r="CG57" s="27" t="n"/>
      <c r="CH57" s="49" t="n"/>
      <c r="CI57" s="18" t="n"/>
      <c r="CJ57" s="18" t="n"/>
      <c r="CK57" s="18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396" t="n"/>
      <c r="DP57" s="18" t="n"/>
      <c r="DQ57" s="18" t="n"/>
      <c r="DR57" s="18" t="n"/>
      <c r="DS57" s="18" t="n"/>
      <c r="DT57" s="18" t="n"/>
      <c r="DU57" s="18" t="n"/>
      <c r="DV57" s="18" t="n"/>
      <c r="DW57" s="18" t="n"/>
      <c r="DX57" s="18" t="n"/>
      <c r="DY57" s="18" t="n"/>
      <c r="DZ57" s="18" t="n"/>
      <c r="EA57" s="18" t="n"/>
      <c r="EB57" s="18" t="n"/>
      <c r="EC57" s="18" t="n"/>
      <c r="ED57" s="18" t="n"/>
      <c r="EE57" s="18" t="n"/>
      <c r="EF57" s="18" t="n"/>
      <c r="EG57" s="18" t="n"/>
      <c r="EH57" s="18" t="n"/>
      <c r="EI57" s="18" t="n"/>
      <c r="EJ57" s="18" t="n"/>
      <c r="EK57" s="18" t="n"/>
      <c r="EL57" s="18" t="n"/>
      <c r="EM57" s="18" t="n"/>
      <c r="EN57" s="18" t="n"/>
      <c r="EO57" s="18" t="n"/>
      <c r="EP57" s="251" t="n"/>
      <c r="EQ57" s="18" t="n"/>
      <c r="ER57" s="18" t="n"/>
      <c r="ES57" s="260" t="n"/>
      <c r="ET57" s="260" t="n"/>
      <c r="EU57" s="18" t="n"/>
      <c r="EV57" s="18" t="n"/>
      <c r="EW57" s="260" t="n"/>
      <c r="EX57" s="260" t="n"/>
      <c r="EY57" s="18" t="n"/>
      <c r="EZ57" s="260" t="n"/>
      <c r="FA57" s="18" t="n"/>
      <c r="FB57" s="260" t="n"/>
      <c r="FC57" s="260" t="n"/>
      <c r="FD57" s="251" t="n"/>
      <c r="FE57" s="239" t="inlineStr">
        <is>
          <t>138 P/ ER</t>
        </is>
      </c>
      <c r="FF57" s="260" t="n"/>
      <c r="FG57" s="18" t="n"/>
      <c r="FH57" s="18" t="n"/>
      <c r="FI57" s="18" t="n"/>
      <c r="FJ57" s="18" t="n"/>
      <c r="FK57" s="18" t="n"/>
      <c r="FL57" s="18" t="n"/>
      <c r="FM57" s="18" t="n"/>
      <c r="FN57" s="18" t="n"/>
      <c r="FO57" s="18" t="n"/>
      <c r="FP57" s="18" t="n"/>
      <c r="FQ57" s="18" t="n"/>
      <c r="FR57" s="18" t="n"/>
      <c r="FS57" s="18" t="n"/>
      <c r="FT57" s="251" t="n"/>
      <c r="FU57" s="18" t="n"/>
      <c r="FV57" s="18" t="n"/>
      <c r="FW57" s="18" t="n"/>
      <c r="FX57" s="18" t="n"/>
      <c r="FY57" s="18" t="n"/>
      <c r="FZ57" s="260" t="n"/>
      <c r="GA57" s="18" t="n"/>
      <c r="GB57" s="18" t="n"/>
      <c r="GC57" s="18" t="n"/>
      <c r="GD57" s="260" t="n"/>
      <c r="GE57" s="260" t="n"/>
      <c r="GF57" s="260" t="n"/>
      <c r="GG57" s="18" t="n"/>
      <c r="GH57" s="239" t="inlineStr">
        <is>
          <t>10 P/ ER PBE</t>
        </is>
      </c>
      <c r="GI57" s="18" t="n"/>
      <c r="GJ57" s="18" t="n"/>
      <c r="GK57" s="18" t="n"/>
      <c r="GL57" s="18" t="n">
        <v>100</v>
      </c>
      <c r="GM57" s="18" t="n"/>
      <c r="GN57" s="18" t="n"/>
    </row>
    <row r="58" hidden="1" ht="18.75" customHeight="1">
      <c r="A58" s="43" t="inlineStr">
        <is>
          <t>CAIXA G  QDB</t>
        </is>
      </c>
      <c r="B58" s="149" t="n">
        <v>100</v>
      </c>
      <c r="C58" s="726" t="n">
        <v>306</v>
      </c>
      <c r="D58" s="329" t="n">
        <v>5</v>
      </c>
      <c r="F58" s="38" t="n">
        <v>0</v>
      </c>
      <c r="G58" s="38">
        <f>100-10</f>
        <v/>
      </c>
      <c r="H58" s="38" t="n">
        <v>134</v>
      </c>
      <c r="I58" s="38" t="n">
        <v>134</v>
      </c>
      <c r="J58" s="38" t="n">
        <v>134</v>
      </c>
      <c r="K58" s="38" t="n">
        <v>134</v>
      </c>
      <c r="L58" s="261" t="n">
        <v>143</v>
      </c>
      <c r="M58" s="38" t="n">
        <v>143</v>
      </c>
      <c r="N58" s="38" t="n">
        <v>143</v>
      </c>
      <c r="O58" s="38" t="n">
        <v>143</v>
      </c>
      <c r="P58" s="38" t="n">
        <v>143</v>
      </c>
      <c r="Q58" s="38" t="n">
        <v>142</v>
      </c>
      <c r="R58" s="38" t="n">
        <v>141</v>
      </c>
      <c r="S58" s="38" t="n">
        <v>141</v>
      </c>
      <c r="T58" s="38" t="n">
        <v>141</v>
      </c>
      <c r="U58" s="38" t="n">
        <v>141</v>
      </c>
      <c r="V58" s="38" t="n">
        <v>141</v>
      </c>
      <c r="W58" s="38" t="n">
        <v>141</v>
      </c>
      <c r="X58" s="38" t="n">
        <v>141</v>
      </c>
      <c r="Y58" s="38" t="n">
        <v>139</v>
      </c>
      <c r="Z58" s="38">
        <f>138-138</f>
        <v/>
      </c>
      <c r="AA58" s="38" t="n">
        <v>0</v>
      </c>
      <c r="AB58" s="38" t="n">
        <v>0</v>
      </c>
      <c r="AC58" s="38" t="n">
        <v>0</v>
      </c>
      <c r="AD58" s="38" t="n"/>
      <c r="AE58" s="38" t="n"/>
      <c r="AF58" s="38" t="n"/>
      <c r="AG58" s="38" t="n"/>
      <c r="AH58" s="38" t="n"/>
      <c r="AI58" s="38" t="n"/>
      <c r="AJ58" s="38" t="n"/>
      <c r="AK58" s="38" t="n"/>
      <c r="AL58" s="38" t="n"/>
      <c r="AM58" s="38" t="n"/>
      <c r="AN58" s="38" t="n"/>
      <c r="AO58" s="38" t="n"/>
      <c r="AP58" s="38" t="n"/>
      <c r="AQ58" s="38" t="n"/>
      <c r="AR58" s="38" t="n"/>
      <c r="AS58" s="38" t="n"/>
      <c r="AT58" s="38" t="n"/>
      <c r="AU58" s="38" t="n"/>
      <c r="AV58" s="38" t="n"/>
      <c r="AW58" s="38" t="n"/>
      <c r="AX58" s="38" t="n"/>
      <c r="AY58" s="38" t="n"/>
      <c r="AZ58" s="38" t="n"/>
      <c r="BA58" s="38" t="n"/>
      <c r="BB58" s="38" t="n"/>
      <c r="BC58" s="38" t="n"/>
      <c r="BD58" s="38" t="n"/>
      <c r="BE58" s="38" t="n"/>
      <c r="BF58" s="38" t="n"/>
      <c r="BG58" s="38" t="n"/>
      <c r="BH58" s="38" t="n"/>
      <c r="BI58" s="38" t="n"/>
      <c r="BJ58" s="38" t="n"/>
      <c r="BK58" s="38" t="n"/>
      <c r="BL58" s="38" t="n"/>
      <c r="BM58" s="38" t="n"/>
      <c r="BN58" s="38" t="n"/>
      <c r="BO58" s="38" t="n"/>
      <c r="BP58" s="38" t="n"/>
      <c r="BQ58" s="38" t="n"/>
      <c r="BR58" s="38" t="n"/>
      <c r="BS58" s="38" t="n"/>
      <c r="BT58" s="38" t="n"/>
      <c r="BU58" s="38" t="n"/>
      <c r="BV58" s="38" t="n"/>
      <c r="BW58" s="38" t="n"/>
      <c r="BX58" s="38" t="n"/>
      <c r="BY58" s="38" t="n"/>
      <c r="BZ58" s="38" t="n"/>
      <c r="CA58" s="38" t="n"/>
      <c r="CB58" s="154">
        <f>BZ58+IF(NOT(ISBLANK(OFFSET(CB58,0,6))),N(OFFSET(CB58,0,6)),N(OFFSET(CB58,0,7)))-CA58</f>
        <v/>
      </c>
      <c r="CC58" s="6" t="n"/>
      <c r="CD58" s="19" t="n"/>
      <c r="CE58" s="731" t="n"/>
      <c r="CF58" s="731" t="n"/>
      <c r="CG58" s="65" t="n"/>
      <c r="CH58" s="49" t="n"/>
      <c r="CI58" s="18" t="n"/>
      <c r="CJ58" s="18" t="n"/>
      <c r="CK58" s="18" t="n"/>
      <c r="CL58" s="18" t="n"/>
      <c r="CM58" s="18" t="n"/>
      <c r="CN58" s="18" t="n"/>
      <c r="CO58" s="18" t="n"/>
      <c r="CP58" s="18" t="n"/>
      <c r="CQ58" s="18" t="n"/>
      <c r="CR58" s="18" t="n"/>
      <c r="CS58" s="18" t="n"/>
      <c r="CT58" s="18" t="n"/>
      <c r="CU58" s="18" t="n"/>
      <c r="CV58" s="18" t="n"/>
      <c r="CW58" s="18" t="n"/>
      <c r="CX58" s="18" t="n"/>
      <c r="CY58" s="18" t="n"/>
      <c r="CZ58" s="18" t="n"/>
      <c r="DA58" s="18" t="n"/>
      <c r="DB58" s="18" t="n"/>
      <c r="DC58" s="18" t="n"/>
      <c r="DD58" s="18" t="n"/>
      <c r="DE58" s="18" t="n"/>
      <c r="DF58" s="18" t="n"/>
      <c r="DG58" s="18" t="n"/>
      <c r="DH58" s="18" t="n"/>
      <c r="DI58" s="18" t="n"/>
      <c r="DJ58" s="18" t="n"/>
      <c r="DK58" s="18" t="n"/>
      <c r="DL58" s="18" t="n"/>
      <c r="DM58" s="18" t="n"/>
      <c r="DN58" s="18" t="n"/>
      <c r="DO58" s="396" t="n"/>
      <c r="DP58" s="18" t="n"/>
      <c r="DQ58" s="18" t="n"/>
      <c r="EL58" s="18" t="n"/>
      <c r="EP58" s="271" t="n"/>
      <c r="FD58" s="271" t="n"/>
      <c r="FT58" s="271" t="n"/>
    </row>
    <row r="59" ht="18.75" customHeight="1">
      <c r="DO59" s="396" t="n"/>
      <c r="DR59" s="654" t="n">
        <v>45915</v>
      </c>
      <c r="DS59" s="654" t="n">
        <v>45909</v>
      </c>
      <c r="DT59" s="654" t="n">
        <v>45903</v>
      </c>
      <c r="DU59" s="654" t="n">
        <v>45903</v>
      </c>
      <c r="DV59" s="654" t="n">
        <v>45895</v>
      </c>
      <c r="DW59" s="654" t="n">
        <v>45881</v>
      </c>
      <c r="DX59" s="679" t="n">
        <v>45896</v>
      </c>
      <c r="DY59" s="654" t="n">
        <v>45888</v>
      </c>
      <c r="DZ59" s="679" t="n">
        <v>45839</v>
      </c>
      <c r="EA59" s="654" t="n">
        <v>45874</v>
      </c>
      <c r="EB59" s="654" t="n">
        <v>45867</v>
      </c>
      <c r="EC59" s="655" t="n">
        <v>45882</v>
      </c>
      <c r="ED59" s="655" t="n">
        <v>45881</v>
      </c>
      <c r="EE59" s="654" t="n">
        <v>45874</v>
      </c>
      <c r="EF59" s="654" t="n">
        <v>45867</v>
      </c>
      <c r="EG59" s="654" t="n">
        <v>45860</v>
      </c>
      <c r="EH59" s="655" t="n">
        <v>45863</v>
      </c>
      <c r="EI59" s="655" t="n">
        <v>45860</v>
      </c>
      <c r="EJ59" s="654" t="n">
        <v>45860</v>
      </c>
      <c r="EK59" s="654" t="n">
        <v>45853</v>
      </c>
      <c r="EL59" s="681" t="n">
        <v>45855</v>
      </c>
      <c r="EM59" s="654" t="n">
        <v>45848</v>
      </c>
      <c r="EN59" s="654" t="n">
        <v>45839</v>
      </c>
      <c r="EO59" s="654" t="n">
        <v>45832</v>
      </c>
      <c r="EP59" s="650" t="n">
        <v>45842</v>
      </c>
      <c r="EQ59" s="654" t="n">
        <v>45832</v>
      </c>
      <c r="ER59" s="654" t="n">
        <v>45825</v>
      </c>
      <c r="ES59" s="655" t="n">
        <v>45826</v>
      </c>
      <c r="ET59" s="655" t="n">
        <v>45825</v>
      </c>
      <c r="EU59" s="654" t="n">
        <v>45819</v>
      </c>
      <c r="EV59" s="654" t="n">
        <v>45813</v>
      </c>
      <c r="EW59" s="655" t="n">
        <v>45820</v>
      </c>
      <c r="EX59" s="655" t="n">
        <v>45818</v>
      </c>
      <c r="EY59" s="654" t="n">
        <v>45805</v>
      </c>
      <c r="EZ59" s="655" t="n">
        <v>45807</v>
      </c>
      <c r="FA59" s="654" t="n">
        <v>45790</v>
      </c>
      <c r="FB59" s="655" t="n">
        <v>45799</v>
      </c>
      <c r="FC59" s="690" t="n">
        <v>45799</v>
      </c>
      <c r="FD59" s="650" t="n">
        <v>45798</v>
      </c>
      <c r="FE59" s="655" t="n">
        <v>45798</v>
      </c>
      <c r="FF59" s="655" t="n">
        <v>45797</v>
      </c>
      <c r="FG59" s="654" t="n">
        <v>45790</v>
      </c>
      <c r="FH59" s="654" t="n">
        <v>45783</v>
      </c>
      <c r="FI59" s="654" t="n">
        <v>45775</v>
      </c>
      <c r="FJ59" s="654" t="n">
        <v>45756</v>
      </c>
      <c r="FK59" s="654" t="n">
        <v>45770</v>
      </c>
      <c r="FL59" s="654" t="n">
        <v>45756</v>
      </c>
      <c r="FM59" s="654" t="n">
        <v>45749</v>
      </c>
      <c r="FN59" s="654" t="n">
        <v>45736</v>
      </c>
      <c r="FO59" s="654" t="n">
        <v>45743</v>
      </c>
      <c r="FP59" s="654" t="n">
        <v>45735</v>
      </c>
      <c r="FQ59" s="654" t="n">
        <v>45728</v>
      </c>
      <c r="FR59" s="654" t="n">
        <v>45722</v>
      </c>
      <c r="FS59" s="654" t="n">
        <v>45714</v>
      </c>
      <c r="FT59" s="650" t="n">
        <v>45700</v>
      </c>
      <c r="FU59" s="654" t="n">
        <v>45706</v>
      </c>
      <c r="FV59" s="654" t="n">
        <v>45700</v>
      </c>
      <c r="FW59" s="654" t="n">
        <v>45684</v>
      </c>
      <c r="FX59" s="654" t="n">
        <v>45699</v>
      </c>
      <c r="FY59" s="654" t="n">
        <v>45699</v>
      </c>
      <c r="FZ59" s="655" t="n">
        <v>45706</v>
      </c>
      <c r="GA59" s="654" t="n">
        <v>45693</v>
      </c>
      <c r="GB59" s="654" t="n">
        <v>45693</v>
      </c>
      <c r="GC59" s="654" t="n">
        <v>45685</v>
      </c>
      <c r="GD59" s="712" t="n">
        <v>45692</v>
      </c>
      <c r="GE59" s="655" t="n">
        <v>45691</v>
      </c>
      <c r="GF59" s="655" t="n">
        <v>45681</v>
      </c>
      <c r="GG59" s="654" t="n">
        <v>45674</v>
      </c>
      <c r="GH59" s="655" t="n">
        <v>45672</v>
      </c>
      <c r="GI59" s="654" t="n">
        <v>45664</v>
      </c>
      <c r="GJ59" s="654" t="n">
        <v>46008</v>
      </c>
      <c r="GK59" s="654" t="n">
        <v>45660</v>
      </c>
      <c r="GL59" s="654" t="n">
        <v>45652</v>
      </c>
      <c r="GM59" s="654" t="n">
        <v>45638</v>
      </c>
      <c r="GN59" s="654" t="n">
        <v>45643</v>
      </c>
    </row>
    <row r="60" ht="18.75" customHeight="1">
      <c r="A60" s="202" t="inlineStr">
        <is>
          <t>SACOLAS E CAIXAS EUDORA</t>
        </is>
      </c>
      <c r="B60" s="203" t="inlineStr">
        <is>
          <t>MÓD</t>
        </is>
      </c>
      <c r="C60" s="203" t="n"/>
      <c r="D60" s="203" t="n"/>
      <c r="F60" s="650" t="n">
        <v>45656</v>
      </c>
      <c r="G60" s="650" t="n">
        <v>45663</v>
      </c>
      <c r="H60" s="650" t="n">
        <v>45670</v>
      </c>
      <c r="I60" s="650" t="n">
        <v>45677</v>
      </c>
      <c r="J60" s="650" t="n">
        <v>45684</v>
      </c>
      <c r="K60" s="650" t="n">
        <v>45691</v>
      </c>
      <c r="L60" s="650" t="n">
        <v>45698</v>
      </c>
      <c r="M60" s="650" t="n">
        <v>45705</v>
      </c>
      <c r="N60" s="650" t="n">
        <v>45712</v>
      </c>
      <c r="O60" s="650" t="n">
        <v>45719</v>
      </c>
      <c r="P60" s="650" t="n">
        <v>45726</v>
      </c>
      <c r="Q60" s="650" t="n">
        <v>45733</v>
      </c>
      <c r="R60" s="650" t="n">
        <v>45740</v>
      </c>
      <c r="S60" s="650" t="n">
        <v>45747</v>
      </c>
      <c r="T60" s="650" t="n">
        <v>45754</v>
      </c>
      <c r="U60" s="650" t="n">
        <v>45761</v>
      </c>
      <c r="V60" s="650" t="n">
        <v>45768</v>
      </c>
      <c r="W60" s="650" t="n">
        <v>45775</v>
      </c>
      <c r="X60" s="650" t="n">
        <v>45782</v>
      </c>
      <c r="Y60" s="650" t="n">
        <v>45789</v>
      </c>
      <c r="Z60" s="650" t="n">
        <v>45796</v>
      </c>
      <c r="AA60" s="650" t="n">
        <v>45803</v>
      </c>
      <c r="AB60" s="650" t="n">
        <v>45810</v>
      </c>
      <c r="AC60" s="650" t="n">
        <v>45817</v>
      </c>
      <c r="AD60" s="650" t="n">
        <v>45824</v>
      </c>
      <c r="AE60" s="650" t="n">
        <v>45831</v>
      </c>
      <c r="AF60" s="650" t="n">
        <v>45838</v>
      </c>
      <c r="AG60" s="650" t="n">
        <v>45845</v>
      </c>
      <c r="AH60" s="650" t="n">
        <v>45852</v>
      </c>
      <c r="AI60" s="650" t="n">
        <v>45859</v>
      </c>
      <c r="AJ60" s="650" t="n">
        <v>45866</v>
      </c>
      <c r="AK60" s="650" t="n">
        <v>45873</v>
      </c>
      <c r="AL60" s="650" t="n">
        <v>45880</v>
      </c>
      <c r="AM60" s="650" t="n">
        <v>45887</v>
      </c>
      <c r="AN60" s="650" t="n">
        <v>45894</v>
      </c>
      <c r="AO60" s="650" t="n">
        <v>45901</v>
      </c>
      <c r="AP60" s="650" t="n">
        <v>45908</v>
      </c>
      <c r="AQ60" s="650" t="n">
        <v>45915</v>
      </c>
      <c r="AR60" s="650" t="n">
        <v>45922</v>
      </c>
      <c r="AS60" s="650" t="n">
        <v>45929</v>
      </c>
      <c r="AT60" s="650" t="n">
        <v>45936</v>
      </c>
      <c r="AU60" s="650" t="n">
        <v>45943</v>
      </c>
      <c r="AV60" s="650" t="n">
        <v>45950</v>
      </c>
      <c r="AW60" s="650" t="n">
        <v>45957</v>
      </c>
      <c r="AX60" s="650" t="n">
        <v>45964</v>
      </c>
      <c r="AY60" s="650" t="n">
        <v>45971</v>
      </c>
      <c r="AZ60" s="650" t="n">
        <v>45978</v>
      </c>
      <c r="BA60" s="650" t="n">
        <v>45985</v>
      </c>
      <c r="BB60" s="650" t="n">
        <v>45992</v>
      </c>
      <c r="BC60" s="650" t="n">
        <v>45999</v>
      </c>
      <c r="BD60" s="650" t="n">
        <v>46006</v>
      </c>
      <c r="BE60" s="650" t="n">
        <v>46013</v>
      </c>
      <c r="BF60" s="650" t="n">
        <v>46020</v>
      </c>
      <c r="BG60" s="650" t="n">
        <v>46027</v>
      </c>
      <c r="BH60" s="650" t="n">
        <v>46034</v>
      </c>
      <c r="BI60" s="650" t="n">
        <v>46041</v>
      </c>
      <c r="BJ60" s="650" t="n">
        <v>46048</v>
      </c>
      <c r="BK60" s="650" t="n">
        <v>46055</v>
      </c>
      <c r="BL60" s="650" t="n">
        <v>46062</v>
      </c>
      <c r="BM60" s="650" t="n">
        <v>46069</v>
      </c>
      <c r="BN60" s="650" t="n">
        <v>46076</v>
      </c>
      <c r="BO60" s="650" t="n">
        <v>46083</v>
      </c>
      <c r="BP60" s="650" t="n">
        <v>46090</v>
      </c>
      <c r="BQ60" s="650" t="n">
        <v>46097</v>
      </c>
      <c r="BR60" s="650" t="n">
        <v>46104</v>
      </c>
      <c r="BS60" s="650" t="n">
        <v>46111</v>
      </c>
      <c r="BT60" s="650" t="n">
        <v>46118</v>
      </c>
      <c r="BU60" s="650" t="n">
        <v>46125</v>
      </c>
      <c r="BV60" s="650" t="n">
        <v>46132</v>
      </c>
      <c r="BW60" s="650" t="n">
        <v>46139</v>
      </c>
      <c r="BX60" s="650" t="n">
        <v>46146</v>
      </c>
      <c r="BY60" s="650" t="n">
        <v>46154</v>
      </c>
      <c r="BZ60" s="650" t="n">
        <v>46160</v>
      </c>
      <c r="CA60" s="650" t="n">
        <v>46160</v>
      </c>
      <c r="CB60" s="652" t="inlineStr">
        <is>
          <t>USOU</t>
        </is>
      </c>
      <c r="CD60" s="35" t="inlineStr">
        <is>
          <t>Pend.</t>
        </is>
      </c>
      <c r="CE60" s="413" t="inlineStr">
        <is>
          <t>TRANSFERÊNCIA</t>
        </is>
      </c>
      <c r="CF60" s="35" t="inlineStr">
        <is>
          <t>Pend.</t>
        </is>
      </c>
      <c r="CG60" s="12" t="inlineStr">
        <is>
          <t>Novo Pedido</t>
        </is>
      </c>
      <c r="CI60" s="654" t="n">
        <v>46149</v>
      </c>
      <c r="CJ60" s="654" t="n">
        <v>46114</v>
      </c>
      <c r="CK60" s="654" t="n">
        <v>46099</v>
      </c>
      <c r="CL60" s="710" t="n">
        <v>46065</v>
      </c>
      <c r="CM60" s="711" t="n">
        <v>46045</v>
      </c>
      <c r="CN60" s="654" t="n">
        <v>46076</v>
      </c>
      <c r="CO60" s="655" t="n">
        <v>46084</v>
      </c>
      <c r="CP60" s="654" t="n">
        <v>46077</v>
      </c>
      <c r="CQ60" s="655" t="n">
        <v>46077</v>
      </c>
      <c r="CR60" s="654" t="n">
        <v>46071</v>
      </c>
      <c r="CS60" s="654" t="n">
        <v>46071</v>
      </c>
      <c r="CT60" s="654" t="n">
        <v>46056</v>
      </c>
      <c r="CU60" s="654" t="n">
        <v>46043</v>
      </c>
      <c r="CV60" s="654" t="n">
        <v>46035</v>
      </c>
      <c r="CW60" s="654" t="n">
        <v>46029</v>
      </c>
      <c r="CX60" s="654" t="n">
        <v>46017</v>
      </c>
      <c r="CY60" s="654" t="n">
        <v>46001</v>
      </c>
      <c r="CZ60" s="654" t="n">
        <v>46007</v>
      </c>
      <c r="DA60" s="654" t="n">
        <v>45994</v>
      </c>
      <c r="DB60" s="654" t="n">
        <v>45986</v>
      </c>
      <c r="DC60" s="654" t="n">
        <v>45986</v>
      </c>
      <c r="DD60" s="654" t="n">
        <v>45980</v>
      </c>
      <c r="DE60" s="654" t="n">
        <v>45980</v>
      </c>
      <c r="DF60" s="654" t="n">
        <v>45973</v>
      </c>
      <c r="DG60" s="654" t="n">
        <v>45965</v>
      </c>
      <c r="DH60" s="654" t="n">
        <v>45960</v>
      </c>
      <c r="DI60" s="655" t="n">
        <v>45967</v>
      </c>
      <c r="DJ60" s="654" t="n">
        <v>45937</v>
      </c>
      <c r="DK60" s="654" t="n">
        <v>45951</v>
      </c>
      <c r="DL60" s="654" t="n">
        <v>45931</v>
      </c>
      <c r="DM60" s="654" t="n">
        <v>45923</v>
      </c>
      <c r="DN60" s="654" t="n">
        <v>45923</v>
      </c>
      <c r="DO60" s="678" t="n">
        <v>45903</v>
      </c>
      <c r="DP60" s="655" t="n">
        <v>45931</v>
      </c>
      <c r="DQ60" s="688" t="n">
        <v>45931</v>
      </c>
      <c r="DR60" s="18" t="n"/>
      <c r="DS60" s="18" t="n">
        <v>2000</v>
      </c>
      <c r="DT60" s="18" t="n"/>
      <c r="DU60" s="18" t="n">
        <v>600</v>
      </c>
      <c r="DV60" s="18" t="n"/>
      <c r="DW60" s="18" t="n">
        <v>800</v>
      </c>
      <c r="DX60" s="18" t="n"/>
      <c r="DY60" s="18" t="n">
        <v>400</v>
      </c>
      <c r="DZ60" s="18" t="n"/>
      <c r="EA60" s="18" t="n"/>
      <c r="EB60" s="18" t="n"/>
      <c r="EC60" s="18" t="n"/>
      <c r="ED60" s="18" t="n"/>
      <c r="EE60" s="18" t="n">
        <v>1000</v>
      </c>
      <c r="EF60" s="18" t="n"/>
      <c r="EG60" s="18" t="n"/>
      <c r="EH60" s="18" t="n"/>
      <c r="EI60" s="18" t="n"/>
      <c r="EJ60" s="18" t="n">
        <v>1800</v>
      </c>
      <c r="EK60" s="18" t="n"/>
      <c r="EL60" s="18" t="n"/>
      <c r="EM60" s="18" t="n">
        <v>400</v>
      </c>
      <c r="EN60" s="18" t="n">
        <v>400</v>
      </c>
      <c r="EO60" s="18" t="n"/>
      <c r="EP60" s="274" t="n"/>
      <c r="EQ60" s="18" t="n">
        <v>400</v>
      </c>
      <c r="ER60" s="18" t="n">
        <v>600</v>
      </c>
      <c r="ES60" s="260" t="n"/>
      <c r="ET60" s="260" t="n"/>
      <c r="EU60" s="18" t="n"/>
      <c r="EV60" s="18" t="n">
        <v>1800</v>
      </c>
      <c r="EW60" s="260" t="n"/>
      <c r="EX60" s="260" t="n"/>
      <c r="EY60" s="18" t="n">
        <v>600</v>
      </c>
      <c r="EZ60" s="260" t="n"/>
      <c r="FA60" s="18" t="n">
        <v>800</v>
      </c>
      <c r="FB60" s="260" t="n"/>
      <c r="FC60" s="260" t="n"/>
      <c r="FD60" s="274" t="n"/>
      <c r="FE60" s="260" t="n"/>
      <c r="FF60" s="260" t="n"/>
      <c r="FG60" s="18" t="n"/>
      <c r="FH60" s="18" t="n"/>
      <c r="FI60" s="18" t="n">
        <v>1000</v>
      </c>
      <c r="FJ60" s="18" t="n"/>
      <c r="FK60" s="18" t="n">
        <v>800</v>
      </c>
      <c r="FL60" s="18" t="n"/>
      <c r="FM60" s="18" t="n"/>
      <c r="FN60" s="18" t="n"/>
      <c r="FO60" s="18" t="n">
        <v>600</v>
      </c>
      <c r="FP60" s="18" t="n"/>
      <c r="FQ60" s="18" t="n"/>
      <c r="FR60" s="18" t="n"/>
      <c r="FS60" s="18" t="n">
        <v>1000</v>
      </c>
      <c r="FT60" s="274" t="n"/>
      <c r="FU60" s="18" t="n">
        <v>1000</v>
      </c>
      <c r="FV60" s="18" t="n"/>
      <c r="FW60" s="18" t="n"/>
      <c r="FX60" s="18" t="n">
        <v>400</v>
      </c>
      <c r="FY60" s="18" t="n"/>
      <c r="FZ60" s="260" t="n"/>
      <c r="GA60" s="18" t="n"/>
      <c r="GB60" s="18" t="n">
        <v>3000</v>
      </c>
      <c r="GC60" s="18" t="n"/>
      <c r="GD60" s="260" t="n"/>
      <c r="GE60" s="260" t="n"/>
      <c r="GF60" s="239" t="inlineStr">
        <is>
          <t>1200 P/ ER</t>
        </is>
      </c>
      <c r="GG60" s="18" t="n"/>
      <c r="GH60" s="239" t="inlineStr">
        <is>
          <t>400 P/ ER PBE</t>
        </is>
      </c>
      <c r="GI60" s="18" t="n">
        <v>800</v>
      </c>
      <c r="GJ60" s="18" t="n"/>
      <c r="GK60" s="18" t="n"/>
      <c r="GL60" s="18" t="n">
        <v>2000</v>
      </c>
      <c r="GM60" s="18" t="n">
        <v>2000</v>
      </c>
      <c r="GN60" s="18" t="n"/>
    </row>
    <row r="61" ht="18.75" customHeight="1">
      <c r="A61" s="33" t="inlineStr">
        <is>
          <t>SACOLA P EUDORA</t>
        </is>
      </c>
      <c r="B61" s="9" t="n">
        <v>200</v>
      </c>
      <c r="C61" s="662" t="n">
        <v>174.51</v>
      </c>
      <c r="D61" s="329" t="n">
        <v>1800</v>
      </c>
      <c r="F61" s="9" t="n">
        <v>0</v>
      </c>
      <c r="G61" s="9">
        <f>3800-400</f>
        <v/>
      </c>
      <c r="H61" s="9" t="n">
        <v>3000</v>
      </c>
      <c r="I61" s="9">
        <f>3000-1200</f>
        <v/>
      </c>
      <c r="J61" s="9" t="n">
        <v>1800</v>
      </c>
      <c r="K61" s="9" t="n">
        <v>800</v>
      </c>
      <c r="L61" s="9">
        <f>400+GB60</f>
        <v/>
      </c>
      <c r="M61" s="9" t="n">
        <v>2600</v>
      </c>
      <c r="N61" s="9" t="n">
        <v>1800</v>
      </c>
      <c r="O61" s="9">
        <f>2400+FS60</f>
        <v/>
      </c>
      <c r="P61" s="9" t="n">
        <v>3400</v>
      </c>
      <c r="Q61" s="9" t="n">
        <v>2600</v>
      </c>
      <c r="R61" s="9" t="n">
        <v>2000</v>
      </c>
      <c r="S61" s="9" t="n">
        <v>2000</v>
      </c>
      <c r="T61" s="9" t="n">
        <v>2000</v>
      </c>
      <c r="U61" s="9" t="n">
        <v>1400</v>
      </c>
      <c r="V61" s="9" t="n">
        <v>1000</v>
      </c>
      <c r="W61" s="9" t="n">
        <v>800</v>
      </c>
      <c r="X61" s="9" t="n">
        <v>1000</v>
      </c>
      <c r="Y61" s="9" t="n">
        <v>1200</v>
      </c>
      <c r="Z61" s="9" t="n">
        <v>800</v>
      </c>
      <c r="AA61" s="9">
        <f>200+FA60</f>
        <v/>
      </c>
      <c r="AB61" s="9">
        <f>0+EY60</f>
        <v/>
      </c>
      <c r="AC61" s="9" t="n">
        <v>0</v>
      </c>
      <c r="AD61" s="9">
        <f>0+EV60</f>
        <v/>
      </c>
      <c r="AE61" s="9">
        <f>1400+ER60</f>
        <v/>
      </c>
      <c r="AF61" s="9">
        <f>1200+EQ60</f>
        <v/>
      </c>
      <c r="AG61" s="9">
        <f>1000+EN60</f>
        <v/>
      </c>
      <c r="AH61" s="9">
        <f>1200+EM60</f>
        <v/>
      </c>
      <c r="AI61" s="9" t="n">
        <v>600</v>
      </c>
      <c r="AJ61" s="9">
        <f>600+EJ60</f>
        <v/>
      </c>
      <c r="AK61" s="9" t="n">
        <v>1600</v>
      </c>
      <c r="AL61" s="9">
        <f>800+EE60</f>
        <v/>
      </c>
      <c r="AM61" s="9" t="n">
        <v>1400</v>
      </c>
      <c r="AN61" s="9">
        <f>800+DW60+DY60</f>
        <v/>
      </c>
      <c r="AO61" s="9" t="n">
        <v>1600</v>
      </c>
      <c r="AP61" s="9" t="n">
        <v>1000</v>
      </c>
      <c r="AQ61" s="9">
        <f>800+DS60</f>
        <v/>
      </c>
      <c r="AR61" s="9" t="n">
        <v>2400</v>
      </c>
      <c r="AS61" s="9" t="n">
        <v>1800</v>
      </c>
      <c r="AT61" s="9" t="n">
        <v>1200</v>
      </c>
      <c r="AU61" s="9" t="n">
        <v>1200</v>
      </c>
      <c r="AV61" s="9" t="n">
        <v>600</v>
      </c>
      <c r="AW61" s="9">
        <f>200+DK61</f>
        <v/>
      </c>
      <c r="AX61" s="9" t="n">
        <v>600</v>
      </c>
      <c r="AY61" s="9">
        <f>0+DG61</f>
        <v/>
      </c>
      <c r="AZ61" s="9" t="n">
        <v>1800</v>
      </c>
      <c r="BA61" s="9" t="n">
        <v>1200</v>
      </c>
      <c r="BB61" s="9">
        <f>400+DD61</f>
        <v/>
      </c>
      <c r="BC61" s="9">
        <f>200+DB61+DA61</f>
        <v/>
      </c>
      <c r="BD61" s="9" t="n">
        <v>1200</v>
      </c>
      <c r="BE61" s="9">
        <f>400+CZ61</f>
        <v/>
      </c>
      <c r="BF61" s="9" t="n">
        <v>1000</v>
      </c>
      <c r="BG61" s="9" t="n">
        <v>800</v>
      </c>
      <c r="BH61" s="9" t="n">
        <v>1000</v>
      </c>
      <c r="BI61" s="9" t="n">
        <v>1400</v>
      </c>
      <c r="BJ61" s="9" t="n">
        <v>1000</v>
      </c>
      <c r="BK61" s="9" t="n">
        <v>1000</v>
      </c>
      <c r="BL61" s="9">
        <f>600+CT61</f>
        <v/>
      </c>
      <c r="BM61" s="9" t="n">
        <v>1400</v>
      </c>
      <c r="BN61" s="9" t="n">
        <v>800</v>
      </c>
      <c r="BO61" s="9" t="n">
        <v>3200</v>
      </c>
      <c r="BP61" s="9" t="n">
        <v>3000</v>
      </c>
      <c r="BQ61" s="9" t="n">
        <v>2200</v>
      </c>
      <c r="BR61" s="9" t="n">
        <v>1600</v>
      </c>
      <c r="BS61" s="9" t="n">
        <v>1200</v>
      </c>
      <c r="BT61" s="9" t="n">
        <v>400</v>
      </c>
      <c r="BU61" s="9" t="n">
        <v>200</v>
      </c>
      <c r="BV61" s="9" t="n">
        <v>0</v>
      </c>
      <c r="BW61" s="9" t="n">
        <v>0</v>
      </c>
      <c r="BX61" s="9" t="n">
        <v>0</v>
      </c>
      <c r="BY61" s="9">
        <f>0+CI61</f>
        <v/>
      </c>
      <c r="BZ61" s="9" t="n"/>
      <c r="CA61" s="9" t="n"/>
      <c r="CB61" s="154">
        <f>BZ61+IF(NOT(ISBLANK(OFFSET(CB61,0,6))),N(OFFSET(CB61,0,6)),N(OFFSET(CB61,0,7)))-CA61</f>
        <v/>
      </c>
      <c r="CD61" s="127" t="n"/>
      <c r="CE61" s="127" t="n"/>
      <c r="CF61" s="127" t="n"/>
      <c r="CG61" s="65" t="n"/>
      <c r="CI61" s="18" t="n">
        <v>800</v>
      </c>
      <c r="CJ61" s="18" t="n">
        <v>600</v>
      </c>
      <c r="CK61" s="18" t="n"/>
      <c r="CL61" s="18" t="n"/>
      <c r="CM61" s="18" t="n"/>
      <c r="CN61" s="18" t="n"/>
      <c r="CO61" s="18" t="n"/>
      <c r="CP61" s="18" t="n"/>
      <c r="CQ61" s="18" t="n"/>
      <c r="CR61" s="18" t="n">
        <v>3000</v>
      </c>
      <c r="CS61" s="18" t="n"/>
      <c r="CT61" s="18" t="n">
        <v>2000</v>
      </c>
      <c r="CU61" s="18" t="n">
        <v>1000</v>
      </c>
      <c r="CV61" s="18" t="n">
        <v>1000</v>
      </c>
      <c r="CW61" s="18" t="n"/>
      <c r="CX61" s="18" t="n">
        <v>1000</v>
      </c>
      <c r="CY61" s="18" t="n"/>
      <c r="CZ61" s="18" t="n">
        <v>1000</v>
      </c>
      <c r="DA61" s="18" t="n">
        <v>800</v>
      </c>
      <c r="DB61" s="18" t="n">
        <v>1000</v>
      </c>
      <c r="DC61" s="18" t="n"/>
      <c r="DD61" s="18" t="n">
        <v>400</v>
      </c>
      <c r="DE61" s="18" t="n"/>
      <c r="DF61" s="18" t="n"/>
      <c r="DG61" s="18" t="n">
        <v>2000</v>
      </c>
      <c r="DH61" s="18" t="n"/>
      <c r="DI61" s="18" t="n"/>
      <c r="DJ61" s="18" t="n"/>
      <c r="DK61" s="18" t="n">
        <v>1200</v>
      </c>
      <c r="DL61" s="18" t="n">
        <v>800</v>
      </c>
      <c r="DM61" s="18" t="n"/>
      <c r="DN61" s="18" t="n"/>
      <c r="DO61" s="396" t="n"/>
      <c r="DP61" s="18" t="n"/>
      <c r="DQ61" s="18" t="n"/>
      <c r="DR61" s="18" t="n"/>
      <c r="DS61" s="18" t="n"/>
      <c r="DT61" s="18" t="n"/>
      <c r="DU61" s="18" t="n"/>
      <c r="DV61" s="18" t="n"/>
      <c r="DW61" s="18" t="n"/>
      <c r="DX61" s="18" t="n"/>
      <c r="DY61" s="18" t="n"/>
      <c r="DZ61" s="18" t="n"/>
      <c r="EA61" s="18" t="n"/>
      <c r="EB61" s="18" t="n"/>
      <c r="EC61" s="18" t="n"/>
      <c r="ED61" s="18" t="n"/>
      <c r="EE61" s="18" t="n"/>
      <c r="EF61" s="18" t="n">
        <v>800</v>
      </c>
      <c r="EG61" s="18" t="n"/>
      <c r="EH61" s="18" t="n"/>
      <c r="EI61" s="18" t="n"/>
      <c r="EJ61" s="18" t="n">
        <v>600</v>
      </c>
      <c r="EK61" s="18" t="n"/>
      <c r="EL61" s="18" t="n"/>
      <c r="EM61" s="18" t="n">
        <v>200</v>
      </c>
      <c r="EN61" s="18" t="n"/>
      <c r="EO61" s="18" t="n"/>
      <c r="EP61" s="274" t="n"/>
      <c r="EQ61" s="18" t="n"/>
      <c r="ER61" s="18" t="n"/>
      <c r="ES61" s="260" t="n"/>
      <c r="ET61" s="260" t="n"/>
      <c r="EU61" s="18" t="n">
        <v>400</v>
      </c>
      <c r="EV61" s="18" t="n"/>
      <c r="EW61" s="260" t="n"/>
      <c r="EX61" s="260" t="n"/>
      <c r="EY61" s="18" t="n">
        <v>200</v>
      </c>
      <c r="EZ61" s="260" t="n"/>
      <c r="FA61" s="18" t="n"/>
      <c r="FB61" s="260" t="n"/>
      <c r="FC61" s="260" t="n"/>
      <c r="FD61" s="274" t="n"/>
      <c r="FE61" s="260" t="n"/>
      <c r="FF61" s="260" t="n"/>
      <c r="FG61" s="18" t="n">
        <v>800</v>
      </c>
      <c r="FH61" s="18" t="n"/>
      <c r="FI61" s="18" t="n"/>
      <c r="FJ61" s="18" t="n"/>
      <c r="FK61" s="18" t="n"/>
      <c r="FL61" s="18" t="n">
        <v>400</v>
      </c>
      <c r="FM61" s="18" t="n"/>
      <c r="FN61" s="18" t="n"/>
      <c r="FO61" s="18" t="n"/>
      <c r="FP61" s="18" t="n"/>
      <c r="FQ61" s="18" t="n">
        <v>400</v>
      </c>
      <c r="FR61" s="18" t="n"/>
      <c r="FS61" s="18" t="n">
        <v>800</v>
      </c>
      <c r="FT61" s="274" t="n"/>
      <c r="FU61" s="18" t="n"/>
      <c r="FV61" s="18" t="n"/>
      <c r="FW61" s="18" t="n"/>
      <c r="FX61" s="18" t="n"/>
      <c r="FY61" s="18" t="n"/>
      <c r="FZ61" s="260" t="n"/>
      <c r="GA61" s="18" t="n"/>
      <c r="GB61" s="18" t="n"/>
      <c r="GC61" s="18" t="n"/>
      <c r="GD61" s="260" t="n"/>
      <c r="GE61" s="260" t="n"/>
      <c r="GF61" s="260" t="n"/>
      <c r="GG61" s="18" t="n"/>
      <c r="GH61" s="239" t="inlineStr">
        <is>
          <t>400 P/ ER PBE</t>
        </is>
      </c>
      <c r="GI61" s="18" t="n">
        <v>800</v>
      </c>
      <c r="GJ61" s="18" t="n"/>
      <c r="GK61" s="18" t="n"/>
      <c r="GL61" s="18" t="n">
        <v>600</v>
      </c>
      <c r="GM61" s="18" t="n"/>
      <c r="GN61" s="18" t="n"/>
    </row>
    <row r="62" ht="18.75" customHeight="1">
      <c r="A62" s="33" t="inlineStr">
        <is>
          <t>SACOLA M EUDORA</t>
        </is>
      </c>
      <c r="B62" s="9" t="n">
        <v>200</v>
      </c>
      <c r="C62" s="662" t="n">
        <v>229.36</v>
      </c>
      <c r="D62" s="329" t="n">
        <v>1200</v>
      </c>
      <c r="F62" s="9">
        <f>600+#REF!</f>
        <v/>
      </c>
      <c r="G62" s="9">
        <f>1800-400</f>
        <v/>
      </c>
      <c r="H62" s="9" t="n">
        <v>2000</v>
      </c>
      <c r="I62" s="9" t="n">
        <v>2000</v>
      </c>
      <c r="J62" s="9" t="n">
        <v>2000</v>
      </c>
      <c r="K62" s="9" t="n">
        <v>2000</v>
      </c>
      <c r="L62" s="9" t="n">
        <v>1800</v>
      </c>
      <c r="M62" s="9" t="n">
        <v>1800</v>
      </c>
      <c r="N62" s="9" t="n">
        <v>1200</v>
      </c>
      <c r="O62" s="9">
        <f>1200+FS61</f>
        <v/>
      </c>
      <c r="P62" s="9" t="n">
        <v>1800</v>
      </c>
      <c r="Q62" s="9">
        <f>1400+FQ61</f>
        <v/>
      </c>
      <c r="R62" s="9" t="n">
        <v>1600</v>
      </c>
      <c r="S62" s="9" t="n">
        <v>1600</v>
      </c>
      <c r="T62" s="9" t="n">
        <v>1400</v>
      </c>
      <c r="U62" s="9" t="n">
        <v>1400</v>
      </c>
      <c r="V62" s="9" t="n">
        <v>1400</v>
      </c>
      <c r="W62" s="9">
        <f>1000+FL61</f>
        <v/>
      </c>
      <c r="X62" s="9" t="n">
        <v>1200</v>
      </c>
      <c r="Y62" s="9" t="n">
        <v>600</v>
      </c>
      <c r="Z62" s="9" t="n">
        <v>1000</v>
      </c>
      <c r="AA62" s="9" t="n">
        <v>800</v>
      </c>
      <c r="AB62" s="9">
        <f>800+EY61</f>
        <v/>
      </c>
      <c r="AC62" s="9" t="n">
        <v>800</v>
      </c>
      <c r="AD62" s="9">
        <f>800+EU61</f>
        <v/>
      </c>
      <c r="AE62" s="9" t="n">
        <v>1000</v>
      </c>
      <c r="AF62" s="9" t="n">
        <v>1000</v>
      </c>
      <c r="AG62" s="9" t="n">
        <v>1000</v>
      </c>
      <c r="AH62" s="9">
        <f>800+EM61</f>
        <v/>
      </c>
      <c r="AI62" s="9" t="n">
        <v>600</v>
      </c>
      <c r="AJ62" s="9" t="n">
        <v>1000</v>
      </c>
      <c r="AK62" s="9">
        <f>1000+EF61</f>
        <v/>
      </c>
      <c r="AL62" s="9" t="n">
        <v>1800</v>
      </c>
      <c r="AM62" s="9" t="n">
        <v>1800</v>
      </c>
      <c r="AN62" s="9" t="n">
        <v>1800</v>
      </c>
      <c r="AO62" s="9" t="n">
        <v>1800</v>
      </c>
      <c r="AP62" s="9" t="n">
        <v>1800</v>
      </c>
      <c r="AQ62" s="9" t="n">
        <v>1800</v>
      </c>
      <c r="AR62" s="9" t="n">
        <v>1800</v>
      </c>
      <c r="AS62" s="9" t="n">
        <v>1600</v>
      </c>
      <c r="AT62" s="9" t="n">
        <v>1600</v>
      </c>
      <c r="AU62" s="9" t="n">
        <v>1600</v>
      </c>
      <c r="AV62" s="9" t="n">
        <v>1200</v>
      </c>
      <c r="AW62" s="9" t="n">
        <v>1200</v>
      </c>
      <c r="AX62" s="9" t="n">
        <v>1000</v>
      </c>
      <c r="AY62" s="9" t="n">
        <v>400</v>
      </c>
      <c r="AZ62" s="9">
        <f>0+DF62</f>
        <v/>
      </c>
      <c r="BA62" s="9">
        <f>1200+DE62</f>
        <v/>
      </c>
      <c r="BB62" s="9" t="n">
        <v>1800</v>
      </c>
      <c r="BC62" s="9" t="n">
        <v>1600</v>
      </c>
      <c r="BD62" s="9" t="n">
        <v>1400</v>
      </c>
      <c r="BE62" s="9">
        <f>1200+CZ62</f>
        <v/>
      </c>
      <c r="BF62" s="9" t="n">
        <v>1800</v>
      </c>
      <c r="BG62" s="9" t="n">
        <v>1800</v>
      </c>
      <c r="BH62" s="9" t="n">
        <v>1600</v>
      </c>
      <c r="BI62" s="9" t="n">
        <v>1400</v>
      </c>
      <c r="BJ62" s="9" t="n">
        <v>1400</v>
      </c>
      <c r="BK62" s="9" t="n">
        <v>1400</v>
      </c>
      <c r="BL62" s="9" t="n">
        <v>1400</v>
      </c>
      <c r="BM62" s="9" t="n">
        <v>1200</v>
      </c>
      <c r="BN62" s="9" t="n">
        <v>1200</v>
      </c>
      <c r="BO62" s="9" t="n">
        <v>1400</v>
      </c>
      <c r="BP62" s="9" t="n">
        <v>1400</v>
      </c>
      <c r="BQ62" s="9" t="n">
        <v>1400</v>
      </c>
      <c r="BR62" s="9" t="n">
        <v>1400</v>
      </c>
      <c r="BS62" s="9" t="n">
        <v>1200</v>
      </c>
      <c r="BT62" s="422" t="n">
        <v>1200</v>
      </c>
      <c r="BU62" s="422" t="n">
        <v>1200</v>
      </c>
      <c r="BV62" s="9" t="n">
        <v>800</v>
      </c>
      <c r="BW62" s="9" t="n">
        <v>600</v>
      </c>
      <c r="BX62" s="9" t="n">
        <v>400</v>
      </c>
      <c r="BY62" s="9" t="n">
        <v>400</v>
      </c>
      <c r="BZ62" s="9" t="n"/>
      <c r="CA62" s="9" t="n"/>
      <c r="CB62" s="154">
        <f>BZ62+IF(NOT(ISBLANK(OFFSET(CB62,0,6))),N(OFFSET(CB62,0,6)),N(OFFSET(CB62,0,7)))-CA62</f>
        <v/>
      </c>
      <c r="CD62" s="127" t="n"/>
      <c r="CE62" s="127" t="n"/>
      <c r="CF62" s="127" t="n"/>
      <c r="CG62" s="65" t="n"/>
      <c r="CI62" s="18" t="n">
        <v>0</v>
      </c>
      <c r="CJ62" s="18" t="n"/>
      <c r="CK62" s="18" t="n"/>
      <c r="CL62" s="18" t="n"/>
      <c r="CM62" s="18" t="n"/>
      <c r="CN62" s="18" t="n"/>
      <c r="CO62" s="18" t="n"/>
      <c r="CP62" s="18" t="n"/>
      <c r="CQ62" s="18" t="n"/>
      <c r="CR62" s="18" t="n">
        <v>400</v>
      </c>
      <c r="CS62" s="18" t="n"/>
      <c r="CT62" s="18" t="n"/>
      <c r="CU62" s="18" t="n"/>
      <c r="CV62" s="18" t="n"/>
      <c r="CW62" s="18" t="n"/>
      <c r="CX62" s="18" t="n"/>
      <c r="CY62" s="18" t="n"/>
      <c r="CZ62" s="18" t="n">
        <v>600</v>
      </c>
      <c r="DA62" s="18" t="n"/>
      <c r="DB62" s="18" t="n"/>
      <c r="DC62" s="18" t="n"/>
      <c r="DD62" s="18" t="n"/>
      <c r="DE62" s="18" t="n">
        <v>600</v>
      </c>
      <c r="DF62" s="18" t="n">
        <v>1200</v>
      </c>
      <c r="DG62" s="18" t="n"/>
      <c r="DH62" s="18" t="n"/>
      <c r="DI62" s="18" t="n"/>
      <c r="DJ62" s="18" t="n"/>
      <c r="DK62" s="18" t="n"/>
      <c r="DL62" s="18" t="n"/>
      <c r="DM62" s="18" t="n"/>
      <c r="DN62" s="18" t="n"/>
      <c r="DO62" s="396" t="n"/>
      <c r="DP62" s="18" t="n"/>
      <c r="DQ62" s="18" t="n"/>
      <c r="DR62" s="18" t="n"/>
      <c r="DS62" s="18" t="n"/>
      <c r="DT62" s="18" t="n"/>
      <c r="DU62" s="18" t="n"/>
      <c r="DV62" s="18" t="n"/>
      <c r="DW62" s="18" t="n"/>
      <c r="DX62" s="18" t="n"/>
      <c r="DY62" s="18" t="n"/>
      <c r="DZ62" s="18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274" t="n"/>
      <c r="EQ62" s="18" t="n"/>
      <c r="ER62" s="18" t="n"/>
      <c r="ES62" s="239" t="inlineStr">
        <is>
          <t>800 P/ ER PG</t>
        </is>
      </c>
      <c r="ET62" s="260" t="n"/>
      <c r="EU62" s="18" t="n"/>
      <c r="EV62" s="18" t="n"/>
      <c r="EW62" s="18" t="n"/>
      <c r="EX62" s="18" t="n"/>
      <c r="EY62" s="18" t="n"/>
      <c r="EZ62" s="18" t="n"/>
      <c r="FA62" s="18" t="n"/>
      <c r="FB62" s="18" t="n"/>
      <c r="FC62" s="18" t="n"/>
      <c r="FD62" s="274" t="n"/>
      <c r="FE62" s="18" t="n"/>
      <c r="FF62" s="18" t="n"/>
      <c r="FG62" s="18" t="n"/>
      <c r="FH62" s="18" t="n"/>
      <c r="FI62" s="18" t="n"/>
      <c r="FJ62" s="18" t="n"/>
      <c r="FK62" s="18" t="n"/>
      <c r="FL62" s="18" t="n"/>
      <c r="FM62" s="18" t="n"/>
      <c r="FN62" s="18" t="n"/>
      <c r="FO62" s="18" t="n"/>
      <c r="FP62" s="18" t="n"/>
      <c r="FQ62" s="18" t="n"/>
      <c r="FR62" s="18" t="n"/>
      <c r="FS62" s="18" t="n">
        <v>200</v>
      </c>
      <c r="FT62" s="274" t="n"/>
      <c r="FU62" s="18" t="n"/>
      <c r="FV62" s="18" t="n"/>
      <c r="FW62" s="18" t="n"/>
      <c r="FX62" s="18" t="n"/>
      <c r="FY62" s="18" t="n"/>
      <c r="FZ62" s="18" t="n"/>
      <c r="GA62" s="18" t="n"/>
      <c r="GB62" s="18" t="n"/>
      <c r="GC62" s="18" t="n"/>
      <c r="GD62" s="18" t="n"/>
      <c r="GE62" s="18" t="n"/>
      <c r="GF62" s="18" t="n"/>
      <c r="GG62" s="18" t="n"/>
      <c r="GH62" s="18" t="n"/>
      <c r="GI62" s="18" t="n">
        <v>200</v>
      </c>
      <c r="GJ62" s="18" t="n"/>
      <c r="GK62" s="18" t="n"/>
      <c r="GL62" s="18" t="n"/>
      <c r="GM62" s="18" t="n"/>
      <c r="GN62" s="18" t="n"/>
    </row>
    <row r="63" ht="18.75" customHeight="1">
      <c r="A63" s="33" t="inlineStr">
        <is>
          <t>SACOLA G EUDORA</t>
        </is>
      </c>
      <c r="B63" s="9" t="n">
        <v>100</v>
      </c>
      <c r="C63" s="662" t="n">
        <v>166.79</v>
      </c>
      <c r="D63" s="329" t="n">
        <v>200</v>
      </c>
      <c r="F63" s="9" t="n">
        <v>700</v>
      </c>
      <c r="G63" s="9" t="n">
        <v>600</v>
      </c>
      <c r="H63" s="9" t="n">
        <v>900</v>
      </c>
      <c r="I63" s="9" t="n">
        <v>900</v>
      </c>
      <c r="J63" s="9" t="n">
        <v>900</v>
      </c>
      <c r="K63" s="9" t="n">
        <v>900</v>
      </c>
      <c r="L63" s="9" t="n">
        <v>900</v>
      </c>
      <c r="M63" s="9" t="n">
        <v>900</v>
      </c>
      <c r="N63" s="9" t="n">
        <v>700</v>
      </c>
      <c r="O63" s="9" t="n">
        <v>1100</v>
      </c>
      <c r="P63" s="9" t="n">
        <v>1100</v>
      </c>
      <c r="Q63" s="9" t="n">
        <v>1100</v>
      </c>
      <c r="R63" s="9" t="n">
        <v>1100</v>
      </c>
      <c r="S63" s="9" t="n">
        <v>1100</v>
      </c>
      <c r="T63" s="9" t="n">
        <v>1100</v>
      </c>
      <c r="U63" s="9" t="n">
        <v>1100</v>
      </c>
      <c r="V63" s="9" t="n">
        <v>1100</v>
      </c>
      <c r="W63" s="9" t="n">
        <v>1100</v>
      </c>
      <c r="X63" s="9" t="n">
        <v>1100</v>
      </c>
      <c r="Y63" s="9" t="n">
        <v>1100</v>
      </c>
      <c r="Z63" s="9" t="n">
        <v>1100</v>
      </c>
      <c r="AA63" s="9" t="n">
        <v>1100</v>
      </c>
      <c r="AB63" s="9" t="n">
        <v>1100</v>
      </c>
      <c r="AC63" s="9" t="n">
        <v>1100</v>
      </c>
      <c r="AD63" s="9">
        <f>1100-800</f>
        <v/>
      </c>
      <c r="AE63" s="9" t="n">
        <v>300</v>
      </c>
      <c r="AF63" s="9" t="n">
        <v>300</v>
      </c>
      <c r="AG63" s="9" t="n">
        <v>300</v>
      </c>
      <c r="AH63" s="9" t="n">
        <v>300</v>
      </c>
      <c r="AI63" s="9" t="n">
        <v>300</v>
      </c>
      <c r="AJ63" s="9" t="n">
        <v>300</v>
      </c>
      <c r="AK63" s="9" t="n">
        <v>300</v>
      </c>
      <c r="AL63" s="9" t="n">
        <v>300</v>
      </c>
      <c r="AM63" s="9" t="n">
        <v>300</v>
      </c>
      <c r="AN63" s="9" t="n">
        <v>300</v>
      </c>
      <c r="AO63" s="9" t="n">
        <v>300</v>
      </c>
      <c r="AP63" s="9" t="n">
        <v>300</v>
      </c>
      <c r="AQ63" s="9" t="n">
        <v>300</v>
      </c>
      <c r="AR63" s="9" t="n">
        <v>300</v>
      </c>
      <c r="AS63" s="9" t="n">
        <v>300</v>
      </c>
      <c r="AT63" s="9" t="n">
        <v>300</v>
      </c>
      <c r="AU63" s="9" t="n">
        <v>300</v>
      </c>
      <c r="AV63" s="9" t="n">
        <v>300</v>
      </c>
      <c r="AW63" s="9" t="n">
        <v>300</v>
      </c>
      <c r="AX63" s="9" t="n">
        <v>300</v>
      </c>
      <c r="AY63" s="9" t="n">
        <v>300</v>
      </c>
      <c r="AZ63" s="9" t="n">
        <v>100</v>
      </c>
      <c r="BA63" s="9">
        <f>0+DE63</f>
        <v/>
      </c>
      <c r="BB63" s="9">
        <f>300+DC63</f>
        <v/>
      </c>
      <c r="BC63" s="9" t="n">
        <v>500</v>
      </c>
      <c r="BD63" s="9" t="n">
        <v>500</v>
      </c>
      <c r="BE63" s="9" t="n">
        <v>500</v>
      </c>
      <c r="BF63" s="9" t="n">
        <v>500</v>
      </c>
      <c r="BG63" s="9" t="n">
        <v>500</v>
      </c>
      <c r="BH63" s="9" t="n">
        <v>500</v>
      </c>
      <c r="BI63" s="9" t="n">
        <v>500</v>
      </c>
      <c r="BJ63" s="9" t="n">
        <v>500</v>
      </c>
      <c r="BK63" s="9" t="n">
        <v>500</v>
      </c>
      <c r="BL63" s="9" t="n">
        <v>600</v>
      </c>
      <c r="BM63" s="9" t="n">
        <v>500</v>
      </c>
      <c r="BN63" s="9" t="n">
        <v>400</v>
      </c>
      <c r="BO63" s="9" t="n">
        <v>500</v>
      </c>
      <c r="BP63" s="9" t="n">
        <v>500</v>
      </c>
      <c r="BQ63" s="9" t="n">
        <v>500</v>
      </c>
      <c r="BR63" s="9" t="n">
        <v>400</v>
      </c>
      <c r="BS63" s="9" t="n">
        <v>400</v>
      </c>
      <c r="BT63" s="9" t="n">
        <v>500</v>
      </c>
      <c r="BU63" s="9" t="n">
        <v>500</v>
      </c>
      <c r="BV63" s="9" t="n">
        <v>400</v>
      </c>
      <c r="BW63" s="9" t="n">
        <v>300</v>
      </c>
      <c r="BX63" s="9" t="n">
        <v>500</v>
      </c>
      <c r="BY63" s="9" t="n">
        <v>500</v>
      </c>
      <c r="BZ63" s="9" t="n"/>
      <c r="CA63" s="9" t="n"/>
      <c r="CB63" s="154">
        <f>BZ63+IF(NOT(ISBLANK(OFFSET(CB63,0,6))),N(OFFSET(CB63,0,6)),N(OFFSET(CB63,0,7)))-CA63</f>
        <v/>
      </c>
      <c r="CD63" s="127" t="n"/>
      <c r="CE63" s="127" t="inlineStr">
        <is>
          <t>200 P/ ER PG</t>
        </is>
      </c>
      <c r="CF63" s="127" t="n"/>
      <c r="CG63" s="65" t="n"/>
      <c r="CI63" s="18" t="n">
        <v>0</v>
      </c>
      <c r="CJ63" s="18" t="n"/>
      <c r="CK63" s="18" t="n"/>
      <c r="CL63" s="18" t="n"/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>
        <v>200</v>
      </c>
      <c r="DD63" s="18" t="n"/>
      <c r="DE63" s="18" t="n">
        <v>300</v>
      </c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18" t="n"/>
      <c r="DO63" s="396" t="n"/>
      <c r="DP63" s="18" t="n"/>
      <c r="DQ63" s="18" t="n"/>
      <c r="DR63" s="18" t="n"/>
      <c r="DS63" s="18" t="n"/>
      <c r="DT63" s="18" t="n"/>
      <c r="DU63" s="18" t="n"/>
      <c r="DV63" s="18" t="n"/>
      <c r="DW63" s="18" t="n"/>
      <c r="DX63" s="18" t="n"/>
      <c r="DY63" s="18" t="n"/>
      <c r="DZ63" s="18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275" t="n"/>
      <c r="EQ63" s="18" t="n"/>
      <c r="ER63" s="18" t="n"/>
      <c r="ES63" s="260" t="n"/>
      <c r="ET63" s="260" t="n"/>
      <c r="EU63" s="18" t="n"/>
      <c r="EV63" s="18" t="n"/>
      <c r="EW63" s="260" t="n"/>
      <c r="EX63" s="260" t="n"/>
      <c r="EY63" s="18" t="n"/>
      <c r="EZ63" s="260" t="n"/>
      <c r="FA63" s="18" t="n"/>
      <c r="FB63" s="260" t="n"/>
      <c r="FC63" s="260" t="n"/>
      <c r="FD63" s="275" t="n"/>
      <c r="FE63" s="260" t="n"/>
      <c r="FF63" s="260" t="n"/>
      <c r="FG63" s="18" t="n"/>
      <c r="FH63" s="18" t="n"/>
      <c r="FI63" s="18" t="n"/>
      <c r="FJ63" s="18" t="n"/>
      <c r="FK63" s="18" t="n"/>
      <c r="FL63" s="18" t="n"/>
      <c r="FM63" s="18" t="n"/>
      <c r="FN63" s="18" t="n"/>
      <c r="FO63" s="18" t="n">
        <v>100</v>
      </c>
      <c r="FP63" s="18" t="n"/>
      <c r="FQ63" s="18" t="n">
        <v>20</v>
      </c>
      <c r="FR63" s="18" t="n"/>
      <c r="FS63" s="18" t="n"/>
      <c r="FT63" s="275" t="n"/>
      <c r="FU63" s="18" t="n"/>
      <c r="FV63" s="18" t="n"/>
      <c r="FW63" s="18" t="n"/>
      <c r="FX63" s="18" t="n"/>
      <c r="FY63" s="18" t="n"/>
      <c r="FZ63" s="260" t="n"/>
      <c r="GA63" s="18" t="n"/>
      <c r="GB63" s="18" t="n"/>
      <c r="GC63" s="18" t="n"/>
      <c r="GD63" s="260" t="n"/>
      <c r="GE63" s="260" t="n"/>
      <c r="GF63" s="260" t="n"/>
      <c r="GG63" s="18" t="n"/>
      <c r="GH63" s="239" t="inlineStr">
        <is>
          <t>20 P/ ER PBE</t>
        </is>
      </c>
      <c r="GI63" s="18" t="n"/>
      <c r="GJ63" s="18" t="n"/>
      <c r="GK63" s="18" t="n"/>
      <c r="GL63" s="18" t="n"/>
      <c r="GM63" s="18" t="n"/>
      <c r="GN63" s="18" t="n"/>
    </row>
    <row r="64" ht="18.75" customHeight="1">
      <c r="A64" s="43" t="inlineStr">
        <is>
          <t>KIT SACOLA P EUDORA (C/ 10)</t>
        </is>
      </c>
      <c r="B64" s="149" t="n">
        <v>200</v>
      </c>
      <c r="C64" s="726" t="n">
        <v>175.36</v>
      </c>
      <c r="D64" s="329" t="n">
        <v>30</v>
      </c>
      <c r="F64" s="9" t="n">
        <v>63</v>
      </c>
      <c r="G64" s="9">
        <f>58-20</f>
        <v/>
      </c>
      <c r="H64" s="9" t="n">
        <v>19</v>
      </c>
      <c r="I64" s="9" t="n">
        <v>19</v>
      </c>
      <c r="J64" s="9" t="n">
        <v>18</v>
      </c>
      <c r="K64" s="9" t="n">
        <v>17</v>
      </c>
      <c r="L64" s="190" t="n">
        <v>44</v>
      </c>
      <c r="M64" s="9" t="n">
        <v>43</v>
      </c>
      <c r="N64" s="9" t="n">
        <v>41</v>
      </c>
      <c r="O64" s="9" t="n">
        <v>39</v>
      </c>
      <c r="P64" s="9" t="n">
        <v>36</v>
      </c>
      <c r="Q64" s="9">
        <f>25+FQ63</f>
        <v/>
      </c>
      <c r="R64" s="9" t="n">
        <v>26</v>
      </c>
      <c r="S64" s="9" t="n">
        <v>23</v>
      </c>
      <c r="T64" s="9" t="n">
        <v>122</v>
      </c>
      <c r="U64" s="9" t="n">
        <v>122</v>
      </c>
      <c r="V64" s="9" t="n">
        <v>120</v>
      </c>
      <c r="W64" s="9" t="n">
        <v>119</v>
      </c>
      <c r="X64" s="9" t="n">
        <v>110</v>
      </c>
      <c r="Y64" s="9" t="n">
        <v>108</v>
      </c>
      <c r="Z64" s="9" t="n">
        <v>107</v>
      </c>
      <c r="AA64" s="9" t="n">
        <v>105</v>
      </c>
      <c r="AB64" s="9" t="n">
        <v>105</v>
      </c>
      <c r="AC64" s="9" t="n">
        <v>107</v>
      </c>
      <c r="AD64" s="9" t="n">
        <v>107</v>
      </c>
      <c r="AE64" s="9" t="n">
        <v>99</v>
      </c>
      <c r="AF64" s="9">
        <f>98+15</f>
        <v/>
      </c>
      <c r="AG64" s="9" t="n">
        <v>112</v>
      </c>
      <c r="AH64" s="9" t="n">
        <v>111</v>
      </c>
      <c r="AI64" s="9" t="n">
        <v>110</v>
      </c>
      <c r="AJ64" s="9" t="n">
        <v>108</v>
      </c>
      <c r="AK64" s="9" t="n">
        <v>106</v>
      </c>
      <c r="AL64" s="9" t="n">
        <v>102</v>
      </c>
      <c r="AM64" s="9" t="n">
        <v>102</v>
      </c>
      <c r="AN64" s="9" t="n">
        <v>102</v>
      </c>
      <c r="AO64" s="9" t="n">
        <v>102</v>
      </c>
      <c r="AP64" s="9" t="n">
        <v>89</v>
      </c>
      <c r="AQ64" s="9" t="n">
        <v>87</v>
      </c>
      <c r="AR64" s="9" t="n">
        <v>87</v>
      </c>
      <c r="AS64" s="9" t="n">
        <v>85</v>
      </c>
      <c r="AT64" s="9" t="n">
        <v>84</v>
      </c>
      <c r="AU64" s="9" t="n">
        <v>82</v>
      </c>
      <c r="AV64" s="9" t="n">
        <v>82</v>
      </c>
      <c r="AW64" s="9" t="n">
        <v>82</v>
      </c>
      <c r="AX64" s="9" t="n">
        <v>82</v>
      </c>
      <c r="AY64" s="9" t="n">
        <v>77</v>
      </c>
      <c r="AZ64" s="9" t="n">
        <v>71</v>
      </c>
      <c r="BA64" s="9" t="n">
        <v>70</v>
      </c>
      <c r="BB64" s="9" t="n">
        <v>69</v>
      </c>
      <c r="BC64" s="9" t="n">
        <v>67</v>
      </c>
      <c r="BD64" s="9" t="n">
        <v>65</v>
      </c>
      <c r="BE64" s="9" t="n">
        <v>63</v>
      </c>
      <c r="BF64" s="9" t="n">
        <v>63</v>
      </c>
      <c r="BG64" s="9" t="n">
        <v>63</v>
      </c>
      <c r="BH64" s="9" t="n">
        <v>62</v>
      </c>
      <c r="BI64" s="9" t="n">
        <v>61</v>
      </c>
      <c r="BJ64" s="9" t="n">
        <v>60</v>
      </c>
      <c r="BK64" s="9" t="n">
        <v>60</v>
      </c>
      <c r="BL64" s="190" t="n">
        <v>72</v>
      </c>
      <c r="BM64" s="9" t="n">
        <v>72</v>
      </c>
      <c r="BN64" s="9" t="n">
        <v>71</v>
      </c>
      <c r="BO64" s="9" t="n">
        <v>69</v>
      </c>
      <c r="BP64" s="9" t="n">
        <v>60</v>
      </c>
      <c r="BQ64" s="9" t="n">
        <v>59</v>
      </c>
      <c r="BR64" s="9" t="n">
        <v>55</v>
      </c>
      <c r="BS64" s="9" t="n">
        <v>53</v>
      </c>
      <c r="BT64" s="9" t="n"/>
      <c r="BU64" s="9" t="n"/>
      <c r="BV64" s="9" t="n"/>
      <c r="BW64" s="9" t="n">
        <v>53</v>
      </c>
      <c r="BX64" s="9" t="n">
        <v>53</v>
      </c>
      <c r="BY64" s="9" t="n">
        <v>54</v>
      </c>
      <c r="BZ64" s="9" t="n">
        <v>54</v>
      </c>
      <c r="CA64" s="9" t="n">
        <v>54</v>
      </c>
      <c r="CB64" s="154">
        <f>BZ64+IF(NOT(ISBLANK(OFFSET(CB64,0,6))),N(OFFSET(CB64,0,6)),N(OFFSET(CB64,0,7)))-CA64</f>
        <v/>
      </c>
      <c r="CD64" s="19" t="n"/>
      <c r="CE64" s="19" t="inlineStr">
        <is>
          <t>05 P/ ER MG</t>
        </is>
      </c>
      <c r="CF64" s="19" t="n"/>
      <c r="CG64" s="27" t="n"/>
      <c r="CI64" s="18" t="n">
        <v>0</v>
      </c>
      <c r="CJ64" s="18" t="n"/>
      <c r="CK64" s="18" t="n"/>
      <c r="CL64" s="18" t="n"/>
      <c r="CM64" s="18" t="n"/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396" t="n"/>
      <c r="DP64" s="18" t="n"/>
      <c r="DQ64" s="18" t="n"/>
      <c r="DR64" s="18" t="n"/>
      <c r="DS64" s="18" t="n"/>
      <c r="DT64" s="18" t="n"/>
      <c r="DU64" s="18" t="n"/>
      <c r="DV64" s="18" t="n"/>
      <c r="DW64" s="18" t="n"/>
      <c r="DX64" s="18" t="n"/>
      <c r="DY64" s="18" t="n">
        <v>15</v>
      </c>
      <c r="DZ64" s="18" t="n"/>
      <c r="EA64" s="18" t="n"/>
      <c r="EB64" s="18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275" t="n"/>
      <c r="EQ64" s="18" t="n"/>
      <c r="ER64" s="18" t="n"/>
      <c r="ES64" s="260" t="n"/>
      <c r="ET64" s="260" t="n"/>
      <c r="EU64" s="18" t="n"/>
      <c r="EV64" s="18" t="n"/>
      <c r="EW64" s="260" t="n"/>
      <c r="EX64" s="260" t="n"/>
      <c r="EY64" s="18" t="n"/>
      <c r="EZ64" s="260" t="n"/>
      <c r="FA64" s="18" t="n"/>
      <c r="FB64" s="260" t="n"/>
      <c r="FC64" s="260" t="n"/>
      <c r="FD64" s="275" t="n"/>
      <c r="FE64" s="260" t="n"/>
      <c r="FF64" s="260" t="n"/>
      <c r="FG64" s="18" t="n"/>
      <c r="FH64" s="18" t="n"/>
      <c r="FI64" s="18" t="n"/>
      <c r="FJ64" s="18" t="n"/>
      <c r="FK64" s="18" t="n"/>
      <c r="FL64" s="18" t="n">
        <v>15</v>
      </c>
      <c r="FM64" s="18" t="n"/>
      <c r="FN64" s="18" t="n"/>
      <c r="FO64" s="18" t="n"/>
      <c r="FP64" s="18" t="n"/>
      <c r="FQ64" s="18" t="n"/>
      <c r="FR64" s="18" t="n"/>
      <c r="FS64" s="18" t="n"/>
      <c r="FT64" s="275" t="n"/>
      <c r="FU64" s="18" t="n"/>
      <c r="FV64" s="18" t="n"/>
      <c r="FW64" s="18" t="n"/>
      <c r="FX64" s="18" t="n"/>
      <c r="FY64" s="18" t="n"/>
      <c r="FZ64" s="260" t="n"/>
      <c r="GA64" s="18" t="n"/>
      <c r="GB64" s="18" t="n"/>
      <c r="GC64" s="18" t="n"/>
      <c r="GD64" s="260" t="n"/>
      <c r="GE64" s="260" t="n"/>
      <c r="GF64" s="260" t="n"/>
      <c r="GG64" s="18" t="n"/>
      <c r="GH64" s="239" t="inlineStr">
        <is>
          <t>30 P/ ER PBE</t>
        </is>
      </c>
      <c r="GI64" s="18" t="n"/>
      <c r="GJ64" s="18" t="n"/>
      <c r="GK64" s="18" t="n"/>
      <c r="GL64" s="18" t="n"/>
      <c r="GM64" s="18" t="n"/>
      <c r="GN64" s="18" t="n"/>
    </row>
    <row r="65" ht="18.75" customHeight="1">
      <c r="A65" s="43" t="inlineStr">
        <is>
          <t>KIT SACOLA M EUDORA (C/ 10)</t>
        </is>
      </c>
      <c r="B65" s="149" t="n">
        <v>150</v>
      </c>
      <c r="C65" s="726" t="n">
        <v>172.76</v>
      </c>
      <c r="D65" s="329" t="n">
        <v>50</v>
      </c>
      <c r="F65" s="9" t="n">
        <v>60</v>
      </c>
      <c r="G65" s="9">
        <f>59-30</f>
        <v/>
      </c>
      <c r="H65" s="9" t="n">
        <v>24</v>
      </c>
      <c r="I65" s="9" t="n">
        <v>24</v>
      </c>
      <c r="J65" s="9" t="n">
        <v>24</v>
      </c>
      <c r="K65" s="9" t="n">
        <v>23</v>
      </c>
      <c r="L65" s="9" t="n">
        <v>19</v>
      </c>
      <c r="M65" s="9" t="n">
        <v>19</v>
      </c>
      <c r="N65" s="9" t="n">
        <v>19</v>
      </c>
      <c r="O65" s="9" t="n">
        <v>19</v>
      </c>
      <c r="P65" s="9" t="n">
        <v>19</v>
      </c>
      <c r="Q65" s="9" t="n">
        <v>18</v>
      </c>
      <c r="R65" s="9" t="n">
        <v>16</v>
      </c>
      <c r="S65" s="9" t="n">
        <v>16</v>
      </c>
      <c r="T65" s="9" t="n">
        <v>16</v>
      </c>
      <c r="U65" s="190" t="n">
        <v>55</v>
      </c>
      <c r="V65" s="9" t="n">
        <v>53</v>
      </c>
      <c r="W65" s="9" t="n">
        <v>75</v>
      </c>
      <c r="X65" s="9" t="n">
        <v>75</v>
      </c>
      <c r="Y65" s="9" t="n">
        <v>68</v>
      </c>
      <c r="Z65" s="9" t="n">
        <v>66</v>
      </c>
      <c r="AA65" s="9" t="n">
        <v>64</v>
      </c>
      <c r="AB65" s="9" t="n">
        <v>64</v>
      </c>
      <c r="AC65" s="9" t="n">
        <v>68</v>
      </c>
      <c r="AD65" s="9" t="n">
        <v>68</v>
      </c>
      <c r="AE65" s="9" t="n">
        <v>64</v>
      </c>
      <c r="AF65" s="9">
        <f>61-15</f>
        <v/>
      </c>
      <c r="AG65" s="9" t="n">
        <v>46</v>
      </c>
      <c r="AH65" s="9" t="n">
        <v>44</v>
      </c>
      <c r="AI65" s="9" t="n">
        <v>44</v>
      </c>
      <c r="AJ65" s="9" t="n">
        <v>42</v>
      </c>
      <c r="AK65" s="9" t="n">
        <v>42</v>
      </c>
      <c r="AL65" s="9" t="n">
        <v>41</v>
      </c>
      <c r="AM65" s="9" t="n">
        <v>38</v>
      </c>
      <c r="AN65" s="9">
        <f>38+DY64</f>
        <v/>
      </c>
      <c r="AO65" s="9" t="n">
        <v>51</v>
      </c>
      <c r="AP65" s="9" t="n">
        <v>51</v>
      </c>
      <c r="AQ65" s="9" t="n">
        <v>50</v>
      </c>
      <c r="AR65" s="9" t="n">
        <v>47</v>
      </c>
      <c r="AS65" s="9" t="n">
        <v>47</v>
      </c>
      <c r="AT65" s="9" t="n">
        <v>46</v>
      </c>
      <c r="AU65" s="9" t="n">
        <v>45</v>
      </c>
      <c r="AV65" s="9" t="n">
        <v>45</v>
      </c>
      <c r="AW65" s="9" t="n">
        <v>43</v>
      </c>
      <c r="AX65" s="9" t="n">
        <v>43</v>
      </c>
      <c r="AY65" s="9" t="n">
        <v>40</v>
      </c>
      <c r="AZ65" s="9" t="n">
        <v>37</v>
      </c>
      <c r="BA65" s="9" t="n">
        <v>37</v>
      </c>
      <c r="BB65" s="9" t="n">
        <v>37</v>
      </c>
      <c r="BC65" s="9" t="n">
        <v>35</v>
      </c>
      <c r="BD65" s="9" t="n">
        <v>34</v>
      </c>
      <c r="BE65" s="9" t="n">
        <v>31</v>
      </c>
      <c r="BF65" s="9" t="n">
        <v>31</v>
      </c>
      <c r="BG65" s="9" t="n">
        <v>31</v>
      </c>
      <c r="BH65" s="9" t="n">
        <v>28</v>
      </c>
      <c r="BI65" s="9" t="n">
        <v>27</v>
      </c>
      <c r="BJ65" s="9" t="n">
        <v>27</v>
      </c>
      <c r="BK65" s="9" t="n">
        <v>27</v>
      </c>
      <c r="BL65" s="190" t="n">
        <v>46</v>
      </c>
      <c r="BM65" s="9" t="n">
        <v>46</v>
      </c>
      <c r="BN65" s="9" t="n">
        <v>46</v>
      </c>
      <c r="BO65" s="9" t="n">
        <v>46</v>
      </c>
      <c r="BP65" s="9" t="n">
        <v>39</v>
      </c>
      <c r="BQ65" s="9" t="n">
        <v>38</v>
      </c>
      <c r="BR65" s="9" t="n">
        <v>35</v>
      </c>
      <c r="BS65" s="9" t="n">
        <v>34</v>
      </c>
      <c r="BT65" s="9" t="n"/>
      <c r="BU65" s="9" t="n"/>
      <c r="BV65" s="9" t="n"/>
      <c r="BW65" s="9" t="n">
        <v>35</v>
      </c>
      <c r="BX65" s="9" t="n">
        <v>35</v>
      </c>
      <c r="BY65" s="9" t="n">
        <v>35</v>
      </c>
      <c r="BZ65" s="9" t="n">
        <v>35</v>
      </c>
      <c r="CA65" s="9" t="n">
        <v>35</v>
      </c>
      <c r="CB65" s="154">
        <f>BZ65+IF(NOT(ISBLANK(OFFSET(CB65,0,6))),N(OFFSET(CB65,0,6)),N(OFFSET(CB65,0,7)))-CA65</f>
        <v/>
      </c>
      <c r="CD65" s="19" t="n"/>
      <c r="CE65" s="19" t="inlineStr">
        <is>
          <t>05 P/ ER MG</t>
        </is>
      </c>
      <c r="CF65" s="19" t="n"/>
      <c r="CG65" s="27" t="n"/>
      <c r="CI65" s="18" t="n">
        <v>0</v>
      </c>
      <c r="CJ65" s="18" t="n"/>
      <c r="CK65" s="18" t="n"/>
      <c r="CL65" s="18" t="n"/>
      <c r="CM65" s="18" t="n"/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396" t="n"/>
      <c r="DP65" s="18" t="n"/>
      <c r="DQ65" s="18" t="n"/>
      <c r="DR65" s="18" t="n"/>
      <c r="DS65" s="18" t="n"/>
      <c r="DT65" s="18" t="n"/>
      <c r="DU65" s="18" t="n"/>
      <c r="DV65" s="18" t="n"/>
      <c r="DW65" s="18" t="n"/>
      <c r="DX65" s="18" t="n"/>
      <c r="DY65" s="18" t="n"/>
      <c r="DZ65" s="18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275" t="n"/>
      <c r="EQ65" s="18" t="n"/>
      <c r="ER65" s="18" t="n"/>
      <c r="ES65" s="18" t="n"/>
      <c r="ET65" s="18" t="n"/>
      <c r="EU65" s="18" t="n"/>
      <c r="EV65" s="18" t="n"/>
      <c r="EW65" s="18" t="n"/>
      <c r="EX65" s="18" t="n"/>
      <c r="EY65" s="18" t="n"/>
      <c r="EZ65" s="18" t="n"/>
      <c r="FA65" s="18" t="n"/>
      <c r="FB65" s="18" t="n"/>
      <c r="FC65" s="18" t="n"/>
      <c r="FD65" s="275" t="n"/>
      <c r="FE65" s="18" t="n"/>
      <c r="FF65" s="18" t="n"/>
      <c r="FG65" s="18" t="n"/>
      <c r="FH65" s="18" t="n"/>
      <c r="FI65" s="18" t="n"/>
      <c r="FJ65" s="18" t="n"/>
      <c r="FK65" s="18" t="n"/>
      <c r="FL65" s="18" t="n"/>
      <c r="FM65" s="18" t="n"/>
      <c r="FN65" s="18" t="n"/>
      <c r="FO65" s="18" t="n"/>
      <c r="FP65" s="18" t="n"/>
      <c r="FQ65" s="18" t="n"/>
      <c r="FR65" s="18" t="n"/>
      <c r="FS65" s="18" t="n"/>
      <c r="FT65" s="275" t="n"/>
      <c r="FU65" s="18" t="n"/>
      <c r="FV65" s="18" t="n"/>
      <c r="FW65" s="18" t="n"/>
      <c r="FX65" s="18" t="n"/>
      <c r="FY65" s="18" t="n"/>
      <c r="FZ65" s="18" t="n"/>
      <c r="GA65" s="18" t="n"/>
      <c r="GB65" s="18" t="n"/>
      <c r="GC65" s="18" t="n"/>
      <c r="GD65" s="18" t="n"/>
      <c r="GE65" s="18" t="n"/>
      <c r="GF65" s="18" t="n"/>
      <c r="GG65" s="18" t="n"/>
      <c r="GH65" s="18" t="n"/>
      <c r="GI65" s="18" t="n"/>
      <c r="GJ65" s="18" t="n"/>
      <c r="GK65" s="18" t="n"/>
      <c r="GL65" s="18" t="n"/>
      <c r="GM65" s="18" t="n"/>
      <c r="GN65" s="18" t="n"/>
    </row>
    <row r="66" ht="18.75" customHeight="1">
      <c r="A66" s="43" t="inlineStr">
        <is>
          <t>KIT SACOLA G EUDORA (C/ 10)</t>
        </is>
      </c>
      <c r="B66" s="149" t="inlineStr">
        <is>
          <t>-</t>
        </is>
      </c>
      <c r="C66" s="726" t="inlineStr">
        <is>
          <t>-</t>
        </is>
      </c>
      <c r="D66" s="329" t="n">
        <v>5</v>
      </c>
      <c r="F66" s="9" t="n">
        <v>6</v>
      </c>
      <c r="G66" s="9" t="n">
        <v>6</v>
      </c>
      <c r="H66" s="9" t="n">
        <v>5</v>
      </c>
      <c r="I66" s="9" t="n">
        <v>5</v>
      </c>
      <c r="J66" s="9" t="n">
        <v>5</v>
      </c>
      <c r="K66" s="9" t="n">
        <v>5</v>
      </c>
      <c r="L66" s="9" t="n">
        <v>5</v>
      </c>
      <c r="M66" s="9" t="n">
        <v>4</v>
      </c>
      <c r="N66" s="9" t="n">
        <v>4</v>
      </c>
      <c r="O66" s="9" t="n">
        <v>4</v>
      </c>
      <c r="P66" s="9" t="n">
        <v>4</v>
      </c>
      <c r="Q66" s="9" t="n">
        <v>4</v>
      </c>
      <c r="R66" s="9" t="n">
        <v>4</v>
      </c>
      <c r="S66" s="9" t="n">
        <v>4</v>
      </c>
      <c r="T66" s="9" t="n">
        <v>4</v>
      </c>
      <c r="U66" s="9" t="n">
        <v>4</v>
      </c>
      <c r="V66" s="9" t="n">
        <v>4</v>
      </c>
      <c r="W66" s="9" t="n">
        <v>4</v>
      </c>
      <c r="X66" s="9" t="n">
        <v>4</v>
      </c>
      <c r="Y66" s="9" t="n">
        <v>4</v>
      </c>
      <c r="Z66" s="9" t="n">
        <v>4</v>
      </c>
      <c r="AA66" s="9" t="n">
        <v>4</v>
      </c>
      <c r="AB66" s="9" t="n">
        <v>4</v>
      </c>
      <c r="AC66" s="9" t="n">
        <v>4</v>
      </c>
      <c r="AD66" s="9" t="n">
        <v>4</v>
      </c>
      <c r="AE66" s="9" t="n">
        <v>4</v>
      </c>
      <c r="AF66" s="9" t="n">
        <v>4</v>
      </c>
      <c r="AG66" s="9" t="n">
        <v>4</v>
      </c>
      <c r="AH66" s="9" t="n">
        <v>4</v>
      </c>
      <c r="AI66" s="9" t="n">
        <v>4</v>
      </c>
      <c r="AJ66" s="9" t="n">
        <v>4</v>
      </c>
      <c r="AK66" s="9" t="n">
        <v>4</v>
      </c>
      <c r="AL66" s="9" t="n">
        <v>4</v>
      </c>
      <c r="AM66" s="9" t="n">
        <v>0</v>
      </c>
      <c r="AN66" s="9" t="n">
        <v>0</v>
      </c>
      <c r="AO66" s="9" t="n">
        <v>4</v>
      </c>
      <c r="AP66" s="9" t="n">
        <v>4</v>
      </c>
      <c r="AQ66" s="9" t="n">
        <v>4</v>
      </c>
      <c r="AR66" s="9" t="n">
        <v>4</v>
      </c>
      <c r="AS66" s="9" t="n">
        <v>4</v>
      </c>
      <c r="AT66" s="9" t="n">
        <v>4</v>
      </c>
      <c r="AU66" s="9" t="n">
        <v>4</v>
      </c>
      <c r="AV66" s="9" t="n">
        <v>4</v>
      </c>
      <c r="AW66" s="9" t="n">
        <v>4</v>
      </c>
      <c r="AX66" s="9" t="n">
        <v>4</v>
      </c>
      <c r="AY66" s="9" t="n">
        <v>4</v>
      </c>
      <c r="AZ66" s="9" t="n">
        <v>2</v>
      </c>
      <c r="BA66" s="9" t="n">
        <v>2</v>
      </c>
      <c r="BB66" s="9" t="n">
        <v>2</v>
      </c>
      <c r="BC66" s="9" t="n">
        <v>2</v>
      </c>
      <c r="BD66" s="9" t="n">
        <v>2</v>
      </c>
      <c r="BE66" s="9" t="n">
        <v>1</v>
      </c>
      <c r="BF66" s="9" t="n">
        <v>1</v>
      </c>
      <c r="BG66" s="9" t="n">
        <v>1</v>
      </c>
      <c r="BH66" s="9" t="n">
        <v>1</v>
      </c>
      <c r="BI66" s="9" t="n">
        <v>1</v>
      </c>
      <c r="BJ66" s="9" t="n">
        <v>1</v>
      </c>
      <c r="BK66" s="9" t="n">
        <v>1</v>
      </c>
      <c r="BL66" s="9" t="n">
        <v>1</v>
      </c>
      <c r="BM66" s="9" t="n">
        <v>1</v>
      </c>
      <c r="BN66" s="9" t="n">
        <v>1</v>
      </c>
      <c r="BO66" s="9" t="n">
        <v>1</v>
      </c>
      <c r="BP66" s="9" t="n">
        <v>1</v>
      </c>
      <c r="BQ66" s="9" t="n">
        <v>1</v>
      </c>
      <c r="BR66" s="9" t="n">
        <v>1</v>
      </c>
      <c r="BS66" s="9" t="n">
        <v>43</v>
      </c>
      <c r="BT66" s="9" t="n"/>
      <c r="BU66" s="9" t="n"/>
      <c r="BV66" s="9" t="n"/>
      <c r="BW66" s="9" t="n">
        <v>41</v>
      </c>
      <c r="BX66" s="9" t="n">
        <v>41</v>
      </c>
      <c r="BY66" s="9" t="n">
        <v>44</v>
      </c>
      <c r="BZ66" s="9" t="n">
        <v>44</v>
      </c>
      <c r="CA66" s="9" t="n">
        <v>44</v>
      </c>
      <c r="CB66" s="154">
        <f>BZ66+IF(NOT(ISBLANK(OFFSET(CB66,0,6))),N(OFFSET(CB66,0,6)),N(OFFSET(CB66,0,7)))-CA66</f>
        <v/>
      </c>
      <c r="CD66" s="19" t="n"/>
      <c r="CE66" s="19" t="inlineStr">
        <is>
          <t>05 P/ ER MG</t>
        </is>
      </c>
      <c r="CF66" s="19" t="n"/>
      <c r="CG66" s="27" t="n"/>
      <c r="CI66" s="18" t="n">
        <v>0</v>
      </c>
      <c r="CJ66" s="18" t="n"/>
      <c r="CK66" s="18" t="n"/>
      <c r="CL66" s="18" t="n"/>
      <c r="CM66" s="18" t="n"/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396" t="n"/>
      <c r="DP66" s="18" t="n"/>
      <c r="DQ66" s="18" t="n"/>
      <c r="DR66" s="18" t="n"/>
      <c r="DS66" s="18" t="n"/>
      <c r="DT66" s="18" t="n">
        <v>150</v>
      </c>
      <c r="DU66" s="18" t="n"/>
      <c r="DV66" s="18" t="n"/>
      <c r="DW66" s="18" t="n"/>
      <c r="DX66" s="18" t="n"/>
      <c r="DY66" s="18" t="n">
        <v>150</v>
      </c>
      <c r="DZ66" s="18" t="n"/>
      <c r="EA66" s="18" t="n"/>
      <c r="EB66" s="18" t="n"/>
      <c r="EC66" s="18" t="n"/>
      <c r="ED66" s="18" t="n"/>
      <c r="EE66" s="18" t="n"/>
      <c r="EF66" s="18" t="n"/>
      <c r="EG66" s="18" t="n"/>
      <c r="EH66" s="18" t="n"/>
      <c r="EI66" s="18" t="n"/>
      <c r="EJ66" s="18" t="n"/>
      <c r="EK66" s="18" t="n"/>
      <c r="EL66" s="18" t="n"/>
      <c r="EM66" s="18" t="n"/>
      <c r="EN66" s="18" t="n"/>
      <c r="EO66" s="18" t="n"/>
      <c r="EP66" s="256" t="n"/>
      <c r="EQ66" s="18" t="n"/>
      <c r="ER66" s="18" t="n"/>
      <c r="ES66" s="239" t="inlineStr">
        <is>
          <t>20 P/ ER PG</t>
        </is>
      </c>
      <c r="ET66" s="260" t="n"/>
      <c r="EU66" s="18" t="n"/>
      <c r="EV66" s="18" t="n"/>
      <c r="EW66" s="18" t="n"/>
      <c r="EX66" s="18" t="n"/>
      <c r="EY66" s="18" t="n"/>
      <c r="EZ66" s="18" t="n"/>
      <c r="FA66" s="18" t="n"/>
      <c r="FB66" s="18" t="n"/>
      <c r="FC66" s="18" t="n"/>
      <c r="FD66" s="256" t="n"/>
      <c r="FE66" s="239" t="inlineStr">
        <is>
          <t>30 P/ ER</t>
        </is>
      </c>
      <c r="FF66" s="18" t="n"/>
      <c r="FG66" s="18" t="n"/>
      <c r="FH66" s="18" t="n"/>
      <c r="FI66" s="18" t="n"/>
      <c r="FJ66" s="18" t="n"/>
      <c r="FK66" s="18" t="n"/>
      <c r="FL66" s="18" t="n"/>
      <c r="FM66" s="18" t="n"/>
      <c r="FN66" s="18" t="n"/>
      <c r="FO66" s="18" t="n"/>
      <c r="FP66" s="18" t="n"/>
      <c r="FQ66" s="18" t="n"/>
      <c r="FR66" s="18" t="n"/>
      <c r="FS66" s="18" t="n"/>
      <c r="FT66" s="256" t="n"/>
      <c r="FU66" s="18" t="n"/>
      <c r="FV66" s="18" t="n"/>
      <c r="FW66" s="18" t="n"/>
      <c r="FX66" s="18" t="n"/>
      <c r="FY66" s="18" t="n"/>
      <c r="FZ66" s="18" t="n"/>
      <c r="GA66" s="18" t="n"/>
      <c r="GB66" s="18" t="n"/>
      <c r="GC66" s="18" t="n"/>
      <c r="GD66" s="18" t="n"/>
      <c r="GE66" s="18" t="n"/>
      <c r="GF66" s="18" t="n"/>
      <c r="GG66" s="18" t="n"/>
      <c r="GH66" s="18" t="n"/>
      <c r="GI66" s="18" t="n"/>
      <c r="GJ66" s="18" t="n"/>
      <c r="GK66" s="18" t="n"/>
      <c r="GL66" s="18" t="n"/>
      <c r="GM66" s="18" t="n"/>
      <c r="GN66" s="18" t="n"/>
    </row>
    <row r="67" ht="18.75" customHeight="1">
      <c r="A67" s="43" t="inlineStr">
        <is>
          <t>CAIXA P EUDORA</t>
        </is>
      </c>
      <c r="B67" s="149" t="n">
        <v>150</v>
      </c>
      <c r="C67" s="726" t="n">
        <v>400.5</v>
      </c>
      <c r="D67" s="329" t="n">
        <v>10</v>
      </c>
      <c r="F67" s="9" t="n">
        <v>104</v>
      </c>
      <c r="G67" s="9" t="n">
        <v>104</v>
      </c>
      <c r="H67" s="9" t="n">
        <v>97</v>
      </c>
      <c r="I67" s="9" t="n">
        <v>95</v>
      </c>
      <c r="J67" s="9" t="n">
        <v>94</v>
      </c>
      <c r="K67" s="9" t="n">
        <v>94</v>
      </c>
      <c r="L67" s="9" t="n">
        <v>94</v>
      </c>
      <c r="M67" s="9" t="n">
        <v>94</v>
      </c>
      <c r="N67" s="9" t="n">
        <v>94</v>
      </c>
      <c r="O67" s="9" t="n">
        <v>93</v>
      </c>
      <c r="P67" s="9" t="n">
        <v>92</v>
      </c>
      <c r="Q67" s="9" t="n">
        <v>87</v>
      </c>
      <c r="R67" s="9" t="n">
        <v>87</v>
      </c>
      <c r="S67" s="9" t="n">
        <v>87</v>
      </c>
      <c r="T67" s="9" t="n">
        <v>89</v>
      </c>
      <c r="U67" s="9" t="n">
        <v>89</v>
      </c>
      <c r="V67" s="9" t="n">
        <v>86</v>
      </c>
      <c r="W67" s="9" t="n">
        <v>85</v>
      </c>
      <c r="X67" s="9" t="n">
        <v>84</v>
      </c>
      <c r="Y67" s="9" t="n">
        <v>79</v>
      </c>
      <c r="Z67" s="9">
        <f>79-30</f>
        <v/>
      </c>
      <c r="AA67" s="9" t="n">
        <v>49</v>
      </c>
      <c r="AB67" s="9" t="n">
        <v>49</v>
      </c>
      <c r="AC67" s="9" t="n">
        <v>45</v>
      </c>
      <c r="AD67" s="9">
        <f>45-20</f>
        <v/>
      </c>
      <c r="AE67" s="9" t="n">
        <v>25</v>
      </c>
      <c r="AF67" s="9" t="n">
        <v>25</v>
      </c>
      <c r="AG67" s="9" t="n">
        <v>25</v>
      </c>
      <c r="AH67" s="9" t="n">
        <v>25</v>
      </c>
      <c r="AI67" s="9" t="n">
        <v>25</v>
      </c>
      <c r="AJ67" s="9" t="n">
        <v>25</v>
      </c>
      <c r="AK67" s="9" t="n">
        <v>25</v>
      </c>
      <c r="AL67" s="9" t="n">
        <v>24</v>
      </c>
      <c r="AM67" s="9" t="n">
        <v>0</v>
      </c>
      <c r="AN67" s="9">
        <f>0+DY66</f>
        <v/>
      </c>
      <c r="AO67" s="9" t="n">
        <v>0</v>
      </c>
      <c r="AP67" s="9" t="n">
        <v>0</v>
      </c>
      <c r="AQ67" s="9" t="n">
        <v>150</v>
      </c>
      <c r="AR67" s="9" t="n">
        <v>150</v>
      </c>
      <c r="AS67" s="9" t="n">
        <v>150</v>
      </c>
      <c r="AT67" s="9" t="n">
        <v>150</v>
      </c>
      <c r="AU67" s="9" t="n">
        <v>150</v>
      </c>
      <c r="AV67" s="9" t="n">
        <v>148</v>
      </c>
      <c r="AW67" s="9" t="n">
        <v>148</v>
      </c>
      <c r="AX67" s="9" t="n">
        <v>147</v>
      </c>
      <c r="AY67" s="9" t="n">
        <v>145</v>
      </c>
      <c r="AZ67" s="9" t="n">
        <v>145</v>
      </c>
      <c r="BA67" s="9" t="n">
        <v>143</v>
      </c>
      <c r="BB67" s="9" t="n">
        <v>142</v>
      </c>
      <c r="BC67" s="9" t="n">
        <v>0</v>
      </c>
      <c r="BD67" s="9" t="n">
        <v>0</v>
      </c>
      <c r="BE67" s="9" t="n">
        <v>0</v>
      </c>
      <c r="BF67" s="9" t="n">
        <v>0</v>
      </c>
      <c r="BG67" s="9" t="n">
        <v>0</v>
      </c>
      <c r="BH67" s="9" t="n">
        <v>150</v>
      </c>
      <c r="BI67" s="9" t="n">
        <v>150</v>
      </c>
      <c r="BJ67" s="9" t="n">
        <v>150</v>
      </c>
      <c r="BK67" s="9" t="n">
        <v>150</v>
      </c>
      <c r="BL67" s="9" t="n">
        <v>150</v>
      </c>
      <c r="BM67" s="9" t="n">
        <v>150</v>
      </c>
      <c r="BN67" s="9" t="n">
        <v>150</v>
      </c>
      <c r="BO67" s="9" t="n">
        <v>148</v>
      </c>
      <c r="BP67" s="9" t="n">
        <v>147</v>
      </c>
      <c r="BQ67" s="9" t="n">
        <v>147</v>
      </c>
      <c r="BR67" s="9" t="n">
        <v>147</v>
      </c>
      <c r="BS67" s="9" t="n">
        <v>147</v>
      </c>
      <c r="BT67" s="9" t="n"/>
      <c r="BU67" s="9" t="n"/>
      <c r="BV67" s="9" t="n"/>
      <c r="BW67" s="9" t="n">
        <v>144</v>
      </c>
      <c r="BX67" s="9" t="n">
        <v>137</v>
      </c>
      <c r="BY67" s="9" t="n">
        <v>136</v>
      </c>
      <c r="BZ67" s="9" t="n">
        <v>135</v>
      </c>
      <c r="CA67" s="9" t="n">
        <v>135</v>
      </c>
      <c r="CB67" s="154">
        <f>BZ67+IF(NOT(ISBLANK(OFFSET(CB67,0,6))),N(OFFSET(CB67,0,6)),N(OFFSET(CB67,0,7)))-CA67</f>
        <v/>
      </c>
      <c r="CD67" s="19" t="n"/>
      <c r="CE67" s="19" t="n"/>
      <c r="CF67" s="19" t="n"/>
      <c r="CG67" s="27" t="n"/>
      <c r="CI67" s="18" t="n">
        <v>0</v>
      </c>
      <c r="CJ67" s="18" t="n"/>
      <c r="CK67" s="18" t="n"/>
      <c r="CL67" s="18" t="n"/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>
        <v>150</v>
      </c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396" t="n"/>
      <c r="DP67" s="18" t="n"/>
      <c r="DQ67" s="18" t="n"/>
      <c r="DR67" s="18" t="n"/>
      <c r="DS67" s="18" t="n"/>
      <c r="DT67" s="18" t="n"/>
      <c r="DU67" s="18" t="n"/>
      <c r="DV67" s="18" t="n"/>
      <c r="DW67" s="18" t="n"/>
      <c r="DX67" s="18" t="n"/>
      <c r="DY67" s="18" t="n"/>
      <c r="DZ67" s="18" t="n"/>
      <c r="EA67" s="18" t="n"/>
      <c r="EB67" s="18" t="n"/>
      <c r="EC67" s="18" t="n"/>
      <c r="ED67" s="18" t="n"/>
      <c r="EE67" s="18" t="n"/>
      <c r="EF67" s="18" t="n"/>
      <c r="EG67" s="18" t="n"/>
      <c r="EH67" s="18" t="n"/>
      <c r="EI67" s="18" t="n"/>
      <c r="EJ67" s="18" t="n"/>
      <c r="EK67" s="18" t="n"/>
      <c r="EL67" s="18" t="n"/>
      <c r="EM67" s="18" t="n"/>
      <c r="EN67" s="18" t="n"/>
      <c r="EO67" s="18" t="n"/>
      <c r="EP67" s="256" t="n"/>
      <c r="EQ67" s="18" t="n"/>
      <c r="ER67" s="18" t="n"/>
      <c r="ES67" s="18" t="n"/>
      <c r="ET67" s="18" t="n"/>
      <c r="EU67" s="18" t="n"/>
      <c r="EV67" s="18" t="n"/>
      <c r="EW67" s="18" t="n"/>
      <c r="EX67" s="18" t="n"/>
      <c r="EY67" s="18" t="n"/>
      <c r="EZ67" s="18" t="n"/>
      <c r="FA67" s="18" t="n"/>
      <c r="FB67" s="18" t="n"/>
      <c r="FC67" s="18" t="n"/>
      <c r="FD67" s="256" t="n"/>
      <c r="FE67" s="18" t="n"/>
      <c r="FF67" s="18" t="n"/>
      <c r="FG67" s="18" t="n"/>
      <c r="FH67" s="18" t="n"/>
      <c r="FI67" s="18" t="n"/>
      <c r="FJ67" s="18" t="n"/>
      <c r="FK67" s="18" t="n"/>
      <c r="FL67" s="18" t="n"/>
      <c r="FM67" s="18" t="n"/>
      <c r="FN67" s="18" t="n"/>
      <c r="FO67" s="18" t="n"/>
      <c r="FP67" s="18" t="n"/>
      <c r="FQ67" s="18" t="n"/>
      <c r="FR67" s="18" t="n"/>
      <c r="FS67" s="18" t="n"/>
      <c r="FT67" s="256" t="n"/>
      <c r="FU67" s="18" t="n"/>
      <c r="FV67" s="18" t="n"/>
      <c r="FW67" s="18" t="n"/>
      <c r="FX67" s="18" t="n"/>
      <c r="FY67" s="18" t="n"/>
      <c r="FZ67" s="18" t="n"/>
      <c r="GA67" s="18" t="n"/>
      <c r="GB67" s="18" t="n"/>
      <c r="GC67" s="18" t="n"/>
      <c r="GD67" s="18" t="n"/>
      <c r="GE67" s="18" t="n"/>
      <c r="GF67" s="18" t="n"/>
      <c r="GG67" s="18" t="n"/>
      <c r="GH67" s="18" t="n"/>
      <c r="GI67" s="18" t="n"/>
      <c r="GJ67" s="18" t="n"/>
      <c r="GK67" s="18" t="n"/>
      <c r="GL67" s="18" t="n"/>
      <c r="GM67" s="18" t="n"/>
      <c r="GN67" s="18" t="n"/>
    </row>
    <row r="68" ht="18.75" customHeight="1">
      <c r="A68" s="43" t="inlineStr">
        <is>
          <t>CAIXA M EUDORA</t>
        </is>
      </c>
      <c r="B68" s="149" t="n">
        <v>100</v>
      </c>
      <c r="C68" s="726" t="n">
        <v>365</v>
      </c>
      <c r="D68" s="329" t="n">
        <v>10</v>
      </c>
      <c r="F68" s="9" t="n">
        <v>66</v>
      </c>
      <c r="G68" s="9" t="n">
        <v>66</v>
      </c>
      <c r="H68" s="9" t="n">
        <v>37</v>
      </c>
      <c r="I68" s="9" t="n">
        <v>37</v>
      </c>
      <c r="J68" s="9" t="n">
        <v>37</v>
      </c>
      <c r="K68" s="9" t="n">
        <v>37</v>
      </c>
      <c r="L68" s="9" t="n">
        <v>36</v>
      </c>
      <c r="M68" s="9" t="n">
        <v>34</v>
      </c>
      <c r="N68" s="9" t="n">
        <v>32</v>
      </c>
      <c r="O68" s="9" t="n">
        <v>31</v>
      </c>
      <c r="P68" s="9" t="n">
        <v>31</v>
      </c>
      <c r="Q68" s="9" t="n">
        <v>31</v>
      </c>
      <c r="R68" s="9" t="n">
        <v>31</v>
      </c>
      <c r="S68" s="9" t="n">
        <v>31</v>
      </c>
      <c r="T68" s="9" t="n">
        <v>31</v>
      </c>
      <c r="U68" s="9" t="n">
        <v>31</v>
      </c>
      <c r="V68" s="9" t="n">
        <v>30</v>
      </c>
      <c r="W68" s="9" t="n">
        <v>30</v>
      </c>
      <c r="X68" s="9" t="n">
        <v>29</v>
      </c>
      <c r="Y68" s="9" t="n">
        <v>28</v>
      </c>
      <c r="Z68" s="9" t="n">
        <v>27</v>
      </c>
      <c r="AA68" s="9" t="n">
        <v>27</v>
      </c>
      <c r="AB68" s="9" t="n">
        <v>24</v>
      </c>
      <c r="AC68" s="9" t="n">
        <v>24</v>
      </c>
      <c r="AD68" s="9" t="n">
        <v>24</v>
      </c>
      <c r="AE68" s="9" t="n">
        <v>22</v>
      </c>
      <c r="AF68" s="9" t="n">
        <v>22</v>
      </c>
      <c r="AG68" s="9" t="n">
        <v>21</v>
      </c>
      <c r="AH68" s="9" t="n">
        <v>21</v>
      </c>
      <c r="AI68" s="9" t="n">
        <v>21</v>
      </c>
      <c r="AJ68" s="9" t="n">
        <v>21</v>
      </c>
      <c r="AK68" s="9" t="n">
        <v>21</v>
      </c>
      <c r="AL68" s="9" t="n">
        <v>20</v>
      </c>
      <c r="AM68" s="9" t="n">
        <v>19</v>
      </c>
      <c r="AN68" s="9" t="n">
        <v>19</v>
      </c>
      <c r="AO68" s="9" t="n">
        <v>18</v>
      </c>
      <c r="AP68" s="9" t="n">
        <v>18</v>
      </c>
      <c r="AQ68" s="9" t="n">
        <v>17</v>
      </c>
      <c r="AR68" s="9" t="n">
        <v>16</v>
      </c>
      <c r="AS68" s="9" t="n">
        <v>16</v>
      </c>
      <c r="AT68" s="9" t="n">
        <v>15</v>
      </c>
      <c r="AU68" s="9" t="n">
        <v>13</v>
      </c>
      <c r="AV68" s="9" t="n">
        <v>13</v>
      </c>
      <c r="AW68" s="9" t="n">
        <v>11</v>
      </c>
      <c r="AX68" s="9" t="n">
        <v>10</v>
      </c>
      <c r="AY68" s="9" t="n">
        <v>10</v>
      </c>
      <c r="AZ68" s="9" t="n">
        <v>8</v>
      </c>
      <c r="BA68" s="9" t="n">
        <v>5</v>
      </c>
      <c r="BB68" s="9" t="n">
        <v>4</v>
      </c>
      <c r="BC68" s="9" t="n">
        <v>3</v>
      </c>
      <c r="BD68" s="9" t="n">
        <v>2</v>
      </c>
      <c r="BE68" s="9" t="n">
        <v>0</v>
      </c>
      <c r="BF68" s="9" t="n">
        <v>0</v>
      </c>
      <c r="BG68" s="9" t="n">
        <v>0</v>
      </c>
      <c r="BH68" s="9" t="n">
        <v>100</v>
      </c>
      <c r="BI68" s="9" t="n">
        <v>100</v>
      </c>
      <c r="BJ68" s="9" t="n">
        <v>99</v>
      </c>
      <c r="BK68" s="9" t="n">
        <v>99</v>
      </c>
      <c r="BL68" s="9" t="n">
        <v>99</v>
      </c>
      <c r="BM68" s="9" t="n">
        <v>99</v>
      </c>
      <c r="BN68" s="9" t="n">
        <v>99</v>
      </c>
      <c r="BO68" s="9" t="n">
        <v>97</v>
      </c>
      <c r="BP68" s="9" t="n">
        <v>96</v>
      </c>
      <c r="BQ68" s="9" t="n">
        <v>96</v>
      </c>
      <c r="BR68" s="9" t="n">
        <v>96</v>
      </c>
      <c r="BS68" s="9" t="n">
        <v>96</v>
      </c>
      <c r="BT68" s="9" t="n"/>
      <c r="BU68" s="9" t="n"/>
      <c r="BV68" s="9" t="n"/>
      <c r="BW68" s="9" t="n">
        <v>92</v>
      </c>
      <c r="BX68" s="9" t="n">
        <v>89</v>
      </c>
      <c r="BY68" s="190" t="n">
        <v>66</v>
      </c>
      <c r="BZ68" s="9" t="n">
        <v>66</v>
      </c>
      <c r="CA68" s="9" t="n">
        <v>66</v>
      </c>
      <c r="CB68" s="154">
        <f>BZ68+IF(NOT(ISBLANK(OFFSET(CB68,0,6))),N(OFFSET(CB68,0,6)),N(OFFSET(CB68,0,7)))-CA68</f>
        <v/>
      </c>
      <c r="CD68" s="19" t="n"/>
      <c r="CE68" s="19" t="n"/>
      <c r="CF68" s="19" t="n"/>
      <c r="CG68" s="27" t="n"/>
      <c r="CI68" s="18" t="n">
        <v>0</v>
      </c>
      <c r="CJ68" s="18" t="n"/>
      <c r="CK68" s="18" t="n"/>
      <c r="CL68" s="18" t="n"/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>
        <v>100</v>
      </c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396" t="n"/>
      <c r="DP68" s="18" t="n"/>
      <c r="DQ68" s="18" t="n"/>
      <c r="DR68" s="18" t="n"/>
      <c r="DS68" s="18" t="n"/>
      <c r="DT68" s="18" t="n"/>
      <c r="DU68" s="18" t="n"/>
      <c r="DV68" s="18" t="n"/>
      <c r="DW68" s="18" t="n"/>
      <c r="DX68" s="18" t="n"/>
      <c r="DY68" s="18" t="n"/>
      <c r="DZ68" s="18" t="n"/>
      <c r="EA68" s="18" t="n"/>
      <c r="EB68" s="18" t="n"/>
      <c r="EC68" s="18" t="n"/>
      <c r="ED68" s="18" t="n"/>
      <c r="EE68" s="18" t="n"/>
      <c r="EF68" s="18" t="n"/>
      <c r="EG68" s="18" t="n"/>
      <c r="EH68" s="18" t="n"/>
      <c r="EI68" s="18" t="n"/>
      <c r="EJ68" s="18" t="n"/>
      <c r="EK68" s="18" t="n"/>
      <c r="EL68" s="18" t="n"/>
      <c r="EM68" s="18" t="n"/>
      <c r="EN68" s="18" t="n"/>
      <c r="EO68" s="18" t="n"/>
      <c r="EP68" s="276" t="n"/>
      <c r="EQ68" s="18" t="n"/>
      <c r="ER68" s="18" t="n"/>
      <c r="ES68" s="18" t="n"/>
      <c r="ET68" s="18" t="n"/>
      <c r="EU68" s="18" t="n"/>
      <c r="EV68" s="18" t="n"/>
      <c r="EW68" s="18" t="n"/>
      <c r="EX68" s="18" t="n"/>
      <c r="EY68" s="18" t="n"/>
      <c r="EZ68" s="18" t="n"/>
      <c r="FA68" s="18" t="n"/>
      <c r="FB68" s="18" t="n"/>
      <c r="FC68" s="18" t="n"/>
      <c r="FD68" s="276" t="n"/>
      <c r="FE68" s="18" t="n"/>
      <c r="FF68" s="18" t="n"/>
      <c r="FG68" s="18" t="n"/>
      <c r="FH68" s="18" t="n"/>
      <c r="FI68" s="18" t="n"/>
      <c r="FJ68" s="18" t="n"/>
      <c r="FK68" s="18" t="n"/>
      <c r="FL68" s="18" t="n"/>
      <c r="FM68" s="18" t="n"/>
      <c r="FN68" s="18" t="n"/>
      <c r="FO68" s="18" t="n"/>
      <c r="FP68" s="18" t="n"/>
      <c r="FQ68" s="18" t="n"/>
      <c r="FR68" s="18" t="n"/>
      <c r="FS68" s="18" t="n"/>
      <c r="FT68" s="276" t="n"/>
      <c r="FU68" s="18" t="n"/>
      <c r="FV68" s="18" t="n"/>
      <c r="FW68" s="18" t="n"/>
      <c r="FX68" s="18" t="n"/>
      <c r="FY68" s="18" t="n"/>
      <c r="FZ68" s="18" t="n"/>
      <c r="GA68" s="18" t="n"/>
      <c r="GB68" s="18" t="n"/>
      <c r="GC68" s="18" t="n"/>
      <c r="GD68" s="18" t="n"/>
      <c r="GE68" s="18" t="n"/>
      <c r="GF68" s="18" t="n"/>
      <c r="GG68" s="18" t="n"/>
      <c r="GH68" s="18" t="n"/>
      <c r="GI68" s="18" t="n"/>
      <c r="GJ68" s="18" t="n"/>
      <c r="GK68" s="18" t="n"/>
      <c r="GL68" s="18" t="n"/>
      <c r="GM68" s="18" t="n"/>
      <c r="GN68" s="18" t="n"/>
    </row>
    <row r="69" ht="18.75" customHeight="1">
      <c r="A69" s="43" t="inlineStr">
        <is>
          <t>CAIXA G EUDORA</t>
        </is>
      </c>
      <c r="B69" s="149" t="n">
        <v>75</v>
      </c>
      <c r="C69" s="726" t="n">
        <v>438.75</v>
      </c>
      <c r="D69" s="329" t="n">
        <v>5</v>
      </c>
      <c r="F69" s="9" t="n">
        <v>59</v>
      </c>
      <c r="G69" s="9" t="n">
        <v>59</v>
      </c>
      <c r="H69" s="9" t="n">
        <v>59</v>
      </c>
      <c r="I69" s="9" t="n">
        <v>59</v>
      </c>
      <c r="J69" s="9" t="n">
        <v>59</v>
      </c>
      <c r="K69" s="9" t="n">
        <v>59</v>
      </c>
      <c r="L69" s="9" t="n">
        <v>59</v>
      </c>
      <c r="M69" s="9" t="n">
        <v>59</v>
      </c>
      <c r="N69" s="9" t="n">
        <v>59</v>
      </c>
      <c r="O69" s="9" t="n">
        <v>58</v>
      </c>
      <c r="P69" s="9" t="n">
        <v>58</v>
      </c>
      <c r="Q69" s="9" t="n">
        <v>41</v>
      </c>
      <c r="R69" s="9" t="n">
        <v>41</v>
      </c>
      <c r="S69" s="9" t="n">
        <v>41</v>
      </c>
      <c r="T69" s="9" t="n">
        <v>41</v>
      </c>
      <c r="U69" s="9" t="n">
        <v>40</v>
      </c>
      <c r="V69" s="9" t="n">
        <v>40</v>
      </c>
      <c r="W69" s="9" t="n">
        <v>40</v>
      </c>
      <c r="X69" s="9" t="n">
        <v>40</v>
      </c>
      <c r="Y69" s="9" t="n">
        <v>40</v>
      </c>
      <c r="Z69" s="9" t="n">
        <v>40</v>
      </c>
      <c r="AA69" s="9" t="n">
        <v>40</v>
      </c>
      <c r="AB69" s="9" t="n">
        <v>40</v>
      </c>
      <c r="AC69" s="9" t="n">
        <v>40</v>
      </c>
      <c r="AD69" s="9" t="n">
        <v>40</v>
      </c>
      <c r="AE69" s="9" t="n">
        <v>40</v>
      </c>
      <c r="AF69" s="9" t="n">
        <v>40</v>
      </c>
      <c r="AG69" s="9" t="n">
        <v>40</v>
      </c>
      <c r="AH69" s="9" t="n">
        <v>40</v>
      </c>
      <c r="AI69" s="9" t="n">
        <v>40</v>
      </c>
      <c r="AJ69" s="9" t="n">
        <v>40</v>
      </c>
      <c r="AK69" s="9" t="n">
        <v>40</v>
      </c>
      <c r="AL69" s="9" t="n">
        <v>40</v>
      </c>
      <c r="AM69" s="9" t="n">
        <v>40</v>
      </c>
      <c r="AN69" s="9" t="n">
        <v>40</v>
      </c>
      <c r="AO69" s="9" t="n">
        <v>40</v>
      </c>
      <c r="AP69" s="9" t="n">
        <v>40</v>
      </c>
      <c r="AQ69" s="9" t="n">
        <v>40</v>
      </c>
      <c r="AR69" s="9" t="n">
        <v>40</v>
      </c>
      <c r="AS69" s="9" t="n">
        <v>40</v>
      </c>
      <c r="AT69" s="9" t="n">
        <v>40</v>
      </c>
      <c r="AU69" s="9" t="n">
        <v>40</v>
      </c>
      <c r="AV69" s="9" t="n">
        <v>40</v>
      </c>
      <c r="AW69" s="9" t="n">
        <v>40</v>
      </c>
      <c r="AX69" s="9" t="n">
        <v>40</v>
      </c>
      <c r="AY69" s="9" t="n">
        <v>40</v>
      </c>
      <c r="AZ69" s="9" t="n">
        <v>38</v>
      </c>
      <c r="BA69" s="9" t="n">
        <v>38</v>
      </c>
      <c r="BB69" s="9" t="n">
        <v>38</v>
      </c>
      <c r="BC69" s="9" t="n">
        <v>38</v>
      </c>
      <c r="BD69" s="9" t="n">
        <v>38</v>
      </c>
      <c r="BE69" s="9" t="n">
        <v>38</v>
      </c>
      <c r="BF69" s="9" t="n">
        <v>38</v>
      </c>
      <c r="BG69" s="9" t="n">
        <v>38</v>
      </c>
      <c r="BH69" s="9" t="n">
        <v>38</v>
      </c>
      <c r="BI69" s="9" t="n">
        <v>38</v>
      </c>
      <c r="BJ69" s="9" t="n">
        <v>38</v>
      </c>
      <c r="BK69" s="9" t="n">
        <v>38</v>
      </c>
      <c r="BL69" s="9" t="n">
        <v>38</v>
      </c>
      <c r="BM69" s="9" t="n">
        <v>38</v>
      </c>
      <c r="BN69" s="9" t="n">
        <v>38</v>
      </c>
      <c r="BO69" s="9" t="n">
        <v>38</v>
      </c>
      <c r="BP69" s="9" t="n">
        <v>38</v>
      </c>
      <c r="BQ69" s="9" t="n">
        <v>38</v>
      </c>
      <c r="BR69" s="9" t="n">
        <v>38</v>
      </c>
      <c r="BS69" s="9" t="n">
        <v>38</v>
      </c>
      <c r="BT69" s="9" t="n"/>
      <c r="BU69" s="9" t="n"/>
      <c r="BV69" s="9" t="n"/>
      <c r="BW69" s="9" t="n">
        <v>38</v>
      </c>
      <c r="BX69" s="9" t="n">
        <v>38</v>
      </c>
      <c r="BY69" s="9" t="n">
        <v>38</v>
      </c>
      <c r="BZ69" s="9" t="n">
        <v>38</v>
      </c>
      <c r="CA69" s="9" t="n">
        <v>38</v>
      </c>
      <c r="CB69" s="154">
        <f>BZ69+IF(NOT(ISBLANK(OFFSET(CB69,0,6))),N(OFFSET(CB69,0,6)),N(OFFSET(CB69,0,7)))-CA69</f>
        <v/>
      </c>
      <c r="CD69" s="19" t="n"/>
      <c r="CE69" s="19" t="n"/>
      <c r="CF69" s="19" t="n"/>
      <c r="CG69" s="27" t="n"/>
      <c r="CI69" s="18" t="n">
        <v>0</v>
      </c>
      <c r="CJ69" s="18" t="n"/>
      <c r="CK69" s="18" t="n"/>
      <c r="CL69" s="18" t="n"/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396" t="n"/>
      <c r="DP69" s="18" t="n"/>
      <c r="DQ69" s="18" t="n"/>
    </row>
    <row r="70" ht="18.75" customHeight="1">
      <c r="A70" s="31" t="n"/>
      <c r="B70" s="53" t="n"/>
      <c r="C70" s="53" t="n"/>
      <c r="D70" s="53" t="n"/>
      <c r="E70" s="53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4" t="n"/>
      <c r="AL70" s="4" t="n"/>
      <c r="AM70" s="4" t="n"/>
      <c r="AN70" s="4" t="n"/>
      <c r="AO70" s="4" t="n"/>
      <c r="AP70" s="4" t="n"/>
      <c r="AQ70" s="4" t="n"/>
      <c r="AR70" s="4" t="n"/>
      <c r="AS70" s="4" t="n"/>
      <c r="AT70" s="4" t="n"/>
      <c r="AU70" s="4" t="n"/>
      <c r="AV70" s="4" t="n"/>
      <c r="AW70" s="4" t="n"/>
      <c r="AX70" s="4" t="n"/>
      <c r="AY70" s="4" t="n"/>
      <c r="AZ70" s="4" t="n"/>
      <c r="BA70" s="4" t="n"/>
      <c r="BB70" s="4" t="n"/>
      <c r="BC70" s="4" t="n"/>
      <c r="BD70" s="4" t="n"/>
      <c r="BE70" s="4" t="n"/>
      <c r="BF70" s="4" t="n"/>
      <c r="BG70" s="4" t="n"/>
      <c r="BH70" s="4" t="n"/>
      <c r="BI70" s="4" t="n"/>
      <c r="BJ70" s="4" t="n"/>
      <c r="BK70" s="4" t="n"/>
      <c r="BL70" s="4" t="n"/>
      <c r="BM70" s="4" t="n"/>
      <c r="BN70" s="4" t="n"/>
      <c r="BO70" s="4" t="n"/>
      <c r="BP70" s="4" t="n"/>
      <c r="BQ70" s="4" t="n"/>
      <c r="BR70" s="4" t="n"/>
      <c r="BS70" s="4" t="n"/>
      <c r="BT70" s="4" t="n"/>
      <c r="BU70" s="4" t="n"/>
      <c r="BV70" s="4" t="n"/>
      <c r="BW70" s="4" t="n"/>
      <c r="BX70" s="4" t="n"/>
      <c r="BY70" s="4" t="n"/>
      <c r="BZ70" s="4" t="n"/>
      <c r="CA70" s="4" t="n"/>
      <c r="CB70" s="53" t="n"/>
      <c r="CE70" s="411" t="n"/>
      <c r="DR70" s="654" t="n">
        <v>45915</v>
      </c>
      <c r="DS70" s="654" t="n">
        <v>45909</v>
      </c>
      <c r="DT70" s="654" t="n">
        <v>45903</v>
      </c>
      <c r="DU70" s="654" t="n">
        <v>45903</v>
      </c>
      <c r="DV70" s="654" t="n">
        <v>45895</v>
      </c>
      <c r="DW70" s="654" t="n">
        <v>45881</v>
      </c>
      <c r="DX70" s="679" t="n">
        <v>45896</v>
      </c>
      <c r="DY70" s="654" t="n">
        <v>45888</v>
      </c>
      <c r="DZ70" s="679" t="n">
        <v>45839</v>
      </c>
      <c r="EA70" s="654" t="n">
        <v>45874</v>
      </c>
      <c r="EB70" s="654" t="n">
        <v>45867</v>
      </c>
      <c r="EC70" s="655" t="n">
        <v>45882</v>
      </c>
      <c r="ED70" s="655" t="n">
        <v>45881</v>
      </c>
      <c r="EE70" s="654" t="n">
        <v>45874</v>
      </c>
      <c r="EF70" s="654" t="n">
        <v>45867</v>
      </c>
      <c r="EG70" s="654" t="n">
        <v>45860</v>
      </c>
      <c r="EH70" s="655" t="n">
        <v>45863</v>
      </c>
      <c r="EI70" s="655" t="n">
        <v>45860</v>
      </c>
      <c r="EJ70" s="654" t="n">
        <v>45860</v>
      </c>
      <c r="EK70" s="654" t="n">
        <v>45853</v>
      </c>
      <c r="EL70" s="681" t="n">
        <v>45855</v>
      </c>
      <c r="EM70" s="654" t="n">
        <v>45848</v>
      </c>
      <c r="EN70" s="654" t="n">
        <v>45839</v>
      </c>
      <c r="EO70" s="654" t="n">
        <v>45832</v>
      </c>
      <c r="EP70" s="650" t="n">
        <v>45842</v>
      </c>
      <c r="EQ70" s="654" t="n">
        <v>45832</v>
      </c>
      <c r="ER70" s="654" t="n">
        <v>45825</v>
      </c>
      <c r="ES70" s="655" t="n">
        <v>45826</v>
      </c>
      <c r="ET70" s="655" t="n">
        <v>45825</v>
      </c>
      <c r="EU70" s="654" t="n">
        <v>45819</v>
      </c>
      <c r="EV70" s="654" t="n">
        <v>45813</v>
      </c>
      <c r="EW70" s="655" t="n">
        <v>45820</v>
      </c>
      <c r="EX70" s="655" t="n">
        <v>45818</v>
      </c>
      <c r="EY70" s="654" t="n">
        <v>45805</v>
      </c>
      <c r="EZ70" s="655" t="n">
        <v>45807</v>
      </c>
      <c r="FA70" s="654" t="n">
        <v>45790</v>
      </c>
      <c r="FB70" s="655" t="n">
        <v>45799</v>
      </c>
      <c r="FC70" s="690" t="n">
        <v>45799</v>
      </c>
      <c r="FD70" s="650" t="n">
        <v>45798</v>
      </c>
      <c r="FE70" s="655" t="n">
        <v>45798</v>
      </c>
      <c r="FF70" s="655" t="n">
        <v>45797</v>
      </c>
      <c r="FG70" s="654" t="n">
        <v>45790</v>
      </c>
      <c r="FH70" s="654" t="n">
        <v>45783</v>
      </c>
      <c r="FI70" s="654" t="n">
        <v>45775</v>
      </c>
      <c r="FJ70" s="654" t="n">
        <v>45756</v>
      </c>
      <c r="FK70" s="654" t="n">
        <v>45770</v>
      </c>
      <c r="FL70" s="654" t="n">
        <v>45756</v>
      </c>
      <c r="FM70" s="654" t="n">
        <v>45749</v>
      </c>
      <c r="FN70" s="654" t="n">
        <v>45736</v>
      </c>
      <c r="FO70" s="654" t="n">
        <v>45743</v>
      </c>
      <c r="FP70" s="654" t="n">
        <v>45735</v>
      </c>
      <c r="FQ70" s="654" t="n">
        <v>45728</v>
      </c>
      <c r="FR70" s="654" t="n">
        <v>45722</v>
      </c>
      <c r="FS70" s="654" t="n">
        <v>45714</v>
      </c>
      <c r="FT70" s="650" t="n">
        <v>45700</v>
      </c>
      <c r="FU70" s="654" t="n">
        <v>45706</v>
      </c>
      <c r="FV70" s="654" t="n">
        <v>45700</v>
      </c>
      <c r="FW70" s="654" t="n">
        <v>45684</v>
      </c>
      <c r="FX70" s="654" t="n">
        <v>45699</v>
      </c>
      <c r="FY70" s="654" t="n">
        <v>45699</v>
      </c>
      <c r="FZ70" s="655" t="n">
        <v>45706</v>
      </c>
      <c r="GA70" s="654" t="n">
        <v>45693</v>
      </c>
      <c r="GB70" s="654" t="n">
        <v>45693</v>
      </c>
      <c r="GC70" s="654" t="n">
        <v>45685</v>
      </c>
      <c r="GD70" s="712" t="n">
        <v>45692</v>
      </c>
      <c r="GE70" s="655" t="n">
        <v>45691</v>
      </c>
      <c r="GF70" s="655" t="n">
        <v>45681</v>
      </c>
      <c r="GG70" s="654" t="n">
        <v>45674</v>
      </c>
      <c r="GH70" s="655" t="n">
        <v>45672</v>
      </c>
      <c r="GI70" s="654" t="n">
        <v>45664</v>
      </c>
      <c r="GJ70" s="654" t="n">
        <v>46008</v>
      </c>
      <c r="GK70" s="654" t="n">
        <v>45660</v>
      </c>
      <c r="GL70" s="654" t="n">
        <v>45652</v>
      </c>
      <c r="GM70" s="654" t="n">
        <v>45638</v>
      </c>
      <c r="GN70" s="654" t="n">
        <v>45643</v>
      </c>
    </row>
    <row r="71" ht="18.75" customHeight="1">
      <c r="A71" s="208" t="inlineStr">
        <is>
          <t>CAIXAS KRAFTS - LUAPACK</t>
        </is>
      </c>
      <c r="B71" s="365" t="inlineStr">
        <is>
          <t>PC</t>
        </is>
      </c>
      <c r="C71" s="365" t="inlineStr">
        <is>
          <t>R$/ UND.</t>
        </is>
      </c>
      <c r="D71" s="208" t="n"/>
      <c r="E71" s="53" t="n"/>
      <c r="F71" s="650" t="n">
        <v>45656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2" t="inlineStr">
        <is>
          <t>USOU</t>
        </is>
      </c>
      <c r="CD71" s="35" t="inlineStr">
        <is>
          <t>Pend.</t>
        </is>
      </c>
      <c r="CE71" s="413" t="inlineStr">
        <is>
          <t>TRANSFERÊNCIA</t>
        </is>
      </c>
      <c r="CF71" s="35" t="inlineStr">
        <is>
          <t>Pend.</t>
        </is>
      </c>
      <c r="CG71" s="12" t="inlineStr">
        <is>
          <t>Novo Pedido</t>
        </is>
      </c>
      <c r="CI71" s="654" t="n">
        <v>46149</v>
      </c>
      <c r="CJ71" s="654" t="n">
        <v>46114</v>
      </c>
      <c r="CK71" s="654" t="n">
        <v>46099</v>
      </c>
      <c r="CL71" s="710" t="n">
        <v>46065</v>
      </c>
      <c r="CM71" s="711" t="n">
        <v>46045</v>
      </c>
      <c r="CN71" s="654" t="n">
        <v>46076</v>
      </c>
      <c r="CO71" s="655" t="n">
        <v>46084</v>
      </c>
      <c r="CP71" s="654" t="n">
        <v>46077</v>
      </c>
      <c r="CQ71" s="655" t="n">
        <v>46077</v>
      </c>
      <c r="CR71" s="654" t="n">
        <v>46071</v>
      </c>
      <c r="CS71" s="654" t="n">
        <v>46071</v>
      </c>
      <c r="CT71" s="654" t="n">
        <v>46056</v>
      </c>
      <c r="CU71" s="654" t="n">
        <v>46043</v>
      </c>
      <c r="CV71" s="654" t="n">
        <v>46035</v>
      </c>
      <c r="CW71" s="654" t="n">
        <v>46029</v>
      </c>
      <c r="CX71" s="654" t="n">
        <v>46017</v>
      </c>
      <c r="CY71" s="654" t="n">
        <v>46001</v>
      </c>
      <c r="CZ71" s="654" t="n">
        <v>46007</v>
      </c>
      <c r="DA71" s="654" t="n">
        <v>45994</v>
      </c>
      <c r="DB71" s="654" t="n">
        <v>45986</v>
      </c>
      <c r="DC71" s="654" t="n">
        <v>45986</v>
      </c>
      <c r="DD71" s="654" t="n">
        <v>45980</v>
      </c>
      <c r="DE71" s="654" t="n">
        <v>45980</v>
      </c>
      <c r="DF71" s="654" t="n">
        <v>45973</v>
      </c>
      <c r="DG71" s="654" t="n">
        <v>45965</v>
      </c>
      <c r="DH71" s="654" t="n">
        <v>45960</v>
      </c>
      <c r="DI71" s="655" t="n">
        <v>45967</v>
      </c>
      <c r="DJ71" s="654" t="n">
        <v>45937</v>
      </c>
      <c r="DK71" s="654" t="n">
        <v>45951</v>
      </c>
      <c r="DL71" s="654" t="n">
        <v>45931</v>
      </c>
      <c r="DM71" s="654" t="n">
        <v>45923</v>
      </c>
      <c r="DN71" s="654" t="n">
        <v>45923</v>
      </c>
      <c r="DO71" s="678" t="n">
        <v>45903</v>
      </c>
      <c r="DP71" s="655" t="n">
        <v>45931</v>
      </c>
      <c r="DQ71" s="688" t="n">
        <v>45931</v>
      </c>
      <c r="DR71" s="110" t="n"/>
      <c r="DS71" s="110" t="n"/>
      <c r="DT71" s="110" t="n"/>
      <c r="DU71" s="110" t="n"/>
      <c r="DV71" s="110" t="n"/>
      <c r="DW71" s="110" t="n"/>
      <c r="DX71" s="110" t="n"/>
      <c r="DY71" s="110" t="n"/>
      <c r="DZ71" s="110" t="n"/>
      <c r="EA71" s="110" t="n">
        <v>5050</v>
      </c>
      <c r="EB71" s="110" t="n"/>
      <c r="EC71" s="110" t="n"/>
      <c r="ED71" s="110" t="n"/>
      <c r="EE71" s="110" t="n"/>
      <c r="EF71" s="110" t="n"/>
      <c r="EG71" s="110" t="n"/>
      <c r="EH71" s="110" t="n"/>
      <c r="EI71" s="110" t="n"/>
      <c r="EJ71" s="110" t="n"/>
      <c r="EK71" s="110" t="n"/>
      <c r="EL71" s="18" t="n"/>
      <c r="EM71" s="110" t="n"/>
      <c r="EN71" s="110" t="n"/>
      <c r="EO71" s="110" t="n">
        <v>3722</v>
      </c>
      <c r="EP71" s="274" t="n"/>
      <c r="EQ71" s="110" t="n"/>
      <c r="ER71" s="110" t="n"/>
      <c r="ES71" s="110" t="n"/>
      <c r="ET71" s="110" t="n"/>
      <c r="EU71" s="110" t="n"/>
      <c r="EV71" s="110" t="n"/>
      <c r="EW71" s="110" t="n"/>
      <c r="EX71" s="110" t="n"/>
      <c r="EY71" s="110" t="n"/>
      <c r="EZ71" s="110" t="n"/>
      <c r="FA71" s="110" t="n"/>
      <c r="FB71" s="110" t="n"/>
      <c r="FC71" s="110" t="n"/>
      <c r="FD71" s="274" t="n"/>
      <c r="FE71" s="110" t="n"/>
      <c r="FF71" s="110" t="n"/>
      <c r="FG71" s="110" t="n"/>
      <c r="FH71" s="110" t="n"/>
      <c r="FI71" s="110" t="n"/>
      <c r="FJ71" s="110" t="n"/>
      <c r="FK71" s="110" t="n"/>
      <c r="FL71" s="110" t="n"/>
      <c r="FM71" s="110" t="n"/>
      <c r="FN71" s="110" t="n">
        <v>4598</v>
      </c>
      <c r="FO71" s="110" t="n"/>
      <c r="FP71" s="110" t="n"/>
      <c r="FQ71" s="110" t="n"/>
      <c r="FR71" s="110" t="n"/>
      <c r="FS71" s="110" t="n"/>
      <c r="FT71" s="274" t="n"/>
      <c r="FU71" s="110" t="n"/>
      <c r="FV71" s="110" t="n">
        <v>2021</v>
      </c>
      <c r="FW71" s="110" t="n"/>
      <c r="FX71" s="110" t="n"/>
      <c r="FY71" s="110" t="n"/>
      <c r="FZ71" s="110" t="n"/>
      <c r="GA71" s="110" t="n"/>
      <c r="GB71" s="110" t="n"/>
      <c r="GC71" s="110" t="n"/>
      <c r="GD71" s="110" t="n"/>
      <c r="GE71" s="110" t="n"/>
      <c r="GF71" s="110" t="n"/>
      <c r="GG71" s="110" t="n"/>
      <c r="GH71" s="110" t="n"/>
      <c r="GI71" s="110" t="n"/>
      <c r="GJ71" s="110" t="n"/>
      <c r="GK71" s="110" t="n"/>
      <c r="GL71" s="110" t="n"/>
      <c r="GM71" s="110" t="n"/>
      <c r="GN71" s="110" t="n"/>
    </row>
    <row r="72" ht="18.75" customHeight="1">
      <c r="A72" s="33" t="inlineStr">
        <is>
          <t>CAIXA P</t>
        </is>
      </c>
      <c r="B72" s="36" t="n">
        <v>25</v>
      </c>
      <c r="C72" s="668" t="n">
        <v>1.43</v>
      </c>
      <c r="D72" s="342" t="n"/>
      <c r="E72" s="53" t="n"/>
      <c r="F72" s="38" t="n">
        <v>3150</v>
      </c>
      <c r="G72" s="38" t="n">
        <v>2975</v>
      </c>
      <c r="H72" s="38" t="n">
        <v>2850</v>
      </c>
      <c r="I72" s="38" t="n">
        <v>2600</v>
      </c>
      <c r="J72" s="38" t="n">
        <v>2350</v>
      </c>
      <c r="K72" s="38" t="n">
        <v>2150</v>
      </c>
      <c r="L72" s="38" t="n">
        <v>1725</v>
      </c>
      <c r="M72" s="38" t="n">
        <v>1425</v>
      </c>
      <c r="N72" s="38">
        <f>1075+FV71</f>
        <v/>
      </c>
      <c r="O72" s="38" t="n">
        <v>2775</v>
      </c>
      <c r="P72" s="38" t="n">
        <v>2450</v>
      </c>
      <c r="Q72" s="38" t="n">
        <v>1950</v>
      </c>
      <c r="R72" s="38" t="n">
        <v>1525</v>
      </c>
      <c r="S72" s="38" t="n">
        <v>1425</v>
      </c>
      <c r="T72" s="38">
        <f>1125+FN71</f>
        <v/>
      </c>
      <c r="U72" s="38" t="n">
        <v>5500</v>
      </c>
      <c r="V72" s="38" t="n">
        <v>5100</v>
      </c>
      <c r="W72" s="38" t="n">
        <v>4725</v>
      </c>
      <c r="X72" s="38" t="n">
        <v>4425</v>
      </c>
      <c r="Y72" s="38" t="n">
        <v>4050</v>
      </c>
      <c r="Z72" s="38" t="n">
        <v>3550</v>
      </c>
      <c r="AA72" s="38" t="n">
        <v>2950</v>
      </c>
      <c r="AB72" s="38" t="n">
        <v>2350</v>
      </c>
      <c r="AC72" s="38" t="n">
        <v>1700</v>
      </c>
      <c r="AD72" s="38" t="n">
        <v>1325</v>
      </c>
      <c r="AE72" s="38" t="n">
        <v>750</v>
      </c>
      <c r="AF72" s="38" t="n">
        <v>300</v>
      </c>
      <c r="AG72" s="38">
        <f>0+EO71</f>
        <v/>
      </c>
      <c r="AH72" s="38" t="n">
        <v>3325</v>
      </c>
      <c r="AI72" s="38" t="n">
        <v>2650</v>
      </c>
      <c r="AJ72" s="38" t="n">
        <v>2050</v>
      </c>
      <c r="AK72" s="38" t="n">
        <v>1400</v>
      </c>
      <c r="AL72" s="38" t="n">
        <v>1000</v>
      </c>
      <c r="AM72" s="38" t="n">
        <v>425</v>
      </c>
      <c r="AN72" s="38">
        <f>0+EA71</f>
        <v/>
      </c>
      <c r="AO72" s="38" t="n">
        <v>4525</v>
      </c>
      <c r="AP72" s="38" t="n">
        <v>3775</v>
      </c>
      <c r="AQ72" s="38" t="n">
        <v>3275</v>
      </c>
      <c r="AR72" s="38" t="n">
        <v>2250</v>
      </c>
      <c r="AS72" s="38" t="n">
        <v>2067</v>
      </c>
      <c r="AT72" s="38" t="n">
        <v>1675</v>
      </c>
      <c r="AU72" s="38" t="n">
        <v>10375</v>
      </c>
      <c r="AV72" s="38" t="n">
        <v>10075</v>
      </c>
      <c r="AW72" s="38" t="n">
        <v>9600</v>
      </c>
      <c r="AX72" s="38" t="n">
        <v>8825</v>
      </c>
      <c r="AY72" s="38" t="n">
        <v>8675</v>
      </c>
      <c r="AZ72" s="38" t="n">
        <v>8025</v>
      </c>
      <c r="BA72" s="38" t="n">
        <v>7475</v>
      </c>
      <c r="BB72" s="38" t="n">
        <v>6825</v>
      </c>
      <c r="BC72" s="38" t="n">
        <v>6175</v>
      </c>
      <c r="BD72" s="38" t="n">
        <v>5550</v>
      </c>
      <c r="BE72" s="187" t="n">
        <v>4800</v>
      </c>
      <c r="BF72" s="187" t="n">
        <v>4600</v>
      </c>
      <c r="BG72" s="187" t="n">
        <v>4500</v>
      </c>
      <c r="BH72" s="187" t="n">
        <v>4050</v>
      </c>
      <c r="BI72" s="187" t="n">
        <v>3425</v>
      </c>
      <c r="BJ72" s="187" t="n">
        <v>3050</v>
      </c>
      <c r="BK72" s="187" t="n">
        <v>2625</v>
      </c>
      <c r="BL72" s="187" t="n">
        <v>2150</v>
      </c>
      <c r="BM72" s="187" t="n">
        <v>1425</v>
      </c>
      <c r="BN72" s="187" t="n">
        <v>1225</v>
      </c>
      <c r="BO72" s="187" t="n">
        <v>700</v>
      </c>
      <c r="BP72" s="187">
        <f>400+CN72</f>
        <v/>
      </c>
      <c r="BQ72" s="187" t="n">
        <v>8950</v>
      </c>
      <c r="BR72" s="187" t="n">
        <v>8850</v>
      </c>
      <c r="BS72" s="187" t="n">
        <v>8400</v>
      </c>
      <c r="BT72" s="187" t="n">
        <v>8075</v>
      </c>
      <c r="BU72" s="187" t="n">
        <v>7875</v>
      </c>
      <c r="BV72" s="187" t="n">
        <v>7525</v>
      </c>
      <c r="BW72" s="187" t="n">
        <v>7300</v>
      </c>
      <c r="BX72" s="187" t="n">
        <v>6625</v>
      </c>
      <c r="BY72" s="187" t="n">
        <v>6300</v>
      </c>
      <c r="BZ72" s="187" t="n"/>
      <c r="CA72" s="187" t="n"/>
      <c r="CB72" s="188">
        <f>BZ72+IF(NOT(ISBLANK(OFFSET(CB72,0,6))),N(OFFSET(CB72,0,6)),N(OFFSET(CB72,0,7)))-CA72</f>
        <v/>
      </c>
      <c r="CD72" s="127" t="n"/>
      <c r="CE72" s="127" t="n"/>
      <c r="CF72" s="127" t="n"/>
      <c r="CG72" s="27" t="n"/>
      <c r="CI72" s="110" t="n">
        <v>0</v>
      </c>
      <c r="CJ72" s="110" t="n"/>
      <c r="CK72" s="110" t="n"/>
      <c r="CL72" s="110" t="n"/>
      <c r="CM72" s="110" t="n"/>
      <c r="CN72" s="110" t="n">
        <v>9225</v>
      </c>
      <c r="CO72" s="110" t="n"/>
      <c r="CP72" s="110" t="n"/>
      <c r="CQ72" s="110" t="n"/>
      <c r="CR72" s="110" t="n"/>
      <c r="CS72" s="110" t="n"/>
      <c r="CT72" s="110" t="n"/>
      <c r="CU72" s="110" t="n"/>
      <c r="CV72" s="110" t="n"/>
      <c r="CW72" s="110" t="n"/>
      <c r="CX72" s="110" t="n"/>
      <c r="CY72" s="110" t="n"/>
      <c r="CZ72" s="110" t="n"/>
      <c r="DA72" s="110" t="n"/>
      <c r="DB72" s="110" t="n"/>
      <c r="DC72" s="110" t="n"/>
      <c r="DD72" s="110" t="n"/>
      <c r="DE72" s="110" t="n"/>
      <c r="DF72" s="110" t="n"/>
      <c r="DG72" s="110" t="n"/>
      <c r="DH72" s="110" t="n"/>
      <c r="DI72" s="110" t="n"/>
      <c r="DJ72" s="110" t="n"/>
      <c r="DK72" s="110" t="n"/>
      <c r="DL72" s="110" t="n"/>
      <c r="DM72" s="110" t="n">
        <v>9159</v>
      </c>
      <c r="DN72" s="110" t="n"/>
      <c r="DO72" s="396" t="n"/>
      <c r="DP72" s="110" t="n"/>
      <c r="DQ72" s="110" t="n"/>
      <c r="DR72" s="110" t="n"/>
      <c r="DS72" s="110" t="n"/>
      <c r="DT72" s="110" t="n"/>
      <c r="DU72" s="110" t="n"/>
      <c r="DV72" s="110" t="n"/>
      <c r="DW72" s="110" t="n"/>
      <c r="DX72" s="110" t="n"/>
      <c r="DY72" s="110" t="n"/>
      <c r="DZ72" s="110" t="n"/>
      <c r="EA72" s="110" t="n">
        <v>4400</v>
      </c>
      <c r="EB72" s="110" t="n"/>
      <c r="EC72" s="110" t="n"/>
      <c r="ED72" s="110" t="n"/>
      <c r="EE72" s="110" t="n"/>
      <c r="EF72" s="110" t="n"/>
      <c r="EG72" s="110" t="n"/>
      <c r="EH72" s="110" t="n"/>
      <c r="EI72" s="110" t="n"/>
      <c r="EJ72" s="110" t="n"/>
      <c r="EK72" s="110" t="n"/>
      <c r="EL72" s="342" t="n"/>
      <c r="EM72" s="110" t="n"/>
      <c r="EN72" s="110" t="n"/>
      <c r="EO72" s="110" t="n">
        <v>2311</v>
      </c>
      <c r="EP72" s="274" t="n"/>
      <c r="EQ72" s="110" t="n"/>
      <c r="ER72" s="110" t="n"/>
      <c r="ES72" s="110" t="n"/>
      <c r="ET72" s="110" t="n"/>
      <c r="EU72" s="110" t="n"/>
      <c r="EV72" s="110" t="n"/>
      <c r="EW72" s="110" t="n"/>
      <c r="EX72" s="110" t="n"/>
      <c r="EY72" s="110" t="n"/>
      <c r="EZ72" s="110" t="n"/>
      <c r="FA72" s="110" t="n"/>
      <c r="FB72" s="110" t="n"/>
      <c r="FC72" s="110" t="n"/>
      <c r="FD72" s="274" t="n"/>
      <c r="FE72" s="110" t="n"/>
      <c r="FF72" s="110" t="n"/>
      <c r="FG72" s="110" t="n"/>
      <c r="FH72" s="110" t="n"/>
      <c r="FI72" s="110" t="n"/>
      <c r="FJ72" s="110" t="n"/>
      <c r="FK72" s="110" t="n"/>
      <c r="FL72" s="110" t="n"/>
      <c r="FM72" s="110" t="n"/>
      <c r="FN72" s="110" t="n">
        <v>3114</v>
      </c>
      <c r="FO72" s="110" t="n"/>
      <c r="FP72" s="110" t="n"/>
      <c r="FQ72" s="110" t="n"/>
      <c r="FR72" s="110" t="n"/>
      <c r="FS72" s="110" t="n"/>
      <c r="FT72" s="274" t="n"/>
      <c r="FU72" s="110" t="n"/>
      <c r="FV72" s="110" t="n">
        <v>3311</v>
      </c>
      <c r="FW72" s="110" t="n"/>
      <c r="FX72" s="110" t="n"/>
      <c r="FY72" s="110" t="n"/>
      <c r="FZ72" s="110" t="n"/>
      <c r="GA72" s="110" t="n"/>
      <c r="GB72" s="110" t="n"/>
      <c r="GC72" s="110" t="n"/>
      <c r="GD72" s="110" t="n"/>
      <c r="GE72" s="110" t="n"/>
      <c r="GF72" s="110" t="n"/>
      <c r="GG72" s="110" t="n"/>
      <c r="GH72" s="110" t="n"/>
      <c r="GI72" s="110" t="n"/>
      <c r="GJ72" s="110" t="n"/>
      <c r="GK72" s="110" t="n"/>
      <c r="GL72" s="110" t="n"/>
      <c r="GM72" s="110" t="n"/>
      <c r="GN72" s="110" t="n"/>
    </row>
    <row r="73" ht="18.75" customHeight="1">
      <c r="A73" s="33" t="inlineStr">
        <is>
          <t>CAIXA M</t>
        </is>
      </c>
      <c r="B73" s="36" t="n">
        <v>25</v>
      </c>
      <c r="C73" s="668" t="n">
        <v>2.37</v>
      </c>
      <c r="D73" s="342" t="n"/>
      <c r="E73" s="53" t="n"/>
      <c r="F73" s="38" t="n">
        <v>3425</v>
      </c>
      <c r="G73" s="38" t="n">
        <v>3050</v>
      </c>
      <c r="H73" s="38" t="n">
        <v>2700</v>
      </c>
      <c r="I73" s="38" t="n">
        <v>2325</v>
      </c>
      <c r="J73" s="38" t="n">
        <v>1800</v>
      </c>
      <c r="K73" s="38" t="n">
        <v>1450</v>
      </c>
      <c r="L73" s="38" t="n">
        <v>900</v>
      </c>
      <c r="M73" s="38" t="n">
        <v>550</v>
      </c>
      <c r="N73" s="38">
        <f>250+FV72</f>
        <v/>
      </c>
      <c r="O73" s="38" t="n">
        <v>3300</v>
      </c>
      <c r="P73" s="38" t="n">
        <v>2800</v>
      </c>
      <c r="Q73" s="38" t="n">
        <v>2325</v>
      </c>
      <c r="R73" s="38" t="n">
        <v>2325</v>
      </c>
      <c r="S73" s="38" t="n">
        <v>2250</v>
      </c>
      <c r="T73" s="38">
        <f>2000+FN72</f>
        <v/>
      </c>
      <c r="U73" s="38" t="n">
        <v>4925</v>
      </c>
      <c r="V73" s="38" t="n">
        <v>4650</v>
      </c>
      <c r="W73" s="38" t="n">
        <v>4275</v>
      </c>
      <c r="X73" s="38" t="n">
        <v>3375</v>
      </c>
      <c r="Y73" s="38" t="n">
        <v>3200</v>
      </c>
      <c r="Z73" s="38" t="n">
        <v>2750</v>
      </c>
      <c r="AA73" s="38" t="n">
        <v>2215</v>
      </c>
      <c r="AB73" s="38" t="n">
        <v>1750</v>
      </c>
      <c r="AC73" s="38" t="n">
        <v>1025</v>
      </c>
      <c r="AD73" s="38" t="n">
        <v>900</v>
      </c>
      <c r="AE73" s="38" t="n">
        <v>600</v>
      </c>
      <c r="AF73" s="38" t="n">
        <v>400</v>
      </c>
      <c r="AG73" s="38">
        <f>0+EO72</f>
        <v/>
      </c>
      <c r="AH73" s="38" t="n">
        <v>2050</v>
      </c>
      <c r="AI73" s="38" t="n">
        <v>1850</v>
      </c>
      <c r="AJ73" s="38" t="n">
        <v>1550</v>
      </c>
      <c r="AK73" s="38" t="n">
        <v>1200</v>
      </c>
      <c r="AL73" s="38" t="n">
        <v>1000</v>
      </c>
      <c r="AM73" s="38" t="n">
        <v>725</v>
      </c>
      <c r="AN73" s="38">
        <f>375+EA72</f>
        <v/>
      </c>
      <c r="AO73" s="38" t="n">
        <v>4475</v>
      </c>
      <c r="AP73" s="38" t="n">
        <v>4025</v>
      </c>
      <c r="AQ73" s="38" t="n">
        <v>3775</v>
      </c>
      <c r="AR73" s="38" t="n">
        <v>3500</v>
      </c>
      <c r="AS73" s="38" t="n">
        <v>3150</v>
      </c>
      <c r="AT73" s="38" t="n">
        <v>2750</v>
      </c>
      <c r="AU73" s="38" t="n">
        <v>7225</v>
      </c>
      <c r="AV73" s="38" t="n">
        <v>7125</v>
      </c>
      <c r="AW73" s="38" t="n">
        <v>6900</v>
      </c>
      <c r="AX73" s="38" t="n">
        <v>6625</v>
      </c>
      <c r="AY73" s="38" t="n">
        <v>6225</v>
      </c>
      <c r="AZ73" s="38" t="n">
        <v>5750</v>
      </c>
      <c r="BA73" s="38" t="n">
        <v>5475</v>
      </c>
      <c r="BB73" s="38" t="n">
        <v>5225</v>
      </c>
      <c r="BC73" s="38" t="n">
        <v>4750</v>
      </c>
      <c r="BD73" s="38" t="n">
        <v>4425</v>
      </c>
      <c r="BE73" s="187" t="n">
        <v>4100</v>
      </c>
      <c r="BF73" s="187" t="n">
        <v>4000</v>
      </c>
      <c r="BG73" s="187" t="n">
        <v>3875</v>
      </c>
      <c r="BH73" s="187" t="n">
        <v>3600</v>
      </c>
      <c r="BI73" s="187" t="n">
        <v>3275</v>
      </c>
      <c r="BJ73" s="187" t="n">
        <v>3075</v>
      </c>
      <c r="BK73" s="187" t="n">
        <v>2825</v>
      </c>
      <c r="BL73" s="187" t="n">
        <v>2600</v>
      </c>
      <c r="BM73" s="187" t="n">
        <v>2275</v>
      </c>
      <c r="BN73" s="187" t="n">
        <v>2175</v>
      </c>
      <c r="BO73" s="187" t="n">
        <v>1925</v>
      </c>
      <c r="BP73" s="187">
        <f>1800+CN73</f>
        <v/>
      </c>
      <c r="BQ73" s="187" t="n">
        <v>5975</v>
      </c>
      <c r="BR73" s="187" t="n">
        <v>5800</v>
      </c>
      <c r="BS73" s="187" t="n">
        <v>5500</v>
      </c>
      <c r="BT73" s="187" t="n">
        <v>5250</v>
      </c>
      <c r="BU73" s="187" t="n">
        <v>5100</v>
      </c>
      <c r="BV73" s="187" t="n">
        <v>4650</v>
      </c>
      <c r="BW73" s="187" t="n">
        <v>4575</v>
      </c>
      <c r="BX73" s="187" t="n">
        <v>4050</v>
      </c>
      <c r="BY73" s="187" t="n">
        <v>3800</v>
      </c>
      <c r="BZ73" s="187" t="n"/>
      <c r="CA73" s="187" t="n"/>
      <c r="CB73" s="188">
        <f>BZ73+IF(NOT(ISBLANK(OFFSET(CB73,0,6))),N(OFFSET(CB73,0,6)),N(OFFSET(CB73,0,7)))-CA73</f>
        <v/>
      </c>
      <c r="CD73" s="127" t="n"/>
      <c r="CE73" s="127" t="n"/>
      <c r="CF73" s="127" t="n"/>
      <c r="CG73" s="27" t="n"/>
      <c r="CI73" s="110" t="n">
        <v>0</v>
      </c>
      <c r="CJ73" s="110" t="n"/>
      <c r="CK73" s="110" t="n"/>
      <c r="CL73" s="110" t="n"/>
      <c r="CM73" s="110" t="n"/>
      <c r="CN73" s="110" t="n">
        <v>4500</v>
      </c>
      <c r="CO73" s="110" t="n"/>
      <c r="CP73" s="110" t="n"/>
      <c r="CQ73" s="110" t="n"/>
      <c r="CR73" s="110" t="n"/>
      <c r="CS73" s="110" t="n"/>
      <c r="CT73" s="110" t="n"/>
      <c r="CU73" s="110" t="n"/>
      <c r="CV73" s="110" t="n"/>
      <c r="CW73" s="110" t="n"/>
      <c r="CX73" s="110" t="n"/>
      <c r="CY73" s="110" t="n"/>
      <c r="CZ73" s="110" t="n"/>
      <c r="DA73" s="110" t="n"/>
      <c r="DB73" s="110" t="n"/>
      <c r="DC73" s="110" t="n"/>
      <c r="DD73" s="110" t="n"/>
      <c r="DE73" s="110" t="n"/>
      <c r="DF73" s="110" t="n"/>
      <c r="DG73" s="110" t="n"/>
      <c r="DH73" s="110" t="n"/>
      <c r="DI73" s="110" t="n"/>
      <c r="DJ73" s="110" t="n"/>
      <c r="DK73" s="110" t="n"/>
      <c r="DL73" s="110" t="n"/>
      <c r="DM73" s="110" t="n">
        <v>4928</v>
      </c>
      <c r="DN73" s="110" t="n"/>
      <c r="DO73" s="396" t="n"/>
      <c r="DP73" s="110" t="n"/>
      <c r="DQ73" s="110" t="n"/>
      <c r="DR73" s="253" t="n"/>
      <c r="DS73" s="253" t="n"/>
      <c r="DT73" s="253" t="n"/>
      <c r="DU73" s="253" t="n"/>
      <c r="DV73" s="253" t="n"/>
      <c r="DW73" s="253" t="n"/>
      <c r="DX73" s="253" t="n"/>
      <c r="DY73" s="253" t="n"/>
      <c r="DZ73" s="253" t="n"/>
      <c r="EA73" s="253" t="n"/>
      <c r="EB73" s="253" t="n"/>
      <c r="EC73" s="253" t="n"/>
      <c r="ED73" s="253" t="n"/>
      <c r="EE73" s="253" t="n"/>
      <c r="EF73" s="253" t="n"/>
      <c r="EG73" s="253" t="n"/>
      <c r="EH73" s="253" t="n"/>
      <c r="EI73" s="253" t="n"/>
      <c r="EJ73" s="253" t="n"/>
      <c r="EK73" s="253" t="n"/>
      <c r="EL73" s="342" t="n"/>
      <c r="EM73" s="253" t="n"/>
      <c r="EN73" s="253" t="n"/>
      <c r="EO73" s="110" t="n">
        <v>2050</v>
      </c>
      <c r="EP73" s="274" t="n"/>
      <c r="EQ73" s="253" t="n"/>
      <c r="ER73" s="253" t="n"/>
      <c r="ES73" s="253" t="n"/>
      <c r="ET73" s="253" t="n"/>
      <c r="EU73" s="253" t="n"/>
      <c r="EV73" s="253" t="n"/>
      <c r="EW73" s="253" t="n"/>
      <c r="EX73" s="253" t="n"/>
      <c r="EY73" s="253" t="n"/>
      <c r="EZ73" s="253" t="n"/>
      <c r="FA73" s="253" t="n"/>
      <c r="FB73" s="253" t="n"/>
      <c r="FC73" s="253" t="n"/>
      <c r="FD73" s="274" t="n"/>
      <c r="FE73" s="253" t="n"/>
      <c r="FF73" s="253" t="n"/>
      <c r="FG73" s="253" t="n"/>
      <c r="FH73" s="253" t="n"/>
      <c r="FI73" s="253" t="n"/>
      <c r="FJ73" s="253" t="n"/>
      <c r="FK73" s="253" t="n"/>
      <c r="FL73" s="253" t="n"/>
      <c r="FM73" s="253" t="n"/>
      <c r="FN73" s="110" t="n">
        <v>2425</v>
      </c>
      <c r="FO73" s="253" t="n"/>
      <c r="FP73" s="253" t="n"/>
      <c r="FQ73" s="253" t="n"/>
      <c r="FR73" s="253" t="n"/>
      <c r="FS73" s="253" t="n"/>
      <c r="FT73" s="274" t="n"/>
      <c r="FU73" s="253" t="n"/>
      <c r="FV73" s="253" t="n"/>
      <c r="FW73" s="110" t="n">
        <v>1650</v>
      </c>
      <c r="FX73" s="253" t="n"/>
      <c r="FY73" s="253" t="n"/>
      <c r="FZ73" s="253" t="n"/>
      <c r="GA73" s="253" t="n"/>
      <c r="GB73" s="253" t="n"/>
      <c r="GC73" s="253" t="n"/>
      <c r="GD73" s="253" t="n"/>
      <c r="GE73" s="253" t="n"/>
      <c r="GF73" s="253" t="n"/>
      <c r="GG73" s="253" t="n"/>
      <c r="GH73" s="253" t="n"/>
      <c r="GI73" s="253" t="n"/>
      <c r="GJ73" s="253" t="n"/>
      <c r="GK73" s="253" t="n"/>
      <c r="GL73" s="253" t="n"/>
      <c r="GM73" s="253" t="n"/>
      <c r="GN73" s="253" t="n"/>
    </row>
    <row r="74" ht="18.75" customHeight="1">
      <c r="A74" s="33" t="inlineStr">
        <is>
          <t>CAIXA G</t>
        </is>
      </c>
      <c r="B74" s="36" t="n">
        <v>25</v>
      </c>
      <c r="C74" s="668" t="n">
        <v>2.86</v>
      </c>
      <c r="D74" s="342" t="n"/>
      <c r="E74" s="53" t="n"/>
      <c r="F74" s="4" t="n"/>
      <c r="G74" s="38" t="n">
        <v>0</v>
      </c>
      <c r="H74" s="38" t="n">
        <v>0</v>
      </c>
      <c r="I74" s="38" t="n">
        <v>0</v>
      </c>
      <c r="J74" s="38" t="n">
        <v>0</v>
      </c>
      <c r="K74" s="38" t="n">
        <v>0</v>
      </c>
      <c r="L74" s="38" t="n">
        <v>0</v>
      </c>
      <c r="M74" s="38" t="n">
        <v>0</v>
      </c>
      <c r="N74" s="38">
        <f>0+FW73</f>
        <v/>
      </c>
      <c r="O74" s="38" t="n">
        <v>1550</v>
      </c>
      <c r="P74" s="38" t="n">
        <v>1400</v>
      </c>
      <c r="Q74" s="38" t="n">
        <v>1075</v>
      </c>
      <c r="R74" s="38" t="n">
        <v>775</v>
      </c>
      <c r="S74" s="38" t="n">
        <v>700</v>
      </c>
      <c r="T74" s="38">
        <f>450+FN73</f>
        <v/>
      </c>
      <c r="U74" s="38" t="n">
        <v>2650</v>
      </c>
      <c r="V74" s="38" t="n">
        <v>2375</v>
      </c>
      <c r="W74" s="38" t="n">
        <v>2300</v>
      </c>
      <c r="X74" s="38" t="n">
        <v>2175</v>
      </c>
      <c r="Y74" s="38" t="n">
        <v>2075</v>
      </c>
      <c r="Z74" s="38" t="n">
        <v>1975</v>
      </c>
      <c r="AA74" s="38" t="n">
        <v>1875</v>
      </c>
      <c r="AB74" s="38" t="n">
        <v>1800</v>
      </c>
      <c r="AC74" s="38" t="n">
        <v>1750</v>
      </c>
      <c r="AD74" s="38" t="n">
        <v>1725</v>
      </c>
      <c r="AE74" s="38" t="n">
        <v>1650</v>
      </c>
      <c r="AF74" s="38" t="n">
        <v>1600</v>
      </c>
      <c r="AG74" s="38">
        <f>1500+EO73</f>
        <v/>
      </c>
      <c r="AH74" s="38" t="n">
        <v>3375</v>
      </c>
      <c r="AI74" s="38" t="n">
        <v>3375</v>
      </c>
      <c r="AJ74" s="38" t="n">
        <v>3325</v>
      </c>
      <c r="AK74" s="38" t="n">
        <v>3125</v>
      </c>
      <c r="AL74" s="38" t="n">
        <v>3125</v>
      </c>
      <c r="AM74" s="38" t="n">
        <v>3175</v>
      </c>
      <c r="AN74" s="38" t="n">
        <v>3175</v>
      </c>
      <c r="AO74" s="38" t="n">
        <v>3175</v>
      </c>
      <c r="AP74" s="38" t="n">
        <v>2900</v>
      </c>
      <c r="AQ74" s="38" t="n">
        <v>2875</v>
      </c>
      <c r="AR74" s="38" t="n">
        <v>2875</v>
      </c>
      <c r="AS74" s="38" t="n">
        <v>2800</v>
      </c>
      <c r="AT74" s="38" t="n">
        <v>2700</v>
      </c>
      <c r="AU74" s="38" t="n">
        <v>2575</v>
      </c>
      <c r="AV74" s="38" t="n">
        <v>2575</v>
      </c>
      <c r="AW74" s="38" t="n">
        <v>2475</v>
      </c>
      <c r="AX74" s="38" t="n">
        <v>2400</v>
      </c>
      <c r="AY74" s="38" t="n">
        <v>2350</v>
      </c>
      <c r="AZ74" s="38" t="n">
        <v>2300</v>
      </c>
      <c r="BA74" s="38" t="n">
        <v>2275</v>
      </c>
      <c r="BB74" s="38" t="n">
        <v>2200</v>
      </c>
      <c r="BC74" s="38" t="n">
        <v>2125</v>
      </c>
      <c r="BD74" s="38" t="n">
        <v>2100</v>
      </c>
      <c r="BE74" s="187" t="n">
        <v>2050</v>
      </c>
      <c r="BF74" s="187" t="n">
        <v>2025</v>
      </c>
      <c r="BG74" s="187" t="n">
        <v>2000</v>
      </c>
      <c r="BH74" s="187" t="n">
        <v>1975</v>
      </c>
      <c r="BI74" s="187" t="n">
        <v>1875</v>
      </c>
      <c r="BJ74" s="187" t="n">
        <v>1850</v>
      </c>
      <c r="BK74" s="187" t="n">
        <v>1850</v>
      </c>
      <c r="BL74" s="187" t="n">
        <v>1825</v>
      </c>
      <c r="BM74" s="187" t="n">
        <v>1750</v>
      </c>
      <c r="BN74" s="187" t="n">
        <v>1750</v>
      </c>
      <c r="BO74" s="187" t="n">
        <v>1675</v>
      </c>
      <c r="BP74" s="187" t="n">
        <v>1650</v>
      </c>
      <c r="BQ74" s="187" t="n">
        <v>1550</v>
      </c>
      <c r="BR74" s="187" t="n">
        <v>1500</v>
      </c>
      <c r="BS74" s="187" t="n">
        <v>1400</v>
      </c>
      <c r="BT74" s="187" t="n">
        <v>1350</v>
      </c>
      <c r="BU74" s="187" t="n">
        <v>1325</v>
      </c>
      <c r="BV74" s="187" t="n">
        <v>1200</v>
      </c>
      <c r="BW74" s="187" t="n">
        <v>1150</v>
      </c>
      <c r="BX74" s="187" t="n">
        <v>1100</v>
      </c>
      <c r="BY74" s="187" t="n">
        <v>1000</v>
      </c>
      <c r="BZ74" s="187" t="n"/>
      <c r="CA74" s="187" t="n"/>
      <c r="CB74" s="188">
        <f>BZ74+IF(NOT(ISBLANK(OFFSET(CB74,0,6))),N(OFFSET(CB74,0,6)),N(OFFSET(CB74,0,7)))-CA74</f>
        <v/>
      </c>
      <c r="CE74" s="127" t="n"/>
      <c r="CF74" s="127" t="n"/>
      <c r="CG74" s="27" t="n"/>
      <c r="CI74" s="110" t="n">
        <v>0</v>
      </c>
      <c r="CJ74" s="253" t="n"/>
      <c r="CK74" s="253" t="n"/>
      <c r="CL74" s="253" t="n"/>
      <c r="CM74" s="253" t="n"/>
      <c r="CN74" s="253" t="n"/>
      <c r="CO74" s="253" t="n"/>
      <c r="CP74" s="253" t="n"/>
      <c r="CQ74" s="253" t="n"/>
      <c r="CR74" s="253" t="n"/>
      <c r="CS74" s="253" t="n"/>
      <c r="CT74" s="253" t="n"/>
      <c r="CU74" s="253" t="n"/>
      <c r="CV74" s="253" t="n"/>
      <c r="CW74" s="253" t="n"/>
      <c r="CX74" s="253" t="n"/>
      <c r="CY74" s="253" t="n"/>
      <c r="CZ74" s="253" t="n"/>
      <c r="DA74" s="253" t="n"/>
      <c r="DB74" s="253" t="n"/>
      <c r="DC74" s="253" t="n"/>
      <c r="DD74" s="253" t="n"/>
      <c r="DE74" s="253" t="n"/>
      <c r="DF74" s="253" t="n"/>
      <c r="DG74" s="253" t="n"/>
      <c r="DH74" s="253" t="n"/>
      <c r="DI74" s="253" t="n"/>
      <c r="DJ74" s="253" t="n"/>
      <c r="DK74" s="253" t="n"/>
      <c r="DL74" s="253" t="n"/>
      <c r="DM74" s="253" t="n"/>
      <c r="DN74" s="253" t="n"/>
      <c r="DO74" s="396" t="n"/>
      <c r="DP74" s="253" t="n"/>
      <c r="DQ74" s="253" t="n"/>
    </row>
    <row r="75">
      <c r="A75" s="31" t="n"/>
      <c r="B75" s="53" t="n"/>
      <c r="C75" s="53" t="n"/>
      <c r="D75" s="53" t="n"/>
      <c r="E75" s="53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  <c r="AA75" s="4" t="n"/>
      <c r="AB75" s="4" t="n"/>
      <c r="AC75" s="4" t="n"/>
      <c r="AD75" s="4" t="n"/>
      <c r="AE75" s="4" t="n"/>
      <c r="AF75" s="4" t="n"/>
      <c r="AG75" s="4" t="n"/>
      <c r="AH75" s="4" t="n"/>
      <c r="AI75" s="4" t="n"/>
      <c r="AJ75" s="4" t="n"/>
      <c r="AK75" s="4" t="n"/>
      <c r="AL75" s="4" t="n"/>
      <c r="AM75" s="4" t="n"/>
      <c r="AN75" s="4" t="n"/>
      <c r="AO75" s="4" t="n"/>
      <c r="AP75" s="4" t="n"/>
      <c r="AQ75" s="4" t="n"/>
      <c r="AR75" s="4" t="n"/>
      <c r="AS75" s="4" t="n"/>
      <c r="AT75" s="4" t="n"/>
      <c r="AU75" s="4" t="n"/>
      <c r="AV75" s="4" t="n"/>
      <c r="AW75" s="4" t="n"/>
      <c r="AX75" s="4" t="n"/>
      <c r="AY75" s="4" t="n"/>
      <c r="AZ75" s="4" t="n"/>
      <c r="BA75" s="4" t="n"/>
      <c r="BB75" s="4" t="n"/>
      <c r="BC75" s="4" t="n"/>
      <c r="BD75" s="4" t="n"/>
      <c r="BE75" s="4" t="n"/>
      <c r="BF75" s="4" t="n"/>
      <c r="BG75" s="4" t="n"/>
      <c r="BH75" s="4" t="n"/>
      <c r="BI75" s="4" t="n"/>
      <c r="BJ75" s="4" t="n"/>
      <c r="BK75" s="4" t="n"/>
      <c r="BL75" s="4" t="n"/>
      <c r="BM75" s="4" t="n"/>
      <c r="BN75" s="4" t="n"/>
      <c r="BO75" s="4" t="n"/>
      <c r="BP75" s="4" t="n"/>
      <c r="BQ75" s="4" t="n"/>
      <c r="BR75" s="4" t="n"/>
      <c r="BS75" s="4" t="n"/>
      <c r="BT75" s="4" t="n"/>
      <c r="BU75" s="4" t="n"/>
      <c r="BV75" s="4" t="n"/>
      <c r="BW75" s="4" t="n"/>
      <c r="BX75" s="4" t="n"/>
      <c r="BY75" s="4" t="n"/>
      <c r="BZ75" s="4" t="n"/>
      <c r="CA75" s="4" t="n"/>
      <c r="CB75" s="53" t="n"/>
      <c r="CG75" s="148" t="n"/>
      <c r="FO75" s="314" t="n"/>
      <c r="FP75" s="314" t="n"/>
      <c r="FS75" s="314" t="n"/>
      <c r="GF75" s="314" t="n"/>
      <c r="GG75" s="314" t="n"/>
    </row>
    <row r="76" hidden="1">
      <c r="A76" s="374" t="inlineStr">
        <is>
          <t>HARRY POTTER/25</t>
        </is>
      </c>
      <c r="B76" s="375" t="inlineStr">
        <is>
          <t>PC</t>
        </is>
      </c>
      <c r="C76" s="375" t="inlineStr">
        <is>
          <t>R$</t>
        </is>
      </c>
      <c r="D76" s="375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  <c r="AA76" s="4" t="n"/>
      <c r="AB76" s="4" t="n"/>
      <c r="AC76" s="4" t="n"/>
      <c r="AD76" s="4" t="n"/>
      <c r="AE76" s="4" t="n"/>
      <c r="AF76" s="4" t="n"/>
      <c r="AG76" s="4" t="n"/>
      <c r="AH76" s="4" t="n"/>
      <c r="AI76" s="4" t="n"/>
      <c r="AJ76" s="4" t="n"/>
      <c r="AK76" s="650" t="n">
        <v>45873</v>
      </c>
      <c r="AL76" s="650" t="n">
        <v>45880</v>
      </c>
      <c r="AM76" s="650" t="n">
        <v>45887</v>
      </c>
      <c r="AN76" s="650" t="n">
        <v>45894</v>
      </c>
      <c r="AO76" s="650" t="n">
        <v>45901</v>
      </c>
      <c r="AP76" s="650" t="n">
        <v>45908</v>
      </c>
      <c r="AQ76" s="650" t="n">
        <v>45915</v>
      </c>
      <c r="AR76" s="650" t="n">
        <v>45922</v>
      </c>
      <c r="AS76" s="650" t="n">
        <v>45929</v>
      </c>
      <c r="AT76" s="650" t="n">
        <v>45936</v>
      </c>
      <c r="AU76" s="650" t="n">
        <v>45943</v>
      </c>
      <c r="AV76" s="650" t="n">
        <v>45950</v>
      </c>
      <c r="AW76" s="650" t="n">
        <v>45957</v>
      </c>
      <c r="AX76" s="650" t="n">
        <v>45964</v>
      </c>
      <c r="AY76" s="650" t="n">
        <v>45971</v>
      </c>
      <c r="AZ76" s="650" t="n">
        <v>45978</v>
      </c>
      <c r="BA76" s="650" t="n">
        <v>45985</v>
      </c>
      <c r="BB76" s="650" t="n">
        <v>45992</v>
      </c>
      <c r="BC76" s="650" t="n">
        <v>45999</v>
      </c>
      <c r="BD76" s="650" t="n">
        <v>46006</v>
      </c>
      <c r="BE76" s="650" t="n">
        <v>46013</v>
      </c>
      <c r="BF76" s="650" t="n">
        <v>46020</v>
      </c>
      <c r="BG76" s="650" t="n">
        <v>46027</v>
      </c>
      <c r="BH76" s="650" t="n">
        <v>46034</v>
      </c>
      <c r="BI76" s="650" t="n">
        <v>46041</v>
      </c>
      <c r="BJ76" s="650" t="n">
        <v>46048</v>
      </c>
      <c r="BK76" s="650" t="n"/>
      <c r="BL76" s="650" t="n"/>
      <c r="BM76" s="650" t="n"/>
      <c r="BN76" s="650" t="n"/>
      <c r="BO76" s="650" t="n"/>
      <c r="BP76" s="650" t="n"/>
      <c r="BQ76" s="650" t="n"/>
      <c r="BR76" s="650" t="n"/>
      <c r="BS76" s="650" t="n"/>
      <c r="BT76" s="650" t="n"/>
      <c r="BU76" s="650" t="n"/>
      <c r="BV76" s="650" t="n"/>
      <c r="BW76" s="650" t="n"/>
      <c r="BX76" s="650" t="n"/>
      <c r="BY76" s="650" t="n"/>
      <c r="BZ76" s="650" t="n"/>
      <c r="CA76" s="650" t="n"/>
      <c r="CB76" s="660" t="inlineStr">
        <is>
          <t>USOU</t>
        </is>
      </c>
      <c r="FO76" s="314" t="n"/>
      <c r="FP76" s="314" t="n"/>
      <c r="FS76" s="314" t="n"/>
      <c r="GF76" s="314" t="n"/>
      <c r="GG76" s="314" t="n"/>
    </row>
    <row r="77" hidden="1">
      <c r="A77" s="33" t="inlineStr">
        <is>
          <t>SACOLA G HP/25</t>
        </is>
      </c>
      <c r="B77" s="9" t="n">
        <v>100</v>
      </c>
      <c r="C77" s="662" t="n">
        <v>316</v>
      </c>
      <c r="D77" s="329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  <c r="AA77" s="4" t="n"/>
      <c r="AB77" s="4" t="n"/>
      <c r="AC77" s="4" t="n"/>
      <c r="AD77" s="4" t="n"/>
      <c r="AE77" s="4" t="n"/>
      <c r="AF77" s="4" t="n"/>
      <c r="AG77" s="4" t="n"/>
      <c r="AH77" s="4" t="n"/>
      <c r="AI77" s="4" t="n"/>
      <c r="AJ77" s="4" t="n"/>
      <c r="AK77" s="38" t="n">
        <v>0</v>
      </c>
      <c r="AL77" s="38" t="n">
        <v>0</v>
      </c>
      <c r="AM77" s="38" t="n">
        <v>0</v>
      </c>
      <c r="AN77" s="38">
        <f>0+DZ9-60-40</f>
        <v/>
      </c>
      <c r="AO77" s="38" t="n">
        <v>100</v>
      </c>
      <c r="AP77" s="38" t="n">
        <v>26</v>
      </c>
      <c r="AQ77" s="38" t="n">
        <v>9</v>
      </c>
      <c r="AR77" s="38" t="n"/>
      <c r="AS77" s="38" t="n"/>
      <c r="AT77" s="38" t="n"/>
      <c r="AU77" s="38" t="n"/>
      <c r="AV77" s="38" t="n"/>
      <c r="AW77" s="38" t="n"/>
      <c r="AX77" s="38" t="n"/>
      <c r="AY77" s="38" t="n"/>
      <c r="AZ77" s="38" t="n"/>
      <c r="BA77" s="38" t="n">
        <v>0</v>
      </c>
      <c r="BB77" s="38" t="n">
        <v>0</v>
      </c>
      <c r="BC77" s="38" t="n">
        <v>0</v>
      </c>
      <c r="BD77" s="38" t="n">
        <v>0</v>
      </c>
      <c r="BE77" s="38" t="n">
        <v>0</v>
      </c>
      <c r="BF77" s="38" t="n">
        <v>0</v>
      </c>
      <c r="BG77" s="38" t="n">
        <v>0</v>
      </c>
      <c r="BH77" s="38" t="n">
        <v>0</v>
      </c>
      <c r="BI77" s="38" t="n">
        <v>0</v>
      </c>
      <c r="BJ77" s="38" t="n">
        <v>0</v>
      </c>
      <c r="BK77" s="38" t="n"/>
      <c r="BL77" s="38" t="n"/>
      <c r="BM77" s="38" t="n"/>
      <c r="BN77" s="38" t="n"/>
      <c r="BO77" s="38" t="n"/>
      <c r="BP77" s="38" t="n"/>
      <c r="BQ77" s="38" t="n"/>
      <c r="BR77" s="38" t="n"/>
      <c r="BS77" s="38" t="n"/>
      <c r="BT77" s="38" t="n"/>
      <c r="BU77" s="38" t="n"/>
      <c r="BV77" s="38" t="n"/>
      <c r="BW77" s="38" t="n"/>
      <c r="BX77" s="38" t="n"/>
      <c r="BY77" s="38" t="n"/>
      <c r="BZ77" s="38" t="n"/>
      <c r="CA77" s="38" t="n"/>
      <c r="CB77" s="246">
        <f>BZ77+IF(NOT(ISBLANK(OFFSET(CB77,0,6))),N(OFFSET(CB77,0,6)),N(OFFSET(CB77,0,7)))-CA77</f>
        <v/>
      </c>
      <c r="FO77" s="314" t="n"/>
      <c r="FP77" s="314" t="n"/>
      <c r="FS77" s="314" t="n"/>
      <c r="GF77" s="314" t="n"/>
      <c r="GG77" s="314" t="n"/>
    </row>
    <row r="78" hidden="1">
      <c r="A78" s="33" t="inlineStr">
        <is>
          <t>TAG HP/25</t>
        </is>
      </c>
      <c r="B78" s="9" t="n">
        <v>100</v>
      </c>
      <c r="C78" s="662" t="n">
        <v>41</v>
      </c>
      <c r="D78" s="329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  <c r="AA78" s="4" t="n"/>
      <c r="AB78" s="4" t="n"/>
      <c r="AC78" s="4" t="n"/>
      <c r="AD78" s="4" t="n"/>
      <c r="AE78" s="4" t="n"/>
      <c r="AF78" s="4" t="n"/>
      <c r="AG78" s="4" t="n"/>
      <c r="AH78" s="4" t="n"/>
      <c r="AI78" s="4" t="n"/>
      <c r="AJ78" s="4" t="n"/>
      <c r="AK78" s="38" t="n">
        <v>0</v>
      </c>
      <c r="AL78" s="38" t="n">
        <v>0</v>
      </c>
      <c r="AM78" s="38" t="n">
        <v>0</v>
      </c>
      <c r="AN78" s="38">
        <f>0+DZ10-60-40</f>
        <v/>
      </c>
      <c r="AO78" s="38" t="n">
        <v>100</v>
      </c>
      <c r="AP78" s="38" t="n"/>
      <c r="AQ78" s="38" t="n"/>
      <c r="AR78" s="38" t="n"/>
      <c r="AS78" s="38" t="n"/>
      <c r="AT78" s="38" t="n"/>
      <c r="AU78" s="38" t="n"/>
      <c r="AV78" s="38" t="n"/>
      <c r="AW78" s="38" t="n"/>
      <c r="AX78" s="38" t="n"/>
      <c r="AY78" s="38" t="n"/>
      <c r="AZ78" s="38" t="n"/>
      <c r="BA78" s="38" t="n">
        <v>0</v>
      </c>
      <c r="BB78" s="38" t="n">
        <v>0</v>
      </c>
      <c r="BC78" s="38" t="n">
        <v>0</v>
      </c>
      <c r="BD78" s="38" t="n">
        <v>0</v>
      </c>
      <c r="BE78" s="38" t="n">
        <v>0</v>
      </c>
      <c r="BF78" s="38" t="n">
        <v>0</v>
      </c>
      <c r="BG78" s="38" t="n">
        <v>0</v>
      </c>
      <c r="BH78" s="38" t="n">
        <v>0</v>
      </c>
      <c r="BI78" s="38" t="n">
        <v>0</v>
      </c>
      <c r="BJ78" s="38" t="n">
        <v>0</v>
      </c>
      <c r="BK78" s="38" t="n"/>
      <c r="BL78" s="38" t="n"/>
      <c r="BM78" s="38" t="n"/>
      <c r="BN78" s="38" t="n"/>
      <c r="BO78" s="38" t="n"/>
      <c r="BP78" s="38" t="n"/>
      <c r="BQ78" s="38" t="n"/>
      <c r="BR78" s="38" t="n"/>
      <c r="BS78" s="38" t="n"/>
      <c r="BT78" s="38" t="n"/>
      <c r="BU78" s="38" t="n"/>
      <c r="BV78" s="38" t="n"/>
      <c r="BW78" s="38" t="n"/>
      <c r="BX78" s="38" t="n"/>
      <c r="BY78" s="38" t="n"/>
      <c r="BZ78" s="38" t="n"/>
      <c r="CA78" s="38" t="n"/>
      <c r="CB78" s="246">
        <f>BZ78+IF(NOT(ISBLANK(OFFSET(CB78,0,6))),N(OFFSET(CB78,0,6)),N(OFFSET(CB78,0,7)))-CA78</f>
        <v/>
      </c>
      <c r="FO78" s="314" t="n"/>
      <c r="FP78" s="314" t="n"/>
      <c r="FS78" s="314" t="n"/>
      <c r="GF78" s="314" t="n"/>
      <c r="GG78" s="314" t="n"/>
    </row>
    <row r="79" hidden="1" ht="18.75" customHeight="1">
      <c r="A79" s="33" t="inlineStr">
        <is>
          <t>CARTUCHO P HP/25</t>
        </is>
      </c>
      <c r="B79" s="9" t="n">
        <v>150</v>
      </c>
      <c r="C79" s="662" t="n">
        <v>478.5</v>
      </c>
      <c r="D79" s="329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  <c r="AA79" s="4" t="n"/>
      <c r="AB79" s="4" t="n"/>
      <c r="AC79" s="4" t="n"/>
      <c r="AD79" s="4" t="n"/>
      <c r="AE79" s="4" t="n"/>
      <c r="AF79" s="4" t="n"/>
      <c r="AG79" s="4" t="n"/>
      <c r="AH79" s="4" t="n"/>
      <c r="AI79" s="4" t="n"/>
      <c r="AJ79" s="4" t="n"/>
      <c r="AK79" s="38" t="n">
        <v>0</v>
      </c>
      <c r="AL79" s="38" t="n">
        <v>0</v>
      </c>
      <c r="AM79" s="38" t="n">
        <v>0</v>
      </c>
      <c r="AN79" s="38">
        <f>0+DZ11-50-25</f>
        <v/>
      </c>
      <c r="AO79" s="38" t="n">
        <v>75</v>
      </c>
      <c r="AP79" s="38" t="n">
        <v>64</v>
      </c>
      <c r="AQ79" s="38" t="n">
        <v>58</v>
      </c>
      <c r="AR79" s="38" t="n"/>
      <c r="AS79" s="38" t="n"/>
      <c r="AT79" s="38" t="n"/>
      <c r="AU79" s="38" t="n"/>
      <c r="AV79" s="38" t="n"/>
      <c r="AW79" s="38" t="n"/>
      <c r="AX79" s="38" t="n"/>
      <c r="AY79" s="38" t="n"/>
      <c r="AZ79" s="38" t="n"/>
      <c r="BA79" s="38" t="n">
        <v>22</v>
      </c>
      <c r="BB79" s="38" t="n">
        <v>22</v>
      </c>
      <c r="BC79" s="38" t="n">
        <v>22</v>
      </c>
      <c r="BD79" s="38" t="n">
        <v>22</v>
      </c>
      <c r="BE79" s="38" t="n">
        <v>22</v>
      </c>
      <c r="BF79" s="38" t="n">
        <v>22</v>
      </c>
      <c r="BG79" s="38" t="n">
        <v>22</v>
      </c>
      <c r="BH79" s="38" t="n">
        <v>22</v>
      </c>
      <c r="BI79" s="261" t="n">
        <v>0</v>
      </c>
      <c r="BJ79" s="38" t="n">
        <v>0</v>
      </c>
      <c r="BK79" s="38" t="n"/>
      <c r="BL79" s="38" t="n"/>
      <c r="BM79" s="38" t="n"/>
      <c r="BN79" s="38" t="n"/>
      <c r="BO79" s="38" t="n"/>
      <c r="BP79" s="38" t="n"/>
      <c r="BQ79" s="38" t="n"/>
      <c r="BR79" s="38" t="n"/>
      <c r="BS79" s="38" t="n"/>
      <c r="BT79" s="38" t="n"/>
      <c r="BU79" s="38" t="n"/>
      <c r="BV79" s="38" t="n"/>
      <c r="BW79" s="38" t="n"/>
      <c r="BX79" s="38" t="n"/>
      <c r="BY79" s="38" t="n"/>
      <c r="BZ79" s="38" t="n"/>
      <c r="CA79" s="38" t="n"/>
      <c r="CB79" s="246">
        <f>BZ79+IF(NOT(ISBLANK(OFFSET(CB79,0,6))),N(OFFSET(CB79,0,6)),N(OFFSET(CB79,0,7)))-CA79</f>
        <v/>
      </c>
    </row>
    <row r="80" hidden="1" ht="18.75" customHeight="1"/>
    <row r="81" hidden="1" ht="18.75" customHeight="1">
      <c r="A81" s="406" t="inlineStr">
        <is>
          <t>HOMEM ARANHA/25</t>
        </is>
      </c>
      <c r="B81" s="407" t="inlineStr">
        <is>
          <t>PC</t>
        </is>
      </c>
      <c r="C81" s="407" t="inlineStr">
        <is>
          <t>R$</t>
        </is>
      </c>
      <c r="D81" s="407" t="n"/>
      <c r="AY81" s="650" t="n">
        <v>45971</v>
      </c>
      <c r="AZ81" s="650" t="n">
        <v>45978</v>
      </c>
      <c r="BA81" s="650" t="n">
        <v>45985</v>
      </c>
      <c r="BB81" s="650" t="n">
        <v>45992</v>
      </c>
      <c r="BC81" s="650" t="n">
        <v>45999</v>
      </c>
      <c r="BD81" s="650" t="n">
        <v>46006</v>
      </c>
      <c r="BE81" s="650" t="n">
        <v>46013</v>
      </c>
      <c r="BF81" s="650" t="n">
        <v>46020</v>
      </c>
      <c r="BG81" s="650" t="n">
        <v>46027</v>
      </c>
      <c r="BH81" s="650" t="n">
        <v>46034</v>
      </c>
      <c r="BI81" s="650" t="n">
        <v>46041</v>
      </c>
      <c r="BJ81" s="650" t="n">
        <v>46048</v>
      </c>
      <c r="BK81" s="650" t="n"/>
      <c r="BL81" s="650" t="n"/>
      <c r="BM81" s="650" t="n"/>
      <c r="BN81" s="650" t="n"/>
      <c r="BO81" s="650" t="n"/>
      <c r="BP81" s="650" t="n"/>
      <c r="BQ81" s="650" t="n"/>
      <c r="BR81" s="650" t="n"/>
      <c r="BS81" s="650" t="n"/>
      <c r="BT81" s="650" t="n"/>
      <c r="BU81" s="650" t="n"/>
      <c r="BV81" s="650" t="n"/>
      <c r="BW81" s="650" t="n"/>
      <c r="BX81" s="650" t="n"/>
      <c r="BY81" s="650" t="n"/>
      <c r="BZ81" s="650" t="n"/>
      <c r="CA81" s="650" t="n"/>
      <c r="CB81" s="660" t="inlineStr">
        <is>
          <t>USOU</t>
        </is>
      </c>
    </row>
    <row r="82" hidden="1" ht="18.75" customHeight="1">
      <c r="A82" s="33" t="inlineStr">
        <is>
          <t>SACOLA M</t>
        </is>
      </c>
      <c r="B82" s="9" t="n">
        <v>200</v>
      </c>
      <c r="C82" s="662" t="n">
        <v>479.2</v>
      </c>
      <c r="D82" s="329" t="n"/>
      <c r="AY82" s="38" t="n"/>
      <c r="AZ82" s="38" t="n"/>
      <c r="BA82" s="38" t="n">
        <v>0</v>
      </c>
      <c r="BB82" s="38" t="n">
        <v>0</v>
      </c>
      <c r="BC82" s="38" t="n">
        <v>0</v>
      </c>
      <c r="BD82" s="38" t="n">
        <v>0</v>
      </c>
      <c r="BE82" s="38" t="n">
        <v>0</v>
      </c>
      <c r="BF82" s="38" t="n">
        <v>0</v>
      </c>
      <c r="BG82" s="38" t="n">
        <v>0</v>
      </c>
      <c r="BH82" s="38" t="n">
        <v>0</v>
      </c>
      <c r="BI82" s="38" t="n">
        <v>0</v>
      </c>
      <c r="BJ82" s="38" t="n">
        <v>0</v>
      </c>
      <c r="BK82" s="38" t="n"/>
      <c r="BL82" s="38" t="n"/>
      <c r="BM82" s="38" t="n"/>
      <c r="BN82" s="38" t="n"/>
      <c r="BO82" s="38" t="n"/>
      <c r="BP82" s="38" t="n"/>
      <c r="BQ82" s="38" t="n"/>
      <c r="BR82" s="38" t="n"/>
      <c r="BS82" s="38" t="n"/>
      <c r="BT82" s="38" t="n"/>
      <c r="BU82" s="38" t="n"/>
      <c r="BV82" s="38" t="n"/>
      <c r="BW82" s="38" t="n"/>
      <c r="BX82" s="38" t="n"/>
      <c r="BY82" s="38" t="n"/>
      <c r="BZ82" s="38" t="n"/>
      <c r="CA82" s="38" t="n"/>
      <c r="CB82" s="246">
        <f>BZ82+IF(NOT(ISBLANK(OFFSET(CB82,0,6))),N(OFFSET(CB82,0,6)),N(OFFSET(CB82,0,7)))-CA82</f>
        <v/>
      </c>
    </row>
    <row r="83" hidden="1" ht="18.75" customHeight="1">
      <c r="A83" s="33" t="inlineStr">
        <is>
          <t>PAPEL DE SEDA</t>
        </is>
      </c>
      <c r="B83" s="9" t="n">
        <v>200</v>
      </c>
      <c r="C83" s="662" t="n">
        <v>45.47</v>
      </c>
      <c r="D83" s="329" t="n"/>
      <c r="AY83" s="38" t="n"/>
      <c r="AZ83" s="38" t="n"/>
      <c r="BA83" s="38" t="n">
        <v>0</v>
      </c>
      <c r="BB83" s="38" t="n">
        <v>0</v>
      </c>
      <c r="BC83" s="38" t="n">
        <v>0</v>
      </c>
      <c r="BD83" s="38" t="n">
        <v>0</v>
      </c>
      <c r="BE83" s="38" t="n">
        <v>0</v>
      </c>
      <c r="BF83" s="38" t="n">
        <v>0</v>
      </c>
      <c r="BG83" s="38" t="n">
        <v>0</v>
      </c>
      <c r="BH83" s="38" t="n">
        <v>0</v>
      </c>
      <c r="BI83" s="38" t="n">
        <v>0</v>
      </c>
      <c r="BJ83" s="38" t="n">
        <v>0</v>
      </c>
      <c r="BK83" s="38" t="n"/>
      <c r="BL83" s="38" t="n"/>
      <c r="BM83" s="38" t="n"/>
      <c r="BN83" s="38" t="n"/>
      <c r="BO83" s="38" t="n"/>
      <c r="BP83" s="38" t="n"/>
      <c r="BQ83" s="38" t="n"/>
      <c r="BR83" s="38" t="n"/>
      <c r="BS83" s="38" t="n"/>
      <c r="BT83" s="38" t="n"/>
      <c r="BU83" s="38" t="n"/>
      <c r="BV83" s="38" t="n"/>
      <c r="BW83" s="38" t="n"/>
      <c r="BX83" s="38" t="n"/>
      <c r="BY83" s="38" t="n"/>
      <c r="BZ83" s="38" t="n"/>
      <c r="CA83" s="38" t="n"/>
      <c r="CB83" s="246">
        <f>BZ83+IF(NOT(ISBLANK(OFFSET(CB83,0,6))),N(OFFSET(CB83,0,6)),N(OFFSET(CB83,0,7)))-CA83</f>
        <v/>
      </c>
    </row>
    <row r="84" hidden="1" ht="18.75" customHeight="1">
      <c r="A84" s="33" t="inlineStr">
        <is>
          <t>CAIXA M</t>
        </is>
      </c>
      <c r="B84" s="9" t="n">
        <v>100</v>
      </c>
      <c r="C84" s="662" t="n">
        <v>1490</v>
      </c>
      <c r="D84" s="329" t="n"/>
      <c r="AY84" s="38" t="n"/>
      <c r="AZ84" s="38" t="n"/>
      <c r="BA84" s="38" t="n">
        <v>16</v>
      </c>
      <c r="BB84" s="38" t="n">
        <v>16</v>
      </c>
      <c r="BC84" s="38" t="n">
        <v>16</v>
      </c>
      <c r="BD84" s="38" t="n">
        <v>16</v>
      </c>
      <c r="BE84" s="38" t="n">
        <v>16</v>
      </c>
      <c r="BF84" s="38" t="n">
        <v>16</v>
      </c>
      <c r="BG84" s="38" t="n">
        <v>16</v>
      </c>
      <c r="BH84" s="38" t="n">
        <v>16</v>
      </c>
      <c r="BI84" s="261" t="n">
        <v>0</v>
      </c>
      <c r="BJ84" s="38" t="n">
        <v>0</v>
      </c>
      <c r="BK84" s="38" t="n"/>
      <c r="BL84" s="38" t="n"/>
      <c r="BM84" s="38" t="n"/>
      <c r="BN84" s="38" t="n"/>
      <c r="BO84" s="38" t="n"/>
      <c r="BP84" s="38" t="n"/>
      <c r="BQ84" s="38" t="n"/>
      <c r="BR84" s="38" t="n"/>
      <c r="BS84" s="38" t="n"/>
      <c r="BT84" s="38" t="n"/>
      <c r="BU84" s="38" t="n"/>
      <c r="BV84" s="38" t="n"/>
      <c r="BW84" s="38" t="n"/>
      <c r="BX84" s="38" t="n"/>
      <c r="BY84" s="38" t="n"/>
      <c r="BZ84" s="38" t="n"/>
      <c r="CA84" s="38" t="n"/>
      <c r="CB84" s="246">
        <f>BZ84+IF(NOT(ISBLANK(OFFSET(CB84,0,6))),N(OFFSET(CB84,0,6)),N(OFFSET(CB84,0,7)))-CA84</f>
        <v/>
      </c>
    </row>
    <row r="85" hidden="1" ht="18.75" customHeight="1"/>
    <row r="86" ht="18.75" customHeight="1">
      <c r="A86" s="408" t="inlineStr">
        <is>
          <t>EUDORA NATAL/25</t>
        </is>
      </c>
      <c r="B86" s="409" t="inlineStr">
        <is>
          <t>PC</t>
        </is>
      </c>
      <c r="C86" s="409" t="inlineStr">
        <is>
          <t>R$</t>
        </is>
      </c>
      <c r="D86" s="409" t="n"/>
      <c r="AY86" s="650" t="n">
        <v>45971</v>
      </c>
      <c r="AZ86" s="650" t="n">
        <v>45978</v>
      </c>
      <c r="BA86" s="650" t="n">
        <v>45985</v>
      </c>
      <c r="BB86" s="650" t="n">
        <v>45992</v>
      </c>
      <c r="BC86" s="650" t="n">
        <v>45999</v>
      </c>
      <c r="BD86" s="650" t="n">
        <v>46006</v>
      </c>
      <c r="BE86" s="650" t="n">
        <v>46013</v>
      </c>
      <c r="BF86" s="650" t="n">
        <v>46020</v>
      </c>
      <c r="BG86" s="650" t="n">
        <v>46027</v>
      </c>
      <c r="BH86" s="650" t="n">
        <v>46034</v>
      </c>
      <c r="BI86" s="650" t="n">
        <v>46041</v>
      </c>
      <c r="BJ86" s="650" t="n">
        <v>46048</v>
      </c>
      <c r="BK86" s="650" t="n">
        <v>46055</v>
      </c>
      <c r="BL86" s="650" t="n">
        <v>46062</v>
      </c>
      <c r="BM86" s="650" t="n">
        <v>46069</v>
      </c>
      <c r="BN86" s="650" t="n">
        <v>46076</v>
      </c>
      <c r="BO86" s="650" t="n">
        <v>46083</v>
      </c>
      <c r="BP86" s="650" t="n">
        <v>46090</v>
      </c>
      <c r="BQ86" s="650" t="n">
        <v>46097</v>
      </c>
      <c r="BR86" s="650" t="n">
        <v>46104</v>
      </c>
      <c r="BS86" s="650" t="n">
        <v>46111</v>
      </c>
      <c r="BT86" s="650" t="n">
        <v>46118</v>
      </c>
      <c r="BU86" s="650" t="n">
        <v>46125</v>
      </c>
      <c r="BV86" s="650" t="n">
        <v>46132</v>
      </c>
      <c r="BW86" s="650" t="n">
        <v>46139</v>
      </c>
      <c r="BX86" s="650" t="n">
        <v>46146</v>
      </c>
      <c r="BY86" s="650" t="n">
        <v>46154</v>
      </c>
      <c r="BZ86" s="650" t="n">
        <v>46160</v>
      </c>
      <c r="CA86" s="650" t="n">
        <v>46160</v>
      </c>
      <c r="CB86" s="660" t="inlineStr">
        <is>
          <t>USOU</t>
        </is>
      </c>
    </row>
    <row r="87" ht="18.75" customHeight="1">
      <c r="A87" s="33" t="inlineStr">
        <is>
          <t xml:space="preserve">SACOLA M </t>
        </is>
      </c>
      <c r="B87" s="9" t="n">
        <v>200</v>
      </c>
      <c r="C87" s="662" t="n">
        <v>336</v>
      </c>
      <c r="D87" s="329" t="n"/>
      <c r="AY87" s="38" t="n"/>
      <c r="AZ87" s="38" t="n"/>
      <c r="BA87" s="38" t="n">
        <v>371</v>
      </c>
      <c r="BB87" s="38" t="n">
        <v>213</v>
      </c>
      <c r="BC87" s="38" t="n">
        <v>195</v>
      </c>
      <c r="BD87" s="38" t="n">
        <v>8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261" t="n">
        <v>3</v>
      </c>
      <c r="BM87" s="38" t="n">
        <v>3</v>
      </c>
      <c r="BN87" s="38" t="n">
        <v>0</v>
      </c>
      <c r="BO87" s="38" t="n">
        <v>0</v>
      </c>
      <c r="BP87" s="38" t="n">
        <v>0</v>
      </c>
      <c r="BQ87" s="261" t="n">
        <v>124</v>
      </c>
      <c r="BR87" s="38" t="n">
        <v>120</v>
      </c>
      <c r="BS87" s="38" t="n">
        <v>90</v>
      </c>
      <c r="BT87" s="38" t="n"/>
      <c r="BU87" s="38" t="n"/>
      <c r="BV87" s="38" t="n"/>
      <c r="BW87" s="38" t="n">
        <v>0</v>
      </c>
      <c r="BX87" s="38" t="n">
        <v>0</v>
      </c>
      <c r="BY87" s="38" t="n">
        <v>0</v>
      </c>
      <c r="BZ87" s="38" t="n">
        <v>0</v>
      </c>
      <c r="CA87" s="38" t="n">
        <v>0</v>
      </c>
      <c r="CB87" s="246">
        <f>BZ87+IF(NOT(ISBLANK(OFFSET(CB87,0,6))),N(OFFSET(CB87,0,6)),N(OFFSET(CB87,0,7)))-CA87</f>
        <v/>
      </c>
    </row>
    <row r="88" ht="18.75" customHeight="1">
      <c r="A88" s="33" t="inlineStr">
        <is>
          <t>PAPEL DE SEDA</t>
        </is>
      </c>
      <c r="B88" s="9" t="n">
        <v>200</v>
      </c>
      <c r="C88" s="662" t="n">
        <v>54</v>
      </c>
      <c r="D88" s="329" t="n"/>
      <c r="AY88" s="38" t="n"/>
      <c r="AZ88" s="38" t="n"/>
      <c r="BA88" s="38" t="n">
        <v>0</v>
      </c>
      <c r="BB88" s="38" t="n">
        <v>0</v>
      </c>
      <c r="BC88" s="38" t="n">
        <v>0</v>
      </c>
      <c r="BD88" s="38" t="n">
        <v>0</v>
      </c>
      <c r="BE88" s="38" t="n">
        <v>0</v>
      </c>
      <c r="BF88" s="38" t="n">
        <v>0</v>
      </c>
      <c r="BG88" s="38" t="n">
        <v>0</v>
      </c>
      <c r="BH88" s="38" t="n">
        <v>0</v>
      </c>
      <c r="BI88" s="38" t="n">
        <v>0</v>
      </c>
      <c r="BJ88" s="38" t="n">
        <v>0</v>
      </c>
      <c r="BK88" s="38" t="n">
        <v>0</v>
      </c>
      <c r="BL88" s="38" t="n">
        <v>0</v>
      </c>
      <c r="BM88" s="38" t="n">
        <v>0</v>
      </c>
      <c r="BN88" s="38" t="n">
        <v>0</v>
      </c>
      <c r="BO88" s="38" t="n">
        <v>0</v>
      </c>
      <c r="BP88" s="38" t="n">
        <v>0</v>
      </c>
      <c r="BQ88" s="38" t="n">
        <v>0</v>
      </c>
      <c r="BR88" s="38" t="n">
        <v>0</v>
      </c>
      <c r="BS88" s="38" t="n">
        <v>0</v>
      </c>
      <c r="BT88" s="38" t="n"/>
      <c r="BU88" s="38" t="n"/>
      <c r="BV88" s="38" t="n"/>
      <c r="BW88" s="38" t="n">
        <v>0</v>
      </c>
      <c r="BX88" s="38" t="n">
        <v>0</v>
      </c>
      <c r="BY88" s="38" t="n">
        <v>0</v>
      </c>
      <c r="BZ88" s="38" t="n">
        <v>0</v>
      </c>
      <c r="CA88" s="38" t="n">
        <v>0</v>
      </c>
      <c r="CB88" s="246">
        <f>BZ88+IF(NOT(ISBLANK(OFFSET(CB88,0,6))),N(OFFSET(CB88,0,6)),N(OFFSET(CB88,0,7)))-CA88</f>
        <v/>
      </c>
    </row>
    <row r="89" ht="18.75" customHeight="1">
      <c r="A89" s="33" t="inlineStr">
        <is>
          <t>KIT TAG 10 C/ 20</t>
        </is>
      </c>
      <c r="B89" s="9" t="n">
        <v>200</v>
      </c>
      <c r="C89" s="662" t="n">
        <v>40</v>
      </c>
      <c r="D89" s="329" t="n"/>
      <c r="AY89" s="38" t="n"/>
      <c r="AZ89" s="38" t="n"/>
      <c r="BA89" s="38" t="n">
        <v>0</v>
      </c>
      <c r="BB89" s="38" t="n">
        <v>0</v>
      </c>
      <c r="BC89" s="38" t="n">
        <v>0</v>
      </c>
      <c r="BD89" s="38" t="n">
        <v>0</v>
      </c>
      <c r="BE89" s="38" t="n">
        <v>0</v>
      </c>
      <c r="BF89" s="38" t="n">
        <v>0</v>
      </c>
      <c r="BG89" s="38" t="n">
        <v>0</v>
      </c>
      <c r="BH89" s="38" t="n">
        <v>0</v>
      </c>
      <c r="BI89" s="38" t="n">
        <v>0</v>
      </c>
      <c r="BJ89" s="38" t="n">
        <v>0</v>
      </c>
      <c r="BK89" s="38" t="n">
        <v>0</v>
      </c>
      <c r="BL89" s="38" t="n">
        <v>0</v>
      </c>
      <c r="BM89" s="38" t="n">
        <v>0</v>
      </c>
      <c r="BN89" s="38" t="n">
        <v>0</v>
      </c>
      <c r="BO89" s="38" t="n">
        <v>0</v>
      </c>
      <c r="BP89" s="38" t="n">
        <v>0</v>
      </c>
      <c r="BQ89" s="38" t="n">
        <v>0</v>
      </c>
      <c r="BR89" s="38" t="n">
        <v>0</v>
      </c>
      <c r="BS89" s="38" t="n">
        <v>0</v>
      </c>
      <c r="BT89" s="38" t="n"/>
      <c r="BU89" s="38" t="n"/>
      <c r="BV89" s="38" t="n"/>
      <c r="BW89" s="38" t="n">
        <v>0</v>
      </c>
      <c r="BX89" s="38" t="n">
        <v>0</v>
      </c>
      <c r="BY89" s="38" t="n">
        <v>0</v>
      </c>
      <c r="BZ89" s="38" t="n">
        <v>0</v>
      </c>
      <c r="CA89" s="38" t="n">
        <v>0</v>
      </c>
      <c r="CB89" s="246">
        <f>BZ89+IF(NOT(ISBLANK(OFFSET(CB89,0,6))),N(OFFSET(CB89,0,6)),N(OFFSET(CB89,0,7)))-CA89</f>
        <v/>
      </c>
    </row>
    <row r="90" ht="18.75" customHeight="1">
      <c r="A90" s="238" t="inlineStr">
        <is>
          <t>CAIXA M</t>
        </is>
      </c>
      <c r="B90" s="36" t="n">
        <v>100</v>
      </c>
      <c r="C90" s="668" t="n">
        <v>904</v>
      </c>
      <c r="D90" s="36" t="n"/>
      <c r="AY90" s="38" t="n"/>
      <c r="AZ90" s="38" t="n"/>
      <c r="BA90" s="38" t="n">
        <v>93</v>
      </c>
      <c r="BB90" s="38" t="n">
        <v>93</v>
      </c>
      <c r="BC90" s="38" t="n">
        <v>92</v>
      </c>
      <c r="BD90" s="38" t="n">
        <v>91</v>
      </c>
      <c r="BE90" s="38" t="n">
        <v>90</v>
      </c>
      <c r="BF90" s="38" t="n">
        <v>90</v>
      </c>
      <c r="BG90" s="38" t="n">
        <v>90</v>
      </c>
      <c r="BH90" s="38" t="n">
        <v>89</v>
      </c>
      <c r="BI90" s="38" t="n">
        <v>89</v>
      </c>
      <c r="BJ90" s="38" t="n">
        <v>89</v>
      </c>
      <c r="BK90" s="38" t="n">
        <v>89</v>
      </c>
      <c r="BL90" s="38" t="n">
        <v>89</v>
      </c>
      <c r="BM90" s="38" t="n">
        <v>89</v>
      </c>
      <c r="BN90" s="38" t="n">
        <v>89</v>
      </c>
      <c r="BO90" s="38" t="n">
        <v>89</v>
      </c>
      <c r="BP90" s="38" t="n">
        <v>89</v>
      </c>
      <c r="BQ90" s="38" t="n">
        <v>89</v>
      </c>
      <c r="BR90" s="38" t="n">
        <v>89</v>
      </c>
      <c r="BS90" s="38" t="n">
        <v>89</v>
      </c>
      <c r="BT90" s="38" t="n"/>
      <c r="BU90" s="38" t="n"/>
      <c r="BV90" s="38" t="n"/>
      <c r="BW90" s="38" t="n">
        <v>89</v>
      </c>
      <c r="BX90" s="38" t="n">
        <v>89</v>
      </c>
      <c r="BY90" s="38" t="n">
        <v>60</v>
      </c>
      <c r="BZ90" s="38" t="n">
        <v>60</v>
      </c>
      <c r="CA90" s="38" t="n">
        <v>60</v>
      </c>
      <c r="CB90" s="246">
        <f>BZ90+IF(NOT(ISBLANK(OFFSET(CB90,0,6))),N(OFFSET(CB90,0,6)),N(OFFSET(CB90,0,7)))-CA90</f>
        <v/>
      </c>
    </row>
    <row r="91" ht="18.75" customHeight="1">
      <c r="A91" s="238" t="inlineStr">
        <is>
          <t>CARTUCHO P</t>
        </is>
      </c>
      <c r="B91" s="36" t="n">
        <v>200</v>
      </c>
      <c r="C91" s="668" t="n">
        <v>464</v>
      </c>
      <c r="D91" s="36" t="n"/>
      <c r="AY91" s="38" t="n"/>
      <c r="AZ91" s="38" t="n"/>
      <c r="BA91" s="38" t="n">
        <v>30</v>
      </c>
      <c r="BB91" s="38" t="n">
        <v>29</v>
      </c>
      <c r="BC91" s="38" t="n">
        <v>18</v>
      </c>
      <c r="BD91" s="38" t="n">
        <v>5</v>
      </c>
      <c r="BE91" s="38" t="n">
        <v>5</v>
      </c>
      <c r="BF91" s="38" t="n">
        <v>3</v>
      </c>
      <c r="BG91" s="38" t="n">
        <v>3</v>
      </c>
      <c r="BH91" s="38" t="n">
        <v>3</v>
      </c>
      <c r="BI91" s="38" t="n">
        <v>3</v>
      </c>
      <c r="BJ91" s="38" t="n">
        <v>3</v>
      </c>
      <c r="BK91" s="38" t="n">
        <v>3</v>
      </c>
      <c r="BL91" s="38" t="n">
        <v>1</v>
      </c>
      <c r="BM91" s="38" t="n">
        <v>0</v>
      </c>
      <c r="BN91" s="38" t="n">
        <v>0</v>
      </c>
      <c r="BO91" s="38" t="n">
        <v>0</v>
      </c>
      <c r="BP91" s="38" t="n">
        <v>0</v>
      </c>
      <c r="BQ91" s="38" t="n">
        <v>0</v>
      </c>
      <c r="BR91" s="38" t="n">
        <v>0</v>
      </c>
      <c r="BS91" s="38" t="n">
        <v>0</v>
      </c>
      <c r="BT91" s="38" t="n"/>
      <c r="BU91" s="38" t="n"/>
      <c r="BV91" s="38" t="n"/>
      <c r="BW91" s="38" t="n">
        <v>0</v>
      </c>
      <c r="BX91" s="38" t="n">
        <v>0</v>
      </c>
      <c r="BY91" s="38" t="n">
        <v>0</v>
      </c>
      <c r="BZ91" s="38" t="n">
        <v>0</v>
      </c>
      <c r="CA91" s="38" t="n">
        <v>0</v>
      </c>
      <c r="CB91" s="246">
        <f>BZ91+IF(NOT(ISBLANK(OFFSET(CB91,0,6))),N(OFFSET(CB91,0,6)),N(OFFSET(CB91,0,7)))-CA91</f>
        <v/>
      </c>
    </row>
    <row r="92" ht="11.25" customHeight="1"/>
    <row r="93" hidden="1" ht="18.75" customHeight="1">
      <c r="A93" s="410" t="inlineStr">
        <is>
          <t>BOTICÁRIO NATAL/25</t>
        </is>
      </c>
      <c r="B93" s="357" t="inlineStr">
        <is>
          <t>PC</t>
        </is>
      </c>
      <c r="C93" s="357" t="inlineStr">
        <is>
          <t>R$</t>
        </is>
      </c>
      <c r="D93" s="357" t="n"/>
      <c r="AY93" s="650" t="n">
        <v>45971</v>
      </c>
      <c r="AZ93" s="650" t="n">
        <v>45978</v>
      </c>
      <c r="BA93" s="650" t="n">
        <v>45985</v>
      </c>
      <c r="BB93" s="650" t="n">
        <v>45992</v>
      </c>
      <c r="BC93" s="650" t="n">
        <v>45999</v>
      </c>
      <c r="BD93" s="650" t="n">
        <v>46006</v>
      </c>
      <c r="BE93" s="650" t="n">
        <v>46013</v>
      </c>
      <c r="BF93" s="650" t="n">
        <v>46020</v>
      </c>
      <c r="BG93" s="650" t="n">
        <v>46027</v>
      </c>
      <c r="BH93" s="650" t="n">
        <v>46034</v>
      </c>
      <c r="BI93" s="650" t="n">
        <v>46041</v>
      </c>
      <c r="BJ93" s="650" t="n"/>
      <c r="BK93" s="650" t="n"/>
      <c r="BL93" s="650" t="n"/>
      <c r="BM93" s="650" t="n"/>
      <c r="BN93" s="650" t="n"/>
      <c r="BO93" s="650" t="n"/>
      <c r="BP93" s="650" t="n"/>
      <c r="BQ93" s="650" t="n"/>
      <c r="BR93" s="650" t="n"/>
      <c r="BS93" s="650" t="n"/>
      <c r="BT93" s="650" t="n"/>
      <c r="BU93" s="650" t="n"/>
      <c r="BV93" s="650" t="n"/>
      <c r="BW93" s="650" t="n"/>
      <c r="BX93" s="650" t="n"/>
      <c r="BY93" s="650" t="n"/>
      <c r="BZ93" s="650" t="n"/>
      <c r="CA93" s="650" t="n"/>
      <c r="CB93" s="660" t="inlineStr">
        <is>
          <t>USOU</t>
        </is>
      </c>
    </row>
    <row r="94" hidden="1" ht="18.75" customHeight="1">
      <c r="A94" s="33" t="inlineStr">
        <is>
          <t>SACOLA P</t>
        </is>
      </c>
      <c r="B94" s="9" t="n">
        <v>200</v>
      </c>
      <c r="C94" s="662" t="n">
        <v>274.2</v>
      </c>
      <c r="D94" s="329" t="n"/>
      <c r="AY94" s="38" t="n"/>
      <c r="AZ94" s="38" t="n"/>
      <c r="BA94" s="38" t="n">
        <v>0</v>
      </c>
      <c r="BB94" s="38" t="n">
        <v>0</v>
      </c>
      <c r="BC94" s="38" t="n">
        <v>0</v>
      </c>
      <c r="BD94" s="38" t="n">
        <v>0</v>
      </c>
      <c r="BE94" s="38" t="n">
        <v>0</v>
      </c>
      <c r="BF94" s="38" t="n">
        <v>0</v>
      </c>
      <c r="BG94" s="38" t="n">
        <v>0</v>
      </c>
      <c r="BH94" s="38" t="n">
        <v>0</v>
      </c>
      <c r="BI94" s="38" t="n">
        <v>0</v>
      </c>
      <c r="BJ94" s="38" t="n"/>
      <c r="BK94" s="38" t="n"/>
      <c r="BL94" s="38" t="n"/>
      <c r="BM94" s="38" t="n"/>
      <c r="BN94" s="38" t="n"/>
      <c r="BO94" s="38" t="n"/>
      <c r="BP94" s="38" t="n"/>
      <c r="BQ94" s="38" t="n"/>
      <c r="BR94" s="38" t="n"/>
      <c r="BS94" s="38" t="n"/>
      <c r="BT94" s="38" t="n"/>
      <c r="BU94" s="38" t="n"/>
      <c r="BV94" s="38" t="n"/>
      <c r="BW94" s="38" t="n"/>
      <c r="BX94" s="38" t="n"/>
      <c r="BY94" s="38" t="n"/>
      <c r="BZ94" s="38" t="n"/>
      <c r="CA94" s="38" t="n"/>
      <c r="CB94" s="246">
        <f>BZ94+IF(NOT(ISBLANK(OFFSET(CB94,0,6))),N(OFFSET(CB94,0,6)),N(OFFSET(CB94,0,7)))-CA94</f>
        <v/>
      </c>
    </row>
    <row r="95" hidden="1" ht="18.75" customHeight="1">
      <c r="A95" s="33" t="inlineStr">
        <is>
          <t>SACOLA M</t>
        </is>
      </c>
      <c r="B95" s="9" t="n">
        <v>200</v>
      </c>
      <c r="C95" s="662" t="n">
        <v>347.8</v>
      </c>
      <c r="D95" s="329" t="n"/>
      <c r="AY95" s="38" t="n"/>
      <c r="AZ95" s="38" t="n"/>
      <c r="BA95" s="38" t="n">
        <v>11</v>
      </c>
      <c r="BB95" s="38" t="n">
        <v>0</v>
      </c>
      <c r="BC95" s="38" t="n">
        <v>0</v>
      </c>
      <c r="BD95" s="38" t="n">
        <v>0</v>
      </c>
      <c r="BE95" s="38" t="n">
        <v>0</v>
      </c>
      <c r="BF95" s="38" t="n">
        <v>0</v>
      </c>
      <c r="BG95" s="38" t="n">
        <v>0</v>
      </c>
      <c r="BH95" s="38" t="n">
        <v>0</v>
      </c>
      <c r="BI95" s="38" t="n">
        <v>0</v>
      </c>
      <c r="BJ95" s="38" t="n"/>
      <c r="BK95" s="38" t="n"/>
      <c r="BL95" s="38" t="n"/>
      <c r="BM95" s="38" t="n"/>
      <c r="BN95" s="38" t="n"/>
      <c r="BO95" s="38" t="n"/>
      <c r="BP95" s="38" t="n"/>
      <c r="BQ95" s="38" t="n"/>
      <c r="BR95" s="38" t="n"/>
      <c r="BS95" s="38" t="n"/>
      <c r="BT95" s="38" t="n"/>
      <c r="BU95" s="38" t="n"/>
      <c r="BV95" s="38" t="n"/>
      <c r="BW95" s="38" t="n"/>
      <c r="BX95" s="38" t="n"/>
      <c r="BY95" s="38" t="n"/>
      <c r="BZ95" s="38" t="n"/>
      <c r="CA95" s="38" t="n"/>
      <c r="CB95" s="246">
        <f>BZ95+IF(NOT(ISBLANK(OFFSET(CB95,0,6))),N(OFFSET(CB95,0,6)),N(OFFSET(CB95,0,7)))-CA95</f>
        <v/>
      </c>
    </row>
    <row r="96" hidden="1" ht="18.75" customHeight="1">
      <c r="A96" s="33" t="inlineStr">
        <is>
          <t>SACOLA G</t>
        </is>
      </c>
      <c r="B96" s="9" t="n">
        <v>100</v>
      </c>
      <c r="C96" s="662" t="n">
        <v>267</v>
      </c>
      <c r="D96" s="329" t="n"/>
      <c r="AY96" s="38" t="n"/>
      <c r="AZ96" s="38" t="n"/>
      <c r="BA96" s="38" t="n">
        <v>0</v>
      </c>
      <c r="BB96" s="38" t="n">
        <v>0</v>
      </c>
      <c r="BC96" s="38" t="n">
        <v>0</v>
      </c>
      <c r="BD96" s="38" t="n">
        <v>0</v>
      </c>
      <c r="BE96" s="38" t="n">
        <v>0</v>
      </c>
      <c r="BF96" s="38" t="n">
        <v>0</v>
      </c>
      <c r="BG96" s="38" t="n">
        <v>0</v>
      </c>
      <c r="BH96" s="38" t="n">
        <v>0</v>
      </c>
      <c r="BI96" s="38" t="n">
        <v>0</v>
      </c>
      <c r="BJ96" s="38" t="n"/>
      <c r="BK96" s="38" t="n"/>
      <c r="BL96" s="38" t="n"/>
      <c r="BM96" s="38" t="n"/>
      <c r="BN96" s="38" t="n"/>
      <c r="BO96" s="38" t="n"/>
      <c r="BP96" s="38" t="n"/>
      <c r="BQ96" s="38" t="n"/>
      <c r="BR96" s="38" t="n"/>
      <c r="BS96" s="38" t="n"/>
      <c r="BT96" s="38" t="n"/>
      <c r="BU96" s="38" t="n"/>
      <c r="BV96" s="38" t="n"/>
      <c r="BW96" s="38" t="n"/>
      <c r="BX96" s="38" t="n"/>
      <c r="BY96" s="38" t="n"/>
      <c r="BZ96" s="38" t="n"/>
      <c r="CA96" s="38" t="n"/>
      <c r="CB96" s="246">
        <f>BZ96+IF(NOT(ISBLANK(OFFSET(CB96,0,6))),N(OFFSET(CB96,0,6)),N(OFFSET(CB96,0,7)))-CA96</f>
        <v/>
      </c>
    </row>
    <row r="97" hidden="1" ht="18.75" customHeight="1">
      <c r="A97" s="238" t="inlineStr">
        <is>
          <t>KIT PAPEL DE SEDA 10 C/ 20</t>
        </is>
      </c>
      <c r="B97" s="36" t="n">
        <v>200</v>
      </c>
      <c r="C97" s="668" t="n">
        <v>44.4</v>
      </c>
      <c r="D97" s="36" t="n"/>
      <c r="AY97" s="38" t="n"/>
      <c r="AZ97" s="38" t="n"/>
      <c r="BA97" s="38" t="n">
        <v>250</v>
      </c>
      <c r="BB97" s="38" t="n">
        <v>198</v>
      </c>
      <c r="BC97" s="38" t="n">
        <v>137</v>
      </c>
      <c r="BD97" s="38" t="n">
        <v>43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/>
      <c r="BK97" s="38" t="n"/>
      <c r="BL97" s="38" t="n"/>
      <c r="BM97" s="38" t="n"/>
      <c r="BN97" s="38" t="n"/>
      <c r="BO97" s="38" t="n"/>
      <c r="BP97" s="38" t="n"/>
      <c r="BQ97" s="38" t="n"/>
      <c r="BR97" s="38" t="n"/>
      <c r="BS97" s="38" t="n"/>
      <c r="BT97" s="38" t="n"/>
      <c r="BU97" s="38" t="n"/>
      <c r="BV97" s="38" t="n"/>
      <c r="BW97" s="38" t="n"/>
      <c r="BX97" s="38" t="n"/>
      <c r="BY97" s="38" t="n"/>
      <c r="BZ97" s="38" t="n"/>
      <c r="CA97" s="38" t="n"/>
      <c r="CB97" s="246">
        <f>BZ97+IF(NOT(ISBLANK(OFFSET(CB97,0,6))),N(OFFSET(CB97,0,6)),N(OFFSET(CB97,0,7)))-CA97</f>
        <v/>
      </c>
    </row>
    <row r="98" hidden="1" ht="18.75" customHeight="1">
      <c r="A98" s="238" t="inlineStr">
        <is>
          <t>CAIXA P</t>
        </is>
      </c>
      <c r="B98" s="36" t="n">
        <v>150</v>
      </c>
      <c r="C98" s="668" t="n">
        <v>805.35</v>
      </c>
      <c r="D98" s="36" t="n"/>
      <c r="AY98" s="38" t="n"/>
      <c r="AZ98" s="38" t="n"/>
      <c r="BA98" s="38" t="n">
        <v>80</v>
      </c>
      <c r="BB98" s="38" t="n">
        <v>79</v>
      </c>
      <c r="BC98" s="38" t="n">
        <v>63</v>
      </c>
      <c r="BD98" s="38" t="n">
        <v>58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/>
      <c r="BK98" s="38" t="n"/>
      <c r="BL98" s="38" t="n"/>
      <c r="BM98" s="38" t="n"/>
      <c r="BN98" s="38" t="n"/>
      <c r="BO98" s="38" t="n"/>
      <c r="BP98" s="38" t="n"/>
      <c r="BQ98" s="38" t="n"/>
      <c r="BR98" s="38" t="n"/>
      <c r="BS98" s="38" t="n"/>
      <c r="BT98" s="38" t="n"/>
      <c r="BU98" s="38" t="n"/>
      <c r="BV98" s="38" t="n"/>
      <c r="BW98" s="38" t="n"/>
      <c r="BX98" s="38" t="n"/>
      <c r="BY98" s="38" t="n"/>
      <c r="BZ98" s="38" t="n"/>
      <c r="CA98" s="38" t="n"/>
      <c r="CB98" s="246">
        <f>BZ98+IF(NOT(ISBLANK(OFFSET(CB98,0,6))),N(OFFSET(CB98,0,6)),N(OFFSET(CB98,0,7)))-CA98</f>
        <v/>
      </c>
    </row>
    <row r="99" hidden="1" ht="18.75" customHeight="1">
      <c r="A99" s="238" t="inlineStr">
        <is>
          <t>CAIXA M</t>
        </is>
      </c>
      <c r="B99" s="36" t="n">
        <v>100</v>
      </c>
      <c r="C99" s="668" t="n">
        <v>792.2</v>
      </c>
      <c r="D99" s="36" t="n"/>
      <c r="AY99" s="38" t="n"/>
      <c r="AZ99" s="38" t="n"/>
      <c r="BA99" s="38" t="n">
        <v>76</v>
      </c>
      <c r="BB99" s="38" t="n">
        <v>71</v>
      </c>
      <c r="BC99" s="38" t="n">
        <v>53</v>
      </c>
      <c r="BD99" s="38" t="n">
        <v>38</v>
      </c>
      <c r="BE99" s="38" t="n">
        <v>0</v>
      </c>
      <c r="BF99" s="38" t="n">
        <v>0</v>
      </c>
      <c r="BG99" s="38" t="n">
        <v>0</v>
      </c>
      <c r="BH99" s="38" t="n">
        <v>0</v>
      </c>
      <c r="BI99" s="38" t="n">
        <v>0</v>
      </c>
      <c r="BJ99" s="38" t="n"/>
      <c r="BK99" s="38" t="n"/>
      <c r="BL99" s="38" t="n"/>
      <c r="BM99" s="38" t="n"/>
      <c r="BN99" s="38" t="n"/>
      <c r="BO99" s="38" t="n"/>
      <c r="BP99" s="38" t="n"/>
      <c r="BQ99" s="38" t="n"/>
      <c r="BR99" s="38" t="n"/>
      <c r="BS99" s="38" t="n"/>
      <c r="BT99" s="38" t="n"/>
      <c r="BU99" s="38" t="n"/>
      <c r="BV99" s="38" t="n"/>
      <c r="BW99" s="38" t="n"/>
      <c r="BX99" s="38" t="n"/>
      <c r="BY99" s="38" t="n"/>
      <c r="BZ99" s="38" t="n"/>
      <c r="CA99" s="38" t="n"/>
      <c r="CB99" s="246">
        <f>BZ99+IF(NOT(ISBLANK(OFFSET(CB99,0,6))),N(OFFSET(CB99,0,6)),N(OFFSET(CB99,0,7)))-CA99</f>
        <v/>
      </c>
    </row>
    <row r="100" hidden="1" ht="18.75" customHeight="1">
      <c r="A100" s="238" t="inlineStr">
        <is>
          <t>CARTUCHO P</t>
        </is>
      </c>
      <c r="B100" s="36" t="n">
        <v>200</v>
      </c>
      <c r="C100" s="668" t="n">
        <v>487.2</v>
      </c>
      <c r="D100" s="36" t="n"/>
      <c r="AY100" s="38" t="n"/>
      <c r="AZ100" s="38" t="n"/>
      <c r="BA100" s="38" t="n">
        <v>151</v>
      </c>
      <c r="BB100" s="38" t="n">
        <v>143</v>
      </c>
      <c r="BC100" s="38" t="n">
        <v>129</v>
      </c>
      <c r="BD100" s="38" t="n">
        <v>115</v>
      </c>
      <c r="BE100" s="38" t="n">
        <v>0</v>
      </c>
      <c r="BF100" s="38" t="n">
        <v>0</v>
      </c>
      <c r="BG100" s="38" t="n">
        <v>0</v>
      </c>
      <c r="BH100" s="38" t="n">
        <v>0</v>
      </c>
      <c r="BI100" s="38" t="n">
        <v>0</v>
      </c>
      <c r="BJ100" s="38" t="n"/>
      <c r="BK100" s="38" t="n"/>
      <c r="BL100" s="38" t="n"/>
      <c r="BM100" s="38" t="n"/>
      <c r="BN100" s="38" t="n"/>
      <c r="BO100" s="38" t="n"/>
      <c r="BP100" s="38" t="n"/>
      <c r="BQ100" s="38" t="n"/>
      <c r="BR100" s="38" t="n"/>
      <c r="BS100" s="38" t="n"/>
      <c r="BT100" s="38" t="n"/>
      <c r="BU100" s="38" t="n"/>
      <c r="BV100" s="38" t="n"/>
      <c r="BW100" s="38" t="n"/>
      <c r="BX100" s="38" t="n"/>
      <c r="BY100" s="38" t="n"/>
      <c r="BZ100" s="38" t="n"/>
      <c r="CA100" s="38" t="n"/>
      <c r="CB100" s="246">
        <f>BZ100+IF(NOT(ISBLANK(OFFSET(CB100,0,6))),N(OFFSET(CB100,0,6)),N(OFFSET(CB100,0,7)))-CA100</f>
        <v/>
      </c>
    </row>
    <row r="101" hidden="1" ht="18.75" customHeight="1">
      <c r="A101" s="238" t="inlineStr">
        <is>
          <t>CARTUCHO M</t>
        </is>
      </c>
      <c r="B101" s="36" t="n">
        <v>150</v>
      </c>
      <c r="C101" s="668" t="n">
        <v>460.35</v>
      </c>
      <c r="D101" s="36" t="n"/>
      <c r="AY101" s="38" t="n"/>
      <c r="AZ101" s="38" t="n"/>
      <c r="BA101" s="38" t="n">
        <v>73</v>
      </c>
      <c r="BB101" s="38" t="n">
        <v>61</v>
      </c>
      <c r="BC101" s="38" t="n">
        <v>38</v>
      </c>
      <c r="BD101" s="38" t="n">
        <v>23</v>
      </c>
      <c r="BE101" s="38" t="n">
        <v>0</v>
      </c>
      <c r="BF101" s="38" t="n">
        <v>0</v>
      </c>
      <c r="BG101" s="38" t="n">
        <v>0</v>
      </c>
      <c r="BH101" s="38" t="n">
        <v>0</v>
      </c>
      <c r="BI101" s="38" t="n">
        <v>0</v>
      </c>
      <c r="BJ101" s="38" t="n"/>
      <c r="BK101" s="38" t="n"/>
      <c r="BL101" s="38" t="n"/>
      <c r="BM101" s="38" t="n"/>
      <c r="BN101" s="38" t="n"/>
      <c r="BO101" s="38" t="n"/>
      <c r="BP101" s="38" t="n"/>
      <c r="BQ101" s="38" t="n"/>
      <c r="BR101" s="38" t="n"/>
      <c r="BS101" s="38" t="n"/>
      <c r="BT101" s="38" t="n"/>
      <c r="BU101" s="38" t="n"/>
      <c r="BV101" s="38" t="n"/>
      <c r="BW101" s="38" t="n"/>
      <c r="BX101" s="38" t="n"/>
      <c r="BY101" s="38" t="n"/>
      <c r="BZ101" s="38" t="n"/>
      <c r="CA101" s="38" t="n"/>
      <c r="CB101" s="246">
        <f>BZ101+IF(NOT(ISBLANK(OFFSET(CB101,0,6))),N(OFFSET(CB101,0,6)),N(OFFSET(CB101,0,7)))-CA101</f>
        <v/>
      </c>
    </row>
    <row r="102" hidden="1" ht="18.75" customHeight="1"/>
    <row r="103" ht="18.75" customHeight="1">
      <c r="A103" s="408" t="inlineStr">
        <is>
          <t>EUDORA MÃES/26</t>
        </is>
      </c>
      <c r="B103" s="409" t="inlineStr">
        <is>
          <t>PC</t>
        </is>
      </c>
      <c r="C103" s="409" t="inlineStr">
        <is>
          <t>R$</t>
        </is>
      </c>
      <c r="D103" s="409" t="n"/>
      <c r="BM103" s="650" t="n">
        <v>46069</v>
      </c>
      <c r="BN103" s="650" t="n">
        <v>46076</v>
      </c>
      <c r="BO103" s="650" t="n">
        <v>46083</v>
      </c>
      <c r="BP103" s="650" t="n">
        <v>46090</v>
      </c>
      <c r="BQ103" s="650" t="n">
        <v>46097</v>
      </c>
      <c r="BR103" s="650" t="n">
        <v>46104</v>
      </c>
      <c r="BS103" s="650" t="n">
        <v>46111</v>
      </c>
      <c r="BT103" s="650" t="n">
        <v>46118</v>
      </c>
      <c r="BU103" s="650" t="n">
        <v>46125</v>
      </c>
      <c r="BV103" s="650" t="n">
        <v>46132</v>
      </c>
      <c r="BW103" s="650" t="n">
        <v>46139</v>
      </c>
      <c r="BX103" s="650" t="n">
        <v>46146</v>
      </c>
      <c r="BY103" s="650" t="n">
        <v>46154</v>
      </c>
      <c r="BZ103" s="650" t="n">
        <v>46160</v>
      </c>
      <c r="CA103" s="650" t="n">
        <v>46160</v>
      </c>
      <c r="CB103" s="660" t="inlineStr">
        <is>
          <t>USOU</t>
        </is>
      </c>
      <c r="CE103" s="413" t="inlineStr">
        <is>
          <t>TRANSFERÊNCIA</t>
        </is>
      </c>
    </row>
    <row r="104" ht="18.75" customHeight="1">
      <c r="A104" s="33" t="inlineStr">
        <is>
          <t xml:space="preserve">SACOLA M </t>
        </is>
      </c>
      <c r="B104" s="9" t="n">
        <v>150</v>
      </c>
      <c r="C104" s="662" t="n"/>
      <c r="D104" s="329" t="n"/>
      <c r="BM104" s="38" t="n">
        <v>0</v>
      </c>
      <c r="BN104" s="38" t="n">
        <v>0</v>
      </c>
      <c r="BO104" s="38" t="n">
        <v>0</v>
      </c>
      <c r="BP104" s="38">
        <f>CM10</f>
        <v/>
      </c>
      <c r="BQ104" s="38" t="n">
        <v>4800</v>
      </c>
      <c r="BR104" s="38" t="n">
        <v>4800</v>
      </c>
      <c r="BS104" s="38" t="n">
        <v>4800</v>
      </c>
      <c r="BT104" s="38" t="n">
        <v>4700</v>
      </c>
      <c r="BU104" s="38" t="n">
        <v>4600</v>
      </c>
      <c r="BV104" s="38" t="n">
        <v>4650</v>
      </c>
      <c r="BW104" s="187" t="n">
        <v>4650</v>
      </c>
      <c r="BX104" s="187" t="n">
        <v>3900</v>
      </c>
      <c r="BY104" s="187" t="n">
        <v>3450</v>
      </c>
      <c r="BZ104" s="187" t="n"/>
      <c r="CA104" s="187" t="n"/>
      <c r="CB104" s="423">
        <f>BZ104+IF(NOT(ISBLANK(OFFSET(CB104,0,6))),N(OFFSET(CB104,0,6)),N(OFFSET(CB104,0,7)))-CA104</f>
        <v/>
      </c>
      <c r="CE104" s="127" t="n"/>
    </row>
    <row r="105" ht="18.75" customHeight="1">
      <c r="A105" s="33" t="inlineStr">
        <is>
          <t>ADESIVO</t>
        </is>
      </c>
      <c r="B105" s="9" t="n">
        <v>1000</v>
      </c>
      <c r="C105" s="662" t="n"/>
      <c r="D105" s="329" t="n"/>
      <c r="BM105" s="38" t="n">
        <v>0</v>
      </c>
      <c r="BN105" s="38" t="n">
        <v>0</v>
      </c>
      <c r="BO105" s="38" t="n">
        <v>0</v>
      </c>
      <c r="BP105" s="38">
        <f>CM27</f>
        <v/>
      </c>
      <c r="BQ105" s="38" t="n">
        <v>2</v>
      </c>
      <c r="BR105" s="38" t="n">
        <v>2</v>
      </c>
      <c r="BS105" s="38" t="n">
        <v>2</v>
      </c>
      <c r="BT105" s="38" t="n">
        <v>0</v>
      </c>
      <c r="BU105" s="38" t="n">
        <v>0</v>
      </c>
      <c r="BV105" s="38" t="n">
        <v>0</v>
      </c>
      <c r="BW105" s="38" t="n">
        <v>0</v>
      </c>
      <c r="BX105" s="38" t="n">
        <v>0</v>
      </c>
      <c r="BY105" s="38" t="n">
        <v>0</v>
      </c>
      <c r="BZ105" s="38" t="n"/>
      <c r="CA105" s="38" t="n"/>
      <c r="CB105" s="246">
        <f>BZ105+IF(NOT(ISBLANK(OFFSET(CB105,0,6))),N(OFFSET(CB105,0,6)),N(OFFSET(CB105,0,7)))-CA105</f>
        <v/>
      </c>
    </row>
    <row r="106" ht="18.75" customHeight="1">
      <c r="A106" s="33" t="inlineStr">
        <is>
          <t>PAPEL DE SEDA</t>
        </is>
      </c>
      <c r="B106" s="9" t="n">
        <v>200</v>
      </c>
      <c r="C106" s="662" t="n"/>
      <c r="D106" s="329" t="n"/>
      <c r="BM106" s="38" t="n">
        <v>0</v>
      </c>
      <c r="BN106" s="38" t="n">
        <v>0</v>
      </c>
      <c r="BO106" s="38" t="n">
        <v>0</v>
      </c>
      <c r="BP106" s="38" t="n">
        <v>0</v>
      </c>
      <c r="BQ106" s="38" t="n">
        <v>0</v>
      </c>
      <c r="BR106" s="38" t="n">
        <v>0</v>
      </c>
      <c r="BS106" s="38" t="n">
        <v>0</v>
      </c>
      <c r="BT106" s="38" t="n">
        <v>0</v>
      </c>
      <c r="BU106" s="38" t="n">
        <v>0</v>
      </c>
      <c r="BV106" s="38" t="n">
        <v>0</v>
      </c>
      <c r="BW106" s="38" t="n">
        <v>0</v>
      </c>
      <c r="BX106" s="38" t="n">
        <v>0</v>
      </c>
      <c r="BY106" s="38" t="n">
        <v>0</v>
      </c>
      <c r="BZ106" s="38" t="n"/>
      <c r="CA106" s="38" t="n"/>
      <c r="CB106" s="246">
        <f>BZ106+IF(NOT(ISBLANK(OFFSET(CB106,0,6))),N(OFFSET(CB106,0,6)),N(OFFSET(CB106,0,7)))-CA106</f>
        <v/>
      </c>
    </row>
    <row r="107" ht="18.75" customHeight="1">
      <c r="A107" s="33" t="inlineStr">
        <is>
          <t>SACOLA M VENDA</t>
        </is>
      </c>
      <c r="B107" s="9" t="n">
        <v>150</v>
      </c>
      <c r="C107" s="662" t="n"/>
      <c r="D107" s="329" t="n"/>
      <c r="BM107" s="38" t="n">
        <v>0</v>
      </c>
      <c r="BN107" s="38" t="n">
        <v>0</v>
      </c>
      <c r="BO107" s="38" t="n">
        <v>0</v>
      </c>
      <c r="BP107" s="38">
        <f>CM23</f>
        <v/>
      </c>
      <c r="BQ107" s="38" t="n">
        <v>411</v>
      </c>
      <c r="BR107" s="38" t="n">
        <v>134</v>
      </c>
      <c r="BS107" s="38" t="n">
        <v>2</v>
      </c>
      <c r="BT107" s="38" t="n"/>
      <c r="BU107" s="38" t="n"/>
      <c r="BV107" s="38" t="n"/>
      <c r="BW107" s="38" t="n">
        <v>471</v>
      </c>
      <c r="BX107" s="38" t="n">
        <v>304</v>
      </c>
      <c r="BY107" s="38" t="n">
        <v>67</v>
      </c>
      <c r="BZ107" s="38" t="n">
        <v>9</v>
      </c>
      <c r="CA107" s="38" t="n">
        <v>9</v>
      </c>
      <c r="CB107" s="246">
        <f>BZ107+IF(NOT(ISBLANK(OFFSET(CB107,0,6))),N(OFFSET(CB107,0,6)),N(OFFSET(CB107,0,7)))-CA107</f>
        <v/>
      </c>
    </row>
    <row r="108" ht="18.75" customHeight="1">
      <c r="A108" s="33" t="inlineStr">
        <is>
          <t>KIT TAG 10 C/ 20</t>
        </is>
      </c>
      <c r="B108" s="9" t="n">
        <v>200</v>
      </c>
      <c r="C108" s="662" t="n"/>
      <c r="D108" s="329" t="n"/>
      <c r="BM108" s="38" t="n">
        <v>0</v>
      </c>
      <c r="BN108" s="38" t="n">
        <v>0</v>
      </c>
      <c r="BO108" s="38" t="n">
        <v>0</v>
      </c>
      <c r="BP108" s="38" t="n">
        <v>0</v>
      </c>
      <c r="BQ108" s="38" t="n">
        <v>0</v>
      </c>
      <c r="BR108" s="38" t="n">
        <v>0</v>
      </c>
      <c r="BS108" s="38" t="n">
        <v>0</v>
      </c>
      <c r="BT108" s="38" t="n"/>
      <c r="BU108" s="38" t="n"/>
      <c r="BV108" s="38" t="n"/>
      <c r="BW108" s="38" t="n">
        <v>0</v>
      </c>
      <c r="BX108" s="38" t="n">
        <v>0</v>
      </c>
      <c r="BY108" s="38" t="n">
        <v>0</v>
      </c>
      <c r="BZ108" s="38" t="n">
        <v>0</v>
      </c>
      <c r="CA108" s="38" t="n">
        <v>0</v>
      </c>
      <c r="CB108" s="246">
        <f>BZ108+IF(NOT(ISBLANK(OFFSET(CB108,0,6))),N(OFFSET(CB108,0,6)),N(OFFSET(CB108,0,7)))-CA108</f>
        <v/>
      </c>
    </row>
    <row r="109" ht="18.75" customHeight="1">
      <c r="A109" s="238" t="inlineStr">
        <is>
          <t>CAIXA M</t>
        </is>
      </c>
      <c r="B109" s="36" t="n">
        <v>100</v>
      </c>
      <c r="C109" s="668" t="n"/>
      <c r="D109" s="36" t="n"/>
      <c r="BM109" s="38" t="n">
        <v>0</v>
      </c>
      <c r="BN109" s="38" t="n">
        <v>0</v>
      </c>
      <c r="BO109" s="38" t="n">
        <v>0</v>
      </c>
      <c r="BP109" s="38" t="n">
        <v>0</v>
      </c>
      <c r="BQ109" s="261" t="n">
        <v>87</v>
      </c>
      <c r="BR109" s="38" t="n">
        <v>87</v>
      </c>
      <c r="BS109" s="38" t="n">
        <v>87</v>
      </c>
      <c r="BT109" s="38" t="n"/>
      <c r="BU109" s="38" t="n"/>
      <c r="BV109" s="38" t="n"/>
      <c r="BW109" s="38" t="n">
        <v>83</v>
      </c>
      <c r="BX109" s="38" t="n">
        <v>79</v>
      </c>
      <c r="BY109" s="38" t="n">
        <v>46</v>
      </c>
      <c r="BZ109" s="38" t="n">
        <v>44</v>
      </c>
      <c r="CA109" s="38" t="n">
        <v>44</v>
      </c>
      <c r="CB109" s="246">
        <f>BZ109+IF(NOT(ISBLANK(OFFSET(CB109,0,6))),N(OFFSET(CB109,0,6)),N(OFFSET(CB109,0,7)))-CA109</f>
        <v/>
      </c>
    </row>
    <row r="110" ht="18.75" customHeight="1">
      <c r="A110" s="238" t="inlineStr">
        <is>
          <t>CARTUCHO P</t>
        </is>
      </c>
      <c r="B110" s="36" t="n">
        <v>200</v>
      </c>
      <c r="C110" s="668" t="n"/>
      <c r="D110" s="36" t="n"/>
      <c r="BM110" s="38" t="n">
        <v>0</v>
      </c>
      <c r="BN110" s="38" t="n">
        <v>0</v>
      </c>
      <c r="BO110" s="38" t="n">
        <v>0</v>
      </c>
      <c r="BP110" s="38">
        <f>CM31</f>
        <v/>
      </c>
      <c r="BQ110" s="38" t="n">
        <v>200</v>
      </c>
      <c r="BR110" s="38" t="n">
        <v>128</v>
      </c>
      <c r="BS110" s="38" t="n">
        <v>128</v>
      </c>
      <c r="BT110" s="38" t="n"/>
      <c r="BU110" s="38" t="n"/>
      <c r="BV110" s="38" t="n"/>
      <c r="BW110" s="38" t="n">
        <v>121</v>
      </c>
      <c r="BX110" s="38" t="n">
        <v>120</v>
      </c>
      <c r="BY110" s="38" t="n">
        <v>114</v>
      </c>
      <c r="BZ110" s="38" t="n">
        <v>114</v>
      </c>
      <c r="CA110" s="38" t="n">
        <v>114</v>
      </c>
      <c r="CB110" s="246">
        <f>BZ110+IF(NOT(ISBLANK(OFFSET(CB110,0,6))),N(OFFSET(CB110,0,6)),N(OFFSET(CB110,0,7)))-CA110</f>
        <v/>
      </c>
    </row>
    <row r="111" ht="18.75" customHeight="1"/>
    <row r="112" ht="18.75" customHeight="1">
      <c r="A112" s="410" t="inlineStr">
        <is>
          <t>BOTICÁRIO MÃES/26</t>
        </is>
      </c>
      <c r="B112" s="357" t="inlineStr">
        <is>
          <t>PC</t>
        </is>
      </c>
      <c r="C112" s="357" t="inlineStr">
        <is>
          <t>R$</t>
        </is>
      </c>
      <c r="D112" s="357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60" t="inlineStr">
        <is>
          <t>USOU</t>
        </is>
      </c>
      <c r="CE112" s="413" t="inlineStr">
        <is>
          <t>TRANSFERÊNCIA</t>
        </is>
      </c>
    </row>
    <row r="113" ht="18.75" customHeight="1">
      <c r="A113" s="33" t="inlineStr">
        <is>
          <t>SACOLA P</t>
        </is>
      </c>
      <c r="B113" s="9" t="n">
        <v>200</v>
      </c>
      <c r="C113" s="662" t="n"/>
      <c r="D113" s="329" t="n"/>
      <c r="BM113" s="38" t="n">
        <v>0</v>
      </c>
      <c r="BN113" s="38" t="n">
        <v>0</v>
      </c>
      <c r="BO113" s="38" t="n">
        <v>0</v>
      </c>
      <c r="BP113" s="38" t="n">
        <v>0</v>
      </c>
      <c r="BQ113" s="38" t="n">
        <v>0</v>
      </c>
      <c r="BR113" s="38">
        <f>CL9</f>
        <v/>
      </c>
      <c r="BS113" s="187" t="n">
        <v>5800</v>
      </c>
      <c r="BT113" s="187" t="n">
        <v>5800</v>
      </c>
      <c r="BU113" s="187">
        <f>5600-386</f>
        <v/>
      </c>
      <c r="BV113" s="424" t="n">
        <v>5400</v>
      </c>
      <c r="BW113" s="424" t="n">
        <v>5400</v>
      </c>
      <c r="BX113" s="424" t="n">
        <v>2600</v>
      </c>
      <c r="BY113" s="187" t="n">
        <v>1400</v>
      </c>
      <c r="BZ113" s="187" t="n"/>
      <c r="CA113" s="187" t="n"/>
      <c r="CB113" s="423">
        <f>BZ113+IF(NOT(ISBLANK(OFFSET(CB113,0,6))),N(OFFSET(CB113,0,6)),N(OFFSET(CB113,0,7)))-CA113</f>
        <v/>
      </c>
      <c r="CE113" s="127" t="inlineStr">
        <is>
          <t>1000 DE ER PG</t>
        </is>
      </c>
    </row>
    <row r="114" ht="18.75" customHeight="1">
      <c r="A114" s="33" t="inlineStr">
        <is>
          <t>SACOLA M</t>
        </is>
      </c>
      <c r="B114" s="9" t="n">
        <v>200</v>
      </c>
      <c r="C114" s="662" t="n"/>
      <c r="D114" s="329" t="n"/>
      <c r="BM114" s="38" t="n">
        <v>0</v>
      </c>
      <c r="BN114" s="38" t="n">
        <v>0</v>
      </c>
      <c r="BO114" s="38" t="n">
        <v>0</v>
      </c>
      <c r="BP114" s="38" t="n">
        <v>0</v>
      </c>
      <c r="BQ114" s="38" t="n">
        <v>0</v>
      </c>
      <c r="BR114" s="38">
        <f>CL10</f>
        <v/>
      </c>
      <c r="BS114" s="187" t="n">
        <v>2800</v>
      </c>
      <c r="BT114" s="187" t="n">
        <v>3000</v>
      </c>
      <c r="BU114" s="187">
        <f>3000-600</f>
        <v/>
      </c>
      <c r="BV114" s="187" t="n">
        <v>2400</v>
      </c>
      <c r="BW114" s="187" t="n">
        <v>2400</v>
      </c>
      <c r="BX114" s="187" t="n">
        <v>800</v>
      </c>
      <c r="BY114" s="187" t="n">
        <v>600</v>
      </c>
      <c r="BZ114" s="187" t="n"/>
      <c r="CA114" s="187" t="n"/>
      <c r="CB114" s="423">
        <f>BZ114+IF(NOT(ISBLANK(OFFSET(CB114,0,6))),N(OFFSET(CB114,0,6)),N(OFFSET(CB114,0,7)))-CA114</f>
        <v/>
      </c>
      <c r="CE114" s="127" t="n"/>
    </row>
    <row r="115" ht="18.75" customHeight="1">
      <c r="A115" s="33" t="inlineStr">
        <is>
          <t>SACOLA G</t>
        </is>
      </c>
      <c r="B115" s="9" t="n">
        <v>100</v>
      </c>
      <c r="C115" s="662" t="n"/>
      <c r="D115" s="329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>
        <f>CL11</f>
        <v/>
      </c>
      <c r="BS115" s="187" t="n">
        <v>1000</v>
      </c>
      <c r="BT115" s="187" t="n">
        <v>1000</v>
      </c>
      <c r="BU115" s="187">
        <f>1000-100</f>
        <v/>
      </c>
      <c r="BV115" s="38" t="n">
        <v>900</v>
      </c>
      <c r="BW115" s="38" t="n">
        <v>900</v>
      </c>
      <c r="BX115" s="38" t="n">
        <v>800</v>
      </c>
      <c r="BY115" s="38" t="n">
        <v>800</v>
      </c>
      <c r="BZ115" s="38" t="n"/>
      <c r="CA115" s="38" t="n"/>
      <c r="CB115" s="246">
        <f>BZ115+IF(NOT(ISBLANK(OFFSET(CB115,0,6))),N(OFFSET(CB115,0,6)),N(OFFSET(CB115,0,7)))-CA115</f>
        <v/>
      </c>
      <c r="CE115" s="127" t="inlineStr">
        <is>
          <t>200 P/ ER PBE</t>
        </is>
      </c>
    </row>
    <row r="116" ht="18.75" customHeight="1">
      <c r="A116" s="33" t="inlineStr">
        <is>
          <t>SACOLA P VENDA</t>
        </is>
      </c>
      <c r="B116" s="9" t="n">
        <v>200</v>
      </c>
      <c r="C116" s="662" t="n"/>
      <c r="D116" s="329" t="n"/>
      <c r="BM116" s="38" t="n">
        <v>0</v>
      </c>
      <c r="BN116" s="38" t="n">
        <v>0</v>
      </c>
      <c r="BO116" s="38" t="n">
        <v>0</v>
      </c>
      <c r="BP116" s="38" t="n">
        <v>0</v>
      </c>
      <c r="BQ116" s="38" t="n">
        <v>0</v>
      </c>
      <c r="BR116" s="38">
        <f>CL22</f>
        <v/>
      </c>
      <c r="BS116" s="38" t="n">
        <v>299</v>
      </c>
      <c r="BT116" s="38" t="n">
        <v>14</v>
      </c>
      <c r="BU116" s="38" t="n">
        <v>400</v>
      </c>
      <c r="BV116" s="38" t="n"/>
      <c r="BW116" s="38" t="n">
        <v>317</v>
      </c>
      <c r="BX116" s="38" t="n">
        <v>272</v>
      </c>
      <c r="BY116" s="38" t="n">
        <v>224</v>
      </c>
      <c r="BZ116" s="38" t="n">
        <v>211</v>
      </c>
      <c r="CA116" s="38" t="n">
        <v>211</v>
      </c>
      <c r="CB116" s="246">
        <f>BZ116+IF(NOT(ISBLANK(OFFSET(CB116,0,6))),N(OFFSET(CB116,0,6)),N(OFFSET(CB116,0,7)))-CA116</f>
        <v/>
      </c>
    </row>
    <row r="117" ht="18.75" customHeight="1">
      <c r="A117" s="33" t="inlineStr">
        <is>
          <t>SACOLA M VENDA</t>
        </is>
      </c>
      <c r="B117" s="9" t="n">
        <v>200</v>
      </c>
      <c r="C117" s="662" t="n"/>
      <c r="D117" s="329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600</v>
      </c>
      <c r="BV117" s="38" t="n"/>
      <c r="BW117" s="38" t="n">
        <v>512</v>
      </c>
      <c r="BX117" s="38" t="n">
        <v>479</v>
      </c>
      <c r="BY117" s="38" t="n">
        <v>238</v>
      </c>
      <c r="BZ117" s="261" t="n">
        <v>424</v>
      </c>
      <c r="CA117" s="261" t="n">
        <v>424</v>
      </c>
      <c r="CB117" s="246">
        <f>BZ117+IF(NOT(ISBLANK(OFFSET(CB117,0,6))),N(OFFSET(CB117,0,6)),N(OFFSET(CB117,0,7)))-CA117</f>
        <v/>
      </c>
    </row>
    <row r="118" ht="18.75" customHeight="1">
      <c r="A118" s="33" t="inlineStr">
        <is>
          <t>SACOLA G VENDA</t>
        </is>
      </c>
      <c r="B118" s="9" t="n">
        <v>100</v>
      </c>
      <c r="C118" s="662" t="n"/>
      <c r="D118" s="329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0</v>
      </c>
      <c r="BR118" s="38" t="n">
        <v>0</v>
      </c>
      <c r="BS118" s="38" t="n">
        <v>0</v>
      </c>
      <c r="BT118" s="38" t="n">
        <v>0</v>
      </c>
      <c r="BU118" s="38" t="n">
        <v>100</v>
      </c>
      <c r="BV118" s="38" t="n">
        <v>100</v>
      </c>
      <c r="BW118" s="38" t="n">
        <v>67</v>
      </c>
      <c r="BX118" s="38" t="n">
        <v>39</v>
      </c>
      <c r="BY118" s="38" t="n">
        <v>0</v>
      </c>
      <c r="BZ118" s="38" t="n">
        <v>0</v>
      </c>
      <c r="CA118" s="38" t="n"/>
      <c r="CB118" s="246">
        <f>BZ118+IF(NOT(ISBLANK(OFFSET(CB118,0,6))),N(OFFSET(CB118,0,6)),N(OFFSET(CB118,0,7)))-CA118</f>
        <v/>
      </c>
    </row>
    <row r="119" ht="18.75" customHeight="1">
      <c r="A119" s="238" t="inlineStr">
        <is>
          <t>KIT PAPEL DE SEDA 10 C/ 20</t>
        </is>
      </c>
      <c r="B119" s="36" t="n">
        <v>200</v>
      </c>
      <c r="C119" s="668" t="n"/>
      <c r="D119" s="36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>
        <f>CL26</f>
        <v/>
      </c>
      <c r="BS119" s="38" t="n">
        <v>10</v>
      </c>
      <c r="BT119" s="38" t="n">
        <v>10</v>
      </c>
      <c r="BU119" s="38" t="n"/>
      <c r="BV119" s="38" t="n"/>
      <c r="BW119" s="38" t="n">
        <v>4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246">
        <f>BZ119+IF(NOT(ISBLANK(OFFSET(CB119,0,6))),N(OFFSET(CB119,0,6)),N(OFFSET(CB119,0,7)))-CA119</f>
        <v/>
      </c>
    </row>
    <row r="120" ht="18.75" customHeight="1">
      <c r="A120" s="238" t="inlineStr">
        <is>
          <t>CAIXA P</t>
        </is>
      </c>
      <c r="B120" s="36" t="n">
        <v>150</v>
      </c>
      <c r="C120" s="668" t="n"/>
      <c r="D120" s="36" t="n"/>
      <c r="BM120" s="38" t="n">
        <v>0</v>
      </c>
      <c r="BN120" s="38" t="n">
        <v>0</v>
      </c>
      <c r="BO120" s="38" t="n">
        <v>0</v>
      </c>
      <c r="BP120" s="38" t="n">
        <v>0</v>
      </c>
      <c r="BQ120" s="38" t="n">
        <v>0</v>
      </c>
      <c r="BR120" s="38" t="n">
        <v>0</v>
      </c>
      <c r="BS120" s="38" t="n">
        <v>0</v>
      </c>
      <c r="BT120" s="38" t="n">
        <v>0</v>
      </c>
      <c r="BU120" s="38" t="n"/>
      <c r="BV120" s="38" t="n"/>
      <c r="BW120" s="38" t="n">
        <v>5</v>
      </c>
      <c r="BX120" s="38" t="n">
        <v>0</v>
      </c>
      <c r="BY120" s="38" t="n">
        <v>0</v>
      </c>
      <c r="BZ120" s="38" t="n">
        <v>0</v>
      </c>
      <c r="CA120" s="38" t="n">
        <v>0</v>
      </c>
      <c r="CB120" s="246">
        <f>BZ120+IF(NOT(ISBLANK(OFFSET(CB120,0,6))),N(OFFSET(CB120,0,6)),N(OFFSET(CB120,0,7)))-CA120</f>
        <v/>
      </c>
    </row>
    <row r="121" ht="18.75" customHeight="1">
      <c r="A121" s="238" t="inlineStr">
        <is>
          <t>CAIXA M</t>
        </is>
      </c>
      <c r="B121" s="36" t="n">
        <v>100</v>
      </c>
      <c r="C121" s="668" t="n"/>
      <c r="D121" s="36" t="n"/>
      <c r="BM121" s="38" t="n">
        <v>0</v>
      </c>
      <c r="BN121" s="38" t="n">
        <v>0</v>
      </c>
      <c r="BO121" s="38" t="n">
        <v>0</v>
      </c>
      <c r="BP121" s="38" t="n">
        <v>0</v>
      </c>
      <c r="BQ121" s="38" t="n">
        <v>0</v>
      </c>
      <c r="BR121" s="38">
        <f>CL32</f>
        <v/>
      </c>
      <c r="BS121" s="38" t="n">
        <v>95</v>
      </c>
      <c r="BT121" s="38" t="n">
        <v>95</v>
      </c>
      <c r="BU121" s="38" t="n"/>
      <c r="BV121" s="38" t="n"/>
      <c r="BW121" s="38" t="n">
        <v>26</v>
      </c>
      <c r="BX121" s="38" t="n">
        <v>13</v>
      </c>
      <c r="BY121" s="38" t="n">
        <v>0</v>
      </c>
      <c r="BZ121" s="38" t="n">
        <v>0</v>
      </c>
      <c r="CA121" s="38" t="n">
        <v>0</v>
      </c>
      <c r="CB121" s="246">
        <f>BZ121+IF(NOT(ISBLANK(OFFSET(CB121,0,6))),N(OFFSET(CB121,0,6)),N(OFFSET(CB121,0,7)))-CA121</f>
        <v/>
      </c>
    </row>
    <row r="122" ht="18.75" customHeight="1">
      <c r="A122" s="238" t="inlineStr">
        <is>
          <t>CARTUCHO M</t>
        </is>
      </c>
      <c r="B122" s="36" t="n">
        <v>150</v>
      </c>
      <c r="C122" s="668" t="n"/>
      <c r="D122" s="36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 t="n">
        <v>0</v>
      </c>
      <c r="BS122" s="38" t="n">
        <v>0</v>
      </c>
      <c r="BT122" s="38" t="n">
        <v>0</v>
      </c>
      <c r="BU122" s="38" t="n"/>
      <c r="BV122" s="38" t="n"/>
      <c r="BW122" s="38" t="n">
        <v>0</v>
      </c>
      <c r="BX122" s="38" t="n">
        <v>0</v>
      </c>
      <c r="BY122" s="38" t="n">
        <v>0</v>
      </c>
      <c r="BZ122" s="38" t="n">
        <v>0</v>
      </c>
      <c r="CA122" s="38" t="n">
        <v>0</v>
      </c>
      <c r="CB122" s="246">
        <f>BZ122+IF(NOT(ISBLANK(OFFSET(CB122,0,6))),N(OFFSET(CB122,0,6)),N(OFFSET(CB122,0,7)))-CA122</f>
        <v/>
      </c>
    </row>
    <row r="123" ht="18.75" customHeight="1"/>
    <row r="124" ht="45.6" customHeight="1">
      <c r="A124" s="669" t="inlineStr">
        <is>
          <t>SOBRAS DATAS COMEMORATIVAS</t>
        </is>
      </c>
      <c r="B124" s="658" t="n"/>
      <c r="C124" s="670" t="n"/>
    </row>
    <row r="125" ht="18.75" customHeight="1">
      <c r="A125" s="146" t="inlineStr">
        <is>
          <t>ITENS</t>
        </is>
      </c>
      <c r="B125" s="146" t="n"/>
      <c r="C125" s="146" t="inlineStr">
        <is>
          <t>TEMOS EM ESTOQUE</t>
        </is>
      </c>
    </row>
    <row r="126" ht="18.75" customHeight="1">
      <c r="A126" s="193" t="inlineStr">
        <is>
          <t>CARTUCHO P MÃES/24</t>
        </is>
      </c>
      <c r="B126" s="192" t="n"/>
      <c r="C126" s="171" t="n">
        <v>11</v>
      </c>
    </row>
    <row r="127" ht="18.75" customHeight="1"/>
    <row r="128" ht="18.75" customHeight="1"/>
    <row r="129" ht="18.75" customHeight="1"/>
    <row r="130" ht="18.75" customHeight="1">
      <c r="DO130" s="6" t="n"/>
    </row>
  </sheetData>
  <mergeCells count="12">
    <mergeCell ref="A5:A6"/>
    <mergeCell ref="B3:D3"/>
    <mergeCell ref="D53:D55"/>
    <mergeCell ref="CE53:CE58"/>
    <mergeCell ref="F5:BZ5"/>
    <mergeCell ref="CF53:CF58"/>
    <mergeCell ref="C5:C6"/>
    <mergeCell ref="A124:C124"/>
    <mergeCell ref="GP30:GQ33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84" horizontalDpi="4294967295" verticalDpi="4294967295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Planilha12">
    <tabColor theme="9"/>
    <outlinePr summaryBelow="1" summaryRight="1"/>
    <pageSetUpPr fitToPage="1"/>
  </sheetPr>
  <dimension ref="A1:GY155"/>
  <sheetViews>
    <sheetView showGridLines="0" topLeftCell="A35" zoomScale="80" zoomScaleNormal="80" workbookViewId="0">
      <selection activeCell="CB53" sqref="CB53"/>
    </sheetView>
  </sheetViews>
  <sheetFormatPr baseColWidth="8" defaultColWidth="9.140625" defaultRowHeight="18.75" customHeight="1"/>
  <cols>
    <col width="41.140625" customWidth="1" min="1" max="1"/>
    <col width="10.140625" customWidth="1" min="2" max="2"/>
    <col width="16.7109375" customWidth="1" min="3" max="3"/>
    <col width="1.5703125" customWidth="1" min="5" max="5"/>
    <col hidden="1" width="9.855468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8.2851562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8.5703125" customWidth="1" min="84" max="84"/>
    <col width="1.85546875" customWidth="1" min="85" max="85"/>
    <col width="43.7109375" customWidth="1" min="86" max="86"/>
    <col width="15.7109375" customWidth="1" min="87" max="87"/>
    <col width="1.140625" customWidth="1" min="88" max="88"/>
    <col width="15.85546875" customWidth="1" min="89" max="89"/>
    <col width="1.28515625" customWidth="1" min="90" max="90"/>
    <col width="8.28515625" customWidth="1" min="91" max="91"/>
    <col width="13" customWidth="1" min="92" max="92"/>
    <col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7.5703125" customWidth="1" min="100" max="100"/>
    <col hidden="1" width="8.28515625" customWidth="1" min="101" max="101"/>
    <col hidden="1" width="14.42578125" customWidth="1" min="102" max="102"/>
    <col hidden="1" width="8.28515625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36.7109375" customWidth="1" min="108" max="108"/>
    <col hidden="1" width="8.28515625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13" customWidth="1" min="114" max="114"/>
    <col hidden="1" width="13" customWidth="1" min="115" max="115"/>
    <col hidden="1" width="13" customWidth="1" min="116" max="116"/>
    <col hidden="1" width="13" customWidth="1" min="117" max="117"/>
    <col hidden="1" width="13" customWidth="1" min="118" max="118"/>
    <col hidden="1" width="13" customWidth="1" min="119" max="119"/>
    <col hidden="1" width="13" customWidth="1" min="120" max="120"/>
    <col hidden="1" width="13" customWidth="1" min="121" max="121"/>
    <col hidden="1" width="13" customWidth="1" min="122" max="122"/>
    <col hidden="1" width="13" customWidth="1" min="123" max="123"/>
    <col hidden="1" width="13" customWidth="1" min="124" max="124"/>
    <col hidden="1" width="13" customWidth="1" min="125" max="125"/>
    <col hidden="1" width="13" customWidth="1" min="126" max="126"/>
    <col hidden="1" width="13" customWidth="1" min="127" max="127"/>
    <col hidden="1" width="13" customWidth="1" min="128" max="128"/>
    <col hidden="1" width="9.28515625" customWidth="1" min="129" max="129"/>
    <col hidden="1" width="8.28515625" customWidth="1" min="130" max="130"/>
    <col hidden="1" width="13" customWidth="1" min="131" max="131"/>
    <col hidden="1" width="14.5703125" customWidth="1" min="132" max="132"/>
    <col hidden="1" width="13" customWidth="1" min="133" max="133"/>
    <col hidden="1" width="13" customWidth="1" min="134" max="134"/>
    <col hidden="1" width="8.28515625" customWidth="1" min="135" max="135"/>
    <col hidden="1" width="13" customWidth="1" min="136" max="136"/>
    <col hidden="1" width="13" customWidth="1" min="137" max="137"/>
    <col hidden="1" width="13" customWidth="1" min="138" max="138"/>
    <col hidden="1" width="13" customWidth="1" min="139" max="139"/>
    <col hidden="1" width="12.85546875" customWidth="1" min="140" max="140"/>
    <col hidden="1" width="8.28515625" customWidth="1" min="141" max="141"/>
    <col hidden="1" width="13" customWidth="1" min="142" max="142"/>
    <col hidden="1" width="16.140625" customWidth="1" min="143" max="143"/>
    <col hidden="1" width="8.28515625" customWidth="1" min="144" max="144"/>
    <col hidden="1" width="13" customWidth="1" min="145" max="145"/>
    <col hidden="1" width="13" customWidth="1" min="146" max="146"/>
    <col hidden="1" width="13" customWidth="1" min="147" max="147"/>
    <col hidden="1" width="11" customWidth="1" min="148" max="148"/>
    <col hidden="1" width="15.42578125" customWidth="1" min="149" max="149"/>
    <col hidden="1" width="8.28515625" customWidth="1" min="150" max="150"/>
    <col hidden="1" width="15.42578125" customWidth="1" min="151" max="151"/>
    <col hidden="1" width="8.28515625" customWidth="1" min="152" max="152"/>
    <col hidden="1" width="13" customWidth="1" min="153" max="153"/>
    <col hidden="1" width="13" customWidth="1" min="154" max="154"/>
    <col hidden="1" width="13" customWidth="1" min="155" max="155"/>
    <col hidden="1" width="17.140625" customWidth="1" min="156" max="156"/>
    <col hidden="1" width="8.28515625" customWidth="1" min="157" max="157"/>
    <col hidden="1" width="17.140625" customWidth="1" min="158" max="158"/>
    <col hidden="1" width="13" customWidth="1" min="159" max="159"/>
    <col hidden="1" width="13" customWidth="1" min="160" max="160"/>
    <col hidden="1" width="8.28515625" customWidth="1" min="161" max="161"/>
    <col hidden="1" width="13" customWidth="1" min="162" max="162"/>
    <col hidden="1" width="15.42578125" customWidth="1" min="163" max="163"/>
    <col hidden="1" width="15.28515625" customWidth="1" min="164" max="164"/>
    <col hidden="1" width="14.5703125" customWidth="1" min="165" max="165"/>
    <col hidden="1" width="13.140625" customWidth="1" min="166" max="166"/>
    <col hidden="1" width="13.140625" customWidth="1" min="167" max="167"/>
    <col hidden="1" width="16.42578125" customWidth="1" min="168" max="168"/>
    <col hidden="1" width="14.5703125" customWidth="1" min="169" max="169"/>
    <col hidden="1" width="22.85546875" customWidth="1" min="170" max="170"/>
    <col hidden="1" width="8.28515625" customWidth="1" min="171" max="171"/>
    <col hidden="1" width="13.140625" customWidth="1" min="172" max="172"/>
    <col hidden="1" width="18.42578125" customWidth="1" min="173" max="173"/>
    <col hidden="1" width="8.28515625" customWidth="1" min="174" max="174"/>
    <col hidden="1" width="13" customWidth="1" min="175" max="175"/>
    <col hidden="1" width="13" customWidth="1" min="176" max="176"/>
    <col hidden="1" width="13" customWidth="1" min="177" max="177"/>
    <col hidden="1" width="14.85546875" customWidth="1" min="178" max="178"/>
    <col hidden="1" width="8.28515625" customWidth="1" min="179" max="179"/>
    <col hidden="1" width="13" customWidth="1" min="180" max="180"/>
    <col hidden="1" width="13" customWidth="1" min="181" max="181"/>
    <col hidden="1" width="13.42578125" customWidth="1" min="182" max="182"/>
    <col hidden="1" width="8.28515625" customWidth="1" min="183" max="183"/>
    <col hidden="1" width="13" customWidth="1" min="184" max="184"/>
    <col hidden="1" width="13" customWidth="1" min="185" max="185"/>
    <col hidden="1" width="12" customWidth="1" min="186" max="186"/>
    <col hidden="1" width="8.28515625" customWidth="1" min="187" max="187"/>
    <col hidden="1" width="13" customWidth="1" min="188" max="188"/>
    <col hidden="1" width="14.42578125" customWidth="1" min="189" max="189"/>
    <col hidden="1" width="8.28515625" customWidth="1" min="190" max="190"/>
    <col hidden="1" width="13" customWidth="1" min="191" max="191"/>
    <col hidden="1" width="13" customWidth="1" min="192" max="192"/>
    <col hidden="1" width="13" customWidth="1" min="193" max="193"/>
    <col hidden="1" width="44.42578125" customWidth="1" min="194" max="194"/>
    <col hidden="1" width="14.42578125" customWidth="1" min="195" max="195"/>
    <col hidden="1" width="13" customWidth="1" min="196" max="196"/>
    <col hidden="1" width="12.85546875" customWidth="1" min="197" max="197"/>
    <col hidden="1" width="8.28515625" customWidth="1" min="198" max="198"/>
    <col hidden="1" width="13" customWidth="1" min="199" max="199"/>
    <col hidden="1" width="13" customWidth="1" min="200" max="200"/>
    <col hidden="1" width="13" customWidth="1" min="201" max="201"/>
    <col hidden="1" width="13" customWidth="1" min="202" max="202"/>
    <col hidden="1" width="13" customWidth="1" min="203" max="203"/>
    <col width="1.5703125" customWidth="1" min="204" max="204"/>
    <col width="9.140625" customWidth="1" min="206" max="206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5" t="n"/>
      <c r="CI1" s="75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  <c r="GE1" s="74" t="n"/>
      <c r="GF1" s="74" t="n"/>
      <c r="GG1" s="74" t="n"/>
      <c r="GH1" s="74" t="n"/>
      <c r="GI1" s="74" t="n"/>
      <c r="GJ1" s="74" t="n"/>
      <c r="GK1" s="74" t="n"/>
      <c r="GL1" s="74" t="n"/>
      <c r="GM1" s="74" t="n"/>
      <c r="GN1" s="74" t="n"/>
      <c r="GO1" s="74" t="n"/>
      <c r="GP1" s="74" t="n"/>
      <c r="GQ1" s="74" t="n"/>
      <c r="GR1" s="74" t="n"/>
      <c r="GS1" s="74" t="n"/>
      <c r="GT1" s="74" t="n"/>
      <c r="GU1" s="74" t="n"/>
    </row>
    <row r="2">
      <c r="A2" s="50" t="inlineStr">
        <is>
          <t>LOJA:</t>
        </is>
      </c>
      <c r="B2" s="639" t="inlineStr">
        <is>
          <t>ER BOQUEIRÃO</t>
        </is>
      </c>
      <c r="C2" s="640" t="n"/>
      <c r="D2" s="641" t="n"/>
      <c r="CH2" s="49" t="n"/>
      <c r="CI2" s="49" t="n"/>
      <c r="CL2" s="6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49" t="n"/>
      <c r="DP2" s="49" t="n"/>
      <c r="DQ2" s="49" t="n"/>
      <c r="DR2" s="49" t="n"/>
      <c r="DS2" s="49" t="n"/>
      <c r="DT2" s="49" t="n"/>
      <c r="DU2" s="49" t="n"/>
      <c r="DV2" s="49" t="n"/>
      <c r="DW2" s="49" t="n"/>
      <c r="DX2" s="49" t="n"/>
      <c r="DY2" s="6" t="n"/>
      <c r="DZ2" s="49" t="n"/>
      <c r="EA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S2" s="49" t="n"/>
      <c r="ET2" s="49" t="n"/>
      <c r="EU2" s="49" t="n"/>
      <c r="EV2" s="49" t="n"/>
      <c r="EW2" s="49" t="n"/>
      <c r="EX2" s="49" t="n"/>
      <c r="EY2" s="49" t="n"/>
      <c r="EZ2" s="49" t="n"/>
      <c r="FA2" s="49" t="n"/>
      <c r="FB2" s="49" t="n"/>
      <c r="FC2" s="49" t="n"/>
      <c r="FD2" s="49" t="n"/>
      <c r="FE2" s="49" t="n"/>
      <c r="FF2" s="49" t="n"/>
      <c r="FG2" s="49" t="n"/>
      <c r="FI2" s="49" t="n"/>
      <c r="FJ2" s="49" t="n"/>
      <c r="FL2" s="49" t="n"/>
      <c r="FM2" s="49" t="n"/>
      <c r="FN2" s="49" t="n"/>
      <c r="FO2" s="49" t="n"/>
      <c r="FP2" s="49" t="n"/>
      <c r="FR2" s="49" t="n"/>
      <c r="FS2" s="49" t="n"/>
      <c r="FT2" s="49" t="n"/>
      <c r="FU2" s="49" t="n"/>
      <c r="FV2" s="49" t="n"/>
      <c r="FW2" s="49" t="n"/>
      <c r="FX2" s="49" t="n"/>
      <c r="FY2" s="49" t="n"/>
      <c r="GA2" s="49" t="n"/>
      <c r="GB2" s="49" t="n"/>
      <c r="GC2" s="49" t="n"/>
      <c r="GE2" s="49" t="n"/>
      <c r="GF2" s="49" t="n"/>
      <c r="GG2" s="49" t="n"/>
      <c r="GH2" s="49" t="n"/>
      <c r="GI2" s="49" t="n"/>
      <c r="GJ2" s="49" t="n"/>
      <c r="GK2" s="49" t="n"/>
      <c r="GL2" s="49" t="n"/>
      <c r="GM2" s="49" t="n"/>
      <c r="GN2" s="49" t="n"/>
      <c r="GO2" s="49" t="n"/>
      <c r="GP2" s="49" t="n"/>
      <c r="GQ2" s="49" t="n"/>
      <c r="GR2" s="49" t="n"/>
      <c r="GS2" s="49" t="n"/>
      <c r="GT2" s="49" t="n"/>
      <c r="GU2" s="49" t="n"/>
    </row>
    <row r="3">
      <c r="A3" s="50" t="inlineStr">
        <is>
          <t>Responsável:</t>
        </is>
      </c>
      <c r="B3" s="253" t="inlineStr">
        <is>
          <t>JEFFERSON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706" t="n"/>
      <c r="AB3" s="706" t="n"/>
      <c r="AC3" s="706" t="n"/>
      <c r="AD3" s="706" t="n"/>
      <c r="AE3" s="706" t="n"/>
      <c r="AF3" s="706" t="n"/>
      <c r="AG3" s="706" t="n"/>
      <c r="AH3" s="706" t="n"/>
      <c r="AI3" s="706" t="n"/>
      <c r="AJ3" s="706" t="n"/>
      <c r="AK3" s="706" t="n"/>
      <c r="AL3" s="706" t="n"/>
      <c r="AM3" s="706" t="n"/>
      <c r="AN3" s="706" t="n"/>
      <c r="AO3" s="706" t="n"/>
      <c r="AP3" s="706" t="n"/>
      <c r="AQ3" s="706" t="n"/>
      <c r="AR3" s="706" t="n"/>
      <c r="AS3" s="706" t="n"/>
      <c r="AT3" s="706" t="n"/>
      <c r="AU3" s="706" t="n"/>
      <c r="AV3" s="706" t="n"/>
      <c r="AW3" s="706" t="n"/>
      <c r="AX3" s="706" t="n"/>
      <c r="AY3" s="706" t="n"/>
      <c r="AZ3" s="706" t="n"/>
      <c r="BA3" s="706" t="n"/>
      <c r="BB3" s="706" t="n"/>
      <c r="BC3" s="706" t="n"/>
      <c r="BD3" s="706" t="n"/>
      <c r="BE3" s="706" t="n"/>
      <c r="BF3" s="706" t="n"/>
      <c r="BG3" s="706" t="n"/>
      <c r="BH3" s="706" t="n"/>
      <c r="BI3" s="706" t="n"/>
      <c r="BJ3" s="706" t="n"/>
      <c r="BK3" s="706" t="n"/>
      <c r="BL3" s="706" t="n"/>
      <c r="BM3" s="706" t="n"/>
      <c r="BN3" s="706" t="n"/>
      <c r="BO3" s="706" t="n"/>
      <c r="BP3" s="706" t="n"/>
      <c r="BQ3" s="706" t="n"/>
      <c r="BR3" s="706" t="n"/>
      <c r="BS3" s="706" t="n"/>
      <c r="BT3" s="706" t="n"/>
      <c r="BU3" s="706" t="n"/>
      <c r="BV3" s="706" t="n"/>
      <c r="BW3" s="706" t="n"/>
      <c r="BX3" s="706" t="n"/>
      <c r="BY3" s="706" t="n"/>
      <c r="BZ3" s="706" t="n"/>
      <c r="CA3" s="706" t="n"/>
      <c r="CB3" s="706" t="n"/>
      <c r="CC3" s="707" t="n"/>
      <c r="CD3" s="707" t="n"/>
      <c r="CE3" s="707" t="n"/>
      <c r="CF3" s="642" t="n"/>
      <c r="CH3" s="49" t="n"/>
      <c r="CI3" s="49" t="n"/>
      <c r="CJ3" s="642" t="n"/>
      <c r="CL3" s="6" t="n"/>
      <c r="CM3" s="49" t="n"/>
      <c r="CN3" s="49" t="n"/>
      <c r="CO3" s="49" t="n"/>
      <c r="CP3" s="49" t="n"/>
      <c r="CQ3" s="49" t="n"/>
      <c r="CR3" s="49" t="n"/>
      <c r="CS3" s="49" t="n"/>
      <c r="CT3" s="49" t="n"/>
      <c r="CU3" s="49" t="n"/>
      <c r="CV3" s="49" t="n"/>
      <c r="CW3" s="49" t="n"/>
      <c r="CX3" s="49" t="n"/>
      <c r="CY3" s="49" t="n"/>
      <c r="CZ3" s="49" t="n"/>
      <c r="DA3" s="49" t="n"/>
      <c r="DB3" s="49" t="n"/>
      <c r="DC3" s="49" t="n"/>
      <c r="DD3" s="49" t="n"/>
      <c r="DE3" s="49" t="n"/>
      <c r="DF3" s="49" t="n"/>
      <c r="DG3" s="49" t="n"/>
      <c r="DH3" s="49" t="n"/>
      <c r="DI3" s="49" t="n"/>
      <c r="DJ3" s="49" t="n"/>
      <c r="DK3" s="49" t="n"/>
      <c r="DL3" s="49" t="n"/>
      <c r="DM3" s="49" t="n"/>
      <c r="DN3" s="49" t="n"/>
      <c r="DO3" s="49" t="n"/>
      <c r="DP3" s="49" t="n"/>
      <c r="DQ3" s="49" t="n"/>
      <c r="DR3" s="49" t="n"/>
      <c r="DS3" s="49" t="n"/>
      <c r="DT3" s="49" t="n"/>
      <c r="DU3" s="49" t="n"/>
      <c r="DV3" s="49" t="n"/>
      <c r="DW3" s="49" t="n"/>
      <c r="DX3" s="49" t="n"/>
      <c r="DY3" s="6" t="n"/>
      <c r="DZ3" s="49" t="n"/>
      <c r="EA3" s="49" t="n"/>
      <c r="EE3" s="49" t="n"/>
      <c r="EF3" s="49" t="n"/>
      <c r="EG3" s="49" t="n"/>
      <c r="EH3" s="49" t="n"/>
      <c r="EI3" s="49" t="n"/>
      <c r="EJ3" s="49" t="n"/>
      <c r="EK3" s="49" t="n"/>
      <c r="EL3" s="49" t="n"/>
      <c r="EM3" s="49" t="n"/>
      <c r="EN3" s="49" t="n"/>
      <c r="EO3" s="49" t="n"/>
      <c r="EP3" s="49" t="n"/>
      <c r="EQ3" s="49" t="n"/>
      <c r="ER3" s="49" t="n"/>
      <c r="ES3" s="49" t="n"/>
      <c r="ET3" s="49" t="n"/>
      <c r="EU3" s="49" t="n"/>
      <c r="EV3" s="49" t="n"/>
      <c r="EW3" s="49" t="n"/>
      <c r="EX3" s="49" t="n"/>
      <c r="EY3" s="49" t="n"/>
      <c r="EZ3" s="49" t="n"/>
      <c r="FA3" s="49" t="n"/>
      <c r="FB3" s="49" t="n"/>
      <c r="FC3" s="49" t="n"/>
      <c r="FD3" s="49" t="n"/>
      <c r="FE3" s="49" t="n"/>
      <c r="FF3" s="49" t="n"/>
      <c r="FG3" s="49" t="n"/>
      <c r="FI3" s="49" t="n"/>
      <c r="FJ3" s="49" t="n"/>
      <c r="FL3" s="49" t="n"/>
      <c r="FM3" s="49" t="n"/>
      <c r="FN3" s="49" t="n"/>
      <c r="FO3" s="49" t="n"/>
      <c r="FP3" s="49" t="n"/>
      <c r="FR3" s="49" t="n"/>
      <c r="FS3" s="49" t="n"/>
      <c r="FT3" s="49" t="n"/>
      <c r="FU3" s="49" t="n"/>
      <c r="FW3" s="49" t="n"/>
      <c r="FX3" s="49" t="n"/>
      <c r="FY3" s="49" t="n"/>
      <c r="GA3" s="49" t="n"/>
      <c r="GB3" s="49" t="n"/>
      <c r="GC3" s="49" t="n"/>
      <c r="GE3" s="49" t="n"/>
      <c r="GF3" s="49" t="n"/>
      <c r="GG3" s="49" t="n"/>
      <c r="GH3" s="49" t="n"/>
      <c r="GI3" s="49" t="n"/>
      <c r="GJ3" s="49" t="n"/>
      <c r="GK3" s="49" t="n"/>
      <c r="GL3" s="49" t="n"/>
      <c r="GM3" s="49" t="n"/>
      <c r="GN3" s="49" t="n"/>
      <c r="GO3" s="49" t="n"/>
      <c r="GP3" s="49" t="n"/>
      <c r="GQ3" s="49" t="n"/>
      <c r="GR3" s="49" t="n"/>
      <c r="GS3" s="49" t="n"/>
      <c r="GT3" s="49" t="n"/>
      <c r="GU3" s="49" t="n"/>
    </row>
    <row r="4" ht="37.5" customHeight="1">
      <c r="O4" s="264" t="n"/>
      <c r="P4" s="264" t="n"/>
      <c r="Q4" s="264" t="n"/>
      <c r="R4" s="264" t="n"/>
      <c r="S4" s="264" t="n"/>
      <c r="T4" s="264" t="n"/>
      <c r="U4" s="264" t="n"/>
      <c r="V4" s="264" t="n"/>
      <c r="W4" s="264" t="n"/>
      <c r="X4" s="264" t="n"/>
      <c r="Y4" s="264" t="n"/>
      <c r="Z4" s="264" t="n"/>
      <c r="AA4" s="264" t="n"/>
      <c r="AB4" s="264" t="n"/>
      <c r="AC4" s="264" t="n"/>
      <c r="AD4" s="264" t="n"/>
      <c r="AE4" s="264" t="n"/>
      <c r="AF4" s="264" t="n"/>
      <c r="AG4" s="264" t="n"/>
      <c r="AH4" s="264" t="n"/>
      <c r="AI4" s="264" t="n"/>
      <c r="AJ4" s="264" t="n"/>
      <c r="AK4" s="264" t="n"/>
      <c r="AL4" s="264" t="n"/>
      <c r="AM4" s="264" t="n"/>
      <c r="AN4" s="264" t="n"/>
      <c r="AO4" s="264" t="n"/>
      <c r="AP4" s="264" t="n"/>
      <c r="AQ4" s="264" t="n"/>
      <c r="AR4" s="264" t="n"/>
      <c r="AS4" s="264" t="n"/>
      <c r="AT4" s="264" t="n"/>
      <c r="AU4" s="264" t="n"/>
      <c r="AV4" s="264" t="n"/>
      <c r="AW4" s="264" t="n"/>
      <c r="AX4" s="264" t="n"/>
      <c r="AY4" s="264" t="n"/>
      <c r="AZ4" s="264" t="n"/>
      <c r="BA4" s="264" t="n"/>
      <c r="BB4" s="264" t="n"/>
      <c r="BC4" s="264" t="n"/>
      <c r="BD4" s="264" t="n"/>
      <c r="BE4" s="264" t="n"/>
      <c r="BF4" s="264" t="n"/>
      <c r="BG4" s="264" t="n"/>
      <c r="BH4" s="264" t="n"/>
      <c r="BI4" s="264" t="n"/>
      <c r="BJ4" s="264" t="n"/>
      <c r="BK4" s="264" t="n"/>
      <c r="BL4" s="264" t="n"/>
      <c r="BM4" s="264" t="n"/>
      <c r="BN4" s="264" t="n"/>
      <c r="BO4" s="264" t="n"/>
      <c r="BP4" s="264" t="n"/>
      <c r="BQ4" s="264" t="n"/>
      <c r="BR4" s="264" t="n"/>
      <c r="BS4" s="264" t="n"/>
      <c r="BT4" s="264" t="n"/>
      <c r="BU4" s="264" t="n"/>
      <c r="BV4" s="264" t="n"/>
      <c r="BW4" s="264" t="n"/>
      <c r="BX4" s="264" t="n"/>
      <c r="BY4" s="264" t="n"/>
      <c r="BZ4" s="264" t="n"/>
      <c r="CA4" s="264" t="n"/>
      <c r="CB4" s="264" t="n"/>
      <c r="CC4" s="264" t="n"/>
      <c r="CD4" s="264" t="n"/>
      <c r="CE4" s="264" t="n"/>
      <c r="CH4" s="49" t="n"/>
      <c r="CI4" s="49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269" t="n"/>
      <c r="EC4" s="269" t="n"/>
      <c r="ED4" s="269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6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6" t="n"/>
      <c r="FG4" s="6" t="n"/>
      <c r="FH4" s="269" t="n"/>
      <c r="FI4" s="6" t="n"/>
      <c r="FJ4" s="6" t="n"/>
      <c r="FK4" s="269" t="n"/>
      <c r="FL4" s="6" t="n"/>
      <c r="FM4" s="6" t="n"/>
      <c r="FN4" s="6" t="n"/>
      <c r="FO4" s="6" t="n"/>
      <c r="FP4" s="6" t="n"/>
      <c r="FQ4" s="269" t="n"/>
      <c r="FR4" s="6" t="n"/>
      <c r="FS4" s="6" t="n"/>
      <c r="FT4" s="6" t="n"/>
      <c r="FU4" s="6" t="n"/>
      <c r="FV4" s="6" t="n"/>
      <c r="FW4" s="6" t="n"/>
      <c r="FX4" s="6" t="n"/>
      <c r="FY4" s="6" t="n"/>
      <c r="FZ4" s="269" t="n"/>
      <c r="GA4" s="6" t="n"/>
      <c r="GB4" s="6" t="n"/>
      <c r="GC4" s="6" t="n"/>
      <c r="GD4" s="269" t="n"/>
      <c r="GE4" s="6" t="n"/>
      <c r="GF4" s="6" t="n"/>
      <c r="GG4" s="6" t="n"/>
      <c r="GH4" s="6" t="n"/>
      <c r="GI4" s="6" t="n"/>
      <c r="GJ4" s="6" t="n"/>
      <c r="GK4" s="6" t="n"/>
      <c r="GL4" s="6" t="n"/>
      <c r="GM4" s="6" t="n"/>
      <c r="GN4" s="6" t="n"/>
      <c r="GO4" s="6" t="n"/>
      <c r="GP4" s="6" t="n"/>
      <c r="GQ4" s="6" t="n"/>
      <c r="GR4" s="6" t="n"/>
      <c r="GS4" s="6" t="n"/>
      <c r="GT4" s="6" t="n"/>
      <c r="GU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510" t="n"/>
      <c r="CF5" s="153" t="n"/>
      <c r="CH5" s="413" t="inlineStr">
        <is>
          <t>TRANSFERÊNCIA</t>
        </is>
      </c>
      <c r="CI5" s="35" t="inlineStr">
        <is>
          <t>Pendências</t>
        </is>
      </c>
      <c r="CJ5" s="6" t="n"/>
      <c r="CK5" s="12" t="inlineStr">
        <is>
          <t>Novo Pedido</t>
        </is>
      </c>
      <c r="CL5" s="708" t="n">
        <v>46161.48287614225</v>
      </c>
      <c r="CM5" s="654" t="n"/>
      <c r="CN5" s="654" t="n">
        <v>46149</v>
      </c>
      <c r="CO5" s="654" t="n">
        <v>46114</v>
      </c>
      <c r="CP5" s="654" t="n">
        <v>46107</v>
      </c>
      <c r="CQ5" s="710" t="n">
        <v>46065</v>
      </c>
      <c r="CR5" s="654" t="n">
        <v>46099</v>
      </c>
      <c r="CS5" s="654" t="n">
        <v>46092</v>
      </c>
      <c r="CT5" s="711" t="n">
        <v>46045</v>
      </c>
      <c r="CU5" s="654" t="n">
        <v>46084</v>
      </c>
      <c r="CV5" s="655" t="inlineStr">
        <is>
          <t>TRANSF.</t>
        </is>
      </c>
      <c r="CW5" s="654" t="n">
        <v>46077</v>
      </c>
      <c r="CX5" s="655" t="inlineStr">
        <is>
          <t>TRANSF.</t>
        </is>
      </c>
      <c r="CY5" s="654" t="n">
        <v>46071</v>
      </c>
      <c r="CZ5" s="654" t="n">
        <v>46048</v>
      </c>
      <c r="DA5" s="654" t="n">
        <v>46043</v>
      </c>
      <c r="DB5" s="654" t="n">
        <v>46035</v>
      </c>
      <c r="DC5" s="654" t="n">
        <v>46029</v>
      </c>
      <c r="DD5" s="655" t="inlineStr">
        <is>
          <t>TRANSFERÊNCIA</t>
        </is>
      </c>
      <c r="DE5" s="654" t="n">
        <v>46024</v>
      </c>
      <c r="DF5" s="654" t="n">
        <v>46029</v>
      </c>
      <c r="DG5" s="654" t="n">
        <v>46024</v>
      </c>
      <c r="DH5" s="654" t="n">
        <v>46372</v>
      </c>
      <c r="DI5" s="654" t="n">
        <v>46024</v>
      </c>
      <c r="DJ5" s="654" t="n">
        <v>46017</v>
      </c>
      <c r="DK5" s="654" t="n">
        <v>46007</v>
      </c>
      <c r="DL5" s="654" t="n">
        <v>46001</v>
      </c>
      <c r="DM5" s="654" t="n">
        <v>46007</v>
      </c>
      <c r="DN5" s="654" t="n">
        <v>46001</v>
      </c>
      <c r="DO5" s="654" t="n">
        <v>45994</v>
      </c>
      <c r="DP5" s="654" t="n">
        <v>45986</v>
      </c>
      <c r="DQ5" s="654" t="n">
        <v>45980</v>
      </c>
      <c r="DR5" s="654" t="n">
        <v>45980</v>
      </c>
      <c r="DS5" s="654" t="n">
        <v>45973</v>
      </c>
      <c r="DT5" s="654" t="n">
        <v>45965</v>
      </c>
      <c r="DU5" s="654" t="n">
        <v>45960</v>
      </c>
      <c r="DV5" s="654" t="n">
        <v>45945</v>
      </c>
      <c r="DW5" s="654" t="n">
        <v>45939</v>
      </c>
      <c r="DX5" s="654" t="n">
        <v>45931</v>
      </c>
      <c r="DY5" s="678" t="n">
        <v>45903</v>
      </c>
      <c r="DZ5" s="654" t="n">
        <v>45923</v>
      </c>
      <c r="EA5" s="654" t="n">
        <v>45915</v>
      </c>
      <c r="EB5" s="648" t="inlineStr">
        <is>
          <t>TRANSF.</t>
        </is>
      </c>
      <c r="EC5" s="679" t="inlineStr">
        <is>
          <t>TRANSF.</t>
        </is>
      </c>
      <c r="ED5" s="679" t="inlineStr">
        <is>
          <t>TRANSF.</t>
        </is>
      </c>
      <c r="EE5" s="654" t="n">
        <v>45903</v>
      </c>
      <c r="EF5" s="654" t="n">
        <v>45909</v>
      </c>
      <c r="EG5" s="654" t="n">
        <v>45903</v>
      </c>
      <c r="EH5" s="654" t="n">
        <v>45903</v>
      </c>
      <c r="EI5" s="654" t="n">
        <v>45895</v>
      </c>
      <c r="EJ5" s="679" t="inlineStr">
        <is>
          <t>TRANSF.</t>
        </is>
      </c>
      <c r="EK5" s="654" t="n">
        <v>45888</v>
      </c>
      <c r="EL5" s="654" t="n">
        <v>45881</v>
      </c>
      <c r="EM5" s="655" t="inlineStr">
        <is>
          <t>TRANSF.</t>
        </is>
      </c>
      <c r="EN5" s="654" t="n">
        <v>45874</v>
      </c>
      <c r="EO5" s="654" t="n">
        <v>45867</v>
      </c>
      <c r="EP5" s="654" t="n">
        <v>45860</v>
      </c>
      <c r="EQ5" s="654" t="n">
        <v>45853</v>
      </c>
      <c r="ER5" s="655" t="inlineStr">
        <is>
          <t>TRANSF.</t>
        </is>
      </c>
      <c r="ES5" s="681" t="inlineStr">
        <is>
          <t>TRANSF.</t>
        </is>
      </c>
      <c r="ET5" s="654" t="n">
        <v>45848</v>
      </c>
      <c r="EU5" s="681" t="inlineStr">
        <is>
          <t>TRANSF.</t>
        </is>
      </c>
      <c r="EV5" s="654" t="n">
        <v>45839</v>
      </c>
      <c r="EW5" s="681" t="n">
        <v>45791</v>
      </c>
      <c r="EX5" s="654" t="n">
        <v>45832</v>
      </c>
      <c r="EY5" s="654" t="n">
        <v>45825</v>
      </c>
      <c r="EZ5" s="648" t="inlineStr">
        <is>
          <t>TRANSF.</t>
        </is>
      </c>
      <c r="FA5" s="654" t="n">
        <v>45819</v>
      </c>
      <c r="FB5" s="648" t="inlineStr">
        <is>
          <t>TRANSF.</t>
        </is>
      </c>
      <c r="FC5" s="648" t="inlineStr">
        <is>
          <t>TRANSF.</t>
        </is>
      </c>
      <c r="FD5" s="648" t="inlineStr">
        <is>
          <t>TRANSF.</t>
        </is>
      </c>
      <c r="FE5" s="654" t="n">
        <v>45790</v>
      </c>
      <c r="FF5" s="654" t="n">
        <v>45798</v>
      </c>
      <c r="FG5" s="683" t="inlineStr">
        <is>
          <t>TRANSF.</t>
        </is>
      </c>
      <c r="FH5" s="650" t="inlineStr">
        <is>
          <t>TRANSF.</t>
        </is>
      </c>
      <c r="FI5" s="648" t="inlineStr">
        <is>
          <t>TRANSF.</t>
        </is>
      </c>
      <c r="FJ5" s="683" t="inlineStr">
        <is>
          <t>TRANSF.</t>
        </is>
      </c>
      <c r="FK5" s="650" t="inlineStr">
        <is>
          <t>TRANSF.</t>
        </is>
      </c>
      <c r="FL5" s="648" t="inlineStr">
        <is>
          <t>TRANSF.</t>
        </is>
      </c>
      <c r="FM5" s="648" t="inlineStr">
        <is>
          <t>TRANSF.</t>
        </is>
      </c>
      <c r="FN5" s="648" t="inlineStr">
        <is>
          <t>TRANSF.</t>
        </is>
      </c>
      <c r="FO5" s="654" t="n">
        <v>45790</v>
      </c>
      <c r="FP5" s="683" t="n">
        <v>45735</v>
      </c>
      <c r="FQ5" s="650" t="inlineStr">
        <is>
          <t>TRANSF.</t>
        </is>
      </c>
      <c r="FR5" s="654" t="n">
        <v>45783</v>
      </c>
      <c r="FS5" s="654" t="n">
        <v>45770</v>
      </c>
      <c r="FT5" s="654" t="n">
        <v>45775</v>
      </c>
      <c r="FU5" s="654" t="n">
        <v>45770</v>
      </c>
      <c r="FV5" s="655" t="inlineStr">
        <is>
          <t>TRANSF.</t>
        </is>
      </c>
      <c r="FW5" s="654" t="n">
        <v>45756</v>
      </c>
      <c r="FX5" s="654" t="n">
        <v>45749</v>
      </c>
      <c r="FY5" s="654" t="n">
        <v>45743</v>
      </c>
      <c r="FZ5" s="650" t="inlineStr">
        <is>
          <t>TRANSF.</t>
        </is>
      </c>
      <c r="GA5" s="654" t="n">
        <v>45728</v>
      </c>
      <c r="GB5" s="654" t="n">
        <v>45714</v>
      </c>
      <c r="GC5" s="654" t="n">
        <v>45706</v>
      </c>
      <c r="GD5" s="650" t="n">
        <v>45700</v>
      </c>
      <c r="GE5" s="654" t="n">
        <v>45706</v>
      </c>
      <c r="GF5" s="654" t="n">
        <v>45699</v>
      </c>
      <c r="GG5" s="655" t="inlineStr">
        <is>
          <t>TRANSF.</t>
        </is>
      </c>
      <c r="GH5" s="654" t="n">
        <v>45693</v>
      </c>
      <c r="GI5" s="654" t="n">
        <v>45693</v>
      </c>
      <c r="GJ5" s="654" t="n">
        <v>45685</v>
      </c>
      <c r="GK5" s="654" t="n">
        <v>45685</v>
      </c>
      <c r="GL5" s="216" t="inlineStr">
        <is>
          <t>TRANSF. DISNEY/24</t>
        </is>
      </c>
      <c r="GM5" s="655" t="inlineStr">
        <is>
          <t>TRANSF.</t>
        </is>
      </c>
      <c r="GN5" s="655" t="inlineStr">
        <is>
          <t>TRANSF.</t>
        </is>
      </c>
      <c r="GO5" s="655" t="inlineStr">
        <is>
          <t>TRANSF.</t>
        </is>
      </c>
      <c r="GP5" s="654" t="n">
        <v>45664</v>
      </c>
      <c r="GQ5" s="654" t="n">
        <v>45660</v>
      </c>
      <c r="GR5" s="654" t="n">
        <v>45660</v>
      </c>
      <c r="GS5" s="654" t="n">
        <v>46017</v>
      </c>
      <c r="GT5" s="654" t="n">
        <v>45643</v>
      </c>
      <c r="GU5" s="654" t="n">
        <v>45638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46021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46161.48004043981</v>
      </c>
      <c r="CD6" s="651" t="n">
        <v>46161.48071866898</v>
      </c>
      <c r="CE6" s="651" t="n">
        <v>46161.48287732736</v>
      </c>
      <c r="CF6" s="652" t="inlineStr">
        <is>
          <t>USOU</t>
        </is>
      </c>
      <c r="CG6" s="6" t="n"/>
      <c r="CH6" s="414" t="inlineStr">
        <is>
          <t>SUGESTÃO</t>
        </is>
      </c>
      <c r="CI6" s="214" t="n"/>
      <c r="CJ6" s="653" t="n"/>
      <c r="CK6" s="656" t="n"/>
      <c r="CL6" s="708" t="n">
        <v>46161.48287614254</v>
      </c>
      <c r="CM6" s="654" t="n"/>
      <c r="CN6" s="654" t="n">
        <v>46154</v>
      </c>
      <c r="CO6" s="654" t="n">
        <v>46121</v>
      </c>
      <c r="CP6" s="654" t="n">
        <v>46113</v>
      </c>
      <c r="CQ6" s="710" t="n">
        <v>46106</v>
      </c>
      <c r="CR6" s="654" t="n">
        <v>46105</v>
      </c>
      <c r="CS6" s="654" t="n">
        <v>46098</v>
      </c>
      <c r="CT6" s="711" t="n">
        <v>46090</v>
      </c>
      <c r="CU6" s="654" t="n">
        <v>46087</v>
      </c>
      <c r="CV6" s="655" t="n">
        <v>46084</v>
      </c>
      <c r="CW6" s="654" t="n">
        <v>46083</v>
      </c>
      <c r="CX6" s="655" t="n">
        <v>46077</v>
      </c>
      <c r="CY6" s="654" t="n">
        <v>46073</v>
      </c>
      <c r="CZ6" s="654" t="n">
        <v>46052</v>
      </c>
      <c r="DA6" s="654" t="n">
        <v>46052</v>
      </c>
      <c r="DB6" s="654" t="n">
        <v>46052</v>
      </c>
      <c r="DC6" s="654" t="n">
        <v>46041</v>
      </c>
      <c r="DD6" s="655" t="n">
        <v>46043</v>
      </c>
      <c r="DE6" s="654" t="n">
        <v>46044</v>
      </c>
      <c r="DF6" s="654" t="n">
        <v>46038</v>
      </c>
      <c r="DG6" s="654" t="n">
        <v>46038</v>
      </c>
      <c r="DH6" s="654" t="n">
        <v>46038</v>
      </c>
      <c r="DI6" s="654" t="n">
        <v>46034</v>
      </c>
      <c r="DJ6" s="654" t="n">
        <v>46030</v>
      </c>
      <c r="DK6" s="654" t="n">
        <v>46030</v>
      </c>
      <c r="DL6" s="654" t="n">
        <v>46030</v>
      </c>
      <c r="DM6" s="654" t="n">
        <v>46013</v>
      </c>
      <c r="DN6" s="654" t="n">
        <v>46008</v>
      </c>
      <c r="DO6" s="654" t="n">
        <v>46367</v>
      </c>
      <c r="DP6" s="654" t="n">
        <v>45994</v>
      </c>
      <c r="DQ6" s="654" t="n">
        <v>45994</v>
      </c>
      <c r="DR6" s="654" t="n">
        <v>45988</v>
      </c>
      <c r="DS6" s="654" t="n">
        <v>45979</v>
      </c>
      <c r="DT6" s="654" t="n">
        <v>45979</v>
      </c>
      <c r="DU6" s="654" t="n">
        <v>45961</v>
      </c>
      <c r="DV6" s="654" t="n">
        <v>45952</v>
      </c>
      <c r="DW6" s="654" t="n">
        <v>45944</v>
      </c>
      <c r="DX6" s="654" t="n">
        <v>45940</v>
      </c>
      <c r="DY6" s="687" t="n">
        <v>45932</v>
      </c>
      <c r="DZ6" s="654" t="n">
        <v>45930</v>
      </c>
      <c r="EA6" s="654" t="n">
        <v>45925</v>
      </c>
      <c r="EB6" s="655" t="n">
        <v>45931</v>
      </c>
      <c r="EC6" s="688" t="n">
        <v>45931</v>
      </c>
      <c r="ED6" s="688" t="n">
        <v>45931</v>
      </c>
      <c r="EE6" s="654" t="n">
        <v>45918</v>
      </c>
      <c r="EF6" s="654" t="n">
        <v>45915</v>
      </c>
      <c r="EG6" s="654" t="n">
        <v>45910</v>
      </c>
      <c r="EH6" s="654" t="n">
        <v>45906</v>
      </c>
      <c r="EI6" s="654" t="n">
        <v>45898</v>
      </c>
      <c r="EJ6" s="679" t="n">
        <v>45896</v>
      </c>
      <c r="EK6" s="654" t="n">
        <v>45894</v>
      </c>
      <c r="EL6" s="654" t="n">
        <v>45884</v>
      </c>
      <c r="EM6" s="655" t="n">
        <v>45882</v>
      </c>
      <c r="EN6" s="654" t="n">
        <v>45880</v>
      </c>
      <c r="EO6" s="654" t="n">
        <v>45873</v>
      </c>
      <c r="EP6" s="654" t="n">
        <v>45863</v>
      </c>
      <c r="EQ6" s="654" t="n">
        <v>45861</v>
      </c>
      <c r="ER6" s="655" t="n">
        <v>45860</v>
      </c>
      <c r="ES6" s="681" t="n">
        <v>45855</v>
      </c>
      <c r="ET6" s="654" t="n">
        <v>45854</v>
      </c>
      <c r="EU6" s="681" t="n">
        <v>45853</v>
      </c>
      <c r="EV6" s="654" t="n">
        <v>45845</v>
      </c>
      <c r="EW6" s="681" t="n">
        <v>45838</v>
      </c>
      <c r="EX6" s="654" t="n">
        <v>45836</v>
      </c>
      <c r="EY6" s="654" t="n">
        <v>45832</v>
      </c>
      <c r="EZ6" s="655" t="n">
        <v>45826</v>
      </c>
      <c r="FA6" s="654" t="n">
        <v>45824</v>
      </c>
      <c r="FB6" s="655" t="n">
        <v>45819</v>
      </c>
      <c r="FC6" s="655" t="n">
        <v>45818</v>
      </c>
      <c r="FD6" s="655" t="n">
        <v>45807</v>
      </c>
      <c r="FE6" s="654" t="n">
        <v>45803</v>
      </c>
      <c r="FF6" s="654" t="n">
        <v>45800</v>
      </c>
      <c r="FG6" s="690" t="n">
        <v>45800</v>
      </c>
      <c r="FH6" s="650" t="n">
        <v>45799</v>
      </c>
      <c r="FI6" s="655" t="n">
        <v>45799</v>
      </c>
      <c r="FJ6" s="690" t="n">
        <v>45799</v>
      </c>
      <c r="FK6" s="650" t="n">
        <v>45798</v>
      </c>
      <c r="FL6" s="655" t="n">
        <v>45798</v>
      </c>
      <c r="FM6" s="655" t="n">
        <v>45797</v>
      </c>
      <c r="FN6" s="655" t="n">
        <v>45794</v>
      </c>
      <c r="FO6" s="654" t="n">
        <v>45793</v>
      </c>
      <c r="FP6" s="690" t="n">
        <v>45790</v>
      </c>
      <c r="FQ6" s="650" t="n">
        <v>45786</v>
      </c>
      <c r="FR6" s="654" t="n">
        <v>45785</v>
      </c>
      <c r="FS6" s="654" t="n">
        <v>45785</v>
      </c>
      <c r="FT6" s="654" t="n">
        <v>45779</v>
      </c>
      <c r="FU6" s="654" t="n">
        <v>45777</v>
      </c>
      <c r="FV6" s="655" t="n">
        <v>45775</v>
      </c>
      <c r="FW6" s="654" t="n">
        <v>45762</v>
      </c>
      <c r="FX6" s="654" t="n">
        <v>45756</v>
      </c>
      <c r="FY6" s="654" t="n">
        <v>45750</v>
      </c>
      <c r="FZ6" s="650" t="n">
        <v>45740</v>
      </c>
      <c r="GA6" s="654" t="n">
        <v>45733</v>
      </c>
      <c r="GB6" s="654" t="n">
        <v>45723</v>
      </c>
      <c r="GC6" s="654" t="n">
        <v>45715</v>
      </c>
      <c r="GD6" s="650" t="n">
        <v>45715</v>
      </c>
      <c r="GE6" s="654" t="n">
        <v>45715</v>
      </c>
      <c r="GF6" s="654" t="n">
        <v>45708</v>
      </c>
      <c r="GG6" s="655" t="n">
        <v>45706</v>
      </c>
      <c r="GH6" s="654" t="n">
        <v>45701</v>
      </c>
      <c r="GI6" s="654" t="n">
        <v>45699</v>
      </c>
      <c r="GJ6" s="654" t="n">
        <v>45699</v>
      </c>
      <c r="GK6" s="654" t="n">
        <v>45692</v>
      </c>
      <c r="GL6" s="712" t="n">
        <v>45692</v>
      </c>
      <c r="GM6" s="655" t="n">
        <v>45691</v>
      </c>
      <c r="GN6" s="655" t="n">
        <v>45681</v>
      </c>
      <c r="GO6" s="655" t="n">
        <v>45672</v>
      </c>
      <c r="GP6" s="654" t="n">
        <v>45671</v>
      </c>
      <c r="GQ6" s="654" t="n">
        <v>45667</v>
      </c>
      <c r="GR6" s="654" t="n">
        <v>45665</v>
      </c>
      <c r="GS6" s="654" t="n">
        <v>45660</v>
      </c>
      <c r="GT6" s="654" t="n">
        <v>45660</v>
      </c>
      <c r="GU6" s="654" t="n">
        <v>45660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575" t="n"/>
      <c r="CG7" s="6" t="n"/>
      <c r="CH7" s="575" t="n"/>
      <c r="CI7" s="575" t="n"/>
      <c r="CK7" s="22" t="n"/>
      <c r="CL7" s="575" t="n"/>
      <c r="CM7" s="575" t="n"/>
      <c r="CN7" s="575" t="n"/>
      <c r="CO7" s="575" t="n"/>
      <c r="CP7" s="575" t="n"/>
      <c r="CQ7" s="270" t="inlineStr">
        <is>
          <t>MÃES</t>
        </is>
      </c>
      <c r="CR7" s="575" t="n"/>
      <c r="CS7" s="575" t="n"/>
      <c r="CT7" s="270" t="inlineStr">
        <is>
          <t>MÃES</t>
        </is>
      </c>
      <c r="CU7" s="575" t="n"/>
      <c r="CV7" s="575" t="n"/>
      <c r="CW7" s="575" t="n"/>
      <c r="CX7" s="575" t="n"/>
      <c r="CY7" s="575" t="n"/>
      <c r="CZ7" s="575" t="n"/>
      <c r="DA7" s="575" t="n"/>
      <c r="DB7" s="575" t="n"/>
      <c r="DC7" s="575" t="n"/>
      <c r="DD7" s="575" t="n"/>
      <c r="DE7" s="575" t="n"/>
      <c r="DF7" s="575" t="n"/>
      <c r="DG7" s="575" t="n"/>
      <c r="DH7" s="575" t="n"/>
      <c r="DI7" s="575" t="n"/>
      <c r="DJ7" s="575" t="n"/>
      <c r="DK7" s="575" t="n"/>
      <c r="DL7" s="575" t="n"/>
      <c r="DM7" s="575" t="n"/>
      <c r="DN7" s="575" t="n"/>
      <c r="DO7" s="575" t="n"/>
      <c r="DP7" s="575" t="n"/>
      <c r="DQ7" s="575" t="n"/>
      <c r="DR7" s="575" t="n"/>
      <c r="DS7" s="575" t="n"/>
      <c r="DT7" s="575" t="n"/>
      <c r="DU7" s="575" t="n"/>
      <c r="DV7" s="575" t="n"/>
      <c r="DW7" s="575" t="n"/>
      <c r="DX7" s="575" t="n"/>
      <c r="DY7" s="394" t="n"/>
      <c r="DZ7" s="575" t="n"/>
      <c r="EA7" s="575" t="n"/>
      <c r="EB7" s="270" t="n"/>
      <c r="EC7" s="270" t="n"/>
      <c r="ED7" s="270" t="n"/>
      <c r="EE7" s="575" t="n"/>
      <c r="EF7" s="575" t="n"/>
      <c r="EG7" s="575" t="n"/>
      <c r="EH7" s="575" t="n"/>
      <c r="EI7" s="575" t="n"/>
      <c r="EJ7" s="270" t="inlineStr">
        <is>
          <t>HP</t>
        </is>
      </c>
      <c r="EK7" s="575" t="n"/>
      <c r="EL7" s="575" t="n"/>
      <c r="EM7" s="575" t="n"/>
      <c r="EN7" s="575" t="n"/>
      <c r="EO7" s="575" t="n"/>
      <c r="EP7" s="575" t="n"/>
      <c r="EQ7" s="575" t="n"/>
      <c r="ER7" s="575" t="n"/>
      <c r="ES7" s="575" t="inlineStr">
        <is>
          <t>PAIS/25</t>
        </is>
      </c>
      <c r="ET7" s="575" t="n"/>
      <c r="EU7" s="575" t="inlineStr">
        <is>
          <t>PAIS/25</t>
        </is>
      </c>
      <c r="EV7" s="575" t="n"/>
      <c r="EW7" s="575" t="n"/>
      <c r="EX7" s="575" t="n"/>
      <c r="EY7" s="575" t="n"/>
      <c r="EZ7" s="575" t="n"/>
      <c r="FA7" s="575" t="n"/>
      <c r="FB7" s="575" t="n"/>
      <c r="FC7" s="575" t="n"/>
      <c r="FD7" s="575" t="n"/>
      <c r="FE7" s="575" t="n"/>
      <c r="FF7" s="575" t="n"/>
      <c r="FG7" s="575" t="inlineStr">
        <is>
          <t>NAMO/25</t>
        </is>
      </c>
      <c r="FH7" s="76" t="inlineStr">
        <is>
          <t>MÃES/25</t>
        </is>
      </c>
      <c r="FI7" s="575" t="n"/>
      <c r="FJ7" s="575" t="inlineStr">
        <is>
          <t>NAMO/25</t>
        </is>
      </c>
      <c r="FK7" s="76" t="inlineStr">
        <is>
          <t>MÃES/25</t>
        </is>
      </c>
      <c r="FL7" s="575" t="n"/>
      <c r="FM7" s="575" t="n"/>
      <c r="FN7" s="575" t="n"/>
      <c r="FO7" s="575" t="n"/>
      <c r="FP7" s="575" t="n"/>
      <c r="FQ7" s="76" t="inlineStr">
        <is>
          <t>MÃES/25</t>
        </is>
      </c>
      <c r="FR7" s="575" t="n"/>
      <c r="FS7" s="575" t="n"/>
      <c r="FT7" s="575" t="n"/>
      <c r="FU7" s="575" t="n"/>
      <c r="FV7" s="575" t="n"/>
      <c r="FW7" s="575" t="n"/>
      <c r="FX7" s="575" t="n"/>
      <c r="FY7" s="575" t="n"/>
      <c r="FZ7" s="76" t="inlineStr">
        <is>
          <t>MÃES/25</t>
        </is>
      </c>
      <c r="GA7" s="575" t="n"/>
      <c r="GB7" s="575" t="n"/>
      <c r="GC7" s="575" t="n"/>
      <c r="GD7" s="76" t="inlineStr">
        <is>
          <t>MÃES/25</t>
        </is>
      </c>
      <c r="GE7" s="575" t="n"/>
      <c r="GF7" s="575" t="n"/>
      <c r="GG7" s="575" t="n"/>
      <c r="GH7" s="575" t="n"/>
      <c r="GI7" s="575" t="n"/>
      <c r="GJ7" s="575" t="n"/>
      <c r="GK7" s="575" t="n"/>
      <c r="GL7" s="575" t="n"/>
      <c r="GM7" s="575" t="n"/>
      <c r="GN7" s="575" t="n"/>
      <c r="GO7" s="575" t="n"/>
      <c r="GP7" s="575" t="n"/>
      <c r="GQ7" s="575" t="n"/>
      <c r="GR7" s="575" t="n"/>
      <c r="GS7" s="575" t="n"/>
      <c r="GT7" s="575" t="n"/>
      <c r="GU7" s="575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2700</v>
      </c>
      <c r="E8" s="6" t="n"/>
      <c r="F8" s="187" t="n">
        <v>1200</v>
      </c>
      <c r="G8" s="187">
        <f>3000+GO8</f>
        <v/>
      </c>
      <c r="H8" s="187" t="n">
        <v>2700</v>
      </c>
      <c r="I8" s="187">
        <f>2100+900</f>
        <v/>
      </c>
      <c r="J8" s="187" t="n">
        <v>2400</v>
      </c>
      <c r="K8" s="187" t="n">
        <v>2400</v>
      </c>
      <c r="L8" s="187" t="n">
        <v>1500</v>
      </c>
      <c r="M8" s="187" t="n">
        <v>900</v>
      </c>
      <c r="N8" s="187" t="n">
        <v>2400</v>
      </c>
      <c r="O8" s="187" t="n">
        <v>2400</v>
      </c>
      <c r="P8" s="187" t="n">
        <v>1200</v>
      </c>
      <c r="Q8" s="187" t="n">
        <v>2100</v>
      </c>
      <c r="R8" s="187" t="n">
        <v>1200</v>
      </c>
      <c r="S8" s="187" t="n">
        <v>600</v>
      </c>
      <c r="T8" s="187" t="n">
        <v>2100</v>
      </c>
      <c r="U8" s="187" t="n">
        <v>900</v>
      </c>
      <c r="V8" s="187" t="n">
        <v>600</v>
      </c>
      <c r="W8" s="187" t="n">
        <v>300</v>
      </c>
      <c r="X8" s="187" t="n">
        <v>1500</v>
      </c>
      <c r="Y8" s="187">
        <f>1500+1500</f>
        <v/>
      </c>
      <c r="Z8" s="187" t="n">
        <v>1500</v>
      </c>
      <c r="AA8" s="187" t="n">
        <v>3000</v>
      </c>
      <c r="AB8" s="187" t="n">
        <v>3000</v>
      </c>
      <c r="AC8" s="187" t="n">
        <v>2100</v>
      </c>
      <c r="AD8" s="187" t="n">
        <v>1500</v>
      </c>
      <c r="AE8" s="187" t="n">
        <v>900</v>
      </c>
      <c r="AF8" s="187" t="n">
        <v>2400</v>
      </c>
      <c r="AG8" s="187" t="n">
        <v>1800</v>
      </c>
      <c r="AH8" s="187" t="n">
        <v>600</v>
      </c>
      <c r="AI8" s="187" t="n">
        <v>1800</v>
      </c>
      <c r="AJ8" s="187" t="n">
        <v>1200</v>
      </c>
      <c r="AK8" s="187" t="n">
        <v>600</v>
      </c>
      <c r="AL8" s="187" t="n">
        <v>1500</v>
      </c>
      <c r="AM8" s="187" t="n">
        <v>3300</v>
      </c>
      <c r="AN8" s="187" t="n">
        <v>2400</v>
      </c>
      <c r="AO8" s="187">
        <f>2400+EF8</f>
        <v/>
      </c>
      <c r="AP8" s="187" t="n">
        <v>1800</v>
      </c>
      <c r="AQ8" s="187">
        <f>600+EC8</f>
        <v/>
      </c>
      <c r="AR8" s="187" t="n">
        <v>2400</v>
      </c>
      <c r="AS8" s="187" t="n">
        <v>1500</v>
      </c>
      <c r="AT8" s="187" t="n">
        <v>900</v>
      </c>
      <c r="AU8" s="187" t="n">
        <v>300</v>
      </c>
      <c r="AV8" s="187" t="n">
        <v>600</v>
      </c>
      <c r="AW8" s="187" t="n">
        <v>300</v>
      </c>
      <c r="AX8" s="187" t="n">
        <v>1200</v>
      </c>
      <c r="AY8" s="187" t="n">
        <v>0</v>
      </c>
      <c r="AZ8" s="187">
        <f>0+DP8</f>
        <v/>
      </c>
      <c r="BA8" s="187">
        <f>0+DO8</f>
        <v/>
      </c>
      <c r="BB8" s="187">
        <f>300+DM8</f>
        <v/>
      </c>
      <c r="BC8" s="187">
        <f>300+DL8</f>
        <v/>
      </c>
      <c r="BD8" s="187">
        <f>600+DK8</f>
        <v/>
      </c>
      <c r="BE8" s="187" t="n">
        <v>600</v>
      </c>
      <c r="BF8" s="187" t="n">
        <v>300</v>
      </c>
      <c r="BG8" s="187" t="n">
        <v>300</v>
      </c>
      <c r="BH8" s="187" t="n">
        <v>1800</v>
      </c>
      <c r="BI8" s="187" t="n">
        <v>1200</v>
      </c>
      <c r="BJ8" s="187" t="n">
        <v>0</v>
      </c>
      <c r="BK8" s="187">
        <f>0+CY8</f>
        <v/>
      </c>
      <c r="BL8" s="187" t="n">
        <v>1500</v>
      </c>
      <c r="BM8" s="187" t="n">
        <v>300</v>
      </c>
      <c r="BN8" s="187" t="n">
        <v>3000</v>
      </c>
      <c r="BO8" s="187">
        <f>1800+1200</f>
        <v/>
      </c>
      <c r="BP8" s="187" t="n">
        <v>2700</v>
      </c>
      <c r="BQ8" s="187" t="n">
        <v>900</v>
      </c>
      <c r="BR8" s="187">
        <f>600+CO8</f>
        <v/>
      </c>
      <c r="BS8" s="187" t="n">
        <v>2400</v>
      </c>
      <c r="BT8" s="187">
        <f>1200+CL8</f>
        <v/>
      </c>
      <c r="BU8" s="187" t="n">
        <v>1200</v>
      </c>
      <c r="BV8" s="187" t="n">
        <v>900</v>
      </c>
      <c r="BW8" s="187" t="n">
        <v>600</v>
      </c>
      <c r="BX8" s="187" t="n">
        <v>300</v>
      </c>
      <c r="BY8" s="187">
        <f>300+CK8</f>
        <v/>
      </c>
      <c r="BZ8" s="187" t="n"/>
      <c r="CA8" s="187" t="n"/>
      <c r="CB8" s="187" t="n"/>
      <c r="CC8" s="422" t="n"/>
      <c r="CD8" s="422" t="n"/>
      <c r="CE8" s="422" t="n"/>
      <c r="CF8" s="188">
        <f>CD8+IF(NOT(ISBLANK(OFFSET(CF8,0,6))),N(OFFSET(CF8,0,6)),N(OFFSET(CF8,0,7)))-CE8</f>
        <v/>
      </c>
      <c r="CG8" s="6" t="n"/>
      <c r="CH8" s="19" t="n"/>
      <c r="CI8" s="19" t="n"/>
      <c r="CK8" s="27" t="n"/>
      <c r="CL8" s="110" t="n">
        <v>0</v>
      </c>
      <c r="CM8" s="179" t="n">
        <v>0</v>
      </c>
      <c r="CN8" s="179" t="n">
        <v>900</v>
      </c>
      <c r="CO8" s="179" t="n">
        <v>600</v>
      </c>
      <c r="CP8" s="179" t="n"/>
      <c r="CQ8" s="179" t="n"/>
      <c r="CR8" s="179" t="n">
        <v>2700</v>
      </c>
      <c r="CS8" s="179" t="n"/>
      <c r="CT8" s="179" t="n"/>
      <c r="CU8" s="179" t="n"/>
      <c r="CV8" s="402" t="inlineStr">
        <is>
          <t>1200 DE CDP</t>
        </is>
      </c>
      <c r="CW8" s="179" t="n"/>
      <c r="CX8" s="18" t="n"/>
      <c r="CY8" s="179" t="n">
        <v>2700</v>
      </c>
      <c r="CZ8" s="179" t="n"/>
      <c r="DA8" s="179" t="n"/>
      <c r="DB8" s="179" t="n">
        <v>2700</v>
      </c>
      <c r="DC8" s="179" t="n"/>
      <c r="DD8" s="179" t="n"/>
      <c r="DE8" s="179" t="n"/>
      <c r="DF8" s="179" t="n"/>
      <c r="DG8" s="179" t="n"/>
      <c r="DH8" s="179" t="n"/>
      <c r="DI8" s="179" t="n"/>
      <c r="DJ8" s="179" t="n">
        <v>2700</v>
      </c>
      <c r="DK8" s="179" t="n"/>
      <c r="DL8" s="179" t="n"/>
      <c r="DM8" s="179" t="n"/>
      <c r="DN8" s="179" t="n">
        <v>2700</v>
      </c>
      <c r="DO8" s="179" t="n">
        <v>600</v>
      </c>
      <c r="DP8" s="179" t="n">
        <v>1200</v>
      </c>
      <c r="DQ8" s="179" t="n"/>
      <c r="DR8" s="179" t="n">
        <v>1200</v>
      </c>
      <c r="DS8" s="179" t="n">
        <v>1200</v>
      </c>
      <c r="DT8" s="179" t="n">
        <v>600</v>
      </c>
      <c r="DU8" s="179" t="n">
        <v>1200</v>
      </c>
      <c r="DV8" s="179" t="n"/>
      <c r="DW8" s="179" t="n">
        <v>900</v>
      </c>
      <c r="DX8" s="179" t="n">
        <v>900</v>
      </c>
      <c r="DY8" s="356" t="n"/>
      <c r="DZ8" s="179" t="n"/>
      <c r="EA8" s="179" t="n"/>
      <c r="EB8" s="256" t="n"/>
      <c r="EC8" s="256" t="n"/>
      <c r="ED8" s="256" t="n"/>
      <c r="EE8" s="179" t="n"/>
      <c r="EF8" s="179" t="n">
        <v>2100</v>
      </c>
      <c r="EG8" s="179" t="n"/>
      <c r="EH8" s="179" t="n"/>
      <c r="EI8" s="179" t="n">
        <v>600</v>
      </c>
      <c r="EJ8" s="179" t="n"/>
      <c r="EK8" s="179" t="n"/>
      <c r="EL8" s="179" t="n">
        <v>2100</v>
      </c>
      <c r="EM8" s="179" t="n"/>
      <c r="EN8" s="179" t="n"/>
      <c r="EO8" s="179" t="n">
        <v>2700</v>
      </c>
      <c r="EP8" s="179" t="n"/>
      <c r="EQ8" s="179" t="n">
        <v>600</v>
      </c>
      <c r="ER8" s="179" t="n"/>
      <c r="ES8" s="179" t="n"/>
      <c r="ET8" s="179" t="n">
        <v>1500</v>
      </c>
      <c r="EU8" s="179" t="n"/>
      <c r="EV8" s="179" t="n"/>
      <c r="EW8" s="179" t="n"/>
      <c r="EX8" s="179" t="n">
        <v>600</v>
      </c>
      <c r="EY8" s="179" t="n">
        <v>1200</v>
      </c>
      <c r="EZ8" s="256" t="n"/>
      <c r="FA8" s="179" t="n">
        <v>600</v>
      </c>
      <c r="FB8" s="256" t="n"/>
      <c r="FC8" s="256" t="n"/>
      <c r="FD8" s="256" t="n"/>
      <c r="FE8" s="179" t="n"/>
      <c r="FF8" s="179" t="n">
        <v>2100</v>
      </c>
      <c r="FG8" s="256" t="n"/>
      <c r="FH8" s="256" t="n"/>
      <c r="FI8" s="256" t="n"/>
      <c r="FJ8" s="256" t="n"/>
      <c r="FK8" s="256" t="n"/>
      <c r="FL8" s="256" t="n"/>
      <c r="FM8" s="241" t="inlineStr">
        <is>
          <t>1500 DE CD</t>
        </is>
      </c>
      <c r="FN8" s="179" t="n"/>
      <c r="FO8" s="179" t="n"/>
      <c r="FP8" s="256" t="n"/>
      <c r="FQ8" s="256" t="n"/>
      <c r="FR8" s="179" t="n">
        <v>900</v>
      </c>
      <c r="FS8" s="179" t="n"/>
      <c r="FT8" s="179" t="n"/>
      <c r="FU8" s="179" t="n">
        <v>2100</v>
      </c>
      <c r="FV8" s="179" t="n"/>
      <c r="FW8" s="179" t="n"/>
      <c r="FX8" s="179" t="n"/>
      <c r="FY8" s="179" t="n">
        <v>1500</v>
      </c>
      <c r="FZ8" s="256" t="n"/>
      <c r="GA8" s="179" t="n">
        <v>2100</v>
      </c>
      <c r="GB8" s="179" t="n"/>
      <c r="GC8" s="179" t="n">
        <v>600</v>
      </c>
      <c r="GD8" s="256" t="n"/>
      <c r="GE8" s="179" t="n"/>
      <c r="GF8" s="179" t="n">
        <v>1500</v>
      </c>
      <c r="GG8" s="260" t="n"/>
      <c r="GH8" s="179" t="n"/>
      <c r="GI8" s="179" t="n"/>
      <c r="GJ8" s="179" t="n"/>
      <c r="GK8" s="179" t="n">
        <v>900</v>
      </c>
      <c r="GL8" s="260" t="n"/>
      <c r="GM8" s="260" t="n"/>
      <c r="GN8" s="239" t="inlineStr">
        <is>
          <t>900 DE CD</t>
        </is>
      </c>
      <c r="GO8" s="179" t="n"/>
      <c r="GP8" s="179" t="n"/>
      <c r="GQ8" s="179" t="n"/>
      <c r="GR8" s="179" t="n">
        <v>900</v>
      </c>
      <c r="GS8" s="179" t="n">
        <v>1800</v>
      </c>
      <c r="GT8" s="179" t="n"/>
      <c r="GU8" s="179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3600</v>
      </c>
      <c r="E9" s="6" t="n"/>
      <c r="F9" s="187" t="n">
        <v>1000</v>
      </c>
      <c r="G9" s="187">
        <f>3600+GO9</f>
        <v/>
      </c>
      <c r="H9" s="187" t="n">
        <v>4800</v>
      </c>
      <c r="I9" s="187">
        <f>3000+2000</f>
        <v/>
      </c>
      <c r="J9" s="187">
        <f>4000+2200</f>
        <v/>
      </c>
      <c r="K9" s="187">
        <f>4600+GH9</f>
        <v/>
      </c>
      <c r="L9" s="187">
        <f>4800+GF9</f>
        <v/>
      </c>
      <c r="M9" s="187" t="n">
        <v>7600</v>
      </c>
      <c r="N9" s="187" t="n">
        <v>6800</v>
      </c>
      <c r="O9" s="187" t="n">
        <v>5900</v>
      </c>
      <c r="P9" s="187" t="n">
        <v>5000</v>
      </c>
      <c r="Q9" s="187" t="n">
        <v>3200</v>
      </c>
      <c r="R9" s="187" t="n">
        <v>1400</v>
      </c>
      <c r="S9" s="187" t="n">
        <v>600</v>
      </c>
      <c r="T9" s="187" t="n">
        <v>2200</v>
      </c>
      <c r="U9" s="187" t="n">
        <v>1000</v>
      </c>
      <c r="V9" s="187" t="n">
        <v>1000</v>
      </c>
      <c r="W9" s="187" t="n">
        <v>0</v>
      </c>
      <c r="X9" s="187" t="n">
        <v>2600</v>
      </c>
      <c r="Y9" s="187">
        <f>1600+1000</f>
        <v/>
      </c>
      <c r="Z9" s="187" t="n">
        <v>2000</v>
      </c>
      <c r="AA9" s="187" t="n">
        <v>3400</v>
      </c>
      <c r="AB9" s="187" t="n">
        <v>2600</v>
      </c>
      <c r="AC9" s="187" t="n">
        <v>800</v>
      </c>
      <c r="AD9" s="187" t="n">
        <v>3000</v>
      </c>
      <c r="AE9" s="187" t="n">
        <v>1800</v>
      </c>
      <c r="AF9" s="187" t="n">
        <v>2200</v>
      </c>
      <c r="AG9" s="187" t="n">
        <v>2800</v>
      </c>
      <c r="AH9" s="187" t="n">
        <v>1400</v>
      </c>
      <c r="AI9" s="187" t="n">
        <v>2600</v>
      </c>
      <c r="AJ9" s="187" t="n">
        <v>2800</v>
      </c>
      <c r="AK9" s="187" t="n">
        <v>1400</v>
      </c>
      <c r="AL9" s="187" t="n">
        <v>2000</v>
      </c>
      <c r="AM9" s="187" t="n">
        <v>4200</v>
      </c>
      <c r="AN9" s="187" t="n">
        <v>2400</v>
      </c>
      <c r="AO9" s="187">
        <f>1400+EF9</f>
        <v/>
      </c>
      <c r="AP9" s="187" t="n">
        <v>2200</v>
      </c>
      <c r="AQ9" s="187">
        <f>2000+EC9</f>
        <v/>
      </c>
      <c r="AR9" s="187" t="n">
        <v>1200</v>
      </c>
      <c r="AS9" s="187">
        <f>2000+DW9</f>
        <v/>
      </c>
      <c r="AT9" s="187" t="n">
        <v>2800</v>
      </c>
      <c r="AU9" s="187" t="n">
        <v>2200</v>
      </c>
      <c r="AV9" s="187" t="n">
        <v>3200</v>
      </c>
      <c r="AW9" s="187" t="n">
        <v>2600</v>
      </c>
      <c r="AX9" s="187" t="n">
        <v>1400</v>
      </c>
      <c r="AY9" s="187" t="n">
        <v>0</v>
      </c>
      <c r="AZ9" s="187" t="n">
        <v>2600</v>
      </c>
      <c r="BA9" s="187">
        <f>200+DO9</f>
        <v/>
      </c>
      <c r="BB9" s="187">
        <f>1600+DM9</f>
        <v/>
      </c>
      <c r="BC9" s="187">
        <f>2400+DL9</f>
        <v/>
      </c>
      <c r="BD9" s="187" t="n">
        <v>3600</v>
      </c>
      <c r="BE9" s="187">
        <f>1000+DJ9</f>
        <v/>
      </c>
      <c r="BF9" s="187" t="n">
        <v>2400</v>
      </c>
      <c r="BG9" s="187" t="n">
        <v>1800</v>
      </c>
      <c r="BH9" s="187">
        <f>1800+DF9</f>
        <v/>
      </c>
      <c r="BI9" s="187" t="n">
        <v>4000</v>
      </c>
      <c r="BJ9" s="187" t="n">
        <v>2200</v>
      </c>
      <c r="BK9" s="187">
        <f>400+CY9+CX9+CW9</f>
        <v/>
      </c>
      <c r="BL9" s="187" t="n">
        <v>4400</v>
      </c>
      <c r="BM9" s="187" t="n">
        <v>1400</v>
      </c>
      <c r="BN9" s="187" t="n">
        <v>4800</v>
      </c>
      <c r="BO9" s="187">
        <f>2800+CT9+1600</f>
        <v/>
      </c>
      <c r="BP9" s="187" t="n">
        <v>3200</v>
      </c>
      <c r="BQ9" s="187">
        <f>400+CP9</f>
        <v/>
      </c>
      <c r="BR9" s="187">
        <f>0+CO9</f>
        <v/>
      </c>
      <c r="BS9" s="187">
        <f>2000+CM9</f>
        <v/>
      </c>
      <c r="BT9" s="187">
        <f>1800+CL9</f>
        <v/>
      </c>
      <c r="BU9" s="187" t="n">
        <v>5000</v>
      </c>
      <c r="BV9" s="187" t="n">
        <v>2000</v>
      </c>
      <c r="BW9" s="187" t="n">
        <v>600</v>
      </c>
      <c r="BX9" s="187" t="n">
        <v>400</v>
      </c>
      <c r="BY9" s="187" t="n">
        <v>0</v>
      </c>
      <c r="BZ9" s="187" t="n"/>
      <c r="CA9" s="187" t="n"/>
      <c r="CB9" s="187" t="n"/>
      <c r="CC9" s="422" t="n"/>
      <c r="CD9" s="422" t="n"/>
      <c r="CE9" s="422" t="n"/>
      <c r="CF9" s="188">
        <f>CD9+IF(NOT(ISBLANK(OFFSET(CF9,0,6))),N(OFFSET(CF9,0,6)),N(OFFSET(CF9,0,7)))-CE9</f>
        <v/>
      </c>
      <c r="CG9" s="6" t="n"/>
      <c r="CH9" s="19" t="n"/>
      <c r="CI9" s="19" t="n"/>
      <c r="CK9" s="27" t="n"/>
      <c r="CL9" s="110" t="n">
        <v>0</v>
      </c>
      <c r="CM9" s="179" t="n">
        <v>0</v>
      </c>
      <c r="CN9" s="179" t="n">
        <v>0</v>
      </c>
      <c r="CO9" s="179" t="n">
        <v>4000</v>
      </c>
      <c r="CP9" s="179" t="n">
        <v>2000</v>
      </c>
      <c r="CQ9" s="403" t="n">
        <v>6000</v>
      </c>
      <c r="CR9" s="179" t="n">
        <v>3600</v>
      </c>
      <c r="CS9" s="179" t="n">
        <v>2000</v>
      </c>
      <c r="CT9" s="179" t="n"/>
      <c r="CU9" s="179" t="n">
        <v>600</v>
      </c>
      <c r="CV9" s="402" t="inlineStr">
        <is>
          <t>1600 DE CDP</t>
        </is>
      </c>
      <c r="CW9" s="179" t="n">
        <v>1200</v>
      </c>
      <c r="CX9" s="18" t="n"/>
      <c r="CY9" s="179" t="n">
        <v>4000</v>
      </c>
      <c r="CZ9" s="179" t="n">
        <v>2000</v>
      </c>
      <c r="DA9" s="179" t="n">
        <v>2000</v>
      </c>
      <c r="DB9" s="179" t="n">
        <v>2000</v>
      </c>
      <c r="DC9" s="179" t="n"/>
      <c r="DD9" s="179" t="n"/>
      <c r="DE9" s="179" t="n"/>
      <c r="DF9" s="179" t="n">
        <v>1000</v>
      </c>
      <c r="DG9" s="179" t="n"/>
      <c r="DH9" s="179" t="n"/>
      <c r="DI9" s="179" t="n">
        <v>3600</v>
      </c>
      <c r="DJ9" s="179" t="n">
        <v>2000</v>
      </c>
      <c r="DK9" s="179" t="n"/>
      <c r="DL9" s="179" t="n"/>
      <c r="DM9" s="179" t="n">
        <v>4000</v>
      </c>
      <c r="DN9" s="179" t="n"/>
      <c r="DO9" s="179" t="n">
        <v>3600</v>
      </c>
      <c r="DP9" s="179" t="n">
        <v>2400</v>
      </c>
      <c r="DQ9" s="179" t="n"/>
      <c r="DR9" s="179" t="n">
        <v>3600</v>
      </c>
      <c r="DS9" s="179" t="n"/>
      <c r="DT9" s="179" t="n">
        <v>3600</v>
      </c>
      <c r="DU9" s="179" t="n">
        <v>1000</v>
      </c>
      <c r="DV9" s="179" t="n"/>
      <c r="DW9" s="179" t="n">
        <v>3600</v>
      </c>
      <c r="DX9" s="179" t="n"/>
      <c r="DY9" s="256" t="n">
        <v>200</v>
      </c>
      <c r="DZ9" s="179" t="n">
        <v>3600</v>
      </c>
      <c r="EA9" s="179" t="n">
        <v>1000</v>
      </c>
      <c r="EB9" s="256" t="n"/>
      <c r="EC9" s="256" t="n"/>
      <c r="ED9" s="256" t="n"/>
      <c r="EE9" s="179" t="n"/>
      <c r="EF9" s="179" t="n">
        <v>1600</v>
      </c>
      <c r="EG9" s="179" t="n">
        <v>1000</v>
      </c>
      <c r="EH9" s="179" t="n"/>
      <c r="EI9" s="179" t="n">
        <v>2400</v>
      </c>
      <c r="EJ9" s="179" t="n"/>
      <c r="EK9" s="179" t="n"/>
      <c r="EL9" s="179" t="n">
        <v>3600</v>
      </c>
      <c r="EM9" s="179" t="n"/>
      <c r="EN9" s="179" t="n">
        <v>1000</v>
      </c>
      <c r="EO9" s="179" t="n">
        <v>2000</v>
      </c>
      <c r="EP9" s="179" t="n"/>
      <c r="EQ9" s="179" t="n">
        <v>1800</v>
      </c>
      <c r="ER9" s="179" t="n"/>
      <c r="ES9" s="179" t="n"/>
      <c r="ET9" s="179" t="n">
        <v>2000</v>
      </c>
      <c r="EU9" s="179" t="n"/>
      <c r="EV9" s="179" t="n">
        <v>1600</v>
      </c>
      <c r="EW9" s="179" t="n"/>
      <c r="EX9" s="179" t="n">
        <v>1200</v>
      </c>
      <c r="EY9" s="179" t="n">
        <v>800</v>
      </c>
      <c r="EZ9" s="256" t="n"/>
      <c r="FA9" s="179" t="n">
        <v>3000</v>
      </c>
      <c r="FB9" s="256" t="n"/>
      <c r="FC9" s="256" t="n"/>
      <c r="FD9" s="256" t="n"/>
      <c r="FE9" s="179" t="n"/>
      <c r="FF9" s="179" t="n">
        <v>2000</v>
      </c>
      <c r="FG9" s="256" t="n"/>
      <c r="FH9" s="256" t="n"/>
      <c r="FI9" s="256" t="n"/>
      <c r="FJ9" s="256" t="n"/>
      <c r="FK9" s="256" t="n"/>
      <c r="FL9" s="256" t="n"/>
      <c r="FM9" s="241" t="inlineStr">
        <is>
          <t>1000 DE CD</t>
        </is>
      </c>
      <c r="FN9" s="179" t="n"/>
      <c r="FO9" s="179" t="n">
        <v>2000</v>
      </c>
      <c r="FP9" s="256" t="n"/>
      <c r="FQ9" s="256" t="n"/>
      <c r="FR9" s="179" t="n">
        <v>1000</v>
      </c>
      <c r="FS9" s="179" t="n"/>
      <c r="FT9" s="179" t="n">
        <v>1000</v>
      </c>
      <c r="FU9" s="179" t="n">
        <v>2400</v>
      </c>
      <c r="FV9" s="179" t="n"/>
      <c r="FW9" s="179" t="n"/>
      <c r="FX9" s="179" t="n"/>
      <c r="FY9" s="179" t="n">
        <v>2400</v>
      </c>
      <c r="FZ9" s="256" t="n"/>
      <c r="GA9" s="179" t="n"/>
      <c r="GB9" s="179" t="n"/>
      <c r="GC9" s="179" t="n"/>
      <c r="GD9" s="256" t="n">
        <v>3000</v>
      </c>
      <c r="GE9" s="179" t="n"/>
      <c r="GF9" s="179" t="n"/>
      <c r="GG9" s="260" t="n"/>
      <c r="GH9" s="179" t="n"/>
      <c r="GI9" s="179" t="n">
        <v>4000</v>
      </c>
      <c r="GJ9" s="179" t="n"/>
      <c r="GK9" s="179" t="n">
        <v>1000</v>
      </c>
      <c r="GL9" s="263" t="inlineStr">
        <is>
          <t>16 SAC. 2023 + 1600 SAC. 2024 DE CD</t>
        </is>
      </c>
      <c r="GM9" s="239" t="inlineStr">
        <is>
          <t>2200 DE CD</t>
        </is>
      </c>
      <c r="GN9" s="239" t="inlineStr">
        <is>
          <t>2000 DE CD</t>
        </is>
      </c>
      <c r="GO9" s="179" t="n"/>
      <c r="GP9" s="179" t="n">
        <v>600</v>
      </c>
      <c r="GQ9" s="179" t="n"/>
      <c r="GR9" s="179" t="n">
        <v>1000</v>
      </c>
      <c r="GS9" s="179" t="n">
        <v>3000</v>
      </c>
      <c r="GT9" s="179" t="n"/>
      <c r="GU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1000</v>
      </c>
      <c r="E10" s="6" t="n"/>
      <c r="F10" s="187" t="n">
        <v>2000</v>
      </c>
      <c r="G10" s="187">
        <f>2600+GO10</f>
        <v/>
      </c>
      <c r="H10" s="187" t="n">
        <v>4200</v>
      </c>
      <c r="I10" s="187">
        <f>4000+1000</f>
        <v/>
      </c>
      <c r="J10" s="187">
        <f>4600+1400</f>
        <v/>
      </c>
      <c r="K10" s="187" t="n">
        <v>5600</v>
      </c>
      <c r="L10" s="187" t="n">
        <v>5400</v>
      </c>
      <c r="M10" s="187" t="n">
        <v>5400</v>
      </c>
      <c r="N10" s="187" t="n">
        <v>5200</v>
      </c>
      <c r="O10" s="187" t="n">
        <v>5000</v>
      </c>
      <c r="P10" s="187" t="n">
        <v>4800</v>
      </c>
      <c r="Q10" s="187" t="n">
        <v>4800</v>
      </c>
      <c r="R10" s="187" t="n">
        <v>4800</v>
      </c>
      <c r="S10" s="187" t="n">
        <v>4800</v>
      </c>
      <c r="T10" s="187" t="n">
        <v>4800</v>
      </c>
      <c r="U10" s="187" t="n">
        <v>4800</v>
      </c>
      <c r="V10" s="187" t="n">
        <v>4800</v>
      </c>
      <c r="W10" s="187" t="n">
        <v>4800</v>
      </c>
      <c r="X10" s="187" t="n">
        <v>4800</v>
      </c>
      <c r="Y10" s="187">
        <f>3600-1000</f>
        <v/>
      </c>
      <c r="Z10" s="187" t="n">
        <v>2600</v>
      </c>
      <c r="AA10" s="187">
        <f>2600-400</f>
        <v/>
      </c>
      <c r="AB10" s="187" t="n">
        <v>2000</v>
      </c>
      <c r="AC10" s="187">
        <f>2000-600</f>
        <v/>
      </c>
      <c r="AD10" s="187" t="n">
        <v>1000</v>
      </c>
      <c r="AE10" s="187" t="n">
        <v>800</v>
      </c>
      <c r="AF10" s="187" t="n">
        <v>800</v>
      </c>
      <c r="AG10" s="187" t="n">
        <v>1000</v>
      </c>
      <c r="AH10" s="187" t="n">
        <v>600</v>
      </c>
      <c r="AI10" s="187" t="n">
        <v>400</v>
      </c>
      <c r="AJ10" s="187" t="n">
        <v>0</v>
      </c>
      <c r="AK10" s="187" t="n">
        <v>0</v>
      </c>
      <c r="AL10" s="187" t="n">
        <v>0</v>
      </c>
      <c r="AM10" s="187" t="n">
        <v>1000</v>
      </c>
      <c r="AN10" s="187" t="n">
        <v>800</v>
      </c>
      <c r="AO10" s="187">
        <f>600+EF10</f>
        <v/>
      </c>
      <c r="AP10" s="187" t="n">
        <v>600</v>
      </c>
      <c r="AQ10" s="187" t="n">
        <v>1000</v>
      </c>
      <c r="AR10" s="187" t="n">
        <v>1000</v>
      </c>
      <c r="AS10" s="187" t="n">
        <v>1000</v>
      </c>
      <c r="AT10" s="187" t="n">
        <v>800</v>
      </c>
      <c r="AU10" s="187" t="n">
        <v>200</v>
      </c>
      <c r="AV10" s="187">
        <f>200+DS10</f>
        <v/>
      </c>
      <c r="AW10" s="187" t="n">
        <v>1000</v>
      </c>
      <c r="AX10" s="187" t="n">
        <v>600</v>
      </c>
      <c r="AY10" s="187" t="n">
        <v>0</v>
      </c>
      <c r="AZ10" s="187" t="n">
        <v>400</v>
      </c>
      <c r="BA10" s="187">
        <f>0+DO10</f>
        <v/>
      </c>
      <c r="BB10" s="187">
        <f>1000+DM10</f>
        <v/>
      </c>
      <c r="BC10" s="187" t="n">
        <v>1800</v>
      </c>
      <c r="BD10" s="187">
        <f>1800+DK10</f>
        <v/>
      </c>
      <c r="BE10" s="187" t="n">
        <v>2600</v>
      </c>
      <c r="BF10" s="187" t="n">
        <v>1800</v>
      </c>
      <c r="BG10" s="187" t="n">
        <v>1800</v>
      </c>
      <c r="BH10" s="187" t="n">
        <v>1400</v>
      </c>
      <c r="BI10" s="187" t="n">
        <v>1400</v>
      </c>
      <c r="BJ10" s="187" t="n">
        <v>1200</v>
      </c>
      <c r="BK10" s="187">
        <f>1200+CY10</f>
        <v/>
      </c>
      <c r="BL10" s="187" t="n">
        <v>1600</v>
      </c>
      <c r="BM10" s="187" t="n">
        <v>1600</v>
      </c>
      <c r="BN10" s="187" t="n">
        <v>1600</v>
      </c>
      <c r="BO10" s="187">
        <f>600+1000</f>
        <v/>
      </c>
      <c r="BP10" s="187" t="n">
        <v>1400</v>
      </c>
      <c r="BQ10" s="187" t="n">
        <v>600</v>
      </c>
      <c r="BR10" s="187">
        <f>200+CO10</f>
        <v/>
      </c>
      <c r="BS10" s="187" t="n">
        <v>1000</v>
      </c>
      <c r="BT10" s="187" t="n">
        <v>800</v>
      </c>
      <c r="BU10" s="187" t="n">
        <v>800</v>
      </c>
      <c r="BV10" s="187" t="n">
        <v>800</v>
      </c>
      <c r="BW10" s="187" t="n">
        <v>600</v>
      </c>
      <c r="BX10" s="187" t="n">
        <v>200</v>
      </c>
      <c r="BY10" s="187" t="n">
        <v>200</v>
      </c>
      <c r="BZ10" s="187" t="n"/>
      <c r="CA10" s="187" t="n"/>
      <c r="CB10" s="187" t="n"/>
      <c r="CC10" s="422" t="n"/>
      <c r="CD10" s="422" t="n"/>
      <c r="CE10" s="422" t="n"/>
      <c r="CF10" s="188">
        <f>CD10+IF(NOT(ISBLANK(OFFSET(CF10,0,6))),N(OFFSET(CF10,0,6)),N(OFFSET(CF10,0,7)))-CE10</f>
        <v/>
      </c>
      <c r="CG10" s="6" t="n"/>
      <c r="CH10" s="19" t="n"/>
      <c r="CI10" s="19" t="n"/>
      <c r="CJ10" s="4" t="n"/>
      <c r="CK10" s="27" t="n"/>
      <c r="CL10" s="18" t="n">
        <v>0</v>
      </c>
      <c r="CM10" s="18" t="n">
        <v>0</v>
      </c>
      <c r="CN10" s="18" t="n">
        <v>0</v>
      </c>
      <c r="CO10" s="18" t="n"/>
      <c r="CP10" s="18" t="n"/>
      <c r="CQ10" s="403" t="n">
        <v>2000</v>
      </c>
      <c r="CR10" s="18" t="n">
        <v>1000</v>
      </c>
      <c r="CS10" s="18" t="n"/>
      <c r="CT10" s="418" t="n">
        <v>600</v>
      </c>
      <c r="CU10" s="18" t="n"/>
      <c r="CV10" s="154" t="inlineStr">
        <is>
          <t>1000 DE CDP</t>
        </is>
      </c>
      <c r="CW10" s="18" t="n"/>
      <c r="CX10" s="18" t="n"/>
      <c r="CY10" s="18" t="n"/>
      <c r="CZ10" s="18" t="n"/>
      <c r="DA10" s="18" t="n"/>
      <c r="DB10" s="18" t="n">
        <v>400</v>
      </c>
      <c r="DC10" s="18" t="n"/>
      <c r="DD10" s="18" t="n"/>
      <c r="DE10" s="18" t="n"/>
      <c r="DF10" s="18" t="n"/>
      <c r="DG10" s="18" t="n"/>
      <c r="DH10" s="18" t="n"/>
      <c r="DI10" s="18" t="n"/>
      <c r="DJ10" s="18" t="n"/>
      <c r="DK10" s="18" t="n"/>
      <c r="DL10" s="18" t="n"/>
      <c r="DM10" s="18" t="n"/>
      <c r="DN10" s="18" t="n">
        <v>1200</v>
      </c>
      <c r="DO10" s="18" t="n"/>
      <c r="DP10" s="18" t="n">
        <v>1000</v>
      </c>
      <c r="DQ10" s="18" t="n"/>
      <c r="DR10" s="18" t="n">
        <v>1000</v>
      </c>
      <c r="DS10" s="18" t="n"/>
      <c r="DT10" s="18" t="n">
        <v>1000</v>
      </c>
      <c r="DU10" s="18" t="n"/>
      <c r="DV10" s="18" t="n">
        <v>1000</v>
      </c>
      <c r="DW10" s="18" t="n">
        <v>200</v>
      </c>
      <c r="DX10" s="18" t="n"/>
      <c r="DY10" s="256" t="n">
        <v>200</v>
      </c>
      <c r="DZ10" s="18" t="n"/>
      <c r="EA10" s="18" t="n"/>
      <c r="EB10" s="256" t="n"/>
      <c r="EC10" s="404" t="inlineStr">
        <is>
          <t>130 DE CDP</t>
        </is>
      </c>
      <c r="ED10" s="404" t="inlineStr">
        <is>
          <t>20 P/ ER PBE</t>
        </is>
      </c>
      <c r="EE10" s="18" t="n"/>
      <c r="EF10" s="18" t="n"/>
      <c r="EG10" s="18" t="n">
        <v>400</v>
      </c>
      <c r="EH10" s="18" t="n"/>
      <c r="EI10" s="18" t="n">
        <v>200</v>
      </c>
      <c r="EJ10" s="18" t="n"/>
      <c r="EK10" s="18" t="n"/>
      <c r="EL10" s="18" t="n">
        <v>1000</v>
      </c>
      <c r="EM10" s="18" t="n"/>
      <c r="EN10" s="18" t="n"/>
      <c r="EO10" s="18" t="n"/>
      <c r="EP10" s="18" t="n"/>
      <c r="EQ10" s="18" t="n"/>
      <c r="ER10" s="18" t="n"/>
      <c r="ES10" s="292" t="inlineStr">
        <is>
          <t>1000 P/ CDP</t>
        </is>
      </c>
      <c r="ET10" s="18" t="n"/>
      <c r="EU10" s="179" t="n"/>
      <c r="EV10" s="18" t="n">
        <v>200</v>
      </c>
      <c r="EW10" s="256" t="n">
        <v>2200</v>
      </c>
      <c r="EX10" s="18" t="n">
        <v>200</v>
      </c>
      <c r="EY10" s="18" t="n">
        <v>400</v>
      </c>
      <c r="EZ10" s="256" t="n"/>
      <c r="FA10" s="18" t="n"/>
      <c r="FB10" s="256" t="n"/>
      <c r="FC10" s="239" t="inlineStr">
        <is>
          <t>600 P/ CD</t>
        </is>
      </c>
      <c r="FD10" s="239" t="inlineStr">
        <is>
          <t>400 P/ ER PBE</t>
        </is>
      </c>
      <c r="FE10" s="18" t="n"/>
      <c r="FF10" s="18" t="n"/>
      <c r="FG10" s="256" t="n"/>
      <c r="FH10" s="256" t="n"/>
      <c r="FI10" s="256" t="n"/>
      <c r="FJ10" s="312" t="inlineStr">
        <is>
          <t>200 P/ CD</t>
        </is>
      </c>
      <c r="FK10" s="256" t="n"/>
      <c r="FL10" s="256" t="n"/>
      <c r="FM10" s="256" t="n"/>
      <c r="FN10" s="241" t="inlineStr">
        <is>
          <t>1000 P/ PL</t>
        </is>
      </c>
      <c r="FO10" s="18" t="n"/>
      <c r="FP10" s="256" t="n">
        <v>500</v>
      </c>
      <c r="FQ10" s="256" t="n"/>
      <c r="FR10" s="18" t="n"/>
      <c r="FS10" s="18" t="n"/>
      <c r="FT10" s="18" t="n"/>
      <c r="FU10" s="18" t="n"/>
      <c r="FV10" s="18" t="n"/>
      <c r="FW10" s="18" t="n"/>
      <c r="FX10" s="18" t="n"/>
      <c r="FY10" s="18" t="n"/>
      <c r="FZ10" s="256" t="n"/>
      <c r="GA10" s="18" t="n"/>
      <c r="GB10" s="18" t="n"/>
      <c r="GC10" s="18" t="n"/>
      <c r="GD10" s="256" t="n">
        <v>1600</v>
      </c>
      <c r="GE10" s="18" t="n"/>
      <c r="GF10" s="18" t="n"/>
      <c r="GG10" s="260" t="n"/>
      <c r="GH10" s="18" t="n"/>
      <c r="GI10" s="18" t="n"/>
      <c r="GJ10" s="18" t="n"/>
      <c r="GK10" s="18" t="n"/>
      <c r="GL10" s="260" t="n"/>
      <c r="GM10" s="239" t="inlineStr">
        <is>
          <t>1400 DE CD</t>
        </is>
      </c>
      <c r="GN10" s="239" t="inlineStr">
        <is>
          <t>1000 DE CD</t>
        </is>
      </c>
      <c r="GO10" s="18" t="n"/>
      <c r="GP10" s="18" t="n">
        <v>600</v>
      </c>
      <c r="GQ10" s="18" t="n"/>
      <c r="GR10" s="18" t="n">
        <v>600</v>
      </c>
      <c r="GS10" s="18" t="n">
        <v>600</v>
      </c>
      <c r="GT10" s="18" t="n"/>
      <c r="GU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400</v>
      </c>
      <c r="E11" s="6" t="n"/>
      <c r="F11" s="38" t="n">
        <v>500</v>
      </c>
      <c r="G11" s="38">
        <f>500+GO11</f>
        <v/>
      </c>
      <c r="H11" s="38" t="n">
        <v>700</v>
      </c>
      <c r="I11" s="38" t="n">
        <v>700</v>
      </c>
      <c r="J11" s="38">
        <f>700+1000</f>
        <v/>
      </c>
      <c r="K11" s="38" t="n">
        <v>1700</v>
      </c>
      <c r="L11" s="38" t="n">
        <v>1600</v>
      </c>
      <c r="M11" s="38" t="n">
        <v>1700</v>
      </c>
      <c r="N11" s="38" t="n">
        <v>1600</v>
      </c>
      <c r="O11" s="38" t="n">
        <v>1600</v>
      </c>
      <c r="P11" s="38" t="n">
        <v>1500</v>
      </c>
      <c r="Q11" s="38" t="n">
        <v>1300</v>
      </c>
      <c r="R11" s="38" t="n">
        <v>1300</v>
      </c>
      <c r="S11" s="38" t="n">
        <v>1200</v>
      </c>
      <c r="T11" s="38" t="n">
        <v>1200</v>
      </c>
      <c r="U11" s="38" t="n">
        <v>1200</v>
      </c>
      <c r="V11" s="38" t="n">
        <v>1200</v>
      </c>
      <c r="W11" s="38" t="n">
        <v>1200</v>
      </c>
      <c r="X11" s="38" t="n">
        <v>1100</v>
      </c>
      <c r="Y11" s="38" t="n">
        <v>800</v>
      </c>
      <c r="Z11" s="38" t="n">
        <v>800</v>
      </c>
      <c r="AA11" s="38" t="n">
        <v>600</v>
      </c>
      <c r="AB11" s="38" t="n">
        <v>400</v>
      </c>
      <c r="AC11" s="38" t="n">
        <v>100</v>
      </c>
      <c r="AD11" s="38" t="n">
        <v>0</v>
      </c>
      <c r="AE11" s="38" t="n">
        <v>0</v>
      </c>
      <c r="AF11" s="38" t="n">
        <v>0</v>
      </c>
      <c r="AG11" s="38" t="n">
        <v>400</v>
      </c>
      <c r="AH11" s="38" t="n">
        <v>300</v>
      </c>
      <c r="AI11" s="38" t="n">
        <v>200</v>
      </c>
      <c r="AJ11" s="38" t="n">
        <v>300</v>
      </c>
      <c r="AK11" s="38" t="n">
        <v>100</v>
      </c>
      <c r="AL11" s="38" t="n">
        <v>400</v>
      </c>
      <c r="AM11" s="38" t="n">
        <v>200</v>
      </c>
      <c r="AN11" s="38" t="n">
        <v>600</v>
      </c>
      <c r="AO11" s="38" t="n">
        <v>600</v>
      </c>
      <c r="AP11" s="38" t="n">
        <v>500</v>
      </c>
      <c r="AQ11" s="38" t="n">
        <v>500</v>
      </c>
      <c r="AR11" s="38" t="n">
        <v>500</v>
      </c>
      <c r="AS11" s="38" t="n">
        <v>500</v>
      </c>
      <c r="AT11" s="38" t="n">
        <v>100</v>
      </c>
      <c r="AU11" s="38" t="n">
        <v>0</v>
      </c>
      <c r="AV11" s="38" t="n">
        <v>500</v>
      </c>
      <c r="AW11" s="38" t="n">
        <v>500</v>
      </c>
      <c r="AX11" s="38" t="n">
        <v>300</v>
      </c>
      <c r="AY11" s="38" t="n">
        <v>100</v>
      </c>
      <c r="AZ11" s="38">
        <f>300+DP11</f>
        <v/>
      </c>
      <c r="BA11" s="38">
        <f>500+DO11</f>
        <v/>
      </c>
      <c r="BB11" s="38" t="n">
        <v>500</v>
      </c>
      <c r="BC11" s="38">
        <f>400+DL11</f>
        <v/>
      </c>
      <c r="BD11" s="38">
        <f>600+DK11</f>
        <v/>
      </c>
      <c r="BE11" s="38" t="n">
        <v>500</v>
      </c>
      <c r="BF11" s="38" t="n">
        <v>200</v>
      </c>
      <c r="BG11" s="38" t="n">
        <v>200</v>
      </c>
      <c r="BH11" s="38" t="n">
        <v>900</v>
      </c>
      <c r="BI11" s="187">
        <f>900+700</f>
        <v/>
      </c>
      <c r="BJ11" s="187" t="n">
        <v>1600</v>
      </c>
      <c r="BK11" s="187">
        <f>1600+CY11</f>
        <v/>
      </c>
      <c r="BL11" s="187" t="n">
        <v>1800</v>
      </c>
      <c r="BM11" s="187" t="n">
        <v>1700</v>
      </c>
      <c r="BN11" s="187" t="n">
        <v>1500</v>
      </c>
      <c r="BO11" s="187">
        <f>1500+CT11</f>
        <v/>
      </c>
      <c r="BP11" s="187" t="n">
        <v>1100</v>
      </c>
      <c r="BQ11" s="187">
        <f>800+CP11</f>
        <v/>
      </c>
      <c r="BR11" s="187" t="n">
        <v>1900</v>
      </c>
      <c r="BS11" s="187" t="n">
        <v>1800</v>
      </c>
      <c r="BT11" s="187" t="n">
        <v>1800</v>
      </c>
      <c r="BU11" s="187" t="n">
        <v>1800</v>
      </c>
      <c r="BV11" s="187" t="n">
        <v>1700</v>
      </c>
      <c r="BW11" s="187" t="n">
        <v>1500</v>
      </c>
      <c r="BX11" s="187" t="n">
        <v>1000</v>
      </c>
      <c r="BY11" s="187" t="n">
        <v>300</v>
      </c>
      <c r="BZ11" s="187" t="n"/>
      <c r="CA11" s="187" t="n"/>
      <c r="CB11" s="187" t="n"/>
      <c r="CC11" s="422" t="n"/>
      <c r="CD11" s="422" t="n"/>
      <c r="CE11" s="422" t="n"/>
      <c r="CF11" s="188">
        <f>CD11+IF(NOT(ISBLANK(OFFSET(CF11,0,6))),N(OFFSET(CF11,0,6)),N(OFFSET(CF11,0,7)))-CE11</f>
        <v/>
      </c>
      <c r="CG11" s="6" t="n"/>
      <c r="CH11" s="19" t="n"/>
      <c r="CI11" s="19" t="n"/>
      <c r="CJ11" s="4" t="n"/>
      <c r="CK11" s="65" t="n"/>
      <c r="CL11" s="18" t="n">
        <v>0</v>
      </c>
      <c r="CM11" s="18" t="n">
        <v>0</v>
      </c>
      <c r="CN11" s="18" t="n">
        <v>0</v>
      </c>
      <c r="CO11" s="18" t="n"/>
      <c r="CP11" s="18" t="n"/>
      <c r="CQ11" s="403" t="n">
        <v>800</v>
      </c>
      <c r="CR11" s="18" t="n"/>
      <c r="CS11" s="18" t="n">
        <v>1200</v>
      </c>
      <c r="CT11" s="18" t="n"/>
      <c r="CU11" s="18" t="n"/>
      <c r="CV11" s="18" t="n"/>
      <c r="CW11" s="18" t="n">
        <v>800</v>
      </c>
      <c r="CX11" s="18" t="n"/>
      <c r="CY11" s="18" t="n"/>
      <c r="CZ11" s="18" t="n"/>
      <c r="DA11" s="18" t="n"/>
      <c r="DB11" s="18" t="n">
        <v>200</v>
      </c>
      <c r="DC11" s="18" t="n"/>
      <c r="DD11" s="154" t="inlineStr">
        <is>
          <t>200 DE ER MG + 500 DE ER PBE</t>
        </is>
      </c>
      <c r="DE11" s="18" t="n"/>
      <c r="DF11" s="18" t="n"/>
      <c r="DG11" s="18" t="n"/>
      <c r="DH11" s="18" t="n"/>
      <c r="DI11" s="18" t="n">
        <v>300</v>
      </c>
      <c r="DJ11" s="18" t="n">
        <v>400</v>
      </c>
      <c r="DK11" s="18" t="n"/>
      <c r="DL11" s="18" t="n"/>
      <c r="DM11" s="18" t="n"/>
      <c r="DN11" s="18" t="n">
        <v>200</v>
      </c>
      <c r="DO11" s="18" t="n">
        <v>200</v>
      </c>
      <c r="DP11" s="18" t="n"/>
      <c r="DQ11" s="18" t="n"/>
      <c r="DR11" s="18" t="n">
        <v>200</v>
      </c>
      <c r="DS11" s="18" t="n">
        <v>200</v>
      </c>
      <c r="DT11" s="18" t="n">
        <v>300</v>
      </c>
      <c r="DU11" s="18" t="n"/>
      <c r="DV11" s="18" t="n"/>
      <c r="DW11" s="18" t="n">
        <v>500</v>
      </c>
      <c r="DX11" s="18" t="n"/>
      <c r="DY11" s="256" t="n"/>
      <c r="DZ11" s="18" t="n"/>
      <c r="EA11" s="18" t="n"/>
      <c r="EB11" s="256" t="n"/>
      <c r="EC11" s="256" t="n"/>
      <c r="ED11" s="256" t="n"/>
      <c r="EE11" s="18" t="n"/>
      <c r="EF11" s="18" t="n"/>
      <c r="EG11" s="18" t="n"/>
      <c r="EH11" s="18" t="n"/>
      <c r="EI11" s="18" t="n"/>
      <c r="EJ11" s="376" t="inlineStr">
        <is>
          <t>60 DE CDP</t>
        </is>
      </c>
      <c r="EK11" s="18" t="n">
        <v>400</v>
      </c>
      <c r="EL11" s="18" t="n"/>
      <c r="EM11" s="18" t="n"/>
      <c r="EN11" s="18" t="n">
        <v>400</v>
      </c>
      <c r="EO11" s="18" t="n"/>
      <c r="EP11" s="18" t="n">
        <v>100</v>
      </c>
      <c r="EQ11" s="18" t="n">
        <v>100</v>
      </c>
      <c r="ER11" s="18" t="n"/>
      <c r="ES11" s="18" t="n"/>
      <c r="ET11" s="18" t="n"/>
      <c r="EU11" s="18" t="n"/>
      <c r="EV11" s="18" t="n">
        <v>400</v>
      </c>
      <c r="EW11" s="18" t="n"/>
      <c r="EX11" s="18" t="n"/>
      <c r="EY11" s="18" t="n"/>
      <c r="EZ11" s="18" t="n"/>
      <c r="FA11" s="18" t="n"/>
      <c r="FB11" s="18" t="n"/>
      <c r="FC11" s="18" t="n"/>
      <c r="FD11" s="18" t="n"/>
      <c r="FE11" s="18" t="n"/>
      <c r="FF11" s="18" t="n"/>
      <c r="FG11" s="256" t="n"/>
      <c r="FH11" s="256" t="n"/>
      <c r="FI11" s="18" t="n"/>
      <c r="FJ11" s="312" t="inlineStr">
        <is>
          <t>100 P/ CD</t>
        </is>
      </c>
      <c r="FK11" s="256" t="n"/>
      <c r="FL11" s="18" t="n"/>
      <c r="FM11" s="18" t="n"/>
      <c r="FN11" s="18" t="n"/>
      <c r="FO11" s="18" t="n"/>
      <c r="FP11" s="256" t="n">
        <v>260</v>
      </c>
      <c r="FQ11" s="256" t="n"/>
      <c r="FR11" s="18" t="n"/>
      <c r="FS11" s="18" t="n"/>
      <c r="FT11" s="18" t="n"/>
      <c r="FU11" s="18" t="n"/>
      <c r="FV11" s="18" t="n"/>
      <c r="FW11" s="18" t="n"/>
      <c r="FX11" s="18" t="n"/>
      <c r="FY11" s="18" t="n"/>
      <c r="FZ11" s="256" t="n"/>
      <c r="GA11" s="18" t="n"/>
      <c r="GB11" s="18" t="n"/>
      <c r="GC11" s="18" t="n"/>
      <c r="GD11" s="256" t="n">
        <v>800</v>
      </c>
      <c r="GE11" s="18" t="n"/>
      <c r="GF11" s="18" t="n"/>
      <c r="GG11" s="260" t="n"/>
      <c r="GH11" s="18" t="n"/>
      <c r="GI11" s="18" t="n"/>
      <c r="GJ11" s="18" t="n"/>
      <c r="GK11" s="18" t="n"/>
      <c r="GL11" s="260" t="n"/>
      <c r="GM11" s="239" t="inlineStr">
        <is>
          <t>1000 DE CD</t>
        </is>
      </c>
      <c r="GN11" s="18" t="n"/>
      <c r="GO11" s="18" t="n"/>
      <c r="GP11" s="18" t="n"/>
      <c r="GQ11" s="18" t="n"/>
      <c r="GR11" s="18" t="n">
        <v>200</v>
      </c>
      <c r="GS11" s="18" t="n"/>
      <c r="GT11" s="18" t="n"/>
      <c r="GU11" s="18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329" t="n">
        <v>1000</v>
      </c>
      <c r="E12" s="6" t="n"/>
      <c r="F12" s="38" t="n">
        <v>800</v>
      </c>
      <c r="G12" s="38">
        <f>800+GO12</f>
        <v/>
      </c>
      <c r="H12" s="38" t="n">
        <v>1200</v>
      </c>
      <c r="I12" s="38">
        <f>1000+200</f>
        <v/>
      </c>
      <c r="J12" s="38" t="n">
        <v>800</v>
      </c>
      <c r="K12" s="38">
        <f>600+GH12</f>
        <v/>
      </c>
      <c r="L12" s="38">
        <f>800+GF12</f>
        <v/>
      </c>
      <c r="M12" s="38" t="n">
        <v>1000</v>
      </c>
      <c r="N12" s="38" t="n">
        <v>1400</v>
      </c>
      <c r="O12" s="38" t="n">
        <v>2000</v>
      </c>
      <c r="P12" s="38" t="n">
        <v>1500</v>
      </c>
      <c r="Q12" s="38" t="n">
        <v>3000</v>
      </c>
      <c r="R12" s="38" t="n">
        <v>2600</v>
      </c>
      <c r="S12" s="38" t="n">
        <v>2400</v>
      </c>
      <c r="T12" s="38" t="n">
        <v>2400</v>
      </c>
      <c r="U12" s="38" t="n">
        <v>2000</v>
      </c>
      <c r="V12" s="38" t="n">
        <v>1800</v>
      </c>
      <c r="W12" s="38" t="n">
        <v>1400</v>
      </c>
      <c r="X12" s="38" t="n">
        <v>1400</v>
      </c>
      <c r="Y12" s="38" t="n">
        <v>800</v>
      </c>
      <c r="Z12" s="38" t="n">
        <v>400</v>
      </c>
      <c r="AA12" s="38" t="n">
        <v>1000</v>
      </c>
      <c r="AB12" s="38" t="n">
        <v>800</v>
      </c>
      <c r="AC12" s="38" t="n">
        <v>600</v>
      </c>
      <c r="AD12" s="38" t="n">
        <v>1000</v>
      </c>
      <c r="AE12" s="38" t="n">
        <v>1000</v>
      </c>
      <c r="AF12" s="38" t="n">
        <v>600</v>
      </c>
      <c r="AG12" s="38" t="n">
        <v>800</v>
      </c>
      <c r="AH12" s="38" t="n">
        <v>400</v>
      </c>
      <c r="AI12" s="38" t="n">
        <v>600</v>
      </c>
      <c r="AJ12" s="38" t="n">
        <v>1000</v>
      </c>
      <c r="AK12" s="38" t="n">
        <v>800</v>
      </c>
      <c r="AL12" s="38" t="n">
        <v>800</v>
      </c>
      <c r="AM12" s="38" t="n">
        <v>800</v>
      </c>
      <c r="AN12" s="38" t="n">
        <v>1000</v>
      </c>
      <c r="AO12" s="38" t="n">
        <v>400</v>
      </c>
      <c r="AP12" s="38" t="n">
        <v>0</v>
      </c>
      <c r="AQ12" s="38" t="n">
        <v>400</v>
      </c>
      <c r="AR12" s="38" t="n">
        <v>200</v>
      </c>
      <c r="AS12" s="38" t="n">
        <v>400</v>
      </c>
      <c r="AT12" s="38" t="n">
        <v>0</v>
      </c>
      <c r="AU12" s="187" t="n">
        <v>1000</v>
      </c>
      <c r="AV12" s="187" t="n">
        <v>800</v>
      </c>
      <c r="AW12" s="187" t="n">
        <v>400</v>
      </c>
      <c r="AX12" s="187" t="n">
        <v>400</v>
      </c>
      <c r="AY12" s="187" t="n">
        <v>0</v>
      </c>
      <c r="AZ12" s="187" t="n">
        <v>600</v>
      </c>
      <c r="BA12" s="187">
        <f>600+DO12</f>
        <v/>
      </c>
      <c r="BB12" s="187" t="n">
        <v>1000</v>
      </c>
      <c r="BC12" s="187">
        <f>800+DL12</f>
        <v/>
      </c>
      <c r="BD12" s="187" t="n">
        <v>600</v>
      </c>
      <c r="BE12" s="187" t="n">
        <v>400</v>
      </c>
      <c r="BF12" s="187" t="n">
        <v>0</v>
      </c>
      <c r="BG12" s="187" t="n">
        <v>0</v>
      </c>
      <c r="BH12" s="187" t="n">
        <v>1000</v>
      </c>
      <c r="BI12" s="187" t="n">
        <v>800</v>
      </c>
      <c r="BJ12" s="187" t="n">
        <v>800</v>
      </c>
      <c r="BK12" s="187">
        <f>600+CY12</f>
        <v/>
      </c>
      <c r="BL12" s="187" t="n">
        <v>800</v>
      </c>
      <c r="BM12" s="187" t="n">
        <v>400</v>
      </c>
      <c r="BN12" s="187" t="n">
        <v>600</v>
      </c>
      <c r="BO12" s="187">
        <f>400+CT12</f>
        <v/>
      </c>
      <c r="BP12" s="187" t="n">
        <v>400</v>
      </c>
      <c r="BQ12" s="187" t="n">
        <v>0</v>
      </c>
      <c r="BR12" s="187">
        <f>0+CO12</f>
        <v/>
      </c>
      <c r="BS12" s="187" t="n">
        <v>200</v>
      </c>
      <c r="BT12" s="187">
        <f>0+CL12</f>
        <v/>
      </c>
      <c r="BU12" s="187" t="n">
        <v>1000</v>
      </c>
      <c r="BV12" s="187" t="n">
        <v>800</v>
      </c>
      <c r="BW12" s="187" t="n">
        <v>400</v>
      </c>
      <c r="BX12" s="187" t="n">
        <v>0</v>
      </c>
      <c r="BY12" s="187">
        <f>0+CK12</f>
        <v/>
      </c>
      <c r="BZ12" s="187" t="n"/>
      <c r="CA12" s="187" t="n"/>
      <c r="CB12" s="187" t="n"/>
      <c r="CC12" s="422" t="n"/>
      <c r="CD12" s="422" t="n"/>
      <c r="CE12" s="422" t="n"/>
      <c r="CF12" s="188">
        <f>CD12+IF(NOT(ISBLANK(OFFSET(CF12,0,6))),N(OFFSET(CF12,0,6)),N(OFFSET(CF12,0,7)))-CE12</f>
        <v/>
      </c>
      <c r="CG12" s="6" t="n"/>
      <c r="CH12" s="19" t="n"/>
      <c r="CI12" s="19" t="n"/>
      <c r="CJ12" s="4" t="n"/>
      <c r="CK12" s="65" t="n"/>
      <c r="CL12" s="18" t="n">
        <v>0</v>
      </c>
      <c r="CM12" s="18" t="n">
        <v>0</v>
      </c>
      <c r="CN12" s="18" t="n">
        <v>400</v>
      </c>
      <c r="CO12" s="18" t="n">
        <v>1200</v>
      </c>
      <c r="CP12" s="18" t="n"/>
      <c r="CQ12" s="18" t="n"/>
      <c r="CR12" s="18" t="n">
        <v>800</v>
      </c>
      <c r="CS12" s="18" t="n"/>
      <c r="CT12" s="18" t="n"/>
      <c r="CU12" s="18" t="n">
        <v>400</v>
      </c>
      <c r="CV12" s="18" t="n"/>
      <c r="CW12" s="18" t="n">
        <v>400</v>
      </c>
      <c r="CX12" s="18" t="n"/>
      <c r="CY12" s="18" t="n">
        <v>400</v>
      </c>
      <c r="CZ12" s="18" t="n"/>
      <c r="DA12" s="18" t="n"/>
      <c r="DB12" s="18" t="n">
        <v>600</v>
      </c>
      <c r="DC12" s="18" t="n">
        <v>400</v>
      </c>
      <c r="DD12" s="18" t="n"/>
      <c r="DE12" s="18" t="n"/>
      <c r="DF12" s="18" t="n"/>
      <c r="DG12" s="18" t="n"/>
      <c r="DH12" s="18" t="n"/>
      <c r="DI12" s="18" t="n"/>
      <c r="DJ12" s="18" t="n"/>
      <c r="DK12" s="18" t="n">
        <v>1400</v>
      </c>
      <c r="DL12" s="18" t="n">
        <v>200</v>
      </c>
      <c r="DM12" s="18" t="n"/>
      <c r="DN12" s="18" t="n"/>
      <c r="DO12" s="18" t="n">
        <v>600</v>
      </c>
      <c r="DP12" s="18" t="n"/>
      <c r="DQ12" s="18" t="n"/>
      <c r="DR12" s="18" t="n">
        <v>1000</v>
      </c>
      <c r="DS12" s="18" t="n"/>
      <c r="DT12" s="18" t="n">
        <v>1000</v>
      </c>
      <c r="DU12" s="18" t="n">
        <v>600</v>
      </c>
      <c r="DV12" s="18" t="n"/>
      <c r="DW12" s="18" t="n"/>
      <c r="DX12" s="18" t="n">
        <v>1000</v>
      </c>
      <c r="DY12" s="356" t="n"/>
      <c r="DZ12" s="18" t="n"/>
      <c r="EA12" s="18" t="n">
        <v>1000</v>
      </c>
      <c r="EB12" s="256" t="n"/>
      <c r="EC12" s="256" t="n"/>
      <c r="ED12" s="256" t="n"/>
      <c r="EE12" s="18" t="n"/>
      <c r="EF12" s="18" t="n"/>
      <c r="EG12" s="18" t="n">
        <v>1000</v>
      </c>
      <c r="EH12" s="18" t="n"/>
      <c r="EI12" s="18" t="n"/>
      <c r="EJ12" s="376" t="inlineStr">
        <is>
          <t>60 DE CDP</t>
        </is>
      </c>
      <c r="EK12" s="18" t="n">
        <v>200</v>
      </c>
      <c r="EL12" s="18" t="n">
        <v>200</v>
      </c>
      <c r="EM12" s="18" t="n"/>
      <c r="EN12" s="18" t="n">
        <v>200</v>
      </c>
      <c r="EO12" s="18" t="n"/>
      <c r="EP12" s="18" t="n"/>
      <c r="EQ12" s="18" t="n">
        <v>800</v>
      </c>
      <c r="ER12" s="18" t="n"/>
      <c r="ES12" s="18" t="n"/>
      <c r="ET12" s="18" t="n">
        <v>200</v>
      </c>
      <c r="EU12" s="18" t="n"/>
      <c r="EV12" s="18" t="n">
        <v>400</v>
      </c>
      <c r="EW12" s="18" t="n"/>
      <c r="EX12" s="18" t="n"/>
      <c r="EY12" s="18" t="n"/>
      <c r="EZ12" s="18" t="n"/>
      <c r="FA12" s="18" t="n">
        <v>400</v>
      </c>
      <c r="FB12" s="18" t="n"/>
      <c r="FC12" s="18" t="n"/>
      <c r="FD12" s="18" t="n"/>
      <c r="FE12" s="18" t="n"/>
      <c r="FF12" s="18" t="n">
        <v>800</v>
      </c>
      <c r="FG12" s="18" t="n"/>
      <c r="FH12" s="256" t="n"/>
      <c r="FI12" s="18" t="n"/>
      <c r="FJ12" s="18" t="n"/>
      <c r="FK12" s="256" t="n"/>
      <c r="FL12" s="18" t="n"/>
      <c r="FM12" s="18" t="n"/>
      <c r="FN12" s="18" t="n"/>
      <c r="FO12" s="18" t="n"/>
      <c r="FP12" s="18" t="n"/>
      <c r="FQ12" s="256" t="n"/>
      <c r="FR12" s="18" t="n"/>
      <c r="FS12" s="18" t="n"/>
      <c r="FT12" s="18" t="n"/>
      <c r="FU12" s="18" t="n"/>
      <c r="FV12" s="18" t="n"/>
      <c r="FW12" s="18" t="n"/>
      <c r="FX12" s="18" t="n"/>
      <c r="FY12" s="18" t="n"/>
      <c r="FZ12" s="256" t="n"/>
      <c r="GA12" s="18" t="n">
        <v>2000</v>
      </c>
      <c r="GB12" s="18" t="n"/>
      <c r="GC12" s="18" t="n">
        <v>1000</v>
      </c>
      <c r="GD12" s="256" t="n"/>
      <c r="GE12" s="18" t="n"/>
      <c r="GF12" s="18" t="n">
        <v>600</v>
      </c>
      <c r="GG12" s="260" t="n"/>
      <c r="GH12" s="18" t="n"/>
      <c r="GI12" s="18" t="n">
        <v>400</v>
      </c>
      <c r="GJ12" s="18" t="n"/>
      <c r="GK12" s="18" t="n">
        <v>600</v>
      </c>
      <c r="GL12" s="260" t="n"/>
      <c r="GM12" s="260" t="n"/>
      <c r="GN12" s="239" t="inlineStr">
        <is>
          <t>200 DE CD</t>
        </is>
      </c>
      <c r="GO12" s="18" t="n"/>
      <c r="GP12" s="18" t="n">
        <v>600</v>
      </c>
      <c r="GQ12" s="18" t="n"/>
      <c r="GR12" s="18" t="n">
        <v>400</v>
      </c>
      <c r="GS12" s="18" t="n">
        <v>400</v>
      </c>
      <c r="GT12" s="18" t="n"/>
      <c r="GU12" s="18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329" t="n">
        <v>600</v>
      </c>
      <c r="E13" s="6" t="n"/>
      <c r="F13" s="38" t="n">
        <v>500</v>
      </c>
      <c r="G13" s="38">
        <f>800+GO13</f>
        <v/>
      </c>
      <c r="H13" s="38" t="n">
        <v>900</v>
      </c>
      <c r="I13" s="38">
        <f>600+100</f>
        <v/>
      </c>
      <c r="J13" s="38" t="n">
        <v>600</v>
      </c>
      <c r="K13" s="38">
        <f>600+GH13</f>
        <v/>
      </c>
      <c r="L13" s="38" t="n">
        <v>400</v>
      </c>
      <c r="M13" s="38" t="n">
        <v>300</v>
      </c>
      <c r="N13" s="38" t="n">
        <v>900</v>
      </c>
      <c r="O13" s="38" t="n">
        <v>1000</v>
      </c>
      <c r="P13" s="38" t="n">
        <v>700</v>
      </c>
      <c r="Q13" s="38" t="n">
        <v>1000</v>
      </c>
      <c r="R13" s="38" t="n">
        <v>800</v>
      </c>
      <c r="S13" s="38" t="n">
        <v>600</v>
      </c>
      <c r="T13" s="38" t="n">
        <v>700</v>
      </c>
      <c r="U13" s="38" t="n">
        <v>500</v>
      </c>
      <c r="V13" s="38" t="n">
        <v>500</v>
      </c>
      <c r="W13" s="38" t="n">
        <v>400</v>
      </c>
      <c r="X13" s="38" t="n">
        <v>600</v>
      </c>
      <c r="Y13" s="38" t="n">
        <v>500</v>
      </c>
      <c r="Z13" s="38" t="n">
        <v>300</v>
      </c>
      <c r="AA13" s="38" t="n">
        <v>500</v>
      </c>
      <c r="AB13" s="38" t="n">
        <v>500</v>
      </c>
      <c r="AC13" s="38" t="n">
        <v>500</v>
      </c>
      <c r="AD13" s="38" t="n">
        <v>400</v>
      </c>
      <c r="AE13" s="38" t="n">
        <v>200</v>
      </c>
      <c r="AF13" s="38" t="n">
        <v>100</v>
      </c>
      <c r="AG13" s="38" t="n">
        <v>600</v>
      </c>
      <c r="AH13" s="38" t="n">
        <v>600</v>
      </c>
      <c r="AI13" s="38" t="n">
        <v>400</v>
      </c>
      <c r="AJ13" s="38" t="n">
        <v>500</v>
      </c>
      <c r="AK13" s="38" t="n">
        <v>400</v>
      </c>
      <c r="AL13" s="38" t="n">
        <v>400</v>
      </c>
      <c r="AM13" s="38" t="n">
        <v>500</v>
      </c>
      <c r="AN13" s="38" t="n">
        <v>500</v>
      </c>
      <c r="AO13" s="38" t="n">
        <v>300</v>
      </c>
      <c r="AP13" s="38" t="n">
        <v>200</v>
      </c>
      <c r="AQ13" s="38" t="n">
        <v>600</v>
      </c>
      <c r="AR13" s="38" t="n">
        <v>500</v>
      </c>
      <c r="AS13" s="38">
        <f>500+DW13</f>
        <v/>
      </c>
      <c r="AT13" s="38" t="n">
        <v>100</v>
      </c>
      <c r="AU13" s="38" t="n">
        <v>0</v>
      </c>
      <c r="AV13" s="38" t="n">
        <v>400</v>
      </c>
      <c r="AW13" s="38" t="n">
        <v>300</v>
      </c>
      <c r="AX13" s="38" t="n">
        <v>100</v>
      </c>
      <c r="AY13" s="38" t="n">
        <v>0</v>
      </c>
      <c r="AZ13" s="38" t="n">
        <v>500</v>
      </c>
      <c r="BA13" s="38">
        <f>400+DO13</f>
        <v/>
      </c>
      <c r="BB13" s="38" t="n">
        <v>200</v>
      </c>
      <c r="BC13" s="38">
        <f>100+DL13</f>
        <v/>
      </c>
      <c r="BD13" s="38">
        <f>700+DK13</f>
        <v/>
      </c>
      <c r="BE13" s="38" t="n">
        <v>500</v>
      </c>
      <c r="BF13" s="38" t="n">
        <v>200</v>
      </c>
      <c r="BG13" s="38" t="n">
        <v>0</v>
      </c>
      <c r="BH13" s="38" t="n">
        <v>200</v>
      </c>
      <c r="BI13" s="187">
        <f>1600+500</f>
        <v/>
      </c>
      <c r="BJ13" s="187" t="n">
        <v>1800</v>
      </c>
      <c r="BK13" s="187" t="n">
        <v>1800</v>
      </c>
      <c r="BL13" s="187" t="n">
        <v>1700</v>
      </c>
      <c r="BM13" s="187" t="n">
        <v>1600</v>
      </c>
      <c r="BN13" s="187" t="n">
        <v>1400</v>
      </c>
      <c r="BO13" s="187" t="n">
        <v>1300</v>
      </c>
      <c r="BP13" s="187" t="n">
        <v>1000</v>
      </c>
      <c r="BQ13" s="187" t="n">
        <v>800</v>
      </c>
      <c r="BR13" s="187" t="n">
        <v>500</v>
      </c>
      <c r="BS13" s="187">
        <f>500+CM13</f>
        <v/>
      </c>
      <c r="BT13" s="187" t="n">
        <v>700</v>
      </c>
      <c r="BU13" s="187" t="n">
        <v>700</v>
      </c>
      <c r="BV13" s="187" t="n">
        <v>700</v>
      </c>
      <c r="BW13" s="187" t="n">
        <v>200</v>
      </c>
      <c r="BX13" s="187" t="n">
        <v>0</v>
      </c>
      <c r="BY13" s="187">
        <f>0+CK13</f>
        <v/>
      </c>
      <c r="BZ13" s="187" t="n"/>
      <c r="CA13" s="187" t="n"/>
      <c r="CB13" s="187" t="n"/>
      <c r="CC13" s="422" t="n"/>
      <c r="CD13" s="422" t="n"/>
      <c r="CE13" s="422" t="n"/>
      <c r="CF13" s="188">
        <f>CD13+IF(NOT(ISBLANK(OFFSET(CF13,0,6))),N(OFFSET(CF13,0,6)),N(OFFSET(CF13,0,7)))-CE13</f>
        <v/>
      </c>
      <c r="CG13" s="6" t="n"/>
      <c r="CH13" s="19" t="n"/>
      <c r="CI13" s="19" t="n"/>
      <c r="CJ13" s="4" t="n"/>
      <c r="CK13" s="65" t="n"/>
      <c r="CL13" s="18" t="n">
        <v>0</v>
      </c>
      <c r="CM13" s="18" t="n">
        <v>0</v>
      </c>
      <c r="CN13" s="18" t="n">
        <v>200</v>
      </c>
      <c r="CO13" s="18" t="n"/>
      <c r="CP13" s="18" t="n">
        <v>500</v>
      </c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8" t="n"/>
      <c r="DA13" s="18" t="n"/>
      <c r="DB13" s="18" t="n"/>
      <c r="DC13" s="18" t="n"/>
      <c r="DD13" s="154" t="inlineStr">
        <is>
          <t xml:space="preserve">500 DE ER MG </t>
        </is>
      </c>
      <c r="DE13" s="18" t="n"/>
      <c r="DF13" s="18" t="n">
        <v>600</v>
      </c>
      <c r="DG13" s="18" t="n"/>
      <c r="DH13" s="18" t="n">
        <v>800</v>
      </c>
      <c r="DI13" s="18" t="n">
        <v>300</v>
      </c>
      <c r="DJ13" s="18" t="n"/>
      <c r="DK13" s="18" t="n"/>
      <c r="DL13" s="18" t="n"/>
      <c r="DM13" s="18" t="n"/>
      <c r="DN13" s="18" t="n">
        <v>100</v>
      </c>
      <c r="DO13" s="18" t="n">
        <v>700</v>
      </c>
      <c r="DP13" s="18" t="n"/>
      <c r="DQ13" s="18" t="n"/>
      <c r="DR13" s="18" t="n">
        <v>100</v>
      </c>
      <c r="DS13" s="18" t="n"/>
      <c r="DT13" s="18" t="n">
        <v>600</v>
      </c>
      <c r="DU13" s="18" t="n">
        <v>200</v>
      </c>
      <c r="DV13" s="18" t="n"/>
      <c r="DW13" s="18" t="n">
        <v>600</v>
      </c>
      <c r="DX13" s="18" t="n"/>
      <c r="DY13" s="356" t="n"/>
      <c r="DZ13" s="18" t="n">
        <v>100</v>
      </c>
      <c r="EA13" s="18" t="n"/>
      <c r="EB13" s="256" t="n"/>
      <c r="EC13" s="256" t="n"/>
      <c r="ED13" s="256" t="n"/>
      <c r="EE13" s="18" t="n"/>
      <c r="EF13" s="18" t="n"/>
      <c r="EG13" s="18" t="n">
        <v>600</v>
      </c>
      <c r="EH13" s="18" t="n"/>
      <c r="EI13" s="18" t="n"/>
      <c r="EJ13" s="376" t="inlineStr">
        <is>
          <t>50 DE CDP</t>
        </is>
      </c>
      <c r="EK13" s="18" t="n">
        <v>100</v>
      </c>
      <c r="EL13" s="18" t="n">
        <v>200</v>
      </c>
      <c r="EM13" s="18" t="n"/>
      <c r="EN13" s="18" t="n">
        <v>200</v>
      </c>
      <c r="EO13" s="18" t="n"/>
      <c r="EP13" s="18" t="n">
        <v>200</v>
      </c>
      <c r="EQ13" s="18" t="n"/>
      <c r="ER13" s="18" t="n"/>
      <c r="ES13" s="18" t="n"/>
      <c r="ET13" s="18" t="n"/>
      <c r="EU13" s="18" t="n"/>
      <c r="EV13" s="18" t="n">
        <v>500</v>
      </c>
      <c r="EW13" s="18" t="n"/>
      <c r="EX13" s="18" t="n"/>
      <c r="EY13" s="18" t="n">
        <v>200</v>
      </c>
      <c r="EZ13" s="18" t="n"/>
      <c r="FA13" s="18" t="n"/>
      <c r="FB13" s="18" t="n"/>
      <c r="FC13" s="18" t="n"/>
      <c r="FD13" s="18" t="n"/>
      <c r="FE13" s="18" t="n"/>
      <c r="FF13" s="18" t="n">
        <v>200</v>
      </c>
      <c r="FG13" s="18" t="n"/>
      <c r="FH13" s="256" t="n"/>
      <c r="FI13" s="18" t="n"/>
      <c r="FJ13" s="18" t="n"/>
      <c r="FK13" s="256" t="n"/>
      <c r="FL13" s="18" t="n"/>
      <c r="FM13" s="18" t="n"/>
      <c r="FN13" s="18" t="n"/>
      <c r="FO13" s="18" t="n"/>
      <c r="FP13" s="18" t="n"/>
      <c r="FQ13" s="256" t="n"/>
      <c r="FR13" s="18" t="n">
        <v>200</v>
      </c>
      <c r="FS13" s="18" t="n"/>
      <c r="FT13" s="18" t="n">
        <v>200</v>
      </c>
      <c r="FU13" s="18" t="n">
        <v>200</v>
      </c>
      <c r="FV13" s="18" t="n"/>
      <c r="FW13" s="18" t="n"/>
      <c r="FX13" s="18" t="n"/>
      <c r="FY13" s="18" t="n">
        <v>200</v>
      </c>
      <c r="FZ13" s="256" t="n"/>
      <c r="GA13" s="18" t="n">
        <v>600</v>
      </c>
      <c r="GB13" s="18" t="n"/>
      <c r="GC13" s="18" t="n">
        <v>200</v>
      </c>
      <c r="GD13" s="256" t="n"/>
      <c r="GE13" s="18" t="n"/>
      <c r="GF13" s="18" t="n">
        <v>600</v>
      </c>
      <c r="GG13" s="260" t="n"/>
      <c r="GH13" s="18" t="n"/>
      <c r="GI13" s="18" t="n"/>
      <c r="GJ13" s="18" t="n"/>
      <c r="GK13" s="18" t="n">
        <v>200</v>
      </c>
      <c r="GL13" s="260" t="n"/>
      <c r="GM13" s="260" t="n"/>
      <c r="GN13" s="239" t="inlineStr">
        <is>
          <t>100 DE CD</t>
        </is>
      </c>
      <c r="GO13" s="18" t="n"/>
      <c r="GP13" s="18" t="n"/>
      <c r="GQ13" s="18" t="n"/>
      <c r="GR13" s="18" t="n">
        <v>200</v>
      </c>
      <c r="GS13" s="18" t="n">
        <v>300</v>
      </c>
      <c r="GT13" s="18" t="n"/>
      <c r="GU13" s="18" t="n"/>
    </row>
    <row r="14" ht="18.75" customHeight="1">
      <c r="CF14" s="53" t="n"/>
      <c r="CH14" s="69" t="n"/>
      <c r="CI14" s="69" t="n"/>
      <c r="DY14" s="17" t="n"/>
      <c r="EB14" s="314" t="n"/>
      <c r="EC14" s="314" t="n"/>
      <c r="ED14" s="314" t="n"/>
      <c r="FH14" s="271" t="n"/>
      <c r="FK14" s="271" t="n"/>
      <c r="FQ14" s="271" t="n"/>
      <c r="FZ14" s="271" t="n"/>
      <c r="GD14" s="271" t="n"/>
    </row>
    <row r="15" ht="18.75" customFormat="1" customHeight="1" s="3">
      <c r="A15" s="32" t="inlineStr">
        <is>
          <t>DIVERSOS DOADOS E. R. BOTICÁRIO</t>
        </is>
      </c>
      <c r="B15" s="575" t="inlineStr">
        <is>
          <t>PC</t>
        </is>
      </c>
      <c r="C15" s="575" t="inlineStr">
        <is>
          <t>R$</t>
        </is>
      </c>
      <c r="D15" s="575" t="n"/>
      <c r="E15" s="642" t="n"/>
      <c r="F15" s="650" t="n">
        <v>46021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>
        <v>45999</v>
      </c>
      <c r="BD15" s="650" t="n">
        <v>46006</v>
      </c>
      <c r="BE15" s="650" t="n">
        <v>46013</v>
      </c>
      <c r="BF15" s="650" t="n">
        <v>46020</v>
      </c>
      <c r="BG15" s="650" t="n">
        <v>46027</v>
      </c>
      <c r="BH15" s="650" t="n">
        <v>46034</v>
      </c>
      <c r="BI15" s="650" t="n">
        <v>46041</v>
      </c>
      <c r="BJ15" s="650" t="n">
        <v>46048</v>
      </c>
      <c r="BK15" s="650" t="n">
        <v>46055</v>
      </c>
      <c r="BL15" s="650" t="n">
        <v>46062</v>
      </c>
      <c r="BM15" s="650" t="n">
        <v>46069</v>
      </c>
      <c r="BN15" s="650" t="n">
        <v>46076</v>
      </c>
      <c r="BO15" s="650" t="n">
        <v>46083</v>
      </c>
      <c r="BP15" s="650" t="n">
        <v>46090</v>
      </c>
      <c r="BQ15" s="650" t="n">
        <v>46097</v>
      </c>
      <c r="BR15" s="650" t="n">
        <v>46104</v>
      </c>
      <c r="BS15" s="650" t="n">
        <v>46111</v>
      </c>
      <c r="BT15" s="650" t="n">
        <v>46118</v>
      </c>
      <c r="BU15" s="650" t="n">
        <v>46125</v>
      </c>
      <c r="BV15" s="650" t="n">
        <v>46132</v>
      </c>
      <c r="BW15" s="650" t="n">
        <v>46139</v>
      </c>
      <c r="BX15" s="650" t="n">
        <v>46146</v>
      </c>
      <c r="BY15" s="650" t="n">
        <v>46154</v>
      </c>
      <c r="BZ15" s="650" t="n">
        <v>46160</v>
      </c>
      <c r="CA15" s="650" t="n">
        <v>46160</v>
      </c>
      <c r="CB15" s="650" t="n">
        <v>46160</v>
      </c>
      <c r="CC15" s="651" t="n">
        <v>46161.48004043981</v>
      </c>
      <c r="CD15" s="651" t="n">
        <v>46161.48071866898</v>
      </c>
      <c r="CE15" s="651" t="n">
        <v>46161.48287732771</v>
      </c>
      <c r="CF15" s="652" t="inlineStr">
        <is>
          <t>USOU</t>
        </is>
      </c>
      <c r="CG15" s="6" t="n"/>
      <c r="CH15" s="413" t="inlineStr">
        <is>
          <t>TRANSFERÊNCIA</t>
        </is>
      </c>
      <c r="CI15" s="35" t="inlineStr">
        <is>
          <t>Pend.</t>
        </is>
      </c>
      <c r="CJ15" s="653" t="n"/>
      <c r="CK15" s="12" t="inlineStr">
        <is>
          <t>Novo Pedido</t>
        </is>
      </c>
      <c r="CL15" s="716" t="n">
        <v>46161.48287614354</v>
      </c>
      <c r="CM15" s="654" t="n"/>
      <c r="CN15" s="654" t="n">
        <v>46149</v>
      </c>
      <c r="CO15" s="654" t="n">
        <v>46114</v>
      </c>
      <c r="CP15" s="654" t="n">
        <v>46107</v>
      </c>
      <c r="CQ15" s="710" t="n">
        <v>46065</v>
      </c>
      <c r="CR15" s="654" t="n">
        <v>46099</v>
      </c>
      <c r="CS15" s="654" t="n">
        <v>46092</v>
      </c>
      <c r="CT15" s="711" t="n">
        <v>46045</v>
      </c>
      <c r="CU15" s="654" t="n">
        <v>46084</v>
      </c>
      <c r="CV15" s="655" t="n">
        <v>46084</v>
      </c>
      <c r="CW15" s="654" t="n">
        <v>46077</v>
      </c>
      <c r="CX15" s="655" t="n">
        <v>46077</v>
      </c>
      <c r="CY15" s="654" t="n">
        <v>46071</v>
      </c>
      <c r="CZ15" s="654" t="n">
        <v>46048</v>
      </c>
      <c r="DA15" s="654" t="n">
        <v>46043</v>
      </c>
      <c r="DB15" s="654" t="n">
        <v>46035</v>
      </c>
      <c r="DC15" s="654" t="n">
        <v>46029</v>
      </c>
      <c r="DD15" s="655" t="n">
        <v>46043</v>
      </c>
      <c r="DE15" s="654" t="n">
        <v>46024</v>
      </c>
      <c r="DF15" s="654" t="n">
        <v>46029</v>
      </c>
      <c r="DG15" s="654" t="n">
        <v>46024</v>
      </c>
      <c r="DH15" s="654" t="n">
        <v>46372</v>
      </c>
      <c r="DI15" s="654" t="n">
        <v>46024</v>
      </c>
      <c r="DJ15" s="654" t="n">
        <v>46017</v>
      </c>
      <c r="DK15" s="654" t="n">
        <v>46007</v>
      </c>
      <c r="DL15" s="654" t="n">
        <v>46001</v>
      </c>
      <c r="DM15" s="654" t="n">
        <v>46007</v>
      </c>
      <c r="DN15" s="654" t="n">
        <v>46001</v>
      </c>
      <c r="DO15" s="654" t="n">
        <v>45994</v>
      </c>
      <c r="DP15" s="654" t="n">
        <v>45986</v>
      </c>
      <c r="DQ15" s="654" t="n">
        <v>45980</v>
      </c>
      <c r="DR15" s="654" t="n">
        <v>45980</v>
      </c>
      <c r="DS15" s="654" t="n">
        <v>45973</v>
      </c>
      <c r="DT15" s="654" t="n">
        <v>45965</v>
      </c>
      <c r="DU15" s="654" t="n">
        <v>45960</v>
      </c>
      <c r="DV15" s="654" t="n">
        <v>45945</v>
      </c>
      <c r="DW15" s="654" t="n">
        <v>45939</v>
      </c>
      <c r="DX15" s="654" t="n">
        <v>45931</v>
      </c>
      <c r="DY15" s="678" t="n">
        <v>45903</v>
      </c>
      <c r="DZ15" s="654" t="n">
        <v>45923</v>
      </c>
      <c r="EA15" s="654" t="n">
        <v>45915</v>
      </c>
      <c r="EB15" s="655" t="n">
        <v>45931</v>
      </c>
      <c r="EC15" s="688" t="n">
        <v>45931</v>
      </c>
      <c r="ED15" s="688" t="n">
        <v>45931</v>
      </c>
      <c r="EE15" s="654" t="n">
        <v>45903</v>
      </c>
      <c r="EF15" s="654" t="n">
        <v>45909</v>
      </c>
      <c r="EG15" s="654" t="n">
        <v>45903</v>
      </c>
      <c r="EH15" s="654" t="n">
        <v>45903</v>
      </c>
      <c r="EI15" s="654" t="n">
        <v>45895</v>
      </c>
      <c r="EJ15" s="679" t="n">
        <v>45896</v>
      </c>
      <c r="EK15" s="654" t="n">
        <v>45888</v>
      </c>
      <c r="EL15" s="654" t="n">
        <v>45881</v>
      </c>
      <c r="EM15" s="655" t="n">
        <v>45882</v>
      </c>
      <c r="EN15" s="654" t="n">
        <v>45874</v>
      </c>
      <c r="EO15" s="654" t="n">
        <v>45867</v>
      </c>
      <c r="EP15" s="654" t="n">
        <v>45860</v>
      </c>
      <c r="EQ15" s="654" t="n">
        <v>45853</v>
      </c>
      <c r="ER15" s="655" t="n">
        <v>45860</v>
      </c>
      <c r="ES15" s="681" t="n">
        <v>45855</v>
      </c>
      <c r="ET15" s="654" t="n">
        <v>45848</v>
      </c>
      <c r="EU15" s="681" t="n">
        <v>45853</v>
      </c>
      <c r="EV15" s="654" t="n">
        <v>45839</v>
      </c>
      <c r="EW15" s="681" t="n">
        <v>45791</v>
      </c>
      <c r="EX15" s="654" t="n">
        <v>45832</v>
      </c>
      <c r="EY15" s="654" t="n">
        <v>45825</v>
      </c>
      <c r="EZ15" s="655" t="n">
        <v>45826</v>
      </c>
      <c r="FA15" s="654" t="n">
        <v>45819</v>
      </c>
      <c r="FB15" s="655" t="n">
        <v>45819</v>
      </c>
      <c r="FC15" s="655" t="n">
        <v>45818</v>
      </c>
      <c r="FD15" s="655" t="n">
        <v>45807</v>
      </c>
      <c r="FE15" s="654" t="n">
        <v>45790</v>
      </c>
      <c r="FF15" s="654" t="n">
        <v>45798</v>
      </c>
      <c r="FG15" s="690" t="n">
        <v>45800</v>
      </c>
      <c r="FH15" s="650" t="n">
        <v>45799</v>
      </c>
      <c r="FI15" s="655" t="n">
        <v>45799</v>
      </c>
      <c r="FJ15" s="690" t="n">
        <v>45799</v>
      </c>
      <c r="FK15" s="650" t="n">
        <v>45798</v>
      </c>
      <c r="FL15" s="655" t="n">
        <v>45798</v>
      </c>
      <c r="FM15" s="655" t="n">
        <v>45797</v>
      </c>
      <c r="FN15" s="655" t="n">
        <v>45794</v>
      </c>
      <c r="FO15" s="654" t="n">
        <v>45790</v>
      </c>
      <c r="FP15" s="683" t="n">
        <v>45735</v>
      </c>
      <c r="FQ15" s="650" t="n">
        <v>45786</v>
      </c>
      <c r="FR15" s="654" t="n">
        <v>45783</v>
      </c>
      <c r="FS15" s="654" t="n">
        <v>45770</v>
      </c>
      <c r="FT15" s="654" t="n">
        <v>45775</v>
      </c>
      <c r="FU15" s="654" t="n">
        <v>45770</v>
      </c>
      <c r="FV15" s="655" t="n">
        <v>45775</v>
      </c>
      <c r="FW15" s="654" t="n">
        <v>45756</v>
      </c>
      <c r="FX15" s="654" t="n">
        <v>45749</v>
      </c>
      <c r="FY15" s="654" t="n">
        <v>45743</v>
      </c>
      <c r="FZ15" s="650" t="n">
        <v>45740</v>
      </c>
      <c r="GA15" s="654" t="n">
        <v>45728</v>
      </c>
      <c r="GB15" s="654" t="n">
        <v>45714</v>
      </c>
      <c r="GC15" s="654" t="n">
        <v>45706</v>
      </c>
      <c r="GD15" s="650" t="n">
        <v>45700</v>
      </c>
      <c r="GE15" s="654" t="n">
        <v>45706</v>
      </c>
      <c r="GF15" s="654" t="n">
        <v>45699</v>
      </c>
      <c r="GG15" s="655" t="n">
        <v>45706</v>
      </c>
      <c r="GH15" s="654" t="n">
        <v>45693</v>
      </c>
      <c r="GI15" s="654" t="n">
        <v>45693</v>
      </c>
      <c r="GJ15" s="654" t="n">
        <v>45685</v>
      </c>
      <c r="GK15" s="654" t="n">
        <v>45685</v>
      </c>
      <c r="GL15" s="712" t="n">
        <v>45692</v>
      </c>
      <c r="GM15" s="655" t="n">
        <v>45691</v>
      </c>
      <c r="GN15" s="655" t="n">
        <v>45681</v>
      </c>
      <c r="GO15" s="655" t="n">
        <v>45672</v>
      </c>
      <c r="GP15" s="654" t="n">
        <v>45664</v>
      </c>
      <c r="GQ15" s="654" t="n">
        <v>45660</v>
      </c>
      <c r="GR15" s="654" t="n">
        <v>45660</v>
      </c>
      <c r="GS15" s="654" t="n">
        <v>46017</v>
      </c>
      <c r="GT15" s="654" t="n">
        <v>45643</v>
      </c>
      <c r="GU15" s="654" t="n">
        <v>45638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2" t="n">
        <v>99.26000000000001</v>
      </c>
      <c r="D16" s="329" t="n">
        <v>2</v>
      </c>
      <c r="E16" s="2" t="n"/>
      <c r="F16" s="38" t="n">
        <v>21</v>
      </c>
      <c r="G16" s="38" t="n">
        <v>21</v>
      </c>
      <c r="H16" s="38" t="n">
        <v>21</v>
      </c>
      <c r="I16" s="38" t="n">
        <v>21</v>
      </c>
      <c r="J16" s="38" t="n">
        <v>20</v>
      </c>
      <c r="K16" s="38" t="n">
        <v>20</v>
      </c>
      <c r="L16" s="38" t="n">
        <v>20</v>
      </c>
      <c r="M16" s="38" t="n">
        <v>20</v>
      </c>
      <c r="N16" s="38" t="n">
        <v>20</v>
      </c>
      <c r="O16" s="38" t="n">
        <v>19</v>
      </c>
      <c r="P16" s="38" t="n">
        <v>18</v>
      </c>
      <c r="Q16" s="38" t="n">
        <v>18</v>
      </c>
      <c r="R16" s="38" t="n">
        <v>18</v>
      </c>
      <c r="S16" s="38" t="n">
        <v>18</v>
      </c>
      <c r="T16" s="38" t="n">
        <v>18</v>
      </c>
      <c r="U16" s="38" t="n">
        <v>18</v>
      </c>
      <c r="V16" s="38" t="n">
        <v>18</v>
      </c>
      <c r="W16" s="38" t="n">
        <v>18</v>
      </c>
      <c r="X16" s="38" t="n">
        <v>18</v>
      </c>
      <c r="Y16" s="38">
        <f>16-8-4</f>
        <v/>
      </c>
      <c r="Z16" s="38" t="n">
        <v>1</v>
      </c>
      <c r="AA16" s="38" t="n">
        <v>2</v>
      </c>
      <c r="AB16" s="38" t="n">
        <v>2</v>
      </c>
      <c r="AC16" s="38" t="n">
        <v>2</v>
      </c>
      <c r="AD16" s="38" t="n">
        <v>0</v>
      </c>
      <c r="AE16" s="38" t="n">
        <v>0</v>
      </c>
      <c r="AF16" s="38" t="n">
        <v>3</v>
      </c>
      <c r="AG16" s="38" t="n">
        <v>3</v>
      </c>
      <c r="AH16" s="38" t="n">
        <v>3</v>
      </c>
      <c r="AI16" s="38" t="n">
        <v>2</v>
      </c>
      <c r="AJ16" s="38" t="n">
        <v>2</v>
      </c>
      <c r="AK16" s="38" t="n">
        <v>2</v>
      </c>
      <c r="AL16" s="38" t="n">
        <v>0</v>
      </c>
      <c r="AM16" s="38" t="n">
        <v>2</v>
      </c>
      <c r="AN16" s="38" t="n">
        <v>2</v>
      </c>
      <c r="AO16" s="38" t="n">
        <v>2</v>
      </c>
      <c r="AP16" s="38" t="n">
        <v>2</v>
      </c>
      <c r="AQ16" s="38" t="n">
        <v>0</v>
      </c>
      <c r="AR16" s="38" t="n">
        <v>0</v>
      </c>
      <c r="AS16" s="38" t="n">
        <v>0</v>
      </c>
      <c r="AT16" s="38" t="n">
        <v>0</v>
      </c>
      <c r="AU16" s="38" t="n">
        <v>7</v>
      </c>
      <c r="AV16" s="38" t="n">
        <v>6</v>
      </c>
      <c r="AW16" s="38" t="n">
        <v>6</v>
      </c>
      <c r="AX16" s="38" t="n">
        <v>5</v>
      </c>
      <c r="AY16" s="38" t="n">
        <v>5</v>
      </c>
      <c r="AZ16" s="38" t="n">
        <v>5</v>
      </c>
      <c r="BA16" s="38" t="n">
        <v>5</v>
      </c>
      <c r="BB16" s="38" t="n">
        <v>3</v>
      </c>
      <c r="BC16" s="38">
        <f>3+DL16</f>
        <v/>
      </c>
      <c r="BD16" s="38" t="n">
        <v>3</v>
      </c>
      <c r="BE16" s="38">
        <f>3+DJ16</f>
        <v/>
      </c>
      <c r="BF16" s="38" t="n">
        <v>3</v>
      </c>
      <c r="BG16" s="38" t="n">
        <v>0</v>
      </c>
      <c r="BH16" s="38">
        <f>4+DF16</f>
        <v/>
      </c>
      <c r="BI16" s="38">
        <f>14+4</f>
        <v/>
      </c>
      <c r="BJ16" s="38" t="n">
        <v>18</v>
      </c>
      <c r="BK16" s="38" t="n">
        <v>16</v>
      </c>
      <c r="BL16" s="38" t="n">
        <v>15</v>
      </c>
      <c r="BM16" s="38" t="n">
        <v>15</v>
      </c>
      <c r="BN16" s="38" t="n">
        <v>15</v>
      </c>
      <c r="BO16" s="38" t="n">
        <v>15</v>
      </c>
      <c r="BP16" s="38" t="n">
        <v>13</v>
      </c>
      <c r="BQ16" s="38" t="n">
        <v>13</v>
      </c>
      <c r="BR16" s="38" t="n">
        <v>10</v>
      </c>
      <c r="BS16" s="38" t="n">
        <v>10</v>
      </c>
      <c r="BT16" s="38" t="n">
        <v>10</v>
      </c>
      <c r="BU16" s="38" t="n">
        <v>10</v>
      </c>
      <c r="BV16" s="38" t="n">
        <v>10</v>
      </c>
      <c r="BW16" s="38" t="n">
        <v>10</v>
      </c>
      <c r="BX16" s="38" t="n">
        <v>4</v>
      </c>
      <c r="BY16" s="38">
        <f>1+CK16</f>
        <v/>
      </c>
      <c r="BZ16" s="38" t="n"/>
      <c r="CA16" s="38" t="n"/>
      <c r="CB16" s="38" t="n"/>
      <c r="CC16" s="9" t="n"/>
      <c r="CD16" s="9" t="n"/>
      <c r="CE16" s="9" t="n"/>
      <c r="CF16" s="154">
        <f>CD16+IF(NOT(ISBLANK(OFFSET(CF16,0,6))),N(OFFSET(CF16,0,6)),N(OFFSET(CF16,0,7)))-CE16</f>
        <v/>
      </c>
      <c r="CG16" s="6" t="n"/>
      <c r="CH16" s="19" t="n"/>
      <c r="CI16" s="19" t="n"/>
      <c r="CJ16" s="4" t="n"/>
      <c r="CK16" s="65" t="n"/>
      <c r="CL16" s="18" t="n">
        <v>0</v>
      </c>
      <c r="CM16" s="18" t="n">
        <v>0</v>
      </c>
      <c r="CN16" s="18" t="n">
        <v>6</v>
      </c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8" t="n"/>
      <c r="DA16" s="18" t="n"/>
      <c r="DB16" s="18" t="n"/>
      <c r="DC16" s="18" t="n"/>
      <c r="DD16" s="154" t="inlineStr">
        <is>
          <t>4 DE ER PBE</t>
        </is>
      </c>
      <c r="DE16" s="18" t="n"/>
      <c r="DF16" s="18" t="n">
        <v>5</v>
      </c>
      <c r="DG16" s="18" t="n"/>
      <c r="DH16" s="18" t="n"/>
      <c r="DI16" s="18" t="n">
        <v>5</v>
      </c>
      <c r="DJ16" s="18" t="n">
        <v>5</v>
      </c>
      <c r="DK16" s="18" t="n"/>
      <c r="DL16" s="18" t="n"/>
      <c r="DM16" s="18" t="n">
        <v>2</v>
      </c>
      <c r="DN16" s="18" t="n"/>
      <c r="DO16" s="18" t="n">
        <v>2</v>
      </c>
      <c r="DP16" s="18" t="n"/>
      <c r="DQ16" s="18" t="n"/>
      <c r="DR16" s="18" t="n"/>
      <c r="DS16" s="18" t="n"/>
      <c r="DT16" s="18" t="n"/>
      <c r="DU16" s="18" t="n"/>
      <c r="DV16" s="18" t="n"/>
      <c r="DW16" s="18" t="n"/>
      <c r="DX16" s="18" t="n">
        <v>7</v>
      </c>
      <c r="DY16" s="256" t="n">
        <v>4</v>
      </c>
      <c r="DZ16" s="18" t="n"/>
      <c r="EA16" s="18" t="n">
        <v>2</v>
      </c>
      <c r="EB16" s="256" t="n"/>
      <c r="EC16" s="256" t="n"/>
      <c r="ED16" s="256" t="n"/>
      <c r="EE16" s="18" t="n"/>
      <c r="EF16" s="18" t="n"/>
      <c r="EG16" s="18" t="n"/>
      <c r="EH16" s="18" t="n"/>
      <c r="EI16" s="18" t="n"/>
      <c r="EJ16" s="18" t="n"/>
      <c r="EK16" s="18" t="n"/>
      <c r="EL16" s="18" t="n">
        <v>2</v>
      </c>
      <c r="EM16" s="18" t="n"/>
      <c r="EN16" s="18" t="n"/>
      <c r="EO16" s="18" t="n"/>
      <c r="EP16" s="18" t="n">
        <v>2</v>
      </c>
      <c r="EQ16" s="18" t="n"/>
      <c r="ER16" s="18" t="n"/>
      <c r="ES16" s="18" t="n"/>
      <c r="ET16" s="18" t="n"/>
      <c r="EU16" s="18" t="n"/>
      <c r="EV16" s="18" t="n"/>
      <c r="EW16" s="18" t="n"/>
      <c r="EX16" s="18" t="n"/>
      <c r="EY16" s="18" t="n">
        <v>3</v>
      </c>
      <c r="EZ16" s="256" t="n"/>
      <c r="FA16" s="18" t="n"/>
      <c r="FB16" s="256" t="n"/>
      <c r="FC16" s="256" t="n"/>
      <c r="FD16" s="256" t="n"/>
      <c r="FE16" s="18" t="n"/>
      <c r="FF16" s="18" t="n">
        <v>2</v>
      </c>
      <c r="FG16" s="256" t="n"/>
      <c r="FH16" s="256" t="n"/>
      <c r="FI16" s="256" t="n"/>
      <c r="FJ16" s="256" t="n"/>
      <c r="FK16" s="256" t="n"/>
      <c r="FL16" s="256" t="n"/>
      <c r="FM16" s="256" t="n"/>
      <c r="FN16" s="241" t="inlineStr">
        <is>
          <t>08 P/ PL + 04 P/ TP</t>
        </is>
      </c>
      <c r="FO16" s="18" t="n"/>
      <c r="FP16" s="256" t="n"/>
      <c r="FQ16" s="256" t="n"/>
      <c r="FR16" s="18" t="n"/>
      <c r="FS16" s="18" t="n"/>
      <c r="FT16" s="18" t="n"/>
      <c r="FU16" s="18" t="n"/>
      <c r="FV16" s="18" t="n"/>
      <c r="FW16" s="18" t="n"/>
      <c r="FX16" s="18" t="n"/>
      <c r="FY16" s="18" t="n"/>
      <c r="FZ16" s="256" t="n"/>
      <c r="GA16" s="18" t="n"/>
      <c r="GB16" s="18" t="n"/>
      <c r="GC16" s="18" t="n"/>
      <c r="GD16" s="256" t="n">
        <v>4</v>
      </c>
      <c r="GE16" s="18" t="n"/>
      <c r="GF16" s="18" t="n"/>
      <c r="GG16" s="18" t="n"/>
      <c r="GH16" s="18" t="n"/>
      <c r="GI16" s="18" t="n"/>
      <c r="GJ16" s="18" t="n"/>
      <c r="GK16" s="18" t="n"/>
      <c r="GL16" s="18" t="n"/>
      <c r="GM16" s="18" t="n"/>
      <c r="GN16" s="18" t="n"/>
      <c r="GO16" s="18" t="n"/>
      <c r="GP16" s="18" t="n"/>
      <c r="GQ16" s="18" t="n"/>
      <c r="GR16" s="18" t="n"/>
      <c r="GS16" s="18" t="n"/>
      <c r="GT16" s="18" t="n"/>
      <c r="GU16" s="18" t="n"/>
    </row>
    <row r="17" ht="18.75" customFormat="1" customHeight="1" s="3">
      <c r="A17" s="33" t="inlineStr">
        <is>
          <t>ETIQUETAS</t>
        </is>
      </c>
      <c r="B17" s="9" t="n">
        <v>2000</v>
      </c>
      <c r="C17" s="662" t="n">
        <v>55.36</v>
      </c>
      <c r="D17" s="329" t="n">
        <v>2</v>
      </c>
      <c r="E17" s="2" t="n"/>
      <c r="F17" s="38" t="n">
        <v>1</v>
      </c>
      <c r="G17" s="38">
        <f>3+GO17</f>
        <v/>
      </c>
      <c r="H17" s="38" t="n">
        <v>3</v>
      </c>
      <c r="I17" s="38" t="n">
        <v>3</v>
      </c>
      <c r="J17" s="38" t="n">
        <v>3</v>
      </c>
      <c r="K17" s="38" t="n">
        <v>2</v>
      </c>
      <c r="L17" s="38" t="n">
        <v>2</v>
      </c>
      <c r="M17" s="38" t="n">
        <v>2</v>
      </c>
      <c r="N17" s="38" t="n">
        <v>2</v>
      </c>
      <c r="O17" s="38" t="n">
        <v>2</v>
      </c>
      <c r="P17" s="38" t="n">
        <v>2</v>
      </c>
      <c r="Q17" s="38" t="n">
        <v>2</v>
      </c>
      <c r="R17" s="38" t="n">
        <v>2</v>
      </c>
      <c r="S17" s="38" t="n">
        <v>2</v>
      </c>
      <c r="T17" s="38" t="n">
        <v>2</v>
      </c>
      <c r="U17" s="38" t="n">
        <v>2</v>
      </c>
      <c r="V17" s="38" t="n">
        <v>0</v>
      </c>
      <c r="W17" s="38" t="n">
        <v>0</v>
      </c>
      <c r="X17" s="38" t="n">
        <v>2</v>
      </c>
      <c r="Y17" s="38" t="n">
        <v>2</v>
      </c>
      <c r="Z17" s="38" t="n">
        <v>0</v>
      </c>
      <c r="AA17" s="38" t="n">
        <v>2</v>
      </c>
      <c r="AB17" s="38" t="n">
        <v>2</v>
      </c>
      <c r="AC17" s="38" t="n">
        <v>1</v>
      </c>
      <c r="AD17" s="38" t="n">
        <v>2</v>
      </c>
      <c r="AE17" s="38" t="n">
        <v>2</v>
      </c>
      <c r="AF17" s="38" t="n">
        <v>1</v>
      </c>
      <c r="AG17" s="38" t="n">
        <v>2</v>
      </c>
      <c r="AH17" s="38" t="n">
        <v>2</v>
      </c>
      <c r="AI17" s="38" t="n">
        <v>2</v>
      </c>
      <c r="AJ17" s="38" t="n">
        <v>2</v>
      </c>
      <c r="AK17" s="38" t="n">
        <v>2</v>
      </c>
      <c r="AL17" s="38" t="n">
        <v>2</v>
      </c>
      <c r="AM17" s="38" t="n">
        <v>2</v>
      </c>
      <c r="AN17" s="38" t="n">
        <v>2</v>
      </c>
      <c r="AO17" s="38" t="n">
        <v>2</v>
      </c>
      <c r="AP17" s="38" t="n">
        <v>2</v>
      </c>
      <c r="AQ17" s="38" t="n">
        <v>0</v>
      </c>
      <c r="AR17" s="38" t="n">
        <v>0</v>
      </c>
      <c r="AS17" s="38" t="n">
        <v>0</v>
      </c>
      <c r="AT17" s="38" t="n">
        <v>0</v>
      </c>
      <c r="AU17" s="38" t="n">
        <v>8</v>
      </c>
      <c r="AV17" s="38" t="n">
        <v>8</v>
      </c>
      <c r="AW17" s="38" t="n">
        <v>8</v>
      </c>
      <c r="AX17" s="38" t="n">
        <v>8</v>
      </c>
      <c r="AY17" s="38" t="n">
        <v>8</v>
      </c>
      <c r="AZ17" s="38" t="n">
        <v>8</v>
      </c>
      <c r="BA17" s="38" t="n">
        <v>8</v>
      </c>
      <c r="BB17" s="38" t="n">
        <v>8</v>
      </c>
      <c r="BC17" s="38" t="n">
        <v>8</v>
      </c>
      <c r="BD17" s="38" t="n">
        <v>8</v>
      </c>
      <c r="BE17" s="38" t="n">
        <v>8</v>
      </c>
      <c r="BF17" s="38" t="n">
        <v>6</v>
      </c>
      <c r="BG17" s="38" t="n">
        <v>6</v>
      </c>
      <c r="BH17" s="38" t="n">
        <v>6</v>
      </c>
      <c r="BI17" s="38">
        <f>6+3</f>
        <v/>
      </c>
      <c r="BJ17" s="38" t="n">
        <v>9</v>
      </c>
      <c r="BK17" s="261" t="n">
        <v>16</v>
      </c>
      <c r="BL17" s="38" t="n">
        <v>17</v>
      </c>
      <c r="BM17" s="38" t="n">
        <v>13</v>
      </c>
      <c r="BN17" s="38" t="n">
        <v>13</v>
      </c>
      <c r="BO17" s="38" t="n">
        <v>13</v>
      </c>
      <c r="BP17" s="38" t="n">
        <v>13</v>
      </c>
      <c r="BQ17" s="38" t="n">
        <v>13</v>
      </c>
      <c r="BR17" s="38" t="n">
        <v>13</v>
      </c>
      <c r="BS17" s="38" t="n">
        <v>13</v>
      </c>
      <c r="BT17" s="38" t="n">
        <v>13</v>
      </c>
      <c r="BU17" s="38" t="n">
        <v>13</v>
      </c>
      <c r="BV17" s="38" t="n">
        <v>13</v>
      </c>
      <c r="BW17" s="38" t="n">
        <v>15</v>
      </c>
      <c r="BX17" s="38" t="n">
        <v>15</v>
      </c>
      <c r="BY17" s="38" t="n">
        <v>15</v>
      </c>
      <c r="BZ17" s="38" t="n"/>
      <c r="CA17" s="38" t="n"/>
      <c r="CB17" s="38" t="n"/>
      <c r="CC17" s="9" t="n"/>
      <c r="CD17" s="9" t="n"/>
      <c r="CE17" s="9" t="n"/>
      <c r="CF17" s="154">
        <f>CD17+IF(NOT(ISBLANK(OFFSET(CF17,0,6))),N(OFFSET(CF17,0,6)),N(OFFSET(CF17,0,7)))-CE17</f>
        <v/>
      </c>
      <c r="CG17" s="6" t="n"/>
      <c r="CH17" s="19" t="inlineStr">
        <is>
          <t>05 P/ TP + 02 P/ ER PB + 02 P/ ER MG</t>
        </is>
      </c>
      <c r="CI17" s="19" t="n"/>
      <c r="CJ17" s="4" t="n"/>
      <c r="CK17" s="65" t="n"/>
      <c r="CL17" s="18" t="n">
        <v>0</v>
      </c>
      <c r="CM17" s="18" t="n">
        <v>0</v>
      </c>
      <c r="CN17" s="18" t="n">
        <v>0</v>
      </c>
      <c r="CO17" s="18" t="n"/>
      <c r="CP17" s="18" t="n"/>
      <c r="CQ17" s="18" t="n"/>
      <c r="CR17" s="18" t="n"/>
      <c r="CS17" s="18" t="n"/>
      <c r="CT17" s="418" t="n">
        <v>2</v>
      </c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54" t="inlineStr">
        <is>
          <t>3 DE ER PBE</t>
        </is>
      </c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18" t="n"/>
      <c r="DP17" s="18" t="n"/>
      <c r="DQ17" s="18" t="n"/>
      <c r="DR17" s="18" t="n"/>
      <c r="DS17" s="18" t="n"/>
      <c r="DT17" s="18" t="n"/>
      <c r="DU17" s="18" t="n"/>
      <c r="DV17" s="18" t="n"/>
      <c r="DW17" s="18" t="n"/>
      <c r="DX17" s="18" t="n">
        <v>8</v>
      </c>
      <c r="DY17" s="256" t="n">
        <v>1</v>
      </c>
      <c r="DZ17" s="18" t="n"/>
      <c r="EA17" s="18" t="n">
        <v>2</v>
      </c>
      <c r="EB17" s="256" t="n"/>
      <c r="EC17" s="256" t="n"/>
      <c r="ED17" s="256" t="n"/>
      <c r="EE17" s="18" t="n"/>
      <c r="EF17" s="18" t="n"/>
      <c r="EG17" s="18" t="n"/>
      <c r="EH17" s="18" t="n"/>
      <c r="EI17" s="18" t="n"/>
      <c r="EJ17" s="18" t="n"/>
      <c r="EK17" s="18" t="n"/>
      <c r="EL17" s="18" t="n"/>
      <c r="EM17" s="18" t="n"/>
      <c r="EN17" s="18" t="n"/>
      <c r="EO17" s="18" t="n"/>
      <c r="EP17" s="18" t="n"/>
      <c r="EQ17" s="18" t="n"/>
      <c r="ER17" s="18" t="n"/>
      <c r="ES17" s="18" t="n"/>
      <c r="ET17" s="18" t="n"/>
      <c r="EU17" s="18" t="n"/>
      <c r="EV17" s="18" t="n">
        <v>1</v>
      </c>
      <c r="EW17" s="18" t="n"/>
      <c r="EX17" s="18" t="n"/>
      <c r="EY17" s="18" t="n"/>
      <c r="EZ17" s="18" t="n"/>
      <c r="FA17" s="18" t="n">
        <v>1</v>
      </c>
      <c r="FB17" s="18" t="n"/>
      <c r="FC17" s="18" t="n"/>
      <c r="FD17" s="18" t="n"/>
      <c r="FE17" s="18" t="n"/>
      <c r="FF17" s="18" t="n">
        <v>2</v>
      </c>
      <c r="FG17" s="18" t="n"/>
      <c r="FH17" s="256" t="n"/>
      <c r="FI17" s="18" t="n"/>
      <c r="FJ17" s="18" t="n"/>
      <c r="FK17" s="256" t="n"/>
      <c r="FL17" s="18" t="n"/>
      <c r="FM17" s="18" t="n"/>
      <c r="FN17" s="256" t="n"/>
      <c r="FO17" s="18" t="n"/>
      <c r="FP17" s="18" t="n"/>
      <c r="FQ17" s="256" t="n"/>
      <c r="FR17" s="18" t="n"/>
      <c r="FS17" s="18" t="n"/>
      <c r="FT17" s="18" t="n"/>
      <c r="FU17" s="18" t="n">
        <v>2</v>
      </c>
      <c r="FV17" s="18" t="n"/>
      <c r="FW17" s="18" t="n"/>
      <c r="FX17" s="18" t="n"/>
      <c r="FY17" s="18" t="n"/>
      <c r="FZ17" s="256" t="n"/>
      <c r="GA17" s="18" t="n"/>
      <c r="GB17" s="18" t="n"/>
      <c r="GC17" s="18" t="n"/>
      <c r="GD17" s="256" t="n">
        <v>6</v>
      </c>
      <c r="GE17" s="18" t="n"/>
      <c r="GF17" s="18" t="n"/>
      <c r="GG17" s="18" t="n"/>
      <c r="GH17" s="18" t="n"/>
      <c r="GI17" s="18" t="n"/>
      <c r="GJ17" s="18" t="n"/>
      <c r="GK17" s="18" t="n"/>
      <c r="GL17" s="18" t="n"/>
      <c r="GM17" s="18" t="n"/>
      <c r="GN17" s="18" t="n"/>
      <c r="GO17" s="18" t="n"/>
      <c r="GP17" s="18" t="n"/>
      <c r="GQ17" s="18" t="n"/>
      <c r="GR17" s="18" t="n">
        <v>1</v>
      </c>
      <c r="GS17" s="18" t="n">
        <v>2</v>
      </c>
      <c r="GT17" s="18" t="n"/>
      <c r="GU17" s="18" t="n"/>
    </row>
    <row r="18" ht="18.75" customFormat="1" customHeight="1" s="3">
      <c r="A18" s="33" t="inlineStr">
        <is>
          <t>TAG</t>
        </is>
      </c>
      <c r="B18" s="9" t="n">
        <v>200</v>
      </c>
      <c r="C18" s="662" t="n">
        <v>10.28</v>
      </c>
      <c r="D18" s="329" t="n">
        <v>2</v>
      </c>
      <c r="E18" s="2" t="n"/>
      <c r="F18" s="38" t="n">
        <v>7</v>
      </c>
      <c r="G18" s="38">
        <f>7+GO18</f>
        <v/>
      </c>
      <c r="H18" s="38" t="n">
        <v>17</v>
      </c>
      <c r="I18" s="38" t="n">
        <v>17</v>
      </c>
      <c r="J18" s="38" t="n">
        <v>17</v>
      </c>
      <c r="K18" s="38" t="n">
        <v>10</v>
      </c>
      <c r="L18" s="38" t="n">
        <v>10</v>
      </c>
      <c r="M18" s="38" t="n">
        <v>8</v>
      </c>
      <c r="N18" s="38" t="n">
        <v>8</v>
      </c>
      <c r="O18" s="38" t="n">
        <v>8</v>
      </c>
      <c r="P18" s="38" t="n">
        <v>8</v>
      </c>
      <c r="Q18" s="38" t="n">
        <v>8</v>
      </c>
      <c r="R18" s="38" t="n">
        <v>8</v>
      </c>
      <c r="S18" s="38" t="n">
        <v>8</v>
      </c>
      <c r="T18" s="38" t="n">
        <v>8</v>
      </c>
      <c r="U18" s="38" t="n">
        <v>8</v>
      </c>
      <c r="V18" s="38" t="n">
        <v>8</v>
      </c>
      <c r="W18" s="38" t="n">
        <v>8</v>
      </c>
      <c r="X18" s="38" t="n">
        <v>8</v>
      </c>
      <c r="Y18" s="38">
        <f>18-5-2</f>
        <v/>
      </c>
      <c r="Z18" s="38">
        <f>10-5</f>
        <v/>
      </c>
      <c r="AA18" s="38" t="n">
        <v>5</v>
      </c>
      <c r="AB18" s="38" t="n">
        <v>5</v>
      </c>
      <c r="AC18" s="38" t="n">
        <v>4</v>
      </c>
      <c r="AD18" s="38" t="n">
        <v>4</v>
      </c>
      <c r="AE18" s="38" t="n">
        <v>4</v>
      </c>
      <c r="AF18" s="38" t="n">
        <v>4</v>
      </c>
      <c r="AG18" s="38" t="n">
        <v>4</v>
      </c>
      <c r="AH18" s="38" t="n">
        <v>4</v>
      </c>
      <c r="AI18" s="38" t="n">
        <v>4</v>
      </c>
      <c r="AJ18" s="38" t="n">
        <v>4</v>
      </c>
      <c r="AK18" s="38" t="n">
        <v>4</v>
      </c>
      <c r="AL18" s="38" t="n">
        <v>4</v>
      </c>
      <c r="AM18" s="38" t="n">
        <v>4</v>
      </c>
      <c r="AN18" s="38" t="n">
        <v>4</v>
      </c>
      <c r="AO18" s="38" t="n">
        <v>4</v>
      </c>
      <c r="AP18" s="38" t="n">
        <v>4</v>
      </c>
      <c r="AQ18" s="38" t="n">
        <v>4</v>
      </c>
      <c r="AR18" s="38" t="n">
        <v>4</v>
      </c>
      <c r="AS18" s="38" t="n">
        <v>4</v>
      </c>
      <c r="AT18" s="38" t="n">
        <v>4</v>
      </c>
      <c r="AU18" s="38" t="n">
        <v>4</v>
      </c>
      <c r="AV18" s="38" t="n">
        <v>6</v>
      </c>
      <c r="AW18" s="38" t="n">
        <v>6</v>
      </c>
      <c r="AX18" s="38" t="n">
        <v>5</v>
      </c>
      <c r="AY18" s="38" t="n">
        <v>5</v>
      </c>
      <c r="AZ18" s="38" t="n">
        <v>5</v>
      </c>
      <c r="BA18" s="38" t="n">
        <v>5</v>
      </c>
      <c r="BB18" s="38" t="n">
        <v>4</v>
      </c>
      <c r="BC18" s="38" t="n">
        <v>4</v>
      </c>
      <c r="BD18" s="38" t="n">
        <v>4</v>
      </c>
      <c r="BE18" s="38" t="n">
        <v>4</v>
      </c>
      <c r="BF18" s="38" t="n">
        <v>4</v>
      </c>
      <c r="BG18" s="38" t="n">
        <v>4</v>
      </c>
      <c r="BH18" s="38" t="n">
        <v>4</v>
      </c>
      <c r="BI18" s="38" t="n">
        <v>4</v>
      </c>
      <c r="BJ18" s="38" t="n">
        <v>4</v>
      </c>
      <c r="BK18" s="38" t="n">
        <v>17</v>
      </c>
      <c r="BL18" s="38" t="n">
        <v>4</v>
      </c>
      <c r="BM18" s="38" t="n">
        <v>4</v>
      </c>
      <c r="BN18" s="38" t="n">
        <v>4</v>
      </c>
      <c r="BO18" s="38" t="n">
        <v>4</v>
      </c>
      <c r="BP18" s="38" t="n">
        <v>4</v>
      </c>
      <c r="BQ18" s="38" t="n">
        <v>4</v>
      </c>
      <c r="BR18" s="38" t="n">
        <v>4</v>
      </c>
      <c r="BS18" s="38" t="n">
        <v>4</v>
      </c>
      <c r="BT18" s="38" t="n">
        <v>4</v>
      </c>
      <c r="BU18" s="38" t="n">
        <v>4</v>
      </c>
      <c r="BV18" s="38" t="n">
        <v>4</v>
      </c>
      <c r="BW18" s="38" t="n">
        <v>4</v>
      </c>
      <c r="BX18" s="38" t="n">
        <v>2</v>
      </c>
      <c r="BY18" s="38">
        <f>0+CK18</f>
        <v/>
      </c>
      <c r="BZ18" s="38" t="n"/>
      <c r="CA18" s="38" t="n"/>
      <c r="CB18" s="38" t="n"/>
      <c r="CC18" s="9" t="n"/>
      <c r="CD18" s="9" t="n"/>
      <c r="CE18" s="9" t="n"/>
      <c r="CF18" s="154">
        <f>CD18+IF(NOT(ISBLANK(OFFSET(CF18,0,6))),N(OFFSET(CF18,0,6)),N(OFFSET(CF18,0,7)))-CE18</f>
        <v/>
      </c>
      <c r="CG18" s="6" t="n"/>
      <c r="CH18" s="19" t="n"/>
      <c r="CI18" s="19" t="n"/>
      <c r="CJ18" s="4" t="n"/>
      <c r="CK18" s="65" t="n"/>
      <c r="CL18" s="18" t="n">
        <v>0</v>
      </c>
      <c r="CM18" s="18" t="n">
        <v>0</v>
      </c>
      <c r="CN18" s="18" t="n">
        <v>2</v>
      </c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18" t="n"/>
      <c r="DP18" s="18" t="n"/>
      <c r="DQ18" s="18" t="n"/>
      <c r="DR18" s="18" t="n"/>
      <c r="DS18" s="18" t="n"/>
      <c r="DT18" s="18" t="n"/>
      <c r="DU18" s="18" t="n"/>
      <c r="DV18" s="18" t="n"/>
      <c r="DW18" s="18" t="n"/>
      <c r="DX18" s="18" t="n"/>
      <c r="DY18" s="356" t="n"/>
      <c r="DZ18" s="18" t="n"/>
      <c r="EA18" s="18" t="n"/>
      <c r="EB18" s="256" t="n"/>
      <c r="EC18" s="256" t="n"/>
      <c r="ED18" s="256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18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18" t="n"/>
      <c r="FD18" s="18" t="n"/>
      <c r="FE18" s="18" t="n"/>
      <c r="FF18" s="18" t="n"/>
      <c r="FG18" s="18" t="n"/>
      <c r="FH18" s="256" t="n"/>
      <c r="FI18" s="18" t="n"/>
      <c r="FJ18" s="18" t="n"/>
      <c r="FK18" s="256" t="n"/>
      <c r="FL18" s="18" t="n"/>
      <c r="FM18" s="241" t="inlineStr">
        <is>
          <t>05 P/ TP</t>
        </is>
      </c>
      <c r="FN18" s="241" t="inlineStr">
        <is>
          <t>05 P/ PL + 02 P/ TP</t>
        </is>
      </c>
      <c r="FO18" s="18" t="n"/>
      <c r="FP18" s="18" t="n"/>
      <c r="FQ18" s="256" t="n"/>
      <c r="FR18" s="18" t="n"/>
      <c r="FS18" s="18" t="n"/>
      <c r="FT18" s="18" t="n"/>
      <c r="FU18" s="18" t="n"/>
      <c r="FV18" s="18" t="n"/>
      <c r="FW18" s="18" t="n"/>
      <c r="FX18" s="18" t="n"/>
      <c r="FY18" s="18" t="n"/>
      <c r="FZ18" s="256" t="n"/>
      <c r="GA18" s="18" t="n"/>
      <c r="GB18" s="18" t="n"/>
      <c r="GC18" s="18" t="n"/>
      <c r="GD18" s="256" t="n"/>
      <c r="GE18" s="18" t="n"/>
      <c r="GF18" s="18" t="n"/>
      <c r="GG18" s="18" t="n"/>
      <c r="GH18" s="18" t="n"/>
      <c r="GI18" s="18" t="n"/>
      <c r="GJ18" s="18" t="n"/>
      <c r="GK18" s="18" t="n"/>
      <c r="GL18" s="18" t="n"/>
      <c r="GM18" s="18" t="n"/>
      <c r="GN18" s="18" t="n"/>
      <c r="GO18" s="18" t="n"/>
      <c r="GP18" s="18" t="n"/>
      <c r="GQ18" s="18" t="n"/>
      <c r="GR18" s="18" t="n">
        <v>5</v>
      </c>
      <c r="GS18" s="18" t="n"/>
      <c r="GT18" s="18" t="n"/>
      <c r="GU18" s="18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2" t="n">
        <v>71.8</v>
      </c>
      <c r="D19" s="329" t="n">
        <v>2</v>
      </c>
      <c r="E19" s="2" t="n"/>
      <c r="F19" s="38" t="n">
        <v>3</v>
      </c>
      <c r="G19" s="38" t="n">
        <v>6</v>
      </c>
      <c r="H19" s="38" t="n">
        <v>6</v>
      </c>
      <c r="I19" s="38" t="n">
        <v>6</v>
      </c>
      <c r="J19" s="38" t="n">
        <v>6</v>
      </c>
      <c r="K19" s="38" t="n">
        <v>6</v>
      </c>
      <c r="L19" s="38" t="n">
        <v>6</v>
      </c>
      <c r="M19" s="38" t="n">
        <v>4</v>
      </c>
      <c r="N19" s="38" t="n">
        <v>4</v>
      </c>
      <c r="O19" s="38" t="n">
        <v>7</v>
      </c>
      <c r="P19" s="38" t="n">
        <v>6</v>
      </c>
      <c r="Q19" s="38" t="n">
        <v>6</v>
      </c>
      <c r="R19" s="38" t="n">
        <v>6</v>
      </c>
      <c r="S19" s="38" t="n">
        <v>6</v>
      </c>
      <c r="T19" s="38" t="n">
        <v>6</v>
      </c>
      <c r="U19" s="38" t="n">
        <v>6</v>
      </c>
      <c r="V19" s="38" t="n">
        <v>6</v>
      </c>
      <c r="W19" s="38" t="n">
        <v>6</v>
      </c>
      <c r="X19" s="38" t="n">
        <v>6</v>
      </c>
      <c r="Y19" s="38">
        <f>6-4</f>
        <v/>
      </c>
      <c r="Z19" s="38">
        <f>0+3</f>
        <v/>
      </c>
      <c r="AA19" s="38" t="n">
        <v>3</v>
      </c>
      <c r="AB19" s="38" t="n">
        <v>3</v>
      </c>
      <c r="AC19" s="38" t="n">
        <v>3</v>
      </c>
      <c r="AD19" s="38" t="n">
        <v>3</v>
      </c>
      <c r="AE19" s="38" t="n">
        <v>3</v>
      </c>
      <c r="AF19" s="38" t="n">
        <v>3</v>
      </c>
      <c r="AG19" s="38" t="n">
        <v>3</v>
      </c>
      <c r="AH19" s="38" t="n">
        <v>3</v>
      </c>
      <c r="AI19" s="38" t="n">
        <v>3</v>
      </c>
      <c r="AJ19" s="38" t="n">
        <v>3</v>
      </c>
      <c r="AK19" s="38" t="n">
        <v>3</v>
      </c>
      <c r="AL19" s="38" t="n">
        <v>3</v>
      </c>
      <c r="AM19" s="38" t="n">
        <v>3</v>
      </c>
      <c r="AN19" s="38" t="n">
        <v>3</v>
      </c>
      <c r="AO19" s="38" t="n">
        <v>3</v>
      </c>
      <c r="AP19" s="38" t="n">
        <v>3</v>
      </c>
      <c r="AQ19" s="38" t="n">
        <v>0</v>
      </c>
      <c r="AR19" s="38" t="n">
        <v>0</v>
      </c>
      <c r="AS19" s="38" t="n">
        <v>0</v>
      </c>
      <c r="AT19" s="38" t="n">
        <v>0</v>
      </c>
      <c r="AU19" s="38" t="n">
        <v>3</v>
      </c>
      <c r="AV19" s="38" t="n">
        <v>4</v>
      </c>
      <c r="AW19" s="38" t="n">
        <v>4</v>
      </c>
      <c r="AX19" s="38" t="n">
        <v>4</v>
      </c>
      <c r="AY19" s="38" t="n">
        <v>4</v>
      </c>
      <c r="AZ19" s="38" t="n">
        <v>4</v>
      </c>
      <c r="BA19" s="38" t="n">
        <v>4</v>
      </c>
      <c r="BB19" s="38" t="n">
        <v>2</v>
      </c>
      <c r="BC19" s="38">
        <f>2+DL19</f>
        <v/>
      </c>
      <c r="BD19" s="38" t="n">
        <v>4</v>
      </c>
      <c r="BE19" s="38" t="n">
        <v>4</v>
      </c>
      <c r="BF19" s="38" t="n">
        <v>4</v>
      </c>
      <c r="BG19" s="38" t="n">
        <v>0</v>
      </c>
      <c r="BH19" s="261" t="n">
        <v>4</v>
      </c>
      <c r="BI19" s="38" t="n">
        <v>5</v>
      </c>
      <c r="BJ19" s="38" t="n">
        <v>5</v>
      </c>
      <c r="BK19" s="38" t="n">
        <v>3</v>
      </c>
      <c r="BL19" s="38" t="n">
        <v>3</v>
      </c>
      <c r="BM19" s="38" t="n">
        <v>3</v>
      </c>
      <c r="BN19" s="38" t="n">
        <v>3</v>
      </c>
      <c r="BO19" s="38" t="n">
        <v>3</v>
      </c>
      <c r="BP19" s="38" t="n">
        <v>3</v>
      </c>
      <c r="BQ19" s="38" t="n">
        <v>3</v>
      </c>
      <c r="BR19" s="38" t="n">
        <v>2</v>
      </c>
      <c r="BS19" s="38" t="n">
        <v>2</v>
      </c>
      <c r="BT19" s="38" t="n">
        <v>2</v>
      </c>
      <c r="BU19" s="38" t="n">
        <v>2</v>
      </c>
      <c r="BV19" s="38" t="n">
        <v>2</v>
      </c>
      <c r="BW19" s="38" t="n">
        <v>2</v>
      </c>
      <c r="BX19" s="38" t="n">
        <v>1</v>
      </c>
      <c r="BY19" s="38" t="n">
        <v>1</v>
      </c>
      <c r="BZ19" s="38" t="n"/>
      <c r="CA19" s="38" t="n"/>
      <c r="CB19" s="38" t="n"/>
      <c r="CC19" s="9" t="n"/>
      <c r="CD19" s="9" t="n"/>
      <c r="CE19" s="9" t="n"/>
      <c r="CF19" s="154">
        <f>CD19+IF(NOT(ISBLANK(OFFSET(CF19,0,6))),N(OFFSET(CF19,0,6)),N(OFFSET(CF19,0,7)))-CE19</f>
        <v/>
      </c>
      <c r="CG19" s="6" t="n"/>
      <c r="CH19" s="19" t="n"/>
      <c r="CI19" s="19" t="n"/>
      <c r="CJ19" s="4" t="n"/>
      <c r="CK19" s="65" t="n"/>
      <c r="CL19" s="18" t="n">
        <v>0</v>
      </c>
      <c r="CM19" s="18" t="n">
        <v>0</v>
      </c>
      <c r="CN19" s="18" t="n">
        <v>0</v>
      </c>
      <c r="CO19" s="18" t="n"/>
      <c r="CP19" s="18" t="n"/>
      <c r="CQ19" s="18" t="n"/>
      <c r="CR19" s="18" t="n"/>
      <c r="CS19" s="18" t="n"/>
      <c r="CT19" s="18" t="n"/>
      <c r="CU19" s="18" t="n"/>
      <c r="CV19" s="18" t="n"/>
      <c r="CW19" s="18" t="n"/>
      <c r="CX19" s="18" t="n"/>
      <c r="CY19" s="18" t="n"/>
      <c r="CZ19" s="18" t="n"/>
      <c r="DA19" s="18" t="n"/>
      <c r="DB19" s="18" t="n"/>
      <c r="DC19" s="18" t="n"/>
      <c r="DD19" s="18" t="n"/>
      <c r="DE19" s="18" t="n"/>
      <c r="DF19" s="18" t="n">
        <v>5</v>
      </c>
      <c r="DG19" s="18" t="n"/>
      <c r="DH19" s="18" t="n"/>
      <c r="DI19" s="18" t="n"/>
      <c r="DJ19" s="18" t="n"/>
      <c r="DK19" s="18" t="n"/>
      <c r="DL19" s="18" t="n"/>
      <c r="DM19" s="18" t="n"/>
      <c r="DN19" s="18" t="n"/>
      <c r="DO19" s="18" t="n">
        <v>2</v>
      </c>
      <c r="DP19" s="18" t="n"/>
      <c r="DQ19" s="18" t="n"/>
      <c r="DR19" s="18" t="n"/>
      <c r="DS19" s="18" t="n"/>
      <c r="DT19" s="18" t="n"/>
      <c r="DU19" s="18" t="n"/>
      <c r="DV19" s="18" t="n"/>
      <c r="DW19" s="18" t="n"/>
      <c r="DX19" s="18" t="n">
        <v>3</v>
      </c>
      <c r="DY19" s="356" t="n"/>
      <c r="DZ19" s="18" t="n"/>
      <c r="EA19" s="18" t="n">
        <v>2</v>
      </c>
      <c r="EB19" s="256" t="n"/>
      <c r="EC19" s="256" t="n"/>
      <c r="ED19" s="256" t="n"/>
      <c r="EE19" s="18" t="n"/>
      <c r="EF19" s="18" t="n"/>
      <c r="EG19" s="18" t="n"/>
      <c r="EH19" s="18" t="n"/>
      <c r="EI19" s="18" t="n"/>
      <c r="EJ19" s="18" t="n"/>
      <c r="EK19" s="18" t="n"/>
      <c r="EL19" s="18" t="n"/>
      <c r="EM19" s="18" t="n"/>
      <c r="EN19" s="18" t="n"/>
      <c r="EO19" s="18" t="n"/>
      <c r="EP19" s="18" t="n"/>
      <c r="EQ19" s="18" t="n"/>
      <c r="ER19" s="18" t="n"/>
      <c r="ES19" s="18" t="n"/>
      <c r="ET19" s="18" t="n"/>
      <c r="EU19" s="18" t="n"/>
      <c r="EV19" s="18" t="n"/>
      <c r="EW19" s="18" t="n"/>
      <c r="EX19" s="18" t="n"/>
      <c r="EY19" s="18" t="n"/>
      <c r="EZ19" s="256" t="n"/>
      <c r="FA19" s="18" t="n"/>
      <c r="FB19" s="256" t="n"/>
      <c r="FC19" s="256" t="n"/>
      <c r="FD19" s="256" t="n"/>
      <c r="FE19" s="18" t="n"/>
      <c r="FF19" s="18" t="n"/>
      <c r="FG19" s="256" t="n"/>
      <c r="FH19" s="256" t="n"/>
      <c r="FI19" s="256" t="n"/>
      <c r="FJ19" s="256" t="n"/>
      <c r="FK19" s="256" t="n"/>
      <c r="FL19" s="241" t="inlineStr">
        <is>
          <t>03 DE ER PBE</t>
        </is>
      </c>
      <c r="FM19" s="256" t="n"/>
      <c r="FN19" s="241" t="inlineStr">
        <is>
          <t>04 P/ PL</t>
        </is>
      </c>
      <c r="FO19" s="18" t="n"/>
      <c r="FP19" s="256" t="n"/>
      <c r="FQ19" s="256" t="n"/>
      <c r="FR19" s="18" t="n"/>
      <c r="FS19" s="18" t="n"/>
      <c r="FT19" s="18" t="n"/>
      <c r="FU19" s="18" t="n"/>
      <c r="FV19" s="18" t="n"/>
      <c r="FW19" s="18" t="n"/>
      <c r="FX19" s="18" t="n"/>
      <c r="FY19" s="18" t="n"/>
      <c r="FZ19" s="256" t="n"/>
      <c r="GA19" s="18" t="n"/>
      <c r="GB19" s="18" t="n"/>
      <c r="GC19" s="18" t="n">
        <v>3</v>
      </c>
      <c r="GD19" s="256" t="n"/>
      <c r="GE19" s="18" t="n"/>
      <c r="GF19" s="18" t="n"/>
      <c r="GG19" s="18" t="n"/>
      <c r="GH19" s="18" t="n"/>
      <c r="GI19" s="18" t="n"/>
      <c r="GJ19" s="18" t="n"/>
      <c r="GK19" s="18" t="n"/>
      <c r="GL19" s="18" t="n"/>
      <c r="GM19" s="18" t="n"/>
      <c r="GN19" s="18" t="n"/>
      <c r="GO19" s="18" t="n"/>
      <c r="GP19" s="18" t="n"/>
      <c r="GQ19" s="18" t="n"/>
      <c r="GR19" s="18" t="n"/>
      <c r="GS19" s="18" t="n">
        <v>3</v>
      </c>
      <c r="GT19" s="18" t="n"/>
      <c r="GU19" s="18" t="n"/>
    </row>
    <row r="20" ht="18.75" customHeight="1">
      <c r="DY20" s="17" t="n"/>
      <c r="EB20" s="271" t="n"/>
      <c r="EC20" s="271" t="n"/>
      <c r="ED20" s="271" t="n"/>
      <c r="FH20" s="271" t="n"/>
      <c r="FK20" s="271" t="n"/>
      <c r="FQ20" s="271" t="n"/>
      <c r="FZ20" s="271" t="n"/>
      <c r="GD20" s="271" t="n"/>
      <c r="GL20" s="51" t="n"/>
      <c r="GV20" s="3" t="n"/>
      <c r="GW20" s="3" t="n"/>
    </row>
    <row r="21" ht="18.75" customHeight="1">
      <c r="A21" s="32" t="inlineStr">
        <is>
          <t>SACOLAS BOTICÁRIO VENDIDAS</t>
        </is>
      </c>
      <c r="B21" s="575" t="inlineStr">
        <is>
          <t>PC</t>
        </is>
      </c>
      <c r="C21" s="575" t="inlineStr">
        <is>
          <t>R$</t>
        </is>
      </c>
      <c r="D21" s="575" t="inlineStr">
        <is>
          <t>Estoque Ideal</t>
        </is>
      </c>
      <c r="BW21" s="650" t="n">
        <v>46139</v>
      </c>
      <c r="BX21" s="650" t="n">
        <v>46146</v>
      </c>
      <c r="BY21" s="650" t="n">
        <v>46154</v>
      </c>
      <c r="BZ21" s="650" t="n">
        <v>46160</v>
      </c>
      <c r="CA21" s="650" t="n">
        <v>46160</v>
      </c>
      <c r="CB21" s="650" t="n">
        <v>46160</v>
      </c>
      <c r="CC21" s="651" t="n">
        <v>46161.48004043981</v>
      </c>
      <c r="CD21" s="651" t="n">
        <v>46161.48071866898</v>
      </c>
      <c r="CE21" s="651" t="n">
        <v>46161.48287732785</v>
      </c>
      <c r="CF21" s="652" t="inlineStr">
        <is>
          <t>USOU</t>
        </is>
      </c>
      <c r="CH21" s="413" t="inlineStr">
        <is>
          <t>TRANSFERÊNCIA</t>
        </is>
      </c>
      <c r="CI21" s="35" t="inlineStr">
        <is>
          <t>Pend.</t>
        </is>
      </c>
      <c r="CK21" s="12" t="inlineStr">
        <is>
          <t>Novo Pedido</t>
        </is>
      </c>
      <c r="CL21" s="708" t="n">
        <v>46161.4828761439</v>
      </c>
      <c r="CM21" s="654" t="n"/>
      <c r="CN21" s="654" t="n">
        <v>46149</v>
      </c>
      <c r="CO21" s="654" t="n">
        <v>46114</v>
      </c>
      <c r="CP21" s="654" t="n">
        <v>46107</v>
      </c>
      <c r="CQ21" s="710" t="n">
        <v>46065</v>
      </c>
      <c r="CR21" s="654" t="n">
        <v>46099</v>
      </c>
      <c r="CS21" s="654" t="n">
        <v>46092</v>
      </c>
      <c r="CT21" s="711" t="n">
        <v>46045</v>
      </c>
      <c r="CU21" s="654" t="n">
        <v>46084</v>
      </c>
      <c r="DY21" s="17" t="n"/>
      <c r="EB21" s="271" t="n"/>
      <c r="EC21" s="271" t="n"/>
      <c r="ED21" s="271" t="n"/>
      <c r="FH21" s="271" t="n"/>
      <c r="FK21" s="271" t="n"/>
      <c r="FQ21" s="271" t="n"/>
      <c r="FZ21" s="271" t="n"/>
      <c r="GD21" s="271" t="n"/>
      <c r="GL21" s="51" t="n"/>
      <c r="GV21" s="3" t="n"/>
      <c r="GW21" s="3" t="n"/>
    </row>
    <row r="22" ht="18.75" customHeight="1">
      <c r="A22" s="29" t="inlineStr">
        <is>
          <t>SACOLA PP VERDE</t>
        </is>
      </c>
      <c r="B22" s="9" t="n">
        <v>300</v>
      </c>
      <c r="C22" s="659" t="n">
        <v>187.12</v>
      </c>
      <c r="D22" s="329" t="n"/>
      <c r="BW22" s="120" t="n">
        <v>178</v>
      </c>
      <c r="BX22" s="38" t="n">
        <v>142</v>
      </c>
      <c r="BY22" s="38" t="n">
        <v>111</v>
      </c>
      <c r="BZ22" s="38" t="n">
        <v>106</v>
      </c>
      <c r="CA22" s="38" t="n">
        <v>106</v>
      </c>
      <c r="CB22" s="38" t="n">
        <v>106</v>
      </c>
      <c r="CC22" s="9" t="n">
        <v>106</v>
      </c>
      <c r="CD22" s="9" t="n">
        <v>106</v>
      </c>
      <c r="CE22" s="9" t="n">
        <v>106</v>
      </c>
      <c r="CF22" s="154">
        <f>CD22+IF(NOT(ISBLANK(OFFSET(CF22,0,6))),N(OFFSET(CF22,0,6)),N(OFFSET(CF22,0,7)))-CE22</f>
        <v/>
      </c>
      <c r="CH22" s="19" t="n"/>
      <c r="CI22" s="19" t="n"/>
      <c r="CK22" s="65" t="n"/>
      <c r="CL22" s="691" t="n">
        <v>0</v>
      </c>
      <c r="CM22" s="18" t="n">
        <v>0</v>
      </c>
      <c r="CN22" s="18" t="n">
        <v>0</v>
      </c>
      <c r="CO22" s="18" t="n"/>
      <c r="CP22" s="18" t="n"/>
      <c r="CQ22" s="18" t="n"/>
      <c r="CR22" s="18" t="n"/>
      <c r="CS22" s="18" t="n"/>
      <c r="CT22" s="18" t="n"/>
      <c r="CU22" s="18" t="n"/>
      <c r="DY22" s="17" t="n"/>
      <c r="EB22" s="271" t="n"/>
      <c r="EC22" s="271" t="n"/>
      <c r="ED22" s="271" t="n"/>
      <c r="FH22" s="271" t="n"/>
      <c r="FK22" s="271" t="n"/>
      <c r="FQ22" s="271" t="n"/>
      <c r="FZ22" s="271" t="n"/>
      <c r="GD22" s="271" t="n"/>
      <c r="GL22" s="51" t="n"/>
      <c r="GV22" s="3" t="n"/>
      <c r="GW22" s="3" t="n"/>
    </row>
    <row r="23" ht="18.75" customHeight="1">
      <c r="A23" s="29" t="inlineStr">
        <is>
          <t xml:space="preserve">SACOLA P VERDE </t>
        </is>
      </c>
      <c r="B23" s="9" t="n">
        <v>200</v>
      </c>
      <c r="C23" s="659" t="n">
        <v>193.08</v>
      </c>
      <c r="D23" s="329" t="n"/>
      <c r="BW23" s="38" t="n">
        <v>566</v>
      </c>
      <c r="BX23" s="38" t="n">
        <v>566</v>
      </c>
      <c r="BY23" s="38" t="n">
        <v>561</v>
      </c>
      <c r="BZ23" s="38" t="n">
        <v>561</v>
      </c>
      <c r="CA23" s="38" t="n">
        <v>561</v>
      </c>
      <c r="CB23" s="38" t="n">
        <v>561</v>
      </c>
      <c r="CC23" s="9" t="n">
        <v>561</v>
      </c>
      <c r="CD23" s="9" t="n">
        <v>561</v>
      </c>
      <c r="CE23" s="9" t="n">
        <v>561</v>
      </c>
      <c r="CF23" s="154">
        <f>CD23+IF(NOT(ISBLANK(OFFSET(CF23,0,6))),N(OFFSET(CF23,0,6)),N(OFFSET(CF23,0,7)))-CE23</f>
        <v/>
      </c>
      <c r="CH23" s="19" t="n"/>
      <c r="CI23" s="19" t="n"/>
      <c r="CK23" s="65" t="n"/>
      <c r="CL23" s="691" t="n">
        <v>0</v>
      </c>
      <c r="CM23" s="18" t="n">
        <v>0</v>
      </c>
      <c r="CN23" s="18" t="n">
        <v>0</v>
      </c>
      <c r="CO23" s="18" t="n"/>
      <c r="CP23" s="18" t="n"/>
      <c r="CQ23" s="18" t="n"/>
      <c r="CR23" s="18" t="n"/>
      <c r="CS23" s="18" t="n"/>
      <c r="CT23" s="18" t="n"/>
      <c r="CU23" s="18" t="n"/>
      <c r="DY23" s="17" t="n"/>
      <c r="EB23" s="271" t="n"/>
      <c r="EC23" s="271" t="n"/>
      <c r="ED23" s="271" t="n"/>
      <c r="FH23" s="271" t="n"/>
      <c r="FK23" s="271" t="n"/>
      <c r="FQ23" s="271" t="n"/>
      <c r="FZ23" s="271" t="n"/>
      <c r="GD23" s="271" t="n"/>
      <c r="GL23" s="51" t="n"/>
      <c r="GV23" s="3" t="n"/>
      <c r="GW23" s="3" t="n"/>
    </row>
    <row r="24" ht="18.75" customHeight="1">
      <c r="A24" s="29" t="inlineStr">
        <is>
          <t>SACOLA M VERDE</t>
        </is>
      </c>
      <c r="B24" s="9" t="n">
        <v>200</v>
      </c>
      <c r="C24" s="659" t="n">
        <v>253.83</v>
      </c>
      <c r="D24" s="329" t="n"/>
      <c r="BW24" s="38" t="n">
        <v>386</v>
      </c>
      <c r="BX24" s="38" t="n">
        <v>383</v>
      </c>
      <c r="BY24" s="38" t="n">
        <v>370</v>
      </c>
      <c r="BZ24" s="38" t="n">
        <v>370</v>
      </c>
      <c r="CA24" s="38" t="n">
        <v>370</v>
      </c>
      <c r="CB24" s="38" t="n">
        <v>370</v>
      </c>
      <c r="CC24" s="9" t="n">
        <v>370</v>
      </c>
      <c r="CD24" s="9" t="n">
        <v>370</v>
      </c>
      <c r="CE24" s="9" t="n">
        <v>370</v>
      </c>
      <c r="CF24" s="154">
        <f>CD24+IF(NOT(ISBLANK(OFFSET(CF24,0,6))),N(OFFSET(CF24,0,6)),N(OFFSET(CF24,0,7)))-CE24</f>
        <v/>
      </c>
      <c r="CH24" s="19" t="n"/>
      <c r="CI24" s="19" t="n"/>
      <c r="CK24" s="65" t="n"/>
      <c r="CL24" s="691" t="n">
        <v>0</v>
      </c>
      <c r="CM24" s="18" t="n">
        <v>0</v>
      </c>
      <c r="CN24" s="18" t="n">
        <v>0</v>
      </c>
      <c r="CO24" s="18" t="n"/>
      <c r="CP24" s="18" t="n"/>
      <c r="CQ24" s="18" t="n"/>
      <c r="CR24" s="18" t="n"/>
      <c r="CS24" s="18" t="n"/>
      <c r="CT24" s="18" t="n"/>
      <c r="CU24" s="18" t="n"/>
      <c r="DY24" s="17" t="n"/>
      <c r="EB24" s="271" t="n"/>
      <c r="EC24" s="271" t="n"/>
      <c r="ED24" s="271" t="n"/>
      <c r="FH24" s="271" t="n"/>
      <c r="FK24" s="271" t="n"/>
      <c r="FQ24" s="271" t="n"/>
      <c r="FZ24" s="271" t="n"/>
      <c r="GD24" s="271" t="n"/>
      <c r="GL24" s="51" t="n"/>
      <c r="GV24" s="3" t="n"/>
      <c r="GW24" s="3" t="n"/>
    </row>
    <row r="25" ht="18.75" customHeight="1">
      <c r="DY25" s="17" t="n"/>
      <c r="EB25" s="271" t="n"/>
      <c r="EC25" s="271" t="n"/>
      <c r="ED25" s="271" t="n"/>
      <c r="FH25" s="271" t="n"/>
      <c r="FK25" s="271" t="n"/>
      <c r="FQ25" s="271" t="n"/>
      <c r="FZ25" s="271" t="n"/>
      <c r="GD25" s="271" t="n"/>
      <c r="GL25" s="51" t="n"/>
      <c r="GV25" s="3" t="n"/>
      <c r="GW25" s="3" t="n"/>
    </row>
    <row r="26" ht="18.75" customFormat="1" customHeight="1" s="3">
      <c r="A26" s="32" t="inlineStr">
        <is>
          <t>KIT SACOLAS BOTICÁRIO VENDIDAS</t>
        </is>
      </c>
      <c r="B26" s="575" t="inlineStr">
        <is>
          <t>PC</t>
        </is>
      </c>
      <c r="C26" s="575" t="inlineStr">
        <is>
          <t>R$</t>
        </is>
      </c>
      <c r="D26" s="575" t="n"/>
      <c r="E26" s="642" t="n"/>
      <c r="F26" s="650" t="n">
        <v>46021</v>
      </c>
      <c r="G26" s="650" t="n">
        <v>45663</v>
      </c>
      <c r="H26" s="650" t="n">
        <v>45670</v>
      </c>
      <c r="I26" s="650" t="n">
        <v>45677</v>
      </c>
      <c r="J26" s="650" t="n">
        <v>45684</v>
      </c>
      <c r="K26" s="650" t="n">
        <v>45691</v>
      </c>
      <c r="L26" s="650" t="n">
        <v>45698</v>
      </c>
      <c r="M26" s="650" t="n">
        <v>45705</v>
      </c>
      <c r="N26" s="650" t="n">
        <v>45712</v>
      </c>
      <c r="O26" s="650" t="n">
        <v>45719</v>
      </c>
      <c r="P26" s="650" t="n">
        <v>45726</v>
      </c>
      <c r="Q26" s="650" t="n">
        <v>45733</v>
      </c>
      <c r="R26" s="650" t="n">
        <v>45740</v>
      </c>
      <c r="S26" s="650" t="n">
        <v>45747</v>
      </c>
      <c r="T26" s="650" t="n">
        <v>45754</v>
      </c>
      <c r="U26" s="650" t="n">
        <v>45761</v>
      </c>
      <c r="V26" s="650" t="n">
        <v>45768</v>
      </c>
      <c r="W26" s="650" t="n">
        <v>45775</v>
      </c>
      <c r="X26" s="650" t="n">
        <v>45782</v>
      </c>
      <c r="Y26" s="650" t="n">
        <v>45789</v>
      </c>
      <c r="Z26" s="650" t="n">
        <v>45796</v>
      </c>
      <c r="AA26" s="650" t="n">
        <v>45803</v>
      </c>
      <c r="AB26" s="650" t="n">
        <v>45810</v>
      </c>
      <c r="AC26" s="650" t="n">
        <v>45817</v>
      </c>
      <c r="AD26" s="650" t="n">
        <v>45824</v>
      </c>
      <c r="AE26" s="650" t="n">
        <v>45831</v>
      </c>
      <c r="AF26" s="650" t="n">
        <v>45838</v>
      </c>
      <c r="AG26" s="650" t="n">
        <v>45845</v>
      </c>
      <c r="AH26" s="650" t="n">
        <v>45852</v>
      </c>
      <c r="AI26" s="650" t="n">
        <v>45859</v>
      </c>
      <c r="AJ26" s="650" t="n">
        <v>45866</v>
      </c>
      <c r="AK26" s="650" t="n">
        <v>45873</v>
      </c>
      <c r="AL26" s="650" t="n">
        <v>45880</v>
      </c>
      <c r="AM26" s="650" t="n">
        <v>45887</v>
      </c>
      <c r="AN26" s="650" t="n">
        <v>45894</v>
      </c>
      <c r="AO26" s="650" t="n">
        <v>45901</v>
      </c>
      <c r="AP26" s="650" t="n">
        <v>45908</v>
      </c>
      <c r="AQ26" s="650" t="n">
        <v>45915</v>
      </c>
      <c r="AR26" s="650" t="n">
        <v>45922</v>
      </c>
      <c r="AS26" s="650" t="n">
        <v>45929</v>
      </c>
      <c r="AT26" s="650" t="n">
        <v>45936</v>
      </c>
      <c r="AU26" s="650" t="n">
        <v>45943</v>
      </c>
      <c r="AV26" s="650" t="n">
        <v>45950</v>
      </c>
      <c r="AW26" s="650" t="n">
        <v>45957</v>
      </c>
      <c r="AX26" s="650" t="n">
        <v>45964</v>
      </c>
      <c r="AY26" s="650" t="n">
        <v>45971</v>
      </c>
      <c r="AZ26" s="650" t="n">
        <v>45978</v>
      </c>
      <c r="BA26" s="650" t="n">
        <v>45985</v>
      </c>
      <c r="BB26" s="650" t="n">
        <v>45992</v>
      </c>
      <c r="BC26" s="650" t="n">
        <v>45999</v>
      </c>
      <c r="BD26" s="650" t="n">
        <v>46006</v>
      </c>
      <c r="BE26" s="650" t="n">
        <v>46013</v>
      </c>
      <c r="BF26" s="650" t="n">
        <v>46020</v>
      </c>
      <c r="BG26" s="650" t="n">
        <v>46027</v>
      </c>
      <c r="BH26" s="650" t="n">
        <v>46034</v>
      </c>
      <c r="BI26" s="650" t="n">
        <v>46041</v>
      </c>
      <c r="BJ26" s="650" t="n">
        <v>46048</v>
      </c>
      <c r="BK26" s="650" t="n">
        <v>46055</v>
      </c>
      <c r="BL26" s="650" t="n">
        <v>46062</v>
      </c>
      <c r="BM26" s="650" t="n">
        <v>46069</v>
      </c>
      <c r="BN26" s="650" t="n">
        <v>46076</v>
      </c>
      <c r="BO26" s="650" t="n">
        <v>46083</v>
      </c>
      <c r="BP26" s="650" t="n">
        <v>46090</v>
      </c>
      <c r="BQ26" s="650" t="n">
        <v>46097</v>
      </c>
      <c r="BR26" s="650" t="n">
        <v>46104</v>
      </c>
      <c r="BS26" s="650" t="n">
        <v>46111</v>
      </c>
      <c r="BT26" s="650" t="n">
        <v>46118</v>
      </c>
      <c r="BU26" s="650" t="n">
        <v>46125</v>
      </c>
      <c r="BV26" s="650" t="n">
        <v>46132</v>
      </c>
      <c r="BW26" s="650" t="n">
        <v>46139</v>
      </c>
      <c r="BX26" s="650" t="n">
        <v>46146</v>
      </c>
      <c r="BY26" s="650" t="n">
        <v>46154</v>
      </c>
      <c r="BZ26" s="650" t="n">
        <v>46160</v>
      </c>
      <c r="CA26" s="650" t="n">
        <v>46160</v>
      </c>
      <c r="CB26" s="650" t="n">
        <v>46160</v>
      </c>
      <c r="CC26" s="651" t="n">
        <v>46161.48004043981</v>
      </c>
      <c r="CD26" s="651" t="n">
        <v>46161.48071866898</v>
      </c>
      <c r="CE26" s="651" t="n">
        <v>46161.48287732809</v>
      </c>
      <c r="CF26" s="652" t="inlineStr">
        <is>
          <t>USOU</t>
        </is>
      </c>
      <c r="CG26" s="6" t="n"/>
      <c r="CH26" s="413" t="inlineStr">
        <is>
          <t>TRANSFERÊNCIA</t>
        </is>
      </c>
      <c r="CI26" s="35" t="inlineStr">
        <is>
          <t>Pend.</t>
        </is>
      </c>
      <c r="CK26" s="12" t="inlineStr">
        <is>
          <t>Novo Pedido</t>
        </is>
      </c>
      <c r="CL26" s="708" t="n">
        <v>46161.48287614415</v>
      </c>
      <c r="CM26" s="654" t="n"/>
      <c r="CN26" s="654" t="n">
        <v>46149</v>
      </c>
      <c r="CO26" s="654" t="n">
        <v>46114</v>
      </c>
      <c r="CP26" s="654" t="n">
        <v>46107</v>
      </c>
      <c r="CQ26" s="710" t="n">
        <v>46065</v>
      </c>
      <c r="CR26" s="654" t="n">
        <v>46099</v>
      </c>
      <c r="CS26" s="654" t="n">
        <v>46092</v>
      </c>
      <c r="CT26" s="711" t="n">
        <v>46045</v>
      </c>
      <c r="CU26" s="654" t="n">
        <v>46084</v>
      </c>
      <c r="CV26" s="655" t="n">
        <v>46084</v>
      </c>
      <c r="CW26" s="654" t="n">
        <v>46077</v>
      </c>
      <c r="CX26" s="655" t="n">
        <v>46077</v>
      </c>
      <c r="CY26" s="654" t="n">
        <v>46071</v>
      </c>
      <c r="CZ26" s="654" t="n">
        <v>46048</v>
      </c>
      <c r="DA26" s="654" t="n">
        <v>46043</v>
      </c>
      <c r="DB26" s="654" t="n">
        <v>46035</v>
      </c>
      <c r="DC26" s="654" t="n">
        <v>46029</v>
      </c>
      <c r="DD26" s="655" t="n">
        <v>46043</v>
      </c>
      <c r="DE26" s="654" t="n">
        <v>46024</v>
      </c>
      <c r="DF26" s="654" t="n">
        <v>46029</v>
      </c>
      <c r="DG26" s="654" t="n">
        <v>46024</v>
      </c>
      <c r="DH26" s="654" t="n">
        <v>46372</v>
      </c>
      <c r="DI26" s="654" t="n">
        <v>46024</v>
      </c>
      <c r="DJ26" s="654" t="n">
        <v>46017</v>
      </c>
      <c r="DK26" s="654" t="n">
        <v>46007</v>
      </c>
      <c r="DL26" s="654" t="n">
        <v>46001</v>
      </c>
      <c r="DM26" s="654" t="n">
        <v>46007</v>
      </c>
      <c r="DN26" s="654" t="n">
        <v>46001</v>
      </c>
      <c r="DO26" s="654" t="n">
        <v>45994</v>
      </c>
      <c r="DP26" s="654" t="n">
        <v>45986</v>
      </c>
      <c r="DQ26" s="654" t="n">
        <v>45980</v>
      </c>
      <c r="DR26" s="654" t="n">
        <v>45980</v>
      </c>
      <c r="DS26" s="654" t="n">
        <v>45973</v>
      </c>
      <c r="DT26" s="654" t="n">
        <v>45965</v>
      </c>
      <c r="DU26" s="654" t="n">
        <v>45960</v>
      </c>
      <c r="DV26" s="654" t="n">
        <v>45945</v>
      </c>
      <c r="DW26" s="654" t="n">
        <v>45939</v>
      </c>
      <c r="DX26" s="654" t="n">
        <v>45931</v>
      </c>
      <c r="DY26" s="678" t="n">
        <v>45903</v>
      </c>
      <c r="DZ26" s="654" t="n">
        <v>45923</v>
      </c>
      <c r="EA26" s="654" t="n">
        <v>45915</v>
      </c>
      <c r="EB26" s="655" t="n">
        <v>45931</v>
      </c>
      <c r="EC26" s="688" t="n">
        <v>45931</v>
      </c>
      <c r="ED26" s="688" t="n">
        <v>45931</v>
      </c>
      <c r="EE26" s="654" t="n">
        <v>45903</v>
      </c>
      <c r="EF26" s="654" t="n">
        <v>45909</v>
      </c>
      <c r="EG26" s="654" t="n">
        <v>45903</v>
      </c>
      <c r="EH26" s="654" t="n">
        <v>45903</v>
      </c>
      <c r="EI26" s="654" t="n">
        <v>45895</v>
      </c>
      <c r="EJ26" s="679" t="n">
        <v>45896</v>
      </c>
      <c r="EK26" s="654" t="n">
        <v>45888</v>
      </c>
      <c r="EL26" s="654" t="n">
        <v>45881</v>
      </c>
      <c r="EM26" s="655" t="n">
        <v>45882</v>
      </c>
      <c r="EN26" s="654" t="n">
        <v>45874</v>
      </c>
      <c r="EO26" s="654" t="n">
        <v>45867</v>
      </c>
      <c r="EP26" s="654" t="n">
        <v>45860</v>
      </c>
      <c r="EQ26" s="654" t="n">
        <v>45853</v>
      </c>
      <c r="ER26" s="655" t="n">
        <v>45860</v>
      </c>
      <c r="ES26" s="681" t="n">
        <v>45855</v>
      </c>
      <c r="ET26" s="654" t="n">
        <v>45848</v>
      </c>
      <c r="EU26" s="681" t="n">
        <v>45853</v>
      </c>
      <c r="EV26" s="654" t="n">
        <v>45839</v>
      </c>
      <c r="EW26" s="681" t="n">
        <v>45791</v>
      </c>
      <c r="EX26" s="654" t="n">
        <v>45832</v>
      </c>
      <c r="EY26" s="654" t="n">
        <v>45825</v>
      </c>
      <c r="EZ26" s="655" t="n">
        <v>45826</v>
      </c>
      <c r="FA26" s="654" t="n">
        <v>45819</v>
      </c>
      <c r="FB26" s="655" t="n">
        <v>45819</v>
      </c>
      <c r="FC26" s="655" t="n">
        <v>45818</v>
      </c>
      <c r="FD26" s="655" t="n">
        <v>45807</v>
      </c>
      <c r="FE26" s="654" t="n">
        <v>45790</v>
      </c>
      <c r="FF26" s="654" t="n">
        <v>45798</v>
      </c>
      <c r="FG26" s="690" t="n">
        <v>45800</v>
      </c>
      <c r="FH26" s="650" t="n">
        <v>45799</v>
      </c>
      <c r="FI26" s="655" t="n">
        <v>45799</v>
      </c>
      <c r="FJ26" s="690" t="n">
        <v>45799</v>
      </c>
      <c r="FK26" s="650" t="n">
        <v>45798</v>
      </c>
      <c r="FL26" s="655" t="n">
        <v>45798</v>
      </c>
      <c r="FM26" s="655" t="n">
        <v>45797</v>
      </c>
      <c r="FN26" s="655" t="n">
        <v>45794</v>
      </c>
      <c r="FO26" s="654" t="n">
        <v>45790</v>
      </c>
      <c r="FP26" s="683" t="n">
        <v>45735</v>
      </c>
      <c r="FQ26" s="650" t="n">
        <v>45786</v>
      </c>
      <c r="FR26" s="654" t="n">
        <v>45783</v>
      </c>
      <c r="FS26" s="654" t="n">
        <v>45770</v>
      </c>
      <c r="FT26" s="654" t="n">
        <v>45775</v>
      </c>
      <c r="FU26" s="654" t="n">
        <v>45770</v>
      </c>
      <c r="FV26" s="655" t="n">
        <v>45775</v>
      </c>
      <c r="FW26" s="654" t="n">
        <v>45756</v>
      </c>
      <c r="FX26" s="654" t="n">
        <v>45749</v>
      </c>
      <c r="FY26" s="654" t="n">
        <v>45743</v>
      </c>
      <c r="FZ26" s="650" t="n">
        <v>45740</v>
      </c>
      <c r="GA26" s="654" t="n">
        <v>45728</v>
      </c>
      <c r="GB26" s="654" t="n">
        <v>45714</v>
      </c>
      <c r="GC26" s="654" t="n">
        <v>45706</v>
      </c>
      <c r="GD26" s="650" t="n">
        <v>45700</v>
      </c>
      <c r="GE26" s="654" t="n">
        <v>45706</v>
      </c>
      <c r="GF26" s="654" t="n">
        <v>45699</v>
      </c>
      <c r="GG26" s="655" t="n">
        <v>45706</v>
      </c>
      <c r="GH26" s="654" t="n">
        <v>45693</v>
      </c>
      <c r="GI26" s="654" t="n">
        <v>45693</v>
      </c>
      <c r="GJ26" s="654" t="n">
        <v>45685</v>
      </c>
      <c r="GK26" s="654" t="n">
        <v>45685</v>
      </c>
      <c r="GL26" s="712" t="n">
        <v>45692</v>
      </c>
      <c r="GM26" s="655" t="n">
        <v>45691</v>
      </c>
      <c r="GN26" s="655" t="n">
        <v>45681</v>
      </c>
      <c r="GO26" s="655" t="n">
        <v>45672</v>
      </c>
      <c r="GP26" s="654" t="n">
        <v>45664</v>
      </c>
      <c r="GQ26" s="654" t="n">
        <v>45660</v>
      </c>
      <c r="GR26" s="654" t="n">
        <v>45660</v>
      </c>
      <c r="GS26" s="654" t="n">
        <v>46017</v>
      </c>
      <c r="GT26" s="654" t="n">
        <v>45643</v>
      </c>
      <c r="GU26" s="654" t="n">
        <v>45638</v>
      </c>
    </row>
    <row r="27" ht="18.75" customFormat="1" customHeight="1" s="3">
      <c r="A27" s="33" t="inlineStr">
        <is>
          <t>KIT SACOLA PP VERDE (KIT C/ 10)</t>
        </is>
      </c>
      <c r="B27" s="9" t="n">
        <v>280</v>
      </c>
      <c r="C27" s="662" t="n">
        <v>174.76</v>
      </c>
      <c r="D27" s="329" t="n">
        <v>15</v>
      </c>
      <c r="E27" s="714" t="n"/>
      <c r="F27" s="120" t="n">
        <v>0</v>
      </c>
      <c r="G27" s="120" t="n">
        <v>0</v>
      </c>
      <c r="H27" s="120" t="n">
        <v>0</v>
      </c>
      <c r="I27" s="120" t="n">
        <v>0</v>
      </c>
      <c r="J27" s="120" t="n">
        <v>0</v>
      </c>
      <c r="K27" s="120">
        <f>0+GH27</f>
        <v/>
      </c>
      <c r="L27" s="120" t="n">
        <v>28</v>
      </c>
      <c r="M27" s="120" t="n">
        <v>28</v>
      </c>
      <c r="N27" s="120" t="n">
        <v>28</v>
      </c>
      <c r="O27" s="120" t="n">
        <v>28</v>
      </c>
      <c r="P27" s="120" t="n">
        <v>28</v>
      </c>
      <c r="Q27" s="120" t="n">
        <v>28</v>
      </c>
      <c r="R27" s="120" t="n">
        <v>28</v>
      </c>
      <c r="S27" s="120" t="n">
        <v>28</v>
      </c>
      <c r="T27" s="120" t="n">
        <v>28</v>
      </c>
      <c r="U27" s="120" t="n">
        <v>28</v>
      </c>
      <c r="V27" s="120" t="n">
        <v>28</v>
      </c>
      <c r="W27" s="120" t="n">
        <v>28</v>
      </c>
      <c r="X27" s="120" t="n">
        <v>28</v>
      </c>
      <c r="Y27" s="120" t="n">
        <v>28</v>
      </c>
      <c r="Z27" s="120" t="n">
        <v>28</v>
      </c>
      <c r="AA27" s="120" t="n">
        <v>28</v>
      </c>
      <c r="AB27" s="120" t="n">
        <v>28</v>
      </c>
      <c r="AC27" s="120" t="n">
        <v>28</v>
      </c>
      <c r="AD27" s="120" t="n">
        <v>28</v>
      </c>
      <c r="AE27" s="120" t="n">
        <v>28</v>
      </c>
      <c r="AF27" s="120" t="n">
        <v>28</v>
      </c>
      <c r="AG27" s="120" t="n">
        <v>28</v>
      </c>
      <c r="AH27" s="120" t="n">
        <v>28</v>
      </c>
      <c r="AI27" s="120" t="n">
        <v>28</v>
      </c>
      <c r="AJ27" s="120" t="n">
        <v>28</v>
      </c>
      <c r="AK27" s="120" t="n">
        <v>28</v>
      </c>
      <c r="AL27" s="120" t="n">
        <v>28</v>
      </c>
      <c r="AM27" s="120" t="n">
        <v>28</v>
      </c>
      <c r="AN27" s="120" t="n">
        <v>28</v>
      </c>
      <c r="AO27" s="120" t="n">
        <v>28</v>
      </c>
      <c r="AP27" s="120" t="n">
        <v>28</v>
      </c>
      <c r="AQ27" s="120" t="n">
        <v>28</v>
      </c>
      <c r="AR27" s="120" t="n">
        <v>28</v>
      </c>
      <c r="AS27" s="120" t="n">
        <v>28</v>
      </c>
      <c r="AT27" s="120" t="n">
        <v>28</v>
      </c>
      <c r="AU27" s="120" t="n">
        <v>28</v>
      </c>
      <c r="AV27" s="120" t="n">
        <v>23</v>
      </c>
      <c r="AW27" s="120" t="n">
        <v>23</v>
      </c>
      <c r="AX27" s="120" t="n">
        <v>19</v>
      </c>
      <c r="AY27" s="120" t="n">
        <v>19</v>
      </c>
      <c r="AZ27" s="120" t="n">
        <v>19</v>
      </c>
      <c r="BA27" s="120" t="n">
        <v>19</v>
      </c>
      <c r="BB27" s="120" t="n">
        <v>18</v>
      </c>
      <c r="BC27" s="120" t="n">
        <v>17</v>
      </c>
      <c r="BD27" s="120" t="n">
        <v>17</v>
      </c>
      <c r="BE27" s="120" t="n">
        <v>17</v>
      </c>
      <c r="BF27" s="120" t="n">
        <v>17</v>
      </c>
      <c r="BG27" s="120" t="n">
        <v>17</v>
      </c>
      <c r="BH27" s="120" t="n">
        <v>17</v>
      </c>
      <c r="BI27" s="120" t="n">
        <v>17</v>
      </c>
      <c r="BJ27" s="120" t="n">
        <v>17</v>
      </c>
      <c r="BK27" s="120" t="n">
        <v>17</v>
      </c>
      <c r="BL27" s="120" t="n">
        <v>17</v>
      </c>
      <c r="BM27" s="120" t="n">
        <v>17</v>
      </c>
      <c r="BN27" s="120" t="n">
        <v>17</v>
      </c>
      <c r="BO27" s="120" t="n">
        <v>17</v>
      </c>
      <c r="BP27" s="120" t="n">
        <v>17</v>
      </c>
      <c r="BQ27" s="120" t="n">
        <v>8</v>
      </c>
      <c r="BR27" s="120" t="n">
        <v>7</v>
      </c>
      <c r="BS27" s="120" t="n">
        <v>0</v>
      </c>
      <c r="BT27" s="120" t="n">
        <v>0</v>
      </c>
      <c r="BU27" s="120" t="n">
        <v>0</v>
      </c>
      <c r="BV27" s="120" t="n">
        <v>0</v>
      </c>
      <c r="BW27" s="120" t="n">
        <v>0</v>
      </c>
      <c r="BX27" s="262" t="n">
        <v>8</v>
      </c>
      <c r="BY27" s="120" t="n">
        <v>6</v>
      </c>
      <c r="BZ27" s="120" t="n">
        <v>4</v>
      </c>
      <c r="CA27" s="120" t="n">
        <v>4</v>
      </c>
      <c r="CB27" s="120" t="n">
        <v>4</v>
      </c>
      <c r="CC27" s="715" t="n">
        <v>4</v>
      </c>
      <c r="CD27" s="715" t="n">
        <v>4</v>
      </c>
      <c r="CE27" s="715" t="n">
        <v>4</v>
      </c>
      <c r="CF27" s="154">
        <f>CD27+IF(NOT(ISBLANK(OFFSET(CF27,0,6))),N(OFFSET(CF27,0,6)),N(OFFSET(CF27,0,7)))-CE27</f>
        <v/>
      </c>
      <c r="CG27" s="118" t="n"/>
      <c r="CH27" s="19" t="n"/>
      <c r="CI27" s="19" t="n"/>
      <c r="CJ27" s="119" t="n"/>
      <c r="CK27" s="65" t="n"/>
      <c r="CL27" s="691" t="n">
        <v>0</v>
      </c>
      <c r="CM27" s="18" t="n">
        <v>0</v>
      </c>
      <c r="CN27" s="18" t="n">
        <v>0</v>
      </c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  <c r="DU27" s="18" t="n"/>
      <c r="DV27" s="18" t="n"/>
      <c r="DW27" s="18" t="n"/>
      <c r="DX27" s="18" t="n"/>
      <c r="DY27" s="256" t="n">
        <v>20</v>
      </c>
      <c r="DZ27" s="18" t="n"/>
      <c r="EA27" s="18" t="n"/>
      <c r="EB27" s="256" t="n"/>
      <c r="EC27" s="404" t="inlineStr">
        <is>
          <t>40 DE CDP</t>
        </is>
      </c>
      <c r="ED27" s="256" t="n"/>
      <c r="EE27" s="18" t="n"/>
      <c r="EF27" s="18" t="n"/>
      <c r="EG27" s="18" t="n"/>
      <c r="EH27" s="18" t="n"/>
      <c r="EI27" s="18" t="n"/>
      <c r="EJ27" s="18" t="n"/>
      <c r="EK27" s="18" t="n"/>
      <c r="EL27" s="18" t="n"/>
      <c r="EM27" s="18" t="n"/>
      <c r="EN27" s="18" t="n"/>
      <c r="EO27" s="18" t="n"/>
      <c r="EP27" s="18" t="n"/>
      <c r="EQ27" s="18" t="n"/>
      <c r="ER27" s="18" t="n"/>
      <c r="ES27" s="18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/>
      <c r="FC27" s="18" t="n"/>
      <c r="FD27" s="18" t="n"/>
      <c r="FE27" s="18" t="n"/>
      <c r="FF27" s="18" t="n"/>
      <c r="FG27" s="18" t="n"/>
      <c r="FH27" s="256" t="n"/>
      <c r="FI27" s="18" t="n"/>
      <c r="FJ27" s="18" t="n"/>
      <c r="FK27" s="292" t="inlineStr">
        <is>
          <t>295 DE CD</t>
        </is>
      </c>
      <c r="FL27" s="18" t="n"/>
      <c r="FM27" s="18" t="n"/>
      <c r="FN27" s="18" t="n"/>
      <c r="FO27" s="18" t="n"/>
      <c r="FP27" s="18" t="n"/>
      <c r="FQ27" s="292" t="inlineStr">
        <is>
          <t>287 P/ BRINDE</t>
        </is>
      </c>
      <c r="FR27" s="18" t="n"/>
      <c r="FS27" s="18" t="n"/>
      <c r="FT27" s="18" t="n"/>
      <c r="FU27" s="18" t="n"/>
      <c r="FV27" s="18" t="n"/>
      <c r="FW27" s="18" t="n"/>
      <c r="FX27" s="18" t="n"/>
      <c r="FY27" s="18" t="n"/>
      <c r="FZ27" s="256" t="inlineStr">
        <is>
          <t>100 p. erp</t>
        </is>
      </c>
      <c r="GA27" s="18" t="n"/>
      <c r="GB27" s="18" t="n"/>
      <c r="GC27" s="18" t="n"/>
      <c r="GD27" s="256" t="n">
        <v>400</v>
      </c>
      <c r="GE27" s="18" t="n"/>
      <c r="GF27" s="18" t="n"/>
      <c r="GG27" s="18" t="n"/>
      <c r="GH27" s="18" t="n"/>
      <c r="GI27" s="18" t="n"/>
      <c r="GJ27" s="18" t="n"/>
      <c r="GK27" s="18" t="n">
        <v>28</v>
      </c>
      <c r="GL27" s="18" t="n"/>
      <c r="GM27" s="18" t="n"/>
      <c r="GN27" s="18" t="n"/>
      <c r="GO27" s="18" t="n"/>
      <c r="GP27" s="18" t="n"/>
      <c r="GQ27" s="18" t="n"/>
      <c r="GR27" s="18" t="n"/>
      <c r="GS27" s="18" t="n"/>
      <c r="GT27" s="18" t="n"/>
      <c r="GU27" s="18" t="n"/>
    </row>
    <row r="28" ht="18.75" customFormat="1" customHeight="1" s="3">
      <c r="A28" s="33" t="inlineStr">
        <is>
          <t>KIT SACOLA P VERDE (KIT C/ 10)</t>
        </is>
      </c>
      <c r="B28" s="9" t="n">
        <v>200</v>
      </c>
      <c r="C28" s="662" t="n">
        <v>193.24</v>
      </c>
      <c r="D28" s="329" t="n">
        <v>15</v>
      </c>
      <c r="E28" s="2" t="n"/>
      <c r="F28" s="38" t="n">
        <v>0</v>
      </c>
      <c r="G28" s="38" t="n">
        <v>0</v>
      </c>
      <c r="H28" s="38" t="n">
        <v>0</v>
      </c>
      <c r="I28" s="38" t="n">
        <v>0</v>
      </c>
      <c r="J28" s="38" t="n">
        <v>0</v>
      </c>
      <c r="K28" s="38">
        <f>0+GH28</f>
        <v/>
      </c>
      <c r="L28" s="38" t="n">
        <v>20</v>
      </c>
      <c r="M28" s="38" t="n">
        <v>20</v>
      </c>
      <c r="N28" s="38" t="n">
        <v>20</v>
      </c>
      <c r="O28" s="38" t="n">
        <v>19</v>
      </c>
      <c r="P28" s="38" t="n">
        <v>19</v>
      </c>
      <c r="Q28" s="38" t="n">
        <v>40</v>
      </c>
      <c r="R28" s="38" t="n">
        <v>19</v>
      </c>
      <c r="S28" s="38" t="n">
        <v>19</v>
      </c>
      <c r="T28" s="38" t="n">
        <v>59</v>
      </c>
      <c r="U28" s="261" t="n">
        <v>80</v>
      </c>
      <c r="V28" s="38" t="n">
        <v>80</v>
      </c>
      <c r="W28" s="38" t="n">
        <v>80</v>
      </c>
      <c r="X28" s="38" t="n">
        <v>80</v>
      </c>
      <c r="Y28" s="38" t="n">
        <v>80</v>
      </c>
      <c r="Z28" s="38" t="n">
        <v>80</v>
      </c>
      <c r="AA28" s="38">
        <f>80-30</f>
        <v/>
      </c>
      <c r="AB28" s="38" t="n">
        <v>50</v>
      </c>
      <c r="AC28" s="38" t="n">
        <v>49</v>
      </c>
      <c r="AD28" s="38" t="n">
        <v>49</v>
      </c>
      <c r="AE28" s="38" t="n">
        <v>49</v>
      </c>
      <c r="AF28" s="38" t="n">
        <v>49</v>
      </c>
      <c r="AG28" s="38" t="n">
        <v>49</v>
      </c>
      <c r="AH28" s="38" t="n">
        <v>49</v>
      </c>
      <c r="AI28" s="38">
        <f>49-20</f>
        <v/>
      </c>
      <c r="AJ28" s="38" t="n">
        <v>29</v>
      </c>
      <c r="AK28" s="38" t="n">
        <v>29</v>
      </c>
      <c r="AL28" s="38" t="n">
        <v>29</v>
      </c>
      <c r="AM28" s="38" t="n">
        <v>29</v>
      </c>
      <c r="AN28" s="38" t="n">
        <v>29</v>
      </c>
      <c r="AO28" s="38" t="n">
        <v>29</v>
      </c>
      <c r="AP28" s="38" t="n">
        <v>29</v>
      </c>
      <c r="AQ28" s="38" t="n">
        <v>29</v>
      </c>
      <c r="AR28" s="38" t="n">
        <v>29</v>
      </c>
      <c r="AS28" s="38" t="n">
        <v>29</v>
      </c>
      <c r="AT28" s="38" t="n">
        <v>29</v>
      </c>
      <c r="AU28" s="38" t="n">
        <v>29</v>
      </c>
      <c r="AV28" s="38" t="n">
        <v>24</v>
      </c>
      <c r="AW28" s="38" t="n">
        <v>24</v>
      </c>
      <c r="AX28" s="38" t="n">
        <v>24</v>
      </c>
      <c r="AY28" s="38" t="n">
        <v>24</v>
      </c>
      <c r="AZ28" s="38" t="n">
        <v>24</v>
      </c>
      <c r="BA28" s="38" t="n">
        <v>24</v>
      </c>
      <c r="BB28" s="38" t="n">
        <v>24</v>
      </c>
      <c r="BC28" s="38" t="n">
        <v>24</v>
      </c>
      <c r="BD28" s="38" t="n">
        <v>24</v>
      </c>
      <c r="BE28" s="38" t="n">
        <v>24</v>
      </c>
      <c r="BF28" s="38" t="n">
        <v>24</v>
      </c>
      <c r="BG28" s="38" t="n">
        <v>24</v>
      </c>
      <c r="BH28" s="38" t="n">
        <v>20</v>
      </c>
      <c r="BI28" s="38" t="n">
        <v>20</v>
      </c>
      <c r="BJ28" s="38" t="n">
        <v>20</v>
      </c>
      <c r="BK28" s="38" t="n">
        <v>20</v>
      </c>
      <c r="BL28" s="38" t="n">
        <v>20</v>
      </c>
      <c r="BM28" s="38" t="n">
        <v>24</v>
      </c>
      <c r="BN28" s="38" t="n">
        <v>24</v>
      </c>
      <c r="BO28" s="38" t="n">
        <v>24</v>
      </c>
      <c r="BP28" s="38" t="n">
        <v>24</v>
      </c>
      <c r="BQ28" s="38" t="n">
        <v>23</v>
      </c>
      <c r="BR28" s="38" t="n">
        <v>23</v>
      </c>
      <c r="BS28" s="38" t="n">
        <v>10</v>
      </c>
      <c r="BT28" s="38" t="n">
        <v>10</v>
      </c>
      <c r="BU28" s="38" t="n">
        <v>10</v>
      </c>
      <c r="BV28" s="38" t="n">
        <v>10</v>
      </c>
      <c r="BW28" s="38" t="n">
        <v>10</v>
      </c>
      <c r="BX28" s="38" t="n">
        <v>10</v>
      </c>
      <c r="BY28" s="38" t="n">
        <v>8</v>
      </c>
      <c r="BZ28" s="38" t="n">
        <v>6</v>
      </c>
      <c r="CA28" s="38" t="n">
        <v>6</v>
      </c>
      <c r="CB28" s="38" t="n">
        <v>6</v>
      </c>
      <c r="CC28" s="9" t="n">
        <v>6</v>
      </c>
      <c r="CD28" s="9" t="n">
        <v>6</v>
      </c>
      <c r="CE28" s="9" t="n">
        <v>6</v>
      </c>
      <c r="CF28" s="154">
        <f>CD28+IF(NOT(ISBLANK(OFFSET(CF28,0,6))),N(OFFSET(CF28,0,6)),N(OFFSET(CF28,0,7)))-CE28</f>
        <v/>
      </c>
      <c r="CG28" s="118" t="n"/>
      <c r="CH28" s="19" t="n"/>
      <c r="CI28" s="19" t="n"/>
      <c r="CJ28" s="119" t="n"/>
      <c r="CK28" s="65" t="n"/>
      <c r="CL28" s="691" t="n">
        <v>0</v>
      </c>
      <c r="CM28" s="18" t="n">
        <v>0</v>
      </c>
      <c r="CN28" s="18" t="n">
        <v>0</v>
      </c>
      <c r="CO28" s="18" t="n"/>
      <c r="CP28" s="18" t="n"/>
      <c r="CQ28" s="403" t="n">
        <v>200</v>
      </c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18" t="n"/>
      <c r="EB28" s="256" t="n"/>
      <c r="EC28" s="256" t="n"/>
      <c r="ED28" s="256" t="n"/>
      <c r="EE28" s="18" t="n"/>
      <c r="EF28" s="18" t="n"/>
      <c r="EG28" s="18" t="n"/>
      <c r="EH28" s="18" t="n"/>
      <c r="EI28" s="18" t="n"/>
      <c r="EJ28" s="18" t="n"/>
      <c r="EK28" s="18" t="n"/>
      <c r="EL28" s="18" t="n"/>
      <c r="EM28" s="18" t="n"/>
      <c r="EN28" s="18" t="n"/>
      <c r="EO28" s="18" t="n"/>
      <c r="EP28" s="18" t="n"/>
      <c r="EQ28" s="18" t="n"/>
      <c r="ER28" s="241" t="inlineStr">
        <is>
          <t>20 P/ CD</t>
        </is>
      </c>
      <c r="ES28" s="256" t="n"/>
      <c r="ET28" s="18" t="n"/>
      <c r="EU28" s="292" t="inlineStr">
        <is>
          <t>100 P/ ER PB</t>
        </is>
      </c>
      <c r="EV28" s="18" t="n"/>
      <c r="EW28" s="256" t="n">
        <v>200</v>
      </c>
      <c r="EX28" s="18" t="n"/>
      <c r="EY28" s="18" t="n"/>
      <c r="EZ28" s="18" t="n"/>
      <c r="FA28" s="18" t="n"/>
      <c r="FB28" s="18" t="n"/>
      <c r="FC28" s="18" t="n"/>
      <c r="FD28" s="239" t="inlineStr">
        <is>
          <t>30 P/ CDP</t>
        </is>
      </c>
      <c r="FE28" s="18" t="n"/>
      <c r="FF28" s="18" t="n"/>
      <c r="FG28" s="256" t="n"/>
      <c r="FH28" s="256" t="n"/>
      <c r="FI28" s="18" t="n"/>
      <c r="FJ28" s="312" t="inlineStr">
        <is>
          <t>50 P/ CD</t>
        </is>
      </c>
      <c r="FK28" s="292" t="inlineStr">
        <is>
          <t>184 DE CD</t>
        </is>
      </c>
      <c r="FL28" s="18" t="n"/>
      <c r="FM28" s="18" t="n"/>
      <c r="FN28" s="18" t="n"/>
      <c r="FO28" s="18" t="n"/>
      <c r="FP28" s="256" t="n">
        <v>100</v>
      </c>
      <c r="FQ28" s="292" t="inlineStr">
        <is>
          <t>80 P/ BRINDE</t>
        </is>
      </c>
      <c r="FR28" s="18" t="n"/>
      <c r="FS28" s="18" t="n"/>
      <c r="FT28" s="18" t="n"/>
      <c r="FU28" s="18" t="n"/>
      <c r="FV28" s="18" t="n"/>
      <c r="FW28" s="18" t="n"/>
      <c r="FX28" s="18" t="n"/>
      <c r="FY28" s="18" t="n">
        <v>40</v>
      </c>
      <c r="FZ28" s="256" t="inlineStr">
        <is>
          <t>100 p. erp</t>
        </is>
      </c>
      <c r="GA28" s="18" t="n"/>
      <c r="GB28" s="18" t="n"/>
      <c r="GC28" s="18" t="n"/>
      <c r="GD28" s="256" t="n">
        <v>200</v>
      </c>
      <c r="GE28" s="18" t="n"/>
      <c r="GF28" s="18" t="n"/>
      <c r="GG28" s="18" t="n"/>
      <c r="GH28" s="18" t="n"/>
      <c r="GI28" s="18" t="n"/>
      <c r="GJ28" s="18" t="n"/>
      <c r="GK28" s="18" t="n">
        <v>20</v>
      </c>
      <c r="GL28" s="18" t="n"/>
      <c r="GM28" s="18" t="n"/>
      <c r="GN28" s="18" t="n"/>
      <c r="GO28" s="18" t="n"/>
      <c r="GP28" s="18" t="n"/>
      <c r="GQ28" s="18" t="n"/>
      <c r="GR28" s="18" t="n"/>
      <c r="GS28" s="18" t="n"/>
      <c r="GT28" s="18" t="n"/>
      <c r="GU28" s="18" t="n"/>
    </row>
    <row r="29" ht="18.75" customFormat="1" customHeight="1" s="3">
      <c r="A29" s="33" t="inlineStr">
        <is>
          <t>KIT SACOLA M VERDE (KIT C/ 10)</t>
        </is>
      </c>
      <c r="B29" s="9" t="n">
        <v>150</v>
      </c>
      <c r="C29" s="662" t="n">
        <v>190.38</v>
      </c>
      <c r="D29" s="329" t="n">
        <v>10</v>
      </c>
      <c r="E29" s="2" t="n"/>
      <c r="F29" s="38" t="n">
        <v>0</v>
      </c>
      <c r="G29" s="38" t="n">
        <v>0</v>
      </c>
      <c r="H29" s="38" t="n">
        <v>0</v>
      </c>
      <c r="I29" s="38" t="n">
        <v>0</v>
      </c>
      <c r="J29" s="38" t="n">
        <v>0</v>
      </c>
      <c r="K29" s="38">
        <f>0+GH29</f>
        <v/>
      </c>
      <c r="L29" s="38" t="n">
        <v>15</v>
      </c>
      <c r="M29" s="38" t="n">
        <v>15</v>
      </c>
      <c r="N29" s="38" t="n">
        <v>15</v>
      </c>
      <c r="O29" s="38" t="n">
        <v>15</v>
      </c>
      <c r="P29" s="38" t="n">
        <v>15</v>
      </c>
      <c r="Q29" s="38" t="n">
        <v>15</v>
      </c>
      <c r="R29" s="38" t="n">
        <v>15</v>
      </c>
      <c r="S29" s="38" t="n">
        <v>15</v>
      </c>
      <c r="T29" s="38" t="n">
        <v>15</v>
      </c>
      <c r="U29" s="38" t="n">
        <v>15</v>
      </c>
      <c r="V29" s="38" t="n">
        <v>15</v>
      </c>
      <c r="W29" s="38" t="n">
        <v>15</v>
      </c>
      <c r="X29" s="38" t="n">
        <v>15</v>
      </c>
      <c r="Y29" s="38" t="n">
        <v>15</v>
      </c>
      <c r="Z29" s="38" t="n">
        <v>15</v>
      </c>
      <c r="AA29" s="38" t="n">
        <v>15</v>
      </c>
      <c r="AB29" s="38" t="n">
        <v>15</v>
      </c>
      <c r="AC29" s="38" t="n">
        <v>15</v>
      </c>
      <c r="AD29" s="38" t="n">
        <v>15</v>
      </c>
      <c r="AE29" s="38" t="n">
        <v>15</v>
      </c>
      <c r="AF29" s="38" t="n">
        <v>15</v>
      </c>
      <c r="AG29" s="38" t="n">
        <v>15</v>
      </c>
      <c r="AH29" s="38" t="n">
        <v>15</v>
      </c>
      <c r="AI29" s="38" t="n">
        <v>15</v>
      </c>
      <c r="AJ29" s="38" t="n">
        <v>15</v>
      </c>
      <c r="AK29" s="38" t="n">
        <v>15</v>
      </c>
      <c r="AL29" s="38" t="n">
        <v>15</v>
      </c>
      <c r="AM29" s="38" t="n">
        <v>15</v>
      </c>
      <c r="AN29" s="38" t="n">
        <v>15</v>
      </c>
      <c r="AO29" s="38" t="n">
        <v>15</v>
      </c>
      <c r="AP29" s="38" t="n">
        <v>15</v>
      </c>
      <c r="AQ29" s="38" t="n">
        <v>15</v>
      </c>
      <c r="AR29" s="38" t="n">
        <v>15</v>
      </c>
      <c r="AS29" s="38" t="n">
        <v>15</v>
      </c>
      <c r="AT29" s="38" t="n">
        <v>15</v>
      </c>
      <c r="AU29" s="38" t="n">
        <v>15</v>
      </c>
      <c r="AV29" s="38" t="n">
        <v>10</v>
      </c>
      <c r="AW29" s="38" t="n">
        <v>10</v>
      </c>
      <c r="AX29" s="38" t="n">
        <v>10</v>
      </c>
      <c r="AY29" s="38" t="n">
        <v>10</v>
      </c>
      <c r="AZ29" s="38" t="n">
        <v>10</v>
      </c>
      <c r="BA29" s="38" t="n">
        <v>10</v>
      </c>
      <c r="BB29" s="38" t="n">
        <v>10</v>
      </c>
      <c r="BC29" s="38" t="n">
        <v>10</v>
      </c>
      <c r="BD29" s="38" t="n">
        <v>10</v>
      </c>
      <c r="BE29" s="38" t="n">
        <v>10</v>
      </c>
      <c r="BF29" s="38" t="n">
        <v>10</v>
      </c>
      <c r="BG29" s="38" t="n">
        <v>10</v>
      </c>
      <c r="BH29" s="38" t="n">
        <v>10</v>
      </c>
      <c r="BI29" s="38" t="n">
        <v>10</v>
      </c>
      <c r="BJ29" s="38" t="n">
        <v>10</v>
      </c>
      <c r="BK29" s="38" t="n">
        <v>10</v>
      </c>
      <c r="BL29" s="38" t="n">
        <v>10</v>
      </c>
      <c r="BM29" s="38" t="n">
        <v>10</v>
      </c>
      <c r="BN29" s="38" t="n">
        <v>10</v>
      </c>
      <c r="BO29" s="38" t="n">
        <v>10</v>
      </c>
      <c r="BP29" s="38" t="n">
        <v>10</v>
      </c>
      <c r="BQ29" s="38" t="n">
        <v>11</v>
      </c>
      <c r="BR29" s="38" t="n">
        <v>11</v>
      </c>
      <c r="BS29" s="38" t="n">
        <v>11</v>
      </c>
      <c r="BT29" s="38" t="n">
        <v>11</v>
      </c>
      <c r="BU29" s="38" t="n">
        <v>11</v>
      </c>
      <c r="BV29" s="38" t="n">
        <v>11</v>
      </c>
      <c r="BW29" s="38" t="n">
        <v>11</v>
      </c>
      <c r="BX29" s="38" t="n">
        <v>11</v>
      </c>
      <c r="BY29" s="38" t="n">
        <v>11</v>
      </c>
      <c r="BZ29" s="38" t="n">
        <v>10</v>
      </c>
      <c r="CA29" s="38" t="n">
        <v>10</v>
      </c>
      <c r="CB29" s="38" t="n">
        <v>10</v>
      </c>
      <c r="CC29" s="9" t="n">
        <v>10</v>
      </c>
      <c r="CD29" s="9" t="n">
        <v>10</v>
      </c>
      <c r="CE29" s="9" t="n">
        <v>10</v>
      </c>
      <c r="CF29" s="154">
        <f>CD29+IF(NOT(ISBLANK(OFFSET(CF29,0,6))),N(OFFSET(CF29,0,6)),N(OFFSET(CF29,0,7)))-CE29</f>
        <v/>
      </c>
      <c r="CG29" s="118" t="n"/>
      <c r="CH29" s="19" t="n"/>
      <c r="CI29" s="19" t="n"/>
      <c r="CJ29" s="119" t="n"/>
      <c r="CK29" s="65" t="n"/>
      <c r="CL29" s="691" t="n">
        <v>0</v>
      </c>
      <c r="CM29" s="18" t="n">
        <v>0</v>
      </c>
      <c r="CN29" s="18" t="n">
        <v>0</v>
      </c>
      <c r="CO29" s="18" t="n"/>
      <c r="CP29" s="18" t="n"/>
      <c r="CQ29" s="18" t="n"/>
      <c r="CR29" s="18" t="n"/>
      <c r="CS29" s="18" t="n"/>
      <c r="CT29" s="418" t="n">
        <v>450</v>
      </c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18" t="n"/>
      <c r="DN29" s="18" t="n"/>
      <c r="DO29" s="18" t="n"/>
      <c r="DP29" s="18" t="n"/>
      <c r="DQ29" s="18" t="n"/>
      <c r="DR29" s="18" t="n"/>
      <c r="DS29" s="18" t="n"/>
      <c r="DT29" s="18" t="n"/>
      <c r="DU29" s="18" t="n"/>
      <c r="DV29" s="18" t="n"/>
      <c r="DW29" s="18" t="n"/>
      <c r="DX29" s="18" t="n"/>
      <c r="DY29" s="18" t="n"/>
      <c r="DZ29" s="18" t="n"/>
      <c r="EA29" s="18" t="n"/>
      <c r="EB29" s="256" t="n"/>
      <c r="EC29" s="256" t="n"/>
      <c r="ED29" s="256" t="n"/>
      <c r="EE29" s="18" t="n"/>
      <c r="EF29" s="18" t="n"/>
      <c r="EG29" s="18" t="n"/>
      <c r="EH29" s="18" t="n"/>
      <c r="EI29" s="18" t="n"/>
      <c r="EJ29" s="18" t="n"/>
      <c r="EK29" s="18" t="n"/>
      <c r="EL29" s="18" t="n"/>
      <c r="EM29" s="18" t="n"/>
      <c r="EN29" s="18" t="n"/>
      <c r="EO29" s="18" t="n"/>
      <c r="EP29" s="18" t="n"/>
      <c r="EQ29" s="18" t="n"/>
      <c r="ER29" s="18" t="n"/>
      <c r="ES29" s="18" t="n"/>
      <c r="ET29" s="18" t="n"/>
      <c r="EU29" s="18" t="n"/>
      <c r="EV29" s="18" t="n"/>
      <c r="EW29" s="18" t="n"/>
      <c r="EX29" s="18" t="n"/>
      <c r="EY29" s="18" t="n"/>
      <c r="EZ29" s="18" t="n"/>
      <c r="FA29" s="18" t="n"/>
      <c r="FB29" s="18" t="n"/>
      <c r="FC29" s="18" t="n"/>
      <c r="FD29" s="18" t="n"/>
      <c r="FE29" s="18" t="n"/>
      <c r="FF29" s="18" t="n"/>
      <c r="FG29" s="256" t="n"/>
      <c r="FH29" s="256" t="n"/>
      <c r="FI29" s="18" t="n"/>
      <c r="FJ29" s="312" t="inlineStr">
        <is>
          <t>20 P/ CD</t>
        </is>
      </c>
      <c r="FK29" s="292" t="inlineStr">
        <is>
          <t>02 DE CD</t>
        </is>
      </c>
      <c r="FL29" s="18" t="n"/>
      <c r="FM29" s="18" t="n"/>
      <c r="FN29" s="18" t="n"/>
      <c r="FO29" s="18" t="n"/>
      <c r="FP29" s="256" t="n">
        <v>40</v>
      </c>
      <c r="FQ29" s="292" t="inlineStr">
        <is>
          <t>70 P/ BRINDE</t>
        </is>
      </c>
      <c r="FR29" s="18" t="n"/>
      <c r="FS29" s="18" t="n"/>
      <c r="FT29" s="18" t="n"/>
      <c r="FU29" s="18" t="n"/>
      <c r="FV29" s="18" t="n"/>
      <c r="FW29" s="18" t="n"/>
      <c r="FX29" s="18" t="n"/>
      <c r="FY29" s="18" t="n"/>
      <c r="FZ29" s="256" t="inlineStr">
        <is>
          <t>25 p. erp</t>
        </is>
      </c>
      <c r="GA29" s="18" t="n"/>
      <c r="GB29" s="18" t="n"/>
      <c r="GC29" s="18" t="n"/>
      <c r="GD29" s="256" t="n">
        <v>100</v>
      </c>
      <c r="GE29" s="18" t="n"/>
      <c r="GF29" s="18" t="n"/>
      <c r="GG29" s="18" t="n"/>
      <c r="GH29" s="18" t="n"/>
      <c r="GI29" s="18" t="n"/>
      <c r="GJ29" s="18" t="n"/>
      <c r="GK29" s="18" t="n">
        <v>15</v>
      </c>
      <c r="GL29" s="18" t="n"/>
      <c r="GM29" s="18" t="n"/>
      <c r="GN29" s="18" t="n"/>
      <c r="GO29" s="18" t="n"/>
      <c r="GP29" s="18" t="n"/>
      <c r="GQ29" s="18" t="n"/>
      <c r="GR29" s="18" t="n"/>
      <c r="GS29" s="18" t="n"/>
      <c r="GT29" s="18" t="n"/>
      <c r="GU29" s="18" t="n"/>
      <c r="GV29" s="6" t="n"/>
      <c r="GW29" s="6" t="n"/>
    </row>
    <row r="30" ht="18.75" customHeight="1">
      <c r="CF30" s="53" t="n"/>
      <c r="CH30" s="69" t="n"/>
      <c r="CI30" s="69" t="n"/>
      <c r="DY30" s="395" t="n"/>
      <c r="EB30" s="271" t="n"/>
      <c r="EC30" s="271" t="n"/>
      <c r="ED30" s="271" t="n"/>
      <c r="FH30" s="272" t="n"/>
      <c r="FK30" s="272" t="n"/>
      <c r="FQ30" s="272" t="n"/>
      <c r="FZ30" s="272" t="n"/>
      <c r="GD30" s="272" t="n"/>
      <c r="GL30" s="1" t="n"/>
      <c r="GV30" s="3" t="n"/>
      <c r="GW30" s="3" t="n"/>
    </row>
    <row r="31" ht="18.75" customFormat="1" customHeight="1" s="3">
      <c r="A31" s="32" t="inlineStr">
        <is>
          <t>DIVERSOS VENDÁVEIS BOTICÁRIO</t>
        </is>
      </c>
      <c r="B31" s="575" t="inlineStr">
        <is>
          <t>PC</t>
        </is>
      </c>
      <c r="C31" s="575" t="inlineStr">
        <is>
          <t>R$</t>
        </is>
      </c>
      <c r="D31" s="575" t="n"/>
      <c r="E31" s="642" t="n"/>
      <c r="F31" s="650" t="n">
        <v>46021</v>
      </c>
      <c r="G31" s="650" t="n">
        <v>45663</v>
      </c>
      <c r="H31" s="650" t="n">
        <v>45670</v>
      </c>
      <c r="I31" s="650" t="n">
        <v>45677</v>
      </c>
      <c r="J31" s="650" t="n">
        <v>45684</v>
      </c>
      <c r="K31" s="650" t="n">
        <v>45691</v>
      </c>
      <c r="L31" s="650" t="n">
        <v>45698</v>
      </c>
      <c r="M31" s="650" t="n">
        <v>45705</v>
      </c>
      <c r="N31" s="650" t="n">
        <v>45712</v>
      </c>
      <c r="O31" s="650" t="n">
        <v>45719</v>
      </c>
      <c r="P31" s="650" t="n">
        <v>45726</v>
      </c>
      <c r="Q31" s="650" t="n">
        <v>45733</v>
      </c>
      <c r="R31" s="650" t="n">
        <v>45740</v>
      </c>
      <c r="S31" s="650" t="n">
        <v>45747</v>
      </c>
      <c r="T31" s="650" t="n">
        <v>45754</v>
      </c>
      <c r="U31" s="650" t="n">
        <v>45761</v>
      </c>
      <c r="V31" s="650" t="n">
        <v>45768</v>
      </c>
      <c r="W31" s="650" t="n">
        <v>45775</v>
      </c>
      <c r="X31" s="650" t="n">
        <v>45782</v>
      </c>
      <c r="Y31" s="650" t="n">
        <v>45789</v>
      </c>
      <c r="Z31" s="650" t="n">
        <v>45796</v>
      </c>
      <c r="AA31" s="650" t="n">
        <v>45803</v>
      </c>
      <c r="AB31" s="650" t="n">
        <v>45810</v>
      </c>
      <c r="AC31" s="650" t="n">
        <v>45817</v>
      </c>
      <c r="AD31" s="650" t="n">
        <v>45824</v>
      </c>
      <c r="AE31" s="650" t="n">
        <v>45831</v>
      </c>
      <c r="AF31" s="650" t="n">
        <v>45838</v>
      </c>
      <c r="AG31" s="650" t="n">
        <v>45845</v>
      </c>
      <c r="AH31" s="650" t="n">
        <v>45852</v>
      </c>
      <c r="AI31" s="650" t="n">
        <v>45859</v>
      </c>
      <c r="AJ31" s="650" t="n">
        <v>45866</v>
      </c>
      <c r="AK31" s="650" t="n">
        <v>45873</v>
      </c>
      <c r="AL31" s="650" t="n">
        <v>45880</v>
      </c>
      <c r="AM31" s="650" t="n">
        <v>45887</v>
      </c>
      <c r="AN31" s="650" t="n">
        <v>45894</v>
      </c>
      <c r="AO31" s="650" t="n">
        <v>45901</v>
      </c>
      <c r="AP31" s="650" t="n">
        <v>45908</v>
      </c>
      <c r="AQ31" s="650" t="n">
        <v>45915</v>
      </c>
      <c r="AR31" s="650" t="n">
        <v>45922</v>
      </c>
      <c r="AS31" s="650" t="n">
        <v>45929</v>
      </c>
      <c r="AT31" s="650" t="n">
        <v>45936</v>
      </c>
      <c r="AU31" s="650" t="n">
        <v>45943</v>
      </c>
      <c r="AV31" s="650" t="n">
        <v>45950</v>
      </c>
      <c r="AW31" s="650" t="n">
        <v>45957</v>
      </c>
      <c r="AX31" s="650" t="n">
        <v>45964</v>
      </c>
      <c r="AY31" s="650" t="n">
        <v>45971</v>
      </c>
      <c r="AZ31" s="650" t="n">
        <v>45978</v>
      </c>
      <c r="BA31" s="650" t="n">
        <v>45985</v>
      </c>
      <c r="BB31" s="650" t="n">
        <v>45992</v>
      </c>
      <c r="BC31" s="650" t="n">
        <v>45999</v>
      </c>
      <c r="BD31" s="650" t="n">
        <v>46006</v>
      </c>
      <c r="BE31" s="650" t="n">
        <v>46013</v>
      </c>
      <c r="BF31" s="650" t="n">
        <v>46020</v>
      </c>
      <c r="BG31" s="650" t="n">
        <v>46027</v>
      </c>
      <c r="BH31" s="650" t="n">
        <v>46034</v>
      </c>
      <c r="BI31" s="650" t="n">
        <v>46041</v>
      </c>
      <c r="BJ31" s="650" t="n">
        <v>46048</v>
      </c>
      <c r="BK31" s="650" t="n">
        <v>46055</v>
      </c>
      <c r="BL31" s="650" t="n">
        <v>46062</v>
      </c>
      <c r="BM31" s="650" t="n">
        <v>46069</v>
      </c>
      <c r="BN31" s="650" t="n">
        <v>46076</v>
      </c>
      <c r="BO31" s="650" t="n">
        <v>46083</v>
      </c>
      <c r="BP31" s="650" t="n">
        <v>46090</v>
      </c>
      <c r="BQ31" s="650" t="n">
        <v>46097</v>
      </c>
      <c r="BR31" s="650" t="n">
        <v>46104</v>
      </c>
      <c r="BS31" s="650" t="n">
        <v>46111</v>
      </c>
      <c r="BT31" s="650" t="n">
        <v>46118</v>
      </c>
      <c r="BU31" s="650" t="n">
        <v>46125</v>
      </c>
      <c r="BV31" s="650" t="n">
        <v>46132</v>
      </c>
      <c r="BW31" s="650" t="n">
        <v>46139</v>
      </c>
      <c r="BX31" s="650" t="n">
        <v>46146</v>
      </c>
      <c r="BY31" s="650" t="n">
        <v>46154</v>
      </c>
      <c r="BZ31" s="650" t="n">
        <v>46160</v>
      </c>
      <c r="CA31" s="650" t="n">
        <v>46160</v>
      </c>
      <c r="CB31" s="650" t="n">
        <v>46160</v>
      </c>
      <c r="CC31" s="651" t="n">
        <v>46161.48004043981</v>
      </c>
      <c r="CD31" s="651" t="n">
        <v>46161.48071866898</v>
      </c>
      <c r="CE31" s="651" t="n">
        <v>46161.48287732829</v>
      </c>
      <c r="CF31" s="652" t="inlineStr">
        <is>
          <t>USOU</t>
        </is>
      </c>
      <c r="CG31" s="6" t="n"/>
      <c r="CH31" s="413" t="inlineStr">
        <is>
          <t>TRANSFERÊNCIA</t>
        </is>
      </c>
      <c r="CI31" s="35" t="inlineStr">
        <is>
          <t>Pend.</t>
        </is>
      </c>
      <c r="CJ31" s="653" t="n"/>
      <c r="CK31" s="12" t="inlineStr">
        <is>
          <t>Novo Pedido</t>
        </is>
      </c>
      <c r="CL31" s="716" t="n">
        <v>46161.48287614441</v>
      </c>
      <c r="CM31" s="654" t="n"/>
      <c r="CN31" s="654" t="n">
        <v>46149</v>
      </c>
      <c r="CO31" s="654" t="n">
        <v>46114</v>
      </c>
      <c r="CP31" s="654" t="n">
        <v>46107</v>
      </c>
      <c r="CQ31" s="710" t="n">
        <v>46065</v>
      </c>
      <c r="CR31" s="654" t="n">
        <v>46099</v>
      </c>
      <c r="CS31" s="654" t="n">
        <v>46092</v>
      </c>
      <c r="CT31" s="711" t="n">
        <v>46045</v>
      </c>
      <c r="CU31" s="654" t="n">
        <v>46084</v>
      </c>
      <c r="CV31" s="655" t="n">
        <v>46084</v>
      </c>
      <c r="CW31" s="654" t="n">
        <v>46077</v>
      </c>
      <c r="CX31" s="655" t="n">
        <v>46077</v>
      </c>
      <c r="CY31" s="654" t="n">
        <v>46071</v>
      </c>
      <c r="CZ31" s="654" t="n">
        <v>46048</v>
      </c>
      <c r="DA31" s="654" t="n">
        <v>46043</v>
      </c>
      <c r="DB31" s="654" t="n">
        <v>46035</v>
      </c>
      <c r="DC31" s="654" t="n">
        <v>46029</v>
      </c>
      <c r="DD31" s="655" t="n">
        <v>46043</v>
      </c>
      <c r="DE31" s="654" t="n">
        <v>46024</v>
      </c>
      <c r="DF31" s="654" t="n">
        <v>46029</v>
      </c>
      <c r="DG31" s="654" t="n">
        <v>46024</v>
      </c>
      <c r="DH31" s="654" t="n">
        <v>46372</v>
      </c>
      <c r="DI31" s="654" t="n">
        <v>46024</v>
      </c>
      <c r="DJ31" s="654" t="n">
        <v>46017</v>
      </c>
      <c r="DK31" s="654" t="n">
        <v>46007</v>
      </c>
      <c r="DL31" s="654" t="n">
        <v>46001</v>
      </c>
      <c r="DM31" s="654" t="n">
        <v>46007</v>
      </c>
      <c r="DN31" s="654" t="n">
        <v>46001</v>
      </c>
      <c r="DO31" s="654" t="n">
        <v>45994</v>
      </c>
      <c r="DP31" s="654" t="n">
        <v>45986</v>
      </c>
      <c r="DQ31" s="654" t="n">
        <v>45980</v>
      </c>
      <c r="DR31" s="654" t="n">
        <v>45980</v>
      </c>
      <c r="DS31" s="654" t="n">
        <v>45973</v>
      </c>
      <c r="DT31" s="654" t="n">
        <v>45965</v>
      </c>
      <c r="DU31" s="654" t="n">
        <v>45960</v>
      </c>
      <c r="DV31" s="654" t="n">
        <v>45945</v>
      </c>
      <c r="DW31" s="654" t="n">
        <v>45939</v>
      </c>
      <c r="DX31" s="654" t="n">
        <v>45931</v>
      </c>
      <c r="DY31" s="678" t="n">
        <v>45903</v>
      </c>
      <c r="DZ31" s="654" t="n">
        <v>45923</v>
      </c>
      <c r="EA31" s="654" t="n">
        <v>45915</v>
      </c>
      <c r="EB31" s="655" t="n">
        <v>45931</v>
      </c>
      <c r="EC31" s="688" t="n">
        <v>45931</v>
      </c>
      <c r="ED31" s="688" t="n">
        <v>45931</v>
      </c>
      <c r="EE31" s="654" t="n">
        <v>45903</v>
      </c>
      <c r="EF31" s="654" t="n">
        <v>45909</v>
      </c>
      <c r="EG31" s="654" t="n">
        <v>45903</v>
      </c>
      <c r="EH31" s="654" t="n">
        <v>45903</v>
      </c>
      <c r="EI31" s="654" t="n">
        <v>45895</v>
      </c>
      <c r="EJ31" s="679" t="n">
        <v>45896</v>
      </c>
      <c r="EK31" s="654" t="n">
        <v>45888</v>
      </c>
      <c r="EL31" s="654" t="n">
        <v>45881</v>
      </c>
      <c r="EM31" s="655" t="n">
        <v>45882</v>
      </c>
      <c r="EN31" s="654" t="n">
        <v>45874</v>
      </c>
      <c r="EO31" s="654" t="n">
        <v>45867</v>
      </c>
      <c r="EP31" s="654" t="n">
        <v>45860</v>
      </c>
      <c r="EQ31" s="654" t="n">
        <v>45853</v>
      </c>
      <c r="ER31" s="655" t="n">
        <v>45860</v>
      </c>
      <c r="ES31" s="681" t="n">
        <v>45855</v>
      </c>
      <c r="ET31" s="654" t="n">
        <v>45848</v>
      </c>
      <c r="EU31" s="681" t="n">
        <v>45853</v>
      </c>
      <c r="EV31" s="654" t="n">
        <v>45839</v>
      </c>
      <c r="EW31" s="681" t="n">
        <v>45791</v>
      </c>
      <c r="EX31" s="654" t="n">
        <v>45832</v>
      </c>
      <c r="EY31" s="654" t="n">
        <v>45825</v>
      </c>
      <c r="EZ31" s="655" t="n">
        <v>45826</v>
      </c>
      <c r="FA31" s="654" t="n">
        <v>45819</v>
      </c>
      <c r="FB31" s="655" t="n">
        <v>45819</v>
      </c>
      <c r="FC31" s="655" t="n">
        <v>45818</v>
      </c>
      <c r="FD31" s="655" t="n">
        <v>45807</v>
      </c>
      <c r="FE31" s="654" t="n">
        <v>45790</v>
      </c>
      <c r="FF31" s="654" t="n">
        <v>45798</v>
      </c>
      <c r="FG31" s="690" t="n">
        <v>45800</v>
      </c>
      <c r="FH31" s="650" t="n">
        <v>45799</v>
      </c>
      <c r="FI31" s="655" t="n">
        <v>45799</v>
      </c>
      <c r="FJ31" s="690" t="n">
        <v>45799</v>
      </c>
      <c r="FK31" s="650" t="n">
        <v>45798</v>
      </c>
      <c r="FL31" s="655" t="n">
        <v>45798</v>
      </c>
      <c r="FM31" s="655" t="n">
        <v>45797</v>
      </c>
      <c r="FN31" s="655" t="n">
        <v>45794</v>
      </c>
      <c r="FO31" s="654" t="n">
        <v>45790</v>
      </c>
      <c r="FP31" s="683" t="n">
        <v>45735</v>
      </c>
      <c r="FQ31" s="650" t="n">
        <v>45786</v>
      </c>
      <c r="FR31" s="654" t="n">
        <v>45783</v>
      </c>
      <c r="FS31" s="654" t="n">
        <v>45770</v>
      </c>
      <c r="FT31" s="654" t="n">
        <v>45775</v>
      </c>
      <c r="FU31" s="654" t="n">
        <v>45770</v>
      </c>
      <c r="FV31" s="655" t="n">
        <v>45775</v>
      </c>
      <c r="FW31" s="654" t="n">
        <v>45756</v>
      </c>
      <c r="FX31" s="654" t="n">
        <v>45749</v>
      </c>
      <c r="FY31" s="654" t="n">
        <v>45743</v>
      </c>
      <c r="FZ31" s="650" t="n">
        <v>45740</v>
      </c>
      <c r="GA31" s="654" t="n">
        <v>45728</v>
      </c>
      <c r="GB31" s="654" t="n">
        <v>45714</v>
      </c>
      <c r="GC31" s="654" t="n">
        <v>45706</v>
      </c>
      <c r="GD31" s="650" t="n">
        <v>45700</v>
      </c>
      <c r="GE31" s="654" t="n">
        <v>45706</v>
      </c>
      <c r="GF31" s="654" t="n">
        <v>45699</v>
      </c>
      <c r="GG31" s="655" t="n">
        <v>45706</v>
      </c>
      <c r="GH31" s="654" t="n">
        <v>45693</v>
      </c>
      <c r="GI31" s="654" t="n">
        <v>45693</v>
      </c>
      <c r="GJ31" s="654" t="n">
        <v>45685</v>
      </c>
      <c r="GK31" s="654" t="n">
        <v>45685</v>
      </c>
      <c r="GL31" s="712" t="n">
        <v>45692</v>
      </c>
      <c r="GM31" s="655" t="n">
        <v>45691</v>
      </c>
      <c r="GN31" s="655" t="n">
        <v>45681</v>
      </c>
      <c r="GO31" s="655" t="n">
        <v>45672</v>
      </c>
      <c r="GP31" s="654" t="n">
        <v>45664</v>
      </c>
      <c r="GQ31" s="654" t="n">
        <v>45660</v>
      </c>
      <c r="GR31" s="654" t="n">
        <v>45660</v>
      </c>
      <c r="GS31" s="654" t="n">
        <v>46017</v>
      </c>
      <c r="GT31" s="654" t="n">
        <v>45643</v>
      </c>
      <c r="GU31" s="654" t="n">
        <v>45638</v>
      </c>
    </row>
    <row r="32" ht="18.75" customFormat="1" customHeight="1" s="3">
      <c r="A32" s="33" t="inlineStr">
        <is>
          <t>KIT PAPEL DE SEDA (20 c/ 25 un)</t>
        </is>
      </c>
      <c r="B32" s="9" t="n">
        <v>500</v>
      </c>
      <c r="C32" s="662" t="n">
        <v>99.26000000000001</v>
      </c>
      <c r="D32" s="329" t="n">
        <v>10</v>
      </c>
      <c r="E32" s="642" t="n"/>
      <c r="F32" s="38" t="n">
        <v>0</v>
      </c>
      <c r="G32" s="38" t="n">
        <v>0</v>
      </c>
      <c r="H32" s="38" t="n">
        <v>0</v>
      </c>
      <c r="I32" s="38" t="n">
        <v>0</v>
      </c>
      <c r="J32" s="38" t="n">
        <v>0</v>
      </c>
      <c r="K32" s="38">
        <f>0+GH32</f>
        <v/>
      </c>
      <c r="L32" s="38" t="n">
        <v>20</v>
      </c>
      <c r="M32" s="38" t="n">
        <v>20</v>
      </c>
      <c r="N32" s="38" t="n">
        <v>20</v>
      </c>
      <c r="O32" s="38" t="n">
        <v>20</v>
      </c>
      <c r="P32" s="38" t="n">
        <v>20</v>
      </c>
      <c r="Q32" s="38" t="n">
        <v>20</v>
      </c>
      <c r="R32" s="38" t="n">
        <v>20</v>
      </c>
      <c r="S32" s="38" t="n">
        <v>20</v>
      </c>
      <c r="T32" s="38" t="n">
        <v>40</v>
      </c>
      <c r="U32" s="38" t="n">
        <v>40</v>
      </c>
      <c r="V32" s="38" t="n">
        <v>60</v>
      </c>
      <c r="W32" s="38" t="n">
        <v>60</v>
      </c>
      <c r="X32" s="38" t="n">
        <v>40</v>
      </c>
      <c r="Y32" s="38" t="n">
        <v>40</v>
      </c>
      <c r="Z32" s="38" t="n">
        <v>40</v>
      </c>
      <c r="AA32" s="38" t="n">
        <v>40</v>
      </c>
      <c r="AB32" s="38" t="n">
        <v>40</v>
      </c>
      <c r="AC32" s="261" t="n">
        <v>60</v>
      </c>
      <c r="AD32" s="38" t="n">
        <v>60</v>
      </c>
      <c r="AE32" s="38" t="n">
        <v>60</v>
      </c>
      <c r="AF32" s="38" t="n">
        <v>60</v>
      </c>
      <c r="AG32" s="38" t="n">
        <v>60</v>
      </c>
      <c r="AH32" s="38" t="n">
        <v>60</v>
      </c>
      <c r="AI32" s="38" t="n">
        <v>60</v>
      </c>
      <c r="AJ32" s="38" t="n">
        <v>61</v>
      </c>
      <c r="AK32" s="38" t="n">
        <v>61</v>
      </c>
      <c r="AL32" s="38" t="n">
        <v>61</v>
      </c>
      <c r="AM32" s="38" t="n">
        <v>61</v>
      </c>
      <c r="AN32" s="38" t="n">
        <v>61</v>
      </c>
      <c r="AO32" s="38" t="n">
        <v>61</v>
      </c>
      <c r="AP32" s="38" t="n">
        <v>61</v>
      </c>
      <c r="AQ32" s="38" t="n">
        <v>61</v>
      </c>
      <c r="AR32" s="38" t="n">
        <v>61</v>
      </c>
      <c r="AS32" s="38" t="n">
        <v>61</v>
      </c>
      <c r="AT32" s="38" t="n">
        <v>52</v>
      </c>
      <c r="AU32" s="38" t="n">
        <v>52</v>
      </c>
      <c r="AV32" s="38" t="n">
        <v>42</v>
      </c>
      <c r="AW32" s="38" t="n">
        <v>42</v>
      </c>
      <c r="AX32" s="38" t="n">
        <v>41</v>
      </c>
      <c r="AY32" s="38" t="n">
        <v>41</v>
      </c>
      <c r="AZ32" s="38" t="n">
        <v>40</v>
      </c>
      <c r="BA32" s="38" t="n">
        <v>40</v>
      </c>
      <c r="BB32" s="38" t="n">
        <v>40</v>
      </c>
      <c r="BC32" s="38" t="n">
        <v>38</v>
      </c>
      <c r="BD32" s="38" t="n">
        <v>37</v>
      </c>
      <c r="BE32" s="38" t="n">
        <v>35</v>
      </c>
      <c r="BF32" s="38" t="n">
        <v>35</v>
      </c>
      <c r="BG32" s="261" t="n">
        <v>25</v>
      </c>
      <c r="BH32" s="38" t="n">
        <v>24</v>
      </c>
      <c r="BI32" s="38" t="n">
        <v>24</v>
      </c>
      <c r="BJ32" s="38" t="n">
        <v>24</v>
      </c>
      <c r="BK32" s="38" t="n">
        <v>24</v>
      </c>
      <c r="BL32" s="38" t="n">
        <v>24</v>
      </c>
      <c r="BM32" s="38" t="n">
        <v>19</v>
      </c>
      <c r="BN32" s="38" t="n">
        <v>19</v>
      </c>
      <c r="BO32" s="38" t="n">
        <v>19</v>
      </c>
      <c r="BP32" s="38" t="n">
        <v>19</v>
      </c>
      <c r="BQ32" s="38" t="n">
        <v>5</v>
      </c>
      <c r="BR32" s="261" t="n">
        <v>19</v>
      </c>
      <c r="BS32" s="38" t="n">
        <v>19</v>
      </c>
      <c r="BT32" s="38" t="n"/>
      <c r="BU32" s="38" t="n"/>
      <c r="BV32" s="38" t="n"/>
      <c r="BW32" s="38" t="n">
        <v>24</v>
      </c>
      <c r="BX32" s="38" t="n">
        <v>24</v>
      </c>
      <c r="BY32" s="38" t="n">
        <v>24</v>
      </c>
      <c r="BZ32" s="38" t="n">
        <v>24</v>
      </c>
      <c r="CA32" s="38" t="n">
        <v>24</v>
      </c>
      <c r="CB32" s="38" t="n">
        <v>24</v>
      </c>
      <c r="CC32" s="9" t="n">
        <v>24</v>
      </c>
      <c r="CD32" s="9" t="n">
        <v>24</v>
      </c>
      <c r="CE32" s="9" t="n">
        <v>24</v>
      </c>
      <c r="CF32" s="154">
        <f>CD32+IF(NOT(ISBLANK(OFFSET(CF32,0,6))),N(OFFSET(CF32,0,6)),N(OFFSET(CF32,0,7)))-CE32</f>
        <v/>
      </c>
      <c r="CG32" s="6" t="n"/>
      <c r="CH32" s="19" t="n"/>
      <c r="CI32" s="19" t="n"/>
      <c r="CJ32" s="4" t="n"/>
      <c r="CK32" s="65" t="n"/>
      <c r="CL32" s="18" t="n">
        <v>0</v>
      </c>
      <c r="CM32" s="18" t="n">
        <v>0</v>
      </c>
      <c r="CN32" s="18" t="n">
        <v>0</v>
      </c>
      <c r="CO32" s="18" t="n"/>
      <c r="CP32" s="18" t="n"/>
      <c r="CQ32" s="403" t="n">
        <v>10</v>
      </c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18" t="n"/>
      <c r="DP32" s="18" t="n"/>
      <c r="DQ32" s="18" t="n"/>
      <c r="DR32" s="18" t="n"/>
      <c r="DS32" s="18" t="n"/>
      <c r="DT32" s="18" t="n"/>
      <c r="DU32" s="18" t="n"/>
      <c r="DV32" s="18" t="n"/>
      <c r="DW32" s="18" t="n"/>
      <c r="DX32" s="18" t="n"/>
      <c r="DY32" s="256" t="n">
        <v>150</v>
      </c>
      <c r="DZ32" s="18" t="n"/>
      <c r="EA32" s="18" t="n"/>
      <c r="EB32" s="256" t="n"/>
      <c r="EC32" s="256" t="n"/>
      <c r="ED32" s="256" t="n"/>
      <c r="EE32" s="18" t="n"/>
      <c r="EF32" s="18" t="n"/>
      <c r="EG32" s="18" t="n"/>
      <c r="EH32" s="18" t="n"/>
      <c r="EI32" s="18" t="n"/>
      <c r="EJ32" s="18" t="n"/>
      <c r="EK32" s="18" t="n"/>
      <c r="EL32" s="18" t="n"/>
      <c r="EM32" s="18" t="n"/>
      <c r="EN32" s="18" t="n"/>
      <c r="EO32" s="18" t="n"/>
      <c r="EP32" s="18" t="n"/>
      <c r="EQ32" s="18" t="n"/>
      <c r="ER32" s="18" t="n"/>
      <c r="ES32" s="256" t="n"/>
      <c r="ET32" s="18" t="n"/>
      <c r="EU32" s="292" t="inlineStr">
        <is>
          <t>30 P/ ER PB</t>
        </is>
      </c>
      <c r="EV32" s="18" t="n"/>
      <c r="EW32" s="256" t="n">
        <v>60</v>
      </c>
      <c r="EX32" s="18" t="n"/>
      <c r="EY32" s="18" t="n"/>
      <c r="EZ32" s="18" t="n"/>
      <c r="FA32" s="18" t="n"/>
      <c r="FB32" s="18" t="n"/>
      <c r="FC32" s="18" t="n"/>
      <c r="FD32" s="18" t="n"/>
      <c r="FE32" s="18" t="n"/>
      <c r="FF32" s="18" t="n"/>
      <c r="FG32" s="256" t="n"/>
      <c r="FH32" s="256" t="n"/>
      <c r="FI32" s="18" t="n"/>
      <c r="FJ32" s="312" t="inlineStr">
        <is>
          <t>10 P/ CD</t>
        </is>
      </c>
      <c r="FK32" s="256" t="n"/>
      <c r="FL32" s="18" t="n"/>
      <c r="FM32" s="18" t="n"/>
      <c r="FN32" s="18" t="n"/>
      <c r="FO32" s="18" t="n"/>
      <c r="FP32" s="256" t="n">
        <v>20</v>
      </c>
      <c r="FQ32" s="256" t="n"/>
      <c r="FR32" s="18" t="n">
        <v>20</v>
      </c>
      <c r="FS32" s="18" t="n"/>
      <c r="FT32" s="18" t="n"/>
      <c r="FU32" s="18" t="n"/>
      <c r="FV32" s="18" t="n"/>
      <c r="FW32" s="18" t="n"/>
      <c r="FX32" s="18" t="n"/>
      <c r="FY32" s="18" t="n">
        <v>20</v>
      </c>
      <c r="FZ32" s="256" t="n"/>
      <c r="GA32" s="18" t="n"/>
      <c r="GB32" s="18" t="n"/>
      <c r="GC32" s="18" t="n"/>
      <c r="GD32" s="256" t="n">
        <v>10</v>
      </c>
      <c r="GE32" s="18" t="n"/>
      <c r="GF32" s="18" t="n"/>
      <c r="GG32" s="18" t="n"/>
      <c r="GH32" s="18" t="n"/>
      <c r="GI32" s="18" t="n"/>
      <c r="GJ32" s="18" t="n"/>
      <c r="GK32" s="18" t="n">
        <v>20</v>
      </c>
      <c r="GL32" s="260" t="n"/>
      <c r="GM32" s="18" t="n"/>
      <c r="GN32" s="18" t="n"/>
      <c r="GO32" s="18" t="n"/>
      <c r="GP32" s="18" t="n"/>
      <c r="GQ32" s="18" t="n"/>
      <c r="GR32" s="18" t="n"/>
      <c r="GS32" s="18" t="n"/>
      <c r="GT32" s="18" t="n"/>
      <c r="GU32" s="18" t="n"/>
    </row>
    <row r="33" ht="18.75" customFormat="1" customHeight="1" s="3">
      <c r="A33" s="33" t="inlineStr">
        <is>
          <t>KIT ETIQ (50 c/ 50 un)</t>
        </is>
      </c>
      <c r="B33" s="9" t="n">
        <v>2500</v>
      </c>
      <c r="C33" s="662" t="n">
        <v>69.20999999999999</v>
      </c>
      <c r="D33" s="329" t="n">
        <v>10</v>
      </c>
      <c r="E33" s="642" t="n"/>
      <c r="F33" s="38" t="n">
        <v>0</v>
      </c>
      <c r="G33" s="38" t="n">
        <v>0</v>
      </c>
      <c r="H33" s="38" t="n">
        <v>0</v>
      </c>
      <c r="I33" s="38" t="n">
        <v>0</v>
      </c>
      <c r="J33" s="38" t="n">
        <v>0</v>
      </c>
      <c r="K33" s="38">
        <f>0+GH33</f>
        <v/>
      </c>
      <c r="L33" s="38" t="n">
        <v>50</v>
      </c>
      <c r="M33" s="38" t="n">
        <v>50</v>
      </c>
      <c r="N33" s="38" t="n">
        <v>50</v>
      </c>
      <c r="O33" s="38" t="n">
        <v>50</v>
      </c>
      <c r="P33" s="38" t="n">
        <v>50</v>
      </c>
      <c r="Q33" s="38" t="n">
        <v>50</v>
      </c>
      <c r="R33" s="38" t="n">
        <v>50</v>
      </c>
      <c r="S33" s="38" t="n">
        <v>50</v>
      </c>
      <c r="T33" s="38" t="n">
        <v>50</v>
      </c>
      <c r="U33" s="38" t="n">
        <v>49</v>
      </c>
      <c r="V33" s="38" t="n">
        <v>49</v>
      </c>
      <c r="W33" s="38" t="n">
        <v>49</v>
      </c>
      <c r="X33" s="38" t="n">
        <v>49</v>
      </c>
      <c r="Y33" s="38" t="n">
        <v>49</v>
      </c>
      <c r="Z33" s="38" t="n">
        <v>49</v>
      </c>
      <c r="AA33" s="38" t="n">
        <v>49</v>
      </c>
      <c r="AB33" s="38" t="n">
        <v>49</v>
      </c>
      <c r="AC33" s="261" t="n">
        <v>50</v>
      </c>
      <c r="AD33" s="38" t="n">
        <v>50</v>
      </c>
      <c r="AE33" s="38" t="n">
        <v>50</v>
      </c>
      <c r="AF33" s="38" t="n">
        <v>50</v>
      </c>
      <c r="AG33" s="38" t="n">
        <v>50</v>
      </c>
      <c r="AH33" s="38" t="n">
        <v>50</v>
      </c>
      <c r="AI33" s="38" t="n">
        <v>50</v>
      </c>
      <c r="AJ33" s="38" t="n">
        <v>50</v>
      </c>
      <c r="AK33" s="38" t="n">
        <v>50</v>
      </c>
      <c r="AL33" s="38" t="n">
        <v>50</v>
      </c>
      <c r="AM33" s="38" t="n">
        <v>50</v>
      </c>
      <c r="AN33" s="38" t="n">
        <v>50</v>
      </c>
      <c r="AO33" s="38" t="n">
        <v>50</v>
      </c>
      <c r="AP33" s="38" t="n">
        <v>50</v>
      </c>
      <c r="AQ33" s="38" t="n">
        <v>50</v>
      </c>
      <c r="AR33" s="38" t="n">
        <v>50</v>
      </c>
      <c r="AS33" s="38" t="n">
        <v>50</v>
      </c>
      <c r="AT33" s="38" t="n">
        <v>39</v>
      </c>
      <c r="AU33" s="38" t="n">
        <v>39</v>
      </c>
      <c r="AV33" s="38" t="n">
        <v>39</v>
      </c>
      <c r="AW33" s="38" t="n">
        <v>39</v>
      </c>
      <c r="AX33" s="38" t="n">
        <v>39</v>
      </c>
      <c r="AY33" s="38" t="n">
        <v>37</v>
      </c>
      <c r="AZ33" s="38" t="n">
        <v>37</v>
      </c>
      <c r="BA33" s="38" t="n">
        <v>37</v>
      </c>
      <c r="BB33" s="38" t="n">
        <v>37</v>
      </c>
      <c r="BC33" s="38" t="n">
        <v>43</v>
      </c>
      <c r="BD33" s="38" t="n">
        <v>42</v>
      </c>
      <c r="BE33" s="38" t="n">
        <v>41</v>
      </c>
      <c r="BF33" s="38" t="n">
        <v>41</v>
      </c>
      <c r="BG33" s="38" t="n">
        <v>41</v>
      </c>
      <c r="BH33" s="38" t="n">
        <v>39</v>
      </c>
      <c r="BI33" s="38">
        <f>58+70</f>
        <v/>
      </c>
      <c r="BJ33" s="38" t="n">
        <v>126</v>
      </c>
      <c r="BK33" s="38" t="n">
        <v>126</v>
      </c>
      <c r="BL33" s="38" t="n">
        <v>126</v>
      </c>
      <c r="BM33" s="38" t="n">
        <v>125</v>
      </c>
      <c r="BN33" s="38" t="n">
        <v>125</v>
      </c>
      <c r="BO33" s="38" t="n">
        <v>125</v>
      </c>
      <c r="BP33" s="38" t="n">
        <v>125</v>
      </c>
      <c r="BQ33" s="38" t="n">
        <v>126</v>
      </c>
      <c r="BR33" s="261" t="n">
        <v>56</v>
      </c>
      <c r="BS33" s="38" t="n">
        <v>56</v>
      </c>
      <c r="BT33" s="38" t="n"/>
      <c r="BU33" s="38" t="n"/>
      <c r="BV33" s="38" t="n"/>
      <c r="BW33" s="38" t="n">
        <v>58</v>
      </c>
      <c r="BX33" s="38" t="n">
        <v>58</v>
      </c>
      <c r="BY33" s="38" t="n">
        <v>58</v>
      </c>
      <c r="BZ33" s="38" t="n">
        <v>58</v>
      </c>
      <c r="CA33" s="38" t="n">
        <v>58</v>
      </c>
      <c r="CB33" s="38" t="n">
        <v>58</v>
      </c>
      <c r="CC33" s="9" t="n">
        <v>58</v>
      </c>
      <c r="CD33" s="9" t="n">
        <v>58</v>
      </c>
      <c r="CE33" s="9" t="n">
        <v>58</v>
      </c>
      <c r="CF33" s="154">
        <f>CD33+IF(NOT(ISBLANK(OFFSET(CF33,0,6))),N(OFFSET(CF33,0,6)),N(OFFSET(CF33,0,7)))-CE33</f>
        <v/>
      </c>
      <c r="CG33" s="6" t="n"/>
      <c r="CH33" s="19" t="n"/>
      <c r="CI33" s="19" t="n"/>
      <c r="CJ33" s="4" t="n"/>
      <c r="CK33" s="65" t="n"/>
      <c r="CL33" s="18" t="n">
        <v>0</v>
      </c>
      <c r="CM33" s="18" t="n">
        <v>0</v>
      </c>
      <c r="CN33" s="18" t="n">
        <v>0</v>
      </c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54" t="inlineStr">
        <is>
          <t>70 DE ER PBE</t>
        </is>
      </c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18" t="n"/>
      <c r="DP33" s="18" t="n"/>
      <c r="DQ33" s="18" t="n"/>
      <c r="DR33" s="18" t="n"/>
      <c r="DS33" s="18" t="n"/>
      <c r="DT33" s="18" t="n"/>
      <c r="DU33" s="18" t="n"/>
      <c r="DV33" s="18" t="n"/>
      <c r="DW33" s="18" t="n"/>
      <c r="DX33" s="18" t="n"/>
      <c r="DY33" s="256" t="n">
        <v>200</v>
      </c>
      <c r="DZ33" s="18" t="n"/>
      <c r="EA33" s="18" t="n"/>
      <c r="EB33" s="256" t="n"/>
      <c r="EC33" s="404" t="inlineStr">
        <is>
          <t>20 DE CDP</t>
        </is>
      </c>
      <c r="ED33" s="256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18" t="n"/>
      <c r="EP33" s="18" t="n"/>
      <c r="EQ33" s="18" t="n"/>
      <c r="ER33" s="18" t="n"/>
      <c r="ES33" s="18" t="n"/>
      <c r="ET33" s="18" t="n"/>
      <c r="EU33" s="18" t="n"/>
      <c r="EV33" s="18" t="n"/>
      <c r="EW33" s="18" t="n"/>
      <c r="EX33" s="18" t="n"/>
      <c r="EY33" s="18" t="n"/>
      <c r="EZ33" s="18" t="n"/>
      <c r="FA33" s="18" t="n"/>
      <c r="FB33" s="18" t="n"/>
      <c r="FC33" s="18" t="n"/>
      <c r="FD33" s="18" t="n"/>
      <c r="FE33" s="18" t="n"/>
      <c r="FF33" s="18" t="n"/>
      <c r="FG33" s="312" t="inlineStr">
        <is>
          <t>05 P/ ER PB</t>
        </is>
      </c>
      <c r="FH33" s="256" t="n"/>
      <c r="FI33" s="18" t="n"/>
      <c r="FJ33" s="18" t="n"/>
      <c r="FK33" s="256" t="n"/>
      <c r="FL33" s="18" t="n"/>
      <c r="FM33" s="18" t="n"/>
      <c r="FN33" s="18" t="n"/>
      <c r="FO33" s="18" t="n"/>
      <c r="FP33" s="256" t="n">
        <v>15</v>
      </c>
      <c r="FQ33" s="256" t="n"/>
      <c r="FR33" s="18" t="n"/>
      <c r="FS33" s="18" t="n"/>
      <c r="FT33" s="18" t="n"/>
      <c r="FU33" s="18" t="n"/>
      <c r="FV33" s="18" t="n"/>
      <c r="FW33" s="18" t="n"/>
      <c r="FX33" s="18" t="n"/>
      <c r="FY33" s="18" t="n"/>
      <c r="FZ33" s="256" t="n"/>
      <c r="GA33" s="18" t="n"/>
      <c r="GB33" s="18" t="n"/>
      <c r="GC33" s="18" t="n"/>
      <c r="GD33" s="256" t="n"/>
      <c r="GE33" s="18" t="n"/>
      <c r="GF33" s="18" t="n"/>
      <c r="GG33" s="18" t="n"/>
      <c r="GH33" s="18" t="n"/>
      <c r="GI33" s="18" t="n"/>
      <c r="GJ33" s="18" t="n"/>
      <c r="GK33" s="18" t="n">
        <v>50</v>
      </c>
      <c r="GL33" s="18" t="n"/>
      <c r="GM33" s="18" t="n"/>
      <c r="GN33" s="18" t="n"/>
      <c r="GO33" s="18" t="n"/>
      <c r="GP33" s="18" t="n"/>
      <c r="GQ33" s="18" t="n"/>
      <c r="GR33" s="18" t="n"/>
      <c r="GS33" s="18" t="n"/>
      <c r="GT33" s="18" t="n"/>
      <c r="GU33" s="18" t="n"/>
    </row>
    <row r="34" ht="18.75" customFormat="1" customHeight="1" s="3">
      <c r="A34" s="33" t="inlineStr">
        <is>
          <t>KIT TAGS  (21 c/ 50 un)</t>
        </is>
      </c>
      <c r="B34" s="9" t="n">
        <v>1050</v>
      </c>
      <c r="C34" s="662" t="n">
        <v>53.96</v>
      </c>
      <c r="D34" s="329" t="n">
        <v>10</v>
      </c>
      <c r="E34" s="2" t="n"/>
      <c r="F34" s="38" t="n">
        <v>0</v>
      </c>
      <c r="G34" s="38" t="n">
        <v>0</v>
      </c>
      <c r="H34" s="38" t="n">
        <v>0</v>
      </c>
      <c r="I34" s="38" t="n">
        <v>0</v>
      </c>
      <c r="J34" s="38" t="n">
        <v>0</v>
      </c>
      <c r="K34" s="38">
        <f>0+GH34</f>
        <v/>
      </c>
      <c r="L34" s="38">
        <f>0+GG34</f>
        <v/>
      </c>
      <c r="M34" s="38" t="n">
        <v>21</v>
      </c>
      <c r="N34" s="38" t="n">
        <v>21</v>
      </c>
      <c r="O34" s="38" t="n">
        <v>21</v>
      </c>
      <c r="P34" s="38" t="n">
        <v>21</v>
      </c>
      <c r="Q34" s="38" t="n">
        <v>21</v>
      </c>
      <c r="R34" s="38" t="n">
        <v>21</v>
      </c>
      <c r="S34" s="38" t="n">
        <v>21</v>
      </c>
      <c r="T34" s="38" t="n">
        <v>23</v>
      </c>
      <c r="U34" s="38" t="n">
        <v>23</v>
      </c>
      <c r="V34" s="38" t="n">
        <v>23</v>
      </c>
      <c r="W34" s="38" t="n">
        <v>23</v>
      </c>
      <c r="X34" s="38" t="n">
        <v>23</v>
      </c>
      <c r="Y34" s="38" t="n">
        <v>23</v>
      </c>
      <c r="Z34" s="38" t="n">
        <v>23</v>
      </c>
      <c r="AA34" s="38" t="n">
        <v>23</v>
      </c>
      <c r="AB34" s="38" t="n">
        <v>23</v>
      </c>
      <c r="AC34" s="38" t="n">
        <v>23</v>
      </c>
      <c r="AD34" s="38" t="n">
        <v>23</v>
      </c>
      <c r="AE34" s="38" t="n">
        <v>23</v>
      </c>
      <c r="AF34" s="38" t="n">
        <v>23</v>
      </c>
      <c r="AG34" s="38" t="n">
        <v>23</v>
      </c>
      <c r="AH34" s="38" t="n">
        <v>23</v>
      </c>
      <c r="AI34" s="38" t="n">
        <v>23</v>
      </c>
      <c r="AJ34" s="38" t="n">
        <v>23</v>
      </c>
      <c r="AK34" s="38" t="n">
        <v>23</v>
      </c>
      <c r="AL34" s="38" t="n">
        <v>23</v>
      </c>
      <c r="AM34" s="38" t="n">
        <v>23</v>
      </c>
      <c r="AN34" s="38" t="n">
        <v>23</v>
      </c>
      <c r="AO34" s="38" t="n">
        <v>23</v>
      </c>
      <c r="AP34" s="38" t="n">
        <v>23</v>
      </c>
      <c r="AQ34" s="38" t="n">
        <v>23</v>
      </c>
      <c r="AR34" s="38" t="n">
        <v>23</v>
      </c>
      <c r="AS34" s="38" t="n">
        <v>23</v>
      </c>
      <c r="AT34" s="38" t="n">
        <v>23</v>
      </c>
      <c r="AU34" s="38" t="n">
        <v>23</v>
      </c>
      <c r="AV34" s="38" t="n">
        <v>23</v>
      </c>
      <c r="AW34" s="38" t="n">
        <v>23</v>
      </c>
      <c r="AX34" s="38" t="n">
        <v>23</v>
      </c>
      <c r="AY34" s="38" t="n">
        <v>23</v>
      </c>
      <c r="AZ34" s="38" t="n">
        <v>23</v>
      </c>
      <c r="BA34" s="38" t="n">
        <v>23</v>
      </c>
      <c r="BB34" s="38" t="n">
        <v>23</v>
      </c>
      <c r="BC34" s="38" t="n">
        <v>22</v>
      </c>
      <c r="BD34" s="38" t="n">
        <v>22</v>
      </c>
      <c r="BE34" s="38" t="n">
        <v>22</v>
      </c>
      <c r="BF34" s="38" t="n">
        <v>22</v>
      </c>
      <c r="BG34" s="38" t="n">
        <v>22</v>
      </c>
      <c r="BH34" s="38" t="n">
        <v>22</v>
      </c>
      <c r="BI34" s="38">
        <f>22+15</f>
        <v/>
      </c>
      <c r="BJ34" s="38" t="n">
        <v>37</v>
      </c>
      <c r="BK34" s="38" t="n">
        <v>37</v>
      </c>
      <c r="BL34" s="38" t="n">
        <v>37</v>
      </c>
      <c r="BM34" s="38" t="n">
        <v>53</v>
      </c>
      <c r="BN34" s="38" t="n">
        <v>53</v>
      </c>
      <c r="BO34" s="38" t="n">
        <v>53</v>
      </c>
      <c r="BP34" s="38" t="n">
        <v>53</v>
      </c>
      <c r="BQ34" s="38" t="n">
        <v>38</v>
      </c>
      <c r="BR34" s="38" t="n">
        <v>38</v>
      </c>
      <c r="BS34" s="38" t="n">
        <v>38</v>
      </c>
      <c r="BT34" s="38" t="n"/>
      <c r="BU34" s="38" t="n"/>
      <c r="BV34" s="38" t="n"/>
      <c r="BW34" s="38" t="n">
        <v>42</v>
      </c>
      <c r="BX34" s="38" t="n">
        <v>42</v>
      </c>
      <c r="BY34" s="38" t="n">
        <v>42</v>
      </c>
      <c r="BZ34" s="38" t="n">
        <v>42</v>
      </c>
      <c r="CA34" s="38" t="n">
        <v>42</v>
      </c>
      <c r="CB34" s="38" t="n">
        <v>42</v>
      </c>
      <c r="CC34" s="9" t="n">
        <v>42</v>
      </c>
      <c r="CD34" s="9" t="n">
        <v>42</v>
      </c>
      <c r="CE34" s="9" t="n">
        <v>42</v>
      </c>
      <c r="CF34" s="154">
        <f>CD34+IF(NOT(ISBLANK(OFFSET(CF34,0,6))),N(OFFSET(CF34,0,6)),N(OFFSET(CF34,0,7)))-CE34</f>
        <v/>
      </c>
      <c r="CG34" s="6" t="n"/>
      <c r="CH34" s="19" t="n"/>
      <c r="CI34" s="19" t="n"/>
      <c r="CJ34" s="4" t="n"/>
      <c r="CK34" s="65" t="n"/>
      <c r="CL34" s="18" t="n">
        <v>0</v>
      </c>
      <c r="CM34" s="18" t="n">
        <v>0</v>
      </c>
      <c r="CN34" s="18" t="n">
        <v>0</v>
      </c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8" t="n"/>
      <c r="DA34" s="18" t="n"/>
      <c r="DB34" s="18" t="n"/>
      <c r="DC34" s="18" t="n"/>
      <c r="DD34" s="154" t="inlineStr">
        <is>
          <t>15 DE ER PBE</t>
        </is>
      </c>
      <c r="DE34" s="18" t="n"/>
      <c r="DF34" s="18" t="n"/>
      <c r="DG34" s="18" t="n"/>
      <c r="DH34" s="18" t="n"/>
      <c r="DI34" s="18" t="n"/>
      <c r="DJ34" s="18" t="n"/>
      <c r="DK34" s="18" t="n"/>
      <c r="DL34" s="18" t="n"/>
      <c r="DM34" s="18" t="n"/>
      <c r="DN34" s="18" t="n"/>
      <c r="DO34" s="18" t="n"/>
      <c r="DP34" s="18" t="n"/>
      <c r="DQ34" s="18" t="n"/>
      <c r="DR34" s="18" t="n"/>
      <c r="DS34" s="18" t="n"/>
      <c r="DT34" s="18" t="n"/>
      <c r="DU34" s="18" t="n"/>
      <c r="DV34" s="18" t="n"/>
      <c r="DW34" s="18" t="n"/>
      <c r="DX34" s="18" t="n"/>
      <c r="DY34" s="256" t="n">
        <v>400</v>
      </c>
      <c r="DZ34" s="18" t="n"/>
      <c r="EA34" s="18" t="n"/>
      <c r="EB34" s="256" t="n"/>
      <c r="EC34" s="256" t="n"/>
      <c r="ED34" s="256" t="n"/>
      <c r="EE34" s="18" t="n"/>
      <c r="EF34" s="18" t="n"/>
      <c r="EG34" s="18" t="n"/>
      <c r="EH34" s="18" t="n"/>
      <c r="EI34" s="18" t="n"/>
      <c r="EJ34" s="18" t="n"/>
      <c r="EK34" s="18" t="n"/>
      <c r="EL34" s="18" t="n"/>
      <c r="EM34" s="18" t="n"/>
      <c r="EN34" s="18" t="n"/>
      <c r="EO34" s="18" t="n"/>
      <c r="EP34" s="18" t="n"/>
      <c r="EQ34" s="18" t="n"/>
      <c r="ER34" s="18" t="n"/>
      <c r="ES34" s="18" t="n"/>
      <c r="ET34" s="18" t="n"/>
      <c r="EU34" s="18" t="n"/>
      <c r="EV34" s="18" t="n"/>
      <c r="EW34" s="18" t="n"/>
      <c r="EX34" s="18" t="n"/>
      <c r="EY34" s="18" t="n"/>
      <c r="EZ34" s="18" t="n"/>
      <c r="FA34" s="18" t="n"/>
      <c r="FB34" s="18" t="n"/>
      <c r="FC34" s="18" t="n"/>
      <c r="FD34" s="18" t="n"/>
      <c r="FE34" s="18" t="n"/>
      <c r="FF34" s="18" t="n"/>
      <c r="FG34" s="18" t="n"/>
      <c r="FH34" s="256" t="n"/>
      <c r="FI34" s="18" t="n"/>
      <c r="FJ34" s="18" t="n"/>
      <c r="FK34" s="256" t="n"/>
      <c r="FL34" s="18" t="n"/>
      <c r="FM34" s="18" t="n"/>
      <c r="FN34" s="18" t="n"/>
      <c r="FO34" s="18" t="n"/>
      <c r="FP34" s="18" t="n"/>
      <c r="FQ34" s="256" t="n"/>
      <c r="FR34" s="18" t="n"/>
      <c r="FS34" s="18" t="n"/>
      <c r="FT34" s="18" t="n"/>
      <c r="FU34" s="18" t="n"/>
      <c r="FV34" s="18" t="n"/>
      <c r="FW34" s="18" t="n"/>
      <c r="FX34" s="18" t="n"/>
      <c r="FY34" s="18" t="n"/>
      <c r="FZ34" s="256" t="n"/>
      <c r="GA34" s="18" t="n"/>
      <c r="GB34" s="18" t="n"/>
      <c r="GC34" s="18" t="n"/>
      <c r="GD34" s="256" t="n"/>
      <c r="GE34" s="18" t="n"/>
      <c r="GF34" s="18" t="n"/>
      <c r="GG34" s="18" t="n"/>
      <c r="GH34" s="18" t="n"/>
      <c r="GI34" s="18" t="n"/>
      <c r="GJ34" s="18" t="n">
        <v>21</v>
      </c>
      <c r="GK34" s="18" t="n"/>
      <c r="GL34" s="260" t="n"/>
      <c r="GM34" s="18" t="n"/>
      <c r="GN34" s="18" t="n"/>
      <c r="GO34" s="18" t="n"/>
      <c r="GP34" s="18" t="n"/>
      <c r="GQ34" s="18" t="n"/>
      <c r="GR34" s="18" t="n"/>
      <c r="GS34" s="18" t="n"/>
      <c r="GT34" s="18" t="n"/>
      <c r="GU34" s="18" t="n"/>
    </row>
    <row r="35" ht="18.75" customFormat="1" customHeight="1" s="3">
      <c r="A35" s="31" t="n"/>
      <c r="B35" s="2" t="n"/>
      <c r="C35" s="661" t="n"/>
      <c r="D35" s="398" t="n"/>
      <c r="E35" s="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4" t="n"/>
      <c r="CA35" s="4" t="n"/>
      <c r="CB35" s="4" t="n"/>
      <c r="CC35" s="2" t="n"/>
      <c r="CD35" s="2" t="n"/>
      <c r="CE35" s="2" t="n"/>
      <c r="CH35" s="26" t="n"/>
      <c r="CI35" s="26" t="n"/>
      <c r="CJ35" s="4" t="n"/>
      <c r="CK35" s="108" t="n"/>
      <c r="CL35" s="17" t="n"/>
      <c r="CM35" s="17" t="n"/>
      <c r="CN35" s="17" t="n"/>
      <c r="CO35" s="17" t="n"/>
      <c r="CP35" s="17" t="n"/>
      <c r="CQ35" s="17" t="n"/>
      <c r="CR35" s="17" t="n"/>
      <c r="CS35" s="17" t="n"/>
      <c r="CT35" s="17" t="n"/>
      <c r="CU35" s="17" t="n"/>
      <c r="CV35" s="17" t="n"/>
      <c r="CW35" s="17" t="n"/>
      <c r="CX35" s="17" t="n"/>
      <c r="CY35" s="17" t="n"/>
      <c r="CZ35" s="17" t="n"/>
      <c r="DA35" s="17" t="n"/>
      <c r="DB35" s="17" t="n"/>
      <c r="DC35" s="17" t="n"/>
      <c r="DD35" s="17" t="n"/>
      <c r="DE35" s="17" t="n"/>
      <c r="DF35" s="17" t="n"/>
      <c r="DG35" s="17" t="n"/>
      <c r="DH35" s="17" t="n"/>
      <c r="DI35" s="17" t="n"/>
      <c r="DJ35" s="17" t="n"/>
      <c r="DK35" s="17" t="n"/>
      <c r="DL35" s="17" t="n"/>
      <c r="DM35" s="17" t="n"/>
      <c r="DN35" s="17" t="n"/>
      <c r="DO35" s="17" t="n"/>
      <c r="DP35" s="17" t="n"/>
      <c r="DQ35" s="17" t="n"/>
      <c r="DR35" s="17" t="n"/>
      <c r="DS35" s="17" t="n"/>
      <c r="DT35" s="17" t="n"/>
      <c r="DU35" s="17" t="n"/>
      <c r="DV35" s="17" t="n"/>
      <c r="DW35" s="17" t="n"/>
      <c r="DX35" s="17" t="n"/>
      <c r="DY35" s="256" t="n">
        <v>300</v>
      </c>
      <c r="DZ35" s="17" t="n"/>
      <c r="EA35" s="17" t="n"/>
      <c r="EB35" s="271" t="n"/>
      <c r="EC35" s="271" t="n"/>
      <c r="ED35" s="271" t="n"/>
      <c r="EE35" s="1" t="n"/>
      <c r="EF35" s="1" t="n"/>
      <c r="EG35" s="1" t="n"/>
      <c r="EH35" s="1" t="n"/>
      <c r="EI35" s="1" t="n"/>
      <c r="EJ35" s="1" t="n"/>
      <c r="EK35" s="1" t="n"/>
      <c r="EL35" s="1" t="n"/>
      <c r="EM35" s="1" t="n"/>
      <c r="EN35" s="1" t="n"/>
      <c r="EO35" s="1" t="n"/>
      <c r="EP35" s="1" t="n"/>
      <c r="EQ35" s="1" t="n"/>
      <c r="ER35" s="1" t="n"/>
      <c r="ES35" s="1" t="n"/>
      <c r="ET35" s="1" t="n"/>
      <c r="EU35" s="1" t="n"/>
      <c r="EV35" s="1" t="n"/>
      <c r="EW35" s="1" t="n"/>
      <c r="EX35" s="1" t="n"/>
      <c r="EY35" s="1" t="n"/>
      <c r="EZ35" s="1" t="n"/>
      <c r="FA35" s="1" t="n"/>
      <c r="FB35" s="1" t="n"/>
      <c r="FC35" s="1" t="n"/>
      <c r="FD35" s="1" t="n"/>
      <c r="FE35" s="1" t="n"/>
      <c r="FF35" s="1" t="n"/>
      <c r="FG35" s="1" t="n"/>
      <c r="FI35" s="1" t="n"/>
      <c r="FJ35" s="1" t="n"/>
      <c r="FL35" s="1" t="n"/>
      <c r="FM35" s="1" t="n"/>
      <c r="FN35" s="1" t="n"/>
      <c r="FO35" s="1" t="n"/>
      <c r="FP35" s="1" t="n"/>
      <c r="FR35" s="1" t="n"/>
      <c r="FS35" s="1" t="n"/>
      <c r="FT35" s="1" t="n"/>
      <c r="FU35" s="1" t="n"/>
      <c r="FV35" s="1" t="n"/>
      <c r="FW35" s="1" t="n"/>
      <c r="FX35" s="1" t="n"/>
      <c r="FY35" s="1" t="n"/>
      <c r="GA35" s="1" t="n"/>
      <c r="GB35" s="1" t="n"/>
      <c r="GC35" s="1" t="n"/>
      <c r="GE35" s="1" t="n"/>
      <c r="GF35" s="1" t="n"/>
      <c r="GG35" s="1" t="n"/>
      <c r="GH35" s="1" t="n"/>
      <c r="GI35" s="1" t="n"/>
      <c r="GJ35" s="1" t="n"/>
      <c r="GK35" s="1" t="n"/>
      <c r="GM35" s="1" t="n"/>
      <c r="GN35" s="1" t="n"/>
      <c r="GO35" s="1" t="n"/>
      <c r="GP35" s="1" t="n"/>
      <c r="GQ35" s="1" t="n"/>
      <c r="GR35" s="1" t="n"/>
      <c r="GS35" s="1" t="n"/>
      <c r="GT35" s="1" t="n"/>
      <c r="GU35" s="1" t="n"/>
    </row>
    <row r="36" ht="18.75" customFormat="1" customHeight="1" s="3">
      <c r="A36" s="32" t="inlineStr">
        <is>
          <t>CAIXAS BOTICÁRIO</t>
        </is>
      </c>
      <c r="B36" s="575" t="inlineStr">
        <is>
          <t>PC</t>
        </is>
      </c>
      <c r="C36" s="575" t="inlineStr">
        <is>
          <t>R$</t>
        </is>
      </c>
      <c r="D36" s="575" t="n"/>
      <c r="E36" s="2" t="n"/>
      <c r="F36" s="650" t="n">
        <v>46021</v>
      </c>
      <c r="G36" s="650" t="n">
        <v>45663</v>
      </c>
      <c r="H36" s="650" t="n">
        <v>45670</v>
      </c>
      <c r="I36" s="650" t="n">
        <v>45677</v>
      </c>
      <c r="J36" s="650" t="n">
        <v>45684</v>
      </c>
      <c r="K36" s="650" t="n">
        <v>45691</v>
      </c>
      <c r="L36" s="650" t="n">
        <v>45698</v>
      </c>
      <c r="M36" s="650" t="n">
        <v>45705</v>
      </c>
      <c r="N36" s="650" t="n">
        <v>45712</v>
      </c>
      <c r="O36" s="650" t="n">
        <v>45719</v>
      </c>
      <c r="P36" s="650" t="n">
        <v>45726</v>
      </c>
      <c r="Q36" s="650" t="n">
        <v>45733</v>
      </c>
      <c r="R36" s="650" t="n">
        <v>45740</v>
      </c>
      <c r="S36" s="650" t="n">
        <v>45747</v>
      </c>
      <c r="T36" s="650" t="n">
        <v>45754</v>
      </c>
      <c r="U36" s="650" t="n">
        <v>45761</v>
      </c>
      <c r="V36" s="650" t="n">
        <v>45768</v>
      </c>
      <c r="W36" s="650" t="n">
        <v>45775</v>
      </c>
      <c r="X36" s="650" t="n">
        <v>45782</v>
      </c>
      <c r="Y36" s="650" t="n">
        <v>45789</v>
      </c>
      <c r="Z36" s="650" t="n">
        <v>45796</v>
      </c>
      <c r="AA36" s="650" t="n">
        <v>45803</v>
      </c>
      <c r="AB36" s="650" t="n">
        <v>45810</v>
      </c>
      <c r="AC36" s="650" t="n">
        <v>45817</v>
      </c>
      <c r="AD36" s="650" t="n">
        <v>45824</v>
      </c>
      <c r="AE36" s="650" t="n">
        <v>45831</v>
      </c>
      <c r="AF36" s="650" t="n">
        <v>45838</v>
      </c>
      <c r="AG36" s="650" t="n">
        <v>45845</v>
      </c>
      <c r="AH36" s="650" t="n">
        <v>45852</v>
      </c>
      <c r="AI36" s="650" t="n">
        <v>45859</v>
      </c>
      <c r="AJ36" s="650" t="n">
        <v>45866</v>
      </c>
      <c r="AK36" s="650" t="n">
        <v>45873</v>
      </c>
      <c r="AL36" s="650" t="n">
        <v>45880</v>
      </c>
      <c r="AM36" s="650" t="n">
        <v>45887</v>
      </c>
      <c r="AN36" s="650" t="n">
        <v>45894</v>
      </c>
      <c r="AO36" s="650" t="n">
        <v>45901</v>
      </c>
      <c r="AP36" s="650" t="n">
        <v>45908</v>
      </c>
      <c r="AQ36" s="650" t="n">
        <v>45915</v>
      </c>
      <c r="AR36" s="650" t="n">
        <v>45922</v>
      </c>
      <c r="AS36" s="650" t="n">
        <v>45929</v>
      </c>
      <c r="AT36" s="650" t="n">
        <v>45936</v>
      </c>
      <c r="AU36" s="650" t="n">
        <v>45943</v>
      </c>
      <c r="AV36" s="650" t="n">
        <v>45950</v>
      </c>
      <c r="AW36" s="650" t="n">
        <v>45957</v>
      </c>
      <c r="AX36" s="650" t="n">
        <v>45964</v>
      </c>
      <c r="AY36" s="650" t="n">
        <v>45971</v>
      </c>
      <c r="AZ36" s="650" t="n">
        <v>45978</v>
      </c>
      <c r="BA36" s="650" t="n">
        <v>45985</v>
      </c>
      <c r="BB36" s="650" t="n">
        <v>45992</v>
      </c>
      <c r="BC36" s="650" t="n">
        <v>45999</v>
      </c>
      <c r="BD36" s="650" t="n">
        <v>46006</v>
      </c>
      <c r="BE36" s="650" t="n">
        <v>46013</v>
      </c>
      <c r="BF36" s="650" t="n">
        <v>46020</v>
      </c>
      <c r="BG36" s="650" t="n">
        <v>46027</v>
      </c>
      <c r="BH36" s="650" t="n">
        <v>46034</v>
      </c>
      <c r="BI36" s="650" t="n">
        <v>46041</v>
      </c>
      <c r="BJ36" s="650" t="n">
        <v>46048</v>
      </c>
      <c r="BK36" s="650" t="n">
        <v>46055</v>
      </c>
      <c r="BL36" s="650" t="n">
        <v>46062</v>
      </c>
      <c r="BM36" s="650" t="n">
        <v>46069</v>
      </c>
      <c r="BN36" s="650" t="n">
        <v>46076</v>
      </c>
      <c r="BO36" s="650" t="n">
        <v>46083</v>
      </c>
      <c r="BP36" s="650" t="n">
        <v>46090</v>
      </c>
      <c r="BQ36" s="650" t="n">
        <v>46097</v>
      </c>
      <c r="BR36" s="650" t="n">
        <v>46104</v>
      </c>
      <c r="BS36" s="650" t="n">
        <v>46111</v>
      </c>
      <c r="BT36" s="650" t="n">
        <v>46118</v>
      </c>
      <c r="BU36" s="650" t="n">
        <v>46125</v>
      </c>
      <c r="BV36" s="650" t="n">
        <v>46132</v>
      </c>
      <c r="BW36" s="650" t="n">
        <v>46139</v>
      </c>
      <c r="BX36" s="650" t="n">
        <v>46146</v>
      </c>
      <c r="BY36" s="650" t="n">
        <v>46154</v>
      </c>
      <c r="BZ36" s="650" t="n">
        <v>46160</v>
      </c>
      <c r="CA36" s="650" t="n">
        <v>46160</v>
      </c>
      <c r="CB36" s="650" t="n">
        <v>46160</v>
      </c>
      <c r="CC36" s="651" t="n">
        <v>46161.48004043981</v>
      </c>
      <c r="CD36" s="651" t="n">
        <v>46161.48071866898</v>
      </c>
      <c r="CE36" s="651" t="n">
        <v>46161.48287732846</v>
      </c>
      <c r="CF36" s="652" t="inlineStr">
        <is>
          <t>USOU</t>
        </is>
      </c>
      <c r="CG36" s="6" t="n"/>
      <c r="CH36" s="413" t="inlineStr">
        <is>
          <t>TRANSFERÊNCIA</t>
        </is>
      </c>
      <c r="CI36" s="35" t="inlineStr">
        <is>
          <t>Pend.</t>
        </is>
      </c>
      <c r="CJ36" s="653" t="n"/>
      <c r="CK36" s="12" t="inlineStr">
        <is>
          <t>Novo Pedido</t>
        </is>
      </c>
      <c r="CL36" s="716" t="n">
        <v>46161.48287614487</v>
      </c>
      <c r="CM36" s="654" t="n"/>
      <c r="CN36" s="654" t="n">
        <v>46149</v>
      </c>
      <c r="CO36" s="654" t="n">
        <v>46114</v>
      </c>
      <c r="CP36" s="654" t="n">
        <v>46107</v>
      </c>
      <c r="CQ36" s="710" t="n">
        <v>46065</v>
      </c>
      <c r="CR36" s="654" t="n">
        <v>46099</v>
      </c>
      <c r="CS36" s="654" t="n">
        <v>46092</v>
      </c>
      <c r="CT36" s="711" t="n">
        <v>46045</v>
      </c>
      <c r="CU36" s="654" t="n">
        <v>46084</v>
      </c>
      <c r="CV36" s="655" t="n">
        <v>46084</v>
      </c>
      <c r="CW36" s="654" t="n">
        <v>46077</v>
      </c>
      <c r="CX36" s="655" t="n">
        <v>46077</v>
      </c>
      <c r="CY36" s="654" t="n">
        <v>46071</v>
      </c>
      <c r="CZ36" s="654" t="n">
        <v>46048</v>
      </c>
      <c r="DA36" s="654" t="n">
        <v>46043</v>
      </c>
      <c r="DB36" s="654" t="n">
        <v>46035</v>
      </c>
      <c r="DC36" s="654" t="n">
        <v>46029</v>
      </c>
      <c r="DD36" s="655" t="n">
        <v>46043</v>
      </c>
      <c r="DE36" s="654" t="n">
        <v>46024</v>
      </c>
      <c r="DF36" s="654" t="n">
        <v>46029</v>
      </c>
      <c r="DG36" s="654" t="n">
        <v>46024</v>
      </c>
      <c r="DH36" s="654" t="n">
        <v>46372</v>
      </c>
      <c r="DI36" s="654" t="n">
        <v>46024</v>
      </c>
      <c r="DJ36" s="654" t="n">
        <v>46017</v>
      </c>
      <c r="DK36" s="654" t="n">
        <v>46007</v>
      </c>
      <c r="DL36" s="654" t="n">
        <v>46001</v>
      </c>
      <c r="DM36" s="654" t="n">
        <v>46007</v>
      </c>
      <c r="DN36" s="654" t="n">
        <v>46001</v>
      </c>
      <c r="DO36" s="654" t="n">
        <v>45994</v>
      </c>
      <c r="DP36" s="654" t="n">
        <v>45986</v>
      </c>
      <c r="DQ36" s="654" t="n">
        <v>45980</v>
      </c>
      <c r="DR36" s="654" t="n">
        <v>45980</v>
      </c>
      <c r="DS36" s="654" t="n">
        <v>45973</v>
      </c>
      <c r="DT36" s="654" t="n">
        <v>45965</v>
      </c>
      <c r="DU36" s="654" t="n">
        <v>45960</v>
      </c>
      <c r="DV36" s="654" t="n">
        <v>45945</v>
      </c>
      <c r="DW36" s="654" t="n">
        <v>45939</v>
      </c>
      <c r="DX36" s="654" t="n">
        <v>45931</v>
      </c>
      <c r="DY36" s="678" t="n">
        <v>45903</v>
      </c>
      <c r="DZ36" s="654" t="n">
        <v>45923</v>
      </c>
      <c r="EA36" s="654" t="n">
        <v>45915</v>
      </c>
      <c r="EB36" s="655" t="n">
        <v>45931</v>
      </c>
      <c r="EC36" s="688" t="n">
        <v>45931</v>
      </c>
      <c r="ED36" s="688" t="n">
        <v>45931</v>
      </c>
      <c r="EE36" s="18" t="n"/>
      <c r="EF36" s="18" t="n"/>
      <c r="EG36" s="18" t="n"/>
      <c r="EH36" s="18" t="n"/>
      <c r="EI36" s="18" t="n"/>
      <c r="EJ36" s="18" t="n"/>
      <c r="EK36" s="18" t="n"/>
      <c r="EL36" s="18" t="n"/>
      <c r="EM36" s="18" t="n"/>
      <c r="EN36" s="18" t="n"/>
      <c r="EO36" s="18" t="n"/>
      <c r="EP36" s="18" t="n"/>
      <c r="EQ36" s="18" t="n"/>
      <c r="ER36" s="18" t="n"/>
      <c r="ES36" s="18" t="n"/>
      <c r="ET36" s="18" t="n"/>
      <c r="EU36" s="18" t="n"/>
      <c r="EV36" s="18" t="n"/>
      <c r="EW36" s="18" t="n"/>
      <c r="EX36" s="18" t="n"/>
      <c r="EY36" s="18" t="n"/>
      <c r="EZ36" s="239" t="inlineStr">
        <is>
          <t>60 DE ER PBE</t>
        </is>
      </c>
      <c r="FA36" s="18" t="n"/>
      <c r="FB36" s="18" t="n"/>
      <c r="FC36" s="18" t="n"/>
      <c r="FD36" s="18" t="n"/>
      <c r="FE36" s="18" t="n"/>
      <c r="FF36" s="18" t="n"/>
      <c r="FG36" s="18" t="n"/>
      <c r="FH36" s="292" t="inlineStr">
        <is>
          <t>30 DE ER PB</t>
        </is>
      </c>
      <c r="FI36" s="18" t="n"/>
      <c r="FJ36" s="18" t="n"/>
      <c r="FK36" s="256" t="n"/>
      <c r="FL36" s="18" t="n"/>
      <c r="FM36" s="18" t="n"/>
      <c r="FN36" s="18" t="n"/>
      <c r="FO36" s="18" t="n"/>
      <c r="FP36" s="18" t="n"/>
      <c r="FQ36" s="256" t="n"/>
      <c r="FR36" s="18" t="n"/>
      <c r="FS36" s="18" t="n"/>
      <c r="FT36" s="18" t="n"/>
      <c r="FU36" s="18" t="n"/>
      <c r="FV36" s="260" t="n"/>
      <c r="FW36" s="18" t="n"/>
      <c r="FX36" s="18" t="n"/>
      <c r="FY36" s="18" t="n"/>
      <c r="FZ36" s="256" t="inlineStr">
        <is>
          <t>50 p. ERP</t>
        </is>
      </c>
      <c r="GA36" s="18" t="n"/>
      <c r="GB36" s="18" t="n"/>
      <c r="GC36" s="18" t="n"/>
      <c r="GD36" s="256" t="n">
        <v>150</v>
      </c>
      <c r="GE36" s="18" t="n"/>
      <c r="GF36" s="18" t="n"/>
      <c r="GG36" s="18" t="n"/>
      <c r="GH36" s="18" t="n"/>
      <c r="GI36" s="18" t="n"/>
      <c r="GJ36" s="18" t="n"/>
      <c r="GK36" s="18" t="n">
        <v>75</v>
      </c>
      <c r="GL36" s="18" t="n"/>
      <c r="GM36" s="18" t="n"/>
      <c r="GN36" s="18" t="n"/>
      <c r="GO36" s="18" t="n"/>
      <c r="GP36" s="18" t="n"/>
      <c r="GQ36" s="18" t="n"/>
      <c r="GR36" s="18" t="n"/>
      <c r="GS36" s="18" t="n"/>
      <c r="GT36" s="18" t="n"/>
      <c r="GU36" s="18" t="n"/>
    </row>
    <row r="37" ht="18.75" customFormat="1" customHeight="1" s="3">
      <c r="A37" s="33" t="inlineStr">
        <is>
          <t>KIT CAIXA P VERDE</t>
        </is>
      </c>
      <c r="B37" s="129" t="n">
        <v>75</v>
      </c>
      <c r="C37" s="665" t="n">
        <v>239.21</v>
      </c>
      <c r="D37" s="329" t="n">
        <v>20</v>
      </c>
      <c r="E37" s="2" t="n"/>
      <c r="F37" s="38" t="n">
        <v>0</v>
      </c>
      <c r="G37" s="38" t="n">
        <v>0</v>
      </c>
      <c r="H37" s="38" t="n">
        <v>0</v>
      </c>
      <c r="I37" s="38" t="n">
        <v>0</v>
      </c>
      <c r="J37" s="38" t="n">
        <v>0</v>
      </c>
      <c r="K37" s="38">
        <f>0+GH36</f>
        <v/>
      </c>
      <c r="L37" s="38" t="n">
        <v>71</v>
      </c>
      <c r="M37" s="38" t="n">
        <v>71</v>
      </c>
      <c r="N37" s="38" t="n">
        <v>71</v>
      </c>
      <c r="O37" s="38" t="n">
        <v>71</v>
      </c>
      <c r="P37" s="38" t="n">
        <v>71</v>
      </c>
      <c r="Q37" s="38" t="n">
        <v>76</v>
      </c>
      <c r="R37" s="38" t="n">
        <v>76</v>
      </c>
      <c r="S37" s="38" t="n">
        <v>76</v>
      </c>
      <c r="T37" s="38" t="n">
        <v>76</v>
      </c>
      <c r="U37" s="38" t="n">
        <v>76</v>
      </c>
      <c r="V37" s="38" t="n">
        <v>76</v>
      </c>
      <c r="W37" s="38" t="n">
        <v>76</v>
      </c>
      <c r="X37" s="38" t="n">
        <v>76</v>
      </c>
      <c r="Y37" s="38" t="n">
        <v>71</v>
      </c>
      <c r="Z37" s="38" t="n">
        <v>69</v>
      </c>
      <c r="AA37" s="38" t="n">
        <v>68</v>
      </c>
      <c r="AB37" s="38" t="n">
        <v>60</v>
      </c>
      <c r="AC37" s="38" t="n">
        <v>57</v>
      </c>
      <c r="AD37" s="38">
        <f>46+60</f>
        <v/>
      </c>
      <c r="AE37" s="38" t="n">
        <v>103</v>
      </c>
      <c r="AF37" s="38">
        <f>99-1</f>
        <v/>
      </c>
      <c r="AG37" s="38" t="n">
        <v>76</v>
      </c>
      <c r="AH37" s="38" t="n">
        <v>71</v>
      </c>
      <c r="AI37" s="38" t="n">
        <v>67</v>
      </c>
      <c r="AJ37" s="38" t="n">
        <v>66</v>
      </c>
      <c r="AK37" s="38" t="n">
        <v>65</v>
      </c>
      <c r="AL37" s="38" t="n">
        <v>45</v>
      </c>
      <c r="AM37" s="38" t="n">
        <v>43</v>
      </c>
      <c r="AN37" s="38" t="n">
        <v>43</v>
      </c>
      <c r="AO37" s="38" t="n">
        <v>33</v>
      </c>
      <c r="AP37" s="38" t="n">
        <v>30</v>
      </c>
      <c r="AQ37" s="38" t="n">
        <v>30</v>
      </c>
      <c r="AR37" s="38" t="n">
        <v>30</v>
      </c>
      <c r="AS37" s="38" t="n">
        <v>30</v>
      </c>
      <c r="AT37" s="38" t="n">
        <v>28</v>
      </c>
      <c r="AU37" s="38" t="n">
        <v>23</v>
      </c>
      <c r="AV37" s="38" t="n">
        <v>22</v>
      </c>
      <c r="AW37" s="38" t="n">
        <v>20</v>
      </c>
      <c r="AX37" s="38" t="n">
        <v>15</v>
      </c>
      <c r="AY37" s="38" t="n">
        <v>15</v>
      </c>
      <c r="AZ37" s="38" t="n">
        <v>15</v>
      </c>
      <c r="BA37" s="38" t="n">
        <v>15</v>
      </c>
      <c r="BB37" s="38" t="n">
        <v>15</v>
      </c>
      <c r="BC37" s="38" t="n">
        <v>14</v>
      </c>
      <c r="BD37" s="38" t="n">
        <v>14</v>
      </c>
      <c r="BE37" s="38" t="n">
        <v>14</v>
      </c>
      <c r="BF37" s="38" t="n">
        <v>12</v>
      </c>
      <c r="BG37" s="38" t="n">
        <v>12</v>
      </c>
      <c r="BH37" s="38" t="n">
        <v>12</v>
      </c>
      <c r="BI37" s="38" t="n">
        <v>11</v>
      </c>
      <c r="BJ37" s="38" t="n">
        <v>9</v>
      </c>
      <c r="BK37" s="38" t="n">
        <v>9</v>
      </c>
      <c r="BL37" s="38" t="n">
        <v>6</v>
      </c>
      <c r="BM37" s="38" t="n">
        <v>6</v>
      </c>
      <c r="BN37" s="38" t="n">
        <v>6</v>
      </c>
      <c r="BO37" s="38" t="n">
        <v>6</v>
      </c>
      <c r="BP37" s="38" t="n">
        <v>6</v>
      </c>
      <c r="BQ37" s="38" t="n">
        <v>4</v>
      </c>
      <c r="BR37" s="38" t="n">
        <v>4</v>
      </c>
      <c r="BS37" s="38" t="n">
        <v>4</v>
      </c>
      <c r="BT37" s="38" t="n">
        <v>4</v>
      </c>
      <c r="BU37" s="38" t="n">
        <v>4</v>
      </c>
      <c r="BV37" s="38" t="n">
        <v>4</v>
      </c>
      <c r="BW37" s="38" t="n">
        <v>4</v>
      </c>
      <c r="BX37" s="38" t="n">
        <v>4</v>
      </c>
      <c r="BY37" s="38" t="n">
        <v>4</v>
      </c>
      <c r="BZ37" s="38" t="n">
        <v>4</v>
      </c>
      <c r="CA37" s="38" t="n">
        <v>4</v>
      </c>
      <c r="CB37" s="38" t="n">
        <v>4</v>
      </c>
      <c r="CC37" s="9" t="n">
        <v>4</v>
      </c>
      <c r="CD37" s="9" t="n">
        <v>4</v>
      </c>
      <c r="CE37" s="9" t="n">
        <v>4</v>
      </c>
      <c r="CF37" s="154">
        <f>CD37+IF(NOT(ISBLANK(OFFSET(CF37,0,6))),N(OFFSET(CF37,0,6)),N(OFFSET(CF37,0,7)))-CE37</f>
        <v/>
      </c>
      <c r="CG37" s="6" t="n"/>
      <c r="CH37" s="19" t="n"/>
      <c r="CI37" s="19" t="n"/>
      <c r="CJ37" s="4" t="n"/>
      <c r="CK37" s="65" t="n"/>
      <c r="CL37" s="18" t="n">
        <v>0</v>
      </c>
      <c r="CM37" s="18" t="n">
        <v>0</v>
      </c>
      <c r="CN37" s="18" t="n">
        <v>0</v>
      </c>
      <c r="CO37" s="18" t="n"/>
      <c r="CP37" s="18" t="n"/>
      <c r="CQ37" s="403" t="n">
        <v>150</v>
      </c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18" t="n"/>
      <c r="DM37" s="18" t="n"/>
      <c r="DN37" s="18" t="n"/>
      <c r="DO37" s="18" t="n"/>
      <c r="DP37" s="18" t="n"/>
      <c r="DQ37" s="18" t="n"/>
      <c r="DR37" s="18" t="n"/>
      <c r="DS37" s="18" t="n"/>
      <c r="DT37" s="18" t="n"/>
      <c r="DU37" s="18" t="n"/>
      <c r="DV37" s="18" t="n"/>
      <c r="DW37" s="18" t="n"/>
      <c r="DX37" s="18" t="n"/>
      <c r="DY37" s="396" t="n"/>
      <c r="DZ37" s="18" t="n"/>
      <c r="EA37" s="18" t="n"/>
      <c r="EB37" s="256" t="n"/>
      <c r="EC37" s="256" t="n"/>
      <c r="ED37" s="256" t="n"/>
      <c r="EE37" s="18" t="n"/>
      <c r="EF37" s="18" t="n"/>
      <c r="EG37" s="18" t="n"/>
      <c r="EH37" s="18" t="n"/>
      <c r="EI37" s="18" t="n"/>
      <c r="EJ37" s="18" t="n"/>
      <c r="EK37" s="18" t="n"/>
      <c r="EL37" s="18" t="n"/>
      <c r="EM37" s="18" t="n"/>
      <c r="EN37" s="18" t="n"/>
      <c r="EO37" s="18" t="n"/>
      <c r="EP37" s="18" t="n"/>
      <c r="EQ37" s="18" t="n">
        <v>75</v>
      </c>
      <c r="ER37" s="18" t="n"/>
      <c r="ES37" s="292" t="inlineStr">
        <is>
          <t>50 P/ CDP</t>
        </is>
      </c>
      <c r="ET37" s="18" t="n"/>
      <c r="EU37" s="292" t="inlineStr">
        <is>
          <t>30 P/ ER PB</t>
        </is>
      </c>
      <c r="EV37" s="18" t="n"/>
      <c r="EW37" s="256" t="n">
        <v>100</v>
      </c>
      <c r="EX37" s="18" t="n"/>
      <c r="EY37" s="18" t="n"/>
      <c r="EZ37" s="18" t="n"/>
      <c r="FA37" s="18" t="n"/>
      <c r="FB37" s="239" t="inlineStr">
        <is>
          <t>50 DE ER PBE</t>
        </is>
      </c>
      <c r="FC37" s="18" t="n"/>
      <c r="FD37" s="18" t="n"/>
      <c r="FE37" s="18" t="n"/>
      <c r="FF37" s="18" t="n"/>
      <c r="FG37" s="312" t="inlineStr">
        <is>
          <t>20 P/ ER PB</t>
        </is>
      </c>
      <c r="FH37" s="256" t="n"/>
      <c r="FI37" s="18" t="n"/>
      <c r="FJ37" s="312" t="inlineStr">
        <is>
          <t>50 P/ CD</t>
        </is>
      </c>
      <c r="FK37" s="256" t="n"/>
      <c r="FL37" s="18" t="n"/>
      <c r="FM37" s="18" t="n"/>
      <c r="FN37" s="18" t="n"/>
      <c r="FO37" s="18" t="n"/>
      <c r="FP37" s="256" t="n">
        <v>200</v>
      </c>
      <c r="FQ37" s="256" t="n"/>
      <c r="FR37" s="18" t="n"/>
      <c r="FS37" s="18" t="n"/>
      <c r="FT37" s="18" t="n"/>
      <c r="FU37" s="18" t="n"/>
      <c r="FV37" s="18" t="n"/>
      <c r="FW37" s="18" t="n"/>
      <c r="FX37" s="18" t="n"/>
      <c r="FY37" s="18" t="n"/>
      <c r="FZ37" s="256" t="inlineStr">
        <is>
          <t>50 p. ERP</t>
        </is>
      </c>
      <c r="GA37" s="18" t="n"/>
      <c r="GB37" s="18" t="n"/>
      <c r="GC37" s="18" t="n"/>
      <c r="GD37" s="256" t="n">
        <v>100</v>
      </c>
      <c r="GE37" s="18" t="n"/>
      <c r="GF37" s="18" t="n"/>
      <c r="GG37" s="18" t="n"/>
      <c r="GH37" s="18" t="n"/>
      <c r="GI37" s="18" t="n"/>
      <c r="GJ37" s="18" t="n"/>
      <c r="GK37" s="18" t="n">
        <v>75</v>
      </c>
      <c r="GL37" s="18" t="n"/>
      <c r="GM37" s="18" t="n"/>
      <c r="GN37" s="18" t="n"/>
      <c r="GO37" s="18" t="n"/>
      <c r="GP37" s="18" t="n"/>
      <c r="GQ37" s="18" t="n"/>
      <c r="GR37" s="18" t="n"/>
      <c r="GS37" s="18" t="n"/>
      <c r="GT37" s="18" t="n"/>
      <c r="GU37" s="18" t="n"/>
    </row>
    <row r="38" ht="18.75" customHeight="1">
      <c r="A38" s="33" t="inlineStr">
        <is>
          <t>KIT CAIXA M VERDE</t>
        </is>
      </c>
      <c r="B38" s="129" t="n">
        <v>75</v>
      </c>
      <c r="C38" s="662" t="n">
        <v>312.27</v>
      </c>
      <c r="D38" s="329" t="n">
        <v>30</v>
      </c>
      <c r="E38" s="2" t="n"/>
      <c r="F38" s="38" t="n">
        <v>0</v>
      </c>
      <c r="G38" s="38" t="n">
        <v>0</v>
      </c>
      <c r="H38" s="38" t="n">
        <v>0</v>
      </c>
      <c r="I38" s="38" t="n">
        <v>0</v>
      </c>
      <c r="J38" s="38" t="n">
        <v>0</v>
      </c>
      <c r="K38" s="38">
        <f>0+GH37</f>
        <v/>
      </c>
      <c r="L38" s="38" t="n">
        <v>75</v>
      </c>
      <c r="M38" s="38" t="n">
        <v>75</v>
      </c>
      <c r="N38" s="38" t="n">
        <v>75</v>
      </c>
      <c r="O38" s="38" t="n">
        <v>75</v>
      </c>
      <c r="P38" s="38" t="n">
        <v>75</v>
      </c>
      <c r="Q38" s="38" t="n">
        <v>75</v>
      </c>
      <c r="R38" s="38" t="n">
        <v>75</v>
      </c>
      <c r="S38" s="38" t="n">
        <v>73</v>
      </c>
      <c r="T38" s="38" t="n">
        <v>71</v>
      </c>
      <c r="U38" s="38" t="n">
        <v>64</v>
      </c>
      <c r="V38" s="38" t="n">
        <v>64</v>
      </c>
      <c r="W38" s="38" t="n">
        <v>64</v>
      </c>
      <c r="X38" s="38" t="n">
        <v>64</v>
      </c>
      <c r="Y38" s="38" t="n">
        <v>18</v>
      </c>
      <c r="Z38" s="38" t="n">
        <v>10</v>
      </c>
      <c r="AA38" s="38" t="n">
        <v>7</v>
      </c>
      <c r="AB38" s="38" t="n">
        <v>4</v>
      </c>
      <c r="AC38" s="38">
        <f>0+50</f>
        <v/>
      </c>
      <c r="AD38" s="38" t="n">
        <v>44</v>
      </c>
      <c r="AE38" s="38" t="n">
        <v>36</v>
      </c>
      <c r="AF38" s="38">
        <f>33-8</f>
        <v/>
      </c>
      <c r="AG38" s="38" t="n">
        <v>16</v>
      </c>
      <c r="AH38" s="38" t="n">
        <v>9</v>
      </c>
      <c r="AI38" s="38" t="n">
        <v>2</v>
      </c>
      <c r="AJ38" s="38" t="n">
        <v>75</v>
      </c>
      <c r="AK38" s="38" t="n">
        <v>73</v>
      </c>
      <c r="AL38" s="38" t="n">
        <v>32</v>
      </c>
      <c r="AM38" s="38" t="n">
        <v>26</v>
      </c>
      <c r="AN38" s="38" t="n">
        <v>26</v>
      </c>
      <c r="AO38" s="38" t="n">
        <v>19</v>
      </c>
      <c r="AP38" s="38" t="n">
        <v>6</v>
      </c>
      <c r="AQ38" s="38" t="n">
        <v>0</v>
      </c>
      <c r="AR38" s="38">
        <f>0+10</f>
        <v/>
      </c>
      <c r="AS38" s="38" t="n">
        <v>7</v>
      </c>
      <c r="AT38" s="38" t="n">
        <v>0</v>
      </c>
      <c r="AU38" s="38" t="n">
        <v>0</v>
      </c>
      <c r="AV38" s="38" t="n">
        <v>0</v>
      </c>
      <c r="AW38" s="38" t="n">
        <v>0</v>
      </c>
      <c r="AX38" s="38" t="n">
        <v>0</v>
      </c>
      <c r="AY38" s="38" t="n">
        <v>0</v>
      </c>
      <c r="AZ38" s="38" t="n">
        <v>0</v>
      </c>
      <c r="BA38" s="38" t="n">
        <v>0</v>
      </c>
      <c r="BB38" s="38" t="n">
        <v>0</v>
      </c>
      <c r="BC38" s="38" t="n">
        <v>0</v>
      </c>
      <c r="BD38" s="38" t="n">
        <v>0</v>
      </c>
      <c r="BE38" s="38" t="n">
        <v>0</v>
      </c>
      <c r="BF38" s="38" t="n">
        <v>0</v>
      </c>
      <c r="BG38" s="38" t="n">
        <v>0</v>
      </c>
      <c r="BH38" s="38" t="n">
        <v>0</v>
      </c>
      <c r="BI38" s="38" t="n">
        <v>0</v>
      </c>
      <c r="BJ38" s="38" t="n">
        <v>0</v>
      </c>
      <c r="BK38" s="38" t="n">
        <v>0</v>
      </c>
      <c r="BL38" s="261" t="n">
        <v>20</v>
      </c>
      <c r="BM38" s="38" t="n">
        <v>20</v>
      </c>
      <c r="BN38" s="38" t="n">
        <v>20</v>
      </c>
      <c r="BO38" s="38" t="n">
        <v>7</v>
      </c>
      <c r="BP38" s="38" t="n">
        <v>3</v>
      </c>
      <c r="BQ38" s="38" t="n">
        <v>1</v>
      </c>
      <c r="BR38" s="38" t="n">
        <v>0</v>
      </c>
      <c r="BS38" s="38" t="n">
        <v>0</v>
      </c>
      <c r="BT38" s="38" t="n">
        <v>0</v>
      </c>
      <c r="BU38" s="38" t="n">
        <v>0</v>
      </c>
      <c r="BV38" s="38" t="n">
        <v>0</v>
      </c>
      <c r="BW38" s="38" t="n">
        <v>0</v>
      </c>
      <c r="BX38" s="38" t="n">
        <v>0</v>
      </c>
      <c r="BY38" s="38" t="n">
        <v>0</v>
      </c>
      <c r="BZ38" s="38" t="n">
        <v>0</v>
      </c>
      <c r="CA38" s="38" t="n">
        <v>0</v>
      </c>
      <c r="CB38" s="38" t="n">
        <v>0</v>
      </c>
      <c r="CC38" s="9" t="n">
        <v>0</v>
      </c>
      <c r="CD38" s="9" t="n">
        <v>0</v>
      </c>
      <c r="CE38" s="9" t="n">
        <v>0</v>
      </c>
      <c r="CF38" s="154">
        <f>CD38+IF(NOT(ISBLANK(OFFSET(CF38,0,6))),N(OFFSET(CF38,0,6)),N(OFFSET(CF38,0,7)))-CE38</f>
        <v/>
      </c>
      <c r="CH38" s="19" t="n"/>
      <c r="CI38" s="19" t="n"/>
      <c r="CJ38" s="5" t="n"/>
      <c r="CK38" s="65" t="n"/>
      <c r="CL38" s="18" t="n">
        <v>0</v>
      </c>
      <c r="CM38" s="18" t="n">
        <v>0</v>
      </c>
      <c r="CN38" s="18" t="n">
        <v>0</v>
      </c>
      <c r="CO38" s="18" t="n"/>
      <c r="CP38" s="18" t="n"/>
      <c r="CQ38" s="403" t="n">
        <v>100</v>
      </c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18" t="n"/>
      <c r="DP38" s="18" t="n"/>
      <c r="DQ38" s="18" t="n"/>
      <c r="DR38" s="18" t="n"/>
      <c r="DS38" s="18" t="n"/>
      <c r="DT38" s="18" t="n"/>
      <c r="DU38" s="18" t="n"/>
      <c r="DV38" s="18" t="n"/>
      <c r="DW38" s="18" t="n"/>
      <c r="DX38" s="18" t="n"/>
      <c r="DY38" s="396" t="n"/>
      <c r="DZ38" s="18" t="n"/>
      <c r="EA38" s="18" t="n"/>
      <c r="EB38" s="154" t="inlineStr">
        <is>
          <t>10 DE CDP</t>
        </is>
      </c>
      <c r="EC38" s="256" t="n"/>
      <c r="ED38" s="256" t="n"/>
      <c r="EE38" s="18" t="n"/>
      <c r="EF38" s="18" t="n"/>
      <c r="EG38" s="18" t="n"/>
      <c r="EH38" s="18" t="n"/>
      <c r="EI38" s="18" t="n"/>
      <c r="EJ38" s="18" t="n"/>
      <c r="EK38" s="18" t="n"/>
      <c r="EL38" s="18" t="n"/>
      <c r="EM38" s="18" t="n"/>
      <c r="EN38" s="18" t="n"/>
      <c r="EO38" s="18" t="n"/>
      <c r="EP38" s="18" t="n"/>
      <c r="EQ38" s="18" t="n"/>
      <c r="ER38" s="18" t="n"/>
      <c r="ES38" s="256" t="n"/>
      <c r="ET38" s="18" t="n"/>
      <c r="EU38" s="292" t="inlineStr">
        <is>
          <t>75 P/ ER PB</t>
        </is>
      </c>
      <c r="EV38" s="18" t="n"/>
      <c r="EW38" s="256" t="n">
        <v>150</v>
      </c>
      <c r="EX38" s="18" t="n"/>
      <c r="EY38" s="18" t="n"/>
      <c r="EZ38" s="18" t="n"/>
      <c r="FA38" s="18" t="n"/>
      <c r="FB38" s="18" t="n"/>
      <c r="FC38" s="18" t="n"/>
      <c r="FD38" s="18" t="n"/>
      <c r="FE38" s="18" t="n"/>
      <c r="FF38" s="18" t="n"/>
      <c r="FG38" s="312" t="inlineStr">
        <is>
          <t>20 P/ ER PB</t>
        </is>
      </c>
      <c r="FH38" s="292" t="inlineStr">
        <is>
          <t>30 DE ER PB</t>
        </is>
      </c>
      <c r="FI38" s="18" t="n"/>
      <c r="FJ38" s="312" t="inlineStr">
        <is>
          <t>20 P/ CD</t>
        </is>
      </c>
      <c r="FK38" s="256" t="n"/>
      <c r="FL38" s="18" t="n"/>
      <c r="FM38" s="18" t="n"/>
      <c r="FN38" s="18" t="n"/>
      <c r="FO38" s="18" t="n"/>
      <c r="FP38" s="256" t="n">
        <v>100</v>
      </c>
      <c r="FQ38" s="256" t="n"/>
      <c r="FR38" s="18" t="n"/>
      <c r="FS38" s="18" t="n"/>
      <c r="FT38" s="18" t="n"/>
      <c r="FU38" s="18" t="n"/>
      <c r="FV38" s="260" t="n"/>
      <c r="FW38" s="18" t="n">
        <v>50</v>
      </c>
      <c r="FX38" s="18" t="n"/>
      <c r="FY38" s="18" t="n"/>
      <c r="FZ38" s="256" t="inlineStr">
        <is>
          <t>100 P. ERP</t>
        </is>
      </c>
      <c r="GA38" s="18" t="n"/>
      <c r="GB38" s="18" t="n"/>
      <c r="GC38" s="18" t="n"/>
      <c r="GD38" s="256" t="n">
        <v>200</v>
      </c>
      <c r="GE38" s="18" t="n"/>
      <c r="GF38" s="18" t="n"/>
      <c r="GG38" s="18" t="n"/>
      <c r="GH38" s="18" t="n"/>
      <c r="GI38" s="18" t="n"/>
      <c r="GJ38" s="18" t="n"/>
      <c r="GK38" s="18" t="n">
        <v>50</v>
      </c>
      <c r="GL38" s="18" t="n"/>
      <c r="GM38" s="18" t="n"/>
      <c r="GN38" s="18" t="n"/>
      <c r="GO38" s="18" t="n"/>
      <c r="GP38" s="18" t="n"/>
      <c r="GQ38" s="18" t="n"/>
      <c r="GR38" s="18" t="n"/>
      <c r="GS38" s="18" t="n"/>
      <c r="GT38" s="18" t="n"/>
      <c r="GU38" s="18" t="n"/>
    </row>
    <row r="39" ht="18.75" customFormat="1" customHeight="1" s="3">
      <c r="A39" s="33" t="inlineStr">
        <is>
          <t>KIT CAIXA G VERDE</t>
        </is>
      </c>
      <c r="B39" s="129" t="n">
        <v>50</v>
      </c>
      <c r="C39" s="662" t="n">
        <v>367.65</v>
      </c>
      <c r="D39" s="329" t="n">
        <v>15</v>
      </c>
      <c r="E39" s="6" t="n"/>
      <c r="F39" s="38" t="n">
        <v>0</v>
      </c>
      <c r="G39" s="38" t="n">
        <v>0</v>
      </c>
      <c r="H39" s="38" t="n">
        <v>0</v>
      </c>
      <c r="I39" s="38" t="n">
        <v>0</v>
      </c>
      <c r="J39" s="38" t="n">
        <v>0</v>
      </c>
      <c r="K39" s="38">
        <f>0+GH38</f>
        <v/>
      </c>
      <c r="L39" s="38" t="n">
        <v>50</v>
      </c>
      <c r="M39" s="38" t="n">
        <v>11</v>
      </c>
      <c r="N39" s="38" t="n">
        <v>11</v>
      </c>
      <c r="O39" s="38" t="n">
        <v>10</v>
      </c>
      <c r="P39" s="38" t="n">
        <v>10</v>
      </c>
      <c r="Q39" s="38" t="n">
        <v>42</v>
      </c>
      <c r="R39" s="38" t="n">
        <v>80</v>
      </c>
      <c r="S39" s="38" t="n">
        <v>0</v>
      </c>
      <c r="T39" s="38" t="n">
        <v>0</v>
      </c>
      <c r="U39" s="261">
        <f>39+FT38</f>
        <v/>
      </c>
      <c r="V39" s="38" t="n">
        <v>89</v>
      </c>
      <c r="W39" s="38" t="n">
        <v>89</v>
      </c>
      <c r="X39" s="38" t="n">
        <v>78</v>
      </c>
      <c r="Y39" s="38" t="n">
        <v>71</v>
      </c>
      <c r="Z39" s="38" t="n">
        <v>70</v>
      </c>
      <c r="AA39" s="38" t="n">
        <v>68</v>
      </c>
      <c r="AB39" s="38" t="n">
        <v>68</v>
      </c>
      <c r="AC39" s="38" t="n">
        <v>58</v>
      </c>
      <c r="AD39" s="38" t="n">
        <v>43</v>
      </c>
      <c r="AE39" s="38" t="n">
        <v>41</v>
      </c>
      <c r="AF39" s="38" t="n">
        <v>41</v>
      </c>
      <c r="AG39" s="38" t="n">
        <v>41</v>
      </c>
      <c r="AH39" s="38" t="n">
        <v>41</v>
      </c>
      <c r="AI39" s="38" t="n">
        <v>41</v>
      </c>
      <c r="AJ39" s="38" t="n">
        <v>40</v>
      </c>
      <c r="AK39" s="38" t="n">
        <v>36</v>
      </c>
      <c r="AL39" s="38" t="n">
        <v>27</v>
      </c>
      <c r="AM39" s="38" t="n">
        <v>23</v>
      </c>
      <c r="AN39" s="38" t="n">
        <v>23</v>
      </c>
      <c r="AO39" s="38" t="n">
        <v>18</v>
      </c>
      <c r="AP39" s="38" t="n">
        <v>18</v>
      </c>
      <c r="AQ39" s="38" t="n">
        <v>17</v>
      </c>
      <c r="AR39" s="38" t="n">
        <v>17</v>
      </c>
      <c r="AS39" s="38" t="n">
        <v>17</v>
      </c>
      <c r="AT39" s="38" t="n">
        <v>17</v>
      </c>
      <c r="AU39" s="38" t="n">
        <v>5</v>
      </c>
      <c r="AV39" s="38" t="n">
        <v>5</v>
      </c>
      <c r="AW39" s="38" t="n">
        <v>5</v>
      </c>
      <c r="AX39" s="38" t="n">
        <v>5</v>
      </c>
      <c r="AY39" s="38" t="n">
        <v>0</v>
      </c>
      <c r="AZ39" s="38" t="n">
        <v>0</v>
      </c>
      <c r="BA39" s="38" t="n">
        <v>0</v>
      </c>
      <c r="BB39" s="38" t="n">
        <v>0</v>
      </c>
      <c r="BC39" s="38" t="n">
        <v>0</v>
      </c>
      <c r="BD39" s="38" t="n">
        <v>0</v>
      </c>
      <c r="BE39" s="38" t="n">
        <v>0</v>
      </c>
      <c r="BF39" s="38" t="n">
        <v>0</v>
      </c>
      <c r="BG39" s="38" t="n">
        <v>0</v>
      </c>
      <c r="BH39" s="38" t="n">
        <v>0</v>
      </c>
      <c r="BI39" s="38" t="n">
        <v>0</v>
      </c>
      <c r="BJ39" s="38" t="n">
        <v>0</v>
      </c>
      <c r="BK39" s="38" t="n">
        <v>0</v>
      </c>
      <c r="BL39" s="38" t="n">
        <v>0</v>
      </c>
      <c r="BM39" s="38" t="n">
        <v>0</v>
      </c>
      <c r="BN39" s="38" t="n">
        <v>0</v>
      </c>
      <c r="BO39" s="38" t="n">
        <v>0</v>
      </c>
      <c r="BP39" s="38" t="n">
        <v>0</v>
      </c>
      <c r="BQ39" s="38" t="n">
        <v>0</v>
      </c>
      <c r="BR39" s="38" t="n">
        <v>0</v>
      </c>
      <c r="BS39" s="38" t="n">
        <v>0</v>
      </c>
      <c r="BT39" s="38" t="n">
        <v>0</v>
      </c>
      <c r="BU39" s="38" t="n">
        <v>0</v>
      </c>
      <c r="BV39" s="38" t="n">
        <v>0</v>
      </c>
      <c r="BW39" s="38" t="n">
        <v>0</v>
      </c>
      <c r="BX39" s="38" t="n">
        <v>0</v>
      </c>
      <c r="BY39" s="38" t="n">
        <v>0</v>
      </c>
      <c r="BZ39" s="38" t="n">
        <v>0</v>
      </c>
      <c r="CA39" s="38" t="n">
        <v>0</v>
      </c>
      <c r="CB39" s="38" t="n">
        <v>0</v>
      </c>
      <c r="CC39" s="9" t="n">
        <v>0</v>
      </c>
      <c r="CD39" s="9" t="n">
        <v>0</v>
      </c>
      <c r="CE39" s="9" t="n">
        <v>0</v>
      </c>
      <c r="CF39" s="154">
        <f>CD39+IF(NOT(ISBLANK(OFFSET(CF39,0,6))),N(OFFSET(CF39,0,6)),N(OFFSET(CF39,0,7)))-CE39</f>
        <v/>
      </c>
      <c r="CG39" s="6" t="n"/>
      <c r="CH39" s="19" t="n"/>
      <c r="CI39" s="19" t="n"/>
      <c r="CJ39" s="5" t="n"/>
      <c r="CK39" s="65" t="n"/>
      <c r="CL39" s="18" t="n">
        <v>0</v>
      </c>
      <c r="CM39" s="18" t="n">
        <v>0</v>
      </c>
      <c r="CN39" s="18" t="n">
        <v>0</v>
      </c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18" t="n"/>
      <c r="DP39" s="18" t="n"/>
      <c r="DQ39" s="18" t="n"/>
      <c r="DR39" s="18" t="n"/>
      <c r="DS39" s="18" t="n"/>
      <c r="DT39" s="18" t="n"/>
      <c r="DU39" s="18" t="n"/>
      <c r="DV39" s="18" t="n"/>
      <c r="DW39" s="18" t="n"/>
      <c r="DX39" s="18" t="n"/>
      <c r="DY39" s="396" t="n"/>
      <c r="DZ39" s="18" t="n"/>
      <c r="EA39" s="18" t="n"/>
      <c r="EB39" s="256" t="n"/>
      <c r="EC39" s="256" t="n"/>
      <c r="ED39" s="256" t="n"/>
      <c r="EE39" s="17" t="n"/>
      <c r="EF39" s="17" t="n"/>
      <c r="EG39" s="17" t="n"/>
      <c r="EH39" s="17" t="n"/>
      <c r="EI39" s="17" t="n"/>
      <c r="EJ39" s="17" t="n"/>
      <c r="EK39" s="17" t="n"/>
      <c r="EL39" s="17" t="n"/>
      <c r="EM39" s="17" t="n"/>
      <c r="EN39" s="17" t="n"/>
      <c r="EO39" s="17" t="n"/>
      <c r="EP39" s="17" t="n"/>
      <c r="EQ39" s="17" t="n"/>
      <c r="ER39" s="17" t="n"/>
      <c r="ES39" s="17" t="n"/>
      <c r="ET39" s="17" t="n"/>
      <c r="EU39" s="17" t="n"/>
      <c r="EV39" s="17" t="n"/>
      <c r="EW39" s="17" t="n"/>
      <c r="EX39" s="17" t="n"/>
      <c r="EY39" s="17" t="n"/>
      <c r="EZ39" s="17" t="n"/>
      <c r="FA39" s="17" t="n"/>
      <c r="FB39" s="17" t="n"/>
      <c r="FC39" s="17" t="n"/>
      <c r="FD39" s="17" t="n"/>
      <c r="FE39" s="17" t="n"/>
      <c r="FF39" s="17" t="n"/>
      <c r="FG39" s="17" t="n"/>
      <c r="FI39" s="17" t="n"/>
      <c r="FJ39" s="17" t="n"/>
      <c r="FL39" s="17" t="n"/>
      <c r="FM39" s="17" t="n"/>
      <c r="FN39" s="17" t="n"/>
      <c r="FO39" s="17" t="n"/>
      <c r="FP39" s="17" t="n"/>
      <c r="FR39" s="17" t="n"/>
      <c r="FS39" s="17" t="n"/>
      <c r="FT39" s="17" t="n"/>
      <c r="FU39" s="17" t="n"/>
      <c r="FW39" s="17" t="n"/>
      <c r="FX39" s="17" t="n"/>
      <c r="FY39" s="17" t="n"/>
      <c r="FZ39" s="256" t="inlineStr">
        <is>
          <t>50 P. ERP</t>
        </is>
      </c>
      <c r="GA39" s="17" t="n"/>
      <c r="GB39" s="17" t="n"/>
      <c r="GC39" s="17" t="n"/>
      <c r="GD39" s="256" t="n">
        <v>150</v>
      </c>
      <c r="GE39" s="17" t="n"/>
      <c r="GF39" s="17" t="n"/>
      <c r="GG39" s="17" t="n"/>
      <c r="GH39" s="17" t="n"/>
      <c r="GI39" s="17" t="n"/>
      <c r="GJ39" s="17" t="n"/>
      <c r="GK39" s="17" t="n"/>
      <c r="GL39" s="17" t="n"/>
      <c r="GM39" s="17" t="n"/>
      <c r="GN39" s="17" t="n"/>
      <c r="GO39" s="17" t="n"/>
      <c r="GP39" s="17" t="n"/>
      <c r="GQ39" s="17" t="n"/>
      <c r="GR39" s="17" t="n"/>
      <c r="GS39" s="17" t="n"/>
      <c r="GT39" s="17" t="n"/>
      <c r="GU39" s="17" t="n"/>
    </row>
    <row r="40" ht="18.75" customHeight="1">
      <c r="A40" s="31" t="n"/>
      <c r="B40" s="2" t="n"/>
      <c r="C40" s="661" t="n"/>
      <c r="D40" s="661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  <c r="AA40" s="4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4" t="n"/>
      <c r="AP40" s="4" t="n"/>
      <c r="AQ40" s="4" t="n"/>
      <c r="AR40" s="4" t="n"/>
      <c r="AS40" s="4" t="n"/>
      <c r="AT40" s="4" t="n"/>
      <c r="AU40" s="4" t="n"/>
      <c r="AV40" s="4" t="n"/>
      <c r="AW40" s="4" t="n"/>
      <c r="AX40" s="4" t="n"/>
      <c r="AY40" s="4" t="n"/>
      <c r="AZ40" s="4" t="n"/>
      <c r="BA40" s="4" t="n"/>
      <c r="BB40" s="4" t="n"/>
      <c r="BC40" s="4" t="n"/>
      <c r="BD40" s="4" t="n"/>
      <c r="BE40" s="4" t="n"/>
      <c r="BF40" s="4" t="n"/>
      <c r="BG40" s="4" t="n"/>
      <c r="BH40" s="4" t="n"/>
      <c r="BI40" s="4" t="n"/>
      <c r="BJ40" s="4" t="n"/>
      <c r="BK40" s="4" t="n"/>
      <c r="BL40" s="4" t="n"/>
      <c r="BM40" s="4" t="n"/>
      <c r="BN40" s="4" t="n"/>
      <c r="BO40" s="4" t="n"/>
      <c r="BP40" s="4" t="n"/>
      <c r="BQ40" s="4" t="n"/>
      <c r="BR40" s="4" t="n"/>
      <c r="BS40" s="4" t="n"/>
      <c r="BT40" s="4" t="n"/>
      <c r="BU40" s="4" t="n"/>
      <c r="BV40" s="4" t="n"/>
      <c r="BW40" s="4" t="n"/>
      <c r="BX40" s="4" t="n"/>
      <c r="BY40" s="4" t="n"/>
      <c r="BZ40" s="4" t="n"/>
      <c r="CA40" s="4" t="n"/>
      <c r="CB40" s="4" t="n"/>
      <c r="CC40" s="2" t="n"/>
      <c r="CD40" s="2" t="n"/>
      <c r="CE40" s="2" t="n"/>
      <c r="CH40" s="26" t="n"/>
      <c r="CI40" s="26" t="n"/>
      <c r="CJ40" s="5" t="n"/>
      <c r="CK40" s="108" t="n"/>
      <c r="CL40" s="17" t="n"/>
      <c r="CM40" s="17" t="n"/>
      <c r="CN40" s="17" t="n"/>
      <c r="CO40" s="17" t="n"/>
      <c r="CP40" s="17" t="n"/>
      <c r="CQ40" s="17" t="n"/>
      <c r="CR40" s="17" t="n"/>
      <c r="CS40" s="17" t="n"/>
      <c r="CT40" s="17" t="n"/>
      <c r="CU40" s="17" t="n"/>
      <c r="CV40" s="17" t="n"/>
      <c r="CW40" s="17" t="n"/>
      <c r="CX40" s="17" t="n"/>
      <c r="CY40" s="17" t="n"/>
      <c r="CZ40" s="17" t="n"/>
      <c r="DA40" s="17" t="n"/>
      <c r="DB40" s="17" t="n"/>
      <c r="DC40" s="17" t="n"/>
      <c r="DD40" s="17" t="n"/>
      <c r="DE40" s="17" t="n"/>
      <c r="DF40" s="17" t="n"/>
      <c r="DG40" s="17" t="n"/>
      <c r="DH40" s="17" t="n"/>
      <c r="DI40" s="17" t="n"/>
      <c r="DJ40" s="17" t="n"/>
      <c r="DK40" s="17" t="n"/>
      <c r="DL40" s="17" t="n"/>
      <c r="DM40" s="17" t="n"/>
      <c r="DN40" s="17" t="n"/>
      <c r="DO40" s="17" t="n"/>
      <c r="DP40" s="17" t="n"/>
      <c r="DQ40" s="17" t="n"/>
      <c r="DR40" s="17" t="n"/>
      <c r="DS40" s="17" t="n"/>
      <c r="DT40" s="17" t="n"/>
      <c r="DU40" s="17" t="n"/>
      <c r="DV40" s="17" t="n"/>
      <c r="DW40" s="17" t="n"/>
      <c r="DX40" s="17" t="n"/>
      <c r="DY40" s="397" t="n"/>
      <c r="DZ40" s="17" t="n"/>
      <c r="EA40" s="17" t="n"/>
      <c r="EB40" s="271" t="n"/>
      <c r="EC40" s="271" t="n"/>
      <c r="ED40" s="271" t="n"/>
      <c r="FG40" s="17" t="n"/>
    </row>
    <row r="41" hidden="1" ht="18.75" customHeight="1">
      <c r="A41" s="32" t="inlineStr">
        <is>
          <t>SACOLAS OMNI BOTICÁRIO</t>
        </is>
      </c>
      <c r="B41" s="575" t="inlineStr">
        <is>
          <t>PC</t>
        </is>
      </c>
      <c r="C41" s="575" t="inlineStr">
        <is>
          <t>R$</t>
        </is>
      </c>
      <c r="D41" s="575" t="inlineStr">
        <is>
          <t>Estoque Ideal</t>
        </is>
      </c>
      <c r="F41" s="650" t="n">
        <v>46021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>
        <v>46083</v>
      </c>
      <c r="BP41" s="650" t="n">
        <v>46090</v>
      </c>
      <c r="BQ41" s="650" t="n">
        <v>46097</v>
      </c>
      <c r="BR41" s="650" t="n">
        <v>46104</v>
      </c>
      <c r="BS41" s="650" t="n">
        <v>46111</v>
      </c>
      <c r="BT41" s="650" t="n">
        <v>46118</v>
      </c>
      <c r="BU41" s="650" t="n">
        <v>46125</v>
      </c>
      <c r="BV41" s="650" t="n">
        <v>46132</v>
      </c>
      <c r="BW41" s="650" t="n">
        <v>46139</v>
      </c>
      <c r="BX41" s="650" t="n">
        <v>46146</v>
      </c>
      <c r="BY41" s="650" t="n">
        <v>14</v>
      </c>
      <c r="BZ41" s="650" t="n">
        <v>46160</v>
      </c>
      <c r="CA41" s="650" t="n">
        <v>46160</v>
      </c>
      <c r="CB41" s="650" t="n">
        <v>46160</v>
      </c>
      <c r="CC41" s="651" t="n">
        <v>46161.48004043981</v>
      </c>
      <c r="CD41" s="651" t="n">
        <v>46161.48071866898</v>
      </c>
      <c r="CE41" s="651" t="n">
        <v>46161.48287732861</v>
      </c>
      <c r="CF41" s="652" t="inlineStr">
        <is>
          <t>USOU</t>
        </is>
      </c>
      <c r="CH41" s="413" t="inlineStr">
        <is>
          <t>TRANSFERÊNCIA</t>
        </is>
      </c>
      <c r="CI41" s="35" t="inlineStr">
        <is>
          <t>Pend.</t>
        </is>
      </c>
      <c r="CK41" s="12" t="inlineStr">
        <is>
          <t>Novo Pedido</t>
        </is>
      </c>
      <c r="CL41" s="654" t="n"/>
      <c r="CM41" s="654" t="n"/>
      <c r="CN41" s="654" t="n"/>
      <c r="CO41" s="654" t="n">
        <v>46114</v>
      </c>
      <c r="CP41" s="654" t="n">
        <v>46107</v>
      </c>
      <c r="CQ41" s="710" t="n">
        <v>46065</v>
      </c>
      <c r="CR41" s="654" t="n">
        <v>46099</v>
      </c>
      <c r="CS41" s="654" t="n">
        <v>46092</v>
      </c>
      <c r="CT41" s="711" t="n">
        <v>46045</v>
      </c>
      <c r="CU41" s="654" t="n">
        <v>46084</v>
      </c>
      <c r="CV41" s="655" t="n">
        <v>46084</v>
      </c>
      <c r="CW41" s="654" t="n">
        <v>46077</v>
      </c>
      <c r="CX41" s="655" t="n">
        <v>46077</v>
      </c>
      <c r="CY41" s="654" t="n">
        <v>46071</v>
      </c>
      <c r="CZ41" s="654" t="n">
        <v>46048</v>
      </c>
      <c r="DA41" s="654" t="n">
        <v>46043</v>
      </c>
      <c r="DB41" s="654" t="n">
        <v>46035</v>
      </c>
      <c r="DC41" s="654" t="n">
        <v>46029</v>
      </c>
      <c r="DD41" s="655" t="n">
        <v>46043</v>
      </c>
      <c r="DE41" s="654" t="n">
        <v>46024</v>
      </c>
      <c r="DF41" s="654" t="n">
        <v>46029</v>
      </c>
      <c r="DG41" s="654" t="n">
        <v>46024</v>
      </c>
      <c r="DH41" s="654" t="n">
        <v>46372</v>
      </c>
      <c r="DI41" s="654" t="n">
        <v>46024</v>
      </c>
      <c r="DJ41" s="654" t="n">
        <v>46017</v>
      </c>
      <c r="DK41" s="654" t="n">
        <v>46007</v>
      </c>
      <c r="DL41" s="654" t="n">
        <v>46001</v>
      </c>
      <c r="DM41" s="654" t="n">
        <v>46007</v>
      </c>
      <c r="DN41" s="654" t="n">
        <v>46001</v>
      </c>
      <c r="DO41" s="654" t="n">
        <v>45994</v>
      </c>
      <c r="DP41" s="654" t="n">
        <v>45986</v>
      </c>
      <c r="DQ41" s="654" t="n">
        <v>45980</v>
      </c>
      <c r="DR41" s="654" t="n">
        <v>45980</v>
      </c>
      <c r="DS41" s="654" t="n">
        <v>45973</v>
      </c>
      <c r="DT41" s="654" t="n">
        <v>45965</v>
      </c>
      <c r="DU41" s="654" t="n">
        <v>45960</v>
      </c>
      <c r="DV41" s="654" t="n">
        <v>45945</v>
      </c>
      <c r="DW41" s="654" t="n">
        <v>45939</v>
      </c>
      <c r="DX41" s="654" t="n">
        <v>45931</v>
      </c>
      <c r="DY41" s="678" t="n">
        <v>45903</v>
      </c>
      <c r="DZ41" s="654" t="n">
        <v>45923</v>
      </c>
      <c r="EA41" s="654" t="n">
        <v>45915</v>
      </c>
      <c r="EB41" s="655" t="n">
        <v>45931</v>
      </c>
      <c r="EC41" s="688" t="n">
        <v>45931</v>
      </c>
      <c r="ED41" s="688" t="n">
        <v>45931</v>
      </c>
      <c r="EE41" s="18" t="n"/>
      <c r="EF41" s="18" t="n"/>
      <c r="EG41" s="18" t="n"/>
      <c r="EH41" s="18" t="n"/>
      <c r="EI41" s="18" t="n"/>
      <c r="EJ41" s="18" t="n"/>
      <c r="EK41" s="18" t="n"/>
      <c r="EL41" s="18" t="n"/>
      <c r="EM41" s="154" t="inlineStr">
        <is>
          <t>20 DE ER PBE</t>
        </is>
      </c>
      <c r="EN41" s="18" t="n"/>
      <c r="EO41" s="18" t="n"/>
      <c r="EP41" s="18" t="n"/>
      <c r="EQ41" s="18" t="n"/>
      <c r="ER41" s="241" t="inlineStr">
        <is>
          <t>20 P/ CD</t>
        </is>
      </c>
      <c r="ES41" s="18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/>
      <c r="FC41" s="18" t="n"/>
      <c r="FD41" s="18" t="n"/>
      <c r="FE41" s="18" t="n"/>
      <c r="FF41" s="18" t="n"/>
      <c r="FG41" s="18" t="n"/>
      <c r="FH41" s="256" t="n"/>
      <c r="FI41" s="18" t="n"/>
      <c r="FJ41" s="18" t="n"/>
      <c r="FK41" s="256" t="n"/>
      <c r="FL41" s="18" t="n"/>
      <c r="FM41" s="18" t="n"/>
      <c r="FN41" s="18" t="n"/>
      <c r="FO41" s="18" t="n"/>
      <c r="FP41" s="18" t="n"/>
      <c r="FQ41" s="256" t="n"/>
      <c r="FR41" s="18" t="n"/>
      <c r="FS41" s="18" t="n"/>
      <c r="FT41" s="18" t="n"/>
      <c r="FU41" s="18" t="n"/>
      <c r="FV41" s="18" t="n"/>
      <c r="FW41" s="18" t="n"/>
      <c r="FX41" s="18" t="n"/>
      <c r="FY41" s="18" t="n"/>
      <c r="FZ41" s="256" t="n"/>
      <c r="GA41" s="18" t="n"/>
      <c r="GB41" s="18" t="n"/>
      <c r="GC41" s="18" t="n"/>
      <c r="GD41" s="256" t="n"/>
      <c r="GE41" s="18" t="n"/>
      <c r="GF41" s="18" t="n"/>
      <c r="GG41" s="18" t="n"/>
      <c r="GH41" s="18" t="n"/>
      <c r="GI41" s="18" t="n"/>
      <c r="GJ41" s="18" t="n"/>
      <c r="GK41" s="18" t="n">
        <v>50</v>
      </c>
      <c r="GL41" s="18" t="n"/>
      <c r="GM41" s="18" t="n"/>
      <c r="GN41" s="18" t="n"/>
      <c r="GO41" s="18" t="n"/>
      <c r="GP41" s="18" t="n"/>
      <c r="GQ41" s="18" t="n"/>
      <c r="GR41" s="18" t="n"/>
      <c r="GS41" s="18" t="n"/>
      <c r="GT41" s="18" t="n"/>
      <c r="GU41" s="18" t="n"/>
    </row>
    <row r="42" hidden="1" ht="18.75" customHeight="1">
      <c r="A42" s="33" t="inlineStr">
        <is>
          <t>KIT OVERBAG OMNI P</t>
        </is>
      </c>
      <c r="B42" s="9" t="n">
        <v>25</v>
      </c>
      <c r="C42" s="662" t="n">
        <v>41.75</v>
      </c>
      <c r="D42" s="329" t="n">
        <v>10</v>
      </c>
      <c r="F42" s="9" t="n">
        <v>0</v>
      </c>
      <c r="G42" s="9" t="n">
        <v>0</v>
      </c>
      <c r="H42" s="9" t="n">
        <v>0</v>
      </c>
      <c r="I42" s="9" t="n">
        <v>0</v>
      </c>
      <c r="J42" s="9" t="n">
        <v>0</v>
      </c>
      <c r="K42" s="9">
        <f>0+GH41</f>
        <v/>
      </c>
      <c r="L42" s="9" t="n">
        <v>50</v>
      </c>
      <c r="M42" s="9" t="n">
        <v>50</v>
      </c>
      <c r="N42" s="9" t="n">
        <v>50</v>
      </c>
      <c r="O42" s="9" t="n">
        <v>50</v>
      </c>
      <c r="P42" s="9" t="n">
        <v>50</v>
      </c>
      <c r="Q42" s="9" t="n">
        <v>50</v>
      </c>
      <c r="R42" s="9" t="n">
        <v>50</v>
      </c>
      <c r="S42" s="9" t="n">
        <v>50</v>
      </c>
      <c r="T42" s="9" t="n">
        <v>50</v>
      </c>
      <c r="U42" s="9" t="n">
        <v>50</v>
      </c>
      <c r="V42" s="9" t="n">
        <v>50</v>
      </c>
      <c r="W42" s="9" t="n">
        <v>50</v>
      </c>
      <c r="X42" s="9" t="n">
        <v>50</v>
      </c>
      <c r="Y42" s="9" t="n">
        <v>40</v>
      </c>
      <c r="Z42" s="9" t="n">
        <v>40</v>
      </c>
      <c r="AA42" s="9" t="n">
        <v>40</v>
      </c>
      <c r="AB42" s="9" t="n">
        <v>40</v>
      </c>
      <c r="AC42" s="9" t="n">
        <v>40</v>
      </c>
      <c r="AD42" s="9" t="n">
        <v>36</v>
      </c>
      <c r="AE42" s="9" t="n">
        <v>36</v>
      </c>
      <c r="AF42" s="9" t="n">
        <v>36</v>
      </c>
      <c r="AG42" s="9" t="n">
        <v>35</v>
      </c>
      <c r="AH42" s="9" t="n">
        <v>35</v>
      </c>
      <c r="AI42" s="9">
        <f>35-20</f>
        <v/>
      </c>
      <c r="AJ42" s="9" t="n">
        <v>16</v>
      </c>
      <c r="AK42" s="9" t="n">
        <v>16</v>
      </c>
      <c r="AL42" s="9">
        <f>16+20</f>
        <v/>
      </c>
      <c r="AM42" s="9" t="n">
        <v>36</v>
      </c>
      <c r="AN42" s="9" t="n">
        <v>36</v>
      </c>
      <c r="AO42" s="9" t="n">
        <v>35</v>
      </c>
      <c r="AP42" s="9" t="n">
        <v>10</v>
      </c>
      <c r="AQ42" s="9" t="n">
        <v>10</v>
      </c>
      <c r="AR42" s="9" t="n">
        <v>10</v>
      </c>
      <c r="AS42" s="9" t="n">
        <v>10</v>
      </c>
      <c r="AT42" s="190" t="n">
        <v>35</v>
      </c>
      <c r="AU42" s="9" t="n">
        <v>35</v>
      </c>
      <c r="AV42" s="9" t="n">
        <v>35</v>
      </c>
      <c r="AW42" s="9" t="n">
        <v>35</v>
      </c>
      <c r="AX42" s="9" t="n">
        <v>35</v>
      </c>
      <c r="AY42" s="9" t="n">
        <v>35</v>
      </c>
      <c r="AZ42" s="9" t="n">
        <v>35</v>
      </c>
      <c r="BA42" s="9" t="n">
        <v>35</v>
      </c>
      <c r="BB42" s="9" t="n">
        <v>26</v>
      </c>
      <c r="BC42" s="9" t="n">
        <v>25</v>
      </c>
      <c r="BD42" s="9" t="n">
        <v>25</v>
      </c>
      <c r="BE42" s="9" t="n">
        <v>25</v>
      </c>
      <c r="BF42" s="9" t="n">
        <v>25</v>
      </c>
      <c r="BG42" s="9" t="n">
        <v>25</v>
      </c>
      <c r="BH42" s="9" t="n">
        <v>25</v>
      </c>
      <c r="BI42" s="9" t="n">
        <v>25</v>
      </c>
      <c r="BJ42" s="9" t="n">
        <v>25</v>
      </c>
      <c r="BK42" s="9" t="n">
        <v>25</v>
      </c>
      <c r="BL42" s="9" t="n">
        <v>25</v>
      </c>
      <c r="BM42" s="9" t="n">
        <v>25</v>
      </c>
      <c r="BN42" s="9" t="n">
        <v>25</v>
      </c>
      <c r="BO42" s="9" t="n">
        <v>25</v>
      </c>
      <c r="BP42" s="9" t="n">
        <v>25</v>
      </c>
      <c r="BQ42" s="190" t="n">
        <v>0</v>
      </c>
      <c r="BR42" s="9" t="n">
        <v>0</v>
      </c>
      <c r="BS42" s="9" t="n">
        <v>0</v>
      </c>
      <c r="BT42" s="9" t="n">
        <v>0</v>
      </c>
      <c r="BU42" s="9" t="n">
        <v>0</v>
      </c>
      <c r="BV42" s="9" t="n">
        <v>0</v>
      </c>
      <c r="BW42" s="9" t="n">
        <v>0</v>
      </c>
      <c r="BX42" s="9" t="n">
        <v>0</v>
      </c>
      <c r="BY42" s="9" t="n">
        <v>21</v>
      </c>
      <c r="BZ42" s="9" t="n"/>
      <c r="CA42" s="9" t="n"/>
      <c r="CB42" s="9" t="n"/>
      <c r="CC42" s="9" t="n"/>
      <c r="CD42" s="9" t="n"/>
      <c r="CE42" s="9" t="n"/>
      <c r="CF42" s="156">
        <f>CD42+IF(NOT(ISBLANK(OFFSET(CF42,0,6))),N(OFFSET(CF42,0,6)),N(OFFSET(CF42,0,7)))-CE42</f>
        <v/>
      </c>
      <c r="CH42" s="127" t="n"/>
      <c r="CI42" s="127" t="n"/>
      <c r="CK42" s="27" t="n"/>
      <c r="CL42" s="691" t="n">
        <v>0</v>
      </c>
      <c r="CM42" s="18" t="n">
        <v>0</v>
      </c>
      <c r="CN42" s="18" t="n">
        <v>0</v>
      </c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18" t="n"/>
      <c r="EB42" s="256" t="n"/>
      <c r="EC42" s="256" t="n"/>
      <c r="ED42" s="256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18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18" t="n"/>
      <c r="FE42" s="18" t="n"/>
      <c r="FF42" s="18" t="n"/>
      <c r="FG42" s="18" t="n"/>
      <c r="FH42" s="256" t="n"/>
      <c r="FI42" s="18" t="n"/>
      <c r="FJ42" s="18" t="n"/>
      <c r="FK42" s="256" t="n"/>
      <c r="FL42" s="18" t="n"/>
      <c r="FM42" s="18" t="n"/>
      <c r="FN42" s="18" t="n"/>
      <c r="FO42" s="18" t="n"/>
      <c r="FP42" s="18" t="n"/>
      <c r="FQ42" s="256" t="n"/>
      <c r="FR42" s="18" t="n"/>
      <c r="FS42" s="18" t="n"/>
      <c r="FT42" s="18" t="n"/>
      <c r="FU42" s="18" t="n"/>
      <c r="FV42" s="18" t="n"/>
      <c r="FW42" s="18" t="n"/>
      <c r="FX42" s="18" t="n"/>
      <c r="FY42" s="18" t="n"/>
      <c r="FZ42" s="256" t="n"/>
      <c r="GA42" s="18" t="n"/>
      <c r="GB42" s="18" t="n"/>
      <c r="GC42" s="18" t="n"/>
      <c r="GD42" s="256" t="n"/>
      <c r="GE42" s="18" t="n"/>
      <c r="GF42" s="18" t="n"/>
      <c r="GG42" s="18" t="n"/>
      <c r="GH42" s="18" t="n"/>
      <c r="GI42" s="18" t="n"/>
      <c r="GJ42" s="18" t="n"/>
      <c r="GK42" s="18" t="n">
        <v>50</v>
      </c>
      <c r="GL42" s="18" t="n"/>
      <c r="GM42" s="18" t="n"/>
      <c r="GN42" s="18" t="n"/>
      <c r="GO42" s="18" t="n"/>
      <c r="GP42" s="18" t="n"/>
      <c r="GQ42" s="18" t="n"/>
      <c r="GR42" s="18" t="n"/>
      <c r="GS42" s="18" t="n"/>
      <c r="GT42" s="18" t="n"/>
      <c r="GU42" s="18" t="n"/>
    </row>
    <row r="43" hidden="1" ht="18.75" customHeight="1">
      <c r="A43" s="33" t="inlineStr">
        <is>
          <t>KIT OVERBAG OMNI M</t>
        </is>
      </c>
      <c r="B43" s="9" t="n">
        <v>25</v>
      </c>
      <c r="C43" s="662" t="n">
        <v>57</v>
      </c>
      <c r="D43" s="329" t="n">
        <v>10</v>
      </c>
      <c r="F43" s="38" t="n">
        <v>0</v>
      </c>
      <c r="G43" s="38" t="n">
        <v>0</v>
      </c>
      <c r="H43" s="38" t="n">
        <v>0</v>
      </c>
      <c r="I43" s="38" t="n">
        <v>0</v>
      </c>
      <c r="J43" s="38" t="n">
        <v>0</v>
      </c>
      <c r="K43" s="38">
        <f>0+GH42</f>
        <v/>
      </c>
      <c r="L43" s="38" t="n">
        <v>50</v>
      </c>
      <c r="M43" s="38" t="n">
        <v>50</v>
      </c>
      <c r="N43" s="38" t="n">
        <v>50</v>
      </c>
      <c r="O43" s="38" t="n">
        <v>50</v>
      </c>
      <c r="P43" s="38" t="n">
        <v>50</v>
      </c>
      <c r="Q43" s="38" t="n">
        <v>50</v>
      </c>
      <c r="R43" s="38" t="n">
        <v>50</v>
      </c>
      <c r="S43" s="38" t="n">
        <v>50</v>
      </c>
      <c r="T43" s="38" t="n">
        <v>50</v>
      </c>
      <c r="U43" s="38" t="n">
        <v>50</v>
      </c>
      <c r="V43" s="38" t="n">
        <v>50</v>
      </c>
      <c r="W43" s="38" t="n">
        <v>51</v>
      </c>
      <c r="X43" s="38" t="n">
        <v>51</v>
      </c>
      <c r="Y43" s="38" t="n">
        <v>51</v>
      </c>
      <c r="Z43" s="38" t="n">
        <v>51</v>
      </c>
      <c r="AA43" s="38" t="n">
        <v>51</v>
      </c>
      <c r="AB43" s="38" t="n">
        <v>51</v>
      </c>
      <c r="AC43" s="38" t="n">
        <v>51</v>
      </c>
      <c r="AD43" s="38" t="n">
        <v>51</v>
      </c>
      <c r="AE43" s="38" t="n">
        <v>51</v>
      </c>
      <c r="AF43" s="38" t="n">
        <v>51</v>
      </c>
      <c r="AG43" s="38" t="n">
        <v>51</v>
      </c>
      <c r="AH43" s="38" t="n">
        <v>51</v>
      </c>
      <c r="AI43" s="38" t="n">
        <v>51</v>
      </c>
      <c r="AJ43" s="38" t="n">
        <v>51</v>
      </c>
      <c r="AK43" s="38" t="n">
        <v>51</v>
      </c>
      <c r="AL43" s="38" t="n">
        <v>51</v>
      </c>
      <c r="AM43" s="38" t="n">
        <v>51</v>
      </c>
      <c r="AN43" s="38" t="n">
        <v>51</v>
      </c>
      <c r="AO43" s="38" t="n">
        <v>51</v>
      </c>
      <c r="AP43" s="38" t="n">
        <v>50</v>
      </c>
      <c r="AQ43" s="38" t="n">
        <v>50</v>
      </c>
      <c r="AR43" s="38" t="n">
        <v>50</v>
      </c>
      <c r="AS43" s="38" t="n">
        <v>50</v>
      </c>
      <c r="AT43" s="38" t="n">
        <v>51</v>
      </c>
      <c r="AU43" s="38" t="n">
        <v>51</v>
      </c>
      <c r="AV43" s="38" t="n">
        <v>41</v>
      </c>
      <c r="AW43" s="38" t="n">
        <v>41</v>
      </c>
      <c r="AX43" s="38" t="n">
        <v>41</v>
      </c>
      <c r="AY43" s="38" t="n">
        <v>41</v>
      </c>
      <c r="AZ43" s="38" t="n">
        <v>41</v>
      </c>
      <c r="BA43" s="38" t="n">
        <v>41</v>
      </c>
      <c r="BB43" s="38" t="n">
        <v>41</v>
      </c>
      <c r="BC43" s="38" t="n">
        <v>41</v>
      </c>
      <c r="BD43" s="38" t="n">
        <v>41</v>
      </c>
      <c r="BE43" s="38" t="n">
        <v>0</v>
      </c>
      <c r="BF43" s="38" t="n">
        <v>0</v>
      </c>
      <c r="BG43" s="38" t="n">
        <v>0</v>
      </c>
      <c r="BH43" s="38" t="n">
        <v>0</v>
      </c>
      <c r="BI43" s="38" t="n">
        <v>0</v>
      </c>
      <c r="BJ43" s="38" t="n">
        <v>0</v>
      </c>
      <c r="BK43" s="38" t="n">
        <v>0</v>
      </c>
      <c r="BL43" s="38" t="n">
        <v>0</v>
      </c>
      <c r="BM43" s="38" t="n">
        <v>0</v>
      </c>
      <c r="BN43" s="38" t="n">
        <v>0</v>
      </c>
      <c r="BO43" s="38" t="n">
        <v>0</v>
      </c>
      <c r="BP43" s="38" t="n">
        <v>0</v>
      </c>
      <c r="BQ43" s="38" t="n">
        <v>0</v>
      </c>
      <c r="BR43" s="38" t="n">
        <v>0</v>
      </c>
      <c r="BS43" s="38" t="n">
        <v>0</v>
      </c>
      <c r="BT43" s="38" t="n">
        <v>0</v>
      </c>
      <c r="BU43" s="38" t="n">
        <v>0</v>
      </c>
      <c r="BV43" s="38" t="n">
        <v>0</v>
      </c>
      <c r="BW43" s="38" t="n">
        <v>0</v>
      </c>
      <c r="BX43" s="38" t="n">
        <v>0</v>
      </c>
      <c r="BY43" s="38" t="n">
        <v>13</v>
      </c>
      <c r="BZ43" s="38" t="n"/>
      <c r="CA43" s="38" t="n"/>
      <c r="CB43" s="38" t="n"/>
      <c r="CC43" s="9" t="n"/>
      <c r="CD43" s="9" t="n"/>
      <c r="CE43" s="9" t="n"/>
      <c r="CF43" s="156">
        <f>CD43+IF(NOT(ISBLANK(OFFSET(CF43,0,6))),N(OFFSET(CF43,0,6)),N(OFFSET(CF43,0,7)))-CE43</f>
        <v/>
      </c>
      <c r="CH43" s="19" t="n"/>
      <c r="CI43" s="19" t="n"/>
      <c r="CK43" s="27" t="n"/>
      <c r="CL43" s="691" t="n">
        <v>0</v>
      </c>
      <c r="CM43" s="18" t="n">
        <v>0</v>
      </c>
      <c r="CN43" s="18" t="n">
        <v>0</v>
      </c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  <c r="DU43" s="18" t="n"/>
      <c r="DV43" s="18" t="n"/>
      <c r="DW43" s="18" t="n"/>
      <c r="DX43" s="18" t="n"/>
      <c r="DY43" s="18" t="n"/>
      <c r="DZ43" s="18" t="n"/>
      <c r="EA43" s="18" t="n"/>
      <c r="EB43" s="256" t="n"/>
      <c r="EC43" s="256" t="n"/>
      <c r="ED43" s="256" t="n"/>
    </row>
    <row r="44" hidden="1" ht="18.75" customHeight="1">
      <c r="B44" s="53" t="n"/>
      <c r="C44" s="53" t="n"/>
      <c r="D44" s="53" t="n"/>
      <c r="CF44" s="53" t="n"/>
      <c r="CK44" s="6" t="n"/>
      <c r="EB44" s="271" t="n"/>
      <c r="EC44" s="271" t="n"/>
      <c r="ED44" s="271" t="n"/>
      <c r="EE44" s="654" t="n">
        <v>45903</v>
      </c>
      <c r="EF44" s="654" t="n">
        <v>45909</v>
      </c>
      <c r="EG44" s="654" t="n">
        <v>45903</v>
      </c>
      <c r="EH44" s="654" t="n">
        <v>45903</v>
      </c>
      <c r="EI44" s="654" t="n">
        <v>45895</v>
      </c>
      <c r="EJ44" s="679" t="n">
        <v>45896</v>
      </c>
      <c r="EK44" s="654" t="n">
        <v>45888</v>
      </c>
      <c r="EL44" s="654" t="n">
        <v>45881</v>
      </c>
      <c r="EM44" s="655" t="n">
        <v>45882</v>
      </c>
      <c r="EN44" s="654" t="n">
        <v>45874</v>
      </c>
      <c r="EO44" s="654" t="n">
        <v>45867</v>
      </c>
      <c r="EP44" s="654" t="n">
        <v>45860</v>
      </c>
      <c r="EQ44" s="654" t="n">
        <v>45853</v>
      </c>
      <c r="ER44" s="655" t="n">
        <v>45860</v>
      </c>
      <c r="ES44" s="681" t="n">
        <v>45855</v>
      </c>
      <c r="ET44" s="654" t="n">
        <v>45848</v>
      </c>
      <c r="EU44" s="681" t="n">
        <v>45853</v>
      </c>
      <c r="EV44" s="654" t="n">
        <v>45839</v>
      </c>
      <c r="EW44" s="681" t="n">
        <v>45791</v>
      </c>
      <c r="EX44" s="654" t="n">
        <v>45832</v>
      </c>
      <c r="EY44" s="654" t="n">
        <v>45825</v>
      </c>
      <c r="EZ44" s="655" t="n">
        <v>45826</v>
      </c>
      <c r="FA44" s="654" t="n">
        <v>45819</v>
      </c>
      <c r="FB44" s="655" t="n">
        <v>45819</v>
      </c>
      <c r="FC44" s="655" t="n">
        <v>45818</v>
      </c>
      <c r="FD44" s="655" t="n">
        <v>45807</v>
      </c>
      <c r="FE44" s="654" t="n">
        <v>45790</v>
      </c>
      <c r="FF44" s="654" t="n">
        <v>45798</v>
      </c>
      <c r="FG44" s="690" t="n">
        <v>45800</v>
      </c>
      <c r="FH44" s="650" t="n">
        <v>45799</v>
      </c>
      <c r="FI44" s="655" t="n">
        <v>45799</v>
      </c>
      <c r="FJ44" s="690" t="n">
        <v>45799</v>
      </c>
      <c r="FK44" s="650" t="n">
        <v>45798</v>
      </c>
      <c r="FL44" s="655" t="n">
        <v>45798</v>
      </c>
      <c r="FM44" s="655" t="n">
        <v>45797</v>
      </c>
      <c r="FN44" s="655" t="n">
        <v>45794</v>
      </c>
      <c r="FO44" s="654" t="n">
        <v>45790</v>
      </c>
      <c r="FP44" s="683" t="n">
        <v>45735</v>
      </c>
      <c r="FQ44" s="650" t="n">
        <v>45786</v>
      </c>
      <c r="FR44" s="654" t="n">
        <v>45783</v>
      </c>
      <c r="FS44" s="654" t="n">
        <v>45770</v>
      </c>
      <c r="FT44" s="654" t="n">
        <v>45775</v>
      </c>
      <c r="FU44" s="654" t="n">
        <v>45770</v>
      </c>
      <c r="FV44" s="655" t="n">
        <v>45775</v>
      </c>
      <c r="FW44" s="654" t="n">
        <v>45756</v>
      </c>
      <c r="FX44" s="654" t="n">
        <v>45749</v>
      </c>
      <c r="FY44" s="654" t="n">
        <v>45743</v>
      </c>
      <c r="FZ44" s="650" t="n">
        <v>45740</v>
      </c>
      <c r="GA44" s="654" t="n">
        <v>45728</v>
      </c>
      <c r="GB44" s="654" t="n">
        <v>45714</v>
      </c>
      <c r="GC44" s="654" t="n">
        <v>45706</v>
      </c>
      <c r="GD44" s="650" t="n">
        <v>45700</v>
      </c>
      <c r="GE44" s="654" t="n">
        <v>45706</v>
      </c>
      <c r="GF44" s="654" t="n">
        <v>45699</v>
      </c>
      <c r="GG44" s="655" t="n">
        <v>45706</v>
      </c>
      <c r="GH44" s="654" t="n">
        <v>45693</v>
      </c>
      <c r="GI44" s="654" t="n">
        <v>45693</v>
      </c>
      <c r="GJ44" s="654" t="n">
        <v>45685</v>
      </c>
      <c r="GK44" s="654" t="n">
        <v>45685</v>
      </c>
      <c r="GL44" s="712" t="n">
        <v>45692</v>
      </c>
      <c r="GM44" s="655" t="n">
        <v>45691</v>
      </c>
      <c r="GN44" s="655" t="n">
        <v>45681</v>
      </c>
      <c r="GO44" s="655" t="n">
        <v>45672</v>
      </c>
      <c r="GP44" s="654" t="n">
        <v>45664</v>
      </c>
      <c r="GQ44" s="654" t="n">
        <v>45660</v>
      </c>
      <c r="GR44" s="654" t="n">
        <v>45660</v>
      </c>
      <c r="GS44" s="654" t="n">
        <v>46017</v>
      </c>
      <c r="GT44" s="654" t="n">
        <v>45643</v>
      </c>
      <c r="GU44" s="654" t="n">
        <v>45638</v>
      </c>
    </row>
    <row r="45" ht="18.75" customFormat="1" customHeight="1" s="3">
      <c r="A45" s="586" t="inlineStr">
        <is>
          <t>SACOLAS/SACO/DIVERSOS OUI</t>
        </is>
      </c>
      <c r="B45" s="133" t="inlineStr">
        <is>
          <t>PC</t>
        </is>
      </c>
      <c r="C45" s="133" t="inlineStr">
        <is>
          <t>R$</t>
        </is>
      </c>
      <c r="D45" s="133" t="n"/>
      <c r="F45" s="650" t="n">
        <v>46021</v>
      </c>
      <c r="G45" s="650" t="n">
        <v>45663</v>
      </c>
      <c r="H45" s="650" t="n">
        <v>45670</v>
      </c>
      <c r="I45" s="650" t="n">
        <v>45677</v>
      </c>
      <c r="J45" s="650" t="n">
        <v>45684</v>
      </c>
      <c r="K45" s="650" t="n">
        <v>45691</v>
      </c>
      <c r="L45" s="650" t="n">
        <v>45698</v>
      </c>
      <c r="M45" s="650" t="n">
        <v>45705</v>
      </c>
      <c r="N45" s="650" t="n">
        <v>45712</v>
      </c>
      <c r="O45" s="650" t="n">
        <v>45719</v>
      </c>
      <c r="P45" s="650" t="n">
        <v>45726</v>
      </c>
      <c r="Q45" s="650" t="n">
        <v>45733</v>
      </c>
      <c r="R45" s="650" t="n">
        <v>45740</v>
      </c>
      <c r="S45" s="650" t="n">
        <v>45747</v>
      </c>
      <c r="T45" s="650" t="n">
        <v>45754</v>
      </c>
      <c r="U45" s="650" t="n">
        <v>45761</v>
      </c>
      <c r="V45" s="650" t="n">
        <v>45768</v>
      </c>
      <c r="W45" s="650" t="n">
        <v>45775</v>
      </c>
      <c r="X45" s="650" t="n">
        <v>45782</v>
      </c>
      <c r="Y45" s="650" t="n">
        <v>45789</v>
      </c>
      <c r="Z45" s="650" t="n">
        <v>45796</v>
      </c>
      <c r="AA45" s="650" t="n">
        <v>45803</v>
      </c>
      <c r="AB45" s="650" t="n">
        <v>45810</v>
      </c>
      <c r="AC45" s="650" t="n">
        <v>45817</v>
      </c>
      <c r="AD45" s="650" t="n">
        <v>45824</v>
      </c>
      <c r="AE45" s="650" t="n">
        <v>45831</v>
      </c>
      <c r="AF45" s="650" t="n">
        <v>45838</v>
      </c>
      <c r="AG45" s="650" t="n">
        <v>45845</v>
      </c>
      <c r="AH45" s="650" t="n">
        <v>45852</v>
      </c>
      <c r="AI45" s="650" t="n">
        <v>45859</v>
      </c>
      <c r="AJ45" s="650" t="n">
        <v>45866</v>
      </c>
      <c r="AK45" s="650" t="n">
        <v>45873</v>
      </c>
      <c r="AL45" s="650" t="n">
        <v>45880</v>
      </c>
      <c r="AM45" s="650" t="n">
        <v>45887</v>
      </c>
      <c r="AN45" s="650" t="n">
        <v>45894</v>
      </c>
      <c r="AO45" s="650" t="n">
        <v>45901</v>
      </c>
      <c r="AP45" s="650" t="n">
        <v>45908</v>
      </c>
      <c r="AQ45" s="650" t="n">
        <v>45915</v>
      </c>
      <c r="AR45" s="650" t="n">
        <v>45922</v>
      </c>
      <c r="AS45" s="650" t="n">
        <v>45929</v>
      </c>
      <c r="AT45" s="650" t="n">
        <v>45936</v>
      </c>
      <c r="AU45" s="650" t="n">
        <v>45943</v>
      </c>
      <c r="AV45" s="650" t="n">
        <v>45950</v>
      </c>
      <c r="AW45" s="650" t="n">
        <v>45957</v>
      </c>
      <c r="AX45" s="650" t="n">
        <v>45964</v>
      </c>
      <c r="AY45" s="650" t="n">
        <v>45971</v>
      </c>
      <c r="AZ45" s="650" t="n">
        <v>45978</v>
      </c>
      <c r="BA45" s="650" t="n">
        <v>45985</v>
      </c>
      <c r="BB45" s="650" t="n">
        <v>45992</v>
      </c>
      <c r="BC45" s="650" t="n">
        <v>45999</v>
      </c>
      <c r="BD45" s="650" t="n">
        <v>46006</v>
      </c>
      <c r="BE45" s="650" t="n">
        <v>46013</v>
      </c>
      <c r="BF45" s="650" t="n">
        <v>46020</v>
      </c>
      <c r="BG45" s="650" t="n">
        <v>46027</v>
      </c>
      <c r="BH45" s="650" t="n">
        <v>46034</v>
      </c>
      <c r="BI45" s="650" t="n">
        <v>46041</v>
      </c>
      <c r="BJ45" s="650" t="n">
        <v>46048</v>
      </c>
      <c r="BK45" s="650" t="n">
        <v>46055</v>
      </c>
      <c r="BL45" s="650" t="n">
        <v>46062</v>
      </c>
      <c r="BM45" s="650" t="n">
        <v>46069</v>
      </c>
      <c r="BN45" s="650" t="n">
        <v>46076</v>
      </c>
      <c r="BO45" s="650" t="n">
        <v>46083</v>
      </c>
      <c r="BP45" s="650" t="n">
        <v>46090</v>
      </c>
      <c r="BQ45" s="650" t="n">
        <v>46097</v>
      </c>
      <c r="BR45" s="650" t="n">
        <v>46104</v>
      </c>
      <c r="BS45" s="650" t="n">
        <v>46111</v>
      </c>
      <c r="BT45" s="650" t="n">
        <v>46118</v>
      </c>
      <c r="BU45" s="650" t="n">
        <v>46125</v>
      </c>
      <c r="BV45" s="650" t="n">
        <v>46132</v>
      </c>
      <c r="BW45" s="650" t="n">
        <v>46139</v>
      </c>
      <c r="BX45" s="650" t="n">
        <v>46146</v>
      </c>
      <c r="BY45" s="650" t="n">
        <v>46154</v>
      </c>
      <c r="BZ45" s="650" t="n">
        <v>46160</v>
      </c>
      <c r="CA45" s="650" t="n">
        <v>46160</v>
      </c>
      <c r="CB45" s="650" t="n">
        <v>46160</v>
      </c>
      <c r="CC45" s="651" t="n">
        <v>46161.48004043981</v>
      </c>
      <c r="CD45" s="651" t="n">
        <v>46161.48071866898</v>
      </c>
      <c r="CE45" s="651" t="n">
        <v>46161.4828773287</v>
      </c>
      <c r="CF45" s="652" t="inlineStr">
        <is>
          <t>USOU</t>
        </is>
      </c>
      <c r="CG45" s="6" t="n"/>
      <c r="CH45" s="413" t="inlineStr">
        <is>
          <t>TRANSFERÊNCIA</t>
        </is>
      </c>
      <c r="CI45" s="35" t="inlineStr">
        <is>
          <t>Pend.</t>
        </is>
      </c>
      <c r="CJ45" s="49" t="n"/>
      <c r="CK45" s="12" t="inlineStr">
        <is>
          <t>Novo Pedido</t>
        </is>
      </c>
      <c r="CL45" s="716" t="n">
        <v>46161.48287614572</v>
      </c>
      <c r="CM45" s="654" t="n"/>
      <c r="CN45" s="654" t="n">
        <v>46149</v>
      </c>
      <c r="CO45" s="654" t="n">
        <v>46114</v>
      </c>
      <c r="CP45" s="654" t="n">
        <v>46107</v>
      </c>
      <c r="CQ45" s="710" t="n">
        <v>46065</v>
      </c>
      <c r="CR45" s="654" t="n">
        <v>46099</v>
      </c>
      <c r="CS45" s="654" t="n">
        <v>46092</v>
      </c>
      <c r="CT45" s="711" t="n">
        <v>46045</v>
      </c>
      <c r="CU45" s="654" t="n">
        <v>46084</v>
      </c>
      <c r="CV45" s="655" t="n">
        <v>46084</v>
      </c>
      <c r="CW45" s="654" t="n">
        <v>46077</v>
      </c>
      <c r="CX45" s="655" t="n">
        <v>46077</v>
      </c>
      <c r="CY45" s="654" t="n">
        <v>46071</v>
      </c>
      <c r="CZ45" s="654" t="n">
        <v>46048</v>
      </c>
      <c r="DA45" s="654" t="n">
        <v>46043</v>
      </c>
      <c r="DB45" s="654" t="n">
        <v>46035</v>
      </c>
      <c r="DC45" s="654" t="n">
        <v>46029</v>
      </c>
      <c r="DD45" s="655" t="n">
        <v>46043</v>
      </c>
      <c r="DE45" s="654" t="n">
        <v>46024</v>
      </c>
      <c r="DF45" s="654" t="n">
        <v>46029</v>
      </c>
      <c r="DG45" s="654" t="n">
        <v>46024</v>
      </c>
      <c r="DH45" s="654" t="n">
        <v>46372</v>
      </c>
      <c r="DI45" s="654" t="n">
        <v>46024</v>
      </c>
      <c r="DJ45" s="654" t="n">
        <v>46017</v>
      </c>
      <c r="DK45" s="654" t="n">
        <v>46007</v>
      </c>
      <c r="DL45" s="654" t="n">
        <v>46001</v>
      </c>
      <c r="DM45" s="654" t="n">
        <v>46007</v>
      </c>
      <c r="DN45" s="654" t="n">
        <v>46001</v>
      </c>
      <c r="DO45" s="654" t="n">
        <v>45994</v>
      </c>
      <c r="DP45" s="654" t="n">
        <v>45986</v>
      </c>
      <c r="DQ45" s="654" t="n">
        <v>45980</v>
      </c>
      <c r="DR45" s="654" t="n">
        <v>45980</v>
      </c>
      <c r="DS45" s="654" t="n">
        <v>45973</v>
      </c>
      <c r="DT45" s="654" t="n">
        <v>45965</v>
      </c>
      <c r="DU45" s="654" t="n">
        <v>45960</v>
      </c>
      <c r="DV45" s="654" t="n">
        <v>45945</v>
      </c>
      <c r="DW45" s="654" t="n">
        <v>45939</v>
      </c>
      <c r="DX45" s="654" t="n">
        <v>45931</v>
      </c>
      <c r="DY45" s="678" t="n">
        <v>45903</v>
      </c>
      <c r="DZ45" s="654" t="n">
        <v>45923</v>
      </c>
      <c r="EA45" s="654" t="n">
        <v>45915</v>
      </c>
      <c r="EB45" s="655" t="n">
        <v>45931</v>
      </c>
      <c r="EC45" s="688" t="n">
        <v>45931</v>
      </c>
      <c r="ED45" s="688" t="n">
        <v>45931</v>
      </c>
      <c r="EE45" s="18" t="n"/>
      <c r="EF45" s="18" t="n"/>
      <c r="EG45" s="18" t="n"/>
      <c r="EH45" s="18" t="n"/>
      <c r="EI45" s="18" t="n"/>
      <c r="EJ45" s="18" t="n"/>
      <c r="EK45" s="18" t="n"/>
      <c r="EL45" s="18" t="n"/>
      <c r="EM45" s="18" t="n"/>
      <c r="EN45" s="18" t="n"/>
      <c r="EO45" s="18" t="n"/>
      <c r="EP45" s="18" t="n"/>
      <c r="EQ45" s="18" t="n"/>
      <c r="ER45" s="18" t="n"/>
      <c r="ES45" s="18" t="n"/>
      <c r="ET45" s="18" t="n"/>
      <c r="EU45" s="18" t="n"/>
      <c r="EV45" s="18" t="n"/>
      <c r="EW45" s="18" t="n"/>
      <c r="EX45" s="18" t="n"/>
      <c r="EY45" s="18" t="n"/>
      <c r="EZ45" s="732" t="n"/>
      <c r="FA45" s="18" t="n"/>
      <c r="FB45" s="732" t="n"/>
      <c r="FC45" s="732" t="n"/>
      <c r="FD45" s="732" t="n"/>
      <c r="FE45" s="18" t="n"/>
      <c r="FF45" s="18" t="n"/>
      <c r="FG45" s="732" t="n"/>
      <c r="FH45" s="256" t="n"/>
      <c r="FI45" s="732" t="n"/>
      <c r="FJ45" s="732" t="n"/>
      <c r="FK45" s="256" t="n"/>
      <c r="FL45" s="732" t="n"/>
      <c r="FM45" s="732" t="n"/>
      <c r="FN45" s="732" t="n"/>
      <c r="FO45" s="18" t="n"/>
      <c r="FP45" s="732" t="n"/>
      <c r="FQ45" s="256" t="n"/>
      <c r="FR45" s="18" t="n"/>
      <c r="FS45" s="18" t="n"/>
      <c r="FT45" s="18" t="n"/>
      <c r="FU45" s="18" t="n"/>
      <c r="FV45" s="18" t="n"/>
      <c r="FW45" s="18" t="n"/>
      <c r="FX45" s="18" t="n"/>
      <c r="FY45" s="18" t="n"/>
      <c r="FZ45" s="256" t="n"/>
      <c r="GA45" s="18" t="n"/>
      <c r="GB45" s="18" t="n"/>
      <c r="GC45" s="18" t="n"/>
      <c r="GD45" s="256" t="n"/>
      <c r="GE45" s="18" t="n"/>
      <c r="GF45" s="18" t="n"/>
      <c r="GG45" s="18" t="n"/>
      <c r="GH45" s="18" t="n">
        <v>150</v>
      </c>
      <c r="GI45" s="18" t="n"/>
      <c r="GJ45" s="18" t="n"/>
      <c r="GK45" s="18" t="n"/>
      <c r="GL45" s="18" t="n"/>
      <c r="GM45" s="18" t="n"/>
      <c r="GN45" s="18" t="n"/>
      <c r="GO45" s="18" t="n"/>
      <c r="GP45" s="18" t="n"/>
      <c r="GQ45" s="18" t="n"/>
      <c r="GR45" s="18" t="n"/>
      <c r="GS45" s="18" t="n"/>
      <c r="GT45" s="18" t="n"/>
      <c r="GU45" s="18" t="n"/>
    </row>
    <row r="46" ht="18.75" customFormat="1" customHeight="1" s="3">
      <c r="A46" s="43" t="inlineStr">
        <is>
          <t>SACOLA P OUI</t>
        </is>
      </c>
      <c r="B46" s="36" t="n">
        <v>150</v>
      </c>
      <c r="C46" s="668" t="n">
        <v>469.25</v>
      </c>
      <c r="D46" s="329" t="n">
        <v>15</v>
      </c>
      <c r="F46" s="38" t="n">
        <v>0</v>
      </c>
      <c r="G46" s="38" t="n">
        <v>0</v>
      </c>
      <c r="H46" s="38" t="n">
        <v>0</v>
      </c>
      <c r="I46" s="38" t="n">
        <v>0</v>
      </c>
      <c r="J46" s="38" t="n">
        <v>0</v>
      </c>
      <c r="K46" s="38" t="n">
        <v>0</v>
      </c>
      <c r="L46" s="38" t="n">
        <v>0</v>
      </c>
      <c r="M46" s="38" t="n">
        <v>151</v>
      </c>
      <c r="N46" s="38" t="n">
        <v>151</v>
      </c>
      <c r="O46" s="38" t="n">
        <v>151</v>
      </c>
      <c r="P46" s="38" t="n">
        <v>151</v>
      </c>
      <c r="Q46" s="38" t="n">
        <v>151</v>
      </c>
      <c r="R46" s="38" t="n">
        <v>151</v>
      </c>
      <c r="S46" s="38" t="n">
        <v>151</v>
      </c>
      <c r="T46" s="38" t="n">
        <v>151</v>
      </c>
      <c r="U46" s="38" t="n">
        <v>151</v>
      </c>
      <c r="V46" s="38" t="n">
        <v>151</v>
      </c>
      <c r="W46" s="38" t="n">
        <v>151</v>
      </c>
      <c r="X46" s="38" t="n">
        <v>149</v>
      </c>
      <c r="Y46" s="38" t="n">
        <v>148</v>
      </c>
      <c r="Z46" s="38" t="n">
        <v>148</v>
      </c>
      <c r="AA46" s="38" t="n">
        <v>148</v>
      </c>
      <c r="AB46" s="38" t="n">
        <v>145</v>
      </c>
      <c r="AC46" s="38" t="n">
        <v>142</v>
      </c>
      <c r="AD46" s="38" t="n">
        <v>135</v>
      </c>
      <c r="AE46" s="38" t="n">
        <v>135</v>
      </c>
      <c r="AF46" s="38" t="n">
        <v>134</v>
      </c>
      <c r="AG46" s="38" t="n">
        <v>131</v>
      </c>
      <c r="AH46" s="38" t="n">
        <v>129</v>
      </c>
      <c r="AI46" s="38" t="n">
        <v>128</v>
      </c>
      <c r="AJ46" s="38" t="n">
        <v>128</v>
      </c>
      <c r="AK46" s="38" t="n">
        <v>126</v>
      </c>
      <c r="AL46" s="38" t="n">
        <v>125</v>
      </c>
      <c r="AM46" s="38" t="n">
        <v>124</v>
      </c>
      <c r="AN46" s="38" t="n">
        <v>124</v>
      </c>
      <c r="AO46" s="38" t="n">
        <v>124</v>
      </c>
      <c r="AP46" s="38" t="n">
        <v>118</v>
      </c>
      <c r="AQ46" s="38" t="n">
        <v>118</v>
      </c>
      <c r="AR46" s="38" t="n">
        <v>118</v>
      </c>
      <c r="AS46" s="38" t="n">
        <v>118</v>
      </c>
      <c r="AT46" s="38" t="n">
        <v>118</v>
      </c>
      <c r="AU46" s="38" t="n">
        <v>118</v>
      </c>
      <c r="AV46" s="38" t="n">
        <v>100</v>
      </c>
      <c r="AW46" s="38" t="n">
        <v>100</v>
      </c>
      <c r="AX46" s="38" t="n">
        <v>100</v>
      </c>
      <c r="AY46" s="38" t="n">
        <v>106</v>
      </c>
      <c r="AZ46" s="38" t="n">
        <v>106</v>
      </c>
      <c r="BA46" s="38" t="n">
        <v>106</v>
      </c>
      <c r="BB46" s="38" t="n">
        <v>91</v>
      </c>
      <c r="BC46" s="38" t="n">
        <v>90</v>
      </c>
      <c r="BD46" s="38" t="n">
        <v>90</v>
      </c>
      <c r="BE46" s="38" t="n">
        <v>70</v>
      </c>
      <c r="BF46" s="38" t="n">
        <v>70</v>
      </c>
      <c r="BG46" s="38" t="n">
        <v>70</v>
      </c>
      <c r="BH46" s="38" t="n">
        <v>70</v>
      </c>
      <c r="BI46" s="38" t="n">
        <v>70</v>
      </c>
      <c r="BJ46" s="38" t="n">
        <v>70</v>
      </c>
      <c r="BK46" s="38" t="n">
        <v>70</v>
      </c>
      <c r="BL46" s="38" t="n">
        <v>70</v>
      </c>
      <c r="BM46" s="38" t="n">
        <v>70</v>
      </c>
      <c r="BN46" s="38" t="n">
        <v>70</v>
      </c>
      <c r="BO46" s="38" t="n">
        <v>61</v>
      </c>
      <c r="BP46" s="38" t="n">
        <v>61</v>
      </c>
      <c r="BQ46" s="38" t="n">
        <v>60</v>
      </c>
      <c r="BR46" s="38" t="n">
        <v>20</v>
      </c>
      <c r="BS46" s="38" t="n">
        <v>20</v>
      </c>
      <c r="BT46" s="38" t="n"/>
      <c r="BU46" s="38" t="n"/>
      <c r="BV46" s="38" t="n"/>
      <c r="BW46" s="38" t="n">
        <v>20</v>
      </c>
      <c r="BX46" s="38" t="n">
        <v>20</v>
      </c>
      <c r="BY46" s="38" t="n">
        <v>14</v>
      </c>
      <c r="BZ46" s="38" t="n">
        <v>12</v>
      </c>
      <c r="CA46" s="38" t="n">
        <v>12</v>
      </c>
      <c r="CB46" s="38" t="n">
        <v>12</v>
      </c>
      <c r="CC46" s="9" t="n">
        <v>12</v>
      </c>
      <c r="CD46" s="9" t="n">
        <v>12</v>
      </c>
      <c r="CE46" s="9" t="n">
        <v>12</v>
      </c>
      <c r="CF46" s="154">
        <f>CD46+IF(NOT(ISBLANK(OFFSET(CF46,0,6))),N(OFFSET(CF46,0,6)),N(OFFSET(CF46,0,7)))-CE46</f>
        <v/>
      </c>
      <c r="CG46" s="6" t="n"/>
      <c r="CH46" s="19" t="n"/>
      <c r="CI46" s="19" t="n"/>
      <c r="CJ46" s="49" t="n"/>
      <c r="CK46" s="27" t="n"/>
      <c r="CL46" s="18" t="n">
        <v>0</v>
      </c>
      <c r="CM46" s="18" t="n">
        <v>0</v>
      </c>
      <c r="CN46" s="18" t="n">
        <v>0</v>
      </c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18" t="n"/>
      <c r="DN46" s="18" t="n"/>
      <c r="DO46" s="18" t="n"/>
      <c r="DP46" s="18" t="n"/>
      <c r="DQ46" s="18" t="n"/>
      <c r="DR46" s="18" t="n"/>
      <c r="DS46" s="18" t="n"/>
      <c r="DT46" s="18" t="n"/>
      <c r="DU46" s="18" t="n"/>
      <c r="DV46" s="18" t="n"/>
      <c r="DW46" s="18" t="n"/>
      <c r="DX46" s="18" t="n"/>
      <c r="DY46" s="18" t="n"/>
      <c r="DZ46" s="18" t="n"/>
      <c r="EA46" s="18" t="n"/>
      <c r="EB46" s="256" t="n"/>
      <c r="EC46" s="256" t="n"/>
      <c r="ED46" s="256" t="n"/>
      <c r="EE46" s="18" t="n"/>
      <c r="EF46" s="18" t="n"/>
      <c r="EG46" s="18" t="n"/>
      <c r="EH46" s="18" t="n"/>
      <c r="EI46" s="18" t="n"/>
      <c r="EJ46" s="18" t="n"/>
      <c r="EK46" s="18" t="n"/>
      <c r="EL46" s="18" t="n"/>
      <c r="EM46" s="18" t="n"/>
      <c r="EN46" s="18" t="n"/>
      <c r="EO46" s="18" t="n"/>
      <c r="EP46" s="18" t="n"/>
      <c r="EQ46" s="18" t="n"/>
      <c r="ER46" s="18" t="n"/>
      <c r="ES46" s="18" t="n"/>
      <c r="ET46" s="18" t="n"/>
      <c r="EU46" s="18" t="n"/>
      <c r="EV46" s="18" t="n"/>
      <c r="EW46" s="18" t="n"/>
      <c r="EX46" s="18" t="n"/>
      <c r="EY46" s="18" t="n"/>
      <c r="EZ46" s="18" t="n"/>
      <c r="FA46" s="18" t="n"/>
      <c r="FB46" s="18" t="n"/>
      <c r="FC46" s="18" t="n"/>
      <c r="FD46" s="18" t="n"/>
      <c r="FE46" s="18" t="n"/>
      <c r="FF46" s="18" t="n"/>
      <c r="FG46" s="18" t="n"/>
      <c r="FH46" s="256" t="n"/>
      <c r="FI46" s="18" t="n"/>
      <c r="FJ46" s="18" t="n"/>
      <c r="FK46" s="256" t="n"/>
      <c r="FL46" s="18" t="n"/>
      <c r="FM46" s="18" t="n"/>
      <c r="FN46" s="18" t="n"/>
      <c r="FO46" s="18" t="n"/>
      <c r="FP46" s="18" t="n"/>
      <c r="FQ46" s="256" t="n"/>
      <c r="FR46" s="18" t="n"/>
      <c r="FS46" s="18" t="n"/>
      <c r="FT46" s="18" t="n"/>
      <c r="FU46" s="18" t="n"/>
      <c r="FV46" s="18" t="n"/>
      <c r="FW46" s="18" t="n"/>
      <c r="FX46" s="18" t="n"/>
      <c r="FY46" s="18" t="n"/>
      <c r="FZ46" s="256" t="n"/>
      <c r="GA46" s="18" t="n"/>
      <c r="GB46" s="18" t="n"/>
      <c r="GC46" s="18" t="n"/>
      <c r="GD46" s="256" t="n"/>
      <c r="GE46" s="18" t="n"/>
      <c r="GF46" s="18" t="n"/>
      <c r="GG46" s="18" t="n"/>
      <c r="GH46" s="18" t="n">
        <v>100</v>
      </c>
      <c r="GI46" s="18" t="n"/>
      <c r="GJ46" s="18" t="n"/>
      <c r="GK46" s="18" t="n"/>
      <c r="GL46" s="18" t="n"/>
      <c r="GM46" s="18" t="n"/>
      <c r="GN46" s="18" t="n"/>
      <c r="GO46" s="18" t="n"/>
      <c r="GP46" s="18" t="n"/>
      <c r="GQ46" s="18" t="n"/>
      <c r="GR46" s="18" t="n"/>
      <c r="GS46" s="18" t="n"/>
      <c r="GT46" s="18" t="n"/>
      <c r="GU46" s="18" t="n"/>
    </row>
    <row r="47" ht="18.75" customHeight="1">
      <c r="A47" s="43" t="inlineStr">
        <is>
          <t>SACOLA M OUI</t>
        </is>
      </c>
      <c r="B47" s="36" t="n">
        <v>100</v>
      </c>
      <c r="C47" s="668" t="n">
        <v>368.23</v>
      </c>
      <c r="D47" s="329" t="n">
        <v>15</v>
      </c>
      <c r="F47" s="38" t="n">
        <v>0</v>
      </c>
      <c r="G47" s="38" t="n">
        <v>0</v>
      </c>
      <c r="H47" s="38" t="n">
        <v>0</v>
      </c>
      <c r="I47" s="38" t="n">
        <v>0</v>
      </c>
      <c r="J47" s="38" t="n">
        <v>0</v>
      </c>
      <c r="K47" s="38" t="n">
        <v>0</v>
      </c>
      <c r="L47" s="38" t="n">
        <v>0</v>
      </c>
      <c r="M47" s="38" t="n">
        <v>122</v>
      </c>
      <c r="N47" s="38" t="n">
        <v>122</v>
      </c>
      <c r="O47" s="38" t="n">
        <v>122</v>
      </c>
      <c r="P47" s="38" t="n">
        <v>122</v>
      </c>
      <c r="Q47" s="38" t="n">
        <v>122</v>
      </c>
      <c r="R47" s="38" t="n">
        <v>122</v>
      </c>
      <c r="S47" s="38" t="n">
        <v>121</v>
      </c>
      <c r="T47" s="38" t="n">
        <v>121</v>
      </c>
      <c r="U47" s="38" t="n">
        <v>118</v>
      </c>
      <c r="V47" s="38" t="n">
        <v>118</v>
      </c>
      <c r="W47" s="38" t="n">
        <v>119</v>
      </c>
      <c r="X47" s="38" t="n">
        <v>119</v>
      </c>
      <c r="Y47" s="38" t="n">
        <v>119</v>
      </c>
      <c r="Z47" s="38" t="n">
        <v>119</v>
      </c>
      <c r="AA47" s="38" t="n">
        <v>119</v>
      </c>
      <c r="AB47" s="38" t="n">
        <v>119</v>
      </c>
      <c r="AC47" s="38" t="n">
        <v>118</v>
      </c>
      <c r="AD47" s="38" t="n">
        <v>116</v>
      </c>
      <c r="AE47" s="38" t="n">
        <v>116</v>
      </c>
      <c r="AF47" s="38" t="n">
        <v>115</v>
      </c>
      <c r="AG47" s="38" t="n">
        <v>114</v>
      </c>
      <c r="AH47" s="38" t="n">
        <v>114</v>
      </c>
      <c r="AI47" s="38" t="n">
        <v>114</v>
      </c>
      <c r="AJ47" s="38" t="n">
        <v>114</v>
      </c>
      <c r="AK47" s="38" t="n">
        <v>111</v>
      </c>
      <c r="AL47" s="38" t="n">
        <v>110</v>
      </c>
      <c r="AM47" s="38" t="n">
        <v>110</v>
      </c>
      <c r="AN47" s="38" t="n">
        <v>110</v>
      </c>
      <c r="AO47" s="38" t="n">
        <v>110</v>
      </c>
      <c r="AP47" s="38" t="n">
        <v>103</v>
      </c>
      <c r="AQ47" s="38" t="n">
        <v>103</v>
      </c>
      <c r="AR47" s="38" t="n">
        <v>103</v>
      </c>
      <c r="AS47" s="38" t="n">
        <v>102</v>
      </c>
      <c r="AT47" s="38" t="n">
        <v>101</v>
      </c>
      <c r="AU47" s="38" t="n">
        <v>98</v>
      </c>
      <c r="AV47" s="38" t="n">
        <v>98</v>
      </c>
      <c r="AW47" s="38" t="n">
        <v>90</v>
      </c>
      <c r="AX47" s="38" t="n">
        <v>90</v>
      </c>
      <c r="AY47" s="38" t="n">
        <v>97</v>
      </c>
      <c r="AZ47" s="38" t="n">
        <v>97</v>
      </c>
      <c r="BA47" s="38" t="n">
        <v>97</v>
      </c>
      <c r="BB47" s="38" t="n">
        <v>82</v>
      </c>
      <c r="BC47" s="38" t="n">
        <v>78</v>
      </c>
      <c r="BD47" s="38" t="n">
        <v>78</v>
      </c>
      <c r="BE47" s="38" t="n">
        <v>56</v>
      </c>
      <c r="BF47" s="38" t="n">
        <v>56</v>
      </c>
      <c r="BG47" s="38" t="n">
        <v>56</v>
      </c>
      <c r="BH47" s="38" t="n">
        <v>56</v>
      </c>
      <c r="BI47" s="38" t="n">
        <v>50</v>
      </c>
      <c r="BJ47" s="38" t="n">
        <v>49</v>
      </c>
      <c r="BK47" s="38" t="n">
        <v>49</v>
      </c>
      <c r="BL47" s="38" t="n">
        <v>49</v>
      </c>
      <c r="BM47" s="38" t="n">
        <v>49</v>
      </c>
      <c r="BN47" s="38" t="n">
        <v>49</v>
      </c>
      <c r="BO47" s="38" t="n">
        <v>48</v>
      </c>
      <c r="BP47" s="38" t="n">
        <v>48</v>
      </c>
      <c r="BQ47" s="38" t="n">
        <v>49</v>
      </c>
      <c r="BR47" s="38" t="n">
        <v>28</v>
      </c>
      <c r="BS47" s="38" t="n">
        <v>28</v>
      </c>
      <c r="BT47" s="38" t="n"/>
      <c r="BU47" s="38" t="n"/>
      <c r="BV47" s="38" t="n"/>
      <c r="BW47" s="38" t="n">
        <v>26</v>
      </c>
      <c r="BX47" s="38" t="n">
        <v>26</v>
      </c>
      <c r="BY47" s="38" t="n">
        <v>21</v>
      </c>
      <c r="BZ47" s="38" t="n">
        <v>19</v>
      </c>
      <c r="CA47" s="38" t="n">
        <v>19</v>
      </c>
      <c r="CB47" s="38" t="n">
        <v>19</v>
      </c>
      <c r="CC47" s="9" t="n">
        <v>19</v>
      </c>
      <c r="CD47" s="9" t="n">
        <v>19</v>
      </c>
      <c r="CE47" s="9" t="n">
        <v>19</v>
      </c>
      <c r="CF47" s="154">
        <f>CD47+IF(NOT(ISBLANK(OFFSET(CF47,0,6))),N(OFFSET(CF47,0,6)),N(OFFSET(CF47,0,7)))-CE47</f>
        <v/>
      </c>
      <c r="CH47" s="19" t="n"/>
      <c r="CI47" s="19" t="n"/>
      <c r="CK47" s="27" t="n"/>
      <c r="CL47" s="691" t="n">
        <v>0</v>
      </c>
      <c r="CM47" s="18" t="n">
        <v>0</v>
      </c>
      <c r="CN47" s="18" t="n">
        <v>0</v>
      </c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18" t="n"/>
      <c r="DN47" s="18" t="n"/>
      <c r="DO47" s="18" t="n"/>
      <c r="DP47" s="18" t="n"/>
      <c r="DQ47" s="18" t="n"/>
      <c r="DR47" s="18" t="n"/>
      <c r="DS47" s="18" t="n"/>
      <c r="DT47" s="18" t="n"/>
      <c r="DU47" s="18" t="n"/>
      <c r="DV47" s="18" t="n"/>
      <c r="DW47" s="18" t="n"/>
      <c r="DX47" s="18" t="n"/>
      <c r="DY47" s="18" t="n"/>
      <c r="DZ47" s="18" t="n"/>
      <c r="EA47" s="18" t="n"/>
      <c r="EB47" s="256" t="n"/>
      <c r="EC47" s="256" t="n"/>
      <c r="ED47" s="256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18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18" t="n"/>
      <c r="FE47" s="18" t="n"/>
      <c r="FF47" s="18" t="n"/>
      <c r="FG47" s="18" t="n"/>
      <c r="FH47" s="256" t="n"/>
      <c r="FI47" s="18" t="n"/>
      <c r="FJ47" s="18" t="n"/>
      <c r="FK47" s="256" t="n"/>
      <c r="FL47" s="18" t="n"/>
      <c r="FM47" s="18" t="n"/>
      <c r="FN47" s="18" t="n"/>
      <c r="FO47" s="18" t="n"/>
      <c r="FP47" s="18" t="n"/>
      <c r="FQ47" s="256" t="n"/>
      <c r="FR47" s="18" t="n"/>
      <c r="FS47" s="18" t="n"/>
      <c r="FT47" s="18" t="n"/>
      <c r="FU47" s="18" t="n"/>
      <c r="FV47" s="18" t="n"/>
      <c r="FW47" s="18" t="n"/>
      <c r="FX47" s="18" t="n"/>
      <c r="FY47" s="18" t="n"/>
      <c r="FZ47" s="256" t="n"/>
      <c r="GA47" s="18" t="n"/>
      <c r="GB47" s="18" t="n"/>
      <c r="GC47" s="18" t="n"/>
      <c r="GD47" s="256" t="n"/>
      <c r="GE47" s="18" t="n"/>
      <c r="GF47" s="18" t="n"/>
      <c r="GG47" s="18" t="n"/>
      <c r="GH47" s="18" t="n">
        <v>50</v>
      </c>
      <c r="GI47" s="18" t="n"/>
      <c r="GJ47" s="18" t="n"/>
      <c r="GK47" s="18" t="n"/>
      <c r="GL47" s="18" t="n"/>
      <c r="GM47" s="18" t="n"/>
      <c r="GN47" s="18" t="n"/>
      <c r="GO47" s="18" t="n"/>
      <c r="GP47" s="18" t="n"/>
      <c r="GQ47" s="18" t="n"/>
      <c r="GR47" s="18" t="n"/>
      <c r="GS47" s="18" t="n"/>
      <c r="GT47" s="18" t="n"/>
      <c r="GU47" s="18" t="n"/>
    </row>
    <row r="48" ht="18.75" customHeight="1">
      <c r="A48" s="43" t="inlineStr">
        <is>
          <t>SACOLA G OUI</t>
        </is>
      </c>
      <c r="B48" s="36" t="n">
        <v>50</v>
      </c>
      <c r="C48" s="668" t="n">
        <v>257.98</v>
      </c>
      <c r="D48" s="329" t="n">
        <v>15</v>
      </c>
      <c r="F48" s="38" t="n">
        <v>0</v>
      </c>
      <c r="G48" s="38" t="n">
        <v>0</v>
      </c>
      <c r="H48" s="38" t="n">
        <v>0</v>
      </c>
      <c r="I48" s="38" t="n">
        <v>0</v>
      </c>
      <c r="J48" s="38" t="n">
        <v>0</v>
      </c>
      <c r="K48" s="38" t="n">
        <v>0</v>
      </c>
      <c r="L48" s="38" t="n">
        <v>0</v>
      </c>
      <c r="M48" s="38" t="n">
        <v>53</v>
      </c>
      <c r="N48" s="38" t="n">
        <v>53</v>
      </c>
      <c r="O48" s="38" t="n">
        <v>53</v>
      </c>
      <c r="P48" s="38" t="n">
        <v>53</v>
      </c>
      <c r="Q48" s="38" t="n">
        <v>53</v>
      </c>
      <c r="R48" s="38" t="n">
        <v>53</v>
      </c>
      <c r="S48" s="38" t="n">
        <v>53</v>
      </c>
      <c r="T48" s="38" t="n">
        <v>53</v>
      </c>
      <c r="U48" s="261" t="n">
        <v>71</v>
      </c>
      <c r="V48" s="38" t="n">
        <v>71</v>
      </c>
      <c r="W48" s="38" t="n">
        <v>71</v>
      </c>
      <c r="X48" s="38" t="n">
        <v>71</v>
      </c>
      <c r="Y48" s="38" t="n">
        <v>70</v>
      </c>
      <c r="Z48" s="38" t="n">
        <v>70</v>
      </c>
      <c r="AA48" s="38" t="n">
        <v>69</v>
      </c>
      <c r="AB48" s="38" t="n">
        <v>68</v>
      </c>
      <c r="AC48" s="38" t="n">
        <v>68</v>
      </c>
      <c r="AD48" s="38" t="n">
        <v>67</v>
      </c>
      <c r="AE48" s="38" t="n">
        <v>67</v>
      </c>
      <c r="AF48" s="38" t="n">
        <v>68</v>
      </c>
      <c r="AG48" s="38" t="n">
        <v>68</v>
      </c>
      <c r="AH48" s="38" t="n">
        <v>68</v>
      </c>
      <c r="AI48" s="38" t="n">
        <v>68</v>
      </c>
      <c r="AJ48" s="38" t="n">
        <v>68</v>
      </c>
      <c r="AK48" s="38" t="n">
        <v>68</v>
      </c>
      <c r="AL48" s="38" t="n">
        <v>68</v>
      </c>
      <c r="AM48" s="38" t="n">
        <v>68</v>
      </c>
      <c r="AN48" s="38" t="n">
        <v>68</v>
      </c>
      <c r="AO48" s="38" t="n">
        <v>68</v>
      </c>
      <c r="AP48" s="38" t="n">
        <v>51</v>
      </c>
      <c r="AQ48" s="38" t="n">
        <v>50</v>
      </c>
      <c r="AR48" s="38" t="n">
        <v>50</v>
      </c>
      <c r="AS48" s="38" t="n">
        <v>50</v>
      </c>
      <c r="AT48" s="38" t="n">
        <v>50</v>
      </c>
      <c r="AU48" s="38" t="n">
        <v>50</v>
      </c>
      <c r="AV48" s="38" t="n">
        <v>40</v>
      </c>
      <c r="AW48" s="38" t="n">
        <v>40</v>
      </c>
      <c r="AX48" s="38" t="n">
        <v>40</v>
      </c>
      <c r="AY48" s="38" t="n">
        <v>57</v>
      </c>
      <c r="AZ48" s="38" t="n">
        <v>56</v>
      </c>
      <c r="BA48" s="38" t="n">
        <v>56</v>
      </c>
      <c r="BB48" s="38" t="n">
        <v>36</v>
      </c>
      <c r="BC48" s="38" t="n">
        <v>36</v>
      </c>
      <c r="BD48" s="38" t="n">
        <v>36</v>
      </c>
      <c r="BE48" s="38" t="n">
        <v>36</v>
      </c>
      <c r="BF48" s="38" t="n">
        <v>36</v>
      </c>
      <c r="BG48" s="38" t="n">
        <v>36</v>
      </c>
      <c r="BH48" s="38" t="n">
        <v>36</v>
      </c>
      <c r="BI48" s="38" t="n">
        <v>36</v>
      </c>
      <c r="BJ48" s="38" t="n">
        <v>36</v>
      </c>
      <c r="BK48" s="38" t="n">
        <v>36</v>
      </c>
      <c r="BL48" s="38" t="n">
        <v>35</v>
      </c>
      <c r="BM48" s="38" t="n">
        <v>35</v>
      </c>
      <c r="BN48" s="38" t="n">
        <v>35</v>
      </c>
      <c r="BO48" s="38" t="n">
        <v>35</v>
      </c>
      <c r="BP48" s="38" t="n">
        <v>25</v>
      </c>
      <c r="BQ48" s="38" t="n">
        <v>5</v>
      </c>
      <c r="BR48" s="38" t="n">
        <v>13</v>
      </c>
      <c r="BS48" s="38" t="n">
        <v>13</v>
      </c>
      <c r="BT48" s="38" t="n"/>
      <c r="BU48" s="38" t="n"/>
      <c r="BV48" s="38" t="n"/>
      <c r="BW48" s="38" t="n">
        <v>13</v>
      </c>
      <c r="BX48" s="38" t="n">
        <v>13</v>
      </c>
      <c r="BY48" s="38" t="n">
        <v>13</v>
      </c>
      <c r="BZ48" s="38" t="n">
        <v>13</v>
      </c>
      <c r="CA48" s="38" t="n">
        <v>13</v>
      </c>
      <c r="CB48" s="38" t="n">
        <v>13</v>
      </c>
      <c r="CC48" s="9" t="n">
        <v>13</v>
      </c>
      <c r="CD48" s="9" t="n">
        <v>13</v>
      </c>
      <c r="CE48" s="9" t="n">
        <v>13</v>
      </c>
      <c r="CF48" s="154">
        <f>CD48+IF(NOT(ISBLANK(OFFSET(CF48,0,6))),N(OFFSET(CF48,0,6)),N(OFFSET(CF48,0,7)))-CE48</f>
        <v/>
      </c>
      <c r="CG48" s="53" t="n"/>
      <c r="CH48" s="19" t="n"/>
      <c r="CI48" s="19" t="n"/>
      <c r="CK48" s="27" t="n"/>
      <c r="CL48" s="691" t="n">
        <v>0</v>
      </c>
      <c r="CM48" s="18" t="n">
        <v>0</v>
      </c>
      <c r="CN48" s="18" t="n">
        <v>0</v>
      </c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18" t="n"/>
      <c r="EB48" s="256" t="n"/>
      <c r="EC48" s="256" t="n"/>
      <c r="ED48" s="256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18" t="n"/>
      <c r="ET48" s="18" t="n"/>
      <c r="EU48" s="18" t="n"/>
      <c r="EV48" s="18" t="n"/>
      <c r="EW48" s="18" t="n"/>
      <c r="EX48" s="18" t="n"/>
      <c r="EY48" s="18" t="n"/>
      <c r="EZ48" s="18" t="n"/>
      <c r="FA48" s="18" t="n"/>
      <c r="FB48" s="18" t="n"/>
      <c r="FC48" s="18" t="n"/>
      <c r="FD48" s="18" t="n"/>
      <c r="FE48" s="18" t="n"/>
      <c r="FF48" s="18" t="n"/>
      <c r="FG48" s="18" t="n"/>
      <c r="FH48" s="256" t="n"/>
      <c r="FI48" s="18" t="n"/>
      <c r="FJ48" s="18" t="n"/>
      <c r="FK48" s="256" t="n"/>
      <c r="FL48" s="18" t="n"/>
      <c r="FM48" s="18" t="n"/>
      <c r="FN48" s="18" t="n"/>
      <c r="FO48" s="18" t="n"/>
      <c r="FP48" s="18" t="n"/>
      <c r="FQ48" s="256" t="n"/>
      <c r="FR48" s="18" t="n"/>
      <c r="FS48" s="18" t="n"/>
      <c r="FT48" s="18" t="n"/>
      <c r="FU48" s="18" t="n"/>
      <c r="FV48" s="18" t="n"/>
      <c r="FW48" s="18" t="n"/>
      <c r="FX48" s="18" t="n"/>
      <c r="FY48" s="18" t="n"/>
      <c r="FZ48" s="256" t="n"/>
      <c r="GA48" s="18" t="n"/>
      <c r="GB48" s="18" t="n"/>
      <c r="GC48" s="18" t="n"/>
      <c r="GD48" s="256" t="n"/>
      <c r="GE48" s="18" t="n"/>
      <c r="GF48" s="18" t="n"/>
      <c r="GG48" s="18" t="n"/>
      <c r="GH48" s="18" t="n"/>
      <c r="GI48" s="18" t="n"/>
      <c r="GJ48" s="18" t="n"/>
      <c r="GK48" s="18" t="n"/>
      <c r="GL48" s="18" t="n"/>
      <c r="GM48" s="18" t="n"/>
      <c r="GN48" s="18" t="n"/>
      <c r="GO48" s="18" t="n"/>
      <c r="GP48" s="18" t="n"/>
      <c r="GQ48" s="18" t="n"/>
      <c r="GR48" s="18" t="n"/>
      <c r="GS48" s="18" t="n"/>
      <c r="GT48" s="18" t="n"/>
      <c r="GU48" s="18" t="n"/>
    </row>
    <row r="49" ht="18.75" customHeight="1">
      <c r="A49" s="43" t="inlineStr">
        <is>
          <t>PAPEL DE SEDA OUI</t>
        </is>
      </c>
      <c r="B49" s="36" t="n">
        <v>500</v>
      </c>
      <c r="C49" s="668" t="n">
        <v>143.38</v>
      </c>
      <c r="D49" s="329" t="n">
        <v>1</v>
      </c>
      <c r="F49" s="38" t="n">
        <v>2</v>
      </c>
      <c r="G49" s="38" t="n">
        <v>2</v>
      </c>
      <c r="H49" s="38" t="n">
        <v>2</v>
      </c>
      <c r="I49" s="38" t="n">
        <v>2</v>
      </c>
      <c r="J49" s="38" t="n">
        <v>2</v>
      </c>
      <c r="K49" s="38" t="n">
        <v>2</v>
      </c>
      <c r="L49" s="38" t="n">
        <v>2</v>
      </c>
      <c r="M49" s="38" t="n">
        <v>2</v>
      </c>
      <c r="N49" s="38" t="n">
        <v>2</v>
      </c>
      <c r="O49" s="38" t="n">
        <v>2</v>
      </c>
      <c r="P49" s="38" t="n">
        <v>2</v>
      </c>
      <c r="Q49" s="38" t="n">
        <v>2</v>
      </c>
      <c r="R49" s="38" t="n">
        <v>2</v>
      </c>
      <c r="S49" s="38" t="n">
        <v>2</v>
      </c>
      <c r="T49" s="38" t="n">
        <v>2</v>
      </c>
      <c r="U49" s="38" t="n">
        <v>2</v>
      </c>
      <c r="V49" s="38" t="n">
        <v>2</v>
      </c>
      <c r="W49" s="38" t="n">
        <v>2</v>
      </c>
      <c r="X49" s="38" t="n">
        <v>2</v>
      </c>
      <c r="Y49" s="38" t="n">
        <v>2</v>
      </c>
      <c r="Z49" s="38" t="n">
        <v>2</v>
      </c>
      <c r="AA49" s="38" t="n">
        <v>2</v>
      </c>
      <c r="AB49" s="38" t="n">
        <v>2</v>
      </c>
      <c r="AC49" s="38" t="n">
        <v>2</v>
      </c>
      <c r="AD49" s="38" t="n">
        <v>2</v>
      </c>
      <c r="AE49" s="38" t="n">
        <v>2</v>
      </c>
      <c r="AF49" s="38" t="n">
        <v>2</v>
      </c>
      <c r="AG49" s="38" t="n">
        <v>2</v>
      </c>
      <c r="AH49" s="38" t="n">
        <v>2</v>
      </c>
      <c r="AI49" s="38" t="n">
        <v>1</v>
      </c>
      <c r="AJ49" s="38" t="n">
        <v>1</v>
      </c>
      <c r="AK49" s="38" t="n">
        <v>1</v>
      </c>
      <c r="AL49" s="38" t="n">
        <v>1</v>
      </c>
      <c r="AM49" s="38" t="n">
        <v>1</v>
      </c>
      <c r="AN49" s="38" t="n">
        <v>1</v>
      </c>
      <c r="AO49" s="38" t="n">
        <v>1</v>
      </c>
      <c r="AP49" s="38" t="n">
        <v>1</v>
      </c>
      <c r="AQ49" s="38" t="n">
        <v>0</v>
      </c>
      <c r="AR49" s="38" t="n">
        <v>0</v>
      </c>
      <c r="AS49" s="38" t="n">
        <v>0</v>
      </c>
      <c r="AT49" s="38" t="n">
        <v>0</v>
      </c>
      <c r="AU49" s="38" t="n">
        <v>0</v>
      </c>
      <c r="AV49" s="38" t="n">
        <v>0</v>
      </c>
      <c r="AW49" s="38" t="n">
        <v>0</v>
      </c>
      <c r="AX49" s="38" t="n">
        <v>0</v>
      </c>
      <c r="AY49" s="38" t="n">
        <v>0</v>
      </c>
      <c r="AZ49" s="38" t="n">
        <v>0</v>
      </c>
      <c r="BA49" s="38" t="n">
        <v>0</v>
      </c>
      <c r="BB49" s="38" t="n">
        <v>0</v>
      </c>
      <c r="BC49" s="38" t="n">
        <v>0</v>
      </c>
      <c r="BD49" s="38" t="n">
        <v>0</v>
      </c>
      <c r="BE49" s="38" t="n">
        <v>0</v>
      </c>
      <c r="BF49" s="38" t="n">
        <v>0</v>
      </c>
      <c r="BG49" s="38" t="n">
        <v>0</v>
      </c>
      <c r="BH49" s="38" t="n">
        <v>0</v>
      </c>
      <c r="BI49" s="38">
        <f>0+3</f>
        <v/>
      </c>
      <c r="BJ49" s="38" t="n">
        <v>2</v>
      </c>
      <c r="BK49" s="38" t="n">
        <v>2</v>
      </c>
      <c r="BL49" s="38" t="n">
        <v>0</v>
      </c>
      <c r="BM49" s="38" t="n">
        <v>0</v>
      </c>
      <c r="BN49" s="38" t="n">
        <v>0</v>
      </c>
      <c r="BO49" s="38" t="n">
        <v>0</v>
      </c>
      <c r="BP49" s="38" t="n">
        <v>0</v>
      </c>
      <c r="BQ49" s="38" t="n">
        <v>0</v>
      </c>
      <c r="BR49" s="38" t="n">
        <v>0</v>
      </c>
      <c r="BS49" s="38" t="n">
        <v>0</v>
      </c>
      <c r="BT49" s="38" t="n">
        <v>0</v>
      </c>
      <c r="BU49" s="38" t="n">
        <v>0</v>
      </c>
      <c r="BV49" s="38" t="n">
        <v>0</v>
      </c>
      <c r="BW49" s="38" t="n">
        <v>0</v>
      </c>
      <c r="BX49" s="38" t="n">
        <v>0</v>
      </c>
      <c r="BY49" s="38" t="n">
        <v>0</v>
      </c>
      <c r="BZ49" s="38" t="n"/>
      <c r="CA49" s="38" t="n"/>
      <c r="CB49" s="38" t="n"/>
      <c r="CC49" s="9" t="n"/>
      <c r="CD49" s="9" t="n"/>
      <c r="CE49" s="9" t="n"/>
      <c r="CF49" s="154">
        <f>CD49+IF(NOT(ISBLANK(OFFSET(CF49,0,6))),N(OFFSET(CF49,0,6)),N(OFFSET(CF49,0,7)))-CE49</f>
        <v/>
      </c>
      <c r="CH49" s="128" t="n"/>
      <c r="CI49" s="128" t="n"/>
      <c r="CK49" s="27" t="n"/>
      <c r="CL49" s="691" t="n">
        <v>0</v>
      </c>
      <c r="CM49" s="18" t="n">
        <v>0</v>
      </c>
      <c r="CN49" s="18" t="n">
        <v>0</v>
      </c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54" t="inlineStr">
        <is>
          <t>3 DE ER PBE</t>
        </is>
      </c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18" t="n"/>
      <c r="EB49" s="256" t="n"/>
      <c r="EC49" s="256" t="n"/>
      <c r="ED49" s="256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18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18" t="n"/>
      <c r="FE49" s="18" t="n"/>
      <c r="FF49" s="18" t="n"/>
      <c r="FG49" s="18" t="n"/>
      <c r="FH49" s="256" t="n"/>
      <c r="FI49" s="18" t="n"/>
      <c r="FJ49" s="18" t="n"/>
      <c r="FK49" s="256" t="n"/>
      <c r="FL49" s="18" t="n"/>
      <c r="FM49" s="18" t="n"/>
      <c r="FN49" s="18" t="n"/>
      <c r="FO49" s="18" t="n"/>
      <c r="FP49" s="18" t="n"/>
      <c r="FQ49" s="256" t="n"/>
      <c r="FR49" s="18" t="n"/>
      <c r="FS49" s="18" t="n"/>
      <c r="FT49" s="18" t="n"/>
      <c r="FU49" s="18" t="n"/>
      <c r="FV49" s="18" t="n"/>
      <c r="FW49" s="18" t="n"/>
      <c r="FX49" s="18" t="n"/>
      <c r="FY49" s="18" t="n"/>
      <c r="FZ49" s="256" t="n"/>
      <c r="GA49" s="18" t="n"/>
      <c r="GB49" s="18" t="n"/>
      <c r="GC49" s="18" t="n"/>
      <c r="GD49" s="256" t="n"/>
      <c r="GE49" s="18" t="n"/>
      <c r="GF49" s="18" t="n"/>
      <c r="GG49" s="18" t="n"/>
      <c r="GH49" s="18" t="n"/>
      <c r="GI49" s="18" t="n"/>
      <c r="GJ49" s="18" t="n"/>
      <c r="GK49" s="18" t="n"/>
      <c r="GL49" s="260" t="n"/>
      <c r="GM49" s="18" t="n"/>
      <c r="GN49" s="18" t="n"/>
      <c r="GO49" s="18" t="n"/>
      <c r="GP49" s="18" t="n"/>
      <c r="GQ49" s="18" t="n"/>
      <c r="GR49" s="18" t="n"/>
      <c r="GS49" s="18" t="n"/>
      <c r="GT49" s="18" t="n">
        <v>1</v>
      </c>
      <c r="GU49" s="18" t="n"/>
    </row>
    <row r="50" ht="18.75" customHeight="1">
      <c r="A50" s="33" t="inlineStr">
        <is>
          <t>ETIQUETA OUI</t>
        </is>
      </c>
      <c r="B50" s="9" t="n">
        <v>1000</v>
      </c>
      <c r="C50" s="662" t="n">
        <v>187.49</v>
      </c>
      <c r="D50" s="329" t="n">
        <v>1</v>
      </c>
      <c r="E50" s="2" t="n"/>
      <c r="F50" s="38" t="n">
        <v>1</v>
      </c>
      <c r="G50" s="38" t="n">
        <v>2</v>
      </c>
      <c r="H50" s="38" t="n">
        <v>2</v>
      </c>
      <c r="I50" s="38" t="n">
        <v>2</v>
      </c>
      <c r="J50" s="38" t="n">
        <v>2</v>
      </c>
      <c r="K50" s="38" t="n">
        <v>2</v>
      </c>
      <c r="L50" s="38" t="n">
        <v>2</v>
      </c>
      <c r="M50" s="38" t="n">
        <v>2</v>
      </c>
      <c r="N50" s="38" t="n">
        <v>2</v>
      </c>
      <c r="O50" s="38" t="n">
        <v>2</v>
      </c>
      <c r="P50" s="38" t="n">
        <v>2</v>
      </c>
      <c r="Q50" s="38" t="n">
        <v>2</v>
      </c>
      <c r="R50" s="38" t="n">
        <v>2</v>
      </c>
      <c r="S50" s="38" t="n">
        <v>2</v>
      </c>
      <c r="T50" s="38" t="n">
        <v>2</v>
      </c>
      <c r="U50" s="38" t="n">
        <v>2</v>
      </c>
      <c r="V50" s="38" t="n">
        <v>2</v>
      </c>
      <c r="W50" s="38" t="n">
        <v>2</v>
      </c>
      <c r="X50" s="38" t="n">
        <v>2</v>
      </c>
      <c r="Y50" s="38" t="n">
        <v>2</v>
      </c>
      <c r="Z50" s="38" t="n">
        <v>2</v>
      </c>
      <c r="AA50" s="38" t="n">
        <v>2</v>
      </c>
      <c r="AB50" s="38" t="n">
        <v>2</v>
      </c>
      <c r="AC50" s="38" t="n">
        <v>2</v>
      </c>
      <c r="AD50" s="38" t="n">
        <v>2</v>
      </c>
      <c r="AE50" s="38" t="n">
        <v>2</v>
      </c>
      <c r="AF50" s="38" t="n">
        <v>2</v>
      </c>
      <c r="AG50" s="38" t="n">
        <v>2</v>
      </c>
      <c r="AH50" s="38" t="n">
        <v>2</v>
      </c>
      <c r="AI50" s="38" t="n">
        <v>2</v>
      </c>
      <c r="AJ50" s="38" t="n">
        <v>2</v>
      </c>
      <c r="AK50" s="38" t="n">
        <v>2</v>
      </c>
      <c r="AL50" s="38" t="n">
        <v>2</v>
      </c>
      <c r="AM50" s="38" t="n">
        <v>2</v>
      </c>
      <c r="AN50" s="38" t="n">
        <v>2</v>
      </c>
      <c r="AO50" s="38" t="n">
        <v>2</v>
      </c>
      <c r="AP50" s="38" t="n">
        <v>2</v>
      </c>
      <c r="AQ50" s="38" t="n">
        <v>0</v>
      </c>
      <c r="AR50" s="38" t="n">
        <v>0</v>
      </c>
      <c r="AS50" s="38" t="n">
        <v>0</v>
      </c>
      <c r="AT50" s="38" t="n">
        <v>0</v>
      </c>
      <c r="AU50" s="38" t="n">
        <v>0</v>
      </c>
      <c r="AV50" s="38" t="n">
        <v>0</v>
      </c>
      <c r="AW50" s="38" t="n">
        <v>0</v>
      </c>
      <c r="AX50" s="38" t="n">
        <v>0</v>
      </c>
      <c r="AY50" s="38" t="n">
        <v>0</v>
      </c>
      <c r="AZ50" s="38" t="n">
        <v>0</v>
      </c>
      <c r="BA50" s="38" t="n">
        <v>0</v>
      </c>
      <c r="BB50" s="38" t="n">
        <v>0</v>
      </c>
      <c r="BC50" s="38" t="n">
        <v>0</v>
      </c>
      <c r="BD50" s="38" t="n">
        <v>0</v>
      </c>
      <c r="BE50" s="38" t="n">
        <v>0</v>
      </c>
      <c r="BF50" s="38" t="n">
        <v>0</v>
      </c>
      <c r="BG50" s="38" t="n">
        <v>0</v>
      </c>
      <c r="BH50" s="38" t="n">
        <v>0</v>
      </c>
      <c r="BI50" s="38">
        <f>0+2+2</f>
        <v/>
      </c>
      <c r="BJ50" s="38" t="n">
        <v>0</v>
      </c>
      <c r="BK50" s="38" t="n">
        <v>0</v>
      </c>
      <c r="BL50" s="38" t="n">
        <v>2</v>
      </c>
      <c r="BM50" s="38" t="n">
        <v>2</v>
      </c>
      <c r="BN50" s="38" t="n">
        <v>2</v>
      </c>
      <c r="BO50" s="38" t="n">
        <v>1</v>
      </c>
      <c r="BP50" s="38" t="n">
        <v>1</v>
      </c>
      <c r="BQ50" s="38" t="n">
        <v>1</v>
      </c>
      <c r="BR50" s="38" t="n">
        <v>1</v>
      </c>
      <c r="BS50" s="38" t="n">
        <v>1</v>
      </c>
      <c r="BT50" s="38" t="n">
        <v>1</v>
      </c>
      <c r="BU50" s="38" t="n">
        <v>1</v>
      </c>
      <c r="BV50" s="38" t="n">
        <v>1</v>
      </c>
      <c r="BW50" s="38" t="n">
        <v>1</v>
      </c>
      <c r="BX50" s="38" t="n">
        <v>1</v>
      </c>
      <c r="BY50" s="38" t="n">
        <v>1</v>
      </c>
      <c r="BZ50" s="38" t="n"/>
      <c r="CA50" s="38" t="n"/>
      <c r="CB50" s="38" t="n"/>
      <c r="CC50" s="9" t="n"/>
      <c r="CD50" s="9" t="n"/>
      <c r="CE50" s="9" t="n"/>
      <c r="CF50" s="154">
        <f>CD50+IF(NOT(ISBLANK(OFFSET(CF50,0,6))),N(OFFSET(CF50,0,6)),N(OFFSET(CF50,0,7)))-CE50</f>
        <v/>
      </c>
      <c r="CH50" s="128" t="n"/>
      <c r="CI50" s="128" t="n"/>
      <c r="CJ50" s="4" t="n"/>
      <c r="CK50" s="27" t="n"/>
      <c r="CL50" s="18" t="n">
        <v>0</v>
      </c>
      <c r="CM50" s="18" t="n">
        <v>0</v>
      </c>
      <c r="CN50" s="18" t="n">
        <v>0</v>
      </c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8" t="n"/>
      <c r="DA50" s="18" t="n"/>
      <c r="DB50" s="18" t="n"/>
      <c r="DC50" s="18" t="n"/>
      <c r="DD50" s="154" t="inlineStr">
        <is>
          <t>2 DE ER MG + 2 DE ER PBE</t>
        </is>
      </c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8" t="n"/>
      <c r="DS50" s="18" t="n"/>
      <c r="DT50" s="18" t="n"/>
      <c r="DU50" s="18" t="n"/>
      <c r="DV50" s="18" t="n"/>
      <c r="DW50" s="18" t="n"/>
      <c r="DX50" s="18" t="n"/>
      <c r="DY50" s="18" t="n"/>
      <c r="DZ50" s="18" t="n"/>
      <c r="EA50" s="18" t="n"/>
      <c r="EB50" s="256" t="n"/>
      <c r="EC50" s="256" t="n"/>
      <c r="ED50" s="256" t="n"/>
      <c r="EE50" s="18" t="n"/>
      <c r="EF50" s="18" t="n"/>
      <c r="EG50" s="18" t="n"/>
      <c r="EH50" s="18" t="n"/>
      <c r="EI50" s="18" t="n"/>
      <c r="EJ50" s="18" t="n"/>
      <c r="EK50" s="18" t="n"/>
      <c r="EL50" s="18" t="n"/>
      <c r="EM50" s="18" t="n"/>
      <c r="EN50" s="18" t="n"/>
      <c r="EO50" s="18" t="n"/>
      <c r="EP50" s="18" t="n"/>
      <c r="EQ50" s="18" t="n"/>
      <c r="ER50" s="18" t="n"/>
      <c r="ES50" s="18" t="n"/>
      <c r="ET50" s="18" t="n"/>
      <c r="EU50" s="18" t="n"/>
      <c r="EV50" s="18" t="n"/>
      <c r="EW50" s="18" t="n"/>
      <c r="EX50" s="18" t="n"/>
      <c r="EY50" s="18" t="n"/>
      <c r="EZ50" s="18" t="n"/>
      <c r="FA50" s="18" t="n"/>
      <c r="FB50" s="18" t="n"/>
      <c r="FC50" s="18" t="n"/>
      <c r="FD50" s="18" t="n"/>
      <c r="FE50" s="18" t="n"/>
      <c r="FF50" s="18" t="n"/>
      <c r="FG50" s="18" t="n"/>
      <c r="FH50" s="256" t="n"/>
      <c r="FI50" s="18" t="n"/>
      <c r="FJ50" s="18" t="n"/>
      <c r="FK50" s="256" t="n"/>
      <c r="FL50" s="18" t="n"/>
      <c r="FM50" s="18" t="n"/>
      <c r="FN50" s="18" t="n"/>
      <c r="FO50" s="18" t="n"/>
      <c r="FP50" s="18" t="n"/>
      <c r="FQ50" s="256" t="n"/>
      <c r="FR50" s="18" t="n"/>
      <c r="FS50" s="18" t="n"/>
      <c r="FT50" s="18" t="n"/>
      <c r="FU50" s="18" t="n"/>
      <c r="FV50" s="18" t="n"/>
      <c r="FW50" s="18" t="n"/>
      <c r="FX50" s="18" t="n"/>
      <c r="FY50" s="18" t="n"/>
      <c r="FZ50" s="256" t="n"/>
      <c r="GA50" s="18" t="n"/>
      <c r="GB50" s="18" t="n"/>
      <c r="GC50" s="18" t="n"/>
      <c r="GD50" s="256" t="n"/>
      <c r="GE50" s="18" t="n"/>
      <c r="GF50" s="18" t="n"/>
      <c r="GG50" s="18" t="n"/>
      <c r="GH50" s="18" t="n"/>
      <c r="GI50" s="18" t="n"/>
      <c r="GJ50" s="18" t="n"/>
      <c r="GK50" s="18" t="n"/>
      <c r="GL50" s="260" t="n"/>
      <c r="GM50" s="18" t="n"/>
      <c r="GN50" s="18" t="n"/>
      <c r="GO50" s="18" t="n"/>
      <c r="GP50" s="18" t="n"/>
      <c r="GQ50" s="18" t="n"/>
      <c r="GR50" s="18" t="n"/>
      <c r="GS50" s="18" t="n"/>
      <c r="GT50" s="18" t="n"/>
      <c r="GU50" s="18" t="n"/>
    </row>
    <row r="51" ht="18.75" customHeight="1">
      <c r="A51" s="33" t="inlineStr">
        <is>
          <t>LÂMINA OLFATIVA OUI</t>
        </is>
      </c>
      <c r="B51" s="9" t="n">
        <v>3000</v>
      </c>
      <c r="C51" s="662" t="n">
        <v>231.61</v>
      </c>
      <c r="D51" s="329" t="n">
        <v>1</v>
      </c>
      <c r="E51" s="2" t="n"/>
      <c r="F51" s="38" t="n">
        <v>10</v>
      </c>
      <c r="G51" s="38" t="n">
        <v>10</v>
      </c>
      <c r="H51" s="38" t="n">
        <v>10</v>
      </c>
      <c r="I51" s="38" t="n">
        <v>10</v>
      </c>
      <c r="J51" s="38" t="n">
        <v>10</v>
      </c>
      <c r="K51" s="38" t="n">
        <v>10</v>
      </c>
      <c r="L51" s="38" t="n">
        <v>10</v>
      </c>
      <c r="M51" s="38" t="n">
        <v>10</v>
      </c>
      <c r="N51" s="38" t="n">
        <v>10</v>
      </c>
      <c r="O51" s="38" t="n">
        <v>10</v>
      </c>
      <c r="P51" s="38" t="n">
        <v>10</v>
      </c>
      <c r="Q51" s="38" t="n">
        <v>10</v>
      </c>
      <c r="R51" s="38" t="n">
        <v>10</v>
      </c>
      <c r="S51" s="38" t="n">
        <v>10</v>
      </c>
      <c r="T51" s="38" t="n">
        <v>10</v>
      </c>
      <c r="U51" s="38" t="n">
        <v>10</v>
      </c>
      <c r="V51" s="38" t="n">
        <v>10</v>
      </c>
      <c r="W51" s="38" t="n">
        <v>10</v>
      </c>
      <c r="X51" s="38" t="n">
        <v>10</v>
      </c>
      <c r="Y51" s="38" t="n">
        <v>10</v>
      </c>
      <c r="Z51" s="38" t="n">
        <v>10</v>
      </c>
      <c r="AA51" s="38" t="n">
        <v>10</v>
      </c>
      <c r="AB51" s="38" t="n">
        <v>10</v>
      </c>
      <c r="AC51" s="38" t="n">
        <v>10</v>
      </c>
      <c r="AD51" s="38" t="n">
        <v>10</v>
      </c>
      <c r="AE51" s="38" t="n">
        <v>10</v>
      </c>
      <c r="AF51" s="38" t="n">
        <v>10</v>
      </c>
      <c r="AG51" s="38" t="n">
        <v>10</v>
      </c>
      <c r="AH51" s="38" t="n">
        <v>10</v>
      </c>
      <c r="AI51" s="38" t="n">
        <v>10</v>
      </c>
      <c r="AJ51" s="38" t="n">
        <v>10</v>
      </c>
      <c r="AK51" s="38" t="n">
        <v>10</v>
      </c>
      <c r="AL51" s="38" t="n">
        <v>10</v>
      </c>
      <c r="AM51" s="38" t="n">
        <v>10</v>
      </c>
      <c r="AN51" s="38" t="n">
        <v>10</v>
      </c>
      <c r="AO51" s="38" t="n">
        <v>10</v>
      </c>
      <c r="AP51" s="38" t="n">
        <v>10</v>
      </c>
      <c r="AQ51" s="38" t="n">
        <v>10</v>
      </c>
      <c r="AR51" s="38" t="n">
        <v>10</v>
      </c>
      <c r="AS51" s="38" t="n">
        <v>10</v>
      </c>
      <c r="AT51" s="38" t="n">
        <v>10</v>
      </c>
      <c r="AU51" s="38" t="n">
        <v>10</v>
      </c>
      <c r="AV51" s="38" t="n">
        <v>10</v>
      </c>
      <c r="AW51" s="38" t="n">
        <v>10</v>
      </c>
      <c r="AX51" s="38" t="n">
        <v>10</v>
      </c>
      <c r="AY51" s="38" t="n">
        <v>10</v>
      </c>
      <c r="AZ51" s="38" t="n">
        <v>10</v>
      </c>
      <c r="BA51" s="38" t="n">
        <v>10</v>
      </c>
      <c r="BB51" s="38" t="n">
        <v>5</v>
      </c>
      <c r="BC51" s="38" t="n">
        <v>5</v>
      </c>
      <c r="BD51" s="38" t="n">
        <v>5</v>
      </c>
      <c r="BE51" s="38" t="n">
        <v>5</v>
      </c>
      <c r="BF51" s="38" t="n">
        <v>5</v>
      </c>
      <c r="BG51" s="38" t="n">
        <v>5</v>
      </c>
      <c r="BH51" s="38" t="n">
        <v>5</v>
      </c>
      <c r="BI51" s="38">
        <f>5+2+5</f>
        <v/>
      </c>
      <c r="BJ51" s="38" t="n">
        <v>10</v>
      </c>
      <c r="BK51" s="38" t="n">
        <v>10</v>
      </c>
      <c r="BL51" s="38" t="n">
        <v>10</v>
      </c>
      <c r="BM51" s="38" t="n">
        <v>10</v>
      </c>
      <c r="BN51" s="38" t="n">
        <v>10</v>
      </c>
      <c r="BO51" s="38" t="n">
        <v>12</v>
      </c>
      <c r="BP51" s="38" t="n">
        <v>12</v>
      </c>
      <c r="BQ51" s="38" t="n">
        <v>12</v>
      </c>
      <c r="BR51" s="38" t="n">
        <v>12</v>
      </c>
      <c r="BS51" s="38" t="n">
        <v>9</v>
      </c>
      <c r="BT51" s="38" t="n">
        <v>12</v>
      </c>
      <c r="BU51" s="38" t="n">
        <v>12</v>
      </c>
      <c r="BV51" s="38" t="n">
        <v>12</v>
      </c>
      <c r="BW51" s="38" t="n">
        <v>12</v>
      </c>
      <c r="BX51" s="38" t="n">
        <v>11</v>
      </c>
      <c r="BY51" s="38" t="n">
        <v>10</v>
      </c>
      <c r="BZ51" s="38" t="n"/>
      <c r="CA51" s="38" t="n"/>
      <c r="CB51" s="38" t="n"/>
      <c r="CC51" s="9" t="n"/>
      <c r="CD51" s="9" t="n"/>
      <c r="CE51" s="9" t="n"/>
      <c r="CF51" s="154">
        <f>CD51+IF(NOT(ISBLANK(OFFSET(CF51,0,6))),N(OFFSET(CF51,0,6)),N(OFFSET(CF51,0,7)))-CE51</f>
        <v/>
      </c>
      <c r="CH51" s="128" t="n"/>
      <c r="CI51" s="128" t="n"/>
      <c r="CJ51" s="4" t="n"/>
      <c r="CK51" s="27" t="n"/>
      <c r="CL51" s="18" t="n">
        <v>0</v>
      </c>
      <c r="CM51" s="18" t="n">
        <v>0</v>
      </c>
      <c r="CN51" s="18" t="n">
        <v>0</v>
      </c>
      <c r="CO51" s="18" t="n"/>
      <c r="CP51" s="18" t="n"/>
      <c r="CQ51" s="18" t="n"/>
      <c r="CR51" s="18" t="n"/>
      <c r="CS51" s="18" t="n"/>
      <c r="CT51" s="18" t="n"/>
      <c r="CU51" s="18" t="n"/>
      <c r="CV51" s="18" t="n"/>
      <c r="CW51" s="18" t="n"/>
      <c r="CX51" s="18" t="n"/>
      <c r="CY51" s="18" t="n"/>
      <c r="CZ51" s="18" t="n"/>
      <c r="DA51" s="18" t="n"/>
      <c r="DB51" s="18" t="n"/>
      <c r="DC51" s="18" t="n"/>
      <c r="DD51" s="154" t="inlineStr">
        <is>
          <t>2 DE ER MG + 5 DE ER PBE</t>
        </is>
      </c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18" t="n"/>
      <c r="DN51" s="18" t="n"/>
      <c r="DO51" s="18" t="n"/>
      <c r="DP51" s="18" t="n"/>
      <c r="DQ51" s="18" t="n"/>
      <c r="DR51" s="18" t="n"/>
      <c r="DS51" s="18" t="n"/>
      <c r="DT51" s="18" t="n"/>
      <c r="DU51" s="18" t="n"/>
      <c r="DV51" s="18" t="n"/>
      <c r="DW51" s="18" t="n"/>
      <c r="DX51" s="18" t="n"/>
      <c r="DY51" s="18" t="n"/>
      <c r="DZ51" s="18" t="n"/>
      <c r="EA51" s="18" t="n"/>
      <c r="EB51" s="256" t="n"/>
      <c r="EC51" s="256" t="n"/>
      <c r="ED51" s="256" t="n"/>
      <c r="EE51" s="18" t="n"/>
      <c r="EF51" s="18" t="n"/>
      <c r="EG51" s="18" t="n"/>
      <c r="EH51" s="18" t="n"/>
      <c r="EI51" s="18" t="n"/>
      <c r="EJ51" s="18" t="n"/>
      <c r="EK51" s="18" t="n"/>
      <c r="EL51" s="18" t="n"/>
      <c r="EM51" s="18" t="n"/>
      <c r="EN51" s="18" t="n"/>
      <c r="EO51" s="18" t="n"/>
      <c r="EP51" s="18" t="n"/>
      <c r="EQ51" s="18" t="n"/>
      <c r="ER51" s="18" t="n"/>
      <c r="ES51" s="18" t="n"/>
      <c r="ET51" s="18" t="n"/>
      <c r="EU51" s="18" t="n"/>
      <c r="EV51" s="18" t="n"/>
      <c r="EW51" s="18" t="n"/>
      <c r="EX51" s="18" t="n"/>
      <c r="EY51" s="18" t="n"/>
      <c r="EZ51" s="18" t="n"/>
      <c r="FA51" s="18" t="n"/>
      <c r="FB51" s="18" t="n"/>
      <c r="FC51" s="18" t="n"/>
      <c r="FD51" s="18" t="n"/>
      <c r="FE51" s="18" t="n"/>
      <c r="FF51" s="18" t="n"/>
      <c r="FG51" s="18" t="n"/>
      <c r="FH51" s="256" t="n"/>
      <c r="FI51" s="18" t="n"/>
      <c r="FJ51" s="18" t="n"/>
      <c r="FK51" s="256" t="n"/>
      <c r="FL51" s="18" t="n"/>
      <c r="FM51" s="18" t="n"/>
      <c r="FN51" s="18" t="n"/>
      <c r="FO51" s="18" t="n"/>
      <c r="FP51" s="18" t="n"/>
      <c r="FQ51" s="256" t="n"/>
      <c r="FR51" s="18" t="n"/>
      <c r="FS51" s="18" t="n"/>
      <c r="FT51" s="18" t="n"/>
      <c r="FU51" s="18" t="n"/>
      <c r="FV51" s="18" t="n"/>
      <c r="FW51" s="18" t="n"/>
      <c r="FX51" s="18" t="n"/>
      <c r="FY51" s="18" t="n"/>
      <c r="FZ51" s="256" t="n"/>
      <c r="GA51" s="18" t="n"/>
      <c r="GB51" s="18" t="n"/>
      <c r="GC51" s="18" t="n"/>
      <c r="GD51" s="256" t="n"/>
      <c r="GE51" s="18" t="n"/>
      <c r="GF51" s="18" t="n"/>
      <c r="GG51" s="239" t="inlineStr">
        <is>
          <t>400 DE CD</t>
        </is>
      </c>
      <c r="GH51" s="18" t="n"/>
      <c r="GI51" s="18" t="n"/>
      <c r="GJ51" s="18" t="n"/>
      <c r="GK51" s="18" t="n"/>
      <c r="GL51" s="18" t="n"/>
      <c r="GM51" s="18" t="n"/>
      <c r="GN51" s="18" t="n"/>
      <c r="GO51" s="239" t="inlineStr">
        <is>
          <t>200 DE CD</t>
        </is>
      </c>
      <c r="GP51" s="18" t="n"/>
      <c r="GQ51" s="18" t="n"/>
      <c r="GR51" s="18" t="n">
        <v>200</v>
      </c>
      <c r="GS51" s="18" t="n"/>
      <c r="GT51" s="18" t="n"/>
      <c r="GU51" s="18" t="n"/>
    </row>
    <row r="52" ht="18.75" customHeight="1">
      <c r="A52" s="43" t="inlineStr">
        <is>
          <t>SACO M OUI (BRINDE)</t>
        </is>
      </c>
      <c r="B52" s="36" t="n">
        <v>200</v>
      </c>
      <c r="C52" s="662" t="n">
        <v>258.52</v>
      </c>
      <c r="D52" s="329" t="n">
        <v>50</v>
      </c>
      <c r="F52" s="38" t="n">
        <v>200</v>
      </c>
      <c r="G52" s="38">
        <f>200+GO51</f>
        <v/>
      </c>
      <c r="H52" s="38">
        <f>400+200</f>
        <v/>
      </c>
      <c r="I52" s="38" t="n">
        <v>600</v>
      </c>
      <c r="J52" s="38" t="n">
        <v>600</v>
      </c>
      <c r="K52" s="38" t="n">
        <v>600</v>
      </c>
      <c r="L52" s="38" t="n">
        <v>600</v>
      </c>
      <c r="M52" s="38">
        <f>600+400</f>
        <v/>
      </c>
      <c r="N52" s="38" t="n">
        <v>1000</v>
      </c>
      <c r="O52" s="38" t="n">
        <v>1000</v>
      </c>
      <c r="P52" s="38" t="n">
        <v>1000</v>
      </c>
      <c r="Q52" s="38" t="n">
        <v>1000</v>
      </c>
      <c r="R52" s="38" t="n">
        <v>600</v>
      </c>
      <c r="S52" s="38" t="n">
        <v>600</v>
      </c>
      <c r="T52" s="38" t="n">
        <v>600</v>
      </c>
      <c r="U52" s="38" t="n">
        <v>600</v>
      </c>
      <c r="V52" s="38" t="n">
        <v>800</v>
      </c>
      <c r="W52" s="38" t="n">
        <v>800</v>
      </c>
      <c r="X52" s="38" t="n">
        <v>800</v>
      </c>
      <c r="Y52" s="38" t="n">
        <v>800</v>
      </c>
      <c r="Z52" s="38" t="n">
        <v>800</v>
      </c>
      <c r="AA52" s="38" t="n">
        <v>800</v>
      </c>
      <c r="AB52" s="38" t="n">
        <v>800</v>
      </c>
      <c r="AC52" s="38" t="n">
        <v>800</v>
      </c>
      <c r="AD52" s="38" t="n">
        <v>800</v>
      </c>
      <c r="AE52" s="38" t="n">
        <v>600</v>
      </c>
      <c r="AF52" s="38" t="n">
        <v>600</v>
      </c>
      <c r="AG52" s="38" t="n">
        <v>600</v>
      </c>
      <c r="AH52" s="38" t="n">
        <v>600</v>
      </c>
      <c r="AI52" s="38" t="n">
        <v>600</v>
      </c>
      <c r="AJ52" s="38" t="n">
        <v>400</v>
      </c>
      <c r="AK52" s="38" t="n">
        <v>400</v>
      </c>
      <c r="AL52" s="38" t="n">
        <v>400</v>
      </c>
      <c r="AM52" s="38" t="n">
        <v>400</v>
      </c>
      <c r="AN52" s="38" t="n">
        <v>400</v>
      </c>
      <c r="AO52" s="38" t="n">
        <v>400</v>
      </c>
      <c r="AP52" s="38" t="n">
        <v>400</v>
      </c>
      <c r="AQ52" s="38" t="n">
        <v>200</v>
      </c>
      <c r="AR52" s="38" t="n">
        <v>200</v>
      </c>
      <c r="AS52" s="38" t="n">
        <v>200</v>
      </c>
      <c r="AT52" s="38" t="n">
        <v>200</v>
      </c>
      <c r="AU52" s="38" t="n">
        <v>200</v>
      </c>
      <c r="AV52" s="38" t="n">
        <v>200</v>
      </c>
      <c r="AW52" s="38" t="n">
        <v>200</v>
      </c>
      <c r="AX52" s="38" t="n">
        <v>200</v>
      </c>
      <c r="AY52" s="38" t="n">
        <v>200</v>
      </c>
      <c r="AZ52" s="38" t="n">
        <v>200</v>
      </c>
      <c r="BA52" s="38" t="n">
        <v>200</v>
      </c>
      <c r="BB52" s="38" t="n">
        <v>200</v>
      </c>
      <c r="BC52" s="38" t="n">
        <v>200</v>
      </c>
      <c r="BD52" s="38" t="n">
        <v>200</v>
      </c>
      <c r="BE52" s="38" t="n">
        <v>200</v>
      </c>
      <c r="BF52" s="38" t="n">
        <v>200</v>
      </c>
      <c r="BG52" s="38" t="n">
        <v>200</v>
      </c>
      <c r="BH52" s="38" t="n">
        <v>200</v>
      </c>
      <c r="BI52" s="38" t="n">
        <v>0</v>
      </c>
      <c r="BJ52" s="38" t="n">
        <v>0</v>
      </c>
      <c r="BK52" s="38" t="n">
        <v>0</v>
      </c>
      <c r="BL52" s="38" t="n">
        <v>0</v>
      </c>
      <c r="BM52" s="38" t="n">
        <v>0</v>
      </c>
      <c r="BN52" s="38">
        <f>0+200</f>
        <v/>
      </c>
      <c r="BO52" s="38" t="n">
        <v>0</v>
      </c>
      <c r="BP52" s="38" t="n">
        <v>0</v>
      </c>
      <c r="BQ52" s="38">
        <f>0+CP52</f>
        <v/>
      </c>
      <c r="BR52" s="38" t="n">
        <v>200</v>
      </c>
      <c r="BS52" s="38">
        <f>200+CM52</f>
        <v/>
      </c>
      <c r="BT52" s="38" t="n">
        <v>0</v>
      </c>
      <c r="BU52" s="38" t="n">
        <v>0</v>
      </c>
      <c r="BV52" s="38" t="n">
        <v>0</v>
      </c>
      <c r="BW52" s="38" t="n">
        <v>0</v>
      </c>
      <c r="BX52" s="38" t="n">
        <v>0</v>
      </c>
      <c r="BY52" s="38">
        <f>0+CK52</f>
        <v/>
      </c>
      <c r="BZ52" s="38" t="n"/>
      <c r="CA52" s="38" t="n"/>
      <c r="CB52" s="38" t="n"/>
      <c r="CC52" s="9" t="n"/>
      <c r="CD52" s="9" t="n"/>
      <c r="CE52" s="9" t="n"/>
      <c r="CF52" s="154">
        <f>CD52+IF(NOT(ISBLANK(OFFSET(CF52,0,6))),N(OFFSET(CF52,0,6)),N(OFFSET(CF52,0,7)))-CE52</f>
        <v/>
      </c>
      <c r="CH52" s="128" t="n"/>
      <c r="CI52" s="128" t="n"/>
      <c r="CK52" s="27" t="n"/>
      <c r="CL52" s="691" t="n">
        <v>0</v>
      </c>
      <c r="CM52" s="18" t="n">
        <v>0</v>
      </c>
      <c r="CN52" s="18" t="n">
        <v>200</v>
      </c>
      <c r="CO52" s="18" t="n"/>
      <c r="CP52" s="18" t="n">
        <v>200</v>
      </c>
      <c r="CQ52" s="18" t="n"/>
      <c r="CR52" s="18" t="n"/>
      <c r="CS52" s="18" t="n">
        <v>200</v>
      </c>
      <c r="CT52" s="18" t="n"/>
      <c r="CU52" s="18" t="n"/>
      <c r="CV52" s="18" t="n"/>
      <c r="CW52" s="18" t="n"/>
      <c r="CX52" s="154" t="inlineStr">
        <is>
          <t>200 DE CDP</t>
        </is>
      </c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18" t="n"/>
      <c r="DM52" s="18" t="n"/>
      <c r="DN52" s="18" t="n"/>
      <c r="DO52" s="18" t="n"/>
      <c r="DP52" s="18" t="n"/>
      <c r="DQ52" s="18" t="n"/>
      <c r="DR52" s="18" t="n"/>
      <c r="DS52" s="18" t="n"/>
      <c r="DT52" s="18" t="n"/>
      <c r="DU52" s="18" t="n"/>
      <c r="DV52" s="18" t="n"/>
      <c r="DW52" s="18" t="n"/>
      <c r="DX52" s="18" t="n"/>
      <c r="DY52" s="238" t="n"/>
      <c r="DZ52" s="18" t="n"/>
      <c r="EA52" s="18" t="n"/>
      <c r="EB52" s="256" t="n"/>
      <c r="EC52" s="256" t="n"/>
      <c r="ED52" s="256" t="n"/>
      <c r="FH52" s="723" t="n"/>
      <c r="FK52" s="723" t="n"/>
      <c r="FQ52" s="723" t="n"/>
      <c r="FZ52" s="723" t="n"/>
      <c r="GD52" s="723" t="n"/>
      <c r="GL52" s="17" t="n"/>
    </row>
    <row r="53" ht="18.75" customHeight="1">
      <c r="A53" s="6" t="n"/>
      <c r="CH53" s="69" t="n"/>
      <c r="CI53" s="69" t="n"/>
      <c r="EE53" s="654" t="n">
        <v>45903</v>
      </c>
      <c r="EF53" s="654" t="n">
        <v>45909</v>
      </c>
      <c r="EG53" s="654" t="n">
        <v>45903</v>
      </c>
      <c r="EH53" s="654" t="n">
        <v>45903</v>
      </c>
      <c r="EI53" s="654" t="n">
        <v>45895</v>
      </c>
      <c r="EJ53" s="679" t="n">
        <v>45896</v>
      </c>
      <c r="EK53" s="654" t="n">
        <v>45888</v>
      </c>
      <c r="EL53" s="654" t="n">
        <v>45881</v>
      </c>
      <c r="EM53" s="655" t="n">
        <v>45882</v>
      </c>
      <c r="EN53" s="654" t="n">
        <v>45874</v>
      </c>
      <c r="EO53" s="654" t="n">
        <v>45867</v>
      </c>
      <c r="EP53" s="654" t="n">
        <v>45860</v>
      </c>
      <c r="EQ53" s="654" t="n">
        <v>45853</v>
      </c>
      <c r="ER53" s="655" t="n">
        <v>45860</v>
      </c>
      <c r="ES53" s="681" t="n">
        <v>45855</v>
      </c>
      <c r="ET53" s="654" t="n">
        <v>45848</v>
      </c>
      <c r="EU53" s="681" t="n">
        <v>45853</v>
      </c>
      <c r="EV53" s="654" t="n">
        <v>45839</v>
      </c>
      <c r="EW53" s="681" t="n">
        <v>45791</v>
      </c>
      <c r="EX53" s="654" t="n">
        <v>45832</v>
      </c>
      <c r="EY53" s="654" t="n">
        <v>45825</v>
      </c>
      <c r="EZ53" s="655" t="n">
        <v>45826</v>
      </c>
      <c r="FA53" s="654" t="n">
        <v>45819</v>
      </c>
      <c r="FB53" s="655" t="n">
        <v>45819</v>
      </c>
      <c r="FC53" s="655" t="n">
        <v>45818</v>
      </c>
      <c r="FD53" s="655" t="n">
        <v>45807</v>
      </c>
      <c r="FE53" s="654" t="n">
        <v>45790</v>
      </c>
      <c r="FF53" s="654" t="n">
        <v>45798</v>
      </c>
      <c r="FG53" s="690" t="n">
        <v>45800</v>
      </c>
      <c r="FH53" s="650" t="n">
        <v>45799</v>
      </c>
      <c r="FI53" s="655" t="n">
        <v>45799</v>
      </c>
      <c r="FJ53" s="690" t="n">
        <v>45799</v>
      </c>
      <c r="FK53" s="650" t="n">
        <v>45798</v>
      </c>
      <c r="FL53" s="655" t="n">
        <v>45798</v>
      </c>
      <c r="FM53" s="655" t="n">
        <v>45797</v>
      </c>
      <c r="FN53" s="655" t="n">
        <v>45794</v>
      </c>
      <c r="FO53" s="654" t="n">
        <v>45790</v>
      </c>
      <c r="FP53" s="683" t="n">
        <v>45735</v>
      </c>
      <c r="FQ53" s="650" t="n">
        <v>45786</v>
      </c>
      <c r="FR53" s="654" t="n">
        <v>45783</v>
      </c>
      <c r="FS53" s="654" t="n">
        <v>45770</v>
      </c>
      <c r="FT53" s="654" t="n">
        <v>45775</v>
      </c>
      <c r="FU53" s="654" t="n">
        <v>45770</v>
      </c>
      <c r="FV53" s="655" t="n">
        <v>45775</v>
      </c>
      <c r="FW53" s="654" t="n">
        <v>45756</v>
      </c>
      <c r="FX53" s="654" t="n">
        <v>45749</v>
      </c>
      <c r="FY53" s="654" t="n">
        <v>45743</v>
      </c>
      <c r="FZ53" s="650" t="n">
        <v>45740</v>
      </c>
      <c r="GA53" s="654" t="n">
        <v>45728</v>
      </c>
      <c r="GB53" s="654" t="n">
        <v>45714</v>
      </c>
      <c r="GC53" s="654" t="n">
        <v>45706</v>
      </c>
      <c r="GD53" s="650" t="n">
        <v>45700</v>
      </c>
      <c r="GE53" s="654" t="n">
        <v>45706</v>
      </c>
      <c r="GF53" s="654" t="n">
        <v>45699</v>
      </c>
      <c r="GG53" s="655" t="n">
        <v>45706</v>
      </c>
      <c r="GH53" s="654" t="n">
        <v>45693</v>
      </c>
      <c r="GI53" s="654" t="n">
        <v>45693</v>
      </c>
      <c r="GJ53" s="654" t="n">
        <v>45685</v>
      </c>
      <c r="GK53" s="654" t="n">
        <v>45685</v>
      </c>
      <c r="GL53" s="712" t="n">
        <v>45692</v>
      </c>
      <c r="GM53" s="655" t="n">
        <v>45691</v>
      </c>
      <c r="GN53" s="655" t="n">
        <v>45681</v>
      </c>
      <c r="GO53" s="655" t="n">
        <v>45672</v>
      </c>
      <c r="GP53" s="654" t="n">
        <v>45664</v>
      </c>
      <c r="GQ53" s="654" t="n">
        <v>45660</v>
      </c>
      <c r="GR53" s="654" t="n">
        <v>45660</v>
      </c>
      <c r="GS53" s="654" t="n">
        <v>46017</v>
      </c>
      <c r="GT53" s="654" t="n">
        <v>45643</v>
      </c>
      <c r="GU53" s="654" t="n">
        <v>45638</v>
      </c>
    </row>
    <row r="54" ht="18.75" customHeight="1">
      <c r="A54" s="586" t="inlineStr">
        <is>
          <t>CAIXAS OUI</t>
        </is>
      </c>
      <c r="B54" s="133" t="inlineStr">
        <is>
          <t>PC</t>
        </is>
      </c>
      <c r="C54" s="133" t="inlineStr">
        <is>
          <t>R$</t>
        </is>
      </c>
      <c r="D54" s="133" t="n"/>
      <c r="F54" s="650" t="n">
        <v>46021</v>
      </c>
      <c r="G54" s="650" t="n">
        <v>45663</v>
      </c>
      <c r="H54" s="650" t="n">
        <v>45670</v>
      </c>
      <c r="I54" s="650" t="n">
        <v>45677</v>
      </c>
      <c r="J54" s="650" t="n">
        <v>45684</v>
      </c>
      <c r="K54" s="650" t="n">
        <v>45691</v>
      </c>
      <c r="L54" s="650" t="n">
        <v>45698</v>
      </c>
      <c r="M54" s="650" t="n">
        <v>45705</v>
      </c>
      <c r="N54" s="650" t="n">
        <v>45712</v>
      </c>
      <c r="O54" s="650" t="n">
        <v>45719</v>
      </c>
      <c r="P54" s="650" t="n">
        <v>45726</v>
      </c>
      <c r="Q54" s="650" t="n">
        <v>45733</v>
      </c>
      <c r="R54" s="650" t="n">
        <v>45740</v>
      </c>
      <c r="S54" s="650" t="n">
        <v>45747</v>
      </c>
      <c r="T54" s="650" t="n">
        <v>45754</v>
      </c>
      <c r="U54" s="650" t="n">
        <v>45761</v>
      </c>
      <c r="V54" s="650" t="n">
        <v>45768</v>
      </c>
      <c r="W54" s="650" t="n">
        <v>45775</v>
      </c>
      <c r="X54" s="650" t="n">
        <v>45782</v>
      </c>
      <c r="Y54" s="650" t="n">
        <v>45789</v>
      </c>
      <c r="Z54" s="650" t="n">
        <v>45796</v>
      </c>
      <c r="AA54" s="650" t="n">
        <v>45803</v>
      </c>
      <c r="AB54" s="650" t="n">
        <v>45810</v>
      </c>
      <c r="AC54" s="650" t="n">
        <v>45817</v>
      </c>
      <c r="AD54" s="650" t="n">
        <v>45824</v>
      </c>
      <c r="AE54" s="650" t="n">
        <v>45831</v>
      </c>
      <c r="AF54" s="650" t="n">
        <v>45838</v>
      </c>
      <c r="AG54" s="650" t="n">
        <v>45845</v>
      </c>
      <c r="AH54" s="650" t="n">
        <v>45852</v>
      </c>
      <c r="AI54" s="650" t="n">
        <v>45859</v>
      </c>
      <c r="AJ54" s="650" t="n">
        <v>45866</v>
      </c>
      <c r="AK54" s="650" t="n">
        <v>45873</v>
      </c>
      <c r="AL54" s="650" t="n">
        <v>45880</v>
      </c>
      <c r="AM54" s="650" t="n">
        <v>45887</v>
      </c>
      <c r="AN54" s="650" t="n">
        <v>45894</v>
      </c>
      <c r="AO54" s="650" t="n">
        <v>45901</v>
      </c>
      <c r="AP54" s="650" t="n">
        <v>45908</v>
      </c>
      <c r="AQ54" s="650" t="n">
        <v>45915</v>
      </c>
      <c r="AR54" s="650" t="n">
        <v>45922</v>
      </c>
      <c r="AS54" s="650" t="n">
        <v>45929</v>
      </c>
      <c r="AT54" s="650" t="n">
        <v>45936</v>
      </c>
      <c r="AU54" s="650" t="n">
        <v>45943</v>
      </c>
      <c r="AV54" s="650" t="n">
        <v>45950</v>
      </c>
      <c r="AW54" s="650" t="n">
        <v>45957</v>
      </c>
      <c r="AX54" s="650" t="n">
        <v>45964</v>
      </c>
      <c r="AY54" s="650" t="n">
        <v>45971</v>
      </c>
      <c r="AZ54" s="650" t="n">
        <v>45978</v>
      </c>
      <c r="BA54" s="650" t="n">
        <v>45985</v>
      </c>
      <c r="BB54" s="650" t="n">
        <v>45992</v>
      </c>
      <c r="BC54" s="650" t="n">
        <v>45999</v>
      </c>
      <c r="BD54" s="650" t="n">
        <v>46006</v>
      </c>
      <c r="BE54" s="650" t="n">
        <v>46013</v>
      </c>
      <c r="BF54" s="650" t="n">
        <v>46020</v>
      </c>
      <c r="BG54" s="650" t="n">
        <v>46027</v>
      </c>
      <c r="BH54" s="650" t="n">
        <v>46034</v>
      </c>
      <c r="BI54" s="650" t="n">
        <v>46041</v>
      </c>
      <c r="BJ54" s="650" t="n">
        <v>46048</v>
      </c>
      <c r="BK54" s="650" t="n">
        <v>46055</v>
      </c>
      <c r="BL54" s="650" t="n">
        <v>46062</v>
      </c>
      <c r="BM54" s="650" t="n">
        <v>46069</v>
      </c>
      <c r="BN54" s="650" t="n">
        <v>46076</v>
      </c>
      <c r="BO54" s="650" t="n">
        <v>46083</v>
      </c>
      <c r="BP54" s="650" t="n">
        <v>46090</v>
      </c>
      <c r="BQ54" s="650" t="n">
        <v>46097</v>
      </c>
      <c r="BR54" s="650" t="n">
        <v>46104</v>
      </c>
      <c r="BS54" s="650" t="n">
        <v>46111</v>
      </c>
      <c r="BT54" s="650" t="n">
        <v>46118</v>
      </c>
      <c r="BU54" s="650" t="n">
        <v>46125</v>
      </c>
      <c r="BV54" s="650" t="n">
        <v>46132</v>
      </c>
      <c r="BW54" s="650" t="n">
        <v>46139</v>
      </c>
      <c r="BX54" s="650" t="n">
        <v>46146</v>
      </c>
      <c r="BY54" s="650" t="n">
        <v>46154</v>
      </c>
      <c r="BZ54" s="650" t="n">
        <v>46160</v>
      </c>
      <c r="CA54" s="650" t="n">
        <v>46160</v>
      </c>
      <c r="CB54" s="650" t="n">
        <v>46160</v>
      </c>
      <c r="CC54" s="651" t="n">
        <v>46161.48004043981</v>
      </c>
      <c r="CD54" s="651" t="n">
        <v>46161.48071866898</v>
      </c>
      <c r="CE54" s="651" t="n">
        <v>46161.48287732893</v>
      </c>
      <c r="CF54" s="652" t="inlineStr">
        <is>
          <t>USOU</t>
        </is>
      </c>
      <c r="CH54" s="413" t="inlineStr">
        <is>
          <t>TRANSFERÊNCIA</t>
        </is>
      </c>
      <c r="CI54" s="35" t="inlineStr">
        <is>
          <t>Pend.</t>
        </is>
      </c>
      <c r="CK54" s="12" t="inlineStr">
        <is>
          <t>Novo Pedido</t>
        </is>
      </c>
      <c r="CL54" s="708" t="n">
        <v>46161.48287614618</v>
      </c>
      <c r="CM54" s="654" t="n"/>
      <c r="CN54" s="654" t="n">
        <v>46149</v>
      </c>
      <c r="CO54" s="654" t="n">
        <v>46114</v>
      </c>
      <c r="CP54" s="654" t="n">
        <v>46107</v>
      </c>
      <c r="CQ54" s="710" t="n">
        <v>46065</v>
      </c>
      <c r="CR54" s="654" t="n">
        <v>46099</v>
      </c>
      <c r="CS54" s="654" t="n">
        <v>46092</v>
      </c>
      <c r="CT54" s="711" t="n">
        <v>46045</v>
      </c>
      <c r="CU54" s="654" t="n">
        <v>46084</v>
      </c>
      <c r="CV54" s="655" t="n">
        <v>46084</v>
      </c>
      <c r="CW54" s="654" t="n">
        <v>46077</v>
      </c>
      <c r="CX54" s="655" t="n">
        <v>46077</v>
      </c>
      <c r="CY54" s="654" t="n">
        <v>46071</v>
      </c>
      <c r="CZ54" s="654" t="n">
        <v>46048</v>
      </c>
      <c r="DA54" s="654" t="n">
        <v>46043</v>
      </c>
      <c r="DB54" s="654" t="n">
        <v>46035</v>
      </c>
      <c r="DC54" s="654" t="n">
        <v>46029</v>
      </c>
      <c r="DD54" s="655" t="n">
        <v>46043</v>
      </c>
      <c r="DE54" s="654" t="n">
        <v>46024</v>
      </c>
      <c r="DF54" s="654" t="n">
        <v>46029</v>
      </c>
      <c r="DG54" s="654" t="n">
        <v>46024</v>
      </c>
      <c r="DH54" s="654" t="n">
        <v>46372</v>
      </c>
      <c r="DI54" s="654" t="n">
        <v>46024</v>
      </c>
      <c r="DJ54" s="654" t="n">
        <v>46017</v>
      </c>
      <c r="DK54" s="654" t="n">
        <v>46007</v>
      </c>
      <c r="DL54" s="654" t="n">
        <v>46001</v>
      </c>
      <c r="DM54" s="654" t="n">
        <v>46007</v>
      </c>
      <c r="DN54" s="654" t="n">
        <v>46001</v>
      </c>
      <c r="DO54" s="654" t="n">
        <v>45994</v>
      </c>
      <c r="DP54" s="654" t="n">
        <v>45986</v>
      </c>
      <c r="DQ54" s="654" t="n">
        <v>45980</v>
      </c>
      <c r="DR54" s="654" t="n">
        <v>45980</v>
      </c>
      <c r="DS54" s="654" t="n">
        <v>45973</v>
      </c>
      <c r="DT54" s="654" t="n">
        <v>45965</v>
      </c>
      <c r="DU54" s="654" t="n">
        <v>45960</v>
      </c>
      <c r="DV54" s="654" t="n">
        <v>45945</v>
      </c>
      <c r="DW54" s="654" t="n">
        <v>45939</v>
      </c>
      <c r="DX54" s="654" t="n">
        <v>45931</v>
      </c>
      <c r="DY54" s="678" t="n">
        <v>45903</v>
      </c>
      <c r="DZ54" s="654" t="n">
        <v>45923</v>
      </c>
      <c r="EA54" s="654" t="n">
        <v>45915</v>
      </c>
      <c r="EB54" s="655" t="n">
        <v>45931</v>
      </c>
      <c r="EC54" s="688" t="n">
        <v>45931</v>
      </c>
      <c r="ED54" s="688" t="n">
        <v>45931</v>
      </c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18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18" t="n"/>
      <c r="FC54" s="18" t="n"/>
      <c r="FD54" s="18" t="n"/>
      <c r="FE54" s="18" t="n"/>
      <c r="FF54" s="18" t="n"/>
      <c r="FG54" s="18" t="n"/>
      <c r="FH54" s="256" t="n"/>
      <c r="FI54" s="18" t="n"/>
      <c r="FJ54" s="18" t="n"/>
      <c r="FK54" s="256" t="n"/>
      <c r="FL54" s="18" t="n"/>
      <c r="FM54" s="18" t="n"/>
      <c r="FN54" s="18" t="n"/>
      <c r="FO54" s="18" t="n"/>
      <c r="FP54" s="18" t="n"/>
      <c r="FQ54" s="256" t="n"/>
      <c r="FR54" s="18" t="n"/>
      <c r="FS54" s="18" t="n"/>
      <c r="FT54" s="18" t="n"/>
      <c r="FU54" s="18" t="n"/>
      <c r="FV54" s="18" t="n"/>
      <c r="FW54" s="18" t="n"/>
      <c r="FX54" s="18" t="n"/>
      <c r="FY54" s="18" t="n"/>
      <c r="FZ54" s="256" t="n"/>
      <c r="GA54" s="18" t="n"/>
      <c r="GB54" s="18" t="n"/>
      <c r="GC54" s="18" t="n"/>
      <c r="GD54" s="256" t="n"/>
      <c r="GE54" s="18" t="n"/>
      <c r="GF54" s="18" t="n"/>
      <c r="GG54" s="18" t="n"/>
      <c r="GH54" s="18" t="n">
        <v>100</v>
      </c>
      <c r="GI54" s="18" t="n"/>
      <c r="GJ54" s="18" t="n"/>
      <c r="GK54" s="18" t="n"/>
      <c r="GL54" s="18" t="n"/>
      <c r="GM54" s="18" t="n"/>
      <c r="GN54" s="18" t="n"/>
      <c r="GO54" s="18" t="n"/>
      <c r="GP54" s="18" t="n"/>
      <c r="GQ54" s="18" t="n"/>
      <c r="GR54" s="18" t="n"/>
      <c r="GS54" s="18" t="n"/>
      <c r="GT54" s="18" t="n"/>
      <c r="GU54" s="18" t="n"/>
    </row>
    <row r="55" ht="18.75" customHeight="1">
      <c r="A55" s="43" t="inlineStr">
        <is>
          <t>KIT CAIXA P OUI</t>
        </is>
      </c>
      <c r="B55" s="36" t="n">
        <v>100</v>
      </c>
      <c r="C55" s="668" t="n">
        <v>539.7</v>
      </c>
      <c r="D55" s="329" t="n">
        <v>15</v>
      </c>
      <c r="F55" s="38" t="n">
        <v>0</v>
      </c>
      <c r="G55" s="38" t="n">
        <v>0</v>
      </c>
      <c r="H55" s="38" t="n">
        <v>0</v>
      </c>
      <c r="I55" s="38" t="n">
        <v>0</v>
      </c>
      <c r="J55" s="38" t="n">
        <v>0</v>
      </c>
      <c r="K55" s="38" t="n">
        <v>0</v>
      </c>
      <c r="L55" s="38" t="n">
        <v>0</v>
      </c>
      <c r="M55" s="38" t="n">
        <v>100</v>
      </c>
      <c r="N55" s="38" t="n">
        <v>100</v>
      </c>
      <c r="O55" s="38" t="n">
        <v>100</v>
      </c>
      <c r="P55" s="38" t="n">
        <v>100</v>
      </c>
      <c r="Q55" s="38" t="n">
        <v>100</v>
      </c>
      <c r="R55" s="38" t="n">
        <v>100</v>
      </c>
      <c r="S55" s="38" t="n">
        <v>100</v>
      </c>
      <c r="T55" s="38" t="n">
        <v>101</v>
      </c>
      <c r="U55" s="38" t="n">
        <v>101</v>
      </c>
      <c r="V55" s="38" t="n">
        <v>101</v>
      </c>
      <c r="W55" s="38" t="n">
        <v>101</v>
      </c>
      <c r="X55" s="38" t="n">
        <v>100</v>
      </c>
      <c r="Y55" s="38" t="n">
        <v>99</v>
      </c>
      <c r="Z55" s="38" t="n">
        <v>97</v>
      </c>
      <c r="AA55" s="38" t="n">
        <v>96</v>
      </c>
      <c r="AB55" s="38" t="n">
        <v>96</v>
      </c>
      <c r="AC55" s="38" t="n">
        <v>93</v>
      </c>
      <c r="AD55" s="38" t="n">
        <v>92</v>
      </c>
      <c r="AE55" s="38" t="n">
        <v>92</v>
      </c>
      <c r="AF55" s="38" t="n">
        <v>92</v>
      </c>
      <c r="AG55" s="38" t="n">
        <v>91</v>
      </c>
      <c r="AH55" s="38" t="n">
        <v>91</v>
      </c>
      <c r="AI55" s="38" t="n">
        <v>91</v>
      </c>
      <c r="AJ55" s="38" t="n">
        <v>90</v>
      </c>
      <c r="AK55" s="38" t="n">
        <v>87</v>
      </c>
      <c r="AL55" s="38" t="n">
        <v>84</v>
      </c>
      <c r="AM55" s="38" t="n">
        <v>84</v>
      </c>
      <c r="AN55" s="38" t="n">
        <v>84</v>
      </c>
      <c r="AO55" s="38" t="n">
        <v>82</v>
      </c>
      <c r="AP55" s="38" t="n">
        <v>81</v>
      </c>
      <c r="AQ55" s="38" t="n">
        <v>81</v>
      </c>
      <c r="AR55" s="38" t="n">
        <v>81</v>
      </c>
      <c r="AS55" s="38" t="n">
        <v>81</v>
      </c>
      <c r="AT55" s="38" t="n">
        <v>81</v>
      </c>
      <c r="AU55" s="38" t="n">
        <v>81</v>
      </c>
      <c r="AV55" s="38" t="n">
        <v>69</v>
      </c>
      <c r="AW55" s="38" t="n">
        <v>69</v>
      </c>
      <c r="AX55" s="38" t="n">
        <v>69</v>
      </c>
      <c r="AY55" s="38" t="n">
        <v>67</v>
      </c>
      <c r="AZ55" s="38" t="n">
        <v>67</v>
      </c>
      <c r="BA55" s="38" t="n">
        <v>67</v>
      </c>
      <c r="BB55" s="38" t="n">
        <v>57</v>
      </c>
      <c r="BC55" s="38" t="n">
        <v>58</v>
      </c>
      <c r="BD55" s="38" t="n">
        <v>58</v>
      </c>
      <c r="BE55" s="38" t="n">
        <v>58</v>
      </c>
      <c r="BF55" s="38" t="n">
        <v>58</v>
      </c>
      <c r="BG55" s="38" t="n">
        <v>58</v>
      </c>
      <c r="BH55" s="38" t="n">
        <v>58</v>
      </c>
      <c r="BI55" s="38" t="n">
        <v>58</v>
      </c>
      <c r="BJ55" s="38" t="n">
        <v>58</v>
      </c>
      <c r="BK55" s="38" t="n">
        <v>58</v>
      </c>
      <c r="BL55" s="38" t="n">
        <v>58</v>
      </c>
      <c r="BM55" s="38" t="n">
        <v>58</v>
      </c>
      <c r="BN55" s="38" t="n">
        <v>58</v>
      </c>
      <c r="BO55" s="38" t="n">
        <v>58</v>
      </c>
      <c r="BP55" s="38" t="n">
        <v>58</v>
      </c>
      <c r="BQ55" s="38" t="n">
        <v>58</v>
      </c>
      <c r="BR55" s="38" t="n">
        <v>58</v>
      </c>
      <c r="BS55" s="38" t="n">
        <v>58</v>
      </c>
      <c r="BT55" s="38" t="n"/>
      <c r="BU55" s="38" t="n"/>
      <c r="BV55" s="38" t="n"/>
      <c r="BW55" s="38" t="n">
        <v>57</v>
      </c>
      <c r="BX55" s="38" t="n">
        <v>57</v>
      </c>
      <c r="BY55" s="38" t="n">
        <v>57</v>
      </c>
      <c r="BZ55" s="38" t="n">
        <v>57</v>
      </c>
      <c r="CA55" s="38" t="n">
        <v>57</v>
      </c>
      <c r="CB55" s="38" t="n">
        <v>57</v>
      </c>
      <c r="CC55" s="9" t="n">
        <v>57</v>
      </c>
      <c r="CD55" s="9" t="n">
        <v>57</v>
      </c>
      <c r="CE55" s="9" t="n">
        <v>57</v>
      </c>
      <c r="CF55" s="154">
        <f>CD55+IF(NOT(ISBLANK(OFFSET(CF55,0,6))),N(OFFSET(CF55,0,6)),N(OFFSET(CF55,0,7)))-CE55</f>
        <v/>
      </c>
      <c r="CH55" s="128" t="n"/>
      <c r="CI55" s="128" t="n"/>
      <c r="CK55" s="27" t="n"/>
      <c r="CL55" s="691" t="n">
        <v>0</v>
      </c>
      <c r="CM55" s="18" t="n">
        <v>0</v>
      </c>
      <c r="CN55" s="18" t="n">
        <v>0</v>
      </c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18" t="n"/>
      <c r="DP55" s="18" t="n"/>
      <c r="DQ55" s="18" t="n"/>
      <c r="DR55" s="18" t="n"/>
      <c r="DS55" s="18" t="n"/>
      <c r="DT55" s="18" t="n"/>
      <c r="DU55" s="18" t="n"/>
      <c r="DV55" s="18" t="n"/>
      <c r="DW55" s="18" t="n"/>
      <c r="DX55" s="18" t="n"/>
      <c r="DY55" s="396" t="n"/>
      <c r="DZ55" s="18" t="n"/>
      <c r="EA55" s="18" t="n"/>
      <c r="EB55" s="256" t="n"/>
      <c r="EC55" s="256" t="n"/>
      <c r="ED55" s="256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18" t="n"/>
      <c r="ET55" s="18" t="n"/>
      <c r="EU55" s="18" t="n"/>
      <c r="EV55" s="18" t="n"/>
      <c r="EW55" s="18" t="n"/>
      <c r="EX55" s="18" t="n"/>
      <c r="EY55" s="18" t="n"/>
      <c r="EZ55" s="18" t="n"/>
      <c r="FA55" s="18" t="n"/>
      <c r="FB55" s="18" t="n"/>
      <c r="FC55" s="18" t="n"/>
      <c r="FD55" s="18" t="n"/>
      <c r="FE55" s="18" t="n"/>
      <c r="FF55" s="18" t="n"/>
      <c r="FG55" s="18" t="n"/>
      <c r="FH55" s="256" t="n"/>
      <c r="FI55" s="18" t="n"/>
      <c r="FJ55" s="18" t="n"/>
      <c r="FK55" s="256" t="n"/>
      <c r="FL55" s="18" t="n"/>
      <c r="FM55" s="18" t="n"/>
      <c r="FN55" s="18" t="n"/>
      <c r="FO55" s="18" t="n"/>
      <c r="FP55" s="18" t="n"/>
      <c r="FQ55" s="256" t="n"/>
      <c r="FR55" s="18" t="n"/>
      <c r="FS55" s="18" t="n"/>
      <c r="FT55" s="18" t="n"/>
      <c r="FU55" s="18" t="n"/>
      <c r="FV55" s="239" t="inlineStr">
        <is>
          <t>20 P/ ER PBE</t>
        </is>
      </c>
      <c r="FW55" s="18" t="n"/>
      <c r="FX55" s="18" t="n"/>
      <c r="FY55" s="18" t="n"/>
      <c r="FZ55" s="256" t="n"/>
      <c r="GA55" s="18" t="n"/>
      <c r="GB55" s="18" t="n"/>
      <c r="GC55" s="18" t="n"/>
      <c r="GD55" s="256" t="n"/>
      <c r="GE55" s="18" t="n"/>
      <c r="GF55" s="18" t="n"/>
      <c r="GG55" s="18" t="n"/>
      <c r="GH55" s="18" t="n">
        <v>100</v>
      </c>
      <c r="GI55" s="18" t="n"/>
      <c r="GJ55" s="18" t="n"/>
      <c r="GK55" s="18" t="n"/>
      <c r="GL55" s="18" t="n"/>
      <c r="GM55" s="18" t="n"/>
      <c r="GN55" s="18" t="n"/>
      <c r="GO55" s="18" t="n"/>
      <c r="GP55" s="18" t="n"/>
      <c r="GQ55" s="18" t="n"/>
      <c r="GR55" s="18" t="n"/>
      <c r="GS55" s="18" t="n"/>
      <c r="GT55" s="18" t="n"/>
      <c r="GU55" s="18" t="n"/>
    </row>
    <row r="56" ht="18.75" customHeight="1">
      <c r="A56" s="43" t="inlineStr">
        <is>
          <t>KIT CAIXA M OUI</t>
        </is>
      </c>
      <c r="B56" s="36" t="n">
        <v>100</v>
      </c>
      <c r="C56" s="668" t="n">
        <v>652.05</v>
      </c>
      <c r="D56" s="329" t="n">
        <v>15</v>
      </c>
      <c r="F56" s="38" t="n">
        <v>0</v>
      </c>
      <c r="G56" s="38" t="n">
        <v>0</v>
      </c>
      <c r="H56" s="38" t="n">
        <v>0</v>
      </c>
      <c r="I56" s="38" t="n">
        <v>0</v>
      </c>
      <c r="J56" s="38" t="n">
        <v>0</v>
      </c>
      <c r="K56" s="38" t="n">
        <v>0</v>
      </c>
      <c r="L56" s="38" t="n">
        <v>0</v>
      </c>
      <c r="M56" s="38" t="n">
        <v>100</v>
      </c>
      <c r="N56" s="38" t="n">
        <v>100</v>
      </c>
      <c r="O56" s="38" t="n">
        <v>100</v>
      </c>
      <c r="P56" s="38" t="n">
        <v>100</v>
      </c>
      <c r="Q56" s="38" t="n">
        <v>99</v>
      </c>
      <c r="R56" s="38" t="n">
        <v>96</v>
      </c>
      <c r="S56" s="38" t="n">
        <v>96</v>
      </c>
      <c r="T56" s="38" t="n">
        <v>100</v>
      </c>
      <c r="U56" s="38" t="n">
        <v>100</v>
      </c>
      <c r="V56" s="38">
        <f>98-20</f>
        <v/>
      </c>
      <c r="W56" s="38" t="n">
        <v>77</v>
      </c>
      <c r="X56" s="38" t="n">
        <v>77</v>
      </c>
      <c r="Y56" s="38" t="n">
        <v>70</v>
      </c>
      <c r="Z56" s="38" t="n">
        <v>70</v>
      </c>
      <c r="AA56" s="38" t="n">
        <v>69</v>
      </c>
      <c r="AB56" s="38" t="n">
        <v>67</v>
      </c>
      <c r="AC56" s="38" t="n">
        <v>67</v>
      </c>
      <c r="AD56" s="38" t="n">
        <v>65</v>
      </c>
      <c r="AE56" s="38" t="n">
        <v>65</v>
      </c>
      <c r="AF56" s="38" t="n">
        <v>67</v>
      </c>
      <c r="AG56" s="38" t="n">
        <v>67</v>
      </c>
      <c r="AH56" s="38" t="n">
        <v>67</v>
      </c>
      <c r="AI56" s="38" t="n">
        <v>66</v>
      </c>
      <c r="AJ56" s="38" t="n">
        <v>66</v>
      </c>
      <c r="AK56" s="38" t="n">
        <v>66</v>
      </c>
      <c r="AL56" s="38" t="n">
        <v>66</v>
      </c>
      <c r="AM56" s="38" t="n">
        <v>66</v>
      </c>
      <c r="AN56" s="38" t="n">
        <v>66</v>
      </c>
      <c r="AO56" s="38" t="n">
        <v>66</v>
      </c>
      <c r="AP56" s="38" t="n">
        <v>65</v>
      </c>
      <c r="AQ56" s="38" t="n">
        <v>64</v>
      </c>
      <c r="AR56" s="38" t="n">
        <v>64</v>
      </c>
      <c r="AS56" s="38" t="n">
        <v>64</v>
      </c>
      <c r="AT56" s="38" t="n">
        <v>67</v>
      </c>
      <c r="AU56" s="38" t="n">
        <v>67</v>
      </c>
      <c r="AV56" s="38" t="n">
        <v>57</v>
      </c>
      <c r="AW56" s="38" t="n">
        <v>55</v>
      </c>
      <c r="AX56" s="38" t="n">
        <v>54</v>
      </c>
      <c r="AY56" s="38" t="n">
        <v>36</v>
      </c>
      <c r="AZ56" s="38" t="n">
        <v>34</v>
      </c>
      <c r="BA56" s="38" t="n">
        <v>34</v>
      </c>
      <c r="BB56" s="38" t="n">
        <v>34</v>
      </c>
      <c r="BC56" s="38" t="n">
        <v>36</v>
      </c>
      <c r="BD56" s="38" t="n">
        <v>35</v>
      </c>
      <c r="BE56" s="38" t="n">
        <v>32</v>
      </c>
      <c r="BF56" s="38" t="n">
        <v>32</v>
      </c>
      <c r="BG56" s="38" t="n">
        <v>32</v>
      </c>
      <c r="BH56" s="38" t="n">
        <v>47</v>
      </c>
      <c r="BI56" s="38" t="n">
        <v>47</v>
      </c>
      <c r="BJ56" s="38" t="n">
        <v>47</v>
      </c>
      <c r="BK56" s="38" t="n">
        <v>47</v>
      </c>
      <c r="BL56" s="38" t="n">
        <v>45</v>
      </c>
      <c r="BM56" s="38" t="n">
        <v>45</v>
      </c>
      <c r="BN56" s="38" t="n">
        <v>45</v>
      </c>
      <c r="BO56" s="38" t="n">
        <v>45</v>
      </c>
      <c r="BP56" s="38" t="n">
        <v>45</v>
      </c>
      <c r="BQ56" s="38" t="n">
        <v>43</v>
      </c>
      <c r="BR56" s="38" t="n">
        <v>43</v>
      </c>
      <c r="BS56" s="38" t="n">
        <v>43</v>
      </c>
      <c r="BT56" s="38" t="n"/>
      <c r="BU56" s="38" t="n"/>
      <c r="BV56" s="38" t="n"/>
      <c r="BW56" s="38" t="n">
        <v>35</v>
      </c>
      <c r="BX56" s="38" t="n">
        <v>34</v>
      </c>
      <c r="BY56" s="38" t="n">
        <v>32</v>
      </c>
      <c r="BZ56" s="38" t="n">
        <v>32</v>
      </c>
      <c r="CA56" s="38" t="n">
        <v>32</v>
      </c>
      <c r="CB56" s="38" t="n">
        <v>32</v>
      </c>
      <c r="CC56" s="9" t="n">
        <v>32</v>
      </c>
      <c r="CD56" s="9" t="n">
        <v>32</v>
      </c>
      <c r="CE56" s="9" t="n">
        <v>32</v>
      </c>
      <c r="CF56" s="154">
        <f>CD56+IF(NOT(ISBLANK(OFFSET(CF56,0,6))),N(OFFSET(CF56,0,6)),N(OFFSET(CF56,0,7)))-CE56</f>
        <v/>
      </c>
      <c r="CG56" s="53" t="n"/>
      <c r="CH56" s="128" t="n"/>
      <c r="CI56" s="128" t="n"/>
      <c r="CK56" s="27" t="n"/>
      <c r="CL56" s="691" t="n">
        <v>0</v>
      </c>
      <c r="CM56" s="18" t="n">
        <v>0</v>
      </c>
      <c r="CN56" s="18" t="n">
        <v>0</v>
      </c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18" t="n"/>
      <c r="DP56" s="18" t="n"/>
      <c r="DQ56" s="18" t="n"/>
      <c r="DR56" s="18" t="n"/>
      <c r="DS56" s="18" t="n"/>
      <c r="DT56" s="18" t="n"/>
      <c r="DU56" s="18" t="n"/>
      <c r="DV56" s="18" t="n"/>
      <c r="DW56" s="18" t="n"/>
      <c r="DX56" s="18" t="n"/>
      <c r="DY56" s="396" t="n"/>
      <c r="DZ56" s="18" t="n"/>
      <c r="EA56" s="18" t="n"/>
      <c r="EB56" s="256" t="n"/>
      <c r="EC56" s="256" t="n"/>
      <c r="ED56" s="256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18" t="n"/>
      <c r="ET56" s="18" t="n"/>
      <c r="EU56" s="18" t="n"/>
      <c r="EV56" s="18" t="n"/>
      <c r="EW56" s="18" t="n"/>
      <c r="EX56" s="18" t="n"/>
      <c r="EY56" s="18" t="n"/>
      <c r="EZ56" s="18" t="n"/>
      <c r="FA56" s="18" t="n"/>
      <c r="FB56" s="18" t="n"/>
      <c r="FC56" s="18" t="n"/>
      <c r="FD56" s="18" t="n"/>
      <c r="FE56" s="18" t="n"/>
      <c r="FF56" s="18" t="n"/>
      <c r="FG56" s="18" t="n"/>
      <c r="FH56" s="256" t="n"/>
      <c r="FI56" s="18" t="n"/>
      <c r="FJ56" s="18" t="n"/>
      <c r="FK56" s="256" t="n"/>
      <c r="FL56" s="18" t="n"/>
      <c r="FM56" s="18" t="n"/>
      <c r="FN56" s="18" t="n"/>
      <c r="FO56" s="18" t="n"/>
      <c r="FP56" s="18" t="n"/>
      <c r="FQ56" s="256" t="n"/>
      <c r="FR56" s="18" t="n"/>
      <c r="FS56" s="18" t="n"/>
      <c r="FT56" s="18" t="n"/>
      <c r="FU56" s="18" t="n"/>
      <c r="FV56" s="18" t="n"/>
      <c r="FW56" s="18" t="n"/>
      <c r="FX56" s="18" t="n"/>
      <c r="FY56" s="18" t="n"/>
      <c r="FZ56" s="256" t="n"/>
      <c r="GA56" s="18" t="n"/>
      <c r="GB56" s="18" t="n"/>
      <c r="GC56" s="18" t="n"/>
      <c r="GD56" s="256" t="n"/>
      <c r="GE56" s="18" t="n"/>
      <c r="GF56" s="18" t="n"/>
      <c r="GG56" s="18" t="n"/>
      <c r="GH56" s="18" t="n">
        <v>50</v>
      </c>
      <c r="GI56" s="18" t="n"/>
      <c r="GJ56" s="18" t="n"/>
      <c r="GK56" s="18" t="n"/>
      <c r="GL56" s="18" t="n"/>
      <c r="GM56" s="18" t="n"/>
      <c r="GN56" s="18" t="n"/>
      <c r="GO56" s="18" t="n"/>
      <c r="GP56" s="18" t="n"/>
      <c r="GQ56" s="18" t="n"/>
      <c r="GR56" s="18" t="n"/>
      <c r="GS56" s="18" t="n"/>
      <c r="GT56" s="18" t="n"/>
      <c r="GU56" s="18" t="n"/>
    </row>
    <row r="57" ht="18.75" customHeight="1">
      <c r="A57" s="43" t="inlineStr">
        <is>
          <t>KIT CAIXA G OUI</t>
        </is>
      </c>
      <c r="B57" s="36" t="n">
        <v>50</v>
      </c>
      <c r="C57" s="668" t="n">
        <v>567.53</v>
      </c>
      <c r="D57" s="329" t="n">
        <v>10</v>
      </c>
      <c r="F57" s="38" t="n">
        <v>0</v>
      </c>
      <c r="G57" s="38" t="n">
        <v>0</v>
      </c>
      <c r="H57" s="38" t="n">
        <v>0</v>
      </c>
      <c r="I57" s="38" t="n">
        <v>0</v>
      </c>
      <c r="J57" s="38" t="n">
        <v>0</v>
      </c>
      <c r="K57" s="38" t="n">
        <v>0</v>
      </c>
      <c r="L57" s="38" t="n">
        <v>0</v>
      </c>
      <c r="M57" s="38" t="n">
        <v>50</v>
      </c>
      <c r="N57" s="38" t="n">
        <v>50</v>
      </c>
      <c r="O57" s="38" t="n">
        <v>50</v>
      </c>
      <c r="P57" s="38" t="n">
        <v>51</v>
      </c>
      <c r="Q57" s="38" t="n">
        <v>51</v>
      </c>
      <c r="R57" s="38" t="n">
        <v>51</v>
      </c>
      <c r="S57" s="38" t="n">
        <v>51</v>
      </c>
      <c r="T57" s="38" t="n">
        <v>51</v>
      </c>
      <c r="U57" s="38" t="n">
        <v>51</v>
      </c>
      <c r="V57" s="38" t="n">
        <v>50</v>
      </c>
      <c r="W57" s="38" t="n">
        <v>50</v>
      </c>
      <c r="X57" s="38" t="n">
        <v>50</v>
      </c>
      <c r="Y57" s="38" t="n">
        <v>50</v>
      </c>
      <c r="Z57" s="38" t="n">
        <v>50</v>
      </c>
      <c r="AA57" s="38" t="n">
        <v>50</v>
      </c>
      <c r="AB57" s="38" t="n">
        <v>50</v>
      </c>
      <c r="AC57" s="38" t="n">
        <v>50</v>
      </c>
      <c r="AD57" s="38" t="n">
        <v>50</v>
      </c>
      <c r="AE57" s="38" t="n">
        <v>50</v>
      </c>
      <c r="AF57" s="38" t="n">
        <v>50</v>
      </c>
      <c r="AG57" s="38" t="n">
        <v>50</v>
      </c>
      <c r="AH57" s="38" t="n">
        <v>50</v>
      </c>
      <c r="AI57" s="38" t="n">
        <v>50</v>
      </c>
      <c r="AJ57" s="38" t="n">
        <v>50</v>
      </c>
      <c r="AK57" s="38" t="n">
        <v>10</v>
      </c>
      <c r="AL57" s="38" t="n">
        <v>10</v>
      </c>
      <c r="AM57" s="38" t="n">
        <v>10</v>
      </c>
      <c r="AN57" s="38" t="n">
        <v>10</v>
      </c>
      <c r="AO57" s="38" t="n">
        <v>10</v>
      </c>
      <c r="AP57" s="38" t="n">
        <v>10</v>
      </c>
      <c r="AQ57" s="38" t="n">
        <v>9</v>
      </c>
      <c r="AR57" s="38" t="n">
        <v>9</v>
      </c>
      <c r="AS57" s="38" t="n">
        <v>9</v>
      </c>
      <c r="AT57" s="38" t="n">
        <v>9</v>
      </c>
      <c r="AU57" s="38" t="n">
        <v>9</v>
      </c>
      <c r="AV57" s="38" t="n">
        <v>9</v>
      </c>
      <c r="AW57" s="38" t="n">
        <v>9</v>
      </c>
      <c r="AX57" s="38" t="n">
        <v>9</v>
      </c>
      <c r="AY57" s="38" t="n">
        <v>48</v>
      </c>
      <c r="AZ57" s="38" t="n">
        <v>48</v>
      </c>
      <c r="BA57" s="38" t="n">
        <v>48</v>
      </c>
      <c r="BB57" s="38" t="n">
        <v>48</v>
      </c>
      <c r="BC57" s="38" t="n">
        <v>48</v>
      </c>
      <c r="BD57" s="38" t="n">
        <v>48</v>
      </c>
      <c r="BE57" s="38" t="n">
        <v>48</v>
      </c>
      <c r="BF57" s="38" t="n">
        <v>48</v>
      </c>
      <c r="BG57" s="38" t="n">
        <v>48</v>
      </c>
      <c r="BH57" s="38" t="n">
        <v>49</v>
      </c>
      <c r="BI57" s="38" t="n">
        <v>49</v>
      </c>
      <c r="BJ57" s="38" t="n">
        <v>49</v>
      </c>
      <c r="BK57" s="38" t="n">
        <v>49</v>
      </c>
      <c r="BL57" s="38" t="n">
        <v>49</v>
      </c>
      <c r="BM57" s="38" t="n">
        <v>49</v>
      </c>
      <c r="BN57" s="38" t="n">
        <v>49</v>
      </c>
      <c r="BO57" s="38" t="n">
        <v>49</v>
      </c>
      <c r="BP57" s="38" t="n">
        <v>49</v>
      </c>
      <c r="BQ57" s="38" t="n">
        <v>45</v>
      </c>
      <c r="BR57" s="38" t="n">
        <v>45</v>
      </c>
      <c r="BS57" s="38" t="n">
        <v>45</v>
      </c>
      <c r="BT57" s="38" t="n"/>
      <c r="BU57" s="38" t="n"/>
      <c r="BV57" s="38" t="n"/>
      <c r="BW57" s="38" t="n">
        <v>48</v>
      </c>
      <c r="BX57" s="38" t="n">
        <v>48</v>
      </c>
      <c r="BY57" s="38" t="n">
        <v>48</v>
      </c>
      <c r="BZ57" s="38" t="n">
        <v>48</v>
      </c>
      <c r="CA57" s="38" t="n">
        <v>48</v>
      </c>
      <c r="CB57" s="38" t="n">
        <v>48</v>
      </c>
      <c r="CC57" s="9" t="n">
        <v>48</v>
      </c>
      <c r="CD57" s="9" t="n">
        <v>48</v>
      </c>
      <c r="CE57" s="9" t="n">
        <v>48</v>
      </c>
      <c r="CF57" s="154">
        <f>CD57+IF(NOT(ISBLANK(OFFSET(CF57,0,6))),N(OFFSET(CF57,0,6)),N(OFFSET(CF57,0,7)))-CE57</f>
        <v/>
      </c>
      <c r="CH57" s="19" t="n"/>
      <c r="CI57" s="19" t="n"/>
      <c r="CK57" s="27" t="n"/>
      <c r="CL57" s="691" t="n">
        <v>0</v>
      </c>
      <c r="CM57" s="18" t="n">
        <v>0</v>
      </c>
      <c r="CN57" s="18" t="n">
        <v>0</v>
      </c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18" t="n"/>
      <c r="DP57" s="18" t="n"/>
      <c r="DQ57" s="18" t="n"/>
      <c r="DR57" s="18" t="n"/>
      <c r="DS57" s="18" t="n"/>
      <c r="DT57" s="18" t="n"/>
      <c r="DU57" s="18" t="n"/>
      <c r="DV57" s="18" t="n"/>
      <c r="DW57" s="18" t="n"/>
      <c r="DX57" s="18" t="n"/>
      <c r="DY57" s="396" t="n"/>
      <c r="DZ57" s="18" t="n"/>
      <c r="EA57" s="18" t="n"/>
      <c r="EB57" s="256" t="n"/>
      <c r="EC57" s="256" t="n"/>
      <c r="ED57" s="256" t="n"/>
      <c r="EE57" s="17" t="n"/>
      <c r="EF57" s="17" t="n"/>
      <c r="EG57" s="17" t="n"/>
      <c r="EH57" s="17" t="n"/>
      <c r="EI57" s="17" t="n"/>
      <c r="EJ57" s="17" t="n"/>
      <c r="EK57" s="17" t="n"/>
      <c r="EL57" s="17" t="n"/>
      <c r="EM57" s="17" t="n"/>
      <c r="EN57" s="17" t="n"/>
      <c r="EO57" s="17" t="n"/>
      <c r="EP57" s="17" t="n"/>
      <c r="EQ57" s="17" t="n"/>
      <c r="ER57" s="17" t="n"/>
      <c r="ES57" s="17" t="n"/>
      <c r="ET57" s="17" t="n"/>
      <c r="EU57" s="17" t="n"/>
      <c r="EV57" s="17" t="n"/>
      <c r="EW57" s="17" t="n"/>
      <c r="EX57" s="17" t="n"/>
      <c r="EY57" s="17" t="n"/>
      <c r="EZ57" s="17" t="n"/>
      <c r="FA57" s="17" t="n"/>
      <c r="FB57" s="17" t="n"/>
      <c r="FC57" s="17" t="n"/>
      <c r="FD57" s="17" t="n"/>
      <c r="FE57" s="17" t="n"/>
      <c r="FF57" s="17" t="n"/>
      <c r="FG57" s="17" t="n"/>
      <c r="FI57" s="17" t="n"/>
      <c r="FJ57" s="17" t="n"/>
      <c r="FL57" s="17" t="n"/>
      <c r="FM57" s="17" t="n"/>
      <c r="FN57" s="17" t="n"/>
      <c r="FO57" s="17" t="n"/>
      <c r="FP57" s="17" t="n"/>
      <c r="FR57" s="17" t="n"/>
      <c r="FS57" s="17" t="n"/>
      <c r="FT57" s="17" t="n"/>
      <c r="FU57" s="17" t="n"/>
      <c r="FV57" s="17" t="n"/>
      <c r="FW57" s="17" t="n"/>
      <c r="FX57" s="17" t="n"/>
      <c r="FY57" s="17" t="n"/>
      <c r="GA57" s="17" t="n"/>
      <c r="GB57" s="17" t="n"/>
      <c r="GC57" s="17" t="n"/>
      <c r="GE57" s="17" t="n"/>
      <c r="GF57" s="17" t="n"/>
      <c r="GG57" s="17" t="n"/>
      <c r="GH57" s="17" t="n"/>
      <c r="GI57" s="17" t="n"/>
      <c r="GJ57" s="17" t="n"/>
      <c r="GK57" s="17" t="n"/>
      <c r="GM57" s="17" t="n"/>
      <c r="GN57" s="17" t="n"/>
      <c r="GO57" s="17" t="n"/>
      <c r="GP57" s="17" t="n"/>
      <c r="GQ57" s="17" t="n"/>
      <c r="GR57" s="17" t="n"/>
      <c r="GS57" s="17" t="n"/>
      <c r="GT57" s="17" t="n"/>
      <c r="GU57" s="17" t="n"/>
    </row>
    <row r="58" ht="18.75" customHeight="1">
      <c r="B58" s="53" t="n"/>
      <c r="C58" s="724" t="n"/>
      <c r="D58" s="72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  <c r="AA58" s="4" t="n"/>
      <c r="AB58" s="4" t="n"/>
      <c r="AC58" s="4" t="n"/>
      <c r="AD58" s="4" t="n"/>
      <c r="AE58" s="4" t="n"/>
      <c r="AF58" s="4" t="n"/>
      <c r="AG58" s="4" t="n"/>
      <c r="AH58" s="4" t="n"/>
      <c r="AI58" s="4" t="n"/>
      <c r="AJ58" s="4" t="n"/>
      <c r="AK58" s="4" t="n"/>
      <c r="AL58" s="4" t="n"/>
      <c r="AM58" s="4" t="n"/>
      <c r="AN58" s="4" t="n"/>
      <c r="AO58" s="4" t="n"/>
      <c r="AP58" s="4" t="n"/>
      <c r="AQ58" s="4" t="n"/>
      <c r="AR58" s="4" t="n"/>
      <c r="AS58" s="4" t="n"/>
      <c r="AT58" s="4" t="n"/>
      <c r="AU58" s="4" t="n"/>
      <c r="AV58" s="4" t="n"/>
      <c r="AW58" s="4" t="n"/>
      <c r="AX58" s="4" t="n"/>
      <c r="AY58" s="4" t="n"/>
      <c r="AZ58" s="4" t="n"/>
      <c r="BA58" s="4" t="n"/>
      <c r="BB58" s="4" t="n"/>
      <c r="BC58" s="4" t="n"/>
      <c r="BD58" s="4" t="n"/>
      <c r="BE58" s="4" t="n"/>
      <c r="BF58" s="4" t="n"/>
      <c r="BG58" s="4" t="n"/>
      <c r="BH58" s="4" t="n"/>
      <c r="BI58" s="4" t="n"/>
      <c r="BJ58" s="4" t="n"/>
      <c r="BK58" s="4" t="n"/>
      <c r="BL58" s="4" t="n"/>
      <c r="BM58" s="4" t="n"/>
      <c r="BN58" s="4" t="n"/>
      <c r="BO58" s="4" t="n"/>
      <c r="BP58" s="4" t="n"/>
      <c r="BQ58" s="4" t="n"/>
      <c r="BR58" s="4" t="n"/>
      <c r="BS58" s="4" t="n"/>
      <c r="BT58" s="4" t="n"/>
      <c r="BU58" s="4" t="n"/>
      <c r="BV58" s="4" t="n"/>
      <c r="BW58" s="4" t="n"/>
      <c r="BX58" s="4" t="n"/>
      <c r="BY58" s="4" t="n"/>
      <c r="BZ58" s="4" t="n"/>
      <c r="CA58" s="4" t="n"/>
      <c r="CB58" s="4" t="n"/>
      <c r="CC58" s="2" t="n"/>
      <c r="CD58" s="2" t="n"/>
      <c r="CE58" s="2" t="n"/>
      <c r="CF58" s="4" t="n"/>
      <c r="CH58" s="26" t="n"/>
      <c r="CI58" s="26" t="n"/>
      <c r="CK58" s="108" t="n"/>
      <c r="CL58" s="725" t="n"/>
      <c r="CM58" s="17" t="n"/>
      <c r="CN58" s="17" t="n"/>
      <c r="CO58" s="17" t="n"/>
      <c r="CP58" s="17" t="n"/>
      <c r="CQ58" s="17" t="n"/>
      <c r="CR58" s="17" t="n"/>
      <c r="CS58" s="17" t="n"/>
      <c r="CT58" s="17" t="n"/>
      <c r="CU58" s="17" t="n"/>
      <c r="CV58" s="17" t="n"/>
      <c r="CW58" s="17" t="n"/>
      <c r="CX58" s="17" t="n"/>
      <c r="CY58" s="17" t="n"/>
      <c r="CZ58" s="17" t="n"/>
      <c r="DA58" s="17" t="n"/>
      <c r="DB58" s="17" t="n"/>
      <c r="DC58" s="17" t="n"/>
      <c r="DD58" s="17" t="n"/>
      <c r="DE58" s="17" t="n"/>
      <c r="DF58" s="17" t="n"/>
      <c r="DG58" s="17" t="n"/>
      <c r="DH58" s="17" t="n"/>
      <c r="DI58" s="17" t="n"/>
      <c r="DJ58" s="17" t="n"/>
      <c r="DK58" s="17" t="n"/>
      <c r="DL58" s="17" t="n"/>
      <c r="DM58" s="17" t="n"/>
      <c r="DN58" s="17" t="n"/>
      <c r="DO58" s="17" t="n"/>
      <c r="DP58" s="17" t="n"/>
      <c r="DQ58" s="17" t="n"/>
      <c r="DR58" s="17" t="n"/>
      <c r="DS58" s="17" t="n"/>
      <c r="DT58" s="17" t="n"/>
      <c r="DU58" s="17" t="n"/>
      <c r="DV58" s="17" t="n"/>
      <c r="DW58" s="17" t="n"/>
      <c r="DX58" s="17" t="n"/>
      <c r="DZ58" s="17" t="n"/>
      <c r="EA58" s="17" t="n"/>
      <c r="EB58" s="723" t="n"/>
      <c r="EC58" s="723" t="n"/>
      <c r="ED58" s="723" t="n"/>
      <c r="EE58" s="654" t="n">
        <v>45903</v>
      </c>
      <c r="EF58" s="654" t="n">
        <v>45909</v>
      </c>
      <c r="EG58" s="654" t="n">
        <v>45903</v>
      </c>
      <c r="EH58" s="654" t="n">
        <v>45903</v>
      </c>
      <c r="EI58" s="654" t="n">
        <v>45895</v>
      </c>
      <c r="EJ58" s="679" t="n">
        <v>45896</v>
      </c>
      <c r="EK58" s="654" t="n">
        <v>45888</v>
      </c>
      <c r="EL58" s="654" t="n">
        <v>45881</v>
      </c>
      <c r="EM58" s="655" t="n">
        <v>45882</v>
      </c>
      <c r="EN58" s="654" t="n">
        <v>45874</v>
      </c>
      <c r="EO58" s="654" t="n">
        <v>45867</v>
      </c>
      <c r="EP58" s="654" t="n">
        <v>45860</v>
      </c>
      <c r="EQ58" s="654" t="n">
        <v>45853</v>
      </c>
      <c r="ER58" s="655" t="n">
        <v>45860</v>
      </c>
      <c r="ES58" s="681" t="n">
        <v>45855</v>
      </c>
      <c r="ET58" s="654" t="n">
        <v>45848</v>
      </c>
      <c r="EU58" s="681" t="n">
        <v>45853</v>
      </c>
      <c r="EV58" s="654" t="n">
        <v>45839</v>
      </c>
      <c r="EW58" s="681" t="n">
        <v>45791</v>
      </c>
      <c r="EX58" s="654" t="n">
        <v>45832</v>
      </c>
      <c r="EY58" s="654" t="n">
        <v>45825</v>
      </c>
      <c r="EZ58" s="655" t="n">
        <v>45826</v>
      </c>
      <c r="FA58" s="654" t="n">
        <v>45819</v>
      </c>
      <c r="FB58" s="655" t="n">
        <v>45819</v>
      </c>
      <c r="FC58" s="655" t="n">
        <v>45818</v>
      </c>
      <c r="FD58" s="655" t="n">
        <v>45807</v>
      </c>
      <c r="FE58" s="654" t="n">
        <v>45790</v>
      </c>
      <c r="FF58" s="654" t="n">
        <v>45798</v>
      </c>
      <c r="FG58" s="690" t="n">
        <v>45800</v>
      </c>
      <c r="FH58" s="650" t="n">
        <v>45799</v>
      </c>
      <c r="FI58" s="655" t="n">
        <v>45799</v>
      </c>
      <c r="FJ58" s="690" t="n">
        <v>45799</v>
      </c>
      <c r="FK58" s="650" t="n">
        <v>45798</v>
      </c>
      <c r="FL58" s="655" t="n">
        <v>45798</v>
      </c>
      <c r="FM58" s="655" t="n">
        <v>45797</v>
      </c>
      <c r="FN58" s="655" t="n">
        <v>45794</v>
      </c>
      <c r="FO58" s="654" t="n">
        <v>45790</v>
      </c>
      <c r="FP58" s="683" t="n">
        <v>45735</v>
      </c>
      <c r="FQ58" s="650" t="n">
        <v>45786</v>
      </c>
      <c r="FR58" s="654" t="n">
        <v>45783</v>
      </c>
      <c r="FS58" s="654" t="n">
        <v>45770</v>
      </c>
      <c r="FT58" s="654" t="n">
        <v>45775</v>
      </c>
      <c r="FU58" s="654" t="n">
        <v>45770</v>
      </c>
      <c r="FV58" s="655" t="n">
        <v>45775</v>
      </c>
      <c r="FW58" s="654" t="n">
        <v>45756</v>
      </c>
      <c r="FX58" s="654" t="n">
        <v>45749</v>
      </c>
      <c r="FY58" s="654" t="n">
        <v>45743</v>
      </c>
      <c r="FZ58" s="650" t="n">
        <v>45740</v>
      </c>
      <c r="GA58" s="654" t="n">
        <v>45728</v>
      </c>
      <c r="GB58" s="654" t="n">
        <v>45714</v>
      </c>
      <c r="GC58" s="654" t="n">
        <v>45706</v>
      </c>
      <c r="GD58" s="650" t="n">
        <v>45700</v>
      </c>
      <c r="GE58" s="654" t="n">
        <v>45706</v>
      </c>
      <c r="GF58" s="654" t="n">
        <v>45699</v>
      </c>
      <c r="GG58" s="655" t="n">
        <v>45706</v>
      </c>
      <c r="GH58" s="654" t="n">
        <v>45693</v>
      </c>
      <c r="GI58" s="654" t="n">
        <v>45693</v>
      </c>
      <c r="GJ58" s="654" t="n">
        <v>45685</v>
      </c>
      <c r="GK58" s="654" t="n">
        <v>45685</v>
      </c>
      <c r="GL58" s="712" t="n">
        <v>45692</v>
      </c>
      <c r="GM58" s="655" t="n">
        <v>45691</v>
      </c>
      <c r="GN58" s="655" t="n">
        <v>45681</v>
      </c>
      <c r="GO58" s="655" t="n">
        <v>45672</v>
      </c>
      <c r="GP58" s="654" t="n">
        <v>45664</v>
      </c>
      <c r="GQ58" s="654" t="n">
        <v>45660</v>
      </c>
      <c r="GR58" s="654" t="n">
        <v>45660</v>
      </c>
      <c r="GS58" s="654" t="n">
        <v>46017</v>
      </c>
      <c r="GT58" s="654" t="n">
        <v>45643</v>
      </c>
      <c r="GU58" s="654" t="n">
        <v>45638</v>
      </c>
    </row>
    <row r="59" hidden="1" ht="18.75" customHeight="1">
      <c r="A59" s="585" t="inlineStr">
        <is>
          <t>SACOLAS E CAIXAS QDB</t>
        </is>
      </c>
      <c r="B59" s="135" t="inlineStr">
        <is>
          <t>PC</t>
        </is>
      </c>
      <c r="C59" s="135" t="inlineStr">
        <is>
          <t>R$</t>
        </is>
      </c>
      <c r="D59" s="135" t="n"/>
      <c r="F59" s="650" t="n">
        <v>46021</v>
      </c>
      <c r="G59" s="650" t="n">
        <v>45663</v>
      </c>
      <c r="H59" s="650" t="n">
        <v>45670</v>
      </c>
      <c r="I59" s="650" t="n">
        <v>45677</v>
      </c>
      <c r="J59" s="650" t="n">
        <v>45684</v>
      </c>
      <c r="K59" s="650" t="n">
        <v>45691</v>
      </c>
      <c r="L59" s="650" t="n">
        <v>45698</v>
      </c>
      <c r="M59" s="650" t="n">
        <v>45705</v>
      </c>
      <c r="N59" s="650" t="n">
        <v>45712</v>
      </c>
      <c r="O59" s="650" t="n">
        <v>45719</v>
      </c>
      <c r="P59" s="650" t="n">
        <v>45726</v>
      </c>
      <c r="Q59" s="650" t="n">
        <v>45733</v>
      </c>
      <c r="R59" s="650" t="n">
        <v>45740</v>
      </c>
      <c r="S59" s="650" t="n">
        <v>45747</v>
      </c>
      <c r="T59" s="650" t="n">
        <v>45754</v>
      </c>
      <c r="U59" s="650" t="n">
        <v>45761</v>
      </c>
      <c r="V59" s="650" t="n">
        <v>45768</v>
      </c>
      <c r="W59" s="650" t="n">
        <v>45775</v>
      </c>
      <c r="X59" s="650" t="n">
        <v>45782</v>
      </c>
      <c r="Y59" s="650" t="n">
        <v>45789</v>
      </c>
      <c r="Z59" s="650" t="n">
        <v>45796</v>
      </c>
      <c r="AA59" s="650" t="n">
        <v>45803</v>
      </c>
      <c r="AB59" s="650" t="n">
        <v>45810</v>
      </c>
      <c r="AC59" s="650" t="n">
        <v>45817</v>
      </c>
      <c r="AD59" s="650" t="n">
        <v>45824</v>
      </c>
      <c r="AE59" s="650" t="n">
        <v>45831</v>
      </c>
      <c r="AF59" s="650" t="n">
        <v>45838</v>
      </c>
      <c r="AG59" s="650" t="n">
        <v>45845</v>
      </c>
      <c r="AH59" s="650" t="n">
        <v>45852</v>
      </c>
      <c r="AI59" s="650" t="n">
        <v>45859</v>
      </c>
      <c r="AJ59" s="650" t="n">
        <v>45866</v>
      </c>
      <c r="AK59" s="650" t="n">
        <v>45873</v>
      </c>
      <c r="AL59" s="650" t="n">
        <v>45880</v>
      </c>
      <c r="AM59" s="650" t="n">
        <v>45887</v>
      </c>
      <c r="AN59" s="650" t="n">
        <v>45894</v>
      </c>
      <c r="AO59" s="650" t="n">
        <v>45901</v>
      </c>
      <c r="AP59" s="650" t="n">
        <v>45908</v>
      </c>
      <c r="AQ59" s="650" t="n">
        <v>45915</v>
      </c>
      <c r="AR59" s="650" t="n">
        <v>45922</v>
      </c>
      <c r="AS59" s="650" t="n">
        <v>45929</v>
      </c>
      <c r="AT59" s="650" t="n">
        <v>45936</v>
      </c>
      <c r="AU59" s="650" t="n">
        <v>45943</v>
      </c>
      <c r="AV59" s="650" t="n">
        <v>45950</v>
      </c>
      <c r="AW59" s="650" t="n">
        <v>45957</v>
      </c>
      <c r="AX59" s="650" t="n">
        <v>45964</v>
      </c>
      <c r="AY59" s="650" t="n">
        <v>45971</v>
      </c>
      <c r="AZ59" s="650" t="n">
        <v>45978</v>
      </c>
      <c r="BA59" s="650" t="n">
        <v>45985</v>
      </c>
      <c r="BB59" s="650" t="n">
        <v>45992</v>
      </c>
      <c r="BC59" s="650" t="n">
        <v>45999</v>
      </c>
      <c r="BD59" s="650" t="n">
        <v>46006</v>
      </c>
      <c r="BE59" s="650" t="n">
        <v>46013</v>
      </c>
      <c r="BF59" s="650" t="n">
        <v>46020</v>
      </c>
      <c r="BG59" s="650" t="n">
        <v>46027</v>
      </c>
      <c r="BH59" s="650" t="n">
        <v>46034</v>
      </c>
      <c r="BI59" s="650" t="n">
        <v>46041</v>
      </c>
      <c r="BJ59" s="650" t="n">
        <v>46048</v>
      </c>
      <c r="BK59" s="650" t="n">
        <v>46055</v>
      </c>
      <c r="BL59" s="650" t="n">
        <v>46062</v>
      </c>
      <c r="BM59" s="650" t="n">
        <v>46069</v>
      </c>
      <c r="BN59" s="650" t="n">
        <v>46076</v>
      </c>
      <c r="BO59" s="650" t="n">
        <v>46083</v>
      </c>
      <c r="BP59" s="650" t="n">
        <v>46090</v>
      </c>
      <c r="BQ59" s="650" t="n">
        <v>46097</v>
      </c>
      <c r="BR59" s="650" t="n">
        <v>46104</v>
      </c>
      <c r="BS59" s="650" t="n">
        <v>46111</v>
      </c>
      <c r="BT59" s="650" t="n">
        <v>46118</v>
      </c>
      <c r="BU59" s="650" t="n">
        <v>46125</v>
      </c>
      <c r="BV59" s="650" t="n">
        <v>46132</v>
      </c>
      <c r="BW59" s="650" t="n">
        <v>46139</v>
      </c>
      <c r="BX59" s="650" t="n">
        <v>46146</v>
      </c>
      <c r="BY59" s="650" t="n">
        <v>46154</v>
      </c>
      <c r="BZ59" s="650" t="n">
        <v>46160</v>
      </c>
      <c r="CA59" s="650" t="n">
        <v>46160</v>
      </c>
      <c r="CB59" s="650" t="n">
        <v>46160</v>
      </c>
      <c r="CC59" s="651" t="n">
        <v>46161.48004043981</v>
      </c>
      <c r="CD59" s="651" t="n">
        <v>46161.48071866898</v>
      </c>
      <c r="CE59" s="651" t="n">
        <v>46161.48287732909</v>
      </c>
      <c r="CF59" s="652" t="inlineStr">
        <is>
          <t>USOU</t>
        </is>
      </c>
      <c r="CH59" s="413" t="inlineStr">
        <is>
          <t>TRANSFERÊNCIA</t>
        </is>
      </c>
      <c r="CI59" s="35" t="inlineStr">
        <is>
          <t>Pend.</t>
        </is>
      </c>
      <c r="CK59" s="12" t="inlineStr">
        <is>
          <t>Novo Pedido</t>
        </is>
      </c>
      <c r="CL59" s="654" t="n"/>
      <c r="CM59" s="654" t="n"/>
      <c r="CN59" s="654" t="n"/>
      <c r="CO59" s="654" t="n">
        <v>46114</v>
      </c>
      <c r="CP59" s="654" t="n">
        <v>46107</v>
      </c>
      <c r="CQ59" s="710" t="n">
        <v>46065</v>
      </c>
      <c r="CR59" s="654" t="n">
        <v>46099</v>
      </c>
      <c r="CS59" s="654" t="n">
        <v>46092</v>
      </c>
      <c r="CT59" s="711" t="n">
        <v>46045</v>
      </c>
      <c r="CU59" s="654" t="n">
        <v>46084</v>
      </c>
      <c r="CV59" s="655" t="n">
        <v>46084</v>
      </c>
      <c r="CW59" s="654" t="n">
        <v>46077</v>
      </c>
      <c r="CX59" s="655" t="n">
        <v>46077</v>
      </c>
      <c r="CY59" s="654" t="n">
        <v>46071</v>
      </c>
      <c r="CZ59" s="654" t="n">
        <v>46048</v>
      </c>
      <c r="DA59" s="654" t="n">
        <v>46043</v>
      </c>
      <c r="DB59" s="654" t="n">
        <v>46035</v>
      </c>
      <c r="DC59" s="654" t="n">
        <v>46029</v>
      </c>
      <c r="DD59" s="655" t="n">
        <v>46043</v>
      </c>
      <c r="DE59" s="654" t="n">
        <v>46024</v>
      </c>
      <c r="DF59" s="654" t="n">
        <v>46029</v>
      </c>
      <c r="DG59" s="654" t="n">
        <v>46024</v>
      </c>
      <c r="DH59" s="654" t="n">
        <v>46372</v>
      </c>
      <c r="DI59" s="654" t="n">
        <v>46024</v>
      </c>
      <c r="DJ59" s="654" t="n">
        <v>46017</v>
      </c>
      <c r="DK59" s="654" t="n">
        <v>46007</v>
      </c>
      <c r="DL59" s="654" t="n">
        <v>46001</v>
      </c>
      <c r="DM59" s="654" t="n">
        <v>46007</v>
      </c>
      <c r="DN59" s="654" t="n">
        <v>46001</v>
      </c>
      <c r="DO59" s="654" t="n">
        <v>45994</v>
      </c>
      <c r="DP59" s="654" t="n">
        <v>45986</v>
      </c>
      <c r="DQ59" s="654" t="n">
        <v>45980</v>
      </c>
      <c r="DR59" s="654" t="n">
        <v>45980</v>
      </c>
      <c r="DS59" s="654" t="n">
        <v>45973</v>
      </c>
      <c r="DT59" s="654" t="n">
        <v>45965</v>
      </c>
      <c r="DU59" s="654" t="n">
        <v>45960</v>
      </c>
      <c r="DV59" s="654" t="n">
        <v>45945</v>
      </c>
      <c r="DW59" s="654" t="n">
        <v>45939</v>
      </c>
      <c r="DX59" s="654" t="n">
        <v>45931</v>
      </c>
      <c r="DY59" s="678" t="n">
        <v>45903</v>
      </c>
      <c r="DZ59" s="654" t="n">
        <v>45923</v>
      </c>
      <c r="EA59" s="654" t="n">
        <v>45915</v>
      </c>
      <c r="EB59" s="655" t="n">
        <v>45931</v>
      </c>
      <c r="EC59" s="688" t="n">
        <v>45931</v>
      </c>
      <c r="ED59" s="688" t="n">
        <v>45931</v>
      </c>
      <c r="EE59" s="18" t="n"/>
      <c r="EF59" s="18" t="n"/>
      <c r="EG59" s="18" t="n"/>
      <c r="EH59" s="18" t="n"/>
      <c r="EI59" s="18" t="n"/>
      <c r="EJ59" s="18" t="n"/>
      <c r="EK59" s="18" t="n"/>
      <c r="EL59" s="18" t="n"/>
      <c r="EM59" s="18" t="n"/>
      <c r="EN59" s="18" t="n"/>
      <c r="EO59" s="18" t="n"/>
      <c r="EP59" s="18" t="n"/>
      <c r="EQ59" s="18" t="n"/>
      <c r="ER59" s="18" t="n"/>
      <c r="ES59" s="18" t="n"/>
      <c r="ET59" s="18" t="n"/>
      <c r="EU59" s="18" t="n"/>
      <c r="EV59" s="18" t="n"/>
      <c r="EW59" s="18" t="n"/>
      <c r="EX59" s="18" t="n"/>
      <c r="EY59" s="18" t="n"/>
      <c r="EZ59" s="18" t="n"/>
      <c r="FA59" s="18" t="n"/>
      <c r="FB59" s="18" t="n"/>
      <c r="FC59" s="18" t="n"/>
      <c r="FD59" s="18" t="n"/>
      <c r="FE59" s="18" t="n"/>
      <c r="FF59" s="18" t="n"/>
      <c r="FG59" s="18" t="n"/>
      <c r="FH59" s="274" t="n"/>
      <c r="FI59" s="18" t="n"/>
      <c r="FJ59" s="18" t="n"/>
      <c r="FK59" s="274" t="n"/>
      <c r="FL59" s="18" t="n"/>
      <c r="FM59" s="18" t="n"/>
      <c r="FN59" s="18" t="n"/>
      <c r="FO59" s="18" t="n"/>
      <c r="FP59" s="18" t="n"/>
      <c r="FQ59" s="274" t="n"/>
      <c r="FR59" s="18" t="n"/>
      <c r="FS59" s="18" t="n"/>
      <c r="FT59" s="18" t="n"/>
      <c r="FU59" s="18" t="n"/>
      <c r="FV59" s="18" t="n"/>
      <c r="FW59" s="18" t="n"/>
      <c r="FX59" s="18" t="n">
        <v>600</v>
      </c>
      <c r="FY59" s="18" t="n"/>
      <c r="FZ59" s="274" t="n"/>
      <c r="GA59" s="18" t="n"/>
      <c r="GB59" s="18" t="n"/>
      <c r="GC59" s="18" t="n"/>
      <c r="GD59" s="274" t="n"/>
      <c r="GE59" s="18" t="n">
        <v>1200</v>
      </c>
      <c r="GF59" s="18" t="n"/>
      <c r="GG59" s="18" t="n"/>
      <c r="GH59" s="18" t="n"/>
      <c r="GI59" s="18" t="n">
        <v>300</v>
      </c>
      <c r="GJ59" s="18" t="n"/>
      <c r="GK59" s="18" t="n"/>
      <c r="GL59" s="260" t="n"/>
      <c r="GM59" s="18" t="n"/>
      <c r="GN59" s="18" t="n"/>
      <c r="GO59" s="18" t="n"/>
      <c r="GP59" s="18" t="n"/>
      <c r="GQ59" s="18" t="n">
        <v>900</v>
      </c>
      <c r="GR59" s="18" t="n"/>
      <c r="GS59" s="18" t="n"/>
      <c r="GT59" s="18" t="n"/>
      <c r="GU59" s="18" t="n"/>
      <c r="GV59" s="763" t="n"/>
      <c r="GY59" s="718" t="n"/>
    </row>
    <row r="60" hidden="1" ht="18.75" customHeight="1">
      <c r="A60" s="43" t="inlineStr">
        <is>
          <t>SACOLA P QDB</t>
        </is>
      </c>
      <c r="B60" s="149" t="n">
        <v>300</v>
      </c>
      <c r="C60" s="726" t="n">
        <v>178.29</v>
      </c>
      <c r="D60" s="329" t="n">
        <v>300</v>
      </c>
      <c r="F60" s="9" t="n">
        <v>300</v>
      </c>
      <c r="G60" s="9" t="n">
        <v>300</v>
      </c>
      <c r="H60" s="9" t="n">
        <v>1200</v>
      </c>
      <c r="I60" s="9" t="n">
        <v>1200</v>
      </c>
      <c r="J60" s="9" t="n">
        <v>900</v>
      </c>
      <c r="K60" s="9" t="n">
        <v>600</v>
      </c>
      <c r="L60" s="9">
        <f>600+GF59</f>
        <v/>
      </c>
      <c r="M60" s="9" t="n">
        <v>600</v>
      </c>
      <c r="N60" s="9">
        <f>300+GB59</f>
        <v/>
      </c>
      <c r="O60" s="9" t="n">
        <v>1200</v>
      </c>
      <c r="P60" s="9" t="n">
        <v>1200</v>
      </c>
      <c r="Q60" s="9" t="n">
        <v>0</v>
      </c>
      <c r="R60" s="9" t="n">
        <v>0</v>
      </c>
      <c r="S60" s="9" t="n">
        <v>0</v>
      </c>
      <c r="T60" s="9">
        <f>0+FU59</f>
        <v/>
      </c>
      <c r="U60" s="9" t="n">
        <v>600</v>
      </c>
      <c r="V60" s="9" t="n">
        <v>600</v>
      </c>
      <c r="W60" s="9" t="n">
        <v>600</v>
      </c>
      <c r="X60" s="9" t="n">
        <v>600</v>
      </c>
      <c r="Y60" s="9" t="n">
        <v>300</v>
      </c>
      <c r="Z60" s="9" t="n">
        <v>300</v>
      </c>
      <c r="AA60" s="9" t="n">
        <v>0</v>
      </c>
      <c r="AB60" s="9" t="n">
        <v>0</v>
      </c>
      <c r="AC60" s="9" t="n">
        <v>0</v>
      </c>
      <c r="AD60" s="9" t="n">
        <v>0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>
        <v>0</v>
      </c>
      <c r="AK60" s="9" t="n">
        <v>0</v>
      </c>
      <c r="AL60" s="9" t="n">
        <v>0</v>
      </c>
      <c r="AM60" s="9" t="n">
        <v>0</v>
      </c>
      <c r="AN60" s="9" t="n">
        <v>0</v>
      </c>
      <c r="AO60" s="9" t="n">
        <v>0</v>
      </c>
      <c r="AP60" s="9" t="n">
        <v>0</v>
      </c>
      <c r="AQ60" s="9" t="n">
        <v>0</v>
      </c>
      <c r="AR60" s="9" t="n">
        <v>0</v>
      </c>
      <c r="AS60" s="9" t="n">
        <v>0</v>
      </c>
      <c r="AT60" s="9" t="n">
        <v>0</v>
      </c>
      <c r="AU60" s="9" t="n">
        <v>0</v>
      </c>
      <c r="AV60" s="9" t="n">
        <v>0</v>
      </c>
      <c r="AW60" s="9" t="n">
        <v>0</v>
      </c>
      <c r="AX60" s="9" t="n">
        <v>0</v>
      </c>
      <c r="AY60" s="9" t="n">
        <v>0</v>
      </c>
      <c r="AZ60" s="9" t="n">
        <v>0</v>
      </c>
      <c r="BA60" s="9" t="n">
        <v>0</v>
      </c>
      <c r="BB60" s="9" t="n">
        <v>0</v>
      </c>
      <c r="BC60" s="9" t="n">
        <v>0</v>
      </c>
      <c r="BD60" s="9" t="n">
        <v>0</v>
      </c>
      <c r="BE60" s="9" t="n">
        <v>0</v>
      </c>
      <c r="BF60" s="9" t="n">
        <v>0</v>
      </c>
      <c r="BG60" s="9" t="n">
        <v>0</v>
      </c>
      <c r="BH60" s="9" t="n">
        <v>0</v>
      </c>
      <c r="BI60" s="9" t="n">
        <v>0</v>
      </c>
      <c r="BJ60" s="9" t="n">
        <v>0</v>
      </c>
      <c r="BK60" s="9" t="n">
        <v>0</v>
      </c>
      <c r="BL60" s="9" t="n">
        <v>0</v>
      </c>
      <c r="BM60" s="9" t="n">
        <v>0</v>
      </c>
      <c r="BN60" s="9" t="n">
        <v>0</v>
      </c>
      <c r="BO60" s="9" t="n">
        <v>0</v>
      </c>
      <c r="BP60" s="9" t="n">
        <v>0</v>
      </c>
      <c r="BQ60" s="9" t="n">
        <v>0</v>
      </c>
      <c r="BR60" s="9" t="n">
        <v>0</v>
      </c>
      <c r="BS60" s="9" t="n">
        <v>0</v>
      </c>
      <c r="BT60" s="9" t="n">
        <v>0</v>
      </c>
      <c r="BU60" s="9" t="n">
        <v>0</v>
      </c>
      <c r="BV60" s="9" t="n">
        <v>0</v>
      </c>
      <c r="BW60" s="9" t="n">
        <v>0</v>
      </c>
      <c r="BX60" s="9" t="n">
        <v>0</v>
      </c>
      <c r="BY60" s="9" t="n"/>
      <c r="BZ60" s="9" t="n"/>
      <c r="CA60" s="9" t="n"/>
      <c r="CB60" s="9" t="n"/>
      <c r="CC60" s="9" t="n"/>
      <c r="CD60" s="9" t="n"/>
      <c r="CE60" s="9" t="n"/>
      <c r="CF60" s="154">
        <f>CD60+IF(NOT(ISBLANK(OFFSET(CF60,0,6))),N(OFFSET(CF60,0,6)),N(OFFSET(CF60,0,7)))-CE60</f>
        <v/>
      </c>
      <c r="CH60" s="317" t="n"/>
      <c r="CI60" s="317" t="n"/>
      <c r="CK60" s="27" t="n"/>
      <c r="CL60" s="691" t="n">
        <v>0</v>
      </c>
      <c r="CM60" s="18" t="n">
        <v>0</v>
      </c>
      <c r="CN60" s="18" t="n">
        <v>0</v>
      </c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18" t="n"/>
      <c r="DM60" s="18" t="n"/>
      <c r="DN60" s="18" t="n"/>
      <c r="DO60" s="18" t="n"/>
      <c r="DP60" s="18" t="n"/>
      <c r="DQ60" s="18" t="n"/>
      <c r="DR60" s="18" t="n"/>
      <c r="DS60" s="18" t="n"/>
      <c r="DT60" s="18" t="n"/>
      <c r="DU60" s="18" t="n"/>
      <c r="DV60" s="18" t="n"/>
      <c r="DW60" s="18" t="n"/>
      <c r="DX60" s="18" t="n"/>
      <c r="DY60" s="396" t="n"/>
      <c r="DZ60" s="18" t="n"/>
      <c r="EA60" s="18" t="n"/>
      <c r="EB60" s="256" t="n"/>
      <c r="EC60" s="256" t="n"/>
      <c r="ED60" s="256" t="n"/>
      <c r="EE60" s="18" t="n"/>
      <c r="EF60" s="18" t="n"/>
      <c r="EG60" s="18" t="n"/>
      <c r="EH60" s="18" t="n"/>
      <c r="EI60" s="18" t="n"/>
      <c r="EJ60" s="18" t="n"/>
      <c r="EK60" s="18" t="n"/>
      <c r="EL60" s="18" t="n"/>
      <c r="EM60" s="18" t="n"/>
      <c r="EN60" s="18" t="n"/>
      <c r="EO60" s="18" t="n"/>
      <c r="EP60" s="18" t="n"/>
      <c r="EQ60" s="18" t="n"/>
      <c r="ER60" s="18" t="n"/>
      <c r="ES60" s="18" t="n"/>
      <c r="ET60" s="18" t="n"/>
      <c r="EU60" s="18" t="n"/>
      <c r="EV60" s="18" t="n"/>
      <c r="EW60" s="18" t="n"/>
      <c r="EX60" s="18" t="n"/>
      <c r="EY60" s="18" t="n"/>
      <c r="EZ60" s="18" t="n"/>
      <c r="FA60" s="18" t="n"/>
      <c r="FB60" s="18" t="n"/>
      <c r="FC60" s="18" t="n"/>
      <c r="FD60" s="18" t="n"/>
      <c r="FE60" s="18" t="n"/>
      <c r="FF60" s="18" t="n"/>
      <c r="FG60" s="18" t="n"/>
      <c r="FH60" s="274" t="n"/>
      <c r="FI60" s="18" t="n"/>
      <c r="FJ60" s="18" t="n"/>
      <c r="FK60" s="274" t="n"/>
      <c r="FL60" s="18" t="n"/>
      <c r="FM60" s="18" t="n"/>
      <c r="FN60" s="18" t="n"/>
      <c r="FO60" s="18" t="n"/>
      <c r="FP60" s="18" t="n"/>
      <c r="FQ60" s="274" t="n"/>
      <c r="FR60" s="18" t="n"/>
      <c r="FS60" s="18" t="n"/>
      <c r="FT60" s="18" t="n"/>
      <c r="FU60" s="18" t="n">
        <v>400</v>
      </c>
      <c r="FV60" s="18" t="n"/>
      <c r="FW60" s="18" t="n"/>
      <c r="FX60" s="18" t="n"/>
      <c r="FY60" s="18" t="n"/>
      <c r="FZ60" s="274" t="n"/>
      <c r="GA60" s="18" t="n">
        <v>200</v>
      </c>
      <c r="GB60" s="18" t="n">
        <v>400</v>
      </c>
      <c r="GC60" s="18" t="n"/>
      <c r="GD60" s="274" t="n"/>
      <c r="GE60" s="18" t="n"/>
      <c r="GF60" s="18" t="n"/>
      <c r="GG60" s="18" t="n"/>
      <c r="GH60" s="18" t="n"/>
      <c r="GI60" s="18" t="n">
        <v>400</v>
      </c>
      <c r="GJ60" s="18" t="n"/>
      <c r="GK60" s="18" t="n"/>
      <c r="GL60" s="260" t="n"/>
      <c r="GM60" s="18" t="n"/>
      <c r="GN60" s="18" t="n"/>
      <c r="GO60" s="18" t="n"/>
      <c r="GP60" s="18" t="n"/>
      <c r="GQ60" s="18" t="n"/>
      <c r="GR60" s="18" t="n"/>
      <c r="GS60" s="18" t="n"/>
      <c r="GT60" s="18" t="n"/>
      <c r="GU60" s="18" t="n"/>
      <c r="GY60" s="720" t="n"/>
    </row>
    <row r="61" hidden="1" ht="18.75" customHeight="1">
      <c r="A61" s="43" t="inlineStr">
        <is>
          <t>SACOLA M  QDB</t>
        </is>
      </c>
      <c r="B61" s="149" t="n">
        <v>200</v>
      </c>
      <c r="C61" s="726" t="n">
        <v>183.98</v>
      </c>
      <c r="D61" s="329" t="n">
        <v>200</v>
      </c>
      <c r="F61" s="9" t="n">
        <v>400</v>
      </c>
      <c r="G61" s="9" t="n">
        <v>400</v>
      </c>
      <c r="H61" s="9" t="n">
        <v>400</v>
      </c>
      <c r="I61" s="9" t="n">
        <v>400</v>
      </c>
      <c r="J61" s="9" t="n">
        <v>200</v>
      </c>
      <c r="K61" s="9" t="n">
        <v>0</v>
      </c>
      <c r="L61" s="9" t="n">
        <v>600</v>
      </c>
      <c r="M61" s="9" t="n">
        <v>600</v>
      </c>
      <c r="N61" s="9" t="n">
        <v>400</v>
      </c>
      <c r="O61" s="9">
        <f>400+FY60</f>
        <v/>
      </c>
      <c r="P61" s="9" t="n">
        <v>800</v>
      </c>
      <c r="Q61" s="9" t="n">
        <v>800</v>
      </c>
      <c r="R61" s="9" t="n">
        <v>800</v>
      </c>
      <c r="S61" s="9" t="n">
        <v>800</v>
      </c>
      <c r="T61" s="9" t="n">
        <v>800</v>
      </c>
      <c r="U61" s="9" t="n">
        <v>800</v>
      </c>
      <c r="V61" s="9" t="n">
        <v>600</v>
      </c>
      <c r="W61" s="9" t="n">
        <v>600</v>
      </c>
      <c r="X61" s="9" t="n">
        <v>1000</v>
      </c>
      <c r="Y61" s="9" t="n">
        <v>800</v>
      </c>
      <c r="Z61" s="9" t="n">
        <v>800</v>
      </c>
      <c r="AA61" s="9" t="n">
        <v>800</v>
      </c>
      <c r="AB61" s="9" t="n">
        <v>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>
        <v>0</v>
      </c>
      <c r="AK61" s="9" t="n">
        <v>0</v>
      </c>
      <c r="AL61" s="9" t="n">
        <v>0</v>
      </c>
      <c r="AM61" s="9" t="n">
        <v>0</v>
      </c>
      <c r="AN61" s="9" t="n">
        <v>0</v>
      </c>
      <c r="AO61" s="9" t="n">
        <v>0</v>
      </c>
      <c r="AP61" s="9" t="n">
        <v>0</v>
      </c>
      <c r="AQ61" s="9" t="n">
        <v>0</v>
      </c>
      <c r="AR61" s="9" t="n">
        <v>0</v>
      </c>
      <c r="AS61" s="9" t="n">
        <v>0</v>
      </c>
      <c r="AT61" s="9" t="n">
        <v>0</v>
      </c>
      <c r="AU61" s="9" t="n">
        <v>0</v>
      </c>
      <c r="AV61" s="9" t="n">
        <v>0</v>
      </c>
      <c r="AW61" s="9" t="n">
        <v>0</v>
      </c>
      <c r="AX61" s="9" t="n">
        <v>0</v>
      </c>
      <c r="AY61" s="9" t="n">
        <v>0</v>
      </c>
      <c r="AZ61" s="9" t="n">
        <v>0</v>
      </c>
      <c r="BA61" s="9" t="n">
        <v>0</v>
      </c>
      <c r="BB61" s="9" t="n">
        <v>0</v>
      </c>
      <c r="BC61" s="9" t="n">
        <v>0</v>
      </c>
      <c r="BD61" s="9" t="n">
        <v>0</v>
      </c>
      <c r="BE61" s="9" t="n">
        <v>0</v>
      </c>
      <c r="BF61" s="9" t="n">
        <v>0</v>
      </c>
      <c r="BG61" s="9" t="n">
        <v>0</v>
      </c>
      <c r="BH61" s="9" t="n">
        <v>0</v>
      </c>
      <c r="BI61" s="9" t="n">
        <v>0</v>
      </c>
      <c r="BJ61" s="9" t="n">
        <v>0</v>
      </c>
      <c r="BK61" s="9" t="n">
        <v>0</v>
      </c>
      <c r="BL61" s="9" t="n">
        <v>0</v>
      </c>
      <c r="BM61" s="9" t="n">
        <v>0</v>
      </c>
      <c r="BN61" s="9" t="n">
        <v>0</v>
      </c>
      <c r="BO61" s="9" t="n">
        <v>0</v>
      </c>
      <c r="BP61" s="9" t="n">
        <v>0</v>
      </c>
      <c r="BQ61" s="9" t="n">
        <v>0</v>
      </c>
      <c r="BR61" s="9" t="n">
        <v>0</v>
      </c>
      <c r="BS61" s="9" t="n">
        <v>0</v>
      </c>
      <c r="BT61" s="9" t="n">
        <v>0</v>
      </c>
      <c r="BU61" s="9" t="n">
        <v>0</v>
      </c>
      <c r="BV61" s="9" t="n">
        <v>0</v>
      </c>
      <c r="BW61" s="9" t="n">
        <v>0</v>
      </c>
      <c r="BX61" s="9" t="n">
        <v>0</v>
      </c>
      <c r="BY61" s="9" t="n"/>
      <c r="BZ61" s="9" t="n"/>
      <c r="CA61" s="9" t="n"/>
      <c r="CB61" s="9" t="n"/>
      <c r="CC61" s="9" t="n"/>
      <c r="CD61" s="9" t="n"/>
      <c r="CE61" s="9" t="n"/>
      <c r="CF61" s="154">
        <f>CD61+IF(NOT(ISBLANK(OFFSET(CF61,0,6))),N(OFFSET(CF61,0,6)),N(OFFSET(CF61,0,7)))-CE61</f>
        <v/>
      </c>
      <c r="CH61" s="317" t="n"/>
      <c r="CI61" s="317" t="n"/>
      <c r="CK61" s="27" t="n"/>
      <c r="CL61" s="691" t="n">
        <v>0</v>
      </c>
      <c r="CM61" s="18" t="n">
        <v>0</v>
      </c>
      <c r="CN61" s="18" t="n">
        <v>0</v>
      </c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18" t="n"/>
      <c r="DM61" s="18" t="n"/>
      <c r="DN61" s="18" t="n"/>
      <c r="DO61" s="18" t="n"/>
      <c r="DP61" s="18" t="n"/>
      <c r="DQ61" s="18" t="n"/>
      <c r="DR61" s="18" t="n"/>
      <c r="DS61" s="18" t="n"/>
      <c r="DT61" s="18" t="n"/>
      <c r="DU61" s="18" t="n"/>
      <c r="DV61" s="18" t="n"/>
      <c r="DW61" s="18" t="n"/>
      <c r="DX61" s="18" t="n"/>
      <c r="DY61" s="396" t="n"/>
      <c r="DZ61" s="18" t="n"/>
      <c r="EA61" s="18" t="n"/>
      <c r="EB61" s="256" t="n"/>
      <c r="EC61" s="256" t="n"/>
      <c r="ED61" s="256" t="n"/>
      <c r="EE61" s="18" t="n"/>
      <c r="EF61" s="18" t="n"/>
      <c r="EG61" s="18" t="n"/>
      <c r="EH61" s="18" t="n"/>
      <c r="EI61" s="18" t="n"/>
      <c r="EJ61" s="18" t="n"/>
      <c r="EK61" s="18" t="n"/>
      <c r="EL61" s="18" t="n"/>
      <c r="EM61" s="18" t="n"/>
      <c r="EN61" s="18" t="n"/>
      <c r="EO61" s="18" t="n"/>
      <c r="EP61" s="18" t="n"/>
      <c r="EQ61" s="18" t="n"/>
      <c r="ER61" s="18" t="n"/>
      <c r="ES61" s="18" t="n"/>
      <c r="ET61" s="18" t="n"/>
      <c r="EU61" s="18" t="n"/>
      <c r="EV61" s="18" t="n"/>
      <c r="EW61" s="18" t="n"/>
      <c r="EX61" s="18" t="n"/>
      <c r="EY61" s="18" t="n"/>
      <c r="EZ61" s="18" t="n"/>
      <c r="FA61" s="18" t="n"/>
      <c r="FB61" s="18" t="n"/>
      <c r="FC61" s="18" t="n"/>
      <c r="FD61" s="18" t="n"/>
      <c r="FE61" s="18" t="n"/>
      <c r="FF61" s="18" t="n"/>
      <c r="FG61" s="18" t="n"/>
      <c r="FH61" s="274" t="n"/>
      <c r="FI61" s="239" t="inlineStr">
        <is>
          <t>1400 DE CD</t>
        </is>
      </c>
      <c r="FJ61" s="18" t="n"/>
      <c r="FK61" s="274" t="n"/>
      <c r="FL61" s="18" t="n"/>
      <c r="FM61" s="18" t="n"/>
      <c r="FN61" s="18" t="n"/>
      <c r="FO61" s="18" t="n"/>
      <c r="FP61" s="18" t="n"/>
      <c r="FQ61" s="274" t="n"/>
      <c r="FR61" s="18" t="n"/>
      <c r="FS61" s="18" t="n"/>
      <c r="FT61" s="18" t="n"/>
      <c r="FU61" s="18" t="n"/>
      <c r="FV61" s="18" t="n"/>
      <c r="FW61" s="18" t="n"/>
      <c r="FX61" s="18" t="n"/>
      <c r="FY61" s="18" t="n"/>
      <c r="FZ61" s="274" t="n"/>
      <c r="GA61" s="18" t="n"/>
      <c r="GB61" s="18" t="n"/>
      <c r="GC61" s="18" t="n"/>
      <c r="GD61" s="274" t="n"/>
      <c r="GE61" s="18" t="n"/>
      <c r="GF61" s="18" t="n"/>
      <c r="GG61" s="18" t="n"/>
      <c r="GH61" s="18" t="n"/>
      <c r="GI61" s="18" t="n"/>
      <c r="GJ61" s="18" t="n"/>
      <c r="GK61" s="18" t="n"/>
      <c r="GL61" s="18" t="n"/>
      <c r="GM61" s="18" t="n"/>
      <c r="GN61" s="18" t="n"/>
      <c r="GO61" s="18" t="n"/>
      <c r="GP61" s="18" t="n"/>
      <c r="GQ61" s="18" t="n"/>
      <c r="GR61" s="18" t="n"/>
      <c r="GS61" s="18" t="n"/>
      <c r="GT61" s="18" t="n"/>
      <c r="GU61" s="18" t="n"/>
      <c r="GY61" s="720" t="n"/>
    </row>
    <row r="62" hidden="1" ht="18.75" customHeight="1">
      <c r="A62" s="43" t="inlineStr">
        <is>
          <t>SACOLA G  QDB</t>
        </is>
      </c>
      <c r="B62" s="149" t="n">
        <v>200</v>
      </c>
      <c r="C62" s="726" t="n">
        <v>241.86</v>
      </c>
      <c r="D62" s="329" t="n">
        <v>50</v>
      </c>
      <c r="F62" s="9" t="n">
        <v>1200</v>
      </c>
      <c r="G62" s="9" t="n">
        <v>1200</v>
      </c>
      <c r="H62" s="9" t="n">
        <v>1200</v>
      </c>
      <c r="I62" s="9" t="n">
        <v>1200</v>
      </c>
      <c r="J62" s="9" t="n">
        <v>1200</v>
      </c>
      <c r="K62" s="9" t="n">
        <v>1200</v>
      </c>
      <c r="L62" s="9" t="n">
        <v>1200</v>
      </c>
      <c r="M62" s="9" t="n">
        <v>1000</v>
      </c>
      <c r="N62" s="9" t="n">
        <v>1000</v>
      </c>
      <c r="O62" s="9" t="n">
        <v>1000</v>
      </c>
      <c r="P62" s="9" t="n">
        <v>1000</v>
      </c>
      <c r="Q62" s="9" t="n">
        <v>1000</v>
      </c>
      <c r="R62" s="9" t="n">
        <v>1000</v>
      </c>
      <c r="S62" s="9" t="n">
        <v>1000</v>
      </c>
      <c r="T62" s="9" t="n">
        <v>1000</v>
      </c>
      <c r="U62" s="9" t="n">
        <v>1000</v>
      </c>
      <c r="V62" s="9" t="n">
        <v>1000</v>
      </c>
      <c r="W62" s="9" t="n">
        <v>1000</v>
      </c>
      <c r="X62" s="9" t="n">
        <v>800</v>
      </c>
      <c r="Y62" s="9" t="n">
        <v>800</v>
      </c>
      <c r="Z62" s="9">
        <f>800+1400</f>
        <v/>
      </c>
      <c r="AA62" s="9" t="n">
        <v>1800</v>
      </c>
      <c r="AB62" s="9" t="n">
        <v>1400</v>
      </c>
      <c r="AC62" s="9" t="n">
        <v>1200</v>
      </c>
      <c r="AD62" s="9" t="n">
        <v>400</v>
      </c>
      <c r="AE62" s="9" t="n">
        <v>400</v>
      </c>
      <c r="AF62" s="9" t="n">
        <v>0</v>
      </c>
      <c r="AG62" s="9" t="n">
        <v>0</v>
      </c>
      <c r="AH62" s="9" t="n">
        <v>0</v>
      </c>
      <c r="AI62" s="9" t="n">
        <v>0</v>
      </c>
      <c r="AJ62" s="9" t="n">
        <v>0</v>
      </c>
      <c r="AK62" s="9" t="n">
        <v>0</v>
      </c>
      <c r="AL62" s="9" t="n">
        <v>0</v>
      </c>
      <c r="AM62" s="9" t="n">
        <v>0</v>
      </c>
      <c r="AN62" s="9" t="n">
        <v>0</v>
      </c>
      <c r="AO62" s="9" t="n">
        <v>0</v>
      </c>
      <c r="AP62" s="9" t="n">
        <v>0</v>
      </c>
      <c r="AQ62" s="9" t="n">
        <v>0</v>
      </c>
      <c r="AR62" s="9" t="n">
        <v>0</v>
      </c>
      <c r="AS62" s="9" t="n">
        <v>0</v>
      </c>
      <c r="AT62" s="9" t="n">
        <v>200</v>
      </c>
      <c r="AU62" s="9" t="n">
        <v>200</v>
      </c>
      <c r="AV62" s="9" t="n">
        <v>400</v>
      </c>
      <c r="AW62" s="9" t="n">
        <v>400</v>
      </c>
      <c r="AX62" s="9" t="n">
        <v>400</v>
      </c>
      <c r="AY62" s="9" t="n">
        <v>400</v>
      </c>
      <c r="AZ62" s="9" t="n">
        <v>400</v>
      </c>
      <c r="BA62" s="9" t="n">
        <v>400</v>
      </c>
      <c r="BB62" s="190" t="n">
        <v>200</v>
      </c>
      <c r="BC62" s="9" t="n">
        <v>200</v>
      </c>
      <c r="BD62" s="9" t="n">
        <v>0</v>
      </c>
      <c r="BE62" s="9" t="n">
        <v>0</v>
      </c>
      <c r="BF62" s="9" t="n">
        <v>0</v>
      </c>
      <c r="BG62" s="9" t="n">
        <v>0</v>
      </c>
      <c r="BH62" s="9" t="n">
        <v>0</v>
      </c>
      <c r="BI62" s="9">
        <f>0+200</f>
        <v/>
      </c>
      <c r="BJ62" s="9" t="n">
        <v>200</v>
      </c>
      <c r="BK62" s="9" t="n">
        <v>200</v>
      </c>
      <c r="BL62" s="9" t="n">
        <v>200</v>
      </c>
      <c r="BM62" s="9" t="n">
        <v>200</v>
      </c>
      <c r="BN62" s="9" t="n">
        <v>200</v>
      </c>
      <c r="BO62" s="9" t="n">
        <v>200</v>
      </c>
      <c r="BP62" s="9" t="n">
        <v>0</v>
      </c>
      <c r="BQ62" s="9" t="n">
        <v>0</v>
      </c>
      <c r="BR62" s="9" t="n">
        <v>0</v>
      </c>
      <c r="BS62" s="9" t="n">
        <v>0</v>
      </c>
      <c r="BT62" s="9" t="n">
        <v>0</v>
      </c>
      <c r="BU62" s="9" t="n">
        <v>0</v>
      </c>
      <c r="BV62" s="9" t="n">
        <v>0</v>
      </c>
      <c r="BW62" s="9" t="n">
        <v>0</v>
      </c>
      <c r="BX62" s="9" t="n">
        <v>0</v>
      </c>
      <c r="BY62" s="9" t="n"/>
      <c r="BZ62" s="9" t="n"/>
      <c r="CA62" s="9" t="n"/>
      <c r="CB62" s="9" t="n"/>
      <c r="CC62" s="9" t="n"/>
      <c r="CD62" s="9" t="n"/>
      <c r="CE62" s="9" t="n"/>
      <c r="CF62" s="154">
        <f>CD62+IF(NOT(ISBLANK(OFFSET(CF62,0,6))),N(OFFSET(CF62,0,6)),N(OFFSET(CF62,0,7)))-CE62</f>
        <v/>
      </c>
      <c r="CH62" s="317" t="n"/>
      <c r="CI62" s="317" t="n"/>
      <c r="CK62" s="19" t="n"/>
      <c r="CL62" s="691" t="n">
        <v>0</v>
      </c>
      <c r="CM62" s="18" t="n">
        <v>0</v>
      </c>
      <c r="CN62" s="18" t="n">
        <v>0</v>
      </c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8" t="n"/>
      <c r="DA62" s="18" t="n"/>
      <c r="DB62" s="18" t="n"/>
      <c r="DC62" s="18" t="n"/>
      <c r="DD62" s="154" t="inlineStr">
        <is>
          <t>200 DE ER MG</t>
        </is>
      </c>
      <c r="DE62" s="18" t="n"/>
      <c r="DF62" s="18" t="n"/>
      <c r="DG62" s="18" t="n"/>
      <c r="DH62" s="18" t="n"/>
      <c r="DI62" s="18" t="n"/>
      <c r="DJ62" s="18" t="n"/>
      <c r="DK62" s="18" t="n"/>
      <c r="DL62" s="18" t="n"/>
      <c r="DM62" s="18" t="n"/>
      <c r="DN62" s="18" t="n"/>
      <c r="DO62" s="18" t="n"/>
      <c r="DP62" s="18" t="n"/>
      <c r="DQ62" s="18" t="n"/>
      <c r="DR62" s="18" t="n"/>
      <c r="DS62" s="18" t="n"/>
      <c r="DT62" s="18" t="n"/>
      <c r="DU62" s="18" t="n"/>
      <c r="DV62" s="18" t="n"/>
      <c r="DW62" s="18" t="n"/>
      <c r="DX62" s="18" t="n"/>
      <c r="DY62" s="396" t="n"/>
      <c r="DZ62" s="18" t="n"/>
      <c r="EA62" s="18" t="n"/>
      <c r="EB62" s="256" t="n"/>
      <c r="EC62" s="256" t="n"/>
      <c r="ED62" s="256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18" t="n"/>
      <c r="ET62" s="18" t="n"/>
      <c r="EU62" s="18" t="n"/>
      <c r="EV62" s="18" t="n"/>
      <c r="EW62" s="18" t="n"/>
      <c r="EX62" s="18" t="n"/>
      <c r="EY62" s="18" t="n"/>
      <c r="EZ62" s="18" t="n"/>
      <c r="FA62" s="18" t="n"/>
      <c r="FB62" s="18" t="n"/>
      <c r="FC62" s="18" t="n"/>
      <c r="FD62" s="18" t="n"/>
      <c r="FE62" s="18" t="n"/>
      <c r="FF62" s="18" t="n"/>
      <c r="FG62" s="18" t="n"/>
      <c r="FH62" s="275" t="n"/>
      <c r="FI62" s="18" t="n"/>
      <c r="FJ62" s="18" t="n"/>
      <c r="FK62" s="275" t="n"/>
      <c r="FL62" s="18" t="n"/>
      <c r="FM62" s="18" t="n"/>
      <c r="FN62" s="18" t="n"/>
      <c r="FO62" s="18" t="n"/>
      <c r="FP62" s="18" t="n"/>
      <c r="FQ62" s="275" t="n"/>
      <c r="FR62" s="18" t="n"/>
      <c r="FS62" s="18" t="n"/>
      <c r="FT62" s="18" t="n"/>
      <c r="FU62" s="18" t="n"/>
      <c r="FV62" s="18" t="n"/>
      <c r="FW62" s="18" t="n"/>
      <c r="FX62" s="18" t="n"/>
      <c r="FY62" s="18" t="n"/>
      <c r="FZ62" s="275" t="n"/>
      <c r="GA62" s="18" t="n"/>
      <c r="GB62" s="18" t="n"/>
      <c r="GC62" s="18" t="n"/>
      <c r="GD62" s="275" t="n"/>
      <c r="GE62" s="18" t="n"/>
      <c r="GF62" s="18" t="n"/>
      <c r="GG62" s="18" t="n"/>
      <c r="GH62" s="18" t="n"/>
      <c r="GI62" s="18" t="n"/>
      <c r="GJ62" s="18" t="n"/>
      <c r="GK62" s="18" t="n"/>
      <c r="GL62" s="260" t="n"/>
      <c r="GM62" s="18" t="n"/>
      <c r="GN62" s="18" t="n"/>
      <c r="GO62" s="18" t="n"/>
      <c r="GP62" s="18" t="n"/>
      <c r="GQ62" s="18" t="n"/>
      <c r="GR62" s="18" t="n"/>
      <c r="GS62" s="18" t="n"/>
      <c r="GT62" s="18" t="n"/>
      <c r="GU62" s="18" t="n"/>
      <c r="GY62" s="720" t="n"/>
    </row>
    <row r="63" hidden="1" ht="18.75" customHeight="1">
      <c r="A63" s="43" t="inlineStr">
        <is>
          <t>PAPEL DE SEDA  QDB</t>
        </is>
      </c>
      <c r="B63" s="149" t="n">
        <v>100</v>
      </c>
      <c r="C63" s="726" t="n">
        <v>22.98</v>
      </c>
      <c r="D63" s="329" t="n">
        <v>1</v>
      </c>
      <c r="F63" s="9" t="n">
        <v>10</v>
      </c>
      <c r="G63" s="9" t="n">
        <v>10</v>
      </c>
      <c r="H63" s="9" t="n">
        <v>10</v>
      </c>
      <c r="I63" s="9" t="n">
        <v>10</v>
      </c>
      <c r="J63" s="9" t="n">
        <v>10</v>
      </c>
      <c r="K63" s="9" t="n">
        <v>10</v>
      </c>
      <c r="L63" s="9" t="n">
        <v>10</v>
      </c>
      <c r="M63" s="9" t="n">
        <v>10</v>
      </c>
      <c r="N63" s="9" t="n">
        <v>10</v>
      </c>
      <c r="O63" s="9" t="n">
        <v>10</v>
      </c>
      <c r="P63" s="9" t="n">
        <v>10</v>
      </c>
      <c r="Q63" s="9" t="n">
        <v>10</v>
      </c>
      <c r="R63" s="9" t="n">
        <v>10</v>
      </c>
      <c r="S63" s="9" t="n">
        <v>10</v>
      </c>
      <c r="T63" s="9" t="n">
        <v>10</v>
      </c>
      <c r="U63" s="9" t="n">
        <v>10</v>
      </c>
      <c r="V63" s="9" t="n">
        <v>10</v>
      </c>
      <c r="W63" s="9" t="n">
        <v>10</v>
      </c>
      <c r="X63" s="9" t="n">
        <v>10</v>
      </c>
      <c r="Y63" s="9" t="n">
        <v>10</v>
      </c>
      <c r="Z63" s="9" t="n">
        <v>10</v>
      </c>
      <c r="AA63" s="9" t="n">
        <v>10</v>
      </c>
      <c r="AB63" s="9" t="n">
        <v>10</v>
      </c>
      <c r="AC63" s="9" t="n">
        <v>10</v>
      </c>
      <c r="AD63" s="9" t="n">
        <v>10</v>
      </c>
      <c r="AE63" s="9" t="n">
        <v>10</v>
      </c>
      <c r="AF63" s="9" t="n">
        <v>10</v>
      </c>
      <c r="AG63" s="9" t="n">
        <v>10</v>
      </c>
      <c r="AH63" s="9" t="n">
        <v>10</v>
      </c>
      <c r="AI63" s="9" t="n">
        <v>9</v>
      </c>
      <c r="AJ63" s="9" t="n">
        <v>9</v>
      </c>
      <c r="AK63" s="9" t="n">
        <v>9</v>
      </c>
      <c r="AL63" s="9" t="n">
        <v>9</v>
      </c>
      <c r="AM63" s="9" t="n">
        <v>9</v>
      </c>
      <c r="AN63" s="9" t="n">
        <v>9</v>
      </c>
      <c r="AO63" s="9" t="n">
        <v>9</v>
      </c>
      <c r="AP63" s="9" t="n">
        <v>9</v>
      </c>
      <c r="AQ63" s="9" t="n">
        <v>7</v>
      </c>
      <c r="AR63" s="9" t="n">
        <v>7</v>
      </c>
      <c r="AS63" s="9" t="n">
        <v>7</v>
      </c>
      <c r="AT63" s="9" t="n">
        <v>7</v>
      </c>
      <c r="AU63" s="9" t="n">
        <v>7</v>
      </c>
      <c r="AV63" s="9" t="n">
        <v>7</v>
      </c>
      <c r="AW63" s="9" t="n">
        <v>4</v>
      </c>
      <c r="AX63" s="9" t="n">
        <v>4</v>
      </c>
      <c r="AY63" s="9" t="n">
        <v>4</v>
      </c>
      <c r="AZ63" s="9" t="n">
        <v>4</v>
      </c>
      <c r="BA63" s="9" t="n">
        <v>4</v>
      </c>
      <c r="BB63" s="190" t="n">
        <v>4</v>
      </c>
      <c r="BC63" s="9" t="n">
        <v>0</v>
      </c>
      <c r="BD63" s="9" t="n">
        <v>0</v>
      </c>
      <c r="BE63" s="9" t="n">
        <v>0</v>
      </c>
      <c r="BF63" s="9" t="n">
        <v>0</v>
      </c>
      <c r="BG63" s="9" t="n">
        <v>0</v>
      </c>
      <c r="BH63" s="9" t="n">
        <v>0</v>
      </c>
      <c r="BI63" s="9">
        <f>0+3</f>
        <v/>
      </c>
      <c r="BJ63" s="9" t="n">
        <v>0</v>
      </c>
      <c r="BK63" s="9" t="n">
        <v>0</v>
      </c>
      <c r="BL63" s="9" t="n">
        <v>0</v>
      </c>
      <c r="BM63" s="9" t="n">
        <v>0</v>
      </c>
      <c r="BN63" s="9" t="n">
        <v>0</v>
      </c>
      <c r="BO63" s="9" t="n">
        <v>0</v>
      </c>
      <c r="BP63" s="9" t="n">
        <v>0</v>
      </c>
      <c r="BQ63" s="9" t="n">
        <v>0</v>
      </c>
      <c r="BR63" s="9" t="n">
        <v>0</v>
      </c>
      <c r="BS63" s="9" t="n">
        <v>0</v>
      </c>
      <c r="BT63" s="9" t="n">
        <v>0</v>
      </c>
      <c r="BU63" s="9" t="n">
        <v>0</v>
      </c>
      <c r="BV63" s="9" t="n">
        <v>0</v>
      </c>
      <c r="BW63" s="9" t="n">
        <v>0</v>
      </c>
      <c r="BX63" s="9" t="n">
        <v>0</v>
      </c>
      <c r="BY63" s="9" t="n"/>
      <c r="BZ63" s="9" t="n"/>
      <c r="CA63" s="9" t="n"/>
      <c r="CB63" s="9" t="n"/>
      <c r="CC63" s="9" t="n"/>
      <c r="CD63" s="9" t="n"/>
      <c r="CE63" s="9" t="n"/>
      <c r="CF63" s="154">
        <f>CD63+IF(NOT(ISBLANK(OFFSET(CF63,0,6))),N(OFFSET(CF63,0,6)),N(OFFSET(CF63,0,7)))-CE63</f>
        <v/>
      </c>
      <c r="CH63" s="317" t="n"/>
      <c r="CI63" s="317" t="n"/>
      <c r="CK63" s="27" t="n"/>
      <c r="CL63" s="691" t="n">
        <v>0</v>
      </c>
      <c r="CM63" s="18" t="n">
        <v>0</v>
      </c>
      <c r="CN63" s="18" t="n">
        <v>0</v>
      </c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/>
      <c r="DD63" s="154" t="inlineStr">
        <is>
          <t>3 DE ER PBE</t>
        </is>
      </c>
      <c r="DE63" s="18" t="n"/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18" t="n"/>
      <c r="DO63" s="18" t="n"/>
      <c r="DP63" s="18" t="n"/>
      <c r="DQ63" s="18" t="n"/>
      <c r="DR63" s="18" t="n"/>
      <c r="DS63" s="18" t="n"/>
      <c r="DT63" s="18" t="n"/>
      <c r="DU63" s="18" t="n"/>
      <c r="DV63" s="18" t="n"/>
      <c r="DW63" s="18" t="n"/>
      <c r="DX63" s="18" t="n"/>
      <c r="DY63" s="396" t="n"/>
      <c r="DZ63" s="18" t="n"/>
      <c r="EA63" s="18" t="n"/>
      <c r="EB63" s="256" t="n"/>
      <c r="EC63" s="256" t="n"/>
      <c r="ED63" s="256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18" t="n"/>
      <c r="ET63" s="18" t="n"/>
      <c r="EU63" s="18" t="n"/>
      <c r="EV63" s="18" t="n"/>
      <c r="EW63" s="18" t="n"/>
      <c r="EX63" s="18" t="n"/>
      <c r="EY63" s="18" t="n"/>
      <c r="EZ63" s="18" t="n"/>
      <c r="FA63" s="18" t="n"/>
      <c r="FB63" s="18" t="n"/>
      <c r="FC63" s="18" t="n"/>
      <c r="FD63" s="18" t="n"/>
      <c r="FE63" s="18" t="n"/>
      <c r="FF63" s="18" t="n"/>
      <c r="FG63" s="18" t="n"/>
      <c r="FH63" s="275" t="n"/>
      <c r="FI63" s="18" t="n"/>
      <c r="FJ63" s="18" t="n"/>
      <c r="FK63" s="275" t="n"/>
      <c r="FL63" s="18" t="n"/>
      <c r="FM63" s="18" t="n"/>
      <c r="FN63" s="18" t="n"/>
      <c r="FO63" s="18" t="n"/>
      <c r="FP63" s="18" t="n"/>
      <c r="FQ63" s="275" t="n"/>
      <c r="FR63" s="18" t="n"/>
      <c r="FS63" s="18" t="n"/>
      <c r="FT63" s="18" t="n"/>
      <c r="FU63" s="18" t="n"/>
      <c r="FV63" s="18" t="n"/>
      <c r="FW63" s="18" t="n"/>
      <c r="FX63" s="18" t="n"/>
      <c r="FY63" s="18" t="n"/>
      <c r="FZ63" s="275" t="n"/>
      <c r="GA63" s="18" t="n">
        <v>2</v>
      </c>
      <c r="GB63" s="18" t="n"/>
      <c r="GC63" s="18" t="n"/>
      <c r="GD63" s="275" t="n"/>
      <c r="GE63" s="18" t="n">
        <v>2</v>
      </c>
      <c r="GF63" s="18" t="n"/>
      <c r="GG63" s="18" t="n"/>
      <c r="GH63" s="18" t="n"/>
      <c r="GI63" s="18" t="n"/>
      <c r="GJ63" s="18" t="n"/>
      <c r="GK63" s="18" t="n"/>
      <c r="GL63" s="260" t="n"/>
      <c r="GM63" s="18" t="n"/>
      <c r="GN63" s="18" t="n"/>
      <c r="GO63" s="18" t="n"/>
      <c r="GP63" s="18" t="n"/>
      <c r="GQ63" s="18" t="n">
        <v>1</v>
      </c>
      <c r="GR63" s="18" t="n"/>
      <c r="GS63" s="18" t="n"/>
      <c r="GT63" s="18" t="n"/>
      <c r="GU63" s="18" t="n"/>
      <c r="GY63" s="720" t="n"/>
    </row>
    <row r="64" hidden="1" ht="18.75" customHeight="1">
      <c r="A64" s="43" t="inlineStr">
        <is>
          <t>ETIQUETA QDB</t>
        </is>
      </c>
      <c r="B64" s="149" t="n">
        <v>1000</v>
      </c>
      <c r="C64" s="726" t="n">
        <v>7.75</v>
      </c>
      <c r="D64" s="329" t="n">
        <v>1</v>
      </c>
      <c r="F64" s="9" t="n">
        <v>3</v>
      </c>
      <c r="G64" s="9" t="n">
        <v>3</v>
      </c>
      <c r="H64" s="9" t="n">
        <v>1</v>
      </c>
      <c r="I64" s="9" t="n">
        <v>1</v>
      </c>
      <c r="J64" s="9" t="n">
        <v>1</v>
      </c>
      <c r="K64" s="9" t="n">
        <v>1</v>
      </c>
      <c r="L64" s="9" t="n">
        <v>1</v>
      </c>
      <c r="M64" s="9" t="n">
        <v>1</v>
      </c>
      <c r="N64" s="9">
        <f>1+GB63</f>
        <v/>
      </c>
      <c r="O64" s="9" t="n">
        <v>2</v>
      </c>
      <c r="P64" s="9" t="n">
        <v>3</v>
      </c>
      <c r="Q64" s="9" t="n">
        <v>5</v>
      </c>
      <c r="R64" s="9" t="n">
        <v>5</v>
      </c>
      <c r="S64" s="9" t="n">
        <v>5</v>
      </c>
      <c r="T64" s="9" t="n">
        <v>5</v>
      </c>
      <c r="U64" s="9" t="n">
        <v>5</v>
      </c>
      <c r="V64" s="9" t="n">
        <v>5</v>
      </c>
      <c r="W64" s="9" t="n">
        <v>5</v>
      </c>
      <c r="X64" s="9" t="n">
        <v>5</v>
      </c>
      <c r="Y64" s="9" t="n">
        <v>6</v>
      </c>
      <c r="Z64" s="9" t="n">
        <v>6</v>
      </c>
      <c r="AA64" s="9" t="n">
        <v>6</v>
      </c>
      <c r="AB64" s="9" t="n">
        <v>6</v>
      </c>
      <c r="AC64" s="9" t="n">
        <v>6</v>
      </c>
      <c r="AD64" s="9" t="n">
        <v>6</v>
      </c>
      <c r="AE64" s="9" t="n">
        <v>6</v>
      </c>
      <c r="AF64" s="9" t="n">
        <v>6</v>
      </c>
      <c r="AG64" s="9" t="n">
        <v>6</v>
      </c>
      <c r="AH64" s="9" t="n">
        <v>6</v>
      </c>
      <c r="AI64" s="9" t="n">
        <v>6</v>
      </c>
      <c r="AJ64" s="9" t="n">
        <v>6</v>
      </c>
      <c r="AK64" s="9" t="n">
        <v>6</v>
      </c>
      <c r="AL64" s="9" t="n">
        <v>6</v>
      </c>
      <c r="AM64" s="9" t="n">
        <v>6</v>
      </c>
      <c r="AN64" s="9" t="n">
        <v>6</v>
      </c>
      <c r="AO64" s="9" t="n">
        <v>6</v>
      </c>
      <c r="AP64" s="9" t="n">
        <v>6</v>
      </c>
      <c r="AQ64" s="9" t="n">
        <v>4</v>
      </c>
      <c r="AR64" s="9" t="n">
        <v>4</v>
      </c>
      <c r="AS64" s="9" t="n">
        <v>4</v>
      </c>
      <c r="AT64" s="9" t="n">
        <v>4</v>
      </c>
      <c r="AU64" s="9" t="n">
        <v>0</v>
      </c>
      <c r="AV64" s="9" t="n">
        <v>0</v>
      </c>
      <c r="AW64" s="9" t="n">
        <v>0</v>
      </c>
      <c r="AX64" s="9" t="n">
        <v>0</v>
      </c>
      <c r="AY64" s="9" t="n">
        <v>0</v>
      </c>
      <c r="AZ64" s="9" t="n">
        <v>0</v>
      </c>
      <c r="BA64" s="9" t="n">
        <v>0</v>
      </c>
      <c r="BB64" s="9" t="n">
        <v>0</v>
      </c>
      <c r="BC64" s="9" t="n">
        <v>0</v>
      </c>
      <c r="BD64" s="9" t="n">
        <v>0</v>
      </c>
      <c r="BE64" s="9" t="n">
        <v>0</v>
      </c>
      <c r="BF64" s="9" t="n">
        <v>0</v>
      </c>
      <c r="BG64" s="9" t="n">
        <v>0</v>
      </c>
      <c r="BH64" s="9" t="n">
        <v>0</v>
      </c>
      <c r="BI64" s="9">
        <f>0+2</f>
        <v/>
      </c>
      <c r="BJ64" s="9" t="n">
        <v>0</v>
      </c>
      <c r="BK64" s="9" t="n">
        <v>0</v>
      </c>
      <c r="BL64" s="9" t="n">
        <v>0</v>
      </c>
      <c r="BM64" s="9" t="n">
        <v>0</v>
      </c>
      <c r="BN64" s="9" t="n">
        <v>0</v>
      </c>
      <c r="BO64" s="9" t="n">
        <v>0</v>
      </c>
      <c r="BP64" s="9" t="n">
        <v>0</v>
      </c>
      <c r="BQ64" s="9" t="n">
        <v>0</v>
      </c>
      <c r="BR64" s="9" t="n">
        <v>0</v>
      </c>
      <c r="BS64" s="9" t="n">
        <v>0</v>
      </c>
      <c r="BT64" s="9" t="n">
        <v>0</v>
      </c>
      <c r="BU64" s="9" t="n">
        <v>0</v>
      </c>
      <c r="BV64" s="9" t="n">
        <v>0</v>
      </c>
      <c r="BW64" s="9" t="n">
        <v>0</v>
      </c>
      <c r="BX64" s="9" t="n">
        <v>0</v>
      </c>
      <c r="BY64" s="9" t="n"/>
      <c r="BZ64" s="9" t="n"/>
      <c r="CA64" s="9" t="n"/>
      <c r="CB64" s="9" t="n"/>
      <c r="CC64" s="9" t="n"/>
      <c r="CD64" s="9" t="n"/>
      <c r="CE64" s="9" t="n"/>
      <c r="CF64" s="154">
        <f>CD64+IF(NOT(ISBLANK(OFFSET(CF64,0,6))),N(OFFSET(CF64,0,6)),N(OFFSET(CF64,0,7)))-CE64</f>
        <v/>
      </c>
      <c r="CH64" s="317" t="n"/>
      <c r="CI64" s="317" t="n"/>
      <c r="CK64" s="27" t="n"/>
      <c r="CL64" s="691" t="n">
        <v>0</v>
      </c>
      <c r="CM64" s="18" t="n">
        <v>0</v>
      </c>
      <c r="CN64" s="18" t="n">
        <v>0</v>
      </c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8" t="n"/>
      <c r="DA64" s="18" t="n"/>
      <c r="DB64" s="18" t="n"/>
      <c r="DC64" s="18" t="n"/>
      <c r="DD64" s="154" t="inlineStr">
        <is>
          <t>2 DE ER PBE</t>
        </is>
      </c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18" t="n"/>
      <c r="DP64" s="18" t="n"/>
      <c r="DQ64" s="18" t="n"/>
      <c r="DR64" s="18" t="n"/>
      <c r="DS64" s="18" t="n"/>
      <c r="DT64" s="18" t="n"/>
      <c r="DU64" s="18" t="n"/>
      <c r="DV64" s="18" t="n"/>
      <c r="DW64" s="18" t="n"/>
      <c r="DX64" s="18" t="n"/>
      <c r="DY64" s="396" t="n"/>
      <c r="DZ64" s="18" t="n"/>
      <c r="EA64" s="18" t="n"/>
      <c r="EB64" s="256" t="n"/>
      <c r="EC64" s="256" t="n"/>
      <c r="ED64" s="256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18" t="n"/>
      <c r="ET64" s="18" t="n"/>
      <c r="EU64" s="18" t="n"/>
      <c r="EV64" s="18" t="n"/>
      <c r="EW64" s="18" t="n"/>
      <c r="EX64" s="18" t="n"/>
      <c r="EY64" s="18" t="n"/>
      <c r="EZ64" s="18" t="n"/>
      <c r="FA64" s="18" t="n"/>
      <c r="FB64" s="18" t="n"/>
      <c r="FC64" s="18" t="n"/>
      <c r="FD64" s="18" t="n"/>
      <c r="FE64" s="18" t="n"/>
      <c r="FF64" s="18" t="n"/>
      <c r="FG64" s="18" t="n"/>
      <c r="FH64" s="275" t="n"/>
      <c r="FI64" s="18" t="n"/>
      <c r="FJ64" s="18" t="n"/>
      <c r="FK64" s="275" t="n"/>
      <c r="FL64" s="18" t="n"/>
      <c r="FM64" s="18" t="n"/>
      <c r="FN64" s="18" t="n"/>
      <c r="FO64" s="18" t="n"/>
      <c r="FP64" s="18" t="n"/>
      <c r="FQ64" s="275" t="n"/>
      <c r="FR64" s="18" t="n"/>
      <c r="FS64" s="18" t="n"/>
      <c r="FT64" s="18" t="n"/>
      <c r="FU64" s="18" t="n"/>
      <c r="FV64" s="18" t="n"/>
      <c r="FW64" s="18" t="n"/>
      <c r="FX64" s="18" t="n"/>
      <c r="FY64" s="18" t="n"/>
      <c r="FZ64" s="275" t="n"/>
      <c r="GA64" s="18" t="n">
        <v>4</v>
      </c>
      <c r="GB64" s="18" t="n"/>
      <c r="GC64" s="18" t="n"/>
      <c r="GD64" s="275" t="n"/>
      <c r="GE64" s="18" t="n">
        <v>2</v>
      </c>
      <c r="GF64" s="18" t="n"/>
      <c r="GG64" s="18" t="n"/>
      <c r="GH64" s="18" t="n"/>
      <c r="GI64" s="18" t="n"/>
      <c r="GJ64" s="18" t="n"/>
      <c r="GK64" s="18" t="n"/>
      <c r="GL64" s="18" t="n"/>
      <c r="GM64" s="18" t="n"/>
      <c r="GN64" s="18" t="n"/>
      <c r="GO64" s="18" t="n"/>
      <c r="GP64" s="18" t="n"/>
      <c r="GQ64" s="18" t="n">
        <v>1</v>
      </c>
      <c r="GR64" s="18" t="n"/>
      <c r="GS64" s="18" t="n"/>
      <c r="GT64" s="18" t="n"/>
      <c r="GU64" s="18" t="n"/>
      <c r="GY64" s="720" t="n"/>
    </row>
    <row r="65" hidden="1" ht="18.75" customHeight="1">
      <c r="A65" s="43" t="inlineStr">
        <is>
          <t>TAG  QDB</t>
        </is>
      </c>
      <c r="B65" s="149" t="n">
        <v>300</v>
      </c>
      <c r="C65" s="726" t="n">
        <v>53.97</v>
      </c>
      <c r="D65" s="329" t="n">
        <v>1</v>
      </c>
      <c r="F65" s="9" t="n">
        <v>3</v>
      </c>
      <c r="G65" s="9" t="n">
        <v>3</v>
      </c>
      <c r="H65" s="9" t="n">
        <v>1</v>
      </c>
      <c r="I65" s="9" t="n">
        <v>1</v>
      </c>
      <c r="J65" s="9" t="n">
        <v>1</v>
      </c>
      <c r="K65" s="9" t="n">
        <v>1</v>
      </c>
      <c r="L65" s="9" t="n">
        <v>1</v>
      </c>
      <c r="M65" s="9" t="n">
        <v>1</v>
      </c>
      <c r="N65" s="9">
        <f>1+GB64</f>
        <v/>
      </c>
      <c r="O65" s="9" t="n">
        <v>2</v>
      </c>
      <c r="P65" s="9" t="n">
        <v>6</v>
      </c>
      <c r="Q65" s="9" t="n">
        <v>10</v>
      </c>
      <c r="R65" s="9" t="n">
        <v>13</v>
      </c>
      <c r="S65" s="9" t="n">
        <v>13</v>
      </c>
      <c r="T65" s="9" t="n">
        <v>13</v>
      </c>
      <c r="U65" s="9" t="n">
        <v>13</v>
      </c>
      <c r="V65" s="9" t="n">
        <v>13</v>
      </c>
      <c r="W65" s="9" t="n">
        <v>13</v>
      </c>
      <c r="X65" s="9" t="n">
        <v>13</v>
      </c>
      <c r="Y65" s="9" t="n">
        <v>13</v>
      </c>
      <c r="Z65" s="9" t="n">
        <v>13</v>
      </c>
      <c r="AA65" s="9" t="n">
        <v>13</v>
      </c>
      <c r="AB65" s="9" t="n">
        <v>13</v>
      </c>
      <c r="AC65" s="9" t="n">
        <v>13</v>
      </c>
      <c r="AD65" s="9" t="n">
        <v>13</v>
      </c>
      <c r="AE65" s="9" t="n">
        <v>13</v>
      </c>
      <c r="AF65" s="9" t="n">
        <v>13</v>
      </c>
      <c r="AG65" s="9" t="n">
        <v>13</v>
      </c>
      <c r="AH65" s="9" t="n">
        <v>13</v>
      </c>
      <c r="AI65" s="9" t="n">
        <v>13</v>
      </c>
      <c r="AJ65" s="9" t="n">
        <v>13</v>
      </c>
      <c r="AK65" s="9" t="n">
        <v>13</v>
      </c>
      <c r="AL65" s="9" t="n">
        <v>13</v>
      </c>
      <c r="AM65" s="9" t="n">
        <v>13</v>
      </c>
      <c r="AN65" s="9" t="n">
        <v>13</v>
      </c>
      <c r="AO65" s="9" t="n">
        <v>13</v>
      </c>
      <c r="AP65" s="9" t="n">
        <v>13</v>
      </c>
      <c r="AQ65" s="9" t="n">
        <v>13</v>
      </c>
      <c r="AR65" s="9" t="n">
        <v>13</v>
      </c>
      <c r="AS65" s="9" t="n">
        <v>13</v>
      </c>
      <c r="AT65" s="9" t="n">
        <v>13</v>
      </c>
      <c r="AU65" s="9" t="n">
        <v>13</v>
      </c>
      <c r="AV65" s="9" t="n">
        <v>13</v>
      </c>
      <c r="AW65" s="9" t="n">
        <v>13</v>
      </c>
      <c r="AX65" s="9" t="n">
        <v>13</v>
      </c>
      <c r="AY65" s="9" t="n">
        <v>13</v>
      </c>
      <c r="AZ65" s="9" t="n">
        <v>13</v>
      </c>
      <c r="BA65" s="9" t="n">
        <v>13</v>
      </c>
      <c r="BB65" s="190" t="n">
        <v>10</v>
      </c>
      <c r="BC65" s="9" t="n">
        <v>10</v>
      </c>
      <c r="BD65" s="9" t="n">
        <v>10</v>
      </c>
      <c r="BE65" s="9" t="n">
        <v>10</v>
      </c>
      <c r="BF65" s="9" t="n">
        <v>10</v>
      </c>
      <c r="BG65" s="9" t="n">
        <v>10</v>
      </c>
      <c r="BH65" s="9" t="n">
        <v>10</v>
      </c>
      <c r="BI65" s="9">
        <f>11+7</f>
        <v/>
      </c>
      <c r="BJ65" s="9" t="n">
        <v>18</v>
      </c>
      <c r="BK65" s="9" t="n">
        <v>17</v>
      </c>
      <c r="BL65" s="9" t="n">
        <v>11</v>
      </c>
      <c r="BM65" s="9" t="n">
        <v>7</v>
      </c>
      <c r="BN65" s="9" t="n">
        <v>0</v>
      </c>
      <c r="BO65" s="9" t="n">
        <v>0</v>
      </c>
      <c r="BP65" s="9" t="n">
        <v>0</v>
      </c>
      <c r="BQ65" s="9" t="n">
        <v>0</v>
      </c>
      <c r="BR65" s="9" t="n">
        <v>0</v>
      </c>
      <c r="BS65" s="9" t="n">
        <v>0</v>
      </c>
      <c r="BT65" s="9" t="n">
        <v>0</v>
      </c>
      <c r="BU65" s="9" t="n">
        <v>0</v>
      </c>
      <c r="BV65" s="9" t="n">
        <v>0</v>
      </c>
      <c r="BW65" s="9" t="n">
        <v>0</v>
      </c>
      <c r="BX65" s="9" t="n">
        <v>0</v>
      </c>
      <c r="BY65" s="9" t="n"/>
      <c r="BZ65" s="9" t="n"/>
      <c r="CA65" s="9" t="n"/>
      <c r="CB65" s="9" t="n"/>
      <c r="CC65" s="9" t="n"/>
      <c r="CD65" s="9" t="n"/>
      <c r="CE65" s="9" t="n"/>
      <c r="CF65" s="154">
        <f>CD65+IF(NOT(ISBLANK(OFFSET(CF65,0,6))),N(OFFSET(CF65,0,6)),N(OFFSET(CF65,0,7)))-CE65</f>
        <v/>
      </c>
      <c r="CG65" s="6" t="n"/>
      <c r="CH65" s="317" t="n"/>
      <c r="CI65" s="317" t="n"/>
      <c r="CJ65" s="49" t="n"/>
      <c r="CK65" s="27" t="n"/>
      <c r="CL65" s="18" t="n">
        <v>0</v>
      </c>
      <c r="CM65" s="18" t="n">
        <v>0</v>
      </c>
      <c r="CN65" s="18" t="n">
        <v>0</v>
      </c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8" t="n"/>
      <c r="DA65" s="18" t="n"/>
      <c r="DB65" s="18" t="n"/>
      <c r="DC65" s="18" t="n"/>
      <c r="DD65" s="154" t="inlineStr">
        <is>
          <t>7 DE ER PBE</t>
        </is>
      </c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18" t="n"/>
      <c r="DP65" s="18" t="n"/>
      <c r="DQ65" s="18" t="n"/>
      <c r="DR65" s="18" t="n"/>
      <c r="DS65" s="18" t="n"/>
      <c r="DT65" s="18" t="n"/>
      <c r="DU65" s="18" t="n"/>
      <c r="DV65" s="18" t="n"/>
      <c r="DW65" s="18" t="n"/>
      <c r="DX65" s="18" t="n"/>
      <c r="DY65" s="396" t="n"/>
      <c r="DZ65" s="18" t="n"/>
      <c r="EA65" s="18" t="n"/>
      <c r="EB65" s="256" t="n"/>
      <c r="EC65" s="256" t="n"/>
      <c r="ED65" s="256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18" t="n"/>
      <c r="ET65" s="18" t="n"/>
      <c r="EU65" s="18" t="n"/>
      <c r="EV65" s="18" t="n"/>
      <c r="EW65" s="18" t="n"/>
      <c r="EX65" s="18" t="n"/>
      <c r="EY65" s="18" t="n"/>
      <c r="EZ65" s="18" t="n"/>
      <c r="FA65" s="18" t="n"/>
      <c r="FB65" s="18" t="n"/>
      <c r="FC65" s="18" t="n"/>
      <c r="FD65" s="18" t="n"/>
      <c r="FE65" s="18" t="n"/>
      <c r="FF65" s="18" t="n"/>
      <c r="FG65" s="18" t="n"/>
      <c r="FH65" s="256" t="n"/>
      <c r="FI65" s="18" t="n"/>
      <c r="FJ65" s="18" t="n"/>
      <c r="FK65" s="256" t="n"/>
      <c r="FL65" s="18" t="n"/>
      <c r="FM65" s="18" t="n"/>
      <c r="FN65" s="18" t="n"/>
      <c r="FO65" s="18" t="n"/>
      <c r="FP65" s="18" t="n"/>
      <c r="FQ65" s="256" t="n"/>
      <c r="FR65" s="18" t="n"/>
      <c r="FS65" s="18" t="n"/>
      <c r="FT65" s="18" t="n"/>
      <c r="FU65" s="18" t="n"/>
      <c r="FV65" s="18" t="n"/>
      <c r="FW65" s="18" t="n"/>
      <c r="FX65" s="18" t="n"/>
      <c r="FY65" s="18" t="n"/>
      <c r="FZ65" s="256" t="n"/>
      <c r="GA65" s="18" t="n"/>
      <c r="GB65" s="18" t="n"/>
      <c r="GC65" s="18" t="n"/>
      <c r="GD65" s="256" t="n"/>
      <c r="GE65" s="18" t="n"/>
      <c r="GF65" s="18" t="n"/>
      <c r="GG65" s="18" t="n"/>
      <c r="GH65" s="18" t="n"/>
      <c r="GI65" s="18" t="n"/>
      <c r="GJ65" s="18" t="n"/>
      <c r="GK65" s="18" t="n"/>
      <c r="GL65" s="18" t="n"/>
      <c r="GM65" s="18" t="n"/>
      <c r="GN65" s="18" t="n"/>
      <c r="GO65" s="18" t="n"/>
      <c r="GP65" s="18" t="n"/>
      <c r="GQ65" s="18" t="n">
        <v>5</v>
      </c>
      <c r="GR65" s="18" t="n"/>
      <c r="GS65" s="18" t="n"/>
      <c r="GT65" s="18" t="n"/>
      <c r="GU65" s="18" t="n"/>
      <c r="GY65" s="720" t="n"/>
    </row>
    <row r="66" hidden="1" ht="18.75" customHeight="1">
      <c r="A66" s="43" t="inlineStr">
        <is>
          <t>LÂMINA  QDB</t>
        </is>
      </c>
      <c r="B66" s="149" t="n">
        <v>1000</v>
      </c>
      <c r="C66" s="726" t="n">
        <v>213</v>
      </c>
      <c r="D66" s="329" t="n">
        <v>0</v>
      </c>
      <c r="F66" s="9" t="n">
        <v>3</v>
      </c>
      <c r="G66" s="9" t="n">
        <v>3</v>
      </c>
      <c r="H66" s="9" t="n">
        <v>8</v>
      </c>
      <c r="I66" s="9" t="n">
        <v>8</v>
      </c>
      <c r="J66" s="9" t="n">
        <v>8</v>
      </c>
      <c r="K66" s="9" t="n">
        <v>8</v>
      </c>
      <c r="L66" s="9" t="n">
        <v>8</v>
      </c>
      <c r="M66" s="9" t="n">
        <v>8</v>
      </c>
      <c r="N66" s="9" t="n">
        <v>8</v>
      </c>
      <c r="O66" s="9" t="n">
        <v>8</v>
      </c>
      <c r="P66" s="9" t="n">
        <v>8</v>
      </c>
      <c r="Q66" s="9" t="n">
        <v>8</v>
      </c>
      <c r="R66" s="9" t="n">
        <v>8</v>
      </c>
      <c r="S66" s="9" t="n">
        <v>8</v>
      </c>
      <c r="T66" s="9" t="n">
        <v>8</v>
      </c>
      <c r="U66" s="9" t="n">
        <v>8</v>
      </c>
      <c r="V66" s="9" t="n">
        <v>8</v>
      </c>
      <c r="W66" s="9" t="n">
        <v>8</v>
      </c>
      <c r="X66" s="9" t="n">
        <v>8</v>
      </c>
      <c r="Y66" s="9" t="n">
        <v>8</v>
      </c>
      <c r="Z66" s="9" t="n">
        <v>8</v>
      </c>
      <c r="AA66" s="9" t="n">
        <v>8</v>
      </c>
      <c r="AB66" s="9" t="n">
        <v>8</v>
      </c>
      <c r="AC66" s="9" t="n">
        <v>8</v>
      </c>
      <c r="AD66" s="9" t="n">
        <v>8</v>
      </c>
      <c r="AE66" s="9" t="n">
        <v>8</v>
      </c>
      <c r="AF66" s="9" t="n">
        <v>8</v>
      </c>
      <c r="AG66" s="9" t="n">
        <v>8</v>
      </c>
      <c r="AH66" s="9" t="n">
        <v>8</v>
      </c>
      <c r="AI66" s="9" t="n">
        <v>8</v>
      </c>
      <c r="AJ66" s="9" t="n">
        <v>8</v>
      </c>
      <c r="AK66" s="9" t="n">
        <v>8</v>
      </c>
      <c r="AL66" s="9" t="n">
        <v>8</v>
      </c>
      <c r="AM66" s="9" t="n">
        <v>8</v>
      </c>
      <c r="AN66" s="9" t="n">
        <v>8</v>
      </c>
      <c r="AO66" s="9" t="n">
        <v>8</v>
      </c>
      <c r="AP66" s="9" t="n">
        <v>8</v>
      </c>
      <c r="AQ66" s="9" t="n">
        <v>7</v>
      </c>
      <c r="AR66" s="9" t="n">
        <v>7</v>
      </c>
      <c r="AS66" s="9" t="n">
        <v>7</v>
      </c>
      <c r="AT66" s="9" t="n">
        <v>7</v>
      </c>
      <c r="AU66" s="9" t="n">
        <v>7</v>
      </c>
      <c r="AV66" s="9" t="n">
        <v>7</v>
      </c>
      <c r="AW66" s="9" t="n">
        <v>7</v>
      </c>
      <c r="AX66" s="9" t="n">
        <v>7</v>
      </c>
      <c r="AY66" s="9" t="n">
        <v>7</v>
      </c>
      <c r="AZ66" s="9" t="n">
        <v>7</v>
      </c>
      <c r="BA66" s="9" t="n">
        <v>7</v>
      </c>
      <c r="BB66" s="190" t="n">
        <v>7</v>
      </c>
      <c r="BC66" s="9" t="n">
        <v>5</v>
      </c>
      <c r="BD66" s="9" t="n">
        <v>5</v>
      </c>
      <c r="BE66" s="9" t="n">
        <v>5</v>
      </c>
      <c r="BF66" s="9" t="n">
        <v>5</v>
      </c>
      <c r="BG66" s="9" t="n">
        <v>5</v>
      </c>
      <c r="BH66" s="9" t="n">
        <v>4</v>
      </c>
      <c r="BI66" s="9">
        <f>5+3</f>
        <v/>
      </c>
      <c r="BJ66" s="9" t="n">
        <v>6</v>
      </c>
      <c r="BK66" s="9" t="n">
        <v>5</v>
      </c>
      <c r="BL66" s="9" t="n">
        <v>5</v>
      </c>
      <c r="BM66" s="9" t="n">
        <v>5</v>
      </c>
      <c r="BN66" s="9" t="n">
        <v>0</v>
      </c>
      <c r="BO66" s="9" t="n">
        <v>0</v>
      </c>
      <c r="BP66" s="9" t="n">
        <v>0</v>
      </c>
      <c r="BQ66" s="9" t="n">
        <v>0</v>
      </c>
      <c r="BR66" s="9" t="n">
        <v>0</v>
      </c>
      <c r="BS66" s="9" t="n">
        <v>0</v>
      </c>
      <c r="BT66" s="9" t="n">
        <v>0</v>
      </c>
      <c r="BU66" s="9" t="n">
        <v>0</v>
      </c>
      <c r="BV66" s="9" t="n">
        <v>0</v>
      </c>
      <c r="BW66" s="9" t="n">
        <v>0</v>
      </c>
      <c r="BX66" s="9" t="n">
        <v>0</v>
      </c>
      <c r="BY66" s="9" t="n"/>
      <c r="BZ66" s="9" t="n"/>
      <c r="CA66" s="9" t="n"/>
      <c r="CB66" s="9" t="n"/>
      <c r="CC66" s="9" t="n"/>
      <c r="CD66" s="9" t="n"/>
      <c r="CE66" s="9" t="n"/>
      <c r="CF66" s="154">
        <f>CD66+IF(NOT(ISBLANK(OFFSET(CF66,0,6))),N(OFFSET(CF66,0,6)),N(OFFSET(CF66,0,7)))-CE66</f>
        <v/>
      </c>
      <c r="CG66" s="6" t="n"/>
      <c r="CH66" s="317" t="n"/>
      <c r="CI66" s="317" t="n"/>
      <c r="CJ66" s="49" t="n"/>
      <c r="CK66" s="27" t="n"/>
      <c r="CL66" s="18" t="n">
        <v>0</v>
      </c>
      <c r="CM66" s="18" t="n">
        <v>0</v>
      </c>
      <c r="CN66" s="18" t="n">
        <v>0</v>
      </c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8" t="n"/>
      <c r="DA66" s="18" t="n"/>
      <c r="DB66" s="18" t="n"/>
      <c r="DC66" s="18" t="n"/>
      <c r="DD66" s="154" t="inlineStr">
        <is>
          <t>3 DE ER PBE</t>
        </is>
      </c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18" t="n"/>
      <c r="DP66" s="18" t="n"/>
      <c r="DQ66" s="18" t="n"/>
      <c r="DR66" s="18" t="n"/>
      <c r="DS66" s="18" t="n"/>
      <c r="DT66" s="18" t="n"/>
      <c r="DU66" s="18" t="n"/>
      <c r="DV66" s="18" t="n"/>
      <c r="DW66" s="18" t="n"/>
      <c r="DX66" s="18" t="n"/>
      <c r="DY66" s="396" t="n"/>
      <c r="DZ66" s="18" t="n"/>
      <c r="EA66" s="18" t="n"/>
      <c r="EB66" s="256" t="n"/>
      <c r="EC66" s="256" t="n"/>
      <c r="ED66" s="256" t="n"/>
      <c r="EE66" s="18" t="n"/>
      <c r="EF66" s="18" t="n"/>
      <c r="EG66" s="18" t="n"/>
      <c r="EH66" s="18" t="n"/>
      <c r="EI66" s="18" t="n"/>
      <c r="EJ66" s="18" t="n"/>
      <c r="EK66" s="18" t="n"/>
      <c r="EL66" s="18" t="n"/>
      <c r="EM66" s="18" t="n"/>
      <c r="EN66" s="18" t="n"/>
      <c r="EO66" s="18" t="n"/>
      <c r="EP66" s="18" t="n"/>
      <c r="EQ66" s="18" t="n"/>
      <c r="ER66" s="18" t="n"/>
      <c r="ES66" s="18" t="n"/>
      <c r="ET66" s="18" t="n"/>
      <c r="EU66" s="18" t="n"/>
      <c r="EV66" s="18" t="n"/>
      <c r="EW66" s="18" t="n"/>
      <c r="EX66" s="18" t="n"/>
      <c r="EY66" s="18" t="n"/>
      <c r="EZ66" s="260" t="n"/>
      <c r="FA66" s="18" t="n"/>
      <c r="FB66" s="260" t="n"/>
      <c r="FC66" s="260" t="n"/>
      <c r="FD66" s="260" t="n"/>
      <c r="FE66" s="18" t="n"/>
      <c r="FF66" s="18" t="n"/>
      <c r="FG66" s="260" t="n"/>
      <c r="FH66" s="256" t="n"/>
      <c r="FI66" s="260" t="n"/>
      <c r="FJ66" s="260" t="n"/>
      <c r="FK66" s="256" t="n"/>
      <c r="FL66" s="239" t="inlineStr">
        <is>
          <t>124 DE CD</t>
        </is>
      </c>
      <c r="FM66" s="18" t="n"/>
      <c r="FN66" s="18" t="n"/>
      <c r="FO66" s="18" t="n"/>
      <c r="FP66" s="260" t="n"/>
      <c r="FQ66" s="256" t="n"/>
      <c r="FR66" s="18" t="n"/>
      <c r="FS66" s="18" t="n"/>
      <c r="FT66" s="18" t="n"/>
      <c r="FU66" s="18" t="n"/>
      <c r="FV66" s="260" t="n"/>
      <c r="FW66" s="18" t="n"/>
      <c r="FX66" s="18" t="n"/>
      <c r="FY66" s="18" t="n"/>
      <c r="FZ66" s="256" t="n"/>
      <c r="GA66" s="18" t="n"/>
      <c r="GB66" s="18" t="n"/>
      <c r="GC66" s="18" t="n"/>
      <c r="GD66" s="256" t="n"/>
      <c r="GE66" s="18" t="n"/>
      <c r="GF66" s="18" t="n"/>
      <c r="GG66" s="18" t="n"/>
      <c r="GH66" s="18" t="n"/>
      <c r="GI66" s="18" t="n">
        <v>150</v>
      </c>
      <c r="GJ66" s="18" t="n"/>
      <c r="GK66" s="18" t="n"/>
      <c r="GL66" s="18" t="n"/>
      <c r="GM66" s="18" t="n"/>
      <c r="GN66" s="18" t="n"/>
      <c r="GO66" s="18" t="n"/>
      <c r="GP66" s="18" t="n"/>
      <c r="GQ66" s="18" t="n"/>
      <c r="GR66" s="18" t="n"/>
      <c r="GS66" s="18" t="n"/>
      <c r="GT66" s="18" t="n"/>
      <c r="GU66" s="18" t="n"/>
      <c r="GY66" s="720" t="n"/>
    </row>
    <row r="67" hidden="1" ht="18.75" customHeight="1">
      <c r="A67" s="43" t="inlineStr">
        <is>
          <t>CAIXA P  QDB</t>
        </is>
      </c>
      <c r="B67" s="149" t="n">
        <v>150</v>
      </c>
      <c r="C67" s="726" t="n">
        <v>306</v>
      </c>
      <c r="D67" s="329" t="n">
        <v>15</v>
      </c>
      <c r="F67" s="9" t="n">
        <v>0</v>
      </c>
      <c r="G67" s="9" t="n">
        <v>0</v>
      </c>
      <c r="H67" s="9" t="n">
        <v>0</v>
      </c>
      <c r="I67" s="9" t="n">
        <v>0</v>
      </c>
      <c r="J67" s="38" t="n">
        <v>0</v>
      </c>
      <c r="K67" s="38" t="n">
        <v>0</v>
      </c>
      <c r="L67" s="38">
        <f>0+GF66</f>
        <v/>
      </c>
      <c r="M67" s="38" t="n">
        <v>150</v>
      </c>
      <c r="N67" s="38" t="n">
        <v>150</v>
      </c>
      <c r="O67" s="38" t="n">
        <v>150</v>
      </c>
      <c r="P67" s="38" t="n">
        <v>150</v>
      </c>
      <c r="Q67" s="38" t="n">
        <v>150</v>
      </c>
      <c r="R67" s="38" t="n">
        <v>150</v>
      </c>
      <c r="S67" s="38" t="n">
        <v>150</v>
      </c>
      <c r="T67" s="38" t="n">
        <v>150</v>
      </c>
      <c r="U67" s="38" t="n">
        <v>150</v>
      </c>
      <c r="V67" s="38" t="n">
        <v>150</v>
      </c>
      <c r="W67" s="38" t="n">
        <v>150</v>
      </c>
      <c r="X67" s="38" t="n">
        <v>150</v>
      </c>
      <c r="Y67" s="38" t="n">
        <v>150</v>
      </c>
      <c r="Z67" s="38">
        <f>150+124</f>
        <v/>
      </c>
      <c r="AA67" s="38" t="n">
        <v>274</v>
      </c>
      <c r="AB67" s="38" t="n">
        <v>275</v>
      </c>
      <c r="AC67" s="38" t="n">
        <v>275</v>
      </c>
      <c r="AD67" s="261" t="n">
        <v>180</v>
      </c>
      <c r="AE67" s="38" t="n">
        <v>155</v>
      </c>
      <c r="AF67" s="38" t="n">
        <v>155</v>
      </c>
      <c r="AG67" s="38" t="n">
        <v>153</v>
      </c>
      <c r="AH67" s="38" t="n">
        <v>153</v>
      </c>
      <c r="AI67" s="38" t="n">
        <v>153</v>
      </c>
      <c r="AJ67" s="38" t="n">
        <v>154</v>
      </c>
      <c r="AK67" s="38" t="n">
        <v>4</v>
      </c>
      <c r="AL67" s="38" t="n">
        <v>4</v>
      </c>
      <c r="AM67" s="38" t="n">
        <v>4</v>
      </c>
      <c r="AN67" s="38" t="n">
        <v>4</v>
      </c>
      <c r="AO67" s="38" t="n">
        <v>4</v>
      </c>
      <c r="AP67" s="38" t="n">
        <v>3</v>
      </c>
      <c r="AQ67" s="38" t="n">
        <v>3</v>
      </c>
      <c r="AR67" s="38" t="n">
        <v>3</v>
      </c>
      <c r="AS67" s="261" t="n">
        <v>28</v>
      </c>
      <c r="AT67" s="261" t="n">
        <v>28</v>
      </c>
      <c r="AU67" s="261" t="n">
        <v>3</v>
      </c>
      <c r="AV67" s="261" t="n">
        <v>3</v>
      </c>
      <c r="AW67" s="38" t="n">
        <v>3</v>
      </c>
      <c r="AX67" s="38" t="n">
        <v>3</v>
      </c>
      <c r="AY67" s="38" t="n">
        <v>2</v>
      </c>
      <c r="AZ67" s="38" t="n">
        <v>2</v>
      </c>
      <c r="BA67" s="38" t="n">
        <v>2</v>
      </c>
      <c r="BB67" s="38" t="n">
        <v>2</v>
      </c>
      <c r="BC67" s="38" t="n">
        <v>2</v>
      </c>
      <c r="BD67" s="38" t="n">
        <v>2</v>
      </c>
      <c r="BE67" s="38" t="n">
        <v>2</v>
      </c>
      <c r="BF67" s="38" t="n">
        <v>2</v>
      </c>
      <c r="BG67" s="38" t="n">
        <v>2</v>
      </c>
      <c r="BH67" s="38" t="n">
        <v>2</v>
      </c>
      <c r="BI67" s="38" t="n">
        <v>2</v>
      </c>
      <c r="BJ67" s="38" t="n">
        <v>2</v>
      </c>
      <c r="BK67" s="38" t="n">
        <v>2</v>
      </c>
      <c r="BL67" s="38" t="n">
        <v>2</v>
      </c>
      <c r="BM67" s="38" t="n">
        <v>2</v>
      </c>
      <c r="BN67" s="38" t="n">
        <v>2</v>
      </c>
      <c r="BO67" s="38" t="n">
        <v>2</v>
      </c>
      <c r="BP67" s="38" t="n">
        <v>0</v>
      </c>
      <c r="BQ67" s="38" t="n">
        <v>0</v>
      </c>
      <c r="BR67" s="38" t="n">
        <v>0</v>
      </c>
      <c r="BS67" s="38" t="n">
        <v>0</v>
      </c>
      <c r="BT67" s="38" t="n">
        <v>0</v>
      </c>
      <c r="BU67" s="38" t="n">
        <v>0</v>
      </c>
      <c r="BV67" s="38" t="n">
        <v>0</v>
      </c>
      <c r="BW67" s="38" t="n">
        <v>0</v>
      </c>
      <c r="BX67" s="38" t="n">
        <v>0</v>
      </c>
      <c r="BY67" s="38" t="n"/>
      <c r="BZ67" s="38" t="n"/>
      <c r="CA67" s="38" t="n"/>
      <c r="CB67" s="38" t="n"/>
      <c r="CC67" s="9" t="n"/>
      <c r="CD67" s="9" t="n"/>
      <c r="CE67" s="9" t="n"/>
      <c r="CF67" s="154">
        <f>CD67+IF(NOT(ISBLANK(OFFSET(CF67,0,6))),N(OFFSET(CF67,0,6)),N(OFFSET(CF67,0,7)))-CE67</f>
        <v/>
      </c>
      <c r="CG67" s="6" t="n"/>
      <c r="CH67" s="317" t="n"/>
      <c r="CI67" s="317" t="n"/>
      <c r="CJ67" s="49" t="n"/>
      <c r="CK67" s="27" t="n"/>
      <c r="CL67" s="18" t="n">
        <v>0</v>
      </c>
      <c r="CM67" s="18" t="n">
        <v>0</v>
      </c>
      <c r="CN67" s="18" t="n">
        <v>0</v>
      </c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18" t="n"/>
      <c r="DP67" s="18" t="n"/>
      <c r="DQ67" s="18" t="n"/>
      <c r="DR67" s="18" t="n"/>
      <c r="DS67" s="18" t="n"/>
      <c r="DT67" s="18" t="n"/>
      <c r="DU67" s="18" t="n"/>
      <c r="DV67" s="18" t="n"/>
      <c r="DW67" s="18" t="n"/>
      <c r="DX67" s="18" t="n"/>
      <c r="DY67" s="396" t="n"/>
      <c r="DZ67" s="18" t="n"/>
      <c r="EA67" s="18" t="n"/>
      <c r="EB67" s="251" t="n"/>
      <c r="EC67" s="251" t="n"/>
      <c r="ED67" s="251" t="n"/>
      <c r="EE67" s="18" t="n"/>
      <c r="EF67" s="18" t="n"/>
      <c r="EG67" s="18" t="n"/>
      <c r="EH67" s="18" t="n"/>
      <c r="EI67" s="18" t="n"/>
      <c r="EJ67" s="18" t="n"/>
      <c r="EK67" s="18" t="n"/>
      <c r="EL67" s="18" t="n"/>
      <c r="EM67" s="18" t="n"/>
      <c r="EN67" s="18" t="n"/>
      <c r="EO67" s="18" t="n"/>
      <c r="EP67" s="18" t="n"/>
      <c r="EQ67" s="18" t="n"/>
      <c r="ER67" s="18" t="n"/>
      <c r="ES67" s="18" t="n"/>
      <c r="ET67" s="18" t="n"/>
      <c r="EU67" s="18" t="n"/>
      <c r="EV67" s="18" t="n"/>
      <c r="EW67" s="18" t="n"/>
      <c r="EX67" s="18" t="n"/>
      <c r="EY67" s="18" t="n"/>
      <c r="EZ67" s="260" t="n"/>
      <c r="FA67" s="18" t="n"/>
      <c r="FB67" s="260" t="n"/>
      <c r="FC67" s="260" t="n"/>
      <c r="FD67" s="260" t="n"/>
      <c r="FE67" s="18" t="n"/>
      <c r="FF67" s="18" t="n"/>
      <c r="FG67" s="260" t="n"/>
      <c r="FH67" s="276" t="n"/>
      <c r="FI67" s="260" t="n"/>
      <c r="FJ67" s="260" t="n"/>
      <c r="FK67" s="276" t="n"/>
      <c r="FL67" s="239" t="inlineStr">
        <is>
          <t>50 DE CD</t>
        </is>
      </c>
      <c r="FM67" s="18" t="n"/>
      <c r="FN67" s="18" t="n"/>
      <c r="FO67" s="18" t="n"/>
      <c r="FP67" s="260" t="n"/>
      <c r="FQ67" s="276" t="n"/>
      <c r="FR67" s="18" t="n"/>
      <c r="FS67" s="18" t="n"/>
      <c r="FT67" s="18" t="n"/>
      <c r="FU67" s="18" t="n"/>
      <c r="FV67" s="18" t="n"/>
      <c r="FW67" s="18" t="n"/>
      <c r="FX67" s="18" t="n"/>
      <c r="FY67" s="18" t="n"/>
      <c r="FZ67" s="276" t="n"/>
      <c r="GA67" s="18" t="n"/>
      <c r="GB67" s="18" t="n"/>
      <c r="GC67" s="18" t="n"/>
      <c r="GD67" s="276" t="n"/>
      <c r="GE67" s="18" t="n"/>
      <c r="GF67" s="18" t="n"/>
      <c r="GG67" s="18" t="n"/>
      <c r="GH67" s="18" t="n"/>
      <c r="GI67" s="18" t="n">
        <v>75</v>
      </c>
      <c r="GJ67" s="18" t="n"/>
      <c r="GK67" s="18" t="n"/>
      <c r="GL67" s="18" t="n"/>
      <c r="GM67" s="18" t="n"/>
      <c r="GN67" s="18" t="n"/>
      <c r="GO67" s="18" t="n"/>
      <c r="GP67" s="18" t="n"/>
      <c r="GQ67" s="18" t="n"/>
      <c r="GR67" s="18" t="n"/>
      <c r="GS67" s="18" t="n"/>
      <c r="GT67" s="18" t="n"/>
      <c r="GU67" s="18" t="n"/>
      <c r="GY67" s="720" t="n"/>
    </row>
    <row r="68" hidden="1" ht="18.75" customHeight="1">
      <c r="A68" s="43" t="inlineStr">
        <is>
          <t>CAIXA M  QDB</t>
        </is>
      </c>
      <c r="B68" s="149" t="n">
        <v>75</v>
      </c>
      <c r="C68" s="726" t="n">
        <v>216.38</v>
      </c>
      <c r="D68" s="329" t="n">
        <v>15</v>
      </c>
      <c r="F68" s="38" t="n">
        <v>0</v>
      </c>
      <c r="G68" s="38" t="n">
        <v>0</v>
      </c>
      <c r="H68" s="38" t="n">
        <v>0</v>
      </c>
      <c r="I68" s="38" t="n">
        <v>0</v>
      </c>
      <c r="J68" s="38" t="n">
        <v>0</v>
      </c>
      <c r="K68" s="38" t="n">
        <v>0</v>
      </c>
      <c r="L68" s="38">
        <f>0+GF67</f>
        <v/>
      </c>
      <c r="M68" s="38" t="n">
        <v>75</v>
      </c>
      <c r="N68" s="38" t="n">
        <v>75</v>
      </c>
      <c r="O68" s="38" t="n">
        <v>75</v>
      </c>
      <c r="P68" s="38" t="n">
        <v>75</v>
      </c>
      <c r="Q68" s="38" t="n">
        <v>75</v>
      </c>
      <c r="R68" s="38" t="n">
        <v>75</v>
      </c>
      <c r="S68" s="38" t="n">
        <v>75</v>
      </c>
      <c r="T68" s="38" t="n">
        <v>75</v>
      </c>
      <c r="U68" s="38" t="n">
        <v>75</v>
      </c>
      <c r="V68" s="38" t="n">
        <v>75</v>
      </c>
      <c r="W68" s="38" t="n">
        <v>75</v>
      </c>
      <c r="X68" s="38" t="n">
        <v>75</v>
      </c>
      <c r="Y68" s="38" t="n">
        <v>75</v>
      </c>
      <c r="Z68" s="38">
        <f>75+50</f>
        <v/>
      </c>
      <c r="AA68" s="38" t="n">
        <v>125</v>
      </c>
      <c r="AB68" s="38" t="n">
        <v>75</v>
      </c>
      <c r="AC68" s="261" t="n">
        <v>1</v>
      </c>
      <c r="AD68" s="261" t="n">
        <v>1</v>
      </c>
      <c r="AE68" s="38" t="n">
        <v>1</v>
      </c>
      <c r="AF68" s="38" t="n">
        <v>1</v>
      </c>
      <c r="AG68" s="38" t="n">
        <v>1</v>
      </c>
      <c r="AH68" s="38" t="n">
        <v>1</v>
      </c>
      <c r="AI68" s="38" t="n">
        <v>1</v>
      </c>
      <c r="AJ68" s="38" t="n">
        <v>1</v>
      </c>
      <c r="AK68" s="38" t="n">
        <v>0</v>
      </c>
      <c r="AL68" s="38" t="n">
        <v>0</v>
      </c>
      <c r="AM68" s="38" t="n">
        <v>0</v>
      </c>
      <c r="AN68" s="38" t="n">
        <v>0</v>
      </c>
      <c r="AO68" s="38" t="n">
        <v>0</v>
      </c>
      <c r="AP68" s="38" t="n">
        <v>0</v>
      </c>
      <c r="AQ68" s="38" t="n">
        <v>0</v>
      </c>
      <c r="AR68" s="38" t="n">
        <v>0</v>
      </c>
      <c r="AS68" s="261" t="n">
        <v>20</v>
      </c>
      <c r="AT68" s="261" t="n">
        <v>20</v>
      </c>
      <c r="AU68" s="261" t="n">
        <v>20</v>
      </c>
      <c r="AV68" s="261" t="n">
        <v>20</v>
      </c>
      <c r="AW68" s="38" t="n">
        <v>10</v>
      </c>
      <c r="AX68" s="38" t="n">
        <v>10</v>
      </c>
      <c r="AY68" s="38" t="n">
        <v>9</v>
      </c>
      <c r="AZ68" s="38" t="n">
        <v>9</v>
      </c>
      <c r="BA68" s="38" t="n">
        <v>9</v>
      </c>
      <c r="BB68" s="38" t="n">
        <v>9</v>
      </c>
      <c r="BC68" s="38" t="n">
        <v>9</v>
      </c>
      <c r="BD68" s="38" t="n">
        <v>9</v>
      </c>
      <c r="BE68" s="38" t="n">
        <v>9</v>
      </c>
      <c r="BF68" s="38" t="n">
        <v>9</v>
      </c>
      <c r="BG68" s="38" t="n">
        <v>9</v>
      </c>
      <c r="BH68" s="38" t="n">
        <v>10</v>
      </c>
      <c r="BI68" s="38" t="n">
        <v>10</v>
      </c>
      <c r="BJ68" s="38" t="n">
        <v>10</v>
      </c>
      <c r="BK68" s="38" t="n">
        <v>10</v>
      </c>
      <c r="BL68" s="38" t="n">
        <v>10</v>
      </c>
      <c r="BM68" s="38" t="n">
        <v>10</v>
      </c>
      <c r="BN68" s="38" t="n">
        <v>10</v>
      </c>
      <c r="BO68" s="38" t="n">
        <v>10</v>
      </c>
      <c r="BP68" s="38" t="n">
        <v>0</v>
      </c>
      <c r="BQ68" s="38" t="n">
        <v>0</v>
      </c>
      <c r="BR68" s="38" t="n">
        <v>0</v>
      </c>
      <c r="BS68" s="38" t="n">
        <v>0</v>
      </c>
      <c r="BT68" s="38" t="n">
        <v>0</v>
      </c>
      <c r="BU68" s="38" t="n">
        <v>0</v>
      </c>
      <c r="BV68" s="38" t="n">
        <v>0</v>
      </c>
      <c r="BW68" s="38" t="n">
        <v>0</v>
      </c>
      <c r="BX68" s="38" t="n">
        <v>0</v>
      </c>
      <c r="BY68" s="38" t="n"/>
      <c r="BZ68" s="38" t="n"/>
      <c r="CA68" s="38" t="n"/>
      <c r="CB68" s="38" t="n"/>
      <c r="CC68" s="9" t="n"/>
      <c r="CD68" s="9" t="n"/>
      <c r="CE68" s="9" t="n"/>
      <c r="CF68" s="154">
        <f>CD68+IF(NOT(ISBLANK(OFFSET(CF68,0,6))),N(OFFSET(CF68,0,6)),N(OFFSET(CF68,0,7)))-CE68</f>
        <v/>
      </c>
      <c r="CG68" s="53" t="n"/>
      <c r="CH68" s="317" t="n"/>
      <c r="CI68" s="317" t="n"/>
      <c r="CJ68" s="49" t="n"/>
      <c r="CK68" s="27" t="n"/>
      <c r="CL68" s="18" t="n">
        <v>0</v>
      </c>
      <c r="CM68" s="18" t="n">
        <v>0</v>
      </c>
      <c r="CN68" s="18" t="n">
        <v>0</v>
      </c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18" t="n"/>
      <c r="DP68" s="18" t="n"/>
      <c r="DQ68" s="18" t="n"/>
      <c r="DR68" s="18" t="n"/>
      <c r="DS68" s="18" t="n"/>
      <c r="DT68" s="18" t="n"/>
      <c r="DU68" s="18" t="n"/>
      <c r="DV68" s="18" t="n"/>
      <c r="DW68" s="18" t="n"/>
      <c r="DX68" s="18" t="n"/>
      <c r="DY68" s="396" t="n"/>
      <c r="DZ68" s="18" t="n"/>
      <c r="EA68" s="18" t="n"/>
      <c r="EB68" s="256" t="n"/>
      <c r="EC68" s="256" t="n"/>
      <c r="ED68" s="256" t="n"/>
      <c r="EE68" s="18" t="n"/>
      <c r="EF68" s="18" t="n"/>
      <c r="EG68" s="18" t="n"/>
      <c r="EH68" s="18" t="n"/>
      <c r="EI68" s="18" t="n"/>
      <c r="EJ68" s="18" t="n"/>
      <c r="EK68" s="18" t="n"/>
      <c r="EL68" s="18" t="n"/>
      <c r="EM68" s="18" t="n"/>
      <c r="EN68" s="18" t="n"/>
      <c r="EO68" s="18" t="n"/>
      <c r="EP68" s="18" t="n"/>
      <c r="EQ68" s="18" t="n"/>
      <c r="ER68" s="18" t="n"/>
      <c r="ES68" s="18" t="n"/>
      <c r="ET68" s="18" t="n"/>
      <c r="EU68" s="18" t="n"/>
      <c r="EV68" s="18" t="n"/>
      <c r="EW68" s="18" t="n"/>
      <c r="EX68" s="18" t="n"/>
      <c r="EY68" s="18" t="n"/>
      <c r="EZ68" s="260" t="n"/>
      <c r="FA68" s="18" t="n"/>
      <c r="FB68" s="260" t="n"/>
      <c r="FC68" s="260" t="n"/>
      <c r="FD68" s="260" t="n"/>
      <c r="FE68" s="18" t="n"/>
      <c r="FF68" s="18" t="n"/>
      <c r="FG68" s="260" t="n"/>
      <c r="FH68" s="276" t="n"/>
      <c r="FI68" s="260" t="n"/>
      <c r="FJ68" s="260" t="n"/>
      <c r="FK68" s="276" t="n"/>
      <c r="FL68" s="239" t="inlineStr">
        <is>
          <t>138 DE CD</t>
        </is>
      </c>
      <c r="FM68" s="18" t="n"/>
      <c r="FN68" s="18" t="n"/>
      <c r="FO68" s="18" t="n"/>
      <c r="FP68" s="260" t="n"/>
      <c r="FQ68" s="276" t="n"/>
      <c r="FR68" s="18" t="n"/>
      <c r="FS68" s="18" t="n"/>
      <c r="FT68" s="18" t="n"/>
      <c r="FU68" s="18" t="n"/>
      <c r="FV68" s="260" t="n"/>
      <c r="FW68" s="18" t="n"/>
      <c r="FX68" s="18" t="n"/>
      <c r="FY68" s="18" t="n"/>
      <c r="FZ68" s="276" t="n"/>
      <c r="GA68" s="18" t="n"/>
      <c r="GB68" s="18" t="n"/>
      <c r="GC68" s="18" t="n"/>
      <c r="GD68" s="276" t="n"/>
      <c r="GE68" s="18" t="n"/>
      <c r="GF68" s="18" t="n"/>
      <c r="GG68" s="18" t="n"/>
      <c r="GH68" s="18" t="n"/>
      <c r="GI68" s="18" t="n">
        <v>100</v>
      </c>
      <c r="GJ68" s="18" t="n"/>
      <c r="GK68" s="18" t="n"/>
      <c r="GL68" s="18" t="n"/>
      <c r="GM68" s="18" t="n"/>
      <c r="GN68" s="18" t="n"/>
      <c r="GO68" s="18" t="n"/>
      <c r="GP68" s="18" t="n"/>
      <c r="GQ68" s="18" t="n"/>
      <c r="GR68" s="18" t="n"/>
      <c r="GS68" s="18" t="n"/>
      <c r="GT68" s="18" t="n"/>
      <c r="GU68" s="18" t="n"/>
      <c r="GY68" s="720" t="n"/>
    </row>
    <row r="69" hidden="1" ht="18.75" customHeight="1" thickBot="1">
      <c r="A69" s="43" t="inlineStr">
        <is>
          <t>CAIXA G  QDB</t>
        </is>
      </c>
      <c r="B69" s="149" t="n">
        <v>100</v>
      </c>
      <c r="C69" s="726" t="n">
        <v>306</v>
      </c>
      <c r="D69" s="329" t="n">
        <v>10</v>
      </c>
      <c r="F69" s="38" t="n">
        <v>0</v>
      </c>
      <c r="G69" s="38" t="n">
        <v>0</v>
      </c>
      <c r="H69" s="38" t="n">
        <v>0</v>
      </c>
      <c r="I69" s="38" t="n">
        <v>0</v>
      </c>
      <c r="J69" s="38" t="n">
        <v>0</v>
      </c>
      <c r="K69" s="38" t="n">
        <v>0</v>
      </c>
      <c r="L69" s="38">
        <f>0+GF68</f>
        <v/>
      </c>
      <c r="M69" s="38" t="n">
        <v>100</v>
      </c>
      <c r="N69" s="38" t="n">
        <v>99</v>
      </c>
      <c r="O69" s="38" t="n">
        <v>99</v>
      </c>
      <c r="P69" s="38" t="n">
        <v>100</v>
      </c>
      <c r="Q69" s="38" t="n">
        <v>100</v>
      </c>
      <c r="R69" s="38" t="n">
        <v>100</v>
      </c>
      <c r="S69" s="38" t="n">
        <v>100</v>
      </c>
      <c r="T69" s="38" t="n">
        <v>100</v>
      </c>
      <c r="U69" s="38" t="n">
        <v>100</v>
      </c>
      <c r="V69" s="38" t="n">
        <v>99</v>
      </c>
      <c r="W69" s="38" t="n">
        <v>99</v>
      </c>
      <c r="X69" s="38" t="n">
        <v>99</v>
      </c>
      <c r="Y69" s="38" t="n">
        <v>99</v>
      </c>
      <c r="Z69" s="38">
        <f>99+138</f>
        <v/>
      </c>
      <c r="AA69" s="38" t="n">
        <v>206</v>
      </c>
      <c r="AB69" s="38" t="n">
        <v>130</v>
      </c>
      <c r="AC69" s="261" t="n">
        <v>89</v>
      </c>
      <c r="AD69" s="261" t="n">
        <v>9</v>
      </c>
      <c r="AE69" s="38" t="n">
        <v>9</v>
      </c>
      <c r="AF69" s="38" t="n">
        <v>10</v>
      </c>
      <c r="AG69" s="38" t="n">
        <v>10</v>
      </c>
      <c r="AH69" s="38" t="n">
        <v>10</v>
      </c>
      <c r="AI69" s="38" t="n">
        <v>3</v>
      </c>
      <c r="AJ69" s="38" t="n">
        <v>3</v>
      </c>
      <c r="AK69" s="38" t="n">
        <v>2</v>
      </c>
      <c r="AL69" s="38" t="n">
        <v>2</v>
      </c>
      <c r="AM69" s="38" t="n">
        <v>2</v>
      </c>
      <c r="AN69" s="38" t="n">
        <v>2</v>
      </c>
      <c r="AO69" s="38" t="n">
        <v>2</v>
      </c>
      <c r="AP69" s="38" t="n">
        <v>0</v>
      </c>
      <c r="AQ69" s="38" t="n">
        <v>0</v>
      </c>
      <c r="AR69" s="38" t="n">
        <v>0</v>
      </c>
      <c r="AS69" s="261" t="n">
        <v>32</v>
      </c>
      <c r="AT69" s="261" t="n">
        <v>32</v>
      </c>
      <c r="AU69" s="261" t="n">
        <v>31</v>
      </c>
      <c r="AV69" s="261" t="n">
        <v>31</v>
      </c>
      <c r="AW69" s="38" t="n">
        <v>31</v>
      </c>
      <c r="AX69" s="38" t="n">
        <v>31</v>
      </c>
      <c r="AY69" s="38" t="n">
        <v>30</v>
      </c>
      <c r="AZ69" s="38" t="n">
        <v>30</v>
      </c>
      <c r="BA69" s="38" t="n">
        <v>30</v>
      </c>
      <c r="BB69" s="38" t="n">
        <v>30</v>
      </c>
      <c r="BC69" s="38" t="n">
        <v>0</v>
      </c>
      <c r="BD69" s="38" t="n">
        <v>0</v>
      </c>
      <c r="BE69" s="38" t="n">
        <v>0</v>
      </c>
      <c r="BF69" s="38" t="n">
        <v>0</v>
      </c>
      <c r="BG69" s="38" t="n">
        <v>0</v>
      </c>
      <c r="BH69" s="38" t="n">
        <v>0</v>
      </c>
      <c r="BI69" s="38" t="n">
        <v>0</v>
      </c>
      <c r="BJ69" s="38" t="n">
        <v>0</v>
      </c>
      <c r="BK69" s="38" t="n">
        <v>0</v>
      </c>
      <c r="BL69" s="38" t="n">
        <v>0</v>
      </c>
      <c r="BM69" s="38" t="n">
        <v>0</v>
      </c>
      <c r="BN69" s="38" t="n">
        <v>0</v>
      </c>
      <c r="BO69" s="38" t="n">
        <v>0</v>
      </c>
      <c r="BP69" s="38" t="n">
        <v>0</v>
      </c>
      <c r="BQ69" s="38" t="n">
        <v>0</v>
      </c>
      <c r="BR69" s="38" t="n">
        <v>0</v>
      </c>
      <c r="BS69" s="38" t="n">
        <v>0</v>
      </c>
      <c r="BT69" s="38" t="n">
        <v>0</v>
      </c>
      <c r="BU69" s="38" t="n">
        <v>0</v>
      </c>
      <c r="BV69" s="38" t="n">
        <v>0</v>
      </c>
      <c r="BW69" s="38" t="n">
        <v>0</v>
      </c>
      <c r="BX69" s="38" t="n">
        <v>0</v>
      </c>
      <c r="BY69" s="38" t="n"/>
      <c r="BZ69" s="38" t="n"/>
      <c r="CA69" s="38" t="n"/>
      <c r="CB69" s="38" t="n"/>
      <c r="CC69" s="9" t="n"/>
      <c r="CD69" s="9" t="n"/>
      <c r="CE69" s="9" t="n"/>
      <c r="CF69" s="154">
        <f>CD69+IF(NOT(ISBLANK(OFFSET(CF69,0,6))),N(OFFSET(CF69,0,6)),N(OFFSET(CF69,0,7)))-CE69</f>
        <v/>
      </c>
      <c r="CG69" s="6" t="n"/>
      <c r="CH69" s="317" t="n"/>
      <c r="CI69" s="317" t="n"/>
      <c r="CJ69" s="49" t="n"/>
      <c r="CK69" s="27" t="n"/>
      <c r="CL69" s="18" t="n">
        <v>0</v>
      </c>
      <c r="CM69" s="18" t="n">
        <v>0</v>
      </c>
      <c r="CN69" s="18" t="n">
        <v>0</v>
      </c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18" t="n"/>
      <c r="DP69" s="18" t="n"/>
      <c r="DQ69" s="18" t="n"/>
      <c r="DR69" s="18" t="n"/>
      <c r="DS69" s="18" t="n"/>
      <c r="DT69" s="18" t="n"/>
      <c r="DU69" s="18" t="n"/>
      <c r="DV69" s="18" t="n"/>
      <c r="DW69" s="18" t="n"/>
      <c r="DX69" s="18" t="n"/>
      <c r="DY69" s="396" t="n"/>
      <c r="DZ69" s="18" t="n"/>
      <c r="EA69" s="18" t="n"/>
      <c r="EB69" s="251" t="n"/>
      <c r="EC69" s="251" t="n"/>
      <c r="ED69" s="251" t="n"/>
      <c r="FH69" s="268" t="n"/>
      <c r="FK69" s="268" t="n"/>
      <c r="FQ69" s="268" t="n"/>
      <c r="FZ69" s="268" t="n"/>
      <c r="GD69" s="268" t="n"/>
      <c r="GV69" s="763" t="n"/>
      <c r="GW69" s="763" t="n"/>
      <c r="GX69" s="763" t="n"/>
      <c r="GY69" s="722" t="n"/>
    </row>
    <row r="70" hidden="1" ht="18.75" customHeight="1">
      <c r="EB70" s="271" t="n"/>
      <c r="EC70" s="271" t="n"/>
      <c r="ED70" s="271" t="n"/>
      <c r="EE70" s="654" t="n">
        <v>45903</v>
      </c>
      <c r="EF70" s="654" t="n">
        <v>45909</v>
      </c>
      <c r="EG70" s="654" t="n">
        <v>45903</v>
      </c>
      <c r="EH70" s="654" t="n">
        <v>45903</v>
      </c>
      <c r="EI70" s="654" t="n">
        <v>45895</v>
      </c>
      <c r="EJ70" s="679" t="n">
        <v>45896</v>
      </c>
      <c r="EK70" s="654" t="n">
        <v>45888</v>
      </c>
      <c r="EL70" s="654" t="n">
        <v>45881</v>
      </c>
      <c r="EM70" s="655" t="n">
        <v>45882</v>
      </c>
      <c r="EN70" s="654" t="n">
        <v>45874</v>
      </c>
      <c r="EO70" s="654" t="n">
        <v>45867</v>
      </c>
      <c r="EP70" s="654" t="n">
        <v>45860</v>
      </c>
      <c r="EQ70" s="654" t="n">
        <v>45853</v>
      </c>
      <c r="ER70" s="655" t="n">
        <v>45860</v>
      </c>
      <c r="ES70" s="681" t="n">
        <v>45855</v>
      </c>
      <c r="ET70" s="654" t="n">
        <v>45848</v>
      </c>
      <c r="EU70" s="681" t="n">
        <v>45853</v>
      </c>
      <c r="EV70" s="654" t="n">
        <v>45839</v>
      </c>
      <c r="EW70" s="681" t="n">
        <v>45791</v>
      </c>
      <c r="EX70" s="654" t="n">
        <v>45832</v>
      </c>
      <c r="EY70" s="654" t="n">
        <v>45825</v>
      </c>
      <c r="EZ70" s="655" t="n">
        <v>45826</v>
      </c>
      <c r="FA70" s="654" t="n">
        <v>45819</v>
      </c>
      <c r="FB70" s="655" t="n">
        <v>45819</v>
      </c>
      <c r="FC70" s="655" t="n">
        <v>45818</v>
      </c>
      <c r="FD70" s="655" t="n">
        <v>45807</v>
      </c>
      <c r="FE70" s="654" t="n">
        <v>45790</v>
      </c>
      <c r="FF70" s="654" t="n">
        <v>45798</v>
      </c>
      <c r="FG70" s="690" t="n">
        <v>45800</v>
      </c>
      <c r="FH70" s="650" t="n">
        <v>45799</v>
      </c>
      <c r="FI70" s="655" t="n">
        <v>45799</v>
      </c>
      <c r="FJ70" s="690" t="n">
        <v>45799</v>
      </c>
      <c r="FK70" s="650" t="n">
        <v>45798</v>
      </c>
      <c r="FL70" s="655" t="n">
        <v>45798</v>
      </c>
      <c r="FM70" s="655" t="n">
        <v>45797</v>
      </c>
      <c r="FN70" s="655" t="n">
        <v>45794</v>
      </c>
      <c r="FO70" s="654" t="n">
        <v>45790</v>
      </c>
      <c r="FP70" s="683" t="n">
        <v>45735</v>
      </c>
      <c r="FQ70" s="650" t="n">
        <v>45786</v>
      </c>
      <c r="FR70" s="654" t="n">
        <v>45783</v>
      </c>
      <c r="FS70" s="654" t="n">
        <v>45770</v>
      </c>
      <c r="FT70" s="654" t="n">
        <v>45775</v>
      </c>
      <c r="FU70" s="654" t="n">
        <v>45770</v>
      </c>
      <c r="FV70" s="655" t="n">
        <v>45775</v>
      </c>
      <c r="FW70" s="654" t="n">
        <v>45756</v>
      </c>
      <c r="FX70" s="654" t="n">
        <v>45749</v>
      </c>
      <c r="FY70" s="654" t="n">
        <v>45743</v>
      </c>
      <c r="FZ70" s="650" t="n">
        <v>45740</v>
      </c>
      <c r="GA70" s="654" t="n">
        <v>45728</v>
      </c>
      <c r="GB70" s="654" t="n">
        <v>45714</v>
      </c>
      <c r="GC70" s="654" t="n">
        <v>45706</v>
      </c>
      <c r="GD70" s="650" t="n">
        <v>45700</v>
      </c>
      <c r="GE70" s="654" t="n">
        <v>45706</v>
      </c>
      <c r="GF70" s="654" t="n">
        <v>45699</v>
      </c>
      <c r="GG70" s="655" t="n">
        <v>45706</v>
      </c>
      <c r="GH70" s="654" t="n">
        <v>45693</v>
      </c>
      <c r="GI70" s="654" t="n">
        <v>45693</v>
      </c>
      <c r="GJ70" s="654" t="n">
        <v>45685</v>
      </c>
      <c r="GK70" s="654" t="n">
        <v>45685</v>
      </c>
      <c r="GL70" s="712" t="n">
        <v>45692</v>
      </c>
      <c r="GM70" s="655" t="n">
        <v>45691</v>
      </c>
      <c r="GN70" s="655" t="n">
        <v>45681</v>
      </c>
      <c r="GO70" s="655" t="n">
        <v>45672</v>
      </c>
      <c r="GP70" s="654" t="n">
        <v>45664</v>
      </c>
      <c r="GQ70" s="654" t="n">
        <v>45660</v>
      </c>
      <c r="GR70" s="654" t="n">
        <v>45660</v>
      </c>
      <c r="GS70" s="654" t="n">
        <v>46017</v>
      </c>
      <c r="GT70" s="654" t="n">
        <v>45643</v>
      </c>
      <c r="GU70" s="654" t="n">
        <v>45638</v>
      </c>
    </row>
    <row r="71" ht="18.75" customHeight="1">
      <c r="A71" s="202" t="inlineStr">
        <is>
          <t>SACOLAS E CAIXAS EUDORA</t>
        </is>
      </c>
      <c r="B71" s="203" t="inlineStr">
        <is>
          <t>PC</t>
        </is>
      </c>
      <c r="C71" s="203" t="inlineStr">
        <is>
          <t>R$</t>
        </is>
      </c>
      <c r="D71" s="203" t="n"/>
      <c r="F71" s="650" t="n">
        <v>46021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0" t="n">
        <v>46160</v>
      </c>
      <c r="CC71" s="651" t="n">
        <v>46161.48004043981</v>
      </c>
      <c r="CD71" s="651" t="n">
        <v>46161.48071866898</v>
      </c>
      <c r="CE71" s="651" t="n">
        <v>46161.48287732927</v>
      </c>
      <c r="CF71" s="652" t="inlineStr">
        <is>
          <t>USOU</t>
        </is>
      </c>
      <c r="CH71" s="413" t="inlineStr">
        <is>
          <t>TRANSFERÊNCIA</t>
        </is>
      </c>
      <c r="CI71" s="35" t="inlineStr">
        <is>
          <t>Pend.</t>
        </is>
      </c>
      <c r="CK71" s="12" t="inlineStr">
        <is>
          <t>Novo Pedido</t>
        </is>
      </c>
      <c r="CL71" s="708" t="n">
        <v>46161.48287614732</v>
      </c>
      <c r="CM71" s="654" t="n"/>
      <c r="CN71" s="654" t="n">
        <v>46149</v>
      </c>
      <c r="CO71" s="654" t="n">
        <v>46114</v>
      </c>
      <c r="CP71" s="654" t="n">
        <v>46107</v>
      </c>
      <c r="CQ71" s="710" t="n">
        <v>46065</v>
      </c>
      <c r="CR71" s="654" t="n">
        <v>46099</v>
      </c>
      <c r="CS71" s="654" t="n">
        <v>46092</v>
      </c>
      <c r="CT71" s="711" t="n">
        <v>46045</v>
      </c>
      <c r="CU71" s="654" t="n">
        <v>46084</v>
      </c>
      <c r="CV71" s="655" t="n">
        <v>46084</v>
      </c>
      <c r="CW71" s="654" t="n">
        <v>46077</v>
      </c>
      <c r="CX71" s="655" t="n">
        <v>46077</v>
      </c>
      <c r="CY71" s="654" t="n">
        <v>46071</v>
      </c>
      <c r="CZ71" s="654" t="n">
        <v>46048</v>
      </c>
      <c r="DA71" s="654" t="n">
        <v>46043</v>
      </c>
      <c r="DB71" s="654" t="n">
        <v>46035</v>
      </c>
      <c r="DC71" s="654" t="n">
        <v>46029</v>
      </c>
      <c r="DD71" s="655" t="n">
        <v>46043</v>
      </c>
      <c r="DE71" s="654" t="n">
        <v>46024</v>
      </c>
      <c r="DF71" s="654" t="n">
        <v>46029</v>
      </c>
      <c r="DG71" s="654" t="n">
        <v>46024</v>
      </c>
      <c r="DH71" s="654" t="n">
        <v>46372</v>
      </c>
      <c r="DI71" s="654" t="n">
        <v>46024</v>
      </c>
      <c r="DJ71" s="654" t="n">
        <v>46017</v>
      </c>
      <c r="DK71" s="654" t="n">
        <v>46007</v>
      </c>
      <c r="DL71" s="654" t="n">
        <v>46001</v>
      </c>
      <c r="DM71" s="654" t="n">
        <v>46007</v>
      </c>
      <c r="DN71" s="654" t="n">
        <v>46001</v>
      </c>
      <c r="DO71" s="654" t="n">
        <v>45994</v>
      </c>
      <c r="DP71" s="654" t="n">
        <v>45986</v>
      </c>
      <c r="DQ71" s="654" t="n">
        <v>45980</v>
      </c>
      <c r="DR71" s="654" t="n">
        <v>45980</v>
      </c>
      <c r="DS71" s="654" t="n">
        <v>45973</v>
      </c>
      <c r="DT71" s="654" t="n">
        <v>45965</v>
      </c>
      <c r="DU71" s="654" t="n">
        <v>45960</v>
      </c>
      <c r="DV71" s="654" t="n">
        <v>45945</v>
      </c>
      <c r="DW71" s="654" t="n">
        <v>45939</v>
      </c>
      <c r="DX71" s="654" t="n">
        <v>45931</v>
      </c>
      <c r="DY71" s="678" t="n">
        <v>45903</v>
      </c>
      <c r="DZ71" s="654" t="n">
        <v>45923</v>
      </c>
      <c r="EA71" s="654" t="n">
        <v>45915</v>
      </c>
      <c r="EB71" s="655" t="n">
        <v>45931</v>
      </c>
      <c r="EC71" s="688" t="n">
        <v>45931</v>
      </c>
      <c r="ED71" s="688" t="n">
        <v>45931</v>
      </c>
      <c r="EE71" s="18" t="n"/>
      <c r="EF71" s="18" t="n">
        <v>1000</v>
      </c>
      <c r="EG71" s="18" t="n"/>
      <c r="EH71" s="18" t="n">
        <v>600</v>
      </c>
      <c r="EI71" s="18" t="n">
        <v>1000</v>
      </c>
      <c r="EJ71" s="18" t="n"/>
      <c r="EK71" s="18" t="n"/>
      <c r="EL71" s="18" t="n"/>
      <c r="EM71" s="18" t="n"/>
      <c r="EN71" s="18" t="n"/>
      <c r="EO71" s="18" t="n">
        <v>800</v>
      </c>
      <c r="EP71" s="18" t="n">
        <v>600</v>
      </c>
      <c r="EQ71" s="18" t="n"/>
      <c r="ER71" s="18" t="n"/>
      <c r="ES71" s="18" t="n"/>
      <c r="ET71" s="18" t="n"/>
      <c r="EU71" s="18" t="n"/>
      <c r="EV71" s="18" t="n"/>
      <c r="EW71" s="18" t="n"/>
      <c r="EX71" s="18" t="n"/>
      <c r="EY71" s="18" t="n">
        <v>1000</v>
      </c>
      <c r="EZ71" s="18" t="n"/>
      <c r="FA71" s="18" t="n"/>
      <c r="FB71" s="18" t="n"/>
      <c r="FC71" s="18" t="n"/>
      <c r="FD71" s="18" t="n"/>
      <c r="FE71" s="18" t="n">
        <v>800</v>
      </c>
      <c r="FF71" s="18" t="n"/>
      <c r="FG71" s="18" t="n"/>
      <c r="FH71" s="274" t="n"/>
      <c r="FI71" s="18" t="n"/>
      <c r="FJ71" s="18" t="n"/>
      <c r="FK71" s="274" t="n"/>
      <c r="FL71" s="18" t="n"/>
      <c r="FM71" s="18" t="n"/>
      <c r="FN71" s="18" t="n"/>
      <c r="FO71" s="18" t="n"/>
      <c r="FP71" s="18" t="n"/>
      <c r="FQ71" s="274" t="n"/>
      <c r="FR71" s="18" t="n"/>
      <c r="FS71" s="18" t="n"/>
      <c r="FT71" s="18" t="n"/>
      <c r="FU71" s="18" t="n">
        <v>800</v>
      </c>
      <c r="FV71" s="260" t="n"/>
      <c r="FW71" s="18" t="n"/>
      <c r="FX71" s="18" t="n"/>
      <c r="FY71" s="18" t="n"/>
      <c r="FZ71" s="274" t="n"/>
      <c r="GA71" s="18" t="n">
        <v>800</v>
      </c>
      <c r="GB71" s="18" t="n"/>
      <c r="GC71" s="18" t="n"/>
      <c r="GD71" s="274" t="n"/>
      <c r="GE71" s="18" t="n"/>
      <c r="GF71" s="18" t="n"/>
      <c r="GG71" s="18" t="n"/>
      <c r="GH71" s="18" t="n"/>
      <c r="GI71" s="18" t="n"/>
      <c r="GJ71" s="18" t="n"/>
      <c r="GK71" s="18" t="n"/>
      <c r="GL71" s="110" t="n"/>
      <c r="GM71" s="18" t="n"/>
      <c r="GN71" s="239" t="inlineStr">
        <is>
          <t>1200 DE CD</t>
        </is>
      </c>
      <c r="GO71" s="18" t="n"/>
      <c r="GP71" s="18" t="n"/>
      <c r="GQ71" s="18" t="n"/>
      <c r="GR71" s="18" t="n"/>
      <c r="GS71" s="18" t="n"/>
      <c r="GT71" s="18" t="n"/>
      <c r="GU71" s="18" t="n">
        <v>1000</v>
      </c>
    </row>
    <row r="72" ht="18.75" customHeight="1">
      <c r="A72" s="33" t="inlineStr">
        <is>
          <t>SACOLA P EUDORA</t>
        </is>
      </c>
      <c r="B72" s="9" t="n">
        <v>200</v>
      </c>
      <c r="C72" s="662" t="n">
        <v>183.24</v>
      </c>
      <c r="D72" s="329" t="n">
        <v>400</v>
      </c>
      <c r="F72" s="9" t="n">
        <v>0</v>
      </c>
      <c r="G72" s="9" t="n">
        <v>1000</v>
      </c>
      <c r="H72" s="9" t="n">
        <v>1000</v>
      </c>
      <c r="I72" s="9">
        <f>0+1200</f>
        <v/>
      </c>
      <c r="J72" s="9" t="n">
        <v>1200</v>
      </c>
      <c r="K72" s="9" t="n">
        <v>1200</v>
      </c>
      <c r="L72" s="9" t="n">
        <v>1000</v>
      </c>
      <c r="M72" s="9" t="n">
        <v>600</v>
      </c>
      <c r="N72" s="9" t="n">
        <v>200</v>
      </c>
      <c r="O72" s="9" t="n">
        <v>0</v>
      </c>
      <c r="P72" s="9" t="n">
        <v>0</v>
      </c>
      <c r="Q72" s="9" t="n">
        <v>800</v>
      </c>
      <c r="R72" s="9" t="n">
        <v>400</v>
      </c>
      <c r="S72" s="9" t="n">
        <v>400</v>
      </c>
      <c r="T72" s="9" t="n">
        <v>200</v>
      </c>
      <c r="U72" s="9" t="n">
        <v>200</v>
      </c>
      <c r="V72" s="9" t="n">
        <v>0</v>
      </c>
      <c r="W72" s="9" t="n">
        <v>0</v>
      </c>
      <c r="X72" s="9" t="n">
        <v>800</v>
      </c>
      <c r="Y72" s="9" t="n">
        <v>200</v>
      </c>
      <c r="Z72" s="9" t="n">
        <v>200</v>
      </c>
      <c r="AA72" s="9">
        <f>200+FB71</f>
        <v/>
      </c>
      <c r="AB72" s="9" t="n">
        <v>1000</v>
      </c>
      <c r="AC72" s="9" t="n">
        <v>1000</v>
      </c>
      <c r="AD72" s="9" t="n">
        <v>0</v>
      </c>
      <c r="AE72" s="9" t="n">
        <v>0</v>
      </c>
      <c r="AF72" s="9" t="n">
        <v>600</v>
      </c>
      <c r="AG72" s="9" t="n">
        <v>400</v>
      </c>
      <c r="AH72" s="9" t="n">
        <v>400</v>
      </c>
      <c r="AI72" s="9" t="n">
        <v>0</v>
      </c>
      <c r="AJ72" s="9" t="n">
        <v>600</v>
      </c>
      <c r="AK72" s="9" t="n">
        <v>600</v>
      </c>
      <c r="AL72" s="9" t="n">
        <v>1200</v>
      </c>
      <c r="AM72" s="9" t="n">
        <v>1000</v>
      </c>
      <c r="AN72" s="9" t="n">
        <v>600</v>
      </c>
      <c r="AO72" s="9" t="n">
        <v>1200</v>
      </c>
      <c r="AP72" s="9" t="n">
        <v>1200</v>
      </c>
      <c r="AQ72" s="9">
        <f>1200+EC71</f>
        <v/>
      </c>
      <c r="AR72" s="9" t="n">
        <v>1400</v>
      </c>
      <c r="AS72" s="9">
        <f>1200+DW72</f>
        <v/>
      </c>
      <c r="AT72" s="9" t="n">
        <v>2200</v>
      </c>
      <c r="AU72" s="9">
        <f>2200+DT72</f>
        <v/>
      </c>
      <c r="AV72" s="9" t="n">
        <v>2800</v>
      </c>
      <c r="AW72" s="9" t="n">
        <v>2800</v>
      </c>
      <c r="AX72" s="9" t="n">
        <v>2800</v>
      </c>
      <c r="AY72" s="9" t="n">
        <v>1400</v>
      </c>
      <c r="AZ72" s="9">
        <f>0+DP72</f>
        <v/>
      </c>
      <c r="BA72" s="9" t="n">
        <v>2000</v>
      </c>
      <c r="BB72" s="9">
        <f>600+DN72</f>
        <v/>
      </c>
      <c r="BC72" s="9">
        <f>2200+DL72</f>
        <v/>
      </c>
      <c r="BD72" s="9" t="n">
        <v>3000</v>
      </c>
      <c r="BE72" s="9" t="n">
        <v>2200</v>
      </c>
      <c r="BF72" s="9" t="n">
        <v>1600</v>
      </c>
      <c r="BG72" s="9" t="n">
        <v>1600</v>
      </c>
      <c r="BH72" s="9" t="n">
        <v>2200</v>
      </c>
      <c r="BI72" s="9">
        <f>2200+800+600</f>
        <v/>
      </c>
      <c r="BJ72" s="9" t="n">
        <v>3800</v>
      </c>
      <c r="BK72" s="9" t="n">
        <v>3800</v>
      </c>
      <c r="BL72" s="9" t="n">
        <v>3600</v>
      </c>
      <c r="BM72" s="9" t="n">
        <v>3400</v>
      </c>
      <c r="BN72" s="9" t="n">
        <v>3400</v>
      </c>
      <c r="BO72" s="9" t="n">
        <v>3200</v>
      </c>
      <c r="BP72" s="9" t="n">
        <v>3000</v>
      </c>
      <c r="BQ72" s="9" t="n">
        <v>2800</v>
      </c>
      <c r="BR72" s="9" t="n">
        <v>2400</v>
      </c>
      <c r="BS72" s="9" t="n">
        <v>2000</v>
      </c>
      <c r="BT72" s="9" t="n">
        <v>2400</v>
      </c>
      <c r="BU72" s="9" t="n">
        <v>2400</v>
      </c>
      <c r="BV72" s="9" t="n">
        <v>2400</v>
      </c>
      <c r="BW72" s="9" t="n">
        <v>2200</v>
      </c>
      <c r="BX72" s="9" t="n">
        <v>2000</v>
      </c>
      <c r="BY72" s="9" t="n">
        <v>1800</v>
      </c>
      <c r="BZ72" s="9" t="n"/>
      <c r="CA72" s="9" t="n"/>
      <c r="CB72" s="9" t="n"/>
      <c r="CC72" s="9" t="n"/>
      <c r="CD72" s="9" t="n"/>
      <c r="CE72" s="9" t="n"/>
      <c r="CF72" s="154">
        <f>CD72+IF(NOT(ISBLANK(OFFSET(CF72,0,6))),N(OFFSET(CF72,0,6)),N(OFFSET(CF72,0,7)))-CE72</f>
        <v/>
      </c>
      <c r="CH72" s="127" t="inlineStr">
        <is>
          <t>400 P/ ER PBE</t>
        </is>
      </c>
      <c r="CI72" s="127" t="n"/>
      <c r="CK72" s="65" t="n"/>
      <c r="CL72" s="691" t="n">
        <v>0</v>
      </c>
      <c r="CM72" s="18" t="n">
        <v>0</v>
      </c>
      <c r="CN72" s="18" t="n">
        <v>0</v>
      </c>
      <c r="CO72" s="18" t="n"/>
      <c r="CP72" s="18" t="n"/>
      <c r="CQ72" s="18" t="n"/>
      <c r="CR72" s="18" t="n"/>
      <c r="CS72" s="18" t="n"/>
      <c r="CT72" s="18" t="n"/>
      <c r="CU72" s="18" t="n"/>
      <c r="CV72" s="18" t="n"/>
      <c r="CW72" s="18" t="n"/>
      <c r="CX72" s="18" t="n"/>
      <c r="CY72" s="18" t="n"/>
      <c r="CZ72" s="18" t="n"/>
      <c r="DA72" s="18" t="n"/>
      <c r="DB72" s="18" t="n"/>
      <c r="DC72" s="18" t="n"/>
      <c r="DD72" s="154" t="inlineStr">
        <is>
          <t>800 DE ER MG + 600 DE ER PBE</t>
        </is>
      </c>
      <c r="DE72" s="18" t="n">
        <v>600</v>
      </c>
      <c r="DF72" s="18" t="n"/>
      <c r="DG72" s="18" t="n"/>
      <c r="DH72" s="18" t="n"/>
      <c r="DI72" s="18" t="n"/>
      <c r="DJ72" s="18" t="n">
        <v>800</v>
      </c>
      <c r="DK72" s="18" t="n"/>
      <c r="DL72" s="18" t="n"/>
      <c r="DM72" s="18" t="n"/>
      <c r="DN72" s="18" t="n"/>
      <c r="DO72" s="18" t="n">
        <v>1000</v>
      </c>
      <c r="DP72" s="18" t="n"/>
      <c r="DQ72" s="18" t="n">
        <v>1800</v>
      </c>
      <c r="DR72" s="18" t="n"/>
      <c r="DS72" s="18" t="n">
        <v>2000</v>
      </c>
      <c r="DT72" s="18" t="n"/>
      <c r="DU72" s="18" t="n"/>
      <c r="DV72" s="18" t="n"/>
      <c r="DW72" s="18" t="n">
        <v>1000</v>
      </c>
      <c r="DX72" s="18" t="n"/>
      <c r="DY72" s="396" t="n"/>
      <c r="DZ72" s="18" t="n">
        <v>2000</v>
      </c>
      <c r="EA72" s="18" t="n"/>
      <c r="EB72" s="256" t="n"/>
      <c r="EC72" s="256" t="n"/>
      <c r="ED72" s="256" t="n"/>
      <c r="EE72" s="18" t="n"/>
      <c r="EF72" s="18" t="n"/>
      <c r="EG72" s="18" t="n"/>
      <c r="EH72" s="18" t="n"/>
      <c r="EI72" s="18" t="n"/>
      <c r="EJ72" s="18" t="n"/>
      <c r="EK72" s="18" t="n"/>
      <c r="EL72" s="18" t="n"/>
      <c r="EM72" s="18" t="n"/>
      <c r="EN72" s="18" t="n"/>
      <c r="EO72" s="18" t="n">
        <v>600</v>
      </c>
      <c r="EP72" s="18" t="n"/>
      <c r="EQ72" s="18" t="n"/>
      <c r="ER72" s="18" t="n"/>
      <c r="ES72" s="18" t="n"/>
      <c r="ET72" s="18" t="n"/>
      <c r="EU72" s="18" t="n"/>
      <c r="EV72" s="18" t="n"/>
      <c r="EW72" s="18" t="n"/>
      <c r="EX72" s="18" t="n"/>
      <c r="EY72" s="18" t="n">
        <v>600</v>
      </c>
      <c r="EZ72" s="18" t="n"/>
      <c r="FA72" s="18" t="n"/>
      <c r="FB72" s="18" t="n"/>
      <c r="FC72" s="18" t="n"/>
      <c r="FD72" s="18" t="n"/>
      <c r="FE72" s="18" t="n"/>
      <c r="FF72" s="18" t="n"/>
      <c r="FG72" s="18" t="n"/>
      <c r="FH72" s="274" t="n"/>
      <c r="FI72" s="18" t="n"/>
      <c r="FJ72" s="18" t="n"/>
      <c r="FK72" s="274" t="n"/>
      <c r="FL72" s="18" t="n"/>
      <c r="FM72" s="18" t="n"/>
      <c r="FN72" s="18" t="n"/>
      <c r="FO72" s="18" t="n">
        <v>400</v>
      </c>
      <c r="FP72" s="18" t="n"/>
      <c r="FQ72" s="274" t="n"/>
      <c r="FR72" s="18" t="n"/>
      <c r="FS72" s="18" t="n">
        <v>400</v>
      </c>
      <c r="FT72" s="18" t="n"/>
      <c r="FU72" s="18" t="n"/>
      <c r="FV72" s="260" t="n"/>
      <c r="FW72" s="18" t="n"/>
      <c r="FX72" s="18" t="n"/>
      <c r="FY72" s="18" t="n"/>
      <c r="FZ72" s="274" t="n"/>
      <c r="GA72" s="18" t="n"/>
      <c r="GB72" s="18" t="n"/>
      <c r="GC72" s="18" t="n"/>
      <c r="GD72" s="274" t="n"/>
      <c r="GE72" s="18" t="n"/>
      <c r="GF72" s="18" t="n"/>
      <c r="GG72" s="18" t="n"/>
      <c r="GH72" s="18" t="n"/>
      <c r="GI72" s="18" t="n"/>
      <c r="GJ72" s="18" t="n">
        <v>400</v>
      </c>
      <c r="GK72" s="18" t="n"/>
      <c r="GL72" s="110" t="n"/>
      <c r="GM72" s="18" t="n"/>
      <c r="GN72" s="18" t="n"/>
      <c r="GO72" s="18" t="n"/>
      <c r="GP72" s="18" t="n"/>
      <c r="GQ72" s="18" t="n"/>
      <c r="GR72" s="18" t="n"/>
      <c r="GS72" s="18" t="n"/>
      <c r="GT72" s="18" t="n"/>
      <c r="GU72" s="18" t="n"/>
    </row>
    <row r="73" ht="18.75" customHeight="1">
      <c r="A73" s="33" t="inlineStr">
        <is>
          <t>SACOLA M EUDORA</t>
        </is>
      </c>
      <c r="B73" s="9" t="n">
        <v>200</v>
      </c>
      <c r="C73" s="662" t="n">
        <v>240.83</v>
      </c>
      <c r="D73" s="329" t="n">
        <v>200</v>
      </c>
      <c r="F73" s="9" t="n">
        <v>800</v>
      </c>
      <c r="G73" s="9" t="n">
        <v>600</v>
      </c>
      <c r="H73" s="9" t="n">
        <v>600</v>
      </c>
      <c r="I73" s="9" t="n">
        <v>600</v>
      </c>
      <c r="J73" s="9" t="n">
        <v>400</v>
      </c>
      <c r="K73" s="9" t="n">
        <v>200</v>
      </c>
      <c r="L73" s="9">
        <f>0+GG72</f>
        <v/>
      </c>
      <c r="M73" s="9" t="n">
        <v>400</v>
      </c>
      <c r="N73" s="9" t="n">
        <v>400</v>
      </c>
      <c r="O73" s="9" t="n">
        <v>200</v>
      </c>
      <c r="P73" s="9" t="n">
        <v>400</v>
      </c>
      <c r="Q73" s="9" t="n">
        <v>400</v>
      </c>
      <c r="R73" s="9" t="n">
        <v>0</v>
      </c>
      <c r="S73" s="9" t="n">
        <v>0</v>
      </c>
      <c r="T73" s="9" t="n">
        <v>0</v>
      </c>
      <c r="U73" s="9" t="n">
        <v>0</v>
      </c>
      <c r="V73" s="9" t="n">
        <v>0</v>
      </c>
      <c r="W73" s="9" t="n">
        <v>0</v>
      </c>
      <c r="X73" s="9" t="n">
        <v>0</v>
      </c>
      <c r="Y73" s="9" t="n">
        <v>200</v>
      </c>
      <c r="Z73" s="9" t="n">
        <v>600</v>
      </c>
      <c r="AA73" s="9" t="n">
        <v>600</v>
      </c>
      <c r="AB73" s="9" t="n">
        <v>600</v>
      </c>
      <c r="AC73" s="9" t="n">
        <v>600</v>
      </c>
      <c r="AD73" s="9" t="n">
        <v>200</v>
      </c>
      <c r="AE73" s="9" t="n">
        <v>0</v>
      </c>
      <c r="AF73" s="9" t="n">
        <v>600</v>
      </c>
      <c r="AG73" s="9" t="n">
        <v>600</v>
      </c>
      <c r="AH73" s="9" t="n">
        <v>600</v>
      </c>
      <c r="AI73" s="9" t="n">
        <v>600</v>
      </c>
      <c r="AJ73" s="9" t="n">
        <v>200</v>
      </c>
      <c r="AK73" s="9" t="n">
        <v>0</v>
      </c>
      <c r="AL73" s="9" t="n">
        <v>600</v>
      </c>
      <c r="AM73" s="9" t="n">
        <v>400</v>
      </c>
      <c r="AN73" s="9" t="n">
        <v>400</v>
      </c>
      <c r="AO73" s="9" t="n">
        <v>400</v>
      </c>
      <c r="AP73" s="9" t="n">
        <v>400</v>
      </c>
      <c r="AQ73" s="9" t="n">
        <v>400</v>
      </c>
      <c r="AR73" s="9" t="n">
        <v>400</v>
      </c>
      <c r="AS73" s="9" t="n">
        <v>400</v>
      </c>
      <c r="AT73" s="9" t="n">
        <v>200</v>
      </c>
      <c r="AU73" s="9">
        <f>200+DT73</f>
        <v/>
      </c>
      <c r="AV73" s="9" t="n">
        <v>600</v>
      </c>
      <c r="AW73" s="9" t="n">
        <v>600</v>
      </c>
      <c r="AX73" s="9" t="n">
        <v>600</v>
      </c>
      <c r="AY73" s="9" t="n">
        <v>600</v>
      </c>
      <c r="AZ73" s="9" t="n">
        <v>0</v>
      </c>
      <c r="BA73" s="9">
        <f>0+DO73</f>
        <v/>
      </c>
      <c r="BB73" s="9" t="n">
        <v>0</v>
      </c>
      <c r="BC73" s="9" t="n">
        <v>800</v>
      </c>
      <c r="BD73" s="9" t="n">
        <v>800</v>
      </c>
      <c r="BE73" s="9" t="n">
        <v>800</v>
      </c>
      <c r="BF73" s="9" t="n">
        <v>400</v>
      </c>
      <c r="BG73" s="9" t="n">
        <v>400</v>
      </c>
      <c r="BH73" s="9" t="n">
        <v>200</v>
      </c>
      <c r="BI73" s="9">
        <f>800+400</f>
        <v/>
      </c>
      <c r="BJ73" s="9" t="n">
        <v>1400</v>
      </c>
      <c r="BK73" s="9" t="n">
        <v>1400</v>
      </c>
      <c r="BL73" s="9" t="n">
        <v>1400</v>
      </c>
      <c r="BM73" s="9" t="n">
        <v>1200</v>
      </c>
      <c r="BN73" s="9" t="n">
        <v>1200</v>
      </c>
      <c r="BO73" s="9" t="n">
        <v>1000</v>
      </c>
      <c r="BP73" s="9">
        <f>800+CR73</f>
        <v/>
      </c>
      <c r="BQ73" s="9" t="n">
        <v>1600</v>
      </c>
      <c r="BR73" s="9" t="n">
        <v>1200</v>
      </c>
      <c r="BS73" s="9" t="n">
        <v>1000</v>
      </c>
      <c r="BT73" s="9" t="n">
        <v>1000</v>
      </c>
      <c r="BU73" s="9" t="n">
        <v>1000</v>
      </c>
      <c r="BV73" s="9" t="n">
        <v>1000</v>
      </c>
      <c r="BW73" s="9" t="n">
        <v>800</v>
      </c>
      <c r="BX73" s="9" t="n">
        <v>800</v>
      </c>
      <c r="BY73" s="9" t="n">
        <v>600</v>
      </c>
      <c r="BZ73" s="9" t="n"/>
      <c r="CA73" s="9" t="n"/>
      <c r="CB73" s="9" t="n"/>
      <c r="CC73" s="9" t="n"/>
      <c r="CD73" s="9" t="n"/>
      <c r="CE73" s="9" t="n"/>
      <c r="CF73" s="154">
        <f>CD73+IF(NOT(ISBLANK(OFFSET(CF73,0,6))),N(OFFSET(CF73,0,6)),N(OFFSET(CF73,0,7)))-CE73</f>
        <v/>
      </c>
      <c r="CH73" s="127" t="n"/>
      <c r="CI73" s="127" t="n"/>
      <c r="CK73" s="65" t="n"/>
      <c r="CL73" s="691" t="n">
        <v>0</v>
      </c>
      <c r="CM73" s="18" t="n">
        <v>0</v>
      </c>
      <c r="CN73" s="18" t="n">
        <v>0</v>
      </c>
      <c r="CO73" s="18" t="n"/>
      <c r="CP73" s="18" t="n"/>
      <c r="CQ73" s="18" t="n"/>
      <c r="CR73" s="18" t="n"/>
      <c r="CS73" s="18" t="n"/>
      <c r="CT73" s="18" t="n"/>
      <c r="CU73" s="18" t="n">
        <v>800</v>
      </c>
      <c r="CV73" s="18" t="n"/>
      <c r="CW73" s="18" t="n"/>
      <c r="CX73" s="18" t="n"/>
      <c r="CY73" s="18" t="n"/>
      <c r="CZ73" s="18" t="n"/>
      <c r="DA73" s="18" t="n"/>
      <c r="DB73" s="18" t="n"/>
      <c r="DC73" s="18" t="n"/>
      <c r="DD73" s="154" t="inlineStr">
        <is>
          <t>400 DE ER MG</t>
        </is>
      </c>
      <c r="DE73" s="18" t="n"/>
      <c r="DF73" s="18" t="n"/>
      <c r="DG73" s="18" t="n">
        <v>600</v>
      </c>
      <c r="DH73" s="18" t="n"/>
      <c r="DI73" s="18" t="n"/>
      <c r="DJ73" s="18" t="n"/>
      <c r="DK73" s="18" t="n"/>
      <c r="DL73" s="18" t="n"/>
      <c r="DM73" s="18" t="n"/>
      <c r="DN73" s="18" t="n"/>
      <c r="DO73" s="18" t="n"/>
      <c r="DP73" s="18" t="n"/>
      <c r="DQ73" s="18" t="n"/>
      <c r="DR73" s="18" t="n">
        <v>800</v>
      </c>
      <c r="DS73" s="18" t="n"/>
      <c r="DT73" s="18" t="n"/>
      <c r="DU73" s="18" t="n"/>
      <c r="DV73" s="18" t="n"/>
      <c r="DW73" s="18" t="n">
        <v>400</v>
      </c>
      <c r="DX73" s="18" t="n"/>
      <c r="DY73" s="396" t="n"/>
      <c r="DZ73" s="18" t="n"/>
      <c r="EA73" s="18" t="n"/>
      <c r="EB73" s="256" t="n"/>
      <c r="EC73" s="256" t="n"/>
      <c r="ED73" s="256" t="n"/>
      <c r="EE73" s="18" t="n"/>
      <c r="EF73" s="18" t="n"/>
      <c r="EG73" s="18" t="n"/>
      <c r="EH73" s="18" t="n"/>
      <c r="EI73" s="18" t="n"/>
      <c r="EJ73" s="18" t="n"/>
      <c r="EK73" s="18" t="n"/>
      <c r="EL73" s="18" t="n"/>
      <c r="EM73" s="18" t="n"/>
      <c r="EN73" s="18" t="n"/>
      <c r="EO73" s="18" t="n">
        <v>100</v>
      </c>
      <c r="EP73" s="18" t="n">
        <v>400</v>
      </c>
      <c r="EQ73" s="18" t="n"/>
      <c r="ER73" s="18" t="n"/>
      <c r="ES73" s="18" t="n"/>
      <c r="ET73" s="18" t="n"/>
      <c r="EU73" s="18" t="n"/>
      <c r="EV73" s="18" t="n"/>
      <c r="EW73" s="18" t="n"/>
      <c r="EX73" s="18" t="n"/>
      <c r="EY73" s="18" t="n">
        <v>100</v>
      </c>
      <c r="EZ73" s="239" t="inlineStr">
        <is>
          <t>800 DE CD</t>
        </is>
      </c>
      <c r="FA73" s="18" t="n"/>
      <c r="FB73" s="18" t="n"/>
      <c r="FC73" s="18" t="n"/>
      <c r="FD73" s="18" t="n"/>
      <c r="FE73" s="18" t="n"/>
      <c r="FF73" s="18" t="n"/>
      <c r="FG73" s="18" t="n"/>
      <c r="FH73" s="274" t="n"/>
      <c r="FI73" s="18" t="n"/>
      <c r="FJ73" s="18" t="n"/>
      <c r="FK73" s="274" t="n"/>
      <c r="FL73" s="18" t="n"/>
      <c r="FM73" s="18" t="n"/>
      <c r="FN73" s="18" t="n"/>
      <c r="FO73" s="18" t="n"/>
      <c r="FP73" s="18" t="n"/>
      <c r="FQ73" s="274" t="n"/>
      <c r="FR73" s="18" t="n"/>
      <c r="FS73" s="18" t="n"/>
      <c r="FT73" s="18" t="n"/>
      <c r="FU73" s="18" t="n"/>
      <c r="FV73" s="18" t="n"/>
      <c r="FW73" s="18" t="n"/>
      <c r="FX73" s="18" t="n"/>
      <c r="FY73" s="18" t="n"/>
      <c r="FZ73" s="274" t="n"/>
      <c r="GA73" s="18" t="n"/>
      <c r="GB73" s="18" t="n"/>
      <c r="GC73" s="18" t="n"/>
      <c r="GD73" s="274" t="n"/>
      <c r="GE73" s="18" t="n"/>
      <c r="GF73" s="18" t="n"/>
      <c r="GG73" s="18" t="n"/>
      <c r="GH73" s="18" t="n"/>
      <c r="GI73" s="18" t="n"/>
      <c r="GJ73" s="18" t="n"/>
      <c r="GK73" s="18" t="n"/>
      <c r="GL73" s="253" t="n"/>
      <c r="GM73" s="18" t="n"/>
      <c r="GN73" s="18" t="n"/>
      <c r="GO73" s="18" t="n"/>
      <c r="GP73" s="18" t="n"/>
      <c r="GQ73" s="18" t="n"/>
      <c r="GR73" s="18" t="n"/>
      <c r="GS73" s="18" t="n"/>
      <c r="GT73" s="18" t="n"/>
      <c r="GU73" s="18" t="n"/>
    </row>
    <row r="74" ht="18.75" customHeight="1">
      <c r="A74" s="33" t="inlineStr">
        <is>
          <t>SACOLA G EUDORA</t>
        </is>
      </c>
      <c r="B74" s="9" t="n">
        <v>100</v>
      </c>
      <c r="C74" s="662" t="n">
        <v>175.13</v>
      </c>
      <c r="D74" s="329" t="n">
        <v>100</v>
      </c>
      <c r="F74" s="9" t="n">
        <v>700</v>
      </c>
      <c r="G74" s="9" t="n">
        <v>700</v>
      </c>
      <c r="H74" s="9" t="n">
        <v>700</v>
      </c>
      <c r="I74" s="9" t="n">
        <v>700</v>
      </c>
      <c r="J74" s="9" t="n">
        <v>600</v>
      </c>
      <c r="K74" s="9" t="n">
        <v>600</v>
      </c>
      <c r="L74" s="9" t="n">
        <v>600</v>
      </c>
      <c r="M74" s="9" t="n">
        <v>600</v>
      </c>
      <c r="N74" s="9" t="n">
        <v>500</v>
      </c>
      <c r="O74" s="9" t="n">
        <v>700</v>
      </c>
      <c r="P74" s="9" t="n">
        <v>700</v>
      </c>
      <c r="Q74" s="9" t="n">
        <v>600</v>
      </c>
      <c r="R74" s="9" t="n">
        <v>600</v>
      </c>
      <c r="S74" s="9" t="n">
        <v>600</v>
      </c>
      <c r="T74" s="9" t="n">
        <v>600</v>
      </c>
      <c r="U74" s="9" t="n">
        <v>500</v>
      </c>
      <c r="V74" s="9" t="n">
        <v>500</v>
      </c>
      <c r="W74" s="9" t="n">
        <v>400</v>
      </c>
      <c r="X74" s="9" t="n">
        <v>300</v>
      </c>
      <c r="Y74" s="9" t="n">
        <v>200</v>
      </c>
      <c r="Z74" s="9" t="n">
        <v>200</v>
      </c>
      <c r="AA74" s="9" t="n">
        <v>200</v>
      </c>
      <c r="AB74" s="9" t="n">
        <v>200</v>
      </c>
      <c r="AC74" s="9" t="n">
        <v>200</v>
      </c>
      <c r="AD74" s="9">
        <f>0+800</f>
        <v/>
      </c>
      <c r="AE74" s="9" t="n">
        <v>700</v>
      </c>
      <c r="AF74" s="9" t="n">
        <v>500</v>
      </c>
      <c r="AG74" s="9" t="n">
        <v>400</v>
      </c>
      <c r="AH74" s="9" t="n">
        <v>300</v>
      </c>
      <c r="AI74" s="9" t="n">
        <v>0</v>
      </c>
      <c r="AJ74" s="9" t="n">
        <v>400</v>
      </c>
      <c r="AK74" s="9" t="n">
        <v>400</v>
      </c>
      <c r="AL74" s="9" t="n">
        <v>500</v>
      </c>
      <c r="AM74" s="9" t="n">
        <v>500</v>
      </c>
      <c r="AN74" s="9" t="n">
        <v>400</v>
      </c>
      <c r="AO74" s="9" t="n">
        <v>400</v>
      </c>
      <c r="AP74" s="9" t="n">
        <v>400</v>
      </c>
      <c r="AQ74" s="9" t="n">
        <v>400</v>
      </c>
      <c r="AR74" s="9" t="n">
        <v>400</v>
      </c>
      <c r="AS74" s="9" t="n">
        <v>400</v>
      </c>
      <c r="AT74" s="9" t="n">
        <v>400</v>
      </c>
      <c r="AU74" s="9" t="n">
        <v>300</v>
      </c>
      <c r="AV74" s="9" t="n">
        <v>300</v>
      </c>
      <c r="AW74" s="9" t="n">
        <v>300</v>
      </c>
      <c r="AX74" s="9" t="n">
        <v>300</v>
      </c>
      <c r="AY74" s="9" t="n">
        <v>300</v>
      </c>
      <c r="AZ74" s="9" t="n">
        <v>200</v>
      </c>
      <c r="BA74" s="9">
        <f>200+DO74</f>
        <v/>
      </c>
      <c r="BB74" s="9" t="n">
        <v>200</v>
      </c>
      <c r="BC74" s="9" t="n">
        <v>200</v>
      </c>
      <c r="BD74" s="9" t="n">
        <v>0</v>
      </c>
      <c r="BE74" s="9">
        <f>0+DJ74</f>
        <v/>
      </c>
      <c r="BF74" s="9" t="n">
        <v>300</v>
      </c>
      <c r="BG74" s="9" t="n">
        <v>300</v>
      </c>
      <c r="BH74" s="9" t="n">
        <v>300</v>
      </c>
      <c r="BI74" s="9">
        <f>300+100</f>
        <v/>
      </c>
      <c r="BJ74" s="9" t="n">
        <v>400</v>
      </c>
      <c r="BK74" s="9" t="n">
        <v>400</v>
      </c>
      <c r="BL74" s="9" t="n">
        <v>400</v>
      </c>
      <c r="BM74" s="9" t="n">
        <v>300</v>
      </c>
      <c r="BN74" s="9" t="n">
        <v>300</v>
      </c>
      <c r="BO74" s="9" t="n">
        <v>200</v>
      </c>
      <c r="BP74" s="9">
        <f>200+CR74</f>
        <v/>
      </c>
      <c r="BQ74" s="9" t="n">
        <v>300</v>
      </c>
      <c r="BR74" s="9" t="n">
        <v>200</v>
      </c>
      <c r="BS74" s="9" t="n">
        <v>100</v>
      </c>
      <c r="BT74" s="9" t="n">
        <v>100</v>
      </c>
      <c r="BU74" s="9" t="n">
        <v>100</v>
      </c>
      <c r="BV74" s="9" t="n">
        <v>100</v>
      </c>
      <c r="BW74" s="9" t="n">
        <v>0</v>
      </c>
      <c r="BX74" s="9" t="n">
        <v>0</v>
      </c>
      <c r="BY74" s="9" t="n">
        <v>0</v>
      </c>
      <c r="BZ74" s="9" t="n"/>
      <c r="CA74" s="9" t="n"/>
      <c r="CB74" s="9" t="n"/>
      <c r="CC74" s="9" t="n"/>
      <c r="CD74" s="9" t="n"/>
      <c r="CE74" s="9" t="n"/>
      <c r="CF74" s="154">
        <f>CD74+IF(NOT(ISBLANK(OFFSET(CF74,0,6))),N(OFFSET(CF74,0,6)),N(OFFSET(CF74,0,7)))-CE74</f>
        <v/>
      </c>
      <c r="CH74" s="127" t="inlineStr">
        <is>
          <t>200 DE CDP</t>
        </is>
      </c>
      <c r="CI74" s="127" t="n"/>
      <c r="CK74" s="65" t="n"/>
      <c r="CL74" s="691" t="n">
        <v>0</v>
      </c>
      <c r="CM74" s="18" t="n">
        <v>0</v>
      </c>
      <c r="CN74" s="18" t="n">
        <v>0</v>
      </c>
      <c r="CO74" s="18" t="n"/>
      <c r="CP74" s="18" t="n"/>
      <c r="CQ74" s="18" t="n"/>
      <c r="CR74" s="18" t="n"/>
      <c r="CS74" s="18" t="n"/>
      <c r="CT74" s="18" t="n"/>
      <c r="CU74" s="18" t="n">
        <v>100</v>
      </c>
      <c r="CV74" s="18" t="n"/>
      <c r="CW74" s="18" t="n"/>
      <c r="CX74" s="18" t="n"/>
      <c r="CY74" s="18" t="n"/>
      <c r="CZ74" s="18" t="n"/>
      <c r="DA74" s="18" t="n"/>
      <c r="DB74" s="18" t="n"/>
      <c r="DC74" s="18" t="n"/>
      <c r="DD74" s="154" t="inlineStr">
        <is>
          <t>100 DE ER PBE</t>
        </is>
      </c>
      <c r="DE74" s="18" t="n"/>
      <c r="DF74" s="18" t="n"/>
      <c r="DG74" s="18" t="n"/>
      <c r="DH74" s="18" t="n"/>
      <c r="DI74" s="18" t="n"/>
      <c r="DJ74" s="18" t="n"/>
      <c r="DK74" s="18" t="n"/>
      <c r="DL74" s="18" t="n"/>
      <c r="DM74" s="18" t="n">
        <v>300</v>
      </c>
      <c r="DN74" s="18" t="n"/>
      <c r="DO74" s="18" t="n"/>
      <c r="DP74" s="18" t="n"/>
      <c r="DQ74" s="18" t="n"/>
      <c r="DR74" s="18" t="n">
        <v>100</v>
      </c>
      <c r="DS74" s="18" t="n"/>
      <c r="DT74" s="18" t="n"/>
      <c r="DU74" s="18" t="n"/>
      <c r="DV74" s="18" t="n"/>
      <c r="DW74" s="18" t="n"/>
      <c r="DX74" s="18" t="n"/>
      <c r="DY74" s="396" t="n"/>
      <c r="DZ74" s="18" t="n"/>
      <c r="EA74" s="18" t="n"/>
      <c r="EB74" s="256" t="n"/>
      <c r="EC74" s="256" t="n"/>
      <c r="ED74" s="256" t="n"/>
      <c r="EE74" s="18" t="n"/>
      <c r="EF74" s="18" t="n"/>
      <c r="EG74" s="18" t="n"/>
      <c r="EH74" s="18" t="n"/>
      <c r="EI74" s="18" t="n"/>
      <c r="EJ74" s="18" t="n"/>
      <c r="EK74" s="18" t="n"/>
      <c r="EL74" s="18" t="n"/>
      <c r="EM74" s="18" t="n"/>
      <c r="EN74" s="18" t="n"/>
      <c r="EO74" s="18" t="n"/>
      <c r="EP74" s="18" t="n"/>
      <c r="EQ74" s="18" t="n"/>
      <c r="ER74" s="18" t="n"/>
      <c r="ES74" s="18" t="n"/>
      <c r="ET74" s="18" t="n"/>
      <c r="EU74" s="18" t="n"/>
      <c r="EV74" s="18" t="n"/>
      <c r="EW74" s="18" t="n"/>
      <c r="EX74" s="18" t="n"/>
      <c r="EY74" s="18" t="n"/>
      <c r="EZ74" s="18" t="n"/>
      <c r="FA74" s="18" t="n"/>
      <c r="FB74" s="18" t="n"/>
      <c r="FC74" s="18" t="n"/>
      <c r="FD74" s="18" t="n"/>
      <c r="FE74" s="18" t="n"/>
      <c r="FF74" s="18" t="n"/>
      <c r="FG74" s="18" t="n"/>
      <c r="FH74" s="276" t="n"/>
      <c r="FI74" s="18" t="n"/>
      <c r="FJ74" s="18" t="n"/>
      <c r="FK74" s="276" t="n"/>
      <c r="FL74" s="18" t="n"/>
      <c r="FM74" s="18" t="n"/>
      <c r="FN74" s="18" t="n"/>
      <c r="FO74" s="18" t="n"/>
      <c r="FP74" s="18" t="n"/>
      <c r="FQ74" s="276" t="n"/>
      <c r="FR74" s="18" t="n"/>
      <c r="FS74" s="18" t="n"/>
      <c r="FT74" s="18" t="n"/>
      <c r="FU74" s="18" t="n"/>
      <c r="FV74" s="18" t="n"/>
      <c r="FW74" s="18" t="n"/>
      <c r="FX74" s="18" t="n"/>
      <c r="FY74" s="18" t="n"/>
      <c r="FZ74" s="276" t="n"/>
      <c r="GA74" s="18" t="n"/>
      <c r="GB74" s="18" t="n"/>
      <c r="GC74" s="18" t="n"/>
      <c r="GD74" s="276" t="n"/>
      <c r="GE74" s="18" t="n"/>
      <c r="GF74" s="18" t="n"/>
      <c r="GG74" s="18" t="n"/>
      <c r="GH74" s="18" t="n"/>
      <c r="GI74" s="18" t="n"/>
      <c r="GJ74" s="18" t="n"/>
      <c r="GK74" s="18" t="n"/>
      <c r="GL74" s="253" t="n"/>
      <c r="GM74" s="18" t="n"/>
      <c r="GN74" s="18" t="n"/>
      <c r="GO74" s="18" t="n"/>
      <c r="GP74" s="18" t="n"/>
      <c r="GQ74" s="18" t="n"/>
      <c r="GR74" s="18" t="n"/>
      <c r="GS74" s="18" t="n"/>
      <c r="GT74" s="18" t="n"/>
      <c r="GU74" s="18" t="n"/>
    </row>
    <row r="75" ht="18.75" customHeight="1">
      <c r="A75" s="43" t="inlineStr">
        <is>
          <t>PAPEL DE SEDA EUDORA</t>
        </is>
      </c>
      <c r="B75" s="149" t="n">
        <v>200</v>
      </c>
      <c r="C75" s="726" t="n">
        <v>29.77</v>
      </c>
      <c r="D75" s="329" t="n">
        <v>1</v>
      </c>
      <c r="F75" s="9" t="n">
        <v>33</v>
      </c>
      <c r="G75" s="9" t="n">
        <v>33</v>
      </c>
      <c r="H75" s="9" t="n">
        <v>33</v>
      </c>
      <c r="I75" s="9" t="n">
        <v>33</v>
      </c>
      <c r="J75" s="9" t="n">
        <v>32</v>
      </c>
      <c r="K75" s="9" t="n">
        <v>30</v>
      </c>
      <c r="L75" s="9" t="n">
        <v>30</v>
      </c>
      <c r="M75" s="9" t="n">
        <v>28</v>
      </c>
      <c r="N75" s="9" t="n">
        <v>28</v>
      </c>
      <c r="O75" s="9" t="n">
        <v>28</v>
      </c>
      <c r="P75" s="9" t="n">
        <v>28</v>
      </c>
      <c r="Q75" s="9" t="n">
        <v>28</v>
      </c>
      <c r="R75" s="9" t="n">
        <v>28</v>
      </c>
      <c r="S75" s="9" t="n">
        <v>28</v>
      </c>
      <c r="T75" s="9" t="n">
        <v>28</v>
      </c>
      <c r="U75" s="9" t="n">
        <v>28</v>
      </c>
      <c r="V75" s="9" t="n">
        <v>28</v>
      </c>
      <c r="W75" s="9" t="n">
        <v>28</v>
      </c>
      <c r="X75" s="9" t="n">
        <v>28</v>
      </c>
      <c r="Y75" s="9" t="n">
        <v>28</v>
      </c>
      <c r="Z75" s="9" t="n">
        <v>28</v>
      </c>
      <c r="AA75" s="9" t="n">
        <v>28</v>
      </c>
      <c r="AB75" s="9" t="n">
        <v>28</v>
      </c>
      <c r="AC75" s="9" t="n">
        <v>28</v>
      </c>
      <c r="AD75" s="9" t="n">
        <v>28</v>
      </c>
      <c r="AE75" s="9" t="n">
        <v>28</v>
      </c>
      <c r="AF75" s="9" t="n">
        <v>28</v>
      </c>
      <c r="AG75" s="9" t="n">
        <v>28</v>
      </c>
      <c r="AH75" s="9" t="n">
        <v>28</v>
      </c>
      <c r="AI75" s="9" t="n">
        <v>26</v>
      </c>
      <c r="AJ75" s="9" t="n">
        <v>26</v>
      </c>
      <c r="AK75" s="9" t="n">
        <v>26</v>
      </c>
      <c r="AL75" s="9" t="n">
        <v>26</v>
      </c>
      <c r="AM75" s="9" t="n">
        <v>26</v>
      </c>
      <c r="AN75" s="9" t="n">
        <v>26</v>
      </c>
      <c r="AO75" s="9" t="n">
        <v>26</v>
      </c>
      <c r="AP75" s="9" t="n">
        <v>26</v>
      </c>
      <c r="AQ75" s="9" t="n">
        <v>23</v>
      </c>
      <c r="AR75" s="9" t="n">
        <v>23</v>
      </c>
      <c r="AS75" s="9" t="n">
        <v>23</v>
      </c>
      <c r="AT75" s="9" t="n">
        <v>23</v>
      </c>
      <c r="AU75" s="9" t="n">
        <v>23</v>
      </c>
      <c r="AV75" s="9" t="n">
        <v>22</v>
      </c>
      <c r="AW75" s="9" t="n">
        <v>22</v>
      </c>
      <c r="AX75" s="9" t="n">
        <v>22</v>
      </c>
      <c r="AY75" s="9" t="n">
        <v>22</v>
      </c>
      <c r="AZ75" s="9" t="n">
        <v>22</v>
      </c>
      <c r="BA75" s="9" t="n">
        <v>22</v>
      </c>
      <c r="BB75" s="9" t="n">
        <v>22</v>
      </c>
      <c r="BC75" s="9" t="n">
        <v>21</v>
      </c>
      <c r="BD75" s="9" t="n">
        <v>21</v>
      </c>
      <c r="BE75" s="9" t="n">
        <v>21</v>
      </c>
      <c r="BF75" s="9" t="n">
        <v>13</v>
      </c>
      <c r="BG75" s="9" t="n">
        <v>13</v>
      </c>
      <c r="BH75" s="9" t="n">
        <v>13</v>
      </c>
      <c r="BI75" s="9" t="n">
        <v>14</v>
      </c>
      <c r="BJ75" s="9" t="n">
        <v>14</v>
      </c>
      <c r="BK75" s="9" t="n">
        <v>17</v>
      </c>
      <c r="BL75" s="9" t="n">
        <v>17</v>
      </c>
      <c r="BM75" s="9" t="n">
        <v>17</v>
      </c>
      <c r="BN75" s="9" t="n">
        <v>17</v>
      </c>
      <c r="BO75" s="9" t="n">
        <v>17</v>
      </c>
      <c r="BP75" s="9" t="n">
        <v>17</v>
      </c>
      <c r="BQ75" s="9" t="n">
        <v>16</v>
      </c>
      <c r="BR75" s="9" t="n">
        <v>12</v>
      </c>
      <c r="BS75" s="9" t="n">
        <v>12</v>
      </c>
      <c r="BT75" s="9" t="n">
        <v>10</v>
      </c>
      <c r="BU75" s="9" t="n">
        <v>10</v>
      </c>
      <c r="BV75" s="9" t="n">
        <v>10</v>
      </c>
      <c r="BW75" s="9" t="n">
        <v>10</v>
      </c>
      <c r="BX75" s="9" t="n">
        <v>8</v>
      </c>
      <c r="BY75" s="9" t="n">
        <v>8</v>
      </c>
      <c r="BZ75" s="9" t="n"/>
      <c r="CA75" s="9" t="n"/>
      <c r="CB75" s="9" t="n"/>
      <c r="CC75" s="9" t="n"/>
      <c r="CD75" s="9" t="n"/>
      <c r="CE75" s="9" t="n"/>
      <c r="CF75" s="154">
        <f>CD75+IF(NOT(ISBLANK(OFFSET(CF75,0,6))),N(OFFSET(CF75,0,6)),N(OFFSET(CF75,0,7)))-CE75</f>
        <v/>
      </c>
      <c r="CH75" s="19" t="n"/>
      <c r="CI75" s="19" t="n"/>
      <c r="CK75" s="65" t="n"/>
      <c r="CL75" s="691" t="n">
        <v>0</v>
      </c>
      <c r="CM75" s="18" t="n">
        <v>0</v>
      </c>
      <c r="CN75" s="18" t="n">
        <v>0</v>
      </c>
      <c r="CO75" s="18" t="n"/>
      <c r="CP75" s="18" t="n"/>
      <c r="CQ75" s="18" t="n"/>
      <c r="CR75" s="18" t="n"/>
      <c r="CS75" s="18" t="n"/>
      <c r="CT75" s="18" t="n"/>
      <c r="CU75" s="18" t="n"/>
      <c r="CV75" s="18" t="n"/>
      <c r="CW75" s="18" t="n"/>
      <c r="CX75" s="18" t="n"/>
      <c r="CY75" s="18" t="n"/>
      <c r="CZ75" s="18" t="n"/>
      <c r="DA75" s="18" t="n"/>
      <c r="DB75" s="18" t="n"/>
      <c r="DC75" s="18" t="n"/>
      <c r="DD75" s="154" t="inlineStr">
        <is>
          <t>3 DE ER MG + 4 DE ER PBE</t>
        </is>
      </c>
      <c r="DE75" s="18" t="n"/>
      <c r="DF75" s="18" t="n"/>
      <c r="DG75" s="18" t="n"/>
      <c r="DH75" s="18" t="n"/>
      <c r="DI75" s="18" t="n"/>
      <c r="DJ75" s="18" t="n"/>
      <c r="DK75" s="18" t="n"/>
      <c r="DL75" s="18" t="n"/>
      <c r="DM75" s="18" t="n"/>
      <c r="DN75" s="18" t="n"/>
      <c r="DO75" s="18" t="n"/>
      <c r="DP75" s="18" t="n"/>
      <c r="DQ75" s="18" t="n"/>
      <c r="DR75" s="18" t="n"/>
      <c r="DS75" s="18" t="n"/>
      <c r="DT75" s="18" t="n"/>
      <c r="DU75" s="18" t="n"/>
      <c r="DV75" s="18" t="n"/>
      <c r="DW75" s="18" t="n"/>
      <c r="DX75" s="18" t="n"/>
      <c r="DY75" s="399" t="n"/>
      <c r="DZ75" s="18" t="n"/>
      <c r="EA75" s="18" t="n"/>
      <c r="EB75" s="256" t="n"/>
      <c r="EC75" s="256" t="n"/>
      <c r="ED75" s="256" t="n"/>
      <c r="EE75" s="18" t="n"/>
      <c r="EF75" s="18" t="n"/>
      <c r="EG75" s="18" t="n"/>
      <c r="EH75" s="18" t="n"/>
      <c r="EI75" s="18" t="n"/>
      <c r="EJ75" s="18" t="n"/>
      <c r="EK75" s="18" t="n"/>
      <c r="EL75" s="18" t="n"/>
      <c r="EM75" s="18" t="n"/>
      <c r="EN75" s="18" t="n"/>
      <c r="EO75" s="18" t="n"/>
      <c r="EP75" s="18" t="n"/>
      <c r="EQ75" s="18" t="n"/>
      <c r="ER75" s="18" t="n"/>
      <c r="ES75" s="18" t="n"/>
      <c r="ET75" s="18" t="n"/>
      <c r="EU75" s="18" t="n"/>
      <c r="EV75" s="18" t="n"/>
      <c r="EW75" s="18" t="n"/>
      <c r="EX75" s="18" t="n"/>
      <c r="EY75" s="18" t="n"/>
      <c r="EZ75" s="18" t="n"/>
      <c r="FA75" s="18" t="n"/>
      <c r="FB75" s="18" t="n"/>
      <c r="FC75" s="18" t="n"/>
      <c r="FD75" s="18" t="n"/>
      <c r="FE75" s="18" t="n"/>
      <c r="FF75" s="18" t="n"/>
      <c r="FG75" s="18" t="n"/>
      <c r="FH75" s="276" t="n"/>
      <c r="FI75" s="18" t="n"/>
      <c r="FJ75" s="18" t="n"/>
      <c r="FK75" s="276" t="n"/>
      <c r="FL75" s="18" t="n"/>
      <c r="FM75" s="18" t="n"/>
      <c r="FN75" s="18" t="n"/>
      <c r="FO75" s="18" t="n"/>
      <c r="FP75" s="18" t="n"/>
      <c r="FQ75" s="276" t="n"/>
      <c r="FR75" s="18" t="n"/>
      <c r="FS75" s="18" t="n"/>
      <c r="FT75" s="18" t="n"/>
      <c r="FU75" s="18" t="n"/>
      <c r="FV75" s="18" t="n"/>
      <c r="FW75" s="18" t="n"/>
      <c r="FX75" s="18" t="n"/>
      <c r="FY75" s="18" t="n"/>
      <c r="FZ75" s="276" t="n"/>
      <c r="GA75" s="18" t="n"/>
      <c r="GB75" s="18" t="n"/>
      <c r="GC75" s="18" t="n"/>
      <c r="GD75" s="276" t="n"/>
      <c r="GE75" s="18" t="n"/>
      <c r="GF75" s="18" t="n"/>
      <c r="GG75" s="18" t="n"/>
      <c r="GH75" s="18" t="n"/>
      <c r="GI75" s="18" t="n"/>
      <c r="GJ75" s="18" t="n"/>
      <c r="GK75" s="18" t="n"/>
      <c r="GL75" s="253" t="n"/>
      <c r="GM75" s="18" t="n"/>
      <c r="GN75" s="18" t="n"/>
      <c r="GO75" s="18" t="n"/>
      <c r="GP75" s="18" t="n"/>
      <c r="GQ75" s="18" t="n"/>
      <c r="GR75" s="18" t="n"/>
      <c r="GS75" s="18" t="n"/>
      <c r="GT75" s="18" t="n"/>
      <c r="GU75" s="18" t="n">
        <v>2</v>
      </c>
    </row>
    <row r="76" ht="18.75" customHeight="1">
      <c r="A76" s="43" t="inlineStr">
        <is>
          <t>ADESIVOS EUDORA</t>
        </is>
      </c>
      <c r="B76" s="149" t="n">
        <v>1000</v>
      </c>
      <c r="C76" s="726" t="n">
        <v>70</v>
      </c>
      <c r="D76" s="329" t="n">
        <v>1</v>
      </c>
      <c r="F76" s="9" t="n">
        <v>3</v>
      </c>
      <c r="G76" s="9" t="n">
        <v>5</v>
      </c>
      <c r="H76" s="9" t="n">
        <v>4</v>
      </c>
      <c r="I76" s="9" t="n">
        <v>4</v>
      </c>
      <c r="J76" s="9" t="n">
        <v>4</v>
      </c>
      <c r="K76" s="9" t="n">
        <v>4</v>
      </c>
      <c r="L76" s="9" t="n">
        <v>4</v>
      </c>
      <c r="M76" s="9" t="n">
        <v>4</v>
      </c>
      <c r="N76" s="9" t="n">
        <v>4</v>
      </c>
      <c r="O76" s="9" t="n">
        <v>4</v>
      </c>
      <c r="P76" s="9" t="n">
        <v>4</v>
      </c>
      <c r="Q76" s="9" t="n">
        <v>4</v>
      </c>
      <c r="R76" s="9" t="n">
        <v>4</v>
      </c>
      <c r="S76" s="9" t="n">
        <v>4</v>
      </c>
      <c r="T76" s="9" t="n">
        <v>4</v>
      </c>
      <c r="U76" s="9" t="n">
        <v>4</v>
      </c>
      <c r="V76" s="9" t="n">
        <v>4</v>
      </c>
      <c r="W76" s="9" t="n">
        <v>4</v>
      </c>
      <c r="X76" s="9" t="n">
        <v>4</v>
      </c>
      <c r="Y76" s="9" t="n">
        <v>4</v>
      </c>
      <c r="Z76" s="9" t="n">
        <v>4</v>
      </c>
      <c r="AA76" s="9" t="n">
        <v>2</v>
      </c>
      <c r="AB76" s="9" t="n">
        <v>2</v>
      </c>
      <c r="AC76" s="9" t="n">
        <v>1</v>
      </c>
      <c r="AD76" s="9" t="n">
        <v>1</v>
      </c>
      <c r="AE76" s="9" t="n">
        <v>1</v>
      </c>
      <c r="AF76" s="9" t="n">
        <v>1</v>
      </c>
      <c r="AG76" s="9" t="n">
        <v>1</v>
      </c>
      <c r="AH76" s="9" t="n">
        <v>1</v>
      </c>
      <c r="AI76" s="9" t="n">
        <v>1</v>
      </c>
      <c r="AJ76" s="9" t="n">
        <v>1</v>
      </c>
      <c r="AK76" s="9" t="n">
        <v>1</v>
      </c>
      <c r="AL76" s="9" t="n">
        <v>1</v>
      </c>
      <c r="AM76" s="9" t="n">
        <v>1</v>
      </c>
      <c r="AN76" s="9" t="n">
        <v>1</v>
      </c>
      <c r="AO76" s="9" t="n">
        <v>1</v>
      </c>
      <c r="AP76" s="9" t="n">
        <v>1</v>
      </c>
      <c r="AQ76" s="9" t="n">
        <v>0</v>
      </c>
      <c r="AR76" s="9" t="n">
        <v>0</v>
      </c>
      <c r="AS76" s="9" t="n">
        <v>0</v>
      </c>
      <c r="AT76" s="9" t="n">
        <v>0</v>
      </c>
      <c r="AU76" s="9" t="n">
        <v>0</v>
      </c>
      <c r="AV76" s="9" t="n">
        <v>0</v>
      </c>
      <c r="AW76" s="9" t="n">
        <v>0</v>
      </c>
      <c r="AX76" s="9" t="n">
        <v>0</v>
      </c>
      <c r="AY76" s="9" t="n">
        <v>0</v>
      </c>
      <c r="AZ76" s="9" t="n">
        <v>0</v>
      </c>
      <c r="BA76" s="9" t="n">
        <v>0</v>
      </c>
      <c r="BB76" s="9" t="n">
        <v>0</v>
      </c>
      <c r="BC76" s="9" t="n">
        <v>0</v>
      </c>
      <c r="BD76" s="9" t="n">
        <v>0</v>
      </c>
      <c r="BE76" s="9" t="n">
        <v>0</v>
      </c>
      <c r="BF76" s="9" t="n">
        <v>0</v>
      </c>
      <c r="BG76" s="9" t="n">
        <v>0</v>
      </c>
      <c r="BH76" s="9" t="n">
        <v>0</v>
      </c>
      <c r="BI76" s="9">
        <f>0+3+3</f>
        <v/>
      </c>
      <c r="BJ76" s="9" t="n">
        <v>1</v>
      </c>
      <c r="BK76" s="9" t="n">
        <v>1</v>
      </c>
      <c r="BL76" s="9" t="n">
        <v>4</v>
      </c>
      <c r="BM76" s="9" t="n">
        <v>3</v>
      </c>
      <c r="BN76" s="9" t="n">
        <v>3</v>
      </c>
      <c r="BO76" s="9" t="n">
        <v>3</v>
      </c>
      <c r="BP76" s="9" t="n">
        <v>3</v>
      </c>
      <c r="BQ76" s="9" t="n">
        <v>3</v>
      </c>
      <c r="BR76" s="9" t="n">
        <v>0</v>
      </c>
      <c r="BS76" s="9" t="n">
        <v>0</v>
      </c>
      <c r="BT76" s="9" t="n">
        <v>0</v>
      </c>
      <c r="BU76" s="9" t="n">
        <v>0</v>
      </c>
      <c r="BV76" s="9" t="n">
        <v>0</v>
      </c>
      <c r="BW76" s="9" t="n">
        <v>0</v>
      </c>
      <c r="BX76" s="9" t="n">
        <v>0</v>
      </c>
      <c r="BY76" s="9" t="n">
        <v>0</v>
      </c>
      <c r="BZ76" s="9" t="n"/>
      <c r="CA76" s="9" t="n"/>
      <c r="CB76" s="9" t="n"/>
      <c r="CC76" s="9" t="n"/>
      <c r="CD76" s="9" t="n"/>
      <c r="CE76" s="9" t="n"/>
      <c r="CF76" s="154">
        <f>CD76+IF(NOT(ISBLANK(OFFSET(CF76,0,6))),N(OFFSET(CF76,0,6)),N(OFFSET(CF76,0,7)))-CE76</f>
        <v/>
      </c>
      <c r="CH76" s="19" t="n"/>
      <c r="CI76" s="19" t="n"/>
      <c r="CK76" s="65" t="n"/>
      <c r="CL76" s="691" t="n">
        <v>0</v>
      </c>
      <c r="CM76" s="18" t="n">
        <v>0</v>
      </c>
      <c r="CN76" s="18" t="n">
        <v>0</v>
      </c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8" t="n"/>
      <c r="DA76" s="18" t="n"/>
      <c r="DB76" s="18" t="n"/>
      <c r="DC76" s="18" t="n"/>
      <c r="DD76" s="154" t="inlineStr">
        <is>
          <t>3 DE ER MG + 3 DE ER PBE</t>
        </is>
      </c>
      <c r="DE76" s="18" t="n"/>
      <c r="DF76" s="18" t="n"/>
      <c r="DG76" s="18" t="n"/>
      <c r="DH76" s="18" t="n"/>
      <c r="DI76" s="18" t="n"/>
      <c r="DJ76" s="18" t="n"/>
      <c r="DK76" s="18" t="n"/>
      <c r="DL76" s="18" t="n"/>
      <c r="DM76" s="18" t="n"/>
      <c r="DN76" s="18" t="n"/>
      <c r="DO76" s="18" t="n"/>
      <c r="DP76" s="18" t="n"/>
      <c r="DQ76" s="18" t="n"/>
      <c r="DR76" s="18" t="n"/>
      <c r="DS76" s="18" t="n"/>
      <c r="DT76" s="18" t="n"/>
      <c r="DU76" s="18" t="n"/>
      <c r="DV76" s="18" t="n"/>
      <c r="DW76" s="18" t="n"/>
      <c r="DX76" s="18" t="n"/>
      <c r="DY76" s="342" t="n"/>
      <c r="DZ76" s="18" t="n"/>
      <c r="EA76" s="18" t="n"/>
      <c r="EB76" s="256" t="n"/>
      <c r="EC76" s="256" t="n"/>
      <c r="ED76" s="256" t="n"/>
      <c r="EE76" s="18" t="n"/>
      <c r="EF76" s="18" t="n"/>
      <c r="EG76" s="18" t="n"/>
      <c r="EH76" s="18" t="n"/>
      <c r="EI76" s="18" t="n"/>
      <c r="EJ76" s="18" t="n"/>
      <c r="EK76" s="18" t="n"/>
      <c r="EL76" s="18" t="n"/>
      <c r="EM76" s="18" t="n"/>
      <c r="EN76" s="18" t="n"/>
      <c r="EO76" s="18" t="n"/>
      <c r="EP76" s="18" t="n"/>
      <c r="EQ76" s="18" t="n"/>
      <c r="ER76" s="18" t="n"/>
      <c r="ES76" s="18" t="n"/>
      <c r="ET76" s="18" t="n"/>
      <c r="EU76" s="18" t="n"/>
      <c r="EV76" s="18" t="n"/>
      <c r="EW76" s="18" t="n"/>
      <c r="EX76" s="18" t="n"/>
      <c r="EY76" s="18" t="n"/>
      <c r="EZ76" s="18" t="n"/>
      <c r="FA76" s="18" t="n"/>
      <c r="FB76" s="18" t="n"/>
      <c r="FC76" s="18" t="n"/>
      <c r="FD76" s="18" t="n"/>
      <c r="FE76" s="18" t="n"/>
      <c r="FF76" s="18" t="n"/>
      <c r="FG76" s="18" t="n"/>
      <c r="FH76" s="276" t="n"/>
      <c r="FI76" s="18" t="n"/>
      <c r="FJ76" s="18" t="n"/>
      <c r="FK76" s="276" t="n"/>
      <c r="FL76" s="18" t="n"/>
      <c r="FM76" s="18" t="n"/>
      <c r="FN76" s="18" t="n"/>
      <c r="FO76" s="18" t="n"/>
      <c r="FP76" s="18" t="n"/>
      <c r="FQ76" s="276" t="n"/>
      <c r="FR76" s="18" t="n"/>
      <c r="FS76" s="18" t="n"/>
      <c r="FT76" s="18" t="n"/>
      <c r="FU76" s="18" t="n"/>
      <c r="FV76" s="18" t="n"/>
      <c r="FW76" s="18" t="n"/>
      <c r="FX76" s="18" t="n"/>
      <c r="FY76" s="18" t="n"/>
      <c r="FZ76" s="276" t="n"/>
      <c r="GA76" s="18" t="n"/>
      <c r="GB76" s="18" t="n"/>
      <c r="GC76" s="18" t="n"/>
      <c r="GD76" s="276" t="n"/>
      <c r="GE76" s="18" t="n"/>
      <c r="GF76" s="18" t="n"/>
      <c r="GG76" s="18" t="n"/>
      <c r="GH76" s="18" t="n"/>
      <c r="GI76" s="18" t="n"/>
      <c r="GJ76" s="18" t="n"/>
      <c r="GK76" s="18" t="n"/>
      <c r="GL76" s="253" t="n"/>
      <c r="GM76" s="18" t="n"/>
      <c r="GN76" s="18" t="n"/>
      <c r="GO76" s="18" t="n"/>
      <c r="GP76" s="18" t="n"/>
      <c r="GQ76" s="18" t="n"/>
      <c r="GR76" s="18" t="n"/>
      <c r="GS76" s="18" t="n"/>
      <c r="GT76" s="18" t="n"/>
      <c r="GU76" s="18" t="n"/>
    </row>
    <row r="77" ht="18.75" customHeight="1">
      <c r="A77" s="43" t="inlineStr">
        <is>
          <t>LÂMINA OLFATIVA EUDORA</t>
        </is>
      </c>
      <c r="B77" s="204" t="n">
        <v>2000</v>
      </c>
      <c r="C77" s="726" t="n">
        <v>71</v>
      </c>
      <c r="D77" s="329" t="n">
        <v>0</v>
      </c>
      <c r="F77" s="9" t="n">
        <v>2</v>
      </c>
      <c r="G77" s="9" t="n">
        <v>2</v>
      </c>
      <c r="H77" s="9" t="n">
        <v>2</v>
      </c>
      <c r="I77" s="9" t="n">
        <v>2</v>
      </c>
      <c r="J77" s="9" t="n">
        <v>2</v>
      </c>
      <c r="K77" s="9" t="n">
        <v>2</v>
      </c>
      <c r="L77" s="9" t="n">
        <v>2</v>
      </c>
      <c r="M77" s="9" t="n">
        <v>2</v>
      </c>
      <c r="N77" s="9" t="n">
        <v>2</v>
      </c>
      <c r="O77" s="9" t="n">
        <v>2</v>
      </c>
      <c r="P77" s="9" t="n">
        <v>2</v>
      </c>
      <c r="Q77" s="9" t="n">
        <v>2</v>
      </c>
      <c r="R77" s="9" t="n">
        <v>2</v>
      </c>
      <c r="S77" s="9" t="n">
        <v>2</v>
      </c>
      <c r="T77" s="9" t="n">
        <v>2</v>
      </c>
      <c r="U77" s="9" t="n">
        <v>2</v>
      </c>
      <c r="V77" s="9" t="n">
        <v>2</v>
      </c>
      <c r="W77" s="9" t="n">
        <v>2</v>
      </c>
      <c r="X77" s="9" t="n">
        <v>2</v>
      </c>
      <c r="Y77" s="9" t="n">
        <v>2</v>
      </c>
      <c r="Z77" s="9" t="n">
        <v>2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9" t="n">
        <v>0</v>
      </c>
      <c r="AP77" s="9" t="n">
        <v>0</v>
      </c>
      <c r="AQ77" s="9" t="n">
        <v>0</v>
      </c>
      <c r="AR77" s="9" t="n">
        <v>0</v>
      </c>
      <c r="AS77" s="9" t="n">
        <v>0</v>
      </c>
      <c r="AT77" s="9" t="n">
        <v>0</v>
      </c>
      <c r="AU77" s="9" t="n">
        <v>0</v>
      </c>
      <c r="AV77" s="9" t="n">
        <v>0</v>
      </c>
      <c r="AW77" s="9" t="n">
        <v>0</v>
      </c>
      <c r="AX77" s="9" t="n">
        <v>0</v>
      </c>
      <c r="AY77" s="9" t="n">
        <v>0</v>
      </c>
      <c r="AZ77" s="9" t="n">
        <v>0</v>
      </c>
      <c r="BA77" s="9" t="n">
        <v>0</v>
      </c>
      <c r="BB77" s="9" t="n">
        <v>0</v>
      </c>
      <c r="BC77" s="9" t="n">
        <v>0</v>
      </c>
      <c r="BD77" s="9" t="n">
        <v>0</v>
      </c>
      <c r="BE77" s="9" t="n">
        <v>0</v>
      </c>
      <c r="BF77" s="9" t="n">
        <v>0</v>
      </c>
      <c r="BG77" s="9" t="n">
        <v>0</v>
      </c>
      <c r="BH77" s="9" t="n">
        <v>0</v>
      </c>
      <c r="BI77" s="9" t="n">
        <v>0</v>
      </c>
      <c r="BJ77" s="9" t="n">
        <v>0</v>
      </c>
      <c r="BK77" s="9" t="n">
        <v>0</v>
      </c>
      <c r="BL77" s="9" t="n">
        <v>0</v>
      </c>
      <c r="BM77" s="9" t="n">
        <v>0</v>
      </c>
      <c r="BN77" s="9" t="n">
        <v>0</v>
      </c>
      <c r="BO77" s="9" t="n">
        <v>0</v>
      </c>
      <c r="BP77" s="9" t="n">
        <v>0</v>
      </c>
      <c r="BQ77" s="9" t="n">
        <v>0</v>
      </c>
      <c r="BR77" s="9" t="n">
        <v>0</v>
      </c>
      <c r="BS77" s="9" t="n">
        <v>0</v>
      </c>
      <c r="BT77" s="9" t="n">
        <v>0</v>
      </c>
      <c r="BU77" s="9" t="n">
        <v>0</v>
      </c>
      <c r="BV77" s="9" t="n">
        <v>0</v>
      </c>
      <c r="BW77" s="9" t="n">
        <v>0</v>
      </c>
      <c r="BX77" s="9" t="n">
        <v>0</v>
      </c>
      <c r="BY77" s="9" t="n">
        <v>0</v>
      </c>
      <c r="BZ77" s="9" t="n"/>
      <c r="CA77" s="9" t="n"/>
      <c r="CB77" s="9" t="n"/>
      <c r="CC77" s="9" t="n"/>
      <c r="CD77" s="9" t="n"/>
      <c r="CE77" s="9" t="n"/>
      <c r="CF77" s="154">
        <f>CD77+IF(NOT(ISBLANK(OFFSET(CF77,0,6))),N(OFFSET(CF77,0,6)),N(OFFSET(CF77,0,7)))-CE77</f>
        <v/>
      </c>
      <c r="CH77" s="19" t="n"/>
      <c r="CI77" s="19" t="n"/>
      <c r="CK77" s="65" t="n"/>
      <c r="CL77" s="691" t="n">
        <v>0</v>
      </c>
      <c r="CM77" s="18" t="n">
        <v>0</v>
      </c>
      <c r="CN77" s="18" t="n">
        <v>0</v>
      </c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18" t="n"/>
      <c r="DM77" s="18" t="n"/>
      <c r="DN77" s="18" t="n"/>
      <c r="DO77" s="18" t="n"/>
      <c r="DP77" s="18" t="n"/>
      <c r="DQ77" s="18" t="n"/>
      <c r="DR77" s="18" t="n"/>
      <c r="DS77" s="18" t="n"/>
      <c r="DT77" s="18" t="n"/>
      <c r="DU77" s="18" t="n"/>
      <c r="DV77" s="18" t="n"/>
      <c r="DW77" s="18" t="n"/>
      <c r="DX77" s="18" t="n"/>
      <c r="DY77" s="342" t="n"/>
      <c r="DZ77" s="18" t="n"/>
      <c r="EA77" s="18" t="n"/>
      <c r="EB77" s="256" t="n"/>
      <c r="EC77" s="256" t="n"/>
      <c r="ED77" s="256" t="n"/>
      <c r="EE77" s="18" t="n"/>
      <c r="EF77" s="18" t="n"/>
      <c r="EG77" s="18" t="n"/>
      <c r="EH77" s="18" t="n"/>
      <c r="EI77" s="18" t="n"/>
      <c r="EJ77" s="18" t="n"/>
      <c r="EK77" s="18" t="n"/>
      <c r="EL77" s="18" t="n"/>
      <c r="EM77" s="18" t="n"/>
      <c r="EN77" s="18" t="n"/>
      <c r="EO77" s="18" t="n"/>
      <c r="EP77" s="18" t="n"/>
      <c r="EQ77" s="18" t="n"/>
      <c r="ER77" s="18" t="n"/>
      <c r="ES77" s="18" t="n"/>
      <c r="ET77" s="18" t="n"/>
      <c r="EU77" s="18" t="n"/>
      <c r="EV77" s="18" t="n"/>
      <c r="EW77" s="18" t="n"/>
      <c r="EX77" s="18" t="n"/>
      <c r="EY77" s="18" t="n"/>
      <c r="EZ77" s="18" t="n"/>
      <c r="FA77" s="18" t="n"/>
      <c r="FB77" s="18" t="n"/>
      <c r="FC77" s="18" t="n"/>
      <c r="FD77" s="18" t="n"/>
      <c r="FE77" s="18" t="n"/>
      <c r="FF77" s="18" t="n"/>
      <c r="FG77" s="18" t="n"/>
      <c r="FH77" s="276" t="n"/>
      <c r="FI77" s="18" t="n"/>
      <c r="FJ77" s="18" t="n"/>
      <c r="FK77" s="276" t="n"/>
      <c r="FL77" s="18" t="n"/>
      <c r="FM77" s="18" t="n"/>
      <c r="FN77" s="18" t="n"/>
      <c r="FO77" s="18" t="n"/>
      <c r="FP77" s="18" t="n"/>
      <c r="FQ77" s="276" t="n"/>
      <c r="FR77" s="18" t="n"/>
      <c r="FS77" s="18" t="n"/>
      <c r="FT77" s="18" t="n"/>
      <c r="FU77" s="18" t="n"/>
      <c r="FV77" s="260" t="n"/>
      <c r="FW77" s="18" t="n"/>
      <c r="FX77" s="18" t="n"/>
      <c r="FY77" s="18" t="n"/>
      <c r="FZ77" s="276" t="n"/>
      <c r="GA77" s="18" t="n"/>
      <c r="GB77" s="18" t="n"/>
      <c r="GC77" s="18" t="n"/>
      <c r="GD77" s="276" t="n"/>
      <c r="GE77" s="18" t="n"/>
      <c r="GF77" s="18" t="n"/>
      <c r="GG77" s="18" t="n"/>
      <c r="GH77" s="18" t="n"/>
      <c r="GI77" s="18" t="n"/>
      <c r="GJ77" s="18" t="n">
        <v>20</v>
      </c>
      <c r="GK77" s="18" t="n"/>
      <c r="GL77" s="253" t="n"/>
      <c r="GM77" s="18" t="n"/>
      <c r="GN77" s="18" t="n"/>
      <c r="GO77" s="18" t="n"/>
      <c r="GP77" s="18" t="n"/>
      <c r="GQ77" s="18" t="n"/>
      <c r="GR77" s="18" t="n"/>
      <c r="GS77" s="18" t="n"/>
      <c r="GT77" s="18" t="n"/>
      <c r="GU77" s="18" t="n"/>
    </row>
    <row r="78" ht="18.75" customHeight="1">
      <c r="A78" s="43" t="inlineStr">
        <is>
          <t>KIT SACOLA P EUDORA (C/ 10)</t>
        </is>
      </c>
      <c r="B78" s="149" t="n">
        <v>200</v>
      </c>
      <c r="C78" s="726" t="n">
        <v>184.13</v>
      </c>
      <c r="D78" s="329" t="n">
        <v>15</v>
      </c>
      <c r="F78" s="9" t="n">
        <v>0</v>
      </c>
      <c r="G78" s="9" t="n">
        <v>0</v>
      </c>
      <c r="H78" s="9" t="n">
        <v>0</v>
      </c>
      <c r="I78" s="9" t="n">
        <v>0</v>
      </c>
      <c r="J78" s="9" t="n">
        <v>0</v>
      </c>
      <c r="K78" s="9" t="n">
        <v>0</v>
      </c>
      <c r="L78" s="9">
        <f>0+GG77</f>
        <v/>
      </c>
      <c r="M78" s="9" t="n">
        <v>20</v>
      </c>
      <c r="N78" s="9" t="n">
        <v>20</v>
      </c>
      <c r="O78" s="9" t="n">
        <v>20</v>
      </c>
      <c r="P78" s="9" t="n">
        <v>20</v>
      </c>
      <c r="Q78" s="9" t="n">
        <v>20</v>
      </c>
      <c r="R78" s="9" t="n">
        <v>20</v>
      </c>
      <c r="S78" s="9" t="n">
        <v>20</v>
      </c>
      <c r="T78" s="9" t="n">
        <v>20</v>
      </c>
      <c r="U78" s="190" t="n">
        <v>40</v>
      </c>
      <c r="V78" s="9" t="n">
        <v>40</v>
      </c>
      <c r="W78" s="9" t="n">
        <v>40</v>
      </c>
      <c r="X78" s="9" t="n">
        <v>16</v>
      </c>
      <c r="Y78" s="9" t="n">
        <v>16</v>
      </c>
      <c r="Z78" s="9" t="n">
        <v>16</v>
      </c>
      <c r="AA78" s="9" t="n">
        <v>16</v>
      </c>
      <c r="AB78" s="9" t="n">
        <v>16</v>
      </c>
      <c r="AC78" s="190" t="n">
        <v>36</v>
      </c>
      <c r="AD78" s="9" t="n">
        <v>36</v>
      </c>
      <c r="AE78" s="9" t="n">
        <v>36</v>
      </c>
      <c r="AF78" s="9">
        <f>36+30</f>
        <v/>
      </c>
      <c r="AG78" s="9" t="n">
        <v>66</v>
      </c>
      <c r="AH78" s="9" t="n">
        <v>36</v>
      </c>
      <c r="AI78" s="9" t="n">
        <v>36</v>
      </c>
      <c r="AJ78" s="9" t="n">
        <v>36</v>
      </c>
      <c r="AK78" s="9" t="n">
        <v>36</v>
      </c>
      <c r="AL78" s="9" t="n">
        <v>36</v>
      </c>
      <c r="AM78" s="9" t="n">
        <v>36</v>
      </c>
      <c r="AN78" s="9" t="n">
        <v>36</v>
      </c>
      <c r="AO78" s="9" t="n">
        <v>45</v>
      </c>
      <c r="AP78" s="9" t="n">
        <v>45</v>
      </c>
      <c r="AQ78" s="9" t="n">
        <v>36</v>
      </c>
      <c r="AR78" s="9" t="n">
        <v>36</v>
      </c>
      <c r="AS78" s="9" t="n">
        <v>36</v>
      </c>
      <c r="AT78" s="9" t="n">
        <v>41</v>
      </c>
      <c r="AU78" s="9" t="n">
        <v>41</v>
      </c>
      <c r="AV78" s="9" t="n">
        <v>41</v>
      </c>
      <c r="AW78" s="9" t="n">
        <v>41</v>
      </c>
      <c r="AX78" s="9" t="n">
        <v>41</v>
      </c>
      <c r="AY78" s="9" t="n">
        <v>36</v>
      </c>
      <c r="AZ78" s="9" t="n">
        <v>36</v>
      </c>
      <c r="BA78" s="9" t="n">
        <v>36</v>
      </c>
      <c r="BB78" s="9" t="n">
        <v>16</v>
      </c>
      <c r="BC78" s="9" t="n">
        <v>16</v>
      </c>
      <c r="BD78" s="9" t="n">
        <v>16</v>
      </c>
      <c r="BE78" s="9" t="n">
        <v>16</v>
      </c>
      <c r="BF78" s="9" t="n">
        <v>16</v>
      </c>
      <c r="BG78" s="9" t="n">
        <v>16</v>
      </c>
      <c r="BH78" s="9" t="n">
        <v>16</v>
      </c>
      <c r="BI78" s="9" t="n">
        <v>16</v>
      </c>
      <c r="BJ78" s="9" t="n">
        <v>16</v>
      </c>
      <c r="BK78" s="9" t="n">
        <v>16</v>
      </c>
      <c r="BL78" s="9" t="n">
        <v>16</v>
      </c>
      <c r="BM78" s="9" t="n">
        <v>16</v>
      </c>
      <c r="BN78" s="9" t="n">
        <v>16</v>
      </c>
      <c r="BO78" s="9" t="n">
        <v>16</v>
      </c>
      <c r="BP78" s="9" t="n">
        <v>16</v>
      </c>
      <c r="BQ78" s="9" t="n">
        <v>16</v>
      </c>
      <c r="BR78" s="9" t="n">
        <v>16</v>
      </c>
      <c r="BS78" s="9" t="n">
        <v>16</v>
      </c>
      <c r="BT78" s="9" t="n">
        <v>16</v>
      </c>
      <c r="BU78" s="9" t="n">
        <v>16</v>
      </c>
      <c r="BV78" s="9" t="n">
        <v>16</v>
      </c>
      <c r="BW78" s="9" t="n">
        <v>16</v>
      </c>
      <c r="BX78" s="9" t="n">
        <v>16</v>
      </c>
      <c r="BY78" s="9" t="n">
        <v>16</v>
      </c>
      <c r="BZ78" s="9" t="n">
        <v>16</v>
      </c>
      <c r="CA78" s="9" t="n">
        <v>16</v>
      </c>
      <c r="CB78" s="9" t="n">
        <v>16</v>
      </c>
      <c r="CC78" s="9" t="n">
        <v>16</v>
      </c>
      <c r="CD78" s="9" t="n">
        <v>16</v>
      </c>
      <c r="CE78" s="9" t="n">
        <v>16</v>
      </c>
      <c r="CF78" s="154">
        <f>CD78+IF(NOT(ISBLANK(OFFSET(CF78,0,6))),N(OFFSET(CF78,0,6)),N(OFFSET(CF78,0,7)))-CE78</f>
        <v/>
      </c>
      <c r="CH78" s="19" t="n"/>
      <c r="CI78" s="19" t="n"/>
      <c r="CK78" s="65" t="n"/>
      <c r="CL78" s="691" t="n">
        <v>0</v>
      </c>
      <c r="CM78" s="18" t="n">
        <v>0</v>
      </c>
      <c r="CN78" s="18" t="n">
        <v>0</v>
      </c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18" t="n"/>
      <c r="DM78" s="18" t="n"/>
      <c r="DN78" s="18" t="n"/>
      <c r="DO78" s="18" t="n"/>
      <c r="DP78" s="18" t="n"/>
      <c r="DQ78" s="18" t="n"/>
      <c r="DR78" s="18" t="n"/>
      <c r="DS78" s="18" t="n"/>
      <c r="DT78" s="18" t="n"/>
      <c r="DU78" s="18" t="n"/>
      <c r="DV78" s="18" t="n"/>
      <c r="DW78" s="18" t="n"/>
      <c r="DX78" s="18" t="n"/>
      <c r="DY78" s="342" t="n"/>
      <c r="DZ78" s="18" t="n"/>
      <c r="EA78" s="18" t="n"/>
      <c r="EB78" s="256" t="n"/>
      <c r="EC78" s="256" t="n"/>
      <c r="ED78" s="256" t="n"/>
      <c r="EE78" s="18" t="n"/>
      <c r="EF78" s="18" t="n"/>
      <c r="EG78" s="18" t="n"/>
      <c r="EH78" s="18" t="n"/>
      <c r="EI78" s="18" t="n"/>
      <c r="EJ78" s="18" t="n"/>
      <c r="EK78" s="18" t="n"/>
      <c r="EL78" s="18" t="n"/>
      <c r="EM78" s="18" t="n"/>
      <c r="EN78" s="18" t="n"/>
      <c r="EO78" s="18" t="n"/>
      <c r="EP78" s="18" t="n"/>
      <c r="EQ78" s="18" t="n"/>
      <c r="ER78" s="18" t="n"/>
      <c r="ES78" s="18" t="n"/>
      <c r="ET78" s="18" t="n"/>
      <c r="EU78" s="18" t="n"/>
      <c r="EV78" s="18" t="n"/>
      <c r="EW78" s="18" t="n"/>
      <c r="EX78" s="18" t="n"/>
      <c r="EY78" s="18" t="n"/>
      <c r="EZ78" s="18" t="n"/>
      <c r="FA78" s="18" t="n"/>
      <c r="FB78" s="18" t="n"/>
      <c r="FC78" s="18" t="n"/>
      <c r="FD78" s="18" t="n"/>
      <c r="FE78" s="18" t="n"/>
      <c r="FF78" s="18" t="n"/>
      <c r="FG78" s="18" t="n"/>
      <c r="FH78" s="276" t="n"/>
      <c r="FI78" s="18" t="n"/>
      <c r="FJ78" s="18" t="n"/>
      <c r="FK78" s="276" t="n"/>
      <c r="FL78" s="18" t="n"/>
      <c r="FM78" s="18" t="n"/>
      <c r="FN78" s="18" t="n"/>
      <c r="FO78" s="18" t="n"/>
      <c r="FP78" s="18" t="n"/>
      <c r="FQ78" s="276" t="n"/>
      <c r="FR78" s="18" t="n"/>
      <c r="FS78" s="18" t="n"/>
      <c r="FT78" s="18" t="n"/>
      <c r="FU78" s="18" t="n"/>
      <c r="FV78" s="260" t="n"/>
      <c r="FW78" s="18" t="n"/>
      <c r="FX78" s="18" t="n"/>
      <c r="FY78" s="18" t="n"/>
      <c r="FZ78" s="276" t="n"/>
      <c r="GA78" s="18" t="n"/>
      <c r="GB78" s="18" t="n"/>
      <c r="GC78" s="18" t="n"/>
      <c r="GD78" s="276" t="n"/>
      <c r="GE78" s="18" t="n"/>
      <c r="GF78" s="18" t="n"/>
      <c r="GG78" s="18" t="n"/>
      <c r="GH78" s="18" t="n"/>
      <c r="GI78" s="18" t="n"/>
      <c r="GJ78" s="18" t="n">
        <v>15</v>
      </c>
      <c r="GK78" s="18" t="n"/>
      <c r="GL78" s="253" t="n"/>
      <c r="GM78" s="18" t="n"/>
      <c r="GN78" s="18" t="n"/>
      <c r="GO78" s="18" t="n"/>
      <c r="GP78" s="18" t="n"/>
      <c r="GQ78" s="18" t="n"/>
      <c r="GR78" s="18" t="n"/>
      <c r="GS78" s="18" t="n"/>
      <c r="GT78" s="18" t="n"/>
      <c r="GU78" s="18" t="n"/>
    </row>
    <row r="79" ht="18.75" customHeight="1">
      <c r="A79" s="43" t="inlineStr">
        <is>
          <t>KIT SACOLA M EUDORA (C/ 10)</t>
        </is>
      </c>
      <c r="B79" s="149" t="n">
        <v>150</v>
      </c>
      <c r="C79" s="726" t="n">
        <v>181.4</v>
      </c>
      <c r="D79" s="329" t="n">
        <v>15</v>
      </c>
      <c r="F79" s="9" t="n">
        <v>0</v>
      </c>
      <c r="G79" s="9" t="n">
        <v>0</v>
      </c>
      <c r="H79" s="9" t="n">
        <v>0</v>
      </c>
      <c r="I79" s="9" t="n">
        <v>0</v>
      </c>
      <c r="J79" s="9" t="n">
        <v>0</v>
      </c>
      <c r="K79" s="9" t="n">
        <v>0</v>
      </c>
      <c r="L79" s="9">
        <f>0+GG78</f>
        <v/>
      </c>
      <c r="M79" s="9" t="n">
        <v>15</v>
      </c>
      <c r="N79" s="9" t="n">
        <v>15</v>
      </c>
      <c r="O79" s="9" t="n">
        <v>15</v>
      </c>
      <c r="P79" s="9" t="n">
        <v>15</v>
      </c>
      <c r="Q79" s="9" t="n">
        <v>15</v>
      </c>
      <c r="R79" s="9" t="n">
        <v>15</v>
      </c>
      <c r="S79" s="9" t="n">
        <v>15</v>
      </c>
      <c r="T79" s="9" t="n">
        <v>15</v>
      </c>
      <c r="U79" s="190" t="n">
        <v>30</v>
      </c>
      <c r="V79" s="9" t="n">
        <v>30</v>
      </c>
      <c r="W79" s="9" t="n">
        <v>30</v>
      </c>
      <c r="X79" s="9" t="n">
        <v>30</v>
      </c>
      <c r="Y79" s="9" t="n">
        <v>30</v>
      </c>
      <c r="Z79" s="9" t="n">
        <v>30</v>
      </c>
      <c r="AA79" s="190" t="n">
        <v>105</v>
      </c>
      <c r="AB79" s="9" t="n">
        <v>83</v>
      </c>
      <c r="AC79" s="9" t="n">
        <v>50</v>
      </c>
      <c r="AD79" s="9" t="n">
        <v>50</v>
      </c>
      <c r="AE79" s="9" t="n">
        <v>47</v>
      </c>
      <c r="AF79" s="9" t="n">
        <v>30</v>
      </c>
      <c r="AG79" s="9" t="n">
        <v>30</v>
      </c>
      <c r="AH79" s="9" t="n">
        <v>30</v>
      </c>
      <c r="AI79" s="9" t="n">
        <v>30</v>
      </c>
      <c r="AJ79" s="9" t="n">
        <v>30</v>
      </c>
      <c r="AK79" s="9" t="n">
        <v>30</v>
      </c>
      <c r="AL79" s="9" t="n">
        <v>30</v>
      </c>
      <c r="AM79" s="9" t="n">
        <v>30</v>
      </c>
      <c r="AN79" s="9" t="n">
        <v>30</v>
      </c>
      <c r="AO79" s="9" t="n">
        <v>55</v>
      </c>
      <c r="AP79" s="9" t="n">
        <v>55</v>
      </c>
      <c r="AQ79" s="9" t="n">
        <v>31</v>
      </c>
      <c r="AR79" s="9" t="n">
        <v>30</v>
      </c>
      <c r="AS79" s="9" t="n">
        <v>60</v>
      </c>
      <c r="AT79" s="9" t="n">
        <v>58</v>
      </c>
      <c r="AU79" s="9" t="n">
        <v>58</v>
      </c>
      <c r="AV79" s="9" t="n">
        <v>58</v>
      </c>
      <c r="AW79" s="9" t="n">
        <v>58</v>
      </c>
      <c r="AX79" s="9" t="n">
        <v>58</v>
      </c>
      <c r="AY79" s="9" t="n">
        <v>63</v>
      </c>
      <c r="AZ79" s="9" t="n">
        <v>58</v>
      </c>
      <c r="BA79" s="9" t="n">
        <v>58</v>
      </c>
      <c r="BB79" s="9" t="n">
        <v>58</v>
      </c>
      <c r="BC79" s="9" t="n">
        <v>60</v>
      </c>
      <c r="BD79" s="9" t="n">
        <v>60</v>
      </c>
      <c r="BE79" s="9" t="n">
        <v>60</v>
      </c>
      <c r="BF79" s="9" t="n">
        <v>60</v>
      </c>
      <c r="BG79" s="9" t="n">
        <v>60</v>
      </c>
      <c r="BH79" s="9" t="n">
        <v>59</v>
      </c>
      <c r="BI79" s="9" t="n">
        <v>59</v>
      </c>
      <c r="BJ79" s="9" t="n">
        <v>59</v>
      </c>
      <c r="BK79" s="9" t="n">
        <v>60</v>
      </c>
      <c r="BL79" s="9" t="n">
        <v>60</v>
      </c>
      <c r="BM79" s="9" t="n">
        <v>60</v>
      </c>
      <c r="BN79" s="9" t="n">
        <v>60</v>
      </c>
      <c r="BO79" s="9" t="n">
        <v>60</v>
      </c>
      <c r="BP79" s="9" t="n">
        <v>60</v>
      </c>
      <c r="BQ79" s="9" t="n">
        <v>60</v>
      </c>
      <c r="BR79" s="9" t="n">
        <v>60</v>
      </c>
      <c r="BS79" s="9" t="n">
        <v>60</v>
      </c>
      <c r="BT79" s="9" t="n">
        <v>60</v>
      </c>
      <c r="BU79" s="9" t="n">
        <v>60</v>
      </c>
      <c r="BV79" s="9" t="n">
        <v>60</v>
      </c>
      <c r="BW79" s="9" t="n">
        <v>60</v>
      </c>
      <c r="BX79" s="9" t="n">
        <v>60</v>
      </c>
      <c r="BY79" s="9" t="n">
        <v>60</v>
      </c>
      <c r="BZ79" s="9" t="n">
        <v>60</v>
      </c>
      <c r="CA79" s="9" t="n">
        <v>60</v>
      </c>
      <c r="CB79" s="9" t="n">
        <v>60</v>
      </c>
      <c r="CC79" s="9" t="n">
        <v>60</v>
      </c>
      <c r="CD79" s="9" t="n">
        <v>60</v>
      </c>
      <c r="CE79" s="9" t="n">
        <v>60</v>
      </c>
      <c r="CF79" s="154">
        <f>CD79+IF(NOT(ISBLANK(OFFSET(CF79,0,6))),N(OFFSET(CF79,0,6)),N(OFFSET(CF79,0,7)))-CE79</f>
        <v/>
      </c>
      <c r="CH79" s="19" t="n"/>
      <c r="CI79" s="19" t="n"/>
      <c r="CK79" s="27" t="n"/>
      <c r="CL79" s="691" t="n">
        <v>0</v>
      </c>
      <c r="CM79" s="18" t="n">
        <v>0</v>
      </c>
      <c r="CN79" s="18" t="n">
        <v>0</v>
      </c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18" t="n"/>
      <c r="DM79" s="18" t="n"/>
      <c r="DN79" s="18" t="n"/>
      <c r="DO79" s="18" t="n"/>
      <c r="DP79" s="18" t="n"/>
      <c r="DQ79" s="18" t="n"/>
      <c r="DR79" s="18" t="n"/>
      <c r="DS79" s="18" t="n"/>
      <c r="DT79" s="18" t="n"/>
      <c r="DU79" s="18" t="n"/>
      <c r="DV79" s="18" t="n"/>
      <c r="DW79" s="18" t="n"/>
      <c r="DX79" s="18" t="n"/>
      <c r="DY79" s="342" t="n"/>
      <c r="DZ79" s="18" t="n"/>
      <c r="EA79" s="18" t="n">
        <v>30</v>
      </c>
      <c r="EB79" s="256" t="n"/>
      <c r="EC79" s="256" t="n"/>
      <c r="ED79" s="256" t="n"/>
      <c r="EE79" s="18" t="n"/>
      <c r="EF79" s="18" t="n"/>
      <c r="EG79" s="18" t="n"/>
      <c r="EH79" s="18" t="n"/>
      <c r="EI79" s="18" t="n"/>
      <c r="EJ79" s="18" t="n"/>
      <c r="EK79" s="18" t="n"/>
      <c r="EL79" s="18" t="n"/>
      <c r="EM79" s="18" t="n"/>
      <c r="EN79" s="18" t="n"/>
      <c r="EO79" s="18" t="n"/>
      <c r="EP79" s="18" t="n"/>
      <c r="EQ79" s="18" t="n"/>
      <c r="ER79" s="18" t="n"/>
      <c r="ES79" s="18" t="n"/>
      <c r="ET79" s="18" t="n"/>
      <c r="EU79" s="18" t="n"/>
      <c r="EV79" s="18" t="n"/>
      <c r="EW79" s="18" t="n"/>
      <c r="EX79" s="18" t="n"/>
      <c r="EY79" s="18" t="n"/>
      <c r="EZ79" s="18" t="n"/>
      <c r="FA79" s="18" t="n"/>
      <c r="FB79" s="18" t="n"/>
      <c r="FC79" s="18" t="n"/>
      <c r="FD79" s="18" t="n"/>
      <c r="FE79" s="18" t="n"/>
      <c r="FF79" s="18" t="n"/>
      <c r="FG79" s="18" t="n"/>
      <c r="FH79" s="276" t="n"/>
      <c r="FI79" s="18" t="n"/>
      <c r="FJ79" s="18" t="n"/>
      <c r="FK79" s="276" t="n"/>
      <c r="FL79" s="18" t="n"/>
      <c r="FM79" s="18" t="n"/>
      <c r="FN79" s="18" t="n"/>
      <c r="FO79" s="18" t="n"/>
      <c r="FP79" s="18" t="n"/>
      <c r="FQ79" s="276" t="n"/>
      <c r="FR79" s="18" t="n"/>
      <c r="FS79" s="18" t="n"/>
      <c r="FT79" s="18" t="n"/>
      <c r="FU79" s="18" t="n"/>
      <c r="FV79" s="18" t="n"/>
      <c r="FW79" s="18" t="n"/>
      <c r="FX79" s="18" t="n"/>
      <c r="FY79" s="18" t="n"/>
      <c r="FZ79" s="276" t="n"/>
      <c r="GA79" s="18" t="n"/>
      <c r="GB79" s="18" t="n"/>
      <c r="GC79" s="18" t="n"/>
      <c r="GD79" s="276" t="n"/>
      <c r="GE79" s="18" t="n"/>
      <c r="GF79" s="18" t="n"/>
      <c r="GG79" s="18" t="n"/>
      <c r="GH79" s="18" t="n"/>
      <c r="GI79" s="18" t="n"/>
      <c r="GJ79" s="18" t="n"/>
      <c r="GK79" s="18" t="n"/>
      <c r="GL79" s="253" t="n"/>
      <c r="GM79" s="18" t="n"/>
      <c r="GN79" s="18" t="n"/>
      <c r="GO79" s="18" t="n"/>
      <c r="GP79" s="18" t="n"/>
      <c r="GQ79" s="18" t="n"/>
      <c r="GR79" s="18" t="n"/>
      <c r="GS79" s="18" t="n"/>
      <c r="GT79" s="18" t="n"/>
      <c r="GU79" s="18" t="n"/>
    </row>
    <row r="80" ht="18.75" customHeight="1">
      <c r="A80" s="43" t="inlineStr">
        <is>
          <t>KIT SACOLA G EUDORA (C/ 10)</t>
        </is>
      </c>
      <c r="B80" s="149" t="inlineStr">
        <is>
          <t>-</t>
        </is>
      </c>
      <c r="C80" s="726" t="inlineStr">
        <is>
          <t>-</t>
        </is>
      </c>
      <c r="D80" s="329" t="n">
        <v>0</v>
      </c>
      <c r="F80" s="9" t="n">
        <v>0</v>
      </c>
      <c r="G80" s="9" t="n">
        <v>0</v>
      </c>
      <c r="H80" s="9" t="n">
        <v>0</v>
      </c>
      <c r="I80" s="9" t="n">
        <v>0</v>
      </c>
      <c r="J80" s="9" t="n">
        <v>0</v>
      </c>
      <c r="K80" s="9" t="n">
        <v>0</v>
      </c>
      <c r="L80" s="9" t="n">
        <v>0</v>
      </c>
      <c r="M80" s="9" t="n">
        <v>0</v>
      </c>
      <c r="N80" s="9" t="n">
        <v>0</v>
      </c>
      <c r="O80" s="9" t="n">
        <v>0</v>
      </c>
      <c r="P80" s="9" t="n">
        <v>0</v>
      </c>
      <c r="Q80" s="9" t="n">
        <v>0</v>
      </c>
      <c r="R80" s="9" t="n">
        <v>0</v>
      </c>
      <c r="S80" s="9" t="n">
        <v>0</v>
      </c>
      <c r="T80" s="9" t="n">
        <v>0</v>
      </c>
      <c r="U80" s="9" t="n">
        <v>0</v>
      </c>
      <c r="V80" s="9" t="n">
        <v>0</v>
      </c>
      <c r="W80" s="9" t="n">
        <v>0</v>
      </c>
      <c r="X80" s="9" t="n">
        <v>0</v>
      </c>
      <c r="Y80" s="9" t="n">
        <v>0</v>
      </c>
      <c r="Z80" s="9" t="n">
        <v>0</v>
      </c>
      <c r="AA80" s="9" t="n">
        <v>0</v>
      </c>
      <c r="AB80" s="9" t="n">
        <v>0</v>
      </c>
      <c r="AC80" s="9" t="n">
        <v>0</v>
      </c>
      <c r="AD80" s="9" t="n">
        <v>0</v>
      </c>
      <c r="AE80" s="9" t="n">
        <v>0</v>
      </c>
      <c r="AF80" s="9" t="n">
        <v>0</v>
      </c>
      <c r="AG80" s="9" t="n">
        <v>0</v>
      </c>
      <c r="AH80" s="9" t="n">
        <v>0</v>
      </c>
      <c r="AI80" s="9" t="n">
        <v>0</v>
      </c>
      <c r="AJ80" s="9" t="n">
        <v>0</v>
      </c>
      <c r="AK80" s="9" t="n">
        <v>0</v>
      </c>
      <c r="AL80" s="9" t="n">
        <v>0</v>
      </c>
      <c r="AM80" s="9" t="n">
        <v>0</v>
      </c>
      <c r="AN80" s="9" t="n">
        <v>0</v>
      </c>
      <c r="AO80" s="9" t="n">
        <v>0</v>
      </c>
      <c r="AP80" s="9" t="n">
        <v>0</v>
      </c>
      <c r="AQ80" s="9" t="n">
        <v>0</v>
      </c>
      <c r="AR80" s="9" t="n">
        <v>0</v>
      </c>
      <c r="AS80" s="9" t="n">
        <v>0</v>
      </c>
      <c r="AT80" s="9" t="n">
        <v>0</v>
      </c>
      <c r="AU80" s="9" t="n">
        <v>0</v>
      </c>
      <c r="AV80" s="9" t="n">
        <v>0</v>
      </c>
      <c r="AW80" s="9" t="n">
        <v>0</v>
      </c>
      <c r="AX80" s="9" t="n">
        <v>0</v>
      </c>
      <c r="AY80" s="190" t="n">
        <v>53</v>
      </c>
      <c r="AZ80" s="190" t="n">
        <v>53</v>
      </c>
      <c r="BA80" s="9" t="n">
        <v>53</v>
      </c>
      <c r="BB80" s="9" t="n">
        <v>53</v>
      </c>
      <c r="BC80" s="9" t="n">
        <v>53</v>
      </c>
      <c r="BD80" s="9" t="n">
        <v>53</v>
      </c>
      <c r="BE80" s="9" t="n">
        <v>53</v>
      </c>
      <c r="BF80" s="9" t="n">
        <v>53</v>
      </c>
      <c r="BG80" s="9" t="n">
        <v>53</v>
      </c>
      <c r="BH80" s="9" t="n">
        <v>53</v>
      </c>
      <c r="BI80" s="9" t="n">
        <v>53</v>
      </c>
      <c r="BJ80" s="9" t="n">
        <v>53</v>
      </c>
      <c r="BK80" s="9" t="n">
        <v>53</v>
      </c>
      <c r="BL80" s="9" t="n">
        <v>53</v>
      </c>
      <c r="BM80" s="9" t="n">
        <v>53</v>
      </c>
      <c r="BN80" s="9" t="n">
        <v>53</v>
      </c>
      <c r="BO80" s="9" t="n">
        <v>53</v>
      </c>
      <c r="BP80" s="9" t="n">
        <v>53</v>
      </c>
      <c r="BQ80" s="9" t="n">
        <v>53</v>
      </c>
      <c r="BR80" s="9" t="n">
        <v>53</v>
      </c>
      <c r="BS80" s="9" t="n">
        <v>10</v>
      </c>
      <c r="BT80" s="9" t="n">
        <v>10</v>
      </c>
      <c r="BU80" s="9" t="n">
        <v>10</v>
      </c>
      <c r="BV80" s="9" t="n">
        <v>10</v>
      </c>
      <c r="BW80" s="9" t="n">
        <v>9</v>
      </c>
      <c r="BX80" s="9" t="n">
        <v>9</v>
      </c>
      <c r="BY80" s="9" t="n">
        <v>9</v>
      </c>
      <c r="BZ80" s="9" t="n">
        <v>9</v>
      </c>
      <c r="CA80" s="9" t="n">
        <v>9</v>
      </c>
      <c r="CB80" s="9" t="n">
        <v>9</v>
      </c>
      <c r="CC80" s="9" t="n">
        <v>9</v>
      </c>
      <c r="CD80" s="9" t="n">
        <v>9</v>
      </c>
      <c r="CE80" s="9" t="n">
        <v>9</v>
      </c>
      <c r="CF80" s="154">
        <f>CD80+IF(NOT(ISBLANK(OFFSET(CF80,0,6))),N(OFFSET(CF80,0,6)),N(OFFSET(CF80,0,7)))-CE80</f>
        <v/>
      </c>
      <c r="CH80" s="19" t="n"/>
      <c r="CI80" s="19" t="n"/>
      <c r="CK80" s="27" t="n"/>
      <c r="CL80" s="691" t="n">
        <v>0</v>
      </c>
      <c r="CM80" s="18" t="n">
        <v>0</v>
      </c>
      <c r="CN80" s="18" t="n">
        <v>0</v>
      </c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18" t="n"/>
      <c r="DM80" s="18" t="n"/>
      <c r="DN80" s="18" t="n"/>
      <c r="DO80" s="18" t="n"/>
      <c r="DP80" s="18" t="n"/>
      <c r="DQ80" s="18" t="n"/>
      <c r="DR80" s="18" t="n"/>
      <c r="DS80" s="18" t="n"/>
      <c r="DT80" s="18" t="n"/>
      <c r="DU80" s="18" t="n"/>
      <c r="DV80" s="18" t="n"/>
      <c r="DW80" s="18" t="n"/>
      <c r="DX80" s="18" t="n"/>
      <c r="DY80" s="399" t="n"/>
      <c r="DZ80" s="18" t="n"/>
      <c r="EA80" s="18" t="n"/>
      <c r="EB80" s="256" t="n"/>
      <c r="EC80" s="256" t="n"/>
      <c r="ED80" s="256" t="n"/>
      <c r="EE80" s="18" t="n">
        <v>150</v>
      </c>
      <c r="EF80" s="18" t="n"/>
      <c r="EG80" s="18" t="n"/>
      <c r="EH80" s="18" t="n"/>
      <c r="EI80" s="18" t="n"/>
      <c r="EJ80" s="18" t="n"/>
      <c r="EK80" s="18" t="n"/>
      <c r="EL80" s="18" t="n"/>
      <c r="EM80" s="18" t="n"/>
      <c r="EN80" s="18" t="n"/>
      <c r="EO80" s="18" t="n"/>
      <c r="EP80" s="18" t="n"/>
      <c r="EQ80" s="18" t="n"/>
      <c r="ER80" s="18" t="n"/>
      <c r="ES80" s="18" t="n"/>
      <c r="ET80" s="18" t="n"/>
      <c r="EU80" s="18" t="n"/>
      <c r="EV80" s="18" t="n"/>
      <c r="EW80" s="18" t="n"/>
      <c r="EX80" s="18" t="n"/>
      <c r="EY80" s="18" t="n"/>
      <c r="EZ80" s="239" t="inlineStr">
        <is>
          <t>20 DE CD</t>
        </is>
      </c>
      <c r="FA80" s="18" t="n"/>
      <c r="FB80" s="18" t="n"/>
      <c r="FC80" s="18" t="n"/>
      <c r="FD80" s="18" t="n"/>
      <c r="FE80" s="18" t="n"/>
      <c r="FF80" s="18" t="n"/>
      <c r="FG80" s="18" t="n"/>
      <c r="FH80" s="276" t="n"/>
      <c r="FI80" s="18" t="n"/>
      <c r="FJ80" s="18" t="n"/>
      <c r="FK80" s="276" t="n"/>
      <c r="FL80" s="239" t="inlineStr">
        <is>
          <t>30 DE CD</t>
        </is>
      </c>
      <c r="FM80" s="18" t="n"/>
      <c r="FN80" s="18" t="n"/>
      <c r="FO80" s="18" t="n"/>
      <c r="FP80" s="18" t="n"/>
      <c r="FQ80" s="276" t="n"/>
      <c r="FR80" s="18" t="n"/>
      <c r="FS80" s="18" t="n"/>
      <c r="FT80" s="18" t="n"/>
      <c r="FU80" s="18" t="n"/>
      <c r="FV80" s="18" t="n"/>
      <c r="FW80" s="18" t="n"/>
      <c r="FX80" s="18" t="n"/>
      <c r="FY80" s="18" t="n"/>
      <c r="FZ80" s="276" t="n"/>
      <c r="GA80" s="18" t="n"/>
      <c r="GB80" s="18" t="n"/>
      <c r="GC80" s="18" t="n"/>
      <c r="GD80" s="276" t="n"/>
      <c r="GE80" s="18" t="n"/>
      <c r="GF80" s="18" t="n"/>
      <c r="GG80" s="18" t="n"/>
      <c r="GH80" s="18" t="n"/>
      <c r="GI80" s="18" t="n"/>
      <c r="GJ80" s="18" t="n"/>
      <c r="GK80" s="18" t="n"/>
      <c r="GL80" s="253" t="n"/>
      <c r="GM80" s="18" t="n"/>
      <c r="GN80" s="18" t="n"/>
      <c r="GO80" s="18" t="n"/>
      <c r="GP80" s="18" t="n"/>
      <c r="GQ80" s="18" t="n"/>
      <c r="GR80" s="18" t="n"/>
      <c r="GS80" s="18" t="n"/>
      <c r="GT80" s="18" t="n"/>
      <c r="GU80" s="18" t="n"/>
    </row>
    <row r="81" ht="18.75" customHeight="1">
      <c r="A81" s="43" t="inlineStr">
        <is>
          <t>CAIXA P EUDORA</t>
        </is>
      </c>
      <c r="B81" s="149" t="n">
        <v>150</v>
      </c>
      <c r="C81" s="726" t="n">
        <v>400.5</v>
      </c>
      <c r="D81" s="329" t="n">
        <v>15</v>
      </c>
      <c r="F81" s="9" t="n">
        <v>0</v>
      </c>
      <c r="G81" s="9" t="n">
        <v>0</v>
      </c>
      <c r="H81" s="9" t="n">
        <v>0</v>
      </c>
      <c r="I81" s="9" t="n">
        <v>0</v>
      </c>
      <c r="J81" s="9" t="n">
        <v>0</v>
      </c>
      <c r="K81" s="9" t="n">
        <v>0</v>
      </c>
      <c r="L81" s="9" t="n">
        <v>0</v>
      </c>
      <c r="M81" s="9" t="n">
        <v>4</v>
      </c>
      <c r="N81" s="9" t="n">
        <v>4</v>
      </c>
      <c r="O81" s="9" t="n">
        <v>4</v>
      </c>
      <c r="P81" s="9" t="n">
        <v>4</v>
      </c>
      <c r="Q81" s="9" t="n">
        <v>4</v>
      </c>
      <c r="R81" s="9" t="n">
        <v>4</v>
      </c>
      <c r="S81" s="9" t="n">
        <v>4</v>
      </c>
      <c r="T81" s="9" t="n">
        <v>5</v>
      </c>
      <c r="U81" s="9" t="n">
        <v>5</v>
      </c>
      <c r="V81" s="9" t="n">
        <v>4</v>
      </c>
      <c r="W81" s="9" t="n">
        <v>4</v>
      </c>
      <c r="X81" s="9" t="n">
        <v>4</v>
      </c>
      <c r="Y81" s="9" t="n">
        <v>0</v>
      </c>
      <c r="Z81" s="9">
        <f>0+30</f>
        <v/>
      </c>
      <c r="AA81" s="9" t="n">
        <v>30</v>
      </c>
      <c r="AB81" s="9" t="n">
        <v>30</v>
      </c>
      <c r="AC81" s="9" t="n">
        <v>30</v>
      </c>
      <c r="AD81" s="9">
        <f>0+20</f>
        <v/>
      </c>
      <c r="AE81" s="9" t="n">
        <v>20</v>
      </c>
      <c r="AF81" s="9" t="n">
        <v>21</v>
      </c>
      <c r="AG81" s="9" t="n">
        <v>21</v>
      </c>
      <c r="AH81" s="9" t="n">
        <v>21</v>
      </c>
      <c r="AI81" s="9" t="n">
        <v>21</v>
      </c>
      <c r="AJ81" s="9" t="n">
        <v>21</v>
      </c>
      <c r="AK81" s="9" t="n">
        <v>20</v>
      </c>
      <c r="AL81" s="9" t="n">
        <v>19</v>
      </c>
      <c r="AM81" s="9" t="n">
        <v>0</v>
      </c>
      <c r="AN81" s="9" t="n">
        <v>0</v>
      </c>
      <c r="AO81" s="9" t="n">
        <v>0</v>
      </c>
      <c r="AP81" s="9" t="n">
        <v>0</v>
      </c>
      <c r="AQ81" s="9" t="n">
        <v>0</v>
      </c>
      <c r="AR81" s="9" t="n">
        <v>0</v>
      </c>
      <c r="AS81" s="9" t="n">
        <v>150</v>
      </c>
      <c r="AT81" s="9" t="n">
        <v>150</v>
      </c>
      <c r="AU81" s="9" t="n">
        <v>150</v>
      </c>
      <c r="AV81" s="9" t="n">
        <v>130</v>
      </c>
      <c r="AW81" s="9" t="n">
        <v>130</v>
      </c>
      <c r="AX81" s="9" t="n">
        <v>130</v>
      </c>
      <c r="AY81" s="9" t="n">
        <v>130</v>
      </c>
      <c r="AZ81" s="9" t="n">
        <v>130</v>
      </c>
      <c r="BA81" s="9" t="n">
        <v>130</v>
      </c>
      <c r="BB81" s="9" t="n">
        <v>121</v>
      </c>
      <c r="BC81" s="9" t="n">
        <v>1</v>
      </c>
      <c r="BD81" s="9">
        <f>0+DK81</f>
        <v/>
      </c>
      <c r="BE81" s="9" t="n">
        <v>130</v>
      </c>
      <c r="BF81" s="9" t="n">
        <v>130</v>
      </c>
      <c r="BG81" s="9" t="n">
        <v>130</v>
      </c>
      <c r="BH81" s="9" t="n">
        <v>150</v>
      </c>
      <c r="BI81" s="9" t="n">
        <v>150</v>
      </c>
      <c r="BJ81" s="9" t="n">
        <v>150</v>
      </c>
      <c r="BK81" s="9" t="n">
        <v>150</v>
      </c>
      <c r="BL81" s="9" t="n">
        <v>150</v>
      </c>
      <c r="BM81" s="9" t="n">
        <v>150</v>
      </c>
      <c r="BN81" s="9" t="n">
        <v>150</v>
      </c>
      <c r="BO81" s="9" t="n">
        <v>150</v>
      </c>
      <c r="BP81" s="9" t="n">
        <v>125</v>
      </c>
      <c r="BQ81" s="9" t="n">
        <v>124</v>
      </c>
      <c r="BR81" s="9" t="n">
        <v>124</v>
      </c>
      <c r="BS81" s="9" t="n">
        <v>124</v>
      </c>
      <c r="BT81" s="9" t="n">
        <v>124</v>
      </c>
      <c r="BU81" s="9" t="n">
        <v>124</v>
      </c>
      <c r="BV81" s="9" t="n">
        <v>124</v>
      </c>
      <c r="BW81" s="9" t="n">
        <v>124</v>
      </c>
      <c r="BX81" s="9" t="n">
        <v>124</v>
      </c>
      <c r="BY81" s="9" t="n">
        <v>121</v>
      </c>
      <c r="BZ81" s="9" t="n">
        <v>118</v>
      </c>
      <c r="CA81" s="9" t="n">
        <v>118</v>
      </c>
      <c r="CB81" s="9" t="n">
        <v>118</v>
      </c>
      <c r="CC81" s="9" t="n">
        <v>118</v>
      </c>
      <c r="CD81" s="9" t="n">
        <v>118</v>
      </c>
      <c r="CE81" s="9" t="n">
        <v>118</v>
      </c>
      <c r="CF81" s="154">
        <f>CD81+IF(NOT(ISBLANK(OFFSET(CF81,0,6))),N(OFFSET(CF81,0,6)),N(OFFSET(CF81,0,7)))-CE81</f>
        <v/>
      </c>
      <c r="CH81" s="19" t="n"/>
      <c r="CI81" s="19" t="n"/>
      <c r="CK81" s="27" t="n"/>
      <c r="CL81" s="691" t="n">
        <v>0</v>
      </c>
      <c r="CM81" s="18" t="n">
        <v>0</v>
      </c>
      <c r="CN81" s="18" t="n">
        <v>0</v>
      </c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/>
      <c r="DK81" s="18" t="n"/>
      <c r="DL81" s="18" t="n"/>
      <c r="DM81" s="18" t="n"/>
      <c r="DN81" s="18" t="n">
        <v>150</v>
      </c>
      <c r="DO81" s="18" t="n"/>
      <c r="DP81" s="18" t="n"/>
      <c r="DQ81" s="18" t="n"/>
      <c r="DR81" s="18" t="n"/>
      <c r="DS81" s="18" t="n"/>
      <c r="DT81" s="18" t="n"/>
      <c r="DU81" s="18" t="n"/>
      <c r="DV81" s="18" t="n"/>
      <c r="DW81" s="18" t="n"/>
      <c r="DX81" s="18" t="n"/>
      <c r="DY81" s="399" t="n"/>
      <c r="DZ81" s="18" t="n"/>
      <c r="EA81" s="18" t="n"/>
      <c r="EB81" s="256" t="n"/>
      <c r="EC81" s="256" t="n"/>
      <c r="ED81" s="256" t="n"/>
      <c r="EE81" s="18" t="n"/>
      <c r="EF81" s="18" t="n"/>
      <c r="EG81" s="18" t="n"/>
      <c r="EH81" s="18" t="n"/>
      <c r="EI81" s="18" t="n"/>
      <c r="EJ81" s="18" t="n"/>
      <c r="EK81" s="18" t="n"/>
      <c r="EL81" s="18" t="n"/>
      <c r="EM81" s="18" t="n"/>
      <c r="EN81" s="18" t="n"/>
      <c r="EO81" s="18" t="n"/>
      <c r="EP81" s="18" t="n"/>
      <c r="EQ81" s="18" t="n"/>
      <c r="ER81" s="18" t="n"/>
      <c r="ES81" s="18" t="n"/>
      <c r="ET81" s="18" t="n"/>
      <c r="EU81" s="18" t="n"/>
      <c r="EV81" s="18" t="n"/>
      <c r="EW81" s="18" t="n"/>
      <c r="EX81" s="18" t="n"/>
      <c r="EY81" s="18" t="n"/>
      <c r="EZ81" s="18" t="n"/>
      <c r="FA81" s="18" t="n"/>
      <c r="FB81" s="18" t="n"/>
      <c r="FC81" s="18" t="n"/>
      <c r="FD81" s="18" t="n"/>
      <c r="FE81" s="18" t="n"/>
      <c r="FF81" s="18" t="n"/>
      <c r="FG81" s="18" t="n"/>
      <c r="FH81" s="276" t="n"/>
      <c r="FI81" s="18" t="n"/>
      <c r="FJ81" s="18" t="n"/>
      <c r="FK81" s="276" t="n"/>
      <c r="FL81" s="18" t="n"/>
      <c r="FM81" s="18" t="n"/>
      <c r="FN81" s="18" t="n"/>
      <c r="FO81" s="18" t="n"/>
      <c r="FP81" s="18" t="n"/>
      <c r="FQ81" s="276" t="n"/>
      <c r="FR81" s="18" t="n"/>
      <c r="FS81" s="18" t="n"/>
      <c r="FT81" s="18" t="n"/>
      <c r="FU81" s="18" t="n"/>
      <c r="FV81" s="18" t="n"/>
      <c r="FW81" s="18" t="n"/>
      <c r="FX81" s="18" t="n"/>
      <c r="FY81" s="18" t="n"/>
      <c r="FZ81" s="276" t="n"/>
      <c r="GA81" s="18" t="n"/>
      <c r="GB81" s="18" t="n"/>
      <c r="GC81" s="18" t="n"/>
      <c r="GD81" s="276" t="n"/>
      <c r="GE81" s="18" t="n"/>
      <c r="GF81" s="18" t="n"/>
      <c r="GG81" s="18" t="n"/>
      <c r="GH81" s="18" t="n"/>
      <c r="GI81" s="18" t="n"/>
      <c r="GJ81" s="18" t="n">
        <v>100</v>
      </c>
      <c r="GK81" s="18" t="n"/>
      <c r="GL81" s="253" t="n"/>
      <c r="GM81" s="18" t="n"/>
      <c r="GN81" s="18" t="n"/>
      <c r="GO81" s="18" t="n"/>
      <c r="GP81" s="18" t="n"/>
      <c r="GQ81" s="18" t="n"/>
      <c r="GR81" s="18" t="n"/>
      <c r="GS81" s="18" t="n"/>
      <c r="GT81" s="18" t="n"/>
      <c r="GU81" s="18" t="n"/>
    </row>
    <row r="82" ht="18.75" customHeight="1">
      <c r="A82" s="43" t="inlineStr">
        <is>
          <t>CAIXA M EUDORA</t>
        </is>
      </c>
      <c r="B82" s="149" t="n">
        <v>100</v>
      </c>
      <c r="C82" s="726" t="n">
        <v>365</v>
      </c>
      <c r="D82" s="329" t="n">
        <v>15</v>
      </c>
      <c r="F82" s="9" t="n">
        <v>0</v>
      </c>
      <c r="G82" s="9" t="n">
        <v>0</v>
      </c>
      <c r="H82" s="9" t="n">
        <v>0</v>
      </c>
      <c r="I82" s="9" t="n">
        <v>0</v>
      </c>
      <c r="J82" s="9" t="n">
        <v>0</v>
      </c>
      <c r="K82" s="9" t="n">
        <v>0</v>
      </c>
      <c r="L82" s="9">
        <f>0+GG81</f>
        <v/>
      </c>
      <c r="M82" s="9" t="n">
        <v>100</v>
      </c>
      <c r="N82" s="9" t="n">
        <v>100</v>
      </c>
      <c r="O82" s="9" t="n">
        <v>100</v>
      </c>
      <c r="P82" s="9" t="n">
        <v>100</v>
      </c>
      <c r="Q82" s="9" t="n">
        <v>100</v>
      </c>
      <c r="R82" s="9" t="n">
        <v>100</v>
      </c>
      <c r="S82" s="9" t="n">
        <v>100</v>
      </c>
      <c r="T82" s="9" t="n">
        <v>100</v>
      </c>
      <c r="U82" s="9" t="n">
        <v>100</v>
      </c>
      <c r="V82" s="9" t="n">
        <v>100</v>
      </c>
      <c r="W82" s="9" t="n">
        <v>100</v>
      </c>
      <c r="X82" s="9" t="n">
        <v>100</v>
      </c>
      <c r="Y82" s="9" t="n">
        <v>100</v>
      </c>
      <c r="Z82" s="9" t="n">
        <v>100</v>
      </c>
      <c r="AA82" s="9" t="n">
        <v>100</v>
      </c>
      <c r="AB82" s="9" t="n">
        <v>100</v>
      </c>
      <c r="AC82" s="9" t="n">
        <v>100</v>
      </c>
      <c r="AD82" s="9" t="n">
        <v>100</v>
      </c>
      <c r="AE82" s="9" t="n">
        <v>100</v>
      </c>
      <c r="AF82" s="9" t="n">
        <v>100</v>
      </c>
      <c r="AG82" s="9" t="n">
        <v>100</v>
      </c>
      <c r="AH82" s="9" t="n">
        <v>100</v>
      </c>
      <c r="AI82" s="9" t="n">
        <v>100</v>
      </c>
      <c r="AJ82" s="9" t="n">
        <v>100</v>
      </c>
      <c r="AK82" s="9" t="n">
        <v>100</v>
      </c>
      <c r="AL82" s="9" t="n">
        <v>100</v>
      </c>
      <c r="AM82" s="9" t="n">
        <v>100</v>
      </c>
      <c r="AN82" s="9" t="n">
        <v>100</v>
      </c>
      <c r="AO82" s="9" t="n">
        <v>100</v>
      </c>
      <c r="AP82" s="9" t="n">
        <v>100</v>
      </c>
      <c r="AQ82" s="9" t="n">
        <v>100</v>
      </c>
      <c r="AR82" s="9" t="n">
        <v>100</v>
      </c>
      <c r="AS82" s="9" t="n">
        <v>100</v>
      </c>
      <c r="AT82" s="9" t="n">
        <v>100</v>
      </c>
      <c r="AU82" s="9" t="n">
        <v>93</v>
      </c>
      <c r="AV82" s="9" t="n">
        <v>93</v>
      </c>
      <c r="AW82" s="9" t="n">
        <v>92</v>
      </c>
      <c r="AX82" s="9" t="n">
        <v>92</v>
      </c>
      <c r="AY82" s="9" t="n">
        <v>92</v>
      </c>
      <c r="AZ82" s="9" t="n">
        <v>92</v>
      </c>
      <c r="BA82" s="9" t="n">
        <v>92</v>
      </c>
      <c r="BB82" s="9" t="n">
        <v>92</v>
      </c>
      <c r="BC82" s="9" t="n">
        <v>91</v>
      </c>
      <c r="BD82" s="9" t="n">
        <v>91</v>
      </c>
      <c r="BE82" s="9" t="n">
        <v>91</v>
      </c>
      <c r="BF82" s="9" t="n">
        <v>80</v>
      </c>
      <c r="BG82" s="9" t="n">
        <v>80</v>
      </c>
      <c r="BH82" s="9" t="n">
        <v>77</v>
      </c>
      <c r="BI82" s="9" t="n">
        <v>76</v>
      </c>
      <c r="BJ82" s="9" t="n">
        <v>76</v>
      </c>
      <c r="BK82" s="9" t="n">
        <v>76</v>
      </c>
      <c r="BL82" s="9" t="n">
        <v>76</v>
      </c>
      <c r="BM82" s="9" t="n">
        <v>68</v>
      </c>
      <c r="BN82" s="9" t="n">
        <v>68</v>
      </c>
      <c r="BO82" s="9" t="n">
        <v>68</v>
      </c>
      <c r="BP82" s="9" t="n">
        <v>43</v>
      </c>
      <c r="BQ82" s="9" t="n">
        <v>4</v>
      </c>
      <c r="BR82" s="9" t="n">
        <v>4</v>
      </c>
      <c r="BS82" s="9" t="n">
        <v>4</v>
      </c>
      <c r="BT82" s="9" t="n">
        <v>4</v>
      </c>
      <c r="BU82" s="9" t="n">
        <v>4</v>
      </c>
      <c r="BV82" s="9" t="n">
        <v>4</v>
      </c>
      <c r="BW82" s="9" t="n">
        <v>4</v>
      </c>
      <c r="BX82" s="9" t="n">
        <v>4</v>
      </c>
      <c r="BY82" s="9" t="n">
        <v>25</v>
      </c>
      <c r="BZ82" s="9" t="n">
        <v>25</v>
      </c>
      <c r="CA82" s="9" t="n">
        <v>25</v>
      </c>
      <c r="CB82" s="9" t="n">
        <v>25</v>
      </c>
      <c r="CC82" s="9" t="n">
        <v>25</v>
      </c>
      <c r="CD82" s="9" t="n">
        <v>25</v>
      </c>
      <c r="CE82" s="9" t="n">
        <v>25</v>
      </c>
      <c r="CF82" s="154">
        <f>CD82+IF(NOT(ISBLANK(OFFSET(CF82,0,6))),N(OFFSET(CF82,0,6)),N(OFFSET(CF82,0,7)))-CE82</f>
        <v/>
      </c>
      <c r="CG82" s="6" t="n"/>
      <c r="CH82" s="19" t="n"/>
      <c r="CI82" s="19" t="n"/>
      <c r="CJ82" s="49" t="n"/>
      <c r="CK82" s="27" t="n"/>
      <c r="CL82" s="18" t="n">
        <v>0</v>
      </c>
      <c r="CM82" s="18" t="n">
        <v>0</v>
      </c>
      <c r="CN82" s="18" t="n">
        <v>0</v>
      </c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18" t="n"/>
      <c r="DM82" s="18" t="n"/>
      <c r="DN82" s="18" t="n"/>
      <c r="DO82" s="18" t="n"/>
      <c r="DP82" s="18" t="n"/>
      <c r="DQ82" s="18" t="n"/>
      <c r="DR82" s="18" t="n"/>
      <c r="DS82" s="18" t="n"/>
      <c r="DT82" s="18" t="n"/>
      <c r="DU82" s="18" t="n"/>
      <c r="DV82" s="18" t="n"/>
      <c r="DW82" s="18" t="n"/>
      <c r="DX82" s="18" t="n"/>
      <c r="DY82" s="399" t="n"/>
      <c r="DZ82" s="18" t="n"/>
      <c r="EA82" s="18" t="n"/>
      <c r="EB82" s="256" t="n"/>
      <c r="EC82" s="256" t="n"/>
      <c r="ED82" s="256" t="n"/>
      <c r="EE82" s="18" t="n"/>
      <c r="EF82" s="18" t="n"/>
      <c r="EG82" s="18" t="n"/>
      <c r="EH82" s="18" t="n"/>
      <c r="EI82" s="18" t="n"/>
      <c r="EJ82" s="18" t="n"/>
      <c r="EK82" s="18" t="n"/>
      <c r="EL82" s="18" t="n"/>
      <c r="EM82" s="18" t="n"/>
      <c r="EN82" s="18" t="n"/>
      <c r="EO82" s="18" t="n"/>
      <c r="EP82" s="18" t="n"/>
      <c r="EQ82" s="18" t="n"/>
      <c r="ER82" s="18" t="n"/>
      <c r="ES82" s="18" t="n"/>
      <c r="ET82" s="18" t="n"/>
      <c r="EU82" s="18" t="n"/>
      <c r="EV82" s="18" t="n"/>
      <c r="EW82" s="18" t="n"/>
      <c r="EX82" s="18" t="n"/>
      <c r="EY82" s="18" t="n"/>
      <c r="EZ82" s="18" t="n"/>
      <c r="FA82" s="18" t="n"/>
      <c r="FB82" s="18" t="n"/>
      <c r="FC82" s="18" t="n"/>
      <c r="FD82" s="18" t="n"/>
      <c r="FE82" s="18" t="n"/>
      <c r="FF82" s="18" t="n"/>
      <c r="FG82" s="18" t="n"/>
      <c r="FH82" s="276" t="n"/>
      <c r="FI82" s="18" t="n"/>
      <c r="FJ82" s="18" t="n"/>
      <c r="FK82" s="276" t="n"/>
      <c r="FL82" s="18" t="n"/>
      <c r="FM82" s="18" t="n"/>
      <c r="FN82" s="18" t="n"/>
      <c r="FO82" s="18" t="n"/>
      <c r="FP82" s="18" t="n"/>
      <c r="FQ82" s="276" t="n"/>
      <c r="FR82" s="18" t="n"/>
      <c r="FS82" s="18" t="n"/>
      <c r="FT82" s="18" t="n"/>
      <c r="FU82" s="18" t="n"/>
      <c r="FV82" s="18" t="n"/>
      <c r="FW82" s="18" t="n"/>
      <c r="FX82" s="18" t="n"/>
      <c r="FY82" s="18" t="n"/>
      <c r="FZ82" s="276" t="n"/>
      <c r="GA82" s="18" t="n"/>
      <c r="GB82" s="18" t="n"/>
      <c r="GC82" s="18" t="n"/>
      <c r="GD82" s="276" t="n"/>
      <c r="GE82" s="18" t="n"/>
      <c r="GF82" s="18" t="n"/>
      <c r="GG82" s="18" t="n"/>
      <c r="GH82" s="18" t="n"/>
      <c r="GI82" s="18" t="n"/>
      <c r="GJ82" s="18" t="n">
        <v>75</v>
      </c>
      <c r="GK82" s="18" t="n"/>
      <c r="GL82" s="253" t="n"/>
      <c r="GM82" s="18" t="n"/>
      <c r="GN82" s="18" t="n"/>
      <c r="GO82" s="18" t="n"/>
      <c r="GP82" s="18" t="n"/>
      <c r="GQ82" s="18" t="n"/>
      <c r="GR82" s="18" t="n"/>
      <c r="GS82" s="18" t="n"/>
      <c r="GT82" s="18" t="n"/>
      <c r="GU82" s="18" t="n"/>
    </row>
    <row r="83" ht="18.75" customHeight="1">
      <c r="A83" s="43" t="inlineStr">
        <is>
          <t>CAIXA G EUDORA</t>
        </is>
      </c>
      <c r="B83" s="149" t="n">
        <v>75</v>
      </c>
      <c r="C83" s="726" t="n">
        <v>438.75</v>
      </c>
      <c r="D83" s="329" t="n">
        <v>10</v>
      </c>
      <c r="F83" s="9" t="n">
        <v>0</v>
      </c>
      <c r="G83" s="9" t="n">
        <v>0</v>
      </c>
      <c r="H83" s="9" t="n">
        <v>0</v>
      </c>
      <c r="I83" s="9" t="n">
        <v>0</v>
      </c>
      <c r="J83" s="9" t="n">
        <v>0</v>
      </c>
      <c r="K83" s="9" t="n">
        <v>0</v>
      </c>
      <c r="L83" s="9">
        <f>0+GG82</f>
        <v/>
      </c>
      <c r="M83" s="9" t="n">
        <v>92</v>
      </c>
      <c r="N83" s="9" t="n">
        <v>92</v>
      </c>
      <c r="O83" s="9" t="n">
        <v>92</v>
      </c>
      <c r="P83" s="9" t="n">
        <v>92</v>
      </c>
      <c r="Q83" s="9" t="n">
        <v>91</v>
      </c>
      <c r="R83" s="9" t="n">
        <v>91</v>
      </c>
      <c r="S83" s="9" t="n">
        <v>91</v>
      </c>
      <c r="T83" s="9" t="n">
        <v>91</v>
      </c>
      <c r="U83" s="9" t="n">
        <v>75</v>
      </c>
      <c r="V83" s="9" t="n">
        <v>74</v>
      </c>
      <c r="W83" s="9" t="n">
        <v>75</v>
      </c>
      <c r="X83" s="9" t="n">
        <v>75</v>
      </c>
      <c r="Y83" s="9" t="n">
        <v>75</v>
      </c>
      <c r="Z83" s="9" t="n">
        <v>75</v>
      </c>
      <c r="AA83" s="9" t="n">
        <v>75</v>
      </c>
      <c r="AB83" s="9" t="n">
        <v>75</v>
      </c>
      <c r="AC83" s="9" t="n">
        <v>74</v>
      </c>
      <c r="AD83" s="9" t="n">
        <v>74</v>
      </c>
      <c r="AE83" s="9" t="n">
        <v>50</v>
      </c>
      <c r="AF83" s="9" t="n">
        <v>50</v>
      </c>
      <c r="AG83" s="9" t="n">
        <v>49</v>
      </c>
      <c r="AH83" s="9" t="n">
        <v>49</v>
      </c>
      <c r="AI83" s="9" t="n">
        <v>47</v>
      </c>
      <c r="AJ83" s="9" t="n">
        <v>48</v>
      </c>
      <c r="AK83" s="9" t="n">
        <v>48</v>
      </c>
      <c r="AL83" s="9" t="n">
        <v>47</v>
      </c>
      <c r="AM83" s="9" t="n">
        <v>46</v>
      </c>
      <c r="AN83" s="9" t="n">
        <v>46</v>
      </c>
      <c r="AO83" s="9" t="n">
        <v>46</v>
      </c>
      <c r="AP83" s="9" t="n">
        <v>44</v>
      </c>
      <c r="AQ83" s="9" t="n">
        <v>43</v>
      </c>
      <c r="AR83" s="9" t="n">
        <v>43</v>
      </c>
      <c r="AS83" s="9" t="n">
        <v>43</v>
      </c>
      <c r="AT83" s="9" t="n">
        <v>43</v>
      </c>
      <c r="AU83" s="9" t="n">
        <v>43</v>
      </c>
      <c r="AV83" s="9" t="n">
        <v>33</v>
      </c>
      <c r="AW83" s="9" t="n">
        <v>12</v>
      </c>
      <c r="AX83" s="9" t="n">
        <v>12</v>
      </c>
      <c r="AY83" s="9" t="n">
        <v>4</v>
      </c>
      <c r="AZ83" s="9" t="n">
        <v>4</v>
      </c>
      <c r="BA83" s="9" t="n">
        <v>4</v>
      </c>
      <c r="BB83" s="9" t="n">
        <v>4</v>
      </c>
      <c r="BC83" s="9" t="n">
        <v>3</v>
      </c>
      <c r="BD83" s="9" t="n">
        <v>3</v>
      </c>
      <c r="BE83" s="9" t="n">
        <v>3</v>
      </c>
      <c r="BF83" s="9" t="n">
        <v>3</v>
      </c>
      <c r="BG83" s="9" t="n">
        <v>3</v>
      </c>
      <c r="BH83" s="9" t="n">
        <v>0</v>
      </c>
      <c r="BI83" s="9" t="n">
        <v>3</v>
      </c>
      <c r="BJ83" s="9" t="n">
        <v>3</v>
      </c>
      <c r="BK83" s="9" t="n">
        <v>3</v>
      </c>
      <c r="BL83" s="9" t="n">
        <v>3</v>
      </c>
      <c r="BM83" s="9" t="n">
        <v>0</v>
      </c>
      <c r="BN83" s="9" t="n">
        <v>0</v>
      </c>
      <c r="BO83" s="9" t="n">
        <v>0</v>
      </c>
      <c r="BP83" s="9" t="n">
        <v>0</v>
      </c>
      <c r="BQ83" s="9" t="n">
        <v>0</v>
      </c>
      <c r="BR83" s="9" t="n">
        <v>0</v>
      </c>
      <c r="BS83" s="9" t="n">
        <v>0</v>
      </c>
      <c r="BT83" s="9" t="n">
        <v>0</v>
      </c>
      <c r="BU83" s="9" t="n">
        <v>0</v>
      </c>
      <c r="BV83" s="9" t="n">
        <v>0</v>
      </c>
      <c r="BW83" s="9" t="n">
        <v>0</v>
      </c>
      <c r="BX83" s="9" t="n">
        <v>0</v>
      </c>
      <c r="BY83" s="9" t="n">
        <v>0</v>
      </c>
      <c r="BZ83" s="9" t="n">
        <v>0</v>
      </c>
      <c r="CA83" s="9" t="n">
        <v>0</v>
      </c>
      <c r="CB83" s="9" t="n">
        <v>0</v>
      </c>
      <c r="CC83" s="9" t="n">
        <v>0</v>
      </c>
      <c r="CD83" s="9" t="n">
        <v>0</v>
      </c>
      <c r="CE83" s="9" t="n">
        <v>0</v>
      </c>
      <c r="CF83" s="154">
        <f>CD83+IF(NOT(ISBLANK(OFFSET(CF83,0,6))),N(OFFSET(CF83,0,6)),N(OFFSET(CF83,0,7)))-CE83</f>
        <v/>
      </c>
      <c r="CG83" s="6" t="n"/>
      <c r="CH83" s="19" t="n"/>
      <c r="CI83" s="19" t="n"/>
      <c r="CJ83" s="49" t="n"/>
      <c r="CK83" s="27" t="n"/>
      <c r="CL83" s="18" t="n">
        <v>0</v>
      </c>
      <c r="CM83" s="18" t="n">
        <v>0</v>
      </c>
      <c r="CN83" s="18" t="n">
        <v>0</v>
      </c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18" t="n"/>
      <c r="DM83" s="18" t="n"/>
      <c r="DN83" s="18" t="n"/>
      <c r="DO83" s="18" t="n"/>
      <c r="DP83" s="18" t="n"/>
      <c r="DQ83" s="18" t="n"/>
      <c r="DR83" s="18" t="n"/>
      <c r="DS83" s="18" t="n"/>
      <c r="DT83" s="18" t="n"/>
      <c r="DU83" s="18" t="n"/>
      <c r="DV83" s="18" t="n"/>
      <c r="DW83" s="18" t="n"/>
      <c r="DX83" s="18" t="n"/>
      <c r="DY83" s="399" t="n"/>
      <c r="DZ83" s="18" t="n"/>
      <c r="EA83" s="18" t="n"/>
      <c r="EB83" s="256" t="n"/>
      <c r="EC83" s="256" t="n"/>
      <c r="ED83" s="256" t="n"/>
      <c r="FH83" s="268" t="n"/>
      <c r="FK83" s="268" t="n"/>
      <c r="FQ83" s="268" t="n"/>
      <c r="FV83" s="51" t="n"/>
      <c r="FZ83" s="268" t="n"/>
      <c r="GD83" s="268" t="n"/>
      <c r="GL83" s="51" t="n"/>
    </row>
    <row r="84">
      <c r="EB84" s="271" t="n"/>
      <c r="EC84" s="271" t="n"/>
      <c r="ED84" s="271" t="n"/>
      <c r="GE84" s="314" t="n"/>
      <c r="GF84" s="314" t="n"/>
      <c r="GI84" s="314" t="n"/>
      <c r="GV84" s="314" t="n"/>
      <c r="GW84" s="314" t="n"/>
    </row>
    <row r="85">
      <c r="A85" s="374" t="inlineStr">
        <is>
          <t>HARRY POTTER/25</t>
        </is>
      </c>
      <c r="B85" s="375" t="inlineStr">
        <is>
          <t>PC</t>
        </is>
      </c>
      <c r="C85" s="375" t="inlineStr">
        <is>
          <t>R$</t>
        </is>
      </c>
      <c r="D85" s="375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  <c r="AA85" s="4" t="n"/>
      <c r="AB85" s="4" t="n"/>
      <c r="AC85" s="4" t="n"/>
      <c r="AD85" s="4" t="n"/>
      <c r="AE85" s="4" t="n"/>
      <c r="AF85" s="4" t="n"/>
      <c r="AG85" s="4" t="n"/>
      <c r="AH85" s="4" t="n"/>
      <c r="AI85" s="4" t="n"/>
      <c r="AJ85" s="4" t="n"/>
      <c r="AK85" s="650" t="n">
        <v>45873</v>
      </c>
      <c r="AL85" s="650" t="n">
        <v>45880</v>
      </c>
      <c r="AM85" s="650" t="n">
        <v>45887</v>
      </c>
      <c r="AN85" s="650" t="n">
        <v>45894</v>
      </c>
      <c r="AO85" s="650" t="n">
        <v>45901</v>
      </c>
      <c r="AP85" s="650" t="n">
        <v>45908</v>
      </c>
      <c r="AQ85" s="650" t="n">
        <v>45915</v>
      </c>
      <c r="AR85" s="650" t="n">
        <v>45922</v>
      </c>
      <c r="AS85" s="650" t="n">
        <v>45929</v>
      </c>
      <c r="AT85" s="650" t="n">
        <v>45936</v>
      </c>
      <c r="AU85" s="650" t="n">
        <v>45943</v>
      </c>
      <c r="AV85" s="650" t="n">
        <v>45950</v>
      </c>
      <c r="AW85" s="650" t="n">
        <v>45957</v>
      </c>
      <c r="AX85" s="650" t="n">
        <v>45964</v>
      </c>
      <c r="AY85" s="650" t="n">
        <v>45971</v>
      </c>
      <c r="AZ85" s="650" t="n">
        <v>45978</v>
      </c>
      <c r="BA85" s="650" t="n">
        <v>45985</v>
      </c>
      <c r="BB85" s="650" t="n">
        <v>45992</v>
      </c>
      <c r="BC85" s="650" t="n">
        <v>45999</v>
      </c>
      <c r="BD85" s="650" t="n">
        <v>46006</v>
      </c>
      <c r="BE85" s="650" t="n">
        <v>46013</v>
      </c>
      <c r="BF85" s="650" t="n">
        <v>46020</v>
      </c>
      <c r="BG85" s="650" t="n">
        <v>46027</v>
      </c>
      <c r="BH85" s="650" t="n">
        <v>46034</v>
      </c>
      <c r="BI85" s="650" t="n">
        <v>46041</v>
      </c>
      <c r="BJ85" s="650" t="n">
        <v>46048</v>
      </c>
      <c r="BK85" s="650" t="n">
        <v>46055</v>
      </c>
      <c r="BL85" s="650" t="n">
        <v>46062</v>
      </c>
      <c r="BM85" s="650" t="n">
        <v>46069</v>
      </c>
      <c r="BN85" s="650" t="n">
        <v>46076</v>
      </c>
      <c r="BO85" s="650" t="n">
        <v>46083</v>
      </c>
      <c r="BP85" s="650" t="n">
        <v>46090</v>
      </c>
      <c r="BQ85" s="650" t="n">
        <v>46097</v>
      </c>
      <c r="BR85" s="650" t="n">
        <v>46104</v>
      </c>
      <c r="BS85" s="650" t="n">
        <v>46111</v>
      </c>
      <c r="BT85" s="650" t="n">
        <v>46118</v>
      </c>
      <c r="BU85" s="650" t="n">
        <v>46125</v>
      </c>
      <c r="BV85" s="650" t="n">
        <v>46132</v>
      </c>
      <c r="BW85" s="650" t="n">
        <v>46139</v>
      </c>
      <c r="BX85" s="650" t="n">
        <v>46146</v>
      </c>
      <c r="BY85" s="650" t="n">
        <v>46154</v>
      </c>
      <c r="BZ85" s="650" t="n">
        <v>46160</v>
      </c>
      <c r="CA85" s="650" t="n">
        <v>46160</v>
      </c>
      <c r="CB85" s="650" t="n">
        <v>46160</v>
      </c>
      <c r="CC85" s="651" t="n">
        <v>46161.48004043981</v>
      </c>
      <c r="CD85" s="651" t="n">
        <v>46161.48071866898</v>
      </c>
      <c r="CE85" s="651" t="n">
        <v>46161.48287732956</v>
      </c>
      <c r="CF85" s="660" t="inlineStr">
        <is>
          <t>USOU</t>
        </is>
      </c>
      <c r="EB85" s="271" t="n"/>
      <c r="EC85" s="271" t="n"/>
      <c r="ED85" s="271" t="n"/>
      <c r="GE85" s="314" t="n"/>
      <c r="GF85" s="314" t="n"/>
      <c r="GI85" s="314" t="n"/>
      <c r="GV85" s="314" t="n"/>
      <c r="GW85" s="314" t="n"/>
    </row>
    <row r="86" hidden="1">
      <c r="A86" s="33" t="inlineStr">
        <is>
          <t>SACOLA G HP/25</t>
        </is>
      </c>
      <c r="B86" s="9" t="n">
        <v>100</v>
      </c>
      <c r="C86" s="662" t="n">
        <v>316</v>
      </c>
      <c r="D86" s="32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  <c r="AA86" s="4" t="n"/>
      <c r="AB86" s="4" t="n"/>
      <c r="AC86" s="4" t="n"/>
      <c r="AD86" s="4" t="n"/>
      <c r="AE86" s="4" t="n"/>
      <c r="AF86" s="4" t="n"/>
      <c r="AG86" s="4" t="n"/>
      <c r="AH86" s="4" t="n"/>
      <c r="AI86" s="4" t="n"/>
      <c r="AJ86" s="4" t="n"/>
      <c r="AK86" s="38" t="n">
        <v>0</v>
      </c>
      <c r="AL86" s="38" t="n">
        <v>0</v>
      </c>
      <c r="AM86" s="38" t="n">
        <v>0</v>
      </c>
      <c r="AN86" s="38">
        <f>0+60</f>
        <v/>
      </c>
      <c r="AO86" s="38" t="n">
        <v>60</v>
      </c>
      <c r="AP86" s="38" t="n">
        <v>32</v>
      </c>
      <c r="AQ86" s="38" t="n">
        <v>17</v>
      </c>
      <c r="AR86" s="38" t="n"/>
      <c r="AS86" s="38" t="n"/>
      <c r="AT86" s="38" t="n"/>
      <c r="AU86" s="38" t="n"/>
      <c r="AV86" s="38" t="n"/>
      <c r="AW86" s="38" t="n"/>
      <c r="AX86" s="38" t="n"/>
      <c r="AY86" s="38" t="n"/>
      <c r="AZ86" s="38" t="n"/>
      <c r="BA86" s="38" t="n">
        <v>0</v>
      </c>
      <c r="BB86" s="38" t="n">
        <v>0</v>
      </c>
      <c r="BC86" s="38" t="n">
        <v>0</v>
      </c>
      <c r="BD86" s="38" t="n">
        <v>0</v>
      </c>
      <c r="BE86" s="38" t="n">
        <v>0</v>
      </c>
      <c r="BF86" s="38" t="n">
        <v>0</v>
      </c>
      <c r="BG86" s="38" t="n">
        <v>0</v>
      </c>
      <c r="BH86" s="38" t="n">
        <v>0</v>
      </c>
      <c r="BI86" s="38" t="n">
        <v>0</v>
      </c>
      <c r="BJ86" s="38" t="n">
        <v>0</v>
      </c>
      <c r="BK86" s="38" t="n">
        <v>0</v>
      </c>
      <c r="BL86" s="38" t="n"/>
      <c r="BM86" s="38" t="n"/>
      <c r="BN86" s="38" t="n"/>
      <c r="BO86" s="38" t="n"/>
      <c r="BP86" s="38" t="n"/>
      <c r="BQ86" s="38" t="n"/>
      <c r="BR86" s="38" t="n"/>
      <c r="BS86" s="38" t="n"/>
      <c r="BT86" s="38" t="n"/>
      <c r="BU86" s="38" t="n"/>
      <c r="BV86" s="38" t="n"/>
      <c r="BW86" s="38" t="n"/>
      <c r="BX86" s="38" t="n"/>
      <c r="BY86" s="38" t="n"/>
      <c r="BZ86" s="38" t="n"/>
      <c r="CA86" s="38" t="n"/>
      <c r="CB86" s="38" t="n"/>
      <c r="CC86" s="9" t="n"/>
      <c r="CD86" s="9" t="n"/>
      <c r="CE86" s="9" t="n"/>
      <c r="CF86" s="246">
        <f>CD86+IF(NOT(ISBLANK(OFFSET(CF86,0,6))),N(OFFSET(CF86,0,6)),N(OFFSET(CF86,0,7)))-CE86</f>
        <v/>
      </c>
      <c r="EB86" s="271" t="n"/>
      <c r="EC86" s="271" t="n"/>
      <c r="ED86" s="271" t="n"/>
      <c r="GE86" s="314" t="n"/>
      <c r="GF86" s="314" t="n"/>
      <c r="GI86" s="314" t="n"/>
      <c r="GV86" s="314" t="n"/>
      <c r="GW86" s="314" t="n"/>
    </row>
    <row r="87" hidden="1">
      <c r="A87" s="33" t="inlineStr">
        <is>
          <t>TAG HP/25</t>
        </is>
      </c>
      <c r="B87" s="9" t="n">
        <v>100</v>
      </c>
      <c r="C87" s="662" t="n">
        <v>41</v>
      </c>
      <c r="D87" s="32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  <c r="AA87" s="4" t="n"/>
      <c r="AB87" s="4" t="n"/>
      <c r="AC87" s="4" t="n"/>
      <c r="AD87" s="4" t="n"/>
      <c r="AE87" s="4" t="n"/>
      <c r="AF87" s="4" t="n"/>
      <c r="AG87" s="4" t="n"/>
      <c r="AH87" s="4" t="n"/>
      <c r="AI87" s="4" t="n"/>
      <c r="AJ87" s="4" t="n"/>
      <c r="AK87" s="38" t="n">
        <v>0</v>
      </c>
      <c r="AL87" s="38" t="n">
        <v>0</v>
      </c>
      <c r="AM87" s="38" t="n">
        <v>0</v>
      </c>
      <c r="AN87" s="38">
        <f>0+60</f>
        <v/>
      </c>
      <c r="AO87" s="38" t="n">
        <v>60</v>
      </c>
      <c r="AP87" s="38" t="n">
        <v>32</v>
      </c>
      <c r="AQ87" s="38" t="n">
        <v>18</v>
      </c>
      <c r="AR87" s="38" t="n"/>
      <c r="AS87" s="38" t="n"/>
      <c r="AT87" s="38" t="n"/>
      <c r="AU87" s="38" t="n"/>
      <c r="AV87" s="38" t="n"/>
      <c r="AW87" s="38" t="n"/>
      <c r="AX87" s="38" t="n"/>
      <c r="AY87" s="38" t="n"/>
      <c r="AZ87" s="38" t="n"/>
      <c r="BA87" s="38" t="n">
        <v>0</v>
      </c>
      <c r="BB87" s="38" t="n">
        <v>0</v>
      </c>
      <c r="BC87" s="38" t="n">
        <v>0</v>
      </c>
      <c r="BD87" s="38" t="n">
        <v>0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38" t="n"/>
      <c r="BM87" s="38" t="n"/>
      <c r="BN87" s="38" t="n"/>
      <c r="BO87" s="38" t="n"/>
      <c r="BP87" s="38" t="n"/>
      <c r="BQ87" s="38" t="n"/>
      <c r="BR87" s="38" t="n"/>
      <c r="BS87" s="38" t="n"/>
      <c r="BT87" s="38" t="n"/>
      <c r="BU87" s="38" t="n"/>
      <c r="BV87" s="38" t="n"/>
      <c r="BW87" s="38" t="n"/>
      <c r="BX87" s="38" t="n"/>
      <c r="BY87" s="38" t="n"/>
      <c r="BZ87" s="38" t="n"/>
      <c r="CA87" s="38" t="n"/>
      <c r="CB87" s="38" t="n"/>
      <c r="CC87" s="9" t="n"/>
      <c r="CD87" s="9" t="n"/>
      <c r="CE87" s="9" t="n"/>
      <c r="CF87" s="246">
        <f>CD87+IF(NOT(ISBLANK(OFFSET(CF87,0,6))),N(OFFSET(CF87,0,6)),N(OFFSET(CF87,0,7)))-CE87</f>
        <v/>
      </c>
      <c r="EB87" s="271" t="n"/>
      <c r="EC87" s="271" t="n"/>
      <c r="ED87" s="271" t="n"/>
      <c r="GE87" s="314" t="n"/>
      <c r="GF87" s="314" t="n"/>
      <c r="GI87" s="314" t="n"/>
      <c r="GV87" s="314" t="n"/>
      <c r="GW87" s="314" t="n"/>
    </row>
    <row r="88" ht="19.5" customHeight="1">
      <c r="A88" s="33" t="inlineStr">
        <is>
          <t>CARTUCHO P HP/25</t>
        </is>
      </c>
      <c r="B88" s="9" t="n">
        <v>150</v>
      </c>
      <c r="C88" s="662" t="n">
        <v>478.5</v>
      </c>
      <c r="D88" s="32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  <c r="AA88" s="4" t="n"/>
      <c r="AB88" s="4" t="n"/>
      <c r="AC88" s="4" t="n"/>
      <c r="AD88" s="4" t="n"/>
      <c r="AE88" s="4" t="n"/>
      <c r="AF88" s="4" t="n"/>
      <c r="AG88" s="4" t="n"/>
      <c r="AH88" s="4" t="n"/>
      <c r="AI88" s="4" t="n"/>
      <c r="AJ88" s="4" t="n"/>
      <c r="AK88" s="38" t="n">
        <v>0</v>
      </c>
      <c r="AL88" s="38" t="n">
        <v>0</v>
      </c>
      <c r="AM88" s="38" t="n">
        <v>0</v>
      </c>
      <c r="AN88" s="38">
        <f>0+50</f>
        <v/>
      </c>
      <c r="AO88" s="38" t="n">
        <v>50</v>
      </c>
      <c r="AP88" s="38" t="n">
        <v>27</v>
      </c>
      <c r="AQ88" s="38" t="n">
        <v>12</v>
      </c>
      <c r="AR88" s="38" t="n"/>
      <c r="AS88" s="38" t="n"/>
      <c r="AT88" s="38" t="n"/>
      <c r="AU88" s="38" t="n"/>
      <c r="AV88" s="38" t="n"/>
      <c r="AW88" s="38" t="n"/>
      <c r="AX88" s="38" t="n"/>
      <c r="AY88" s="38" t="n"/>
      <c r="AZ88" s="38" t="n"/>
      <c r="BA88" s="38" t="n">
        <v>0</v>
      </c>
      <c r="BB88" s="38" t="n">
        <v>0</v>
      </c>
      <c r="BC88" s="38" t="n">
        <v>0</v>
      </c>
      <c r="BD88" s="38" t="n">
        <v>0</v>
      </c>
      <c r="BE88" s="38" t="n">
        <v>0</v>
      </c>
      <c r="BF88" s="38" t="n">
        <v>0</v>
      </c>
      <c r="BG88" s="38" t="n">
        <v>0</v>
      </c>
      <c r="BH88" s="38" t="n">
        <v>0</v>
      </c>
      <c r="BI88" s="261" t="n">
        <v>22</v>
      </c>
      <c r="BJ88" s="38" t="n">
        <v>22</v>
      </c>
      <c r="BK88" s="38" t="n">
        <v>22</v>
      </c>
      <c r="BL88" s="38" t="n">
        <v>22</v>
      </c>
      <c r="BM88" s="38" t="n">
        <v>22</v>
      </c>
      <c r="BN88" s="38" t="n">
        <v>22</v>
      </c>
      <c r="BO88" s="38" t="n">
        <v>22</v>
      </c>
      <c r="BP88" s="38" t="n">
        <v>22</v>
      </c>
      <c r="BQ88" s="38" t="n">
        <v>22</v>
      </c>
      <c r="BR88" s="38" t="n">
        <v>22</v>
      </c>
      <c r="BS88" s="38" t="n">
        <v>22</v>
      </c>
      <c r="BT88" s="38" t="n">
        <v>22</v>
      </c>
      <c r="BU88" s="38" t="n">
        <v>22</v>
      </c>
      <c r="BV88" s="38" t="n">
        <v>22</v>
      </c>
      <c r="BW88" s="38" t="n">
        <v>22</v>
      </c>
      <c r="BX88" s="38" t="n">
        <v>22</v>
      </c>
      <c r="BY88" s="38" t="n">
        <v>22</v>
      </c>
      <c r="BZ88" s="38" t="n">
        <v>22</v>
      </c>
      <c r="CA88" s="38" t="n">
        <v>0</v>
      </c>
      <c r="CB88" s="38" t="n">
        <v>0</v>
      </c>
      <c r="CC88" s="9" t="n">
        <v>0</v>
      </c>
      <c r="CD88" s="9" t="n">
        <v>0</v>
      </c>
      <c r="CE88" s="9" t="n">
        <v>0</v>
      </c>
      <c r="CF88" s="246">
        <f>CD88+IF(NOT(ISBLANK(OFFSET(CF88,0,6))),N(OFFSET(CF88,0,6)),N(OFFSET(CF88,0,7)))-CE88</f>
        <v/>
      </c>
      <c r="DY88" s="49" t="n"/>
      <c r="EB88" s="271" t="n"/>
      <c r="EC88" s="271" t="n"/>
      <c r="ED88" s="271" t="n"/>
      <c r="FH88" s="268" t="n"/>
      <c r="FK88" s="268" t="n"/>
      <c r="FQ88" s="268" t="n"/>
      <c r="FV88" s="51" t="n"/>
      <c r="FZ88" s="268" t="n"/>
      <c r="GD88" s="268" t="n"/>
      <c r="GL88" s="51" t="n"/>
    </row>
    <row r="89" ht="19.5" customHeight="1">
      <c r="DY89" s="49" t="n"/>
      <c r="EB89" s="271" t="n"/>
      <c r="EC89" s="271" t="n"/>
      <c r="ED89" s="271" t="n"/>
      <c r="FH89" s="268" t="n"/>
      <c r="FK89" s="268" t="n"/>
      <c r="FQ89" s="268" t="n"/>
      <c r="FV89" s="51" t="n"/>
      <c r="FZ89" s="268" t="n"/>
      <c r="GD89" s="268" t="n"/>
      <c r="GL89" s="51" t="n"/>
    </row>
    <row r="90" ht="19.5" customHeight="1">
      <c r="A90" s="406" t="inlineStr">
        <is>
          <t>HOMEM ARANHA/25</t>
        </is>
      </c>
      <c r="B90" s="407" t="inlineStr">
        <is>
          <t>PC</t>
        </is>
      </c>
      <c r="C90" s="407" t="inlineStr">
        <is>
          <t>R$</t>
        </is>
      </c>
      <c r="D90" s="407" t="n"/>
      <c r="AY90" s="650" t="n">
        <v>45971</v>
      </c>
      <c r="AZ90" s="650" t="n">
        <v>45978</v>
      </c>
      <c r="BA90" s="650" t="n">
        <v>45985</v>
      </c>
      <c r="BB90" s="650" t="n">
        <v>45992</v>
      </c>
      <c r="BC90" s="650" t="n">
        <v>45999</v>
      </c>
      <c r="BD90" s="650" t="n">
        <v>46006</v>
      </c>
      <c r="BE90" s="650" t="n">
        <v>46013</v>
      </c>
      <c r="BF90" s="650" t="n">
        <v>46020</v>
      </c>
      <c r="BG90" s="650" t="n">
        <v>46027</v>
      </c>
      <c r="BH90" s="650" t="n">
        <v>46034</v>
      </c>
      <c r="BI90" s="650" t="n">
        <v>46041</v>
      </c>
      <c r="BJ90" s="650" t="n">
        <v>46048</v>
      </c>
      <c r="BK90" s="650" t="n">
        <v>46055</v>
      </c>
      <c r="BL90" s="650" t="n">
        <v>46062</v>
      </c>
      <c r="BM90" s="650" t="n">
        <v>46069</v>
      </c>
      <c r="BN90" s="650" t="n">
        <v>46076</v>
      </c>
      <c r="BO90" s="650" t="n">
        <v>46083</v>
      </c>
      <c r="BP90" s="650" t="n">
        <v>46090</v>
      </c>
      <c r="BQ90" s="650" t="n">
        <v>46097</v>
      </c>
      <c r="BR90" s="650" t="n">
        <v>46104</v>
      </c>
      <c r="BS90" s="650" t="n">
        <v>46111</v>
      </c>
      <c r="BT90" s="650" t="n">
        <v>46118</v>
      </c>
      <c r="BU90" s="650" t="n">
        <v>46125</v>
      </c>
      <c r="BV90" s="650" t="n">
        <v>46132</v>
      </c>
      <c r="BW90" s="650" t="n">
        <v>46139</v>
      </c>
      <c r="BX90" s="650" t="n">
        <v>46146</v>
      </c>
      <c r="BY90" s="650" t="n">
        <v>46154</v>
      </c>
      <c r="BZ90" s="650" t="n">
        <v>46160</v>
      </c>
      <c r="CA90" s="650" t="n">
        <v>46160</v>
      </c>
      <c r="CB90" s="650" t="n">
        <v>46160</v>
      </c>
      <c r="CC90" s="651" t="n">
        <v>46161.48004043981</v>
      </c>
      <c r="CD90" s="651" t="n">
        <v>46161.48071866898</v>
      </c>
      <c r="CE90" s="651" t="n">
        <v>46161.48287732968</v>
      </c>
      <c r="CF90" s="660" t="inlineStr">
        <is>
          <t>USOU</t>
        </is>
      </c>
      <c r="DY90" s="49" t="n"/>
      <c r="EB90" s="271" t="n"/>
      <c r="EC90" s="271" t="n"/>
      <c r="ED90" s="271" t="n"/>
      <c r="FH90" s="268" t="n"/>
      <c r="FK90" s="268" t="n"/>
      <c r="FQ90" s="268" t="n"/>
      <c r="FV90" s="51" t="n"/>
      <c r="FZ90" s="268" t="n"/>
      <c r="GD90" s="268" t="n"/>
      <c r="GL90" s="51" t="n"/>
    </row>
    <row r="91" hidden="1" ht="19.5" customHeight="1">
      <c r="A91" s="33" t="inlineStr">
        <is>
          <t>SACOLA M</t>
        </is>
      </c>
      <c r="B91" s="9" t="n">
        <v>200</v>
      </c>
      <c r="C91" s="662" t="n">
        <v>479.2</v>
      </c>
      <c r="D91" s="329" t="n"/>
      <c r="AY91" s="38" t="n"/>
      <c r="AZ91" s="38" t="n"/>
      <c r="BA91" s="38" t="n">
        <v>0</v>
      </c>
      <c r="BB91" s="38" t="n">
        <v>0</v>
      </c>
      <c r="BC91" s="38" t="n">
        <v>0</v>
      </c>
      <c r="BD91" s="38" t="n">
        <v>0</v>
      </c>
      <c r="BE91" s="38" t="n">
        <v>0</v>
      </c>
      <c r="BF91" s="38" t="n">
        <v>0</v>
      </c>
      <c r="BG91" s="38" t="n">
        <v>0</v>
      </c>
      <c r="BH91" s="38" t="n">
        <v>0</v>
      </c>
      <c r="BI91" s="38" t="n">
        <v>0</v>
      </c>
      <c r="BJ91" s="38" t="n">
        <v>0</v>
      </c>
      <c r="BK91" s="38" t="n">
        <v>0</v>
      </c>
      <c r="BL91" s="38" t="n"/>
      <c r="BM91" s="38" t="n"/>
      <c r="BN91" s="38" t="n"/>
      <c r="BO91" s="38" t="n"/>
      <c r="BP91" s="38" t="n"/>
      <c r="BQ91" s="38" t="n"/>
      <c r="BR91" s="38" t="n"/>
      <c r="BS91" s="38" t="n"/>
      <c r="BT91" s="38" t="n"/>
      <c r="BU91" s="38" t="n"/>
      <c r="BV91" s="38" t="n"/>
      <c r="BW91" s="38" t="n"/>
      <c r="BX91" s="38" t="n"/>
      <c r="BY91" s="38" t="n">
        <v>0</v>
      </c>
      <c r="BZ91" s="38" t="n"/>
      <c r="CA91" s="38" t="n"/>
      <c r="CB91" s="38" t="n"/>
      <c r="CC91" s="9" t="n"/>
      <c r="CD91" s="9" t="n"/>
      <c r="CE91" s="9" t="n"/>
      <c r="CF91" s="246">
        <f>CD91+IF(NOT(ISBLANK(OFFSET(CF91,0,6))),N(OFFSET(CF91,0,6)),N(OFFSET(CF91,0,7)))-CE91</f>
        <v/>
      </c>
      <c r="DY91" s="49" t="n"/>
      <c r="EB91" s="271" t="n"/>
      <c r="EC91" s="271" t="n"/>
      <c r="ED91" s="271" t="n"/>
      <c r="FH91" s="268" t="n"/>
      <c r="FK91" s="268" t="n"/>
      <c r="FQ91" s="268" t="n"/>
      <c r="FV91" s="51" t="n"/>
      <c r="FZ91" s="268" t="n"/>
      <c r="GD91" s="268" t="n"/>
      <c r="GL91" s="51" t="n"/>
    </row>
    <row r="92" hidden="1" ht="19.5" customHeight="1">
      <c r="A92" s="33" t="inlineStr">
        <is>
          <t>PAPEL DE SEDA</t>
        </is>
      </c>
      <c r="B92" s="9" t="n">
        <v>200</v>
      </c>
      <c r="C92" s="662" t="n">
        <v>45.47</v>
      </c>
      <c r="D92" s="329" t="n"/>
      <c r="AY92" s="38" t="n"/>
      <c r="AZ92" s="38" t="n"/>
      <c r="BA92" s="38" t="n">
        <v>0</v>
      </c>
      <c r="BB92" s="38" t="n">
        <v>0</v>
      </c>
      <c r="BC92" s="38" t="n">
        <v>0</v>
      </c>
      <c r="BD92" s="38" t="n">
        <v>0</v>
      </c>
      <c r="BE92" s="38" t="n">
        <v>0</v>
      </c>
      <c r="BF92" s="38" t="n">
        <v>0</v>
      </c>
      <c r="BG92" s="38" t="n">
        <v>0</v>
      </c>
      <c r="BH92" s="38" t="n">
        <v>0</v>
      </c>
      <c r="BI92" s="38" t="n">
        <v>0</v>
      </c>
      <c r="BJ92" s="38" t="n">
        <v>0</v>
      </c>
      <c r="BK92" s="38" t="n">
        <v>0</v>
      </c>
      <c r="BL92" s="38" t="n"/>
      <c r="BM92" s="38" t="n"/>
      <c r="BN92" s="38" t="n"/>
      <c r="BO92" s="38" t="n"/>
      <c r="BP92" s="38" t="n"/>
      <c r="BQ92" s="38" t="n"/>
      <c r="BR92" s="38" t="n"/>
      <c r="BS92" s="38" t="n"/>
      <c r="BT92" s="38" t="n"/>
      <c r="BU92" s="38" t="n"/>
      <c r="BV92" s="38" t="n"/>
      <c r="BW92" s="38" t="n"/>
      <c r="BX92" s="38" t="n"/>
      <c r="BY92" s="38" t="n">
        <v>0</v>
      </c>
      <c r="BZ92" s="38" t="n"/>
      <c r="CA92" s="38" t="n"/>
      <c r="CB92" s="38" t="n"/>
      <c r="CC92" s="9" t="n"/>
      <c r="CD92" s="9" t="n"/>
      <c r="CE92" s="9" t="n"/>
      <c r="CF92" s="246">
        <f>CD92+IF(NOT(ISBLANK(OFFSET(CF92,0,6))),N(OFFSET(CF92,0,6)),N(OFFSET(CF92,0,7)))-CE92</f>
        <v/>
      </c>
      <c r="DY92" s="49" t="n"/>
      <c r="EB92" s="271" t="n"/>
      <c r="EC92" s="271" t="n"/>
      <c r="ED92" s="271" t="n"/>
      <c r="FH92" s="268" t="n"/>
      <c r="FK92" s="268" t="n"/>
      <c r="FQ92" s="268" t="n"/>
      <c r="FV92" s="51" t="n"/>
      <c r="FZ92" s="268" t="n"/>
      <c r="GD92" s="268" t="n"/>
      <c r="GL92" s="51" t="n"/>
    </row>
    <row r="93" ht="19.5" customHeight="1">
      <c r="A93" s="33" t="inlineStr">
        <is>
          <t>CAIXA M</t>
        </is>
      </c>
      <c r="B93" s="9" t="n">
        <v>100</v>
      </c>
      <c r="C93" s="662" t="n">
        <v>1490</v>
      </c>
      <c r="D93" s="329" t="n"/>
      <c r="AY93" s="38" t="n"/>
      <c r="AZ93" s="38" t="n"/>
      <c r="BA93" s="38" t="n">
        <v>17</v>
      </c>
      <c r="BB93" s="38" t="n">
        <v>17</v>
      </c>
      <c r="BC93" s="38" t="n">
        <v>16</v>
      </c>
      <c r="BD93" s="38" t="n">
        <v>16</v>
      </c>
      <c r="BE93" s="38" t="n">
        <v>0</v>
      </c>
      <c r="BF93" s="38" t="n">
        <v>0</v>
      </c>
      <c r="BG93" s="38" t="n">
        <v>0</v>
      </c>
      <c r="BH93" s="38" t="n">
        <v>0</v>
      </c>
      <c r="BI93" s="261" t="n">
        <v>16</v>
      </c>
      <c r="BJ93" s="38" t="n">
        <v>16</v>
      </c>
      <c r="BK93" s="38" t="n">
        <v>16</v>
      </c>
      <c r="BL93" s="38" t="n">
        <v>16</v>
      </c>
      <c r="BM93" s="38" t="n">
        <v>16</v>
      </c>
      <c r="BN93" s="38" t="n">
        <v>16</v>
      </c>
      <c r="BO93" s="38" t="n">
        <v>16</v>
      </c>
      <c r="BP93" s="38" t="n">
        <v>16</v>
      </c>
      <c r="BQ93" s="38" t="n">
        <v>16</v>
      </c>
      <c r="BR93" s="38" t="n">
        <v>16</v>
      </c>
      <c r="BS93" s="38" t="n">
        <v>16</v>
      </c>
      <c r="BT93" s="38" t="n">
        <v>16</v>
      </c>
      <c r="BU93" s="38" t="n">
        <v>16</v>
      </c>
      <c r="BV93" s="38" t="n">
        <v>16</v>
      </c>
      <c r="BW93" s="38" t="n">
        <v>16</v>
      </c>
      <c r="BX93" s="38" t="n">
        <v>16</v>
      </c>
      <c r="BY93" s="38" t="n">
        <v>16</v>
      </c>
      <c r="BZ93" s="38" t="n">
        <v>16</v>
      </c>
      <c r="CA93" s="38" t="n">
        <v>0</v>
      </c>
      <c r="CB93" s="38" t="n">
        <v>0</v>
      </c>
      <c r="CC93" s="9" t="n">
        <v>0</v>
      </c>
      <c r="CD93" s="9" t="n">
        <v>0</v>
      </c>
      <c r="CE93" s="9" t="n">
        <v>0</v>
      </c>
      <c r="CF93" s="246">
        <f>CD93+IF(NOT(ISBLANK(OFFSET(CF93,0,6))),N(OFFSET(CF93,0,6)),N(OFFSET(CF93,0,7)))-CE93</f>
        <v/>
      </c>
      <c r="DY93" s="49" t="n"/>
      <c r="EB93" s="271" t="n"/>
      <c r="EC93" s="271" t="n"/>
      <c r="ED93" s="271" t="n"/>
      <c r="FH93" s="268" t="n"/>
      <c r="FK93" s="268" t="n"/>
      <c r="FQ93" s="268" t="n"/>
      <c r="FV93" s="51" t="n"/>
      <c r="FZ93" s="268" t="n"/>
      <c r="GD93" s="268" t="n"/>
      <c r="GL93" s="51" t="n"/>
    </row>
    <row r="94" ht="19.5" customHeight="1">
      <c r="DY94" s="49" t="n"/>
      <c r="EB94" s="271" t="n"/>
      <c r="EC94" s="271" t="n"/>
      <c r="ED94" s="271" t="n"/>
      <c r="FH94" s="268" t="n"/>
      <c r="FK94" s="268" t="n"/>
      <c r="FQ94" s="268" t="n"/>
      <c r="FV94" s="51" t="n"/>
      <c r="FZ94" s="268" t="n"/>
      <c r="GD94" s="268" t="n"/>
      <c r="GL94" s="51" t="n"/>
    </row>
    <row r="95" ht="19.5" customHeight="1">
      <c r="A95" s="408" t="inlineStr">
        <is>
          <t>EUDORA NATAL/25</t>
        </is>
      </c>
      <c r="B95" s="409" t="inlineStr">
        <is>
          <t>PC</t>
        </is>
      </c>
      <c r="C95" s="409" t="inlineStr">
        <is>
          <t>R$</t>
        </is>
      </c>
      <c r="D95" s="409" t="n"/>
      <c r="AY95" s="650" t="n">
        <v>45971</v>
      </c>
      <c r="AZ95" s="650" t="n">
        <v>45978</v>
      </c>
      <c r="BA95" s="650" t="n">
        <v>45985</v>
      </c>
      <c r="BB95" s="650" t="n">
        <v>45992</v>
      </c>
      <c r="BC95" s="650" t="n">
        <v>45999</v>
      </c>
      <c r="BD95" s="650" t="n">
        <v>46006</v>
      </c>
      <c r="BE95" s="650" t="n">
        <v>46013</v>
      </c>
      <c r="BF95" s="650" t="n">
        <v>46020</v>
      </c>
      <c r="BG95" s="650" t="n">
        <v>46027</v>
      </c>
      <c r="BH95" s="650" t="n">
        <v>46034</v>
      </c>
      <c r="BI95" s="650" t="n">
        <v>46041</v>
      </c>
      <c r="BJ95" s="650" t="n">
        <v>46048</v>
      </c>
      <c r="BK95" s="650" t="n">
        <v>46055</v>
      </c>
      <c r="BL95" s="650" t="n">
        <v>46062</v>
      </c>
      <c r="BM95" s="650" t="n">
        <v>46069</v>
      </c>
      <c r="BN95" s="650" t="n">
        <v>46076</v>
      </c>
      <c r="BO95" s="650" t="n">
        <v>46083</v>
      </c>
      <c r="BP95" s="650" t="n">
        <v>46090</v>
      </c>
      <c r="BQ95" s="650" t="n">
        <v>46097</v>
      </c>
      <c r="BR95" s="650" t="n">
        <v>46104</v>
      </c>
      <c r="BS95" s="650" t="n">
        <v>46111</v>
      </c>
      <c r="BT95" s="650" t="n">
        <v>46118</v>
      </c>
      <c r="BU95" s="650" t="n">
        <v>46125</v>
      </c>
      <c r="BV95" s="650" t="n">
        <v>46132</v>
      </c>
      <c r="BW95" s="650" t="n">
        <v>46139</v>
      </c>
      <c r="BX95" s="650" t="n">
        <v>46146</v>
      </c>
      <c r="BY95" s="650" t="n">
        <v>46154</v>
      </c>
      <c r="BZ95" s="650" t="n">
        <v>46160</v>
      </c>
      <c r="CA95" s="650" t="n">
        <v>46160</v>
      </c>
      <c r="CB95" s="650" t="n">
        <v>46160</v>
      </c>
      <c r="CC95" s="651" t="n">
        <v>46161.48004043981</v>
      </c>
      <c r="CD95" s="651" t="n">
        <v>46161.48071866898</v>
      </c>
      <c r="CE95" s="651" t="n">
        <v>46161.48287732978</v>
      </c>
      <c r="CF95" s="660" t="inlineStr">
        <is>
          <t>USOU</t>
        </is>
      </c>
      <c r="DY95" s="49" t="n"/>
      <c r="EB95" s="271" t="n"/>
      <c r="EC95" s="271" t="n"/>
      <c r="ED95" s="271" t="n"/>
      <c r="FH95" s="268" t="n"/>
      <c r="FK95" s="268" t="n"/>
      <c r="FQ95" s="268" t="n"/>
      <c r="FV95" s="51" t="n"/>
      <c r="FZ95" s="268" t="n"/>
      <c r="GD95" s="268" t="n"/>
      <c r="GL95" s="51" t="n"/>
    </row>
    <row r="96" ht="19.5" customHeight="1">
      <c r="A96" s="33" t="inlineStr">
        <is>
          <t xml:space="preserve">SACOLA M </t>
        </is>
      </c>
      <c r="B96" s="9" t="n">
        <v>200</v>
      </c>
      <c r="C96" s="662" t="n">
        <v>336</v>
      </c>
      <c r="D96" s="329" t="n"/>
      <c r="AY96" s="38" t="n"/>
      <c r="AZ96" s="38" t="n"/>
      <c r="BA96" s="38" t="n">
        <v>802</v>
      </c>
      <c r="BB96" s="38" t="n">
        <v>730</v>
      </c>
      <c r="BC96" s="38" t="n">
        <v>730</v>
      </c>
      <c r="BD96" s="38" t="n">
        <v>716</v>
      </c>
      <c r="BE96" s="38" t="n">
        <v>698</v>
      </c>
      <c r="BF96" s="38" t="n">
        <v>698</v>
      </c>
      <c r="BG96" s="38" t="n">
        <v>698</v>
      </c>
      <c r="BH96" s="38" t="n">
        <v>558</v>
      </c>
      <c r="BI96" s="38" t="n">
        <v>558</v>
      </c>
      <c r="BJ96" s="38" t="n">
        <v>540</v>
      </c>
      <c r="BK96" s="261" t="n">
        <v>884</v>
      </c>
      <c r="BL96" s="38" t="n">
        <v>884</v>
      </c>
      <c r="BM96" s="38" t="n">
        <v>884</v>
      </c>
      <c r="BN96" s="38" t="n">
        <v>883</v>
      </c>
      <c r="BO96" s="38" t="n">
        <v>878</v>
      </c>
      <c r="BP96" s="261" t="n">
        <v>60</v>
      </c>
      <c r="BQ96" s="38" t="n">
        <v>60</v>
      </c>
      <c r="BR96" s="38" t="n">
        <v>60</v>
      </c>
      <c r="BS96" s="38" t="n">
        <v>0</v>
      </c>
      <c r="BT96" s="38" t="n"/>
      <c r="BU96" s="38" t="n"/>
      <c r="BV96" s="38" t="n"/>
      <c r="BW96" s="38" t="n">
        <v>0</v>
      </c>
      <c r="BX96" s="38" t="n">
        <v>0</v>
      </c>
      <c r="BY96" s="38" t="n">
        <v>0</v>
      </c>
      <c r="BZ96" s="38" t="n">
        <v>0</v>
      </c>
      <c r="CA96" s="38" t="n">
        <v>0</v>
      </c>
      <c r="CB96" s="38" t="n">
        <v>0</v>
      </c>
      <c r="CC96" s="9" t="n">
        <v>0</v>
      </c>
      <c r="CD96" s="9" t="n">
        <v>0</v>
      </c>
      <c r="CE96" s="9" t="n">
        <v>0</v>
      </c>
      <c r="CF96" s="246">
        <f>CD96+IF(NOT(ISBLANK(OFFSET(CF96,0,6))),N(OFFSET(CF96,0,6)),N(OFFSET(CF96,0,7)))-CE96</f>
        <v/>
      </c>
      <c r="DY96" s="49" t="n"/>
      <c r="EB96" s="271" t="n"/>
      <c r="EC96" s="271" t="n"/>
      <c r="ED96" s="271" t="n"/>
      <c r="FH96" s="268" t="n"/>
      <c r="FK96" s="268" t="n"/>
      <c r="FQ96" s="268" t="n"/>
      <c r="FV96" s="51" t="n"/>
      <c r="FZ96" s="268" t="n"/>
      <c r="GD96" s="268" t="n"/>
      <c r="GL96" s="51" t="n"/>
    </row>
    <row r="97" ht="19.5" customHeight="1">
      <c r="A97" s="33" t="inlineStr">
        <is>
          <t>PAPEL DE SEDA</t>
        </is>
      </c>
      <c r="B97" s="9" t="n">
        <v>200</v>
      </c>
      <c r="C97" s="662" t="n">
        <v>54</v>
      </c>
      <c r="D97" s="329" t="n"/>
      <c r="AY97" s="38" t="n"/>
      <c r="AZ97" s="38" t="n"/>
      <c r="BA97" s="38" t="n">
        <v>0</v>
      </c>
      <c r="BB97" s="38" t="n">
        <v>0</v>
      </c>
      <c r="BC97" s="38" t="n">
        <v>0</v>
      </c>
      <c r="BD97" s="38" t="n">
        <v>0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>
        <v>0</v>
      </c>
      <c r="BK97" s="38" t="n">
        <v>0</v>
      </c>
      <c r="BL97" s="38" t="n">
        <v>0</v>
      </c>
      <c r="BM97" s="38" t="n">
        <v>0</v>
      </c>
      <c r="BN97" s="38" t="n">
        <v>0</v>
      </c>
      <c r="BO97" s="38" t="n">
        <v>0</v>
      </c>
      <c r="BP97" s="38" t="n">
        <v>0</v>
      </c>
      <c r="BQ97" s="38" t="n">
        <v>0</v>
      </c>
      <c r="BR97" s="38" t="n">
        <v>0</v>
      </c>
      <c r="BS97" s="38" t="n">
        <v>0</v>
      </c>
      <c r="BT97" s="38" t="n"/>
      <c r="BU97" s="38" t="n"/>
      <c r="BV97" s="38" t="n"/>
      <c r="BW97" s="38" t="n">
        <v>0</v>
      </c>
      <c r="BX97" s="38" t="n">
        <v>0</v>
      </c>
      <c r="BY97" s="38" t="n">
        <v>0</v>
      </c>
      <c r="BZ97" s="38" t="n">
        <v>0</v>
      </c>
      <c r="CA97" s="38" t="n">
        <v>0</v>
      </c>
      <c r="CB97" s="38" t="n">
        <v>0</v>
      </c>
      <c r="CC97" s="9" t="n">
        <v>0</v>
      </c>
      <c r="CD97" s="9" t="n">
        <v>0</v>
      </c>
      <c r="CE97" s="9" t="n">
        <v>0</v>
      </c>
      <c r="CF97" s="246">
        <f>CD97+IF(NOT(ISBLANK(OFFSET(CF97,0,6))),N(OFFSET(CF97,0,6)),N(OFFSET(CF97,0,7)))-CE97</f>
        <v/>
      </c>
      <c r="DY97" s="49" t="n"/>
      <c r="EB97" s="271" t="n"/>
      <c r="EC97" s="271" t="n"/>
      <c r="ED97" s="271" t="n"/>
      <c r="FH97" s="268" t="n"/>
      <c r="FK97" s="268" t="n"/>
      <c r="FQ97" s="268" t="n"/>
      <c r="FV97" s="51" t="n"/>
      <c r="FZ97" s="268" t="n"/>
      <c r="GD97" s="268" t="n"/>
      <c r="GL97" s="51" t="n"/>
    </row>
    <row r="98" ht="19.5" customHeight="1">
      <c r="A98" s="33" t="inlineStr">
        <is>
          <t>KIT TAG 10 C/ 20</t>
        </is>
      </c>
      <c r="B98" s="9" t="n">
        <v>200</v>
      </c>
      <c r="C98" s="662" t="n">
        <v>40</v>
      </c>
      <c r="D98" s="329" t="n"/>
      <c r="AY98" s="38" t="n"/>
      <c r="AZ98" s="38" t="n"/>
      <c r="BA98" s="38" t="n">
        <v>0</v>
      </c>
      <c r="BB98" s="38" t="n">
        <v>0</v>
      </c>
      <c r="BC98" s="38" t="n">
        <v>0</v>
      </c>
      <c r="BD98" s="38" t="n">
        <v>0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>
        <v>0</v>
      </c>
      <c r="BK98" s="38" t="n">
        <v>0</v>
      </c>
      <c r="BL98" s="38" t="n">
        <v>0</v>
      </c>
      <c r="BM98" s="38" t="n">
        <v>0</v>
      </c>
      <c r="BN98" s="38" t="n">
        <v>0</v>
      </c>
      <c r="BO98" s="38" t="n">
        <v>0</v>
      </c>
      <c r="BP98" s="38" t="n">
        <v>0</v>
      </c>
      <c r="BQ98" s="38" t="n">
        <v>0</v>
      </c>
      <c r="BR98" s="38" t="n">
        <v>0</v>
      </c>
      <c r="BS98" s="38" t="n">
        <v>0</v>
      </c>
      <c r="BT98" s="38" t="n"/>
      <c r="BU98" s="38" t="n"/>
      <c r="BV98" s="38" t="n"/>
      <c r="BW98" s="38" t="n">
        <v>0</v>
      </c>
      <c r="BX98" s="38" t="n">
        <v>0</v>
      </c>
      <c r="BY98" s="38" t="n">
        <v>0</v>
      </c>
      <c r="BZ98" s="38" t="n">
        <v>0</v>
      </c>
      <c r="CA98" s="38" t="n">
        <v>0</v>
      </c>
      <c r="CB98" s="38" t="n">
        <v>0</v>
      </c>
      <c r="CC98" s="9" t="n">
        <v>0</v>
      </c>
      <c r="CD98" s="9" t="n">
        <v>0</v>
      </c>
      <c r="CE98" s="9" t="n">
        <v>0</v>
      </c>
      <c r="CF98" s="246">
        <f>CD98+IF(NOT(ISBLANK(OFFSET(CF98,0,6))),N(OFFSET(CF98,0,6)),N(OFFSET(CF98,0,7)))-CE98</f>
        <v/>
      </c>
      <c r="DY98" s="49" t="n"/>
      <c r="EB98" s="271" t="n"/>
      <c r="EC98" s="271" t="n"/>
      <c r="ED98" s="271" t="n"/>
      <c r="FH98" s="268" t="n"/>
      <c r="FK98" s="268" t="n"/>
      <c r="FQ98" s="268" t="n"/>
      <c r="FV98" s="51" t="n"/>
      <c r="FZ98" s="268" t="n"/>
      <c r="GD98" s="268" t="n"/>
      <c r="GL98" s="51" t="n"/>
    </row>
    <row r="99" ht="19.5" customHeight="1">
      <c r="A99" s="238" t="inlineStr">
        <is>
          <t>CAIXA M</t>
        </is>
      </c>
      <c r="B99" s="36" t="n">
        <v>100</v>
      </c>
      <c r="C99" s="668" t="n">
        <v>904</v>
      </c>
      <c r="D99" s="36" t="n"/>
      <c r="AY99" s="38" t="n"/>
      <c r="AZ99" s="38" t="n"/>
      <c r="BA99" s="38" t="n">
        <v>140</v>
      </c>
      <c r="BB99" s="38" t="n">
        <v>140</v>
      </c>
      <c r="BC99" s="38" t="n">
        <v>140</v>
      </c>
      <c r="BD99" s="38" t="n">
        <v>140</v>
      </c>
      <c r="BE99" s="38" t="n">
        <v>109</v>
      </c>
      <c r="BF99" s="38" t="n">
        <v>97</v>
      </c>
      <c r="BG99" s="38" t="n">
        <v>96</v>
      </c>
      <c r="BH99" s="38" t="n">
        <v>73</v>
      </c>
      <c r="BI99" s="38" t="n">
        <v>72</v>
      </c>
      <c r="BJ99" s="38" t="n">
        <v>69</v>
      </c>
      <c r="BK99" s="38" t="n">
        <v>69</v>
      </c>
      <c r="BL99" s="38" t="n">
        <v>57</v>
      </c>
      <c r="BM99" s="38" t="n">
        <v>48</v>
      </c>
      <c r="BN99" s="38" t="n">
        <v>48</v>
      </c>
      <c r="BO99" s="38" t="n">
        <v>46</v>
      </c>
      <c r="BP99" s="38" t="n">
        <v>45</v>
      </c>
      <c r="BQ99" s="38" t="n">
        <v>0</v>
      </c>
      <c r="BR99" s="38" t="n">
        <v>0</v>
      </c>
      <c r="BS99" s="38" t="n">
        <v>0</v>
      </c>
      <c r="BT99" s="38" t="n"/>
      <c r="BU99" s="38" t="n"/>
      <c r="BV99" s="38" t="n"/>
      <c r="BW99" s="38" t="n">
        <v>8</v>
      </c>
      <c r="BX99" s="38" t="n">
        <v>8</v>
      </c>
      <c r="BY99" s="38" t="n">
        <v>28</v>
      </c>
      <c r="BZ99" s="38" t="n">
        <v>27</v>
      </c>
      <c r="CA99" s="38" t="n">
        <v>27</v>
      </c>
      <c r="CB99" s="38" t="n">
        <v>27</v>
      </c>
      <c r="CC99" s="9" t="n">
        <v>27</v>
      </c>
      <c r="CD99" s="9" t="n">
        <v>27</v>
      </c>
      <c r="CE99" s="9" t="n">
        <v>27</v>
      </c>
      <c r="CF99" s="246">
        <f>CD99+IF(NOT(ISBLANK(OFFSET(CF99,0,6))),N(OFFSET(CF99,0,6)),N(OFFSET(CF99,0,7)))-CE99</f>
        <v/>
      </c>
      <c r="DY99" s="49" t="n"/>
      <c r="EB99" s="271" t="n"/>
      <c r="EC99" s="271" t="n"/>
      <c r="ED99" s="271" t="n"/>
      <c r="FH99" s="268" t="n"/>
      <c r="FK99" s="268" t="n"/>
      <c r="FQ99" s="268" t="n"/>
      <c r="FV99" s="51" t="n"/>
      <c r="FZ99" s="268" t="n"/>
      <c r="GD99" s="268" t="n"/>
      <c r="GL99" s="51" t="n"/>
    </row>
    <row r="100" ht="19.5" customHeight="1">
      <c r="A100" s="238" t="inlineStr">
        <is>
          <t>CARTUCHO P</t>
        </is>
      </c>
      <c r="B100" s="36" t="n">
        <v>200</v>
      </c>
      <c r="C100" s="668" t="n">
        <v>464</v>
      </c>
      <c r="D100" s="36" t="n"/>
      <c r="AY100" s="38" t="n"/>
      <c r="AZ100" s="38" t="n"/>
      <c r="BA100" s="38" t="n">
        <v>100</v>
      </c>
      <c r="BB100" s="38" t="n">
        <v>100</v>
      </c>
      <c r="BC100" s="38" t="n">
        <v>100</v>
      </c>
      <c r="BD100" s="38" t="n">
        <v>100</v>
      </c>
      <c r="BE100" s="38" t="n">
        <v>98</v>
      </c>
      <c r="BF100" s="38" t="n">
        <v>63</v>
      </c>
      <c r="BG100" s="38" t="n">
        <v>63</v>
      </c>
      <c r="BH100" s="38" t="n">
        <v>63</v>
      </c>
      <c r="BI100" s="38" t="n">
        <v>56</v>
      </c>
      <c r="BJ100" s="38" t="n">
        <v>56</v>
      </c>
      <c r="BK100" s="38" t="n">
        <v>56</v>
      </c>
      <c r="BL100" s="38" t="n">
        <v>56</v>
      </c>
      <c r="BM100" s="38" t="n">
        <v>60</v>
      </c>
      <c r="BN100" s="38" t="n">
        <v>60</v>
      </c>
      <c r="BO100" s="38" t="n">
        <v>60</v>
      </c>
      <c r="BP100" s="261" t="n">
        <v>7</v>
      </c>
      <c r="BQ100" s="38" t="n">
        <v>7</v>
      </c>
      <c r="BR100" s="38" t="n">
        <v>7</v>
      </c>
      <c r="BS100" s="38" t="n">
        <v>7</v>
      </c>
      <c r="BT100" s="38" t="n"/>
      <c r="BU100" s="38" t="n"/>
      <c r="BV100" s="38" t="n"/>
      <c r="BW100" s="38" t="n">
        <v>7</v>
      </c>
      <c r="BX100" s="38" t="n">
        <v>7</v>
      </c>
      <c r="BY100" s="38" t="n">
        <v>7</v>
      </c>
      <c r="BZ100" s="38" t="n">
        <v>7</v>
      </c>
      <c r="CA100" s="38" t="n">
        <v>7</v>
      </c>
      <c r="CB100" s="38" t="n">
        <v>7</v>
      </c>
      <c r="CC100" s="9" t="n">
        <v>7</v>
      </c>
      <c r="CD100" s="9" t="n">
        <v>7</v>
      </c>
      <c r="CE100" s="9" t="n">
        <v>7</v>
      </c>
      <c r="CF100" s="246">
        <f>CD100+IF(NOT(ISBLANK(OFFSET(CF100,0,6))),N(OFFSET(CF100,0,6)),N(OFFSET(CF100,0,7)))-CE100</f>
        <v/>
      </c>
      <c r="DY100" s="49" t="n"/>
      <c r="EB100" s="271" t="n"/>
      <c r="EC100" s="271" t="n"/>
      <c r="ED100" s="271" t="n"/>
      <c r="FH100" s="268" t="n"/>
      <c r="FK100" s="268" t="n"/>
      <c r="FQ100" s="268" t="n"/>
      <c r="FV100" s="51" t="n"/>
      <c r="FZ100" s="268" t="n"/>
      <c r="GD100" s="268" t="n"/>
      <c r="GL100" s="51" t="n"/>
    </row>
    <row r="101" ht="15" customHeight="1">
      <c r="DY101" s="49" t="n"/>
      <c r="EB101" s="271" t="n"/>
      <c r="EC101" s="271" t="n"/>
      <c r="ED101" s="271" t="n"/>
      <c r="FH101" s="268" t="n"/>
      <c r="FK101" s="268" t="n"/>
      <c r="FQ101" s="268" t="n"/>
      <c r="FV101" s="51" t="n"/>
      <c r="FZ101" s="268" t="n"/>
      <c r="GD101" s="268" t="n"/>
      <c r="GL101" s="51" t="n"/>
    </row>
    <row r="102" hidden="1" ht="19.5" customHeight="1">
      <c r="A102" s="410" t="inlineStr">
        <is>
          <t>BOTICÁRIO NATAL/25</t>
        </is>
      </c>
      <c r="B102" s="357" t="inlineStr">
        <is>
          <t>PC</t>
        </is>
      </c>
      <c r="C102" s="357" t="inlineStr">
        <is>
          <t>R$</t>
        </is>
      </c>
      <c r="D102" s="357" t="n"/>
      <c r="AY102" s="650" t="n">
        <v>45971</v>
      </c>
      <c r="AZ102" s="650" t="n">
        <v>45978</v>
      </c>
      <c r="BA102" s="650" t="n">
        <v>45985</v>
      </c>
      <c r="BB102" s="650" t="n">
        <v>45992</v>
      </c>
      <c r="BC102" s="650" t="n">
        <v>45999</v>
      </c>
      <c r="BD102" s="650" t="n">
        <v>46006</v>
      </c>
      <c r="BE102" s="650" t="n">
        <v>46013</v>
      </c>
      <c r="BF102" s="650" t="n">
        <v>46020</v>
      </c>
      <c r="BG102" s="650" t="n">
        <v>46027</v>
      </c>
      <c r="BH102" s="650" t="n">
        <v>46034</v>
      </c>
      <c r="BI102" s="650" t="n">
        <v>46041</v>
      </c>
      <c r="BJ102" s="650" t="n">
        <v>46048</v>
      </c>
      <c r="BK102" s="650" t="n"/>
      <c r="BL102" s="650" t="n"/>
      <c r="BM102" s="650" t="n"/>
      <c r="BN102" s="650" t="n"/>
      <c r="BO102" s="650" t="n"/>
      <c r="BP102" s="650" t="n"/>
      <c r="BQ102" s="650" t="n"/>
      <c r="BR102" s="650" t="n"/>
      <c r="BS102" s="650" t="n"/>
      <c r="BT102" s="650" t="n"/>
      <c r="BU102" s="650" t="n"/>
      <c r="BV102" s="650" t="n"/>
      <c r="BW102" s="650" t="n"/>
      <c r="BX102" s="650" t="n"/>
      <c r="BY102" s="650" t="n"/>
      <c r="BZ102" s="650" t="n"/>
      <c r="CA102" s="650" t="n"/>
      <c r="CB102" s="650" t="n"/>
      <c r="CC102" s="650" t="n"/>
      <c r="CD102" s="650" t="n"/>
      <c r="CE102" s="650" t="n"/>
      <c r="CF102" s="660" t="inlineStr">
        <is>
          <t>USOU</t>
        </is>
      </c>
      <c r="DY102" s="49" t="n"/>
      <c r="EB102" s="271" t="n"/>
      <c r="EC102" s="271" t="n"/>
      <c r="ED102" s="271" t="n"/>
      <c r="FH102" s="268" t="n"/>
      <c r="FK102" s="268" t="n"/>
      <c r="FQ102" s="268" t="n"/>
      <c r="FV102" s="51" t="n"/>
      <c r="FZ102" s="268" t="n"/>
      <c r="GD102" s="268" t="n"/>
      <c r="GL102" s="51" t="n"/>
    </row>
    <row r="103" hidden="1" ht="19.5" customHeight="1">
      <c r="A103" s="33" t="inlineStr">
        <is>
          <t>SACOLA P</t>
        </is>
      </c>
      <c r="B103" s="9" t="n">
        <v>200</v>
      </c>
      <c r="C103" s="662" t="n">
        <v>274.2</v>
      </c>
      <c r="D103" s="329" t="n"/>
      <c r="AY103" s="38" t="n"/>
      <c r="AZ103" s="38" t="n"/>
      <c r="BA103" s="38" t="n">
        <v>117</v>
      </c>
      <c r="BB103" s="38" t="n">
        <v>117</v>
      </c>
      <c r="BC103" s="38" t="n">
        <v>118</v>
      </c>
      <c r="BD103" s="38" t="n">
        <v>118</v>
      </c>
      <c r="BE103" s="38" t="n">
        <v>10</v>
      </c>
      <c r="BF103" s="38" t="n">
        <v>10</v>
      </c>
      <c r="BG103" s="38" t="n">
        <v>10</v>
      </c>
      <c r="BH103" s="38" t="n">
        <v>0</v>
      </c>
      <c r="BI103" s="38" t="n">
        <v>0</v>
      </c>
      <c r="BJ103" s="38" t="n">
        <v>0</v>
      </c>
      <c r="BK103" s="38" t="n"/>
      <c r="BL103" s="38" t="n"/>
      <c r="BM103" s="38" t="n"/>
      <c r="BN103" s="38" t="n"/>
      <c r="BO103" s="38" t="n"/>
      <c r="BP103" s="38" t="n"/>
      <c r="BQ103" s="38" t="n"/>
      <c r="BR103" s="38" t="n"/>
      <c r="BS103" s="38" t="n"/>
      <c r="BT103" s="38" t="n"/>
      <c r="BU103" s="38" t="n"/>
      <c r="BV103" s="38" t="n"/>
      <c r="BW103" s="38" t="n"/>
      <c r="BX103" s="38" t="n"/>
      <c r="BY103" s="38" t="n"/>
      <c r="BZ103" s="38" t="n"/>
      <c r="CA103" s="38" t="n"/>
      <c r="CB103" s="38" t="n"/>
      <c r="CC103" s="9" t="n"/>
      <c r="CD103" s="9" t="n"/>
      <c r="CE103" s="9" t="n"/>
      <c r="CF103" s="246">
        <f>CD103+IF(NOT(ISBLANK(OFFSET(CF103,0,6))),N(OFFSET(CF103,0,6)),N(OFFSET(CF103,0,7)))-CE103</f>
        <v/>
      </c>
      <c r="DY103" s="49" t="n"/>
      <c r="EB103" s="271" t="n"/>
      <c r="EC103" s="271" t="n"/>
      <c r="ED103" s="271" t="n"/>
      <c r="FH103" s="268" t="n"/>
      <c r="FK103" s="268" t="n"/>
      <c r="FQ103" s="268" t="n"/>
      <c r="FV103" s="51" t="n"/>
      <c r="FZ103" s="268" t="n"/>
      <c r="GD103" s="268" t="n"/>
      <c r="GL103" s="51" t="n"/>
    </row>
    <row r="104" hidden="1" ht="19.5" customHeight="1">
      <c r="A104" s="33" t="inlineStr">
        <is>
          <t>SACOLA M</t>
        </is>
      </c>
      <c r="B104" s="9" t="n">
        <v>200</v>
      </c>
      <c r="C104" s="662" t="n">
        <v>347.8</v>
      </c>
      <c r="D104" s="329" t="n"/>
      <c r="AY104" s="38" t="n"/>
      <c r="AZ104" s="38" t="n"/>
      <c r="BA104" s="38" t="n">
        <v>121</v>
      </c>
      <c r="BB104" s="38" t="n">
        <v>121</v>
      </c>
      <c r="BC104" s="38" t="n">
        <v>116</v>
      </c>
      <c r="BD104" s="38" t="n">
        <v>116</v>
      </c>
      <c r="BE104" s="38" t="n">
        <v>0</v>
      </c>
      <c r="BF104" s="38" t="n">
        <v>0</v>
      </c>
      <c r="BG104" s="38" t="n">
        <v>0</v>
      </c>
      <c r="BH104" s="38" t="n">
        <v>0</v>
      </c>
      <c r="BI104" s="38" t="n">
        <v>0</v>
      </c>
      <c r="BJ104" s="38" t="n">
        <v>0</v>
      </c>
      <c r="BK104" s="38" t="n"/>
      <c r="BL104" s="38" t="n"/>
      <c r="BM104" s="38" t="n"/>
      <c r="BN104" s="38" t="n"/>
      <c r="BO104" s="38" t="n"/>
      <c r="BP104" s="38" t="n"/>
      <c r="BQ104" s="38" t="n"/>
      <c r="BR104" s="38" t="n"/>
      <c r="BS104" s="38" t="n"/>
      <c r="BT104" s="38" t="n"/>
      <c r="BU104" s="38" t="n"/>
      <c r="BV104" s="38" t="n"/>
      <c r="BW104" s="38" t="n"/>
      <c r="BX104" s="38" t="n"/>
      <c r="BY104" s="38" t="n"/>
      <c r="BZ104" s="38" t="n"/>
      <c r="CA104" s="38" t="n"/>
      <c r="CB104" s="38" t="n"/>
      <c r="CC104" s="9" t="n"/>
      <c r="CD104" s="9" t="n"/>
      <c r="CE104" s="9" t="n"/>
      <c r="CF104" s="246">
        <f>CD104+IF(NOT(ISBLANK(OFFSET(CF104,0,6))),N(OFFSET(CF104,0,6)),N(OFFSET(CF104,0,7)))-CE104</f>
        <v/>
      </c>
      <c r="DY104" s="49" t="n"/>
      <c r="EB104" s="271" t="n"/>
      <c r="EC104" s="271" t="n"/>
      <c r="ED104" s="271" t="n"/>
      <c r="FH104" s="268" t="n"/>
      <c r="FK104" s="268" t="n"/>
      <c r="FQ104" s="268" t="n"/>
      <c r="FV104" s="51" t="n"/>
      <c r="FZ104" s="268" t="n"/>
      <c r="GD104" s="268" t="n"/>
      <c r="GL104" s="51" t="n"/>
    </row>
    <row r="105" hidden="1" ht="19.5" customHeight="1">
      <c r="A105" s="33" t="inlineStr">
        <is>
          <t>SACOLA G</t>
        </is>
      </c>
      <c r="B105" s="9" t="n">
        <v>100</v>
      </c>
      <c r="C105" s="662" t="n">
        <v>267</v>
      </c>
      <c r="D105" s="329" t="n"/>
      <c r="AY105" s="38" t="n"/>
      <c r="AZ105" s="38" t="n"/>
      <c r="BA105" s="38" t="n">
        <v>0</v>
      </c>
      <c r="BB105" s="38" t="n">
        <v>0</v>
      </c>
      <c r="BC105" s="38" t="n">
        <v>0</v>
      </c>
      <c r="BD105" s="38" t="n">
        <v>0</v>
      </c>
      <c r="BE105" s="38" t="n">
        <v>0</v>
      </c>
      <c r="BF105" s="38" t="n">
        <v>0</v>
      </c>
      <c r="BG105" s="38" t="n">
        <v>0</v>
      </c>
      <c r="BH105" s="38" t="n">
        <v>0</v>
      </c>
      <c r="BI105" s="38" t="n">
        <v>0</v>
      </c>
      <c r="BJ105" s="38" t="n">
        <v>0</v>
      </c>
      <c r="BK105" s="38" t="n"/>
      <c r="BL105" s="38" t="n"/>
      <c r="BM105" s="38" t="n"/>
      <c r="BN105" s="38" t="n"/>
      <c r="BO105" s="38" t="n"/>
      <c r="BP105" s="38" t="n"/>
      <c r="BQ105" s="38" t="n"/>
      <c r="BR105" s="38" t="n"/>
      <c r="BS105" s="38" t="n"/>
      <c r="BT105" s="38" t="n"/>
      <c r="BU105" s="38" t="n"/>
      <c r="BV105" s="38" t="n"/>
      <c r="BW105" s="38" t="n"/>
      <c r="BX105" s="38" t="n"/>
      <c r="BY105" s="38" t="n"/>
      <c r="BZ105" s="38" t="n"/>
      <c r="CA105" s="38" t="n"/>
      <c r="CB105" s="38" t="n"/>
      <c r="CC105" s="9" t="n"/>
      <c r="CD105" s="9" t="n"/>
      <c r="CE105" s="9" t="n"/>
      <c r="CF105" s="246">
        <f>CD105+IF(NOT(ISBLANK(OFFSET(CF105,0,6))),N(OFFSET(CF105,0,6)),N(OFFSET(CF105,0,7)))-CE105</f>
        <v/>
      </c>
      <c r="DY105" s="49" t="n"/>
      <c r="EB105" s="271" t="n"/>
      <c r="EC105" s="271" t="n"/>
      <c r="ED105" s="271" t="n"/>
      <c r="FH105" s="268" t="n"/>
      <c r="FK105" s="268" t="n"/>
      <c r="FQ105" s="268" t="n"/>
      <c r="FV105" s="51" t="n"/>
      <c r="FZ105" s="268" t="n"/>
      <c r="GD105" s="268" t="n"/>
      <c r="GL105" s="51" t="n"/>
    </row>
    <row r="106" hidden="1" ht="19.5" customHeight="1">
      <c r="A106" s="238" t="inlineStr">
        <is>
          <t>KIT PAPEL DE SEDA 10 C/ 20</t>
        </is>
      </c>
      <c r="B106" s="36" t="n">
        <v>200</v>
      </c>
      <c r="C106" s="668" t="n">
        <v>44.4</v>
      </c>
      <c r="D106" s="36" t="n"/>
      <c r="AY106" s="38" t="n"/>
      <c r="AZ106" s="38" t="n"/>
      <c r="BA106" s="38" t="n">
        <v>220</v>
      </c>
      <c r="BB106" s="38" t="n">
        <v>220</v>
      </c>
      <c r="BC106" s="38" t="n">
        <v>219</v>
      </c>
      <c r="BD106" s="38" t="n">
        <v>214</v>
      </c>
      <c r="BE106" s="38" t="n">
        <v>0</v>
      </c>
      <c r="BF106" s="38" t="n">
        <v>0</v>
      </c>
      <c r="BG106" s="38" t="n">
        <v>0</v>
      </c>
      <c r="BH106" s="38" t="n">
        <v>0</v>
      </c>
      <c r="BI106" s="38" t="n">
        <v>0</v>
      </c>
      <c r="BJ106" s="38" t="n">
        <v>0</v>
      </c>
      <c r="BK106" s="38" t="n"/>
      <c r="BL106" s="38" t="n"/>
      <c r="BM106" s="38" t="n"/>
      <c r="BN106" s="38" t="n"/>
      <c r="BO106" s="38" t="n"/>
      <c r="BP106" s="38" t="n"/>
      <c r="BQ106" s="38" t="n"/>
      <c r="BR106" s="38" t="n"/>
      <c r="BS106" s="38" t="n"/>
      <c r="BT106" s="38" t="n"/>
      <c r="BU106" s="38" t="n"/>
      <c r="BV106" s="38" t="n"/>
      <c r="BW106" s="38" t="n"/>
      <c r="BX106" s="38" t="n"/>
      <c r="BY106" s="38" t="n"/>
      <c r="BZ106" s="38" t="n"/>
      <c r="CA106" s="38" t="n"/>
      <c r="CB106" s="38" t="n"/>
      <c r="CC106" s="9" t="n"/>
      <c r="CD106" s="9" t="n"/>
      <c r="CE106" s="9" t="n"/>
      <c r="CF106" s="246">
        <f>CD106+IF(NOT(ISBLANK(OFFSET(CF106,0,6))),N(OFFSET(CF106,0,6)),N(OFFSET(CF106,0,7)))-CE106</f>
        <v/>
      </c>
      <c r="DY106" s="49" t="n"/>
      <c r="EB106" s="271" t="n"/>
      <c r="EC106" s="271" t="n"/>
      <c r="ED106" s="271" t="n"/>
      <c r="FH106" s="268" t="n"/>
      <c r="FK106" s="268" t="n"/>
      <c r="FQ106" s="268" t="n"/>
      <c r="FV106" s="51" t="n"/>
      <c r="FZ106" s="268" t="n"/>
      <c r="GD106" s="268" t="n"/>
      <c r="GL106" s="51" t="n"/>
    </row>
    <row r="107" hidden="1" ht="19.5" customHeight="1">
      <c r="A107" s="238" t="inlineStr">
        <is>
          <t>CAIXA P</t>
        </is>
      </c>
      <c r="B107" s="36" t="n">
        <v>150</v>
      </c>
      <c r="C107" s="668" t="n">
        <v>805.35</v>
      </c>
      <c r="D107" s="36" t="n"/>
      <c r="AY107" s="38" t="n"/>
      <c r="AZ107" s="38" t="n"/>
      <c r="BA107" s="38" t="n">
        <v>0</v>
      </c>
      <c r="BB107" s="38" t="n">
        <v>0</v>
      </c>
      <c r="BC107" s="38" t="n">
        <v>0</v>
      </c>
      <c r="BD107" s="38" t="n">
        <v>0</v>
      </c>
      <c r="BE107" s="38" t="n">
        <v>0</v>
      </c>
      <c r="BF107" s="38" t="n">
        <v>0</v>
      </c>
      <c r="BG107" s="38" t="n">
        <v>0</v>
      </c>
      <c r="BH107" s="38" t="n">
        <v>0</v>
      </c>
      <c r="BI107" s="38" t="n">
        <v>0</v>
      </c>
      <c r="BJ107" s="38" t="n">
        <v>0</v>
      </c>
      <c r="BK107" s="38" t="n"/>
      <c r="BL107" s="38" t="n"/>
      <c r="BM107" s="38" t="n"/>
      <c r="BN107" s="38" t="n"/>
      <c r="BO107" s="38" t="n"/>
      <c r="BP107" s="38" t="n"/>
      <c r="BQ107" s="38" t="n"/>
      <c r="BR107" s="38" t="n"/>
      <c r="BS107" s="38" t="n"/>
      <c r="BT107" s="38" t="n"/>
      <c r="BU107" s="38" t="n"/>
      <c r="BV107" s="38" t="n"/>
      <c r="BW107" s="38" t="n"/>
      <c r="BX107" s="38" t="n"/>
      <c r="BY107" s="38" t="n"/>
      <c r="BZ107" s="38" t="n"/>
      <c r="CA107" s="38" t="n"/>
      <c r="CB107" s="38" t="n"/>
      <c r="CC107" s="9" t="n"/>
      <c r="CD107" s="9" t="n"/>
      <c r="CE107" s="9" t="n"/>
      <c r="CF107" s="246">
        <f>CD107+IF(NOT(ISBLANK(OFFSET(CF107,0,6))),N(OFFSET(CF107,0,6)),N(OFFSET(CF107,0,7)))-CE107</f>
        <v/>
      </c>
      <c r="DY107" s="49" t="n"/>
      <c r="EB107" s="271" t="n"/>
      <c r="EC107" s="271" t="n"/>
      <c r="ED107" s="271" t="n"/>
      <c r="FH107" s="268" t="n"/>
      <c r="FK107" s="268" t="n"/>
      <c r="FQ107" s="268" t="n"/>
      <c r="FV107" s="51" t="n"/>
      <c r="FZ107" s="268" t="n"/>
      <c r="GD107" s="268" t="n"/>
      <c r="GL107" s="51" t="n"/>
    </row>
    <row r="108" hidden="1" ht="19.5" customHeight="1">
      <c r="A108" s="238" t="inlineStr">
        <is>
          <t>CAIXA M</t>
        </is>
      </c>
      <c r="B108" s="36" t="n">
        <v>100</v>
      </c>
      <c r="C108" s="668" t="n">
        <v>792.2</v>
      </c>
      <c r="D108" s="36" t="n"/>
      <c r="AY108" s="38" t="n"/>
      <c r="AZ108" s="38" t="n"/>
      <c r="BA108" s="38" t="n">
        <v>278</v>
      </c>
      <c r="BB108" s="38" t="n">
        <v>253</v>
      </c>
      <c r="BC108" s="38" t="n">
        <v>235</v>
      </c>
      <c r="BD108" s="38" t="n">
        <v>154</v>
      </c>
      <c r="BE108" s="38" t="n">
        <v>25</v>
      </c>
      <c r="BF108" s="38" t="n">
        <v>20</v>
      </c>
      <c r="BG108" s="38" t="n">
        <v>20</v>
      </c>
      <c r="BH108" s="38" t="n">
        <v>20</v>
      </c>
      <c r="BI108" s="261" t="n">
        <v>0</v>
      </c>
      <c r="BJ108" s="38" t="n">
        <v>0</v>
      </c>
      <c r="BK108" s="38" t="n"/>
      <c r="BL108" s="38" t="n"/>
      <c r="BM108" s="38" t="n"/>
      <c r="BN108" s="38" t="n"/>
      <c r="BO108" s="38" t="n"/>
      <c r="BP108" s="38" t="n"/>
      <c r="BQ108" s="38" t="n"/>
      <c r="BR108" s="38" t="n"/>
      <c r="BS108" s="38" t="n"/>
      <c r="BT108" s="38" t="n"/>
      <c r="BU108" s="38" t="n"/>
      <c r="BV108" s="38" t="n"/>
      <c r="BW108" s="38" t="n"/>
      <c r="BX108" s="38" t="n"/>
      <c r="BY108" s="38" t="n"/>
      <c r="BZ108" s="38" t="n"/>
      <c r="CA108" s="38" t="n"/>
      <c r="CB108" s="38" t="n"/>
      <c r="CC108" s="9" t="n"/>
      <c r="CD108" s="9" t="n"/>
      <c r="CE108" s="9" t="n"/>
      <c r="CF108" s="246">
        <f>CD108+IF(NOT(ISBLANK(OFFSET(CF108,0,6))),N(OFFSET(CF108,0,6)),N(OFFSET(CF108,0,7)))-CE108</f>
        <v/>
      </c>
      <c r="DY108" s="49" t="n"/>
      <c r="EB108" s="271" t="n"/>
      <c r="EC108" s="271" t="n"/>
      <c r="ED108" s="271" t="n"/>
      <c r="FH108" s="268" t="n"/>
      <c r="FK108" s="268" t="n"/>
      <c r="FQ108" s="268" t="n"/>
      <c r="FV108" s="51" t="n"/>
      <c r="FZ108" s="268" t="n"/>
      <c r="GD108" s="268" t="n"/>
      <c r="GL108" s="51" t="n"/>
    </row>
    <row r="109" hidden="1" ht="19.5" customHeight="1">
      <c r="A109" s="238" t="inlineStr">
        <is>
          <t>CARTUCHO P</t>
        </is>
      </c>
      <c r="B109" s="36" t="n">
        <v>200</v>
      </c>
      <c r="C109" s="668" t="n">
        <v>487.2</v>
      </c>
      <c r="D109" s="36" t="n"/>
      <c r="AY109" s="38" t="n"/>
      <c r="AZ109" s="38" t="n"/>
      <c r="BA109" s="38" t="n">
        <v>159</v>
      </c>
      <c r="BB109" s="38" t="n">
        <v>132</v>
      </c>
      <c r="BC109" s="38" t="n">
        <v>79</v>
      </c>
      <c r="BD109" s="38" t="n">
        <v>6</v>
      </c>
      <c r="BE109" s="38" t="n">
        <v>0</v>
      </c>
      <c r="BF109" s="38" t="n">
        <v>0</v>
      </c>
      <c r="BG109" s="38" t="n">
        <v>0</v>
      </c>
      <c r="BH109" s="38" t="n">
        <v>0</v>
      </c>
      <c r="BI109" s="38" t="n">
        <v>0</v>
      </c>
      <c r="BJ109" s="38" t="n">
        <v>0</v>
      </c>
      <c r="BK109" s="38" t="n"/>
      <c r="BL109" s="38" t="n"/>
      <c r="BM109" s="38" t="n"/>
      <c r="BN109" s="38" t="n"/>
      <c r="BO109" s="38" t="n"/>
      <c r="BP109" s="38" t="n"/>
      <c r="BQ109" s="38" t="n"/>
      <c r="BR109" s="38" t="n"/>
      <c r="BS109" s="38" t="n"/>
      <c r="BT109" s="38" t="n"/>
      <c r="BU109" s="38" t="n"/>
      <c r="BV109" s="38" t="n"/>
      <c r="BW109" s="38" t="n"/>
      <c r="BX109" s="38" t="n"/>
      <c r="BY109" s="38" t="n"/>
      <c r="BZ109" s="38" t="n"/>
      <c r="CA109" s="38" t="n"/>
      <c r="CB109" s="38" t="n"/>
      <c r="CC109" s="9" t="n"/>
      <c r="CD109" s="9" t="n"/>
      <c r="CE109" s="9" t="n"/>
      <c r="CF109" s="246">
        <f>CD109+IF(NOT(ISBLANK(OFFSET(CF109,0,6))),N(OFFSET(CF109,0,6)),N(OFFSET(CF109,0,7)))-CE109</f>
        <v/>
      </c>
      <c r="DY109" s="49" t="n"/>
      <c r="EB109" s="271" t="n"/>
      <c r="EC109" s="271" t="n"/>
      <c r="ED109" s="271" t="n"/>
      <c r="FH109" s="268" t="n"/>
      <c r="FK109" s="268" t="n"/>
      <c r="FQ109" s="268" t="n"/>
      <c r="FV109" s="51" t="n"/>
      <c r="FZ109" s="268" t="n"/>
      <c r="GD109" s="268" t="n"/>
      <c r="GL109" s="51" t="n"/>
    </row>
    <row r="110" hidden="1" ht="19.5" customHeight="1">
      <c r="A110" s="238" t="inlineStr">
        <is>
          <t>CARTUCHO M</t>
        </is>
      </c>
      <c r="B110" s="36" t="n">
        <v>150</v>
      </c>
      <c r="C110" s="668" t="n">
        <v>460.35</v>
      </c>
      <c r="D110" s="36" t="n"/>
      <c r="AY110" s="38" t="n"/>
      <c r="AZ110" s="38" t="n"/>
      <c r="BA110" s="38" t="n">
        <v>235</v>
      </c>
      <c r="BB110" s="38" t="n">
        <v>216</v>
      </c>
      <c r="BC110" s="38" t="n">
        <v>185</v>
      </c>
      <c r="BD110" s="38" t="n">
        <v>121</v>
      </c>
      <c r="BE110" s="38" t="n">
        <v>0</v>
      </c>
      <c r="BF110" s="38" t="n">
        <v>0</v>
      </c>
      <c r="BG110" s="38" t="n">
        <v>0</v>
      </c>
      <c r="BH110" s="38" t="n">
        <v>0</v>
      </c>
      <c r="BI110" s="38" t="n">
        <v>0</v>
      </c>
      <c r="BJ110" s="38" t="n">
        <v>0</v>
      </c>
      <c r="BK110" s="38" t="n"/>
      <c r="BL110" s="38" t="n"/>
      <c r="BM110" s="38" t="n"/>
      <c r="BN110" s="38" t="n"/>
      <c r="BO110" s="38" t="n"/>
      <c r="BP110" s="38" t="n"/>
      <c r="BQ110" s="38" t="n"/>
      <c r="BR110" s="38" t="n"/>
      <c r="BS110" s="38" t="n"/>
      <c r="BT110" s="38" t="n"/>
      <c r="BU110" s="38" t="n"/>
      <c r="BV110" s="38" t="n"/>
      <c r="BW110" s="38" t="n"/>
      <c r="BX110" s="38" t="n"/>
      <c r="BY110" s="38" t="n"/>
      <c r="BZ110" s="38" t="n"/>
      <c r="CA110" s="38" t="n"/>
      <c r="CB110" s="38" t="n"/>
      <c r="CC110" s="9" t="n"/>
      <c r="CD110" s="9" t="n"/>
      <c r="CE110" s="9" t="n"/>
      <c r="CF110" s="246">
        <f>CD110+IF(NOT(ISBLANK(OFFSET(CF110,0,6))),N(OFFSET(CF110,0,6)),N(OFFSET(CF110,0,7)))-CE110</f>
        <v/>
      </c>
      <c r="DY110" s="49" t="n"/>
      <c r="EB110" s="271" t="n"/>
      <c r="EC110" s="271" t="n"/>
      <c r="ED110" s="271" t="n"/>
      <c r="FH110" s="268" t="n"/>
      <c r="FK110" s="268" t="n"/>
      <c r="FQ110" s="268" t="n"/>
      <c r="FV110" s="51" t="n"/>
      <c r="FZ110" s="268" t="n"/>
      <c r="GD110" s="268" t="n"/>
      <c r="GL110" s="51" t="n"/>
    </row>
    <row r="111" ht="19.5" customHeight="1">
      <c r="DY111" s="49" t="n"/>
      <c r="EB111" s="119" t="n"/>
      <c r="FH111" s="268" t="n"/>
      <c r="FK111" s="268" t="n"/>
      <c r="FQ111" s="268" t="n"/>
      <c r="FV111" s="51" t="n"/>
      <c r="FZ111" s="268" t="n"/>
      <c r="GD111" s="268" t="n"/>
      <c r="GL111" s="51" t="n"/>
    </row>
    <row r="112" ht="19.5" customHeight="1">
      <c r="A112" s="408" t="inlineStr">
        <is>
          <t>EUDORA MÃES/26</t>
        </is>
      </c>
      <c r="B112" s="409" t="inlineStr">
        <is>
          <t>PC</t>
        </is>
      </c>
      <c r="C112" s="409" t="inlineStr">
        <is>
          <t>R$</t>
        </is>
      </c>
      <c r="D112" s="409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50" t="n">
        <v>46160</v>
      </c>
      <c r="CC112" s="651" t="n">
        <v>46161.48004043981</v>
      </c>
      <c r="CD112" s="651" t="n">
        <v>46161.48071866898</v>
      </c>
      <c r="CE112" s="651" t="n">
        <v>46161.48287733003</v>
      </c>
      <c r="CF112" s="660" t="inlineStr">
        <is>
          <t>USOU</t>
        </is>
      </c>
      <c r="DY112" s="49" t="n"/>
      <c r="EB112" s="119" t="n"/>
      <c r="FH112" s="268" t="n"/>
      <c r="FK112" s="268" t="n"/>
      <c r="FQ112" s="268" t="n"/>
      <c r="FV112" s="51" t="n"/>
      <c r="FZ112" s="268" t="n"/>
      <c r="GD112" s="268" t="n"/>
      <c r="GL112" s="51" t="n"/>
    </row>
    <row r="113" ht="19.5" customHeight="1">
      <c r="A113" s="33" t="inlineStr">
        <is>
          <t xml:space="preserve">SACOLA M </t>
        </is>
      </c>
      <c r="B113" s="9" t="n">
        <v>150</v>
      </c>
      <c r="C113" s="662" t="n"/>
      <c r="D113" s="329" t="n"/>
      <c r="BM113" s="38" t="n">
        <v>0</v>
      </c>
      <c r="BN113" s="38" t="n">
        <v>0</v>
      </c>
      <c r="BO113" s="38" t="n">
        <v>0</v>
      </c>
      <c r="BP113" s="38">
        <f>CQ10</f>
        <v/>
      </c>
      <c r="BQ113" s="38" t="n">
        <v>600</v>
      </c>
      <c r="BR113" s="38" t="n">
        <v>600</v>
      </c>
      <c r="BS113" s="38" t="n">
        <v>600</v>
      </c>
      <c r="BT113" s="38" t="n">
        <v>600</v>
      </c>
      <c r="BU113" s="38" t="n">
        <v>600</v>
      </c>
      <c r="BV113" s="38" t="n">
        <v>600</v>
      </c>
      <c r="BW113" s="38" t="n">
        <v>600</v>
      </c>
      <c r="BX113" s="38" t="n">
        <v>450</v>
      </c>
      <c r="BY113" s="38" t="n">
        <v>450</v>
      </c>
      <c r="BZ113" s="38" t="n"/>
      <c r="CA113" s="38" t="n"/>
      <c r="CB113" s="38" t="n"/>
      <c r="CC113" s="9" t="n"/>
      <c r="CD113" s="9" t="n"/>
      <c r="CE113" s="9" t="n"/>
      <c r="CF113" s="246">
        <f>CD113+IF(NOT(ISBLANK(OFFSET(CF113,0,6))),N(OFFSET(CF113,0,6)),N(OFFSET(CF113,0,7)))-CE113</f>
        <v/>
      </c>
      <c r="DY113" s="49" t="n"/>
      <c r="EB113" s="119" t="n"/>
      <c r="FH113" s="268" t="n"/>
      <c r="FK113" s="268" t="n"/>
      <c r="FQ113" s="268" t="n"/>
      <c r="FV113" s="51" t="n"/>
      <c r="FZ113" s="268" t="n"/>
      <c r="GD113" s="268" t="n"/>
      <c r="GL113" s="51" t="n"/>
    </row>
    <row r="114" ht="19.5" customHeight="1">
      <c r="A114" s="33" t="inlineStr">
        <is>
          <t>ADESIVO</t>
        </is>
      </c>
      <c r="B114" s="9" t="n">
        <v>1000</v>
      </c>
      <c r="C114" s="662" t="n"/>
      <c r="D114" s="329" t="n"/>
      <c r="BM114" s="38" t="n">
        <v>0</v>
      </c>
      <c r="BN114" s="38" t="n">
        <v>0</v>
      </c>
      <c r="BO114" s="38" t="n">
        <v>0</v>
      </c>
      <c r="BP114" s="38">
        <f>CQ17</f>
        <v/>
      </c>
      <c r="BQ114" s="38" t="n">
        <v>2</v>
      </c>
      <c r="BR114" s="38" t="n">
        <v>2</v>
      </c>
      <c r="BS114" s="38" t="n">
        <v>2</v>
      </c>
      <c r="BT114" s="38" t="n">
        <v>0</v>
      </c>
      <c r="BU114" s="38" t="n">
        <v>0</v>
      </c>
      <c r="BV114" s="38" t="n">
        <v>0</v>
      </c>
      <c r="BW114" s="38" t="n">
        <v>0</v>
      </c>
      <c r="BX114" s="38" t="n">
        <v>0</v>
      </c>
      <c r="BY114" s="38" t="n">
        <v>0</v>
      </c>
      <c r="BZ114" s="38" t="n"/>
      <c r="CA114" s="38" t="n"/>
      <c r="CB114" s="38" t="n"/>
      <c r="CC114" s="9" t="n"/>
      <c r="CD114" s="9" t="n"/>
      <c r="CE114" s="9" t="n"/>
      <c r="CF114" s="246">
        <f>CD114+IF(NOT(ISBLANK(OFFSET(CF114,0,6))),N(OFFSET(CF114,0,6)),N(OFFSET(CF114,0,7)))-CE114</f>
        <v/>
      </c>
      <c r="DY114" s="49" t="n"/>
      <c r="EB114" s="119" t="n"/>
      <c r="FH114" s="268" t="n"/>
      <c r="FK114" s="268" t="n"/>
      <c r="FQ114" s="268" t="n"/>
      <c r="FV114" s="51" t="n"/>
      <c r="FZ114" s="268" t="n"/>
      <c r="GD114" s="268" t="n"/>
      <c r="GL114" s="51" t="n"/>
    </row>
    <row r="115" ht="19.5" customHeight="1">
      <c r="A115" s="33" t="inlineStr">
        <is>
          <t>PAPEL DE SEDA</t>
        </is>
      </c>
      <c r="B115" s="9" t="n">
        <v>200</v>
      </c>
      <c r="C115" s="662" t="n"/>
      <c r="D115" s="329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 t="n">
        <v>0</v>
      </c>
      <c r="BS115" s="38" t="n">
        <v>0</v>
      </c>
      <c r="BT115" s="38" t="n">
        <v>0</v>
      </c>
      <c r="BU115" s="38" t="n">
        <v>0</v>
      </c>
      <c r="BV115" s="38" t="n">
        <v>0</v>
      </c>
      <c r="BW115" s="38" t="n">
        <v>0</v>
      </c>
      <c r="BX115" s="38" t="n">
        <v>0</v>
      </c>
      <c r="BY115" s="38" t="n">
        <v>0</v>
      </c>
      <c r="BZ115" s="38" t="n"/>
      <c r="CA115" s="38" t="n"/>
      <c r="CB115" s="38" t="n"/>
      <c r="CC115" s="9" t="n"/>
      <c r="CD115" s="9" t="n"/>
      <c r="CE115" s="9" t="n"/>
      <c r="CF115" s="246">
        <f>CD115+IF(NOT(ISBLANK(OFFSET(CF115,0,6))),N(OFFSET(CF115,0,6)),N(OFFSET(CF115,0,7)))-CE115</f>
        <v/>
      </c>
      <c r="DY115" s="49" t="n"/>
      <c r="EB115" s="119" t="n"/>
      <c r="FH115" s="268" t="n"/>
      <c r="FK115" s="268" t="n"/>
      <c r="FQ115" s="268" t="n"/>
      <c r="FV115" s="51" t="n"/>
      <c r="FZ115" s="268" t="n"/>
      <c r="GD115" s="268" t="n"/>
      <c r="GL115" s="51" t="n"/>
    </row>
    <row r="116" ht="19.5" customHeight="1">
      <c r="A116" s="33" t="inlineStr">
        <is>
          <t>SACOLA M VENDA</t>
        </is>
      </c>
      <c r="B116" s="9" t="n">
        <v>150</v>
      </c>
      <c r="C116" s="662" t="n"/>
      <c r="D116" s="329" t="n"/>
      <c r="BM116" s="38" t="n">
        <v>0</v>
      </c>
      <c r="BN116" s="38" t="n">
        <v>0</v>
      </c>
      <c r="BO116" s="38" t="n">
        <v>0</v>
      </c>
      <c r="BP116" s="38">
        <f>CQ29</f>
        <v/>
      </c>
      <c r="BQ116" s="38" t="n">
        <v>188</v>
      </c>
      <c r="BR116" s="38" t="n">
        <v>35</v>
      </c>
      <c r="BS116" s="38" t="n">
        <v>0</v>
      </c>
      <c r="BT116" s="38" t="n">
        <v>0</v>
      </c>
      <c r="BU116" s="38" t="n">
        <v>0</v>
      </c>
      <c r="BV116" s="38" t="n">
        <v>0</v>
      </c>
      <c r="BW116" s="38" t="n">
        <v>0</v>
      </c>
      <c r="BX116" s="38" t="n">
        <v>0</v>
      </c>
      <c r="BY116" s="261" t="n">
        <v>-43</v>
      </c>
      <c r="BZ116" s="261" t="n">
        <v>-45</v>
      </c>
      <c r="CA116" s="261" t="n">
        <v>0</v>
      </c>
      <c r="CB116" s="261" t="n">
        <v>0</v>
      </c>
      <c r="CC116" s="190" t="n">
        <v>0</v>
      </c>
      <c r="CD116" s="190" t="n">
        <v>0</v>
      </c>
      <c r="CE116" s="190" t="n">
        <v>0</v>
      </c>
      <c r="CF116" s="246">
        <f>CD116+IF(NOT(ISBLANK(OFFSET(CF116,0,6))),N(OFFSET(CF116,0,6)),N(OFFSET(CF116,0,7)))-CE116</f>
        <v/>
      </c>
      <c r="DY116" s="49" t="n"/>
      <c r="EB116" s="119" t="n"/>
      <c r="FH116" s="268" t="n"/>
      <c r="FK116" s="268" t="n"/>
      <c r="FQ116" s="268" t="n"/>
      <c r="FV116" s="51" t="n"/>
      <c r="FZ116" s="268" t="n"/>
      <c r="GD116" s="268" t="n"/>
      <c r="GL116" s="51" t="n"/>
    </row>
    <row r="117" ht="19.5" customHeight="1">
      <c r="A117" s="33" t="inlineStr">
        <is>
          <t>KIT TAG 10 C/ 20</t>
        </is>
      </c>
      <c r="B117" s="9" t="n">
        <v>200</v>
      </c>
      <c r="C117" s="662" t="n"/>
      <c r="D117" s="329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0</v>
      </c>
      <c r="BV117" s="38" t="n">
        <v>0</v>
      </c>
      <c r="BW117" s="38" t="n">
        <v>0</v>
      </c>
      <c r="BX117" s="38" t="n">
        <v>0</v>
      </c>
      <c r="BY117" s="38" t="n">
        <v>0</v>
      </c>
      <c r="BZ117" s="38" t="n">
        <v>0</v>
      </c>
      <c r="CA117" s="38" t="n">
        <v>0</v>
      </c>
      <c r="CB117" s="38" t="n">
        <v>0</v>
      </c>
      <c r="CC117" s="9" t="n">
        <v>0</v>
      </c>
      <c r="CD117" s="9" t="n">
        <v>0</v>
      </c>
      <c r="CE117" s="9" t="n">
        <v>0</v>
      </c>
      <c r="CF117" s="246">
        <f>CD117+IF(NOT(ISBLANK(OFFSET(CF117,0,6))),N(OFFSET(CF117,0,6)),N(OFFSET(CF117,0,7)))-CE117</f>
        <v/>
      </c>
      <c r="DY117" s="49" t="n"/>
      <c r="EB117" s="119" t="n"/>
      <c r="FH117" s="268" t="n"/>
      <c r="FK117" s="268" t="n"/>
      <c r="FQ117" s="268" t="n"/>
      <c r="FV117" s="51" t="n"/>
      <c r="FZ117" s="268" t="n"/>
      <c r="GD117" s="268" t="n"/>
      <c r="GL117" s="51" t="n"/>
    </row>
    <row r="118" ht="19.5" customHeight="1">
      <c r="A118" s="238" t="inlineStr">
        <is>
          <t>CAIXA M</t>
        </is>
      </c>
      <c r="B118" s="36" t="n">
        <v>100</v>
      </c>
      <c r="C118" s="668" t="n"/>
      <c r="D118" s="36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0</v>
      </c>
      <c r="BR118" s="38" t="n">
        <v>0</v>
      </c>
      <c r="BS118" s="38" t="n">
        <v>0</v>
      </c>
      <c r="BT118" s="38" t="n">
        <v>0</v>
      </c>
      <c r="BU118" s="38" t="n">
        <v>0</v>
      </c>
      <c r="BV118" s="38" t="n">
        <v>0</v>
      </c>
      <c r="BW118" s="38" t="n">
        <v>0</v>
      </c>
      <c r="BX118" s="38" t="n">
        <v>0</v>
      </c>
      <c r="BY118" s="261" t="n">
        <v>30</v>
      </c>
      <c r="BZ118" s="261" t="n">
        <v>29</v>
      </c>
      <c r="CA118" s="261" t="n">
        <v>29</v>
      </c>
      <c r="CB118" s="261" t="n">
        <v>29</v>
      </c>
      <c r="CC118" s="190" t="n">
        <v>29</v>
      </c>
      <c r="CD118" s="190" t="n">
        <v>29</v>
      </c>
      <c r="CE118" s="190" t="n">
        <v>29</v>
      </c>
      <c r="CF118" s="246">
        <f>CD118+IF(NOT(ISBLANK(OFFSET(CF118,0,6))),N(OFFSET(CF118,0,6)),N(OFFSET(CF118,0,7)))-CE118</f>
        <v/>
      </c>
      <c r="DY118" s="49" t="n"/>
      <c r="EB118" s="119" t="n"/>
      <c r="FH118" s="268" t="n"/>
      <c r="FK118" s="268" t="n"/>
      <c r="FQ118" s="268" t="n"/>
      <c r="FV118" s="51" t="n"/>
      <c r="FZ118" s="268" t="n"/>
      <c r="GD118" s="268" t="n"/>
      <c r="GL118" s="51" t="n"/>
    </row>
    <row r="119" ht="19.5" customHeight="1">
      <c r="A119" s="238" t="inlineStr">
        <is>
          <t>CARTUCHO P</t>
        </is>
      </c>
      <c r="B119" s="36" t="n">
        <v>200</v>
      </c>
      <c r="C119" s="668" t="n"/>
      <c r="D119" s="36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 t="n">
        <v>0</v>
      </c>
      <c r="BS119" s="38" t="n">
        <v>0</v>
      </c>
      <c r="BT119" s="38" t="n">
        <v>0</v>
      </c>
      <c r="BU119" s="38" t="n">
        <v>0</v>
      </c>
      <c r="BV119" s="38" t="n">
        <v>0</v>
      </c>
      <c r="BW119" s="38" t="n">
        <v>0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38" t="n">
        <v>0</v>
      </c>
      <c r="CC119" s="9" t="n">
        <v>0</v>
      </c>
      <c r="CD119" s="9" t="n">
        <v>0</v>
      </c>
      <c r="CE119" s="9" t="n">
        <v>0</v>
      </c>
      <c r="CF119" s="246">
        <f>CD119+IF(NOT(ISBLANK(OFFSET(CF119,0,6))),N(OFFSET(CF119,0,6)),N(OFFSET(CF119,0,7)))-CE119</f>
        <v/>
      </c>
      <c r="DY119" s="49" t="n"/>
      <c r="EB119" s="119" t="n"/>
      <c r="FH119" s="268" t="n"/>
      <c r="FK119" s="268" t="n"/>
      <c r="FQ119" s="268" t="n"/>
      <c r="FV119" s="51" t="n"/>
      <c r="FZ119" s="268" t="n"/>
      <c r="GD119" s="268" t="n"/>
      <c r="GL119" s="51" t="n"/>
    </row>
    <row r="120" ht="19.5" customHeight="1">
      <c r="BM120" s="6" t="n"/>
      <c r="BN120" s="6" t="n"/>
      <c r="BO120" s="6" t="n"/>
      <c r="BP120" s="6" t="n"/>
      <c r="BQ120" s="6" t="n"/>
      <c r="BR120" s="6" t="n"/>
      <c r="BS120" s="6" t="n"/>
      <c r="BT120" s="6" t="n"/>
      <c r="BU120" s="6" t="n"/>
      <c r="BV120" s="6" t="n"/>
      <c r="BW120" s="6" t="n"/>
      <c r="BX120" s="6" t="n"/>
      <c r="BY120" s="6" t="n"/>
      <c r="BZ120" s="6" t="n"/>
      <c r="CA120" s="6" t="n"/>
      <c r="CB120" s="6" t="n"/>
      <c r="CC120" s="6" t="n"/>
      <c r="CD120" s="6" t="n"/>
      <c r="CE120" s="6" t="n"/>
      <c r="CF120" s="6" t="n"/>
      <c r="DY120" s="49" t="n"/>
      <c r="EB120" s="119" t="n"/>
      <c r="FH120" s="268" t="n"/>
      <c r="FK120" s="268" t="n"/>
      <c r="FQ120" s="268" t="n"/>
      <c r="FV120" s="51" t="n"/>
      <c r="FZ120" s="268" t="n"/>
      <c r="GD120" s="268" t="n"/>
      <c r="GL120" s="51" t="n"/>
    </row>
    <row r="121" ht="19.5" customHeight="1">
      <c r="A121" s="410" t="inlineStr">
        <is>
          <t>BOTICÁRIO MÃES/26</t>
        </is>
      </c>
      <c r="B121" s="357" t="inlineStr">
        <is>
          <t>PC</t>
        </is>
      </c>
      <c r="C121" s="357" t="inlineStr">
        <is>
          <t>R$</t>
        </is>
      </c>
      <c r="D121" s="357" t="n"/>
      <c r="BM121" s="650" t="n">
        <v>46069</v>
      </c>
      <c r="BN121" s="650" t="n">
        <v>46076</v>
      </c>
      <c r="BO121" s="650" t="n">
        <v>46083</v>
      </c>
      <c r="BP121" s="650" t="n">
        <v>46090</v>
      </c>
      <c r="BQ121" s="650" t="n">
        <v>46097</v>
      </c>
      <c r="BR121" s="650" t="n">
        <v>46104</v>
      </c>
      <c r="BS121" s="650" t="n">
        <v>46111</v>
      </c>
      <c r="BT121" s="650" t="n">
        <v>46118</v>
      </c>
      <c r="BU121" s="650" t="n">
        <v>46125</v>
      </c>
      <c r="BV121" s="650" t="n">
        <v>46132</v>
      </c>
      <c r="BW121" s="650" t="n">
        <v>46139</v>
      </c>
      <c r="BX121" s="650" t="n">
        <v>46146</v>
      </c>
      <c r="BY121" s="650" t="n">
        <v>46154</v>
      </c>
      <c r="BZ121" s="650" t="n">
        <v>46160</v>
      </c>
      <c r="CA121" s="650" t="n">
        <v>46160</v>
      </c>
      <c r="CB121" s="650" t="n">
        <v>46160</v>
      </c>
      <c r="CC121" s="651" t="n">
        <v>46161.48004043981</v>
      </c>
      <c r="CD121" s="651" t="n">
        <v>46161.48071866898</v>
      </c>
      <c r="CE121" s="651" t="n">
        <v>46161.4828773302</v>
      </c>
      <c r="CF121" s="660" t="inlineStr">
        <is>
          <t>USOU</t>
        </is>
      </c>
      <c r="CH121" s="413" t="inlineStr">
        <is>
          <t>TRANSFERÊNCIA</t>
        </is>
      </c>
      <c r="DY121" s="49" t="n"/>
      <c r="EB121" s="119" t="n"/>
      <c r="FH121" s="268" t="n"/>
      <c r="FK121" s="268" t="n"/>
      <c r="FQ121" s="268" t="n"/>
      <c r="FV121" s="51" t="n"/>
      <c r="FZ121" s="268" t="n"/>
      <c r="GD121" s="268" t="n"/>
      <c r="GL121" s="51" t="n"/>
    </row>
    <row r="122" ht="19.5" customHeight="1">
      <c r="A122" s="33" t="inlineStr">
        <is>
          <t>SACOLA P</t>
        </is>
      </c>
      <c r="B122" s="9" t="n">
        <v>200</v>
      </c>
      <c r="C122" s="662" t="n"/>
      <c r="D122" s="329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>
        <f>CN9</f>
        <v/>
      </c>
      <c r="BS122" s="38" t="n">
        <v>600</v>
      </c>
      <c r="BT122" s="38" t="n">
        <v>6000</v>
      </c>
      <c r="BU122" s="38" t="n">
        <v>6000</v>
      </c>
      <c r="BV122" s="38" t="n">
        <v>6000</v>
      </c>
      <c r="BW122" s="38" t="n">
        <v>6000</v>
      </c>
      <c r="BX122" s="38" t="n">
        <v>6000</v>
      </c>
      <c r="BY122" s="38" t="n">
        <v>3400</v>
      </c>
      <c r="BZ122" s="38" t="n"/>
      <c r="CA122" s="38" t="n"/>
      <c r="CB122" s="38" t="n"/>
      <c r="CC122" s="9" t="n"/>
      <c r="CD122" s="9" t="n"/>
      <c r="CE122" s="9" t="n"/>
      <c r="CF122" s="246">
        <f>CD122+IF(NOT(ISBLANK(OFFSET(CF122,0,6))),N(OFFSET(CF122,0,6)),N(OFFSET(CF122,0,7)))-CE122</f>
        <v/>
      </c>
      <c r="CH122" s="127" t="inlineStr">
        <is>
          <t>1000 P/ CDP</t>
        </is>
      </c>
      <c r="DY122" s="49" t="n"/>
      <c r="EB122" s="119" t="n"/>
      <c r="FH122" s="268" t="n"/>
      <c r="FK122" s="268" t="n"/>
      <c r="FQ122" s="268" t="n"/>
      <c r="FV122" s="51" t="n"/>
      <c r="FZ122" s="268" t="n"/>
      <c r="GD122" s="268" t="n"/>
      <c r="GL122" s="51" t="n"/>
    </row>
    <row r="123" ht="19.5" customHeight="1">
      <c r="A123" s="33" t="inlineStr">
        <is>
          <t>SACOLA M</t>
        </is>
      </c>
      <c r="B123" s="9" t="n">
        <v>200</v>
      </c>
      <c r="C123" s="662" t="n"/>
      <c r="D123" s="329" t="n"/>
      <c r="BM123" s="38" t="n">
        <v>0</v>
      </c>
      <c r="BN123" s="38" t="n">
        <v>0</v>
      </c>
      <c r="BO123" s="38" t="n">
        <v>0</v>
      </c>
      <c r="BP123" s="38" t="n">
        <v>0</v>
      </c>
      <c r="BQ123" s="38" t="n">
        <v>0</v>
      </c>
      <c r="BR123" s="38">
        <f>CN10</f>
        <v/>
      </c>
      <c r="BS123" s="38" t="n">
        <v>2000</v>
      </c>
      <c r="BT123" s="38" t="n">
        <v>2000</v>
      </c>
      <c r="BU123" s="38" t="n">
        <v>2000</v>
      </c>
      <c r="BV123" s="38" t="n">
        <v>2000</v>
      </c>
      <c r="BW123" s="38" t="n">
        <v>1800</v>
      </c>
      <c r="BX123" s="38" t="n">
        <v>1800</v>
      </c>
      <c r="BY123" s="38" t="n">
        <v>200</v>
      </c>
      <c r="BZ123" s="38" t="n"/>
      <c r="CA123" s="38" t="n"/>
      <c r="CB123" s="38" t="n"/>
      <c r="CC123" s="9" t="n"/>
      <c r="CD123" s="9" t="n"/>
      <c r="CE123" s="9" t="n"/>
      <c r="CF123" s="246">
        <f>CD123+IF(NOT(ISBLANK(OFFSET(CF123,0,6))),N(OFFSET(CF123,0,6)),N(OFFSET(CF123,0,7)))-CE123</f>
        <v/>
      </c>
      <c r="CH123" s="127" t="n"/>
      <c r="DY123" s="49" t="n"/>
      <c r="EB123" s="119" t="n"/>
      <c r="FH123" s="268" t="n"/>
      <c r="FK123" s="268" t="n"/>
      <c r="FQ123" s="268" t="n"/>
      <c r="FV123" s="51" t="n"/>
      <c r="FZ123" s="268" t="n"/>
      <c r="GD123" s="268" t="n"/>
      <c r="GL123" s="51" t="n"/>
    </row>
    <row r="124" ht="19.5" customHeight="1">
      <c r="A124" s="33" t="inlineStr">
        <is>
          <t>SACOLA G</t>
        </is>
      </c>
      <c r="B124" s="9" t="n">
        <v>100</v>
      </c>
      <c r="C124" s="662" t="n"/>
      <c r="D124" s="329" t="n"/>
      <c r="BM124" s="38" t="n">
        <v>0</v>
      </c>
      <c r="BN124" s="38" t="n">
        <v>0</v>
      </c>
      <c r="BO124" s="38" t="n">
        <v>0</v>
      </c>
      <c r="BP124" s="38" t="n">
        <v>0</v>
      </c>
      <c r="BQ124" s="38" t="n">
        <v>0</v>
      </c>
      <c r="BR124" s="38">
        <f>CN11</f>
        <v/>
      </c>
      <c r="BS124" s="38" t="n">
        <v>800</v>
      </c>
      <c r="BT124" s="38" t="n">
        <v>800</v>
      </c>
      <c r="BU124" s="38" t="n">
        <v>800</v>
      </c>
      <c r="BV124" s="38" t="n">
        <v>800</v>
      </c>
      <c r="BW124" s="38" t="n">
        <v>700</v>
      </c>
      <c r="BX124" s="38" t="n">
        <v>600</v>
      </c>
      <c r="BY124" s="38" t="n">
        <v>0</v>
      </c>
      <c r="BZ124" s="38" t="n"/>
      <c r="CA124" s="38" t="n"/>
      <c r="CB124" s="38" t="n"/>
      <c r="CC124" s="9" t="n"/>
      <c r="CD124" s="9" t="n"/>
      <c r="CE124" s="9" t="n"/>
      <c r="CF124" s="246">
        <f>CD124+IF(NOT(ISBLANK(OFFSET(CF124,0,6))),N(OFFSET(CF124,0,6)),N(OFFSET(CF124,0,7)))-CE124</f>
        <v/>
      </c>
      <c r="CH124" s="425" t="inlineStr">
        <is>
          <t>300 P/ ER MG</t>
        </is>
      </c>
      <c r="DY124" s="49" t="n"/>
      <c r="EB124" s="119" t="n"/>
      <c r="FH124" s="268" t="n"/>
      <c r="FK124" s="268" t="n"/>
      <c r="FQ124" s="268" t="n"/>
      <c r="FV124" s="51" t="n"/>
      <c r="FZ124" s="268" t="n"/>
      <c r="GD124" s="268" t="n"/>
      <c r="GL124" s="51" t="n"/>
    </row>
    <row r="125" ht="19.5" customHeight="1">
      <c r="A125" s="33" t="inlineStr">
        <is>
          <t>SACOLA P VENDA</t>
        </is>
      </c>
      <c r="B125" s="9" t="n">
        <v>200</v>
      </c>
      <c r="C125" s="662" t="n"/>
      <c r="D125" s="329" t="n"/>
      <c r="BM125" s="38" t="n">
        <v>0</v>
      </c>
      <c r="BN125" s="38" t="n">
        <v>0</v>
      </c>
      <c r="BO125" s="38" t="n">
        <v>0</v>
      </c>
      <c r="BP125" s="38" t="n">
        <v>0</v>
      </c>
      <c r="BQ125" s="38" t="n">
        <v>0</v>
      </c>
      <c r="BR125" s="38">
        <f>CN28</f>
        <v/>
      </c>
      <c r="BS125" s="38" t="n">
        <v>120</v>
      </c>
      <c r="BT125" s="38" t="n">
        <v>120</v>
      </c>
      <c r="BU125" s="38" t="n">
        <v>120</v>
      </c>
      <c r="BV125" s="38" t="n">
        <v>120</v>
      </c>
      <c r="BW125" s="38" t="n">
        <v>576</v>
      </c>
      <c r="BX125" s="38" t="n">
        <v>542</v>
      </c>
      <c r="BY125" s="38" t="n">
        <v>443</v>
      </c>
      <c r="BZ125" s="38" t="n">
        <v>414</v>
      </c>
      <c r="CA125" s="38" t="n">
        <v>414</v>
      </c>
      <c r="CB125" s="38" t="n">
        <v>414</v>
      </c>
      <c r="CC125" s="9" t="n">
        <v>414</v>
      </c>
      <c r="CD125" s="9" t="n">
        <v>414</v>
      </c>
      <c r="CE125" s="9" t="n">
        <v>414</v>
      </c>
      <c r="CF125" s="246">
        <f>CD125+IF(NOT(ISBLANK(OFFSET(CF125,0,6))),N(OFFSET(CF125,0,6)),N(OFFSET(CF125,0,7)))-CE125</f>
        <v/>
      </c>
      <c r="DY125" s="49" t="n"/>
      <c r="EB125" s="119" t="n"/>
      <c r="FH125" s="268" t="n"/>
      <c r="FK125" s="268" t="n"/>
      <c r="FQ125" s="268" t="n"/>
      <c r="FV125" s="51" t="n"/>
      <c r="FZ125" s="268" t="n"/>
      <c r="GD125" s="268" t="n"/>
      <c r="GL125" s="51" t="n"/>
    </row>
    <row r="126" ht="19.5" customHeight="1">
      <c r="A126" s="33" t="inlineStr">
        <is>
          <t>SACOLA M VENDA</t>
        </is>
      </c>
      <c r="B126" s="9" t="n">
        <v>200</v>
      </c>
      <c r="C126" s="662" t="n"/>
      <c r="D126" s="329" t="n"/>
      <c r="BM126" s="38" t="n">
        <v>0</v>
      </c>
      <c r="BN126" s="38" t="n">
        <v>0</v>
      </c>
      <c r="BO126" s="38" t="n">
        <v>0</v>
      </c>
      <c r="BP126" s="38" t="n">
        <v>0</v>
      </c>
      <c r="BQ126" s="38" t="n">
        <v>0</v>
      </c>
      <c r="BR126" s="38" t="n">
        <v>0</v>
      </c>
      <c r="BS126" s="38" t="n">
        <v>0</v>
      </c>
      <c r="BT126" s="38" t="n">
        <v>0</v>
      </c>
      <c r="BU126" s="38" t="n">
        <v>0</v>
      </c>
      <c r="BV126" s="38" t="n">
        <v>0</v>
      </c>
      <c r="BW126" s="38" t="n">
        <v>382</v>
      </c>
      <c r="BX126" s="38" t="n">
        <v>376</v>
      </c>
      <c r="BY126" s="261" t="n">
        <v>748</v>
      </c>
      <c r="BZ126" s="261" t="n">
        <v>743</v>
      </c>
      <c r="CA126" s="261" t="n">
        <v>743</v>
      </c>
      <c r="CB126" s="261" t="n">
        <v>743</v>
      </c>
      <c r="CC126" s="190" t="n">
        <v>743</v>
      </c>
      <c r="CD126" s="190" t="n">
        <v>743</v>
      </c>
      <c r="CE126" s="190" t="n">
        <v>743</v>
      </c>
      <c r="CF126" s="246">
        <f>CD126+IF(NOT(ISBLANK(OFFSET(CF126,0,6))),N(OFFSET(CF126,0,6)),N(OFFSET(CF126,0,7)))-CE126</f>
        <v/>
      </c>
      <c r="DY126" s="49" t="n"/>
      <c r="EB126" s="119" t="n"/>
      <c r="FH126" s="268" t="n"/>
      <c r="FK126" s="268" t="n"/>
      <c r="FQ126" s="268" t="n"/>
      <c r="FV126" s="51" t="n"/>
      <c r="FZ126" s="268" t="n"/>
      <c r="GD126" s="268" t="n"/>
      <c r="GL126" s="51" t="n"/>
    </row>
    <row r="127" ht="19.5" customHeight="1">
      <c r="A127" s="33" t="inlineStr">
        <is>
          <t>SACOLA G VENDA</t>
        </is>
      </c>
      <c r="B127" s="9" t="n">
        <v>100</v>
      </c>
      <c r="C127" s="662" t="n"/>
      <c r="D127" s="329" t="n"/>
      <c r="BM127" s="38" t="n">
        <v>0</v>
      </c>
      <c r="BN127" s="38" t="n">
        <v>0</v>
      </c>
      <c r="BO127" s="38" t="n">
        <v>0</v>
      </c>
      <c r="BP127" s="38" t="n">
        <v>0</v>
      </c>
      <c r="BQ127" s="38" t="n">
        <v>0</v>
      </c>
      <c r="BR127" s="38" t="n">
        <v>0</v>
      </c>
      <c r="BS127" s="38" t="n">
        <v>0</v>
      </c>
      <c r="BT127" s="38" t="n">
        <v>0</v>
      </c>
      <c r="BU127" s="38" t="n">
        <v>0</v>
      </c>
      <c r="BV127" s="38" t="n">
        <v>0</v>
      </c>
      <c r="BW127" s="38" t="n">
        <v>0</v>
      </c>
      <c r="BX127" s="38" t="n">
        <v>0</v>
      </c>
      <c r="BY127" s="38" t="n">
        <v>0</v>
      </c>
      <c r="BZ127" s="261" t="n">
        <v>64</v>
      </c>
      <c r="CA127" s="261" t="n">
        <v>64</v>
      </c>
      <c r="CB127" s="261" t="n">
        <v>64</v>
      </c>
      <c r="CC127" s="190" t="n">
        <v>64</v>
      </c>
      <c r="CD127" s="190" t="n">
        <v>64</v>
      </c>
      <c r="CE127" s="190" t="n">
        <v>64</v>
      </c>
      <c r="CF127" s="246">
        <f>CD127+IF(NOT(ISBLANK(OFFSET(CF127,0,6))),N(OFFSET(CF127,0,6)),N(OFFSET(CF127,0,7)))-CE127</f>
        <v/>
      </c>
      <c r="DY127" s="49" t="n"/>
      <c r="EB127" s="119" t="n"/>
      <c r="FH127" s="268" t="n"/>
      <c r="FK127" s="268" t="n"/>
      <c r="FQ127" s="268" t="n"/>
      <c r="FV127" s="51" t="n"/>
      <c r="FZ127" s="268" t="n"/>
      <c r="GD127" s="268" t="n"/>
      <c r="GL127" s="51" t="n"/>
    </row>
    <row r="128" ht="19.5" customHeight="1">
      <c r="A128" s="238" t="inlineStr">
        <is>
          <t>KIT PAPEL DE SEDA 10 C/ 20</t>
        </is>
      </c>
      <c r="B128" s="36" t="n">
        <v>200</v>
      </c>
      <c r="C128" s="668" t="n"/>
      <c r="D128" s="36" t="n"/>
      <c r="BM128" s="38" t="n">
        <v>0</v>
      </c>
      <c r="BN128" s="38" t="n">
        <v>0</v>
      </c>
      <c r="BO128" s="38" t="n">
        <v>0</v>
      </c>
      <c r="BP128" s="38" t="n">
        <v>0</v>
      </c>
      <c r="BQ128" s="38" t="n">
        <v>0</v>
      </c>
      <c r="BR128" s="38">
        <f>CN32</f>
        <v/>
      </c>
      <c r="BS128" s="38" t="n">
        <v>4</v>
      </c>
      <c r="BT128" s="38" t="n">
        <v>4</v>
      </c>
      <c r="BU128" s="38" t="n">
        <v>4</v>
      </c>
      <c r="BV128" s="38" t="n">
        <v>4</v>
      </c>
      <c r="BW128" s="38" t="n">
        <v>4</v>
      </c>
      <c r="BX128" s="38" t="n">
        <v>4</v>
      </c>
      <c r="BY128" s="38" t="n">
        <v>4</v>
      </c>
      <c r="BZ128" s="38" t="n">
        <v>4</v>
      </c>
      <c r="CA128" s="38" t="n">
        <v>4</v>
      </c>
      <c r="CB128" s="38" t="n">
        <v>4</v>
      </c>
      <c r="CC128" s="9" t="n">
        <v>4</v>
      </c>
      <c r="CD128" s="9" t="n">
        <v>4</v>
      </c>
      <c r="CE128" s="9" t="n">
        <v>4</v>
      </c>
      <c r="CF128" s="246">
        <f>CD128+IF(NOT(ISBLANK(OFFSET(CF128,0,6))),N(OFFSET(CF128,0,6)),N(OFFSET(CF128,0,7)))-CE128</f>
        <v/>
      </c>
      <c r="DY128" s="49" t="n"/>
      <c r="EB128" s="119" t="n"/>
      <c r="FH128" s="268" t="n"/>
      <c r="FK128" s="268" t="n"/>
      <c r="FQ128" s="268" t="n"/>
      <c r="FV128" s="51" t="n"/>
      <c r="FZ128" s="268" t="n"/>
      <c r="GD128" s="268" t="n"/>
      <c r="GL128" s="51" t="n"/>
    </row>
    <row r="129" ht="19.5" customHeight="1">
      <c r="A129" s="238" t="inlineStr">
        <is>
          <t>CAIXA P</t>
        </is>
      </c>
      <c r="B129" s="36" t="n">
        <v>150</v>
      </c>
      <c r="C129" s="668" t="n"/>
      <c r="D129" s="36" t="n"/>
      <c r="BM129" s="38" t="n">
        <v>0</v>
      </c>
      <c r="BN129" s="38" t="n">
        <v>0</v>
      </c>
      <c r="BO129" s="38" t="n">
        <v>0</v>
      </c>
      <c r="BP129" s="38" t="n">
        <v>0</v>
      </c>
      <c r="BQ129" s="38" t="n">
        <v>0</v>
      </c>
      <c r="BR129" s="38">
        <f>CN37</f>
        <v/>
      </c>
      <c r="BS129" s="38" t="n">
        <v>50</v>
      </c>
      <c r="BT129" s="38" t="n">
        <v>50</v>
      </c>
      <c r="BU129" s="38" t="n">
        <v>50</v>
      </c>
      <c r="BV129" s="38" t="n">
        <v>50</v>
      </c>
      <c r="BW129" s="38" t="n">
        <v>35</v>
      </c>
      <c r="BX129" s="38" t="n">
        <v>29</v>
      </c>
      <c r="BY129" s="38" t="n">
        <v>0</v>
      </c>
      <c r="BZ129" s="38" t="n">
        <v>0</v>
      </c>
      <c r="CA129" s="38" t="n">
        <v>0</v>
      </c>
      <c r="CB129" s="38" t="n">
        <v>0</v>
      </c>
      <c r="CC129" s="9" t="n"/>
      <c r="CD129" s="9" t="n"/>
      <c r="CE129" s="9" t="n"/>
      <c r="CF129" s="246">
        <f>CD129+IF(NOT(ISBLANK(OFFSET(CF129,0,6))),N(OFFSET(CF129,0,6)),N(OFFSET(CF129,0,7)))-CE129</f>
        <v/>
      </c>
      <c r="DY129" s="49" t="n"/>
      <c r="EB129" s="119" t="n"/>
      <c r="FH129" s="268" t="n"/>
      <c r="FK129" s="268" t="n"/>
      <c r="FQ129" s="268" t="n"/>
      <c r="FV129" s="51" t="n"/>
      <c r="FZ129" s="268" t="n"/>
      <c r="GD129" s="268" t="n"/>
      <c r="GL129" s="51" t="n"/>
    </row>
    <row r="130" ht="19.5" customHeight="1">
      <c r="A130" s="238" t="inlineStr">
        <is>
          <t>CAIXA M</t>
        </is>
      </c>
      <c r="B130" s="36" t="n">
        <v>100</v>
      </c>
      <c r="C130" s="668" t="n"/>
      <c r="D130" s="36" t="n"/>
      <c r="BM130" s="38" t="n">
        <v>0</v>
      </c>
      <c r="BN130" s="38" t="n">
        <v>0</v>
      </c>
      <c r="BO130" s="38" t="n">
        <v>0</v>
      </c>
      <c r="BP130" s="38" t="n">
        <v>0</v>
      </c>
      <c r="BQ130" s="38" t="n">
        <v>0</v>
      </c>
      <c r="BR130" s="38">
        <f>CN38</f>
        <v/>
      </c>
      <c r="BS130" s="38" t="n">
        <v>70</v>
      </c>
      <c r="BT130" s="38" t="n">
        <v>70</v>
      </c>
      <c r="BU130" s="38" t="n">
        <v>70</v>
      </c>
      <c r="BV130" s="38" t="n">
        <v>70</v>
      </c>
      <c r="BW130" s="38" t="n">
        <v>41</v>
      </c>
      <c r="BX130" s="38" t="n">
        <v>24</v>
      </c>
      <c r="BY130" s="38" t="n">
        <v>0</v>
      </c>
      <c r="BZ130" s="38" t="n">
        <v>0</v>
      </c>
      <c r="CA130" s="38" t="n">
        <v>0</v>
      </c>
      <c r="CB130" s="38" t="n">
        <v>0</v>
      </c>
      <c r="CC130" s="9" t="n">
        <v>0</v>
      </c>
      <c r="CD130" s="9" t="n">
        <v>0</v>
      </c>
      <c r="CE130" s="9" t="n">
        <v>0</v>
      </c>
      <c r="CF130" s="246">
        <f>CD130+IF(NOT(ISBLANK(OFFSET(CF130,0,6))),N(OFFSET(CF130,0,6)),N(OFFSET(CF130,0,7)))-CE130</f>
        <v/>
      </c>
      <c r="DY130" s="49" t="n"/>
      <c r="EB130" s="119" t="n"/>
      <c r="FH130" s="268" t="n"/>
      <c r="FK130" s="268" t="n"/>
      <c r="FQ130" s="268" t="n"/>
      <c r="FV130" s="51" t="n"/>
      <c r="FZ130" s="268" t="n"/>
      <c r="GD130" s="268" t="n"/>
      <c r="GL130" s="51" t="n"/>
    </row>
    <row r="131" ht="19.5" customHeight="1">
      <c r="A131" s="238" t="inlineStr">
        <is>
          <t>CARTUCHO M</t>
        </is>
      </c>
      <c r="B131" s="36" t="n">
        <v>150</v>
      </c>
      <c r="C131" s="668" t="n"/>
      <c r="D131" s="36" t="n"/>
      <c r="BM131" s="38" t="n">
        <v>0</v>
      </c>
      <c r="BN131" s="38" t="n">
        <v>0</v>
      </c>
      <c r="BO131" s="38" t="n">
        <v>0</v>
      </c>
      <c r="BP131" s="38" t="n">
        <v>0</v>
      </c>
      <c r="BQ131" s="38" t="n">
        <v>0</v>
      </c>
      <c r="BR131" s="38" t="n">
        <v>0</v>
      </c>
      <c r="BS131" s="38" t="n">
        <v>0</v>
      </c>
      <c r="BT131" s="38" t="n">
        <v>0</v>
      </c>
      <c r="BU131" s="38" t="n">
        <v>0</v>
      </c>
      <c r="BV131" s="38" t="n">
        <v>0</v>
      </c>
      <c r="BW131" s="38" t="n">
        <v>0</v>
      </c>
      <c r="BX131" s="38" t="n">
        <v>0</v>
      </c>
      <c r="BY131" s="38" t="n">
        <v>0</v>
      </c>
      <c r="BZ131" s="38" t="n">
        <v>0</v>
      </c>
      <c r="CA131" s="38" t="n">
        <v>0</v>
      </c>
      <c r="CB131" s="38" t="n">
        <v>0</v>
      </c>
      <c r="CC131" s="9" t="n">
        <v>0</v>
      </c>
      <c r="CD131" s="9" t="n">
        <v>0</v>
      </c>
      <c r="CE131" s="9" t="n">
        <v>0</v>
      </c>
      <c r="CF131" s="246">
        <f>CD131+IF(NOT(ISBLANK(OFFSET(CF131,0,6))),N(OFFSET(CF131,0,6)),N(OFFSET(CF131,0,7)))-CE131</f>
        <v/>
      </c>
      <c r="DY131" s="49" t="n"/>
      <c r="EB131" s="119" t="n"/>
      <c r="FH131" s="268" t="n"/>
      <c r="FK131" s="268" t="n"/>
      <c r="FQ131" s="268" t="n"/>
      <c r="FV131" s="51" t="n"/>
      <c r="FZ131" s="268" t="n"/>
      <c r="GD131" s="268" t="n"/>
      <c r="GL131" s="51" t="n"/>
    </row>
    <row r="132" ht="19.5" customHeight="1">
      <c r="DY132" s="49" t="n"/>
      <c r="EB132" s="119" t="n"/>
      <c r="FH132" s="268" t="n"/>
      <c r="FK132" s="268" t="n"/>
      <c r="FQ132" s="268" t="n"/>
      <c r="FV132" s="51" t="n"/>
      <c r="FZ132" s="268" t="n"/>
      <c r="GD132" s="268" t="n"/>
      <c r="GL132" s="51" t="n"/>
    </row>
    <row r="133" ht="18.75" customHeight="1">
      <c r="EB133" s="271" t="n"/>
      <c r="EC133" s="271" t="n"/>
      <c r="ED133" s="271" t="n"/>
    </row>
    <row r="134" ht="57.6" customHeight="1">
      <c r="A134" s="489" t="inlineStr">
        <is>
          <t>SOBRAS DATAS COMEMORATIVAS</t>
        </is>
      </c>
      <c r="B134" s="490" t="n"/>
      <c r="C134" s="491" t="n"/>
      <c r="EB134" s="271" t="n"/>
      <c r="EC134" s="271" t="n"/>
      <c r="ED134" s="271" t="n"/>
    </row>
    <row r="135" ht="18.75" customHeight="1">
      <c r="A135" s="146" t="inlineStr">
        <is>
          <t>ITENS</t>
        </is>
      </c>
      <c r="B135" s="146" t="n"/>
      <c r="C135" s="146" t="inlineStr">
        <is>
          <t>TEMOS EM ESTOQUE</t>
        </is>
      </c>
      <c r="CF135" s="222" t="n"/>
      <c r="EB135" s="271" t="n"/>
      <c r="EC135" s="271" t="n"/>
      <c r="ED135" s="271" t="n"/>
    </row>
    <row r="136" ht="18.75" customHeight="1">
      <c r="A136" s="193" t="n"/>
      <c r="B136" s="192" t="n"/>
      <c r="C136" s="171" t="n"/>
      <c r="EB136" s="271" t="n"/>
      <c r="EC136" s="271" t="n"/>
      <c r="ED136" s="271" t="n"/>
    </row>
    <row r="137" ht="18.75" customHeight="1">
      <c r="EB137" s="271" t="n"/>
      <c r="EC137" s="271" t="n"/>
      <c r="ED137" s="271" t="n"/>
    </row>
    <row r="138" ht="18.75" customHeight="1">
      <c r="EB138" s="271" t="n"/>
      <c r="EC138" s="271" t="n"/>
      <c r="ED138" s="271" t="n"/>
    </row>
    <row r="139" ht="18.75" customHeight="1">
      <c r="EB139" s="271" t="n"/>
      <c r="EC139" s="271" t="n"/>
      <c r="ED139" s="271" t="n"/>
    </row>
    <row r="140" ht="18.75" customHeight="1">
      <c r="EB140" s="271" t="n"/>
      <c r="EC140" s="271" t="n"/>
      <c r="ED140" s="271" t="n"/>
    </row>
    <row r="141" ht="18.75" customHeight="1">
      <c r="EB141" s="271" t="n"/>
      <c r="EC141" s="271" t="n"/>
      <c r="ED141" s="271" t="n"/>
    </row>
    <row r="142" ht="18.75" customHeight="1">
      <c r="EB142" s="271" t="n"/>
      <c r="EC142" s="271" t="n"/>
      <c r="ED142" s="271" t="n"/>
    </row>
    <row r="143" ht="18.75" customHeight="1">
      <c r="EB143" s="271" t="n"/>
      <c r="EC143" s="271" t="n"/>
      <c r="ED143" s="271" t="n"/>
    </row>
    <row r="144" ht="18.75" customHeight="1">
      <c r="EB144" s="271" t="n"/>
      <c r="EC144" s="271" t="n"/>
      <c r="ED144" s="271" t="n"/>
    </row>
    <row r="145" ht="18.75" customHeight="1">
      <c r="EB145" s="271" t="n"/>
      <c r="EC145" s="271" t="n"/>
      <c r="ED145" s="271" t="n"/>
    </row>
    <row r="146" ht="18.75" customHeight="1">
      <c r="EB146" s="271" t="n"/>
      <c r="EC146" s="271" t="n"/>
      <c r="ED146" s="271" t="n"/>
    </row>
    <row r="147" ht="18.75" customHeight="1">
      <c r="EB147" s="271" t="n"/>
      <c r="EC147" s="271" t="n"/>
      <c r="ED147" s="271" t="n"/>
    </row>
    <row r="148" ht="18.75" customHeight="1">
      <c r="EB148" s="271" t="n"/>
      <c r="EC148" s="271" t="n"/>
      <c r="ED148" s="271" t="n"/>
    </row>
    <row r="149" ht="18.75" customHeight="1">
      <c r="EB149" s="271" t="n"/>
      <c r="EC149" s="271" t="n"/>
      <c r="ED149" s="271" t="n"/>
    </row>
    <row r="150" ht="18.75" customHeight="1">
      <c r="EB150" s="271" t="n"/>
      <c r="EC150" s="271" t="n"/>
      <c r="ED150" s="271" t="n"/>
    </row>
    <row r="151" ht="18.75" customHeight="1">
      <c r="EB151" s="271" t="n"/>
      <c r="EC151" s="271" t="n"/>
      <c r="ED151" s="271" t="n"/>
    </row>
    <row r="152" ht="18.75" customHeight="1">
      <c r="EB152" s="314" t="n"/>
      <c r="EC152" s="314" t="n"/>
      <c r="ED152" s="314" t="n"/>
    </row>
    <row r="153" ht="18.75" customHeight="1">
      <c r="EB153" s="314" t="n"/>
      <c r="EC153" s="314" t="n"/>
      <c r="ED153" s="314" t="n"/>
    </row>
    <row r="154" ht="18.75" customHeight="1">
      <c r="EB154" s="271" t="n"/>
      <c r="EC154" s="271" t="n"/>
      <c r="ED154" s="271" t="n"/>
    </row>
    <row r="155" ht="18.75" customHeight="1">
      <c r="EB155" s="271" t="n"/>
      <c r="EC155" s="271" t="n"/>
      <c r="ED155" s="271" t="n"/>
    </row>
  </sheetData>
  <mergeCells count="8">
    <mergeCell ref="A5:A6"/>
    <mergeCell ref="B3:D3"/>
    <mergeCell ref="F5:BZ5"/>
    <mergeCell ref="GU59:GV69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6" horizontalDpi="4294967295" verticalDpi="429496729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Planilha30">
    <tabColor theme="9"/>
    <outlinePr summaryBelow="1" summaryRight="1"/>
    <pageSetUpPr fitToPage="1"/>
  </sheetPr>
  <dimension ref="A1:GU155"/>
  <sheetViews>
    <sheetView showGridLines="0" topLeftCell="A112" zoomScale="80" zoomScaleNormal="80" workbookViewId="0">
      <selection activeCell="CE117" sqref="CE117"/>
    </sheetView>
  </sheetViews>
  <sheetFormatPr baseColWidth="8" defaultColWidth="9.140625" defaultRowHeight="18.75" customHeight="1"/>
  <cols>
    <col width="41.140625" customWidth="1" style="52" min="1" max="1"/>
    <col width="10.140625" customWidth="1" style="6" min="2" max="2"/>
    <col width="16.7109375" customWidth="1" style="6" min="3" max="4"/>
    <col width="1.5703125" customWidth="1" style="6" min="5" max="5"/>
    <col hidden="1" width="9.85546875" customWidth="1" style="6" min="6" max="14"/>
    <col hidden="1" width="8.28515625" customWidth="1" style="6" min="15" max="76"/>
    <col width="8.28515625" customWidth="1" style="6" min="77" max="79"/>
    <col width="8.5703125" customWidth="1" style="6" min="80" max="80"/>
    <col width="1.85546875" customWidth="1" style="6" min="81" max="81"/>
    <col width="43.7109375" bestFit="1" customWidth="1" style="51" min="82" max="82"/>
    <col width="15.7109375" customWidth="1" style="51" min="83" max="83"/>
    <col width="1.140625" customWidth="1" style="49" min="84" max="84"/>
    <col width="15.85546875" bestFit="1" customWidth="1" style="49" min="85" max="85"/>
    <col width="1.28515625" customWidth="1" style="49" min="86" max="86"/>
    <col width="8.28515625" customWidth="1" style="51" min="87" max="95"/>
    <col hidden="1" width="17.5703125" customWidth="1" style="51" min="96" max="96"/>
    <col hidden="1" width="8.28515625" customWidth="1" style="51" min="97" max="97"/>
    <col hidden="1" width="14.42578125" customWidth="1" style="51" min="98" max="98"/>
    <col hidden="1" width="8.28515625" customWidth="1" style="51" min="99" max="103"/>
    <col hidden="1" width="36.7109375" customWidth="1" style="51" min="104" max="104"/>
    <col hidden="1" width="8.28515625" customWidth="1" style="51" min="105" max="124"/>
    <col hidden="1" width="9.28515625" customWidth="1" style="49" min="125" max="125"/>
    <col hidden="1" width="8.28515625" customWidth="1" style="51" min="126" max="127"/>
    <col hidden="1" width="14.5703125" customWidth="1" style="268" min="128" max="130"/>
    <col hidden="1" width="8.28515625" customWidth="1" style="51" min="131" max="135"/>
    <col hidden="1" width="12.85546875" customWidth="1" style="51" min="136" max="136"/>
    <col hidden="1" width="8.28515625" customWidth="1" style="51" min="137" max="138"/>
    <col hidden="1" width="16.140625" customWidth="1" style="51" min="139" max="139"/>
    <col hidden="1" width="8.28515625" customWidth="1" style="51" min="140" max="143"/>
    <col hidden="1" width="11" customWidth="1" style="51" min="144" max="144"/>
    <col hidden="1" width="15.42578125" customWidth="1" style="51" min="145" max="145"/>
    <col hidden="1" width="8.28515625" customWidth="1" style="51" min="146" max="146"/>
    <col hidden="1" width="15.42578125" customWidth="1" style="51" min="147" max="147"/>
    <col hidden="1" width="8.28515625" customWidth="1" style="51" min="148" max="151"/>
    <col hidden="1" width="17.140625" customWidth="1" style="51" min="152" max="152"/>
    <col hidden="1" width="8.28515625" customWidth="1" style="51" min="153" max="153"/>
    <col hidden="1" width="17.140625" customWidth="1" style="51" min="154" max="156"/>
    <col hidden="1" width="8.28515625" customWidth="1" style="51" min="157" max="158"/>
    <col hidden="1" width="15.42578125" customWidth="1" style="51" min="159" max="159"/>
    <col hidden="1" width="15.28515625" customWidth="1" style="268" min="160" max="160"/>
    <col hidden="1" width="14.5703125" customWidth="1" style="51" min="161" max="161"/>
    <col hidden="1" width="13.140625" customWidth="1" style="51" min="162" max="162"/>
    <col hidden="1" width="13.140625" customWidth="1" style="268" min="163" max="163"/>
    <col hidden="1" width="16.42578125" customWidth="1" style="51" min="164" max="164"/>
    <col hidden="1" width="14.5703125" customWidth="1" style="51" min="165" max="165"/>
    <col hidden="1" width="22.85546875" customWidth="1" style="51" min="166" max="166"/>
    <col hidden="1" width="8.28515625" customWidth="1" style="51" min="167" max="167"/>
    <col hidden="1" width="13.140625" customWidth="1" style="51" min="168" max="168"/>
    <col hidden="1" width="18.42578125" customWidth="1" style="268" min="169" max="169"/>
    <col hidden="1" width="8.28515625" customWidth="1" style="51" min="170" max="173"/>
    <col hidden="1" width="14.85546875" customWidth="1" style="51" min="174" max="174"/>
    <col hidden="1" width="8.28515625" customWidth="1" style="51" min="175" max="177"/>
    <col hidden="1" width="13.42578125" customWidth="1" style="268" min="178" max="178"/>
    <col hidden="1" width="8.28515625" customWidth="1" style="51" min="179" max="181"/>
    <col hidden="1" width="12" customWidth="1" style="268" min="182" max="182"/>
    <col hidden="1" width="8.28515625" customWidth="1" style="51" min="183" max="184"/>
    <col hidden="1" width="14.42578125" customWidth="1" style="51" min="185" max="185"/>
    <col hidden="1" width="8.28515625" customWidth="1" style="51" min="186" max="189"/>
    <col hidden="1" width="44.42578125" customWidth="1" style="51" min="190" max="190"/>
    <col hidden="1" width="14.42578125" customWidth="1" style="51" min="191" max="192"/>
    <col hidden="1" width="12.85546875" customWidth="1" style="51" min="193" max="193"/>
    <col hidden="1" width="8.28515625" customWidth="1" style="51" min="194" max="199"/>
    <col width="1.5703125" customWidth="1" style="6" min="200" max="201"/>
    <col width="9.140625" customWidth="1" style="6" min="202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5" t="n"/>
      <c r="CE1" s="75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  <c r="GE1" s="74" t="n"/>
      <c r="GF1" s="74" t="n"/>
      <c r="GG1" s="74" t="n"/>
      <c r="GH1" s="74" t="n"/>
      <c r="GI1" s="74" t="n"/>
      <c r="GJ1" s="74" t="n"/>
      <c r="GK1" s="74" t="n"/>
      <c r="GL1" s="74" t="n"/>
      <c r="GM1" s="74" t="n"/>
      <c r="GN1" s="74" t="n"/>
      <c r="GO1" s="74" t="n"/>
      <c r="GP1" s="74" t="n"/>
      <c r="GQ1" s="74" t="n"/>
    </row>
    <row r="2">
      <c r="A2" s="50" t="inlineStr">
        <is>
          <t>LOJA:</t>
        </is>
      </c>
      <c r="B2" s="639" t="inlineStr">
        <is>
          <t>ER BOQUEIRÃO</t>
        </is>
      </c>
      <c r="C2" s="640" t="n"/>
      <c r="D2" s="641" t="n"/>
      <c r="CD2" s="49" t="n"/>
      <c r="CE2" s="49" t="n"/>
      <c r="CI2" s="49" t="n"/>
      <c r="CJ2" s="49" t="n"/>
      <c r="CK2" s="49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49" t="n"/>
      <c r="DP2" s="49" t="n"/>
      <c r="DQ2" s="49" t="n"/>
      <c r="DR2" s="49" t="n"/>
      <c r="DS2" s="49" t="n"/>
      <c r="DT2" s="49" t="n"/>
      <c r="DU2" s="6" t="n"/>
      <c r="DV2" s="49" t="n"/>
      <c r="DW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S2" s="49" t="n"/>
      <c r="ET2" s="49" t="n"/>
      <c r="EU2" s="49" t="n"/>
      <c r="EV2" s="49" t="n"/>
      <c r="EW2" s="49" t="n"/>
      <c r="EX2" s="49" t="n"/>
      <c r="EY2" s="49" t="n"/>
      <c r="EZ2" s="49" t="n"/>
      <c r="FA2" s="49" t="n"/>
      <c r="FB2" s="49" t="n"/>
      <c r="FC2" s="49" t="n"/>
      <c r="FE2" s="49" t="n"/>
      <c r="FF2" s="49" t="n"/>
      <c r="FH2" s="49" t="n"/>
      <c r="FI2" s="49" t="n"/>
      <c r="FJ2" s="49" t="n"/>
      <c r="FK2" s="49" t="n"/>
      <c r="FL2" s="49" t="n"/>
      <c r="FN2" s="49" t="n"/>
      <c r="FO2" s="49" t="n"/>
      <c r="FP2" s="49" t="n"/>
      <c r="FQ2" s="49" t="n"/>
      <c r="FR2" s="49" t="n"/>
      <c r="FS2" s="49" t="n"/>
      <c r="FT2" s="49" t="n"/>
      <c r="FU2" s="49" t="n"/>
      <c r="FW2" s="49" t="n"/>
      <c r="FX2" s="49" t="n"/>
      <c r="FY2" s="49" t="n"/>
      <c r="GA2" s="49" t="n"/>
      <c r="GB2" s="49" t="n"/>
      <c r="GC2" s="49" t="n"/>
      <c r="GD2" s="49" t="n"/>
      <c r="GE2" s="49" t="n"/>
      <c r="GF2" s="49" t="n"/>
      <c r="GG2" s="49" t="n"/>
      <c r="GH2" s="49" t="n"/>
      <c r="GI2" s="49" t="n"/>
      <c r="GJ2" s="49" t="n"/>
      <c r="GK2" s="49" t="n"/>
      <c r="GL2" s="49" t="n"/>
      <c r="GM2" s="49" t="n"/>
      <c r="GN2" s="49" t="n"/>
      <c r="GO2" s="49" t="n"/>
      <c r="GP2" s="49" t="n"/>
      <c r="GQ2" s="49" t="n"/>
    </row>
    <row r="3">
      <c r="A3" s="50" t="inlineStr">
        <is>
          <t>Responsável:</t>
        </is>
      </c>
      <c r="B3" s="253" t="inlineStr">
        <is>
          <t>JEFFERSON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706" t="n"/>
      <c r="AB3" s="706" t="n"/>
      <c r="AC3" s="706" t="n"/>
      <c r="AD3" s="706" t="n"/>
      <c r="AE3" s="706" t="n"/>
      <c r="AF3" s="706" t="n"/>
      <c r="AG3" s="706" t="n"/>
      <c r="AH3" s="706" t="n"/>
      <c r="AI3" s="706" t="n"/>
      <c r="AJ3" s="706" t="n"/>
      <c r="AK3" s="706" t="n"/>
      <c r="AL3" s="706" t="n"/>
      <c r="AM3" s="706" t="n"/>
      <c r="AN3" s="706" t="n"/>
      <c r="AO3" s="706" t="n"/>
      <c r="AP3" s="706" t="n"/>
      <c r="AQ3" s="706" t="n"/>
      <c r="AR3" s="706" t="n"/>
      <c r="AS3" s="706" t="n"/>
      <c r="AT3" s="706" t="n"/>
      <c r="AU3" s="706" t="n"/>
      <c r="AV3" s="706" t="n"/>
      <c r="AW3" s="706" t="n"/>
      <c r="AX3" s="706" t="n"/>
      <c r="AY3" s="706" t="n"/>
      <c r="AZ3" s="706" t="n"/>
      <c r="BA3" s="706" t="n"/>
      <c r="BB3" s="706" t="n"/>
      <c r="BC3" s="706" t="n"/>
      <c r="BD3" s="706" t="n"/>
      <c r="BE3" s="706" t="n"/>
      <c r="BF3" s="706" t="n"/>
      <c r="BG3" s="706" t="n"/>
      <c r="BH3" s="706" t="n"/>
      <c r="BI3" s="706" t="n"/>
      <c r="BJ3" s="706" t="n"/>
      <c r="BK3" s="706" t="n"/>
      <c r="BL3" s="706" t="n"/>
      <c r="BM3" s="706" t="n"/>
      <c r="BN3" s="706" t="n"/>
      <c r="BO3" s="706" t="n"/>
      <c r="BP3" s="706" t="n"/>
      <c r="BQ3" s="706" t="n"/>
      <c r="BR3" s="706" t="n"/>
      <c r="BS3" s="706" t="n"/>
      <c r="BT3" s="706" t="n"/>
      <c r="BU3" s="706" t="n"/>
      <c r="BV3" s="706" t="n"/>
      <c r="BW3" s="706" t="n"/>
      <c r="BX3" s="706" t="n"/>
      <c r="BY3" s="706" t="n"/>
      <c r="BZ3" s="706" t="n"/>
      <c r="CA3" s="706" t="n"/>
      <c r="CB3" s="642" t="n"/>
      <c r="CD3" s="49" t="n"/>
      <c r="CE3" s="49" t="n"/>
      <c r="CF3" s="642" t="n"/>
      <c r="CI3" s="49" t="n"/>
      <c r="CJ3" s="49" t="n"/>
      <c r="CK3" s="49" t="n"/>
      <c r="CL3" s="49" t="n"/>
      <c r="CM3" s="49" t="n"/>
      <c r="CN3" s="49" t="n"/>
      <c r="CO3" s="49" t="n"/>
      <c r="CP3" s="49" t="n"/>
      <c r="CQ3" s="49" t="n"/>
      <c r="CR3" s="49" t="n"/>
      <c r="CS3" s="49" t="n"/>
      <c r="CT3" s="49" t="n"/>
      <c r="CU3" s="49" t="n"/>
      <c r="CV3" s="49" t="n"/>
      <c r="CW3" s="49" t="n"/>
      <c r="CX3" s="49" t="n"/>
      <c r="CY3" s="49" t="n"/>
      <c r="CZ3" s="49" t="n"/>
      <c r="DA3" s="49" t="n"/>
      <c r="DB3" s="49" t="n"/>
      <c r="DC3" s="49" t="n"/>
      <c r="DD3" s="49" t="n"/>
      <c r="DE3" s="49" t="n"/>
      <c r="DF3" s="49" t="n"/>
      <c r="DG3" s="49" t="n"/>
      <c r="DH3" s="49" t="n"/>
      <c r="DI3" s="49" t="n"/>
      <c r="DJ3" s="49" t="n"/>
      <c r="DK3" s="49" t="n"/>
      <c r="DL3" s="49" t="n"/>
      <c r="DM3" s="49" t="n"/>
      <c r="DN3" s="49" t="n"/>
      <c r="DO3" s="49" t="n"/>
      <c r="DP3" s="49" t="n"/>
      <c r="DQ3" s="49" t="n"/>
      <c r="DR3" s="49" t="n"/>
      <c r="DS3" s="49" t="n"/>
      <c r="DT3" s="49" t="n"/>
      <c r="DU3" s="6" t="n"/>
      <c r="DV3" s="49" t="n"/>
      <c r="DW3" s="49" t="n"/>
      <c r="EA3" s="49" t="n"/>
      <c r="EB3" s="49" t="n"/>
      <c r="EC3" s="49" t="n"/>
      <c r="ED3" s="49" t="n"/>
      <c r="EE3" s="49" t="n"/>
      <c r="EF3" s="49" t="n"/>
      <c r="EG3" s="49" t="n"/>
      <c r="EH3" s="49" t="n"/>
      <c r="EI3" s="49" t="n"/>
      <c r="EJ3" s="49" t="n"/>
      <c r="EK3" s="49" t="n"/>
      <c r="EL3" s="49" t="n"/>
      <c r="EM3" s="49" t="n"/>
      <c r="EN3" s="49" t="n"/>
      <c r="EO3" s="49" t="n"/>
      <c r="EP3" s="49" t="n"/>
      <c r="EQ3" s="49" t="n"/>
      <c r="ER3" s="49" t="n"/>
      <c r="ES3" s="49" t="n"/>
      <c r="ET3" s="49" t="n"/>
      <c r="EU3" s="49" t="n"/>
      <c r="EV3" s="49" t="n"/>
      <c r="EW3" s="49" t="n"/>
      <c r="EX3" s="49" t="n"/>
      <c r="EY3" s="49" t="n"/>
      <c r="EZ3" s="49" t="n"/>
      <c r="FA3" s="49" t="n"/>
      <c r="FB3" s="49" t="n"/>
      <c r="FC3" s="49" t="n"/>
      <c r="FE3" s="49" t="n"/>
      <c r="FF3" s="49" t="n"/>
      <c r="FH3" s="49" t="n"/>
      <c r="FI3" s="49" t="n"/>
      <c r="FJ3" s="49" t="n"/>
      <c r="FK3" s="49" t="n"/>
      <c r="FL3" s="49" t="n"/>
      <c r="FN3" s="49" t="n"/>
      <c r="FO3" s="49" t="n"/>
      <c r="FP3" s="49" t="n"/>
      <c r="FQ3" s="49" t="n"/>
      <c r="FS3" s="49" t="n"/>
      <c r="FT3" s="49" t="n"/>
      <c r="FU3" s="49" t="n"/>
      <c r="FW3" s="49" t="n"/>
      <c r="FX3" s="49" t="n"/>
      <c r="FY3" s="49" t="n"/>
      <c r="GA3" s="49" t="n"/>
      <c r="GB3" s="49" t="n"/>
      <c r="GC3" s="49" t="n"/>
      <c r="GD3" s="49" t="n"/>
      <c r="GE3" s="49" t="n"/>
      <c r="GF3" s="49" t="n"/>
      <c r="GG3" s="49" t="n"/>
      <c r="GH3" s="49" t="n"/>
      <c r="GI3" s="49" t="n"/>
      <c r="GJ3" s="49" t="n"/>
      <c r="GK3" s="49" t="n"/>
      <c r="GL3" s="49" t="n"/>
      <c r="GM3" s="49" t="n"/>
      <c r="GN3" s="49" t="n"/>
      <c r="GO3" s="49" t="n"/>
      <c r="GP3" s="49" t="n"/>
      <c r="GQ3" s="49" t="n"/>
    </row>
    <row r="4" ht="37.5" customHeight="1">
      <c r="O4" s="264" t="n"/>
      <c r="P4" s="264" t="n"/>
      <c r="Q4" s="264" t="n"/>
      <c r="R4" s="264" t="n"/>
      <c r="S4" s="264" t="n"/>
      <c r="T4" s="264" t="n"/>
      <c r="U4" s="264" t="n"/>
      <c r="V4" s="264" t="n"/>
      <c r="W4" s="264" t="n"/>
      <c r="X4" s="264" t="n"/>
      <c r="Y4" s="264" t="n"/>
      <c r="Z4" s="264" t="n"/>
      <c r="AA4" s="264" t="n"/>
      <c r="AB4" s="264" t="n"/>
      <c r="AC4" s="264" t="n"/>
      <c r="AD4" s="264" t="n"/>
      <c r="AE4" s="264" t="n"/>
      <c r="AF4" s="264" t="n"/>
      <c r="AG4" s="264" t="n"/>
      <c r="AH4" s="264" t="n"/>
      <c r="AI4" s="264" t="n"/>
      <c r="AJ4" s="264" t="n"/>
      <c r="AK4" s="264" t="n"/>
      <c r="AL4" s="264" t="n"/>
      <c r="AM4" s="264" t="n"/>
      <c r="AN4" s="264" t="n"/>
      <c r="AO4" s="264" t="n"/>
      <c r="AP4" s="264" t="n"/>
      <c r="AQ4" s="264" t="n"/>
      <c r="AR4" s="264" t="n"/>
      <c r="AS4" s="264" t="n"/>
      <c r="AT4" s="264" t="n"/>
      <c r="AU4" s="264" t="n"/>
      <c r="AV4" s="264" t="n"/>
      <c r="AW4" s="264" t="n"/>
      <c r="AX4" s="264" t="n"/>
      <c r="AY4" s="264" t="n"/>
      <c r="AZ4" s="264" t="n"/>
      <c r="BA4" s="264" t="n"/>
      <c r="BB4" s="264" t="n"/>
      <c r="BC4" s="264" t="n"/>
      <c r="BD4" s="264" t="n"/>
      <c r="BE4" s="264" t="n"/>
      <c r="BF4" s="264" t="n"/>
      <c r="BG4" s="264" t="n"/>
      <c r="BH4" s="264" t="n"/>
      <c r="BI4" s="264" t="n"/>
      <c r="BJ4" s="264" t="n"/>
      <c r="BK4" s="264" t="n"/>
      <c r="BL4" s="264" t="n"/>
      <c r="BM4" s="264" t="n"/>
      <c r="BN4" s="264" t="n"/>
      <c r="BO4" s="264" t="n"/>
      <c r="BP4" s="264" t="n"/>
      <c r="BQ4" s="264" t="n"/>
      <c r="BR4" s="264" t="n"/>
      <c r="BS4" s="264" t="n"/>
      <c r="BT4" s="264" t="n"/>
      <c r="BU4" s="264" t="n"/>
      <c r="BV4" s="264" t="n"/>
      <c r="BW4" s="264" t="n"/>
      <c r="BX4" s="264" t="n"/>
      <c r="BY4" s="264" t="n"/>
      <c r="BZ4" s="264" t="n"/>
      <c r="CA4" s="264" t="n"/>
      <c r="CD4" s="49" t="n"/>
      <c r="CE4" s="49" t="n"/>
      <c r="CI4" s="6" t="n"/>
      <c r="CJ4" s="6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269" t="n"/>
      <c r="DY4" s="269" t="n"/>
      <c r="DZ4" s="269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6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269" t="n"/>
      <c r="FE4" s="6" t="n"/>
      <c r="FF4" s="6" t="n"/>
      <c r="FG4" s="269" t="n"/>
      <c r="FH4" s="6" t="n"/>
      <c r="FI4" s="6" t="n"/>
      <c r="FJ4" s="6" t="n"/>
      <c r="FK4" s="6" t="n"/>
      <c r="FL4" s="6" t="n"/>
      <c r="FM4" s="269" t="n"/>
      <c r="FN4" s="6" t="n"/>
      <c r="FO4" s="6" t="n"/>
      <c r="FP4" s="6" t="n"/>
      <c r="FQ4" s="6" t="n"/>
      <c r="FR4" s="6" t="n"/>
      <c r="FS4" s="6" t="n"/>
      <c r="FT4" s="6" t="n"/>
      <c r="FU4" s="6" t="n"/>
      <c r="FV4" s="269" t="n"/>
      <c r="FW4" s="6" t="n"/>
      <c r="FX4" s="6" t="n"/>
      <c r="FY4" s="6" t="n"/>
      <c r="FZ4" s="269" t="n"/>
      <c r="GA4" s="6" t="n"/>
      <c r="GB4" s="6" t="n"/>
      <c r="GC4" s="6" t="n"/>
      <c r="GD4" s="6" t="n"/>
      <c r="GE4" s="6" t="n"/>
      <c r="GF4" s="6" t="n"/>
      <c r="GG4" s="6" t="n"/>
      <c r="GH4" s="6" t="n"/>
      <c r="GI4" s="6" t="n"/>
      <c r="GJ4" s="6" t="n"/>
      <c r="GK4" s="6" t="n"/>
      <c r="GL4" s="6" t="n"/>
      <c r="GM4" s="6" t="n"/>
      <c r="GN4" s="6" t="n"/>
      <c r="GO4" s="6" t="n"/>
      <c r="GP4" s="6" t="n"/>
      <c r="GQ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F5" s="6" t="n"/>
      <c r="CG5" s="12" t="inlineStr">
        <is>
          <t>Novo Pedido</t>
        </is>
      </c>
      <c r="CH5" s="6" t="n"/>
      <c r="CI5" s="654" t="n"/>
      <c r="CJ5" s="654" t="n">
        <v>46149</v>
      </c>
      <c r="CK5" s="654" t="n">
        <v>46114</v>
      </c>
      <c r="CL5" s="654" t="n">
        <v>46107</v>
      </c>
      <c r="CM5" s="710" t="n">
        <v>46065</v>
      </c>
      <c r="CN5" s="654" t="n">
        <v>46099</v>
      </c>
      <c r="CO5" s="654" t="n">
        <v>46092</v>
      </c>
      <c r="CP5" s="711" t="n">
        <v>46045</v>
      </c>
      <c r="CQ5" s="654" t="n">
        <v>46084</v>
      </c>
      <c r="CR5" s="655" t="inlineStr">
        <is>
          <t>TRANSF.</t>
        </is>
      </c>
      <c r="CS5" s="654" t="n">
        <v>46077</v>
      </c>
      <c r="CT5" s="655" t="inlineStr">
        <is>
          <t>TRANSF.</t>
        </is>
      </c>
      <c r="CU5" s="654" t="n">
        <v>46071</v>
      </c>
      <c r="CV5" s="654" t="n">
        <v>46048</v>
      </c>
      <c r="CW5" s="654" t="n">
        <v>46043</v>
      </c>
      <c r="CX5" s="654" t="n">
        <v>46035</v>
      </c>
      <c r="CY5" s="654" t="n">
        <v>46029</v>
      </c>
      <c r="CZ5" s="655" t="inlineStr">
        <is>
          <t>TRANSFERÊNCIA</t>
        </is>
      </c>
      <c r="DA5" s="654" t="n">
        <v>46024</v>
      </c>
      <c r="DB5" s="654" t="n">
        <v>46029</v>
      </c>
      <c r="DC5" s="654" t="n">
        <v>46024</v>
      </c>
      <c r="DD5" s="654" t="n">
        <v>46372</v>
      </c>
      <c r="DE5" s="654" t="n">
        <v>46024</v>
      </c>
      <c r="DF5" s="654" t="n">
        <v>46017</v>
      </c>
      <c r="DG5" s="654" t="n">
        <v>46007</v>
      </c>
      <c r="DH5" s="654" t="n">
        <v>46001</v>
      </c>
      <c r="DI5" s="654" t="n">
        <v>46007</v>
      </c>
      <c r="DJ5" s="654" t="n">
        <v>46001</v>
      </c>
      <c r="DK5" s="654" t="n">
        <v>45994</v>
      </c>
      <c r="DL5" s="654" t="n">
        <v>45986</v>
      </c>
      <c r="DM5" s="654" t="n">
        <v>45980</v>
      </c>
      <c r="DN5" s="654" t="n">
        <v>45980</v>
      </c>
      <c r="DO5" s="654" t="n">
        <v>45973</v>
      </c>
      <c r="DP5" s="654" t="n">
        <v>45965</v>
      </c>
      <c r="DQ5" s="654" t="n">
        <v>45960</v>
      </c>
      <c r="DR5" s="654" t="n">
        <v>45945</v>
      </c>
      <c r="DS5" s="654" t="n">
        <v>45939</v>
      </c>
      <c r="DT5" s="654" t="n">
        <v>45931</v>
      </c>
      <c r="DU5" s="678" t="n">
        <v>45903</v>
      </c>
      <c r="DV5" s="654" t="n">
        <v>45923</v>
      </c>
      <c r="DW5" s="654" t="n">
        <v>45915</v>
      </c>
      <c r="DX5" s="648" t="inlineStr">
        <is>
          <t>TRANSF.</t>
        </is>
      </c>
      <c r="DY5" s="679" t="inlineStr">
        <is>
          <t>TRANSF.</t>
        </is>
      </c>
      <c r="DZ5" s="679" t="inlineStr">
        <is>
          <t>TRANSF.</t>
        </is>
      </c>
      <c r="EA5" s="654" t="n">
        <v>45903</v>
      </c>
      <c r="EB5" s="654" t="n">
        <v>45909</v>
      </c>
      <c r="EC5" s="654" t="n">
        <v>45903</v>
      </c>
      <c r="ED5" s="654" t="n">
        <v>45903</v>
      </c>
      <c r="EE5" s="654" t="n">
        <v>45895</v>
      </c>
      <c r="EF5" s="679" t="inlineStr">
        <is>
          <t>TRANSF.</t>
        </is>
      </c>
      <c r="EG5" s="654" t="n">
        <v>45888</v>
      </c>
      <c r="EH5" s="654" t="n">
        <v>45881</v>
      </c>
      <c r="EI5" s="655" t="inlineStr">
        <is>
          <t>TRANSF.</t>
        </is>
      </c>
      <c r="EJ5" s="654" t="n">
        <v>45874</v>
      </c>
      <c r="EK5" s="654" t="n">
        <v>45867</v>
      </c>
      <c r="EL5" s="654" t="n">
        <v>45860</v>
      </c>
      <c r="EM5" s="654" t="n">
        <v>45853</v>
      </c>
      <c r="EN5" s="655" t="inlineStr">
        <is>
          <t>TRANSF.</t>
        </is>
      </c>
      <c r="EO5" s="681" t="inlineStr">
        <is>
          <t>TRANSF.</t>
        </is>
      </c>
      <c r="EP5" s="654" t="n">
        <v>45848</v>
      </c>
      <c r="EQ5" s="681" t="inlineStr">
        <is>
          <t>TRANSF.</t>
        </is>
      </c>
      <c r="ER5" s="654" t="n">
        <v>45839</v>
      </c>
      <c r="ES5" s="681" t="n">
        <v>45791</v>
      </c>
      <c r="ET5" s="654" t="n">
        <v>45832</v>
      </c>
      <c r="EU5" s="654" t="n">
        <v>45825</v>
      </c>
      <c r="EV5" s="648" t="inlineStr">
        <is>
          <t>TRANSF.</t>
        </is>
      </c>
      <c r="EW5" s="654" t="n">
        <v>45819</v>
      </c>
      <c r="EX5" s="648" t="inlineStr">
        <is>
          <t>TRANSF.</t>
        </is>
      </c>
      <c r="EY5" s="648" t="inlineStr">
        <is>
          <t>TRANSF.</t>
        </is>
      </c>
      <c r="EZ5" s="648" t="inlineStr">
        <is>
          <t>TRANSF.</t>
        </is>
      </c>
      <c r="FA5" s="654" t="n">
        <v>45790</v>
      </c>
      <c r="FB5" s="654" t="n">
        <v>45798</v>
      </c>
      <c r="FC5" s="683" t="inlineStr">
        <is>
          <t>TRANSF.</t>
        </is>
      </c>
      <c r="FD5" s="650" t="inlineStr">
        <is>
          <t>TRANSF.</t>
        </is>
      </c>
      <c r="FE5" s="648" t="inlineStr">
        <is>
          <t>TRANSF.</t>
        </is>
      </c>
      <c r="FF5" s="683" t="inlineStr">
        <is>
          <t>TRANSF.</t>
        </is>
      </c>
      <c r="FG5" s="650" t="inlineStr">
        <is>
          <t>TRANSF.</t>
        </is>
      </c>
      <c r="FH5" s="648" t="inlineStr">
        <is>
          <t>TRANSF.</t>
        </is>
      </c>
      <c r="FI5" s="648" t="inlineStr">
        <is>
          <t>TRANSF.</t>
        </is>
      </c>
      <c r="FJ5" s="648" t="inlineStr">
        <is>
          <t>TRANSF.</t>
        </is>
      </c>
      <c r="FK5" s="654" t="n">
        <v>45790</v>
      </c>
      <c r="FL5" s="683" t="n">
        <v>45735</v>
      </c>
      <c r="FM5" s="650" t="inlineStr">
        <is>
          <t>TRANSF.</t>
        </is>
      </c>
      <c r="FN5" s="654" t="n">
        <v>45783</v>
      </c>
      <c r="FO5" s="654" t="n">
        <v>45770</v>
      </c>
      <c r="FP5" s="654" t="n">
        <v>45775</v>
      </c>
      <c r="FQ5" s="654" t="n">
        <v>45770</v>
      </c>
      <c r="FR5" s="655" t="inlineStr">
        <is>
          <t>TRANSF.</t>
        </is>
      </c>
      <c r="FS5" s="654" t="n">
        <v>45756</v>
      </c>
      <c r="FT5" s="654" t="n">
        <v>45749</v>
      </c>
      <c r="FU5" s="654" t="n">
        <v>45743</v>
      </c>
      <c r="FV5" s="650" t="inlineStr">
        <is>
          <t>TRANSF.</t>
        </is>
      </c>
      <c r="FW5" s="654" t="n">
        <v>45728</v>
      </c>
      <c r="FX5" s="654" t="n">
        <v>45714</v>
      </c>
      <c r="FY5" s="654" t="n">
        <v>45706</v>
      </c>
      <c r="FZ5" s="650" t="n">
        <v>45700</v>
      </c>
      <c r="GA5" s="654" t="n">
        <v>45706</v>
      </c>
      <c r="GB5" s="654" t="n">
        <v>45699</v>
      </c>
      <c r="GC5" s="655" t="inlineStr">
        <is>
          <t>TRANSF.</t>
        </is>
      </c>
      <c r="GD5" s="654" t="n">
        <v>45693</v>
      </c>
      <c r="GE5" s="654" t="n">
        <v>45693</v>
      </c>
      <c r="GF5" s="654" t="n">
        <v>45685</v>
      </c>
      <c r="GG5" s="654" t="n">
        <v>45685</v>
      </c>
      <c r="GH5" s="216" t="inlineStr">
        <is>
          <t>TRANSF. DISNEY/24</t>
        </is>
      </c>
      <c r="GI5" s="655" t="inlineStr">
        <is>
          <t>TRANSF.</t>
        </is>
      </c>
      <c r="GJ5" s="655" t="inlineStr">
        <is>
          <t>TRANSF.</t>
        </is>
      </c>
      <c r="GK5" s="655" t="inlineStr">
        <is>
          <t>TRANSF.</t>
        </is>
      </c>
      <c r="GL5" s="654" t="n">
        <v>45664</v>
      </c>
      <c r="GM5" s="654" t="n">
        <v>45660</v>
      </c>
      <c r="GN5" s="654" t="n">
        <v>45660</v>
      </c>
      <c r="GO5" s="654" t="n">
        <v>46017</v>
      </c>
      <c r="GP5" s="654" t="n">
        <v>45643</v>
      </c>
      <c r="GQ5" s="654" t="n">
        <v>45638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46021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6" t="n"/>
      <c r="CD6" s="414" t="inlineStr">
        <is>
          <t>SUGESTÃO</t>
        </is>
      </c>
      <c r="CE6" s="214" t="n"/>
      <c r="CF6" s="653" t="n"/>
      <c r="CG6" s="656" t="n"/>
      <c r="CH6" s="6" t="n"/>
      <c r="CI6" s="654" t="n"/>
      <c r="CJ6" s="654" t="n">
        <v>46154</v>
      </c>
      <c r="CK6" s="654" t="n">
        <v>46121</v>
      </c>
      <c r="CL6" s="654" t="n">
        <v>46113</v>
      </c>
      <c r="CM6" s="710" t="n">
        <v>46106</v>
      </c>
      <c r="CN6" s="654" t="n">
        <v>46105</v>
      </c>
      <c r="CO6" s="654" t="n">
        <v>46098</v>
      </c>
      <c r="CP6" s="711" t="n">
        <v>46090</v>
      </c>
      <c r="CQ6" s="654" t="n">
        <v>46087</v>
      </c>
      <c r="CR6" s="655" t="n">
        <v>46084</v>
      </c>
      <c r="CS6" s="654" t="n">
        <v>46083</v>
      </c>
      <c r="CT6" s="655" t="n">
        <v>46077</v>
      </c>
      <c r="CU6" s="654" t="n">
        <v>46073</v>
      </c>
      <c r="CV6" s="654" t="n">
        <v>46052</v>
      </c>
      <c r="CW6" s="654" t="n">
        <v>46052</v>
      </c>
      <c r="CX6" s="654" t="n">
        <v>46052</v>
      </c>
      <c r="CY6" s="654" t="n">
        <v>46041</v>
      </c>
      <c r="CZ6" s="655" t="n">
        <v>46043</v>
      </c>
      <c r="DA6" s="654" t="n">
        <v>46044</v>
      </c>
      <c r="DB6" s="654" t="n">
        <v>46038</v>
      </c>
      <c r="DC6" s="654" t="n">
        <v>46038</v>
      </c>
      <c r="DD6" s="654" t="n">
        <v>46038</v>
      </c>
      <c r="DE6" s="654" t="n">
        <v>46034</v>
      </c>
      <c r="DF6" s="654" t="n">
        <v>46030</v>
      </c>
      <c r="DG6" s="654" t="n">
        <v>46030</v>
      </c>
      <c r="DH6" s="654" t="n">
        <v>46030</v>
      </c>
      <c r="DI6" s="654" t="n">
        <v>46013</v>
      </c>
      <c r="DJ6" s="654" t="n">
        <v>46008</v>
      </c>
      <c r="DK6" s="654" t="n">
        <v>46367</v>
      </c>
      <c r="DL6" s="654" t="n">
        <v>45994</v>
      </c>
      <c r="DM6" s="654" t="n">
        <v>45994</v>
      </c>
      <c r="DN6" s="654" t="n">
        <v>45988</v>
      </c>
      <c r="DO6" s="654" t="n">
        <v>45979</v>
      </c>
      <c r="DP6" s="654" t="n">
        <v>45979</v>
      </c>
      <c r="DQ6" s="654" t="n">
        <v>45961</v>
      </c>
      <c r="DR6" s="654" t="n">
        <v>45952</v>
      </c>
      <c r="DS6" s="654" t="n">
        <v>45944</v>
      </c>
      <c r="DT6" s="654" t="n">
        <v>45940</v>
      </c>
      <c r="DU6" s="687" t="n">
        <v>45932</v>
      </c>
      <c r="DV6" s="654" t="n">
        <v>45930</v>
      </c>
      <c r="DW6" s="654" t="n">
        <v>45925</v>
      </c>
      <c r="DX6" s="655" t="n">
        <v>45931</v>
      </c>
      <c r="DY6" s="688" t="n">
        <v>45931</v>
      </c>
      <c r="DZ6" s="688" t="n">
        <v>45931</v>
      </c>
      <c r="EA6" s="654" t="n">
        <v>45918</v>
      </c>
      <c r="EB6" s="654" t="n">
        <v>45915</v>
      </c>
      <c r="EC6" s="654" t="n">
        <v>45910</v>
      </c>
      <c r="ED6" s="654" t="n">
        <v>45906</v>
      </c>
      <c r="EE6" s="654" t="n">
        <v>45898</v>
      </c>
      <c r="EF6" s="679" t="n">
        <v>45896</v>
      </c>
      <c r="EG6" s="654" t="n">
        <v>45894</v>
      </c>
      <c r="EH6" s="654" t="n">
        <v>45884</v>
      </c>
      <c r="EI6" s="655" t="n">
        <v>45882</v>
      </c>
      <c r="EJ6" s="654" t="n">
        <v>45880</v>
      </c>
      <c r="EK6" s="654" t="n">
        <v>45873</v>
      </c>
      <c r="EL6" s="654" t="n">
        <v>45863</v>
      </c>
      <c r="EM6" s="654" t="n">
        <v>45861</v>
      </c>
      <c r="EN6" s="655" t="n">
        <v>45860</v>
      </c>
      <c r="EO6" s="681" t="n">
        <v>45855</v>
      </c>
      <c r="EP6" s="654" t="n">
        <v>45854</v>
      </c>
      <c r="EQ6" s="681" t="n">
        <v>45853</v>
      </c>
      <c r="ER6" s="654" t="n">
        <v>45845</v>
      </c>
      <c r="ES6" s="681" t="n">
        <v>45838</v>
      </c>
      <c r="ET6" s="654" t="n">
        <v>45836</v>
      </c>
      <c r="EU6" s="654" t="n">
        <v>45832</v>
      </c>
      <c r="EV6" s="655" t="n">
        <v>45826</v>
      </c>
      <c r="EW6" s="654" t="n">
        <v>45824</v>
      </c>
      <c r="EX6" s="655" t="n">
        <v>45819</v>
      </c>
      <c r="EY6" s="655" t="n">
        <v>45818</v>
      </c>
      <c r="EZ6" s="655" t="n">
        <v>45807</v>
      </c>
      <c r="FA6" s="654" t="n">
        <v>45803</v>
      </c>
      <c r="FB6" s="654" t="n">
        <v>45800</v>
      </c>
      <c r="FC6" s="690" t="n">
        <v>45800</v>
      </c>
      <c r="FD6" s="650" t="n">
        <v>45799</v>
      </c>
      <c r="FE6" s="655" t="n">
        <v>45799</v>
      </c>
      <c r="FF6" s="690" t="n">
        <v>45799</v>
      </c>
      <c r="FG6" s="650" t="n">
        <v>45798</v>
      </c>
      <c r="FH6" s="655" t="n">
        <v>45798</v>
      </c>
      <c r="FI6" s="655" t="n">
        <v>45797</v>
      </c>
      <c r="FJ6" s="655" t="n">
        <v>45794</v>
      </c>
      <c r="FK6" s="654" t="n">
        <v>45793</v>
      </c>
      <c r="FL6" s="690" t="n">
        <v>45790</v>
      </c>
      <c r="FM6" s="650" t="n">
        <v>45786</v>
      </c>
      <c r="FN6" s="654" t="n">
        <v>45785</v>
      </c>
      <c r="FO6" s="654" t="n">
        <v>45785</v>
      </c>
      <c r="FP6" s="654" t="n">
        <v>45779</v>
      </c>
      <c r="FQ6" s="654" t="n">
        <v>45777</v>
      </c>
      <c r="FR6" s="655" t="n">
        <v>45775</v>
      </c>
      <c r="FS6" s="654" t="n">
        <v>45762</v>
      </c>
      <c r="FT6" s="654" t="n">
        <v>45756</v>
      </c>
      <c r="FU6" s="654" t="n">
        <v>45750</v>
      </c>
      <c r="FV6" s="650" t="n">
        <v>45740</v>
      </c>
      <c r="FW6" s="654" t="n">
        <v>45733</v>
      </c>
      <c r="FX6" s="654" t="n">
        <v>45723</v>
      </c>
      <c r="FY6" s="654" t="n">
        <v>45715</v>
      </c>
      <c r="FZ6" s="650" t="n">
        <v>45715</v>
      </c>
      <c r="GA6" s="654" t="n">
        <v>45715</v>
      </c>
      <c r="GB6" s="654" t="n">
        <v>45708</v>
      </c>
      <c r="GC6" s="655" t="n">
        <v>45706</v>
      </c>
      <c r="GD6" s="654" t="n">
        <v>45701</v>
      </c>
      <c r="GE6" s="654" t="n">
        <v>45699</v>
      </c>
      <c r="GF6" s="654" t="n">
        <v>45699</v>
      </c>
      <c r="GG6" s="654" t="n">
        <v>45692</v>
      </c>
      <c r="GH6" s="712" t="n">
        <v>45692</v>
      </c>
      <c r="GI6" s="655" t="n">
        <v>45691</v>
      </c>
      <c r="GJ6" s="655" t="n">
        <v>45681</v>
      </c>
      <c r="GK6" s="655" t="n">
        <v>45672</v>
      </c>
      <c r="GL6" s="654" t="n">
        <v>45671</v>
      </c>
      <c r="GM6" s="654" t="n">
        <v>45667</v>
      </c>
      <c r="GN6" s="654" t="n">
        <v>45665</v>
      </c>
      <c r="GO6" s="654" t="n">
        <v>45660</v>
      </c>
      <c r="GP6" s="654" t="n">
        <v>45660</v>
      </c>
      <c r="GQ6" s="654" t="n">
        <v>45660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575" t="n"/>
      <c r="CE7" s="575" t="n"/>
      <c r="CG7" s="22" t="n"/>
      <c r="CH7" s="6" t="n"/>
      <c r="CI7" s="575" t="n"/>
      <c r="CJ7" s="575" t="n"/>
      <c r="CK7" s="575" t="n"/>
      <c r="CL7" s="575" t="n"/>
      <c r="CM7" s="270" t="inlineStr">
        <is>
          <t>MÃES</t>
        </is>
      </c>
      <c r="CN7" s="575" t="n"/>
      <c r="CO7" s="575" t="n"/>
      <c r="CP7" s="270" t="inlineStr">
        <is>
          <t>MÃES</t>
        </is>
      </c>
      <c r="CQ7" s="575" t="n"/>
      <c r="CR7" s="575" t="n"/>
      <c r="CS7" s="575" t="n"/>
      <c r="CT7" s="575" t="n"/>
      <c r="CU7" s="575" t="n"/>
      <c r="CV7" s="575" t="n"/>
      <c r="CW7" s="575" t="n"/>
      <c r="CX7" s="575" t="n"/>
      <c r="CY7" s="575" t="n"/>
      <c r="CZ7" s="575" t="n"/>
      <c r="DA7" s="575" t="n"/>
      <c r="DB7" s="575" t="n"/>
      <c r="DC7" s="575" t="n"/>
      <c r="DD7" s="575" t="n"/>
      <c r="DE7" s="575" t="n"/>
      <c r="DF7" s="575" t="n"/>
      <c r="DG7" s="575" t="n"/>
      <c r="DH7" s="575" t="n"/>
      <c r="DI7" s="575" t="n"/>
      <c r="DJ7" s="575" t="n"/>
      <c r="DK7" s="575" t="n"/>
      <c r="DL7" s="575" t="n"/>
      <c r="DM7" s="575" t="n"/>
      <c r="DN7" s="575" t="n"/>
      <c r="DO7" s="575" t="n"/>
      <c r="DP7" s="575" t="n"/>
      <c r="DQ7" s="575" t="n"/>
      <c r="DR7" s="575" t="n"/>
      <c r="DS7" s="575" t="n"/>
      <c r="DT7" s="575" t="n"/>
      <c r="DU7" s="394" t="n"/>
      <c r="DV7" s="575" t="n"/>
      <c r="DW7" s="575" t="n"/>
      <c r="DX7" s="270" t="n"/>
      <c r="DY7" s="270" t="n"/>
      <c r="DZ7" s="270" t="n"/>
      <c r="EA7" s="575" t="n"/>
      <c r="EB7" s="575" t="n"/>
      <c r="EC7" s="575" t="n"/>
      <c r="ED7" s="575" t="n"/>
      <c r="EE7" s="575" t="n"/>
      <c r="EF7" s="270" t="inlineStr">
        <is>
          <t>HP</t>
        </is>
      </c>
      <c r="EG7" s="575" t="n"/>
      <c r="EH7" s="575" t="n"/>
      <c r="EI7" s="575" t="n"/>
      <c r="EJ7" s="575" t="n"/>
      <c r="EK7" s="575" t="n"/>
      <c r="EL7" s="575" t="n"/>
      <c r="EM7" s="575" t="n"/>
      <c r="EN7" s="575" t="n"/>
      <c r="EO7" s="575" t="inlineStr">
        <is>
          <t>PAIS/25</t>
        </is>
      </c>
      <c r="EP7" s="575" t="n"/>
      <c r="EQ7" s="575" t="inlineStr">
        <is>
          <t>PAIS/25</t>
        </is>
      </c>
      <c r="ER7" s="575" t="n"/>
      <c r="ES7" s="575" t="n"/>
      <c r="ET7" s="575" t="n"/>
      <c r="EU7" s="575" t="n"/>
      <c r="EV7" s="575" t="n"/>
      <c r="EW7" s="575" t="n"/>
      <c r="EX7" s="575" t="n"/>
      <c r="EY7" s="575" t="n"/>
      <c r="EZ7" s="575" t="n"/>
      <c r="FA7" s="575" t="n"/>
      <c r="FB7" s="575" t="n"/>
      <c r="FC7" s="575" t="inlineStr">
        <is>
          <t>NAMO/25</t>
        </is>
      </c>
      <c r="FD7" s="76" t="inlineStr">
        <is>
          <t>MÃES/25</t>
        </is>
      </c>
      <c r="FE7" s="575" t="n"/>
      <c r="FF7" s="575" t="inlineStr">
        <is>
          <t>NAMO/25</t>
        </is>
      </c>
      <c r="FG7" s="76" t="inlineStr">
        <is>
          <t>MÃES/25</t>
        </is>
      </c>
      <c r="FH7" s="575" t="n"/>
      <c r="FI7" s="575" t="n"/>
      <c r="FJ7" s="575" t="n"/>
      <c r="FK7" s="575" t="n"/>
      <c r="FL7" s="575" t="n"/>
      <c r="FM7" s="76" t="inlineStr">
        <is>
          <t>MÃES/25</t>
        </is>
      </c>
      <c r="FN7" s="575" t="n"/>
      <c r="FO7" s="575" t="n"/>
      <c r="FP7" s="575" t="n"/>
      <c r="FQ7" s="575" t="n"/>
      <c r="FR7" s="575" t="n"/>
      <c r="FS7" s="575" t="n"/>
      <c r="FT7" s="575" t="n"/>
      <c r="FU7" s="575" t="n"/>
      <c r="FV7" s="76" t="inlineStr">
        <is>
          <t>MÃES/25</t>
        </is>
      </c>
      <c r="FW7" s="575" t="n"/>
      <c r="FX7" s="575" t="n"/>
      <c r="FY7" s="575" t="n"/>
      <c r="FZ7" s="76" t="inlineStr">
        <is>
          <t>MÃES/25</t>
        </is>
      </c>
      <c r="GA7" s="575" t="n"/>
      <c r="GB7" s="575" t="n"/>
      <c r="GC7" s="575" t="n"/>
      <c r="GD7" s="575" t="n"/>
      <c r="GE7" s="575" t="n"/>
      <c r="GF7" s="575" t="n"/>
      <c r="GG7" s="575" t="n"/>
      <c r="GH7" s="575" t="n"/>
      <c r="GI7" s="575" t="n"/>
      <c r="GJ7" s="575" t="n"/>
      <c r="GK7" s="575" t="n"/>
      <c r="GL7" s="575" t="n"/>
      <c r="GM7" s="575" t="n"/>
      <c r="GN7" s="575" t="n"/>
      <c r="GO7" s="575" t="n"/>
      <c r="GP7" s="575" t="n"/>
      <c r="GQ7" s="575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2700</v>
      </c>
      <c r="E8" s="6" t="n"/>
      <c r="F8" s="187" t="n">
        <v>1200</v>
      </c>
      <c r="G8" s="187">
        <f>3000+GN8</f>
        <v/>
      </c>
      <c r="H8" s="187" t="n">
        <v>2700</v>
      </c>
      <c r="I8" s="187">
        <f>2100+900</f>
        <v/>
      </c>
      <c r="J8" s="187" t="n">
        <v>2400</v>
      </c>
      <c r="K8" s="187" t="n">
        <v>2400</v>
      </c>
      <c r="L8" s="187" t="n">
        <v>1500</v>
      </c>
      <c r="M8" s="187" t="n">
        <v>900</v>
      </c>
      <c r="N8" s="187" t="n">
        <v>2400</v>
      </c>
      <c r="O8" s="187" t="n">
        <v>2400</v>
      </c>
      <c r="P8" s="187" t="n">
        <v>1200</v>
      </c>
      <c r="Q8" s="187" t="n">
        <v>2100</v>
      </c>
      <c r="R8" s="187" t="n">
        <v>1200</v>
      </c>
      <c r="S8" s="187" t="n">
        <v>600</v>
      </c>
      <c r="T8" s="187" t="n">
        <v>2100</v>
      </c>
      <c r="U8" s="187" t="n">
        <v>900</v>
      </c>
      <c r="V8" s="187" t="n">
        <v>600</v>
      </c>
      <c r="W8" s="187" t="n">
        <v>300</v>
      </c>
      <c r="X8" s="187" t="n">
        <v>1500</v>
      </c>
      <c r="Y8" s="187">
        <f>1500+1500</f>
        <v/>
      </c>
      <c r="Z8" s="187" t="n">
        <v>1500</v>
      </c>
      <c r="AA8" s="187" t="n">
        <v>3000</v>
      </c>
      <c r="AB8" s="187" t="n">
        <v>3000</v>
      </c>
      <c r="AC8" s="187" t="n">
        <v>2100</v>
      </c>
      <c r="AD8" s="187" t="n">
        <v>1500</v>
      </c>
      <c r="AE8" s="187" t="n">
        <v>900</v>
      </c>
      <c r="AF8" s="187" t="n">
        <v>2400</v>
      </c>
      <c r="AG8" s="187" t="n">
        <v>1800</v>
      </c>
      <c r="AH8" s="187" t="n">
        <v>600</v>
      </c>
      <c r="AI8" s="187" t="n">
        <v>1800</v>
      </c>
      <c r="AJ8" s="187" t="n">
        <v>1200</v>
      </c>
      <c r="AK8" s="187" t="n">
        <v>600</v>
      </c>
      <c r="AL8" s="187" t="n">
        <v>1500</v>
      </c>
      <c r="AM8" s="187" t="n">
        <v>3300</v>
      </c>
      <c r="AN8" s="187" t="n">
        <v>2400</v>
      </c>
      <c r="AO8" s="187">
        <f>2400+EE8</f>
        <v/>
      </c>
      <c r="AP8" s="187" t="n">
        <v>1800</v>
      </c>
      <c r="AQ8" s="187">
        <f>600+EB8</f>
        <v/>
      </c>
      <c r="AR8" s="187" t="n">
        <v>2400</v>
      </c>
      <c r="AS8" s="187" t="n">
        <v>1500</v>
      </c>
      <c r="AT8" s="187" t="n">
        <v>900</v>
      </c>
      <c r="AU8" s="187" t="n">
        <v>300</v>
      </c>
      <c r="AV8" s="187" t="n">
        <v>600</v>
      </c>
      <c r="AW8" s="187" t="n">
        <v>300</v>
      </c>
      <c r="AX8" s="187" t="n">
        <v>1200</v>
      </c>
      <c r="AY8" s="187" t="n">
        <v>0</v>
      </c>
      <c r="AZ8" s="187">
        <f>0+DO8</f>
        <v/>
      </c>
      <c r="BA8" s="187">
        <f>0+DN8</f>
        <v/>
      </c>
      <c r="BB8" s="187">
        <f>300+DL8</f>
        <v/>
      </c>
      <c r="BC8" s="187">
        <f>300+DK8</f>
        <v/>
      </c>
      <c r="BD8" s="187">
        <f>600+DJ8</f>
        <v/>
      </c>
      <c r="BE8" s="187" t="n">
        <v>600</v>
      </c>
      <c r="BF8" s="187" t="n">
        <v>300</v>
      </c>
      <c r="BG8" s="187" t="n">
        <v>300</v>
      </c>
      <c r="BH8" s="187" t="n">
        <v>1800</v>
      </c>
      <c r="BI8" s="187" t="n">
        <v>1200</v>
      </c>
      <c r="BJ8" s="187" t="n">
        <v>0</v>
      </c>
      <c r="BK8" s="187">
        <f>0+CX8</f>
        <v/>
      </c>
      <c r="BL8" s="187" t="n">
        <v>1500</v>
      </c>
      <c r="BM8" s="187" t="n">
        <v>300</v>
      </c>
      <c r="BN8" s="187" t="n">
        <v>3000</v>
      </c>
      <c r="BO8" s="187">
        <f>1800+1200</f>
        <v/>
      </c>
      <c r="BP8" s="187" t="n">
        <v>2700</v>
      </c>
      <c r="BQ8" s="187" t="n">
        <v>900</v>
      </c>
      <c r="BR8" s="187">
        <f>600+CN8</f>
        <v/>
      </c>
      <c r="BS8" s="187" t="n">
        <v>2400</v>
      </c>
      <c r="BT8" s="187">
        <f>1200+CK8</f>
        <v/>
      </c>
      <c r="BU8" s="187" t="n">
        <v>1200</v>
      </c>
      <c r="BV8" s="187" t="n">
        <v>900</v>
      </c>
      <c r="BW8" s="187" t="n">
        <v>600</v>
      </c>
      <c r="BX8" s="187" t="n">
        <v>300</v>
      </c>
      <c r="BY8" s="187">
        <f>300+CJ8</f>
        <v/>
      </c>
      <c r="BZ8" s="187" t="n"/>
      <c r="CA8" s="187" t="n"/>
      <c r="CB8" s="188">
        <f>BZ8+IF(NOT(ISBLANK(OFFSET(CB8,0,6))),N(OFFSET(CB8,0,6)),N(OFFSET(CB8,0,7)))-CA8</f>
        <v/>
      </c>
      <c r="CC8" s="6" t="n"/>
      <c r="CD8" s="19" t="n"/>
      <c r="CE8" s="19" t="n"/>
      <c r="CG8" s="27" t="n"/>
      <c r="CI8" s="179" t="n">
        <v>0</v>
      </c>
      <c r="CJ8" s="179" t="n">
        <v>900</v>
      </c>
      <c r="CK8" s="179" t="n">
        <v>600</v>
      </c>
      <c r="CL8" s="179" t="n"/>
      <c r="CM8" s="179" t="n"/>
      <c r="CN8" s="179" t="n">
        <v>2700</v>
      </c>
      <c r="CO8" s="179" t="n"/>
      <c r="CP8" s="179" t="n"/>
      <c r="CQ8" s="179" t="n"/>
      <c r="CR8" s="402" t="inlineStr">
        <is>
          <t>1200 DE CDP</t>
        </is>
      </c>
      <c r="CS8" s="179" t="n"/>
      <c r="CT8" s="18" t="n"/>
      <c r="CU8" s="179" t="n">
        <v>2700</v>
      </c>
      <c r="CV8" s="179" t="n"/>
      <c r="CW8" s="179" t="n"/>
      <c r="CX8" s="179" t="n">
        <v>2700</v>
      </c>
      <c r="CY8" s="179" t="n"/>
      <c r="CZ8" s="179" t="n"/>
      <c r="DA8" s="179" t="n"/>
      <c r="DB8" s="179" t="n"/>
      <c r="DC8" s="179" t="n"/>
      <c r="DD8" s="179" t="n"/>
      <c r="DE8" s="179" t="n"/>
      <c r="DF8" s="179" t="n">
        <v>2700</v>
      </c>
      <c r="DG8" s="179" t="n"/>
      <c r="DH8" s="179" t="n"/>
      <c r="DI8" s="179" t="n"/>
      <c r="DJ8" s="179" t="n">
        <v>2700</v>
      </c>
      <c r="DK8" s="179" t="n">
        <v>600</v>
      </c>
      <c r="DL8" s="179" t="n">
        <v>1200</v>
      </c>
      <c r="DM8" s="179" t="n"/>
      <c r="DN8" s="179" t="n">
        <v>1200</v>
      </c>
      <c r="DO8" s="179" t="n">
        <v>1200</v>
      </c>
      <c r="DP8" s="179" t="n">
        <v>600</v>
      </c>
      <c r="DQ8" s="179" t="n">
        <v>1200</v>
      </c>
      <c r="DR8" s="179" t="n"/>
      <c r="DS8" s="179" t="n">
        <v>900</v>
      </c>
      <c r="DT8" s="179" t="n">
        <v>900</v>
      </c>
      <c r="DU8" s="356" t="n"/>
      <c r="DV8" s="179" t="n"/>
      <c r="DW8" s="179" t="n"/>
      <c r="DX8" s="256" t="n"/>
      <c r="DY8" s="256" t="n"/>
      <c r="DZ8" s="256" t="n"/>
      <c r="EA8" s="179" t="n"/>
      <c r="EB8" s="179" t="n">
        <v>2100</v>
      </c>
      <c r="EC8" s="179" t="n"/>
      <c r="ED8" s="179" t="n"/>
      <c r="EE8" s="179" t="n">
        <v>600</v>
      </c>
      <c r="EF8" s="179" t="n"/>
      <c r="EG8" s="179" t="n"/>
      <c r="EH8" s="179" t="n">
        <v>2100</v>
      </c>
      <c r="EI8" s="179" t="n"/>
      <c r="EJ8" s="179" t="n"/>
      <c r="EK8" s="179" t="n">
        <v>2700</v>
      </c>
      <c r="EL8" s="179" t="n"/>
      <c r="EM8" s="179" t="n">
        <v>600</v>
      </c>
      <c r="EN8" s="179" t="n"/>
      <c r="EO8" s="179" t="n"/>
      <c r="EP8" s="179" t="n">
        <v>1500</v>
      </c>
      <c r="EQ8" s="179" t="n"/>
      <c r="ER8" s="179" t="n"/>
      <c r="ES8" s="179" t="n"/>
      <c r="ET8" s="179" t="n">
        <v>600</v>
      </c>
      <c r="EU8" s="179" t="n">
        <v>1200</v>
      </c>
      <c r="EV8" s="256" t="n"/>
      <c r="EW8" s="179" t="n">
        <v>600</v>
      </c>
      <c r="EX8" s="256" t="n"/>
      <c r="EY8" s="256" t="n"/>
      <c r="EZ8" s="256" t="n"/>
      <c r="FA8" s="179" t="n"/>
      <c r="FB8" s="179" t="n">
        <v>2100</v>
      </c>
      <c r="FC8" s="256" t="n"/>
      <c r="FD8" s="256" t="n"/>
      <c r="FE8" s="256" t="n"/>
      <c r="FF8" s="256" t="n"/>
      <c r="FG8" s="256" t="n"/>
      <c r="FH8" s="256" t="n"/>
      <c r="FI8" s="241" t="inlineStr">
        <is>
          <t>1500 DE CD</t>
        </is>
      </c>
      <c r="FJ8" s="179" t="n"/>
      <c r="FK8" s="179" t="n"/>
      <c r="FL8" s="256" t="n"/>
      <c r="FM8" s="256" t="n"/>
      <c r="FN8" s="179" t="n">
        <v>900</v>
      </c>
      <c r="FO8" s="179" t="n"/>
      <c r="FP8" s="179" t="n"/>
      <c r="FQ8" s="179" t="n">
        <v>2100</v>
      </c>
      <c r="FR8" s="179" t="n"/>
      <c r="FS8" s="179" t="n"/>
      <c r="FT8" s="179" t="n"/>
      <c r="FU8" s="179" t="n">
        <v>1500</v>
      </c>
      <c r="FV8" s="256" t="n"/>
      <c r="FW8" s="179" t="n">
        <v>2100</v>
      </c>
      <c r="FX8" s="179" t="n"/>
      <c r="FY8" s="179" t="n">
        <v>600</v>
      </c>
      <c r="FZ8" s="256" t="n"/>
      <c r="GA8" s="179" t="n"/>
      <c r="GB8" s="179" t="n">
        <v>1500</v>
      </c>
      <c r="GC8" s="260" t="n"/>
      <c r="GD8" s="179" t="n"/>
      <c r="GE8" s="179" t="n"/>
      <c r="GF8" s="179" t="n"/>
      <c r="GG8" s="179" t="n">
        <v>900</v>
      </c>
      <c r="GH8" s="260" t="n"/>
      <c r="GI8" s="260" t="n"/>
      <c r="GJ8" s="239" t="inlineStr">
        <is>
          <t>900 DE CD</t>
        </is>
      </c>
      <c r="GK8" s="179" t="n"/>
      <c r="GL8" s="179" t="n"/>
      <c r="GM8" s="179" t="n"/>
      <c r="GN8" s="179" t="n">
        <v>900</v>
      </c>
      <c r="GO8" s="179" t="n">
        <v>1800</v>
      </c>
      <c r="GP8" s="179" t="n"/>
      <c r="GQ8" s="179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3600</v>
      </c>
      <c r="E9" s="6" t="n"/>
      <c r="F9" s="187" t="n">
        <v>1000</v>
      </c>
      <c r="G9" s="187">
        <f>3600+GN9</f>
        <v/>
      </c>
      <c r="H9" s="187" t="n">
        <v>4800</v>
      </c>
      <c r="I9" s="187">
        <f>3000+2000</f>
        <v/>
      </c>
      <c r="J9" s="187">
        <f>4000+2200</f>
        <v/>
      </c>
      <c r="K9" s="187">
        <f>4600+GG9</f>
        <v/>
      </c>
      <c r="L9" s="187">
        <f>4800+GE9</f>
        <v/>
      </c>
      <c r="M9" s="187" t="n">
        <v>7600</v>
      </c>
      <c r="N9" s="187" t="n">
        <v>6800</v>
      </c>
      <c r="O9" s="187" t="n">
        <v>5900</v>
      </c>
      <c r="P9" s="187" t="n">
        <v>5000</v>
      </c>
      <c r="Q9" s="187" t="n">
        <v>3200</v>
      </c>
      <c r="R9" s="187" t="n">
        <v>1400</v>
      </c>
      <c r="S9" s="187" t="n">
        <v>600</v>
      </c>
      <c r="T9" s="187" t="n">
        <v>2200</v>
      </c>
      <c r="U9" s="187" t="n">
        <v>1000</v>
      </c>
      <c r="V9" s="187" t="n">
        <v>1000</v>
      </c>
      <c r="W9" s="187" t="n">
        <v>0</v>
      </c>
      <c r="X9" s="187" t="n">
        <v>2600</v>
      </c>
      <c r="Y9" s="187">
        <f>1600+1000</f>
        <v/>
      </c>
      <c r="Z9" s="187" t="n">
        <v>2000</v>
      </c>
      <c r="AA9" s="187" t="n">
        <v>3400</v>
      </c>
      <c r="AB9" s="187" t="n">
        <v>2600</v>
      </c>
      <c r="AC9" s="187" t="n">
        <v>800</v>
      </c>
      <c r="AD9" s="187" t="n">
        <v>3000</v>
      </c>
      <c r="AE9" s="187" t="n">
        <v>1800</v>
      </c>
      <c r="AF9" s="187" t="n">
        <v>2200</v>
      </c>
      <c r="AG9" s="187" t="n">
        <v>2800</v>
      </c>
      <c r="AH9" s="187" t="n">
        <v>1400</v>
      </c>
      <c r="AI9" s="187" t="n">
        <v>2600</v>
      </c>
      <c r="AJ9" s="187" t="n">
        <v>2800</v>
      </c>
      <c r="AK9" s="187" t="n">
        <v>1400</v>
      </c>
      <c r="AL9" s="187" t="n">
        <v>2000</v>
      </c>
      <c r="AM9" s="187" t="n">
        <v>4200</v>
      </c>
      <c r="AN9" s="187" t="n">
        <v>2400</v>
      </c>
      <c r="AO9" s="187">
        <f>1400+EE9</f>
        <v/>
      </c>
      <c r="AP9" s="187" t="n">
        <v>2200</v>
      </c>
      <c r="AQ9" s="187">
        <f>2000+EB9</f>
        <v/>
      </c>
      <c r="AR9" s="187" t="n">
        <v>1200</v>
      </c>
      <c r="AS9" s="187">
        <f>2000+DV9</f>
        <v/>
      </c>
      <c r="AT9" s="187" t="n">
        <v>2800</v>
      </c>
      <c r="AU9" s="187" t="n">
        <v>2200</v>
      </c>
      <c r="AV9" s="187" t="n">
        <v>3200</v>
      </c>
      <c r="AW9" s="187" t="n">
        <v>2600</v>
      </c>
      <c r="AX9" s="187" t="n">
        <v>1400</v>
      </c>
      <c r="AY9" s="187" t="n">
        <v>0</v>
      </c>
      <c r="AZ9" s="187" t="n">
        <v>2600</v>
      </c>
      <c r="BA9" s="187">
        <f>200+DN9</f>
        <v/>
      </c>
      <c r="BB9" s="187">
        <f>1600+DL9</f>
        <v/>
      </c>
      <c r="BC9" s="187">
        <f>2400+DK9</f>
        <v/>
      </c>
      <c r="BD9" s="187" t="n">
        <v>3600</v>
      </c>
      <c r="BE9" s="187">
        <f>1000+DI9</f>
        <v/>
      </c>
      <c r="BF9" s="187" t="n">
        <v>2400</v>
      </c>
      <c r="BG9" s="187" t="n">
        <v>1800</v>
      </c>
      <c r="BH9" s="187">
        <f>1800+DE9</f>
        <v/>
      </c>
      <c r="BI9" s="187" t="n">
        <v>4000</v>
      </c>
      <c r="BJ9" s="187" t="n">
        <v>2200</v>
      </c>
      <c r="BK9" s="187">
        <f>400+CX9+CW9+CV9</f>
        <v/>
      </c>
      <c r="BL9" s="187" t="n">
        <v>4400</v>
      </c>
      <c r="BM9" s="187" t="n">
        <v>1400</v>
      </c>
      <c r="BN9" s="187" t="n">
        <v>4800</v>
      </c>
      <c r="BO9" s="187">
        <f>2800+CS9+1600</f>
        <v/>
      </c>
      <c r="BP9" s="187" t="n">
        <v>3200</v>
      </c>
      <c r="BQ9" s="187">
        <f>400+CO9</f>
        <v/>
      </c>
      <c r="BR9" s="187">
        <f>0+CN9</f>
        <v/>
      </c>
      <c r="BS9" s="187">
        <f>2000+CL9</f>
        <v/>
      </c>
      <c r="BT9" s="187">
        <f>1800+CK9</f>
        <v/>
      </c>
      <c r="BU9" s="187" t="n">
        <v>5000</v>
      </c>
      <c r="BV9" s="187" t="n">
        <v>2000</v>
      </c>
      <c r="BW9" s="187" t="n">
        <v>600</v>
      </c>
      <c r="BX9" s="187" t="n">
        <v>400</v>
      </c>
      <c r="BY9" s="187" t="n">
        <v>0</v>
      </c>
      <c r="BZ9" s="187" t="n"/>
      <c r="CA9" s="187" t="n"/>
      <c r="CB9" s="188">
        <f>BZ9+IF(NOT(ISBLANK(OFFSET(CB9,0,6))),N(OFFSET(CB9,0,6)),N(OFFSET(CB9,0,7)))-CA9</f>
        <v/>
      </c>
      <c r="CC9" s="6" t="n"/>
      <c r="CD9" s="19" t="n"/>
      <c r="CE9" s="19" t="n"/>
      <c r="CG9" s="27" t="n"/>
      <c r="CI9" s="179" t="n">
        <v>0</v>
      </c>
      <c r="CJ9" s="179" t="n">
        <v>0</v>
      </c>
      <c r="CK9" s="179" t="n">
        <v>4000</v>
      </c>
      <c r="CL9" s="179" t="n">
        <v>2000</v>
      </c>
      <c r="CM9" s="403" t="n">
        <v>6000</v>
      </c>
      <c r="CN9" s="179" t="n">
        <v>3600</v>
      </c>
      <c r="CO9" s="179" t="n">
        <v>2000</v>
      </c>
      <c r="CP9" s="179" t="n"/>
      <c r="CQ9" s="179" t="n">
        <v>600</v>
      </c>
      <c r="CR9" s="402" t="inlineStr">
        <is>
          <t>1600 DE CDP</t>
        </is>
      </c>
      <c r="CS9" s="179" t="n">
        <v>1200</v>
      </c>
      <c r="CT9" s="18" t="n"/>
      <c r="CU9" s="179" t="n">
        <v>4000</v>
      </c>
      <c r="CV9" s="179" t="n">
        <v>2000</v>
      </c>
      <c r="CW9" s="179" t="n">
        <v>2000</v>
      </c>
      <c r="CX9" s="179" t="n">
        <v>2000</v>
      </c>
      <c r="CY9" s="179" t="n"/>
      <c r="CZ9" s="179" t="n"/>
      <c r="DA9" s="179" t="n"/>
      <c r="DB9" s="179" t="n">
        <v>1000</v>
      </c>
      <c r="DC9" s="179" t="n"/>
      <c r="DD9" s="179" t="n"/>
      <c r="DE9" s="179" t="n">
        <v>3600</v>
      </c>
      <c r="DF9" s="179" t="n">
        <v>2000</v>
      </c>
      <c r="DG9" s="179" t="n"/>
      <c r="DH9" s="179" t="n"/>
      <c r="DI9" s="179" t="n">
        <v>4000</v>
      </c>
      <c r="DJ9" s="179" t="n"/>
      <c r="DK9" s="179" t="n">
        <v>3600</v>
      </c>
      <c r="DL9" s="179" t="n">
        <v>2400</v>
      </c>
      <c r="DM9" s="179" t="n"/>
      <c r="DN9" s="179" t="n">
        <v>3600</v>
      </c>
      <c r="DO9" s="179" t="n"/>
      <c r="DP9" s="179" t="n">
        <v>3600</v>
      </c>
      <c r="DQ9" s="179" t="n">
        <v>1000</v>
      </c>
      <c r="DR9" s="179" t="n"/>
      <c r="DS9" s="179" t="n">
        <v>3600</v>
      </c>
      <c r="DT9" s="179" t="n"/>
      <c r="DU9" s="256" t="n">
        <v>200</v>
      </c>
      <c r="DV9" s="179" t="n">
        <v>3600</v>
      </c>
      <c r="DW9" s="179" t="n">
        <v>1000</v>
      </c>
      <c r="DX9" s="256" t="n"/>
      <c r="DY9" s="256" t="n"/>
      <c r="DZ9" s="256" t="n"/>
      <c r="EA9" s="179" t="n"/>
      <c r="EB9" s="179" t="n">
        <v>1600</v>
      </c>
      <c r="EC9" s="179" t="n">
        <v>1000</v>
      </c>
      <c r="ED9" s="179" t="n"/>
      <c r="EE9" s="179" t="n">
        <v>2400</v>
      </c>
      <c r="EF9" s="179" t="n"/>
      <c r="EG9" s="179" t="n"/>
      <c r="EH9" s="179" t="n">
        <v>3600</v>
      </c>
      <c r="EI9" s="179" t="n"/>
      <c r="EJ9" s="179" t="n">
        <v>1000</v>
      </c>
      <c r="EK9" s="179" t="n">
        <v>2000</v>
      </c>
      <c r="EL9" s="179" t="n"/>
      <c r="EM9" s="179" t="n">
        <v>1800</v>
      </c>
      <c r="EN9" s="179" t="n"/>
      <c r="EO9" s="179" t="n"/>
      <c r="EP9" s="179" t="n">
        <v>2000</v>
      </c>
      <c r="EQ9" s="179" t="n"/>
      <c r="ER9" s="179" t="n">
        <v>1600</v>
      </c>
      <c r="ES9" s="179" t="n"/>
      <c r="ET9" s="179" t="n">
        <v>1200</v>
      </c>
      <c r="EU9" s="179" t="n">
        <v>800</v>
      </c>
      <c r="EV9" s="256" t="n"/>
      <c r="EW9" s="179" t="n">
        <v>3000</v>
      </c>
      <c r="EX9" s="256" t="n"/>
      <c r="EY9" s="256" t="n"/>
      <c r="EZ9" s="256" t="n"/>
      <c r="FA9" s="179" t="n"/>
      <c r="FB9" s="179" t="n">
        <v>2000</v>
      </c>
      <c r="FC9" s="256" t="n"/>
      <c r="FD9" s="256" t="n"/>
      <c r="FE9" s="256" t="n"/>
      <c r="FF9" s="256" t="n"/>
      <c r="FG9" s="256" t="n"/>
      <c r="FH9" s="256" t="n"/>
      <c r="FI9" s="241" t="inlineStr">
        <is>
          <t>1000 DE CD</t>
        </is>
      </c>
      <c r="FJ9" s="179" t="n"/>
      <c r="FK9" s="179" t="n">
        <v>2000</v>
      </c>
      <c r="FL9" s="256" t="n"/>
      <c r="FM9" s="256" t="n"/>
      <c r="FN9" s="179" t="n">
        <v>1000</v>
      </c>
      <c r="FO9" s="179" t="n"/>
      <c r="FP9" s="179" t="n">
        <v>1000</v>
      </c>
      <c r="FQ9" s="179" t="n">
        <v>2400</v>
      </c>
      <c r="FR9" s="179" t="n"/>
      <c r="FS9" s="179" t="n"/>
      <c r="FT9" s="179" t="n"/>
      <c r="FU9" s="179" t="n">
        <v>2400</v>
      </c>
      <c r="FV9" s="256" t="n"/>
      <c r="FW9" s="179" t="n"/>
      <c r="FX9" s="179" t="n"/>
      <c r="FY9" s="179" t="n"/>
      <c r="FZ9" s="256" t="n">
        <v>3000</v>
      </c>
      <c r="GA9" s="179" t="n"/>
      <c r="GB9" s="179" t="n"/>
      <c r="GC9" s="260" t="n"/>
      <c r="GD9" s="179" t="n"/>
      <c r="GE9" s="179" t="n">
        <v>4000</v>
      </c>
      <c r="GF9" s="179" t="n"/>
      <c r="GG9" s="179" t="n">
        <v>1000</v>
      </c>
      <c r="GH9" s="263" t="inlineStr">
        <is>
          <t>16 SAC. 2023 + 1600 SAC. 2024 DE CD</t>
        </is>
      </c>
      <c r="GI9" s="239" t="inlineStr">
        <is>
          <t>2200 DE CD</t>
        </is>
      </c>
      <c r="GJ9" s="239" t="inlineStr">
        <is>
          <t>2000 DE CD</t>
        </is>
      </c>
      <c r="GK9" s="179" t="n"/>
      <c r="GL9" s="179" t="n">
        <v>600</v>
      </c>
      <c r="GM9" s="179" t="n"/>
      <c r="GN9" s="179" t="n">
        <v>1000</v>
      </c>
      <c r="GO9" s="179" t="n">
        <v>3000</v>
      </c>
      <c r="GP9" s="179" t="n"/>
      <c r="GQ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1000</v>
      </c>
      <c r="E10" s="6" t="n"/>
      <c r="F10" s="187" t="n">
        <v>2000</v>
      </c>
      <c r="G10" s="187">
        <f>2600+GN10</f>
        <v/>
      </c>
      <c r="H10" s="187" t="n">
        <v>4200</v>
      </c>
      <c r="I10" s="187">
        <f>4000+1000</f>
        <v/>
      </c>
      <c r="J10" s="187">
        <f>4600+1400</f>
        <v/>
      </c>
      <c r="K10" s="187" t="n">
        <v>5600</v>
      </c>
      <c r="L10" s="187" t="n">
        <v>5400</v>
      </c>
      <c r="M10" s="187" t="n">
        <v>5400</v>
      </c>
      <c r="N10" s="187" t="n">
        <v>5200</v>
      </c>
      <c r="O10" s="187" t="n">
        <v>5000</v>
      </c>
      <c r="P10" s="187" t="n">
        <v>4800</v>
      </c>
      <c r="Q10" s="187" t="n">
        <v>4800</v>
      </c>
      <c r="R10" s="187" t="n">
        <v>4800</v>
      </c>
      <c r="S10" s="187" t="n">
        <v>4800</v>
      </c>
      <c r="T10" s="187" t="n">
        <v>4800</v>
      </c>
      <c r="U10" s="187" t="n">
        <v>4800</v>
      </c>
      <c r="V10" s="187" t="n">
        <v>4800</v>
      </c>
      <c r="W10" s="187" t="n">
        <v>4800</v>
      </c>
      <c r="X10" s="187" t="n">
        <v>4800</v>
      </c>
      <c r="Y10" s="187">
        <f>3600-1000</f>
        <v/>
      </c>
      <c r="Z10" s="187" t="n">
        <v>2600</v>
      </c>
      <c r="AA10" s="187">
        <f>2600-400</f>
        <v/>
      </c>
      <c r="AB10" s="187" t="n">
        <v>2000</v>
      </c>
      <c r="AC10" s="187">
        <f>2000-600</f>
        <v/>
      </c>
      <c r="AD10" s="187" t="n">
        <v>1000</v>
      </c>
      <c r="AE10" s="187" t="n">
        <v>800</v>
      </c>
      <c r="AF10" s="187" t="n">
        <v>800</v>
      </c>
      <c r="AG10" s="187" t="n">
        <v>1000</v>
      </c>
      <c r="AH10" s="187" t="n">
        <v>600</v>
      </c>
      <c r="AI10" s="187" t="n">
        <v>400</v>
      </c>
      <c r="AJ10" s="187" t="n">
        <v>0</v>
      </c>
      <c r="AK10" s="187" t="n">
        <v>0</v>
      </c>
      <c r="AL10" s="187" t="n">
        <v>0</v>
      </c>
      <c r="AM10" s="187" t="n">
        <v>1000</v>
      </c>
      <c r="AN10" s="187" t="n">
        <v>800</v>
      </c>
      <c r="AO10" s="187">
        <f>600+EE10</f>
        <v/>
      </c>
      <c r="AP10" s="187" t="n">
        <v>600</v>
      </c>
      <c r="AQ10" s="187" t="n">
        <v>1000</v>
      </c>
      <c r="AR10" s="187" t="n">
        <v>1000</v>
      </c>
      <c r="AS10" s="187" t="n">
        <v>1000</v>
      </c>
      <c r="AT10" s="187" t="n">
        <v>800</v>
      </c>
      <c r="AU10" s="187" t="n">
        <v>200</v>
      </c>
      <c r="AV10" s="187">
        <f>200+DR10</f>
        <v/>
      </c>
      <c r="AW10" s="187" t="n">
        <v>1000</v>
      </c>
      <c r="AX10" s="187" t="n">
        <v>600</v>
      </c>
      <c r="AY10" s="187" t="n">
        <v>0</v>
      </c>
      <c r="AZ10" s="187" t="n">
        <v>400</v>
      </c>
      <c r="BA10" s="187">
        <f>0+DN10</f>
        <v/>
      </c>
      <c r="BB10" s="187">
        <f>1000+DL10</f>
        <v/>
      </c>
      <c r="BC10" s="187" t="n">
        <v>1800</v>
      </c>
      <c r="BD10" s="187">
        <f>1800+DJ10</f>
        <v/>
      </c>
      <c r="BE10" s="187" t="n">
        <v>2600</v>
      </c>
      <c r="BF10" s="187" t="n">
        <v>1800</v>
      </c>
      <c r="BG10" s="187" t="n">
        <v>1800</v>
      </c>
      <c r="BH10" s="187" t="n">
        <v>1400</v>
      </c>
      <c r="BI10" s="187" t="n">
        <v>1400</v>
      </c>
      <c r="BJ10" s="187" t="n">
        <v>1200</v>
      </c>
      <c r="BK10" s="187">
        <f>1200+CX10</f>
        <v/>
      </c>
      <c r="BL10" s="187" t="n">
        <v>1600</v>
      </c>
      <c r="BM10" s="187" t="n">
        <v>1600</v>
      </c>
      <c r="BN10" s="187" t="n">
        <v>1600</v>
      </c>
      <c r="BO10" s="187">
        <f>600+1000</f>
        <v/>
      </c>
      <c r="BP10" s="187" t="n">
        <v>1400</v>
      </c>
      <c r="BQ10" s="187" t="n">
        <v>600</v>
      </c>
      <c r="BR10" s="187">
        <f>200+CN10</f>
        <v/>
      </c>
      <c r="BS10" s="187" t="n">
        <v>1000</v>
      </c>
      <c r="BT10" s="187" t="n">
        <v>800</v>
      </c>
      <c r="BU10" s="187" t="n">
        <v>800</v>
      </c>
      <c r="BV10" s="187" t="n">
        <v>800</v>
      </c>
      <c r="BW10" s="187" t="n">
        <v>600</v>
      </c>
      <c r="BX10" s="187" t="n">
        <v>200</v>
      </c>
      <c r="BY10" s="187" t="n">
        <v>200</v>
      </c>
      <c r="BZ10" s="187" t="n"/>
      <c r="CA10" s="187" t="n"/>
      <c r="CB10" s="188">
        <f>BZ10+IF(NOT(ISBLANK(OFFSET(CB10,0,6))),N(OFFSET(CB10,0,6)),N(OFFSET(CB10,0,7)))-CA10</f>
        <v/>
      </c>
      <c r="CC10" s="6" t="n"/>
      <c r="CD10" s="19" t="n"/>
      <c r="CE10" s="19" t="n"/>
      <c r="CF10" s="4" t="n"/>
      <c r="CG10" s="27" t="n"/>
      <c r="CH10" s="4" t="n"/>
      <c r="CI10" s="18" t="n">
        <v>0</v>
      </c>
      <c r="CJ10" s="18" t="n">
        <v>0</v>
      </c>
      <c r="CK10" s="18" t="n"/>
      <c r="CL10" s="18" t="n"/>
      <c r="CM10" s="403" t="n">
        <v>2000</v>
      </c>
      <c r="CN10" s="18" t="n">
        <v>1000</v>
      </c>
      <c r="CO10" s="18" t="n"/>
      <c r="CP10" s="418" t="n">
        <v>600</v>
      </c>
      <c r="CQ10" s="18" t="n"/>
      <c r="CR10" s="154" t="inlineStr">
        <is>
          <t>1000 DE CDP</t>
        </is>
      </c>
      <c r="CS10" s="18" t="n"/>
      <c r="CT10" s="18" t="n"/>
      <c r="CU10" s="18" t="n"/>
      <c r="CV10" s="18" t="n"/>
      <c r="CW10" s="18" t="n"/>
      <c r="CX10" s="18" t="n">
        <v>400</v>
      </c>
      <c r="CY10" s="18" t="n"/>
      <c r="CZ10" s="18" t="n"/>
      <c r="DA10" s="18" t="n"/>
      <c r="DB10" s="18" t="n"/>
      <c r="DC10" s="18" t="n"/>
      <c r="DD10" s="18" t="n"/>
      <c r="DE10" s="18" t="n"/>
      <c r="DF10" s="18" t="n"/>
      <c r="DG10" s="18" t="n"/>
      <c r="DH10" s="18" t="n"/>
      <c r="DI10" s="18" t="n"/>
      <c r="DJ10" s="18" t="n">
        <v>1200</v>
      </c>
      <c r="DK10" s="18" t="n"/>
      <c r="DL10" s="18" t="n">
        <v>1000</v>
      </c>
      <c r="DM10" s="18" t="n"/>
      <c r="DN10" s="18" t="n">
        <v>1000</v>
      </c>
      <c r="DO10" s="18" t="n"/>
      <c r="DP10" s="18" t="n">
        <v>1000</v>
      </c>
      <c r="DQ10" s="18" t="n"/>
      <c r="DR10" s="18" t="n">
        <v>1000</v>
      </c>
      <c r="DS10" s="18" t="n">
        <v>200</v>
      </c>
      <c r="DT10" s="18" t="n"/>
      <c r="DU10" s="256" t="n">
        <v>200</v>
      </c>
      <c r="DV10" s="18" t="n"/>
      <c r="DW10" s="18" t="n"/>
      <c r="DX10" s="256" t="n"/>
      <c r="DY10" s="404" t="inlineStr">
        <is>
          <t>130 DE CDP</t>
        </is>
      </c>
      <c r="DZ10" s="404" t="inlineStr">
        <is>
          <t>20 P/ ER PBE</t>
        </is>
      </c>
      <c r="EA10" s="18" t="n"/>
      <c r="EB10" s="18" t="n"/>
      <c r="EC10" s="18" t="n">
        <v>400</v>
      </c>
      <c r="ED10" s="18" t="n"/>
      <c r="EE10" s="18" t="n">
        <v>200</v>
      </c>
      <c r="EF10" s="18" t="n"/>
      <c r="EG10" s="18" t="n"/>
      <c r="EH10" s="18" t="n">
        <v>1000</v>
      </c>
      <c r="EI10" s="18" t="n"/>
      <c r="EJ10" s="18" t="n"/>
      <c r="EK10" s="18" t="n"/>
      <c r="EL10" s="18" t="n"/>
      <c r="EM10" s="18" t="n"/>
      <c r="EN10" s="18" t="n"/>
      <c r="EO10" s="292" t="inlineStr">
        <is>
          <t>1000 P/ CDP</t>
        </is>
      </c>
      <c r="EP10" s="18" t="n"/>
      <c r="EQ10" s="179" t="n"/>
      <c r="ER10" s="18" t="n">
        <v>200</v>
      </c>
      <c r="ES10" s="256" t="n">
        <v>2200</v>
      </c>
      <c r="ET10" s="18" t="n">
        <v>200</v>
      </c>
      <c r="EU10" s="18" t="n">
        <v>400</v>
      </c>
      <c r="EV10" s="256" t="n"/>
      <c r="EW10" s="18" t="n"/>
      <c r="EX10" s="256" t="n"/>
      <c r="EY10" s="239" t="inlineStr">
        <is>
          <t>600 P/ CD</t>
        </is>
      </c>
      <c r="EZ10" s="239" t="inlineStr">
        <is>
          <t>400 P/ ER PBE</t>
        </is>
      </c>
      <c r="FA10" s="18" t="n"/>
      <c r="FB10" s="18" t="n"/>
      <c r="FC10" s="256" t="n"/>
      <c r="FD10" s="256" t="n"/>
      <c r="FE10" s="256" t="n"/>
      <c r="FF10" s="312" t="inlineStr">
        <is>
          <t>200 P/ CD</t>
        </is>
      </c>
      <c r="FG10" s="256" t="n"/>
      <c r="FH10" s="256" t="n"/>
      <c r="FI10" s="256" t="n"/>
      <c r="FJ10" s="241" t="inlineStr">
        <is>
          <t>1000 P/ PL</t>
        </is>
      </c>
      <c r="FK10" s="18" t="n"/>
      <c r="FL10" s="256" t="n">
        <v>500</v>
      </c>
      <c r="FM10" s="256" t="n"/>
      <c r="FN10" s="18" t="n"/>
      <c r="FO10" s="18" t="n"/>
      <c r="FP10" s="18" t="n"/>
      <c r="FQ10" s="18" t="n"/>
      <c r="FR10" s="18" t="n"/>
      <c r="FS10" s="18" t="n"/>
      <c r="FT10" s="18" t="n"/>
      <c r="FU10" s="18" t="n"/>
      <c r="FV10" s="256" t="n"/>
      <c r="FW10" s="18" t="n"/>
      <c r="FX10" s="18" t="n"/>
      <c r="FY10" s="18" t="n"/>
      <c r="FZ10" s="256" t="n">
        <v>1600</v>
      </c>
      <c r="GA10" s="18" t="n"/>
      <c r="GB10" s="18" t="n"/>
      <c r="GC10" s="260" t="n"/>
      <c r="GD10" s="18" t="n"/>
      <c r="GE10" s="18" t="n"/>
      <c r="GF10" s="18" t="n"/>
      <c r="GG10" s="18" t="n"/>
      <c r="GH10" s="260" t="n"/>
      <c r="GI10" s="239" t="inlineStr">
        <is>
          <t>1400 DE CD</t>
        </is>
      </c>
      <c r="GJ10" s="239" t="inlineStr">
        <is>
          <t>1000 DE CD</t>
        </is>
      </c>
      <c r="GK10" s="18" t="n"/>
      <c r="GL10" s="18" t="n">
        <v>600</v>
      </c>
      <c r="GM10" s="18" t="n"/>
      <c r="GN10" s="18" t="n">
        <v>600</v>
      </c>
      <c r="GO10" s="18" t="n">
        <v>600</v>
      </c>
      <c r="GP10" s="18" t="n"/>
      <c r="GQ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400</v>
      </c>
      <c r="E11" s="6" t="n"/>
      <c r="F11" s="38" t="n">
        <v>500</v>
      </c>
      <c r="G11" s="38">
        <f>500+GN11</f>
        <v/>
      </c>
      <c r="H11" s="38" t="n">
        <v>700</v>
      </c>
      <c r="I11" s="38" t="n">
        <v>700</v>
      </c>
      <c r="J11" s="38">
        <f>700+1000</f>
        <v/>
      </c>
      <c r="K11" s="38" t="n">
        <v>1700</v>
      </c>
      <c r="L11" s="38" t="n">
        <v>1600</v>
      </c>
      <c r="M11" s="38" t="n">
        <v>1700</v>
      </c>
      <c r="N11" s="38" t="n">
        <v>1600</v>
      </c>
      <c r="O11" s="38" t="n">
        <v>1600</v>
      </c>
      <c r="P11" s="38" t="n">
        <v>1500</v>
      </c>
      <c r="Q11" s="38" t="n">
        <v>1300</v>
      </c>
      <c r="R11" s="38" t="n">
        <v>1300</v>
      </c>
      <c r="S11" s="38" t="n">
        <v>1200</v>
      </c>
      <c r="T11" s="38" t="n">
        <v>1200</v>
      </c>
      <c r="U11" s="38" t="n">
        <v>1200</v>
      </c>
      <c r="V11" s="38" t="n">
        <v>1200</v>
      </c>
      <c r="W11" s="38" t="n">
        <v>1200</v>
      </c>
      <c r="X11" s="38" t="n">
        <v>1100</v>
      </c>
      <c r="Y11" s="38" t="n">
        <v>800</v>
      </c>
      <c r="Z11" s="38" t="n">
        <v>800</v>
      </c>
      <c r="AA11" s="38" t="n">
        <v>600</v>
      </c>
      <c r="AB11" s="38" t="n">
        <v>400</v>
      </c>
      <c r="AC11" s="38" t="n">
        <v>100</v>
      </c>
      <c r="AD11" s="38" t="n">
        <v>0</v>
      </c>
      <c r="AE11" s="38" t="n">
        <v>0</v>
      </c>
      <c r="AF11" s="38" t="n">
        <v>0</v>
      </c>
      <c r="AG11" s="38" t="n">
        <v>400</v>
      </c>
      <c r="AH11" s="38" t="n">
        <v>300</v>
      </c>
      <c r="AI11" s="38" t="n">
        <v>200</v>
      </c>
      <c r="AJ11" s="38" t="n">
        <v>300</v>
      </c>
      <c r="AK11" s="38" t="n">
        <v>100</v>
      </c>
      <c r="AL11" s="38" t="n">
        <v>400</v>
      </c>
      <c r="AM11" s="38" t="n">
        <v>200</v>
      </c>
      <c r="AN11" s="38" t="n">
        <v>600</v>
      </c>
      <c r="AO11" s="38" t="n">
        <v>600</v>
      </c>
      <c r="AP11" s="38" t="n">
        <v>500</v>
      </c>
      <c r="AQ11" s="38" t="n">
        <v>500</v>
      </c>
      <c r="AR11" s="38" t="n">
        <v>500</v>
      </c>
      <c r="AS11" s="38" t="n">
        <v>500</v>
      </c>
      <c r="AT11" s="38" t="n">
        <v>100</v>
      </c>
      <c r="AU11" s="38" t="n">
        <v>0</v>
      </c>
      <c r="AV11" s="38" t="n">
        <v>500</v>
      </c>
      <c r="AW11" s="38" t="n">
        <v>500</v>
      </c>
      <c r="AX11" s="38" t="n">
        <v>300</v>
      </c>
      <c r="AY11" s="38" t="n">
        <v>100</v>
      </c>
      <c r="AZ11" s="38">
        <f>300+DO11</f>
        <v/>
      </c>
      <c r="BA11" s="38">
        <f>500+DN11</f>
        <v/>
      </c>
      <c r="BB11" s="38" t="n">
        <v>500</v>
      </c>
      <c r="BC11" s="38">
        <f>400+DK11</f>
        <v/>
      </c>
      <c r="BD11" s="38">
        <f>600+DJ11</f>
        <v/>
      </c>
      <c r="BE11" s="38" t="n">
        <v>500</v>
      </c>
      <c r="BF11" s="38" t="n">
        <v>200</v>
      </c>
      <c r="BG11" s="38" t="n">
        <v>200</v>
      </c>
      <c r="BH11" s="38" t="n">
        <v>900</v>
      </c>
      <c r="BI11" s="187">
        <f>900+700</f>
        <v/>
      </c>
      <c r="BJ11" s="187" t="n">
        <v>1600</v>
      </c>
      <c r="BK11" s="187">
        <f>1600+CX11</f>
        <v/>
      </c>
      <c r="BL11" s="187" t="n">
        <v>1800</v>
      </c>
      <c r="BM11" s="187" t="n">
        <v>1700</v>
      </c>
      <c r="BN11" s="187" t="n">
        <v>1500</v>
      </c>
      <c r="BO11" s="187">
        <f>1500+CS11</f>
        <v/>
      </c>
      <c r="BP11" s="187" t="n">
        <v>1100</v>
      </c>
      <c r="BQ11" s="187">
        <f>800+CO11</f>
        <v/>
      </c>
      <c r="BR11" s="187" t="n">
        <v>1900</v>
      </c>
      <c r="BS11" s="187" t="n">
        <v>1800</v>
      </c>
      <c r="BT11" s="187" t="n">
        <v>1800</v>
      </c>
      <c r="BU11" s="187" t="n">
        <v>1800</v>
      </c>
      <c r="BV11" s="187" t="n">
        <v>1700</v>
      </c>
      <c r="BW11" s="187" t="n">
        <v>1500</v>
      </c>
      <c r="BX11" s="187" t="n">
        <v>1000</v>
      </c>
      <c r="BY11" s="187" t="n">
        <v>300</v>
      </c>
      <c r="BZ11" s="187" t="n"/>
      <c r="CA11" s="187" t="n"/>
      <c r="CB11" s="188">
        <f>BZ11+IF(NOT(ISBLANK(OFFSET(CB11,0,6))),N(OFFSET(CB11,0,6)),N(OFFSET(CB11,0,7)))-CA11</f>
        <v/>
      </c>
      <c r="CC11" s="6" t="n"/>
      <c r="CD11" s="19" t="n"/>
      <c r="CE11" s="19" t="n"/>
      <c r="CF11" s="4" t="n"/>
      <c r="CG11" s="65" t="n"/>
      <c r="CH11" s="4" t="n"/>
      <c r="CI11" s="18" t="n">
        <v>0</v>
      </c>
      <c r="CJ11" s="18" t="n">
        <v>0</v>
      </c>
      <c r="CK11" s="18" t="n"/>
      <c r="CL11" s="18" t="n"/>
      <c r="CM11" s="403" t="n">
        <v>800</v>
      </c>
      <c r="CN11" s="18" t="n"/>
      <c r="CO11" s="18" t="n">
        <v>1200</v>
      </c>
      <c r="CP11" s="18" t="n"/>
      <c r="CQ11" s="18" t="n"/>
      <c r="CR11" s="18" t="n"/>
      <c r="CS11" s="18" t="n">
        <v>800</v>
      </c>
      <c r="CT11" s="18" t="n"/>
      <c r="CU11" s="18" t="n"/>
      <c r="CV11" s="18" t="n"/>
      <c r="CW11" s="18" t="n"/>
      <c r="CX11" s="18" t="n">
        <v>200</v>
      </c>
      <c r="CY11" s="18" t="n"/>
      <c r="CZ11" s="154" t="inlineStr">
        <is>
          <t>200 DE ER MG + 500 DE ER PBE</t>
        </is>
      </c>
      <c r="DA11" s="18" t="n"/>
      <c r="DB11" s="18" t="n"/>
      <c r="DC11" s="18" t="n"/>
      <c r="DD11" s="18" t="n"/>
      <c r="DE11" s="18" t="n">
        <v>300</v>
      </c>
      <c r="DF11" s="18" t="n">
        <v>400</v>
      </c>
      <c r="DG11" s="18" t="n"/>
      <c r="DH11" s="18" t="n"/>
      <c r="DI11" s="18" t="n"/>
      <c r="DJ11" s="18" t="n">
        <v>200</v>
      </c>
      <c r="DK11" s="18" t="n">
        <v>200</v>
      </c>
      <c r="DL11" s="18" t="n"/>
      <c r="DM11" s="18" t="n"/>
      <c r="DN11" s="18" t="n">
        <v>200</v>
      </c>
      <c r="DO11" s="18" t="n">
        <v>200</v>
      </c>
      <c r="DP11" s="18" t="n">
        <v>300</v>
      </c>
      <c r="DQ11" s="18" t="n"/>
      <c r="DR11" s="18" t="n"/>
      <c r="DS11" s="18" t="n">
        <v>500</v>
      </c>
      <c r="DT11" s="18" t="n"/>
      <c r="DU11" s="256" t="n"/>
      <c r="DV11" s="18" t="n"/>
      <c r="DW11" s="18" t="n"/>
      <c r="DX11" s="256" t="n"/>
      <c r="DY11" s="256" t="n"/>
      <c r="DZ11" s="256" t="n"/>
      <c r="EA11" s="18" t="n"/>
      <c r="EB11" s="18" t="n"/>
      <c r="EC11" s="18" t="n"/>
      <c r="ED11" s="18" t="n"/>
      <c r="EE11" s="18" t="n"/>
      <c r="EF11" s="376" t="inlineStr">
        <is>
          <t>60 DE CDP</t>
        </is>
      </c>
      <c r="EG11" s="18" t="n">
        <v>400</v>
      </c>
      <c r="EH11" s="18" t="n"/>
      <c r="EI11" s="18" t="n"/>
      <c r="EJ11" s="18" t="n">
        <v>400</v>
      </c>
      <c r="EK11" s="18" t="n"/>
      <c r="EL11" s="18" t="n">
        <v>100</v>
      </c>
      <c r="EM11" s="18" t="n">
        <v>100</v>
      </c>
      <c r="EN11" s="18" t="n"/>
      <c r="EO11" s="18" t="n"/>
      <c r="EP11" s="18" t="n"/>
      <c r="EQ11" s="18" t="n"/>
      <c r="ER11" s="18" t="n">
        <v>400</v>
      </c>
      <c r="ES11" s="18" t="n"/>
      <c r="ET11" s="18" t="n"/>
      <c r="EU11" s="18" t="n"/>
      <c r="EV11" s="18" t="n"/>
      <c r="EW11" s="18" t="n"/>
      <c r="EX11" s="18" t="n"/>
      <c r="EY11" s="18" t="n"/>
      <c r="EZ11" s="18" t="n"/>
      <c r="FA11" s="18" t="n"/>
      <c r="FB11" s="18" t="n"/>
      <c r="FC11" s="256" t="n"/>
      <c r="FD11" s="256" t="n"/>
      <c r="FE11" s="18" t="n"/>
      <c r="FF11" s="312" t="inlineStr">
        <is>
          <t>100 P/ CD</t>
        </is>
      </c>
      <c r="FG11" s="256" t="n"/>
      <c r="FH11" s="18" t="n"/>
      <c r="FI11" s="18" t="n"/>
      <c r="FJ11" s="18" t="n"/>
      <c r="FK11" s="18" t="n"/>
      <c r="FL11" s="256" t="n">
        <v>260</v>
      </c>
      <c r="FM11" s="256" t="n"/>
      <c r="FN11" s="18" t="n"/>
      <c r="FO11" s="18" t="n"/>
      <c r="FP11" s="18" t="n"/>
      <c r="FQ11" s="18" t="n"/>
      <c r="FR11" s="18" t="n"/>
      <c r="FS11" s="18" t="n"/>
      <c r="FT11" s="18" t="n"/>
      <c r="FU11" s="18" t="n"/>
      <c r="FV11" s="256" t="n"/>
      <c r="FW11" s="18" t="n"/>
      <c r="FX11" s="18" t="n"/>
      <c r="FY11" s="18" t="n"/>
      <c r="FZ11" s="256" t="n">
        <v>800</v>
      </c>
      <c r="GA11" s="18" t="n"/>
      <c r="GB11" s="18" t="n"/>
      <c r="GC11" s="260" t="n"/>
      <c r="GD11" s="18" t="n"/>
      <c r="GE11" s="18" t="n"/>
      <c r="GF11" s="18" t="n"/>
      <c r="GG11" s="18" t="n"/>
      <c r="GH11" s="260" t="n"/>
      <c r="GI11" s="239" t="inlineStr">
        <is>
          <t>1000 DE CD</t>
        </is>
      </c>
      <c r="GJ11" s="18" t="n"/>
      <c r="GK11" s="18" t="n"/>
      <c r="GL11" s="18" t="n"/>
      <c r="GM11" s="18" t="n"/>
      <c r="GN11" s="18" t="n">
        <v>200</v>
      </c>
      <c r="GO11" s="18" t="n"/>
      <c r="GP11" s="18" t="n"/>
      <c r="GQ11" s="18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329" t="n">
        <v>1000</v>
      </c>
      <c r="E12" s="6" t="n"/>
      <c r="F12" s="38" t="n">
        <v>800</v>
      </c>
      <c r="G12" s="38">
        <f>800+GN12</f>
        <v/>
      </c>
      <c r="H12" s="38" t="n">
        <v>1200</v>
      </c>
      <c r="I12" s="38">
        <f>1000+200</f>
        <v/>
      </c>
      <c r="J12" s="38" t="n">
        <v>800</v>
      </c>
      <c r="K12" s="38">
        <f>600+GG12</f>
        <v/>
      </c>
      <c r="L12" s="38">
        <f>800+GE12</f>
        <v/>
      </c>
      <c r="M12" s="38" t="n">
        <v>1000</v>
      </c>
      <c r="N12" s="38" t="n">
        <v>1400</v>
      </c>
      <c r="O12" s="38" t="n">
        <v>2000</v>
      </c>
      <c r="P12" s="38" t="n">
        <v>1500</v>
      </c>
      <c r="Q12" s="38" t="n">
        <v>3000</v>
      </c>
      <c r="R12" s="38" t="n">
        <v>2600</v>
      </c>
      <c r="S12" s="38" t="n">
        <v>2400</v>
      </c>
      <c r="T12" s="38" t="n">
        <v>2400</v>
      </c>
      <c r="U12" s="38" t="n">
        <v>2000</v>
      </c>
      <c r="V12" s="38" t="n">
        <v>1800</v>
      </c>
      <c r="W12" s="38" t="n">
        <v>1400</v>
      </c>
      <c r="X12" s="38" t="n">
        <v>1400</v>
      </c>
      <c r="Y12" s="38" t="n">
        <v>800</v>
      </c>
      <c r="Z12" s="38" t="n">
        <v>400</v>
      </c>
      <c r="AA12" s="38" t="n">
        <v>1000</v>
      </c>
      <c r="AB12" s="38" t="n">
        <v>800</v>
      </c>
      <c r="AC12" s="38" t="n">
        <v>600</v>
      </c>
      <c r="AD12" s="38" t="n">
        <v>1000</v>
      </c>
      <c r="AE12" s="38" t="n">
        <v>1000</v>
      </c>
      <c r="AF12" s="38" t="n">
        <v>600</v>
      </c>
      <c r="AG12" s="38" t="n">
        <v>800</v>
      </c>
      <c r="AH12" s="38" t="n">
        <v>400</v>
      </c>
      <c r="AI12" s="38" t="n">
        <v>600</v>
      </c>
      <c r="AJ12" s="38" t="n">
        <v>1000</v>
      </c>
      <c r="AK12" s="38" t="n">
        <v>800</v>
      </c>
      <c r="AL12" s="38" t="n">
        <v>800</v>
      </c>
      <c r="AM12" s="38" t="n">
        <v>800</v>
      </c>
      <c r="AN12" s="38" t="n">
        <v>1000</v>
      </c>
      <c r="AO12" s="38" t="n">
        <v>400</v>
      </c>
      <c r="AP12" s="38" t="n">
        <v>0</v>
      </c>
      <c r="AQ12" s="38" t="n">
        <v>400</v>
      </c>
      <c r="AR12" s="38" t="n">
        <v>200</v>
      </c>
      <c r="AS12" s="38" t="n">
        <v>400</v>
      </c>
      <c r="AT12" s="38" t="n">
        <v>0</v>
      </c>
      <c r="AU12" s="187" t="n">
        <v>1000</v>
      </c>
      <c r="AV12" s="187" t="n">
        <v>800</v>
      </c>
      <c r="AW12" s="187" t="n">
        <v>400</v>
      </c>
      <c r="AX12" s="187" t="n">
        <v>400</v>
      </c>
      <c r="AY12" s="187" t="n">
        <v>0</v>
      </c>
      <c r="AZ12" s="187" t="n">
        <v>600</v>
      </c>
      <c r="BA12" s="187">
        <f>600+DN12</f>
        <v/>
      </c>
      <c r="BB12" s="187" t="n">
        <v>1000</v>
      </c>
      <c r="BC12" s="187">
        <f>800+DK12</f>
        <v/>
      </c>
      <c r="BD12" s="187" t="n">
        <v>600</v>
      </c>
      <c r="BE12" s="187" t="n">
        <v>400</v>
      </c>
      <c r="BF12" s="187" t="n">
        <v>0</v>
      </c>
      <c r="BG12" s="187" t="n">
        <v>0</v>
      </c>
      <c r="BH12" s="187" t="n">
        <v>1000</v>
      </c>
      <c r="BI12" s="187" t="n">
        <v>800</v>
      </c>
      <c r="BJ12" s="187" t="n">
        <v>800</v>
      </c>
      <c r="BK12" s="187">
        <f>600+CX12</f>
        <v/>
      </c>
      <c r="BL12" s="187" t="n">
        <v>800</v>
      </c>
      <c r="BM12" s="187" t="n">
        <v>400</v>
      </c>
      <c r="BN12" s="187" t="n">
        <v>600</v>
      </c>
      <c r="BO12" s="187">
        <f>400+CS12</f>
        <v/>
      </c>
      <c r="BP12" s="187" t="n">
        <v>400</v>
      </c>
      <c r="BQ12" s="187" t="n">
        <v>0</v>
      </c>
      <c r="BR12" s="187">
        <f>0+CN12</f>
        <v/>
      </c>
      <c r="BS12" s="187" t="n">
        <v>200</v>
      </c>
      <c r="BT12" s="187">
        <f>0+CK12</f>
        <v/>
      </c>
      <c r="BU12" s="187" t="n">
        <v>1000</v>
      </c>
      <c r="BV12" s="187" t="n">
        <v>800</v>
      </c>
      <c r="BW12" s="187" t="n">
        <v>400</v>
      </c>
      <c r="BX12" s="187" t="n">
        <v>0</v>
      </c>
      <c r="BY12" s="187">
        <f>0+CJ12</f>
        <v/>
      </c>
      <c r="BZ12" s="187" t="n"/>
      <c r="CA12" s="187" t="n"/>
      <c r="CB12" s="188">
        <f>BZ12+IF(NOT(ISBLANK(OFFSET(CB12,0,6))),N(OFFSET(CB12,0,6)),N(OFFSET(CB12,0,7)))-CA12</f>
        <v/>
      </c>
      <c r="CC12" s="6" t="n"/>
      <c r="CD12" s="19" t="n"/>
      <c r="CE12" s="19" t="n"/>
      <c r="CF12" s="4" t="n"/>
      <c r="CG12" s="65" t="n"/>
      <c r="CH12" s="4" t="n"/>
      <c r="CI12" s="18" t="n">
        <v>0</v>
      </c>
      <c r="CJ12" s="18" t="n">
        <v>400</v>
      </c>
      <c r="CK12" s="18" t="n">
        <v>1200</v>
      </c>
      <c r="CL12" s="18" t="n"/>
      <c r="CM12" s="18" t="n"/>
      <c r="CN12" s="18" t="n">
        <v>800</v>
      </c>
      <c r="CO12" s="18" t="n"/>
      <c r="CP12" s="18" t="n"/>
      <c r="CQ12" s="18" t="n">
        <v>400</v>
      </c>
      <c r="CR12" s="18" t="n"/>
      <c r="CS12" s="18" t="n">
        <v>400</v>
      </c>
      <c r="CT12" s="18" t="n"/>
      <c r="CU12" s="18" t="n">
        <v>400</v>
      </c>
      <c r="CV12" s="18" t="n"/>
      <c r="CW12" s="18" t="n"/>
      <c r="CX12" s="18" t="n">
        <v>600</v>
      </c>
      <c r="CY12" s="18" t="n">
        <v>400</v>
      </c>
      <c r="CZ12" s="18" t="n"/>
      <c r="DA12" s="18" t="n"/>
      <c r="DB12" s="18" t="n"/>
      <c r="DC12" s="18" t="n"/>
      <c r="DD12" s="18" t="n"/>
      <c r="DE12" s="18" t="n"/>
      <c r="DF12" s="18" t="n"/>
      <c r="DG12" s="18" t="n">
        <v>1400</v>
      </c>
      <c r="DH12" s="18" t="n">
        <v>200</v>
      </c>
      <c r="DI12" s="18" t="n"/>
      <c r="DJ12" s="18" t="n"/>
      <c r="DK12" s="18" t="n">
        <v>600</v>
      </c>
      <c r="DL12" s="18" t="n"/>
      <c r="DM12" s="18" t="n"/>
      <c r="DN12" s="18" t="n">
        <v>1000</v>
      </c>
      <c r="DO12" s="18" t="n"/>
      <c r="DP12" s="18" t="n">
        <v>1000</v>
      </c>
      <c r="DQ12" s="18" t="n">
        <v>600</v>
      </c>
      <c r="DR12" s="18" t="n"/>
      <c r="DS12" s="18" t="n"/>
      <c r="DT12" s="18" t="n">
        <v>1000</v>
      </c>
      <c r="DU12" s="356" t="n"/>
      <c r="DV12" s="18" t="n"/>
      <c r="DW12" s="18" t="n">
        <v>1000</v>
      </c>
      <c r="DX12" s="256" t="n"/>
      <c r="DY12" s="256" t="n"/>
      <c r="DZ12" s="256" t="n"/>
      <c r="EA12" s="18" t="n"/>
      <c r="EB12" s="18" t="n"/>
      <c r="EC12" s="18" t="n">
        <v>1000</v>
      </c>
      <c r="ED12" s="18" t="n"/>
      <c r="EE12" s="18" t="n"/>
      <c r="EF12" s="376" t="inlineStr">
        <is>
          <t>60 DE CDP</t>
        </is>
      </c>
      <c r="EG12" s="18" t="n">
        <v>200</v>
      </c>
      <c r="EH12" s="18" t="n">
        <v>200</v>
      </c>
      <c r="EI12" s="18" t="n"/>
      <c r="EJ12" s="18" t="n">
        <v>200</v>
      </c>
      <c r="EK12" s="18" t="n"/>
      <c r="EL12" s="18" t="n"/>
      <c r="EM12" s="18" t="n">
        <v>800</v>
      </c>
      <c r="EN12" s="18" t="n"/>
      <c r="EO12" s="18" t="n"/>
      <c r="EP12" s="18" t="n">
        <v>200</v>
      </c>
      <c r="EQ12" s="18" t="n"/>
      <c r="ER12" s="18" t="n">
        <v>400</v>
      </c>
      <c r="ES12" s="18" t="n"/>
      <c r="ET12" s="18" t="n"/>
      <c r="EU12" s="18" t="n"/>
      <c r="EV12" s="18" t="n"/>
      <c r="EW12" s="18" t="n">
        <v>400</v>
      </c>
      <c r="EX12" s="18" t="n"/>
      <c r="EY12" s="18" t="n"/>
      <c r="EZ12" s="18" t="n"/>
      <c r="FA12" s="18" t="n"/>
      <c r="FB12" s="18" t="n">
        <v>800</v>
      </c>
      <c r="FC12" s="18" t="n"/>
      <c r="FD12" s="256" t="n"/>
      <c r="FE12" s="18" t="n"/>
      <c r="FF12" s="18" t="n"/>
      <c r="FG12" s="256" t="n"/>
      <c r="FH12" s="18" t="n"/>
      <c r="FI12" s="18" t="n"/>
      <c r="FJ12" s="18" t="n"/>
      <c r="FK12" s="18" t="n"/>
      <c r="FL12" s="18" t="n"/>
      <c r="FM12" s="256" t="n"/>
      <c r="FN12" s="18" t="n"/>
      <c r="FO12" s="18" t="n"/>
      <c r="FP12" s="18" t="n"/>
      <c r="FQ12" s="18" t="n"/>
      <c r="FR12" s="18" t="n"/>
      <c r="FS12" s="18" t="n"/>
      <c r="FT12" s="18" t="n"/>
      <c r="FU12" s="18" t="n"/>
      <c r="FV12" s="256" t="n"/>
      <c r="FW12" s="18" t="n">
        <v>2000</v>
      </c>
      <c r="FX12" s="18" t="n"/>
      <c r="FY12" s="18" t="n">
        <v>1000</v>
      </c>
      <c r="FZ12" s="256" t="n"/>
      <c r="GA12" s="18" t="n"/>
      <c r="GB12" s="18" t="n">
        <v>600</v>
      </c>
      <c r="GC12" s="260" t="n"/>
      <c r="GD12" s="18" t="n"/>
      <c r="GE12" s="18" t="n">
        <v>400</v>
      </c>
      <c r="GF12" s="18" t="n"/>
      <c r="GG12" s="18" t="n">
        <v>600</v>
      </c>
      <c r="GH12" s="260" t="n"/>
      <c r="GI12" s="260" t="n"/>
      <c r="GJ12" s="239" t="inlineStr">
        <is>
          <t>200 DE CD</t>
        </is>
      </c>
      <c r="GK12" s="18" t="n"/>
      <c r="GL12" s="18" t="n">
        <v>600</v>
      </c>
      <c r="GM12" s="18" t="n"/>
      <c r="GN12" s="18" t="n">
        <v>400</v>
      </c>
      <c r="GO12" s="18" t="n">
        <v>400</v>
      </c>
      <c r="GP12" s="18" t="n"/>
      <c r="GQ12" s="18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329" t="n">
        <v>600</v>
      </c>
      <c r="E13" s="6" t="n"/>
      <c r="F13" s="38" t="n">
        <v>500</v>
      </c>
      <c r="G13" s="38">
        <f>800+GN13</f>
        <v/>
      </c>
      <c r="H13" s="38" t="n">
        <v>900</v>
      </c>
      <c r="I13" s="38">
        <f>600+100</f>
        <v/>
      </c>
      <c r="J13" s="38" t="n">
        <v>600</v>
      </c>
      <c r="K13" s="38">
        <f>600+GG13</f>
        <v/>
      </c>
      <c r="L13" s="38" t="n">
        <v>400</v>
      </c>
      <c r="M13" s="38" t="n">
        <v>300</v>
      </c>
      <c r="N13" s="38" t="n">
        <v>900</v>
      </c>
      <c r="O13" s="38" t="n">
        <v>1000</v>
      </c>
      <c r="P13" s="38" t="n">
        <v>700</v>
      </c>
      <c r="Q13" s="38" t="n">
        <v>1000</v>
      </c>
      <c r="R13" s="38" t="n">
        <v>800</v>
      </c>
      <c r="S13" s="38" t="n">
        <v>600</v>
      </c>
      <c r="T13" s="38" t="n">
        <v>700</v>
      </c>
      <c r="U13" s="38" t="n">
        <v>500</v>
      </c>
      <c r="V13" s="38" t="n">
        <v>500</v>
      </c>
      <c r="W13" s="38" t="n">
        <v>400</v>
      </c>
      <c r="X13" s="38" t="n">
        <v>600</v>
      </c>
      <c r="Y13" s="38" t="n">
        <v>500</v>
      </c>
      <c r="Z13" s="38" t="n">
        <v>300</v>
      </c>
      <c r="AA13" s="38" t="n">
        <v>500</v>
      </c>
      <c r="AB13" s="38" t="n">
        <v>500</v>
      </c>
      <c r="AC13" s="38" t="n">
        <v>500</v>
      </c>
      <c r="AD13" s="38" t="n">
        <v>400</v>
      </c>
      <c r="AE13" s="38" t="n">
        <v>200</v>
      </c>
      <c r="AF13" s="38" t="n">
        <v>100</v>
      </c>
      <c r="AG13" s="38" t="n">
        <v>600</v>
      </c>
      <c r="AH13" s="38" t="n">
        <v>600</v>
      </c>
      <c r="AI13" s="38" t="n">
        <v>400</v>
      </c>
      <c r="AJ13" s="38" t="n">
        <v>500</v>
      </c>
      <c r="AK13" s="38" t="n">
        <v>400</v>
      </c>
      <c r="AL13" s="38" t="n">
        <v>400</v>
      </c>
      <c r="AM13" s="38" t="n">
        <v>500</v>
      </c>
      <c r="AN13" s="38" t="n">
        <v>500</v>
      </c>
      <c r="AO13" s="38" t="n">
        <v>300</v>
      </c>
      <c r="AP13" s="38" t="n">
        <v>200</v>
      </c>
      <c r="AQ13" s="38" t="n">
        <v>600</v>
      </c>
      <c r="AR13" s="38" t="n">
        <v>500</v>
      </c>
      <c r="AS13" s="38">
        <f>500+DV13</f>
        <v/>
      </c>
      <c r="AT13" s="38" t="n">
        <v>100</v>
      </c>
      <c r="AU13" s="38" t="n">
        <v>0</v>
      </c>
      <c r="AV13" s="38" t="n">
        <v>400</v>
      </c>
      <c r="AW13" s="38" t="n">
        <v>300</v>
      </c>
      <c r="AX13" s="38" t="n">
        <v>100</v>
      </c>
      <c r="AY13" s="38" t="n">
        <v>0</v>
      </c>
      <c r="AZ13" s="38" t="n">
        <v>500</v>
      </c>
      <c r="BA13" s="38">
        <f>400+DN13</f>
        <v/>
      </c>
      <c r="BB13" s="38" t="n">
        <v>200</v>
      </c>
      <c r="BC13" s="38">
        <f>100+DK13</f>
        <v/>
      </c>
      <c r="BD13" s="38">
        <f>700+DJ13</f>
        <v/>
      </c>
      <c r="BE13" s="38" t="n">
        <v>500</v>
      </c>
      <c r="BF13" s="38" t="n">
        <v>200</v>
      </c>
      <c r="BG13" s="38" t="n">
        <v>0</v>
      </c>
      <c r="BH13" s="38" t="n">
        <v>200</v>
      </c>
      <c r="BI13" s="187">
        <f>1600+500</f>
        <v/>
      </c>
      <c r="BJ13" s="187" t="n">
        <v>1800</v>
      </c>
      <c r="BK13" s="187" t="n">
        <v>1800</v>
      </c>
      <c r="BL13" s="187" t="n">
        <v>1700</v>
      </c>
      <c r="BM13" s="187" t="n">
        <v>1600</v>
      </c>
      <c r="BN13" s="187" t="n">
        <v>1400</v>
      </c>
      <c r="BO13" s="187" t="n">
        <v>1300</v>
      </c>
      <c r="BP13" s="187" t="n">
        <v>1000</v>
      </c>
      <c r="BQ13" s="187" t="n">
        <v>800</v>
      </c>
      <c r="BR13" s="187" t="n">
        <v>500</v>
      </c>
      <c r="BS13" s="187">
        <f>500+CL13</f>
        <v/>
      </c>
      <c r="BT13" s="187" t="n">
        <v>700</v>
      </c>
      <c r="BU13" s="187" t="n">
        <v>700</v>
      </c>
      <c r="BV13" s="187" t="n">
        <v>700</v>
      </c>
      <c r="BW13" s="187" t="n">
        <v>200</v>
      </c>
      <c r="BX13" s="187" t="n">
        <v>0</v>
      </c>
      <c r="BY13" s="187">
        <f>0+CJ13</f>
        <v/>
      </c>
      <c r="BZ13" s="187" t="n"/>
      <c r="CA13" s="187" t="n"/>
      <c r="CB13" s="188">
        <f>BZ13+IF(NOT(ISBLANK(OFFSET(CB13,0,6))),N(OFFSET(CB13,0,6)),N(OFFSET(CB13,0,7)))-CA13</f>
        <v/>
      </c>
      <c r="CC13" s="6" t="n"/>
      <c r="CD13" s="19" t="n"/>
      <c r="CE13" s="19" t="n"/>
      <c r="CF13" s="4" t="n"/>
      <c r="CG13" s="65" t="n"/>
      <c r="CH13" s="4" t="n"/>
      <c r="CI13" s="18" t="n">
        <v>0</v>
      </c>
      <c r="CJ13" s="18" t="n">
        <v>200</v>
      </c>
      <c r="CK13" s="18" t="n"/>
      <c r="CL13" s="18" t="n">
        <v>500</v>
      </c>
      <c r="CM13" s="18" t="n"/>
      <c r="CN13" s="18" t="n"/>
      <c r="CO13" s="18" t="n"/>
      <c r="CP13" s="18" t="n"/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54" t="inlineStr">
        <is>
          <t xml:space="preserve">500 DE ER MG </t>
        </is>
      </c>
      <c r="DA13" s="18" t="n"/>
      <c r="DB13" s="18" t="n">
        <v>600</v>
      </c>
      <c r="DC13" s="18" t="n"/>
      <c r="DD13" s="18" t="n">
        <v>800</v>
      </c>
      <c r="DE13" s="18" t="n">
        <v>300</v>
      </c>
      <c r="DF13" s="18" t="n"/>
      <c r="DG13" s="18" t="n"/>
      <c r="DH13" s="18" t="n"/>
      <c r="DI13" s="18" t="n"/>
      <c r="DJ13" s="18" t="n">
        <v>100</v>
      </c>
      <c r="DK13" s="18" t="n">
        <v>700</v>
      </c>
      <c r="DL13" s="18" t="n"/>
      <c r="DM13" s="18" t="n"/>
      <c r="DN13" s="18" t="n">
        <v>100</v>
      </c>
      <c r="DO13" s="18" t="n"/>
      <c r="DP13" s="18" t="n">
        <v>600</v>
      </c>
      <c r="DQ13" s="18" t="n">
        <v>200</v>
      </c>
      <c r="DR13" s="18" t="n"/>
      <c r="DS13" s="18" t="n">
        <v>600</v>
      </c>
      <c r="DT13" s="18" t="n"/>
      <c r="DU13" s="356" t="n"/>
      <c r="DV13" s="18" t="n">
        <v>100</v>
      </c>
      <c r="DW13" s="18" t="n"/>
      <c r="DX13" s="256" t="n"/>
      <c r="DY13" s="256" t="n"/>
      <c r="DZ13" s="256" t="n"/>
      <c r="EA13" s="18" t="n"/>
      <c r="EB13" s="18" t="n"/>
      <c r="EC13" s="18" t="n">
        <v>600</v>
      </c>
      <c r="ED13" s="18" t="n"/>
      <c r="EE13" s="18" t="n"/>
      <c r="EF13" s="376" t="inlineStr">
        <is>
          <t>50 DE CDP</t>
        </is>
      </c>
      <c r="EG13" s="18" t="n">
        <v>100</v>
      </c>
      <c r="EH13" s="18" t="n">
        <v>200</v>
      </c>
      <c r="EI13" s="18" t="n"/>
      <c r="EJ13" s="18" t="n">
        <v>200</v>
      </c>
      <c r="EK13" s="18" t="n"/>
      <c r="EL13" s="18" t="n">
        <v>200</v>
      </c>
      <c r="EM13" s="18" t="n"/>
      <c r="EN13" s="18" t="n"/>
      <c r="EO13" s="18" t="n"/>
      <c r="EP13" s="18" t="n"/>
      <c r="EQ13" s="18" t="n"/>
      <c r="ER13" s="18" t="n">
        <v>500</v>
      </c>
      <c r="ES13" s="18" t="n"/>
      <c r="ET13" s="18" t="n"/>
      <c r="EU13" s="18" t="n">
        <v>200</v>
      </c>
      <c r="EV13" s="18" t="n"/>
      <c r="EW13" s="18" t="n"/>
      <c r="EX13" s="18" t="n"/>
      <c r="EY13" s="18" t="n"/>
      <c r="EZ13" s="18" t="n"/>
      <c r="FA13" s="18" t="n"/>
      <c r="FB13" s="18" t="n">
        <v>200</v>
      </c>
      <c r="FC13" s="18" t="n"/>
      <c r="FD13" s="256" t="n"/>
      <c r="FE13" s="18" t="n"/>
      <c r="FF13" s="18" t="n"/>
      <c r="FG13" s="256" t="n"/>
      <c r="FH13" s="18" t="n"/>
      <c r="FI13" s="18" t="n"/>
      <c r="FJ13" s="18" t="n"/>
      <c r="FK13" s="18" t="n"/>
      <c r="FL13" s="18" t="n"/>
      <c r="FM13" s="256" t="n"/>
      <c r="FN13" s="18" t="n">
        <v>200</v>
      </c>
      <c r="FO13" s="18" t="n"/>
      <c r="FP13" s="18" t="n">
        <v>200</v>
      </c>
      <c r="FQ13" s="18" t="n">
        <v>200</v>
      </c>
      <c r="FR13" s="18" t="n"/>
      <c r="FS13" s="18" t="n"/>
      <c r="FT13" s="18" t="n"/>
      <c r="FU13" s="18" t="n">
        <v>200</v>
      </c>
      <c r="FV13" s="256" t="n"/>
      <c r="FW13" s="18" t="n">
        <v>600</v>
      </c>
      <c r="FX13" s="18" t="n"/>
      <c r="FY13" s="18" t="n">
        <v>200</v>
      </c>
      <c r="FZ13" s="256" t="n"/>
      <c r="GA13" s="18" t="n"/>
      <c r="GB13" s="18" t="n">
        <v>600</v>
      </c>
      <c r="GC13" s="260" t="n"/>
      <c r="GD13" s="18" t="n"/>
      <c r="GE13" s="18" t="n"/>
      <c r="GF13" s="18" t="n"/>
      <c r="GG13" s="18" t="n">
        <v>200</v>
      </c>
      <c r="GH13" s="260" t="n"/>
      <c r="GI13" s="260" t="n"/>
      <c r="GJ13" s="239" t="inlineStr">
        <is>
          <t>100 DE CD</t>
        </is>
      </c>
      <c r="GK13" s="18" t="n"/>
      <c r="GL13" s="18" t="n"/>
      <c r="GM13" s="18" t="n"/>
      <c r="GN13" s="18" t="n">
        <v>200</v>
      </c>
      <c r="GO13" s="18" t="n">
        <v>300</v>
      </c>
      <c r="GP13" s="18" t="n"/>
      <c r="GQ13" s="18" t="n"/>
    </row>
    <row r="14" ht="18.75" customHeight="1">
      <c r="CB14" s="53" t="n"/>
      <c r="CD14" s="69" t="n"/>
      <c r="CE14" s="69" t="n"/>
      <c r="DU14" s="17" t="n"/>
      <c r="DX14" s="314" t="n"/>
      <c r="DY14" s="314" t="n"/>
      <c r="DZ14" s="314" t="n"/>
      <c r="FD14" s="271" t="n"/>
      <c r="FG14" s="271" t="n"/>
      <c r="FM14" s="271" t="n"/>
      <c r="FV14" s="271" t="n"/>
      <c r="FZ14" s="271" t="n"/>
    </row>
    <row r="15" ht="18.75" customFormat="1" customHeight="1" s="3">
      <c r="A15" s="32" t="inlineStr">
        <is>
          <t>DIVERSOS DOADOS E. R. BOTICÁRIO</t>
        </is>
      </c>
      <c r="B15" s="575" t="inlineStr">
        <is>
          <t>PC</t>
        </is>
      </c>
      <c r="C15" s="575" t="inlineStr">
        <is>
          <t>R$</t>
        </is>
      </c>
      <c r="D15" s="575" t="n"/>
      <c r="E15" s="642" t="n"/>
      <c r="F15" s="650" t="n">
        <v>46021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>
        <v>45999</v>
      </c>
      <c r="BD15" s="650" t="n">
        <v>46006</v>
      </c>
      <c r="BE15" s="650" t="n">
        <v>46013</v>
      </c>
      <c r="BF15" s="650" t="n">
        <v>46020</v>
      </c>
      <c r="BG15" s="650" t="n">
        <v>46027</v>
      </c>
      <c r="BH15" s="650" t="n">
        <v>46034</v>
      </c>
      <c r="BI15" s="650" t="n">
        <v>46041</v>
      </c>
      <c r="BJ15" s="650" t="n">
        <v>46048</v>
      </c>
      <c r="BK15" s="650" t="n">
        <v>46055</v>
      </c>
      <c r="BL15" s="650" t="n">
        <v>46062</v>
      </c>
      <c r="BM15" s="650" t="n">
        <v>46069</v>
      </c>
      <c r="BN15" s="650" t="n">
        <v>46076</v>
      </c>
      <c r="BO15" s="650" t="n">
        <v>46083</v>
      </c>
      <c r="BP15" s="650" t="n">
        <v>46090</v>
      </c>
      <c r="BQ15" s="650" t="n">
        <v>46097</v>
      </c>
      <c r="BR15" s="650" t="n">
        <v>46104</v>
      </c>
      <c r="BS15" s="650" t="n">
        <v>46111</v>
      </c>
      <c r="BT15" s="650" t="n">
        <v>46118</v>
      </c>
      <c r="BU15" s="650" t="n">
        <v>46125</v>
      </c>
      <c r="BV15" s="650" t="n">
        <v>46132</v>
      </c>
      <c r="BW15" s="650" t="n">
        <v>46139</v>
      </c>
      <c r="BX15" s="650" t="n">
        <v>46146</v>
      </c>
      <c r="BY15" s="650" t="n">
        <v>46154</v>
      </c>
      <c r="BZ15" s="650" t="n">
        <v>46160</v>
      </c>
      <c r="CA15" s="650" t="n">
        <v>46160</v>
      </c>
      <c r="CB15" s="652" t="inlineStr">
        <is>
          <t>USOU</t>
        </is>
      </c>
      <c r="CC15" s="6" t="n"/>
      <c r="CD15" s="413" t="inlineStr">
        <is>
          <t>TRANSFERÊNCIA</t>
        </is>
      </c>
      <c r="CE15" s="35" t="inlineStr">
        <is>
          <t>Pend.</t>
        </is>
      </c>
      <c r="CF15" s="653" t="n"/>
      <c r="CG15" s="12" t="inlineStr">
        <is>
          <t>Novo Pedido</t>
        </is>
      </c>
      <c r="CH15" s="4" t="n"/>
      <c r="CI15" s="654" t="n"/>
      <c r="CJ15" s="654" t="n">
        <v>46149</v>
      </c>
      <c r="CK15" s="654" t="n">
        <v>46114</v>
      </c>
      <c r="CL15" s="654" t="n">
        <v>46107</v>
      </c>
      <c r="CM15" s="710" t="n">
        <v>46065</v>
      </c>
      <c r="CN15" s="654" t="n">
        <v>46099</v>
      </c>
      <c r="CO15" s="654" t="n">
        <v>46092</v>
      </c>
      <c r="CP15" s="711" t="n">
        <v>46045</v>
      </c>
      <c r="CQ15" s="654" t="n">
        <v>46084</v>
      </c>
      <c r="CR15" s="655" t="n">
        <v>46084</v>
      </c>
      <c r="CS15" s="654" t="n">
        <v>46077</v>
      </c>
      <c r="CT15" s="655" t="n">
        <v>46077</v>
      </c>
      <c r="CU15" s="654" t="n">
        <v>46071</v>
      </c>
      <c r="CV15" s="654" t="n">
        <v>46048</v>
      </c>
      <c r="CW15" s="654" t="n">
        <v>46043</v>
      </c>
      <c r="CX15" s="654" t="n">
        <v>46035</v>
      </c>
      <c r="CY15" s="654" t="n">
        <v>46029</v>
      </c>
      <c r="CZ15" s="655" t="n">
        <v>46043</v>
      </c>
      <c r="DA15" s="654" t="n">
        <v>46024</v>
      </c>
      <c r="DB15" s="654" t="n">
        <v>46029</v>
      </c>
      <c r="DC15" s="654" t="n">
        <v>46024</v>
      </c>
      <c r="DD15" s="654" t="n">
        <v>46372</v>
      </c>
      <c r="DE15" s="654" t="n">
        <v>46024</v>
      </c>
      <c r="DF15" s="654" t="n">
        <v>46017</v>
      </c>
      <c r="DG15" s="654" t="n">
        <v>46007</v>
      </c>
      <c r="DH15" s="654" t="n">
        <v>46001</v>
      </c>
      <c r="DI15" s="654" t="n">
        <v>46007</v>
      </c>
      <c r="DJ15" s="654" t="n">
        <v>46001</v>
      </c>
      <c r="DK15" s="654" t="n">
        <v>45994</v>
      </c>
      <c r="DL15" s="654" t="n">
        <v>45986</v>
      </c>
      <c r="DM15" s="654" t="n">
        <v>45980</v>
      </c>
      <c r="DN15" s="654" t="n">
        <v>45980</v>
      </c>
      <c r="DO15" s="654" t="n">
        <v>45973</v>
      </c>
      <c r="DP15" s="654" t="n">
        <v>45965</v>
      </c>
      <c r="DQ15" s="654" t="n">
        <v>45960</v>
      </c>
      <c r="DR15" s="654" t="n">
        <v>45945</v>
      </c>
      <c r="DS15" s="654" t="n">
        <v>45939</v>
      </c>
      <c r="DT15" s="654" t="n">
        <v>45931</v>
      </c>
      <c r="DU15" s="678" t="n">
        <v>45903</v>
      </c>
      <c r="DV15" s="654" t="n">
        <v>45923</v>
      </c>
      <c r="DW15" s="654" t="n">
        <v>45915</v>
      </c>
      <c r="DX15" s="655" t="n">
        <v>45931</v>
      </c>
      <c r="DY15" s="688" t="n">
        <v>45931</v>
      </c>
      <c r="DZ15" s="688" t="n">
        <v>45931</v>
      </c>
      <c r="EA15" s="654" t="n">
        <v>45903</v>
      </c>
      <c r="EB15" s="654" t="n">
        <v>45909</v>
      </c>
      <c r="EC15" s="654" t="n">
        <v>45903</v>
      </c>
      <c r="ED15" s="654" t="n">
        <v>45903</v>
      </c>
      <c r="EE15" s="654" t="n">
        <v>45895</v>
      </c>
      <c r="EF15" s="679" t="n">
        <v>45896</v>
      </c>
      <c r="EG15" s="654" t="n">
        <v>45888</v>
      </c>
      <c r="EH15" s="654" t="n">
        <v>45881</v>
      </c>
      <c r="EI15" s="655" t="n">
        <v>45882</v>
      </c>
      <c r="EJ15" s="654" t="n">
        <v>45874</v>
      </c>
      <c r="EK15" s="654" t="n">
        <v>45867</v>
      </c>
      <c r="EL15" s="654" t="n">
        <v>45860</v>
      </c>
      <c r="EM15" s="654" t="n">
        <v>45853</v>
      </c>
      <c r="EN15" s="655" t="n">
        <v>45860</v>
      </c>
      <c r="EO15" s="681" t="n">
        <v>45855</v>
      </c>
      <c r="EP15" s="654" t="n">
        <v>45848</v>
      </c>
      <c r="EQ15" s="681" t="n">
        <v>45853</v>
      </c>
      <c r="ER15" s="654" t="n">
        <v>45839</v>
      </c>
      <c r="ES15" s="681" t="n">
        <v>45791</v>
      </c>
      <c r="ET15" s="654" t="n">
        <v>45832</v>
      </c>
      <c r="EU15" s="654" t="n">
        <v>45825</v>
      </c>
      <c r="EV15" s="655" t="n">
        <v>45826</v>
      </c>
      <c r="EW15" s="654" t="n">
        <v>45819</v>
      </c>
      <c r="EX15" s="655" t="n">
        <v>45819</v>
      </c>
      <c r="EY15" s="655" t="n">
        <v>45818</v>
      </c>
      <c r="EZ15" s="655" t="n">
        <v>45807</v>
      </c>
      <c r="FA15" s="654" t="n">
        <v>45790</v>
      </c>
      <c r="FB15" s="654" t="n">
        <v>45798</v>
      </c>
      <c r="FC15" s="690" t="n">
        <v>45800</v>
      </c>
      <c r="FD15" s="650" t="n">
        <v>45799</v>
      </c>
      <c r="FE15" s="655" t="n">
        <v>45799</v>
      </c>
      <c r="FF15" s="690" t="n">
        <v>45799</v>
      </c>
      <c r="FG15" s="650" t="n">
        <v>45798</v>
      </c>
      <c r="FH15" s="655" t="n">
        <v>45798</v>
      </c>
      <c r="FI15" s="655" t="n">
        <v>45797</v>
      </c>
      <c r="FJ15" s="655" t="n">
        <v>45794</v>
      </c>
      <c r="FK15" s="654" t="n">
        <v>45790</v>
      </c>
      <c r="FL15" s="683" t="n">
        <v>45735</v>
      </c>
      <c r="FM15" s="650" t="n">
        <v>45786</v>
      </c>
      <c r="FN15" s="654" t="n">
        <v>45783</v>
      </c>
      <c r="FO15" s="654" t="n">
        <v>45770</v>
      </c>
      <c r="FP15" s="654" t="n">
        <v>45775</v>
      </c>
      <c r="FQ15" s="654" t="n">
        <v>45770</v>
      </c>
      <c r="FR15" s="655" t="n">
        <v>45775</v>
      </c>
      <c r="FS15" s="654" t="n">
        <v>45756</v>
      </c>
      <c r="FT15" s="654" t="n">
        <v>45749</v>
      </c>
      <c r="FU15" s="654" t="n">
        <v>45743</v>
      </c>
      <c r="FV15" s="650" t="n">
        <v>45740</v>
      </c>
      <c r="FW15" s="654" t="n">
        <v>45728</v>
      </c>
      <c r="FX15" s="654" t="n">
        <v>45714</v>
      </c>
      <c r="FY15" s="654" t="n">
        <v>45706</v>
      </c>
      <c r="FZ15" s="650" t="n">
        <v>45700</v>
      </c>
      <c r="GA15" s="654" t="n">
        <v>45706</v>
      </c>
      <c r="GB15" s="654" t="n">
        <v>45699</v>
      </c>
      <c r="GC15" s="655" t="n">
        <v>45706</v>
      </c>
      <c r="GD15" s="654" t="n">
        <v>45693</v>
      </c>
      <c r="GE15" s="654" t="n">
        <v>45693</v>
      </c>
      <c r="GF15" s="654" t="n">
        <v>45685</v>
      </c>
      <c r="GG15" s="654" t="n">
        <v>45685</v>
      </c>
      <c r="GH15" s="712" t="n">
        <v>45692</v>
      </c>
      <c r="GI15" s="655" t="n">
        <v>45691</v>
      </c>
      <c r="GJ15" s="655" t="n">
        <v>45681</v>
      </c>
      <c r="GK15" s="655" t="n">
        <v>45672</v>
      </c>
      <c r="GL15" s="654" t="n">
        <v>45664</v>
      </c>
      <c r="GM15" s="654" t="n">
        <v>45660</v>
      </c>
      <c r="GN15" s="654" t="n">
        <v>45660</v>
      </c>
      <c r="GO15" s="654" t="n">
        <v>46017</v>
      </c>
      <c r="GP15" s="654" t="n">
        <v>45643</v>
      </c>
      <c r="GQ15" s="654" t="n">
        <v>45638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2" t="n">
        <v>99.26000000000001</v>
      </c>
      <c r="D16" s="329" t="n">
        <v>2</v>
      </c>
      <c r="E16" s="2" t="n"/>
      <c r="F16" s="38" t="n">
        <v>21</v>
      </c>
      <c r="G16" s="38" t="n">
        <v>21</v>
      </c>
      <c r="H16" s="38" t="n">
        <v>21</v>
      </c>
      <c r="I16" s="38" t="n">
        <v>21</v>
      </c>
      <c r="J16" s="38" t="n">
        <v>20</v>
      </c>
      <c r="K16" s="38" t="n">
        <v>20</v>
      </c>
      <c r="L16" s="38" t="n">
        <v>20</v>
      </c>
      <c r="M16" s="38" t="n">
        <v>20</v>
      </c>
      <c r="N16" s="38" t="n">
        <v>20</v>
      </c>
      <c r="O16" s="38" t="n">
        <v>19</v>
      </c>
      <c r="P16" s="38" t="n">
        <v>18</v>
      </c>
      <c r="Q16" s="38" t="n">
        <v>18</v>
      </c>
      <c r="R16" s="38" t="n">
        <v>18</v>
      </c>
      <c r="S16" s="38" t="n">
        <v>18</v>
      </c>
      <c r="T16" s="38" t="n">
        <v>18</v>
      </c>
      <c r="U16" s="38" t="n">
        <v>18</v>
      </c>
      <c r="V16" s="38" t="n">
        <v>18</v>
      </c>
      <c r="W16" s="38" t="n">
        <v>18</v>
      </c>
      <c r="X16" s="38" t="n">
        <v>18</v>
      </c>
      <c r="Y16" s="38">
        <f>16-8-4</f>
        <v/>
      </c>
      <c r="Z16" s="38" t="n">
        <v>1</v>
      </c>
      <c r="AA16" s="38" t="n">
        <v>2</v>
      </c>
      <c r="AB16" s="38" t="n">
        <v>2</v>
      </c>
      <c r="AC16" s="38" t="n">
        <v>2</v>
      </c>
      <c r="AD16" s="38" t="n">
        <v>0</v>
      </c>
      <c r="AE16" s="38" t="n">
        <v>0</v>
      </c>
      <c r="AF16" s="38" t="n">
        <v>3</v>
      </c>
      <c r="AG16" s="38" t="n">
        <v>3</v>
      </c>
      <c r="AH16" s="38" t="n">
        <v>3</v>
      </c>
      <c r="AI16" s="38" t="n">
        <v>2</v>
      </c>
      <c r="AJ16" s="38" t="n">
        <v>2</v>
      </c>
      <c r="AK16" s="38" t="n">
        <v>2</v>
      </c>
      <c r="AL16" s="38" t="n">
        <v>0</v>
      </c>
      <c r="AM16" s="38" t="n">
        <v>2</v>
      </c>
      <c r="AN16" s="38" t="n">
        <v>2</v>
      </c>
      <c r="AO16" s="38" t="n">
        <v>2</v>
      </c>
      <c r="AP16" s="38" t="n">
        <v>2</v>
      </c>
      <c r="AQ16" s="38" t="n">
        <v>0</v>
      </c>
      <c r="AR16" s="38" t="n">
        <v>0</v>
      </c>
      <c r="AS16" s="38" t="n">
        <v>0</v>
      </c>
      <c r="AT16" s="38" t="n">
        <v>0</v>
      </c>
      <c r="AU16" s="38" t="n">
        <v>7</v>
      </c>
      <c r="AV16" s="38" t="n">
        <v>6</v>
      </c>
      <c r="AW16" s="38" t="n">
        <v>6</v>
      </c>
      <c r="AX16" s="38" t="n">
        <v>5</v>
      </c>
      <c r="AY16" s="38" t="n">
        <v>5</v>
      </c>
      <c r="AZ16" s="38" t="n">
        <v>5</v>
      </c>
      <c r="BA16" s="38" t="n">
        <v>5</v>
      </c>
      <c r="BB16" s="38" t="n">
        <v>3</v>
      </c>
      <c r="BC16" s="38">
        <f>3+DK16</f>
        <v/>
      </c>
      <c r="BD16" s="38" t="n">
        <v>3</v>
      </c>
      <c r="BE16" s="38">
        <f>3+DI16</f>
        <v/>
      </c>
      <c r="BF16" s="38" t="n">
        <v>3</v>
      </c>
      <c r="BG16" s="38" t="n">
        <v>0</v>
      </c>
      <c r="BH16" s="38">
        <f>4+DE16</f>
        <v/>
      </c>
      <c r="BI16" s="38">
        <f>14+4</f>
        <v/>
      </c>
      <c r="BJ16" s="38" t="n">
        <v>18</v>
      </c>
      <c r="BK16" s="38" t="n">
        <v>16</v>
      </c>
      <c r="BL16" s="38" t="n">
        <v>15</v>
      </c>
      <c r="BM16" s="38" t="n">
        <v>15</v>
      </c>
      <c r="BN16" s="38" t="n">
        <v>15</v>
      </c>
      <c r="BO16" s="38" t="n">
        <v>15</v>
      </c>
      <c r="BP16" s="38" t="n">
        <v>13</v>
      </c>
      <c r="BQ16" s="38" t="n">
        <v>13</v>
      </c>
      <c r="BR16" s="38" t="n">
        <v>10</v>
      </c>
      <c r="BS16" s="38" t="n">
        <v>10</v>
      </c>
      <c r="BT16" s="38" t="n">
        <v>10</v>
      </c>
      <c r="BU16" s="38" t="n">
        <v>10</v>
      </c>
      <c r="BV16" s="38" t="n">
        <v>10</v>
      </c>
      <c r="BW16" s="38" t="n">
        <v>10</v>
      </c>
      <c r="BX16" s="38" t="n">
        <v>4</v>
      </c>
      <c r="BY16" s="38">
        <f>1+CJ16</f>
        <v/>
      </c>
      <c r="BZ16" s="38" t="n"/>
      <c r="CA16" s="38" t="n"/>
      <c r="CB16" s="154">
        <f>BZ16+IF(NOT(ISBLANK(OFFSET(CB16,0,6))),N(OFFSET(CB16,0,6)),N(OFFSET(CB16,0,7)))-CA16</f>
        <v/>
      </c>
      <c r="CC16" s="6" t="n"/>
      <c r="CD16" s="19" t="n"/>
      <c r="CE16" s="19" t="n"/>
      <c r="CF16" s="4" t="n"/>
      <c r="CG16" s="65" t="n"/>
      <c r="CH16" s="4" t="n"/>
      <c r="CI16" s="18" t="n">
        <v>0</v>
      </c>
      <c r="CJ16" s="18" t="n">
        <v>6</v>
      </c>
      <c r="CK16" s="18" t="n"/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54" t="inlineStr">
        <is>
          <t>4 DE ER PBE</t>
        </is>
      </c>
      <c r="DA16" s="18" t="n"/>
      <c r="DB16" s="18" t="n">
        <v>5</v>
      </c>
      <c r="DC16" s="18" t="n"/>
      <c r="DD16" s="18" t="n"/>
      <c r="DE16" s="18" t="n">
        <v>5</v>
      </c>
      <c r="DF16" s="18" t="n">
        <v>5</v>
      </c>
      <c r="DG16" s="18" t="n"/>
      <c r="DH16" s="18" t="n"/>
      <c r="DI16" s="18" t="n">
        <v>2</v>
      </c>
      <c r="DJ16" s="18" t="n"/>
      <c r="DK16" s="18" t="n">
        <v>2</v>
      </c>
      <c r="DL16" s="18" t="n"/>
      <c r="DM16" s="18" t="n"/>
      <c r="DN16" s="18" t="n"/>
      <c r="DO16" s="18" t="n"/>
      <c r="DP16" s="18" t="n"/>
      <c r="DQ16" s="18" t="n"/>
      <c r="DR16" s="18" t="n"/>
      <c r="DS16" s="18" t="n"/>
      <c r="DT16" s="18" t="n">
        <v>7</v>
      </c>
      <c r="DU16" s="256" t="n">
        <v>4</v>
      </c>
      <c r="DV16" s="18" t="n"/>
      <c r="DW16" s="18" t="n">
        <v>2</v>
      </c>
      <c r="DX16" s="256" t="n"/>
      <c r="DY16" s="256" t="n"/>
      <c r="DZ16" s="256" t="n"/>
      <c r="EA16" s="18" t="n"/>
      <c r="EB16" s="18" t="n"/>
      <c r="EC16" s="18" t="n"/>
      <c r="ED16" s="18" t="n"/>
      <c r="EE16" s="18" t="n"/>
      <c r="EF16" s="18" t="n"/>
      <c r="EG16" s="18" t="n"/>
      <c r="EH16" s="18" t="n">
        <v>2</v>
      </c>
      <c r="EI16" s="18" t="n"/>
      <c r="EJ16" s="18" t="n"/>
      <c r="EK16" s="18" t="n"/>
      <c r="EL16" s="18" t="n">
        <v>2</v>
      </c>
      <c r="EM16" s="18" t="n"/>
      <c r="EN16" s="18" t="n"/>
      <c r="EO16" s="18" t="n"/>
      <c r="EP16" s="18" t="n"/>
      <c r="EQ16" s="18" t="n"/>
      <c r="ER16" s="18" t="n"/>
      <c r="ES16" s="18" t="n"/>
      <c r="ET16" s="18" t="n"/>
      <c r="EU16" s="18" t="n">
        <v>3</v>
      </c>
      <c r="EV16" s="256" t="n"/>
      <c r="EW16" s="18" t="n"/>
      <c r="EX16" s="256" t="n"/>
      <c r="EY16" s="256" t="n"/>
      <c r="EZ16" s="256" t="n"/>
      <c r="FA16" s="18" t="n"/>
      <c r="FB16" s="18" t="n">
        <v>2</v>
      </c>
      <c r="FC16" s="256" t="n"/>
      <c r="FD16" s="256" t="n"/>
      <c r="FE16" s="256" t="n"/>
      <c r="FF16" s="256" t="n"/>
      <c r="FG16" s="256" t="n"/>
      <c r="FH16" s="256" t="n"/>
      <c r="FI16" s="256" t="n"/>
      <c r="FJ16" s="241" t="inlineStr">
        <is>
          <t>08 P/ PL + 04 P/ TP</t>
        </is>
      </c>
      <c r="FK16" s="18" t="n"/>
      <c r="FL16" s="256" t="n"/>
      <c r="FM16" s="256" t="n"/>
      <c r="FN16" s="18" t="n"/>
      <c r="FO16" s="18" t="n"/>
      <c r="FP16" s="18" t="n"/>
      <c r="FQ16" s="18" t="n"/>
      <c r="FR16" s="18" t="n"/>
      <c r="FS16" s="18" t="n"/>
      <c r="FT16" s="18" t="n"/>
      <c r="FU16" s="18" t="n"/>
      <c r="FV16" s="256" t="n"/>
      <c r="FW16" s="18" t="n"/>
      <c r="FX16" s="18" t="n"/>
      <c r="FY16" s="18" t="n"/>
      <c r="FZ16" s="256" t="n">
        <v>4</v>
      </c>
      <c r="GA16" s="18" t="n"/>
      <c r="GB16" s="18" t="n"/>
      <c r="GC16" s="18" t="n"/>
      <c r="GD16" s="18" t="n"/>
      <c r="GE16" s="18" t="n"/>
      <c r="GF16" s="18" t="n"/>
      <c r="GG16" s="18" t="n"/>
      <c r="GH16" s="18" t="n"/>
      <c r="GI16" s="18" t="n"/>
      <c r="GJ16" s="18" t="n"/>
      <c r="GK16" s="18" t="n"/>
      <c r="GL16" s="18" t="n"/>
      <c r="GM16" s="18" t="n"/>
      <c r="GN16" s="18" t="n"/>
      <c r="GO16" s="18" t="n"/>
      <c r="GP16" s="18" t="n"/>
      <c r="GQ16" s="18" t="n"/>
    </row>
    <row r="17" ht="18.75" customFormat="1" customHeight="1" s="3">
      <c r="A17" s="33" t="inlineStr">
        <is>
          <t>ETIQUETAS</t>
        </is>
      </c>
      <c r="B17" s="9" t="n">
        <v>2000</v>
      </c>
      <c r="C17" s="662" t="n">
        <v>55.36</v>
      </c>
      <c r="D17" s="329" t="n">
        <v>2</v>
      </c>
      <c r="E17" s="2" t="n"/>
      <c r="F17" s="38" t="n">
        <v>1</v>
      </c>
      <c r="G17" s="38">
        <f>3+GN17</f>
        <v/>
      </c>
      <c r="H17" s="38" t="n">
        <v>3</v>
      </c>
      <c r="I17" s="38" t="n">
        <v>3</v>
      </c>
      <c r="J17" s="38" t="n">
        <v>3</v>
      </c>
      <c r="K17" s="38" t="n">
        <v>2</v>
      </c>
      <c r="L17" s="38" t="n">
        <v>2</v>
      </c>
      <c r="M17" s="38" t="n">
        <v>2</v>
      </c>
      <c r="N17" s="38" t="n">
        <v>2</v>
      </c>
      <c r="O17" s="38" t="n">
        <v>2</v>
      </c>
      <c r="P17" s="38" t="n">
        <v>2</v>
      </c>
      <c r="Q17" s="38" t="n">
        <v>2</v>
      </c>
      <c r="R17" s="38" t="n">
        <v>2</v>
      </c>
      <c r="S17" s="38" t="n">
        <v>2</v>
      </c>
      <c r="T17" s="38" t="n">
        <v>2</v>
      </c>
      <c r="U17" s="38" t="n">
        <v>2</v>
      </c>
      <c r="V17" s="38" t="n">
        <v>0</v>
      </c>
      <c r="W17" s="38" t="n">
        <v>0</v>
      </c>
      <c r="X17" s="38" t="n">
        <v>2</v>
      </c>
      <c r="Y17" s="38" t="n">
        <v>2</v>
      </c>
      <c r="Z17" s="38" t="n">
        <v>0</v>
      </c>
      <c r="AA17" s="38" t="n">
        <v>2</v>
      </c>
      <c r="AB17" s="38" t="n">
        <v>2</v>
      </c>
      <c r="AC17" s="38" t="n">
        <v>1</v>
      </c>
      <c r="AD17" s="38" t="n">
        <v>2</v>
      </c>
      <c r="AE17" s="38" t="n">
        <v>2</v>
      </c>
      <c r="AF17" s="38" t="n">
        <v>1</v>
      </c>
      <c r="AG17" s="38" t="n">
        <v>2</v>
      </c>
      <c r="AH17" s="38" t="n">
        <v>2</v>
      </c>
      <c r="AI17" s="38" t="n">
        <v>2</v>
      </c>
      <c r="AJ17" s="38" t="n">
        <v>2</v>
      </c>
      <c r="AK17" s="38" t="n">
        <v>2</v>
      </c>
      <c r="AL17" s="38" t="n">
        <v>2</v>
      </c>
      <c r="AM17" s="38" t="n">
        <v>2</v>
      </c>
      <c r="AN17" s="38" t="n">
        <v>2</v>
      </c>
      <c r="AO17" s="38" t="n">
        <v>2</v>
      </c>
      <c r="AP17" s="38" t="n">
        <v>2</v>
      </c>
      <c r="AQ17" s="38" t="n">
        <v>0</v>
      </c>
      <c r="AR17" s="38" t="n">
        <v>0</v>
      </c>
      <c r="AS17" s="38" t="n">
        <v>0</v>
      </c>
      <c r="AT17" s="38" t="n">
        <v>0</v>
      </c>
      <c r="AU17" s="38" t="n">
        <v>8</v>
      </c>
      <c r="AV17" s="38" t="n">
        <v>8</v>
      </c>
      <c r="AW17" s="38" t="n">
        <v>8</v>
      </c>
      <c r="AX17" s="38" t="n">
        <v>8</v>
      </c>
      <c r="AY17" s="38" t="n">
        <v>8</v>
      </c>
      <c r="AZ17" s="38" t="n">
        <v>8</v>
      </c>
      <c r="BA17" s="38" t="n">
        <v>8</v>
      </c>
      <c r="BB17" s="38" t="n">
        <v>8</v>
      </c>
      <c r="BC17" s="38" t="n">
        <v>8</v>
      </c>
      <c r="BD17" s="38" t="n">
        <v>8</v>
      </c>
      <c r="BE17" s="38" t="n">
        <v>8</v>
      </c>
      <c r="BF17" s="38" t="n">
        <v>6</v>
      </c>
      <c r="BG17" s="38" t="n">
        <v>6</v>
      </c>
      <c r="BH17" s="38" t="n">
        <v>6</v>
      </c>
      <c r="BI17" s="38">
        <f>6+3</f>
        <v/>
      </c>
      <c r="BJ17" s="38" t="n">
        <v>9</v>
      </c>
      <c r="BK17" s="261" t="n">
        <v>16</v>
      </c>
      <c r="BL17" s="38" t="n">
        <v>17</v>
      </c>
      <c r="BM17" s="38" t="n">
        <v>13</v>
      </c>
      <c r="BN17" s="38" t="n">
        <v>13</v>
      </c>
      <c r="BO17" s="38" t="n">
        <v>13</v>
      </c>
      <c r="BP17" s="38" t="n">
        <v>13</v>
      </c>
      <c r="BQ17" s="38" t="n">
        <v>13</v>
      </c>
      <c r="BR17" s="38" t="n">
        <v>13</v>
      </c>
      <c r="BS17" s="38" t="n">
        <v>13</v>
      </c>
      <c r="BT17" s="38" t="n">
        <v>13</v>
      </c>
      <c r="BU17" s="38" t="n">
        <v>13</v>
      </c>
      <c r="BV17" s="38" t="n">
        <v>13</v>
      </c>
      <c r="BW17" s="38" t="n">
        <v>15</v>
      </c>
      <c r="BX17" s="38" t="n">
        <v>15</v>
      </c>
      <c r="BY17" s="38" t="n">
        <v>15</v>
      </c>
      <c r="BZ17" s="38" t="n"/>
      <c r="CA17" s="38" t="n"/>
      <c r="CB17" s="154">
        <f>BZ17+IF(NOT(ISBLANK(OFFSET(CB17,0,6))),N(OFFSET(CB17,0,6)),N(OFFSET(CB17,0,7)))-CA17</f>
        <v/>
      </c>
      <c r="CC17" s="6" t="n"/>
      <c r="CD17" s="19" t="inlineStr">
        <is>
          <t>05 P/ TP + 02 P/ ER PB + 02 P/ ER MG</t>
        </is>
      </c>
      <c r="CE17" s="19" t="n"/>
      <c r="CF17" s="4" t="n"/>
      <c r="CG17" s="65" t="n"/>
      <c r="CH17" s="4" t="n"/>
      <c r="CI17" s="18" t="n">
        <v>0</v>
      </c>
      <c r="CJ17" s="18" t="n">
        <v>0</v>
      </c>
      <c r="CK17" s="18" t="n"/>
      <c r="CL17" s="18" t="n"/>
      <c r="CM17" s="18" t="n"/>
      <c r="CN17" s="18" t="n"/>
      <c r="CO17" s="18" t="n"/>
      <c r="CP17" s="418" t="n">
        <v>2</v>
      </c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54" t="inlineStr">
        <is>
          <t>3 DE ER PBE</t>
        </is>
      </c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18" t="n"/>
      <c r="DP17" s="18" t="n"/>
      <c r="DQ17" s="18" t="n"/>
      <c r="DR17" s="18" t="n"/>
      <c r="DS17" s="18" t="n"/>
      <c r="DT17" s="18" t="n">
        <v>8</v>
      </c>
      <c r="DU17" s="256" t="n">
        <v>1</v>
      </c>
      <c r="DV17" s="18" t="n"/>
      <c r="DW17" s="18" t="n">
        <v>2</v>
      </c>
      <c r="DX17" s="256" t="n"/>
      <c r="DY17" s="256" t="n"/>
      <c r="DZ17" s="256" t="n"/>
      <c r="EA17" s="18" t="n"/>
      <c r="EB17" s="18" t="n"/>
      <c r="EC17" s="18" t="n"/>
      <c r="ED17" s="18" t="n"/>
      <c r="EE17" s="18" t="n"/>
      <c r="EF17" s="18" t="n"/>
      <c r="EG17" s="18" t="n"/>
      <c r="EH17" s="18" t="n"/>
      <c r="EI17" s="18" t="n"/>
      <c r="EJ17" s="18" t="n"/>
      <c r="EK17" s="18" t="n"/>
      <c r="EL17" s="18" t="n"/>
      <c r="EM17" s="18" t="n"/>
      <c r="EN17" s="18" t="n"/>
      <c r="EO17" s="18" t="n"/>
      <c r="EP17" s="18" t="n"/>
      <c r="EQ17" s="18" t="n"/>
      <c r="ER17" s="18" t="n">
        <v>1</v>
      </c>
      <c r="ES17" s="18" t="n"/>
      <c r="ET17" s="18" t="n"/>
      <c r="EU17" s="18" t="n"/>
      <c r="EV17" s="18" t="n"/>
      <c r="EW17" s="18" t="n">
        <v>1</v>
      </c>
      <c r="EX17" s="18" t="n"/>
      <c r="EY17" s="18" t="n"/>
      <c r="EZ17" s="18" t="n"/>
      <c r="FA17" s="18" t="n"/>
      <c r="FB17" s="18" t="n">
        <v>2</v>
      </c>
      <c r="FC17" s="18" t="n"/>
      <c r="FD17" s="256" t="n"/>
      <c r="FE17" s="18" t="n"/>
      <c r="FF17" s="18" t="n"/>
      <c r="FG17" s="256" t="n"/>
      <c r="FH17" s="18" t="n"/>
      <c r="FI17" s="18" t="n"/>
      <c r="FJ17" s="256" t="n"/>
      <c r="FK17" s="18" t="n"/>
      <c r="FL17" s="18" t="n"/>
      <c r="FM17" s="256" t="n"/>
      <c r="FN17" s="18" t="n"/>
      <c r="FO17" s="18" t="n"/>
      <c r="FP17" s="18" t="n"/>
      <c r="FQ17" s="18" t="n">
        <v>2</v>
      </c>
      <c r="FR17" s="18" t="n"/>
      <c r="FS17" s="18" t="n"/>
      <c r="FT17" s="18" t="n"/>
      <c r="FU17" s="18" t="n"/>
      <c r="FV17" s="256" t="n"/>
      <c r="FW17" s="18" t="n"/>
      <c r="FX17" s="18" t="n"/>
      <c r="FY17" s="18" t="n"/>
      <c r="FZ17" s="256" t="n">
        <v>6</v>
      </c>
      <c r="GA17" s="18" t="n"/>
      <c r="GB17" s="18" t="n"/>
      <c r="GC17" s="18" t="n"/>
      <c r="GD17" s="18" t="n"/>
      <c r="GE17" s="18" t="n"/>
      <c r="GF17" s="18" t="n"/>
      <c r="GG17" s="18" t="n"/>
      <c r="GH17" s="18" t="n"/>
      <c r="GI17" s="18" t="n"/>
      <c r="GJ17" s="18" t="n"/>
      <c r="GK17" s="18" t="n"/>
      <c r="GL17" s="18" t="n"/>
      <c r="GM17" s="18" t="n"/>
      <c r="GN17" s="18" t="n">
        <v>1</v>
      </c>
      <c r="GO17" s="18" t="n">
        <v>2</v>
      </c>
      <c r="GP17" s="18" t="n"/>
      <c r="GQ17" s="18" t="n"/>
    </row>
    <row r="18" ht="18.75" customFormat="1" customHeight="1" s="3">
      <c r="A18" s="33" t="inlineStr">
        <is>
          <t>TAG</t>
        </is>
      </c>
      <c r="B18" s="9" t="n">
        <v>200</v>
      </c>
      <c r="C18" s="662" t="n">
        <v>10.28</v>
      </c>
      <c r="D18" s="329" t="n">
        <v>2</v>
      </c>
      <c r="E18" s="2" t="n"/>
      <c r="F18" s="38" t="n">
        <v>7</v>
      </c>
      <c r="G18" s="38">
        <f>7+GN18</f>
        <v/>
      </c>
      <c r="H18" s="38" t="n">
        <v>17</v>
      </c>
      <c r="I18" s="38" t="n">
        <v>17</v>
      </c>
      <c r="J18" s="38" t="n">
        <v>17</v>
      </c>
      <c r="K18" s="38" t="n">
        <v>10</v>
      </c>
      <c r="L18" s="38" t="n">
        <v>10</v>
      </c>
      <c r="M18" s="38" t="n">
        <v>8</v>
      </c>
      <c r="N18" s="38" t="n">
        <v>8</v>
      </c>
      <c r="O18" s="38" t="n">
        <v>8</v>
      </c>
      <c r="P18" s="38" t="n">
        <v>8</v>
      </c>
      <c r="Q18" s="38" t="n">
        <v>8</v>
      </c>
      <c r="R18" s="38" t="n">
        <v>8</v>
      </c>
      <c r="S18" s="38" t="n">
        <v>8</v>
      </c>
      <c r="T18" s="38" t="n">
        <v>8</v>
      </c>
      <c r="U18" s="38" t="n">
        <v>8</v>
      </c>
      <c r="V18" s="38" t="n">
        <v>8</v>
      </c>
      <c r="W18" s="38" t="n">
        <v>8</v>
      </c>
      <c r="X18" s="38" t="n">
        <v>8</v>
      </c>
      <c r="Y18" s="38">
        <f>18-5-2</f>
        <v/>
      </c>
      <c r="Z18" s="38">
        <f>10-5</f>
        <v/>
      </c>
      <c r="AA18" s="38" t="n">
        <v>5</v>
      </c>
      <c r="AB18" s="38" t="n">
        <v>5</v>
      </c>
      <c r="AC18" s="38" t="n">
        <v>4</v>
      </c>
      <c r="AD18" s="38" t="n">
        <v>4</v>
      </c>
      <c r="AE18" s="38" t="n">
        <v>4</v>
      </c>
      <c r="AF18" s="38" t="n">
        <v>4</v>
      </c>
      <c r="AG18" s="38" t="n">
        <v>4</v>
      </c>
      <c r="AH18" s="38" t="n">
        <v>4</v>
      </c>
      <c r="AI18" s="38" t="n">
        <v>4</v>
      </c>
      <c r="AJ18" s="38" t="n">
        <v>4</v>
      </c>
      <c r="AK18" s="38" t="n">
        <v>4</v>
      </c>
      <c r="AL18" s="38" t="n">
        <v>4</v>
      </c>
      <c r="AM18" s="38" t="n">
        <v>4</v>
      </c>
      <c r="AN18" s="38" t="n">
        <v>4</v>
      </c>
      <c r="AO18" s="38" t="n">
        <v>4</v>
      </c>
      <c r="AP18" s="38" t="n">
        <v>4</v>
      </c>
      <c r="AQ18" s="38" t="n">
        <v>4</v>
      </c>
      <c r="AR18" s="38" t="n">
        <v>4</v>
      </c>
      <c r="AS18" s="38" t="n">
        <v>4</v>
      </c>
      <c r="AT18" s="38" t="n">
        <v>4</v>
      </c>
      <c r="AU18" s="38" t="n">
        <v>4</v>
      </c>
      <c r="AV18" s="38" t="n">
        <v>6</v>
      </c>
      <c r="AW18" s="38" t="n">
        <v>6</v>
      </c>
      <c r="AX18" s="38" t="n">
        <v>5</v>
      </c>
      <c r="AY18" s="38" t="n">
        <v>5</v>
      </c>
      <c r="AZ18" s="38" t="n">
        <v>5</v>
      </c>
      <c r="BA18" s="38" t="n">
        <v>5</v>
      </c>
      <c r="BB18" s="38" t="n">
        <v>4</v>
      </c>
      <c r="BC18" s="38" t="n">
        <v>4</v>
      </c>
      <c r="BD18" s="38" t="n">
        <v>4</v>
      </c>
      <c r="BE18" s="38" t="n">
        <v>4</v>
      </c>
      <c r="BF18" s="38" t="n">
        <v>4</v>
      </c>
      <c r="BG18" s="38" t="n">
        <v>4</v>
      </c>
      <c r="BH18" s="38" t="n">
        <v>4</v>
      </c>
      <c r="BI18" s="38" t="n">
        <v>4</v>
      </c>
      <c r="BJ18" s="38" t="n">
        <v>4</v>
      </c>
      <c r="BK18" s="38" t="n">
        <v>17</v>
      </c>
      <c r="BL18" s="38" t="n">
        <v>4</v>
      </c>
      <c r="BM18" s="38" t="n">
        <v>4</v>
      </c>
      <c r="BN18" s="38" t="n">
        <v>4</v>
      </c>
      <c r="BO18" s="38" t="n">
        <v>4</v>
      </c>
      <c r="BP18" s="38" t="n">
        <v>4</v>
      </c>
      <c r="BQ18" s="38" t="n">
        <v>4</v>
      </c>
      <c r="BR18" s="38" t="n">
        <v>4</v>
      </c>
      <c r="BS18" s="38" t="n">
        <v>4</v>
      </c>
      <c r="BT18" s="38" t="n">
        <v>4</v>
      </c>
      <c r="BU18" s="38" t="n">
        <v>4</v>
      </c>
      <c r="BV18" s="38" t="n">
        <v>4</v>
      </c>
      <c r="BW18" s="38" t="n">
        <v>4</v>
      </c>
      <c r="BX18" s="38" t="n">
        <v>2</v>
      </c>
      <c r="BY18" s="38">
        <f>0+CJ18</f>
        <v/>
      </c>
      <c r="BZ18" s="38" t="n"/>
      <c r="CA18" s="38" t="n"/>
      <c r="CB18" s="154">
        <f>BZ18+IF(NOT(ISBLANK(OFFSET(CB18,0,6))),N(OFFSET(CB18,0,6)),N(OFFSET(CB18,0,7)))-CA18</f>
        <v/>
      </c>
      <c r="CC18" s="6" t="n"/>
      <c r="CD18" s="19" t="n"/>
      <c r="CE18" s="19" t="n"/>
      <c r="CF18" s="4" t="n"/>
      <c r="CG18" s="65" t="n"/>
      <c r="CH18" s="4" t="n"/>
      <c r="CI18" s="18" t="n">
        <v>0</v>
      </c>
      <c r="CJ18" s="18" t="n">
        <v>2</v>
      </c>
      <c r="CK18" s="18" t="n"/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18" t="n"/>
      <c r="DP18" s="18" t="n"/>
      <c r="DQ18" s="18" t="n"/>
      <c r="DR18" s="18" t="n"/>
      <c r="DS18" s="18" t="n"/>
      <c r="DT18" s="18" t="n"/>
      <c r="DU18" s="356" t="n"/>
      <c r="DV18" s="18" t="n"/>
      <c r="DW18" s="18" t="n"/>
      <c r="DX18" s="256" t="n"/>
      <c r="DY18" s="256" t="n"/>
      <c r="DZ18" s="256" t="n"/>
      <c r="EA18" s="18" t="n"/>
      <c r="EB18" s="18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18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18" t="n"/>
      <c r="FD18" s="256" t="n"/>
      <c r="FE18" s="18" t="n"/>
      <c r="FF18" s="18" t="n"/>
      <c r="FG18" s="256" t="n"/>
      <c r="FH18" s="18" t="n"/>
      <c r="FI18" s="241" t="inlineStr">
        <is>
          <t>05 P/ TP</t>
        </is>
      </c>
      <c r="FJ18" s="241" t="inlineStr">
        <is>
          <t>05 P/ PL + 02 P/ TP</t>
        </is>
      </c>
      <c r="FK18" s="18" t="n"/>
      <c r="FL18" s="18" t="n"/>
      <c r="FM18" s="256" t="n"/>
      <c r="FN18" s="18" t="n"/>
      <c r="FO18" s="18" t="n"/>
      <c r="FP18" s="18" t="n"/>
      <c r="FQ18" s="18" t="n"/>
      <c r="FR18" s="18" t="n"/>
      <c r="FS18" s="18" t="n"/>
      <c r="FT18" s="18" t="n"/>
      <c r="FU18" s="18" t="n"/>
      <c r="FV18" s="256" t="n"/>
      <c r="FW18" s="18" t="n"/>
      <c r="FX18" s="18" t="n"/>
      <c r="FY18" s="18" t="n"/>
      <c r="FZ18" s="256" t="n"/>
      <c r="GA18" s="18" t="n"/>
      <c r="GB18" s="18" t="n"/>
      <c r="GC18" s="18" t="n"/>
      <c r="GD18" s="18" t="n"/>
      <c r="GE18" s="18" t="n"/>
      <c r="GF18" s="18" t="n"/>
      <c r="GG18" s="18" t="n"/>
      <c r="GH18" s="18" t="n"/>
      <c r="GI18" s="18" t="n"/>
      <c r="GJ18" s="18" t="n"/>
      <c r="GK18" s="18" t="n"/>
      <c r="GL18" s="18" t="n"/>
      <c r="GM18" s="18" t="n"/>
      <c r="GN18" s="18" t="n">
        <v>5</v>
      </c>
      <c r="GO18" s="18" t="n"/>
      <c r="GP18" s="18" t="n"/>
      <c r="GQ18" s="18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2" t="n">
        <v>71.8</v>
      </c>
      <c r="D19" s="329" t="n">
        <v>2</v>
      </c>
      <c r="E19" s="2" t="n"/>
      <c r="F19" s="38" t="n">
        <v>3</v>
      </c>
      <c r="G19" s="38" t="n">
        <v>6</v>
      </c>
      <c r="H19" s="38" t="n">
        <v>6</v>
      </c>
      <c r="I19" s="38" t="n">
        <v>6</v>
      </c>
      <c r="J19" s="38" t="n">
        <v>6</v>
      </c>
      <c r="K19" s="38" t="n">
        <v>6</v>
      </c>
      <c r="L19" s="38" t="n">
        <v>6</v>
      </c>
      <c r="M19" s="38" t="n">
        <v>4</v>
      </c>
      <c r="N19" s="38" t="n">
        <v>4</v>
      </c>
      <c r="O19" s="38" t="n">
        <v>7</v>
      </c>
      <c r="P19" s="38" t="n">
        <v>6</v>
      </c>
      <c r="Q19" s="38" t="n">
        <v>6</v>
      </c>
      <c r="R19" s="38" t="n">
        <v>6</v>
      </c>
      <c r="S19" s="38" t="n">
        <v>6</v>
      </c>
      <c r="T19" s="38" t="n">
        <v>6</v>
      </c>
      <c r="U19" s="38" t="n">
        <v>6</v>
      </c>
      <c r="V19" s="38" t="n">
        <v>6</v>
      </c>
      <c r="W19" s="38" t="n">
        <v>6</v>
      </c>
      <c r="X19" s="38" t="n">
        <v>6</v>
      </c>
      <c r="Y19" s="38">
        <f>6-4</f>
        <v/>
      </c>
      <c r="Z19" s="38">
        <f>0+3</f>
        <v/>
      </c>
      <c r="AA19" s="38" t="n">
        <v>3</v>
      </c>
      <c r="AB19" s="38" t="n">
        <v>3</v>
      </c>
      <c r="AC19" s="38" t="n">
        <v>3</v>
      </c>
      <c r="AD19" s="38" t="n">
        <v>3</v>
      </c>
      <c r="AE19" s="38" t="n">
        <v>3</v>
      </c>
      <c r="AF19" s="38" t="n">
        <v>3</v>
      </c>
      <c r="AG19" s="38" t="n">
        <v>3</v>
      </c>
      <c r="AH19" s="38" t="n">
        <v>3</v>
      </c>
      <c r="AI19" s="38" t="n">
        <v>3</v>
      </c>
      <c r="AJ19" s="38" t="n">
        <v>3</v>
      </c>
      <c r="AK19" s="38" t="n">
        <v>3</v>
      </c>
      <c r="AL19" s="38" t="n">
        <v>3</v>
      </c>
      <c r="AM19" s="38" t="n">
        <v>3</v>
      </c>
      <c r="AN19" s="38" t="n">
        <v>3</v>
      </c>
      <c r="AO19" s="38" t="n">
        <v>3</v>
      </c>
      <c r="AP19" s="38" t="n">
        <v>3</v>
      </c>
      <c r="AQ19" s="38" t="n">
        <v>0</v>
      </c>
      <c r="AR19" s="38" t="n">
        <v>0</v>
      </c>
      <c r="AS19" s="38" t="n">
        <v>0</v>
      </c>
      <c r="AT19" s="38" t="n">
        <v>0</v>
      </c>
      <c r="AU19" s="38" t="n">
        <v>3</v>
      </c>
      <c r="AV19" s="38" t="n">
        <v>4</v>
      </c>
      <c r="AW19" s="38" t="n">
        <v>4</v>
      </c>
      <c r="AX19" s="38" t="n">
        <v>4</v>
      </c>
      <c r="AY19" s="38" t="n">
        <v>4</v>
      </c>
      <c r="AZ19" s="38" t="n">
        <v>4</v>
      </c>
      <c r="BA19" s="38" t="n">
        <v>4</v>
      </c>
      <c r="BB19" s="38" t="n">
        <v>2</v>
      </c>
      <c r="BC19" s="38">
        <f>2+DK19</f>
        <v/>
      </c>
      <c r="BD19" s="38" t="n">
        <v>4</v>
      </c>
      <c r="BE19" s="38" t="n">
        <v>4</v>
      </c>
      <c r="BF19" s="38" t="n">
        <v>4</v>
      </c>
      <c r="BG19" s="38" t="n">
        <v>0</v>
      </c>
      <c r="BH19" s="261" t="n">
        <v>4</v>
      </c>
      <c r="BI19" s="38" t="n">
        <v>5</v>
      </c>
      <c r="BJ19" s="38" t="n">
        <v>5</v>
      </c>
      <c r="BK19" s="38" t="n">
        <v>3</v>
      </c>
      <c r="BL19" s="38" t="n">
        <v>3</v>
      </c>
      <c r="BM19" s="38" t="n">
        <v>3</v>
      </c>
      <c r="BN19" s="38" t="n">
        <v>3</v>
      </c>
      <c r="BO19" s="38" t="n">
        <v>3</v>
      </c>
      <c r="BP19" s="38" t="n">
        <v>3</v>
      </c>
      <c r="BQ19" s="38" t="n">
        <v>3</v>
      </c>
      <c r="BR19" s="38" t="n">
        <v>2</v>
      </c>
      <c r="BS19" s="38" t="n">
        <v>2</v>
      </c>
      <c r="BT19" s="38" t="n">
        <v>2</v>
      </c>
      <c r="BU19" s="38" t="n">
        <v>2</v>
      </c>
      <c r="BV19" s="38" t="n">
        <v>2</v>
      </c>
      <c r="BW19" s="38" t="n">
        <v>2</v>
      </c>
      <c r="BX19" s="38" t="n">
        <v>1</v>
      </c>
      <c r="BY19" s="38" t="n">
        <v>1</v>
      </c>
      <c r="BZ19" s="38" t="n"/>
      <c r="CA19" s="38" t="n"/>
      <c r="CB19" s="154">
        <f>BZ19+IF(NOT(ISBLANK(OFFSET(CB19,0,6))),N(OFFSET(CB19,0,6)),N(OFFSET(CB19,0,7)))-CA19</f>
        <v/>
      </c>
      <c r="CC19" s="6" t="n"/>
      <c r="CD19" s="19" t="n"/>
      <c r="CE19" s="19" t="n"/>
      <c r="CF19" s="4" t="n"/>
      <c r="CG19" s="65" t="n"/>
      <c r="CH19" s="4" t="n"/>
      <c r="CI19" s="18" t="n">
        <v>0</v>
      </c>
      <c r="CJ19" s="18" t="n">
        <v>0</v>
      </c>
      <c r="CK19" s="18" t="n"/>
      <c r="CL19" s="18" t="n"/>
      <c r="CM19" s="18" t="n"/>
      <c r="CN19" s="18" t="n"/>
      <c r="CO19" s="18" t="n"/>
      <c r="CP19" s="18" t="n"/>
      <c r="CQ19" s="18" t="n"/>
      <c r="CR19" s="18" t="n"/>
      <c r="CS19" s="18" t="n"/>
      <c r="CT19" s="18" t="n"/>
      <c r="CU19" s="18" t="n"/>
      <c r="CV19" s="18" t="n"/>
      <c r="CW19" s="18" t="n"/>
      <c r="CX19" s="18" t="n"/>
      <c r="CY19" s="18" t="n"/>
      <c r="CZ19" s="18" t="n"/>
      <c r="DA19" s="18" t="n"/>
      <c r="DB19" s="18" t="n">
        <v>5</v>
      </c>
      <c r="DC19" s="18" t="n"/>
      <c r="DD19" s="18" t="n"/>
      <c r="DE19" s="18" t="n"/>
      <c r="DF19" s="18" t="n"/>
      <c r="DG19" s="18" t="n"/>
      <c r="DH19" s="18" t="n"/>
      <c r="DI19" s="18" t="n"/>
      <c r="DJ19" s="18" t="n"/>
      <c r="DK19" s="18" t="n">
        <v>2</v>
      </c>
      <c r="DL19" s="18" t="n"/>
      <c r="DM19" s="18" t="n"/>
      <c r="DN19" s="18" t="n"/>
      <c r="DO19" s="18" t="n"/>
      <c r="DP19" s="18" t="n"/>
      <c r="DQ19" s="18" t="n"/>
      <c r="DR19" s="18" t="n"/>
      <c r="DS19" s="18" t="n"/>
      <c r="DT19" s="18" t="n">
        <v>3</v>
      </c>
      <c r="DU19" s="356" t="n"/>
      <c r="DV19" s="18" t="n"/>
      <c r="DW19" s="18" t="n">
        <v>2</v>
      </c>
      <c r="DX19" s="256" t="n"/>
      <c r="DY19" s="256" t="n"/>
      <c r="DZ19" s="256" t="n"/>
      <c r="EA19" s="18" t="n"/>
      <c r="EB19" s="18" t="n"/>
      <c r="EC19" s="18" t="n"/>
      <c r="ED19" s="18" t="n"/>
      <c r="EE19" s="18" t="n"/>
      <c r="EF19" s="18" t="n"/>
      <c r="EG19" s="18" t="n"/>
      <c r="EH19" s="18" t="n"/>
      <c r="EI19" s="18" t="n"/>
      <c r="EJ19" s="18" t="n"/>
      <c r="EK19" s="18" t="n"/>
      <c r="EL19" s="18" t="n"/>
      <c r="EM19" s="18" t="n"/>
      <c r="EN19" s="18" t="n"/>
      <c r="EO19" s="18" t="n"/>
      <c r="EP19" s="18" t="n"/>
      <c r="EQ19" s="18" t="n"/>
      <c r="ER19" s="18" t="n"/>
      <c r="ES19" s="18" t="n"/>
      <c r="ET19" s="18" t="n"/>
      <c r="EU19" s="18" t="n"/>
      <c r="EV19" s="256" t="n"/>
      <c r="EW19" s="18" t="n"/>
      <c r="EX19" s="256" t="n"/>
      <c r="EY19" s="256" t="n"/>
      <c r="EZ19" s="256" t="n"/>
      <c r="FA19" s="18" t="n"/>
      <c r="FB19" s="18" t="n"/>
      <c r="FC19" s="256" t="n"/>
      <c r="FD19" s="256" t="n"/>
      <c r="FE19" s="256" t="n"/>
      <c r="FF19" s="256" t="n"/>
      <c r="FG19" s="256" t="n"/>
      <c r="FH19" s="241" t="inlineStr">
        <is>
          <t>03 DE ER PBE</t>
        </is>
      </c>
      <c r="FI19" s="256" t="n"/>
      <c r="FJ19" s="241" t="inlineStr">
        <is>
          <t>04 P/ PL</t>
        </is>
      </c>
      <c r="FK19" s="18" t="n"/>
      <c r="FL19" s="256" t="n"/>
      <c r="FM19" s="256" t="n"/>
      <c r="FN19" s="18" t="n"/>
      <c r="FO19" s="18" t="n"/>
      <c r="FP19" s="18" t="n"/>
      <c r="FQ19" s="18" t="n"/>
      <c r="FR19" s="18" t="n"/>
      <c r="FS19" s="18" t="n"/>
      <c r="FT19" s="18" t="n"/>
      <c r="FU19" s="18" t="n"/>
      <c r="FV19" s="256" t="n"/>
      <c r="FW19" s="18" t="n"/>
      <c r="FX19" s="18" t="n"/>
      <c r="FY19" s="18" t="n">
        <v>3</v>
      </c>
      <c r="FZ19" s="256" t="n"/>
      <c r="GA19" s="18" t="n"/>
      <c r="GB19" s="18" t="n"/>
      <c r="GC19" s="18" t="n"/>
      <c r="GD19" s="18" t="n"/>
      <c r="GE19" s="18" t="n"/>
      <c r="GF19" s="18" t="n"/>
      <c r="GG19" s="18" t="n"/>
      <c r="GH19" s="18" t="n"/>
      <c r="GI19" s="18" t="n"/>
      <c r="GJ19" s="18" t="n"/>
      <c r="GK19" s="18" t="n"/>
      <c r="GL19" s="18" t="n"/>
      <c r="GM19" s="18" t="n"/>
      <c r="GN19" s="18" t="n"/>
      <c r="GO19" s="18" t="n">
        <v>3</v>
      </c>
      <c r="GP19" s="18" t="n"/>
      <c r="GQ19" s="18" t="n"/>
    </row>
    <row r="20" ht="18.75" customHeight="1">
      <c r="DU20" s="17" t="n"/>
      <c r="DX20" s="271" t="n"/>
      <c r="DY20" s="271" t="n"/>
      <c r="DZ20" s="271" t="n"/>
      <c r="FD20" s="271" t="n"/>
      <c r="FG20" s="271" t="n"/>
      <c r="FM20" s="271" t="n"/>
      <c r="FV20" s="271" t="n"/>
      <c r="FZ20" s="271" t="n"/>
      <c r="GH20" s="51" t="n"/>
      <c r="GR20" s="3" t="n"/>
      <c r="GS20" s="3" t="n"/>
    </row>
    <row r="21" ht="18.75" customHeight="1">
      <c r="A21" s="32" t="inlineStr">
        <is>
          <t>SACOLAS BOTICÁRIO VENDIDAS</t>
        </is>
      </c>
      <c r="B21" s="575" t="inlineStr">
        <is>
          <t>PC</t>
        </is>
      </c>
      <c r="C21" s="575" t="inlineStr">
        <is>
          <t>R$</t>
        </is>
      </c>
      <c r="D21" s="575" t="inlineStr">
        <is>
          <t>Estoque Ideal</t>
        </is>
      </c>
      <c r="BW21" s="650" t="n">
        <v>46139</v>
      </c>
      <c r="BX21" s="650" t="n">
        <v>46146</v>
      </c>
      <c r="BY21" s="650" t="n">
        <v>46154</v>
      </c>
      <c r="BZ21" s="650" t="n">
        <v>46160</v>
      </c>
      <c r="CA21" s="650" t="n">
        <v>46160</v>
      </c>
      <c r="CB21" s="652" t="inlineStr">
        <is>
          <t>USOU</t>
        </is>
      </c>
      <c r="CD21" s="413" t="inlineStr">
        <is>
          <t>TRANSFERÊNCIA</t>
        </is>
      </c>
      <c r="CE21" s="35" t="inlineStr">
        <is>
          <t>Pend.</t>
        </is>
      </c>
      <c r="CG21" s="12" t="inlineStr">
        <is>
          <t>Novo Pedido</t>
        </is>
      </c>
      <c r="CI21" s="654" t="n"/>
      <c r="CJ21" s="654" t="n">
        <v>46149</v>
      </c>
      <c r="CK21" s="654" t="n">
        <v>46114</v>
      </c>
      <c r="CL21" s="654" t="n">
        <v>46107</v>
      </c>
      <c r="CM21" s="710" t="n">
        <v>46065</v>
      </c>
      <c r="CN21" s="654" t="n">
        <v>46099</v>
      </c>
      <c r="CO21" s="654" t="n">
        <v>46092</v>
      </c>
      <c r="CP21" s="711" t="n">
        <v>46045</v>
      </c>
      <c r="CQ21" s="654" t="n">
        <v>46084</v>
      </c>
      <c r="DU21" s="17" t="n"/>
      <c r="DX21" s="271" t="n"/>
      <c r="DY21" s="271" t="n"/>
      <c r="DZ21" s="271" t="n"/>
      <c r="FD21" s="271" t="n"/>
      <c r="FG21" s="271" t="n"/>
      <c r="FM21" s="271" t="n"/>
      <c r="FV21" s="271" t="n"/>
      <c r="FZ21" s="271" t="n"/>
      <c r="GH21" s="51" t="n"/>
      <c r="GR21" s="3" t="n"/>
      <c r="GS21" s="3" t="n"/>
    </row>
    <row r="22" ht="18.75" customHeight="1">
      <c r="A22" s="29" t="inlineStr">
        <is>
          <t>SACOLA PP VERDE</t>
        </is>
      </c>
      <c r="B22" s="9" t="n">
        <v>300</v>
      </c>
      <c r="C22" s="659" t="n">
        <v>187.12</v>
      </c>
      <c r="D22" s="329" t="n"/>
      <c r="BW22" s="120" t="n">
        <v>178</v>
      </c>
      <c r="BX22" s="38" t="n">
        <v>142</v>
      </c>
      <c r="BY22" s="38" t="n">
        <v>111</v>
      </c>
      <c r="BZ22" s="38" t="n">
        <v>106</v>
      </c>
      <c r="CA22" s="38" t="n">
        <v>106</v>
      </c>
      <c r="CB22" s="154">
        <f>BZ22+IF(NOT(ISBLANK(OFFSET(CB22,0,6))),N(OFFSET(CB22,0,6)),N(OFFSET(CB22,0,7)))-CA22</f>
        <v/>
      </c>
      <c r="CD22" s="19" t="n"/>
      <c r="CE22" s="19" t="n"/>
      <c r="CG22" s="65" t="n"/>
      <c r="CI22" s="18" t="n">
        <v>0</v>
      </c>
      <c r="CJ22" s="18" t="n">
        <v>0</v>
      </c>
      <c r="CK22" s="18" t="n"/>
      <c r="CL22" s="18" t="n"/>
      <c r="CM22" s="18" t="n"/>
      <c r="CN22" s="18" t="n"/>
      <c r="CO22" s="18" t="n"/>
      <c r="CP22" s="18" t="n"/>
      <c r="CQ22" s="18" t="n"/>
      <c r="DU22" s="17" t="n"/>
      <c r="DX22" s="271" t="n"/>
      <c r="DY22" s="271" t="n"/>
      <c r="DZ22" s="271" t="n"/>
      <c r="FD22" s="271" t="n"/>
      <c r="FG22" s="271" t="n"/>
      <c r="FM22" s="271" t="n"/>
      <c r="FV22" s="271" t="n"/>
      <c r="FZ22" s="271" t="n"/>
      <c r="GH22" s="51" t="n"/>
      <c r="GR22" s="3" t="n"/>
      <c r="GS22" s="3" t="n"/>
    </row>
    <row r="23" ht="18.75" customHeight="1">
      <c r="A23" s="29" t="inlineStr">
        <is>
          <t xml:space="preserve">SACOLA P VERDE </t>
        </is>
      </c>
      <c r="B23" s="9" t="n">
        <v>200</v>
      </c>
      <c r="C23" s="659" t="n">
        <v>193.08</v>
      </c>
      <c r="D23" s="329" t="n"/>
      <c r="BW23" s="38" t="n">
        <v>566</v>
      </c>
      <c r="BX23" s="38" t="n">
        <v>566</v>
      </c>
      <c r="BY23" s="38" t="n">
        <v>561</v>
      </c>
      <c r="BZ23" s="38" t="n">
        <v>561</v>
      </c>
      <c r="CA23" s="38" t="n">
        <v>561</v>
      </c>
      <c r="CB23" s="154">
        <f>BZ23+IF(NOT(ISBLANK(OFFSET(CB23,0,6))),N(OFFSET(CB23,0,6)),N(OFFSET(CB23,0,7)))-CA23</f>
        <v/>
      </c>
      <c r="CD23" s="19" t="n"/>
      <c r="CE23" s="19" t="n"/>
      <c r="CG23" s="65" t="n"/>
      <c r="CI23" s="18" t="n">
        <v>0</v>
      </c>
      <c r="CJ23" s="18" t="n">
        <v>0</v>
      </c>
      <c r="CK23" s="18" t="n"/>
      <c r="CL23" s="18" t="n"/>
      <c r="CM23" s="18" t="n"/>
      <c r="CN23" s="18" t="n"/>
      <c r="CO23" s="18" t="n"/>
      <c r="CP23" s="18" t="n"/>
      <c r="CQ23" s="18" t="n"/>
      <c r="DU23" s="17" t="n"/>
      <c r="DX23" s="271" t="n"/>
      <c r="DY23" s="271" t="n"/>
      <c r="DZ23" s="271" t="n"/>
      <c r="FD23" s="271" t="n"/>
      <c r="FG23" s="271" t="n"/>
      <c r="FM23" s="271" t="n"/>
      <c r="FV23" s="271" t="n"/>
      <c r="FZ23" s="271" t="n"/>
      <c r="GH23" s="51" t="n"/>
      <c r="GR23" s="3" t="n"/>
      <c r="GS23" s="3" t="n"/>
    </row>
    <row r="24" ht="18.75" customHeight="1">
      <c r="A24" s="29" t="inlineStr">
        <is>
          <t>SACOLA M VERDE</t>
        </is>
      </c>
      <c r="B24" s="9" t="n">
        <v>200</v>
      </c>
      <c r="C24" s="659" t="n">
        <v>253.83</v>
      </c>
      <c r="D24" s="329" t="n"/>
      <c r="BW24" s="38" t="n">
        <v>386</v>
      </c>
      <c r="BX24" s="38" t="n">
        <v>383</v>
      </c>
      <c r="BY24" s="38" t="n">
        <v>370</v>
      </c>
      <c r="BZ24" s="38" t="n">
        <v>370</v>
      </c>
      <c r="CA24" s="38" t="n">
        <v>370</v>
      </c>
      <c r="CB24" s="154">
        <f>BZ24+IF(NOT(ISBLANK(OFFSET(CB24,0,6))),N(OFFSET(CB24,0,6)),N(OFFSET(CB24,0,7)))-CA24</f>
        <v/>
      </c>
      <c r="CD24" s="19" t="n"/>
      <c r="CE24" s="19" t="n"/>
      <c r="CG24" s="65" t="n"/>
      <c r="CI24" s="18" t="n">
        <v>0</v>
      </c>
      <c r="CJ24" s="18" t="n">
        <v>0</v>
      </c>
      <c r="CK24" s="18" t="n"/>
      <c r="CL24" s="18" t="n"/>
      <c r="CM24" s="18" t="n"/>
      <c r="CN24" s="18" t="n"/>
      <c r="CO24" s="18" t="n"/>
      <c r="CP24" s="18" t="n"/>
      <c r="CQ24" s="18" t="n"/>
      <c r="DU24" s="17" t="n"/>
      <c r="DX24" s="271" t="n"/>
      <c r="DY24" s="271" t="n"/>
      <c r="DZ24" s="271" t="n"/>
      <c r="FD24" s="271" t="n"/>
      <c r="FG24" s="271" t="n"/>
      <c r="FM24" s="271" t="n"/>
      <c r="FV24" s="271" t="n"/>
      <c r="FZ24" s="271" t="n"/>
      <c r="GH24" s="51" t="n"/>
      <c r="GR24" s="3" t="n"/>
      <c r="GS24" s="3" t="n"/>
    </row>
    <row r="25" ht="18.75" customHeight="1">
      <c r="DU25" s="17" t="n"/>
      <c r="DX25" s="271" t="n"/>
      <c r="DY25" s="271" t="n"/>
      <c r="DZ25" s="271" t="n"/>
      <c r="FD25" s="271" t="n"/>
      <c r="FG25" s="271" t="n"/>
      <c r="FM25" s="271" t="n"/>
      <c r="FV25" s="271" t="n"/>
      <c r="FZ25" s="271" t="n"/>
      <c r="GH25" s="51" t="n"/>
      <c r="GR25" s="3" t="n"/>
      <c r="GS25" s="3" t="n"/>
    </row>
    <row r="26" ht="18.75" customFormat="1" customHeight="1" s="3">
      <c r="A26" s="32" t="inlineStr">
        <is>
          <t>KIT SACOLAS BOTICÁRIO VENDIDAS</t>
        </is>
      </c>
      <c r="B26" s="575" t="inlineStr">
        <is>
          <t>PC</t>
        </is>
      </c>
      <c r="C26" s="575" t="inlineStr">
        <is>
          <t>R$</t>
        </is>
      </c>
      <c r="D26" s="575" t="n"/>
      <c r="E26" s="642" t="n"/>
      <c r="F26" s="650" t="n">
        <v>46021</v>
      </c>
      <c r="G26" s="650" t="n">
        <v>45663</v>
      </c>
      <c r="H26" s="650" t="n">
        <v>45670</v>
      </c>
      <c r="I26" s="650" t="n">
        <v>45677</v>
      </c>
      <c r="J26" s="650" t="n">
        <v>45684</v>
      </c>
      <c r="K26" s="650" t="n">
        <v>45691</v>
      </c>
      <c r="L26" s="650" t="n">
        <v>45698</v>
      </c>
      <c r="M26" s="650" t="n">
        <v>45705</v>
      </c>
      <c r="N26" s="650" t="n">
        <v>45712</v>
      </c>
      <c r="O26" s="650" t="n">
        <v>45719</v>
      </c>
      <c r="P26" s="650" t="n">
        <v>45726</v>
      </c>
      <c r="Q26" s="650" t="n">
        <v>45733</v>
      </c>
      <c r="R26" s="650" t="n">
        <v>45740</v>
      </c>
      <c r="S26" s="650" t="n">
        <v>45747</v>
      </c>
      <c r="T26" s="650" t="n">
        <v>45754</v>
      </c>
      <c r="U26" s="650" t="n">
        <v>45761</v>
      </c>
      <c r="V26" s="650" t="n">
        <v>45768</v>
      </c>
      <c r="W26" s="650" t="n">
        <v>45775</v>
      </c>
      <c r="X26" s="650" t="n">
        <v>45782</v>
      </c>
      <c r="Y26" s="650" t="n">
        <v>45789</v>
      </c>
      <c r="Z26" s="650" t="n">
        <v>45796</v>
      </c>
      <c r="AA26" s="650" t="n">
        <v>45803</v>
      </c>
      <c r="AB26" s="650" t="n">
        <v>45810</v>
      </c>
      <c r="AC26" s="650" t="n">
        <v>45817</v>
      </c>
      <c r="AD26" s="650" t="n">
        <v>45824</v>
      </c>
      <c r="AE26" s="650" t="n">
        <v>45831</v>
      </c>
      <c r="AF26" s="650" t="n">
        <v>45838</v>
      </c>
      <c r="AG26" s="650" t="n">
        <v>45845</v>
      </c>
      <c r="AH26" s="650" t="n">
        <v>45852</v>
      </c>
      <c r="AI26" s="650" t="n">
        <v>45859</v>
      </c>
      <c r="AJ26" s="650" t="n">
        <v>45866</v>
      </c>
      <c r="AK26" s="650" t="n">
        <v>45873</v>
      </c>
      <c r="AL26" s="650" t="n">
        <v>45880</v>
      </c>
      <c r="AM26" s="650" t="n">
        <v>45887</v>
      </c>
      <c r="AN26" s="650" t="n">
        <v>45894</v>
      </c>
      <c r="AO26" s="650" t="n">
        <v>45901</v>
      </c>
      <c r="AP26" s="650" t="n">
        <v>45908</v>
      </c>
      <c r="AQ26" s="650" t="n">
        <v>45915</v>
      </c>
      <c r="AR26" s="650" t="n">
        <v>45922</v>
      </c>
      <c r="AS26" s="650" t="n">
        <v>45929</v>
      </c>
      <c r="AT26" s="650" t="n">
        <v>45936</v>
      </c>
      <c r="AU26" s="650" t="n">
        <v>45943</v>
      </c>
      <c r="AV26" s="650" t="n">
        <v>45950</v>
      </c>
      <c r="AW26" s="650" t="n">
        <v>45957</v>
      </c>
      <c r="AX26" s="650" t="n">
        <v>45964</v>
      </c>
      <c r="AY26" s="650" t="n">
        <v>45971</v>
      </c>
      <c r="AZ26" s="650" t="n">
        <v>45978</v>
      </c>
      <c r="BA26" s="650" t="n">
        <v>45985</v>
      </c>
      <c r="BB26" s="650" t="n">
        <v>45992</v>
      </c>
      <c r="BC26" s="650" t="n">
        <v>45999</v>
      </c>
      <c r="BD26" s="650" t="n">
        <v>46006</v>
      </c>
      <c r="BE26" s="650" t="n">
        <v>46013</v>
      </c>
      <c r="BF26" s="650" t="n">
        <v>46020</v>
      </c>
      <c r="BG26" s="650" t="n">
        <v>46027</v>
      </c>
      <c r="BH26" s="650" t="n">
        <v>46034</v>
      </c>
      <c r="BI26" s="650" t="n">
        <v>46041</v>
      </c>
      <c r="BJ26" s="650" t="n">
        <v>46048</v>
      </c>
      <c r="BK26" s="650" t="n">
        <v>46055</v>
      </c>
      <c r="BL26" s="650" t="n">
        <v>46062</v>
      </c>
      <c r="BM26" s="650" t="n">
        <v>46069</v>
      </c>
      <c r="BN26" s="650" t="n">
        <v>46076</v>
      </c>
      <c r="BO26" s="650" t="n">
        <v>46083</v>
      </c>
      <c r="BP26" s="650" t="n">
        <v>46090</v>
      </c>
      <c r="BQ26" s="650" t="n">
        <v>46097</v>
      </c>
      <c r="BR26" s="650" t="n">
        <v>46104</v>
      </c>
      <c r="BS26" s="650" t="n">
        <v>46111</v>
      </c>
      <c r="BT26" s="650" t="n">
        <v>46118</v>
      </c>
      <c r="BU26" s="650" t="n">
        <v>46125</v>
      </c>
      <c r="BV26" s="650" t="n">
        <v>46132</v>
      </c>
      <c r="BW26" s="650" t="n">
        <v>46139</v>
      </c>
      <c r="BX26" s="650" t="n">
        <v>46146</v>
      </c>
      <c r="BY26" s="650" t="n">
        <v>46154</v>
      </c>
      <c r="BZ26" s="650" t="n">
        <v>46160</v>
      </c>
      <c r="CA26" s="650" t="n">
        <v>46160</v>
      </c>
      <c r="CB26" s="652" t="inlineStr">
        <is>
          <t>USOU</t>
        </is>
      </c>
      <c r="CC26" s="6" t="n"/>
      <c r="CD26" s="413" t="inlineStr">
        <is>
          <t>TRANSFERÊNCIA</t>
        </is>
      </c>
      <c r="CE26" s="35" t="inlineStr">
        <is>
          <t>Pend.</t>
        </is>
      </c>
      <c r="CG26" s="12" t="inlineStr">
        <is>
          <t>Novo Pedido</t>
        </is>
      </c>
      <c r="CI26" s="654" t="n"/>
      <c r="CJ26" s="654" t="n">
        <v>46149</v>
      </c>
      <c r="CK26" s="654" t="n">
        <v>46114</v>
      </c>
      <c r="CL26" s="654" t="n">
        <v>46107</v>
      </c>
      <c r="CM26" s="710" t="n">
        <v>46065</v>
      </c>
      <c r="CN26" s="654" t="n">
        <v>46099</v>
      </c>
      <c r="CO26" s="654" t="n">
        <v>46092</v>
      </c>
      <c r="CP26" s="711" t="n">
        <v>46045</v>
      </c>
      <c r="CQ26" s="654" t="n">
        <v>46084</v>
      </c>
      <c r="CR26" s="655" t="n">
        <v>46084</v>
      </c>
      <c r="CS26" s="654" t="n">
        <v>46077</v>
      </c>
      <c r="CT26" s="655" t="n">
        <v>46077</v>
      </c>
      <c r="CU26" s="654" t="n">
        <v>46071</v>
      </c>
      <c r="CV26" s="654" t="n">
        <v>46048</v>
      </c>
      <c r="CW26" s="654" t="n">
        <v>46043</v>
      </c>
      <c r="CX26" s="654" t="n">
        <v>46035</v>
      </c>
      <c r="CY26" s="654" t="n">
        <v>46029</v>
      </c>
      <c r="CZ26" s="655" t="n">
        <v>46043</v>
      </c>
      <c r="DA26" s="654" t="n">
        <v>46024</v>
      </c>
      <c r="DB26" s="654" t="n">
        <v>46029</v>
      </c>
      <c r="DC26" s="654" t="n">
        <v>46024</v>
      </c>
      <c r="DD26" s="654" t="n">
        <v>46372</v>
      </c>
      <c r="DE26" s="654" t="n">
        <v>46024</v>
      </c>
      <c r="DF26" s="654" t="n">
        <v>46017</v>
      </c>
      <c r="DG26" s="654" t="n">
        <v>46007</v>
      </c>
      <c r="DH26" s="654" t="n">
        <v>46001</v>
      </c>
      <c r="DI26" s="654" t="n">
        <v>46007</v>
      </c>
      <c r="DJ26" s="654" t="n">
        <v>46001</v>
      </c>
      <c r="DK26" s="654" t="n">
        <v>45994</v>
      </c>
      <c r="DL26" s="654" t="n">
        <v>45986</v>
      </c>
      <c r="DM26" s="654" t="n">
        <v>45980</v>
      </c>
      <c r="DN26" s="654" t="n">
        <v>45980</v>
      </c>
      <c r="DO26" s="654" t="n">
        <v>45973</v>
      </c>
      <c r="DP26" s="654" t="n">
        <v>45965</v>
      </c>
      <c r="DQ26" s="654" t="n">
        <v>45960</v>
      </c>
      <c r="DR26" s="654" t="n">
        <v>45945</v>
      </c>
      <c r="DS26" s="654" t="n">
        <v>45939</v>
      </c>
      <c r="DT26" s="654" t="n">
        <v>45931</v>
      </c>
      <c r="DU26" s="678" t="n">
        <v>45903</v>
      </c>
      <c r="DV26" s="654" t="n">
        <v>45923</v>
      </c>
      <c r="DW26" s="654" t="n">
        <v>45915</v>
      </c>
      <c r="DX26" s="655" t="n">
        <v>45931</v>
      </c>
      <c r="DY26" s="688" t="n">
        <v>45931</v>
      </c>
      <c r="DZ26" s="688" t="n">
        <v>45931</v>
      </c>
      <c r="EA26" s="654" t="n">
        <v>45903</v>
      </c>
      <c r="EB26" s="654" t="n">
        <v>45909</v>
      </c>
      <c r="EC26" s="654" t="n">
        <v>45903</v>
      </c>
      <c r="ED26" s="654" t="n">
        <v>45903</v>
      </c>
      <c r="EE26" s="654" t="n">
        <v>45895</v>
      </c>
      <c r="EF26" s="679" t="n">
        <v>45896</v>
      </c>
      <c r="EG26" s="654" t="n">
        <v>45888</v>
      </c>
      <c r="EH26" s="654" t="n">
        <v>45881</v>
      </c>
      <c r="EI26" s="655" t="n">
        <v>45882</v>
      </c>
      <c r="EJ26" s="654" t="n">
        <v>45874</v>
      </c>
      <c r="EK26" s="654" t="n">
        <v>45867</v>
      </c>
      <c r="EL26" s="654" t="n">
        <v>45860</v>
      </c>
      <c r="EM26" s="654" t="n">
        <v>45853</v>
      </c>
      <c r="EN26" s="655" t="n">
        <v>45860</v>
      </c>
      <c r="EO26" s="681" t="n">
        <v>45855</v>
      </c>
      <c r="EP26" s="654" t="n">
        <v>45848</v>
      </c>
      <c r="EQ26" s="681" t="n">
        <v>45853</v>
      </c>
      <c r="ER26" s="654" t="n">
        <v>45839</v>
      </c>
      <c r="ES26" s="681" t="n">
        <v>45791</v>
      </c>
      <c r="ET26" s="654" t="n">
        <v>45832</v>
      </c>
      <c r="EU26" s="654" t="n">
        <v>45825</v>
      </c>
      <c r="EV26" s="655" t="n">
        <v>45826</v>
      </c>
      <c r="EW26" s="654" t="n">
        <v>45819</v>
      </c>
      <c r="EX26" s="655" t="n">
        <v>45819</v>
      </c>
      <c r="EY26" s="655" t="n">
        <v>45818</v>
      </c>
      <c r="EZ26" s="655" t="n">
        <v>45807</v>
      </c>
      <c r="FA26" s="654" t="n">
        <v>45790</v>
      </c>
      <c r="FB26" s="654" t="n">
        <v>45798</v>
      </c>
      <c r="FC26" s="690" t="n">
        <v>45800</v>
      </c>
      <c r="FD26" s="650" t="n">
        <v>45799</v>
      </c>
      <c r="FE26" s="655" t="n">
        <v>45799</v>
      </c>
      <c r="FF26" s="690" t="n">
        <v>45799</v>
      </c>
      <c r="FG26" s="650" t="n">
        <v>45798</v>
      </c>
      <c r="FH26" s="655" t="n">
        <v>45798</v>
      </c>
      <c r="FI26" s="655" t="n">
        <v>45797</v>
      </c>
      <c r="FJ26" s="655" t="n">
        <v>45794</v>
      </c>
      <c r="FK26" s="654" t="n">
        <v>45790</v>
      </c>
      <c r="FL26" s="683" t="n">
        <v>45735</v>
      </c>
      <c r="FM26" s="650" t="n">
        <v>45786</v>
      </c>
      <c r="FN26" s="654" t="n">
        <v>45783</v>
      </c>
      <c r="FO26" s="654" t="n">
        <v>45770</v>
      </c>
      <c r="FP26" s="654" t="n">
        <v>45775</v>
      </c>
      <c r="FQ26" s="654" t="n">
        <v>45770</v>
      </c>
      <c r="FR26" s="655" t="n">
        <v>45775</v>
      </c>
      <c r="FS26" s="654" t="n">
        <v>45756</v>
      </c>
      <c r="FT26" s="654" t="n">
        <v>45749</v>
      </c>
      <c r="FU26" s="654" t="n">
        <v>45743</v>
      </c>
      <c r="FV26" s="650" t="n">
        <v>45740</v>
      </c>
      <c r="FW26" s="654" t="n">
        <v>45728</v>
      </c>
      <c r="FX26" s="654" t="n">
        <v>45714</v>
      </c>
      <c r="FY26" s="654" t="n">
        <v>45706</v>
      </c>
      <c r="FZ26" s="650" t="n">
        <v>45700</v>
      </c>
      <c r="GA26" s="654" t="n">
        <v>45706</v>
      </c>
      <c r="GB26" s="654" t="n">
        <v>45699</v>
      </c>
      <c r="GC26" s="655" t="n">
        <v>45706</v>
      </c>
      <c r="GD26" s="654" t="n">
        <v>45693</v>
      </c>
      <c r="GE26" s="654" t="n">
        <v>45693</v>
      </c>
      <c r="GF26" s="654" t="n">
        <v>45685</v>
      </c>
      <c r="GG26" s="654" t="n">
        <v>45685</v>
      </c>
      <c r="GH26" s="712" t="n">
        <v>45692</v>
      </c>
      <c r="GI26" s="655" t="n">
        <v>45691</v>
      </c>
      <c r="GJ26" s="655" t="n">
        <v>45681</v>
      </c>
      <c r="GK26" s="655" t="n">
        <v>45672</v>
      </c>
      <c r="GL26" s="654" t="n">
        <v>45664</v>
      </c>
      <c r="GM26" s="654" t="n">
        <v>45660</v>
      </c>
      <c r="GN26" s="654" t="n">
        <v>45660</v>
      </c>
      <c r="GO26" s="654" t="n">
        <v>46017</v>
      </c>
      <c r="GP26" s="654" t="n">
        <v>45643</v>
      </c>
      <c r="GQ26" s="654" t="n">
        <v>45638</v>
      </c>
    </row>
    <row r="27" ht="18.75" customFormat="1" customHeight="1" s="3">
      <c r="A27" s="33" t="inlineStr">
        <is>
          <t>KIT SACOLA PP VERDE (KIT C/ 10)</t>
        </is>
      </c>
      <c r="B27" s="9" t="n">
        <v>280</v>
      </c>
      <c r="C27" s="662" t="n">
        <v>174.76</v>
      </c>
      <c r="D27" s="329" t="n">
        <v>15</v>
      </c>
      <c r="E27" s="714" t="n"/>
      <c r="F27" s="120" t="n">
        <v>0</v>
      </c>
      <c r="G27" s="120" t="n">
        <v>0</v>
      </c>
      <c r="H27" s="120" t="n">
        <v>0</v>
      </c>
      <c r="I27" s="120" t="n">
        <v>0</v>
      </c>
      <c r="J27" s="120" t="n">
        <v>0</v>
      </c>
      <c r="K27" s="120">
        <f>0+GG27</f>
        <v/>
      </c>
      <c r="L27" s="120" t="n">
        <v>28</v>
      </c>
      <c r="M27" s="120" t="n">
        <v>28</v>
      </c>
      <c r="N27" s="120" t="n">
        <v>28</v>
      </c>
      <c r="O27" s="120" t="n">
        <v>28</v>
      </c>
      <c r="P27" s="120" t="n">
        <v>28</v>
      </c>
      <c r="Q27" s="120" t="n">
        <v>28</v>
      </c>
      <c r="R27" s="120" t="n">
        <v>28</v>
      </c>
      <c r="S27" s="120" t="n">
        <v>28</v>
      </c>
      <c r="T27" s="120" t="n">
        <v>28</v>
      </c>
      <c r="U27" s="120" t="n">
        <v>28</v>
      </c>
      <c r="V27" s="120" t="n">
        <v>28</v>
      </c>
      <c r="W27" s="120" t="n">
        <v>28</v>
      </c>
      <c r="X27" s="120" t="n">
        <v>28</v>
      </c>
      <c r="Y27" s="120" t="n">
        <v>28</v>
      </c>
      <c r="Z27" s="120" t="n">
        <v>28</v>
      </c>
      <c r="AA27" s="120" t="n">
        <v>28</v>
      </c>
      <c r="AB27" s="120" t="n">
        <v>28</v>
      </c>
      <c r="AC27" s="120" t="n">
        <v>28</v>
      </c>
      <c r="AD27" s="120" t="n">
        <v>28</v>
      </c>
      <c r="AE27" s="120" t="n">
        <v>28</v>
      </c>
      <c r="AF27" s="120" t="n">
        <v>28</v>
      </c>
      <c r="AG27" s="120" t="n">
        <v>28</v>
      </c>
      <c r="AH27" s="120" t="n">
        <v>28</v>
      </c>
      <c r="AI27" s="120" t="n">
        <v>28</v>
      </c>
      <c r="AJ27" s="120" t="n">
        <v>28</v>
      </c>
      <c r="AK27" s="120" t="n">
        <v>28</v>
      </c>
      <c r="AL27" s="120" t="n">
        <v>28</v>
      </c>
      <c r="AM27" s="120" t="n">
        <v>28</v>
      </c>
      <c r="AN27" s="120" t="n">
        <v>28</v>
      </c>
      <c r="AO27" s="120" t="n">
        <v>28</v>
      </c>
      <c r="AP27" s="120" t="n">
        <v>28</v>
      </c>
      <c r="AQ27" s="120" t="n">
        <v>28</v>
      </c>
      <c r="AR27" s="120" t="n">
        <v>28</v>
      </c>
      <c r="AS27" s="120" t="n">
        <v>28</v>
      </c>
      <c r="AT27" s="120" t="n">
        <v>28</v>
      </c>
      <c r="AU27" s="120" t="n">
        <v>28</v>
      </c>
      <c r="AV27" s="120" t="n">
        <v>23</v>
      </c>
      <c r="AW27" s="120" t="n">
        <v>23</v>
      </c>
      <c r="AX27" s="120" t="n">
        <v>19</v>
      </c>
      <c r="AY27" s="120" t="n">
        <v>19</v>
      </c>
      <c r="AZ27" s="120" t="n">
        <v>19</v>
      </c>
      <c r="BA27" s="120" t="n">
        <v>19</v>
      </c>
      <c r="BB27" s="120" t="n">
        <v>18</v>
      </c>
      <c r="BC27" s="120" t="n">
        <v>17</v>
      </c>
      <c r="BD27" s="120" t="n">
        <v>17</v>
      </c>
      <c r="BE27" s="120" t="n">
        <v>17</v>
      </c>
      <c r="BF27" s="120" t="n">
        <v>17</v>
      </c>
      <c r="BG27" s="120" t="n">
        <v>17</v>
      </c>
      <c r="BH27" s="120" t="n">
        <v>17</v>
      </c>
      <c r="BI27" s="120" t="n">
        <v>17</v>
      </c>
      <c r="BJ27" s="120" t="n">
        <v>17</v>
      </c>
      <c r="BK27" s="120" t="n">
        <v>17</v>
      </c>
      <c r="BL27" s="120" t="n">
        <v>17</v>
      </c>
      <c r="BM27" s="120" t="n">
        <v>17</v>
      </c>
      <c r="BN27" s="120" t="n">
        <v>17</v>
      </c>
      <c r="BO27" s="120" t="n">
        <v>17</v>
      </c>
      <c r="BP27" s="120" t="n">
        <v>17</v>
      </c>
      <c r="BQ27" s="120" t="n">
        <v>8</v>
      </c>
      <c r="BR27" s="120" t="n">
        <v>7</v>
      </c>
      <c r="BS27" s="120" t="n">
        <v>0</v>
      </c>
      <c r="BT27" s="120" t="n">
        <v>0</v>
      </c>
      <c r="BU27" s="120" t="n">
        <v>0</v>
      </c>
      <c r="BV27" s="120" t="n">
        <v>0</v>
      </c>
      <c r="BW27" s="120" t="n">
        <v>0</v>
      </c>
      <c r="BX27" s="262" t="n">
        <v>8</v>
      </c>
      <c r="BY27" s="120" t="n">
        <v>6</v>
      </c>
      <c r="BZ27" s="120" t="n">
        <v>4</v>
      </c>
      <c r="CA27" s="120" t="n">
        <v>4</v>
      </c>
      <c r="CB27" s="154">
        <f>BZ27+IF(NOT(ISBLANK(OFFSET(CB27,0,6))),N(OFFSET(CB27,0,6)),N(OFFSET(CB27,0,7)))-CA27</f>
        <v/>
      </c>
      <c r="CC27" s="118" t="n"/>
      <c r="CD27" s="19" t="n"/>
      <c r="CE27" s="19" t="n"/>
      <c r="CF27" s="119" t="n"/>
      <c r="CG27" s="65" t="n"/>
      <c r="CH27" s="119" t="n"/>
      <c r="CI27" s="18" t="n">
        <v>0</v>
      </c>
      <c r="CJ27" s="18" t="n">
        <v>0</v>
      </c>
      <c r="CK27" s="18" t="n"/>
      <c r="CL27" s="18" t="n"/>
      <c r="CM27" s="18" t="n"/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  <c r="DU27" s="256" t="n">
        <v>20</v>
      </c>
      <c r="DV27" s="18" t="n"/>
      <c r="DW27" s="18" t="n"/>
      <c r="DX27" s="256" t="n"/>
      <c r="DY27" s="404" t="inlineStr">
        <is>
          <t>40 DE CDP</t>
        </is>
      </c>
      <c r="DZ27" s="256" t="n"/>
      <c r="EA27" s="18" t="n"/>
      <c r="EB27" s="18" t="n"/>
      <c r="EC27" s="18" t="n"/>
      <c r="ED27" s="18" t="n"/>
      <c r="EE27" s="18" t="n"/>
      <c r="EF27" s="18" t="n"/>
      <c r="EG27" s="18" t="n"/>
      <c r="EH27" s="18" t="n"/>
      <c r="EI27" s="18" t="n"/>
      <c r="EJ27" s="18" t="n"/>
      <c r="EK27" s="18" t="n"/>
      <c r="EL27" s="18" t="n"/>
      <c r="EM27" s="18" t="n"/>
      <c r="EN27" s="18" t="n"/>
      <c r="EO27" s="18" t="n"/>
      <c r="EP27" s="18" t="n"/>
      <c r="EQ27" s="18" t="n"/>
      <c r="ER27" s="18" t="n"/>
      <c r="ES27" s="18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/>
      <c r="FC27" s="18" t="n"/>
      <c r="FD27" s="256" t="n"/>
      <c r="FE27" s="18" t="n"/>
      <c r="FF27" s="18" t="n"/>
      <c r="FG27" s="292" t="inlineStr">
        <is>
          <t>295 DE CD</t>
        </is>
      </c>
      <c r="FH27" s="18" t="n"/>
      <c r="FI27" s="18" t="n"/>
      <c r="FJ27" s="18" t="n"/>
      <c r="FK27" s="18" t="n"/>
      <c r="FL27" s="18" t="n"/>
      <c r="FM27" s="292" t="inlineStr">
        <is>
          <t>287 P/ BRINDE</t>
        </is>
      </c>
      <c r="FN27" s="18" t="n"/>
      <c r="FO27" s="18" t="n"/>
      <c r="FP27" s="18" t="n"/>
      <c r="FQ27" s="18" t="n"/>
      <c r="FR27" s="18" t="n"/>
      <c r="FS27" s="18" t="n"/>
      <c r="FT27" s="18" t="n"/>
      <c r="FU27" s="18" t="n"/>
      <c r="FV27" s="256" t="inlineStr">
        <is>
          <t>100 p. erp</t>
        </is>
      </c>
      <c r="FW27" s="18" t="n"/>
      <c r="FX27" s="18" t="n"/>
      <c r="FY27" s="18" t="n"/>
      <c r="FZ27" s="256" t="n">
        <v>400</v>
      </c>
      <c r="GA27" s="18" t="n"/>
      <c r="GB27" s="18" t="n"/>
      <c r="GC27" s="18" t="n"/>
      <c r="GD27" s="18" t="n"/>
      <c r="GE27" s="18" t="n"/>
      <c r="GF27" s="18" t="n"/>
      <c r="GG27" s="18" t="n">
        <v>28</v>
      </c>
      <c r="GH27" s="18" t="n"/>
      <c r="GI27" s="18" t="n"/>
      <c r="GJ27" s="18" t="n"/>
      <c r="GK27" s="18" t="n"/>
      <c r="GL27" s="18" t="n"/>
      <c r="GM27" s="18" t="n"/>
      <c r="GN27" s="18" t="n"/>
      <c r="GO27" s="18" t="n"/>
      <c r="GP27" s="18" t="n"/>
      <c r="GQ27" s="18" t="n"/>
    </row>
    <row r="28" ht="18.75" customFormat="1" customHeight="1" s="3">
      <c r="A28" s="33" t="inlineStr">
        <is>
          <t>KIT SACOLA P VERDE (KIT C/ 10)</t>
        </is>
      </c>
      <c r="B28" s="9" t="n">
        <v>200</v>
      </c>
      <c r="C28" s="662" t="n">
        <v>193.24</v>
      </c>
      <c r="D28" s="329" t="n">
        <v>15</v>
      </c>
      <c r="E28" s="2" t="n"/>
      <c r="F28" s="38" t="n">
        <v>0</v>
      </c>
      <c r="G28" s="38" t="n">
        <v>0</v>
      </c>
      <c r="H28" s="38" t="n">
        <v>0</v>
      </c>
      <c r="I28" s="38" t="n">
        <v>0</v>
      </c>
      <c r="J28" s="38" t="n">
        <v>0</v>
      </c>
      <c r="K28" s="38">
        <f>0+GG28</f>
        <v/>
      </c>
      <c r="L28" s="38" t="n">
        <v>20</v>
      </c>
      <c r="M28" s="38" t="n">
        <v>20</v>
      </c>
      <c r="N28" s="38" t="n">
        <v>20</v>
      </c>
      <c r="O28" s="38" t="n">
        <v>19</v>
      </c>
      <c r="P28" s="38" t="n">
        <v>19</v>
      </c>
      <c r="Q28" s="38" t="n">
        <v>40</v>
      </c>
      <c r="R28" s="38" t="n">
        <v>19</v>
      </c>
      <c r="S28" s="38" t="n">
        <v>19</v>
      </c>
      <c r="T28" s="38" t="n">
        <v>59</v>
      </c>
      <c r="U28" s="261" t="n">
        <v>80</v>
      </c>
      <c r="V28" s="38" t="n">
        <v>80</v>
      </c>
      <c r="W28" s="38" t="n">
        <v>80</v>
      </c>
      <c r="X28" s="38" t="n">
        <v>80</v>
      </c>
      <c r="Y28" s="38" t="n">
        <v>80</v>
      </c>
      <c r="Z28" s="38" t="n">
        <v>80</v>
      </c>
      <c r="AA28" s="38">
        <f>80-30</f>
        <v/>
      </c>
      <c r="AB28" s="38" t="n">
        <v>50</v>
      </c>
      <c r="AC28" s="38" t="n">
        <v>49</v>
      </c>
      <c r="AD28" s="38" t="n">
        <v>49</v>
      </c>
      <c r="AE28" s="38" t="n">
        <v>49</v>
      </c>
      <c r="AF28" s="38" t="n">
        <v>49</v>
      </c>
      <c r="AG28" s="38" t="n">
        <v>49</v>
      </c>
      <c r="AH28" s="38" t="n">
        <v>49</v>
      </c>
      <c r="AI28" s="38">
        <f>49-20</f>
        <v/>
      </c>
      <c r="AJ28" s="38" t="n">
        <v>29</v>
      </c>
      <c r="AK28" s="38" t="n">
        <v>29</v>
      </c>
      <c r="AL28" s="38" t="n">
        <v>29</v>
      </c>
      <c r="AM28" s="38" t="n">
        <v>29</v>
      </c>
      <c r="AN28" s="38" t="n">
        <v>29</v>
      </c>
      <c r="AO28" s="38" t="n">
        <v>29</v>
      </c>
      <c r="AP28" s="38" t="n">
        <v>29</v>
      </c>
      <c r="AQ28" s="38" t="n">
        <v>29</v>
      </c>
      <c r="AR28" s="38" t="n">
        <v>29</v>
      </c>
      <c r="AS28" s="38" t="n">
        <v>29</v>
      </c>
      <c r="AT28" s="38" t="n">
        <v>29</v>
      </c>
      <c r="AU28" s="38" t="n">
        <v>29</v>
      </c>
      <c r="AV28" s="38" t="n">
        <v>24</v>
      </c>
      <c r="AW28" s="38" t="n">
        <v>24</v>
      </c>
      <c r="AX28" s="38" t="n">
        <v>24</v>
      </c>
      <c r="AY28" s="38" t="n">
        <v>24</v>
      </c>
      <c r="AZ28" s="38" t="n">
        <v>24</v>
      </c>
      <c r="BA28" s="38" t="n">
        <v>24</v>
      </c>
      <c r="BB28" s="38" t="n">
        <v>24</v>
      </c>
      <c r="BC28" s="38" t="n">
        <v>24</v>
      </c>
      <c r="BD28" s="38" t="n">
        <v>24</v>
      </c>
      <c r="BE28" s="38" t="n">
        <v>24</v>
      </c>
      <c r="BF28" s="38" t="n">
        <v>24</v>
      </c>
      <c r="BG28" s="38" t="n">
        <v>24</v>
      </c>
      <c r="BH28" s="38" t="n">
        <v>20</v>
      </c>
      <c r="BI28" s="38" t="n">
        <v>20</v>
      </c>
      <c r="BJ28" s="38" t="n">
        <v>20</v>
      </c>
      <c r="BK28" s="38" t="n">
        <v>20</v>
      </c>
      <c r="BL28" s="38" t="n">
        <v>20</v>
      </c>
      <c r="BM28" s="38" t="n">
        <v>24</v>
      </c>
      <c r="BN28" s="38" t="n">
        <v>24</v>
      </c>
      <c r="BO28" s="38" t="n">
        <v>24</v>
      </c>
      <c r="BP28" s="38" t="n">
        <v>24</v>
      </c>
      <c r="BQ28" s="38" t="n">
        <v>23</v>
      </c>
      <c r="BR28" s="38" t="n">
        <v>23</v>
      </c>
      <c r="BS28" s="38" t="n">
        <v>10</v>
      </c>
      <c r="BT28" s="38" t="n">
        <v>10</v>
      </c>
      <c r="BU28" s="38" t="n">
        <v>10</v>
      </c>
      <c r="BV28" s="38" t="n">
        <v>10</v>
      </c>
      <c r="BW28" s="38" t="n">
        <v>10</v>
      </c>
      <c r="BX28" s="38" t="n">
        <v>10</v>
      </c>
      <c r="BY28" s="38" t="n">
        <v>8</v>
      </c>
      <c r="BZ28" s="38" t="n">
        <v>6</v>
      </c>
      <c r="CA28" s="38" t="n">
        <v>6</v>
      </c>
      <c r="CB28" s="154">
        <f>BZ28+IF(NOT(ISBLANK(OFFSET(CB28,0,6))),N(OFFSET(CB28,0,6)),N(OFFSET(CB28,0,7)))-CA28</f>
        <v/>
      </c>
      <c r="CC28" s="118" t="n"/>
      <c r="CD28" s="19" t="n"/>
      <c r="CE28" s="19" t="n"/>
      <c r="CF28" s="119" t="n"/>
      <c r="CG28" s="65" t="n"/>
      <c r="CH28" s="119" t="n"/>
      <c r="CI28" s="18" t="n">
        <v>0</v>
      </c>
      <c r="CJ28" s="18" t="n">
        <v>0</v>
      </c>
      <c r="CK28" s="18" t="n"/>
      <c r="CL28" s="18" t="n"/>
      <c r="CM28" s="403" t="n">
        <v>200</v>
      </c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256" t="n"/>
      <c r="DY28" s="256" t="n"/>
      <c r="DZ28" s="256" t="n"/>
      <c r="EA28" s="18" t="n"/>
      <c r="EB28" s="18" t="n"/>
      <c r="EC28" s="18" t="n"/>
      <c r="ED28" s="18" t="n"/>
      <c r="EE28" s="18" t="n"/>
      <c r="EF28" s="18" t="n"/>
      <c r="EG28" s="18" t="n"/>
      <c r="EH28" s="18" t="n"/>
      <c r="EI28" s="18" t="n"/>
      <c r="EJ28" s="18" t="n"/>
      <c r="EK28" s="18" t="n"/>
      <c r="EL28" s="18" t="n"/>
      <c r="EM28" s="18" t="n"/>
      <c r="EN28" s="241" t="inlineStr">
        <is>
          <t>20 P/ CD</t>
        </is>
      </c>
      <c r="EO28" s="256" t="n"/>
      <c r="EP28" s="18" t="n"/>
      <c r="EQ28" s="292" t="inlineStr">
        <is>
          <t>100 P/ ER PB</t>
        </is>
      </c>
      <c r="ER28" s="18" t="n"/>
      <c r="ES28" s="256" t="n">
        <v>200</v>
      </c>
      <c r="ET28" s="18" t="n"/>
      <c r="EU28" s="18" t="n"/>
      <c r="EV28" s="18" t="n"/>
      <c r="EW28" s="18" t="n"/>
      <c r="EX28" s="18" t="n"/>
      <c r="EY28" s="18" t="n"/>
      <c r="EZ28" s="239" t="inlineStr">
        <is>
          <t>30 P/ CDP</t>
        </is>
      </c>
      <c r="FA28" s="18" t="n"/>
      <c r="FB28" s="18" t="n"/>
      <c r="FC28" s="256" t="n"/>
      <c r="FD28" s="256" t="n"/>
      <c r="FE28" s="18" t="n"/>
      <c r="FF28" s="312" t="inlineStr">
        <is>
          <t>50 P/ CD</t>
        </is>
      </c>
      <c r="FG28" s="292" t="inlineStr">
        <is>
          <t>184 DE CD</t>
        </is>
      </c>
      <c r="FH28" s="18" t="n"/>
      <c r="FI28" s="18" t="n"/>
      <c r="FJ28" s="18" t="n"/>
      <c r="FK28" s="18" t="n"/>
      <c r="FL28" s="256" t="n">
        <v>100</v>
      </c>
      <c r="FM28" s="292" t="inlineStr">
        <is>
          <t>80 P/ BRINDE</t>
        </is>
      </c>
      <c r="FN28" s="18" t="n"/>
      <c r="FO28" s="18" t="n"/>
      <c r="FP28" s="18" t="n"/>
      <c r="FQ28" s="18" t="n"/>
      <c r="FR28" s="18" t="n"/>
      <c r="FS28" s="18" t="n"/>
      <c r="FT28" s="18" t="n"/>
      <c r="FU28" s="18" t="n">
        <v>40</v>
      </c>
      <c r="FV28" s="256" t="inlineStr">
        <is>
          <t>100 p. erp</t>
        </is>
      </c>
      <c r="FW28" s="18" t="n"/>
      <c r="FX28" s="18" t="n"/>
      <c r="FY28" s="18" t="n"/>
      <c r="FZ28" s="256" t="n">
        <v>200</v>
      </c>
      <c r="GA28" s="18" t="n"/>
      <c r="GB28" s="18" t="n"/>
      <c r="GC28" s="18" t="n"/>
      <c r="GD28" s="18" t="n"/>
      <c r="GE28" s="18" t="n"/>
      <c r="GF28" s="18" t="n"/>
      <c r="GG28" s="18" t="n">
        <v>20</v>
      </c>
      <c r="GH28" s="18" t="n"/>
      <c r="GI28" s="18" t="n"/>
      <c r="GJ28" s="18" t="n"/>
      <c r="GK28" s="18" t="n"/>
      <c r="GL28" s="18" t="n"/>
      <c r="GM28" s="18" t="n"/>
      <c r="GN28" s="18" t="n"/>
      <c r="GO28" s="18" t="n"/>
      <c r="GP28" s="18" t="n"/>
      <c r="GQ28" s="18" t="n"/>
    </row>
    <row r="29" ht="18.75" customFormat="1" customHeight="1" s="3">
      <c r="A29" s="33" t="inlineStr">
        <is>
          <t>KIT SACOLA M VERDE (KIT C/ 10)</t>
        </is>
      </c>
      <c r="B29" s="9" t="n">
        <v>150</v>
      </c>
      <c r="C29" s="662" t="n">
        <v>190.38</v>
      </c>
      <c r="D29" s="329" t="n">
        <v>10</v>
      </c>
      <c r="E29" s="2" t="n"/>
      <c r="F29" s="38" t="n">
        <v>0</v>
      </c>
      <c r="G29" s="38" t="n">
        <v>0</v>
      </c>
      <c r="H29" s="38" t="n">
        <v>0</v>
      </c>
      <c r="I29" s="38" t="n">
        <v>0</v>
      </c>
      <c r="J29" s="38" t="n">
        <v>0</v>
      </c>
      <c r="K29" s="38">
        <f>0+GG29</f>
        <v/>
      </c>
      <c r="L29" s="38" t="n">
        <v>15</v>
      </c>
      <c r="M29" s="38" t="n">
        <v>15</v>
      </c>
      <c r="N29" s="38" t="n">
        <v>15</v>
      </c>
      <c r="O29" s="38" t="n">
        <v>15</v>
      </c>
      <c r="P29" s="38" t="n">
        <v>15</v>
      </c>
      <c r="Q29" s="38" t="n">
        <v>15</v>
      </c>
      <c r="R29" s="38" t="n">
        <v>15</v>
      </c>
      <c r="S29" s="38" t="n">
        <v>15</v>
      </c>
      <c r="T29" s="38" t="n">
        <v>15</v>
      </c>
      <c r="U29" s="38" t="n">
        <v>15</v>
      </c>
      <c r="V29" s="38" t="n">
        <v>15</v>
      </c>
      <c r="W29" s="38" t="n">
        <v>15</v>
      </c>
      <c r="X29" s="38" t="n">
        <v>15</v>
      </c>
      <c r="Y29" s="38" t="n">
        <v>15</v>
      </c>
      <c r="Z29" s="38" t="n">
        <v>15</v>
      </c>
      <c r="AA29" s="38" t="n">
        <v>15</v>
      </c>
      <c r="AB29" s="38" t="n">
        <v>15</v>
      </c>
      <c r="AC29" s="38" t="n">
        <v>15</v>
      </c>
      <c r="AD29" s="38" t="n">
        <v>15</v>
      </c>
      <c r="AE29" s="38" t="n">
        <v>15</v>
      </c>
      <c r="AF29" s="38" t="n">
        <v>15</v>
      </c>
      <c r="AG29" s="38" t="n">
        <v>15</v>
      </c>
      <c r="AH29" s="38" t="n">
        <v>15</v>
      </c>
      <c r="AI29" s="38" t="n">
        <v>15</v>
      </c>
      <c r="AJ29" s="38" t="n">
        <v>15</v>
      </c>
      <c r="AK29" s="38" t="n">
        <v>15</v>
      </c>
      <c r="AL29" s="38" t="n">
        <v>15</v>
      </c>
      <c r="AM29" s="38" t="n">
        <v>15</v>
      </c>
      <c r="AN29" s="38" t="n">
        <v>15</v>
      </c>
      <c r="AO29" s="38" t="n">
        <v>15</v>
      </c>
      <c r="AP29" s="38" t="n">
        <v>15</v>
      </c>
      <c r="AQ29" s="38" t="n">
        <v>15</v>
      </c>
      <c r="AR29" s="38" t="n">
        <v>15</v>
      </c>
      <c r="AS29" s="38" t="n">
        <v>15</v>
      </c>
      <c r="AT29" s="38" t="n">
        <v>15</v>
      </c>
      <c r="AU29" s="38" t="n">
        <v>15</v>
      </c>
      <c r="AV29" s="38" t="n">
        <v>10</v>
      </c>
      <c r="AW29" s="38" t="n">
        <v>10</v>
      </c>
      <c r="AX29" s="38" t="n">
        <v>10</v>
      </c>
      <c r="AY29" s="38" t="n">
        <v>10</v>
      </c>
      <c r="AZ29" s="38" t="n">
        <v>10</v>
      </c>
      <c r="BA29" s="38" t="n">
        <v>10</v>
      </c>
      <c r="BB29" s="38" t="n">
        <v>10</v>
      </c>
      <c r="BC29" s="38" t="n">
        <v>10</v>
      </c>
      <c r="BD29" s="38" t="n">
        <v>10</v>
      </c>
      <c r="BE29" s="38" t="n">
        <v>10</v>
      </c>
      <c r="BF29" s="38" t="n">
        <v>10</v>
      </c>
      <c r="BG29" s="38" t="n">
        <v>10</v>
      </c>
      <c r="BH29" s="38" t="n">
        <v>10</v>
      </c>
      <c r="BI29" s="38" t="n">
        <v>10</v>
      </c>
      <c r="BJ29" s="38" t="n">
        <v>10</v>
      </c>
      <c r="BK29" s="38" t="n">
        <v>10</v>
      </c>
      <c r="BL29" s="38" t="n">
        <v>10</v>
      </c>
      <c r="BM29" s="38" t="n">
        <v>10</v>
      </c>
      <c r="BN29" s="38" t="n">
        <v>10</v>
      </c>
      <c r="BO29" s="38" t="n">
        <v>10</v>
      </c>
      <c r="BP29" s="38" t="n">
        <v>10</v>
      </c>
      <c r="BQ29" s="38" t="n">
        <v>11</v>
      </c>
      <c r="BR29" s="38" t="n">
        <v>11</v>
      </c>
      <c r="BS29" s="38" t="n">
        <v>11</v>
      </c>
      <c r="BT29" s="38" t="n">
        <v>11</v>
      </c>
      <c r="BU29" s="38" t="n">
        <v>11</v>
      </c>
      <c r="BV29" s="38" t="n">
        <v>11</v>
      </c>
      <c r="BW29" s="38" t="n">
        <v>11</v>
      </c>
      <c r="BX29" s="38" t="n">
        <v>11</v>
      </c>
      <c r="BY29" s="38" t="n">
        <v>11</v>
      </c>
      <c r="BZ29" s="38" t="n">
        <v>10</v>
      </c>
      <c r="CA29" s="38" t="n">
        <v>10</v>
      </c>
      <c r="CB29" s="154">
        <f>BZ29+IF(NOT(ISBLANK(OFFSET(CB29,0,6))),N(OFFSET(CB29,0,6)),N(OFFSET(CB29,0,7)))-CA29</f>
        <v/>
      </c>
      <c r="CC29" s="118" t="n"/>
      <c r="CD29" s="19" t="n"/>
      <c r="CE29" s="19" t="n"/>
      <c r="CF29" s="119" t="n"/>
      <c r="CG29" s="65" t="n"/>
      <c r="CH29" s="119" t="n"/>
      <c r="CI29" s="18" t="n">
        <v>0</v>
      </c>
      <c r="CJ29" s="18" t="n">
        <v>0</v>
      </c>
      <c r="CK29" s="18" t="n"/>
      <c r="CL29" s="18" t="n"/>
      <c r="CM29" s="18" t="n"/>
      <c r="CN29" s="18" t="n"/>
      <c r="CO29" s="18" t="n"/>
      <c r="CP29" s="418" t="n">
        <v>450</v>
      </c>
      <c r="CQ29" s="18" t="n"/>
      <c r="CR29" s="18" t="n"/>
      <c r="CS29" s="18" t="n"/>
      <c r="CT29" s="18" t="n"/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18" t="n"/>
      <c r="DN29" s="18" t="n"/>
      <c r="DO29" s="18" t="n"/>
      <c r="DP29" s="18" t="n"/>
      <c r="DQ29" s="18" t="n"/>
      <c r="DR29" s="18" t="n"/>
      <c r="DS29" s="18" t="n"/>
      <c r="DT29" s="18" t="n"/>
      <c r="DU29" s="18" t="n"/>
      <c r="DV29" s="18" t="n"/>
      <c r="DW29" s="18" t="n"/>
      <c r="DX29" s="256" t="n"/>
      <c r="DY29" s="256" t="n"/>
      <c r="DZ29" s="256" t="n"/>
      <c r="EA29" s="18" t="n"/>
      <c r="EB29" s="18" t="n"/>
      <c r="EC29" s="18" t="n"/>
      <c r="ED29" s="18" t="n"/>
      <c r="EE29" s="18" t="n"/>
      <c r="EF29" s="18" t="n"/>
      <c r="EG29" s="18" t="n"/>
      <c r="EH29" s="18" t="n"/>
      <c r="EI29" s="18" t="n"/>
      <c r="EJ29" s="18" t="n"/>
      <c r="EK29" s="18" t="n"/>
      <c r="EL29" s="18" t="n"/>
      <c r="EM29" s="18" t="n"/>
      <c r="EN29" s="18" t="n"/>
      <c r="EO29" s="18" t="n"/>
      <c r="EP29" s="18" t="n"/>
      <c r="EQ29" s="18" t="n"/>
      <c r="ER29" s="18" t="n"/>
      <c r="ES29" s="18" t="n"/>
      <c r="ET29" s="18" t="n"/>
      <c r="EU29" s="18" t="n"/>
      <c r="EV29" s="18" t="n"/>
      <c r="EW29" s="18" t="n"/>
      <c r="EX29" s="18" t="n"/>
      <c r="EY29" s="18" t="n"/>
      <c r="EZ29" s="18" t="n"/>
      <c r="FA29" s="18" t="n"/>
      <c r="FB29" s="18" t="n"/>
      <c r="FC29" s="256" t="n"/>
      <c r="FD29" s="256" t="n"/>
      <c r="FE29" s="18" t="n"/>
      <c r="FF29" s="312" t="inlineStr">
        <is>
          <t>20 P/ CD</t>
        </is>
      </c>
      <c r="FG29" s="292" t="inlineStr">
        <is>
          <t>02 DE CD</t>
        </is>
      </c>
      <c r="FH29" s="18" t="n"/>
      <c r="FI29" s="18" t="n"/>
      <c r="FJ29" s="18" t="n"/>
      <c r="FK29" s="18" t="n"/>
      <c r="FL29" s="256" t="n">
        <v>40</v>
      </c>
      <c r="FM29" s="292" t="inlineStr">
        <is>
          <t>70 P/ BRINDE</t>
        </is>
      </c>
      <c r="FN29" s="18" t="n"/>
      <c r="FO29" s="18" t="n"/>
      <c r="FP29" s="18" t="n"/>
      <c r="FQ29" s="18" t="n"/>
      <c r="FR29" s="18" t="n"/>
      <c r="FS29" s="18" t="n"/>
      <c r="FT29" s="18" t="n"/>
      <c r="FU29" s="18" t="n"/>
      <c r="FV29" s="256" t="inlineStr">
        <is>
          <t>25 p. erp</t>
        </is>
      </c>
      <c r="FW29" s="18" t="n"/>
      <c r="FX29" s="18" t="n"/>
      <c r="FY29" s="18" t="n"/>
      <c r="FZ29" s="256" t="n">
        <v>100</v>
      </c>
      <c r="GA29" s="18" t="n"/>
      <c r="GB29" s="18" t="n"/>
      <c r="GC29" s="18" t="n"/>
      <c r="GD29" s="18" t="n"/>
      <c r="GE29" s="18" t="n"/>
      <c r="GF29" s="18" t="n"/>
      <c r="GG29" s="18" t="n">
        <v>15</v>
      </c>
      <c r="GH29" s="18" t="n"/>
      <c r="GI29" s="18" t="n"/>
      <c r="GJ29" s="18" t="n"/>
      <c r="GK29" s="18" t="n"/>
      <c r="GL29" s="18" t="n"/>
      <c r="GM29" s="18" t="n"/>
      <c r="GN29" s="18" t="n"/>
      <c r="GO29" s="18" t="n"/>
      <c r="GP29" s="18" t="n"/>
      <c r="GQ29" s="18" t="n"/>
      <c r="GR29" s="6" t="n"/>
      <c r="GS29" s="6" t="n"/>
    </row>
    <row r="30" ht="18.75" customHeight="1">
      <c r="CB30" s="53" t="n"/>
      <c r="CD30" s="69" t="n"/>
      <c r="CE30" s="69" t="n"/>
      <c r="DU30" s="395" t="n"/>
      <c r="DX30" s="271" t="n"/>
      <c r="DY30" s="271" t="n"/>
      <c r="DZ30" s="271" t="n"/>
      <c r="FD30" s="272" t="n"/>
      <c r="FG30" s="272" t="n"/>
      <c r="FM30" s="272" t="n"/>
      <c r="FV30" s="272" t="n"/>
      <c r="FZ30" s="272" t="n"/>
      <c r="GH30" s="1" t="n"/>
      <c r="GR30" s="3" t="n"/>
      <c r="GS30" s="3" t="n"/>
    </row>
    <row r="31" ht="18.75" customFormat="1" customHeight="1" s="3">
      <c r="A31" s="32" t="inlineStr">
        <is>
          <t>DIVERSOS VENDÁVEIS BOTICÁRIO</t>
        </is>
      </c>
      <c r="B31" s="575" t="inlineStr">
        <is>
          <t>PC</t>
        </is>
      </c>
      <c r="C31" s="575" t="inlineStr">
        <is>
          <t>R$</t>
        </is>
      </c>
      <c r="D31" s="575" t="n"/>
      <c r="E31" s="642" t="n"/>
      <c r="F31" s="650" t="n">
        <v>46021</v>
      </c>
      <c r="G31" s="650" t="n">
        <v>45663</v>
      </c>
      <c r="H31" s="650" t="n">
        <v>45670</v>
      </c>
      <c r="I31" s="650" t="n">
        <v>45677</v>
      </c>
      <c r="J31" s="650" t="n">
        <v>45684</v>
      </c>
      <c r="K31" s="650" t="n">
        <v>45691</v>
      </c>
      <c r="L31" s="650" t="n">
        <v>45698</v>
      </c>
      <c r="M31" s="650" t="n">
        <v>45705</v>
      </c>
      <c r="N31" s="650" t="n">
        <v>45712</v>
      </c>
      <c r="O31" s="650" t="n">
        <v>45719</v>
      </c>
      <c r="P31" s="650" t="n">
        <v>45726</v>
      </c>
      <c r="Q31" s="650" t="n">
        <v>45733</v>
      </c>
      <c r="R31" s="650" t="n">
        <v>45740</v>
      </c>
      <c r="S31" s="650" t="n">
        <v>45747</v>
      </c>
      <c r="T31" s="650" t="n">
        <v>45754</v>
      </c>
      <c r="U31" s="650" t="n">
        <v>45761</v>
      </c>
      <c r="V31" s="650" t="n">
        <v>45768</v>
      </c>
      <c r="W31" s="650" t="n">
        <v>45775</v>
      </c>
      <c r="X31" s="650" t="n">
        <v>45782</v>
      </c>
      <c r="Y31" s="650" t="n">
        <v>45789</v>
      </c>
      <c r="Z31" s="650" t="n">
        <v>45796</v>
      </c>
      <c r="AA31" s="650" t="n">
        <v>45803</v>
      </c>
      <c r="AB31" s="650" t="n">
        <v>45810</v>
      </c>
      <c r="AC31" s="650" t="n">
        <v>45817</v>
      </c>
      <c r="AD31" s="650" t="n">
        <v>45824</v>
      </c>
      <c r="AE31" s="650" t="n">
        <v>45831</v>
      </c>
      <c r="AF31" s="650" t="n">
        <v>45838</v>
      </c>
      <c r="AG31" s="650" t="n">
        <v>45845</v>
      </c>
      <c r="AH31" s="650" t="n">
        <v>45852</v>
      </c>
      <c r="AI31" s="650" t="n">
        <v>45859</v>
      </c>
      <c r="AJ31" s="650" t="n">
        <v>45866</v>
      </c>
      <c r="AK31" s="650" t="n">
        <v>45873</v>
      </c>
      <c r="AL31" s="650" t="n">
        <v>45880</v>
      </c>
      <c r="AM31" s="650" t="n">
        <v>45887</v>
      </c>
      <c r="AN31" s="650" t="n">
        <v>45894</v>
      </c>
      <c r="AO31" s="650" t="n">
        <v>45901</v>
      </c>
      <c r="AP31" s="650" t="n">
        <v>45908</v>
      </c>
      <c r="AQ31" s="650" t="n">
        <v>45915</v>
      </c>
      <c r="AR31" s="650" t="n">
        <v>45922</v>
      </c>
      <c r="AS31" s="650" t="n">
        <v>45929</v>
      </c>
      <c r="AT31" s="650" t="n">
        <v>45936</v>
      </c>
      <c r="AU31" s="650" t="n">
        <v>45943</v>
      </c>
      <c r="AV31" s="650" t="n">
        <v>45950</v>
      </c>
      <c r="AW31" s="650" t="n">
        <v>45957</v>
      </c>
      <c r="AX31" s="650" t="n">
        <v>45964</v>
      </c>
      <c r="AY31" s="650" t="n">
        <v>45971</v>
      </c>
      <c r="AZ31" s="650" t="n">
        <v>45978</v>
      </c>
      <c r="BA31" s="650" t="n">
        <v>45985</v>
      </c>
      <c r="BB31" s="650" t="n">
        <v>45992</v>
      </c>
      <c r="BC31" s="650" t="n">
        <v>45999</v>
      </c>
      <c r="BD31" s="650" t="n">
        <v>46006</v>
      </c>
      <c r="BE31" s="650" t="n">
        <v>46013</v>
      </c>
      <c r="BF31" s="650" t="n">
        <v>46020</v>
      </c>
      <c r="BG31" s="650" t="n">
        <v>46027</v>
      </c>
      <c r="BH31" s="650" t="n">
        <v>46034</v>
      </c>
      <c r="BI31" s="650" t="n">
        <v>46041</v>
      </c>
      <c r="BJ31" s="650" t="n">
        <v>46048</v>
      </c>
      <c r="BK31" s="650" t="n">
        <v>46055</v>
      </c>
      <c r="BL31" s="650" t="n">
        <v>46062</v>
      </c>
      <c r="BM31" s="650" t="n">
        <v>46069</v>
      </c>
      <c r="BN31" s="650" t="n">
        <v>46076</v>
      </c>
      <c r="BO31" s="650" t="n">
        <v>46083</v>
      </c>
      <c r="BP31" s="650" t="n">
        <v>46090</v>
      </c>
      <c r="BQ31" s="650" t="n">
        <v>46097</v>
      </c>
      <c r="BR31" s="650" t="n">
        <v>46104</v>
      </c>
      <c r="BS31" s="650" t="n">
        <v>46111</v>
      </c>
      <c r="BT31" s="650" t="n">
        <v>46118</v>
      </c>
      <c r="BU31" s="650" t="n">
        <v>46125</v>
      </c>
      <c r="BV31" s="650" t="n">
        <v>46132</v>
      </c>
      <c r="BW31" s="650" t="n">
        <v>46139</v>
      </c>
      <c r="BX31" s="650" t="n">
        <v>46146</v>
      </c>
      <c r="BY31" s="650" t="n">
        <v>46154</v>
      </c>
      <c r="BZ31" s="650" t="n">
        <v>46160</v>
      </c>
      <c r="CA31" s="650" t="n">
        <v>46160</v>
      </c>
      <c r="CB31" s="652" t="inlineStr">
        <is>
          <t>USOU</t>
        </is>
      </c>
      <c r="CC31" s="6" t="n"/>
      <c r="CD31" s="413" t="inlineStr">
        <is>
          <t>TRANSFERÊNCIA</t>
        </is>
      </c>
      <c r="CE31" s="35" t="inlineStr">
        <is>
          <t>Pend.</t>
        </is>
      </c>
      <c r="CF31" s="653" t="n"/>
      <c r="CG31" s="12" t="inlineStr">
        <is>
          <t>Novo Pedido</t>
        </is>
      </c>
      <c r="CH31" s="4" t="n"/>
      <c r="CI31" s="654" t="n"/>
      <c r="CJ31" s="654" t="n">
        <v>46149</v>
      </c>
      <c r="CK31" s="654" t="n">
        <v>46114</v>
      </c>
      <c r="CL31" s="654" t="n">
        <v>46107</v>
      </c>
      <c r="CM31" s="710" t="n">
        <v>46065</v>
      </c>
      <c r="CN31" s="654" t="n">
        <v>46099</v>
      </c>
      <c r="CO31" s="654" t="n">
        <v>46092</v>
      </c>
      <c r="CP31" s="711" t="n">
        <v>46045</v>
      </c>
      <c r="CQ31" s="654" t="n">
        <v>46084</v>
      </c>
      <c r="CR31" s="655" t="n">
        <v>46084</v>
      </c>
      <c r="CS31" s="654" t="n">
        <v>46077</v>
      </c>
      <c r="CT31" s="655" t="n">
        <v>46077</v>
      </c>
      <c r="CU31" s="654" t="n">
        <v>46071</v>
      </c>
      <c r="CV31" s="654" t="n">
        <v>46048</v>
      </c>
      <c r="CW31" s="654" t="n">
        <v>46043</v>
      </c>
      <c r="CX31" s="654" t="n">
        <v>46035</v>
      </c>
      <c r="CY31" s="654" t="n">
        <v>46029</v>
      </c>
      <c r="CZ31" s="655" t="n">
        <v>46043</v>
      </c>
      <c r="DA31" s="654" t="n">
        <v>46024</v>
      </c>
      <c r="DB31" s="654" t="n">
        <v>46029</v>
      </c>
      <c r="DC31" s="654" t="n">
        <v>46024</v>
      </c>
      <c r="DD31" s="654" t="n">
        <v>46372</v>
      </c>
      <c r="DE31" s="654" t="n">
        <v>46024</v>
      </c>
      <c r="DF31" s="654" t="n">
        <v>46017</v>
      </c>
      <c r="DG31" s="654" t="n">
        <v>46007</v>
      </c>
      <c r="DH31" s="654" t="n">
        <v>46001</v>
      </c>
      <c r="DI31" s="654" t="n">
        <v>46007</v>
      </c>
      <c r="DJ31" s="654" t="n">
        <v>46001</v>
      </c>
      <c r="DK31" s="654" t="n">
        <v>45994</v>
      </c>
      <c r="DL31" s="654" t="n">
        <v>45986</v>
      </c>
      <c r="DM31" s="654" t="n">
        <v>45980</v>
      </c>
      <c r="DN31" s="654" t="n">
        <v>45980</v>
      </c>
      <c r="DO31" s="654" t="n">
        <v>45973</v>
      </c>
      <c r="DP31" s="654" t="n">
        <v>45965</v>
      </c>
      <c r="DQ31" s="654" t="n">
        <v>45960</v>
      </c>
      <c r="DR31" s="654" t="n">
        <v>45945</v>
      </c>
      <c r="DS31" s="654" t="n">
        <v>45939</v>
      </c>
      <c r="DT31" s="654" t="n">
        <v>45931</v>
      </c>
      <c r="DU31" s="678" t="n">
        <v>45903</v>
      </c>
      <c r="DV31" s="654" t="n">
        <v>45923</v>
      </c>
      <c r="DW31" s="654" t="n">
        <v>45915</v>
      </c>
      <c r="DX31" s="655" t="n">
        <v>45931</v>
      </c>
      <c r="DY31" s="688" t="n">
        <v>45931</v>
      </c>
      <c r="DZ31" s="688" t="n">
        <v>45931</v>
      </c>
      <c r="EA31" s="654" t="n">
        <v>45903</v>
      </c>
      <c r="EB31" s="654" t="n">
        <v>45909</v>
      </c>
      <c r="EC31" s="654" t="n">
        <v>45903</v>
      </c>
      <c r="ED31" s="654" t="n">
        <v>45903</v>
      </c>
      <c r="EE31" s="654" t="n">
        <v>45895</v>
      </c>
      <c r="EF31" s="679" t="n">
        <v>45896</v>
      </c>
      <c r="EG31" s="654" t="n">
        <v>45888</v>
      </c>
      <c r="EH31" s="654" t="n">
        <v>45881</v>
      </c>
      <c r="EI31" s="655" t="n">
        <v>45882</v>
      </c>
      <c r="EJ31" s="654" t="n">
        <v>45874</v>
      </c>
      <c r="EK31" s="654" t="n">
        <v>45867</v>
      </c>
      <c r="EL31" s="654" t="n">
        <v>45860</v>
      </c>
      <c r="EM31" s="654" t="n">
        <v>45853</v>
      </c>
      <c r="EN31" s="655" t="n">
        <v>45860</v>
      </c>
      <c r="EO31" s="681" t="n">
        <v>45855</v>
      </c>
      <c r="EP31" s="654" t="n">
        <v>45848</v>
      </c>
      <c r="EQ31" s="681" t="n">
        <v>45853</v>
      </c>
      <c r="ER31" s="654" t="n">
        <v>45839</v>
      </c>
      <c r="ES31" s="681" t="n">
        <v>45791</v>
      </c>
      <c r="ET31" s="654" t="n">
        <v>45832</v>
      </c>
      <c r="EU31" s="654" t="n">
        <v>45825</v>
      </c>
      <c r="EV31" s="655" t="n">
        <v>45826</v>
      </c>
      <c r="EW31" s="654" t="n">
        <v>45819</v>
      </c>
      <c r="EX31" s="655" t="n">
        <v>45819</v>
      </c>
      <c r="EY31" s="655" t="n">
        <v>45818</v>
      </c>
      <c r="EZ31" s="655" t="n">
        <v>45807</v>
      </c>
      <c r="FA31" s="654" t="n">
        <v>45790</v>
      </c>
      <c r="FB31" s="654" t="n">
        <v>45798</v>
      </c>
      <c r="FC31" s="690" t="n">
        <v>45800</v>
      </c>
      <c r="FD31" s="650" t="n">
        <v>45799</v>
      </c>
      <c r="FE31" s="655" t="n">
        <v>45799</v>
      </c>
      <c r="FF31" s="690" t="n">
        <v>45799</v>
      </c>
      <c r="FG31" s="650" t="n">
        <v>45798</v>
      </c>
      <c r="FH31" s="655" t="n">
        <v>45798</v>
      </c>
      <c r="FI31" s="655" t="n">
        <v>45797</v>
      </c>
      <c r="FJ31" s="655" t="n">
        <v>45794</v>
      </c>
      <c r="FK31" s="654" t="n">
        <v>45790</v>
      </c>
      <c r="FL31" s="683" t="n">
        <v>45735</v>
      </c>
      <c r="FM31" s="650" t="n">
        <v>45786</v>
      </c>
      <c r="FN31" s="654" t="n">
        <v>45783</v>
      </c>
      <c r="FO31" s="654" t="n">
        <v>45770</v>
      </c>
      <c r="FP31" s="654" t="n">
        <v>45775</v>
      </c>
      <c r="FQ31" s="654" t="n">
        <v>45770</v>
      </c>
      <c r="FR31" s="655" t="n">
        <v>45775</v>
      </c>
      <c r="FS31" s="654" t="n">
        <v>45756</v>
      </c>
      <c r="FT31" s="654" t="n">
        <v>45749</v>
      </c>
      <c r="FU31" s="654" t="n">
        <v>45743</v>
      </c>
      <c r="FV31" s="650" t="n">
        <v>45740</v>
      </c>
      <c r="FW31" s="654" t="n">
        <v>45728</v>
      </c>
      <c r="FX31" s="654" t="n">
        <v>45714</v>
      </c>
      <c r="FY31" s="654" t="n">
        <v>45706</v>
      </c>
      <c r="FZ31" s="650" t="n">
        <v>45700</v>
      </c>
      <c r="GA31" s="654" t="n">
        <v>45706</v>
      </c>
      <c r="GB31" s="654" t="n">
        <v>45699</v>
      </c>
      <c r="GC31" s="655" t="n">
        <v>45706</v>
      </c>
      <c r="GD31" s="654" t="n">
        <v>45693</v>
      </c>
      <c r="GE31" s="654" t="n">
        <v>45693</v>
      </c>
      <c r="GF31" s="654" t="n">
        <v>45685</v>
      </c>
      <c r="GG31" s="654" t="n">
        <v>45685</v>
      </c>
      <c r="GH31" s="712" t="n">
        <v>45692</v>
      </c>
      <c r="GI31" s="655" t="n">
        <v>45691</v>
      </c>
      <c r="GJ31" s="655" t="n">
        <v>45681</v>
      </c>
      <c r="GK31" s="655" t="n">
        <v>45672</v>
      </c>
      <c r="GL31" s="654" t="n">
        <v>45664</v>
      </c>
      <c r="GM31" s="654" t="n">
        <v>45660</v>
      </c>
      <c r="GN31" s="654" t="n">
        <v>45660</v>
      </c>
      <c r="GO31" s="654" t="n">
        <v>46017</v>
      </c>
      <c r="GP31" s="654" t="n">
        <v>45643</v>
      </c>
      <c r="GQ31" s="654" t="n">
        <v>45638</v>
      </c>
    </row>
    <row r="32" ht="18.75" customFormat="1" customHeight="1" s="3">
      <c r="A32" s="33" t="inlineStr">
        <is>
          <t>KIT PAPEL DE SEDA (20 c/ 25 un)</t>
        </is>
      </c>
      <c r="B32" s="9" t="n">
        <v>500</v>
      </c>
      <c r="C32" s="662" t="n">
        <v>99.26000000000001</v>
      </c>
      <c r="D32" s="329" t="n">
        <v>10</v>
      </c>
      <c r="E32" s="642" t="n"/>
      <c r="F32" s="38" t="n">
        <v>0</v>
      </c>
      <c r="G32" s="38" t="n">
        <v>0</v>
      </c>
      <c r="H32" s="38" t="n">
        <v>0</v>
      </c>
      <c r="I32" s="38" t="n">
        <v>0</v>
      </c>
      <c r="J32" s="38" t="n">
        <v>0</v>
      </c>
      <c r="K32" s="38">
        <f>0+GG32</f>
        <v/>
      </c>
      <c r="L32" s="38" t="n">
        <v>20</v>
      </c>
      <c r="M32" s="38" t="n">
        <v>20</v>
      </c>
      <c r="N32" s="38" t="n">
        <v>20</v>
      </c>
      <c r="O32" s="38" t="n">
        <v>20</v>
      </c>
      <c r="P32" s="38" t="n">
        <v>20</v>
      </c>
      <c r="Q32" s="38" t="n">
        <v>20</v>
      </c>
      <c r="R32" s="38" t="n">
        <v>20</v>
      </c>
      <c r="S32" s="38" t="n">
        <v>20</v>
      </c>
      <c r="T32" s="38" t="n">
        <v>40</v>
      </c>
      <c r="U32" s="38" t="n">
        <v>40</v>
      </c>
      <c r="V32" s="38" t="n">
        <v>60</v>
      </c>
      <c r="W32" s="38" t="n">
        <v>60</v>
      </c>
      <c r="X32" s="38" t="n">
        <v>40</v>
      </c>
      <c r="Y32" s="38" t="n">
        <v>40</v>
      </c>
      <c r="Z32" s="38" t="n">
        <v>40</v>
      </c>
      <c r="AA32" s="38" t="n">
        <v>40</v>
      </c>
      <c r="AB32" s="38" t="n">
        <v>40</v>
      </c>
      <c r="AC32" s="261" t="n">
        <v>60</v>
      </c>
      <c r="AD32" s="38" t="n">
        <v>60</v>
      </c>
      <c r="AE32" s="38" t="n">
        <v>60</v>
      </c>
      <c r="AF32" s="38" t="n">
        <v>60</v>
      </c>
      <c r="AG32" s="38" t="n">
        <v>60</v>
      </c>
      <c r="AH32" s="38" t="n">
        <v>60</v>
      </c>
      <c r="AI32" s="38" t="n">
        <v>60</v>
      </c>
      <c r="AJ32" s="38" t="n">
        <v>61</v>
      </c>
      <c r="AK32" s="38" t="n">
        <v>61</v>
      </c>
      <c r="AL32" s="38" t="n">
        <v>61</v>
      </c>
      <c r="AM32" s="38" t="n">
        <v>61</v>
      </c>
      <c r="AN32" s="38" t="n">
        <v>61</v>
      </c>
      <c r="AO32" s="38" t="n">
        <v>61</v>
      </c>
      <c r="AP32" s="38" t="n">
        <v>61</v>
      </c>
      <c r="AQ32" s="38" t="n">
        <v>61</v>
      </c>
      <c r="AR32" s="38" t="n">
        <v>61</v>
      </c>
      <c r="AS32" s="38" t="n">
        <v>61</v>
      </c>
      <c r="AT32" s="38" t="n">
        <v>52</v>
      </c>
      <c r="AU32" s="38" t="n">
        <v>52</v>
      </c>
      <c r="AV32" s="38" t="n">
        <v>42</v>
      </c>
      <c r="AW32" s="38" t="n">
        <v>42</v>
      </c>
      <c r="AX32" s="38" t="n">
        <v>41</v>
      </c>
      <c r="AY32" s="38" t="n">
        <v>41</v>
      </c>
      <c r="AZ32" s="38" t="n">
        <v>40</v>
      </c>
      <c r="BA32" s="38" t="n">
        <v>40</v>
      </c>
      <c r="BB32" s="38" t="n">
        <v>40</v>
      </c>
      <c r="BC32" s="38" t="n">
        <v>38</v>
      </c>
      <c r="BD32" s="38" t="n">
        <v>37</v>
      </c>
      <c r="BE32" s="38" t="n">
        <v>35</v>
      </c>
      <c r="BF32" s="38" t="n">
        <v>35</v>
      </c>
      <c r="BG32" s="261" t="n">
        <v>25</v>
      </c>
      <c r="BH32" s="38" t="n">
        <v>24</v>
      </c>
      <c r="BI32" s="38" t="n">
        <v>24</v>
      </c>
      <c r="BJ32" s="38" t="n">
        <v>24</v>
      </c>
      <c r="BK32" s="38" t="n">
        <v>24</v>
      </c>
      <c r="BL32" s="38" t="n">
        <v>24</v>
      </c>
      <c r="BM32" s="38" t="n">
        <v>19</v>
      </c>
      <c r="BN32" s="38" t="n">
        <v>19</v>
      </c>
      <c r="BO32" s="38" t="n">
        <v>19</v>
      </c>
      <c r="BP32" s="38" t="n">
        <v>19</v>
      </c>
      <c r="BQ32" s="38" t="n">
        <v>5</v>
      </c>
      <c r="BR32" s="261" t="n">
        <v>19</v>
      </c>
      <c r="BS32" s="38" t="n">
        <v>19</v>
      </c>
      <c r="BT32" s="38" t="n"/>
      <c r="BU32" s="38" t="n"/>
      <c r="BV32" s="38" t="n"/>
      <c r="BW32" s="38" t="n">
        <v>24</v>
      </c>
      <c r="BX32" s="38" t="n">
        <v>24</v>
      </c>
      <c r="BY32" s="38" t="n">
        <v>24</v>
      </c>
      <c r="BZ32" s="38" t="n">
        <v>24</v>
      </c>
      <c r="CA32" s="38" t="n">
        <v>24</v>
      </c>
      <c r="CB32" s="154">
        <f>BZ32+IF(NOT(ISBLANK(OFFSET(CB32,0,6))),N(OFFSET(CB32,0,6)),N(OFFSET(CB32,0,7)))-CA32</f>
        <v/>
      </c>
      <c r="CC32" s="6" t="n"/>
      <c r="CD32" s="19" t="n"/>
      <c r="CE32" s="19" t="n"/>
      <c r="CF32" s="4" t="n"/>
      <c r="CG32" s="65" t="n"/>
      <c r="CH32" s="4" t="n"/>
      <c r="CI32" s="18" t="n">
        <v>0</v>
      </c>
      <c r="CJ32" s="18" t="n">
        <v>0</v>
      </c>
      <c r="CK32" s="18" t="n"/>
      <c r="CL32" s="18" t="n"/>
      <c r="CM32" s="403" t="n">
        <v>10</v>
      </c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18" t="n"/>
      <c r="DP32" s="18" t="n"/>
      <c r="DQ32" s="18" t="n"/>
      <c r="DR32" s="18" t="n"/>
      <c r="DS32" s="18" t="n"/>
      <c r="DT32" s="18" t="n"/>
      <c r="DU32" s="256" t="n">
        <v>150</v>
      </c>
      <c r="DV32" s="18" t="n"/>
      <c r="DW32" s="18" t="n"/>
      <c r="DX32" s="256" t="n"/>
      <c r="DY32" s="256" t="n"/>
      <c r="DZ32" s="256" t="n"/>
      <c r="EA32" s="18" t="n"/>
      <c r="EB32" s="18" t="n"/>
      <c r="EC32" s="18" t="n"/>
      <c r="ED32" s="18" t="n"/>
      <c r="EE32" s="18" t="n"/>
      <c r="EF32" s="18" t="n"/>
      <c r="EG32" s="18" t="n"/>
      <c r="EH32" s="18" t="n"/>
      <c r="EI32" s="18" t="n"/>
      <c r="EJ32" s="18" t="n"/>
      <c r="EK32" s="18" t="n"/>
      <c r="EL32" s="18" t="n"/>
      <c r="EM32" s="18" t="n"/>
      <c r="EN32" s="18" t="n"/>
      <c r="EO32" s="256" t="n"/>
      <c r="EP32" s="18" t="n"/>
      <c r="EQ32" s="292" t="inlineStr">
        <is>
          <t>30 P/ ER PB</t>
        </is>
      </c>
      <c r="ER32" s="18" t="n"/>
      <c r="ES32" s="256" t="n">
        <v>60</v>
      </c>
      <c r="ET32" s="18" t="n"/>
      <c r="EU32" s="18" t="n"/>
      <c r="EV32" s="18" t="n"/>
      <c r="EW32" s="18" t="n"/>
      <c r="EX32" s="18" t="n"/>
      <c r="EY32" s="18" t="n"/>
      <c r="EZ32" s="18" t="n"/>
      <c r="FA32" s="18" t="n"/>
      <c r="FB32" s="18" t="n"/>
      <c r="FC32" s="256" t="n"/>
      <c r="FD32" s="256" t="n"/>
      <c r="FE32" s="18" t="n"/>
      <c r="FF32" s="312" t="inlineStr">
        <is>
          <t>10 P/ CD</t>
        </is>
      </c>
      <c r="FG32" s="256" t="n"/>
      <c r="FH32" s="18" t="n"/>
      <c r="FI32" s="18" t="n"/>
      <c r="FJ32" s="18" t="n"/>
      <c r="FK32" s="18" t="n"/>
      <c r="FL32" s="256" t="n">
        <v>20</v>
      </c>
      <c r="FM32" s="256" t="n"/>
      <c r="FN32" s="18" t="n">
        <v>20</v>
      </c>
      <c r="FO32" s="18" t="n"/>
      <c r="FP32" s="18" t="n"/>
      <c r="FQ32" s="18" t="n"/>
      <c r="FR32" s="18" t="n"/>
      <c r="FS32" s="18" t="n"/>
      <c r="FT32" s="18" t="n"/>
      <c r="FU32" s="18" t="n">
        <v>20</v>
      </c>
      <c r="FV32" s="256" t="n"/>
      <c r="FW32" s="18" t="n"/>
      <c r="FX32" s="18" t="n"/>
      <c r="FY32" s="18" t="n"/>
      <c r="FZ32" s="256" t="n">
        <v>10</v>
      </c>
      <c r="GA32" s="18" t="n"/>
      <c r="GB32" s="18" t="n"/>
      <c r="GC32" s="18" t="n"/>
      <c r="GD32" s="18" t="n"/>
      <c r="GE32" s="18" t="n"/>
      <c r="GF32" s="18" t="n"/>
      <c r="GG32" s="18" t="n">
        <v>20</v>
      </c>
      <c r="GH32" s="260" t="n"/>
      <c r="GI32" s="18" t="n"/>
      <c r="GJ32" s="18" t="n"/>
      <c r="GK32" s="18" t="n"/>
      <c r="GL32" s="18" t="n"/>
      <c r="GM32" s="18" t="n"/>
      <c r="GN32" s="18" t="n"/>
      <c r="GO32" s="18" t="n"/>
      <c r="GP32" s="18" t="n"/>
      <c r="GQ32" s="18" t="n"/>
    </row>
    <row r="33" ht="18.75" customFormat="1" customHeight="1" s="3">
      <c r="A33" s="33" t="inlineStr">
        <is>
          <t>KIT ETIQ (50 c/ 50 un)</t>
        </is>
      </c>
      <c r="B33" s="9" t="n">
        <v>2500</v>
      </c>
      <c r="C33" s="662" t="n">
        <v>69.20999999999999</v>
      </c>
      <c r="D33" s="329" t="n">
        <v>10</v>
      </c>
      <c r="E33" s="642" t="n"/>
      <c r="F33" s="38" t="n">
        <v>0</v>
      </c>
      <c r="G33" s="38" t="n">
        <v>0</v>
      </c>
      <c r="H33" s="38" t="n">
        <v>0</v>
      </c>
      <c r="I33" s="38" t="n">
        <v>0</v>
      </c>
      <c r="J33" s="38" t="n">
        <v>0</v>
      </c>
      <c r="K33" s="38">
        <f>0+GG33</f>
        <v/>
      </c>
      <c r="L33" s="38" t="n">
        <v>50</v>
      </c>
      <c r="M33" s="38" t="n">
        <v>50</v>
      </c>
      <c r="N33" s="38" t="n">
        <v>50</v>
      </c>
      <c r="O33" s="38" t="n">
        <v>50</v>
      </c>
      <c r="P33" s="38" t="n">
        <v>50</v>
      </c>
      <c r="Q33" s="38" t="n">
        <v>50</v>
      </c>
      <c r="R33" s="38" t="n">
        <v>50</v>
      </c>
      <c r="S33" s="38" t="n">
        <v>50</v>
      </c>
      <c r="T33" s="38" t="n">
        <v>50</v>
      </c>
      <c r="U33" s="38" t="n">
        <v>49</v>
      </c>
      <c r="V33" s="38" t="n">
        <v>49</v>
      </c>
      <c r="W33" s="38" t="n">
        <v>49</v>
      </c>
      <c r="X33" s="38" t="n">
        <v>49</v>
      </c>
      <c r="Y33" s="38" t="n">
        <v>49</v>
      </c>
      <c r="Z33" s="38" t="n">
        <v>49</v>
      </c>
      <c r="AA33" s="38" t="n">
        <v>49</v>
      </c>
      <c r="AB33" s="38" t="n">
        <v>49</v>
      </c>
      <c r="AC33" s="261" t="n">
        <v>50</v>
      </c>
      <c r="AD33" s="38" t="n">
        <v>50</v>
      </c>
      <c r="AE33" s="38" t="n">
        <v>50</v>
      </c>
      <c r="AF33" s="38" t="n">
        <v>50</v>
      </c>
      <c r="AG33" s="38" t="n">
        <v>50</v>
      </c>
      <c r="AH33" s="38" t="n">
        <v>50</v>
      </c>
      <c r="AI33" s="38" t="n">
        <v>50</v>
      </c>
      <c r="AJ33" s="38" t="n">
        <v>50</v>
      </c>
      <c r="AK33" s="38" t="n">
        <v>50</v>
      </c>
      <c r="AL33" s="38" t="n">
        <v>50</v>
      </c>
      <c r="AM33" s="38" t="n">
        <v>50</v>
      </c>
      <c r="AN33" s="38" t="n">
        <v>50</v>
      </c>
      <c r="AO33" s="38" t="n">
        <v>50</v>
      </c>
      <c r="AP33" s="38" t="n">
        <v>50</v>
      </c>
      <c r="AQ33" s="38" t="n">
        <v>50</v>
      </c>
      <c r="AR33" s="38" t="n">
        <v>50</v>
      </c>
      <c r="AS33" s="38" t="n">
        <v>50</v>
      </c>
      <c r="AT33" s="38" t="n">
        <v>39</v>
      </c>
      <c r="AU33" s="38" t="n">
        <v>39</v>
      </c>
      <c r="AV33" s="38" t="n">
        <v>39</v>
      </c>
      <c r="AW33" s="38" t="n">
        <v>39</v>
      </c>
      <c r="AX33" s="38" t="n">
        <v>39</v>
      </c>
      <c r="AY33" s="38" t="n">
        <v>37</v>
      </c>
      <c r="AZ33" s="38" t="n">
        <v>37</v>
      </c>
      <c r="BA33" s="38" t="n">
        <v>37</v>
      </c>
      <c r="BB33" s="38" t="n">
        <v>37</v>
      </c>
      <c r="BC33" s="38" t="n">
        <v>43</v>
      </c>
      <c r="BD33" s="38" t="n">
        <v>42</v>
      </c>
      <c r="BE33" s="38" t="n">
        <v>41</v>
      </c>
      <c r="BF33" s="38" t="n">
        <v>41</v>
      </c>
      <c r="BG33" s="38" t="n">
        <v>41</v>
      </c>
      <c r="BH33" s="38" t="n">
        <v>39</v>
      </c>
      <c r="BI33" s="38">
        <f>58+70</f>
        <v/>
      </c>
      <c r="BJ33" s="38" t="n">
        <v>126</v>
      </c>
      <c r="BK33" s="38" t="n">
        <v>126</v>
      </c>
      <c r="BL33" s="38" t="n">
        <v>126</v>
      </c>
      <c r="BM33" s="38" t="n">
        <v>125</v>
      </c>
      <c r="BN33" s="38" t="n">
        <v>125</v>
      </c>
      <c r="BO33" s="38" t="n">
        <v>125</v>
      </c>
      <c r="BP33" s="38" t="n">
        <v>125</v>
      </c>
      <c r="BQ33" s="38" t="n">
        <v>126</v>
      </c>
      <c r="BR33" s="261" t="n">
        <v>56</v>
      </c>
      <c r="BS33" s="38" t="n">
        <v>56</v>
      </c>
      <c r="BT33" s="38" t="n"/>
      <c r="BU33" s="38" t="n"/>
      <c r="BV33" s="38" t="n"/>
      <c r="BW33" s="38" t="n">
        <v>58</v>
      </c>
      <c r="BX33" s="38" t="n">
        <v>58</v>
      </c>
      <c r="BY33" s="38" t="n">
        <v>58</v>
      </c>
      <c r="BZ33" s="38" t="n">
        <v>58</v>
      </c>
      <c r="CA33" s="38" t="n">
        <v>58</v>
      </c>
      <c r="CB33" s="154">
        <f>BZ33+IF(NOT(ISBLANK(OFFSET(CB33,0,6))),N(OFFSET(CB33,0,6)),N(OFFSET(CB33,0,7)))-CA33</f>
        <v/>
      </c>
      <c r="CC33" s="6" t="n"/>
      <c r="CD33" s="19" t="n"/>
      <c r="CE33" s="19" t="n"/>
      <c r="CF33" s="4" t="n"/>
      <c r="CG33" s="65" t="n"/>
      <c r="CH33" s="4" t="n"/>
      <c r="CI33" s="18" t="n">
        <v>0</v>
      </c>
      <c r="CJ33" s="18" t="n">
        <v>0</v>
      </c>
      <c r="CK33" s="18" t="n"/>
      <c r="CL33" s="18" t="n"/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54" t="inlineStr">
        <is>
          <t>70 DE ER PBE</t>
        </is>
      </c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18" t="n"/>
      <c r="DP33" s="18" t="n"/>
      <c r="DQ33" s="18" t="n"/>
      <c r="DR33" s="18" t="n"/>
      <c r="DS33" s="18" t="n"/>
      <c r="DT33" s="18" t="n"/>
      <c r="DU33" s="256" t="n">
        <v>200</v>
      </c>
      <c r="DV33" s="18" t="n"/>
      <c r="DW33" s="18" t="n"/>
      <c r="DX33" s="256" t="n"/>
      <c r="DY33" s="404" t="inlineStr">
        <is>
          <t>20 DE CDP</t>
        </is>
      </c>
      <c r="DZ33" s="256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18" t="n"/>
      <c r="EP33" s="18" t="n"/>
      <c r="EQ33" s="18" t="n"/>
      <c r="ER33" s="18" t="n"/>
      <c r="ES33" s="18" t="n"/>
      <c r="ET33" s="18" t="n"/>
      <c r="EU33" s="18" t="n"/>
      <c r="EV33" s="18" t="n"/>
      <c r="EW33" s="18" t="n"/>
      <c r="EX33" s="18" t="n"/>
      <c r="EY33" s="18" t="n"/>
      <c r="EZ33" s="18" t="n"/>
      <c r="FA33" s="18" t="n"/>
      <c r="FB33" s="18" t="n"/>
      <c r="FC33" s="312" t="inlineStr">
        <is>
          <t>05 P/ ER PB</t>
        </is>
      </c>
      <c r="FD33" s="256" t="n"/>
      <c r="FE33" s="18" t="n"/>
      <c r="FF33" s="18" t="n"/>
      <c r="FG33" s="256" t="n"/>
      <c r="FH33" s="18" t="n"/>
      <c r="FI33" s="18" t="n"/>
      <c r="FJ33" s="18" t="n"/>
      <c r="FK33" s="18" t="n"/>
      <c r="FL33" s="256" t="n">
        <v>15</v>
      </c>
      <c r="FM33" s="256" t="n"/>
      <c r="FN33" s="18" t="n"/>
      <c r="FO33" s="18" t="n"/>
      <c r="FP33" s="18" t="n"/>
      <c r="FQ33" s="18" t="n"/>
      <c r="FR33" s="18" t="n"/>
      <c r="FS33" s="18" t="n"/>
      <c r="FT33" s="18" t="n"/>
      <c r="FU33" s="18" t="n"/>
      <c r="FV33" s="256" t="n"/>
      <c r="FW33" s="18" t="n"/>
      <c r="FX33" s="18" t="n"/>
      <c r="FY33" s="18" t="n"/>
      <c r="FZ33" s="256" t="n"/>
      <c r="GA33" s="18" t="n"/>
      <c r="GB33" s="18" t="n"/>
      <c r="GC33" s="18" t="n"/>
      <c r="GD33" s="18" t="n"/>
      <c r="GE33" s="18" t="n"/>
      <c r="GF33" s="18" t="n"/>
      <c r="GG33" s="18" t="n">
        <v>50</v>
      </c>
      <c r="GH33" s="18" t="n"/>
      <c r="GI33" s="18" t="n"/>
      <c r="GJ33" s="18" t="n"/>
      <c r="GK33" s="18" t="n"/>
      <c r="GL33" s="18" t="n"/>
      <c r="GM33" s="18" t="n"/>
      <c r="GN33" s="18" t="n"/>
      <c r="GO33" s="18" t="n"/>
      <c r="GP33" s="18" t="n"/>
      <c r="GQ33" s="18" t="n"/>
    </row>
    <row r="34" ht="18.75" customFormat="1" customHeight="1" s="3">
      <c r="A34" s="33" t="inlineStr">
        <is>
          <t>KIT TAGS  (21 c/ 50 un)</t>
        </is>
      </c>
      <c r="B34" s="9" t="n">
        <v>1050</v>
      </c>
      <c r="C34" s="662" t="n">
        <v>53.96</v>
      </c>
      <c r="D34" s="329" t="n">
        <v>10</v>
      </c>
      <c r="E34" s="2" t="n"/>
      <c r="F34" s="38" t="n">
        <v>0</v>
      </c>
      <c r="G34" s="38" t="n">
        <v>0</v>
      </c>
      <c r="H34" s="38" t="n">
        <v>0</v>
      </c>
      <c r="I34" s="38" t="n">
        <v>0</v>
      </c>
      <c r="J34" s="38" t="n">
        <v>0</v>
      </c>
      <c r="K34" s="38">
        <f>0+GG34</f>
        <v/>
      </c>
      <c r="L34" s="38">
        <f>0+GF34</f>
        <v/>
      </c>
      <c r="M34" s="38" t="n">
        <v>21</v>
      </c>
      <c r="N34" s="38" t="n">
        <v>21</v>
      </c>
      <c r="O34" s="38" t="n">
        <v>21</v>
      </c>
      <c r="P34" s="38" t="n">
        <v>21</v>
      </c>
      <c r="Q34" s="38" t="n">
        <v>21</v>
      </c>
      <c r="R34" s="38" t="n">
        <v>21</v>
      </c>
      <c r="S34" s="38" t="n">
        <v>21</v>
      </c>
      <c r="T34" s="38" t="n">
        <v>23</v>
      </c>
      <c r="U34" s="38" t="n">
        <v>23</v>
      </c>
      <c r="V34" s="38" t="n">
        <v>23</v>
      </c>
      <c r="W34" s="38" t="n">
        <v>23</v>
      </c>
      <c r="X34" s="38" t="n">
        <v>23</v>
      </c>
      <c r="Y34" s="38" t="n">
        <v>23</v>
      </c>
      <c r="Z34" s="38" t="n">
        <v>23</v>
      </c>
      <c r="AA34" s="38" t="n">
        <v>23</v>
      </c>
      <c r="AB34" s="38" t="n">
        <v>23</v>
      </c>
      <c r="AC34" s="38" t="n">
        <v>23</v>
      </c>
      <c r="AD34" s="38" t="n">
        <v>23</v>
      </c>
      <c r="AE34" s="38" t="n">
        <v>23</v>
      </c>
      <c r="AF34" s="38" t="n">
        <v>23</v>
      </c>
      <c r="AG34" s="38" t="n">
        <v>23</v>
      </c>
      <c r="AH34" s="38" t="n">
        <v>23</v>
      </c>
      <c r="AI34" s="38" t="n">
        <v>23</v>
      </c>
      <c r="AJ34" s="38" t="n">
        <v>23</v>
      </c>
      <c r="AK34" s="38" t="n">
        <v>23</v>
      </c>
      <c r="AL34" s="38" t="n">
        <v>23</v>
      </c>
      <c r="AM34" s="38" t="n">
        <v>23</v>
      </c>
      <c r="AN34" s="38" t="n">
        <v>23</v>
      </c>
      <c r="AO34" s="38" t="n">
        <v>23</v>
      </c>
      <c r="AP34" s="38" t="n">
        <v>23</v>
      </c>
      <c r="AQ34" s="38" t="n">
        <v>23</v>
      </c>
      <c r="AR34" s="38" t="n">
        <v>23</v>
      </c>
      <c r="AS34" s="38" t="n">
        <v>23</v>
      </c>
      <c r="AT34" s="38" t="n">
        <v>23</v>
      </c>
      <c r="AU34" s="38" t="n">
        <v>23</v>
      </c>
      <c r="AV34" s="38" t="n">
        <v>23</v>
      </c>
      <c r="AW34" s="38" t="n">
        <v>23</v>
      </c>
      <c r="AX34" s="38" t="n">
        <v>23</v>
      </c>
      <c r="AY34" s="38" t="n">
        <v>23</v>
      </c>
      <c r="AZ34" s="38" t="n">
        <v>23</v>
      </c>
      <c r="BA34" s="38" t="n">
        <v>23</v>
      </c>
      <c r="BB34" s="38" t="n">
        <v>23</v>
      </c>
      <c r="BC34" s="38" t="n">
        <v>22</v>
      </c>
      <c r="BD34" s="38" t="n">
        <v>22</v>
      </c>
      <c r="BE34" s="38" t="n">
        <v>22</v>
      </c>
      <c r="BF34" s="38" t="n">
        <v>22</v>
      </c>
      <c r="BG34" s="38" t="n">
        <v>22</v>
      </c>
      <c r="BH34" s="38" t="n">
        <v>22</v>
      </c>
      <c r="BI34" s="38">
        <f>22+15</f>
        <v/>
      </c>
      <c r="BJ34" s="38" t="n">
        <v>37</v>
      </c>
      <c r="BK34" s="38" t="n">
        <v>37</v>
      </c>
      <c r="BL34" s="38" t="n">
        <v>37</v>
      </c>
      <c r="BM34" s="38" t="n">
        <v>53</v>
      </c>
      <c r="BN34" s="38" t="n">
        <v>53</v>
      </c>
      <c r="BO34" s="38" t="n">
        <v>53</v>
      </c>
      <c r="BP34" s="38" t="n">
        <v>53</v>
      </c>
      <c r="BQ34" s="38" t="n">
        <v>38</v>
      </c>
      <c r="BR34" s="38" t="n">
        <v>38</v>
      </c>
      <c r="BS34" s="38" t="n">
        <v>38</v>
      </c>
      <c r="BT34" s="38" t="n"/>
      <c r="BU34" s="38" t="n"/>
      <c r="BV34" s="38" t="n"/>
      <c r="BW34" s="38" t="n">
        <v>42</v>
      </c>
      <c r="BX34" s="38" t="n">
        <v>42</v>
      </c>
      <c r="BY34" s="38" t="n">
        <v>42</v>
      </c>
      <c r="BZ34" s="38" t="n">
        <v>42</v>
      </c>
      <c r="CA34" s="38" t="n">
        <v>42</v>
      </c>
      <c r="CB34" s="154">
        <f>BZ34+IF(NOT(ISBLANK(OFFSET(CB34,0,6))),N(OFFSET(CB34,0,6)),N(OFFSET(CB34,0,7)))-CA34</f>
        <v/>
      </c>
      <c r="CC34" s="6" t="n"/>
      <c r="CD34" s="19" t="n"/>
      <c r="CE34" s="19" t="n"/>
      <c r="CF34" s="4" t="n"/>
      <c r="CG34" s="65" t="n"/>
      <c r="CH34" s="4" t="n"/>
      <c r="CI34" s="18" t="n">
        <v>0</v>
      </c>
      <c r="CJ34" s="18" t="n">
        <v>0</v>
      </c>
      <c r="CK34" s="18" t="n"/>
      <c r="CL34" s="18" t="n"/>
      <c r="CM34" s="18" t="n"/>
      <c r="CN34" s="18" t="n"/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54" t="inlineStr">
        <is>
          <t>15 DE ER PBE</t>
        </is>
      </c>
      <c r="DA34" s="18" t="n"/>
      <c r="DB34" s="18" t="n"/>
      <c r="DC34" s="18" t="n"/>
      <c r="DD34" s="18" t="n"/>
      <c r="DE34" s="18" t="n"/>
      <c r="DF34" s="18" t="n"/>
      <c r="DG34" s="18" t="n"/>
      <c r="DH34" s="18" t="n"/>
      <c r="DI34" s="18" t="n"/>
      <c r="DJ34" s="18" t="n"/>
      <c r="DK34" s="18" t="n"/>
      <c r="DL34" s="18" t="n"/>
      <c r="DM34" s="18" t="n"/>
      <c r="DN34" s="18" t="n"/>
      <c r="DO34" s="18" t="n"/>
      <c r="DP34" s="18" t="n"/>
      <c r="DQ34" s="18" t="n"/>
      <c r="DR34" s="18" t="n"/>
      <c r="DS34" s="18" t="n"/>
      <c r="DT34" s="18" t="n"/>
      <c r="DU34" s="256" t="n">
        <v>400</v>
      </c>
      <c r="DV34" s="18" t="n"/>
      <c r="DW34" s="18" t="n"/>
      <c r="DX34" s="256" t="n"/>
      <c r="DY34" s="256" t="n"/>
      <c r="DZ34" s="256" t="n"/>
      <c r="EA34" s="18" t="n"/>
      <c r="EB34" s="18" t="n"/>
      <c r="EC34" s="18" t="n"/>
      <c r="ED34" s="18" t="n"/>
      <c r="EE34" s="18" t="n"/>
      <c r="EF34" s="18" t="n"/>
      <c r="EG34" s="18" t="n"/>
      <c r="EH34" s="18" t="n"/>
      <c r="EI34" s="18" t="n"/>
      <c r="EJ34" s="18" t="n"/>
      <c r="EK34" s="18" t="n"/>
      <c r="EL34" s="18" t="n"/>
      <c r="EM34" s="18" t="n"/>
      <c r="EN34" s="18" t="n"/>
      <c r="EO34" s="18" t="n"/>
      <c r="EP34" s="18" t="n"/>
      <c r="EQ34" s="18" t="n"/>
      <c r="ER34" s="18" t="n"/>
      <c r="ES34" s="18" t="n"/>
      <c r="ET34" s="18" t="n"/>
      <c r="EU34" s="18" t="n"/>
      <c r="EV34" s="18" t="n"/>
      <c r="EW34" s="18" t="n"/>
      <c r="EX34" s="18" t="n"/>
      <c r="EY34" s="18" t="n"/>
      <c r="EZ34" s="18" t="n"/>
      <c r="FA34" s="18" t="n"/>
      <c r="FB34" s="18" t="n"/>
      <c r="FC34" s="18" t="n"/>
      <c r="FD34" s="256" t="n"/>
      <c r="FE34" s="18" t="n"/>
      <c r="FF34" s="18" t="n"/>
      <c r="FG34" s="256" t="n"/>
      <c r="FH34" s="18" t="n"/>
      <c r="FI34" s="18" t="n"/>
      <c r="FJ34" s="18" t="n"/>
      <c r="FK34" s="18" t="n"/>
      <c r="FL34" s="18" t="n"/>
      <c r="FM34" s="256" t="n"/>
      <c r="FN34" s="18" t="n"/>
      <c r="FO34" s="18" t="n"/>
      <c r="FP34" s="18" t="n"/>
      <c r="FQ34" s="18" t="n"/>
      <c r="FR34" s="18" t="n"/>
      <c r="FS34" s="18" t="n"/>
      <c r="FT34" s="18" t="n"/>
      <c r="FU34" s="18" t="n"/>
      <c r="FV34" s="256" t="n"/>
      <c r="FW34" s="18" t="n"/>
      <c r="FX34" s="18" t="n"/>
      <c r="FY34" s="18" t="n"/>
      <c r="FZ34" s="256" t="n"/>
      <c r="GA34" s="18" t="n"/>
      <c r="GB34" s="18" t="n"/>
      <c r="GC34" s="18" t="n"/>
      <c r="GD34" s="18" t="n"/>
      <c r="GE34" s="18" t="n"/>
      <c r="GF34" s="18" t="n">
        <v>21</v>
      </c>
      <c r="GG34" s="18" t="n"/>
      <c r="GH34" s="260" t="n"/>
      <c r="GI34" s="18" t="n"/>
      <c r="GJ34" s="18" t="n"/>
      <c r="GK34" s="18" t="n"/>
      <c r="GL34" s="18" t="n"/>
      <c r="GM34" s="18" t="n"/>
      <c r="GN34" s="18" t="n"/>
      <c r="GO34" s="18" t="n"/>
      <c r="GP34" s="18" t="n"/>
      <c r="GQ34" s="18" t="n"/>
    </row>
    <row r="35" ht="18.75" customFormat="1" customHeight="1" s="3">
      <c r="A35" s="31" t="n"/>
      <c r="B35" s="2" t="n"/>
      <c r="C35" s="661" t="n"/>
      <c r="D35" s="398" t="n"/>
      <c r="E35" s="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4" t="n"/>
      <c r="CA35" s="4" t="n"/>
      <c r="CD35" s="26" t="n"/>
      <c r="CE35" s="26" t="n"/>
      <c r="CF35" s="4" t="n"/>
      <c r="CG35" s="108" t="n"/>
      <c r="CH35" s="4" t="n"/>
      <c r="CI35" s="17" t="n"/>
      <c r="CJ35" s="17" t="n"/>
      <c r="CK35" s="17" t="n"/>
      <c r="CL35" s="17" t="n"/>
      <c r="CM35" s="17" t="n"/>
      <c r="CN35" s="17" t="n"/>
      <c r="CO35" s="17" t="n"/>
      <c r="CP35" s="17" t="n"/>
      <c r="CQ35" s="17" t="n"/>
      <c r="CR35" s="17" t="n"/>
      <c r="CS35" s="17" t="n"/>
      <c r="CT35" s="17" t="n"/>
      <c r="CU35" s="17" t="n"/>
      <c r="CV35" s="17" t="n"/>
      <c r="CW35" s="17" t="n"/>
      <c r="CX35" s="17" t="n"/>
      <c r="CY35" s="17" t="n"/>
      <c r="CZ35" s="17" t="n"/>
      <c r="DA35" s="17" t="n"/>
      <c r="DB35" s="17" t="n"/>
      <c r="DC35" s="17" t="n"/>
      <c r="DD35" s="17" t="n"/>
      <c r="DE35" s="17" t="n"/>
      <c r="DF35" s="17" t="n"/>
      <c r="DG35" s="17" t="n"/>
      <c r="DH35" s="17" t="n"/>
      <c r="DI35" s="17" t="n"/>
      <c r="DJ35" s="17" t="n"/>
      <c r="DK35" s="17" t="n"/>
      <c r="DL35" s="17" t="n"/>
      <c r="DM35" s="17" t="n"/>
      <c r="DN35" s="17" t="n"/>
      <c r="DO35" s="17" t="n"/>
      <c r="DP35" s="17" t="n"/>
      <c r="DQ35" s="17" t="n"/>
      <c r="DR35" s="17" t="n"/>
      <c r="DS35" s="17" t="n"/>
      <c r="DT35" s="17" t="n"/>
      <c r="DU35" s="256" t="n">
        <v>300</v>
      </c>
      <c r="DV35" s="17" t="n"/>
      <c r="DW35" s="17" t="n"/>
      <c r="DX35" s="271" t="n"/>
      <c r="DY35" s="271" t="n"/>
      <c r="DZ35" s="271" t="n"/>
      <c r="EA35" s="1" t="n"/>
      <c r="EB35" s="1" t="n"/>
      <c r="EC35" s="1" t="n"/>
      <c r="ED35" s="1" t="n"/>
      <c r="EE35" s="1" t="n"/>
      <c r="EF35" s="1" t="n"/>
      <c r="EG35" s="1" t="n"/>
      <c r="EH35" s="1" t="n"/>
      <c r="EI35" s="1" t="n"/>
      <c r="EJ35" s="1" t="n"/>
      <c r="EK35" s="1" t="n"/>
      <c r="EL35" s="1" t="n"/>
      <c r="EM35" s="1" t="n"/>
      <c r="EN35" s="1" t="n"/>
      <c r="EO35" s="1" t="n"/>
      <c r="EP35" s="1" t="n"/>
      <c r="EQ35" s="1" t="n"/>
      <c r="ER35" s="1" t="n"/>
      <c r="ES35" s="1" t="n"/>
      <c r="ET35" s="1" t="n"/>
      <c r="EU35" s="1" t="n"/>
      <c r="EV35" s="1" t="n"/>
      <c r="EW35" s="1" t="n"/>
      <c r="EX35" s="1" t="n"/>
      <c r="EY35" s="1" t="n"/>
      <c r="EZ35" s="1" t="n"/>
      <c r="FA35" s="1" t="n"/>
      <c r="FB35" s="1" t="n"/>
      <c r="FC35" s="1" t="n"/>
      <c r="FE35" s="1" t="n"/>
      <c r="FF35" s="1" t="n"/>
      <c r="FH35" s="1" t="n"/>
      <c r="FI35" s="1" t="n"/>
      <c r="FJ35" s="1" t="n"/>
      <c r="FK35" s="1" t="n"/>
      <c r="FL35" s="1" t="n"/>
      <c r="FN35" s="1" t="n"/>
      <c r="FO35" s="1" t="n"/>
      <c r="FP35" s="1" t="n"/>
      <c r="FQ35" s="1" t="n"/>
      <c r="FR35" s="1" t="n"/>
      <c r="FS35" s="1" t="n"/>
      <c r="FT35" s="1" t="n"/>
      <c r="FU35" s="1" t="n"/>
      <c r="FW35" s="1" t="n"/>
      <c r="FX35" s="1" t="n"/>
      <c r="FY35" s="1" t="n"/>
      <c r="GA35" s="1" t="n"/>
      <c r="GB35" s="1" t="n"/>
      <c r="GC35" s="1" t="n"/>
      <c r="GD35" s="1" t="n"/>
      <c r="GE35" s="1" t="n"/>
      <c r="GF35" s="1" t="n"/>
      <c r="GG35" s="1" t="n"/>
      <c r="GI35" s="1" t="n"/>
      <c r="GJ35" s="1" t="n"/>
      <c r="GK35" s="1" t="n"/>
      <c r="GL35" s="1" t="n"/>
      <c r="GM35" s="1" t="n"/>
      <c r="GN35" s="1" t="n"/>
      <c r="GO35" s="1" t="n"/>
      <c r="GP35" s="1" t="n"/>
      <c r="GQ35" s="1" t="n"/>
    </row>
    <row r="36" ht="18.75" customFormat="1" customHeight="1" s="3">
      <c r="A36" s="32" t="inlineStr">
        <is>
          <t>CAIXAS BOTICÁRIO</t>
        </is>
      </c>
      <c r="B36" s="575" t="inlineStr">
        <is>
          <t>PC</t>
        </is>
      </c>
      <c r="C36" s="575" t="inlineStr">
        <is>
          <t>R$</t>
        </is>
      </c>
      <c r="D36" s="575" t="n"/>
      <c r="E36" s="2" t="n"/>
      <c r="F36" s="650" t="n">
        <v>46021</v>
      </c>
      <c r="G36" s="650" t="n">
        <v>45663</v>
      </c>
      <c r="H36" s="650" t="n">
        <v>45670</v>
      </c>
      <c r="I36" s="650" t="n">
        <v>45677</v>
      </c>
      <c r="J36" s="650" t="n">
        <v>45684</v>
      </c>
      <c r="K36" s="650" t="n">
        <v>45691</v>
      </c>
      <c r="L36" s="650" t="n">
        <v>45698</v>
      </c>
      <c r="M36" s="650" t="n">
        <v>45705</v>
      </c>
      <c r="N36" s="650" t="n">
        <v>45712</v>
      </c>
      <c r="O36" s="650" t="n">
        <v>45719</v>
      </c>
      <c r="P36" s="650" t="n">
        <v>45726</v>
      </c>
      <c r="Q36" s="650" t="n">
        <v>45733</v>
      </c>
      <c r="R36" s="650" t="n">
        <v>45740</v>
      </c>
      <c r="S36" s="650" t="n">
        <v>45747</v>
      </c>
      <c r="T36" s="650" t="n">
        <v>45754</v>
      </c>
      <c r="U36" s="650" t="n">
        <v>45761</v>
      </c>
      <c r="V36" s="650" t="n">
        <v>45768</v>
      </c>
      <c r="W36" s="650" t="n">
        <v>45775</v>
      </c>
      <c r="X36" s="650" t="n">
        <v>45782</v>
      </c>
      <c r="Y36" s="650" t="n">
        <v>45789</v>
      </c>
      <c r="Z36" s="650" t="n">
        <v>45796</v>
      </c>
      <c r="AA36" s="650" t="n">
        <v>45803</v>
      </c>
      <c r="AB36" s="650" t="n">
        <v>45810</v>
      </c>
      <c r="AC36" s="650" t="n">
        <v>45817</v>
      </c>
      <c r="AD36" s="650" t="n">
        <v>45824</v>
      </c>
      <c r="AE36" s="650" t="n">
        <v>45831</v>
      </c>
      <c r="AF36" s="650" t="n">
        <v>45838</v>
      </c>
      <c r="AG36" s="650" t="n">
        <v>45845</v>
      </c>
      <c r="AH36" s="650" t="n">
        <v>45852</v>
      </c>
      <c r="AI36" s="650" t="n">
        <v>45859</v>
      </c>
      <c r="AJ36" s="650" t="n">
        <v>45866</v>
      </c>
      <c r="AK36" s="650" t="n">
        <v>45873</v>
      </c>
      <c r="AL36" s="650" t="n">
        <v>45880</v>
      </c>
      <c r="AM36" s="650" t="n">
        <v>45887</v>
      </c>
      <c r="AN36" s="650" t="n">
        <v>45894</v>
      </c>
      <c r="AO36" s="650" t="n">
        <v>45901</v>
      </c>
      <c r="AP36" s="650" t="n">
        <v>45908</v>
      </c>
      <c r="AQ36" s="650" t="n">
        <v>45915</v>
      </c>
      <c r="AR36" s="650" t="n">
        <v>45922</v>
      </c>
      <c r="AS36" s="650" t="n">
        <v>45929</v>
      </c>
      <c r="AT36" s="650" t="n">
        <v>45936</v>
      </c>
      <c r="AU36" s="650" t="n">
        <v>45943</v>
      </c>
      <c r="AV36" s="650" t="n">
        <v>45950</v>
      </c>
      <c r="AW36" s="650" t="n">
        <v>45957</v>
      </c>
      <c r="AX36" s="650" t="n">
        <v>45964</v>
      </c>
      <c r="AY36" s="650" t="n">
        <v>45971</v>
      </c>
      <c r="AZ36" s="650" t="n">
        <v>45978</v>
      </c>
      <c r="BA36" s="650" t="n">
        <v>45985</v>
      </c>
      <c r="BB36" s="650" t="n">
        <v>45992</v>
      </c>
      <c r="BC36" s="650" t="n">
        <v>45999</v>
      </c>
      <c r="BD36" s="650" t="n">
        <v>46006</v>
      </c>
      <c r="BE36" s="650" t="n">
        <v>46013</v>
      </c>
      <c r="BF36" s="650" t="n">
        <v>46020</v>
      </c>
      <c r="BG36" s="650" t="n">
        <v>46027</v>
      </c>
      <c r="BH36" s="650" t="n">
        <v>46034</v>
      </c>
      <c r="BI36" s="650" t="n">
        <v>46041</v>
      </c>
      <c r="BJ36" s="650" t="n">
        <v>46048</v>
      </c>
      <c r="BK36" s="650" t="n">
        <v>46055</v>
      </c>
      <c r="BL36" s="650" t="n">
        <v>46062</v>
      </c>
      <c r="BM36" s="650" t="n">
        <v>46069</v>
      </c>
      <c r="BN36" s="650" t="n">
        <v>46076</v>
      </c>
      <c r="BO36" s="650" t="n">
        <v>46083</v>
      </c>
      <c r="BP36" s="650" t="n">
        <v>46090</v>
      </c>
      <c r="BQ36" s="650" t="n">
        <v>46097</v>
      </c>
      <c r="BR36" s="650" t="n">
        <v>46104</v>
      </c>
      <c r="BS36" s="650" t="n">
        <v>46111</v>
      </c>
      <c r="BT36" s="650" t="n">
        <v>46118</v>
      </c>
      <c r="BU36" s="650" t="n">
        <v>46125</v>
      </c>
      <c r="BV36" s="650" t="n">
        <v>46132</v>
      </c>
      <c r="BW36" s="650" t="n">
        <v>46139</v>
      </c>
      <c r="BX36" s="650" t="n">
        <v>46146</v>
      </c>
      <c r="BY36" s="650" t="n">
        <v>46154</v>
      </c>
      <c r="BZ36" s="650" t="n">
        <v>46160</v>
      </c>
      <c r="CA36" s="650" t="n">
        <v>46160</v>
      </c>
      <c r="CB36" s="652" t="inlineStr">
        <is>
          <t>USOU</t>
        </is>
      </c>
      <c r="CC36" s="6" t="n"/>
      <c r="CD36" s="413" t="inlineStr">
        <is>
          <t>TRANSFERÊNCIA</t>
        </is>
      </c>
      <c r="CE36" s="35" t="inlineStr">
        <is>
          <t>Pend.</t>
        </is>
      </c>
      <c r="CF36" s="653" t="n"/>
      <c r="CG36" s="12" t="inlineStr">
        <is>
          <t>Novo Pedido</t>
        </is>
      </c>
      <c r="CH36" s="4" t="n"/>
      <c r="CI36" s="654" t="n"/>
      <c r="CJ36" s="654" t="n">
        <v>46149</v>
      </c>
      <c r="CK36" s="654" t="n">
        <v>46114</v>
      </c>
      <c r="CL36" s="654" t="n">
        <v>46107</v>
      </c>
      <c r="CM36" s="710" t="n">
        <v>46065</v>
      </c>
      <c r="CN36" s="654" t="n">
        <v>46099</v>
      </c>
      <c r="CO36" s="654" t="n">
        <v>46092</v>
      </c>
      <c r="CP36" s="711" t="n">
        <v>46045</v>
      </c>
      <c r="CQ36" s="654" t="n">
        <v>46084</v>
      </c>
      <c r="CR36" s="655" t="n">
        <v>46084</v>
      </c>
      <c r="CS36" s="654" t="n">
        <v>46077</v>
      </c>
      <c r="CT36" s="655" t="n">
        <v>46077</v>
      </c>
      <c r="CU36" s="654" t="n">
        <v>46071</v>
      </c>
      <c r="CV36" s="654" t="n">
        <v>46048</v>
      </c>
      <c r="CW36" s="654" t="n">
        <v>46043</v>
      </c>
      <c r="CX36" s="654" t="n">
        <v>46035</v>
      </c>
      <c r="CY36" s="654" t="n">
        <v>46029</v>
      </c>
      <c r="CZ36" s="655" t="n">
        <v>46043</v>
      </c>
      <c r="DA36" s="654" t="n">
        <v>46024</v>
      </c>
      <c r="DB36" s="654" t="n">
        <v>46029</v>
      </c>
      <c r="DC36" s="654" t="n">
        <v>46024</v>
      </c>
      <c r="DD36" s="654" t="n">
        <v>46372</v>
      </c>
      <c r="DE36" s="654" t="n">
        <v>46024</v>
      </c>
      <c r="DF36" s="654" t="n">
        <v>46017</v>
      </c>
      <c r="DG36" s="654" t="n">
        <v>46007</v>
      </c>
      <c r="DH36" s="654" t="n">
        <v>46001</v>
      </c>
      <c r="DI36" s="654" t="n">
        <v>46007</v>
      </c>
      <c r="DJ36" s="654" t="n">
        <v>46001</v>
      </c>
      <c r="DK36" s="654" t="n">
        <v>45994</v>
      </c>
      <c r="DL36" s="654" t="n">
        <v>45986</v>
      </c>
      <c r="DM36" s="654" t="n">
        <v>45980</v>
      </c>
      <c r="DN36" s="654" t="n">
        <v>45980</v>
      </c>
      <c r="DO36" s="654" t="n">
        <v>45973</v>
      </c>
      <c r="DP36" s="654" t="n">
        <v>45965</v>
      </c>
      <c r="DQ36" s="654" t="n">
        <v>45960</v>
      </c>
      <c r="DR36" s="654" t="n">
        <v>45945</v>
      </c>
      <c r="DS36" s="654" t="n">
        <v>45939</v>
      </c>
      <c r="DT36" s="654" t="n">
        <v>45931</v>
      </c>
      <c r="DU36" s="678" t="n">
        <v>45903</v>
      </c>
      <c r="DV36" s="654" t="n">
        <v>45923</v>
      </c>
      <c r="DW36" s="654" t="n">
        <v>45915</v>
      </c>
      <c r="DX36" s="655" t="n">
        <v>45931</v>
      </c>
      <c r="DY36" s="688" t="n">
        <v>45931</v>
      </c>
      <c r="DZ36" s="688" t="n">
        <v>45931</v>
      </c>
      <c r="EA36" s="18" t="n"/>
      <c r="EB36" s="18" t="n"/>
      <c r="EC36" s="18" t="n"/>
      <c r="ED36" s="18" t="n"/>
      <c r="EE36" s="18" t="n"/>
      <c r="EF36" s="18" t="n"/>
      <c r="EG36" s="18" t="n"/>
      <c r="EH36" s="18" t="n"/>
      <c r="EI36" s="18" t="n"/>
      <c r="EJ36" s="18" t="n"/>
      <c r="EK36" s="18" t="n"/>
      <c r="EL36" s="18" t="n"/>
      <c r="EM36" s="18" t="n"/>
      <c r="EN36" s="18" t="n"/>
      <c r="EO36" s="18" t="n"/>
      <c r="EP36" s="18" t="n"/>
      <c r="EQ36" s="18" t="n"/>
      <c r="ER36" s="18" t="n"/>
      <c r="ES36" s="18" t="n"/>
      <c r="ET36" s="18" t="n"/>
      <c r="EU36" s="18" t="n"/>
      <c r="EV36" s="239" t="inlineStr">
        <is>
          <t>60 DE ER PBE</t>
        </is>
      </c>
      <c r="EW36" s="18" t="n"/>
      <c r="EX36" s="18" t="n"/>
      <c r="EY36" s="18" t="n"/>
      <c r="EZ36" s="18" t="n"/>
      <c r="FA36" s="18" t="n"/>
      <c r="FB36" s="18" t="n"/>
      <c r="FC36" s="18" t="n"/>
      <c r="FD36" s="292" t="inlineStr">
        <is>
          <t>30 DE ER PB</t>
        </is>
      </c>
      <c r="FE36" s="18" t="n"/>
      <c r="FF36" s="18" t="n"/>
      <c r="FG36" s="256" t="n"/>
      <c r="FH36" s="18" t="n"/>
      <c r="FI36" s="18" t="n"/>
      <c r="FJ36" s="18" t="n"/>
      <c r="FK36" s="18" t="n"/>
      <c r="FL36" s="18" t="n"/>
      <c r="FM36" s="256" t="n"/>
      <c r="FN36" s="18" t="n"/>
      <c r="FO36" s="18" t="n"/>
      <c r="FP36" s="18" t="n"/>
      <c r="FQ36" s="18" t="n"/>
      <c r="FR36" s="260" t="n"/>
      <c r="FS36" s="18" t="n"/>
      <c r="FT36" s="18" t="n"/>
      <c r="FU36" s="18" t="n"/>
      <c r="FV36" s="256" t="inlineStr">
        <is>
          <t>50 p. ERP</t>
        </is>
      </c>
      <c r="FW36" s="18" t="n"/>
      <c r="FX36" s="18" t="n"/>
      <c r="FY36" s="18" t="n"/>
      <c r="FZ36" s="256" t="n">
        <v>150</v>
      </c>
      <c r="GA36" s="18" t="n"/>
      <c r="GB36" s="18" t="n"/>
      <c r="GC36" s="18" t="n"/>
      <c r="GD36" s="18" t="n"/>
      <c r="GE36" s="18" t="n"/>
      <c r="GF36" s="18" t="n"/>
      <c r="GG36" s="18" t="n">
        <v>75</v>
      </c>
      <c r="GH36" s="18" t="n"/>
      <c r="GI36" s="18" t="n"/>
      <c r="GJ36" s="18" t="n"/>
      <c r="GK36" s="18" t="n"/>
      <c r="GL36" s="18" t="n"/>
      <c r="GM36" s="18" t="n"/>
      <c r="GN36" s="18" t="n"/>
      <c r="GO36" s="18" t="n"/>
      <c r="GP36" s="18" t="n"/>
      <c r="GQ36" s="18" t="n"/>
    </row>
    <row r="37" ht="18.75" customFormat="1" customHeight="1" s="3">
      <c r="A37" s="33" t="inlineStr">
        <is>
          <t>KIT CAIXA P VERDE</t>
        </is>
      </c>
      <c r="B37" s="129" t="n">
        <v>75</v>
      </c>
      <c r="C37" s="665" t="n">
        <v>239.21</v>
      </c>
      <c r="D37" s="329" t="n">
        <v>20</v>
      </c>
      <c r="E37" s="2" t="n"/>
      <c r="F37" s="38" t="n">
        <v>0</v>
      </c>
      <c r="G37" s="38" t="n">
        <v>0</v>
      </c>
      <c r="H37" s="38" t="n">
        <v>0</v>
      </c>
      <c r="I37" s="38" t="n">
        <v>0</v>
      </c>
      <c r="J37" s="38" t="n">
        <v>0</v>
      </c>
      <c r="K37" s="38">
        <f>0+GG36</f>
        <v/>
      </c>
      <c r="L37" s="38" t="n">
        <v>71</v>
      </c>
      <c r="M37" s="38" t="n">
        <v>71</v>
      </c>
      <c r="N37" s="38" t="n">
        <v>71</v>
      </c>
      <c r="O37" s="38" t="n">
        <v>71</v>
      </c>
      <c r="P37" s="38" t="n">
        <v>71</v>
      </c>
      <c r="Q37" s="38" t="n">
        <v>76</v>
      </c>
      <c r="R37" s="38" t="n">
        <v>76</v>
      </c>
      <c r="S37" s="38" t="n">
        <v>76</v>
      </c>
      <c r="T37" s="38" t="n">
        <v>76</v>
      </c>
      <c r="U37" s="38" t="n">
        <v>76</v>
      </c>
      <c r="V37" s="38" t="n">
        <v>76</v>
      </c>
      <c r="W37" s="38" t="n">
        <v>76</v>
      </c>
      <c r="X37" s="38" t="n">
        <v>76</v>
      </c>
      <c r="Y37" s="38" t="n">
        <v>71</v>
      </c>
      <c r="Z37" s="38" t="n">
        <v>69</v>
      </c>
      <c r="AA37" s="38" t="n">
        <v>68</v>
      </c>
      <c r="AB37" s="38" t="n">
        <v>60</v>
      </c>
      <c r="AC37" s="38" t="n">
        <v>57</v>
      </c>
      <c r="AD37" s="38">
        <f>46+60</f>
        <v/>
      </c>
      <c r="AE37" s="38" t="n">
        <v>103</v>
      </c>
      <c r="AF37" s="38">
        <f>99-1</f>
        <v/>
      </c>
      <c r="AG37" s="38" t="n">
        <v>76</v>
      </c>
      <c r="AH37" s="38" t="n">
        <v>71</v>
      </c>
      <c r="AI37" s="38" t="n">
        <v>67</v>
      </c>
      <c r="AJ37" s="38" t="n">
        <v>66</v>
      </c>
      <c r="AK37" s="38" t="n">
        <v>65</v>
      </c>
      <c r="AL37" s="38" t="n">
        <v>45</v>
      </c>
      <c r="AM37" s="38" t="n">
        <v>43</v>
      </c>
      <c r="AN37" s="38" t="n">
        <v>43</v>
      </c>
      <c r="AO37" s="38" t="n">
        <v>33</v>
      </c>
      <c r="AP37" s="38" t="n">
        <v>30</v>
      </c>
      <c r="AQ37" s="38" t="n">
        <v>30</v>
      </c>
      <c r="AR37" s="38" t="n">
        <v>30</v>
      </c>
      <c r="AS37" s="38" t="n">
        <v>30</v>
      </c>
      <c r="AT37" s="38" t="n">
        <v>28</v>
      </c>
      <c r="AU37" s="38" t="n">
        <v>23</v>
      </c>
      <c r="AV37" s="38" t="n">
        <v>22</v>
      </c>
      <c r="AW37" s="38" t="n">
        <v>20</v>
      </c>
      <c r="AX37" s="38" t="n">
        <v>15</v>
      </c>
      <c r="AY37" s="38" t="n">
        <v>15</v>
      </c>
      <c r="AZ37" s="38" t="n">
        <v>15</v>
      </c>
      <c r="BA37" s="38" t="n">
        <v>15</v>
      </c>
      <c r="BB37" s="38" t="n">
        <v>15</v>
      </c>
      <c r="BC37" s="38" t="n">
        <v>14</v>
      </c>
      <c r="BD37" s="38" t="n">
        <v>14</v>
      </c>
      <c r="BE37" s="38" t="n">
        <v>14</v>
      </c>
      <c r="BF37" s="38" t="n">
        <v>12</v>
      </c>
      <c r="BG37" s="38" t="n">
        <v>12</v>
      </c>
      <c r="BH37" s="38" t="n">
        <v>12</v>
      </c>
      <c r="BI37" s="38" t="n">
        <v>11</v>
      </c>
      <c r="BJ37" s="38" t="n">
        <v>9</v>
      </c>
      <c r="BK37" s="38" t="n">
        <v>9</v>
      </c>
      <c r="BL37" s="38" t="n">
        <v>6</v>
      </c>
      <c r="BM37" s="38" t="n">
        <v>6</v>
      </c>
      <c r="BN37" s="38" t="n">
        <v>6</v>
      </c>
      <c r="BO37" s="38" t="n">
        <v>6</v>
      </c>
      <c r="BP37" s="38" t="n">
        <v>6</v>
      </c>
      <c r="BQ37" s="38" t="n">
        <v>4</v>
      </c>
      <c r="BR37" s="38" t="n">
        <v>4</v>
      </c>
      <c r="BS37" s="38" t="n">
        <v>4</v>
      </c>
      <c r="BT37" s="38" t="n">
        <v>4</v>
      </c>
      <c r="BU37" s="38" t="n">
        <v>4</v>
      </c>
      <c r="BV37" s="38" t="n">
        <v>4</v>
      </c>
      <c r="BW37" s="38" t="n">
        <v>4</v>
      </c>
      <c r="BX37" s="38" t="n">
        <v>4</v>
      </c>
      <c r="BY37" s="38" t="n">
        <v>4</v>
      </c>
      <c r="BZ37" s="38" t="n">
        <v>4</v>
      </c>
      <c r="CA37" s="38" t="n">
        <v>4</v>
      </c>
      <c r="CB37" s="154">
        <f>BZ37+IF(NOT(ISBLANK(OFFSET(CB37,0,6))),N(OFFSET(CB37,0,6)),N(OFFSET(CB37,0,7)))-CA37</f>
        <v/>
      </c>
      <c r="CC37" s="6" t="n"/>
      <c r="CD37" s="19" t="n"/>
      <c r="CE37" s="19" t="n"/>
      <c r="CF37" s="4" t="n"/>
      <c r="CG37" s="65" t="n"/>
      <c r="CH37" s="4" t="n"/>
      <c r="CI37" s="18" t="n">
        <v>0</v>
      </c>
      <c r="CJ37" s="18" t="n">
        <v>0</v>
      </c>
      <c r="CK37" s="18" t="n"/>
      <c r="CL37" s="18" t="n"/>
      <c r="CM37" s="403" t="n">
        <v>150</v>
      </c>
      <c r="CN37" s="18" t="n"/>
      <c r="CO37" s="18" t="n"/>
      <c r="CP37" s="18" t="n"/>
      <c r="CQ37" s="18" t="n"/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18" t="n"/>
      <c r="DM37" s="18" t="n"/>
      <c r="DN37" s="18" t="n"/>
      <c r="DO37" s="18" t="n"/>
      <c r="DP37" s="18" t="n"/>
      <c r="DQ37" s="18" t="n"/>
      <c r="DR37" s="18" t="n"/>
      <c r="DS37" s="18" t="n"/>
      <c r="DT37" s="18" t="n"/>
      <c r="DU37" s="396" t="n"/>
      <c r="DV37" s="18" t="n"/>
      <c r="DW37" s="18" t="n"/>
      <c r="DX37" s="256" t="n"/>
      <c r="DY37" s="256" t="n"/>
      <c r="DZ37" s="256" t="n"/>
      <c r="EA37" s="18" t="n"/>
      <c r="EB37" s="18" t="n"/>
      <c r="EC37" s="18" t="n"/>
      <c r="ED37" s="18" t="n"/>
      <c r="EE37" s="18" t="n"/>
      <c r="EF37" s="18" t="n"/>
      <c r="EG37" s="18" t="n"/>
      <c r="EH37" s="18" t="n"/>
      <c r="EI37" s="18" t="n"/>
      <c r="EJ37" s="18" t="n"/>
      <c r="EK37" s="18" t="n"/>
      <c r="EL37" s="18" t="n"/>
      <c r="EM37" s="18" t="n">
        <v>75</v>
      </c>
      <c r="EN37" s="18" t="n"/>
      <c r="EO37" s="292" t="inlineStr">
        <is>
          <t>50 P/ CDP</t>
        </is>
      </c>
      <c r="EP37" s="18" t="n"/>
      <c r="EQ37" s="292" t="inlineStr">
        <is>
          <t>30 P/ ER PB</t>
        </is>
      </c>
      <c r="ER37" s="18" t="n"/>
      <c r="ES37" s="256" t="n">
        <v>100</v>
      </c>
      <c r="ET37" s="18" t="n"/>
      <c r="EU37" s="18" t="n"/>
      <c r="EV37" s="18" t="n"/>
      <c r="EW37" s="18" t="n"/>
      <c r="EX37" s="239" t="inlineStr">
        <is>
          <t>50 DE ER PBE</t>
        </is>
      </c>
      <c r="EY37" s="18" t="n"/>
      <c r="EZ37" s="18" t="n"/>
      <c r="FA37" s="18" t="n"/>
      <c r="FB37" s="18" t="n"/>
      <c r="FC37" s="312" t="inlineStr">
        <is>
          <t>20 P/ ER PB</t>
        </is>
      </c>
      <c r="FD37" s="256" t="n"/>
      <c r="FE37" s="18" t="n"/>
      <c r="FF37" s="312" t="inlineStr">
        <is>
          <t>50 P/ CD</t>
        </is>
      </c>
      <c r="FG37" s="256" t="n"/>
      <c r="FH37" s="18" t="n"/>
      <c r="FI37" s="18" t="n"/>
      <c r="FJ37" s="18" t="n"/>
      <c r="FK37" s="18" t="n"/>
      <c r="FL37" s="256" t="n">
        <v>200</v>
      </c>
      <c r="FM37" s="256" t="n"/>
      <c r="FN37" s="18" t="n"/>
      <c r="FO37" s="18" t="n"/>
      <c r="FP37" s="18" t="n"/>
      <c r="FQ37" s="18" t="n"/>
      <c r="FR37" s="18" t="n"/>
      <c r="FS37" s="18" t="n"/>
      <c r="FT37" s="18" t="n"/>
      <c r="FU37" s="18" t="n"/>
      <c r="FV37" s="256" t="inlineStr">
        <is>
          <t>50 p. ERP</t>
        </is>
      </c>
      <c r="FW37" s="18" t="n"/>
      <c r="FX37" s="18" t="n"/>
      <c r="FY37" s="18" t="n"/>
      <c r="FZ37" s="256" t="n">
        <v>100</v>
      </c>
      <c r="GA37" s="18" t="n"/>
      <c r="GB37" s="18" t="n"/>
      <c r="GC37" s="18" t="n"/>
      <c r="GD37" s="18" t="n"/>
      <c r="GE37" s="18" t="n"/>
      <c r="GF37" s="18" t="n"/>
      <c r="GG37" s="18" t="n">
        <v>75</v>
      </c>
      <c r="GH37" s="18" t="n"/>
      <c r="GI37" s="18" t="n"/>
      <c r="GJ37" s="18" t="n"/>
      <c r="GK37" s="18" t="n"/>
      <c r="GL37" s="18" t="n"/>
      <c r="GM37" s="18" t="n"/>
      <c r="GN37" s="18" t="n"/>
      <c r="GO37" s="18" t="n"/>
      <c r="GP37" s="18" t="n"/>
      <c r="GQ37" s="18" t="n"/>
    </row>
    <row r="38" ht="18.75" customHeight="1">
      <c r="A38" s="33" t="inlineStr">
        <is>
          <t>KIT CAIXA M VERDE</t>
        </is>
      </c>
      <c r="B38" s="129" t="n">
        <v>75</v>
      </c>
      <c r="C38" s="662" t="n">
        <v>312.27</v>
      </c>
      <c r="D38" s="329" t="n">
        <v>30</v>
      </c>
      <c r="E38" s="2" t="n"/>
      <c r="F38" s="38" t="n">
        <v>0</v>
      </c>
      <c r="G38" s="38" t="n">
        <v>0</v>
      </c>
      <c r="H38" s="38" t="n">
        <v>0</v>
      </c>
      <c r="I38" s="38" t="n">
        <v>0</v>
      </c>
      <c r="J38" s="38" t="n">
        <v>0</v>
      </c>
      <c r="K38" s="38">
        <f>0+GG37</f>
        <v/>
      </c>
      <c r="L38" s="38" t="n">
        <v>75</v>
      </c>
      <c r="M38" s="38" t="n">
        <v>75</v>
      </c>
      <c r="N38" s="38" t="n">
        <v>75</v>
      </c>
      <c r="O38" s="38" t="n">
        <v>75</v>
      </c>
      <c r="P38" s="38" t="n">
        <v>75</v>
      </c>
      <c r="Q38" s="38" t="n">
        <v>75</v>
      </c>
      <c r="R38" s="38" t="n">
        <v>75</v>
      </c>
      <c r="S38" s="38" t="n">
        <v>73</v>
      </c>
      <c r="T38" s="38" t="n">
        <v>71</v>
      </c>
      <c r="U38" s="38" t="n">
        <v>64</v>
      </c>
      <c r="V38" s="38" t="n">
        <v>64</v>
      </c>
      <c r="W38" s="38" t="n">
        <v>64</v>
      </c>
      <c r="X38" s="38" t="n">
        <v>64</v>
      </c>
      <c r="Y38" s="38" t="n">
        <v>18</v>
      </c>
      <c r="Z38" s="38" t="n">
        <v>10</v>
      </c>
      <c r="AA38" s="38" t="n">
        <v>7</v>
      </c>
      <c r="AB38" s="38" t="n">
        <v>4</v>
      </c>
      <c r="AC38" s="38">
        <f>0+50</f>
        <v/>
      </c>
      <c r="AD38" s="38" t="n">
        <v>44</v>
      </c>
      <c r="AE38" s="38" t="n">
        <v>36</v>
      </c>
      <c r="AF38" s="38">
        <f>33-8</f>
        <v/>
      </c>
      <c r="AG38" s="38" t="n">
        <v>16</v>
      </c>
      <c r="AH38" s="38" t="n">
        <v>9</v>
      </c>
      <c r="AI38" s="38" t="n">
        <v>2</v>
      </c>
      <c r="AJ38" s="38" t="n">
        <v>75</v>
      </c>
      <c r="AK38" s="38" t="n">
        <v>73</v>
      </c>
      <c r="AL38" s="38" t="n">
        <v>32</v>
      </c>
      <c r="AM38" s="38" t="n">
        <v>26</v>
      </c>
      <c r="AN38" s="38" t="n">
        <v>26</v>
      </c>
      <c r="AO38" s="38" t="n">
        <v>19</v>
      </c>
      <c r="AP38" s="38" t="n">
        <v>6</v>
      </c>
      <c r="AQ38" s="38" t="n">
        <v>0</v>
      </c>
      <c r="AR38" s="38">
        <f>0+10</f>
        <v/>
      </c>
      <c r="AS38" s="38" t="n">
        <v>7</v>
      </c>
      <c r="AT38" s="38" t="n">
        <v>0</v>
      </c>
      <c r="AU38" s="38" t="n">
        <v>0</v>
      </c>
      <c r="AV38" s="38" t="n">
        <v>0</v>
      </c>
      <c r="AW38" s="38" t="n">
        <v>0</v>
      </c>
      <c r="AX38" s="38" t="n">
        <v>0</v>
      </c>
      <c r="AY38" s="38" t="n">
        <v>0</v>
      </c>
      <c r="AZ38" s="38" t="n">
        <v>0</v>
      </c>
      <c r="BA38" s="38" t="n">
        <v>0</v>
      </c>
      <c r="BB38" s="38" t="n">
        <v>0</v>
      </c>
      <c r="BC38" s="38" t="n">
        <v>0</v>
      </c>
      <c r="BD38" s="38" t="n">
        <v>0</v>
      </c>
      <c r="BE38" s="38" t="n">
        <v>0</v>
      </c>
      <c r="BF38" s="38" t="n">
        <v>0</v>
      </c>
      <c r="BG38" s="38" t="n">
        <v>0</v>
      </c>
      <c r="BH38" s="38" t="n">
        <v>0</v>
      </c>
      <c r="BI38" s="38" t="n">
        <v>0</v>
      </c>
      <c r="BJ38" s="38" t="n">
        <v>0</v>
      </c>
      <c r="BK38" s="38" t="n">
        <v>0</v>
      </c>
      <c r="BL38" s="261" t="n">
        <v>20</v>
      </c>
      <c r="BM38" s="38" t="n">
        <v>20</v>
      </c>
      <c r="BN38" s="38" t="n">
        <v>20</v>
      </c>
      <c r="BO38" s="38" t="n">
        <v>7</v>
      </c>
      <c r="BP38" s="38" t="n">
        <v>3</v>
      </c>
      <c r="BQ38" s="38" t="n">
        <v>1</v>
      </c>
      <c r="BR38" s="38" t="n">
        <v>0</v>
      </c>
      <c r="BS38" s="38" t="n">
        <v>0</v>
      </c>
      <c r="BT38" s="38" t="n">
        <v>0</v>
      </c>
      <c r="BU38" s="38" t="n">
        <v>0</v>
      </c>
      <c r="BV38" s="38" t="n">
        <v>0</v>
      </c>
      <c r="BW38" s="38" t="n">
        <v>0</v>
      </c>
      <c r="BX38" s="38" t="n">
        <v>0</v>
      </c>
      <c r="BY38" s="38" t="n">
        <v>0</v>
      </c>
      <c r="BZ38" s="38" t="n">
        <v>0</v>
      </c>
      <c r="CA38" s="38" t="n">
        <v>0</v>
      </c>
      <c r="CB38" s="154">
        <f>BZ38+IF(NOT(ISBLANK(OFFSET(CB38,0,6))),N(OFFSET(CB38,0,6)),N(OFFSET(CB38,0,7)))-CA38</f>
        <v/>
      </c>
      <c r="CD38" s="19" t="n"/>
      <c r="CE38" s="19" t="n"/>
      <c r="CF38" s="5" t="n"/>
      <c r="CG38" s="65" t="n"/>
      <c r="CH38" s="5" t="n"/>
      <c r="CI38" s="18" t="n">
        <v>0</v>
      </c>
      <c r="CJ38" s="18" t="n">
        <v>0</v>
      </c>
      <c r="CK38" s="18" t="n"/>
      <c r="CL38" s="18" t="n"/>
      <c r="CM38" s="403" t="n">
        <v>100</v>
      </c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18" t="n"/>
      <c r="DP38" s="18" t="n"/>
      <c r="DQ38" s="18" t="n"/>
      <c r="DR38" s="18" t="n"/>
      <c r="DS38" s="18" t="n"/>
      <c r="DT38" s="18" t="n"/>
      <c r="DU38" s="396" t="n"/>
      <c r="DV38" s="18" t="n"/>
      <c r="DW38" s="18" t="n"/>
      <c r="DX38" s="154" t="inlineStr">
        <is>
          <t>10 DE CDP</t>
        </is>
      </c>
      <c r="DY38" s="256" t="n"/>
      <c r="DZ38" s="256" t="n"/>
      <c r="EA38" s="18" t="n"/>
      <c r="EB38" s="18" t="n"/>
      <c r="EC38" s="18" t="n"/>
      <c r="ED38" s="18" t="n"/>
      <c r="EE38" s="18" t="n"/>
      <c r="EF38" s="18" t="n"/>
      <c r="EG38" s="18" t="n"/>
      <c r="EH38" s="18" t="n"/>
      <c r="EI38" s="18" t="n"/>
      <c r="EJ38" s="18" t="n"/>
      <c r="EK38" s="18" t="n"/>
      <c r="EL38" s="18" t="n"/>
      <c r="EM38" s="18" t="n"/>
      <c r="EN38" s="18" t="n"/>
      <c r="EO38" s="256" t="n"/>
      <c r="EP38" s="18" t="n"/>
      <c r="EQ38" s="292" t="inlineStr">
        <is>
          <t>75 P/ ER PB</t>
        </is>
      </c>
      <c r="ER38" s="18" t="n"/>
      <c r="ES38" s="256" t="n">
        <v>150</v>
      </c>
      <c r="ET38" s="18" t="n"/>
      <c r="EU38" s="18" t="n"/>
      <c r="EV38" s="18" t="n"/>
      <c r="EW38" s="18" t="n"/>
      <c r="EX38" s="18" t="n"/>
      <c r="EY38" s="18" t="n"/>
      <c r="EZ38" s="18" t="n"/>
      <c r="FA38" s="18" t="n"/>
      <c r="FB38" s="18" t="n"/>
      <c r="FC38" s="312" t="inlineStr">
        <is>
          <t>20 P/ ER PB</t>
        </is>
      </c>
      <c r="FD38" s="292" t="inlineStr">
        <is>
          <t>30 DE ER PB</t>
        </is>
      </c>
      <c r="FE38" s="18" t="n"/>
      <c r="FF38" s="312" t="inlineStr">
        <is>
          <t>20 P/ CD</t>
        </is>
      </c>
      <c r="FG38" s="256" t="n"/>
      <c r="FH38" s="18" t="n"/>
      <c r="FI38" s="18" t="n"/>
      <c r="FJ38" s="18" t="n"/>
      <c r="FK38" s="18" t="n"/>
      <c r="FL38" s="256" t="n">
        <v>100</v>
      </c>
      <c r="FM38" s="256" t="n"/>
      <c r="FN38" s="18" t="n"/>
      <c r="FO38" s="18" t="n"/>
      <c r="FP38" s="18" t="n"/>
      <c r="FQ38" s="18" t="n"/>
      <c r="FR38" s="260" t="n"/>
      <c r="FS38" s="18" t="n">
        <v>50</v>
      </c>
      <c r="FT38" s="18" t="n"/>
      <c r="FU38" s="18" t="n"/>
      <c r="FV38" s="256" t="inlineStr">
        <is>
          <t>100 P. ERP</t>
        </is>
      </c>
      <c r="FW38" s="18" t="n"/>
      <c r="FX38" s="18" t="n"/>
      <c r="FY38" s="18" t="n"/>
      <c r="FZ38" s="256" t="n">
        <v>200</v>
      </c>
      <c r="GA38" s="18" t="n"/>
      <c r="GB38" s="18" t="n"/>
      <c r="GC38" s="18" t="n"/>
      <c r="GD38" s="18" t="n"/>
      <c r="GE38" s="18" t="n"/>
      <c r="GF38" s="18" t="n"/>
      <c r="GG38" s="18" t="n">
        <v>50</v>
      </c>
      <c r="GH38" s="18" t="n"/>
      <c r="GI38" s="18" t="n"/>
      <c r="GJ38" s="18" t="n"/>
      <c r="GK38" s="18" t="n"/>
      <c r="GL38" s="18" t="n"/>
      <c r="GM38" s="18" t="n"/>
      <c r="GN38" s="18" t="n"/>
      <c r="GO38" s="18" t="n"/>
      <c r="GP38" s="18" t="n"/>
      <c r="GQ38" s="18" t="n"/>
    </row>
    <row r="39" ht="18.75" customFormat="1" customHeight="1" s="3">
      <c r="A39" s="33" t="inlineStr">
        <is>
          <t>KIT CAIXA G VERDE</t>
        </is>
      </c>
      <c r="B39" s="129" t="n">
        <v>50</v>
      </c>
      <c r="C39" s="662" t="n">
        <v>367.65</v>
      </c>
      <c r="D39" s="329" t="n">
        <v>15</v>
      </c>
      <c r="E39" s="6" t="n"/>
      <c r="F39" s="38" t="n">
        <v>0</v>
      </c>
      <c r="G39" s="38" t="n">
        <v>0</v>
      </c>
      <c r="H39" s="38" t="n">
        <v>0</v>
      </c>
      <c r="I39" s="38" t="n">
        <v>0</v>
      </c>
      <c r="J39" s="38" t="n">
        <v>0</v>
      </c>
      <c r="K39" s="38">
        <f>0+GG38</f>
        <v/>
      </c>
      <c r="L39" s="38" t="n">
        <v>50</v>
      </c>
      <c r="M39" s="38" t="n">
        <v>11</v>
      </c>
      <c r="N39" s="38" t="n">
        <v>11</v>
      </c>
      <c r="O39" s="38" t="n">
        <v>10</v>
      </c>
      <c r="P39" s="38" t="n">
        <v>10</v>
      </c>
      <c r="Q39" s="38" t="n">
        <v>42</v>
      </c>
      <c r="R39" s="38" t="n">
        <v>80</v>
      </c>
      <c r="S39" s="38" t="n">
        <v>0</v>
      </c>
      <c r="T39" s="38" t="n">
        <v>0</v>
      </c>
      <c r="U39" s="261">
        <f>39+FS38</f>
        <v/>
      </c>
      <c r="V39" s="38" t="n">
        <v>89</v>
      </c>
      <c r="W39" s="38" t="n">
        <v>89</v>
      </c>
      <c r="X39" s="38" t="n">
        <v>78</v>
      </c>
      <c r="Y39" s="38" t="n">
        <v>71</v>
      </c>
      <c r="Z39" s="38" t="n">
        <v>70</v>
      </c>
      <c r="AA39" s="38" t="n">
        <v>68</v>
      </c>
      <c r="AB39" s="38" t="n">
        <v>68</v>
      </c>
      <c r="AC39" s="38" t="n">
        <v>58</v>
      </c>
      <c r="AD39" s="38" t="n">
        <v>43</v>
      </c>
      <c r="AE39" s="38" t="n">
        <v>41</v>
      </c>
      <c r="AF39" s="38" t="n">
        <v>41</v>
      </c>
      <c r="AG39" s="38" t="n">
        <v>41</v>
      </c>
      <c r="AH39" s="38" t="n">
        <v>41</v>
      </c>
      <c r="AI39" s="38" t="n">
        <v>41</v>
      </c>
      <c r="AJ39" s="38" t="n">
        <v>40</v>
      </c>
      <c r="AK39" s="38" t="n">
        <v>36</v>
      </c>
      <c r="AL39" s="38" t="n">
        <v>27</v>
      </c>
      <c r="AM39" s="38" t="n">
        <v>23</v>
      </c>
      <c r="AN39" s="38" t="n">
        <v>23</v>
      </c>
      <c r="AO39" s="38" t="n">
        <v>18</v>
      </c>
      <c r="AP39" s="38" t="n">
        <v>18</v>
      </c>
      <c r="AQ39" s="38" t="n">
        <v>17</v>
      </c>
      <c r="AR39" s="38" t="n">
        <v>17</v>
      </c>
      <c r="AS39" s="38" t="n">
        <v>17</v>
      </c>
      <c r="AT39" s="38" t="n">
        <v>17</v>
      </c>
      <c r="AU39" s="38" t="n">
        <v>5</v>
      </c>
      <c r="AV39" s="38" t="n">
        <v>5</v>
      </c>
      <c r="AW39" s="38" t="n">
        <v>5</v>
      </c>
      <c r="AX39" s="38" t="n">
        <v>5</v>
      </c>
      <c r="AY39" s="38" t="n">
        <v>0</v>
      </c>
      <c r="AZ39" s="38" t="n">
        <v>0</v>
      </c>
      <c r="BA39" s="38" t="n">
        <v>0</v>
      </c>
      <c r="BB39" s="38" t="n">
        <v>0</v>
      </c>
      <c r="BC39" s="38" t="n">
        <v>0</v>
      </c>
      <c r="BD39" s="38" t="n">
        <v>0</v>
      </c>
      <c r="BE39" s="38" t="n">
        <v>0</v>
      </c>
      <c r="BF39" s="38" t="n">
        <v>0</v>
      </c>
      <c r="BG39" s="38" t="n">
        <v>0</v>
      </c>
      <c r="BH39" s="38" t="n">
        <v>0</v>
      </c>
      <c r="BI39" s="38" t="n">
        <v>0</v>
      </c>
      <c r="BJ39" s="38" t="n">
        <v>0</v>
      </c>
      <c r="BK39" s="38" t="n">
        <v>0</v>
      </c>
      <c r="BL39" s="38" t="n">
        <v>0</v>
      </c>
      <c r="BM39" s="38" t="n">
        <v>0</v>
      </c>
      <c r="BN39" s="38" t="n">
        <v>0</v>
      </c>
      <c r="BO39" s="38" t="n">
        <v>0</v>
      </c>
      <c r="BP39" s="38" t="n">
        <v>0</v>
      </c>
      <c r="BQ39" s="38" t="n">
        <v>0</v>
      </c>
      <c r="BR39" s="38" t="n">
        <v>0</v>
      </c>
      <c r="BS39" s="38" t="n">
        <v>0</v>
      </c>
      <c r="BT39" s="38" t="n">
        <v>0</v>
      </c>
      <c r="BU39" s="38" t="n">
        <v>0</v>
      </c>
      <c r="BV39" s="38" t="n">
        <v>0</v>
      </c>
      <c r="BW39" s="38" t="n">
        <v>0</v>
      </c>
      <c r="BX39" s="38" t="n">
        <v>0</v>
      </c>
      <c r="BY39" s="38" t="n">
        <v>0</v>
      </c>
      <c r="BZ39" s="38" t="n">
        <v>0</v>
      </c>
      <c r="CA39" s="38" t="n">
        <v>0</v>
      </c>
      <c r="CB39" s="154">
        <f>BZ39+IF(NOT(ISBLANK(OFFSET(CB39,0,6))),N(OFFSET(CB39,0,6)),N(OFFSET(CB39,0,7)))-CA39</f>
        <v/>
      </c>
      <c r="CC39" s="6" t="n"/>
      <c r="CD39" s="19" t="n"/>
      <c r="CE39" s="19" t="n"/>
      <c r="CF39" s="5" t="n"/>
      <c r="CG39" s="65" t="n"/>
      <c r="CH39" s="5" t="n"/>
      <c r="CI39" s="18" t="n">
        <v>0</v>
      </c>
      <c r="CJ39" s="18" t="n">
        <v>0</v>
      </c>
      <c r="CK39" s="18" t="n"/>
      <c r="CL39" s="18" t="n"/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18" t="n"/>
      <c r="DP39" s="18" t="n"/>
      <c r="DQ39" s="18" t="n"/>
      <c r="DR39" s="18" t="n"/>
      <c r="DS39" s="18" t="n"/>
      <c r="DT39" s="18" t="n"/>
      <c r="DU39" s="396" t="n"/>
      <c r="DV39" s="18" t="n"/>
      <c r="DW39" s="18" t="n"/>
      <c r="DX39" s="256" t="n"/>
      <c r="DY39" s="256" t="n"/>
      <c r="DZ39" s="256" t="n"/>
      <c r="EA39" s="17" t="n"/>
      <c r="EB39" s="17" t="n"/>
      <c r="EC39" s="17" t="n"/>
      <c r="ED39" s="17" t="n"/>
      <c r="EE39" s="17" t="n"/>
      <c r="EF39" s="17" t="n"/>
      <c r="EG39" s="17" t="n"/>
      <c r="EH39" s="17" t="n"/>
      <c r="EI39" s="17" t="n"/>
      <c r="EJ39" s="17" t="n"/>
      <c r="EK39" s="17" t="n"/>
      <c r="EL39" s="17" t="n"/>
      <c r="EM39" s="17" t="n"/>
      <c r="EN39" s="17" t="n"/>
      <c r="EO39" s="17" t="n"/>
      <c r="EP39" s="17" t="n"/>
      <c r="EQ39" s="17" t="n"/>
      <c r="ER39" s="17" t="n"/>
      <c r="ES39" s="17" t="n"/>
      <c r="ET39" s="17" t="n"/>
      <c r="EU39" s="17" t="n"/>
      <c r="EV39" s="17" t="n"/>
      <c r="EW39" s="17" t="n"/>
      <c r="EX39" s="17" t="n"/>
      <c r="EY39" s="17" t="n"/>
      <c r="EZ39" s="17" t="n"/>
      <c r="FA39" s="17" t="n"/>
      <c r="FB39" s="17" t="n"/>
      <c r="FC39" s="17" t="n"/>
      <c r="FE39" s="17" t="n"/>
      <c r="FF39" s="17" t="n"/>
      <c r="FH39" s="17" t="n"/>
      <c r="FI39" s="17" t="n"/>
      <c r="FJ39" s="17" t="n"/>
      <c r="FK39" s="17" t="n"/>
      <c r="FL39" s="17" t="n"/>
      <c r="FN39" s="17" t="n"/>
      <c r="FO39" s="17" t="n"/>
      <c r="FP39" s="17" t="n"/>
      <c r="FQ39" s="17" t="n"/>
      <c r="FS39" s="17" t="n"/>
      <c r="FT39" s="17" t="n"/>
      <c r="FU39" s="17" t="n"/>
      <c r="FV39" s="256" t="inlineStr">
        <is>
          <t>50 P. ERP</t>
        </is>
      </c>
      <c r="FW39" s="17" t="n"/>
      <c r="FX39" s="17" t="n"/>
      <c r="FY39" s="17" t="n"/>
      <c r="FZ39" s="256" t="n">
        <v>150</v>
      </c>
      <c r="GA39" s="17" t="n"/>
      <c r="GB39" s="17" t="n"/>
      <c r="GC39" s="17" t="n"/>
      <c r="GD39" s="17" t="n"/>
      <c r="GE39" s="17" t="n"/>
      <c r="GF39" s="17" t="n"/>
      <c r="GG39" s="17" t="n"/>
      <c r="GH39" s="17" t="n"/>
      <c r="GI39" s="17" t="n"/>
      <c r="GJ39" s="17" t="n"/>
      <c r="GK39" s="17" t="n"/>
      <c r="GL39" s="17" t="n"/>
      <c r="GM39" s="17" t="n"/>
      <c r="GN39" s="17" t="n"/>
      <c r="GO39" s="17" t="n"/>
      <c r="GP39" s="17" t="n"/>
      <c r="GQ39" s="17" t="n"/>
    </row>
    <row r="40" ht="18.75" customHeight="1">
      <c r="A40" s="31" t="n"/>
      <c r="B40" s="2" t="n"/>
      <c r="C40" s="661" t="n"/>
      <c r="D40" s="661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  <c r="AA40" s="4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4" t="n"/>
      <c r="AP40" s="4" t="n"/>
      <c r="AQ40" s="4" t="n"/>
      <c r="AR40" s="4" t="n"/>
      <c r="AS40" s="4" t="n"/>
      <c r="AT40" s="4" t="n"/>
      <c r="AU40" s="4" t="n"/>
      <c r="AV40" s="4" t="n"/>
      <c r="AW40" s="4" t="n"/>
      <c r="AX40" s="4" t="n"/>
      <c r="AY40" s="4" t="n"/>
      <c r="AZ40" s="4" t="n"/>
      <c r="BA40" s="4" t="n"/>
      <c r="BB40" s="4" t="n"/>
      <c r="BC40" s="4" t="n"/>
      <c r="BD40" s="4" t="n"/>
      <c r="BE40" s="4" t="n"/>
      <c r="BF40" s="4" t="n"/>
      <c r="BG40" s="4" t="n"/>
      <c r="BH40" s="4" t="n"/>
      <c r="BI40" s="4" t="n"/>
      <c r="BJ40" s="4" t="n"/>
      <c r="BK40" s="4" t="n"/>
      <c r="BL40" s="4" t="n"/>
      <c r="BM40" s="4" t="n"/>
      <c r="BN40" s="4" t="n"/>
      <c r="BO40" s="4" t="n"/>
      <c r="BP40" s="4" t="n"/>
      <c r="BQ40" s="4" t="n"/>
      <c r="BR40" s="4" t="n"/>
      <c r="BS40" s="4" t="n"/>
      <c r="BT40" s="4" t="n"/>
      <c r="BU40" s="4" t="n"/>
      <c r="BV40" s="4" t="n"/>
      <c r="BW40" s="4" t="n"/>
      <c r="BX40" s="4" t="n"/>
      <c r="BY40" s="4" t="n"/>
      <c r="BZ40" s="4" t="n"/>
      <c r="CA40" s="4" t="n"/>
      <c r="CD40" s="26" t="n"/>
      <c r="CE40" s="26" t="n"/>
      <c r="CF40" s="5" t="n"/>
      <c r="CG40" s="108" t="n"/>
      <c r="CH40" s="5" t="n"/>
      <c r="CI40" s="17" t="n"/>
      <c r="CJ40" s="17" t="n"/>
      <c r="CK40" s="17" t="n"/>
      <c r="CL40" s="17" t="n"/>
      <c r="CM40" s="17" t="n"/>
      <c r="CN40" s="17" t="n"/>
      <c r="CO40" s="17" t="n"/>
      <c r="CP40" s="17" t="n"/>
      <c r="CQ40" s="17" t="n"/>
      <c r="CR40" s="17" t="n"/>
      <c r="CS40" s="17" t="n"/>
      <c r="CT40" s="17" t="n"/>
      <c r="CU40" s="17" t="n"/>
      <c r="CV40" s="17" t="n"/>
      <c r="CW40" s="17" t="n"/>
      <c r="CX40" s="17" t="n"/>
      <c r="CY40" s="17" t="n"/>
      <c r="CZ40" s="17" t="n"/>
      <c r="DA40" s="17" t="n"/>
      <c r="DB40" s="17" t="n"/>
      <c r="DC40" s="17" t="n"/>
      <c r="DD40" s="17" t="n"/>
      <c r="DE40" s="17" t="n"/>
      <c r="DF40" s="17" t="n"/>
      <c r="DG40" s="17" t="n"/>
      <c r="DH40" s="17" t="n"/>
      <c r="DI40" s="17" t="n"/>
      <c r="DJ40" s="17" t="n"/>
      <c r="DK40" s="17" t="n"/>
      <c r="DL40" s="17" t="n"/>
      <c r="DM40" s="17" t="n"/>
      <c r="DN40" s="17" t="n"/>
      <c r="DO40" s="17" t="n"/>
      <c r="DP40" s="17" t="n"/>
      <c r="DQ40" s="17" t="n"/>
      <c r="DR40" s="17" t="n"/>
      <c r="DS40" s="17" t="n"/>
      <c r="DT40" s="17" t="n"/>
      <c r="DU40" s="397" t="n"/>
      <c r="DV40" s="17" t="n"/>
      <c r="DW40" s="17" t="n"/>
      <c r="DX40" s="271" t="n"/>
      <c r="DY40" s="271" t="n"/>
      <c r="DZ40" s="271" t="n"/>
      <c r="FC40" s="17" t="n"/>
    </row>
    <row r="41" hidden="1" ht="18.75" customHeight="1">
      <c r="A41" s="32" t="inlineStr">
        <is>
          <t>SACOLAS OMNI BOTICÁRIO</t>
        </is>
      </c>
      <c r="B41" s="575" t="inlineStr">
        <is>
          <t>PC</t>
        </is>
      </c>
      <c r="C41" s="575" t="inlineStr">
        <is>
          <t>R$</t>
        </is>
      </c>
      <c r="D41" s="575" t="inlineStr">
        <is>
          <t>Estoque Ideal</t>
        </is>
      </c>
      <c r="F41" s="650" t="n">
        <v>46021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>
        <v>46083</v>
      </c>
      <c r="BP41" s="650" t="n">
        <v>46090</v>
      </c>
      <c r="BQ41" s="650" t="n">
        <v>46097</v>
      </c>
      <c r="BR41" s="650" t="n">
        <v>46104</v>
      </c>
      <c r="BS41" s="650" t="n">
        <v>46111</v>
      </c>
      <c r="BT41" s="650" t="n">
        <v>46118</v>
      </c>
      <c r="BU41" s="650" t="n">
        <v>46125</v>
      </c>
      <c r="BV41" s="650" t="n">
        <v>46132</v>
      </c>
      <c r="BW41" s="650" t="n">
        <v>46139</v>
      </c>
      <c r="BX41" s="650" t="n">
        <v>46146</v>
      </c>
      <c r="BY41" s="650" t="n">
        <v>14</v>
      </c>
      <c r="BZ41" s="650" t="n">
        <v>46160</v>
      </c>
      <c r="CA41" s="650" t="n">
        <v>46160</v>
      </c>
      <c r="CB41" s="652" t="inlineStr">
        <is>
          <t>USOU</t>
        </is>
      </c>
      <c r="CD41" s="413" t="inlineStr">
        <is>
          <t>TRANSFERÊNCIA</t>
        </is>
      </c>
      <c r="CE41" s="35" t="inlineStr">
        <is>
          <t>Pend.</t>
        </is>
      </c>
      <c r="CG41" s="12" t="inlineStr">
        <is>
          <t>Novo Pedido</t>
        </is>
      </c>
      <c r="CI41" s="654" t="n"/>
      <c r="CJ41" s="654" t="n"/>
      <c r="CK41" s="654" t="n">
        <v>46114</v>
      </c>
      <c r="CL41" s="654" t="n">
        <v>46107</v>
      </c>
      <c r="CM41" s="710" t="n">
        <v>46065</v>
      </c>
      <c r="CN41" s="654" t="n">
        <v>46099</v>
      </c>
      <c r="CO41" s="654" t="n">
        <v>46092</v>
      </c>
      <c r="CP41" s="711" t="n">
        <v>46045</v>
      </c>
      <c r="CQ41" s="654" t="n">
        <v>46084</v>
      </c>
      <c r="CR41" s="655" t="n">
        <v>46084</v>
      </c>
      <c r="CS41" s="654" t="n">
        <v>46077</v>
      </c>
      <c r="CT41" s="655" t="n">
        <v>46077</v>
      </c>
      <c r="CU41" s="654" t="n">
        <v>46071</v>
      </c>
      <c r="CV41" s="654" t="n">
        <v>46048</v>
      </c>
      <c r="CW41" s="654" t="n">
        <v>46043</v>
      </c>
      <c r="CX41" s="654" t="n">
        <v>46035</v>
      </c>
      <c r="CY41" s="654" t="n">
        <v>46029</v>
      </c>
      <c r="CZ41" s="655" t="n">
        <v>46043</v>
      </c>
      <c r="DA41" s="654" t="n">
        <v>46024</v>
      </c>
      <c r="DB41" s="654" t="n">
        <v>46029</v>
      </c>
      <c r="DC41" s="654" t="n">
        <v>46024</v>
      </c>
      <c r="DD41" s="654" t="n">
        <v>46372</v>
      </c>
      <c r="DE41" s="654" t="n">
        <v>46024</v>
      </c>
      <c r="DF41" s="654" t="n">
        <v>46017</v>
      </c>
      <c r="DG41" s="654" t="n">
        <v>46007</v>
      </c>
      <c r="DH41" s="654" t="n">
        <v>46001</v>
      </c>
      <c r="DI41" s="654" t="n">
        <v>46007</v>
      </c>
      <c r="DJ41" s="654" t="n">
        <v>46001</v>
      </c>
      <c r="DK41" s="654" t="n">
        <v>45994</v>
      </c>
      <c r="DL41" s="654" t="n">
        <v>45986</v>
      </c>
      <c r="DM41" s="654" t="n">
        <v>45980</v>
      </c>
      <c r="DN41" s="654" t="n">
        <v>45980</v>
      </c>
      <c r="DO41" s="654" t="n">
        <v>45973</v>
      </c>
      <c r="DP41" s="654" t="n">
        <v>45965</v>
      </c>
      <c r="DQ41" s="654" t="n">
        <v>45960</v>
      </c>
      <c r="DR41" s="654" t="n">
        <v>45945</v>
      </c>
      <c r="DS41" s="654" t="n">
        <v>45939</v>
      </c>
      <c r="DT41" s="654" t="n">
        <v>45931</v>
      </c>
      <c r="DU41" s="678" t="n">
        <v>45903</v>
      </c>
      <c r="DV41" s="654" t="n">
        <v>45923</v>
      </c>
      <c r="DW41" s="654" t="n">
        <v>45915</v>
      </c>
      <c r="DX41" s="655" t="n">
        <v>45931</v>
      </c>
      <c r="DY41" s="688" t="n">
        <v>45931</v>
      </c>
      <c r="DZ41" s="688" t="n">
        <v>45931</v>
      </c>
      <c r="EA41" s="18" t="n"/>
      <c r="EB41" s="18" t="n"/>
      <c r="EC41" s="18" t="n"/>
      <c r="ED41" s="18" t="n"/>
      <c r="EE41" s="18" t="n"/>
      <c r="EF41" s="18" t="n"/>
      <c r="EG41" s="18" t="n"/>
      <c r="EH41" s="18" t="n"/>
      <c r="EI41" s="154" t="inlineStr">
        <is>
          <t>20 DE ER PBE</t>
        </is>
      </c>
      <c r="EJ41" s="18" t="n"/>
      <c r="EK41" s="18" t="n"/>
      <c r="EL41" s="18" t="n"/>
      <c r="EM41" s="18" t="n"/>
      <c r="EN41" s="241" t="inlineStr">
        <is>
          <t>20 P/ CD</t>
        </is>
      </c>
      <c r="EO41" s="18" t="n"/>
      <c r="EP41" s="18" t="n"/>
      <c r="EQ41" s="18" t="n"/>
      <c r="ER41" s="18" t="n"/>
      <c r="ES41" s="18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/>
      <c r="FC41" s="18" t="n"/>
      <c r="FD41" s="256" t="n"/>
      <c r="FE41" s="18" t="n"/>
      <c r="FF41" s="18" t="n"/>
      <c r="FG41" s="256" t="n"/>
      <c r="FH41" s="18" t="n"/>
      <c r="FI41" s="18" t="n"/>
      <c r="FJ41" s="18" t="n"/>
      <c r="FK41" s="18" t="n"/>
      <c r="FL41" s="18" t="n"/>
      <c r="FM41" s="256" t="n"/>
      <c r="FN41" s="18" t="n"/>
      <c r="FO41" s="18" t="n"/>
      <c r="FP41" s="18" t="n"/>
      <c r="FQ41" s="18" t="n"/>
      <c r="FR41" s="18" t="n"/>
      <c r="FS41" s="18" t="n"/>
      <c r="FT41" s="18" t="n"/>
      <c r="FU41" s="18" t="n"/>
      <c r="FV41" s="256" t="n"/>
      <c r="FW41" s="18" t="n"/>
      <c r="FX41" s="18" t="n"/>
      <c r="FY41" s="18" t="n"/>
      <c r="FZ41" s="256" t="n"/>
      <c r="GA41" s="18" t="n"/>
      <c r="GB41" s="18" t="n"/>
      <c r="GC41" s="18" t="n"/>
      <c r="GD41" s="18" t="n"/>
      <c r="GE41" s="18" t="n"/>
      <c r="GF41" s="18" t="n"/>
      <c r="GG41" s="18" t="n">
        <v>50</v>
      </c>
      <c r="GH41" s="18" t="n"/>
      <c r="GI41" s="18" t="n"/>
      <c r="GJ41" s="18" t="n"/>
      <c r="GK41" s="18" t="n"/>
      <c r="GL41" s="18" t="n"/>
      <c r="GM41" s="18" t="n"/>
      <c r="GN41" s="18" t="n"/>
      <c r="GO41" s="18" t="n"/>
      <c r="GP41" s="18" t="n"/>
      <c r="GQ41" s="18" t="n"/>
    </row>
    <row r="42" hidden="1" ht="18.75" customHeight="1">
      <c r="A42" s="33" t="inlineStr">
        <is>
          <t>KIT OVERBAG OMNI P</t>
        </is>
      </c>
      <c r="B42" s="9" t="n">
        <v>25</v>
      </c>
      <c r="C42" s="662" t="n">
        <v>41.75</v>
      </c>
      <c r="D42" s="329" t="n">
        <v>10</v>
      </c>
      <c r="F42" s="9" t="n">
        <v>0</v>
      </c>
      <c r="G42" s="9" t="n">
        <v>0</v>
      </c>
      <c r="H42" s="9" t="n">
        <v>0</v>
      </c>
      <c r="I42" s="9" t="n">
        <v>0</v>
      </c>
      <c r="J42" s="9" t="n">
        <v>0</v>
      </c>
      <c r="K42" s="9">
        <f>0+GG41</f>
        <v/>
      </c>
      <c r="L42" s="9" t="n">
        <v>50</v>
      </c>
      <c r="M42" s="9" t="n">
        <v>50</v>
      </c>
      <c r="N42" s="9" t="n">
        <v>50</v>
      </c>
      <c r="O42" s="9" t="n">
        <v>50</v>
      </c>
      <c r="P42" s="9" t="n">
        <v>50</v>
      </c>
      <c r="Q42" s="9" t="n">
        <v>50</v>
      </c>
      <c r="R42" s="9" t="n">
        <v>50</v>
      </c>
      <c r="S42" s="9" t="n">
        <v>50</v>
      </c>
      <c r="T42" s="9" t="n">
        <v>50</v>
      </c>
      <c r="U42" s="9" t="n">
        <v>50</v>
      </c>
      <c r="V42" s="9" t="n">
        <v>50</v>
      </c>
      <c r="W42" s="9" t="n">
        <v>50</v>
      </c>
      <c r="X42" s="9" t="n">
        <v>50</v>
      </c>
      <c r="Y42" s="9" t="n">
        <v>40</v>
      </c>
      <c r="Z42" s="9" t="n">
        <v>40</v>
      </c>
      <c r="AA42" s="9" t="n">
        <v>40</v>
      </c>
      <c r="AB42" s="9" t="n">
        <v>40</v>
      </c>
      <c r="AC42" s="9" t="n">
        <v>40</v>
      </c>
      <c r="AD42" s="9" t="n">
        <v>36</v>
      </c>
      <c r="AE42" s="9" t="n">
        <v>36</v>
      </c>
      <c r="AF42" s="9" t="n">
        <v>36</v>
      </c>
      <c r="AG42" s="9" t="n">
        <v>35</v>
      </c>
      <c r="AH42" s="9" t="n">
        <v>35</v>
      </c>
      <c r="AI42" s="9">
        <f>35-20</f>
        <v/>
      </c>
      <c r="AJ42" s="9" t="n">
        <v>16</v>
      </c>
      <c r="AK42" s="9" t="n">
        <v>16</v>
      </c>
      <c r="AL42" s="9">
        <f>16+20</f>
        <v/>
      </c>
      <c r="AM42" s="9" t="n">
        <v>36</v>
      </c>
      <c r="AN42" s="9" t="n">
        <v>36</v>
      </c>
      <c r="AO42" s="9" t="n">
        <v>35</v>
      </c>
      <c r="AP42" s="9" t="n">
        <v>10</v>
      </c>
      <c r="AQ42" s="9" t="n">
        <v>10</v>
      </c>
      <c r="AR42" s="9" t="n">
        <v>10</v>
      </c>
      <c r="AS42" s="9" t="n">
        <v>10</v>
      </c>
      <c r="AT42" s="190" t="n">
        <v>35</v>
      </c>
      <c r="AU42" s="9" t="n">
        <v>35</v>
      </c>
      <c r="AV42" s="9" t="n">
        <v>35</v>
      </c>
      <c r="AW42" s="9" t="n">
        <v>35</v>
      </c>
      <c r="AX42" s="9" t="n">
        <v>35</v>
      </c>
      <c r="AY42" s="9" t="n">
        <v>35</v>
      </c>
      <c r="AZ42" s="9" t="n">
        <v>35</v>
      </c>
      <c r="BA42" s="9" t="n">
        <v>35</v>
      </c>
      <c r="BB42" s="9" t="n">
        <v>26</v>
      </c>
      <c r="BC42" s="9" t="n">
        <v>25</v>
      </c>
      <c r="BD42" s="9" t="n">
        <v>25</v>
      </c>
      <c r="BE42" s="9" t="n">
        <v>25</v>
      </c>
      <c r="BF42" s="9" t="n">
        <v>25</v>
      </c>
      <c r="BG42" s="9" t="n">
        <v>25</v>
      </c>
      <c r="BH42" s="9" t="n">
        <v>25</v>
      </c>
      <c r="BI42" s="9" t="n">
        <v>25</v>
      </c>
      <c r="BJ42" s="9" t="n">
        <v>25</v>
      </c>
      <c r="BK42" s="9" t="n">
        <v>25</v>
      </c>
      <c r="BL42" s="9" t="n">
        <v>25</v>
      </c>
      <c r="BM42" s="9" t="n">
        <v>25</v>
      </c>
      <c r="BN42" s="9" t="n">
        <v>25</v>
      </c>
      <c r="BO42" s="9" t="n">
        <v>25</v>
      </c>
      <c r="BP42" s="9" t="n">
        <v>25</v>
      </c>
      <c r="BQ42" s="190" t="n">
        <v>0</v>
      </c>
      <c r="BR42" s="9" t="n">
        <v>0</v>
      </c>
      <c r="BS42" s="9" t="n">
        <v>0</v>
      </c>
      <c r="BT42" s="9" t="n">
        <v>0</v>
      </c>
      <c r="BU42" s="9" t="n">
        <v>0</v>
      </c>
      <c r="BV42" s="9" t="n">
        <v>0</v>
      </c>
      <c r="BW42" s="9" t="n">
        <v>0</v>
      </c>
      <c r="BX42" s="9" t="n">
        <v>0</v>
      </c>
      <c r="BY42" s="9" t="n">
        <v>21</v>
      </c>
      <c r="BZ42" s="9" t="n"/>
      <c r="CA42" s="9" t="n"/>
      <c r="CB42" s="156">
        <f>BZ42+IF(NOT(ISBLANK(OFFSET(CB42,0,6))),N(OFFSET(CB42,0,6)),N(OFFSET(CB42,0,7)))-CA42</f>
        <v/>
      </c>
      <c r="CD42" s="127" t="n"/>
      <c r="CE42" s="127" t="n"/>
      <c r="CG42" s="27" t="n"/>
      <c r="CI42" s="18" t="n">
        <v>0</v>
      </c>
      <c r="CJ42" s="18" t="n">
        <v>0</v>
      </c>
      <c r="CK42" s="18" t="n"/>
      <c r="CL42" s="18" t="n"/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256" t="n"/>
      <c r="DY42" s="256" t="n"/>
      <c r="DZ42" s="256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18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256" t="n"/>
      <c r="FE42" s="18" t="n"/>
      <c r="FF42" s="18" t="n"/>
      <c r="FG42" s="256" t="n"/>
      <c r="FH42" s="18" t="n"/>
      <c r="FI42" s="18" t="n"/>
      <c r="FJ42" s="18" t="n"/>
      <c r="FK42" s="18" t="n"/>
      <c r="FL42" s="18" t="n"/>
      <c r="FM42" s="256" t="n"/>
      <c r="FN42" s="18" t="n"/>
      <c r="FO42" s="18" t="n"/>
      <c r="FP42" s="18" t="n"/>
      <c r="FQ42" s="18" t="n"/>
      <c r="FR42" s="18" t="n"/>
      <c r="FS42" s="18" t="n"/>
      <c r="FT42" s="18" t="n"/>
      <c r="FU42" s="18" t="n"/>
      <c r="FV42" s="256" t="n"/>
      <c r="FW42" s="18" t="n"/>
      <c r="FX42" s="18" t="n"/>
      <c r="FY42" s="18" t="n"/>
      <c r="FZ42" s="256" t="n"/>
      <c r="GA42" s="18" t="n"/>
      <c r="GB42" s="18" t="n"/>
      <c r="GC42" s="18" t="n"/>
      <c r="GD42" s="18" t="n"/>
      <c r="GE42" s="18" t="n"/>
      <c r="GF42" s="18" t="n"/>
      <c r="GG42" s="18" t="n">
        <v>50</v>
      </c>
      <c r="GH42" s="18" t="n"/>
      <c r="GI42" s="18" t="n"/>
      <c r="GJ42" s="18" t="n"/>
      <c r="GK42" s="18" t="n"/>
      <c r="GL42" s="18" t="n"/>
      <c r="GM42" s="18" t="n"/>
      <c r="GN42" s="18" t="n"/>
      <c r="GO42" s="18" t="n"/>
      <c r="GP42" s="18" t="n"/>
      <c r="GQ42" s="18" t="n"/>
    </row>
    <row r="43" hidden="1" ht="18.75" customHeight="1">
      <c r="A43" s="33" t="inlineStr">
        <is>
          <t>KIT OVERBAG OMNI M</t>
        </is>
      </c>
      <c r="B43" s="9" t="n">
        <v>25</v>
      </c>
      <c r="C43" s="662" t="n">
        <v>57</v>
      </c>
      <c r="D43" s="329" t="n">
        <v>10</v>
      </c>
      <c r="F43" s="38" t="n">
        <v>0</v>
      </c>
      <c r="G43" s="38" t="n">
        <v>0</v>
      </c>
      <c r="H43" s="38" t="n">
        <v>0</v>
      </c>
      <c r="I43" s="38" t="n">
        <v>0</v>
      </c>
      <c r="J43" s="38" t="n">
        <v>0</v>
      </c>
      <c r="K43" s="38">
        <f>0+GG42</f>
        <v/>
      </c>
      <c r="L43" s="38" t="n">
        <v>50</v>
      </c>
      <c r="M43" s="38" t="n">
        <v>50</v>
      </c>
      <c r="N43" s="38" t="n">
        <v>50</v>
      </c>
      <c r="O43" s="38" t="n">
        <v>50</v>
      </c>
      <c r="P43" s="38" t="n">
        <v>50</v>
      </c>
      <c r="Q43" s="38" t="n">
        <v>50</v>
      </c>
      <c r="R43" s="38" t="n">
        <v>50</v>
      </c>
      <c r="S43" s="38" t="n">
        <v>50</v>
      </c>
      <c r="T43" s="38" t="n">
        <v>50</v>
      </c>
      <c r="U43" s="38" t="n">
        <v>50</v>
      </c>
      <c r="V43" s="38" t="n">
        <v>50</v>
      </c>
      <c r="W43" s="38" t="n">
        <v>51</v>
      </c>
      <c r="X43" s="38" t="n">
        <v>51</v>
      </c>
      <c r="Y43" s="38" t="n">
        <v>51</v>
      </c>
      <c r="Z43" s="38" t="n">
        <v>51</v>
      </c>
      <c r="AA43" s="38" t="n">
        <v>51</v>
      </c>
      <c r="AB43" s="38" t="n">
        <v>51</v>
      </c>
      <c r="AC43" s="38" t="n">
        <v>51</v>
      </c>
      <c r="AD43" s="38" t="n">
        <v>51</v>
      </c>
      <c r="AE43" s="38" t="n">
        <v>51</v>
      </c>
      <c r="AF43" s="38" t="n">
        <v>51</v>
      </c>
      <c r="AG43" s="38" t="n">
        <v>51</v>
      </c>
      <c r="AH43" s="38" t="n">
        <v>51</v>
      </c>
      <c r="AI43" s="38" t="n">
        <v>51</v>
      </c>
      <c r="AJ43" s="38" t="n">
        <v>51</v>
      </c>
      <c r="AK43" s="38" t="n">
        <v>51</v>
      </c>
      <c r="AL43" s="38" t="n">
        <v>51</v>
      </c>
      <c r="AM43" s="38" t="n">
        <v>51</v>
      </c>
      <c r="AN43" s="38" t="n">
        <v>51</v>
      </c>
      <c r="AO43" s="38" t="n">
        <v>51</v>
      </c>
      <c r="AP43" s="38" t="n">
        <v>50</v>
      </c>
      <c r="AQ43" s="38" t="n">
        <v>50</v>
      </c>
      <c r="AR43" s="38" t="n">
        <v>50</v>
      </c>
      <c r="AS43" s="38" t="n">
        <v>50</v>
      </c>
      <c r="AT43" s="38" t="n">
        <v>51</v>
      </c>
      <c r="AU43" s="38" t="n">
        <v>51</v>
      </c>
      <c r="AV43" s="38" t="n">
        <v>41</v>
      </c>
      <c r="AW43" s="38" t="n">
        <v>41</v>
      </c>
      <c r="AX43" s="38" t="n">
        <v>41</v>
      </c>
      <c r="AY43" s="38" t="n">
        <v>41</v>
      </c>
      <c r="AZ43" s="38" t="n">
        <v>41</v>
      </c>
      <c r="BA43" s="38" t="n">
        <v>41</v>
      </c>
      <c r="BB43" s="38" t="n">
        <v>41</v>
      </c>
      <c r="BC43" s="38" t="n">
        <v>41</v>
      </c>
      <c r="BD43" s="38" t="n">
        <v>41</v>
      </c>
      <c r="BE43" s="38" t="n">
        <v>0</v>
      </c>
      <c r="BF43" s="38" t="n">
        <v>0</v>
      </c>
      <c r="BG43" s="38" t="n">
        <v>0</v>
      </c>
      <c r="BH43" s="38" t="n">
        <v>0</v>
      </c>
      <c r="BI43" s="38" t="n">
        <v>0</v>
      </c>
      <c r="BJ43" s="38" t="n">
        <v>0</v>
      </c>
      <c r="BK43" s="38" t="n">
        <v>0</v>
      </c>
      <c r="BL43" s="38" t="n">
        <v>0</v>
      </c>
      <c r="BM43" s="38" t="n">
        <v>0</v>
      </c>
      <c r="BN43" s="38" t="n">
        <v>0</v>
      </c>
      <c r="BO43" s="38" t="n">
        <v>0</v>
      </c>
      <c r="BP43" s="38" t="n">
        <v>0</v>
      </c>
      <c r="BQ43" s="38" t="n">
        <v>0</v>
      </c>
      <c r="BR43" s="38" t="n">
        <v>0</v>
      </c>
      <c r="BS43" s="38" t="n">
        <v>0</v>
      </c>
      <c r="BT43" s="38" t="n">
        <v>0</v>
      </c>
      <c r="BU43" s="38" t="n">
        <v>0</v>
      </c>
      <c r="BV43" s="38" t="n">
        <v>0</v>
      </c>
      <c r="BW43" s="38" t="n">
        <v>0</v>
      </c>
      <c r="BX43" s="38" t="n">
        <v>0</v>
      </c>
      <c r="BY43" s="38" t="n">
        <v>13</v>
      </c>
      <c r="BZ43" s="38" t="n"/>
      <c r="CA43" s="38" t="n"/>
      <c r="CB43" s="156">
        <f>BZ43+IF(NOT(ISBLANK(OFFSET(CB43,0,6))),N(OFFSET(CB43,0,6)),N(OFFSET(CB43,0,7)))-CA43</f>
        <v/>
      </c>
      <c r="CD43" s="19" t="n"/>
      <c r="CE43" s="19" t="n"/>
      <c r="CG43" s="27" t="n"/>
      <c r="CI43" s="18" t="n">
        <v>0</v>
      </c>
      <c r="CJ43" s="18" t="n">
        <v>0</v>
      </c>
      <c r="CK43" s="18" t="n"/>
      <c r="CL43" s="18" t="n"/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  <c r="DU43" s="18" t="n"/>
      <c r="DV43" s="18" t="n"/>
      <c r="DW43" s="18" t="n"/>
      <c r="DX43" s="256" t="n"/>
      <c r="DY43" s="256" t="n"/>
      <c r="DZ43" s="256" t="n"/>
    </row>
    <row r="44" hidden="1" ht="18.75" customHeight="1">
      <c r="B44" s="53" t="n"/>
      <c r="C44" s="53" t="n"/>
      <c r="D44" s="53" t="n"/>
      <c r="CB44" s="53" t="n"/>
      <c r="CG44" s="6" t="n"/>
      <c r="DX44" s="271" t="n"/>
      <c r="DY44" s="271" t="n"/>
      <c r="DZ44" s="271" t="n"/>
      <c r="EA44" s="654" t="n">
        <v>45903</v>
      </c>
      <c r="EB44" s="654" t="n">
        <v>45909</v>
      </c>
      <c r="EC44" s="654" t="n">
        <v>45903</v>
      </c>
      <c r="ED44" s="654" t="n">
        <v>45903</v>
      </c>
      <c r="EE44" s="654" t="n">
        <v>45895</v>
      </c>
      <c r="EF44" s="679" t="n">
        <v>45896</v>
      </c>
      <c r="EG44" s="654" t="n">
        <v>45888</v>
      </c>
      <c r="EH44" s="654" t="n">
        <v>45881</v>
      </c>
      <c r="EI44" s="655" t="n">
        <v>45882</v>
      </c>
      <c r="EJ44" s="654" t="n">
        <v>45874</v>
      </c>
      <c r="EK44" s="654" t="n">
        <v>45867</v>
      </c>
      <c r="EL44" s="654" t="n">
        <v>45860</v>
      </c>
      <c r="EM44" s="654" t="n">
        <v>45853</v>
      </c>
      <c r="EN44" s="655" t="n">
        <v>45860</v>
      </c>
      <c r="EO44" s="681" t="n">
        <v>45855</v>
      </c>
      <c r="EP44" s="654" t="n">
        <v>45848</v>
      </c>
      <c r="EQ44" s="681" t="n">
        <v>45853</v>
      </c>
      <c r="ER44" s="654" t="n">
        <v>45839</v>
      </c>
      <c r="ES44" s="681" t="n">
        <v>45791</v>
      </c>
      <c r="ET44" s="654" t="n">
        <v>45832</v>
      </c>
      <c r="EU44" s="654" t="n">
        <v>45825</v>
      </c>
      <c r="EV44" s="655" t="n">
        <v>45826</v>
      </c>
      <c r="EW44" s="654" t="n">
        <v>45819</v>
      </c>
      <c r="EX44" s="655" t="n">
        <v>45819</v>
      </c>
      <c r="EY44" s="655" t="n">
        <v>45818</v>
      </c>
      <c r="EZ44" s="655" t="n">
        <v>45807</v>
      </c>
      <c r="FA44" s="654" t="n">
        <v>45790</v>
      </c>
      <c r="FB44" s="654" t="n">
        <v>45798</v>
      </c>
      <c r="FC44" s="690" t="n">
        <v>45800</v>
      </c>
      <c r="FD44" s="650" t="n">
        <v>45799</v>
      </c>
      <c r="FE44" s="655" t="n">
        <v>45799</v>
      </c>
      <c r="FF44" s="690" t="n">
        <v>45799</v>
      </c>
      <c r="FG44" s="650" t="n">
        <v>45798</v>
      </c>
      <c r="FH44" s="655" t="n">
        <v>45798</v>
      </c>
      <c r="FI44" s="655" t="n">
        <v>45797</v>
      </c>
      <c r="FJ44" s="655" t="n">
        <v>45794</v>
      </c>
      <c r="FK44" s="654" t="n">
        <v>45790</v>
      </c>
      <c r="FL44" s="683" t="n">
        <v>45735</v>
      </c>
      <c r="FM44" s="650" t="n">
        <v>45786</v>
      </c>
      <c r="FN44" s="654" t="n">
        <v>45783</v>
      </c>
      <c r="FO44" s="654" t="n">
        <v>45770</v>
      </c>
      <c r="FP44" s="654" t="n">
        <v>45775</v>
      </c>
      <c r="FQ44" s="654" t="n">
        <v>45770</v>
      </c>
      <c r="FR44" s="655" t="n">
        <v>45775</v>
      </c>
      <c r="FS44" s="654" t="n">
        <v>45756</v>
      </c>
      <c r="FT44" s="654" t="n">
        <v>45749</v>
      </c>
      <c r="FU44" s="654" t="n">
        <v>45743</v>
      </c>
      <c r="FV44" s="650" t="n">
        <v>45740</v>
      </c>
      <c r="FW44" s="654" t="n">
        <v>45728</v>
      </c>
      <c r="FX44" s="654" t="n">
        <v>45714</v>
      </c>
      <c r="FY44" s="654" t="n">
        <v>45706</v>
      </c>
      <c r="FZ44" s="650" t="n">
        <v>45700</v>
      </c>
      <c r="GA44" s="654" t="n">
        <v>45706</v>
      </c>
      <c r="GB44" s="654" t="n">
        <v>45699</v>
      </c>
      <c r="GC44" s="655" t="n">
        <v>45706</v>
      </c>
      <c r="GD44" s="654" t="n">
        <v>45693</v>
      </c>
      <c r="GE44" s="654" t="n">
        <v>45693</v>
      </c>
      <c r="GF44" s="654" t="n">
        <v>45685</v>
      </c>
      <c r="GG44" s="654" t="n">
        <v>45685</v>
      </c>
      <c r="GH44" s="712" t="n">
        <v>45692</v>
      </c>
      <c r="GI44" s="655" t="n">
        <v>45691</v>
      </c>
      <c r="GJ44" s="655" t="n">
        <v>45681</v>
      </c>
      <c r="GK44" s="655" t="n">
        <v>45672</v>
      </c>
      <c r="GL44" s="654" t="n">
        <v>45664</v>
      </c>
      <c r="GM44" s="654" t="n">
        <v>45660</v>
      </c>
      <c r="GN44" s="654" t="n">
        <v>45660</v>
      </c>
      <c r="GO44" s="654" t="n">
        <v>46017</v>
      </c>
      <c r="GP44" s="654" t="n">
        <v>45643</v>
      </c>
      <c r="GQ44" s="654" t="n">
        <v>45638</v>
      </c>
    </row>
    <row r="45" ht="18.75" customFormat="1" customHeight="1" s="3">
      <c r="A45" s="586" t="inlineStr">
        <is>
          <t>SACOLAS/SACO/DIVERSOS OUI</t>
        </is>
      </c>
      <c r="B45" s="133" t="inlineStr">
        <is>
          <t>PC</t>
        </is>
      </c>
      <c r="C45" s="133" t="inlineStr">
        <is>
          <t>R$</t>
        </is>
      </c>
      <c r="D45" s="133" t="n"/>
      <c r="F45" s="650" t="n">
        <v>46021</v>
      </c>
      <c r="G45" s="650" t="n">
        <v>45663</v>
      </c>
      <c r="H45" s="650" t="n">
        <v>45670</v>
      </c>
      <c r="I45" s="650" t="n">
        <v>45677</v>
      </c>
      <c r="J45" s="650" t="n">
        <v>45684</v>
      </c>
      <c r="K45" s="650" t="n">
        <v>45691</v>
      </c>
      <c r="L45" s="650" t="n">
        <v>45698</v>
      </c>
      <c r="M45" s="650" t="n">
        <v>45705</v>
      </c>
      <c r="N45" s="650" t="n">
        <v>45712</v>
      </c>
      <c r="O45" s="650" t="n">
        <v>45719</v>
      </c>
      <c r="P45" s="650" t="n">
        <v>45726</v>
      </c>
      <c r="Q45" s="650" t="n">
        <v>45733</v>
      </c>
      <c r="R45" s="650" t="n">
        <v>45740</v>
      </c>
      <c r="S45" s="650" t="n">
        <v>45747</v>
      </c>
      <c r="T45" s="650" t="n">
        <v>45754</v>
      </c>
      <c r="U45" s="650" t="n">
        <v>45761</v>
      </c>
      <c r="V45" s="650" t="n">
        <v>45768</v>
      </c>
      <c r="W45" s="650" t="n">
        <v>45775</v>
      </c>
      <c r="X45" s="650" t="n">
        <v>45782</v>
      </c>
      <c r="Y45" s="650" t="n">
        <v>45789</v>
      </c>
      <c r="Z45" s="650" t="n">
        <v>45796</v>
      </c>
      <c r="AA45" s="650" t="n">
        <v>45803</v>
      </c>
      <c r="AB45" s="650" t="n">
        <v>45810</v>
      </c>
      <c r="AC45" s="650" t="n">
        <v>45817</v>
      </c>
      <c r="AD45" s="650" t="n">
        <v>45824</v>
      </c>
      <c r="AE45" s="650" t="n">
        <v>45831</v>
      </c>
      <c r="AF45" s="650" t="n">
        <v>45838</v>
      </c>
      <c r="AG45" s="650" t="n">
        <v>45845</v>
      </c>
      <c r="AH45" s="650" t="n">
        <v>45852</v>
      </c>
      <c r="AI45" s="650" t="n">
        <v>45859</v>
      </c>
      <c r="AJ45" s="650" t="n">
        <v>45866</v>
      </c>
      <c r="AK45" s="650" t="n">
        <v>45873</v>
      </c>
      <c r="AL45" s="650" t="n">
        <v>45880</v>
      </c>
      <c r="AM45" s="650" t="n">
        <v>45887</v>
      </c>
      <c r="AN45" s="650" t="n">
        <v>45894</v>
      </c>
      <c r="AO45" s="650" t="n">
        <v>45901</v>
      </c>
      <c r="AP45" s="650" t="n">
        <v>45908</v>
      </c>
      <c r="AQ45" s="650" t="n">
        <v>45915</v>
      </c>
      <c r="AR45" s="650" t="n">
        <v>45922</v>
      </c>
      <c r="AS45" s="650" t="n">
        <v>45929</v>
      </c>
      <c r="AT45" s="650" t="n">
        <v>45936</v>
      </c>
      <c r="AU45" s="650" t="n">
        <v>45943</v>
      </c>
      <c r="AV45" s="650" t="n">
        <v>45950</v>
      </c>
      <c r="AW45" s="650" t="n">
        <v>45957</v>
      </c>
      <c r="AX45" s="650" t="n">
        <v>45964</v>
      </c>
      <c r="AY45" s="650" t="n">
        <v>45971</v>
      </c>
      <c r="AZ45" s="650" t="n">
        <v>45978</v>
      </c>
      <c r="BA45" s="650" t="n">
        <v>45985</v>
      </c>
      <c r="BB45" s="650" t="n">
        <v>45992</v>
      </c>
      <c r="BC45" s="650" t="n">
        <v>45999</v>
      </c>
      <c r="BD45" s="650" t="n">
        <v>46006</v>
      </c>
      <c r="BE45" s="650" t="n">
        <v>46013</v>
      </c>
      <c r="BF45" s="650" t="n">
        <v>46020</v>
      </c>
      <c r="BG45" s="650" t="n">
        <v>46027</v>
      </c>
      <c r="BH45" s="650" t="n">
        <v>46034</v>
      </c>
      <c r="BI45" s="650" t="n">
        <v>46041</v>
      </c>
      <c r="BJ45" s="650" t="n">
        <v>46048</v>
      </c>
      <c r="BK45" s="650" t="n">
        <v>46055</v>
      </c>
      <c r="BL45" s="650" t="n">
        <v>46062</v>
      </c>
      <c r="BM45" s="650" t="n">
        <v>46069</v>
      </c>
      <c r="BN45" s="650" t="n">
        <v>46076</v>
      </c>
      <c r="BO45" s="650" t="n">
        <v>46083</v>
      </c>
      <c r="BP45" s="650" t="n">
        <v>46090</v>
      </c>
      <c r="BQ45" s="650" t="n">
        <v>46097</v>
      </c>
      <c r="BR45" s="650" t="n">
        <v>46104</v>
      </c>
      <c r="BS45" s="650" t="n">
        <v>46111</v>
      </c>
      <c r="BT45" s="650" t="n">
        <v>46118</v>
      </c>
      <c r="BU45" s="650" t="n">
        <v>46125</v>
      </c>
      <c r="BV45" s="650" t="n">
        <v>46132</v>
      </c>
      <c r="BW45" s="650" t="n">
        <v>46139</v>
      </c>
      <c r="BX45" s="650" t="n">
        <v>46146</v>
      </c>
      <c r="BY45" s="650" t="n">
        <v>46154</v>
      </c>
      <c r="BZ45" s="650" t="n">
        <v>46160</v>
      </c>
      <c r="CA45" s="650" t="n">
        <v>46160</v>
      </c>
      <c r="CB45" s="652" t="inlineStr">
        <is>
          <t>USOU</t>
        </is>
      </c>
      <c r="CC45" s="6" t="n"/>
      <c r="CD45" s="413" t="inlineStr">
        <is>
          <t>TRANSFERÊNCIA</t>
        </is>
      </c>
      <c r="CE45" s="35" t="inlineStr">
        <is>
          <t>Pend.</t>
        </is>
      </c>
      <c r="CF45" s="49" t="n"/>
      <c r="CG45" s="12" t="inlineStr">
        <is>
          <t>Novo Pedido</t>
        </is>
      </c>
      <c r="CH45" s="49" t="n"/>
      <c r="CI45" s="654" t="n"/>
      <c r="CJ45" s="654" t="n">
        <v>46149</v>
      </c>
      <c r="CK45" s="654" t="n">
        <v>46114</v>
      </c>
      <c r="CL45" s="654" t="n">
        <v>46107</v>
      </c>
      <c r="CM45" s="710" t="n">
        <v>46065</v>
      </c>
      <c r="CN45" s="654" t="n">
        <v>46099</v>
      </c>
      <c r="CO45" s="654" t="n">
        <v>46092</v>
      </c>
      <c r="CP45" s="711" t="n">
        <v>46045</v>
      </c>
      <c r="CQ45" s="654" t="n">
        <v>46084</v>
      </c>
      <c r="CR45" s="655" t="n">
        <v>46084</v>
      </c>
      <c r="CS45" s="654" t="n">
        <v>46077</v>
      </c>
      <c r="CT45" s="655" t="n">
        <v>46077</v>
      </c>
      <c r="CU45" s="654" t="n">
        <v>46071</v>
      </c>
      <c r="CV45" s="654" t="n">
        <v>46048</v>
      </c>
      <c r="CW45" s="654" t="n">
        <v>46043</v>
      </c>
      <c r="CX45" s="654" t="n">
        <v>46035</v>
      </c>
      <c r="CY45" s="654" t="n">
        <v>46029</v>
      </c>
      <c r="CZ45" s="655" t="n">
        <v>46043</v>
      </c>
      <c r="DA45" s="654" t="n">
        <v>46024</v>
      </c>
      <c r="DB45" s="654" t="n">
        <v>46029</v>
      </c>
      <c r="DC45" s="654" t="n">
        <v>46024</v>
      </c>
      <c r="DD45" s="654" t="n">
        <v>46372</v>
      </c>
      <c r="DE45" s="654" t="n">
        <v>46024</v>
      </c>
      <c r="DF45" s="654" t="n">
        <v>46017</v>
      </c>
      <c r="DG45" s="654" t="n">
        <v>46007</v>
      </c>
      <c r="DH45" s="654" t="n">
        <v>46001</v>
      </c>
      <c r="DI45" s="654" t="n">
        <v>46007</v>
      </c>
      <c r="DJ45" s="654" t="n">
        <v>46001</v>
      </c>
      <c r="DK45" s="654" t="n">
        <v>45994</v>
      </c>
      <c r="DL45" s="654" t="n">
        <v>45986</v>
      </c>
      <c r="DM45" s="654" t="n">
        <v>45980</v>
      </c>
      <c r="DN45" s="654" t="n">
        <v>45980</v>
      </c>
      <c r="DO45" s="654" t="n">
        <v>45973</v>
      </c>
      <c r="DP45" s="654" t="n">
        <v>45965</v>
      </c>
      <c r="DQ45" s="654" t="n">
        <v>45960</v>
      </c>
      <c r="DR45" s="654" t="n">
        <v>45945</v>
      </c>
      <c r="DS45" s="654" t="n">
        <v>45939</v>
      </c>
      <c r="DT45" s="654" t="n">
        <v>45931</v>
      </c>
      <c r="DU45" s="678" t="n">
        <v>45903</v>
      </c>
      <c r="DV45" s="654" t="n">
        <v>45923</v>
      </c>
      <c r="DW45" s="654" t="n">
        <v>45915</v>
      </c>
      <c r="DX45" s="655" t="n">
        <v>45931</v>
      </c>
      <c r="DY45" s="688" t="n">
        <v>45931</v>
      </c>
      <c r="DZ45" s="688" t="n">
        <v>45931</v>
      </c>
      <c r="EA45" s="18" t="n"/>
      <c r="EB45" s="18" t="n"/>
      <c r="EC45" s="18" t="n"/>
      <c r="ED45" s="18" t="n"/>
      <c r="EE45" s="18" t="n"/>
      <c r="EF45" s="18" t="n"/>
      <c r="EG45" s="18" t="n"/>
      <c r="EH45" s="18" t="n"/>
      <c r="EI45" s="18" t="n"/>
      <c r="EJ45" s="18" t="n"/>
      <c r="EK45" s="18" t="n"/>
      <c r="EL45" s="18" t="n"/>
      <c r="EM45" s="18" t="n"/>
      <c r="EN45" s="18" t="n"/>
      <c r="EO45" s="18" t="n"/>
      <c r="EP45" s="18" t="n"/>
      <c r="EQ45" s="18" t="n"/>
      <c r="ER45" s="18" t="n"/>
      <c r="ES45" s="18" t="n"/>
      <c r="ET45" s="18" t="n"/>
      <c r="EU45" s="18" t="n"/>
      <c r="EV45" s="732" t="n"/>
      <c r="EW45" s="18" t="n"/>
      <c r="EX45" s="732" t="n"/>
      <c r="EY45" s="732" t="n"/>
      <c r="EZ45" s="732" t="n"/>
      <c r="FA45" s="18" t="n"/>
      <c r="FB45" s="18" t="n"/>
      <c r="FC45" s="732" t="n"/>
      <c r="FD45" s="256" t="n"/>
      <c r="FE45" s="732" t="n"/>
      <c r="FF45" s="732" t="n"/>
      <c r="FG45" s="256" t="n"/>
      <c r="FH45" s="732" t="n"/>
      <c r="FI45" s="732" t="n"/>
      <c r="FJ45" s="732" t="n"/>
      <c r="FK45" s="18" t="n"/>
      <c r="FL45" s="732" t="n"/>
      <c r="FM45" s="256" t="n"/>
      <c r="FN45" s="18" t="n"/>
      <c r="FO45" s="18" t="n"/>
      <c r="FP45" s="18" t="n"/>
      <c r="FQ45" s="18" t="n"/>
      <c r="FR45" s="18" t="n"/>
      <c r="FS45" s="18" t="n"/>
      <c r="FT45" s="18" t="n"/>
      <c r="FU45" s="18" t="n"/>
      <c r="FV45" s="256" t="n"/>
      <c r="FW45" s="18" t="n"/>
      <c r="FX45" s="18" t="n"/>
      <c r="FY45" s="18" t="n"/>
      <c r="FZ45" s="256" t="n"/>
      <c r="GA45" s="18" t="n"/>
      <c r="GB45" s="18" t="n"/>
      <c r="GC45" s="18" t="n"/>
      <c r="GD45" s="18" t="n">
        <v>150</v>
      </c>
      <c r="GE45" s="18" t="n"/>
      <c r="GF45" s="18" t="n"/>
      <c r="GG45" s="18" t="n"/>
      <c r="GH45" s="18" t="n"/>
      <c r="GI45" s="18" t="n"/>
      <c r="GJ45" s="18" t="n"/>
      <c r="GK45" s="18" t="n"/>
      <c r="GL45" s="18" t="n"/>
      <c r="GM45" s="18" t="n"/>
      <c r="GN45" s="18" t="n"/>
      <c r="GO45" s="18" t="n"/>
      <c r="GP45" s="18" t="n"/>
      <c r="GQ45" s="18" t="n"/>
    </row>
    <row r="46" ht="18.75" customFormat="1" customHeight="1" s="3">
      <c r="A46" s="43" t="inlineStr">
        <is>
          <t>SACOLA P OUI</t>
        </is>
      </c>
      <c r="B46" s="36" t="n">
        <v>150</v>
      </c>
      <c r="C46" s="668" t="n">
        <v>469.25</v>
      </c>
      <c r="D46" s="329" t="n">
        <v>15</v>
      </c>
      <c r="F46" s="38" t="n">
        <v>0</v>
      </c>
      <c r="G46" s="38" t="n">
        <v>0</v>
      </c>
      <c r="H46" s="38" t="n">
        <v>0</v>
      </c>
      <c r="I46" s="38" t="n">
        <v>0</v>
      </c>
      <c r="J46" s="38" t="n">
        <v>0</v>
      </c>
      <c r="K46" s="38" t="n">
        <v>0</v>
      </c>
      <c r="L46" s="38" t="n">
        <v>0</v>
      </c>
      <c r="M46" s="38" t="n">
        <v>151</v>
      </c>
      <c r="N46" s="38" t="n">
        <v>151</v>
      </c>
      <c r="O46" s="38" t="n">
        <v>151</v>
      </c>
      <c r="P46" s="38" t="n">
        <v>151</v>
      </c>
      <c r="Q46" s="38" t="n">
        <v>151</v>
      </c>
      <c r="R46" s="38" t="n">
        <v>151</v>
      </c>
      <c r="S46" s="38" t="n">
        <v>151</v>
      </c>
      <c r="T46" s="38" t="n">
        <v>151</v>
      </c>
      <c r="U46" s="38" t="n">
        <v>151</v>
      </c>
      <c r="V46" s="38" t="n">
        <v>151</v>
      </c>
      <c r="W46" s="38" t="n">
        <v>151</v>
      </c>
      <c r="X46" s="38" t="n">
        <v>149</v>
      </c>
      <c r="Y46" s="38" t="n">
        <v>148</v>
      </c>
      <c r="Z46" s="38" t="n">
        <v>148</v>
      </c>
      <c r="AA46" s="38" t="n">
        <v>148</v>
      </c>
      <c r="AB46" s="38" t="n">
        <v>145</v>
      </c>
      <c r="AC46" s="38" t="n">
        <v>142</v>
      </c>
      <c r="AD46" s="38" t="n">
        <v>135</v>
      </c>
      <c r="AE46" s="38" t="n">
        <v>135</v>
      </c>
      <c r="AF46" s="38" t="n">
        <v>134</v>
      </c>
      <c r="AG46" s="38" t="n">
        <v>131</v>
      </c>
      <c r="AH46" s="38" t="n">
        <v>129</v>
      </c>
      <c r="AI46" s="38" t="n">
        <v>128</v>
      </c>
      <c r="AJ46" s="38" t="n">
        <v>128</v>
      </c>
      <c r="AK46" s="38" t="n">
        <v>126</v>
      </c>
      <c r="AL46" s="38" t="n">
        <v>125</v>
      </c>
      <c r="AM46" s="38" t="n">
        <v>124</v>
      </c>
      <c r="AN46" s="38" t="n">
        <v>124</v>
      </c>
      <c r="AO46" s="38" t="n">
        <v>124</v>
      </c>
      <c r="AP46" s="38" t="n">
        <v>118</v>
      </c>
      <c r="AQ46" s="38" t="n">
        <v>118</v>
      </c>
      <c r="AR46" s="38" t="n">
        <v>118</v>
      </c>
      <c r="AS46" s="38" t="n">
        <v>118</v>
      </c>
      <c r="AT46" s="38" t="n">
        <v>118</v>
      </c>
      <c r="AU46" s="38" t="n">
        <v>118</v>
      </c>
      <c r="AV46" s="38" t="n">
        <v>100</v>
      </c>
      <c r="AW46" s="38" t="n">
        <v>100</v>
      </c>
      <c r="AX46" s="38" t="n">
        <v>100</v>
      </c>
      <c r="AY46" s="38" t="n">
        <v>106</v>
      </c>
      <c r="AZ46" s="38" t="n">
        <v>106</v>
      </c>
      <c r="BA46" s="38" t="n">
        <v>106</v>
      </c>
      <c r="BB46" s="38" t="n">
        <v>91</v>
      </c>
      <c r="BC46" s="38" t="n">
        <v>90</v>
      </c>
      <c r="BD46" s="38" t="n">
        <v>90</v>
      </c>
      <c r="BE46" s="38" t="n">
        <v>70</v>
      </c>
      <c r="BF46" s="38" t="n">
        <v>70</v>
      </c>
      <c r="BG46" s="38" t="n">
        <v>70</v>
      </c>
      <c r="BH46" s="38" t="n">
        <v>70</v>
      </c>
      <c r="BI46" s="38" t="n">
        <v>70</v>
      </c>
      <c r="BJ46" s="38" t="n">
        <v>70</v>
      </c>
      <c r="BK46" s="38" t="n">
        <v>70</v>
      </c>
      <c r="BL46" s="38" t="n">
        <v>70</v>
      </c>
      <c r="BM46" s="38" t="n">
        <v>70</v>
      </c>
      <c r="BN46" s="38" t="n">
        <v>70</v>
      </c>
      <c r="BO46" s="38" t="n">
        <v>61</v>
      </c>
      <c r="BP46" s="38" t="n">
        <v>61</v>
      </c>
      <c r="BQ46" s="38" t="n">
        <v>60</v>
      </c>
      <c r="BR46" s="38" t="n">
        <v>20</v>
      </c>
      <c r="BS46" s="38" t="n">
        <v>20</v>
      </c>
      <c r="BT46" s="38" t="n"/>
      <c r="BU46" s="38" t="n"/>
      <c r="BV46" s="38" t="n"/>
      <c r="BW46" s="38" t="n">
        <v>20</v>
      </c>
      <c r="BX46" s="38" t="n">
        <v>20</v>
      </c>
      <c r="BY46" s="38" t="n">
        <v>14</v>
      </c>
      <c r="BZ46" s="38" t="n">
        <v>12</v>
      </c>
      <c r="CA46" s="38" t="n">
        <v>12</v>
      </c>
      <c r="CB46" s="154">
        <f>BZ46+IF(NOT(ISBLANK(OFFSET(CB46,0,6))),N(OFFSET(CB46,0,6)),N(OFFSET(CB46,0,7)))-CA46</f>
        <v/>
      </c>
      <c r="CC46" s="6" t="n"/>
      <c r="CD46" s="19" t="n"/>
      <c r="CE46" s="19" t="n"/>
      <c r="CF46" s="49" t="n"/>
      <c r="CG46" s="27" t="n"/>
      <c r="CH46" s="51" t="n"/>
      <c r="CI46" s="18" t="n">
        <v>0</v>
      </c>
      <c r="CJ46" s="18" t="n">
        <v>0</v>
      </c>
      <c r="CK46" s="18" t="n"/>
      <c r="CL46" s="18" t="n"/>
      <c r="CM46" s="18" t="n"/>
      <c r="CN46" s="18" t="n"/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18" t="n"/>
      <c r="DN46" s="18" t="n"/>
      <c r="DO46" s="18" t="n"/>
      <c r="DP46" s="18" t="n"/>
      <c r="DQ46" s="18" t="n"/>
      <c r="DR46" s="18" t="n"/>
      <c r="DS46" s="18" t="n"/>
      <c r="DT46" s="18" t="n"/>
      <c r="DU46" s="18" t="n"/>
      <c r="DV46" s="18" t="n"/>
      <c r="DW46" s="18" t="n"/>
      <c r="DX46" s="256" t="n"/>
      <c r="DY46" s="256" t="n"/>
      <c r="DZ46" s="256" t="n"/>
      <c r="EA46" s="18" t="n"/>
      <c r="EB46" s="18" t="n"/>
      <c r="EC46" s="18" t="n"/>
      <c r="ED46" s="18" t="n"/>
      <c r="EE46" s="18" t="n"/>
      <c r="EF46" s="18" t="n"/>
      <c r="EG46" s="18" t="n"/>
      <c r="EH46" s="18" t="n"/>
      <c r="EI46" s="18" t="n"/>
      <c r="EJ46" s="18" t="n"/>
      <c r="EK46" s="18" t="n"/>
      <c r="EL46" s="18" t="n"/>
      <c r="EM46" s="18" t="n"/>
      <c r="EN46" s="18" t="n"/>
      <c r="EO46" s="18" t="n"/>
      <c r="EP46" s="18" t="n"/>
      <c r="EQ46" s="18" t="n"/>
      <c r="ER46" s="18" t="n"/>
      <c r="ES46" s="18" t="n"/>
      <c r="ET46" s="18" t="n"/>
      <c r="EU46" s="18" t="n"/>
      <c r="EV46" s="18" t="n"/>
      <c r="EW46" s="18" t="n"/>
      <c r="EX46" s="18" t="n"/>
      <c r="EY46" s="18" t="n"/>
      <c r="EZ46" s="18" t="n"/>
      <c r="FA46" s="18" t="n"/>
      <c r="FB46" s="18" t="n"/>
      <c r="FC46" s="18" t="n"/>
      <c r="FD46" s="256" t="n"/>
      <c r="FE46" s="18" t="n"/>
      <c r="FF46" s="18" t="n"/>
      <c r="FG46" s="256" t="n"/>
      <c r="FH46" s="18" t="n"/>
      <c r="FI46" s="18" t="n"/>
      <c r="FJ46" s="18" t="n"/>
      <c r="FK46" s="18" t="n"/>
      <c r="FL46" s="18" t="n"/>
      <c r="FM46" s="256" t="n"/>
      <c r="FN46" s="18" t="n"/>
      <c r="FO46" s="18" t="n"/>
      <c r="FP46" s="18" t="n"/>
      <c r="FQ46" s="18" t="n"/>
      <c r="FR46" s="18" t="n"/>
      <c r="FS46" s="18" t="n"/>
      <c r="FT46" s="18" t="n"/>
      <c r="FU46" s="18" t="n"/>
      <c r="FV46" s="256" t="n"/>
      <c r="FW46" s="18" t="n"/>
      <c r="FX46" s="18" t="n"/>
      <c r="FY46" s="18" t="n"/>
      <c r="FZ46" s="256" t="n"/>
      <c r="GA46" s="18" t="n"/>
      <c r="GB46" s="18" t="n"/>
      <c r="GC46" s="18" t="n"/>
      <c r="GD46" s="18" t="n">
        <v>100</v>
      </c>
      <c r="GE46" s="18" t="n"/>
      <c r="GF46" s="18" t="n"/>
      <c r="GG46" s="18" t="n"/>
      <c r="GH46" s="18" t="n"/>
      <c r="GI46" s="18" t="n"/>
      <c r="GJ46" s="18" t="n"/>
      <c r="GK46" s="18" t="n"/>
      <c r="GL46" s="18" t="n"/>
      <c r="GM46" s="18" t="n"/>
      <c r="GN46" s="18" t="n"/>
      <c r="GO46" s="18" t="n"/>
      <c r="GP46" s="18" t="n"/>
      <c r="GQ46" s="18" t="n"/>
    </row>
    <row r="47" ht="18.75" customHeight="1">
      <c r="A47" s="43" t="inlineStr">
        <is>
          <t>SACOLA M OUI</t>
        </is>
      </c>
      <c r="B47" s="36" t="n">
        <v>100</v>
      </c>
      <c r="C47" s="668" t="n">
        <v>368.23</v>
      </c>
      <c r="D47" s="329" t="n">
        <v>15</v>
      </c>
      <c r="F47" s="38" t="n">
        <v>0</v>
      </c>
      <c r="G47" s="38" t="n">
        <v>0</v>
      </c>
      <c r="H47" s="38" t="n">
        <v>0</v>
      </c>
      <c r="I47" s="38" t="n">
        <v>0</v>
      </c>
      <c r="J47" s="38" t="n">
        <v>0</v>
      </c>
      <c r="K47" s="38" t="n">
        <v>0</v>
      </c>
      <c r="L47" s="38" t="n">
        <v>0</v>
      </c>
      <c r="M47" s="38" t="n">
        <v>122</v>
      </c>
      <c r="N47" s="38" t="n">
        <v>122</v>
      </c>
      <c r="O47" s="38" t="n">
        <v>122</v>
      </c>
      <c r="P47" s="38" t="n">
        <v>122</v>
      </c>
      <c r="Q47" s="38" t="n">
        <v>122</v>
      </c>
      <c r="R47" s="38" t="n">
        <v>122</v>
      </c>
      <c r="S47" s="38" t="n">
        <v>121</v>
      </c>
      <c r="T47" s="38" t="n">
        <v>121</v>
      </c>
      <c r="U47" s="38" t="n">
        <v>118</v>
      </c>
      <c r="V47" s="38" t="n">
        <v>118</v>
      </c>
      <c r="W47" s="38" t="n">
        <v>119</v>
      </c>
      <c r="X47" s="38" t="n">
        <v>119</v>
      </c>
      <c r="Y47" s="38" t="n">
        <v>119</v>
      </c>
      <c r="Z47" s="38" t="n">
        <v>119</v>
      </c>
      <c r="AA47" s="38" t="n">
        <v>119</v>
      </c>
      <c r="AB47" s="38" t="n">
        <v>119</v>
      </c>
      <c r="AC47" s="38" t="n">
        <v>118</v>
      </c>
      <c r="AD47" s="38" t="n">
        <v>116</v>
      </c>
      <c r="AE47" s="38" t="n">
        <v>116</v>
      </c>
      <c r="AF47" s="38" t="n">
        <v>115</v>
      </c>
      <c r="AG47" s="38" t="n">
        <v>114</v>
      </c>
      <c r="AH47" s="38" t="n">
        <v>114</v>
      </c>
      <c r="AI47" s="38" t="n">
        <v>114</v>
      </c>
      <c r="AJ47" s="38" t="n">
        <v>114</v>
      </c>
      <c r="AK47" s="38" t="n">
        <v>111</v>
      </c>
      <c r="AL47" s="38" t="n">
        <v>110</v>
      </c>
      <c r="AM47" s="38" t="n">
        <v>110</v>
      </c>
      <c r="AN47" s="38" t="n">
        <v>110</v>
      </c>
      <c r="AO47" s="38" t="n">
        <v>110</v>
      </c>
      <c r="AP47" s="38" t="n">
        <v>103</v>
      </c>
      <c r="AQ47" s="38" t="n">
        <v>103</v>
      </c>
      <c r="AR47" s="38" t="n">
        <v>103</v>
      </c>
      <c r="AS47" s="38" t="n">
        <v>102</v>
      </c>
      <c r="AT47" s="38" t="n">
        <v>101</v>
      </c>
      <c r="AU47" s="38" t="n">
        <v>98</v>
      </c>
      <c r="AV47" s="38" t="n">
        <v>98</v>
      </c>
      <c r="AW47" s="38" t="n">
        <v>90</v>
      </c>
      <c r="AX47" s="38" t="n">
        <v>90</v>
      </c>
      <c r="AY47" s="38" t="n">
        <v>97</v>
      </c>
      <c r="AZ47" s="38" t="n">
        <v>97</v>
      </c>
      <c r="BA47" s="38" t="n">
        <v>97</v>
      </c>
      <c r="BB47" s="38" t="n">
        <v>82</v>
      </c>
      <c r="BC47" s="38" t="n">
        <v>78</v>
      </c>
      <c r="BD47" s="38" t="n">
        <v>78</v>
      </c>
      <c r="BE47" s="38" t="n">
        <v>56</v>
      </c>
      <c r="BF47" s="38" t="n">
        <v>56</v>
      </c>
      <c r="BG47" s="38" t="n">
        <v>56</v>
      </c>
      <c r="BH47" s="38" t="n">
        <v>56</v>
      </c>
      <c r="BI47" s="38" t="n">
        <v>50</v>
      </c>
      <c r="BJ47" s="38" t="n">
        <v>49</v>
      </c>
      <c r="BK47" s="38" t="n">
        <v>49</v>
      </c>
      <c r="BL47" s="38" t="n">
        <v>49</v>
      </c>
      <c r="BM47" s="38" t="n">
        <v>49</v>
      </c>
      <c r="BN47" s="38" t="n">
        <v>49</v>
      </c>
      <c r="BO47" s="38" t="n">
        <v>48</v>
      </c>
      <c r="BP47" s="38" t="n">
        <v>48</v>
      </c>
      <c r="BQ47" s="38" t="n">
        <v>49</v>
      </c>
      <c r="BR47" s="38" t="n">
        <v>28</v>
      </c>
      <c r="BS47" s="38" t="n">
        <v>28</v>
      </c>
      <c r="BT47" s="38" t="n"/>
      <c r="BU47" s="38" t="n"/>
      <c r="BV47" s="38" t="n"/>
      <c r="BW47" s="38" t="n">
        <v>26</v>
      </c>
      <c r="BX47" s="38" t="n">
        <v>26</v>
      </c>
      <c r="BY47" s="38" t="n">
        <v>21</v>
      </c>
      <c r="BZ47" s="38" t="n">
        <v>19</v>
      </c>
      <c r="CA47" s="38" t="n">
        <v>19</v>
      </c>
      <c r="CB47" s="154">
        <f>BZ47+IF(NOT(ISBLANK(OFFSET(CB47,0,6))),N(OFFSET(CB47,0,6)),N(OFFSET(CB47,0,7)))-CA47</f>
        <v/>
      </c>
      <c r="CD47" s="19" t="n"/>
      <c r="CE47" s="19" t="n"/>
      <c r="CG47" s="27" t="n"/>
      <c r="CI47" s="18" t="n">
        <v>0</v>
      </c>
      <c r="CJ47" s="18" t="n">
        <v>0</v>
      </c>
      <c r="CK47" s="18" t="n"/>
      <c r="CL47" s="18" t="n"/>
      <c r="CM47" s="18" t="n"/>
      <c r="CN47" s="18" t="n"/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18" t="n"/>
      <c r="DN47" s="18" t="n"/>
      <c r="DO47" s="18" t="n"/>
      <c r="DP47" s="18" t="n"/>
      <c r="DQ47" s="18" t="n"/>
      <c r="DR47" s="18" t="n"/>
      <c r="DS47" s="18" t="n"/>
      <c r="DT47" s="18" t="n"/>
      <c r="DU47" s="18" t="n"/>
      <c r="DV47" s="18" t="n"/>
      <c r="DW47" s="18" t="n"/>
      <c r="DX47" s="256" t="n"/>
      <c r="DY47" s="256" t="n"/>
      <c r="DZ47" s="256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18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256" t="n"/>
      <c r="FE47" s="18" t="n"/>
      <c r="FF47" s="18" t="n"/>
      <c r="FG47" s="256" t="n"/>
      <c r="FH47" s="18" t="n"/>
      <c r="FI47" s="18" t="n"/>
      <c r="FJ47" s="18" t="n"/>
      <c r="FK47" s="18" t="n"/>
      <c r="FL47" s="18" t="n"/>
      <c r="FM47" s="256" t="n"/>
      <c r="FN47" s="18" t="n"/>
      <c r="FO47" s="18" t="n"/>
      <c r="FP47" s="18" t="n"/>
      <c r="FQ47" s="18" t="n"/>
      <c r="FR47" s="18" t="n"/>
      <c r="FS47" s="18" t="n"/>
      <c r="FT47" s="18" t="n"/>
      <c r="FU47" s="18" t="n"/>
      <c r="FV47" s="256" t="n"/>
      <c r="FW47" s="18" t="n"/>
      <c r="FX47" s="18" t="n"/>
      <c r="FY47" s="18" t="n"/>
      <c r="FZ47" s="256" t="n"/>
      <c r="GA47" s="18" t="n"/>
      <c r="GB47" s="18" t="n"/>
      <c r="GC47" s="18" t="n"/>
      <c r="GD47" s="18" t="n">
        <v>50</v>
      </c>
      <c r="GE47" s="18" t="n"/>
      <c r="GF47" s="18" t="n"/>
      <c r="GG47" s="18" t="n"/>
      <c r="GH47" s="18" t="n"/>
      <c r="GI47" s="18" t="n"/>
      <c r="GJ47" s="18" t="n"/>
      <c r="GK47" s="18" t="n"/>
      <c r="GL47" s="18" t="n"/>
      <c r="GM47" s="18" t="n"/>
      <c r="GN47" s="18" t="n"/>
      <c r="GO47" s="18" t="n"/>
      <c r="GP47" s="18" t="n"/>
      <c r="GQ47" s="18" t="n"/>
    </row>
    <row r="48" ht="18.75" customHeight="1">
      <c r="A48" s="43" t="inlineStr">
        <is>
          <t>SACOLA G OUI</t>
        </is>
      </c>
      <c r="B48" s="36" t="n">
        <v>50</v>
      </c>
      <c r="C48" s="668" t="n">
        <v>257.98</v>
      </c>
      <c r="D48" s="329" t="n">
        <v>15</v>
      </c>
      <c r="F48" s="38" t="n">
        <v>0</v>
      </c>
      <c r="G48" s="38" t="n">
        <v>0</v>
      </c>
      <c r="H48" s="38" t="n">
        <v>0</v>
      </c>
      <c r="I48" s="38" t="n">
        <v>0</v>
      </c>
      <c r="J48" s="38" t="n">
        <v>0</v>
      </c>
      <c r="K48" s="38" t="n">
        <v>0</v>
      </c>
      <c r="L48" s="38" t="n">
        <v>0</v>
      </c>
      <c r="M48" s="38" t="n">
        <v>53</v>
      </c>
      <c r="N48" s="38" t="n">
        <v>53</v>
      </c>
      <c r="O48" s="38" t="n">
        <v>53</v>
      </c>
      <c r="P48" s="38" t="n">
        <v>53</v>
      </c>
      <c r="Q48" s="38" t="n">
        <v>53</v>
      </c>
      <c r="R48" s="38" t="n">
        <v>53</v>
      </c>
      <c r="S48" s="38" t="n">
        <v>53</v>
      </c>
      <c r="T48" s="38" t="n">
        <v>53</v>
      </c>
      <c r="U48" s="261" t="n">
        <v>71</v>
      </c>
      <c r="V48" s="38" t="n">
        <v>71</v>
      </c>
      <c r="W48" s="38" t="n">
        <v>71</v>
      </c>
      <c r="X48" s="38" t="n">
        <v>71</v>
      </c>
      <c r="Y48" s="38" t="n">
        <v>70</v>
      </c>
      <c r="Z48" s="38" t="n">
        <v>70</v>
      </c>
      <c r="AA48" s="38" t="n">
        <v>69</v>
      </c>
      <c r="AB48" s="38" t="n">
        <v>68</v>
      </c>
      <c r="AC48" s="38" t="n">
        <v>68</v>
      </c>
      <c r="AD48" s="38" t="n">
        <v>67</v>
      </c>
      <c r="AE48" s="38" t="n">
        <v>67</v>
      </c>
      <c r="AF48" s="38" t="n">
        <v>68</v>
      </c>
      <c r="AG48" s="38" t="n">
        <v>68</v>
      </c>
      <c r="AH48" s="38" t="n">
        <v>68</v>
      </c>
      <c r="AI48" s="38" t="n">
        <v>68</v>
      </c>
      <c r="AJ48" s="38" t="n">
        <v>68</v>
      </c>
      <c r="AK48" s="38" t="n">
        <v>68</v>
      </c>
      <c r="AL48" s="38" t="n">
        <v>68</v>
      </c>
      <c r="AM48" s="38" t="n">
        <v>68</v>
      </c>
      <c r="AN48" s="38" t="n">
        <v>68</v>
      </c>
      <c r="AO48" s="38" t="n">
        <v>68</v>
      </c>
      <c r="AP48" s="38" t="n">
        <v>51</v>
      </c>
      <c r="AQ48" s="38" t="n">
        <v>50</v>
      </c>
      <c r="AR48" s="38" t="n">
        <v>50</v>
      </c>
      <c r="AS48" s="38" t="n">
        <v>50</v>
      </c>
      <c r="AT48" s="38" t="n">
        <v>50</v>
      </c>
      <c r="AU48" s="38" t="n">
        <v>50</v>
      </c>
      <c r="AV48" s="38" t="n">
        <v>40</v>
      </c>
      <c r="AW48" s="38" t="n">
        <v>40</v>
      </c>
      <c r="AX48" s="38" t="n">
        <v>40</v>
      </c>
      <c r="AY48" s="38" t="n">
        <v>57</v>
      </c>
      <c r="AZ48" s="38" t="n">
        <v>56</v>
      </c>
      <c r="BA48" s="38" t="n">
        <v>56</v>
      </c>
      <c r="BB48" s="38" t="n">
        <v>36</v>
      </c>
      <c r="BC48" s="38" t="n">
        <v>36</v>
      </c>
      <c r="BD48" s="38" t="n">
        <v>36</v>
      </c>
      <c r="BE48" s="38" t="n">
        <v>36</v>
      </c>
      <c r="BF48" s="38" t="n">
        <v>36</v>
      </c>
      <c r="BG48" s="38" t="n">
        <v>36</v>
      </c>
      <c r="BH48" s="38" t="n">
        <v>36</v>
      </c>
      <c r="BI48" s="38" t="n">
        <v>36</v>
      </c>
      <c r="BJ48" s="38" t="n">
        <v>36</v>
      </c>
      <c r="BK48" s="38" t="n">
        <v>36</v>
      </c>
      <c r="BL48" s="38" t="n">
        <v>35</v>
      </c>
      <c r="BM48" s="38" t="n">
        <v>35</v>
      </c>
      <c r="BN48" s="38" t="n">
        <v>35</v>
      </c>
      <c r="BO48" s="38" t="n">
        <v>35</v>
      </c>
      <c r="BP48" s="38" t="n">
        <v>25</v>
      </c>
      <c r="BQ48" s="38" t="n">
        <v>5</v>
      </c>
      <c r="BR48" s="38" t="n">
        <v>13</v>
      </c>
      <c r="BS48" s="38" t="n">
        <v>13</v>
      </c>
      <c r="BT48" s="38" t="n"/>
      <c r="BU48" s="38" t="n"/>
      <c r="BV48" s="38" t="n"/>
      <c r="BW48" s="38" t="n">
        <v>13</v>
      </c>
      <c r="BX48" s="38" t="n">
        <v>13</v>
      </c>
      <c r="BY48" s="38" t="n">
        <v>13</v>
      </c>
      <c r="BZ48" s="38" t="n">
        <v>13</v>
      </c>
      <c r="CA48" s="38" t="n">
        <v>13</v>
      </c>
      <c r="CB48" s="154">
        <f>BZ48+IF(NOT(ISBLANK(OFFSET(CB48,0,6))),N(OFFSET(CB48,0,6)),N(OFFSET(CB48,0,7)))-CA48</f>
        <v/>
      </c>
      <c r="CC48" s="53" t="n"/>
      <c r="CD48" s="19" t="n"/>
      <c r="CE48" s="19" t="n"/>
      <c r="CG48" s="27" t="n"/>
      <c r="CI48" s="18" t="n">
        <v>0</v>
      </c>
      <c r="CJ48" s="18" t="n">
        <v>0</v>
      </c>
      <c r="CK48" s="18" t="n"/>
      <c r="CL48" s="18" t="n"/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256" t="n"/>
      <c r="DY48" s="256" t="n"/>
      <c r="DZ48" s="256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18" t="n"/>
      <c r="ET48" s="18" t="n"/>
      <c r="EU48" s="18" t="n"/>
      <c r="EV48" s="18" t="n"/>
      <c r="EW48" s="18" t="n"/>
      <c r="EX48" s="18" t="n"/>
      <c r="EY48" s="18" t="n"/>
      <c r="EZ48" s="18" t="n"/>
      <c r="FA48" s="18" t="n"/>
      <c r="FB48" s="18" t="n"/>
      <c r="FC48" s="18" t="n"/>
      <c r="FD48" s="256" t="n"/>
      <c r="FE48" s="18" t="n"/>
      <c r="FF48" s="18" t="n"/>
      <c r="FG48" s="256" t="n"/>
      <c r="FH48" s="18" t="n"/>
      <c r="FI48" s="18" t="n"/>
      <c r="FJ48" s="18" t="n"/>
      <c r="FK48" s="18" t="n"/>
      <c r="FL48" s="18" t="n"/>
      <c r="FM48" s="256" t="n"/>
      <c r="FN48" s="18" t="n"/>
      <c r="FO48" s="18" t="n"/>
      <c r="FP48" s="18" t="n"/>
      <c r="FQ48" s="18" t="n"/>
      <c r="FR48" s="18" t="n"/>
      <c r="FS48" s="18" t="n"/>
      <c r="FT48" s="18" t="n"/>
      <c r="FU48" s="18" t="n"/>
      <c r="FV48" s="256" t="n"/>
      <c r="FW48" s="18" t="n"/>
      <c r="FX48" s="18" t="n"/>
      <c r="FY48" s="18" t="n"/>
      <c r="FZ48" s="256" t="n"/>
      <c r="GA48" s="18" t="n"/>
      <c r="GB48" s="18" t="n"/>
      <c r="GC48" s="18" t="n"/>
      <c r="GD48" s="18" t="n"/>
      <c r="GE48" s="18" t="n"/>
      <c r="GF48" s="18" t="n"/>
      <c r="GG48" s="18" t="n"/>
      <c r="GH48" s="18" t="n"/>
      <c r="GI48" s="18" t="n"/>
      <c r="GJ48" s="18" t="n"/>
      <c r="GK48" s="18" t="n"/>
      <c r="GL48" s="18" t="n"/>
      <c r="GM48" s="18" t="n"/>
      <c r="GN48" s="18" t="n"/>
      <c r="GO48" s="18" t="n"/>
      <c r="GP48" s="18" t="n"/>
      <c r="GQ48" s="18" t="n"/>
    </row>
    <row r="49" ht="18.75" customHeight="1">
      <c r="A49" s="43" t="inlineStr">
        <is>
          <t>PAPEL DE SEDA OUI</t>
        </is>
      </c>
      <c r="B49" s="36" t="n">
        <v>500</v>
      </c>
      <c r="C49" s="668" t="n">
        <v>143.38</v>
      </c>
      <c r="D49" s="329" t="n">
        <v>1</v>
      </c>
      <c r="F49" s="38" t="n">
        <v>2</v>
      </c>
      <c r="G49" s="38" t="n">
        <v>2</v>
      </c>
      <c r="H49" s="38" t="n">
        <v>2</v>
      </c>
      <c r="I49" s="38" t="n">
        <v>2</v>
      </c>
      <c r="J49" s="38" t="n">
        <v>2</v>
      </c>
      <c r="K49" s="38" t="n">
        <v>2</v>
      </c>
      <c r="L49" s="38" t="n">
        <v>2</v>
      </c>
      <c r="M49" s="38" t="n">
        <v>2</v>
      </c>
      <c r="N49" s="38" t="n">
        <v>2</v>
      </c>
      <c r="O49" s="38" t="n">
        <v>2</v>
      </c>
      <c r="P49" s="38" t="n">
        <v>2</v>
      </c>
      <c r="Q49" s="38" t="n">
        <v>2</v>
      </c>
      <c r="R49" s="38" t="n">
        <v>2</v>
      </c>
      <c r="S49" s="38" t="n">
        <v>2</v>
      </c>
      <c r="T49" s="38" t="n">
        <v>2</v>
      </c>
      <c r="U49" s="38" t="n">
        <v>2</v>
      </c>
      <c r="V49" s="38" t="n">
        <v>2</v>
      </c>
      <c r="W49" s="38" t="n">
        <v>2</v>
      </c>
      <c r="X49" s="38" t="n">
        <v>2</v>
      </c>
      <c r="Y49" s="38" t="n">
        <v>2</v>
      </c>
      <c r="Z49" s="38" t="n">
        <v>2</v>
      </c>
      <c r="AA49" s="38" t="n">
        <v>2</v>
      </c>
      <c r="AB49" s="38" t="n">
        <v>2</v>
      </c>
      <c r="AC49" s="38" t="n">
        <v>2</v>
      </c>
      <c r="AD49" s="38" t="n">
        <v>2</v>
      </c>
      <c r="AE49" s="38" t="n">
        <v>2</v>
      </c>
      <c r="AF49" s="38" t="n">
        <v>2</v>
      </c>
      <c r="AG49" s="38" t="n">
        <v>2</v>
      </c>
      <c r="AH49" s="38" t="n">
        <v>2</v>
      </c>
      <c r="AI49" s="38" t="n">
        <v>1</v>
      </c>
      <c r="AJ49" s="38" t="n">
        <v>1</v>
      </c>
      <c r="AK49" s="38" t="n">
        <v>1</v>
      </c>
      <c r="AL49" s="38" t="n">
        <v>1</v>
      </c>
      <c r="AM49" s="38" t="n">
        <v>1</v>
      </c>
      <c r="AN49" s="38" t="n">
        <v>1</v>
      </c>
      <c r="AO49" s="38" t="n">
        <v>1</v>
      </c>
      <c r="AP49" s="38" t="n">
        <v>1</v>
      </c>
      <c r="AQ49" s="38" t="n">
        <v>0</v>
      </c>
      <c r="AR49" s="38" t="n">
        <v>0</v>
      </c>
      <c r="AS49" s="38" t="n">
        <v>0</v>
      </c>
      <c r="AT49" s="38" t="n">
        <v>0</v>
      </c>
      <c r="AU49" s="38" t="n">
        <v>0</v>
      </c>
      <c r="AV49" s="38" t="n">
        <v>0</v>
      </c>
      <c r="AW49" s="38" t="n">
        <v>0</v>
      </c>
      <c r="AX49" s="38" t="n">
        <v>0</v>
      </c>
      <c r="AY49" s="38" t="n">
        <v>0</v>
      </c>
      <c r="AZ49" s="38" t="n">
        <v>0</v>
      </c>
      <c r="BA49" s="38" t="n">
        <v>0</v>
      </c>
      <c r="BB49" s="38" t="n">
        <v>0</v>
      </c>
      <c r="BC49" s="38" t="n">
        <v>0</v>
      </c>
      <c r="BD49" s="38" t="n">
        <v>0</v>
      </c>
      <c r="BE49" s="38" t="n">
        <v>0</v>
      </c>
      <c r="BF49" s="38" t="n">
        <v>0</v>
      </c>
      <c r="BG49" s="38" t="n">
        <v>0</v>
      </c>
      <c r="BH49" s="38" t="n">
        <v>0</v>
      </c>
      <c r="BI49" s="38">
        <f>0+3</f>
        <v/>
      </c>
      <c r="BJ49" s="38" t="n">
        <v>2</v>
      </c>
      <c r="BK49" s="38" t="n">
        <v>2</v>
      </c>
      <c r="BL49" s="38" t="n">
        <v>0</v>
      </c>
      <c r="BM49" s="38" t="n">
        <v>0</v>
      </c>
      <c r="BN49" s="38" t="n">
        <v>0</v>
      </c>
      <c r="BO49" s="38" t="n">
        <v>0</v>
      </c>
      <c r="BP49" s="38" t="n">
        <v>0</v>
      </c>
      <c r="BQ49" s="38" t="n">
        <v>0</v>
      </c>
      <c r="BR49" s="38" t="n">
        <v>0</v>
      </c>
      <c r="BS49" s="38" t="n">
        <v>0</v>
      </c>
      <c r="BT49" s="38" t="n">
        <v>0</v>
      </c>
      <c r="BU49" s="38" t="n">
        <v>0</v>
      </c>
      <c r="BV49" s="38" t="n">
        <v>0</v>
      </c>
      <c r="BW49" s="38" t="n">
        <v>0</v>
      </c>
      <c r="BX49" s="38" t="n">
        <v>0</v>
      </c>
      <c r="BY49" s="38" t="n">
        <v>0</v>
      </c>
      <c r="BZ49" s="38" t="n"/>
      <c r="CA49" s="38" t="n"/>
      <c r="CB49" s="154">
        <f>BZ49+IF(NOT(ISBLANK(OFFSET(CB49,0,6))),N(OFFSET(CB49,0,6)),N(OFFSET(CB49,0,7)))-CA49</f>
        <v/>
      </c>
      <c r="CD49" s="128" t="n"/>
      <c r="CE49" s="128" t="n"/>
      <c r="CG49" s="27" t="n"/>
      <c r="CI49" s="18" t="n">
        <v>0</v>
      </c>
      <c r="CJ49" s="18" t="n">
        <v>0</v>
      </c>
      <c r="CK49" s="18" t="n"/>
      <c r="CL49" s="18" t="n"/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54" t="inlineStr">
        <is>
          <t>3 DE ER PBE</t>
        </is>
      </c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256" t="n"/>
      <c r="DY49" s="256" t="n"/>
      <c r="DZ49" s="256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18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256" t="n"/>
      <c r="FE49" s="18" t="n"/>
      <c r="FF49" s="18" t="n"/>
      <c r="FG49" s="256" t="n"/>
      <c r="FH49" s="18" t="n"/>
      <c r="FI49" s="18" t="n"/>
      <c r="FJ49" s="18" t="n"/>
      <c r="FK49" s="18" t="n"/>
      <c r="FL49" s="18" t="n"/>
      <c r="FM49" s="256" t="n"/>
      <c r="FN49" s="18" t="n"/>
      <c r="FO49" s="18" t="n"/>
      <c r="FP49" s="18" t="n"/>
      <c r="FQ49" s="18" t="n"/>
      <c r="FR49" s="18" t="n"/>
      <c r="FS49" s="18" t="n"/>
      <c r="FT49" s="18" t="n"/>
      <c r="FU49" s="18" t="n"/>
      <c r="FV49" s="256" t="n"/>
      <c r="FW49" s="18" t="n"/>
      <c r="FX49" s="18" t="n"/>
      <c r="FY49" s="18" t="n"/>
      <c r="FZ49" s="256" t="n"/>
      <c r="GA49" s="18" t="n"/>
      <c r="GB49" s="18" t="n"/>
      <c r="GC49" s="18" t="n"/>
      <c r="GD49" s="18" t="n"/>
      <c r="GE49" s="18" t="n"/>
      <c r="GF49" s="18" t="n"/>
      <c r="GG49" s="18" t="n"/>
      <c r="GH49" s="260" t="n"/>
      <c r="GI49" s="18" t="n"/>
      <c r="GJ49" s="18" t="n"/>
      <c r="GK49" s="18" t="n"/>
      <c r="GL49" s="18" t="n"/>
      <c r="GM49" s="18" t="n"/>
      <c r="GN49" s="18" t="n"/>
      <c r="GO49" s="18" t="n"/>
      <c r="GP49" s="18" t="n">
        <v>1</v>
      </c>
      <c r="GQ49" s="18" t="n"/>
    </row>
    <row r="50" ht="18.75" customHeight="1">
      <c r="A50" s="33" t="inlineStr">
        <is>
          <t>ETIQUETA OUI</t>
        </is>
      </c>
      <c r="B50" s="9" t="n">
        <v>1000</v>
      </c>
      <c r="C50" s="662" t="n">
        <v>187.49</v>
      </c>
      <c r="D50" s="329" t="n">
        <v>1</v>
      </c>
      <c r="E50" s="2" t="n"/>
      <c r="F50" s="38" t="n">
        <v>1</v>
      </c>
      <c r="G50" s="38" t="n">
        <v>2</v>
      </c>
      <c r="H50" s="38" t="n">
        <v>2</v>
      </c>
      <c r="I50" s="38" t="n">
        <v>2</v>
      </c>
      <c r="J50" s="38" t="n">
        <v>2</v>
      </c>
      <c r="K50" s="38" t="n">
        <v>2</v>
      </c>
      <c r="L50" s="38" t="n">
        <v>2</v>
      </c>
      <c r="M50" s="38" t="n">
        <v>2</v>
      </c>
      <c r="N50" s="38" t="n">
        <v>2</v>
      </c>
      <c r="O50" s="38" t="n">
        <v>2</v>
      </c>
      <c r="P50" s="38" t="n">
        <v>2</v>
      </c>
      <c r="Q50" s="38" t="n">
        <v>2</v>
      </c>
      <c r="R50" s="38" t="n">
        <v>2</v>
      </c>
      <c r="S50" s="38" t="n">
        <v>2</v>
      </c>
      <c r="T50" s="38" t="n">
        <v>2</v>
      </c>
      <c r="U50" s="38" t="n">
        <v>2</v>
      </c>
      <c r="V50" s="38" t="n">
        <v>2</v>
      </c>
      <c r="W50" s="38" t="n">
        <v>2</v>
      </c>
      <c r="X50" s="38" t="n">
        <v>2</v>
      </c>
      <c r="Y50" s="38" t="n">
        <v>2</v>
      </c>
      <c r="Z50" s="38" t="n">
        <v>2</v>
      </c>
      <c r="AA50" s="38" t="n">
        <v>2</v>
      </c>
      <c r="AB50" s="38" t="n">
        <v>2</v>
      </c>
      <c r="AC50" s="38" t="n">
        <v>2</v>
      </c>
      <c r="AD50" s="38" t="n">
        <v>2</v>
      </c>
      <c r="AE50" s="38" t="n">
        <v>2</v>
      </c>
      <c r="AF50" s="38" t="n">
        <v>2</v>
      </c>
      <c r="AG50" s="38" t="n">
        <v>2</v>
      </c>
      <c r="AH50" s="38" t="n">
        <v>2</v>
      </c>
      <c r="AI50" s="38" t="n">
        <v>2</v>
      </c>
      <c r="AJ50" s="38" t="n">
        <v>2</v>
      </c>
      <c r="AK50" s="38" t="n">
        <v>2</v>
      </c>
      <c r="AL50" s="38" t="n">
        <v>2</v>
      </c>
      <c r="AM50" s="38" t="n">
        <v>2</v>
      </c>
      <c r="AN50" s="38" t="n">
        <v>2</v>
      </c>
      <c r="AO50" s="38" t="n">
        <v>2</v>
      </c>
      <c r="AP50" s="38" t="n">
        <v>2</v>
      </c>
      <c r="AQ50" s="38" t="n">
        <v>0</v>
      </c>
      <c r="AR50" s="38" t="n">
        <v>0</v>
      </c>
      <c r="AS50" s="38" t="n">
        <v>0</v>
      </c>
      <c r="AT50" s="38" t="n">
        <v>0</v>
      </c>
      <c r="AU50" s="38" t="n">
        <v>0</v>
      </c>
      <c r="AV50" s="38" t="n">
        <v>0</v>
      </c>
      <c r="AW50" s="38" t="n">
        <v>0</v>
      </c>
      <c r="AX50" s="38" t="n">
        <v>0</v>
      </c>
      <c r="AY50" s="38" t="n">
        <v>0</v>
      </c>
      <c r="AZ50" s="38" t="n">
        <v>0</v>
      </c>
      <c r="BA50" s="38" t="n">
        <v>0</v>
      </c>
      <c r="BB50" s="38" t="n">
        <v>0</v>
      </c>
      <c r="BC50" s="38" t="n">
        <v>0</v>
      </c>
      <c r="BD50" s="38" t="n">
        <v>0</v>
      </c>
      <c r="BE50" s="38" t="n">
        <v>0</v>
      </c>
      <c r="BF50" s="38" t="n">
        <v>0</v>
      </c>
      <c r="BG50" s="38" t="n">
        <v>0</v>
      </c>
      <c r="BH50" s="38" t="n">
        <v>0</v>
      </c>
      <c r="BI50" s="38">
        <f>0+2+2</f>
        <v/>
      </c>
      <c r="BJ50" s="38" t="n">
        <v>0</v>
      </c>
      <c r="BK50" s="38" t="n">
        <v>0</v>
      </c>
      <c r="BL50" s="38" t="n">
        <v>2</v>
      </c>
      <c r="BM50" s="38" t="n">
        <v>2</v>
      </c>
      <c r="BN50" s="38" t="n">
        <v>2</v>
      </c>
      <c r="BO50" s="38" t="n">
        <v>1</v>
      </c>
      <c r="BP50" s="38" t="n">
        <v>1</v>
      </c>
      <c r="BQ50" s="38" t="n">
        <v>1</v>
      </c>
      <c r="BR50" s="38" t="n">
        <v>1</v>
      </c>
      <c r="BS50" s="38" t="n">
        <v>1</v>
      </c>
      <c r="BT50" s="38" t="n">
        <v>1</v>
      </c>
      <c r="BU50" s="38" t="n">
        <v>1</v>
      </c>
      <c r="BV50" s="38" t="n">
        <v>1</v>
      </c>
      <c r="BW50" s="38" t="n">
        <v>1</v>
      </c>
      <c r="BX50" s="38" t="n">
        <v>1</v>
      </c>
      <c r="BY50" s="38" t="n">
        <v>1</v>
      </c>
      <c r="BZ50" s="38" t="n"/>
      <c r="CA50" s="38" t="n"/>
      <c r="CB50" s="154">
        <f>BZ50+IF(NOT(ISBLANK(OFFSET(CB50,0,6))),N(OFFSET(CB50,0,6)),N(OFFSET(CB50,0,7)))-CA50</f>
        <v/>
      </c>
      <c r="CD50" s="128" t="n"/>
      <c r="CE50" s="128" t="n"/>
      <c r="CF50" s="4" t="n"/>
      <c r="CG50" s="27" t="n"/>
      <c r="CH50" s="4" t="n"/>
      <c r="CI50" s="18" t="n">
        <v>0</v>
      </c>
      <c r="CJ50" s="18" t="n">
        <v>0</v>
      </c>
      <c r="CK50" s="18" t="n"/>
      <c r="CL50" s="18" t="n"/>
      <c r="CM50" s="18" t="n"/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54" t="inlineStr">
        <is>
          <t>2 DE ER MG + 2 DE ER PBE</t>
        </is>
      </c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8" t="n"/>
      <c r="DS50" s="18" t="n"/>
      <c r="DT50" s="18" t="n"/>
      <c r="DU50" s="18" t="n"/>
      <c r="DV50" s="18" t="n"/>
      <c r="DW50" s="18" t="n"/>
      <c r="DX50" s="256" t="n"/>
      <c r="DY50" s="256" t="n"/>
      <c r="DZ50" s="256" t="n"/>
      <c r="EA50" s="18" t="n"/>
      <c r="EB50" s="18" t="n"/>
      <c r="EC50" s="18" t="n"/>
      <c r="ED50" s="18" t="n"/>
      <c r="EE50" s="18" t="n"/>
      <c r="EF50" s="18" t="n"/>
      <c r="EG50" s="18" t="n"/>
      <c r="EH50" s="18" t="n"/>
      <c r="EI50" s="18" t="n"/>
      <c r="EJ50" s="18" t="n"/>
      <c r="EK50" s="18" t="n"/>
      <c r="EL50" s="18" t="n"/>
      <c r="EM50" s="18" t="n"/>
      <c r="EN50" s="18" t="n"/>
      <c r="EO50" s="18" t="n"/>
      <c r="EP50" s="18" t="n"/>
      <c r="EQ50" s="18" t="n"/>
      <c r="ER50" s="18" t="n"/>
      <c r="ES50" s="18" t="n"/>
      <c r="ET50" s="18" t="n"/>
      <c r="EU50" s="18" t="n"/>
      <c r="EV50" s="18" t="n"/>
      <c r="EW50" s="18" t="n"/>
      <c r="EX50" s="18" t="n"/>
      <c r="EY50" s="18" t="n"/>
      <c r="EZ50" s="18" t="n"/>
      <c r="FA50" s="18" t="n"/>
      <c r="FB50" s="18" t="n"/>
      <c r="FC50" s="18" t="n"/>
      <c r="FD50" s="256" t="n"/>
      <c r="FE50" s="18" t="n"/>
      <c r="FF50" s="18" t="n"/>
      <c r="FG50" s="256" t="n"/>
      <c r="FH50" s="18" t="n"/>
      <c r="FI50" s="18" t="n"/>
      <c r="FJ50" s="18" t="n"/>
      <c r="FK50" s="18" t="n"/>
      <c r="FL50" s="18" t="n"/>
      <c r="FM50" s="256" t="n"/>
      <c r="FN50" s="18" t="n"/>
      <c r="FO50" s="18" t="n"/>
      <c r="FP50" s="18" t="n"/>
      <c r="FQ50" s="18" t="n"/>
      <c r="FR50" s="18" t="n"/>
      <c r="FS50" s="18" t="n"/>
      <c r="FT50" s="18" t="n"/>
      <c r="FU50" s="18" t="n"/>
      <c r="FV50" s="256" t="n"/>
      <c r="FW50" s="18" t="n"/>
      <c r="FX50" s="18" t="n"/>
      <c r="FY50" s="18" t="n"/>
      <c r="FZ50" s="256" t="n"/>
      <c r="GA50" s="18" t="n"/>
      <c r="GB50" s="18" t="n"/>
      <c r="GC50" s="18" t="n"/>
      <c r="GD50" s="18" t="n"/>
      <c r="GE50" s="18" t="n"/>
      <c r="GF50" s="18" t="n"/>
      <c r="GG50" s="18" t="n"/>
      <c r="GH50" s="260" t="n"/>
      <c r="GI50" s="18" t="n"/>
      <c r="GJ50" s="18" t="n"/>
      <c r="GK50" s="18" t="n"/>
      <c r="GL50" s="18" t="n"/>
      <c r="GM50" s="18" t="n"/>
      <c r="GN50" s="18" t="n"/>
      <c r="GO50" s="18" t="n"/>
      <c r="GP50" s="18" t="n"/>
      <c r="GQ50" s="18" t="n"/>
    </row>
    <row r="51" ht="18.75" customHeight="1">
      <c r="A51" s="33" t="inlineStr">
        <is>
          <t>LÂMINA OLFATIVA OUI</t>
        </is>
      </c>
      <c r="B51" s="9" t="n">
        <v>3000</v>
      </c>
      <c r="C51" s="662" t="n">
        <v>231.61</v>
      </c>
      <c r="D51" s="329" t="n">
        <v>1</v>
      </c>
      <c r="E51" s="2" t="n"/>
      <c r="F51" s="38" t="n">
        <v>10</v>
      </c>
      <c r="G51" s="38" t="n">
        <v>10</v>
      </c>
      <c r="H51" s="38" t="n">
        <v>10</v>
      </c>
      <c r="I51" s="38" t="n">
        <v>10</v>
      </c>
      <c r="J51" s="38" t="n">
        <v>10</v>
      </c>
      <c r="K51" s="38" t="n">
        <v>10</v>
      </c>
      <c r="L51" s="38" t="n">
        <v>10</v>
      </c>
      <c r="M51" s="38" t="n">
        <v>10</v>
      </c>
      <c r="N51" s="38" t="n">
        <v>10</v>
      </c>
      <c r="O51" s="38" t="n">
        <v>10</v>
      </c>
      <c r="P51" s="38" t="n">
        <v>10</v>
      </c>
      <c r="Q51" s="38" t="n">
        <v>10</v>
      </c>
      <c r="R51" s="38" t="n">
        <v>10</v>
      </c>
      <c r="S51" s="38" t="n">
        <v>10</v>
      </c>
      <c r="T51" s="38" t="n">
        <v>10</v>
      </c>
      <c r="U51" s="38" t="n">
        <v>10</v>
      </c>
      <c r="V51" s="38" t="n">
        <v>10</v>
      </c>
      <c r="W51" s="38" t="n">
        <v>10</v>
      </c>
      <c r="X51" s="38" t="n">
        <v>10</v>
      </c>
      <c r="Y51" s="38" t="n">
        <v>10</v>
      </c>
      <c r="Z51" s="38" t="n">
        <v>10</v>
      </c>
      <c r="AA51" s="38" t="n">
        <v>10</v>
      </c>
      <c r="AB51" s="38" t="n">
        <v>10</v>
      </c>
      <c r="AC51" s="38" t="n">
        <v>10</v>
      </c>
      <c r="AD51" s="38" t="n">
        <v>10</v>
      </c>
      <c r="AE51" s="38" t="n">
        <v>10</v>
      </c>
      <c r="AF51" s="38" t="n">
        <v>10</v>
      </c>
      <c r="AG51" s="38" t="n">
        <v>10</v>
      </c>
      <c r="AH51" s="38" t="n">
        <v>10</v>
      </c>
      <c r="AI51" s="38" t="n">
        <v>10</v>
      </c>
      <c r="AJ51" s="38" t="n">
        <v>10</v>
      </c>
      <c r="AK51" s="38" t="n">
        <v>10</v>
      </c>
      <c r="AL51" s="38" t="n">
        <v>10</v>
      </c>
      <c r="AM51" s="38" t="n">
        <v>10</v>
      </c>
      <c r="AN51" s="38" t="n">
        <v>10</v>
      </c>
      <c r="AO51" s="38" t="n">
        <v>10</v>
      </c>
      <c r="AP51" s="38" t="n">
        <v>10</v>
      </c>
      <c r="AQ51" s="38" t="n">
        <v>10</v>
      </c>
      <c r="AR51" s="38" t="n">
        <v>10</v>
      </c>
      <c r="AS51" s="38" t="n">
        <v>10</v>
      </c>
      <c r="AT51" s="38" t="n">
        <v>10</v>
      </c>
      <c r="AU51" s="38" t="n">
        <v>10</v>
      </c>
      <c r="AV51" s="38" t="n">
        <v>10</v>
      </c>
      <c r="AW51" s="38" t="n">
        <v>10</v>
      </c>
      <c r="AX51" s="38" t="n">
        <v>10</v>
      </c>
      <c r="AY51" s="38" t="n">
        <v>10</v>
      </c>
      <c r="AZ51" s="38" t="n">
        <v>10</v>
      </c>
      <c r="BA51" s="38" t="n">
        <v>10</v>
      </c>
      <c r="BB51" s="38" t="n">
        <v>5</v>
      </c>
      <c r="BC51" s="38" t="n">
        <v>5</v>
      </c>
      <c r="BD51" s="38" t="n">
        <v>5</v>
      </c>
      <c r="BE51" s="38" t="n">
        <v>5</v>
      </c>
      <c r="BF51" s="38" t="n">
        <v>5</v>
      </c>
      <c r="BG51" s="38" t="n">
        <v>5</v>
      </c>
      <c r="BH51" s="38" t="n">
        <v>5</v>
      </c>
      <c r="BI51" s="38">
        <f>5+2+5</f>
        <v/>
      </c>
      <c r="BJ51" s="38" t="n">
        <v>10</v>
      </c>
      <c r="BK51" s="38" t="n">
        <v>10</v>
      </c>
      <c r="BL51" s="38" t="n">
        <v>10</v>
      </c>
      <c r="BM51" s="38" t="n">
        <v>10</v>
      </c>
      <c r="BN51" s="38" t="n">
        <v>10</v>
      </c>
      <c r="BO51" s="38" t="n">
        <v>12</v>
      </c>
      <c r="BP51" s="38" t="n">
        <v>12</v>
      </c>
      <c r="BQ51" s="38" t="n">
        <v>12</v>
      </c>
      <c r="BR51" s="38" t="n">
        <v>12</v>
      </c>
      <c r="BS51" s="38" t="n">
        <v>9</v>
      </c>
      <c r="BT51" s="38" t="n">
        <v>12</v>
      </c>
      <c r="BU51" s="38" t="n">
        <v>12</v>
      </c>
      <c r="BV51" s="38" t="n">
        <v>12</v>
      </c>
      <c r="BW51" s="38" t="n">
        <v>12</v>
      </c>
      <c r="BX51" s="38" t="n">
        <v>11</v>
      </c>
      <c r="BY51" s="38" t="n">
        <v>10</v>
      </c>
      <c r="BZ51" s="38" t="n"/>
      <c r="CA51" s="38" t="n"/>
      <c r="CB51" s="154">
        <f>BZ51+IF(NOT(ISBLANK(OFFSET(CB51,0,6))),N(OFFSET(CB51,0,6)),N(OFFSET(CB51,0,7)))-CA51</f>
        <v/>
      </c>
      <c r="CD51" s="128" t="n"/>
      <c r="CE51" s="128" t="n"/>
      <c r="CF51" s="4" t="n"/>
      <c r="CG51" s="27" t="n"/>
      <c r="CH51" s="4" t="n"/>
      <c r="CI51" s="18" t="n">
        <v>0</v>
      </c>
      <c r="CJ51" s="18" t="n">
        <v>0</v>
      </c>
      <c r="CK51" s="18" t="n"/>
      <c r="CL51" s="18" t="n"/>
      <c r="CM51" s="18" t="n"/>
      <c r="CN51" s="18" t="n"/>
      <c r="CO51" s="18" t="n"/>
      <c r="CP51" s="18" t="n"/>
      <c r="CQ51" s="18" t="n"/>
      <c r="CR51" s="18" t="n"/>
      <c r="CS51" s="18" t="n"/>
      <c r="CT51" s="18" t="n"/>
      <c r="CU51" s="18" t="n"/>
      <c r="CV51" s="18" t="n"/>
      <c r="CW51" s="18" t="n"/>
      <c r="CX51" s="18" t="n"/>
      <c r="CY51" s="18" t="n"/>
      <c r="CZ51" s="154" t="inlineStr">
        <is>
          <t>2 DE ER MG + 5 DE ER PBE</t>
        </is>
      </c>
      <c r="DA51" s="18" t="n"/>
      <c r="DB51" s="18" t="n"/>
      <c r="DC51" s="18" t="n"/>
      <c r="DD51" s="18" t="n"/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18" t="n"/>
      <c r="DN51" s="18" t="n"/>
      <c r="DO51" s="18" t="n"/>
      <c r="DP51" s="18" t="n"/>
      <c r="DQ51" s="18" t="n"/>
      <c r="DR51" s="18" t="n"/>
      <c r="DS51" s="18" t="n"/>
      <c r="DT51" s="18" t="n"/>
      <c r="DU51" s="18" t="n"/>
      <c r="DV51" s="18" t="n"/>
      <c r="DW51" s="18" t="n"/>
      <c r="DX51" s="256" t="n"/>
      <c r="DY51" s="256" t="n"/>
      <c r="DZ51" s="256" t="n"/>
      <c r="EA51" s="18" t="n"/>
      <c r="EB51" s="18" t="n"/>
      <c r="EC51" s="18" t="n"/>
      <c r="ED51" s="18" t="n"/>
      <c r="EE51" s="18" t="n"/>
      <c r="EF51" s="18" t="n"/>
      <c r="EG51" s="18" t="n"/>
      <c r="EH51" s="18" t="n"/>
      <c r="EI51" s="18" t="n"/>
      <c r="EJ51" s="18" t="n"/>
      <c r="EK51" s="18" t="n"/>
      <c r="EL51" s="18" t="n"/>
      <c r="EM51" s="18" t="n"/>
      <c r="EN51" s="18" t="n"/>
      <c r="EO51" s="18" t="n"/>
      <c r="EP51" s="18" t="n"/>
      <c r="EQ51" s="18" t="n"/>
      <c r="ER51" s="18" t="n"/>
      <c r="ES51" s="18" t="n"/>
      <c r="ET51" s="18" t="n"/>
      <c r="EU51" s="18" t="n"/>
      <c r="EV51" s="18" t="n"/>
      <c r="EW51" s="18" t="n"/>
      <c r="EX51" s="18" t="n"/>
      <c r="EY51" s="18" t="n"/>
      <c r="EZ51" s="18" t="n"/>
      <c r="FA51" s="18" t="n"/>
      <c r="FB51" s="18" t="n"/>
      <c r="FC51" s="18" t="n"/>
      <c r="FD51" s="256" t="n"/>
      <c r="FE51" s="18" t="n"/>
      <c r="FF51" s="18" t="n"/>
      <c r="FG51" s="256" t="n"/>
      <c r="FH51" s="18" t="n"/>
      <c r="FI51" s="18" t="n"/>
      <c r="FJ51" s="18" t="n"/>
      <c r="FK51" s="18" t="n"/>
      <c r="FL51" s="18" t="n"/>
      <c r="FM51" s="256" t="n"/>
      <c r="FN51" s="18" t="n"/>
      <c r="FO51" s="18" t="n"/>
      <c r="FP51" s="18" t="n"/>
      <c r="FQ51" s="18" t="n"/>
      <c r="FR51" s="18" t="n"/>
      <c r="FS51" s="18" t="n"/>
      <c r="FT51" s="18" t="n"/>
      <c r="FU51" s="18" t="n"/>
      <c r="FV51" s="256" t="n"/>
      <c r="FW51" s="18" t="n"/>
      <c r="FX51" s="18" t="n"/>
      <c r="FY51" s="18" t="n"/>
      <c r="FZ51" s="256" t="n"/>
      <c r="GA51" s="18" t="n"/>
      <c r="GB51" s="18" t="n"/>
      <c r="GC51" s="239" t="inlineStr">
        <is>
          <t>400 DE CD</t>
        </is>
      </c>
      <c r="GD51" s="18" t="n"/>
      <c r="GE51" s="18" t="n"/>
      <c r="GF51" s="18" t="n"/>
      <c r="GG51" s="18" t="n"/>
      <c r="GH51" s="18" t="n"/>
      <c r="GI51" s="18" t="n"/>
      <c r="GJ51" s="18" t="n"/>
      <c r="GK51" s="239" t="inlineStr">
        <is>
          <t>200 DE CD</t>
        </is>
      </c>
      <c r="GL51" s="18" t="n"/>
      <c r="GM51" s="18" t="n"/>
      <c r="GN51" s="18" t="n">
        <v>200</v>
      </c>
      <c r="GO51" s="18" t="n"/>
      <c r="GP51" s="18" t="n"/>
      <c r="GQ51" s="18" t="n"/>
    </row>
    <row r="52" ht="18.75" customHeight="1">
      <c r="A52" s="43" t="inlineStr">
        <is>
          <t>SACO M OUI (BRINDE)</t>
        </is>
      </c>
      <c r="B52" s="36" t="n">
        <v>200</v>
      </c>
      <c r="C52" s="662" t="n">
        <v>258.52</v>
      </c>
      <c r="D52" s="329" t="n">
        <v>50</v>
      </c>
      <c r="F52" s="38" t="n">
        <v>200</v>
      </c>
      <c r="G52" s="38">
        <f>200+GN51</f>
        <v/>
      </c>
      <c r="H52" s="38">
        <f>400+200</f>
        <v/>
      </c>
      <c r="I52" s="38" t="n">
        <v>600</v>
      </c>
      <c r="J52" s="38" t="n">
        <v>600</v>
      </c>
      <c r="K52" s="38" t="n">
        <v>600</v>
      </c>
      <c r="L52" s="38" t="n">
        <v>600</v>
      </c>
      <c r="M52" s="38">
        <f>600+400</f>
        <v/>
      </c>
      <c r="N52" s="38" t="n">
        <v>1000</v>
      </c>
      <c r="O52" s="38" t="n">
        <v>1000</v>
      </c>
      <c r="P52" s="38" t="n">
        <v>1000</v>
      </c>
      <c r="Q52" s="38" t="n">
        <v>1000</v>
      </c>
      <c r="R52" s="38" t="n">
        <v>600</v>
      </c>
      <c r="S52" s="38" t="n">
        <v>600</v>
      </c>
      <c r="T52" s="38" t="n">
        <v>600</v>
      </c>
      <c r="U52" s="38" t="n">
        <v>600</v>
      </c>
      <c r="V52" s="38" t="n">
        <v>800</v>
      </c>
      <c r="W52" s="38" t="n">
        <v>800</v>
      </c>
      <c r="X52" s="38" t="n">
        <v>800</v>
      </c>
      <c r="Y52" s="38" t="n">
        <v>800</v>
      </c>
      <c r="Z52" s="38" t="n">
        <v>800</v>
      </c>
      <c r="AA52" s="38" t="n">
        <v>800</v>
      </c>
      <c r="AB52" s="38" t="n">
        <v>800</v>
      </c>
      <c r="AC52" s="38" t="n">
        <v>800</v>
      </c>
      <c r="AD52" s="38" t="n">
        <v>800</v>
      </c>
      <c r="AE52" s="38" t="n">
        <v>600</v>
      </c>
      <c r="AF52" s="38" t="n">
        <v>600</v>
      </c>
      <c r="AG52" s="38" t="n">
        <v>600</v>
      </c>
      <c r="AH52" s="38" t="n">
        <v>600</v>
      </c>
      <c r="AI52" s="38" t="n">
        <v>600</v>
      </c>
      <c r="AJ52" s="38" t="n">
        <v>400</v>
      </c>
      <c r="AK52" s="38" t="n">
        <v>400</v>
      </c>
      <c r="AL52" s="38" t="n">
        <v>400</v>
      </c>
      <c r="AM52" s="38" t="n">
        <v>400</v>
      </c>
      <c r="AN52" s="38" t="n">
        <v>400</v>
      </c>
      <c r="AO52" s="38" t="n">
        <v>400</v>
      </c>
      <c r="AP52" s="38" t="n">
        <v>400</v>
      </c>
      <c r="AQ52" s="38" t="n">
        <v>200</v>
      </c>
      <c r="AR52" s="38" t="n">
        <v>200</v>
      </c>
      <c r="AS52" s="38" t="n">
        <v>200</v>
      </c>
      <c r="AT52" s="38" t="n">
        <v>200</v>
      </c>
      <c r="AU52" s="38" t="n">
        <v>200</v>
      </c>
      <c r="AV52" s="38" t="n">
        <v>200</v>
      </c>
      <c r="AW52" s="38" t="n">
        <v>200</v>
      </c>
      <c r="AX52" s="38" t="n">
        <v>200</v>
      </c>
      <c r="AY52" s="38" t="n">
        <v>200</v>
      </c>
      <c r="AZ52" s="38" t="n">
        <v>200</v>
      </c>
      <c r="BA52" s="38" t="n">
        <v>200</v>
      </c>
      <c r="BB52" s="38" t="n">
        <v>200</v>
      </c>
      <c r="BC52" s="38" t="n">
        <v>200</v>
      </c>
      <c r="BD52" s="38" t="n">
        <v>200</v>
      </c>
      <c r="BE52" s="38" t="n">
        <v>200</v>
      </c>
      <c r="BF52" s="38" t="n">
        <v>200</v>
      </c>
      <c r="BG52" s="38" t="n">
        <v>200</v>
      </c>
      <c r="BH52" s="38" t="n">
        <v>200</v>
      </c>
      <c r="BI52" s="38" t="n">
        <v>0</v>
      </c>
      <c r="BJ52" s="38" t="n">
        <v>0</v>
      </c>
      <c r="BK52" s="38" t="n">
        <v>0</v>
      </c>
      <c r="BL52" s="38" t="n">
        <v>0</v>
      </c>
      <c r="BM52" s="38" t="n">
        <v>0</v>
      </c>
      <c r="BN52" s="38">
        <f>0+200</f>
        <v/>
      </c>
      <c r="BO52" s="38" t="n">
        <v>0</v>
      </c>
      <c r="BP52" s="38" t="n">
        <v>0</v>
      </c>
      <c r="BQ52" s="38">
        <f>0+CO52</f>
        <v/>
      </c>
      <c r="BR52" s="38" t="n">
        <v>200</v>
      </c>
      <c r="BS52" s="38">
        <f>200+CL52</f>
        <v/>
      </c>
      <c r="BT52" s="38" t="n">
        <v>0</v>
      </c>
      <c r="BU52" s="38" t="n">
        <v>0</v>
      </c>
      <c r="BV52" s="38" t="n">
        <v>0</v>
      </c>
      <c r="BW52" s="38" t="n">
        <v>0</v>
      </c>
      <c r="BX52" s="38" t="n">
        <v>0</v>
      </c>
      <c r="BY52" s="38">
        <f>0+CJ52</f>
        <v/>
      </c>
      <c r="BZ52" s="38" t="n"/>
      <c r="CA52" s="38" t="n"/>
      <c r="CB52" s="154">
        <f>BZ52+IF(NOT(ISBLANK(OFFSET(CB52,0,6))),N(OFFSET(CB52,0,6)),N(OFFSET(CB52,0,7)))-CA52</f>
        <v/>
      </c>
      <c r="CD52" s="128" t="n"/>
      <c r="CE52" s="128" t="n"/>
      <c r="CG52" s="27" t="n"/>
      <c r="CI52" s="18" t="n">
        <v>0</v>
      </c>
      <c r="CJ52" s="18" t="n">
        <v>200</v>
      </c>
      <c r="CK52" s="18" t="n"/>
      <c r="CL52" s="18" t="n">
        <v>200</v>
      </c>
      <c r="CM52" s="18" t="n"/>
      <c r="CN52" s="18" t="n"/>
      <c r="CO52" s="18" t="n">
        <v>200</v>
      </c>
      <c r="CP52" s="18" t="n"/>
      <c r="CQ52" s="18" t="n"/>
      <c r="CR52" s="18" t="n"/>
      <c r="CS52" s="18" t="n"/>
      <c r="CT52" s="154" t="inlineStr">
        <is>
          <t>200 DE CDP</t>
        </is>
      </c>
      <c r="CU52" s="18" t="n"/>
      <c r="CV52" s="18" t="n"/>
      <c r="CW52" s="18" t="n"/>
      <c r="CX52" s="18" t="n"/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18" t="n"/>
      <c r="DM52" s="18" t="n"/>
      <c r="DN52" s="18" t="n"/>
      <c r="DO52" s="18" t="n"/>
      <c r="DP52" s="18" t="n"/>
      <c r="DQ52" s="18" t="n"/>
      <c r="DR52" s="18" t="n"/>
      <c r="DS52" s="18" t="n"/>
      <c r="DT52" s="18" t="n"/>
      <c r="DU52" s="238" t="n"/>
      <c r="DV52" s="18" t="n"/>
      <c r="DW52" s="18" t="n"/>
      <c r="DX52" s="256" t="n"/>
      <c r="DY52" s="256" t="n"/>
      <c r="DZ52" s="256" t="n"/>
      <c r="FD52" s="723" t="n"/>
      <c r="FG52" s="723" t="n"/>
      <c r="FM52" s="723" t="n"/>
      <c r="FV52" s="723" t="n"/>
      <c r="FZ52" s="723" t="n"/>
      <c r="GH52" s="17" t="n"/>
    </row>
    <row r="53" ht="18.75" customHeight="1">
      <c r="A53" s="6" t="n"/>
      <c r="CD53" s="69" t="n"/>
      <c r="CE53" s="69" t="n"/>
      <c r="EA53" s="654" t="n">
        <v>45903</v>
      </c>
      <c r="EB53" s="654" t="n">
        <v>45909</v>
      </c>
      <c r="EC53" s="654" t="n">
        <v>45903</v>
      </c>
      <c r="ED53" s="654" t="n">
        <v>45903</v>
      </c>
      <c r="EE53" s="654" t="n">
        <v>45895</v>
      </c>
      <c r="EF53" s="679" t="n">
        <v>45896</v>
      </c>
      <c r="EG53" s="654" t="n">
        <v>45888</v>
      </c>
      <c r="EH53" s="654" t="n">
        <v>45881</v>
      </c>
      <c r="EI53" s="655" t="n">
        <v>45882</v>
      </c>
      <c r="EJ53" s="654" t="n">
        <v>45874</v>
      </c>
      <c r="EK53" s="654" t="n">
        <v>45867</v>
      </c>
      <c r="EL53" s="654" t="n">
        <v>45860</v>
      </c>
      <c r="EM53" s="654" t="n">
        <v>45853</v>
      </c>
      <c r="EN53" s="655" t="n">
        <v>45860</v>
      </c>
      <c r="EO53" s="681" t="n">
        <v>45855</v>
      </c>
      <c r="EP53" s="654" t="n">
        <v>45848</v>
      </c>
      <c r="EQ53" s="681" t="n">
        <v>45853</v>
      </c>
      <c r="ER53" s="654" t="n">
        <v>45839</v>
      </c>
      <c r="ES53" s="681" t="n">
        <v>45791</v>
      </c>
      <c r="ET53" s="654" t="n">
        <v>45832</v>
      </c>
      <c r="EU53" s="654" t="n">
        <v>45825</v>
      </c>
      <c r="EV53" s="655" t="n">
        <v>45826</v>
      </c>
      <c r="EW53" s="654" t="n">
        <v>45819</v>
      </c>
      <c r="EX53" s="655" t="n">
        <v>45819</v>
      </c>
      <c r="EY53" s="655" t="n">
        <v>45818</v>
      </c>
      <c r="EZ53" s="655" t="n">
        <v>45807</v>
      </c>
      <c r="FA53" s="654" t="n">
        <v>45790</v>
      </c>
      <c r="FB53" s="654" t="n">
        <v>45798</v>
      </c>
      <c r="FC53" s="690" t="n">
        <v>45800</v>
      </c>
      <c r="FD53" s="650" t="n">
        <v>45799</v>
      </c>
      <c r="FE53" s="655" t="n">
        <v>45799</v>
      </c>
      <c r="FF53" s="690" t="n">
        <v>45799</v>
      </c>
      <c r="FG53" s="650" t="n">
        <v>45798</v>
      </c>
      <c r="FH53" s="655" t="n">
        <v>45798</v>
      </c>
      <c r="FI53" s="655" t="n">
        <v>45797</v>
      </c>
      <c r="FJ53" s="655" t="n">
        <v>45794</v>
      </c>
      <c r="FK53" s="654" t="n">
        <v>45790</v>
      </c>
      <c r="FL53" s="683" t="n">
        <v>45735</v>
      </c>
      <c r="FM53" s="650" t="n">
        <v>45786</v>
      </c>
      <c r="FN53" s="654" t="n">
        <v>45783</v>
      </c>
      <c r="FO53" s="654" t="n">
        <v>45770</v>
      </c>
      <c r="FP53" s="654" t="n">
        <v>45775</v>
      </c>
      <c r="FQ53" s="654" t="n">
        <v>45770</v>
      </c>
      <c r="FR53" s="655" t="n">
        <v>45775</v>
      </c>
      <c r="FS53" s="654" t="n">
        <v>45756</v>
      </c>
      <c r="FT53" s="654" t="n">
        <v>45749</v>
      </c>
      <c r="FU53" s="654" t="n">
        <v>45743</v>
      </c>
      <c r="FV53" s="650" t="n">
        <v>45740</v>
      </c>
      <c r="FW53" s="654" t="n">
        <v>45728</v>
      </c>
      <c r="FX53" s="654" t="n">
        <v>45714</v>
      </c>
      <c r="FY53" s="654" t="n">
        <v>45706</v>
      </c>
      <c r="FZ53" s="650" t="n">
        <v>45700</v>
      </c>
      <c r="GA53" s="654" t="n">
        <v>45706</v>
      </c>
      <c r="GB53" s="654" t="n">
        <v>45699</v>
      </c>
      <c r="GC53" s="655" t="n">
        <v>45706</v>
      </c>
      <c r="GD53" s="654" t="n">
        <v>45693</v>
      </c>
      <c r="GE53" s="654" t="n">
        <v>45693</v>
      </c>
      <c r="GF53" s="654" t="n">
        <v>45685</v>
      </c>
      <c r="GG53" s="654" t="n">
        <v>45685</v>
      </c>
      <c r="GH53" s="712" t="n">
        <v>45692</v>
      </c>
      <c r="GI53" s="655" t="n">
        <v>45691</v>
      </c>
      <c r="GJ53" s="655" t="n">
        <v>45681</v>
      </c>
      <c r="GK53" s="655" t="n">
        <v>45672</v>
      </c>
      <c r="GL53" s="654" t="n">
        <v>45664</v>
      </c>
      <c r="GM53" s="654" t="n">
        <v>45660</v>
      </c>
      <c r="GN53" s="654" t="n">
        <v>45660</v>
      </c>
      <c r="GO53" s="654" t="n">
        <v>46017</v>
      </c>
      <c r="GP53" s="654" t="n">
        <v>45643</v>
      </c>
      <c r="GQ53" s="654" t="n">
        <v>45638</v>
      </c>
    </row>
    <row r="54" ht="18.75" customHeight="1">
      <c r="A54" s="586" t="inlineStr">
        <is>
          <t>CAIXAS OUI</t>
        </is>
      </c>
      <c r="B54" s="133" t="inlineStr">
        <is>
          <t>PC</t>
        </is>
      </c>
      <c r="C54" s="133" t="inlineStr">
        <is>
          <t>R$</t>
        </is>
      </c>
      <c r="D54" s="133" t="n"/>
      <c r="F54" s="650" t="n">
        <v>46021</v>
      </c>
      <c r="G54" s="650" t="n">
        <v>45663</v>
      </c>
      <c r="H54" s="650" t="n">
        <v>45670</v>
      </c>
      <c r="I54" s="650" t="n">
        <v>45677</v>
      </c>
      <c r="J54" s="650" t="n">
        <v>45684</v>
      </c>
      <c r="K54" s="650" t="n">
        <v>45691</v>
      </c>
      <c r="L54" s="650" t="n">
        <v>45698</v>
      </c>
      <c r="M54" s="650" t="n">
        <v>45705</v>
      </c>
      <c r="N54" s="650" t="n">
        <v>45712</v>
      </c>
      <c r="O54" s="650" t="n">
        <v>45719</v>
      </c>
      <c r="P54" s="650" t="n">
        <v>45726</v>
      </c>
      <c r="Q54" s="650" t="n">
        <v>45733</v>
      </c>
      <c r="R54" s="650" t="n">
        <v>45740</v>
      </c>
      <c r="S54" s="650" t="n">
        <v>45747</v>
      </c>
      <c r="T54" s="650" t="n">
        <v>45754</v>
      </c>
      <c r="U54" s="650" t="n">
        <v>45761</v>
      </c>
      <c r="V54" s="650" t="n">
        <v>45768</v>
      </c>
      <c r="W54" s="650" t="n">
        <v>45775</v>
      </c>
      <c r="X54" s="650" t="n">
        <v>45782</v>
      </c>
      <c r="Y54" s="650" t="n">
        <v>45789</v>
      </c>
      <c r="Z54" s="650" t="n">
        <v>45796</v>
      </c>
      <c r="AA54" s="650" t="n">
        <v>45803</v>
      </c>
      <c r="AB54" s="650" t="n">
        <v>45810</v>
      </c>
      <c r="AC54" s="650" t="n">
        <v>45817</v>
      </c>
      <c r="AD54" s="650" t="n">
        <v>45824</v>
      </c>
      <c r="AE54" s="650" t="n">
        <v>45831</v>
      </c>
      <c r="AF54" s="650" t="n">
        <v>45838</v>
      </c>
      <c r="AG54" s="650" t="n">
        <v>45845</v>
      </c>
      <c r="AH54" s="650" t="n">
        <v>45852</v>
      </c>
      <c r="AI54" s="650" t="n">
        <v>45859</v>
      </c>
      <c r="AJ54" s="650" t="n">
        <v>45866</v>
      </c>
      <c r="AK54" s="650" t="n">
        <v>45873</v>
      </c>
      <c r="AL54" s="650" t="n">
        <v>45880</v>
      </c>
      <c r="AM54" s="650" t="n">
        <v>45887</v>
      </c>
      <c r="AN54" s="650" t="n">
        <v>45894</v>
      </c>
      <c r="AO54" s="650" t="n">
        <v>45901</v>
      </c>
      <c r="AP54" s="650" t="n">
        <v>45908</v>
      </c>
      <c r="AQ54" s="650" t="n">
        <v>45915</v>
      </c>
      <c r="AR54" s="650" t="n">
        <v>45922</v>
      </c>
      <c r="AS54" s="650" t="n">
        <v>45929</v>
      </c>
      <c r="AT54" s="650" t="n">
        <v>45936</v>
      </c>
      <c r="AU54" s="650" t="n">
        <v>45943</v>
      </c>
      <c r="AV54" s="650" t="n">
        <v>45950</v>
      </c>
      <c r="AW54" s="650" t="n">
        <v>45957</v>
      </c>
      <c r="AX54" s="650" t="n">
        <v>45964</v>
      </c>
      <c r="AY54" s="650" t="n">
        <v>45971</v>
      </c>
      <c r="AZ54" s="650" t="n">
        <v>45978</v>
      </c>
      <c r="BA54" s="650" t="n">
        <v>45985</v>
      </c>
      <c r="BB54" s="650" t="n">
        <v>45992</v>
      </c>
      <c r="BC54" s="650" t="n">
        <v>45999</v>
      </c>
      <c r="BD54" s="650" t="n">
        <v>46006</v>
      </c>
      <c r="BE54" s="650" t="n">
        <v>46013</v>
      </c>
      <c r="BF54" s="650" t="n">
        <v>46020</v>
      </c>
      <c r="BG54" s="650" t="n">
        <v>46027</v>
      </c>
      <c r="BH54" s="650" t="n">
        <v>46034</v>
      </c>
      <c r="BI54" s="650" t="n">
        <v>46041</v>
      </c>
      <c r="BJ54" s="650" t="n">
        <v>46048</v>
      </c>
      <c r="BK54" s="650" t="n">
        <v>46055</v>
      </c>
      <c r="BL54" s="650" t="n">
        <v>46062</v>
      </c>
      <c r="BM54" s="650" t="n">
        <v>46069</v>
      </c>
      <c r="BN54" s="650" t="n">
        <v>46076</v>
      </c>
      <c r="BO54" s="650" t="n">
        <v>46083</v>
      </c>
      <c r="BP54" s="650" t="n">
        <v>46090</v>
      </c>
      <c r="BQ54" s="650" t="n">
        <v>46097</v>
      </c>
      <c r="BR54" s="650" t="n">
        <v>46104</v>
      </c>
      <c r="BS54" s="650" t="n">
        <v>46111</v>
      </c>
      <c r="BT54" s="650" t="n">
        <v>46118</v>
      </c>
      <c r="BU54" s="650" t="n">
        <v>46125</v>
      </c>
      <c r="BV54" s="650" t="n">
        <v>46132</v>
      </c>
      <c r="BW54" s="650" t="n">
        <v>46139</v>
      </c>
      <c r="BX54" s="650" t="n">
        <v>46146</v>
      </c>
      <c r="BY54" s="650" t="n">
        <v>46154</v>
      </c>
      <c r="BZ54" s="650" t="n">
        <v>46160</v>
      </c>
      <c r="CA54" s="650" t="n">
        <v>46160</v>
      </c>
      <c r="CB54" s="652" t="inlineStr">
        <is>
          <t>USOU</t>
        </is>
      </c>
      <c r="CD54" s="413" t="inlineStr">
        <is>
          <t>TRANSFERÊNCIA</t>
        </is>
      </c>
      <c r="CE54" s="35" t="inlineStr">
        <is>
          <t>Pend.</t>
        </is>
      </c>
      <c r="CG54" s="12" t="inlineStr">
        <is>
          <t>Novo Pedido</t>
        </is>
      </c>
      <c r="CI54" s="654" t="n"/>
      <c r="CJ54" s="654" t="n">
        <v>46149</v>
      </c>
      <c r="CK54" s="654" t="n">
        <v>46114</v>
      </c>
      <c r="CL54" s="654" t="n">
        <v>46107</v>
      </c>
      <c r="CM54" s="710" t="n">
        <v>46065</v>
      </c>
      <c r="CN54" s="654" t="n">
        <v>46099</v>
      </c>
      <c r="CO54" s="654" t="n">
        <v>46092</v>
      </c>
      <c r="CP54" s="711" t="n">
        <v>46045</v>
      </c>
      <c r="CQ54" s="654" t="n">
        <v>46084</v>
      </c>
      <c r="CR54" s="655" t="n">
        <v>46084</v>
      </c>
      <c r="CS54" s="654" t="n">
        <v>46077</v>
      </c>
      <c r="CT54" s="655" t="n">
        <v>46077</v>
      </c>
      <c r="CU54" s="654" t="n">
        <v>46071</v>
      </c>
      <c r="CV54" s="654" t="n">
        <v>46048</v>
      </c>
      <c r="CW54" s="654" t="n">
        <v>46043</v>
      </c>
      <c r="CX54" s="654" t="n">
        <v>46035</v>
      </c>
      <c r="CY54" s="654" t="n">
        <v>46029</v>
      </c>
      <c r="CZ54" s="655" t="n">
        <v>46043</v>
      </c>
      <c r="DA54" s="654" t="n">
        <v>46024</v>
      </c>
      <c r="DB54" s="654" t="n">
        <v>46029</v>
      </c>
      <c r="DC54" s="654" t="n">
        <v>46024</v>
      </c>
      <c r="DD54" s="654" t="n">
        <v>46372</v>
      </c>
      <c r="DE54" s="654" t="n">
        <v>46024</v>
      </c>
      <c r="DF54" s="654" t="n">
        <v>46017</v>
      </c>
      <c r="DG54" s="654" t="n">
        <v>46007</v>
      </c>
      <c r="DH54" s="654" t="n">
        <v>46001</v>
      </c>
      <c r="DI54" s="654" t="n">
        <v>46007</v>
      </c>
      <c r="DJ54" s="654" t="n">
        <v>46001</v>
      </c>
      <c r="DK54" s="654" t="n">
        <v>45994</v>
      </c>
      <c r="DL54" s="654" t="n">
        <v>45986</v>
      </c>
      <c r="DM54" s="654" t="n">
        <v>45980</v>
      </c>
      <c r="DN54" s="654" t="n">
        <v>45980</v>
      </c>
      <c r="DO54" s="654" t="n">
        <v>45973</v>
      </c>
      <c r="DP54" s="654" t="n">
        <v>45965</v>
      </c>
      <c r="DQ54" s="654" t="n">
        <v>45960</v>
      </c>
      <c r="DR54" s="654" t="n">
        <v>45945</v>
      </c>
      <c r="DS54" s="654" t="n">
        <v>45939</v>
      </c>
      <c r="DT54" s="654" t="n">
        <v>45931</v>
      </c>
      <c r="DU54" s="678" t="n">
        <v>45903</v>
      </c>
      <c r="DV54" s="654" t="n">
        <v>45923</v>
      </c>
      <c r="DW54" s="654" t="n">
        <v>45915</v>
      </c>
      <c r="DX54" s="655" t="n">
        <v>45931</v>
      </c>
      <c r="DY54" s="688" t="n">
        <v>45931</v>
      </c>
      <c r="DZ54" s="688" t="n">
        <v>45931</v>
      </c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18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18" t="n"/>
      <c r="FC54" s="18" t="n"/>
      <c r="FD54" s="256" t="n"/>
      <c r="FE54" s="18" t="n"/>
      <c r="FF54" s="18" t="n"/>
      <c r="FG54" s="256" t="n"/>
      <c r="FH54" s="18" t="n"/>
      <c r="FI54" s="18" t="n"/>
      <c r="FJ54" s="18" t="n"/>
      <c r="FK54" s="18" t="n"/>
      <c r="FL54" s="18" t="n"/>
      <c r="FM54" s="256" t="n"/>
      <c r="FN54" s="18" t="n"/>
      <c r="FO54" s="18" t="n"/>
      <c r="FP54" s="18" t="n"/>
      <c r="FQ54" s="18" t="n"/>
      <c r="FR54" s="18" t="n"/>
      <c r="FS54" s="18" t="n"/>
      <c r="FT54" s="18" t="n"/>
      <c r="FU54" s="18" t="n"/>
      <c r="FV54" s="256" t="n"/>
      <c r="FW54" s="18" t="n"/>
      <c r="FX54" s="18" t="n"/>
      <c r="FY54" s="18" t="n"/>
      <c r="FZ54" s="256" t="n"/>
      <c r="GA54" s="18" t="n"/>
      <c r="GB54" s="18" t="n"/>
      <c r="GC54" s="18" t="n"/>
      <c r="GD54" s="18" t="n">
        <v>100</v>
      </c>
      <c r="GE54" s="18" t="n"/>
      <c r="GF54" s="18" t="n"/>
      <c r="GG54" s="18" t="n"/>
      <c r="GH54" s="18" t="n"/>
      <c r="GI54" s="18" t="n"/>
      <c r="GJ54" s="18" t="n"/>
      <c r="GK54" s="18" t="n"/>
      <c r="GL54" s="18" t="n"/>
      <c r="GM54" s="18" t="n"/>
      <c r="GN54" s="18" t="n"/>
      <c r="GO54" s="18" t="n"/>
      <c r="GP54" s="18" t="n"/>
      <c r="GQ54" s="18" t="n"/>
    </row>
    <row r="55" ht="18.75" customHeight="1">
      <c r="A55" s="43" t="inlineStr">
        <is>
          <t>KIT CAIXA P OUI</t>
        </is>
      </c>
      <c r="B55" s="36" t="n">
        <v>100</v>
      </c>
      <c r="C55" s="668" t="n">
        <v>539.7</v>
      </c>
      <c r="D55" s="329" t="n">
        <v>15</v>
      </c>
      <c r="F55" s="38" t="n">
        <v>0</v>
      </c>
      <c r="G55" s="38" t="n">
        <v>0</v>
      </c>
      <c r="H55" s="38" t="n">
        <v>0</v>
      </c>
      <c r="I55" s="38" t="n">
        <v>0</v>
      </c>
      <c r="J55" s="38" t="n">
        <v>0</v>
      </c>
      <c r="K55" s="38" t="n">
        <v>0</v>
      </c>
      <c r="L55" s="38" t="n">
        <v>0</v>
      </c>
      <c r="M55" s="38" t="n">
        <v>100</v>
      </c>
      <c r="N55" s="38" t="n">
        <v>100</v>
      </c>
      <c r="O55" s="38" t="n">
        <v>100</v>
      </c>
      <c r="P55" s="38" t="n">
        <v>100</v>
      </c>
      <c r="Q55" s="38" t="n">
        <v>100</v>
      </c>
      <c r="R55" s="38" t="n">
        <v>100</v>
      </c>
      <c r="S55" s="38" t="n">
        <v>100</v>
      </c>
      <c r="T55" s="38" t="n">
        <v>101</v>
      </c>
      <c r="U55" s="38" t="n">
        <v>101</v>
      </c>
      <c r="V55" s="38" t="n">
        <v>101</v>
      </c>
      <c r="W55" s="38" t="n">
        <v>101</v>
      </c>
      <c r="X55" s="38" t="n">
        <v>100</v>
      </c>
      <c r="Y55" s="38" t="n">
        <v>99</v>
      </c>
      <c r="Z55" s="38" t="n">
        <v>97</v>
      </c>
      <c r="AA55" s="38" t="n">
        <v>96</v>
      </c>
      <c r="AB55" s="38" t="n">
        <v>96</v>
      </c>
      <c r="AC55" s="38" t="n">
        <v>93</v>
      </c>
      <c r="AD55" s="38" t="n">
        <v>92</v>
      </c>
      <c r="AE55" s="38" t="n">
        <v>92</v>
      </c>
      <c r="AF55" s="38" t="n">
        <v>92</v>
      </c>
      <c r="AG55" s="38" t="n">
        <v>91</v>
      </c>
      <c r="AH55" s="38" t="n">
        <v>91</v>
      </c>
      <c r="AI55" s="38" t="n">
        <v>91</v>
      </c>
      <c r="AJ55" s="38" t="n">
        <v>90</v>
      </c>
      <c r="AK55" s="38" t="n">
        <v>87</v>
      </c>
      <c r="AL55" s="38" t="n">
        <v>84</v>
      </c>
      <c r="AM55" s="38" t="n">
        <v>84</v>
      </c>
      <c r="AN55" s="38" t="n">
        <v>84</v>
      </c>
      <c r="AO55" s="38" t="n">
        <v>82</v>
      </c>
      <c r="AP55" s="38" t="n">
        <v>81</v>
      </c>
      <c r="AQ55" s="38" t="n">
        <v>81</v>
      </c>
      <c r="AR55" s="38" t="n">
        <v>81</v>
      </c>
      <c r="AS55" s="38" t="n">
        <v>81</v>
      </c>
      <c r="AT55" s="38" t="n">
        <v>81</v>
      </c>
      <c r="AU55" s="38" t="n">
        <v>81</v>
      </c>
      <c r="AV55" s="38" t="n">
        <v>69</v>
      </c>
      <c r="AW55" s="38" t="n">
        <v>69</v>
      </c>
      <c r="AX55" s="38" t="n">
        <v>69</v>
      </c>
      <c r="AY55" s="38" t="n">
        <v>67</v>
      </c>
      <c r="AZ55" s="38" t="n">
        <v>67</v>
      </c>
      <c r="BA55" s="38" t="n">
        <v>67</v>
      </c>
      <c r="BB55" s="38" t="n">
        <v>57</v>
      </c>
      <c r="BC55" s="38" t="n">
        <v>58</v>
      </c>
      <c r="BD55" s="38" t="n">
        <v>58</v>
      </c>
      <c r="BE55" s="38" t="n">
        <v>58</v>
      </c>
      <c r="BF55" s="38" t="n">
        <v>58</v>
      </c>
      <c r="BG55" s="38" t="n">
        <v>58</v>
      </c>
      <c r="BH55" s="38" t="n">
        <v>58</v>
      </c>
      <c r="BI55" s="38" t="n">
        <v>58</v>
      </c>
      <c r="BJ55" s="38" t="n">
        <v>58</v>
      </c>
      <c r="BK55" s="38" t="n">
        <v>58</v>
      </c>
      <c r="BL55" s="38" t="n">
        <v>58</v>
      </c>
      <c r="BM55" s="38" t="n">
        <v>58</v>
      </c>
      <c r="BN55" s="38" t="n">
        <v>58</v>
      </c>
      <c r="BO55" s="38" t="n">
        <v>58</v>
      </c>
      <c r="BP55" s="38" t="n">
        <v>58</v>
      </c>
      <c r="BQ55" s="38" t="n">
        <v>58</v>
      </c>
      <c r="BR55" s="38" t="n">
        <v>58</v>
      </c>
      <c r="BS55" s="38" t="n">
        <v>58</v>
      </c>
      <c r="BT55" s="38" t="n"/>
      <c r="BU55" s="38" t="n"/>
      <c r="BV55" s="38" t="n"/>
      <c r="BW55" s="38" t="n">
        <v>57</v>
      </c>
      <c r="BX55" s="38" t="n">
        <v>57</v>
      </c>
      <c r="BY55" s="38" t="n">
        <v>57</v>
      </c>
      <c r="BZ55" s="38" t="n">
        <v>57</v>
      </c>
      <c r="CA55" s="38" t="n">
        <v>57</v>
      </c>
      <c r="CB55" s="154">
        <f>BZ55+IF(NOT(ISBLANK(OFFSET(CB55,0,6))),N(OFFSET(CB55,0,6)),N(OFFSET(CB55,0,7)))-CA55</f>
        <v/>
      </c>
      <c r="CD55" s="128" t="n"/>
      <c r="CE55" s="128" t="n"/>
      <c r="CG55" s="27" t="n"/>
      <c r="CI55" s="18" t="n">
        <v>0</v>
      </c>
      <c r="CJ55" s="18" t="n">
        <v>0</v>
      </c>
      <c r="CK55" s="18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18" t="n"/>
      <c r="DP55" s="18" t="n"/>
      <c r="DQ55" s="18" t="n"/>
      <c r="DR55" s="18" t="n"/>
      <c r="DS55" s="18" t="n"/>
      <c r="DT55" s="18" t="n"/>
      <c r="DU55" s="396" t="n"/>
      <c r="DV55" s="18" t="n"/>
      <c r="DW55" s="18" t="n"/>
      <c r="DX55" s="256" t="n"/>
      <c r="DY55" s="256" t="n"/>
      <c r="DZ55" s="256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18" t="n"/>
      <c r="ET55" s="18" t="n"/>
      <c r="EU55" s="18" t="n"/>
      <c r="EV55" s="18" t="n"/>
      <c r="EW55" s="18" t="n"/>
      <c r="EX55" s="18" t="n"/>
      <c r="EY55" s="18" t="n"/>
      <c r="EZ55" s="18" t="n"/>
      <c r="FA55" s="18" t="n"/>
      <c r="FB55" s="18" t="n"/>
      <c r="FC55" s="18" t="n"/>
      <c r="FD55" s="256" t="n"/>
      <c r="FE55" s="18" t="n"/>
      <c r="FF55" s="18" t="n"/>
      <c r="FG55" s="256" t="n"/>
      <c r="FH55" s="18" t="n"/>
      <c r="FI55" s="18" t="n"/>
      <c r="FJ55" s="18" t="n"/>
      <c r="FK55" s="18" t="n"/>
      <c r="FL55" s="18" t="n"/>
      <c r="FM55" s="256" t="n"/>
      <c r="FN55" s="18" t="n"/>
      <c r="FO55" s="18" t="n"/>
      <c r="FP55" s="18" t="n"/>
      <c r="FQ55" s="18" t="n"/>
      <c r="FR55" s="239" t="inlineStr">
        <is>
          <t>20 P/ ER PBE</t>
        </is>
      </c>
      <c r="FS55" s="18" t="n"/>
      <c r="FT55" s="18" t="n"/>
      <c r="FU55" s="18" t="n"/>
      <c r="FV55" s="256" t="n"/>
      <c r="FW55" s="18" t="n"/>
      <c r="FX55" s="18" t="n"/>
      <c r="FY55" s="18" t="n"/>
      <c r="FZ55" s="256" t="n"/>
      <c r="GA55" s="18" t="n"/>
      <c r="GB55" s="18" t="n"/>
      <c r="GC55" s="18" t="n"/>
      <c r="GD55" s="18" t="n">
        <v>100</v>
      </c>
      <c r="GE55" s="18" t="n"/>
      <c r="GF55" s="18" t="n"/>
      <c r="GG55" s="18" t="n"/>
      <c r="GH55" s="18" t="n"/>
      <c r="GI55" s="18" t="n"/>
      <c r="GJ55" s="18" t="n"/>
      <c r="GK55" s="18" t="n"/>
      <c r="GL55" s="18" t="n"/>
      <c r="GM55" s="18" t="n"/>
      <c r="GN55" s="18" t="n"/>
      <c r="GO55" s="18" t="n"/>
      <c r="GP55" s="18" t="n"/>
      <c r="GQ55" s="18" t="n"/>
    </row>
    <row r="56" ht="18.75" customHeight="1">
      <c r="A56" s="43" t="inlineStr">
        <is>
          <t>KIT CAIXA M OUI</t>
        </is>
      </c>
      <c r="B56" s="36" t="n">
        <v>100</v>
      </c>
      <c r="C56" s="668" t="n">
        <v>652.05</v>
      </c>
      <c r="D56" s="329" t="n">
        <v>15</v>
      </c>
      <c r="F56" s="38" t="n">
        <v>0</v>
      </c>
      <c r="G56" s="38" t="n">
        <v>0</v>
      </c>
      <c r="H56" s="38" t="n">
        <v>0</v>
      </c>
      <c r="I56" s="38" t="n">
        <v>0</v>
      </c>
      <c r="J56" s="38" t="n">
        <v>0</v>
      </c>
      <c r="K56" s="38" t="n">
        <v>0</v>
      </c>
      <c r="L56" s="38" t="n">
        <v>0</v>
      </c>
      <c r="M56" s="38" t="n">
        <v>100</v>
      </c>
      <c r="N56" s="38" t="n">
        <v>100</v>
      </c>
      <c r="O56" s="38" t="n">
        <v>100</v>
      </c>
      <c r="P56" s="38" t="n">
        <v>100</v>
      </c>
      <c r="Q56" s="38" t="n">
        <v>99</v>
      </c>
      <c r="R56" s="38" t="n">
        <v>96</v>
      </c>
      <c r="S56" s="38" t="n">
        <v>96</v>
      </c>
      <c r="T56" s="38" t="n">
        <v>100</v>
      </c>
      <c r="U56" s="38" t="n">
        <v>100</v>
      </c>
      <c r="V56" s="38">
        <f>98-20</f>
        <v/>
      </c>
      <c r="W56" s="38" t="n">
        <v>77</v>
      </c>
      <c r="X56" s="38" t="n">
        <v>77</v>
      </c>
      <c r="Y56" s="38" t="n">
        <v>70</v>
      </c>
      <c r="Z56" s="38" t="n">
        <v>70</v>
      </c>
      <c r="AA56" s="38" t="n">
        <v>69</v>
      </c>
      <c r="AB56" s="38" t="n">
        <v>67</v>
      </c>
      <c r="AC56" s="38" t="n">
        <v>67</v>
      </c>
      <c r="AD56" s="38" t="n">
        <v>65</v>
      </c>
      <c r="AE56" s="38" t="n">
        <v>65</v>
      </c>
      <c r="AF56" s="38" t="n">
        <v>67</v>
      </c>
      <c r="AG56" s="38" t="n">
        <v>67</v>
      </c>
      <c r="AH56" s="38" t="n">
        <v>67</v>
      </c>
      <c r="AI56" s="38" t="n">
        <v>66</v>
      </c>
      <c r="AJ56" s="38" t="n">
        <v>66</v>
      </c>
      <c r="AK56" s="38" t="n">
        <v>66</v>
      </c>
      <c r="AL56" s="38" t="n">
        <v>66</v>
      </c>
      <c r="AM56" s="38" t="n">
        <v>66</v>
      </c>
      <c r="AN56" s="38" t="n">
        <v>66</v>
      </c>
      <c r="AO56" s="38" t="n">
        <v>66</v>
      </c>
      <c r="AP56" s="38" t="n">
        <v>65</v>
      </c>
      <c r="AQ56" s="38" t="n">
        <v>64</v>
      </c>
      <c r="AR56" s="38" t="n">
        <v>64</v>
      </c>
      <c r="AS56" s="38" t="n">
        <v>64</v>
      </c>
      <c r="AT56" s="38" t="n">
        <v>67</v>
      </c>
      <c r="AU56" s="38" t="n">
        <v>67</v>
      </c>
      <c r="AV56" s="38" t="n">
        <v>57</v>
      </c>
      <c r="AW56" s="38" t="n">
        <v>55</v>
      </c>
      <c r="AX56" s="38" t="n">
        <v>54</v>
      </c>
      <c r="AY56" s="38" t="n">
        <v>36</v>
      </c>
      <c r="AZ56" s="38" t="n">
        <v>34</v>
      </c>
      <c r="BA56" s="38" t="n">
        <v>34</v>
      </c>
      <c r="BB56" s="38" t="n">
        <v>34</v>
      </c>
      <c r="BC56" s="38" t="n">
        <v>36</v>
      </c>
      <c r="BD56" s="38" t="n">
        <v>35</v>
      </c>
      <c r="BE56" s="38" t="n">
        <v>32</v>
      </c>
      <c r="BF56" s="38" t="n">
        <v>32</v>
      </c>
      <c r="BG56" s="38" t="n">
        <v>32</v>
      </c>
      <c r="BH56" s="38" t="n">
        <v>47</v>
      </c>
      <c r="BI56" s="38" t="n">
        <v>47</v>
      </c>
      <c r="BJ56" s="38" t="n">
        <v>47</v>
      </c>
      <c r="BK56" s="38" t="n">
        <v>47</v>
      </c>
      <c r="BL56" s="38" t="n">
        <v>45</v>
      </c>
      <c r="BM56" s="38" t="n">
        <v>45</v>
      </c>
      <c r="BN56" s="38" t="n">
        <v>45</v>
      </c>
      <c r="BO56" s="38" t="n">
        <v>45</v>
      </c>
      <c r="BP56" s="38" t="n">
        <v>45</v>
      </c>
      <c r="BQ56" s="38" t="n">
        <v>43</v>
      </c>
      <c r="BR56" s="38" t="n">
        <v>43</v>
      </c>
      <c r="BS56" s="38" t="n">
        <v>43</v>
      </c>
      <c r="BT56" s="38" t="n"/>
      <c r="BU56" s="38" t="n"/>
      <c r="BV56" s="38" t="n"/>
      <c r="BW56" s="38" t="n">
        <v>35</v>
      </c>
      <c r="BX56" s="38" t="n">
        <v>34</v>
      </c>
      <c r="BY56" s="38" t="n">
        <v>32</v>
      </c>
      <c r="BZ56" s="38" t="n">
        <v>32</v>
      </c>
      <c r="CA56" s="38" t="n">
        <v>32</v>
      </c>
      <c r="CB56" s="154">
        <f>BZ56+IF(NOT(ISBLANK(OFFSET(CB56,0,6))),N(OFFSET(CB56,0,6)),N(OFFSET(CB56,0,7)))-CA56</f>
        <v/>
      </c>
      <c r="CC56" s="53" t="n"/>
      <c r="CD56" s="128" t="n"/>
      <c r="CE56" s="128" t="n"/>
      <c r="CG56" s="27" t="n"/>
      <c r="CI56" s="18" t="n">
        <v>0</v>
      </c>
      <c r="CJ56" s="18" t="n">
        <v>0</v>
      </c>
      <c r="CK56" s="18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18" t="n"/>
      <c r="DP56" s="18" t="n"/>
      <c r="DQ56" s="18" t="n"/>
      <c r="DR56" s="18" t="n"/>
      <c r="DS56" s="18" t="n"/>
      <c r="DT56" s="18" t="n"/>
      <c r="DU56" s="396" t="n"/>
      <c r="DV56" s="18" t="n"/>
      <c r="DW56" s="18" t="n"/>
      <c r="DX56" s="256" t="n"/>
      <c r="DY56" s="256" t="n"/>
      <c r="DZ56" s="256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18" t="n"/>
      <c r="ET56" s="18" t="n"/>
      <c r="EU56" s="18" t="n"/>
      <c r="EV56" s="18" t="n"/>
      <c r="EW56" s="18" t="n"/>
      <c r="EX56" s="18" t="n"/>
      <c r="EY56" s="18" t="n"/>
      <c r="EZ56" s="18" t="n"/>
      <c r="FA56" s="18" t="n"/>
      <c r="FB56" s="18" t="n"/>
      <c r="FC56" s="18" t="n"/>
      <c r="FD56" s="256" t="n"/>
      <c r="FE56" s="18" t="n"/>
      <c r="FF56" s="18" t="n"/>
      <c r="FG56" s="256" t="n"/>
      <c r="FH56" s="18" t="n"/>
      <c r="FI56" s="18" t="n"/>
      <c r="FJ56" s="18" t="n"/>
      <c r="FK56" s="18" t="n"/>
      <c r="FL56" s="18" t="n"/>
      <c r="FM56" s="256" t="n"/>
      <c r="FN56" s="18" t="n"/>
      <c r="FO56" s="18" t="n"/>
      <c r="FP56" s="18" t="n"/>
      <c r="FQ56" s="18" t="n"/>
      <c r="FR56" s="18" t="n"/>
      <c r="FS56" s="18" t="n"/>
      <c r="FT56" s="18" t="n"/>
      <c r="FU56" s="18" t="n"/>
      <c r="FV56" s="256" t="n"/>
      <c r="FW56" s="18" t="n"/>
      <c r="FX56" s="18" t="n"/>
      <c r="FY56" s="18" t="n"/>
      <c r="FZ56" s="256" t="n"/>
      <c r="GA56" s="18" t="n"/>
      <c r="GB56" s="18" t="n"/>
      <c r="GC56" s="18" t="n"/>
      <c r="GD56" s="18" t="n">
        <v>50</v>
      </c>
      <c r="GE56" s="18" t="n"/>
      <c r="GF56" s="18" t="n"/>
      <c r="GG56" s="18" t="n"/>
      <c r="GH56" s="18" t="n"/>
      <c r="GI56" s="18" t="n"/>
      <c r="GJ56" s="18" t="n"/>
      <c r="GK56" s="18" t="n"/>
      <c r="GL56" s="18" t="n"/>
      <c r="GM56" s="18" t="n"/>
      <c r="GN56" s="18" t="n"/>
      <c r="GO56" s="18" t="n"/>
      <c r="GP56" s="18" t="n"/>
      <c r="GQ56" s="18" t="n"/>
    </row>
    <row r="57" ht="18.75" customHeight="1">
      <c r="A57" s="43" t="inlineStr">
        <is>
          <t>KIT CAIXA G OUI</t>
        </is>
      </c>
      <c r="B57" s="36" t="n">
        <v>50</v>
      </c>
      <c r="C57" s="668" t="n">
        <v>567.53</v>
      </c>
      <c r="D57" s="329" t="n">
        <v>10</v>
      </c>
      <c r="F57" s="38" t="n">
        <v>0</v>
      </c>
      <c r="G57" s="38" t="n">
        <v>0</v>
      </c>
      <c r="H57" s="38" t="n">
        <v>0</v>
      </c>
      <c r="I57" s="38" t="n">
        <v>0</v>
      </c>
      <c r="J57" s="38" t="n">
        <v>0</v>
      </c>
      <c r="K57" s="38" t="n">
        <v>0</v>
      </c>
      <c r="L57" s="38" t="n">
        <v>0</v>
      </c>
      <c r="M57" s="38" t="n">
        <v>50</v>
      </c>
      <c r="N57" s="38" t="n">
        <v>50</v>
      </c>
      <c r="O57" s="38" t="n">
        <v>50</v>
      </c>
      <c r="P57" s="38" t="n">
        <v>51</v>
      </c>
      <c r="Q57" s="38" t="n">
        <v>51</v>
      </c>
      <c r="R57" s="38" t="n">
        <v>51</v>
      </c>
      <c r="S57" s="38" t="n">
        <v>51</v>
      </c>
      <c r="T57" s="38" t="n">
        <v>51</v>
      </c>
      <c r="U57" s="38" t="n">
        <v>51</v>
      </c>
      <c r="V57" s="38" t="n">
        <v>50</v>
      </c>
      <c r="W57" s="38" t="n">
        <v>50</v>
      </c>
      <c r="X57" s="38" t="n">
        <v>50</v>
      </c>
      <c r="Y57" s="38" t="n">
        <v>50</v>
      </c>
      <c r="Z57" s="38" t="n">
        <v>50</v>
      </c>
      <c r="AA57" s="38" t="n">
        <v>50</v>
      </c>
      <c r="AB57" s="38" t="n">
        <v>50</v>
      </c>
      <c r="AC57" s="38" t="n">
        <v>50</v>
      </c>
      <c r="AD57" s="38" t="n">
        <v>50</v>
      </c>
      <c r="AE57" s="38" t="n">
        <v>50</v>
      </c>
      <c r="AF57" s="38" t="n">
        <v>50</v>
      </c>
      <c r="AG57" s="38" t="n">
        <v>50</v>
      </c>
      <c r="AH57" s="38" t="n">
        <v>50</v>
      </c>
      <c r="AI57" s="38" t="n">
        <v>50</v>
      </c>
      <c r="AJ57" s="38" t="n">
        <v>50</v>
      </c>
      <c r="AK57" s="38" t="n">
        <v>10</v>
      </c>
      <c r="AL57" s="38" t="n">
        <v>10</v>
      </c>
      <c r="AM57" s="38" t="n">
        <v>10</v>
      </c>
      <c r="AN57" s="38" t="n">
        <v>10</v>
      </c>
      <c r="AO57" s="38" t="n">
        <v>10</v>
      </c>
      <c r="AP57" s="38" t="n">
        <v>10</v>
      </c>
      <c r="AQ57" s="38" t="n">
        <v>9</v>
      </c>
      <c r="AR57" s="38" t="n">
        <v>9</v>
      </c>
      <c r="AS57" s="38" t="n">
        <v>9</v>
      </c>
      <c r="AT57" s="38" t="n">
        <v>9</v>
      </c>
      <c r="AU57" s="38" t="n">
        <v>9</v>
      </c>
      <c r="AV57" s="38" t="n">
        <v>9</v>
      </c>
      <c r="AW57" s="38" t="n">
        <v>9</v>
      </c>
      <c r="AX57" s="38" t="n">
        <v>9</v>
      </c>
      <c r="AY57" s="38" t="n">
        <v>48</v>
      </c>
      <c r="AZ57" s="38" t="n">
        <v>48</v>
      </c>
      <c r="BA57" s="38" t="n">
        <v>48</v>
      </c>
      <c r="BB57" s="38" t="n">
        <v>48</v>
      </c>
      <c r="BC57" s="38" t="n">
        <v>48</v>
      </c>
      <c r="BD57" s="38" t="n">
        <v>48</v>
      </c>
      <c r="BE57" s="38" t="n">
        <v>48</v>
      </c>
      <c r="BF57" s="38" t="n">
        <v>48</v>
      </c>
      <c r="BG57" s="38" t="n">
        <v>48</v>
      </c>
      <c r="BH57" s="38" t="n">
        <v>49</v>
      </c>
      <c r="BI57" s="38" t="n">
        <v>49</v>
      </c>
      <c r="BJ57" s="38" t="n">
        <v>49</v>
      </c>
      <c r="BK57" s="38" t="n">
        <v>49</v>
      </c>
      <c r="BL57" s="38" t="n">
        <v>49</v>
      </c>
      <c r="BM57" s="38" t="n">
        <v>49</v>
      </c>
      <c r="BN57" s="38" t="n">
        <v>49</v>
      </c>
      <c r="BO57" s="38" t="n">
        <v>49</v>
      </c>
      <c r="BP57" s="38" t="n">
        <v>49</v>
      </c>
      <c r="BQ57" s="38" t="n">
        <v>45</v>
      </c>
      <c r="BR57" s="38" t="n">
        <v>45</v>
      </c>
      <c r="BS57" s="38" t="n">
        <v>45</v>
      </c>
      <c r="BT57" s="38" t="n"/>
      <c r="BU57" s="38" t="n"/>
      <c r="BV57" s="38" t="n"/>
      <c r="BW57" s="38" t="n">
        <v>48</v>
      </c>
      <c r="BX57" s="38" t="n">
        <v>48</v>
      </c>
      <c r="BY57" s="38" t="n">
        <v>48</v>
      </c>
      <c r="BZ57" s="38" t="n">
        <v>48</v>
      </c>
      <c r="CA57" s="38" t="n">
        <v>48</v>
      </c>
      <c r="CB57" s="154">
        <f>BZ57+IF(NOT(ISBLANK(OFFSET(CB57,0,6))),N(OFFSET(CB57,0,6)),N(OFFSET(CB57,0,7)))-CA57</f>
        <v/>
      </c>
      <c r="CD57" s="19" t="n"/>
      <c r="CE57" s="19" t="n"/>
      <c r="CG57" s="27" t="n"/>
      <c r="CI57" s="18" t="n">
        <v>0</v>
      </c>
      <c r="CJ57" s="18" t="n">
        <v>0</v>
      </c>
      <c r="CK57" s="18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18" t="n"/>
      <c r="DP57" s="18" t="n"/>
      <c r="DQ57" s="18" t="n"/>
      <c r="DR57" s="18" t="n"/>
      <c r="DS57" s="18" t="n"/>
      <c r="DT57" s="18" t="n"/>
      <c r="DU57" s="396" t="n"/>
      <c r="DV57" s="18" t="n"/>
      <c r="DW57" s="18" t="n"/>
      <c r="DX57" s="256" t="n"/>
      <c r="DY57" s="256" t="n"/>
      <c r="DZ57" s="256" t="n"/>
      <c r="EA57" s="17" t="n"/>
      <c r="EB57" s="17" t="n"/>
      <c r="EC57" s="17" t="n"/>
      <c r="ED57" s="17" t="n"/>
      <c r="EE57" s="17" t="n"/>
      <c r="EF57" s="17" t="n"/>
      <c r="EG57" s="17" t="n"/>
      <c r="EH57" s="17" t="n"/>
      <c r="EI57" s="17" t="n"/>
      <c r="EJ57" s="17" t="n"/>
      <c r="EK57" s="17" t="n"/>
      <c r="EL57" s="17" t="n"/>
      <c r="EM57" s="17" t="n"/>
      <c r="EN57" s="17" t="n"/>
      <c r="EO57" s="17" t="n"/>
      <c r="EP57" s="17" t="n"/>
      <c r="EQ57" s="17" t="n"/>
      <c r="ER57" s="17" t="n"/>
      <c r="ES57" s="17" t="n"/>
      <c r="ET57" s="17" t="n"/>
      <c r="EU57" s="17" t="n"/>
      <c r="EV57" s="17" t="n"/>
      <c r="EW57" s="17" t="n"/>
      <c r="EX57" s="17" t="n"/>
      <c r="EY57" s="17" t="n"/>
      <c r="EZ57" s="17" t="n"/>
      <c r="FA57" s="17" t="n"/>
      <c r="FB57" s="17" t="n"/>
      <c r="FC57" s="17" t="n"/>
      <c r="FE57" s="17" t="n"/>
      <c r="FF57" s="17" t="n"/>
      <c r="FH57" s="17" t="n"/>
      <c r="FI57" s="17" t="n"/>
      <c r="FJ57" s="17" t="n"/>
      <c r="FK57" s="17" t="n"/>
      <c r="FL57" s="17" t="n"/>
      <c r="FN57" s="17" t="n"/>
      <c r="FO57" s="17" t="n"/>
      <c r="FP57" s="17" t="n"/>
      <c r="FQ57" s="17" t="n"/>
      <c r="FR57" s="17" t="n"/>
      <c r="FS57" s="17" t="n"/>
      <c r="FT57" s="17" t="n"/>
      <c r="FU57" s="17" t="n"/>
      <c r="FW57" s="17" t="n"/>
      <c r="FX57" s="17" t="n"/>
      <c r="FY57" s="17" t="n"/>
      <c r="GA57" s="17" t="n"/>
      <c r="GB57" s="17" t="n"/>
      <c r="GC57" s="17" t="n"/>
      <c r="GD57" s="17" t="n"/>
      <c r="GE57" s="17" t="n"/>
      <c r="GF57" s="17" t="n"/>
      <c r="GG57" s="17" t="n"/>
      <c r="GI57" s="17" t="n"/>
      <c r="GJ57" s="17" t="n"/>
      <c r="GK57" s="17" t="n"/>
      <c r="GL57" s="17" t="n"/>
      <c r="GM57" s="17" t="n"/>
      <c r="GN57" s="17" t="n"/>
      <c r="GO57" s="17" t="n"/>
      <c r="GP57" s="17" t="n"/>
      <c r="GQ57" s="17" t="n"/>
    </row>
    <row r="58" ht="18.75" customHeight="1">
      <c r="B58" s="53" t="n"/>
      <c r="C58" s="724" t="n"/>
      <c r="D58" s="72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  <c r="AA58" s="4" t="n"/>
      <c r="AB58" s="4" t="n"/>
      <c r="AC58" s="4" t="n"/>
      <c r="AD58" s="4" t="n"/>
      <c r="AE58" s="4" t="n"/>
      <c r="AF58" s="4" t="n"/>
      <c r="AG58" s="4" t="n"/>
      <c r="AH58" s="4" t="n"/>
      <c r="AI58" s="4" t="n"/>
      <c r="AJ58" s="4" t="n"/>
      <c r="AK58" s="4" t="n"/>
      <c r="AL58" s="4" t="n"/>
      <c r="AM58" s="4" t="n"/>
      <c r="AN58" s="4" t="n"/>
      <c r="AO58" s="4" t="n"/>
      <c r="AP58" s="4" t="n"/>
      <c r="AQ58" s="4" t="n"/>
      <c r="AR58" s="4" t="n"/>
      <c r="AS58" s="4" t="n"/>
      <c r="AT58" s="4" t="n"/>
      <c r="AU58" s="4" t="n"/>
      <c r="AV58" s="4" t="n"/>
      <c r="AW58" s="4" t="n"/>
      <c r="AX58" s="4" t="n"/>
      <c r="AY58" s="4" t="n"/>
      <c r="AZ58" s="4" t="n"/>
      <c r="BA58" s="4" t="n"/>
      <c r="BB58" s="4" t="n"/>
      <c r="BC58" s="4" t="n"/>
      <c r="BD58" s="4" t="n"/>
      <c r="BE58" s="4" t="n"/>
      <c r="BF58" s="4" t="n"/>
      <c r="BG58" s="4" t="n"/>
      <c r="BH58" s="4" t="n"/>
      <c r="BI58" s="4" t="n"/>
      <c r="BJ58" s="4" t="n"/>
      <c r="BK58" s="4" t="n"/>
      <c r="BL58" s="4" t="n"/>
      <c r="BM58" s="4" t="n"/>
      <c r="BN58" s="4" t="n"/>
      <c r="BO58" s="4" t="n"/>
      <c r="BP58" s="4" t="n"/>
      <c r="BQ58" s="4" t="n"/>
      <c r="BR58" s="4" t="n"/>
      <c r="BS58" s="4" t="n"/>
      <c r="BT58" s="4" t="n"/>
      <c r="BU58" s="4" t="n"/>
      <c r="BV58" s="4" t="n"/>
      <c r="BW58" s="4" t="n"/>
      <c r="BX58" s="4" t="n"/>
      <c r="BY58" s="4" t="n"/>
      <c r="BZ58" s="4" t="n"/>
      <c r="CA58" s="4" t="n"/>
      <c r="CB58" s="4" t="n"/>
      <c r="CD58" s="26" t="n"/>
      <c r="CE58" s="26" t="n"/>
      <c r="CG58" s="108" t="n"/>
      <c r="CI58" s="17" t="n"/>
      <c r="CJ58" s="17" t="n"/>
      <c r="CK58" s="17" t="n"/>
      <c r="CL58" s="17" t="n"/>
      <c r="CM58" s="17" t="n"/>
      <c r="CN58" s="17" t="n"/>
      <c r="CO58" s="17" t="n"/>
      <c r="CP58" s="17" t="n"/>
      <c r="CQ58" s="17" t="n"/>
      <c r="CR58" s="17" t="n"/>
      <c r="CS58" s="17" t="n"/>
      <c r="CT58" s="17" t="n"/>
      <c r="CU58" s="17" t="n"/>
      <c r="CV58" s="17" t="n"/>
      <c r="CW58" s="17" t="n"/>
      <c r="CX58" s="17" t="n"/>
      <c r="CY58" s="17" t="n"/>
      <c r="CZ58" s="17" t="n"/>
      <c r="DA58" s="17" t="n"/>
      <c r="DB58" s="17" t="n"/>
      <c r="DC58" s="17" t="n"/>
      <c r="DD58" s="17" t="n"/>
      <c r="DE58" s="17" t="n"/>
      <c r="DF58" s="17" t="n"/>
      <c r="DG58" s="17" t="n"/>
      <c r="DH58" s="17" t="n"/>
      <c r="DI58" s="17" t="n"/>
      <c r="DJ58" s="17" t="n"/>
      <c r="DK58" s="17" t="n"/>
      <c r="DL58" s="17" t="n"/>
      <c r="DM58" s="17" t="n"/>
      <c r="DN58" s="17" t="n"/>
      <c r="DO58" s="17" t="n"/>
      <c r="DP58" s="17" t="n"/>
      <c r="DQ58" s="17" t="n"/>
      <c r="DR58" s="17" t="n"/>
      <c r="DS58" s="17" t="n"/>
      <c r="DT58" s="17" t="n"/>
      <c r="DV58" s="17" t="n"/>
      <c r="DW58" s="17" t="n"/>
      <c r="DX58" s="723" t="n"/>
      <c r="DY58" s="723" t="n"/>
      <c r="DZ58" s="723" t="n"/>
      <c r="EA58" s="654" t="n">
        <v>45903</v>
      </c>
      <c r="EB58" s="654" t="n">
        <v>45909</v>
      </c>
      <c r="EC58" s="654" t="n">
        <v>45903</v>
      </c>
      <c r="ED58" s="654" t="n">
        <v>45903</v>
      </c>
      <c r="EE58" s="654" t="n">
        <v>45895</v>
      </c>
      <c r="EF58" s="679" t="n">
        <v>45896</v>
      </c>
      <c r="EG58" s="654" t="n">
        <v>45888</v>
      </c>
      <c r="EH58" s="654" t="n">
        <v>45881</v>
      </c>
      <c r="EI58" s="655" t="n">
        <v>45882</v>
      </c>
      <c r="EJ58" s="654" t="n">
        <v>45874</v>
      </c>
      <c r="EK58" s="654" t="n">
        <v>45867</v>
      </c>
      <c r="EL58" s="654" t="n">
        <v>45860</v>
      </c>
      <c r="EM58" s="654" t="n">
        <v>45853</v>
      </c>
      <c r="EN58" s="655" t="n">
        <v>45860</v>
      </c>
      <c r="EO58" s="681" t="n">
        <v>45855</v>
      </c>
      <c r="EP58" s="654" t="n">
        <v>45848</v>
      </c>
      <c r="EQ58" s="681" t="n">
        <v>45853</v>
      </c>
      <c r="ER58" s="654" t="n">
        <v>45839</v>
      </c>
      <c r="ES58" s="681" t="n">
        <v>45791</v>
      </c>
      <c r="ET58" s="654" t="n">
        <v>45832</v>
      </c>
      <c r="EU58" s="654" t="n">
        <v>45825</v>
      </c>
      <c r="EV58" s="655" t="n">
        <v>45826</v>
      </c>
      <c r="EW58" s="654" t="n">
        <v>45819</v>
      </c>
      <c r="EX58" s="655" t="n">
        <v>45819</v>
      </c>
      <c r="EY58" s="655" t="n">
        <v>45818</v>
      </c>
      <c r="EZ58" s="655" t="n">
        <v>45807</v>
      </c>
      <c r="FA58" s="654" t="n">
        <v>45790</v>
      </c>
      <c r="FB58" s="654" t="n">
        <v>45798</v>
      </c>
      <c r="FC58" s="690" t="n">
        <v>45800</v>
      </c>
      <c r="FD58" s="650" t="n">
        <v>45799</v>
      </c>
      <c r="FE58" s="655" t="n">
        <v>45799</v>
      </c>
      <c r="FF58" s="690" t="n">
        <v>45799</v>
      </c>
      <c r="FG58" s="650" t="n">
        <v>45798</v>
      </c>
      <c r="FH58" s="655" t="n">
        <v>45798</v>
      </c>
      <c r="FI58" s="655" t="n">
        <v>45797</v>
      </c>
      <c r="FJ58" s="655" t="n">
        <v>45794</v>
      </c>
      <c r="FK58" s="654" t="n">
        <v>45790</v>
      </c>
      <c r="FL58" s="683" t="n">
        <v>45735</v>
      </c>
      <c r="FM58" s="650" t="n">
        <v>45786</v>
      </c>
      <c r="FN58" s="654" t="n">
        <v>45783</v>
      </c>
      <c r="FO58" s="654" t="n">
        <v>45770</v>
      </c>
      <c r="FP58" s="654" t="n">
        <v>45775</v>
      </c>
      <c r="FQ58" s="654" t="n">
        <v>45770</v>
      </c>
      <c r="FR58" s="655" t="n">
        <v>45775</v>
      </c>
      <c r="FS58" s="654" t="n">
        <v>45756</v>
      </c>
      <c r="FT58" s="654" t="n">
        <v>45749</v>
      </c>
      <c r="FU58" s="654" t="n">
        <v>45743</v>
      </c>
      <c r="FV58" s="650" t="n">
        <v>45740</v>
      </c>
      <c r="FW58" s="654" t="n">
        <v>45728</v>
      </c>
      <c r="FX58" s="654" t="n">
        <v>45714</v>
      </c>
      <c r="FY58" s="654" t="n">
        <v>45706</v>
      </c>
      <c r="FZ58" s="650" t="n">
        <v>45700</v>
      </c>
      <c r="GA58" s="654" t="n">
        <v>45706</v>
      </c>
      <c r="GB58" s="654" t="n">
        <v>45699</v>
      </c>
      <c r="GC58" s="655" t="n">
        <v>45706</v>
      </c>
      <c r="GD58" s="654" t="n">
        <v>45693</v>
      </c>
      <c r="GE58" s="654" t="n">
        <v>45693</v>
      </c>
      <c r="GF58" s="654" t="n">
        <v>45685</v>
      </c>
      <c r="GG58" s="654" t="n">
        <v>45685</v>
      </c>
      <c r="GH58" s="712" t="n">
        <v>45692</v>
      </c>
      <c r="GI58" s="655" t="n">
        <v>45691</v>
      </c>
      <c r="GJ58" s="655" t="n">
        <v>45681</v>
      </c>
      <c r="GK58" s="655" t="n">
        <v>45672</v>
      </c>
      <c r="GL58" s="654" t="n">
        <v>45664</v>
      </c>
      <c r="GM58" s="654" t="n">
        <v>45660</v>
      </c>
      <c r="GN58" s="654" t="n">
        <v>45660</v>
      </c>
      <c r="GO58" s="654" t="n">
        <v>46017</v>
      </c>
      <c r="GP58" s="654" t="n">
        <v>45643</v>
      </c>
      <c r="GQ58" s="654" t="n">
        <v>45638</v>
      </c>
    </row>
    <row r="59" hidden="1" ht="18.75" customHeight="1">
      <c r="A59" s="585" t="inlineStr">
        <is>
          <t>SACOLAS E CAIXAS QDB</t>
        </is>
      </c>
      <c r="B59" s="135" t="inlineStr">
        <is>
          <t>PC</t>
        </is>
      </c>
      <c r="C59" s="135" t="inlineStr">
        <is>
          <t>R$</t>
        </is>
      </c>
      <c r="D59" s="135" t="n"/>
      <c r="F59" s="650" t="n">
        <v>46021</v>
      </c>
      <c r="G59" s="650" t="n">
        <v>45663</v>
      </c>
      <c r="H59" s="650" t="n">
        <v>45670</v>
      </c>
      <c r="I59" s="650" t="n">
        <v>45677</v>
      </c>
      <c r="J59" s="650" t="n">
        <v>45684</v>
      </c>
      <c r="K59" s="650" t="n">
        <v>45691</v>
      </c>
      <c r="L59" s="650" t="n">
        <v>45698</v>
      </c>
      <c r="M59" s="650" t="n">
        <v>45705</v>
      </c>
      <c r="N59" s="650" t="n">
        <v>45712</v>
      </c>
      <c r="O59" s="650" t="n">
        <v>45719</v>
      </c>
      <c r="P59" s="650" t="n">
        <v>45726</v>
      </c>
      <c r="Q59" s="650" t="n">
        <v>45733</v>
      </c>
      <c r="R59" s="650" t="n">
        <v>45740</v>
      </c>
      <c r="S59" s="650" t="n">
        <v>45747</v>
      </c>
      <c r="T59" s="650" t="n">
        <v>45754</v>
      </c>
      <c r="U59" s="650" t="n">
        <v>45761</v>
      </c>
      <c r="V59" s="650" t="n">
        <v>45768</v>
      </c>
      <c r="W59" s="650" t="n">
        <v>45775</v>
      </c>
      <c r="X59" s="650" t="n">
        <v>45782</v>
      </c>
      <c r="Y59" s="650" t="n">
        <v>45789</v>
      </c>
      <c r="Z59" s="650" t="n">
        <v>45796</v>
      </c>
      <c r="AA59" s="650" t="n">
        <v>45803</v>
      </c>
      <c r="AB59" s="650" t="n">
        <v>45810</v>
      </c>
      <c r="AC59" s="650" t="n">
        <v>45817</v>
      </c>
      <c r="AD59" s="650" t="n">
        <v>45824</v>
      </c>
      <c r="AE59" s="650" t="n">
        <v>45831</v>
      </c>
      <c r="AF59" s="650" t="n">
        <v>45838</v>
      </c>
      <c r="AG59" s="650" t="n">
        <v>45845</v>
      </c>
      <c r="AH59" s="650" t="n">
        <v>45852</v>
      </c>
      <c r="AI59" s="650" t="n">
        <v>45859</v>
      </c>
      <c r="AJ59" s="650" t="n">
        <v>45866</v>
      </c>
      <c r="AK59" s="650" t="n">
        <v>45873</v>
      </c>
      <c r="AL59" s="650" t="n">
        <v>45880</v>
      </c>
      <c r="AM59" s="650" t="n">
        <v>45887</v>
      </c>
      <c r="AN59" s="650" t="n">
        <v>45894</v>
      </c>
      <c r="AO59" s="650" t="n">
        <v>45901</v>
      </c>
      <c r="AP59" s="650" t="n">
        <v>45908</v>
      </c>
      <c r="AQ59" s="650" t="n">
        <v>45915</v>
      </c>
      <c r="AR59" s="650" t="n">
        <v>45922</v>
      </c>
      <c r="AS59" s="650" t="n">
        <v>45929</v>
      </c>
      <c r="AT59" s="650" t="n">
        <v>45936</v>
      </c>
      <c r="AU59" s="650" t="n">
        <v>45943</v>
      </c>
      <c r="AV59" s="650" t="n">
        <v>45950</v>
      </c>
      <c r="AW59" s="650" t="n">
        <v>45957</v>
      </c>
      <c r="AX59" s="650" t="n">
        <v>45964</v>
      </c>
      <c r="AY59" s="650" t="n">
        <v>45971</v>
      </c>
      <c r="AZ59" s="650" t="n">
        <v>45978</v>
      </c>
      <c r="BA59" s="650" t="n">
        <v>45985</v>
      </c>
      <c r="BB59" s="650" t="n">
        <v>45992</v>
      </c>
      <c r="BC59" s="650" t="n">
        <v>45999</v>
      </c>
      <c r="BD59" s="650" t="n">
        <v>46006</v>
      </c>
      <c r="BE59" s="650" t="n">
        <v>46013</v>
      </c>
      <c r="BF59" s="650" t="n">
        <v>46020</v>
      </c>
      <c r="BG59" s="650" t="n">
        <v>46027</v>
      </c>
      <c r="BH59" s="650" t="n">
        <v>46034</v>
      </c>
      <c r="BI59" s="650" t="n">
        <v>46041</v>
      </c>
      <c r="BJ59" s="650" t="n">
        <v>46048</v>
      </c>
      <c r="BK59" s="650" t="n">
        <v>46055</v>
      </c>
      <c r="BL59" s="650" t="n">
        <v>46062</v>
      </c>
      <c r="BM59" s="650" t="n">
        <v>46069</v>
      </c>
      <c r="BN59" s="650" t="n">
        <v>46076</v>
      </c>
      <c r="BO59" s="650" t="n">
        <v>46083</v>
      </c>
      <c r="BP59" s="650" t="n">
        <v>46090</v>
      </c>
      <c r="BQ59" s="650" t="n">
        <v>46097</v>
      </c>
      <c r="BR59" s="650" t="n">
        <v>46104</v>
      </c>
      <c r="BS59" s="650" t="n">
        <v>46111</v>
      </c>
      <c r="BT59" s="650" t="n">
        <v>46118</v>
      </c>
      <c r="BU59" s="650" t="n">
        <v>46125</v>
      </c>
      <c r="BV59" s="650" t="n">
        <v>46132</v>
      </c>
      <c r="BW59" s="650" t="n">
        <v>46139</v>
      </c>
      <c r="BX59" s="650" t="n">
        <v>46146</v>
      </c>
      <c r="BY59" s="650" t="n">
        <v>46154</v>
      </c>
      <c r="BZ59" s="650" t="n">
        <v>46160</v>
      </c>
      <c r="CA59" s="650" t="n">
        <v>46160</v>
      </c>
      <c r="CB59" s="652" t="inlineStr">
        <is>
          <t>USOU</t>
        </is>
      </c>
      <c r="CD59" s="413" t="inlineStr">
        <is>
          <t>TRANSFERÊNCIA</t>
        </is>
      </c>
      <c r="CE59" s="35" t="inlineStr">
        <is>
          <t>Pend.</t>
        </is>
      </c>
      <c r="CG59" s="12" t="inlineStr">
        <is>
          <t>Novo Pedido</t>
        </is>
      </c>
      <c r="CI59" s="654" t="n"/>
      <c r="CJ59" s="654" t="n"/>
      <c r="CK59" s="654" t="n">
        <v>46114</v>
      </c>
      <c r="CL59" s="654" t="n">
        <v>46107</v>
      </c>
      <c r="CM59" s="710" t="n">
        <v>46065</v>
      </c>
      <c r="CN59" s="654" t="n">
        <v>46099</v>
      </c>
      <c r="CO59" s="654" t="n">
        <v>46092</v>
      </c>
      <c r="CP59" s="711" t="n">
        <v>46045</v>
      </c>
      <c r="CQ59" s="654" t="n">
        <v>46084</v>
      </c>
      <c r="CR59" s="655" t="n">
        <v>46084</v>
      </c>
      <c r="CS59" s="654" t="n">
        <v>46077</v>
      </c>
      <c r="CT59" s="655" t="n">
        <v>46077</v>
      </c>
      <c r="CU59" s="654" t="n">
        <v>46071</v>
      </c>
      <c r="CV59" s="654" t="n">
        <v>46048</v>
      </c>
      <c r="CW59" s="654" t="n">
        <v>46043</v>
      </c>
      <c r="CX59" s="654" t="n">
        <v>46035</v>
      </c>
      <c r="CY59" s="654" t="n">
        <v>46029</v>
      </c>
      <c r="CZ59" s="655" t="n">
        <v>46043</v>
      </c>
      <c r="DA59" s="654" t="n">
        <v>46024</v>
      </c>
      <c r="DB59" s="654" t="n">
        <v>46029</v>
      </c>
      <c r="DC59" s="654" t="n">
        <v>46024</v>
      </c>
      <c r="DD59" s="654" t="n">
        <v>46372</v>
      </c>
      <c r="DE59" s="654" t="n">
        <v>46024</v>
      </c>
      <c r="DF59" s="654" t="n">
        <v>46017</v>
      </c>
      <c r="DG59" s="654" t="n">
        <v>46007</v>
      </c>
      <c r="DH59" s="654" t="n">
        <v>46001</v>
      </c>
      <c r="DI59" s="654" t="n">
        <v>46007</v>
      </c>
      <c r="DJ59" s="654" t="n">
        <v>46001</v>
      </c>
      <c r="DK59" s="654" t="n">
        <v>45994</v>
      </c>
      <c r="DL59" s="654" t="n">
        <v>45986</v>
      </c>
      <c r="DM59" s="654" t="n">
        <v>45980</v>
      </c>
      <c r="DN59" s="654" t="n">
        <v>45980</v>
      </c>
      <c r="DO59" s="654" t="n">
        <v>45973</v>
      </c>
      <c r="DP59" s="654" t="n">
        <v>45965</v>
      </c>
      <c r="DQ59" s="654" t="n">
        <v>45960</v>
      </c>
      <c r="DR59" s="654" t="n">
        <v>45945</v>
      </c>
      <c r="DS59" s="654" t="n">
        <v>45939</v>
      </c>
      <c r="DT59" s="654" t="n">
        <v>45931</v>
      </c>
      <c r="DU59" s="678" t="n">
        <v>45903</v>
      </c>
      <c r="DV59" s="654" t="n">
        <v>45923</v>
      </c>
      <c r="DW59" s="654" t="n">
        <v>45915</v>
      </c>
      <c r="DX59" s="655" t="n">
        <v>45931</v>
      </c>
      <c r="DY59" s="688" t="n">
        <v>45931</v>
      </c>
      <c r="DZ59" s="688" t="n">
        <v>45931</v>
      </c>
      <c r="EA59" s="18" t="n"/>
      <c r="EB59" s="18" t="n"/>
      <c r="EC59" s="18" t="n"/>
      <c r="ED59" s="18" t="n"/>
      <c r="EE59" s="18" t="n"/>
      <c r="EF59" s="18" t="n"/>
      <c r="EG59" s="18" t="n"/>
      <c r="EH59" s="18" t="n"/>
      <c r="EI59" s="18" t="n"/>
      <c r="EJ59" s="18" t="n"/>
      <c r="EK59" s="18" t="n"/>
      <c r="EL59" s="18" t="n"/>
      <c r="EM59" s="18" t="n"/>
      <c r="EN59" s="18" t="n"/>
      <c r="EO59" s="18" t="n"/>
      <c r="EP59" s="18" t="n"/>
      <c r="EQ59" s="18" t="n"/>
      <c r="ER59" s="18" t="n"/>
      <c r="ES59" s="18" t="n"/>
      <c r="ET59" s="18" t="n"/>
      <c r="EU59" s="18" t="n"/>
      <c r="EV59" s="18" t="n"/>
      <c r="EW59" s="18" t="n"/>
      <c r="EX59" s="18" t="n"/>
      <c r="EY59" s="18" t="n"/>
      <c r="EZ59" s="18" t="n"/>
      <c r="FA59" s="18" t="n"/>
      <c r="FB59" s="18" t="n"/>
      <c r="FC59" s="18" t="n"/>
      <c r="FD59" s="274" t="n"/>
      <c r="FE59" s="18" t="n"/>
      <c r="FF59" s="18" t="n"/>
      <c r="FG59" s="274" t="n"/>
      <c r="FH59" s="18" t="n"/>
      <c r="FI59" s="18" t="n"/>
      <c r="FJ59" s="18" t="n"/>
      <c r="FK59" s="18" t="n"/>
      <c r="FL59" s="18" t="n"/>
      <c r="FM59" s="274" t="n"/>
      <c r="FN59" s="18" t="n"/>
      <c r="FO59" s="18" t="n"/>
      <c r="FP59" s="18" t="n"/>
      <c r="FQ59" s="18" t="n"/>
      <c r="FR59" s="18" t="n"/>
      <c r="FS59" s="18" t="n"/>
      <c r="FT59" s="18" t="n">
        <v>600</v>
      </c>
      <c r="FU59" s="18" t="n"/>
      <c r="FV59" s="274" t="n"/>
      <c r="FW59" s="18" t="n"/>
      <c r="FX59" s="18" t="n"/>
      <c r="FY59" s="18" t="n"/>
      <c r="FZ59" s="274" t="n"/>
      <c r="GA59" s="18" t="n">
        <v>1200</v>
      </c>
      <c r="GB59" s="18" t="n"/>
      <c r="GC59" s="18" t="n"/>
      <c r="GD59" s="18" t="n"/>
      <c r="GE59" s="18" t="n">
        <v>300</v>
      </c>
      <c r="GF59" s="18" t="n"/>
      <c r="GG59" s="18" t="n"/>
      <c r="GH59" s="260" t="n"/>
      <c r="GI59" s="18" t="n"/>
      <c r="GJ59" s="18" t="n"/>
      <c r="GK59" s="18" t="n"/>
      <c r="GL59" s="18" t="n"/>
      <c r="GM59" s="18" t="n">
        <v>900</v>
      </c>
      <c r="GN59" s="18" t="n"/>
      <c r="GO59" s="18" t="n"/>
      <c r="GP59" s="18" t="n"/>
      <c r="GQ59" s="18" t="n"/>
      <c r="GT59" s="733" t="inlineStr">
        <is>
          <t>Ñ FAZEMOS REPOSIÇÃO DE QDB</t>
        </is>
      </c>
      <c r="GU59" s="718" t="n"/>
    </row>
    <row r="60" hidden="1" ht="18.75" customHeight="1">
      <c r="A60" s="43" t="inlineStr">
        <is>
          <t>SACOLA P QDB</t>
        </is>
      </c>
      <c r="B60" s="149" t="n">
        <v>300</v>
      </c>
      <c r="C60" s="726" t="n">
        <v>178.29</v>
      </c>
      <c r="D60" s="329" t="n">
        <v>300</v>
      </c>
      <c r="F60" s="9" t="n">
        <v>300</v>
      </c>
      <c r="G60" s="9" t="n">
        <v>300</v>
      </c>
      <c r="H60" s="9" t="n">
        <v>1200</v>
      </c>
      <c r="I60" s="9" t="n">
        <v>1200</v>
      </c>
      <c r="J60" s="9" t="n">
        <v>900</v>
      </c>
      <c r="K60" s="9" t="n">
        <v>600</v>
      </c>
      <c r="L60" s="9">
        <f>600+GE59</f>
        <v/>
      </c>
      <c r="M60" s="9" t="n">
        <v>600</v>
      </c>
      <c r="N60" s="9">
        <f>300+GA59</f>
        <v/>
      </c>
      <c r="O60" s="9" t="n">
        <v>1200</v>
      </c>
      <c r="P60" s="9" t="n">
        <v>1200</v>
      </c>
      <c r="Q60" s="9" t="n">
        <v>0</v>
      </c>
      <c r="R60" s="9" t="n">
        <v>0</v>
      </c>
      <c r="S60" s="9" t="n">
        <v>0</v>
      </c>
      <c r="T60" s="9">
        <f>0+FT59</f>
        <v/>
      </c>
      <c r="U60" s="9" t="n">
        <v>600</v>
      </c>
      <c r="V60" s="9" t="n">
        <v>600</v>
      </c>
      <c r="W60" s="9" t="n">
        <v>600</v>
      </c>
      <c r="X60" s="9" t="n">
        <v>600</v>
      </c>
      <c r="Y60" s="9" t="n">
        <v>300</v>
      </c>
      <c r="Z60" s="9" t="n">
        <v>300</v>
      </c>
      <c r="AA60" s="9" t="n">
        <v>0</v>
      </c>
      <c r="AB60" s="9" t="n">
        <v>0</v>
      </c>
      <c r="AC60" s="9" t="n">
        <v>0</v>
      </c>
      <c r="AD60" s="9" t="n">
        <v>0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>
        <v>0</v>
      </c>
      <c r="AK60" s="9" t="n">
        <v>0</v>
      </c>
      <c r="AL60" s="9" t="n">
        <v>0</v>
      </c>
      <c r="AM60" s="9" t="n">
        <v>0</v>
      </c>
      <c r="AN60" s="9" t="n">
        <v>0</v>
      </c>
      <c r="AO60" s="9" t="n">
        <v>0</v>
      </c>
      <c r="AP60" s="9" t="n">
        <v>0</v>
      </c>
      <c r="AQ60" s="9" t="n">
        <v>0</v>
      </c>
      <c r="AR60" s="9" t="n">
        <v>0</v>
      </c>
      <c r="AS60" s="9" t="n">
        <v>0</v>
      </c>
      <c r="AT60" s="9" t="n">
        <v>0</v>
      </c>
      <c r="AU60" s="9" t="n">
        <v>0</v>
      </c>
      <c r="AV60" s="9" t="n">
        <v>0</v>
      </c>
      <c r="AW60" s="9" t="n">
        <v>0</v>
      </c>
      <c r="AX60" s="9" t="n">
        <v>0</v>
      </c>
      <c r="AY60" s="9" t="n">
        <v>0</v>
      </c>
      <c r="AZ60" s="9" t="n">
        <v>0</v>
      </c>
      <c r="BA60" s="9" t="n">
        <v>0</v>
      </c>
      <c r="BB60" s="9" t="n">
        <v>0</v>
      </c>
      <c r="BC60" s="9" t="n">
        <v>0</v>
      </c>
      <c r="BD60" s="9" t="n">
        <v>0</v>
      </c>
      <c r="BE60" s="9" t="n">
        <v>0</v>
      </c>
      <c r="BF60" s="9" t="n">
        <v>0</v>
      </c>
      <c r="BG60" s="9" t="n">
        <v>0</v>
      </c>
      <c r="BH60" s="9" t="n">
        <v>0</v>
      </c>
      <c r="BI60" s="9" t="n">
        <v>0</v>
      </c>
      <c r="BJ60" s="9" t="n">
        <v>0</v>
      </c>
      <c r="BK60" s="9" t="n">
        <v>0</v>
      </c>
      <c r="BL60" s="9" t="n">
        <v>0</v>
      </c>
      <c r="BM60" s="9" t="n">
        <v>0</v>
      </c>
      <c r="BN60" s="9" t="n">
        <v>0</v>
      </c>
      <c r="BO60" s="9" t="n">
        <v>0</v>
      </c>
      <c r="BP60" s="9" t="n">
        <v>0</v>
      </c>
      <c r="BQ60" s="9" t="n">
        <v>0</v>
      </c>
      <c r="BR60" s="9" t="n">
        <v>0</v>
      </c>
      <c r="BS60" s="9" t="n">
        <v>0</v>
      </c>
      <c r="BT60" s="9" t="n">
        <v>0</v>
      </c>
      <c r="BU60" s="9" t="n">
        <v>0</v>
      </c>
      <c r="BV60" s="9" t="n">
        <v>0</v>
      </c>
      <c r="BW60" s="9" t="n">
        <v>0</v>
      </c>
      <c r="BX60" s="9" t="n">
        <v>0</v>
      </c>
      <c r="BY60" s="9" t="n"/>
      <c r="BZ60" s="9" t="n"/>
      <c r="CA60" s="9" t="n"/>
      <c r="CB60" s="154">
        <f>BZ60+IF(NOT(ISBLANK(OFFSET(CB60,0,6))),N(OFFSET(CB60,0,6)),N(OFFSET(CB60,0,7)))-CA60</f>
        <v/>
      </c>
      <c r="CD60" s="317" t="n"/>
      <c r="CE60" s="317" t="n"/>
      <c r="CG60" s="27" t="n"/>
      <c r="CI60" s="18" t="n">
        <v>0</v>
      </c>
      <c r="CJ60" s="18" t="n">
        <v>0</v>
      </c>
      <c r="CK60" s="18" t="n"/>
      <c r="CL60" s="18" t="n"/>
      <c r="CM60" s="18" t="n"/>
      <c r="CN60" s="18" t="n"/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18" t="n"/>
      <c r="DM60" s="18" t="n"/>
      <c r="DN60" s="18" t="n"/>
      <c r="DO60" s="18" t="n"/>
      <c r="DP60" s="18" t="n"/>
      <c r="DQ60" s="18" t="n"/>
      <c r="DR60" s="18" t="n"/>
      <c r="DS60" s="18" t="n"/>
      <c r="DT60" s="18" t="n"/>
      <c r="DU60" s="396" t="n"/>
      <c r="DV60" s="18" t="n"/>
      <c r="DW60" s="18" t="n"/>
      <c r="DX60" s="256" t="n"/>
      <c r="DY60" s="256" t="n"/>
      <c r="DZ60" s="256" t="n"/>
      <c r="EA60" s="18" t="n"/>
      <c r="EB60" s="18" t="n"/>
      <c r="EC60" s="18" t="n"/>
      <c r="ED60" s="18" t="n"/>
      <c r="EE60" s="18" t="n"/>
      <c r="EF60" s="18" t="n"/>
      <c r="EG60" s="18" t="n"/>
      <c r="EH60" s="18" t="n"/>
      <c r="EI60" s="18" t="n"/>
      <c r="EJ60" s="18" t="n"/>
      <c r="EK60" s="18" t="n"/>
      <c r="EL60" s="18" t="n"/>
      <c r="EM60" s="18" t="n"/>
      <c r="EN60" s="18" t="n"/>
      <c r="EO60" s="18" t="n"/>
      <c r="EP60" s="18" t="n"/>
      <c r="EQ60" s="18" t="n"/>
      <c r="ER60" s="18" t="n"/>
      <c r="ES60" s="18" t="n"/>
      <c r="ET60" s="18" t="n"/>
      <c r="EU60" s="18" t="n"/>
      <c r="EV60" s="18" t="n"/>
      <c r="EW60" s="18" t="n"/>
      <c r="EX60" s="18" t="n"/>
      <c r="EY60" s="18" t="n"/>
      <c r="EZ60" s="18" t="n"/>
      <c r="FA60" s="18" t="n"/>
      <c r="FB60" s="18" t="n"/>
      <c r="FC60" s="18" t="n"/>
      <c r="FD60" s="274" t="n"/>
      <c r="FE60" s="18" t="n"/>
      <c r="FF60" s="18" t="n"/>
      <c r="FG60" s="274" t="n"/>
      <c r="FH60" s="18" t="n"/>
      <c r="FI60" s="18" t="n"/>
      <c r="FJ60" s="18" t="n"/>
      <c r="FK60" s="18" t="n"/>
      <c r="FL60" s="18" t="n"/>
      <c r="FM60" s="274" t="n"/>
      <c r="FN60" s="18" t="n"/>
      <c r="FO60" s="18" t="n"/>
      <c r="FP60" s="18" t="n"/>
      <c r="FQ60" s="18" t="n">
        <v>400</v>
      </c>
      <c r="FR60" s="18" t="n"/>
      <c r="FS60" s="18" t="n"/>
      <c r="FT60" s="18" t="n"/>
      <c r="FU60" s="18" t="n"/>
      <c r="FV60" s="274" t="n"/>
      <c r="FW60" s="18" t="n">
        <v>200</v>
      </c>
      <c r="FX60" s="18" t="n">
        <v>400</v>
      </c>
      <c r="FY60" s="18" t="n"/>
      <c r="FZ60" s="274" t="n"/>
      <c r="GA60" s="18" t="n"/>
      <c r="GB60" s="18" t="n"/>
      <c r="GC60" s="18" t="n"/>
      <c r="GD60" s="18" t="n"/>
      <c r="GE60" s="18" t="n">
        <v>400</v>
      </c>
      <c r="GF60" s="18" t="n"/>
      <c r="GG60" s="18" t="n"/>
      <c r="GH60" s="260" t="n"/>
      <c r="GI60" s="18" t="n"/>
      <c r="GJ60" s="18" t="n"/>
      <c r="GK60" s="18" t="n"/>
      <c r="GL60" s="18" t="n"/>
      <c r="GM60" s="18" t="n"/>
      <c r="GN60" s="18" t="n"/>
      <c r="GO60" s="18" t="n"/>
      <c r="GP60" s="18" t="n"/>
      <c r="GQ60" s="18" t="n"/>
      <c r="GT60" s="719" t="n"/>
      <c r="GU60" s="720" t="n"/>
    </row>
    <row r="61" hidden="1" ht="18.75" customHeight="1">
      <c r="A61" s="43" t="inlineStr">
        <is>
          <t>SACOLA M  QDB</t>
        </is>
      </c>
      <c r="B61" s="149" t="n">
        <v>200</v>
      </c>
      <c r="C61" s="726" t="n">
        <v>183.98</v>
      </c>
      <c r="D61" s="329" t="n">
        <v>200</v>
      </c>
      <c r="F61" s="9" t="n">
        <v>400</v>
      </c>
      <c r="G61" s="9" t="n">
        <v>400</v>
      </c>
      <c r="H61" s="9" t="n">
        <v>400</v>
      </c>
      <c r="I61" s="9" t="n">
        <v>400</v>
      </c>
      <c r="J61" s="9" t="n">
        <v>200</v>
      </c>
      <c r="K61" s="9" t="n">
        <v>0</v>
      </c>
      <c r="L61" s="9" t="n">
        <v>600</v>
      </c>
      <c r="M61" s="9" t="n">
        <v>600</v>
      </c>
      <c r="N61" s="9" t="n">
        <v>400</v>
      </c>
      <c r="O61" s="9">
        <f>400+FX60</f>
        <v/>
      </c>
      <c r="P61" s="9" t="n">
        <v>800</v>
      </c>
      <c r="Q61" s="9" t="n">
        <v>800</v>
      </c>
      <c r="R61" s="9" t="n">
        <v>800</v>
      </c>
      <c r="S61" s="9" t="n">
        <v>800</v>
      </c>
      <c r="T61" s="9" t="n">
        <v>800</v>
      </c>
      <c r="U61" s="9" t="n">
        <v>800</v>
      </c>
      <c r="V61" s="9" t="n">
        <v>600</v>
      </c>
      <c r="W61" s="9" t="n">
        <v>600</v>
      </c>
      <c r="X61" s="9" t="n">
        <v>1000</v>
      </c>
      <c r="Y61" s="9" t="n">
        <v>800</v>
      </c>
      <c r="Z61" s="9" t="n">
        <v>800</v>
      </c>
      <c r="AA61" s="9" t="n">
        <v>800</v>
      </c>
      <c r="AB61" s="9" t="n">
        <v>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>
        <v>0</v>
      </c>
      <c r="AK61" s="9" t="n">
        <v>0</v>
      </c>
      <c r="AL61" s="9" t="n">
        <v>0</v>
      </c>
      <c r="AM61" s="9" t="n">
        <v>0</v>
      </c>
      <c r="AN61" s="9" t="n">
        <v>0</v>
      </c>
      <c r="AO61" s="9" t="n">
        <v>0</v>
      </c>
      <c r="AP61" s="9" t="n">
        <v>0</v>
      </c>
      <c r="AQ61" s="9" t="n">
        <v>0</v>
      </c>
      <c r="AR61" s="9" t="n">
        <v>0</v>
      </c>
      <c r="AS61" s="9" t="n">
        <v>0</v>
      </c>
      <c r="AT61" s="9" t="n">
        <v>0</v>
      </c>
      <c r="AU61" s="9" t="n">
        <v>0</v>
      </c>
      <c r="AV61" s="9" t="n">
        <v>0</v>
      </c>
      <c r="AW61" s="9" t="n">
        <v>0</v>
      </c>
      <c r="AX61" s="9" t="n">
        <v>0</v>
      </c>
      <c r="AY61" s="9" t="n">
        <v>0</v>
      </c>
      <c r="AZ61" s="9" t="n">
        <v>0</v>
      </c>
      <c r="BA61" s="9" t="n">
        <v>0</v>
      </c>
      <c r="BB61" s="9" t="n">
        <v>0</v>
      </c>
      <c r="BC61" s="9" t="n">
        <v>0</v>
      </c>
      <c r="BD61" s="9" t="n">
        <v>0</v>
      </c>
      <c r="BE61" s="9" t="n">
        <v>0</v>
      </c>
      <c r="BF61" s="9" t="n">
        <v>0</v>
      </c>
      <c r="BG61" s="9" t="n">
        <v>0</v>
      </c>
      <c r="BH61" s="9" t="n">
        <v>0</v>
      </c>
      <c r="BI61" s="9" t="n">
        <v>0</v>
      </c>
      <c r="BJ61" s="9" t="n">
        <v>0</v>
      </c>
      <c r="BK61" s="9" t="n">
        <v>0</v>
      </c>
      <c r="BL61" s="9" t="n">
        <v>0</v>
      </c>
      <c r="BM61" s="9" t="n">
        <v>0</v>
      </c>
      <c r="BN61" s="9" t="n">
        <v>0</v>
      </c>
      <c r="BO61" s="9" t="n">
        <v>0</v>
      </c>
      <c r="BP61" s="9" t="n">
        <v>0</v>
      </c>
      <c r="BQ61" s="9" t="n">
        <v>0</v>
      </c>
      <c r="BR61" s="9" t="n">
        <v>0</v>
      </c>
      <c r="BS61" s="9" t="n">
        <v>0</v>
      </c>
      <c r="BT61" s="9" t="n">
        <v>0</v>
      </c>
      <c r="BU61" s="9" t="n">
        <v>0</v>
      </c>
      <c r="BV61" s="9" t="n">
        <v>0</v>
      </c>
      <c r="BW61" s="9" t="n">
        <v>0</v>
      </c>
      <c r="BX61" s="9" t="n">
        <v>0</v>
      </c>
      <c r="BY61" s="9" t="n"/>
      <c r="BZ61" s="9" t="n"/>
      <c r="CA61" s="9" t="n"/>
      <c r="CB61" s="154">
        <f>BZ61+IF(NOT(ISBLANK(OFFSET(CB61,0,6))),N(OFFSET(CB61,0,6)),N(OFFSET(CB61,0,7)))-CA61</f>
        <v/>
      </c>
      <c r="CD61" s="317" t="n"/>
      <c r="CE61" s="317" t="n"/>
      <c r="CG61" s="27" t="n"/>
      <c r="CI61" s="18" t="n">
        <v>0</v>
      </c>
      <c r="CJ61" s="18" t="n">
        <v>0</v>
      </c>
      <c r="CK61" s="18" t="n"/>
      <c r="CL61" s="18" t="n"/>
      <c r="CM61" s="18" t="n"/>
      <c r="CN61" s="18" t="n"/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18" t="n"/>
      <c r="DM61" s="18" t="n"/>
      <c r="DN61" s="18" t="n"/>
      <c r="DO61" s="18" t="n"/>
      <c r="DP61" s="18" t="n"/>
      <c r="DQ61" s="18" t="n"/>
      <c r="DR61" s="18" t="n"/>
      <c r="DS61" s="18" t="n"/>
      <c r="DT61" s="18" t="n"/>
      <c r="DU61" s="396" t="n"/>
      <c r="DV61" s="18" t="n"/>
      <c r="DW61" s="18" t="n"/>
      <c r="DX61" s="256" t="n"/>
      <c r="DY61" s="256" t="n"/>
      <c r="DZ61" s="256" t="n"/>
      <c r="EA61" s="18" t="n"/>
      <c r="EB61" s="18" t="n"/>
      <c r="EC61" s="18" t="n"/>
      <c r="ED61" s="18" t="n"/>
      <c r="EE61" s="18" t="n"/>
      <c r="EF61" s="18" t="n"/>
      <c r="EG61" s="18" t="n"/>
      <c r="EH61" s="18" t="n"/>
      <c r="EI61" s="18" t="n"/>
      <c r="EJ61" s="18" t="n"/>
      <c r="EK61" s="18" t="n"/>
      <c r="EL61" s="18" t="n"/>
      <c r="EM61" s="18" t="n"/>
      <c r="EN61" s="18" t="n"/>
      <c r="EO61" s="18" t="n"/>
      <c r="EP61" s="18" t="n"/>
      <c r="EQ61" s="18" t="n"/>
      <c r="ER61" s="18" t="n"/>
      <c r="ES61" s="18" t="n"/>
      <c r="ET61" s="18" t="n"/>
      <c r="EU61" s="18" t="n"/>
      <c r="EV61" s="18" t="n"/>
      <c r="EW61" s="18" t="n"/>
      <c r="EX61" s="18" t="n"/>
      <c r="EY61" s="18" t="n"/>
      <c r="EZ61" s="18" t="n"/>
      <c r="FA61" s="18" t="n"/>
      <c r="FB61" s="18" t="n"/>
      <c r="FC61" s="18" t="n"/>
      <c r="FD61" s="274" t="n"/>
      <c r="FE61" s="239" t="inlineStr">
        <is>
          <t>1400 DE CD</t>
        </is>
      </c>
      <c r="FF61" s="18" t="n"/>
      <c r="FG61" s="274" t="n"/>
      <c r="FH61" s="18" t="n"/>
      <c r="FI61" s="18" t="n"/>
      <c r="FJ61" s="18" t="n"/>
      <c r="FK61" s="18" t="n"/>
      <c r="FL61" s="18" t="n"/>
      <c r="FM61" s="274" t="n"/>
      <c r="FN61" s="18" t="n"/>
      <c r="FO61" s="18" t="n"/>
      <c r="FP61" s="18" t="n"/>
      <c r="FQ61" s="18" t="n"/>
      <c r="FR61" s="18" t="n"/>
      <c r="FS61" s="18" t="n"/>
      <c r="FT61" s="18" t="n"/>
      <c r="FU61" s="18" t="n"/>
      <c r="FV61" s="274" t="n"/>
      <c r="FW61" s="18" t="n"/>
      <c r="FX61" s="18" t="n"/>
      <c r="FY61" s="18" t="n"/>
      <c r="FZ61" s="274" t="n"/>
      <c r="GA61" s="18" t="n"/>
      <c r="GB61" s="18" t="n"/>
      <c r="GC61" s="18" t="n"/>
      <c r="GD61" s="18" t="n"/>
      <c r="GE61" s="18" t="n"/>
      <c r="GF61" s="18" t="n"/>
      <c r="GG61" s="18" t="n"/>
      <c r="GH61" s="18" t="n"/>
      <c r="GI61" s="18" t="n"/>
      <c r="GJ61" s="18" t="n"/>
      <c r="GK61" s="18" t="n"/>
      <c r="GL61" s="18" t="n"/>
      <c r="GM61" s="18" t="n"/>
      <c r="GN61" s="18" t="n"/>
      <c r="GO61" s="18" t="n"/>
      <c r="GP61" s="18" t="n"/>
      <c r="GQ61" s="18" t="n"/>
      <c r="GT61" s="719" t="n"/>
      <c r="GU61" s="720" t="n"/>
    </row>
    <row r="62" hidden="1" ht="18.75" customHeight="1">
      <c r="A62" s="43" t="inlineStr">
        <is>
          <t>SACOLA G  QDB</t>
        </is>
      </c>
      <c r="B62" s="149" t="n">
        <v>200</v>
      </c>
      <c r="C62" s="726" t="n">
        <v>241.86</v>
      </c>
      <c r="D62" s="329" t="n">
        <v>50</v>
      </c>
      <c r="F62" s="9" t="n">
        <v>1200</v>
      </c>
      <c r="G62" s="9" t="n">
        <v>1200</v>
      </c>
      <c r="H62" s="9" t="n">
        <v>1200</v>
      </c>
      <c r="I62" s="9" t="n">
        <v>1200</v>
      </c>
      <c r="J62" s="9" t="n">
        <v>1200</v>
      </c>
      <c r="K62" s="9" t="n">
        <v>1200</v>
      </c>
      <c r="L62" s="9" t="n">
        <v>1200</v>
      </c>
      <c r="M62" s="9" t="n">
        <v>1000</v>
      </c>
      <c r="N62" s="9" t="n">
        <v>1000</v>
      </c>
      <c r="O62" s="9" t="n">
        <v>1000</v>
      </c>
      <c r="P62" s="9" t="n">
        <v>1000</v>
      </c>
      <c r="Q62" s="9" t="n">
        <v>1000</v>
      </c>
      <c r="R62" s="9" t="n">
        <v>1000</v>
      </c>
      <c r="S62" s="9" t="n">
        <v>1000</v>
      </c>
      <c r="T62" s="9" t="n">
        <v>1000</v>
      </c>
      <c r="U62" s="9" t="n">
        <v>1000</v>
      </c>
      <c r="V62" s="9" t="n">
        <v>1000</v>
      </c>
      <c r="W62" s="9" t="n">
        <v>1000</v>
      </c>
      <c r="X62" s="9" t="n">
        <v>800</v>
      </c>
      <c r="Y62" s="9" t="n">
        <v>800</v>
      </c>
      <c r="Z62" s="9">
        <f>800+1400</f>
        <v/>
      </c>
      <c r="AA62" s="9" t="n">
        <v>1800</v>
      </c>
      <c r="AB62" s="9" t="n">
        <v>1400</v>
      </c>
      <c r="AC62" s="9" t="n">
        <v>1200</v>
      </c>
      <c r="AD62" s="9" t="n">
        <v>400</v>
      </c>
      <c r="AE62" s="9" t="n">
        <v>400</v>
      </c>
      <c r="AF62" s="9" t="n">
        <v>0</v>
      </c>
      <c r="AG62" s="9" t="n">
        <v>0</v>
      </c>
      <c r="AH62" s="9" t="n">
        <v>0</v>
      </c>
      <c r="AI62" s="9" t="n">
        <v>0</v>
      </c>
      <c r="AJ62" s="9" t="n">
        <v>0</v>
      </c>
      <c r="AK62" s="9" t="n">
        <v>0</v>
      </c>
      <c r="AL62" s="9" t="n">
        <v>0</v>
      </c>
      <c r="AM62" s="9" t="n">
        <v>0</v>
      </c>
      <c r="AN62" s="9" t="n">
        <v>0</v>
      </c>
      <c r="AO62" s="9" t="n">
        <v>0</v>
      </c>
      <c r="AP62" s="9" t="n">
        <v>0</v>
      </c>
      <c r="AQ62" s="9" t="n">
        <v>0</v>
      </c>
      <c r="AR62" s="9" t="n">
        <v>0</v>
      </c>
      <c r="AS62" s="9" t="n">
        <v>0</v>
      </c>
      <c r="AT62" s="9" t="n">
        <v>200</v>
      </c>
      <c r="AU62" s="9" t="n">
        <v>200</v>
      </c>
      <c r="AV62" s="9" t="n">
        <v>400</v>
      </c>
      <c r="AW62" s="9" t="n">
        <v>400</v>
      </c>
      <c r="AX62" s="9" t="n">
        <v>400</v>
      </c>
      <c r="AY62" s="9" t="n">
        <v>400</v>
      </c>
      <c r="AZ62" s="9" t="n">
        <v>400</v>
      </c>
      <c r="BA62" s="9" t="n">
        <v>400</v>
      </c>
      <c r="BB62" s="190" t="n">
        <v>200</v>
      </c>
      <c r="BC62" s="9" t="n">
        <v>200</v>
      </c>
      <c r="BD62" s="9" t="n">
        <v>0</v>
      </c>
      <c r="BE62" s="9" t="n">
        <v>0</v>
      </c>
      <c r="BF62" s="9" t="n">
        <v>0</v>
      </c>
      <c r="BG62" s="9" t="n">
        <v>0</v>
      </c>
      <c r="BH62" s="9" t="n">
        <v>0</v>
      </c>
      <c r="BI62" s="9">
        <f>0+200</f>
        <v/>
      </c>
      <c r="BJ62" s="9" t="n">
        <v>200</v>
      </c>
      <c r="BK62" s="9" t="n">
        <v>200</v>
      </c>
      <c r="BL62" s="9" t="n">
        <v>200</v>
      </c>
      <c r="BM62" s="9" t="n">
        <v>200</v>
      </c>
      <c r="BN62" s="9" t="n">
        <v>200</v>
      </c>
      <c r="BO62" s="9" t="n">
        <v>200</v>
      </c>
      <c r="BP62" s="9" t="n">
        <v>0</v>
      </c>
      <c r="BQ62" s="9" t="n">
        <v>0</v>
      </c>
      <c r="BR62" s="9" t="n">
        <v>0</v>
      </c>
      <c r="BS62" s="9" t="n">
        <v>0</v>
      </c>
      <c r="BT62" s="9" t="n">
        <v>0</v>
      </c>
      <c r="BU62" s="9" t="n">
        <v>0</v>
      </c>
      <c r="BV62" s="9" t="n">
        <v>0</v>
      </c>
      <c r="BW62" s="9" t="n">
        <v>0</v>
      </c>
      <c r="BX62" s="9" t="n">
        <v>0</v>
      </c>
      <c r="BY62" s="9" t="n"/>
      <c r="BZ62" s="9" t="n"/>
      <c r="CA62" s="9" t="n"/>
      <c r="CB62" s="154">
        <f>BZ62+IF(NOT(ISBLANK(OFFSET(CB62,0,6))),N(OFFSET(CB62,0,6)),N(OFFSET(CB62,0,7)))-CA62</f>
        <v/>
      </c>
      <c r="CD62" s="317" t="n"/>
      <c r="CE62" s="317" t="n"/>
      <c r="CG62" s="19" t="n"/>
      <c r="CI62" s="18" t="n">
        <v>0</v>
      </c>
      <c r="CJ62" s="18" t="n">
        <v>0</v>
      </c>
      <c r="CK62" s="18" t="n"/>
      <c r="CL62" s="18" t="n"/>
      <c r="CM62" s="18" t="n"/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54" t="inlineStr">
        <is>
          <t>200 DE ER MG</t>
        </is>
      </c>
      <c r="DA62" s="18" t="n"/>
      <c r="DB62" s="18" t="n"/>
      <c r="DC62" s="18" t="n"/>
      <c r="DD62" s="18" t="n"/>
      <c r="DE62" s="18" t="n"/>
      <c r="DF62" s="18" t="n"/>
      <c r="DG62" s="18" t="n"/>
      <c r="DH62" s="18" t="n"/>
      <c r="DI62" s="18" t="n"/>
      <c r="DJ62" s="18" t="n"/>
      <c r="DK62" s="18" t="n"/>
      <c r="DL62" s="18" t="n"/>
      <c r="DM62" s="18" t="n"/>
      <c r="DN62" s="18" t="n"/>
      <c r="DO62" s="18" t="n"/>
      <c r="DP62" s="18" t="n"/>
      <c r="DQ62" s="18" t="n"/>
      <c r="DR62" s="18" t="n"/>
      <c r="DS62" s="18" t="n"/>
      <c r="DT62" s="18" t="n"/>
      <c r="DU62" s="396" t="n"/>
      <c r="DV62" s="18" t="n"/>
      <c r="DW62" s="18" t="n"/>
      <c r="DX62" s="256" t="n"/>
      <c r="DY62" s="256" t="n"/>
      <c r="DZ62" s="256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18" t="n"/>
      <c r="ET62" s="18" t="n"/>
      <c r="EU62" s="18" t="n"/>
      <c r="EV62" s="18" t="n"/>
      <c r="EW62" s="18" t="n"/>
      <c r="EX62" s="18" t="n"/>
      <c r="EY62" s="18" t="n"/>
      <c r="EZ62" s="18" t="n"/>
      <c r="FA62" s="18" t="n"/>
      <c r="FB62" s="18" t="n"/>
      <c r="FC62" s="18" t="n"/>
      <c r="FD62" s="275" t="n"/>
      <c r="FE62" s="18" t="n"/>
      <c r="FF62" s="18" t="n"/>
      <c r="FG62" s="275" t="n"/>
      <c r="FH62" s="18" t="n"/>
      <c r="FI62" s="18" t="n"/>
      <c r="FJ62" s="18" t="n"/>
      <c r="FK62" s="18" t="n"/>
      <c r="FL62" s="18" t="n"/>
      <c r="FM62" s="275" t="n"/>
      <c r="FN62" s="18" t="n"/>
      <c r="FO62" s="18" t="n"/>
      <c r="FP62" s="18" t="n"/>
      <c r="FQ62" s="18" t="n"/>
      <c r="FR62" s="18" t="n"/>
      <c r="FS62" s="18" t="n"/>
      <c r="FT62" s="18" t="n"/>
      <c r="FU62" s="18" t="n"/>
      <c r="FV62" s="275" t="n"/>
      <c r="FW62" s="18" t="n"/>
      <c r="FX62" s="18" t="n"/>
      <c r="FY62" s="18" t="n"/>
      <c r="FZ62" s="275" t="n"/>
      <c r="GA62" s="18" t="n"/>
      <c r="GB62" s="18" t="n"/>
      <c r="GC62" s="18" t="n"/>
      <c r="GD62" s="18" t="n"/>
      <c r="GE62" s="18" t="n"/>
      <c r="GF62" s="18" t="n"/>
      <c r="GG62" s="18" t="n"/>
      <c r="GH62" s="260" t="n"/>
      <c r="GI62" s="18" t="n"/>
      <c r="GJ62" s="18" t="n"/>
      <c r="GK62" s="18" t="n"/>
      <c r="GL62" s="18" t="n"/>
      <c r="GM62" s="18" t="n"/>
      <c r="GN62" s="18" t="n"/>
      <c r="GO62" s="18" t="n"/>
      <c r="GP62" s="18" t="n"/>
      <c r="GQ62" s="18" t="n"/>
      <c r="GT62" s="719" t="n"/>
      <c r="GU62" s="720" t="n"/>
    </row>
    <row r="63" hidden="1" ht="18.75" customHeight="1">
      <c r="A63" s="43" t="inlineStr">
        <is>
          <t>PAPEL DE SEDA  QDB</t>
        </is>
      </c>
      <c r="B63" s="149" t="n">
        <v>100</v>
      </c>
      <c r="C63" s="726" t="n">
        <v>22.98</v>
      </c>
      <c r="D63" s="329" t="n">
        <v>1</v>
      </c>
      <c r="F63" s="9" t="n">
        <v>10</v>
      </c>
      <c r="G63" s="9" t="n">
        <v>10</v>
      </c>
      <c r="H63" s="9" t="n">
        <v>10</v>
      </c>
      <c r="I63" s="9" t="n">
        <v>10</v>
      </c>
      <c r="J63" s="9" t="n">
        <v>10</v>
      </c>
      <c r="K63" s="9" t="n">
        <v>10</v>
      </c>
      <c r="L63" s="9" t="n">
        <v>10</v>
      </c>
      <c r="M63" s="9" t="n">
        <v>10</v>
      </c>
      <c r="N63" s="9" t="n">
        <v>10</v>
      </c>
      <c r="O63" s="9" t="n">
        <v>10</v>
      </c>
      <c r="P63" s="9" t="n">
        <v>10</v>
      </c>
      <c r="Q63" s="9" t="n">
        <v>10</v>
      </c>
      <c r="R63" s="9" t="n">
        <v>10</v>
      </c>
      <c r="S63" s="9" t="n">
        <v>10</v>
      </c>
      <c r="T63" s="9" t="n">
        <v>10</v>
      </c>
      <c r="U63" s="9" t="n">
        <v>10</v>
      </c>
      <c r="V63" s="9" t="n">
        <v>10</v>
      </c>
      <c r="W63" s="9" t="n">
        <v>10</v>
      </c>
      <c r="X63" s="9" t="n">
        <v>10</v>
      </c>
      <c r="Y63" s="9" t="n">
        <v>10</v>
      </c>
      <c r="Z63" s="9" t="n">
        <v>10</v>
      </c>
      <c r="AA63" s="9" t="n">
        <v>10</v>
      </c>
      <c r="AB63" s="9" t="n">
        <v>10</v>
      </c>
      <c r="AC63" s="9" t="n">
        <v>10</v>
      </c>
      <c r="AD63" s="9" t="n">
        <v>10</v>
      </c>
      <c r="AE63" s="9" t="n">
        <v>10</v>
      </c>
      <c r="AF63" s="9" t="n">
        <v>10</v>
      </c>
      <c r="AG63" s="9" t="n">
        <v>10</v>
      </c>
      <c r="AH63" s="9" t="n">
        <v>10</v>
      </c>
      <c r="AI63" s="9" t="n">
        <v>9</v>
      </c>
      <c r="AJ63" s="9" t="n">
        <v>9</v>
      </c>
      <c r="AK63" s="9" t="n">
        <v>9</v>
      </c>
      <c r="AL63" s="9" t="n">
        <v>9</v>
      </c>
      <c r="AM63" s="9" t="n">
        <v>9</v>
      </c>
      <c r="AN63" s="9" t="n">
        <v>9</v>
      </c>
      <c r="AO63" s="9" t="n">
        <v>9</v>
      </c>
      <c r="AP63" s="9" t="n">
        <v>9</v>
      </c>
      <c r="AQ63" s="9" t="n">
        <v>7</v>
      </c>
      <c r="AR63" s="9" t="n">
        <v>7</v>
      </c>
      <c r="AS63" s="9" t="n">
        <v>7</v>
      </c>
      <c r="AT63" s="9" t="n">
        <v>7</v>
      </c>
      <c r="AU63" s="9" t="n">
        <v>7</v>
      </c>
      <c r="AV63" s="9" t="n">
        <v>7</v>
      </c>
      <c r="AW63" s="9" t="n">
        <v>4</v>
      </c>
      <c r="AX63" s="9" t="n">
        <v>4</v>
      </c>
      <c r="AY63" s="9" t="n">
        <v>4</v>
      </c>
      <c r="AZ63" s="9" t="n">
        <v>4</v>
      </c>
      <c r="BA63" s="9" t="n">
        <v>4</v>
      </c>
      <c r="BB63" s="190" t="n">
        <v>4</v>
      </c>
      <c r="BC63" s="9" t="n">
        <v>0</v>
      </c>
      <c r="BD63" s="9" t="n">
        <v>0</v>
      </c>
      <c r="BE63" s="9" t="n">
        <v>0</v>
      </c>
      <c r="BF63" s="9" t="n">
        <v>0</v>
      </c>
      <c r="BG63" s="9" t="n">
        <v>0</v>
      </c>
      <c r="BH63" s="9" t="n">
        <v>0</v>
      </c>
      <c r="BI63" s="9">
        <f>0+3</f>
        <v/>
      </c>
      <c r="BJ63" s="9" t="n">
        <v>0</v>
      </c>
      <c r="BK63" s="9" t="n">
        <v>0</v>
      </c>
      <c r="BL63" s="9" t="n">
        <v>0</v>
      </c>
      <c r="BM63" s="9" t="n">
        <v>0</v>
      </c>
      <c r="BN63" s="9" t="n">
        <v>0</v>
      </c>
      <c r="BO63" s="9" t="n">
        <v>0</v>
      </c>
      <c r="BP63" s="9" t="n">
        <v>0</v>
      </c>
      <c r="BQ63" s="9" t="n">
        <v>0</v>
      </c>
      <c r="BR63" s="9" t="n">
        <v>0</v>
      </c>
      <c r="BS63" s="9" t="n">
        <v>0</v>
      </c>
      <c r="BT63" s="9" t="n">
        <v>0</v>
      </c>
      <c r="BU63" s="9" t="n">
        <v>0</v>
      </c>
      <c r="BV63" s="9" t="n">
        <v>0</v>
      </c>
      <c r="BW63" s="9" t="n">
        <v>0</v>
      </c>
      <c r="BX63" s="9" t="n">
        <v>0</v>
      </c>
      <c r="BY63" s="9" t="n"/>
      <c r="BZ63" s="9" t="n"/>
      <c r="CA63" s="9" t="n"/>
      <c r="CB63" s="154">
        <f>BZ63+IF(NOT(ISBLANK(OFFSET(CB63,0,6))),N(OFFSET(CB63,0,6)),N(OFFSET(CB63,0,7)))-CA63</f>
        <v/>
      </c>
      <c r="CD63" s="317" t="n"/>
      <c r="CE63" s="317" t="n"/>
      <c r="CG63" s="27" t="n"/>
      <c r="CI63" s="18" t="n">
        <v>0</v>
      </c>
      <c r="CJ63" s="18" t="n">
        <v>0</v>
      </c>
      <c r="CK63" s="18" t="n"/>
      <c r="CL63" s="18" t="n"/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54" t="inlineStr">
        <is>
          <t>3 DE ER PBE</t>
        </is>
      </c>
      <c r="DA63" s="18" t="n"/>
      <c r="DB63" s="18" t="n"/>
      <c r="DC63" s="18" t="n"/>
      <c r="DD63" s="18" t="n"/>
      <c r="DE63" s="18" t="n"/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18" t="n"/>
      <c r="DO63" s="18" t="n"/>
      <c r="DP63" s="18" t="n"/>
      <c r="DQ63" s="18" t="n"/>
      <c r="DR63" s="18" t="n"/>
      <c r="DS63" s="18" t="n"/>
      <c r="DT63" s="18" t="n"/>
      <c r="DU63" s="396" t="n"/>
      <c r="DV63" s="18" t="n"/>
      <c r="DW63" s="18" t="n"/>
      <c r="DX63" s="256" t="n"/>
      <c r="DY63" s="256" t="n"/>
      <c r="DZ63" s="256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18" t="n"/>
      <c r="ET63" s="18" t="n"/>
      <c r="EU63" s="18" t="n"/>
      <c r="EV63" s="18" t="n"/>
      <c r="EW63" s="18" t="n"/>
      <c r="EX63" s="18" t="n"/>
      <c r="EY63" s="18" t="n"/>
      <c r="EZ63" s="18" t="n"/>
      <c r="FA63" s="18" t="n"/>
      <c r="FB63" s="18" t="n"/>
      <c r="FC63" s="18" t="n"/>
      <c r="FD63" s="275" t="n"/>
      <c r="FE63" s="18" t="n"/>
      <c r="FF63" s="18" t="n"/>
      <c r="FG63" s="275" t="n"/>
      <c r="FH63" s="18" t="n"/>
      <c r="FI63" s="18" t="n"/>
      <c r="FJ63" s="18" t="n"/>
      <c r="FK63" s="18" t="n"/>
      <c r="FL63" s="18" t="n"/>
      <c r="FM63" s="275" t="n"/>
      <c r="FN63" s="18" t="n"/>
      <c r="FO63" s="18" t="n"/>
      <c r="FP63" s="18" t="n"/>
      <c r="FQ63" s="18" t="n"/>
      <c r="FR63" s="18" t="n"/>
      <c r="FS63" s="18" t="n"/>
      <c r="FT63" s="18" t="n"/>
      <c r="FU63" s="18" t="n"/>
      <c r="FV63" s="275" t="n"/>
      <c r="FW63" s="18" t="n">
        <v>2</v>
      </c>
      <c r="FX63" s="18" t="n"/>
      <c r="FY63" s="18" t="n"/>
      <c r="FZ63" s="275" t="n"/>
      <c r="GA63" s="18" t="n">
        <v>2</v>
      </c>
      <c r="GB63" s="18" t="n"/>
      <c r="GC63" s="18" t="n"/>
      <c r="GD63" s="18" t="n"/>
      <c r="GE63" s="18" t="n"/>
      <c r="GF63" s="18" t="n"/>
      <c r="GG63" s="18" t="n"/>
      <c r="GH63" s="260" t="n"/>
      <c r="GI63" s="18" t="n"/>
      <c r="GJ63" s="18" t="n"/>
      <c r="GK63" s="18" t="n"/>
      <c r="GL63" s="18" t="n"/>
      <c r="GM63" s="18" t="n">
        <v>1</v>
      </c>
      <c r="GN63" s="18" t="n"/>
      <c r="GO63" s="18" t="n"/>
      <c r="GP63" s="18" t="n"/>
      <c r="GQ63" s="18" t="n"/>
      <c r="GT63" s="719" t="n"/>
      <c r="GU63" s="720" t="n"/>
    </row>
    <row r="64" hidden="1" ht="18.75" customHeight="1">
      <c r="A64" s="43" t="inlineStr">
        <is>
          <t>ETIQUETA QDB</t>
        </is>
      </c>
      <c r="B64" s="149" t="n">
        <v>1000</v>
      </c>
      <c r="C64" s="726" t="n">
        <v>7.75</v>
      </c>
      <c r="D64" s="329" t="n">
        <v>1</v>
      </c>
      <c r="F64" s="9" t="n">
        <v>3</v>
      </c>
      <c r="G64" s="9" t="n">
        <v>3</v>
      </c>
      <c r="H64" s="9" t="n">
        <v>1</v>
      </c>
      <c r="I64" s="9" t="n">
        <v>1</v>
      </c>
      <c r="J64" s="9" t="n">
        <v>1</v>
      </c>
      <c r="K64" s="9" t="n">
        <v>1</v>
      </c>
      <c r="L64" s="9" t="n">
        <v>1</v>
      </c>
      <c r="M64" s="9" t="n">
        <v>1</v>
      </c>
      <c r="N64" s="9">
        <f>1+GA63</f>
        <v/>
      </c>
      <c r="O64" s="9" t="n">
        <v>2</v>
      </c>
      <c r="P64" s="9" t="n">
        <v>3</v>
      </c>
      <c r="Q64" s="9" t="n">
        <v>5</v>
      </c>
      <c r="R64" s="9" t="n">
        <v>5</v>
      </c>
      <c r="S64" s="9" t="n">
        <v>5</v>
      </c>
      <c r="T64" s="9" t="n">
        <v>5</v>
      </c>
      <c r="U64" s="9" t="n">
        <v>5</v>
      </c>
      <c r="V64" s="9" t="n">
        <v>5</v>
      </c>
      <c r="W64" s="9" t="n">
        <v>5</v>
      </c>
      <c r="X64" s="9" t="n">
        <v>5</v>
      </c>
      <c r="Y64" s="9" t="n">
        <v>6</v>
      </c>
      <c r="Z64" s="9" t="n">
        <v>6</v>
      </c>
      <c r="AA64" s="9" t="n">
        <v>6</v>
      </c>
      <c r="AB64" s="9" t="n">
        <v>6</v>
      </c>
      <c r="AC64" s="9" t="n">
        <v>6</v>
      </c>
      <c r="AD64" s="9" t="n">
        <v>6</v>
      </c>
      <c r="AE64" s="9" t="n">
        <v>6</v>
      </c>
      <c r="AF64" s="9" t="n">
        <v>6</v>
      </c>
      <c r="AG64" s="9" t="n">
        <v>6</v>
      </c>
      <c r="AH64" s="9" t="n">
        <v>6</v>
      </c>
      <c r="AI64" s="9" t="n">
        <v>6</v>
      </c>
      <c r="AJ64" s="9" t="n">
        <v>6</v>
      </c>
      <c r="AK64" s="9" t="n">
        <v>6</v>
      </c>
      <c r="AL64" s="9" t="n">
        <v>6</v>
      </c>
      <c r="AM64" s="9" t="n">
        <v>6</v>
      </c>
      <c r="AN64" s="9" t="n">
        <v>6</v>
      </c>
      <c r="AO64" s="9" t="n">
        <v>6</v>
      </c>
      <c r="AP64" s="9" t="n">
        <v>6</v>
      </c>
      <c r="AQ64" s="9" t="n">
        <v>4</v>
      </c>
      <c r="AR64" s="9" t="n">
        <v>4</v>
      </c>
      <c r="AS64" s="9" t="n">
        <v>4</v>
      </c>
      <c r="AT64" s="9" t="n">
        <v>4</v>
      </c>
      <c r="AU64" s="9" t="n">
        <v>0</v>
      </c>
      <c r="AV64" s="9" t="n">
        <v>0</v>
      </c>
      <c r="AW64" s="9" t="n">
        <v>0</v>
      </c>
      <c r="AX64" s="9" t="n">
        <v>0</v>
      </c>
      <c r="AY64" s="9" t="n">
        <v>0</v>
      </c>
      <c r="AZ64" s="9" t="n">
        <v>0</v>
      </c>
      <c r="BA64" s="9" t="n">
        <v>0</v>
      </c>
      <c r="BB64" s="9" t="n">
        <v>0</v>
      </c>
      <c r="BC64" s="9" t="n">
        <v>0</v>
      </c>
      <c r="BD64" s="9" t="n">
        <v>0</v>
      </c>
      <c r="BE64" s="9" t="n">
        <v>0</v>
      </c>
      <c r="BF64" s="9" t="n">
        <v>0</v>
      </c>
      <c r="BG64" s="9" t="n">
        <v>0</v>
      </c>
      <c r="BH64" s="9" t="n">
        <v>0</v>
      </c>
      <c r="BI64" s="9">
        <f>0+2</f>
        <v/>
      </c>
      <c r="BJ64" s="9" t="n">
        <v>0</v>
      </c>
      <c r="BK64" s="9" t="n">
        <v>0</v>
      </c>
      <c r="BL64" s="9" t="n">
        <v>0</v>
      </c>
      <c r="BM64" s="9" t="n">
        <v>0</v>
      </c>
      <c r="BN64" s="9" t="n">
        <v>0</v>
      </c>
      <c r="BO64" s="9" t="n">
        <v>0</v>
      </c>
      <c r="BP64" s="9" t="n">
        <v>0</v>
      </c>
      <c r="BQ64" s="9" t="n">
        <v>0</v>
      </c>
      <c r="BR64" s="9" t="n">
        <v>0</v>
      </c>
      <c r="BS64" s="9" t="n">
        <v>0</v>
      </c>
      <c r="BT64" s="9" t="n">
        <v>0</v>
      </c>
      <c r="BU64" s="9" t="n">
        <v>0</v>
      </c>
      <c r="BV64" s="9" t="n">
        <v>0</v>
      </c>
      <c r="BW64" s="9" t="n">
        <v>0</v>
      </c>
      <c r="BX64" s="9" t="n">
        <v>0</v>
      </c>
      <c r="BY64" s="9" t="n"/>
      <c r="BZ64" s="9" t="n"/>
      <c r="CA64" s="9" t="n"/>
      <c r="CB64" s="154">
        <f>BZ64+IF(NOT(ISBLANK(OFFSET(CB64,0,6))),N(OFFSET(CB64,0,6)),N(OFFSET(CB64,0,7)))-CA64</f>
        <v/>
      </c>
      <c r="CD64" s="317" t="n"/>
      <c r="CE64" s="317" t="n"/>
      <c r="CG64" s="27" t="n"/>
      <c r="CI64" s="18" t="n">
        <v>0</v>
      </c>
      <c r="CJ64" s="18" t="n">
        <v>0</v>
      </c>
      <c r="CK64" s="18" t="n"/>
      <c r="CL64" s="18" t="n"/>
      <c r="CM64" s="18" t="n"/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54" t="inlineStr">
        <is>
          <t>2 DE ER PBE</t>
        </is>
      </c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18" t="n"/>
      <c r="DP64" s="18" t="n"/>
      <c r="DQ64" s="18" t="n"/>
      <c r="DR64" s="18" t="n"/>
      <c r="DS64" s="18" t="n"/>
      <c r="DT64" s="18" t="n"/>
      <c r="DU64" s="396" t="n"/>
      <c r="DV64" s="18" t="n"/>
      <c r="DW64" s="18" t="n"/>
      <c r="DX64" s="256" t="n"/>
      <c r="DY64" s="256" t="n"/>
      <c r="DZ64" s="256" t="n"/>
      <c r="EA64" s="18" t="n"/>
      <c r="EB64" s="18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18" t="n"/>
      <c r="ET64" s="18" t="n"/>
      <c r="EU64" s="18" t="n"/>
      <c r="EV64" s="18" t="n"/>
      <c r="EW64" s="18" t="n"/>
      <c r="EX64" s="18" t="n"/>
      <c r="EY64" s="18" t="n"/>
      <c r="EZ64" s="18" t="n"/>
      <c r="FA64" s="18" t="n"/>
      <c r="FB64" s="18" t="n"/>
      <c r="FC64" s="18" t="n"/>
      <c r="FD64" s="275" t="n"/>
      <c r="FE64" s="18" t="n"/>
      <c r="FF64" s="18" t="n"/>
      <c r="FG64" s="275" t="n"/>
      <c r="FH64" s="18" t="n"/>
      <c r="FI64" s="18" t="n"/>
      <c r="FJ64" s="18" t="n"/>
      <c r="FK64" s="18" t="n"/>
      <c r="FL64" s="18" t="n"/>
      <c r="FM64" s="275" t="n"/>
      <c r="FN64" s="18" t="n"/>
      <c r="FO64" s="18" t="n"/>
      <c r="FP64" s="18" t="n"/>
      <c r="FQ64" s="18" t="n"/>
      <c r="FR64" s="18" t="n"/>
      <c r="FS64" s="18" t="n"/>
      <c r="FT64" s="18" t="n"/>
      <c r="FU64" s="18" t="n"/>
      <c r="FV64" s="275" t="n"/>
      <c r="FW64" s="18" t="n">
        <v>4</v>
      </c>
      <c r="FX64" s="18" t="n"/>
      <c r="FY64" s="18" t="n"/>
      <c r="FZ64" s="275" t="n"/>
      <c r="GA64" s="18" t="n">
        <v>2</v>
      </c>
      <c r="GB64" s="18" t="n"/>
      <c r="GC64" s="18" t="n"/>
      <c r="GD64" s="18" t="n"/>
      <c r="GE64" s="18" t="n"/>
      <c r="GF64" s="18" t="n"/>
      <c r="GG64" s="18" t="n"/>
      <c r="GH64" s="18" t="n"/>
      <c r="GI64" s="18" t="n"/>
      <c r="GJ64" s="18" t="n"/>
      <c r="GK64" s="18" t="n"/>
      <c r="GL64" s="18" t="n"/>
      <c r="GM64" s="18" t="n">
        <v>1</v>
      </c>
      <c r="GN64" s="18" t="n"/>
      <c r="GO64" s="18" t="n"/>
      <c r="GP64" s="18" t="n"/>
      <c r="GQ64" s="18" t="n"/>
      <c r="GT64" s="719" t="n"/>
      <c r="GU64" s="720" t="n"/>
    </row>
    <row r="65" hidden="1" ht="18.75" customHeight="1">
      <c r="A65" s="43" t="inlineStr">
        <is>
          <t>TAG  QDB</t>
        </is>
      </c>
      <c r="B65" s="149" t="n">
        <v>300</v>
      </c>
      <c r="C65" s="726" t="n">
        <v>53.97</v>
      </c>
      <c r="D65" s="329" t="n">
        <v>1</v>
      </c>
      <c r="F65" s="9" t="n">
        <v>3</v>
      </c>
      <c r="G65" s="9" t="n">
        <v>3</v>
      </c>
      <c r="H65" s="9" t="n">
        <v>1</v>
      </c>
      <c r="I65" s="9" t="n">
        <v>1</v>
      </c>
      <c r="J65" s="9" t="n">
        <v>1</v>
      </c>
      <c r="K65" s="9" t="n">
        <v>1</v>
      </c>
      <c r="L65" s="9" t="n">
        <v>1</v>
      </c>
      <c r="M65" s="9" t="n">
        <v>1</v>
      </c>
      <c r="N65" s="9">
        <f>1+GA64</f>
        <v/>
      </c>
      <c r="O65" s="9" t="n">
        <v>2</v>
      </c>
      <c r="P65" s="9" t="n">
        <v>6</v>
      </c>
      <c r="Q65" s="9" t="n">
        <v>10</v>
      </c>
      <c r="R65" s="9" t="n">
        <v>13</v>
      </c>
      <c r="S65" s="9" t="n">
        <v>13</v>
      </c>
      <c r="T65" s="9" t="n">
        <v>13</v>
      </c>
      <c r="U65" s="9" t="n">
        <v>13</v>
      </c>
      <c r="V65" s="9" t="n">
        <v>13</v>
      </c>
      <c r="W65" s="9" t="n">
        <v>13</v>
      </c>
      <c r="X65" s="9" t="n">
        <v>13</v>
      </c>
      <c r="Y65" s="9" t="n">
        <v>13</v>
      </c>
      <c r="Z65" s="9" t="n">
        <v>13</v>
      </c>
      <c r="AA65" s="9" t="n">
        <v>13</v>
      </c>
      <c r="AB65" s="9" t="n">
        <v>13</v>
      </c>
      <c r="AC65" s="9" t="n">
        <v>13</v>
      </c>
      <c r="AD65" s="9" t="n">
        <v>13</v>
      </c>
      <c r="AE65" s="9" t="n">
        <v>13</v>
      </c>
      <c r="AF65" s="9" t="n">
        <v>13</v>
      </c>
      <c r="AG65" s="9" t="n">
        <v>13</v>
      </c>
      <c r="AH65" s="9" t="n">
        <v>13</v>
      </c>
      <c r="AI65" s="9" t="n">
        <v>13</v>
      </c>
      <c r="AJ65" s="9" t="n">
        <v>13</v>
      </c>
      <c r="AK65" s="9" t="n">
        <v>13</v>
      </c>
      <c r="AL65" s="9" t="n">
        <v>13</v>
      </c>
      <c r="AM65" s="9" t="n">
        <v>13</v>
      </c>
      <c r="AN65" s="9" t="n">
        <v>13</v>
      </c>
      <c r="AO65" s="9" t="n">
        <v>13</v>
      </c>
      <c r="AP65" s="9" t="n">
        <v>13</v>
      </c>
      <c r="AQ65" s="9" t="n">
        <v>13</v>
      </c>
      <c r="AR65" s="9" t="n">
        <v>13</v>
      </c>
      <c r="AS65" s="9" t="n">
        <v>13</v>
      </c>
      <c r="AT65" s="9" t="n">
        <v>13</v>
      </c>
      <c r="AU65" s="9" t="n">
        <v>13</v>
      </c>
      <c r="AV65" s="9" t="n">
        <v>13</v>
      </c>
      <c r="AW65" s="9" t="n">
        <v>13</v>
      </c>
      <c r="AX65" s="9" t="n">
        <v>13</v>
      </c>
      <c r="AY65" s="9" t="n">
        <v>13</v>
      </c>
      <c r="AZ65" s="9" t="n">
        <v>13</v>
      </c>
      <c r="BA65" s="9" t="n">
        <v>13</v>
      </c>
      <c r="BB65" s="190" t="n">
        <v>10</v>
      </c>
      <c r="BC65" s="9" t="n">
        <v>10</v>
      </c>
      <c r="BD65" s="9" t="n">
        <v>10</v>
      </c>
      <c r="BE65" s="9" t="n">
        <v>10</v>
      </c>
      <c r="BF65" s="9" t="n">
        <v>10</v>
      </c>
      <c r="BG65" s="9" t="n">
        <v>10</v>
      </c>
      <c r="BH65" s="9" t="n">
        <v>10</v>
      </c>
      <c r="BI65" s="9">
        <f>11+7</f>
        <v/>
      </c>
      <c r="BJ65" s="9" t="n">
        <v>18</v>
      </c>
      <c r="BK65" s="9" t="n">
        <v>17</v>
      </c>
      <c r="BL65" s="9" t="n">
        <v>11</v>
      </c>
      <c r="BM65" s="9" t="n">
        <v>7</v>
      </c>
      <c r="BN65" s="9" t="n">
        <v>0</v>
      </c>
      <c r="BO65" s="9" t="n">
        <v>0</v>
      </c>
      <c r="BP65" s="9" t="n">
        <v>0</v>
      </c>
      <c r="BQ65" s="9" t="n">
        <v>0</v>
      </c>
      <c r="BR65" s="9" t="n">
        <v>0</v>
      </c>
      <c r="BS65" s="9" t="n">
        <v>0</v>
      </c>
      <c r="BT65" s="9" t="n">
        <v>0</v>
      </c>
      <c r="BU65" s="9" t="n">
        <v>0</v>
      </c>
      <c r="BV65" s="9" t="n">
        <v>0</v>
      </c>
      <c r="BW65" s="9" t="n">
        <v>0</v>
      </c>
      <c r="BX65" s="9" t="n">
        <v>0</v>
      </c>
      <c r="BY65" s="9" t="n"/>
      <c r="BZ65" s="9" t="n"/>
      <c r="CA65" s="9" t="n"/>
      <c r="CB65" s="154">
        <f>BZ65+IF(NOT(ISBLANK(OFFSET(CB65,0,6))),N(OFFSET(CB65,0,6)),N(OFFSET(CB65,0,7)))-CA65</f>
        <v/>
      </c>
      <c r="CC65" s="6" t="n"/>
      <c r="CD65" s="317" t="n"/>
      <c r="CE65" s="317" t="n"/>
      <c r="CF65" s="49" t="n"/>
      <c r="CG65" s="27" t="n"/>
      <c r="CH65" s="49" t="n"/>
      <c r="CI65" s="18" t="n">
        <v>0</v>
      </c>
      <c r="CJ65" s="18" t="n">
        <v>0</v>
      </c>
      <c r="CK65" s="18" t="n"/>
      <c r="CL65" s="18" t="n"/>
      <c r="CM65" s="18" t="n"/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54" t="inlineStr">
        <is>
          <t>7 DE ER PBE</t>
        </is>
      </c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18" t="n"/>
      <c r="DP65" s="18" t="n"/>
      <c r="DQ65" s="18" t="n"/>
      <c r="DR65" s="18" t="n"/>
      <c r="DS65" s="18" t="n"/>
      <c r="DT65" s="18" t="n"/>
      <c r="DU65" s="396" t="n"/>
      <c r="DV65" s="18" t="n"/>
      <c r="DW65" s="18" t="n"/>
      <c r="DX65" s="256" t="n"/>
      <c r="DY65" s="256" t="n"/>
      <c r="DZ65" s="256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18" t="n"/>
      <c r="ET65" s="18" t="n"/>
      <c r="EU65" s="18" t="n"/>
      <c r="EV65" s="18" t="n"/>
      <c r="EW65" s="18" t="n"/>
      <c r="EX65" s="18" t="n"/>
      <c r="EY65" s="18" t="n"/>
      <c r="EZ65" s="18" t="n"/>
      <c r="FA65" s="18" t="n"/>
      <c r="FB65" s="18" t="n"/>
      <c r="FC65" s="18" t="n"/>
      <c r="FD65" s="256" t="n"/>
      <c r="FE65" s="18" t="n"/>
      <c r="FF65" s="18" t="n"/>
      <c r="FG65" s="256" t="n"/>
      <c r="FH65" s="18" t="n"/>
      <c r="FI65" s="18" t="n"/>
      <c r="FJ65" s="18" t="n"/>
      <c r="FK65" s="18" t="n"/>
      <c r="FL65" s="18" t="n"/>
      <c r="FM65" s="256" t="n"/>
      <c r="FN65" s="18" t="n"/>
      <c r="FO65" s="18" t="n"/>
      <c r="FP65" s="18" t="n"/>
      <c r="FQ65" s="18" t="n"/>
      <c r="FR65" s="18" t="n"/>
      <c r="FS65" s="18" t="n"/>
      <c r="FT65" s="18" t="n"/>
      <c r="FU65" s="18" t="n"/>
      <c r="FV65" s="256" t="n"/>
      <c r="FW65" s="18" t="n"/>
      <c r="FX65" s="18" t="n"/>
      <c r="FY65" s="18" t="n"/>
      <c r="FZ65" s="256" t="n"/>
      <c r="GA65" s="18" t="n"/>
      <c r="GB65" s="18" t="n"/>
      <c r="GC65" s="18" t="n"/>
      <c r="GD65" s="18" t="n"/>
      <c r="GE65" s="18" t="n"/>
      <c r="GF65" s="18" t="n"/>
      <c r="GG65" s="18" t="n"/>
      <c r="GH65" s="18" t="n"/>
      <c r="GI65" s="18" t="n"/>
      <c r="GJ65" s="18" t="n"/>
      <c r="GK65" s="18" t="n"/>
      <c r="GL65" s="18" t="n"/>
      <c r="GM65" s="18" t="n">
        <v>5</v>
      </c>
      <c r="GN65" s="18" t="n"/>
      <c r="GO65" s="18" t="n"/>
      <c r="GP65" s="18" t="n"/>
      <c r="GQ65" s="18" t="n"/>
      <c r="GT65" s="719" t="n"/>
      <c r="GU65" s="720" t="n"/>
    </row>
    <row r="66" hidden="1" ht="18.75" customHeight="1">
      <c r="A66" s="43" t="inlineStr">
        <is>
          <t>LÂMINA  QDB</t>
        </is>
      </c>
      <c r="B66" s="149" t="n">
        <v>1000</v>
      </c>
      <c r="C66" s="726" t="n">
        <v>213</v>
      </c>
      <c r="D66" s="329" t="n">
        <v>0</v>
      </c>
      <c r="F66" s="9" t="n">
        <v>3</v>
      </c>
      <c r="G66" s="9" t="n">
        <v>3</v>
      </c>
      <c r="H66" s="9" t="n">
        <v>8</v>
      </c>
      <c r="I66" s="9" t="n">
        <v>8</v>
      </c>
      <c r="J66" s="9" t="n">
        <v>8</v>
      </c>
      <c r="K66" s="9" t="n">
        <v>8</v>
      </c>
      <c r="L66" s="9" t="n">
        <v>8</v>
      </c>
      <c r="M66" s="9" t="n">
        <v>8</v>
      </c>
      <c r="N66" s="9" t="n">
        <v>8</v>
      </c>
      <c r="O66" s="9" t="n">
        <v>8</v>
      </c>
      <c r="P66" s="9" t="n">
        <v>8</v>
      </c>
      <c r="Q66" s="9" t="n">
        <v>8</v>
      </c>
      <c r="R66" s="9" t="n">
        <v>8</v>
      </c>
      <c r="S66" s="9" t="n">
        <v>8</v>
      </c>
      <c r="T66" s="9" t="n">
        <v>8</v>
      </c>
      <c r="U66" s="9" t="n">
        <v>8</v>
      </c>
      <c r="V66" s="9" t="n">
        <v>8</v>
      </c>
      <c r="W66" s="9" t="n">
        <v>8</v>
      </c>
      <c r="X66" s="9" t="n">
        <v>8</v>
      </c>
      <c r="Y66" s="9" t="n">
        <v>8</v>
      </c>
      <c r="Z66" s="9" t="n">
        <v>8</v>
      </c>
      <c r="AA66" s="9" t="n">
        <v>8</v>
      </c>
      <c r="AB66" s="9" t="n">
        <v>8</v>
      </c>
      <c r="AC66" s="9" t="n">
        <v>8</v>
      </c>
      <c r="AD66" s="9" t="n">
        <v>8</v>
      </c>
      <c r="AE66" s="9" t="n">
        <v>8</v>
      </c>
      <c r="AF66" s="9" t="n">
        <v>8</v>
      </c>
      <c r="AG66" s="9" t="n">
        <v>8</v>
      </c>
      <c r="AH66" s="9" t="n">
        <v>8</v>
      </c>
      <c r="AI66" s="9" t="n">
        <v>8</v>
      </c>
      <c r="AJ66" s="9" t="n">
        <v>8</v>
      </c>
      <c r="AK66" s="9" t="n">
        <v>8</v>
      </c>
      <c r="AL66" s="9" t="n">
        <v>8</v>
      </c>
      <c r="AM66" s="9" t="n">
        <v>8</v>
      </c>
      <c r="AN66" s="9" t="n">
        <v>8</v>
      </c>
      <c r="AO66" s="9" t="n">
        <v>8</v>
      </c>
      <c r="AP66" s="9" t="n">
        <v>8</v>
      </c>
      <c r="AQ66" s="9" t="n">
        <v>7</v>
      </c>
      <c r="AR66" s="9" t="n">
        <v>7</v>
      </c>
      <c r="AS66" s="9" t="n">
        <v>7</v>
      </c>
      <c r="AT66" s="9" t="n">
        <v>7</v>
      </c>
      <c r="AU66" s="9" t="n">
        <v>7</v>
      </c>
      <c r="AV66" s="9" t="n">
        <v>7</v>
      </c>
      <c r="AW66" s="9" t="n">
        <v>7</v>
      </c>
      <c r="AX66" s="9" t="n">
        <v>7</v>
      </c>
      <c r="AY66" s="9" t="n">
        <v>7</v>
      </c>
      <c r="AZ66" s="9" t="n">
        <v>7</v>
      </c>
      <c r="BA66" s="9" t="n">
        <v>7</v>
      </c>
      <c r="BB66" s="190" t="n">
        <v>7</v>
      </c>
      <c r="BC66" s="9" t="n">
        <v>5</v>
      </c>
      <c r="BD66" s="9" t="n">
        <v>5</v>
      </c>
      <c r="BE66" s="9" t="n">
        <v>5</v>
      </c>
      <c r="BF66" s="9" t="n">
        <v>5</v>
      </c>
      <c r="BG66" s="9" t="n">
        <v>5</v>
      </c>
      <c r="BH66" s="9" t="n">
        <v>4</v>
      </c>
      <c r="BI66" s="9">
        <f>5+3</f>
        <v/>
      </c>
      <c r="BJ66" s="9" t="n">
        <v>6</v>
      </c>
      <c r="BK66" s="9" t="n">
        <v>5</v>
      </c>
      <c r="BL66" s="9" t="n">
        <v>5</v>
      </c>
      <c r="BM66" s="9" t="n">
        <v>5</v>
      </c>
      <c r="BN66" s="9" t="n">
        <v>0</v>
      </c>
      <c r="BO66" s="9" t="n">
        <v>0</v>
      </c>
      <c r="BP66" s="9" t="n">
        <v>0</v>
      </c>
      <c r="BQ66" s="9" t="n">
        <v>0</v>
      </c>
      <c r="BR66" s="9" t="n">
        <v>0</v>
      </c>
      <c r="BS66" s="9" t="n">
        <v>0</v>
      </c>
      <c r="BT66" s="9" t="n">
        <v>0</v>
      </c>
      <c r="BU66" s="9" t="n">
        <v>0</v>
      </c>
      <c r="BV66" s="9" t="n">
        <v>0</v>
      </c>
      <c r="BW66" s="9" t="n">
        <v>0</v>
      </c>
      <c r="BX66" s="9" t="n">
        <v>0</v>
      </c>
      <c r="BY66" s="9" t="n"/>
      <c r="BZ66" s="9" t="n"/>
      <c r="CA66" s="9" t="n"/>
      <c r="CB66" s="154">
        <f>BZ66+IF(NOT(ISBLANK(OFFSET(CB66,0,6))),N(OFFSET(CB66,0,6)),N(OFFSET(CB66,0,7)))-CA66</f>
        <v/>
      </c>
      <c r="CC66" s="6" t="n"/>
      <c r="CD66" s="317" t="n"/>
      <c r="CE66" s="317" t="n"/>
      <c r="CF66" s="49" t="n"/>
      <c r="CG66" s="27" t="n"/>
      <c r="CH66" s="49" t="n"/>
      <c r="CI66" s="18" t="n">
        <v>0</v>
      </c>
      <c r="CJ66" s="18" t="n">
        <v>0</v>
      </c>
      <c r="CK66" s="18" t="n"/>
      <c r="CL66" s="18" t="n"/>
      <c r="CM66" s="18" t="n"/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54" t="inlineStr">
        <is>
          <t>3 DE ER PBE</t>
        </is>
      </c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18" t="n"/>
      <c r="DP66" s="18" t="n"/>
      <c r="DQ66" s="18" t="n"/>
      <c r="DR66" s="18" t="n"/>
      <c r="DS66" s="18" t="n"/>
      <c r="DT66" s="18" t="n"/>
      <c r="DU66" s="396" t="n"/>
      <c r="DV66" s="18" t="n"/>
      <c r="DW66" s="18" t="n"/>
      <c r="DX66" s="256" t="n"/>
      <c r="DY66" s="256" t="n"/>
      <c r="DZ66" s="256" t="n"/>
      <c r="EA66" s="18" t="n"/>
      <c r="EB66" s="18" t="n"/>
      <c r="EC66" s="18" t="n"/>
      <c r="ED66" s="18" t="n"/>
      <c r="EE66" s="18" t="n"/>
      <c r="EF66" s="18" t="n"/>
      <c r="EG66" s="18" t="n"/>
      <c r="EH66" s="18" t="n"/>
      <c r="EI66" s="18" t="n"/>
      <c r="EJ66" s="18" t="n"/>
      <c r="EK66" s="18" t="n"/>
      <c r="EL66" s="18" t="n"/>
      <c r="EM66" s="18" t="n"/>
      <c r="EN66" s="18" t="n"/>
      <c r="EO66" s="18" t="n"/>
      <c r="EP66" s="18" t="n"/>
      <c r="EQ66" s="18" t="n"/>
      <c r="ER66" s="18" t="n"/>
      <c r="ES66" s="18" t="n"/>
      <c r="ET66" s="18" t="n"/>
      <c r="EU66" s="18" t="n"/>
      <c r="EV66" s="260" t="n"/>
      <c r="EW66" s="18" t="n"/>
      <c r="EX66" s="260" t="n"/>
      <c r="EY66" s="260" t="n"/>
      <c r="EZ66" s="260" t="n"/>
      <c r="FA66" s="18" t="n"/>
      <c r="FB66" s="18" t="n"/>
      <c r="FC66" s="260" t="n"/>
      <c r="FD66" s="256" t="n"/>
      <c r="FE66" s="260" t="n"/>
      <c r="FF66" s="260" t="n"/>
      <c r="FG66" s="256" t="n"/>
      <c r="FH66" s="239" t="inlineStr">
        <is>
          <t>124 DE CD</t>
        </is>
      </c>
      <c r="FI66" s="18" t="n"/>
      <c r="FJ66" s="18" t="n"/>
      <c r="FK66" s="18" t="n"/>
      <c r="FL66" s="260" t="n"/>
      <c r="FM66" s="256" t="n"/>
      <c r="FN66" s="18" t="n"/>
      <c r="FO66" s="18" t="n"/>
      <c r="FP66" s="18" t="n"/>
      <c r="FQ66" s="18" t="n"/>
      <c r="FR66" s="260" t="n"/>
      <c r="FS66" s="18" t="n"/>
      <c r="FT66" s="18" t="n"/>
      <c r="FU66" s="18" t="n"/>
      <c r="FV66" s="256" t="n"/>
      <c r="FW66" s="18" t="n"/>
      <c r="FX66" s="18" t="n"/>
      <c r="FY66" s="18" t="n"/>
      <c r="FZ66" s="256" t="n"/>
      <c r="GA66" s="18" t="n"/>
      <c r="GB66" s="18" t="n"/>
      <c r="GC66" s="18" t="n"/>
      <c r="GD66" s="18" t="n"/>
      <c r="GE66" s="18" t="n">
        <v>150</v>
      </c>
      <c r="GF66" s="18" t="n"/>
      <c r="GG66" s="18" t="n"/>
      <c r="GH66" s="18" t="n"/>
      <c r="GI66" s="18" t="n"/>
      <c r="GJ66" s="18" t="n"/>
      <c r="GK66" s="18" t="n"/>
      <c r="GL66" s="18" t="n"/>
      <c r="GM66" s="18" t="n"/>
      <c r="GN66" s="18" t="n"/>
      <c r="GO66" s="18" t="n"/>
      <c r="GP66" s="18" t="n"/>
      <c r="GQ66" s="18" t="n"/>
      <c r="GT66" s="719" t="n"/>
      <c r="GU66" s="720" t="n"/>
    </row>
    <row r="67" hidden="1" ht="18.75" customHeight="1">
      <c r="A67" s="43" t="inlineStr">
        <is>
          <t>CAIXA P  QDB</t>
        </is>
      </c>
      <c r="B67" s="149" t="n">
        <v>150</v>
      </c>
      <c r="C67" s="726" t="n">
        <v>306</v>
      </c>
      <c r="D67" s="329" t="n">
        <v>15</v>
      </c>
      <c r="F67" s="9" t="n">
        <v>0</v>
      </c>
      <c r="G67" s="9" t="n">
        <v>0</v>
      </c>
      <c r="H67" s="9" t="n">
        <v>0</v>
      </c>
      <c r="I67" s="9" t="n">
        <v>0</v>
      </c>
      <c r="J67" s="38" t="n">
        <v>0</v>
      </c>
      <c r="K67" s="38" t="n">
        <v>0</v>
      </c>
      <c r="L67" s="38">
        <f>0+GE66</f>
        <v/>
      </c>
      <c r="M67" s="38" t="n">
        <v>150</v>
      </c>
      <c r="N67" s="38" t="n">
        <v>150</v>
      </c>
      <c r="O67" s="38" t="n">
        <v>150</v>
      </c>
      <c r="P67" s="38" t="n">
        <v>150</v>
      </c>
      <c r="Q67" s="38" t="n">
        <v>150</v>
      </c>
      <c r="R67" s="38" t="n">
        <v>150</v>
      </c>
      <c r="S67" s="38" t="n">
        <v>150</v>
      </c>
      <c r="T67" s="38" t="n">
        <v>150</v>
      </c>
      <c r="U67" s="38" t="n">
        <v>150</v>
      </c>
      <c r="V67" s="38" t="n">
        <v>150</v>
      </c>
      <c r="W67" s="38" t="n">
        <v>150</v>
      </c>
      <c r="X67" s="38" t="n">
        <v>150</v>
      </c>
      <c r="Y67" s="38" t="n">
        <v>150</v>
      </c>
      <c r="Z67" s="38">
        <f>150+124</f>
        <v/>
      </c>
      <c r="AA67" s="38" t="n">
        <v>274</v>
      </c>
      <c r="AB67" s="38" t="n">
        <v>275</v>
      </c>
      <c r="AC67" s="38" t="n">
        <v>275</v>
      </c>
      <c r="AD67" s="261" t="n">
        <v>180</v>
      </c>
      <c r="AE67" s="38" t="n">
        <v>155</v>
      </c>
      <c r="AF67" s="38" t="n">
        <v>155</v>
      </c>
      <c r="AG67" s="38" t="n">
        <v>153</v>
      </c>
      <c r="AH67" s="38" t="n">
        <v>153</v>
      </c>
      <c r="AI67" s="38" t="n">
        <v>153</v>
      </c>
      <c r="AJ67" s="38" t="n">
        <v>154</v>
      </c>
      <c r="AK67" s="38" t="n">
        <v>4</v>
      </c>
      <c r="AL67" s="38" t="n">
        <v>4</v>
      </c>
      <c r="AM67" s="38" t="n">
        <v>4</v>
      </c>
      <c r="AN67" s="38" t="n">
        <v>4</v>
      </c>
      <c r="AO67" s="38" t="n">
        <v>4</v>
      </c>
      <c r="AP67" s="38" t="n">
        <v>3</v>
      </c>
      <c r="AQ67" s="38" t="n">
        <v>3</v>
      </c>
      <c r="AR67" s="38" t="n">
        <v>3</v>
      </c>
      <c r="AS67" s="261" t="n">
        <v>28</v>
      </c>
      <c r="AT67" s="261" t="n">
        <v>28</v>
      </c>
      <c r="AU67" s="261" t="n">
        <v>3</v>
      </c>
      <c r="AV67" s="261" t="n">
        <v>3</v>
      </c>
      <c r="AW67" s="38" t="n">
        <v>3</v>
      </c>
      <c r="AX67" s="38" t="n">
        <v>3</v>
      </c>
      <c r="AY67" s="38" t="n">
        <v>2</v>
      </c>
      <c r="AZ67" s="38" t="n">
        <v>2</v>
      </c>
      <c r="BA67" s="38" t="n">
        <v>2</v>
      </c>
      <c r="BB67" s="38" t="n">
        <v>2</v>
      </c>
      <c r="BC67" s="38" t="n">
        <v>2</v>
      </c>
      <c r="BD67" s="38" t="n">
        <v>2</v>
      </c>
      <c r="BE67" s="38" t="n">
        <v>2</v>
      </c>
      <c r="BF67" s="38" t="n">
        <v>2</v>
      </c>
      <c r="BG67" s="38" t="n">
        <v>2</v>
      </c>
      <c r="BH67" s="38" t="n">
        <v>2</v>
      </c>
      <c r="BI67" s="38" t="n">
        <v>2</v>
      </c>
      <c r="BJ67" s="38" t="n">
        <v>2</v>
      </c>
      <c r="BK67" s="38" t="n">
        <v>2</v>
      </c>
      <c r="BL67" s="38" t="n">
        <v>2</v>
      </c>
      <c r="BM67" s="38" t="n">
        <v>2</v>
      </c>
      <c r="BN67" s="38" t="n">
        <v>2</v>
      </c>
      <c r="BO67" s="38" t="n">
        <v>2</v>
      </c>
      <c r="BP67" s="38" t="n">
        <v>0</v>
      </c>
      <c r="BQ67" s="38" t="n">
        <v>0</v>
      </c>
      <c r="BR67" s="38" t="n">
        <v>0</v>
      </c>
      <c r="BS67" s="38" t="n">
        <v>0</v>
      </c>
      <c r="BT67" s="38" t="n">
        <v>0</v>
      </c>
      <c r="BU67" s="38" t="n">
        <v>0</v>
      </c>
      <c r="BV67" s="38" t="n">
        <v>0</v>
      </c>
      <c r="BW67" s="38" t="n">
        <v>0</v>
      </c>
      <c r="BX67" s="38" t="n">
        <v>0</v>
      </c>
      <c r="BY67" s="38" t="n"/>
      <c r="BZ67" s="38" t="n"/>
      <c r="CA67" s="38" t="n"/>
      <c r="CB67" s="154">
        <f>BZ67+IF(NOT(ISBLANK(OFFSET(CB67,0,6))),N(OFFSET(CB67,0,6)),N(OFFSET(CB67,0,7)))-CA67</f>
        <v/>
      </c>
      <c r="CC67" s="6" t="n"/>
      <c r="CD67" s="317" t="n"/>
      <c r="CE67" s="317" t="n"/>
      <c r="CF67" s="49" t="n"/>
      <c r="CG67" s="27" t="n"/>
      <c r="CH67" s="49" t="n"/>
      <c r="CI67" s="18" t="n">
        <v>0</v>
      </c>
      <c r="CJ67" s="18" t="n">
        <v>0</v>
      </c>
      <c r="CK67" s="18" t="n"/>
      <c r="CL67" s="18" t="n"/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18" t="n"/>
      <c r="DP67" s="18" t="n"/>
      <c r="DQ67" s="18" t="n"/>
      <c r="DR67" s="18" t="n"/>
      <c r="DS67" s="18" t="n"/>
      <c r="DT67" s="18" t="n"/>
      <c r="DU67" s="396" t="n"/>
      <c r="DV67" s="18" t="n"/>
      <c r="DW67" s="18" t="n"/>
      <c r="DX67" s="251" t="n"/>
      <c r="DY67" s="251" t="n"/>
      <c r="DZ67" s="251" t="n"/>
      <c r="EA67" s="18" t="n"/>
      <c r="EB67" s="18" t="n"/>
      <c r="EC67" s="18" t="n"/>
      <c r="ED67" s="18" t="n"/>
      <c r="EE67" s="18" t="n"/>
      <c r="EF67" s="18" t="n"/>
      <c r="EG67" s="18" t="n"/>
      <c r="EH67" s="18" t="n"/>
      <c r="EI67" s="18" t="n"/>
      <c r="EJ67" s="18" t="n"/>
      <c r="EK67" s="18" t="n"/>
      <c r="EL67" s="18" t="n"/>
      <c r="EM67" s="18" t="n"/>
      <c r="EN67" s="18" t="n"/>
      <c r="EO67" s="18" t="n"/>
      <c r="EP67" s="18" t="n"/>
      <c r="EQ67" s="18" t="n"/>
      <c r="ER67" s="18" t="n"/>
      <c r="ES67" s="18" t="n"/>
      <c r="ET67" s="18" t="n"/>
      <c r="EU67" s="18" t="n"/>
      <c r="EV67" s="260" t="n"/>
      <c r="EW67" s="18" t="n"/>
      <c r="EX67" s="260" t="n"/>
      <c r="EY67" s="260" t="n"/>
      <c r="EZ67" s="260" t="n"/>
      <c r="FA67" s="18" t="n"/>
      <c r="FB67" s="18" t="n"/>
      <c r="FC67" s="260" t="n"/>
      <c r="FD67" s="276" t="n"/>
      <c r="FE67" s="260" t="n"/>
      <c r="FF67" s="260" t="n"/>
      <c r="FG67" s="276" t="n"/>
      <c r="FH67" s="239" t="inlineStr">
        <is>
          <t>50 DE CD</t>
        </is>
      </c>
      <c r="FI67" s="18" t="n"/>
      <c r="FJ67" s="18" t="n"/>
      <c r="FK67" s="18" t="n"/>
      <c r="FL67" s="260" t="n"/>
      <c r="FM67" s="276" t="n"/>
      <c r="FN67" s="18" t="n"/>
      <c r="FO67" s="18" t="n"/>
      <c r="FP67" s="18" t="n"/>
      <c r="FQ67" s="18" t="n"/>
      <c r="FR67" s="18" t="n"/>
      <c r="FS67" s="18" t="n"/>
      <c r="FT67" s="18" t="n"/>
      <c r="FU67" s="18" t="n"/>
      <c r="FV67" s="276" t="n"/>
      <c r="FW67" s="18" t="n"/>
      <c r="FX67" s="18" t="n"/>
      <c r="FY67" s="18" t="n"/>
      <c r="FZ67" s="276" t="n"/>
      <c r="GA67" s="18" t="n"/>
      <c r="GB67" s="18" t="n"/>
      <c r="GC67" s="18" t="n"/>
      <c r="GD67" s="18" t="n"/>
      <c r="GE67" s="18" t="n">
        <v>75</v>
      </c>
      <c r="GF67" s="18" t="n"/>
      <c r="GG67" s="18" t="n"/>
      <c r="GH67" s="18" t="n"/>
      <c r="GI67" s="18" t="n"/>
      <c r="GJ67" s="18" t="n"/>
      <c r="GK67" s="18" t="n"/>
      <c r="GL67" s="18" t="n"/>
      <c r="GM67" s="18" t="n"/>
      <c r="GN67" s="18" t="n"/>
      <c r="GO67" s="18" t="n"/>
      <c r="GP67" s="18" t="n"/>
      <c r="GQ67" s="18" t="n"/>
      <c r="GT67" s="719" t="n"/>
      <c r="GU67" s="720" t="n"/>
    </row>
    <row r="68" hidden="1" ht="18.75" customHeight="1">
      <c r="A68" s="43" t="inlineStr">
        <is>
          <t>CAIXA M  QDB</t>
        </is>
      </c>
      <c r="B68" s="149" t="n">
        <v>75</v>
      </c>
      <c r="C68" s="726" t="n">
        <v>216.38</v>
      </c>
      <c r="D68" s="329" t="n">
        <v>15</v>
      </c>
      <c r="F68" s="38" t="n">
        <v>0</v>
      </c>
      <c r="G68" s="38" t="n">
        <v>0</v>
      </c>
      <c r="H68" s="38" t="n">
        <v>0</v>
      </c>
      <c r="I68" s="38" t="n">
        <v>0</v>
      </c>
      <c r="J68" s="38" t="n">
        <v>0</v>
      </c>
      <c r="K68" s="38" t="n">
        <v>0</v>
      </c>
      <c r="L68" s="38">
        <f>0+GE67</f>
        <v/>
      </c>
      <c r="M68" s="38" t="n">
        <v>75</v>
      </c>
      <c r="N68" s="38" t="n">
        <v>75</v>
      </c>
      <c r="O68" s="38" t="n">
        <v>75</v>
      </c>
      <c r="P68" s="38" t="n">
        <v>75</v>
      </c>
      <c r="Q68" s="38" t="n">
        <v>75</v>
      </c>
      <c r="R68" s="38" t="n">
        <v>75</v>
      </c>
      <c r="S68" s="38" t="n">
        <v>75</v>
      </c>
      <c r="T68" s="38" t="n">
        <v>75</v>
      </c>
      <c r="U68" s="38" t="n">
        <v>75</v>
      </c>
      <c r="V68" s="38" t="n">
        <v>75</v>
      </c>
      <c r="W68" s="38" t="n">
        <v>75</v>
      </c>
      <c r="X68" s="38" t="n">
        <v>75</v>
      </c>
      <c r="Y68" s="38" t="n">
        <v>75</v>
      </c>
      <c r="Z68" s="38">
        <f>75+50</f>
        <v/>
      </c>
      <c r="AA68" s="38" t="n">
        <v>125</v>
      </c>
      <c r="AB68" s="38" t="n">
        <v>75</v>
      </c>
      <c r="AC68" s="261" t="n">
        <v>1</v>
      </c>
      <c r="AD68" s="261" t="n">
        <v>1</v>
      </c>
      <c r="AE68" s="38" t="n">
        <v>1</v>
      </c>
      <c r="AF68" s="38" t="n">
        <v>1</v>
      </c>
      <c r="AG68" s="38" t="n">
        <v>1</v>
      </c>
      <c r="AH68" s="38" t="n">
        <v>1</v>
      </c>
      <c r="AI68" s="38" t="n">
        <v>1</v>
      </c>
      <c r="AJ68" s="38" t="n">
        <v>1</v>
      </c>
      <c r="AK68" s="38" t="n">
        <v>0</v>
      </c>
      <c r="AL68" s="38" t="n">
        <v>0</v>
      </c>
      <c r="AM68" s="38" t="n">
        <v>0</v>
      </c>
      <c r="AN68" s="38" t="n">
        <v>0</v>
      </c>
      <c r="AO68" s="38" t="n">
        <v>0</v>
      </c>
      <c r="AP68" s="38" t="n">
        <v>0</v>
      </c>
      <c r="AQ68" s="38" t="n">
        <v>0</v>
      </c>
      <c r="AR68" s="38" t="n">
        <v>0</v>
      </c>
      <c r="AS68" s="261" t="n">
        <v>20</v>
      </c>
      <c r="AT68" s="261" t="n">
        <v>20</v>
      </c>
      <c r="AU68" s="261" t="n">
        <v>20</v>
      </c>
      <c r="AV68" s="261" t="n">
        <v>20</v>
      </c>
      <c r="AW68" s="38" t="n">
        <v>10</v>
      </c>
      <c r="AX68" s="38" t="n">
        <v>10</v>
      </c>
      <c r="AY68" s="38" t="n">
        <v>9</v>
      </c>
      <c r="AZ68" s="38" t="n">
        <v>9</v>
      </c>
      <c r="BA68" s="38" t="n">
        <v>9</v>
      </c>
      <c r="BB68" s="38" t="n">
        <v>9</v>
      </c>
      <c r="BC68" s="38" t="n">
        <v>9</v>
      </c>
      <c r="BD68" s="38" t="n">
        <v>9</v>
      </c>
      <c r="BE68" s="38" t="n">
        <v>9</v>
      </c>
      <c r="BF68" s="38" t="n">
        <v>9</v>
      </c>
      <c r="BG68" s="38" t="n">
        <v>9</v>
      </c>
      <c r="BH68" s="38" t="n">
        <v>10</v>
      </c>
      <c r="BI68" s="38" t="n">
        <v>10</v>
      </c>
      <c r="BJ68" s="38" t="n">
        <v>10</v>
      </c>
      <c r="BK68" s="38" t="n">
        <v>10</v>
      </c>
      <c r="BL68" s="38" t="n">
        <v>10</v>
      </c>
      <c r="BM68" s="38" t="n">
        <v>10</v>
      </c>
      <c r="BN68" s="38" t="n">
        <v>10</v>
      </c>
      <c r="BO68" s="38" t="n">
        <v>10</v>
      </c>
      <c r="BP68" s="38" t="n">
        <v>0</v>
      </c>
      <c r="BQ68" s="38" t="n">
        <v>0</v>
      </c>
      <c r="BR68" s="38" t="n">
        <v>0</v>
      </c>
      <c r="BS68" s="38" t="n">
        <v>0</v>
      </c>
      <c r="BT68" s="38" t="n">
        <v>0</v>
      </c>
      <c r="BU68" s="38" t="n">
        <v>0</v>
      </c>
      <c r="BV68" s="38" t="n">
        <v>0</v>
      </c>
      <c r="BW68" s="38" t="n">
        <v>0</v>
      </c>
      <c r="BX68" s="38" t="n">
        <v>0</v>
      </c>
      <c r="BY68" s="38" t="n"/>
      <c r="BZ68" s="38" t="n"/>
      <c r="CA68" s="38" t="n"/>
      <c r="CB68" s="154">
        <f>BZ68+IF(NOT(ISBLANK(OFFSET(CB68,0,6))),N(OFFSET(CB68,0,6)),N(OFFSET(CB68,0,7)))-CA68</f>
        <v/>
      </c>
      <c r="CC68" s="53" t="n"/>
      <c r="CD68" s="317" t="n"/>
      <c r="CE68" s="317" t="n"/>
      <c r="CF68" s="49" t="n"/>
      <c r="CG68" s="27" t="n"/>
      <c r="CH68" s="49" t="n"/>
      <c r="CI68" s="18" t="n">
        <v>0</v>
      </c>
      <c r="CJ68" s="18" t="n">
        <v>0</v>
      </c>
      <c r="CK68" s="18" t="n"/>
      <c r="CL68" s="18" t="n"/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18" t="n"/>
      <c r="DP68" s="18" t="n"/>
      <c r="DQ68" s="18" t="n"/>
      <c r="DR68" s="18" t="n"/>
      <c r="DS68" s="18" t="n"/>
      <c r="DT68" s="18" t="n"/>
      <c r="DU68" s="396" t="n"/>
      <c r="DV68" s="18" t="n"/>
      <c r="DW68" s="18" t="n"/>
      <c r="DX68" s="256" t="n"/>
      <c r="DY68" s="256" t="n"/>
      <c r="DZ68" s="256" t="n"/>
      <c r="EA68" s="18" t="n"/>
      <c r="EB68" s="18" t="n"/>
      <c r="EC68" s="18" t="n"/>
      <c r="ED68" s="18" t="n"/>
      <c r="EE68" s="18" t="n"/>
      <c r="EF68" s="18" t="n"/>
      <c r="EG68" s="18" t="n"/>
      <c r="EH68" s="18" t="n"/>
      <c r="EI68" s="18" t="n"/>
      <c r="EJ68" s="18" t="n"/>
      <c r="EK68" s="18" t="n"/>
      <c r="EL68" s="18" t="n"/>
      <c r="EM68" s="18" t="n"/>
      <c r="EN68" s="18" t="n"/>
      <c r="EO68" s="18" t="n"/>
      <c r="EP68" s="18" t="n"/>
      <c r="EQ68" s="18" t="n"/>
      <c r="ER68" s="18" t="n"/>
      <c r="ES68" s="18" t="n"/>
      <c r="ET68" s="18" t="n"/>
      <c r="EU68" s="18" t="n"/>
      <c r="EV68" s="260" t="n"/>
      <c r="EW68" s="18" t="n"/>
      <c r="EX68" s="260" t="n"/>
      <c r="EY68" s="260" t="n"/>
      <c r="EZ68" s="260" t="n"/>
      <c r="FA68" s="18" t="n"/>
      <c r="FB68" s="18" t="n"/>
      <c r="FC68" s="260" t="n"/>
      <c r="FD68" s="276" t="n"/>
      <c r="FE68" s="260" t="n"/>
      <c r="FF68" s="260" t="n"/>
      <c r="FG68" s="276" t="n"/>
      <c r="FH68" s="239" t="inlineStr">
        <is>
          <t>138 DE CD</t>
        </is>
      </c>
      <c r="FI68" s="18" t="n"/>
      <c r="FJ68" s="18" t="n"/>
      <c r="FK68" s="18" t="n"/>
      <c r="FL68" s="260" t="n"/>
      <c r="FM68" s="276" t="n"/>
      <c r="FN68" s="18" t="n"/>
      <c r="FO68" s="18" t="n"/>
      <c r="FP68" s="18" t="n"/>
      <c r="FQ68" s="18" t="n"/>
      <c r="FR68" s="260" t="n"/>
      <c r="FS68" s="18" t="n"/>
      <c r="FT68" s="18" t="n"/>
      <c r="FU68" s="18" t="n"/>
      <c r="FV68" s="276" t="n"/>
      <c r="FW68" s="18" t="n"/>
      <c r="FX68" s="18" t="n"/>
      <c r="FY68" s="18" t="n"/>
      <c r="FZ68" s="276" t="n"/>
      <c r="GA68" s="18" t="n"/>
      <c r="GB68" s="18" t="n"/>
      <c r="GC68" s="18" t="n"/>
      <c r="GD68" s="18" t="n"/>
      <c r="GE68" s="18" t="n">
        <v>100</v>
      </c>
      <c r="GF68" s="18" t="n"/>
      <c r="GG68" s="18" t="n"/>
      <c r="GH68" s="18" t="n"/>
      <c r="GI68" s="18" t="n"/>
      <c r="GJ68" s="18" t="n"/>
      <c r="GK68" s="18" t="n"/>
      <c r="GL68" s="18" t="n"/>
      <c r="GM68" s="18" t="n"/>
      <c r="GN68" s="18" t="n"/>
      <c r="GO68" s="18" t="n"/>
      <c r="GP68" s="18" t="n"/>
      <c r="GQ68" s="18" t="n"/>
      <c r="GT68" s="719" t="n"/>
      <c r="GU68" s="720" t="n"/>
    </row>
    <row r="69" hidden="1" ht="18.75" customHeight="1" thickBot="1">
      <c r="A69" s="43" t="inlineStr">
        <is>
          <t>CAIXA G  QDB</t>
        </is>
      </c>
      <c r="B69" s="149" t="n">
        <v>100</v>
      </c>
      <c r="C69" s="726" t="n">
        <v>306</v>
      </c>
      <c r="D69" s="329" t="n">
        <v>10</v>
      </c>
      <c r="F69" s="38" t="n">
        <v>0</v>
      </c>
      <c r="G69" s="38" t="n">
        <v>0</v>
      </c>
      <c r="H69" s="38" t="n">
        <v>0</v>
      </c>
      <c r="I69" s="38" t="n">
        <v>0</v>
      </c>
      <c r="J69" s="38" t="n">
        <v>0</v>
      </c>
      <c r="K69" s="38" t="n">
        <v>0</v>
      </c>
      <c r="L69" s="38">
        <f>0+GE68</f>
        <v/>
      </c>
      <c r="M69" s="38" t="n">
        <v>100</v>
      </c>
      <c r="N69" s="38" t="n">
        <v>99</v>
      </c>
      <c r="O69" s="38" t="n">
        <v>99</v>
      </c>
      <c r="P69" s="38" t="n">
        <v>100</v>
      </c>
      <c r="Q69" s="38" t="n">
        <v>100</v>
      </c>
      <c r="R69" s="38" t="n">
        <v>100</v>
      </c>
      <c r="S69" s="38" t="n">
        <v>100</v>
      </c>
      <c r="T69" s="38" t="n">
        <v>100</v>
      </c>
      <c r="U69" s="38" t="n">
        <v>100</v>
      </c>
      <c r="V69" s="38" t="n">
        <v>99</v>
      </c>
      <c r="W69" s="38" t="n">
        <v>99</v>
      </c>
      <c r="X69" s="38" t="n">
        <v>99</v>
      </c>
      <c r="Y69" s="38" t="n">
        <v>99</v>
      </c>
      <c r="Z69" s="38">
        <f>99+138</f>
        <v/>
      </c>
      <c r="AA69" s="38" t="n">
        <v>206</v>
      </c>
      <c r="AB69" s="38" t="n">
        <v>130</v>
      </c>
      <c r="AC69" s="261" t="n">
        <v>89</v>
      </c>
      <c r="AD69" s="261" t="n">
        <v>9</v>
      </c>
      <c r="AE69" s="38" t="n">
        <v>9</v>
      </c>
      <c r="AF69" s="38" t="n">
        <v>10</v>
      </c>
      <c r="AG69" s="38" t="n">
        <v>10</v>
      </c>
      <c r="AH69" s="38" t="n">
        <v>10</v>
      </c>
      <c r="AI69" s="38" t="n">
        <v>3</v>
      </c>
      <c r="AJ69" s="38" t="n">
        <v>3</v>
      </c>
      <c r="AK69" s="38" t="n">
        <v>2</v>
      </c>
      <c r="AL69" s="38" t="n">
        <v>2</v>
      </c>
      <c r="AM69" s="38" t="n">
        <v>2</v>
      </c>
      <c r="AN69" s="38" t="n">
        <v>2</v>
      </c>
      <c r="AO69" s="38" t="n">
        <v>2</v>
      </c>
      <c r="AP69" s="38" t="n">
        <v>0</v>
      </c>
      <c r="AQ69" s="38" t="n">
        <v>0</v>
      </c>
      <c r="AR69" s="38" t="n">
        <v>0</v>
      </c>
      <c r="AS69" s="261" t="n">
        <v>32</v>
      </c>
      <c r="AT69" s="261" t="n">
        <v>32</v>
      </c>
      <c r="AU69" s="261" t="n">
        <v>31</v>
      </c>
      <c r="AV69" s="261" t="n">
        <v>31</v>
      </c>
      <c r="AW69" s="38" t="n">
        <v>31</v>
      </c>
      <c r="AX69" s="38" t="n">
        <v>31</v>
      </c>
      <c r="AY69" s="38" t="n">
        <v>30</v>
      </c>
      <c r="AZ69" s="38" t="n">
        <v>30</v>
      </c>
      <c r="BA69" s="38" t="n">
        <v>30</v>
      </c>
      <c r="BB69" s="38" t="n">
        <v>30</v>
      </c>
      <c r="BC69" s="38" t="n">
        <v>0</v>
      </c>
      <c r="BD69" s="38" t="n">
        <v>0</v>
      </c>
      <c r="BE69" s="38" t="n">
        <v>0</v>
      </c>
      <c r="BF69" s="38" t="n">
        <v>0</v>
      </c>
      <c r="BG69" s="38" t="n">
        <v>0</v>
      </c>
      <c r="BH69" s="38" t="n">
        <v>0</v>
      </c>
      <c r="BI69" s="38" t="n">
        <v>0</v>
      </c>
      <c r="BJ69" s="38" t="n">
        <v>0</v>
      </c>
      <c r="BK69" s="38" t="n">
        <v>0</v>
      </c>
      <c r="BL69" s="38" t="n">
        <v>0</v>
      </c>
      <c r="BM69" s="38" t="n">
        <v>0</v>
      </c>
      <c r="BN69" s="38" t="n">
        <v>0</v>
      </c>
      <c r="BO69" s="38" t="n">
        <v>0</v>
      </c>
      <c r="BP69" s="38" t="n">
        <v>0</v>
      </c>
      <c r="BQ69" s="38" t="n">
        <v>0</v>
      </c>
      <c r="BR69" s="38" t="n">
        <v>0</v>
      </c>
      <c r="BS69" s="38" t="n">
        <v>0</v>
      </c>
      <c r="BT69" s="38" t="n">
        <v>0</v>
      </c>
      <c r="BU69" s="38" t="n">
        <v>0</v>
      </c>
      <c r="BV69" s="38" t="n">
        <v>0</v>
      </c>
      <c r="BW69" s="38" t="n">
        <v>0</v>
      </c>
      <c r="BX69" s="38" t="n">
        <v>0</v>
      </c>
      <c r="BY69" s="38" t="n"/>
      <c r="BZ69" s="38" t="n"/>
      <c r="CA69" s="38" t="n"/>
      <c r="CB69" s="154">
        <f>BZ69+IF(NOT(ISBLANK(OFFSET(CB69,0,6))),N(OFFSET(CB69,0,6)),N(OFFSET(CB69,0,7)))-CA69</f>
        <v/>
      </c>
      <c r="CC69" s="6" t="n"/>
      <c r="CD69" s="317" t="n"/>
      <c r="CE69" s="317" t="n"/>
      <c r="CF69" s="49" t="n"/>
      <c r="CG69" s="27" t="n"/>
      <c r="CH69" s="49" t="n"/>
      <c r="CI69" s="18" t="n">
        <v>0</v>
      </c>
      <c r="CJ69" s="18" t="n">
        <v>0</v>
      </c>
      <c r="CK69" s="18" t="n"/>
      <c r="CL69" s="18" t="n"/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18" t="n"/>
      <c r="DP69" s="18" t="n"/>
      <c r="DQ69" s="18" t="n"/>
      <c r="DR69" s="18" t="n"/>
      <c r="DS69" s="18" t="n"/>
      <c r="DT69" s="18" t="n"/>
      <c r="DU69" s="396" t="n"/>
      <c r="DV69" s="18" t="n"/>
      <c r="DW69" s="18" t="n"/>
      <c r="DX69" s="251" t="n"/>
      <c r="DY69" s="251" t="n"/>
      <c r="DZ69" s="251" t="n"/>
      <c r="FD69" s="268" t="n"/>
      <c r="FG69" s="268" t="n"/>
      <c r="FM69" s="268" t="n"/>
      <c r="FV69" s="268" t="n"/>
      <c r="FZ69" s="268" t="n"/>
      <c r="GT69" s="721" t="n"/>
      <c r="GU69" s="722" t="n"/>
    </row>
    <row r="70" hidden="1" ht="18.75" customHeight="1">
      <c r="DX70" s="271" t="n"/>
      <c r="DY70" s="271" t="n"/>
      <c r="DZ70" s="271" t="n"/>
      <c r="EA70" s="654" t="n">
        <v>45903</v>
      </c>
      <c r="EB70" s="654" t="n">
        <v>45909</v>
      </c>
      <c r="EC70" s="654" t="n">
        <v>45903</v>
      </c>
      <c r="ED70" s="654" t="n">
        <v>45903</v>
      </c>
      <c r="EE70" s="654" t="n">
        <v>45895</v>
      </c>
      <c r="EF70" s="679" t="n">
        <v>45896</v>
      </c>
      <c r="EG70" s="654" t="n">
        <v>45888</v>
      </c>
      <c r="EH70" s="654" t="n">
        <v>45881</v>
      </c>
      <c r="EI70" s="655" t="n">
        <v>45882</v>
      </c>
      <c r="EJ70" s="654" t="n">
        <v>45874</v>
      </c>
      <c r="EK70" s="654" t="n">
        <v>45867</v>
      </c>
      <c r="EL70" s="654" t="n">
        <v>45860</v>
      </c>
      <c r="EM70" s="654" t="n">
        <v>45853</v>
      </c>
      <c r="EN70" s="655" t="n">
        <v>45860</v>
      </c>
      <c r="EO70" s="681" t="n">
        <v>45855</v>
      </c>
      <c r="EP70" s="654" t="n">
        <v>45848</v>
      </c>
      <c r="EQ70" s="681" t="n">
        <v>45853</v>
      </c>
      <c r="ER70" s="654" t="n">
        <v>45839</v>
      </c>
      <c r="ES70" s="681" t="n">
        <v>45791</v>
      </c>
      <c r="ET70" s="654" t="n">
        <v>45832</v>
      </c>
      <c r="EU70" s="654" t="n">
        <v>45825</v>
      </c>
      <c r="EV70" s="655" t="n">
        <v>45826</v>
      </c>
      <c r="EW70" s="654" t="n">
        <v>45819</v>
      </c>
      <c r="EX70" s="655" t="n">
        <v>45819</v>
      </c>
      <c r="EY70" s="655" t="n">
        <v>45818</v>
      </c>
      <c r="EZ70" s="655" t="n">
        <v>45807</v>
      </c>
      <c r="FA70" s="654" t="n">
        <v>45790</v>
      </c>
      <c r="FB70" s="654" t="n">
        <v>45798</v>
      </c>
      <c r="FC70" s="690" t="n">
        <v>45800</v>
      </c>
      <c r="FD70" s="650" t="n">
        <v>45799</v>
      </c>
      <c r="FE70" s="655" t="n">
        <v>45799</v>
      </c>
      <c r="FF70" s="690" t="n">
        <v>45799</v>
      </c>
      <c r="FG70" s="650" t="n">
        <v>45798</v>
      </c>
      <c r="FH70" s="655" t="n">
        <v>45798</v>
      </c>
      <c r="FI70" s="655" t="n">
        <v>45797</v>
      </c>
      <c r="FJ70" s="655" t="n">
        <v>45794</v>
      </c>
      <c r="FK70" s="654" t="n">
        <v>45790</v>
      </c>
      <c r="FL70" s="683" t="n">
        <v>45735</v>
      </c>
      <c r="FM70" s="650" t="n">
        <v>45786</v>
      </c>
      <c r="FN70" s="654" t="n">
        <v>45783</v>
      </c>
      <c r="FO70" s="654" t="n">
        <v>45770</v>
      </c>
      <c r="FP70" s="654" t="n">
        <v>45775</v>
      </c>
      <c r="FQ70" s="654" t="n">
        <v>45770</v>
      </c>
      <c r="FR70" s="655" t="n">
        <v>45775</v>
      </c>
      <c r="FS70" s="654" t="n">
        <v>45756</v>
      </c>
      <c r="FT70" s="654" t="n">
        <v>45749</v>
      </c>
      <c r="FU70" s="654" t="n">
        <v>45743</v>
      </c>
      <c r="FV70" s="650" t="n">
        <v>45740</v>
      </c>
      <c r="FW70" s="654" t="n">
        <v>45728</v>
      </c>
      <c r="FX70" s="654" t="n">
        <v>45714</v>
      </c>
      <c r="FY70" s="654" t="n">
        <v>45706</v>
      </c>
      <c r="FZ70" s="650" t="n">
        <v>45700</v>
      </c>
      <c r="GA70" s="654" t="n">
        <v>45706</v>
      </c>
      <c r="GB70" s="654" t="n">
        <v>45699</v>
      </c>
      <c r="GC70" s="655" t="n">
        <v>45706</v>
      </c>
      <c r="GD70" s="654" t="n">
        <v>45693</v>
      </c>
      <c r="GE70" s="654" t="n">
        <v>45693</v>
      </c>
      <c r="GF70" s="654" t="n">
        <v>45685</v>
      </c>
      <c r="GG70" s="654" t="n">
        <v>45685</v>
      </c>
      <c r="GH70" s="712" t="n">
        <v>45692</v>
      </c>
      <c r="GI70" s="655" t="n">
        <v>45691</v>
      </c>
      <c r="GJ70" s="655" t="n">
        <v>45681</v>
      </c>
      <c r="GK70" s="655" t="n">
        <v>45672</v>
      </c>
      <c r="GL70" s="654" t="n">
        <v>45664</v>
      </c>
      <c r="GM70" s="654" t="n">
        <v>45660</v>
      </c>
      <c r="GN70" s="654" t="n">
        <v>45660</v>
      </c>
      <c r="GO70" s="654" t="n">
        <v>46017</v>
      </c>
      <c r="GP70" s="654" t="n">
        <v>45643</v>
      </c>
      <c r="GQ70" s="654" t="n">
        <v>45638</v>
      </c>
    </row>
    <row r="71" ht="18.75" customHeight="1">
      <c r="A71" s="202" t="inlineStr">
        <is>
          <t>SACOLAS E CAIXAS EUDORA</t>
        </is>
      </c>
      <c r="B71" s="203" t="inlineStr">
        <is>
          <t>PC</t>
        </is>
      </c>
      <c r="C71" s="203" t="inlineStr">
        <is>
          <t>R$</t>
        </is>
      </c>
      <c r="D71" s="203" t="n"/>
      <c r="F71" s="650" t="n">
        <v>46021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2" t="inlineStr">
        <is>
          <t>USOU</t>
        </is>
      </c>
      <c r="CD71" s="413" t="inlineStr">
        <is>
          <t>TRANSFERÊNCIA</t>
        </is>
      </c>
      <c r="CE71" s="35" t="inlineStr">
        <is>
          <t>Pend.</t>
        </is>
      </c>
      <c r="CG71" s="12" t="inlineStr">
        <is>
          <t>Novo Pedido</t>
        </is>
      </c>
      <c r="CI71" s="654" t="n"/>
      <c r="CJ71" s="654" t="n">
        <v>46149</v>
      </c>
      <c r="CK71" s="654" t="n">
        <v>46114</v>
      </c>
      <c r="CL71" s="654" t="n">
        <v>46107</v>
      </c>
      <c r="CM71" s="710" t="n">
        <v>46065</v>
      </c>
      <c r="CN71" s="654" t="n">
        <v>46099</v>
      </c>
      <c r="CO71" s="654" t="n">
        <v>46092</v>
      </c>
      <c r="CP71" s="711" t="n">
        <v>46045</v>
      </c>
      <c r="CQ71" s="654" t="n">
        <v>46084</v>
      </c>
      <c r="CR71" s="655" t="n">
        <v>46084</v>
      </c>
      <c r="CS71" s="654" t="n">
        <v>46077</v>
      </c>
      <c r="CT71" s="655" t="n">
        <v>46077</v>
      </c>
      <c r="CU71" s="654" t="n">
        <v>46071</v>
      </c>
      <c r="CV71" s="654" t="n">
        <v>46048</v>
      </c>
      <c r="CW71" s="654" t="n">
        <v>46043</v>
      </c>
      <c r="CX71" s="654" t="n">
        <v>46035</v>
      </c>
      <c r="CY71" s="654" t="n">
        <v>46029</v>
      </c>
      <c r="CZ71" s="655" t="n">
        <v>46043</v>
      </c>
      <c r="DA71" s="654" t="n">
        <v>46024</v>
      </c>
      <c r="DB71" s="654" t="n">
        <v>46029</v>
      </c>
      <c r="DC71" s="654" t="n">
        <v>46024</v>
      </c>
      <c r="DD71" s="654" t="n">
        <v>46372</v>
      </c>
      <c r="DE71" s="654" t="n">
        <v>46024</v>
      </c>
      <c r="DF71" s="654" t="n">
        <v>46017</v>
      </c>
      <c r="DG71" s="654" t="n">
        <v>46007</v>
      </c>
      <c r="DH71" s="654" t="n">
        <v>46001</v>
      </c>
      <c r="DI71" s="654" t="n">
        <v>46007</v>
      </c>
      <c r="DJ71" s="654" t="n">
        <v>46001</v>
      </c>
      <c r="DK71" s="654" t="n">
        <v>45994</v>
      </c>
      <c r="DL71" s="654" t="n">
        <v>45986</v>
      </c>
      <c r="DM71" s="654" t="n">
        <v>45980</v>
      </c>
      <c r="DN71" s="654" t="n">
        <v>45980</v>
      </c>
      <c r="DO71" s="654" t="n">
        <v>45973</v>
      </c>
      <c r="DP71" s="654" t="n">
        <v>45965</v>
      </c>
      <c r="DQ71" s="654" t="n">
        <v>45960</v>
      </c>
      <c r="DR71" s="654" t="n">
        <v>45945</v>
      </c>
      <c r="DS71" s="654" t="n">
        <v>45939</v>
      </c>
      <c r="DT71" s="654" t="n">
        <v>45931</v>
      </c>
      <c r="DU71" s="678" t="n">
        <v>45903</v>
      </c>
      <c r="DV71" s="654" t="n">
        <v>45923</v>
      </c>
      <c r="DW71" s="654" t="n">
        <v>45915</v>
      </c>
      <c r="DX71" s="655" t="n">
        <v>45931</v>
      </c>
      <c r="DY71" s="688" t="n">
        <v>45931</v>
      </c>
      <c r="DZ71" s="688" t="n">
        <v>45931</v>
      </c>
      <c r="EA71" s="18" t="n"/>
      <c r="EB71" s="18" t="n">
        <v>1000</v>
      </c>
      <c r="EC71" s="18" t="n"/>
      <c r="ED71" s="18" t="n">
        <v>600</v>
      </c>
      <c r="EE71" s="18" t="n">
        <v>1000</v>
      </c>
      <c r="EF71" s="18" t="n"/>
      <c r="EG71" s="18" t="n"/>
      <c r="EH71" s="18" t="n"/>
      <c r="EI71" s="18" t="n"/>
      <c r="EJ71" s="18" t="n"/>
      <c r="EK71" s="18" t="n">
        <v>800</v>
      </c>
      <c r="EL71" s="18" t="n">
        <v>600</v>
      </c>
      <c r="EM71" s="18" t="n"/>
      <c r="EN71" s="18" t="n"/>
      <c r="EO71" s="18" t="n"/>
      <c r="EP71" s="18" t="n"/>
      <c r="EQ71" s="18" t="n"/>
      <c r="ER71" s="18" t="n"/>
      <c r="ES71" s="18" t="n"/>
      <c r="ET71" s="18" t="n"/>
      <c r="EU71" s="18" t="n">
        <v>1000</v>
      </c>
      <c r="EV71" s="18" t="n"/>
      <c r="EW71" s="18" t="n"/>
      <c r="EX71" s="18" t="n"/>
      <c r="EY71" s="18" t="n"/>
      <c r="EZ71" s="18" t="n"/>
      <c r="FA71" s="18" t="n">
        <v>800</v>
      </c>
      <c r="FB71" s="18" t="n"/>
      <c r="FC71" s="18" t="n"/>
      <c r="FD71" s="274" t="n"/>
      <c r="FE71" s="18" t="n"/>
      <c r="FF71" s="18" t="n"/>
      <c r="FG71" s="274" t="n"/>
      <c r="FH71" s="18" t="n"/>
      <c r="FI71" s="18" t="n"/>
      <c r="FJ71" s="18" t="n"/>
      <c r="FK71" s="18" t="n"/>
      <c r="FL71" s="18" t="n"/>
      <c r="FM71" s="274" t="n"/>
      <c r="FN71" s="18" t="n"/>
      <c r="FO71" s="18" t="n"/>
      <c r="FP71" s="18" t="n"/>
      <c r="FQ71" s="18" t="n">
        <v>800</v>
      </c>
      <c r="FR71" s="260" t="n"/>
      <c r="FS71" s="18" t="n"/>
      <c r="FT71" s="18" t="n"/>
      <c r="FU71" s="18" t="n"/>
      <c r="FV71" s="274" t="n"/>
      <c r="FW71" s="18" t="n">
        <v>800</v>
      </c>
      <c r="FX71" s="18" t="n"/>
      <c r="FY71" s="18" t="n"/>
      <c r="FZ71" s="274" t="n"/>
      <c r="GA71" s="18" t="n"/>
      <c r="GB71" s="18" t="n"/>
      <c r="GC71" s="18" t="n"/>
      <c r="GD71" s="18" t="n"/>
      <c r="GE71" s="18" t="n"/>
      <c r="GF71" s="18" t="n"/>
      <c r="GG71" s="18" t="n"/>
      <c r="GH71" s="110" t="n"/>
      <c r="GI71" s="18" t="n"/>
      <c r="GJ71" s="239" t="inlineStr">
        <is>
          <t>1200 DE CD</t>
        </is>
      </c>
      <c r="GK71" s="18" t="n"/>
      <c r="GL71" s="18" t="n"/>
      <c r="GM71" s="18" t="n"/>
      <c r="GN71" s="18" t="n"/>
      <c r="GO71" s="18" t="n"/>
      <c r="GP71" s="18" t="n"/>
      <c r="GQ71" s="18" t="n">
        <v>1000</v>
      </c>
    </row>
    <row r="72" ht="18.75" customHeight="1">
      <c r="A72" s="33" t="inlineStr">
        <is>
          <t>SACOLA P EUDORA</t>
        </is>
      </c>
      <c r="B72" s="9" t="n">
        <v>200</v>
      </c>
      <c r="C72" s="662" t="n">
        <v>183.24</v>
      </c>
      <c r="D72" s="329" t="n">
        <v>400</v>
      </c>
      <c r="F72" s="9" t="n">
        <v>0</v>
      </c>
      <c r="G72" s="9" t="n">
        <v>1000</v>
      </c>
      <c r="H72" s="9" t="n">
        <v>1000</v>
      </c>
      <c r="I72" s="9">
        <f>0+1200</f>
        <v/>
      </c>
      <c r="J72" s="9" t="n">
        <v>1200</v>
      </c>
      <c r="K72" s="9" t="n">
        <v>1200</v>
      </c>
      <c r="L72" s="9" t="n">
        <v>1000</v>
      </c>
      <c r="M72" s="9" t="n">
        <v>600</v>
      </c>
      <c r="N72" s="9" t="n">
        <v>200</v>
      </c>
      <c r="O72" s="9" t="n">
        <v>0</v>
      </c>
      <c r="P72" s="9" t="n">
        <v>0</v>
      </c>
      <c r="Q72" s="9" t="n">
        <v>800</v>
      </c>
      <c r="R72" s="9" t="n">
        <v>400</v>
      </c>
      <c r="S72" s="9" t="n">
        <v>400</v>
      </c>
      <c r="T72" s="9" t="n">
        <v>200</v>
      </c>
      <c r="U72" s="9" t="n">
        <v>200</v>
      </c>
      <c r="V72" s="9" t="n">
        <v>0</v>
      </c>
      <c r="W72" s="9" t="n">
        <v>0</v>
      </c>
      <c r="X72" s="9" t="n">
        <v>800</v>
      </c>
      <c r="Y72" s="9" t="n">
        <v>200</v>
      </c>
      <c r="Z72" s="9" t="n">
        <v>200</v>
      </c>
      <c r="AA72" s="9">
        <f>200+FA71</f>
        <v/>
      </c>
      <c r="AB72" s="9" t="n">
        <v>1000</v>
      </c>
      <c r="AC72" s="9" t="n">
        <v>1000</v>
      </c>
      <c r="AD72" s="9" t="n">
        <v>0</v>
      </c>
      <c r="AE72" s="9" t="n">
        <v>0</v>
      </c>
      <c r="AF72" s="9" t="n">
        <v>600</v>
      </c>
      <c r="AG72" s="9" t="n">
        <v>400</v>
      </c>
      <c r="AH72" s="9" t="n">
        <v>400</v>
      </c>
      <c r="AI72" s="9" t="n">
        <v>0</v>
      </c>
      <c r="AJ72" s="9" t="n">
        <v>600</v>
      </c>
      <c r="AK72" s="9" t="n">
        <v>600</v>
      </c>
      <c r="AL72" s="9" t="n">
        <v>1200</v>
      </c>
      <c r="AM72" s="9" t="n">
        <v>1000</v>
      </c>
      <c r="AN72" s="9" t="n">
        <v>600</v>
      </c>
      <c r="AO72" s="9" t="n">
        <v>1200</v>
      </c>
      <c r="AP72" s="9" t="n">
        <v>1200</v>
      </c>
      <c r="AQ72" s="9">
        <f>1200+EB71</f>
        <v/>
      </c>
      <c r="AR72" s="9" t="n">
        <v>1400</v>
      </c>
      <c r="AS72" s="9">
        <f>1200+DV72</f>
        <v/>
      </c>
      <c r="AT72" s="9" t="n">
        <v>2200</v>
      </c>
      <c r="AU72" s="9">
        <f>2200+DS72</f>
        <v/>
      </c>
      <c r="AV72" s="9" t="n">
        <v>2800</v>
      </c>
      <c r="AW72" s="9" t="n">
        <v>2800</v>
      </c>
      <c r="AX72" s="9" t="n">
        <v>2800</v>
      </c>
      <c r="AY72" s="9" t="n">
        <v>1400</v>
      </c>
      <c r="AZ72" s="9">
        <f>0+DO72</f>
        <v/>
      </c>
      <c r="BA72" s="9" t="n">
        <v>2000</v>
      </c>
      <c r="BB72" s="9">
        <f>600+DM72</f>
        <v/>
      </c>
      <c r="BC72" s="9">
        <f>2200+DK72</f>
        <v/>
      </c>
      <c r="BD72" s="9" t="n">
        <v>3000</v>
      </c>
      <c r="BE72" s="9" t="n">
        <v>2200</v>
      </c>
      <c r="BF72" s="9" t="n">
        <v>1600</v>
      </c>
      <c r="BG72" s="9" t="n">
        <v>1600</v>
      </c>
      <c r="BH72" s="9" t="n">
        <v>2200</v>
      </c>
      <c r="BI72" s="9">
        <f>2200+800+600</f>
        <v/>
      </c>
      <c r="BJ72" s="9" t="n">
        <v>3800</v>
      </c>
      <c r="BK72" s="9" t="n">
        <v>3800</v>
      </c>
      <c r="BL72" s="9" t="n">
        <v>3600</v>
      </c>
      <c r="BM72" s="9" t="n">
        <v>3400</v>
      </c>
      <c r="BN72" s="9" t="n">
        <v>3400</v>
      </c>
      <c r="BO72" s="9" t="n">
        <v>3200</v>
      </c>
      <c r="BP72" s="9" t="n">
        <v>3000</v>
      </c>
      <c r="BQ72" s="9" t="n">
        <v>2800</v>
      </c>
      <c r="BR72" s="9" t="n">
        <v>2400</v>
      </c>
      <c r="BS72" s="9" t="n">
        <v>2000</v>
      </c>
      <c r="BT72" s="9" t="n">
        <v>2400</v>
      </c>
      <c r="BU72" s="9" t="n">
        <v>2400</v>
      </c>
      <c r="BV72" s="9" t="n">
        <v>2400</v>
      </c>
      <c r="BW72" s="9" t="n">
        <v>2200</v>
      </c>
      <c r="BX72" s="9" t="n">
        <v>2000</v>
      </c>
      <c r="BY72" s="9" t="n">
        <v>1800</v>
      </c>
      <c r="BZ72" s="9" t="n"/>
      <c r="CA72" s="9" t="n"/>
      <c r="CB72" s="154">
        <f>BZ72+IF(NOT(ISBLANK(OFFSET(CB72,0,6))),N(OFFSET(CB72,0,6)),N(OFFSET(CB72,0,7)))-CA72</f>
        <v/>
      </c>
      <c r="CD72" s="127" t="inlineStr">
        <is>
          <t>400 P/ ER PBE</t>
        </is>
      </c>
      <c r="CE72" s="127" t="n"/>
      <c r="CG72" s="65" t="n"/>
      <c r="CI72" s="18" t="n">
        <v>0</v>
      </c>
      <c r="CJ72" s="18" t="n">
        <v>0</v>
      </c>
      <c r="CK72" s="18" t="n"/>
      <c r="CL72" s="18" t="n"/>
      <c r="CM72" s="18" t="n"/>
      <c r="CN72" s="18" t="n"/>
      <c r="CO72" s="18" t="n"/>
      <c r="CP72" s="18" t="n"/>
      <c r="CQ72" s="18" t="n"/>
      <c r="CR72" s="18" t="n"/>
      <c r="CS72" s="18" t="n"/>
      <c r="CT72" s="18" t="n"/>
      <c r="CU72" s="18" t="n"/>
      <c r="CV72" s="18" t="n"/>
      <c r="CW72" s="18" t="n"/>
      <c r="CX72" s="18" t="n"/>
      <c r="CY72" s="18" t="n"/>
      <c r="CZ72" s="154" t="inlineStr">
        <is>
          <t>800 DE ER MG + 600 DE ER PBE</t>
        </is>
      </c>
      <c r="DA72" s="18" t="n">
        <v>600</v>
      </c>
      <c r="DB72" s="18" t="n"/>
      <c r="DC72" s="18" t="n"/>
      <c r="DD72" s="18" t="n"/>
      <c r="DE72" s="18" t="n"/>
      <c r="DF72" s="18" t="n">
        <v>800</v>
      </c>
      <c r="DG72" s="18" t="n"/>
      <c r="DH72" s="18" t="n"/>
      <c r="DI72" s="18" t="n"/>
      <c r="DJ72" s="18" t="n"/>
      <c r="DK72" s="18" t="n">
        <v>1000</v>
      </c>
      <c r="DL72" s="18" t="n"/>
      <c r="DM72" s="18" t="n">
        <v>1800</v>
      </c>
      <c r="DN72" s="18" t="n"/>
      <c r="DO72" s="18" t="n">
        <v>2000</v>
      </c>
      <c r="DP72" s="18" t="n"/>
      <c r="DQ72" s="18" t="n"/>
      <c r="DR72" s="18" t="n"/>
      <c r="DS72" s="18" t="n">
        <v>1000</v>
      </c>
      <c r="DT72" s="18" t="n"/>
      <c r="DU72" s="396" t="n"/>
      <c r="DV72" s="18" t="n">
        <v>2000</v>
      </c>
      <c r="DW72" s="18" t="n"/>
      <c r="DX72" s="256" t="n"/>
      <c r="DY72" s="256" t="n"/>
      <c r="DZ72" s="256" t="n"/>
      <c r="EA72" s="18" t="n"/>
      <c r="EB72" s="18" t="n"/>
      <c r="EC72" s="18" t="n"/>
      <c r="ED72" s="18" t="n"/>
      <c r="EE72" s="18" t="n"/>
      <c r="EF72" s="18" t="n"/>
      <c r="EG72" s="18" t="n"/>
      <c r="EH72" s="18" t="n"/>
      <c r="EI72" s="18" t="n"/>
      <c r="EJ72" s="18" t="n"/>
      <c r="EK72" s="18" t="n">
        <v>600</v>
      </c>
      <c r="EL72" s="18" t="n"/>
      <c r="EM72" s="18" t="n"/>
      <c r="EN72" s="18" t="n"/>
      <c r="EO72" s="18" t="n"/>
      <c r="EP72" s="18" t="n"/>
      <c r="EQ72" s="18" t="n"/>
      <c r="ER72" s="18" t="n"/>
      <c r="ES72" s="18" t="n"/>
      <c r="ET72" s="18" t="n"/>
      <c r="EU72" s="18" t="n">
        <v>600</v>
      </c>
      <c r="EV72" s="18" t="n"/>
      <c r="EW72" s="18" t="n"/>
      <c r="EX72" s="18" t="n"/>
      <c r="EY72" s="18" t="n"/>
      <c r="EZ72" s="18" t="n"/>
      <c r="FA72" s="18" t="n"/>
      <c r="FB72" s="18" t="n"/>
      <c r="FC72" s="18" t="n"/>
      <c r="FD72" s="274" t="n"/>
      <c r="FE72" s="18" t="n"/>
      <c r="FF72" s="18" t="n"/>
      <c r="FG72" s="274" t="n"/>
      <c r="FH72" s="18" t="n"/>
      <c r="FI72" s="18" t="n"/>
      <c r="FJ72" s="18" t="n"/>
      <c r="FK72" s="18" t="n">
        <v>400</v>
      </c>
      <c r="FL72" s="18" t="n"/>
      <c r="FM72" s="274" t="n"/>
      <c r="FN72" s="18" t="n"/>
      <c r="FO72" s="18" t="n">
        <v>400</v>
      </c>
      <c r="FP72" s="18" t="n"/>
      <c r="FQ72" s="18" t="n"/>
      <c r="FR72" s="260" t="n"/>
      <c r="FS72" s="18" t="n"/>
      <c r="FT72" s="18" t="n"/>
      <c r="FU72" s="18" t="n"/>
      <c r="FV72" s="274" t="n"/>
      <c r="FW72" s="18" t="n"/>
      <c r="FX72" s="18" t="n"/>
      <c r="FY72" s="18" t="n"/>
      <c r="FZ72" s="274" t="n"/>
      <c r="GA72" s="18" t="n"/>
      <c r="GB72" s="18" t="n"/>
      <c r="GC72" s="18" t="n"/>
      <c r="GD72" s="18" t="n"/>
      <c r="GE72" s="18" t="n"/>
      <c r="GF72" s="18" t="n">
        <v>400</v>
      </c>
      <c r="GG72" s="18" t="n"/>
      <c r="GH72" s="110" t="n"/>
      <c r="GI72" s="18" t="n"/>
      <c r="GJ72" s="18" t="n"/>
      <c r="GK72" s="18" t="n"/>
      <c r="GL72" s="18" t="n"/>
      <c r="GM72" s="18" t="n"/>
      <c r="GN72" s="18" t="n"/>
      <c r="GO72" s="18" t="n"/>
      <c r="GP72" s="18" t="n"/>
      <c r="GQ72" s="18" t="n"/>
    </row>
    <row r="73" ht="18.75" customHeight="1">
      <c r="A73" s="33" t="inlineStr">
        <is>
          <t>SACOLA M EUDORA</t>
        </is>
      </c>
      <c r="B73" s="9" t="n">
        <v>200</v>
      </c>
      <c r="C73" s="662" t="n">
        <v>240.83</v>
      </c>
      <c r="D73" s="329" t="n">
        <v>200</v>
      </c>
      <c r="F73" s="9" t="n">
        <v>800</v>
      </c>
      <c r="G73" s="9" t="n">
        <v>600</v>
      </c>
      <c r="H73" s="9" t="n">
        <v>600</v>
      </c>
      <c r="I73" s="9" t="n">
        <v>600</v>
      </c>
      <c r="J73" s="9" t="n">
        <v>400</v>
      </c>
      <c r="K73" s="9" t="n">
        <v>200</v>
      </c>
      <c r="L73" s="9">
        <f>0+GF72</f>
        <v/>
      </c>
      <c r="M73" s="9" t="n">
        <v>400</v>
      </c>
      <c r="N73" s="9" t="n">
        <v>400</v>
      </c>
      <c r="O73" s="9" t="n">
        <v>200</v>
      </c>
      <c r="P73" s="9" t="n">
        <v>400</v>
      </c>
      <c r="Q73" s="9" t="n">
        <v>400</v>
      </c>
      <c r="R73" s="9" t="n">
        <v>0</v>
      </c>
      <c r="S73" s="9" t="n">
        <v>0</v>
      </c>
      <c r="T73" s="9" t="n">
        <v>0</v>
      </c>
      <c r="U73" s="9" t="n">
        <v>0</v>
      </c>
      <c r="V73" s="9" t="n">
        <v>0</v>
      </c>
      <c r="W73" s="9" t="n">
        <v>0</v>
      </c>
      <c r="X73" s="9" t="n">
        <v>0</v>
      </c>
      <c r="Y73" s="9" t="n">
        <v>200</v>
      </c>
      <c r="Z73" s="9" t="n">
        <v>600</v>
      </c>
      <c r="AA73" s="9" t="n">
        <v>600</v>
      </c>
      <c r="AB73" s="9" t="n">
        <v>600</v>
      </c>
      <c r="AC73" s="9" t="n">
        <v>600</v>
      </c>
      <c r="AD73" s="9" t="n">
        <v>200</v>
      </c>
      <c r="AE73" s="9" t="n">
        <v>0</v>
      </c>
      <c r="AF73" s="9" t="n">
        <v>600</v>
      </c>
      <c r="AG73" s="9" t="n">
        <v>600</v>
      </c>
      <c r="AH73" s="9" t="n">
        <v>600</v>
      </c>
      <c r="AI73" s="9" t="n">
        <v>600</v>
      </c>
      <c r="AJ73" s="9" t="n">
        <v>200</v>
      </c>
      <c r="AK73" s="9" t="n">
        <v>0</v>
      </c>
      <c r="AL73" s="9" t="n">
        <v>600</v>
      </c>
      <c r="AM73" s="9" t="n">
        <v>400</v>
      </c>
      <c r="AN73" s="9" t="n">
        <v>400</v>
      </c>
      <c r="AO73" s="9" t="n">
        <v>400</v>
      </c>
      <c r="AP73" s="9" t="n">
        <v>400</v>
      </c>
      <c r="AQ73" s="9" t="n">
        <v>400</v>
      </c>
      <c r="AR73" s="9" t="n">
        <v>400</v>
      </c>
      <c r="AS73" s="9" t="n">
        <v>400</v>
      </c>
      <c r="AT73" s="9" t="n">
        <v>200</v>
      </c>
      <c r="AU73" s="9">
        <f>200+DS73</f>
        <v/>
      </c>
      <c r="AV73" s="9" t="n">
        <v>600</v>
      </c>
      <c r="AW73" s="9" t="n">
        <v>600</v>
      </c>
      <c r="AX73" s="9" t="n">
        <v>600</v>
      </c>
      <c r="AY73" s="9" t="n">
        <v>600</v>
      </c>
      <c r="AZ73" s="9" t="n">
        <v>0</v>
      </c>
      <c r="BA73" s="9">
        <f>0+DN73</f>
        <v/>
      </c>
      <c r="BB73" s="9" t="n">
        <v>0</v>
      </c>
      <c r="BC73" s="9" t="n">
        <v>800</v>
      </c>
      <c r="BD73" s="9" t="n">
        <v>800</v>
      </c>
      <c r="BE73" s="9" t="n">
        <v>800</v>
      </c>
      <c r="BF73" s="9" t="n">
        <v>400</v>
      </c>
      <c r="BG73" s="9" t="n">
        <v>400</v>
      </c>
      <c r="BH73" s="9" t="n">
        <v>200</v>
      </c>
      <c r="BI73" s="9">
        <f>800+400</f>
        <v/>
      </c>
      <c r="BJ73" s="9" t="n">
        <v>1400</v>
      </c>
      <c r="BK73" s="9" t="n">
        <v>1400</v>
      </c>
      <c r="BL73" s="9" t="n">
        <v>1400</v>
      </c>
      <c r="BM73" s="9" t="n">
        <v>1200</v>
      </c>
      <c r="BN73" s="9" t="n">
        <v>1200</v>
      </c>
      <c r="BO73" s="9" t="n">
        <v>1000</v>
      </c>
      <c r="BP73" s="9">
        <f>800+CQ73</f>
        <v/>
      </c>
      <c r="BQ73" s="9" t="n">
        <v>1600</v>
      </c>
      <c r="BR73" s="9" t="n">
        <v>1200</v>
      </c>
      <c r="BS73" s="9" t="n">
        <v>1000</v>
      </c>
      <c r="BT73" s="9" t="n">
        <v>1000</v>
      </c>
      <c r="BU73" s="9" t="n">
        <v>1000</v>
      </c>
      <c r="BV73" s="9" t="n">
        <v>1000</v>
      </c>
      <c r="BW73" s="9" t="n">
        <v>800</v>
      </c>
      <c r="BX73" s="9" t="n">
        <v>800</v>
      </c>
      <c r="BY73" s="9" t="n">
        <v>600</v>
      </c>
      <c r="BZ73" s="9" t="n"/>
      <c r="CA73" s="9" t="n"/>
      <c r="CB73" s="154">
        <f>BZ73+IF(NOT(ISBLANK(OFFSET(CB73,0,6))),N(OFFSET(CB73,0,6)),N(OFFSET(CB73,0,7)))-CA73</f>
        <v/>
      </c>
      <c r="CD73" s="127" t="n"/>
      <c r="CE73" s="127" t="n"/>
      <c r="CG73" s="65" t="n"/>
      <c r="CI73" s="18" t="n">
        <v>0</v>
      </c>
      <c r="CJ73" s="18" t="n">
        <v>0</v>
      </c>
      <c r="CK73" s="18" t="n"/>
      <c r="CL73" s="18" t="n"/>
      <c r="CM73" s="18" t="n"/>
      <c r="CN73" s="18" t="n"/>
      <c r="CO73" s="18" t="n"/>
      <c r="CP73" s="18" t="n"/>
      <c r="CQ73" s="18" t="n">
        <v>800</v>
      </c>
      <c r="CR73" s="18" t="n"/>
      <c r="CS73" s="18" t="n"/>
      <c r="CT73" s="18" t="n"/>
      <c r="CU73" s="18" t="n"/>
      <c r="CV73" s="18" t="n"/>
      <c r="CW73" s="18" t="n"/>
      <c r="CX73" s="18" t="n"/>
      <c r="CY73" s="18" t="n"/>
      <c r="CZ73" s="154" t="inlineStr">
        <is>
          <t>400 DE ER MG</t>
        </is>
      </c>
      <c r="DA73" s="18" t="n"/>
      <c r="DB73" s="18" t="n"/>
      <c r="DC73" s="18" t="n">
        <v>600</v>
      </c>
      <c r="DD73" s="18" t="n"/>
      <c r="DE73" s="18" t="n"/>
      <c r="DF73" s="18" t="n"/>
      <c r="DG73" s="18" t="n"/>
      <c r="DH73" s="18" t="n"/>
      <c r="DI73" s="18" t="n"/>
      <c r="DJ73" s="18" t="n"/>
      <c r="DK73" s="18" t="n"/>
      <c r="DL73" s="18" t="n"/>
      <c r="DM73" s="18" t="n"/>
      <c r="DN73" s="18" t="n">
        <v>800</v>
      </c>
      <c r="DO73" s="18" t="n"/>
      <c r="DP73" s="18" t="n"/>
      <c r="DQ73" s="18" t="n"/>
      <c r="DR73" s="18" t="n"/>
      <c r="DS73" s="18" t="n">
        <v>400</v>
      </c>
      <c r="DT73" s="18" t="n"/>
      <c r="DU73" s="396" t="n"/>
      <c r="DV73" s="18" t="n"/>
      <c r="DW73" s="18" t="n"/>
      <c r="DX73" s="256" t="n"/>
      <c r="DY73" s="256" t="n"/>
      <c r="DZ73" s="256" t="n"/>
      <c r="EA73" s="18" t="n"/>
      <c r="EB73" s="18" t="n"/>
      <c r="EC73" s="18" t="n"/>
      <c r="ED73" s="18" t="n"/>
      <c r="EE73" s="18" t="n"/>
      <c r="EF73" s="18" t="n"/>
      <c r="EG73" s="18" t="n"/>
      <c r="EH73" s="18" t="n"/>
      <c r="EI73" s="18" t="n"/>
      <c r="EJ73" s="18" t="n"/>
      <c r="EK73" s="18" t="n">
        <v>100</v>
      </c>
      <c r="EL73" s="18" t="n">
        <v>400</v>
      </c>
      <c r="EM73" s="18" t="n"/>
      <c r="EN73" s="18" t="n"/>
      <c r="EO73" s="18" t="n"/>
      <c r="EP73" s="18" t="n"/>
      <c r="EQ73" s="18" t="n"/>
      <c r="ER73" s="18" t="n"/>
      <c r="ES73" s="18" t="n"/>
      <c r="ET73" s="18" t="n"/>
      <c r="EU73" s="18" t="n">
        <v>100</v>
      </c>
      <c r="EV73" s="239" t="inlineStr">
        <is>
          <t>800 DE CD</t>
        </is>
      </c>
      <c r="EW73" s="18" t="n"/>
      <c r="EX73" s="18" t="n"/>
      <c r="EY73" s="18" t="n"/>
      <c r="EZ73" s="18" t="n"/>
      <c r="FA73" s="18" t="n"/>
      <c r="FB73" s="18" t="n"/>
      <c r="FC73" s="18" t="n"/>
      <c r="FD73" s="274" t="n"/>
      <c r="FE73" s="18" t="n"/>
      <c r="FF73" s="18" t="n"/>
      <c r="FG73" s="274" t="n"/>
      <c r="FH73" s="18" t="n"/>
      <c r="FI73" s="18" t="n"/>
      <c r="FJ73" s="18" t="n"/>
      <c r="FK73" s="18" t="n"/>
      <c r="FL73" s="18" t="n"/>
      <c r="FM73" s="274" t="n"/>
      <c r="FN73" s="18" t="n"/>
      <c r="FO73" s="18" t="n"/>
      <c r="FP73" s="18" t="n"/>
      <c r="FQ73" s="18" t="n"/>
      <c r="FR73" s="18" t="n"/>
      <c r="FS73" s="18" t="n"/>
      <c r="FT73" s="18" t="n"/>
      <c r="FU73" s="18" t="n"/>
      <c r="FV73" s="274" t="n"/>
      <c r="FW73" s="18" t="n"/>
      <c r="FX73" s="18" t="n"/>
      <c r="FY73" s="18" t="n"/>
      <c r="FZ73" s="274" t="n"/>
      <c r="GA73" s="18" t="n"/>
      <c r="GB73" s="18" t="n"/>
      <c r="GC73" s="18" t="n"/>
      <c r="GD73" s="18" t="n"/>
      <c r="GE73" s="18" t="n"/>
      <c r="GF73" s="18" t="n"/>
      <c r="GG73" s="18" t="n"/>
      <c r="GH73" s="253" t="n"/>
      <c r="GI73" s="18" t="n"/>
      <c r="GJ73" s="18" t="n"/>
      <c r="GK73" s="18" t="n"/>
      <c r="GL73" s="18" t="n"/>
      <c r="GM73" s="18" t="n"/>
      <c r="GN73" s="18" t="n"/>
      <c r="GO73" s="18" t="n"/>
      <c r="GP73" s="18" t="n"/>
      <c r="GQ73" s="18" t="n"/>
    </row>
    <row r="74" ht="18.75" customHeight="1">
      <c r="A74" s="33" t="inlineStr">
        <is>
          <t>SACOLA G EUDORA</t>
        </is>
      </c>
      <c r="B74" s="9" t="n">
        <v>100</v>
      </c>
      <c r="C74" s="662" t="n">
        <v>175.13</v>
      </c>
      <c r="D74" s="329" t="n">
        <v>100</v>
      </c>
      <c r="F74" s="9" t="n">
        <v>700</v>
      </c>
      <c r="G74" s="9" t="n">
        <v>700</v>
      </c>
      <c r="H74" s="9" t="n">
        <v>700</v>
      </c>
      <c r="I74" s="9" t="n">
        <v>700</v>
      </c>
      <c r="J74" s="9" t="n">
        <v>600</v>
      </c>
      <c r="K74" s="9" t="n">
        <v>600</v>
      </c>
      <c r="L74" s="9" t="n">
        <v>600</v>
      </c>
      <c r="M74" s="9" t="n">
        <v>600</v>
      </c>
      <c r="N74" s="9" t="n">
        <v>500</v>
      </c>
      <c r="O74" s="9" t="n">
        <v>700</v>
      </c>
      <c r="P74" s="9" t="n">
        <v>700</v>
      </c>
      <c r="Q74" s="9" t="n">
        <v>600</v>
      </c>
      <c r="R74" s="9" t="n">
        <v>600</v>
      </c>
      <c r="S74" s="9" t="n">
        <v>600</v>
      </c>
      <c r="T74" s="9" t="n">
        <v>600</v>
      </c>
      <c r="U74" s="9" t="n">
        <v>500</v>
      </c>
      <c r="V74" s="9" t="n">
        <v>500</v>
      </c>
      <c r="W74" s="9" t="n">
        <v>400</v>
      </c>
      <c r="X74" s="9" t="n">
        <v>300</v>
      </c>
      <c r="Y74" s="9" t="n">
        <v>200</v>
      </c>
      <c r="Z74" s="9" t="n">
        <v>200</v>
      </c>
      <c r="AA74" s="9" t="n">
        <v>200</v>
      </c>
      <c r="AB74" s="9" t="n">
        <v>200</v>
      </c>
      <c r="AC74" s="9" t="n">
        <v>200</v>
      </c>
      <c r="AD74" s="9">
        <f>0+800</f>
        <v/>
      </c>
      <c r="AE74" s="9" t="n">
        <v>700</v>
      </c>
      <c r="AF74" s="9" t="n">
        <v>500</v>
      </c>
      <c r="AG74" s="9" t="n">
        <v>400</v>
      </c>
      <c r="AH74" s="9" t="n">
        <v>300</v>
      </c>
      <c r="AI74" s="9" t="n">
        <v>0</v>
      </c>
      <c r="AJ74" s="9" t="n">
        <v>400</v>
      </c>
      <c r="AK74" s="9" t="n">
        <v>400</v>
      </c>
      <c r="AL74" s="9" t="n">
        <v>500</v>
      </c>
      <c r="AM74" s="9" t="n">
        <v>500</v>
      </c>
      <c r="AN74" s="9" t="n">
        <v>400</v>
      </c>
      <c r="AO74" s="9" t="n">
        <v>400</v>
      </c>
      <c r="AP74" s="9" t="n">
        <v>400</v>
      </c>
      <c r="AQ74" s="9" t="n">
        <v>400</v>
      </c>
      <c r="AR74" s="9" t="n">
        <v>400</v>
      </c>
      <c r="AS74" s="9" t="n">
        <v>400</v>
      </c>
      <c r="AT74" s="9" t="n">
        <v>400</v>
      </c>
      <c r="AU74" s="9" t="n">
        <v>300</v>
      </c>
      <c r="AV74" s="9" t="n">
        <v>300</v>
      </c>
      <c r="AW74" s="9" t="n">
        <v>300</v>
      </c>
      <c r="AX74" s="9" t="n">
        <v>300</v>
      </c>
      <c r="AY74" s="9" t="n">
        <v>300</v>
      </c>
      <c r="AZ74" s="9" t="n">
        <v>200</v>
      </c>
      <c r="BA74" s="9">
        <f>200+DN74</f>
        <v/>
      </c>
      <c r="BB74" s="9" t="n">
        <v>200</v>
      </c>
      <c r="BC74" s="9" t="n">
        <v>200</v>
      </c>
      <c r="BD74" s="9" t="n">
        <v>0</v>
      </c>
      <c r="BE74" s="9">
        <f>0+DI74</f>
        <v/>
      </c>
      <c r="BF74" s="9" t="n">
        <v>300</v>
      </c>
      <c r="BG74" s="9" t="n">
        <v>300</v>
      </c>
      <c r="BH74" s="9" t="n">
        <v>300</v>
      </c>
      <c r="BI74" s="9">
        <f>300+100</f>
        <v/>
      </c>
      <c r="BJ74" s="9" t="n">
        <v>400</v>
      </c>
      <c r="BK74" s="9" t="n">
        <v>400</v>
      </c>
      <c r="BL74" s="9" t="n">
        <v>400</v>
      </c>
      <c r="BM74" s="9" t="n">
        <v>300</v>
      </c>
      <c r="BN74" s="9" t="n">
        <v>300</v>
      </c>
      <c r="BO74" s="9" t="n">
        <v>200</v>
      </c>
      <c r="BP74" s="9">
        <f>200+CQ74</f>
        <v/>
      </c>
      <c r="BQ74" s="9" t="n">
        <v>300</v>
      </c>
      <c r="BR74" s="9" t="n">
        <v>200</v>
      </c>
      <c r="BS74" s="9" t="n">
        <v>100</v>
      </c>
      <c r="BT74" s="9" t="n">
        <v>100</v>
      </c>
      <c r="BU74" s="9" t="n">
        <v>100</v>
      </c>
      <c r="BV74" s="9" t="n">
        <v>100</v>
      </c>
      <c r="BW74" s="9" t="n">
        <v>0</v>
      </c>
      <c r="BX74" s="9" t="n">
        <v>0</v>
      </c>
      <c r="BY74" s="9" t="n">
        <v>0</v>
      </c>
      <c r="BZ74" s="9" t="n"/>
      <c r="CA74" s="9" t="n"/>
      <c r="CB74" s="154">
        <f>BZ74+IF(NOT(ISBLANK(OFFSET(CB74,0,6))),N(OFFSET(CB74,0,6)),N(OFFSET(CB74,0,7)))-CA74</f>
        <v/>
      </c>
      <c r="CD74" s="127" t="inlineStr">
        <is>
          <t>200 DE CDP</t>
        </is>
      </c>
      <c r="CE74" s="127" t="n"/>
      <c r="CG74" s="65" t="n"/>
      <c r="CI74" s="18" t="n">
        <v>0</v>
      </c>
      <c r="CJ74" s="18" t="n">
        <v>0</v>
      </c>
      <c r="CK74" s="18" t="n"/>
      <c r="CL74" s="18" t="n"/>
      <c r="CM74" s="18" t="n"/>
      <c r="CN74" s="18" t="n"/>
      <c r="CO74" s="18" t="n"/>
      <c r="CP74" s="18" t="n"/>
      <c r="CQ74" s="18" t="n">
        <v>100</v>
      </c>
      <c r="CR74" s="18" t="n"/>
      <c r="CS74" s="18" t="n"/>
      <c r="CT74" s="18" t="n"/>
      <c r="CU74" s="18" t="n"/>
      <c r="CV74" s="18" t="n"/>
      <c r="CW74" s="18" t="n"/>
      <c r="CX74" s="18" t="n"/>
      <c r="CY74" s="18" t="n"/>
      <c r="CZ74" s="154" t="inlineStr">
        <is>
          <t>100 DE ER PBE</t>
        </is>
      </c>
      <c r="DA74" s="18" t="n"/>
      <c r="DB74" s="18" t="n"/>
      <c r="DC74" s="18" t="n"/>
      <c r="DD74" s="18" t="n"/>
      <c r="DE74" s="18" t="n"/>
      <c r="DF74" s="18" t="n"/>
      <c r="DG74" s="18" t="n"/>
      <c r="DH74" s="18" t="n"/>
      <c r="DI74" s="18" t="n">
        <v>300</v>
      </c>
      <c r="DJ74" s="18" t="n"/>
      <c r="DK74" s="18" t="n"/>
      <c r="DL74" s="18" t="n"/>
      <c r="DM74" s="18" t="n"/>
      <c r="DN74" s="18" t="n">
        <v>100</v>
      </c>
      <c r="DO74" s="18" t="n"/>
      <c r="DP74" s="18" t="n"/>
      <c r="DQ74" s="18" t="n"/>
      <c r="DR74" s="18" t="n"/>
      <c r="DS74" s="18" t="n"/>
      <c r="DT74" s="18" t="n"/>
      <c r="DU74" s="396" t="n"/>
      <c r="DV74" s="18" t="n"/>
      <c r="DW74" s="18" t="n"/>
      <c r="DX74" s="256" t="n"/>
      <c r="DY74" s="256" t="n"/>
      <c r="DZ74" s="256" t="n"/>
      <c r="EA74" s="18" t="n"/>
      <c r="EB74" s="18" t="n"/>
      <c r="EC74" s="18" t="n"/>
      <c r="ED74" s="18" t="n"/>
      <c r="EE74" s="18" t="n"/>
      <c r="EF74" s="18" t="n"/>
      <c r="EG74" s="18" t="n"/>
      <c r="EH74" s="18" t="n"/>
      <c r="EI74" s="18" t="n"/>
      <c r="EJ74" s="18" t="n"/>
      <c r="EK74" s="18" t="n"/>
      <c r="EL74" s="18" t="n"/>
      <c r="EM74" s="18" t="n"/>
      <c r="EN74" s="18" t="n"/>
      <c r="EO74" s="18" t="n"/>
      <c r="EP74" s="18" t="n"/>
      <c r="EQ74" s="18" t="n"/>
      <c r="ER74" s="18" t="n"/>
      <c r="ES74" s="18" t="n"/>
      <c r="ET74" s="18" t="n"/>
      <c r="EU74" s="18" t="n"/>
      <c r="EV74" s="18" t="n"/>
      <c r="EW74" s="18" t="n"/>
      <c r="EX74" s="18" t="n"/>
      <c r="EY74" s="18" t="n"/>
      <c r="EZ74" s="18" t="n"/>
      <c r="FA74" s="18" t="n"/>
      <c r="FB74" s="18" t="n"/>
      <c r="FC74" s="18" t="n"/>
      <c r="FD74" s="276" t="n"/>
      <c r="FE74" s="18" t="n"/>
      <c r="FF74" s="18" t="n"/>
      <c r="FG74" s="276" t="n"/>
      <c r="FH74" s="18" t="n"/>
      <c r="FI74" s="18" t="n"/>
      <c r="FJ74" s="18" t="n"/>
      <c r="FK74" s="18" t="n"/>
      <c r="FL74" s="18" t="n"/>
      <c r="FM74" s="276" t="n"/>
      <c r="FN74" s="18" t="n"/>
      <c r="FO74" s="18" t="n"/>
      <c r="FP74" s="18" t="n"/>
      <c r="FQ74" s="18" t="n"/>
      <c r="FR74" s="18" t="n"/>
      <c r="FS74" s="18" t="n"/>
      <c r="FT74" s="18" t="n"/>
      <c r="FU74" s="18" t="n"/>
      <c r="FV74" s="276" t="n"/>
      <c r="FW74" s="18" t="n"/>
      <c r="FX74" s="18" t="n"/>
      <c r="FY74" s="18" t="n"/>
      <c r="FZ74" s="276" t="n"/>
      <c r="GA74" s="18" t="n"/>
      <c r="GB74" s="18" t="n"/>
      <c r="GC74" s="18" t="n"/>
      <c r="GD74" s="18" t="n"/>
      <c r="GE74" s="18" t="n"/>
      <c r="GF74" s="18" t="n"/>
      <c r="GG74" s="18" t="n"/>
      <c r="GH74" s="253" t="n"/>
      <c r="GI74" s="18" t="n"/>
      <c r="GJ74" s="18" t="n"/>
      <c r="GK74" s="18" t="n"/>
      <c r="GL74" s="18" t="n"/>
      <c r="GM74" s="18" t="n"/>
      <c r="GN74" s="18" t="n"/>
      <c r="GO74" s="18" t="n"/>
      <c r="GP74" s="18" t="n"/>
      <c r="GQ74" s="18" t="n"/>
    </row>
    <row r="75" ht="18.75" customHeight="1">
      <c r="A75" s="43" t="inlineStr">
        <is>
          <t>PAPEL DE SEDA EUDORA</t>
        </is>
      </c>
      <c r="B75" s="149" t="n">
        <v>200</v>
      </c>
      <c r="C75" s="726" t="n">
        <v>29.77</v>
      </c>
      <c r="D75" s="329" t="n">
        <v>1</v>
      </c>
      <c r="F75" s="9" t="n">
        <v>33</v>
      </c>
      <c r="G75" s="9" t="n">
        <v>33</v>
      </c>
      <c r="H75" s="9" t="n">
        <v>33</v>
      </c>
      <c r="I75" s="9" t="n">
        <v>33</v>
      </c>
      <c r="J75" s="9" t="n">
        <v>32</v>
      </c>
      <c r="K75" s="9" t="n">
        <v>30</v>
      </c>
      <c r="L75" s="9" t="n">
        <v>30</v>
      </c>
      <c r="M75" s="9" t="n">
        <v>28</v>
      </c>
      <c r="N75" s="9" t="n">
        <v>28</v>
      </c>
      <c r="O75" s="9" t="n">
        <v>28</v>
      </c>
      <c r="P75" s="9" t="n">
        <v>28</v>
      </c>
      <c r="Q75" s="9" t="n">
        <v>28</v>
      </c>
      <c r="R75" s="9" t="n">
        <v>28</v>
      </c>
      <c r="S75" s="9" t="n">
        <v>28</v>
      </c>
      <c r="T75" s="9" t="n">
        <v>28</v>
      </c>
      <c r="U75" s="9" t="n">
        <v>28</v>
      </c>
      <c r="V75" s="9" t="n">
        <v>28</v>
      </c>
      <c r="W75" s="9" t="n">
        <v>28</v>
      </c>
      <c r="X75" s="9" t="n">
        <v>28</v>
      </c>
      <c r="Y75" s="9" t="n">
        <v>28</v>
      </c>
      <c r="Z75" s="9" t="n">
        <v>28</v>
      </c>
      <c r="AA75" s="9" t="n">
        <v>28</v>
      </c>
      <c r="AB75" s="9" t="n">
        <v>28</v>
      </c>
      <c r="AC75" s="9" t="n">
        <v>28</v>
      </c>
      <c r="AD75" s="9" t="n">
        <v>28</v>
      </c>
      <c r="AE75" s="9" t="n">
        <v>28</v>
      </c>
      <c r="AF75" s="9" t="n">
        <v>28</v>
      </c>
      <c r="AG75" s="9" t="n">
        <v>28</v>
      </c>
      <c r="AH75" s="9" t="n">
        <v>28</v>
      </c>
      <c r="AI75" s="9" t="n">
        <v>26</v>
      </c>
      <c r="AJ75" s="9" t="n">
        <v>26</v>
      </c>
      <c r="AK75" s="9" t="n">
        <v>26</v>
      </c>
      <c r="AL75" s="9" t="n">
        <v>26</v>
      </c>
      <c r="AM75" s="9" t="n">
        <v>26</v>
      </c>
      <c r="AN75" s="9" t="n">
        <v>26</v>
      </c>
      <c r="AO75" s="9" t="n">
        <v>26</v>
      </c>
      <c r="AP75" s="9" t="n">
        <v>26</v>
      </c>
      <c r="AQ75" s="9" t="n">
        <v>23</v>
      </c>
      <c r="AR75" s="9" t="n">
        <v>23</v>
      </c>
      <c r="AS75" s="9" t="n">
        <v>23</v>
      </c>
      <c r="AT75" s="9" t="n">
        <v>23</v>
      </c>
      <c r="AU75" s="9" t="n">
        <v>23</v>
      </c>
      <c r="AV75" s="9" t="n">
        <v>22</v>
      </c>
      <c r="AW75" s="9" t="n">
        <v>22</v>
      </c>
      <c r="AX75" s="9" t="n">
        <v>22</v>
      </c>
      <c r="AY75" s="9" t="n">
        <v>22</v>
      </c>
      <c r="AZ75" s="9" t="n">
        <v>22</v>
      </c>
      <c r="BA75" s="9" t="n">
        <v>22</v>
      </c>
      <c r="BB75" s="9" t="n">
        <v>22</v>
      </c>
      <c r="BC75" s="9" t="n">
        <v>21</v>
      </c>
      <c r="BD75" s="9" t="n">
        <v>21</v>
      </c>
      <c r="BE75" s="9" t="n">
        <v>21</v>
      </c>
      <c r="BF75" s="9" t="n">
        <v>13</v>
      </c>
      <c r="BG75" s="9" t="n">
        <v>13</v>
      </c>
      <c r="BH75" s="9" t="n">
        <v>13</v>
      </c>
      <c r="BI75" s="9" t="n">
        <v>14</v>
      </c>
      <c r="BJ75" s="9" t="n">
        <v>14</v>
      </c>
      <c r="BK75" s="9" t="n">
        <v>17</v>
      </c>
      <c r="BL75" s="9" t="n">
        <v>17</v>
      </c>
      <c r="BM75" s="9" t="n">
        <v>17</v>
      </c>
      <c r="BN75" s="9" t="n">
        <v>17</v>
      </c>
      <c r="BO75" s="9" t="n">
        <v>17</v>
      </c>
      <c r="BP75" s="9" t="n">
        <v>17</v>
      </c>
      <c r="BQ75" s="9" t="n">
        <v>16</v>
      </c>
      <c r="BR75" s="9" t="n">
        <v>12</v>
      </c>
      <c r="BS75" s="9" t="n">
        <v>12</v>
      </c>
      <c r="BT75" s="9" t="n">
        <v>10</v>
      </c>
      <c r="BU75" s="9" t="n">
        <v>10</v>
      </c>
      <c r="BV75" s="9" t="n">
        <v>10</v>
      </c>
      <c r="BW75" s="9" t="n">
        <v>10</v>
      </c>
      <c r="BX75" s="9" t="n">
        <v>8</v>
      </c>
      <c r="BY75" s="9" t="n">
        <v>8</v>
      </c>
      <c r="BZ75" s="9" t="n"/>
      <c r="CA75" s="9" t="n"/>
      <c r="CB75" s="154">
        <f>BZ75+IF(NOT(ISBLANK(OFFSET(CB75,0,6))),N(OFFSET(CB75,0,6)),N(OFFSET(CB75,0,7)))-CA75</f>
        <v/>
      </c>
      <c r="CD75" s="19" t="n"/>
      <c r="CE75" s="19" t="n"/>
      <c r="CG75" s="65" t="n"/>
      <c r="CI75" s="18" t="n">
        <v>0</v>
      </c>
      <c r="CJ75" s="18" t="n">
        <v>0</v>
      </c>
      <c r="CK75" s="18" t="n"/>
      <c r="CL75" s="18" t="n"/>
      <c r="CM75" s="18" t="n"/>
      <c r="CN75" s="18" t="n"/>
      <c r="CO75" s="18" t="n"/>
      <c r="CP75" s="18" t="n"/>
      <c r="CQ75" s="18" t="n"/>
      <c r="CR75" s="18" t="n"/>
      <c r="CS75" s="18" t="n"/>
      <c r="CT75" s="18" t="n"/>
      <c r="CU75" s="18" t="n"/>
      <c r="CV75" s="18" t="n"/>
      <c r="CW75" s="18" t="n"/>
      <c r="CX75" s="18" t="n"/>
      <c r="CY75" s="18" t="n"/>
      <c r="CZ75" s="154" t="inlineStr">
        <is>
          <t>3 DE ER MG + 4 DE ER PBE</t>
        </is>
      </c>
      <c r="DA75" s="18" t="n"/>
      <c r="DB75" s="18" t="n"/>
      <c r="DC75" s="18" t="n"/>
      <c r="DD75" s="18" t="n"/>
      <c r="DE75" s="18" t="n"/>
      <c r="DF75" s="18" t="n"/>
      <c r="DG75" s="18" t="n"/>
      <c r="DH75" s="18" t="n"/>
      <c r="DI75" s="18" t="n"/>
      <c r="DJ75" s="18" t="n"/>
      <c r="DK75" s="18" t="n"/>
      <c r="DL75" s="18" t="n"/>
      <c r="DM75" s="18" t="n"/>
      <c r="DN75" s="18" t="n"/>
      <c r="DO75" s="18" t="n"/>
      <c r="DP75" s="18" t="n"/>
      <c r="DQ75" s="18" t="n"/>
      <c r="DR75" s="18" t="n"/>
      <c r="DS75" s="18" t="n"/>
      <c r="DT75" s="18" t="n"/>
      <c r="DU75" s="399" t="n"/>
      <c r="DV75" s="18" t="n"/>
      <c r="DW75" s="18" t="n"/>
      <c r="DX75" s="256" t="n"/>
      <c r="DY75" s="256" t="n"/>
      <c r="DZ75" s="256" t="n"/>
      <c r="EA75" s="18" t="n"/>
      <c r="EB75" s="18" t="n"/>
      <c r="EC75" s="18" t="n"/>
      <c r="ED75" s="18" t="n"/>
      <c r="EE75" s="18" t="n"/>
      <c r="EF75" s="18" t="n"/>
      <c r="EG75" s="18" t="n"/>
      <c r="EH75" s="18" t="n"/>
      <c r="EI75" s="18" t="n"/>
      <c r="EJ75" s="18" t="n"/>
      <c r="EK75" s="18" t="n"/>
      <c r="EL75" s="18" t="n"/>
      <c r="EM75" s="18" t="n"/>
      <c r="EN75" s="18" t="n"/>
      <c r="EO75" s="18" t="n"/>
      <c r="EP75" s="18" t="n"/>
      <c r="EQ75" s="18" t="n"/>
      <c r="ER75" s="18" t="n"/>
      <c r="ES75" s="18" t="n"/>
      <c r="ET75" s="18" t="n"/>
      <c r="EU75" s="18" t="n"/>
      <c r="EV75" s="18" t="n"/>
      <c r="EW75" s="18" t="n"/>
      <c r="EX75" s="18" t="n"/>
      <c r="EY75" s="18" t="n"/>
      <c r="EZ75" s="18" t="n"/>
      <c r="FA75" s="18" t="n"/>
      <c r="FB75" s="18" t="n"/>
      <c r="FC75" s="18" t="n"/>
      <c r="FD75" s="276" t="n"/>
      <c r="FE75" s="18" t="n"/>
      <c r="FF75" s="18" t="n"/>
      <c r="FG75" s="276" t="n"/>
      <c r="FH75" s="18" t="n"/>
      <c r="FI75" s="18" t="n"/>
      <c r="FJ75" s="18" t="n"/>
      <c r="FK75" s="18" t="n"/>
      <c r="FL75" s="18" t="n"/>
      <c r="FM75" s="276" t="n"/>
      <c r="FN75" s="18" t="n"/>
      <c r="FO75" s="18" t="n"/>
      <c r="FP75" s="18" t="n"/>
      <c r="FQ75" s="18" t="n"/>
      <c r="FR75" s="18" t="n"/>
      <c r="FS75" s="18" t="n"/>
      <c r="FT75" s="18" t="n"/>
      <c r="FU75" s="18" t="n"/>
      <c r="FV75" s="276" t="n"/>
      <c r="FW75" s="18" t="n"/>
      <c r="FX75" s="18" t="n"/>
      <c r="FY75" s="18" t="n"/>
      <c r="FZ75" s="276" t="n"/>
      <c r="GA75" s="18" t="n"/>
      <c r="GB75" s="18" t="n"/>
      <c r="GC75" s="18" t="n"/>
      <c r="GD75" s="18" t="n"/>
      <c r="GE75" s="18" t="n"/>
      <c r="GF75" s="18" t="n"/>
      <c r="GG75" s="18" t="n"/>
      <c r="GH75" s="253" t="n"/>
      <c r="GI75" s="18" t="n"/>
      <c r="GJ75" s="18" t="n"/>
      <c r="GK75" s="18" t="n"/>
      <c r="GL75" s="18" t="n"/>
      <c r="GM75" s="18" t="n"/>
      <c r="GN75" s="18" t="n"/>
      <c r="GO75" s="18" t="n"/>
      <c r="GP75" s="18" t="n"/>
      <c r="GQ75" s="18" t="n">
        <v>2</v>
      </c>
    </row>
    <row r="76" ht="18.75" customHeight="1">
      <c r="A76" s="43" t="inlineStr">
        <is>
          <t>ADESIVOS EUDORA</t>
        </is>
      </c>
      <c r="B76" s="149" t="n">
        <v>1000</v>
      </c>
      <c r="C76" s="726" t="n">
        <v>70</v>
      </c>
      <c r="D76" s="329" t="n">
        <v>1</v>
      </c>
      <c r="F76" s="9" t="n">
        <v>3</v>
      </c>
      <c r="G76" s="9" t="n">
        <v>5</v>
      </c>
      <c r="H76" s="9" t="n">
        <v>4</v>
      </c>
      <c r="I76" s="9" t="n">
        <v>4</v>
      </c>
      <c r="J76" s="9" t="n">
        <v>4</v>
      </c>
      <c r="K76" s="9" t="n">
        <v>4</v>
      </c>
      <c r="L76" s="9" t="n">
        <v>4</v>
      </c>
      <c r="M76" s="9" t="n">
        <v>4</v>
      </c>
      <c r="N76" s="9" t="n">
        <v>4</v>
      </c>
      <c r="O76" s="9" t="n">
        <v>4</v>
      </c>
      <c r="P76" s="9" t="n">
        <v>4</v>
      </c>
      <c r="Q76" s="9" t="n">
        <v>4</v>
      </c>
      <c r="R76" s="9" t="n">
        <v>4</v>
      </c>
      <c r="S76" s="9" t="n">
        <v>4</v>
      </c>
      <c r="T76" s="9" t="n">
        <v>4</v>
      </c>
      <c r="U76" s="9" t="n">
        <v>4</v>
      </c>
      <c r="V76" s="9" t="n">
        <v>4</v>
      </c>
      <c r="W76" s="9" t="n">
        <v>4</v>
      </c>
      <c r="X76" s="9" t="n">
        <v>4</v>
      </c>
      <c r="Y76" s="9" t="n">
        <v>4</v>
      </c>
      <c r="Z76" s="9" t="n">
        <v>4</v>
      </c>
      <c r="AA76" s="9" t="n">
        <v>2</v>
      </c>
      <c r="AB76" s="9" t="n">
        <v>2</v>
      </c>
      <c r="AC76" s="9" t="n">
        <v>1</v>
      </c>
      <c r="AD76" s="9" t="n">
        <v>1</v>
      </c>
      <c r="AE76" s="9" t="n">
        <v>1</v>
      </c>
      <c r="AF76" s="9" t="n">
        <v>1</v>
      </c>
      <c r="AG76" s="9" t="n">
        <v>1</v>
      </c>
      <c r="AH76" s="9" t="n">
        <v>1</v>
      </c>
      <c r="AI76" s="9" t="n">
        <v>1</v>
      </c>
      <c r="AJ76" s="9" t="n">
        <v>1</v>
      </c>
      <c r="AK76" s="9" t="n">
        <v>1</v>
      </c>
      <c r="AL76" s="9" t="n">
        <v>1</v>
      </c>
      <c r="AM76" s="9" t="n">
        <v>1</v>
      </c>
      <c r="AN76" s="9" t="n">
        <v>1</v>
      </c>
      <c r="AO76" s="9" t="n">
        <v>1</v>
      </c>
      <c r="AP76" s="9" t="n">
        <v>1</v>
      </c>
      <c r="AQ76" s="9" t="n">
        <v>0</v>
      </c>
      <c r="AR76" s="9" t="n">
        <v>0</v>
      </c>
      <c r="AS76" s="9" t="n">
        <v>0</v>
      </c>
      <c r="AT76" s="9" t="n">
        <v>0</v>
      </c>
      <c r="AU76" s="9" t="n">
        <v>0</v>
      </c>
      <c r="AV76" s="9" t="n">
        <v>0</v>
      </c>
      <c r="AW76" s="9" t="n">
        <v>0</v>
      </c>
      <c r="AX76" s="9" t="n">
        <v>0</v>
      </c>
      <c r="AY76" s="9" t="n">
        <v>0</v>
      </c>
      <c r="AZ76" s="9" t="n">
        <v>0</v>
      </c>
      <c r="BA76" s="9" t="n">
        <v>0</v>
      </c>
      <c r="BB76" s="9" t="n">
        <v>0</v>
      </c>
      <c r="BC76" s="9" t="n">
        <v>0</v>
      </c>
      <c r="BD76" s="9" t="n">
        <v>0</v>
      </c>
      <c r="BE76" s="9" t="n">
        <v>0</v>
      </c>
      <c r="BF76" s="9" t="n">
        <v>0</v>
      </c>
      <c r="BG76" s="9" t="n">
        <v>0</v>
      </c>
      <c r="BH76" s="9" t="n">
        <v>0</v>
      </c>
      <c r="BI76" s="9">
        <f>0+3+3</f>
        <v/>
      </c>
      <c r="BJ76" s="9" t="n">
        <v>1</v>
      </c>
      <c r="BK76" s="9" t="n">
        <v>1</v>
      </c>
      <c r="BL76" s="9" t="n">
        <v>4</v>
      </c>
      <c r="BM76" s="9" t="n">
        <v>3</v>
      </c>
      <c r="BN76" s="9" t="n">
        <v>3</v>
      </c>
      <c r="BO76" s="9" t="n">
        <v>3</v>
      </c>
      <c r="BP76" s="9" t="n">
        <v>3</v>
      </c>
      <c r="BQ76" s="9" t="n">
        <v>3</v>
      </c>
      <c r="BR76" s="9" t="n">
        <v>0</v>
      </c>
      <c r="BS76" s="9" t="n">
        <v>0</v>
      </c>
      <c r="BT76" s="9" t="n">
        <v>0</v>
      </c>
      <c r="BU76" s="9" t="n">
        <v>0</v>
      </c>
      <c r="BV76" s="9" t="n">
        <v>0</v>
      </c>
      <c r="BW76" s="9" t="n">
        <v>0</v>
      </c>
      <c r="BX76" s="9" t="n">
        <v>0</v>
      </c>
      <c r="BY76" s="9" t="n">
        <v>0</v>
      </c>
      <c r="BZ76" s="9" t="n"/>
      <c r="CA76" s="9" t="n"/>
      <c r="CB76" s="154">
        <f>BZ76+IF(NOT(ISBLANK(OFFSET(CB76,0,6))),N(OFFSET(CB76,0,6)),N(OFFSET(CB76,0,7)))-CA76</f>
        <v/>
      </c>
      <c r="CD76" s="19" t="n"/>
      <c r="CE76" s="19" t="n"/>
      <c r="CG76" s="65" t="n"/>
      <c r="CI76" s="18" t="n">
        <v>0</v>
      </c>
      <c r="CJ76" s="18" t="n">
        <v>0</v>
      </c>
      <c r="CK76" s="18" t="n"/>
      <c r="CL76" s="18" t="n"/>
      <c r="CM76" s="18" t="n"/>
      <c r="CN76" s="18" t="n"/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54" t="inlineStr">
        <is>
          <t>3 DE ER MG + 3 DE ER PBE</t>
        </is>
      </c>
      <c r="DA76" s="18" t="n"/>
      <c r="DB76" s="18" t="n"/>
      <c r="DC76" s="18" t="n"/>
      <c r="DD76" s="18" t="n"/>
      <c r="DE76" s="18" t="n"/>
      <c r="DF76" s="18" t="n"/>
      <c r="DG76" s="18" t="n"/>
      <c r="DH76" s="18" t="n"/>
      <c r="DI76" s="18" t="n"/>
      <c r="DJ76" s="18" t="n"/>
      <c r="DK76" s="18" t="n"/>
      <c r="DL76" s="18" t="n"/>
      <c r="DM76" s="18" t="n"/>
      <c r="DN76" s="18" t="n"/>
      <c r="DO76" s="18" t="n"/>
      <c r="DP76" s="18" t="n"/>
      <c r="DQ76" s="18" t="n"/>
      <c r="DR76" s="18" t="n"/>
      <c r="DS76" s="18" t="n"/>
      <c r="DT76" s="18" t="n"/>
      <c r="DU76" s="342" t="n"/>
      <c r="DV76" s="18" t="n"/>
      <c r="DW76" s="18" t="n"/>
      <c r="DX76" s="256" t="n"/>
      <c r="DY76" s="256" t="n"/>
      <c r="DZ76" s="256" t="n"/>
      <c r="EA76" s="18" t="n"/>
      <c r="EB76" s="18" t="n"/>
      <c r="EC76" s="18" t="n"/>
      <c r="ED76" s="18" t="n"/>
      <c r="EE76" s="18" t="n"/>
      <c r="EF76" s="18" t="n"/>
      <c r="EG76" s="18" t="n"/>
      <c r="EH76" s="18" t="n"/>
      <c r="EI76" s="18" t="n"/>
      <c r="EJ76" s="18" t="n"/>
      <c r="EK76" s="18" t="n"/>
      <c r="EL76" s="18" t="n"/>
      <c r="EM76" s="18" t="n"/>
      <c r="EN76" s="18" t="n"/>
      <c r="EO76" s="18" t="n"/>
      <c r="EP76" s="18" t="n"/>
      <c r="EQ76" s="18" t="n"/>
      <c r="ER76" s="18" t="n"/>
      <c r="ES76" s="18" t="n"/>
      <c r="ET76" s="18" t="n"/>
      <c r="EU76" s="18" t="n"/>
      <c r="EV76" s="18" t="n"/>
      <c r="EW76" s="18" t="n"/>
      <c r="EX76" s="18" t="n"/>
      <c r="EY76" s="18" t="n"/>
      <c r="EZ76" s="18" t="n"/>
      <c r="FA76" s="18" t="n"/>
      <c r="FB76" s="18" t="n"/>
      <c r="FC76" s="18" t="n"/>
      <c r="FD76" s="276" t="n"/>
      <c r="FE76" s="18" t="n"/>
      <c r="FF76" s="18" t="n"/>
      <c r="FG76" s="276" t="n"/>
      <c r="FH76" s="18" t="n"/>
      <c r="FI76" s="18" t="n"/>
      <c r="FJ76" s="18" t="n"/>
      <c r="FK76" s="18" t="n"/>
      <c r="FL76" s="18" t="n"/>
      <c r="FM76" s="276" t="n"/>
      <c r="FN76" s="18" t="n"/>
      <c r="FO76" s="18" t="n"/>
      <c r="FP76" s="18" t="n"/>
      <c r="FQ76" s="18" t="n"/>
      <c r="FR76" s="18" t="n"/>
      <c r="FS76" s="18" t="n"/>
      <c r="FT76" s="18" t="n"/>
      <c r="FU76" s="18" t="n"/>
      <c r="FV76" s="276" t="n"/>
      <c r="FW76" s="18" t="n"/>
      <c r="FX76" s="18" t="n"/>
      <c r="FY76" s="18" t="n"/>
      <c r="FZ76" s="276" t="n"/>
      <c r="GA76" s="18" t="n"/>
      <c r="GB76" s="18" t="n"/>
      <c r="GC76" s="18" t="n"/>
      <c r="GD76" s="18" t="n"/>
      <c r="GE76" s="18" t="n"/>
      <c r="GF76" s="18" t="n"/>
      <c r="GG76" s="18" t="n"/>
      <c r="GH76" s="253" t="n"/>
      <c r="GI76" s="18" t="n"/>
      <c r="GJ76" s="18" t="n"/>
      <c r="GK76" s="18" t="n"/>
      <c r="GL76" s="18" t="n"/>
      <c r="GM76" s="18" t="n"/>
      <c r="GN76" s="18" t="n"/>
      <c r="GO76" s="18" t="n"/>
      <c r="GP76" s="18" t="n"/>
      <c r="GQ76" s="18" t="n"/>
    </row>
    <row r="77" ht="18.75" customHeight="1">
      <c r="A77" s="43" t="inlineStr">
        <is>
          <t>LÂMINA OLFATIVA EUDORA</t>
        </is>
      </c>
      <c r="B77" s="204" t="n">
        <v>2000</v>
      </c>
      <c r="C77" s="726" t="n">
        <v>71</v>
      </c>
      <c r="D77" s="329" t="n">
        <v>0</v>
      </c>
      <c r="F77" s="9" t="n">
        <v>2</v>
      </c>
      <c r="G77" s="9" t="n">
        <v>2</v>
      </c>
      <c r="H77" s="9" t="n">
        <v>2</v>
      </c>
      <c r="I77" s="9" t="n">
        <v>2</v>
      </c>
      <c r="J77" s="9" t="n">
        <v>2</v>
      </c>
      <c r="K77" s="9" t="n">
        <v>2</v>
      </c>
      <c r="L77" s="9" t="n">
        <v>2</v>
      </c>
      <c r="M77" s="9" t="n">
        <v>2</v>
      </c>
      <c r="N77" s="9" t="n">
        <v>2</v>
      </c>
      <c r="O77" s="9" t="n">
        <v>2</v>
      </c>
      <c r="P77" s="9" t="n">
        <v>2</v>
      </c>
      <c r="Q77" s="9" t="n">
        <v>2</v>
      </c>
      <c r="R77" s="9" t="n">
        <v>2</v>
      </c>
      <c r="S77" s="9" t="n">
        <v>2</v>
      </c>
      <c r="T77" s="9" t="n">
        <v>2</v>
      </c>
      <c r="U77" s="9" t="n">
        <v>2</v>
      </c>
      <c r="V77" s="9" t="n">
        <v>2</v>
      </c>
      <c r="W77" s="9" t="n">
        <v>2</v>
      </c>
      <c r="X77" s="9" t="n">
        <v>2</v>
      </c>
      <c r="Y77" s="9" t="n">
        <v>2</v>
      </c>
      <c r="Z77" s="9" t="n">
        <v>2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9" t="n">
        <v>0</v>
      </c>
      <c r="AP77" s="9" t="n">
        <v>0</v>
      </c>
      <c r="AQ77" s="9" t="n">
        <v>0</v>
      </c>
      <c r="AR77" s="9" t="n">
        <v>0</v>
      </c>
      <c r="AS77" s="9" t="n">
        <v>0</v>
      </c>
      <c r="AT77" s="9" t="n">
        <v>0</v>
      </c>
      <c r="AU77" s="9" t="n">
        <v>0</v>
      </c>
      <c r="AV77" s="9" t="n">
        <v>0</v>
      </c>
      <c r="AW77" s="9" t="n">
        <v>0</v>
      </c>
      <c r="AX77" s="9" t="n">
        <v>0</v>
      </c>
      <c r="AY77" s="9" t="n">
        <v>0</v>
      </c>
      <c r="AZ77" s="9" t="n">
        <v>0</v>
      </c>
      <c r="BA77" s="9" t="n">
        <v>0</v>
      </c>
      <c r="BB77" s="9" t="n">
        <v>0</v>
      </c>
      <c r="BC77" s="9" t="n">
        <v>0</v>
      </c>
      <c r="BD77" s="9" t="n">
        <v>0</v>
      </c>
      <c r="BE77" s="9" t="n">
        <v>0</v>
      </c>
      <c r="BF77" s="9" t="n">
        <v>0</v>
      </c>
      <c r="BG77" s="9" t="n">
        <v>0</v>
      </c>
      <c r="BH77" s="9" t="n">
        <v>0</v>
      </c>
      <c r="BI77" s="9" t="n">
        <v>0</v>
      </c>
      <c r="BJ77" s="9" t="n">
        <v>0</v>
      </c>
      <c r="BK77" s="9" t="n">
        <v>0</v>
      </c>
      <c r="BL77" s="9" t="n">
        <v>0</v>
      </c>
      <c r="BM77" s="9" t="n">
        <v>0</v>
      </c>
      <c r="BN77" s="9" t="n">
        <v>0</v>
      </c>
      <c r="BO77" s="9" t="n">
        <v>0</v>
      </c>
      <c r="BP77" s="9" t="n">
        <v>0</v>
      </c>
      <c r="BQ77" s="9" t="n">
        <v>0</v>
      </c>
      <c r="BR77" s="9" t="n">
        <v>0</v>
      </c>
      <c r="BS77" s="9" t="n">
        <v>0</v>
      </c>
      <c r="BT77" s="9" t="n">
        <v>0</v>
      </c>
      <c r="BU77" s="9" t="n">
        <v>0</v>
      </c>
      <c r="BV77" s="9" t="n">
        <v>0</v>
      </c>
      <c r="BW77" s="9" t="n">
        <v>0</v>
      </c>
      <c r="BX77" s="9" t="n">
        <v>0</v>
      </c>
      <c r="BY77" s="9" t="n">
        <v>0</v>
      </c>
      <c r="BZ77" s="9" t="n"/>
      <c r="CA77" s="9" t="n"/>
      <c r="CB77" s="154">
        <f>BZ77+IF(NOT(ISBLANK(OFFSET(CB77,0,6))),N(OFFSET(CB77,0,6)),N(OFFSET(CB77,0,7)))-CA77</f>
        <v/>
      </c>
      <c r="CD77" s="19" t="n"/>
      <c r="CE77" s="19" t="n"/>
      <c r="CG77" s="65" t="n"/>
      <c r="CI77" s="18" t="n">
        <v>0</v>
      </c>
      <c r="CJ77" s="18" t="n">
        <v>0</v>
      </c>
      <c r="CK77" s="18" t="n"/>
      <c r="CL77" s="18" t="n"/>
      <c r="CM77" s="18" t="n"/>
      <c r="CN77" s="18" t="n"/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18" t="n"/>
      <c r="DM77" s="18" t="n"/>
      <c r="DN77" s="18" t="n"/>
      <c r="DO77" s="18" t="n"/>
      <c r="DP77" s="18" t="n"/>
      <c r="DQ77" s="18" t="n"/>
      <c r="DR77" s="18" t="n"/>
      <c r="DS77" s="18" t="n"/>
      <c r="DT77" s="18" t="n"/>
      <c r="DU77" s="342" t="n"/>
      <c r="DV77" s="18" t="n"/>
      <c r="DW77" s="18" t="n"/>
      <c r="DX77" s="256" t="n"/>
      <c r="DY77" s="256" t="n"/>
      <c r="DZ77" s="256" t="n"/>
      <c r="EA77" s="18" t="n"/>
      <c r="EB77" s="18" t="n"/>
      <c r="EC77" s="18" t="n"/>
      <c r="ED77" s="18" t="n"/>
      <c r="EE77" s="18" t="n"/>
      <c r="EF77" s="18" t="n"/>
      <c r="EG77" s="18" t="n"/>
      <c r="EH77" s="18" t="n"/>
      <c r="EI77" s="18" t="n"/>
      <c r="EJ77" s="18" t="n"/>
      <c r="EK77" s="18" t="n"/>
      <c r="EL77" s="18" t="n"/>
      <c r="EM77" s="18" t="n"/>
      <c r="EN77" s="18" t="n"/>
      <c r="EO77" s="18" t="n"/>
      <c r="EP77" s="18" t="n"/>
      <c r="EQ77" s="18" t="n"/>
      <c r="ER77" s="18" t="n"/>
      <c r="ES77" s="18" t="n"/>
      <c r="ET77" s="18" t="n"/>
      <c r="EU77" s="18" t="n"/>
      <c r="EV77" s="18" t="n"/>
      <c r="EW77" s="18" t="n"/>
      <c r="EX77" s="18" t="n"/>
      <c r="EY77" s="18" t="n"/>
      <c r="EZ77" s="18" t="n"/>
      <c r="FA77" s="18" t="n"/>
      <c r="FB77" s="18" t="n"/>
      <c r="FC77" s="18" t="n"/>
      <c r="FD77" s="276" t="n"/>
      <c r="FE77" s="18" t="n"/>
      <c r="FF77" s="18" t="n"/>
      <c r="FG77" s="276" t="n"/>
      <c r="FH77" s="18" t="n"/>
      <c r="FI77" s="18" t="n"/>
      <c r="FJ77" s="18" t="n"/>
      <c r="FK77" s="18" t="n"/>
      <c r="FL77" s="18" t="n"/>
      <c r="FM77" s="276" t="n"/>
      <c r="FN77" s="18" t="n"/>
      <c r="FO77" s="18" t="n"/>
      <c r="FP77" s="18" t="n"/>
      <c r="FQ77" s="18" t="n"/>
      <c r="FR77" s="260" t="n"/>
      <c r="FS77" s="18" t="n"/>
      <c r="FT77" s="18" t="n"/>
      <c r="FU77" s="18" t="n"/>
      <c r="FV77" s="276" t="n"/>
      <c r="FW77" s="18" t="n"/>
      <c r="FX77" s="18" t="n"/>
      <c r="FY77" s="18" t="n"/>
      <c r="FZ77" s="276" t="n"/>
      <c r="GA77" s="18" t="n"/>
      <c r="GB77" s="18" t="n"/>
      <c r="GC77" s="18" t="n"/>
      <c r="GD77" s="18" t="n"/>
      <c r="GE77" s="18" t="n"/>
      <c r="GF77" s="18" t="n">
        <v>20</v>
      </c>
      <c r="GG77" s="18" t="n"/>
      <c r="GH77" s="253" t="n"/>
      <c r="GI77" s="18" t="n"/>
      <c r="GJ77" s="18" t="n"/>
      <c r="GK77" s="18" t="n"/>
      <c r="GL77" s="18" t="n"/>
      <c r="GM77" s="18" t="n"/>
      <c r="GN77" s="18" t="n"/>
      <c r="GO77" s="18" t="n"/>
      <c r="GP77" s="18" t="n"/>
      <c r="GQ77" s="18" t="n"/>
    </row>
    <row r="78" ht="18.75" customHeight="1">
      <c r="A78" s="43" t="inlineStr">
        <is>
          <t>KIT SACOLA P EUDORA (C/ 10)</t>
        </is>
      </c>
      <c r="B78" s="149" t="n">
        <v>200</v>
      </c>
      <c r="C78" s="726" t="n">
        <v>184.13</v>
      </c>
      <c r="D78" s="329" t="n">
        <v>15</v>
      </c>
      <c r="F78" s="9" t="n">
        <v>0</v>
      </c>
      <c r="G78" s="9" t="n">
        <v>0</v>
      </c>
      <c r="H78" s="9" t="n">
        <v>0</v>
      </c>
      <c r="I78" s="9" t="n">
        <v>0</v>
      </c>
      <c r="J78" s="9" t="n">
        <v>0</v>
      </c>
      <c r="K78" s="9" t="n">
        <v>0</v>
      </c>
      <c r="L78" s="9">
        <f>0+GF77</f>
        <v/>
      </c>
      <c r="M78" s="9" t="n">
        <v>20</v>
      </c>
      <c r="N78" s="9" t="n">
        <v>20</v>
      </c>
      <c r="O78" s="9" t="n">
        <v>20</v>
      </c>
      <c r="P78" s="9" t="n">
        <v>20</v>
      </c>
      <c r="Q78" s="9" t="n">
        <v>20</v>
      </c>
      <c r="R78" s="9" t="n">
        <v>20</v>
      </c>
      <c r="S78" s="9" t="n">
        <v>20</v>
      </c>
      <c r="T78" s="9" t="n">
        <v>20</v>
      </c>
      <c r="U78" s="190" t="n">
        <v>40</v>
      </c>
      <c r="V78" s="9" t="n">
        <v>40</v>
      </c>
      <c r="W78" s="9" t="n">
        <v>40</v>
      </c>
      <c r="X78" s="9" t="n">
        <v>16</v>
      </c>
      <c r="Y78" s="9" t="n">
        <v>16</v>
      </c>
      <c r="Z78" s="9" t="n">
        <v>16</v>
      </c>
      <c r="AA78" s="9" t="n">
        <v>16</v>
      </c>
      <c r="AB78" s="9" t="n">
        <v>16</v>
      </c>
      <c r="AC78" s="190" t="n">
        <v>36</v>
      </c>
      <c r="AD78" s="9" t="n">
        <v>36</v>
      </c>
      <c r="AE78" s="9" t="n">
        <v>36</v>
      </c>
      <c r="AF78" s="9">
        <f>36+30</f>
        <v/>
      </c>
      <c r="AG78" s="9" t="n">
        <v>66</v>
      </c>
      <c r="AH78" s="9" t="n">
        <v>36</v>
      </c>
      <c r="AI78" s="9" t="n">
        <v>36</v>
      </c>
      <c r="AJ78" s="9" t="n">
        <v>36</v>
      </c>
      <c r="AK78" s="9" t="n">
        <v>36</v>
      </c>
      <c r="AL78" s="9" t="n">
        <v>36</v>
      </c>
      <c r="AM78" s="9" t="n">
        <v>36</v>
      </c>
      <c r="AN78" s="9" t="n">
        <v>36</v>
      </c>
      <c r="AO78" s="9" t="n">
        <v>45</v>
      </c>
      <c r="AP78" s="9" t="n">
        <v>45</v>
      </c>
      <c r="AQ78" s="9" t="n">
        <v>36</v>
      </c>
      <c r="AR78" s="9" t="n">
        <v>36</v>
      </c>
      <c r="AS78" s="9" t="n">
        <v>36</v>
      </c>
      <c r="AT78" s="9" t="n">
        <v>41</v>
      </c>
      <c r="AU78" s="9" t="n">
        <v>41</v>
      </c>
      <c r="AV78" s="9" t="n">
        <v>41</v>
      </c>
      <c r="AW78" s="9" t="n">
        <v>41</v>
      </c>
      <c r="AX78" s="9" t="n">
        <v>41</v>
      </c>
      <c r="AY78" s="9" t="n">
        <v>36</v>
      </c>
      <c r="AZ78" s="9" t="n">
        <v>36</v>
      </c>
      <c r="BA78" s="9" t="n">
        <v>36</v>
      </c>
      <c r="BB78" s="9" t="n">
        <v>16</v>
      </c>
      <c r="BC78" s="9" t="n">
        <v>16</v>
      </c>
      <c r="BD78" s="9" t="n">
        <v>16</v>
      </c>
      <c r="BE78" s="9" t="n">
        <v>16</v>
      </c>
      <c r="BF78" s="9" t="n">
        <v>16</v>
      </c>
      <c r="BG78" s="9" t="n">
        <v>16</v>
      </c>
      <c r="BH78" s="9" t="n">
        <v>16</v>
      </c>
      <c r="BI78" s="9" t="n">
        <v>16</v>
      </c>
      <c r="BJ78" s="9" t="n">
        <v>16</v>
      </c>
      <c r="BK78" s="9" t="n">
        <v>16</v>
      </c>
      <c r="BL78" s="9" t="n">
        <v>16</v>
      </c>
      <c r="BM78" s="9" t="n">
        <v>16</v>
      </c>
      <c r="BN78" s="9" t="n">
        <v>16</v>
      </c>
      <c r="BO78" s="9" t="n">
        <v>16</v>
      </c>
      <c r="BP78" s="9" t="n">
        <v>16</v>
      </c>
      <c r="BQ78" s="9" t="n">
        <v>16</v>
      </c>
      <c r="BR78" s="9" t="n">
        <v>16</v>
      </c>
      <c r="BS78" s="9" t="n">
        <v>16</v>
      </c>
      <c r="BT78" s="9" t="n">
        <v>16</v>
      </c>
      <c r="BU78" s="9" t="n">
        <v>16</v>
      </c>
      <c r="BV78" s="9" t="n">
        <v>16</v>
      </c>
      <c r="BW78" s="9" t="n">
        <v>16</v>
      </c>
      <c r="BX78" s="9" t="n">
        <v>16</v>
      </c>
      <c r="BY78" s="9" t="n">
        <v>16</v>
      </c>
      <c r="BZ78" s="9" t="n">
        <v>16</v>
      </c>
      <c r="CA78" s="9" t="n">
        <v>16</v>
      </c>
      <c r="CB78" s="154">
        <f>BZ78+IF(NOT(ISBLANK(OFFSET(CB78,0,6))),N(OFFSET(CB78,0,6)),N(OFFSET(CB78,0,7)))-CA78</f>
        <v/>
      </c>
      <c r="CD78" s="19" t="n"/>
      <c r="CE78" s="19" t="n"/>
      <c r="CG78" s="65" t="n"/>
      <c r="CI78" s="18" t="n">
        <v>0</v>
      </c>
      <c r="CJ78" s="18" t="n">
        <v>0</v>
      </c>
      <c r="CK78" s="18" t="n"/>
      <c r="CL78" s="18" t="n"/>
      <c r="CM78" s="18" t="n"/>
      <c r="CN78" s="18" t="n"/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18" t="n"/>
      <c r="DM78" s="18" t="n"/>
      <c r="DN78" s="18" t="n"/>
      <c r="DO78" s="18" t="n"/>
      <c r="DP78" s="18" t="n"/>
      <c r="DQ78" s="18" t="n"/>
      <c r="DR78" s="18" t="n"/>
      <c r="DS78" s="18" t="n"/>
      <c r="DT78" s="18" t="n"/>
      <c r="DU78" s="342" t="n"/>
      <c r="DV78" s="18" t="n"/>
      <c r="DW78" s="18" t="n"/>
      <c r="DX78" s="256" t="n"/>
      <c r="DY78" s="256" t="n"/>
      <c r="DZ78" s="256" t="n"/>
      <c r="EA78" s="18" t="n"/>
      <c r="EB78" s="18" t="n"/>
      <c r="EC78" s="18" t="n"/>
      <c r="ED78" s="18" t="n"/>
      <c r="EE78" s="18" t="n"/>
      <c r="EF78" s="18" t="n"/>
      <c r="EG78" s="18" t="n"/>
      <c r="EH78" s="18" t="n"/>
      <c r="EI78" s="18" t="n"/>
      <c r="EJ78" s="18" t="n"/>
      <c r="EK78" s="18" t="n"/>
      <c r="EL78" s="18" t="n"/>
      <c r="EM78" s="18" t="n"/>
      <c r="EN78" s="18" t="n"/>
      <c r="EO78" s="18" t="n"/>
      <c r="EP78" s="18" t="n"/>
      <c r="EQ78" s="18" t="n"/>
      <c r="ER78" s="18" t="n"/>
      <c r="ES78" s="18" t="n"/>
      <c r="ET78" s="18" t="n"/>
      <c r="EU78" s="18" t="n"/>
      <c r="EV78" s="18" t="n"/>
      <c r="EW78" s="18" t="n"/>
      <c r="EX78" s="18" t="n"/>
      <c r="EY78" s="18" t="n"/>
      <c r="EZ78" s="18" t="n"/>
      <c r="FA78" s="18" t="n"/>
      <c r="FB78" s="18" t="n"/>
      <c r="FC78" s="18" t="n"/>
      <c r="FD78" s="276" t="n"/>
      <c r="FE78" s="18" t="n"/>
      <c r="FF78" s="18" t="n"/>
      <c r="FG78" s="276" t="n"/>
      <c r="FH78" s="18" t="n"/>
      <c r="FI78" s="18" t="n"/>
      <c r="FJ78" s="18" t="n"/>
      <c r="FK78" s="18" t="n"/>
      <c r="FL78" s="18" t="n"/>
      <c r="FM78" s="276" t="n"/>
      <c r="FN78" s="18" t="n"/>
      <c r="FO78" s="18" t="n"/>
      <c r="FP78" s="18" t="n"/>
      <c r="FQ78" s="18" t="n"/>
      <c r="FR78" s="260" t="n"/>
      <c r="FS78" s="18" t="n"/>
      <c r="FT78" s="18" t="n"/>
      <c r="FU78" s="18" t="n"/>
      <c r="FV78" s="276" t="n"/>
      <c r="FW78" s="18" t="n"/>
      <c r="FX78" s="18" t="n"/>
      <c r="FY78" s="18" t="n"/>
      <c r="FZ78" s="276" t="n"/>
      <c r="GA78" s="18" t="n"/>
      <c r="GB78" s="18" t="n"/>
      <c r="GC78" s="18" t="n"/>
      <c r="GD78" s="18" t="n"/>
      <c r="GE78" s="18" t="n"/>
      <c r="GF78" s="18" t="n">
        <v>15</v>
      </c>
      <c r="GG78" s="18" t="n"/>
      <c r="GH78" s="253" t="n"/>
      <c r="GI78" s="18" t="n"/>
      <c r="GJ78" s="18" t="n"/>
      <c r="GK78" s="18" t="n"/>
      <c r="GL78" s="18" t="n"/>
      <c r="GM78" s="18" t="n"/>
      <c r="GN78" s="18" t="n"/>
      <c r="GO78" s="18" t="n"/>
      <c r="GP78" s="18" t="n"/>
      <c r="GQ78" s="18" t="n"/>
    </row>
    <row r="79" ht="18.75" customHeight="1">
      <c r="A79" s="43" t="inlineStr">
        <is>
          <t>KIT SACOLA M EUDORA (C/ 10)</t>
        </is>
      </c>
      <c r="B79" s="149" t="n">
        <v>150</v>
      </c>
      <c r="C79" s="726" t="n">
        <v>181.4</v>
      </c>
      <c r="D79" s="329" t="n">
        <v>15</v>
      </c>
      <c r="F79" s="9" t="n">
        <v>0</v>
      </c>
      <c r="G79" s="9" t="n">
        <v>0</v>
      </c>
      <c r="H79" s="9" t="n">
        <v>0</v>
      </c>
      <c r="I79" s="9" t="n">
        <v>0</v>
      </c>
      <c r="J79" s="9" t="n">
        <v>0</v>
      </c>
      <c r="K79" s="9" t="n">
        <v>0</v>
      </c>
      <c r="L79" s="9">
        <f>0+GF78</f>
        <v/>
      </c>
      <c r="M79" s="9" t="n">
        <v>15</v>
      </c>
      <c r="N79" s="9" t="n">
        <v>15</v>
      </c>
      <c r="O79" s="9" t="n">
        <v>15</v>
      </c>
      <c r="P79" s="9" t="n">
        <v>15</v>
      </c>
      <c r="Q79" s="9" t="n">
        <v>15</v>
      </c>
      <c r="R79" s="9" t="n">
        <v>15</v>
      </c>
      <c r="S79" s="9" t="n">
        <v>15</v>
      </c>
      <c r="T79" s="9" t="n">
        <v>15</v>
      </c>
      <c r="U79" s="190" t="n">
        <v>30</v>
      </c>
      <c r="V79" s="9" t="n">
        <v>30</v>
      </c>
      <c r="W79" s="9" t="n">
        <v>30</v>
      </c>
      <c r="X79" s="9" t="n">
        <v>30</v>
      </c>
      <c r="Y79" s="9" t="n">
        <v>30</v>
      </c>
      <c r="Z79" s="9" t="n">
        <v>30</v>
      </c>
      <c r="AA79" s="190" t="n">
        <v>105</v>
      </c>
      <c r="AB79" s="9" t="n">
        <v>83</v>
      </c>
      <c r="AC79" s="9" t="n">
        <v>50</v>
      </c>
      <c r="AD79" s="9" t="n">
        <v>50</v>
      </c>
      <c r="AE79" s="9" t="n">
        <v>47</v>
      </c>
      <c r="AF79" s="9" t="n">
        <v>30</v>
      </c>
      <c r="AG79" s="9" t="n">
        <v>30</v>
      </c>
      <c r="AH79" s="9" t="n">
        <v>30</v>
      </c>
      <c r="AI79" s="9" t="n">
        <v>30</v>
      </c>
      <c r="AJ79" s="9" t="n">
        <v>30</v>
      </c>
      <c r="AK79" s="9" t="n">
        <v>30</v>
      </c>
      <c r="AL79" s="9" t="n">
        <v>30</v>
      </c>
      <c r="AM79" s="9" t="n">
        <v>30</v>
      </c>
      <c r="AN79" s="9" t="n">
        <v>30</v>
      </c>
      <c r="AO79" s="9" t="n">
        <v>55</v>
      </c>
      <c r="AP79" s="9" t="n">
        <v>55</v>
      </c>
      <c r="AQ79" s="9" t="n">
        <v>31</v>
      </c>
      <c r="AR79" s="9" t="n">
        <v>30</v>
      </c>
      <c r="AS79" s="9" t="n">
        <v>60</v>
      </c>
      <c r="AT79" s="9" t="n">
        <v>58</v>
      </c>
      <c r="AU79" s="9" t="n">
        <v>58</v>
      </c>
      <c r="AV79" s="9" t="n">
        <v>58</v>
      </c>
      <c r="AW79" s="9" t="n">
        <v>58</v>
      </c>
      <c r="AX79" s="9" t="n">
        <v>58</v>
      </c>
      <c r="AY79" s="9" t="n">
        <v>63</v>
      </c>
      <c r="AZ79" s="9" t="n">
        <v>58</v>
      </c>
      <c r="BA79" s="9" t="n">
        <v>58</v>
      </c>
      <c r="BB79" s="9" t="n">
        <v>58</v>
      </c>
      <c r="BC79" s="9" t="n">
        <v>60</v>
      </c>
      <c r="BD79" s="9" t="n">
        <v>60</v>
      </c>
      <c r="BE79" s="9" t="n">
        <v>60</v>
      </c>
      <c r="BF79" s="9" t="n">
        <v>60</v>
      </c>
      <c r="BG79" s="9" t="n">
        <v>60</v>
      </c>
      <c r="BH79" s="9" t="n">
        <v>59</v>
      </c>
      <c r="BI79" s="9" t="n">
        <v>59</v>
      </c>
      <c r="BJ79" s="9" t="n">
        <v>59</v>
      </c>
      <c r="BK79" s="9" t="n">
        <v>60</v>
      </c>
      <c r="BL79" s="9" t="n">
        <v>60</v>
      </c>
      <c r="BM79" s="9" t="n">
        <v>60</v>
      </c>
      <c r="BN79" s="9" t="n">
        <v>60</v>
      </c>
      <c r="BO79" s="9" t="n">
        <v>60</v>
      </c>
      <c r="BP79" s="9" t="n">
        <v>60</v>
      </c>
      <c r="BQ79" s="9" t="n">
        <v>60</v>
      </c>
      <c r="BR79" s="9" t="n">
        <v>60</v>
      </c>
      <c r="BS79" s="9" t="n">
        <v>60</v>
      </c>
      <c r="BT79" s="9" t="n">
        <v>60</v>
      </c>
      <c r="BU79" s="9" t="n">
        <v>60</v>
      </c>
      <c r="BV79" s="9" t="n">
        <v>60</v>
      </c>
      <c r="BW79" s="9" t="n">
        <v>60</v>
      </c>
      <c r="BX79" s="9" t="n">
        <v>60</v>
      </c>
      <c r="BY79" s="9" t="n">
        <v>60</v>
      </c>
      <c r="BZ79" s="9" t="n">
        <v>60</v>
      </c>
      <c r="CA79" s="9" t="n">
        <v>60</v>
      </c>
      <c r="CB79" s="154">
        <f>BZ79+IF(NOT(ISBLANK(OFFSET(CB79,0,6))),N(OFFSET(CB79,0,6)),N(OFFSET(CB79,0,7)))-CA79</f>
        <v/>
      </c>
      <c r="CD79" s="19" t="n"/>
      <c r="CE79" s="19" t="n"/>
      <c r="CG79" s="27" t="n"/>
      <c r="CI79" s="18" t="n">
        <v>0</v>
      </c>
      <c r="CJ79" s="18" t="n">
        <v>0</v>
      </c>
      <c r="CK79" s="18" t="n"/>
      <c r="CL79" s="18" t="n"/>
      <c r="CM79" s="18" t="n"/>
      <c r="CN79" s="18" t="n"/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18" t="n"/>
      <c r="DM79" s="18" t="n"/>
      <c r="DN79" s="18" t="n"/>
      <c r="DO79" s="18" t="n"/>
      <c r="DP79" s="18" t="n"/>
      <c r="DQ79" s="18" t="n"/>
      <c r="DR79" s="18" t="n"/>
      <c r="DS79" s="18" t="n"/>
      <c r="DT79" s="18" t="n"/>
      <c r="DU79" s="342" t="n"/>
      <c r="DV79" s="18" t="n"/>
      <c r="DW79" s="18" t="n">
        <v>30</v>
      </c>
      <c r="DX79" s="256" t="n"/>
      <c r="DY79" s="256" t="n"/>
      <c r="DZ79" s="256" t="n"/>
      <c r="EA79" s="18" t="n"/>
      <c r="EB79" s="18" t="n"/>
      <c r="EC79" s="18" t="n"/>
      <c r="ED79" s="18" t="n"/>
      <c r="EE79" s="18" t="n"/>
      <c r="EF79" s="18" t="n"/>
      <c r="EG79" s="18" t="n"/>
      <c r="EH79" s="18" t="n"/>
      <c r="EI79" s="18" t="n"/>
      <c r="EJ79" s="18" t="n"/>
      <c r="EK79" s="18" t="n"/>
      <c r="EL79" s="18" t="n"/>
      <c r="EM79" s="18" t="n"/>
      <c r="EN79" s="18" t="n"/>
      <c r="EO79" s="18" t="n"/>
      <c r="EP79" s="18" t="n"/>
      <c r="EQ79" s="18" t="n"/>
      <c r="ER79" s="18" t="n"/>
      <c r="ES79" s="18" t="n"/>
      <c r="ET79" s="18" t="n"/>
      <c r="EU79" s="18" t="n"/>
      <c r="EV79" s="18" t="n"/>
      <c r="EW79" s="18" t="n"/>
      <c r="EX79" s="18" t="n"/>
      <c r="EY79" s="18" t="n"/>
      <c r="EZ79" s="18" t="n"/>
      <c r="FA79" s="18" t="n"/>
      <c r="FB79" s="18" t="n"/>
      <c r="FC79" s="18" t="n"/>
      <c r="FD79" s="276" t="n"/>
      <c r="FE79" s="18" t="n"/>
      <c r="FF79" s="18" t="n"/>
      <c r="FG79" s="276" t="n"/>
      <c r="FH79" s="18" t="n"/>
      <c r="FI79" s="18" t="n"/>
      <c r="FJ79" s="18" t="n"/>
      <c r="FK79" s="18" t="n"/>
      <c r="FL79" s="18" t="n"/>
      <c r="FM79" s="276" t="n"/>
      <c r="FN79" s="18" t="n"/>
      <c r="FO79" s="18" t="n"/>
      <c r="FP79" s="18" t="n"/>
      <c r="FQ79" s="18" t="n"/>
      <c r="FR79" s="18" t="n"/>
      <c r="FS79" s="18" t="n"/>
      <c r="FT79" s="18" t="n"/>
      <c r="FU79" s="18" t="n"/>
      <c r="FV79" s="276" t="n"/>
      <c r="FW79" s="18" t="n"/>
      <c r="FX79" s="18" t="n"/>
      <c r="FY79" s="18" t="n"/>
      <c r="FZ79" s="276" t="n"/>
      <c r="GA79" s="18" t="n"/>
      <c r="GB79" s="18" t="n"/>
      <c r="GC79" s="18" t="n"/>
      <c r="GD79" s="18" t="n"/>
      <c r="GE79" s="18" t="n"/>
      <c r="GF79" s="18" t="n"/>
      <c r="GG79" s="18" t="n"/>
      <c r="GH79" s="253" t="n"/>
      <c r="GI79" s="18" t="n"/>
      <c r="GJ79" s="18" t="n"/>
      <c r="GK79" s="18" t="n"/>
      <c r="GL79" s="18" t="n"/>
      <c r="GM79" s="18" t="n"/>
      <c r="GN79" s="18" t="n"/>
      <c r="GO79" s="18" t="n"/>
      <c r="GP79" s="18" t="n"/>
      <c r="GQ79" s="18" t="n"/>
    </row>
    <row r="80" ht="18.75" customHeight="1">
      <c r="A80" s="43" t="inlineStr">
        <is>
          <t>KIT SACOLA G EUDORA (C/ 10)</t>
        </is>
      </c>
      <c r="B80" s="149" t="inlineStr">
        <is>
          <t>-</t>
        </is>
      </c>
      <c r="C80" s="726" t="inlineStr">
        <is>
          <t>-</t>
        </is>
      </c>
      <c r="D80" s="329" t="n">
        <v>0</v>
      </c>
      <c r="F80" s="9" t="n">
        <v>0</v>
      </c>
      <c r="G80" s="9" t="n">
        <v>0</v>
      </c>
      <c r="H80" s="9" t="n">
        <v>0</v>
      </c>
      <c r="I80" s="9" t="n">
        <v>0</v>
      </c>
      <c r="J80" s="9" t="n">
        <v>0</v>
      </c>
      <c r="K80" s="9" t="n">
        <v>0</v>
      </c>
      <c r="L80" s="9" t="n">
        <v>0</v>
      </c>
      <c r="M80" s="9" t="n">
        <v>0</v>
      </c>
      <c r="N80" s="9" t="n">
        <v>0</v>
      </c>
      <c r="O80" s="9" t="n">
        <v>0</v>
      </c>
      <c r="P80" s="9" t="n">
        <v>0</v>
      </c>
      <c r="Q80" s="9" t="n">
        <v>0</v>
      </c>
      <c r="R80" s="9" t="n">
        <v>0</v>
      </c>
      <c r="S80" s="9" t="n">
        <v>0</v>
      </c>
      <c r="T80" s="9" t="n">
        <v>0</v>
      </c>
      <c r="U80" s="9" t="n">
        <v>0</v>
      </c>
      <c r="V80" s="9" t="n">
        <v>0</v>
      </c>
      <c r="W80" s="9" t="n">
        <v>0</v>
      </c>
      <c r="X80" s="9" t="n">
        <v>0</v>
      </c>
      <c r="Y80" s="9" t="n">
        <v>0</v>
      </c>
      <c r="Z80" s="9" t="n">
        <v>0</v>
      </c>
      <c r="AA80" s="9" t="n">
        <v>0</v>
      </c>
      <c r="AB80" s="9" t="n">
        <v>0</v>
      </c>
      <c r="AC80" s="9" t="n">
        <v>0</v>
      </c>
      <c r="AD80" s="9" t="n">
        <v>0</v>
      </c>
      <c r="AE80" s="9" t="n">
        <v>0</v>
      </c>
      <c r="AF80" s="9" t="n">
        <v>0</v>
      </c>
      <c r="AG80" s="9" t="n">
        <v>0</v>
      </c>
      <c r="AH80" s="9" t="n">
        <v>0</v>
      </c>
      <c r="AI80" s="9" t="n">
        <v>0</v>
      </c>
      <c r="AJ80" s="9" t="n">
        <v>0</v>
      </c>
      <c r="AK80" s="9" t="n">
        <v>0</v>
      </c>
      <c r="AL80" s="9" t="n">
        <v>0</v>
      </c>
      <c r="AM80" s="9" t="n">
        <v>0</v>
      </c>
      <c r="AN80" s="9" t="n">
        <v>0</v>
      </c>
      <c r="AO80" s="9" t="n">
        <v>0</v>
      </c>
      <c r="AP80" s="9" t="n">
        <v>0</v>
      </c>
      <c r="AQ80" s="9" t="n">
        <v>0</v>
      </c>
      <c r="AR80" s="9" t="n">
        <v>0</v>
      </c>
      <c r="AS80" s="9" t="n">
        <v>0</v>
      </c>
      <c r="AT80" s="9" t="n">
        <v>0</v>
      </c>
      <c r="AU80" s="9" t="n">
        <v>0</v>
      </c>
      <c r="AV80" s="9" t="n">
        <v>0</v>
      </c>
      <c r="AW80" s="9" t="n">
        <v>0</v>
      </c>
      <c r="AX80" s="9" t="n">
        <v>0</v>
      </c>
      <c r="AY80" s="190" t="n">
        <v>53</v>
      </c>
      <c r="AZ80" s="190" t="n">
        <v>53</v>
      </c>
      <c r="BA80" s="9" t="n">
        <v>53</v>
      </c>
      <c r="BB80" s="9" t="n">
        <v>53</v>
      </c>
      <c r="BC80" s="9" t="n">
        <v>53</v>
      </c>
      <c r="BD80" s="9" t="n">
        <v>53</v>
      </c>
      <c r="BE80" s="9" t="n">
        <v>53</v>
      </c>
      <c r="BF80" s="9" t="n">
        <v>53</v>
      </c>
      <c r="BG80" s="9" t="n">
        <v>53</v>
      </c>
      <c r="BH80" s="9" t="n">
        <v>53</v>
      </c>
      <c r="BI80" s="9" t="n">
        <v>53</v>
      </c>
      <c r="BJ80" s="9" t="n">
        <v>53</v>
      </c>
      <c r="BK80" s="9" t="n">
        <v>53</v>
      </c>
      <c r="BL80" s="9" t="n">
        <v>53</v>
      </c>
      <c r="BM80" s="9" t="n">
        <v>53</v>
      </c>
      <c r="BN80" s="9" t="n">
        <v>53</v>
      </c>
      <c r="BO80" s="9" t="n">
        <v>53</v>
      </c>
      <c r="BP80" s="9" t="n">
        <v>53</v>
      </c>
      <c r="BQ80" s="9" t="n">
        <v>53</v>
      </c>
      <c r="BR80" s="9" t="n">
        <v>53</v>
      </c>
      <c r="BS80" s="9" t="n">
        <v>10</v>
      </c>
      <c r="BT80" s="9" t="n">
        <v>10</v>
      </c>
      <c r="BU80" s="9" t="n">
        <v>10</v>
      </c>
      <c r="BV80" s="9" t="n">
        <v>10</v>
      </c>
      <c r="BW80" s="9" t="n">
        <v>9</v>
      </c>
      <c r="BX80" s="9" t="n">
        <v>9</v>
      </c>
      <c r="BY80" s="9" t="n">
        <v>9</v>
      </c>
      <c r="BZ80" s="9" t="n">
        <v>9</v>
      </c>
      <c r="CA80" s="9" t="n">
        <v>9</v>
      </c>
      <c r="CB80" s="154">
        <f>BZ80+IF(NOT(ISBLANK(OFFSET(CB80,0,6))),N(OFFSET(CB80,0,6)),N(OFFSET(CB80,0,7)))-CA80</f>
        <v/>
      </c>
      <c r="CD80" s="19" t="n"/>
      <c r="CE80" s="19" t="n"/>
      <c r="CG80" s="27" t="n"/>
      <c r="CI80" s="18" t="n">
        <v>0</v>
      </c>
      <c r="CJ80" s="18" t="n">
        <v>0</v>
      </c>
      <c r="CK80" s="18" t="n"/>
      <c r="CL80" s="18" t="n"/>
      <c r="CM80" s="18" t="n"/>
      <c r="CN80" s="18" t="n"/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18" t="n"/>
      <c r="DM80" s="18" t="n"/>
      <c r="DN80" s="18" t="n"/>
      <c r="DO80" s="18" t="n"/>
      <c r="DP80" s="18" t="n"/>
      <c r="DQ80" s="18" t="n"/>
      <c r="DR80" s="18" t="n"/>
      <c r="DS80" s="18" t="n"/>
      <c r="DT80" s="18" t="n"/>
      <c r="DU80" s="399" t="n"/>
      <c r="DV80" s="18" t="n"/>
      <c r="DW80" s="18" t="n"/>
      <c r="DX80" s="256" t="n"/>
      <c r="DY80" s="256" t="n"/>
      <c r="DZ80" s="256" t="n"/>
      <c r="EA80" s="18" t="n">
        <v>150</v>
      </c>
      <c r="EB80" s="18" t="n"/>
      <c r="EC80" s="18" t="n"/>
      <c r="ED80" s="18" t="n"/>
      <c r="EE80" s="18" t="n"/>
      <c r="EF80" s="18" t="n"/>
      <c r="EG80" s="18" t="n"/>
      <c r="EH80" s="18" t="n"/>
      <c r="EI80" s="18" t="n"/>
      <c r="EJ80" s="18" t="n"/>
      <c r="EK80" s="18" t="n"/>
      <c r="EL80" s="18" t="n"/>
      <c r="EM80" s="18" t="n"/>
      <c r="EN80" s="18" t="n"/>
      <c r="EO80" s="18" t="n"/>
      <c r="EP80" s="18" t="n"/>
      <c r="EQ80" s="18" t="n"/>
      <c r="ER80" s="18" t="n"/>
      <c r="ES80" s="18" t="n"/>
      <c r="ET80" s="18" t="n"/>
      <c r="EU80" s="18" t="n"/>
      <c r="EV80" s="239" t="inlineStr">
        <is>
          <t>20 DE CD</t>
        </is>
      </c>
      <c r="EW80" s="18" t="n"/>
      <c r="EX80" s="18" t="n"/>
      <c r="EY80" s="18" t="n"/>
      <c r="EZ80" s="18" t="n"/>
      <c r="FA80" s="18" t="n"/>
      <c r="FB80" s="18" t="n"/>
      <c r="FC80" s="18" t="n"/>
      <c r="FD80" s="276" t="n"/>
      <c r="FE80" s="18" t="n"/>
      <c r="FF80" s="18" t="n"/>
      <c r="FG80" s="276" t="n"/>
      <c r="FH80" s="239" t="inlineStr">
        <is>
          <t>30 DE CD</t>
        </is>
      </c>
      <c r="FI80" s="18" t="n"/>
      <c r="FJ80" s="18" t="n"/>
      <c r="FK80" s="18" t="n"/>
      <c r="FL80" s="18" t="n"/>
      <c r="FM80" s="276" t="n"/>
      <c r="FN80" s="18" t="n"/>
      <c r="FO80" s="18" t="n"/>
      <c r="FP80" s="18" t="n"/>
      <c r="FQ80" s="18" t="n"/>
      <c r="FR80" s="18" t="n"/>
      <c r="FS80" s="18" t="n"/>
      <c r="FT80" s="18" t="n"/>
      <c r="FU80" s="18" t="n"/>
      <c r="FV80" s="276" t="n"/>
      <c r="FW80" s="18" t="n"/>
      <c r="FX80" s="18" t="n"/>
      <c r="FY80" s="18" t="n"/>
      <c r="FZ80" s="276" t="n"/>
      <c r="GA80" s="18" t="n"/>
      <c r="GB80" s="18" t="n"/>
      <c r="GC80" s="18" t="n"/>
      <c r="GD80" s="18" t="n"/>
      <c r="GE80" s="18" t="n"/>
      <c r="GF80" s="18" t="n"/>
      <c r="GG80" s="18" t="n"/>
      <c r="GH80" s="253" t="n"/>
      <c r="GI80" s="18" t="n"/>
      <c r="GJ80" s="18" t="n"/>
      <c r="GK80" s="18" t="n"/>
      <c r="GL80" s="18" t="n"/>
      <c r="GM80" s="18" t="n"/>
      <c r="GN80" s="18" t="n"/>
      <c r="GO80" s="18" t="n"/>
      <c r="GP80" s="18" t="n"/>
      <c r="GQ80" s="18" t="n"/>
    </row>
    <row r="81" ht="18.75" customHeight="1">
      <c r="A81" s="43" t="inlineStr">
        <is>
          <t>CAIXA P EUDORA</t>
        </is>
      </c>
      <c r="B81" s="149" t="n">
        <v>150</v>
      </c>
      <c r="C81" s="726" t="n">
        <v>400.5</v>
      </c>
      <c r="D81" s="329" t="n">
        <v>15</v>
      </c>
      <c r="F81" s="9" t="n">
        <v>0</v>
      </c>
      <c r="G81" s="9" t="n">
        <v>0</v>
      </c>
      <c r="H81" s="9" t="n">
        <v>0</v>
      </c>
      <c r="I81" s="9" t="n">
        <v>0</v>
      </c>
      <c r="J81" s="9" t="n">
        <v>0</v>
      </c>
      <c r="K81" s="9" t="n">
        <v>0</v>
      </c>
      <c r="L81" s="9" t="n">
        <v>0</v>
      </c>
      <c r="M81" s="9" t="n">
        <v>4</v>
      </c>
      <c r="N81" s="9" t="n">
        <v>4</v>
      </c>
      <c r="O81" s="9" t="n">
        <v>4</v>
      </c>
      <c r="P81" s="9" t="n">
        <v>4</v>
      </c>
      <c r="Q81" s="9" t="n">
        <v>4</v>
      </c>
      <c r="R81" s="9" t="n">
        <v>4</v>
      </c>
      <c r="S81" s="9" t="n">
        <v>4</v>
      </c>
      <c r="T81" s="9" t="n">
        <v>5</v>
      </c>
      <c r="U81" s="9" t="n">
        <v>5</v>
      </c>
      <c r="V81" s="9" t="n">
        <v>4</v>
      </c>
      <c r="W81" s="9" t="n">
        <v>4</v>
      </c>
      <c r="X81" s="9" t="n">
        <v>4</v>
      </c>
      <c r="Y81" s="9" t="n">
        <v>0</v>
      </c>
      <c r="Z81" s="9">
        <f>0+30</f>
        <v/>
      </c>
      <c r="AA81" s="9" t="n">
        <v>30</v>
      </c>
      <c r="AB81" s="9" t="n">
        <v>30</v>
      </c>
      <c r="AC81" s="9" t="n">
        <v>30</v>
      </c>
      <c r="AD81" s="9">
        <f>0+20</f>
        <v/>
      </c>
      <c r="AE81" s="9" t="n">
        <v>20</v>
      </c>
      <c r="AF81" s="9" t="n">
        <v>21</v>
      </c>
      <c r="AG81" s="9" t="n">
        <v>21</v>
      </c>
      <c r="AH81" s="9" t="n">
        <v>21</v>
      </c>
      <c r="AI81" s="9" t="n">
        <v>21</v>
      </c>
      <c r="AJ81" s="9" t="n">
        <v>21</v>
      </c>
      <c r="AK81" s="9" t="n">
        <v>20</v>
      </c>
      <c r="AL81" s="9" t="n">
        <v>19</v>
      </c>
      <c r="AM81" s="9" t="n">
        <v>0</v>
      </c>
      <c r="AN81" s="9" t="n">
        <v>0</v>
      </c>
      <c r="AO81" s="9" t="n">
        <v>0</v>
      </c>
      <c r="AP81" s="9" t="n">
        <v>0</v>
      </c>
      <c r="AQ81" s="9" t="n">
        <v>0</v>
      </c>
      <c r="AR81" s="9" t="n">
        <v>0</v>
      </c>
      <c r="AS81" s="9" t="n">
        <v>150</v>
      </c>
      <c r="AT81" s="9" t="n">
        <v>150</v>
      </c>
      <c r="AU81" s="9" t="n">
        <v>150</v>
      </c>
      <c r="AV81" s="9" t="n">
        <v>130</v>
      </c>
      <c r="AW81" s="9" t="n">
        <v>130</v>
      </c>
      <c r="AX81" s="9" t="n">
        <v>130</v>
      </c>
      <c r="AY81" s="9" t="n">
        <v>130</v>
      </c>
      <c r="AZ81" s="9" t="n">
        <v>130</v>
      </c>
      <c r="BA81" s="9" t="n">
        <v>130</v>
      </c>
      <c r="BB81" s="9" t="n">
        <v>121</v>
      </c>
      <c r="BC81" s="9" t="n">
        <v>1</v>
      </c>
      <c r="BD81" s="9">
        <f>0+DJ81</f>
        <v/>
      </c>
      <c r="BE81" s="9" t="n">
        <v>130</v>
      </c>
      <c r="BF81" s="9" t="n">
        <v>130</v>
      </c>
      <c r="BG81" s="9" t="n">
        <v>130</v>
      </c>
      <c r="BH81" s="9" t="n">
        <v>150</v>
      </c>
      <c r="BI81" s="9" t="n">
        <v>150</v>
      </c>
      <c r="BJ81" s="9" t="n">
        <v>150</v>
      </c>
      <c r="BK81" s="9" t="n">
        <v>150</v>
      </c>
      <c r="BL81" s="9" t="n">
        <v>150</v>
      </c>
      <c r="BM81" s="9" t="n">
        <v>150</v>
      </c>
      <c r="BN81" s="9" t="n">
        <v>150</v>
      </c>
      <c r="BO81" s="9" t="n">
        <v>150</v>
      </c>
      <c r="BP81" s="9" t="n">
        <v>125</v>
      </c>
      <c r="BQ81" s="9" t="n">
        <v>124</v>
      </c>
      <c r="BR81" s="9" t="n">
        <v>124</v>
      </c>
      <c r="BS81" s="9" t="n">
        <v>124</v>
      </c>
      <c r="BT81" s="9" t="n">
        <v>124</v>
      </c>
      <c r="BU81" s="9" t="n">
        <v>124</v>
      </c>
      <c r="BV81" s="9" t="n">
        <v>124</v>
      </c>
      <c r="BW81" s="9" t="n">
        <v>124</v>
      </c>
      <c r="BX81" s="9" t="n">
        <v>124</v>
      </c>
      <c r="BY81" s="9" t="n">
        <v>121</v>
      </c>
      <c r="BZ81" s="9" t="n">
        <v>118</v>
      </c>
      <c r="CA81" s="9" t="n">
        <v>118</v>
      </c>
      <c r="CB81" s="154">
        <f>BZ81+IF(NOT(ISBLANK(OFFSET(CB81,0,6))),N(OFFSET(CB81,0,6)),N(OFFSET(CB81,0,7)))-CA81</f>
        <v/>
      </c>
      <c r="CD81" s="19" t="n"/>
      <c r="CE81" s="19" t="n"/>
      <c r="CG81" s="27" t="n"/>
      <c r="CI81" s="18" t="n">
        <v>0</v>
      </c>
      <c r="CJ81" s="18" t="n">
        <v>0</v>
      </c>
      <c r="CK81" s="18" t="n"/>
      <c r="CL81" s="18" t="n"/>
      <c r="CM81" s="18" t="n"/>
      <c r="CN81" s="18" t="n"/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>
        <v>150</v>
      </c>
      <c r="DK81" s="18" t="n"/>
      <c r="DL81" s="18" t="n"/>
      <c r="DM81" s="18" t="n"/>
      <c r="DN81" s="18" t="n"/>
      <c r="DO81" s="18" t="n"/>
      <c r="DP81" s="18" t="n"/>
      <c r="DQ81" s="18" t="n"/>
      <c r="DR81" s="18" t="n"/>
      <c r="DS81" s="18" t="n"/>
      <c r="DT81" s="18" t="n"/>
      <c r="DU81" s="399" t="n"/>
      <c r="DV81" s="18" t="n"/>
      <c r="DW81" s="18" t="n"/>
      <c r="DX81" s="256" t="n"/>
      <c r="DY81" s="256" t="n"/>
      <c r="DZ81" s="256" t="n"/>
      <c r="EA81" s="18" t="n"/>
      <c r="EB81" s="18" t="n"/>
      <c r="EC81" s="18" t="n"/>
      <c r="ED81" s="18" t="n"/>
      <c r="EE81" s="18" t="n"/>
      <c r="EF81" s="18" t="n"/>
      <c r="EG81" s="18" t="n"/>
      <c r="EH81" s="18" t="n"/>
      <c r="EI81" s="18" t="n"/>
      <c r="EJ81" s="18" t="n"/>
      <c r="EK81" s="18" t="n"/>
      <c r="EL81" s="18" t="n"/>
      <c r="EM81" s="18" t="n"/>
      <c r="EN81" s="18" t="n"/>
      <c r="EO81" s="18" t="n"/>
      <c r="EP81" s="18" t="n"/>
      <c r="EQ81" s="18" t="n"/>
      <c r="ER81" s="18" t="n"/>
      <c r="ES81" s="18" t="n"/>
      <c r="ET81" s="18" t="n"/>
      <c r="EU81" s="18" t="n"/>
      <c r="EV81" s="18" t="n"/>
      <c r="EW81" s="18" t="n"/>
      <c r="EX81" s="18" t="n"/>
      <c r="EY81" s="18" t="n"/>
      <c r="EZ81" s="18" t="n"/>
      <c r="FA81" s="18" t="n"/>
      <c r="FB81" s="18" t="n"/>
      <c r="FC81" s="18" t="n"/>
      <c r="FD81" s="276" t="n"/>
      <c r="FE81" s="18" t="n"/>
      <c r="FF81" s="18" t="n"/>
      <c r="FG81" s="276" t="n"/>
      <c r="FH81" s="18" t="n"/>
      <c r="FI81" s="18" t="n"/>
      <c r="FJ81" s="18" t="n"/>
      <c r="FK81" s="18" t="n"/>
      <c r="FL81" s="18" t="n"/>
      <c r="FM81" s="276" t="n"/>
      <c r="FN81" s="18" t="n"/>
      <c r="FO81" s="18" t="n"/>
      <c r="FP81" s="18" t="n"/>
      <c r="FQ81" s="18" t="n"/>
      <c r="FR81" s="18" t="n"/>
      <c r="FS81" s="18" t="n"/>
      <c r="FT81" s="18" t="n"/>
      <c r="FU81" s="18" t="n"/>
      <c r="FV81" s="276" t="n"/>
      <c r="FW81" s="18" t="n"/>
      <c r="FX81" s="18" t="n"/>
      <c r="FY81" s="18" t="n"/>
      <c r="FZ81" s="276" t="n"/>
      <c r="GA81" s="18" t="n"/>
      <c r="GB81" s="18" t="n"/>
      <c r="GC81" s="18" t="n"/>
      <c r="GD81" s="18" t="n"/>
      <c r="GE81" s="18" t="n"/>
      <c r="GF81" s="18" t="n">
        <v>100</v>
      </c>
      <c r="GG81" s="18" t="n"/>
      <c r="GH81" s="253" t="n"/>
      <c r="GI81" s="18" t="n"/>
      <c r="GJ81" s="18" t="n"/>
      <c r="GK81" s="18" t="n"/>
      <c r="GL81" s="18" t="n"/>
      <c r="GM81" s="18" t="n"/>
      <c r="GN81" s="18" t="n"/>
      <c r="GO81" s="18" t="n"/>
      <c r="GP81" s="18" t="n"/>
      <c r="GQ81" s="18" t="n"/>
    </row>
    <row r="82" ht="18.75" customHeight="1">
      <c r="A82" s="43" t="inlineStr">
        <is>
          <t>CAIXA M EUDORA</t>
        </is>
      </c>
      <c r="B82" s="149" t="n">
        <v>100</v>
      </c>
      <c r="C82" s="726" t="n">
        <v>365</v>
      </c>
      <c r="D82" s="329" t="n">
        <v>15</v>
      </c>
      <c r="F82" s="9" t="n">
        <v>0</v>
      </c>
      <c r="G82" s="9" t="n">
        <v>0</v>
      </c>
      <c r="H82" s="9" t="n">
        <v>0</v>
      </c>
      <c r="I82" s="9" t="n">
        <v>0</v>
      </c>
      <c r="J82" s="9" t="n">
        <v>0</v>
      </c>
      <c r="K82" s="9" t="n">
        <v>0</v>
      </c>
      <c r="L82" s="9">
        <f>0+GF81</f>
        <v/>
      </c>
      <c r="M82" s="9" t="n">
        <v>100</v>
      </c>
      <c r="N82" s="9" t="n">
        <v>100</v>
      </c>
      <c r="O82" s="9" t="n">
        <v>100</v>
      </c>
      <c r="P82" s="9" t="n">
        <v>100</v>
      </c>
      <c r="Q82" s="9" t="n">
        <v>100</v>
      </c>
      <c r="R82" s="9" t="n">
        <v>100</v>
      </c>
      <c r="S82" s="9" t="n">
        <v>100</v>
      </c>
      <c r="T82" s="9" t="n">
        <v>100</v>
      </c>
      <c r="U82" s="9" t="n">
        <v>100</v>
      </c>
      <c r="V82" s="9" t="n">
        <v>100</v>
      </c>
      <c r="W82" s="9" t="n">
        <v>100</v>
      </c>
      <c r="X82" s="9" t="n">
        <v>100</v>
      </c>
      <c r="Y82" s="9" t="n">
        <v>100</v>
      </c>
      <c r="Z82" s="9" t="n">
        <v>100</v>
      </c>
      <c r="AA82" s="9" t="n">
        <v>100</v>
      </c>
      <c r="AB82" s="9" t="n">
        <v>100</v>
      </c>
      <c r="AC82" s="9" t="n">
        <v>100</v>
      </c>
      <c r="AD82" s="9" t="n">
        <v>100</v>
      </c>
      <c r="AE82" s="9" t="n">
        <v>100</v>
      </c>
      <c r="AF82" s="9" t="n">
        <v>100</v>
      </c>
      <c r="AG82" s="9" t="n">
        <v>100</v>
      </c>
      <c r="AH82" s="9" t="n">
        <v>100</v>
      </c>
      <c r="AI82" s="9" t="n">
        <v>100</v>
      </c>
      <c r="AJ82" s="9" t="n">
        <v>100</v>
      </c>
      <c r="AK82" s="9" t="n">
        <v>100</v>
      </c>
      <c r="AL82" s="9" t="n">
        <v>100</v>
      </c>
      <c r="AM82" s="9" t="n">
        <v>100</v>
      </c>
      <c r="AN82" s="9" t="n">
        <v>100</v>
      </c>
      <c r="AO82" s="9" t="n">
        <v>100</v>
      </c>
      <c r="AP82" s="9" t="n">
        <v>100</v>
      </c>
      <c r="AQ82" s="9" t="n">
        <v>100</v>
      </c>
      <c r="AR82" s="9" t="n">
        <v>100</v>
      </c>
      <c r="AS82" s="9" t="n">
        <v>100</v>
      </c>
      <c r="AT82" s="9" t="n">
        <v>100</v>
      </c>
      <c r="AU82" s="9" t="n">
        <v>93</v>
      </c>
      <c r="AV82" s="9" t="n">
        <v>93</v>
      </c>
      <c r="AW82" s="9" t="n">
        <v>92</v>
      </c>
      <c r="AX82" s="9" t="n">
        <v>92</v>
      </c>
      <c r="AY82" s="9" t="n">
        <v>92</v>
      </c>
      <c r="AZ82" s="9" t="n">
        <v>92</v>
      </c>
      <c r="BA82" s="9" t="n">
        <v>92</v>
      </c>
      <c r="BB82" s="9" t="n">
        <v>92</v>
      </c>
      <c r="BC82" s="9" t="n">
        <v>91</v>
      </c>
      <c r="BD82" s="9" t="n">
        <v>91</v>
      </c>
      <c r="BE82" s="9" t="n">
        <v>91</v>
      </c>
      <c r="BF82" s="9" t="n">
        <v>80</v>
      </c>
      <c r="BG82" s="9" t="n">
        <v>80</v>
      </c>
      <c r="BH82" s="9" t="n">
        <v>77</v>
      </c>
      <c r="BI82" s="9" t="n">
        <v>76</v>
      </c>
      <c r="BJ82" s="9" t="n">
        <v>76</v>
      </c>
      <c r="BK82" s="9" t="n">
        <v>76</v>
      </c>
      <c r="BL82" s="9" t="n">
        <v>76</v>
      </c>
      <c r="BM82" s="9" t="n">
        <v>68</v>
      </c>
      <c r="BN82" s="9" t="n">
        <v>68</v>
      </c>
      <c r="BO82" s="9" t="n">
        <v>68</v>
      </c>
      <c r="BP82" s="9" t="n">
        <v>43</v>
      </c>
      <c r="BQ82" s="9" t="n">
        <v>4</v>
      </c>
      <c r="BR82" s="9" t="n">
        <v>4</v>
      </c>
      <c r="BS82" s="9" t="n">
        <v>4</v>
      </c>
      <c r="BT82" s="9" t="n">
        <v>4</v>
      </c>
      <c r="BU82" s="9" t="n">
        <v>4</v>
      </c>
      <c r="BV82" s="9" t="n">
        <v>4</v>
      </c>
      <c r="BW82" s="9" t="n">
        <v>4</v>
      </c>
      <c r="BX82" s="9" t="n">
        <v>4</v>
      </c>
      <c r="BY82" s="9" t="n">
        <v>25</v>
      </c>
      <c r="BZ82" s="9" t="n">
        <v>25</v>
      </c>
      <c r="CA82" s="9" t="n">
        <v>25</v>
      </c>
      <c r="CB82" s="154">
        <f>BZ82+IF(NOT(ISBLANK(OFFSET(CB82,0,6))),N(OFFSET(CB82,0,6)),N(OFFSET(CB82,0,7)))-CA82</f>
        <v/>
      </c>
      <c r="CC82" s="6" t="n"/>
      <c r="CD82" s="19" t="n"/>
      <c r="CE82" s="19" t="n"/>
      <c r="CF82" s="49" t="n"/>
      <c r="CG82" s="27" t="n"/>
      <c r="CH82" s="49" t="n"/>
      <c r="CI82" s="18" t="n">
        <v>0</v>
      </c>
      <c r="CJ82" s="18" t="n">
        <v>0</v>
      </c>
      <c r="CK82" s="18" t="n"/>
      <c r="CL82" s="18" t="n"/>
      <c r="CM82" s="18" t="n"/>
      <c r="CN82" s="18" t="n"/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18" t="n"/>
      <c r="DM82" s="18" t="n"/>
      <c r="DN82" s="18" t="n"/>
      <c r="DO82" s="18" t="n"/>
      <c r="DP82" s="18" t="n"/>
      <c r="DQ82" s="18" t="n"/>
      <c r="DR82" s="18" t="n"/>
      <c r="DS82" s="18" t="n"/>
      <c r="DT82" s="18" t="n"/>
      <c r="DU82" s="399" t="n"/>
      <c r="DV82" s="18" t="n"/>
      <c r="DW82" s="18" t="n"/>
      <c r="DX82" s="256" t="n"/>
      <c r="DY82" s="256" t="n"/>
      <c r="DZ82" s="256" t="n"/>
      <c r="EA82" s="18" t="n"/>
      <c r="EB82" s="18" t="n"/>
      <c r="EC82" s="18" t="n"/>
      <c r="ED82" s="18" t="n"/>
      <c r="EE82" s="18" t="n"/>
      <c r="EF82" s="18" t="n"/>
      <c r="EG82" s="18" t="n"/>
      <c r="EH82" s="18" t="n"/>
      <c r="EI82" s="18" t="n"/>
      <c r="EJ82" s="18" t="n"/>
      <c r="EK82" s="18" t="n"/>
      <c r="EL82" s="18" t="n"/>
      <c r="EM82" s="18" t="n"/>
      <c r="EN82" s="18" t="n"/>
      <c r="EO82" s="18" t="n"/>
      <c r="EP82" s="18" t="n"/>
      <c r="EQ82" s="18" t="n"/>
      <c r="ER82" s="18" t="n"/>
      <c r="ES82" s="18" t="n"/>
      <c r="ET82" s="18" t="n"/>
      <c r="EU82" s="18" t="n"/>
      <c r="EV82" s="18" t="n"/>
      <c r="EW82" s="18" t="n"/>
      <c r="EX82" s="18" t="n"/>
      <c r="EY82" s="18" t="n"/>
      <c r="EZ82" s="18" t="n"/>
      <c r="FA82" s="18" t="n"/>
      <c r="FB82" s="18" t="n"/>
      <c r="FC82" s="18" t="n"/>
      <c r="FD82" s="276" t="n"/>
      <c r="FE82" s="18" t="n"/>
      <c r="FF82" s="18" t="n"/>
      <c r="FG82" s="276" t="n"/>
      <c r="FH82" s="18" t="n"/>
      <c r="FI82" s="18" t="n"/>
      <c r="FJ82" s="18" t="n"/>
      <c r="FK82" s="18" t="n"/>
      <c r="FL82" s="18" t="n"/>
      <c r="FM82" s="276" t="n"/>
      <c r="FN82" s="18" t="n"/>
      <c r="FO82" s="18" t="n"/>
      <c r="FP82" s="18" t="n"/>
      <c r="FQ82" s="18" t="n"/>
      <c r="FR82" s="18" t="n"/>
      <c r="FS82" s="18" t="n"/>
      <c r="FT82" s="18" t="n"/>
      <c r="FU82" s="18" t="n"/>
      <c r="FV82" s="276" t="n"/>
      <c r="FW82" s="18" t="n"/>
      <c r="FX82" s="18" t="n"/>
      <c r="FY82" s="18" t="n"/>
      <c r="FZ82" s="276" t="n"/>
      <c r="GA82" s="18" t="n"/>
      <c r="GB82" s="18" t="n"/>
      <c r="GC82" s="18" t="n"/>
      <c r="GD82" s="18" t="n"/>
      <c r="GE82" s="18" t="n"/>
      <c r="GF82" s="18" t="n">
        <v>75</v>
      </c>
      <c r="GG82" s="18" t="n"/>
      <c r="GH82" s="253" t="n"/>
      <c r="GI82" s="18" t="n"/>
      <c r="GJ82" s="18" t="n"/>
      <c r="GK82" s="18" t="n"/>
      <c r="GL82" s="18" t="n"/>
      <c r="GM82" s="18" t="n"/>
      <c r="GN82" s="18" t="n"/>
      <c r="GO82" s="18" t="n"/>
      <c r="GP82" s="18" t="n"/>
      <c r="GQ82" s="18" t="n"/>
    </row>
    <row r="83" ht="18.75" customHeight="1">
      <c r="A83" s="43" t="inlineStr">
        <is>
          <t>CAIXA G EUDORA</t>
        </is>
      </c>
      <c r="B83" s="149" t="n">
        <v>75</v>
      </c>
      <c r="C83" s="726" t="n">
        <v>438.75</v>
      </c>
      <c r="D83" s="329" t="n">
        <v>10</v>
      </c>
      <c r="F83" s="9" t="n">
        <v>0</v>
      </c>
      <c r="G83" s="9" t="n">
        <v>0</v>
      </c>
      <c r="H83" s="9" t="n">
        <v>0</v>
      </c>
      <c r="I83" s="9" t="n">
        <v>0</v>
      </c>
      <c r="J83" s="9" t="n">
        <v>0</v>
      </c>
      <c r="K83" s="9" t="n">
        <v>0</v>
      </c>
      <c r="L83" s="9">
        <f>0+GF82</f>
        <v/>
      </c>
      <c r="M83" s="9" t="n">
        <v>92</v>
      </c>
      <c r="N83" s="9" t="n">
        <v>92</v>
      </c>
      <c r="O83" s="9" t="n">
        <v>92</v>
      </c>
      <c r="P83" s="9" t="n">
        <v>92</v>
      </c>
      <c r="Q83" s="9" t="n">
        <v>91</v>
      </c>
      <c r="R83" s="9" t="n">
        <v>91</v>
      </c>
      <c r="S83" s="9" t="n">
        <v>91</v>
      </c>
      <c r="T83" s="9" t="n">
        <v>91</v>
      </c>
      <c r="U83" s="9" t="n">
        <v>75</v>
      </c>
      <c r="V83" s="9" t="n">
        <v>74</v>
      </c>
      <c r="W83" s="9" t="n">
        <v>75</v>
      </c>
      <c r="X83" s="9" t="n">
        <v>75</v>
      </c>
      <c r="Y83" s="9" t="n">
        <v>75</v>
      </c>
      <c r="Z83" s="9" t="n">
        <v>75</v>
      </c>
      <c r="AA83" s="9" t="n">
        <v>75</v>
      </c>
      <c r="AB83" s="9" t="n">
        <v>75</v>
      </c>
      <c r="AC83" s="9" t="n">
        <v>74</v>
      </c>
      <c r="AD83" s="9" t="n">
        <v>74</v>
      </c>
      <c r="AE83" s="9" t="n">
        <v>50</v>
      </c>
      <c r="AF83" s="9" t="n">
        <v>50</v>
      </c>
      <c r="AG83" s="9" t="n">
        <v>49</v>
      </c>
      <c r="AH83" s="9" t="n">
        <v>49</v>
      </c>
      <c r="AI83" s="9" t="n">
        <v>47</v>
      </c>
      <c r="AJ83" s="9" t="n">
        <v>48</v>
      </c>
      <c r="AK83" s="9" t="n">
        <v>48</v>
      </c>
      <c r="AL83" s="9" t="n">
        <v>47</v>
      </c>
      <c r="AM83" s="9" t="n">
        <v>46</v>
      </c>
      <c r="AN83" s="9" t="n">
        <v>46</v>
      </c>
      <c r="AO83" s="9" t="n">
        <v>46</v>
      </c>
      <c r="AP83" s="9" t="n">
        <v>44</v>
      </c>
      <c r="AQ83" s="9" t="n">
        <v>43</v>
      </c>
      <c r="AR83" s="9" t="n">
        <v>43</v>
      </c>
      <c r="AS83" s="9" t="n">
        <v>43</v>
      </c>
      <c r="AT83" s="9" t="n">
        <v>43</v>
      </c>
      <c r="AU83" s="9" t="n">
        <v>43</v>
      </c>
      <c r="AV83" s="9" t="n">
        <v>33</v>
      </c>
      <c r="AW83" s="9" t="n">
        <v>12</v>
      </c>
      <c r="AX83" s="9" t="n">
        <v>12</v>
      </c>
      <c r="AY83" s="9" t="n">
        <v>4</v>
      </c>
      <c r="AZ83" s="9" t="n">
        <v>4</v>
      </c>
      <c r="BA83" s="9" t="n">
        <v>4</v>
      </c>
      <c r="BB83" s="9" t="n">
        <v>4</v>
      </c>
      <c r="BC83" s="9" t="n">
        <v>3</v>
      </c>
      <c r="BD83" s="9" t="n">
        <v>3</v>
      </c>
      <c r="BE83" s="9" t="n">
        <v>3</v>
      </c>
      <c r="BF83" s="9" t="n">
        <v>3</v>
      </c>
      <c r="BG83" s="9" t="n">
        <v>3</v>
      </c>
      <c r="BH83" s="9" t="n">
        <v>0</v>
      </c>
      <c r="BI83" s="9" t="n">
        <v>3</v>
      </c>
      <c r="BJ83" s="9" t="n">
        <v>3</v>
      </c>
      <c r="BK83" s="9" t="n">
        <v>3</v>
      </c>
      <c r="BL83" s="9" t="n">
        <v>3</v>
      </c>
      <c r="BM83" s="9" t="n">
        <v>0</v>
      </c>
      <c r="BN83" s="9" t="n">
        <v>0</v>
      </c>
      <c r="BO83" s="9" t="n">
        <v>0</v>
      </c>
      <c r="BP83" s="9" t="n">
        <v>0</v>
      </c>
      <c r="BQ83" s="9" t="n">
        <v>0</v>
      </c>
      <c r="BR83" s="9" t="n">
        <v>0</v>
      </c>
      <c r="BS83" s="9" t="n">
        <v>0</v>
      </c>
      <c r="BT83" s="9" t="n">
        <v>0</v>
      </c>
      <c r="BU83" s="9" t="n">
        <v>0</v>
      </c>
      <c r="BV83" s="9" t="n">
        <v>0</v>
      </c>
      <c r="BW83" s="9" t="n">
        <v>0</v>
      </c>
      <c r="BX83" s="9" t="n">
        <v>0</v>
      </c>
      <c r="BY83" s="9" t="n">
        <v>0</v>
      </c>
      <c r="BZ83" s="9" t="n">
        <v>0</v>
      </c>
      <c r="CA83" s="9" t="n">
        <v>0</v>
      </c>
      <c r="CB83" s="154">
        <f>BZ83+IF(NOT(ISBLANK(OFFSET(CB83,0,6))),N(OFFSET(CB83,0,6)),N(OFFSET(CB83,0,7)))-CA83</f>
        <v/>
      </c>
      <c r="CC83" s="6" t="n"/>
      <c r="CD83" s="19" t="n"/>
      <c r="CE83" s="19" t="n"/>
      <c r="CF83" s="49" t="n"/>
      <c r="CG83" s="27" t="n"/>
      <c r="CH83" s="49" t="n"/>
      <c r="CI83" s="18" t="n">
        <v>0</v>
      </c>
      <c r="CJ83" s="18" t="n">
        <v>0</v>
      </c>
      <c r="CK83" s="18" t="n"/>
      <c r="CL83" s="18" t="n"/>
      <c r="CM83" s="18" t="n"/>
      <c r="CN83" s="18" t="n"/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18" t="n"/>
      <c r="DM83" s="18" t="n"/>
      <c r="DN83" s="18" t="n"/>
      <c r="DO83" s="18" t="n"/>
      <c r="DP83" s="18" t="n"/>
      <c r="DQ83" s="18" t="n"/>
      <c r="DR83" s="18" t="n"/>
      <c r="DS83" s="18" t="n"/>
      <c r="DT83" s="18" t="n"/>
      <c r="DU83" s="399" t="n"/>
      <c r="DV83" s="18" t="n"/>
      <c r="DW83" s="18" t="n"/>
      <c r="DX83" s="256" t="n"/>
      <c r="DY83" s="256" t="n"/>
      <c r="DZ83" s="256" t="n"/>
      <c r="FD83" s="268" t="n"/>
      <c r="FG83" s="268" t="n"/>
      <c r="FM83" s="268" t="n"/>
      <c r="FR83" s="51" t="n"/>
      <c r="FV83" s="268" t="n"/>
      <c r="FZ83" s="268" t="n"/>
      <c r="GH83" s="51" t="n"/>
    </row>
    <row r="84">
      <c r="DX84" s="271" t="n"/>
      <c r="DY84" s="271" t="n"/>
      <c r="DZ84" s="271" t="n"/>
      <c r="GA84" s="314" t="n"/>
      <c r="GB84" s="314" t="n"/>
      <c r="GE84" s="314" t="n"/>
      <c r="GR84" s="314" t="n"/>
      <c r="GS84" s="314" t="n"/>
    </row>
    <row r="85">
      <c r="A85" s="374" t="inlineStr">
        <is>
          <t>HARRY POTTER/25</t>
        </is>
      </c>
      <c r="B85" s="375" t="inlineStr">
        <is>
          <t>PC</t>
        </is>
      </c>
      <c r="C85" s="375" t="inlineStr">
        <is>
          <t>R$</t>
        </is>
      </c>
      <c r="D85" s="375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  <c r="AA85" s="4" t="n"/>
      <c r="AB85" s="4" t="n"/>
      <c r="AC85" s="4" t="n"/>
      <c r="AD85" s="4" t="n"/>
      <c r="AE85" s="4" t="n"/>
      <c r="AF85" s="4" t="n"/>
      <c r="AG85" s="4" t="n"/>
      <c r="AH85" s="4" t="n"/>
      <c r="AI85" s="4" t="n"/>
      <c r="AJ85" s="4" t="n"/>
      <c r="AK85" s="650" t="n">
        <v>45873</v>
      </c>
      <c r="AL85" s="650" t="n">
        <v>45880</v>
      </c>
      <c r="AM85" s="650" t="n">
        <v>45887</v>
      </c>
      <c r="AN85" s="650" t="n">
        <v>45894</v>
      </c>
      <c r="AO85" s="650" t="n">
        <v>45901</v>
      </c>
      <c r="AP85" s="650" t="n">
        <v>45908</v>
      </c>
      <c r="AQ85" s="650" t="n">
        <v>45915</v>
      </c>
      <c r="AR85" s="650" t="n">
        <v>45922</v>
      </c>
      <c r="AS85" s="650" t="n">
        <v>45929</v>
      </c>
      <c r="AT85" s="650" t="n">
        <v>45936</v>
      </c>
      <c r="AU85" s="650" t="n">
        <v>45943</v>
      </c>
      <c r="AV85" s="650" t="n">
        <v>45950</v>
      </c>
      <c r="AW85" s="650" t="n">
        <v>45957</v>
      </c>
      <c r="AX85" s="650" t="n">
        <v>45964</v>
      </c>
      <c r="AY85" s="650" t="n">
        <v>45971</v>
      </c>
      <c r="AZ85" s="650" t="n">
        <v>45978</v>
      </c>
      <c r="BA85" s="650" t="n">
        <v>45985</v>
      </c>
      <c r="BB85" s="650" t="n">
        <v>45992</v>
      </c>
      <c r="BC85" s="650" t="n">
        <v>45999</v>
      </c>
      <c r="BD85" s="650" t="n">
        <v>46006</v>
      </c>
      <c r="BE85" s="650" t="n">
        <v>46013</v>
      </c>
      <c r="BF85" s="650" t="n">
        <v>46020</v>
      </c>
      <c r="BG85" s="650" t="n">
        <v>46027</v>
      </c>
      <c r="BH85" s="650" t="n">
        <v>46034</v>
      </c>
      <c r="BI85" s="650" t="n">
        <v>46041</v>
      </c>
      <c r="BJ85" s="650" t="n">
        <v>46048</v>
      </c>
      <c r="BK85" s="650" t="n">
        <v>46055</v>
      </c>
      <c r="BL85" s="650" t="n">
        <v>46062</v>
      </c>
      <c r="BM85" s="650" t="n">
        <v>46069</v>
      </c>
      <c r="BN85" s="650" t="n">
        <v>46076</v>
      </c>
      <c r="BO85" s="650" t="n">
        <v>46083</v>
      </c>
      <c r="BP85" s="650" t="n">
        <v>46090</v>
      </c>
      <c r="BQ85" s="650" t="n">
        <v>46097</v>
      </c>
      <c r="BR85" s="650" t="n">
        <v>46104</v>
      </c>
      <c r="BS85" s="650" t="n">
        <v>46111</v>
      </c>
      <c r="BT85" s="650" t="n">
        <v>46118</v>
      </c>
      <c r="BU85" s="650" t="n">
        <v>46125</v>
      </c>
      <c r="BV85" s="650" t="n">
        <v>46132</v>
      </c>
      <c r="BW85" s="650" t="n">
        <v>46139</v>
      </c>
      <c r="BX85" s="650" t="n">
        <v>46146</v>
      </c>
      <c r="BY85" s="650" t="n">
        <v>46154</v>
      </c>
      <c r="BZ85" s="650" t="n">
        <v>46160</v>
      </c>
      <c r="CA85" s="650" t="n">
        <v>46160</v>
      </c>
      <c r="CB85" s="660" t="inlineStr">
        <is>
          <t>USOU</t>
        </is>
      </c>
      <c r="DX85" s="271" t="n"/>
      <c r="DY85" s="271" t="n"/>
      <c r="DZ85" s="271" t="n"/>
      <c r="GA85" s="314" t="n"/>
      <c r="GB85" s="314" t="n"/>
      <c r="GE85" s="314" t="n"/>
      <c r="GR85" s="314" t="n"/>
      <c r="GS85" s="314" t="n"/>
    </row>
    <row r="86" hidden="1">
      <c r="A86" s="33" t="inlineStr">
        <is>
          <t>SACOLA G HP/25</t>
        </is>
      </c>
      <c r="B86" s="9" t="n">
        <v>100</v>
      </c>
      <c r="C86" s="662" t="n">
        <v>316</v>
      </c>
      <c r="D86" s="32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  <c r="AA86" s="4" t="n"/>
      <c r="AB86" s="4" t="n"/>
      <c r="AC86" s="4" t="n"/>
      <c r="AD86" s="4" t="n"/>
      <c r="AE86" s="4" t="n"/>
      <c r="AF86" s="4" t="n"/>
      <c r="AG86" s="4" t="n"/>
      <c r="AH86" s="4" t="n"/>
      <c r="AI86" s="4" t="n"/>
      <c r="AJ86" s="4" t="n"/>
      <c r="AK86" s="38" t="n">
        <v>0</v>
      </c>
      <c r="AL86" s="38" t="n">
        <v>0</v>
      </c>
      <c r="AM86" s="38" t="n">
        <v>0</v>
      </c>
      <c r="AN86" s="38">
        <f>0+60</f>
        <v/>
      </c>
      <c r="AO86" s="38" t="n">
        <v>60</v>
      </c>
      <c r="AP86" s="38" t="n">
        <v>32</v>
      </c>
      <c r="AQ86" s="38" t="n">
        <v>17</v>
      </c>
      <c r="AR86" s="38" t="n"/>
      <c r="AS86" s="38" t="n"/>
      <c r="AT86" s="38" t="n"/>
      <c r="AU86" s="38" t="n"/>
      <c r="AV86" s="38" t="n"/>
      <c r="AW86" s="38" t="n"/>
      <c r="AX86" s="38" t="n"/>
      <c r="AY86" s="38" t="n"/>
      <c r="AZ86" s="38" t="n"/>
      <c r="BA86" s="38" t="n">
        <v>0</v>
      </c>
      <c r="BB86" s="38" t="n">
        <v>0</v>
      </c>
      <c r="BC86" s="38" t="n">
        <v>0</v>
      </c>
      <c r="BD86" s="38" t="n">
        <v>0</v>
      </c>
      <c r="BE86" s="38" t="n">
        <v>0</v>
      </c>
      <c r="BF86" s="38" t="n">
        <v>0</v>
      </c>
      <c r="BG86" s="38" t="n">
        <v>0</v>
      </c>
      <c r="BH86" s="38" t="n">
        <v>0</v>
      </c>
      <c r="BI86" s="38" t="n">
        <v>0</v>
      </c>
      <c r="BJ86" s="38" t="n">
        <v>0</v>
      </c>
      <c r="BK86" s="38" t="n">
        <v>0</v>
      </c>
      <c r="BL86" s="38" t="n"/>
      <c r="BM86" s="38" t="n"/>
      <c r="BN86" s="38" t="n"/>
      <c r="BO86" s="38" t="n"/>
      <c r="BP86" s="38" t="n"/>
      <c r="BQ86" s="38" t="n"/>
      <c r="BR86" s="38" t="n"/>
      <c r="BS86" s="38" t="n"/>
      <c r="BT86" s="38" t="n"/>
      <c r="BU86" s="38" t="n"/>
      <c r="BV86" s="38" t="n"/>
      <c r="BW86" s="38" t="n"/>
      <c r="BX86" s="38" t="n"/>
      <c r="BY86" s="38" t="n"/>
      <c r="BZ86" s="38" t="n"/>
      <c r="CA86" s="38" t="n"/>
      <c r="CB86" s="246">
        <f>BZ86+IF(NOT(ISBLANK(OFFSET(CB86,0,6))),N(OFFSET(CB86,0,6)),N(OFFSET(CB86,0,7)))-CA86</f>
        <v/>
      </c>
      <c r="DX86" s="271" t="n"/>
      <c r="DY86" s="271" t="n"/>
      <c r="DZ86" s="271" t="n"/>
      <c r="GA86" s="314" t="n"/>
      <c r="GB86" s="314" t="n"/>
      <c r="GE86" s="314" t="n"/>
      <c r="GR86" s="314" t="n"/>
      <c r="GS86" s="314" t="n"/>
    </row>
    <row r="87" hidden="1">
      <c r="A87" s="33" t="inlineStr">
        <is>
          <t>TAG HP/25</t>
        </is>
      </c>
      <c r="B87" s="9" t="n">
        <v>100</v>
      </c>
      <c r="C87" s="662" t="n">
        <v>41</v>
      </c>
      <c r="D87" s="32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  <c r="AA87" s="4" t="n"/>
      <c r="AB87" s="4" t="n"/>
      <c r="AC87" s="4" t="n"/>
      <c r="AD87" s="4" t="n"/>
      <c r="AE87" s="4" t="n"/>
      <c r="AF87" s="4" t="n"/>
      <c r="AG87" s="4" t="n"/>
      <c r="AH87" s="4" t="n"/>
      <c r="AI87" s="4" t="n"/>
      <c r="AJ87" s="4" t="n"/>
      <c r="AK87" s="38" t="n">
        <v>0</v>
      </c>
      <c r="AL87" s="38" t="n">
        <v>0</v>
      </c>
      <c r="AM87" s="38" t="n">
        <v>0</v>
      </c>
      <c r="AN87" s="38">
        <f>0+60</f>
        <v/>
      </c>
      <c r="AO87" s="38" t="n">
        <v>60</v>
      </c>
      <c r="AP87" s="38" t="n">
        <v>32</v>
      </c>
      <c r="AQ87" s="38" t="n">
        <v>18</v>
      </c>
      <c r="AR87" s="38" t="n"/>
      <c r="AS87" s="38" t="n"/>
      <c r="AT87" s="38" t="n"/>
      <c r="AU87" s="38" t="n"/>
      <c r="AV87" s="38" t="n"/>
      <c r="AW87" s="38" t="n"/>
      <c r="AX87" s="38" t="n"/>
      <c r="AY87" s="38" t="n"/>
      <c r="AZ87" s="38" t="n"/>
      <c r="BA87" s="38" t="n">
        <v>0</v>
      </c>
      <c r="BB87" s="38" t="n">
        <v>0</v>
      </c>
      <c r="BC87" s="38" t="n">
        <v>0</v>
      </c>
      <c r="BD87" s="38" t="n">
        <v>0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38" t="n"/>
      <c r="BM87" s="38" t="n"/>
      <c r="BN87" s="38" t="n"/>
      <c r="BO87" s="38" t="n"/>
      <c r="BP87" s="38" t="n"/>
      <c r="BQ87" s="38" t="n"/>
      <c r="BR87" s="38" t="n"/>
      <c r="BS87" s="38" t="n"/>
      <c r="BT87" s="38" t="n"/>
      <c r="BU87" s="38" t="n"/>
      <c r="BV87" s="38" t="n"/>
      <c r="BW87" s="38" t="n"/>
      <c r="BX87" s="38" t="n"/>
      <c r="BY87" s="38" t="n"/>
      <c r="BZ87" s="38" t="n"/>
      <c r="CA87" s="38" t="n"/>
      <c r="CB87" s="246">
        <f>BZ87+IF(NOT(ISBLANK(OFFSET(CB87,0,6))),N(OFFSET(CB87,0,6)),N(OFFSET(CB87,0,7)))-CA87</f>
        <v/>
      </c>
      <c r="DX87" s="271" t="n"/>
      <c r="DY87" s="271" t="n"/>
      <c r="DZ87" s="271" t="n"/>
      <c r="GA87" s="314" t="n"/>
      <c r="GB87" s="314" t="n"/>
      <c r="GE87" s="314" t="n"/>
      <c r="GR87" s="314" t="n"/>
      <c r="GS87" s="314" t="n"/>
    </row>
    <row r="88" ht="19.5" customHeight="1">
      <c r="A88" s="33" t="inlineStr">
        <is>
          <t>CARTUCHO P HP/25</t>
        </is>
      </c>
      <c r="B88" s="9" t="n">
        <v>150</v>
      </c>
      <c r="C88" s="662" t="n">
        <v>478.5</v>
      </c>
      <c r="D88" s="32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  <c r="AA88" s="4" t="n"/>
      <c r="AB88" s="4" t="n"/>
      <c r="AC88" s="4" t="n"/>
      <c r="AD88" s="4" t="n"/>
      <c r="AE88" s="4" t="n"/>
      <c r="AF88" s="4" t="n"/>
      <c r="AG88" s="4" t="n"/>
      <c r="AH88" s="4" t="n"/>
      <c r="AI88" s="4" t="n"/>
      <c r="AJ88" s="4" t="n"/>
      <c r="AK88" s="38" t="n">
        <v>0</v>
      </c>
      <c r="AL88" s="38" t="n">
        <v>0</v>
      </c>
      <c r="AM88" s="38" t="n">
        <v>0</v>
      </c>
      <c r="AN88" s="38">
        <f>0+50</f>
        <v/>
      </c>
      <c r="AO88" s="38" t="n">
        <v>50</v>
      </c>
      <c r="AP88" s="38" t="n">
        <v>27</v>
      </c>
      <c r="AQ88" s="38" t="n">
        <v>12</v>
      </c>
      <c r="AR88" s="38" t="n"/>
      <c r="AS88" s="38" t="n"/>
      <c r="AT88" s="38" t="n"/>
      <c r="AU88" s="38" t="n"/>
      <c r="AV88" s="38" t="n"/>
      <c r="AW88" s="38" t="n"/>
      <c r="AX88" s="38" t="n"/>
      <c r="AY88" s="38" t="n"/>
      <c r="AZ88" s="38" t="n"/>
      <c r="BA88" s="38" t="n">
        <v>0</v>
      </c>
      <c r="BB88" s="38" t="n">
        <v>0</v>
      </c>
      <c r="BC88" s="38" t="n">
        <v>0</v>
      </c>
      <c r="BD88" s="38" t="n">
        <v>0</v>
      </c>
      <c r="BE88" s="38" t="n">
        <v>0</v>
      </c>
      <c r="BF88" s="38" t="n">
        <v>0</v>
      </c>
      <c r="BG88" s="38" t="n">
        <v>0</v>
      </c>
      <c r="BH88" s="38" t="n">
        <v>0</v>
      </c>
      <c r="BI88" s="261" t="n">
        <v>22</v>
      </c>
      <c r="BJ88" s="38" t="n">
        <v>22</v>
      </c>
      <c r="BK88" s="38" t="n">
        <v>22</v>
      </c>
      <c r="BL88" s="38" t="n">
        <v>22</v>
      </c>
      <c r="BM88" s="38" t="n">
        <v>22</v>
      </c>
      <c r="BN88" s="38" t="n">
        <v>22</v>
      </c>
      <c r="BO88" s="38" t="n">
        <v>22</v>
      </c>
      <c r="BP88" s="38" t="n">
        <v>22</v>
      </c>
      <c r="BQ88" s="38" t="n">
        <v>22</v>
      </c>
      <c r="BR88" s="38" t="n">
        <v>22</v>
      </c>
      <c r="BS88" s="38" t="n">
        <v>22</v>
      </c>
      <c r="BT88" s="38" t="n">
        <v>22</v>
      </c>
      <c r="BU88" s="38" t="n">
        <v>22</v>
      </c>
      <c r="BV88" s="38" t="n">
        <v>22</v>
      </c>
      <c r="BW88" s="38" t="n">
        <v>22</v>
      </c>
      <c r="BX88" s="38" t="n">
        <v>22</v>
      </c>
      <c r="BY88" s="38" t="n">
        <v>22</v>
      </c>
      <c r="BZ88" s="38" t="n">
        <v>22</v>
      </c>
      <c r="CA88" s="38" t="n">
        <v>0</v>
      </c>
      <c r="CB88" s="246">
        <f>BZ88+IF(NOT(ISBLANK(OFFSET(CB88,0,6))),N(OFFSET(CB88,0,6)),N(OFFSET(CB88,0,7)))-CA88</f>
        <v/>
      </c>
      <c r="DU88" s="49" t="n"/>
      <c r="DX88" s="271" t="n"/>
      <c r="DY88" s="271" t="n"/>
      <c r="DZ88" s="271" t="n"/>
      <c r="FD88" s="268" t="n"/>
      <c r="FG88" s="268" t="n"/>
      <c r="FM88" s="268" t="n"/>
      <c r="FR88" s="51" t="n"/>
      <c r="FV88" s="268" t="n"/>
      <c r="FZ88" s="268" t="n"/>
      <c r="GH88" s="51" t="n"/>
    </row>
    <row r="89" ht="19.5" customHeight="1">
      <c r="DU89" s="49" t="n"/>
      <c r="DX89" s="271" t="n"/>
      <c r="DY89" s="271" t="n"/>
      <c r="DZ89" s="271" t="n"/>
      <c r="FD89" s="268" t="n"/>
      <c r="FG89" s="268" t="n"/>
      <c r="FM89" s="268" t="n"/>
      <c r="FR89" s="51" t="n"/>
      <c r="FV89" s="268" t="n"/>
      <c r="FZ89" s="268" t="n"/>
      <c r="GH89" s="51" t="n"/>
    </row>
    <row r="90" ht="19.5" customHeight="1">
      <c r="A90" s="406" t="inlineStr">
        <is>
          <t>HOMEM ARANHA/25</t>
        </is>
      </c>
      <c r="B90" s="407" t="inlineStr">
        <is>
          <t>PC</t>
        </is>
      </c>
      <c r="C90" s="407" t="inlineStr">
        <is>
          <t>R$</t>
        </is>
      </c>
      <c r="D90" s="407" t="n"/>
      <c r="AY90" s="650" t="n">
        <v>45971</v>
      </c>
      <c r="AZ90" s="650" t="n">
        <v>45978</v>
      </c>
      <c r="BA90" s="650" t="n">
        <v>45985</v>
      </c>
      <c r="BB90" s="650" t="n">
        <v>45992</v>
      </c>
      <c r="BC90" s="650" t="n">
        <v>45999</v>
      </c>
      <c r="BD90" s="650" t="n">
        <v>46006</v>
      </c>
      <c r="BE90" s="650" t="n">
        <v>46013</v>
      </c>
      <c r="BF90" s="650" t="n">
        <v>46020</v>
      </c>
      <c r="BG90" s="650" t="n">
        <v>46027</v>
      </c>
      <c r="BH90" s="650" t="n">
        <v>46034</v>
      </c>
      <c r="BI90" s="650" t="n">
        <v>46041</v>
      </c>
      <c r="BJ90" s="650" t="n">
        <v>46048</v>
      </c>
      <c r="BK90" s="650" t="n">
        <v>46055</v>
      </c>
      <c r="BL90" s="650" t="n">
        <v>46062</v>
      </c>
      <c r="BM90" s="650" t="n">
        <v>46069</v>
      </c>
      <c r="BN90" s="650" t="n">
        <v>46076</v>
      </c>
      <c r="BO90" s="650" t="n">
        <v>46083</v>
      </c>
      <c r="BP90" s="650" t="n">
        <v>46090</v>
      </c>
      <c r="BQ90" s="650" t="n">
        <v>46097</v>
      </c>
      <c r="BR90" s="650" t="n">
        <v>46104</v>
      </c>
      <c r="BS90" s="650" t="n">
        <v>46111</v>
      </c>
      <c r="BT90" s="650" t="n">
        <v>46118</v>
      </c>
      <c r="BU90" s="650" t="n">
        <v>46125</v>
      </c>
      <c r="BV90" s="650" t="n">
        <v>46132</v>
      </c>
      <c r="BW90" s="650" t="n">
        <v>46139</v>
      </c>
      <c r="BX90" s="650" t="n">
        <v>46146</v>
      </c>
      <c r="BY90" s="650" t="n">
        <v>46154</v>
      </c>
      <c r="BZ90" s="650" t="n">
        <v>46160</v>
      </c>
      <c r="CA90" s="650" t="n">
        <v>46160</v>
      </c>
      <c r="CB90" s="660" t="inlineStr">
        <is>
          <t>USOU</t>
        </is>
      </c>
      <c r="DU90" s="49" t="n"/>
      <c r="DX90" s="271" t="n"/>
      <c r="DY90" s="271" t="n"/>
      <c r="DZ90" s="271" t="n"/>
      <c r="FD90" s="268" t="n"/>
      <c r="FG90" s="268" t="n"/>
      <c r="FM90" s="268" t="n"/>
      <c r="FR90" s="51" t="n"/>
      <c r="FV90" s="268" t="n"/>
      <c r="FZ90" s="268" t="n"/>
      <c r="GH90" s="51" t="n"/>
    </row>
    <row r="91" hidden="1" ht="19.5" customHeight="1">
      <c r="A91" s="33" t="inlineStr">
        <is>
          <t>SACOLA M</t>
        </is>
      </c>
      <c r="B91" s="9" t="n">
        <v>200</v>
      </c>
      <c r="C91" s="662" t="n">
        <v>479.2</v>
      </c>
      <c r="D91" s="329" t="n"/>
      <c r="AY91" s="38" t="n"/>
      <c r="AZ91" s="38" t="n"/>
      <c r="BA91" s="38" t="n">
        <v>0</v>
      </c>
      <c r="BB91" s="38" t="n">
        <v>0</v>
      </c>
      <c r="BC91" s="38" t="n">
        <v>0</v>
      </c>
      <c r="BD91" s="38" t="n">
        <v>0</v>
      </c>
      <c r="BE91" s="38" t="n">
        <v>0</v>
      </c>
      <c r="BF91" s="38" t="n">
        <v>0</v>
      </c>
      <c r="BG91" s="38" t="n">
        <v>0</v>
      </c>
      <c r="BH91" s="38" t="n">
        <v>0</v>
      </c>
      <c r="BI91" s="38" t="n">
        <v>0</v>
      </c>
      <c r="BJ91" s="38" t="n">
        <v>0</v>
      </c>
      <c r="BK91" s="38" t="n">
        <v>0</v>
      </c>
      <c r="BL91" s="38" t="n"/>
      <c r="BM91" s="38" t="n"/>
      <c r="BN91" s="38" t="n"/>
      <c r="BO91" s="38" t="n"/>
      <c r="BP91" s="38" t="n"/>
      <c r="BQ91" s="38" t="n"/>
      <c r="BR91" s="38" t="n"/>
      <c r="BS91" s="38" t="n"/>
      <c r="BT91" s="38" t="n"/>
      <c r="BU91" s="38" t="n"/>
      <c r="BV91" s="38" t="n"/>
      <c r="BW91" s="38" t="n"/>
      <c r="BX91" s="38" t="n"/>
      <c r="BY91" s="38" t="n">
        <v>0</v>
      </c>
      <c r="BZ91" s="38" t="n"/>
      <c r="CA91" s="38" t="n"/>
      <c r="CB91" s="246">
        <f>BZ91+IF(NOT(ISBLANK(OFFSET(CB91,0,6))),N(OFFSET(CB91,0,6)),N(OFFSET(CB91,0,7)))-CA91</f>
        <v/>
      </c>
      <c r="DU91" s="49" t="n"/>
      <c r="DX91" s="271" t="n"/>
      <c r="DY91" s="271" t="n"/>
      <c r="DZ91" s="271" t="n"/>
      <c r="FD91" s="268" t="n"/>
      <c r="FG91" s="268" t="n"/>
      <c r="FM91" s="268" t="n"/>
      <c r="FR91" s="51" t="n"/>
      <c r="FV91" s="268" t="n"/>
      <c r="FZ91" s="268" t="n"/>
      <c r="GH91" s="51" t="n"/>
    </row>
    <row r="92" hidden="1" ht="19.5" customHeight="1">
      <c r="A92" s="33" t="inlineStr">
        <is>
          <t>PAPEL DE SEDA</t>
        </is>
      </c>
      <c r="B92" s="9" t="n">
        <v>200</v>
      </c>
      <c r="C92" s="662" t="n">
        <v>45.47</v>
      </c>
      <c r="D92" s="329" t="n"/>
      <c r="AY92" s="38" t="n"/>
      <c r="AZ92" s="38" t="n"/>
      <c r="BA92" s="38" t="n">
        <v>0</v>
      </c>
      <c r="BB92" s="38" t="n">
        <v>0</v>
      </c>
      <c r="BC92" s="38" t="n">
        <v>0</v>
      </c>
      <c r="BD92" s="38" t="n">
        <v>0</v>
      </c>
      <c r="BE92" s="38" t="n">
        <v>0</v>
      </c>
      <c r="BF92" s="38" t="n">
        <v>0</v>
      </c>
      <c r="BG92" s="38" t="n">
        <v>0</v>
      </c>
      <c r="BH92" s="38" t="n">
        <v>0</v>
      </c>
      <c r="BI92" s="38" t="n">
        <v>0</v>
      </c>
      <c r="BJ92" s="38" t="n">
        <v>0</v>
      </c>
      <c r="BK92" s="38" t="n">
        <v>0</v>
      </c>
      <c r="BL92" s="38" t="n"/>
      <c r="BM92" s="38" t="n"/>
      <c r="BN92" s="38" t="n"/>
      <c r="BO92" s="38" t="n"/>
      <c r="BP92" s="38" t="n"/>
      <c r="BQ92" s="38" t="n"/>
      <c r="BR92" s="38" t="n"/>
      <c r="BS92" s="38" t="n"/>
      <c r="BT92" s="38" t="n"/>
      <c r="BU92" s="38" t="n"/>
      <c r="BV92" s="38" t="n"/>
      <c r="BW92" s="38" t="n"/>
      <c r="BX92" s="38" t="n"/>
      <c r="BY92" s="38" t="n">
        <v>0</v>
      </c>
      <c r="BZ92" s="38" t="n"/>
      <c r="CA92" s="38" t="n"/>
      <c r="CB92" s="246">
        <f>BZ92+IF(NOT(ISBLANK(OFFSET(CB92,0,6))),N(OFFSET(CB92,0,6)),N(OFFSET(CB92,0,7)))-CA92</f>
        <v/>
      </c>
      <c r="DU92" s="49" t="n"/>
      <c r="DX92" s="271" t="n"/>
      <c r="DY92" s="271" t="n"/>
      <c r="DZ92" s="271" t="n"/>
      <c r="FD92" s="268" t="n"/>
      <c r="FG92" s="268" t="n"/>
      <c r="FM92" s="268" t="n"/>
      <c r="FR92" s="51" t="n"/>
      <c r="FV92" s="268" t="n"/>
      <c r="FZ92" s="268" t="n"/>
      <c r="GH92" s="51" t="n"/>
    </row>
    <row r="93" ht="19.5" customHeight="1">
      <c r="A93" s="33" t="inlineStr">
        <is>
          <t>CAIXA M</t>
        </is>
      </c>
      <c r="B93" s="9" t="n">
        <v>100</v>
      </c>
      <c r="C93" s="662" t="n">
        <v>1490</v>
      </c>
      <c r="D93" s="329" t="n"/>
      <c r="AY93" s="38" t="n"/>
      <c r="AZ93" s="38" t="n"/>
      <c r="BA93" s="38" t="n">
        <v>17</v>
      </c>
      <c r="BB93" s="38" t="n">
        <v>17</v>
      </c>
      <c r="BC93" s="38" t="n">
        <v>16</v>
      </c>
      <c r="BD93" s="38" t="n">
        <v>16</v>
      </c>
      <c r="BE93" s="38" t="n">
        <v>0</v>
      </c>
      <c r="BF93" s="38" t="n">
        <v>0</v>
      </c>
      <c r="BG93" s="38" t="n">
        <v>0</v>
      </c>
      <c r="BH93" s="38" t="n">
        <v>0</v>
      </c>
      <c r="BI93" s="261" t="n">
        <v>16</v>
      </c>
      <c r="BJ93" s="38" t="n">
        <v>16</v>
      </c>
      <c r="BK93" s="38" t="n">
        <v>16</v>
      </c>
      <c r="BL93" s="38" t="n">
        <v>16</v>
      </c>
      <c r="BM93" s="38" t="n">
        <v>16</v>
      </c>
      <c r="BN93" s="38" t="n">
        <v>16</v>
      </c>
      <c r="BO93" s="38" t="n">
        <v>16</v>
      </c>
      <c r="BP93" s="38" t="n">
        <v>16</v>
      </c>
      <c r="BQ93" s="38" t="n">
        <v>16</v>
      </c>
      <c r="BR93" s="38" t="n">
        <v>16</v>
      </c>
      <c r="BS93" s="38" t="n">
        <v>16</v>
      </c>
      <c r="BT93" s="38" t="n">
        <v>16</v>
      </c>
      <c r="BU93" s="38" t="n">
        <v>16</v>
      </c>
      <c r="BV93" s="38" t="n">
        <v>16</v>
      </c>
      <c r="BW93" s="38" t="n">
        <v>16</v>
      </c>
      <c r="BX93" s="38" t="n">
        <v>16</v>
      </c>
      <c r="BY93" s="38" t="n">
        <v>16</v>
      </c>
      <c r="BZ93" s="38" t="n">
        <v>16</v>
      </c>
      <c r="CA93" s="38" t="n">
        <v>0</v>
      </c>
      <c r="CB93" s="246">
        <f>BZ93+IF(NOT(ISBLANK(OFFSET(CB93,0,6))),N(OFFSET(CB93,0,6)),N(OFFSET(CB93,0,7)))-CA93</f>
        <v/>
      </c>
      <c r="DU93" s="49" t="n"/>
      <c r="DX93" s="271" t="n"/>
      <c r="DY93" s="271" t="n"/>
      <c r="DZ93" s="271" t="n"/>
      <c r="FD93" s="268" t="n"/>
      <c r="FG93" s="268" t="n"/>
      <c r="FM93" s="268" t="n"/>
      <c r="FR93" s="51" t="n"/>
      <c r="FV93" s="268" t="n"/>
      <c r="FZ93" s="268" t="n"/>
      <c r="GH93" s="51" t="n"/>
    </row>
    <row r="94" ht="19.5" customHeight="1">
      <c r="DU94" s="49" t="n"/>
      <c r="DX94" s="271" t="n"/>
      <c r="DY94" s="271" t="n"/>
      <c r="DZ94" s="271" t="n"/>
      <c r="FD94" s="268" t="n"/>
      <c r="FG94" s="268" t="n"/>
      <c r="FM94" s="268" t="n"/>
      <c r="FR94" s="51" t="n"/>
      <c r="FV94" s="268" t="n"/>
      <c r="FZ94" s="268" t="n"/>
      <c r="GH94" s="51" t="n"/>
    </row>
    <row r="95" ht="19.5" customHeight="1">
      <c r="A95" s="408" t="inlineStr">
        <is>
          <t>EUDORA NATAL/25</t>
        </is>
      </c>
      <c r="B95" s="409" t="inlineStr">
        <is>
          <t>PC</t>
        </is>
      </c>
      <c r="C95" s="409" t="inlineStr">
        <is>
          <t>R$</t>
        </is>
      </c>
      <c r="D95" s="409" t="n"/>
      <c r="AY95" s="650" t="n">
        <v>45971</v>
      </c>
      <c r="AZ95" s="650" t="n">
        <v>45978</v>
      </c>
      <c r="BA95" s="650" t="n">
        <v>45985</v>
      </c>
      <c r="BB95" s="650" t="n">
        <v>45992</v>
      </c>
      <c r="BC95" s="650" t="n">
        <v>45999</v>
      </c>
      <c r="BD95" s="650" t="n">
        <v>46006</v>
      </c>
      <c r="BE95" s="650" t="n">
        <v>46013</v>
      </c>
      <c r="BF95" s="650" t="n">
        <v>46020</v>
      </c>
      <c r="BG95" s="650" t="n">
        <v>46027</v>
      </c>
      <c r="BH95" s="650" t="n">
        <v>46034</v>
      </c>
      <c r="BI95" s="650" t="n">
        <v>46041</v>
      </c>
      <c r="BJ95" s="650" t="n">
        <v>46048</v>
      </c>
      <c r="BK95" s="650" t="n">
        <v>46055</v>
      </c>
      <c r="BL95" s="650" t="n">
        <v>46062</v>
      </c>
      <c r="BM95" s="650" t="n">
        <v>46069</v>
      </c>
      <c r="BN95" s="650" t="n">
        <v>46076</v>
      </c>
      <c r="BO95" s="650" t="n">
        <v>46083</v>
      </c>
      <c r="BP95" s="650" t="n">
        <v>46090</v>
      </c>
      <c r="BQ95" s="650" t="n">
        <v>46097</v>
      </c>
      <c r="BR95" s="650" t="n">
        <v>46104</v>
      </c>
      <c r="BS95" s="650" t="n">
        <v>46111</v>
      </c>
      <c r="BT95" s="650" t="n">
        <v>46118</v>
      </c>
      <c r="BU95" s="650" t="n">
        <v>46125</v>
      </c>
      <c r="BV95" s="650" t="n">
        <v>46132</v>
      </c>
      <c r="BW95" s="650" t="n">
        <v>46139</v>
      </c>
      <c r="BX95" s="650" t="n">
        <v>46146</v>
      </c>
      <c r="BY95" s="650" t="n">
        <v>46154</v>
      </c>
      <c r="BZ95" s="650" t="n">
        <v>46160</v>
      </c>
      <c r="CA95" s="650" t="n">
        <v>46160</v>
      </c>
      <c r="CB95" s="660" t="inlineStr">
        <is>
          <t>USOU</t>
        </is>
      </c>
      <c r="DU95" s="49" t="n"/>
      <c r="DX95" s="271" t="n"/>
      <c r="DY95" s="271" t="n"/>
      <c r="DZ95" s="271" t="n"/>
      <c r="FD95" s="268" t="n"/>
      <c r="FG95" s="268" t="n"/>
      <c r="FM95" s="268" t="n"/>
      <c r="FR95" s="51" t="n"/>
      <c r="FV95" s="268" t="n"/>
      <c r="FZ95" s="268" t="n"/>
      <c r="GH95" s="51" t="n"/>
    </row>
    <row r="96" ht="19.5" customHeight="1">
      <c r="A96" s="33" t="inlineStr">
        <is>
          <t xml:space="preserve">SACOLA M </t>
        </is>
      </c>
      <c r="B96" s="9" t="n">
        <v>200</v>
      </c>
      <c r="C96" s="662" t="n">
        <v>336</v>
      </c>
      <c r="D96" s="329" t="n"/>
      <c r="AY96" s="38" t="n"/>
      <c r="AZ96" s="38" t="n"/>
      <c r="BA96" s="38" t="n">
        <v>802</v>
      </c>
      <c r="BB96" s="38" t="n">
        <v>730</v>
      </c>
      <c r="BC96" s="38" t="n">
        <v>730</v>
      </c>
      <c r="BD96" s="38" t="n">
        <v>716</v>
      </c>
      <c r="BE96" s="38" t="n">
        <v>698</v>
      </c>
      <c r="BF96" s="38" t="n">
        <v>698</v>
      </c>
      <c r="BG96" s="38" t="n">
        <v>698</v>
      </c>
      <c r="BH96" s="38" t="n">
        <v>558</v>
      </c>
      <c r="BI96" s="38" t="n">
        <v>558</v>
      </c>
      <c r="BJ96" s="38" t="n">
        <v>540</v>
      </c>
      <c r="BK96" s="261" t="n">
        <v>884</v>
      </c>
      <c r="BL96" s="38" t="n">
        <v>884</v>
      </c>
      <c r="BM96" s="38" t="n">
        <v>884</v>
      </c>
      <c r="BN96" s="38" t="n">
        <v>883</v>
      </c>
      <c r="BO96" s="38" t="n">
        <v>878</v>
      </c>
      <c r="BP96" s="261" t="n">
        <v>60</v>
      </c>
      <c r="BQ96" s="38" t="n">
        <v>60</v>
      </c>
      <c r="BR96" s="38" t="n">
        <v>60</v>
      </c>
      <c r="BS96" s="38" t="n">
        <v>0</v>
      </c>
      <c r="BT96" s="38" t="n"/>
      <c r="BU96" s="38" t="n"/>
      <c r="BV96" s="38" t="n"/>
      <c r="BW96" s="38" t="n">
        <v>0</v>
      </c>
      <c r="BX96" s="38" t="n">
        <v>0</v>
      </c>
      <c r="BY96" s="38" t="n">
        <v>0</v>
      </c>
      <c r="BZ96" s="38" t="n">
        <v>0</v>
      </c>
      <c r="CA96" s="38" t="n">
        <v>0</v>
      </c>
      <c r="CB96" s="246">
        <f>BZ96+IF(NOT(ISBLANK(OFFSET(CB96,0,6))),N(OFFSET(CB96,0,6)),N(OFFSET(CB96,0,7)))-CA96</f>
        <v/>
      </c>
      <c r="DU96" s="49" t="n"/>
      <c r="DX96" s="271" t="n"/>
      <c r="DY96" s="271" t="n"/>
      <c r="DZ96" s="271" t="n"/>
      <c r="FD96" s="268" t="n"/>
      <c r="FG96" s="268" t="n"/>
      <c r="FM96" s="268" t="n"/>
      <c r="FR96" s="51" t="n"/>
      <c r="FV96" s="268" t="n"/>
      <c r="FZ96" s="268" t="n"/>
      <c r="GH96" s="51" t="n"/>
    </row>
    <row r="97" ht="19.5" customHeight="1">
      <c r="A97" s="33" t="inlineStr">
        <is>
          <t>PAPEL DE SEDA</t>
        </is>
      </c>
      <c r="B97" s="9" t="n">
        <v>200</v>
      </c>
      <c r="C97" s="662" t="n">
        <v>54</v>
      </c>
      <c r="D97" s="329" t="n"/>
      <c r="AY97" s="38" t="n"/>
      <c r="AZ97" s="38" t="n"/>
      <c r="BA97" s="38" t="n">
        <v>0</v>
      </c>
      <c r="BB97" s="38" t="n">
        <v>0</v>
      </c>
      <c r="BC97" s="38" t="n">
        <v>0</v>
      </c>
      <c r="BD97" s="38" t="n">
        <v>0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>
        <v>0</v>
      </c>
      <c r="BK97" s="38" t="n">
        <v>0</v>
      </c>
      <c r="BL97" s="38" t="n">
        <v>0</v>
      </c>
      <c r="BM97" s="38" t="n">
        <v>0</v>
      </c>
      <c r="BN97" s="38" t="n">
        <v>0</v>
      </c>
      <c r="BO97" s="38" t="n">
        <v>0</v>
      </c>
      <c r="BP97" s="38" t="n">
        <v>0</v>
      </c>
      <c r="BQ97" s="38" t="n">
        <v>0</v>
      </c>
      <c r="BR97" s="38" t="n">
        <v>0</v>
      </c>
      <c r="BS97" s="38" t="n">
        <v>0</v>
      </c>
      <c r="BT97" s="38" t="n"/>
      <c r="BU97" s="38" t="n"/>
      <c r="BV97" s="38" t="n"/>
      <c r="BW97" s="38" t="n">
        <v>0</v>
      </c>
      <c r="BX97" s="38" t="n">
        <v>0</v>
      </c>
      <c r="BY97" s="38" t="n">
        <v>0</v>
      </c>
      <c r="BZ97" s="38" t="n">
        <v>0</v>
      </c>
      <c r="CA97" s="38" t="n">
        <v>0</v>
      </c>
      <c r="CB97" s="246">
        <f>BZ97+IF(NOT(ISBLANK(OFFSET(CB97,0,6))),N(OFFSET(CB97,0,6)),N(OFFSET(CB97,0,7)))-CA97</f>
        <v/>
      </c>
      <c r="DU97" s="49" t="n"/>
      <c r="DX97" s="271" t="n"/>
      <c r="DY97" s="271" t="n"/>
      <c r="DZ97" s="271" t="n"/>
      <c r="FD97" s="268" t="n"/>
      <c r="FG97" s="268" t="n"/>
      <c r="FM97" s="268" t="n"/>
      <c r="FR97" s="51" t="n"/>
      <c r="FV97" s="268" t="n"/>
      <c r="FZ97" s="268" t="n"/>
      <c r="GH97" s="51" t="n"/>
    </row>
    <row r="98" ht="19.5" customHeight="1">
      <c r="A98" s="33" t="inlineStr">
        <is>
          <t>KIT TAG 10 C/ 20</t>
        </is>
      </c>
      <c r="B98" s="9" t="n">
        <v>200</v>
      </c>
      <c r="C98" s="662" t="n">
        <v>40</v>
      </c>
      <c r="D98" s="329" t="n"/>
      <c r="AY98" s="38" t="n"/>
      <c r="AZ98" s="38" t="n"/>
      <c r="BA98" s="38" t="n">
        <v>0</v>
      </c>
      <c r="BB98" s="38" t="n">
        <v>0</v>
      </c>
      <c r="BC98" s="38" t="n">
        <v>0</v>
      </c>
      <c r="BD98" s="38" t="n">
        <v>0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>
        <v>0</v>
      </c>
      <c r="BK98" s="38" t="n">
        <v>0</v>
      </c>
      <c r="BL98" s="38" t="n">
        <v>0</v>
      </c>
      <c r="BM98" s="38" t="n">
        <v>0</v>
      </c>
      <c r="BN98" s="38" t="n">
        <v>0</v>
      </c>
      <c r="BO98" s="38" t="n">
        <v>0</v>
      </c>
      <c r="BP98" s="38" t="n">
        <v>0</v>
      </c>
      <c r="BQ98" s="38" t="n">
        <v>0</v>
      </c>
      <c r="BR98" s="38" t="n">
        <v>0</v>
      </c>
      <c r="BS98" s="38" t="n">
        <v>0</v>
      </c>
      <c r="BT98" s="38" t="n"/>
      <c r="BU98" s="38" t="n"/>
      <c r="BV98" s="38" t="n"/>
      <c r="BW98" s="38" t="n">
        <v>0</v>
      </c>
      <c r="BX98" s="38" t="n">
        <v>0</v>
      </c>
      <c r="BY98" s="38" t="n">
        <v>0</v>
      </c>
      <c r="BZ98" s="38" t="n">
        <v>0</v>
      </c>
      <c r="CA98" s="38" t="n">
        <v>0</v>
      </c>
      <c r="CB98" s="246">
        <f>BZ98+IF(NOT(ISBLANK(OFFSET(CB98,0,6))),N(OFFSET(CB98,0,6)),N(OFFSET(CB98,0,7)))-CA98</f>
        <v/>
      </c>
      <c r="DU98" s="49" t="n"/>
      <c r="DX98" s="271" t="n"/>
      <c r="DY98" s="271" t="n"/>
      <c r="DZ98" s="271" t="n"/>
      <c r="FD98" s="268" t="n"/>
      <c r="FG98" s="268" t="n"/>
      <c r="FM98" s="268" t="n"/>
      <c r="FR98" s="51" t="n"/>
      <c r="FV98" s="268" t="n"/>
      <c r="FZ98" s="268" t="n"/>
      <c r="GH98" s="51" t="n"/>
    </row>
    <row r="99" ht="19.5" customHeight="1">
      <c r="A99" s="238" t="inlineStr">
        <is>
          <t>CAIXA M</t>
        </is>
      </c>
      <c r="B99" s="36" t="n">
        <v>100</v>
      </c>
      <c r="C99" s="668" t="n">
        <v>904</v>
      </c>
      <c r="D99" s="36" t="n"/>
      <c r="AY99" s="38" t="n"/>
      <c r="AZ99" s="38" t="n"/>
      <c r="BA99" s="38" t="n">
        <v>140</v>
      </c>
      <c r="BB99" s="38" t="n">
        <v>140</v>
      </c>
      <c r="BC99" s="38" t="n">
        <v>140</v>
      </c>
      <c r="BD99" s="38" t="n">
        <v>140</v>
      </c>
      <c r="BE99" s="38" t="n">
        <v>109</v>
      </c>
      <c r="BF99" s="38" t="n">
        <v>97</v>
      </c>
      <c r="BG99" s="38" t="n">
        <v>96</v>
      </c>
      <c r="BH99" s="38" t="n">
        <v>73</v>
      </c>
      <c r="BI99" s="38" t="n">
        <v>72</v>
      </c>
      <c r="BJ99" s="38" t="n">
        <v>69</v>
      </c>
      <c r="BK99" s="38" t="n">
        <v>69</v>
      </c>
      <c r="BL99" s="38" t="n">
        <v>57</v>
      </c>
      <c r="BM99" s="38" t="n">
        <v>48</v>
      </c>
      <c r="BN99" s="38" t="n">
        <v>48</v>
      </c>
      <c r="BO99" s="38" t="n">
        <v>46</v>
      </c>
      <c r="BP99" s="38" t="n">
        <v>45</v>
      </c>
      <c r="BQ99" s="38" t="n">
        <v>0</v>
      </c>
      <c r="BR99" s="38" t="n">
        <v>0</v>
      </c>
      <c r="BS99" s="38" t="n">
        <v>0</v>
      </c>
      <c r="BT99" s="38" t="n"/>
      <c r="BU99" s="38" t="n"/>
      <c r="BV99" s="38" t="n"/>
      <c r="BW99" s="38" t="n">
        <v>8</v>
      </c>
      <c r="BX99" s="38" t="n">
        <v>8</v>
      </c>
      <c r="BY99" s="38" t="n">
        <v>28</v>
      </c>
      <c r="BZ99" s="38" t="n">
        <v>27</v>
      </c>
      <c r="CA99" s="38" t="n">
        <v>27</v>
      </c>
      <c r="CB99" s="246">
        <f>BZ99+IF(NOT(ISBLANK(OFFSET(CB99,0,6))),N(OFFSET(CB99,0,6)),N(OFFSET(CB99,0,7)))-CA99</f>
        <v/>
      </c>
      <c r="DU99" s="49" t="n"/>
      <c r="DX99" s="271" t="n"/>
      <c r="DY99" s="271" t="n"/>
      <c r="DZ99" s="271" t="n"/>
      <c r="FD99" s="268" t="n"/>
      <c r="FG99" s="268" t="n"/>
      <c r="FM99" s="268" t="n"/>
      <c r="FR99" s="51" t="n"/>
      <c r="FV99" s="268" t="n"/>
      <c r="FZ99" s="268" t="n"/>
      <c r="GH99" s="51" t="n"/>
    </row>
    <row r="100" ht="19.5" customHeight="1">
      <c r="A100" s="238" t="inlineStr">
        <is>
          <t>CARTUCHO P</t>
        </is>
      </c>
      <c r="B100" s="36" t="n">
        <v>200</v>
      </c>
      <c r="C100" s="668" t="n">
        <v>464</v>
      </c>
      <c r="D100" s="36" t="n"/>
      <c r="AY100" s="38" t="n"/>
      <c r="AZ100" s="38" t="n"/>
      <c r="BA100" s="38" t="n">
        <v>100</v>
      </c>
      <c r="BB100" s="38" t="n">
        <v>100</v>
      </c>
      <c r="BC100" s="38" t="n">
        <v>100</v>
      </c>
      <c r="BD100" s="38" t="n">
        <v>100</v>
      </c>
      <c r="BE100" s="38" t="n">
        <v>98</v>
      </c>
      <c r="BF100" s="38" t="n">
        <v>63</v>
      </c>
      <c r="BG100" s="38" t="n">
        <v>63</v>
      </c>
      <c r="BH100" s="38" t="n">
        <v>63</v>
      </c>
      <c r="BI100" s="38" t="n">
        <v>56</v>
      </c>
      <c r="BJ100" s="38" t="n">
        <v>56</v>
      </c>
      <c r="BK100" s="38" t="n">
        <v>56</v>
      </c>
      <c r="BL100" s="38" t="n">
        <v>56</v>
      </c>
      <c r="BM100" s="38" t="n">
        <v>60</v>
      </c>
      <c r="BN100" s="38" t="n">
        <v>60</v>
      </c>
      <c r="BO100" s="38" t="n">
        <v>60</v>
      </c>
      <c r="BP100" s="261" t="n">
        <v>7</v>
      </c>
      <c r="BQ100" s="38" t="n">
        <v>7</v>
      </c>
      <c r="BR100" s="38" t="n">
        <v>7</v>
      </c>
      <c r="BS100" s="38" t="n">
        <v>7</v>
      </c>
      <c r="BT100" s="38" t="n"/>
      <c r="BU100" s="38" t="n"/>
      <c r="BV100" s="38" t="n"/>
      <c r="BW100" s="38" t="n">
        <v>7</v>
      </c>
      <c r="BX100" s="38" t="n">
        <v>7</v>
      </c>
      <c r="BY100" s="38" t="n">
        <v>7</v>
      </c>
      <c r="BZ100" s="38" t="n">
        <v>7</v>
      </c>
      <c r="CA100" s="38" t="n">
        <v>7</v>
      </c>
      <c r="CB100" s="246">
        <f>BZ100+IF(NOT(ISBLANK(OFFSET(CB100,0,6))),N(OFFSET(CB100,0,6)),N(OFFSET(CB100,0,7)))-CA100</f>
        <v/>
      </c>
      <c r="DU100" s="49" t="n"/>
      <c r="DX100" s="271" t="n"/>
      <c r="DY100" s="271" t="n"/>
      <c r="DZ100" s="271" t="n"/>
      <c r="FD100" s="268" t="n"/>
      <c r="FG100" s="268" t="n"/>
      <c r="FM100" s="268" t="n"/>
      <c r="FR100" s="51" t="n"/>
      <c r="FV100" s="268" t="n"/>
      <c r="FZ100" s="268" t="n"/>
      <c r="GH100" s="51" t="n"/>
    </row>
    <row r="101" ht="15" customHeight="1">
      <c r="DU101" s="49" t="n"/>
      <c r="DX101" s="271" t="n"/>
      <c r="DY101" s="271" t="n"/>
      <c r="DZ101" s="271" t="n"/>
      <c r="FD101" s="268" t="n"/>
      <c r="FG101" s="268" t="n"/>
      <c r="FM101" s="268" t="n"/>
      <c r="FR101" s="51" t="n"/>
      <c r="FV101" s="268" t="n"/>
      <c r="FZ101" s="268" t="n"/>
      <c r="GH101" s="51" t="n"/>
    </row>
    <row r="102" hidden="1" ht="19.5" customHeight="1">
      <c r="A102" s="410" t="inlineStr">
        <is>
          <t>BOTICÁRIO NATAL/25</t>
        </is>
      </c>
      <c r="B102" s="357" t="inlineStr">
        <is>
          <t>PC</t>
        </is>
      </c>
      <c r="C102" s="357" t="inlineStr">
        <is>
          <t>R$</t>
        </is>
      </c>
      <c r="D102" s="357" t="n"/>
      <c r="AY102" s="650" t="n">
        <v>45971</v>
      </c>
      <c r="AZ102" s="650" t="n">
        <v>45978</v>
      </c>
      <c r="BA102" s="650" t="n">
        <v>45985</v>
      </c>
      <c r="BB102" s="650" t="n">
        <v>45992</v>
      </c>
      <c r="BC102" s="650" t="n">
        <v>45999</v>
      </c>
      <c r="BD102" s="650" t="n">
        <v>46006</v>
      </c>
      <c r="BE102" s="650" t="n">
        <v>46013</v>
      </c>
      <c r="BF102" s="650" t="n">
        <v>46020</v>
      </c>
      <c r="BG102" s="650" t="n">
        <v>46027</v>
      </c>
      <c r="BH102" s="650" t="n">
        <v>46034</v>
      </c>
      <c r="BI102" s="650" t="n">
        <v>46041</v>
      </c>
      <c r="BJ102" s="650" t="n">
        <v>46048</v>
      </c>
      <c r="BK102" s="650" t="n"/>
      <c r="BL102" s="650" t="n"/>
      <c r="BM102" s="650" t="n"/>
      <c r="BN102" s="650" t="n"/>
      <c r="BO102" s="650" t="n"/>
      <c r="BP102" s="650" t="n"/>
      <c r="BQ102" s="650" t="n"/>
      <c r="BR102" s="650" t="n"/>
      <c r="BS102" s="650" t="n"/>
      <c r="BT102" s="650" t="n"/>
      <c r="BU102" s="650" t="n"/>
      <c r="BV102" s="650" t="n"/>
      <c r="BW102" s="650" t="n"/>
      <c r="BX102" s="650" t="n"/>
      <c r="BY102" s="650" t="n"/>
      <c r="BZ102" s="650" t="n"/>
      <c r="CA102" s="650" t="n"/>
      <c r="CB102" s="660" t="inlineStr">
        <is>
          <t>USOU</t>
        </is>
      </c>
      <c r="DU102" s="49" t="n"/>
      <c r="DX102" s="271" t="n"/>
      <c r="DY102" s="271" t="n"/>
      <c r="DZ102" s="271" t="n"/>
      <c r="FD102" s="268" t="n"/>
      <c r="FG102" s="268" t="n"/>
      <c r="FM102" s="268" t="n"/>
      <c r="FR102" s="51" t="n"/>
      <c r="FV102" s="268" t="n"/>
      <c r="FZ102" s="268" t="n"/>
      <c r="GH102" s="51" t="n"/>
    </row>
    <row r="103" hidden="1" ht="19.5" customHeight="1">
      <c r="A103" s="33" t="inlineStr">
        <is>
          <t>SACOLA P</t>
        </is>
      </c>
      <c r="B103" s="9" t="n">
        <v>200</v>
      </c>
      <c r="C103" s="662" t="n">
        <v>274.2</v>
      </c>
      <c r="D103" s="329" t="n"/>
      <c r="AY103" s="38" t="n"/>
      <c r="AZ103" s="38" t="n"/>
      <c r="BA103" s="38" t="n">
        <v>117</v>
      </c>
      <c r="BB103" s="38" t="n">
        <v>117</v>
      </c>
      <c r="BC103" s="38" t="n">
        <v>118</v>
      </c>
      <c r="BD103" s="38" t="n">
        <v>118</v>
      </c>
      <c r="BE103" s="38" t="n">
        <v>10</v>
      </c>
      <c r="BF103" s="38" t="n">
        <v>10</v>
      </c>
      <c r="BG103" s="38" t="n">
        <v>10</v>
      </c>
      <c r="BH103" s="38" t="n">
        <v>0</v>
      </c>
      <c r="BI103" s="38" t="n">
        <v>0</v>
      </c>
      <c r="BJ103" s="38" t="n">
        <v>0</v>
      </c>
      <c r="BK103" s="38" t="n"/>
      <c r="BL103" s="38" t="n"/>
      <c r="BM103" s="38" t="n"/>
      <c r="BN103" s="38" t="n"/>
      <c r="BO103" s="38" t="n"/>
      <c r="BP103" s="38" t="n"/>
      <c r="BQ103" s="38" t="n"/>
      <c r="BR103" s="38" t="n"/>
      <c r="BS103" s="38" t="n"/>
      <c r="BT103" s="38" t="n"/>
      <c r="BU103" s="38" t="n"/>
      <c r="BV103" s="38" t="n"/>
      <c r="BW103" s="38" t="n"/>
      <c r="BX103" s="38" t="n"/>
      <c r="BY103" s="38" t="n"/>
      <c r="BZ103" s="38" t="n"/>
      <c r="CA103" s="38" t="n"/>
      <c r="CB103" s="246">
        <f>BZ103+IF(NOT(ISBLANK(OFFSET(CB103,0,6))),N(OFFSET(CB103,0,6)),N(OFFSET(CB103,0,7)))-CA103</f>
        <v/>
      </c>
      <c r="DU103" s="49" t="n"/>
      <c r="DX103" s="271" t="n"/>
      <c r="DY103" s="271" t="n"/>
      <c r="DZ103" s="271" t="n"/>
      <c r="FD103" s="268" t="n"/>
      <c r="FG103" s="268" t="n"/>
      <c r="FM103" s="268" t="n"/>
      <c r="FR103" s="51" t="n"/>
      <c r="FV103" s="268" t="n"/>
      <c r="FZ103" s="268" t="n"/>
      <c r="GH103" s="51" t="n"/>
    </row>
    <row r="104" hidden="1" ht="19.5" customHeight="1">
      <c r="A104" s="33" t="inlineStr">
        <is>
          <t>SACOLA M</t>
        </is>
      </c>
      <c r="B104" s="9" t="n">
        <v>200</v>
      </c>
      <c r="C104" s="662" t="n">
        <v>347.8</v>
      </c>
      <c r="D104" s="329" t="n"/>
      <c r="AY104" s="38" t="n"/>
      <c r="AZ104" s="38" t="n"/>
      <c r="BA104" s="38" t="n">
        <v>121</v>
      </c>
      <c r="BB104" s="38" t="n">
        <v>121</v>
      </c>
      <c r="BC104" s="38" t="n">
        <v>116</v>
      </c>
      <c r="BD104" s="38" t="n">
        <v>116</v>
      </c>
      <c r="BE104" s="38" t="n">
        <v>0</v>
      </c>
      <c r="BF104" s="38" t="n">
        <v>0</v>
      </c>
      <c r="BG104" s="38" t="n">
        <v>0</v>
      </c>
      <c r="BH104" s="38" t="n">
        <v>0</v>
      </c>
      <c r="BI104" s="38" t="n">
        <v>0</v>
      </c>
      <c r="BJ104" s="38" t="n">
        <v>0</v>
      </c>
      <c r="BK104" s="38" t="n"/>
      <c r="BL104" s="38" t="n"/>
      <c r="BM104" s="38" t="n"/>
      <c r="BN104" s="38" t="n"/>
      <c r="BO104" s="38" t="n"/>
      <c r="BP104" s="38" t="n"/>
      <c r="BQ104" s="38" t="n"/>
      <c r="BR104" s="38" t="n"/>
      <c r="BS104" s="38" t="n"/>
      <c r="BT104" s="38" t="n"/>
      <c r="BU104" s="38" t="n"/>
      <c r="BV104" s="38" t="n"/>
      <c r="BW104" s="38" t="n"/>
      <c r="BX104" s="38" t="n"/>
      <c r="BY104" s="38" t="n"/>
      <c r="BZ104" s="38" t="n"/>
      <c r="CA104" s="38" t="n"/>
      <c r="CB104" s="246">
        <f>BZ104+IF(NOT(ISBLANK(OFFSET(CB104,0,6))),N(OFFSET(CB104,0,6)),N(OFFSET(CB104,0,7)))-CA104</f>
        <v/>
      </c>
      <c r="DU104" s="49" t="n"/>
      <c r="DX104" s="271" t="n"/>
      <c r="DY104" s="271" t="n"/>
      <c r="DZ104" s="271" t="n"/>
      <c r="FD104" s="268" t="n"/>
      <c r="FG104" s="268" t="n"/>
      <c r="FM104" s="268" t="n"/>
      <c r="FR104" s="51" t="n"/>
      <c r="FV104" s="268" t="n"/>
      <c r="FZ104" s="268" t="n"/>
      <c r="GH104" s="51" t="n"/>
    </row>
    <row r="105" hidden="1" ht="19.5" customHeight="1">
      <c r="A105" s="33" t="inlineStr">
        <is>
          <t>SACOLA G</t>
        </is>
      </c>
      <c r="B105" s="9" t="n">
        <v>100</v>
      </c>
      <c r="C105" s="662" t="n">
        <v>267</v>
      </c>
      <c r="D105" s="329" t="n"/>
      <c r="AY105" s="38" t="n"/>
      <c r="AZ105" s="38" t="n"/>
      <c r="BA105" s="38" t="n">
        <v>0</v>
      </c>
      <c r="BB105" s="38" t="n">
        <v>0</v>
      </c>
      <c r="BC105" s="38" t="n">
        <v>0</v>
      </c>
      <c r="BD105" s="38" t="n">
        <v>0</v>
      </c>
      <c r="BE105" s="38" t="n">
        <v>0</v>
      </c>
      <c r="BF105" s="38" t="n">
        <v>0</v>
      </c>
      <c r="BG105" s="38" t="n">
        <v>0</v>
      </c>
      <c r="BH105" s="38" t="n">
        <v>0</v>
      </c>
      <c r="BI105" s="38" t="n">
        <v>0</v>
      </c>
      <c r="BJ105" s="38" t="n">
        <v>0</v>
      </c>
      <c r="BK105" s="38" t="n"/>
      <c r="BL105" s="38" t="n"/>
      <c r="BM105" s="38" t="n"/>
      <c r="BN105" s="38" t="n"/>
      <c r="BO105" s="38" t="n"/>
      <c r="BP105" s="38" t="n"/>
      <c r="BQ105" s="38" t="n"/>
      <c r="BR105" s="38" t="n"/>
      <c r="BS105" s="38" t="n"/>
      <c r="BT105" s="38" t="n"/>
      <c r="BU105" s="38" t="n"/>
      <c r="BV105" s="38" t="n"/>
      <c r="BW105" s="38" t="n"/>
      <c r="BX105" s="38" t="n"/>
      <c r="BY105" s="38" t="n"/>
      <c r="BZ105" s="38" t="n"/>
      <c r="CA105" s="38" t="n"/>
      <c r="CB105" s="246">
        <f>BZ105+IF(NOT(ISBLANK(OFFSET(CB105,0,6))),N(OFFSET(CB105,0,6)),N(OFFSET(CB105,0,7)))-CA105</f>
        <v/>
      </c>
      <c r="DU105" s="49" t="n"/>
      <c r="DX105" s="271" t="n"/>
      <c r="DY105" s="271" t="n"/>
      <c r="DZ105" s="271" t="n"/>
      <c r="FD105" s="268" t="n"/>
      <c r="FG105" s="268" t="n"/>
      <c r="FM105" s="268" t="n"/>
      <c r="FR105" s="51" t="n"/>
      <c r="FV105" s="268" t="n"/>
      <c r="FZ105" s="268" t="n"/>
      <c r="GH105" s="51" t="n"/>
    </row>
    <row r="106" hidden="1" ht="19.5" customHeight="1">
      <c r="A106" s="238" t="inlineStr">
        <is>
          <t>KIT PAPEL DE SEDA 10 C/ 20</t>
        </is>
      </c>
      <c r="B106" s="36" t="n">
        <v>200</v>
      </c>
      <c r="C106" s="668" t="n">
        <v>44.4</v>
      </c>
      <c r="D106" s="36" t="n"/>
      <c r="AY106" s="38" t="n"/>
      <c r="AZ106" s="38" t="n"/>
      <c r="BA106" s="38" t="n">
        <v>220</v>
      </c>
      <c r="BB106" s="38" t="n">
        <v>220</v>
      </c>
      <c r="BC106" s="38" t="n">
        <v>219</v>
      </c>
      <c r="BD106" s="38" t="n">
        <v>214</v>
      </c>
      <c r="BE106" s="38" t="n">
        <v>0</v>
      </c>
      <c r="BF106" s="38" t="n">
        <v>0</v>
      </c>
      <c r="BG106" s="38" t="n">
        <v>0</v>
      </c>
      <c r="BH106" s="38" t="n">
        <v>0</v>
      </c>
      <c r="BI106" s="38" t="n">
        <v>0</v>
      </c>
      <c r="BJ106" s="38" t="n">
        <v>0</v>
      </c>
      <c r="BK106" s="38" t="n"/>
      <c r="BL106" s="38" t="n"/>
      <c r="BM106" s="38" t="n"/>
      <c r="BN106" s="38" t="n"/>
      <c r="BO106" s="38" t="n"/>
      <c r="BP106" s="38" t="n"/>
      <c r="BQ106" s="38" t="n"/>
      <c r="BR106" s="38" t="n"/>
      <c r="BS106" s="38" t="n"/>
      <c r="BT106" s="38" t="n"/>
      <c r="BU106" s="38" t="n"/>
      <c r="BV106" s="38" t="n"/>
      <c r="BW106" s="38" t="n"/>
      <c r="BX106" s="38" t="n"/>
      <c r="BY106" s="38" t="n"/>
      <c r="BZ106" s="38" t="n"/>
      <c r="CA106" s="38" t="n"/>
      <c r="CB106" s="246">
        <f>BZ106+IF(NOT(ISBLANK(OFFSET(CB106,0,6))),N(OFFSET(CB106,0,6)),N(OFFSET(CB106,0,7)))-CA106</f>
        <v/>
      </c>
      <c r="DU106" s="49" t="n"/>
      <c r="DX106" s="271" t="n"/>
      <c r="DY106" s="271" t="n"/>
      <c r="DZ106" s="271" t="n"/>
      <c r="FD106" s="268" t="n"/>
      <c r="FG106" s="268" t="n"/>
      <c r="FM106" s="268" t="n"/>
      <c r="FR106" s="51" t="n"/>
      <c r="FV106" s="268" t="n"/>
      <c r="FZ106" s="268" t="n"/>
      <c r="GH106" s="51" t="n"/>
    </row>
    <row r="107" hidden="1" ht="19.5" customHeight="1">
      <c r="A107" s="238" t="inlineStr">
        <is>
          <t>CAIXA P</t>
        </is>
      </c>
      <c r="B107" s="36" t="n">
        <v>150</v>
      </c>
      <c r="C107" s="668" t="n">
        <v>805.35</v>
      </c>
      <c r="D107" s="36" t="n"/>
      <c r="AY107" s="38" t="n"/>
      <c r="AZ107" s="38" t="n"/>
      <c r="BA107" s="38" t="n">
        <v>0</v>
      </c>
      <c r="BB107" s="38" t="n">
        <v>0</v>
      </c>
      <c r="BC107" s="38" t="n">
        <v>0</v>
      </c>
      <c r="BD107" s="38" t="n">
        <v>0</v>
      </c>
      <c r="BE107" s="38" t="n">
        <v>0</v>
      </c>
      <c r="BF107" s="38" t="n">
        <v>0</v>
      </c>
      <c r="BG107" s="38" t="n">
        <v>0</v>
      </c>
      <c r="BH107" s="38" t="n">
        <v>0</v>
      </c>
      <c r="BI107" s="38" t="n">
        <v>0</v>
      </c>
      <c r="BJ107" s="38" t="n">
        <v>0</v>
      </c>
      <c r="BK107" s="38" t="n"/>
      <c r="BL107" s="38" t="n"/>
      <c r="BM107" s="38" t="n"/>
      <c r="BN107" s="38" t="n"/>
      <c r="BO107" s="38" t="n"/>
      <c r="BP107" s="38" t="n"/>
      <c r="BQ107" s="38" t="n"/>
      <c r="BR107" s="38" t="n"/>
      <c r="BS107" s="38" t="n"/>
      <c r="BT107" s="38" t="n"/>
      <c r="BU107" s="38" t="n"/>
      <c r="BV107" s="38" t="n"/>
      <c r="BW107" s="38" t="n"/>
      <c r="BX107" s="38" t="n"/>
      <c r="BY107" s="38" t="n"/>
      <c r="BZ107" s="38" t="n"/>
      <c r="CA107" s="38" t="n"/>
      <c r="CB107" s="246">
        <f>BZ107+IF(NOT(ISBLANK(OFFSET(CB107,0,6))),N(OFFSET(CB107,0,6)),N(OFFSET(CB107,0,7)))-CA107</f>
        <v/>
      </c>
      <c r="DU107" s="49" t="n"/>
      <c r="DX107" s="271" t="n"/>
      <c r="DY107" s="271" t="n"/>
      <c r="DZ107" s="271" t="n"/>
      <c r="FD107" s="268" t="n"/>
      <c r="FG107" s="268" t="n"/>
      <c r="FM107" s="268" t="n"/>
      <c r="FR107" s="51" t="n"/>
      <c r="FV107" s="268" t="n"/>
      <c r="FZ107" s="268" t="n"/>
      <c r="GH107" s="51" t="n"/>
    </row>
    <row r="108" hidden="1" ht="19.5" customHeight="1">
      <c r="A108" s="238" t="inlineStr">
        <is>
          <t>CAIXA M</t>
        </is>
      </c>
      <c r="B108" s="36" t="n">
        <v>100</v>
      </c>
      <c r="C108" s="668" t="n">
        <v>792.2</v>
      </c>
      <c r="D108" s="36" t="n"/>
      <c r="AY108" s="38" t="n"/>
      <c r="AZ108" s="38" t="n"/>
      <c r="BA108" s="38" t="n">
        <v>278</v>
      </c>
      <c r="BB108" s="38" t="n">
        <v>253</v>
      </c>
      <c r="BC108" s="38" t="n">
        <v>235</v>
      </c>
      <c r="BD108" s="38" t="n">
        <v>154</v>
      </c>
      <c r="BE108" s="38" t="n">
        <v>25</v>
      </c>
      <c r="BF108" s="38" t="n">
        <v>20</v>
      </c>
      <c r="BG108" s="38" t="n">
        <v>20</v>
      </c>
      <c r="BH108" s="38" t="n">
        <v>20</v>
      </c>
      <c r="BI108" s="261" t="n">
        <v>0</v>
      </c>
      <c r="BJ108" s="38" t="n">
        <v>0</v>
      </c>
      <c r="BK108" s="38" t="n"/>
      <c r="BL108" s="38" t="n"/>
      <c r="BM108" s="38" t="n"/>
      <c r="BN108" s="38" t="n"/>
      <c r="BO108" s="38" t="n"/>
      <c r="BP108" s="38" t="n"/>
      <c r="BQ108" s="38" t="n"/>
      <c r="BR108" s="38" t="n"/>
      <c r="BS108" s="38" t="n"/>
      <c r="BT108" s="38" t="n"/>
      <c r="BU108" s="38" t="n"/>
      <c r="BV108" s="38" t="n"/>
      <c r="BW108" s="38" t="n"/>
      <c r="BX108" s="38" t="n"/>
      <c r="BY108" s="38" t="n"/>
      <c r="BZ108" s="38" t="n"/>
      <c r="CA108" s="38" t="n"/>
      <c r="CB108" s="246">
        <f>BZ108+IF(NOT(ISBLANK(OFFSET(CB108,0,6))),N(OFFSET(CB108,0,6)),N(OFFSET(CB108,0,7)))-CA108</f>
        <v/>
      </c>
      <c r="DU108" s="49" t="n"/>
      <c r="DX108" s="271" t="n"/>
      <c r="DY108" s="271" t="n"/>
      <c r="DZ108" s="271" t="n"/>
      <c r="FD108" s="268" t="n"/>
      <c r="FG108" s="268" t="n"/>
      <c r="FM108" s="268" t="n"/>
      <c r="FR108" s="51" t="n"/>
      <c r="FV108" s="268" t="n"/>
      <c r="FZ108" s="268" t="n"/>
      <c r="GH108" s="51" t="n"/>
    </row>
    <row r="109" hidden="1" ht="19.5" customHeight="1">
      <c r="A109" s="238" t="inlineStr">
        <is>
          <t>CARTUCHO P</t>
        </is>
      </c>
      <c r="B109" s="36" t="n">
        <v>200</v>
      </c>
      <c r="C109" s="668" t="n">
        <v>487.2</v>
      </c>
      <c r="D109" s="36" t="n"/>
      <c r="AY109" s="38" t="n"/>
      <c r="AZ109" s="38" t="n"/>
      <c r="BA109" s="38" t="n">
        <v>159</v>
      </c>
      <c r="BB109" s="38" t="n">
        <v>132</v>
      </c>
      <c r="BC109" s="38" t="n">
        <v>79</v>
      </c>
      <c r="BD109" s="38" t="n">
        <v>6</v>
      </c>
      <c r="BE109" s="38" t="n">
        <v>0</v>
      </c>
      <c r="BF109" s="38" t="n">
        <v>0</v>
      </c>
      <c r="BG109" s="38" t="n">
        <v>0</v>
      </c>
      <c r="BH109" s="38" t="n">
        <v>0</v>
      </c>
      <c r="BI109" s="38" t="n">
        <v>0</v>
      </c>
      <c r="BJ109" s="38" t="n">
        <v>0</v>
      </c>
      <c r="BK109" s="38" t="n"/>
      <c r="BL109" s="38" t="n"/>
      <c r="BM109" s="38" t="n"/>
      <c r="BN109" s="38" t="n"/>
      <c r="BO109" s="38" t="n"/>
      <c r="BP109" s="38" t="n"/>
      <c r="BQ109" s="38" t="n"/>
      <c r="BR109" s="38" t="n"/>
      <c r="BS109" s="38" t="n"/>
      <c r="BT109" s="38" t="n"/>
      <c r="BU109" s="38" t="n"/>
      <c r="BV109" s="38" t="n"/>
      <c r="BW109" s="38" t="n"/>
      <c r="BX109" s="38" t="n"/>
      <c r="BY109" s="38" t="n"/>
      <c r="BZ109" s="38" t="n"/>
      <c r="CA109" s="38" t="n"/>
      <c r="CB109" s="246">
        <f>BZ109+IF(NOT(ISBLANK(OFFSET(CB109,0,6))),N(OFFSET(CB109,0,6)),N(OFFSET(CB109,0,7)))-CA109</f>
        <v/>
      </c>
      <c r="DU109" s="49" t="n"/>
      <c r="DX109" s="271" t="n"/>
      <c r="DY109" s="271" t="n"/>
      <c r="DZ109" s="271" t="n"/>
      <c r="FD109" s="268" t="n"/>
      <c r="FG109" s="268" t="n"/>
      <c r="FM109" s="268" t="n"/>
      <c r="FR109" s="51" t="n"/>
      <c r="FV109" s="268" t="n"/>
      <c r="FZ109" s="268" t="n"/>
      <c r="GH109" s="51" t="n"/>
    </row>
    <row r="110" hidden="1" ht="19.5" customHeight="1">
      <c r="A110" s="238" t="inlineStr">
        <is>
          <t>CARTUCHO M</t>
        </is>
      </c>
      <c r="B110" s="36" t="n">
        <v>150</v>
      </c>
      <c r="C110" s="668" t="n">
        <v>460.35</v>
      </c>
      <c r="D110" s="36" t="n"/>
      <c r="AY110" s="38" t="n"/>
      <c r="AZ110" s="38" t="n"/>
      <c r="BA110" s="38" t="n">
        <v>235</v>
      </c>
      <c r="BB110" s="38" t="n">
        <v>216</v>
      </c>
      <c r="BC110" s="38" t="n">
        <v>185</v>
      </c>
      <c r="BD110" s="38" t="n">
        <v>121</v>
      </c>
      <c r="BE110" s="38" t="n">
        <v>0</v>
      </c>
      <c r="BF110" s="38" t="n">
        <v>0</v>
      </c>
      <c r="BG110" s="38" t="n">
        <v>0</v>
      </c>
      <c r="BH110" s="38" t="n">
        <v>0</v>
      </c>
      <c r="BI110" s="38" t="n">
        <v>0</v>
      </c>
      <c r="BJ110" s="38" t="n">
        <v>0</v>
      </c>
      <c r="BK110" s="38" t="n"/>
      <c r="BL110" s="38" t="n"/>
      <c r="BM110" s="38" t="n"/>
      <c r="BN110" s="38" t="n"/>
      <c r="BO110" s="38" t="n"/>
      <c r="BP110" s="38" t="n"/>
      <c r="BQ110" s="38" t="n"/>
      <c r="BR110" s="38" t="n"/>
      <c r="BS110" s="38" t="n"/>
      <c r="BT110" s="38" t="n"/>
      <c r="BU110" s="38" t="n"/>
      <c r="BV110" s="38" t="n"/>
      <c r="BW110" s="38" t="n"/>
      <c r="BX110" s="38" t="n"/>
      <c r="BY110" s="38" t="n"/>
      <c r="BZ110" s="38" t="n"/>
      <c r="CA110" s="38" t="n"/>
      <c r="CB110" s="246">
        <f>BZ110+IF(NOT(ISBLANK(OFFSET(CB110,0,6))),N(OFFSET(CB110,0,6)),N(OFFSET(CB110,0,7)))-CA110</f>
        <v/>
      </c>
      <c r="DU110" s="49" t="n"/>
      <c r="DX110" s="271" t="n"/>
      <c r="DY110" s="271" t="n"/>
      <c r="DZ110" s="271" t="n"/>
      <c r="FD110" s="268" t="n"/>
      <c r="FG110" s="268" t="n"/>
      <c r="FM110" s="268" t="n"/>
      <c r="FR110" s="51" t="n"/>
      <c r="FV110" s="268" t="n"/>
      <c r="FZ110" s="268" t="n"/>
      <c r="GH110" s="51" t="n"/>
    </row>
    <row r="111" ht="19.5" customHeight="1">
      <c r="DU111" s="49" t="n"/>
      <c r="DX111" s="119" t="n"/>
      <c r="FD111" s="268" t="n"/>
      <c r="FG111" s="268" t="n"/>
      <c r="FM111" s="268" t="n"/>
      <c r="FR111" s="51" t="n"/>
      <c r="FV111" s="268" t="n"/>
      <c r="FZ111" s="268" t="n"/>
      <c r="GH111" s="51" t="n"/>
    </row>
    <row r="112" ht="19.5" customHeight="1">
      <c r="A112" s="408" t="inlineStr">
        <is>
          <t>EUDORA MÃES/26</t>
        </is>
      </c>
      <c r="B112" s="409" t="inlineStr">
        <is>
          <t>PC</t>
        </is>
      </c>
      <c r="C112" s="409" t="inlineStr">
        <is>
          <t>R$</t>
        </is>
      </c>
      <c r="D112" s="409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60" t="inlineStr">
        <is>
          <t>USOU</t>
        </is>
      </c>
      <c r="DU112" s="49" t="n"/>
      <c r="DX112" s="119" t="n"/>
      <c r="FD112" s="268" t="n"/>
      <c r="FG112" s="268" t="n"/>
      <c r="FM112" s="268" t="n"/>
      <c r="FR112" s="51" t="n"/>
      <c r="FV112" s="268" t="n"/>
      <c r="FZ112" s="268" t="n"/>
      <c r="GH112" s="51" t="n"/>
    </row>
    <row r="113" ht="19.5" customHeight="1">
      <c r="A113" s="33" t="inlineStr">
        <is>
          <t xml:space="preserve">SACOLA M </t>
        </is>
      </c>
      <c r="B113" s="9" t="n">
        <v>150</v>
      </c>
      <c r="C113" s="662" t="n"/>
      <c r="D113" s="329" t="n"/>
      <c r="BM113" s="38" t="n">
        <v>0</v>
      </c>
      <c r="BN113" s="38" t="n">
        <v>0</v>
      </c>
      <c r="BO113" s="38" t="n">
        <v>0</v>
      </c>
      <c r="BP113" s="38">
        <f>CP10</f>
        <v/>
      </c>
      <c r="BQ113" s="38" t="n">
        <v>600</v>
      </c>
      <c r="BR113" s="38" t="n">
        <v>600</v>
      </c>
      <c r="BS113" s="38" t="n">
        <v>600</v>
      </c>
      <c r="BT113" s="38" t="n">
        <v>600</v>
      </c>
      <c r="BU113" s="38" t="n">
        <v>600</v>
      </c>
      <c r="BV113" s="38" t="n">
        <v>600</v>
      </c>
      <c r="BW113" s="38" t="n">
        <v>600</v>
      </c>
      <c r="BX113" s="38" t="n">
        <v>450</v>
      </c>
      <c r="BY113" s="38" t="n">
        <v>450</v>
      </c>
      <c r="BZ113" s="38" t="n"/>
      <c r="CA113" s="38" t="n"/>
      <c r="CB113" s="246">
        <f>BZ113+IF(NOT(ISBLANK(OFFSET(CB113,0,6))),N(OFFSET(CB113,0,6)),N(OFFSET(CB113,0,7)))-CA113</f>
        <v/>
      </c>
      <c r="DU113" s="49" t="n"/>
      <c r="DX113" s="119" t="n"/>
      <c r="FD113" s="268" t="n"/>
      <c r="FG113" s="268" t="n"/>
      <c r="FM113" s="268" t="n"/>
      <c r="FR113" s="51" t="n"/>
      <c r="FV113" s="268" t="n"/>
      <c r="FZ113" s="268" t="n"/>
      <c r="GH113" s="51" t="n"/>
    </row>
    <row r="114" ht="19.5" customHeight="1">
      <c r="A114" s="33" t="inlineStr">
        <is>
          <t>ADESIVO</t>
        </is>
      </c>
      <c r="B114" s="9" t="n">
        <v>1000</v>
      </c>
      <c r="C114" s="662" t="n"/>
      <c r="D114" s="329" t="n"/>
      <c r="BM114" s="38" t="n">
        <v>0</v>
      </c>
      <c r="BN114" s="38" t="n">
        <v>0</v>
      </c>
      <c r="BO114" s="38" t="n">
        <v>0</v>
      </c>
      <c r="BP114" s="38">
        <f>CP17</f>
        <v/>
      </c>
      <c r="BQ114" s="38" t="n">
        <v>2</v>
      </c>
      <c r="BR114" s="38" t="n">
        <v>2</v>
      </c>
      <c r="BS114" s="38" t="n">
        <v>2</v>
      </c>
      <c r="BT114" s="38" t="n">
        <v>0</v>
      </c>
      <c r="BU114" s="38" t="n">
        <v>0</v>
      </c>
      <c r="BV114" s="38" t="n">
        <v>0</v>
      </c>
      <c r="BW114" s="38" t="n">
        <v>0</v>
      </c>
      <c r="BX114" s="38" t="n">
        <v>0</v>
      </c>
      <c r="BY114" s="38" t="n">
        <v>0</v>
      </c>
      <c r="BZ114" s="38" t="n"/>
      <c r="CA114" s="38" t="n"/>
      <c r="CB114" s="246">
        <f>BZ114+IF(NOT(ISBLANK(OFFSET(CB114,0,6))),N(OFFSET(CB114,0,6)),N(OFFSET(CB114,0,7)))-CA114</f>
        <v/>
      </c>
      <c r="DU114" s="49" t="n"/>
      <c r="DX114" s="119" t="n"/>
      <c r="FD114" s="268" t="n"/>
      <c r="FG114" s="268" t="n"/>
      <c r="FM114" s="268" t="n"/>
      <c r="FR114" s="51" t="n"/>
      <c r="FV114" s="268" t="n"/>
      <c r="FZ114" s="268" t="n"/>
      <c r="GH114" s="51" t="n"/>
    </row>
    <row r="115" ht="19.5" customHeight="1">
      <c r="A115" s="33" t="inlineStr">
        <is>
          <t>PAPEL DE SEDA</t>
        </is>
      </c>
      <c r="B115" s="9" t="n">
        <v>200</v>
      </c>
      <c r="C115" s="662" t="n"/>
      <c r="D115" s="329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 t="n">
        <v>0</v>
      </c>
      <c r="BS115" s="38" t="n">
        <v>0</v>
      </c>
      <c r="BT115" s="38" t="n">
        <v>0</v>
      </c>
      <c r="BU115" s="38" t="n">
        <v>0</v>
      </c>
      <c r="BV115" s="38" t="n">
        <v>0</v>
      </c>
      <c r="BW115" s="38" t="n">
        <v>0</v>
      </c>
      <c r="BX115" s="38" t="n">
        <v>0</v>
      </c>
      <c r="BY115" s="38" t="n">
        <v>0</v>
      </c>
      <c r="BZ115" s="38" t="n"/>
      <c r="CA115" s="38" t="n"/>
      <c r="CB115" s="246">
        <f>BZ115+IF(NOT(ISBLANK(OFFSET(CB115,0,6))),N(OFFSET(CB115,0,6)),N(OFFSET(CB115,0,7)))-CA115</f>
        <v/>
      </c>
      <c r="DU115" s="49" t="n"/>
      <c r="DX115" s="119" t="n"/>
      <c r="FD115" s="268" t="n"/>
      <c r="FG115" s="268" t="n"/>
      <c r="FM115" s="268" t="n"/>
      <c r="FR115" s="51" t="n"/>
      <c r="FV115" s="268" t="n"/>
      <c r="FZ115" s="268" t="n"/>
      <c r="GH115" s="51" t="n"/>
    </row>
    <row r="116" ht="19.5" customHeight="1">
      <c r="A116" s="33" t="inlineStr">
        <is>
          <t>SACOLA M VENDA</t>
        </is>
      </c>
      <c r="B116" s="9" t="n">
        <v>150</v>
      </c>
      <c r="C116" s="662" t="n"/>
      <c r="D116" s="329" t="n"/>
      <c r="BM116" s="38" t="n">
        <v>0</v>
      </c>
      <c r="BN116" s="38" t="n">
        <v>0</v>
      </c>
      <c r="BO116" s="38" t="n">
        <v>0</v>
      </c>
      <c r="BP116" s="38">
        <f>CP29</f>
        <v/>
      </c>
      <c r="BQ116" s="38" t="n">
        <v>188</v>
      </c>
      <c r="BR116" s="38" t="n">
        <v>35</v>
      </c>
      <c r="BS116" s="38" t="n">
        <v>0</v>
      </c>
      <c r="BT116" s="38" t="n">
        <v>0</v>
      </c>
      <c r="BU116" s="38" t="n">
        <v>0</v>
      </c>
      <c r="BV116" s="38" t="n">
        <v>0</v>
      </c>
      <c r="BW116" s="38" t="n">
        <v>0</v>
      </c>
      <c r="BX116" s="38" t="n">
        <v>0</v>
      </c>
      <c r="BY116" s="261" t="n">
        <v>-43</v>
      </c>
      <c r="BZ116" s="261" t="n">
        <v>-45</v>
      </c>
      <c r="CA116" s="261" t="n">
        <v>0</v>
      </c>
      <c r="CB116" s="246">
        <f>BZ116+IF(NOT(ISBLANK(OFFSET(CB116,0,6))),N(OFFSET(CB116,0,6)),N(OFFSET(CB116,0,7)))-CA116</f>
        <v/>
      </c>
      <c r="DU116" s="49" t="n"/>
      <c r="DX116" s="119" t="n"/>
      <c r="FD116" s="268" t="n"/>
      <c r="FG116" s="268" t="n"/>
      <c r="FM116" s="268" t="n"/>
      <c r="FR116" s="51" t="n"/>
      <c r="FV116" s="268" t="n"/>
      <c r="FZ116" s="268" t="n"/>
      <c r="GH116" s="51" t="n"/>
    </row>
    <row r="117" ht="19.5" customHeight="1">
      <c r="A117" s="33" t="inlineStr">
        <is>
          <t>KIT TAG 10 C/ 20</t>
        </is>
      </c>
      <c r="B117" s="9" t="n">
        <v>200</v>
      </c>
      <c r="C117" s="662" t="n"/>
      <c r="D117" s="329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0</v>
      </c>
      <c r="BV117" s="38" t="n">
        <v>0</v>
      </c>
      <c r="BW117" s="38" t="n">
        <v>0</v>
      </c>
      <c r="BX117" s="38" t="n">
        <v>0</v>
      </c>
      <c r="BY117" s="38" t="n">
        <v>0</v>
      </c>
      <c r="BZ117" s="38" t="n">
        <v>0</v>
      </c>
      <c r="CA117" s="38" t="n">
        <v>0</v>
      </c>
      <c r="CB117" s="246">
        <f>BZ117+IF(NOT(ISBLANK(OFFSET(CB117,0,6))),N(OFFSET(CB117,0,6)),N(OFFSET(CB117,0,7)))-CA117</f>
        <v/>
      </c>
      <c r="DU117" s="49" t="n"/>
      <c r="DX117" s="119" t="n"/>
      <c r="FD117" s="268" t="n"/>
      <c r="FG117" s="268" t="n"/>
      <c r="FM117" s="268" t="n"/>
      <c r="FR117" s="51" t="n"/>
      <c r="FV117" s="268" t="n"/>
      <c r="FZ117" s="268" t="n"/>
      <c r="GH117" s="51" t="n"/>
    </row>
    <row r="118" ht="19.5" customHeight="1">
      <c r="A118" s="238" t="inlineStr">
        <is>
          <t>CAIXA M</t>
        </is>
      </c>
      <c r="B118" s="36" t="n">
        <v>100</v>
      </c>
      <c r="C118" s="668" t="n"/>
      <c r="D118" s="36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0</v>
      </c>
      <c r="BR118" s="38" t="n">
        <v>0</v>
      </c>
      <c r="BS118" s="38" t="n">
        <v>0</v>
      </c>
      <c r="BT118" s="38" t="n">
        <v>0</v>
      </c>
      <c r="BU118" s="38" t="n">
        <v>0</v>
      </c>
      <c r="BV118" s="38" t="n">
        <v>0</v>
      </c>
      <c r="BW118" s="38" t="n">
        <v>0</v>
      </c>
      <c r="BX118" s="38" t="n">
        <v>0</v>
      </c>
      <c r="BY118" s="261" t="n">
        <v>30</v>
      </c>
      <c r="BZ118" s="261" t="n">
        <v>29</v>
      </c>
      <c r="CA118" s="261" t="n">
        <v>29</v>
      </c>
      <c r="CB118" s="246">
        <f>BZ118+IF(NOT(ISBLANK(OFFSET(CB118,0,6))),N(OFFSET(CB118,0,6)),N(OFFSET(CB118,0,7)))-CA118</f>
        <v/>
      </c>
      <c r="DU118" s="49" t="n"/>
      <c r="DX118" s="119" t="n"/>
      <c r="FD118" s="268" t="n"/>
      <c r="FG118" s="268" t="n"/>
      <c r="FM118" s="268" t="n"/>
      <c r="FR118" s="51" t="n"/>
      <c r="FV118" s="268" t="n"/>
      <c r="FZ118" s="268" t="n"/>
      <c r="GH118" s="51" t="n"/>
    </row>
    <row r="119" ht="19.5" customHeight="1">
      <c r="A119" s="238" t="inlineStr">
        <is>
          <t>CARTUCHO P</t>
        </is>
      </c>
      <c r="B119" s="36" t="n">
        <v>200</v>
      </c>
      <c r="C119" s="668" t="n"/>
      <c r="D119" s="36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 t="n">
        <v>0</v>
      </c>
      <c r="BS119" s="38" t="n">
        <v>0</v>
      </c>
      <c r="BT119" s="38" t="n">
        <v>0</v>
      </c>
      <c r="BU119" s="38" t="n">
        <v>0</v>
      </c>
      <c r="BV119" s="38" t="n">
        <v>0</v>
      </c>
      <c r="BW119" s="38" t="n">
        <v>0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246">
        <f>BZ119+IF(NOT(ISBLANK(OFFSET(CB119,0,6))),N(OFFSET(CB119,0,6)),N(OFFSET(CB119,0,7)))-CA119</f>
        <v/>
      </c>
      <c r="DU119" s="49" t="n"/>
      <c r="DX119" s="119" t="n"/>
      <c r="FD119" s="268" t="n"/>
      <c r="FG119" s="268" t="n"/>
      <c r="FM119" s="268" t="n"/>
      <c r="FR119" s="51" t="n"/>
      <c r="FV119" s="268" t="n"/>
      <c r="FZ119" s="268" t="n"/>
      <c r="GH119" s="51" t="n"/>
    </row>
    <row r="120" ht="19.5" customHeight="1">
      <c r="BM120" s="6" t="n"/>
      <c r="BN120" s="6" t="n"/>
      <c r="BO120" s="6" t="n"/>
      <c r="BP120" s="6" t="n"/>
      <c r="BQ120" s="6" t="n"/>
      <c r="BR120" s="6" t="n"/>
      <c r="BS120" s="6" t="n"/>
      <c r="BT120" s="6" t="n"/>
      <c r="BU120" s="6" t="n"/>
      <c r="BV120" s="6" t="n"/>
      <c r="BW120" s="6" t="n"/>
      <c r="BX120" s="6" t="n"/>
      <c r="BY120" s="6" t="n"/>
      <c r="BZ120" s="6" t="n"/>
      <c r="CA120" s="6" t="n"/>
      <c r="CB120" s="6" t="n"/>
      <c r="DU120" s="49" t="n"/>
      <c r="DX120" s="119" t="n"/>
      <c r="FD120" s="268" t="n"/>
      <c r="FG120" s="268" t="n"/>
      <c r="FM120" s="268" t="n"/>
      <c r="FR120" s="51" t="n"/>
      <c r="FV120" s="268" t="n"/>
      <c r="FZ120" s="268" t="n"/>
      <c r="GH120" s="51" t="n"/>
    </row>
    <row r="121" ht="19.5" customHeight="1">
      <c r="A121" s="410" t="inlineStr">
        <is>
          <t>BOTICÁRIO MÃES/26</t>
        </is>
      </c>
      <c r="B121" s="357" t="inlineStr">
        <is>
          <t>PC</t>
        </is>
      </c>
      <c r="C121" s="357" t="inlineStr">
        <is>
          <t>R$</t>
        </is>
      </c>
      <c r="D121" s="357" t="n"/>
      <c r="BM121" s="650" t="n">
        <v>46069</v>
      </c>
      <c r="BN121" s="650" t="n">
        <v>46076</v>
      </c>
      <c r="BO121" s="650" t="n">
        <v>46083</v>
      </c>
      <c r="BP121" s="650" t="n">
        <v>46090</v>
      </c>
      <c r="BQ121" s="650" t="n">
        <v>46097</v>
      </c>
      <c r="BR121" s="650" t="n">
        <v>46104</v>
      </c>
      <c r="BS121" s="650" t="n">
        <v>46111</v>
      </c>
      <c r="BT121" s="650" t="n">
        <v>46118</v>
      </c>
      <c r="BU121" s="650" t="n">
        <v>46125</v>
      </c>
      <c r="BV121" s="650" t="n">
        <v>46132</v>
      </c>
      <c r="BW121" s="650" t="n">
        <v>46139</v>
      </c>
      <c r="BX121" s="650" t="n">
        <v>46146</v>
      </c>
      <c r="BY121" s="650" t="n">
        <v>46154</v>
      </c>
      <c r="BZ121" s="650" t="n">
        <v>46160</v>
      </c>
      <c r="CA121" s="650" t="n">
        <v>46160</v>
      </c>
      <c r="CB121" s="660" t="inlineStr">
        <is>
          <t>USOU</t>
        </is>
      </c>
      <c r="CD121" s="413" t="inlineStr">
        <is>
          <t>TRANSFERÊNCIA</t>
        </is>
      </c>
      <c r="DU121" s="49" t="n"/>
      <c r="DX121" s="119" t="n"/>
      <c r="FD121" s="268" t="n"/>
      <c r="FG121" s="268" t="n"/>
      <c r="FM121" s="268" t="n"/>
      <c r="FR121" s="51" t="n"/>
      <c r="FV121" s="268" t="n"/>
      <c r="FZ121" s="268" t="n"/>
      <c r="GH121" s="51" t="n"/>
    </row>
    <row r="122" ht="19.5" customHeight="1">
      <c r="A122" s="33" t="inlineStr">
        <is>
          <t>SACOLA P</t>
        </is>
      </c>
      <c r="B122" s="9" t="n">
        <v>200</v>
      </c>
      <c r="C122" s="662" t="n"/>
      <c r="D122" s="329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>
        <f>CM9</f>
        <v/>
      </c>
      <c r="BS122" s="38" t="n">
        <v>600</v>
      </c>
      <c r="BT122" s="38" t="n">
        <v>6000</v>
      </c>
      <c r="BU122" s="38" t="n">
        <v>6000</v>
      </c>
      <c r="BV122" s="38" t="n">
        <v>6000</v>
      </c>
      <c r="BW122" s="38" t="n">
        <v>6000</v>
      </c>
      <c r="BX122" s="38" t="n">
        <v>6000</v>
      </c>
      <c r="BY122" s="38" t="n">
        <v>3400</v>
      </c>
      <c r="BZ122" s="38" t="n"/>
      <c r="CA122" s="38" t="n"/>
      <c r="CB122" s="246">
        <f>BZ122+IF(NOT(ISBLANK(OFFSET(CB122,0,6))),N(OFFSET(CB122,0,6)),N(OFFSET(CB122,0,7)))-CA122</f>
        <v/>
      </c>
      <c r="CD122" s="127" t="inlineStr">
        <is>
          <t>1000 P/ CDP</t>
        </is>
      </c>
      <c r="DU122" s="49" t="n"/>
      <c r="DX122" s="119" t="n"/>
      <c r="FD122" s="268" t="n"/>
      <c r="FG122" s="268" t="n"/>
      <c r="FM122" s="268" t="n"/>
      <c r="FR122" s="51" t="n"/>
      <c r="FV122" s="268" t="n"/>
      <c r="FZ122" s="268" t="n"/>
      <c r="GH122" s="51" t="n"/>
    </row>
    <row r="123" ht="19.5" customHeight="1">
      <c r="A123" s="33" t="inlineStr">
        <is>
          <t>SACOLA M</t>
        </is>
      </c>
      <c r="B123" s="9" t="n">
        <v>200</v>
      </c>
      <c r="C123" s="662" t="n"/>
      <c r="D123" s="329" t="n"/>
      <c r="BM123" s="38" t="n">
        <v>0</v>
      </c>
      <c r="BN123" s="38" t="n">
        <v>0</v>
      </c>
      <c r="BO123" s="38" t="n">
        <v>0</v>
      </c>
      <c r="BP123" s="38" t="n">
        <v>0</v>
      </c>
      <c r="BQ123" s="38" t="n">
        <v>0</v>
      </c>
      <c r="BR123" s="38">
        <f>CM10</f>
        <v/>
      </c>
      <c r="BS123" s="38" t="n">
        <v>2000</v>
      </c>
      <c r="BT123" s="38" t="n">
        <v>2000</v>
      </c>
      <c r="BU123" s="38" t="n">
        <v>2000</v>
      </c>
      <c r="BV123" s="38" t="n">
        <v>2000</v>
      </c>
      <c r="BW123" s="38" t="n">
        <v>1800</v>
      </c>
      <c r="BX123" s="38" t="n">
        <v>1800</v>
      </c>
      <c r="BY123" s="38" t="n">
        <v>200</v>
      </c>
      <c r="BZ123" s="38" t="n"/>
      <c r="CA123" s="38" t="n"/>
      <c r="CB123" s="246">
        <f>BZ123+IF(NOT(ISBLANK(OFFSET(CB123,0,6))),N(OFFSET(CB123,0,6)),N(OFFSET(CB123,0,7)))-CA123</f>
        <v/>
      </c>
      <c r="CD123" s="127" t="n"/>
      <c r="DU123" s="49" t="n"/>
      <c r="DX123" s="119" t="n"/>
      <c r="FD123" s="268" t="n"/>
      <c r="FG123" s="268" t="n"/>
      <c r="FM123" s="268" t="n"/>
      <c r="FR123" s="51" t="n"/>
      <c r="FV123" s="268" t="n"/>
      <c r="FZ123" s="268" t="n"/>
      <c r="GH123" s="51" t="n"/>
    </row>
    <row r="124" ht="19.5" customHeight="1">
      <c r="A124" s="33" t="inlineStr">
        <is>
          <t>SACOLA G</t>
        </is>
      </c>
      <c r="B124" s="9" t="n">
        <v>100</v>
      </c>
      <c r="C124" s="662" t="n"/>
      <c r="D124" s="329" t="n"/>
      <c r="BM124" s="38" t="n">
        <v>0</v>
      </c>
      <c r="BN124" s="38" t="n">
        <v>0</v>
      </c>
      <c r="BO124" s="38" t="n">
        <v>0</v>
      </c>
      <c r="BP124" s="38" t="n">
        <v>0</v>
      </c>
      <c r="BQ124" s="38" t="n">
        <v>0</v>
      </c>
      <c r="BR124" s="38">
        <f>CM11</f>
        <v/>
      </c>
      <c r="BS124" s="38" t="n">
        <v>800</v>
      </c>
      <c r="BT124" s="38" t="n">
        <v>800</v>
      </c>
      <c r="BU124" s="38" t="n">
        <v>800</v>
      </c>
      <c r="BV124" s="38" t="n">
        <v>800</v>
      </c>
      <c r="BW124" s="38" t="n">
        <v>700</v>
      </c>
      <c r="BX124" s="38" t="n">
        <v>600</v>
      </c>
      <c r="BY124" s="38" t="n">
        <v>0</v>
      </c>
      <c r="BZ124" s="38" t="n"/>
      <c r="CA124" s="38" t="n"/>
      <c r="CB124" s="246">
        <f>BZ124+IF(NOT(ISBLANK(OFFSET(CB124,0,6))),N(OFFSET(CB124,0,6)),N(OFFSET(CB124,0,7)))-CA124</f>
        <v/>
      </c>
      <c r="CD124" s="425" t="inlineStr">
        <is>
          <t>300 P/ ER MG</t>
        </is>
      </c>
      <c r="DU124" s="49" t="n"/>
      <c r="DX124" s="119" t="n"/>
      <c r="FD124" s="268" t="n"/>
      <c r="FG124" s="268" t="n"/>
      <c r="FM124" s="268" t="n"/>
      <c r="FR124" s="51" t="n"/>
      <c r="FV124" s="268" t="n"/>
      <c r="FZ124" s="268" t="n"/>
      <c r="GH124" s="51" t="n"/>
    </row>
    <row r="125" ht="19.5" customHeight="1">
      <c r="A125" s="33" t="inlineStr">
        <is>
          <t>SACOLA P VENDA</t>
        </is>
      </c>
      <c r="B125" s="9" t="n">
        <v>200</v>
      </c>
      <c r="C125" s="662" t="n"/>
      <c r="D125" s="329" t="n"/>
      <c r="BM125" s="38" t="n">
        <v>0</v>
      </c>
      <c r="BN125" s="38" t="n">
        <v>0</v>
      </c>
      <c r="BO125" s="38" t="n">
        <v>0</v>
      </c>
      <c r="BP125" s="38" t="n">
        <v>0</v>
      </c>
      <c r="BQ125" s="38" t="n">
        <v>0</v>
      </c>
      <c r="BR125" s="38">
        <f>CM28</f>
        <v/>
      </c>
      <c r="BS125" s="38" t="n">
        <v>120</v>
      </c>
      <c r="BT125" s="38" t="n">
        <v>120</v>
      </c>
      <c r="BU125" s="38" t="n">
        <v>120</v>
      </c>
      <c r="BV125" s="38" t="n">
        <v>120</v>
      </c>
      <c r="BW125" s="38" t="n">
        <v>576</v>
      </c>
      <c r="BX125" s="38" t="n">
        <v>542</v>
      </c>
      <c r="BY125" s="38" t="n">
        <v>443</v>
      </c>
      <c r="BZ125" s="38" t="n">
        <v>414</v>
      </c>
      <c r="CA125" s="38" t="n">
        <v>414</v>
      </c>
      <c r="CB125" s="246">
        <f>BZ125+IF(NOT(ISBLANK(OFFSET(CB125,0,6))),N(OFFSET(CB125,0,6)),N(OFFSET(CB125,0,7)))-CA125</f>
        <v/>
      </c>
      <c r="DU125" s="49" t="n"/>
      <c r="DX125" s="119" t="n"/>
      <c r="FD125" s="268" t="n"/>
      <c r="FG125" s="268" t="n"/>
      <c r="FM125" s="268" t="n"/>
      <c r="FR125" s="51" t="n"/>
      <c r="FV125" s="268" t="n"/>
      <c r="FZ125" s="268" t="n"/>
      <c r="GH125" s="51" t="n"/>
    </row>
    <row r="126" ht="19.5" customHeight="1">
      <c r="A126" s="33" t="inlineStr">
        <is>
          <t>SACOLA M VENDA</t>
        </is>
      </c>
      <c r="B126" s="9" t="n">
        <v>200</v>
      </c>
      <c r="C126" s="662" t="n"/>
      <c r="D126" s="329" t="n"/>
      <c r="BM126" s="38" t="n">
        <v>0</v>
      </c>
      <c r="BN126" s="38" t="n">
        <v>0</v>
      </c>
      <c r="BO126" s="38" t="n">
        <v>0</v>
      </c>
      <c r="BP126" s="38" t="n">
        <v>0</v>
      </c>
      <c r="BQ126" s="38" t="n">
        <v>0</v>
      </c>
      <c r="BR126" s="38" t="n">
        <v>0</v>
      </c>
      <c r="BS126" s="38" t="n">
        <v>0</v>
      </c>
      <c r="BT126" s="38" t="n">
        <v>0</v>
      </c>
      <c r="BU126" s="38" t="n">
        <v>0</v>
      </c>
      <c r="BV126" s="38" t="n">
        <v>0</v>
      </c>
      <c r="BW126" s="38" t="n">
        <v>382</v>
      </c>
      <c r="BX126" s="38" t="n">
        <v>376</v>
      </c>
      <c r="BY126" s="261" t="n">
        <v>748</v>
      </c>
      <c r="BZ126" s="261" t="n">
        <v>743</v>
      </c>
      <c r="CA126" s="261" t="n">
        <v>743</v>
      </c>
      <c r="CB126" s="246">
        <f>BZ126+IF(NOT(ISBLANK(OFFSET(CB126,0,6))),N(OFFSET(CB126,0,6)),N(OFFSET(CB126,0,7)))-CA126</f>
        <v/>
      </c>
      <c r="DU126" s="49" t="n"/>
      <c r="DX126" s="119" t="n"/>
      <c r="FD126" s="268" t="n"/>
      <c r="FG126" s="268" t="n"/>
      <c r="FM126" s="268" t="n"/>
      <c r="FR126" s="51" t="n"/>
      <c r="FV126" s="268" t="n"/>
      <c r="FZ126" s="268" t="n"/>
      <c r="GH126" s="51" t="n"/>
    </row>
    <row r="127" ht="19.5" customHeight="1">
      <c r="A127" s="33" t="inlineStr">
        <is>
          <t>SACOLA G VENDA</t>
        </is>
      </c>
      <c r="B127" s="9" t="n">
        <v>100</v>
      </c>
      <c r="C127" s="662" t="n"/>
      <c r="D127" s="329" t="n"/>
      <c r="BM127" s="38" t="n">
        <v>0</v>
      </c>
      <c r="BN127" s="38" t="n">
        <v>0</v>
      </c>
      <c r="BO127" s="38" t="n">
        <v>0</v>
      </c>
      <c r="BP127" s="38" t="n">
        <v>0</v>
      </c>
      <c r="BQ127" s="38" t="n">
        <v>0</v>
      </c>
      <c r="BR127" s="38" t="n">
        <v>0</v>
      </c>
      <c r="BS127" s="38" t="n">
        <v>0</v>
      </c>
      <c r="BT127" s="38" t="n">
        <v>0</v>
      </c>
      <c r="BU127" s="38" t="n">
        <v>0</v>
      </c>
      <c r="BV127" s="38" t="n">
        <v>0</v>
      </c>
      <c r="BW127" s="38" t="n">
        <v>0</v>
      </c>
      <c r="BX127" s="38" t="n">
        <v>0</v>
      </c>
      <c r="BY127" s="38" t="n">
        <v>0</v>
      </c>
      <c r="BZ127" s="261" t="n">
        <v>64</v>
      </c>
      <c r="CA127" s="261" t="n">
        <v>64</v>
      </c>
      <c r="CB127" s="246">
        <f>BZ127+IF(NOT(ISBLANK(OFFSET(CB127,0,6))),N(OFFSET(CB127,0,6)),N(OFFSET(CB127,0,7)))-CA127</f>
        <v/>
      </c>
      <c r="DU127" s="49" t="n"/>
      <c r="DX127" s="119" t="n"/>
      <c r="FD127" s="268" t="n"/>
      <c r="FG127" s="268" t="n"/>
      <c r="FM127" s="268" t="n"/>
      <c r="FR127" s="51" t="n"/>
      <c r="FV127" s="268" t="n"/>
      <c r="FZ127" s="268" t="n"/>
      <c r="GH127" s="51" t="n"/>
    </row>
    <row r="128" ht="19.5" customHeight="1">
      <c r="A128" s="238" t="inlineStr">
        <is>
          <t>KIT PAPEL DE SEDA 10 C/ 20</t>
        </is>
      </c>
      <c r="B128" s="36" t="n">
        <v>200</v>
      </c>
      <c r="C128" s="668" t="n"/>
      <c r="D128" s="36" t="n"/>
      <c r="BM128" s="38" t="n">
        <v>0</v>
      </c>
      <c r="BN128" s="38" t="n">
        <v>0</v>
      </c>
      <c r="BO128" s="38" t="n">
        <v>0</v>
      </c>
      <c r="BP128" s="38" t="n">
        <v>0</v>
      </c>
      <c r="BQ128" s="38" t="n">
        <v>0</v>
      </c>
      <c r="BR128" s="38">
        <f>CM32</f>
        <v/>
      </c>
      <c r="BS128" s="38" t="n">
        <v>4</v>
      </c>
      <c r="BT128" s="38" t="n">
        <v>4</v>
      </c>
      <c r="BU128" s="38" t="n">
        <v>4</v>
      </c>
      <c r="BV128" s="38" t="n">
        <v>4</v>
      </c>
      <c r="BW128" s="38" t="n">
        <v>4</v>
      </c>
      <c r="BX128" s="38" t="n">
        <v>4</v>
      </c>
      <c r="BY128" s="38" t="n">
        <v>4</v>
      </c>
      <c r="BZ128" s="38" t="n">
        <v>4</v>
      </c>
      <c r="CA128" s="38" t="n">
        <v>4</v>
      </c>
      <c r="CB128" s="246">
        <f>BZ128+IF(NOT(ISBLANK(OFFSET(CB128,0,6))),N(OFFSET(CB128,0,6)),N(OFFSET(CB128,0,7)))-CA128</f>
        <v/>
      </c>
      <c r="DU128" s="49" t="n"/>
      <c r="DX128" s="119" t="n"/>
      <c r="FD128" s="268" t="n"/>
      <c r="FG128" s="268" t="n"/>
      <c r="FM128" s="268" t="n"/>
      <c r="FR128" s="51" t="n"/>
      <c r="FV128" s="268" t="n"/>
      <c r="FZ128" s="268" t="n"/>
      <c r="GH128" s="51" t="n"/>
    </row>
    <row r="129" ht="19.5" customHeight="1">
      <c r="A129" s="238" t="inlineStr">
        <is>
          <t>CAIXA P</t>
        </is>
      </c>
      <c r="B129" s="36" t="n">
        <v>150</v>
      </c>
      <c r="C129" s="668" t="n"/>
      <c r="D129" s="36" t="n"/>
      <c r="BM129" s="38" t="n">
        <v>0</v>
      </c>
      <c r="BN129" s="38" t="n">
        <v>0</v>
      </c>
      <c r="BO129" s="38" t="n">
        <v>0</v>
      </c>
      <c r="BP129" s="38" t="n">
        <v>0</v>
      </c>
      <c r="BQ129" s="38" t="n">
        <v>0</v>
      </c>
      <c r="BR129" s="38">
        <f>CM37</f>
        <v/>
      </c>
      <c r="BS129" s="38" t="n">
        <v>50</v>
      </c>
      <c r="BT129" s="38" t="n">
        <v>50</v>
      </c>
      <c r="BU129" s="38" t="n">
        <v>50</v>
      </c>
      <c r="BV129" s="38" t="n">
        <v>50</v>
      </c>
      <c r="BW129" s="38" t="n">
        <v>35</v>
      </c>
      <c r="BX129" s="38" t="n">
        <v>29</v>
      </c>
      <c r="BY129" s="38" t="n">
        <v>0</v>
      </c>
      <c r="BZ129" s="38" t="n">
        <v>0</v>
      </c>
      <c r="CA129" s="38" t="n">
        <v>0</v>
      </c>
      <c r="CB129" s="246">
        <f>BZ129+IF(NOT(ISBLANK(OFFSET(CB129,0,6))),N(OFFSET(CB129,0,6)),N(OFFSET(CB129,0,7)))-CA129</f>
        <v/>
      </c>
      <c r="DU129" s="49" t="n"/>
      <c r="DX129" s="119" t="n"/>
      <c r="FD129" s="268" t="n"/>
      <c r="FG129" s="268" t="n"/>
      <c r="FM129" s="268" t="n"/>
      <c r="FR129" s="51" t="n"/>
      <c r="FV129" s="268" t="n"/>
      <c r="FZ129" s="268" t="n"/>
      <c r="GH129" s="51" t="n"/>
    </row>
    <row r="130" ht="19.5" customHeight="1">
      <c r="A130" s="238" t="inlineStr">
        <is>
          <t>CAIXA M</t>
        </is>
      </c>
      <c r="B130" s="36" t="n">
        <v>100</v>
      </c>
      <c r="C130" s="668" t="n"/>
      <c r="D130" s="36" t="n"/>
      <c r="BM130" s="38" t="n">
        <v>0</v>
      </c>
      <c r="BN130" s="38" t="n">
        <v>0</v>
      </c>
      <c r="BO130" s="38" t="n">
        <v>0</v>
      </c>
      <c r="BP130" s="38" t="n">
        <v>0</v>
      </c>
      <c r="BQ130" s="38" t="n">
        <v>0</v>
      </c>
      <c r="BR130" s="38">
        <f>CM38</f>
        <v/>
      </c>
      <c r="BS130" s="38" t="n">
        <v>70</v>
      </c>
      <c r="BT130" s="38" t="n">
        <v>70</v>
      </c>
      <c r="BU130" s="38" t="n">
        <v>70</v>
      </c>
      <c r="BV130" s="38" t="n">
        <v>70</v>
      </c>
      <c r="BW130" s="38" t="n">
        <v>41</v>
      </c>
      <c r="BX130" s="38" t="n">
        <v>24</v>
      </c>
      <c r="BY130" s="38" t="n">
        <v>0</v>
      </c>
      <c r="BZ130" s="38" t="n">
        <v>0</v>
      </c>
      <c r="CA130" s="38" t="n">
        <v>0</v>
      </c>
      <c r="CB130" s="246">
        <f>BZ130+IF(NOT(ISBLANK(OFFSET(CB130,0,6))),N(OFFSET(CB130,0,6)),N(OFFSET(CB130,0,7)))-CA130</f>
        <v/>
      </c>
      <c r="DU130" s="49" t="n"/>
      <c r="DX130" s="119" t="n"/>
      <c r="FD130" s="268" t="n"/>
      <c r="FG130" s="268" t="n"/>
      <c r="FM130" s="268" t="n"/>
      <c r="FR130" s="51" t="n"/>
      <c r="FV130" s="268" t="n"/>
      <c r="FZ130" s="268" t="n"/>
      <c r="GH130" s="51" t="n"/>
    </row>
    <row r="131" ht="19.5" customHeight="1">
      <c r="A131" s="238" t="inlineStr">
        <is>
          <t>CARTUCHO M</t>
        </is>
      </c>
      <c r="B131" s="36" t="n">
        <v>150</v>
      </c>
      <c r="C131" s="668" t="n"/>
      <c r="D131" s="36" t="n"/>
      <c r="BM131" s="38" t="n">
        <v>0</v>
      </c>
      <c r="BN131" s="38" t="n">
        <v>0</v>
      </c>
      <c r="BO131" s="38" t="n">
        <v>0</v>
      </c>
      <c r="BP131" s="38" t="n">
        <v>0</v>
      </c>
      <c r="BQ131" s="38" t="n">
        <v>0</v>
      </c>
      <c r="BR131" s="38" t="n">
        <v>0</v>
      </c>
      <c r="BS131" s="38" t="n">
        <v>0</v>
      </c>
      <c r="BT131" s="38" t="n">
        <v>0</v>
      </c>
      <c r="BU131" s="38" t="n">
        <v>0</v>
      </c>
      <c r="BV131" s="38" t="n">
        <v>0</v>
      </c>
      <c r="BW131" s="38" t="n">
        <v>0</v>
      </c>
      <c r="BX131" s="38" t="n">
        <v>0</v>
      </c>
      <c r="BY131" s="38" t="n">
        <v>0</v>
      </c>
      <c r="BZ131" s="38" t="n">
        <v>0</v>
      </c>
      <c r="CA131" s="38" t="n">
        <v>0</v>
      </c>
      <c r="CB131" s="246">
        <f>BZ131+IF(NOT(ISBLANK(OFFSET(CB131,0,6))),N(OFFSET(CB131,0,6)),N(OFFSET(CB131,0,7)))-CA131</f>
        <v/>
      </c>
      <c r="DU131" s="49" t="n"/>
      <c r="DX131" s="119" t="n"/>
      <c r="FD131" s="268" t="n"/>
      <c r="FG131" s="268" t="n"/>
      <c r="FM131" s="268" t="n"/>
      <c r="FR131" s="51" t="n"/>
      <c r="FV131" s="268" t="n"/>
      <c r="FZ131" s="268" t="n"/>
      <c r="GH131" s="51" t="n"/>
    </row>
    <row r="132" ht="19.5" customHeight="1">
      <c r="DU132" s="49" t="n"/>
      <c r="DX132" s="119" t="n"/>
      <c r="FD132" s="268" t="n"/>
      <c r="FG132" s="268" t="n"/>
      <c r="FM132" s="268" t="n"/>
      <c r="FR132" s="51" t="n"/>
      <c r="FV132" s="268" t="n"/>
      <c r="FZ132" s="268" t="n"/>
      <c r="GH132" s="51" t="n"/>
    </row>
    <row r="133" ht="18.75" customHeight="1">
      <c r="DX133" s="271" t="n"/>
      <c r="DY133" s="271" t="n"/>
      <c r="DZ133" s="271" t="n"/>
    </row>
    <row r="134" ht="57.6" customHeight="1">
      <c r="A134" s="489" t="inlineStr">
        <is>
          <t>SOBRAS DATAS COMEMORATIVAS</t>
        </is>
      </c>
      <c r="B134" s="490" t="n"/>
      <c r="C134" s="491" t="n"/>
      <c r="DX134" s="271" t="n"/>
      <c r="DY134" s="271" t="n"/>
      <c r="DZ134" s="271" t="n"/>
    </row>
    <row r="135" ht="18.75" customHeight="1">
      <c r="A135" s="146" t="inlineStr">
        <is>
          <t>ITENS</t>
        </is>
      </c>
      <c r="B135" s="146" t="n"/>
      <c r="C135" s="146" t="inlineStr">
        <is>
          <t>TEMOS EM ESTOQUE</t>
        </is>
      </c>
      <c r="CB135" s="222" t="n"/>
      <c r="DX135" s="271" t="n"/>
      <c r="DY135" s="271" t="n"/>
      <c r="DZ135" s="271" t="n"/>
    </row>
    <row r="136" ht="18.75" customHeight="1">
      <c r="A136" s="193" t="n"/>
      <c r="B136" s="192" t="n"/>
      <c r="C136" s="171" t="n"/>
      <c r="DX136" s="271" t="n"/>
      <c r="DY136" s="271" t="n"/>
      <c r="DZ136" s="271" t="n"/>
    </row>
    <row r="137" ht="18.75" customHeight="1">
      <c r="DX137" s="271" t="n"/>
      <c r="DY137" s="271" t="n"/>
      <c r="DZ137" s="271" t="n"/>
    </row>
    <row r="138" ht="18.75" customHeight="1">
      <c r="DX138" s="271" t="n"/>
      <c r="DY138" s="271" t="n"/>
      <c r="DZ138" s="271" t="n"/>
    </row>
    <row r="139" ht="18.75" customHeight="1">
      <c r="DX139" s="271" t="n"/>
      <c r="DY139" s="271" t="n"/>
      <c r="DZ139" s="271" t="n"/>
    </row>
    <row r="140" ht="18.75" customHeight="1">
      <c r="DX140" s="271" t="n"/>
      <c r="DY140" s="271" t="n"/>
      <c r="DZ140" s="271" t="n"/>
    </row>
    <row r="141" ht="18.75" customHeight="1">
      <c r="DX141" s="271" t="n"/>
      <c r="DY141" s="271" t="n"/>
      <c r="DZ141" s="271" t="n"/>
    </row>
    <row r="142" ht="18.75" customHeight="1">
      <c r="DX142" s="271" t="n"/>
      <c r="DY142" s="271" t="n"/>
      <c r="DZ142" s="271" t="n"/>
    </row>
    <row r="143" ht="18.75" customHeight="1">
      <c r="DX143" s="271" t="n"/>
      <c r="DY143" s="271" t="n"/>
      <c r="DZ143" s="271" t="n"/>
    </row>
    <row r="144" ht="18.75" customHeight="1">
      <c r="DX144" s="271" t="n"/>
      <c r="DY144" s="271" t="n"/>
      <c r="DZ144" s="271" t="n"/>
    </row>
    <row r="145" ht="18.75" customHeight="1">
      <c r="DX145" s="271" t="n"/>
      <c r="DY145" s="271" t="n"/>
      <c r="DZ145" s="271" t="n"/>
    </row>
    <row r="146" ht="18.75" customHeight="1">
      <c r="DX146" s="271" t="n"/>
      <c r="DY146" s="271" t="n"/>
      <c r="DZ146" s="271" t="n"/>
    </row>
    <row r="147" ht="18.75" customHeight="1">
      <c r="DX147" s="271" t="n"/>
      <c r="DY147" s="271" t="n"/>
      <c r="DZ147" s="271" t="n"/>
    </row>
    <row r="148" ht="18.75" customHeight="1">
      <c r="DX148" s="271" t="n"/>
      <c r="DY148" s="271" t="n"/>
      <c r="DZ148" s="271" t="n"/>
    </row>
    <row r="149" ht="18.75" customHeight="1">
      <c r="DX149" s="271" t="n"/>
      <c r="DY149" s="271" t="n"/>
      <c r="DZ149" s="271" t="n"/>
    </row>
    <row r="150" ht="18.75" customHeight="1">
      <c r="DX150" s="271" t="n"/>
      <c r="DY150" s="271" t="n"/>
      <c r="DZ150" s="271" t="n"/>
    </row>
    <row r="151" ht="18.75" customHeight="1">
      <c r="DX151" s="271" t="n"/>
      <c r="DY151" s="271" t="n"/>
      <c r="DZ151" s="271" t="n"/>
    </row>
    <row r="152" ht="18.75" customHeight="1">
      <c r="DX152" s="314" t="n"/>
      <c r="DY152" s="314" t="n"/>
      <c r="DZ152" s="314" t="n"/>
    </row>
    <row r="153" ht="18.75" customHeight="1">
      <c r="DX153" s="314" t="n"/>
      <c r="DY153" s="314" t="n"/>
      <c r="DZ153" s="314" t="n"/>
    </row>
    <row r="154" ht="18.75" customHeight="1">
      <c r="DX154" s="271" t="n"/>
      <c r="DY154" s="271" t="n"/>
      <c r="DZ154" s="271" t="n"/>
    </row>
    <row r="155" ht="18.75" customHeight="1">
      <c r="DX155" s="271" t="n"/>
      <c r="DY155" s="271" t="n"/>
      <c r="DZ155" s="271" t="n"/>
    </row>
  </sheetData>
  <mergeCells count="8">
    <mergeCell ref="A5:A6"/>
    <mergeCell ref="B3:D3"/>
    <mergeCell ref="F5:BZ5"/>
    <mergeCell ref="GT59:GU69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6" horizontalDpi="4294967295" verticalDpi="4294967295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Planilha13">
    <tabColor theme="9"/>
    <outlinePr summaryBelow="1" summaryRight="1"/>
    <pageSetUpPr fitToPage="1"/>
  </sheetPr>
  <dimension ref="A1:GF155"/>
  <sheetViews>
    <sheetView showGridLines="0" topLeftCell="A27" zoomScale="80" zoomScaleNormal="80" workbookViewId="0">
      <selection activeCell="CA78" sqref="CA78"/>
    </sheetView>
  </sheetViews>
  <sheetFormatPr baseColWidth="8" defaultColWidth="9.140625" defaultRowHeight="18.75" customHeight="1"/>
  <cols>
    <col width="42.28515625" customWidth="1" min="1" max="1"/>
    <col width="10.140625" customWidth="1" min="2" max="2"/>
    <col width="16.7109375" customWidth="1" min="3" max="3"/>
    <col width="1.5703125" customWidth="1" min="5" max="5"/>
    <col hidden="1" width="9.855468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8.140625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14062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8.85546875" customWidth="1" min="84" max="84"/>
    <col width="1.85546875" customWidth="1" min="85" max="85"/>
    <col width="19" customWidth="1" min="86" max="86"/>
    <col width="1.140625" customWidth="1" min="87" max="87"/>
    <col width="15.85546875" customWidth="1" min="88" max="88"/>
    <col width="1.28515625" customWidth="1" min="89" max="89"/>
    <col width="8.28515625" customWidth="1" min="90" max="90"/>
    <col width="13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8.28515625" customWidth="1" min="99" max="99"/>
    <col hidden="1" width="13" customWidth="1" min="100" max="100"/>
    <col hidden="1" width="13" customWidth="1" min="101" max="101"/>
    <col hidden="1" width="17.5703125" customWidth="1" min="102" max="102"/>
    <col hidden="1" width="8.28515625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13" customWidth="1" min="114" max="114"/>
    <col hidden="1" width="13" customWidth="1" min="115" max="115"/>
    <col hidden="1" width="13" customWidth="1" min="116" max="116"/>
    <col hidden="1" width="13" customWidth="1" min="117" max="117"/>
    <col hidden="1" width="13" customWidth="1" min="118" max="118"/>
    <col hidden="1" width="13" customWidth="1" min="119" max="119"/>
    <col hidden="1" width="9.28515625" customWidth="1" min="120" max="120"/>
    <col hidden="1" width="14.5703125" customWidth="1" min="121" max="121"/>
    <col hidden="1" width="8.28515625" customWidth="1" min="122" max="122"/>
    <col hidden="1" width="13" customWidth="1" min="123" max="123"/>
    <col hidden="1" width="13" customWidth="1" min="124" max="124"/>
    <col hidden="1" width="13" customWidth="1" min="125" max="125"/>
    <col hidden="1" width="13" customWidth="1" min="126" max="126"/>
    <col hidden="1" width="13" customWidth="1" min="127" max="127"/>
    <col hidden="1" width="13" customWidth="1" min="128" max="128"/>
    <col hidden="1" width="12.85546875" customWidth="1" min="129" max="129"/>
    <col hidden="1" width="8.28515625" customWidth="1" min="130" max="130"/>
    <col hidden="1" width="13" customWidth="1" min="131" max="131"/>
    <col hidden="1" width="13" customWidth="1" min="132" max="132"/>
    <col hidden="1" width="13" customWidth="1" min="133" max="133"/>
    <col hidden="1" width="27.140625" customWidth="1" min="134" max="134"/>
    <col hidden="1" width="12.42578125" customWidth="1" min="135" max="135"/>
    <col hidden="1" width="8.28515625" customWidth="1" min="136" max="136"/>
    <col hidden="1" width="13" customWidth="1" min="137" max="137"/>
    <col hidden="1" width="13" customWidth="1" min="138" max="138"/>
    <col hidden="1" width="12.42578125" customWidth="1" min="139" max="139"/>
    <col hidden="1" width="8.28515625" customWidth="1" min="140" max="140"/>
    <col hidden="1" width="15.42578125" customWidth="1" min="141" max="141"/>
    <col hidden="1" width="8.28515625" customWidth="1" min="142" max="142"/>
    <col hidden="1" width="13" customWidth="1" min="143" max="143"/>
    <col hidden="1" width="11" customWidth="1" min="144" max="144"/>
    <col hidden="1" width="17.140625" customWidth="1" min="145" max="145"/>
    <col hidden="1" width="8.28515625" customWidth="1" min="146" max="146"/>
    <col hidden="1" width="17.140625" customWidth="1" min="147" max="147"/>
    <col hidden="1" width="8.28515625" customWidth="1" min="148" max="148"/>
    <col hidden="1" width="13" customWidth="1" min="149" max="149"/>
    <col hidden="1" width="17.140625" customWidth="1" min="150" max="150"/>
    <col hidden="1" width="8.28515625" customWidth="1" min="151" max="151"/>
    <col hidden="1" width="15.42578125" customWidth="1" min="152" max="152"/>
    <col hidden="1" width="15.28515625" customWidth="1" min="153" max="153"/>
    <col hidden="1" width="16.42578125" customWidth="1" min="154" max="154"/>
    <col hidden="1" width="8.28515625" customWidth="1" min="155" max="155"/>
    <col hidden="1" width="13" customWidth="1" min="156" max="156"/>
    <col hidden="1" width="13" customWidth="1" min="157" max="157"/>
    <col hidden="1" width="13" customWidth="1" min="158" max="158"/>
    <col hidden="1" width="13" customWidth="1" min="159" max="159"/>
    <col hidden="1" width="13.140625" customWidth="1" min="160" max="160"/>
    <col hidden="1" width="14.85546875" customWidth="1" min="161" max="161"/>
    <col hidden="1" width="8.28515625" customWidth="1" min="162" max="162"/>
    <col hidden="1" width="13" customWidth="1" min="163" max="163"/>
    <col hidden="1" width="13" customWidth="1" min="164" max="164"/>
    <col hidden="1" width="13" customWidth="1" min="165" max="165"/>
    <col hidden="1" width="16.28515625" customWidth="1" min="166" max="166"/>
    <col hidden="1" width="8.28515625" customWidth="1" min="167" max="167"/>
    <col hidden="1" width="13" customWidth="1" min="168" max="168"/>
    <col hidden="1" width="13" customWidth="1" min="169" max="169"/>
    <col hidden="1" width="13" customWidth="1" min="170" max="170"/>
    <col hidden="1" width="13" customWidth="1" min="171" max="171"/>
    <col hidden="1" width="12" customWidth="1" min="172" max="172"/>
    <col hidden="1" width="8.28515625" customWidth="1" min="173" max="173"/>
    <col hidden="1" width="13" customWidth="1" min="174" max="174"/>
    <col hidden="1" width="13" customWidth="1" min="175" max="175"/>
    <col hidden="1" width="13" customWidth="1" min="176" max="176"/>
    <col hidden="1" width="13" customWidth="1" min="177" max="177"/>
    <col hidden="1" width="13" customWidth="1" min="178" max="178"/>
    <col hidden="1" width="13" customWidth="1" min="179" max="179"/>
    <col hidden="1" width="14.85546875" customWidth="1" min="180" max="180"/>
    <col hidden="1" width="13.28515625" customWidth="1" min="181" max="181"/>
    <col hidden="1" width="13.85546875" customWidth="1" min="182" max="182"/>
    <col hidden="1" width="8.28515625" customWidth="1" min="183" max="183"/>
    <col hidden="1" width="13" customWidth="1" min="184" max="184"/>
    <col hidden="1" width="13" customWidth="1" min="185" max="185"/>
    <col width="2.85546875" customWidth="1" min="186" max="186"/>
    <col width="9.140625" customWidth="1" min="187" max="187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5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</row>
    <row r="2">
      <c r="A2" s="50" t="inlineStr">
        <is>
          <t>LOJA:</t>
        </is>
      </c>
      <c r="B2" s="639" t="inlineStr">
        <is>
          <t>ER PERUÍBE</t>
        </is>
      </c>
      <c r="C2" s="641" t="n"/>
      <c r="D2" s="77" t="n"/>
      <c r="CH2" s="49" t="n"/>
      <c r="CK2" s="6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49" t="n"/>
      <c r="DP2" s="6" t="n"/>
      <c r="DR2" s="49" t="n"/>
      <c r="DS2" s="49" t="n"/>
      <c r="DT2" s="49" t="n"/>
      <c r="DU2" s="49" t="n"/>
      <c r="DV2" s="49" t="n"/>
      <c r="DW2" s="49" t="n"/>
      <c r="DX2" s="49" t="n"/>
      <c r="DY2" s="49" t="n"/>
      <c r="DZ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S2" s="49" t="n"/>
      <c r="ET2" s="49" t="n"/>
      <c r="EU2" s="49" t="n"/>
      <c r="EV2" s="49" t="n"/>
      <c r="EX2" s="49" t="n"/>
      <c r="EY2" s="49" t="n"/>
      <c r="EZ2" s="49" t="n"/>
      <c r="FA2" s="49" t="n"/>
      <c r="FB2" s="49" t="n"/>
      <c r="FC2" s="49" t="n"/>
      <c r="FD2" s="49" t="n"/>
      <c r="FE2" s="49" t="n"/>
      <c r="FF2" s="49" t="n"/>
      <c r="FG2" s="49" t="n"/>
      <c r="FH2" s="49" t="n"/>
      <c r="FI2" s="49" t="n"/>
      <c r="FK2" s="49" t="n"/>
      <c r="FL2" s="49" t="n"/>
      <c r="FM2" s="49" t="n"/>
      <c r="FN2" s="49" t="n"/>
      <c r="FO2" s="49" t="n"/>
      <c r="FQ2" s="49" t="n"/>
      <c r="FR2" s="49" t="n"/>
      <c r="FS2" s="49" t="n"/>
      <c r="FT2" s="49" t="n"/>
      <c r="FU2" s="49" t="n"/>
      <c r="FV2" s="49" t="n"/>
      <c r="FW2" s="49" t="n"/>
      <c r="FX2" s="49" t="n"/>
      <c r="FY2" s="49" t="n"/>
      <c r="FZ2" s="49" t="n"/>
      <c r="GA2" s="49" t="n"/>
      <c r="GB2" s="49" t="n"/>
      <c r="GC2" s="49" t="n"/>
    </row>
    <row r="3" ht="18.75" customHeight="1">
      <c r="A3" s="50" t="inlineStr">
        <is>
          <t>Responsável:</t>
        </is>
      </c>
      <c r="B3" s="253" t="inlineStr">
        <is>
          <t>JULIANA</t>
        </is>
      </c>
      <c r="C3" s="641" t="n"/>
      <c r="D3" s="5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5" t="n"/>
      <c r="CD3" s="675" t="n"/>
      <c r="CE3" s="675" t="n"/>
      <c r="CF3" s="642" t="n"/>
      <c r="CH3" s="49" t="n"/>
      <c r="CK3" s="6" t="n"/>
      <c r="CL3" s="49" t="n"/>
      <c r="CM3" s="49" t="n"/>
      <c r="DP3" s="6" t="n"/>
      <c r="DY3" s="49" t="n"/>
      <c r="ED3" s="49" t="n"/>
      <c r="EE3" s="49" t="n"/>
      <c r="EI3" s="49" t="n"/>
      <c r="EK3" s="49" t="n"/>
      <c r="EN3" s="49" t="n"/>
      <c r="EO3" s="49" t="n"/>
      <c r="EQ3" s="49" t="n"/>
      <c r="ET3" s="49" t="n"/>
      <c r="EV3" s="49" t="n"/>
      <c r="EW3" s="319" t="n"/>
      <c r="EX3" s="49" t="n"/>
      <c r="FD3" s="49" t="n"/>
    </row>
    <row r="4" ht="29.25" customHeight="1">
      <c r="CH4" s="49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269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6" t="n"/>
      <c r="ET4" s="6" t="n"/>
      <c r="EU4" s="6" t="n"/>
      <c r="EV4" s="6" t="n"/>
      <c r="EW4" s="269" t="n"/>
      <c r="EX4" s="6" t="n"/>
      <c r="EY4" s="6" t="n"/>
      <c r="EZ4" s="6" t="n"/>
      <c r="FA4" s="6" t="n"/>
      <c r="FB4" s="6" t="n"/>
      <c r="FC4" s="6" t="n"/>
      <c r="FD4" s="6" t="n"/>
      <c r="FE4" s="6" t="n"/>
      <c r="FF4" s="6" t="n"/>
      <c r="FG4" s="6" t="n"/>
      <c r="FH4" s="6" t="n"/>
      <c r="FI4" s="6" t="n"/>
      <c r="FJ4" s="269" t="n"/>
      <c r="FK4" s="6" t="n"/>
      <c r="FL4" s="6" t="n"/>
      <c r="FM4" s="6" t="n"/>
      <c r="FN4" s="6" t="n"/>
      <c r="FO4" s="6" t="n"/>
      <c r="FP4" s="269" t="n"/>
      <c r="FQ4" s="6" t="n"/>
      <c r="FR4" s="6" t="n"/>
      <c r="FS4" s="6" t="n"/>
      <c r="FT4" s="6" t="n"/>
      <c r="FU4" s="6" t="n"/>
      <c r="FV4" s="6" t="n"/>
      <c r="FW4" s="6" t="n"/>
      <c r="FX4" s="6" t="n"/>
      <c r="FY4" s="6" t="n"/>
      <c r="FZ4" s="6" t="n"/>
      <c r="GA4" s="6" t="n"/>
      <c r="GB4" s="6" t="n"/>
      <c r="GC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510" t="n"/>
      <c r="CF5" s="153" t="n"/>
      <c r="CH5" s="35" t="inlineStr">
        <is>
          <t>Pendências</t>
        </is>
      </c>
      <c r="CI5" s="6" t="n"/>
      <c r="CJ5" s="12" t="inlineStr">
        <is>
          <t>Novo Pedido</t>
        </is>
      </c>
      <c r="CK5" s="708" t="n">
        <v>46161.48287850152</v>
      </c>
      <c r="CL5" s="654" t="n">
        <v>46156</v>
      </c>
      <c r="CM5" s="654" t="n">
        <v>46149</v>
      </c>
      <c r="CN5" s="654" t="n">
        <v>46114</v>
      </c>
      <c r="CO5" s="710" t="n">
        <v>46065</v>
      </c>
      <c r="CP5" s="654" t="n">
        <v>46092</v>
      </c>
      <c r="CQ5" s="654" t="n">
        <v>46092</v>
      </c>
      <c r="CR5" s="654" t="n">
        <v>46084</v>
      </c>
      <c r="CS5" s="711" t="n">
        <v>46045</v>
      </c>
      <c r="CT5" s="654" t="n">
        <v>46071</v>
      </c>
      <c r="CU5" s="654" t="n">
        <v>46043</v>
      </c>
      <c r="CV5" s="654" t="n">
        <v>46029</v>
      </c>
      <c r="CW5" s="654" t="n">
        <v>46024</v>
      </c>
      <c r="CX5" s="655" t="inlineStr">
        <is>
          <t>TRANSF.</t>
        </is>
      </c>
      <c r="CY5" s="654" t="n">
        <v>46029</v>
      </c>
      <c r="CZ5" s="654" t="n">
        <v>46024</v>
      </c>
      <c r="DA5" s="654" t="n">
        <v>46007</v>
      </c>
      <c r="DB5" s="654" t="n">
        <v>46001</v>
      </c>
      <c r="DC5" s="654" t="n">
        <v>45994</v>
      </c>
      <c r="DD5" s="654" t="n">
        <v>45986</v>
      </c>
      <c r="DE5" s="654" t="n">
        <v>45986</v>
      </c>
      <c r="DF5" s="654" t="n">
        <v>45980</v>
      </c>
      <c r="DG5" s="654" t="n">
        <v>45980</v>
      </c>
      <c r="DH5" s="654" t="n">
        <v>45973</v>
      </c>
      <c r="DI5" s="654" t="n">
        <v>45973</v>
      </c>
      <c r="DJ5" s="654" t="n">
        <v>45965</v>
      </c>
      <c r="DK5" s="654" t="n">
        <v>45965</v>
      </c>
      <c r="DL5" s="654" t="n">
        <v>45960</v>
      </c>
      <c r="DM5" s="654" t="n">
        <v>45951</v>
      </c>
      <c r="DN5" s="654" t="n">
        <v>45937</v>
      </c>
      <c r="DO5" s="654" t="n">
        <v>45931</v>
      </c>
      <c r="DP5" s="678" t="n">
        <v>45903</v>
      </c>
      <c r="DQ5" s="679" t="inlineStr">
        <is>
          <t>TRANSF.</t>
        </is>
      </c>
      <c r="DR5" s="654" t="n">
        <v>45923</v>
      </c>
      <c r="DS5" s="654" t="n">
        <v>45909</v>
      </c>
      <c r="DT5" s="654" t="n">
        <v>45915</v>
      </c>
      <c r="DU5" s="654" t="n">
        <v>45909</v>
      </c>
      <c r="DV5" s="654" t="n">
        <v>45903</v>
      </c>
      <c r="DW5" s="654" t="n">
        <v>45895</v>
      </c>
      <c r="DX5" s="654" t="n">
        <v>45895</v>
      </c>
      <c r="DY5" s="679" t="inlineStr">
        <is>
          <t>TRANSF.</t>
        </is>
      </c>
      <c r="DZ5" s="654" t="n">
        <v>45888</v>
      </c>
      <c r="EA5" s="654" t="n">
        <v>45881</v>
      </c>
      <c r="EB5" s="654" t="n">
        <v>45881</v>
      </c>
      <c r="EC5" s="654" t="n">
        <v>45874</v>
      </c>
      <c r="ED5" s="655" t="inlineStr">
        <is>
          <t>TRANSF.</t>
        </is>
      </c>
      <c r="EE5" s="655" t="inlineStr">
        <is>
          <t>TRANSF.</t>
        </is>
      </c>
      <c r="EF5" s="654" t="n">
        <v>45867</v>
      </c>
      <c r="EG5" s="654" t="n">
        <v>45860</v>
      </c>
      <c r="EH5" s="654" t="n">
        <v>45860</v>
      </c>
      <c r="EI5" s="648" t="inlineStr">
        <is>
          <t>TRANSF.</t>
        </is>
      </c>
      <c r="EJ5" s="654" t="n">
        <v>45848</v>
      </c>
      <c r="EK5" s="681" t="inlineStr">
        <is>
          <t>TRANSF.</t>
        </is>
      </c>
      <c r="EL5" s="654" t="n">
        <v>45839</v>
      </c>
      <c r="EM5" s="654" t="n">
        <v>45825</v>
      </c>
      <c r="EN5" s="681" t="n">
        <v>45791</v>
      </c>
      <c r="EO5" s="648" t="inlineStr">
        <is>
          <t>TRANSF.</t>
        </is>
      </c>
      <c r="EP5" s="654" t="n">
        <v>45813</v>
      </c>
      <c r="EQ5" s="648" t="inlineStr">
        <is>
          <t>TRANSF.</t>
        </is>
      </c>
      <c r="ER5" s="654" t="n">
        <v>45805</v>
      </c>
      <c r="ES5" s="654" t="n">
        <v>45783</v>
      </c>
      <c r="ET5" s="648" t="inlineStr">
        <is>
          <t>TRANSF.</t>
        </is>
      </c>
      <c r="EU5" s="654" t="n">
        <v>45790</v>
      </c>
      <c r="EV5" s="683" t="inlineStr">
        <is>
          <t>TRANSF.</t>
        </is>
      </c>
      <c r="EW5" s="650" t="inlineStr">
        <is>
          <t>TRANSF.</t>
        </is>
      </c>
      <c r="EX5" s="648" t="inlineStr">
        <is>
          <t>TRANSF.</t>
        </is>
      </c>
      <c r="EY5" s="654" t="n">
        <v>45783</v>
      </c>
      <c r="EZ5" s="654" t="n">
        <v>45783</v>
      </c>
      <c r="FA5" s="654" t="n">
        <v>45775</v>
      </c>
      <c r="FB5" s="654" t="n">
        <v>45770</v>
      </c>
      <c r="FC5" s="654" t="n">
        <v>45743</v>
      </c>
      <c r="FD5" s="683" t="n">
        <v>45735</v>
      </c>
      <c r="FE5" s="655" t="inlineStr">
        <is>
          <t>TRANSF.</t>
        </is>
      </c>
      <c r="FF5" s="654" t="n">
        <v>45756</v>
      </c>
      <c r="FG5" s="654" t="n">
        <v>45749</v>
      </c>
      <c r="FH5" s="654" t="n">
        <v>45743</v>
      </c>
      <c r="FI5" s="654" t="n">
        <v>45743</v>
      </c>
      <c r="FJ5" s="650" t="inlineStr">
        <is>
          <t>TRANSF.</t>
        </is>
      </c>
      <c r="FK5" s="654" t="n">
        <v>45728</v>
      </c>
      <c r="FL5" s="654" t="n">
        <v>45728</v>
      </c>
      <c r="FM5" s="654" t="n">
        <v>45722</v>
      </c>
      <c r="FN5" s="654" t="n">
        <v>45714</v>
      </c>
      <c r="FO5" s="654" t="n">
        <v>45706</v>
      </c>
      <c r="FP5" s="650" t="n">
        <v>45700</v>
      </c>
      <c r="FQ5" s="654" t="n">
        <v>45699</v>
      </c>
      <c r="FR5" s="654" t="n">
        <v>45706</v>
      </c>
      <c r="FS5" s="654" t="n">
        <v>45693</v>
      </c>
      <c r="FT5" s="654" t="n">
        <v>45685</v>
      </c>
      <c r="FU5" s="654" t="n">
        <v>45679</v>
      </c>
      <c r="FV5" s="654" t="n">
        <v>45660</v>
      </c>
      <c r="FW5" s="654" t="n">
        <v>45674</v>
      </c>
      <c r="FX5" s="655" t="inlineStr">
        <is>
          <t>TRANSF.</t>
        </is>
      </c>
      <c r="FY5" s="654" t="n">
        <v>45652</v>
      </c>
      <c r="FZ5" s="655" t="inlineStr">
        <is>
          <t>TRANSF.</t>
        </is>
      </c>
      <c r="GA5" s="654" t="n">
        <v>45664</v>
      </c>
      <c r="GB5" s="654" t="n">
        <v>45660</v>
      </c>
      <c r="GC5" s="654" t="n">
        <v>45660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46161.4800428125</v>
      </c>
      <c r="CD6" s="651" t="n">
        <v>46161.48072087963</v>
      </c>
      <c r="CE6" s="651" t="n">
        <v>46161.48287954281</v>
      </c>
      <c r="CF6" s="652" t="inlineStr">
        <is>
          <t>USOU</t>
        </is>
      </c>
      <c r="CG6" s="6" t="n"/>
      <c r="CH6" s="214" t="n">
        <v>46156</v>
      </c>
      <c r="CI6" s="653" t="n"/>
      <c r="CJ6" s="656" t="n"/>
      <c r="CK6" s="654" t="n"/>
      <c r="CL6" s="654" t="n"/>
      <c r="CM6" s="654" t="n">
        <v>46155</v>
      </c>
      <c r="CN6" s="654" t="n">
        <v>46126</v>
      </c>
      <c r="CO6" s="710" t="n">
        <v>46113</v>
      </c>
      <c r="CP6" s="654" t="n">
        <v>46104</v>
      </c>
      <c r="CQ6" s="654" t="n">
        <v>46100</v>
      </c>
      <c r="CR6" s="654" t="n">
        <v>46093</v>
      </c>
      <c r="CS6" s="711" t="n">
        <v>46086</v>
      </c>
      <c r="CT6" s="654" t="n">
        <v>46077</v>
      </c>
      <c r="CU6" s="654" t="n">
        <v>46049</v>
      </c>
      <c r="CV6" s="654" t="n">
        <v>46043</v>
      </c>
      <c r="CW6" s="654" t="n">
        <v>46043</v>
      </c>
      <c r="CX6" s="655" t="n">
        <v>46041</v>
      </c>
      <c r="CY6" s="654" t="n">
        <v>46036</v>
      </c>
      <c r="CZ6" s="654" t="n">
        <v>46035</v>
      </c>
      <c r="DA6" s="654" t="n">
        <v>46013</v>
      </c>
      <c r="DB6" s="654" t="n">
        <v>46010</v>
      </c>
      <c r="DC6" s="654" t="n">
        <v>46006</v>
      </c>
      <c r="DD6" s="654" t="n">
        <v>46006</v>
      </c>
      <c r="DE6" s="654" t="n">
        <v>45994</v>
      </c>
      <c r="DF6" s="654" t="n">
        <v>45993</v>
      </c>
      <c r="DG6" s="654" t="n">
        <v>45989</v>
      </c>
      <c r="DH6" s="654" t="n">
        <v>45987</v>
      </c>
      <c r="DI6" s="654" t="n">
        <v>45980</v>
      </c>
      <c r="DJ6" s="654" t="n">
        <v>45980</v>
      </c>
      <c r="DK6" s="654" t="n">
        <v>45971</v>
      </c>
      <c r="DL6" s="654" t="n">
        <v>45971</v>
      </c>
      <c r="DM6" s="654" t="n">
        <v>45958</v>
      </c>
      <c r="DN6" s="654" t="n">
        <v>45943</v>
      </c>
      <c r="DO6" s="654" t="n">
        <v>45946</v>
      </c>
      <c r="DP6" s="687" t="n">
        <v>45939</v>
      </c>
      <c r="DQ6" s="688" t="n">
        <v>45931</v>
      </c>
      <c r="DR6" s="654" t="n">
        <v>45931</v>
      </c>
      <c r="DS6" s="654" t="n">
        <v>45923</v>
      </c>
      <c r="DT6" s="654" t="n">
        <v>45920</v>
      </c>
      <c r="DU6" s="654" t="n">
        <v>45917</v>
      </c>
      <c r="DV6" s="654" t="n">
        <v>45911</v>
      </c>
      <c r="DW6" s="654" t="n">
        <v>45904</v>
      </c>
      <c r="DX6" s="654" t="n">
        <v>45901</v>
      </c>
      <c r="DY6" s="679" t="n">
        <v>45896</v>
      </c>
      <c r="DZ6" s="654" t="n">
        <v>45891</v>
      </c>
      <c r="EA6" s="654" t="n">
        <v>45890</v>
      </c>
      <c r="EB6" s="654" t="n">
        <v>45887</v>
      </c>
      <c r="EC6" s="654" t="n">
        <v>45887</v>
      </c>
      <c r="ED6" s="655" t="n">
        <v>45882</v>
      </c>
      <c r="EE6" s="655" t="n">
        <v>45881</v>
      </c>
      <c r="EF6" s="654" t="n">
        <v>45875</v>
      </c>
      <c r="EG6" s="654" t="n">
        <v>45868</v>
      </c>
      <c r="EH6" s="654" t="n">
        <v>45866</v>
      </c>
      <c r="EI6" s="655" t="n">
        <v>45860</v>
      </c>
      <c r="EJ6" s="654" t="n">
        <v>45854</v>
      </c>
      <c r="EK6" s="681" t="n">
        <v>45853</v>
      </c>
      <c r="EL6" s="654" t="n">
        <v>45842</v>
      </c>
      <c r="EM6" s="654" t="n">
        <v>45833</v>
      </c>
      <c r="EN6" s="681" t="n">
        <v>45826</v>
      </c>
      <c r="EO6" s="655" t="n">
        <v>45826</v>
      </c>
      <c r="EP6" s="654" t="n">
        <v>45824</v>
      </c>
      <c r="EQ6" s="655" t="n">
        <v>45819</v>
      </c>
      <c r="ER6" s="654" t="n">
        <v>45810</v>
      </c>
      <c r="ES6" s="654" t="n">
        <v>45813</v>
      </c>
      <c r="ET6" s="655" t="n">
        <v>45807</v>
      </c>
      <c r="EU6" s="654" t="n">
        <v>45800</v>
      </c>
      <c r="EV6" s="690" t="n">
        <v>45800</v>
      </c>
      <c r="EW6" s="650" t="n">
        <v>45799</v>
      </c>
      <c r="EX6" s="655" t="n">
        <v>45798</v>
      </c>
      <c r="EY6" s="654" t="n">
        <v>45791</v>
      </c>
      <c r="EZ6" s="654" t="n">
        <v>45789</v>
      </c>
      <c r="FA6" s="654" t="n">
        <v>45783</v>
      </c>
      <c r="FB6" s="654" t="n">
        <v>45782</v>
      </c>
      <c r="FC6" s="654" t="n">
        <v>45782</v>
      </c>
      <c r="FD6" s="690" t="n">
        <v>45777</v>
      </c>
      <c r="FE6" s="655" t="n">
        <v>45775</v>
      </c>
      <c r="FF6" s="654" t="n">
        <v>45763</v>
      </c>
      <c r="FG6" s="654" t="n">
        <v>45761</v>
      </c>
      <c r="FH6" s="654" t="n">
        <v>45750</v>
      </c>
      <c r="FI6" s="654" t="n">
        <v>45748</v>
      </c>
      <c r="FJ6" s="650" t="n">
        <v>45740</v>
      </c>
      <c r="FK6" s="654" t="n">
        <v>45736</v>
      </c>
      <c r="FL6" s="654" t="n">
        <v>45735</v>
      </c>
      <c r="FM6" s="654" t="n">
        <v>45728</v>
      </c>
      <c r="FN6" s="654" t="n">
        <v>45722</v>
      </c>
      <c r="FO6" s="654" t="n">
        <v>45722</v>
      </c>
      <c r="FP6" s="650" t="n">
        <v>45721</v>
      </c>
      <c r="FQ6" s="654" t="n">
        <v>45714</v>
      </c>
      <c r="FR6" s="654" t="n">
        <v>45713</v>
      </c>
      <c r="FS6" s="654" t="n">
        <v>45695</v>
      </c>
      <c r="FT6" s="654" t="n">
        <v>45692</v>
      </c>
      <c r="FU6" s="654" t="n">
        <v>45691</v>
      </c>
      <c r="FV6" s="654" t="n">
        <v>45684</v>
      </c>
      <c r="FW6" s="654" t="n">
        <v>45680</v>
      </c>
      <c r="FX6" s="655" t="n">
        <v>45672</v>
      </c>
      <c r="FY6" s="654" t="n">
        <v>45672</v>
      </c>
      <c r="FZ6" s="655" t="n">
        <v>45670</v>
      </c>
      <c r="GA6" s="654" t="n">
        <v>45670</v>
      </c>
      <c r="GB6" s="654" t="n">
        <v>45670</v>
      </c>
      <c r="GC6" s="654" t="n">
        <v>45665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575" t="n"/>
      <c r="CG7" s="6" t="n"/>
      <c r="CH7" s="76" t="n"/>
      <c r="CJ7" s="22" t="n"/>
      <c r="CK7" s="575" t="n"/>
      <c r="CL7" s="575" t="n"/>
      <c r="CM7" s="575" t="n"/>
      <c r="CN7" s="575" t="n"/>
      <c r="CO7" s="270" t="inlineStr">
        <is>
          <t>MÃES</t>
        </is>
      </c>
      <c r="CP7" s="575" t="n"/>
      <c r="CQ7" s="575" t="n"/>
      <c r="CR7" s="575" t="n"/>
      <c r="CS7" s="270" t="inlineStr">
        <is>
          <t>MÃES</t>
        </is>
      </c>
      <c r="CT7" s="575" t="n"/>
      <c r="CU7" s="575" t="n"/>
      <c r="CV7" s="575" t="n"/>
      <c r="CW7" s="575" t="n"/>
      <c r="CX7" s="575" t="n"/>
      <c r="CY7" s="575" t="n"/>
      <c r="CZ7" s="575" t="n"/>
      <c r="DA7" s="575" t="n"/>
      <c r="DB7" s="575" t="n"/>
      <c r="DC7" s="575" t="n"/>
      <c r="DD7" s="575" t="n"/>
      <c r="DE7" s="575" t="n"/>
      <c r="DF7" s="575" t="n"/>
      <c r="DG7" s="575" t="n"/>
      <c r="DH7" s="575" t="n"/>
      <c r="DI7" s="575" t="n"/>
      <c r="DJ7" s="575" t="n"/>
      <c r="DK7" s="575" t="n"/>
      <c r="DL7" s="575" t="n"/>
      <c r="DM7" s="575" t="n"/>
      <c r="DN7" s="575" t="n"/>
      <c r="DO7" s="575" t="n"/>
      <c r="DP7" s="394" t="n"/>
      <c r="DQ7" s="270" t="n"/>
      <c r="DR7" s="575" t="n"/>
      <c r="DS7" s="575" t="n"/>
      <c r="DT7" s="575" t="n"/>
      <c r="DU7" s="575" t="n"/>
      <c r="DV7" s="575" t="n"/>
      <c r="DW7" s="575" t="n"/>
      <c r="DX7" s="575" t="n"/>
      <c r="DY7" s="270" t="inlineStr">
        <is>
          <t>HP</t>
        </is>
      </c>
      <c r="DZ7" s="575" t="n"/>
      <c r="EA7" s="575" t="n"/>
      <c r="EB7" s="575" t="n"/>
      <c r="EC7" s="575" t="n"/>
      <c r="ED7" s="575" t="n"/>
      <c r="EE7" s="575" t="n"/>
      <c r="EF7" s="575" t="n"/>
      <c r="EG7" s="575" t="n"/>
      <c r="EH7" s="575" t="n"/>
      <c r="EI7" s="575" t="n"/>
      <c r="EJ7" s="575" t="n"/>
      <c r="EK7" s="575" t="inlineStr">
        <is>
          <t>PAIS/25</t>
        </is>
      </c>
      <c r="EL7" s="575" t="n"/>
      <c r="EM7" s="575" t="n"/>
      <c r="EN7" s="575" t="n"/>
      <c r="EO7" s="575" t="n"/>
      <c r="EP7" s="575" t="n"/>
      <c r="EQ7" s="575" t="n"/>
      <c r="ER7" s="575" t="n"/>
      <c r="ES7" s="575" t="n"/>
      <c r="ET7" s="575" t="n"/>
      <c r="EU7" s="575" t="n"/>
      <c r="EV7" s="575" t="inlineStr">
        <is>
          <t>NAMO/25</t>
        </is>
      </c>
      <c r="EW7" s="76" t="inlineStr">
        <is>
          <t>MÃES/25</t>
        </is>
      </c>
      <c r="EX7" s="575" t="n"/>
      <c r="EY7" s="575" t="n"/>
      <c r="EZ7" s="575" t="n"/>
      <c r="FA7" s="575" t="n"/>
      <c r="FB7" s="575" t="n"/>
      <c r="FC7" s="575" t="n"/>
      <c r="FD7" s="575" t="n"/>
      <c r="FE7" s="575" t="n"/>
      <c r="FF7" s="575" t="n"/>
      <c r="FG7" s="575" t="n"/>
      <c r="FH7" s="575" t="n"/>
      <c r="FI7" s="575" t="inlineStr">
        <is>
          <t>EUD</t>
        </is>
      </c>
      <c r="FJ7" s="76" t="inlineStr">
        <is>
          <t>MÃES/25</t>
        </is>
      </c>
      <c r="FK7" s="575" t="n"/>
      <c r="FL7" s="575" t="n"/>
      <c r="FM7" s="575" t="n"/>
      <c r="FN7" s="575" t="n"/>
      <c r="FO7" s="575" t="n"/>
      <c r="FP7" s="76" t="inlineStr">
        <is>
          <t>MÃES/25</t>
        </is>
      </c>
      <c r="FQ7" s="575" t="n"/>
      <c r="FR7" s="575" t="inlineStr">
        <is>
          <t>QDB</t>
        </is>
      </c>
      <c r="FS7" s="575" t="n"/>
      <c r="FT7" s="575" t="n"/>
      <c r="FU7" s="575" t="n"/>
      <c r="FV7" s="575" t="n"/>
      <c r="FW7" s="575" t="n"/>
      <c r="FX7" s="575" t="n"/>
      <c r="FY7" s="575" t="n"/>
      <c r="FZ7" s="575" t="n"/>
      <c r="GA7" s="575" t="n"/>
      <c r="GB7" s="575" t="n"/>
      <c r="GC7" s="575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800</v>
      </c>
      <c r="E8" s="6" t="n"/>
      <c r="F8" s="38" t="n">
        <v>450</v>
      </c>
      <c r="G8" s="38">
        <f>300+FZ8</f>
        <v/>
      </c>
      <c r="H8" s="38">
        <f>975+FV8</f>
        <v/>
      </c>
      <c r="I8" s="187">
        <f>1200+FT8</f>
        <v/>
      </c>
      <c r="J8" s="187" t="n">
        <v>1275</v>
      </c>
      <c r="K8" s="187" t="n">
        <v>1200</v>
      </c>
      <c r="L8" s="187" t="n">
        <v>900</v>
      </c>
      <c r="M8" s="187" t="n">
        <v>600</v>
      </c>
      <c r="N8" s="187" t="n">
        <v>600</v>
      </c>
      <c r="O8" s="187">
        <f>840+FL8</f>
        <v/>
      </c>
      <c r="P8" s="187">
        <f>660+FJ8</f>
        <v/>
      </c>
      <c r="Q8" s="187" t="n">
        <v>950</v>
      </c>
      <c r="R8" s="187" t="n">
        <v>800</v>
      </c>
      <c r="S8" s="187" t="n">
        <v>575</v>
      </c>
      <c r="T8" s="187" t="n">
        <v>340</v>
      </c>
      <c r="U8" s="187">
        <f>0+FD8</f>
        <v/>
      </c>
      <c r="V8" s="187" t="n">
        <v>1000</v>
      </c>
      <c r="W8" s="187" t="n">
        <v>875</v>
      </c>
      <c r="X8" s="187" t="n">
        <v>625</v>
      </c>
      <c r="Y8" s="187" t="n">
        <v>950</v>
      </c>
      <c r="Z8" s="187" t="n">
        <v>650</v>
      </c>
      <c r="AA8" s="187">
        <f>200+600</f>
        <v/>
      </c>
      <c r="AB8" s="187" t="n">
        <v>650</v>
      </c>
      <c r="AC8" s="187" t="n">
        <v>925</v>
      </c>
      <c r="AD8" s="187" t="n">
        <v>900</v>
      </c>
      <c r="AE8" s="187" t="n">
        <v>700</v>
      </c>
      <c r="AF8" s="187" t="n">
        <v>275</v>
      </c>
      <c r="AG8" s="187" t="n">
        <v>150</v>
      </c>
      <c r="AH8" s="187" t="n">
        <v>0</v>
      </c>
      <c r="AI8" s="187" t="n">
        <v>900</v>
      </c>
      <c r="AJ8" s="187" t="n">
        <v>275</v>
      </c>
      <c r="AK8" s="187" t="n">
        <v>0</v>
      </c>
      <c r="AL8" s="187" t="n">
        <v>300</v>
      </c>
      <c r="AM8" s="187">
        <f>0+DY8</f>
        <v/>
      </c>
      <c r="AN8" s="187">
        <f>225+DW8</f>
        <v/>
      </c>
      <c r="AO8" s="187" t="n">
        <v>225</v>
      </c>
      <c r="AP8" s="187" t="n">
        <v>150</v>
      </c>
      <c r="AQ8" s="187">
        <f>0+DS8</f>
        <v/>
      </c>
      <c r="AR8" s="187">
        <f>300+DP8</f>
        <v/>
      </c>
      <c r="AS8" s="187" t="n">
        <v>0</v>
      </c>
      <c r="AT8" s="187" t="n">
        <v>0</v>
      </c>
      <c r="AU8" s="187">
        <f>0+DL8</f>
        <v/>
      </c>
      <c r="AV8" s="187" t="n">
        <v>700</v>
      </c>
      <c r="AW8" s="187" t="n">
        <v>275</v>
      </c>
      <c r="AX8" s="187" t="n">
        <v>0</v>
      </c>
      <c r="AY8" s="187">
        <f>0+DI8</f>
        <v/>
      </c>
      <c r="AZ8" s="187" t="n">
        <v>150</v>
      </c>
      <c r="BA8" s="187">
        <f>0+DE8+DD8</f>
        <v/>
      </c>
      <c r="BB8" s="187">
        <f>500+DB8</f>
        <v/>
      </c>
      <c r="BC8" s="187">
        <f>700+CZ8</f>
        <v/>
      </c>
      <c r="BD8" s="187" t="n">
        <v>850</v>
      </c>
      <c r="BE8" s="187" t="n">
        <v>2050</v>
      </c>
      <c r="BF8" s="187" t="n">
        <v>1525</v>
      </c>
      <c r="BG8" s="187" t="n">
        <v>1200</v>
      </c>
      <c r="BH8" s="187" t="n">
        <v>750</v>
      </c>
      <c r="BI8" s="187" t="n">
        <v>425</v>
      </c>
      <c r="BJ8" s="187">
        <f>100+CR8</f>
        <v/>
      </c>
      <c r="BK8" s="187" t="n">
        <v>250</v>
      </c>
      <c r="BL8" s="187" t="n">
        <v>0</v>
      </c>
      <c r="BM8" s="187" t="n">
        <v>0</v>
      </c>
      <c r="BN8" s="187">
        <f>0+CQ8</f>
        <v/>
      </c>
      <c r="BO8" s="187" t="n">
        <v>500</v>
      </c>
      <c r="BP8" s="187">
        <f>100+CO8</f>
        <v/>
      </c>
      <c r="BQ8" s="187" t="n">
        <v>600</v>
      </c>
      <c r="BR8" s="187" t="n">
        <v>425</v>
      </c>
      <c r="BS8" s="187" t="n">
        <v>0</v>
      </c>
      <c r="BT8" s="187" t="n">
        <v>0</v>
      </c>
      <c r="BU8" s="187" t="n">
        <v>0</v>
      </c>
      <c r="BV8" s="187" t="n">
        <v>600</v>
      </c>
      <c r="BW8" s="187" t="n">
        <v>0</v>
      </c>
      <c r="BX8" s="187" t="n">
        <v>0</v>
      </c>
      <c r="BY8" s="187">
        <f>0+CJ8</f>
        <v/>
      </c>
      <c r="BZ8" s="187" t="n"/>
      <c r="CA8" s="187" t="n"/>
      <c r="CB8" s="187" t="n"/>
      <c r="CC8" s="422" t="n"/>
      <c r="CD8" s="422" t="n"/>
      <c r="CE8" s="422" t="n"/>
      <c r="CF8" s="188">
        <f>CD8+IF(NOT(ISBLANK(OFFSET(CF8,0,6))),N(OFFSET(CF8,0,6)),N(OFFSET(CF8,0,7)))-CE8</f>
        <v/>
      </c>
      <c r="CG8" s="6" t="n"/>
      <c r="CH8" s="19" t="n">
        <v>300</v>
      </c>
      <c r="CJ8" s="27" t="n"/>
      <c r="CK8" s="110" t="n">
        <v>0</v>
      </c>
      <c r="CL8" s="179" t="n">
        <v>0</v>
      </c>
      <c r="CM8" s="179" t="n">
        <v>600</v>
      </c>
      <c r="CN8" s="179" t="n">
        <v>600</v>
      </c>
      <c r="CO8" s="179" t="n"/>
      <c r="CP8" s="179" t="n"/>
      <c r="CQ8" s="179" t="n"/>
      <c r="CR8" s="179" t="n">
        <v>900</v>
      </c>
      <c r="CS8" s="179" t="n"/>
      <c r="CT8" s="179" t="n">
        <v>900</v>
      </c>
      <c r="CU8" s="179" t="n">
        <v>600</v>
      </c>
      <c r="CV8" s="179" t="n"/>
      <c r="CW8" s="179" t="n"/>
      <c r="CX8" s="179" t="n"/>
      <c r="CY8" s="179" t="n"/>
      <c r="CZ8" s="179" t="n"/>
      <c r="DA8" s="179" t="n">
        <v>600</v>
      </c>
      <c r="DB8" s="179" t="n">
        <v>600</v>
      </c>
      <c r="DC8" s="179" t="n">
        <v>600</v>
      </c>
      <c r="DD8" s="179" t="n"/>
      <c r="DE8" s="179" t="n">
        <v>600</v>
      </c>
      <c r="DF8" s="179" t="n"/>
      <c r="DG8" s="179" t="n">
        <v>600</v>
      </c>
      <c r="DH8" s="179" t="n">
        <v>300</v>
      </c>
      <c r="DI8" s="179" t="n"/>
      <c r="DJ8" s="179" t="n"/>
      <c r="DK8" s="179" t="n"/>
      <c r="DL8" s="179" t="n">
        <v>600</v>
      </c>
      <c r="DM8" s="179" t="n"/>
      <c r="DN8" s="179" t="n"/>
      <c r="DO8" s="179" t="n">
        <v>900</v>
      </c>
      <c r="DP8" s="356" t="n"/>
      <c r="DQ8" s="256" t="n"/>
      <c r="DR8" s="179" t="n"/>
      <c r="DS8" s="179" t="n">
        <v>300</v>
      </c>
      <c r="DT8" s="179" t="n"/>
      <c r="DU8" s="179" t="n"/>
      <c r="DV8" s="179" t="n">
        <v>300</v>
      </c>
      <c r="DW8" s="179" t="n">
        <v>300</v>
      </c>
      <c r="DX8" s="179" t="n"/>
      <c r="DY8" s="179" t="n"/>
      <c r="DZ8" s="179" t="n">
        <v>300</v>
      </c>
      <c r="EA8" s="179" t="n"/>
      <c r="EB8" s="179" t="n">
        <v>600</v>
      </c>
      <c r="EC8" s="179" t="n"/>
      <c r="ED8" s="256" t="n"/>
      <c r="EE8" s="256" t="n"/>
      <c r="EF8" s="179" t="n">
        <v>600</v>
      </c>
      <c r="EG8" s="179" t="n"/>
      <c r="EH8" s="179" t="n"/>
      <c r="EI8" s="256" t="n"/>
      <c r="EJ8" s="179" t="n">
        <v>900</v>
      </c>
      <c r="EK8" s="179" t="n"/>
      <c r="EL8" s="179" t="n">
        <v>300</v>
      </c>
      <c r="EM8" s="179" t="n"/>
      <c r="EN8" s="179" t="n"/>
      <c r="EO8" s="256" t="n"/>
      <c r="EP8" s="179" t="n"/>
      <c r="EQ8" s="256" t="n"/>
      <c r="ER8" s="179" t="n"/>
      <c r="ES8" s="179" t="n">
        <v>300</v>
      </c>
      <c r="ET8" s="239" t="inlineStr">
        <is>
          <t>600 DE CDP</t>
        </is>
      </c>
      <c r="EU8" s="179" t="n"/>
      <c r="EV8" s="256" t="n"/>
      <c r="EW8" s="256" t="n"/>
      <c r="EX8" s="256" t="n"/>
      <c r="EY8" s="179" t="n"/>
      <c r="EZ8" s="179" t="n"/>
      <c r="FA8" s="179" t="n">
        <v>600</v>
      </c>
      <c r="FB8" s="179" t="n"/>
      <c r="FC8" s="179" t="n"/>
      <c r="FD8" s="256" t="n"/>
      <c r="FE8" s="179" t="n"/>
      <c r="FF8" s="179" t="n">
        <v>600</v>
      </c>
      <c r="FG8" s="179" t="n">
        <v>600</v>
      </c>
      <c r="FH8" s="179" t="n"/>
      <c r="FI8" s="179" t="n"/>
      <c r="FJ8" s="256" t="n"/>
      <c r="FK8" s="179" t="n"/>
      <c r="FL8" s="179" t="n"/>
      <c r="FM8" s="179" t="n">
        <v>300</v>
      </c>
      <c r="FN8" s="179" t="n"/>
      <c r="FO8" s="179" t="n">
        <v>300</v>
      </c>
      <c r="FP8" s="256" t="n"/>
      <c r="FQ8" s="179" t="n">
        <v>600</v>
      </c>
      <c r="FR8" s="179" t="n"/>
      <c r="FS8" s="179" t="n"/>
      <c r="FT8" s="179" t="n"/>
      <c r="FU8" s="179" t="n"/>
      <c r="FV8" s="179" t="n"/>
      <c r="FW8" s="179" t="n">
        <v>300</v>
      </c>
      <c r="FX8" s="179" t="n"/>
      <c r="FY8" s="179" t="n">
        <v>300</v>
      </c>
      <c r="FZ8" s="179" t="n"/>
      <c r="GA8" s="179" t="n">
        <v>300</v>
      </c>
      <c r="GB8" s="179" t="n"/>
      <c r="GC8" s="179" t="n">
        <v>600</v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1000</v>
      </c>
      <c r="E9" s="6" t="n"/>
      <c r="F9" s="187" t="n">
        <v>1150</v>
      </c>
      <c r="G9" s="187">
        <f>750-200</f>
        <v/>
      </c>
      <c r="H9" s="187">
        <f>800+FV9</f>
        <v/>
      </c>
      <c r="I9" s="187">
        <f>1075+FT9</f>
        <v/>
      </c>
      <c r="J9" s="187" t="n">
        <v>1400</v>
      </c>
      <c r="K9" s="187">
        <f>1200+FR9</f>
        <v/>
      </c>
      <c r="L9" s="187" t="n">
        <v>1600</v>
      </c>
      <c r="M9" s="187" t="n">
        <v>1500</v>
      </c>
      <c r="N9" s="187" t="n">
        <v>1200</v>
      </c>
      <c r="O9" s="187" t="n">
        <v>1575</v>
      </c>
      <c r="P9" s="187">
        <f>1300+FJ9</f>
        <v/>
      </c>
      <c r="Q9" s="187" t="n">
        <v>1200</v>
      </c>
      <c r="R9" s="187" t="n">
        <v>1000</v>
      </c>
      <c r="S9" s="187" t="n">
        <v>675</v>
      </c>
      <c r="T9" s="187" t="n">
        <v>400</v>
      </c>
      <c r="U9" s="187">
        <f>225+FD9</f>
        <v/>
      </c>
      <c r="V9" s="187" t="n">
        <v>600</v>
      </c>
      <c r="W9" s="187" t="n">
        <v>275</v>
      </c>
      <c r="X9" s="187" t="n">
        <v>0</v>
      </c>
      <c r="Y9" s="187" t="n">
        <v>300</v>
      </c>
      <c r="Z9" s="187" t="n">
        <v>325</v>
      </c>
      <c r="AA9" s="187" t="n">
        <v>600</v>
      </c>
      <c r="AB9" s="187" t="n">
        <v>600</v>
      </c>
      <c r="AC9" s="187" t="n">
        <v>600</v>
      </c>
      <c r="AD9" s="187" t="n">
        <v>550</v>
      </c>
      <c r="AE9" s="187">
        <f>475+EJ9</f>
        <v/>
      </c>
      <c r="AF9" s="187" t="n">
        <v>200</v>
      </c>
      <c r="AG9" s="187" t="n">
        <v>950</v>
      </c>
      <c r="AH9" s="187" t="n">
        <v>750</v>
      </c>
      <c r="AI9" s="187" t="n">
        <v>725</v>
      </c>
      <c r="AJ9" s="187" t="n">
        <v>275</v>
      </c>
      <c r="AK9" s="187" t="n">
        <v>400</v>
      </c>
      <c r="AL9" s="187" t="n">
        <v>800</v>
      </c>
      <c r="AM9" s="187">
        <f>200+DY9</f>
        <v/>
      </c>
      <c r="AN9" s="187" t="n">
        <v>1200</v>
      </c>
      <c r="AO9" s="187" t="n">
        <v>700</v>
      </c>
      <c r="AP9" s="187" t="n">
        <v>275</v>
      </c>
      <c r="AQ9" s="187" t="n">
        <v>800</v>
      </c>
      <c r="AR9" s="187" t="n">
        <v>1000</v>
      </c>
      <c r="AS9" s="187" t="n">
        <v>525</v>
      </c>
      <c r="AT9" s="187" t="n">
        <v>400</v>
      </c>
      <c r="AU9" s="187">
        <f>400+DL9</f>
        <v/>
      </c>
      <c r="AV9" s="187" t="n">
        <v>400</v>
      </c>
      <c r="AW9" s="187">
        <f>400+DJ9</f>
        <v/>
      </c>
      <c r="AX9" s="187" t="n">
        <v>700</v>
      </c>
      <c r="AY9" s="187">
        <f>0+DH9</f>
        <v/>
      </c>
      <c r="AZ9" s="187" t="n">
        <v>0</v>
      </c>
      <c r="BA9" s="187">
        <f>0+DD9</f>
        <v/>
      </c>
      <c r="BB9" s="187">
        <f>1400+DB9</f>
        <v/>
      </c>
      <c r="BC9" s="187">
        <f>2300+CZ9</f>
        <v/>
      </c>
      <c r="BD9" s="187" t="n">
        <v>2700</v>
      </c>
      <c r="BE9" s="187" t="n">
        <v>3300</v>
      </c>
      <c r="BF9" s="187" t="n">
        <v>1750</v>
      </c>
      <c r="BG9" s="187" t="n">
        <v>1700</v>
      </c>
      <c r="BH9" s="187" t="n">
        <v>1200</v>
      </c>
      <c r="BI9" s="187" t="n">
        <v>1700</v>
      </c>
      <c r="BJ9" s="187">
        <f>1450+CR9</f>
        <v/>
      </c>
      <c r="BK9" s="187" t="n">
        <v>1475</v>
      </c>
      <c r="BL9" s="187" t="n">
        <v>1750</v>
      </c>
      <c r="BM9" s="187" t="n">
        <v>1400</v>
      </c>
      <c r="BN9" s="187">
        <f>1050+CQ9</f>
        <v/>
      </c>
      <c r="BO9" s="187" t="n">
        <v>1075</v>
      </c>
      <c r="BP9" s="187" t="n">
        <v>600</v>
      </c>
      <c r="BQ9" s="187">
        <f>50+CN9</f>
        <v/>
      </c>
      <c r="BR9" s="187" t="n">
        <v>400</v>
      </c>
      <c r="BS9" s="187" t="n">
        <v>0</v>
      </c>
      <c r="BT9" s="187" t="n">
        <v>0</v>
      </c>
      <c r="BU9" s="187" t="n">
        <v>0</v>
      </c>
      <c r="BV9" s="187" t="n">
        <v>1000</v>
      </c>
      <c r="BW9" s="187" t="n">
        <v>800</v>
      </c>
      <c r="BX9" s="187" t="n">
        <v>400</v>
      </c>
      <c r="BY9" s="187">
        <f>0+CJ9</f>
        <v/>
      </c>
      <c r="BZ9" s="187" t="n"/>
      <c r="CA9" s="187" t="n"/>
      <c r="CB9" s="187" t="n"/>
      <c r="CC9" s="422" t="n"/>
      <c r="CD9" s="422" t="n"/>
      <c r="CE9" s="422" t="n"/>
      <c r="CF9" s="188">
        <f>CD9+IF(NOT(ISBLANK(OFFSET(CF9,0,6))),N(OFFSET(CF9,0,6)),N(OFFSET(CF9,0,7)))-CE9</f>
        <v/>
      </c>
      <c r="CG9" s="6" t="n"/>
      <c r="CH9" s="19" t="n">
        <v>400</v>
      </c>
      <c r="CJ9" s="27" t="n"/>
      <c r="CK9" s="110" t="n">
        <v>0</v>
      </c>
      <c r="CL9" s="179" t="n">
        <v>0</v>
      </c>
      <c r="CM9" s="179" t="n">
        <v>800</v>
      </c>
      <c r="CN9" s="179" t="n">
        <v>1000</v>
      </c>
      <c r="CO9" s="403" t="n">
        <v>2000</v>
      </c>
      <c r="CP9" s="179" t="n"/>
      <c r="CQ9" s="179" t="n">
        <v>600</v>
      </c>
      <c r="CR9" s="179" t="n"/>
      <c r="CS9" s="179" t="n"/>
      <c r="CT9" s="179" t="n">
        <v>400</v>
      </c>
      <c r="CU9" s="179" t="n">
        <v>1600</v>
      </c>
      <c r="CV9" s="179" t="n"/>
      <c r="CW9" s="179" t="n"/>
      <c r="CX9" s="179" t="n"/>
      <c r="CY9" s="179" t="n">
        <v>400</v>
      </c>
      <c r="CZ9" s="179" t="n">
        <v>800</v>
      </c>
      <c r="DA9" s="179" t="n">
        <v>600</v>
      </c>
      <c r="DB9" s="179" t="n"/>
      <c r="DC9" s="179" t="n">
        <v>1000</v>
      </c>
      <c r="DD9" s="179" t="n"/>
      <c r="DE9" s="179" t="n">
        <v>1400</v>
      </c>
      <c r="DF9" s="179" t="n"/>
      <c r="DG9" s="179" t="n">
        <v>1600</v>
      </c>
      <c r="DH9" s="179" t="n"/>
      <c r="DI9" s="179" t="n"/>
      <c r="DJ9" s="179" t="n"/>
      <c r="DK9" s="179" t="n">
        <v>1000</v>
      </c>
      <c r="DL9" s="179" t="n"/>
      <c r="DM9" s="179" t="n">
        <v>1000</v>
      </c>
      <c r="DN9" s="179" t="n"/>
      <c r="DO9" s="179" t="n">
        <v>600</v>
      </c>
      <c r="DP9" s="256" t="n"/>
      <c r="DQ9" s="256" t="n"/>
      <c r="DR9" s="179" t="n"/>
      <c r="DS9" s="179" t="n"/>
      <c r="DT9" s="179" t="n">
        <v>600</v>
      </c>
      <c r="DU9" s="179" t="n"/>
      <c r="DV9" s="179" t="n">
        <v>1000</v>
      </c>
      <c r="DW9" s="179" t="n"/>
      <c r="DX9" s="179" t="n"/>
      <c r="DY9" s="179" t="n"/>
      <c r="DZ9" s="179" t="n">
        <v>1000</v>
      </c>
      <c r="EA9" s="179" t="n"/>
      <c r="EB9" s="179" t="n">
        <v>400</v>
      </c>
      <c r="EC9" s="179" t="n"/>
      <c r="ED9" s="256" t="n"/>
      <c r="EE9" s="256" t="n"/>
      <c r="EF9" s="179" t="n">
        <v>600</v>
      </c>
      <c r="EG9" s="179" t="n">
        <v>400</v>
      </c>
      <c r="EH9" s="179" t="n"/>
      <c r="EI9" s="256" t="n"/>
      <c r="EJ9" s="179" t="n">
        <v>200</v>
      </c>
      <c r="EK9" s="179" t="n"/>
      <c r="EL9" s="179" t="n">
        <v>1000</v>
      </c>
      <c r="EM9" s="179" t="n">
        <v>200</v>
      </c>
      <c r="EN9" s="179" t="n"/>
      <c r="EO9" s="256" t="n"/>
      <c r="EP9" s="179" t="n">
        <v>400</v>
      </c>
      <c r="EQ9" s="256" t="n"/>
      <c r="ER9" s="179" t="n"/>
      <c r="ES9" s="179" t="n"/>
      <c r="ET9" s="256" t="n"/>
      <c r="EU9" s="179" t="n">
        <v>600</v>
      </c>
      <c r="EV9" s="256" t="n"/>
      <c r="EW9" s="256" t="n"/>
      <c r="EX9" s="256" t="n"/>
      <c r="EY9" s="179" t="n">
        <v>200</v>
      </c>
      <c r="EZ9" s="179" t="n"/>
      <c r="FA9" s="179" t="n">
        <v>800</v>
      </c>
      <c r="FB9" s="179" t="n"/>
      <c r="FC9" s="179" t="n"/>
      <c r="FD9" s="256" t="n"/>
      <c r="FE9" s="179" t="n"/>
      <c r="FF9" s="179" t="n">
        <v>400</v>
      </c>
      <c r="FG9" s="179" t="n">
        <v>400</v>
      </c>
      <c r="FH9" s="179" t="n"/>
      <c r="FI9" s="179" t="n"/>
      <c r="FJ9" s="256" t="n"/>
      <c r="FK9" s="179" t="n"/>
      <c r="FL9" s="179" t="n"/>
      <c r="FM9" s="179" t="n">
        <v>400</v>
      </c>
      <c r="FN9" s="179" t="n"/>
      <c r="FO9" s="179" t="n"/>
      <c r="FP9" s="256" t="n">
        <v>1000</v>
      </c>
      <c r="FQ9" s="179" t="n">
        <v>600</v>
      </c>
      <c r="FR9" s="179" t="n"/>
      <c r="FS9" s="179" t="n">
        <v>400</v>
      </c>
      <c r="FT9" s="179" t="n"/>
      <c r="FU9" s="179" t="n">
        <v>400</v>
      </c>
      <c r="FV9" s="179" t="n"/>
      <c r="FW9" s="179" t="n">
        <v>600</v>
      </c>
      <c r="FX9" s="179" t="n"/>
      <c r="FY9" s="179" t="n">
        <v>600</v>
      </c>
      <c r="FZ9" s="239" t="inlineStr">
        <is>
          <t>200 P/ PBE</t>
        </is>
      </c>
      <c r="GA9" s="179" t="n">
        <v>600</v>
      </c>
      <c r="GB9" s="179" t="n"/>
      <c r="GC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400</v>
      </c>
      <c r="E10" s="6" t="n"/>
      <c r="F10" s="38" t="n">
        <v>600</v>
      </c>
      <c r="G10" s="38" t="n">
        <v>600</v>
      </c>
      <c r="H10" s="38">
        <f>600+FV10</f>
        <v/>
      </c>
      <c r="I10" s="187" t="n">
        <v>1200</v>
      </c>
      <c r="J10" s="187" t="n">
        <v>1000</v>
      </c>
      <c r="K10" s="187" t="n">
        <v>975</v>
      </c>
      <c r="L10" s="187" t="n">
        <v>950</v>
      </c>
      <c r="M10" s="187" t="n">
        <v>900</v>
      </c>
      <c r="N10" s="187" t="n">
        <v>875</v>
      </c>
      <c r="O10" s="187" t="n">
        <v>975</v>
      </c>
      <c r="P10" s="187" t="n">
        <v>1000</v>
      </c>
      <c r="Q10" s="187" t="n">
        <v>1000</v>
      </c>
      <c r="R10" s="187" t="n">
        <v>800</v>
      </c>
      <c r="S10" s="187" t="n">
        <v>750</v>
      </c>
      <c r="T10" s="187" t="n">
        <v>725</v>
      </c>
      <c r="U10" s="187" t="n">
        <v>725</v>
      </c>
      <c r="V10" s="187" t="n">
        <v>600</v>
      </c>
      <c r="W10" s="187" t="n">
        <v>600</v>
      </c>
      <c r="X10" s="187" t="n">
        <v>600</v>
      </c>
      <c r="Y10" s="187" t="n">
        <v>450</v>
      </c>
      <c r="Z10" s="187" t="n">
        <v>400</v>
      </c>
      <c r="AA10" s="187">
        <f>225+400</f>
        <v/>
      </c>
      <c r="AB10" s="187" t="n">
        <v>600</v>
      </c>
      <c r="AC10" s="187" t="n">
        <v>400</v>
      </c>
      <c r="AD10" s="187" t="n">
        <v>400</v>
      </c>
      <c r="AE10" s="187" t="n">
        <v>300</v>
      </c>
      <c r="AF10" s="187" t="n">
        <v>300</v>
      </c>
      <c r="AG10" s="187" t="n">
        <v>450</v>
      </c>
      <c r="AH10" s="187" t="n">
        <v>400</v>
      </c>
      <c r="AI10" s="187" t="n">
        <v>300</v>
      </c>
      <c r="AJ10" s="187" t="n">
        <v>250</v>
      </c>
      <c r="AK10" s="187" t="n">
        <v>200</v>
      </c>
      <c r="AL10" s="187" t="n">
        <v>100</v>
      </c>
      <c r="AM10" s="187">
        <f>0+DY10</f>
        <v/>
      </c>
      <c r="AN10" s="187" t="n">
        <v>350</v>
      </c>
      <c r="AO10" s="187" t="n">
        <v>275</v>
      </c>
      <c r="AP10" s="187" t="n">
        <v>275</v>
      </c>
      <c r="AQ10" s="187">
        <f>250+DR10</f>
        <v/>
      </c>
      <c r="AR10" s="187" t="n">
        <v>625</v>
      </c>
      <c r="AS10" s="187" t="n">
        <v>600</v>
      </c>
      <c r="AT10" s="187" t="n">
        <v>425</v>
      </c>
      <c r="AU10" s="187" t="n">
        <v>300</v>
      </c>
      <c r="AV10" s="187" t="n">
        <v>150</v>
      </c>
      <c r="AW10" s="187">
        <f>0+DJ10</f>
        <v/>
      </c>
      <c r="AX10" s="187" t="n">
        <v>275</v>
      </c>
      <c r="AY10" s="187">
        <f>200+DH10</f>
        <v/>
      </c>
      <c r="AZ10" s="187" t="n">
        <v>250</v>
      </c>
      <c r="BA10" s="187">
        <f>200+DE10+DD10</f>
        <v/>
      </c>
      <c r="BB10" s="187" t="n">
        <v>900</v>
      </c>
      <c r="BC10" s="187" t="n">
        <v>825</v>
      </c>
      <c r="BD10" s="187" t="n">
        <v>650</v>
      </c>
      <c r="BE10" s="187" t="n">
        <v>850</v>
      </c>
      <c r="BF10" s="187" t="n">
        <v>625</v>
      </c>
      <c r="BG10" s="187" t="n">
        <v>600</v>
      </c>
      <c r="BH10" s="187" t="n">
        <v>575</v>
      </c>
      <c r="BI10" s="187">
        <f>750+200</f>
        <v/>
      </c>
      <c r="BJ10" s="187" t="n">
        <v>925</v>
      </c>
      <c r="BK10" s="187" t="n">
        <v>875</v>
      </c>
      <c r="BL10" s="187" t="n">
        <v>800</v>
      </c>
      <c r="BM10" s="187" t="n">
        <v>675</v>
      </c>
      <c r="BN10" s="187" t="n">
        <v>675</v>
      </c>
      <c r="BO10" s="187" t="n">
        <v>600</v>
      </c>
      <c r="BP10" s="187" t="n">
        <v>275</v>
      </c>
      <c r="BQ10" s="187">
        <f>200+CN10</f>
        <v/>
      </c>
      <c r="BR10" s="187" t="n">
        <v>450</v>
      </c>
      <c r="BS10" s="187" t="n">
        <v>400</v>
      </c>
      <c r="BT10" s="187" t="n">
        <v>75</v>
      </c>
      <c r="BU10" s="187" t="n">
        <v>0</v>
      </c>
      <c r="BV10" s="187" t="n">
        <v>200</v>
      </c>
      <c r="BW10" s="187" t="n">
        <v>200</v>
      </c>
      <c r="BX10" s="187" t="n">
        <v>125</v>
      </c>
      <c r="BY10" s="187" t="n">
        <v>0</v>
      </c>
      <c r="BZ10" s="187" t="n"/>
      <c r="CA10" s="187" t="n"/>
      <c r="CB10" s="187" t="n"/>
      <c r="CC10" s="422" t="n"/>
      <c r="CD10" s="422" t="n"/>
      <c r="CE10" s="422" t="n"/>
      <c r="CF10" s="188">
        <f>CD10+IF(NOT(ISBLANK(OFFSET(CF10,0,6))),N(OFFSET(CF10,0,6)),N(OFFSET(CF10,0,7)))-CE10</f>
        <v/>
      </c>
      <c r="CG10" s="6" t="n"/>
      <c r="CH10" s="233" t="inlineStr">
        <is>
          <t>400 DE ER MG</t>
        </is>
      </c>
      <c r="CI10" s="4" t="n"/>
      <c r="CJ10" s="27" t="n"/>
      <c r="CK10" s="18" t="n">
        <v>0</v>
      </c>
      <c r="CL10" s="18" t="n">
        <v>0</v>
      </c>
      <c r="CM10" s="18" t="n">
        <v>0</v>
      </c>
      <c r="CN10" s="18" t="n">
        <v>200</v>
      </c>
      <c r="CO10" s="403" t="n">
        <v>600</v>
      </c>
      <c r="CP10" s="18" t="n"/>
      <c r="CQ10" s="18" t="n">
        <v>400</v>
      </c>
      <c r="CR10" s="18" t="n"/>
      <c r="CS10" s="418" t="n">
        <v>150</v>
      </c>
      <c r="CT10" s="18" t="n"/>
      <c r="CU10" s="18" t="n"/>
      <c r="CV10" s="18" t="n"/>
      <c r="CW10" s="18" t="n"/>
      <c r="CX10" s="154" t="inlineStr">
        <is>
          <t>200 DE ER MG</t>
        </is>
      </c>
      <c r="CY10" s="18" t="n">
        <v>200</v>
      </c>
      <c r="CZ10" s="18" t="n"/>
      <c r="DA10" s="18" t="n">
        <v>200</v>
      </c>
      <c r="DB10" s="18" t="n"/>
      <c r="DC10" s="18" t="n"/>
      <c r="DD10" s="18" t="n"/>
      <c r="DE10" s="18" t="n"/>
      <c r="DF10" s="18" t="n"/>
      <c r="DG10" s="18" t="n">
        <v>600</v>
      </c>
      <c r="DH10" s="18" t="n">
        <v>200</v>
      </c>
      <c r="DI10" s="18" t="n"/>
      <c r="DJ10" s="18" t="n"/>
      <c r="DK10" s="18" t="n">
        <v>200</v>
      </c>
      <c r="DL10" s="18" t="n"/>
      <c r="DM10" s="18" t="n">
        <v>400</v>
      </c>
      <c r="DN10" s="18" t="n"/>
      <c r="DO10" s="18" t="n"/>
      <c r="DP10" s="256" t="n"/>
      <c r="DQ10" s="404" t="inlineStr">
        <is>
          <t>20 DE ER PG</t>
        </is>
      </c>
      <c r="DR10" s="18" t="n"/>
      <c r="DS10" s="18" t="n"/>
      <c r="DT10" s="18" t="n"/>
      <c r="DU10" s="18" t="n">
        <v>400</v>
      </c>
      <c r="DV10" s="18" t="n"/>
      <c r="DW10" s="18" t="n">
        <v>200</v>
      </c>
      <c r="DX10" s="18" t="n"/>
      <c r="DY10" s="18" t="n"/>
      <c r="DZ10" s="18" t="n"/>
      <c r="EA10" s="18" t="n"/>
      <c r="EB10" s="18" t="n">
        <v>400</v>
      </c>
      <c r="EC10" s="18" t="n"/>
      <c r="ED10" s="256" t="n"/>
      <c r="EE10" s="256" t="n"/>
      <c r="EF10" s="18" t="n"/>
      <c r="EG10" s="18" t="n"/>
      <c r="EH10" s="18" t="n"/>
      <c r="EI10" s="256" t="n"/>
      <c r="EJ10" s="18" t="n"/>
      <c r="EK10" s="179" t="n"/>
      <c r="EL10" s="18" t="n">
        <v>200</v>
      </c>
      <c r="EM10" s="18" t="n"/>
      <c r="EN10" s="256" t="n">
        <v>400</v>
      </c>
      <c r="EO10" s="256" t="n"/>
      <c r="EP10" s="18" t="n"/>
      <c r="EQ10" s="256" t="n"/>
      <c r="ER10" s="18" t="n"/>
      <c r="ES10" s="18" t="n"/>
      <c r="ET10" s="239" t="inlineStr">
        <is>
          <t>400 DE ER PG</t>
        </is>
      </c>
      <c r="EU10" s="18" t="n"/>
      <c r="EV10" s="256" t="n"/>
      <c r="EW10" s="256" t="n"/>
      <c r="EX10" s="256" t="n"/>
      <c r="EY10" s="18" t="n"/>
      <c r="EZ10" s="18" t="n"/>
      <c r="FA10" s="18" t="n"/>
      <c r="FB10" s="18" t="n"/>
      <c r="FC10" s="18" t="n"/>
      <c r="FD10" s="256" t="n">
        <v>170</v>
      </c>
      <c r="FE10" s="18" t="n"/>
      <c r="FF10" s="18" t="n"/>
      <c r="FG10" s="18" t="n"/>
      <c r="FH10" s="18" t="n"/>
      <c r="FI10" s="18" t="n"/>
      <c r="FJ10" s="256" t="n"/>
      <c r="FK10" s="18" t="n"/>
      <c r="FL10" s="18" t="n"/>
      <c r="FM10" s="18" t="n"/>
      <c r="FN10" s="18" t="n"/>
      <c r="FO10" s="18" t="n"/>
      <c r="FP10" s="256" t="n">
        <v>600</v>
      </c>
      <c r="FQ10" s="18" t="n"/>
      <c r="FR10" s="18" t="n"/>
      <c r="FS10" s="18" t="n"/>
      <c r="FT10" s="18" t="n"/>
      <c r="FU10" s="18" t="n"/>
      <c r="FV10" s="18" t="n"/>
      <c r="FW10" s="18" t="n"/>
      <c r="FX10" s="18" t="n"/>
      <c r="FY10" s="18" t="n">
        <v>600</v>
      </c>
      <c r="FZ10" s="18" t="n"/>
      <c r="GA10" s="18" t="n"/>
      <c r="GB10" s="18" t="n"/>
      <c r="GC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200</v>
      </c>
      <c r="E11" s="6" t="n"/>
      <c r="F11" s="38" t="n">
        <v>300</v>
      </c>
      <c r="G11" s="38" t="n">
        <v>300</v>
      </c>
      <c r="H11" s="38">
        <f>275+FV11</f>
        <v/>
      </c>
      <c r="I11" s="38" t="n">
        <v>375</v>
      </c>
      <c r="J11" s="38" t="n">
        <v>375</v>
      </c>
      <c r="K11" s="38" t="n">
        <v>325</v>
      </c>
      <c r="L11" s="38" t="n">
        <v>325</v>
      </c>
      <c r="M11" s="38" t="n">
        <v>325</v>
      </c>
      <c r="N11" s="38" t="n">
        <v>300</v>
      </c>
      <c r="O11" s="38" t="n">
        <v>400</v>
      </c>
      <c r="P11" s="38" t="n">
        <v>400</v>
      </c>
      <c r="Q11" s="38" t="n">
        <v>400</v>
      </c>
      <c r="R11" s="38" t="n">
        <v>400</v>
      </c>
      <c r="S11" s="38" t="n">
        <v>400</v>
      </c>
      <c r="T11" s="38" t="n">
        <v>375</v>
      </c>
      <c r="U11" s="38" t="n">
        <v>375</v>
      </c>
      <c r="V11" s="38" t="n">
        <v>350</v>
      </c>
      <c r="W11" s="38" t="n">
        <v>350</v>
      </c>
      <c r="X11" s="38" t="n">
        <v>350</v>
      </c>
      <c r="Y11" s="38" t="n">
        <v>350</v>
      </c>
      <c r="Z11" s="38" t="n">
        <v>350</v>
      </c>
      <c r="AA11" s="38" t="n">
        <v>350</v>
      </c>
      <c r="AB11" s="38" t="n">
        <v>325</v>
      </c>
      <c r="AC11" s="38" t="n">
        <v>325</v>
      </c>
      <c r="AD11" s="38" t="n">
        <v>325</v>
      </c>
      <c r="AE11" s="38" t="n">
        <v>325</v>
      </c>
      <c r="AF11" s="38" t="n">
        <v>325</v>
      </c>
      <c r="AG11" s="38" t="n">
        <v>325</v>
      </c>
      <c r="AH11" s="38" t="n">
        <v>225</v>
      </c>
      <c r="AI11" s="38" t="n">
        <v>35</v>
      </c>
      <c r="AJ11" s="38" t="n">
        <v>625</v>
      </c>
      <c r="AK11" s="38" t="n">
        <v>625</v>
      </c>
      <c r="AL11" s="38" t="n">
        <v>600</v>
      </c>
      <c r="AM11" s="38" t="n">
        <v>600</v>
      </c>
      <c r="AN11" s="38" t="n">
        <v>475</v>
      </c>
      <c r="AO11" s="38" t="n">
        <v>475</v>
      </c>
      <c r="AP11" s="38" t="n">
        <v>450</v>
      </c>
      <c r="AQ11" s="38" t="n">
        <v>450</v>
      </c>
      <c r="AR11" s="38" t="n">
        <v>550</v>
      </c>
      <c r="AS11" s="38" t="n">
        <v>525</v>
      </c>
      <c r="AT11" s="38" t="n">
        <v>475</v>
      </c>
      <c r="AU11" s="38" t="n">
        <v>425</v>
      </c>
      <c r="AV11" s="38" t="n">
        <v>350</v>
      </c>
      <c r="AW11" s="38" t="n">
        <v>350</v>
      </c>
      <c r="AX11" s="38" t="n">
        <v>350</v>
      </c>
      <c r="AY11" s="38" t="n">
        <v>0</v>
      </c>
      <c r="AZ11" s="38" t="n">
        <v>0</v>
      </c>
      <c r="BA11" s="38">
        <f>0+DE11+DD11</f>
        <v/>
      </c>
      <c r="BB11" s="38" t="n">
        <v>800</v>
      </c>
      <c r="BC11" s="38" t="n">
        <v>800</v>
      </c>
      <c r="BD11" s="38" t="n">
        <v>800</v>
      </c>
      <c r="BE11" s="38" t="n">
        <v>800</v>
      </c>
      <c r="BF11" s="38" t="n">
        <v>875</v>
      </c>
      <c r="BG11" s="38" t="n">
        <v>875</v>
      </c>
      <c r="BH11" s="38" t="n">
        <v>875</v>
      </c>
      <c r="BI11" s="38">
        <f>875+100</f>
        <v/>
      </c>
      <c r="BJ11" s="38" t="n">
        <v>325</v>
      </c>
      <c r="BK11" s="38" t="n">
        <v>325</v>
      </c>
      <c r="BL11" s="38" t="n">
        <v>300</v>
      </c>
      <c r="BM11" s="38" t="n">
        <v>300</v>
      </c>
      <c r="BN11" s="38" t="n">
        <v>300</v>
      </c>
      <c r="BO11" s="38" t="n">
        <v>250</v>
      </c>
      <c r="BP11" s="38" t="n">
        <v>250</v>
      </c>
      <c r="BQ11" s="38" t="n">
        <v>200</v>
      </c>
      <c r="BR11" s="38" t="n">
        <v>175</v>
      </c>
      <c r="BS11" s="38" t="n">
        <v>175</v>
      </c>
      <c r="BT11" s="38" t="n">
        <v>175</v>
      </c>
      <c r="BU11" s="38" t="n">
        <v>175</v>
      </c>
      <c r="BV11" s="38" t="n">
        <v>175</v>
      </c>
      <c r="BW11" s="38" t="n">
        <v>175</v>
      </c>
      <c r="BX11" s="38" t="n">
        <v>175</v>
      </c>
      <c r="BY11" s="38" t="n">
        <v>0</v>
      </c>
      <c r="BZ11" s="38" t="n"/>
      <c r="CA11" s="38" t="n"/>
      <c r="CB11" s="38" t="n"/>
      <c r="CC11" s="9" t="n"/>
      <c r="CD11" s="9" t="n"/>
      <c r="CE11" s="9" t="n"/>
      <c r="CF11" s="188">
        <f>CD11+IF(NOT(ISBLANK(OFFSET(CF11,0,6))),N(OFFSET(CF11,0,6)),N(OFFSET(CF11,0,7)))-CE11</f>
        <v/>
      </c>
      <c r="CG11" s="6" t="n"/>
      <c r="CH11" s="233" t="inlineStr">
        <is>
          <t>200 DE CDP</t>
        </is>
      </c>
      <c r="CI11" s="4" t="n"/>
      <c r="CJ11" s="65" t="n"/>
      <c r="CK11" s="18" t="n">
        <v>0</v>
      </c>
      <c r="CL11" s="18" t="n">
        <v>0</v>
      </c>
      <c r="CM11" s="18" t="n">
        <v>0</v>
      </c>
      <c r="CN11" s="18" t="n"/>
      <c r="CO11" s="403" t="n">
        <v>300</v>
      </c>
      <c r="CP11" s="18" t="n"/>
      <c r="CQ11" s="18" t="n"/>
      <c r="CR11" s="18" t="n"/>
      <c r="CS11" s="18" t="n"/>
      <c r="CT11" s="18" t="n"/>
      <c r="CU11" s="18" t="n"/>
      <c r="CV11" s="18" t="n"/>
      <c r="CW11" s="18" t="n"/>
      <c r="CX11" s="154" t="inlineStr">
        <is>
          <t>100 DE ER MG</t>
        </is>
      </c>
      <c r="CY11" s="18" t="n"/>
      <c r="CZ11" s="18" t="n"/>
      <c r="DA11" s="18" t="n"/>
      <c r="DB11" s="18" t="n"/>
      <c r="DC11" s="18" t="n"/>
      <c r="DD11" s="18" t="n"/>
      <c r="DE11" s="18" t="n"/>
      <c r="DF11" s="18" t="n"/>
      <c r="DG11" s="18" t="n">
        <v>200</v>
      </c>
      <c r="DH11" s="18" t="n">
        <v>400</v>
      </c>
      <c r="DI11" s="18" t="n"/>
      <c r="DJ11" s="18" t="n"/>
      <c r="DK11" s="18" t="n"/>
      <c r="DL11" s="18" t="n"/>
      <c r="DM11" s="18" t="n"/>
      <c r="DN11" s="18" t="n"/>
      <c r="DO11" s="18" t="n"/>
      <c r="DP11" s="256" t="n"/>
      <c r="DQ11" s="256" t="n"/>
      <c r="DR11" s="18" t="n"/>
      <c r="DS11" s="18" t="n"/>
      <c r="DT11" s="18" t="n"/>
      <c r="DU11" s="18" t="n"/>
      <c r="DV11" s="18" t="n"/>
      <c r="DW11" s="18" t="n"/>
      <c r="DX11" s="18" t="n"/>
      <c r="DY11" s="376" t="inlineStr">
        <is>
          <t>40 DE CDP</t>
        </is>
      </c>
      <c r="DZ11" s="18" t="n"/>
      <c r="EA11" s="18" t="n"/>
      <c r="EB11" s="18" t="n"/>
      <c r="EC11" s="18" t="n"/>
      <c r="ED11" s="18" t="n"/>
      <c r="EE11" s="18" t="n"/>
      <c r="EF11" s="18" t="n"/>
      <c r="EG11" s="18" t="n">
        <v>300</v>
      </c>
      <c r="EH11" s="18" t="n"/>
      <c r="EI11" s="18" t="n"/>
      <c r="EJ11" s="18" t="n"/>
      <c r="EK11" s="18" t="n"/>
      <c r="EL11" s="18" t="n"/>
      <c r="EM11" s="18" t="n"/>
      <c r="EN11" s="18" t="n"/>
      <c r="EO11" s="18" t="n"/>
      <c r="EP11" s="18" t="n"/>
      <c r="EQ11" s="18" t="n"/>
      <c r="ER11" s="18" t="n"/>
      <c r="ES11" s="18" t="n"/>
      <c r="ET11" s="18" t="n"/>
      <c r="EU11" s="18" t="n"/>
      <c r="EV11" s="256" t="n"/>
      <c r="EW11" s="256" t="n"/>
      <c r="EX11" s="18" t="n"/>
      <c r="EY11" s="18" t="n"/>
      <c r="EZ11" s="18" t="n"/>
      <c r="FA11" s="18" t="n"/>
      <c r="FB11" s="18" t="n"/>
      <c r="FC11" s="18" t="n"/>
      <c r="FD11" s="256" t="n">
        <v>80</v>
      </c>
      <c r="FE11" s="18" t="n"/>
      <c r="FF11" s="18" t="n"/>
      <c r="FG11" s="18" t="n"/>
      <c r="FH11" s="18" t="n"/>
      <c r="FI11" s="18" t="n"/>
      <c r="FJ11" s="256" t="n"/>
      <c r="FK11" s="18" t="n"/>
      <c r="FL11" s="18" t="n"/>
      <c r="FM11" s="18" t="n"/>
      <c r="FN11" s="18" t="n"/>
      <c r="FO11" s="18" t="n"/>
      <c r="FP11" s="256" t="n">
        <v>300</v>
      </c>
      <c r="FQ11" s="18" t="n"/>
      <c r="FR11" s="18" t="n"/>
      <c r="FS11" s="18" t="n">
        <v>100</v>
      </c>
      <c r="FT11" s="18" t="n"/>
      <c r="FU11" s="18" t="n"/>
      <c r="FV11" s="18" t="n"/>
      <c r="FW11" s="18" t="n"/>
      <c r="FX11" s="18" t="n"/>
      <c r="FY11" s="18" t="n">
        <v>100</v>
      </c>
      <c r="FZ11" s="18" t="n"/>
      <c r="GA11" s="18" t="n"/>
      <c r="GB11" s="18" t="n"/>
      <c r="GC11" s="18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329" t="n">
        <v>400</v>
      </c>
      <c r="E12" s="6" t="n"/>
      <c r="F12" s="38" t="n">
        <v>225</v>
      </c>
      <c r="G12" s="38" t="n">
        <v>225</v>
      </c>
      <c r="H12" s="38">
        <f>200+FV12</f>
        <v/>
      </c>
      <c r="I12" s="38" t="n">
        <v>375</v>
      </c>
      <c r="J12" s="38" t="n">
        <v>200</v>
      </c>
      <c r="K12" s="38">
        <f>200+FR12+FQ12</f>
        <v/>
      </c>
      <c r="L12" s="38" t="n">
        <v>800</v>
      </c>
      <c r="M12" s="38" t="n">
        <v>675</v>
      </c>
      <c r="N12" s="38" t="n">
        <v>675</v>
      </c>
      <c r="O12" s="38">
        <f>525+FL12</f>
        <v/>
      </c>
      <c r="P12" s="38" t="n">
        <v>600</v>
      </c>
      <c r="Q12" s="38" t="n">
        <v>500</v>
      </c>
      <c r="R12" s="38" t="n">
        <v>450</v>
      </c>
      <c r="S12" s="38" t="n">
        <v>400</v>
      </c>
      <c r="T12" s="38" t="n">
        <v>325</v>
      </c>
      <c r="U12" s="38" t="n">
        <v>150</v>
      </c>
      <c r="V12" s="38" t="n">
        <v>100</v>
      </c>
      <c r="W12" s="38" t="n">
        <v>100</v>
      </c>
      <c r="X12" s="38" t="n">
        <v>400</v>
      </c>
      <c r="Y12" s="38" t="n">
        <v>500</v>
      </c>
      <c r="Z12" s="38" t="n">
        <v>800</v>
      </c>
      <c r="AA12" s="38" t="n">
        <v>725</v>
      </c>
      <c r="AB12" s="38" t="n">
        <v>600</v>
      </c>
      <c r="AC12" s="38" t="n">
        <v>600</v>
      </c>
      <c r="AD12" s="38" t="n">
        <v>500</v>
      </c>
      <c r="AE12" s="38" t="n">
        <v>425</v>
      </c>
      <c r="AF12" s="38" t="n">
        <v>425</v>
      </c>
      <c r="AG12" s="38" t="n">
        <v>300</v>
      </c>
      <c r="AH12" s="38" t="n">
        <v>250</v>
      </c>
      <c r="AI12" s="38" t="n">
        <v>375</v>
      </c>
      <c r="AJ12" s="38" t="n">
        <v>300</v>
      </c>
      <c r="AK12" s="38" t="n">
        <v>200</v>
      </c>
      <c r="AL12" s="38" t="n">
        <v>200</v>
      </c>
      <c r="AM12" s="38">
        <f>150+DY12</f>
        <v/>
      </c>
      <c r="AN12" s="38" t="n">
        <v>475</v>
      </c>
      <c r="AO12" s="38" t="n">
        <v>375</v>
      </c>
      <c r="AP12" s="38" t="n">
        <v>300</v>
      </c>
      <c r="AQ12" s="38">
        <f>225+DR12</f>
        <v/>
      </c>
      <c r="AR12" s="38" t="n">
        <v>300</v>
      </c>
      <c r="AS12" s="38">
        <f>200+DO12</f>
        <v/>
      </c>
      <c r="AT12" s="38" t="n">
        <v>350</v>
      </c>
      <c r="AU12" s="38">
        <f>225+DK12</f>
        <v/>
      </c>
      <c r="AV12" s="38" t="n">
        <v>350</v>
      </c>
      <c r="AW12" s="38">
        <f>200+DJ12</f>
        <v/>
      </c>
      <c r="AX12" s="38" t="n">
        <v>75</v>
      </c>
      <c r="AY12" s="38">
        <f>0+DI12</f>
        <v/>
      </c>
      <c r="AZ12" s="38">
        <f>75+DG12</f>
        <v/>
      </c>
      <c r="BA12" s="38">
        <f>200+DD12</f>
        <v/>
      </c>
      <c r="BB12" s="38">
        <f>650+DB12</f>
        <v/>
      </c>
      <c r="BC12" s="38" t="n">
        <v>700</v>
      </c>
      <c r="BD12" s="38" t="n">
        <v>675</v>
      </c>
      <c r="BE12" s="38" t="n">
        <v>675</v>
      </c>
      <c r="BF12" s="38" t="n">
        <v>400</v>
      </c>
      <c r="BG12" s="38" t="n">
        <v>250</v>
      </c>
      <c r="BH12" s="38" t="n">
        <v>250</v>
      </c>
      <c r="BI12" s="38">
        <f>125+CV12</f>
        <v/>
      </c>
      <c r="BJ12" s="38" t="n">
        <v>625</v>
      </c>
      <c r="BK12" s="38" t="n">
        <v>575</v>
      </c>
      <c r="BL12" s="38" t="n">
        <v>425</v>
      </c>
      <c r="BM12" s="38" t="n">
        <v>275</v>
      </c>
      <c r="BN12" s="38">
        <f>275+CQ12</f>
        <v/>
      </c>
      <c r="BO12" s="38" t="n">
        <v>425</v>
      </c>
      <c r="BP12" s="38" t="n">
        <v>325</v>
      </c>
      <c r="BQ12" s="38" t="n">
        <v>200</v>
      </c>
      <c r="BR12" s="38" t="n">
        <v>350</v>
      </c>
      <c r="BS12" s="38" t="n">
        <v>200</v>
      </c>
      <c r="BT12" s="38" t="n">
        <v>75</v>
      </c>
      <c r="BU12" s="38" t="n">
        <v>0</v>
      </c>
      <c r="BV12" s="38" t="n">
        <v>200</v>
      </c>
      <c r="BW12" s="38" t="n">
        <v>50</v>
      </c>
      <c r="BX12" s="38" t="n">
        <v>50</v>
      </c>
      <c r="BY12" s="38" t="n">
        <v>0</v>
      </c>
      <c r="BZ12" s="38" t="n"/>
      <c r="CA12" s="38" t="n"/>
      <c r="CB12" s="38" t="n"/>
      <c r="CC12" s="9" t="n"/>
      <c r="CD12" s="9" t="n"/>
      <c r="CE12" s="9" t="n"/>
      <c r="CF12" s="188">
        <f>CD12+IF(NOT(ISBLANK(OFFSET(CF12,0,6))),N(OFFSET(CF12,0,6)),N(OFFSET(CF12,0,7)))-CE12</f>
        <v/>
      </c>
      <c r="CG12" s="6" t="n"/>
      <c r="CH12" s="19" t="n">
        <v>400</v>
      </c>
      <c r="CI12" s="4" t="n"/>
      <c r="CJ12" s="65" t="n"/>
      <c r="CK12" s="18" t="n">
        <v>0</v>
      </c>
      <c r="CL12" s="18" t="n">
        <v>0</v>
      </c>
      <c r="CM12" s="18" t="n">
        <v>0</v>
      </c>
      <c r="CN12" s="18" t="n">
        <v>200</v>
      </c>
      <c r="CO12" s="18" t="n"/>
      <c r="CP12" s="18" t="n">
        <v>200</v>
      </c>
      <c r="CQ12" s="18" t="n"/>
      <c r="CR12" s="18" t="n"/>
      <c r="CS12" s="18" t="n"/>
      <c r="CT12" s="18" t="n">
        <v>200</v>
      </c>
      <c r="CU12" s="18" t="n"/>
      <c r="CV12" s="18" t="n"/>
      <c r="CW12" s="18" t="n">
        <v>200</v>
      </c>
      <c r="CX12" s="18" t="n"/>
      <c r="CY12" s="18" t="n">
        <v>400</v>
      </c>
      <c r="CZ12" s="18" t="n"/>
      <c r="DA12" s="18" t="n"/>
      <c r="DB12" s="18" t="n"/>
      <c r="DC12" s="18" t="n"/>
      <c r="DD12" s="18" t="n"/>
      <c r="DE12" s="18" t="n">
        <v>200</v>
      </c>
      <c r="DF12" s="18" t="n"/>
      <c r="DG12" s="18" t="n">
        <v>600</v>
      </c>
      <c r="DH12" s="18" t="n"/>
      <c r="DI12" s="18" t="n"/>
      <c r="DJ12" s="18" t="n">
        <v>200</v>
      </c>
      <c r="DK12" s="18" t="n"/>
      <c r="DL12" s="18" t="n">
        <v>200</v>
      </c>
      <c r="DM12" s="18" t="n">
        <v>200</v>
      </c>
      <c r="DN12" s="18" t="n">
        <v>200</v>
      </c>
      <c r="DO12" s="18" t="n"/>
      <c r="DP12" s="356" t="n"/>
      <c r="DQ12" s="256" t="n"/>
      <c r="DR12" s="18" t="n">
        <v>200</v>
      </c>
      <c r="DS12" s="18" t="n"/>
      <c r="DT12" s="18" t="n"/>
      <c r="DU12" s="18" t="n">
        <v>200</v>
      </c>
      <c r="DV12" s="18" t="n"/>
      <c r="DW12" s="18" t="n"/>
      <c r="DX12" s="18" t="n"/>
      <c r="DY12" s="376" t="inlineStr">
        <is>
          <t>40 DE CDP</t>
        </is>
      </c>
      <c r="DZ12" s="18" t="n"/>
      <c r="EA12" s="18" t="n"/>
      <c r="EB12" s="18" t="n">
        <v>400</v>
      </c>
      <c r="EC12" s="18" t="n"/>
      <c r="ED12" s="18" t="n"/>
      <c r="EE12" s="18" t="n"/>
      <c r="EF12" s="18" t="n">
        <v>200</v>
      </c>
      <c r="EG12" s="18" t="n"/>
      <c r="EH12" s="18" t="n"/>
      <c r="EI12" s="18" t="n"/>
      <c r="EJ12" s="18" t="n">
        <v>200</v>
      </c>
      <c r="EK12" s="18" t="n"/>
      <c r="EL12" s="18" t="n"/>
      <c r="EM12" s="18" t="n"/>
      <c r="EN12" s="18" t="n"/>
      <c r="EO12" s="18" t="n"/>
      <c r="EP12" s="18" t="n"/>
      <c r="EQ12" s="18" t="n"/>
      <c r="ER12" s="18" t="n"/>
      <c r="ES12" s="18" t="n"/>
      <c r="ET12" s="18" t="n"/>
      <c r="EU12" s="18" t="n"/>
      <c r="EV12" s="18" t="n"/>
      <c r="EW12" s="256" t="n"/>
      <c r="EX12" s="18" t="n"/>
      <c r="EY12" s="18" t="n">
        <v>400</v>
      </c>
      <c r="EZ12" s="18" t="n"/>
      <c r="FA12" s="18" t="n"/>
      <c r="FB12" s="18" t="n">
        <v>600</v>
      </c>
      <c r="FC12" s="18" t="n"/>
      <c r="FD12" s="18" t="n"/>
      <c r="FE12" s="18" t="n"/>
      <c r="FF12" s="18" t="n"/>
      <c r="FG12" s="18" t="n"/>
      <c r="FH12" s="18" t="n"/>
      <c r="FI12" s="18" t="n"/>
      <c r="FJ12" s="256" t="n"/>
      <c r="FK12" s="18" t="n"/>
      <c r="FL12" s="18" t="n"/>
      <c r="FM12" s="18" t="n"/>
      <c r="FN12" s="18" t="n"/>
      <c r="FO12" s="18" t="n">
        <v>200</v>
      </c>
      <c r="FP12" s="256" t="n"/>
      <c r="FQ12" s="18" t="n"/>
      <c r="FR12" s="18" t="n"/>
      <c r="FS12" s="18" t="n"/>
      <c r="FT12" s="18" t="n">
        <v>400</v>
      </c>
      <c r="FU12" s="18" t="n">
        <v>200</v>
      </c>
      <c r="FV12" s="18" t="n"/>
      <c r="FW12" s="18" t="n"/>
      <c r="FX12" s="18" t="n"/>
      <c r="FY12" s="18" t="n">
        <v>200</v>
      </c>
      <c r="FZ12" s="18" t="n"/>
      <c r="GA12" s="18" t="n"/>
      <c r="GB12" s="18" t="n"/>
      <c r="GC12" s="18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329" t="n">
        <v>200</v>
      </c>
      <c r="E13" s="6" t="n"/>
      <c r="F13" s="38" t="n">
        <v>300</v>
      </c>
      <c r="G13" s="38" t="n">
        <v>260</v>
      </c>
      <c r="H13" s="38">
        <f>250+FV13</f>
        <v/>
      </c>
      <c r="I13" s="38" t="n">
        <v>300</v>
      </c>
      <c r="J13" s="38" t="n">
        <v>250</v>
      </c>
      <c r="K13" s="38">
        <f>225+FR13</f>
        <v/>
      </c>
      <c r="L13" s="38" t="n">
        <v>325</v>
      </c>
      <c r="M13" s="38" t="n">
        <v>325</v>
      </c>
      <c r="N13" s="38" t="n">
        <v>300</v>
      </c>
      <c r="O13" s="38" t="n">
        <v>250</v>
      </c>
      <c r="P13" s="38">
        <f>175+FJ13</f>
        <v/>
      </c>
      <c r="Q13" s="38">
        <f>200+FI13</f>
        <v/>
      </c>
      <c r="R13" s="38" t="n">
        <v>350</v>
      </c>
      <c r="S13" s="38" t="n">
        <v>350</v>
      </c>
      <c r="T13" s="38" t="n">
        <v>250</v>
      </c>
      <c r="U13" s="38" t="n">
        <v>200</v>
      </c>
      <c r="V13" s="38" t="n">
        <v>300</v>
      </c>
      <c r="W13" s="38" t="n">
        <v>250</v>
      </c>
      <c r="X13" s="38" t="n">
        <v>220</v>
      </c>
      <c r="Y13" s="38" t="n">
        <v>250</v>
      </c>
      <c r="Z13" s="38" t="n">
        <v>200</v>
      </c>
      <c r="AA13" s="38" t="n">
        <v>250</v>
      </c>
      <c r="AB13" s="38" t="n">
        <v>200</v>
      </c>
      <c r="AC13" s="38" t="n">
        <v>200</v>
      </c>
      <c r="AD13" s="38" t="n">
        <v>150</v>
      </c>
      <c r="AE13" s="38">
        <f>150+EJ13</f>
        <v/>
      </c>
      <c r="AF13" s="38" t="n">
        <v>175</v>
      </c>
      <c r="AG13" s="38" t="n">
        <v>250</v>
      </c>
      <c r="AH13" s="38" t="n">
        <v>250</v>
      </c>
      <c r="AI13" s="38" t="n">
        <v>200</v>
      </c>
      <c r="AJ13" s="38" t="n">
        <v>200</v>
      </c>
      <c r="AK13" s="38" t="n">
        <v>175</v>
      </c>
      <c r="AL13" s="38" t="n">
        <v>100</v>
      </c>
      <c r="AM13" s="38">
        <f>50+DY13</f>
        <v/>
      </c>
      <c r="AN13" s="38" t="n">
        <v>250</v>
      </c>
      <c r="AO13" s="38" t="n">
        <v>300</v>
      </c>
      <c r="AP13" s="38" t="n">
        <v>300</v>
      </c>
      <c r="AQ13" s="38" t="n">
        <v>350</v>
      </c>
      <c r="AR13" s="38" t="n">
        <v>300</v>
      </c>
      <c r="AS13" s="38" t="n">
        <v>200</v>
      </c>
      <c r="AT13" s="38" t="n">
        <v>50</v>
      </c>
      <c r="AU13" s="38">
        <f>50+DK13</f>
        <v/>
      </c>
      <c r="AV13" s="38" t="n">
        <v>200</v>
      </c>
      <c r="AW13" s="38" t="n">
        <v>100</v>
      </c>
      <c r="AX13" s="38" t="n">
        <v>75</v>
      </c>
      <c r="AY13" s="38">
        <f>25+DH13+DI13</f>
        <v/>
      </c>
      <c r="AZ13" s="38" t="n">
        <v>150</v>
      </c>
      <c r="BA13" s="38">
        <f>150+DE13</f>
        <v/>
      </c>
      <c r="BB13" s="38" t="n">
        <v>125</v>
      </c>
      <c r="BC13" s="38" t="n">
        <v>300</v>
      </c>
      <c r="BD13" s="38" t="n">
        <v>300</v>
      </c>
      <c r="BE13" s="38" t="n">
        <v>400</v>
      </c>
      <c r="BF13" s="38" t="n">
        <v>475</v>
      </c>
      <c r="BG13" s="38" t="n">
        <v>400</v>
      </c>
      <c r="BH13" s="38" t="n">
        <v>350</v>
      </c>
      <c r="BI13" s="38" t="n">
        <v>350</v>
      </c>
      <c r="BJ13" s="38" t="n">
        <v>275</v>
      </c>
      <c r="BK13" s="38" t="n">
        <v>200</v>
      </c>
      <c r="BL13" s="38" t="n">
        <v>125</v>
      </c>
      <c r="BM13" s="38" t="n">
        <v>100</v>
      </c>
      <c r="BN13" s="38">
        <f>50+CQ13</f>
        <v/>
      </c>
      <c r="BO13" s="38" t="n">
        <v>125</v>
      </c>
      <c r="BP13" s="38" t="n">
        <v>50</v>
      </c>
      <c r="BQ13" s="38" t="n">
        <v>0</v>
      </c>
      <c r="BR13" s="38">
        <f>0+CM13</f>
        <v/>
      </c>
      <c r="BS13" s="38" t="n">
        <v>150</v>
      </c>
      <c r="BT13" s="38" t="n">
        <v>100</v>
      </c>
      <c r="BU13" s="38" t="n">
        <v>100</v>
      </c>
      <c r="BV13" s="38" t="n">
        <v>100</v>
      </c>
      <c r="BW13" s="38" t="n">
        <v>150</v>
      </c>
      <c r="BX13" s="38" t="n">
        <v>150</v>
      </c>
      <c r="BY13" s="38" t="n">
        <v>0</v>
      </c>
      <c r="BZ13" s="38" t="n"/>
      <c r="CA13" s="38" t="n"/>
      <c r="CB13" s="38" t="n"/>
      <c r="CC13" s="9" t="n"/>
      <c r="CD13" s="9" t="n"/>
      <c r="CE13" s="9" t="n"/>
      <c r="CF13" s="188">
        <f>CD13+IF(NOT(ISBLANK(OFFSET(CF13,0,6))),N(OFFSET(CF13,0,6)),N(OFFSET(CF13,0,7)))-CE13</f>
        <v/>
      </c>
      <c r="CG13" s="6" t="n"/>
      <c r="CH13" s="19" t="n">
        <v>200</v>
      </c>
      <c r="CI13" s="4" t="n"/>
      <c r="CJ13" s="65" t="n"/>
      <c r="CK13" s="18" t="n">
        <v>0</v>
      </c>
      <c r="CL13" s="18" t="n">
        <v>0</v>
      </c>
      <c r="CM13" s="18" t="n">
        <v>0</v>
      </c>
      <c r="CN13" s="18" t="n">
        <v>100</v>
      </c>
      <c r="CO13" s="18" t="n"/>
      <c r="CP13" s="18" t="n">
        <v>200</v>
      </c>
      <c r="CQ13" s="18" t="n"/>
      <c r="CR13" s="18" t="n"/>
      <c r="CS13" s="18" t="n"/>
      <c r="CT13" s="18" t="n">
        <v>100</v>
      </c>
      <c r="CU13" s="18" t="n"/>
      <c r="CV13" s="18" t="n"/>
      <c r="CW13" s="18" t="n"/>
      <c r="CX13" s="18" t="n"/>
      <c r="CY13" s="18" t="n"/>
      <c r="CZ13" s="18" t="n"/>
      <c r="DA13" s="18" t="n"/>
      <c r="DB13" s="18" t="n">
        <v>100</v>
      </c>
      <c r="DC13" s="18" t="n">
        <v>300</v>
      </c>
      <c r="DD13" s="18" t="n"/>
      <c r="DE13" s="18" t="n"/>
      <c r="DF13" s="18" t="n"/>
      <c r="DG13" s="18" t="n"/>
      <c r="DH13" s="18" t="n">
        <v>100</v>
      </c>
      <c r="DI13" s="18" t="n"/>
      <c r="DJ13" s="18" t="n"/>
      <c r="DK13" s="18" t="n">
        <v>100</v>
      </c>
      <c r="DL13" s="18" t="n">
        <v>100</v>
      </c>
      <c r="DM13" s="18" t="n"/>
      <c r="DN13" s="18" t="n">
        <v>200</v>
      </c>
      <c r="DO13" s="18" t="n"/>
      <c r="DP13" s="356" t="n"/>
      <c r="DQ13" s="256" t="n"/>
      <c r="DR13" s="18" t="n"/>
      <c r="DS13" s="18" t="n"/>
      <c r="DT13" s="18" t="n"/>
      <c r="DU13" s="18" t="n"/>
      <c r="DV13" s="18" t="n">
        <v>200</v>
      </c>
      <c r="DW13" s="18" t="n"/>
      <c r="DX13" s="18" t="n"/>
      <c r="DY13" s="376" t="inlineStr">
        <is>
          <t>25 DE CDP</t>
        </is>
      </c>
      <c r="DZ13" s="18" t="n">
        <v>100</v>
      </c>
      <c r="EA13" s="18" t="n"/>
      <c r="EB13" s="18" t="n">
        <v>100</v>
      </c>
      <c r="EC13" s="18" t="n"/>
      <c r="ED13" s="18" t="n"/>
      <c r="EE13" s="18" t="n"/>
      <c r="EF13" s="18" t="n"/>
      <c r="EG13" s="18" t="n"/>
      <c r="EH13" s="18" t="n"/>
      <c r="EI13" s="18" t="n"/>
      <c r="EJ13" s="18" t="n"/>
      <c r="EK13" s="18" t="n"/>
      <c r="EL13" s="18" t="n">
        <v>100</v>
      </c>
      <c r="EM13" s="18" t="n">
        <v>100</v>
      </c>
      <c r="EN13" s="18" t="n"/>
      <c r="EO13" s="18" t="n"/>
      <c r="EP13" s="18" t="n"/>
      <c r="EQ13" s="18" t="n"/>
      <c r="ER13" s="18" t="n"/>
      <c r="ES13" s="18" t="n"/>
      <c r="ET13" s="18" t="n"/>
      <c r="EU13" s="18" t="n">
        <v>100</v>
      </c>
      <c r="EV13" s="18" t="n"/>
      <c r="EW13" s="256" t="n"/>
      <c r="EX13" s="18" t="n"/>
      <c r="EY13" s="18" t="n"/>
      <c r="EZ13" s="18" t="n"/>
      <c r="FA13" s="18" t="n">
        <v>200</v>
      </c>
      <c r="FB13" s="18" t="n"/>
      <c r="FC13" s="18" t="n"/>
      <c r="FD13" s="18" t="n"/>
      <c r="FE13" s="18" t="n"/>
      <c r="FF13" s="18" t="n">
        <v>100</v>
      </c>
      <c r="FG13" s="18" t="n"/>
      <c r="FH13" s="18" t="n"/>
      <c r="FI13" s="18" t="n"/>
      <c r="FJ13" s="256" t="n"/>
      <c r="FK13" s="18" t="n"/>
      <c r="FL13" s="18" t="n">
        <v>200</v>
      </c>
      <c r="FM13" s="18" t="n">
        <v>100</v>
      </c>
      <c r="FN13" s="18" t="n"/>
      <c r="FO13" s="18" t="n"/>
      <c r="FP13" s="256" t="n"/>
      <c r="FQ13" s="18" t="n"/>
      <c r="FR13" s="18" t="n"/>
      <c r="FS13" s="18" t="n"/>
      <c r="FT13" s="18" t="n"/>
      <c r="FU13" s="18" t="n">
        <v>200</v>
      </c>
      <c r="FV13" s="18" t="n"/>
      <c r="FW13" s="18" t="n"/>
      <c r="FX13" s="18" t="n"/>
      <c r="FY13" s="18" t="n">
        <v>200</v>
      </c>
      <c r="FZ13" s="18" t="n"/>
      <c r="GA13" s="18" t="n"/>
      <c r="GB13" s="18" t="n"/>
      <c r="GC13" s="18" t="n"/>
    </row>
    <row r="14" ht="18.75" customHeight="1">
      <c r="CF14" s="53" t="n"/>
      <c r="CH14" s="69" t="n"/>
      <c r="DP14" s="17" t="n"/>
      <c r="DQ14" s="314" t="n"/>
      <c r="EW14" s="271" t="n"/>
      <c r="FJ14" s="271" t="n"/>
      <c r="FP14" s="271" t="n"/>
    </row>
    <row r="15" ht="18.75" customFormat="1" customHeight="1" s="3">
      <c r="A15" s="32" t="inlineStr">
        <is>
          <t>DIVERSOS E. R. BOTICÁRIO</t>
        </is>
      </c>
      <c r="B15" s="575" t="n"/>
      <c r="C15" s="575" t="n"/>
      <c r="D15" s="575" t="n"/>
      <c r="E15" s="642" t="n"/>
      <c r="F15" s="650" t="n">
        <v>45656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>
        <v>45999</v>
      </c>
      <c r="BD15" s="650" t="n">
        <v>46006</v>
      </c>
      <c r="BE15" s="650" t="n">
        <v>46013</v>
      </c>
      <c r="BF15" s="650" t="n">
        <v>46020</v>
      </c>
      <c r="BG15" s="650" t="n">
        <v>46027</v>
      </c>
      <c r="BH15" s="650" t="n">
        <v>46034</v>
      </c>
      <c r="BI15" s="650" t="n">
        <v>46041</v>
      </c>
      <c r="BJ15" s="650" t="n">
        <v>46048</v>
      </c>
      <c r="BK15" s="650" t="n">
        <v>46055</v>
      </c>
      <c r="BL15" s="650" t="n">
        <v>46062</v>
      </c>
      <c r="BM15" s="650" t="n">
        <v>46069</v>
      </c>
      <c r="BN15" s="650" t="n">
        <v>46076</v>
      </c>
      <c r="BO15" s="650" t="n">
        <v>46083</v>
      </c>
      <c r="BP15" s="650" t="n">
        <v>46090</v>
      </c>
      <c r="BQ15" s="650" t="n">
        <v>46097</v>
      </c>
      <c r="BR15" s="650" t="n">
        <v>46104</v>
      </c>
      <c r="BS15" s="650" t="n">
        <v>46111</v>
      </c>
      <c r="BT15" s="650" t="n">
        <v>46118</v>
      </c>
      <c r="BU15" s="650" t="n">
        <v>46125</v>
      </c>
      <c r="BV15" s="650" t="n">
        <v>46132</v>
      </c>
      <c r="BW15" s="650" t="n">
        <v>46139</v>
      </c>
      <c r="BX15" s="650" t="n">
        <v>46146</v>
      </c>
      <c r="BY15" s="650" t="n">
        <v>46154</v>
      </c>
      <c r="BZ15" s="650" t="n">
        <v>46160</v>
      </c>
      <c r="CA15" s="650" t="n">
        <v>46160</v>
      </c>
      <c r="CB15" s="650" t="n">
        <v>46160</v>
      </c>
      <c r="CC15" s="651" t="n">
        <v>46161.4800428125</v>
      </c>
      <c r="CD15" s="651" t="n">
        <v>46161.48072087963</v>
      </c>
      <c r="CE15" s="651" t="n">
        <v>46161.48287954315</v>
      </c>
      <c r="CF15" s="652" t="inlineStr">
        <is>
          <t>USOU</t>
        </is>
      </c>
      <c r="CG15" s="6" t="n"/>
      <c r="CH15" s="35" t="inlineStr">
        <is>
          <t>Pend.</t>
        </is>
      </c>
      <c r="CI15" s="653" t="n"/>
      <c r="CJ15" s="12" t="inlineStr">
        <is>
          <t>Novo Pedido</t>
        </is>
      </c>
      <c r="CK15" s="716" t="n">
        <v>46161.48287850212</v>
      </c>
      <c r="CL15" s="654" t="n">
        <v>46156</v>
      </c>
      <c r="CM15" s="654" t="n">
        <v>46149</v>
      </c>
      <c r="CN15" s="654" t="n">
        <v>46114</v>
      </c>
      <c r="CO15" s="710" t="n">
        <v>46065</v>
      </c>
      <c r="CP15" s="654" t="n">
        <v>46092</v>
      </c>
      <c r="CQ15" s="654" t="n">
        <v>46092</v>
      </c>
      <c r="CR15" s="654" t="n">
        <v>46084</v>
      </c>
      <c r="CS15" s="711" t="n">
        <v>46045</v>
      </c>
      <c r="CT15" s="654" t="n">
        <v>46071</v>
      </c>
      <c r="CU15" s="654" t="n">
        <v>46043</v>
      </c>
      <c r="CV15" s="654" t="n">
        <v>46029</v>
      </c>
      <c r="CW15" s="654" t="n">
        <v>46024</v>
      </c>
      <c r="CX15" s="655" t="n">
        <v>46041</v>
      </c>
      <c r="CY15" s="654" t="n">
        <v>46029</v>
      </c>
      <c r="CZ15" s="654" t="n">
        <v>46024</v>
      </c>
      <c r="DA15" s="654" t="n">
        <v>46007</v>
      </c>
      <c r="DB15" s="654" t="n">
        <v>46001</v>
      </c>
      <c r="DC15" s="654" t="n">
        <v>45994</v>
      </c>
      <c r="DD15" s="654" t="n">
        <v>45986</v>
      </c>
      <c r="DE15" s="654" t="n">
        <v>45986</v>
      </c>
      <c r="DF15" s="654" t="n">
        <v>45980</v>
      </c>
      <c r="DG15" s="654" t="n">
        <v>45980</v>
      </c>
      <c r="DH15" s="654" t="n">
        <v>45973</v>
      </c>
      <c r="DI15" s="654" t="n">
        <v>45973</v>
      </c>
      <c r="DJ15" s="654" t="n">
        <v>45965</v>
      </c>
      <c r="DK15" s="654" t="n">
        <v>45965</v>
      </c>
      <c r="DL15" s="654" t="n">
        <v>45960</v>
      </c>
      <c r="DM15" s="654" t="n">
        <v>45951</v>
      </c>
      <c r="DN15" s="654" t="n">
        <v>45937</v>
      </c>
      <c r="DO15" s="654" t="n">
        <v>45931</v>
      </c>
      <c r="DP15" s="678" t="n">
        <v>45903</v>
      </c>
      <c r="DQ15" s="688" t="n">
        <v>45931</v>
      </c>
      <c r="DR15" s="654" t="n">
        <v>45923</v>
      </c>
      <c r="DS15" s="654" t="n">
        <v>45909</v>
      </c>
      <c r="DT15" s="654" t="n">
        <v>45915</v>
      </c>
      <c r="DU15" s="654" t="n">
        <v>45909</v>
      </c>
      <c r="DV15" s="654" t="n">
        <v>45903</v>
      </c>
      <c r="DW15" s="654" t="n">
        <v>45895</v>
      </c>
      <c r="DX15" s="654" t="n">
        <v>45895</v>
      </c>
      <c r="DY15" s="679" t="n">
        <v>45896</v>
      </c>
      <c r="DZ15" s="654" t="n">
        <v>45888</v>
      </c>
      <c r="EA15" s="654" t="n">
        <v>45881</v>
      </c>
      <c r="EB15" s="654" t="n">
        <v>45881</v>
      </c>
      <c r="EC15" s="654" t="n">
        <v>45874</v>
      </c>
      <c r="ED15" s="655" t="n">
        <v>45882</v>
      </c>
      <c r="EE15" s="655" t="n">
        <v>45881</v>
      </c>
      <c r="EF15" s="654" t="n">
        <v>45867</v>
      </c>
      <c r="EG15" s="654" t="n">
        <v>45860</v>
      </c>
      <c r="EH15" s="654" t="n">
        <v>45860</v>
      </c>
      <c r="EI15" s="655" t="n">
        <v>45860</v>
      </c>
      <c r="EJ15" s="654" t="n">
        <v>45848</v>
      </c>
      <c r="EK15" s="681" t="n">
        <v>45853</v>
      </c>
      <c r="EL15" s="654" t="n">
        <v>45839</v>
      </c>
      <c r="EM15" s="654" t="n">
        <v>45825</v>
      </c>
      <c r="EN15" s="681" t="n">
        <v>45791</v>
      </c>
      <c r="EO15" s="655" t="n">
        <v>45826</v>
      </c>
      <c r="EP15" s="654" t="n">
        <v>45813</v>
      </c>
      <c r="EQ15" s="655" t="n">
        <v>45819</v>
      </c>
      <c r="ER15" s="654" t="n">
        <v>45805</v>
      </c>
      <c r="ES15" s="654" t="n">
        <v>45783</v>
      </c>
      <c r="ET15" s="655" t="n">
        <v>45807</v>
      </c>
      <c r="EU15" s="654" t="n">
        <v>45790</v>
      </c>
      <c r="EV15" s="690" t="n">
        <v>45800</v>
      </c>
      <c r="EW15" s="650" t="n">
        <v>45799</v>
      </c>
      <c r="EX15" s="655" t="n">
        <v>45798</v>
      </c>
      <c r="EY15" s="654" t="n">
        <v>45783</v>
      </c>
      <c r="EZ15" s="654" t="n">
        <v>45783</v>
      </c>
      <c r="FA15" s="654" t="n">
        <v>45775</v>
      </c>
      <c r="FB15" s="654" t="n">
        <v>45770</v>
      </c>
      <c r="FC15" s="654" t="n">
        <v>45743</v>
      </c>
      <c r="FD15" s="683" t="n">
        <v>45735</v>
      </c>
      <c r="FE15" s="655" t="n">
        <v>45775</v>
      </c>
      <c r="FF15" s="654" t="n">
        <v>45756</v>
      </c>
      <c r="FG15" s="654" t="n">
        <v>45749</v>
      </c>
      <c r="FH15" s="654" t="n">
        <v>45743</v>
      </c>
      <c r="FI15" s="654" t="n">
        <v>45743</v>
      </c>
      <c r="FJ15" s="650" t="n">
        <v>45741</v>
      </c>
      <c r="FK15" s="654" t="n">
        <v>45728</v>
      </c>
      <c r="FL15" s="654" t="n">
        <v>45728</v>
      </c>
      <c r="FM15" s="654" t="n">
        <v>45722</v>
      </c>
      <c r="FN15" s="654" t="n">
        <v>45714</v>
      </c>
      <c r="FO15" s="654" t="n">
        <v>45706</v>
      </c>
      <c r="FP15" s="650" t="n">
        <v>45700</v>
      </c>
      <c r="FQ15" s="654" t="n">
        <v>45699</v>
      </c>
      <c r="FR15" s="654" t="n">
        <v>45706</v>
      </c>
      <c r="FS15" s="654" t="n">
        <v>45693</v>
      </c>
      <c r="FT15" s="654" t="n">
        <v>45685</v>
      </c>
      <c r="FU15" s="654" t="n">
        <v>45679</v>
      </c>
      <c r="FV15" s="654" t="n">
        <v>45660</v>
      </c>
      <c r="FW15" s="654" t="n">
        <v>45674</v>
      </c>
      <c r="FX15" s="655" t="n">
        <v>45672</v>
      </c>
      <c r="FY15" s="654" t="n">
        <v>45652</v>
      </c>
      <c r="FZ15" s="655" t="n">
        <v>45670</v>
      </c>
      <c r="GA15" s="654" t="n">
        <v>45664</v>
      </c>
      <c r="GB15" s="654" t="n">
        <v>45660</v>
      </c>
      <c r="GC15" s="654" t="n">
        <v>45660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2" t="n">
        <v>99.26000000000001</v>
      </c>
      <c r="D16" s="329" t="n">
        <v>2</v>
      </c>
      <c r="E16" s="2" t="n"/>
      <c r="F16" s="38" t="n">
        <v>2</v>
      </c>
      <c r="G16" s="38" t="n">
        <v>2</v>
      </c>
      <c r="H16" s="38">
        <f>2+FV16</f>
        <v/>
      </c>
      <c r="I16" s="38" t="n">
        <v>3</v>
      </c>
      <c r="J16" s="38" t="n">
        <v>3</v>
      </c>
      <c r="K16" s="38" t="n">
        <v>3</v>
      </c>
      <c r="L16" s="38" t="n">
        <v>3</v>
      </c>
      <c r="M16" s="38" t="n">
        <v>3</v>
      </c>
      <c r="N16" s="38" t="n">
        <v>3</v>
      </c>
      <c r="O16" s="38" t="n">
        <v>3</v>
      </c>
      <c r="P16" s="38" t="n">
        <v>3</v>
      </c>
      <c r="Q16" s="38" t="n">
        <v>3</v>
      </c>
      <c r="R16" s="38" t="n">
        <v>3</v>
      </c>
      <c r="S16" s="38" t="n">
        <v>3</v>
      </c>
      <c r="T16" s="38" t="n">
        <v>3</v>
      </c>
      <c r="U16" s="38" t="n">
        <v>3</v>
      </c>
      <c r="V16" s="38" t="n">
        <v>3</v>
      </c>
      <c r="W16" s="38" t="n">
        <v>3</v>
      </c>
      <c r="X16" s="38" t="n">
        <v>3</v>
      </c>
      <c r="Y16" s="38" t="n">
        <v>3</v>
      </c>
      <c r="Z16" s="38" t="n">
        <v>3</v>
      </c>
      <c r="AA16" s="38" t="n">
        <v>3</v>
      </c>
      <c r="AB16" s="38" t="n">
        <v>2</v>
      </c>
      <c r="AC16" s="38" t="n">
        <v>2</v>
      </c>
      <c r="AD16" s="38" t="n">
        <v>2</v>
      </c>
      <c r="AE16" s="38" t="n">
        <v>2</v>
      </c>
      <c r="AF16" s="38" t="n">
        <v>2</v>
      </c>
      <c r="AG16" s="38" t="n">
        <v>1</v>
      </c>
      <c r="AH16" s="38" t="n">
        <v>1</v>
      </c>
      <c r="AI16" s="38" t="n">
        <v>0</v>
      </c>
      <c r="AJ16" s="38" t="n">
        <v>1</v>
      </c>
      <c r="AK16" s="38" t="n">
        <v>1</v>
      </c>
      <c r="AL16" s="38" t="n">
        <v>1</v>
      </c>
      <c r="AM16" s="38" t="n">
        <v>1</v>
      </c>
      <c r="AN16" s="38" t="n">
        <v>1</v>
      </c>
      <c r="AO16" s="38" t="n">
        <v>0</v>
      </c>
      <c r="AP16" s="38" t="n">
        <v>0</v>
      </c>
      <c r="AQ16" s="38" t="n">
        <v>0</v>
      </c>
      <c r="AR16" s="38" t="n">
        <v>1</v>
      </c>
      <c r="AS16" s="38">
        <f>1+DO16</f>
        <v/>
      </c>
      <c r="AT16" s="38" t="n">
        <v>2</v>
      </c>
      <c r="AU16" s="38" t="n">
        <v>2</v>
      </c>
      <c r="AV16" s="38" t="n">
        <v>2</v>
      </c>
      <c r="AW16" s="38" t="n">
        <v>2</v>
      </c>
      <c r="AX16" s="38" t="n">
        <v>2</v>
      </c>
      <c r="AY16" s="38" t="n">
        <v>2</v>
      </c>
      <c r="AZ16" s="38" t="n">
        <v>2</v>
      </c>
      <c r="BA16" s="38" t="n">
        <v>2</v>
      </c>
      <c r="BB16" s="38" t="n">
        <v>2</v>
      </c>
      <c r="BC16" s="38" t="n">
        <v>2</v>
      </c>
      <c r="BD16" s="38" t="n">
        <v>2</v>
      </c>
      <c r="BE16" s="38" t="n">
        <v>2</v>
      </c>
      <c r="BF16" s="38" t="n">
        <v>2</v>
      </c>
      <c r="BG16" s="38" t="n">
        <v>2</v>
      </c>
      <c r="BH16" s="38" t="n">
        <v>2</v>
      </c>
      <c r="BI16" s="38">
        <f>6+3</f>
        <v/>
      </c>
      <c r="BJ16" s="38" t="n">
        <v>4</v>
      </c>
      <c r="BK16" s="38" t="n">
        <v>4</v>
      </c>
      <c r="BL16" s="38" t="n">
        <v>4</v>
      </c>
      <c r="BM16" s="38" t="n">
        <v>4</v>
      </c>
      <c r="BN16" s="38" t="n">
        <v>4</v>
      </c>
      <c r="BO16" s="38" t="n">
        <v>4</v>
      </c>
      <c r="BP16" s="38" t="n">
        <v>4</v>
      </c>
      <c r="BQ16" s="38" t="n">
        <v>4</v>
      </c>
      <c r="BR16" s="38" t="n">
        <v>4</v>
      </c>
      <c r="BS16" s="38" t="n">
        <v>4</v>
      </c>
      <c r="BT16" s="38" t="n">
        <v>3</v>
      </c>
      <c r="BU16" s="38" t="n">
        <v>3</v>
      </c>
      <c r="BV16" s="38" t="n">
        <v>3</v>
      </c>
      <c r="BW16" s="38" t="n">
        <v>0</v>
      </c>
      <c r="BX16" s="38" t="n">
        <v>0</v>
      </c>
      <c r="BY16" s="38">
        <f>0+CJ16</f>
        <v/>
      </c>
      <c r="BZ16" s="38" t="n"/>
      <c r="CA16" s="38" t="n"/>
      <c r="CB16" s="38" t="n"/>
      <c r="CC16" s="9" t="n"/>
      <c r="CD16" s="9" t="n"/>
      <c r="CE16" s="9" t="n"/>
      <c r="CF16" s="154">
        <f>CD16+IF(NOT(ISBLANK(OFFSET(CF16,0,6))),N(OFFSET(CF16,0,6)),N(OFFSET(CF16,0,7)))-CE16</f>
        <v/>
      </c>
      <c r="CG16" s="6" t="n"/>
      <c r="CH16" s="19" t="n"/>
      <c r="CI16" s="4" t="n"/>
      <c r="CJ16" s="65" t="n"/>
      <c r="CK16" s="18" t="n">
        <v>0</v>
      </c>
      <c r="CL16" s="18" t="n">
        <v>0</v>
      </c>
      <c r="CM16" s="18" t="n">
        <v>2</v>
      </c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54" t="inlineStr">
        <is>
          <t>3 DE ER MG</t>
        </is>
      </c>
      <c r="CY16" s="18" t="n"/>
      <c r="CZ16" s="18" t="n">
        <v>4</v>
      </c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18" t="n"/>
      <c r="DM16" s="18" t="n"/>
      <c r="DN16" s="18" t="n"/>
      <c r="DO16" s="18" t="n"/>
      <c r="DP16" s="256" t="n">
        <v>5</v>
      </c>
      <c r="DQ16" s="256" t="n"/>
      <c r="DR16" s="18" t="n">
        <v>1</v>
      </c>
      <c r="DS16" s="18" t="n"/>
      <c r="DT16" s="18" t="n">
        <v>1</v>
      </c>
      <c r="DU16" s="18" t="n"/>
      <c r="DV16" s="18" t="n">
        <v>1</v>
      </c>
      <c r="DW16" s="18" t="n"/>
      <c r="DX16" s="18" t="n"/>
      <c r="DY16" s="18" t="n"/>
      <c r="DZ16" s="18" t="n"/>
      <c r="EA16" s="18" t="n"/>
      <c r="EB16" s="18" t="n"/>
      <c r="EC16" s="18" t="n"/>
      <c r="ED16" s="256" t="n"/>
      <c r="EE16" s="256" t="n"/>
      <c r="EF16" s="18" t="n"/>
      <c r="EG16" s="18" t="n"/>
      <c r="EH16" s="18" t="n"/>
      <c r="EI16" s="256" t="n"/>
      <c r="EJ16" s="18" t="n"/>
      <c r="EK16" s="18" t="n"/>
      <c r="EL16" s="18" t="n"/>
      <c r="EM16" s="18" t="n"/>
      <c r="EN16" s="18" t="n"/>
      <c r="EO16" s="256" t="n"/>
      <c r="EP16" s="18" t="n"/>
      <c r="EQ16" s="256" t="n"/>
      <c r="ER16" s="18" t="n"/>
      <c r="ES16" s="18" t="n"/>
      <c r="ET16" s="256" t="n"/>
      <c r="EU16" s="18" t="n"/>
      <c r="EV16" s="256" t="n"/>
      <c r="EW16" s="256" t="n"/>
      <c r="EX16" s="256" t="n"/>
      <c r="EY16" s="18" t="n"/>
      <c r="EZ16" s="18" t="n"/>
      <c r="FA16" s="18" t="n"/>
      <c r="FB16" s="18" t="n"/>
      <c r="FC16" s="18" t="n"/>
      <c r="FD16" s="256" t="n"/>
      <c r="FE16" s="18" t="n"/>
      <c r="FF16" s="18" t="n"/>
      <c r="FG16" s="18" t="n"/>
      <c r="FH16" s="18" t="n"/>
      <c r="FI16" s="18" t="n"/>
      <c r="FJ16" s="256" t="n"/>
      <c r="FK16" s="18" t="n"/>
      <c r="FL16" s="18" t="n"/>
      <c r="FM16" s="18" t="n"/>
      <c r="FN16" s="18" t="n"/>
      <c r="FO16" s="18" t="n"/>
      <c r="FP16" s="256" t="n">
        <v>3</v>
      </c>
      <c r="FQ16" s="18" t="n"/>
      <c r="FR16" s="18" t="n"/>
      <c r="FS16" s="18" t="n"/>
      <c r="FT16" s="18" t="n"/>
      <c r="FU16" s="18" t="n"/>
      <c r="FV16" s="18" t="n"/>
      <c r="FW16" s="18" t="n"/>
      <c r="FX16" s="18" t="n"/>
      <c r="FY16" s="18" t="n">
        <v>1</v>
      </c>
      <c r="FZ16" s="18" t="n"/>
      <c r="GA16" s="18" t="n"/>
      <c r="GB16" s="18" t="n"/>
      <c r="GC16" s="18" t="n"/>
    </row>
    <row r="17" ht="18.75" customFormat="1" customHeight="1" s="3">
      <c r="A17" s="33" t="inlineStr">
        <is>
          <t>ETIQUETAS</t>
        </is>
      </c>
      <c r="B17" s="9" t="n">
        <v>2000</v>
      </c>
      <c r="C17" s="662" t="n">
        <v>55.36</v>
      </c>
      <c r="D17" s="329" t="n">
        <v>1</v>
      </c>
      <c r="E17" s="2" t="n"/>
      <c r="F17" s="38" t="n">
        <v>2</v>
      </c>
      <c r="G17" s="38" t="n">
        <v>2</v>
      </c>
      <c r="H17" s="38">
        <f>2+FV17</f>
        <v/>
      </c>
      <c r="I17" s="38" t="n">
        <v>3</v>
      </c>
      <c r="J17" s="38" t="n">
        <v>3</v>
      </c>
      <c r="K17" s="38" t="n">
        <v>3</v>
      </c>
      <c r="L17" s="38" t="n">
        <v>3</v>
      </c>
      <c r="M17" s="38" t="n">
        <v>3</v>
      </c>
      <c r="N17" s="38" t="n">
        <v>3</v>
      </c>
      <c r="O17" s="38" t="n">
        <v>3</v>
      </c>
      <c r="P17" s="38" t="n">
        <v>3</v>
      </c>
      <c r="Q17" s="38" t="n">
        <v>3</v>
      </c>
      <c r="R17" s="38" t="n">
        <v>3</v>
      </c>
      <c r="S17" s="38" t="n">
        <v>2</v>
      </c>
      <c r="T17" s="38" t="n">
        <v>2</v>
      </c>
      <c r="U17" s="38" t="n">
        <v>2</v>
      </c>
      <c r="V17" s="38" t="n">
        <v>2</v>
      </c>
      <c r="W17" s="38" t="n">
        <v>2</v>
      </c>
      <c r="X17" s="38" t="n">
        <v>2</v>
      </c>
      <c r="Y17" s="38" t="n">
        <v>2</v>
      </c>
      <c r="Z17" s="38" t="n">
        <v>2</v>
      </c>
      <c r="AA17" s="38" t="n">
        <v>2</v>
      </c>
      <c r="AB17" s="38" t="n">
        <v>2</v>
      </c>
      <c r="AC17" s="38" t="n">
        <v>2</v>
      </c>
      <c r="AD17" s="38" t="n">
        <v>2</v>
      </c>
      <c r="AE17" s="38" t="n">
        <v>2</v>
      </c>
      <c r="AF17" s="38" t="n">
        <v>2</v>
      </c>
      <c r="AG17" s="38" t="n">
        <v>1</v>
      </c>
      <c r="AH17" s="38" t="n">
        <v>2</v>
      </c>
      <c r="AI17" s="38" t="n">
        <v>2</v>
      </c>
      <c r="AJ17" s="38" t="n">
        <v>2</v>
      </c>
      <c r="AK17" s="38" t="n">
        <v>1</v>
      </c>
      <c r="AL17" s="38" t="n">
        <v>1</v>
      </c>
      <c r="AM17" s="38" t="n">
        <v>2</v>
      </c>
      <c r="AN17" s="38" t="n">
        <v>2</v>
      </c>
      <c r="AO17" s="38" t="n">
        <v>0</v>
      </c>
      <c r="AP17" s="38" t="n">
        <v>0</v>
      </c>
      <c r="AQ17" s="38" t="n">
        <v>0</v>
      </c>
      <c r="AR17" s="38" t="n">
        <v>1</v>
      </c>
      <c r="AS17" s="38" t="n">
        <v>1</v>
      </c>
      <c r="AT17" s="38" t="n">
        <v>1</v>
      </c>
      <c r="AU17" s="38" t="n">
        <v>1</v>
      </c>
      <c r="AV17" s="38" t="n">
        <v>1</v>
      </c>
      <c r="AW17" s="38" t="n">
        <v>1</v>
      </c>
      <c r="AX17" s="38" t="n">
        <v>1</v>
      </c>
      <c r="AY17" s="38" t="n">
        <v>2</v>
      </c>
      <c r="AZ17" s="38" t="n">
        <v>2</v>
      </c>
      <c r="BA17" s="38" t="n">
        <v>2</v>
      </c>
      <c r="BB17" s="38" t="n">
        <v>2</v>
      </c>
      <c r="BC17" s="38" t="n">
        <v>2</v>
      </c>
      <c r="BD17" s="38" t="n">
        <v>2</v>
      </c>
      <c r="BE17" s="38" t="n">
        <v>2</v>
      </c>
      <c r="BF17" s="38" t="n">
        <v>2</v>
      </c>
      <c r="BG17" s="38" t="n">
        <v>2</v>
      </c>
      <c r="BH17" s="38" t="n">
        <v>1</v>
      </c>
      <c r="BI17" s="38" t="n">
        <v>1</v>
      </c>
      <c r="BJ17" s="38" t="n">
        <v>1</v>
      </c>
      <c r="BK17" s="38" t="n">
        <v>1</v>
      </c>
      <c r="BL17" s="38" t="n">
        <v>1</v>
      </c>
      <c r="BM17" s="38" t="n">
        <v>1</v>
      </c>
      <c r="BN17" s="38" t="n">
        <v>1</v>
      </c>
      <c r="BO17" s="38" t="n">
        <v>1</v>
      </c>
      <c r="BP17" s="38" t="n">
        <v>1</v>
      </c>
      <c r="BQ17" s="38" t="n">
        <v>1</v>
      </c>
      <c r="BR17" s="38" t="n">
        <v>1</v>
      </c>
      <c r="BS17" s="38" t="n">
        <v>1</v>
      </c>
      <c r="BT17" s="38" t="n">
        <v>1</v>
      </c>
      <c r="BU17" s="38" t="n">
        <v>1</v>
      </c>
      <c r="BV17" s="38" t="n">
        <v>1</v>
      </c>
      <c r="BW17" s="38" t="n">
        <v>0</v>
      </c>
      <c r="BX17" s="38" t="n">
        <v>0</v>
      </c>
      <c r="BY17" s="38" t="n">
        <v>0</v>
      </c>
      <c r="BZ17" s="38" t="n"/>
      <c r="CA17" s="38" t="n"/>
      <c r="CB17" s="38" t="n"/>
      <c r="CC17" s="9" t="n"/>
      <c r="CD17" s="9" t="n"/>
      <c r="CE17" s="9" t="n"/>
      <c r="CF17" s="154">
        <f>CD17+IF(NOT(ISBLANK(OFFSET(CF17,0,6))),N(OFFSET(CF17,0,6)),N(OFFSET(CF17,0,7)))-CE17</f>
        <v/>
      </c>
      <c r="CG17" s="6" t="n"/>
      <c r="CH17" s="233" t="inlineStr">
        <is>
          <t>02 DE ER PG</t>
        </is>
      </c>
      <c r="CI17" s="4" t="n"/>
      <c r="CJ17" s="65" t="n"/>
      <c r="CK17" s="18" t="n">
        <v>0</v>
      </c>
      <c r="CL17" s="18" t="n">
        <v>0</v>
      </c>
      <c r="CM17" s="18" t="n">
        <v>0</v>
      </c>
      <c r="CN17" s="18" t="n"/>
      <c r="CO17" s="18" t="n"/>
      <c r="CP17" s="18" t="n"/>
      <c r="CQ17" s="18" t="n"/>
      <c r="CR17" s="18" t="n"/>
      <c r="CS17" s="418" t="n">
        <v>1</v>
      </c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18" t="n"/>
      <c r="DP17" s="256" t="n">
        <v>2</v>
      </c>
      <c r="DQ17" s="256" t="n"/>
      <c r="DR17" s="18" t="n"/>
      <c r="DS17" s="18" t="n"/>
      <c r="DT17" s="18" t="n">
        <v>1</v>
      </c>
      <c r="DU17" s="18" t="n"/>
      <c r="DV17" s="18" t="n">
        <v>1</v>
      </c>
      <c r="DW17" s="18" t="n"/>
      <c r="DX17" s="18" t="n"/>
      <c r="DY17" s="18" t="n"/>
      <c r="DZ17" s="18" t="n"/>
      <c r="EA17" s="18" t="n"/>
      <c r="EB17" s="18" t="n"/>
      <c r="EC17" s="18" t="n"/>
      <c r="ED17" s="18" t="n"/>
      <c r="EE17" s="18" t="n"/>
      <c r="EF17" s="18" t="n"/>
      <c r="EG17" s="18" t="n"/>
      <c r="EH17" s="18" t="n"/>
      <c r="EI17" s="18" t="n"/>
      <c r="EJ17" s="18" t="n"/>
      <c r="EK17" s="18" t="n"/>
      <c r="EL17" s="18" t="n"/>
      <c r="EM17" s="18" t="n"/>
      <c r="EN17" s="18" t="n"/>
      <c r="EO17" s="18" t="n"/>
      <c r="EP17" s="18" t="n"/>
      <c r="EQ17" s="18" t="n"/>
      <c r="ER17" s="18" t="n"/>
      <c r="ES17" s="18" t="n"/>
      <c r="ET17" s="18" t="n"/>
      <c r="EU17" s="18" t="n"/>
      <c r="EV17" s="18" t="n"/>
      <c r="EW17" s="256" t="n"/>
      <c r="EX17" s="18" t="n"/>
      <c r="EY17" s="18" t="n"/>
      <c r="EZ17" s="18" t="n"/>
      <c r="FA17" s="18" t="n"/>
      <c r="FB17" s="18" t="n"/>
      <c r="FC17" s="18" t="n"/>
      <c r="FD17" s="18" t="n"/>
      <c r="FE17" s="18" t="n"/>
      <c r="FF17" s="18" t="n"/>
      <c r="FG17" s="18" t="n"/>
      <c r="FH17" s="18" t="n"/>
      <c r="FI17" s="18" t="n"/>
      <c r="FJ17" s="256" t="n"/>
      <c r="FK17" s="18" t="n"/>
      <c r="FL17" s="18" t="n"/>
      <c r="FM17" s="18" t="n"/>
      <c r="FN17" s="18" t="n"/>
      <c r="FO17" s="18" t="n"/>
      <c r="FP17" s="256" t="n">
        <v>2</v>
      </c>
      <c r="FQ17" s="18" t="n"/>
      <c r="FR17" s="18" t="n"/>
      <c r="FS17" s="18" t="n"/>
      <c r="FT17" s="18" t="n"/>
      <c r="FU17" s="18" t="n"/>
      <c r="FV17" s="18" t="n"/>
      <c r="FW17" s="18" t="n"/>
      <c r="FX17" s="18" t="n"/>
      <c r="FY17" s="18" t="n">
        <v>1</v>
      </c>
      <c r="FZ17" s="18" t="n"/>
      <c r="GA17" s="18" t="n"/>
      <c r="GB17" s="18" t="n"/>
      <c r="GC17" s="18" t="n"/>
    </row>
    <row r="18" ht="18.75" customFormat="1" customHeight="1" s="3">
      <c r="A18" s="33" t="inlineStr">
        <is>
          <t>TAG</t>
        </is>
      </c>
      <c r="B18" s="9" t="n">
        <v>200</v>
      </c>
      <c r="C18" s="662" t="n">
        <v>10.28</v>
      </c>
      <c r="D18" s="329" t="n">
        <v>2</v>
      </c>
      <c r="E18" s="2" t="n"/>
      <c r="F18" s="38" t="n">
        <v>3</v>
      </c>
      <c r="G18" s="38" t="n">
        <v>3</v>
      </c>
      <c r="H18" s="38">
        <f>3+FV18</f>
        <v/>
      </c>
      <c r="I18" s="38" t="n">
        <v>4</v>
      </c>
      <c r="J18" s="38" t="n">
        <v>4</v>
      </c>
      <c r="K18" s="38" t="n">
        <v>4</v>
      </c>
      <c r="L18" s="38" t="n">
        <v>4</v>
      </c>
      <c r="M18" s="38" t="n">
        <v>4</v>
      </c>
      <c r="N18" s="38" t="n">
        <v>4</v>
      </c>
      <c r="O18" s="38" t="n">
        <v>4</v>
      </c>
      <c r="P18" s="38" t="n">
        <v>4</v>
      </c>
      <c r="Q18" s="38" t="n">
        <v>4</v>
      </c>
      <c r="R18" s="38" t="n">
        <v>4</v>
      </c>
      <c r="S18" s="38" t="n">
        <v>4</v>
      </c>
      <c r="T18" s="38" t="n">
        <v>4</v>
      </c>
      <c r="U18" s="38" t="n">
        <v>3</v>
      </c>
      <c r="V18" s="38" t="n">
        <v>3</v>
      </c>
      <c r="W18" s="38" t="n">
        <v>3</v>
      </c>
      <c r="X18" s="38" t="n">
        <v>3</v>
      </c>
      <c r="Y18" s="38" t="n">
        <v>3</v>
      </c>
      <c r="Z18" s="38" t="n">
        <v>3</v>
      </c>
      <c r="AA18" s="38" t="n">
        <v>3</v>
      </c>
      <c r="AB18" s="38" t="n">
        <v>3</v>
      </c>
      <c r="AC18" s="38" t="n">
        <v>3</v>
      </c>
      <c r="AD18" s="38" t="n">
        <v>3</v>
      </c>
      <c r="AE18" s="38" t="n">
        <v>3</v>
      </c>
      <c r="AF18" s="38" t="n">
        <v>3</v>
      </c>
      <c r="AG18" s="38" t="n">
        <v>3</v>
      </c>
      <c r="AH18" s="38" t="n">
        <v>3</v>
      </c>
      <c r="AI18" s="38" t="n">
        <v>3</v>
      </c>
      <c r="AJ18" s="38" t="n">
        <v>3</v>
      </c>
      <c r="AK18" s="38" t="n">
        <v>3</v>
      </c>
      <c r="AL18" s="38" t="n">
        <v>3</v>
      </c>
      <c r="AM18" s="38" t="n">
        <v>3</v>
      </c>
      <c r="AN18" s="38" t="n">
        <v>3</v>
      </c>
      <c r="AO18" s="38" t="n">
        <v>3</v>
      </c>
      <c r="AP18" s="38" t="n">
        <v>3</v>
      </c>
      <c r="AQ18" s="38" t="n">
        <v>3</v>
      </c>
      <c r="AR18" s="38" t="n">
        <v>3</v>
      </c>
      <c r="AS18" s="38" t="n">
        <v>3</v>
      </c>
      <c r="AT18" s="38" t="n">
        <v>3</v>
      </c>
      <c r="AU18" s="38" t="n">
        <v>3</v>
      </c>
      <c r="AV18" s="38" t="n">
        <v>3</v>
      </c>
      <c r="AW18" s="38" t="n">
        <v>3</v>
      </c>
      <c r="AX18" s="38" t="n">
        <v>3</v>
      </c>
      <c r="AY18" s="38" t="n">
        <v>3</v>
      </c>
      <c r="AZ18" s="38" t="n">
        <v>3</v>
      </c>
      <c r="BA18" s="38" t="n">
        <v>3</v>
      </c>
      <c r="BB18" s="38" t="n">
        <v>3</v>
      </c>
      <c r="BC18" s="38" t="n">
        <v>3</v>
      </c>
      <c r="BD18" s="38" t="n">
        <v>3</v>
      </c>
      <c r="BE18" s="38" t="n">
        <v>3</v>
      </c>
      <c r="BF18" s="38" t="n">
        <v>3</v>
      </c>
      <c r="BG18" s="38" t="n">
        <v>3</v>
      </c>
      <c r="BH18" s="38" t="n">
        <v>3</v>
      </c>
      <c r="BI18" s="38" t="n">
        <v>3</v>
      </c>
      <c r="BJ18" s="38" t="n">
        <v>3</v>
      </c>
      <c r="BK18" s="38" t="n">
        <v>3</v>
      </c>
      <c r="BL18" s="38" t="n">
        <v>3</v>
      </c>
      <c r="BM18" s="38" t="n">
        <v>3</v>
      </c>
      <c r="BN18" s="38" t="n">
        <v>3</v>
      </c>
      <c r="BO18" s="38" t="n">
        <v>2</v>
      </c>
      <c r="BP18" s="38" t="n">
        <v>2</v>
      </c>
      <c r="BQ18" s="38" t="n">
        <v>2</v>
      </c>
      <c r="BR18" s="38" t="n">
        <v>2</v>
      </c>
      <c r="BS18" s="38" t="n">
        <v>2</v>
      </c>
      <c r="BT18" s="38" t="n">
        <v>2</v>
      </c>
      <c r="BU18" s="38" t="n">
        <v>2</v>
      </c>
      <c r="BV18" s="38" t="n">
        <v>2</v>
      </c>
      <c r="BW18" s="38" t="n">
        <v>0</v>
      </c>
      <c r="BX18" s="38" t="n">
        <v>0</v>
      </c>
      <c r="BY18" s="38">
        <f>0+CJ18</f>
        <v/>
      </c>
      <c r="BZ18" s="38" t="n"/>
      <c r="CA18" s="38" t="n"/>
      <c r="CB18" s="38" t="n"/>
      <c r="CC18" s="9" t="n"/>
      <c r="CD18" s="9" t="n"/>
      <c r="CE18" s="9" t="n"/>
      <c r="CF18" s="154">
        <f>CD18+IF(NOT(ISBLANK(OFFSET(CF18,0,6))),N(OFFSET(CF18,0,6)),N(OFFSET(CF18,0,7)))-CE18</f>
        <v/>
      </c>
      <c r="CG18" s="6" t="n"/>
      <c r="CH18" s="19" t="n"/>
      <c r="CI18" s="4" t="n"/>
      <c r="CJ18" s="65" t="n"/>
      <c r="CK18" s="18" t="n">
        <v>0</v>
      </c>
      <c r="CL18" s="18" t="n">
        <v>0</v>
      </c>
      <c r="CM18" s="18" t="n">
        <v>2</v>
      </c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18" t="n"/>
      <c r="DP18" s="356" t="n"/>
      <c r="DQ18" s="256" t="n"/>
      <c r="DR18" s="18" t="n"/>
      <c r="DS18" s="18" t="n"/>
      <c r="DT18" s="18" t="n"/>
      <c r="DU18" s="18" t="n"/>
      <c r="DV18" s="18" t="n"/>
      <c r="DW18" s="18" t="n"/>
      <c r="DX18" s="18" t="n"/>
      <c r="DY18" s="18" t="n"/>
      <c r="DZ18" s="18" t="n"/>
      <c r="EA18" s="18" t="n"/>
      <c r="EB18" s="18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18" t="n"/>
      <c r="ET18" s="18" t="n"/>
      <c r="EU18" s="18" t="n"/>
      <c r="EV18" s="18" t="n"/>
      <c r="EW18" s="256" t="n"/>
      <c r="EX18" s="18" t="n"/>
      <c r="EY18" s="18" t="n"/>
      <c r="EZ18" s="18" t="n"/>
      <c r="FA18" s="18" t="n"/>
      <c r="FB18" s="18" t="n"/>
      <c r="FC18" s="18" t="n"/>
      <c r="FD18" s="18" t="n"/>
      <c r="FE18" s="18" t="n"/>
      <c r="FF18" s="18" t="n"/>
      <c r="FG18" s="18" t="n"/>
      <c r="FH18" s="18" t="n"/>
      <c r="FI18" s="18" t="n"/>
      <c r="FJ18" s="256" t="n"/>
      <c r="FK18" s="18" t="n"/>
      <c r="FL18" s="18" t="n"/>
      <c r="FM18" s="18" t="n"/>
      <c r="FN18" s="18" t="n"/>
      <c r="FO18" s="18" t="n"/>
      <c r="FP18" s="256" t="n"/>
      <c r="FQ18" s="18" t="n"/>
      <c r="FR18" s="18" t="n"/>
      <c r="FS18" s="18" t="n"/>
      <c r="FT18" s="18" t="n"/>
      <c r="FU18" s="18" t="n"/>
      <c r="FV18" s="18" t="n"/>
      <c r="FW18" s="18" t="n"/>
      <c r="FX18" s="18" t="n"/>
      <c r="FY18" s="18" t="n">
        <v>1</v>
      </c>
      <c r="FZ18" s="18" t="n"/>
      <c r="GA18" s="18" t="n"/>
      <c r="GB18" s="18" t="n"/>
      <c r="GC18" s="18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2" t="n">
        <v>71.8</v>
      </c>
      <c r="D19" s="329" t="n">
        <v>1</v>
      </c>
      <c r="E19" s="2" t="n"/>
      <c r="F19" s="38" t="n">
        <v>2</v>
      </c>
      <c r="G19" s="38" t="n">
        <v>2</v>
      </c>
      <c r="H19" s="38">
        <f>1+FV19</f>
        <v/>
      </c>
      <c r="I19" s="38" t="n">
        <v>2</v>
      </c>
      <c r="J19" s="38" t="n">
        <v>2</v>
      </c>
      <c r="K19" s="38" t="n">
        <v>2</v>
      </c>
      <c r="L19" s="38" t="n">
        <v>1</v>
      </c>
      <c r="M19" s="38" t="n">
        <v>1</v>
      </c>
      <c r="N19" s="38" t="n">
        <v>1</v>
      </c>
      <c r="O19" s="38">
        <f>3+FL19</f>
        <v/>
      </c>
      <c r="P19" s="38" t="n">
        <v>4</v>
      </c>
      <c r="Q19" s="38">
        <f>4+FI19</f>
        <v/>
      </c>
      <c r="R19" s="38" t="n">
        <v>6</v>
      </c>
      <c r="S19" s="38" t="n">
        <v>6</v>
      </c>
      <c r="T19" s="38" t="n">
        <v>6</v>
      </c>
      <c r="U19" s="38" t="n">
        <v>6</v>
      </c>
      <c r="V19" s="38" t="n">
        <v>6</v>
      </c>
      <c r="W19" s="38" t="n">
        <v>6</v>
      </c>
      <c r="X19" s="38" t="n">
        <v>6</v>
      </c>
      <c r="Y19" s="38" t="n">
        <v>6</v>
      </c>
      <c r="Z19" s="38">
        <f>6-3</f>
        <v/>
      </c>
      <c r="AA19" s="38" t="n">
        <v>3</v>
      </c>
      <c r="AB19" s="38" t="n">
        <v>3</v>
      </c>
      <c r="AC19" s="38" t="n">
        <v>2</v>
      </c>
      <c r="AD19" s="38" t="n">
        <v>2</v>
      </c>
      <c r="AE19" s="38" t="n">
        <v>2</v>
      </c>
      <c r="AF19" s="38" t="n">
        <v>2</v>
      </c>
      <c r="AG19" s="38" t="n">
        <v>2</v>
      </c>
      <c r="AH19" s="38" t="n">
        <v>2</v>
      </c>
      <c r="AI19" s="38" t="n">
        <v>2</v>
      </c>
      <c r="AJ19" s="38" t="n">
        <v>2</v>
      </c>
      <c r="AK19" s="38" t="n">
        <v>0</v>
      </c>
      <c r="AL19" s="38" t="n">
        <v>0</v>
      </c>
      <c r="AM19" s="38" t="n">
        <v>0</v>
      </c>
      <c r="AN19" s="38" t="n">
        <v>1</v>
      </c>
      <c r="AO19" s="38" t="n">
        <v>1</v>
      </c>
      <c r="AP19" s="38" t="n">
        <v>1</v>
      </c>
      <c r="AQ19" s="38" t="n">
        <v>1</v>
      </c>
      <c r="AR19" s="38" t="n">
        <v>1</v>
      </c>
      <c r="AS19" s="38">
        <f>0+DO19</f>
        <v/>
      </c>
      <c r="AT19" s="38" t="n">
        <v>1</v>
      </c>
      <c r="AU19" s="38">
        <f>1+DL19</f>
        <v/>
      </c>
      <c r="AV19" s="38" t="n">
        <v>1</v>
      </c>
      <c r="AW19" s="38">
        <f>1+DJ19</f>
        <v/>
      </c>
      <c r="AX19" s="38" t="n">
        <v>2</v>
      </c>
      <c r="AY19" s="38" t="n">
        <v>2</v>
      </c>
      <c r="AZ19" s="38" t="n">
        <v>2</v>
      </c>
      <c r="BA19" s="38" t="n">
        <v>2</v>
      </c>
      <c r="BB19" s="38" t="n">
        <v>2</v>
      </c>
      <c r="BC19" s="38" t="n">
        <v>2</v>
      </c>
      <c r="BD19" s="38" t="n">
        <v>2</v>
      </c>
      <c r="BE19" s="38" t="n">
        <v>2</v>
      </c>
      <c r="BF19" s="38" t="n">
        <v>1</v>
      </c>
      <c r="BG19" s="38" t="n">
        <v>1</v>
      </c>
      <c r="BH19" s="38" t="n">
        <v>1</v>
      </c>
      <c r="BI19" s="38" t="n">
        <v>3</v>
      </c>
      <c r="BJ19" s="38" t="n">
        <v>3</v>
      </c>
      <c r="BK19" s="38" t="n">
        <v>3</v>
      </c>
      <c r="BL19" s="38" t="n">
        <v>3</v>
      </c>
      <c r="BM19" s="38" t="n">
        <v>3</v>
      </c>
      <c r="BN19" s="38" t="n">
        <v>2</v>
      </c>
      <c r="BO19" s="38" t="n">
        <v>2</v>
      </c>
      <c r="BP19" s="38" t="n">
        <v>2</v>
      </c>
      <c r="BQ19" s="38" t="n">
        <v>2</v>
      </c>
      <c r="BR19" s="38" t="n">
        <v>1</v>
      </c>
      <c r="BS19" s="38" t="n">
        <v>1</v>
      </c>
      <c r="BT19" s="38" t="n">
        <v>0</v>
      </c>
      <c r="BU19" s="38" t="n">
        <v>0</v>
      </c>
      <c r="BV19" s="38" t="n">
        <v>0</v>
      </c>
      <c r="BW19" s="38" t="n">
        <v>0</v>
      </c>
      <c r="BX19" s="38" t="n">
        <v>0</v>
      </c>
      <c r="BY19" s="38" t="n">
        <v>0</v>
      </c>
      <c r="BZ19" s="38" t="n"/>
      <c r="CA19" s="38" t="n"/>
      <c r="CB19" s="38" t="n"/>
      <c r="CC19" s="9" t="n"/>
      <c r="CD19" s="9" t="n"/>
      <c r="CE19" s="9" t="n"/>
      <c r="CF19" s="154">
        <f>CD19+IF(NOT(ISBLANK(OFFSET(CF19,0,6))),N(OFFSET(CF19,0,6)),N(OFFSET(CF19,0,7)))-CE19</f>
        <v/>
      </c>
      <c r="CG19" s="6" t="n"/>
      <c r="CH19" s="233" t="inlineStr">
        <is>
          <t>01 DE ER MG</t>
        </is>
      </c>
      <c r="CI19" s="4" t="n"/>
      <c r="CJ19" s="65" t="n"/>
      <c r="CK19" s="18" t="n">
        <v>0</v>
      </c>
      <c r="CL19" s="18" t="n">
        <v>0</v>
      </c>
      <c r="CM19" s="18" t="n">
        <v>0</v>
      </c>
      <c r="CN19" s="18" t="n"/>
      <c r="CO19" s="18" t="n"/>
      <c r="CP19" s="18" t="n"/>
      <c r="CQ19" s="18" t="n"/>
      <c r="CR19" s="18" t="n"/>
      <c r="CS19" s="18" t="n"/>
      <c r="CT19" s="18" t="n"/>
      <c r="CU19" s="18" t="n"/>
      <c r="CV19" s="18" t="n"/>
      <c r="CW19" s="18" t="n"/>
      <c r="CX19" s="18" t="n"/>
      <c r="CY19" s="18" t="n"/>
      <c r="CZ19" s="18" t="n">
        <v>2</v>
      </c>
      <c r="DA19" s="18" t="n"/>
      <c r="DB19" s="18" t="n"/>
      <c r="DC19" s="18" t="n"/>
      <c r="DD19" s="18" t="n"/>
      <c r="DE19" s="18" t="n"/>
      <c r="DF19" s="18" t="n"/>
      <c r="DG19" s="18" t="n"/>
      <c r="DH19" s="18" t="n"/>
      <c r="DI19" s="18" t="n"/>
      <c r="DJ19" s="18" t="n"/>
      <c r="DK19" s="18" t="n"/>
      <c r="DL19" s="18" t="n"/>
      <c r="DM19" s="18" t="n">
        <v>1</v>
      </c>
      <c r="DN19" s="18" t="n"/>
      <c r="DO19" s="18" t="n">
        <v>1</v>
      </c>
      <c r="DP19" s="356" t="n"/>
      <c r="DQ19" s="256" t="n"/>
      <c r="DR19" s="18" t="n">
        <v>1</v>
      </c>
      <c r="DS19" s="18" t="n"/>
      <c r="DT19" s="18" t="n"/>
      <c r="DU19" s="18" t="n"/>
      <c r="DV19" s="18" t="n"/>
      <c r="DW19" s="18" t="n"/>
      <c r="DX19" s="18" t="n"/>
      <c r="DY19" s="18" t="n"/>
      <c r="DZ19" s="18" t="n">
        <v>1</v>
      </c>
      <c r="EA19" s="18" t="n"/>
      <c r="EB19" s="18" t="n"/>
      <c r="EC19" s="18" t="n"/>
      <c r="ED19" s="256" t="n"/>
      <c r="EE19" s="256" t="n"/>
      <c r="EF19" s="18" t="n"/>
      <c r="EG19" s="18" t="n"/>
      <c r="EH19" s="18" t="n"/>
      <c r="EI19" s="256" t="n"/>
      <c r="EJ19" s="18" t="n"/>
      <c r="EK19" s="18" t="n"/>
      <c r="EL19" s="18" t="n"/>
      <c r="EM19" s="18" t="n"/>
      <c r="EN19" s="18" t="n"/>
      <c r="EO19" s="256" t="n"/>
      <c r="EP19" s="18" t="n"/>
      <c r="EQ19" s="256" t="n"/>
      <c r="ER19" s="18" t="n"/>
      <c r="ES19" s="18" t="n"/>
      <c r="ET19" s="256" t="n"/>
      <c r="EU19" s="18" t="n"/>
      <c r="EV19" s="256" t="n"/>
      <c r="EW19" s="256" t="n"/>
      <c r="EX19" s="241" t="inlineStr">
        <is>
          <t>03 P/ ER PG</t>
        </is>
      </c>
      <c r="EY19" s="18" t="n"/>
      <c r="EZ19" s="18" t="n"/>
      <c r="FA19" s="18" t="n"/>
      <c r="FB19" s="18" t="n"/>
      <c r="FC19" s="18" t="n"/>
      <c r="FD19" s="256" t="n"/>
      <c r="FE19" s="18" t="n"/>
      <c r="FF19" s="18" t="n"/>
      <c r="FG19" s="18" t="n"/>
      <c r="FH19" s="18" t="n"/>
      <c r="FI19" s="18" t="n"/>
      <c r="FJ19" s="256" t="n"/>
      <c r="FK19" s="18" t="n"/>
      <c r="FL19" s="18" t="n">
        <v>2</v>
      </c>
      <c r="FM19" s="18" t="n"/>
      <c r="FN19" s="18" t="n"/>
      <c r="FO19" s="18" t="n">
        <v>2</v>
      </c>
      <c r="FP19" s="256" t="n"/>
      <c r="FQ19" s="18" t="n">
        <v>2</v>
      </c>
      <c r="FR19" s="18" t="n"/>
      <c r="FS19" s="18" t="n"/>
      <c r="FT19" s="18" t="n"/>
      <c r="FU19" s="18" t="n"/>
      <c r="FV19" s="18" t="n"/>
      <c r="FW19" s="18" t="n"/>
      <c r="FX19" s="18" t="n"/>
      <c r="FY19" s="18" t="n">
        <v>1</v>
      </c>
      <c r="FZ19" s="18" t="n"/>
      <c r="GA19" s="18" t="n"/>
      <c r="GB19" s="18" t="n"/>
      <c r="GC19" s="18" t="n"/>
    </row>
    <row r="20" ht="18.75" customHeight="1">
      <c r="DP20" s="17" t="n"/>
      <c r="DQ20" s="271" t="n"/>
      <c r="EW20" s="271" t="n"/>
      <c r="FJ20" s="271" t="n"/>
      <c r="FP20" s="271" t="n"/>
    </row>
    <row r="21" ht="18.75" customHeight="1">
      <c r="A21" s="32" t="inlineStr">
        <is>
          <t>SACOLAS BOTICÁRIO VENDIDAS</t>
        </is>
      </c>
      <c r="B21" s="575" t="inlineStr">
        <is>
          <t>PC</t>
        </is>
      </c>
      <c r="C21" s="575" t="inlineStr">
        <is>
          <t>R$</t>
        </is>
      </c>
      <c r="D21" s="575" t="inlineStr">
        <is>
          <t>Estoque Ideal</t>
        </is>
      </c>
      <c r="BW21" s="650" t="n">
        <v>46139</v>
      </c>
      <c r="BX21" s="650" t="n">
        <v>46146</v>
      </c>
      <c r="BY21" s="650" t="n">
        <v>46154</v>
      </c>
      <c r="BZ21" s="650" t="n">
        <v>46160</v>
      </c>
      <c r="CA21" s="650" t="n">
        <v>46160</v>
      </c>
      <c r="CB21" s="650" t="n">
        <v>46160</v>
      </c>
      <c r="CC21" s="651" t="n">
        <v>46161.4800428125</v>
      </c>
      <c r="CD21" s="651" t="n">
        <v>46161.48072087963</v>
      </c>
      <c r="CE21" s="651" t="n">
        <v>46161.4828795433</v>
      </c>
      <c r="CF21" s="652" t="inlineStr">
        <is>
          <t>USOU</t>
        </is>
      </c>
      <c r="CH21" s="35" t="inlineStr">
        <is>
          <t>Pend.</t>
        </is>
      </c>
      <c r="CJ21" s="12" t="inlineStr">
        <is>
          <t>Novo Pedido</t>
        </is>
      </c>
      <c r="CK21" s="708" t="n">
        <v>46161.48287850241</v>
      </c>
      <c r="CL21" s="654" t="n">
        <v>46156</v>
      </c>
      <c r="CM21" s="654" t="n">
        <v>46149</v>
      </c>
      <c r="CN21" s="654" t="n">
        <v>46114</v>
      </c>
      <c r="CO21" s="710" t="n">
        <v>46065</v>
      </c>
      <c r="CP21" s="654" t="n">
        <v>46092</v>
      </c>
      <c r="CQ21" s="654" t="n">
        <v>46092</v>
      </c>
      <c r="CR21" s="654" t="n">
        <v>46084</v>
      </c>
      <c r="CS21" s="711" t="n">
        <v>46045</v>
      </c>
      <c r="CT21" s="654" t="n">
        <v>46071</v>
      </c>
      <c r="DP21" s="17" t="n"/>
      <c r="DQ21" s="271" t="n"/>
      <c r="EW21" s="271" t="n"/>
      <c r="FJ21" s="271" t="n"/>
      <c r="FP21" s="271" t="n"/>
    </row>
    <row r="22" ht="18.75" customHeight="1">
      <c r="A22" s="29" t="inlineStr">
        <is>
          <t>SACOLA PP VERDE</t>
        </is>
      </c>
      <c r="B22" s="9" t="n">
        <v>300</v>
      </c>
      <c r="C22" s="659" t="n">
        <v>187.12</v>
      </c>
      <c r="D22" s="329" t="n"/>
      <c r="BW22" s="38" t="n">
        <v>200</v>
      </c>
      <c r="BX22" s="38" t="n">
        <v>200</v>
      </c>
      <c r="BY22" s="38" t="n">
        <v>200</v>
      </c>
      <c r="BZ22" s="38" t="n">
        <v>190</v>
      </c>
      <c r="CA22" s="38" t="n">
        <v>190</v>
      </c>
      <c r="CB22" s="38" t="n">
        <v>190</v>
      </c>
      <c r="CC22" s="9" t="n">
        <v>190</v>
      </c>
      <c r="CD22" s="9" t="n">
        <v>190</v>
      </c>
      <c r="CE22" s="9" t="n">
        <v>190</v>
      </c>
      <c r="CF22" s="154">
        <f>CD22+IF(NOT(ISBLANK(OFFSET(CF22,0,6))),N(OFFSET(CF22,0,6)),N(OFFSET(CF22,0,7)))-CE22</f>
        <v/>
      </c>
      <c r="CH22" s="19" t="n"/>
      <c r="CI22" s="119" t="n"/>
      <c r="CJ22" s="65" t="n"/>
      <c r="CK22" s="691" t="n">
        <v>0</v>
      </c>
      <c r="CL22" s="18" t="n">
        <v>0</v>
      </c>
      <c r="CM22" s="18" t="n">
        <v>0</v>
      </c>
      <c r="CN22" s="18" t="n"/>
      <c r="CO22" s="18" t="n"/>
      <c r="CP22" s="18" t="n"/>
      <c r="CQ22" s="18" t="n"/>
      <c r="CR22" s="18" t="n"/>
      <c r="CS22" s="18" t="n"/>
      <c r="CT22" s="18" t="n"/>
      <c r="DP22" s="17" t="n"/>
      <c r="DQ22" s="271" t="n"/>
      <c r="EW22" s="271" t="n"/>
      <c r="FJ22" s="271" t="n"/>
      <c r="FP22" s="271" t="n"/>
    </row>
    <row r="23" ht="18.75" customHeight="1">
      <c r="A23" s="29" t="inlineStr">
        <is>
          <t xml:space="preserve">SACOLA P VERDE </t>
        </is>
      </c>
      <c r="B23" s="9" t="n">
        <v>200</v>
      </c>
      <c r="C23" s="659" t="n">
        <v>193.08</v>
      </c>
      <c r="D23" s="329" t="n"/>
      <c r="BW23" s="38" t="n">
        <v>200</v>
      </c>
      <c r="BX23" s="38" t="n">
        <v>200</v>
      </c>
      <c r="BY23" s="38" t="n">
        <v>200</v>
      </c>
      <c r="BZ23" s="38" t="n">
        <v>200</v>
      </c>
      <c r="CA23" s="38" t="n">
        <v>200</v>
      </c>
      <c r="CB23" s="38" t="n">
        <v>200</v>
      </c>
      <c r="CC23" s="9" t="n">
        <v>200</v>
      </c>
      <c r="CD23" s="9" t="n">
        <v>200</v>
      </c>
      <c r="CE23" s="9" t="n">
        <v>200</v>
      </c>
      <c r="CF23" s="154">
        <f>CD23+IF(NOT(ISBLANK(OFFSET(CF23,0,6))),N(OFFSET(CF23,0,6)),N(OFFSET(CF23,0,7)))-CE23</f>
        <v/>
      </c>
      <c r="CH23" s="19" t="n"/>
      <c r="CI23" s="119" t="n"/>
      <c r="CJ23" s="65" t="n"/>
      <c r="CK23" s="691" t="n">
        <v>0</v>
      </c>
      <c r="CL23" s="18" t="n">
        <v>0</v>
      </c>
      <c r="CM23" s="18" t="n">
        <v>0</v>
      </c>
      <c r="CN23" s="18" t="n"/>
      <c r="CO23" s="18" t="n"/>
      <c r="CP23" s="18" t="n"/>
      <c r="CQ23" s="18" t="n"/>
      <c r="CR23" s="18" t="n"/>
      <c r="CS23" s="18" t="n"/>
      <c r="CT23" s="18" t="n"/>
      <c r="DP23" s="17" t="n"/>
      <c r="DQ23" s="271" t="n"/>
      <c r="EW23" s="271" t="n"/>
      <c r="FJ23" s="271" t="n"/>
      <c r="FP23" s="271" t="n"/>
    </row>
    <row r="24" ht="18.75" customHeight="1">
      <c r="A24" s="29" t="inlineStr">
        <is>
          <t>SACOLA M VERDE</t>
        </is>
      </c>
      <c r="B24" s="9" t="n">
        <v>200</v>
      </c>
      <c r="C24" s="659" t="n">
        <v>253.83</v>
      </c>
      <c r="D24" s="329" t="n"/>
      <c r="BW24" s="38" t="n">
        <v>200</v>
      </c>
      <c r="BX24" s="38" t="n">
        <v>200</v>
      </c>
      <c r="BY24" s="38" t="n">
        <v>200</v>
      </c>
      <c r="BZ24" s="38" t="n">
        <v>200</v>
      </c>
      <c r="CA24" s="38" t="n">
        <v>200</v>
      </c>
      <c r="CB24" s="38" t="n">
        <v>200</v>
      </c>
      <c r="CC24" s="9" t="n">
        <v>200</v>
      </c>
      <c r="CD24" s="9" t="n">
        <v>200</v>
      </c>
      <c r="CE24" s="9" t="n">
        <v>200</v>
      </c>
      <c r="CF24" s="154">
        <f>CD24+IF(NOT(ISBLANK(OFFSET(CF24,0,6))),N(OFFSET(CF24,0,6)),N(OFFSET(CF24,0,7)))-CE24</f>
        <v/>
      </c>
      <c r="CH24" s="19" t="n"/>
      <c r="CI24" s="119" t="n"/>
      <c r="CJ24" s="65" t="n"/>
      <c r="CK24" s="691" t="n">
        <v>0</v>
      </c>
      <c r="CL24" s="18" t="n">
        <v>0</v>
      </c>
      <c r="CM24" s="18" t="n">
        <v>0</v>
      </c>
      <c r="CN24" s="18" t="n"/>
      <c r="CO24" s="18" t="n"/>
      <c r="CP24" s="18" t="n"/>
      <c r="CQ24" s="18" t="n"/>
      <c r="CR24" s="18" t="n"/>
      <c r="CS24" s="18" t="n"/>
      <c r="CT24" s="18" t="n"/>
      <c r="DP24" s="17" t="n"/>
      <c r="DQ24" s="271" t="n"/>
      <c r="EW24" s="271" t="n"/>
      <c r="FJ24" s="271" t="n"/>
      <c r="FP24" s="271" t="n"/>
    </row>
    <row r="25" ht="18.75" customHeight="1">
      <c r="DP25" s="17" t="n"/>
      <c r="DQ25" s="271" t="n"/>
      <c r="EW25" s="271" t="n"/>
      <c r="FJ25" s="271" t="n"/>
      <c r="FP25" s="271" t="n"/>
    </row>
    <row r="26" ht="18.75" customFormat="1" customHeight="1" s="3">
      <c r="A26" s="32" t="inlineStr">
        <is>
          <t>KIT SACOLAS BOTICÁRIO VENDIDAS</t>
        </is>
      </c>
      <c r="B26" s="575" t="inlineStr">
        <is>
          <t>MÓD</t>
        </is>
      </c>
      <c r="C26" s="575" t="inlineStr">
        <is>
          <t>R$</t>
        </is>
      </c>
      <c r="D26" s="575" t="n"/>
      <c r="E26" s="642" t="n"/>
      <c r="F26" s="650" t="n">
        <v>45656</v>
      </c>
      <c r="G26" s="650" t="n">
        <v>45663</v>
      </c>
      <c r="H26" s="650" t="n">
        <v>45670</v>
      </c>
      <c r="I26" s="650" t="n">
        <v>45677</v>
      </c>
      <c r="J26" s="650" t="n">
        <v>45684</v>
      </c>
      <c r="K26" s="650" t="n">
        <v>45691</v>
      </c>
      <c r="L26" s="650" t="n">
        <v>45698</v>
      </c>
      <c r="M26" s="650" t="n">
        <v>45705</v>
      </c>
      <c r="N26" s="650" t="n">
        <v>45712</v>
      </c>
      <c r="O26" s="650" t="n">
        <v>45719</v>
      </c>
      <c r="P26" s="650" t="n">
        <v>45726</v>
      </c>
      <c r="Q26" s="650" t="n">
        <v>45733</v>
      </c>
      <c r="R26" s="650" t="n">
        <v>45740</v>
      </c>
      <c r="S26" s="650" t="n">
        <v>45747</v>
      </c>
      <c r="T26" s="650" t="n">
        <v>45754</v>
      </c>
      <c r="U26" s="650" t="n">
        <v>45761</v>
      </c>
      <c r="V26" s="650" t="n">
        <v>45768</v>
      </c>
      <c r="W26" s="650" t="n">
        <v>45775</v>
      </c>
      <c r="X26" s="650" t="n">
        <v>45782</v>
      </c>
      <c r="Y26" s="650" t="n">
        <v>45789</v>
      </c>
      <c r="Z26" s="650" t="n">
        <v>45796</v>
      </c>
      <c r="AA26" s="650" t="n">
        <v>45803</v>
      </c>
      <c r="AB26" s="650" t="n">
        <v>45810</v>
      </c>
      <c r="AC26" s="650" t="n">
        <v>45817</v>
      </c>
      <c r="AD26" s="650" t="n">
        <v>45824</v>
      </c>
      <c r="AE26" s="650" t="n">
        <v>45831</v>
      </c>
      <c r="AF26" s="650" t="n">
        <v>45838</v>
      </c>
      <c r="AG26" s="650" t="n">
        <v>45845</v>
      </c>
      <c r="AH26" s="650" t="n">
        <v>45852</v>
      </c>
      <c r="AI26" s="650" t="n">
        <v>45859</v>
      </c>
      <c r="AJ26" s="650" t="n">
        <v>45866</v>
      </c>
      <c r="AK26" s="650" t="n">
        <v>45873</v>
      </c>
      <c r="AL26" s="650" t="n">
        <v>45880</v>
      </c>
      <c r="AM26" s="650" t="n">
        <v>45887</v>
      </c>
      <c r="AN26" s="650" t="n">
        <v>45894</v>
      </c>
      <c r="AO26" s="650" t="n">
        <v>45901</v>
      </c>
      <c r="AP26" s="650" t="n">
        <v>45908</v>
      </c>
      <c r="AQ26" s="650" t="n">
        <v>45915</v>
      </c>
      <c r="AR26" s="650" t="n">
        <v>45922</v>
      </c>
      <c r="AS26" s="650" t="n">
        <v>45929</v>
      </c>
      <c r="AT26" s="650" t="n">
        <v>45936</v>
      </c>
      <c r="AU26" s="650" t="n">
        <v>45943</v>
      </c>
      <c r="AV26" s="650" t="n">
        <v>45950</v>
      </c>
      <c r="AW26" s="650" t="n">
        <v>45957</v>
      </c>
      <c r="AX26" s="650" t="n">
        <v>45964</v>
      </c>
      <c r="AY26" s="650" t="n">
        <v>45971</v>
      </c>
      <c r="AZ26" s="650" t="n">
        <v>45978</v>
      </c>
      <c r="BA26" s="650" t="n">
        <v>45985</v>
      </c>
      <c r="BB26" s="650" t="n">
        <v>45992</v>
      </c>
      <c r="BC26" s="650" t="n">
        <v>45999</v>
      </c>
      <c r="BD26" s="650" t="n">
        <v>46006</v>
      </c>
      <c r="BE26" s="650" t="n">
        <v>46013</v>
      </c>
      <c r="BF26" s="650" t="n">
        <v>46020</v>
      </c>
      <c r="BG26" s="650" t="n">
        <v>46027</v>
      </c>
      <c r="BH26" s="650" t="n">
        <v>46034</v>
      </c>
      <c r="BI26" s="650" t="n">
        <v>46041</v>
      </c>
      <c r="BJ26" s="650" t="n">
        <v>46048</v>
      </c>
      <c r="BK26" s="650" t="n">
        <v>46055</v>
      </c>
      <c r="BL26" s="650" t="n">
        <v>46062</v>
      </c>
      <c r="BM26" s="650" t="n">
        <v>46069</v>
      </c>
      <c r="BN26" s="650" t="n">
        <v>46076</v>
      </c>
      <c r="BO26" s="650" t="n">
        <v>46083</v>
      </c>
      <c r="BP26" s="650" t="n">
        <v>46090</v>
      </c>
      <c r="BQ26" s="650" t="n">
        <v>46097</v>
      </c>
      <c r="BR26" s="650" t="n">
        <v>46104</v>
      </c>
      <c r="BS26" s="650" t="n">
        <v>46111</v>
      </c>
      <c r="BT26" s="650" t="n">
        <v>46118</v>
      </c>
      <c r="BU26" s="650" t="n">
        <v>46125</v>
      </c>
      <c r="BV26" s="650" t="n">
        <v>46132</v>
      </c>
      <c r="BW26" s="650" t="n">
        <v>46139</v>
      </c>
      <c r="BX26" s="650" t="n">
        <v>46146</v>
      </c>
      <c r="BY26" s="650" t="n">
        <v>46154</v>
      </c>
      <c r="BZ26" s="650" t="n">
        <v>46160</v>
      </c>
      <c r="CA26" s="650" t="n">
        <v>46160</v>
      </c>
      <c r="CB26" s="650" t="n">
        <v>46160</v>
      </c>
      <c r="CC26" s="651" t="n">
        <v>46161.4800428125</v>
      </c>
      <c r="CD26" s="651" t="n">
        <v>46161.48072087963</v>
      </c>
      <c r="CE26" s="651" t="n">
        <v>46161.48287954354</v>
      </c>
      <c r="CF26" s="652" t="inlineStr">
        <is>
          <t>USOU</t>
        </is>
      </c>
      <c r="CG26" s="6" t="n"/>
      <c r="CH26" s="35" t="inlineStr">
        <is>
          <t>Pend.</t>
        </is>
      </c>
      <c r="CJ26" s="12" t="inlineStr">
        <is>
          <t>Novo Pedido</t>
        </is>
      </c>
      <c r="CK26" s="708" t="n">
        <v>46161.48287850265</v>
      </c>
      <c r="CL26" s="654" t="n">
        <v>46156</v>
      </c>
      <c r="CM26" s="654" t="n">
        <v>46149</v>
      </c>
      <c r="CN26" s="654" t="n">
        <v>46114</v>
      </c>
      <c r="CO26" s="710" t="n">
        <v>46065</v>
      </c>
      <c r="CP26" s="654" t="n">
        <v>46092</v>
      </c>
      <c r="CQ26" s="654" t="n">
        <v>46092</v>
      </c>
      <c r="CR26" s="654" t="n">
        <v>46084</v>
      </c>
      <c r="CS26" s="711" t="n">
        <v>46045</v>
      </c>
      <c r="CT26" s="654" t="n">
        <v>46071</v>
      </c>
      <c r="CU26" s="654" t="n">
        <v>46043</v>
      </c>
      <c r="CV26" s="654" t="n">
        <v>46029</v>
      </c>
      <c r="CW26" s="654" t="n">
        <v>46024</v>
      </c>
      <c r="CX26" s="655" t="n">
        <v>46041</v>
      </c>
      <c r="CY26" s="654" t="n">
        <v>46029</v>
      </c>
      <c r="CZ26" s="654" t="n">
        <v>46024</v>
      </c>
      <c r="DA26" s="654" t="n">
        <v>46007</v>
      </c>
      <c r="DB26" s="654" t="n">
        <v>46001</v>
      </c>
      <c r="DC26" s="654" t="n">
        <v>45994</v>
      </c>
      <c r="DD26" s="654" t="n">
        <v>45986</v>
      </c>
      <c r="DE26" s="654" t="n">
        <v>45986</v>
      </c>
      <c r="DF26" s="654" t="n">
        <v>45980</v>
      </c>
      <c r="DG26" s="654" t="n">
        <v>45980</v>
      </c>
      <c r="DH26" s="654" t="n">
        <v>45973</v>
      </c>
      <c r="DI26" s="654" t="n">
        <v>45973</v>
      </c>
      <c r="DJ26" s="654" t="n">
        <v>45965</v>
      </c>
      <c r="DK26" s="654" t="n">
        <v>45965</v>
      </c>
      <c r="DL26" s="654" t="n">
        <v>45960</v>
      </c>
      <c r="DM26" s="654" t="n">
        <v>45951</v>
      </c>
      <c r="DN26" s="654" t="n">
        <v>45937</v>
      </c>
      <c r="DO26" s="654" t="n">
        <v>45931</v>
      </c>
      <c r="DP26" s="678" t="n">
        <v>45903</v>
      </c>
      <c r="DQ26" s="688" t="n">
        <v>45931</v>
      </c>
      <c r="DR26" s="654" t="n">
        <v>45923</v>
      </c>
      <c r="DS26" s="654" t="n">
        <v>45909</v>
      </c>
      <c r="DT26" s="654" t="n">
        <v>45915</v>
      </c>
      <c r="DU26" s="654" t="n">
        <v>45909</v>
      </c>
      <c r="DV26" s="654" t="n">
        <v>45903</v>
      </c>
      <c r="DW26" s="654" t="n">
        <v>45895</v>
      </c>
      <c r="DX26" s="654" t="n">
        <v>45895</v>
      </c>
      <c r="DY26" s="679" t="n">
        <v>45896</v>
      </c>
      <c r="DZ26" s="654" t="n">
        <v>45888</v>
      </c>
      <c r="EA26" s="654" t="n">
        <v>45881</v>
      </c>
      <c r="EB26" s="654" t="n">
        <v>45881</v>
      </c>
      <c r="EC26" s="654" t="n">
        <v>45874</v>
      </c>
      <c r="ED26" s="655" t="n">
        <v>45882</v>
      </c>
      <c r="EE26" s="655" t="n">
        <v>45881</v>
      </c>
      <c r="EF26" s="654" t="n">
        <v>45867</v>
      </c>
      <c r="EG26" s="654" t="n">
        <v>45860</v>
      </c>
      <c r="EH26" s="654" t="n">
        <v>45860</v>
      </c>
      <c r="EI26" s="655" t="n">
        <v>45860</v>
      </c>
      <c r="EJ26" s="654" t="n">
        <v>45848</v>
      </c>
      <c r="EK26" s="681" t="n">
        <v>45853</v>
      </c>
      <c r="EL26" s="654" t="n">
        <v>45839</v>
      </c>
      <c r="EM26" s="654" t="n">
        <v>45825</v>
      </c>
      <c r="EN26" s="681" t="n">
        <v>45791</v>
      </c>
      <c r="EO26" s="655" t="n">
        <v>45826</v>
      </c>
      <c r="EP26" s="654" t="n">
        <v>45813</v>
      </c>
      <c r="EQ26" s="655" t="n">
        <v>45819</v>
      </c>
      <c r="ER26" s="654" t="n">
        <v>45805</v>
      </c>
      <c r="ES26" s="654" t="n">
        <v>45783</v>
      </c>
      <c r="ET26" s="655" t="n">
        <v>45807</v>
      </c>
      <c r="EU26" s="654" t="n">
        <v>45790</v>
      </c>
      <c r="EV26" s="690" t="n">
        <v>45800</v>
      </c>
      <c r="EW26" s="650" t="n">
        <v>45799</v>
      </c>
      <c r="EX26" s="655" t="n">
        <v>45798</v>
      </c>
      <c r="EY26" s="654" t="n">
        <v>45783</v>
      </c>
      <c r="EZ26" s="654" t="n">
        <v>45783</v>
      </c>
      <c r="FA26" s="654" t="n">
        <v>45775</v>
      </c>
      <c r="FB26" s="654" t="n">
        <v>45770</v>
      </c>
      <c r="FC26" s="654" t="n">
        <v>45743</v>
      </c>
      <c r="FD26" s="683" t="n">
        <v>45735</v>
      </c>
      <c r="FE26" s="655" t="n">
        <v>45775</v>
      </c>
      <c r="FF26" s="654" t="n">
        <v>45756</v>
      </c>
      <c r="FG26" s="654" t="n">
        <v>45749</v>
      </c>
      <c r="FH26" s="654" t="n">
        <v>45743</v>
      </c>
      <c r="FI26" s="654" t="n">
        <v>45743</v>
      </c>
      <c r="FJ26" s="650" t="n">
        <v>45741</v>
      </c>
      <c r="FK26" s="654" t="n">
        <v>45728</v>
      </c>
      <c r="FL26" s="654" t="n">
        <v>45728</v>
      </c>
      <c r="FM26" s="654" t="n">
        <v>45722</v>
      </c>
      <c r="FN26" s="654" t="n">
        <v>45714</v>
      </c>
      <c r="FO26" s="654" t="n">
        <v>45706</v>
      </c>
      <c r="FP26" s="650" t="n">
        <v>45700</v>
      </c>
      <c r="FQ26" s="654" t="n">
        <v>45699</v>
      </c>
      <c r="FR26" s="654" t="n">
        <v>45706</v>
      </c>
      <c r="FS26" s="654" t="n">
        <v>45693</v>
      </c>
      <c r="FT26" s="654" t="n">
        <v>45685</v>
      </c>
      <c r="FU26" s="654" t="n">
        <v>45679</v>
      </c>
      <c r="FV26" s="654" t="n">
        <v>45660</v>
      </c>
      <c r="FW26" s="654" t="n">
        <v>45674</v>
      </c>
      <c r="FX26" s="655" t="n">
        <v>45672</v>
      </c>
      <c r="FY26" s="654" t="n">
        <v>45652</v>
      </c>
      <c r="FZ26" s="655" t="n">
        <v>45670</v>
      </c>
      <c r="GA26" s="654" t="n">
        <v>45664</v>
      </c>
      <c r="GB26" s="654" t="n">
        <v>45660</v>
      </c>
      <c r="GC26" s="654" t="n">
        <v>45660</v>
      </c>
    </row>
    <row r="27" ht="18.75" customFormat="1" customHeight="1" s="3">
      <c r="A27" s="33" t="inlineStr">
        <is>
          <t>KIT SACOLA PP VERDE (KIT C/ 10)</t>
        </is>
      </c>
      <c r="B27" s="9" t="n">
        <v>280</v>
      </c>
      <c r="C27" s="662" t="n">
        <v>174.76</v>
      </c>
      <c r="D27" s="329" t="n">
        <v>10</v>
      </c>
      <c r="E27" s="714" t="n"/>
      <c r="F27" s="120" t="n">
        <v>28</v>
      </c>
      <c r="G27" s="120" t="n">
        <v>28</v>
      </c>
      <c r="H27" s="120" t="n">
        <v>28</v>
      </c>
      <c r="I27" s="120" t="n">
        <v>28</v>
      </c>
      <c r="J27" s="120" t="n">
        <v>28</v>
      </c>
      <c r="K27" s="120" t="n">
        <v>28</v>
      </c>
      <c r="L27" s="120" t="n">
        <v>28</v>
      </c>
      <c r="M27" s="120" t="n">
        <v>28</v>
      </c>
      <c r="N27" s="120" t="n">
        <v>28</v>
      </c>
      <c r="O27" s="120" t="n">
        <v>28</v>
      </c>
      <c r="P27" s="120" t="n">
        <v>28</v>
      </c>
      <c r="Q27" s="120" t="n">
        <v>0</v>
      </c>
      <c r="R27" s="120" t="n">
        <v>0</v>
      </c>
      <c r="S27" s="120" t="n">
        <v>0</v>
      </c>
      <c r="T27" s="120" t="n">
        <v>0</v>
      </c>
      <c r="U27" s="262" t="n">
        <v>28</v>
      </c>
      <c r="V27" s="120">
        <f>28+FC27</f>
        <v/>
      </c>
      <c r="W27" s="120" t="n">
        <v>112</v>
      </c>
      <c r="X27" s="120" t="n">
        <v>112</v>
      </c>
      <c r="Y27" s="120" t="n">
        <v>56</v>
      </c>
      <c r="Z27" s="120" t="n">
        <v>56</v>
      </c>
      <c r="AA27" s="120" t="n">
        <v>56</v>
      </c>
      <c r="AB27" s="120" t="n">
        <v>56</v>
      </c>
      <c r="AC27" s="120" t="n">
        <v>56</v>
      </c>
      <c r="AD27" s="120" t="n">
        <v>56</v>
      </c>
      <c r="AE27" s="120" t="n">
        <v>56</v>
      </c>
      <c r="AF27" s="120" t="n">
        <v>56</v>
      </c>
      <c r="AG27" s="120" t="n">
        <v>56</v>
      </c>
      <c r="AH27" s="262" t="n">
        <v>78</v>
      </c>
      <c r="AI27" s="38">
        <f>78-40</f>
        <v/>
      </c>
      <c r="AJ27" s="38" t="n">
        <v>38</v>
      </c>
      <c r="AK27" s="38" t="n">
        <v>38</v>
      </c>
      <c r="AL27" s="38" t="n">
        <v>38</v>
      </c>
      <c r="AM27" s="38" t="n">
        <v>38</v>
      </c>
      <c r="AN27" s="38" t="n">
        <v>38</v>
      </c>
      <c r="AO27" s="38" t="n">
        <v>38</v>
      </c>
      <c r="AP27" s="38" t="n">
        <v>38</v>
      </c>
      <c r="AQ27" s="38" t="n">
        <v>38</v>
      </c>
      <c r="AR27" s="38" t="n">
        <v>38</v>
      </c>
      <c r="AS27" s="38" t="n">
        <v>38</v>
      </c>
      <c r="AT27" s="38" t="n">
        <v>38</v>
      </c>
      <c r="AU27" s="38" t="n">
        <v>38</v>
      </c>
      <c r="AV27" s="38" t="n">
        <v>27</v>
      </c>
      <c r="AW27" s="38" t="n">
        <v>27</v>
      </c>
      <c r="AX27" s="38" t="n">
        <v>27</v>
      </c>
      <c r="AY27" s="38" t="n">
        <v>27</v>
      </c>
      <c r="AZ27" s="38" t="n">
        <v>27</v>
      </c>
      <c r="BA27" s="38" t="n">
        <v>23</v>
      </c>
      <c r="BB27" s="38" t="n">
        <v>23</v>
      </c>
      <c r="BC27" s="38" t="n">
        <v>23</v>
      </c>
      <c r="BD27" s="38" t="n">
        <v>23</v>
      </c>
      <c r="BE27" s="38" t="n">
        <v>23</v>
      </c>
      <c r="BF27" s="38" t="n">
        <v>23</v>
      </c>
      <c r="BG27" s="38" t="n">
        <v>23</v>
      </c>
      <c r="BH27" s="38" t="n">
        <v>23</v>
      </c>
      <c r="BI27" s="38" t="n">
        <v>23</v>
      </c>
      <c r="BJ27" s="38" t="n">
        <v>23</v>
      </c>
      <c r="BK27" s="38" t="n">
        <v>23</v>
      </c>
      <c r="BL27" s="38" t="n">
        <v>23</v>
      </c>
      <c r="BM27" s="38" t="n">
        <v>23</v>
      </c>
      <c r="BN27" s="38" t="n">
        <v>23</v>
      </c>
      <c r="BO27" s="38" t="n">
        <v>23</v>
      </c>
      <c r="BP27" s="38" t="n">
        <v>23</v>
      </c>
      <c r="BQ27" s="38" t="n">
        <v>23</v>
      </c>
      <c r="BR27" s="38" t="n">
        <v>23</v>
      </c>
      <c r="BS27" s="38" t="n">
        <v>23</v>
      </c>
      <c r="BT27" s="38" t="n"/>
      <c r="BU27" s="38" t="n"/>
      <c r="BV27" s="38" t="n"/>
      <c r="BW27" s="38" t="n">
        <v>23</v>
      </c>
      <c r="BX27" s="38" t="n">
        <v>23</v>
      </c>
      <c r="BY27" s="38" t="n">
        <v>23</v>
      </c>
      <c r="BZ27" s="38" t="n">
        <v>23</v>
      </c>
      <c r="CA27" s="38" t="n">
        <v>23</v>
      </c>
      <c r="CB27" s="38" t="n">
        <v>23</v>
      </c>
      <c r="CC27" s="9" t="n">
        <v>23</v>
      </c>
      <c r="CD27" s="9" t="n">
        <v>23</v>
      </c>
      <c r="CE27" s="9" t="n">
        <v>23</v>
      </c>
      <c r="CF27" s="154">
        <f>CD27+IF(NOT(ISBLANK(OFFSET(CF27,0,6))),N(OFFSET(CF27,0,6)),N(OFFSET(CF27,0,7)))-CE27</f>
        <v/>
      </c>
      <c r="CG27" s="118" t="n"/>
      <c r="CH27" s="19" t="n"/>
      <c r="CI27" s="119" t="n"/>
      <c r="CJ27" s="65" t="n"/>
      <c r="CK27" s="691" t="n">
        <v>0</v>
      </c>
      <c r="CL27" s="18" t="n">
        <v>0</v>
      </c>
      <c r="CM27" s="18" t="n">
        <v>0</v>
      </c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256" t="n"/>
      <c r="DQ27" s="256" t="n"/>
      <c r="DR27" s="18" t="n"/>
      <c r="DS27" s="18" t="n"/>
      <c r="DT27" s="18" t="n"/>
      <c r="DU27" s="18" t="n"/>
      <c r="DV27" s="18" t="n"/>
      <c r="DW27" s="18" t="n"/>
      <c r="DX27" s="18" t="n"/>
      <c r="DY27" s="18" t="n"/>
      <c r="DZ27" s="18" t="n"/>
      <c r="EA27" s="18" t="n"/>
      <c r="EB27" s="18" t="n"/>
      <c r="EC27" s="18" t="n"/>
      <c r="ED27" s="18" t="n"/>
      <c r="EE27" s="18" t="n"/>
      <c r="EF27" s="18" t="n"/>
      <c r="EG27" s="18" t="n"/>
      <c r="EH27" s="18" t="n"/>
      <c r="EI27" s="239" t="inlineStr">
        <is>
          <t>40 P/ CDP</t>
        </is>
      </c>
      <c r="EJ27" s="18" t="n"/>
      <c r="EK27" s="18" t="n"/>
      <c r="EL27" s="18" t="n"/>
      <c r="EM27" s="18" t="n"/>
      <c r="EN27" s="18" t="n"/>
      <c r="EO27" s="18" t="n"/>
      <c r="EP27" s="18" t="n"/>
      <c r="EQ27" s="18" t="n"/>
      <c r="ER27" s="18" t="n"/>
      <c r="ES27" s="18" t="n"/>
      <c r="ET27" s="18" t="n"/>
      <c r="EU27" s="18" t="n"/>
      <c r="EV27" s="18" t="n"/>
      <c r="EW27" s="256" t="n"/>
      <c r="EX27" s="18" t="n"/>
      <c r="EY27" s="18" t="n"/>
      <c r="EZ27" s="18" t="n"/>
      <c r="FA27" s="18" t="n"/>
      <c r="FB27" s="18" t="n"/>
      <c r="FC27" s="18" t="n"/>
      <c r="FD27" s="18" t="n"/>
      <c r="FE27" s="18" t="n"/>
      <c r="FF27" s="18" t="n">
        <v>56</v>
      </c>
      <c r="FG27" s="18" t="n"/>
      <c r="FH27" s="18" t="n">
        <v>28</v>
      </c>
      <c r="FI27" s="18" t="n"/>
      <c r="FJ27" s="256" t="inlineStr">
        <is>
          <t>100 D. ER PG</t>
        </is>
      </c>
      <c r="FK27" s="18" t="n"/>
      <c r="FL27" s="18" t="n"/>
      <c r="FM27" s="18" t="n"/>
      <c r="FN27" s="18" t="n"/>
      <c r="FO27" s="18" t="n"/>
      <c r="FP27" s="256" t="n"/>
      <c r="FQ27" s="18" t="n"/>
      <c r="FR27" s="18" t="n"/>
      <c r="FS27" s="18" t="n"/>
      <c r="FT27" s="18" t="n"/>
      <c r="FU27" s="18" t="n"/>
      <c r="FV27" s="18" t="n"/>
      <c r="FW27" s="18" t="n"/>
      <c r="FX27" s="18" t="n"/>
      <c r="FY27" s="18" t="n"/>
      <c r="FZ27" s="18" t="n"/>
      <c r="GA27" s="18" t="n"/>
      <c r="GB27" s="18" t="n"/>
      <c r="GC27" s="18" t="n"/>
    </row>
    <row r="28" ht="18.75" customFormat="1" customHeight="1" s="3">
      <c r="A28" s="33" t="inlineStr">
        <is>
          <t>KIT SACOLA P VERDE (KIT C/ 10)</t>
        </is>
      </c>
      <c r="B28" s="9" t="n">
        <v>200</v>
      </c>
      <c r="C28" s="662" t="n">
        <v>193.24</v>
      </c>
      <c r="D28" s="329" t="n">
        <v>10</v>
      </c>
      <c r="E28" s="2" t="n"/>
      <c r="F28" s="38" t="n">
        <v>20</v>
      </c>
      <c r="G28" s="38" t="n">
        <v>20</v>
      </c>
      <c r="H28" s="38" t="n">
        <v>19</v>
      </c>
      <c r="I28" s="38" t="n">
        <v>18</v>
      </c>
      <c r="J28" s="38" t="n">
        <v>17</v>
      </c>
      <c r="K28" s="38" t="n">
        <v>17</v>
      </c>
      <c r="L28" s="38" t="n">
        <v>17</v>
      </c>
      <c r="M28" s="38" t="n">
        <v>17</v>
      </c>
      <c r="N28" s="38" t="n">
        <v>17</v>
      </c>
      <c r="O28" s="38" t="n">
        <v>17</v>
      </c>
      <c r="P28" s="38" t="n">
        <v>17</v>
      </c>
      <c r="Q28" s="38" t="n">
        <v>17</v>
      </c>
      <c r="R28" s="38" t="n">
        <v>17</v>
      </c>
      <c r="S28" s="38" t="n">
        <v>17</v>
      </c>
      <c r="T28" s="38" t="n">
        <v>2</v>
      </c>
      <c r="U28" s="261" t="n">
        <v>17</v>
      </c>
      <c r="V28" s="38">
        <f>17+FC28</f>
        <v/>
      </c>
      <c r="W28" s="38" t="n">
        <v>57</v>
      </c>
      <c r="X28" s="38" t="n">
        <v>57</v>
      </c>
      <c r="Y28" s="38" t="n">
        <v>57</v>
      </c>
      <c r="Z28" s="38" t="n">
        <v>57</v>
      </c>
      <c r="AA28" s="38" t="n">
        <v>57</v>
      </c>
      <c r="AB28" s="38" t="n">
        <v>57</v>
      </c>
      <c r="AC28" s="38" t="n">
        <v>57</v>
      </c>
      <c r="AD28" s="38" t="n">
        <v>57</v>
      </c>
      <c r="AE28" s="38" t="n">
        <v>57</v>
      </c>
      <c r="AF28" s="38" t="n">
        <v>57</v>
      </c>
      <c r="AG28" s="38" t="n">
        <v>58</v>
      </c>
      <c r="AH28" s="38" t="n">
        <v>58</v>
      </c>
      <c r="AI28" s="38" t="n">
        <v>58</v>
      </c>
      <c r="AJ28" s="38" t="n">
        <v>58</v>
      </c>
      <c r="AK28" s="38" t="n">
        <v>58</v>
      </c>
      <c r="AL28" s="38" t="n">
        <v>58</v>
      </c>
      <c r="AM28" s="38" t="n">
        <v>58</v>
      </c>
      <c r="AN28" s="38" t="n">
        <v>58</v>
      </c>
      <c r="AO28" s="38" t="n">
        <v>58</v>
      </c>
      <c r="AP28" s="38" t="n">
        <v>58</v>
      </c>
      <c r="AQ28" s="38" t="n">
        <v>58</v>
      </c>
      <c r="AR28" s="38" t="n">
        <v>58</v>
      </c>
      <c r="AS28" s="38" t="n">
        <v>58</v>
      </c>
      <c r="AT28" s="38" t="n">
        <v>58</v>
      </c>
      <c r="AU28" s="38" t="n">
        <v>58</v>
      </c>
      <c r="AV28" s="38" t="n">
        <v>17</v>
      </c>
      <c r="AW28" s="38" t="n">
        <v>17</v>
      </c>
      <c r="AX28" s="38" t="n">
        <v>17</v>
      </c>
      <c r="AY28" s="38" t="n">
        <v>17</v>
      </c>
      <c r="AZ28" s="38" t="n">
        <v>17</v>
      </c>
      <c r="BA28" s="38" t="n">
        <v>17</v>
      </c>
      <c r="BB28" s="38" t="n">
        <v>16</v>
      </c>
      <c r="BC28" s="38" t="n">
        <v>16</v>
      </c>
      <c r="BD28" s="38" t="n">
        <v>16</v>
      </c>
      <c r="BE28" s="38" t="n">
        <v>16</v>
      </c>
      <c r="BF28" s="38" t="n">
        <v>16</v>
      </c>
      <c r="BG28" s="38" t="n">
        <v>16</v>
      </c>
      <c r="BH28" s="38" t="n">
        <v>16</v>
      </c>
      <c r="BI28" s="38" t="n">
        <v>16</v>
      </c>
      <c r="BJ28" s="38" t="n">
        <v>16</v>
      </c>
      <c r="BK28" s="38" t="n">
        <v>16</v>
      </c>
      <c r="BL28" s="38" t="n">
        <v>16</v>
      </c>
      <c r="BM28" s="38" t="n">
        <v>16</v>
      </c>
      <c r="BN28" s="38" t="n">
        <v>15</v>
      </c>
      <c r="BO28" s="38" t="n">
        <v>15</v>
      </c>
      <c r="BP28" s="38" t="n">
        <v>15</v>
      </c>
      <c r="BQ28" s="38" t="n">
        <v>15</v>
      </c>
      <c r="BR28" s="38" t="n">
        <v>17</v>
      </c>
      <c r="BS28" s="38" t="n">
        <v>17</v>
      </c>
      <c r="BT28" s="38" t="n"/>
      <c r="BU28" s="38" t="n"/>
      <c r="BV28" s="38" t="n"/>
      <c r="BW28" s="38" t="n">
        <v>15</v>
      </c>
      <c r="BX28" s="38" t="n">
        <v>15</v>
      </c>
      <c r="BY28" s="38" t="n">
        <v>13</v>
      </c>
      <c r="BZ28" s="38" t="n">
        <v>11</v>
      </c>
      <c r="CA28" s="38" t="n">
        <v>11</v>
      </c>
      <c r="CB28" s="38" t="n">
        <v>11</v>
      </c>
      <c r="CC28" s="9" t="n">
        <v>11</v>
      </c>
      <c r="CD28" s="9" t="n">
        <v>11</v>
      </c>
      <c r="CE28" s="9" t="n">
        <v>11</v>
      </c>
      <c r="CF28" s="154">
        <f>CD28+IF(NOT(ISBLANK(OFFSET(CF28,0,6))),N(OFFSET(CF28,0,6)),N(OFFSET(CF28,0,7)))-CE28</f>
        <v/>
      </c>
      <c r="CG28" s="118" t="n"/>
      <c r="CH28" s="19" t="n"/>
      <c r="CI28" s="119" t="n"/>
      <c r="CJ28" s="65" t="n"/>
      <c r="CK28" s="691" t="n">
        <v>0</v>
      </c>
      <c r="CL28" s="18" t="n">
        <v>0</v>
      </c>
      <c r="CM28" s="18" t="n">
        <v>0</v>
      </c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256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18" t="n"/>
      <c r="EB28" s="18" t="n"/>
      <c r="EC28" s="18" t="n"/>
      <c r="ED28" s="18" t="n"/>
      <c r="EE28" s="18" t="n"/>
      <c r="EF28" s="18" t="n"/>
      <c r="EG28" s="18" t="n"/>
      <c r="EH28" s="18" t="n"/>
      <c r="EI28" s="18" t="n"/>
      <c r="EJ28" s="18" t="n"/>
      <c r="EK28" s="292" t="inlineStr">
        <is>
          <t>100 DE ER PG</t>
        </is>
      </c>
      <c r="EL28" s="18" t="n"/>
      <c r="EM28" s="18" t="n"/>
      <c r="EN28" s="256" t="n"/>
      <c r="EO28" s="18" t="n"/>
      <c r="EP28" s="18" t="n"/>
      <c r="EQ28" s="18" t="n"/>
      <c r="ER28" s="18" t="n"/>
      <c r="ES28" s="18" t="n"/>
      <c r="ET28" s="18" t="n"/>
      <c r="EU28" s="18" t="n"/>
      <c r="EV28" s="256" t="n"/>
      <c r="EW28" s="256" t="n"/>
      <c r="EX28" s="18" t="n"/>
      <c r="EY28" s="18" t="n"/>
      <c r="EZ28" s="18" t="n"/>
      <c r="FA28" s="18" t="n"/>
      <c r="FB28" s="18" t="n"/>
      <c r="FC28" s="18" t="n"/>
      <c r="FD28" s="256" t="n">
        <v>30</v>
      </c>
      <c r="FE28" s="18" t="n"/>
      <c r="FF28" s="18" t="n">
        <v>40</v>
      </c>
      <c r="FG28" s="18" t="n"/>
      <c r="FH28" s="18" t="n"/>
      <c r="FI28" s="18" t="n"/>
      <c r="FJ28" s="256" t="inlineStr">
        <is>
          <t>100 D. ER PG</t>
        </is>
      </c>
      <c r="FK28" s="18" t="n"/>
      <c r="FL28" s="18" t="n"/>
      <c r="FM28" s="18" t="n"/>
      <c r="FN28" s="18" t="n"/>
      <c r="FO28" s="18" t="n"/>
      <c r="FP28" s="256" t="n"/>
      <c r="FQ28" s="18" t="n"/>
      <c r="FR28" s="18" t="n"/>
      <c r="FS28" s="18" t="n"/>
      <c r="FT28" s="18" t="n"/>
      <c r="FU28" s="18" t="n"/>
      <c r="FV28" s="18" t="n"/>
      <c r="FW28" s="18" t="n"/>
      <c r="FX28" s="18" t="n"/>
      <c r="FY28" s="18" t="n"/>
      <c r="FZ28" s="18" t="n"/>
      <c r="GA28" s="18" t="n"/>
      <c r="GB28" s="18" t="n"/>
      <c r="GC28" s="18" t="n"/>
    </row>
    <row r="29" ht="18.75" customFormat="1" customHeight="1" s="3">
      <c r="A29" s="33" t="inlineStr">
        <is>
          <t>KIT SACOLA M VERDE (KIT C/ 10)</t>
        </is>
      </c>
      <c r="B29" s="9" t="n">
        <v>150</v>
      </c>
      <c r="C29" s="662" t="n">
        <v>190.38</v>
      </c>
      <c r="D29" s="329" t="n">
        <v>10</v>
      </c>
      <c r="E29" s="2" t="n"/>
      <c r="F29" s="38" t="n">
        <v>15</v>
      </c>
      <c r="G29" s="38" t="n">
        <v>15</v>
      </c>
      <c r="H29" s="38" t="n">
        <v>15</v>
      </c>
      <c r="I29" s="38" t="n">
        <v>15</v>
      </c>
      <c r="J29" s="38" t="n">
        <v>15</v>
      </c>
      <c r="K29" s="38" t="n">
        <v>15</v>
      </c>
      <c r="L29" s="38" t="n">
        <v>15</v>
      </c>
      <c r="M29" s="38" t="n">
        <v>15</v>
      </c>
      <c r="N29" s="38" t="n">
        <v>15</v>
      </c>
      <c r="O29" s="38" t="n">
        <v>15</v>
      </c>
      <c r="P29" s="38" t="n">
        <v>15</v>
      </c>
      <c r="Q29" s="38" t="n">
        <v>15</v>
      </c>
      <c r="R29" s="38" t="n">
        <v>15</v>
      </c>
      <c r="S29" s="38" t="n">
        <v>15</v>
      </c>
      <c r="T29" s="38" t="n">
        <v>0</v>
      </c>
      <c r="U29" s="261" t="n">
        <v>14</v>
      </c>
      <c r="V29" s="38">
        <f>14+FC29</f>
        <v/>
      </c>
      <c r="W29" s="38" t="n">
        <v>44</v>
      </c>
      <c r="X29" s="38" t="n">
        <v>44</v>
      </c>
      <c r="Y29" s="38" t="n">
        <v>74</v>
      </c>
      <c r="Z29" s="38" t="n">
        <v>74</v>
      </c>
      <c r="AA29" s="38" t="n">
        <v>74</v>
      </c>
      <c r="AB29" s="38" t="n">
        <v>44</v>
      </c>
      <c r="AC29" s="38" t="n">
        <v>44</v>
      </c>
      <c r="AD29" s="38" t="n">
        <v>44</v>
      </c>
      <c r="AE29" s="38" t="n">
        <v>44</v>
      </c>
      <c r="AF29" s="38" t="n">
        <v>44</v>
      </c>
      <c r="AG29" s="38" t="n">
        <v>44</v>
      </c>
      <c r="AH29" s="38" t="n">
        <v>44</v>
      </c>
      <c r="AI29" s="38" t="n">
        <v>44</v>
      </c>
      <c r="AJ29" s="38" t="n">
        <v>44</v>
      </c>
      <c r="AK29" s="38" t="n">
        <v>44</v>
      </c>
      <c r="AL29" s="38" t="n">
        <v>44</v>
      </c>
      <c r="AM29" s="38" t="n">
        <v>44</v>
      </c>
      <c r="AN29" s="38" t="n">
        <v>44</v>
      </c>
      <c r="AO29" s="38" t="n">
        <v>44</v>
      </c>
      <c r="AP29" s="38" t="n">
        <v>44</v>
      </c>
      <c r="AQ29" s="38" t="n">
        <v>44</v>
      </c>
      <c r="AR29" s="38" t="n">
        <v>44</v>
      </c>
      <c r="AS29" s="38" t="n">
        <v>44</v>
      </c>
      <c r="AT29" s="38" t="n">
        <v>44</v>
      </c>
      <c r="AU29" s="38" t="n">
        <v>44</v>
      </c>
      <c r="AV29" s="38" t="n">
        <v>30</v>
      </c>
      <c r="AW29" s="38" t="n">
        <v>30</v>
      </c>
      <c r="AX29" s="38" t="n">
        <v>30</v>
      </c>
      <c r="AY29" s="38" t="n">
        <v>30</v>
      </c>
      <c r="AZ29" s="38" t="n">
        <v>30</v>
      </c>
      <c r="BA29" s="38" t="n">
        <v>30</v>
      </c>
      <c r="BB29" s="38" t="n">
        <v>30</v>
      </c>
      <c r="BC29" s="38" t="n">
        <v>30</v>
      </c>
      <c r="BD29" s="38" t="n">
        <v>30</v>
      </c>
      <c r="BE29" s="38" t="n">
        <v>30</v>
      </c>
      <c r="BF29" s="38" t="n">
        <v>30</v>
      </c>
      <c r="BG29" s="38" t="n">
        <v>30</v>
      </c>
      <c r="BH29" s="38" t="n">
        <v>30</v>
      </c>
      <c r="BI29" s="38" t="n">
        <v>30</v>
      </c>
      <c r="BJ29" s="38" t="n">
        <v>30</v>
      </c>
      <c r="BK29" s="38" t="n">
        <v>30</v>
      </c>
      <c r="BL29" s="38" t="n">
        <v>30</v>
      </c>
      <c r="BM29" s="38" t="n">
        <v>30</v>
      </c>
      <c r="BN29" s="38" t="n">
        <v>30</v>
      </c>
      <c r="BO29" s="38" t="n">
        <v>30</v>
      </c>
      <c r="BP29" s="38" t="n">
        <v>30</v>
      </c>
      <c r="BQ29" s="38" t="n">
        <v>30</v>
      </c>
      <c r="BR29" s="38" t="n">
        <v>30</v>
      </c>
      <c r="BS29" s="38" t="n">
        <v>30</v>
      </c>
      <c r="BT29" s="38" t="n"/>
      <c r="BU29" s="38" t="n"/>
      <c r="BV29" s="38" t="n"/>
      <c r="BW29" s="38" t="n">
        <v>30</v>
      </c>
      <c r="BX29" s="38" t="n">
        <v>30</v>
      </c>
      <c r="BY29" s="38" t="n">
        <v>28</v>
      </c>
      <c r="BZ29" s="38" t="n">
        <v>28</v>
      </c>
      <c r="CA29" s="38" t="n">
        <v>28</v>
      </c>
      <c r="CB29" s="38" t="n">
        <v>28</v>
      </c>
      <c r="CC29" s="9" t="n">
        <v>28</v>
      </c>
      <c r="CD29" s="9" t="n">
        <v>28</v>
      </c>
      <c r="CE29" s="9" t="n">
        <v>28</v>
      </c>
      <c r="CF29" s="154">
        <f>CD29+IF(NOT(ISBLANK(OFFSET(CF29,0,6))),N(OFFSET(CF29,0,6)),N(OFFSET(CF29,0,7)))-CE29</f>
        <v/>
      </c>
      <c r="CG29" s="118" t="n"/>
      <c r="CH29" s="19" t="n"/>
      <c r="CI29" s="119" t="n"/>
      <c r="CJ29" s="65" t="n"/>
      <c r="CK29" s="691" t="n">
        <v>0</v>
      </c>
      <c r="CL29" s="18" t="n">
        <v>0</v>
      </c>
      <c r="CM29" s="18" t="n">
        <v>0</v>
      </c>
      <c r="CN29" s="18" t="n"/>
      <c r="CO29" s="18" t="n"/>
      <c r="CP29" s="18" t="n"/>
      <c r="CQ29" s="18" t="n"/>
      <c r="CR29" s="18" t="n"/>
      <c r="CS29" s="418" t="n">
        <v>300</v>
      </c>
      <c r="CT29" s="18" t="n"/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18" t="n"/>
      <c r="DN29" s="18" t="n"/>
      <c r="DO29" s="18" t="n"/>
      <c r="DP29" s="18" t="n"/>
      <c r="DQ29" s="256" t="n"/>
      <c r="DR29" s="18" t="n"/>
      <c r="DS29" s="18" t="n"/>
      <c r="DT29" s="18" t="n"/>
      <c r="DU29" s="18" t="n"/>
      <c r="DV29" s="18" t="n"/>
      <c r="DW29" s="18" t="n"/>
      <c r="DX29" s="18" t="n"/>
      <c r="DY29" s="18" t="n"/>
      <c r="DZ29" s="18" t="n"/>
      <c r="EA29" s="18" t="n"/>
      <c r="EB29" s="18" t="n"/>
      <c r="EC29" s="18" t="n"/>
      <c r="ED29" s="18" t="n"/>
      <c r="EE29" s="18" t="n"/>
      <c r="EF29" s="18" t="n"/>
      <c r="EG29" s="18" t="n"/>
      <c r="EH29" s="18" t="n"/>
      <c r="EI29" s="18" t="n"/>
      <c r="EJ29" s="18" t="n"/>
      <c r="EK29" s="18" t="n"/>
      <c r="EL29" s="18" t="n"/>
      <c r="EM29" s="18" t="n"/>
      <c r="EN29" s="18" t="n"/>
      <c r="EO29" s="18" t="n"/>
      <c r="EP29" s="18" t="n"/>
      <c r="EQ29" s="18" t="n"/>
      <c r="ER29" s="18" t="n"/>
      <c r="ES29" s="18" t="n"/>
      <c r="ET29" s="18" t="n"/>
      <c r="EU29" s="18" t="n"/>
      <c r="EV29" s="256" t="n"/>
      <c r="EW29" s="256" t="n"/>
      <c r="EX29" s="18" t="n"/>
      <c r="EY29" s="18" t="n"/>
      <c r="EZ29" s="18" t="n"/>
      <c r="FA29" s="18" t="n"/>
      <c r="FB29" s="18" t="n"/>
      <c r="FC29" s="18" t="n"/>
      <c r="FD29" s="256" t="n">
        <v>20</v>
      </c>
      <c r="FE29" s="18" t="n"/>
      <c r="FF29" s="18" t="n">
        <v>30</v>
      </c>
      <c r="FG29" s="18" t="n"/>
      <c r="FH29" s="18" t="n"/>
      <c r="FI29" s="18" t="n"/>
      <c r="FJ29" s="256" t="inlineStr">
        <is>
          <t>25D. ER PG</t>
        </is>
      </c>
      <c r="FK29" s="18" t="n"/>
      <c r="FL29" s="18" t="n"/>
      <c r="FM29" s="18" t="n"/>
      <c r="FN29" s="18" t="n"/>
      <c r="FO29" s="18" t="n"/>
      <c r="FP29" s="256" t="n"/>
      <c r="FQ29" s="18" t="n"/>
      <c r="FR29" s="18" t="n"/>
      <c r="FS29" s="18" t="n"/>
      <c r="FT29" s="18" t="n"/>
      <c r="FU29" s="18" t="n"/>
      <c r="FV29" s="18" t="n"/>
      <c r="FW29" s="18" t="n"/>
      <c r="FX29" s="18" t="n"/>
      <c r="FY29" s="18" t="n"/>
      <c r="FZ29" s="18" t="n"/>
      <c r="GA29" s="18" t="n"/>
      <c r="GB29" s="18" t="n"/>
      <c r="GC29" s="18" t="n"/>
    </row>
    <row r="30" ht="18.75" customHeight="1">
      <c r="CF30" s="53" t="n"/>
      <c r="CH30" s="69" t="n"/>
      <c r="DP30" s="395" t="n"/>
      <c r="DQ30" s="271" t="n"/>
      <c r="EW30" s="272" t="n"/>
      <c r="FJ30" s="272" t="n"/>
      <c r="FP30" s="272" t="n"/>
    </row>
    <row r="31" ht="18.75" customFormat="1" customHeight="1" s="3">
      <c r="A31" s="32" t="inlineStr">
        <is>
          <t>DIVERSOS VENDÁVEIS BOTICÁRIO</t>
        </is>
      </c>
      <c r="B31" s="575" t="n"/>
      <c r="C31" s="575" t="n"/>
      <c r="D31" s="575" t="n"/>
      <c r="E31" s="642" t="n"/>
      <c r="F31" s="650" t="n">
        <v>45656</v>
      </c>
      <c r="G31" s="650" t="n">
        <v>45663</v>
      </c>
      <c r="H31" s="650" t="n">
        <v>45670</v>
      </c>
      <c r="I31" s="650" t="n">
        <v>45677</v>
      </c>
      <c r="J31" s="650" t="n">
        <v>45684</v>
      </c>
      <c r="K31" s="650" t="n">
        <v>45691</v>
      </c>
      <c r="L31" s="650" t="n">
        <v>45698</v>
      </c>
      <c r="M31" s="650" t="n">
        <v>45705</v>
      </c>
      <c r="N31" s="650" t="n">
        <v>45712</v>
      </c>
      <c r="O31" s="650" t="n">
        <v>45719</v>
      </c>
      <c r="P31" s="650" t="n">
        <v>45726</v>
      </c>
      <c r="Q31" s="650" t="n">
        <v>45733</v>
      </c>
      <c r="R31" s="650" t="n">
        <v>45740</v>
      </c>
      <c r="S31" s="650" t="n">
        <v>45747</v>
      </c>
      <c r="T31" s="650" t="n">
        <v>45754</v>
      </c>
      <c r="U31" s="650" t="n">
        <v>45761</v>
      </c>
      <c r="V31" s="650" t="n">
        <v>45768</v>
      </c>
      <c r="W31" s="650" t="n">
        <v>45775</v>
      </c>
      <c r="X31" s="650" t="n">
        <v>45782</v>
      </c>
      <c r="Y31" s="650" t="n">
        <v>45789</v>
      </c>
      <c r="Z31" s="650" t="n">
        <v>45796</v>
      </c>
      <c r="AA31" s="650" t="n">
        <v>45803</v>
      </c>
      <c r="AB31" s="650" t="n">
        <v>45810</v>
      </c>
      <c r="AC31" s="650" t="n">
        <v>45817</v>
      </c>
      <c r="AD31" s="650" t="n">
        <v>45824</v>
      </c>
      <c r="AE31" s="650" t="n">
        <v>45831</v>
      </c>
      <c r="AF31" s="650" t="n">
        <v>45838</v>
      </c>
      <c r="AG31" s="650" t="n">
        <v>45845</v>
      </c>
      <c r="AH31" s="650" t="n">
        <v>45852</v>
      </c>
      <c r="AI31" s="650" t="n">
        <v>45859</v>
      </c>
      <c r="AJ31" s="650" t="n">
        <v>45866</v>
      </c>
      <c r="AK31" s="650" t="n">
        <v>45873</v>
      </c>
      <c r="AL31" s="650" t="n">
        <v>45880</v>
      </c>
      <c r="AM31" s="650" t="n">
        <v>45887</v>
      </c>
      <c r="AN31" s="650" t="n">
        <v>45894</v>
      </c>
      <c r="AO31" s="650" t="n">
        <v>45901</v>
      </c>
      <c r="AP31" s="650" t="n">
        <v>45908</v>
      </c>
      <c r="AQ31" s="650" t="n">
        <v>45915</v>
      </c>
      <c r="AR31" s="650" t="n">
        <v>45922</v>
      </c>
      <c r="AS31" s="650" t="n">
        <v>45929</v>
      </c>
      <c r="AT31" s="650" t="n">
        <v>45936</v>
      </c>
      <c r="AU31" s="650" t="n">
        <v>45943</v>
      </c>
      <c r="AV31" s="650" t="n">
        <v>45950</v>
      </c>
      <c r="AW31" s="650" t="n">
        <v>45957</v>
      </c>
      <c r="AX31" s="650" t="n">
        <v>45964</v>
      </c>
      <c r="AY31" s="650" t="n">
        <v>45971</v>
      </c>
      <c r="AZ31" s="650" t="n">
        <v>45978</v>
      </c>
      <c r="BA31" s="650" t="n">
        <v>45985</v>
      </c>
      <c r="BB31" s="650" t="n">
        <v>45992</v>
      </c>
      <c r="BC31" s="650" t="n">
        <v>45999</v>
      </c>
      <c r="BD31" s="650" t="n">
        <v>46006</v>
      </c>
      <c r="BE31" s="650" t="n">
        <v>46013</v>
      </c>
      <c r="BF31" s="650" t="n">
        <v>46020</v>
      </c>
      <c r="BG31" s="650" t="n">
        <v>46027</v>
      </c>
      <c r="BH31" s="650" t="n">
        <v>46034</v>
      </c>
      <c r="BI31" s="650" t="n">
        <v>46041</v>
      </c>
      <c r="BJ31" s="650" t="n">
        <v>46048</v>
      </c>
      <c r="BK31" s="650" t="n">
        <v>46055</v>
      </c>
      <c r="BL31" s="650" t="n">
        <v>46062</v>
      </c>
      <c r="BM31" s="650" t="n">
        <v>46069</v>
      </c>
      <c r="BN31" s="650" t="n">
        <v>46076</v>
      </c>
      <c r="BO31" s="650" t="n">
        <v>46083</v>
      </c>
      <c r="BP31" s="650" t="n">
        <v>46090</v>
      </c>
      <c r="BQ31" s="650" t="n">
        <v>46097</v>
      </c>
      <c r="BR31" s="650" t="n">
        <v>46104</v>
      </c>
      <c r="BS31" s="650" t="n">
        <v>46111</v>
      </c>
      <c r="BT31" s="650" t="n">
        <v>46118</v>
      </c>
      <c r="BU31" s="650" t="n">
        <v>46125</v>
      </c>
      <c r="BV31" s="650" t="n">
        <v>46132</v>
      </c>
      <c r="BW31" s="650" t="n">
        <v>46139</v>
      </c>
      <c r="BX31" s="650" t="n">
        <v>46146</v>
      </c>
      <c r="BY31" s="650" t="n">
        <v>46154</v>
      </c>
      <c r="BZ31" s="650" t="n">
        <v>46160</v>
      </c>
      <c r="CA31" s="650" t="n">
        <v>46160</v>
      </c>
      <c r="CB31" s="650" t="n">
        <v>46160</v>
      </c>
      <c r="CC31" s="651" t="n">
        <v>46161.4800428125</v>
      </c>
      <c r="CD31" s="651" t="n">
        <v>46161.48072087963</v>
      </c>
      <c r="CE31" s="651" t="n">
        <v>46161.48287954375</v>
      </c>
      <c r="CF31" s="652" t="inlineStr">
        <is>
          <t>USOU</t>
        </is>
      </c>
      <c r="CG31" s="6" t="n"/>
      <c r="CH31" s="35" t="inlineStr">
        <is>
          <t>Pend.</t>
        </is>
      </c>
      <c r="CI31" s="653" t="n"/>
      <c r="CJ31" s="12" t="inlineStr">
        <is>
          <t>Novo Pedido</t>
        </is>
      </c>
      <c r="CK31" s="716" t="n">
        <v>46161.48287850289</v>
      </c>
      <c r="CL31" s="654" t="n">
        <v>46156</v>
      </c>
      <c r="CM31" s="654" t="n">
        <v>46149</v>
      </c>
      <c r="CN31" s="654" t="n">
        <v>46114</v>
      </c>
      <c r="CO31" s="710" t="n">
        <v>46065</v>
      </c>
      <c r="CP31" s="654" t="n">
        <v>46092</v>
      </c>
      <c r="CQ31" s="654" t="n">
        <v>46092</v>
      </c>
      <c r="CR31" s="654" t="n">
        <v>46084</v>
      </c>
      <c r="CS31" s="711" t="n">
        <v>46045</v>
      </c>
      <c r="CT31" s="654" t="n">
        <v>46071</v>
      </c>
      <c r="CU31" s="654" t="n">
        <v>46043</v>
      </c>
      <c r="CV31" s="654" t="n">
        <v>46029</v>
      </c>
      <c r="CW31" s="654" t="n">
        <v>46024</v>
      </c>
      <c r="CX31" s="655" t="n">
        <v>46041</v>
      </c>
      <c r="CY31" s="654" t="n">
        <v>46029</v>
      </c>
      <c r="CZ31" s="654" t="n">
        <v>46024</v>
      </c>
      <c r="DA31" s="654" t="n">
        <v>46007</v>
      </c>
      <c r="DB31" s="654" t="n">
        <v>46001</v>
      </c>
      <c r="DC31" s="654" t="n">
        <v>45994</v>
      </c>
      <c r="DD31" s="654" t="n">
        <v>45986</v>
      </c>
      <c r="DE31" s="654" t="n">
        <v>45986</v>
      </c>
      <c r="DF31" s="654" t="n">
        <v>45980</v>
      </c>
      <c r="DG31" s="654" t="n">
        <v>45980</v>
      </c>
      <c r="DH31" s="654" t="n">
        <v>45973</v>
      </c>
      <c r="DI31" s="654" t="n">
        <v>45973</v>
      </c>
      <c r="DJ31" s="654" t="n">
        <v>45965</v>
      </c>
      <c r="DK31" s="654" t="n">
        <v>45965</v>
      </c>
      <c r="DL31" s="654" t="n">
        <v>45960</v>
      </c>
      <c r="DM31" s="654" t="n">
        <v>45951</v>
      </c>
      <c r="DN31" s="654" t="n">
        <v>45937</v>
      </c>
      <c r="DO31" s="654" t="n">
        <v>45931</v>
      </c>
      <c r="DP31" s="678" t="n">
        <v>45903</v>
      </c>
      <c r="DQ31" s="688" t="n">
        <v>45931</v>
      </c>
      <c r="DR31" s="654" t="n">
        <v>45923</v>
      </c>
      <c r="DS31" s="654" t="n">
        <v>45909</v>
      </c>
      <c r="DT31" s="654" t="n">
        <v>45915</v>
      </c>
      <c r="DU31" s="654" t="n">
        <v>45909</v>
      </c>
      <c r="DV31" s="654" t="n">
        <v>45903</v>
      </c>
      <c r="DW31" s="654" t="n">
        <v>45895</v>
      </c>
      <c r="DX31" s="654" t="n">
        <v>45895</v>
      </c>
      <c r="DY31" s="679" t="n">
        <v>45896</v>
      </c>
      <c r="DZ31" s="654" t="n">
        <v>45888</v>
      </c>
      <c r="EA31" s="654" t="n">
        <v>45881</v>
      </c>
      <c r="EB31" s="654" t="n">
        <v>45881</v>
      </c>
      <c r="EC31" s="654" t="n">
        <v>45874</v>
      </c>
      <c r="ED31" s="655" t="n">
        <v>45882</v>
      </c>
      <c r="EE31" s="655" t="n">
        <v>45881</v>
      </c>
      <c r="EF31" s="654" t="n">
        <v>45867</v>
      </c>
      <c r="EG31" s="654" t="n">
        <v>45860</v>
      </c>
      <c r="EH31" s="654" t="n">
        <v>45860</v>
      </c>
      <c r="EI31" s="655" t="n">
        <v>45860</v>
      </c>
      <c r="EJ31" s="654" t="n">
        <v>45848</v>
      </c>
      <c r="EK31" s="681" t="n">
        <v>45853</v>
      </c>
      <c r="EL31" s="654" t="n">
        <v>45839</v>
      </c>
      <c r="EM31" s="654" t="n">
        <v>45825</v>
      </c>
      <c r="EN31" s="681" t="n">
        <v>45791</v>
      </c>
      <c r="EO31" s="655" t="n">
        <v>45826</v>
      </c>
      <c r="EP31" s="654" t="n">
        <v>45813</v>
      </c>
      <c r="EQ31" s="655" t="n">
        <v>45819</v>
      </c>
      <c r="ER31" s="654" t="n">
        <v>45805</v>
      </c>
      <c r="ES31" s="654" t="n">
        <v>45783</v>
      </c>
      <c r="ET31" s="655" t="n">
        <v>45807</v>
      </c>
      <c r="EU31" s="654" t="n">
        <v>45790</v>
      </c>
      <c r="EV31" s="690" t="n">
        <v>45800</v>
      </c>
      <c r="EW31" s="650" t="n">
        <v>45799</v>
      </c>
      <c r="EX31" s="655" t="n">
        <v>45798</v>
      </c>
      <c r="EY31" s="654" t="n">
        <v>45783</v>
      </c>
      <c r="EZ31" s="654" t="n">
        <v>45783</v>
      </c>
      <c r="FA31" s="654" t="n">
        <v>45775</v>
      </c>
      <c r="FB31" s="654" t="n">
        <v>45770</v>
      </c>
      <c r="FC31" s="654" t="n">
        <v>45743</v>
      </c>
      <c r="FD31" s="683" t="n">
        <v>45735</v>
      </c>
      <c r="FE31" s="655" t="n">
        <v>45775</v>
      </c>
      <c r="FF31" s="654" t="n">
        <v>45756</v>
      </c>
      <c r="FG31" s="654" t="n">
        <v>45749</v>
      </c>
      <c r="FH31" s="654" t="n">
        <v>45743</v>
      </c>
      <c r="FI31" s="654" t="n">
        <v>45743</v>
      </c>
      <c r="FJ31" s="650" t="n">
        <v>45741</v>
      </c>
      <c r="FK31" s="654" t="n">
        <v>45728</v>
      </c>
      <c r="FL31" s="654" t="n">
        <v>45728</v>
      </c>
      <c r="FM31" s="654" t="n">
        <v>45722</v>
      </c>
      <c r="FN31" s="654" t="n">
        <v>45714</v>
      </c>
      <c r="FO31" s="654" t="n">
        <v>45706</v>
      </c>
      <c r="FP31" s="650" t="n">
        <v>45700</v>
      </c>
      <c r="FQ31" s="654" t="n">
        <v>45699</v>
      </c>
      <c r="FR31" s="654" t="n">
        <v>45706</v>
      </c>
      <c r="FS31" s="654" t="n">
        <v>45693</v>
      </c>
      <c r="FT31" s="654" t="n">
        <v>45685</v>
      </c>
      <c r="FU31" s="654" t="n">
        <v>45679</v>
      </c>
      <c r="FV31" s="654" t="n">
        <v>45660</v>
      </c>
      <c r="FW31" s="654" t="n">
        <v>45674</v>
      </c>
      <c r="FX31" s="655" t="n">
        <v>45672</v>
      </c>
      <c r="FY31" s="654" t="n">
        <v>45652</v>
      </c>
      <c r="FZ31" s="655" t="n">
        <v>45670</v>
      </c>
      <c r="GA31" s="654" t="n">
        <v>45664</v>
      </c>
      <c r="GB31" s="654" t="n">
        <v>45660</v>
      </c>
      <c r="GC31" s="654" t="n">
        <v>45660</v>
      </c>
    </row>
    <row r="32" ht="18.75" customFormat="1" customHeight="1" s="3">
      <c r="A32" s="33" t="inlineStr">
        <is>
          <t>KIT PAPEL DE SEDA (20 c/ 25 un)</t>
        </is>
      </c>
      <c r="B32" s="9" t="n">
        <v>500</v>
      </c>
      <c r="C32" s="662" t="n">
        <v>99.26000000000001</v>
      </c>
      <c r="D32" s="329" t="n">
        <v>10</v>
      </c>
      <c r="E32" s="642" t="n"/>
      <c r="F32" s="38" t="n">
        <v>20</v>
      </c>
      <c r="G32" s="38" t="n">
        <v>20</v>
      </c>
      <c r="H32" s="38" t="n">
        <v>20</v>
      </c>
      <c r="I32" s="38" t="n">
        <v>20</v>
      </c>
      <c r="J32" s="38" t="n">
        <v>20</v>
      </c>
      <c r="K32" s="38" t="n">
        <v>20</v>
      </c>
      <c r="L32" s="38" t="n">
        <v>20</v>
      </c>
      <c r="M32" s="38" t="n">
        <v>20</v>
      </c>
      <c r="N32" s="38" t="n">
        <v>20</v>
      </c>
      <c r="O32" s="38" t="n">
        <v>20</v>
      </c>
      <c r="P32" s="38" t="n">
        <v>20</v>
      </c>
      <c r="Q32" s="38" t="n">
        <v>20</v>
      </c>
      <c r="R32" s="38" t="n">
        <v>20</v>
      </c>
      <c r="S32" s="38" t="n">
        <v>20</v>
      </c>
      <c r="T32" s="38" t="n">
        <v>20</v>
      </c>
      <c r="U32" s="38" t="n">
        <v>20</v>
      </c>
      <c r="V32" s="38" t="n">
        <v>20</v>
      </c>
      <c r="W32" s="38" t="n">
        <v>20</v>
      </c>
      <c r="X32" s="38" t="n">
        <v>20</v>
      </c>
      <c r="Y32" s="38" t="n">
        <v>20</v>
      </c>
      <c r="Z32" s="38" t="n">
        <v>20</v>
      </c>
      <c r="AA32" s="38" t="n">
        <v>20</v>
      </c>
      <c r="AB32" s="38" t="n">
        <v>20</v>
      </c>
      <c r="AC32" s="38" t="n">
        <v>20</v>
      </c>
      <c r="AD32" s="38" t="n">
        <v>20</v>
      </c>
      <c r="AE32" s="38" t="n">
        <v>20</v>
      </c>
      <c r="AF32" s="38" t="n">
        <v>20</v>
      </c>
      <c r="AG32" s="38" t="n">
        <v>20</v>
      </c>
      <c r="AH32" s="38" t="n">
        <v>20</v>
      </c>
      <c r="AI32" s="38" t="n">
        <v>40</v>
      </c>
      <c r="AJ32" s="38" t="n">
        <v>40</v>
      </c>
      <c r="AK32" s="38" t="n">
        <v>40</v>
      </c>
      <c r="AL32" s="38" t="n">
        <v>40</v>
      </c>
      <c r="AM32" s="38" t="n">
        <v>40</v>
      </c>
      <c r="AN32" s="38" t="n">
        <v>40</v>
      </c>
      <c r="AO32" s="38" t="n">
        <v>40</v>
      </c>
      <c r="AP32" s="38" t="n">
        <v>40</v>
      </c>
      <c r="AQ32" s="38" t="n">
        <v>40</v>
      </c>
      <c r="AR32" s="38" t="n">
        <v>40</v>
      </c>
      <c r="AS32" s="38" t="n">
        <v>40</v>
      </c>
      <c r="AT32" s="38" t="n">
        <v>40</v>
      </c>
      <c r="AU32" s="38" t="n">
        <v>40</v>
      </c>
      <c r="AV32" s="261" t="n">
        <v>20</v>
      </c>
      <c r="AW32" s="261" t="n">
        <v>20</v>
      </c>
      <c r="AX32" s="261" t="n">
        <v>20</v>
      </c>
      <c r="AY32" s="261" t="n">
        <v>20</v>
      </c>
      <c r="AZ32" s="38" t="n">
        <v>20</v>
      </c>
      <c r="BA32" s="38" t="n">
        <v>20</v>
      </c>
      <c r="BB32" s="38" t="n">
        <v>20</v>
      </c>
      <c r="BC32" s="38" t="n">
        <v>20</v>
      </c>
      <c r="BD32" s="38" t="n">
        <v>20</v>
      </c>
      <c r="BE32" s="38" t="n">
        <v>20</v>
      </c>
      <c r="BF32" s="38" t="n">
        <v>20</v>
      </c>
      <c r="BG32" s="38" t="n">
        <v>20</v>
      </c>
      <c r="BH32" s="38" t="n">
        <v>20</v>
      </c>
      <c r="BI32" s="38" t="n">
        <v>20</v>
      </c>
      <c r="BJ32" s="38" t="n">
        <v>20</v>
      </c>
      <c r="BK32" s="38" t="n">
        <v>20</v>
      </c>
      <c r="BL32" s="38" t="n">
        <v>19</v>
      </c>
      <c r="BM32" s="38" t="n">
        <v>19</v>
      </c>
      <c r="BN32" s="38" t="n">
        <v>19</v>
      </c>
      <c r="BO32" s="38" t="n">
        <v>19</v>
      </c>
      <c r="BP32" s="38" t="n">
        <v>19</v>
      </c>
      <c r="BQ32" s="38" t="n">
        <v>19</v>
      </c>
      <c r="BR32" s="261" t="n">
        <v>9</v>
      </c>
      <c r="BS32" s="38" t="n">
        <v>9</v>
      </c>
      <c r="BT32" s="38" t="n"/>
      <c r="BU32" s="38" t="n"/>
      <c r="BV32" s="38" t="n"/>
      <c r="BW32" s="38" t="n">
        <v>9</v>
      </c>
      <c r="BX32" s="38" t="n">
        <v>9</v>
      </c>
      <c r="BY32" s="38" t="n">
        <v>8</v>
      </c>
      <c r="BZ32" s="38" t="n">
        <v>8</v>
      </c>
      <c r="CA32" s="38" t="n">
        <v>8</v>
      </c>
      <c r="CB32" s="38" t="n">
        <v>8</v>
      </c>
      <c r="CC32" s="9" t="n">
        <v>8</v>
      </c>
      <c r="CD32" s="9" t="n">
        <v>8</v>
      </c>
      <c r="CE32" s="9" t="n">
        <v>8</v>
      </c>
      <c r="CF32" s="154">
        <f>CD32+IF(NOT(ISBLANK(OFFSET(CF32,0,6))),N(OFFSET(CF32,0,6)),N(OFFSET(CF32,0,7)))-CE32</f>
        <v/>
      </c>
      <c r="CG32" s="6" t="n"/>
      <c r="CH32" s="19" t="n"/>
      <c r="CI32" s="4" t="n"/>
      <c r="CJ32" s="65" t="n"/>
      <c r="CK32" s="18" t="n">
        <v>0</v>
      </c>
      <c r="CL32" s="18" t="n">
        <v>0</v>
      </c>
      <c r="CM32" s="18" t="n">
        <v>0</v>
      </c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18" t="n"/>
      <c r="DP32" s="256" t="n"/>
      <c r="DQ32" s="256" t="n"/>
      <c r="DR32" s="18" t="n"/>
      <c r="DS32" s="18" t="n"/>
      <c r="DT32" s="18" t="n"/>
      <c r="DU32" s="18" t="n"/>
      <c r="DV32" s="18" t="n"/>
      <c r="DW32" s="18" t="n"/>
      <c r="DX32" s="18" t="n"/>
      <c r="DY32" s="18" t="n"/>
      <c r="DZ32" s="18" t="n"/>
      <c r="EA32" s="18" t="n"/>
      <c r="EB32" s="18" t="n"/>
      <c r="EC32" s="18" t="n"/>
      <c r="ED32" s="18" t="n"/>
      <c r="EE32" s="18" t="n"/>
      <c r="EF32" s="18" t="n"/>
      <c r="EG32" s="18" t="n"/>
      <c r="EH32" s="18" t="n"/>
      <c r="EI32" s="18" t="n"/>
      <c r="EJ32" s="18" t="n"/>
      <c r="EK32" s="292" t="inlineStr">
        <is>
          <t>30 DE ER PG</t>
        </is>
      </c>
      <c r="EL32" s="18" t="n"/>
      <c r="EM32" s="18" t="n"/>
      <c r="EN32" s="256" t="n"/>
      <c r="EO32" s="18" t="n"/>
      <c r="EP32" s="18" t="n"/>
      <c r="EQ32" s="18" t="n"/>
      <c r="ER32" s="18" t="n"/>
      <c r="ES32" s="18" t="n"/>
      <c r="ET32" s="18" t="n"/>
      <c r="EU32" s="18" t="n"/>
      <c r="EV32" s="256" t="n"/>
      <c r="EW32" s="256" t="n"/>
      <c r="EX32" s="18" t="n"/>
      <c r="EY32" s="18" t="n"/>
      <c r="EZ32" s="18" t="n"/>
      <c r="FA32" s="18" t="n"/>
      <c r="FB32" s="18" t="n"/>
      <c r="FC32" s="18" t="n"/>
      <c r="FD32" s="256" t="n">
        <v>10</v>
      </c>
      <c r="FE32" s="18" t="n"/>
      <c r="FF32" s="18" t="n"/>
      <c r="FG32" s="18" t="n"/>
      <c r="FH32" s="18" t="n"/>
      <c r="FI32" s="18" t="n"/>
      <c r="FJ32" s="256" t="n"/>
      <c r="FK32" s="18" t="n"/>
      <c r="FL32" s="18" t="n"/>
      <c r="FM32" s="18" t="n"/>
      <c r="FN32" s="18" t="n"/>
      <c r="FO32" s="18" t="n"/>
      <c r="FP32" s="256" t="n">
        <v>10</v>
      </c>
      <c r="FQ32" s="18" t="n"/>
      <c r="FR32" s="18" t="n"/>
      <c r="FS32" s="18" t="n"/>
      <c r="FT32" s="18" t="n"/>
      <c r="FU32" s="18" t="n"/>
      <c r="FV32" s="18" t="n"/>
      <c r="FW32" s="18" t="n"/>
      <c r="FX32" s="18" t="n"/>
      <c r="FY32" s="18" t="n"/>
      <c r="FZ32" s="18" t="n"/>
      <c r="GA32" s="18" t="n"/>
      <c r="GB32" s="18" t="n"/>
      <c r="GC32" s="18" t="n"/>
    </row>
    <row r="33" ht="18.75" customFormat="1" customHeight="1" s="3">
      <c r="A33" s="33" t="inlineStr">
        <is>
          <t>KIT ETIQ (50 c/ 50 un)</t>
        </is>
      </c>
      <c r="B33" s="9" t="n">
        <v>2500</v>
      </c>
      <c r="C33" s="662" t="n">
        <v>69.20999999999999</v>
      </c>
      <c r="D33" s="329" t="n">
        <v>10</v>
      </c>
      <c r="E33" s="642" t="n"/>
      <c r="F33" s="38" t="n">
        <v>50</v>
      </c>
      <c r="G33" s="38" t="n">
        <v>50</v>
      </c>
      <c r="H33" s="38" t="n">
        <v>50</v>
      </c>
      <c r="I33" s="38" t="n">
        <v>50</v>
      </c>
      <c r="J33" s="38" t="n">
        <v>50</v>
      </c>
      <c r="K33" s="38" t="n">
        <v>50</v>
      </c>
      <c r="L33" s="38" t="n">
        <v>50</v>
      </c>
      <c r="M33" s="38" t="n">
        <v>50</v>
      </c>
      <c r="N33" s="38" t="n">
        <v>50</v>
      </c>
      <c r="O33" s="38" t="n">
        <v>50</v>
      </c>
      <c r="P33" s="38" t="n">
        <v>50</v>
      </c>
      <c r="Q33" s="38" t="n">
        <v>0</v>
      </c>
      <c r="R33" s="38" t="n">
        <v>0</v>
      </c>
      <c r="S33" s="38" t="n">
        <v>0</v>
      </c>
      <c r="T33" s="38" t="n">
        <v>50</v>
      </c>
      <c r="U33" s="38" t="n">
        <v>50</v>
      </c>
      <c r="V33" s="38" t="n">
        <v>50</v>
      </c>
      <c r="W33" s="38" t="n">
        <v>50</v>
      </c>
      <c r="X33" s="38" t="n">
        <v>50</v>
      </c>
      <c r="Y33" s="261" t="n">
        <v>0</v>
      </c>
      <c r="Z33" s="261" t="n">
        <v>0</v>
      </c>
      <c r="AA33" s="261" t="n">
        <v>0</v>
      </c>
      <c r="AB33" s="38" t="n">
        <v>100</v>
      </c>
      <c r="AC33" s="38" t="n">
        <v>100</v>
      </c>
      <c r="AD33" s="38" t="n">
        <v>100</v>
      </c>
      <c r="AE33" s="38" t="n">
        <v>100</v>
      </c>
      <c r="AF33" s="38" t="n">
        <v>100</v>
      </c>
      <c r="AG33" s="38" t="n">
        <v>100</v>
      </c>
      <c r="AH33" s="38" t="n">
        <v>100</v>
      </c>
      <c r="AI33" s="38" t="n">
        <v>100</v>
      </c>
      <c r="AJ33" s="38" t="n">
        <v>100</v>
      </c>
      <c r="AK33" s="38" t="n">
        <v>100</v>
      </c>
      <c r="AL33" s="38" t="n">
        <v>100</v>
      </c>
      <c r="AM33" s="38" t="n">
        <v>100</v>
      </c>
      <c r="AN33" s="38" t="n">
        <v>100</v>
      </c>
      <c r="AO33" s="38" t="n">
        <v>100</v>
      </c>
      <c r="AP33" s="38" t="n">
        <v>100</v>
      </c>
      <c r="AQ33" s="38" t="n">
        <v>100</v>
      </c>
      <c r="AR33" s="38" t="n">
        <v>100</v>
      </c>
      <c r="AS33" s="38" t="n">
        <v>100</v>
      </c>
      <c r="AT33" s="38" t="n">
        <v>100</v>
      </c>
      <c r="AU33" s="38" t="n">
        <v>100</v>
      </c>
      <c r="AV33" s="261" t="n">
        <v>60</v>
      </c>
      <c r="AW33" s="261" t="n">
        <v>60</v>
      </c>
      <c r="AX33" s="261" t="n">
        <v>60</v>
      </c>
      <c r="AY33" s="261" t="n">
        <v>60</v>
      </c>
      <c r="AZ33" s="38" t="n">
        <v>60</v>
      </c>
      <c r="BA33" s="38" t="n">
        <v>59</v>
      </c>
      <c r="BB33" s="38" t="n">
        <v>59</v>
      </c>
      <c r="BC33" s="38" t="n">
        <v>59</v>
      </c>
      <c r="BD33" s="38" t="n">
        <v>59</v>
      </c>
      <c r="BE33" s="38" t="n">
        <v>59</v>
      </c>
      <c r="BF33" s="38" t="n">
        <v>59</v>
      </c>
      <c r="BG33" s="38" t="n">
        <v>59</v>
      </c>
      <c r="BH33" s="38" t="n">
        <v>59</v>
      </c>
      <c r="BI33" s="38" t="n">
        <v>59</v>
      </c>
      <c r="BJ33" s="38" t="n">
        <v>9</v>
      </c>
      <c r="BK33" s="38" t="n">
        <v>9</v>
      </c>
      <c r="BL33" s="38" t="n">
        <v>9</v>
      </c>
      <c r="BM33" s="38" t="n">
        <v>9</v>
      </c>
      <c r="BN33" s="38" t="n">
        <v>9</v>
      </c>
      <c r="BO33" s="38" t="n">
        <v>9</v>
      </c>
      <c r="BP33" s="38" t="n">
        <v>9</v>
      </c>
      <c r="BQ33" s="38" t="n">
        <v>9</v>
      </c>
      <c r="BR33" s="38" t="n">
        <v>3</v>
      </c>
      <c r="BS33" s="38" t="n">
        <v>1</v>
      </c>
      <c r="BT33" s="38" t="n"/>
      <c r="BU33" s="38" t="n"/>
      <c r="BV33" s="38" t="n"/>
      <c r="BW33" s="38" t="n">
        <v>1</v>
      </c>
      <c r="BX33" s="38" t="n">
        <v>1</v>
      </c>
      <c r="BY33" s="38" t="n">
        <v>1</v>
      </c>
      <c r="BZ33" s="38" t="n">
        <v>1</v>
      </c>
      <c r="CA33" s="38" t="n">
        <v>1</v>
      </c>
      <c r="CB33" s="38" t="n">
        <v>1</v>
      </c>
      <c r="CC33" s="9" t="n">
        <v>1</v>
      </c>
      <c r="CD33" s="9" t="n">
        <v>1</v>
      </c>
      <c r="CE33" s="9" t="n">
        <v>1</v>
      </c>
      <c r="CF33" s="154">
        <f>CD33+IF(NOT(ISBLANK(OFFSET(CF33,0,6))),N(OFFSET(CF33,0,6)),N(OFFSET(CF33,0,7)))-CE33</f>
        <v/>
      </c>
      <c r="CG33" s="6" t="n"/>
      <c r="CH33" s="19" t="n"/>
      <c r="CI33" s="4" t="n"/>
      <c r="CJ33" s="65" t="n"/>
      <c r="CK33" s="18" t="n">
        <v>0</v>
      </c>
      <c r="CL33" s="18" t="n">
        <v>0</v>
      </c>
      <c r="CM33" s="18" t="n">
        <v>0</v>
      </c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18" t="n"/>
      <c r="DP33" s="256" t="n">
        <v>100</v>
      </c>
      <c r="DQ33" s="256" t="n"/>
      <c r="DR33" s="18" t="n"/>
      <c r="DS33" s="18" t="n"/>
      <c r="DT33" s="18" t="n"/>
      <c r="DU33" s="18" t="n"/>
      <c r="DV33" s="18" t="n"/>
      <c r="DW33" s="18" t="n"/>
      <c r="DX33" s="18" t="n"/>
      <c r="DY33" s="18" t="n"/>
      <c r="DZ33" s="18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18" t="n"/>
      <c r="EP33" s="18" t="n"/>
      <c r="EQ33" s="18" t="n"/>
      <c r="ER33" s="18" t="n"/>
      <c r="ES33" s="18" t="n"/>
      <c r="ET33" s="18" t="n"/>
      <c r="EU33" s="18" t="n"/>
      <c r="EV33" s="312" t="inlineStr">
        <is>
          <t>05 DE ER PG</t>
        </is>
      </c>
      <c r="EW33" s="256" t="n"/>
      <c r="EX33" s="18" t="n"/>
      <c r="EY33" s="18" t="n"/>
      <c r="EZ33" s="18" t="n"/>
      <c r="FA33" s="18" t="n"/>
      <c r="FB33" s="18" t="n"/>
      <c r="FC33" s="18" t="n"/>
      <c r="FD33" s="256" t="n"/>
      <c r="FE33" s="18" t="n"/>
      <c r="FF33" s="18" t="n"/>
      <c r="FG33" s="18" t="n"/>
      <c r="FH33" s="18" t="n">
        <v>50</v>
      </c>
      <c r="FI33" s="18" t="n"/>
      <c r="FJ33" s="256" t="n"/>
      <c r="FK33" s="18" t="n"/>
      <c r="FL33" s="18" t="n"/>
      <c r="FM33" s="18" t="n"/>
      <c r="FN33" s="18" t="n"/>
      <c r="FO33" s="18" t="n"/>
      <c r="FP33" s="256" t="n"/>
      <c r="FQ33" s="18" t="n"/>
      <c r="FR33" s="18" t="n"/>
      <c r="FS33" s="18" t="n"/>
      <c r="FT33" s="18" t="n"/>
      <c r="FU33" s="18" t="n"/>
      <c r="FV33" s="18" t="n"/>
      <c r="FW33" s="18" t="n"/>
      <c r="FX33" s="18" t="n"/>
      <c r="FY33" s="18" t="n"/>
      <c r="FZ33" s="18" t="n"/>
      <c r="GA33" s="18" t="n"/>
      <c r="GB33" s="18" t="n"/>
      <c r="GC33" s="18" t="n"/>
    </row>
    <row r="34" ht="18.75" customFormat="1" customHeight="1" s="3">
      <c r="A34" s="33" t="inlineStr">
        <is>
          <t>KIT TAGS  (21 c/ 50 un)</t>
        </is>
      </c>
      <c r="B34" s="9" t="n">
        <v>1050</v>
      </c>
      <c r="C34" s="662" t="n">
        <v>53.96</v>
      </c>
      <c r="D34" s="329" t="n">
        <v>10</v>
      </c>
      <c r="E34" s="2" t="n"/>
      <c r="F34" s="38" t="n">
        <v>21</v>
      </c>
      <c r="G34" s="38" t="n">
        <v>21</v>
      </c>
      <c r="H34" s="38" t="n">
        <v>21</v>
      </c>
      <c r="I34" s="38" t="n">
        <v>21</v>
      </c>
      <c r="J34" s="38" t="n">
        <v>21</v>
      </c>
      <c r="K34" s="38" t="n">
        <v>21</v>
      </c>
      <c r="L34" s="38" t="n">
        <v>21</v>
      </c>
      <c r="M34" s="38" t="n">
        <v>21</v>
      </c>
      <c r="N34" s="38" t="n">
        <v>21</v>
      </c>
      <c r="O34" s="38" t="n">
        <v>21</v>
      </c>
      <c r="P34" s="38" t="n">
        <v>21</v>
      </c>
      <c r="Q34" s="38" t="n">
        <v>0</v>
      </c>
      <c r="R34" s="38" t="n">
        <v>0</v>
      </c>
      <c r="S34" s="38" t="n">
        <v>0</v>
      </c>
      <c r="T34" s="38" t="n">
        <v>21</v>
      </c>
      <c r="U34" s="38" t="n">
        <v>21</v>
      </c>
      <c r="V34" s="38" t="n">
        <v>21</v>
      </c>
      <c r="W34" s="38" t="n">
        <v>21</v>
      </c>
      <c r="X34" s="38" t="n">
        <v>21</v>
      </c>
      <c r="Y34" s="261" t="n">
        <v>0</v>
      </c>
      <c r="Z34" s="261" t="n">
        <v>0</v>
      </c>
      <c r="AA34" s="261" t="n">
        <v>0</v>
      </c>
      <c r="AB34" s="38" t="n">
        <v>42</v>
      </c>
      <c r="AC34" s="38" t="n">
        <v>42</v>
      </c>
      <c r="AD34" s="38" t="n">
        <v>42</v>
      </c>
      <c r="AE34" s="38" t="n">
        <v>42</v>
      </c>
      <c r="AF34" s="38" t="n">
        <v>42</v>
      </c>
      <c r="AG34" s="38" t="n">
        <v>42</v>
      </c>
      <c r="AH34" s="38" t="n">
        <v>41</v>
      </c>
      <c r="AI34" s="38" t="n">
        <v>41</v>
      </c>
      <c r="AJ34" s="38" t="n">
        <v>41</v>
      </c>
      <c r="AK34" s="38" t="n">
        <v>41</v>
      </c>
      <c r="AL34" s="38" t="n">
        <v>41</v>
      </c>
      <c r="AM34" s="38" t="n">
        <v>41</v>
      </c>
      <c r="AN34" s="38" t="n">
        <v>41</v>
      </c>
      <c r="AO34" s="38" t="n">
        <v>41</v>
      </c>
      <c r="AP34" s="38" t="n">
        <v>41</v>
      </c>
      <c r="AQ34" s="38" t="n">
        <v>41</v>
      </c>
      <c r="AR34" s="38" t="n">
        <v>41</v>
      </c>
      <c r="AS34" s="38" t="n">
        <v>41</v>
      </c>
      <c r="AT34" s="38" t="n">
        <v>41</v>
      </c>
      <c r="AU34" s="38" t="n">
        <v>41</v>
      </c>
      <c r="AV34" s="261" t="n">
        <v>30</v>
      </c>
      <c r="AW34" s="261" t="n">
        <v>30</v>
      </c>
      <c r="AX34" s="261" t="n">
        <v>30</v>
      </c>
      <c r="AY34" s="261" t="n">
        <v>30</v>
      </c>
      <c r="AZ34" s="38" t="n">
        <v>30</v>
      </c>
      <c r="BA34" s="38" t="n">
        <v>30</v>
      </c>
      <c r="BB34" s="38" t="n">
        <v>29</v>
      </c>
      <c r="BC34" s="38" t="n">
        <v>29</v>
      </c>
      <c r="BD34" s="38" t="n">
        <v>29</v>
      </c>
      <c r="BE34" s="38" t="n">
        <v>29</v>
      </c>
      <c r="BF34" s="38" t="n">
        <v>29</v>
      </c>
      <c r="BG34" s="38" t="n">
        <v>29</v>
      </c>
      <c r="BH34" s="38" t="n">
        <v>29</v>
      </c>
      <c r="BI34" s="38" t="n">
        <v>29</v>
      </c>
      <c r="BJ34" s="38" t="n">
        <v>40</v>
      </c>
      <c r="BK34" s="38" t="n">
        <v>40</v>
      </c>
      <c r="BL34" s="38" t="n">
        <v>40</v>
      </c>
      <c r="BM34" s="38" t="n">
        <v>40</v>
      </c>
      <c r="BN34" s="38" t="n">
        <v>40</v>
      </c>
      <c r="BO34" s="38" t="n">
        <v>40</v>
      </c>
      <c r="BP34" s="38" t="n">
        <v>40</v>
      </c>
      <c r="BQ34" s="38" t="n">
        <v>40</v>
      </c>
      <c r="BR34" s="38" t="n">
        <v>40</v>
      </c>
      <c r="BS34" s="38" t="n">
        <v>40</v>
      </c>
      <c r="BT34" s="38" t="n"/>
      <c r="BU34" s="38" t="n"/>
      <c r="BV34" s="38" t="n"/>
      <c r="BW34" s="38" t="n">
        <v>38</v>
      </c>
      <c r="BX34" s="38" t="n">
        <v>38</v>
      </c>
      <c r="BY34" s="38" t="n">
        <v>38</v>
      </c>
      <c r="BZ34" s="38" t="n">
        <v>38</v>
      </c>
      <c r="CA34" s="38" t="n">
        <v>38</v>
      </c>
      <c r="CB34" s="38" t="n">
        <v>38</v>
      </c>
      <c r="CC34" s="9" t="n">
        <v>38</v>
      </c>
      <c r="CD34" s="9" t="n">
        <v>38</v>
      </c>
      <c r="CE34" s="9" t="n">
        <v>38</v>
      </c>
      <c r="CF34" s="154">
        <f>CD34+IF(NOT(ISBLANK(OFFSET(CF34,0,6))),N(OFFSET(CF34,0,6)),N(OFFSET(CF34,0,7)))-CE34</f>
        <v/>
      </c>
      <c r="CG34" s="6" t="n"/>
      <c r="CH34" s="19" t="n"/>
      <c r="CI34" s="4" t="n"/>
      <c r="CJ34" s="65" t="n"/>
      <c r="CK34" s="18" t="n">
        <v>0</v>
      </c>
      <c r="CL34" s="18" t="n">
        <v>0</v>
      </c>
      <c r="CM34" s="18" t="n">
        <v>0</v>
      </c>
      <c r="CN34" s="18" t="n"/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8" t="n"/>
      <c r="DA34" s="18" t="n"/>
      <c r="DB34" s="18" t="n"/>
      <c r="DC34" s="18" t="n"/>
      <c r="DD34" s="18" t="n"/>
      <c r="DE34" s="18" t="n"/>
      <c r="DF34" s="18" t="n"/>
      <c r="DG34" s="18" t="n"/>
      <c r="DH34" s="18" t="n"/>
      <c r="DI34" s="18" t="n"/>
      <c r="DJ34" s="18" t="n"/>
      <c r="DK34" s="18" t="n"/>
      <c r="DL34" s="18" t="n"/>
      <c r="DM34" s="18" t="n"/>
      <c r="DN34" s="18" t="n"/>
      <c r="DO34" s="18" t="n"/>
      <c r="DP34" s="256" t="n"/>
      <c r="DQ34" s="256" t="n"/>
      <c r="DR34" s="18" t="n"/>
      <c r="DS34" s="18" t="n"/>
      <c r="DT34" s="18" t="n"/>
      <c r="DU34" s="18" t="n"/>
      <c r="DV34" s="18" t="n"/>
      <c r="DW34" s="18" t="n"/>
      <c r="DX34" s="18" t="n"/>
      <c r="DY34" s="18" t="n"/>
      <c r="DZ34" s="18" t="n"/>
      <c r="EA34" s="18" t="n"/>
      <c r="EB34" s="18" t="n"/>
      <c r="EC34" s="18" t="n"/>
      <c r="ED34" s="18" t="n"/>
      <c r="EE34" s="18" t="n"/>
      <c r="EF34" s="18" t="n"/>
      <c r="EG34" s="18" t="n"/>
      <c r="EH34" s="18" t="n"/>
      <c r="EI34" s="18" t="n"/>
      <c r="EJ34" s="18" t="n"/>
      <c r="EK34" s="18" t="n"/>
      <c r="EL34" s="18" t="n"/>
      <c r="EM34" s="18" t="n"/>
      <c r="EN34" s="18" t="n"/>
      <c r="EO34" s="18" t="n"/>
      <c r="EP34" s="18" t="n"/>
      <c r="EQ34" s="18" t="n"/>
      <c r="ER34" s="18" t="n"/>
      <c r="ES34" s="18" t="n"/>
      <c r="ET34" s="18" t="n"/>
      <c r="EU34" s="18" t="n"/>
      <c r="EV34" s="18" t="n"/>
      <c r="EW34" s="256" t="n"/>
      <c r="EX34" s="18" t="n"/>
      <c r="EY34" s="18" t="n"/>
      <c r="EZ34" s="18" t="n"/>
      <c r="FA34" s="18" t="n"/>
      <c r="FB34" s="18" t="n"/>
      <c r="FC34" s="18" t="n"/>
      <c r="FD34" s="18" t="n"/>
      <c r="FE34" s="18" t="n"/>
      <c r="FF34" s="18" t="n"/>
      <c r="FG34" s="18" t="n"/>
      <c r="FH34" s="18" t="n">
        <v>21</v>
      </c>
      <c r="FI34" s="18" t="n"/>
      <c r="FJ34" s="256" t="n"/>
      <c r="FK34" s="18" t="n"/>
      <c r="FL34" s="18" t="n"/>
      <c r="FM34" s="18" t="n"/>
      <c r="FN34" s="18" t="n"/>
      <c r="FO34" s="18" t="n"/>
      <c r="FP34" s="256" t="n"/>
      <c r="FQ34" s="18" t="n"/>
      <c r="FR34" s="18" t="n"/>
      <c r="FS34" s="18" t="n"/>
      <c r="FT34" s="18" t="n"/>
      <c r="FU34" s="18" t="n"/>
      <c r="FV34" s="18" t="n"/>
      <c r="FW34" s="18" t="n"/>
      <c r="FX34" s="18" t="n"/>
      <c r="FY34" s="18" t="n"/>
      <c r="FZ34" s="18" t="n"/>
      <c r="GA34" s="18" t="n"/>
      <c r="GB34" s="18" t="n"/>
      <c r="GC34" s="18" t="n"/>
    </row>
    <row r="35" ht="18.75" customFormat="1" customHeight="1" s="3">
      <c r="A35" s="31" t="n"/>
      <c r="B35" s="2" t="n"/>
      <c r="C35" s="661" t="n"/>
      <c r="D35" s="398" t="n"/>
      <c r="E35" s="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00" t="n"/>
      <c r="Z35" s="400" t="n"/>
      <c r="AA35" s="400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CH35" s="26" t="n"/>
      <c r="CI35" s="4" t="n"/>
      <c r="CJ35" s="108" t="n"/>
      <c r="CK35" s="17" t="n"/>
      <c r="CL35" s="17" t="n"/>
      <c r="CM35" s="17" t="n"/>
      <c r="CN35" s="17" t="n"/>
      <c r="CO35" s="17" t="n"/>
      <c r="CP35" s="17" t="n"/>
      <c r="CQ35" s="17" t="n"/>
      <c r="CR35" s="17" t="n"/>
      <c r="CS35" s="17" t="n"/>
      <c r="CT35" s="17" t="n"/>
      <c r="CU35" s="17" t="n"/>
      <c r="CV35" s="17" t="n"/>
      <c r="CW35" s="17" t="n"/>
      <c r="CX35" s="17" t="n"/>
      <c r="CY35" s="17" t="n"/>
      <c r="CZ35" s="17" t="n"/>
      <c r="DA35" s="17" t="n"/>
      <c r="DB35" s="17" t="n"/>
      <c r="DC35" s="17" t="n"/>
      <c r="DD35" s="17" t="n"/>
      <c r="DE35" s="17" t="n"/>
      <c r="DF35" s="17" t="n"/>
      <c r="DG35" s="17" t="n"/>
      <c r="DH35" s="17" t="n"/>
      <c r="DI35" s="17" t="n"/>
      <c r="DJ35" s="17" t="n"/>
      <c r="DK35" s="17" t="n"/>
      <c r="DL35" s="17" t="n"/>
      <c r="DM35" s="17" t="n"/>
      <c r="DN35" s="17" t="n"/>
      <c r="DO35" s="17" t="n"/>
      <c r="DP35" s="256" t="n">
        <v>150</v>
      </c>
      <c r="DQ35" s="271" t="n"/>
      <c r="DR35" s="17" t="n"/>
      <c r="DS35" s="1" t="n"/>
      <c r="DT35" s="1" t="n"/>
      <c r="DU35" s="1" t="n"/>
      <c r="DV35" s="1" t="n"/>
      <c r="DW35" s="1" t="n"/>
      <c r="DX35" s="1" t="n"/>
      <c r="DY35" s="1" t="n"/>
      <c r="DZ35" s="1" t="n"/>
      <c r="EA35" s="1" t="n"/>
      <c r="EB35" s="1" t="n"/>
      <c r="EC35" s="1" t="n"/>
      <c r="ED35" s="1" t="n"/>
      <c r="EE35" s="1" t="n"/>
      <c r="EF35" s="1" t="n"/>
      <c r="EG35" s="1" t="n"/>
      <c r="EH35" s="1" t="n"/>
      <c r="EI35" s="1" t="n"/>
      <c r="EJ35" s="1" t="n"/>
      <c r="EK35" s="1" t="n"/>
      <c r="EL35" s="1" t="n"/>
      <c r="EM35" s="1" t="n"/>
      <c r="EN35" s="1" t="n"/>
      <c r="EO35" s="1" t="n"/>
      <c r="EP35" s="1" t="n"/>
      <c r="EQ35" s="1" t="n"/>
      <c r="ER35" s="1" t="n"/>
      <c r="ES35" s="1" t="n"/>
      <c r="ET35" s="1" t="n"/>
      <c r="EU35" s="1" t="n"/>
      <c r="EV35" s="1" t="n"/>
      <c r="EX35" s="1" t="n"/>
      <c r="EY35" s="1" t="n"/>
      <c r="EZ35" s="1" t="n"/>
      <c r="FA35" s="1" t="n"/>
      <c r="FB35" s="1" t="n"/>
      <c r="FC35" s="1" t="n"/>
      <c r="FD35" s="1" t="n"/>
      <c r="FE35" s="1" t="n"/>
      <c r="FF35" s="1" t="n"/>
      <c r="FG35" s="1" t="n"/>
      <c r="FH35" s="1" t="n"/>
      <c r="FI35" s="1" t="n"/>
      <c r="FK35" s="1" t="n"/>
      <c r="FL35" s="1" t="n"/>
      <c r="FM35" s="1" t="n"/>
      <c r="FN35" s="1" t="n"/>
      <c r="FO35" s="1" t="n"/>
      <c r="FQ35" s="1" t="n"/>
      <c r="FR35" s="1" t="n"/>
      <c r="FS35" s="1" t="n"/>
      <c r="FT35" s="1" t="n"/>
      <c r="FU35" s="1" t="n"/>
      <c r="FV35" s="1" t="n"/>
      <c r="FW35" s="1" t="n"/>
      <c r="FX35" s="1" t="n"/>
      <c r="FY35" s="1" t="n"/>
      <c r="FZ35" s="1" t="n"/>
      <c r="GA35" s="1" t="n"/>
      <c r="GB35" s="1" t="n"/>
      <c r="GC35" s="1" t="n"/>
    </row>
    <row r="36" ht="18.75" customFormat="1" customHeight="1" s="3">
      <c r="A36" s="32" t="inlineStr">
        <is>
          <t>CAIXAS BOTICÁRIO</t>
        </is>
      </c>
      <c r="B36" s="575" t="n"/>
      <c r="C36" s="575" t="n"/>
      <c r="D36" s="575" t="n"/>
      <c r="E36" s="2" t="n"/>
      <c r="F36" s="650" t="n">
        <v>45656</v>
      </c>
      <c r="G36" s="650" t="n">
        <v>45663</v>
      </c>
      <c r="H36" s="650" t="n">
        <v>45670</v>
      </c>
      <c r="I36" s="650" t="n">
        <v>45677</v>
      </c>
      <c r="J36" s="650" t="n">
        <v>45684</v>
      </c>
      <c r="K36" s="650" t="n">
        <v>45691</v>
      </c>
      <c r="L36" s="650" t="n">
        <v>45698</v>
      </c>
      <c r="M36" s="650" t="n">
        <v>45705</v>
      </c>
      <c r="N36" s="650" t="n">
        <v>45712</v>
      </c>
      <c r="O36" s="650" t="n">
        <v>45719</v>
      </c>
      <c r="P36" s="650" t="n">
        <v>45726</v>
      </c>
      <c r="Q36" s="650" t="n">
        <v>45733</v>
      </c>
      <c r="R36" s="650" t="n">
        <v>45740</v>
      </c>
      <c r="S36" s="650" t="n">
        <v>45747</v>
      </c>
      <c r="T36" s="650" t="n">
        <v>45754</v>
      </c>
      <c r="U36" s="650" t="n">
        <v>45761</v>
      </c>
      <c r="V36" s="650" t="n">
        <v>45768</v>
      </c>
      <c r="W36" s="650" t="n">
        <v>45775</v>
      </c>
      <c r="X36" s="650" t="n">
        <v>45782</v>
      </c>
      <c r="Y36" s="650" t="n">
        <v>45789</v>
      </c>
      <c r="Z36" s="650" t="n">
        <v>45796</v>
      </c>
      <c r="AA36" s="650" t="n">
        <v>45803</v>
      </c>
      <c r="AB36" s="650" t="n">
        <v>45810</v>
      </c>
      <c r="AC36" s="650" t="n">
        <v>45817</v>
      </c>
      <c r="AD36" s="650" t="n">
        <v>45824</v>
      </c>
      <c r="AE36" s="650" t="n">
        <v>45831</v>
      </c>
      <c r="AF36" s="650" t="n">
        <v>45838</v>
      </c>
      <c r="AG36" s="650" t="n">
        <v>45845</v>
      </c>
      <c r="AH36" s="650" t="n">
        <v>45852</v>
      </c>
      <c r="AI36" s="650" t="n">
        <v>45859</v>
      </c>
      <c r="AJ36" s="650" t="n">
        <v>45866</v>
      </c>
      <c r="AK36" s="650" t="n">
        <v>45873</v>
      </c>
      <c r="AL36" s="650" t="n">
        <v>45880</v>
      </c>
      <c r="AM36" s="650" t="n">
        <v>45887</v>
      </c>
      <c r="AN36" s="650" t="n">
        <v>45894</v>
      </c>
      <c r="AO36" s="650" t="n">
        <v>45901</v>
      </c>
      <c r="AP36" s="650" t="n">
        <v>45908</v>
      </c>
      <c r="AQ36" s="650" t="n">
        <v>45915</v>
      </c>
      <c r="AR36" s="650" t="n">
        <v>45922</v>
      </c>
      <c r="AS36" s="650" t="n">
        <v>45929</v>
      </c>
      <c r="AT36" s="650" t="n">
        <v>45936</v>
      </c>
      <c r="AU36" s="650" t="n">
        <v>45943</v>
      </c>
      <c r="AV36" s="650" t="n">
        <v>45950</v>
      </c>
      <c r="AW36" s="650" t="n">
        <v>45957</v>
      </c>
      <c r="AX36" s="650" t="n">
        <v>45964</v>
      </c>
      <c r="AY36" s="650" t="n">
        <v>45971</v>
      </c>
      <c r="AZ36" s="650" t="n">
        <v>45978</v>
      </c>
      <c r="BA36" s="650" t="n">
        <v>45985</v>
      </c>
      <c r="BB36" s="650" t="n">
        <v>45992</v>
      </c>
      <c r="BC36" s="650" t="n">
        <v>45999</v>
      </c>
      <c r="BD36" s="650" t="n">
        <v>46006</v>
      </c>
      <c r="BE36" s="650" t="n">
        <v>46013</v>
      </c>
      <c r="BF36" s="650" t="n">
        <v>46020</v>
      </c>
      <c r="BG36" s="650" t="n">
        <v>46027</v>
      </c>
      <c r="BH36" s="650" t="n">
        <v>46034</v>
      </c>
      <c r="BI36" s="650" t="n">
        <v>46041</v>
      </c>
      <c r="BJ36" s="650" t="n">
        <v>46048</v>
      </c>
      <c r="BK36" s="650" t="n">
        <v>46055</v>
      </c>
      <c r="BL36" s="650" t="n">
        <v>46062</v>
      </c>
      <c r="BM36" s="650" t="n">
        <v>46069</v>
      </c>
      <c r="BN36" s="650" t="n">
        <v>46076</v>
      </c>
      <c r="BO36" s="650" t="n">
        <v>46083</v>
      </c>
      <c r="BP36" s="650" t="n">
        <v>46090</v>
      </c>
      <c r="BQ36" s="650" t="n">
        <v>46097</v>
      </c>
      <c r="BR36" s="650" t="n">
        <v>46104</v>
      </c>
      <c r="BS36" s="650" t="n">
        <v>46111</v>
      </c>
      <c r="BT36" s="650" t="n">
        <v>46118</v>
      </c>
      <c r="BU36" s="650" t="n">
        <v>46125</v>
      </c>
      <c r="BV36" s="650" t="n">
        <v>46132</v>
      </c>
      <c r="BW36" s="650" t="n">
        <v>46139</v>
      </c>
      <c r="BX36" s="650" t="n">
        <v>46146</v>
      </c>
      <c r="BY36" s="650" t="n">
        <v>46154</v>
      </c>
      <c r="BZ36" s="650" t="n">
        <v>46160</v>
      </c>
      <c r="CA36" s="650" t="n">
        <v>46160</v>
      </c>
      <c r="CB36" s="650" t="n">
        <v>46160</v>
      </c>
      <c r="CC36" s="651" t="n">
        <v>46161.4800428125</v>
      </c>
      <c r="CD36" s="651" t="n">
        <v>46161.48072087963</v>
      </c>
      <c r="CE36" s="651" t="n">
        <v>46161.48287954393</v>
      </c>
      <c r="CF36" s="652" t="inlineStr">
        <is>
          <t>USOU</t>
        </is>
      </c>
      <c r="CG36" s="6" t="n"/>
      <c r="CH36" s="35" t="inlineStr">
        <is>
          <t>Pend.</t>
        </is>
      </c>
      <c r="CI36" s="653" t="n"/>
      <c r="CJ36" s="12" t="inlineStr">
        <is>
          <t>Novo Pedido</t>
        </is>
      </c>
      <c r="CK36" s="716" t="n">
        <v>46161.48287850313</v>
      </c>
      <c r="CL36" s="654" t="n">
        <v>46156</v>
      </c>
      <c r="CM36" s="654" t="n">
        <v>46149</v>
      </c>
      <c r="CN36" s="654" t="n">
        <v>46114</v>
      </c>
      <c r="CO36" s="710" t="n">
        <v>46065</v>
      </c>
      <c r="CP36" s="654" t="n">
        <v>46092</v>
      </c>
      <c r="CQ36" s="654" t="n">
        <v>46092</v>
      </c>
      <c r="CR36" s="654" t="n">
        <v>46084</v>
      </c>
      <c r="CS36" s="711" t="n">
        <v>46045</v>
      </c>
      <c r="CT36" s="654" t="n">
        <v>46071</v>
      </c>
      <c r="CU36" s="654" t="n">
        <v>46043</v>
      </c>
      <c r="CV36" s="654" t="n">
        <v>46029</v>
      </c>
      <c r="CW36" s="654" t="n">
        <v>46024</v>
      </c>
      <c r="CX36" s="655" t="n">
        <v>46041</v>
      </c>
      <c r="CY36" s="654" t="n">
        <v>46029</v>
      </c>
      <c r="CZ36" s="654" t="n">
        <v>46024</v>
      </c>
      <c r="DA36" s="654" t="n">
        <v>46007</v>
      </c>
      <c r="DB36" s="654" t="n">
        <v>46001</v>
      </c>
      <c r="DC36" s="654" t="n">
        <v>45994</v>
      </c>
      <c r="DD36" s="654" t="n">
        <v>45986</v>
      </c>
      <c r="DE36" s="654" t="n">
        <v>45986</v>
      </c>
      <c r="DF36" s="654" t="n">
        <v>45980</v>
      </c>
      <c r="DG36" s="654" t="n">
        <v>45980</v>
      </c>
      <c r="DH36" s="654" t="n">
        <v>45973</v>
      </c>
      <c r="DI36" s="654" t="n">
        <v>45973</v>
      </c>
      <c r="DJ36" s="654" t="n">
        <v>45965</v>
      </c>
      <c r="DK36" s="654" t="n">
        <v>45965</v>
      </c>
      <c r="DL36" s="654" t="n">
        <v>45960</v>
      </c>
      <c r="DM36" s="654" t="n">
        <v>45951</v>
      </c>
      <c r="DN36" s="654" t="n">
        <v>45937</v>
      </c>
      <c r="DO36" s="654" t="n">
        <v>45931</v>
      </c>
      <c r="DP36" s="678" t="n">
        <v>45903</v>
      </c>
      <c r="DQ36" s="688" t="n">
        <v>45931</v>
      </c>
      <c r="DR36" s="654" t="n">
        <v>45923</v>
      </c>
      <c r="DS36" s="18" t="n"/>
      <c r="DT36" s="18" t="n"/>
      <c r="DU36" s="18" t="n"/>
      <c r="DV36" s="18" t="n"/>
      <c r="DW36" s="18" t="n"/>
      <c r="DX36" s="18" t="n"/>
      <c r="DY36" s="18" t="n"/>
      <c r="DZ36" s="18" t="n"/>
      <c r="EA36" s="18" t="n"/>
      <c r="EB36" s="18" t="n"/>
      <c r="EC36" s="18" t="n"/>
      <c r="ED36" s="18" t="n"/>
      <c r="EE36" s="18" t="n"/>
      <c r="EF36" s="18" t="n"/>
      <c r="EG36" s="18" t="n"/>
      <c r="EH36" s="18" t="n"/>
      <c r="EI36" s="18" t="n"/>
      <c r="EJ36" s="18" t="n"/>
      <c r="EK36" s="18" t="n"/>
      <c r="EL36" s="18" t="n"/>
      <c r="EM36" s="18" t="n"/>
      <c r="EN36" s="18" t="n"/>
      <c r="EO36" s="239" t="inlineStr">
        <is>
          <t>60 P/ ER PG</t>
        </is>
      </c>
      <c r="EP36" s="18" t="n"/>
      <c r="EQ36" s="18" t="n"/>
      <c r="ER36" s="18" t="n"/>
      <c r="ES36" s="18" t="n"/>
      <c r="ET36" s="18" t="n"/>
      <c r="EU36" s="18" t="n"/>
      <c r="EV36" s="18" t="n"/>
      <c r="EW36" s="292" t="inlineStr">
        <is>
          <t>30 P/ ER PG</t>
        </is>
      </c>
      <c r="EX36" s="18" t="n"/>
      <c r="EY36" s="18" t="n"/>
      <c r="EZ36" s="18" t="n"/>
      <c r="FA36" s="18" t="n"/>
      <c r="FB36" s="18" t="n"/>
      <c r="FC36" s="18" t="n">
        <v>75</v>
      </c>
      <c r="FD36" s="18" t="n"/>
      <c r="FE36" s="260" t="n"/>
      <c r="FF36" s="18" t="n"/>
      <c r="FG36" s="18" t="n"/>
      <c r="FH36" s="18" t="n"/>
      <c r="FI36" s="18" t="n"/>
      <c r="FJ36" s="256" t="inlineStr">
        <is>
          <t>50 D. ERP</t>
        </is>
      </c>
      <c r="FK36" s="18" t="n"/>
      <c r="FL36" s="18" t="n">
        <v>75</v>
      </c>
      <c r="FM36" s="18" t="n"/>
      <c r="FN36" s="18" t="n"/>
      <c r="FO36" s="18" t="n"/>
      <c r="FP36" s="256" t="n"/>
      <c r="FQ36" s="18" t="n"/>
      <c r="FR36" s="18" t="n"/>
      <c r="FS36" s="18" t="n"/>
      <c r="FT36" s="18" t="n"/>
      <c r="FU36" s="18" t="n"/>
      <c r="FV36" s="18" t="n"/>
      <c r="FW36" s="18" t="n"/>
      <c r="FX36" s="239" t="inlineStr">
        <is>
          <t>17 DE VDP</t>
        </is>
      </c>
      <c r="FY36" s="18" t="n"/>
      <c r="FZ36" s="18" t="n"/>
      <c r="GA36" s="18" t="n"/>
      <c r="GB36" s="18" t="n"/>
      <c r="GC36" s="18" t="n"/>
    </row>
    <row r="37" ht="18.75" customFormat="1" customHeight="1" s="3">
      <c r="A37" s="33" t="inlineStr">
        <is>
          <t>KIT CAIXA P VERDE</t>
        </is>
      </c>
      <c r="B37" s="129" t="n">
        <v>75</v>
      </c>
      <c r="C37" s="665" t="n">
        <v>239.21</v>
      </c>
      <c r="D37" s="329" t="n">
        <v>15</v>
      </c>
      <c r="E37" s="2" t="n"/>
      <c r="F37" s="38" t="n">
        <v>13</v>
      </c>
      <c r="G37" s="38">
        <f>13+17</f>
        <v/>
      </c>
      <c r="H37" s="38" t="n">
        <v>30</v>
      </c>
      <c r="I37" s="38" t="n">
        <v>29</v>
      </c>
      <c r="J37" s="38" t="n">
        <v>28</v>
      </c>
      <c r="K37" s="38" t="n">
        <v>28</v>
      </c>
      <c r="L37" s="38" t="n">
        <v>28</v>
      </c>
      <c r="M37" s="38" t="n">
        <v>27</v>
      </c>
      <c r="N37" s="38" t="n">
        <v>26</v>
      </c>
      <c r="O37" s="38" t="n">
        <v>24</v>
      </c>
      <c r="P37" s="38" t="n">
        <v>17</v>
      </c>
      <c r="Q37" s="38">
        <f>13+FI36</f>
        <v/>
      </c>
      <c r="R37" s="38" t="n">
        <v>80</v>
      </c>
      <c r="S37" s="38" t="n">
        <v>79</v>
      </c>
      <c r="T37" s="38" t="n">
        <v>3</v>
      </c>
      <c r="U37" s="38" t="n">
        <v>2</v>
      </c>
      <c r="V37" s="38" t="n">
        <v>1</v>
      </c>
      <c r="W37" s="38" t="n">
        <v>1</v>
      </c>
      <c r="X37" s="38">
        <f>0+EZ36</f>
        <v/>
      </c>
      <c r="Y37" s="38" t="n">
        <v>142</v>
      </c>
      <c r="Z37" s="38" t="n">
        <v>140</v>
      </c>
      <c r="AA37" s="38" t="n">
        <v>145</v>
      </c>
      <c r="AB37" s="38" t="n">
        <v>145</v>
      </c>
      <c r="AC37" s="38" t="n">
        <v>140</v>
      </c>
      <c r="AD37" s="38">
        <f>131-60</f>
        <v/>
      </c>
      <c r="AE37" s="38" t="n">
        <v>70</v>
      </c>
      <c r="AF37" s="38" t="n">
        <v>69</v>
      </c>
      <c r="AG37" s="38" t="n">
        <v>65</v>
      </c>
      <c r="AH37" s="38" t="n">
        <v>61</v>
      </c>
      <c r="AI37" s="38" t="n">
        <v>55</v>
      </c>
      <c r="AJ37" s="38" t="n">
        <v>53</v>
      </c>
      <c r="AK37" s="38" t="n">
        <v>53</v>
      </c>
      <c r="AL37" s="38" t="n">
        <v>45</v>
      </c>
      <c r="AM37" s="38" t="n">
        <v>43</v>
      </c>
      <c r="AN37" s="38" t="n">
        <v>43</v>
      </c>
      <c r="AO37" s="38" t="n">
        <v>43</v>
      </c>
      <c r="AP37" s="38" t="n">
        <v>39</v>
      </c>
      <c r="AQ37" s="38" t="n">
        <v>35</v>
      </c>
      <c r="AR37" s="38" t="n">
        <v>35</v>
      </c>
      <c r="AS37" s="38" t="n">
        <v>34</v>
      </c>
      <c r="AT37" s="38" t="n">
        <v>31</v>
      </c>
      <c r="AU37" s="38" t="n">
        <v>23</v>
      </c>
      <c r="AV37" s="261" t="n">
        <v>13</v>
      </c>
      <c r="AW37" s="261" t="n">
        <v>4</v>
      </c>
      <c r="AX37" s="261" t="n">
        <v>4</v>
      </c>
      <c r="AY37" s="261" t="n">
        <v>2</v>
      </c>
      <c r="AZ37" s="38" t="n">
        <v>2</v>
      </c>
      <c r="BA37" s="38" t="n">
        <v>2</v>
      </c>
      <c r="BB37" s="38" t="n">
        <v>2</v>
      </c>
      <c r="BC37" s="38" t="n">
        <v>2</v>
      </c>
      <c r="BD37" s="38" t="n">
        <v>1</v>
      </c>
      <c r="BE37" s="38" t="n">
        <v>0</v>
      </c>
      <c r="BF37" s="38" t="n">
        <v>0</v>
      </c>
      <c r="BG37" s="38" t="n">
        <v>0</v>
      </c>
      <c r="BH37" s="38" t="n">
        <v>0</v>
      </c>
      <c r="BI37" s="38" t="n">
        <v>0</v>
      </c>
      <c r="BJ37" s="38" t="n">
        <v>0</v>
      </c>
      <c r="BK37" s="38" t="n">
        <v>0</v>
      </c>
      <c r="BL37" s="38" t="n">
        <v>0</v>
      </c>
      <c r="BM37" s="38" t="n">
        <v>0</v>
      </c>
      <c r="BN37" s="38" t="n">
        <v>0</v>
      </c>
      <c r="BO37" s="38" t="n">
        <v>0</v>
      </c>
      <c r="BP37" s="38" t="n">
        <v>0</v>
      </c>
      <c r="BQ37" s="38" t="n">
        <v>0</v>
      </c>
      <c r="BR37" s="38" t="n">
        <v>0</v>
      </c>
      <c r="BS37" s="38" t="n">
        <v>0</v>
      </c>
      <c r="BT37" s="38" t="n"/>
      <c r="BU37" s="38" t="n"/>
      <c r="BV37" s="38" t="n"/>
      <c r="BW37" s="38" t="n">
        <v>0</v>
      </c>
      <c r="BX37" s="38" t="n">
        <v>0</v>
      </c>
      <c r="BY37" s="38" t="n">
        <v>0</v>
      </c>
      <c r="BZ37" s="38" t="n">
        <v>0</v>
      </c>
      <c r="CA37" s="38" t="n">
        <v>0</v>
      </c>
      <c r="CB37" s="38" t="n">
        <v>0</v>
      </c>
      <c r="CC37" s="9" t="n">
        <v>0</v>
      </c>
      <c r="CD37" s="9" t="n">
        <v>0</v>
      </c>
      <c r="CE37" s="9" t="n">
        <v>0</v>
      </c>
      <c r="CF37" s="154">
        <f>CD37+IF(NOT(ISBLANK(OFFSET(CF37,0,6))),N(OFFSET(CF37,0,6)),N(OFFSET(CF37,0,7)))-CE37</f>
        <v/>
      </c>
      <c r="CG37" s="6" t="n"/>
      <c r="CH37" s="19" t="n"/>
      <c r="CI37" s="4" t="n"/>
      <c r="CJ37" s="27" t="n"/>
      <c r="CK37" s="18" t="n">
        <v>0</v>
      </c>
      <c r="CL37" s="18" t="n">
        <v>0</v>
      </c>
      <c r="CM37" s="18" t="n">
        <v>0</v>
      </c>
      <c r="CN37" s="18" t="n"/>
      <c r="CO37" s="18" t="n"/>
      <c r="CP37" s="18" t="n"/>
      <c r="CQ37" s="18" t="n"/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18" t="n"/>
      <c r="DM37" s="18" t="n"/>
      <c r="DN37" s="18" t="n"/>
      <c r="DO37" s="18" t="n"/>
      <c r="DP37" s="396" t="n"/>
      <c r="DQ37" s="256" t="n"/>
      <c r="DR37" s="18" t="n"/>
      <c r="DS37" s="18" t="n"/>
      <c r="DT37" s="18" t="n"/>
      <c r="DU37" s="18" t="n"/>
      <c r="DV37" s="18" t="n"/>
      <c r="DW37" s="18" t="n"/>
      <c r="DX37" s="18" t="n"/>
      <c r="DY37" s="18" t="n"/>
      <c r="DZ37" s="18" t="n"/>
      <c r="EA37" s="18" t="n"/>
      <c r="EB37" s="18" t="n"/>
      <c r="EC37" s="18" t="n"/>
      <c r="ED37" s="18" t="n"/>
      <c r="EE37" s="154" t="inlineStr">
        <is>
          <t>20 DE CDP</t>
        </is>
      </c>
      <c r="EF37" s="18" t="n"/>
      <c r="EG37" s="18" t="n"/>
      <c r="EH37" s="18" t="n"/>
      <c r="EI37" s="18" t="n"/>
      <c r="EJ37" s="18" t="n"/>
      <c r="EK37" s="292" t="inlineStr">
        <is>
          <t>30 DE ER PG</t>
        </is>
      </c>
      <c r="EL37" s="18" t="n"/>
      <c r="EM37" s="18" t="n"/>
      <c r="EN37" s="256" t="n"/>
      <c r="EO37" s="18" t="n"/>
      <c r="EP37" s="18" t="n"/>
      <c r="EQ37" s="239" t="inlineStr">
        <is>
          <t>50 P/ ER PG</t>
        </is>
      </c>
      <c r="ER37" s="18" t="n"/>
      <c r="ES37" s="18" t="n"/>
      <c r="ET37" s="18" t="n"/>
      <c r="EU37" s="18" t="n"/>
      <c r="EV37" s="312" t="inlineStr">
        <is>
          <t>20 DE ER PG</t>
        </is>
      </c>
      <c r="EW37" s="256" t="n"/>
      <c r="EX37" s="18" t="n"/>
      <c r="EY37" s="18" t="n"/>
      <c r="EZ37" s="18" t="n"/>
      <c r="FA37" s="18" t="n"/>
      <c r="FB37" s="18" t="n"/>
      <c r="FC37" s="18" t="n"/>
      <c r="FD37" s="256" t="n"/>
      <c r="FE37" s="18" t="n"/>
      <c r="FF37" s="18" t="n">
        <v>75</v>
      </c>
      <c r="FG37" s="18" t="n"/>
      <c r="FH37" s="18" t="n"/>
      <c r="FI37" s="18" t="n"/>
      <c r="FJ37" s="256" t="inlineStr">
        <is>
          <t>50 D. ERP</t>
        </is>
      </c>
      <c r="FK37" s="18" t="n"/>
      <c r="FL37" s="18" t="n"/>
      <c r="FM37" s="18" t="n"/>
      <c r="FN37" s="18" t="n">
        <v>75</v>
      </c>
      <c r="FO37" s="18" t="n"/>
      <c r="FP37" s="256" t="n"/>
      <c r="FQ37" s="18" t="n"/>
      <c r="FR37" s="18" t="n"/>
      <c r="FS37" s="18" t="n"/>
      <c r="FT37" s="18" t="n"/>
      <c r="FU37" s="18" t="n"/>
      <c r="FV37" s="18" t="n"/>
      <c r="FW37" s="18" t="n"/>
      <c r="FX37" s="18" t="n"/>
      <c r="FY37" s="18" t="n"/>
      <c r="FZ37" s="18" t="n"/>
      <c r="GA37" s="18" t="n"/>
      <c r="GB37" s="18" t="n"/>
      <c r="GC37" s="18" t="n"/>
    </row>
    <row r="38" ht="18.75" customHeight="1">
      <c r="A38" s="33" t="inlineStr">
        <is>
          <t>KIT CAIXA M VERDE</t>
        </is>
      </c>
      <c r="B38" s="129" t="n">
        <v>75</v>
      </c>
      <c r="C38" s="662" t="n">
        <v>312.27</v>
      </c>
      <c r="D38" s="329" t="n">
        <v>20</v>
      </c>
      <c r="E38" s="2" t="n"/>
      <c r="F38" s="38" t="n">
        <v>30</v>
      </c>
      <c r="G38" s="38" t="n">
        <v>27</v>
      </c>
      <c r="H38" s="38" t="n">
        <v>25</v>
      </c>
      <c r="I38" s="38" t="n">
        <v>21</v>
      </c>
      <c r="J38" s="38" t="n">
        <v>19</v>
      </c>
      <c r="K38" s="38" t="n">
        <v>18</v>
      </c>
      <c r="L38" s="38" t="n">
        <v>10</v>
      </c>
      <c r="M38" s="38" t="n">
        <v>8</v>
      </c>
      <c r="N38" s="38" t="n">
        <v>5</v>
      </c>
      <c r="O38" s="38">
        <f>2+FK37</f>
        <v/>
      </c>
      <c r="P38" s="38" t="n">
        <v>71</v>
      </c>
      <c r="Q38" s="38" t="n">
        <v>64</v>
      </c>
      <c r="R38" s="38" t="n">
        <v>57</v>
      </c>
      <c r="S38" s="38" t="n">
        <v>49</v>
      </c>
      <c r="T38" s="38" t="n">
        <v>2</v>
      </c>
      <c r="U38" s="38" t="n">
        <v>0</v>
      </c>
      <c r="V38" s="38">
        <f>0+FC37</f>
        <v/>
      </c>
      <c r="W38" s="38" t="n">
        <v>74</v>
      </c>
      <c r="X38" s="38" t="n">
        <v>70</v>
      </c>
      <c r="Y38" s="38" t="n">
        <v>126</v>
      </c>
      <c r="Z38" s="38" t="n">
        <v>121</v>
      </c>
      <c r="AA38" s="38" t="n">
        <v>116</v>
      </c>
      <c r="AB38" s="38" t="n">
        <v>115</v>
      </c>
      <c r="AC38" s="38">
        <f>51-50</f>
        <v/>
      </c>
      <c r="AD38" s="261" t="n">
        <v>50</v>
      </c>
      <c r="AE38" s="38" t="n">
        <v>164</v>
      </c>
      <c r="AF38" s="38" t="n">
        <v>163</v>
      </c>
      <c r="AG38" s="38">
        <f>155-115</f>
        <v/>
      </c>
      <c r="AH38" s="38" t="n">
        <v>37</v>
      </c>
      <c r="AI38" s="38" t="n">
        <v>29</v>
      </c>
      <c r="AJ38" s="38" t="n">
        <v>26</v>
      </c>
      <c r="AK38" s="38" t="n">
        <v>18</v>
      </c>
      <c r="AL38" s="38">
        <f>0+20</f>
        <v/>
      </c>
      <c r="AM38" s="38" t="n">
        <v>19</v>
      </c>
      <c r="AN38" s="38" t="n">
        <v>19</v>
      </c>
      <c r="AO38" s="38" t="n">
        <v>12</v>
      </c>
      <c r="AP38" s="38" t="n">
        <v>6</v>
      </c>
      <c r="AQ38" s="38" t="n">
        <v>3</v>
      </c>
      <c r="AR38" s="38" t="n">
        <v>3</v>
      </c>
      <c r="AS38" s="38" t="n">
        <v>1</v>
      </c>
      <c r="AT38" s="38" t="n">
        <v>0</v>
      </c>
      <c r="AU38" s="38" t="n">
        <v>0</v>
      </c>
      <c r="AV38" s="38" t="n">
        <v>0</v>
      </c>
      <c r="AW38" s="38" t="n">
        <v>0</v>
      </c>
      <c r="AX38" s="38" t="n">
        <v>0</v>
      </c>
      <c r="AY38" s="38" t="n">
        <v>0</v>
      </c>
      <c r="AZ38" s="38" t="n">
        <v>0</v>
      </c>
      <c r="BA38" s="38" t="n">
        <v>0</v>
      </c>
      <c r="BB38" s="38" t="n">
        <v>0</v>
      </c>
      <c r="BC38" s="38" t="n">
        <v>0</v>
      </c>
      <c r="BD38" s="38" t="n">
        <v>0</v>
      </c>
      <c r="BE38" s="38" t="n">
        <v>0</v>
      </c>
      <c r="BF38" s="38" t="n">
        <v>0</v>
      </c>
      <c r="BG38" s="38" t="n">
        <v>0</v>
      </c>
      <c r="BH38" s="38" t="n">
        <v>0</v>
      </c>
      <c r="BI38" s="38" t="n">
        <v>0</v>
      </c>
      <c r="BJ38" s="38" t="n">
        <v>0</v>
      </c>
      <c r="BK38" s="38" t="n">
        <v>0</v>
      </c>
      <c r="BL38" s="261" t="n">
        <v>17</v>
      </c>
      <c r="BM38" s="38" t="n">
        <v>13</v>
      </c>
      <c r="BN38" s="38" t="n">
        <v>10</v>
      </c>
      <c r="BO38" s="38" t="n">
        <v>10</v>
      </c>
      <c r="BP38" s="38" t="n">
        <v>10</v>
      </c>
      <c r="BQ38" s="38" t="n">
        <v>10</v>
      </c>
      <c r="BR38" s="38" t="n">
        <v>10</v>
      </c>
      <c r="BS38" s="38" t="n">
        <v>7</v>
      </c>
      <c r="BT38" s="38" t="n"/>
      <c r="BU38" s="38" t="n"/>
      <c r="BV38" s="38" t="n"/>
      <c r="BW38" s="38" t="n">
        <v>2</v>
      </c>
      <c r="BX38" s="38" t="n">
        <v>1</v>
      </c>
      <c r="BY38" s="38" t="n">
        <v>1</v>
      </c>
      <c r="BZ38" s="38" t="n">
        <v>0</v>
      </c>
      <c r="CA38" s="38" t="n">
        <v>0</v>
      </c>
      <c r="CB38" s="38" t="n">
        <v>0</v>
      </c>
      <c r="CC38" s="9" t="n">
        <v>0</v>
      </c>
      <c r="CD38" s="9" t="n">
        <v>0</v>
      </c>
      <c r="CE38" s="9" t="n">
        <v>0</v>
      </c>
      <c r="CF38" s="154">
        <f>CD38+IF(NOT(ISBLANK(OFFSET(CF38,0,6))),N(OFFSET(CF38,0,6)),N(OFFSET(CF38,0,7)))-CE38</f>
        <v/>
      </c>
      <c r="CH38" s="19" t="n"/>
      <c r="CI38" s="5" t="n"/>
      <c r="CJ38" s="27" t="n"/>
      <c r="CK38" s="18" t="n">
        <v>0</v>
      </c>
      <c r="CL38" s="18" t="n">
        <v>0</v>
      </c>
      <c r="CM38" s="18" t="n">
        <v>0</v>
      </c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18" t="n"/>
      <c r="DP38" s="396" t="n"/>
      <c r="DQ38" s="256" t="n"/>
      <c r="DR38" s="18" t="n"/>
      <c r="DS38" s="18" t="n"/>
      <c r="DT38" s="18" t="n"/>
      <c r="DU38" s="18" t="n"/>
      <c r="DV38" s="18" t="n"/>
      <c r="DW38" s="18" t="n"/>
      <c r="DX38" s="18" t="n"/>
      <c r="DY38" s="18" t="n"/>
      <c r="DZ38" s="18" t="n"/>
      <c r="EA38" s="18" t="n"/>
      <c r="EB38" s="18" t="n"/>
      <c r="EC38" s="18" t="n"/>
      <c r="ED38" s="18" t="n"/>
      <c r="EE38" s="18" t="n"/>
      <c r="EF38" s="18" t="n"/>
      <c r="EG38" s="18" t="n"/>
      <c r="EH38" s="18" t="n"/>
      <c r="EI38" s="18" t="n"/>
      <c r="EJ38" s="18" t="n"/>
      <c r="EK38" s="292" t="inlineStr">
        <is>
          <t>75 DE ER PG</t>
        </is>
      </c>
      <c r="EL38" s="18" t="n"/>
      <c r="EM38" s="18" t="n"/>
      <c r="EN38" s="256" t="n"/>
      <c r="EO38" s="18" t="n"/>
      <c r="EP38" s="18" t="n"/>
      <c r="EQ38" s="18" t="n"/>
      <c r="ER38" s="18" t="n"/>
      <c r="ES38" s="18" t="n"/>
      <c r="ET38" s="18" t="n"/>
      <c r="EU38" s="18" t="n"/>
      <c r="EV38" s="312" t="inlineStr">
        <is>
          <t>20 DE ER PG</t>
        </is>
      </c>
      <c r="EW38" s="292" t="inlineStr">
        <is>
          <t>30 P/ ER PG</t>
        </is>
      </c>
      <c r="EX38" s="18" t="n"/>
      <c r="EY38" s="18" t="n"/>
      <c r="EZ38" s="18" t="n"/>
      <c r="FA38" s="18" t="n"/>
      <c r="FB38" s="18" t="n"/>
      <c r="FC38" s="18" t="n"/>
      <c r="FD38" s="256" t="n"/>
      <c r="FE38" s="260" t="n"/>
      <c r="FF38" s="18" t="n"/>
      <c r="FG38" s="18" t="n"/>
      <c r="FH38" s="18" t="n"/>
      <c r="FI38" s="18" t="n"/>
      <c r="FJ38" s="256" t="inlineStr">
        <is>
          <t>100 D. ERP</t>
        </is>
      </c>
      <c r="FK38" s="18" t="n"/>
      <c r="FL38" s="18" t="n"/>
      <c r="FM38" s="18" t="n"/>
      <c r="FN38" s="18" t="n"/>
      <c r="FO38" s="18" t="n"/>
      <c r="FP38" s="256" t="n"/>
      <c r="FQ38" s="18" t="n"/>
      <c r="FR38" s="18" t="n"/>
      <c r="FS38" s="18" t="n"/>
      <c r="FT38" s="18" t="n"/>
      <c r="FU38" s="18" t="n"/>
      <c r="FV38" s="18" t="n"/>
      <c r="FW38" s="18" t="n"/>
      <c r="FX38" s="239" t="inlineStr">
        <is>
          <t>15 DE VDP</t>
        </is>
      </c>
      <c r="FY38" s="18" t="n"/>
      <c r="FZ38" s="18" t="n"/>
      <c r="GA38" s="18" t="n"/>
      <c r="GB38" s="18" t="n"/>
      <c r="GC38" s="18" t="n"/>
    </row>
    <row r="39" ht="18.75" customFormat="1" customHeight="1" s="3">
      <c r="A39" s="33" t="inlineStr">
        <is>
          <t>KIT CAIXA G VERDE</t>
        </is>
      </c>
      <c r="B39" s="129" t="n">
        <v>50</v>
      </c>
      <c r="C39" s="662" t="n">
        <v>367.65</v>
      </c>
      <c r="D39" s="329" t="n">
        <v>5</v>
      </c>
      <c r="E39" s="6" t="n"/>
      <c r="F39" s="38" t="n">
        <v>0</v>
      </c>
      <c r="G39" s="38">
        <f>0+15</f>
        <v/>
      </c>
      <c r="H39" s="38" t="n">
        <v>15</v>
      </c>
      <c r="I39" s="38" t="n">
        <v>15</v>
      </c>
      <c r="J39" s="38" t="n">
        <v>15</v>
      </c>
      <c r="K39" s="38" t="n">
        <v>15</v>
      </c>
      <c r="L39" s="38" t="n">
        <v>15</v>
      </c>
      <c r="M39" s="38" t="n">
        <v>15</v>
      </c>
      <c r="N39" s="38" t="n">
        <v>15</v>
      </c>
      <c r="O39" s="38" t="n">
        <v>15</v>
      </c>
      <c r="P39" s="38" t="n">
        <v>15</v>
      </c>
      <c r="Q39" s="38" t="n">
        <v>15</v>
      </c>
      <c r="R39" s="38" t="n">
        <v>15</v>
      </c>
      <c r="S39" s="38" t="n">
        <v>15</v>
      </c>
      <c r="T39" s="38" t="n">
        <v>15</v>
      </c>
      <c r="U39" s="38" t="n">
        <v>15</v>
      </c>
      <c r="V39" s="38" t="n">
        <v>15</v>
      </c>
      <c r="W39" s="38" t="n">
        <v>15</v>
      </c>
      <c r="X39" s="38" t="n">
        <v>15</v>
      </c>
      <c r="Y39" s="38" t="n">
        <v>15</v>
      </c>
      <c r="Z39" s="38" t="n">
        <v>15</v>
      </c>
      <c r="AA39" s="38" t="n">
        <v>15</v>
      </c>
      <c r="AB39" s="38" t="n">
        <v>15</v>
      </c>
      <c r="AC39" s="38" t="n">
        <v>15</v>
      </c>
      <c r="AD39" s="38" t="n">
        <v>15</v>
      </c>
      <c r="AE39" s="38" t="n">
        <v>15</v>
      </c>
      <c r="AF39" s="38" t="n">
        <v>15</v>
      </c>
      <c r="AG39" s="38" t="n">
        <v>15</v>
      </c>
      <c r="AH39" s="38" t="n">
        <v>15</v>
      </c>
      <c r="AI39" s="38" t="n">
        <v>15</v>
      </c>
      <c r="AJ39" s="38" t="n">
        <v>14</v>
      </c>
      <c r="AK39" s="38" t="n">
        <v>14</v>
      </c>
      <c r="AL39" s="38" t="n">
        <v>13</v>
      </c>
      <c r="AM39" s="38" t="n">
        <v>12</v>
      </c>
      <c r="AN39" s="38" t="n">
        <v>12</v>
      </c>
      <c r="AO39" s="38" t="n">
        <v>12</v>
      </c>
      <c r="AP39" s="38" t="n">
        <v>9</v>
      </c>
      <c r="AQ39" s="38" t="n">
        <v>9</v>
      </c>
      <c r="AR39" s="38" t="n">
        <v>7</v>
      </c>
      <c r="AS39" s="38" t="n">
        <v>7</v>
      </c>
      <c r="AT39" s="38" t="n">
        <v>4</v>
      </c>
      <c r="AU39" s="38" t="n">
        <v>0</v>
      </c>
      <c r="AV39" s="38" t="n">
        <v>0</v>
      </c>
      <c r="AW39" s="38" t="n">
        <v>0</v>
      </c>
      <c r="AX39" s="38" t="n">
        <v>0</v>
      </c>
      <c r="AY39" s="38" t="n">
        <v>0</v>
      </c>
      <c r="AZ39" s="38" t="n">
        <v>0</v>
      </c>
      <c r="BA39" s="38" t="n">
        <v>0</v>
      </c>
      <c r="BB39" s="38" t="n">
        <v>0</v>
      </c>
      <c r="BC39" s="38" t="n">
        <v>0</v>
      </c>
      <c r="BD39" s="38" t="n">
        <v>0</v>
      </c>
      <c r="BE39" s="38" t="n">
        <v>0</v>
      </c>
      <c r="BF39" s="38" t="n">
        <v>0</v>
      </c>
      <c r="BG39" s="38" t="n">
        <v>0</v>
      </c>
      <c r="BH39" s="38" t="n">
        <v>0</v>
      </c>
      <c r="BI39" s="38" t="n">
        <v>0</v>
      </c>
      <c r="BJ39" s="38" t="n">
        <v>0</v>
      </c>
      <c r="BK39" s="38" t="n">
        <v>0</v>
      </c>
      <c r="BL39" s="38" t="n">
        <v>0</v>
      </c>
      <c r="BM39" s="38" t="n">
        <v>0</v>
      </c>
      <c r="BN39" s="38" t="n">
        <v>0</v>
      </c>
      <c r="BO39" s="38" t="n">
        <v>0</v>
      </c>
      <c r="BP39" s="38" t="n">
        <v>0</v>
      </c>
      <c r="BQ39" s="38" t="n">
        <v>0</v>
      </c>
      <c r="BR39" s="38" t="n">
        <v>0</v>
      </c>
      <c r="BS39" s="38" t="n">
        <v>0</v>
      </c>
      <c r="BT39" s="38" t="n"/>
      <c r="BU39" s="38" t="n"/>
      <c r="BV39" s="38" t="n"/>
      <c r="BW39" s="38" t="n">
        <v>0</v>
      </c>
      <c r="BX39" s="38" t="n">
        <v>0</v>
      </c>
      <c r="BY39" s="38" t="n">
        <v>0</v>
      </c>
      <c r="BZ39" s="38" t="n">
        <v>0</v>
      </c>
      <c r="CA39" s="38" t="n">
        <v>0</v>
      </c>
      <c r="CB39" s="38" t="n">
        <v>0</v>
      </c>
      <c r="CC39" s="9" t="n">
        <v>0</v>
      </c>
      <c r="CD39" s="9" t="n">
        <v>0</v>
      </c>
      <c r="CE39" s="9" t="n">
        <v>0</v>
      </c>
      <c r="CF39" s="154">
        <f>CD39+IF(NOT(ISBLANK(OFFSET(CF39,0,6))),N(OFFSET(CF39,0,6)),N(OFFSET(CF39,0,7)))-CE39</f>
        <v/>
      </c>
      <c r="CG39" s="6" t="n"/>
      <c r="CH39" s="19" t="n"/>
      <c r="CI39" s="5" t="n"/>
      <c r="CJ39" s="27" t="n"/>
      <c r="CK39" s="18" t="n">
        <v>0</v>
      </c>
      <c r="CL39" s="18" t="n">
        <v>0</v>
      </c>
      <c r="CM39" s="18" t="n">
        <v>0</v>
      </c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18" t="n"/>
      <c r="DP39" s="396" t="n"/>
      <c r="DQ39" s="256" t="n"/>
      <c r="DR39" s="18" t="n"/>
      <c r="DY39" s="17" t="n"/>
      <c r="ED39" s="17" t="n"/>
      <c r="EE39" s="17" t="n"/>
      <c r="EI39" s="17" t="n"/>
      <c r="EK39" s="17" t="n"/>
      <c r="EN39" s="17" t="n"/>
      <c r="EO39" s="17" t="n"/>
      <c r="EQ39" s="17" t="n"/>
      <c r="ET39" s="17" t="n"/>
      <c r="EV39" s="17" t="n"/>
      <c r="EX39" s="17" t="n"/>
      <c r="FD39" s="17" t="n"/>
      <c r="FJ39" s="256" t="inlineStr">
        <is>
          <t>50 D. ERP</t>
        </is>
      </c>
    </row>
    <row r="40" ht="18.75" customHeight="1">
      <c r="A40" s="31" t="n"/>
      <c r="B40" s="2" t="n"/>
      <c r="C40" s="661" t="n"/>
      <c r="D40" s="661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  <c r="AA40" s="4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4" t="n"/>
      <c r="AP40" s="4" t="n"/>
      <c r="AQ40" s="4" t="n"/>
      <c r="AR40" s="4" t="n"/>
      <c r="AS40" s="4" t="n"/>
      <c r="AT40" s="4" t="n"/>
      <c r="AU40" s="4" t="n"/>
      <c r="AV40" s="4" t="n"/>
      <c r="AW40" s="4" t="n"/>
      <c r="AX40" s="4" t="n"/>
      <c r="AY40" s="4" t="n"/>
      <c r="AZ40" s="4" t="n"/>
      <c r="BA40" s="4" t="n"/>
      <c r="BB40" s="4" t="n"/>
      <c r="BC40" s="4" t="n"/>
      <c r="BD40" s="4" t="n"/>
      <c r="BE40" s="4" t="n"/>
      <c r="BF40" s="4" t="n"/>
      <c r="BG40" s="4" t="n"/>
      <c r="BH40" s="4" t="n"/>
      <c r="BI40" s="4" t="n"/>
      <c r="BJ40" s="4" t="n"/>
      <c r="BK40" s="4" t="n"/>
      <c r="BL40" s="4" t="n"/>
      <c r="BM40" s="4" t="n"/>
      <c r="BN40" s="4" t="n"/>
      <c r="BO40" s="4" t="n"/>
      <c r="BP40" s="4" t="n"/>
      <c r="BQ40" s="4" t="n"/>
      <c r="BR40" s="4" t="n"/>
      <c r="BS40" s="4" t="n"/>
      <c r="BT40" s="4" t="n"/>
      <c r="BU40" s="4" t="n"/>
      <c r="BV40" s="4" t="n"/>
      <c r="BW40" s="4" t="n"/>
      <c r="BX40" s="4" t="n"/>
      <c r="BY40" s="4" t="n"/>
      <c r="BZ40" s="4" t="n"/>
      <c r="CA40" s="4" t="n"/>
      <c r="CB40" s="4" t="n"/>
      <c r="CC40" s="2" t="n"/>
      <c r="CD40" s="2" t="n"/>
      <c r="CE40" s="2" t="n"/>
      <c r="CH40" s="26" t="n"/>
      <c r="CI40" s="5" t="n"/>
      <c r="CJ40" s="108" t="n"/>
      <c r="CK40" s="17" t="n"/>
      <c r="CL40" s="17" t="n"/>
      <c r="CM40" s="17" t="n"/>
      <c r="DP40" s="397" t="n"/>
      <c r="DQ40" s="271" t="n"/>
      <c r="DS40" s="347" t="n"/>
      <c r="DT40" s="347" t="n"/>
      <c r="DU40" s="347" t="n"/>
      <c r="DV40" s="347" t="n"/>
      <c r="DW40" s="347" t="n"/>
      <c r="DX40" s="347" t="n"/>
      <c r="DZ40" s="347" t="n"/>
      <c r="EA40" s="347" t="n"/>
      <c r="EB40" s="347" t="n"/>
      <c r="EC40" s="347" t="n"/>
      <c r="EF40" s="347" t="n"/>
      <c r="EG40" s="347" t="n"/>
      <c r="EH40" s="347" t="n"/>
      <c r="EJ40" s="347" t="n"/>
      <c r="EL40" s="347" t="n"/>
      <c r="EM40" s="347" t="n"/>
      <c r="EP40" s="347" t="n"/>
      <c r="ER40" s="347" t="n"/>
      <c r="ES40" s="347" t="n"/>
      <c r="ET40" s="17" t="n"/>
      <c r="EU40" s="347" t="n"/>
      <c r="EV40" s="347" t="n"/>
      <c r="EW40" s="347" t="n"/>
      <c r="EX40" s="347" t="n"/>
      <c r="FD40" s="17" t="n"/>
      <c r="FJ40" s="271" t="n"/>
    </row>
    <row r="41" hidden="1" ht="18.75" customHeight="1">
      <c r="A41" s="32" t="inlineStr">
        <is>
          <t>SACOLAS OMNI BOTICÁRIO</t>
        </is>
      </c>
      <c r="B41" s="575" t="inlineStr">
        <is>
          <t>PC</t>
        </is>
      </c>
      <c r="C41" s="575" t="n"/>
      <c r="D41" s="575" t="inlineStr">
        <is>
          <t>Estoque Ideal</t>
        </is>
      </c>
      <c r="F41" s="650" t="n">
        <v>45656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/>
      <c r="BP41" s="650" t="n"/>
      <c r="BQ41" s="650" t="n"/>
      <c r="BR41" s="650" t="n"/>
      <c r="BS41" s="650" t="n"/>
      <c r="BT41" s="650" t="n"/>
      <c r="BU41" s="650" t="n"/>
      <c r="BV41" s="650" t="n"/>
      <c r="BW41" s="650" t="n"/>
      <c r="BX41" s="650" t="n"/>
      <c r="BY41" s="650" t="n"/>
      <c r="BZ41" s="650" t="n"/>
      <c r="CA41" s="650" t="n"/>
      <c r="CB41" s="650" t="n"/>
      <c r="CC41" s="650" t="n"/>
      <c r="CD41" s="650" t="n"/>
      <c r="CE41" s="650" t="n"/>
      <c r="CF41" s="652" t="inlineStr">
        <is>
          <t>USOU</t>
        </is>
      </c>
      <c r="CH41" s="35" t="inlineStr">
        <is>
          <t>Pend.</t>
        </is>
      </c>
      <c r="CJ41" s="12" t="inlineStr">
        <is>
          <t>Novo Pedido</t>
        </is>
      </c>
      <c r="CK41" s="654" t="n"/>
      <c r="CL41" s="654" t="n"/>
      <c r="CM41" s="654" t="n"/>
      <c r="CN41" s="654" t="n"/>
      <c r="CO41" s="654" t="n"/>
      <c r="CP41" s="654" t="n"/>
      <c r="CQ41" s="654" t="n"/>
      <c r="CR41" s="654" t="n"/>
      <c r="CS41" s="654" t="n"/>
      <c r="CT41" s="654" t="n">
        <v>46071</v>
      </c>
      <c r="CU41" s="654" t="n">
        <v>46043</v>
      </c>
      <c r="CV41" s="654" t="n">
        <v>46029</v>
      </c>
      <c r="CW41" s="654" t="n">
        <v>46024</v>
      </c>
      <c r="CX41" s="655" t="n">
        <v>46041</v>
      </c>
      <c r="CY41" s="654" t="n">
        <v>46029</v>
      </c>
      <c r="CZ41" s="654" t="n">
        <v>46024</v>
      </c>
      <c r="DA41" s="654" t="n">
        <v>46007</v>
      </c>
      <c r="DB41" s="654" t="n">
        <v>46001</v>
      </c>
      <c r="DC41" s="654" t="n">
        <v>45994</v>
      </c>
      <c r="DD41" s="654" t="n">
        <v>45986</v>
      </c>
      <c r="DE41" s="654" t="n">
        <v>45986</v>
      </c>
      <c r="DF41" s="654" t="n">
        <v>45980</v>
      </c>
      <c r="DG41" s="654" t="n">
        <v>45980</v>
      </c>
      <c r="DH41" s="654" t="n">
        <v>45973</v>
      </c>
      <c r="DI41" s="654" t="n">
        <v>45973</v>
      </c>
      <c r="DJ41" s="654" t="n">
        <v>45965</v>
      </c>
      <c r="DK41" s="654" t="n">
        <v>45965</v>
      </c>
      <c r="DL41" s="654" t="n">
        <v>45960</v>
      </c>
      <c r="DM41" s="654" t="n">
        <v>45951</v>
      </c>
      <c r="DN41" s="654" t="n">
        <v>45937</v>
      </c>
      <c r="DO41" s="654" t="n">
        <v>45931</v>
      </c>
      <c r="DP41" s="678" t="n">
        <v>45903</v>
      </c>
      <c r="DQ41" s="688" t="n">
        <v>45931</v>
      </c>
      <c r="DR41" s="654" t="n">
        <v>45923</v>
      </c>
      <c r="DS41" s="18" t="n"/>
      <c r="DT41" s="18" t="n"/>
      <c r="DU41" s="18" t="n"/>
      <c r="DV41" s="18" t="n"/>
      <c r="DW41" s="18" t="n"/>
      <c r="DX41" s="18" t="n"/>
      <c r="DY41" s="18" t="n"/>
      <c r="DZ41" s="18" t="n"/>
      <c r="EA41" s="18" t="n"/>
      <c r="EB41" s="18" t="n"/>
      <c r="EC41" s="18" t="n"/>
      <c r="ED41" s="154" t="inlineStr">
        <is>
          <t>50 P/ CD + 20 P/ ER PG</t>
        </is>
      </c>
      <c r="EE41" s="18" t="n"/>
      <c r="EF41" s="18" t="n"/>
      <c r="EG41" s="18" t="n"/>
      <c r="EH41" s="18" t="n"/>
      <c r="EI41" s="18" t="n"/>
      <c r="EJ41" s="18" t="n"/>
      <c r="EK41" s="18" t="n"/>
      <c r="EL41" s="18" t="n"/>
      <c r="EM41" s="18" t="n">
        <v>25</v>
      </c>
      <c r="EN41" s="18" t="n"/>
      <c r="EO41" s="18" t="n"/>
      <c r="EP41" s="18" t="n"/>
      <c r="EQ41" s="18" t="n"/>
      <c r="ER41" s="18" t="n"/>
      <c r="ES41" s="18" t="n"/>
      <c r="ET41" s="18" t="n"/>
      <c r="EU41" s="18" t="n"/>
      <c r="EV41" s="18" t="n"/>
      <c r="EW41" s="256" t="n"/>
      <c r="EX41" s="18" t="n"/>
      <c r="EY41" s="18" t="n"/>
      <c r="EZ41" s="18" t="n"/>
      <c r="FA41" s="18" t="n"/>
      <c r="FB41" s="18" t="n"/>
      <c r="FC41" s="18" t="n"/>
      <c r="FD41" s="18" t="n"/>
      <c r="FE41" s="18" t="n"/>
      <c r="FF41" s="18" t="n">
        <v>50</v>
      </c>
      <c r="FG41" s="18" t="n"/>
      <c r="FH41" s="18" t="n"/>
      <c r="FI41" s="18" t="n"/>
      <c r="FJ41" s="256" t="n"/>
      <c r="FK41" s="18" t="n"/>
      <c r="FL41" s="18" t="n"/>
      <c r="FM41" s="18" t="n"/>
      <c r="FN41" s="18" t="n"/>
      <c r="FO41" s="18" t="n"/>
      <c r="FP41" s="256" t="n"/>
      <c r="FQ41" s="18" t="n"/>
      <c r="FR41" s="18" t="n"/>
      <c r="FS41" s="18" t="n"/>
      <c r="FT41" s="18" t="n"/>
      <c r="FU41" s="18" t="n"/>
      <c r="FV41" s="18" t="n"/>
      <c r="FW41" s="18" t="n"/>
      <c r="FX41" s="18" t="n"/>
      <c r="FY41" s="18" t="n"/>
      <c r="FZ41" s="18" t="n"/>
      <c r="GA41" s="18" t="n"/>
      <c r="GB41" s="18" t="n"/>
      <c r="GC41" s="18" t="n"/>
    </row>
    <row r="42" hidden="1" ht="18.75" customHeight="1">
      <c r="A42" s="33" t="inlineStr">
        <is>
          <t>KIT OVERBAG OMNI P</t>
        </is>
      </c>
      <c r="B42" s="9" t="n">
        <v>25</v>
      </c>
      <c r="C42" s="662" t="n">
        <v>41.75</v>
      </c>
      <c r="D42" s="329" t="n">
        <v>10</v>
      </c>
      <c r="F42" s="9" t="n">
        <v>50</v>
      </c>
      <c r="G42" s="9" t="n">
        <v>50</v>
      </c>
      <c r="H42" s="9" t="n">
        <v>50</v>
      </c>
      <c r="I42" s="9" t="n">
        <v>50</v>
      </c>
      <c r="J42" s="9" t="n">
        <v>50</v>
      </c>
      <c r="K42" s="9" t="n">
        <v>50</v>
      </c>
      <c r="L42" s="9" t="n">
        <v>50</v>
      </c>
      <c r="M42" s="9" t="n">
        <v>50</v>
      </c>
      <c r="N42" s="9" t="n">
        <v>50</v>
      </c>
      <c r="O42" s="9" t="n">
        <v>50</v>
      </c>
      <c r="P42" s="9" t="n">
        <v>50</v>
      </c>
      <c r="Q42" s="9" t="n">
        <v>15</v>
      </c>
      <c r="R42" s="9" t="n">
        <v>15</v>
      </c>
      <c r="S42" s="9" t="n">
        <v>15</v>
      </c>
      <c r="T42" s="9" t="n">
        <v>0</v>
      </c>
      <c r="U42" s="9" t="n">
        <v>0</v>
      </c>
      <c r="V42" s="9">
        <f>0+FC41</f>
        <v/>
      </c>
      <c r="W42" s="9" t="n">
        <v>50</v>
      </c>
      <c r="X42" s="9" t="n">
        <v>50</v>
      </c>
      <c r="Y42" s="190" t="n">
        <v>0</v>
      </c>
      <c r="Z42" s="190" t="n">
        <v>0</v>
      </c>
      <c r="AA42" s="190" t="n">
        <v>0</v>
      </c>
      <c r="AB42" s="190" t="n">
        <v>0</v>
      </c>
      <c r="AC42" s="9" t="n">
        <v>0</v>
      </c>
      <c r="AD42" s="9" t="n">
        <v>0</v>
      </c>
      <c r="AE42" s="9" t="n">
        <v>75</v>
      </c>
      <c r="AF42" s="9" t="n">
        <v>75</v>
      </c>
      <c r="AG42" s="9" t="n">
        <v>75</v>
      </c>
      <c r="AH42" s="190" t="n">
        <v>125</v>
      </c>
      <c r="AI42" s="38" t="n">
        <v>125</v>
      </c>
      <c r="AJ42" s="38" t="n">
        <v>125</v>
      </c>
      <c r="AK42" s="38" t="n">
        <v>125</v>
      </c>
      <c r="AL42" s="38">
        <f>125-50-20</f>
        <v/>
      </c>
      <c r="AM42" s="38" t="n">
        <v>55</v>
      </c>
      <c r="AN42" s="38" t="n">
        <v>55</v>
      </c>
      <c r="AO42" s="38" t="n">
        <v>55</v>
      </c>
      <c r="AP42" s="38" t="n">
        <v>55</v>
      </c>
      <c r="AQ42" s="38" t="n">
        <v>55</v>
      </c>
      <c r="AR42" s="38" t="n">
        <v>55</v>
      </c>
      <c r="AS42" s="38" t="n">
        <v>55</v>
      </c>
      <c r="AT42" s="38" t="n">
        <v>55</v>
      </c>
      <c r="AU42" s="38" t="n">
        <v>55</v>
      </c>
      <c r="AV42" s="261" t="n">
        <v>30</v>
      </c>
      <c r="AW42" s="261" t="n">
        <v>30</v>
      </c>
      <c r="AX42" s="261" t="n">
        <v>30</v>
      </c>
      <c r="AY42" s="261" t="n">
        <v>30</v>
      </c>
      <c r="AZ42" s="38" t="n">
        <v>30</v>
      </c>
      <c r="BA42" s="38" t="n">
        <v>30</v>
      </c>
      <c r="BB42" s="38" t="n">
        <v>30</v>
      </c>
      <c r="BC42" s="38" t="n">
        <v>30</v>
      </c>
      <c r="BD42" s="38" t="n">
        <v>30</v>
      </c>
      <c r="BE42" s="38" t="n">
        <v>30</v>
      </c>
      <c r="BF42" s="38" t="n">
        <v>30</v>
      </c>
      <c r="BG42" s="38" t="n">
        <v>30</v>
      </c>
      <c r="BH42" s="38" t="n">
        <v>30</v>
      </c>
      <c r="BI42" s="38" t="n">
        <v>30</v>
      </c>
      <c r="BJ42" s="38" t="n">
        <v>0</v>
      </c>
      <c r="BK42" s="38" t="n">
        <v>0</v>
      </c>
      <c r="BL42" s="38" t="n">
        <v>0</v>
      </c>
      <c r="BM42" s="38" t="n">
        <v>0</v>
      </c>
      <c r="BN42" s="38" t="n">
        <v>0</v>
      </c>
      <c r="BO42" s="38" t="n"/>
      <c r="BP42" s="38" t="n"/>
      <c r="BQ42" s="38" t="n"/>
      <c r="BR42" s="38" t="n"/>
      <c r="BS42" s="38" t="n"/>
      <c r="BT42" s="38" t="n"/>
      <c r="BU42" s="38" t="n"/>
      <c r="BV42" s="38" t="n"/>
      <c r="BW42" s="38" t="n"/>
      <c r="BX42" s="38" t="n"/>
      <c r="BY42" s="38" t="n"/>
      <c r="BZ42" s="38" t="n"/>
      <c r="CA42" s="38" t="n"/>
      <c r="CB42" s="38" t="n"/>
      <c r="CC42" s="9" t="n"/>
      <c r="CD42" s="9" t="n"/>
      <c r="CE42" s="9" t="n"/>
      <c r="CF42" s="156">
        <f>CD42+IF(NOT(ISBLANK(OFFSET(CF42,0,6))),N(OFFSET(CF42,0,6)),N(OFFSET(CF42,0,7)))-CE42</f>
        <v/>
      </c>
      <c r="CH42" s="127" t="n"/>
      <c r="CJ42" s="27" t="n"/>
      <c r="CK42" s="691" t="n">
        <v>0</v>
      </c>
      <c r="CL42" s="18" t="n">
        <v>0</v>
      </c>
      <c r="CM42" s="18" t="n">
        <v>0</v>
      </c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256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18" t="n"/>
      <c r="ET42" s="18" t="n"/>
      <c r="EU42" s="18" t="n"/>
      <c r="EV42" s="18" t="n"/>
      <c r="EW42" s="256" t="n"/>
      <c r="EX42" s="18" t="n"/>
      <c r="EY42" s="18" t="n"/>
      <c r="EZ42" s="18" t="n"/>
      <c r="FA42" s="18" t="n"/>
      <c r="FB42" s="18" t="n"/>
      <c r="FC42" s="18" t="n"/>
      <c r="FD42" s="18" t="n"/>
      <c r="FE42" s="18" t="n"/>
      <c r="FF42" s="18" t="n"/>
      <c r="FG42" s="18" t="n"/>
      <c r="FH42" s="18" t="n"/>
      <c r="FI42" s="18" t="n"/>
      <c r="FJ42" s="256" t="n"/>
      <c r="FK42" s="18" t="n"/>
      <c r="FL42" s="18" t="n"/>
      <c r="FM42" s="18" t="n"/>
      <c r="FN42" s="18" t="n"/>
      <c r="FO42" s="18" t="n"/>
      <c r="FP42" s="256" t="n"/>
      <c r="FQ42" s="18" t="n"/>
      <c r="FR42" s="18" t="n"/>
      <c r="FS42" s="18" t="n"/>
      <c r="FT42" s="18" t="n"/>
      <c r="FU42" s="18" t="n"/>
      <c r="FV42" s="18" t="n"/>
      <c r="FW42" s="18" t="n"/>
      <c r="FX42" s="18" t="n"/>
      <c r="FY42" s="18" t="n"/>
      <c r="FZ42" s="18" t="n"/>
      <c r="GA42" s="18" t="n"/>
      <c r="GB42" s="18" t="n"/>
      <c r="GC42" s="18" t="n"/>
    </row>
    <row r="43" hidden="1" ht="18.75" customHeight="1">
      <c r="A43" s="33" t="inlineStr">
        <is>
          <t>KIT OVERBAG OMNI M</t>
        </is>
      </c>
      <c r="B43" s="9" t="n">
        <v>25</v>
      </c>
      <c r="C43" s="662" t="n">
        <v>57</v>
      </c>
      <c r="D43" s="329" t="n">
        <v>10</v>
      </c>
      <c r="F43" s="38" t="n">
        <v>50</v>
      </c>
      <c r="G43" s="38" t="n">
        <v>50</v>
      </c>
      <c r="H43" s="38" t="n">
        <v>50</v>
      </c>
      <c r="I43" s="38" t="n">
        <v>50</v>
      </c>
      <c r="J43" s="38" t="n">
        <v>50</v>
      </c>
      <c r="K43" s="38" t="n">
        <v>50</v>
      </c>
      <c r="L43" s="38" t="n">
        <v>50</v>
      </c>
      <c r="M43" s="38" t="n">
        <v>50</v>
      </c>
      <c r="N43" s="38" t="n">
        <v>50</v>
      </c>
      <c r="O43" s="38" t="n">
        <v>50</v>
      </c>
      <c r="P43" s="38" t="n">
        <v>50</v>
      </c>
      <c r="Q43" s="38" t="n">
        <v>50</v>
      </c>
      <c r="R43" s="38" t="n">
        <v>50</v>
      </c>
      <c r="S43" s="38" t="n">
        <v>50</v>
      </c>
      <c r="T43" s="38" t="n">
        <v>50</v>
      </c>
      <c r="U43" s="38" t="n">
        <v>50</v>
      </c>
      <c r="V43" s="38" t="n">
        <v>50</v>
      </c>
      <c r="W43" s="38" t="n">
        <v>50</v>
      </c>
      <c r="X43" s="38" t="n">
        <v>50</v>
      </c>
      <c r="Y43" s="38" t="n">
        <v>50</v>
      </c>
      <c r="Z43" s="38" t="n">
        <v>50</v>
      </c>
      <c r="AA43" s="38" t="n">
        <v>50</v>
      </c>
      <c r="AB43" s="38" t="n">
        <v>50</v>
      </c>
      <c r="AC43" s="38" t="n">
        <v>50</v>
      </c>
      <c r="AD43" s="38" t="n">
        <v>50</v>
      </c>
      <c r="AE43" s="38" t="n">
        <v>50</v>
      </c>
      <c r="AF43" s="38" t="n">
        <v>50</v>
      </c>
      <c r="AG43" s="38" t="n">
        <v>50</v>
      </c>
      <c r="AH43" s="38" t="n">
        <v>50</v>
      </c>
      <c r="AI43" s="38" t="n">
        <v>50</v>
      </c>
      <c r="AJ43" s="38" t="n">
        <v>50</v>
      </c>
      <c r="AK43" s="38" t="n">
        <v>50</v>
      </c>
      <c r="AL43" s="38" t="n">
        <v>50</v>
      </c>
      <c r="AM43" s="38" t="n">
        <v>50</v>
      </c>
      <c r="AN43" s="38" t="n">
        <v>50</v>
      </c>
      <c r="AO43" s="38" t="n">
        <v>50</v>
      </c>
      <c r="AP43" s="38" t="n">
        <v>50</v>
      </c>
      <c r="AQ43" s="38" t="n">
        <v>50</v>
      </c>
      <c r="AR43" s="38" t="n">
        <v>50</v>
      </c>
      <c r="AS43" s="38" t="n">
        <v>50</v>
      </c>
      <c r="AT43" s="38" t="n">
        <v>50</v>
      </c>
      <c r="AU43" s="38" t="n">
        <v>50</v>
      </c>
      <c r="AV43" s="261" t="n">
        <v>29</v>
      </c>
      <c r="AW43" s="261" t="n">
        <v>29</v>
      </c>
      <c r="AX43" s="261" t="n">
        <v>29</v>
      </c>
      <c r="AY43" s="261" t="n">
        <v>29</v>
      </c>
      <c r="AZ43" s="38" t="n">
        <v>29</v>
      </c>
      <c r="BA43" s="38" t="n">
        <v>29</v>
      </c>
      <c r="BB43" s="38" t="n">
        <v>29</v>
      </c>
      <c r="BC43" s="38" t="n">
        <v>29</v>
      </c>
      <c r="BD43" s="38" t="n">
        <v>29</v>
      </c>
      <c r="BE43" s="38" t="n">
        <v>29</v>
      </c>
      <c r="BF43" s="38" t="n">
        <v>29</v>
      </c>
      <c r="BG43" s="38" t="n">
        <v>29</v>
      </c>
      <c r="BH43" s="38" t="n">
        <v>29</v>
      </c>
      <c r="BI43" s="38" t="n">
        <v>29</v>
      </c>
      <c r="BJ43" s="38" t="n">
        <v>0</v>
      </c>
      <c r="BK43" s="38" t="n">
        <v>0</v>
      </c>
      <c r="BL43" s="38" t="n">
        <v>0</v>
      </c>
      <c r="BM43" s="38" t="n">
        <v>0</v>
      </c>
      <c r="BN43" s="38" t="n">
        <v>0</v>
      </c>
      <c r="BO43" s="38" t="n"/>
      <c r="BP43" s="38" t="n"/>
      <c r="BQ43" s="38" t="n"/>
      <c r="BR43" s="38" t="n"/>
      <c r="BS43" s="38" t="n"/>
      <c r="BT43" s="38" t="n"/>
      <c r="BU43" s="38" t="n"/>
      <c r="BV43" s="38" t="n"/>
      <c r="BW43" s="38" t="n"/>
      <c r="BX43" s="38" t="n"/>
      <c r="BY43" s="38" t="n"/>
      <c r="BZ43" s="38" t="n"/>
      <c r="CA43" s="38" t="n"/>
      <c r="CB43" s="38" t="n"/>
      <c r="CC43" s="9" t="n"/>
      <c r="CD43" s="9" t="n"/>
      <c r="CE43" s="9" t="n"/>
      <c r="CF43" s="156">
        <f>CD43+IF(NOT(ISBLANK(OFFSET(CF43,0,6))),N(OFFSET(CF43,0,6)),N(OFFSET(CF43,0,7)))-CE43</f>
        <v/>
      </c>
      <c r="CH43" s="19" t="n"/>
      <c r="CJ43" s="27" t="n"/>
      <c r="CK43" s="691" t="n">
        <v>0</v>
      </c>
      <c r="CL43" s="18" t="n">
        <v>0</v>
      </c>
      <c r="CM43" s="18" t="n">
        <v>0</v>
      </c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256" t="n"/>
      <c r="DR43" s="18" t="n"/>
    </row>
    <row r="44" hidden="1" ht="18.75" customHeight="1">
      <c r="B44" s="53" t="n"/>
      <c r="C44" s="53" t="n"/>
      <c r="D44" s="53" t="n"/>
      <c r="CF44" s="53" t="n"/>
      <c r="CJ44" s="6" t="n"/>
      <c r="DQ44" s="271" t="n"/>
      <c r="DS44" s="654" t="n">
        <v>45909</v>
      </c>
      <c r="DT44" s="654" t="n">
        <v>45915</v>
      </c>
      <c r="DU44" s="654" t="n">
        <v>45909</v>
      </c>
      <c r="DV44" s="654" t="n">
        <v>45903</v>
      </c>
      <c r="DW44" s="654" t="n">
        <v>45895</v>
      </c>
      <c r="DX44" s="654" t="n">
        <v>45895</v>
      </c>
      <c r="DY44" s="679" t="n">
        <v>45896</v>
      </c>
      <c r="DZ44" s="654" t="n">
        <v>45888</v>
      </c>
      <c r="EA44" s="654" t="n">
        <v>45881</v>
      </c>
      <c r="EB44" s="654" t="n">
        <v>45881</v>
      </c>
      <c r="EC44" s="654" t="n">
        <v>45874</v>
      </c>
      <c r="ED44" s="655" t="n">
        <v>45882</v>
      </c>
      <c r="EE44" s="655" t="n">
        <v>45881</v>
      </c>
      <c r="EF44" s="654" t="n">
        <v>45867</v>
      </c>
      <c r="EG44" s="654" t="n">
        <v>45860</v>
      </c>
      <c r="EH44" s="654" t="n">
        <v>45860</v>
      </c>
      <c r="EI44" s="655" t="n">
        <v>45860</v>
      </c>
      <c r="EJ44" s="654" t="n">
        <v>45848</v>
      </c>
      <c r="EK44" s="681" t="n">
        <v>45853</v>
      </c>
      <c r="EL44" s="654" t="n">
        <v>45839</v>
      </c>
      <c r="EM44" s="654" t="n">
        <v>45825</v>
      </c>
      <c r="EN44" s="681" t="n">
        <v>45791</v>
      </c>
      <c r="EO44" s="655" t="n">
        <v>45826</v>
      </c>
      <c r="EP44" s="654" t="n">
        <v>45813</v>
      </c>
      <c r="EQ44" s="655" t="n">
        <v>45819</v>
      </c>
      <c r="ER44" s="654" t="n">
        <v>45805</v>
      </c>
      <c r="ES44" s="654" t="n">
        <v>45783</v>
      </c>
      <c r="ET44" s="655" t="n">
        <v>45807</v>
      </c>
      <c r="EU44" s="654" t="n">
        <v>45790</v>
      </c>
      <c r="EV44" s="690" t="n">
        <v>45800</v>
      </c>
      <c r="EW44" s="650" t="n">
        <v>45799</v>
      </c>
      <c r="EX44" s="655" t="n">
        <v>45798</v>
      </c>
      <c r="EY44" s="654" t="n">
        <v>45783</v>
      </c>
      <c r="EZ44" s="654" t="n">
        <v>45783</v>
      </c>
      <c r="FA44" s="654" t="n">
        <v>45775</v>
      </c>
      <c r="FB44" s="654" t="n">
        <v>45770</v>
      </c>
      <c r="FC44" s="654" t="n">
        <v>45743</v>
      </c>
      <c r="FD44" s="683" t="n">
        <v>45735</v>
      </c>
      <c r="FE44" s="655" t="n">
        <v>45775</v>
      </c>
      <c r="FF44" s="654" t="n">
        <v>45756</v>
      </c>
      <c r="FG44" s="654" t="n">
        <v>45749</v>
      </c>
      <c r="FH44" s="654" t="n">
        <v>45743</v>
      </c>
      <c r="FI44" s="654" t="n">
        <v>45743</v>
      </c>
      <c r="FJ44" s="650" t="n">
        <v>45741</v>
      </c>
      <c r="FK44" s="654" t="n">
        <v>45728</v>
      </c>
      <c r="FL44" s="654" t="n">
        <v>45728</v>
      </c>
      <c r="FM44" s="654" t="n">
        <v>45722</v>
      </c>
      <c r="FN44" s="654" t="n">
        <v>45714</v>
      </c>
      <c r="FO44" s="654" t="n">
        <v>45706</v>
      </c>
      <c r="FP44" s="650" t="n">
        <v>45700</v>
      </c>
      <c r="FQ44" s="654" t="n">
        <v>45699</v>
      </c>
      <c r="FR44" s="654" t="n">
        <v>45706</v>
      </c>
      <c r="FS44" s="654" t="n">
        <v>45693</v>
      </c>
      <c r="FT44" s="654" t="n">
        <v>45685</v>
      </c>
      <c r="FU44" s="654" t="n">
        <v>45679</v>
      </c>
      <c r="FV44" s="654" t="n">
        <v>45660</v>
      </c>
      <c r="FW44" s="654" t="n">
        <v>45674</v>
      </c>
      <c r="FX44" s="655" t="n">
        <v>45672</v>
      </c>
      <c r="FY44" s="654" t="n">
        <v>45652</v>
      </c>
      <c r="FZ44" s="655" t="n">
        <v>45670</v>
      </c>
      <c r="GA44" s="654" t="n">
        <v>45664</v>
      </c>
      <c r="GB44" s="654" t="n">
        <v>45660</v>
      </c>
      <c r="GC44" s="654" t="n">
        <v>45660</v>
      </c>
    </row>
    <row r="45" ht="18.75" customHeight="1">
      <c r="A45" s="586" t="inlineStr">
        <is>
          <t>SACOLAS/SACO/DIVERSOS OUI</t>
        </is>
      </c>
      <c r="B45" s="133" t="n"/>
      <c r="C45" s="133" t="n"/>
      <c r="D45" s="133" t="n"/>
      <c r="F45" s="650" t="n">
        <v>45656</v>
      </c>
      <c r="G45" s="650" t="n">
        <v>45663</v>
      </c>
      <c r="H45" s="650" t="n">
        <v>45670</v>
      </c>
      <c r="I45" s="650" t="n">
        <v>45677</v>
      </c>
      <c r="J45" s="650" t="n">
        <v>45684</v>
      </c>
      <c r="K45" s="650" t="n">
        <v>45691</v>
      </c>
      <c r="L45" s="650" t="n">
        <v>45698</v>
      </c>
      <c r="M45" s="650" t="n">
        <v>45705</v>
      </c>
      <c r="N45" s="650" t="n">
        <v>45712</v>
      </c>
      <c r="O45" s="650" t="n">
        <v>45719</v>
      </c>
      <c r="P45" s="650" t="n">
        <v>45726</v>
      </c>
      <c r="Q45" s="650" t="n">
        <v>45733</v>
      </c>
      <c r="R45" s="650" t="n">
        <v>45740</v>
      </c>
      <c r="S45" s="650" t="n">
        <v>45747</v>
      </c>
      <c r="T45" s="650" t="n">
        <v>45754</v>
      </c>
      <c r="U45" s="650" t="n">
        <v>45761</v>
      </c>
      <c r="V45" s="650" t="n">
        <v>45768</v>
      </c>
      <c r="W45" s="650" t="n">
        <v>45775</v>
      </c>
      <c r="X45" s="650" t="n">
        <v>45782</v>
      </c>
      <c r="Y45" s="650" t="n">
        <v>45789</v>
      </c>
      <c r="Z45" s="650" t="n">
        <v>45796</v>
      </c>
      <c r="AA45" s="650" t="n">
        <v>45803</v>
      </c>
      <c r="AB45" s="650" t="n">
        <v>45810</v>
      </c>
      <c r="AC45" s="650" t="n">
        <v>45817</v>
      </c>
      <c r="AD45" s="650" t="n">
        <v>45824</v>
      </c>
      <c r="AE45" s="650" t="n">
        <v>45831</v>
      </c>
      <c r="AF45" s="650" t="n">
        <v>45838</v>
      </c>
      <c r="AG45" s="650" t="n">
        <v>45845</v>
      </c>
      <c r="AH45" s="650" t="n">
        <v>45852</v>
      </c>
      <c r="AI45" s="650" t="n">
        <v>45859</v>
      </c>
      <c r="AJ45" s="650" t="n">
        <v>45866</v>
      </c>
      <c r="AK45" s="650" t="n">
        <v>45873</v>
      </c>
      <c r="AL45" s="650" t="n">
        <v>45880</v>
      </c>
      <c r="AM45" s="650" t="n">
        <v>45887</v>
      </c>
      <c r="AN45" s="650" t="n">
        <v>45894</v>
      </c>
      <c r="AO45" s="650" t="n">
        <v>45901</v>
      </c>
      <c r="AP45" s="650" t="n">
        <v>45908</v>
      </c>
      <c r="AQ45" s="650" t="n">
        <v>45915</v>
      </c>
      <c r="AR45" s="650" t="n">
        <v>45922</v>
      </c>
      <c r="AS45" s="650" t="n">
        <v>45929</v>
      </c>
      <c r="AT45" s="650" t="n">
        <v>45936</v>
      </c>
      <c r="AU45" s="650" t="n">
        <v>45943</v>
      </c>
      <c r="AV45" s="650" t="n">
        <v>45950</v>
      </c>
      <c r="AW45" s="650" t="n">
        <v>45957</v>
      </c>
      <c r="AX45" s="650" t="n">
        <v>45964</v>
      </c>
      <c r="AY45" s="650" t="n">
        <v>45971</v>
      </c>
      <c r="AZ45" s="650" t="n">
        <v>45978</v>
      </c>
      <c r="BA45" s="650" t="n">
        <v>45985</v>
      </c>
      <c r="BB45" s="650" t="n">
        <v>45992</v>
      </c>
      <c r="BC45" s="650" t="n">
        <v>45999</v>
      </c>
      <c r="BD45" s="650" t="n">
        <v>46006</v>
      </c>
      <c r="BE45" s="650" t="n">
        <v>46013</v>
      </c>
      <c r="BF45" s="650" t="n">
        <v>46020</v>
      </c>
      <c r="BG45" s="650" t="n">
        <v>46027</v>
      </c>
      <c r="BH45" s="650" t="n">
        <v>46034</v>
      </c>
      <c r="BI45" s="650" t="n">
        <v>46041</v>
      </c>
      <c r="BJ45" s="650" t="n">
        <v>46048</v>
      </c>
      <c r="BK45" s="650" t="n">
        <v>46055</v>
      </c>
      <c r="BL45" s="650" t="n">
        <v>46062</v>
      </c>
      <c r="BM45" s="650" t="n">
        <v>46069</v>
      </c>
      <c r="BN45" s="650" t="n">
        <v>46076</v>
      </c>
      <c r="BO45" s="650" t="n">
        <v>46083</v>
      </c>
      <c r="BP45" s="650" t="n">
        <v>46090</v>
      </c>
      <c r="BQ45" s="650" t="n">
        <v>46097</v>
      </c>
      <c r="BR45" s="650" t="n">
        <v>46104</v>
      </c>
      <c r="BS45" s="650" t="n">
        <v>46111</v>
      </c>
      <c r="BT45" s="650" t="n">
        <v>46118</v>
      </c>
      <c r="BU45" s="650" t="n">
        <v>46125</v>
      </c>
      <c r="BV45" s="650" t="n">
        <v>46132</v>
      </c>
      <c r="BW45" s="650" t="n">
        <v>46139</v>
      </c>
      <c r="BX45" s="650" t="n">
        <v>46146</v>
      </c>
      <c r="BY45" s="650" t="n">
        <v>46154</v>
      </c>
      <c r="BZ45" s="650" t="n">
        <v>46160</v>
      </c>
      <c r="CA45" s="650" t="n">
        <v>46160</v>
      </c>
      <c r="CB45" s="650" t="n">
        <v>46160</v>
      </c>
      <c r="CC45" s="651" t="n">
        <v>46161.4800428125</v>
      </c>
      <c r="CD45" s="651" t="n">
        <v>46161.48072087963</v>
      </c>
      <c r="CE45" s="651" t="n">
        <v>46161.48287954408</v>
      </c>
      <c r="CF45" s="652" t="inlineStr">
        <is>
          <t>USOU</t>
        </is>
      </c>
      <c r="CH45" s="35" t="inlineStr">
        <is>
          <t>Pend.</t>
        </is>
      </c>
      <c r="CJ45" s="12" t="inlineStr">
        <is>
          <t>Novo Pedido</t>
        </is>
      </c>
      <c r="CK45" s="708" t="n">
        <v>46161.48287850348</v>
      </c>
      <c r="CL45" s="654" t="n">
        <v>46156</v>
      </c>
      <c r="CM45" s="654" t="n">
        <v>46149</v>
      </c>
      <c r="CN45" s="654" t="n">
        <v>46114</v>
      </c>
      <c r="CO45" s="710" t="n">
        <v>46065</v>
      </c>
      <c r="CP45" s="654" t="n">
        <v>46092</v>
      </c>
      <c r="CQ45" s="654" t="n">
        <v>46092</v>
      </c>
      <c r="CR45" s="654" t="n">
        <v>46084</v>
      </c>
      <c r="CS45" s="711" t="n">
        <v>46045</v>
      </c>
      <c r="CT45" s="654" t="n">
        <v>46071</v>
      </c>
      <c r="CU45" s="654" t="n">
        <v>46043</v>
      </c>
      <c r="CV45" s="654" t="n">
        <v>46029</v>
      </c>
      <c r="CW45" s="654" t="n">
        <v>46024</v>
      </c>
      <c r="CX45" s="655" t="n">
        <v>46041</v>
      </c>
      <c r="CY45" s="654" t="n">
        <v>46029</v>
      </c>
      <c r="CZ45" s="654" t="n">
        <v>46024</v>
      </c>
      <c r="DA45" s="654" t="n">
        <v>46007</v>
      </c>
      <c r="DB45" s="654" t="n">
        <v>46001</v>
      </c>
      <c r="DC45" s="654" t="n">
        <v>45994</v>
      </c>
      <c r="DD45" s="654" t="n">
        <v>45986</v>
      </c>
      <c r="DE45" s="654" t="n">
        <v>45986</v>
      </c>
      <c r="DF45" s="654" t="n">
        <v>45980</v>
      </c>
      <c r="DG45" s="654" t="n">
        <v>45980</v>
      </c>
      <c r="DH45" s="654" t="n">
        <v>45973</v>
      </c>
      <c r="DI45" s="654" t="n">
        <v>45973</v>
      </c>
      <c r="DJ45" s="654" t="n">
        <v>45965</v>
      </c>
      <c r="DK45" s="654" t="n">
        <v>45965</v>
      </c>
      <c r="DL45" s="654" t="n">
        <v>45960</v>
      </c>
      <c r="DM45" s="654" t="n">
        <v>45951</v>
      </c>
      <c r="DN45" s="654" t="n">
        <v>45937</v>
      </c>
      <c r="DO45" s="654" t="n">
        <v>45931</v>
      </c>
      <c r="DP45" s="678" t="n">
        <v>45903</v>
      </c>
      <c r="DQ45" s="688" t="n">
        <v>45931</v>
      </c>
      <c r="DR45" s="654" t="n">
        <v>45923</v>
      </c>
      <c r="DS45" s="18" t="n"/>
      <c r="DT45" s="18" t="n"/>
      <c r="DU45" s="18" t="n"/>
      <c r="DV45" s="18" t="n"/>
      <c r="DW45" s="18" t="n"/>
      <c r="DX45" s="18" t="n"/>
      <c r="DY45" s="18" t="n"/>
      <c r="DZ45" s="18" t="n"/>
      <c r="EA45" s="18" t="n"/>
      <c r="EB45" s="18" t="n"/>
      <c r="EC45" s="18" t="n"/>
      <c r="ED45" s="732" t="n"/>
      <c r="EE45" s="732" t="n"/>
      <c r="EF45" s="18" t="n"/>
      <c r="EG45" s="18" t="n"/>
      <c r="EH45" s="18" t="n"/>
      <c r="EI45" s="732" t="n"/>
      <c r="EJ45" s="18" t="n"/>
      <c r="EK45" s="18" t="n"/>
      <c r="EL45" s="18" t="n"/>
      <c r="EM45" s="18" t="n"/>
      <c r="EN45" s="18" t="n"/>
      <c r="EO45" s="732" t="n"/>
      <c r="EP45" s="18" t="n"/>
      <c r="EQ45" s="732" t="n"/>
      <c r="ER45" s="18" t="n"/>
      <c r="ES45" s="18" t="n"/>
      <c r="ET45" s="732" t="n"/>
      <c r="EU45" s="18" t="n"/>
      <c r="EV45" s="732" t="n"/>
      <c r="EW45" s="256" t="n"/>
      <c r="EX45" s="732" t="n"/>
      <c r="EY45" s="18" t="n"/>
      <c r="EZ45" s="18" t="n"/>
      <c r="FA45" s="18" t="n"/>
      <c r="FB45" s="18" t="n"/>
      <c r="FC45" s="18" t="n"/>
      <c r="FD45" s="732" t="n"/>
      <c r="FE45" s="18" t="n"/>
      <c r="FF45" s="18" t="n"/>
      <c r="FG45" s="18" t="n"/>
      <c r="FH45" s="18" t="n"/>
      <c r="FI45" s="18" t="n"/>
      <c r="FJ45" s="256" t="n"/>
      <c r="FK45" s="18" t="n"/>
      <c r="FL45" s="18" t="n"/>
      <c r="FM45" s="18" t="n"/>
      <c r="FN45" s="18" t="n"/>
      <c r="FO45" s="18" t="n"/>
      <c r="FP45" s="256" t="n"/>
      <c r="FQ45" s="18" t="n"/>
      <c r="FR45" s="18" t="n"/>
      <c r="FS45" s="18" t="n"/>
      <c r="FT45" s="18" t="n"/>
      <c r="FU45" s="18" t="n"/>
      <c r="FV45" s="18" t="n"/>
      <c r="FW45" s="18" t="n"/>
      <c r="FX45" s="18" t="n"/>
      <c r="FY45" s="18" t="n"/>
      <c r="FZ45" s="18" t="n"/>
      <c r="GA45" s="18" t="n"/>
      <c r="GB45" s="18" t="n"/>
      <c r="GC45" s="18" t="n"/>
    </row>
    <row r="46" ht="18.75" customFormat="1" customHeight="1" s="3">
      <c r="A46" s="43" t="inlineStr">
        <is>
          <t>SACOLA P OUI</t>
        </is>
      </c>
      <c r="B46" s="36" t="n">
        <v>150</v>
      </c>
      <c r="C46" s="668" t="n">
        <v>469.25</v>
      </c>
      <c r="D46" s="329" t="n">
        <v>10</v>
      </c>
      <c r="F46" s="38" t="n">
        <v>30</v>
      </c>
      <c r="G46" s="38" t="n">
        <v>30</v>
      </c>
      <c r="H46" s="38" t="n">
        <v>30</v>
      </c>
      <c r="I46" s="38" t="n">
        <v>30</v>
      </c>
      <c r="J46" s="38" t="n">
        <v>30</v>
      </c>
      <c r="K46" s="38" t="n">
        <v>30</v>
      </c>
      <c r="L46" s="38" t="n">
        <v>30</v>
      </c>
      <c r="M46" s="38" t="n">
        <v>30</v>
      </c>
      <c r="N46" s="38" t="n">
        <v>30</v>
      </c>
      <c r="O46" s="38" t="n">
        <v>30</v>
      </c>
      <c r="P46" s="38" t="n">
        <v>30</v>
      </c>
      <c r="Q46" s="38" t="n">
        <v>30</v>
      </c>
      <c r="R46" s="38" t="n">
        <v>30</v>
      </c>
      <c r="S46" s="38" t="n">
        <v>30</v>
      </c>
      <c r="T46" s="38" t="n">
        <v>30</v>
      </c>
      <c r="U46" s="38" t="n">
        <v>30</v>
      </c>
      <c r="V46" s="38" t="n">
        <v>30</v>
      </c>
      <c r="W46" s="38" t="n">
        <v>30</v>
      </c>
      <c r="X46" s="38" t="n">
        <v>30</v>
      </c>
      <c r="Y46" s="38" t="n">
        <v>30</v>
      </c>
      <c r="Z46" s="38" t="n">
        <v>30</v>
      </c>
      <c r="AA46" s="38" t="n">
        <v>30</v>
      </c>
      <c r="AB46" s="261" t="n">
        <v>5</v>
      </c>
      <c r="AC46" s="261" t="n">
        <v>5</v>
      </c>
      <c r="AD46" s="38" t="n">
        <v>5</v>
      </c>
      <c r="AE46" s="38" t="n">
        <v>5</v>
      </c>
      <c r="AF46" s="38" t="n">
        <v>5</v>
      </c>
      <c r="AG46" s="38" t="n">
        <v>5</v>
      </c>
      <c r="AH46" s="261" t="n">
        <v>30</v>
      </c>
      <c r="AI46" s="38" t="n">
        <v>30</v>
      </c>
      <c r="AJ46" s="38" t="n">
        <v>30</v>
      </c>
      <c r="AK46" s="38" t="n">
        <v>30</v>
      </c>
      <c r="AL46" s="38" t="n">
        <v>30</v>
      </c>
      <c r="AM46" s="38" t="n">
        <v>30</v>
      </c>
      <c r="AN46" s="38" t="n">
        <v>30</v>
      </c>
      <c r="AO46" s="38" t="n">
        <v>30</v>
      </c>
      <c r="AP46" s="38" t="n">
        <v>30</v>
      </c>
      <c r="AQ46" s="38" t="n">
        <v>30</v>
      </c>
      <c r="AR46" s="38" t="n">
        <v>30</v>
      </c>
      <c r="AS46" s="38" t="n">
        <v>30</v>
      </c>
      <c r="AT46" s="38" t="n">
        <v>30</v>
      </c>
      <c r="AU46" s="38" t="n">
        <v>30</v>
      </c>
      <c r="AV46" s="38" t="n">
        <v>25</v>
      </c>
      <c r="AW46" s="38" t="n">
        <v>25</v>
      </c>
      <c r="AX46" s="38" t="n">
        <v>25</v>
      </c>
      <c r="AY46" s="38" t="n">
        <v>25</v>
      </c>
      <c r="AZ46" s="38" t="n">
        <v>25</v>
      </c>
      <c r="BA46" s="38" t="n">
        <v>25</v>
      </c>
      <c r="BB46" s="38" t="n">
        <v>25</v>
      </c>
      <c r="BC46" s="38" t="n">
        <v>25</v>
      </c>
      <c r="BD46" s="38" t="n">
        <v>25</v>
      </c>
      <c r="BE46" s="38" t="n">
        <v>25</v>
      </c>
      <c r="BF46" s="38" t="n">
        <v>25</v>
      </c>
      <c r="BG46" s="38" t="n">
        <v>25</v>
      </c>
      <c r="BH46" s="38" t="n">
        <v>25</v>
      </c>
      <c r="BI46" s="38" t="n">
        <v>25</v>
      </c>
      <c r="BJ46" s="38" t="n">
        <v>25</v>
      </c>
      <c r="BK46" s="38" t="n">
        <v>25</v>
      </c>
      <c r="BL46" s="38" t="n">
        <v>25</v>
      </c>
      <c r="BM46" s="38" t="n">
        <v>25</v>
      </c>
      <c r="BN46" s="38" t="n">
        <v>25</v>
      </c>
      <c r="BO46" s="38" t="n">
        <v>24</v>
      </c>
      <c r="BP46" s="38" t="n">
        <v>24</v>
      </c>
      <c r="BQ46" s="38" t="n">
        <v>24</v>
      </c>
      <c r="BR46" s="38" t="n">
        <v>24</v>
      </c>
      <c r="BS46" s="38" t="n">
        <v>24</v>
      </c>
      <c r="BT46" s="38" t="n"/>
      <c r="BU46" s="38" t="n"/>
      <c r="BV46" s="38" t="n"/>
      <c r="BW46" s="38" t="n">
        <v>23</v>
      </c>
      <c r="BX46" s="38" t="n">
        <v>23</v>
      </c>
      <c r="BY46" s="38" t="n">
        <v>23</v>
      </c>
      <c r="BZ46" s="38" t="n">
        <v>23</v>
      </c>
      <c r="CA46" s="38" t="n">
        <v>23</v>
      </c>
      <c r="CB46" s="38" t="n">
        <v>23</v>
      </c>
      <c r="CC46" s="9" t="n">
        <v>23</v>
      </c>
      <c r="CD46" s="9" t="n">
        <v>23</v>
      </c>
      <c r="CE46" s="9" t="n">
        <v>23</v>
      </c>
      <c r="CF46" s="154">
        <f>CD46+IF(NOT(ISBLANK(OFFSET(CF46,0,6))),N(OFFSET(CF46,0,6)),N(OFFSET(CF46,0,7)))-CE46</f>
        <v/>
      </c>
      <c r="CG46" s="6" t="n"/>
      <c r="CH46" s="233" t="inlineStr">
        <is>
          <t>05 P/ ER MG</t>
        </is>
      </c>
      <c r="CI46" s="49" t="n"/>
      <c r="CJ46" s="19" t="n"/>
      <c r="CK46" s="18" t="n">
        <v>0</v>
      </c>
      <c r="CL46" s="18" t="n">
        <v>0</v>
      </c>
      <c r="CM46" s="18" t="n">
        <v>0</v>
      </c>
      <c r="CN46" s="18" t="n"/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18" t="n"/>
      <c r="DN46" s="18" t="n"/>
      <c r="DO46" s="18" t="n"/>
      <c r="DP46" s="18" t="n"/>
      <c r="DQ46" s="256" t="n"/>
      <c r="DR46" s="18" t="n"/>
      <c r="DS46" s="18" t="n"/>
      <c r="DT46" s="18" t="n"/>
      <c r="DU46" s="18" t="n"/>
      <c r="DV46" s="18" t="n"/>
      <c r="DW46" s="18" t="n"/>
      <c r="DX46" s="18" t="n"/>
      <c r="DY46" s="18" t="n"/>
      <c r="DZ46" s="18" t="n"/>
      <c r="EA46" s="18" t="n"/>
      <c r="EB46" s="18" t="n"/>
      <c r="EC46" s="18" t="n"/>
      <c r="ED46" s="18" t="n"/>
      <c r="EE46" s="18" t="n"/>
      <c r="EF46" s="18" t="n"/>
      <c r="EG46" s="18" t="n"/>
      <c r="EH46" s="18" t="n"/>
      <c r="EI46" s="18" t="n"/>
      <c r="EJ46" s="18" t="n"/>
      <c r="EK46" s="18" t="n"/>
      <c r="EL46" s="18" t="n"/>
      <c r="EM46" s="18" t="n"/>
      <c r="EN46" s="18" t="n"/>
      <c r="EO46" s="18" t="n"/>
      <c r="EP46" s="18" t="n"/>
      <c r="EQ46" s="18" t="n"/>
      <c r="ER46" s="18" t="n"/>
      <c r="ES46" s="18" t="n"/>
      <c r="ET46" s="18" t="n"/>
      <c r="EU46" s="18" t="n"/>
      <c r="EV46" s="18" t="n"/>
      <c r="EW46" s="256" t="n"/>
      <c r="EX46" s="18" t="n"/>
      <c r="EY46" s="18" t="n"/>
      <c r="EZ46" s="18" t="n"/>
      <c r="FA46" s="18" t="n"/>
      <c r="FB46" s="18" t="n"/>
      <c r="FC46" s="18" t="n"/>
      <c r="FD46" s="18" t="n"/>
      <c r="FE46" s="18" t="n"/>
      <c r="FF46" s="18" t="n"/>
      <c r="FG46" s="18" t="n"/>
      <c r="FH46" s="18" t="n"/>
      <c r="FI46" s="18" t="n"/>
      <c r="FJ46" s="18" t="n"/>
      <c r="FK46" s="18" t="n"/>
      <c r="FL46" s="18" t="n"/>
      <c r="FM46" s="18" t="n"/>
      <c r="FN46" s="18" t="n"/>
      <c r="FO46" s="18" t="n"/>
      <c r="FP46" s="18" t="n"/>
      <c r="FQ46" s="256" t="n"/>
      <c r="FR46" s="18" t="n"/>
      <c r="FS46" s="18" t="n"/>
      <c r="FT46" s="18" t="n"/>
      <c r="FU46" s="18" t="n"/>
      <c r="FV46" s="18" t="n"/>
      <c r="FW46" s="18" t="n"/>
      <c r="FX46" s="18" t="n"/>
      <c r="FY46" s="18" t="n"/>
      <c r="FZ46" s="18" t="n"/>
      <c r="GA46" s="18" t="n"/>
      <c r="GB46" s="18" t="n"/>
      <c r="GC46" s="18" t="n"/>
    </row>
    <row r="47" ht="18.75" customFormat="1" customHeight="1" s="3">
      <c r="A47" s="43" t="inlineStr">
        <is>
          <t>SACOLA M OUI</t>
        </is>
      </c>
      <c r="B47" s="36" t="n">
        <v>100</v>
      </c>
      <c r="C47" s="668" t="n">
        <v>368.23</v>
      </c>
      <c r="D47" s="329" t="n">
        <v>10</v>
      </c>
      <c r="F47" s="38" t="n">
        <v>20</v>
      </c>
      <c r="G47" s="38" t="n">
        <v>20</v>
      </c>
      <c r="H47" s="38" t="n">
        <v>20</v>
      </c>
      <c r="I47" s="38" t="n">
        <v>20</v>
      </c>
      <c r="J47" s="38" t="n">
        <v>20</v>
      </c>
      <c r="K47" s="38" t="n">
        <v>20</v>
      </c>
      <c r="L47" s="38" t="n">
        <v>20</v>
      </c>
      <c r="M47" s="38" t="n">
        <v>20</v>
      </c>
      <c r="N47" s="38" t="n">
        <v>20</v>
      </c>
      <c r="O47" s="38" t="n">
        <v>20</v>
      </c>
      <c r="P47" s="38" t="n">
        <v>20</v>
      </c>
      <c r="Q47" s="38" t="n">
        <v>20</v>
      </c>
      <c r="R47" s="38" t="n">
        <v>20</v>
      </c>
      <c r="S47" s="38" t="n">
        <v>20</v>
      </c>
      <c r="T47" s="38" t="n">
        <v>20</v>
      </c>
      <c r="U47" s="38" t="n">
        <v>20</v>
      </c>
      <c r="V47" s="38" t="n">
        <v>20</v>
      </c>
      <c r="W47" s="38" t="n">
        <v>20</v>
      </c>
      <c r="X47" s="38" t="n">
        <v>20</v>
      </c>
      <c r="Y47" s="38" t="n">
        <v>20</v>
      </c>
      <c r="Z47" s="38" t="n">
        <v>20</v>
      </c>
      <c r="AA47" s="38" t="n">
        <v>20</v>
      </c>
      <c r="AB47" s="38" t="n">
        <v>20</v>
      </c>
      <c r="AC47" s="38" t="n">
        <v>20</v>
      </c>
      <c r="AD47" s="38" t="n">
        <v>20</v>
      </c>
      <c r="AE47" s="38" t="n">
        <v>20</v>
      </c>
      <c r="AF47" s="38" t="n">
        <v>20</v>
      </c>
      <c r="AG47" s="38" t="n">
        <v>20</v>
      </c>
      <c r="AH47" s="38" t="n">
        <v>20</v>
      </c>
      <c r="AI47" s="38" t="n">
        <v>20</v>
      </c>
      <c r="AJ47" s="38" t="n">
        <v>20</v>
      </c>
      <c r="AK47" s="38" t="n">
        <v>20</v>
      </c>
      <c r="AL47" s="38" t="n">
        <v>20</v>
      </c>
      <c r="AM47" s="38" t="n">
        <v>20</v>
      </c>
      <c r="AN47" s="38" t="n">
        <v>20</v>
      </c>
      <c r="AO47" s="38" t="n">
        <v>20</v>
      </c>
      <c r="AP47" s="38" t="n">
        <v>20</v>
      </c>
      <c r="AQ47" s="38" t="n">
        <v>20</v>
      </c>
      <c r="AR47" s="38" t="n">
        <v>20</v>
      </c>
      <c r="AS47" s="38" t="n">
        <v>20</v>
      </c>
      <c r="AT47" s="38" t="n">
        <v>20</v>
      </c>
      <c r="AU47" s="38" t="n">
        <v>19</v>
      </c>
      <c r="AV47" s="38" t="n">
        <v>14</v>
      </c>
      <c r="AW47" s="38" t="n">
        <v>14</v>
      </c>
      <c r="AX47" s="38" t="n">
        <v>14</v>
      </c>
      <c r="AY47" s="38" t="n">
        <v>14</v>
      </c>
      <c r="AZ47" s="38" t="n">
        <v>14</v>
      </c>
      <c r="BA47" s="38" t="n">
        <v>14</v>
      </c>
      <c r="BB47" s="38" t="n">
        <v>14</v>
      </c>
      <c r="BC47" s="38" t="n">
        <v>14</v>
      </c>
      <c r="BD47" s="38" t="n">
        <v>14</v>
      </c>
      <c r="BE47" s="38" t="n">
        <v>14</v>
      </c>
      <c r="BF47" s="38" t="n">
        <v>14</v>
      </c>
      <c r="BG47" s="38" t="n">
        <v>14</v>
      </c>
      <c r="BH47" s="38" t="n">
        <v>14</v>
      </c>
      <c r="BI47" s="38" t="n">
        <v>14</v>
      </c>
      <c r="BJ47" s="38" t="n">
        <v>14</v>
      </c>
      <c r="BK47" s="38" t="n">
        <v>14</v>
      </c>
      <c r="BL47" s="38" t="n">
        <v>14</v>
      </c>
      <c r="BM47" s="38" t="n">
        <v>14</v>
      </c>
      <c r="BN47" s="38" t="n">
        <v>13</v>
      </c>
      <c r="BO47" s="38" t="n">
        <v>13</v>
      </c>
      <c r="BP47" s="38" t="n">
        <v>13</v>
      </c>
      <c r="BQ47" s="38" t="n">
        <v>13</v>
      </c>
      <c r="BR47" s="38" t="n">
        <v>13</v>
      </c>
      <c r="BS47" s="38" t="n">
        <v>13</v>
      </c>
      <c r="BT47" s="38" t="n"/>
      <c r="BU47" s="38" t="n"/>
      <c r="BV47" s="38" t="n"/>
      <c r="BW47" s="38" t="n">
        <v>12</v>
      </c>
      <c r="BX47" s="38" t="n">
        <v>12</v>
      </c>
      <c r="BY47" s="38" t="n">
        <v>11</v>
      </c>
      <c r="BZ47" s="38" t="n">
        <v>11</v>
      </c>
      <c r="CA47" s="38" t="n">
        <v>11</v>
      </c>
      <c r="CB47" s="38" t="n">
        <v>11</v>
      </c>
      <c r="CC47" s="9" t="n">
        <v>11</v>
      </c>
      <c r="CD47" s="9" t="n">
        <v>11</v>
      </c>
      <c r="CE47" s="9" t="n">
        <v>11</v>
      </c>
      <c r="CF47" s="154">
        <f>CD47+IF(NOT(ISBLANK(OFFSET(CF47,0,6))),N(OFFSET(CF47,0,6)),N(OFFSET(CF47,0,7)))-CE47</f>
        <v/>
      </c>
      <c r="CG47" s="6" t="n"/>
      <c r="CH47" s="233" t="inlineStr">
        <is>
          <t>05 P/ ER MG</t>
        </is>
      </c>
      <c r="CI47" s="49" t="n"/>
      <c r="CJ47" s="19" t="n"/>
      <c r="CK47" s="18" t="n">
        <v>0</v>
      </c>
      <c r="CL47" s="18" t="n">
        <v>0</v>
      </c>
      <c r="CM47" s="18" t="n">
        <v>0</v>
      </c>
      <c r="CN47" s="18" t="n"/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18" t="n"/>
      <c r="DN47" s="18" t="n"/>
      <c r="DO47" s="18" t="n"/>
      <c r="DP47" s="18" t="n"/>
      <c r="DQ47" s="256" t="n"/>
      <c r="DR47" s="18" t="n"/>
      <c r="DS47" s="18" t="n"/>
      <c r="DT47" s="18" t="n"/>
      <c r="DU47" s="18" t="n"/>
      <c r="DV47" s="18" t="n"/>
      <c r="DW47" s="18" t="n"/>
      <c r="DX47" s="18" t="n"/>
      <c r="DY47" s="18" t="n"/>
      <c r="DZ47" s="18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18" t="n"/>
      <c r="ET47" s="18" t="n"/>
      <c r="EU47" s="18" t="n"/>
      <c r="EV47" s="18" t="n"/>
      <c r="EW47" s="256" t="n"/>
      <c r="EX47" s="18" t="n"/>
      <c r="EY47" s="18" t="n"/>
      <c r="EZ47" s="18" t="n"/>
      <c r="FA47" s="18" t="n"/>
      <c r="FB47" s="18" t="n"/>
      <c r="FC47" s="18" t="n"/>
      <c r="FD47" s="18" t="n"/>
      <c r="FE47" s="18" t="n"/>
      <c r="FF47" s="18" t="n"/>
      <c r="FG47" s="18" t="n"/>
      <c r="FH47" s="18" t="n"/>
      <c r="FI47" s="18" t="n"/>
      <c r="FJ47" s="18" t="n"/>
      <c r="FK47" s="18" t="n"/>
      <c r="FL47" s="18" t="n"/>
      <c r="FM47" s="18" t="n"/>
      <c r="FN47" s="18" t="n"/>
      <c r="FO47" s="18" t="n"/>
      <c r="FP47" s="18" t="n"/>
      <c r="FQ47" s="256" t="n"/>
      <c r="FR47" s="18" t="n"/>
      <c r="FS47" s="18" t="n"/>
      <c r="FT47" s="18" t="n"/>
      <c r="FU47" s="18" t="n"/>
      <c r="FV47" s="18" t="n"/>
      <c r="FW47" s="18" t="n"/>
      <c r="FX47" s="239" t="inlineStr">
        <is>
          <t>10 DE VDP</t>
        </is>
      </c>
      <c r="FY47" s="18" t="n"/>
      <c r="FZ47" s="18" t="n"/>
      <c r="GA47" s="18" t="n"/>
      <c r="GB47" s="18" t="n"/>
      <c r="GC47" s="18" t="n"/>
    </row>
    <row r="48" ht="18.75" customHeight="1">
      <c r="A48" s="43" t="inlineStr">
        <is>
          <t>SACOLA G OUI</t>
        </is>
      </c>
      <c r="B48" s="36" t="n">
        <v>50</v>
      </c>
      <c r="C48" s="668" t="n">
        <v>257.98</v>
      </c>
      <c r="D48" s="329" t="n">
        <v>10</v>
      </c>
      <c r="F48" s="38" t="n">
        <v>3</v>
      </c>
      <c r="G48" s="38">
        <f>3+10</f>
        <v/>
      </c>
      <c r="H48" s="38" t="n">
        <v>13</v>
      </c>
      <c r="I48" s="38" t="n">
        <v>13</v>
      </c>
      <c r="J48" s="38" t="n">
        <v>13</v>
      </c>
      <c r="K48" s="38" t="n">
        <v>11</v>
      </c>
      <c r="L48" s="38" t="n">
        <v>11</v>
      </c>
      <c r="M48" s="38" t="n">
        <v>11</v>
      </c>
      <c r="N48" s="38" t="n">
        <v>11</v>
      </c>
      <c r="O48" s="38" t="n">
        <v>11</v>
      </c>
      <c r="P48" s="38" t="n">
        <v>11</v>
      </c>
      <c r="Q48" s="38" t="n">
        <v>11</v>
      </c>
      <c r="R48" s="38" t="n">
        <v>11</v>
      </c>
      <c r="S48" s="38" t="n">
        <v>11</v>
      </c>
      <c r="T48" s="38" t="n">
        <v>11</v>
      </c>
      <c r="U48" s="38" t="n">
        <v>11</v>
      </c>
      <c r="V48" s="38" t="n">
        <v>9</v>
      </c>
      <c r="W48" s="38" t="n">
        <v>9</v>
      </c>
      <c r="X48" s="38" t="n">
        <v>9</v>
      </c>
      <c r="Y48" s="38" t="n">
        <v>9</v>
      </c>
      <c r="Z48" s="38" t="n">
        <v>9</v>
      </c>
      <c r="AA48" s="38" t="n">
        <v>9</v>
      </c>
      <c r="AB48" s="38" t="n">
        <v>9</v>
      </c>
      <c r="AC48" s="38" t="n">
        <v>9</v>
      </c>
      <c r="AD48" s="38" t="n">
        <v>9</v>
      </c>
      <c r="AE48" s="38" t="n">
        <v>9</v>
      </c>
      <c r="AF48" s="38" t="n">
        <v>9</v>
      </c>
      <c r="AG48" s="38" t="n">
        <v>9</v>
      </c>
      <c r="AH48" s="38" t="n">
        <v>8</v>
      </c>
      <c r="AI48" s="38" t="n">
        <v>8</v>
      </c>
      <c r="AJ48" s="38" t="n">
        <v>8</v>
      </c>
      <c r="AK48" s="38" t="n">
        <v>8</v>
      </c>
      <c r="AL48" s="38" t="n">
        <v>8</v>
      </c>
      <c r="AM48" s="38" t="n">
        <v>1</v>
      </c>
      <c r="AN48" s="38" t="n">
        <v>1</v>
      </c>
      <c r="AO48" s="38" t="n">
        <v>1</v>
      </c>
      <c r="AP48" s="38" t="n">
        <v>1</v>
      </c>
      <c r="AQ48" s="38" t="n">
        <v>8</v>
      </c>
      <c r="AR48" s="38" t="n">
        <v>8</v>
      </c>
      <c r="AS48" s="38" t="n">
        <v>8</v>
      </c>
      <c r="AT48" s="38" t="n">
        <v>8</v>
      </c>
      <c r="AU48" s="38" t="n">
        <v>8</v>
      </c>
      <c r="AV48" s="38" t="n">
        <v>8</v>
      </c>
      <c r="AW48" s="38" t="n">
        <v>8</v>
      </c>
      <c r="AX48" s="38" t="n">
        <v>8</v>
      </c>
      <c r="AY48" s="38" t="n">
        <v>8</v>
      </c>
      <c r="AZ48" s="38" t="n">
        <v>8</v>
      </c>
      <c r="BA48" s="38" t="n">
        <v>8</v>
      </c>
      <c r="BB48" s="261" t="n">
        <v>18</v>
      </c>
      <c r="BC48" s="38" t="n">
        <v>18</v>
      </c>
      <c r="BD48" s="38" t="n">
        <v>18</v>
      </c>
      <c r="BE48" s="38" t="n">
        <v>18</v>
      </c>
      <c r="BF48" s="38" t="n">
        <v>18</v>
      </c>
      <c r="BG48" s="38" t="n">
        <v>18</v>
      </c>
      <c r="BH48" s="38" t="n">
        <v>18</v>
      </c>
      <c r="BI48" s="38" t="n">
        <v>18</v>
      </c>
      <c r="BJ48" s="38" t="n">
        <v>18</v>
      </c>
      <c r="BK48" s="38" t="n">
        <v>18</v>
      </c>
      <c r="BL48" s="38" t="n">
        <v>18</v>
      </c>
      <c r="BM48" s="38" t="n">
        <v>18</v>
      </c>
      <c r="BN48" s="38" t="n">
        <v>18</v>
      </c>
      <c r="BO48" s="38" t="n">
        <v>18</v>
      </c>
      <c r="BP48" s="38" t="n">
        <v>18</v>
      </c>
      <c r="BQ48" s="38" t="n">
        <v>18</v>
      </c>
      <c r="BR48" s="38" t="n">
        <v>18</v>
      </c>
      <c r="BS48" s="38" t="n">
        <v>18</v>
      </c>
      <c r="BT48" s="38" t="n"/>
      <c r="BU48" s="38" t="n"/>
      <c r="BV48" s="38" t="n"/>
      <c r="BW48" s="38" t="n">
        <v>18</v>
      </c>
      <c r="BX48" s="38" t="n">
        <v>18</v>
      </c>
      <c r="BY48" s="38" t="n">
        <v>18</v>
      </c>
      <c r="BZ48" s="38" t="n">
        <v>18</v>
      </c>
      <c r="CA48" s="38" t="n">
        <v>18</v>
      </c>
      <c r="CB48" s="38" t="n">
        <v>18</v>
      </c>
      <c r="CC48" s="9" t="n">
        <v>18</v>
      </c>
      <c r="CD48" s="9" t="n">
        <v>18</v>
      </c>
      <c r="CE48" s="9" t="n">
        <v>18</v>
      </c>
      <c r="CF48" s="154">
        <f>CD48+IF(NOT(ISBLANK(OFFSET(CF48,0,6))),N(OFFSET(CF48,0,6)),N(OFFSET(CF48,0,7)))-CE48</f>
        <v/>
      </c>
      <c r="CG48" s="53" t="n"/>
      <c r="CH48" s="233" t="inlineStr">
        <is>
          <t>05 P/ ER MG</t>
        </is>
      </c>
      <c r="CJ48" s="19" t="n"/>
      <c r="CK48" s="691" t="n">
        <v>0</v>
      </c>
      <c r="CL48" s="18" t="n">
        <v>0</v>
      </c>
      <c r="CM48" s="18" t="n">
        <v>0</v>
      </c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256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18" t="n"/>
      <c r="ET48" s="18" t="n"/>
      <c r="EU48" s="18" t="n"/>
      <c r="EV48" s="18" t="n"/>
      <c r="EW48" s="256" t="n"/>
      <c r="EX48" s="18" t="n"/>
      <c r="EY48" s="18" t="n"/>
      <c r="EZ48" s="18" t="n"/>
      <c r="FA48" s="18" t="n"/>
      <c r="FB48" s="18" t="n"/>
      <c r="FC48" s="18" t="n"/>
      <c r="FD48" s="18" t="n"/>
      <c r="FE48" s="18" t="n"/>
      <c r="FF48" s="18" t="n"/>
      <c r="FG48" s="18" t="n"/>
      <c r="FH48" s="18" t="n"/>
      <c r="FI48" s="18" t="n"/>
      <c r="FJ48" s="18" t="n"/>
      <c r="FK48" s="18" t="n"/>
      <c r="FL48" s="18" t="n"/>
      <c r="FM48" s="18" t="n"/>
      <c r="FN48" s="18" t="n"/>
      <c r="FO48" s="18" t="n"/>
      <c r="FP48" s="18" t="n"/>
      <c r="FQ48" s="256" t="n"/>
      <c r="FR48" s="18" t="n"/>
      <c r="FS48" s="18" t="n"/>
      <c r="FT48" s="18" t="n"/>
      <c r="FU48" s="18" t="n"/>
      <c r="FV48" s="18" t="n"/>
      <c r="FW48" s="18" t="n"/>
      <c r="FX48" s="18" t="n"/>
      <c r="FY48" s="18" t="n"/>
      <c r="FZ48" s="18" t="n"/>
      <c r="GA48" s="18" t="n"/>
      <c r="GB48" s="18" t="n"/>
      <c r="GC48" s="18" t="n"/>
    </row>
    <row r="49" ht="18.75" customHeight="1">
      <c r="A49" s="43" t="inlineStr">
        <is>
          <t>PAPEL DE SEDA OUI</t>
        </is>
      </c>
      <c r="B49" s="36" t="n">
        <v>500</v>
      </c>
      <c r="C49" s="668" t="n">
        <v>143.38</v>
      </c>
      <c r="D49" s="329" t="n">
        <v>1</v>
      </c>
      <c r="F49" s="38" t="n">
        <v>2</v>
      </c>
      <c r="G49" s="38" t="n">
        <v>2</v>
      </c>
      <c r="H49" s="38" t="n">
        <v>2</v>
      </c>
      <c r="I49" s="38" t="n">
        <v>2</v>
      </c>
      <c r="J49" s="38" t="n">
        <v>2</v>
      </c>
      <c r="K49" s="38" t="n">
        <v>2</v>
      </c>
      <c r="L49" s="38" t="n">
        <v>2</v>
      </c>
      <c r="M49" s="38" t="n">
        <v>2</v>
      </c>
      <c r="N49" s="38" t="n">
        <v>2</v>
      </c>
      <c r="O49" s="38" t="n">
        <v>2</v>
      </c>
      <c r="P49" s="38" t="n">
        <v>2</v>
      </c>
      <c r="Q49" s="38" t="n">
        <v>2</v>
      </c>
      <c r="R49" s="38" t="n">
        <v>2</v>
      </c>
      <c r="S49" s="38" t="n">
        <v>2</v>
      </c>
      <c r="T49" s="38" t="n">
        <v>2</v>
      </c>
      <c r="U49" s="38" t="n">
        <v>2</v>
      </c>
      <c r="V49" s="38" t="n">
        <v>2</v>
      </c>
      <c r="W49" s="38" t="n">
        <v>2</v>
      </c>
      <c r="X49" s="38" t="n">
        <v>2</v>
      </c>
      <c r="Y49" s="38" t="n">
        <v>1</v>
      </c>
      <c r="Z49" s="38" t="n">
        <v>1</v>
      </c>
      <c r="AA49" s="38" t="n">
        <v>1</v>
      </c>
      <c r="AB49" s="38" t="n">
        <v>1</v>
      </c>
      <c r="AC49" s="38" t="n">
        <v>1</v>
      </c>
      <c r="AD49" s="38" t="n">
        <v>1</v>
      </c>
      <c r="AE49" s="38" t="n">
        <v>1</v>
      </c>
      <c r="AF49" s="38" t="n">
        <v>1</v>
      </c>
      <c r="AG49" s="38" t="n">
        <v>1</v>
      </c>
      <c r="AH49" s="38" t="n">
        <v>1</v>
      </c>
      <c r="AI49" s="38" t="n">
        <v>1</v>
      </c>
      <c r="AJ49" s="38" t="n">
        <v>1</v>
      </c>
      <c r="AK49" s="38" t="n">
        <v>1</v>
      </c>
      <c r="AL49" s="38" t="n">
        <v>1</v>
      </c>
      <c r="AM49" s="38" t="n">
        <v>1</v>
      </c>
      <c r="AN49" s="38" t="n">
        <v>1</v>
      </c>
      <c r="AO49" s="38" t="n">
        <v>1</v>
      </c>
      <c r="AP49" s="38" t="n">
        <v>1</v>
      </c>
      <c r="AQ49" s="38" t="n">
        <v>1</v>
      </c>
      <c r="AR49" s="38" t="n">
        <v>1</v>
      </c>
      <c r="AS49" s="38" t="n">
        <v>1</v>
      </c>
      <c r="AT49" s="38" t="n">
        <v>1</v>
      </c>
      <c r="AU49" s="38" t="n">
        <v>1</v>
      </c>
      <c r="AV49" s="38" t="n">
        <v>1</v>
      </c>
      <c r="AW49" s="38" t="n">
        <v>1</v>
      </c>
      <c r="AX49" s="38" t="n">
        <v>1</v>
      </c>
      <c r="AY49" s="38" t="n">
        <v>1</v>
      </c>
      <c r="AZ49" s="38" t="n">
        <v>1</v>
      </c>
      <c r="BA49" s="38" t="n">
        <v>1</v>
      </c>
      <c r="BB49" s="38" t="n">
        <v>1</v>
      </c>
      <c r="BC49" s="38" t="n">
        <v>1</v>
      </c>
      <c r="BD49" s="38" t="n">
        <v>1</v>
      </c>
      <c r="BE49" s="38" t="n">
        <v>1</v>
      </c>
      <c r="BF49" s="38" t="n">
        <v>1</v>
      </c>
      <c r="BG49" s="38" t="n">
        <v>1</v>
      </c>
      <c r="BH49" s="38" t="n">
        <v>1</v>
      </c>
      <c r="BI49" s="38" t="n">
        <v>1</v>
      </c>
      <c r="BJ49" s="38" t="n">
        <v>0</v>
      </c>
      <c r="BK49" s="38" t="n">
        <v>0</v>
      </c>
      <c r="BL49" s="38" t="n">
        <v>0</v>
      </c>
      <c r="BM49" s="38" t="n">
        <v>0</v>
      </c>
      <c r="BN49" s="38" t="n">
        <v>0</v>
      </c>
      <c r="BO49" s="38" t="n">
        <v>0</v>
      </c>
      <c r="BP49" s="38" t="n">
        <v>0</v>
      </c>
      <c r="BQ49" s="38" t="n">
        <v>0</v>
      </c>
      <c r="BR49" s="38" t="n">
        <v>0</v>
      </c>
      <c r="BS49" s="38" t="n">
        <v>0</v>
      </c>
      <c r="BT49" s="38" t="n">
        <v>0</v>
      </c>
      <c r="BU49" s="38" t="n">
        <v>0</v>
      </c>
      <c r="BV49" s="38" t="n">
        <v>0</v>
      </c>
      <c r="BW49" s="38" t="n">
        <v>0</v>
      </c>
      <c r="BX49" s="38" t="n">
        <v>0</v>
      </c>
      <c r="BY49" s="38" t="n">
        <v>0</v>
      </c>
      <c r="BZ49" s="38" t="n"/>
      <c r="CA49" s="38" t="n"/>
      <c r="CB49" s="38" t="n"/>
      <c r="CC49" s="9" t="n"/>
      <c r="CD49" s="9" t="n"/>
      <c r="CE49" s="9" t="n"/>
      <c r="CF49" s="154">
        <f>CD49+IF(NOT(ISBLANK(OFFSET(CF49,0,6))),N(OFFSET(CF49,0,6)),N(OFFSET(CF49,0,7)))-CE49</f>
        <v/>
      </c>
      <c r="CH49" s="19" t="n"/>
      <c r="CJ49" s="27" t="n"/>
      <c r="CK49" s="691" t="n">
        <v>0</v>
      </c>
      <c r="CL49" s="18" t="n">
        <v>0</v>
      </c>
      <c r="CM49" s="18" t="n">
        <v>0</v>
      </c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256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18" t="n"/>
      <c r="ET49" s="18" t="n"/>
      <c r="EU49" s="18" t="n"/>
      <c r="EV49" s="18" t="n"/>
      <c r="EW49" s="256" t="n"/>
      <c r="EX49" s="18" t="n"/>
      <c r="EY49" s="18" t="n"/>
      <c r="EZ49" s="18" t="n"/>
      <c r="FA49" s="18" t="n"/>
      <c r="FB49" s="18" t="n"/>
      <c r="FC49" s="18" t="n"/>
      <c r="FD49" s="18" t="n"/>
      <c r="FE49" s="18" t="n"/>
      <c r="FF49" s="18" t="n"/>
      <c r="FG49" s="18" t="n"/>
      <c r="FH49" s="18" t="n"/>
      <c r="FI49" s="18" t="n"/>
      <c r="FJ49" s="256" t="n"/>
      <c r="FK49" s="18" t="n"/>
      <c r="FL49" s="18" t="n"/>
      <c r="FM49" s="18" t="n"/>
      <c r="FN49" s="18" t="n"/>
      <c r="FO49" s="18" t="n"/>
      <c r="FP49" s="256" t="n"/>
      <c r="FQ49" s="18" t="n"/>
      <c r="FR49" s="18" t="n"/>
      <c r="FS49" s="18" t="n"/>
      <c r="FT49" s="18" t="n"/>
      <c r="FU49" s="18" t="n"/>
      <c r="FV49" s="18" t="n"/>
      <c r="FW49" s="18" t="n"/>
      <c r="FX49" s="18" t="n"/>
      <c r="FY49" s="18" t="n"/>
      <c r="FZ49" s="18" t="n"/>
      <c r="GA49" s="18" t="n"/>
      <c r="GB49" s="18" t="n">
        <v>2</v>
      </c>
      <c r="GC49" s="18" t="n"/>
    </row>
    <row r="50" ht="18.75" customHeight="1">
      <c r="A50" s="33" t="inlineStr">
        <is>
          <t>ETIQUETA OUI</t>
        </is>
      </c>
      <c r="B50" s="9" t="n">
        <v>1000</v>
      </c>
      <c r="C50" s="662" t="n">
        <v>187.49</v>
      </c>
      <c r="D50" s="329" t="n">
        <v>1</v>
      </c>
      <c r="E50" s="2" t="n"/>
      <c r="F50" s="38" t="n">
        <v>0</v>
      </c>
      <c r="G50" s="38" t="n">
        <v>0</v>
      </c>
      <c r="H50" s="38" t="n">
        <v>2</v>
      </c>
      <c r="I50" s="38" t="n">
        <v>2</v>
      </c>
      <c r="J50" s="38" t="n">
        <v>2</v>
      </c>
      <c r="K50" s="38" t="n">
        <v>2</v>
      </c>
      <c r="L50" s="38" t="n">
        <v>2</v>
      </c>
      <c r="M50" s="38" t="n">
        <v>2</v>
      </c>
      <c r="N50" s="38" t="n">
        <v>2</v>
      </c>
      <c r="O50" s="38" t="n">
        <v>2</v>
      </c>
      <c r="P50" s="38" t="n">
        <v>2</v>
      </c>
      <c r="Q50" s="38" t="n">
        <v>2</v>
      </c>
      <c r="R50" s="38" t="n">
        <v>2</v>
      </c>
      <c r="S50" s="38" t="n">
        <v>2</v>
      </c>
      <c r="T50" s="38" t="n">
        <v>2</v>
      </c>
      <c r="U50" s="38" t="n">
        <v>2</v>
      </c>
      <c r="V50" s="38" t="n">
        <v>2</v>
      </c>
      <c r="W50" s="38" t="n">
        <v>2</v>
      </c>
      <c r="X50" s="38" t="n">
        <v>2</v>
      </c>
      <c r="Y50" s="38" t="n">
        <v>2</v>
      </c>
      <c r="Z50" s="38" t="n">
        <v>2</v>
      </c>
      <c r="AA50" s="38" t="n">
        <v>2</v>
      </c>
      <c r="AB50" s="38" t="n">
        <v>2</v>
      </c>
      <c r="AC50" s="38" t="n">
        <v>2</v>
      </c>
      <c r="AD50" s="38" t="n">
        <v>2</v>
      </c>
      <c r="AE50" s="38" t="n">
        <v>2</v>
      </c>
      <c r="AF50" s="38" t="n">
        <v>2</v>
      </c>
      <c r="AG50" s="38" t="n">
        <v>2</v>
      </c>
      <c r="AH50" s="38" t="n">
        <v>2</v>
      </c>
      <c r="AI50" s="38" t="n">
        <v>1</v>
      </c>
      <c r="AJ50" s="38" t="n">
        <v>1</v>
      </c>
      <c r="AK50" s="38" t="n">
        <v>1</v>
      </c>
      <c r="AL50" s="38" t="n">
        <v>1</v>
      </c>
      <c r="AM50" s="38" t="n">
        <v>1</v>
      </c>
      <c r="AN50" s="38" t="n">
        <v>1</v>
      </c>
      <c r="AO50" s="38" t="n">
        <v>1</v>
      </c>
      <c r="AP50" s="38" t="n">
        <v>1</v>
      </c>
      <c r="AQ50" s="38" t="n">
        <v>1</v>
      </c>
      <c r="AR50" s="38" t="n">
        <v>1</v>
      </c>
      <c r="AS50" s="38" t="n">
        <v>1</v>
      </c>
      <c r="AT50" s="38" t="n">
        <v>1</v>
      </c>
      <c r="AU50" s="38" t="n">
        <v>1</v>
      </c>
      <c r="AV50" s="38" t="n">
        <v>1</v>
      </c>
      <c r="AW50" s="38" t="n">
        <v>1</v>
      </c>
      <c r="AX50" s="38" t="n">
        <v>1</v>
      </c>
      <c r="AY50" s="38" t="n">
        <v>1</v>
      </c>
      <c r="AZ50" s="38" t="n">
        <v>1</v>
      </c>
      <c r="BA50" s="38" t="n">
        <v>1</v>
      </c>
      <c r="BB50" s="38" t="n">
        <v>1</v>
      </c>
      <c r="BC50" s="38" t="n">
        <v>1</v>
      </c>
      <c r="BD50" s="38" t="n">
        <v>1</v>
      </c>
      <c r="BE50" s="38" t="n">
        <v>1</v>
      </c>
      <c r="BF50" s="38" t="n">
        <v>1</v>
      </c>
      <c r="BG50" s="38" t="n">
        <v>1</v>
      </c>
      <c r="BH50" s="38" t="n">
        <v>1</v>
      </c>
      <c r="BI50" s="38">
        <f>1+1</f>
        <v/>
      </c>
      <c r="BJ50" s="38" t="n">
        <v>0</v>
      </c>
      <c r="BK50" s="38" t="n">
        <v>0</v>
      </c>
      <c r="BL50" s="38" t="n">
        <v>0</v>
      </c>
      <c r="BM50" s="38" t="n">
        <v>0</v>
      </c>
      <c r="BN50" s="38" t="n">
        <v>0</v>
      </c>
      <c r="BO50" s="38" t="n">
        <v>0</v>
      </c>
      <c r="BP50" s="38" t="n">
        <v>0</v>
      </c>
      <c r="BQ50" s="38" t="n">
        <v>0</v>
      </c>
      <c r="BR50" s="38" t="n">
        <v>0</v>
      </c>
      <c r="BS50" s="38" t="n">
        <v>0</v>
      </c>
      <c r="BT50" s="38" t="n">
        <v>0</v>
      </c>
      <c r="BU50" s="38" t="n">
        <v>0</v>
      </c>
      <c r="BV50" s="38" t="n">
        <v>0</v>
      </c>
      <c r="BW50" s="38" t="n">
        <v>0</v>
      </c>
      <c r="BX50" s="38" t="n">
        <v>0</v>
      </c>
      <c r="BY50" s="38" t="n">
        <v>0</v>
      </c>
      <c r="BZ50" s="38" t="n"/>
      <c r="CA50" s="38" t="n"/>
      <c r="CB50" s="38" t="n"/>
      <c r="CC50" s="9" t="n"/>
      <c r="CD50" s="9" t="n"/>
      <c r="CE50" s="9" t="n"/>
      <c r="CF50" s="154">
        <f>CD50+IF(NOT(ISBLANK(OFFSET(CF50,0,6))),N(OFFSET(CF50,0,6)),N(OFFSET(CF50,0,7)))-CE50</f>
        <v/>
      </c>
      <c r="CH50" s="128" t="n"/>
      <c r="CI50" s="4" t="n"/>
      <c r="CJ50" s="27" t="n"/>
      <c r="CK50" s="18" t="n">
        <v>0</v>
      </c>
      <c r="CL50" s="18" t="n">
        <v>0</v>
      </c>
      <c r="CM50" s="18" t="n">
        <v>0</v>
      </c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54" t="inlineStr">
        <is>
          <t>1 DE ER MG</t>
        </is>
      </c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256" t="n"/>
      <c r="DR50" s="18" t="n"/>
      <c r="DS50" s="18" t="n"/>
      <c r="DT50" s="18" t="n"/>
      <c r="DU50" s="18" t="n"/>
      <c r="DV50" s="18" t="n"/>
      <c r="DW50" s="18" t="n"/>
      <c r="DX50" s="18" t="n"/>
      <c r="DY50" s="18" t="n"/>
      <c r="DZ50" s="18" t="n"/>
      <c r="EA50" s="18" t="n"/>
      <c r="EB50" s="18" t="n"/>
      <c r="EC50" s="18" t="n"/>
      <c r="ED50" s="18" t="n"/>
      <c r="EE50" s="18" t="n"/>
      <c r="EF50" s="18" t="n"/>
      <c r="EG50" s="18" t="n"/>
      <c r="EH50" s="18" t="n"/>
      <c r="EI50" s="18" t="n"/>
      <c r="EJ50" s="18" t="n"/>
      <c r="EK50" s="18" t="n"/>
      <c r="EL50" s="18" t="n"/>
      <c r="EM50" s="18" t="n"/>
      <c r="EN50" s="18" t="n"/>
      <c r="EO50" s="18" t="n"/>
      <c r="EP50" s="18" t="n"/>
      <c r="EQ50" s="18" t="n"/>
      <c r="ER50" s="18" t="n"/>
      <c r="ES50" s="18" t="n"/>
      <c r="ET50" s="18" t="n"/>
      <c r="EU50" s="18" t="n"/>
      <c r="EV50" s="18" t="n"/>
      <c r="EW50" s="256" t="n"/>
      <c r="EX50" s="18" t="n"/>
      <c r="EY50" s="18" t="n"/>
      <c r="EZ50" s="18" t="n"/>
      <c r="FA50" s="18" t="n"/>
      <c r="FB50" s="18" t="n"/>
      <c r="FC50" s="18" t="n"/>
      <c r="FD50" s="18" t="n"/>
      <c r="FE50" s="18" t="n"/>
      <c r="FF50" s="18" t="n"/>
      <c r="FG50" s="18" t="n"/>
      <c r="FH50" s="18" t="n"/>
      <c r="FI50" s="18" t="n"/>
      <c r="FJ50" s="256" t="n"/>
      <c r="FK50" s="18" t="n"/>
      <c r="FL50" s="18" t="n"/>
      <c r="FM50" s="18" t="n"/>
      <c r="FN50" s="18" t="n"/>
      <c r="FO50" s="18" t="n"/>
      <c r="FP50" s="256" t="n"/>
      <c r="FQ50" s="18" t="n"/>
      <c r="FR50" s="18" t="n"/>
      <c r="FS50" s="18" t="n"/>
      <c r="FT50" s="18" t="n"/>
      <c r="FU50" s="18" t="n"/>
      <c r="FV50" s="18" t="n"/>
      <c r="FW50" s="18" t="n"/>
      <c r="FX50" s="18" t="n"/>
      <c r="FY50" s="18" t="n"/>
      <c r="FZ50" s="18" t="n"/>
      <c r="GA50" s="18" t="n"/>
      <c r="GB50" s="18" t="n"/>
      <c r="GC50" s="18" t="n"/>
    </row>
    <row r="51" ht="18.75" customHeight="1">
      <c r="A51" s="33" t="inlineStr">
        <is>
          <t>LÂMINA OLFATIVA OUI</t>
        </is>
      </c>
      <c r="B51" s="9" t="n">
        <v>3000</v>
      </c>
      <c r="C51" s="662" t="n">
        <v>231.61</v>
      </c>
      <c r="D51" s="329" t="n">
        <v>1</v>
      </c>
      <c r="E51" s="2" t="n"/>
      <c r="F51" s="38" t="n">
        <v>2</v>
      </c>
      <c r="G51" s="38" t="n">
        <v>2</v>
      </c>
      <c r="H51" s="38" t="n">
        <v>2</v>
      </c>
      <c r="I51" s="38" t="n">
        <v>2</v>
      </c>
      <c r="J51" s="38" t="n">
        <v>2</v>
      </c>
      <c r="K51" s="38" t="n">
        <v>2</v>
      </c>
      <c r="L51" s="38" t="n">
        <v>2</v>
      </c>
      <c r="M51" s="38" t="n">
        <v>2</v>
      </c>
      <c r="N51" s="38" t="n">
        <v>2</v>
      </c>
      <c r="O51" s="38" t="n">
        <v>2</v>
      </c>
      <c r="P51" s="38" t="n">
        <v>2</v>
      </c>
      <c r="Q51" s="38" t="n">
        <v>3</v>
      </c>
      <c r="R51" s="38" t="n">
        <v>3</v>
      </c>
      <c r="S51" s="38" t="n">
        <v>3</v>
      </c>
      <c r="T51" s="38" t="n">
        <v>3</v>
      </c>
      <c r="U51" s="38" t="n">
        <v>3</v>
      </c>
      <c r="V51" s="38" t="n">
        <v>3</v>
      </c>
      <c r="W51" s="38" t="n">
        <v>2</v>
      </c>
      <c r="X51" s="38" t="n">
        <v>2</v>
      </c>
      <c r="Y51" s="38" t="n">
        <v>2</v>
      </c>
      <c r="Z51" s="38" t="n">
        <v>2</v>
      </c>
      <c r="AA51" s="38" t="n">
        <v>2</v>
      </c>
      <c r="AB51" s="38" t="n">
        <v>2</v>
      </c>
      <c r="AC51" s="38" t="n">
        <v>2</v>
      </c>
      <c r="AD51" s="38" t="n">
        <v>2</v>
      </c>
      <c r="AE51" s="38" t="n">
        <v>2</v>
      </c>
      <c r="AF51" s="38" t="n">
        <v>2</v>
      </c>
      <c r="AG51" s="38" t="n">
        <v>2</v>
      </c>
      <c r="AH51" s="38" t="n">
        <v>2</v>
      </c>
      <c r="AI51" s="38" t="n">
        <v>2</v>
      </c>
      <c r="AJ51" s="38" t="n">
        <v>2</v>
      </c>
      <c r="AK51" s="38" t="n">
        <v>2</v>
      </c>
      <c r="AL51" s="38" t="n">
        <v>2</v>
      </c>
      <c r="AM51" s="38" t="n">
        <v>2</v>
      </c>
      <c r="AN51" s="38" t="n">
        <v>2</v>
      </c>
      <c r="AO51" s="38" t="n">
        <v>2</v>
      </c>
      <c r="AP51" s="38" t="n">
        <v>2</v>
      </c>
      <c r="AQ51" s="38" t="n">
        <v>2</v>
      </c>
      <c r="AR51" s="38" t="n">
        <v>2</v>
      </c>
      <c r="AS51" s="38" t="n">
        <v>2</v>
      </c>
      <c r="AT51" s="38" t="n">
        <v>2</v>
      </c>
      <c r="AU51" s="38" t="n">
        <v>2</v>
      </c>
      <c r="AV51" s="38" t="n">
        <v>2</v>
      </c>
      <c r="AW51" s="38" t="n">
        <v>2</v>
      </c>
      <c r="AX51" s="38" t="n">
        <v>2</v>
      </c>
      <c r="AY51" s="38" t="n">
        <v>2</v>
      </c>
      <c r="AZ51" s="38" t="n">
        <v>2</v>
      </c>
      <c r="BA51" s="38" t="n">
        <v>2</v>
      </c>
      <c r="BB51" s="38" t="n">
        <v>2</v>
      </c>
      <c r="BC51" s="38" t="n">
        <v>2</v>
      </c>
      <c r="BD51" s="38" t="n">
        <v>2</v>
      </c>
      <c r="BE51" s="38" t="n">
        <v>2</v>
      </c>
      <c r="BF51" s="38" t="n">
        <v>2</v>
      </c>
      <c r="BG51" s="38" t="n">
        <v>2</v>
      </c>
      <c r="BH51" s="38" t="n">
        <v>2</v>
      </c>
      <c r="BI51" s="38">
        <f>2+1</f>
        <v/>
      </c>
      <c r="BJ51" s="38" t="n">
        <v>1</v>
      </c>
      <c r="BK51" s="38" t="n">
        <v>1</v>
      </c>
      <c r="BL51" s="38" t="n">
        <v>1</v>
      </c>
      <c r="BM51" s="38" t="n">
        <v>1</v>
      </c>
      <c r="BN51" s="38" t="n">
        <v>1</v>
      </c>
      <c r="BO51" s="38" t="n">
        <v>1</v>
      </c>
      <c r="BP51" s="38" t="n">
        <v>1</v>
      </c>
      <c r="BQ51" s="38" t="n">
        <v>1</v>
      </c>
      <c r="BR51" s="38" t="n">
        <v>1</v>
      </c>
      <c r="BS51" s="38" t="n">
        <v>1</v>
      </c>
      <c r="BT51" s="38" t="n">
        <v>1</v>
      </c>
      <c r="BU51" s="38" t="n">
        <v>1</v>
      </c>
      <c r="BV51" s="38" t="n">
        <v>1</v>
      </c>
      <c r="BW51" s="38" t="n">
        <v>1</v>
      </c>
      <c r="BX51" s="38" t="n">
        <v>1</v>
      </c>
      <c r="BY51" s="38" t="n">
        <v>1</v>
      </c>
      <c r="BZ51" s="38" t="n"/>
      <c r="CA51" s="38" t="n"/>
      <c r="CB51" s="38" t="n"/>
      <c r="CC51" s="9" t="n"/>
      <c r="CD51" s="9" t="n"/>
      <c r="CE51" s="9" t="n"/>
      <c r="CF51" s="154">
        <f>CD51+IF(NOT(ISBLANK(OFFSET(CF51,0,6))),N(OFFSET(CF51,0,6)),N(OFFSET(CF51,0,7)))-CE51</f>
        <v/>
      </c>
      <c r="CH51" s="128" t="n"/>
      <c r="CI51" s="4" t="n"/>
      <c r="CJ51" s="27" t="n"/>
      <c r="CK51" s="18" t="n">
        <v>0</v>
      </c>
      <c r="CL51" s="18" t="n">
        <v>0</v>
      </c>
      <c r="CM51" s="18" t="n">
        <v>0</v>
      </c>
      <c r="CN51" s="18" t="n"/>
      <c r="CO51" s="18" t="n"/>
      <c r="CP51" s="18" t="n"/>
      <c r="CQ51" s="18" t="n"/>
      <c r="CR51" s="18" t="n"/>
      <c r="CS51" s="18" t="n"/>
      <c r="CT51" s="18" t="n"/>
      <c r="CU51" s="18" t="n"/>
      <c r="CV51" s="18" t="n"/>
      <c r="CW51" s="18" t="n"/>
      <c r="CX51" s="154" t="inlineStr">
        <is>
          <t>1 DE ER MG</t>
        </is>
      </c>
      <c r="CY51" s="18" t="n"/>
      <c r="CZ51" s="18" t="n"/>
      <c r="DA51" s="18" t="n"/>
      <c r="DB51" s="18" t="n"/>
      <c r="DC51" s="18" t="n"/>
      <c r="DD51" s="18" t="n"/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18" t="n"/>
      <c r="DN51" s="18" t="n"/>
      <c r="DO51" s="18" t="n"/>
      <c r="DP51" s="18" t="n"/>
      <c r="DQ51" s="256" t="n"/>
      <c r="DR51" s="18" t="n"/>
      <c r="DS51" s="18" t="n"/>
      <c r="DT51" s="18" t="n"/>
      <c r="DU51" s="18" t="n"/>
      <c r="DV51" s="18" t="n"/>
      <c r="DW51" s="18" t="n"/>
      <c r="DX51" s="18" t="n"/>
      <c r="DY51" s="18" t="n"/>
      <c r="DZ51" s="18" t="n"/>
      <c r="EA51" s="18" t="n"/>
      <c r="EB51" s="18" t="n"/>
      <c r="EC51" s="18" t="n"/>
      <c r="ED51" s="154" t="inlineStr">
        <is>
          <t>200 P/ CDP</t>
        </is>
      </c>
      <c r="EE51" s="18" t="n"/>
      <c r="EF51" s="18" t="n"/>
      <c r="EG51" s="18" t="n"/>
      <c r="EH51" s="18" t="n"/>
      <c r="EI51" s="18" t="n"/>
      <c r="EJ51" s="18" t="n"/>
      <c r="EK51" s="18" t="n"/>
      <c r="EL51" s="18" t="n"/>
      <c r="EM51" s="18" t="n"/>
      <c r="EN51" s="18" t="n"/>
      <c r="EO51" s="18" t="n"/>
      <c r="EP51" s="18" t="n"/>
      <c r="EQ51" s="18" t="n"/>
      <c r="ER51" s="18" t="n"/>
      <c r="ES51" s="18" t="n"/>
      <c r="ET51" s="18" t="n"/>
      <c r="EU51" s="18" t="n"/>
      <c r="EV51" s="18" t="n"/>
      <c r="EW51" s="256" t="n"/>
      <c r="EX51" s="18" t="n"/>
      <c r="EY51" s="18" t="n"/>
      <c r="EZ51" s="18" t="n"/>
      <c r="FA51" s="18" t="n"/>
      <c r="FB51" s="18" t="n"/>
      <c r="FC51" s="18" t="n"/>
      <c r="FD51" s="18" t="n"/>
      <c r="FE51" s="18" t="n"/>
      <c r="FF51" s="18" t="n"/>
      <c r="FG51" s="18" t="n"/>
      <c r="FH51" s="18" t="n"/>
      <c r="FI51" s="18" t="n"/>
      <c r="FJ51" s="256" t="n"/>
      <c r="FK51" s="18" t="n"/>
      <c r="FL51" s="18" t="n"/>
      <c r="FM51" s="18" t="n"/>
      <c r="FN51" s="18" t="n"/>
      <c r="FO51" s="18" t="n"/>
      <c r="FP51" s="256" t="n"/>
      <c r="FQ51" s="18" t="n"/>
      <c r="FR51" s="18" t="n"/>
      <c r="FS51" s="18" t="n">
        <v>400</v>
      </c>
      <c r="FT51" s="18" t="n"/>
      <c r="FU51" s="18" t="n"/>
      <c r="FV51" s="18" t="n"/>
      <c r="FW51" s="18" t="n"/>
      <c r="FX51" s="18" t="n"/>
      <c r="FY51" s="18" t="n"/>
      <c r="FZ51" s="18" t="n"/>
      <c r="GA51" s="18" t="n"/>
      <c r="GB51" s="18" t="n">
        <v>400</v>
      </c>
      <c r="GC51" s="18" t="n"/>
    </row>
    <row r="52" ht="18.75" customHeight="1">
      <c r="A52" s="43" t="inlineStr">
        <is>
          <t>SACO M OUI (BRINDE)</t>
        </is>
      </c>
      <c r="B52" s="36" t="n">
        <v>200</v>
      </c>
      <c r="C52" s="662" t="n">
        <v>258.52</v>
      </c>
      <c r="D52" s="329" t="n">
        <v>50</v>
      </c>
      <c r="F52" s="38" t="n">
        <v>0</v>
      </c>
      <c r="G52" s="38" t="n">
        <v>0</v>
      </c>
      <c r="H52" s="38" t="n">
        <v>600</v>
      </c>
      <c r="I52" s="38" t="n">
        <v>600</v>
      </c>
      <c r="J52" s="38" t="n">
        <v>600</v>
      </c>
      <c r="K52" s="38" t="n">
        <v>600</v>
      </c>
      <c r="L52" s="38" t="n">
        <v>900</v>
      </c>
      <c r="M52" s="38" t="n">
        <v>800</v>
      </c>
      <c r="N52" s="38" t="n">
        <v>800</v>
      </c>
      <c r="O52" s="38" t="n">
        <v>800</v>
      </c>
      <c r="P52" s="38" t="n">
        <v>800</v>
      </c>
      <c r="Q52" s="38" t="n">
        <v>800</v>
      </c>
      <c r="R52" s="38" t="n">
        <v>800</v>
      </c>
      <c r="S52" s="38" t="n">
        <v>800</v>
      </c>
      <c r="T52" s="38" t="n">
        <v>800</v>
      </c>
      <c r="U52" s="38" t="n">
        <v>800</v>
      </c>
      <c r="V52" s="38" t="n">
        <v>800</v>
      </c>
      <c r="W52" s="38" t="n">
        <v>800</v>
      </c>
      <c r="X52" s="38" t="n">
        <v>800</v>
      </c>
      <c r="Y52" s="38" t="n">
        <v>800</v>
      </c>
      <c r="Z52" s="38" t="n">
        <v>800</v>
      </c>
      <c r="AA52" s="38" t="n">
        <v>800</v>
      </c>
      <c r="AB52" s="38" t="n">
        <v>800</v>
      </c>
      <c r="AC52" s="38" t="n">
        <v>800</v>
      </c>
      <c r="AD52" s="38" t="n">
        <v>800</v>
      </c>
      <c r="AE52" s="38" t="n">
        <v>800</v>
      </c>
      <c r="AF52" s="38" t="n">
        <v>800</v>
      </c>
      <c r="AG52" s="38" t="n">
        <v>800</v>
      </c>
      <c r="AH52" s="38" t="n">
        <v>800</v>
      </c>
      <c r="AI52" s="38" t="n">
        <v>800</v>
      </c>
      <c r="AJ52" s="38" t="n">
        <v>800</v>
      </c>
      <c r="AK52" s="38" t="n">
        <v>800</v>
      </c>
      <c r="AL52" s="38">
        <f>800-200</f>
        <v/>
      </c>
      <c r="AM52" s="38" t="n">
        <v>600</v>
      </c>
      <c r="AN52" s="38" t="n">
        <v>600</v>
      </c>
      <c r="AO52" s="38" t="n">
        <v>600</v>
      </c>
      <c r="AP52" s="38" t="n">
        <v>600</v>
      </c>
      <c r="AQ52" s="38" t="n">
        <v>600</v>
      </c>
      <c r="AR52" s="38" t="n">
        <v>600</v>
      </c>
      <c r="AS52" s="38" t="n">
        <v>600</v>
      </c>
      <c r="AT52" s="38" t="n">
        <v>600</v>
      </c>
      <c r="AU52" s="38" t="n">
        <v>600</v>
      </c>
      <c r="AV52" s="38" t="n">
        <v>600</v>
      </c>
      <c r="AW52" s="38" t="n">
        <v>600</v>
      </c>
      <c r="AX52" s="38" t="n">
        <v>600</v>
      </c>
      <c r="AY52" s="38" t="n">
        <v>600</v>
      </c>
      <c r="AZ52" s="261" t="n">
        <v>400</v>
      </c>
      <c r="BA52" s="38" t="n">
        <v>400</v>
      </c>
      <c r="BB52" s="38" t="n">
        <v>400</v>
      </c>
      <c r="BC52" s="38" t="n">
        <v>400</v>
      </c>
      <c r="BD52" s="38" t="n">
        <v>400</v>
      </c>
      <c r="BE52" s="38" t="n">
        <v>400</v>
      </c>
      <c r="BF52" s="38" t="n">
        <v>400</v>
      </c>
      <c r="BG52" s="38" t="n">
        <v>400</v>
      </c>
      <c r="BH52" s="38" t="n">
        <v>400</v>
      </c>
      <c r="BI52" s="38" t="n">
        <v>200</v>
      </c>
      <c r="BJ52" s="38" t="n">
        <v>200</v>
      </c>
      <c r="BK52" s="38" t="n">
        <v>200</v>
      </c>
      <c r="BL52" s="38" t="n">
        <v>200</v>
      </c>
      <c r="BM52" s="38" t="n">
        <v>200</v>
      </c>
      <c r="BN52" s="38" t="n">
        <v>200</v>
      </c>
      <c r="BO52" s="38" t="n">
        <v>200</v>
      </c>
      <c r="BP52" s="38" t="n">
        <v>200</v>
      </c>
      <c r="BQ52" s="38" t="n">
        <v>200</v>
      </c>
      <c r="BR52" s="38" t="n">
        <v>200</v>
      </c>
      <c r="BS52" s="38" t="n">
        <v>200</v>
      </c>
      <c r="BT52" s="38" t="n">
        <v>200</v>
      </c>
      <c r="BU52" s="38" t="n">
        <v>200</v>
      </c>
      <c r="BV52" s="38" t="n">
        <v>200</v>
      </c>
      <c r="BW52" s="38" t="n">
        <v>200</v>
      </c>
      <c r="BX52" s="38" t="n">
        <v>200</v>
      </c>
      <c r="BY52" s="38" t="n">
        <v>200</v>
      </c>
      <c r="BZ52" s="38" t="n"/>
      <c r="CA52" s="38" t="n"/>
      <c r="CB52" s="38" t="n"/>
      <c r="CC52" s="9" t="n"/>
      <c r="CD52" s="9" t="n"/>
      <c r="CE52" s="9" t="n"/>
      <c r="CF52" s="154">
        <f>CD52+IF(NOT(ISBLANK(OFFSET(CF52,0,6))),N(OFFSET(CF52,0,6)),N(OFFSET(CF52,0,7)))-CE52</f>
        <v/>
      </c>
      <c r="CH52" s="485" t="inlineStr">
        <is>
          <t>100 P/ ER MG</t>
        </is>
      </c>
      <c r="CJ52" s="301" t="n"/>
      <c r="CK52" s="691" t="n">
        <v>0</v>
      </c>
      <c r="CL52" s="18" t="n">
        <v>0</v>
      </c>
      <c r="CM52" s="18" t="n">
        <v>0</v>
      </c>
      <c r="CN52" s="18" t="n"/>
      <c r="CO52" s="18" t="n"/>
      <c r="CP52" s="18" t="n"/>
      <c r="CQ52" s="18" t="n"/>
      <c r="CR52" s="18" t="n"/>
      <c r="CS52" s="18" t="n"/>
      <c r="CT52" s="18" t="n"/>
      <c r="CU52" s="18" t="n"/>
      <c r="CV52" s="18" t="n"/>
      <c r="CW52" s="18" t="n"/>
      <c r="CX52" s="18" t="n"/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18" t="n"/>
      <c r="DM52" s="18" t="n"/>
      <c r="DN52" s="18" t="n"/>
      <c r="DO52" s="18" t="n"/>
      <c r="DP52" s="238" t="n"/>
      <c r="DQ52" s="256" t="n"/>
      <c r="DR52" s="18" t="n"/>
      <c r="EW52" s="723" t="n"/>
    </row>
    <row r="53" ht="18.75" customHeight="1">
      <c r="A53" s="6" t="n"/>
      <c r="CH53" s="69" t="n"/>
      <c r="DS53" s="654" t="n">
        <v>45909</v>
      </c>
      <c r="DT53" s="654" t="n">
        <v>45915</v>
      </c>
      <c r="DU53" s="654" t="n">
        <v>45909</v>
      </c>
      <c r="DV53" s="654" t="n">
        <v>45903</v>
      </c>
      <c r="DW53" s="654" t="n">
        <v>45895</v>
      </c>
      <c r="DX53" s="654" t="n">
        <v>45895</v>
      </c>
      <c r="DY53" s="679" t="n">
        <v>45896</v>
      </c>
      <c r="DZ53" s="654" t="n">
        <v>45888</v>
      </c>
      <c r="EA53" s="654" t="n">
        <v>45881</v>
      </c>
      <c r="EB53" s="654" t="n">
        <v>45881</v>
      </c>
      <c r="EC53" s="654" t="n">
        <v>45874</v>
      </c>
      <c r="ED53" s="655" t="n">
        <v>45882</v>
      </c>
      <c r="EE53" s="655" t="n">
        <v>45881</v>
      </c>
      <c r="EF53" s="654" t="n">
        <v>45867</v>
      </c>
      <c r="EG53" s="654" t="n">
        <v>45860</v>
      </c>
      <c r="EH53" s="654" t="n">
        <v>45860</v>
      </c>
      <c r="EI53" s="655" t="n">
        <v>45860</v>
      </c>
      <c r="EJ53" s="654" t="n">
        <v>45848</v>
      </c>
      <c r="EK53" s="681" t="n">
        <v>45853</v>
      </c>
      <c r="EL53" s="654" t="n">
        <v>45839</v>
      </c>
      <c r="EM53" s="654" t="n">
        <v>45825</v>
      </c>
      <c r="EN53" s="681" t="n">
        <v>45791</v>
      </c>
      <c r="EO53" s="655" t="n">
        <v>45826</v>
      </c>
      <c r="EP53" s="654" t="n">
        <v>45813</v>
      </c>
      <c r="EQ53" s="655" t="n">
        <v>45819</v>
      </c>
      <c r="ER53" s="654" t="n">
        <v>45805</v>
      </c>
      <c r="ES53" s="654" t="n">
        <v>45783</v>
      </c>
      <c r="ET53" s="655" t="n">
        <v>45807</v>
      </c>
      <c r="EU53" s="654" t="n">
        <v>45790</v>
      </c>
      <c r="EV53" s="690" t="n">
        <v>45800</v>
      </c>
      <c r="EW53" s="650" t="n">
        <v>45799</v>
      </c>
      <c r="EX53" s="655" t="n">
        <v>45798</v>
      </c>
      <c r="EY53" s="654" t="n">
        <v>45783</v>
      </c>
      <c r="EZ53" s="654" t="n">
        <v>45783</v>
      </c>
      <c r="FA53" s="654" t="n">
        <v>45775</v>
      </c>
      <c r="FB53" s="654" t="n">
        <v>45770</v>
      </c>
      <c r="FC53" s="654" t="n">
        <v>45743</v>
      </c>
      <c r="FD53" s="683" t="n">
        <v>45735</v>
      </c>
      <c r="FE53" s="655" t="n">
        <v>45775</v>
      </c>
      <c r="FF53" s="654" t="n">
        <v>45756</v>
      </c>
      <c r="FG53" s="654" t="n">
        <v>45749</v>
      </c>
      <c r="FH53" s="654" t="n">
        <v>45743</v>
      </c>
      <c r="FI53" s="654" t="n">
        <v>45743</v>
      </c>
      <c r="FJ53" s="650" t="n">
        <v>45741</v>
      </c>
      <c r="FK53" s="654" t="n">
        <v>45728</v>
      </c>
      <c r="FL53" s="654" t="n">
        <v>45728</v>
      </c>
      <c r="FM53" s="654" t="n">
        <v>45722</v>
      </c>
      <c r="FN53" s="654" t="n">
        <v>45714</v>
      </c>
      <c r="FO53" s="654" t="n">
        <v>45706</v>
      </c>
      <c r="FP53" s="650" t="n">
        <v>45700</v>
      </c>
      <c r="FQ53" s="654" t="n">
        <v>45699</v>
      </c>
      <c r="FR53" s="654" t="n">
        <v>45706</v>
      </c>
      <c r="FS53" s="654" t="n">
        <v>45693</v>
      </c>
      <c r="FT53" s="654" t="n">
        <v>45685</v>
      </c>
      <c r="FU53" s="654" t="n">
        <v>45679</v>
      </c>
      <c r="FV53" s="654" t="n">
        <v>45660</v>
      </c>
      <c r="FW53" s="654" t="n">
        <v>45674</v>
      </c>
      <c r="FX53" s="655" t="n">
        <v>45672</v>
      </c>
      <c r="FY53" s="654" t="n">
        <v>45652</v>
      </c>
      <c r="FZ53" s="655" t="n">
        <v>45670</v>
      </c>
      <c r="GA53" s="654" t="n">
        <v>45664</v>
      </c>
      <c r="GB53" s="654" t="n">
        <v>45660</v>
      </c>
      <c r="GC53" s="654" t="n">
        <v>45660</v>
      </c>
    </row>
    <row r="54" ht="18.75" customHeight="1">
      <c r="A54" s="586" t="inlineStr">
        <is>
          <t>CAIXAS OUI</t>
        </is>
      </c>
      <c r="B54" s="133" t="n"/>
      <c r="C54" s="133" t="n"/>
      <c r="D54" s="133" t="n"/>
      <c r="F54" s="650" t="n">
        <v>45656</v>
      </c>
      <c r="G54" s="650" t="n">
        <v>45663</v>
      </c>
      <c r="H54" s="650" t="n">
        <v>45670</v>
      </c>
      <c r="I54" s="650" t="n">
        <v>45677</v>
      </c>
      <c r="J54" s="650" t="n">
        <v>45684</v>
      </c>
      <c r="K54" s="650" t="n">
        <v>45691</v>
      </c>
      <c r="L54" s="650" t="n">
        <v>45698</v>
      </c>
      <c r="M54" s="650" t="n">
        <v>45705</v>
      </c>
      <c r="N54" s="650" t="n">
        <v>45712</v>
      </c>
      <c r="O54" s="650" t="n">
        <v>45719</v>
      </c>
      <c r="P54" s="650" t="n">
        <v>45726</v>
      </c>
      <c r="Q54" s="650" t="n">
        <v>45733</v>
      </c>
      <c r="R54" s="650" t="n">
        <v>45740</v>
      </c>
      <c r="S54" s="650" t="n">
        <v>45747</v>
      </c>
      <c r="T54" s="650" t="n">
        <v>45754</v>
      </c>
      <c r="U54" s="650" t="n">
        <v>45761</v>
      </c>
      <c r="V54" s="650" t="n">
        <v>45768</v>
      </c>
      <c r="W54" s="650" t="n">
        <v>45775</v>
      </c>
      <c r="X54" s="650" t="n">
        <v>45782</v>
      </c>
      <c r="Y54" s="650" t="n">
        <v>45789</v>
      </c>
      <c r="Z54" s="650" t="n">
        <v>45796</v>
      </c>
      <c r="AA54" s="650" t="n">
        <v>45803</v>
      </c>
      <c r="AB54" s="650" t="n">
        <v>45810</v>
      </c>
      <c r="AC54" s="650" t="n">
        <v>45817</v>
      </c>
      <c r="AD54" s="650" t="n">
        <v>45824</v>
      </c>
      <c r="AE54" s="650" t="n">
        <v>45831</v>
      </c>
      <c r="AF54" s="650" t="n">
        <v>45838</v>
      </c>
      <c r="AG54" s="650" t="n">
        <v>45845</v>
      </c>
      <c r="AH54" s="650" t="n">
        <v>45852</v>
      </c>
      <c r="AI54" s="650" t="n">
        <v>45859</v>
      </c>
      <c r="AJ54" s="650" t="n">
        <v>45866</v>
      </c>
      <c r="AK54" s="650" t="n">
        <v>45873</v>
      </c>
      <c r="AL54" s="650" t="n">
        <v>45880</v>
      </c>
      <c r="AM54" s="650" t="n">
        <v>45887</v>
      </c>
      <c r="AN54" s="650" t="n">
        <v>45894</v>
      </c>
      <c r="AO54" s="650" t="n">
        <v>45901</v>
      </c>
      <c r="AP54" s="650" t="n">
        <v>45908</v>
      </c>
      <c r="AQ54" s="650" t="n">
        <v>45915</v>
      </c>
      <c r="AR54" s="650" t="n">
        <v>45922</v>
      </c>
      <c r="AS54" s="650" t="n">
        <v>45929</v>
      </c>
      <c r="AT54" s="650" t="n">
        <v>45936</v>
      </c>
      <c r="AU54" s="650" t="n">
        <v>45943</v>
      </c>
      <c r="AV54" s="650" t="n">
        <v>45950</v>
      </c>
      <c r="AW54" s="650" t="n">
        <v>45957</v>
      </c>
      <c r="AX54" s="650" t="n">
        <v>45964</v>
      </c>
      <c r="AY54" s="650" t="n">
        <v>45971</v>
      </c>
      <c r="AZ54" s="650" t="n">
        <v>45978</v>
      </c>
      <c r="BA54" s="650" t="n">
        <v>45985</v>
      </c>
      <c r="BB54" s="650" t="n">
        <v>45992</v>
      </c>
      <c r="BC54" s="650" t="n">
        <v>45999</v>
      </c>
      <c r="BD54" s="650" t="n">
        <v>46006</v>
      </c>
      <c r="BE54" s="650" t="n">
        <v>46013</v>
      </c>
      <c r="BF54" s="650" t="n">
        <v>46020</v>
      </c>
      <c r="BG54" s="650" t="n">
        <v>46027</v>
      </c>
      <c r="BH54" s="650" t="n">
        <v>46034</v>
      </c>
      <c r="BI54" s="650" t="n">
        <v>46041</v>
      </c>
      <c r="BJ54" s="650" t="n">
        <v>46048</v>
      </c>
      <c r="BK54" s="650" t="n">
        <v>46055</v>
      </c>
      <c r="BL54" s="650" t="n">
        <v>46062</v>
      </c>
      <c r="BM54" s="650" t="n">
        <v>46069</v>
      </c>
      <c r="BN54" s="650" t="n">
        <v>46076</v>
      </c>
      <c r="BO54" s="650" t="n">
        <v>46083</v>
      </c>
      <c r="BP54" s="650" t="n">
        <v>46090</v>
      </c>
      <c r="BQ54" s="650" t="n">
        <v>46097</v>
      </c>
      <c r="BR54" s="650" t="n">
        <v>46104</v>
      </c>
      <c r="BS54" s="650" t="n">
        <v>46111</v>
      </c>
      <c r="BT54" s="650" t="n">
        <v>46118</v>
      </c>
      <c r="BU54" s="650" t="n">
        <v>46125</v>
      </c>
      <c r="BV54" s="650" t="n">
        <v>46132</v>
      </c>
      <c r="BW54" s="650" t="n">
        <v>46139</v>
      </c>
      <c r="BX54" s="650" t="n">
        <v>46146</v>
      </c>
      <c r="BY54" s="650" t="n">
        <v>46154</v>
      </c>
      <c r="BZ54" s="650" t="n">
        <v>46160</v>
      </c>
      <c r="CA54" s="650" t="n">
        <v>46160</v>
      </c>
      <c r="CB54" s="650" t="n">
        <v>46160</v>
      </c>
      <c r="CC54" s="651" t="n">
        <v>46161.4800428125</v>
      </c>
      <c r="CD54" s="651" t="n">
        <v>46161.48072087963</v>
      </c>
      <c r="CE54" s="651" t="n">
        <v>46161.4828795443</v>
      </c>
      <c r="CF54" s="652" t="inlineStr">
        <is>
          <t>USOU</t>
        </is>
      </c>
      <c r="CH54" s="35" t="inlineStr">
        <is>
          <t>Pend.</t>
        </is>
      </c>
      <c r="CJ54" s="12" t="inlineStr">
        <is>
          <t>Novo Pedido</t>
        </is>
      </c>
      <c r="CK54" s="708" t="n">
        <v>46161.48287850386</v>
      </c>
      <c r="CL54" s="654" t="n">
        <v>46156</v>
      </c>
      <c r="CM54" s="654" t="n">
        <v>46149</v>
      </c>
      <c r="CN54" s="654" t="n">
        <v>46114</v>
      </c>
      <c r="CO54" s="710" t="n">
        <v>46065</v>
      </c>
      <c r="CP54" s="654" t="n">
        <v>46092</v>
      </c>
      <c r="CQ54" s="654" t="n">
        <v>46092</v>
      </c>
      <c r="CR54" s="654" t="n">
        <v>46084</v>
      </c>
      <c r="CS54" s="711" t="n">
        <v>46045</v>
      </c>
      <c r="CT54" s="654" t="n">
        <v>46071</v>
      </c>
      <c r="CU54" s="654" t="n">
        <v>46043</v>
      </c>
      <c r="CV54" s="654" t="n">
        <v>46029</v>
      </c>
      <c r="CW54" s="654" t="n">
        <v>46024</v>
      </c>
      <c r="CX54" s="655" t="n">
        <v>46041</v>
      </c>
      <c r="CY54" s="654" t="n">
        <v>46029</v>
      </c>
      <c r="CZ54" s="654" t="n">
        <v>46024</v>
      </c>
      <c r="DA54" s="654" t="n">
        <v>46007</v>
      </c>
      <c r="DB54" s="654" t="n">
        <v>46001</v>
      </c>
      <c r="DC54" s="654" t="n">
        <v>45994</v>
      </c>
      <c r="DD54" s="654" t="n">
        <v>45986</v>
      </c>
      <c r="DE54" s="654" t="n">
        <v>45986</v>
      </c>
      <c r="DF54" s="654" t="n">
        <v>45980</v>
      </c>
      <c r="DG54" s="654" t="n">
        <v>45980</v>
      </c>
      <c r="DH54" s="654" t="n">
        <v>45973</v>
      </c>
      <c r="DI54" s="654" t="n">
        <v>45973</v>
      </c>
      <c r="DJ54" s="654" t="n">
        <v>45965</v>
      </c>
      <c r="DK54" s="654" t="n">
        <v>45965</v>
      </c>
      <c r="DL54" s="654" t="n">
        <v>45960</v>
      </c>
      <c r="DM54" s="654" t="n">
        <v>45951</v>
      </c>
      <c r="DN54" s="654" t="n">
        <v>45937</v>
      </c>
      <c r="DO54" s="654" t="n">
        <v>45931</v>
      </c>
      <c r="DP54" s="678" t="n">
        <v>45903</v>
      </c>
      <c r="DQ54" s="688" t="n">
        <v>45931</v>
      </c>
      <c r="DR54" s="654" t="n">
        <v>45923</v>
      </c>
      <c r="DS54" s="18" t="n"/>
      <c r="DT54" s="18" t="n"/>
      <c r="DU54" s="18" t="n"/>
      <c r="DV54" s="18" t="n"/>
      <c r="DW54" s="18" t="n"/>
      <c r="DX54" s="18" t="n"/>
      <c r="DY54" s="18" t="n"/>
      <c r="DZ54" s="18" t="n"/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18" t="n"/>
      <c r="ET54" s="18" t="n"/>
      <c r="EU54" s="18" t="n"/>
      <c r="EV54" s="18" t="n"/>
      <c r="EW54" s="256" t="n"/>
      <c r="EX54" s="18" t="n"/>
      <c r="EY54" s="18" t="n"/>
      <c r="EZ54" s="18" t="n"/>
      <c r="FA54" s="18" t="n"/>
      <c r="FB54" s="18" t="n"/>
      <c r="FC54" s="18" t="n"/>
      <c r="FD54" s="18" t="n"/>
      <c r="FE54" s="18" t="n"/>
      <c r="FF54" s="18" t="n"/>
      <c r="FG54" s="18" t="n"/>
      <c r="FH54" s="18" t="n"/>
      <c r="FI54" s="18" t="n"/>
      <c r="FJ54" s="274" t="n"/>
      <c r="FK54" s="18" t="n"/>
      <c r="FL54" s="18" t="n"/>
      <c r="FM54" s="18" t="n"/>
      <c r="FN54" s="18" t="n"/>
      <c r="FO54" s="18" t="n"/>
      <c r="FP54" s="274" t="n"/>
      <c r="FQ54" s="18" t="n"/>
      <c r="FR54" s="18" t="n"/>
      <c r="FS54" s="18" t="n"/>
      <c r="FT54" s="18" t="n"/>
      <c r="FU54" s="18" t="n"/>
      <c r="FV54" s="18" t="n"/>
      <c r="FW54" s="18" t="n"/>
      <c r="FX54" s="18" t="n"/>
      <c r="FY54" s="18" t="n"/>
      <c r="FZ54" s="18" t="n"/>
      <c r="GA54" s="18" t="n"/>
      <c r="GB54" s="18" t="n"/>
      <c r="GC54" s="18" t="n"/>
    </row>
    <row r="55" ht="18.75" customHeight="1">
      <c r="A55" s="43" t="inlineStr">
        <is>
          <t>KIT CAIXA P OUI</t>
        </is>
      </c>
      <c r="B55" s="36" t="n">
        <v>100</v>
      </c>
      <c r="C55" s="668" t="n">
        <v>539.7</v>
      </c>
      <c r="D55" s="329" t="n">
        <v>10</v>
      </c>
      <c r="F55" s="38" t="n">
        <v>10</v>
      </c>
      <c r="G55" s="38" t="n">
        <v>10</v>
      </c>
      <c r="H55" s="38" t="n">
        <v>10</v>
      </c>
      <c r="I55" s="38" t="n">
        <v>10</v>
      </c>
      <c r="J55" s="38" t="n">
        <v>10</v>
      </c>
      <c r="K55" s="38" t="n">
        <v>10</v>
      </c>
      <c r="L55" s="38" t="n">
        <v>10</v>
      </c>
      <c r="M55" s="38" t="n">
        <v>10</v>
      </c>
      <c r="N55" s="38" t="n">
        <v>10</v>
      </c>
      <c r="O55" s="38" t="n">
        <v>10</v>
      </c>
      <c r="P55" s="38" t="n">
        <v>10</v>
      </c>
      <c r="Q55" s="38" t="n">
        <v>10</v>
      </c>
      <c r="R55" s="38" t="n">
        <v>10</v>
      </c>
      <c r="S55" s="38" t="n">
        <v>10</v>
      </c>
      <c r="T55" s="38" t="n">
        <v>10</v>
      </c>
      <c r="U55" s="38" t="n">
        <v>10</v>
      </c>
      <c r="V55" s="38" t="n">
        <v>10</v>
      </c>
      <c r="W55" s="38" t="n">
        <v>10</v>
      </c>
      <c r="X55" s="38" t="n">
        <v>10</v>
      </c>
      <c r="Y55" s="38" t="n">
        <v>10</v>
      </c>
      <c r="Z55" s="38" t="n">
        <v>10</v>
      </c>
      <c r="AA55" s="38" t="n">
        <v>10</v>
      </c>
      <c r="AB55" s="38" t="n">
        <v>9</v>
      </c>
      <c r="AC55" s="38" t="n">
        <v>9</v>
      </c>
      <c r="AD55" s="38" t="n">
        <v>9</v>
      </c>
      <c r="AE55" s="38" t="n">
        <v>9</v>
      </c>
      <c r="AF55" s="38" t="n">
        <v>9</v>
      </c>
      <c r="AG55" s="38" t="n">
        <v>9</v>
      </c>
      <c r="AH55" s="38" t="n">
        <v>8</v>
      </c>
      <c r="AI55" s="38" t="n">
        <v>8</v>
      </c>
      <c r="AJ55" s="38" t="n">
        <v>8</v>
      </c>
      <c r="AK55" s="38" t="n">
        <v>8</v>
      </c>
      <c r="AL55" s="38" t="n">
        <v>8</v>
      </c>
      <c r="AM55" s="38" t="n">
        <v>8</v>
      </c>
      <c r="AN55" s="38" t="n">
        <v>8</v>
      </c>
      <c r="AO55" s="38" t="n">
        <v>8</v>
      </c>
      <c r="AP55" s="38" t="n">
        <v>8</v>
      </c>
      <c r="AQ55" s="38" t="n">
        <v>8</v>
      </c>
      <c r="AR55" s="38" t="n">
        <v>8</v>
      </c>
      <c r="AS55" s="38" t="n">
        <v>8</v>
      </c>
      <c r="AT55" s="38" t="n">
        <v>8</v>
      </c>
      <c r="AU55" s="38" t="n">
        <v>8</v>
      </c>
      <c r="AV55" s="38" t="n">
        <v>8</v>
      </c>
      <c r="AW55" s="38" t="n">
        <v>8</v>
      </c>
      <c r="AX55" s="38" t="n">
        <v>8</v>
      </c>
      <c r="AY55" s="38" t="n">
        <v>8</v>
      </c>
      <c r="AZ55" s="38" t="n">
        <v>8</v>
      </c>
      <c r="BA55" s="38" t="n">
        <v>8</v>
      </c>
      <c r="BB55" s="261" t="n">
        <v>18</v>
      </c>
      <c r="BC55" s="38" t="n">
        <v>18</v>
      </c>
      <c r="BD55" s="38" t="n">
        <v>18</v>
      </c>
      <c r="BE55" s="38" t="n">
        <v>18</v>
      </c>
      <c r="BF55" s="38" t="n">
        <v>18</v>
      </c>
      <c r="BG55" s="38" t="n">
        <v>18</v>
      </c>
      <c r="BH55" s="38" t="n">
        <v>18</v>
      </c>
      <c r="BI55" s="38" t="n">
        <v>18</v>
      </c>
      <c r="BJ55" s="38" t="n">
        <v>18</v>
      </c>
      <c r="BK55" s="38" t="n">
        <v>18</v>
      </c>
      <c r="BL55" s="38" t="n">
        <v>18</v>
      </c>
      <c r="BM55" s="38" t="n">
        <v>18</v>
      </c>
      <c r="BN55" s="38" t="n">
        <v>17</v>
      </c>
      <c r="BO55" s="38" t="n">
        <v>17</v>
      </c>
      <c r="BP55" s="38" t="n">
        <v>17</v>
      </c>
      <c r="BQ55" s="38" t="n">
        <v>17</v>
      </c>
      <c r="BR55" s="38" t="n">
        <v>17</v>
      </c>
      <c r="BS55" s="38" t="n">
        <v>17</v>
      </c>
      <c r="BT55" s="38" t="n"/>
      <c r="BU55" s="38" t="n"/>
      <c r="BV55" s="38" t="n"/>
      <c r="BW55" s="38" t="n">
        <v>16</v>
      </c>
      <c r="BX55" s="38" t="n">
        <v>16</v>
      </c>
      <c r="BY55" s="38" t="n">
        <v>16</v>
      </c>
      <c r="BZ55" s="38" t="n">
        <v>16</v>
      </c>
      <c r="CA55" s="38" t="n">
        <v>16</v>
      </c>
      <c r="CB55" s="38" t="n">
        <v>16</v>
      </c>
      <c r="CC55" s="9" t="n">
        <v>16</v>
      </c>
      <c r="CD55" s="9" t="n">
        <v>16</v>
      </c>
      <c r="CE55" s="9" t="n">
        <v>16</v>
      </c>
      <c r="CF55" s="154">
        <f>CD55+IF(NOT(ISBLANK(OFFSET(CF55,0,6))),N(OFFSET(CF55,0,6)),N(OFFSET(CF55,0,7)))-CE55</f>
        <v/>
      </c>
      <c r="CH55" s="19" t="n"/>
      <c r="CJ55" s="19" t="n"/>
      <c r="CK55" s="691" t="n">
        <v>0</v>
      </c>
      <c r="CL55" s="18" t="n">
        <v>0</v>
      </c>
      <c r="CM55" s="18" t="n">
        <v>0</v>
      </c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18" t="n"/>
      <c r="DP55" s="396" t="n"/>
      <c r="DQ55" s="256" t="n"/>
      <c r="DR55" s="18" t="n"/>
      <c r="DS55" s="18" t="n"/>
      <c r="DT55" s="18" t="n"/>
      <c r="DU55" s="18" t="n"/>
      <c r="DV55" s="18" t="n"/>
      <c r="DW55" s="18" t="n"/>
      <c r="DX55" s="18" t="n"/>
      <c r="DY55" s="18" t="n"/>
      <c r="DZ55" s="18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18" t="n"/>
      <c r="ET55" s="18" t="n"/>
      <c r="EU55" s="18" t="n"/>
      <c r="EV55" s="18" t="n"/>
      <c r="EW55" s="256" t="n"/>
      <c r="EX55" s="18" t="n"/>
      <c r="EY55" s="18" t="n"/>
      <c r="EZ55" s="18" t="n"/>
      <c r="FA55" s="18" t="n"/>
      <c r="FB55" s="18" t="n"/>
      <c r="FC55" s="18" t="n"/>
      <c r="FD55" s="18" t="n"/>
      <c r="FE55" s="239" t="inlineStr">
        <is>
          <t>20 DE ER PG</t>
        </is>
      </c>
      <c r="FF55" s="18" t="n"/>
      <c r="FG55" s="18" t="n"/>
      <c r="FH55" s="18" t="n"/>
      <c r="FI55" s="18" t="n"/>
      <c r="FJ55" s="274" t="n"/>
      <c r="FK55" s="18" t="n"/>
      <c r="FL55" s="18" t="n"/>
      <c r="FM55" s="18" t="n"/>
      <c r="FN55" s="18" t="n"/>
      <c r="FO55" s="18" t="n"/>
      <c r="FP55" s="274" t="n"/>
      <c r="FQ55" s="18" t="n"/>
      <c r="FR55" s="18" t="n"/>
      <c r="FS55" s="18" t="n"/>
      <c r="FT55" s="18" t="n"/>
      <c r="FU55" s="18" t="n"/>
      <c r="FV55" s="18" t="n"/>
      <c r="FW55" s="18" t="n"/>
      <c r="FX55" s="239" t="inlineStr">
        <is>
          <t>10 DE VDP</t>
        </is>
      </c>
      <c r="FY55" s="18" t="n"/>
      <c r="FZ55" s="18" t="n"/>
      <c r="GA55" s="18" t="n"/>
      <c r="GB55" s="18" t="n"/>
      <c r="GC55" s="18" t="n"/>
    </row>
    <row r="56" ht="18.75" customHeight="1">
      <c r="A56" s="43" t="inlineStr">
        <is>
          <t>KIT CAIXA M OUI</t>
        </is>
      </c>
      <c r="B56" s="36" t="n">
        <v>100</v>
      </c>
      <c r="C56" s="668" t="n">
        <v>652.05</v>
      </c>
      <c r="D56" s="329" t="n">
        <v>15</v>
      </c>
      <c r="F56" s="38" t="n">
        <v>0</v>
      </c>
      <c r="G56" s="38">
        <f>0+10</f>
        <v/>
      </c>
      <c r="H56" s="38" t="n">
        <v>10</v>
      </c>
      <c r="I56" s="38" t="n">
        <v>10</v>
      </c>
      <c r="J56" s="38" t="n">
        <v>10</v>
      </c>
      <c r="K56" s="38" t="n">
        <v>8</v>
      </c>
      <c r="L56" s="38" t="n">
        <v>8</v>
      </c>
      <c r="M56" s="38" t="n">
        <v>8</v>
      </c>
      <c r="N56" s="38" t="n">
        <v>8</v>
      </c>
      <c r="O56" s="38" t="n">
        <v>8</v>
      </c>
      <c r="P56" s="38" t="n">
        <v>8</v>
      </c>
      <c r="Q56" s="38" t="n">
        <v>8</v>
      </c>
      <c r="R56" s="38" t="n">
        <v>8</v>
      </c>
      <c r="S56" s="38" t="n">
        <v>8</v>
      </c>
      <c r="T56" s="38" t="n">
        <v>8</v>
      </c>
      <c r="U56" s="38" t="n">
        <v>8</v>
      </c>
      <c r="V56" s="38" t="n">
        <v>3</v>
      </c>
      <c r="W56" s="38">
        <f>1+20</f>
        <v/>
      </c>
      <c r="X56" s="38" t="n">
        <v>16</v>
      </c>
      <c r="Y56" s="38" t="n">
        <v>25</v>
      </c>
      <c r="Z56" s="38" t="n">
        <v>19</v>
      </c>
      <c r="AA56" s="38" t="n">
        <v>19</v>
      </c>
      <c r="AB56" s="261" t="n">
        <v>27</v>
      </c>
      <c r="AC56" s="261" t="n">
        <v>27</v>
      </c>
      <c r="AD56" s="38" t="n">
        <v>24</v>
      </c>
      <c r="AE56" s="38" t="n">
        <v>24</v>
      </c>
      <c r="AF56" s="38" t="n">
        <v>24</v>
      </c>
      <c r="AG56" s="38" t="n">
        <v>25</v>
      </c>
      <c r="AH56" s="38" t="n">
        <v>25</v>
      </c>
      <c r="AI56" s="38" t="n">
        <v>25</v>
      </c>
      <c r="AJ56" s="38" t="n">
        <v>25</v>
      </c>
      <c r="AK56" s="38" t="n">
        <v>25</v>
      </c>
      <c r="AL56" s="38" t="n">
        <v>25</v>
      </c>
      <c r="AM56" s="38" t="n">
        <v>25</v>
      </c>
      <c r="AN56" s="38" t="n">
        <v>25</v>
      </c>
      <c r="AO56" s="38" t="n">
        <v>25</v>
      </c>
      <c r="AP56" s="38" t="n">
        <v>25</v>
      </c>
      <c r="AQ56" s="38" t="n">
        <v>25</v>
      </c>
      <c r="AR56" s="38" t="n">
        <v>25</v>
      </c>
      <c r="AS56" s="38" t="n">
        <v>25</v>
      </c>
      <c r="AT56" s="38" t="n">
        <v>24</v>
      </c>
      <c r="AU56" s="38" t="n">
        <v>24</v>
      </c>
      <c r="AV56" s="38" t="n">
        <v>21</v>
      </c>
      <c r="AW56" s="38" t="n">
        <v>21</v>
      </c>
      <c r="AX56" s="38" t="n">
        <v>21</v>
      </c>
      <c r="AY56" s="38" t="n">
        <v>21</v>
      </c>
      <c r="AZ56" s="38" t="n">
        <v>21</v>
      </c>
      <c r="BA56" s="38" t="n">
        <v>21</v>
      </c>
      <c r="BB56" s="38" t="n">
        <v>21</v>
      </c>
      <c r="BC56" s="38" t="n">
        <v>21</v>
      </c>
      <c r="BD56" s="38" t="n">
        <v>21</v>
      </c>
      <c r="BE56" s="38" t="n">
        <v>21</v>
      </c>
      <c r="BF56" s="38" t="n">
        <v>21</v>
      </c>
      <c r="BG56" s="38" t="n">
        <v>21</v>
      </c>
      <c r="BH56" s="38" t="n">
        <v>21</v>
      </c>
      <c r="BI56" s="38" t="n">
        <v>21</v>
      </c>
      <c r="BJ56" s="38" t="n">
        <v>21</v>
      </c>
      <c r="BK56" s="38" t="n">
        <v>21</v>
      </c>
      <c r="BL56" s="38" t="n">
        <v>21</v>
      </c>
      <c r="BM56" s="38" t="n">
        <v>21</v>
      </c>
      <c r="BN56" s="38" t="n">
        <v>21</v>
      </c>
      <c r="BO56" s="38" t="n">
        <v>21</v>
      </c>
      <c r="BP56" s="38" t="n">
        <v>21</v>
      </c>
      <c r="BQ56" s="38" t="n">
        <v>21</v>
      </c>
      <c r="BR56" s="38" t="n">
        <v>21</v>
      </c>
      <c r="BS56" s="38" t="n">
        <v>21</v>
      </c>
      <c r="BT56" s="38" t="n"/>
      <c r="BU56" s="38" t="n"/>
      <c r="BV56" s="38" t="n"/>
      <c r="BW56" s="38" t="n">
        <v>23</v>
      </c>
      <c r="BX56" s="38" t="n">
        <v>23</v>
      </c>
      <c r="BY56" s="38" t="n">
        <v>23</v>
      </c>
      <c r="BZ56" s="38" t="n">
        <v>23</v>
      </c>
      <c r="CA56" s="38" t="n">
        <v>23</v>
      </c>
      <c r="CB56" s="38" t="n">
        <v>23</v>
      </c>
      <c r="CC56" s="9" t="n">
        <v>23</v>
      </c>
      <c r="CD56" s="9" t="n">
        <v>23</v>
      </c>
      <c r="CE56" s="9" t="n">
        <v>23</v>
      </c>
      <c r="CF56" s="154">
        <f>CD56+IF(NOT(ISBLANK(OFFSET(CF56,0,6))),N(OFFSET(CF56,0,6)),N(OFFSET(CF56,0,7)))-CE56</f>
        <v/>
      </c>
      <c r="CG56" s="53" t="n"/>
      <c r="CH56" s="19" t="n"/>
      <c r="CJ56" s="27" t="n"/>
      <c r="CK56" s="691" t="n">
        <v>0</v>
      </c>
      <c r="CL56" s="18" t="n">
        <v>0</v>
      </c>
      <c r="CM56" s="18" t="n">
        <v>0</v>
      </c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18" t="n"/>
      <c r="DP56" s="396" t="n"/>
      <c r="DQ56" s="256" t="n"/>
      <c r="DR56" s="18" t="n"/>
      <c r="DS56" s="18" t="n"/>
      <c r="DT56" s="18" t="n"/>
      <c r="DU56" s="18" t="n"/>
      <c r="DV56" s="18" t="n"/>
      <c r="DW56" s="18" t="n"/>
      <c r="DX56" s="18" t="n"/>
      <c r="DY56" s="18" t="n"/>
      <c r="DZ56" s="18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18" t="n"/>
      <c r="ET56" s="18" t="n"/>
      <c r="EU56" s="18" t="n"/>
      <c r="EV56" s="18" t="n"/>
      <c r="EW56" s="256" t="n"/>
      <c r="EX56" s="18" t="n"/>
      <c r="EY56" s="18" t="n"/>
      <c r="EZ56" s="18" t="n"/>
      <c r="FA56" s="18" t="n"/>
      <c r="FB56" s="18" t="n"/>
      <c r="FC56" s="18" t="n"/>
      <c r="FD56" s="18" t="n"/>
      <c r="FE56" s="18" t="n"/>
      <c r="FF56" s="18" t="n"/>
      <c r="FG56" s="18" t="n"/>
      <c r="FH56" s="18" t="n"/>
      <c r="FI56" s="18" t="n"/>
      <c r="FJ56" s="274" t="n"/>
      <c r="FK56" s="18" t="n"/>
      <c r="FL56" s="18" t="n"/>
      <c r="FM56" s="18" t="n"/>
      <c r="FN56" s="18" t="n"/>
      <c r="FO56" s="18" t="n"/>
      <c r="FP56" s="274" t="n"/>
      <c r="FQ56" s="18" t="n"/>
      <c r="FR56" s="18" t="n"/>
      <c r="FS56" s="18" t="n"/>
      <c r="FT56" s="18" t="n"/>
      <c r="FU56" s="18" t="n"/>
      <c r="FV56" s="18" t="n"/>
      <c r="FW56" s="18" t="n"/>
      <c r="FX56" s="18" t="n"/>
      <c r="FY56" s="18" t="n"/>
      <c r="FZ56" s="18" t="n"/>
      <c r="GA56" s="18" t="n"/>
      <c r="GB56" s="18" t="n"/>
      <c r="GC56" s="18" t="n"/>
    </row>
    <row r="57" ht="18.75" customHeight="1">
      <c r="A57" s="43" t="inlineStr">
        <is>
          <t>KIT CAIXA G OUI</t>
        </is>
      </c>
      <c r="B57" s="36" t="n">
        <v>50</v>
      </c>
      <c r="C57" s="668" t="n">
        <v>567.53</v>
      </c>
      <c r="D57" s="329" t="n">
        <v>5</v>
      </c>
      <c r="F57" s="38" t="n">
        <v>10</v>
      </c>
      <c r="G57" s="38" t="n">
        <v>10</v>
      </c>
      <c r="H57" s="38" t="n">
        <v>10</v>
      </c>
      <c r="I57" s="38" t="n">
        <v>10</v>
      </c>
      <c r="J57" s="38" t="n">
        <v>10</v>
      </c>
      <c r="K57" s="38" t="n">
        <v>10</v>
      </c>
      <c r="L57" s="38" t="n">
        <v>10</v>
      </c>
      <c r="M57" s="38" t="n">
        <v>10</v>
      </c>
      <c r="N57" s="38" t="n">
        <v>10</v>
      </c>
      <c r="O57" s="38" t="n">
        <v>10</v>
      </c>
      <c r="P57" s="38" t="n">
        <v>10</v>
      </c>
      <c r="Q57" s="38" t="n">
        <v>10</v>
      </c>
      <c r="R57" s="38" t="n">
        <v>10</v>
      </c>
      <c r="S57" s="38" t="n">
        <v>10</v>
      </c>
      <c r="T57" s="38" t="n">
        <v>10</v>
      </c>
      <c r="U57" s="38" t="n">
        <v>10</v>
      </c>
      <c r="V57" s="38" t="n">
        <v>10</v>
      </c>
      <c r="W57" s="38" t="n">
        <v>10</v>
      </c>
      <c r="X57" s="38" t="n">
        <v>10</v>
      </c>
      <c r="Y57" s="38" t="n">
        <v>10</v>
      </c>
      <c r="Z57" s="38" t="n">
        <v>10</v>
      </c>
      <c r="AA57" s="38" t="n">
        <v>10</v>
      </c>
      <c r="AB57" s="38" t="n">
        <v>10</v>
      </c>
      <c r="AC57" s="38" t="n">
        <v>10</v>
      </c>
      <c r="AD57" s="38" t="n">
        <v>10</v>
      </c>
      <c r="AE57" s="38" t="n">
        <v>10</v>
      </c>
      <c r="AF57" s="38" t="n">
        <v>10</v>
      </c>
      <c r="AG57" s="38" t="n">
        <v>10</v>
      </c>
      <c r="AH57" s="38" t="n">
        <v>10</v>
      </c>
      <c r="AI57" s="38" t="n">
        <v>10</v>
      </c>
      <c r="AJ57" s="38" t="n">
        <v>10</v>
      </c>
      <c r="AK57" s="38" t="n">
        <v>10</v>
      </c>
      <c r="AL57" s="38" t="n">
        <v>10</v>
      </c>
      <c r="AM57" s="38" t="n">
        <v>10</v>
      </c>
      <c r="AN57" s="38" t="n">
        <v>10</v>
      </c>
      <c r="AO57" s="38" t="n">
        <v>10</v>
      </c>
      <c r="AP57" s="38" t="n">
        <v>10</v>
      </c>
      <c r="AQ57" s="38" t="n">
        <v>10</v>
      </c>
      <c r="AR57" s="38" t="n">
        <v>10</v>
      </c>
      <c r="AS57" s="38" t="n">
        <v>10</v>
      </c>
      <c r="AT57" s="38" t="n">
        <v>10</v>
      </c>
      <c r="AU57" s="38" t="n">
        <v>10</v>
      </c>
      <c r="AV57" s="38" t="n">
        <v>6</v>
      </c>
      <c r="AW57" s="38" t="n">
        <v>6</v>
      </c>
      <c r="AX57" s="38" t="n">
        <v>6</v>
      </c>
      <c r="AY57" s="38" t="n">
        <v>6</v>
      </c>
      <c r="AZ57" s="38" t="n">
        <v>6</v>
      </c>
      <c r="BA57" s="38" t="n">
        <v>6</v>
      </c>
      <c r="BB57" s="38" t="n">
        <v>6</v>
      </c>
      <c r="BC57" s="38" t="n">
        <v>6</v>
      </c>
      <c r="BD57" s="38" t="n">
        <v>6</v>
      </c>
      <c r="BE57" s="38" t="n">
        <v>6</v>
      </c>
      <c r="BF57" s="38" t="n">
        <v>6</v>
      </c>
      <c r="BG57" s="38" t="n">
        <v>6</v>
      </c>
      <c r="BH57" s="38" t="n">
        <v>6</v>
      </c>
      <c r="BI57" s="38" t="n">
        <v>6</v>
      </c>
      <c r="BJ57" s="38" t="n">
        <v>6</v>
      </c>
      <c r="BK57" s="38" t="n">
        <v>6</v>
      </c>
      <c r="BL57" s="38" t="n">
        <v>6</v>
      </c>
      <c r="BM57" s="38" t="n">
        <v>6</v>
      </c>
      <c r="BN57" s="38" t="n">
        <v>6</v>
      </c>
      <c r="BO57" s="38" t="n">
        <v>6</v>
      </c>
      <c r="BP57" s="38" t="n">
        <v>6</v>
      </c>
      <c r="BQ57" s="38" t="n">
        <v>6</v>
      </c>
      <c r="BR57" s="38" t="n">
        <v>6</v>
      </c>
      <c r="BS57" s="38" t="n">
        <v>6</v>
      </c>
      <c r="BT57" s="38" t="n"/>
      <c r="BU57" s="38" t="n"/>
      <c r="BV57" s="38" t="n"/>
      <c r="BW57" s="38" t="n">
        <v>6</v>
      </c>
      <c r="BX57" s="38" t="n">
        <v>6</v>
      </c>
      <c r="BY57" s="38" t="n">
        <v>6</v>
      </c>
      <c r="BZ57" s="38" t="n">
        <v>6</v>
      </c>
      <c r="CA57" s="38" t="n">
        <v>6</v>
      </c>
      <c r="CB57" s="38" t="n">
        <v>6</v>
      </c>
      <c r="CC57" s="9" t="n">
        <v>6</v>
      </c>
      <c r="CD57" s="9" t="n">
        <v>6</v>
      </c>
      <c r="CE57" s="9" t="n">
        <v>6</v>
      </c>
      <c r="CF57" s="154">
        <f>CD57+IF(NOT(ISBLANK(OFFSET(CF57,0,6))),N(OFFSET(CF57,0,6)),N(OFFSET(CF57,0,7)))-CE57</f>
        <v/>
      </c>
      <c r="CH57" s="19" t="n"/>
      <c r="CJ57" s="19" t="n"/>
      <c r="CK57" s="691" t="n">
        <v>0</v>
      </c>
      <c r="CL57" s="18" t="n">
        <v>0</v>
      </c>
      <c r="CM57" s="18" t="n">
        <v>0</v>
      </c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18" t="n"/>
      <c r="DP57" s="396" t="n"/>
      <c r="DQ57" s="256" t="n"/>
      <c r="DR57" s="18" t="n"/>
      <c r="DS57" s="17" t="n"/>
      <c r="DT57" s="17" t="n"/>
      <c r="DU57" s="17" t="n"/>
      <c r="DV57" s="17" t="n"/>
      <c r="DW57" s="17" t="n"/>
      <c r="DX57" s="17" t="n"/>
      <c r="DY57" s="17" t="n"/>
      <c r="DZ57" s="17" t="n"/>
      <c r="EA57" s="17" t="n"/>
      <c r="EB57" s="17" t="n"/>
      <c r="EC57" s="17" t="n"/>
      <c r="ED57" s="17" t="n"/>
      <c r="EE57" s="17" t="n"/>
      <c r="EF57" s="17" t="n"/>
      <c r="EG57" s="17" t="n"/>
      <c r="EH57" s="17" t="n"/>
      <c r="EI57" s="17" t="n"/>
      <c r="EJ57" s="17" t="n"/>
      <c r="EK57" s="17" t="n"/>
      <c r="EL57" s="17" t="n"/>
      <c r="EM57" s="17" t="n"/>
      <c r="EN57" s="17" t="n"/>
      <c r="EO57" s="17" t="n"/>
      <c r="EP57" s="17" t="n"/>
      <c r="EQ57" s="17" t="n"/>
      <c r="ER57" s="17" t="n"/>
      <c r="ES57" s="17" t="n"/>
      <c r="ET57" s="17" t="n"/>
      <c r="EU57" s="17" t="n"/>
      <c r="EV57" s="17" t="n"/>
      <c r="EX57" s="17" t="n"/>
      <c r="EY57" s="17" t="n"/>
      <c r="EZ57" s="17" t="n"/>
      <c r="FA57" s="17" t="n"/>
      <c r="FB57" s="17" t="n"/>
      <c r="FC57" s="17" t="n"/>
      <c r="FD57" s="17" t="n"/>
      <c r="FE57" s="17" t="n"/>
      <c r="FF57" s="17" t="n"/>
      <c r="FG57" s="17" t="n"/>
      <c r="FH57" s="17" t="n"/>
      <c r="FI57" s="17" t="n"/>
      <c r="FK57" s="17" t="n"/>
      <c r="FL57" s="17" t="n"/>
      <c r="FM57" s="17" t="n"/>
      <c r="FN57" s="17" t="n"/>
      <c r="FO57" s="17" t="n"/>
      <c r="FQ57" s="17" t="n"/>
      <c r="FR57" s="17" t="n"/>
      <c r="FS57" s="17" t="n"/>
      <c r="FT57" s="17" t="n"/>
      <c r="FU57" s="17" t="n"/>
      <c r="FV57" s="17" t="n"/>
      <c r="FW57" s="17" t="n"/>
      <c r="FX57" s="17" t="n"/>
      <c r="FY57" s="17" t="n"/>
      <c r="FZ57" s="17" t="n"/>
      <c r="GA57" s="17" t="n"/>
      <c r="GB57" s="17" t="n"/>
      <c r="GC57" s="17" t="n"/>
    </row>
    <row r="58" ht="18.75" customHeight="1" thickBot="1">
      <c r="B58" s="53" t="n"/>
      <c r="C58" s="724" t="n"/>
      <c r="D58" s="72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  <c r="AA58" s="4" t="n"/>
      <c r="AB58" s="4" t="n"/>
      <c r="AC58" s="4" t="n"/>
      <c r="AD58" s="4" t="n"/>
      <c r="AE58" s="4" t="n"/>
      <c r="AF58" s="4" t="n"/>
      <c r="AG58" s="4" t="n"/>
      <c r="AH58" s="4" t="n"/>
      <c r="AI58" s="4" t="n"/>
      <c r="AJ58" s="4" t="n"/>
      <c r="AK58" s="4" t="n"/>
      <c r="AL58" s="4" t="n"/>
      <c r="AM58" s="4" t="n"/>
      <c r="AN58" s="4" t="n"/>
      <c r="AO58" s="4" t="n"/>
      <c r="AP58" s="4" t="n"/>
      <c r="AQ58" s="4" t="n"/>
      <c r="AR58" s="4" t="n"/>
      <c r="AS58" s="4" t="n"/>
      <c r="AT58" s="4" t="n"/>
      <c r="AU58" s="4" t="n"/>
      <c r="AV58" s="4" t="n"/>
      <c r="AW58" s="4" t="n"/>
      <c r="AX58" s="4" t="n"/>
      <c r="AY58" s="4" t="n"/>
      <c r="AZ58" s="4" t="n"/>
      <c r="BA58" s="4" t="n"/>
      <c r="BB58" s="4" t="n"/>
      <c r="BC58" s="4" t="n"/>
      <c r="BD58" s="4" t="n"/>
      <c r="BE58" s="4" t="n"/>
      <c r="BF58" s="4" t="n"/>
      <c r="BG58" s="4" t="n"/>
      <c r="BH58" s="4" t="n"/>
      <c r="BI58" s="4" t="n"/>
      <c r="BJ58" s="4" t="n"/>
      <c r="BK58" s="4" t="n"/>
      <c r="BL58" s="4" t="n"/>
      <c r="BM58" s="4" t="n"/>
      <c r="BN58" s="4" t="n"/>
      <c r="BO58" s="4" t="n"/>
      <c r="BP58" s="4" t="n"/>
      <c r="BQ58" s="4" t="n"/>
      <c r="BR58" s="4" t="n"/>
      <c r="BS58" s="4" t="n"/>
      <c r="BT58" s="4" t="n"/>
      <c r="BU58" s="4" t="n"/>
      <c r="BV58" s="4" t="n"/>
      <c r="BW58" s="4" t="n"/>
      <c r="BX58" s="4" t="n"/>
      <c r="BY58" s="4" t="n"/>
      <c r="BZ58" s="4" t="n"/>
      <c r="CA58" s="4" t="n"/>
      <c r="CB58" s="4" t="n"/>
      <c r="CC58" s="2" t="n"/>
      <c r="CD58" s="2" t="n"/>
      <c r="CE58" s="2" t="n"/>
      <c r="CF58" s="4" t="n"/>
      <c r="CH58" s="26" t="n"/>
      <c r="CJ58" s="108" t="n"/>
      <c r="CK58" s="725" t="n"/>
      <c r="CL58" s="17" t="n"/>
      <c r="CM58" s="17" t="n"/>
      <c r="CN58" s="17" t="n"/>
      <c r="CO58" s="17" t="n"/>
      <c r="CP58" s="17" t="n"/>
      <c r="CQ58" s="17" t="n"/>
      <c r="CR58" s="17" t="n"/>
      <c r="CS58" s="17" t="n"/>
      <c r="CT58" s="17" t="n"/>
      <c r="CU58" s="17" t="n"/>
      <c r="CV58" s="17" t="n"/>
      <c r="CW58" s="17" t="n"/>
      <c r="CX58" s="17" t="n"/>
      <c r="CY58" s="17" t="n"/>
      <c r="CZ58" s="17" t="n"/>
      <c r="DA58" s="17" t="n"/>
      <c r="DB58" s="17" t="n"/>
      <c r="DC58" s="17" t="n"/>
      <c r="DD58" s="17" t="n"/>
      <c r="DE58" s="17" t="n"/>
      <c r="DF58" s="17" t="n"/>
      <c r="DG58" s="17" t="n"/>
      <c r="DH58" s="17" t="n"/>
      <c r="DI58" s="17" t="n"/>
      <c r="DJ58" s="17" t="n"/>
      <c r="DK58" s="17" t="n"/>
      <c r="DL58" s="17" t="n"/>
      <c r="DM58" s="17" t="n"/>
      <c r="DN58" s="17" t="n"/>
      <c r="DO58" s="17" t="n"/>
      <c r="DQ58" s="723" t="n"/>
      <c r="DR58" s="17" t="n"/>
      <c r="DS58" s="654" t="n">
        <v>45909</v>
      </c>
      <c r="DT58" s="654" t="n">
        <v>45915</v>
      </c>
      <c r="DU58" s="654" t="n">
        <v>45909</v>
      </c>
      <c r="DV58" s="654" t="n">
        <v>45903</v>
      </c>
      <c r="DW58" s="654" t="n">
        <v>45895</v>
      </c>
      <c r="DX58" s="654" t="n">
        <v>45895</v>
      </c>
      <c r="DY58" s="679" t="n">
        <v>45896</v>
      </c>
      <c r="DZ58" s="654" t="n">
        <v>45888</v>
      </c>
      <c r="EA58" s="654" t="n">
        <v>45881</v>
      </c>
      <c r="EB58" s="654" t="n">
        <v>45881</v>
      </c>
      <c r="EC58" s="654" t="n">
        <v>45874</v>
      </c>
      <c r="ED58" s="655" t="n">
        <v>45882</v>
      </c>
      <c r="EE58" s="655" t="n">
        <v>45881</v>
      </c>
      <c r="EF58" s="654" t="n">
        <v>45867</v>
      </c>
      <c r="EG58" s="654" t="n">
        <v>45860</v>
      </c>
      <c r="EH58" s="654" t="n">
        <v>45860</v>
      </c>
      <c r="EI58" s="655" t="n">
        <v>45860</v>
      </c>
      <c r="EJ58" s="654" t="n">
        <v>45848</v>
      </c>
      <c r="EK58" s="681" t="n">
        <v>45853</v>
      </c>
      <c r="EL58" s="654" t="n">
        <v>45839</v>
      </c>
      <c r="EM58" s="654" t="n">
        <v>45825</v>
      </c>
      <c r="EN58" s="681" t="n">
        <v>45791</v>
      </c>
      <c r="EO58" s="655" t="n">
        <v>45826</v>
      </c>
      <c r="EP58" s="654" t="n">
        <v>45813</v>
      </c>
      <c r="EQ58" s="655" t="n">
        <v>45819</v>
      </c>
      <c r="ER58" s="654" t="n">
        <v>45805</v>
      </c>
      <c r="ES58" s="654" t="n">
        <v>45783</v>
      </c>
      <c r="ET58" s="655" t="n">
        <v>45807</v>
      </c>
      <c r="EU58" s="654" t="n">
        <v>45790</v>
      </c>
      <c r="EV58" s="690" t="n">
        <v>45800</v>
      </c>
      <c r="EW58" s="650" t="n">
        <v>45799</v>
      </c>
      <c r="EX58" s="655" t="n">
        <v>45798</v>
      </c>
      <c r="EY58" s="654" t="n">
        <v>45783</v>
      </c>
      <c r="EZ58" s="654" t="n">
        <v>45783</v>
      </c>
      <c r="FA58" s="654" t="n">
        <v>45775</v>
      </c>
      <c r="FB58" s="654" t="n">
        <v>45770</v>
      </c>
      <c r="FC58" s="654" t="n">
        <v>45743</v>
      </c>
      <c r="FD58" s="683" t="n">
        <v>45735</v>
      </c>
      <c r="FE58" s="655" t="n">
        <v>45775</v>
      </c>
      <c r="FF58" s="654" t="n">
        <v>45756</v>
      </c>
      <c r="FG58" s="654" t="n">
        <v>45749</v>
      </c>
      <c r="FH58" s="654" t="n">
        <v>45743</v>
      </c>
      <c r="FI58" s="654" t="n">
        <v>45743</v>
      </c>
      <c r="FJ58" s="650" t="n">
        <v>45741</v>
      </c>
      <c r="FK58" s="654" t="n">
        <v>45728</v>
      </c>
      <c r="FL58" s="654" t="n">
        <v>45728</v>
      </c>
      <c r="FM58" s="654" t="n">
        <v>45722</v>
      </c>
      <c r="FN58" s="654" t="n">
        <v>45714</v>
      </c>
      <c r="FO58" s="654" t="n">
        <v>45706</v>
      </c>
      <c r="FP58" s="650" t="n">
        <v>45700</v>
      </c>
      <c r="FQ58" s="654" t="n">
        <v>45699</v>
      </c>
      <c r="FR58" s="654" t="n">
        <v>45706</v>
      </c>
      <c r="FS58" s="654" t="n">
        <v>45693</v>
      </c>
      <c r="FT58" s="654" t="n">
        <v>45685</v>
      </c>
      <c r="FU58" s="654" t="n">
        <v>45679</v>
      </c>
      <c r="FV58" s="654" t="n">
        <v>45660</v>
      </c>
      <c r="FW58" s="654" t="n">
        <v>45674</v>
      </c>
      <c r="FX58" s="655" t="n">
        <v>45672</v>
      </c>
      <c r="FY58" s="654" t="n">
        <v>45652</v>
      </c>
      <c r="FZ58" s="655" t="n">
        <v>45670</v>
      </c>
      <c r="GA58" s="654" t="n">
        <v>45664</v>
      </c>
      <c r="GB58" s="654" t="n">
        <v>45660</v>
      </c>
      <c r="GC58" s="654" t="n">
        <v>45660</v>
      </c>
    </row>
    <row r="59" ht="18.75" customHeight="1">
      <c r="A59" s="585" t="inlineStr">
        <is>
          <t>SACOLAS E CAIXAS QDB</t>
        </is>
      </c>
      <c r="B59" s="135" t="n"/>
      <c r="C59" s="135" t="n"/>
      <c r="D59" s="135" t="n"/>
      <c r="F59" s="650" t="n">
        <v>45656</v>
      </c>
      <c r="G59" s="650" t="n">
        <v>45663</v>
      </c>
      <c r="H59" s="650" t="n">
        <v>45670</v>
      </c>
      <c r="I59" s="650" t="n">
        <v>45677</v>
      </c>
      <c r="J59" s="650" t="n">
        <v>45684</v>
      </c>
      <c r="K59" s="650" t="n">
        <v>45691</v>
      </c>
      <c r="L59" s="650" t="n">
        <v>45698</v>
      </c>
      <c r="M59" s="650" t="n">
        <v>45705</v>
      </c>
      <c r="N59" s="650" t="n">
        <v>45712</v>
      </c>
      <c r="O59" s="650" t="n">
        <v>45719</v>
      </c>
      <c r="P59" s="650" t="n">
        <v>45726</v>
      </c>
      <c r="Q59" s="650" t="n">
        <v>45733</v>
      </c>
      <c r="R59" s="650" t="n">
        <v>45740</v>
      </c>
      <c r="S59" s="650" t="n">
        <v>45747</v>
      </c>
      <c r="T59" s="650" t="n">
        <v>45754</v>
      </c>
      <c r="U59" s="650" t="n">
        <v>45761</v>
      </c>
      <c r="V59" s="650" t="n">
        <v>45768</v>
      </c>
      <c r="W59" s="650" t="n">
        <v>45775</v>
      </c>
      <c r="X59" s="650" t="n">
        <v>45782</v>
      </c>
      <c r="Y59" s="650" t="n">
        <v>45789</v>
      </c>
      <c r="Z59" s="650" t="n">
        <v>45796</v>
      </c>
      <c r="AA59" s="650" t="n">
        <v>45803</v>
      </c>
      <c r="AB59" s="650" t="n">
        <v>45810</v>
      </c>
      <c r="AC59" s="650" t="n">
        <v>45817</v>
      </c>
      <c r="AD59" s="650" t="n">
        <v>45824</v>
      </c>
      <c r="AE59" s="650" t="n">
        <v>45831</v>
      </c>
      <c r="AF59" s="650" t="n">
        <v>45838</v>
      </c>
      <c r="AG59" s="650" t="n">
        <v>45845</v>
      </c>
      <c r="AH59" s="650" t="n">
        <v>45852</v>
      </c>
      <c r="AI59" s="650" t="n">
        <v>45859</v>
      </c>
      <c r="AJ59" s="650" t="n">
        <v>45866</v>
      </c>
      <c r="AK59" s="650" t="n">
        <v>45873</v>
      </c>
      <c r="AL59" s="650" t="n">
        <v>45880</v>
      </c>
      <c r="AM59" s="650" t="n">
        <v>45887</v>
      </c>
      <c r="AN59" s="650" t="n">
        <v>45894</v>
      </c>
      <c r="AO59" s="650" t="n">
        <v>45901</v>
      </c>
      <c r="AP59" s="650" t="n">
        <v>45908</v>
      </c>
      <c r="AQ59" s="650" t="n">
        <v>45915</v>
      </c>
      <c r="AR59" s="650" t="n">
        <v>45922</v>
      </c>
      <c r="AS59" s="650" t="n">
        <v>45929</v>
      </c>
      <c r="AT59" s="650" t="n">
        <v>45936</v>
      </c>
      <c r="AU59" s="650" t="n">
        <v>45943</v>
      </c>
      <c r="AV59" s="650" t="n">
        <v>45950</v>
      </c>
      <c r="AW59" s="650" t="n">
        <v>45957</v>
      </c>
      <c r="AX59" s="650" t="n">
        <v>45964</v>
      </c>
      <c r="AY59" s="650" t="n">
        <v>45971</v>
      </c>
      <c r="AZ59" s="650" t="n">
        <v>45978</v>
      </c>
      <c r="BA59" s="650" t="n">
        <v>45985</v>
      </c>
      <c r="BB59" s="650" t="n">
        <v>45992</v>
      </c>
      <c r="BC59" s="650" t="n">
        <v>45999</v>
      </c>
      <c r="BD59" s="650" t="n">
        <v>46006</v>
      </c>
      <c r="BE59" s="650" t="n">
        <v>46013</v>
      </c>
      <c r="BF59" s="650" t="n">
        <v>46020</v>
      </c>
      <c r="BG59" s="650" t="n">
        <v>46027</v>
      </c>
      <c r="BH59" s="650" t="n">
        <v>46034</v>
      </c>
      <c r="BI59" s="650" t="n">
        <v>46041</v>
      </c>
      <c r="BJ59" s="650" t="n">
        <v>46048</v>
      </c>
      <c r="BK59" s="650" t="n">
        <v>46055</v>
      </c>
      <c r="BL59" s="650" t="n">
        <v>46062</v>
      </c>
      <c r="BM59" s="650" t="n">
        <v>46069</v>
      </c>
      <c r="BN59" s="650" t="n">
        <v>46076</v>
      </c>
      <c r="BO59" s="650" t="n">
        <v>46083</v>
      </c>
      <c r="BP59" s="650" t="n">
        <v>46090</v>
      </c>
      <c r="BQ59" s="650" t="n">
        <v>46097</v>
      </c>
      <c r="BR59" s="650" t="n">
        <v>46104</v>
      </c>
      <c r="BS59" s="650" t="n">
        <v>46111</v>
      </c>
      <c r="BT59" s="650" t="n">
        <v>46118</v>
      </c>
      <c r="BU59" s="650" t="n">
        <v>46125</v>
      </c>
      <c r="BV59" s="650" t="n">
        <v>46132</v>
      </c>
      <c r="BW59" s="650" t="n">
        <v>46139</v>
      </c>
      <c r="BX59" s="650" t="n">
        <v>46146</v>
      </c>
      <c r="BY59" s="650" t="n">
        <v>46154</v>
      </c>
      <c r="BZ59" s="650" t="n">
        <v>46160</v>
      </c>
      <c r="CA59" s="650" t="n">
        <v>46160</v>
      </c>
      <c r="CB59" s="650" t="n">
        <v>46160</v>
      </c>
      <c r="CC59" s="651" t="n">
        <v>46161.4800428125</v>
      </c>
      <c r="CD59" s="651" t="n">
        <v>46161.48072087963</v>
      </c>
      <c r="CE59" s="651" t="n">
        <v>46161.48287954449</v>
      </c>
      <c r="CF59" s="652" t="inlineStr">
        <is>
          <t>USOU</t>
        </is>
      </c>
      <c r="CH59" s="35" t="inlineStr">
        <is>
          <t>Pend.</t>
        </is>
      </c>
      <c r="CJ59" s="12" t="inlineStr">
        <is>
          <t>Novo Pedido</t>
        </is>
      </c>
      <c r="CK59" s="708" t="n">
        <v>46161.48287850411</v>
      </c>
      <c r="CL59" s="654" t="n">
        <v>46156</v>
      </c>
      <c r="CM59" s="654" t="n">
        <v>46149</v>
      </c>
      <c r="CN59" s="654" t="n">
        <v>46114</v>
      </c>
      <c r="CO59" s="710" t="n">
        <v>46065</v>
      </c>
      <c r="CP59" s="654" t="n">
        <v>46092</v>
      </c>
      <c r="CQ59" s="654" t="n">
        <v>46092</v>
      </c>
      <c r="CR59" s="654" t="n">
        <v>46084</v>
      </c>
      <c r="CS59" s="711" t="n">
        <v>46045</v>
      </c>
      <c r="CT59" s="654" t="n">
        <v>46071</v>
      </c>
      <c r="CU59" s="654" t="n">
        <v>46043</v>
      </c>
      <c r="CV59" s="654" t="n">
        <v>46029</v>
      </c>
      <c r="CW59" s="654" t="n">
        <v>46024</v>
      </c>
      <c r="CX59" s="655" t="n">
        <v>46041</v>
      </c>
      <c r="CY59" s="654" t="n">
        <v>46029</v>
      </c>
      <c r="CZ59" s="654" t="n">
        <v>46024</v>
      </c>
      <c r="DA59" s="654" t="n">
        <v>46007</v>
      </c>
      <c r="DB59" s="654" t="n">
        <v>46001</v>
      </c>
      <c r="DC59" s="654" t="n">
        <v>45994</v>
      </c>
      <c r="DD59" s="654" t="n">
        <v>45986</v>
      </c>
      <c r="DE59" s="654" t="n">
        <v>45986</v>
      </c>
      <c r="DF59" s="654" t="n">
        <v>45980</v>
      </c>
      <c r="DG59" s="654" t="n">
        <v>45980</v>
      </c>
      <c r="DH59" s="654" t="n">
        <v>45973</v>
      </c>
      <c r="DI59" s="654" t="n">
        <v>45973</v>
      </c>
      <c r="DJ59" s="654" t="n">
        <v>45965</v>
      </c>
      <c r="DK59" s="654" t="n">
        <v>45965</v>
      </c>
      <c r="DL59" s="654" t="n">
        <v>45960</v>
      </c>
      <c r="DM59" s="654" t="n">
        <v>45951</v>
      </c>
      <c r="DN59" s="654" t="n">
        <v>45937</v>
      </c>
      <c r="DO59" s="654" t="n">
        <v>45931</v>
      </c>
      <c r="DP59" s="678" t="n">
        <v>45903</v>
      </c>
      <c r="DQ59" s="688" t="n">
        <v>45931</v>
      </c>
      <c r="DR59" s="654" t="n">
        <v>45923</v>
      </c>
      <c r="DS59" s="18" t="n"/>
      <c r="DT59" s="18" t="n"/>
      <c r="DU59" s="18" t="n"/>
      <c r="DV59" s="18" t="n"/>
      <c r="DW59" s="18" t="n"/>
      <c r="DX59" s="18" t="n"/>
      <c r="DY59" s="18" t="n"/>
      <c r="DZ59" s="18" t="n"/>
      <c r="EA59" s="18" t="n"/>
      <c r="EB59" s="18" t="n"/>
      <c r="EC59" s="18" t="n"/>
      <c r="ED59" s="18" t="n"/>
      <c r="EE59" s="18" t="n"/>
      <c r="EF59" s="18" t="n"/>
      <c r="EG59" s="18" t="n"/>
      <c r="EH59" s="18" t="n"/>
      <c r="EI59" s="18" t="n"/>
      <c r="EJ59" s="18" t="n"/>
      <c r="EK59" s="18" t="n"/>
      <c r="EL59" s="18" t="n"/>
      <c r="EM59" s="18" t="n"/>
      <c r="EN59" s="18" t="n"/>
      <c r="EO59" s="18" t="n"/>
      <c r="EP59" s="18" t="n"/>
      <c r="EQ59" s="18" t="n"/>
      <c r="ER59" s="18" t="n"/>
      <c r="ES59" s="18" t="n"/>
      <c r="ET59" s="18" t="n"/>
      <c r="EU59" s="18" t="n"/>
      <c r="EV59" s="18" t="n"/>
      <c r="EW59" s="274" t="n"/>
      <c r="EX59" s="18" t="n"/>
      <c r="EY59" s="18" t="n">
        <v>600</v>
      </c>
      <c r="EZ59" s="18" t="n"/>
      <c r="FA59" s="18" t="n"/>
      <c r="FB59" s="18" t="n"/>
      <c r="FC59" s="18" t="n"/>
      <c r="FD59" s="18" t="n"/>
      <c r="FE59" s="18" t="n"/>
      <c r="FF59" s="18" t="n"/>
      <c r="FG59" s="18" t="n"/>
      <c r="FH59" s="18" t="n"/>
      <c r="FI59" s="18" t="n"/>
      <c r="FJ59" s="275" t="n"/>
      <c r="FK59" s="18" t="n"/>
      <c r="FL59" s="18" t="n"/>
      <c r="FM59" s="18" t="n"/>
      <c r="FN59" s="18" t="n"/>
      <c r="FO59" s="18" t="n"/>
      <c r="FP59" s="275" t="n"/>
      <c r="FQ59" s="18" t="n"/>
      <c r="FR59" s="18" t="n">
        <v>300</v>
      </c>
      <c r="FS59" s="18" t="n"/>
      <c r="FT59" s="18" t="n"/>
      <c r="FU59" s="18" t="n"/>
      <c r="FV59" s="18" t="n"/>
      <c r="FW59" s="18" t="n"/>
      <c r="FX59" s="18" t="n"/>
      <c r="FY59" s="18" t="n"/>
      <c r="FZ59" s="18" t="n"/>
      <c r="GA59" s="18" t="n"/>
      <c r="GB59" s="18" t="n"/>
      <c r="GC59" s="18" t="n"/>
      <c r="GD59" s="767" t="n"/>
      <c r="GF59" s="718" t="n"/>
    </row>
    <row r="60" ht="18.75" customHeight="1">
      <c r="A60" s="43" t="inlineStr">
        <is>
          <t>SACOLA P QDB</t>
        </is>
      </c>
      <c r="B60" s="149" t="n">
        <v>300</v>
      </c>
      <c r="C60" s="726" t="n">
        <v>178.29</v>
      </c>
      <c r="D60" s="329" t="n">
        <v>300</v>
      </c>
      <c r="F60" s="9" t="n">
        <v>300</v>
      </c>
      <c r="G60" s="9" t="n">
        <v>300</v>
      </c>
      <c r="H60" s="9" t="n">
        <v>300</v>
      </c>
      <c r="I60" s="9" t="n">
        <v>300</v>
      </c>
      <c r="J60" s="9" t="n">
        <v>300</v>
      </c>
      <c r="K60" s="9" t="n">
        <v>300</v>
      </c>
      <c r="L60" s="9" t="n">
        <v>300</v>
      </c>
      <c r="M60" s="9" t="n">
        <v>300</v>
      </c>
      <c r="N60" s="9">
        <f>300+FO59</f>
        <v/>
      </c>
      <c r="O60" s="9" t="n">
        <v>600</v>
      </c>
      <c r="P60" s="9" t="n">
        <v>600</v>
      </c>
      <c r="Q60" s="9" t="n">
        <v>600</v>
      </c>
      <c r="R60" s="9" t="n">
        <v>600</v>
      </c>
      <c r="S60" s="9" t="n">
        <v>600</v>
      </c>
      <c r="T60" s="9" t="n">
        <v>600</v>
      </c>
      <c r="U60" s="9" t="n">
        <v>600</v>
      </c>
      <c r="V60" s="9" t="n">
        <v>600</v>
      </c>
      <c r="W60" s="9" t="n">
        <v>600</v>
      </c>
      <c r="X60" s="9" t="n">
        <v>300</v>
      </c>
      <c r="Y60" s="9" t="n">
        <v>300</v>
      </c>
      <c r="Z60" s="9" t="n">
        <v>900</v>
      </c>
      <c r="AA60" s="9" t="n">
        <v>900</v>
      </c>
      <c r="AB60" s="9" t="n">
        <v>600</v>
      </c>
      <c r="AC60" s="9" t="n">
        <v>350</v>
      </c>
      <c r="AD60" s="9" t="n">
        <v>25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>
        <v>0</v>
      </c>
      <c r="AK60" s="9" t="n">
        <v>0</v>
      </c>
      <c r="AL60" s="9" t="n">
        <v>0</v>
      </c>
      <c r="AM60" s="9" t="n">
        <v>0</v>
      </c>
      <c r="AN60" s="9" t="n">
        <v>0</v>
      </c>
      <c r="AO60" s="9" t="n">
        <v>0</v>
      </c>
      <c r="AP60" s="9" t="n">
        <v>0</v>
      </c>
      <c r="AQ60" s="9" t="n">
        <v>0</v>
      </c>
      <c r="AR60" s="9" t="n">
        <v>0</v>
      </c>
      <c r="AS60" s="9" t="n">
        <v>0</v>
      </c>
      <c r="AT60" s="9" t="n">
        <v>0</v>
      </c>
      <c r="AU60" s="9" t="n">
        <v>0</v>
      </c>
      <c r="AV60" s="9" t="n">
        <v>0</v>
      </c>
      <c r="AW60" s="9" t="n">
        <v>0</v>
      </c>
      <c r="AX60" s="9" t="n">
        <v>0</v>
      </c>
      <c r="AY60" s="9" t="n">
        <v>0</v>
      </c>
      <c r="AZ60" s="9" t="n">
        <v>0</v>
      </c>
      <c r="BA60" s="9" t="n">
        <v>0</v>
      </c>
      <c r="BB60" s="9" t="n">
        <v>0</v>
      </c>
      <c r="BC60" s="9" t="n">
        <v>0</v>
      </c>
      <c r="BD60" s="9" t="n">
        <v>0</v>
      </c>
      <c r="BE60" s="9" t="n">
        <v>0</v>
      </c>
      <c r="BF60" s="9" t="n">
        <v>0</v>
      </c>
      <c r="BG60" s="9" t="n">
        <v>0</v>
      </c>
      <c r="BH60" s="9" t="n">
        <v>0</v>
      </c>
      <c r="BI60" s="9" t="n">
        <v>0</v>
      </c>
      <c r="BJ60" s="9" t="n">
        <v>0</v>
      </c>
      <c r="BK60" s="9" t="n">
        <v>0</v>
      </c>
      <c r="BL60" s="9" t="n">
        <v>0</v>
      </c>
      <c r="BM60" s="9" t="n">
        <v>0</v>
      </c>
      <c r="BN60" s="9" t="n">
        <v>0</v>
      </c>
      <c r="BO60" s="9" t="n">
        <v>0</v>
      </c>
      <c r="BP60" s="9" t="n">
        <v>0</v>
      </c>
      <c r="BQ60" s="9" t="n">
        <v>0</v>
      </c>
      <c r="BR60" s="9" t="n">
        <v>0</v>
      </c>
      <c r="BS60" s="9" t="n">
        <v>0</v>
      </c>
      <c r="BT60" s="9" t="n">
        <v>0</v>
      </c>
      <c r="BU60" s="9" t="n">
        <v>0</v>
      </c>
      <c r="BV60" s="9" t="n">
        <v>0</v>
      </c>
      <c r="BW60" s="9" t="n">
        <v>0</v>
      </c>
      <c r="BX60" s="9" t="n">
        <v>0</v>
      </c>
      <c r="BY60" s="9" t="n">
        <v>0</v>
      </c>
      <c r="BZ60" s="9" t="n"/>
      <c r="CA60" s="9" t="n"/>
      <c r="CB60" s="9" t="n"/>
      <c r="CC60" s="9" t="n"/>
      <c r="CD60" s="9" t="n"/>
      <c r="CE60" s="9" t="n"/>
      <c r="CF60" s="154">
        <f>CD60+IF(NOT(ISBLANK(OFFSET(CF60,0,6))),N(OFFSET(CF60,0,6)),N(OFFSET(CF60,0,7)))-CE60</f>
        <v/>
      </c>
      <c r="CH60" s="317" t="n"/>
      <c r="CJ60" s="65" t="n"/>
      <c r="CK60" s="691" t="n">
        <v>0</v>
      </c>
      <c r="CL60" s="18" t="n">
        <v>0</v>
      </c>
      <c r="CM60" s="18" t="n">
        <v>0</v>
      </c>
      <c r="CN60" s="18" t="n"/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18" t="n"/>
      <c r="DM60" s="18" t="n"/>
      <c r="DN60" s="18" t="n"/>
      <c r="DO60" s="18" t="n"/>
      <c r="DP60" s="396" t="n"/>
      <c r="DQ60" s="256" t="n"/>
      <c r="DR60" s="18" t="n"/>
      <c r="DS60" s="18" t="n"/>
      <c r="DT60" s="18" t="n"/>
      <c r="DU60" s="18" t="n"/>
      <c r="DV60" s="18" t="n"/>
      <c r="DW60" s="18" t="n"/>
      <c r="DX60" s="18" t="n"/>
      <c r="DY60" s="18" t="n"/>
      <c r="DZ60" s="18" t="n"/>
      <c r="EA60" s="18" t="n"/>
      <c r="EB60" s="18" t="n"/>
      <c r="EC60" s="18" t="n"/>
      <c r="ED60" s="18" t="n"/>
      <c r="EE60" s="18" t="n"/>
      <c r="EF60" s="18" t="n"/>
      <c r="EG60" s="18" t="n"/>
      <c r="EH60" s="18" t="n"/>
      <c r="EI60" s="18" t="n"/>
      <c r="EJ60" s="18" t="n"/>
      <c r="EK60" s="18" t="n"/>
      <c r="EL60" s="18" t="n"/>
      <c r="EM60" s="18" t="n"/>
      <c r="EN60" s="18" t="n"/>
      <c r="EO60" s="18" t="n"/>
      <c r="EP60" s="18" t="n"/>
      <c r="EQ60" s="18" t="n"/>
      <c r="ER60" s="18" t="n"/>
      <c r="ES60" s="18" t="n"/>
      <c r="ET60" s="18" t="n"/>
      <c r="EU60" s="18" t="n"/>
      <c r="EV60" s="18" t="n"/>
      <c r="EW60" s="274" t="n"/>
      <c r="EX60" s="18" t="n"/>
      <c r="EY60" s="18" t="n">
        <v>600</v>
      </c>
      <c r="EZ60" s="18" t="n"/>
      <c r="FA60" s="18" t="n"/>
      <c r="FB60" s="18" t="n"/>
      <c r="FC60" s="18" t="n"/>
      <c r="FD60" s="18" t="n"/>
      <c r="FE60" s="18" t="n"/>
      <c r="FF60" s="18" t="n"/>
      <c r="FG60" s="18" t="n"/>
      <c r="FH60" s="18" t="n"/>
      <c r="FI60" s="18" t="n"/>
      <c r="FJ60" s="256" t="n"/>
      <c r="FK60" s="18" t="n"/>
      <c r="FL60" s="18" t="n"/>
      <c r="FM60" s="18" t="n"/>
      <c r="FN60" s="18" t="n"/>
      <c r="FO60" s="18" t="n"/>
      <c r="FP60" s="256" t="n"/>
      <c r="FQ60" s="18" t="n"/>
      <c r="FR60" s="18" t="n"/>
      <c r="FS60" s="18" t="n"/>
      <c r="FT60" s="18" t="n"/>
      <c r="FU60" s="18" t="n"/>
      <c r="FV60" s="18" t="n"/>
      <c r="FW60" s="18" t="n"/>
      <c r="FX60" s="18" t="n"/>
      <c r="FY60" s="18" t="n"/>
      <c r="FZ60" s="18" t="n"/>
      <c r="GA60" s="18" t="n"/>
      <c r="GB60" s="18" t="n"/>
      <c r="GC60" s="768" t="n"/>
      <c r="GD60" s="769" t="n"/>
      <c r="GF60" s="720" t="n"/>
    </row>
    <row r="61" ht="18.75" customHeight="1">
      <c r="A61" s="43" t="inlineStr">
        <is>
          <t>SACOLA M  QDB</t>
        </is>
      </c>
      <c r="B61" s="149" t="n">
        <v>200</v>
      </c>
      <c r="C61" s="726" t="n">
        <v>183.98</v>
      </c>
      <c r="D61" s="329" t="n">
        <v>200</v>
      </c>
      <c r="F61" s="9" t="n">
        <v>200</v>
      </c>
      <c r="G61" s="9" t="n">
        <v>200</v>
      </c>
      <c r="H61" s="9" t="n">
        <v>200</v>
      </c>
      <c r="I61" s="9" t="n">
        <v>200</v>
      </c>
      <c r="J61" s="9" t="n">
        <v>200</v>
      </c>
      <c r="K61" s="9" t="n">
        <v>200</v>
      </c>
      <c r="L61" s="9" t="n">
        <v>200</v>
      </c>
      <c r="M61" s="9" t="n">
        <v>200</v>
      </c>
      <c r="N61" s="9" t="n">
        <v>200</v>
      </c>
      <c r="O61" s="9" t="n">
        <v>200</v>
      </c>
      <c r="P61" s="9" t="n">
        <v>200</v>
      </c>
      <c r="Q61" s="9" t="n">
        <v>200</v>
      </c>
      <c r="R61" s="9" t="n">
        <v>200</v>
      </c>
      <c r="S61" s="9" t="n">
        <v>200</v>
      </c>
      <c r="T61" s="9" t="n">
        <v>200</v>
      </c>
      <c r="U61" s="9" t="n">
        <v>200</v>
      </c>
      <c r="V61" s="9" t="n">
        <v>200</v>
      </c>
      <c r="W61" s="9" t="n">
        <v>200</v>
      </c>
      <c r="X61" s="9" t="n">
        <v>0</v>
      </c>
      <c r="Y61" s="9" t="n">
        <v>0</v>
      </c>
      <c r="Z61" s="9" t="n">
        <v>600</v>
      </c>
      <c r="AA61" s="9" t="n">
        <v>600</v>
      </c>
      <c r="AB61" s="9" t="n">
        <v>400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>
        <v>0</v>
      </c>
      <c r="AK61" s="9" t="n">
        <v>0</v>
      </c>
      <c r="AL61" s="9" t="n">
        <v>0</v>
      </c>
      <c r="AM61" s="9" t="n">
        <v>0</v>
      </c>
      <c r="AN61" s="9" t="n">
        <v>0</v>
      </c>
      <c r="AO61" s="9" t="n">
        <v>0</v>
      </c>
      <c r="AP61" s="9" t="n">
        <v>0</v>
      </c>
      <c r="AQ61" s="9" t="n">
        <v>0</v>
      </c>
      <c r="AR61" s="9" t="n">
        <v>0</v>
      </c>
      <c r="AS61" s="9" t="n">
        <v>0</v>
      </c>
      <c r="AT61" s="9" t="n">
        <v>0</v>
      </c>
      <c r="AU61" s="9" t="n">
        <v>0</v>
      </c>
      <c r="AV61" s="9" t="n">
        <v>0</v>
      </c>
      <c r="AW61" s="9" t="n">
        <v>0</v>
      </c>
      <c r="AX61" s="9" t="n">
        <v>0</v>
      </c>
      <c r="AY61" s="9" t="n">
        <v>0</v>
      </c>
      <c r="AZ61" s="9" t="n">
        <v>0</v>
      </c>
      <c r="BA61" s="9" t="n">
        <v>0</v>
      </c>
      <c r="BB61" s="9" t="n">
        <v>0</v>
      </c>
      <c r="BC61" s="9" t="n">
        <v>0</v>
      </c>
      <c r="BD61" s="9" t="n">
        <v>0</v>
      </c>
      <c r="BE61" s="9" t="n">
        <v>0</v>
      </c>
      <c r="BF61" s="9" t="n">
        <v>0</v>
      </c>
      <c r="BG61" s="9" t="n">
        <v>0</v>
      </c>
      <c r="BH61" s="9" t="n">
        <v>0</v>
      </c>
      <c r="BI61" s="9" t="n">
        <v>0</v>
      </c>
      <c r="BJ61" s="9" t="n">
        <v>0</v>
      </c>
      <c r="BK61" s="9" t="n">
        <v>0</v>
      </c>
      <c r="BL61" s="9" t="n">
        <v>0</v>
      </c>
      <c r="BM61" s="9" t="n">
        <v>0</v>
      </c>
      <c r="BN61" s="9" t="n">
        <v>0</v>
      </c>
      <c r="BO61" s="9" t="n">
        <v>0</v>
      </c>
      <c r="BP61" s="9" t="n">
        <v>0</v>
      </c>
      <c r="BQ61" s="9" t="n">
        <v>0</v>
      </c>
      <c r="BR61" s="9" t="n">
        <v>0</v>
      </c>
      <c r="BS61" s="9" t="n">
        <v>0</v>
      </c>
      <c r="BT61" s="9" t="n">
        <v>0</v>
      </c>
      <c r="BU61" s="9" t="n">
        <v>0</v>
      </c>
      <c r="BV61" s="9" t="n">
        <v>0</v>
      </c>
      <c r="BW61" s="9" t="n">
        <v>0</v>
      </c>
      <c r="BX61" s="9" t="n">
        <v>0</v>
      </c>
      <c r="BY61" s="9" t="n">
        <v>0</v>
      </c>
      <c r="BZ61" s="9" t="n"/>
      <c r="CA61" s="9" t="n"/>
      <c r="CB61" s="9" t="n"/>
      <c r="CC61" s="9" t="n"/>
      <c r="CD61" s="9" t="n"/>
      <c r="CE61" s="9" t="n"/>
      <c r="CF61" s="154">
        <f>CD61+IF(NOT(ISBLANK(OFFSET(CF61,0,6))),N(OFFSET(CF61,0,6)),N(OFFSET(CF61,0,7)))-CE61</f>
        <v/>
      </c>
      <c r="CH61" s="317" t="n"/>
      <c r="CJ61" s="65" t="n"/>
      <c r="CK61" s="691" t="n">
        <v>0</v>
      </c>
      <c r="CL61" s="18" t="n">
        <v>0</v>
      </c>
      <c r="CM61" s="18" t="n">
        <v>0</v>
      </c>
      <c r="CN61" s="18" t="n"/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18" t="n"/>
      <c r="DM61" s="18" t="n"/>
      <c r="DN61" s="18" t="n"/>
      <c r="DO61" s="18" t="n"/>
      <c r="DP61" s="396" t="n"/>
      <c r="DQ61" s="256" t="n"/>
      <c r="DR61" s="18" t="n"/>
      <c r="DS61" s="18" t="n"/>
      <c r="DT61" s="18" t="n"/>
      <c r="DU61" s="18" t="n"/>
      <c r="DV61" s="18" t="n"/>
      <c r="DW61" s="18" t="n"/>
      <c r="DX61" s="18" t="n"/>
      <c r="DY61" s="18" t="n"/>
      <c r="DZ61" s="18" t="n"/>
      <c r="EA61" s="18" t="n"/>
      <c r="EB61" s="18" t="n"/>
      <c r="EC61" s="18" t="n"/>
      <c r="ED61" s="18" t="n"/>
      <c r="EE61" s="18" t="n"/>
      <c r="EF61" s="18" t="n"/>
      <c r="EG61" s="18" t="n"/>
      <c r="EH61" s="18" t="n"/>
      <c r="EI61" s="18" t="n"/>
      <c r="EJ61" s="18" t="n"/>
      <c r="EK61" s="18" t="n"/>
      <c r="EL61" s="18" t="n"/>
      <c r="EM61" s="18" t="n"/>
      <c r="EN61" s="18" t="n"/>
      <c r="EO61" s="18" t="n"/>
      <c r="EP61" s="18" t="n"/>
      <c r="EQ61" s="18" t="n"/>
      <c r="ER61" s="18" t="n"/>
      <c r="ES61" s="18" t="n"/>
      <c r="ET61" s="18" t="n"/>
      <c r="EU61" s="18" t="n"/>
      <c r="EV61" s="18" t="n"/>
      <c r="EW61" s="274" t="n"/>
      <c r="EX61" s="18" t="n"/>
      <c r="EY61" s="18" t="n"/>
      <c r="EZ61" s="18" t="n"/>
      <c r="FA61" s="18" t="n"/>
      <c r="FB61" s="18" t="n"/>
      <c r="FC61" s="18" t="n"/>
      <c r="FD61" s="18" t="n"/>
      <c r="FE61" s="18" t="n"/>
      <c r="FF61" s="18" t="n"/>
      <c r="FG61" s="18" t="n"/>
      <c r="FH61" s="18" t="n"/>
      <c r="FI61" s="18" t="n"/>
      <c r="FJ61" s="256" t="n"/>
      <c r="FK61" s="18" t="n">
        <v>200</v>
      </c>
      <c r="FL61" s="18" t="n"/>
      <c r="FM61" s="18" t="n"/>
      <c r="FN61" s="18" t="n"/>
      <c r="FO61" s="18" t="n"/>
      <c r="FP61" s="256" t="n"/>
      <c r="FQ61" s="18" t="n"/>
      <c r="FR61" s="18" t="n"/>
      <c r="FS61" s="18" t="n"/>
      <c r="FT61" s="18" t="n"/>
      <c r="FU61" s="18" t="n"/>
      <c r="FV61" s="18" t="n"/>
      <c r="FW61" s="18" t="n"/>
      <c r="FX61" s="18" t="n"/>
      <c r="FY61" s="18" t="n"/>
      <c r="FZ61" s="18" t="n"/>
      <c r="GA61" s="18" t="n"/>
      <c r="GB61" s="18" t="n"/>
      <c r="GC61" s="768" t="n"/>
      <c r="GD61" s="769" t="n"/>
      <c r="GF61" s="720" t="n"/>
    </row>
    <row r="62" ht="18.75" customHeight="1">
      <c r="A62" s="43" t="inlineStr">
        <is>
          <t>SACOLA G  QDB</t>
        </is>
      </c>
      <c r="B62" s="149" t="n">
        <v>200</v>
      </c>
      <c r="C62" s="726" t="n">
        <v>241.86</v>
      </c>
      <c r="D62" s="329" t="n">
        <v>50</v>
      </c>
      <c r="F62" s="9" t="n">
        <v>200</v>
      </c>
      <c r="G62" s="9" t="n">
        <v>200</v>
      </c>
      <c r="H62" s="9" t="n">
        <v>200</v>
      </c>
      <c r="I62" s="9" t="n">
        <v>200</v>
      </c>
      <c r="J62" s="9" t="n">
        <v>200</v>
      </c>
      <c r="K62" s="9" t="n">
        <v>200</v>
      </c>
      <c r="L62" s="9" t="n">
        <v>150</v>
      </c>
      <c r="M62" s="9" t="n">
        <v>150</v>
      </c>
      <c r="N62" s="9" t="n">
        <v>100</v>
      </c>
      <c r="O62" s="9" t="n">
        <v>100</v>
      </c>
      <c r="P62" s="9" t="n">
        <v>100</v>
      </c>
      <c r="Q62" s="9" t="n">
        <v>101</v>
      </c>
      <c r="R62" s="9" t="n">
        <v>101</v>
      </c>
      <c r="S62" s="9" t="n">
        <v>201</v>
      </c>
      <c r="T62" s="9" t="n">
        <v>201</v>
      </c>
      <c r="U62" s="9" t="n">
        <v>200</v>
      </c>
      <c r="V62" s="9" t="n">
        <v>200</v>
      </c>
      <c r="W62" s="9" t="n">
        <v>200</v>
      </c>
      <c r="X62" s="9" t="n">
        <v>200</v>
      </c>
      <c r="Y62" s="9" t="n">
        <v>200</v>
      </c>
      <c r="Z62" s="9" t="n">
        <v>200</v>
      </c>
      <c r="AA62" s="9" t="n">
        <v>75</v>
      </c>
      <c r="AB62" s="9" t="n">
        <v>75</v>
      </c>
      <c r="AC62" s="9" t="n">
        <v>0</v>
      </c>
      <c r="AD62" s="9" t="n">
        <v>0</v>
      </c>
      <c r="AE62" s="9" t="n">
        <v>0</v>
      </c>
      <c r="AF62" s="9" t="n">
        <v>0</v>
      </c>
      <c r="AG62" s="9" t="n">
        <v>0</v>
      </c>
      <c r="AH62" s="9" t="n">
        <v>0</v>
      </c>
      <c r="AI62" s="9" t="n">
        <v>0</v>
      </c>
      <c r="AJ62" s="9" t="n">
        <v>0</v>
      </c>
      <c r="AK62" s="9" t="n">
        <v>0</v>
      </c>
      <c r="AL62" s="9" t="n">
        <v>0</v>
      </c>
      <c r="AM62" s="9" t="n">
        <v>0</v>
      </c>
      <c r="AN62" s="9" t="n">
        <v>0</v>
      </c>
      <c r="AO62" s="9" t="n">
        <v>0</v>
      </c>
      <c r="AP62" s="9" t="n">
        <v>0</v>
      </c>
      <c r="AQ62" s="9" t="n">
        <v>0</v>
      </c>
      <c r="AR62" s="9" t="n">
        <v>0</v>
      </c>
      <c r="AS62" s="9" t="n">
        <v>0</v>
      </c>
      <c r="AT62" s="9" t="n">
        <v>0</v>
      </c>
      <c r="AU62" s="9" t="n">
        <v>0</v>
      </c>
      <c r="AV62" s="9" t="n">
        <v>0</v>
      </c>
      <c r="AW62" s="9" t="n">
        <v>0</v>
      </c>
      <c r="AX62" s="9" t="n">
        <v>0</v>
      </c>
      <c r="AY62" s="9" t="n">
        <v>0</v>
      </c>
      <c r="AZ62" s="9" t="n">
        <v>0</v>
      </c>
      <c r="BA62" s="9" t="n">
        <v>0</v>
      </c>
      <c r="BB62" s="9" t="n">
        <v>0</v>
      </c>
      <c r="BC62" s="9" t="n">
        <v>0</v>
      </c>
      <c r="BD62" s="9" t="n">
        <v>0</v>
      </c>
      <c r="BE62" s="9" t="n">
        <v>0</v>
      </c>
      <c r="BF62" s="9" t="n">
        <v>0</v>
      </c>
      <c r="BG62" s="9" t="n">
        <v>0</v>
      </c>
      <c r="BH62" s="9" t="n">
        <v>0</v>
      </c>
      <c r="BI62" s="9" t="n">
        <v>0</v>
      </c>
      <c r="BJ62" s="9" t="n">
        <v>0</v>
      </c>
      <c r="BK62" s="9" t="n">
        <v>0</v>
      </c>
      <c r="BL62" s="9" t="n">
        <v>0</v>
      </c>
      <c r="BM62" s="9" t="n">
        <v>0</v>
      </c>
      <c r="BN62" s="9" t="n">
        <v>0</v>
      </c>
      <c r="BO62" s="9" t="n">
        <v>0</v>
      </c>
      <c r="BP62" s="9" t="n">
        <v>0</v>
      </c>
      <c r="BQ62" s="9" t="n">
        <v>0</v>
      </c>
      <c r="BR62" s="9" t="n">
        <v>0</v>
      </c>
      <c r="BS62" s="9" t="n">
        <v>0</v>
      </c>
      <c r="BT62" s="9" t="n">
        <v>0</v>
      </c>
      <c r="BU62" s="9" t="n">
        <v>0</v>
      </c>
      <c r="BV62" s="9" t="n">
        <v>0</v>
      </c>
      <c r="BW62" s="9" t="n">
        <v>0</v>
      </c>
      <c r="BX62" s="9" t="n">
        <v>0</v>
      </c>
      <c r="BY62" s="9" t="n">
        <v>0</v>
      </c>
      <c r="BZ62" s="9" t="n"/>
      <c r="CA62" s="9" t="n"/>
      <c r="CB62" s="9" t="n"/>
      <c r="CC62" s="9" t="n"/>
      <c r="CD62" s="9" t="n"/>
      <c r="CE62" s="9" t="n"/>
      <c r="CF62" s="154">
        <f>CD62+IF(NOT(ISBLANK(OFFSET(CF62,0,6))),N(OFFSET(CF62,0,6)),N(OFFSET(CF62,0,7)))-CE62</f>
        <v/>
      </c>
      <c r="CH62" s="317" t="n"/>
      <c r="CJ62" s="27" t="n"/>
      <c r="CK62" s="691" t="n">
        <v>0</v>
      </c>
      <c r="CL62" s="18" t="n">
        <v>0</v>
      </c>
      <c r="CM62" s="18" t="n">
        <v>0</v>
      </c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8" t="n"/>
      <c r="DA62" s="18" t="n"/>
      <c r="DB62" s="18" t="n"/>
      <c r="DC62" s="18" t="n"/>
      <c r="DD62" s="18" t="n"/>
      <c r="DE62" s="18" t="n"/>
      <c r="DF62" s="18" t="n"/>
      <c r="DG62" s="18" t="n"/>
      <c r="DH62" s="18" t="n"/>
      <c r="DI62" s="18" t="n"/>
      <c r="DJ62" s="18" t="n"/>
      <c r="DK62" s="18" t="n"/>
      <c r="DL62" s="18" t="n"/>
      <c r="DM62" s="18" t="n"/>
      <c r="DN62" s="18" t="n"/>
      <c r="DO62" s="18" t="n"/>
      <c r="DP62" s="396" t="n"/>
      <c r="DQ62" s="256" t="n"/>
      <c r="DR62" s="18" t="n"/>
      <c r="DS62" s="18" t="n"/>
      <c r="DT62" s="18" t="n"/>
      <c r="DU62" s="18" t="n"/>
      <c r="DV62" s="18" t="n"/>
      <c r="DW62" s="18" t="n"/>
      <c r="DX62" s="18" t="n"/>
      <c r="DY62" s="18" t="n"/>
      <c r="DZ62" s="18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18" t="n"/>
      <c r="ET62" s="18" t="n"/>
      <c r="EU62" s="18" t="n"/>
      <c r="EV62" s="18" t="n"/>
      <c r="EW62" s="275" t="n"/>
      <c r="EX62" s="18" t="n"/>
      <c r="EY62" s="18" t="n"/>
      <c r="EZ62" s="18" t="n"/>
      <c r="FA62" s="18" t="n"/>
      <c r="FB62" s="18" t="n"/>
      <c r="FC62" s="18" t="n"/>
      <c r="FD62" s="18" t="n"/>
      <c r="FE62" s="18" t="n"/>
      <c r="FF62" s="18" t="n"/>
      <c r="FG62" s="18" t="n"/>
      <c r="FH62" s="18" t="n"/>
      <c r="FI62" s="18" t="n"/>
      <c r="FJ62" s="276" t="n"/>
      <c r="FK62" s="18" t="n"/>
      <c r="FL62" s="18" t="n"/>
      <c r="FM62" s="18" t="n"/>
      <c r="FN62" s="18" t="n"/>
      <c r="FO62" s="18" t="n"/>
      <c r="FP62" s="276" t="n"/>
      <c r="FQ62" s="18" t="n"/>
      <c r="FR62" s="18" t="n"/>
      <c r="FS62" s="18" t="n"/>
      <c r="FT62" s="18" t="n"/>
      <c r="FU62" s="18" t="n"/>
      <c r="FV62" s="18" t="n"/>
      <c r="FW62" s="18" t="n"/>
      <c r="FX62" s="18" t="n"/>
      <c r="FY62" s="18" t="n"/>
      <c r="FZ62" s="18" t="n"/>
      <c r="GA62" s="18" t="n"/>
      <c r="GB62" s="18" t="n"/>
      <c r="GC62" s="768" t="n"/>
      <c r="GD62" s="769" t="n"/>
      <c r="GF62" s="720" t="n"/>
    </row>
    <row r="63" ht="18.75" customHeight="1">
      <c r="A63" s="43" t="inlineStr">
        <is>
          <t>PAPEL DE SEDA  QDB</t>
        </is>
      </c>
      <c r="B63" s="149" t="n">
        <v>100</v>
      </c>
      <c r="C63" s="726" t="n">
        <v>22.98</v>
      </c>
      <c r="D63" s="329" t="n">
        <v>1</v>
      </c>
      <c r="F63" s="9">
        <f>0+3</f>
        <v/>
      </c>
      <c r="G63" s="9" t="n">
        <v>3</v>
      </c>
      <c r="H63" s="9" t="n">
        <v>3</v>
      </c>
      <c r="I63" s="9" t="n">
        <v>3</v>
      </c>
      <c r="J63" s="9" t="n">
        <v>3</v>
      </c>
      <c r="K63" s="9" t="n">
        <v>3</v>
      </c>
      <c r="L63" s="9" t="n">
        <v>3</v>
      </c>
      <c r="M63" s="9" t="n">
        <v>3</v>
      </c>
      <c r="N63" s="9" t="n">
        <v>3</v>
      </c>
      <c r="O63" s="9" t="n">
        <v>3</v>
      </c>
      <c r="P63" s="9" t="n">
        <v>3</v>
      </c>
      <c r="Q63" s="9" t="n">
        <v>3</v>
      </c>
      <c r="R63" s="9" t="n">
        <v>3</v>
      </c>
      <c r="S63" s="9" t="n">
        <v>3</v>
      </c>
      <c r="T63" s="9" t="n">
        <v>3</v>
      </c>
      <c r="U63" s="9" t="n">
        <v>3</v>
      </c>
      <c r="V63" s="9" t="n">
        <v>3</v>
      </c>
      <c r="W63" s="9" t="n">
        <v>3</v>
      </c>
      <c r="X63" s="9" t="n">
        <v>3</v>
      </c>
      <c r="Y63" s="9" t="n">
        <v>3</v>
      </c>
      <c r="Z63" s="9" t="n">
        <v>3</v>
      </c>
      <c r="AA63" s="9" t="n">
        <v>3</v>
      </c>
      <c r="AB63" s="9" t="n">
        <v>3</v>
      </c>
      <c r="AC63" s="9" t="n">
        <v>3</v>
      </c>
      <c r="AD63" s="9" t="n">
        <v>3</v>
      </c>
      <c r="AE63" s="9" t="n">
        <v>3</v>
      </c>
      <c r="AF63" s="9" t="n">
        <v>3</v>
      </c>
      <c r="AG63" s="9" t="n">
        <v>3</v>
      </c>
      <c r="AH63" s="9" t="n">
        <v>3</v>
      </c>
      <c r="AI63" s="9" t="n">
        <v>3</v>
      </c>
      <c r="AJ63" s="9" t="n">
        <v>3</v>
      </c>
      <c r="AK63" s="9" t="n">
        <v>3</v>
      </c>
      <c r="AL63" s="9" t="n">
        <v>3</v>
      </c>
      <c r="AM63" s="9" t="n">
        <v>3</v>
      </c>
      <c r="AN63" s="9" t="n">
        <v>3</v>
      </c>
      <c r="AO63" s="9" t="n">
        <v>3</v>
      </c>
      <c r="AP63" s="9" t="n">
        <v>2</v>
      </c>
      <c r="AQ63" s="9" t="n">
        <v>2</v>
      </c>
      <c r="AR63" s="9" t="n">
        <v>2</v>
      </c>
      <c r="AS63" s="9" t="n">
        <v>2</v>
      </c>
      <c r="AT63" s="9" t="n">
        <v>2</v>
      </c>
      <c r="AU63" s="9" t="n">
        <v>2</v>
      </c>
      <c r="AV63" s="9" t="n">
        <v>2</v>
      </c>
      <c r="AW63" s="9" t="n">
        <v>2</v>
      </c>
      <c r="AX63" s="9" t="n">
        <v>2</v>
      </c>
      <c r="AY63" s="9" t="n">
        <v>2</v>
      </c>
      <c r="AZ63" s="9" t="n">
        <v>2</v>
      </c>
      <c r="BA63" s="9" t="n">
        <v>2</v>
      </c>
      <c r="BB63" s="9" t="n">
        <v>2</v>
      </c>
      <c r="BC63" s="9" t="n">
        <v>2</v>
      </c>
      <c r="BD63" s="9" t="n">
        <v>2</v>
      </c>
      <c r="BE63" s="9" t="n">
        <v>2</v>
      </c>
      <c r="BF63" s="9" t="n">
        <v>2</v>
      </c>
      <c r="BG63" s="9" t="n">
        <v>2</v>
      </c>
      <c r="BH63" s="9" t="n">
        <v>2</v>
      </c>
      <c r="BI63" s="9" t="n">
        <v>2</v>
      </c>
      <c r="BJ63" s="9" t="n">
        <v>0</v>
      </c>
      <c r="BK63" s="9" t="n">
        <v>0</v>
      </c>
      <c r="BL63" s="9" t="n">
        <v>0</v>
      </c>
      <c r="BM63" s="9" t="n">
        <v>0</v>
      </c>
      <c r="BN63" s="9" t="n">
        <v>0</v>
      </c>
      <c r="BO63" s="9" t="n">
        <v>0</v>
      </c>
      <c r="BP63" s="9" t="n">
        <v>0</v>
      </c>
      <c r="BQ63" s="9" t="n">
        <v>0</v>
      </c>
      <c r="BR63" s="9" t="n">
        <v>0</v>
      </c>
      <c r="BS63" s="9" t="n">
        <v>0</v>
      </c>
      <c r="BT63" s="9" t="n">
        <v>0</v>
      </c>
      <c r="BU63" s="9" t="n">
        <v>0</v>
      </c>
      <c r="BV63" s="9" t="n">
        <v>0</v>
      </c>
      <c r="BW63" s="9" t="n">
        <v>0</v>
      </c>
      <c r="BX63" s="9" t="n">
        <v>0</v>
      </c>
      <c r="BY63" s="9" t="n">
        <v>0</v>
      </c>
      <c r="BZ63" s="9" t="n"/>
      <c r="CA63" s="9" t="n"/>
      <c r="CB63" s="9" t="n"/>
      <c r="CC63" s="9" t="n"/>
      <c r="CD63" s="9" t="n"/>
      <c r="CE63" s="9" t="n"/>
      <c r="CF63" s="154">
        <f>CD63+IF(NOT(ISBLANK(OFFSET(CF63,0,6))),N(OFFSET(CF63,0,6)),N(OFFSET(CF63,0,7)))-CE63</f>
        <v/>
      </c>
      <c r="CH63" s="317" t="n"/>
      <c r="CJ63" s="19" t="n"/>
      <c r="CK63" s="691" t="n">
        <v>0</v>
      </c>
      <c r="CL63" s="18" t="n">
        <v>0</v>
      </c>
      <c r="CM63" s="18" t="n">
        <v>0</v>
      </c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/>
      <c r="DD63" s="18" t="n"/>
      <c r="DE63" s="18" t="n"/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18" t="n"/>
      <c r="DO63" s="18" t="n"/>
      <c r="DP63" s="396" t="n"/>
      <c r="DQ63" s="256" t="n"/>
      <c r="DR63" s="18" t="n"/>
      <c r="DS63" s="18" t="n"/>
      <c r="DT63" s="18" t="n"/>
      <c r="DU63" s="18" t="n"/>
      <c r="DV63" s="18" t="n"/>
      <c r="DW63" s="18" t="n"/>
      <c r="DX63" s="18" t="n"/>
      <c r="DY63" s="18" t="n"/>
      <c r="DZ63" s="18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18" t="n"/>
      <c r="ET63" s="18" t="n"/>
      <c r="EU63" s="18" t="n"/>
      <c r="EV63" s="18" t="n"/>
      <c r="EW63" s="275" t="n"/>
      <c r="EX63" s="18" t="n"/>
      <c r="EY63" s="18" t="n"/>
      <c r="EZ63" s="18" t="n"/>
      <c r="FA63" s="18" t="n"/>
      <c r="FB63" s="18" t="n"/>
      <c r="FC63" s="18" t="n"/>
      <c r="FD63" s="18" t="n"/>
      <c r="FE63" s="18" t="n"/>
      <c r="FF63" s="18" t="n"/>
      <c r="FG63" s="18" t="n"/>
      <c r="FH63" s="18" t="n"/>
      <c r="FI63" s="18" t="n"/>
      <c r="FJ63" s="276" t="n"/>
      <c r="FK63" s="18" t="n"/>
      <c r="FL63" s="18" t="n"/>
      <c r="FM63" s="18" t="n"/>
      <c r="FN63" s="18" t="n"/>
      <c r="FO63" s="18" t="n"/>
      <c r="FP63" s="276" t="n"/>
      <c r="FQ63" s="18" t="n"/>
      <c r="FR63" s="18" t="n">
        <v>2</v>
      </c>
      <c r="FS63" s="18" t="n"/>
      <c r="FT63" s="18" t="n"/>
      <c r="FU63" s="18" t="n"/>
      <c r="FV63" s="18" t="n"/>
      <c r="FW63" s="18" t="n"/>
      <c r="FX63" s="18" t="n"/>
      <c r="FY63" s="18" t="n"/>
      <c r="FZ63" s="18" t="n"/>
      <c r="GA63" s="18" t="n"/>
      <c r="GB63" s="18" t="n"/>
      <c r="GC63" s="768" t="n"/>
      <c r="GD63" s="769" t="n"/>
      <c r="GF63" s="720" t="n"/>
    </row>
    <row r="64" ht="18.75" customHeight="1">
      <c r="A64" s="43" t="inlineStr">
        <is>
          <t>ETIQUETA QDB</t>
        </is>
      </c>
      <c r="B64" s="149" t="n">
        <v>1000</v>
      </c>
      <c r="C64" s="726" t="n">
        <v>7.75</v>
      </c>
      <c r="D64" s="329" t="n">
        <v>1</v>
      </c>
      <c r="F64" s="9">
        <f>0+1</f>
        <v/>
      </c>
      <c r="G64" s="9" t="n">
        <v>1</v>
      </c>
      <c r="H64" s="9" t="n">
        <v>1</v>
      </c>
      <c r="I64" s="9" t="n">
        <v>1</v>
      </c>
      <c r="J64" s="9" t="n">
        <v>1</v>
      </c>
      <c r="K64" s="9" t="n">
        <v>1</v>
      </c>
      <c r="L64" s="9" t="n">
        <v>1</v>
      </c>
      <c r="M64" s="9" t="n">
        <v>1</v>
      </c>
      <c r="N64" s="9">
        <f>1+FO63</f>
        <v/>
      </c>
      <c r="O64" s="9" t="n">
        <v>3</v>
      </c>
      <c r="P64" s="9" t="n">
        <v>3</v>
      </c>
      <c r="Q64" s="9" t="n">
        <v>3</v>
      </c>
      <c r="R64" s="9" t="n">
        <v>3</v>
      </c>
      <c r="S64" s="9" t="n">
        <v>3</v>
      </c>
      <c r="T64" s="9" t="n">
        <v>3</v>
      </c>
      <c r="U64" s="9" t="n">
        <v>3</v>
      </c>
      <c r="V64" s="9" t="n">
        <v>3</v>
      </c>
      <c r="W64" s="9" t="n">
        <v>3</v>
      </c>
      <c r="X64" s="9" t="n">
        <v>3</v>
      </c>
      <c r="Y64" s="9" t="n">
        <v>3</v>
      </c>
      <c r="Z64" s="9" t="n">
        <v>3</v>
      </c>
      <c r="AA64" s="9" t="n">
        <v>3</v>
      </c>
      <c r="AB64" s="9" t="n">
        <v>3</v>
      </c>
      <c r="AC64" s="9" t="n">
        <v>3</v>
      </c>
      <c r="AD64" s="9" t="n">
        <v>3</v>
      </c>
      <c r="AE64" s="9" t="n">
        <v>3</v>
      </c>
      <c r="AF64" s="9" t="n">
        <v>3</v>
      </c>
      <c r="AG64" s="9" t="n">
        <v>3</v>
      </c>
      <c r="AH64" s="9" t="n">
        <v>3</v>
      </c>
      <c r="AI64" s="9" t="n">
        <v>3</v>
      </c>
      <c r="AJ64" s="9" t="n">
        <v>3</v>
      </c>
      <c r="AK64" s="9" t="n">
        <v>3</v>
      </c>
      <c r="AL64" s="9" t="n">
        <v>3</v>
      </c>
      <c r="AM64" s="9" t="n">
        <v>3</v>
      </c>
      <c r="AN64" s="9" t="n">
        <v>3</v>
      </c>
      <c r="AO64" s="9" t="n">
        <v>3</v>
      </c>
      <c r="AP64" s="9" t="n">
        <v>3</v>
      </c>
      <c r="AQ64" s="9" t="n">
        <v>3</v>
      </c>
      <c r="AR64" s="9" t="n">
        <v>3</v>
      </c>
      <c r="AS64" s="9" t="n">
        <v>3</v>
      </c>
      <c r="AT64" s="9" t="n">
        <v>3</v>
      </c>
      <c r="AU64" s="9" t="n">
        <v>3</v>
      </c>
      <c r="AV64" s="9" t="n">
        <v>3</v>
      </c>
      <c r="AW64" s="9" t="n">
        <v>3</v>
      </c>
      <c r="AX64" s="9" t="n">
        <v>3</v>
      </c>
      <c r="AY64" s="9" t="n">
        <v>3</v>
      </c>
      <c r="AZ64" s="9" t="n">
        <v>3</v>
      </c>
      <c r="BA64" s="9" t="n">
        <v>3</v>
      </c>
      <c r="BB64" s="9" t="n">
        <v>3</v>
      </c>
      <c r="BC64" s="9" t="n">
        <v>2</v>
      </c>
      <c r="BD64" s="9" t="n">
        <v>2</v>
      </c>
      <c r="BE64" s="9" t="n">
        <v>2</v>
      </c>
      <c r="BF64" s="9" t="n">
        <v>2</v>
      </c>
      <c r="BG64" s="9" t="n">
        <v>2</v>
      </c>
      <c r="BH64" s="9" t="n">
        <v>2</v>
      </c>
      <c r="BI64" s="9">
        <f>2-1</f>
        <v/>
      </c>
      <c r="BJ64" s="9" t="n">
        <v>0</v>
      </c>
      <c r="BK64" s="9" t="n">
        <v>0</v>
      </c>
      <c r="BL64" s="9" t="n">
        <v>0</v>
      </c>
      <c r="BM64" s="9" t="n">
        <v>0</v>
      </c>
      <c r="BN64" s="9" t="n">
        <v>0</v>
      </c>
      <c r="BO64" s="9" t="n">
        <v>0</v>
      </c>
      <c r="BP64" s="9" t="n">
        <v>0</v>
      </c>
      <c r="BQ64" s="9" t="n">
        <v>0</v>
      </c>
      <c r="BR64" s="9" t="n">
        <v>0</v>
      </c>
      <c r="BS64" s="9" t="n">
        <v>0</v>
      </c>
      <c r="BT64" s="9" t="n">
        <v>0</v>
      </c>
      <c r="BU64" s="9" t="n">
        <v>0</v>
      </c>
      <c r="BV64" s="9" t="n">
        <v>0</v>
      </c>
      <c r="BW64" s="9" t="n">
        <v>0</v>
      </c>
      <c r="BX64" s="9" t="n">
        <v>0</v>
      </c>
      <c r="BY64" s="9" t="n">
        <v>0</v>
      </c>
      <c r="BZ64" s="9" t="n"/>
      <c r="CA64" s="9" t="n"/>
      <c r="CB64" s="9" t="n"/>
      <c r="CC64" s="9" t="n"/>
      <c r="CD64" s="9" t="n"/>
      <c r="CE64" s="9" t="n"/>
      <c r="CF64" s="154">
        <f>CD64+IF(NOT(ISBLANK(OFFSET(CF64,0,6))),N(OFFSET(CF64,0,6)),N(OFFSET(CF64,0,7)))-CE64</f>
        <v/>
      </c>
      <c r="CH64" s="317" t="n"/>
      <c r="CJ64" s="65" t="n"/>
      <c r="CK64" s="691" t="n">
        <v>0</v>
      </c>
      <c r="CL64" s="18" t="n">
        <v>0</v>
      </c>
      <c r="CM64" s="18" t="n">
        <v>0</v>
      </c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54" t="inlineStr">
        <is>
          <t>01 P/ ER MG</t>
        </is>
      </c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18" t="n"/>
      <c r="DP64" s="396" t="n"/>
      <c r="DQ64" s="256" t="n"/>
      <c r="DR64" s="18" t="n"/>
      <c r="DS64" s="18" t="n"/>
      <c r="DT64" s="18" t="n"/>
      <c r="DU64" s="18" t="n"/>
      <c r="DV64" s="18" t="n"/>
      <c r="DW64" s="18" t="n"/>
      <c r="DX64" s="18" t="n"/>
      <c r="DY64" s="18" t="n"/>
      <c r="DZ64" s="18" t="n"/>
      <c r="EA64" s="18" t="n"/>
      <c r="EB64" s="18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18" t="n"/>
      <c r="ET64" s="18" t="n"/>
      <c r="EU64" s="18" t="n"/>
      <c r="EV64" s="18" t="n"/>
      <c r="EW64" s="275" t="n"/>
      <c r="EX64" s="18" t="n"/>
      <c r="EY64" s="18" t="n"/>
      <c r="EZ64" s="18" t="n"/>
      <c r="FA64" s="18" t="n"/>
      <c r="FB64" s="18" t="n"/>
      <c r="FC64" s="18" t="n"/>
      <c r="FD64" s="18" t="n"/>
      <c r="FE64" s="18" t="n"/>
      <c r="FF64" s="18" t="n"/>
      <c r="FG64" s="18" t="n"/>
      <c r="FH64" s="18" t="n"/>
      <c r="FI64" s="18" t="n"/>
      <c r="FJ64" s="279" t="n"/>
      <c r="FK64" s="18" t="n">
        <v>4</v>
      </c>
      <c r="FL64" s="18" t="n"/>
      <c r="FM64" s="18" t="n"/>
      <c r="FN64" s="18" t="n"/>
      <c r="FO64" s="18" t="n"/>
      <c r="FP64" s="276" t="n"/>
      <c r="FQ64" s="18" t="n"/>
      <c r="FR64" s="18" t="n">
        <v>2</v>
      </c>
      <c r="FS64" s="18" t="n"/>
      <c r="FT64" s="18" t="n"/>
      <c r="FU64" s="18" t="n"/>
      <c r="FV64" s="18" t="n"/>
      <c r="FW64" s="18" t="n"/>
      <c r="FX64" s="18" t="n"/>
      <c r="FY64" s="18" t="n"/>
      <c r="FZ64" s="18" t="n"/>
      <c r="GA64" s="18" t="n"/>
      <c r="GB64" s="18" t="n"/>
      <c r="GC64" s="768" t="n"/>
      <c r="GD64" s="769" t="n"/>
      <c r="GF64" s="720" t="n"/>
    </row>
    <row r="65" ht="18.75" customHeight="1">
      <c r="A65" s="43" t="inlineStr">
        <is>
          <t>TAG  QDB</t>
        </is>
      </c>
      <c r="B65" s="149" t="n">
        <v>300</v>
      </c>
      <c r="C65" s="726" t="n">
        <v>53.97</v>
      </c>
      <c r="D65" s="329" t="n">
        <v>1</v>
      </c>
      <c r="F65" s="9">
        <f>0+1</f>
        <v/>
      </c>
      <c r="G65" s="9" t="n">
        <v>1</v>
      </c>
      <c r="H65" s="9" t="n">
        <v>1</v>
      </c>
      <c r="I65" s="9" t="n">
        <v>1</v>
      </c>
      <c r="J65" s="9" t="n">
        <v>1</v>
      </c>
      <c r="K65" s="9" t="n">
        <v>1</v>
      </c>
      <c r="L65" s="9" t="n">
        <v>1</v>
      </c>
      <c r="M65" s="9" t="n">
        <v>1</v>
      </c>
      <c r="N65" s="9">
        <f>1+FO64</f>
        <v/>
      </c>
      <c r="O65" s="9" t="n">
        <v>3</v>
      </c>
      <c r="P65" s="9" t="n">
        <v>2</v>
      </c>
      <c r="Q65" s="9">
        <f>2+FH64</f>
        <v/>
      </c>
      <c r="R65" s="9" t="n">
        <v>6</v>
      </c>
      <c r="S65" s="9" t="n">
        <v>6</v>
      </c>
      <c r="T65" s="9" t="n">
        <v>6</v>
      </c>
      <c r="U65" s="9" t="n">
        <v>6</v>
      </c>
      <c r="V65" s="9" t="n">
        <v>6</v>
      </c>
      <c r="W65" s="9" t="n">
        <v>6</v>
      </c>
      <c r="X65" s="9" t="n">
        <v>6</v>
      </c>
      <c r="Y65" s="9" t="n">
        <v>6</v>
      </c>
      <c r="Z65" s="9" t="n">
        <v>6</v>
      </c>
      <c r="AA65" s="9" t="n">
        <v>6</v>
      </c>
      <c r="AB65" s="9" t="n">
        <v>6</v>
      </c>
      <c r="AC65" s="9" t="n">
        <v>6</v>
      </c>
      <c r="AD65" s="9" t="n">
        <v>6</v>
      </c>
      <c r="AE65" s="9" t="n">
        <v>6</v>
      </c>
      <c r="AF65" s="9" t="n">
        <v>6</v>
      </c>
      <c r="AG65" s="9" t="n">
        <v>6</v>
      </c>
      <c r="AH65" s="9" t="n">
        <v>6</v>
      </c>
      <c r="AI65" s="9" t="n">
        <v>6</v>
      </c>
      <c r="AJ65" s="9" t="n">
        <v>6</v>
      </c>
      <c r="AK65" s="9" t="n">
        <v>6</v>
      </c>
      <c r="AL65" s="9" t="n">
        <v>6</v>
      </c>
      <c r="AM65" s="9" t="n">
        <v>6</v>
      </c>
      <c r="AN65" s="9" t="n">
        <v>6</v>
      </c>
      <c r="AO65" s="9" t="n">
        <v>6</v>
      </c>
      <c r="AP65" s="9" t="n">
        <v>6</v>
      </c>
      <c r="AQ65" s="9" t="n">
        <v>6</v>
      </c>
      <c r="AR65" s="9" t="n">
        <v>6</v>
      </c>
      <c r="AS65" s="9" t="n">
        <v>6</v>
      </c>
      <c r="AT65" s="9" t="n">
        <v>6</v>
      </c>
      <c r="AU65" s="9" t="n">
        <v>6</v>
      </c>
      <c r="AV65" s="9" t="n">
        <v>6</v>
      </c>
      <c r="AW65" s="9" t="n">
        <v>6</v>
      </c>
      <c r="AX65" s="9" t="n">
        <v>6</v>
      </c>
      <c r="AY65" s="9" t="n">
        <v>6</v>
      </c>
      <c r="AZ65" s="9" t="n">
        <v>6</v>
      </c>
      <c r="BA65" s="9" t="n">
        <v>6</v>
      </c>
      <c r="BB65" s="9" t="n">
        <v>6</v>
      </c>
      <c r="BC65" s="9" t="n">
        <v>6</v>
      </c>
      <c r="BD65" s="9" t="n">
        <v>6</v>
      </c>
      <c r="BE65" s="9" t="n">
        <v>6</v>
      </c>
      <c r="BF65" s="9" t="n">
        <v>6</v>
      </c>
      <c r="BG65" s="9" t="n">
        <v>6</v>
      </c>
      <c r="BH65" s="9" t="n">
        <v>6</v>
      </c>
      <c r="BI65" s="9" t="n">
        <v>6</v>
      </c>
      <c r="BJ65" s="9" t="n">
        <v>0</v>
      </c>
      <c r="BK65" s="9" t="n">
        <v>0</v>
      </c>
      <c r="BL65" s="9" t="n">
        <v>0</v>
      </c>
      <c r="BM65" s="9" t="n">
        <v>0</v>
      </c>
      <c r="BN65" s="9" t="n">
        <v>0</v>
      </c>
      <c r="BO65" s="9" t="n">
        <v>0</v>
      </c>
      <c r="BP65" s="9" t="n">
        <v>0</v>
      </c>
      <c r="BQ65" s="9" t="n">
        <v>0</v>
      </c>
      <c r="BR65" s="9" t="n">
        <v>0</v>
      </c>
      <c r="BS65" s="9" t="n">
        <v>0</v>
      </c>
      <c r="BT65" s="9" t="n">
        <v>0</v>
      </c>
      <c r="BU65" s="9" t="n">
        <v>0</v>
      </c>
      <c r="BV65" s="9" t="n">
        <v>0</v>
      </c>
      <c r="BW65" s="9" t="n">
        <v>0</v>
      </c>
      <c r="BX65" s="9" t="n">
        <v>0</v>
      </c>
      <c r="BY65" s="9" t="n">
        <v>0</v>
      </c>
      <c r="BZ65" s="9" t="n"/>
      <c r="CA65" s="9" t="n"/>
      <c r="CB65" s="9" t="n"/>
      <c r="CC65" s="9" t="n"/>
      <c r="CD65" s="9" t="n"/>
      <c r="CE65" s="9" t="n"/>
      <c r="CF65" s="154">
        <f>CD65+IF(NOT(ISBLANK(OFFSET(CF65,0,6))),N(OFFSET(CF65,0,6)),N(OFFSET(CF65,0,7)))-CE65</f>
        <v/>
      </c>
      <c r="CH65" s="317" t="n"/>
      <c r="CJ65" s="65" t="n"/>
      <c r="CK65" s="691" t="n">
        <v>0</v>
      </c>
      <c r="CL65" s="18" t="n">
        <v>0</v>
      </c>
      <c r="CM65" s="18" t="n">
        <v>0</v>
      </c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256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18" t="n"/>
      <c r="DP65" s="396" t="n"/>
      <c r="DQ65" s="256" t="n"/>
      <c r="DR65" s="18" t="n"/>
      <c r="DS65" s="18" t="n"/>
      <c r="DT65" s="18" t="n"/>
      <c r="DU65" s="18" t="n"/>
      <c r="DV65" s="18" t="n"/>
      <c r="DW65" s="18" t="n"/>
      <c r="DX65" s="18" t="n"/>
      <c r="DY65" s="18" t="n"/>
      <c r="DZ65" s="18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18" t="n"/>
      <c r="ET65" s="18" t="n"/>
      <c r="EU65" s="18" t="n"/>
      <c r="EV65" s="18" t="n"/>
      <c r="EW65" s="256" t="n"/>
      <c r="EX65" s="18" t="n"/>
      <c r="EY65" s="18" t="n"/>
      <c r="EZ65" s="18" t="n"/>
      <c r="FA65" s="18" t="n"/>
      <c r="FB65" s="278" t="n"/>
      <c r="FC65" s="278" t="n"/>
      <c r="FD65" s="18" t="n"/>
      <c r="FE65" s="18" t="n"/>
      <c r="FF65" s="278" t="n"/>
      <c r="FG65" s="278" t="n"/>
      <c r="FH65" s="278" t="n"/>
      <c r="FI65" s="278" t="n"/>
      <c r="FJ65" s="276" t="n"/>
      <c r="FK65" s="278" t="n"/>
      <c r="FL65" s="18" t="n"/>
      <c r="FM65" s="18" t="n"/>
      <c r="FN65" s="18" t="n"/>
      <c r="FO65" s="18" t="n"/>
      <c r="FQ65" s="18" t="n"/>
      <c r="FR65" s="18" t="n">
        <v>2</v>
      </c>
      <c r="FS65" s="18" t="n"/>
      <c r="FT65" s="18" t="n"/>
      <c r="FU65" s="18" t="n"/>
      <c r="FV65" s="18" t="n"/>
      <c r="FW65" s="18" t="n"/>
      <c r="FX65" s="18" t="n"/>
      <c r="FY65" s="18" t="n"/>
      <c r="FZ65" s="18" t="n"/>
      <c r="GA65" s="18" t="n"/>
      <c r="GB65" s="18" t="n"/>
      <c r="GC65" s="768" t="n"/>
      <c r="GD65" s="769" t="n"/>
      <c r="GF65" s="720" t="n"/>
    </row>
    <row r="66" ht="18.75" customHeight="1">
      <c r="A66" s="43" t="inlineStr">
        <is>
          <t>LÂMINA  QDB</t>
        </is>
      </c>
      <c r="B66" s="149" t="n">
        <v>3000</v>
      </c>
      <c r="C66" s="726" t="n">
        <v>213</v>
      </c>
      <c r="D66" s="329" t="n">
        <v>0</v>
      </c>
      <c r="F66" s="9">
        <f>1</f>
        <v/>
      </c>
      <c r="G66" s="9" t="n">
        <v>1</v>
      </c>
      <c r="H66" s="9" t="n">
        <v>1</v>
      </c>
      <c r="I66" s="9" t="n">
        <v>1</v>
      </c>
      <c r="J66" s="9" t="n">
        <v>1</v>
      </c>
      <c r="K66" s="9" t="n">
        <v>1</v>
      </c>
      <c r="L66" s="9" t="n">
        <v>1</v>
      </c>
      <c r="M66" s="9" t="n">
        <v>0</v>
      </c>
      <c r="N66" s="9">
        <f>0+FO65</f>
        <v/>
      </c>
      <c r="O66" s="9" t="n">
        <v>2</v>
      </c>
      <c r="P66" s="9" t="n">
        <v>2</v>
      </c>
      <c r="Q66" s="9" t="n">
        <v>2</v>
      </c>
      <c r="R66" s="9" t="n">
        <v>2</v>
      </c>
      <c r="S66" s="9" t="n">
        <v>2</v>
      </c>
      <c r="T66" s="9" t="n">
        <v>2</v>
      </c>
      <c r="U66" s="9" t="n">
        <v>2</v>
      </c>
      <c r="V66" s="9" t="n">
        <v>2</v>
      </c>
      <c r="W66" s="9" t="n">
        <v>2</v>
      </c>
      <c r="X66" s="9" t="n">
        <v>2</v>
      </c>
      <c r="Y66" s="9" t="n">
        <v>1</v>
      </c>
      <c r="Z66" s="9" t="n">
        <v>1</v>
      </c>
      <c r="AA66" s="9" t="n">
        <v>1</v>
      </c>
      <c r="AB66" s="9" t="n">
        <v>1</v>
      </c>
      <c r="AC66" s="9" t="n">
        <v>1</v>
      </c>
      <c r="AD66" s="9" t="n">
        <v>1</v>
      </c>
      <c r="AE66" s="9" t="n">
        <v>1</v>
      </c>
      <c r="AF66" s="9" t="n">
        <v>1</v>
      </c>
      <c r="AG66" s="9" t="n">
        <v>1</v>
      </c>
      <c r="AH66" s="9" t="n">
        <v>1</v>
      </c>
      <c r="AI66" s="9" t="n">
        <v>1</v>
      </c>
      <c r="AJ66" s="9" t="n">
        <v>1</v>
      </c>
      <c r="AK66" s="9" t="n">
        <v>1</v>
      </c>
      <c r="AL66" s="9" t="n">
        <v>1</v>
      </c>
      <c r="AM66" s="9" t="n">
        <v>1</v>
      </c>
      <c r="AN66" s="9" t="n">
        <v>1</v>
      </c>
      <c r="AO66" s="9" t="n">
        <v>1</v>
      </c>
      <c r="AP66" s="9" t="n">
        <v>1</v>
      </c>
      <c r="AQ66" s="9" t="n">
        <v>1</v>
      </c>
      <c r="AR66" s="9" t="n">
        <v>1</v>
      </c>
      <c r="AS66" s="9" t="n">
        <v>1</v>
      </c>
      <c r="AT66" s="9" t="n">
        <v>1</v>
      </c>
      <c r="AU66" s="9" t="n">
        <v>1</v>
      </c>
      <c r="AV66" s="9" t="n">
        <v>1</v>
      </c>
      <c r="AW66" s="9" t="n">
        <v>1</v>
      </c>
      <c r="AX66" s="9" t="n">
        <v>1</v>
      </c>
      <c r="AY66" s="9" t="n">
        <v>1</v>
      </c>
      <c r="AZ66" s="9" t="n">
        <v>1</v>
      </c>
      <c r="BA66" s="9" t="n">
        <v>1</v>
      </c>
      <c r="BB66" s="9" t="n">
        <v>1</v>
      </c>
      <c r="BC66" s="9" t="n">
        <v>1</v>
      </c>
      <c r="BD66" s="9" t="n">
        <v>1</v>
      </c>
      <c r="BE66" s="9" t="n">
        <v>1</v>
      </c>
      <c r="BF66" s="9" t="n">
        <v>1</v>
      </c>
      <c r="BG66" s="9" t="n">
        <v>1</v>
      </c>
      <c r="BH66" s="9" t="n">
        <v>1</v>
      </c>
      <c r="BI66" s="9">
        <f>2+1</f>
        <v/>
      </c>
      <c r="BJ66" s="9" t="n">
        <v>0</v>
      </c>
      <c r="BK66" s="9" t="n">
        <v>0</v>
      </c>
      <c r="BL66" s="9" t="n">
        <v>0</v>
      </c>
      <c r="BM66" s="9" t="n">
        <v>0</v>
      </c>
      <c r="BN66" s="9" t="n">
        <v>0</v>
      </c>
      <c r="BO66" s="9" t="n">
        <v>0</v>
      </c>
      <c r="BP66" s="9" t="n">
        <v>0</v>
      </c>
      <c r="BQ66" s="9" t="n">
        <v>0</v>
      </c>
      <c r="BR66" s="9" t="n">
        <v>0</v>
      </c>
      <c r="BS66" s="9" t="n">
        <v>0</v>
      </c>
      <c r="BT66" s="9" t="n">
        <v>0</v>
      </c>
      <c r="BU66" s="9" t="n">
        <v>0</v>
      </c>
      <c r="BV66" s="9" t="n">
        <v>0</v>
      </c>
      <c r="BW66" s="9" t="n">
        <v>0</v>
      </c>
      <c r="BX66" s="9" t="n">
        <v>0</v>
      </c>
      <c r="BY66" s="9" t="n">
        <v>0</v>
      </c>
      <c r="BZ66" s="9" t="n"/>
      <c r="CA66" s="9" t="n"/>
      <c r="CB66" s="9" t="n"/>
      <c r="CC66" s="9" t="n"/>
      <c r="CD66" s="9" t="n"/>
      <c r="CE66" s="9" t="n"/>
      <c r="CF66" s="154">
        <f>CD66+IF(NOT(ISBLANK(OFFSET(CF66,0,6))),N(OFFSET(CF66,0,6)),N(OFFSET(CF66,0,7)))-CE66</f>
        <v/>
      </c>
      <c r="CG66" s="6" t="n"/>
      <c r="CH66" s="317" t="n"/>
      <c r="CI66" s="49" t="n"/>
      <c r="CJ66" s="65" t="n"/>
      <c r="CK66" s="18" t="n">
        <v>0</v>
      </c>
      <c r="CL66" s="18" t="n">
        <v>0</v>
      </c>
      <c r="CM66" s="18" t="n">
        <v>0</v>
      </c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54" t="inlineStr">
        <is>
          <t>01 DE ER MG</t>
        </is>
      </c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18" t="n"/>
      <c r="DP66" s="396" t="n"/>
      <c r="DQ66" s="256" t="n"/>
      <c r="DR66" s="18" t="n"/>
      <c r="DS66" s="18" t="n"/>
      <c r="DT66" s="18" t="n"/>
      <c r="DU66" s="18" t="n"/>
      <c r="DV66" s="18" t="n"/>
      <c r="DW66" s="18" t="n"/>
      <c r="DX66" s="18" t="n"/>
      <c r="DY66" s="18" t="n"/>
      <c r="DZ66" s="18" t="n"/>
      <c r="EA66" s="18" t="n"/>
      <c r="EB66" s="18" t="n"/>
      <c r="EC66" s="18" t="n"/>
      <c r="ED66" s="260" t="n"/>
      <c r="EE66" s="260" t="n"/>
      <c r="EF66" s="18" t="n"/>
      <c r="EG66" s="18" t="n"/>
      <c r="EH66" s="18" t="n"/>
      <c r="EI66" s="260" t="n"/>
      <c r="EJ66" s="18" t="n"/>
      <c r="EK66" s="18" t="n"/>
      <c r="EL66" s="18" t="n"/>
      <c r="EM66" s="18" t="n"/>
      <c r="EN66" s="18" t="n"/>
      <c r="EO66" s="260" t="n"/>
      <c r="EP66" s="18" t="n"/>
      <c r="EQ66" s="260" t="n"/>
      <c r="ER66" s="18" t="n"/>
      <c r="ES66" s="18" t="n"/>
      <c r="ET66" s="260" t="n"/>
      <c r="EU66" s="18" t="n"/>
      <c r="EV66" s="260" t="n"/>
      <c r="EW66" s="256" t="n"/>
      <c r="EX66" s="260" t="n"/>
      <c r="EY66" s="18" t="n"/>
      <c r="EZ66" s="18" t="n"/>
      <c r="FA66" s="18" t="n"/>
      <c r="FB66" s="18" t="n"/>
      <c r="FC66" s="18" t="n"/>
      <c r="FD66" s="260" t="n"/>
      <c r="FE66" s="260" t="n"/>
      <c r="FF66" s="18" t="n"/>
      <c r="FG66" s="18" t="n"/>
      <c r="FH66" s="18" t="n"/>
      <c r="FI66" s="18" t="n"/>
      <c r="FJ66" s="280" t="n"/>
      <c r="FK66" s="18" t="n"/>
      <c r="FL66" s="18" t="n"/>
      <c r="FM66" s="18" t="n"/>
      <c r="FN66" s="18" t="n"/>
      <c r="FO66" s="18" t="n"/>
      <c r="FP66" s="274" t="n"/>
      <c r="FQ66" s="18" t="n"/>
      <c r="FR66" s="18" t="n"/>
      <c r="FS66" s="18" t="n"/>
      <c r="FT66" s="18" t="n"/>
      <c r="FU66" s="18" t="n"/>
      <c r="FV66" s="18" t="n"/>
      <c r="FW66" s="18" t="n"/>
      <c r="FX66" s="239" t="inlineStr">
        <is>
          <t>10 DE VDP</t>
        </is>
      </c>
      <c r="FY66" s="18" t="n"/>
      <c r="FZ66" s="18" t="n"/>
      <c r="GA66" s="18" t="n"/>
      <c r="GB66" s="18" t="n"/>
      <c r="GC66" s="768" t="n"/>
      <c r="GD66" s="769" t="n"/>
      <c r="GF66" s="720" t="n"/>
    </row>
    <row r="67" ht="18.75" customHeight="1">
      <c r="A67" s="43" t="inlineStr">
        <is>
          <t>CAIXA P  QDB</t>
        </is>
      </c>
      <c r="B67" s="149" t="n">
        <v>150</v>
      </c>
      <c r="C67" s="726" t="n">
        <v>306</v>
      </c>
      <c r="D67" s="329" t="n">
        <v>10</v>
      </c>
      <c r="F67" s="9" t="n">
        <v>0</v>
      </c>
      <c r="G67" s="9">
        <f>0+10</f>
        <v/>
      </c>
      <c r="H67" s="9" t="n">
        <v>10</v>
      </c>
      <c r="I67" s="9" t="n">
        <v>10</v>
      </c>
      <c r="J67" s="9" t="n">
        <v>10</v>
      </c>
      <c r="K67" s="9" t="n">
        <v>10</v>
      </c>
      <c r="L67" s="9" t="n">
        <v>10</v>
      </c>
      <c r="M67" s="9" t="n">
        <v>10</v>
      </c>
      <c r="N67" s="9" t="n">
        <v>10</v>
      </c>
      <c r="O67" s="9" t="n">
        <v>10</v>
      </c>
      <c r="P67" s="9" t="n">
        <v>10</v>
      </c>
      <c r="Q67" s="9" t="n">
        <v>10</v>
      </c>
      <c r="R67" s="9" t="n">
        <v>10</v>
      </c>
      <c r="S67" s="9" t="n">
        <v>10</v>
      </c>
      <c r="T67" s="9" t="n">
        <v>10</v>
      </c>
      <c r="U67" s="9" t="n">
        <v>10</v>
      </c>
      <c r="V67" s="9" t="n">
        <v>10</v>
      </c>
      <c r="W67" s="9" t="n">
        <v>10</v>
      </c>
      <c r="X67" s="9" t="n">
        <v>10</v>
      </c>
      <c r="Y67" s="9" t="n">
        <v>10</v>
      </c>
      <c r="Z67" s="9" t="n">
        <v>10</v>
      </c>
      <c r="AA67" s="9" t="n">
        <v>3</v>
      </c>
      <c r="AB67" s="9" t="n">
        <v>0</v>
      </c>
      <c r="AC67" s="9" t="n">
        <v>0</v>
      </c>
      <c r="AD67" s="9" t="n">
        <v>0</v>
      </c>
      <c r="AE67" s="9" t="n">
        <v>0</v>
      </c>
      <c r="AF67" s="9" t="n">
        <v>0</v>
      </c>
      <c r="AG67" s="9" t="n">
        <v>0</v>
      </c>
      <c r="AH67" s="9" t="n">
        <v>0</v>
      </c>
      <c r="AI67" s="9" t="n">
        <v>0</v>
      </c>
      <c r="AJ67" s="9" t="n">
        <v>0</v>
      </c>
      <c r="AK67" s="9" t="n">
        <v>0</v>
      </c>
      <c r="AL67" s="9" t="n">
        <v>0</v>
      </c>
      <c r="AM67" s="9" t="n">
        <v>0</v>
      </c>
      <c r="AN67" s="9" t="n">
        <v>0</v>
      </c>
      <c r="AO67" s="9" t="n">
        <v>0</v>
      </c>
      <c r="AP67" s="9" t="n">
        <v>0</v>
      </c>
      <c r="AQ67" s="9" t="n">
        <v>0</v>
      </c>
      <c r="AR67" s="9" t="n">
        <v>0</v>
      </c>
      <c r="AS67" s="9" t="n">
        <v>0</v>
      </c>
      <c r="AT67" s="190" t="n">
        <v>15</v>
      </c>
      <c r="AU67" s="9" t="n">
        <v>15</v>
      </c>
      <c r="AV67" s="9" t="n">
        <v>15</v>
      </c>
      <c r="AW67" s="9" t="n">
        <v>15</v>
      </c>
      <c r="AX67" s="9" t="n">
        <v>15</v>
      </c>
      <c r="AY67" s="9" t="n">
        <v>15</v>
      </c>
      <c r="AZ67" s="9" t="n">
        <v>10</v>
      </c>
      <c r="BA67" s="9" t="n">
        <v>10</v>
      </c>
      <c r="BB67" s="9" t="n">
        <v>5</v>
      </c>
      <c r="BC67" s="9" t="n">
        <v>5</v>
      </c>
      <c r="BD67" s="9" t="n">
        <v>5</v>
      </c>
      <c r="BE67" s="9" t="n">
        <v>5</v>
      </c>
      <c r="BF67" s="9" t="n">
        <v>4</v>
      </c>
      <c r="BG67" s="9" t="n">
        <v>4</v>
      </c>
      <c r="BH67" s="9" t="n">
        <v>4</v>
      </c>
      <c r="BI67" s="9" t="n">
        <v>4</v>
      </c>
      <c r="BJ67" s="9" t="n">
        <v>4</v>
      </c>
      <c r="BK67" s="9" t="n">
        <v>4</v>
      </c>
      <c r="BL67" s="9" t="n">
        <v>4</v>
      </c>
      <c r="BM67" s="9" t="n">
        <v>4</v>
      </c>
      <c r="BN67" s="9" t="n">
        <v>4</v>
      </c>
      <c r="BO67" s="9" t="n">
        <v>4</v>
      </c>
      <c r="BP67" s="9" t="n">
        <v>4</v>
      </c>
      <c r="BQ67" s="9" t="n">
        <v>4</v>
      </c>
      <c r="BR67" s="9" t="n">
        <v>4</v>
      </c>
      <c r="BS67" s="9" t="n">
        <v>4</v>
      </c>
      <c r="BT67" s="9" t="n">
        <v>4</v>
      </c>
      <c r="BU67" s="9" t="n">
        <v>4</v>
      </c>
      <c r="BV67" s="9" t="n">
        <v>4</v>
      </c>
      <c r="BW67" s="9" t="n">
        <v>4</v>
      </c>
      <c r="BX67" s="9" t="n">
        <v>4</v>
      </c>
      <c r="BY67" s="9" t="n">
        <v>4</v>
      </c>
      <c r="BZ67" s="9" t="n">
        <v>4</v>
      </c>
      <c r="CA67" s="9" t="n">
        <v>4</v>
      </c>
      <c r="CB67" s="9" t="n">
        <v>4</v>
      </c>
      <c r="CC67" s="9" t="n">
        <v>4</v>
      </c>
      <c r="CD67" s="9" t="n">
        <v>4</v>
      </c>
      <c r="CE67" s="9" t="n">
        <v>4</v>
      </c>
      <c r="CF67" s="154">
        <f>CD67+IF(NOT(ISBLANK(OFFSET(CF67,0,6))),N(OFFSET(CF67,0,6)),N(OFFSET(CF67,0,7)))-CE67</f>
        <v/>
      </c>
      <c r="CG67" s="6" t="n"/>
      <c r="CH67" s="317" t="n"/>
      <c r="CI67" s="49" t="n"/>
      <c r="CJ67" s="19" t="n"/>
      <c r="CK67" s="18" t="n">
        <v>0</v>
      </c>
      <c r="CL67" s="18" t="n">
        <v>0</v>
      </c>
      <c r="CM67" s="18" t="n">
        <v>0</v>
      </c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18" t="n"/>
      <c r="DP67" s="396" t="n"/>
      <c r="DQ67" s="251" t="n"/>
      <c r="DR67" s="18" t="n"/>
      <c r="DS67" s="18" t="n"/>
      <c r="DT67" s="18" t="n"/>
      <c r="DU67" s="18" t="n"/>
      <c r="DV67" s="18" t="n"/>
      <c r="DW67" s="18" t="n"/>
      <c r="DX67" s="18" t="n"/>
      <c r="DY67" s="18" t="n"/>
      <c r="DZ67" s="18" t="n"/>
      <c r="EA67" s="18" t="n"/>
      <c r="EB67" s="18" t="n"/>
      <c r="EC67" s="18" t="n"/>
      <c r="ED67" s="260" t="n"/>
      <c r="EE67" s="260" t="n"/>
      <c r="EF67" s="18" t="n"/>
      <c r="EG67" s="18" t="n"/>
      <c r="EH67" s="18" t="n"/>
      <c r="EI67" s="260" t="n"/>
      <c r="EJ67" s="18" t="n"/>
      <c r="EK67" s="18" t="n"/>
      <c r="EL67" s="18" t="n"/>
      <c r="EM67" s="18" t="n"/>
      <c r="EN67" s="18" t="n"/>
      <c r="EO67" s="260" t="n"/>
      <c r="EP67" s="18" t="n"/>
      <c r="EQ67" s="260" t="n"/>
      <c r="ER67" s="18" t="n"/>
      <c r="ES67" s="18" t="n"/>
      <c r="ET67" s="260" t="n"/>
      <c r="EU67" s="18" t="n"/>
      <c r="EV67" s="260" t="n"/>
      <c r="EW67" s="276" t="n"/>
      <c r="EX67" s="260" t="n"/>
      <c r="EY67" s="18" t="n"/>
      <c r="EZ67" s="18" t="n"/>
      <c r="FA67" s="18" t="n"/>
      <c r="FB67" s="18" t="n"/>
      <c r="FC67" s="18" t="n"/>
      <c r="FD67" s="260" t="n"/>
      <c r="FE67" s="18" t="n"/>
      <c r="FF67" s="18" t="n"/>
      <c r="FG67" s="18" t="n"/>
      <c r="FH67" s="18" t="n"/>
      <c r="FI67" s="18" t="n"/>
      <c r="FJ67" s="274" t="n"/>
      <c r="FK67" s="18" t="n"/>
      <c r="FL67" s="18" t="n"/>
      <c r="FM67" s="18" t="n"/>
      <c r="FN67" s="18" t="n"/>
      <c r="FO67" s="18" t="n"/>
      <c r="FP67" s="274" t="n"/>
      <c r="FQ67" s="18" t="n"/>
      <c r="FR67" s="18" t="n"/>
      <c r="FS67" s="18" t="n"/>
      <c r="FT67" s="18" t="n"/>
      <c r="FU67" s="18" t="n"/>
      <c r="FV67" s="18" t="n"/>
      <c r="FW67" s="18" t="n"/>
      <c r="FX67" s="18" t="n"/>
      <c r="FY67" s="18" t="n"/>
      <c r="FZ67" s="18" t="n"/>
      <c r="GA67" s="18" t="n"/>
      <c r="GB67" s="18" t="n"/>
      <c r="GC67" s="768" t="n"/>
      <c r="GD67" s="769" t="n"/>
      <c r="GF67" s="720" t="n"/>
    </row>
    <row r="68" ht="18.75" customHeight="1">
      <c r="A68" s="43" t="inlineStr">
        <is>
          <t>CAIXA M  QDB</t>
        </is>
      </c>
      <c r="B68" s="149" t="n">
        <v>75</v>
      </c>
      <c r="C68" s="726" t="n">
        <v>216.38</v>
      </c>
      <c r="D68" s="329" t="n">
        <v>10</v>
      </c>
      <c r="F68" s="38" t="n">
        <v>25</v>
      </c>
      <c r="G68" s="38" t="n">
        <v>22</v>
      </c>
      <c r="H68" s="38" t="n">
        <v>19</v>
      </c>
      <c r="I68" s="38" t="n">
        <v>18</v>
      </c>
      <c r="J68" s="38" t="n">
        <v>18</v>
      </c>
      <c r="K68" s="38" t="n">
        <v>18</v>
      </c>
      <c r="L68" s="38" t="n">
        <v>18</v>
      </c>
      <c r="M68" s="38" t="n">
        <v>17</v>
      </c>
      <c r="N68" s="38" t="n">
        <v>17</v>
      </c>
      <c r="O68" s="38" t="n">
        <v>17</v>
      </c>
      <c r="P68" s="38" t="n">
        <v>17</v>
      </c>
      <c r="Q68" s="38" t="n">
        <v>17</v>
      </c>
      <c r="R68" s="38" t="n">
        <v>16</v>
      </c>
      <c r="S68" s="38" t="n">
        <v>16</v>
      </c>
      <c r="T68" s="38" t="n">
        <v>16</v>
      </c>
      <c r="U68" s="38" t="n">
        <v>16</v>
      </c>
      <c r="V68" s="38" t="n">
        <v>16</v>
      </c>
      <c r="W68" s="38" t="n">
        <v>16</v>
      </c>
      <c r="X68" s="38" t="n">
        <v>16</v>
      </c>
      <c r="Y68" s="38" t="n">
        <v>15</v>
      </c>
      <c r="Z68" s="38" t="n">
        <v>15</v>
      </c>
      <c r="AA68" s="38" t="n">
        <v>7</v>
      </c>
      <c r="AB68" s="38" t="n">
        <v>0</v>
      </c>
      <c r="AC68" s="38" t="n">
        <v>0</v>
      </c>
      <c r="AD68" s="38" t="n">
        <v>0</v>
      </c>
      <c r="AE68" s="38" t="n">
        <v>0</v>
      </c>
      <c r="AF68" s="38" t="n">
        <v>0</v>
      </c>
      <c r="AG68" s="38" t="n">
        <v>0</v>
      </c>
      <c r="AH68" s="38" t="n">
        <v>0</v>
      </c>
      <c r="AI68" s="38" t="n">
        <v>0</v>
      </c>
      <c r="AJ68" s="38" t="n">
        <v>0</v>
      </c>
      <c r="AK68" s="38" t="n">
        <v>0</v>
      </c>
      <c r="AL68" s="38" t="n">
        <v>0</v>
      </c>
      <c r="AM68" s="38" t="n">
        <v>0</v>
      </c>
      <c r="AN68" s="38" t="n">
        <v>0</v>
      </c>
      <c r="AO68" s="38" t="n">
        <v>0</v>
      </c>
      <c r="AP68" s="38" t="n">
        <v>0</v>
      </c>
      <c r="AQ68" s="38" t="n">
        <v>0</v>
      </c>
      <c r="AR68" s="38" t="n">
        <v>0</v>
      </c>
      <c r="AS68" s="38" t="n">
        <v>0</v>
      </c>
      <c r="AT68" s="38" t="n">
        <v>10</v>
      </c>
      <c r="AU68" s="38" t="n">
        <v>10</v>
      </c>
      <c r="AV68" s="38" t="n">
        <v>10</v>
      </c>
      <c r="AW68" s="38" t="n">
        <v>10</v>
      </c>
      <c r="AX68" s="38" t="n">
        <v>10</v>
      </c>
      <c r="AY68" s="38" t="n">
        <v>10</v>
      </c>
      <c r="AZ68" s="38" t="n">
        <v>10</v>
      </c>
      <c r="BA68" s="38" t="n">
        <v>10</v>
      </c>
      <c r="BB68" s="38" t="n">
        <v>9</v>
      </c>
      <c r="BC68" s="38" t="n">
        <v>8</v>
      </c>
      <c r="BD68" s="38" t="n">
        <v>8</v>
      </c>
      <c r="BE68" s="38" t="n">
        <v>8</v>
      </c>
      <c r="BF68" s="38" t="n">
        <v>10</v>
      </c>
      <c r="BG68" s="38" t="n">
        <v>10</v>
      </c>
      <c r="BH68" s="38" t="n">
        <v>10</v>
      </c>
      <c r="BI68" s="38" t="n">
        <v>10</v>
      </c>
      <c r="BJ68" s="38" t="n">
        <v>10</v>
      </c>
      <c r="BK68" s="38" t="n">
        <v>10</v>
      </c>
      <c r="BL68" s="38" t="n">
        <v>10</v>
      </c>
      <c r="BM68" s="38" t="n">
        <v>10</v>
      </c>
      <c r="BN68" s="38" t="n">
        <v>10</v>
      </c>
      <c r="BO68" s="38" t="n">
        <v>10</v>
      </c>
      <c r="BP68" s="38" t="n">
        <v>10</v>
      </c>
      <c r="BQ68" s="38" t="n">
        <v>10</v>
      </c>
      <c r="BR68" s="38" t="n">
        <v>10</v>
      </c>
      <c r="BS68" s="38" t="n">
        <v>10</v>
      </c>
      <c r="BT68" s="38" t="n">
        <v>10</v>
      </c>
      <c r="BU68" s="38" t="n">
        <v>10</v>
      </c>
      <c r="BV68" s="38" t="n">
        <v>10</v>
      </c>
      <c r="BW68" s="38" t="n">
        <v>10</v>
      </c>
      <c r="BX68" s="38" t="n">
        <v>10</v>
      </c>
      <c r="BY68" s="38" t="n">
        <v>10</v>
      </c>
      <c r="BZ68" s="38" t="n">
        <v>10</v>
      </c>
      <c r="CA68" s="38" t="n">
        <v>10</v>
      </c>
      <c r="CB68" s="38" t="n">
        <v>10</v>
      </c>
      <c r="CC68" s="9" t="n">
        <v>10</v>
      </c>
      <c r="CD68" s="9" t="n">
        <v>10</v>
      </c>
      <c r="CE68" s="9" t="n">
        <v>10</v>
      </c>
      <c r="CF68" s="154">
        <f>CD68+IF(NOT(ISBLANK(OFFSET(CF68,0,6))),N(OFFSET(CF68,0,6)),N(OFFSET(CF68,0,7)))-CE68</f>
        <v/>
      </c>
      <c r="CG68" s="53" t="n"/>
      <c r="CH68" s="317" t="n"/>
      <c r="CI68" s="49" t="n"/>
      <c r="CJ68" s="27" t="n"/>
      <c r="CK68" s="18" t="n">
        <v>0</v>
      </c>
      <c r="CL68" s="18" t="n">
        <v>0</v>
      </c>
      <c r="CM68" s="18" t="n">
        <v>0</v>
      </c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18" t="n"/>
      <c r="DP68" s="396" t="n"/>
      <c r="DQ68" s="256" t="n"/>
      <c r="DR68" s="18" t="n"/>
      <c r="DS68" s="18" t="n"/>
      <c r="DT68" s="18" t="n"/>
      <c r="DU68" s="18" t="n"/>
      <c r="DV68" s="18" t="n"/>
      <c r="DW68" s="18" t="n"/>
      <c r="DX68" s="18" t="n"/>
      <c r="DY68" s="18" t="n"/>
      <c r="DZ68" s="18" t="n"/>
      <c r="EA68" s="18" t="n"/>
      <c r="EB68" s="18" t="n"/>
      <c r="EC68" s="18" t="n"/>
      <c r="ED68" s="260" t="n"/>
      <c r="EE68" s="260" t="n"/>
      <c r="EF68" s="18" t="n"/>
      <c r="EG68" s="18" t="n"/>
      <c r="EH68" s="18" t="n"/>
      <c r="EI68" s="260" t="n"/>
      <c r="EJ68" s="18" t="n"/>
      <c r="EK68" s="18" t="n"/>
      <c r="EL68" s="18" t="n"/>
      <c r="EM68" s="18" t="n"/>
      <c r="EN68" s="18" t="n"/>
      <c r="EO68" s="260" t="n"/>
      <c r="EP68" s="18" t="n"/>
      <c r="EQ68" s="260" t="n"/>
      <c r="ER68" s="18" t="n"/>
      <c r="ES68" s="18" t="n"/>
      <c r="ET68" s="260" t="n"/>
      <c r="EU68" s="18" t="n"/>
      <c r="EV68" s="260" t="n"/>
      <c r="EW68" s="276" t="n"/>
      <c r="EX68" s="260" t="n"/>
      <c r="EY68" s="18" t="n"/>
      <c r="EZ68" s="18" t="n"/>
      <c r="FA68" s="18" t="n"/>
      <c r="FB68" s="18" t="n"/>
      <c r="FC68" s="18" t="n"/>
      <c r="FD68" s="260" t="n"/>
      <c r="FE68" s="260" t="n"/>
      <c r="FF68" s="18" t="n"/>
      <c r="FG68" s="18" t="n"/>
      <c r="FH68" s="18" t="n"/>
      <c r="FI68" s="18" t="n"/>
      <c r="FJ68" s="274" t="n"/>
      <c r="FK68" s="18" t="n"/>
      <c r="FL68" s="18" t="n"/>
      <c r="FM68" s="18" t="n"/>
      <c r="FN68" s="18" t="n"/>
      <c r="FO68" s="18" t="n"/>
      <c r="FP68" s="274" t="n"/>
      <c r="FQ68" s="18" t="n"/>
      <c r="FR68" s="18" t="n"/>
      <c r="FS68" s="18" t="n"/>
      <c r="FT68" s="18" t="n"/>
      <c r="FU68" s="18" t="n"/>
      <c r="FV68" s="18" t="n"/>
      <c r="FW68" s="18" t="n"/>
      <c r="FX68" s="239" t="inlineStr">
        <is>
          <t>10 DE VDP</t>
        </is>
      </c>
      <c r="FY68" s="18" t="n"/>
      <c r="FZ68" s="18" t="n"/>
      <c r="GA68" s="18" t="n"/>
      <c r="GB68" s="18" t="n"/>
      <c r="GC68" s="768" t="n"/>
      <c r="GD68" s="769" t="n"/>
      <c r="GF68" s="720" t="n"/>
    </row>
    <row r="69" ht="18.75" customHeight="1" thickBot="1">
      <c r="A69" s="43" t="inlineStr">
        <is>
          <t>CAIXA G  QDB</t>
        </is>
      </c>
      <c r="B69" s="149" t="n">
        <v>100</v>
      </c>
      <c r="C69" s="726" t="n">
        <v>306</v>
      </c>
      <c r="D69" s="329" t="n">
        <v>5</v>
      </c>
      <c r="F69" s="38" t="n">
        <v>0</v>
      </c>
      <c r="G69" s="38">
        <f>0+10</f>
        <v/>
      </c>
      <c r="H69" s="38" t="n">
        <v>10</v>
      </c>
      <c r="I69" s="38" t="n">
        <v>10</v>
      </c>
      <c r="J69" s="38" t="n">
        <v>10</v>
      </c>
      <c r="K69" s="38" t="n">
        <v>10</v>
      </c>
      <c r="L69" s="38" t="n">
        <v>10</v>
      </c>
      <c r="M69" s="38" t="n">
        <v>10</v>
      </c>
      <c r="N69" s="38" t="n">
        <v>10</v>
      </c>
      <c r="O69" s="38" t="n">
        <v>10</v>
      </c>
      <c r="P69" s="38" t="n">
        <v>10</v>
      </c>
      <c r="Q69" s="38" t="n">
        <v>10</v>
      </c>
      <c r="R69" s="38" t="n">
        <v>10</v>
      </c>
      <c r="S69" s="38" t="n">
        <v>10</v>
      </c>
      <c r="T69" s="38" t="n">
        <v>10</v>
      </c>
      <c r="U69" s="38" t="n">
        <v>10</v>
      </c>
      <c r="V69" s="38" t="n">
        <v>10</v>
      </c>
      <c r="W69" s="38" t="n">
        <v>10</v>
      </c>
      <c r="X69" s="38" t="n">
        <v>10</v>
      </c>
      <c r="Y69" s="38" t="n">
        <v>10</v>
      </c>
      <c r="Z69" s="38" t="n">
        <v>10</v>
      </c>
      <c r="AA69" s="38" t="n">
        <v>7</v>
      </c>
      <c r="AB69" s="38" t="n">
        <v>0</v>
      </c>
      <c r="AC69" s="38" t="n">
        <v>0</v>
      </c>
      <c r="AD69" s="38" t="n">
        <v>0</v>
      </c>
      <c r="AE69" s="38" t="n">
        <v>0</v>
      </c>
      <c r="AF69" s="38" t="n">
        <v>0</v>
      </c>
      <c r="AG69" s="38" t="n">
        <v>0</v>
      </c>
      <c r="AH69" s="38" t="n">
        <v>0</v>
      </c>
      <c r="AI69" s="38" t="n">
        <v>0</v>
      </c>
      <c r="AJ69" s="38" t="n">
        <v>0</v>
      </c>
      <c r="AK69" s="38" t="n">
        <v>0</v>
      </c>
      <c r="AL69" s="38" t="n">
        <v>0</v>
      </c>
      <c r="AM69" s="38" t="n">
        <v>0</v>
      </c>
      <c r="AN69" s="38" t="n">
        <v>0</v>
      </c>
      <c r="AO69" s="38" t="n">
        <v>0</v>
      </c>
      <c r="AP69" s="38" t="n">
        <v>0</v>
      </c>
      <c r="AQ69" s="38" t="n">
        <v>0</v>
      </c>
      <c r="AR69" s="38" t="n">
        <v>0</v>
      </c>
      <c r="AS69" s="38" t="n">
        <v>0</v>
      </c>
      <c r="AT69" s="38" t="n">
        <v>20</v>
      </c>
      <c r="AU69" s="38" t="n">
        <v>20</v>
      </c>
      <c r="AV69" s="38" t="n">
        <v>20</v>
      </c>
      <c r="AW69" s="38" t="n">
        <v>20</v>
      </c>
      <c r="AX69" s="38" t="n">
        <v>20</v>
      </c>
      <c r="AY69" s="38" t="n">
        <v>20</v>
      </c>
      <c r="AZ69" s="38" t="n">
        <v>20</v>
      </c>
      <c r="BA69" s="38" t="n">
        <v>20</v>
      </c>
      <c r="BB69" s="38" t="n">
        <v>20</v>
      </c>
      <c r="BC69" s="38" t="n">
        <v>20</v>
      </c>
      <c r="BD69" s="38" t="n">
        <v>20</v>
      </c>
      <c r="BE69" s="38" t="n">
        <v>20</v>
      </c>
      <c r="BF69" s="38" t="n">
        <v>20</v>
      </c>
      <c r="BG69" s="38" t="n">
        <v>20</v>
      </c>
      <c r="BH69" s="38" t="n">
        <v>20</v>
      </c>
      <c r="BI69" s="38" t="n">
        <v>20</v>
      </c>
      <c r="BJ69" s="38" t="n">
        <v>20</v>
      </c>
      <c r="BK69" s="38" t="n">
        <v>20</v>
      </c>
      <c r="BL69" s="38" t="n">
        <v>20</v>
      </c>
      <c r="BM69" s="38" t="n">
        <v>20</v>
      </c>
      <c r="BN69" s="38" t="n">
        <v>20</v>
      </c>
      <c r="BO69" s="38" t="n">
        <v>20</v>
      </c>
      <c r="BP69" s="38" t="n">
        <v>20</v>
      </c>
      <c r="BQ69" s="38" t="n">
        <v>20</v>
      </c>
      <c r="BR69" s="38" t="n">
        <v>20</v>
      </c>
      <c r="BS69" s="38" t="n">
        <v>20</v>
      </c>
      <c r="BT69" s="38" t="n">
        <v>20</v>
      </c>
      <c r="BU69" s="38" t="n">
        <v>20</v>
      </c>
      <c r="BV69" s="38" t="n">
        <v>20</v>
      </c>
      <c r="BW69" s="38" t="n">
        <v>20</v>
      </c>
      <c r="BX69" s="38" t="n">
        <v>20</v>
      </c>
      <c r="BY69" s="38" t="n">
        <v>20</v>
      </c>
      <c r="BZ69" s="38" t="n">
        <v>20</v>
      </c>
      <c r="CA69" s="38" t="n">
        <v>20</v>
      </c>
      <c r="CB69" s="38" t="n">
        <v>20</v>
      </c>
      <c r="CC69" s="9" t="n">
        <v>20</v>
      </c>
      <c r="CD69" s="9" t="n">
        <v>20</v>
      </c>
      <c r="CE69" s="9" t="n">
        <v>20</v>
      </c>
      <c r="CF69" s="154">
        <f>CD69+IF(NOT(ISBLANK(OFFSET(CF69,0,6))),N(OFFSET(CF69,0,6)),N(OFFSET(CF69,0,7)))-CE69</f>
        <v/>
      </c>
      <c r="CG69" s="6" t="n"/>
      <c r="CH69" s="317" t="n"/>
      <c r="CI69" s="49" t="n"/>
      <c r="CJ69" s="19" t="n"/>
      <c r="CK69" s="18" t="n">
        <v>0</v>
      </c>
      <c r="CL69" s="18" t="n">
        <v>0</v>
      </c>
      <c r="CM69" s="18" t="n">
        <v>0</v>
      </c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18" t="n"/>
      <c r="DP69" s="396" t="n"/>
      <c r="DQ69" s="251" t="n"/>
      <c r="DR69" s="18" t="n"/>
      <c r="EW69" s="268" t="n"/>
      <c r="GC69" s="770" t="n"/>
      <c r="GD69" s="771" t="n"/>
      <c r="GE69" s="763" t="n"/>
      <c r="GF69" s="722" t="n"/>
    </row>
    <row r="70" ht="18.75" customHeight="1">
      <c r="DQ70" s="271" t="n"/>
      <c r="DS70" s="654" t="n">
        <v>45909</v>
      </c>
      <c r="DT70" s="654" t="n">
        <v>45915</v>
      </c>
      <c r="DU70" s="654" t="n">
        <v>45909</v>
      </c>
      <c r="DV70" s="654" t="n">
        <v>45903</v>
      </c>
      <c r="DW70" s="654" t="n">
        <v>45895</v>
      </c>
      <c r="DX70" s="654" t="n">
        <v>45895</v>
      </c>
      <c r="DY70" s="679" t="n">
        <v>45896</v>
      </c>
      <c r="DZ70" s="654" t="n">
        <v>45888</v>
      </c>
      <c r="EA70" s="654" t="n">
        <v>45881</v>
      </c>
      <c r="EB70" s="654" t="n">
        <v>45881</v>
      </c>
      <c r="EC70" s="654" t="n">
        <v>45874</v>
      </c>
      <c r="ED70" s="655" t="n">
        <v>45882</v>
      </c>
      <c r="EE70" s="655" t="n">
        <v>45881</v>
      </c>
      <c r="EF70" s="654" t="n">
        <v>45867</v>
      </c>
      <c r="EG70" s="654" t="n">
        <v>45860</v>
      </c>
      <c r="EH70" s="654" t="n">
        <v>45860</v>
      </c>
      <c r="EI70" s="655" t="n">
        <v>45860</v>
      </c>
      <c r="EJ70" s="654" t="n">
        <v>45848</v>
      </c>
      <c r="EK70" s="681" t="n">
        <v>45853</v>
      </c>
      <c r="EL70" s="654" t="n">
        <v>45839</v>
      </c>
      <c r="EM70" s="654" t="n">
        <v>45825</v>
      </c>
      <c r="EN70" s="681" t="n">
        <v>45791</v>
      </c>
      <c r="EO70" s="655" t="n">
        <v>45826</v>
      </c>
      <c r="EP70" s="654" t="n">
        <v>45813</v>
      </c>
      <c r="EQ70" s="655" t="n">
        <v>45819</v>
      </c>
      <c r="ER70" s="654" t="n">
        <v>45805</v>
      </c>
      <c r="ES70" s="654" t="n">
        <v>45783</v>
      </c>
      <c r="ET70" s="655" t="n">
        <v>45807</v>
      </c>
      <c r="EU70" s="654" t="n">
        <v>45790</v>
      </c>
      <c r="EV70" s="690" t="n">
        <v>45800</v>
      </c>
      <c r="EW70" s="650" t="n">
        <v>45799</v>
      </c>
      <c r="EX70" s="655" t="n">
        <v>45798</v>
      </c>
      <c r="EY70" s="654" t="n">
        <v>45783</v>
      </c>
      <c r="EZ70" s="654" t="n">
        <v>45783</v>
      </c>
      <c r="FA70" s="654" t="n">
        <v>45775</v>
      </c>
      <c r="FB70" s="654" t="n">
        <v>45770</v>
      </c>
      <c r="FC70" s="654" t="n">
        <v>45743</v>
      </c>
      <c r="FD70" s="683" t="n">
        <v>45735</v>
      </c>
      <c r="FE70" s="655" t="n">
        <v>45775</v>
      </c>
      <c r="FF70" s="654" t="n">
        <v>45756</v>
      </c>
      <c r="FG70" s="654" t="n">
        <v>45749</v>
      </c>
      <c r="FH70" s="654" t="n">
        <v>45743</v>
      </c>
      <c r="FI70" s="654" t="n">
        <v>45743</v>
      </c>
      <c r="FJ70" s="650" t="n">
        <v>45741</v>
      </c>
      <c r="FK70" s="654" t="n">
        <v>45728</v>
      </c>
      <c r="FL70" s="654" t="n">
        <v>45728</v>
      </c>
      <c r="FM70" s="654" t="n">
        <v>45722</v>
      </c>
      <c r="FN70" s="654" t="n">
        <v>45714</v>
      </c>
      <c r="FO70" s="654" t="n">
        <v>45706</v>
      </c>
      <c r="FP70" s="650" t="n">
        <v>45700</v>
      </c>
      <c r="FQ70" s="654" t="n">
        <v>45699</v>
      </c>
      <c r="FR70" s="654" t="n">
        <v>45706</v>
      </c>
      <c r="FS70" s="654" t="n">
        <v>45693</v>
      </c>
      <c r="FT70" s="654" t="n">
        <v>45685</v>
      </c>
      <c r="FU70" s="654" t="n">
        <v>45679</v>
      </c>
      <c r="FV70" s="654" t="n">
        <v>45660</v>
      </c>
      <c r="FW70" s="654" t="n">
        <v>45674</v>
      </c>
      <c r="FX70" s="655" t="n">
        <v>45672</v>
      </c>
      <c r="FY70" s="654" t="n">
        <v>45652</v>
      </c>
      <c r="FZ70" s="655" t="n">
        <v>45670</v>
      </c>
      <c r="GA70" s="654" t="n">
        <v>45664</v>
      </c>
      <c r="GB70" s="654" t="n">
        <v>45660</v>
      </c>
      <c r="GC70" s="654" t="n">
        <v>45660</v>
      </c>
    </row>
    <row r="71" ht="18.75" customHeight="1">
      <c r="A71" s="202" t="inlineStr">
        <is>
          <t>SACOLAS E CAIXAS EUDORA</t>
        </is>
      </c>
      <c r="B71" s="203" t="n"/>
      <c r="C71" s="203" t="n"/>
      <c r="D71" s="203" t="n"/>
      <c r="F71" s="650" t="n">
        <v>45656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0" t="n">
        <v>46160</v>
      </c>
      <c r="CC71" s="651" t="n">
        <v>46161.4800428125</v>
      </c>
      <c r="CD71" s="651" t="n">
        <v>46161.48072087963</v>
      </c>
      <c r="CE71" s="651" t="n">
        <v>46161.48287954472</v>
      </c>
      <c r="CF71" s="652" t="inlineStr">
        <is>
          <t>USOU</t>
        </is>
      </c>
      <c r="CH71" s="35" t="inlineStr">
        <is>
          <t>Pend.</t>
        </is>
      </c>
      <c r="CJ71" s="12" t="inlineStr">
        <is>
          <t>Novo Pedido</t>
        </is>
      </c>
      <c r="CK71" s="708" t="n">
        <v>46161.48287850458</v>
      </c>
      <c r="CL71" s="654" t="n">
        <v>46156</v>
      </c>
      <c r="CM71" s="654" t="n">
        <v>46149</v>
      </c>
      <c r="CN71" s="654" t="n">
        <v>46114</v>
      </c>
      <c r="CO71" s="710" t="n">
        <v>46065</v>
      </c>
      <c r="CP71" s="654" t="n">
        <v>46092</v>
      </c>
      <c r="CQ71" s="654" t="n">
        <v>46092</v>
      </c>
      <c r="CR71" s="654" t="n">
        <v>46084</v>
      </c>
      <c r="CS71" s="711" t="n">
        <v>46045</v>
      </c>
      <c r="CT71" s="654" t="n">
        <v>46071</v>
      </c>
      <c r="CU71" s="654" t="n">
        <v>46043</v>
      </c>
      <c r="CV71" s="654" t="n">
        <v>46029</v>
      </c>
      <c r="CW71" s="654" t="n">
        <v>46024</v>
      </c>
      <c r="CX71" s="655" t="n">
        <v>46041</v>
      </c>
      <c r="CY71" s="654" t="n">
        <v>46029</v>
      </c>
      <c r="CZ71" s="654" t="n">
        <v>46024</v>
      </c>
      <c r="DA71" s="654" t="n">
        <v>46007</v>
      </c>
      <c r="DB71" s="654" t="n">
        <v>46001</v>
      </c>
      <c r="DC71" s="654" t="n">
        <v>45994</v>
      </c>
      <c r="DD71" s="654" t="n">
        <v>45986</v>
      </c>
      <c r="DE71" s="654" t="n">
        <v>45986</v>
      </c>
      <c r="DF71" s="654" t="n">
        <v>45980</v>
      </c>
      <c r="DG71" s="654" t="n">
        <v>45980</v>
      </c>
      <c r="DH71" s="654" t="n">
        <v>45973</v>
      </c>
      <c r="DI71" s="654" t="n">
        <v>45973</v>
      </c>
      <c r="DJ71" s="654" t="n">
        <v>45965</v>
      </c>
      <c r="DK71" s="654" t="n">
        <v>45965</v>
      </c>
      <c r="DL71" s="654" t="n">
        <v>45960</v>
      </c>
      <c r="DM71" s="654" t="n">
        <v>45951</v>
      </c>
      <c r="DN71" s="654" t="n">
        <v>45937</v>
      </c>
      <c r="DO71" s="654" t="n">
        <v>45931</v>
      </c>
      <c r="DP71" s="678" t="n">
        <v>45903</v>
      </c>
      <c r="DQ71" s="688" t="n">
        <v>45931</v>
      </c>
      <c r="DR71" s="654" t="n">
        <v>45923</v>
      </c>
      <c r="DS71" s="18" t="n"/>
      <c r="DT71" s="18" t="n"/>
      <c r="DU71" s="18" t="n"/>
      <c r="DV71" s="18" t="n">
        <v>200</v>
      </c>
      <c r="DW71" s="18" t="n"/>
      <c r="DX71" s="18" t="n"/>
      <c r="DY71" s="18" t="n"/>
      <c r="DZ71" s="18" t="n">
        <v>600</v>
      </c>
      <c r="EA71" s="18" t="n">
        <v>200</v>
      </c>
      <c r="EB71" s="18" t="n"/>
      <c r="EC71" s="18" t="n">
        <v>400</v>
      </c>
      <c r="ED71" s="18" t="n"/>
      <c r="EE71" s="18" t="n"/>
      <c r="EF71" s="18" t="n"/>
      <c r="EG71" s="18" t="n"/>
      <c r="EH71" s="18" t="n">
        <v>200</v>
      </c>
      <c r="EI71" s="18" t="n"/>
      <c r="EJ71" s="18" t="n">
        <v>400</v>
      </c>
      <c r="EK71" s="18" t="n"/>
      <c r="EL71" s="18" t="n"/>
      <c r="EM71" s="18" t="n"/>
      <c r="EN71" s="18" t="n"/>
      <c r="EO71" s="18" t="n"/>
      <c r="EP71" s="18" t="n">
        <v>200</v>
      </c>
      <c r="EQ71" s="18" t="n"/>
      <c r="ER71" s="18" t="n">
        <v>400</v>
      </c>
      <c r="ES71" s="18" t="n"/>
      <c r="ET71" s="18" t="n"/>
      <c r="EU71" s="18" t="n"/>
      <c r="EV71" s="18" t="n"/>
      <c r="EW71" s="274" t="n"/>
      <c r="EX71" s="18" t="n"/>
      <c r="EY71" s="18" t="n"/>
      <c r="EZ71" s="18" t="n">
        <v>400</v>
      </c>
      <c r="FA71" s="18" t="n">
        <v>400</v>
      </c>
      <c r="FB71" s="18" t="n"/>
      <c r="FC71" s="18" t="n"/>
      <c r="FD71" s="18" t="n"/>
      <c r="FE71" s="260" t="n"/>
      <c r="FF71" s="18" t="n">
        <v>200</v>
      </c>
      <c r="FG71" s="18" t="n"/>
      <c r="FH71" s="18" t="n"/>
      <c r="FI71" s="18" t="n"/>
      <c r="FJ71" s="276" t="n"/>
      <c r="FK71" s="18" t="n"/>
      <c r="FL71" s="18" t="n"/>
      <c r="FM71" s="18" t="n"/>
      <c r="FN71" s="18" t="n"/>
      <c r="FO71" s="18" t="n">
        <v>400</v>
      </c>
      <c r="FP71" s="276" t="n"/>
      <c r="FQ71" s="18" t="n"/>
      <c r="FR71" s="18" t="n"/>
      <c r="FS71" s="18" t="n"/>
      <c r="FT71" s="18" t="n"/>
      <c r="FU71" s="18" t="n"/>
      <c r="FV71" s="18" t="n"/>
      <c r="FW71" s="18" t="n"/>
      <c r="FX71" s="239" t="inlineStr">
        <is>
          <t>400 DE VDP</t>
        </is>
      </c>
      <c r="FY71" s="18" t="n"/>
      <c r="FZ71" s="18" t="n"/>
      <c r="GA71" s="18" t="n">
        <v>200</v>
      </c>
      <c r="GB71" s="18" t="n"/>
      <c r="GC71" s="18" t="n">
        <v>600</v>
      </c>
    </row>
    <row r="72" ht="18.75" customHeight="1">
      <c r="A72" s="33" t="inlineStr">
        <is>
          <t>SACOLA P EUDORA</t>
        </is>
      </c>
      <c r="B72" s="9" t="n">
        <v>200</v>
      </c>
      <c r="C72" s="662" t="n">
        <v>183.24</v>
      </c>
      <c r="D72" s="329" t="n">
        <v>400</v>
      </c>
      <c r="F72" s="9" t="n">
        <v>0</v>
      </c>
      <c r="G72" s="9">
        <f>0+FZ71+400</f>
        <v/>
      </c>
      <c r="H72" s="9" t="n">
        <v>1100</v>
      </c>
      <c r="I72" s="9" t="n">
        <v>1100</v>
      </c>
      <c r="J72" s="9" t="n">
        <v>1000</v>
      </c>
      <c r="K72" s="9" t="n">
        <v>975</v>
      </c>
      <c r="L72" s="9" t="n">
        <v>850</v>
      </c>
      <c r="M72" s="9" t="n">
        <v>650</v>
      </c>
      <c r="N72" s="9" t="n">
        <v>600</v>
      </c>
      <c r="O72" s="9" t="n">
        <v>900</v>
      </c>
      <c r="P72" s="9" t="n">
        <v>800</v>
      </c>
      <c r="Q72" s="9" t="n">
        <v>700</v>
      </c>
      <c r="R72" s="9" t="n">
        <v>600</v>
      </c>
      <c r="S72" s="9" t="n">
        <v>525</v>
      </c>
      <c r="T72" s="9" t="n">
        <v>425</v>
      </c>
      <c r="U72" s="9" t="n">
        <v>350</v>
      </c>
      <c r="V72" s="9" t="n">
        <v>475</v>
      </c>
      <c r="W72" s="9" t="n">
        <v>350</v>
      </c>
      <c r="X72" s="9" t="n">
        <v>100</v>
      </c>
      <c r="Y72" s="9" t="n">
        <v>700</v>
      </c>
      <c r="Z72" s="9" t="n">
        <v>400</v>
      </c>
      <c r="AA72" s="9" t="n">
        <v>200</v>
      </c>
      <c r="AB72" s="9" t="n">
        <v>400</v>
      </c>
      <c r="AC72" s="9" t="n">
        <v>900</v>
      </c>
      <c r="AD72" s="9" t="n">
        <v>875</v>
      </c>
      <c r="AE72" s="9" t="n">
        <v>800</v>
      </c>
      <c r="AF72" s="9" t="n">
        <v>600</v>
      </c>
      <c r="AG72" s="9" t="n">
        <v>350</v>
      </c>
      <c r="AH72" s="9" t="n">
        <v>200</v>
      </c>
      <c r="AI72" s="9" t="n">
        <v>450</v>
      </c>
      <c r="AJ72" s="9">
        <f>350+EE71</f>
        <v/>
      </c>
      <c r="AK72" s="9" t="n">
        <v>350</v>
      </c>
      <c r="AL72" s="9" t="n">
        <v>200</v>
      </c>
      <c r="AM72" s="9" t="n">
        <v>500</v>
      </c>
      <c r="AN72" s="9">
        <f>500+DW71+DX71</f>
        <v/>
      </c>
      <c r="AO72" s="9" t="n">
        <v>775</v>
      </c>
      <c r="AP72" s="9" t="n">
        <v>775</v>
      </c>
      <c r="AQ72" s="9">
        <f>475+DS71</f>
        <v/>
      </c>
      <c r="AR72" s="9" t="n">
        <v>525</v>
      </c>
      <c r="AS72" s="9" t="n">
        <v>350</v>
      </c>
      <c r="AT72" s="9" t="n">
        <v>0</v>
      </c>
      <c r="AU72" s="9">
        <f>0+DK72</f>
        <v/>
      </c>
      <c r="AV72" s="9" t="n">
        <v>125</v>
      </c>
      <c r="AW72" s="9">
        <f>0+DJ72</f>
        <v/>
      </c>
      <c r="AX72" s="9" t="n">
        <v>275</v>
      </c>
      <c r="AY72" s="9">
        <f>50+DH72</f>
        <v/>
      </c>
      <c r="AZ72" s="9">
        <f>325+DF72</f>
        <v/>
      </c>
      <c r="BA72" s="9" t="n">
        <v>475</v>
      </c>
      <c r="BB72" s="9">
        <f>50+DC72</f>
        <v/>
      </c>
      <c r="BC72" s="9">
        <f>150+DA72</f>
        <v/>
      </c>
      <c r="BD72" s="9" t="n">
        <v>550</v>
      </c>
      <c r="BE72" s="9" t="n">
        <v>1150</v>
      </c>
      <c r="BF72" s="9" t="n">
        <v>900</v>
      </c>
      <c r="BG72" s="9" t="n">
        <v>700</v>
      </c>
      <c r="BH72" s="9" t="n">
        <v>450</v>
      </c>
      <c r="BI72" s="9">
        <f>450+800</f>
        <v/>
      </c>
      <c r="BJ72" s="9" t="n">
        <v>1275</v>
      </c>
      <c r="BK72" s="9" t="n">
        <v>1200</v>
      </c>
      <c r="BL72" s="9" t="n">
        <v>1125</v>
      </c>
      <c r="BM72" s="9" t="n">
        <v>1050</v>
      </c>
      <c r="BN72" s="9" t="n">
        <v>1000</v>
      </c>
      <c r="BO72" s="9" t="n">
        <v>825</v>
      </c>
      <c r="BP72" s="9" t="n">
        <v>700</v>
      </c>
      <c r="BQ72" s="9" t="n">
        <v>525</v>
      </c>
      <c r="BR72" s="9" t="n">
        <v>375</v>
      </c>
      <c r="BS72" s="9" t="n">
        <v>200</v>
      </c>
      <c r="BT72" s="9" t="n">
        <v>0</v>
      </c>
      <c r="BU72" s="9" t="n">
        <v>0</v>
      </c>
      <c r="BV72" s="9" t="n">
        <v>600</v>
      </c>
      <c r="BW72" s="9" t="n">
        <v>325</v>
      </c>
      <c r="BX72" s="9" t="n">
        <v>300</v>
      </c>
      <c r="BY72" s="9" t="n">
        <v>0</v>
      </c>
      <c r="BZ72" s="9" t="n"/>
      <c r="CA72" s="9" t="n"/>
      <c r="CB72" s="9" t="n"/>
      <c r="CC72" s="9" t="n"/>
      <c r="CD72" s="9" t="n"/>
      <c r="CE72" s="9" t="n"/>
      <c r="CF72" s="154">
        <f>CD72+IF(NOT(ISBLANK(OFFSET(CF72,0,6))),N(OFFSET(CF72,0,6)),N(OFFSET(CF72,0,7)))-CE72</f>
        <v/>
      </c>
      <c r="CH72" s="425" t="inlineStr">
        <is>
          <t>400 DE ER PG</t>
        </is>
      </c>
      <c r="CJ72" s="65" t="n"/>
      <c r="CK72" s="691" t="n">
        <v>0</v>
      </c>
      <c r="CL72" s="18" t="n">
        <v>0</v>
      </c>
      <c r="CM72" s="18" t="n">
        <v>0</v>
      </c>
      <c r="CN72" s="18" t="n">
        <v>600</v>
      </c>
      <c r="CO72" s="18" t="n"/>
      <c r="CP72" s="18" t="n"/>
      <c r="CQ72" s="18" t="n"/>
      <c r="CR72" s="18" t="n"/>
      <c r="CS72" s="18" t="n"/>
      <c r="CT72" s="18" t="n"/>
      <c r="CU72" s="18" t="n"/>
      <c r="CV72" s="18" t="n">
        <v>400</v>
      </c>
      <c r="CW72" s="18" t="n"/>
      <c r="CX72" s="154" t="inlineStr">
        <is>
          <t>800 DE ER MG</t>
        </is>
      </c>
      <c r="CY72" s="18" t="n"/>
      <c r="CZ72" s="18" t="n"/>
      <c r="DA72" s="18" t="n"/>
      <c r="DB72" s="18" t="n">
        <v>600</v>
      </c>
      <c r="DC72" s="18" t="n"/>
      <c r="DD72" s="18" t="n">
        <v>400</v>
      </c>
      <c r="DE72" s="18" t="n"/>
      <c r="DF72" s="18" t="n">
        <v>400</v>
      </c>
      <c r="DG72" s="18" t="n"/>
      <c r="DH72" s="18" t="n"/>
      <c r="DI72" s="18" t="n">
        <v>400</v>
      </c>
      <c r="DJ72" s="18" t="n"/>
      <c r="DK72" s="18" t="n">
        <v>400</v>
      </c>
      <c r="DL72" s="18" t="n"/>
      <c r="DM72" s="18" t="n">
        <v>400</v>
      </c>
      <c r="DN72" s="18" t="n">
        <v>400</v>
      </c>
      <c r="DO72" s="18" t="n"/>
      <c r="DP72" s="396" t="n"/>
      <c r="DQ72" s="256" t="n"/>
      <c r="DR72" s="18" t="n"/>
      <c r="DS72" s="18" t="n"/>
      <c r="DT72" s="18" t="n"/>
      <c r="DU72" s="18" t="n"/>
      <c r="DV72" s="18" t="n">
        <v>200</v>
      </c>
      <c r="DW72" s="18" t="n"/>
      <c r="DX72" s="18" t="n">
        <v>400</v>
      </c>
      <c r="DY72" s="18" t="n"/>
      <c r="DZ72" s="18" t="n">
        <v>200</v>
      </c>
      <c r="EA72" s="18" t="n">
        <v>200</v>
      </c>
      <c r="EB72" s="18" t="n"/>
      <c r="EC72" s="18" t="n"/>
      <c r="ED72" s="18" t="n"/>
      <c r="EE72" s="18" t="n"/>
      <c r="EF72" s="18" t="n"/>
      <c r="EG72" s="18" t="n"/>
      <c r="EH72" s="18" t="n">
        <v>200</v>
      </c>
      <c r="EI72" s="18" t="n"/>
      <c r="EJ72" s="18" t="n"/>
      <c r="EK72" s="18" t="n"/>
      <c r="EL72" s="18" t="n"/>
      <c r="EM72" s="18" t="n"/>
      <c r="EN72" s="18" t="n"/>
      <c r="EO72" s="18" t="n"/>
      <c r="EP72" s="18" t="n"/>
      <c r="EQ72" s="18" t="n"/>
      <c r="ER72" s="18" t="n"/>
      <c r="ES72" s="18" t="n"/>
      <c r="ET72" s="18" t="n"/>
      <c r="EU72" s="18" t="n"/>
      <c r="EV72" s="18" t="n"/>
      <c r="EW72" s="274" t="n"/>
      <c r="EX72" s="18" t="n"/>
      <c r="EY72" s="18" t="n"/>
      <c r="EZ72" s="18" t="n"/>
      <c r="FA72" s="18" t="n"/>
      <c r="FB72" s="18" t="n"/>
      <c r="FC72" s="18" t="n"/>
      <c r="FD72" s="18" t="n"/>
      <c r="FE72" s="260" t="n"/>
      <c r="FF72" s="18" t="n"/>
      <c r="FG72" s="18" t="n"/>
      <c r="FH72" s="18" t="n"/>
      <c r="FI72" s="18" t="n">
        <v>400</v>
      </c>
      <c r="FJ72" s="276" t="n"/>
      <c r="FK72" s="18" t="n"/>
      <c r="FL72" s="18" t="n"/>
      <c r="FM72" s="18" t="n"/>
      <c r="FN72" s="18" t="n"/>
      <c r="FO72" s="18" t="n"/>
      <c r="FP72" s="276" t="n"/>
      <c r="FQ72" s="18" t="n"/>
      <c r="FR72" s="18" t="n"/>
      <c r="FS72" s="18" t="n"/>
      <c r="FT72" s="18" t="n"/>
      <c r="FU72" s="18" t="n"/>
      <c r="FV72" s="18" t="n"/>
      <c r="FW72" s="18" t="n"/>
      <c r="FX72" s="239" t="inlineStr">
        <is>
          <t>400 DE VDP</t>
        </is>
      </c>
      <c r="FY72" s="18" t="n"/>
      <c r="FZ72" s="18" t="n"/>
      <c r="GA72" s="18" t="n">
        <v>200</v>
      </c>
      <c r="GB72" s="18" t="n"/>
      <c r="GC72" s="18" t="n">
        <v>200</v>
      </c>
    </row>
    <row r="73" ht="18.75" customHeight="1">
      <c r="A73" s="33" t="inlineStr">
        <is>
          <t>SACOLA M EUDORA</t>
        </is>
      </c>
      <c r="B73" s="9" t="n">
        <v>200</v>
      </c>
      <c r="C73" s="662" t="n">
        <v>240.83</v>
      </c>
      <c r="D73" s="329" t="n">
        <v>200</v>
      </c>
      <c r="F73" s="9" t="n">
        <v>100</v>
      </c>
      <c r="G73" s="9">
        <f>50+FZ72+400</f>
        <v/>
      </c>
      <c r="H73" s="9" t="n">
        <v>825</v>
      </c>
      <c r="I73" s="9" t="n">
        <v>775</v>
      </c>
      <c r="J73" s="9" t="n">
        <v>600</v>
      </c>
      <c r="K73" s="9" t="n">
        <v>600</v>
      </c>
      <c r="L73" s="9" t="n">
        <v>600</v>
      </c>
      <c r="M73" s="9" t="n">
        <v>600</v>
      </c>
      <c r="N73" s="9" t="n">
        <v>600</v>
      </c>
      <c r="O73" s="9" t="n">
        <v>600</v>
      </c>
      <c r="P73" s="9" t="n">
        <v>500</v>
      </c>
      <c r="Q73" s="9" t="n">
        <v>500</v>
      </c>
      <c r="R73" s="9" t="n">
        <v>400</v>
      </c>
      <c r="S73" s="9">
        <f>400+FF72</f>
        <v/>
      </c>
      <c r="T73" s="9" t="n">
        <v>800</v>
      </c>
      <c r="U73" s="9" t="n">
        <v>800</v>
      </c>
      <c r="V73" s="9" t="n">
        <v>800</v>
      </c>
      <c r="W73" s="9" t="n">
        <v>800</v>
      </c>
      <c r="X73" s="9" t="n">
        <v>800</v>
      </c>
      <c r="Y73" s="9" t="n">
        <v>700</v>
      </c>
      <c r="Z73" s="9" t="n">
        <v>600</v>
      </c>
      <c r="AA73" s="9" t="n">
        <v>550</v>
      </c>
      <c r="AB73" s="9" t="n">
        <v>400</v>
      </c>
      <c r="AC73" s="9" t="n">
        <v>400</v>
      </c>
      <c r="AD73" s="9" t="n">
        <v>400</v>
      </c>
      <c r="AE73" s="9" t="n">
        <v>400</v>
      </c>
      <c r="AF73" s="9" t="n">
        <v>300</v>
      </c>
      <c r="AG73" s="9" t="n">
        <v>300</v>
      </c>
      <c r="AH73" s="9" t="n">
        <v>300</v>
      </c>
      <c r="AI73" s="9" t="n">
        <v>175</v>
      </c>
      <c r="AJ73" s="9">
        <f>150+EE72</f>
        <v/>
      </c>
      <c r="AK73" s="9" t="n">
        <v>300</v>
      </c>
      <c r="AL73" s="9" t="n">
        <v>200</v>
      </c>
      <c r="AM73" s="9" t="n">
        <v>125</v>
      </c>
      <c r="AN73" s="9" t="n">
        <v>400</v>
      </c>
      <c r="AO73" s="9">
        <f>400+DU72</f>
        <v/>
      </c>
      <c r="AP73" s="9" t="n">
        <v>800</v>
      </c>
      <c r="AQ73" s="9">
        <f>775+DS72</f>
        <v/>
      </c>
      <c r="AR73" s="9" t="n">
        <v>950</v>
      </c>
      <c r="AS73" s="9" t="n">
        <v>950</v>
      </c>
      <c r="AT73" s="9" t="n">
        <v>800</v>
      </c>
      <c r="AU73" s="9" t="n">
        <v>625</v>
      </c>
      <c r="AV73" s="9" t="n">
        <v>500</v>
      </c>
      <c r="AW73" s="9">
        <f>450+DJ73</f>
        <v/>
      </c>
      <c r="AX73" s="9" t="n">
        <v>625</v>
      </c>
      <c r="AY73" s="9" t="n">
        <v>575</v>
      </c>
      <c r="AZ73" s="9" t="n">
        <v>525</v>
      </c>
      <c r="BA73" s="9" t="n">
        <v>525</v>
      </c>
      <c r="BB73" s="9" t="n">
        <v>450</v>
      </c>
      <c r="BC73" s="9" t="n">
        <v>425</v>
      </c>
      <c r="BD73" s="9" t="n">
        <v>300</v>
      </c>
      <c r="BE73" s="9" t="n">
        <v>700</v>
      </c>
      <c r="BF73" s="9" t="n">
        <v>650</v>
      </c>
      <c r="BG73" s="9" t="n">
        <v>650</v>
      </c>
      <c r="BH73" s="9" t="n">
        <v>625</v>
      </c>
      <c r="BI73" s="9" t="n">
        <v>575</v>
      </c>
      <c r="BJ73" s="9" t="n">
        <v>550</v>
      </c>
      <c r="BK73" s="9" t="n">
        <v>525</v>
      </c>
      <c r="BL73" s="9" t="n">
        <v>525</v>
      </c>
      <c r="BM73" s="9" t="n">
        <v>525</v>
      </c>
      <c r="BN73" s="9" t="n">
        <v>525</v>
      </c>
      <c r="BO73" s="9" t="n">
        <v>525</v>
      </c>
      <c r="BP73" s="9" t="n">
        <v>475</v>
      </c>
      <c r="BQ73" s="9" t="n">
        <v>400</v>
      </c>
      <c r="BR73" s="9" t="n">
        <v>400</v>
      </c>
      <c r="BS73" s="9" t="n">
        <v>400</v>
      </c>
      <c r="BT73" s="9" t="n">
        <v>340</v>
      </c>
      <c r="BU73" s="9" t="n">
        <v>300</v>
      </c>
      <c r="BV73" s="9" t="n">
        <v>200</v>
      </c>
      <c r="BW73" s="9" t="n">
        <v>25</v>
      </c>
      <c r="BX73" s="9" t="n">
        <v>0</v>
      </c>
      <c r="BY73" s="9" t="n">
        <v>0</v>
      </c>
      <c r="BZ73" s="9" t="n"/>
      <c r="CA73" s="9" t="n"/>
      <c r="CB73" s="9" t="n"/>
      <c r="CC73" s="9" t="n"/>
      <c r="CD73" s="9" t="n"/>
      <c r="CE73" s="9" t="n"/>
      <c r="CF73" s="154">
        <f>CD73+IF(NOT(ISBLANK(OFFSET(CF73,0,6))),N(OFFSET(CF73,0,6)),N(OFFSET(CF73,0,7)))-CE73</f>
        <v/>
      </c>
      <c r="CH73" s="233" t="inlineStr">
        <is>
          <t>200 DE ER MG</t>
        </is>
      </c>
      <c r="CJ73" s="65" t="n"/>
      <c r="CK73" s="691" t="n">
        <v>0</v>
      </c>
      <c r="CL73" s="18" t="n">
        <v>0</v>
      </c>
      <c r="CM73" s="18" t="n">
        <v>0</v>
      </c>
      <c r="CN73" s="18" t="n"/>
      <c r="CO73" s="18" t="n"/>
      <c r="CP73" s="18" t="n"/>
      <c r="CQ73" s="18" t="n"/>
      <c r="CR73" s="18" t="n"/>
      <c r="CS73" s="18" t="n"/>
      <c r="CT73" s="18" t="n"/>
      <c r="CU73" s="18" t="n"/>
      <c r="CV73" s="18" t="n"/>
      <c r="CW73" s="18" t="n"/>
      <c r="CX73" s="256" t="n"/>
      <c r="CY73" s="18" t="n"/>
      <c r="CZ73" s="18" t="n"/>
      <c r="DA73" s="18" t="n">
        <v>400</v>
      </c>
      <c r="DB73" s="18" t="n"/>
      <c r="DC73" s="18" t="n"/>
      <c r="DD73" s="18" t="n"/>
      <c r="DE73" s="18" t="n"/>
      <c r="DF73" s="18" t="n"/>
      <c r="DG73" s="18" t="n"/>
      <c r="DH73" s="18" t="n"/>
      <c r="DI73" s="18" t="n"/>
      <c r="DJ73" s="18" t="n"/>
      <c r="DK73" s="18" t="n"/>
      <c r="DL73" s="18" t="n"/>
      <c r="DM73" s="18" t="n">
        <v>200</v>
      </c>
      <c r="DN73" s="18" t="n"/>
      <c r="DO73" s="18" t="n"/>
      <c r="DP73" s="396" t="n"/>
      <c r="DQ73" s="256" t="n"/>
      <c r="DR73" s="18" t="n"/>
      <c r="DS73" s="18" t="n"/>
      <c r="DT73" s="18" t="n"/>
      <c r="DU73" s="18" t="n"/>
      <c r="DV73" s="18" t="n"/>
      <c r="DW73" s="18" t="n"/>
      <c r="DX73" s="18" t="n"/>
      <c r="DY73" s="18" t="n"/>
      <c r="DZ73" s="18" t="n"/>
      <c r="EA73" s="18" t="n"/>
      <c r="EB73" s="18" t="n"/>
      <c r="EC73" s="18" t="n"/>
      <c r="ED73" s="18" t="n"/>
      <c r="EE73" s="18" t="n"/>
      <c r="EF73" s="18" t="n"/>
      <c r="EG73" s="18" t="n"/>
      <c r="EH73" s="18" t="n"/>
      <c r="EI73" s="18" t="n"/>
      <c r="EJ73" s="18" t="n"/>
      <c r="EK73" s="18" t="n"/>
      <c r="EL73" s="18" t="n"/>
      <c r="EM73" s="18" t="n"/>
      <c r="EN73" s="18" t="n"/>
      <c r="EO73" s="18" t="n"/>
      <c r="EP73" s="18" t="n"/>
      <c r="EQ73" s="18" t="n"/>
      <c r="ER73" s="18" t="n"/>
      <c r="ES73" s="18" t="n"/>
      <c r="ET73" s="18" t="n"/>
      <c r="EU73" s="18" t="n"/>
      <c r="EV73" s="18" t="n"/>
      <c r="EW73" s="274" t="n"/>
      <c r="EX73" s="18" t="n"/>
      <c r="EY73" s="18" t="n"/>
      <c r="EZ73" s="18" t="n"/>
      <c r="FA73" s="18" t="n"/>
      <c r="FB73" s="18" t="n"/>
      <c r="FC73" s="18" t="n"/>
      <c r="FD73" s="18" t="n"/>
      <c r="FE73" s="18" t="n"/>
      <c r="FF73" s="18" t="n"/>
      <c r="FG73" s="18" t="n"/>
      <c r="FH73" s="18" t="n"/>
      <c r="FI73" s="18" t="n"/>
      <c r="FJ73" s="276" t="n"/>
      <c r="FK73" s="18" t="n"/>
      <c r="FL73" s="18" t="n"/>
      <c r="FM73" s="18" t="n"/>
      <c r="FN73" s="18" t="n"/>
      <c r="FO73" s="18" t="n"/>
      <c r="FP73" s="276" t="n"/>
      <c r="FQ73" s="18" t="n"/>
      <c r="FR73" s="18" t="n"/>
      <c r="FS73" s="18" t="n"/>
      <c r="FT73" s="18" t="n"/>
      <c r="FU73" s="18" t="n"/>
      <c r="FV73" s="18" t="n"/>
      <c r="FW73" s="18" t="n"/>
      <c r="FX73" s="18" t="n"/>
      <c r="FY73" s="18" t="n"/>
      <c r="FZ73" s="18" t="n"/>
      <c r="GA73" s="18" t="n"/>
      <c r="GB73" s="18" t="n"/>
      <c r="GC73" s="18" t="n"/>
    </row>
    <row r="74" ht="18.75" customHeight="1">
      <c r="A74" s="33" t="inlineStr">
        <is>
          <t>SACOLA G EUDORA</t>
        </is>
      </c>
      <c r="B74" s="9" t="n">
        <v>100</v>
      </c>
      <c r="C74" s="662" t="n">
        <v>175.13</v>
      </c>
      <c r="D74" s="329" t="n">
        <v>100</v>
      </c>
      <c r="F74" s="9" t="n">
        <v>200</v>
      </c>
      <c r="G74" s="9" t="n">
        <v>200</v>
      </c>
      <c r="H74" s="9" t="n">
        <v>200</v>
      </c>
      <c r="I74" s="9" t="n">
        <v>200</v>
      </c>
      <c r="J74" s="9" t="n">
        <v>200</v>
      </c>
      <c r="K74" s="9" t="n">
        <v>200</v>
      </c>
      <c r="L74" s="9" t="n">
        <v>200</v>
      </c>
      <c r="M74" s="9" t="n">
        <v>200</v>
      </c>
      <c r="N74" s="9" t="n">
        <v>200</v>
      </c>
      <c r="O74" s="9" t="n">
        <v>200</v>
      </c>
      <c r="P74" s="9" t="n">
        <v>200</v>
      </c>
      <c r="Q74" s="9" t="n">
        <v>200</v>
      </c>
      <c r="R74" s="9" t="n">
        <v>200</v>
      </c>
      <c r="S74" s="9" t="n">
        <v>200</v>
      </c>
      <c r="T74" s="9" t="n">
        <v>200</v>
      </c>
      <c r="U74" s="9" t="n">
        <v>200</v>
      </c>
      <c r="V74" s="9" t="n">
        <v>200</v>
      </c>
      <c r="W74" s="9" t="n">
        <v>200</v>
      </c>
      <c r="X74" s="9" t="n">
        <v>200</v>
      </c>
      <c r="Y74" s="9" t="n">
        <v>200</v>
      </c>
      <c r="Z74" s="9" t="n">
        <v>200</v>
      </c>
      <c r="AA74" s="9" t="n">
        <v>200</v>
      </c>
      <c r="AB74" s="9" t="n">
        <v>200</v>
      </c>
      <c r="AC74" s="9" t="n">
        <v>200</v>
      </c>
      <c r="AD74" s="9" t="n">
        <v>175</v>
      </c>
      <c r="AE74" s="9" t="n">
        <v>150</v>
      </c>
      <c r="AF74" s="9" t="n">
        <v>150</v>
      </c>
      <c r="AG74" s="9" t="n">
        <v>100</v>
      </c>
      <c r="AH74" s="9" t="n">
        <v>100</v>
      </c>
      <c r="AI74" s="9" t="n">
        <v>100</v>
      </c>
      <c r="AJ74" s="9" t="n">
        <v>100</v>
      </c>
      <c r="AK74" s="9" t="n">
        <v>100</v>
      </c>
      <c r="AL74" s="9" t="n">
        <v>100</v>
      </c>
      <c r="AM74" s="9" t="n">
        <v>100</v>
      </c>
      <c r="AN74" s="9" t="n">
        <v>75</v>
      </c>
      <c r="AO74" s="9" t="n">
        <v>75</v>
      </c>
      <c r="AP74" s="9" t="n">
        <v>75</v>
      </c>
      <c r="AQ74" s="9" t="n">
        <v>75</v>
      </c>
      <c r="AR74" s="9" t="n">
        <v>75</v>
      </c>
      <c r="AS74" s="9" t="n">
        <v>75</v>
      </c>
      <c r="AT74" s="9" t="n">
        <v>50</v>
      </c>
      <c r="AU74" s="9" t="n">
        <v>150</v>
      </c>
      <c r="AV74" s="9" t="n">
        <v>150</v>
      </c>
      <c r="AW74" s="9" t="n">
        <v>100</v>
      </c>
      <c r="AX74" s="9" t="n">
        <v>100</v>
      </c>
      <c r="AY74" s="9" t="n">
        <v>100</v>
      </c>
      <c r="AZ74" s="9" t="n">
        <v>100</v>
      </c>
      <c r="BA74" s="9" t="n">
        <v>100</v>
      </c>
      <c r="BB74" s="9" t="n">
        <v>100</v>
      </c>
      <c r="BC74" s="9" t="n">
        <v>100</v>
      </c>
      <c r="BD74" s="9" t="n">
        <v>100</v>
      </c>
      <c r="BE74" s="9" t="n">
        <v>200</v>
      </c>
      <c r="BF74" s="9" t="n">
        <v>200</v>
      </c>
      <c r="BG74" s="9" t="n">
        <v>200</v>
      </c>
      <c r="BH74" s="9" t="n">
        <v>200</v>
      </c>
      <c r="BI74" s="9" t="n">
        <v>200</v>
      </c>
      <c r="BJ74" s="9" t="n">
        <v>200</v>
      </c>
      <c r="BK74" s="9" t="n">
        <v>200</v>
      </c>
      <c r="BL74" s="9" t="n">
        <v>200</v>
      </c>
      <c r="BM74" s="9" t="n">
        <v>200</v>
      </c>
      <c r="BN74" s="9" t="n">
        <v>200</v>
      </c>
      <c r="BO74" s="9" t="n">
        <v>200</v>
      </c>
      <c r="BP74" s="9" t="n">
        <v>200</v>
      </c>
      <c r="BQ74" s="9" t="n">
        <v>175</v>
      </c>
      <c r="BR74" s="9" t="n">
        <v>150</v>
      </c>
      <c r="BS74" s="9" t="n">
        <v>150</v>
      </c>
      <c r="BT74" s="9" t="n">
        <v>176</v>
      </c>
      <c r="BU74" s="9" t="n">
        <v>170</v>
      </c>
      <c r="BV74" s="9" t="n">
        <v>150</v>
      </c>
      <c r="BW74" s="9" t="n">
        <v>125</v>
      </c>
      <c r="BX74" s="9" t="n">
        <v>100</v>
      </c>
      <c r="BY74" s="9" t="n">
        <v>0</v>
      </c>
      <c r="BZ74" s="9" t="n"/>
      <c r="CA74" s="9" t="n"/>
      <c r="CB74" s="9" t="n"/>
      <c r="CC74" s="9" t="n"/>
      <c r="CD74" s="9" t="n"/>
      <c r="CE74" s="9" t="n"/>
      <c r="CF74" s="154">
        <f>CD74+IF(NOT(ISBLANK(OFFSET(CF74,0,6))),N(OFFSET(CF74,0,6)),N(OFFSET(CF74,0,7)))-CE74</f>
        <v/>
      </c>
      <c r="CH74" s="233" t="inlineStr">
        <is>
          <t>200 DE ER MG</t>
        </is>
      </c>
      <c r="CJ74" s="65" t="n"/>
      <c r="CK74" s="691" t="n">
        <v>0</v>
      </c>
      <c r="CL74" s="18" t="n">
        <v>0</v>
      </c>
      <c r="CM74" s="18" t="n">
        <v>0</v>
      </c>
      <c r="CN74" s="18" t="n"/>
      <c r="CO74" s="18" t="n"/>
      <c r="CP74" s="18" t="n"/>
      <c r="CQ74" s="18" t="n"/>
      <c r="CR74" s="18" t="n"/>
      <c r="CS74" s="18" t="n"/>
      <c r="CT74" s="18" t="n"/>
      <c r="CU74" s="18" t="n"/>
      <c r="CV74" s="18" t="n"/>
      <c r="CW74" s="18" t="n"/>
      <c r="CX74" s="256" t="n"/>
      <c r="CY74" s="18" t="n"/>
      <c r="CZ74" s="18" t="n"/>
      <c r="DA74" s="18" t="n"/>
      <c r="DB74" s="18" t="n">
        <v>100</v>
      </c>
      <c r="DC74" s="18" t="n"/>
      <c r="DD74" s="18" t="n"/>
      <c r="DE74" s="18" t="n"/>
      <c r="DF74" s="18" t="n"/>
      <c r="DG74" s="18" t="n"/>
      <c r="DH74" s="18" t="n"/>
      <c r="DI74" s="18" t="n"/>
      <c r="DJ74" s="18" t="n"/>
      <c r="DK74" s="18" t="n"/>
      <c r="DL74" s="18" t="n"/>
      <c r="DM74" s="18" t="n"/>
      <c r="DN74" s="18" t="n">
        <v>100</v>
      </c>
      <c r="DO74" s="18" t="n"/>
      <c r="DP74" s="396" t="n"/>
      <c r="DQ74" s="256" t="n"/>
      <c r="DR74" s="18" t="n"/>
      <c r="DS74" s="18" t="n"/>
      <c r="DT74" s="18" t="n"/>
      <c r="DU74" s="18" t="n"/>
      <c r="DV74" s="18" t="n"/>
      <c r="DW74" s="18" t="n"/>
      <c r="DX74" s="18" t="n"/>
      <c r="DY74" s="18" t="n"/>
      <c r="DZ74" s="18" t="n"/>
      <c r="EA74" s="18" t="n"/>
      <c r="EB74" s="18" t="n"/>
      <c r="EC74" s="18" t="n"/>
      <c r="ED74" s="18" t="n"/>
      <c r="EE74" s="18" t="n"/>
      <c r="EF74" s="18" t="n"/>
      <c r="EG74" s="18" t="n"/>
      <c r="EH74" s="18" t="n"/>
      <c r="EI74" s="18" t="n"/>
      <c r="EJ74" s="18" t="n"/>
      <c r="EK74" s="18" t="n"/>
      <c r="EL74" s="18" t="n"/>
      <c r="EM74" s="18" t="n"/>
      <c r="EN74" s="18" t="n"/>
      <c r="EO74" s="18" t="n"/>
      <c r="EP74" s="18" t="n"/>
      <c r="EQ74" s="18" t="n"/>
      <c r="ER74" s="18" t="n"/>
      <c r="ES74" s="18" t="n"/>
      <c r="ET74" s="18" t="n"/>
      <c r="EU74" s="18" t="n"/>
      <c r="EV74" s="18" t="n"/>
      <c r="EW74" s="276" t="n"/>
      <c r="EX74" s="18" t="n"/>
      <c r="EY74" s="18" t="n"/>
      <c r="EZ74" s="18" t="n"/>
      <c r="FA74" s="18" t="n"/>
      <c r="FB74" s="18" t="n"/>
      <c r="FC74" s="18" t="n"/>
      <c r="FD74" s="18" t="n"/>
      <c r="FE74" s="18" t="n"/>
      <c r="FF74" s="18" t="n">
        <v>2</v>
      </c>
      <c r="FG74" s="18" t="n"/>
      <c r="FH74" s="18" t="n"/>
      <c r="FI74" s="18" t="n"/>
      <c r="FJ74" s="276" t="n"/>
      <c r="FK74" s="18" t="n"/>
      <c r="FL74" s="18" t="n"/>
      <c r="FM74" s="18" t="n"/>
      <c r="FN74" s="18" t="n"/>
      <c r="FO74" s="18" t="n"/>
      <c r="FP74" s="276" t="n"/>
      <c r="FQ74" s="18" t="n"/>
      <c r="FR74" s="18" t="n"/>
      <c r="FS74" s="18" t="n"/>
      <c r="FT74" s="18" t="n"/>
      <c r="FU74" s="18" t="n"/>
      <c r="FV74" s="18" t="n"/>
      <c r="FW74" s="18" t="n"/>
      <c r="FX74" s="18" t="n"/>
      <c r="FY74" s="18" t="n"/>
      <c r="FZ74" s="18" t="n"/>
      <c r="GA74" s="18" t="n"/>
      <c r="GB74" s="18" t="n"/>
      <c r="GC74" s="18" t="n"/>
    </row>
    <row r="75" ht="18.75" customHeight="1">
      <c r="A75" s="43" t="inlineStr">
        <is>
          <t>PAPEL DE SEDA EUDORA</t>
        </is>
      </c>
      <c r="B75" s="149" t="n">
        <v>200</v>
      </c>
      <c r="C75" s="726" t="n">
        <v>29.77</v>
      </c>
      <c r="D75" s="329" t="n">
        <v>1</v>
      </c>
      <c r="F75" s="9" t="n">
        <v>3</v>
      </c>
      <c r="G75" s="9" t="n">
        <v>3</v>
      </c>
      <c r="H75" s="9" t="n">
        <v>3</v>
      </c>
      <c r="I75" s="9" t="n">
        <v>3</v>
      </c>
      <c r="J75" s="9" t="n">
        <v>3</v>
      </c>
      <c r="K75" s="9" t="n">
        <v>3</v>
      </c>
      <c r="L75" s="9" t="n">
        <v>3</v>
      </c>
      <c r="M75" s="9" t="n">
        <v>3</v>
      </c>
      <c r="N75" s="9" t="n">
        <v>3</v>
      </c>
      <c r="O75" s="9" t="n">
        <v>3</v>
      </c>
      <c r="P75" s="9" t="n">
        <v>3</v>
      </c>
      <c r="Q75" s="9" t="n">
        <v>3</v>
      </c>
      <c r="R75" s="9" t="n">
        <v>3</v>
      </c>
      <c r="S75" s="9" t="n">
        <v>3</v>
      </c>
      <c r="T75" s="9" t="n">
        <v>2</v>
      </c>
      <c r="U75" s="9" t="n">
        <v>2</v>
      </c>
      <c r="V75" s="9" t="n">
        <v>4</v>
      </c>
      <c r="W75" s="9" t="n">
        <v>4</v>
      </c>
      <c r="X75" s="9" t="n">
        <v>4</v>
      </c>
      <c r="Y75" s="9" t="n">
        <v>3</v>
      </c>
      <c r="Z75" s="9" t="n">
        <v>3</v>
      </c>
      <c r="AA75" s="9" t="n">
        <v>3</v>
      </c>
      <c r="AB75" s="9" t="n">
        <v>3</v>
      </c>
      <c r="AC75" s="9" t="n">
        <v>3</v>
      </c>
      <c r="AD75" s="9" t="n">
        <v>3</v>
      </c>
      <c r="AE75" s="9" t="n">
        <v>3</v>
      </c>
      <c r="AF75" s="9" t="n">
        <v>3</v>
      </c>
      <c r="AG75" s="9" t="n">
        <v>3</v>
      </c>
      <c r="AH75" s="9" t="n">
        <v>4</v>
      </c>
      <c r="AI75" s="9" t="n">
        <v>4</v>
      </c>
      <c r="AJ75" s="9" t="n">
        <v>4</v>
      </c>
      <c r="AK75" s="9" t="n">
        <v>4</v>
      </c>
      <c r="AL75" s="9" t="n">
        <v>4</v>
      </c>
      <c r="AM75" s="9" t="n">
        <v>4</v>
      </c>
      <c r="AN75" s="9" t="n">
        <v>3</v>
      </c>
      <c r="AO75" s="9" t="n">
        <v>3</v>
      </c>
      <c r="AP75" s="9" t="n">
        <v>3</v>
      </c>
      <c r="AQ75" s="9" t="n">
        <v>3</v>
      </c>
      <c r="AR75" s="9" t="n">
        <v>3</v>
      </c>
      <c r="AS75" s="9" t="n">
        <v>3</v>
      </c>
      <c r="AT75" s="9" t="n">
        <v>3</v>
      </c>
      <c r="AU75" s="9" t="n">
        <v>3</v>
      </c>
      <c r="AV75" s="9" t="n">
        <v>3</v>
      </c>
      <c r="AW75" s="9" t="n">
        <v>3</v>
      </c>
      <c r="AX75" s="9" t="n">
        <v>3</v>
      </c>
      <c r="AY75" s="9" t="n">
        <v>3</v>
      </c>
      <c r="AZ75" s="9" t="n">
        <v>3</v>
      </c>
      <c r="BA75" s="9" t="n">
        <v>3</v>
      </c>
      <c r="BB75" s="9" t="n">
        <v>3</v>
      </c>
      <c r="BC75" s="9" t="n">
        <v>3</v>
      </c>
      <c r="BD75" s="9" t="n">
        <v>3</v>
      </c>
      <c r="BE75" s="9" t="n">
        <v>3</v>
      </c>
      <c r="BF75" s="9" t="n">
        <v>1</v>
      </c>
      <c r="BG75" s="9" t="n">
        <v>1</v>
      </c>
      <c r="BH75" s="9" t="n">
        <v>4</v>
      </c>
      <c r="BI75" s="9">
        <f>7+1</f>
        <v/>
      </c>
      <c r="BJ75" s="9" t="n">
        <v>3</v>
      </c>
      <c r="BK75" s="9" t="n">
        <v>3</v>
      </c>
      <c r="BL75" s="9" t="n">
        <v>3</v>
      </c>
      <c r="BM75" s="9" t="n">
        <v>2</v>
      </c>
      <c r="BN75" s="9" t="n">
        <v>2</v>
      </c>
      <c r="BO75" s="9" t="n">
        <v>1</v>
      </c>
      <c r="BP75" s="9" t="n">
        <v>1</v>
      </c>
      <c r="BQ75" s="9" t="n">
        <v>1</v>
      </c>
      <c r="BR75" s="9" t="n">
        <v>1</v>
      </c>
      <c r="BS75" s="9" t="n">
        <v>1</v>
      </c>
      <c r="BT75" s="9" t="n">
        <v>1</v>
      </c>
      <c r="BU75" s="9" t="n">
        <v>1</v>
      </c>
      <c r="BV75" s="9" t="n">
        <v>1</v>
      </c>
      <c r="BW75" s="9" t="n">
        <v>1</v>
      </c>
      <c r="BX75" s="9" t="n">
        <v>1</v>
      </c>
      <c r="BY75" s="9" t="n">
        <v>0</v>
      </c>
      <c r="BZ75" s="9" t="n"/>
      <c r="CA75" s="9" t="n"/>
      <c r="CB75" s="9" t="n"/>
      <c r="CC75" s="9" t="n"/>
      <c r="CD75" s="9" t="n"/>
      <c r="CE75" s="9" t="n"/>
      <c r="CF75" s="154">
        <f>CD75+IF(NOT(ISBLANK(OFFSET(CF75,0,6))),N(OFFSET(CF75,0,6)),N(OFFSET(CF75,0,7)))-CE75</f>
        <v/>
      </c>
      <c r="CH75" s="19" t="n"/>
      <c r="CJ75" s="27" t="n"/>
      <c r="CK75" s="691" t="n">
        <v>0</v>
      </c>
      <c r="CL75" s="18" t="n">
        <v>0</v>
      </c>
      <c r="CM75" s="18" t="n">
        <v>0</v>
      </c>
      <c r="CN75" s="18" t="n"/>
      <c r="CO75" s="18" t="n"/>
      <c r="CP75" s="18" t="n"/>
      <c r="CQ75" s="18" t="n"/>
      <c r="CR75" s="18" t="n"/>
      <c r="CS75" s="18" t="n"/>
      <c r="CT75" s="18" t="n"/>
      <c r="CU75" s="18" t="n"/>
      <c r="CV75" s="18" t="n"/>
      <c r="CW75" s="18" t="n"/>
      <c r="CX75" s="154" t="inlineStr">
        <is>
          <t>01 DE ER MG</t>
        </is>
      </c>
      <c r="CY75" s="18" t="n"/>
      <c r="CZ75" s="18" t="n"/>
      <c r="DA75" s="18" t="n"/>
      <c r="DB75" s="18" t="n"/>
      <c r="DC75" s="18" t="n"/>
      <c r="DD75" s="18" t="n"/>
      <c r="DE75" s="18" t="n"/>
      <c r="DF75" s="18" t="n"/>
      <c r="DG75" s="18" t="n"/>
      <c r="DH75" s="18" t="n"/>
      <c r="DI75" s="18" t="n"/>
      <c r="DJ75" s="18" t="n"/>
      <c r="DK75" s="18" t="n"/>
      <c r="DL75" s="18" t="n"/>
      <c r="DM75" s="18" t="n"/>
      <c r="DN75" s="18" t="n"/>
      <c r="DO75" s="18" t="n"/>
      <c r="DP75" s="399" t="n"/>
      <c r="DQ75" s="256" t="n"/>
      <c r="DR75" s="18" t="n"/>
      <c r="DS75" s="18" t="n"/>
      <c r="DT75" s="18" t="n"/>
      <c r="DU75" s="18" t="n"/>
      <c r="DV75" s="18" t="n"/>
      <c r="DW75" s="18" t="n"/>
      <c r="DX75" s="18" t="n"/>
      <c r="DY75" s="18" t="n"/>
      <c r="DZ75" s="18" t="n"/>
      <c r="EA75" s="18" t="n"/>
      <c r="EB75" s="18" t="n"/>
      <c r="EC75" s="18" t="n"/>
      <c r="ED75" s="18" t="n"/>
      <c r="EE75" s="18" t="n"/>
      <c r="EF75" s="18" t="n"/>
      <c r="EG75" s="18" t="n"/>
      <c r="EH75" s="18" t="n"/>
      <c r="EI75" s="18" t="n"/>
      <c r="EJ75" s="18" t="n"/>
      <c r="EK75" s="18" t="n"/>
      <c r="EL75" s="18" t="n"/>
      <c r="EM75" s="18" t="n"/>
      <c r="EN75" s="18" t="n"/>
      <c r="EO75" s="18" t="n"/>
      <c r="EP75" s="18" t="n"/>
      <c r="EQ75" s="18" t="n"/>
      <c r="ER75" s="18" t="n"/>
      <c r="ES75" s="18" t="n"/>
      <c r="ET75" s="18" t="n"/>
      <c r="EU75" s="18" t="n"/>
      <c r="EV75" s="18" t="n"/>
      <c r="EW75" s="276" t="n"/>
      <c r="EX75" s="18" t="n"/>
      <c r="EY75" s="18" t="n"/>
      <c r="EZ75" s="18" t="n"/>
      <c r="FA75" s="18" t="n"/>
      <c r="FB75" s="18" t="n"/>
      <c r="FC75" s="18" t="n"/>
      <c r="FD75" s="18" t="n"/>
      <c r="FE75" s="18" t="n"/>
      <c r="FF75" s="18" t="n"/>
      <c r="FG75" s="18" t="n"/>
      <c r="FH75" s="18" t="n"/>
      <c r="FI75" s="18" t="n"/>
      <c r="FJ75" s="276" t="n"/>
      <c r="FK75" s="18" t="n"/>
      <c r="FL75" s="18" t="n"/>
      <c r="FM75" s="18" t="n"/>
      <c r="FN75" s="18" t="n"/>
      <c r="FO75" s="18" t="n"/>
      <c r="FP75" s="276" t="n"/>
      <c r="FQ75" s="18" t="n"/>
      <c r="FR75" s="18" t="n"/>
      <c r="FS75" s="18" t="n"/>
      <c r="FT75" s="18" t="n"/>
      <c r="FU75" s="18" t="n"/>
      <c r="FV75" s="18" t="n">
        <v>2</v>
      </c>
      <c r="FW75" s="18" t="n"/>
      <c r="FX75" s="18" t="n"/>
      <c r="FY75" s="18" t="n"/>
      <c r="FZ75" s="18" t="n"/>
      <c r="GA75" s="18" t="n">
        <v>1</v>
      </c>
      <c r="GB75" s="18" t="n"/>
      <c r="GC75" s="18" t="n"/>
    </row>
    <row r="76" ht="18.75" customHeight="1">
      <c r="A76" s="43" t="inlineStr">
        <is>
          <t>ADESIVOS EUDORA</t>
        </is>
      </c>
      <c r="B76" s="149" t="n">
        <v>1000</v>
      </c>
      <c r="C76" s="726" t="n">
        <v>70</v>
      </c>
      <c r="D76" s="329" t="n">
        <v>1</v>
      </c>
      <c r="F76" s="9" t="n">
        <v>1</v>
      </c>
      <c r="G76" s="9" t="n">
        <v>1</v>
      </c>
      <c r="H76" s="9">
        <f>1+FX75</f>
        <v/>
      </c>
      <c r="I76" s="9" t="n">
        <v>1</v>
      </c>
      <c r="J76" s="9">
        <f>1+FS75</f>
        <v/>
      </c>
      <c r="K76" s="9" t="n">
        <v>3</v>
      </c>
      <c r="L76" s="9" t="n">
        <v>2</v>
      </c>
      <c r="M76" s="9" t="n">
        <v>2</v>
      </c>
      <c r="N76" s="9" t="n">
        <v>2</v>
      </c>
      <c r="O76" s="9" t="n">
        <v>2</v>
      </c>
      <c r="P76" s="9" t="n">
        <v>3</v>
      </c>
      <c r="Q76" s="9" t="n">
        <v>3</v>
      </c>
      <c r="R76" s="9" t="n">
        <v>3</v>
      </c>
      <c r="S76" s="9" t="n">
        <v>3</v>
      </c>
      <c r="T76" s="9" t="n">
        <v>3</v>
      </c>
      <c r="U76" s="9" t="n">
        <v>3</v>
      </c>
      <c r="V76" s="9" t="n">
        <v>3</v>
      </c>
      <c r="W76" s="9" t="n">
        <v>3</v>
      </c>
      <c r="X76" s="9" t="n">
        <v>3</v>
      </c>
      <c r="Y76" s="9" t="n">
        <v>3</v>
      </c>
      <c r="Z76" s="9" t="n">
        <v>3</v>
      </c>
      <c r="AA76" s="9" t="n">
        <v>3</v>
      </c>
      <c r="AB76" s="9" t="n">
        <v>3</v>
      </c>
      <c r="AC76" s="9" t="n">
        <v>3</v>
      </c>
      <c r="AD76" s="9" t="n">
        <v>3</v>
      </c>
      <c r="AE76" s="9" t="n">
        <v>3</v>
      </c>
      <c r="AF76" s="9" t="n">
        <v>3</v>
      </c>
      <c r="AG76" s="9" t="n">
        <v>3</v>
      </c>
      <c r="AH76" s="9" t="n">
        <v>3</v>
      </c>
      <c r="AI76" s="9" t="n">
        <v>3</v>
      </c>
      <c r="AJ76" s="9" t="n">
        <v>3</v>
      </c>
      <c r="AK76" s="9" t="n">
        <v>3</v>
      </c>
      <c r="AL76" s="9" t="n">
        <v>3</v>
      </c>
      <c r="AM76" s="9" t="n">
        <v>3</v>
      </c>
      <c r="AN76" s="9" t="n">
        <v>3</v>
      </c>
      <c r="AO76" s="9" t="n">
        <v>3</v>
      </c>
      <c r="AP76" s="9" t="n">
        <v>3</v>
      </c>
      <c r="AQ76" s="9" t="n">
        <v>3</v>
      </c>
      <c r="AR76" s="9" t="n">
        <v>3</v>
      </c>
      <c r="AS76" s="9" t="n">
        <v>3</v>
      </c>
      <c r="AT76" s="9" t="n">
        <v>3</v>
      </c>
      <c r="AU76" s="9" t="n">
        <v>3</v>
      </c>
      <c r="AV76" s="9" t="n">
        <v>3</v>
      </c>
      <c r="AW76" s="9" t="n">
        <v>3</v>
      </c>
      <c r="AX76" s="9" t="n">
        <v>3</v>
      </c>
      <c r="AY76" s="9" t="n">
        <v>3</v>
      </c>
      <c r="AZ76" s="9" t="n">
        <v>3</v>
      </c>
      <c r="BA76" s="9" t="n">
        <v>3</v>
      </c>
      <c r="BB76" s="9" t="n">
        <v>3</v>
      </c>
      <c r="BC76" s="9" t="n">
        <v>3</v>
      </c>
      <c r="BD76" s="9" t="n">
        <v>3</v>
      </c>
      <c r="BE76" s="9" t="n">
        <v>3</v>
      </c>
      <c r="BF76" s="9" t="n">
        <v>3</v>
      </c>
      <c r="BG76" s="9" t="n">
        <v>3</v>
      </c>
      <c r="BH76" s="9" t="n">
        <v>3</v>
      </c>
      <c r="BI76" s="9" t="n">
        <v>5</v>
      </c>
      <c r="BJ76" s="9" t="n">
        <v>2</v>
      </c>
      <c r="BK76" s="9" t="n">
        <v>2</v>
      </c>
      <c r="BL76" s="9" t="n">
        <v>2</v>
      </c>
      <c r="BM76" s="9" t="n">
        <v>2</v>
      </c>
      <c r="BN76" s="9" t="n">
        <v>2</v>
      </c>
      <c r="BO76" s="9" t="n">
        <v>2</v>
      </c>
      <c r="BP76" s="9" t="n">
        <v>1</v>
      </c>
      <c r="BQ76" s="9" t="n">
        <v>1</v>
      </c>
      <c r="BR76" s="9" t="n">
        <v>1</v>
      </c>
      <c r="BS76" s="9" t="n">
        <v>1</v>
      </c>
      <c r="BT76" s="9" t="n">
        <v>1</v>
      </c>
      <c r="BU76" s="9" t="n">
        <v>1</v>
      </c>
      <c r="BV76" s="9" t="n">
        <v>1</v>
      </c>
      <c r="BW76" s="9" t="n">
        <v>1</v>
      </c>
      <c r="BX76" s="9" t="n">
        <v>1</v>
      </c>
      <c r="BY76" s="9" t="n">
        <v>1</v>
      </c>
      <c r="BZ76" s="9" t="n"/>
      <c r="CA76" s="9" t="n"/>
      <c r="CB76" s="9" t="n"/>
      <c r="CC76" s="9" t="n"/>
      <c r="CD76" s="9" t="n"/>
      <c r="CE76" s="9" t="n"/>
      <c r="CF76" s="154">
        <f>CD76+IF(NOT(ISBLANK(OFFSET(CF76,0,6))),N(OFFSET(CF76,0,6)),N(OFFSET(CF76,0,7)))-CE76</f>
        <v/>
      </c>
      <c r="CH76" s="19" t="n"/>
      <c r="CJ76" s="27" t="n"/>
      <c r="CK76" s="691" t="n">
        <v>0</v>
      </c>
      <c r="CL76" s="18" t="n">
        <v>0</v>
      </c>
      <c r="CM76" s="18" t="n">
        <v>0</v>
      </c>
      <c r="CN76" s="18" t="n"/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8" t="n"/>
      <c r="DA76" s="18" t="n"/>
      <c r="DB76" s="18" t="n"/>
      <c r="DC76" s="18" t="n"/>
      <c r="DD76" s="18" t="n"/>
      <c r="DE76" s="18" t="n"/>
      <c r="DF76" s="18" t="n"/>
      <c r="DG76" s="18" t="n"/>
      <c r="DH76" s="18" t="n"/>
      <c r="DI76" s="18" t="n"/>
      <c r="DJ76" s="18" t="n"/>
      <c r="DK76" s="18" t="n"/>
      <c r="DL76" s="18" t="n"/>
      <c r="DM76" s="18" t="n"/>
      <c r="DN76" s="18" t="n"/>
      <c r="DO76" s="18" t="n"/>
      <c r="DP76" s="342" t="n"/>
      <c r="DQ76" s="256" t="n"/>
      <c r="DR76" s="18" t="n"/>
      <c r="DS76" s="18" t="n"/>
      <c r="DT76" s="18" t="n"/>
      <c r="DU76" s="18" t="n"/>
      <c r="DV76" s="18" t="n"/>
      <c r="DW76" s="18" t="n"/>
      <c r="DX76" s="18" t="n"/>
      <c r="DY76" s="18" t="n"/>
      <c r="DZ76" s="18" t="n"/>
      <c r="EA76" s="18" t="n"/>
      <c r="EB76" s="18" t="n"/>
      <c r="EC76" s="18" t="n"/>
      <c r="ED76" s="18" t="n"/>
      <c r="EE76" s="18" t="n"/>
      <c r="EF76" s="18" t="n"/>
      <c r="EG76" s="18" t="n"/>
      <c r="EH76" s="18" t="n"/>
      <c r="EI76" s="18" t="n"/>
      <c r="EJ76" s="18" t="n"/>
      <c r="EK76" s="18" t="n"/>
      <c r="EL76" s="18" t="n"/>
      <c r="EM76" s="18" t="n"/>
      <c r="EN76" s="18" t="n"/>
      <c r="EO76" s="18" t="n"/>
      <c r="EP76" s="18" t="n"/>
      <c r="EQ76" s="18" t="n"/>
      <c r="ER76" s="18" t="n"/>
      <c r="ES76" s="18" t="n"/>
      <c r="ET76" s="18" t="n"/>
      <c r="EU76" s="18" t="n"/>
      <c r="EV76" s="18" t="n"/>
      <c r="EW76" s="276" t="n"/>
      <c r="EX76" s="18" t="n"/>
      <c r="EY76" s="18" t="n"/>
      <c r="EZ76" s="18" t="n"/>
      <c r="FA76" s="18" t="n"/>
      <c r="FB76" s="18" t="n"/>
      <c r="FC76" s="18" t="n"/>
      <c r="FD76" s="18" t="n"/>
      <c r="FE76" s="18" t="n"/>
      <c r="FF76" s="18" t="n"/>
      <c r="FG76" s="18" t="n"/>
      <c r="FH76" s="18" t="n"/>
      <c r="FI76" s="18" t="n"/>
      <c r="FJ76" s="276" t="n"/>
      <c r="FK76" s="18" t="n"/>
      <c r="FL76" s="18" t="n"/>
      <c r="FM76" s="18" t="n"/>
      <c r="FN76" s="18" t="n"/>
      <c r="FO76" s="18" t="n"/>
      <c r="FP76" s="276" t="n"/>
      <c r="FQ76" s="18" t="n"/>
      <c r="FR76" s="18" t="n"/>
      <c r="FS76" s="18" t="n"/>
      <c r="FT76" s="18" t="n"/>
      <c r="FU76" s="18" t="n"/>
      <c r="FV76" s="18" t="n"/>
      <c r="FW76" s="18" t="n"/>
      <c r="FX76" s="18" t="n"/>
      <c r="FY76" s="18" t="n"/>
      <c r="FZ76" s="18" t="n"/>
      <c r="GA76" s="18" t="n"/>
      <c r="GB76" s="18" t="n"/>
      <c r="GC76" s="18" t="n"/>
    </row>
    <row r="77" ht="18.75" customHeight="1">
      <c r="A77" s="43" t="inlineStr">
        <is>
          <t>LÂMINA OLFATIVA EUDORA</t>
        </is>
      </c>
      <c r="B77" s="204" t="n">
        <v>2000</v>
      </c>
      <c r="C77" s="726" t="n">
        <v>71</v>
      </c>
      <c r="D77" s="329" t="n">
        <v>0</v>
      </c>
      <c r="F77" s="9" t="n">
        <v>0</v>
      </c>
      <c r="G77" s="9" t="n">
        <v>0</v>
      </c>
      <c r="H77" s="9" t="n">
        <v>0</v>
      </c>
      <c r="I77" s="9" t="n">
        <v>0</v>
      </c>
      <c r="J77" s="9" t="n">
        <v>0</v>
      </c>
      <c r="K77" s="9" t="n">
        <v>0</v>
      </c>
      <c r="L77" s="9" t="n">
        <v>0</v>
      </c>
      <c r="M77" s="9" t="n">
        <v>0</v>
      </c>
      <c r="N77" s="9" t="n">
        <v>0</v>
      </c>
      <c r="O77" s="9" t="n">
        <v>0</v>
      </c>
      <c r="P77" s="9" t="n">
        <v>0</v>
      </c>
      <c r="Q77" s="9" t="n">
        <v>0</v>
      </c>
      <c r="R77" s="9" t="n">
        <v>0</v>
      </c>
      <c r="S77" s="9" t="n">
        <v>0</v>
      </c>
      <c r="T77" s="9" t="n">
        <v>0</v>
      </c>
      <c r="U77" s="9" t="n">
        <v>0</v>
      </c>
      <c r="V77" s="9" t="n">
        <v>0</v>
      </c>
      <c r="W77" s="9" t="n">
        <v>0</v>
      </c>
      <c r="X77" s="9" t="n">
        <v>0</v>
      </c>
      <c r="Y77" s="9" t="n">
        <v>0</v>
      </c>
      <c r="Z77" s="9" t="n">
        <v>0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9" t="n">
        <v>0</v>
      </c>
      <c r="AP77" s="9" t="n">
        <v>0</v>
      </c>
      <c r="AQ77" s="9" t="n">
        <v>0</v>
      </c>
      <c r="AR77" s="9" t="n">
        <v>0</v>
      </c>
      <c r="AS77" s="9" t="n">
        <v>0</v>
      </c>
      <c r="AT77" s="9" t="n">
        <v>0</v>
      </c>
      <c r="AU77" s="9" t="n">
        <v>0</v>
      </c>
      <c r="AV77" s="9" t="n">
        <v>0</v>
      </c>
      <c r="AW77" s="9" t="n">
        <v>0</v>
      </c>
      <c r="AX77" s="9" t="n">
        <v>0</v>
      </c>
      <c r="AY77" s="9" t="n">
        <v>0</v>
      </c>
      <c r="AZ77" s="9" t="n">
        <v>0</v>
      </c>
      <c r="BA77" s="9" t="n">
        <v>0</v>
      </c>
      <c r="BB77" s="9" t="n">
        <v>0</v>
      </c>
      <c r="BC77" s="9" t="n">
        <v>0</v>
      </c>
      <c r="BD77" s="9" t="n">
        <v>0</v>
      </c>
      <c r="BE77" s="9" t="n">
        <v>0</v>
      </c>
      <c r="BF77" s="9" t="n">
        <v>0</v>
      </c>
      <c r="BG77" s="9" t="n">
        <v>0</v>
      </c>
      <c r="BH77" s="9" t="n">
        <v>0</v>
      </c>
      <c r="BI77" s="9" t="n">
        <v>0</v>
      </c>
      <c r="BJ77" s="9" t="n">
        <v>0</v>
      </c>
      <c r="BK77" s="9" t="n">
        <v>0</v>
      </c>
      <c r="BL77" s="9" t="n">
        <v>0</v>
      </c>
      <c r="BM77" s="9" t="n">
        <v>0</v>
      </c>
      <c r="BN77" s="9" t="n">
        <v>0</v>
      </c>
      <c r="BO77" s="9" t="n">
        <v>0</v>
      </c>
      <c r="BP77" s="9" t="n">
        <v>0</v>
      </c>
      <c r="BQ77" s="9" t="n">
        <v>0</v>
      </c>
      <c r="BR77" s="9" t="n">
        <v>0</v>
      </c>
      <c r="BS77" s="9" t="n">
        <v>0</v>
      </c>
      <c r="BT77" s="9" t="n">
        <v>0</v>
      </c>
      <c r="BU77" s="9" t="n">
        <v>0</v>
      </c>
      <c r="BV77" s="9" t="n">
        <v>0</v>
      </c>
      <c r="BW77" s="9" t="n">
        <v>0</v>
      </c>
      <c r="BX77" s="9" t="n">
        <v>0</v>
      </c>
      <c r="BY77" s="9" t="n">
        <v>0</v>
      </c>
      <c r="BZ77" s="9" t="n"/>
      <c r="CA77" s="9" t="n"/>
      <c r="CB77" s="9" t="n"/>
      <c r="CC77" s="9" t="n"/>
      <c r="CD77" s="9" t="n"/>
      <c r="CE77" s="9" t="n"/>
      <c r="CF77" s="154">
        <f>CD77+IF(NOT(ISBLANK(OFFSET(CF77,0,6))),N(OFFSET(CF77,0,6)),N(OFFSET(CF77,0,7)))-CE77</f>
        <v/>
      </c>
      <c r="CH77" s="19" t="n"/>
      <c r="CJ77" s="27" t="n"/>
      <c r="CK77" s="691" t="n">
        <v>0</v>
      </c>
      <c r="CL77" s="18" t="n">
        <v>0</v>
      </c>
      <c r="CM77" s="18" t="n">
        <v>0</v>
      </c>
      <c r="CN77" s="18" t="n"/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18" t="n"/>
      <c r="DM77" s="18" t="n"/>
      <c r="DN77" s="18" t="n"/>
      <c r="DO77" s="18" t="n"/>
      <c r="DP77" s="342" t="n"/>
      <c r="DQ77" s="256" t="n"/>
      <c r="DR77" s="18" t="n"/>
      <c r="DS77" s="18" t="n"/>
      <c r="DT77" s="18" t="n"/>
      <c r="DU77" s="18" t="n"/>
      <c r="DV77" s="18" t="n"/>
      <c r="DW77" s="18" t="n"/>
      <c r="DX77" s="18" t="n"/>
      <c r="DY77" s="18" t="n"/>
      <c r="DZ77" s="18" t="n"/>
      <c r="EA77" s="18" t="n"/>
      <c r="EB77" s="18" t="n"/>
      <c r="EC77" s="18" t="n"/>
      <c r="ED77" s="18" t="n"/>
      <c r="EE77" s="18" t="n"/>
      <c r="EF77" s="18" t="n"/>
      <c r="EG77" s="18" t="n"/>
      <c r="EH77" s="18" t="n"/>
      <c r="EI77" s="18" t="n"/>
      <c r="EJ77" s="18" t="n"/>
      <c r="EK77" s="18" t="n"/>
      <c r="EL77" s="18" t="n"/>
      <c r="EM77" s="18" t="n"/>
      <c r="EN77" s="18" t="n"/>
      <c r="EO77" s="18" t="n"/>
      <c r="EP77" s="18" t="n"/>
      <c r="EQ77" s="18" t="n"/>
      <c r="ER77" s="18" t="n"/>
      <c r="ES77" s="18" t="n"/>
      <c r="ET77" s="18" t="n"/>
      <c r="EU77" s="18" t="n"/>
      <c r="EV77" s="18" t="n"/>
      <c r="EW77" s="276" t="n"/>
      <c r="EX77" s="18" t="n"/>
      <c r="EY77" s="18" t="n"/>
      <c r="EZ77" s="18" t="n"/>
      <c r="FA77" s="18" t="n"/>
      <c r="FB77" s="18" t="n"/>
      <c r="FC77" s="18" t="n"/>
      <c r="FD77" s="18" t="n"/>
      <c r="FE77" s="260" t="n"/>
      <c r="FF77" s="18" t="n"/>
      <c r="FG77" s="18" t="n"/>
      <c r="FH77" s="18" t="n"/>
      <c r="FI77" s="18" t="n"/>
      <c r="FJ77" s="276" t="n"/>
      <c r="FK77" s="18" t="n"/>
      <c r="FL77" s="18" t="n"/>
      <c r="FM77" s="18" t="n"/>
      <c r="FN77" s="18" t="n"/>
      <c r="FO77" s="18" t="n"/>
      <c r="FP77" s="276" t="n"/>
      <c r="FQ77" s="18" t="n"/>
      <c r="FR77" s="18" t="n"/>
      <c r="FS77" s="18" t="n"/>
      <c r="FT77" s="18" t="n"/>
      <c r="FU77" s="18" t="n"/>
      <c r="FV77" s="18" t="n"/>
      <c r="FW77" s="18" t="n"/>
      <c r="FX77" s="239" t="inlineStr">
        <is>
          <t>20 DE VDP</t>
        </is>
      </c>
      <c r="FY77" s="18" t="n"/>
      <c r="FZ77" s="18" t="n"/>
      <c r="GA77" s="18" t="n"/>
      <c r="GB77" s="18" t="n"/>
      <c r="GC77" s="18" t="n"/>
    </row>
    <row r="78" ht="18.75" customHeight="1">
      <c r="A78" s="43" t="inlineStr">
        <is>
          <t>KIT SACOLA P EUDORA (C/ 10)</t>
        </is>
      </c>
      <c r="B78" s="149" t="n">
        <v>200</v>
      </c>
      <c r="C78" s="726" t="n">
        <v>184.13</v>
      </c>
      <c r="D78" s="329" t="n">
        <v>10</v>
      </c>
      <c r="F78" s="9" t="n">
        <v>5</v>
      </c>
      <c r="G78" s="9">
        <f>5+20</f>
        <v/>
      </c>
      <c r="H78" s="9" t="n">
        <v>25</v>
      </c>
      <c r="I78" s="9" t="n">
        <v>25</v>
      </c>
      <c r="J78" s="9" t="n">
        <v>25</v>
      </c>
      <c r="K78" s="9" t="n">
        <v>24</v>
      </c>
      <c r="L78" s="9" t="n">
        <v>24</v>
      </c>
      <c r="M78" s="9" t="n">
        <v>24</v>
      </c>
      <c r="N78" s="9" t="n">
        <v>24</v>
      </c>
      <c r="O78" s="9" t="n">
        <v>24</v>
      </c>
      <c r="P78" s="9" t="n">
        <v>24</v>
      </c>
      <c r="Q78" s="9" t="n">
        <v>24</v>
      </c>
      <c r="R78" s="9" t="n">
        <v>24</v>
      </c>
      <c r="S78" s="9" t="n">
        <v>24</v>
      </c>
      <c r="T78" s="9" t="n">
        <v>25</v>
      </c>
      <c r="U78" s="9" t="n">
        <v>25</v>
      </c>
      <c r="V78" s="9" t="n">
        <v>25</v>
      </c>
      <c r="W78" s="9" t="n">
        <v>25</v>
      </c>
      <c r="X78" s="9" t="n">
        <v>25</v>
      </c>
      <c r="Y78" s="9" t="n">
        <v>25</v>
      </c>
      <c r="Z78" s="9" t="n">
        <v>25</v>
      </c>
      <c r="AA78" s="9" t="n">
        <v>25</v>
      </c>
      <c r="AB78" s="9" t="n">
        <v>25</v>
      </c>
      <c r="AC78" s="9" t="n">
        <v>25</v>
      </c>
      <c r="AD78" s="9" t="n">
        <v>25</v>
      </c>
      <c r="AE78" s="9" t="n">
        <v>25</v>
      </c>
      <c r="AF78" s="9" t="n">
        <v>25</v>
      </c>
      <c r="AG78" s="9" t="n">
        <v>25</v>
      </c>
      <c r="AH78" s="190" t="n">
        <v>45</v>
      </c>
      <c r="AI78" s="9" t="n">
        <v>25</v>
      </c>
      <c r="AJ78" s="9" t="n">
        <v>25</v>
      </c>
      <c r="AK78" s="9" t="n">
        <v>25</v>
      </c>
      <c r="AL78" s="9" t="n">
        <v>25</v>
      </c>
      <c r="AM78" s="9" t="n">
        <v>25</v>
      </c>
      <c r="AN78" s="9" t="n">
        <v>25</v>
      </c>
      <c r="AO78" s="9" t="n">
        <v>25</v>
      </c>
      <c r="AP78" s="9" t="n">
        <v>25</v>
      </c>
      <c r="AQ78" s="9" t="n">
        <v>25</v>
      </c>
      <c r="AR78" s="9" t="n">
        <v>25</v>
      </c>
      <c r="AS78" s="9" t="n">
        <v>25</v>
      </c>
      <c r="AT78" s="9" t="n">
        <v>25</v>
      </c>
      <c r="AU78" s="9" t="n">
        <v>25</v>
      </c>
      <c r="AV78" s="9" t="n">
        <v>25</v>
      </c>
      <c r="AW78" s="9" t="n">
        <v>25</v>
      </c>
      <c r="AX78" s="9" t="n">
        <v>25</v>
      </c>
      <c r="AY78" s="9" t="n">
        <v>25</v>
      </c>
      <c r="AZ78" s="9" t="n">
        <v>25</v>
      </c>
      <c r="BA78" s="9" t="n">
        <v>25</v>
      </c>
      <c r="BB78" s="9" t="n">
        <v>25</v>
      </c>
      <c r="BC78" s="9" t="n">
        <v>25</v>
      </c>
      <c r="BD78" s="9" t="n">
        <v>25</v>
      </c>
      <c r="BE78" s="9" t="n">
        <v>25</v>
      </c>
      <c r="BF78" s="9" t="n">
        <v>25</v>
      </c>
      <c r="BG78" s="9" t="n">
        <v>25</v>
      </c>
      <c r="BH78" s="9" t="n">
        <v>25</v>
      </c>
      <c r="BI78" s="9" t="n">
        <v>25</v>
      </c>
      <c r="BJ78" s="9" t="n">
        <v>25</v>
      </c>
      <c r="BK78" s="9" t="n">
        <v>25</v>
      </c>
      <c r="BL78" s="9" t="n">
        <v>25</v>
      </c>
      <c r="BM78" s="9" t="n">
        <v>25</v>
      </c>
      <c r="BN78" s="9" t="n">
        <v>25</v>
      </c>
      <c r="BO78" s="9" t="n">
        <v>25</v>
      </c>
      <c r="BP78" s="9" t="n">
        <v>25</v>
      </c>
      <c r="BQ78" s="9" t="n">
        <v>25</v>
      </c>
      <c r="BR78" s="9" t="n">
        <v>25</v>
      </c>
      <c r="BS78" s="9" t="n">
        <v>25</v>
      </c>
      <c r="BT78" s="9" t="n">
        <v>25</v>
      </c>
      <c r="BU78" s="9" t="n">
        <v>25</v>
      </c>
      <c r="BV78" s="9" t="n">
        <v>25</v>
      </c>
      <c r="BW78" s="9" t="n">
        <v>24</v>
      </c>
      <c r="BX78" s="9" t="n">
        <v>24</v>
      </c>
      <c r="BY78" s="9" t="n">
        <v>24</v>
      </c>
      <c r="BZ78" s="9" t="n">
        <v>24</v>
      </c>
      <c r="CA78" s="9" t="n">
        <v>24</v>
      </c>
      <c r="CB78" s="9" t="n">
        <v>24</v>
      </c>
      <c r="CC78" s="9" t="n">
        <v>24</v>
      </c>
      <c r="CD78" s="9" t="n">
        <v>24</v>
      </c>
      <c r="CE78" s="9" t="n">
        <v>24</v>
      </c>
      <c r="CF78" s="154">
        <f>CD78+IF(NOT(ISBLANK(OFFSET(CF78,0,6))),N(OFFSET(CF78,0,6)),N(OFFSET(CF78,0,7)))-CE78</f>
        <v/>
      </c>
      <c r="CH78" s="19" t="n"/>
      <c r="CJ78" s="19" t="n"/>
      <c r="CK78" s="691" t="n">
        <v>0</v>
      </c>
      <c r="CL78" s="18" t="n">
        <v>0</v>
      </c>
      <c r="CM78" s="18" t="n">
        <v>0</v>
      </c>
      <c r="CN78" s="18" t="n"/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18" t="n"/>
      <c r="DM78" s="18" t="n"/>
      <c r="DN78" s="18" t="n"/>
      <c r="DO78" s="18" t="n"/>
      <c r="DP78" s="342" t="n"/>
      <c r="DQ78" s="256" t="n"/>
      <c r="DR78" s="18" t="n"/>
      <c r="DS78" s="18" t="n"/>
      <c r="DT78" s="18" t="n"/>
      <c r="DU78" s="18" t="n"/>
      <c r="DV78" s="18" t="n"/>
      <c r="DW78" s="18" t="n"/>
      <c r="DX78" s="18" t="n"/>
      <c r="DY78" s="18" t="n"/>
      <c r="DZ78" s="18" t="n"/>
      <c r="EA78" s="18" t="n"/>
      <c r="EB78" s="18" t="n"/>
      <c r="EC78" s="18" t="n"/>
      <c r="ED78" s="18" t="n"/>
      <c r="EE78" s="18" t="n"/>
      <c r="EF78" s="18" t="n"/>
      <c r="EG78" s="18" t="n"/>
      <c r="EH78" s="18" t="n"/>
      <c r="EI78" s="18" t="n"/>
      <c r="EJ78" s="18" t="n"/>
      <c r="EK78" s="18" t="n"/>
      <c r="EL78" s="18" t="n"/>
      <c r="EM78" s="18" t="n"/>
      <c r="EN78" s="18" t="n"/>
      <c r="EO78" s="18" t="n"/>
      <c r="EP78" s="18" t="n"/>
      <c r="EQ78" s="18" t="n"/>
      <c r="ER78" s="18" t="n"/>
      <c r="ES78" s="18" t="n"/>
      <c r="ET78" s="18" t="n"/>
      <c r="EU78" s="18" t="n"/>
      <c r="EV78" s="18" t="n"/>
      <c r="EW78" s="276" t="n"/>
      <c r="EX78" s="18" t="n"/>
      <c r="EY78" s="18" t="n"/>
      <c r="EZ78" s="18" t="n"/>
      <c r="FA78" s="18" t="n"/>
      <c r="FB78" s="18" t="n"/>
      <c r="FC78" s="18" t="n"/>
      <c r="FD78" s="18" t="n"/>
      <c r="FE78" s="260" t="n"/>
      <c r="FF78" s="18" t="n">
        <v>30</v>
      </c>
      <c r="FG78" s="18" t="n"/>
      <c r="FH78" s="18" t="n"/>
      <c r="FI78" s="18" t="n"/>
      <c r="FJ78" s="276" t="n"/>
      <c r="FK78" s="18" t="n"/>
      <c r="FL78" s="18" t="n"/>
      <c r="FM78" s="18" t="n"/>
      <c r="FN78" s="18" t="n"/>
      <c r="FO78" s="18" t="n"/>
      <c r="FP78" s="276" t="n"/>
      <c r="FQ78" s="18" t="n"/>
      <c r="FR78" s="18" t="n"/>
      <c r="FS78" s="18" t="n"/>
      <c r="FT78" s="18" t="n"/>
      <c r="FU78" s="18" t="n"/>
      <c r="FV78" s="18" t="n"/>
      <c r="FW78" s="18" t="n"/>
      <c r="FX78" s="239" t="inlineStr">
        <is>
          <t>30 DE VDP</t>
        </is>
      </c>
      <c r="FY78" s="18" t="n"/>
      <c r="FZ78" s="18" t="n"/>
      <c r="GA78" s="18" t="n"/>
      <c r="GB78" s="18" t="n"/>
      <c r="GC78" s="18" t="n"/>
    </row>
    <row r="79" ht="18.75" customHeight="1">
      <c r="A79" s="43" t="inlineStr">
        <is>
          <t>KIT SACOLA M EUDORA (C/ 10)</t>
        </is>
      </c>
      <c r="B79" s="149" t="n">
        <v>150</v>
      </c>
      <c r="C79" s="726" t="n">
        <v>181.4</v>
      </c>
      <c r="D79" s="329" t="n">
        <v>10</v>
      </c>
      <c r="F79" s="9" t="n">
        <v>2</v>
      </c>
      <c r="G79" s="9">
        <f>2+30</f>
        <v/>
      </c>
      <c r="H79" s="9" t="n">
        <v>30</v>
      </c>
      <c r="I79" s="9" t="n">
        <v>30</v>
      </c>
      <c r="J79" s="9" t="n">
        <v>30</v>
      </c>
      <c r="K79" s="9" t="n">
        <v>30</v>
      </c>
      <c r="L79" s="9" t="n">
        <v>30</v>
      </c>
      <c r="M79" s="9" t="n">
        <v>30</v>
      </c>
      <c r="N79" s="9" t="n">
        <v>30</v>
      </c>
      <c r="O79" s="9" t="n">
        <v>30</v>
      </c>
      <c r="P79" s="9" t="n">
        <v>30</v>
      </c>
      <c r="Q79" s="9" t="n">
        <v>30</v>
      </c>
      <c r="R79" s="9" t="n">
        <v>30</v>
      </c>
      <c r="S79" s="9" t="n">
        <v>30</v>
      </c>
      <c r="T79" s="9" t="n">
        <v>15</v>
      </c>
      <c r="U79" s="9" t="n">
        <v>15</v>
      </c>
      <c r="V79" s="9">
        <f>15+FC78</f>
        <v/>
      </c>
      <c r="W79" s="9" t="n">
        <v>45</v>
      </c>
      <c r="X79" s="9" t="n">
        <v>45</v>
      </c>
      <c r="Y79" s="9" t="n">
        <v>60</v>
      </c>
      <c r="Z79" s="9" t="n">
        <v>60</v>
      </c>
      <c r="AA79" s="9" t="n">
        <v>60</v>
      </c>
      <c r="AB79" s="9" t="n">
        <v>60</v>
      </c>
      <c r="AC79" s="9" t="n">
        <v>60</v>
      </c>
      <c r="AD79" s="9" t="n">
        <v>60</v>
      </c>
      <c r="AE79" s="9" t="n">
        <v>60</v>
      </c>
      <c r="AF79" s="9" t="n">
        <v>60</v>
      </c>
      <c r="AG79" s="9" t="n">
        <v>60</v>
      </c>
      <c r="AH79" s="9" t="n">
        <v>62</v>
      </c>
      <c r="AI79" s="9" t="n">
        <v>60</v>
      </c>
      <c r="AJ79" s="9" t="n">
        <v>60</v>
      </c>
      <c r="AK79" s="9" t="n">
        <v>60</v>
      </c>
      <c r="AL79" s="9" t="n">
        <v>60</v>
      </c>
      <c r="AM79" s="9" t="n">
        <v>60</v>
      </c>
      <c r="AN79" s="9" t="n">
        <v>60</v>
      </c>
      <c r="AO79" s="9" t="n">
        <v>60</v>
      </c>
      <c r="AP79" s="9" t="n">
        <v>60</v>
      </c>
      <c r="AQ79" s="9" t="n">
        <v>60</v>
      </c>
      <c r="AR79" s="9" t="n">
        <v>60</v>
      </c>
      <c r="AS79" s="9" t="n">
        <v>60</v>
      </c>
      <c r="AT79" s="9" t="n">
        <v>60</v>
      </c>
      <c r="AU79" s="9" t="n">
        <v>60</v>
      </c>
      <c r="AV79" s="9" t="n">
        <v>40</v>
      </c>
      <c r="AW79" s="9" t="n">
        <v>40</v>
      </c>
      <c r="AX79" s="9" t="n">
        <v>40</v>
      </c>
      <c r="AY79" s="9" t="n">
        <v>40</v>
      </c>
      <c r="AZ79" s="9" t="n">
        <v>40</v>
      </c>
      <c r="BA79" s="9" t="n">
        <v>40</v>
      </c>
      <c r="BB79" s="9" t="n">
        <v>40</v>
      </c>
      <c r="BC79" s="9" t="n">
        <v>40</v>
      </c>
      <c r="BD79" s="9" t="n">
        <v>40</v>
      </c>
      <c r="BE79" s="9" t="n">
        <v>40</v>
      </c>
      <c r="BF79" s="9" t="n">
        <v>40</v>
      </c>
      <c r="BG79" s="9" t="n">
        <v>40</v>
      </c>
      <c r="BH79" s="9" t="n">
        <v>40</v>
      </c>
      <c r="BI79" s="9" t="n">
        <v>40</v>
      </c>
      <c r="BJ79" s="9" t="n">
        <v>40</v>
      </c>
      <c r="BK79" s="9" t="n">
        <v>40</v>
      </c>
      <c r="BL79" s="9" t="n">
        <v>40</v>
      </c>
      <c r="BM79" s="9" t="n">
        <v>40</v>
      </c>
      <c r="BN79" s="9" t="n">
        <v>40</v>
      </c>
      <c r="BO79" s="9" t="n">
        <v>40</v>
      </c>
      <c r="BP79" s="9" t="n">
        <v>40</v>
      </c>
      <c r="BQ79" s="9" t="n">
        <v>40</v>
      </c>
      <c r="BR79" s="9" t="n">
        <v>40</v>
      </c>
      <c r="BS79" s="9" t="n">
        <v>40</v>
      </c>
      <c r="BT79" s="9" t="n">
        <v>40</v>
      </c>
      <c r="BU79" s="9" t="n">
        <v>40</v>
      </c>
      <c r="BV79" s="9" t="n">
        <v>40</v>
      </c>
      <c r="BW79" s="9" t="n">
        <v>40</v>
      </c>
      <c r="BX79" s="9" t="n">
        <v>40</v>
      </c>
      <c r="BY79" s="9" t="n">
        <v>40</v>
      </c>
      <c r="BZ79" s="9" t="n">
        <v>40</v>
      </c>
      <c r="CA79" s="9" t="n">
        <v>40</v>
      </c>
      <c r="CB79" s="9" t="n">
        <v>40</v>
      </c>
      <c r="CC79" s="9" t="n">
        <v>40</v>
      </c>
      <c r="CD79" s="9" t="n">
        <v>40</v>
      </c>
      <c r="CE79" s="9" t="n">
        <v>40</v>
      </c>
      <c r="CF79" s="154">
        <f>CD79+IF(NOT(ISBLANK(OFFSET(CF79,0,6))),N(OFFSET(CF79,0,6)),N(OFFSET(CF79,0,7)))-CE79</f>
        <v/>
      </c>
      <c r="CH79" s="19" t="n"/>
      <c r="CJ79" s="27" t="n"/>
      <c r="CK79" s="691" t="n">
        <v>0</v>
      </c>
      <c r="CL79" s="18" t="n">
        <v>0</v>
      </c>
      <c r="CM79" s="18" t="n">
        <v>0</v>
      </c>
      <c r="CN79" s="18" t="n"/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18" t="n"/>
      <c r="DM79" s="18" t="n"/>
      <c r="DN79" s="18" t="n"/>
      <c r="DO79" s="18" t="n"/>
      <c r="DP79" s="342" t="n"/>
      <c r="DQ79" s="256" t="n"/>
      <c r="DR79" s="18" t="n"/>
      <c r="DS79" s="18" t="n"/>
      <c r="DT79" s="18" t="n"/>
      <c r="DU79" s="18" t="n"/>
      <c r="DV79" s="18" t="n"/>
      <c r="DW79" s="18" t="n"/>
      <c r="DX79" s="18" t="n"/>
      <c r="DY79" s="18" t="n"/>
      <c r="DZ79" s="18" t="n"/>
      <c r="EA79" s="18" t="n"/>
      <c r="EB79" s="18" t="n"/>
      <c r="EC79" s="18" t="n"/>
      <c r="ED79" s="18" t="n"/>
      <c r="EE79" s="18" t="n"/>
      <c r="EF79" s="18" t="n"/>
      <c r="EG79" s="18" t="n"/>
      <c r="EH79" s="18" t="n"/>
      <c r="EI79" s="18" t="n"/>
      <c r="EJ79" s="18" t="n"/>
      <c r="EK79" s="18" t="n"/>
      <c r="EL79" s="18" t="n"/>
      <c r="EM79" s="18" t="n"/>
      <c r="EN79" s="18" t="n"/>
      <c r="EO79" s="18" t="n"/>
      <c r="EP79" s="18" t="n"/>
      <c r="EQ79" s="18" t="n"/>
      <c r="ER79" s="18" t="n"/>
      <c r="ES79" s="18" t="n"/>
      <c r="ET79" s="18" t="n"/>
      <c r="EU79" s="18" t="n"/>
      <c r="EV79" s="18" t="n"/>
      <c r="EW79" s="276" t="n"/>
      <c r="EX79" s="18" t="n"/>
      <c r="EY79" s="18" t="n"/>
      <c r="EZ79" s="18" t="n"/>
      <c r="FA79" s="18" t="n"/>
      <c r="FB79" s="18" t="n"/>
      <c r="FC79" s="18" t="n"/>
      <c r="FD79" s="18" t="n"/>
      <c r="FE79" s="18" t="n"/>
      <c r="FF79" s="18" t="n"/>
      <c r="FG79" s="18" t="n"/>
      <c r="FH79" s="18" t="n"/>
      <c r="FI79" s="18" t="n"/>
      <c r="FJ79" s="276" t="n"/>
      <c r="FK79" s="18" t="n"/>
      <c r="FL79" s="18" t="n"/>
      <c r="FM79" s="18" t="n"/>
      <c r="FN79" s="18" t="n"/>
      <c r="FO79" s="18" t="n"/>
      <c r="FP79" s="276" t="n"/>
      <c r="FQ79" s="18" t="n"/>
      <c r="FR79" s="18" t="n"/>
      <c r="FS79" s="18" t="n"/>
      <c r="FT79" s="18" t="n"/>
      <c r="FU79" s="18" t="n"/>
      <c r="FV79" s="18" t="n"/>
      <c r="FW79" s="18" t="n"/>
      <c r="FX79" s="18" t="n"/>
      <c r="FY79" s="18" t="n"/>
      <c r="FZ79" s="18" t="n"/>
      <c r="GA79" s="18" t="n"/>
      <c r="GB79" s="18" t="n"/>
      <c r="GC79" s="18" t="n"/>
    </row>
    <row r="80" ht="18.75" customHeight="1">
      <c r="A80" s="43" t="inlineStr">
        <is>
          <t>KIT SACOLA G EUDORA (C/ 10)</t>
        </is>
      </c>
      <c r="B80" s="149" t="inlineStr">
        <is>
          <t>-</t>
        </is>
      </c>
      <c r="C80" s="726" t="inlineStr">
        <is>
          <t>-</t>
        </is>
      </c>
      <c r="D80" s="329" t="n">
        <v>0</v>
      </c>
      <c r="F80" s="9" t="n">
        <v>0</v>
      </c>
      <c r="G80" s="9" t="n">
        <v>0</v>
      </c>
      <c r="H80" s="9" t="n">
        <v>0</v>
      </c>
      <c r="I80" s="9" t="n">
        <v>0</v>
      </c>
      <c r="J80" s="9" t="n">
        <v>0</v>
      </c>
      <c r="K80" s="9" t="n">
        <v>0</v>
      </c>
      <c r="L80" s="9" t="n">
        <v>0</v>
      </c>
      <c r="M80" s="9" t="n">
        <v>0</v>
      </c>
      <c r="N80" s="9" t="n">
        <v>0</v>
      </c>
      <c r="O80" s="9" t="n">
        <v>0</v>
      </c>
      <c r="P80" s="9" t="n">
        <v>0</v>
      </c>
      <c r="Q80" s="9" t="n">
        <v>0</v>
      </c>
      <c r="R80" s="9" t="n">
        <v>0</v>
      </c>
      <c r="S80" s="9" t="n">
        <v>0</v>
      </c>
      <c r="T80" s="9" t="n">
        <v>0</v>
      </c>
      <c r="U80" s="9" t="n">
        <v>0</v>
      </c>
      <c r="V80" s="9" t="n">
        <v>0</v>
      </c>
      <c r="W80" s="9" t="n">
        <v>0</v>
      </c>
      <c r="X80" s="9" t="n">
        <v>0</v>
      </c>
      <c r="Y80" s="9" t="n">
        <v>0</v>
      </c>
      <c r="Z80" s="9" t="n">
        <v>0</v>
      </c>
      <c r="AA80" s="9" t="n">
        <v>0</v>
      </c>
      <c r="AB80" s="9" t="n">
        <v>0</v>
      </c>
      <c r="AC80" s="9" t="n">
        <v>0</v>
      </c>
      <c r="AD80" s="9" t="n">
        <v>0</v>
      </c>
      <c r="AE80" s="9" t="n">
        <v>0</v>
      </c>
      <c r="AF80" s="9" t="n">
        <v>0</v>
      </c>
      <c r="AG80" s="9" t="n">
        <v>0</v>
      </c>
      <c r="AH80" s="9" t="n">
        <v>0</v>
      </c>
      <c r="AI80" s="9" t="n">
        <v>0</v>
      </c>
      <c r="AJ80" s="9" t="n">
        <v>0</v>
      </c>
      <c r="AK80" s="9" t="n">
        <v>0</v>
      </c>
      <c r="AL80" s="9" t="n">
        <v>0</v>
      </c>
      <c r="AM80" s="9" t="n">
        <v>0</v>
      </c>
      <c r="AN80" s="9" t="n">
        <v>0</v>
      </c>
      <c r="AO80" s="9" t="n">
        <v>0</v>
      </c>
      <c r="AP80" s="9" t="n">
        <v>0</v>
      </c>
      <c r="AQ80" s="9" t="n">
        <v>0</v>
      </c>
      <c r="AR80" s="9" t="n">
        <v>0</v>
      </c>
      <c r="AS80" s="9" t="n">
        <v>0</v>
      </c>
      <c r="AT80" s="9" t="n">
        <v>0</v>
      </c>
      <c r="AU80" s="9" t="n">
        <v>0</v>
      </c>
      <c r="AV80" s="9" t="n">
        <v>0</v>
      </c>
      <c r="AW80" s="9" t="n">
        <v>0</v>
      </c>
      <c r="AX80" s="9" t="n">
        <v>0</v>
      </c>
      <c r="AY80" s="9" t="n">
        <v>0</v>
      </c>
      <c r="AZ80" s="9" t="n">
        <v>0</v>
      </c>
      <c r="BA80" s="9" t="n">
        <v>0</v>
      </c>
      <c r="BB80" s="9" t="n">
        <v>0</v>
      </c>
      <c r="BC80" s="9" t="n">
        <v>0</v>
      </c>
      <c r="BD80" s="9" t="n">
        <v>0</v>
      </c>
      <c r="BE80" s="9" t="n">
        <v>0</v>
      </c>
      <c r="BF80" s="9" t="n">
        <v>0</v>
      </c>
      <c r="BG80" s="9" t="n">
        <v>0</v>
      </c>
      <c r="BH80" s="9" t="n">
        <v>0</v>
      </c>
      <c r="BI80" s="9" t="n">
        <v>0</v>
      </c>
      <c r="BJ80" s="9" t="n">
        <v>0</v>
      </c>
      <c r="BK80" s="9" t="n">
        <v>0</v>
      </c>
      <c r="BL80" s="9" t="n">
        <v>0</v>
      </c>
      <c r="BM80" s="9" t="n">
        <v>0</v>
      </c>
      <c r="BN80" s="9" t="n">
        <v>0</v>
      </c>
      <c r="BO80" s="9" t="n">
        <v>0</v>
      </c>
      <c r="BP80" s="9" t="n">
        <v>0</v>
      </c>
      <c r="BQ80" s="9" t="n">
        <v>0</v>
      </c>
      <c r="BR80" s="9" t="n">
        <v>0</v>
      </c>
      <c r="BS80" s="9" t="n">
        <v>0</v>
      </c>
      <c r="BT80" s="9" t="n">
        <v>0</v>
      </c>
      <c r="BU80" s="9" t="n">
        <v>0</v>
      </c>
      <c r="BV80" s="9" t="n">
        <v>0</v>
      </c>
      <c r="BW80" s="9" t="n">
        <v>0</v>
      </c>
      <c r="BX80" s="9" t="n">
        <v>0</v>
      </c>
      <c r="BY80" s="9" t="n">
        <v>0</v>
      </c>
      <c r="BZ80" s="9" t="n">
        <v>0</v>
      </c>
      <c r="CA80" s="9" t="n">
        <v>0</v>
      </c>
      <c r="CB80" s="9" t="n">
        <v>0</v>
      </c>
      <c r="CC80" s="9" t="n">
        <v>0</v>
      </c>
      <c r="CD80" s="9" t="n">
        <v>0</v>
      </c>
      <c r="CE80" s="9" t="n">
        <v>0</v>
      </c>
      <c r="CF80" s="154">
        <f>CD80+IF(NOT(ISBLANK(OFFSET(CF80,0,6))),N(OFFSET(CF80,0,6)),N(OFFSET(CF80,0,7)))-CE80</f>
        <v/>
      </c>
      <c r="CH80" s="19" t="n"/>
      <c r="CJ80" s="27" t="n"/>
      <c r="CK80" s="691" t="n">
        <v>0</v>
      </c>
      <c r="CL80" s="18" t="n">
        <v>0</v>
      </c>
      <c r="CM80" s="18" t="n">
        <v>0</v>
      </c>
      <c r="CN80" s="18" t="n"/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18" t="n"/>
      <c r="DM80" s="18" t="n"/>
      <c r="DN80" s="18" t="n"/>
      <c r="DO80" s="18" t="n"/>
      <c r="DP80" s="399" t="n"/>
      <c r="DQ80" s="256" t="n"/>
      <c r="DR80" s="18" t="n"/>
      <c r="DS80" s="18" t="n"/>
      <c r="DT80" s="18" t="n"/>
      <c r="DU80" s="18" t="n"/>
      <c r="DV80" s="18" t="n"/>
      <c r="DW80" s="18" t="n"/>
      <c r="DX80" s="18" t="n"/>
      <c r="DY80" s="18" t="n"/>
      <c r="DZ80" s="18" t="n"/>
      <c r="EA80" s="18" t="n"/>
      <c r="EB80" s="18" t="n"/>
      <c r="EC80" s="18" t="n"/>
      <c r="ED80" s="18" t="n"/>
      <c r="EE80" s="18" t="n"/>
      <c r="EF80" s="18" t="n"/>
      <c r="EG80" s="18" t="n"/>
      <c r="EH80" s="18" t="n"/>
      <c r="EI80" s="18" t="n"/>
      <c r="EJ80" s="18" t="n"/>
      <c r="EK80" s="18" t="n"/>
      <c r="EL80" s="18" t="n"/>
      <c r="EM80" s="18" t="n"/>
      <c r="EN80" s="18" t="n"/>
      <c r="EO80" s="18" t="n"/>
      <c r="EP80" s="18" t="n"/>
      <c r="EQ80" s="18" t="n"/>
      <c r="ER80" s="18" t="n"/>
      <c r="ES80" s="18" t="n"/>
      <c r="ET80" s="18" t="n"/>
      <c r="EU80" s="18" t="n"/>
      <c r="EV80" s="18" t="n"/>
      <c r="EW80" s="276" t="n"/>
      <c r="EX80" s="260" t="n"/>
      <c r="EY80" s="18" t="n"/>
      <c r="EZ80" s="18" t="n"/>
      <c r="FA80" s="18" t="n"/>
      <c r="FB80" s="18" t="n"/>
      <c r="FC80" s="18" t="n"/>
      <c r="FD80" s="18" t="n"/>
      <c r="FE80" s="18" t="n"/>
      <c r="FF80" s="18" t="n"/>
      <c r="FG80" s="18" t="n"/>
      <c r="FH80" s="18" t="n"/>
      <c r="FI80" s="18" t="n"/>
      <c r="FJ80" s="276" t="n"/>
      <c r="FK80" s="18" t="n"/>
      <c r="FL80" s="18" t="n"/>
      <c r="FM80" s="18" t="n"/>
      <c r="FN80" s="18" t="n"/>
      <c r="FO80" s="18" t="n"/>
      <c r="FP80" s="276" t="n"/>
      <c r="FQ80" s="18" t="n"/>
      <c r="FR80" s="18" t="n"/>
      <c r="FS80" s="18" t="n"/>
      <c r="FT80" s="18" t="n"/>
      <c r="FU80" s="18" t="n"/>
      <c r="FV80" s="18" t="n"/>
      <c r="FW80" s="18" t="n"/>
      <c r="FX80" s="18" t="n"/>
      <c r="FY80" s="18" t="n"/>
      <c r="FZ80" s="18" t="n"/>
      <c r="GA80" s="18" t="n"/>
      <c r="GB80" s="18" t="n"/>
      <c r="GC80" s="18" t="n"/>
    </row>
    <row r="81" ht="18.75" customHeight="1">
      <c r="A81" s="43" t="inlineStr">
        <is>
          <t>CAIXA P EUDORA</t>
        </is>
      </c>
      <c r="B81" s="149" t="n">
        <v>150</v>
      </c>
      <c r="C81" s="726" t="n">
        <v>400.5</v>
      </c>
      <c r="D81" s="329" t="n">
        <v>10</v>
      </c>
      <c r="F81" s="9" t="n">
        <v>30</v>
      </c>
      <c r="G81" s="9" t="n">
        <v>30</v>
      </c>
      <c r="H81" s="9" t="n">
        <v>30</v>
      </c>
      <c r="I81" s="9" t="n">
        <v>30</v>
      </c>
      <c r="J81" s="9" t="n">
        <v>30</v>
      </c>
      <c r="K81" s="9" t="n">
        <v>30</v>
      </c>
      <c r="L81" s="9" t="n">
        <v>30</v>
      </c>
      <c r="M81" s="9" t="n">
        <v>30</v>
      </c>
      <c r="N81" s="9" t="n">
        <v>30</v>
      </c>
      <c r="O81" s="9" t="n">
        <v>30</v>
      </c>
      <c r="P81" s="9" t="n">
        <v>30</v>
      </c>
      <c r="Q81" s="9" t="n">
        <v>30</v>
      </c>
      <c r="R81" s="9" t="n">
        <v>30</v>
      </c>
      <c r="S81" s="9" t="n">
        <v>27</v>
      </c>
      <c r="T81" s="9" t="n">
        <v>27</v>
      </c>
      <c r="U81" s="9" t="n">
        <v>27</v>
      </c>
      <c r="V81" s="9" t="n">
        <v>27</v>
      </c>
      <c r="W81" s="9" t="n">
        <v>27</v>
      </c>
      <c r="X81" s="9" t="n">
        <v>27</v>
      </c>
      <c r="Y81" s="9" t="n">
        <v>27</v>
      </c>
      <c r="Z81" s="9" t="n">
        <v>27</v>
      </c>
      <c r="AA81" s="9" t="n">
        <v>27</v>
      </c>
      <c r="AB81" s="9" t="n">
        <v>27</v>
      </c>
      <c r="AC81" s="9" t="n">
        <v>27</v>
      </c>
      <c r="AD81" s="9" t="n">
        <v>27</v>
      </c>
      <c r="AE81" s="9" t="n">
        <v>27</v>
      </c>
      <c r="AF81" s="9" t="n">
        <v>27</v>
      </c>
      <c r="AG81" s="9" t="n">
        <v>27</v>
      </c>
      <c r="AH81" s="9" t="n">
        <v>27</v>
      </c>
      <c r="AI81" s="9" t="n">
        <v>27</v>
      </c>
      <c r="AJ81" s="9" t="n">
        <v>27</v>
      </c>
      <c r="AK81" s="9" t="n">
        <v>27</v>
      </c>
      <c r="AL81" s="9" t="n">
        <v>24</v>
      </c>
      <c r="AM81" s="9" t="n">
        <v>0</v>
      </c>
      <c r="AN81" s="9" t="n">
        <v>0</v>
      </c>
      <c r="AO81" s="9" t="n">
        <v>0</v>
      </c>
      <c r="AP81" s="9" t="n">
        <v>0</v>
      </c>
      <c r="AQ81" s="9" t="n">
        <v>0</v>
      </c>
      <c r="AR81" s="9" t="n">
        <v>0</v>
      </c>
      <c r="AS81" s="9" t="n">
        <v>0</v>
      </c>
      <c r="AT81" s="9" t="n">
        <v>0</v>
      </c>
      <c r="AU81" s="9" t="n">
        <v>0</v>
      </c>
      <c r="AV81" s="9" t="n">
        <v>0</v>
      </c>
      <c r="AW81" s="9" t="n">
        <v>0</v>
      </c>
      <c r="AX81" s="9" t="n">
        <v>0</v>
      </c>
      <c r="AY81" s="9" t="n">
        <v>0</v>
      </c>
      <c r="AZ81" s="9" t="n">
        <v>0</v>
      </c>
      <c r="BA81" s="9" t="n">
        <v>0</v>
      </c>
      <c r="BB81" s="9" t="n">
        <v>0</v>
      </c>
      <c r="BC81" s="9" t="n">
        <v>0</v>
      </c>
      <c r="BD81" s="9" t="n">
        <v>0</v>
      </c>
      <c r="BE81" s="9" t="n">
        <v>0</v>
      </c>
      <c r="BF81" s="9" t="n">
        <v>0</v>
      </c>
      <c r="BG81" s="9" t="n">
        <v>0</v>
      </c>
      <c r="BH81" s="9" t="n">
        <v>0</v>
      </c>
      <c r="BI81" s="9" t="n">
        <v>0</v>
      </c>
      <c r="BJ81" s="9" t="n">
        <v>0</v>
      </c>
      <c r="BK81" s="9" t="n">
        <v>0</v>
      </c>
      <c r="BL81" s="9" t="n">
        <v>0</v>
      </c>
      <c r="BM81" s="9" t="n">
        <v>0</v>
      </c>
      <c r="BN81" s="9" t="n">
        <v>0</v>
      </c>
      <c r="BO81" s="9" t="n">
        <v>0</v>
      </c>
      <c r="BP81" s="9" t="n">
        <v>0</v>
      </c>
      <c r="BQ81" s="9" t="n">
        <v>0</v>
      </c>
      <c r="BR81" s="9" t="n">
        <v>0</v>
      </c>
      <c r="BS81" s="9" t="n">
        <v>0</v>
      </c>
      <c r="BT81" s="9" t="n">
        <v>0</v>
      </c>
      <c r="BU81" s="9" t="n">
        <v>0</v>
      </c>
      <c r="BV81" s="9" t="n">
        <v>0</v>
      </c>
      <c r="BW81" s="9" t="n">
        <v>0</v>
      </c>
      <c r="BX81" s="9" t="n">
        <v>0</v>
      </c>
      <c r="BY81" s="9" t="n">
        <v>0</v>
      </c>
      <c r="BZ81" s="9" t="n">
        <v>0</v>
      </c>
      <c r="CA81" s="9" t="n">
        <v>0</v>
      </c>
      <c r="CB81" s="9" t="n">
        <v>0</v>
      </c>
      <c r="CC81" s="9" t="n">
        <v>0</v>
      </c>
      <c r="CD81" s="9" t="n">
        <v>0</v>
      </c>
      <c r="CE81" s="9" t="n">
        <v>0</v>
      </c>
      <c r="CF81" s="154">
        <f>CD81+IF(NOT(ISBLANK(OFFSET(CF81,0,6))),N(OFFSET(CF81,0,6)),N(OFFSET(CF81,0,7)))-CE81</f>
        <v/>
      </c>
      <c r="CH81" s="19" t="n"/>
      <c r="CJ81" s="19" t="n"/>
      <c r="CK81" s="691" t="n">
        <v>0</v>
      </c>
      <c r="CL81" s="18" t="n">
        <v>0</v>
      </c>
      <c r="CM81" s="18" t="n">
        <v>0</v>
      </c>
      <c r="CN81" s="18" t="n"/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/>
      <c r="DK81" s="18" t="n"/>
      <c r="DL81" s="18" t="n"/>
      <c r="DM81" s="18" t="n"/>
      <c r="DN81" s="18" t="n"/>
      <c r="DO81" s="18" t="n"/>
      <c r="DP81" s="399" t="n"/>
      <c r="DQ81" s="256" t="n"/>
      <c r="DR81" s="18" t="n"/>
      <c r="DS81" s="18" t="n"/>
      <c r="DT81" s="18" t="n"/>
      <c r="DU81" s="18" t="n"/>
      <c r="DV81" s="18" t="n"/>
      <c r="DW81" s="18" t="n"/>
      <c r="DX81" s="18" t="n"/>
      <c r="DY81" s="18" t="n"/>
      <c r="DZ81" s="18" t="n"/>
      <c r="EA81" s="18" t="n"/>
      <c r="EB81" s="18" t="n"/>
      <c r="EC81" s="18" t="n"/>
      <c r="ED81" s="18" t="n"/>
      <c r="EE81" s="18" t="n"/>
      <c r="EF81" s="18" t="n"/>
      <c r="EG81" s="18" t="n"/>
      <c r="EH81" s="18" t="n"/>
      <c r="EI81" s="18" t="n"/>
      <c r="EJ81" s="18" t="n"/>
      <c r="EK81" s="18" t="n"/>
      <c r="EL81" s="18" t="n"/>
      <c r="EM81" s="18" t="n"/>
      <c r="EN81" s="18" t="n"/>
      <c r="EO81" s="18" t="n"/>
      <c r="EP81" s="18" t="n"/>
      <c r="EQ81" s="18" t="n"/>
      <c r="ER81" s="18" t="n"/>
      <c r="ES81" s="18" t="n"/>
      <c r="ET81" s="18" t="n"/>
      <c r="EU81" s="18" t="n"/>
      <c r="EV81" s="18" t="n"/>
      <c r="EW81" s="276" t="n"/>
      <c r="EX81" s="18" t="n"/>
      <c r="EY81" s="18" t="n"/>
      <c r="EZ81" s="18" t="n"/>
      <c r="FA81" s="18" t="n"/>
      <c r="FB81" s="18" t="n"/>
      <c r="FC81" s="18" t="n"/>
      <c r="FD81" s="18" t="n"/>
      <c r="FE81" s="18" t="n"/>
      <c r="FF81" s="18" t="n"/>
      <c r="FG81" s="18" t="n"/>
      <c r="FH81" s="18" t="n"/>
      <c r="FI81" s="18" t="n"/>
      <c r="FJ81" s="276" t="n"/>
      <c r="FK81" s="18" t="n"/>
      <c r="FL81" s="18" t="n"/>
      <c r="FM81" s="18" t="n"/>
      <c r="FN81" s="18" t="n"/>
      <c r="FO81" s="18" t="n"/>
      <c r="FP81" s="276" t="n"/>
      <c r="FQ81" s="18" t="n"/>
      <c r="FR81" s="18" t="n"/>
      <c r="FS81" s="18" t="n"/>
      <c r="FT81" s="18" t="n"/>
      <c r="FU81" s="18" t="n"/>
      <c r="FV81" s="18" t="n"/>
      <c r="FW81" s="18" t="n"/>
      <c r="FX81" s="18" t="n"/>
      <c r="FY81" s="18" t="n"/>
      <c r="FZ81" s="18" t="n"/>
      <c r="GA81" s="18" t="n"/>
      <c r="GB81" s="18" t="n"/>
      <c r="GC81" s="18" t="n"/>
    </row>
    <row r="82" ht="18.75" customHeight="1">
      <c r="A82" s="43" t="inlineStr">
        <is>
          <t>CAIXA M EUDORA</t>
        </is>
      </c>
      <c r="B82" s="149" t="n">
        <v>100</v>
      </c>
      <c r="C82" s="726" t="n">
        <v>365</v>
      </c>
      <c r="D82" s="329" t="n">
        <v>15</v>
      </c>
      <c r="F82" s="9" t="n">
        <v>30</v>
      </c>
      <c r="G82" s="9" t="n">
        <v>30</v>
      </c>
      <c r="H82" s="9" t="n">
        <v>30</v>
      </c>
      <c r="I82" s="9" t="n">
        <v>30</v>
      </c>
      <c r="J82" s="9" t="n">
        <v>30</v>
      </c>
      <c r="K82" s="9" t="n">
        <v>30</v>
      </c>
      <c r="L82" s="9" t="n">
        <v>27</v>
      </c>
      <c r="M82" s="9" t="n">
        <v>27</v>
      </c>
      <c r="N82" s="9" t="n">
        <v>27</v>
      </c>
      <c r="O82" s="9" t="n">
        <v>27</v>
      </c>
      <c r="P82" s="9" t="n">
        <v>21</v>
      </c>
      <c r="Q82" s="9" t="n">
        <v>21</v>
      </c>
      <c r="R82" s="9" t="n">
        <v>21</v>
      </c>
      <c r="S82" s="9" t="n">
        <v>20</v>
      </c>
      <c r="T82" s="9" t="n">
        <v>20</v>
      </c>
      <c r="U82" s="9" t="n">
        <v>20</v>
      </c>
      <c r="V82" s="9" t="n">
        <v>20</v>
      </c>
      <c r="W82" s="9" t="n">
        <v>20</v>
      </c>
      <c r="X82" s="9" t="n">
        <v>20</v>
      </c>
      <c r="Y82" s="9" t="n">
        <v>20</v>
      </c>
      <c r="Z82" s="9" t="n">
        <v>20</v>
      </c>
      <c r="AA82" s="9" t="n">
        <v>20</v>
      </c>
      <c r="AB82" s="9" t="n">
        <v>20</v>
      </c>
      <c r="AC82" s="9" t="n">
        <v>20</v>
      </c>
      <c r="AD82" s="9" t="n">
        <v>20</v>
      </c>
      <c r="AE82" s="9" t="n">
        <v>20</v>
      </c>
      <c r="AF82" s="9" t="n">
        <v>20</v>
      </c>
      <c r="AG82" s="9" t="n">
        <v>20</v>
      </c>
      <c r="AH82" s="9" t="n">
        <v>20</v>
      </c>
      <c r="AI82" s="9" t="n">
        <v>20</v>
      </c>
      <c r="AJ82" s="9" t="n">
        <v>20</v>
      </c>
      <c r="AK82" s="9" t="n">
        <v>20</v>
      </c>
      <c r="AL82" s="9" t="n">
        <v>20</v>
      </c>
      <c r="AM82" s="9" t="n">
        <v>20</v>
      </c>
      <c r="AN82" s="9" t="n">
        <v>20</v>
      </c>
      <c r="AO82" s="9" t="n">
        <v>19</v>
      </c>
      <c r="AP82" s="9" t="n">
        <v>19</v>
      </c>
      <c r="AQ82" s="9" t="n">
        <v>18</v>
      </c>
      <c r="AR82" s="9" t="n">
        <v>18</v>
      </c>
      <c r="AS82" s="9" t="n">
        <v>18</v>
      </c>
      <c r="AT82" s="9" t="n">
        <v>18</v>
      </c>
      <c r="AU82" s="9" t="n">
        <v>18</v>
      </c>
      <c r="AV82" s="9" t="n">
        <v>18</v>
      </c>
      <c r="AW82" s="9" t="n">
        <v>18</v>
      </c>
      <c r="AX82" s="9" t="n">
        <v>18</v>
      </c>
      <c r="AY82" s="9" t="n">
        <v>18</v>
      </c>
      <c r="AZ82" s="9" t="n">
        <v>18</v>
      </c>
      <c r="BA82" s="9" t="n">
        <v>18</v>
      </c>
      <c r="BB82" s="9" t="n">
        <v>18</v>
      </c>
      <c r="BC82" s="9" t="n">
        <v>18</v>
      </c>
      <c r="BD82" s="9" t="n">
        <v>18</v>
      </c>
      <c r="BE82" s="9" t="n">
        <v>16</v>
      </c>
      <c r="BF82" s="9" t="n">
        <v>16</v>
      </c>
      <c r="BG82" s="9" t="n">
        <v>16</v>
      </c>
      <c r="BH82" s="9" t="n">
        <v>15</v>
      </c>
      <c r="BI82" s="9" t="n">
        <v>15</v>
      </c>
      <c r="BJ82" s="9" t="n">
        <v>15</v>
      </c>
      <c r="BK82" s="9" t="n">
        <v>14</v>
      </c>
      <c r="BL82" s="9" t="n">
        <v>11</v>
      </c>
      <c r="BM82" s="9" t="n">
        <v>11</v>
      </c>
      <c r="BN82" s="9" t="n">
        <v>10</v>
      </c>
      <c r="BO82" s="9" t="n">
        <v>10</v>
      </c>
      <c r="BP82" s="9" t="n">
        <v>20</v>
      </c>
      <c r="BQ82" s="9" t="n">
        <v>5</v>
      </c>
      <c r="BR82" s="9" t="n">
        <v>5</v>
      </c>
      <c r="BS82" s="9" t="n">
        <v>5</v>
      </c>
      <c r="BT82" s="9" t="n">
        <v>5</v>
      </c>
      <c r="BU82" s="9" t="n">
        <v>5</v>
      </c>
      <c r="BV82" s="9" t="n">
        <v>5</v>
      </c>
      <c r="BW82" s="9" t="n">
        <v>3</v>
      </c>
      <c r="BX82" s="9" t="n">
        <v>3</v>
      </c>
      <c r="BY82" s="9" t="n">
        <v>3</v>
      </c>
      <c r="BZ82" s="9" t="n">
        <v>3</v>
      </c>
      <c r="CA82" s="9" t="n">
        <v>3</v>
      </c>
      <c r="CB82" s="9" t="n">
        <v>3</v>
      </c>
      <c r="CC82" s="9" t="n">
        <v>3</v>
      </c>
      <c r="CD82" s="9" t="n">
        <v>3</v>
      </c>
      <c r="CE82" s="9" t="n">
        <v>3</v>
      </c>
      <c r="CF82" s="154">
        <f>CD82+IF(NOT(ISBLANK(OFFSET(CF82,0,6))),N(OFFSET(CF82,0,6)),N(OFFSET(CF82,0,7)))-CE82</f>
        <v/>
      </c>
      <c r="CH82" s="19" t="n"/>
      <c r="CJ82" s="19" t="n"/>
      <c r="CK82" s="691" t="n">
        <v>0</v>
      </c>
      <c r="CL82" s="18" t="n">
        <v>0</v>
      </c>
      <c r="CM82" s="18" t="n">
        <v>0</v>
      </c>
      <c r="CN82" s="18" t="n"/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18" t="n"/>
      <c r="DM82" s="18" t="n"/>
      <c r="DN82" s="18" t="n"/>
      <c r="DO82" s="18" t="n"/>
      <c r="DP82" s="399" t="n"/>
      <c r="DQ82" s="256" t="n"/>
      <c r="DR82" s="18" t="n"/>
      <c r="DS82" s="18" t="n"/>
      <c r="DT82" s="18" t="n"/>
      <c r="DU82" s="18" t="n"/>
      <c r="DV82" s="18" t="n"/>
      <c r="DW82" s="18" t="n"/>
      <c r="DX82" s="18" t="n"/>
      <c r="DY82" s="18" t="n"/>
      <c r="DZ82" s="18" t="n"/>
      <c r="EA82" s="18" t="n"/>
      <c r="EB82" s="18" t="n"/>
      <c r="EC82" s="18" t="n"/>
      <c r="ED82" s="18" t="n"/>
      <c r="EE82" s="18" t="n"/>
      <c r="EF82" s="18" t="n"/>
      <c r="EG82" s="18" t="n"/>
      <c r="EH82" s="18" t="n"/>
      <c r="EI82" s="18" t="n"/>
      <c r="EJ82" s="18" t="n"/>
      <c r="EK82" s="18" t="n"/>
      <c r="EL82" s="18" t="n"/>
      <c r="EM82" s="18" t="n"/>
      <c r="EN82" s="18" t="n"/>
      <c r="EO82" s="18" t="n"/>
      <c r="EP82" s="18" t="n"/>
      <c r="EQ82" s="18" t="n"/>
      <c r="ER82" s="18" t="n"/>
      <c r="ES82" s="18" t="n"/>
      <c r="ET82" s="18" t="n"/>
      <c r="EU82" s="18" t="n"/>
      <c r="EV82" s="18" t="n"/>
      <c r="EW82" s="276" t="n"/>
      <c r="EX82" s="18" t="n"/>
      <c r="EY82" s="18" t="n"/>
      <c r="EZ82" s="18" t="n"/>
      <c r="FA82" s="18" t="n"/>
      <c r="FB82" s="18" t="n"/>
      <c r="FC82" s="18" t="n"/>
      <c r="FD82" s="18" t="n"/>
      <c r="FE82" s="18" t="n"/>
      <c r="FF82" s="18" t="n"/>
      <c r="FG82" s="18" t="n"/>
      <c r="FH82" s="18" t="n"/>
      <c r="FI82" s="18" t="n"/>
      <c r="FJ82" s="276" t="n"/>
      <c r="FK82" s="18" t="n"/>
      <c r="FL82" s="18" t="n"/>
      <c r="FM82" s="18" t="n"/>
      <c r="FN82" s="18" t="n"/>
      <c r="FO82" s="18" t="n"/>
      <c r="FP82" s="276" t="n"/>
      <c r="FQ82" s="18" t="n"/>
      <c r="FR82" s="18" t="n"/>
      <c r="FS82" s="18" t="n"/>
      <c r="FT82" s="18" t="n"/>
      <c r="FU82" s="18" t="n"/>
      <c r="FV82" s="18" t="n"/>
      <c r="FW82" s="18" t="n"/>
      <c r="FX82" s="18" t="n"/>
      <c r="FY82" s="18" t="n"/>
      <c r="FZ82" s="18" t="n"/>
      <c r="GA82" s="18" t="n"/>
      <c r="GB82" s="18" t="n"/>
      <c r="GC82" s="18" t="n"/>
    </row>
    <row r="83" ht="18.75" customHeight="1">
      <c r="A83" s="43" t="inlineStr">
        <is>
          <t>CAIXA G EUDORA</t>
        </is>
      </c>
      <c r="B83" s="149" t="n">
        <v>75</v>
      </c>
      <c r="C83" s="726" t="n">
        <v>438.75</v>
      </c>
      <c r="D83" s="329" t="n">
        <v>5</v>
      </c>
      <c r="F83" s="9" t="n">
        <v>15</v>
      </c>
      <c r="G83" s="9" t="n">
        <v>15</v>
      </c>
      <c r="H83" s="9" t="n">
        <v>15</v>
      </c>
      <c r="I83" s="9" t="n">
        <v>15</v>
      </c>
      <c r="J83" s="9" t="n">
        <v>15</v>
      </c>
      <c r="K83" s="9" t="n">
        <v>15</v>
      </c>
      <c r="L83" s="9" t="n">
        <v>15</v>
      </c>
      <c r="M83" s="9" t="n">
        <v>15</v>
      </c>
      <c r="N83" s="9" t="n">
        <v>15</v>
      </c>
      <c r="O83" s="9" t="n">
        <v>15</v>
      </c>
      <c r="P83" s="9" t="n">
        <v>15</v>
      </c>
      <c r="Q83" s="9" t="n">
        <v>15</v>
      </c>
      <c r="R83" s="9" t="n">
        <v>15</v>
      </c>
      <c r="S83" s="9" t="n">
        <v>15</v>
      </c>
      <c r="T83" s="9" t="n">
        <v>15</v>
      </c>
      <c r="U83" s="9" t="n">
        <v>15</v>
      </c>
      <c r="V83" s="9" t="n">
        <v>15</v>
      </c>
      <c r="W83" s="9" t="n">
        <v>15</v>
      </c>
      <c r="X83" s="9" t="n">
        <v>15</v>
      </c>
      <c r="Y83" s="9" t="n">
        <v>15</v>
      </c>
      <c r="Z83" s="9" t="n">
        <v>15</v>
      </c>
      <c r="AA83" s="9" t="n">
        <v>15</v>
      </c>
      <c r="AB83" s="9" t="n">
        <v>15</v>
      </c>
      <c r="AC83" s="9" t="n">
        <v>15</v>
      </c>
      <c r="AD83" s="9" t="n">
        <v>15</v>
      </c>
      <c r="AE83" s="9" t="n">
        <v>15</v>
      </c>
      <c r="AF83" s="9" t="n">
        <v>15</v>
      </c>
      <c r="AG83" s="9" t="n">
        <v>15</v>
      </c>
      <c r="AH83" s="9" t="n">
        <v>15</v>
      </c>
      <c r="AI83" s="9" t="n">
        <v>15</v>
      </c>
      <c r="AJ83" s="9" t="n">
        <v>15</v>
      </c>
      <c r="AK83" s="9" t="n">
        <v>15</v>
      </c>
      <c r="AL83" s="9" t="n">
        <v>15</v>
      </c>
      <c r="AM83" s="9" t="n">
        <v>15</v>
      </c>
      <c r="AN83" s="9" t="n">
        <v>15</v>
      </c>
      <c r="AO83" s="9" t="n">
        <v>15</v>
      </c>
      <c r="AP83" s="9" t="n">
        <v>15</v>
      </c>
      <c r="AQ83" s="9" t="n">
        <v>15</v>
      </c>
      <c r="AR83" s="9" t="n">
        <v>15</v>
      </c>
      <c r="AS83" s="9" t="n">
        <v>15</v>
      </c>
      <c r="AT83" s="9" t="n">
        <v>15</v>
      </c>
      <c r="AU83" s="9" t="n">
        <v>15</v>
      </c>
      <c r="AV83" s="9" t="n">
        <v>10</v>
      </c>
      <c r="AW83" s="9" t="n">
        <v>10</v>
      </c>
      <c r="AX83" s="9" t="n">
        <v>10</v>
      </c>
      <c r="AY83" s="9" t="n">
        <v>10</v>
      </c>
      <c r="AZ83" s="9" t="n">
        <v>10</v>
      </c>
      <c r="BA83" s="9" t="n">
        <v>10</v>
      </c>
      <c r="BB83" s="9" t="n">
        <v>10</v>
      </c>
      <c r="BC83" s="9" t="n">
        <v>10</v>
      </c>
      <c r="BD83" s="9" t="n">
        <v>10</v>
      </c>
      <c r="BE83" s="9" t="n">
        <v>10</v>
      </c>
      <c r="BF83" s="9" t="n">
        <v>10</v>
      </c>
      <c r="BG83" s="9" t="n">
        <v>10</v>
      </c>
      <c r="BH83" s="9" t="n">
        <v>10</v>
      </c>
      <c r="BI83" s="9" t="n">
        <v>10</v>
      </c>
      <c r="BJ83" s="9" t="n">
        <v>10</v>
      </c>
      <c r="BK83" s="9" t="n">
        <v>10</v>
      </c>
      <c r="BL83" s="9" t="n">
        <v>10</v>
      </c>
      <c r="BM83" s="9" t="n">
        <v>10</v>
      </c>
      <c r="BN83" s="9" t="n">
        <v>10</v>
      </c>
      <c r="BO83" s="9" t="n">
        <v>10</v>
      </c>
      <c r="BP83" s="9" t="n">
        <v>10</v>
      </c>
      <c r="BQ83" s="9" t="n">
        <v>10</v>
      </c>
      <c r="BR83" s="9" t="n">
        <v>10</v>
      </c>
      <c r="BS83" s="9" t="n">
        <v>9</v>
      </c>
      <c r="BT83" s="9" t="n">
        <v>9</v>
      </c>
      <c r="BU83" s="9" t="n">
        <v>9</v>
      </c>
      <c r="BV83" s="9" t="n">
        <v>9</v>
      </c>
      <c r="BW83" s="9" t="n">
        <v>9</v>
      </c>
      <c r="BX83" s="9" t="n">
        <v>9</v>
      </c>
      <c r="BY83" s="9" t="n">
        <v>9</v>
      </c>
      <c r="BZ83" s="9" t="n">
        <v>9</v>
      </c>
      <c r="CA83" s="9" t="n">
        <v>9</v>
      </c>
      <c r="CB83" s="9" t="n">
        <v>9</v>
      </c>
      <c r="CC83" s="9" t="n">
        <v>9</v>
      </c>
      <c r="CD83" s="9" t="n">
        <v>9</v>
      </c>
      <c r="CE83" s="9" t="n">
        <v>9</v>
      </c>
      <c r="CF83" s="154">
        <f>CD83+IF(NOT(ISBLANK(OFFSET(CF83,0,6))),N(OFFSET(CF83,0,6)),N(OFFSET(CF83,0,7)))-CE83</f>
        <v/>
      </c>
      <c r="CH83" s="19" t="n"/>
      <c r="CJ83" s="19" t="n"/>
      <c r="CK83" s="691" t="n">
        <v>0</v>
      </c>
      <c r="CL83" s="18" t="n">
        <v>0</v>
      </c>
      <c r="CM83" s="18" t="n">
        <v>0</v>
      </c>
      <c r="CN83" s="18" t="n"/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18" t="n"/>
      <c r="DM83" s="18" t="n"/>
      <c r="DN83" s="18" t="n"/>
      <c r="DO83" s="18" t="n"/>
      <c r="DP83" s="399" t="n"/>
      <c r="DQ83" s="256" t="n"/>
      <c r="DR83" s="18" t="n"/>
    </row>
    <row r="84">
      <c r="A84" s="31" t="n"/>
      <c r="B84" s="53" t="n"/>
      <c r="C84" s="53" t="n"/>
      <c r="E84" s="53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  <c r="AA84" s="4" t="n"/>
      <c r="AB84" s="4" t="n"/>
      <c r="AC84" s="4" t="n"/>
      <c r="AD84" s="4" t="n"/>
      <c r="AE84" s="4" t="n"/>
      <c r="AF84" s="4" t="n"/>
      <c r="AG84" s="4" t="n"/>
      <c r="AH84" s="4" t="n"/>
      <c r="AI84" s="4" t="n"/>
      <c r="AJ84" s="4" t="n"/>
      <c r="AK84" s="4" t="n"/>
      <c r="AL84" s="4" t="n"/>
      <c r="AM84" s="4" t="n"/>
      <c r="AN84" s="4" t="n"/>
      <c r="AO84" s="4" t="n"/>
      <c r="AP84" s="4" t="n"/>
      <c r="AQ84" s="4" t="n"/>
      <c r="AR84" s="4" t="n"/>
      <c r="AS84" s="4" t="n"/>
      <c r="AT84" s="4" t="n"/>
      <c r="AU84" s="4" t="n"/>
      <c r="AV84" s="4" t="n"/>
      <c r="AW84" s="4" t="n"/>
      <c r="AX84" s="4" t="n"/>
      <c r="AY84" s="4" t="n"/>
      <c r="AZ84" s="4" t="n"/>
      <c r="BA84" s="4" t="n"/>
      <c r="BB84" s="4" t="n"/>
      <c r="BC84" s="4" t="n"/>
      <c r="BD84" s="4" t="n"/>
      <c r="BE84" s="4" t="n"/>
      <c r="BF84" s="4" t="n"/>
      <c r="BG84" s="4" t="n"/>
      <c r="BH84" s="4" t="n"/>
      <c r="BI84" s="4" t="n"/>
      <c r="BJ84" s="4" t="n"/>
      <c r="BK84" s="4" t="n"/>
      <c r="BL84" s="4" t="n"/>
      <c r="BM84" s="4" t="n"/>
      <c r="BN84" s="4" t="n"/>
      <c r="BO84" s="4" t="n"/>
      <c r="BP84" s="4" t="n"/>
      <c r="BQ84" s="4" t="n"/>
      <c r="BR84" s="4" t="n"/>
      <c r="BS84" s="4" t="n"/>
      <c r="BT84" s="4" t="n"/>
      <c r="BU84" s="4" t="n"/>
      <c r="BV84" s="4" t="n"/>
      <c r="BW84" s="4" t="n"/>
      <c r="BX84" s="4" t="n"/>
      <c r="BY84" s="4" t="n"/>
      <c r="BZ84" s="4" t="n"/>
      <c r="CA84" s="4" t="n"/>
      <c r="CB84" s="4" t="n"/>
      <c r="CC84" s="2" t="n"/>
      <c r="CD84" s="2" t="n"/>
      <c r="CE84" s="2" t="n"/>
      <c r="CF84" s="53" t="n"/>
      <c r="CH84" s="69" t="n"/>
      <c r="DQ84" s="271" t="n"/>
      <c r="FT84" s="314" t="n"/>
      <c r="FU84" s="314" t="n"/>
      <c r="FX84" s="314" t="n"/>
    </row>
    <row r="85">
      <c r="A85" s="374" t="inlineStr">
        <is>
          <t>HARRY POTTER/25</t>
        </is>
      </c>
      <c r="B85" s="375" t="inlineStr">
        <is>
          <t>PC</t>
        </is>
      </c>
      <c r="C85" s="375" t="inlineStr">
        <is>
          <t>R$</t>
        </is>
      </c>
      <c r="D85" s="375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  <c r="AA85" s="4" t="n"/>
      <c r="AB85" s="4" t="n"/>
      <c r="AC85" s="4" t="n"/>
      <c r="AD85" s="4" t="n"/>
      <c r="AE85" s="4" t="n"/>
      <c r="AF85" s="4" t="n"/>
      <c r="AG85" s="4" t="n"/>
      <c r="AH85" s="4" t="n"/>
      <c r="AI85" s="4" t="n"/>
      <c r="AJ85" s="4" t="n"/>
      <c r="AK85" s="650" t="n">
        <v>45873</v>
      </c>
      <c r="AL85" s="650" t="n">
        <v>45880</v>
      </c>
      <c r="AM85" s="650" t="n">
        <v>45887</v>
      </c>
      <c r="AN85" s="650" t="n">
        <v>45894</v>
      </c>
      <c r="AO85" s="650" t="n">
        <v>45901</v>
      </c>
      <c r="AP85" s="650" t="n">
        <v>45908</v>
      </c>
      <c r="AQ85" s="650" t="n">
        <v>45915</v>
      </c>
      <c r="AR85" s="650" t="n">
        <v>45922</v>
      </c>
      <c r="AS85" s="650" t="n">
        <v>45929</v>
      </c>
      <c r="AT85" s="650" t="n">
        <v>45936</v>
      </c>
      <c r="AU85" s="650" t="n">
        <v>45943</v>
      </c>
      <c r="AV85" s="650" t="n">
        <v>45950</v>
      </c>
      <c r="AW85" s="650" t="n">
        <v>45957</v>
      </c>
      <c r="AX85" s="650" t="n">
        <v>45964</v>
      </c>
      <c r="AY85" s="650" t="n">
        <v>45971</v>
      </c>
      <c r="AZ85" s="650" t="n">
        <v>45978</v>
      </c>
      <c r="BA85" s="650" t="n">
        <v>45985</v>
      </c>
      <c r="BB85" s="650" t="n">
        <v>45992</v>
      </c>
      <c r="BC85" s="650" t="n">
        <v>45999</v>
      </c>
      <c r="BD85" s="650" t="n">
        <v>46006</v>
      </c>
      <c r="BE85" s="650" t="n">
        <v>46013</v>
      </c>
      <c r="BF85" s="650" t="n">
        <v>46020</v>
      </c>
      <c r="BG85" s="650" t="n">
        <v>46027</v>
      </c>
      <c r="BH85" s="650" t="n">
        <v>46034</v>
      </c>
      <c r="BI85" s="650" t="n">
        <v>46041</v>
      </c>
      <c r="BJ85" s="650" t="n">
        <v>46048</v>
      </c>
      <c r="BK85" s="650" t="n">
        <v>46055</v>
      </c>
      <c r="BL85" s="650" t="n">
        <v>46062</v>
      </c>
      <c r="BM85" s="650" t="n">
        <v>46069</v>
      </c>
      <c r="BN85" s="650" t="n">
        <v>46076</v>
      </c>
      <c r="BO85" s="650" t="n">
        <v>46083</v>
      </c>
      <c r="BP85" s="650" t="n">
        <v>46090</v>
      </c>
      <c r="BQ85" s="650" t="n">
        <v>46097</v>
      </c>
      <c r="BR85" s="650" t="n">
        <v>46104</v>
      </c>
      <c r="BS85" s="650" t="n">
        <v>46111</v>
      </c>
      <c r="BT85" s="650" t="n">
        <v>46118</v>
      </c>
      <c r="BU85" s="650" t="n">
        <v>46125</v>
      </c>
      <c r="BV85" s="650" t="n">
        <v>46132</v>
      </c>
      <c r="BW85" s="650" t="n">
        <v>46139</v>
      </c>
      <c r="BX85" s="650" t="n">
        <v>46146</v>
      </c>
      <c r="BY85" s="650" t="n">
        <v>46154</v>
      </c>
      <c r="BZ85" s="650" t="n">
        <v>46160</v>
      </c>
      <c r="CA85" s="650" t="n">
        <v>46160</v>
      </c>
      <c r="CB85" s="650" t="n">
        <v>46160</v>
      </c>
      <c r="CC85" s="651" t="n">
        <v>46161.4800428125</v>
      </c>
      <c r="CD85" s="651" t="n">
        <v>46161.48072087963</v>
      </c>
      <c r="CE85" s="651" t="n">
        <v>46161.48287954508</v>
      </c>
      <c r="CF85" s="660" t="inlineStr">
        <is>
          <t>USOU</t>
        </is>
      </c>
      <c r="DQ85" s="271" t="n"/>
      <c r="FT85" s="314" t="n"/>
      <c r="FU85" s="314" t="n"/>
      <c r="FX85" s="314" t="n"/>
    </row>
    <row r="86">
      <c r="A86" s="33" t="inlineStr">
        <is>
          <t>SACOLA G HP/25</t>
        </is>
      </c>
      <c r="B86" s="9" t="n">
        <v>100</v>
      </c>
      <c r="C86" s="662" t="n">
        <v>316</v>
      </c>
      <c r="D86" s="32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  <c r="AA86" s="4" t="n"/>
      <c r="AB86" s="4" t="n"/>
      <c r="AC86" s="4" t="n"/>
      <c r="AD86" s="4" t="n"/>
      <c r="AE86" s="4" t="n"/>
      <c r="AF86" s="4" t="n"/>
      <c r="AG86" s="4" t="n"/>
      <c r="AH86" s="4" t="n"/>
      <c r="AI86" s="4" t="n"/>
      <c r="AJ86" s="4" t="n"/>
      <c r="AK86" s="38" t="n">
        <v>0</v>
      </c>
      <c r="AL86" s="38" t="n">
        <v>0</v>
      </c>
      <c r="AM86" s="38" t="n">
        <v>0</v>
      </c>
      <c r="AN86" s="38">
        <f>0+40</f>
        <v/>
      </c>
      <c r="AO86" s="38" t="n">
        <v>40</v>
      </c>
      <c r="AP86" s="38" t="n">
        <v>36</v>
      </c>
      <c r="AQ86" s="38" t="n">
        <v>24</v>
      </c>
      <c r="AR86" s="38" t="n"/>
      <c r="AS86" s="38" t="n"/>
      <c r="AT86" s="38" t="n"/>
      <c r="AU86" s="38" t="n"/>
      <c r="AV86" s="38" t="n"/>
      <c r="AW86" s="38" t="n"/>
      <c r="AX86" s="38" t="n"/>
      <c r="AY86" s="38" t="n"/>
      <c r="AZ86" s="38" t="n"/>
      <c r="BA86" s="38" t="n">
        <v>20</v>
      </c>
      <c r="BB86" s="38" t="n">
        <v>20</v>
      </c>
      <c r="BC86" s="38" t="n">
        <v>16</v>
      </c>
      <c r="BD86" s="38" t="n">
        <v>16</v>
      </c>
      <c r="BE86" s="38" t="n">
        <v>16</v>
      </c>
      <c r="BF86" s="38" t="n">
        <v>16</v>
      </c>
      <c r="BG86" s="38" t="n">
        <v>16</v>
      </c>
      <c r="BH86" s="38" t="n">
        <v>16</v>
      </c>
      <c r="BI86" s="38" t="n">
        <v>16</v>
      </c>
      <c r="BJ86" s="38" t="n">
        <v>16</v>
      </c>
      <c r="BK86" s="38" t="n">
        <v>16</v>
      </c>
      <c r="BL86" s="38" t="n">
        <v>16</v>
      </c>
      <c r="BM86" s="38" t="n">
        <v>16</v>
      </c>
      <c r="BN86" s="38" t="n">
        <v>16</v>
      </c>
      <c r="BO86" s="38" t="n">
        <v>16</v>
      </c>
      <c r="BP86" s="38" t="n">
        <v>16</v>
      </c>
      <c r="BQ86" s="38" t="n">
        <v>16</v>
      </c>
      <c r="BR86" s="38" t="n">
        <v>16</v>
      </c>
      <c r="BS86" s="38" t="n">
        <v>16</v>
      </c>
      <c r="BT86" s="38" t="n"/>
      <c r="BU86" s="38" t="n"/>
      <c r="BV86" s="38" t="n"/>
      <c r="BW86" s="38" t="n">
        <v>0</v>
      </c>
      <c r="BX86" s="38" t="n">
        <v>0</v>
      </c>
      <c r="BY86" s="38" t="n">
        <v>0</v>
      </c>
      <c r="BZ86" s="38" t="n">
        <v>0</v>
      </c>
      <c r="CA86" s="38" t="n"/>
      <c r="CB86" s="38" t="n"/>
      <c r="CC86" s="9" t="n"/>
      <c r="CD86" s="9" t="n"/>
      <c r="CE86" s="9" t="n"/>
      <c r="CF86" s="246">
        <f>CD86+IF(NOT(ISBLANK(OFFSET(CF86,0,6))),N(OFFSET(CF86,0,6)),N(OFFSET(CF86,0,7)))-CE86</f>
        <v/>
      </c>
      <c r="DQ86" s="271" t="n"/>
      <c r="FT86" s="314" t="n"/>
      <c r="FU86" s="314" t="n"/>
      <c r="FX86" s="314" t="n"/>
    </row>
    <row r="87" hidden="1">
      <c r="A87" s="33" t="inlineStr">
        <is>
          <t>TAG HP/25</t>
        </is>
      </c>
      <c r="B87" s="9" t="n">
        <v>100</v>
      </c>
      <c r="C87" s="662" t="n">
        <v>41</v>
      </c>
      <c r="D87" s="32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  <c r="AA87" s="4" t="n"/>
      <c r="AB87" s="4" t="n"/>
      <c r="AC87" s="4" t="n"/>
      <c r="AD87" s="4" t="n"/>
      <c r="AE87" s="4" t="n"/>
      <c r="AF87" s="4" t="n"/>
      <c r="AG87" s="4" t="n"/>
      <c r="AH87" s="4" t="n"/>
      <c r="AI87" s="4" t="n"/>
      <c r="AJ87" s="4" t="n"/>
      <c r="AK87" s="38" t="n">
        <v>0</v>
      </c>
      <c r="AL87" s="38" t="n">
        <v>0</v>
      </c>
      <c r="AM87" s="38" t="n">
        <v>0</v>
      </c>
      <c r="AN87" s="38">
        <f>0+40</f>
        <v/>
      </c>
      <c r="AO87" s="38" t="n">
        <v>40</v>
      </c>
      <c r="AP87" s="38" t="n">
        <v>36</v>
      </c>
      <c r="AQ87" s="38" t="n">
        <v>26</v>
      </c>
      <c r="AR87" s="38" t="n"/>
      <c r="AS87" s="38" t="n"/>
      <c r="AT87" s="38" t="n"/>
      <c r="AU87" s="38" t="n"/>
      <c r="AV87" s="38" t="n"/>
      <c r="AW87" s="38" t="n"/>
      <c r="AX87" s="38" t="n"/>
      <c r="AY87" s="38" t="n"/>
      <c r="AZ87" s="38" t="n"/>
      <c r="BA87" s="38" t="n">
        <v>0</v>
      </c>
      <c r="BB87" s="38" t="n">
        <v>0</v>
      </c>
      <c r="BC87" s="38" t="n">
        <v>0</v>
      </c>
      <c r="BD87" s="38" t="n">
        <v>0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38" t="n"/>
      <c r="BM87" s="38" t="n">
        <v>20</v>
      </c>
      <c r="BN87" s="38" t="n"/>
      <c r="BO87" s="38" t="n"/>
      <c r="BP87" s="38" t="n"/>
      <c r="BQ87" s="38" t="n"/>
      <c r="BR87" s="38" t="n"/>
      <c r="BS87" s="38" t="n"/>
      <c r="BT87" s="38" t="n"/>
      <c r="BU87" s="38" t="n"/>
      <c r="BV87" s="38" t="n"/>
      <c r="BW87" s="38" t="n"/>
      <c r="BX87" s="38" t="n"/>
      <c r="BY87" s="38" t="n"/>
      <c r="BZ87" s="38" t="n"/>
      <c r="CA87" s="38" t="n"/>
      <c r="CB87" s="38" t="n"/>
      <c r="CC87" s="9" t="n"/>
      <c r="CD87" s="9" t="n"/>
      <c r="CE87" s="9" t="n"/>
      <c r="CF87" s="246">
        <f>CD87+IF(NOT(ISBLANK(OFFSET(CF87,0,6))),N(OFFSET(CF87,0,6)),N(OFFSET(CF87,0,7)))-CE87</f>
        <v/>
      </c>
      <c r="DQ87" s="271" t="n"/>
      <c r="FT87" s="314" t="n"/>
      <c r="FU87" s="314" t="n"/>
      <c r="FX87" s="314" t="n"/>
    </row>
    <row r="88" ht="18.75" customHeight="1">
      <c r="A88" s="33" t="inlineStr">
        <is>
          <t>CARTUCHO P HP/25</t>
        </is>
      </c>
      <c r="B88" s="9" t="n">
        <v>150</v>
      </c>
      <c r="C88" s="662" t="n">
        <v>478.5</v>
      </c>
      <c r="D88" s="32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  <c r="AA88" s="4" t="n"/>
      <c r="AB88" s="4" t="n"/>
      <c r="AC88" s="4" t="n"/>
      <c r="AD88" s="4" t="n"/>
      <c r="AE88" s="4" t="n"/>
      <c r="AF88" s="4" t="n"/>
      <c r="AG88" s="4" t="n"/>
      <c r="AH88" s="4" t="n"/>
      <c r="AI88" s="4" t="n"/>
      <c r="AJ88" s="4" t="n"/>
      <c r="AK88" s="38" t="n">
        <v>0</v>
      </c>
      <c r="AL88" s="38" t="n">
        <v>0</v>
      </c>
      <c r="AM88" s="38" t="n">
        <v>0</v>
      </c>
      <c r="AN88" s="38">
        <f>0+25</f>
        <v/>
      </c>
      <c r="AO88" s="38" t="n">
        <v>25</v>
      </c>
      <c r="AP88" s="38" t="n">
        <v>24</v>
      </c>
      <c r="AQ88" s="38" t="n">
        <v>21</v>
      </c>
      <c r="AR88" s="38" t="n"/>
      <c r="AS88" s="38" t="n"/>
      <c r="AT88" s="38" t="n"/>
      <c r="AU88" s="38" t="n"/>
      <c r="AV88" s="38" t="n"/>
      <c r="AW88" s="38" t="n"/>
      <c r="AX88" s="38" t="n"/>
      <c r="AY88" s="38" t="n"/>
      <c r="AZ88" s="38" t="n"/>
      <c r="BA88" s="38" t="n">
        <v>20</v>
      </c>
      <c r="BB88" s="38" t="n">
        <v>20</v>
      </c>
      <c r="BC88" s="38" t="n">
        <v>20</v>
      </c>
      <c r="BD88" s="38" t="n">
        <v>20</v>
      </c>
      <c r="BE88" s="38" t="n">
        <v>20</v>
      </c>
      <c r="BF88" s="38" t="n">
        <v>20</v>
      </c>
      <c r="BG88" s="38" t="n">
        <v>20</v>
      </c>
      <c r="BH88" s="38" t="n">
        <v>20</v>
      </c>
      <c r="BI88" s="38" t="n">
        <v>20</v>
      </c>
      <c r="BJ88" s="38" t="n">
        <v>20</v>
      </c>
      <c r="BK88" s="38" t="n">
        <v>20</v>
      </c>
      <c r="BL88" s="38" t="n">
        <v>20</v>
      </c>
      <c r="BM88" s="38" t="n">
        <v>20</v>
      </c>
      <c r="BN88" s="38" t="n">
        <v>20</v>
      </c>
      <c r="BO88" s="38" t="n">
        <v>20</v>
      </c>
      <c r="BP88" s="38" t="n">
        <v>20</v>
      </c>
      <c r="BQ88" s="38" t="n">
        <v>20</v>
      </c>
      <c r="BR88" s="38" t="n">
        <v>20</v>
      </c>
      <c r="BS88" s="38" t="n">
        <v>20</v>
      </c>
      <c r="BT88" s="38" t="n"/>
      <c r="BU88" s="38" t="n"/>
      <c r="BV88" s="38" t="n"/>
      <c r="BW88" s="38" t="n">
        <v>10</v>
      </c>
      <c r="BX88" s="38" t="n">
        <v>10</v>
      </c>
      <c r="BY88" s="38" t="n">
        <v>10</v>
      </c>
      <c r="BZ88" s="38" t="n">
        <v>10</v>
      </c>
      <c r="CA88" s="38" t="n">
        <v>10</v>
      </c>
      <c r="CB88" s="38" t="n">
        <v>0</v>
      </c>
      <c r="CC88" s="9" t="n">
        <v>0</v>
      </c>
      <c r="CD88" s="9" t="n">
        <v>0</v>
      </c>
      <c r="CE88" s="9" t="n">
        <v>0</v>
      </c>
      <c r="CF88" s="246">
        <f>CD88+IF(NOT(ISBLANK(OFFSET(CF88,0,6))),N(OFFSET(CF88,0,6)),N(OFFSET(CF88,0,7)))-CE88</f>
        <v/>
      </c>
      <c r="DQ88" s="271" t="n"/>
    </row>
    <row r="89" ht="18.75" customHeight="1">
      <c r="A89" s="31" t="n"/>
      <c r="B89" s="53" t="n"/>
      <c r="C89" s="53" t="n"/>
      <c r="E89" s="53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  <c r="AA89" s="4" t="n"/>
      <c r="AB89" s="4" t="n"/>
      <c r="AC89" s="4" t="n"/>
      <c r="AD89" s="4" t="n"/>
      <c r="AE89" s="4" t="n"/>
      <c r="AF89" s="4" t="n"/>
      <c r="AG89" s="4" t="n"/>
      <c r="AH89" s="4" t="n"/>
      <c r="AI89" s="4" t="n"/>
      <c r="AJ89" s="4" t="n"/>
      <c r="AK89" s="4" t="n"/>
      <c r="AL89" s="4" t="n"/>
      <c r="AM89" s="4" t="n"/>
      <c r="AN89" s="4" t="n"/>
      <c r="AO89" s="4" t="n"/>
      <c r="AP89" s="4" t="n"/>
      <c r="AQ89" s="4" t="n"/>
      <c r="AR89" s="4" t="n"/>
      <c r="AS89" s="4" t="n"/>
      <c r="AT89" s="4" t="n"/>
      <c r="AU89" s="4" t="n"/>
      <c r="AV89" s="4" t="n"/>
      <c r="AW89" s="4" t="n"/>
      <c r="AX89" s="4" t="n"/>
      <c r="AY89" s="4" t="n"/>
      <c r="AZ89" s="4" t="n"/>
      <c r="BA89" s="4" t="n"/>
      <c r="BB89" s="4" t="n"/>
      <c r="BC89" s="4" t="n"/>
      <c r="BD89" s="4" t="n"/>
      <c r="BE89" s="4" t="n"/>
      <c r="BF89" s="4" t="n"/>
      <c r="BG89" s="4" t="n"/>
      <c r="BH89" s="4" t="n"/>
      <c r="BI89" s="4" t="n"/>
      <c r="BJ89" s="4" t="n"/>
      <c r="BK89" s="4" t="n"/>
      <c r="BL89" s="4" t="n"/>
      <c r="BM89" s="4" t="n"/>
      <c r="BN89" s="4" t="n"/>
      <c r="BO89" s="4" t="n"/>
      <c r="BP89" s="4" t="n"/>
      <c r="BQ89" s="4" t="n"/>
      <c r="BR89" s="4" t="n"/>
      <c r="BS89" s="4" t="n"/>
      <c r="BT89" s="4" t="n"/>
      <c r="BU89" s="4" t="n"/>
      <c r="BV89" s="4" t="n"/>
      <c r="BW89" s="4" t="n"/>
      <c r="BX89" s="4" t="n"/>
      <c r="BY89" s="4" t="n"/>
      <c r="BZ89" s="4" t="n"/>
      <c r="CA89" s="4" t="n"/>
      <c r="CB89" s="4" t="n"/>
      <c r="CC89" s="2" t="n"/>
      <c r="CD89" s="2" t="n"/>
      <c r="CE89" s="2" t="n"/>
      <c r="CF89" s="53" t="n"/>
      <c r="CH89" s="69" t="n"/>
      <c r="DQ89" s="271" t="n"/>
    </row>
    <row r="90" ht="18.75" customHeight="1">
      <c r="A90" s="406" t="inlineStr">
        <is>
          <t>HOMEM ARANHA/25</t>
        </is>
      </c>
      <c r="B90" s="407" t="inlineStr">
        <is>
          <t>PC</t>
        </is>
      </c>
      <c r="C90" s="407" t="inlineStr">
        <is>
          <t>R$</t>
        </is>
      </c>
      <c r="D90" s="407" t="n"/>
      <c r="E90" s="53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  <c r="AA90" s="4" t="n"/>
      <c r="AB90" s="4" t="n"/>
      <c r="AC90" s="4" t="n"/>
      <c r="AD90" s="4" t="n"/>
      <c r="AE90" s="4" t="n"/>
      <c r="AF90" s="4" t="n"/>
      <c r="AG90" s="4" t="n"/>
      <c r="AH90" s="4" t="n"/>
      <c r="AI90" s="4" t="n"/>
      <c r="AJ90" s="4" t="n"/>
      <c r="AK90" s="4" t="n"/>
      <c r="AL90" s="4" t="n"/>
      <c r="AM90" s="4" t="n"/>
      <c r="AN90" s="4" t="n"/>
      <c r="AO90" s="4" t="n"/>
      <c r="AP90" s="4" t="n"/>
      <c r="AQ90" s="4" t="n"/>
      <c r="AR90" s="4" t="n"/>
      <c r="AS90" s="4" t="n"/>
      <c r="AT90" s="4" t="n"/>
      <c r="AU90" s="4" t="n"/>
      <c r="AV90" s="4" t="n"/>
      <c r="AW90" s="4" t="n"/>
      <c r="AX90" s="4" t="n"/>
      <c r="AY90" s="650" t="n">
        <v>45971</v>
      </c>
      <c r="AZ90" s="650" t="n">
        <v>45978</v>
      </c>
      <c r="BA90" s="650" t="n">
        <v>45985</v>
      </c>
      <c r="BB90" s="650" t="n">
        <v>45992</v>
      </c>
      <c r="BC90" s="650" t="n">
        <v>45999</v>
      </c>
      <c r="BD90" s="650" t="n">
        <v>46006</v>
      </c>
      <c r="BE90" s="650" t="n">
        <v>46013</v>
      </c>
      <c r="BF90" s="650" t="n">
        <v>46020</v>
      </c>
      <c r="BG90" s="650" t="n">
        <v>46027</v>
      </c>
      <c r="BH90" s="650" t="n">
        <v>46034</v>
      </c>
      <c r="BI90" s="650" t="n">
        <v>46041</v>
      </c>
      <c r="BJ90" s="650" t="n">
        <v>46048</v>
      </c>
      <c r="BK90" s="650" t="n">
        <v>46055</v>
      </c>
      <c r="BL90" s="650" t="n">
        <v>46062</v>
      </c>
      <c r="BM90" s="650" t="n">
        <v>46069</v>
      </c>
      <c r="BN90" s="650" t="n">
        <v>46076</v>
      </c>
      <c r="BO90" s="650" t="n">
        <v>46083</v>
      </c>
      <c r="BP90" s="650" t="n">
        <v>46090</v>
      </c>
      <c r="BQ90" s="650" t="n">
        <v>46097</v>
      </c>
      <c r="BR90" s="650" t="n">
        <v>46104</v>
      </c>
      <c r="BS90" s="650" t="n">
        <v>46111</v>
      </c>
      <c r="BT90" s="650" t="n">
        <v>46118</v>
      </c>
      <c r="BU90" s="650" t="n">
        <v>46125</v>
      </c>
      <c r="BV90" s="650" t="n">
        <v>46132</v>
      </c>
      <c r="BW90" s="650" t="n">
        <v>46139</v>
      </c>
      <c r="BX90" s="650" t="n">
        <v>46146</v>
      </c>
      <c r="BY90" s="650" t="n">
        <v>46154</v>
      </c>
      <c r="BZ90" s="650" t="n">
        <v>46160</v>
      </c>
      <c r="CA90" s="650" t="n">
        <v>46160</v>
      </c>
      <c r="CB90" s="650" t="n">
        <v>46160</v>
      </c>
      <c r="CC90" s="651" t="n">
        <v>46161.4800428125</v>
      </c>
      <c r="CD90" s="651" t="n">
        <v>46161.48072087963</v>
      </c>
      <c r="CE90" s="651" t="n">
        <v>46161.4828795452</v>
      </c>
      <c r="CF90" s="660" t="inlineStr">
        <is>
          <t>USOU</t>
        </is>
      </c>
      <c r="CH90" s="69" t="n"/>
    </row>
    <row r="91" hidden="1" ht="18.75" customHeight="1">
      <c r="A91" s="33" t="inlineStr">
        <is>
          <t>SACOLA M</t>
        </is>
      </c>
      <c r="B91" s="9" t="n">
        <v>200</v>
      </c>
      <c r="C91" s="662" t="n">
        <v>479.2</v>
      </c>
      <c r="D91" s="329" t="n"/>
      <c r="E91" s="53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  <c r="AA91" s="4" t="n"/>
      <c r="AB91" s="4" t="n"/>
      <c r="AC91" s="4" t="n"/>
      <c r="AD91" s="4" t="n"/>
      <c r="AE91" s="4" t="n"/>
      <c r="AF91" s="4" t="n"/>
      <c r="AG91" s="4" t="n"/>
      <c r="AH91" s="4" t="n"/>
      <c r="AI91" s="4" t="n"/>
      <c r="AJ91" s="4" t="n"/>
      <c r="AK91" s="4" t="n"/>
      <c r="AL91" s="4" t="n"/>
      <c r="AM91" s="4" t="n"/>
      <c r="AN91" s="4" t="n"/>
      <c r="AO91" s="4" t="n"/>
      <c r="AP91" s="4" t="n"/>
      <c r="AQ91" s="4" t="n"/>
      <c r="AR91" s="4" t="n"/>
      <c r="AS91" s="4" t="n"/>
      <c r="AT91" s="4" t="n"/>
      <c r="AU91" s="4" t="n"/>
      <c r="AV91" s="4" t="n"/>
      <c r="AW91" s="4" t="n"/>
      <c r="AX91" s="4" t="n"/>
      <c r="AY91" s="38" t="n"/>
      <c r="AZ91" s="38" t="n"/>
      <c r="BA91" s="38" t="n">
        <v>0</v>
      </c>
      <c r="BB91" s="38" t="n">
        <v>0</v>
      </c>
      <c r="BC91" s="38" t="n">
        <v>0</v>
      </c>
      <c r="BD91" s="38" t="n">
        <v>0</v>
      </c>
      <c r="BE91" s="38" t="n">
        <v>0</v>
      </c>
      <c r="BF91" s="38" t="n">
        <v>0</v>
      </c>
      <c r="BG91" s="38" t="n">
        <v>0</v>
      </c>
      <c r="BH91" s="38" t="n">
        <v>0</v>
      </c>
      <c r="BI91" s="38" t="n">
        <v>0</v>
      </c>
      <c r="BJ91" s="38" t="n">
        <v>0</v>
      </c>
      <c r="BK91" s="38" t="n">
        <v>0</v>
      </c>
      <c r="BL91" s="38" t="n"/>
      <c r="BM91" s="38" t="n"/>
      <c r="BN91" s="38" t="n"/>
      <c r="BO91" s="38" t="n"/>
      <c r="BP91" s="38" t="n"/>
      <c r="BQ91" s="38" t="n"/>
      <c r="BR91" s="38" t="n"/>
      <c r="BS91" s="38" t="n"/>
      <c r="BT91" s="38" t="n"/>
      <c r="BU91" s="38" t="n"/>
      <c r="BV91" s="38" t="n"/>
      <c r="BW91" s="38" t="n"/>
      <c r="BX91" s="38" t="n"/>
      <c r="BY91" s="38" t="n"/>
      <c r="BZ91" s="38" t="n"/>
      <c r="CA91" s="38" t="n"/>
      <c r="CB91" s="38" t="n"/>
      <c r="CC91" s="9" t="n"/>
      <c r="CD91" s="9" t="n"/>
      <c r="CE91" s="9" t="n"/>
      <c r="CF91" s="246">
        <f>CD91+IF(NOT(ISBLANK(OFFSET(CF91,0,6))),N(OFFSET(CF91,0,6)),N(OFFSET(CF91,0,7)))-CE91</f>
        <v/>
      </c>
      <c r="CH91" s="69" t="n"/>
    </row>
    <row r="92" ht="18.75" customHeight="1">
      <c r="A92" s="33" t="inlineStr">
        <is>
          <t>PAPEL DE SEDA</t>
        </is>
      </c>
      <c r="B92" s="9" t="n">
        <v>200</v>
      </c>
      <c r="C92" s="662" t="n">
        <v>45.47</v>
      </c>
      <c r="D92" s="329" t="n"/>
      <c r="E92" s="53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  <c r="AA92" s="4" t="n"/>
      <c r="AB92" s="4" t="n"/>
      <c r="AC92" s="4" t="n"/>
      <c r="AD92" s="4" t="n"/>
      <c r="AE92" s="4" t="n"/>
      <c r="AF92" s="4" t="n"/>
      <c r="AG92" s="4" t="n"/>
      <c r="AH92" s="4" t="n"/>
      <c r="AI92" s="4" t="n"/>
      <c r="AJ92" s="4" t="n"/>
      <c r="AK92" s="4" t="n"/>
      <c r="AL92" s="4" t="n"/>
      <c r="AM92" s="4" t="n"/>
      <c r="AN92" s="4" t="n"/>
      <c r="AO92" s="4" t="n"/>
      <c r="AP92" s="4" t="n"/>
      <c r="AQ92" s="4" t="n"/>
      <c r="AR92" s="4" t="n"/>
      <c r="AS92" s="4" t="n"/>
      <c r="AT92" s="4" t="n"/>
      <c r="AU92" s="4" t="n"/>
      <c r="AV92" s="4" t="n"/>
      <c r="AW92" s="4" t="n"/>
      <c r="AX92" s="4" t="n"/>
      <c r="AY92" s="38" t="n"/>
      <c r="AZ92" s="38" t="n"/>
      <c r="BA92" s="38" t="n">
        <v>20</v>
      </c>
      <c r="BB92" s="38" t="n">
        <v>20</v>
      </c>
      <c r="BC92" s="38" t="n">
        <v>20</v>
      </c>
      <c r="BD92" s="38" t="n">
        <v>20</v>
      </c>
      <c r="BE92" s="38" t="n">
        <v>20</v>
      </c>
      <c r="BF92" s="38" t="n">
        <v>20</v>
      </c>
      <c r="BG92" s="38" t="n">
        <v>20</v>
      </c>
      <c r="BH92" s="38" t="n">
        <v>20</v>
      </c>
      <c r="BI92" s="38" t="n">
        <v>20</v>
      </c>
      <c r="BJ92" s="38" t="n">
        <v>20</v>
      </c>
      <c r="BK92" s="38" t="n">
        <v>20</v>
      </c>
      <c r="BL92" s="38" t="n">
        <v>20</v>
      </c>
      <c r="BM92" s="38" t="n">
        <v>20</v>
      </c>
      <c r="BN92" s="38" t="n">
        <v>20</v>
      </c>
      <c r="BO92" s="38" t="n">
        <v>10</v>
      </c>
      <c r="BP92" s="38" t="n">
        <v>0</v>
      </c>
      <c r="BQ92" s="38" t="n">
        <v>0</v>
      </c>
      <c r="BR92" s="38" t="n">
        <v>0</v>
      </c>
      <c r="BS92" s="38" t="n">
        <v>0</v>
      </c>
      <c r="BT92" s="38" t="n">
        <v>0</v>
      </c>
      <c r="BU92" s="38" t="n">
        <v>0</v>
      </c>
      <c r="BV92" s="38" t="n">
        <v>0</v>
      </c>
      <c r="BW92" s="38" t="n">
        <v>0</v>
      </c>
      <c r="BX92" s="38" t="n">
        <v>0</v>
      </c>
      <c r="BY92" s="38" t="n">
        <v>0</v>
      </c>
      <c r="BZ92" s="38" t="n">
        <v>0</v>
      </c>
      <c r="CA92" s="38" t="n"/>
      <c r="CB92" s="38" t="n"/>
      <c r="CC92" s="9" t="n"/>
      <c r="CD92" s="9" t="n"/>
      <c r="CE92" s="9" t="n"/>
      <c r="CF92" s="246">
        <f>CD92+IF(NOT(ISBLANK(OFFSET(CF92,0,6))),N(OFFSET(CF92,0,6)),N(OFFSET(CF92,0,7)))-CE92</f>
        <v/>
      </c>
      <c r="CH92" s="69" t="n"/>
    </row>
    <row r="93" ht="18.75" customHeight="1">
      <c r="A93" s="33" t="inlineStr">
        <is>
          <t>CAIXA M</t>
        </is>
      </c>
      <c r="B93" s="9" t="n">
        <v>100</v>
      </c>
      <c r="C93" s="662" t="n">
        <v>1490</v>
      </c>
      <c r="D93" s="329" t="n"/>
      <c r="E93" s="53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  <c r="AA93" s="4" t="n"/>
      <c r="AB93" s="4" t="n"/>
      <c r="AC93" s="4" t="n"/>
      <c r="AD93" s="4" t="n"/>
      <c r="AE93" s="4" t="n"/>
      <c r="AF93" s="4" t="n"/>
      <c r="AG93" s="4" t="n"/>
      <c r="AH93" s="4" t="n"/>
      <c r="AI93" s="4" t="n"/>
      <c r="AJ93" s="4" t="n"/>
      <c r="AK93" s="4" t="n"/>
      <c r="AL93" s="4" t="n"/>
      <c r="AM93" s="4" t="n"/>
      <c r="AN93" s="4" t="n"/>
      <c r="AO93" s="4" t="n"/>
      <c r="AP93" s="4" t="n"/>
      <c r="AQ93" s="4" t="n"/>
      <c r="AR93" s="4" t="n"/>
      <c r="AS93" s="4" t="n"/>
      <c r="AT93" s="4" t="n"/>
      <c r="AU93" s="4" t="n"/>
      <c r="AV93" s="4" t="n"/>
      <c r="AW93" s="4" t="n"/>
      <c r="AX93" s="4" t="n"/>
      <c r="AY93" s="38" t="n"/>
      <c r="AZ93" s="38" t="n"/>
      <c r="BA93" s="38" t="n">
        <v>14</v>
      </c>
      <c r="BB93" s="38" t="n">
        <v>14</v>
      </c>
      <c r="BC93" s="38" t="n">
        <v>14</v>
      </c>
      <c r="BD93" s="38" t="n">
        <v>14</v>
      </c>
      <c r="BE93" s="38" t="n">
        <v>14</v>
      </c>
      <c r="BF93" s="38" t="n">
        <v>14</v>
      </c>
      <c r="BG93" s="38" t="n">
        <v>14</v>
      </c>
      <c r="BH93" s="38" t="n">
        <v>14</v>
      </c>
      <c r="BI93" s="38" t="n">
        <v>14</v>
      </c>
      <c r="BJ93" s="38" t="n">
        <v>14</v>
      </c>
      <c r="BK93" s="38" t="n">
        <v>14</v>
      </c>
      <c r="BL93" s="38" t="n">
        <v>14</v>
      </c>
      <c r="BM93" s="38" t="n">
        <v>14</v>
      </c>
      <c r="BN93" s="38" t="n">
        <v>14</v>
      </c>
      <c r="BO93" s="38" t="n">
        <v>9</v>
      </c>
      <c r="BP93" s="38" t="n">
        <v>4</v>
      </c>
      <c r="BQ93" s="38" t="n">
        <v>0</v>
      </c>
      <c r="BR93" s="38" t="n">
        <v>0</v>
      </c>
      <c r="BS93" s="38" t="n">
        <v>0</v>
      </c>
      <c r="BT93" s="38" t="n">
        <v>0</v>
      </c>
      <c r="BU93" s="38" t="n">
        <v>0</v>
      </c>
      <c r="BV93" s="38" t="n">
        <v>0</v>
      </c>
      <c r="BW93" s="38" t="n">
        <v>0</v>
      </c>
      <c r="BX93" s="38" t="n">
        <v>0</v>
      </c>
      <c r="BY93" s="38" t="n">
        <v>0</v>
      </c>
      <c r="BZ93" s="38" t="n">
        <v>0</v>
      </c>
      <c r="CA93" s="38" t="n"/>
      <c r="CB93" s="38" t="n"/>
      <c r="CC93" s="9" t="n"/>
      <c r="CD93" s="9" t="n"/>
      <c r="CE93" s="9" t="n"/>
      <c r="CF93" s="246">
        <f>CD93+IF(NOT(ISBLANK(OFFSET(CF93,0,6))),N(OFFSET(CF93,0,6)),N(OFFSET(CF93,0,7)))-CE93</f>
        <v/>
      </c>
      <c r="CH93" s="69" t="n"/>
    </row>
    <row r="94" ht="18.75" customHeight="1">
      <c r="E94" s="53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  <c r="AA94" s="4" t="n"/>
      <c r="AB94" s="4" t="n"/>
      <c r="AC94" s="4" t="n"/>
      <c r="AD94" s="4" t="n"/>
      <c r="AE94" s="4" t="n"/>
      <c r="AF94" s="4" t="n"/>
      <c r="AG94" s="4" t="n"/>
      <c r="AH94" s="4" t="n"/>
      <c r="AI94" s="4" t="n"/>
      <c r="AJ94" s="4" t="n"/>
      <c r="AK94" s="4" t="n"/>
      <c r="AL94" s="4" t="n"/>
      <c r="AM94" s="4" t="n"/>
      <c r="AN94" s="4" t="n"/>
      <c r="AO94" s="4" t="n"/>
      <c r="AP94" s="4" t="n"/>
      <c r="AQ94" s="4" t="n"/>
      <c r="AR94" s="4" t="n"/>
      <c r="AS94" s="4" t="n"/>
      <c r="AT94" s="4" t="n"/>
      <c r="AU94" s="4" t="n"/>
      <c r="AV94" s="4" t="n"/>
      <c r="AW94" s="4" t="n"/>
      <c r="AX94" s="4" t="n"/>
      <c r="AY94" s="4" t="n"/>
      <c r="AZ94" s="4" t="n"/>
      <c r="BA94" s="4" t="n"/>
      <c r="BB94" s="4" t="n"/>
      <c r="BC94" s="4" t="n"/>
      <c r="BD94" s="4" t="n"/>
      <c r="BE94" s="4" t="n"/>
      <c r="BF94" s="4" t="n"/>
      <c r="BG94" s="4" t="n"/>
      <c r="BH94" s="4" t="n"/>
      <c r="BI94" s="4" t="n"/>
      <c r="BJ94" s="4" t="n"/>
      <c r="BK94" s="4" t="n"/>
      <c r="BL94" s="4" t="n"/>
      <c r="BM94" s="4" t="n"/>
      <c r="BN94" s="4" t="n"/>
      <c r="BO94" s="4" t="n"/>
      <c r="BP94" s="4" t="n"/>
      <c r="BQ94" s="4" t="n"/>
      <c r="BR94" s="4" t="n"/>
      <c r="BS94" s="4" t="n"/>
      <c r="BT94" s="4" t="n"/>
      <c r="BU94" s="4" t="n"/>
      <c r="BV94" s="4" t="n"/>
      <c r="BW94" s="4" t="n"/>
      <c r="BX94" s="4" t="n"/>
      <c r="BY94" s="4" t="n"/>
      <c r="BZ94" s="4" t="n"/>
      <c r="CA94" s="4" t="n"/>
      <c r="CB94" s="4" t="n"/>
      <c r="CC94" s="2" t="n"/>
      <c r="CD94" s="2" t="n"/>
      <c r="CE94" s="2" t="n"/>
      <c r="CF94" s="53" t="n"/>
      <c r="CH94" s="69" t="n"/>
    </row>
    <row r="95" ht="18.75" customHeight="1">
      <c r="A95" s="408" t="inlineStr">
        <is>
          <t>EUDORA NATAL/25</t>
        </is>
      </c>
      <c r="B95" s="409" t="inlineStr">
        <is>
          <t>PC</t>
        </is>
      </c>
      <c r="C95" s="409" t="inlineStr">
        <is>
          <t>R$</t>
        </is>
      </c>
      <c r="D95" s="409" t="n"/>
      <c r="E95" s="53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  <c r="AA95" s="4" t="n"/>
      <c r="AB95" s="4" t="n"/>
      <c r="AC95" s="4" t="n"/>
      <c r="AD95" s="4" t="n"/>
      <c r="AE95" s="4" t="n"/>
      <c r="AF95" s="4" t="n"/>
      <c r="AG95" s="4" t="n"/>
      <c r="AH95" s="4" t="n"/>
      <c r="AI95" s="4" t="n"/>
      <c r="AJ95" s="4" t="n"/>
      <c r="AK95" s="4" t="n"/>
      <c r="AL95" s="4" t="n"/>
      <c r="AM95" s="4" t="n"/>
      <c r="AN95" s="4" t="n"/>
      <c r="AO95" s="4" t="n"/>
      <c r="AP95" s="4" t="n"/>
      <c r="AQ95" s="4" t="n"/>
      <c r="AR95" s="4" t="n"/>
      <c r="AS95" s="4" t="n"/>
      <c r="AT95" s="4" t="n"/>
      <c r="AU95" s="4" t="n"/>
      <c r="AV95" s="4" t="n"/>
      <c r="AW95" s="4" t="n"/>
      <c r="AX95" s="4" t="n"/>
      <c r="AY95" s="650" t="n">
        <v>45971</v>
      </c>
      <c r="AZ95" s="650" t="n">
        <v>45978</v>
      </c>
      <c r="BA95" s="650" t="n">
        <v>45985</v>
      </c>
      <c r="BB95" s="650" t="n">
        <v>45992</v>
      </c>
      <c r="BC95" s="650" t="n">
        <v>45999</v>
      </c>
      <c r="BD95" s="650" t="n">
        <v>46006</v>
      </c>
      <c r="BE95" s="650" t="n">
        <v>46013</v>
      </c>
      <c r="BF95" s="650" t="n">
        <v>46020</v>
      </c>
      <c r="BG95" s="650" t="n">
        <v>46027</v>
      </c>
      <c r="BH95" s="650" t="n">
        <v>46034</v>
      </c>
      <c r="BI95" s="650" t="n">
        <v>46041</v>
      </c>
      <c r="BJ95" s="650" t="n">
        <v>46048</v>
      </c>
      <c r="BK95" s="650" t="n">
        <v>46055</v>
      </c>
      <c r="BL95" s="650" t="n">
        <v>46062</v>
      </c>
      <c r="BM95" s="650" t="n">
        <v>46069</v>
      </c>
      <c r="BN95" s="650" t="n">
        <v>46076</v>
      </c>
      <c r="BO95" s="650" t="n">
        <v>46083</v>
      </c>
      <c r="BP95" s="650" t="n">
        <v>46090</v>
      </c>
      <c r="BQ95" s="650" t="n">
        <v>46097</v>
      </c>
      <c r="BR95" s="650" t="n">
        <v>46104</v>
      </c>
      <c r="BS95" s="650" t="n">
        <v>46111</v>
      </c>
      <c r="BT95" s="650" t="n">
        <v>46118</v>
      </c>
      <c r="BU95" s="650" t="n">
        <v>46125</v>
      </c>
      <c r="BV95" s="650" t="n">
        <v>46132</v>
      </c>
      <c r="BW95" s="650" t="n">
        <v>46139</v>
      </c>
      <c r="BX95" s="650" t="n">
        <v>46146</v>
      </c>
      <c r="BY95" s="650" t="n">
        <v>46154</v>
      </c>
      <c r="BZ95" s="650" t="n">
        <v>46160</v>
      </c>
      <c r="CA95" s="650" t="n">
        <v>46160</v>
      </c>
      <c r="CB95" s="650" t="n">
        <v>46160</v>
      </c>
      <c r="CC95" s="651" t="n">
        <v>46161.4800428125</v>
      </c>
      <c r="CD95" s="651" t="n">
        <v>46161.48072087963</v>
      </c>
      <c r="CE95" s="651" t="n">
        <v>46161.48287954532</v>
      </c>
      <c r="CF95" s="660" t="inlineStr">
        <is>
          <t>USOU</t>
        </is>
      </c>
      <c r="CH95" s="69" t="n"/>
    </row>
    <row r="96" ht="18.75" customHeight="1">
      <c r="A96" s="33" t="inlineStr">
        <is>
          <t xml:space="preserve">SACOLA M </t>
        </is>
      </c>
      <c r="B96" s="9" t="n">
        <v>200</v>
      </c>
      <c r="C96" s="662" t="n">
        <v>336</v>
      </c>
      <c r="D96" s="329" t="n"/>
      <c r="E96" s="53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  <c r="AA96" s="4" t="n"/>
      <c r="AB96" s="4" t="n"/>
      <c r="AC96" s="4" t="n"/>
      <c r="AD96" s="4" t="n"/>
      <c r="AE96" s="4" t="n"/>
      <c r="AF96" s="4" t="n"/>
      <c r="AG96" s="4" t="n"/>
      <c r="AH96" s="4" t="n"/>
      <c r="AI96" s="4" t="n"/>
      <c r="AJ96" s="4" t="n"/>
      <c r="AK96" s="4" t="n"/>
      <c r="AL96" s="4" t="n"/>
      <c r="AM96" s="4" t="n"/>
      <c r="AN96" s="4" t="n"/>
      <c r="AO96" s="4" t="n"/>
      <c r="AP96" s="4" t="n"/>
      <c r="AQ96" s="4" t="n"/>
      <c r="AR96" s="4" t="n"/>
      <c r="AS96" s="4" t="n"/>
      <c r="AT96" s="4" t="n"/>
      <c r="AU96" s="4" t="n"/>
      <c r="AV96" s="4" t="n"/>
      <c r="AW96" s="4" t="n"/>
      <c r="AX96" s="4" t="n"/>
      <c r="AY96" s="38" t="n"/>
      <c r="AZ96" s="38" t="n"/>
      <c r="BA96" s="38" t="n">
        <v>137</v>
      </c>
      <c r="BB96" s="38" t="n">
        <v>127</v>
      </c>
      <c r="BC96" s="38" t="n">
        <v>76</v>
      </c>
      <c r="BD96" s="38" t="n">
        <v>48</v>
      </c>
      <c r="BE96" s="38" t="n">
        <v>24</v>
      </c>
      <c r="BF96" s="38" t="n">
        <v>6</v>
      </c>
      <c r="BG96" s="38" t="n">
        <v>6</v>
      </c>
      <c r="BH96" s="38" t="n">
        <v>6</v>
      </c>
      <c r="BI96" s="38" t="n">
        <v>6</v>
      </c>
      <c r="BJ96" s="38" t="n">
        <v>6</v>
      </c>
      <c r="BK96" s="38" t="n">
        <v>6</v>
      </c>
      <c r="BL96" s="38" t="n">
        <v>6</v>
      </c>
      <c r="BM96" s="38" t="n">
        <v>6</v>
      </c>
      <c r="BN96" s="38" t="n">
        <v>6</v>
      </c>
      <c r="BO96" s="38" t="n">
        <v>0</v>
      </c>
      <c r="BP96" s="38" t="n">
        <v>0</v>
      </c>
      <c r="BQ96" s="38" t="n">
        <v>0</v>
      </c>
      <c r="BR96" s="38" t="n">
        <v>0</v>
      </c>
      <c r="BS96" s="38" t="n">
        <v>0</v>
      </c>
      <c r="BT96" s="38" t="n">
        <v>0</v>
      </c>
      <c r="BU96" s="38" t="n">
        <v>0</v>
      </c>
      <c r="BV96" s="38" t="n">
        <v>0</v>
      </c>
      <c r="BW96" s="38" t="n">
        <v>0</v>
      </c>
      <c r="BX96" s="38" t="n">
        <v>0</v>
      </c>
      <c r="BY96" s="38" t="n">
        <v>0</v>
      </c>
      <c r="BZ96" s="38" t="n">
        <v>0</v>
      </c>
      <c r="CA96" s="38" t="n">
        <v>0</v>
      </c>
      <c r="CB96" s="38" t="n">
        <v>0</v>
      </c>
      <c r="CC96" s="9" t="n">
        <v>0</v>
      </c>
      <c r="CD96" s="9" t="n">
        <v>0</v>
      </c>
      <c r="CE96" s="9" t="n">
        <v>0</v>
      </c>
      <c r="CF96" s="246">
        <f>CD96+IF(NOT(ISBLANK(OFFSET(CF96,0,6))),N(OFFSET(CF96,0,6)),N(OFFSET(CF96,0,7)))-CE96</f>
        <v/>
      </c>
      <c r="CH96" s="69" t="n"/>
    </row>
    <row r="97" hidden="1" ht="18.75" customHeight="1">
      <c r="A97" s="33" t="inlineStr">
        <is>
          <t>PAPEL DE SEDA</t>
        </is>
      </c>
      <c r="B97" s="9" t="n">
        <v>200</v>
      </c>
      <c r="C97" s="662" t="n">
        <v>54</v>
      </c>
      <c r="D97" s="329" t="n"/>
      <c r="E97" s="53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  <c r="AA97" s="4" t="n"/>
      <c r="AB97" s="4" t="n"/>
      <c r="AC97" s="4" t="n"/>
      <c r="AD97" s="4" t="n"/>
      <c r="AE97" s="4" t="n"/>
      <c r="AF97" s="4" t="n"/>
      <c r="AG97" s="4" t="n"/>
      <c r="AH97" s="4" t="n"/>
      <c r="AI97" s="4" t="n"/>
      <c r="AJ97" s="4" t="n"/>
      <c r="AK97" s="4" t="n"/>
      <c r="AL97" s="4" t="n"/>
      <c r="AM97" s="4" t="n"/>
      <c r="AN97" s="4" t="n"/>
      <c r="AO97" s="4" t="n"/>
      <c r="AP97" s="4" t="n"/>
      <c r="AQ97" s="4" t="n"/>
      <c r="AR97" s="4" t="n"/>
      <c r="AS97" s="4" t="n"/>
      <c r="AT97" s="4" t="n"/>
      <c r="AU97" s="4" t="n"/>
      <c r="AV97" s="4" t="n"/>
      <c r="AW97" s="4" t="n"/>
      <c r="AX97" s="4" t="n"/>
      <c r="AY97" s="38" t="n"/>
      <c r="AZ97" s="38" t="n"/>
      <c r="BA97" s="38" t="n">
        <v>0</v>
      </c>
      <c r="BB97" s="38" t="n">
        <v>0</v>
      </c>
      <c r="BC97" s="38" t="n">
        <v>0</v>
      </c>
      <c r="BD97" s="38" t="n">
        <v>0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>
        <v>0</v>
      </c>
      <c r="BK97" s="38" t="n"/>
      <c r="BL97" s="38" t="n"/>
      <c r="BM97" s="38" t="n"/>
      <c r="BN97" s="38" t="n"/>
      <c r="BO97" s="38" t="n"/>
      <c r="BP97" s="38" t="n"/>
      <c r="BQ97" s="38" t="n"/>
      <c r="BR97" s="38" t="n"/>
      <c r="BS97" s="38" t="n"/>
      <c r="BT97" s="38" t="n"/>
      <c r="BU97" s="38" t="n"/>
      <c r="BV97" s="38" t="n"/>
      <c r="BW97" s="38" t="n"/>
      <c r="BX97" s="38" t="n"/>
      <c r="BY97" s="38" t="n"/>
      <c r="BZ97" s="38" t="n"/>
      <c r="CA97" s="38" t="n"/>
      <c r="CB97" s="38" t="n"/>
      <c r="CC97" s="9" t="n"/>
      <c r="CD97" s="9" t="n"/>
      <c r="CE97" s="9" t="n"/>
      <c r="CF97" s="246">
        <f>CD97+IF(NOT(ISBLANK(OFFSET(CF97,0,6))),N(OFFSET(CF97,0,6)),N(OFFSET(CF97,0,7)))-CE97</f>
        <v/>
      </c>
      <c r="CH97" s="69" t="n"/>
    </row>
    <row r="98" hidden="1" ht="18.75" customHeight="1">
      <c r="A98" s="33" t="inlineStr">
        <is>
          <t>KIT TAG 10 C/ 20</t>
        </is>
      </c>
      <c r="B98" s="9" t="n">
        <v>200</v>
      </c>
      <c r="C98" s="662" t="n">
        <v>40</v>
      </c>
      <c r="D98" s="329" t="n"/>
      <c r="E98" s="53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  <c r="AA98" s="4" t="n"/>
      <c r="AB98" s="4" t="n"/>
      <c r="AC98" s="4" t="n"/>
      <c r="AD98" s="4" t="n"/>
      <c r="AE98" s="4" t="n"/>
      <c r="AF98" s="4" t="n"/>
      <c r="AG98" s="4" t="n"/>
      <c r="AH98" s="4" t="n"/>
      <c r="AI98" s="4" t="n"/>
      <c r="AJ98" s="4" t="n"/>
      <c r="AK98" s="4" t="n"/>
      <c r="AL98" s="4" t="n"/>
      <c r="AM98" s="4" t="n"/>
      <c r="AN98" s="4" t="n"/>
      <c r="AO98" s="4" t="n"/>
      <c r="AP98" s="4" t="n"/>
      <c r="AQ98" s="4" t="n"/>
      <c r="AR98" s="4" t="n"/>
      <c r="AS98" s="4" t="n"/>
      <c r="AT98" s="4" t="n"/>
      <c r="AU98" s="4" t="n"/>
      <c r="AV98" s="4" t="n"/>
      <c r="AW98" s="4" t="n"/>
      <c r="AX98" s="4" t="n"/>
      <c r="AY98" s="38" t="n"/>
      <c r="AZ98" s="38" t="n"/>
      <c r="BA98" s="38" t="n">
        <v>0</v>
      </c>
      <c r="BB98" s="38" t="n">
        <v>0</v>
      </c>
      <c r="BC98" s="38" t="n">
        <v>0</v>
      </c>
      <c r="BD98" s="38" t="n">
        <v>0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>
        <v>0</v>
      </c>
      <c r="BK98" s="38" t="n"/>
      <c r="BL98" s="38" t="n"/>
      <c r="BM98" s="38" t="n"/>
      <c r="BN98" s="38" t="n"/>
      <c r="BO98" s="38" t="n"/>
      <c r="BP98" s="38" t="n"/>
      <c r="BQ98" s="38" t="n"/>
      <c r="BR98" s="38" t="n"/>
      <c r="BS98" s="38" t="n"/>
      <c r="BT98" s="38" t="n"/>
      <c r="BU98" s="38" t="n"/>
      <c r="BV98" s="38" t="n"/>
      <c r="BW98" s="38" t="n"/>
      <c r="BX98" s="38" t="n"/>
      <c r="BY98" s="38" t="n"/>
      <c r="BZ98" s="38" t="n"/>
      <c r="CA98" s="38" t="n"/>
      <c r="CB98" s="38" t="n"/>
      <c r="CC98" s="9" t="n"/>
      <c r="CD98" s="9" t="n"/>
      <c r="CE98" s="9" t="n"/>
      <c r="CF98" s="246">
        <f>CD98+IF(NOT(ISBLANK(OFFSET(CF98,0,6))),N(OFFSET(CF98,0,6)),N(OFFSET(CF98,0,7)))-CE98</f>
        <v/>
      </c>
      <c r="CH98" s="69" t="n"/>
    </row>
    <row r="99" ht="18.75" customHeight="1">
      <c r="A99" s="238" t="inlineStr">
        <is>
          <t>CAIXA M</t>
        </is>
      </c>
      <c r="B99" s="36" t="n">
        <v>100</v>
      </c>
      <c r="C99" s="668" t="n">
        <v>904</v>
      </c>
      <c r="D99" s="36" t="n"/>
      <c r="E99" s="53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  <c r="AA99" s="4" t="n"/>
      <c r="AB99" s="4" t="n"/>
      <c r="AC99" s="4" t="n"/>
      <c r="AD99" s="4" t="n"/>
      <c r="AE99" s="4" t="n"/>
      <c r="AF99" s="4" t="n"/>
      <c r="AG99" s="4" t="n"/>
      <c r="AH99" s="4" t="n"/>
      <c r="AI99" s="4" t="n"/>
      <c r="AJ99" s="4" t="n"/>
      <c r="AK99" s="4" t="n"/>
      <c r="AL99" s="4" t="n"/>
      <c r="AM99" s="4" t="n"/>
      <c r="AN99" s="4" t="n"/>
      <c r="AO99" s="4" t="n"/>
      <c r="AP99" s="4" t="n"/>
      <c r="AQ99" s="4" t="n"/>
      <c r="AR99" s="4" t="n"/>
      <c r="AS99" s="4" t="n"/>
      <c r="AT99" s="4" t="n"/>
      <c r="AU99" s="4" t="n"/>
      <c r="AV99" s="4" t="n"/>
      <c r="AW99" s="4" t="n"/>
      <c r="AX99" s="4" t="n"/>
      <c r="AY99" s="38" t="n"/>
      <c r="AZ99" s="38" t="n"/>
      <c r="BA99" s="38" t="n">
        <v>12</v>
      </c>
      <c r="BB99" s="38" t="n">
        <v>12</v>
      </c>
      <c r="BC99" s="38" t="n">
        <v>10</v>
      </c>
      <c r="BD99" s="38" t="n">
        <v>10</v>
      </c>
      <c r="BE99" s="38" t="n">
        <v>9</v>
      </c>
      <c r="BF99" s="38" t="n">
        <v>0</v>
      </c>
      <c r="BG99" s="38" t="n">
        <v>0</v>
      </c>
      <c r="BH99" s="38" t="n">
        <v>0</v>
      </c>
      <c r="BI99" s="38" t="n">
        <v>0</v>
      </c>
      <c r="BJ99" s="38" t="n">
        <v>0</v>
      </c>
      <c r="BK99" s="38" t="n"/>
      <c r="BL99" s="38" t="n"/>
      <c r="BM99" s="38" t="n"/>
      <c r="BN99" s="38" t="n"/>
      <c r="BO99" s="38" t="n"/>
      <c r="BP99" s="38" t="n"/>
      <c r="BQ99" s="38" t="n"/>
      <c r="BR99" s="38" t="n"/>
      <c r="BS99" s="38" t="n"/>
      <c r="BT99" s="38" t="n"/>
      <c r="BU99" s="38" t="n"/>
      <c r="BV99" s="38" t="n"/>
      <c r="BW99" s="38" t="n">
        <v>0</v>
      </c>
      <c r="BX99" s="38" t="n">
        <v>0</v>
      </c>
      <c r="BY99" s="261" t="n">
        <v>27</v>
      </c>
      <c r="BZ99" s="261" t="n">
        <v>27</v>
      </c>
      <c r="CA99" s="261" t="n">
        <v>27</v>
      </c>
      <c r="CB99" s="261" t="n">
        <v>27</v>
      </c>
      <c r="CC99" s="190" t="n">
        <v>27</v>
      </c>
      <c r="CD99" s="190" t="n">
        <v>27</v>
      </c>
      <c r="CE99" s="190" t="n">
        <v>27</v>
      </c>
      <c r="CF99" s="246">
        <f>CD99+IF(NOT(ISBLANK(OFFSET(CF99,0,6))),N(OFFSET(CF99,0,6)),N(OFFSET(CF99,0,7)))-CE99</f>
        <v/>
      </c>
      <c r="CH99" s="69" t="n"/>
    </row>
    <row r="100" hidden="1" ht="18.75" customHeight="1">
      <c r="A100" s="238" t="inlineStr">
        <is>
          <t>CARTUCHO P</t>
        </is>
      </c>
      <c r="B100" s="36" t="n">
        <v>200</v>
      </c>
      <c r="C100" s="668" t="n">
        <v>464</v>
      </c>
      <c r="D100" s="36" t="n"/>
      <c r="E100" s="53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  <c r="AA100" s="4" t="n"/>
      <c r="AB100" s="4" t="n"/>
      <c r="AC100" s="4" t="n"/>
      <c r="AD100" s="4" t="n"/>
      <c r="AE100" s="4" t="n"/>
      <c r="AF100" s="4" t="n"/>
      <c r="AG100" s="4" t="n"/>
      <c r="AH100" s="4" t="n"/>
      <c r="AI100" s="4" t="n"/>
      <c r="AJ100" s="4" t="n"/>
      <c r="AK100" s="4" t="n"/>
      <c r="AL100" s="4" t="n"/>
      <c r="AM100" s="4" t="n"/>
      <c r="AN100" s="4" t="n"/>
      <c r="AO100" s="4" t="n"/>
      <c r="AP100" s="4" t="n"/>
      <c r="AQ100" s="4" t="n"/>
      <c r="AR100" s="4" t="n"/>
      <c r="AS100" s="4" t="n"/>
      <c r="AT100" s="4" t="n"/>
      <c r="AU100" s="4" t="n"/>
      <c r="AV100" s="4" t="n"/>
      <c r="AW100" s="4" t="n"/>
      <c r="AX100" s="4" t="n"/>
      <c r="AY100" s="38" t="n"/>
      <c r="AZ100" s="38" t="n"/>
      <c r="BA100" s="38" t="n">
        <v>3</v>
      </c>
      <c r="BB100" s="38" t="n">
        <v>1</v>
      </c>
      <c r="BC100" s="38" t="n">
        <v>0</v>
      </c>
      <c r="BD100" s="38" t="n">
        <v>0</v>
      </c>
      <c r="BE100" s="38" t="n">
        <v>0</v>
      </c>
      <c r="BF100" s="38" t="n">
        <v>0</v>
      </c>
      <c r="BG100" s="38" t="n">
        <v>0</v>
      </c>
      <c r="BH100" s="38" t="n">
        <v>0</v>
      </c>
      <c r="BI100" s="38" t="n">
        <v>0</v>
      </c>
      <c r="BJ100" s="38" t="n">
        <v>0</v>
      </c>
      <c r="BK100" s="38" t="n"/>
      <c r="BL100" s="38" t="n"/>
      <c r="BM100" s="38" t="n"/>
      <c r="BN100" s="38" t="n"/>
      <c r="BO100" s="38" t="n"/>
      <c r="BP100" s="38" t="n"/>
      <c r="BQ100" s="38" t="n"/>
      <c r="BR100" s="38" t="n"/>
      <c r="BS100" s="38" t="n"/>
      <c r="BT100" s="38" t="n"/>
      <c r="BU100" s="38" t="n"/>
      <c r="BV100" s="38" t="n"/>
      <c r="BW100" s="38" t="n"/>
      <c r="BX100" s="38" t="n"/>
      <c r="BY100" s="38" t="n"/>
      <c r="BZ100" s="38" t="n"/>
      <c r="CA100" s="38" t="n"/>
      <c r="CB100" s="38" t="n"/>
      <c r="CC100" s="9" t="n"/>
      <c r="CD100" s="9" t="n"/>
      <c r="CE100" s="9" t="n"/>
      <c r="CF100" s="246">
        <f>CD100+IF(NOT(ISBLANK(OFFSET(CF100,0,6))),N(OFFSET(CF100,0,6)),N(OFFSET(CF100,0,7)))-CE100</f>
        <v/>
      </c>
      <c r="CH100" s="69" t="n"/>
    </row>
    <row r="101" ht="18.75" customHeight="1">
      <c r="E101" s="53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  <c r="AA101" s="4" t="n"/>
      <c r="AB101" s="4" t="n"/>
      <c r="AC101" s="4" t="n"/>
      <c r="AD101" s="4" t="n"/>
      <c r="AE101" s="4" t="n"/>
      <c r="AF101" s="4" t="n"/>
      <c r="AG101" s="4" t="n"/>
      <c r="AH101" s="4" t="n"/>
      <c r="AI101" s="4" t="n"/>
      <c r="AJ101" s="4" t="n"/>
      <c r="AK101" s="4" t="n"/>
      <c r="AL101" s="4" t="n"/>
      <c r="AM101" s="4" t="n"/>
      <c r="AN101" s="4" t="n"/>
      <c r="AO101" s="4" t="n"/>
      <c r="AP101" s="4" t="n"/>
      <c r="AQ101" s="4" t="n"/>
      <c r="AR101" s="4" t="n"/>
      <c r="AS101" s="4" t="n"/>
      <c r="AT101" s="4" t="n"/>
      <c r="AU101" s="4" t="n"/>
      <c r="AV101" s="4" t="n"/>
      <c r="AW101" s="4" t="n"/>
      <c r="AX101" s="4" t="n"/>
      <c r="AY101" s="4" t="n"/>
      <c r="AZ101" s="4" t="n"/>
      <c r="BA101" s="4" t="n"/>
      <c r="BB101" s="4" t="n"/>
      <c r="BC101" s="4" t="n"/>
      <c r="BD101" s="4" t="n"/>
      <c r="BE101" s="4" t="n"/>
      <c r="BF101" s="4" t="n"/>
      <c r="BG101" s="4" t="n"/>
      <c r="BH101" s="4" t="n"/>
      <c r="BI101" s="4" t="n"/>
      <c r="BJ101" s="4" t="n"/>
      <c r="BK101" s="4" t="n"/>
      <c r="BL101" s="4" t="n"/>
      <c r="BM101" s="4" t="n"/>
      <c r="BN101" s="4" t="n"/>
      <c r="BO101" s="4" t="n"/>
      <c r="BP101" s="4" t="n"/>
      <c r="BQ101" s="4" t="n"/>
      <c r="BR101" s="4" t="n"/>
      <c r="BS101" s="4" t="n"/>
      <c r="BT101" s="4" t="n"/>
      <c r="BU101" s="4" t="n"/>
      <c r="BV101" s="4" t="n"/>
      <c r="BW101" s="4" t="n"/>
      <c r="BX101" s="4" t="n"/>
      <c r="BY101" s="4" t="n"/>
      <c r="BZ101" s="4" t="n"/>
      <c r="CA101" s="4" t="n"/>
      <c r="CB101" s="4" t="n"/>
      <c r="CC101" s="2" t="n"/>
      <c r="CD101" s="2" t="n"/>
      <c r="CE101" s="2" t="n"/>
      <c r="CF101" s="53" t="n"/>
      <c r="CH101" s="69" t="n"/>
    </row>
    <row r="102" hidden="1" ht="18.75" customHeight="1">
      <c r="A102" s="410" t="inlineStr">
        <is>
          <t>BOTICÁRIO NATAL/25</t>
        </is>
      </c>
      <c r="B102" s="357" t="inlineStr">
        <is>
          <t>PC</t>
        </is>
      </c>
      <c r="C102" s="357" t="inlineStr">
        <is>
          <t>R$</t>
        </is>
      </c>
      <c r="D102" s="357" t="n"/>
      <c r="E102" s="53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  <c r="AA102" s="4" t="n"/>
      <c r="AB102" s="4" t="n"/>
      <c r="AC102" s="4" t="n"/>
      <c r="AD102" s="4" t="n"/>
      <c r="AE102" s="4" t="n"/>
      <c r="AF102" s="4" t="n"/>
      <c r="AG102" s="4" t="n"/>
      <c r="AH102" s="4" t="n"/>
      <c r="AI102" s="4" t="n"/>
      <c r="AJ102" s="4" t="n"/>
      <c r="AK102" s="4" t="n"/>
      <c r="AL102" s="4" t="n"/>
      <c r="AM102" s="4" t="n"/>
      <c r="AN102" s="4" t="n"/>
      <c r="AO102" s="4" t="n"/>
      <c r="AP102" s="4" t="n"/>
      <c r="AQ102" s="4" t="n"/>
      <c r="AR102" s="4" t="n"/>
      <c r="AS102" s="4" t="n"/>
      <c r="AT102" s="4" t="n"/>
      <c r="AU102" s="4" t="n"/>
      <c r="AV102" s="4" t="n"/>
      <c r="AW102" s="4" t="n"/>
      <c r="AX102" s="4" t="n"/>
      <c r="AY102" s="650" t="n">
        <v>45971</v>
      </c>
      <c r="AZ102" s="650" t="n">
        <v>45978</v>
      </c>
      <c r="BA102" s="650" t="n">
        <v>45985</v>
      </c>
      <c r="BB102" s="650" t="n">
        <v>45992</v>
      </c>
      <c r="BC102" s="650" t="n">
        <v>45999</v>
      </c>
      <c r="BD102" s="650" t="n">
        <v>46006</v>
      </c>
      <c r="BE102" s="650" t="n">
        <v>46013</v>
      </c>
      <c r="BF102" s="650" t="n">
        <v>46020</v>
      </c>
      <c r="BG102" s="650" t="n">
        <v>46027</v>
      </c>
      <c r="BH102" s="650" t="n">
        <v>46034</v>
      </c>
      <c r="BI102" s="650" t="n">
        <v>46041</v>
      </c>
      <c r="BJ102" s="650" t="n"/>
      <c r="BK102" s="650" t="n"/>
      <c r="BL102" s="650" t="n"/>
      <c r="BM102" s="650" t="n"/>
      <c r="BN102" s="650" t="n"/>
      <c r="BO102" s="650" t="n"/>
      <c r="BP102" s="650" t="n"/>
      <c r="BQ102" s="650" t="n"/>
      <c r="BR102" s="650" t="n"/>
      <c r="BS102" s="650" t="n"/>
      <c r="BT102" s="650" t="n"/>
      <c r="BU102" s="650" t="n"/>
      <c r="BV102" s="650" t="n"/>
      <c r="BW102" s="650" t="n"/>
      <c r="BX102" s="650" t="n"/>
      <c r="BY102" s="650" t="n"/>
      <c r="BZ102" s="650" t="n"/>
      <c r="CA102" s="650" t="n"/>
      <c r="CB102" s="650" t="n"/>
      <c r="CC102" s="650" t="n"/>
      <c r="CD102" s="650" t="n"/>
      <c r="CE102" s="650" t="n"/>
      <c r="CF102" s="660" t="inlineStr">
        <is>
          <t>USOU</t>
        </is>
      </c>
      <c r="CH102" s="69" t="n"/>
    </row>
    <row r="103" hidden="1" ht="18.75" customHeight="1">
      <c r="A103" s="33" t="inlineStr">
        <is>
          <t>SACOLA P</t>
        </is>
      </c>
      <c r="B103" s="9" t="n">
        <v>200</v>
      </c>
      <c r="C103" s="662" t="n">
        <v>274.2</v>
      </c>
      <c r="D103" s="329" t="n"/>
      <c r="E103" s="53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  <c r="AA103" s="4" t="n"/>
      <c r="AB103" s="4" t="n"/>
      <c r="AC103" s="4" t="n"/>
      <c r="AD103" s="4" t="n"/>
      <c r="AE103" s="4" t="n"/>
      <c r="AF103" s="4" t="n"/>
      <c r="AG103" s="4" t="n"/>
      <c r="AH103" s="4" t="n"/>
      <c r="AI103" s="4" t="n"/>
      <c r="AJ103" s="4" t="n"/>
      <c r="AK103" s="4" t="n"/>
      <c r="AL103" s="4" t="n"/>
      <c r="AM103" s="4" t="n"/>
      <c r="AN103" s="4" t="n"/>
      <c r="AO103" s="4" t="n"/>
      <c r="AP103" s="4" t="n"/>
      <c r="AQ103" s="4" t="n"/>
      <c r="AR103" s="4" t="n"/>
      <c r="AS103" s="4" t="n"/>
      <c r="AT103" s="4" t="n"/>
      <c r="AU103" s="4" t="n"/>
      <c r="AV103" s="4" t="n"/>
      <c r="AW103" s="4" t="n"/>
      <c r="AX103" s="4" t="n"/>
      <c r="AY103" s="38" t="n"/>
      <c r="AZ103" s="38" t="n"/>
      <c r="BA103" s="38" t="n">
        <v>60</v>
      </c>
      <c r="BB103" s="38" t="n">
        <v>60</v>
      </c>
      <c r="BC103" s="38" t="n">
        <v>60</v>
      </c>
      <c r="BD103" s="38" t="n">
        <v>60</v>
      </c>
      <c r="BE103" s="38" t="n">
        <v>0</v>
      </c>
      <c r="BF103" s="38" t="n">
        <v>0</v>
      </c>
      <c r="BG103" s="38" t="n">
        <v>0</v>
      </c>
      <c r="BH103" s="38" t="n">
        <v>0</v>
      </c>
      <c r="BI103" s="38" t="n">
        <v>0</v>
      </c>
      <c r="BJ103" s="38" t="n"/>
      <c r="BK103" s="38" t="n"/>
      <c r="BL103" s="38" t="n"/>
      <c r="BM103" s="38" t="n"/>
      <c r="BN103" s="38" t="n"/>
      <c r="BO103" s="38" t="n"/>
      <c r="BP103" s="38" t="n"/>
      <c r="BQ103" s="38" t="n"/>
      <c r="BR103" s="38" t="n"/>
      <c r="BS103" s="38" t="n"/>
      <c r="BT103" s="38" t="n"/>
      <c r="BU103" s="38" t="n"/>
      <c r="BV103" s="38" t="n"/>
      <c r="BW103" s="38" t="n"/>
      <c r="BX103" s="38" t="n"/>
      <c r="BY103" s="38" t="n"/>
      <c r="BZ103" s="38" t="n"/>
      <c r="CA103" s="38" t="n"/>
      <c r="CB103" s="38" t="n"/>
      <c r="CC103" s="9" t="n"/>
      <c r="CD103" s="9" t="n"/>
      <c r="CE103" s="9" t="n"/>
      <c r="CF103" s="246">
        <f>CD103+IF(NOT(ISBLANK(OFFSET(CF103,0,6))),N(OFFSET(CF103,0,6)),N(OFFSET(CF103,0,7)))-CE103</f>
        <v/>
      </c>
      <c r="CH103" s="69" t="n"/>
    </row>
    <row r="104" hidden="1" ht="18.75" customHeight="1">
      <c r="A104" s="33" t="inlineStr">
        <is>
          <t>SACOLA M</t>
        </is>
      </c>
      <c r="B104" s="9" t="n">
        <v>200</v>
      </c>
      <c r="C104" s="662" t="n">
        <v>347.8</v>
      </c>
      <c r="D104" s="329" t="n"/>
      <c r="E104" s="53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  <c r="AA104" s="4" t="n"/>
      <c r="AB104" s="4" t="n"/>
      <c r="AC104" s="4" t="n"/>
      <c r="AD104" s="4" t="n"/>
      <c r="AE104" s="4" t="n"/>
      <c r="AF104" s="4" t="n"/>
      <c r="AG104" s="4" t="n"/>
      <c r="AH104" s="4" t="n"/>
      <c r="AI104" s="4" t="n"/>
      <c r="AJ104" s="4" t="n"/>
      <c r="AK104" s="4" t="n"/>
      <c r="AL104" s="4" t="n"/>
      <c r="AM104" s="4" t="n"/>
      <c r="AN104" s="4" t="n"/>
      <c r="AO104" s="4" t="n"/>
      <c r="AP104" s="4" t="n"/>
      <c r="AQ104" s="4" t="n"/>
      <c r="AR104" s="4" t="n"/>
      <c r="AS104" s="4" t="n"/>
      <c r="AT104" s="4" t="n"/>
      <c r="AU104" s="4" t="n"/>
      <c r="AV104" s="4" t="n"/>
      <c r="AW104" s="4" t="n"/>
      <c r="AX104" s="4" t="n"/>
      <c r="AY104" s="38" t="n"/>
      <c r="AZ104" s="38" t="n"/>
      <c r="BA104" s="38" t="n">
        <v>60</v>
      </c>
      <c r="BB104" s="38" t="n">
        <v>60</v>
      </c>
      <c r="BC104" s="38" t="n">
        <v>60</v>
      </c>
      <c r="BD104" s="38" t="n">
        <v>58</v>
      </c>
      <c r="BE104" s="38" t="n">
        <v>0</v>
      </c>
      <c r="BF104" s="38" t="n">
        <v>0</v>
      </c>
      <c r="BG104" s="38" t="n">
        <v>0</v>
      </c>
      <c r="BH104" s="38" t="n">
        <v>0</v>
      </c>
      <c r="BI104" s="38" t="n">
        <v>0</v>
      </c>
      <c r="BJ104" s="38" t="n"/>
      <c r="BK104" s="38" t="n"/>
      <c r="BL104" s="38" t="n"/>
      <c r="BM104" s="38" t="n"/>
      <c r="BN104" s="38" t="n"/>
      <c r="BO104" s="38" t="n"/>
      <c r="BP104" s="38" t="n"/>
      <c r="BQ104" s="38" t="n"/>
      <c r="BR104" s="38" t="n"/>
      <c r="BS104" s="38" t="n"/>
      <c r="BT104" s="38" t="n"/>
      <c r="BU104" s="38" t="n"/>
      <c r="BV104" s="38" t="n"/>
      <c r="BW104" s="38" t="n"/>
      <c r="BX104" s="38" t="n"/>
      <c r="BY104" s="38" t="n"/>
      <c r="BZ104" s="38" t="n"/>
      <c r="CA104" s="38" t="n"/>
      <c r="CB104" s="38" t="n"/>
      <c r="CC104" s="9" t="n"/>
      <c r="CD104" s="9" t="n"/>
      <c r="CE104" s="9" t="n"/>
      <c r="CF104" s="246">
        <f>CD104+IF(NOT(ISBLANK(OFFSET(CF104,0,6))),N(OFFSET(CF104,0,6)),N(OFFSET(CF104,0,7)))-CE104</f>
        <v/>
      </c>
      <c r="CH104" s="69" t="n"/>
    </row>
    <row r="105" hidden="1" ht="18.75" customHeight="1">
      <c r="A105" s="33" t="inlineStr">
        <is>
          <t>SACOLA G</t>
        </is>
      </c>
      <c r="B105" s="9" t="n">
        <v>100</v>
      </c>
      <c r="C105" s="662" t="n">
        <v>267</v>
      </c>
      <c r="D105" s="329" t="n"/>
      <c r="E105" s="53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  <c r="AA105" s="4" t="n"/>
      <c r="AB105" s="4" t="n"/>
      <c r="AC105" s="4" t="n"/>
      <c r="AD105" s="4" t="n"/>
      <c r="AE105" s="4" t="n"/>
      <c r="AF105" s="4" t="n"/>
      <c r="AG105" s="4" t="n"/>
      <c r="AH105" s="4" t="n"/>
      <c r="AI105" s="4" t="n"/>
      <c r="AJ105" s="4" t="n"/>
      <c r="AK105" s="4" t="n"/>
      <c r="AL105" s="4" t="n"/>
      <c r="AM105" s="4" t="n"/>
      <c r="AN105" s="4" t="n"/>
      <c r="AO105" s="4" t="n"/>
      <c r="AP105" s="4" t="n"/>
      <c r="AQ105" s="4" t="n"/>
      <c r="AR105" s="4" t="n"/>
      <c r="AS105" s="4" t="n"/>
      <c r="AT105" s="4" t="n"/>
      <c r="AU105" s="4" t="n"/>
      <c r="AV105" s="4" t="n"/>
      <c r="AW105" s="4" t="n"/>
      <c r="AX105" s="4" t="n"/>
      <c r="AY105" s="38" t="n"/>
      <c r="AZ105" s="38" t="n"/>
      <c r="BA105" s="38" t="n">
        <v>0</v>
      </c>
      <c r="BB105" s="38" t="n">
        <v>0</v>
      </c>
      <c r="BC105" s="38" t="n">
        <v>0</v>
      </c>
      <c r="BD105" s="38" t="n">
        <v>0</v>
      </c>
      <c r="BE105" s="38" t="n">
        <v>0</v>
      </c>
      <c r="BF105" s="38" t="n">
        <v>0</v>
      </c>
      <c r="BG105" s="38" t="n">
        <v>0</v>
      </c>
      <c r="BH105" s="38" t="n">
        <v>0</v>
      </c>
      <c r="BI105" s="38" t="n">
        <v>0</v>
      </c>
      <c r="BJ105" s="38" t="n"/>
      <c r="BK105" s="38" t="n"/>
      <c r="BL105" s="38" t="n"/>
      <c r="BM105" s="38" t="n"/>
      <c r="BN105" s="38" t="n"/>
      <c r="BO105" s="38" t="n"/>
      <c r="BP105" s="38" t="n"/>
      <c r="BQ105" s="38" t="n"/>
      <c r="BR105" s="38" t="n"/>
      <c r="BS105" s="38" t="n"/>
      <c r="BT105" s="38" t="n"/>
      <c r="BU105" s="38" t="n"/>
      <c r="BV105" s="38" t="n"/>
      <c r="BW105" s="38" t="n"/>
      <c r="BX105" s="38" t="n"/>
      <c r="BY105" s="38" t="n"/>
      <c r="BZ105" s="38" t="n"/>
      <c r="CA105" s="38" t="n"/>
      <c r="CB105" s="38" t="n"/>
      <c r="CC105" s="9" t="n"/>
      <c r="CD105" s="9" t="n"/>
      <c r="CE105" s="9" t="n"/>
      <c r="CF105" s="246">
        <f>CD105+IF(NOT(ISBLANK(OFFSET(CF105,0,6))),N(OFFSET(CF105,0,6)),N(OFFSET(CF105,0,7)))-CE105</f>
        <v/>
      </c>
      <c r="CH105" s="69" t="n"/>
    </row>
    <row r="106" hidden="1" ht="18.75" customHeight="1">
      <c r="A106" s="238" t="inlineStr">
        <is>
          <t>KIT PAPEL DE SEDA 10 C/ 20</t>
        </is>
      </c>
      <c r="B106" s="36" t="n">
        <v>200</v>
      </c>
      <c r="C106" s="668" t="n">
        <v>44.4</v>
      </c>
      <c r="D106" s="36" t="n"/>
      <c r="E106" s="53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  <c r="AA106" s="4" t="n"/>
      <c r="AB106" s="4" t="n"/>
      <c r="AC106" s="4" t="n"/>
      <c r="AD106" s="4" t="n"/>
      <c r="AE106" s="4" t="n"/>
      <c r="AF106" s="4" t="n"/>
      <c r="AG106" s="4" t="n"/>
      <c r="AH106" s="4" t="n"/>
      <c r="AI106" s="4" t="n"/>
      <c r="AJ106" s="4" t="n"/>
      <c r="AK106" s="4" t="n"/>
      <c r="AL106" s="4" t="n"/>
      <c r="AM106" s="4" t="n"/>
      <c r="AN106" s="4" t="n"/>
      <c r="AO106" s="4" t="n"/>
      <c r="AP106" s="4" t="n"/>
      <c r="AQ106" s="4" t="n"/>
      <c r="AR106" s="4" t="n"/>
      <c r="AS106" s="4" t="n"/>
      <c r="AT106" s="4" t="n"/>
      <c r="AU106" s="4" t="n"/>
      <c r="AV106" s="4" t="n"/>
      <c r="AW106" s="4" t="n"/>
      <c r="AX106" s="4" t="n"/>
      <c r="AY106" s="38" t="n"/>
      <c r="AZ106" s="38" t="n"/>
      <c r="BA106" s="38" t="n">
        <v>100</v>
      </c>
      <c r="BB106" s="38" t="n">
        <v>80</v>
      </c>
      <c r="BC106" s="38" t="n">
        <v>80</v>
      </c>
      <c r="BD106" s="38" t="n">
        <v>60</v>
      </c>
      <c r="BE106" s="38" t="n">
        <v>0</v>
      </c>
      <c r="BF106" s="38" t="n">
        <v>0</v>
      </c>
      <c r="BG106" s="38" t="n">
        <v>0</v>
      </c>
      <c r="BH106" s="38" t="n">
        <v>0</v>
      </c>
      <c r="BI106" s="38" t="n">
        <v>0</v>
      </c>
      <c r="BJ106" s="38" t="n"/>
      <c r="BK106" s="38" t="n"/>
      <c r="BL106" s="38" t="n"/>
      <c r="BM106" s="38" t="n"/>
      <c r="BN106" s="38" t="n"/>
      <c r="BO106" s="38" t="n"/>
      <c r="BP106" s="38" t="n"/>
      <c r="BQ106" s="38" t="n"/>
      <c r="BR106" s="38" t="n"/>
      <c r="BS106" s="38" t="n"/>
      <c r="BT106" s="38" t="n"/>
      <c r="BU106" s="38" t="n"/>
      <c r="BV106" s="38" t="n"/>
      <c r="BW106" s="38" t="n"/>
      <c r="BX106" s="38" t="n"/>
      <c r="BY106" s="38" t="n"/>
      <c r="BZ106" s="38" t="n"/>
      <c r="CA106" s="38" t="n"/>
      <c r="CB106" s="38" t="n"/>
      <c r="CC106" s="9" t="n"/>
      <c r="CD106" s="9" t="n"/>
      <c r="CE106" s="9" t="n"/>
      <c r="CF106" s="246">
        <f>CD106+IF(NOT(ISBLANK(OFFSET(CF106,0,6))),N(OFFSET(CF106,0,6)),N(OFFSET(CF106,0,7)))-CE106</f>
        <v/>
      </c>
      <c r="CH106" s="69" t="n"/>
    </row>
    <row r="107" hidden="1" ht="18.75" customHeight="1">
      <c r="A107" s="238" t="inlineStr">
        <is>
          <t>CAIXA P</t>
        </is>
      </c>
      <c r="B107" s="36" t="n">
        <v>150</v>
      </c>
      <c r="C107" s="668" t="n">
        <v>805.35</v>
      </c>
      <c r="D107" s="36" t="n"/>
      <c r="E107" s="53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  <c r="AA107" s="4" t="n"/>
      <c r="AB107" s="4" t="n"/>
      <c r="AC107" s="4" t="n"/>
      <c r="AD107" s="4" t="n"/>
      <c r="AE107" s="4" t="n"/>
      <c r="AF107" s="4" t="n"/>
      <c r="AG107" s="4" t="n"/>
      <c r="AH107" s="4" t="n"/>
      <c r="AI107" s="4" t="n"/>
      <c r="AJ107" s="4" t="n"/>
      <c r="AK107" s="4" t="n"/>
      <c r="AL107" s="4" t="n"/>
      <c r="AM107" s="4" t="n"/>
      <c r="AN107" s="4" t="n"/>
      <c r="AO107" s="4" t="n"/>
      <c r="AP107" s="4" t="n"/>
      <c r="AQ107" s="4" t="n"/>
      <c r="AR107" s="4" t="n"/>
      <c r="AS107" s="4" t="n"/>
      <c r="AT107" s="4" t="n"/>
      <c r="AU107" s="4" t="n"/>
      <c r="AV107" s="4" t="n"/>
      <c r="AW107" s="4" t="n"/>
      <c r="AX107" s="4" t="n"/>
      <c r="AY107" s="38" t="n"/>
      <c r="AZ107" s="38" t="n"/>
      <c r="BA107" s="38" t="n">
        <v>59</v>
      </c>
      <c r="BB107" s="38" t="n">
        <v>59</v>
      </c>
      <c r="BC107" s="38" t="n">
        <v>44</v>
      </c>
      <c r="BD107" s="38" t="n">
        <v>37</v>
      </c>
      <c r="BE107" s="38" t="n">
        <v>3</v>
      </c>
      <c r="BF107" s="38" t="n">
        <v>0</v>
      </c>
      <c r="BG107" s="38" t="n">
        <v>0</v>
      </c>
      <c r="BH107" s="38" t="n">
        <v>0</v>
      </c>
      <c r="BI107" s="38" t="n">
        <v>0</v>
      </c>
      <c r="BJ107" s="38" t="n"/>
      <c r="BK107" s="38" t="n"/>
      <c r="BL107" s="38" t="n"/>
      <c r="BM107" s="38" t="n"/>
      <c r="BN107" s="38" t="n"/>
      <c r="BO107" s="38" t="n"/>
      <c r="BP107" s="38" t="n"/>
      <c r="BQ107" s="38" t="n"/>
      <c r="BR107" s="38" t="n"/>
      <c r="BS107" s="38" t="n"/>
      <c r="BT107" s="38" t="n"/>
      <c r="BU107" s="38" t="n"/>
      <c r="BV107" s="38" t="n"/>
      <c r="BW107" s="38" t="n"/>
      <c r="BX107" s="38" t="n"/>
      <c r="BY107" s="38" t="n"/>
      <c r="BZ107" s="38" t="n"/>
      <c r="CA107" s="38" t="n"/>
      <c r="CB107" s="38" t="n"/>
      <c r="CC107" s="9" t="n"/>
      <c r="CD107" s="9" t="n"/>
      <c r="CE107" s="9" t="n"/>
      <c r="CF107" s="246">
        <f>CD107+IF(NOT(ISBLANK(OFFSET(CF107,0,6))),N(OFFSET(CF107,0,6)),N(OFFSET(CF107,0,7)))-CE107</f>
        <v/>
      </c>
      <c r="CH107" s="69" t="n"/>
    </row>
    <row r="108" hidden="1" ht="18.75" customHeight="1">
      <c r="A108" s="238" t="inlineStr">
        <is>
          <t>CAIXA M</t>
        </is>
      </c>
      <c r="B108" s="36" t="n">
        <v>100</v>
      </c>
      <c r="C108" s="668" t="n">
        <v>792.2</v>
      </c>
      <c r="D108" s="36" t="n"/>
      <c r="E108" s="53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  <c r="AA108" s="4" t="n"/>
      <c r="AB108" s="4" t="n"/>
      <c r="AC108" s="4" t="n"/>
      <c r="AD108" s="4" t="n"/>
      <c r="AE108" s="4" t="n"/>
      <c r="AF108" s="4" t="n"/>
      <c r="AG108" s="4" t="n"/>
      <c r="AH108" s="4" t="n"/>
      <c r="AI108" s="4" t="n"/>
      <c r="AJ108" s="4" t="n"/>
      <c r="AK108" s="4" t="n"/>
      <c r="AL108" s="4" t="n"/>
      <c r="AM108" s="4" t="n"/>
      <c r="AN108" s="4" t="n"/>
      <c r="AO108" s="4" t="n"/>
      <c r="AP108" s="4" t="n"/>
      <c r="AQ108" s="4" t="n"/>
      <c r="AR108" s="4" t="n"/>
      <c r="AS108" s="4" t="n"/>
      <c r="AT108" s="4" t="n"/>
      <c r="AU108" s="4" t="n"/>
      <c r="AV108" s="4" t="n"/>
      <c r="AW108" s="4" t="n"/>
      <c r="AX108" s="4" t="n"/>
      <c r="AY108" s="38" t="n"/>
      <c r="AZ108" s="38" t="n"/>
      <c r="BA108" s="38" t="n">
        <v>90</v>
      </c>
      <c r="BB108" s="38" t="n">
        <v>88</v>
      </c>
      <c r="BC108" s="38" t="n">
        <v>77</v>
      </c>
      <c r="BD108" s="38" t="n">
        <v>71</v>
      </c>
      <c r="BE108" s="38" t="n">
        <v>5</v>
      </c>
      <c r="BF108" s="38" t="n">
        <v>0</v>
      </c>
      <c r="BG108" s="38" t="n">
        <v>0</v>
      </c>
      <c r="BH108" s="38" t="n">
        <v>0</v>
      </c>
      <c r="BI108" s="38" t="n">
        <v>0</v>
      </c>
      <c r="BJ108" s="38" t="n"/>
      <c r="BK108" s="38" t="n"/>
      <c r="BL108" s="38" t="n"/>
      <c r="BM108" s="38" t="n"/>
      <c r="BN108" s="38" t="n"/>
      <c r="BO108" s="38" t="n"/>
      <c r="BP108" s="38" t="n"/>
      <c r="BQ108" s="38" t="n"/>
      <c r="BR108" s="38" t="n"/>
      <c r="BS108" s="38" t="n"/>
      <c r="BT108" s="38" t="n"/>
      <c r="BU108" s="38" t="n"/>
      <c r="BV108" s="38" t="n"/>
      <c r="BW108" s="38" t="n"/>
      <c r="BX108" s="38" t="n"/>
      <c r="BY108" s="38" t="n"/>
      <c r="BZ108" s="38" t="n"/>
      <c r="CA108" s="38" t="n"/>
      <c r="CB108" s="38" t="n"/>
      <c r="CC108" s="9" t="n"/>
      <c r="CD108" s="9" t="n"/>
      <c r="CE108" s="9" t="n"/>
      <c r="CF108" s="246">
        <f>CD108+IF(NOT(ISBLANK(OFFSET(CF108,0,6))),N(OFFSET(CF108,0,6)),N(OFFSET(CF108,0,7)))-CE108</f>
        <v/>
      </c>
      <c r="CH108" s="69" t="n"/>
    </row>
    <row r="109" hidden="1" ht="18.75" customHeight="1">
      <c r="A109" s="238" t="inlineStr">
        <is>
          <t>CARTUCHO P</t>
        </is>
      </c>
      <c r="B109" s="36" t="n">
        <v>200</v>
      </c>
      <c r="C109" s="668" t="n">
        <v>487.2</v>
      </c>
      <c r="D109" s="36" t="n"/>
      <c r="E109" s="53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  <c r="AA109" s="4" t="n"/>
      <c r="AB109" s="4" t="n"/>
      <c r="AC109" s="4" t="n"/>
      <c r="AD109" s="4" t="n"/>
      <c r="AE109" s="4" t="n"/>
      <c r="AF109" s="4" t="n"/>
      <c r="AG109" s="4" t="n"/>
      <c r="AH109" s="4" t="n"/>
      <c r="AI109" s="4" t="n"/>
      <c r="AJ109" s="4" t="n"/>
      <c r="AK109" s="4" t="n"/>
      <c r="AL109" s="4" t="n"/>
      <c r="AM109" s="4" t="n"/>
      <c r="AN109" s="4" t="n"/>
      <c r="AO109" s="4" t="n"/>
      <c r="AP109" s="4" t="n"/>
      <c r="AQ109" s="4" t="n"/>
      <c r="AR109" s="4" t="n"/>
      <c r="AS109" s="4" t="n"/>
      <c r="AT109" s="4" t="n"/>
      <c r="AU109" s="4" t="n"/>
      <c r="AV109" s="4" t="n"/>
      <c r="AW109" s="4" t="n"/>
      <c r="AX109" s="4" t="n"/>
      <c r="AY109" s="38" t="n"/>
      <c r="AZ109" s="38" t="n"/>
      <c r="BA109" s="38" t="n">
        <v>74</v>
      </c>
      <c r="BB109" s="38" t="n">
        <v>74</v>
      </c>
      <c r="BC109" s="38" t="n">
        <v>46</v>
      </c>
      <c r="BD109" s="38" t="n">
        <v>16</v>
      </c>
      <c r="BE109" s="38" t="n">
        <v>0</v>
      </c>
      <c r="BF109" s="38" t="n">
        <v>0</v>
      </c>
      <c r="BG109" s="38" t="n">
        <v>0</v>
      </c>
      <c r="BH109" s="38" t="n">
        <v>0</v>
      </c>
      <c r="BI109" s="38" t="n">
        <v>0</v>
      </c>
      <c r="BJ109" s="38" t="n"/>
      <c r="BK109" s="38" t="n"/>
      <c r="BL109" s="38" t="n"/>
      <c r="BM109" s="38" t="n"/>
      <c r="BN109" s="38" t="n"/>
      <c r="BO109" s="38" t="n"/>
      <c r="BP109" s="38" t="n"/>
      <c r="BQ109" s="38" t="n"/>
      <c r="BR109" s="38" t="n"/>
      <c r="BS109" s="38" t="n"/>
      <c r="BT109" s="38" t="n"/>
      <c r="BU109" s="38" t="n"/>
      <c r="BV109" s="38" t="n"/>
      <c r="BW109" s="38" t="n"/>
      <c r="BX109" s="38" t="n"/>
      <c r="BY109" s="38" t="n"/>
      <c r="BZ109" s="38" t="n"/>
      <c r="CA109" s="38" t="n"/>
      <c r="CB109" s="38" t="n"/>
      <c r="CC109" s="9" t="n"/>
      <c r="CD109" s="9" t="n"/>
      <c r="CE109" s="9" t="n"/>
      <c r="CF109" s="246">
        <f>CD109+IF(NOT(ISBLANK(OFFSET(CF109,0,6))),N(OFFSET(CF109,0,6)),N(OFFSET(CF109,0,7)))-CE109</f>
        <v/>
      </c>
      <c r="CH109" s="69" t="n"/>
    </row>
    <row r="110" hidden="1" ht="18.75" customHeight="1">
      <c r="A110" s="238" t="inlineStr">
        <is>
          <t>CARTUCHO M</t>
        </is>
      </c>
      <c r="B110" s="36" t="n">
        <v>150</v>
      </c>
      <c r="C110" s="668" t="n">
        <v>460.35</v>
      </c>
      <c r="D110" s="36" t="n"/>
      <c r="E110" s="53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  <c r="AA110" s="4" t="n"/>
      <c r="AB110" s="4" t="n"/>
      <c r="AC110" s="4" t="n"/>
      <c r="AD110" s="4" t="n"/>
      <c r="AE110" s="4" t="n"/>
      <c r="AF110" s="4" t="n"/>
      <c r="AG110" s="4" t="n"/>
      <c r="AH110" s="4" t="n"/>
      <c r="AI110" s="4" t="n"/>
      <c r="AJ110" s="4" t="n"/>
      <c r="AK110" s="4" t="n"/>
      <c r="AL110" s="4" t="n"/>
      <c r="AM110" s="4" t="n"/>
      <c r="AN110" s="4" t="n"/>
      <c r="AO110" s="4" t="n"/>
      <c r="AP110" s="4" t="n"/>
      <c r="AQ110" s="4" t="n"/>
      <c r="AR110" s="4" t="n"/>
      <c r="AS110" s="4" t="n"/>
      <c r="AT110" s="4" t="n"/>
      <c r="AU110" s="4" t="n"/>
      <c r="AV110" s="4" t="n"/>
      <c r="AW110" s="4" t="n"/>
      <c r="AX110" s="4" t="n"/>
      <c r="AY110" s="38" t="n"/>
      <c r="AZ110" s="38" t="n"/>
      <c r="BA110" s="38" t="n">
        <v>128</v>
      </c>
      <c r="BB110" s="38" t="n">
        <v>126</v>
      </c>
      <c r="BC110" s="38" t="n">
        <v>109</v>
      </c>
      <c r="BD110" s="38" t="n">
        <v>98</v>
      </c>
      <c r="BE110" s="38" t="n">
        <v>0</v>
      </c>
      <c r="BF110" s="38" t="n">
        <v>0</v>
      </c>
      <c r="BG110" s="38" t="n">
        <v>0</v>
      </c>
      <c r="BH110" s="38" t="n">
        <v>0</v>
      </c>
      <c r="BI110" s="38" t="n">
        <v>0</v>
      </c>
      <c r="BJ110" s="38" t="n"/>
      <c r="BK110" s="38" t="n"/>
      <c r="BL110" s="38" t="n"/>
      <c r="BM110" s="38" t="n"/>
      <c r="BN110" s="38" t="n"/>
      <c r="BO110" s="38" t="n"/>
      <c r="BP110" s="38" t="n"/>
      <c r="BQ110" s="38" t="n"/>
      <c r="BR110" s="38" t="n"/>
      <c r="BS110" s="38" t="n"/>
      <c r="BT110" s="38" t="n"/>
      <c r="BU110" s="38" t="n"/>
      <c r="BV110" s="38" t="n"/>
      <c r="BW110" s="38" t="n"/>
      <c r="BX110" s="38" t="n"/>
      <c r="BY110" s="38" t="n"/>
      <c r="BZ110" s="38" t="n"/>
      <c r="CA110" s="38" t="n"/>
      <c r="CB110" s="38" t="n"/>
      <c r="CC110" s="9" t="n"/>
      <c r="CD110" s="9" t="n"/>
      <c r="CE110" s="9" t="n"/>
      <c r="CF110" s="246">
        <f>CD110+IF(NOT(ISBLANK(OFFSET(CF110,0,6))),N(OFFSET(CF110,0,6)),N(OFFSET(CF110,0,7)))-CE110</f>
        <v/>
      </c>
      <c r="CH110" s="69" t="n"/>
    </row>
    <row r="111" hidden="1" ht="18.75" customHeight="1">
      <c r="A111" s="31" t="n"/>
      <c r="B111" s="53" t="n"/>
      <c r="C111" s="53" t="n"/>
      <c r="E111" s="53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  <c r="AA111" s="4" t="n"/>
      <c r="AB111" s="4" t="n"/>
      <c r="AC111" s="4" t="n"/>
      <c r="AD111" s="4" t="n"/>
      <c r="AE111" s="4" t="n"/>
      <c r="AF111" s="4" t="n"/>
      <c r="AG111" s="4" t="n"/>
      <c r="AH111" s="4" t="n"/>
      <c r="AI111" s="4" t="n"/>
      <c r="AJ111" s="4" t="n"/>
      <c r="AK111" s="4" t="n"/>
      <c r="AL111" s="4" t="n"/>
      <c r="AM111" s="4" t="n"/>
      <c r="AN111" s="4" t="n"/>
      <c r="AO111" s="4" t="n"/>
      <c r="AP111" s="4" t="n"/>
      <c r="AQ111" s="4" t="n"/>
      <c r="AR111" s="4" t="n"/>
      <c r="AS111" s="4" t="n"/>
      <c r="AT111" s="4" t="n"/>
      <c r="AU111" s="4" t="n"/>
      <c r="AV111" s="4" t="n"/>
      <c r="AW111" s="4" t="n"/>
      <c r="AX111" s="4" t="n"/>
      <c r="AY111" s="4" t="n"/>
      <c r="AZ111" s="4" t="n"/>
      <c r="BA111" s="4" t="n"/>
      <c r="BB111" s="4" t="n"/>
      <c r="BC111" s="4" t="n"/>
      <c r="BD111" s="4" t="n"/>
      <c r="BE111" s="4" t="n"/>
      <c r="BF111" s="4" t="n"/>
      <c r="BG111" s="4" t="n"/>
      <c r="BH111" s="4" t="n"/>
      <c r="BI111" s="4" t="n"/>
      <c r="BJ111" s="4" t="n"/>
      <c r="BK111" s="4" t="n"/>
      <c r="BL111" s="4" t="n"/>
      <c r="BM111" s="4" t="n"/>
      <c r="BN111" s="4" t="n"/>
      <c r="BO111" s="4" t="n"/>
      <c r="BP111" s="4" t="n"/>
      <c r="BQ111" s="4" t="n"/>
      <c r="BR111" s="4" t="n"/>
      <c r="BS111" s="4" t="n"/>
      <c r="BT111" s="4" t="n"/>
      <c r="BU111" s="4" t="n"/>
      <c r="BV111" s="4" t="n"/>
      <c r="BW111" s="4" t="n"/>
      <c r="BX111" s="4" t="n"/>
      <c r="BY111" s="4" t="n"/>
      <c r="BZ111" s="4" t="n"/>
      <c r="CA111" s="4" t="n"/>
      <c r="CB111" s="4" t="n"/>
      <c r="CC111" s="2" t="n"/>
      <c r="CD111" s="2" t="n"/>
      <c r="CE111" s="2" t="n"/>
      <c r="CF111" s="53" t="n"/>
      <c r="CH111" s="69" t="n"/>
      <c r="DP111" s="6" t="n"/>
    </row>
    <row r="112" ht="18.75" customHeight="1">
      <c r="A112" s="408" t="inlineStr">
        <is>
          <t>EUDORA MÃES/26</t>
        </is>
      </c>
      <c r="B112" s="409" t="inlineStr">
        <is>
          <t>PC</t>
        </is>
      </c>
      <c r="C112" s="409" t="inlineStr">
        <is>
          <t>R$</t>
        </is>
      </c>
      <c r="D112" s="409" t="n"/>
      <c r="E112" s="53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  <c r="AA112" s="4" t="n"/>
      <c r="AB112" s="4" t="n"/>
      <c r="AC112" s="4" t="n"/>
      <c r="AD112" s="4" t="n"/>
      <c r="AE112" s="4" t="n"/>
      <c r="AF112" s="4" t="n"/>
      <c r="AG112" s="4" t="n"/>
      <c r="AH112" s="4" t="n"/>
      <c r="AI112" s="4" t="n"/>
      <c r="AJ112" s="4" t="n"/>
      <c r="AK112" s="4" t="n"/>
      <c r="AL112" s="4" t="n"/>
      <c r="AM112" s="4" t="n"/>
      <c r="AN112" s="4" t="n"/>
      <c r="AO112" s="4" t="n"/>
      <c r="AP112" s="4" t="n"/>
      <c r="AQ112" s="4" t="n"/>
      <c r="AR112" s="4" t="n"/>
      <c r="AS112" s="4" t="n"/>
      <c r="AT112" s="4" t="n"/>
      <c r="AU112" s="4" t="n"/>
      <c r="AV112" s="4" t="n"/>
      <c r="AW112" s="4" t="n"/>
      <c r="AX112" s="4" t="n"/>
      <c r="AY112" s="4" t="n"/>
      <c r="AZ112" s="4" t="n"/>
      <c r="BA112" s="4" t="n"/>
      <c r="BB112" s="4" t="n"/>
      <c r="BC112" s="4" t="n"/>
      <c r="BD112" s="4" t="n"/>
      <c r="BE112" s="4" t="n"/>
      <c r="BF112" s="4" t="n"/>
      <c r="BG112" s="4" t="n"/>
      <c r="BH112" s="4" t="n"/>
      <c r="BI112" s="4" t="n"/>
      <c r="BJ112" s="4" t="n"/>
      <c r="BK112" s="4" t="n"/>
      <c r="BL112" s="4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50" t="n">
        <v>46160</v>
      </c>
      <c r="CC112" s="651" t="n">
        <v>46161.4800428125</v>
      </c>
      <c r="CD112" s="651" t="n">
        <v>46161.48072087963</v>
      </c>
      <c r="CE112" s="651" t="n">
        <v>46161.48287954553</v>
      </c>
      <c r="CF112" s="660" t="inlineStr">
        <is>
          <t>USOU</t>
        </is>
      </c>
      <c r="CH112" s="69" t="n"/>
      <c r="DP112" s="6" t="n"/>
    </row>
    <row r="113" ht="18.75" customHeight="1">
      <c r="A113" s="33" t="inlineStr">
        <is>
          <t xml:space="preserve">SACOLA M </t>
        </is>
      </c>
      <c r="B113" s="9" t="n">
        <v>150</v>
      </c>
      <c r="C113" s="662" t="n"/>
      <c r="D113" s="329" t="n"/>
      <c r="E113" s="53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  <c r="AA113" s="4" t="n"/>
      <c r="AB113" s="4" t="n"/>
      <c r="AC113" s="4" t="n"/>
      <c r="AD113" s="4" t="n"/>
      <c r="AE113" s="4" t="n"/>
      <c r="AF113" s="4" t="n"/>
      <c r="AG113" s="4" t="n"/>
      <c r="AH113" s="4" t="n"/>
      <c r="AI113" s="4" t="n"/>
      <c r="AJ113" s="4" t="n"/>
      <c r="AK113" s="4" t="n"/>
      <c r="AL113" s="4" t="n"/>
      <c r="AM113" s="4" t="n"/>
      <c r="AN113" s="4" t="n"/>
      <c r="AO113" s="4" t="n"/>
      <c r="AP113" s="4" t="n"/>
      <c r="AQ113" s="4" t="n"/>
      <c r="AR113" s="4" t="n"/>
      <c r="AS113" s="4" t="n"/>
      <c r="AT113" s="4" t="n"/>
      <c r="AU113" s="4" t="n"/>
      <c r="AV113" s="4" t="n"/>
      <c r="AW113" s="4" t="n"/>
      <c r="AX113" s="4" t="n"/>
      <c r="AY113" s="4" t="n"/>
      <c r="AZ113" s="4" t="n"/>
      <c r="BA113" s="4" t="n"/>
      <c r="BB113" s="4" t="n"/>
      <c r="BC113" s="4" t="n"/>
      <c r="BD113" s="4" t="n"/>
      <c r="BE113" s="4" t="n"/>
      <c r="BF113" s="4" t="n"/>
      <c r="BG113" s="4" t="n"/>
      <c r="BH113" s="4" t="n"/>
      <c r="BI113" s="4" t="n"/>
      <c r="BJ113" s="4" t="n"/>
      <c r="BK113" s="4" t="n"/>
      <c r="BL113" s="4" t="n"/>
      <c r="BM113" s="38" t="n">
        <v>0</v>
      </c>
      <c r="BN113" s="38" t="n">
        <v>0</v>
      </c>
      <c r="BO113" s="38">
        <f>CP10</f>
        <v/>
      </c>
      <c r="BP113" s="38" t="n">
        <v>150</v>
      </c>
      <c r="BQ113" s="38" t="n">
        <v>150</v>
      </c>
      <c r="BR113" s="38" t="n">
        <v>150</v>
      </c>
      <c r="BS113" s="38" t="n">
        <v>150</v>
      </c>
      <c r="BT113" s="38" t="n">
        <v>150</v>
      </c>
      <c r="BU113" s="38" t="n">
        <v>150</v>
      </c>
      <c r="BV113" s="38" t="n">
        <v>150</v>
      </c>
      <c r="BW113" s="38" t="n">
        <v>450</v>
      </c>
      <c r="BX113" s="38" t="n">
        <v>450</v>
      </c>
      <c r="BY113" s="38" t="n">
        <v>300</v>
      </c>
      <c r="BZ113" s="38" t="n"/>
      <c r="CA113" s="38" t="n"/>
      <c r="CB113" s="38" t="n"/>
      <c r="CC113" s="9" t="n"/>
      <c r="CD113" s="9" t="n"/>
      <c r="CE113" s="9" t="n"/>
      <c r="CF113" s="246">
        <f>CD113+IF(NOT(ISBLANK(OFFSET(CF113,0,6))),N(OFFSET(CF113,0,6)),N(OFFSET(CF113,0,7)))-CE113</f>
        <v/>
      </c>
      <c r="CH113" s="69" t="n"/>
      <c r="DP113" s="6" t="n"/>
    </row>
    <row r="114" ht="18.75" customHeight="1">
      <c r="A114" s="33" t="inlineStr">
        <is>
          <t>ADESIVO</t>
        </is>
      </c>
      <c r="B114" s="9" t="n">
        <v>1000</v>
      </c>
      <c r="C114" s="662" t="n"/>
      <c r="D114" s="329" t="n"/>
      <c r="E114" s="53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  <c r="AA114" s="4" t="n"/>
      <c r="AB114" s="4" t="n"/>
      <c r="AC114" s="4" t="n"/>
      <c r="AD114" s="4" t="n"/>
      <c r="AE114" s="4" t="n"/>
      <c r="AF114" s="4" t="n"/>
      <c r="AG114" s="4" t="n"/>
      <c r="AH114" s="4" t="n"/>
      <c r="AI114" s="4" t="n"/>
      <c r="AJ114" s="4" t="n"/>
      <c r="AK114" s="4" t="n"/>
      <c r="AL114" s="4" t="n"/>
      <c r="AM114" s="4" t="n"/>
      <c r="AN114" s="4" t="n"/>
      <c r="AO114" s="4" t="n"/>
      <c r="AP114" s="4" t="n"/>
      <c r="AQ114" s="4" t="n"/>
      <c r="AR114" s="4" t="n"/>
      <c r="AS114" s="4" t="n"/>
      <c r="AT114" s="4" t="n"/>
      <c r="AU114" s="4" t="n"/>
      <c r="AV114" s="4" t="n"/>
      <c r="AW114" s="4" t="n"/>
      <c r="AX114" s="4" t="n"/>
      <c r="AY114" s="4" t="n"/>
      <c r="AZ114" s="4" t="n"/>
      <c r="BA114" s="4" t="n"/>
      <c r="BB114" s="4" t="n"/>
      <c r="BC114" s="4" t="n"/>
      <c r="BD114" s="4" t="n"/>
      <c r="BE114" s="4" t="n"/>
      <c r="BF114" s="4" t="n"/>
      <c r="BG114" s="4" t="n"/>
      <c r="BH114" s="4" t="n"/>
      <c r="BI114" s="4" t="n"/>
      <c r="BJ114" s="4" t="n"/>
      <c r="BK114" s="4" t="n"/>
      <c r="BL114" s="4" t="n"/>
      <c r="BM114" s="38" t="n">
        <v>0</v>
      </c>
      <c r="BN114" s="38" t="n">
        <v>0</v>
      </c>
      <c r="BO114" s="38">
        <f>CP17</f>
        <v/>
      </c>
      <c r="BP114" s="38" t="n">
        <v>1</v>
      </c>
      <c r="BQ114" s="38" t="n">
        <v>1</v>
      </c>
      <c r="BR114" s="38" t="n">
        <v>1</v>
      </c>
      <c r="BS114" s="38" t="n">
        <v>1</v>
      </c>
      <c r="BT114" s="38" t="n">
        <v>0</v>
      </c>
      <c r="BU114" s="38" t="n">
        <v>0</v>
      </c>
      <c r="BV114" s="38" t="n">
        <v>0</v>
      </c>
      <c r="BW114" s="38" t="n">
        <v>0</v>
      </c>
      <c r="BX114" s="38" t="n">
        <v>0</v>
      </c>
      <c r="BY114" s="38" t="n">
        <v>0</v>
      </c>
      <c r="BZ114" s="38" t="n"/>
      <c r="CA114" s="38" t="n"/>
      <c r="CB114" s="38" t="n"/>
      <c r="CC114" s="9" t="n"/>
      <c r="CD114" s="9" t="n"/>
      <c r="CE114" s="9" t="n"/>
      <c r="CF114" s="246">
        <f>CD114+IF(NOT(ISBLANK(OFFSET(CF114,0,6))),N(OFFSET(CF114,0,6)),N(OFFSET(CF114,0,7)))-CE114</f>
        <v/>
      </c>
      <c r="CH114" s="69" t="n"/>
      <c r="DP114" s="6" t="n"/>
    </row>
    <row r="115" ht="18.75" customHeight="1">
      <c r="A115" s="33" t="inlineStr">
        <is>
          <t>PAPEL DE SEDA</t>
        </is>
      </c>
      <c r="B115" s="9" t="n">
        <v>200</v>
      </c>
      <c r="C115" s="662" t="n"/>
      <c r="D115" s="329" t="n"/>
      <c r="E115" s="53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  <c r="AA115" s="4" t="n"/>
      <c r="AB115" s="4" t="n"/>
      <c r="AC115" s="4" t="n"/>
      <c r="AD115" s="4" t="n"/>
      <c r="AE115" s="4" t="n"/>
      <c r="AF115" s="4" t="n"/>
      <c r="AG115" s="4" t="n"/>
      <c r="AH115" s="4" t="n"/>
      <c r="AI115" s="4" t="n"/>
      <c r="AJ115" s="4" t="n"/>
      <c r="AK115" s="4" t="n"/>
      <c r="AL115" s="4" t="n"/>
      <c r="AM115" s="4" t="n"/>
      <c r="AN115" s="4" t="n"/>
      <c r="AO115" s="4" t="n"/>
      <c r="AP115" s="4" t="n"/>
      <c r="AQ115" s="4" t="n"/>
      <c r="AR115" s="4" t="n"/>
      <c r="AS115" s="4" t="n"/>
      <c r="AT115" s="4" t="n"/>
      <c r="AU115" s="4" t="n"/>
      <c r="AV115" s="4" t="n"/>
      <c r="AW115" s="4" t="n"/>
      <c r="AX115" s="4" t="n"/>
      <c r="AY115" s="4" t="n"/>
      <c r="AZ115" s="4" t="n"/>
      <c r="BA115" s="4" t="n"/>
      <c r="BB115" s="4" t="n"/>
      <c r="BC115" s="4" t="n"/>
      <c r="BD115" s="4" t="n"/>
      <c r="BE115" s="4" t="n"/>
      <c r="BF115" s="4" t="n"/>
      <c r="BG115" s="4" t="n"/>
      <c r="BH115" s="4" t="n"/>
      <c r="BI115" s="4" t="n"/>
      <c r="BJ115" s="4" t="n"/>
      <c r="BK115" s="4" t="n"/>
      <c r="BL115" s="4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 t="n">
        <v>0</v>
      </c>
      <c r="BS115" s="38" t="n">
        <v>0</v>
      </c>
      <c r="BT115" s="38" t="n">
        <v>0</v>
      </c>
      <c r="BU115" s="38" t="n">
        <v>0</v>
      </c>
      <c r="BV115" s="38" t="n">
        <v>0</v>
      </c>
      <c r="BW115" s="38" t="n">
        <v>0</v>
      </c>
      <c r="BX115" s="38" t="n">
        <v>0</v>
      </c>
      <c r="BY115" s="38" t="n">
        <v>0</v>
      </c>
      <c r="BZ115" s="38" t="n"/>
      <c r="CA115" s="38" t="n"/>
      <c r="CB115" s="38" t="n"/>
      <c r="CC115" s="9" t="n"/>
      <c r="CD115" s="9" t="n"/>
      <c r="CE115" s="9" t="n"/>
      <c r="CF115" s="246">
        <f>CD115+IF(NOT(ISBLANK(OFFSET(CF115,0,6))),N(OFFSET(CF115,0,6)),N(OFFSET(CF115,0,7)))-CE115</f>
        <v/>
      </c>
      <c r="CH115" s="69" t="n"/>
      <c r="DP115" s="6" t="n"/>
    </row>
    <row r="116" ht="18.75" customHeight="1">
      <c r="A116" s="33" t="inlineStr">
        <is>
          <t>SACOLA M VENDA</t>
        </is>
      </c>
      <c r="B116" s="9" t="n">
        <v>150</v>
      </c>
      <c r="C116" s="662" t="n"/>
      <c r="D116" s="329" t="n"/>
      <c r="E116" s="53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  <c r="AA116" s="4" t="n"/>
      <c r="AB116" s="4" t="n"/>
      <c r="AC116" s="4" t="n"/>
      <c r="AD116" s="4" t="n"/>
      <c r="AE116" s="4" t="n"/>
      <c r="AF116" s="4" t="n"/>
      <c r="AG116" s="4" t="n"/>
      <c r="AH116" s="4" t="n"/>
      <c r="AI116" s="4" t="n"/>
      <c r="AJ116" s="4" t="n"/>
      <c r="AK116" s="4" t="n"/>
      <c r="AL116" s="4" t="n"/>
      <c r="AM116" s="4" t="n"/>
      <c r="AN116" s="4" t="n"/>
      <c r="AO116" s="4" t="n"/>
      <c r="AP116" s="4" t="n"/>
      <c r="AQ116" s="4" t="n"/>
      <c r="AR116" s="4" t="n"/>
      <c r="AS116" s="4" t="n"/>
      <c r="AT116" s="4" t="n"/>
      <c r="AU116" s="4" t="n"/>
      <c r="AV116" s="4" t="n"/>
      <c r="AW116" s="4" t="n"/>
      <c r="AX116" s="4" t="n"/>
      <c r="AY116" s="4" t="n"/>
      <c r="AZ116" s="4" t="n"/>
      <c r="BA116" s="4" t="n"/>
      <c r="BB116" s="4" t="n"/>
      <c r="BC116" s="4" t="n"/>
      <c r="BD116" s="4" t="n"/>
      <c r="BE116" s="4" t="n"/>
      <c r="BF116" s="4" t="n"/>
      <c r="BG116" s="4" t="n"/>
      <c r="BH116" s="4" t="n"/>
      <c r="BI116" s="4" t="n"/>
      <c r="BJ116" s="4" t="n"/>
      <c r="BK116" s="4" t="n"/>
      <c r="BL116" s="4" t="n"/>
      <c r="BM116" s="38" t="n">
        <v>0</v>
      </c>
      <c r="BN116" s="38" t="n">
        <v>0</v>
      </c>
      <c r="BO116" s="38">
        <f>CP29</f>
        <v/>
      </c>
      <c r="BP116" s="38" t="n">
        <v>300</v>
      </c>
      <c r="BQ116" s="38" t="n">
        <v>284</v>
      </c>
      <c r="BR116" s="38" t="n">
        <v>0</v>
      </c>
      <c r="BS116" s="38" t="n">
        <v>0</v>
      </c>
      <c r="BT116" s="38" t="n">
        <v>0</v>
      </c>
      <c r="BU116" s="38" t="n">
        <v>0</v>
      </c>
      <c r="BV116" s="38" t="n">
        <v>0</v>
      </c>
      <c r="BW116" s="38" t="n">
        <v>0</v>
      </c>
      <c r="BX116" s="38" t="n">
        <v>0</v>
      </c>
      <c r="BY116" s="38" t="n">
        <v>0</v>
      </c>
      <c r="BZ116" s="38" t="n">
        <v>0</v>
      </c>
      <c r="CA116" s="38" t="n">
        <v>0</v>
      </c>
      <c r="CB116" s="38" t="n">
        <v>0</v>
      </c>
      <c r="CC116" s="9" t="n">
        <v>0</v>
      </c>
      <c r="CD116" s="9" t="n">
        <v>0</v>
      </c>
      <c r="CE116" s="9" t="n">
        <v>0</v>
      </c>
      <c r="CF116" s="246">
        <f>CD116+IF(NOT(ISBLANK(OFFSET(CF116,0,6))),N(OFFSET(CF116,0,6)),N(OFFSET(CF116,0,7)))-CE116</f>
        <v/>
      </c>
      <c r="CH116" s="69" t="n"/>
      <c r="DP116" s="6" t="n"/>
    </row>
    <row r="117" ht="18.75" customHeight="1">
      <c r="A117" s="33" t="inlineStr">
        <is>
          <t>KIT TAG 10 C/ 20</t>
        </is>
      </c>
      <c r="B117" s="9" t="n">
        <v>200</v>
      </c>
      <c r="C117" s="662" t="n"/>
      <c r="D117" s="329" t="n"/>
      <c r="E117" s="53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  <c r="AA117" s="4" t="n"/>
      <c r="AB117" s="4" t="n"/>
      <c r="AC117" s="4" t="n"/>
      <c r="AD117" s="4" t="n"/>
      <c r="AE117" s="4" t="n"/>
      <c r="AF117" s="4" t="n"/>
      <c r="AG117" s="4" t="n"/>
      <c r="AH117" s="4" t="n"/>
      <c r="AI117" s="4" t="n"/>
      <c r="AJ117" s="4" t="n"/>
      <c r="AK117" s="4" t="n"/>
      <c r="AL117" s="4" t="n"/>
      <c r="AM117" s="4" t="n"/>
      <c r="AN117" s="4" t="n"/>
      <c r="AO117" s="4" t="n"/>
      <c r="AP117" s="4" t="n"/>
      <c r="AQ117" s="4" t="n"/>
      <c r="AR117" s="4" t="n"/>
      <c r="AS117" s="4" t="n"/>
      <c r="AT117" s="4" t="n"/>
      <c r="AU117" s="4" t="n"/>
      <c r="AV117" s="4" t="n"/>
      <c r="AW117" s="4" t="n"/>
      <c r="AX117" s="4" t="n"/>
      <c r="AY117" s="4" t="n"/>
      <c r="AZ117" s="4" t="n"/>
      <c r="BA117" s="4" t="n"/>
      <c r="BB117" s="4" t="n"/>
      <c r="BC117" s="4" t="n"/>
      <c r="BD117" s="4" t="n"/>
      <c r="BE117" s="4" t="n"/>
      <c r="BF117" s="4" t="n"/>
      <c r="BG117" s="4" t="n"/>
      <c r="BH117" s="4" t="n"/>
      <c r="BI117" s="4" t="n"/>
      <c r="BJ117" s="4" t="n"/>
      <c r="BK117" s="4" t="n"/>
      <c r="BL117" s="4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0</v>
      </c>
      <c r="BV117" s="38" t="n">
        <v>0</v>
      </c>
      <c r="BW117" s="38" t="n">
        <v>0</v>
      </c>
      <c r="BX117" s="38" t="n">
        <v>0</v>
      </c>
      <c r="BY117" s="38" t="n">
        <v>0</v>
      </c>
      <c r="BZ117" s="38" t="n">
        <v>0</v>
      </c>
      <c r="CA117" s="38" t="n">
        <v>0</v>
      </c>
      <c r="CB117" s="38" t="n">
        <v>0</v>
      </c>
      <c r="CC117" s="9" t="n">
        <v>0</v>
      </c>
      <c r="CD117" s="9" t="n">
        <v>0</v>
      </c>
      <c r="CE117" s="9" t="n">
        <v>0</v>
      </c>
      <c r="CF117" s="246">
        <f>CD117+IF(NOT(ISBLANK(OFFSET(CF117,0,6))),N(OFFSET(CF117,0,6)),N(OFFSET(CF117,0,7)))-CE117</f>
        <v/>
      </c>
      <c r="CH117" s="69" t="n"/>
      <c r="DP117" s="6" t="n"/>
    </row>
    <row r="118" ht="18.75" customHeight="1">
      <c r="A118" s="238" t="inlineStr">
        <is>
          <t>CAIXA M</t>
        </is>
      </c>
      <c r="B118" s="36" t="n">
        <v>100</v>
      </c>
      <c r="C118" s="668" t="n"/>
      <c r="D118" s="36" t="n"/>
      <c r="E118" s="53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  <c r="AA118" s="4" t="n"/>
      <c r="AB118" s="4" t="n"/>
      <c r="AC118" s="4" t="n"/>
      <c r="AD118" s="4" t="n"/>
      <c r="AE118" s="4" t="n"/>
      <c r="AF118" s="4" t="n"/>
      <c r="AG118" s="4" t="n"/>
      <c r="AH118" s="4" t="n"/>
      <c r="AI118" s="4" t="n"/>
      <c r="AJ118" s="4" t="n"/>
      <c r="AK118" s="4" t="n"/>
      <c r="AL118" s="4" t="n"/>
      <c r="AM118" s="4" t="n"/>
      <c r="AN118" s="4" t="n"/>
      <c r="AO118" s="4" t="n"/>
      <c r="AP118" s="4" t="n"/>
      <c r="AQ118" s="4" t="n"/>
      <c r="AR118" s="4" t="n"/>
      <c r="AS118" s="4" t="n"/>
      <c r="AT118" s="4" t="n"/>
      <c r="AU118" s="4" t="n"/>
      <c r="AV118" s="4" t="n"/>
      <c r="AW118" s="4" t="n"/>
      <c r="AX118" s="4" t="n"/>
      <c r="AY118" s="4" t="n"/>
      <c r="AZ118" s="4" t="n"/>
      <c r="BA118" s="4" t="n"/>
      <c r="BB118" s="4" t="n"/>
      <c r="BC118" s="4" t="n"/>
      <c r="BD118" s="4" t="n"/>
      <c r="BE118" s="4" t="n"/>
      <c r="BF118" s="4" t="n"/>
      <c r="BG118" s="4" t="n"/>
      <c r="BH118" s="4" t="n"/>
      <c r="BI118" s="4" t="n"/>
      <c r="BJ118" s="4" t="n"/>
      <c r="BK118" s="4" t="n"/>
      <c r="BL118" s="4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15</v>
      </c>
      <c r="BR118" s="38" t="n">
        <v>15</v>
      </c>
      <c r="BS118" s="38" t="n">
        <v>15</v>
      </c>
      <c r="BT118" s="38" t="n">
        <v>15</v>
      </c>
      <c r="BU118" s="38" t="n">
        <v>15</v>
      </c>
      <c r="BV118" s="38" t="n">
        <v>15</v>
      </c>
      <c r="BW118" s="38" t="n">
        <v>14</v>
      </c>
      <c r="BX118" s="38" t="n">
        <v>14</v>
      </c>
      <c r="BY118" s="38" t="n">
        <v>14</v>
      </c>
      <c r="BZ118" s="38" t="n">
        <v>14</v>
      </c>
      <c r="CA118" s="38" t="n">
        <v>14</v>
      </c>
      <c r="CB118" s="38" t="n">
        <v>14</v>
      </c>
      <c r="CC118" s="9" t="n">
        <v>14</v>
      </c>
      <c r="CD118" s="9" t="n">
        <v>14</v>
      </c>
      <c r="CE118" s="9" t="n">
        <v>14</v>
      </c>
      <c r="CF118" s="246">
        <f>CD118+IF(NOT(ISBLANK(OFFSET(CF118,0,6))),N(OFFSET(CF118,0,6)),N(OFFSET(CF118,0,7)))-CE118</f>
        <v/>
      </c>
      <c r="CH118" s="69" t="n"/>
      <c r="DP118" s="6" t="n"/>
    </row>
    <row r="119" ht="18.75" customHeight="1">
      <c r="A119" s="238" t="inlineStr">
        <is>
          <t>CARTUCHO P</t>
        </is>
      </c>
      <c r="B119" s="36" t="n">
        <v>200</v>
      </c>
      <c r="C119" s="668" t="n"/>
      <c r="D119" s="36" t="n"/>
      <c r="E119" s="53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  <c r="AA119" s="4" t="n"/>
      <c r="AB119" s="4" t="n"/>
      <c r="AC119" s="4" t="n"/>
      <c r="AD119" s="4" t="n"/>
      <c r="AE119" s="4" t="n"/>
      <c r="AF119" s="4" t="n"/>
      <c r="AG119" s="4" t="n"/>
      <c r="AH119" s="4" t="n"/>
      <c r="AI119" s="4" t="n"/>
      <c r="AJ119" s="4" t="n"/>
      <c r="AK119" s="4" t="n"/>
      <c r="AL119" s="4" t="n"/>
      <c r="AM119" s="4" t="n"/>
      <c r="AN119" s="4" t="n"/>
      <c r="AO119" s="4" t="n"/>
      <c r="AP119" s="4" t="n"/>
      <c r="AQ119" s="4" t="n"/>
      <c r="AR119" s="4" t="n"/>
      <c r="AS119" s="4" t="n"/>
      <c r="AT119" s="4" t="n"/>
      <c r="AU119" s="4" t="n"/>
      <c r="AV119" s="4" t="n"/>
      <c r="AW119" s="4" t="n"/>
      <c r="AX119" s="4" t="n"/>
      <c r="AY119" s="4" t="n"/>
      <c r="AZ119" s="4" t="n"/>
      <c r="BA119" s="4" t="n"/>
      <c r="BB119" s="4" t="n"/>
      <c r="BC119" s="4" t="n"/>
      <c r="BD119" s="4" t="n"/>
      <c r="BE119" s="4" t="n"/>
      <c r="BF119" s="4" t="n"/>
      <c r="BG119" s="4" t="n"/>
      <c r="BH119" s="4" t="n"/>
      <c r="BI119" s="4" t="n"/>
      <c r="BJ119" s="4" t="n"/>
      <c r="BK119" s="4" t="n"/>
      <c r="BL119" s="4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 t="n">
        <v>0</v>
      </c>
      <c r="BS119" s="38" t="n">
        <v>0</v>
      </c>
      <c r="BT119" s="38" t="n">
        <v>0</v>
      </c>
      <c r="BU119" s="38" t="n">
        <v>0</v>
      </c>
      <c r="BV119" s="38" t="n">
        <v>0</v>
      </c>
      <c r="BW119" s="38" t="n">
        <v>0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38" t="n">
        <v>0</v>
      </c>
      <c r="CC119" s="9" t="n">
        <v>0</v>
      </c>
      <c r="CD119" s="9" t="n">
        <v>0</v>
      </c>
      <c r="CE119" s="9" t="n">
        <v>0</v>
      </c>
      <c r="CF119" s="246">
        <f>CD119+IF(NOT(ISBLANK(OFFSET(CF119,0,6))),N(OFFSET(CF119,0,6)),N(OFFSET(CF119,0,7)))-CE119</f>
        <v/>
      </c>
      <c r="CH119" s="69" t="n"/>
      <c r="DP119" s="6" t="n"/>
    </row>
    <row r="120" ht="18.75" customHeight="1">
      <c r="E120" s="53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  <c r="AA120" s="4" t="n"/>
      <c r="AB120" s="4" t="n"/>
      <c r="AC120" s="4" t="n"/>
      <c r="AD120" s="4" t="n"/>
      <c r="AE120" s="4" t="n"/>
      <c r="AF120" s="4" t="n"/>
      <c r="AG120" s="4" t="n"/>
      <c r="AH120" s="4" t="n"/>
      <c r="AI120" s="4" t="n"/>
      <c r="AJ120" s="4" t="n"/>
      <c r="AK120" s="4" t="n"/>
      <c r="AL120" s="4" t="n"/>
      <c r="AM120" s="4" t="n"/>
      <c r="AN120" s="4" t="n"/>
      <c r="AO120" s="4" t="n"/>
      <c r="AP120" s="4" t="n"/>
      <c r="AQ120" s="4" t="n"/>
      <c r="AR120" s="4" t="n"/>
      <c r="AS120" s="4" t="n"/>
      <c r="AT120" s="4" t="n"/>
      <c r="AU120" s="4" t="n"/>
      <c r="AV120" s="4" t="n"/>
      <c r="AW120" s="4" t="n"/>
      <c r="AX120" s="4" t="n"/>
      <c r="AY120" s="4" t="n"/>
      <c r="AZ120" s="4" t="n"/>
      <c r="BA120" s="4" t="n"/>
      <c r="BB120" s="4" t="n"/>
      <c r="BC120" s="4" t="n"/>
      <c r="BD120" s="4" t="n"/>
      <c r="BE120" s="4" t="n"/>
      <c r="BF120" s="4" t="n"/>
      <c r="BG120" s="4" t="n"/>
      <c r="BH120" s="4" t="n"/>
      <c r="BI120" s="4" t="n"/>
      <c r="BJ120" s="4" t="n"/>
      <c r="BK120" s="4" t="n"/>
      <c r="BL120" s="4" t="n"/>
      <c r="CH120" s="69" t="n"/>
      <c r="DP120" s="6" t="n"/>
    </row>
    <row r="121" ht="18.75" customHeight="1">
      <c r="A121" s="410" t="inlineStr">
        <is>
          <t>BOTICÁRIO MÃES/26</t>
        </is>
      </c>
      <c r="B121" s="357" t="inlineStr">
        <is>
          <t>PC</t>
        </is>
      </c>
      <c r="C121" s="357" t="inlineStr">
        <is>
          <t>R$</t>
        </is>
      </c>
      <c r="D121" s="357" t="n"/>
      <c r="E121" s="53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  <c r="AA121" s="4" t="n"/>
      <c r="AB121" s="4" t="n"/>
      <c r="AC121" s="4" t="n"/>
      <c r="AD121" s="4" t="n"/>
      <c r="AE121" s="4" t="n"/>
      <c r="AF121" s="4" t="n"/>
      <c r="AG121" s="4" t="n"/>
      <c r="AH121" s="4" t="n"/>
      <c r="AI121" s="4" t="n"/>
      <c r="AJ121" s="4" t="n"/>
      <c r="AK121" s="4" t="n"/>
      <c r="AL121" s="4" t="n"/>
      <c r="AM121" s="4" t="n"/>
      <c r="AN121" s="4" t="n"/>
      <c r="AO121" s="4" t="n"/>
      <c r="AP121" s="4" t="n"/>
      <c r="AQ121" s="4" t="n"/>
      <c r="AR121" s="4" t="n"/>
      <c r="AS121" s="4" t="n"/>
      <c r="AT121" s="4" t="n"/>
      <c r="AU121" s="4" t="n"/>
      <c r="AV121" s="4" t="n"/>
      <c r="AW121" s="4" t="n"/>
      <c r="AX121" s="4" t="n"/>
      <c r="AY121" s="4" t="n"/>
      <c r="AZ121" s="4" t="n"/>
      <c r="BA121" s="4" t="n"/>
      <c r="BB121" s="4" t="n"/>
      <c r="BC121" s="4" t="n"/>
      <c r="BD121" s="4" t="n"/>
      <c r="BE121" s="4" t="n"/>
      <c r="BF121" s="4" t="n"/>
      <c r="BG121" s="4" t="n"/>
      <c r="BH121" s="4" t="n"/>
      <c r="BI121" s="4" t="n"/>
      <c r="BJ121" s="4" t="n"/>
      <c r="BK121" s="4" t="n"/>
      <c r="BL121" s="4" t="n"/>
      <c r="BM121" s="650" t="n">
        <v>46069</v>
      </c>
      <c r="BN121" s="650" t="n">
        <v>46076</v>
      </c>
      <c r="BO121" s="650" t="n">
        <v>46083</v>
      </c>
      <c r="BP121" s="650" t="n">
        <v>46090</v>
      </c>
      <c r="BQ121" s="650" t="n">
        <v>46097</v>
      </c>
      <c r="BR121" s="650" t="n">
        <v>46104</v>
      </c>
      <c r="BS121" s="650" t="n">
        <v>46111</v>
      </c>
      <c r="BT121" s="650" t="n">
        <v>46118</v>
      </c>
      <c r="BU121" s="650" t="n">
        <v>46125</v>
      </c>
      <c r="BV121" s="650" t="n">
        <v>46132</v>
      </c>
      <c r="BW121" s="650" t="n">
        <v>46139</v>
      </c>
      <c r="BX121" s="650" t="n">
        <v>46146</v>
      </c>
      <c r="BY121" s="650" t="n">
        <v>46154</v>
      </c>
      <c r="BZ121" s="650" t="n">
        <v>46160</v>
      </c>
      <c r="CA121" s="650" t="n">
        <v>46160</v>
      </c>
      <c r="CB121" s="650" t="n">
        <v>46160</v>
      </c>
      <c r="CC121" s="651" t="n">
        <v>46161.48004282407</v>
      </c>
      <c r="CD121" s="651" t="n">
        <v>46161.48072087963</v>
      </c>
      <c r="CE121" s="651" t="n">
        <v>46161.48287954571</v>
      </c>
      <c r="CF121" s="660" t="inlineStr">
        <is>
          <t>USOU</t>
        </is>
      </c>
      <c r="CH121" s="69" t="n"/>
      <c r="DP121" s="6" t="n"/>
    </row>
    <row r="122" ht="18.75" customHeight="1">
      <c r="A122" s="33" t="inlineStr">
        <is>
          <t>SACOLA P</t>
        </is>
      </c>
      <c r="B122" s="9" t="n">
        <v>200</v>
      </c>
      <c r="C122" s="662" t="n"/>
      <c r="D122" s="329" t="n"/>
      <c r="E122" s="53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  <c r="AA122" s="4" t="n"/>
      <c r="AB122" s="4" t="n"/>
      <c r="AC122" s="4" t="n"/>
      <c r="AD122" s="4" t="n"/>
      <c r="AE122" s="4" t="n"/>
      <c r="AF122" s="4" t="n"/>
      <c r="AG122" s="4" t="n"/>
      <c r="AH122" s="4" t="n"/>
      <c r="AI122" s="4" t="n"/>
      <c r="AJ122" s="4" t="n"/>
      <c r="AK122" s="4" t="n"/>
      <c r="AL122" s="4" t="n"/>
      <c r="AM122" s="4" t="n"/>
      <c r="AN122" s="4" t="n"/>
      <c r="AO122" s="4" t="n"/>
      <c r="AP122" s="4" t="n"/>
      <c r="AQ122" s="4" t="n"/>
      <c r="AR122" s="4" t="n"/>
      <c r="AS122" s="4" t="n"/>
      <c r="AT122" s="4" t="n"/>
      <c r="AU122" s="4" t="n"/>
      <c r="AV122" s="4" t="n"/>
      <c r="AW122" s="4" t="n"/>
      <c r="AX122" s="4" t="n"/>
      <c r="AY122" s="4" t="n"/>
      <c r="AZ122" s="4" t="n"/>
      <c r="BA122" s="4" t="n"/>
      <c r="BB122" s="4" t="n"/>
      <c r="BC122" s="4" t="n"/>
      <c r="BD122" s="4" t="n"/>
      <c r="BE122" s="4" t="n"/>
      <c r="BF122" s="4" t="n"/>
      <c r="BG122" s="4" t="n"/>
      <c r="BH122" s="4" t="n"/>
      <c r="BI122" s="4" t="n"/>
      <c r="BJ122" s="4" t="n"/>
      <c r="BK122" s="4" t="n"/>
      <c r="BL122" s="4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 t="n">
        <v>0</v>
      </c>
      <c r="BS122" s="38">
        <f>CL9</f>
        <v/>
      </c>
      <c r="BT122" s="38" t="n">
        <v>2000</v>
      </c>
      <c r="BU122" s="38" t="n">
        <v>2000</v>
      </c>
      <c r="BV122" s="38" t="n">
        <v>2000</v>
      </c>
      <c r="BW122" s="38" t="n">
        <v>700</v>
      </c>
      <c r="BX122" s="38" t="n">
        <v>400</v>
      </c>
      <c r="BY122" s="38" t="n">
        <v>0</v>
      </c>
      <c r="BZ122" s="38" t="n"/>
      <c r="CA122" s="38" t="n"/>
      <c r="CB122" s="38" t="n"/>
      <c r="CC122" s="9" t="n"/>
      <c r="CD122" s="9" t="n"/>
      <c r="CE122" s="9" t="n"/>
      <c r="CF122" s="246">
        <f>CD122+IF(NOT(ISBLANK(OFFSET(CF122,0,6))),N(OFFSET(CF122,0,6)),N(OFFSET(CF122,0,7)))-CE122</f>
        <v/>
      </c>
      <c r="CH122" s="69" t="n"/>
      <c r="DP122" s="6" t="n"/>
    </row>
    <row r="123" ht="18.75" customHeight="1">
      <c r="A123" s="33" t="inlineStr">
        <is>
          <t>SACOLA M</t>
        </is>
      </c>
      <c r="B123" s="9" t="n">
        <v>200</v>
      </c>
      <c r="C123" s="662" t="n"/>
      <c r="D123" s="329" t="n"/>
      <c r="E123" s="53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  <c r="AA123" s="4" t="n"/>
      <c r="AB123" s="4" t="n"/>
      <c r="AC123" s="4" t="n"/>
      <c r="AD123" s="4" t="n"/>
      <c r="AE123" s="4" t="n"/>
      <c r="AF123" s="4" t="n"/>
      <c r="AG123" s="4" t="n"/>
      <c r="AH123" s="4" t="n"/>
      <c r="AI123" s="4" t="n"/>
      <c r="AJ123" s="4" t="n"/>
      <c r="AK123" s="4" t="n"/>
      <c r="AL123" s="4" t="n"/>
      <c r="AM123" s="4" t="n"/>
      <c r="AN123" s="4" t="n"/>
      <c r="AO123" s="4" t="n"/>
      <c r="AP123" s="4" t="n"/>
      <c r="AQ123" s="4" t="n"/>
      <c r="AR123" s="4" t="n"/>
      <c r="AS123" s="4" t="n"/>
      <c r="AT123" s="4" t="n"/>
      <c r="AU123" s="4" t="n"/>
      <c r="AV123" s="4" t="n"/>
      <c r="AW123" s="4" t="n"/>
      <c r="AX123" s="4" t="n"/>
      <c r="AY123" s="4" t="n"/>
      <c r="AZ123" s="4" t="n"/>
      <c r="BA123" s="4" t="n"/>
      <c r="BB123" s="4" t="n"/>
      <c r="BC123" s="4" t="n"/>
      <c r="BD123" s="4" t="n"/>
      <c r="BE123" s="4" t="n"/>
      <c r="BF123" s="4" t="n"/>
      <c r="BG123" s="4" t="n"/>
      <c r="BH123" s="4" t="n"/>
      <c r="BI123" s="4" t="n"/>
      <c r="BJ123" s="4" t="n"/>
      <c r="BK123" s="4" t="n"/>
      <c r="BL123" s="4" t="n"/>
      <c r="BM123" s="38" t="n">
        <v>0</v>
      </c>
      <c r="BN123" s="38" t="n">
        <v>0</v>
      </c>
      <c r="BO123" s="38" t="n">
        <v>0</v>
      </c>
      <c r="BP123" s="38" t="n">
        <v>0</v>
      </c>
      <c r="BQ123" s="38" t="n">
        <v>0</v>
      </c>
      <c r="BR123" s="38" t="n">
        <v>0</v>
      </c>
      <c r="BS123" s="38">
        <f>CL10</f>
        <v/>
      </c>
      <c r="BT123" s="38" t="n">
        <v>600</v>
      </c>
      <c r="BU123" s="38" t="n">
        <v>600</v>
      </c>
      <c r="BV123" s="38" t="n">
        <v>600</v>
      </c>
      <c r="BW123" s="38" t="n">
        <v>600</v>
      </c>
      <c r="BX123" s="38" t="n">
        <v>225</v>
      </c>
      <c r="BY123" s="38" t="n">
        <v>0</v>
      </c>
      <c r="BZ123" s="38" t="n"/>
      <c r="CA123" s="38" t="n"/>
      <c r="CB123" s="38" t="n"/>
      <c r="CC123" s="9" t="n"/>
      <c r="CD123" s="9" t="n"/>
      <c r="CE123" s="9" t="n"/>
      <c r="CF123" s="246">
        <f>CD123+IF(NOT(ISBLANK(OFFSET(CF123,0,6))),N(OFFSET(CF123,0,6)),N(OFFSET(CF123,0,7)))-CE123</f>
        <v/>
      </c>
      <c r="CH123" s="69" t="n"/>
      <c r="DP123" s="6" t="n"/>
    </row>
    <row r="124" ht="18.75" customHeight="1">
      <c r="A124" s="33" t="inlineStr">
        <is>
          <t>SACOLA G</t>
        </is>
      </c>
      <c r="B124" s="9" t="n">
        <v>100</v>
      </c>
      <c r="C124" s="662" t="n"/>
      <c r="D124" s="329" t="n"/>
      <c r="E124" s="53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  <c r="AA124" s="4" t="n"/>
      <c r="AB124" s="4" t="n"/>
      <c r="AC124" s="4" t="n"/>
      <c r="AD124" s="4" t="n"/>
      <c r="AE124" s="4" t="n"/>
      <c r="AF124" s="4" t="n"/>
      <c r="AG124" s="4" t="n"/>
      <c r="AH124" s="4" t="n"/>
      <c r="AI124" s="4" t="n"/>
      <c r="AJ124" s="4" t="n"/>
      <c r="AK124" s="4" t="n"/>
      <c r="AL124" s="4" t="n"/>
      <c r="AM124" s="4" t="n"/>
      <c r="AN124" s="4" t="n"/>
      <c r="AO124" s="4" t="n"/>
      <c r="AP124" s="4" t="n"/>
      <c r="AQ124" s="4" t="n"/>
      <c r="AR124" s="4" t="n"/>
      <c r="AS124" s="4" t="n"/>
      <c r="AT124" s="4" t="n"/>
      <c r="AU124" s="4" t="n"/>
      <c r="AV124" s="4" t="n"/>
      <c r="AW124" s="4" t="n"/>
      <c r="AX124" s="4" t="n"/>
      <c r="AY124" s="4" t="n"/>
      <c r="AZ124" s="4" t="n"/>
      <c r="BA124" s="4" t="n"/>
      <c r="BB124" s="4" t="n"/>
      <c r="BC124" s="4" t="n"/>
      <c r="BD124" s="4" t="n"/>
      <c r="BE124" s="4" t="n"/>
      <c r="BF124" s="4" t="n"/>
      <c r="BG124" s="4" t="n"/>
      <c r="BH124" s="4" t="n"/>
      <c r="BI124" s="4" t="n"/>
      <c r="BJ124" s="4" t="n"/>
      <c r="BK124" s="4" t="n"/>
      <c r="BL124" s="4" t="n"/>
      <c r="BM124" s="38" t="n">
        <v>0</v>
      </c>
      <c r="BN124" s="38" t="n">
        <v>0</v>
      </c>
      <c r="BO124" s="38" t="n">
        <v>0</v>
      </c>
      <c r="BP124" s="38" t="n">
        <v>0</v>
      </c>
      <c r="BQ124" s="38" t="n">
        <v>0</v>
      </c>
      <c r="BR124" s="38" t="n">
        <v>0</v>
      </c>
      <c r="BS124" s="38">
        <f>CL11</f>
        <v/>
      </c>
      <c r="BT124" s="38" t="n">
        <v>300</v>
      </c>
      <c r="BU124" s="38" t="n">
        <v>300</v>
      </c>
      <c r="BV124" s="38" t="n">
        <v>300</v>
      </c>
      <c r="BW124" s="38" t="n">
        <v>200</v>
      </c>
      <c r="BX124" s="38" t="n">
        <v>175</v>
      </c>
      <c r="BY124" s="38" t="n">
        <v>0</v>
      </c>
      <c r="BZ124" s="38" t="n"/>
      <c r="CA124" s="38" t="n"/>
      <c r="CB124" s="38" t="n"/>
      <c r="CC124" s="9" t="n"/>
      <c r="CD124" s="9" t="n"/>
      <c r="CE124" s="9" t="n"/>
      <c r="CF124" s="246">
        <f>CD124+IF(NOT(ISBLANK(OFFSET(CF124,0,6))),N(OFFSET(CF124,0,6)),N(OFFSET(CF124,0,7)))-CE124</f>
        <v/>
      </c>
      <c r="CH124" s="69" t="n"/>
      <c r="DP124" s="6" t="n"/>
    </row>
    <row r="125" ht="18.75" customHeight="1">
      <c r="A125" s="33" t="inlineStr">
        <is>
          <t>SACOLA P VENDA</t>
        </is>
      </c>
      <c r="B125" s="9" t="n">
        <v>200</v>
      </c>
      <c r="C125" s="662" t="n"/>
      <c r="D125" s="329" t="n"/>
      <c r="E125" s="53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  <c r="AA125" s="4" t="n"/>
      <c r="AB125" s="4" t="n"/>
      <c r="AC125" s="4" t="n"/>
      <c r="AD125" s="4" t="n"/>
      <c r="AE125" s="4" t="n"/>
      <c r="AF125" s="4" t="n"/>
      <c r="AG125" s="4" t="n"/>
      <c r="AH125" s="4" t="n"/>
      <c r="AI125" s="4" t="n"/>
      <c r="AJ125" s="4" t="n"/>
      <c r="AK125" s="4" t="n"/>
      <c r="AL125" s="4" t="n"/>
      <c r="AM125" s="4" t="n"/>
      <c r="AN125" s="4" t="n"/>
      <c r="AO125" s="4" t="n"/>
      <c r="AP125" s="4" t="n"/>
      <c r="AQ125" s="4" t="n"/>
      <c r="AR125" s="4" t="n"/>
      <c r="AS125" s="4" t="n"/>
      <c r="AT125" s="4" t="n"/>
      <c r="AU125" s="4" t="n"/>
      <c r="AV125" s="4" t="n"/>
      <c r="AW125" s="4" t="n"/>
      <c r="AX125" s="4" t="n"/>
      <c r="AY125" s="4" t="n"/>
      <c r="AZ125" s="4" t="n"/>
      <c r="BA125" s="4" t="n"/>
      <c r="BB125" s="4" t="n"/>
      <c r="BC125" s="4" t="n"/>
      <c r="BD125" s="4" t="n"/>
      <c r="BE125" s="4" t="n"/>
      <c r="BF125" s="4" t="n"/>
      <c r="BG125" s="4" t="n"/>
      <c r="BH125" s="4" t="n"/>
      <c r="BI125" s="4" t="n"/>
      <c r="BJ125" s="4" t="n"/>
      <c r="BK125" s="4" t="n"/>
      <c r="BL125" s="4" t="n"/>
      <c r="BM125" s="38" t="n">
        <v>0</v>
      </c>
      <c r="BN125" s="38" t="n">
        <v>0</v>
      </c>
      <c r="BO125" s="38" t="n">
        <v>0</v>
      </c>
      <c r="BP125" s="38" t="n">
        <v>0</v>
      </c>
      <c r="BQ125" s="38" t="n">
        <v>0</v>
      </c>
      <c r="BR125" s="38" t="n">
        <v>0</v>
      </c>
      <c r="BS125" s="38" t="n">
        <v>0</v>
      </c>
      <c r="BT125" s="38" t="n"/>
      <c r="BU125" s="38" t="n"/>
      <c r="BV125" s="38" t="n"/>
      <c r="BW125" s="38" t="n">
        <v>100</v>
      </c>
      <c r="BX125" s="38" t="n">
        <v>100</v>
      </c>
      <c r="BY125" s="38" t="n">
        <v>80</v>
      </c>
      <c r="BZ125" s="38" t="n">
        <v>80</v>
      </c>
      <c r="CA125" s="38" t="n">
        <v>80</v>
      </c>
      <c r="CB125" s="38" t="n">
        <v>80</v>
      </c>
      <c r="CC125" s="9" t="n">
        <v>80</v>
      </c>
      <c r="CD125" s="9" t="n">
        <v>80</v>
      </c>
      <c r="CE125" s="9" t="n">
        <v>80</v>
      </c>
      <c r="CF125" s="246">
        <f>CD125+IF(NOT(ISBLANK(OFFSET(CF125,0,6))),N(OFFSET(CF125,0,6)),N(OFFSET(CF125,0,7)))-CE125</f>
        <v/>
      </c>
      <c r="CH125" s="69" t="n"/>
      <c r="DP125" s="6" t="n"/>
    </row>
    <row r="126" ht="18.75" customHeight="1">
      <c r="A126" s="33" t="inlineStr">
        <is>
          <t>SACOLA M VENDA</t>
        </is>
      </c>
      <c r="B126" s="9" t="n">
        <v>200</v>
      </c>
      <c r="C126" s="662" t="n"/>
      <c r="D126" s="329" t="n"/>
      <c r="E126" s="53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  <c r="AA126" s="4" t="n"/>
      <c r="AB126" s="4" t="n"/>
      <c r="AC126" s="4" t="n"/>
      <c r="AD126" s="4" t="n"/>
      <c r="AE126" s="4" t="n"/>
      <c r="AF126" s="4" t="n"/>
      <c r="AG126" s="4" t="n"/>
      <c r="AH126" s="4" t="n"/>
      <c r="AI126" s="4" t="n"/>
      <c r="AJ126" s="4" t="n"/>
      <c r="AK126" s="4" t="n"/>
      <c r="AL126" s="4" t="n"/>
      <c r="AM126" s="4" t="n"/>
      <c r="AN126" s="4" t="n"/>
      <c r="AO126" s="4" t="n"/>
      <c r="AP126" s="4" t="n"/>
      <c r="AQ126" s="4" t="n"/>
      <c r="AR126" s="4" t="n"/>
      <c r="AS126" s="4" t="n"/>
      <c r="AT126" s="4" t="n"/>
      <c r="AU126" s="4" t="n"/>
      <c r="AV126" s="4" t="n"/>
      <c r="AW126" s="4" t="n"/>
      <c r="AX126" s="4" t="n"/>
      <c r="AY126" s="4" t="n"/>
      <c r="AZ126" s="4" t="n"/>
      <c r="BA126" s="4" t="n"/>
      <c r="BB126" s="4" t="n"/>
      <c r="BC126" s="4" t="n"/>
      <c r="BD126" s="4" t="n"/>
      <c r="BE126" s="4" t="n"/>
      <c r="BF126" s="4" t="n"/>
      <c r="BG126" s="4" t="n"/>
      <c r="BH126" s="4" t="n"/>
      <c r="BI126" s="4" t="n"/>
      <c r="BJ126" s="4" t="n"/>
      <c r="BK126" s="4" t="n"/>
      <c r="BL126" s="4" t="n"/>
      <c r="BM126" s="38" t="n">
        <v>0</v>
      </c>
      <c r="BN126" s="38" t="n">
        <v>0</v>
      </c>
      <c r="BO126" s="38" t="n">
        <v>0</v>
      </c>
      <c r="BP126" s="38" t="n">
        <v>0</v>
      </c>
      <c r="BQ126" s="38" t="n">
        <v>0</v>
      </c>
      <c r="BR126" s="38" t="n">
        <v>0</v>
      </c>
      <c r="BS126" s="38" t="n">
        <v>0</v>
      </c>
      <c r="BT126" s="38" t="n"/>
      <c r="BU126" s="38" t="n"/>
      <c r="BV126" s="38" t="n"/>
      <c r="BW126" s="38" t="n">
        <v>200</v>
      </c>
      <c r="BX126" s="38" t="n">
        <v>199</v>
      </c>
      <c r="BY126" s="38" t="n">
        <v>189</v>
      </c>
      <c r="BZ126" s="38" t="n">
        <v>189</v>
      </c>
      <c r="CA126" s="38" t="n">
        <v>189</v>
      </c>
      <c r="CB126" s="38" t="n">
        <v>189</v>
      </c>
      <c r="CC126" s="9" t="n">
        <v>189</v>
      </c>
      <c r="CD126" s="9" t="n">
        <v>189</v>
      </c>
      <c r="CE126" s="9" t="n">
        <v>189</v>
      </c>
      <c r="CF126" s="246">
        <f>CD126+IF(NOT(ISBLANK(OFFSET(CF126,0,6))),N(OFFSET(CF126,0,6)),N(OFFSET(CF126,0,7)))-CE126</f>
        <v/>
      </c>
      <c r="CH126" s="69" t="n"/>
      <c r="DP126" s="6" t="n"/>
    </row>
    <row r="127" ht="18.75" customHeight="1">
      <c r="A127" s="33" t="inlineStr">
        <is>
          <t>SACOLA G VENDA</t>
        </is>
      </c>
      <c r="B127" s="9" t="n">
        <v>100</v>
      </c>
      <c r="C127" s="662" t="n"/>
      <c r="D127" s="329" t="n"/>
      <c r="E127" s="53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  <c r="AA127" s="4" t="n"/>
      <c r="AB127" s="4" t="n"/>
      <c r="AC127" s="4" t="n"/>
      <c r="AD127" s="4" t="n"/>
      <c r="AE127" s="4" t="n"/>
      <c r="AF127" s="4" t="n"/>
      <c r="AG127" s="4" t="n"/>
      <c r="AH127" s="4" t="n"/>
      <c r="AI127" s="4" t="n"/>
      <c r="AJ127" s="4" t="n"/>
      <c r="AK127" s="4" t="n"/>
      <c r="AL127" s="4" t="n"/>
      <c r="AM127" s="4" t="n"/>
      <c r="AN127" s="4" t="n"/>
      <c r="AO127" s="4" t="n"/>
      <c r="AP127" s="4" t="n"/>
      <c r="AQ127" s="4" t="n"/>
      <c r="AR127" s="4" t="n"/>
      <c r="AS127" s="4" t="n"/>
      <c r="AT127" s="4" t="n"/>
      <c r="AU127" s="4" t="n"/>
      <c r="AV127" s="4" t="n"/>
      <c r="AW127" s="4" t="n"/>
      <c r="AX127" s="4" t="n"/>
      <c r="AY127" s="4" t="n"/>
      <c r="AZ127" s="4" t="n"/>
      <c r="BA127" s="4" t="n"/>
      <c r="BB127" s="4" t="n"/>
      <c r="BC127" s="4" t="n"/>
      <c r="BD127" s="4" t="n"/>
      <c r="BE127" s="4" t="n"/>
      <c r="BF127" s="4" t="n"/>
      <c r="BG127" s="4" t="n"/>
      <c r="BH127" s="4" t="n"/>
      <c r="BI127" s="4" t="n"/>
      <c r="BJ127" s="4" t="n"/>
      <c r="BK127" s="4" t="n"/>
      <c r="BL127" s="4" t="n"/>
      <c r="BM127" s="38" t="n">
        <v>0</v>
      </c>
      <c r="BN127" s="38" t="n">
        <v>0</v>
      </c>
      <c r="BO127" s="38" t="n">
        <v>0</v>
      </c>
      <c r="BP127" s="38" t="n">
        <v>0</v>
      </c>
      <c r="BQ127" s="38" t="n">
        <v>0</v>
      </c>
      <c r="BR127" s="38" t="n">
        <v>0</v>
      </c>
      <c r="BS127" s="38" t="n">
        <v>0</v>
      </c>
      <c r="BT127" s="38" t="n"/>
      <c r="BU127" s="38" t="n"/>
      <c r="BV127" s="38" t="n"/>
      <c r="BW127" s="38" t="n">
        <v>50</v>
      </c>
      <c r="BX127" s="38" t="n">
        <v>50</v>
      </c>
      <c r="BY127" s="38" t="n">
        <v>0</v>
      </c>
      <c r="BZ127" s="38" t="n">
        <v>0</v>
      </c>
      <c r="CA127" s="38" t="n"/>
      <c r="CB127" s="38" t="n"/>
      <c r="CC127" s="9" t="n"/>
      <c r="CD127" s="9" t="n"/>
      <c r="CE127" s="9" t="n"/>
      <c r="CF127" s="246">
        <f>CD127+IF(NOT(ISBLANK(OFFSET(CF127,0,6))),N(OFFSET(CF127,0,6)),N(OFFSET(CF127,0,7)))-CE127</f>
        <v/>
      </c>
      <c r="CH127" s="69" t="n"/>
      <c r="DP127" s="6" t="n"/>
    </row>
    <row r="128" ht="18.75" customHeight="1">
      <c r="A128" s="238" t="inlineStr">
        <is>
          <t>KIT PAPEL DE SEDA 10 C/ 20</t>
        </is>
      </c>
      <c r="B128" s="36" t="n">
        <v>200</v>
      </c>
      <c r="C128" s="668" t="n"/>
      <c r="D128" s="36" t="n"/>
      <c r="E128" s="53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  <c r="AA128" s="4" t="n"/>
      <c r="AB128" s="4" t="n"/>
      <c r="AC128" s="4" t="n"/>
      <c r="AD128" s="4" t="n"/>
      <c r="AE128" s="4" t="n"/>
      <c r="AF128" s="4" t="n"/>
      <c r="AG128" s="4" t="n"/>
      <c r="AH128" s="4" t="n"/>
      <c r="AI128" s="4" t="n"/>
      <c r="AJ128" s="4" t="n"/>
      <c r="AK128" s="4" t="n"/>
      <c r="AL128" s="4" t="n"/>
      <c r="AM128" s="4" t="n"/>
      <c r="AN128" s="4" t="n"/>
      <c r="AO128" s="4" t="n"/>
      <c r="AP128" s="4" t="n"/>
      <c r="AQ128" s="4" t="n"/>
      <c r="AR128" s="4" t="n"/>
      <c r="AS128" s="4" t="n"/>
      <c r="AT128" s="4" t="n"/>
      <c r="AU128" s="4" t="n"/>
      <c r="AV128" s="4" t="n"/>
      <c r="AW128" s="4" t="n"/>
      <c r="AX128" s="4" t="n"/>
      <c r="AY128" s="4" t="n"/>
      <c r="AZ128" s="4" t="n"/>
      <c r="BA128" s="4" t="n"/>
      <c r="BB128" s="4" t="n"/>
      <c r="BC128" s="4" t="n"/>
      <c r="BD128" s="4" t="n"/>
      <c r="BE128" s="4" t="n"/>
      <c r="BF128" s="4" t="n"/>
      <c r="BG128" s="4" t="n"/>
      <c r="BH128" s="4" t="n"/>
      <c r="BI128" s="4" t="n"/>
      <c r="BJ128" s="4" t="n"/>
      <c r="BK128" s="4" t="n"/>
      <c r="BL128" s="4" t="n"/>
      <c r="BM128" s="38" t="n">
        <v>0</v>
      </c>
      <c r="BN128" s="38" t="n">
        <v>0</v>
      </c>
      <c r="BO128" s="38" t="n">
        <v>0</v>
      </c>
      <c r="BP128" s="38" t="n">
        <v>0</v>
      </c>
      <c r="BQ128" s="38" t="n">
        <v>0</v>
      </c>
      <c r="BR128" s="38" t="n">
        <v>0</v>
      </c>
      <c r="BS128" s="38" t="n">
        <v>0</v>
      </c>
      <c r="BT128" s="38" t="n"/>
      <c r="BU128" s="38" t="n"/>
      <c r="BV128" s="38" t="n"/>
      <c r="BW128" s="38" t="n">
        <v>0</v>
      </c>
      <c r="BX128" s="38" t="n">
        <v>0</v>
      </c>
      <c r="BY128" s="38" t="n">
        <v>0</v>
      </c>
      <c r="BZ128" s="38" t="n">
        <v>0</v>
      </c>
      <c r="CA128" s="38" t="n">
        <v>0</v>
      </c>
      <c r="CB128" s="38" t="n">
        <v>0</v>
      </c>
      <c r="CC128" s="9" t="n">
        <v>0</v>
      </c>
      <c r="CD128" s="9" t="n">
        <v>0</v>
      </c>
      <c r="CE128" s="9" t="n">
        <v>0</v>
      </c>
      <c r="CF128" s="246">
        <f>CD128+IF(NOT(ISBLANK(OFFSET(CF128,0,6))),N(OFFSET(CF128,0,6)),N(OFFSET(CF128,0,7)))-CE128</f>
        <v/>
      </c>
      <c r="CH128" s="69" t="n"/>
      <c r="DP128" s="6" t="n"/>
    </row>
    <row r="129" ht="18.75" customHeight="1">
      <c r="A129" s="238" t="inlineStr">
        <is>
          <t>CAIXA P</t>
        </is>
      </c>
      <c r="B129" s="36" t="n">
        <v>150</v>
      </c>
      <c r="C129" s="668" t="n"/>
      <c r="D129" s="36" t="n"/>
      <c r="E129" s="53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  <c r="AA129" s="4" t="n"/>
      <c r="AB129" s="4" t="n"/>
      <c r="AC129" s="4" t="n"/>
      <c r="AD129" s="4" t="n"/>
      <c r="AE129" s="4" t="n"/>
      <c r="AF129" s="4" t="n"/>
      <c r="AG129" s="4" t="n"/>
      <c r="AH129" s="4" t="n"/>
      <c r="AI129" s="4" t="n"/>
      <c r="AJ129" s="4" t="n"/>
      <c r="AK129" s="4" t="n"/>
      <c r="AL129" s="4" t="n"/>
      <c r="AM129" s="4" t="n"/>
      <c r="AN129" s="4" t="n"/>
      <c r="AO129" s="4" t="n"/>
      <c r="AP129" s="4" t="n"/>
      <c r="AQ129" s="4" t="n"/>
      <c r="AR129" s="4" t="n"/>
      <c r="AS129" s="4" t="n"/>
      <c r="AT129" s="4" t="n"/>
      <c r="AU129" s="4" t="n"/>
      <c r="AV129" s="4" t="n"/>
      <c r="AW129" s="4" t="n"/>
      <c r="AX129" s="4" t="n"/>
      <c r="AY129" s="4" t="n"/>
      <c r="AZ129" s="4" t="n"/>
      <c r="BA129" s="4" t="n"/>
      <c r="BB129" s="4" t="n"/>
      <c r="BC129" s="4" t="n"/>
      <c r="BD129" s="4" t="n"/>
      <c r="BE129" s="4" t="n"/>
      <c r="BF129" s="4" t="n"/>
      <c r="BG129" s="4" t="n"/>
      <c r="BH129" s="4" t="n"/>
      <c r="BI129" s="4" t="n"/>
      <c r="BJ129" s="4" t="n"/>
      <c r="BK129" s="4" t="n"/>
      <c r="BL129" s="4" t="n"/>
      <c r="BM129" s="38" t="n">
        <v>0</v>
      </c>
      <c r="BN129" s="38" t="n">
        <v>0</v>
      </c>
      <c r="BO129" s="38" t="n">
        <v>0</v>
      </c>
      <c r="BP129" s="38" t="n">
        <v>0</v>
      </c>
      <c r="BQ129" s="38" t="n">
        <v>0</v>
      </c>
      <c r="BR129" s="38" t="n">
        <v>0</v>
      </c>
      <c r="BS129" s="38" t="n">
        <v>0</v>
      </c>
      <c r="BT129" s="38" t="n"/>
      <c r="BU129" s="38" t="n"/>
      <c r="BV129" s="38" t="n"/>
      <c r="BW129" s="38" t="n">
        <v>14</v>
      </c>
      <c r="BX129" s="38" t="n">
        <v>1</v>
      </c>
      <c r="BY129" s="38" t="n">
        <v>1</v>
      </c>
      <c r="BZ129" s="38" t="n">
        <v>1</v>
      </c>
      <c r="CA129" s="38" t="n">
        <v>1</v>
      </c>
      <c r="CB129" s="38" t="n">
        <v>1</v>
      </c>
      <c r="CC129" s="9" t="n">
        <v>1</v>
      </c>
      <c r="CD129" s="9" t="n">
        <v>1</v>
      </c>
      <c r="CE129" s="9" t="n">
        <v>1</v>
      </c>
      <c r="CF129" s="246">
        <f>CD129+IF(NOT(ISBLANK(OFFSET(CF129,0,6))),N(OFFSET(CF129,0,6)),N(OFFSET(CF129,0,7)))-CE129</f>
        <v/>
      </c>
      <c r="CH129" s="69" t="n"/>
      <c r="DP129" s="6" t="n"/>
    </row>
    <row r="130" ht="18.75" customHeight="1">
      <c r="A130" s="238" t="inlineStr">
        <is>
          <t>CAIXA M</t>
        </is>
      </c>
      <c r="B130" s="36" t="n">
        <v>100</v>
      </c>
      <c r="C130" s="668" t="n"/>
      <c r="D130" s="36" t="n"/>
      <c r="E130" s="53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  <c r="AA130" s="4" t="n"/>
      <c r="AB130" s="4" t="n"/>
      <c r="AC130" s="4" t="n"/>
      <c r="AD130" s="4" t="n"/>
      <c r="AE130" s="4" t="n"/>
      <c r="AF130" s="4" t="n"/>
      <c r="AG130" s="4" t="n"/>
      <c r="AH130" s="4" t="n"/>
      <c r="AI130" s="4" t="n"/>
      <c r="AJ130" s="4" t="n"/>
      <c r="AK130" s="4" t="n"/>
      <c r="AL130" s="4" t="n"/>
      <c r="AM130" s="4" t="n"/>
      <c r="AN130" s="4" t="n"/>
      <c r="AO130" s="4" t="n"/>
      <c r="AP130" s="4" t="n"/>
      <c r="AQ130" s="4" t="n"/>
      <c r="AR130" s="4" t="n"/>
      <c r="AS130" s="4" t="n"/>
      <c r="AT130" s="4" t="n"/>
      <c r="AU130" s="4" t="n"/>
      <c r="AV130" s="4" t="n"/>
      <c r="AW130" s="4" t="n"/>
      <c r="AX130" s="4" t="n"/>
      <c r="AY130" s="4" t="n"/>
      <c r="AZ130" s="4" t="n"/>
      <c r="BA130" s="4" t="n"/>
      <c r="BB130" s="4" t="n"/>
      <c r="BC130" s="4" t="n"/>
      <c r="BD130" s="4" t="n"/>
      <c r="BE130" s="4" t="n"/>
      <c r="BF130" s="4" t="n"/>
      <c r="BG130" s="4" t="n"/>
      <c r="BH130" s="4" t="n"/>
      <c r="BI130" s="4" t="n"/>
      <c r="BJ130" s="4" t="n"/>
      <c r="BK130" s="4" t="n"/>
      <c r="BL130" s="4" t="n"/>
      <c r="BM130" s="38" t="n">
        <v>0</v>
      </c>
      <c r="BN130" s="38" t="n">
        <v>0</v>
      </c>
      <c r="BO130" s="38" t="n">
        <v>0</v>
      </c>
      <c r="BP130" s="38" t="n">
        <v>0</v>
      </c>
      <c r="BQ130" s="38" t="n">
        <v>0</v>
      </c>
      <c r="BR130" s="38" t="n">
        <v>0</v>
      </c>
      <c r="BS130" s="38" t="n">
        <v>0</v>
      </c>
      <c r="BT130" s="38" t="n"/>
      <c r="BU130" s="38" t="n"/>
      <c r="BV130" s="38" t="n"/>
      <c r="BW130" s="38" t="n">
        <v>25</v>
      </c>
      <c r="BX130" s="38" t="n">
        <v>20</v>
      </c>
      <c r="BY130" s="38" t="n">
        <v>10</v>
      </c>
      <c r="BZ130" s="38" t="n">
        <v>10</v>
      </c>
      <c r="CA130" s="38" t="n">
        <v>10</v>
      </c>
      <c r="CB130" s="38" t="n">
        <v>10</v>
      </c>
      <c r="CC130" s="9" t="n">
        <v>10</v>
      </c>
      <c r="CD130" s="9" t="n">
        <v>10</v>
      </c>
      <c r="CE130" s="9" t="n">
        <v>10</v>
      </c>
      <c r="CF130" s="246">
        <f>CD130+IF(NOT(ISBLANK(OFFSET(CF130,0,6))),N(OFFSET(CF130,0,6)),N(OFFSET(CF130,0,7)))-CE130</f>
        <v/>
      </c>
      <c r="CH130" s="69" t="n"/>
      <c r="DP130" s="6" t="n"/>
    </row>
    <row r="131" ht="18.75" customHeight="1">
      <c r="A131" s="238" t="inlineStr">
        <is>
          <t>CARTUCHO M</t>
        </is>
      </c>
      <c r="B131" s="36" t="n">
        <v>150</v>
      </c>
      <c r="C131" s="668" t="n"/>
      <c r="D131" s="36" t="n"/>
      <c r="E131" s="53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  <c r="AA131" s="4" t="n"/>
      <c r="AB131" s="4" t="n"/>
      <c r="AC131" s="4" t="n"/>
      <c r="AD131" s="4" t="n"/>
      <c r="AE131" s="4" t="n"/>
      <c r="AF131" s="4" t="n"/>
      <c r="AG131" s="4" t="n"/>
      <c r="AH131" s="4" t="n"/>
      <c r="AI131" s="4" t="n"/>
      <c r="AJ131" s="4" t="n"/>
      <c r="AK131" s="4" t="n"/>
      <c r="AL131" s="4" t="n"/>
      <c r="AM131" s="4" t="n"/>
      <c r="AN131" s="4" t="n"/>
      <c r="AO131" s="4" t="n"/>
      <c r="AP131" s="4" t="n"/>
      <c r="AQ131" s="4" t="n"/>
      <c r="AR131" s="4" t="n"/>
      <c r="AS131" s="4" t="n"/>
      <c r="AT131" s="4" t="n"/>
      <c r="AU131" s="4" t="n"/>
      <c r="AV131" s="4" t="n"/>
      <c r="AW131" s="4" t="n"/>
      <c r="AX131" s="4" t="n"/>
      <c r="AY131" s="4" t="n"/>
      <c r="AZ131" s="4" t="n"/>
      <c r="BA131" s="4" t="n"/>
      <c r="BB131" s="4" t="n"/>
      <c r="BC131" s="4" t="n"/>
      <c r="BD131" s="4" t="n"/>
      <c r="BE131" s="4" t="n"/>
      <c r="BF131" s="4" t="n"/>
      <c r="BG131" s="4" t="n"/>
      <c r="BH131" s="4" t="n"/>
      <c r="BI131" s="4" t="n"/>
      <c r="BJ131" s="4" t="n"/>
      <c r="BK131" s="4" t="n"/>
      <c r="BL131" s="4" t="n"/>
      <c r="BM131" s="38" t="n">
        <v>0</v>
      </c>
      <c r="BN131" s="38" t="n">
        <v>0</v>
      </c>
      <c r="BO131" s="38" t="n">
        <v>0</v>
      </c>
      <c r="BP131" s="38" t="n">
        <v>0</v>
      </c>
      <c r="BQ131" s="38" t="n">
        <v>0</v>
      </c>
      <c r="BR131" s="38" t="n">
        <v>0</v>
      </c>
      <c r="BS131" s="38" t="n">
        <v>0</v>
      </c>
      <c r="BT131" s="38" t="n"/>
      <c r="BU131" s="38" t="n"/>
      <c r="BV131" s="38" t="n"/>
      <c r="BW131" s="38" t="n">
        <v>0</v>
      </c>
      <c r="BX131" s="38" t="n">
        <v>0</v>
      </c>
      <c r="BY131" s="38" t="n">
        <v>0</v>
      </c>
      <c r="BZ131" s="38" t="n">
        <v>0</v>
      </c>
      <c r="CA131" s="38" t="n">
        <v>0</v>
      </c>
      <c r="CB131" s="38" t="n">
        <v>0</v>
      </c>
      <c r="CC131" s="9" t="n">
        <v>0</v>
      </c>
      <c r="CD131" s="9" t="n">
        <v>0</v>
      </c>
      <c r="CE131" s="9" t="n">
        <v>0</v>
      </c>
      <c r="CF131" s="246">
        <f>CD131+IF(NOT(ISBLANK(OFFSET(CF131,0,6))),N(OFFSET(CF131,0,6)),N(OFFSET(CF131,0,7)))-CE131</f>
        <v/>
      </c>
      <c r="CH131" s="69" t="n"/>
      <c r="DP131" s="6" t="n"/>
    </row>
    <row r="132" ht="18.75" customHeight="1">
      <c r="A132" s="31" t="n"/>
      <c r="B132" s="53" t="n"/>
      <c r="C132" s="53" t="n"/>
      <c r="E132" s="53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  <c r="AA132" s="4" t="n"/>
      <c r="AB132" s="4" t="n"/>
      <c r="AC132" s="4" t="n"/>
      <c r="AD132" s="4" t="n"/>
      <c r="AE132" s="4" t="n"/>
      <c r="AF132" s="4" t="n"/>
      <c r="AG132" s="4" t="n"/>
      <c r="AH132" s="4" t="n"/>
      <c r="AI132" s="4" t="n"/>
      <c r="AJ132" s="4" t="n"/>
      <c r="AK132" s="4" t="n"/>
      <c r="AL132" s="4" t="n"/>
      <c r="AM132" s="4" t="n"/>
      <c r="AN132" s="4" t="n"/>
      <c r="AO132" s="4" t="n"/>
      <c r="AP132" s="4" t="n"/>
      <c r="AQ132" s="4" t="n"/>
      <c r="AR132" s="4" t="n"/>
      <c r="AS132" s="4" t="n"/>
      <c r="AT132" s="4" t="n"/>
      <c r="AU132" s="4" t="n"/>
      <c r="AV132" s="4" t="n"/>
      <c r="AW132" s="4" t="n"/>
      <c r="AX132" s="4" t="n"/>
      <c r="AY132" s="4" t="n"/>
      <c r="AZ132" s="4" t="n"/>
      <c r="BA132" s="4" t="n"/>
      <c r="BB132" s="4" t="n"/>
      <c r="BC132" s="4" t="n"/>
      <c r="BD132" s="4" t="n"/>
      <c r="BE132" s="4" t="n"/>
      <c r="BF132" s="4" t="n"/>
      <c r="BG132" s="4" t="n"/>
      <c r="BH132" s="4" t="n"/>
      <c r="BI132" s="4" t="n"/>
      <c r="BJ132" s="4" t="n"/>
      <c r="BK132" s="4" t="n"/>
      <c r="BL132" s="4" t="n"/>
      <c r="BM132" s="4" t="n"/>
      <c r="BN132" s="4" t="n"/>
      <c r="BO132" s="4" t="n"/>
      <c r="BP132" s="4" t="n"/>
      <c r="BQ132" s="4" t="n"/>
      <c r="BR132" s="4" t="n"/>
      <c r="BS132" s="4" t="n"/>
      <c r="BT132" s="4" t="n"/>
      <c r="BU132" s="4" t="n"/>
      <c r="BV132" s="4" t="n"/>
      <c r="BW132" s="4" t="n"/>
      <c r="BX132" s="4" t="n"/>
      <c r="BY132" s="4" t="n"/>
      <c r="BZ132" s="4" t="n"/>
      <c r="CA132" s="4" t="n"/>
      <c r="CB132" s="4" t="n"/>
      <c r="CC132" s="2" t="n"/>
      <c r="CD132" s="2" t="n"/>
      <c r="CE132" s="2" t="n"/>
      <c r="CF132" s="53" t="n"/>
      <c r="CH132" s="69" t="n"/>
      <c r="DP132" s="6" t="n"/>
    </row>
    <row r="133" ht="18.75" customHeight="1">
      <c r="A133" s="31" t="n"/>
      <c r="B133" s="53" t="n"/>
      <c r="C133" s="53" t="n"/>
      <c r="E133" s="53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  <c r="AA133" s="4" t="n"/>
      <c r="AB133" s="4" t="n"/>
      <c r="AC133" s="4" t="n"/>
      <c r="AD133" s="4" t="n"/>
      <c r="AE133" s="4" t="n"/>
      <c r="AF133" s="4" t="n"/>
      <c r="AG133" s="4" t="n"/>
      <c r="AH133" s="4" t="n"/>
      <c r="AI133" s="4" t="n"/>
      <c r="AJ133" s="4" t="n"/>
      <c r="AK133" s="4" t="n"/>
      <c r="AL133" s="4" t="n"/>
      <c r="AM133" s="4" t="n"/>
      <c r="AN133" s="4" t="n"/>
      <c r="AO133" s="4" t="n"/>
      <c r="AP133" s="4" t="n"/>
      <c r="AQ133" s="4" t="n"/>
      <c r="AR133" s="4" t="n"/>
      <c r="AS133" s="4" t="n"/>
      <c r="AT133" s="4" t="n"/>
      <c r="AU133" s="4" t="n"/>
      <c r="AV133" s="4" t="n"/>
      <c r="AW133" s="4" t="n"/>
      <c r="AX133" s="4" t="n"/>
      <c r="AY133" s="4" t="n"/>
      <c r="AZ133" s="4" t="n"/>
      <c r="BA133" s="4" t="n"/>
      <c r="BB133" s="4" t="n"/>
      <c r="BC133" s="4" t="n"/>
      <c r="BD133" s="4" t="n"/>
      <c r="BE133" s="4" t="n"/>
      <c r="BF133" s="4" t="n"/>
      <c r="BG133" s="4" t="n"/>
      <c r="BH133" s="4" t="n"/>
      <c r="BI133" s="4" t="n"/>
      <c r="BJ133" s="4" t="n"/>
      <c r="BK133" s="4" t="n"/>
      <c r="BL133" s="4" t="n"/>
      <c r="BM133" s="4" t="n"/>
      <c r="BN133" s="4" t="n"/>
      <c r="BO133" s="4" t="n"/>
      <c r="BP133" s="4" t="n"/>
      <c r="BQ133" s="4" t="n"/>
      <c r="BR133" s="4" t="n"/>
      <c r="BS133" s="4" t="n"/>
      <c r="BT133" s="4" t="n"/>
      <c r="BU133" s="4" t="n"/>
      <c r="BV133" s="4" t="n"/>
      <c r="BW133" s="4" t="n"/>
      <c r="BX133" s="4" t="n"/>
      <c r="BY133" s="4" t="n"/>
      <c r="BZ133" s="4" t="n"/>
      <c r="CA133" s="4" t="n"/>
      <c r="CB133" s="4" t="n"/>
      <c r="CC133" s="2" t="n"/>
      <c r="CD133" s="2" t="n"/>
      <c r="CE133" s="2" t="n"/>
      <c r="CF133" s="53" t="n"/>
      <c r="CH133" s="69" t="n"/>
      <c r="DQ133" s="271" t="n"/>
    </row>
    <row r="134" ht="18.75" customHeight="1">
      <c r="A134" s="669" t="inlineStr">
        <is>
          <t>SOBRAS DATAS COMEMORATIVAS</t>
        </is>
      </c>
      <c r="B134" s="658" t="n"/>
      <c r="C134" s="670" t="n"/>
      <c r="DQ134" s="271" t="n"/>
    </row>
    <row r="135" ht="18.75" customHeight="1">
      <c r="A135" s="146" t="inlineStr">
        <is>
          <t>ITENS</t>
        </is>
      </c>
      <c r="B135" s="146" t="n"/>
      <c r="C135" s="146" t="inlineStr">
        <is>
          <t>TEMOS EM ESTOQUE</t>
        </is>
      </c>
      <c r="DQ135" s="271" t="n"/>
    </row>
    <row r="136" ht="18.75" customHeight="1">
      <c r="A136" s="193" t="n"/>
      <c r="B136" s="192" t="n"/>
      <c r="C136" s="171" t="n"/>
      <c r="DQ136" s="271" t="n"/>
    </row>
    <row r="137" ht="18.75" customHeight="1">
      <c r="DQ137" s="271" t="n"/>
    </row>
    <row r="138" ht="18.75" customHeight="1">
      <c r="DQ138" s="271" t="n"/>
    </row>
    <row r="139" ht="18.75" customHeight="1">
      <c r="DQ139" s="271" t="n"/>
    </row>
    <row r="140" ht="18.75" customHeight="1">
      <c r="DQ140" s="271" t="n"/>
    </row>
    <row r="141" ht="18.75" customHeight="1">
      <c r="DQ141" s="271" t="n"/>
    </row>
    <row r="142" ht="18.75" customHeight="1">
      <c r="DQ142" s="271" t="n"/>
    </row>
    <row r="143" ht="18.75" customHeight="1">
      <c r="DQ143" s="271" t="n"/>
    </row>
    <row r="144" ht="18.75" customHeight="1">
      <c r="DQ144" s="271" t="n"/>
    </row>
    <row r="145" ht="18.75" customHeight="1">
      <c r="DQ145" s="271" t="n"/>
    </row>
    <row r="146" ht="18.75" customHeight="1">
      <c r="DQ146" s="271" t="n"/>
    </row>
    <row r="147" ht="18.75" customHeight="1">
      <c r="DQ147" s="271" t="n"/>
    </row>
    <row r="148" ht="18.75" customHeight="1">
      <c r="DQ148" s="271" t="n"/>
    </row>
    <row r="149" ht="18.75" customHeight="1">
      <c r="DQ149" s="271" t="n"/>
    </row>
    <row r="150" ht="18.75" customHeight="1">
      <c r="DQ150" s="271" t="n"/>
    </row>
    <row r="151" ht="18.75" customHeight="1">
      <c r="DQ151" s="271" t="n"/>
    </row>
    <row r="152" ht="18.75" customHeight="1">
      <c r="DQ152" s="314" t="n"/>
    </row>
    <row r="153" ht="18.75" customHeight="1">
      <c r="DQ153" s="314" t="n"/>
    </row>
    <row r="154" ht="18.75" customHeight="1">
      <c r="DQ154" s="271" t="n"/>
    </row>
    <row r="155" ht="18.75" customHeight="1">
      <c r="DQ155" s="271" t="n"/>
    </row>
  </sheetData>
  <mergeCells count="9">
    <mergeCell ref="A134:C134"/>
    <mergeCell ref="A5:A6"/>
    <mergeCell ref="B2:C2"/>
    <mergeCell ref="F5:BZ5"/>
    <mergeCell ref="B3:C3"/>
    <mergeCell ref="GB59:GC69"/>
    <mergeCell ref="D5:D6"/>
    <mergeCell ref="B5:B6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portrait" paperSize="9" scale="66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Planilha31">
    <tabColor theme="9"/>
    <outlinePr summaryBelow="1" summaryRight="1"/>
    <pageSetUpPr fitToPage="1"/>
  </sheetPr>
  <dimension ref="A1:GB155"/>
  <sheetViews>
    <sheetView showGridLines="0" topLeftCell="A96" zoomScale="80" zoomScaleNormal="80" workbookViewId="0">
      <selection activeCell="CA89" sqref="CA89"/>
    </sheetView>
  </sheetViews>
  <sheetFormatPr baseColWidth="8" defaultColWidth="9.140625" defaultRowHeight="18.75" customHeight="1"/>
  <cols>
    <col width="42.28515625" customWidth="1" style="52" min="1" max="1"/>
    <col width="10.140625" customWidth="1" style="6" min="2" max="2"/>
    <col width="16.7109375" customWidth="1" style="6" min="3" max="4"/>
    <col width="1.5703125" customWidth="1" style="6" min="5" max="5"/>
    <col hidden="1" width="9.85546875" customWidth="1" style="6" min="6" max="35"/>
    <col hidden="1" width="8.140625" customWidth="1" style="6" min="36" max="76"/>
    <col width="8.140625" customWidth="1" style="6" min="77" max="79"/>
    <col width="8.85546875" customWidth="1" style="6" min="80" max="80"/>
    <col width="1.85546875" customWidth="1" style="6" min="81" max="81"/>
    <col width="19" customWidth="1" style="51" min="82" max="82"/>
    <col width="1.140625" customWidth="1" style="49" min="83" max="83"/>
    <col width="15.85546875" bestFit="1" customWidth="1" style="49" min="84" max="84"/>
    <col width="1.28515625" customWidth="1" style="49" min="85" max="85"/>
    <col width="8.28515625" customWidth="1" style="51" min="86" max="94"/>
    <col hidden="1" width="8.28515625" customWidth="1" style="51" min="95" max="97"/>
    <col hidden="1" width="17.5703125" customWidth="1" style="51" min="98" max="98"/>
    <col hidden="1" width="8.28515625" customWidth="1" style="51" min="99" max="115"/>
    <col hidden="1" width="9.28515625" customWidth="1" style="49" min="116" max="116"/>
    <col hidden="1" width="14.5703125" customWidth="1" style="268" min="117" max="117"/>
    <col hidden="1" width="8.28515625" customWidth="1" style="51" min="118" max="124"/>
    <col hidden="1" width="12.85546875" customWidth="1" style="51" min="125" max="125"/>
    <col hidden="1" width="8.28515625" customWidth="1" style="51" min="126" max="129"/>
    <col hidden="1" width="27.140625" customWidth="1" style="51" min="130" max="130"/>
    <col hidden="1" width="12.42578125" customWidth="1" style="51" min="131" max="131"/>
    <col hidden="1" width="8.28515625" customWidth="1" style="51" min="132" max="134"/>
    <col hidden="1" width="12.42578125" customWidth="1" style="51" min="135" max="135"/>
    <col hidden="1" width="8.28515625" customWidth="1" style="51" min="136" max="136"/>
    <col hidden="1" width="15.42578125" customWidth="1" style="51" min="137" max="137"/>
    <col hidden="1" width="8.28515625" customWidth="1" style="51" min="138" max="139"/>
    <col hidden="1" width="11" customWidth="1" style="51" min="140" max="140"/>
    <col hidden="1" width="17.140625" customWidth="1" style="51" min="141" max="141"/>
    <col hidden="1" width="8.28515625" customWidth="1" style="51" min="142" max="142"/>
    <col hidden="1" width="17.140625" customWidth="1" style="51" min="143" max="143"/>
    <col hidden="1" width="8.28515625" customWidth="1" style="51" min="144" max="145"/>
    <col hidden="1" width="17.140625" customWidth="1" style="51" min="146" max="146"/>
    <col hidden="1" width="8.28515625" customWidth="1" style="51" min="147" max="147"/>
    <col hidden="1" width="15.42578125" customWidth="1" style="51" min="148" max="148"/>
    <col hidden="1" width="15.28515625" customWidth="1" style="268" min="149" max="149"/>
    <col hidden="1" width="16.42578125" customWidth="1" style="51" min="150" max="150"/>
    <col hidden="1" width="8.28515625" customWidth="1" style="51" min="151" max="155"/>
    <col hidden="1" width="13.140625" customWidth="1" style="51" min="156" max="156"/>
    <col hidden="1" width="14.85546875" customWidth="1" style="51" min="157" max="157"/>
    <col hidden="1" width="8.28515625" customWidth="1" style="51" min="158" max="161"/>
    <col hidden="1" width="16.28515625" customWidth="1" style="268" min="162" max="162"/>
    <col hidden="1" width="8.28515625" customWidth="1" style="51" min="163" max="167"/>
    <col hidden="1" width="12" customWidth="1" style="268" min="168" max="168"/>
    <col hidden="1" width="8.28515625" customWidth="1" style="51" min="169" max="175"/>
    <col hidden="1" width="14.85546875" customWidth="1" style="51" min="176" max="176"/>
    <col hidden="1" width="13.28515625" customWidth="1" style="51" min="177" max="177"/>
    <col hidden="1" width="13.85546875" customWidth="1" style="51" min="178" max="178"/>
    <col hidden="1" width="8.28515625" customWidth="1" style="51" min="179" max="181"/>
    <col width="2.85546875" customWidth="1" min="182" max="182"/>
    <col width="9.140625" customWidth="1" style="6" min="183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5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</row>
    <row r="2">
      <c r="A2" s="50" t="inlineStr">
        <is>
          <t>LOJA:</t>
        </is>
      </c>
      <c r="B2" s="639" t="inlineStr">
        <is>
          <t>ER PERUÍBE</t>
        </is>
      </c>
      <c r="C2" s="641" t="n"/>
      <c r="D2" s="77" t="n"/>
      <c r="CD2" s="49" t="n"/>
      <c r="CH2" s="49" t="n"/>
      <c r="CI2" s="49" t="n"/>
      <c r="CJ2" s="49" t="n"/>
      <c r="CK2" s="49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6" t="n"/>
      <c r="DN2" s="49" t="n"/>
      <c r="DO2" s="49" t="n"/>
      <c r="DP2" s="49" t="n"/>
      <c r="DQ2" s="49" t="n"/>
      <c r="DR2" s="49" t="n"/>
      <c r="DS2" s="49" t="n"/>
      <c r="DT2" s="49" t="n"/>
      <c r="DU2" s="49" t="n"/>
      <c r="DV2" s="49" t="n"/>
      <c r="DW2" s="49" t="n"/>
      <c r="DX2" s="49" t="n"/>
      <c r="DY2" s="49" t="n"/>
      <c r="DZ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T2" s="49" t="n"/>
      <c r="EU2" s="49" t="n"/>
      <c r="EV2" s="49" t="n"/>
      <c r="EW2" s="49" t="n"/>
      <c r="EX2" s="49" t="n"/>
      <c r="EY2" s="49" t="n"/>
      <c r="EZ2" s="49" t="n"/>
      <c r="FA2" s="49" t="n"/>
      <c r="FB2" s="49" t="n"/>
      <c r="FC2" s="49" t="n"/>
      <c r="FD2" s="49" t="n"/>
      <c r="FE2" s="49" t="n"/>
      <c r="FG2" s="49" t="n"/>
      <c r="FH2" s="49" t="n"/>
      <c r="FI2" s="49" t="n"/>
      <c r="FJ2" s="49" t="n"/>
      <c r="FK2" s="49" t="n"/>
      <c r="FM2" s="49" t="n"/>
      <c r="FN2" s="49" t="n"/>
      <c r="FO2" s="49" t="n"/>
      <c r="FP2" s="49" t="n"/>
      <c r="FQ2" s="49" t="n"/>
      <c r="FR2" s="49" t="n"/>
      <c r="FS2" s="49" t="n"/>
      <c r="FT2" s="49" t="n"/>
      <c r="FU2" s="49" t="n"/>
      <c r="FV2" s="49" t="n"/>
      <c r="FW2" s="49" t="n"/>
      <c r="FX2" s="49" t="n"/>
      <c r="FY2" s="49" t="n"/>
    </row>
    <row r="3" ht="18.75" customHeight="1">
      <c r="A3" s="50" t="inlineStr">
        <is>
          <t>Responsável:</t>
        </is>
      </c>
      <c r="B3" s="253" t="inlineStr">
        <is>
          <t>JULIANA</t>
        </is>
      </c>
      <c r="C3" s="641" t="n"/>
      <c r="D3" s="5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D3" s="49" t="n"/>
      <c r="CH3" s="49" t="n"/>
      <c r="CI3" s="49" t="n"/>
      <c r="DL3" s="6" t="n"/>
      <c r="DU3" s="49" t="n"/>
      <c r="DZ3" s="49" t="n"/>
      <c r="EA3" s="49" t="n"/>
      <c r="EE3" s="49" t="n"/>
      <c r="EG3" s="49" t="n"/>
      <c r="EJ3" s="49" t="n"/>
      <c r="EK3" s="49" t="n"/>
      <c r="EM3" s="49" t="n"/>
      <c r="EP3" s="49" t="n"/>
      <c r="ER3" s="49" t="n"/>
      <c r="ES3" s="319" t="n"/>
      <c r="ET3" s="49" t="n"/>
      <c r="EZ3" s="49" t="n"/>
    </row>
    <row r="4" ht="29.25" customHeight="1">
      <c r="CD4" s="49" t="n"/>
      <c r="CH4" s="6" t="n"/>
      <c r="CI4" s="6" t="n"/>
      <c r="CJ4" s="6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269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269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269" t="n"/>
      <c r="FG4" s="6" t="n"/>
      <c r="FH4" s="6" t="n"/>
      <c r="FI4" s="6" t="n"/>
      <c r="FJ4" s="6" t="n"/>
      <c r="FK4" s="6" t="n"/>
      <c r="FL4" s="269" t="n"/>
      <c r="FM4" s="6" t="n"/>
      <c r="FN4" s="6" t="n"/>
      <c r="FO4" s="6" t="n"/>
      <c r="FP4" s="6" t="n"/>
      <c r="FQ4" s="6" t="n"/>
      <c r="FR4" s="6" t="n"/>
      <c r="FS4" s="6" t="n"/>
      <c r="FT4" s="6" t="n"/>
      <c r="FU4" s="6" t="n"/>
      <c r="FV4" s="6" t="n"/>
      <c r="FW4" s="6" t="n"/>
      <c r="FX4" s="6" t="n"/>
      <c r="FY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35" t="inlineStr">
        <is>
          <t>Pendências</t>
        </is>
      </c>
      <c r="CE5" s="6" t="n"/>
      <c r="CF5" s="12" t="inlineStr">
        <is>
          <t>Novo Pedido</t>
        </is>
      </c>
      <c r="CG5" s="6" t="n"/>
      <c r="CH5" s="654" t="n">
        <v>46156</v>
      </c>
      <c r="CI5" s="654" t="n">
        <v>46149</v>
      </c>
      <c r="CJ5" s="654" t="n">
        <v>46114</v>
      </c>
      <c r="CK5" s="710" t="n">
        <v>46065</v>
      </c>
      <c r="CL5" s="654" t="n">
        <v>46092</v>
      </c>
      <c r="CM5" s="654" t="n">
        <v>46092</v>
      </c>
      <c r="CN5" s="654" t="n">
        <v>46084</v>
      </c>
      <c r="CO5" s="711" t="n">
        <v>46045</v>
      </c>
      <c r="CP5" s="654" t="n">
        <v>46071</v>
      </c>
      <c r="CQ5" s="654" t="n">
        <v>46043</v>
      </c>
      <c r="CR5" s="654" t="n">
        <v>46029</v>
      </c>
      <c r="CS5" s="654" t="n">
        <v>46024</v>
      </c>
      <c r="CT5" s="655" t="inlineStr">
        <is>
          <t>TRANSF.</t>
        </is>
      </c>
      <c r="CU5" s="654" t="n">
        <v>46029</v>
      </c>
      <c r="CV5" s="654" t="n">
        <v>46024</v>
      </c>
      <c r="CW5" s="654" t="n">
        <v>46007</v>
      </c>
      <c r="CX5" s="654" t="n">
        <v>46001</v>
      </c>
      <c r="CY5" s="654" t="n">
        <v>45994</v>
      </c>
      <c r="CZ5" s="654" t="n">
        <v>45986</v>
      </c>
      <c r="DA5" s="654" t="n">
        <v>45986</v>
      </c>
      <c r="DB5" s="654" t="n">
        <v>45980</v>
      </c>
      <c r="DC5" s="654" t="n">
        <v>45980</v>
      </c>
      <c r="DD5" s="654" t="n">
        <v>45973</v>
      </c>
      <c r="DE5" s="654" t="n">
        <v>45973</v>
      </c>
      <c r="DF5" s="654" t="n">
        <v>45965</v>
      </c>
      <c r="DG5" s="654" t="n">
        <v>45965</v>
      </c>
      <c r="DH5" s="654" t="n">
        <v>45960</v>
      </c>
      <c r="DI5" s="654" t="n">
        <v>45951</v>
      </c>
      <c r="DJ5" s="654" t="n">
        <v>45937</v>
      </c>
      <c r="DK5" s="654" t="n">
        <v>45931</v>
      </c>
      <c r="DL5" s="678" t="n">
        <v>45903</v>
      </c>
      <c r="DM5" s="679" t="inlineStr">
        <is>
          <t>TRANSF.</t>
        </is>
      </c>
      <c r="DN5" s="654" t="n">
        <v>45923</v>
      </c>
      <c r="DO5" s="654" t="n">
        <v>45909</v>
      </c>
      <c r="DP5" s="654" t="n">
        <v>45915</v>
      </c>
      <c r="DQ5" s="654" t="n">
        <v>45909</v>
      </c>
      <c r="DR5" s="654" t="n">
        <v>45903</v>
      </c>
      <c r="DS5" s="654" t="n">
        <v>45895</v>
      </c>
      <c r="DT5" s="654" t="n">
        <v>45895</v>
      </c>
      <c r="DU5" s="679" t="inlineStr">
        <is>
          <t>TRANSF.</t>
        </is>
      </c>
      <c r="DV5" s="654" t="n">
        <v>45888</v>
      </c>
      <c r="DW5" s="654" t="n">
        <v>45881</v>
      </c>
      <c r="DX5" s="654" t="n">
        <v>45881</v>
      </c>
      <c r="DY5" s="654" t="n">
        <v>45874</v>
      </c>
      <c r="DZ5" s="655" t="inlineStr">
        <is>
          <t>TRANSF.</t>
        </is>
      </c>
      <c r="EA5" s="655" t="inlineStr">
        <is>
          <t>TRANSF.</t>
        </is>
      </c>
      <c r="EB5" s="654" t="n">
        <v>45867</v>
      </c>
      <c r="EC5" s="654" t="n">
        <v>45860</v>
      </c>
      <c r="ED5" s="654" t="n">
        <v>45860</v>
      </c>
      <c r="EE5" s="648" t="inlineStr">
        <is>
          <t>TRANSF.</t>
        </is>
      </c>
      <c r="EF5" s="654" t="n">
        <v>45848</v>
      </c>
      <c r="EG5" s="681" t="inlineStr">
        <is>
          <t>TRANSF.</t>
        </is>
      </c>
      <c r="EH5" s="654" t="n">
        <v>45839</v>
      </c>
      <c r="EI5" s="654" t="n">
        <v>45825</v>
      </c>
      <c r="EJ5" s="681" t="n">
        <v>45791</v>
      </c>
      <c r="EK5" s="648" t="inlineStr">
        <is>
          <t>TRANSF.</t>
        </is>
      </c>
      <c r="EL5" s="654" t="n">
        <v>45813</v>
      </c>
      <c r="EM5" s="648" t="inlineStr">
        <is>
          <t>TRANSF.</t>
        </is>
      </c>
      <c r="EN5" s="654" t="n">
        <v>45805</v>
      </c>
      <c r="EO5" s="654" t="n">
        <v>45783</v>
      </c>
      <c r="EP5" s="648" t="inlineStr">
        <is>
          <t>TRANSF.</t>
        </is>
      </c>
      <c r="EQ5" s="654" t="n">
        <v>45790</v>
      </c>
      <c r="ER5" s="683" t="inlineStr">
        <is>
          <t>TRANSF.</t>
        </is>
      </c>
      <c r="ES5" s="650" t="inlineStr">
        <is>
          <t>TRANSF.</t>
        </is>
      </c>
      <c r="ET5" s="648" t="inlineStr">
        <is>
          <t>TRANSF.</t>
        </is>
      </c>
      <c r="EU5" s="654" t="n">
        <v>45783</v>
      </c>
      <c r="EV5" s="654" t="n">
        <v>45783</v>
      </c>
      <c r="EW5" s="654" t="n">
        <v>45775</v>
      </c>
      <c r="EX5" s="654" t="n">
        <v>45770</v>
      </c>
      <c r="EY5" s="654" t="n">
        <v>45743</v>
      </c>
      <c r="EZ5" s="683" t="n">
        <v>45735</v>
      </c>
      <c r="FA5" s="655" t="inlineStr">
        <is>
          <t>TRANSF.</t>
        </is>
      </c>
      <c r="FB5" s="654" t="n">
        <v>45756</v>
      </c>
      <c r="FC5" s="654" t="n">
        <v>45749</v>
      </c>
      <c r="FD5" s="654" t="n">
        <v>45743</v>
      </c>
      <c r="FE5" s="654" t="n">
        <v>45743</v>
      </c>
      <c r="FF5" s="650" t="inlineStr">
        <is>
          <t>TRANSF.</t>
        </is>
      </c>
      <c r="FG5" s="654" t="n">
        <v>45728</v>
      </c>
      <c r="FH5" s="654" t="n">
        <v>45728</v>
      </c>
      <c r="FI5" s="654" t="n">
        <v>45722</v>
      </c>
      <c r="FJ5" s="654" t="n">
        <v>45714</v>
      </c>
      <c r="FK5" s="654" t="n">
        <v>45706</v>
      </c>
      <c r="FL5" s="650" t="n">
        <v>45700</v>
      </c>
      <c r="FM5" s="654" t="n">
        <v>45699</v>
      </c>
      <c r="FN5" s="654" t="n">
        <v>45706</v>
      </c>
      <c r="FO5" s="654" t="n">
        <v>45693</v>
      </c>
      <c r="FP5" s="654" t="n">
        <v>45685</v>
      </c>
      <c r="FQ5" s="654" t="n">
        <v>45679</v>
      </c>
      <c r="FR5" s="654" t="n">
        <v>45660</v>
      </c>
      <c r="FS5" s="654" t="n">
        <v>45674</v>
      </c>
      <c r="FT5" s="655" t="inlineStr">
        <is>
          <t>TRANSF.</t>
        </is>
      </c>
      <c r="FU5" s="654" t="n">
        <v>45652</v>
      </c>
      <c r="FV5" s="655" t="inlineStr">
        <is>
          <t>TRANSF.</t>
        </is>
      </c>
      <c r="FW5" s="654" t="n">
        <v>45664</v>
      </c>
      <c r="FX5" s="654" t="n">
        <v>45660</v>
      </c>
      <c r="FY5" s="654" t="n">
        <v>45660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6" t="n"/>
      <c r="CD6" s="214" t="n">
        <v>46156</v>
      </c>
      <c r="CE6" s="653" t="n"/>
      <c r="CF6" s="656" t="n"/>
      <c r="CG6" s="6" t="n"/>
      <c r="CH6" s="654" t="n"/>
      <c r="CI6" s="654" t="n">
        <v>46155</v>
      </c>
      <c r="CJ6" s="654" t="n">
        <v>46126</v>
      </c>
      <c r="CK6" s="710" t="n">
        <v>46113</v>
      </c>
      <c r="CL6" s="654" t="n">
        <v>46104</v>
      </c>
      <c r="CM6" s="654" t="n">
        <v>46100</v>
      </c>
      <c r="CN6" s="654" t="n">
        <v>46093</v>
      </c>
      <c r="CO6" s="711" t="n">
        <v>46086</v>
      </c>
      <c r="CP6" s="654" t="n">
        <v>46077</v>
      </c>
      <c r="CQ6" s="654" t="n">
        <v>46049</v>
      </c>
      <c r="CR6" s="654" t="n">
        <v>46043</v>
      </c>
      <c r="CS6" s="654" t="n">
        <v>46043</v>
      </c>
      <c r="CT6" s="655" t="n">
        <v>46041</v>
      </c>
      <c r="CU6" s="654" t="n">
        <v>46036</v>
      </c>
      <c r="CV6" s="654" t="n">
        <v>46035</v>
      </c>
      <c r="CW6" s="654" t="n">
        <v>46013</v>
      </c>
      <c r="CX6" s="654" t="n">
        <v>46010</v>
      </c>
      <c r="CY6" s="654" t="n">
        <v>46006</v>
      </c>
      <c r="CZ6" s="654" t="n">
        <v>46006</v>
      </c>
      <c r="DA6" s="654" t="n">
        <v>45994</v>
      </c>
      <c r="DB6" s="654" t="n">
        <v>45993</v>
      </c>
      <c r="DC6" s="654" t="n">
        <v>45989</v>
      </c>
      <c r="DD6" s="654" t="n">
        <v>45987</v>
      </c>
      <c r="DE6" s="654" t="n">
        <v>45980</v>
      </c>
      <c r="DF6" s="654" t="n">
        <v>45980</v>
      </c>
      <c r="DG6" s="654" t="n">
        <v>45971</v>
      </c>
      <c r="DH6" s="654" t="n">
        <v>45971</v>
      </c>
      <c r="DI6" s="654" t="n">
        <v>45958</v>
      </c>
      <c r="DJ6" s="654" t="n">
        <v>45943</v>
      </c>
      <c r="DK6" s="654" t="n">
        <v>45946</v>
      </c>
      <c r="DL6" s="687" t="n">
        <v>45939</v>
      </c>
      <c r="DM6" s="688" t="n">
        <v>45931</v>
      </c>
      <c r="DN6" s="654" t="n">
        <v>45931</v>
      </c>
      <c r="DO6" s="654" t="n">
        <v>45923</v>
      </c>
      <c r="DP6" s="654" t="n">
        <v>45920</v>
      </c>
      <c r="DQ6" s="654" t="n">
        <v>45917</v>
      </c>
      <c r="DR6" s="654" t="n">
        <v>45911</v>
      </c>
      <c r="DS6" s="654" t="n">
        <v>45904</v>
      </c>
      <c r="DT6" s="654" t="n">
        <v>45901</v>
      </c>
      <c r="DU6" s="679" t="n">
        <v>45896</v>
      </c>
      <c r="DV6" s="654" t="n">
        <v>45891</v>
      </c>
      <c r="DW6" s="654" t="n">
        <v>45890</v>
      </c>
      <c r="DX6" s="654" t="n">
        <v>45887</v>
      </c>
      <c r="DY6" s="654" t="n">
        <v>45887</v>
      </c>
      <c r="DZ6" s="655" t="n">
        <v>45882</v>
      </c>
      <c r="EA6" s="655" t="n">
        <v>45881</v>
      </c>
      <c r="EB6" s="654" t="n">
        <v>45875</v>
      </c>
      <c r="EC6" s="654" t="n">
        <v>45868</v>
      </c>
      <c r="ED6" s="654" t="n">
        <v>45866</v>
      </c>
      <c r="EE6" s="655" t="n">
        <v>45860</v>
      </c>
      <c r="EF6" s="654" t="n">
        <v>45854</v>
      </c>
      <c r="EG6" s="681" t="n">
        <v>45853</v>
      </c>
      <c r="EH6" s="654" t="n">
        <v>45842</v>
      </c>
      <c r="EI6" s="654" t="n">
        <v>45833</v>
      </c>
      <c r="EJ6" s="681" t="n">
        <v>45826</v>
      </c>
      <c r="EK6" s="655" t="n">
        <v>45826</v>
      </c>
      <c r="EL6" s="654" t="n">
        <v>45824</v>
      </c>
      <c r="EM6" s="655" t="n">
        <v>45819</v>
      </c>
      <c r="EN6" s="654" t="n">
        <v>45810</v>
      </c>
      <c r="EO6" s="654" t="n">
        <v>45813</v>
      </c>
      <c r="EP6" s="655" t="n">
        <v>45807</v>
      </c>
      <c r="EQ6" s="654" t="n">
        <v>45800</v>
      </c>
      <c r="ER6" s="690" t="n">
        <v>45800</v>
      </c>
      <c r="ES6" s="650" t="n">
        <v>45799</v>
      </c>
      <c r="ET6" s="655" t="n">
        <v>45798</v>
      </c>
      <c r="EU6" s="654" t="n">
        <v>45791</v>
      </c>
      <c r="EV6" s="654" t="n">
        <v>45789</v>
      </c>
      <c r="EW6" s="654" t="n">
        <v>45783</v>
      </c>
      <c r="EX6" s="654" t="n">
        <v>45782</v>
      </c>
      <c r="EY6" s="654" t="n">
        <v>45782</v>
      </c>
      <c r="EZ6" s="690" t="n">
        <v>45777</v>
      </c>
      <c r="FA6" s="655" t="n">
        <v>45775</v>
      </c>
      <c r="FB6" s="654" t="n">
        <v>45763</v>
      </c>
      <c r="FC6" s="654" t="n">
        <v>45761</v>
      </c>
      <c r="FD6" s="654" t="n">
        <v>45750</v>
      </c>
      <c r="FE6" s="654" t="n">
        <v>45748</v>
      </c>
      <c r="FF6" s="650" t="n">
        <v>45740</v>
      </c>
      <c r="FG6" s="654" t="n">
        <v>45736</v>
      </c>
      <c r="FH6" s="654" t="n">
        <v>45735</v>
      </c>
      <c r="FI6" s="654" t="n">
        <v>45728</v>
      </c>
      <c r="FJ6" s="654" t="n">
        <v>45722</v>
      </c>
      <c r="FK6" s="654" t="n">
        <v>45722</v>
      </c>
      <c r="FL6" s="650" t="n">
        <v>45721</v>
      </c>
      <c r="FM6" s="654" t="n">
        <v>45714</v>
      </c>
      <c r="FN6" s="654" t="n">
        <v>45713</v>
      </c>
      <c r="FO6" s="654" t="n">
        <v>45695</v>
      </c>
      <c r="FP6" s="654" t="n">
        <v>45692</v>
      </c>
      <c r="FQ6" s="654" t="n">
        <v>45691</v>
      </c>
      <c r="FR6" s="654" t="n">
        <v>45684</v>
      </c>
      <c r="FS6" s="654" t="n">
        <v>45680</v>
      </c>
      <c r="FT6" s="655" t="n">
        <v>45672</v>
      </c>
      <c r="FU6" s="654" t="n">
        <v>45672</v>
      </c>
      <c r="FV6" s="655" t="n">
        <v>45670</v>
      </c>
      <c r="FW6" s="654" t="n">
        <v>45670</v>
      </c>
      <c r="FX6" s="654" t="n">
        <v>45670</v>
      </c>
      <c r="FY6" s="654" t="n">
        <v>45665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76" t="n"/>
      <c r="CF7" s="22" t="n"/>
      <c r="CG7" s="6" t="n"/>
      <c r="CH7" s="575" t="n"/>
      <c r="CI7" s="575" t="n"/>
      <c r="CJ7" s="575" t="n"/>
      <c r="CK7" s="270" t="inlineStr">
        <is>
          <t>MÃES</t>
        </is>
      </c>
      <c r="CL7" s="575" t="n"/>
      <c r="CM7" s="575" t="n"/>
      <c r="CN7" s="575" t="n"/>
      <c r="CO7" s="270" t="inlineStr">
        <is>
          <t>MÃES</t>
        </is>
      </c>
      <c r="CP7" s="575" t="n"/>
      <c r="CQ7" s="575" t="n"/>
      <c r="CR7" s="575" t="n"/>
      <c r="CS7" s="575" t="n"/>
      <c r="CT7" s="575" t="n"/>
      <c r="CU7" s="575" t="n"/>
      <c r="CV7" s="575" t="n"/>
      <c r="CW7" s="575" t="n"/>
      <c r="CX7" s="575" t="n"/>
      <c r="CY7" s="575" t="n"/>
      <c r="CZ7" s="575" t="n"/>
      <c r="DA7" s="575" t="n"/>
      <c r="DB7" s="575" t="n"/>
      <c r="DC7" s="575" t="n"/>
      <c r="DD7" s="575" t="n"/>
      <c r="DE7" s="575" t="n"/>
      <c r="DF7" s="575" t="n"/>
      <c r="DG7" s="575" t="n"/>
      <c r="DH7" s="575" t="n"/>
      <c r="DI7" s="575" t="n"/>
      <c r="DJ7" s="575" t="n"/>
      <c r="DK7" s="575" t="n"/>
      <c r="DL7" s="394" t="n"/>
      <c r="DM7" s="270" t="n"/>
      <c r="DN7" s="575" t="n"/>
      <c r="DO7" s="575" t="n"/>
      <c r="DP7" s="575" t="n"/>
      <c r="DQ7" s="575" t="n"/>
      <c r="DR7" s="575" t="n"/>
      <c r="DS7" s="575" t="n"/>
      <c r="DT7" s="575" t="n"/>
      <c r="DU7" s="270" t="inlineStr">
        <is>
          <t>HP</t>
        </is>
      </c>
      <c r="DV7" s="575" t="n"/>
      <c r="DW7" s="575" t="n"/>
      <c r="DX7" s="575" t="n"/>
      <c r="DY7" s="575" t="n"/>
      <c r="DZ7" s="575" t="n"/>
      <c r="EA7" s="575" t="n"/>
      <c r="EB7" s="575" t="n"/>
      <c r="EC7" s="575" t="n"/>
      <c r="ED7" s="575" t="n"/>
      <c r="EE7" s="575" t="n"/>
      <c r="EF7" s="575" t="n"/>
      <c r="EG7" s="575" t="inlineStr">
        <is>
          <t>PAIS/25</t>
        </is>
      </c>
      <c r="EH7" s="575" t="n"/>
      <c r="EI7" s="575" t="n"/>
      <c r="EJ7" s="575" t="n"/>
      <c r="EK7" s="575" t="n"/>
      <c r="EL7" s="575" t="n"/>
      <c r="EM7" s="575" t="n"/>
      <c r="EN7" s="575" t="n"/>
      <c r="EO7" s="575" t="n"/>
      <c r="EP7" s="575" t="n"/>
      <c r="EQ7" s="575" t="n"/>
      <c r="ER7" s="575" t="inlineStr">
        <is>
          <t>NAMO/25</t>
        </is>
      </c>
      <c r="ES7" s="76" t="inlineStr">
        <is>
          <t>MÃES/25</t>
        </is>
      </c>
      <c r="ET7" s="575" t="n"/>
      <c r="EU7" s="575" t="n"/>
      <c r="EV7" s="575" t="n"/>
      <c r="EW7" s="575" t="n"/>
      <c r="EX7" s="575" t="n"/>
      <c r="EY7" s="575" t="n"/>
      <c r="EZ7" s="575" t="n"/>
      <c r="FA7" s="575" t="n"/>
      <c r="FB7" s="575" t="n"/>
      <c r="FC7" s="575" t="n"/>
      <c r="FD7" s="575" t="n"/>
      <c r="FE7" s="575" t="inlineStr">
        <is>
          <t>EUD</t>
        </is>
      </c>
      <c r="FF7" s="76" t="inlineStr">
        <is>
          <t>MÃES/25</t>
        </is>
      </c>
      <c r="FG7" s="575" t="n"/>
      <c r="FH7" s="575" t="n"/>
      <c r="FI7" s="575" t="n"/>
      <c r="FJ7" s="575" t="n"/>
      <c r="FK7" s="575" t="n"/>
      <c r="FL7" s="76" t="inlineStr">
        <is>
          <t>MÃES/25</t>
        </is>
      </c>
      <c r="FM7" s="575" t="n"/>
      <c r="FN7" s="575" t="inlineStr">
        <is>
          <t>QDB</t>
        </is>
      </c>
      <c r="FO7" s="575" t="n"/>
      <c r="FP7" s="575" t="n"/>
      <c r="FQ7" s="575" t="n"/>
      <c r="FR7" s="575" t="n"/>
      <c r="FS7" s="575" t="n"/>
      <c r="FT7" s="575" t="n"/>
      <c r="FU7" s="575" t="n"/>
      <c r="FV7" s="575" t="n"/>
      <c r="FW7" s="575" t="n"/>
      <c r="FX7" s="575" t="n"/>
      <c r="FY7" s="575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800</v>
      </c>
      <c r="E8" s="6" t="n"/>
      <c r="F8" s="38" t="n">
        <v>450</v>
      </c>
      <c r="G8" s="38">
        <f>300+FY8</f>
        <v/>
      </c>
      <c r="H8" s="38">
        <f>975+FU8</f>
        <v/>
      </c>
      <c r="I8" s="187">
        <f>1200+FS8</f>
        <v/>
      </c>
      <c r="J8" s="187" t="n">
        <v>1275</v>
      </c>
      <c r="K8" s="187" t="n">
        <v>1200</v>
      </c>
      <c r="L8" s="187" t="n">
        <v>900</v>
      </c>
      <c r="M8" s="187" t="n">
        <v>600</v>
      </c>
      <c r="N8" s="187" t="n">
        <v>600</v>
      </c>
      <c r="O8" s="187">
        <f>840+FK8</f>
        <v/>
      </c>
      <c r="P8" s="187">
        <f>660+FI8</f>
        <v/>
      </c>
      <c r="Q8" s="187" t="n">
        <v>950</v>
      </c>
      <c r="R8" s="187" t="n">
        <v>800</v>
      </c>
      <c r="S8" s="187" t="n">
        <v>575</v>
      </c>
      <c r="T8" s="187" t="n">
        <v>340</v>
      </c>
      <c r="U8" s="187">
        <f>0+FC8</f>
        <v/>
      </c>
      <c r="V8" s="187" t="n">
        <v>1000</v>
      </c>
      <c r="W8" s="187" t="n">
        <v>875</v>
      </c>
      <c r="X8" s="187" t="n">
        <v>625</v>
      </c>
      <c r="Y8" s="187" t="n">
        <v>950</v>
      </c>
      <c r="Z8" s="187" t="n">
        <v>650</v>
      </c>
      <c r="AA8" s="187">
        <f>200+600</f>
        <v/>
      </c>
      <c r="AB8" s="187" t="n">
        <v>650</v>
      </c>
      <c r="AC8" s="187" t="n">
        <v>925</v>
      </c>
      <c r="AD8" s="187" t="n">
        <v>900</v>
      </c>
      <c r="AE8" s="187" t="n">
        <v>700</v>
      </c>
      <c r="AF8" s="187" t="n">
        <v>275</v>
      </c>
      <c r="AG8" s="187" t="n">
        <v>150</v>
      </c>
      <c r="AH8" s="187" t="n">
        <v>0</v>
      </c>
      <c r="AI8" s="187" t="n">
        <v>900</v>
      </c>
      <c r="AJ8" s="187" t="n">
        <v>275</v>
      </c>
      <c r="AK8" s="187" t="n">
        <v>0</v>
      </c>
      <c r="AL8" s="187" t="n">
        <v>300</v>
      </c>
      <c r="AM8" s="187">
        <f>0+DX8</f>
        <v/>
      </c>
      <c r="AN8" s="187">
        <f>225+DV8</f>
        <v/>
      </c>
      <c r="AO8" s="187" t="n">
        <v>225</v>
      </c>
      <c r="AP8" s="187" t="n">
        <v>150</v>
      </c>
      <c r="AQ8" s="187">
        <f>0+DR8</f>
        <v/>
      </c>
      <c r="AR8" s="187">
        <f>300+DO8</f>
        <v/>
      </c>
      <c r="AS8" s="187" t="n">
        <v>0</v>
      </c>
      <c r="AT8" s="187" t="n">
        <v>0</v>
      </c>
      <c r="AU8" s="187">
        <f>0+DK8</f>
        <v/>
      </c>
      <c r="AV8" s="187" t="n">
        <v>700</v>
      </c>
      <c r="AW8" s="187" t="n">
        <v>275</v>
      </c>
      <c r="AX8" s="187" t="n">
        <v>0</v>
      </c>
      <c r="AY8" s="187">
        <f>0+DH8</f>
        <v/>
      </c>
      <c r="AZ8" s="187" t="n">
        <v>150</v>
      </c>
      <c r="BA8" s="187">
        <f>0+DD8+DC8</f>
        <v/>
      </c>
      <c r="BB8" s="187">
        <f>500+DA8</f>
        <v/>
      </c>
      <c r="BC8" s="187">
        <f>700+CY8</f>
        <v/>
      </c>
      <c r="BD8" s="187" t="n">
        <v>850</v>
      </c>
      <c r="BE8" s="187" t="n">
        <v>2050</v>
      </c>
      <c r="BF8" s="187" t="n">
        <v>1525</v>
      </c>
      <c r="BG8" s="187" t="n">
        <v>1200</v>
      </c>
      <c r="BH8" s="187" t="n">
        <v>750</v>
      </c>
      <c r="BI8" s="187" t="n">
        <v>425</v>
      </c>
      <c r="BJ8" s="187">
        <f>100+CQ8</f>
        <v/>
      </c>
      <c r="BK8" s="187" t="n">
        <v>250</v>
      </c>
      <c r="BL8" s="187" t="n">
        <v>0</v>
      </c>
      <c r="BM8" s="187" t="n">
        <v>0</v>
      </c>
      <c r="BN8" s="187">
        <f>0+CP8</f>
        <v/>
      </c>
      <c r="BO8" s="187" t="n">
        <v>500</v>
      </c>
      <c r="BP8" s="187">
        <f>100+CN8</f>
        <v/>
      </c>
      <c r="BQ8" s="187" t="n">
        <v>600</v>
      </c>
      <c r="BR8" s="187" t="n">
        <v>425</v>
      </c>
      <c r="BS8" s="187" t="n">
        <v>0</v>
      </c>
      <c r="BT8" s="187" t="n">
        <v>0</v>
      </c>
      <c r="BU8" s="187" t="n">
        <v>0</v>
      </c>
      <c r="BV8" s="187" t="n">
        <v>600</v>
      </c>
      <c r="BW8" s="187" t="n">
        <v>0</v>
      </c>
      <c r="BX8" s="187" t="n">
        <v>0</v>
      </c>
      <c r="BY8" s="187">
        <f>0+CI8</f>
        <v/>
      </c>
      <c r="BZ8" s="187" t="n"/>
      <c r="CA8" s="187" t="n"/>
      <c r="CB8" s="188">
        <f>BZ8+IF(NOT(ISBLANK(OFFSET(CB8,0,6))),N(OFFSET(CB8,0,6)),N(OFFSET(CB8,0,7)))-CA8</f>
        <v/>
      </c>
      <c r="CC8" s="6" t="n"/>
      <c r="CD8" s="19" t="n">
        <v>300</v>
      </c>
      <c r="CF8" s="27" t="n"/>
      <c r="CH8" s="179" t="n">
        <v>0</v>
      </c>
      <c r="CI8" s="179" t="n">
        <v>600</v>
      </c>
      <c r="CJ8" s="179" t="n">
        <v>600</v>
      </c>
      <c r="CK8" s="179" t="n"/>
      <c r="CL8" s="179" t="n"/>
      <c r="CM8" s="179" t="n"/>
      <c r="CN8" s="179" t="n">
        <v>900</v>
      </c>
      <c r="CO8" s="179" t="n"/>
      <c r="CP8" s="179" t="n">
        <v>900</v>
      </c>
      <c r="CQ8" s="179" t="n">
        <v>600</v>
      </c>
      <c r="CR8" s="179" t="n"/>
      <c r="CS8" s="179" t="n"/>
      <c r="CT8" s="179" t="n"/>
      <c r="CU8" s="179" t="n"/>
      <c r="CV8" s="179" t="n"/>
      <c r="CW8" s="179" t="n">
        <v>600</v>
      </c>
      <c r="CX8" s="179" t="n">
        <v>600</v>
      </c>
      <c r="CY8" s="179" t="n">
        <v>600</v>
      </c>
      <c r="CZ8" s="179" t="n"/>
      <c r="DA8" s="179" t="n">
        <v>600</v>
      </c>
      <c r="DB8" s="179" t="n"/>
      <c r="DC8" s="179" t="n">
        <v>600</v>
      </c>
      <c r="DD8" s="179" t="n">
        <v>300</v>
      </c>
      <c r="DE8" s="179" t="n"/>
      <c r="DF8" s="179" t="n"/>
      <c r="DG8" s="179" t="n"/>
      <c r="DH8" s="179" t="n">
        <v>600</v>
      </c>
      <c r="DI8" s="179" t="n"/>
      <c r="DJ8" s="179" t="n"/>
      <c r="DK8" s="179" t="n">
        <v>900</v>
      </c>
      <c r="DL8" s="356" t="n"/>
      <c r="DM8" s="256" t="n"/>
      <c r="DN8" s="179" t="n"/>
      <c r="DO8" s="179" t="n">
        <v>300</v>
      </c>
      <c r="DP8" s="179" t="n"/>
      <c r="DQ8" s="179" t="n"/>
      <c r="DR8" s="179" t="n">
        <v>300</v>
      </c>
      <c r="DS8" s="179" t="n">
        <v>300</v>
      </c>
      <c r="DT8" s="179" t="n"/>
      <c r="DU8" s="179" t="n"/>
      <c r="DV8" s="179" t="n">
        <v>300</v>
      </c>
      <c r="DW8" s="179" t="n"/>
      <c r="DX8" s="179" t="n">
        <v>600</v>
      </c>
      <c r="DY8" s="179" t="n"/>
      <c r="DZ8" s="256" t="n"/>
      <c r="EA8" s="256" t="n"/>
      <c r="EB8" s="179" t="n">
        <v>600</v>
      </c>
      <c r="EC8" s="179" t="n"/>
      <c r="ED8" s="179" t="n"/>
      <c r="EE8" s="256" t="n"/>
      <c r="EF8" s="179" t="n">
        <v>900</v>
      </c>
      <c r="EG8" s="179" t="n"/>
      <c r="EH8" s="179" t="n">
        <v>300</v>
      </c>
      <c r="EI8" s="179" t="n"/>
      <c r="EJ8" s="179" t="n"/>
      <c r="EK8" s="256" t="n"/>
      <c r="EL8" s="179" t="n"/>
      <c r="EM8" s="256" t="n"/>
      <c r="EN8" s="179" t="n"/>
      <c r="EO8" s="179" t="n">
        <v>300</v>
      </c>
      <c r="EP8" s="239" t="inlineStr">
        <is>
          <t>600 DE CDP</t>
        </is>
      </c>
      <c r="EQ8" s="179" t="n"/>
      <c r="ER8" s="256" t="n"/>
      <c r="ES8" s="256" t="n"/>
      <c r="ET8" s="256" t="n"/>
      <c r="EU8" s="179" t="n"/>
      <c r="EV8" s="179" t="n"/>
      <c r="EW8" s="179" t="n">
        <v>600</v>
      </c>
      <c r="EX8" s="179" t="n"/>
      <c r="EY8" s="179" t="n"/>
      <c r="EZ8" s="256" t="n"/>
      <c r="FA8" s="179" t="n"/>
      <c r="FB8" s="179" t="n">
        <v>600</v>
      </c>
      <c r="FC8" s="179" t="n">
        <v>600</v>
      </c>
      <c r="FD8" s="179" t="n"/>
      <c r="FE8" s="179" t="n"/>
      <c r="FF8" s="256" t="n"/>
      <c r="FG8" s="179" t="n"/>
      <c r="FH8" s="179" t="n"/>
      <c r="FI8" s="179" t="n">
        <v>300</v>
      </c>
      <c r="FJ8" s="179" t="n"/>
      <c r="FK8" s="179" t="n">
        <v>300</v>
      </c>
      <c r="FL8" s="256" t="n"/>
      <c r="FM8" s="179" t="n">
        <v>600</v>
      </c>
      <c r="FN8" s="179" t="n"/>
      <c r="FO8" s="179" t="n"/>
      <c r="FP8" s="179" t="n"/>
      <c r="FQ8" s="179" t="n"/>
      <c r="FR8" s="179" t="n"/>
      <c r="FS8" s="179" t="n">
        <v>300</v>
      </c>
      <c r="FT8" s="179" t="n"/>
      <c r="FU8" s="179" t="n">
        <v>300</v>
      </c>
      <c r="FV8" s="179" t="n"/>
      <c r="FW8" s="179" t="n">
        <v>300</v>
      </c>
      <c r="FX8" s="179" t="n"/>
      <c r="FY8" s="179" t="n">
        <v>600</v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1000</v>
      </c>
      <c r="E9" s="6" t="n"/>
      <c r="F9" s="187" t="n">
        <v>1150</v>
      </c>
      <c r="G9" s="187">
        <f>750-200</f>
        <v/>
      </c>
      <c r="H9" s="187">
        <f>800+FU9</f>
        <v/>
      </c>
      <c r="I9" s="187">
        <f>1075+FS9</f>
        <v/>
      </c>
      <c r="J9" s="187" t="n">
        <v>1400</v>
      </c>
      <c r="K9" s="187">
        <f>1200+FQ9</f>
        <v/>
      </c>
      <c r="L9" s="187" t="n">
        <v>1600</v>
      </c>
      <c r="M9" s="187" t="n">
        <v>1500</v>
      </c>
      <c r="N9" s="187" t="n">
        <v>1200</v>
      </c>
      <c r="O9" s="187" t="n">
        <v>1575</v>
      </c>
      <c r="P9" s="187">
        <f>1300+FI9</f>
        <v/>
      </c>
      <c r="Q9" s="187" t="n">
        <v>1200</v>
      </c>
      <c r="R9" s="187" t="n">
        <v>1000</v>
      </c>
      <c r="S9" s="187" t="n">
        <v>675</v>
      </c>
      <c r="T9" s="187" t="n">
        <v>400</v>
      </c>
      <c r="U9" s="187">
        <f>225+FC9</f>
        <v/>
      </c>
      <c r="V9" s="187" t="n">
        <v>600</v>
      </c>
      <c r="W9" s="187" t="n">
        <v>275</v>
      </c>
      <c r="X9" s="187" t="n">
        <v>0</v>
      </c>
      <c r="Y9" s="187" t="n">
        <v>300</v>
      </c>
      <c r="Z9" s="187" t="n">
        <v>325</v>
      </c>
      <c r="AA9" s="187" t="n">
        <v>600</v>
      </c>
      <c r="AB9" s="187" t="n">
        <v>600</v>
      </c>
      <c r="AC9" s="187" t="n">
        <v>600</v>
      </c>
      <c r="AD9" s="187" t="n">
        <v>550</v>
      </c>
      <c r="AE9" s="187">
        <f>475+EI9</f>
        <v/>
      </c>
      <c r="AF9" s="187" t="n">
        <v>200</v>
      </c>
      <c r="AG9" s="187" t="n">
        <v>950</v>
      </c>
      <c r="AH9" s="187" t="n">
        <v>750</v>
      </c>
      <c r="AI9" s="187" t="n">
        <v>725</v>
      </c>
      <c r="AJ9" s="187" t="n">
        <v>275</v>
      </c>
      <c r="AK9" s="187" t="n">
        <v>400</v>
      </c>
      <c r="AL9" s="187" t="n">
        <v>800</v>
      </c>
      <c r="AM9" s="187">
        <f>200+DX9</f>
        <v/>
      </c>
      <c r="AN9" s="187" t="n">
        <v>1200</v>
      </c>
      <c r="AO9" s="187" t="n">
        <v>700</v>
      </c>
      <c r="AP9" s="187" t="n">
        <v>275</v>
      </c>
      <c r="AQ9" s="187" t="n">
        <v>800</v>
      </c>
      <c r="AR9" s="187" t="n">
        <v>1000</v>
      </c>
      <c r="AS9" s="187" t="n">
        <v>525</v>
      </c>
      <c r="AT9" s="187" t="n">
        <v>400</v>
      </c>
      <c r="AU9" s="187">
        <f>400+DK9</f>
        <v/>
      </c>
      <c r="AV9" s="187" t="n">
        <v>400</v>
      </c>
      <c r="AW9" s="187">
        <f>400+DI9</f>
        <v/>
      </c>
      <c r="AX9" s="187" t="n">
        <v>700</v>
      </c>
      <c r="AY9" s="187">
        <f>0+DG9</f>
        <v/>
      </c>
      <c r="AZ9" s="187" t="n">
        <v>0</v>
      </c>
      <c r="BA9" s="187">
        <f>0+DC9</f>
        <v/>
      </c>
      <c r="BB9" s="187">
        <f>1400+DA9</f>
        <v/>
      </c>
      <c r="BC9" s="187">
        <f>2300+CY9</f>
        <v/>
      </c>
      <c r="BD9" s="187" t="n">
        <v>2700</v>
      </c>
      <c r="BE9" s="187" t="n">
        <v>3300</v>
      </c>
      <c r="BF9" s="187" t="n">
        <v>1750</v>
      </c>
      <c r="BG9" s="187" t="n">
        <v>1700</v>
      </c>
      <c r="BH9" s="187" t="n">
        <v>1200</v>
      </c>
      <c r="BI9" s="187" t="n">
        <v>1700</v>
      </c>
      <c r="BJ9" s="187">
        <f>1450+CQ9</f>
        <v/>
      </c>
      <c r="BK9" s="187" t="n">
        <v>1475</v>
      </c>
      <c r="BL9" s="187" t="n">
        <v>1750</v>
      </c>
      <c r="BM9" s="187" t="n">
        <v>1400</v>
      </c>
      <c r="BN9" s="187">
        <f>1050+CP9</f>
        <v/>
      </c>
      <c r="BO9" s="187" t="n">
        <v>1075</v>
      </c>
      <c r="BP9" s="187" t="n">
        <v>600</v>
      </c>
      <c r="BQ9" s="187">
        <f>50+CM9</f>
        <v/>
      </c>
      <c r="BR9" s="187" t="n">
        <v>400</v>
      </c>
      <c r="BS9" s="187" t="n">
        <v>0</v>
      </c>
      <c r="BT9" s="187" t="n">
        <v>0</v>
      </c>
      <c r="BU9" s="187" t="n">
        <v>0</v>
      </c>
      <c r="BV9" s="187" t="n">
        <v>1000</v>
      </c>
      <c r="BW9" s="187" t="n">
        <v>800</v>
      </c>
      <c r="BX9" s="187" t="n">
        <v>400</v>
      </c>
      <c r="BY9" s="187">
        <f>0+CI9</f>
        <v/>
      </c>
      <c r="BZ9" s="187" t="n"/>
      <c r="CA9" s="187" t="n"/>
      <c r="CB9" s="188">
        <f>BZ9+IF(NOT(ISBLANK(OFFSET(CB9,0,6))),N(OFFSET(CB9,0,6)),N(OFFSET(CB9,0,7)))-CA9</f>
        <v/>
      </c>
      <c r="CC9" s="6" t="n"/>
      <c r="CD9" s="19" t="n">
        <v>400</v>
      </c>
      <c r="CF9" s="27" t="n"/>
      <c r="CH9" s="179" t="n">
        <v>0</v>
      </c>
      <c r="CI9" s="179" t="n">
        <v>800</v>
      </c>
      <c r="CJ9" s="179" t="n">
        <v>1000</v>
      </c>
      <c r="CK9" s="403" t="n">
        <v>2000</v>
      </c>
      <c r="CL9" s="179" t="n"/>
      <c r="CM9" s="179" t="n">
        <v>600</v>
      </c>
      <c r="CN9" s="179" t="n"/>
      <c r="CO9" s="179" t="n"/>
      <c r="CP9" s="179" t="n">
        <v>400</v>
      </c>
      <c r="CQ9" s="179" t="n">
        <v>1600</v>
      </c>
      <c r="CR9" s="179" t="n"/>
      <c r="CS9" s="179" t="n"/>
      <c r="CT9" s="179" t="n"/>
      <c r="CU9" s="179" t="n">
        <v>400</v>
      </c>
      <c r="CV9" s="179" t="n">
        <v>800</v>
      </c>
      <c r="CW9" s="179" t="n">
        <v>600</v>
      </c>
      <c r="CX9" s="179" t="n"/>
      <c r="CY9" s="179" t="n">
        <v>1000</v>
      </c>
      <c r="CZ9" s="179" t="n"/>
      <c r="DA9" s="179" t="n">
        <v>1400</v>
      </c>
      <c r="DB9" s="179" t="n"/>
      <c r="DC9" s="179" t="n">
        <v>1600</v>
      </c>
      <c r="DD9" s="179" t="n"/>
      <c r="DE9" s="179" t="n"/>
      <c r="DF9" s="179" t="n"/>
      <c r="DG9" s="179" t="n">
        <v>1000</v>
      </c>
      <c r="DH9" s="179" t="n"/>
      <c r="DI9" s="179" t="n">
        <v>1000</v>
      </c>
      <c r="DJ9" s="179" t="n"/>
      <c r="DK9" s="179" t="n">
        <v>600</v>
      </c>
      <c r="DL9" s="256" t="n"/>
      <c r="DM9" s="256" t="n"/>
      <c r="DN9" s="179" t="n"/>
      <c r="DO9" s="179" t="n"/>
      <c r="DP9" s="179" t="n">
        <v>600</v>
      </c>
      <c r="DQ9" s="179" t="n"/>
      <c r="DR9" s="179" t="n">
        <v>1000</v>
      </c>
      <c r="DS9" s="179" t="n"/>
      <c r="DT9" s="179" t="n"/>
      <c r="DU9" s="179" t="n"/>
      <c r="DV9" s="179" t="n">
        <v>1000</v>
      </c>
      <c r="DW9" s="179" t="n"/>
      <c r="DX9" s="179" t="n">
        <v>400</v>
      </c>
      <c r="DY9" s="179" t="n"/>
      <c r="DZ9" s="256" t="n"/>
      <c r="EA9" s="256" t="n"/>
      <c r="EB9" s="179" t="n">
        <v>600</v>
      </c>
      <c r="EC9" s="179" t="n">
        <v>400</v>
      </c>
      <c r="ED9" s="179" t="n"/>
      <c r="EE9" s="256" t="n"/>
      <c r="EF9" s="179" t="n">
        <v>200</v>
      </c>
      <c r="EG9" s="179" t="n"/>
      <c r="EH9" s="179" t="n">
        <v>1000</v>
      </c>
      <c r="EI9" s="179" t="n">
        <v>200</v>
      </c>
      <c r="EJ9" s="179" t="n"/>
      <c r="EK9" s="256" t="n"/>
      <c r="EL9" s="179" t="n">
        <v>400</v>
      </c>
      <c r="EM9" s="256" t="n"/>
      <c r="EN9" s="179" t="n"/>
      <c r="EO9" s="179" t="n"/>
      <c r="EP9" s="256" t="n"/>
      <c r="EQ9" s="179" t="n">
        <v>600</v>
      </c>
      <c r="ER9" s="256" t="n"/>
      <c r="ES9" s="256" t="n"/>
      <c r="ET9" s="256" t="n"/>
      <c r="EU9" s="179" t="n">
        <v>200</v>
      </c>
      <c r="EV9" s="179" t="n"/>
      <c r="EW9" s="179" t="n">
        <v>800</v>
      </c>
      <c r="EX9" s="179" t="n"/>
      <c r="EY9" s="179" t="n"/>
      <c r="EZ9" s="256" t="n"/>
      <c r="FA9" s="179" t="n"/>
      <c r="FB9" s="179" t="n">
        <v>400</v>
      </c>
      <c r="FC9" s="179" t="n">
        <v>400</v>
      </c>
      <c r="FD9" s="179" t="n"/>
      <c r="FE9" s="179" t="n"/>
      <c r="FF9" s="256" t="n"/>
      <c r="FG9" s="179" t="n"/>
      <c r="FH9" s="179" t="n"/>
      <c r="FI9" s="179" t="n">
        <v>400</v>
      </c>
      <c r="FJ9" s="179" t="n"/>
      <c r="FK9" s="179" t="n"/>
      <c r="FL9" s="256" t="n">
        <v>1000</v>
      </c>
      <c r="FM9" s="179" t="n">
        <v>600</v>
      </c>
      <c r="FN9" s="179" t="n"/>
      <c r="FO9" s="179" t="n">
        <v>400</v>
      </c>
      <c r="FP9" s="179" t="n"/>
      <c r="FQ9" s="179" t="n">
        <v>400</v>
      </c>
      <c r="FR9" s="179" t="n"/>
      <c r="FS9" s="179" t="n">
        <v>600</v>
      </c>
      <c r="FT9" s="179" t="n"/>
      <c r="FU9" s="179" t="n">
        <v>600</v>
      </c>
      <c r="FV9" s="239" t="inlineStr">
        <is>
          <t>200 P/ PBE</t>
        </is>
      </c>
      <c r="FW9" s="179" t="n">
        <v>600</v>
      </c>
      <c r="FX9" s="179" t="n"/>
      <c r="FY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400</v>
      </c>
      <c r="E10" s="6" t="n"/>
      <c r="F10" s="38" t="n">
        <v>600</v>
      </c>
      <c r="G10" s="38" t="n">
        <v>600</v>
      </c>
      <c r="H10" s="38">
        <f>600+FU10</f>
        <v/>
      </c>
      <c r="I10" s="187" t="n">
        <v>1200</v>
      </c>
      <c r="J10" s="187" t="n">
        <v>1000</v>
      </c>
      <c r="K10" s="187" t="n">
        <v>975</v>
      </c>
      <c r="L10" s="187" t="n">
        <v>950</v>
      </c>
      <c r="M10" s="187" t="n">
        <v>900</v>
      </c>
      <c r="N10" s="187" t="n">
        <v>875</v>
      </c>
      <c r="O10" s="187" t="n">
        <v>975</v>
      </c>
      <c r="P10" s="187" t="n">
        <v>1000</v>
      </c>
      <c r="Q10" s="187" t="n">
        <v>1000</v>
      </c>
      <c r="R10" s="187" t="n">
        <v>800</v>
      </c>
      <c r="S10" s="187" t="n">
        <v>750</v>
      </c>
      <c r="T10" s="187" t="n">
        <v>725</v>
      </c>
      <c r="U10" s="187" t="n">
        <v>725</v>
      </c>
      <c r="V10" s="187" t="n">
        <v>600</v>
      </c>
      <c r="W10" s="187" t="n">
        <v>600</v>
      </c>
      <c r="X10" s="187" t="n">
        <v>600</v>
      </c>
      <c r="Y10" s="187" t="n">
        <v>450</v>
      </c>
      <c r="Z10" s="187" t="n">
        <v>400</v>
      </c>
      <c r="AA10" s="187">
        <f>225+400</f>
        <v/>
      </c>
      <c r="AB10" s="187" t="n">
        <v>600</v>
      </c>
      <c r="AC10" s="187" t="n">
        <v>400</v>
      </c>
      <c r="AD10" s="187" t="n">
        <v>400</v>
      </c>
      <c r="AE10" s="187" t="n">
        <v>300</v>
      </c>
      <c r="AF10" s="187" t="n">
        <v>300</v>
      </c>
      <c r="AG10" s="187" t="n">
        <v>450</v>
      </c>
      <c r="AH10" s="187" t="n">
        <v>400</v>
      </c>
      <c r="AI10" s="187" t="n">
        <v>300</v>
      </c>
      <c r="AJ10" s="187" t="n">
        <v>250</v>
      </c>
      <c r="AK10" s="187" t="n">
        <v>200</v>
      </c>
      <c r="AL10" s="187" t="n">
        <v>100</v>
      </c>
      <c r="AM10" s="187">
        <f>0+DX10</f>
        <v/>
      </c>
      <c r="AN10" s="187" t="n">
        <v>350</v>
      </c>
      <c r="AO10" s="187" t="n">
        <v>275</v>
      </c>
      <c r="AP10" s="187" t="n">
        <v>275</v>
      </c>
      <c r="AQ10" s="187">
        <f>250+DQ10</f>
        <v/>
      </c>
      <c r="AR10" s="187" t="n">
        <v>625</v>
      </c>
      <c r="AS10" s="187" t="n">
        <v>600</v>
      </c>
      <c r="AT10" s="187" t="n">
        <v>425</v>
      </c>
      <c r="AU10" s="187" t="n">
        <v>300</v>
      </c>
      <c r="AV10" s="187" t="n">
        <v>150</v>
      </c>
      <c r="AW10" s="187">
        <f>0+DI10</f>
        <v/>
      </c>
      <c r="AX10" s="187" t="n">
        <v>275</v>
      </c>
      <c r="AY10" s="187">
        <f>200+DG10</f>
        <v/>
      </c>
      <c r="AZ10" s="187" t="n">
        <v>250</v>
      </c>
      <c r="BA10" s="187">
        <f>200+DD10+DC10</f>
        <v/>
      </c>
      <c r="BB10" s="187" t="n">
        <v>900</v>
      </c>
      <c r="BC10" s="187" t="n">
        <v>825</v>
      </c>
      <c r="BD10" s="187" t="n">
        <v>650</v>
      </c>
      <c r="BE10" s="187" t="n">
        <v>850</v>
      </c>
      <c r="BF10" s="187" t="n">
        <v>625</v>
      </c>
      <c r="BG10" s="187" t="n">
        <v>600</v>
      </c>
      <c r="BH10" s="187" t="n">
        <v>575</v>
      </c>
      <c r="BI10" s="187">
        <f>750+200</f>
        <v/>
      </c>
      <c r="BJ10" s="187" t="n">
        <v>925</v>
      </c>
      <c r="BK10" s="187" t="n">
        <v>875</v>
      </c>
      <c r="BL10" s="187" t="n">
        <v>800</v>
      </c>
      <c r="BM10" s="187" t="n">
        <v>675</v>
      </c>
      <c r="BN10" s="187" t="n">
        <v>675</v>
      </c>
      <c r="BO10" s="187" t="n">
        <v>600</v>
      </c>
      <c r="BP10" s="187" t="n">
        <v>275</v>
      </c>
      <c r="BQ10" s="187">
        <f>200+CM10</f>
        <v/>
      </c>
      <c r="BR10" s="187" t="n">
        <v>450</v>
      </c>
      <c r="BS10" s="187" t="n">
        <v>400</v>
      </c>
      <c r="BT10" s="187" t="n">
        <v>75</v>
      </c>
      <c r="BU10" s="187" t="n">
        <v>0</v>
      </c>
      <c r="BV10" s="187" t="n">
        <v>200</v>
      </c>
      <c r="BW10" s="187" t="n">
        <v>200</v>
      </c>
      <c r="BX10" s="187" t="n">
        <v>125</v>
      </c>
      <c r="BY10" s="187" t="n">
        <v>0</v>
      </c>
      <c r="BZ10" s="187" t="n"/>
      <c r="CA10" s="187" t="n"/>
      <c r="CB10" s="188">
        <f>BZ10+IF(NOT(ISBLANK(OFFSET(CB10,0,6))),N(OFFSET(CB10,0,6)),N(OFFSET(CB10,0,7)))-CA10</f>
        <v/>
      </c>
      <c r="CC10" s="6" t="n"/>
      <c r="CD10" s="233" t="inlineStr">
        <is>
          <t>400 DE ER MG</t>
        </is>
      </c>
      <c r="CE10" s="4" t="n"/>
      <c r="CF10" s="27" t="n"/>
      <c r="CG10" s="4" t="n"/>
      <c r="CH10" s="18" t="n">
        <v>0</v>
      </c>
      <c r="CI10" s="18" t="n">
        <v>0</v>
      </c>
      <c r="CJ10" s="18" t="n">
        <v>200</v>
      </c>
      <c r="CK10" s="403" t="n">
        <v>600</v>
      </c>
      <c r="CL10" s="18" t="n"/>
      <c r="CM10" s="18" t="n">
        <v>400</v>
      </c>
      <c r="CN10" s="18" t="n"/>
      <c r="CO10" s="418" t="n">
        <v>150</v>
      </c>
      <c r="CP10" s="18" t="n"/>
      <c r="CQ10" s="18" t="n"/>
      <c r="CR10" s="18" t="n"/>
      <c r="CS10" s="18" t="n"/>
      <c r="CT10" s="154" t="inlineStr">
        <is>
          <t>200 DE ER MG</t>
        </is>
      </c>
      <c r="CU10" s="18" t="n">
        <v>200</v>
      </c>
      <c r="CV10" s="18" t="n"/>
      <c r="CW10" s="18" t="n">
        <v>200</v>
      </c>
      <c r="CX10" s="18" t="n"/>
      <c r="CY10" s="18" t="n"/>
      <c r="CZ10" s="18" t="n"/>
      <c r="DA10" s="18" t="n"/>
      <c r="DB10" s="18" t="n"/>
      <c r="DC10" s="18" t="n">
        <v>600</v>
      </c>
      <c r="DD10" s="18" t="n">
        <v>200</v>
      </c>
      <c r="DE10" s="18" t="n"/>
      <c r="DF10" s="18" t="n"/>
      <c r="DG10" s="18" t="n">
        <v>200</v>
      </c>
      <c r="DH10" s="18" t="n"/>
      <c r="DI10" s="18" t="n">
        <v>400</v>
      </c>
      <c r="DJ10" s="18" t="n"/>
      <c r="DK10" s="18" t="n"/>
      <c r="DL10" s="256" t="n"/>
      <c r="DM10" s="404" t="inlineStr">
        <is>
          <t>20 DE ER PG</t>
        </is>
      </c>
      <c r="DN10" s="18" t="n"/>
      <c r="DO10" s="18" t="n"/>
      <c r="DP10" s="18" t="n"/>
      <c r="DQ10" s="18" t="n">
        <v>400</v>
      </c>
      <c r="DR10" s="18" t="n"/>
      <c r="DS10" s="18" t="n">
        <v>200</v>
      </c>
      <c r="DT10" s="18" t="n"/>
      <c r="DU10" s="18" t="n"/>
      <c r="DV10" s="18" t="n"/>
      <c r="DW10" s="18" t="n"/>
      <c r="DX10" s="18" t="n">
        <v>400</v>
      </c>
      <c r="DY10" s="18" t="n"/>
      <c r="DZ10" s="256" t="n"/>
      <c r="EA10" s="256" t="n"/>
      <c r="EB10" s="18" t="n"/>
      <c r="EC10" s="18" t="n"/>
      <c r="ED10" s="18" t="n"/>
      <c r="EE10" s="256" t="n"/>
      <c r="EF10" s="18" t="n"/>
      <c r="EG10" s="179" t="n"/>
      <c r="EH10" s="18" t="n">
        <v>200</v>
      </c>
      <c r="EI10" s="18" t="n"/>
      <c r="EJ10" s="256" t="n">
        <v>400</v>
      </c>
      <c r="EK10" s="256" t="n"/>
      <c r="EL10" s="18" t="n"/>
      <c r="EM10" s="256" t="n"/>
      <c r="EN10" s="18" t="n"/>
      <c r="EO10" s="18" t="n"/>
      <c r="EP10" s="239" t="inlineStr">
        <is>
          <t>400 DE ER PG</t>
        </is>
      </c>
      <c r="EQ10" s="18" t="n"/>
      <c r="ER10" s="256" t="n"/>
      <c r="ES10" s="256" t="n"/>
      <c r="ET10" s="256" t="n"/>
      <c r="EU10" s="18" t="n"/>
      <c r="EV10" s="18" t="n"/>
      <c r="EW10" s="18" t="n"/>
      <c r="EX10" s="18" t="n"/>
      <c r="EY10" s="18" t="n"/>
      <c r="EZ10" s="256" t="n">
        <v>170</v>
      </c>
      <c r="FA10" s="18" t="n"/>
      <c r="FB10" s="18" t="n"/>
      <c r="FC10" s="18" t="n"/>
      <c r="FD10" s="18" t="n"/>
      <c r="FE10" s="18" t="n"/>
      <c r="FF10" s="256" t="n"/>
      <c r="FG10" s="18" t="n"/>
      <c r="FH10" s="18" t="n"/>
      <c r="FI10" s="18" t="n"/>
      <c r="FJ10" s="18" t="n"/>
      <c r="FK10" s="18" t="n"/>
      <c r="FL10" s="256" t="n">
        <v>600</v>
      </c>
      <c r="FM10" s="18" t="n"/>
      <c r="FN10" s="18" t="n"/>
      <c r="FO10" s="18" t="n"/>
      <c r="FP10" s="18" t="n"/>
      <c r="FQ10" s="18" t="n"/>
      <c r="FR10" s="18" t="n"/>
      <c r="FS10" s="18" t="n"/>
      <c r="FT10" s="18" t="n"/>
      <c r="FU10" s="18" t="n">
        <v>600</v>
      </c>
      <c r="FV10" s="18" t="n"/>
      <c r="FW10" s="18" t="n"/>
      <c r="FX10" s="18" t="n"/>
      <c r="FY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200</v>
      </c>
      <c r="E11" s="6" t="n"/>
      <c r="F11" s="38" t="n">
        <v>300</v>
      </c>
      <c r="G11" s="38" t="n">
        <v>300</v>
      </c>
      <c r="H11" s="38">
        <f>275+FU11</f>
        <v/>
      </c>
      <c r="I11" s="38" t="n">
        <v>375</v>
      </c>
      <c r="J11" s="38" t="n">
        <v>375</v>
      </c>
      <c r="K11" s="38" t="n">
        <v>325</v>
      </c>
      <c r="L11" s="38" t="n">
        <v>325</v>
      </c>
      <c r="M11" s="38" t="n">
        <v>325</v>
      </c>
      <c r="N11" s="38" t="n">
        <v>300</v>
      </c>
      <c r="O11" s="38" t="n">
        <v>400</v>
      </c>
      <c r="P11" s="38" t="n">
        <v>400</v>
      </c>
      <c r="Q11" s="38" t="n">
        <v>400</v>
      </c>
      <c r="R11" s="38" t="n">
        <v>400</v>
      </c>
      <c r="S11" s="38" t="n">
        <v>400</v>
      </c>
      <c r="T11" s="38" t="n">
        <v>375</v>
      </c>
      <c r="U11" s="38" t="n">
        <v>375</v>
      </c>
      <c r="V11" s="38" t="n">
        <v>350</v>
      </c>
      <c r="W11" s="38" t="n">
        <v>350</v>
      </c>
      <c r="X11" s="38" t="n">
        <v>350</v>
      </c>
      <c r="Y11" s="38" t="n">
        <v>350</v>
      </c>
      <c r="Z11" s="38" t="n">
        <v>350</v>
      </c>
      <c r="AA11" s="38" t="n">
        <v>350</v>
      </c>
      <c r="AB11" s="38" t="n">
        <v>325</v>
      </c>
      <c r="AC11" s="38" t="n">
        <v>325</v>
      </c>
      <c r="AD11" s="38" t="n">
        <v>325</v>
      </c>
      <c r="AE11" s="38" t="n">
        <v>325</v>
      </c>
      <c r="AF11" s="38" t="n">
        <v>325</v>
      </c>
      <c r="AG11" s="38" t="n">
        <v>325</v>
      </c>
      <c r="AH11" s="38" t="n">
        <v>225</v>
      </c>
      <c r="AI11" s="38" t="n">
        <v>35</v>
      </c>
      <c r="AJ11" s="38" t="n">
        <v>625</v>
      </c>
      <c r="AK11" s="38" t="n">
        <v>625</v>
      </c>
      <c r="AL11" s="38" t="n">
        <v>600</v>
      </c>
      <c r="AM11" s="38" t="n">
        <v>600</v>
      </c>
      <c r="AN11" s="38" t="n">
        <v>475</v>
      </c>
      <c r="AO11" s="38" t="n">
        <v>475</v>
      </c>
      <c r="AP11" s="38" t="n">
        <v>450</v>
      </c>
      <c r="AQ11" s="38" t="n">
        <v>450</v>
      </c>
      <c r="AR11" s="38" t="n">
        <v>550</v>
      </c>
      <c r="AS11" s="38" t="n">
        <v>525</v>
      </c>
      <c r="AT11" s="38" t="n">
        <v>475</v>
      </c>
      <c r="AU11" s="38" t="n">
        <v>425</v>
      </c>
      <c r="AV11" s="38" t="n">
        <v>350</v>
      </c>
      <c r="AW11" s="38" t="n">
        <v>350</v>
      </c>
      <c r="AX11" s="38" t="n">
        <v>350</v>
      </c>
      <c r="AY11" s="38" t="n">
        <v>0</v>
      </c>
      <c r="AZ11" s="38" t="n">
        <v>0</v>
      </c>
      <c r="BA11" s="38">
        <f>0+DD11+DC11</f>
        <v/>
      </c>
      <c r="BB11" s="38" t="n">
        <v>800</v>
      </c>
      <c r="BC11" s="38" t="n">
        <v>800</v>
      </c>
      <c r="BD11" s="38" t="n">
        <v>800</v>
      </c>
      <c r="BE11" s="38" t="n">
        <v>800</v>
      </c>
      <c r="BF11" s="38" t="n">
        <v>875</v>
      </c>
      <c r="BG11" s="38" t="n">
        <v>875</v>
      </c>
      <c r="BH11" s="38" t="n">
        <v>875</v>
      </c>
      <c r="BI11" s="38">
        <f>875+100</f>
        <v/>
      </c>
      <c r="BJ11" s="38" t="n">
        <v>325</v>
      </c>
      <c r="BK11" s="38" t="n">
        <v>325</v>
      </c>
      <c r="BL11" s="38" t="n">
        <v>300</v>
      </c>
      <c r="BM11" s="38" t="n">
        <v>300</v>
      </c>
      <c r="BN11" s="38" t="n">
        <v>300</v>
      </c>
      <c r="BO11" s="38" t="n">
        <v>250</v>
      </c>
      <c r="BP11" s="38" t="n">
        <v>250</v>
      </c>
      <c r="BQ11" s="38" t="n">
        <v>200</v>
      </c>
      <c r="BR11" s="38" t="n">
        <v>175</v>
      </c>
      <c r="BS11" s="38" t="n">
        <v>175</v>
      </c>
      <c r="BT11" s="38" t="n">
        <v>175</v>
      </c>
      <c r="BU11" s="38" t="n">
        <v>175</v>
      </c>
      <c r="BV11" s="38" t="n">
        <v>175</v>
      </c>
      <c r="BW11" s="38" t="n">
        <v>175</v>
      </c>
      <c r="BX11" s="38" t="n">
        <v>175</v>
      </c>
      <c r="BY11" s="38" t="n">
        <v>0</v>
      </c>
      <c r="BZ11" s="38" t="n"/>
      <c r="CA11" s="38" t="n"/>
      <c r="CB11" s="188">
        <f>BZ11+IF(NOT(ISBLANK(OFFSET(CB11,0,6))),N(OFFSET(CB11,0,6)),N(OFFSET(CB11,0,7)))-CA11</f>
        <v/>
      </c>
      <c r="CC11" s="6" t="n"/>
      <c r="CD11" s="233" t="inlineStr">
        <is>
          <t>200 DE CDP</t>
        </is>
      </c>
      <c r="CE11" s="4" t="n"/>
      <c r="CF11" s="65" t="n"/>
      <c r="CG11" s="4" t="n"/>
      <c r="CH11" s="18" t="n">
        <v>0</v>
      </c>
      <c r="CI11" s="18" t="n">
        <v>0</v>
      </c>
      <c r="CJ11" s="18" t="n"/>
      <c r="CK11" s="403" t="n">
        <v>300</v>
      </c>
      <c r="CL11" s="18" t="n"/>
      <c r="CM11" s="18" t="n"/>
      <c r="CN11" s="18" t="n"/>
      <c r="CO11" s="18" t="n"/>
      <c r="CP11" s="18" t="n"/>
      <c r="CQ11" s="18" t="n"/>
      <c r="CR11" s="18" t="n"/>
      <c r="CS11" s="18" t="n"/>
      <c r="CT11" s="154" t="inlineStr">
        <is>
          <t>100 DE ER MG</t>
        </is>
      </c>
      <c r="CU11" s="18" t="n"/>
      <c r="CV11" s="18" t="n"/>
      <c r="CW11" s="18" t="n"/>
      <c r="CX11" s="18" t="n"/>
      <c r="CY11" s="18" t="n"/>
      <c r="CZ11" s="18" t="n"/>
      <c r="DA11" s="18" t="n"/>
      <c r="DB11" s="18" t="n"/>
      <c r="DC11" s="18" t="n">
        <v>200</v>
      </c>
      <c r="DD11" s="18" t="n">
        <v>400</v>
      </c>
      <c r="DE11" s="18" t="n"/>
      <c r="DF11" s="18" t="n"/>
      <c r="DG11" s="18" t="n"/>
      <c r="DH11" s="18" t="n"/>
      <c r="DI11" s="18" t="n"/>
      <c r="DJ11" s="18" t="n"/>
      <c r="DK11" s="18" t="n"/>
      <c r="DL11" s="256" t="n"/>
      <c r="DM11" s="256" t="n"/>
      <c r="DN11" s="18" t="n"/>
      <c r="DO11" s="18" t="n"/>
      <c r="DP11" s="18" t="n"/>
      <c r="DQ11" s="18" t="n"/>
      <c r="DR11" s="18" t="n"/>
      <c r="DS11" s="18" t="n"/>
      <c r="DT11" s="18" t="n"/>
      <c r="DU11" s="376" t="inlineStr">
        <is>
          <t>40 DE CDP</t>
        </is>
      </c>
      <c r="DV11" s="18" t="n"/>
      <c r="DW11" s="18" t="n"/>
      <c r="DX11" s="18" t="n"/>
      <c r="DY11" s="18" t="n"/>
      <c r="DZ11" s="18" t="n"/>
      <c r="EA11" s="18" t="n"/>
      <c r="EB11" s="18" t="n"/>
      <c r="EC11" s="18" t="n">
        <v>300</v>
      </c>
      <c r="ED11" s="18" t="n"/>
      <c r="EE11" s="18" t="n"/>
      <c r="EF11" s="18" t="n"/>
      <c r="EG11" s="18" t="n"/>
      <c r="EH11" s="18" t="n"/>
      <c r="EI11" s="18" t="n"/>
      <c r="EJ11" s="18" t="n"/>
      <c r="EK11" s="18" t="n"/>
      <c r="EL11" s="18" t="n"/>
      <c r="EM11" s="18" t="n"/>
      <c r="EN11" s="18" t="n"/>
      <c r="EO11" s="18" t="n"/>
      <c r="EP11" s="18" t="n"/>
      <c r="EQ11" s="18" t="n"/>
      <c r="ER11" s="256" t="n"/>
      <c r="ES11" s="256" t="n"/>
      <c r="ET11" s="18" t="n"/>
      <c r="EU11" s="18" t="n"/>
      <c r="EV11" s="18" t="n"/>
      <c r="EW11" s="18" t="n"/>
      <c r="EX11" s="18" t="n"/>
      <c r="EY11" s="18" t="n"/>
      <c r="EZ11" s="256" t="n">
        <v>80</v>
      </c>
      <c r="FA11" s="18" t="n"/>
      <c r="FB11" s="18" t="n"/>
      <c r="FC11" s="18" t="n"/>
      <c r="FD11" s="18" t="n"/>
      <c r="FE11" s="18" t="n"/>
      <c r="FF11" s="256" t="n"/>
      <c r="FG11" s="18" t="n"/>
      <c r="FH11" s="18" t="n"/>
      <c r="FI11" s="18" t="n"/>
      <c r="FJ11" s="18" t="n"/>
      <c r="FK11" s="18" t="n"/>
      <c r="FL11" s="256" t="n">
        <v>300</v>
      </c>
      <c r="FM11" s="18" t="n"/>
      <c r="FN11" s="18" t="n"/>
      <c r="FO11" s="18" t="n">
        <v>100</v>
      </c>
      <c r="FP11" s="18" t="n"/>
      <c r="FQ11" s="18" t="n"/>
      <c r="FR11" s="18" t="n"/>
      <c r="FS11" s="18" t="n"/>
      <c r="FT11" s="18" t="n"/>
      <c r="FU11" s="18" t="n">
        <v>100</v>
      </c>
      <c r="FV11" s="18" t="n"/>
      <c r="FW11" s="18" t="n"/>
      <c r="FX11" s="18" t="n"/>
      <c r="FY11" s="18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329" t="n">
        <v>400</v>
      </c>
      <c r="E12" s="6" t="n"/>
      <c r="F12" s="38" t="n">
        <v>225</v>
      </c>
      <c r="G12" s="38" t="n">
        <v>225</v>
      </c>
      <c r="H12" s="38">
        <f>200+FU12</f>
        <v/>
      </c>
      <c r="I12" s="38" t="n">
        <v>375</v>
      </c>
      <c r="J12" s="38" t="n">
        <v>200</v>
      </c>
      <c r="K12" s="38">
        <f>200+FQ12+FP12</f>
        <v/>
      </c>
      <c r="L12" s="38" t="n">
        <v>800</v>
      </c>
      <c r="M12" s="38" t="n">
        <v>675</v>
      </c>
      <c r="N12" s="38" t="n">
        <v>675</v>
      </c>
      <c r="O12" s="38">
        <f>525+FK12</f>
        <v/>
      </c>
      <c r="P12" s="38" t="n">
        <v>600</v>
      </c>
      <c r="Q12" s="38" t="n">
        <v>500</v>
      </c>
      <c r="R12" s="38" t="n">
        <v>450</v>
      </c>
      <c r="S12" s="38" t="n">
        <v>400</v>
      </c>
      <c r="T12" s="38" t="n">
        <v>325</v>
      </c>
      <c r="U12" s="38" t="n">
        <v>150</v>
      </c>
      <c r="V12" s="38" t="n">
        <v>100</v>
      </c>
      <c r="W12" s="38" t="n">
        <v>100</v>
      </c>
      <c r="X12" s="38" t="n">
        <v>400</v>
      </c>
      <c r="Y12" s="38" t="n">
        <v>500</v>
      </c>
      <c r="Z12" s="38" t="n">
        <v>800</v>
      </c>
      <c r="AA12" s="38" t="n">
        <v>725</v>
      </c>
      <c r="AB12" s="38" t="n">
        <v>600</v>
      </c>
      <c r="AC12" s="38" t="n">
        <v>600</v>
      </c>
      <c r="AD12" s="38" t="n">
        <v>500</v>
      </c>
      <c r="AE12" s="38" t="n">
        <v>425</v>
      </c>
      <c r="AF12" s="38" t="n">
        <v>425</v>
      </c>
      <c r="AG12" s="38" t="n">
        <v>300</v>
      </c>
      <c r="AH12" s="38" t="n">
        <v>250</v>
      </c>
      <c r="AI12" s="38" t="n">
        <v>375</v>
      </c>
      <c r="AJ12" s="38" t="n">
        <v>300</v>
      </c>
      <c r="AK12" s="38" t="n">
        <v>200</v>
      </c>
      <c r="AL12" s="38" t="n">
        <v>200</v>
      </c>
      <c r="AM12" s="38">
        <f>150+DX12</f>
        <v/>
      </c>
      <c r="AN12" s="38" t="n">
        <v>475</v>
      </c>
      <c r="AO12" s="38" t="n">
        <v>375</v>
      </c>
      <c r="AP12" s="38" t="n">
        <v>300</v>
      </c>
      <c r="AQ12" s="38">
        <f>225+DQ12</f>
        <v/>
      </c>
      <c r="AR12" s="38" t="n">
        <v>300</v>
      </c>
      <c r="AS12" s="38">
        <f>200+DN12</f>
        <v/>
      </c>
      <c r="AT12" s="38" t="n">
        <v>350</v>
      </c>
      <c r="AU12" s="38">
        <f>225+DJ12</f>
        <v/>
      </c>
      <c r="AV12" s="38" t="n">
        <v>350</v>
      </c>
      <c r="AW12" s="38">
        <f>200+DI12</f>
        <v/>
      </c>
      <c r="AX12" s="38" t="n">
        <v>75</v>
      </c>
      <c r="AY12" s="38">
        <f>0+DH12</f>
        <v/>
      </c>
      <c r="AZ12" s="38">
        <f>75+DF12</f>
        <v/>
      </c>
      <c r="BA12" s="38">
        <f>200+DC12</f>
        <v/>
      </c>
      <c r="BB12" s="38">
        <f>650+DA12</f>
        <v/>
      </c>
      <c r="BC12" s="38" t="n">
        <v>700</v>
      </c>
      <c r="BD12" s="38" t="n">
        <v>675</v>
      </c>
      <c r="BE12" s="38" t="n">
        <v>675</v>
      </c>
      <c r="BF12" s="38" t="n">
        <v>400</v>
      </c>
      <c r="BG12" s="38" t="n">
        <v>250</v>
      </c>
      <c r="BH12" s="38" t="n">
        <v>250</v>
      </c>
      <c r="BI12" s="38">
        <f>125+CU12</f>
        <v/>
      </c>
      <c r="BJ12" s="38" t="n">
        <v>625</v>
      </c>
      <c r="BK12" s="38" t="n">
        <v>575</v>
      </c>
      <c r="BL12" s="38" t="n">
        <v>425</v>
      </c>
      <c r="BM12" s="38" t="n">
        <v>275</v>
      </c>
      <c r="BN12" s="38">
        <f>275+CP12</f>
        <v/>
      </c>
      <c r="BO12" s="38" t="n">
        <v>425</v>
      </c>
      <c r="BP12" s="38" t="n">
        <v>325</v>
      </c>
      <c r="BQ12" s="38" t="n">
        <v>200</v>
      </c>
      <c r="BR12" s="38" t="n">
        <v>350</v>
      </c>
      <c r="BS12" s="38" t="n">
        <v>200</v>
      </c>
      <c r="BT12" s="38" t="n">
        <v>75</v>
      </c>
      <c r="BU12" s="38" t="n">
        <v>0</v>
      </c>
      <c r="BV12" s="38" t="n">
        <v>200</v>
      </c>
      <c r="BW12" s="38" t="n">
        <v>50</v>
      </c>
      <c r="BX12" s="38" t="n">
        <v>50</v>
      </c>
      <c r="BY12" s="38" t="n">
        <v>0</v>
      </c>
      <c r="BZ12" s="38" t="n"/>
      <c r="CA12" s="38" t="n"/>
      <c r="CB12" s="188">
        <f>BZ12+IF(NOT(ISBLANK(OFFSET(CB12,0,6))),N(OFFSET(CB12,0,6)),N(OFFSET(CB12,0,7)))-CA12</f>
        <v/>
      </c>
      <c r="CC12" s="6" t="n"/>
      <c r="CD12" s="19" t="n">
        <v>400</v>
      </c>
      <c r="CE12" s="4" t="n"/>
      <c r="CF12" s="65" t="n"/>
      <c r="CG12" s="4" t="n"/>
      <c r="CH12" s="18" t="n">
        <v>0</v>
      </c>
      <c r="CI12" s="18" t="n">
        <v>0</v>
      </c>
      <c r="CJ12" s="18" t="n">
        <v>200</v>
      </c>
      <c r="CK12" s="18" t="n"/>
      <c r="CL12" s="18" t="n">
        <v>200</v>
      </c>
      <c r="CM12" s="18" t="n"/>
      <c r="CN12" s="18" t="n"/>
      <c r="CO12" s="18" t="n"/>
      <c r="CP12" s="18" t="n">
        <v>200</v>
      </c>
      <c r="CQ12" s="18" t="n"/>
      <c r="CR12" s="18" t="n"/>
      <c r="CS12" s="18" t="n">
        <v>200</v>
      </c>
      <c r="CT12" s="18" t="n"/>
      <c r="CU12" s="18" t="n">
        <v>400</v>
      </c>
      <c r="CV12" s="18" t="n"/>
      <c r="CW12" s="18" t="n"/>
      <c r="CX12" s="18" t="n"/>
      <c r="CY12" s="18" t="n"/>
      <c r="CZ12" s="18" t="n"/>
      <c r="DA12" s="18" t="n">
        <v>200</v>
      </c>
      <c r="DB12" s="18" t="n"/>
      <c r="DC12" s="18" t="n">
        <v>600</v>
      </c>
      <c r="DD12" s="18" t="n"/>
      <c r="DE12" s="18" t="n"/>
      <c r="DF12" s="18" t="n">
        <v>200</v>
      </c>
      <c r="DG12" s="18" t="n"/>
      <c r="DH12" s="18" t="n">
        <v>200</v>
      </c>
      <c r="DI12" s="18" t="n">
        <v>200</v>
      </c>
      <c r="DJ12" s="18" t="n">
        <v>200</v>
      </c>
      <c r="DK12" s="18" t="n"/>
      <c r="DL12" s="356" t="n"/>
      <c r="DM12" s="256" t="n"/>
      <c r="DN12" s="18" t="n">
        <v>200</v>
      </c>
      <c r="DO12" s="18" t="n"/>
      <c r="DP12" s="18" t="n"/>
      <c r="DQ12" s="18" t="n">
        <v>200</v>
      </c>
      <c r="DR12" s="18" t="n"/>
      <c r="DS12" s="18" t="n"/>
      <c r="DT12" s="18" t="n"/>
      <c r="DU12" s="376" t="inlineStr">
        <is>
          <t>40 DE CDP</t>
        </is>
      </c>
      <c r="DV12" s="18" t="n"/>
      <c r="DW12" s="18" t="n"/>
      <c r="DX12" s="18" t="n">
        <v>400</v>
      </c>
      <c r="DY12" s="18" t="n"/>
      <c r="DZ12" s="18" t="n"/>
      <c r="EA12" s="18" t="n"/>
      <c r="EB12" s="18" t="n">
        <v>200</v>
      </c>
      <c r="EC12" s="18" t="n"/>
      <c r="ED12" s="18" t="n"/>
      <c r="EE12" s="18" t="n"/>
      <c r="EF12" s="18" t="n">
        <v>200</v>
      </c>
      <c r="EG12" s="18" t="n"/>
      <c r="EH12" s="18" t="n"/>
      <c r="EI12" s="18" t="n"/>
      <c r="EJ12" s="18" t="n"/>
      <c r="EK12" s="18" t="n"/>
      <c r="EL12" s="18" t="n"/>
      <c r="EM12" s="18" t="n"/>
      <c r="EN12" s="18" t="n"/>
      <c r="EO12" s="18" t="n"/>
      <c r="EP12" s="18" t="n"/>
      <c r="EQ12" s="18" t="n"/>
      <c r="ER12" s="18" t="n"/>
      <c r="ES12" s="256" t="n"/>
      <c r="ET12" s="18" t="n"/>
      <c r="EU12" s="18" t="n">
        <v>400</v>
      </c>
      <c r="EV12" s="18" t="n"/>
      <c r="EW12" s="18" t="n"/>
      <c r="EX12" s="18" t="n">
        <v>600</v>
      </c>
      <c r="EY12" s="18" t="n"/>
      <c r="EZ12" s="18" t="n"/>
      <c r="FA12" s="18" t="n"/>
      <c r="FB12" s="18" t="n"/>
      <c r="FC12" s="18" t="n"/>
      <c r="FD12" s="18" t="n"/>
      <c r="FE12" s="18" t="n"/>
      <c r="FF12" s="256" t="n"/>
      <c r="FG12" s="18" t="n"/>
      <c r="FH12" s="18" t="n"/>
      <c r="FI12" s="18" t="n"/>
      <c r="FJ12" s="18" t="n"/>
      <c r="FK12" s="18" t="n">
        <v>200</v>
      </c>
      <c r="FL12" s="256" t="n"/>
      <c r="FM12" s="18" t="n"/>
      <c r="FN12" s="18" t="n"/>
      <c r="FO12" s="18" t="n"/>
      <c r="FP12" s="18" t="n">
        <v>400</v>
      </c>
      <c r="FQ12" s="18" t="n">
        <v>200</v>
      </c>
      <c r="FR12" s="18" t="n"/>
      <c r="FS12" s="18" t="n"/>
      <c r="FT12" s="18" t="n"/>
      <c r="FU12" s="18" t="n">
        <v>200</v>
      </c>
      <c r="FV12" s="18" t="n"/>
      <c r="FW12" s="18" t="n"/>
      <c r="FX12" s="18" t="n"/>
      <c r="FY12" s="18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329" t="n">
        <v>200</v>
      </c>
      <c r="E13" s="6" t="n"/>
      <c r="F13" s="38" t="n">
        <v>300</v>
      </c>
      <c r="G13" s="38" t="n">
        <v>260</v>
      </c>
      <c r="H13" s="38">
        <f>250+FU13</f>
        <v/>
      </c>
      <c r="I13" s="38" t="n">
        <v>300</v>
      </c>
      <c r="J13" s="38" t="n">
        <v>250</v>
      </c>
      <c r="K13" s="38">
        <f>225+FQ13</f>
        <v/>
      </c>
      <c r="L13" s="38" t="n">
        <v>325</v>
      </c>
      <c r="M13" s="38" t="n">
        <v>325</v>
      </c>
      <c r="N13" s="38" t="n">
        <v>300</v>
      </c>
      <c r="O13" s="38" t="n">
        <v>250</v>
      </c>
      <c r="P13" s="38">
        <f>175+FI13</f>
        <v/>
      </c>
      <c r="Q13" s="38">
        <f>200+FH13</f>
        <v/>
      </c>
      <c r="R13" s="38" t="n">
        <v>350</v>
      </c>
      <c r="S13" s="38" t="n">
        <v>350</v>
      </c>
      <c r="T13" s="38" t="n">
        <v>250</v>
      </c>
      <c r="U13" s="38" t="n">
        <v>200</v>
      </c>
      <c r="V13" s="38" t="n">
        <v>300</v>
      </c>
      <c r="W13" s="38" t="n">
        <v>250</v>
      </c>
      <c r="X13" s="38" t="n">
        <v>220</v>
      </c>
      <c r="Y13" s="38" t="n">
        <v>250</v>
      </c>
      <c r="Z13" s="38" t="n">
        <v>200</v>
      </c>
      <c r="AA13" s="38" t="n">
        <v>250</v>
      </c>
      <c r="AB13" s="38" t="n">
        <v>200</v>
      </c>
      <c r="AC13" s="38" t="n">
        <v>200</v>
      </c>
      <c r="AD13" s="38" t="n">
        <v>150</v>
      </c>
      <c r="AE13" s="38">
        <f>150+EI13</f>
        <v/>
      </c>
      <c r="AF13" s="38" t="n">
        <v>175</v>
      </c>
      <c r="AG13" s="38" t="n">
        <v>250</v>
      </c>
      <c r="AH13" s="38" t="n">
        <v>250</v>
      </c>
      <c r="AI13" s="38" t="n">
        <v>200</v>
      </c>
      <c r="AJ13" s="38" t="n">
        <v>200</v>
      </c>
      <c r="AK13" s="38" t="n">
        <v>175</v>
      </c>
      <c r="AL13" s="38" t="n">
        <v>100</v>
      </c>
      <c r="AM13" s="38">
        <f>50+DX13</f>
        <v/>
      </c>
      <c r="AN13" s="38" t="n">
        <v>250</v>
      </c>
      <c r="AO13" s="38" t="n">
        <v>300</v>
      </c>
      <c r="AP13" s="38" t="n">
        <v>300</v>
      </c>
      <c r="AQ13" s="38" t="n">
        <v>350</v>
      </c>
      <c r="AR13" s="38" t="n">
        <v>300</v>
      </c>
      <c r="AS13" s="38" t="n">
        <v>200</v>
      </c>
      <c r="AT13" s="38" t="n">
        <v>50</v>
      </c>
      <c r="AU13" s="38">
        <f>50+DJ13</f>
        <v/>
      </c>
      <c r="AV13" s="38" t="n">
        <v>200</v>
      </c>
      <c r="AW13" s="38" t="n">
        <v>100</v>
      </c>
      <c r="AX13" s="38" t="n">
        <v>75</v>
      </c>
      <c r="AY13" s="38">
        <f>25+DG13+DH13</f>
        <v/>
      </c>
      <c r="AZ13" s="38" t="n">
        <v>150</v>
      </c>
      <c r="BA13" s="38">
        <f>150+DD13</f>
        <v/>
      </c>
      <c r="BB13" s="38" t="n">
        <v>125</v>
      </c>
      <c r="BC13" s="38" t="n">
        <v>300</v>
      </c>
      <c r="BD13" s="38" t="n">
        <v>300</v>
      </c>
      <c r="BE13" s="38" t="n">
        <v>400</v>
      </c>
      <c r="BF13" s="38" t="n">
        <v>475</v>
      </c>
      <c r="BG13" s="38" t="n">
        <v>400</v>
      </c>
      <c r="BH13" s="38" t="n">
        <v>350</v>
      </c>
      <c r="BI13" s="38" t="n">
        <v>350</v>
      </c>
      <c r="BJ13" s="38" t="n">
        <v>275</v>
      </c>
      <c r="BK13" s="38" t="n">
        <v>200</v>
      </c>
      <c r="BL13" s="38" t="n">
        <v>125</v>
      </c>
      <c r="BM13" s="38" t="n">
        <v>100</v>
      </c>
      <c r="BN13" s="38">
        <f>50+CP13</f>
        <v/>
      </c>
      <c r="BO13" s="38" t="n">
        <v>125</v>
      </c>
      <c r="BP13" s="38" t="n">
        <v>50</v>
      </c>
      <c r="BQ13" s="38" t="n">
        <v>0</v>
      </c>
      <c r="BR13" s="38">
        <f>0+CL13</f>
        <v/>
      </c>
      <c r="BS13" s="38" t="n">
        <v>150</v>
      </c>
      <c r="BT13" s="38" t="n">
        <v>100</v>
      </c>
      <c r="BU13" s="38" t="n">
        <v>100</v>
      </c>
      <c r="BV13" s="38" t="n">
        <v>100</v>
      </c>
      <c r="BW13" s="38" t="n">
        <v>150</v>
      </c>
      <c r="BX13" s="38" t="n">
        <v>150</v>
      </c>
      <c r="BY13" s="38" t="n">
        <v>0</v>
      </c>
      <c r="BZ13" s="38" t="n"/>
      <c r="CA13" s="38" t="n"/>
      <c r="CB13" s="188">
        <f>BZ13+IF(NOT(ISBLANK(OFFSET(CB13,0,6))),N(OFFSET(CB13,0,6)),N(OFFSET(CB13,0,7)))-CA13</f>
        <v/>
      </c>
      <c r="CC13" s="6" t="n"/>
      <c r="CD13" s="19" t="n">
        <v>200</v>
      </c>
      <c r="CE13" s="4" t="n"/>
      <c r="CF13" s="65" t="n"/>
      <c r="CG13" s="4" t="n"/>
      <c r="CH13" s="18" t="n">
        <v>0</v>
      </c>
      <c r="CI13" s="18" t="n">
        <v>0</v>
      </c>
      <c r="CJ13" s="18" t="n">
        <v>100</v>
      </c>
      <c r="CK13" s="18" t="n"/>
      <c r="CL13" s="18" t="n">
        <v>200</v>
      </c>
      <c r="CM13" s="18" t="n"/>
      <c r="CN13" s="18" t="n"/>
      <c r="CO13" s="18" t="n"/>
      <c r="CP13" s="18" t="n">
        <v>100</v>
      </c>
      <c r="CQ13" s="18" t="n"/>
      <c r="CR13" s="18" t="n"/>
      <c r="CS13" s="18" t="n"/>
      <c r="CT13" s="18" t="n"/>
      <c r="CU13" s="18" t="n"/>
      <c r="CV13" s="18" t="n"/>
      <c r="CW13" s="18" t="n"/>
      <c r="CX13" s="18" t="n">
        <v>100</v>
      </c>
      <c r="CY13" s="18" t="n">
        <v>300</v>
      </c>
      <c r="CZ13" s="18" t="n"/>
      <c r="DA13" s="18" t="n"/>
      <c r="DB13" s="18" t="n"/>
      <c r="DC13" s="18" t="n"/>
      <c r="DD13" s="18" t="n">
        <v>100</v>
      </c>
      <c r="DE13" s="18" t="n"/>
      <c r="DF13" s="18" t="n"/>
      <c r="DG13" s="18" t="n">
        <v>100</v>
      </c>
      <c r="DH13" s="18" t="n">
        <v>100</v>
      </c>
      <c r="DI13" s="18" t="n"/>
      <c r="DJ13" s="18" t="n">
        <v>200</v>
      </c>
      <c r="DK13" s="18" t="n"/>
      <c r="DL13" s="356" t="n"/>
      <c r="DM13" s="256" t="n"/>
      <c r="DN13" s="18" t="n"/>
      <c r="DO13" s="18" t="n"/>
      <c r="DP13" s="18" t="n"/>
      <c r="DQ13" s="18" t="n"/>
      <c r="DR13" s="18" t="n">
        <v>200</v>
      </c>
      <c r="DS13" s="18" t="n"/>
      <c r="DT13" s="18" t="n"/>
      <c r="DU13" s="376" t="inlineStr">
        <is>
          <t>25 DE CDP</t>
        </is>
      </c>
      <c r="DV13" s="18" t="n">
        <v>100</v>
      </c>
      <c r="DW13" s="18" t="n"/>
      <c r="DX13" s="18" t="n">
        <v>100</v>
      </c>
      <c r="DY13" s="18" t="n"/>
      <c r="DZ13" s="18" t="n"/>
      <c r="EA13" s="18" t="n"/>
      <c r="EB13" s="18" t="n"/>
      <c r="EC13" s="18" t="n"/>
      <c r="ED13" s="18" t="n"/>
      <c r="EE13" s="18" t="n"/>
      <c r="EF13" s="18" t="n"/>
      <c r="EG13" s="18" t="n"/>
      <c r="EH13" s="18" t="n">
        <v>100</v>
      </c>
      <c r="EI13" s="18" t="n">
        <v>100</v>
      </c>
      <c r="EJ13" s="18" t="n"/>
      <c r="EK13" s="18" t="n"/>
      <c r="EL13" s="18" t="n"/>
      <c r="EM13" s="18" t="n"/>
      <c r="EN13" s="18" t="n"/>
      <c r="EO13" s="18" t="n"/>
      <c r="EP13" s="18" t="n"/>
      <c r="EQ13" s="18" t="n">
        <v>100</v>
      </c>
      <c r="ER13" s="18" t="n"/>
      <c r="ES13" s="256" t="n"/>
      <c r="ET13" s="18" t="n"/>
      <c r="EU13" s="18" t="n"/>
      <c r="EV13" s="18" t="n"/>
      <c r="EW13" s="18" t="n">
        <v>200</v>
      </c>
      <c r="EX13" s="18" t="n"/>
      <c r="EY13" s="18" t="n"/>
      <c r="EZ13" s="18" t="n"/>
      <c r="FA13" s="18" t="n"/>
      <c r="FB13" s="18" t="n">
        <v>100</v>
      </c>
      <c r="FC13" s="18" t="n"/>
      <c r="FD13" s="18" t="n"/>
      <c r="FE13" s="18" t="n"/>
      <c r="FF13" s="256" t="n"/>
      <c r="FG13" s="18" t="n"/>
      <c r="FH13" s="18" t="n">
        <v>200</v>
      </c>
      <c r="FI13" s="18" t="n">
        <v>100</v>
      </c>
      <c r="FJ13" s="18" t="n"/>
      <c r="FK13" s="18" t="n"/>
      <c r="FL13" s="256" t="n"/>
      <c r="FM13" s="18" t="n"/>
      <c r="FN13" s="18" t="n"/>
      <c r="FO13" s="18" t="n"/>
      <c r="FP13" s="18" t="n"/>
      <c r="FQ13" s="18" t="n">
        <v>200</v>
      </c>
      <c r="FR13" s="18" t="n"/>
      <c r="FS13" s="18" t="n"/>
      <c r="FT13" s="18" t="n"/>
      <c r="FU13" s="18" t="n">
        <v>200</v>
      </c>
      <c r="FV13" s="18" t="n"/>
      <c r="FW13" s="18" t="n"/>
      <c r="FX13" s="18" t="n"/>
      <c r="FY13" s="18" t="n"/>
    </row>
    <row r="14" ht="18.75" customHeight="1">
      <c r="CB14" s="53" t="n"/>
      <c r="CD14" s="69" t="n"/>
      <c r="DL14" s="17" t="n"/>
      <c r="DM14" s="314" t="n"/>
      <c r="ES14" s="271" t="n"/>
      <c r="FF14" s="271" t="n"/>
      <c r="FL14" s="271" t="n"/>
    </row>
    <row r="15" ht="18.75" customFormat="1" customHeight="1" s="3">
      <c r="A15" s="32" t="inlineStr">
        <is>
          <t>DIVERSOS E. R. BOTICÁRIO</t>
        </is>
      </c>
      <c r="B15" s="575" t="n"/>
      <c r="C15" s="575" t="n"/>
      <c r="D15" s="575" t="n"/>
      <c r="E15" s="642" t="n"/>
      <c r="F15" s="650" t="n">
        <v>45656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>
        <v>45999</v>
      </c>
      <c r="BD15" s="650" t="n">
        <v>46006</v>
      </c>
      <c r="BE15" s="650" t="n">
        <v>46013</v>
      </c>
      <c r="BF15" s="650" t="n">
        <v>46020</v>
      </c>
      <c r="BG15" s="650" t="n">
        <v>46027</v>
      </c>
      <c r="BH15" s="650" t="n">
        <v>46034</v>
      </c>
      <c r="BI15" s="650" t="n">
        <v>46041</v>
      </c>
      <c r="BJ15" s="650" t="n">
        <v>46048</v>
      </c>
      <c r="BK15" s="650" t="n">
        <v>46055</v>
      </c>
      <c r="BL15" s="650" t="n">
        <v>46062</v>
      </c>
      <c r="BM15" s="650" t="n">
        <v>46069</v>
      </c>
      <c r="BN15" s="650" t="n">
        <v>46076</v>
      </c>
      <c r="BO15" s="650" t="n">
        <v>46083</v>
      </c>
      <c r="BP15" s="650" t="n">
        <v>46090</v>
      </c>
      <c r="BQ15" s="650" t="n">
        <v>46097</v>
      </c>
      <c r="BR15" s="650" t="n">
        <v>46104</v>
      </c>
      <c r="BS15" s="650" t="n">
        <v>46111</v>
      </c>
      <c r="BT15" s="650" t="n">
        <v>46118</v>
      </c>
      <c r="BU15" s="650" t="n">
        <v>46125</v>
      </c>
      <c r="BV15" s="650" t="n">
        <v>46132</v>
      </c>
      <c r="BW15" s="650" t="n">
        <v>46139</v>
      </c>
      <c r="BX15" s="650" t="n">
        <v>46146</v>
      </c>
      <c r="BY15" s="650" t="n">
        <v>46154</v>
      </c>
      <c r="BZ15" s="650" t="n">
        <v>46160</v>
      </c>
      <c r="CA15" s="650" t="n">
        <v>46160</v>
      </c>
      <c r="CB15" s="652" t="inlineStr">
        <is>
          <t>USOU</t>
        </is>
      </c>
      <c r="CC15" s="6" t="n"/>
      <c r="CD15" s="35" t="inlineStr">
        <is>
          <t>Pend.</t>
        </is>
      </c>
      <c r="CE15" s="653" t="n"/>
      <c r="CF15" s="12" t="inlineStr">
        <is>
          <t>Novo Pedido</t>
        </is>
      </c>
      <c r="CG15" s="4" t="n"/>
      <c r="CH15" s="654" t="n">
        <v>46156</v>
      </c>
      <c r="CI15" s="654" t="n">
        <v>46149</v>
      </c>
      <c r="CJ15" s="654" t="n">
        <v>46114</v>
      </c>
      <c r="CK15" s="710" t="n">
        <v>46065</v>
      </c>
      <c r="CL15" s="654" t="n">
        <v>46092</v>
      </c>
      <c r="CM15" s="654" t="n">
        <v>46092</v>
      </c>
      <c r="CN15" s="654" t="n">
        <v>46084</v>
      </c>
      <c r="CO15" s="711" t="n">
        <v>46045</v>
      </c>
      <c r="CP15" s="654" t="n">
        <v>46071</v>
      </c>
      <c r="CQ15" s="654" t="n">
        <v>46043</v>
      </c>
      <c r="CR15" s="654" t="n">
        <v>46029</v>
      </c>
      <c r="CS15" s="654" t="n">
        <v>46024</v>
      </c>
      <c r="CT15" s="655" t="n">
        <v>46041</v>
      </c>
      <c r="CU15" s="654" t="n">
        <v>46029</v>
      </c>
      <c r="CV15" s="654" t="n">
        <v>46024</v>
      </c>
      <c r="CW15" s="654" t="n">
        <v>46007</v>
      </c>
      <c r="CX15" s="654" t="n">
        <v>46001</v>
      </c>
      <c r="CY15" s="654" t="n">
        <v>45994</v>
      </c>
      <c r="CZ15" s="654" t="n">
        <v>45986</v>
      </c>
      <c r="DA15" s="654" t="n">
        <v>45986</v>
      </c>
      <c r="DB15" s="654" t="n">
        <v>45980</v>
      </c>
      <c r="DC15" s="654" t="n">
        <v>45980</v>
      </c>
      <c r="DD15" s="654" t="n">
        <v>45973</v>
      </c>
      <c r="DE15" s="654" t="n">
        <v>45973</v>
      </c>
      <c r="DF15" s="654" t="n">
        <v>45965</v>
      </c>
      <c r="DG15" s="654" t="n">
        <v>45965</v>
      </c>
      <c r="DH15" s="654" t="n">
        <v>45960</v>
      </c>
      <c r="DI15" s="654" t="n">
        <v>45951</v>
      </c>
      <c r="DJ15" s="654" t="n">
        <v>45937</v>
      </c>
      <c r="DK15" s="654" t="n">
        <v>45931</v>
      </c>
      <c r="DL15" s="678" t="n">
        <v>45903</v>
      </c>
      <c r="DM15" s="688" t="n">
        <v>45931</v>
      </c>
      <c r="DN15" s="654" t="n">
        <v>45923</v>
      </c>
      <c r="DO15" s="654" t="n">
        <v>45909</v>
      </c>
      <c r="DP15" s="654" t="n">
        <v>45915</v>
      </c>
      <c r="DQ15" s="654" t="n">
        <v>45909</v>
      </c>
      <c r="DR15" s="654" t="n">
        <v>45903</v>
      </c>
      <c r="DS15" s="654" t="n">
        <v>45895</v>
      </c>
      <c r="DT15" s="654" t="n">
        <v>45895</v>
      </c>
      <c r="DU15" s="679" t="n">
        <v>45896</v>
      </c>
      <c r="DV15" s="654" t="n">
        <v>45888</v>
      </c>
      <c r="DW15" s="654" t="n">
        <v>45881</v>
      </c>
      <c r="DX15" s="654" t="n">
        <v>45881</v>
      </c>
      <c r="DY15" s="654" t="n">
        <v>45874</v>
      </c>
      <c r="DZ15" s="655" t="n">
        <v>45882</v>
      </c>
      <c r="EA15" s="655" t="n">
        <v>45881</v>
      </c>
      <c r="EB15" s="654" t="n">
        <v>45867</v>
      </c>
      <c r="EC15" s="654" t="n">
        <v>45860</v>
      </c>
      <c r="ED15" s="654" t="n">
        <v>45860</v>
      </c>
      <c r="EE15" s="655" t="n">
        <v>45860</v>
      </c>
      <c r="EF15" s="654" t="n">
        <v>45848</v>
      </c>
      <c r="EG15" s="681" t="n">
        <v>45853</v>
      </c>
      <c r="EH15" s="654" t="n">
        <v>45839</v>
      </c>
      <c r="EI15" s="654" t="n">
        <v>45825</v>
      </c>
      <c r="EJ15" s="681" t="n">
        <v>45791</v>
      </c>
      <c r="EK15" s="655" t="n">
        <v>45826</v>
      </c>
      <c r="EL15" s="654" t="n">
        <v>45813</v>
      </c>
      <c r="EM15" s="655" t="n">
        <v>45819</v>
      </c>
      <c r="EN15" s="654" t="n">
        <v>45805</v>
      </c>
      <c r="EO15" s="654" t="n">
        <v>45783</v>
      </c>
      <c r="EP15" s="655" t="n">
        <v>45807</v>
      </c>
      <c r="EQ15" s="654" t="n">
        <v>45790</v>
      </c>
      <c r="ER15" s="690" t="n">
        <v>45800</v>
      </c>
      <c r="ES15" s="650" t="n">
        <v>45799</v>
      </c>
      <c r="ET15" s="655" t="n">
        <v>45798</v>
      </c>
      <c r="EU15" s="654" t="n">
        <v>45783</v>
      </c>
      <c r="EV15" s="654" t="n">
        <v>45783</v>
      </c>
      <c r="EW15" s="654" t="n">
        <v>45775</v>
      </c>
      <c r="EX15" s="654" t="n">
        <v>45770</v>
      </c>
      <c r="EY15" s="654" t="n">
        <v>45743</v>
      </c>
      <c r="EZ15" s="683" t="n">
        <v>45735</v>
      </c>
      <c r="FA15" s="655" t="n">
        <v>45775</v>
      </c>
      <c r="FB15" s="654" t="n">
        <v>45756</v>
      </c>
      <c r="FC15" s="654" t="n">
        <v>45749</v>
      </c>
      <c r="FD15" s="654" t="n">
        <v>45743</v>
      </c>
      <c r="FE15" s="654" t="n">
        <v>45743</v>
      </c>
      <c r="FF15" s="650" t="n">
        <v>45741</v>
      </c>
      <c r="FG15" s="654" t="n">
        <v>45728</v>
      </c>
      <c r="FH15" s="654" t="n">
        <v>45728</v>
      </c>
      <c r="FI15" s="654" t="n">
        <v>45722</v>
      </c>
      <c r="FJ15" s="654" t="n">
        <v>45714</v>
      </c>
      <c r="FK15" s="654" t="n">
        <v>45706</v>
      </c>
      <c r="FL15" s="650" t="n">
        <v>45700</v>
      </c>
      <c r="FM15" s="654" t="n">
        <v>45699</v>
      </c>
      <c r="FN15" s="654" t="n">
        <v>45706</v>
      </c>
      <c r="FO15" s="654" t="n">
        <v>45693</v>
      </c>
      <c r="FP15" s="654" t="n">
        <v>45685</v>
      </c>
      <c r="FQ15" s="654" t="n">
        <v>45679</v>
      </c>
      <c r="FR15" s="654" t="n">
        <v>45660</v>
      </c>
      <c r="FS15" s="654" t="n">
        <v>45674</v>
      </c>
      <c r="FT15" s="655" t="n">
        <v>45672</v>
      </c>
      <c r="FU15" s="654" t="n">
        <v>45652</v>
      </c>
      <c r="FV15" s="655" t="n">
        <v>45670</v>
      </c>
      <c r="FW15" s="654" t="n">
        <v>45664</v>
      </c>
      <c r="FX15" s="654" t="n">
        <v>45660</v>
      </c>
      <c r="FY15" s="654" t="n">
        <v>45660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2" t="n">
        <v>99.26000000000001</v>
      </c>
      <c r="D16" s="329" t="n">
        <v>2</v>
      </c>
      <c r="E16" s="2" t="n"/>
      <c r="F16" s="38" t="n">
        <v>2</v>
      </c>
      <c r="G16" s="38" t="n">
        <v>2</v>
      </c>
      <c r="H16" s="38">
        <f>2+FU16</f>
        <v/>
      </c>
      <c r="I16" s="38" t="n">
        <v>3</v>
      </c>
      <c r="J16" s="38" t="n">
        <v>3</v>
      </c>
      <c r="K16" s="38" t="n">
        <v>3</v>
      </c>
      <c r="L16" s="38" t="n">
        <v>3</v>
      </c>
      <c r="M16" s="38" t="n">
        <v>3</v>
      </c>
      <c r="N16" s="38" t="n">
        <v>3</v>
      </c>
      <c r="O16" s="38" t="n">
        <v>3</v>
      </c>
      <c r="P16" s="38" t="n">
        <v>3</v>
      </c>
      <c r="Q16" s="38" t="n">
        <v>3</v>
      </c>
      <c r="R16" s="38" t="n">
        <v>3</v>
      </c>
      <c r="S16" s="38" t="n">
        <v>3</v>
      </c>
      <c r="T16" s="38" t="n">
        <v>3</v>
      </c>
      <c r="U16" s="38" t="n">
        <v>3</v>
      </c>
      <c r="V16" s="38" t="n">
        <v>3</v>
      </c>
      <c r="W16" s="38" t="n">
        <v>3</v>
      </c>
      <c r="X16" s="38" t="n">
        <v>3</v>
      </c>
      <c r="Y16" s="38" t="n">
        <v>3</v>
      </c>
      <c r="Z16" s="38" t="n">
        <v>3</v>
      </c>
      <c r="AA16" s="38" t="n">
        <v>3</v>
      </c>
      <c r="AB16" s="38" t="n">
        <v>2</v>
      </c>
      <c r="AC16" s="38" t="n">
        <v>2</v>
      </c>
      <c r="AD16" s="38" t="n">
        <v>2</v>
      </c>
      <c r="AE16" s="38" t="n">
        <v>2</v>
      </c>
      <c r="AF16" s="38" t="n">
        <v>2</v>
      </c>
      <c r="AG16" s="38" t="n">
        <v>1</v>
      </c>
      <c r="AH16" s="38" t="n">
        <v>1</v>
      </c>
      <c r="AI16" s="38" t="n">
        <v>0</v>
      </c>
      <c r="AJ16" s="38" t="n">
        <v>1</v>
      </c>
      <c r="AK16" s="38" t="n">
        <v>1</v>
      </c>
      <c r="AL16" s="38" t="n">
        <v>1</v>
      </c>
      <c r="AM16" s="38" t="n">
        <v>1</v>
      </c>
      <c r="AN16" s="38" t="n">
        <v>1</v>
      </c>
      <c r="AO16" s="38" t="n">
        <v>0</v>
      </c>
      <c r="AP16" s="38" t="n">
        <v>0</v>
      </c>
      <c r="AQ16" s="38" t="n">
        <v>0</v>
      </c>
      <c r="AR16" s="38" t="n">
        <v>1</v>
      </c>
      <c r="AS16" s="38">
        <f>1+DN16</f>
        <v/>
      </c>
      <c r="AT16" s="38" t="n">
        <v>2</v>
      </c>
      <c r="AU16" s="38" t="n">
        <v>2</v>
      </c>
      <c r="AV16" s="38" t="n">
        <v>2</v>
      </c>
      <c r="AW16" s="38" t="n">
        <v>2</v>
      </c>
      <c r="AX16" s="38" t="n">
        <v>2</v>
      </c>
      <c r="AY16" s="38" t="n">
        <v>2</v>
      </c>
      <c r="AZ16" s="38" t="n">
        <v>2</v>
      </c>
      <c r="BA16" s="38" t="n">
        <v>2</v>
      </c>
      <c r="BB16" s="38" t="n">
        <v>2</v>
      </c>
      <c r="BC16" s="38" t="n">
        <v>2</v>
      </c>
      <c r="BD16" s="38" t="n">
        <v>2</v>
      </c>
      <c r="BE16" s="38" t="n">
        <v>2</v>
      </c>
      <c r="BF16" s="38" t="n">
        <v>2</v>
      </c>
      <c r="BG16" s="38" t="n">
        <v>2</v>
      </c>
      <c r="BH16" s="38" t="n">
        <v>2</v>
      </c>
      <c r="BI16" s="38">
        <f>6+3</f>
        <v/>
      </c>
      <c r="BJ16" s="38" t="n">
        <v>4</v>
      </c>
      <c r="BK16" s="38" t="n">
        <v>4</v>
      </c>
      <c r="BL16" s="38" t="n">
        <v>4</v>
      </c>
      <c r="BM16" s="38" t="n">
        <v>4</v>
      </c>
      <c r="BN16" s="38" t="n">
        <v>4</v>
      </c>
      <c r="BO16" s="38" t="n">
        <v>4</v>
      </c>
      <c r="BP16" s="38" t="n">
        <v>4</v>
      </c>
      <c r="BQ16" s="38" t="n">
        <v>4</v>
      </c>
      <c r="BR16" s="38" t="n">
        <v>4</v>
      </c>
      <c r="BS16" s="38" t="n">
        <v>4</v>
      </c>
      <c r="BT16" s="38" t="n">
        <v>3</v>
      </c>
      <c r="BU16" s="38" t="n">
        <v>3</v>
      </c>
      <c r="BV16" s="38" t="n">
        <v>3</v>
      </c>
      <c r="BW16" s="38" t="n">
        <v>0</v>
      </c>
      <c r="BX16" s="38" t="n">
        <v>0</v>
      </c>
      <c r="BY16" s="38">
        <f>0+CI16</f>
        <v/>
      </c>
      <c r="BZ16" s="38" t="n"/>
      <c r="CA16" s="38" t="n"/>
      <c r="CB16" s="154">
        <f>BZ16+IF(NOT(ISBLANK(OFFSET(CB16,0,6))),N(OFFSET(CB16,0,6)),N(OFFSET(CB16,0,7)))-CA16</f>
        <v/>
      </c>
      <c r="CC16" s="6" t="n"/>
      <c r="CD16" s="19" t="n"/>
      <c r="CE16" s="4" t="n"/>
      <c r="CF16" s="65" t="n"/>
      <c r="CG16" s="4" t="n"/>
      <c r="CH16" s="18" t="n">
        <v>0</v>
      </c>
      <c r="CI16" s="18" t="n">
        <v>2</v>
      </c>
      <c r="CJ16" s="18" t="n"/>
      <c r="CK16" s="18" t="n"/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54" t="inlineStr">
        <is>
          <t>3 DE ER MG</t>
        </is>
      </c>
      <c r="CU16" s="18" t="n"/>
      <c r="CV16" s="18" t="n">
        <v>4</v>
      </c>
      <c r="CW16" s="18" t="n"/>
      <c r="CX16" s="18" t="n"/>
      <c r="CY16" s="18" t="n"/>
      <c r="CZ16" s="18" t="n"/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256" t="n">
        <v>5</v>
      </c>
      <c r="DM16" s="256" t="n"/>
      <c r="DN16" s="18" t="n">
        <v>1</v>
      </c>
      <c r="DO16" s="18" t="n"/>
      <c r="DP16" s="18" t="n">
        <v>1</v>
      </c>
      <c r="DQ16" s="18" t="n"/>
      <c r="DR16" s="18" t="n">
        <v>1</v>
      </c>
      <c r="DS16" s="18" t="n"/>
      <c r="DT16" s="18" t="n"/>
      <c r="DU16" s="18" t="n"/>
      <c r="DV16" s="18" t="n"/>
      <c r="DW16" s="18" t="n"/>
      <c r="DX16" s="18" t="n"/>
      <c r="DY16" s="18" t="n"/>
      <c r="DZ16" s="256" t="n"/>
      <c r="EA16" s="256" t="n"/>
      <c r="EB16" s="18" t="n"/>
      <c r="EC16" s="18" t="n"/>
      <c r="ED16" s="18" t="n"/>
      <c r="EE16" s="256" t="n"/>
      <c r="EF16" s="18" t="n"/>
      <c r="EG16" s="18" t="n"/>
      <c r="EH16" s="18" t="n"/>
      <c r="EI16" s="18" t="n"/>
      <c r="EJ16" s="18" t="n"/>
      <c r="EK16" s="256" t="n"/>
      <c r="EL16" s="18" t="n"/>
      <c r="EM16" s="256" t="n"/>
      <c r="EN16" s="18" t="n"/>
      <c r="EO16" s="18" t="n"/>
      <c r="EP16" s="256" t="n"/>
      <c r="EQ16" s="18" t="n"/>
      <c r="ER16" s="256" t="n"/>
      <c r="ES16" s="256" t="n"/>
      <c r="ET16" s="256" t="n"/>
      <c r="EU16" s="18" t="n"/>
      <c r="EV16" s="18" t="n"/>
      <c r="EW16" s="18" t="n"/>
      <c r="EX16" s="18" t="n"/>
      <c r="EY16" s="18" t="n"/>
      <c r="EZ16" s="256" t="n"/>
      <c r="FA16" s="18" t="n"/>
      <c r="FB16" s="18" t="n"/>
      <c r="FC16" s="18" t="n"/>
      <c r="FD16" s="18" t="n"/>
      <c r="FE16" s="18" t="n"/>
      <c r="FF16" s="256" t="n"/>
      <c r="FG16" s="18" t="n"/>
      <c r="FH16" s="18" t="n"/>
      <c r="FI16" s="18" t="n"/>
      <c r="FJ16" s="18" t="n"/>
      <c r="FK16" s="18" t="n"/>
      <c r="FL16" s="256" t="n">
        <v>3</v>
      </c>
      <c r="FM16" s="18" t="n"/>
      <c r="FN16" s="18" t="n"/>
      <c r="FO16" s="18" t="n"/>
      <c r="FP16" s="18" t="n"/>
      <c r="FQ16" s="18" t="n"/>
      <c r="FR16" s="18" t="n"/>
      <c r="FS16" s="18" t="n"/>
      <c r="FT16" s="18" t="n"/>
      <c r="FU16" s="18" t="n">
        <v>1</v>
      </c>
      <c r="FV16" s="18" t="n"/>
      <c r="FW16" s="18" t="n"/>
      <c r="FX16" s="18" t="n"/>
      <c r="FY16" s="18" t="n"/>
    </row>
    <row r="17" ht="18.75" customFormat="1" customHeight="1" s="3">
      <c r="A17" s="33" t="inlineStr">
        <is>
          <t>ETIQUETAS</t>
        </is>
      </c>
      <c r="B17" s="9" t="n">
        <v>2000</v>
      </c>
      <c r="C17" s="662" t="n">
        <v>55.36</v>
      </c>
      <c r="D17" s="329" t="n">
        <v>1</v>
      </c>
      <c r="E17" s="2" t="n"/>
      <c r="F17" s="38" t="n">
        <v>2</v>
      </c>
      <c r="G17" s="38" t="n">
        <v>2</v>
      </c>
      <c r="H17" s="38">
        <f>2+FU17</f>
        <v/>
      </c>
      <c r="I17" s="38" t="n">
        <v>3</v>
      </c>
      <c r="J17" s="38" t="n">
        <v>3</v>
      </c>
      <c r="K17" s="38" t="n">
        <v>3</v>
      </c>
      <c r="L17" s="38" t="n">
        <v>3</v>
      </c>
      <c r="M17" s="38" t="n">
        <v>3</v>
      </c>
      <c r="N17" s="38" t="n">
        <v>3</v>
      </c>
      <c r="O17" s="38" t="n">
        <v>3</v>
      </c>
      <c r="P17" s="38" t="n">
        <v>3</v>
      </c>
      <c r="Q17" s="38" t="n">
        <v>3</v>
      </c>
      <c r="R17" s="38" t="n">
        <v>3</v>
      </c>
      <c r="S17" s="38" t="n">
        <v>2</v>
      </c>
      <c r="T17" s="38" t="n">
        <v>2</v>
      </c>
      <c r="U17" s="38" t="n">
        <v>2</v>
      </c>
      <c r="V17" s="38" t="n">
        <v>2</v>
      </c>
      <c r="W17" s="38" t="n">
        <v>2</v>
      </c>
      <c r="X17" s="38" t="n">
        <v>2</v>
      </c>
      <c r="Y17" s="38" t="n">
        <v>2</v>
      </c>
      <c r="Z17" s="38" t="n">
        <v>2</v>
      </c>
      <c r="AA17" s="38" t="n">
        <v>2</v>
      </c>
      <c r="AB17" s="38" t="n">
        <v>2</v>
      </c>
      <c r="AC17" s="38" t="n">
        <v>2</v>
      </c>
      <c r="AD17" s="38" t="n">
        <v>2</v>
      </c>
      <c r="AE17" s="38" t="n">
        <v>2</v>
      </c>
      <c r="AF17" s="38" t="n">
        <v>2</v>
      </c>
      <c r="AG17" s="38" t="n">
        <v>1</v>
      </c>
      <c r="AH17" s="38" t="n">
        <v>2</v>
      </c>
      <c r="AI17" s="38" t="n">
        <v>2</v>
      </c>
      <c r="AJ17" s="38" t="n">
        <v>2</v>
      </c>
      <c r="AK17" s="38" t="n">
        <v>1</v>
      </c>
      <c r="AL17" s="38" t="n">
        <v>1</v>
      </c>
      <c r="AM17" s="38" t="n">
        <v>2</v>
      </c>
      <c r="AN17" s="38" t="n">
        <v>2</v>
      </c>
      <c r="AO17" s="38" t="n">
        <v>0</v>
      </c>
      <c r="AP17" s="38" t="n">
        <v>0</v>
      </c>
      <c r="AQ17" s="38" t="n">
        <v>0</v>
      </c>
      <c r="AR17" s="38" t="n">
        <v>1</v>
      </c>
      <c r="AS17" s="38" t="n">
        <v>1</v>
      </c>
      <c r="AT17" s="38" t="n">
        <v>1</v>
      </c>
      <c r="AU17" s="38" t="n">
        <v>1</v>
      </c>
      <c r="AV17" s="38" t="n">
        <v>1</v>
      </c>
      <c r="AW17" s="38" t="n">
        <v>1</v>
      </c>
      <c r="AX17" s="38" t="n">
        <v>1</v>
      </c>
      <c r="AY17" s="38" t="n">
        <v>2</v>
      </c>
      <c r="AZ17" s="38" t="n">
        <v>2</v>
      </c>
      <c r="BA17" s="38" t="n">
        <v>2</v>
      </c>
      <c r="BB17" s="38" t="n">
        <v>2</v>
      </c>
      <c r="BC17" s="38" t="n">
        <v>2</v>
      </c>
      <c r="BD17" s="38" t="n">
        <v>2</v>
      </c>
      <c r="BE17" s="38" t="n">
        <v>2</v>
      </c>
      <c r="BF17" s="38" t="n">
        <v>2</v>
      </c>
      <c r="BG17" s="38" t="n">
        <v>2</v>
      </c>
      <c r="BH17" s="38" t="n">
        <v>1</v>
      </c>
      <c r="BI17" s="38" t="n">
        <v>1</v>
      </c>
      <c r="BJ17" s="38" t="n">
        <v>1</v>
      </c>
      <c r="BK17" s="38" t="n">
        <v>1</v>
      </c>
      <c r="BL17" s="38" t="n">
        <v>1</v>
      </c>
      <c r="BM17" s="38" t="n">
        <v>1</v>
      </c>
      <c r="BN17" s="38" t="n">
        <v>1</v>
      </c>
      <c r="BO17" s="38" t="n">
        <v>1</v>
      </c>
      <c r="BP17" s="38" t="n">
        <v>1</v>
      </c>
      <c r="BQ17" s="38" t="n">
        <v>1</v>
      </c>
      <c r="BR17" s="38" t="n">
        <v>1</v>
      </c>
      <c r="BS17" s="38" t="n">
        <v>1</v>
      </c>
      <c r="BT17" s="38" t="n">
        <v>1</v>
      </c>
      <c r="BU17" s="38" t="n">
        <v>1</v>
      </c>
      <c r="BV17" s="38" t="n">
        <v>1</v>
      </c>
      <c r="BW17" s="38" t="n">
        <v>0</v>
      </c>
      <c r="BX17" s="38" t="n">
        <v>0</v>
      </c>
      <c r="BY17" s="38" t="n">
        <v>0</v>
      </c>
      <c r="BZ17" s="38" t="n"/>
      <c r="CA17" s="38" t="n"/>
      <c r="CB17" s="154">
        <f>BZ17+IF(NOT(ISBLANK(OFFSET(CB17,0,6))),N(OFFSET(CB17,0,6)),N(OFFSET(CB17,0,7)))-CA17</f>
        <v/>
      </c>
      <c r="CC17" s="6" t="n"/>
      <c r="CD17" s="233" t="inlineStr">
        <is>
          <t>02 DE ER PG</t>
        </is>
      </c>
      <c r="CE17" s="4" t="n"/>
      <c r="CF17" s="65" t="n"/>
      <c r="CG17" s="4" t="n"/>
      <c r="CH17" s="18" t="n">
        <v>0</v>
      </c>
      <c r="CI17" s="18" t="n">
        <v>0</v>
      </c>
      <c r="CJ17" s="18" t="n"/>
      <c r="CK17" s="18" t="n"/>
      <c r="CL17" s="18" t="n"/>
      <c r="CM17" s="18" t="n"/>
      <c r="CN17" s="18" t="n"/>
      <c r="CO17" s="418" t="n">
        <v>1</v>
      </c>
      <c r="CP17" s="18" t="n"/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256" t="n">
        <v>2</v>
      </c>
      <c r="DM17" s="256" t="n"/>
      <c r="DN17" s="18" t="n"/>
      <c r="DO17" s="18" t="n"/>
      <c r="DP17" s="18" t="n">
        <v>1</v>
      </c>
      <c r="DQ17" s="18" t="n"/>
      <c r="DR17" s="18" t="n">
        <v>1</v>
      </c>
      <c r="DS17" s="18" t="n"/>
      <c r="DT17" s="18" t="n"/>
      <c r="DU17" s="18" t="n"/>
      <c r="DV17" s="18" t="n"/>
      <c r="DW17" s="18" t="n"/>
      <c r="DX17" s="18" t="n"/>
      <c r="DY17" s="18" t="n"/>
      <c r="DZ17" s="18" t="n"/>
      <c r="EA17" s="18" t="n"/>
      <c r="EB17" s="18" t="n"/>
      <c r="EC17" s="18" t="n"/>
      <c r="ED17" s="18" t="n"/>
      <c r="EE17" s="18" t="n"/>
      <c r="EF17" s="18" t="n"/>
      <c r="EG17" s="18" t="n"/>
      <c r="EH17" s="18" t="n"/>
      <c r="EI17" s="18" t="n"/>
      <c r="EJ17" s="18" t="n"/>
      <c r="EK17" s="18" t="n"/>
      <c r="EL17" s="18" t="n"/>
      <c r="EM17" s="18" t="n"/>
      <c r="EN17" s="18" t="n"/>
      <c r="EO17" s="18" t="n"/>
      <c r="EP17" s="18" t="n"/>
      <c r="EQ17" s="18" t="n"/>
      <c r="ER17" s="18" t="n"/>
      <c r="ES17" s="256" t="n"/>
      <c r="ET17" s="18" t="n"/>
      <c r="EU17" s="18" t="n"/>
      <c r="EV17" s="18" t="n"/>
      <c r="EW17" s="18" t="n"/>
      <c r="EX17" s="18" t="n"/>
      <c r="EY17" s="18" t="n"/>
      <c r="EZ17" s="18" t="n"/>
      <c r="FA17" s="18" t="n"/>
      <c r="FB17" s="18" t="n"/>
      <c r="FC17" s="18" t="n"/>
      <c r="FD17" s="18" t="n"/>
      <c r="FE17" s="18" t="n"/>
      <c r="FF17" s="256" t="n"/>
      <c r="FG17" s="18" t="n"/>
      <c r="FH17" s="18" t="n"/>
      <c r="FI17" s="18" t="n"/>
      <c r="FJ17" s="18" t="n"/>
      <c r="FK17" s="18" t="n"/>
      <c r="FL17" s="256" t="n">
        <v>2</v>
      </c>
      <c r="FM17" s="18" t="n"/>
      <c r="FN17" s="18" t="n"/>
      <c r="FO17" s="18" t="n"/>
      <c r="FP17" s="18" t="n"/>
      <c r="FQ17" s="18" t="n"/>
      <c r="FR17" s="18" t="n"/>
      <c r="FS17" s="18" t="n"/>
      <c r="FT17" s="18" t="n"/>
      <c r="FU17" s="18" t="n">
        <v>1</v>
      </c>
      <c r="FV17" s="18" t="n"/>
      <c r="FW17" s="18" t="n"/>
      <c r="FX17" s="18" t="n"/>
      <c r="FY17" s="18" t="n"/>
    </row>
    <row r="18" ht="18.75" customFormat="1" customHeight="1" s="3">
      <c r="A18" s="33" t="inlineStr">
        <is>
          <t>TAG</t>
        </is>
      </c>
      <c r="B18" s="9" t="n">
        <v>200</v>
      </c>
      <c r="C18" s="662" t="n">
        <v>10.28</v>
      </c>
      <c r="D18" s="329" t="n">
        <v>2</v>
      </c>
      <c r="E18" s="2" t="n"/>
      <c r="F18" s="38" t="n">
        <v>3</v>
      </c>
      <c r="G18" s="38" t="n">
        <v>3</v>
      </c>
      <c r="H18" s="38">
        <f>3+FU18</f>
        <v/>
      </c>
      <c r="I18" s="38" t="n">
        <v>4</v>
      </c>
      <c r="J18" s="38" t="n">
        <v>4</v>
      </c>
      <c r="K18" s="38" t="n">
        <v>4</v>
      </c>
      <c r="L18" s="38" t="n">
        <v>4</v>
      </c>
      <c r="M18" s="38" t="n">
        <v>4</v>
      </c>
      <c r="N18" s="38" t="n">
        <v>4</v>
      </c>
      <c r="O18" s="38" t="n">
        <v>4</v>
      </c>
      <c r="P18" s="38" t="n">
        <v>4</v>
      </c>
      <c r="Q18" s="38" t="n">
        <v>4</v>
      </c>
      <c r="R18" s="38" t="n">
        <v>4</v>
      </c>
      <c r="S18" s="38" t="n">
        <v>4</v>
      </c>
      <c r="T18" s="38" t="n">
        <v>4</v>
      </c>
      <c r="U18" s="38" t="n">
        <v>3</v>
      </c>
      <c r="V18" s="38" t="n">
        <v>3</v>
      </c>
      <c r="W18" s="38" t="n">
        <v>3</v>
      </c>
      <c r="X18" s="38" t="n">
        <v>3</v>
      </c>
      <c r="Y18" s="38" t="n">
        <v>3</v>
      </c>
      <c r="Z18" s="38" t="n">
        <v>3</v>
      </c>
      <c r="AA18" s="38" t="n">
        <v>3</v>
      </c>
      <c r="AB18" s="38" t="n">
        <v>3</v>
      </c>
      <c r="AC18" s="38" t="n">
        <v>3</v>
      </c>
      <c r="AD18" s="38" t="n">
        <v>3</v>
      </c>
      <c r="AE18" s="38" t="n">
        <v>3</v>
      </c>
      <c r="AF18" s="38" t="n">
        <v>3</v>
      </c>
      <c r="AG18" s="38" t="n">
        <v>3</v>
      </c>
      <c r="AH18" s="38" t="n">
        <v>3</v>
      </c>
      <c r="AI18" s="38" t="n">
        <v>3</v>
      </c>
      <c r="AJ18" s="38" t="n">
        <v>3</v>
      </c>
      <c r="AK18" s="38" t="n">
        <v>3</v>
      </c>
      <c r="AL18" s="38" t="n">
        <v>3</v>
      </c>
      <c r="AM18" s="38" t="n">
        <v>3</v>
      </c>
      <c r="AN18" s="38" t="n">
        <v>3</v>
      </c>
      <c r="AO18" s="38" t="n">
        <v>3</v>
      </c>
      <c r="AP18" s="38" t="n">
        <v>3</v>
      </c>
      <c r="AQ18" s="38" t="n">
        <v>3</v>
      </c>
      <c r="AR18" s="38" t="n">
        <v>3</v>
      </c>
      <c r="AS18" s="38" t="n">
        <v>3</v>
      </c>
      <c r="AT18" s="38" t="n">
        <v>3</v>
      </c>
      <c r="AU18" s="38" t="n">
        <v>3</v>
      </c>
      <c r="AV18" s="38" t="n">
        <v>3</v>
      </c>
      <c r="AW18" s="38" t="n">
        <v>3</v>
      </c>
      <c r="AX18" s="38" t="n">
        <v>3</v>
      </c>
      <c r="AY18" s="38" t="n">
        <v>3</v>
      </c>
      <c r="AZ18" s="38" t="n">
        <v>3</v>
      </c>
      <c r="BA18" s="38" t="n">
        <v>3</v>
      </c>
      <c r="BB18" s="38" t="n">
        <v>3</v>
      </c>
      <c r="BC18" s="38" t="n">
        <v>3</v>
      </c>
      <c r="BD18" s="38" t="n">
        <v>3</v>
      </c>
      <c r="BE18" s="38" t="n">
        <v>3</v>
      </c>
      <c r="BF18" s="38" t="n">
        <v>3</v>
      </c>
      <c r="BG18" s="38" t="n">
        <v>3</v>
      </c>
      <c r="BH18" s="38" t="n">
        <v>3</v>
      </c>
      <c r="BI18" s="38" t="n">
        <v>3</v>
      </c>
      <c r="BJ18" s="38" t="n">
        <v>3</v>
      </c>
      <c r="BK18" s="38" t="n">
        <v>3</v>
      </c>
      <c r="BL18" s="38" t="n">
        <v>3</v>
      </c>
      <c r="BM18" s="38" t="n">
        <v>3</v>
      </c>
      <c r="BN18" s="38" t="n">
        <v>3</v>
      </c>
      <c r="BO18" s="38" t="n">
        <v>2</v>
      </c>
      <c r="BP18" s="38" t="n">
        <v>2</v>
      </c>
      <c r="BQ18" s="38" t="n">
        <v>2</v>
      </c>
      <c r="BR18" s="38" t="n">
        <v>2</v>
      </c>
      <c r="BS18" s="38" t="n">
        <v>2</v>
      </c>
      <c r="BT18" s="38" t="n">
        <v>2</v>
      </c>
      <c r="BU18" s="38" t="n">
        <v>2</v>
      </c>
      <c r="BV18" s="38" t="n">
        <v>2</v>
      </c>
      <c r="BW18" s="38" t="n">
        <v>0</v>
      </c>
      <c r="BX18" s="38" t="n">
        <v>0</v>
      </c>
      <c r="BY18" s="38">
        <f>0+CI18</f>
        <v/>
      </c>
      <c r="BZ18" s="38" t="n"/>
      <c r="CA18" s="38" t="n"/>
      <c r="CB18" s="154">
        <f>BZ18+IF(NOT(ISBLANK(OFFSET(CB18,0,6))),N(OFFSET(CB18,0,6)),N(OFFSET(CB18,0,7)))-CA18</f>
        <v/>
      </c>
      <c r="CC18" s="6" t="n"/>
      <c r="CD18" s="19" t="n"/>
      <c r="CE18" s="4" t="n"/>
      <c r="CF18" s="65" t="n"/>
      <c r="CG18" s="4" t="n"/>
      <c r="CH18" s="18" t="n">
        <v>0</v>
      </c>
      <c r="CI18" s="18" t="n">
        <v>2</v>
      </c>
      <c r="CJ18" s="18" t="n"/>
      <c r="CK18" s="18" t="n"/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356" t="n"/>
      <c r="DM18" s="256" t="n"/>
      <c r="DN18" s="18" t="n"/>
      <c r="DO18" s="18" t="n"/>
      <c r="DP18" s="18" t="n"/>
      <c r="DQ18" s="18" t="n"/>
      <c r="DR18" s="18" t="n"/>
      <c r="DS18" s="18" t="n"/>
      <c r="DT18" s="18" t="n"/>
      <c r="DU18" s="18" t="n"/>
      <c r="DV18" s="18" t="n"/>
      <c r="DW18" s="18" t="n"/>
      <c r="DX18" s="18" t="n"/>
      <c r="DY18" s="18" t="n"/>
      <c r="DZ18" s="18" t="n"/>
      <c r="EA18" s="18" t="n"/>
      <c r="EB18" s="18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256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18" t="n"/>
      <c r="FD18" s="18" t="n"/>
      <c r="FE18" s="18" t="n"/>
      <c r="FF18" s="256" t="n"/>
      <c r="FG18" s="18" t="n"/>
      <c r="FH18" s="18" t="n"/>
      <c r="FI18" s="18" t="n"/>
      <c r="FJ18" s="18" t="n"/>
      <c r="FK18" s="18" t="n"/>
      <c r="FL18" s="256" t="n"/>
      <c r="FM18" s="18" t="n"/>
      <c r="FN18" s="18" t="n"/>
      <c r="FO18" s="18" t="n"/>
      <c r="FP18" s="18" t="n"/>
      <c r="FQ18" s="18" t="n"/>
      <c r="FR18" s="18" t="n"/>
      <c r="FS18" s="18" t="n"/>
      <c r="FT18" s="18" t="n"/>
      <c r="FU18" s="18" t="n">
        <v>1</v>
      </c>
      <c r="FV18" s="18" t="n"/>
      <c r="FW18" s="18" t="n"/>
      <c r="FX18" s="18" t="n"/>
      <c r="FY18" s="18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2" t="n">
        <v>71.8</v>
      </c>
      <c r="D19" s="329" t="n">
        <v>1</v>
      </c>
      <c r="E19" s="2" t="n"/>
      <c r="F19" s="38" t="n">
        <v>2</v>
      </c>
      <c r="G19" s="38" t="n">
        <v>2</v>
      </c>
      <c r="H19" s="38">
        <f>1+FU19</f>
        <v/>
      </c>
      <c r="I19" s="38" t="n">
        <v>2</v>
      </c>
      <c r="J19" s="38" t="n">
        <v>2</v>
      </c>
      <c r="K19" s="38" t="n">
        <v>2</v>
      </c>
      <c r="L19" s="38" t="n">
        <v>1</v>
      </c>
      <c r="M19" s="38" t="n">
        <v>1</v>
      </c>
      <c r="N19" s="38" t="n">
        <v>1</v>
      </c>
      <c r="O19" s="38">
        <f>3+FK19</f>
        <v/>
      </c>
      <c r="P19" s="38" t="n">
        <v>4</v>
      </c>
      <c r="Q19" s="38">
        <f>4+FH19</f>
        <v/>
      </c>
      <c r="R19" s="38" t="n">
        <v>6</v>
      </c>
      <c r="S19" s="38" t="n">
        <v>6</v>
      </c>
      <c r="T19" s="38" t="n">
        <v>6</v>
      </c>
      <c r="U19" s="38" t="n">
        <v>6</v>
      </c>
      <c r="V19" s="38" t="n">
        <v>6</v>
      </c>
      <c r="W19" s="38" t="n">
        <v>6</v>
      </c>
      <c r="X19" s="38" t="n">
        <v>6</v>
      </c>
      <c r="Y19" s="38" t="n">
        <v>6</v>
      </c>
      <c r="Z19" s="38">
        <f>6-3</f>
        <v/>
      </c>
      <c r="AA19" s="38" t="n">
        <v>3</v>
      </c>
      <c r="AB19" s="38" t="n">
        <v>3</v>
      </c>
      <c r="AC19" s="38" t="n">
        <v>2</v>
      </c>
      <c r="AD19" s="38" t="n">
        <v>2</v>
      </c>
      <c r="AE19" s="38" t="n">
        <v>2</v>
      </c>
      <c r="AF19" s="38" t="n">
        <v>2</v>
      </c>
      <c r="AG19" s="38" t="n">
        <v>2</v>
      </c>
      <c r="AH19" s="38" t="n">
        <v>2</v>
      </c>
      <c r="AI19" s="38" t="n">
        <v>2</v>
      </c>
      <c r="AJ19" s="38" t="n">
        <v>2</v>
      </c>
      <c r="AK19" s="38" t="n">
        <v>0</v>
      </c>
      <c r="AL19" s="38" t="n">
        <v>0</v>
      </c>
      <c r="AM19" s="38" t="n">
        <v>0</v>
      </c>
      <c r="AN19" s="38" t="n">
        <v>1</v>
      </c>
      <c r="AO19" s="38" t="n">
        <v>1</v>
      </c>
      <c r="AP19" s="38" t="n">
        <v>1</v>
      </c>
      <c r="AQ19" s="38" t="n">
        <v>1</v>
      </c>
      <c r="AR19" s="38" t="n">
        <v>1</v>
      </c>
      <c r="AS19" s="38">
        <f>0+DN19</f>
        <v/>
      </c>
      <c r="AT19" s="38" t="n">
        <v>1</v>
      </c>
      <c r="AU19" s="38">
        <f>1+DK19</f>
        <v/>
      </c>
      <c r="AV19" s="38" t="n">
        <v>1</v>
      </c>
      <c r="AW19" s="38">
        <f>1+DI19</f>
        <v/>
      </c>
      <c r="AX19" s="38" t="n">
        <v>2</v>
      </c>
      <c r="AY19" s="38" t="n">
        <v>2</v>
      </c>
      <c r="AZ19" s="38" t="n">
        <v>2</v>
      </c>
      <c r="BA19" s="38" t="n">
        <v>2</v>
      </c>
      <c r="BB19" s="38" t="n">
        <v>2</v>
      </c>
      <c r="BC19" s="38" t="n">
        <v>2</v>
      </c>
      <c r="BD19" s="38" t="n">
        <v>2</v>
      </c>
      <c r="BE19" s="38" t="n">
        <v>2</v>
      </c>
      <c r="BF19" s="38" t="n">
        <v>1</v>
      </c>
      <c r="BG19" s="38" t="n">
        <v>1</v>
      </c>
      <c r="BH19" s="38" t="n">
        <v>1</v>
      </c>
      <c r="BI19" s="38" t="n">
        <v>3</v>
      </c>
      <c r="BJ19" s="38" t="n">
        <v>3</v>
      </c>
      <c r="BK19" s="38" t="n">
        <v>3</v>
      </c>
      <c r="BL19" s="38" t="n">
        <v>3</v>
      </c>
      <c r="BM19" s="38" t="n">
        <v>3</v>
      </c>
      <c r="BN19" s="38" t="n">
        <v>2</v>
      </c>
      <c r="BO19" s="38" t="n">
        <v>2</v>
      </c>
      <c r="BP19" s="38" t="n">
        <v>2</v>
      </c>
      <c r="BQ19" s="38" t="n">
        <v>2</v>
      </c>
      <c r="BR19" s="38" t="n">
        <v>1</v>
      </c>
      <c r="BS19" s="38" t="n">
        <v>1</v>
      </c>
      <c r="BT19" s="38" t="n">
        <v>0</v>
      </c>
      <c r="BU19" s="38" t="n">
        <v>0</v>
      </c>
      <c r="BV19" s="38" t="n">
        <v>0</v>
      </c>
      <c r="BW19" s="38" t="n">
        <v>0</v>
      </c>
      <c r="BX19" s="38" t="n">
        <v>0</v>
      </c>
      <c r="BY19" s="38" t="n">
        <v>0</v>
      </c>
      <c r="BZ19" s="38" t="n"/>
      <c r="CA19" s="38" t="n"/>
      <c r="CB19" s="154">
        <f>BZ19+IF(NOT(ISBLANK(OFFSET(CB19,0,6))),N(OFFSET(CB19,0,6)),N(OFFSET(CB19,0,7)))-CA19</f>
        <v/>
      </c>
      <c r="CC19" s="6" t="n"/>
      <c r="CD19" s="233" t="inlineStr">
        <is>
          <t>01 DE ER MG</t>
        </is>
      </c>
      <c r="CE19" s="4" t="n"/>
      <c r="CF19" s="65" t="n"/>
      <c r="CG19" s="4" t="n"/>
      <c r="CH19" s="18" t="n">
        <v>0</v>
      </c>
      <c r="CI19" s="18" t="n">
        <v>0</v>
      </c>
      <c r="CJ19" s="18" t="n"/>
      <c r="CK19" s="18" t="n"/>
      <c r="CL19" s="18" t="n"/>
      <c r="CM19" s="18" t="n"/>
      <c r="CN19" s="18" t="n"/>
      <c r="CO19" s="18" t="n"/>
      <c r="CP19" s="18" t="n"/>
      <c r="CQ19" s="18" t="n"/>
      <c r="CR19" s="18" t="n"/>
      <c r="CS19" s="18" t="n"/>
      <c r="CT19" s="18" t="n"/>
      <c r="CU19" s="18" t="n"/>
      <c r="CV19" s="18" t="n">
        <v>2</v>
      </c>
      <c r="CW19" s="18" t="n"/>
      <c r="CX19" s="18" t="n"/>
      <c r="CY19" s="18" t="n"/>
      <c r="CZ19" s="18" t="n"/>
      <c r="DA19" s="18" t="n"/>
      <c r="DB19" s="18" t="n"/>
      <c r="DC19" s="18" t="n"/>
      <c r="DD19" s="18" t="n"/>
      <c r="DE19" s="18" t="n"/>
      <c r="DF19" s="18" t="n"/>
      <c r="DG19" s="18" t="n"/>
      <c r="DH19" s="18" t="n"/>
      <c r="DI19" s="18" t="n">
        <v>1</v>
      </c>
      <c r="DJ19" s="18" t="n"/>
      <c r="DK19" s="18" t="n">
        <v>1</v>
      </c>
      <c r="DL19" s="356" t="n"/>
      <c r="DM19" s="256" t="n"/>
      <c r="DN19" s="18" t="n">
        <v>1</v>
      </c>
      <c r="DO19" s="18" t="n"/>
      <c r="DP19" s="18" t="n"/>
      <c r="DQ19" s="18" t="n"/>
      <c r="DR19" s="18" t="n"/>
      <c r="DS19" s="18" t="n"/>
      <c r="DT19" s="18" t="n"/>
      <c r="DU19" s="18" t="n"/>
      <c r="DV19" s="18" t="n">
        <v>1</v>
      </c>
      <c r="DW19" s="18" t="n"/>
      <c r="DX19" s="18" t="n"/>
      <c r="DY19" s="18" t="n"/>
      <c r="DZ19" s="256" t="n"/>
      <c r="EA19" s="256" t="n"/>
      <c r="EB19" s="18" t="n"/>
      <c r="EC19" s="18" t="n"/>
      <c r="ED19" s="18" t="n"/>
      <c r="EE19" s="256" t="n"/>
      <c r="EF19" s="18" t="n"/>
      <c r="EG19" s="18" t="n"/>
      <c r="EH19" s="18" t="n"/>
      <c r="EI19" s="18" t="n"/>
      <c r="EJ19" s="18" t="n"/>
      <c r="EK19" s="256" t="n"/>
      <c r="EL19" s="18" t="n"/>
      <c r="EM19" s="256" t="n"/>
      <c r="EN19" s="18" t="n"/>
      <c r="EO19" s="18" t="n"/>
      <c r="EP19" s="256" t="n"/>
      <c r="EQ19" s="18" t="n"/>
      <c r="ER19" s="256" t="n"/>
      <c r="ES19" s="256" t="n"/>
      <c r="ET19" s="241" t="inlineStr">
        <is>
          <t>03 P/ ER PG</t>
        </is>
      </c>
      <c r="EU19" s="18" t="n"/>
      <c r="EV19" s="18" t="n"/>
      <c r="EW19" s="18" t="n"/>
      <c r="EX19" s="18" t="n"/>
      <c r="EY19" s="18" t="n"/>
      <c r="EZ19" s="256" t="n"/>
      <c r="FA19" s="18" t="n"/>
      <c r="FB19" s="18" t="n"/>
      <c r="FC19" s="18" t="n"/>
      <c r="FD19" s="18" t="n"/>
      <c r="FE19" s="18" t="n"/>
      <c r="FF19" s="256" t="n"/>
      <c r="FG19" s="18" t="n"/>
      <c r="FH19" s="18" t="n">
        <v>2</v>
      </c>
      <c r="FI19" s="18" t="n"/>
      <c r="FJ19" s="18" t="n"/>
      <c r="FK19" s="18" t="n">
        <v>2</v>
      </c>
      <c r="FL19" s="256" t="n"/>
      <c r="FM19" s="18" t="n">
        <v>2</v>
      </c>
      <c r="FN19" s="18" t="n"/>
      <c r="FO19" s="18" t="n"/>
      <c r="FP19" s="18" t="n"/>
      <c r="FQ19" s="18" t="n"/>
      <c r="FR19" s="18" t="n"/>
      <c r="FS19" s="18" t="n"/>
      <c r="FT19" s="18" t="n"/>
      <c r="FU19" s="18" t="n">
        <v>1</v>
      </c>
      <c r="FV19" s="18" t="n"/>
      <c r="FW19" s="18" t="n"/>
      <c r="FX19" s="18" t="n"/>
      <c r="FY19" s="18" t="n"/>
    </row>
    <row r="20" ht="18.75" customHeight="1">
      <c r="DL20" s="17" t="n"/>
      <c r="DM20" s="271" t="n"/>
      <c r="ES20" s="271" t="n"/>
      <c r="FF20" s="271" t="n"/>
      <c r="FL20" s="271" t="n"/>
    </row>
    <row r="21" ht="18.75" customHeight="1">
      <c r="A21" s="32" t="inlineStr">
        <is>
          <t>SACOLAS BOTICÁRIO VENDIDAS</t>
        </is>
      </c>
      <c r="B21" s="575" t="inlineStr">
        <is>
          <t>PC</t>
        </is>
      </c>
      <c r="C21" s="575" t="inlineStr">
        <is>
          <t>R$</t>
        </is>
      </c>
      <c r="D21" s="575" t="inlineStr">
        <is>
          <t>Estoque Ideal</t>
        </is>
      </c>
      <c r="BW21" s="650" t="n">
        <v>46139</v>
      </c>
      <c r="BX21" s="650" t="n">
        <v>46146</v>
      </c>
      <c r="BY21" s="650" t="n">
        <v>46154</v>
      </c>
      <c r="BZ21" s="650" t="n">
        <v>46160</v>
      </c>
      <c r="CA21" s="650" t="n">
        <v>46160</v>
      </c>
      <c r="CB21" s="652" t="inlineStr">
        <is>
          <t>USOU</t>
        </is>
      </c>
      <c r="CD21" s="35" t="inlineStr">
        <is>
          <t>Pend.</t>
        </is>
      </c>
      <c r="CF21" s="12" t="inlineStr">
        <is>
          <t>Novo Pedido</t>
        </is>
      </c>
      <c r="CH21" s="654" t="n">
        <v>46156</v>
      </c>
      <c r="CI21" s="654" t="n">
        <v>46149</v>
      </c>
      <c r="CJ21" s="654" t="n">
        <v>46114</v>
      </c>
      <c r="CK21" s="710" t="n">
        <v>46065</v>
      </c>
      <c r="CL21" s="654" t="n">
        <v>46092</v>
      </c>
      <c r="CM21" s="654" t="n">
        <v>46092</v>
      </c>
      <c r="CN21" s="654" t="n">
        <v>46084</v>
      </c>
      <c r="CO21" s="711" t="n">
        <v>46045</v>
      </c>
      <c r="CP21" s="654" t="n">
        <v>46071</v>
      </c>
      <c r="DL21" s="17" t="n"/>
      <c r="DM21" s="271" t="n"/>
      <c r="ES21" s="271" t="n"/>
      <c r="FF21" s="271" t="n"/>
      <c r="FL21" s="271" t="n"/>
    </row>
    <row r="22" ht="18.75" customHeight="1">
      <c r="A22" s="29" t="inlineStr">
        <is>
          <t>SACOLA PP VERDE</t>
        </is>
      </c>
      <c r="B22" s="9" t="n">
        <v>300</v>
      </c>
      <c r="C22" s="659" t="n">
        <v>187.12</v>
      </c>
      <c r="D22" s="329" t="n"/>
      <c r="BW22" s="38" t="n">
        <v>200</v>
      </c>
      <c r="BX22" s="38" t="n">
        <v>200</v>
      </c>
      <c r="BY22" s="38" t="n">
        <v>200</v>
      </c>
      <c r="BZ22" s="38" t="n">
        <v>190</v>
      </c>
      <c r="CA22" s="38" t="n">
        <v>190</v>
      </c>
      <c r="CB22" s="154">
        <f>BZ22+IF(NOT(ISBLANK(OFFSET(CB22,0,6))),N(OFFSET(CB22,0,6)),N(OFFSET(CB22,0,7)))-CA22</f>
        <v/>
      </c>
      <c r="CD22" s="19" t="n"/>
      <c r="CE22" s="119" t="n"/>
      <c r="CF22" s="65" t="n"/>
      <c r="CH22" s="18" t="n">
        <v>0</v>
      </c>
      <c r="CI22" s="18" t="n">
        <v>0</v>
      </c>
      <c r="CJ22" s="18" t="n"/>
      <c r="CK22" s="18" t="n"/>
      <c r="CL22" s="18" t="n"/>
      <c r="CM22" s="18" t="n"/>
      <c r="CN22" s="18" t="n"/>
      <c r="CO22" s="18" t="n"/>
      <c r="CP22" s="18" t="n"/>
      <c r="DL22" s="17" t="n"/>
      <c r="DM22" s="271" t="n"/>
      <c r="ES22" s="271" t="n"/>
      <c r="FF22" s="271" t="n"/>
      <c r="FL22" s="271" t="n"/>
    </row>
    <row r="23" ht="18.75" customHeight="1">
      <c r="A23" s="29" t="inlineStr">
        <is>
          <t xml:space="preserve">SACOLA P VERDE </t>
        </is>
      </c>
      <c r="B23" s="9" t="n">
        <v>200</v>
      </c>
      <c r="C23" s="659" t="n">
        <v>193.08</v>
      </c>
      <c r="D23" s="329" t="n"/>
      <c r="BW23" s="38" t="n">
        <v>200</v>
      </c>
      <c r="BX23" s="38" t="n">
        <v>200</v>
      </c>
      <c r="BY23" s="38" t="n">
        <v>200</v>
      </c>
      <c r="BZ23" s="38" t="n">
        <v>200</v>
      </c>
      <c r="CA23" s="38" t="n">
        <v>200</v>
      </c>
      <c r="CB23" s="154">
        <f>BZ23+IF(NOT(ISBLANK(OFFSET(CB23,0,6))),N(OFFSET(CB23,0,6)),N(OFFSET(CB23,0,7)))-CA23</f>
        <v/>
      </c>
      <c r="CD23" s="19" t="n"/>
      <c r="CE23" s="119" t="n"/>
      <c r="CF23" s="65" t="n"/>
      <c r="CH23" s="18" t="n">
        <v>0</v>
      </c>
      <c r="CI23" s="18" t="n">
        <v>0</v>
      </c>
      <c r="CJ23" s="18" t="n"/>
      <c r="CK23" s="18" t="n"/>
      <c r="CL23" s="18" t="n"/>
      <c r="CM23" s="18" t="n"/>
      <c r="CN23" s="18" t="n"/>
      <c r="CO23" s="18" t="n"/>
      <c r="CP23" s="18" t="n"/>
      <c r="DL23" s="17" t="n"/>
      <c r="DM23" s="271" t="n"/>
      <c r="ES23" s="271" t="n"/>
      <c r="FF23" s="271" t="n"/>
      <c r="FL23" s="271" t="n"/>
    </row>
    <row r="24" ht="18.75" customHeight="1">
      <c r="A24" s="29" t="inlineStr">
        <is>
          <t>SACOLA M VERDE</t>
        </is>
      </c>
      <c r="B24" s="9" t="n">
        <v>200</v>
      </c>
      <c r="C24" s="659" t="n">
        <v>253.83</v>
      </c>
      <c r="D24" s="329" t="n"/>
      <c r="BW24" s="38" t="n">
        <v>200</v>
      </c>
      <c r="BX24" s="38" t="n">
        <v>200</v>
      </c>
      <c r="BY24" s="38" t="n">
        <v>200</v>
      </c>
      <c r="BZ24" s="38" t="n">
        <v>200</v>
      </c>
      <c r="CA24" s="38" t="n">
        <v>200</v>
      </c>
      <c r="CB24" s="154">
        <f>BZ24+IF(NOT(ISBLANK(OFFSET(CB24,0,6))),N(OFFSET(CB24,0,6)),N(OFFSET(CB24,0,7)))-CA24</f>
        <v/>
      </c>
      <c r="CD24" s="19" t="n"/>
      <c r="CE24" s="119" t="n"/>
      <c r="CF24" s="65" t="n"/>
      <c r="CH24" s="18" t="n">
        <v>0</v>
      </c>
      <c r="CI24" s="18" t="n">
        <v>0</v>
      </c>
      <c r="CJ24" s="18" t="n"/>
      <c r="CK24" s="18" t="n"/>
      <c r="CL24" s="18" t="n"/>
      <c r="CM24" s="18" t="n"/>
      <c r="CN24" s="18" t="n"/>
      <c r="CO24" s="18" t="n"/>
      <c r="CP24" s="18" t="n"/>
      <c r="DL24" s="17" t="n"/>
      <c r="DM24" s="271" t="n"/>
      <c r="ES24" s="271" t="n"/>
      <c r="FF24" s="271" t="n"/>
      <c r="FL24" s="271" t="n"/>
    </row>
    <row r="25" ht="18.75" customHeight="1">
      <c r="DL25" s="17" t="n"/>
      <c r="DM25" s="271" t="n"/>
      <c r="ES25" s="271" t="n"/>
      <c r="FF25" s="271" t="n"/>
      <c r="FL25" s="271" t="n"/>
    </row>
    <row r="26" ht="18.75" customFormat="1" customHeight="1" s="3">
      <c r="A26" s="32" t="inlineStr">
        <is>
          <t>KIT SACOLAS BOTICÁRIO VENDIDAS</t>
        </is>
      </c>
      <c r="B26" s="575" t="inlineStr">
        <is>
          <t>MÓD</t>
        </is>
      </c>
      <c r="C26" s="575" t="inlineStr">
        <is>
          <t>R$</t>
        </is>
      </c>
      <c r="D26" s="575" t="n"/>
      <c r="E26" s="642" t="n"/>
      <c r="F26" s="650" t="n">
        <v>45656</v>
      </c>
      <c r="G26" s="650" t="n">
        <v>45663</v>
      </c>
      <c r="H26" s="650" t="n">
        <v>45670</v>
      </c>
      <c r="I26" s="650" t="n">
        <v>45677</v>
      </c>
      <c r="J26" s="650" t="n">
        <v>45684</v>
      </c>
      <c r="K26" s="650" t="n">
        <v>45691</v>
      </c>
      <c r="L26" s="650" t="n">
        <v>45698</v>
      </c>
      <c r="M26" s="650" t="n">
        <v>45705</v>
      </c>
      <c r="N26" s="650" t="n">
        <v>45712</v>
      </c>
      <c r="O26" s="650" t="n">
        <v>45719</v>
      </c>
      <c r="P26" s="650" t="n">
        <v>45726</v>
      </c>
      <c r="Q26" s="650" t="n">
        <v>45733</v>
      </c>
      <c r="R26" s="650" t="n">
        <v>45740</v>
      </c>
      <c r="S26" s="650" t="n">
        <v>45747</v>
      </c>
      <c r="T26" s="650" t="n">
        <v>45754</v>
      </c>
      <c r="U26" s="650" t="n">
        <v>45761</v>
      </c>
      <c r="V26" s="650" t="n">
        <v>45768</v>
      </c>
      <c r="W26" s="650" t="n">
        <v>45775</v>
      </c>
      <c r="X26" s="650" t="n">
        <v>45782</v>
      </c>
      <c r="Y26" s="650" t="n">
        <v>45789</v>
      </c>
      <c r="Z26" s="650" t="n">
        <v>45796</v>
      </c>
      <c r="AA26" s="650" t="n">
        <v>45803</v>
      </c>
      <c r="AB26" s="650" t="n">
        <v>45810</v>
      </c>
      <c r="AC26" s="650" t="n">
        <v>45817</v>
      </c>
      <c r="AD26" s="650" t="n">
        <v>45824</v>
      </c>
      <c r="AE26" s="650" t="n">
        <v>45831</v>
      </c>
      <c r="AF26" s="650" t="n">
        <v>45838</v>
      </c>
      <c r="AG26" s="650" t="n">
        <v>45845</v>
      </c>
      <c r="AH26" s="650" t="n">
        <v>45852</v>
      </c>
      <c r="AI26" s="650" t="n">
        <v>45859</v>
      </c>
      <c r="AJ26" s="650" t="n">
        <v>45866</v>
      </c>
      <c r="AK26" s="650" t="n">
        <v>45873</v>
      </c>
      <c r="AL26" s="650" t="n">
        <v>45880</v>
      </c>
      <c r="AM26" s="650" t="n">
        <v>45887</v>
      </c>
      <c r="AN26" s="650" t="n">
        <v>45894</v>
      </c>
      <c r="AO26" s="650" t="n">
        <v>45901</v>
      </c>
      <c r="AP26" s="650" t="n">
        <v>45908</v>
      </c>
      <c r="AQ26" s="650" t="n">
        <v>45915</v>
      </c>
      <c r="AR26" s="650" t="n">
        <v>45922</v>
      </c>
      <c r="AS26" s="650" t="n">
        <v>45929</v>
      </c>
      <c r="AT26" s="650" t="n">
        <v>45936</v>
      </c>
      <c r="AU26" s="650" t="n">
        <v>45943</v>
      </c>
      <c r="AV26" s="650" t="n">
        <v>45950</v>
      </c>
      <c r="AW26" s="650" t="n">
        <v>45957</v>
      </c>
      <c r="AX26" s="650" t="n">
        <v>45964</v>
      </c>
      <c r="AY26" s="650" t="n">
        <v>45971</v>
      </c>
      <c r="AZ26" s="650" t="n">
        <v>45978</v>
      </c>
      <c r="BA26" s="650" t="n">
        <v>45985</v>
      </c>
      <c r="BB26" s="650" t="n">
        <v>45992</v>
      </c>
      <c r="BC26" s="650" t="n">
        <v>45999</v>
      </c>
      <c r="BD26" s="650" t="n">
        <v>46006</v>
      </c>
      <c r="BE26" s="650" t="n">
        <v>46013</v>
      </c>
      <c r="BF26" s="650" t="n">
        <v>46020</v>
      </c>
      <c r="BG26" s="650" t="n">
        <v>46027</v>
      </c>
      <c r="BH26" s="650" t="n">
        <v>46034</v>
      </c>
      <c r="BI26" s="650" t="n">
        <v>46041</v>
      </c>
      <c r="BJ26" s="650" t="n">
        <v>46048</v>
      </c>
      <c r="BK26" s="650" t="n">
        <v>46055</v>
      </c>
      <c r="BL26" s="650" t="n">
        <v>46062</v>
      </c>
      <c r="BM26" s="650" t="n">
        <v>46069</v>
      </c>
      <c r="BN26" s="650" t="n">
        <v>46076</v>
      </c>
      <c r="BO26" s="650" t="n">
        <v>46083</v>
      </c>
      <c r="BP26" s="650" t="n">
        <v>46090</v>
      </c>
      <c r="BQ26" s="650" t="n">
        <v>46097</v>
      </c>
      <c r="BR26" s="650" t="n">
        <v>46104</v>
      </c>
      <c r="BS26" s="650" t="n">
        <v>46111</v>
      </c>
      <c r="BT26" s="650" t="n">
        <v>46118</v>
      </c>
      <c r="BU26" s="650" t="n">
        <v>46125</v>
      </c>
      <c r="BV26" s="650" t="n">
        <v>46132</v>
      </c>
      <c r="BW26" s="650" t="n">
        <v>46139</v>
      </c>
      <c r="BX26" s="650" t="n">
        <v>46146</v>
      </c>
      <c r="BY26" s="650" t="n">
        <v>46154</v>
      </c>
      <c r="BZ26" s="650" t="n">
        <v>46160</v>
      </c>
      <c r="CA26" s="650" t="n">
        <v>46160</v>
      </c>
      <c r="CB26" s="652" t="inlineStr">
        <is>
          <t>USOU</t>
        </is>
      </c>
      <c r="CC26" s="6" t="n"/>
      <c r="CD26" s="35" t="inlineStr">
        <is>
          <t>Pend.</t>
        </is>
      </c>
      <c r="CF26" s="12" t="inlineStr">
        <is>
          <t>Novo Pedido</t>
        </is>
      </c>
      <c r="CH26" s="654" t="n">
        <v>46156</v>
      </c>
      <c r="CI26" s="654" t="n">
        <v>46149</v>
      </c>
      <c r="CJ26" s="654" t="n">
        <v>46114</v>
      </c>
      <c r="CK26" s="710" t="n">
        <v>46065</v>
      </c>
      <c r="CL26" s="654" t="n">
        <v>46092</v>
      </c>
      <c r="CM26" s="654" t="n">
        <v>46092</v>
      </c>
      <c r="CN26" s="654" t="n">
        <v>46084</v>
      </c>
      <c r="CO26" s="711" t="n">
        <v>46045</v>
      </c>
      <c r="CP26" s="654" t="n">
        <v>46071</v>
      </c>
      <c r="CQ26" s="654" t="n">
        <v>46043</v>
      </c>
      <c r="CR26" s="654" t="n">
        <v>46029</v>
      </c>
      <c r="CS26" s="654" t="n">
        <v>46024</v>
      </c>
      <c r="CT26" s="655" t="n">
        <v>46041</v>
      </c>
      <c r="CU26" s="654" t="n">
        <v>46029</v>
      </c>
      <c r="CV26" s="654" t="n">
        <v>46024</v>
      </c>
      <c r="CW26" s="654" t="n">
        <v>46007</v>
      </c>
      <c r="CX26" s="654" t="n">
        <v>46001</v>
      </c>
      <c r="CY26" s="654" t="n">
        <v>45994</v>
      </c>
      <c r="CZ26" s="654" t="n">
        <v>45986</v>
      </c>
      <c r="DA26" s="654" t="n">
        <v>45986</v>
      </c>
      <c r="DB26" s="654" t="n">
        <v>45980</v>
      </c>
      <c r="DC26" s="654" t="n">
        <v>45980</v>
      </c>
      <c r="DD26" s="654" t="n">
        <v>45973</v>
      </c>
      <c r="DE26" s="654" t="n">
        <v>45973</v>
      </c>
      <c r="DF26" s="654" t="n">
        <v>45965</v>
      </c>
      <c r="DG26" s="654" t="n">
        <v>45965</v>
      </c>
      <c r="DH26" s="654" t="n">
        <v>45960</v>
      </c>
      <c r="DI26" s="654" t="n">
        <v>45951</v>
      </c>
      <c r="DJ26" s="654" t="n">
        <v>45937</v>
      </c>
      <c r="DK26" s="654" t="n">
        <v>45931</v>
      </c>
      <c r="DL26" s="678" t="n">
        <v>45903</v>
      </c>
      <c r="DM26" s="688" t="n">
        <v>45931</v>
      </c>
      <c r="DN26" s="654" t="n">
        <v>45923</v>
      </c>
      <c r="DO26" s="654" t="n">
        <v>45909</v>
      </c>
      <c r="DP26" s="654" t="n">
        <v>45915</v>
      </c>
      <c r="DQ26" s="654" t="n">
        <v>45909</v>
      </c>
      <c r="DR26" s="654" t="n">
        <v>45903</v>
      </c>
      <c r="DS26" s="654" t="n">
        <v>45895</v>
      </c>
      <c r="DT26" s="654" t="n">
        <v>45895</v>
      </c>
      <c r="DU26" s="679" t="n">
        <v>45896</v>
      </c>
      <c r="DV26" s="654" t="n">
        <v>45888</v>
      </c>
      <c r="DW26" s="654" t="n">
        <v>45881</v>
      </c>
      <c r="DX26" s="654" t="n">
        <v>45881</v>
      </c>
      <c r="DY26" s="654" t="n">
        <v>45874</v>
      </c>
      <c r="DZ26" s="655" t="n">
        <v>45882</v>
      </c>
      <c r="EA26" s="655" t="n">
        <v>45881</v>
      </c>
      <c r="EB26" s="654" t="n">
        <v>45867</v>
      </c>
      <c r="EC26" s="654" t="n">
        <v>45860</v>
      </c>
      <c r="ED26" s="654" t="n">
        <v>45860</v>
      </c>
      <c r="EE26" s="655" t="n">
        <v>45860</v>
      </c>
      <c r="EF26" s="654" t="n">
        <v>45848</v>
      </c>
      <c r="EG26" s="681" t="n">
        <v>45853</v>
      </c>
      <c r="EH26" s="654" t="n">
        <v>45839</v>
      </c>
      <c r="EI26" s="654" t="n">
        <v>45825</v>
      </c>
      <c r="EJ26" s="681" t="n">
        <v>45791</v>
      </c>
      <c r="EK26" s="655" t="n">
        <v>45826</v>
      </c>
      <c r="EL26" s="654" t="n">
        <v>45813</v>
      </c>
      <c r="EM26" s="655" t="n">
        <v>45819</v>
      </c>
      <c r="EN26" s="654" t="n">
        <v>45805</v>
      </c>
      <c r="EO26" s="654" t="n">
        <v>45783</v>
      </c>
      <c r="EP26" s="655" t="n">
        <v>45807</v>
      </c>
      <c r="EQ26" s="654" t="n">
        <v>45790</v>
      </c>
      <c r="ER26" s="690" t="n">
        <v>45800</v>
      </c>
      <c r="ES26" s="650" t="n">
        <v>45799</v>
      </c>
      <c r="ET26" s="655" t="n">
        <v>45798</v>
      </c>
      <c r="EU26" s="654" t="n">
        <v>45783</v>
      </c>
      <c r="EV26" s="654" t="n">
        <v>45783</v>
      </c>
      <c r="EW26" s="654" t="n">
        <v>45775</v>
      </c>
      <c r="EX26" s="654" t="n">
        <v>45770</v>
      </c>
      <c r="EY26" s="654" t="n">
        <v>45743</v>
      </c>
      <c r="EZ26" s="683" t="n">
        <v>45735</v>
      </c>
      <c r="FA26" s="655" t="n">
        <v>45775</v>
      </c>
      <c r="FB26" s="654" t="n">
        <v>45756</v>
      </c>
      <c r="FC26" s="654" t="n">
        <v>45749</v>
      </c>
      <c r="FD26" s="654" t="n">
        <v>45743</v>
      </c>
      <c r="FE26" s="654" t="n">
        <v>45743</v>
      </c>
      <c r="FF26" s="650" t="n">
        <v>45741</v>
      </c>
      <c r="FG26" s="654" t="n">
        <v>45728</v>
      </c>
      <c r="FH26" s="654" t="n">
        <v>45728</v>
      </c>
      <c r="FI26" s="654" t="n">
        <v>45722</v>
      </c>
      <c r="FJ26" s="654" t="n">
        <v>45714</v>
      </c>
      <c r="FK26" s="654" t="n">
        <v>45706</v>
      </c>
      <c r="FL26" s="650" t="n">
        <v>45700</v>
      </c>
      <c r="FM26" s="654" t="n">
        <v>45699</v>
      </c>
      <c r="FN26" s="654" t="n">
        <v>45706</v>
      </c>
      <c r="FO26" s="654" t="n">
        <v>45693</v>
      </c>
      <c r="FP26" s="654" t="n">
        <v>45685</v>
      </c>
      <c r="FQ26" s="654" t="n">
        <v>45679</v>
      </c>
      <c r="FR26" s="654" t="n">
        <v>45660</v>
      </c>
      <c r="FS26" s="654" t="n">
        <v>45674</v>
      </c>
      <c r="FT26" s="655" t="n">
        <v>45672</v>
      </c>
      <c r="FU26" s="654" t="n">
        <v>45652</v>
      </c>
      <c r="FV26" s="655" t="n">
        <v>45670</v>
      </c>
      <c r="FW26" s="654" t="n">
        <v>45664</v>
      </c>
      <c r="FX26" s="654" t="n">
        <v>45660</v>
      </c>
      <c r="FY26" s="654" t="n">
        <v>45660</v>
      </c>
    </row>
    <row r="27" ht="18.75" customFormat="1" customHeight="1" s="3">
      <c r="A27" s="33" t="inlineStr">
        <is>
          <t>KIT SACOLA PP VERDE (KIT C/ 10)</t>
        </is>
      </c>
      <c r="B27" s="9" t="n">
        <v>280</v>
      </c>
      <c r="C27" s="662" t="n">
        <v>174.76</v>
      </c>
      <c r="D27" s="329" t="n">
        <v>10</v>
      </c>
      <c r="E27" s="714" t="n"/>
      <c r="F27" s="120" t="n">
        <v>28</v>
      </c>
      <c r="G27" s="120" t="n">
        <v>28</v>
      </c>
      <c r="H27" s="120" t="n">
        <v>28</v>
      </c>
      <c r="I27" s="120" t="n">
        <v>28</v>
      </c>
      <c r="J27" s="120" t="n">
        <v>28</v>
      </c>
      <c r="K27" s="120" t="n">
        <v>28</v>
      </c>
      <c r="L27" s="120" t="n">
        <v>28</v>
      </c>
      <c r="M27" s="120" t="n">
        <v>28</v>
      </c>
      <c r="N27" s="120" t="n">
        <v>28</v>
      </c>
      <c r="O27" s="120" t="n">
        <v>28</v>
      </c>
      <c r="P27" s="120" t="n">
        <v>28</v>
      </c>
      <c r="Q27" s="120" t="n">
        <v>0</v>
      </c>
      <c r="R27" s="120" t="n">
        <v>0</v>
      </c>
      <c r="S27" s="120" t="n">
        <v>0</v>
      </c>
      <c r="T27" s="120" t="n">
        <v>0</v>
      </c>
      <c r="U27" s="262" t="n">
        <v>28</v>
      </c>
      <c r="V27" s="120">
        <f>28+FB27</f>
        <v/>
      </c>
      <c r="W27" s="120" t="n">
        <v>112</v>
      </c>
      <c r="X27" s="120" t="n">
        <v>112</v>
      </c>
      <c r="Y27" s="120" t="n">
        <v>56</v>
      </c>
      <c r="Z27" s="120" t="n">
        <v>56</v>
      </c>
      <c r="AA27" s="120" t="n">
        <v>56</v>
      </c>
      <c r="AB27" s="120" t="n">
        <v>56</v>
      </c>
      <c r="AC27" s="120" t="n">
        <v>56</v>
      </c>
      <c r="AD27" s="120" t="n">
        <v>56</v>
      </c>
      <c r="AE27" s="120" t="n">
        <v>56</v>
      </c>
      <c r="AF27" s="120" t="n">
        <v>56</v>
      </c>
      <c r="AG27" s="120" t="n">
        <v>56</v>
      </c>
      <c r="AH27" s="262" t="n">
        <v>78</v>
      </c>
      <c r="AI27" s="38">
        <f>78-40</f>
        <v/>
      </c>
      <c r="AJ27" s="38" t="n">
        <v>38</v>
      </c>
      <c r="AK27" s="38" t="n">
        <v>38</v>
      </c>
      <c r="AL27" s="38" t="n">
        <v>38</v>
      </c>
      <c r="AM27" s="38" t="n">
        <v>38</v>
      </c>
      <c r="AN27" s="38" t="n">
        <v>38</v>
      </c>
      <c r="AO27" s="38" t="n">
        <v>38</v>
      </c>
      <c r="AP27" s="38" t="n">
        <v>38</v>
      </c>
      <c r="AQ27" s="38" t="n">
        <v>38</v>
      </c>
      <c r="AR27" s="38" t="n">
        <v>38</v>
      </c>
      <c r="AS27" s="38" t="n">
        <v>38</v>
      </c>
      <c r="AT27" s="38" t="n">
        <v>38</v>
      </c>
      <c r="AU27" s="38" t="n">
        <v>38</v>
      </c>
      <c r="AV27" s="38" t="n">
        <v>27</v>
      </c>
      <c r="AW27" s="38" t="n">
        <v>27</v>
      </c>
      <c r="AX27" s="38" t="n">
        <v>27</v>
      </c>
      <c r="AY27" s="38" t="n">
        <v>27</v>
      </c>
      <c r="AZ27" s="38" t="n">
        <v>27</v>
      </c>
      <c r="BA27" s="38" t="n">
        <v>23</v>
      </c>
      <c r="BB27" s="38" t="n">
        <v>23</v>
      </c>
      <c r="BC27" s="38" t="n">
        <v>23</v>
      </c>
      <c r="BD27" s="38" t="n">
        <v>23</v>
      </c>
      <c r="BE27" s="38" t="n">
        <v>23</v>
      </c>
      <c r="BF27" s="38" t="n">
        <v>23</v>
      </c>
      <c r="BG27" s="38" t="n">
        <v>23</v>
      </c>
      <c r="BH27" s="38" t="n">
        <v>23</v>
      </c>
      <c r="BI27" s="38" t="n">
        <v>23</v>
      </c>
      <c r="BJ27" s="38" t="n">
        <v>23</v>
      </c>
      <c r="BK27" s="38" t="n">
        <v>23</v>
      </c>
      <c r="BL27" s="38" t="n">
        <v>23</v>
      </c>
      <c r="BM27" s="38" t="n">
        <v>23</v>
      </c>
      <c r="BN27" s="38" t="n">
        <v>23</v>
      </c>
      <c r="BO27" s="38" t="n">
        <v>23</v>
      </c>
      <c r="BP27" s="38" t="n">
        <v>23</v>
      </c>
      <c r="BQ27" s="38" t="n">
        <v>23</v>
      </c>
      <c r="BR27" s="38" t="n">
        <v>23</v>
      </c>
      <c r="BS27" s="38" t="n">
        <v>23</v>
      </c>
      <c r="BT27" s="38" t="n"/>
      <c r="BU27" s="38" t="n"/>
      <c r="BV27" s="38" t="n"/>
      <c r="BW27" s="38" t="n">
        <v>23</v>
      </c>
      <c r="BX27" s="38" t="n">
        <v>23</v>
      </c>
      <c r="BY27" s="38" t="n">
        <v>23</v>
      </c>
      <c r="BZ27" s="38" t="n">
        <v>23</v>
      </c>
      <c r="CA27" s="38" t="n">
        <v>23</v>
      </c>
      <c r="CB27" s="154">
        <f>BZ27+IF(NOT(ISBLANK(OFFSET(CB27,0,6))),N(OFFSET(CB27,0,6)),N(OFFSET(CB27,0,7)))-CA27</f>
        <v/>
      </c>
      <c r="CC27" s="118" t="n"/>
      <c r="CD27" s="19" t="n"/>
      <c r="CE27" s="119" t="n"/>
      <c r="CF27" s="65" t="n"/>
      <c r="CG27" s="119" t="n"/>
      <c r="CH27" s="18" t="n">
        <v>0</v>
      </c>
      <c r="CI27" s="18" t="n">
        <v>0</v>
      </c>
      <c r="CJ27" s="18" t="n"/>
      <c r="CK27" s="18" t="n"/>
      <c r="CL27" s="18" t="n"/>
      <c r="CM27" s="18" t="n"/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256" t="n"/>
      <c r="DM27" s="256" t="n"/>
      <c r="DN27" s="18" t="n"/>
      <c r="DO27" s="18" t="n"/>
      <c r="DP27" s="18" t="n"/>
      <c r="DQ27" s="18" t="n"/>
      <c r="DR27" s="18" t="n"/>
      <c r="DS27" s="18" t="n"/>
      <c r="DT27" s="18" t="n"/>
      <c r="DU27" s="18" t="n"/>
      <c r="DV27" s="18" t="n"/>
      <c r="DW27" s="18" t="n"/>
      <c r="DX27" s="18" t="n"/>
      <c r="DY27" s="18" t="n"/>
      <c r="DZ27" s="18" t="n"/>
      <c r="EA27" s="18" t="n"/>
      <c r="EB27" s="18" t="n"/>
      <c r="EC27" s="18" t="n"/>
      <c r="ED27" s="18" t="n"/>
      <c r="EE27" s="239" t="inlineStr">
        <is>
          <t>40 P/ CDP</t>
        </is>
      </c>
      <c r="EF27" s="18" t="n"/>
      <c r="EG27" s="18" t="n"/>
      <c r="EH27" s="18" t="n"/>
      <c r="EI27" s="18" t="n"/>
      <c r="EJ27" s="18" t="n"/>
      <c r="EK27" s="18" t="n"/>
      <c r="EL27" s="18" t="n"/>
      <c r="EM27" s="18" t="n"/>
      <c r="EN27" s="18" t="n"/>
      <c r="EO27" s="18" t="n"/>
      <c r="EP27" s="18" t="n"/>
      <c r="EQ27" s="18" t="n"/>
      <c r="ER27" s="18" t="n"/>
      <c r="ES27" s="256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>
        <v>56</v>
      </c>
      <c r="FC27" s="18" t="n"/>
      <c r="FD27" s="18" t="n">
        <v>28</v>
      </c>
      <c r="FE27" s="18" t="n"/>
      <c r="FF27" s="256" t="inlineStr">
        <is>
          <t>100 D. ER PG</t>
        </is>
      </c>
      <c r="FG27" s="18" t="n"/>
      <c r="FH27" s="18" t="n"/>
      <c r="FI27" s="18" t="n"/>
      <c r="FJ27" s="18" t="n"/>
      <c r="FK27" s="18" t="n"/>
      <c r="FL27" s="256" t="n"/>
      <c r="FM27" s="18" t="n"/>
      <c r="FN27" s="18" t="n"/>
      <c r="FO27" s="18" t="n"/>
      <c r="FP27" s="18" t="n"/>
      <c r="FQ27" s="18" t="n"/>
      <c r="FR27" s="18" t="n"/>
      <c r="FS27" s="18" t="n"/>
      <c r="FT27" s="18" t="n"/>
      <c r="FU27" s="18" t="n"/>
      <c r="FV27" s="18" t="n"/>
      <c r="FW27" s="18" t="n"/>
      <c r="FX27" s="18" t="n"/>
      <c r="FY27" s="18" t="n"/>
    </row>
    <row r="28" ht="18.75" customFormat="1" customHeight="1" s="3">
      <c r="A28" s="33" t="inlineStr">
        <is>
          <t>KIT SACOLA P VERDE (KIT C/ 10)</t>
        </is>
      </c>
      <c r="B28" s="9" t="n">
        <v>200</v>
      </c>
      <c r="C28" s="662" t="n">
        <v>193.24</v>
      </c>
      <c r="D28" s="329" t="n">
        <v>10</v>
      </c>
      <c r="E28" s="2" t="n"/>
      <c r="F28" s="38" t="n">
        <v>20</v>
      </c>
      <c r="G28" s="38" t="n">
        <v>20</v>
      </c>
      <c r="H28" s="38" t="n">
        <v>19</v>
      </c>
      <c r="I28" s="38" t="n">
        <v>18</v>
      </c>
      <c r="J28" s="38" t="n">
        <v>17</v>
      </c>
      <c r="K28" s="38" t="n">
        <v>17</v>
      </c>
      <c r="L28" s="38" t="n">
        <v>17</v>
      </c>
      <c r="M28" s="38" t="n">
        <v>17</v>
      </c>
      <c r="N28" s="38" t="n">
        <v>17</v>
      </c>
      <c r="O28" s="38" t="n">
        <v>17</v>
      </c>
      <c r="P28" s="38" t="n">
        <v>17</v>
      </c>
      <c r="Q28" s="38" t="n">
        <v>17</v>
      </c>
      <c r="R28" s="38" t="n">
        <v>17</v>
      </c>
      <c r="S28" s="38" t="n">
        <v>17</v>
      </c>
      <c r="T28" s="38" t="n">
        <v>2</v>
      </c>
      <c r="U28" s="261" t="n">
        <v>17</v>
      </c>
      <c r="V28" s="38">
        <f>17+FB28</f>
        <v/>
      </c>
      <c r="W28" s="38" t="n">
        <v>57</v>
      </c>
      <c r="X28" s="38" t="n">
        <v>57</v>
      </c>
      <c r="Y28" s="38" t="n">
        <v>57</v>
      </c>
      <c r="Z28" s="38" t="n">
        <v>57</v>
      </c>
      <c r="AA28" s="38" t="n">
        <v>57</v>
      </c>
      <c r="AB28" s="38" t="n">
        <v>57</v>
      </c>
      <c r="AC28" s="38" t="n">
        <v>57</v>
      </c>
      <c r="AD28" s="38" t="n">
        <v>57</v>
      </c>
      <c r="AE28" s="38" t="n">
        <v>57</v>
      </c>
      <c r="AF28" s="38" t="n">
        <v>57</v>
      </c>
      <c r="AG28" s="38" t="n">
        <v>58</v>
      </c>
      <c r="AH28" s="38" t="n">
        <v>58</v>
      </c>
      <c r="AI28" s="38" t="n">
        <v>58</v>
      </c>
      <c r="AJ28" s="38" t="n">
        <v>58</v>
      </c>
      <c r="AK28" s="38" t="n">
        <v>58</v>
      </c>
      <c r="AL28" s="38" t="n">
        <v>58</v>
      </c>
      <c r="AM28" s="38" t="n">
        <v>58</v>
      </c>
      <c r="AN28" s="38" t="n">
        <v>58</v>
      </c>
      <c r="AO28" s="38" t="n">
        <v>58</v>
      </c>
      <c r="AP28" s="38" t="n">
        <v>58</v>
      </c>
      <c r="AQ28" s="38" t="n">
        <v>58</v>
      </c>
      <c r="AR28" s="38" t="n">
        <v>58</v>
      </c>
      <c r="AS28" s="38" t="n">
        <v>58</v>
      </c>
      <c r="AT28" s="38" t="n">
        <v>58</v>
      </c>
      <c r="AU28" s="38" t="n">
        <v>58</v>
      </c>
      <c r="AV28" s="38" t="n">
        <v>17</v>
      </c>
      <c r="AW28" s="38" t="n">
        <v>17</v>
      </c>
      <c r="AX28" s="38" t="n">
        <v>17</v>
      </c>
      <c r="AY28" s="38" t="n">
        <v>17</v>
      </c>
      <c r="AZ28" s="38" t="n">
        <v>17</v>
      </c>
      <c r="BA28" s="38" t="n">
        <v>17</v>
      </c>
      <c r="BB28" s="38" t="n">
        <v>16</v>
      </c>
      <c r="BC28" s="38" t="n">
        <v>16</v>
      </c>
      <c r="BD28" s="38" t="n">
        <v>16</v>
      </c>
      <c r="BE28" s="38" t="n">
        <v>16</v>
      </c>
      <c r="BF28" s="38" t="n">
        <v>16</v>
      </c>
      <c r="BG28" s="38" t="n">
        <v>16</v>
      </c>
      <c r="BH28" s="38" t="n">
        <v>16</v>
      </c>
      <c r="BI28" s="38" t="n">
        <v>16</v>
      </c>
      <c r="BJ28" s="38" t="n">
        <v>16</v>
      </c>
      <c r="BK28" s="38" t="n">
        <v>16</v>
      </c>
      <c r="BL28" s="38" t="n">
        <v>16</v>
      </c>
      <c r="BM28" s="38" t="n">
        <v>16</v>
      </c>
      <c r="BN28" s="38" t="n">
        <v>15</v>
      </c>
      <c r="BO28" s="38" t="n">
        <v>15</v>
      </c>
      <c r="BP28" s="38" t="n">
        <v>15</v>
      </c>
      <c r="BQ28" s="38" t="n">
        <v>15</v>
      </c>
      <c r="BR28" s="38" t="n">
        <v>17</v>
      </c>
      <c r="BS28" s="38" t="n">
        <v>17</v>
      </c>
      <c r="BT28" s="38" t="n"/>
      <c r="BU28" s="38" t="n"/>
      <c r="BV28" s="38" t="n"/>
      <c r="BW28" s="38" t="n">
        <v>15</v>
      </c>
      <c r="BX28" s="38" t="n">
        <v>15</v>
      </c>
      <c r="BY28" s="38" t="n">
        <v>13</v>
      </c>
      <c r="BZ28" s="38" t="n">
        <v>11</v>
      </c>
      <c r="CA28" s="38" t="n">
        <v>11</v>
      </c>
      <c r="CB28" s="154">
        <f>BZ28+IF(NOT(ISBLANK(OFFSET(CB28,0,6))),N(OFFSET(CB28,0,6)),N(OFFSET(CB28,0,7)))-CA28</f>
        <v/>
      </c>
      <c r="CC28" s="118" t="n"/>
      <c r="CD28" s="19" t="n"/>
      <c r="CE28" s="119" t="n"/>
      <c r="CF28" s="65" t="n"/>
      <c r="CG28" s="119" t="n"/>
      <c r="CH28" s="18" t="n">
        <v>0</v>
      </c>
      <c r="CI28" s="18" t="n">
        <v>0</v>
      </c>
      <c r="CJ28" s="18" t="n"/>
      <c r="CK28" s="18" t="n"/>
      <c r="CL28" s="18" t="n"/>
      <c r="CM28" s="18" t="n"/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256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18" t="n"/>
      <c r="EB28" s="18" t="n"/>
      <c r="EC28" s="18" t="n"/>
      <c r="ED28" s="18" t="n"/>
      <c r="EE28" s="18" t="n"/>
      <c r="EF28" s="18" t="n"/>
      <c r="EG28" s="292" t="inlineStr">
        <is>
          <t>100 DE ER PG</t>
        </is>
      </c>
      <c r="EH28" s="18" t="n"/>
      <c r="EI28" s="18" t="n"/>
      <c r="EJ28" s="256" t="n"/>
      <c r="EK28" s="18" t="n"/>
      <c r="EL28" s="18" t="n"/>
      <c r="EM28" s="18" t="n"/>
      <c r="EN28" s="18" t="n"/>
      <c r="EO28" s="18" t="n"/>
      <c r="EP28" s="18" t="n"/>
      <c r="EQ28" s="18" t="n"/>
      <c r="ER28" s="256" t="n"/>
      <c r="ES28" s="256" t="n"/>
      <c r="ET28" s="18" t="n"/>
      <c r="EU28" s="18" t="n"/>
      <c r="EV28" s="18" t="n"/>
      <c r="EW28" s="18" t="n"/>
      <c r="EX28" s="18" t="n"/>
      <c r="EY28" s="18" t="n"/>
      <c r="EZ28" s="256" t="n">
        <v>30</v>
      </c>
      <c r="FA28" s="18" t="n"/>
      <c r="FB28" s="18" t="n">
        <v>40</v>
      </c>
      <c r="FC28" s="18" t="n"/>
      <c r="FD28" s="18" t="n"/>
      <c r="FE28" s="18" t="n"/>
      <c r="FF28" s="256" t="inlineStr">
        <is>
          <t>100 D. ER PG</t>
        </is>
      </c>
      <c r="FG28" s="18" t="n"/>
      <c r="FH28" s="18" t="n"/>
      <c r="FI28" s="18" t="n"/>
      <c r="FJ28" s="18" t="n"/>
      <c r="FK28" s="18" t="n"/>
      <c r="FL28" s="256" t="n"/>
      <c r="FM28" s="18" t="n"/>
      <c r="FN28" s="18" t="n"/>
      <c r="FO28" s="18" t="n"/>
      <c r="FP28" s="18" t="n"/>
      <c r="FQ28" s="18" t="n"/>
      <c r="FR28" s="18" t="n"/>
      <c r="FS28" s="18" t="n"/>
      <c r="FT28" s="18" t="n"/>
      <c r="FU28" s="18" t="n"/>
      <c r="FV28" s="18" t="n"/>
      <c r="FW28" s="18" t="n"/>
      <c r="FX28" s="18" t="n"/>
      <c r="FY28" s="18" t="n"/>
    </row>
    <row r="29" ht="18.75" customFormat="1" customHeight="1" s="3">
      <c r="A29" s="33" t="inlineStr">
        <is>
          <t>KIT SACOLA M VERDE (KIT C/ 10)</t>
        </is>
      </c>
      <c r="B29" s="9" t="n">
        <v>150</v>
      </c>
      <c r="C29" s="662" t="n">
        <v>190.38</v>
      </c>
      <c r="D29" s="329" t="n">
        <v>10</v>
      </c>
      <c r="E29" s="2" t="n"/>
      <c r="F29" s="38" t="n">
        <v>15</v>
      </c>
      <c r="G29" s="38" t="n">
        <v>15</v>
      </c>
      <c r="H29" s="38" t="n">
        <v>15</v>
      </c>
      <c r="I29" s="38" t="n">
        <v>15</v>
      </c>
      <c r="J29" s="38" t="n">
        <v>15</v>
      </c>
      <c r="K29" s="38" t="n">
        <v>15</v>
      </c>
      <c r="L29" s="38" t="n">
        <v>15</v>
      </c>
      <c r="M29" s="38" t="n">
        <v>15</v>
      </c>
      <c r="N29" s="38" t="n">
        <v>15</v>
      </c>
      <c r="O29" s="38" t="n">
        <v>15</v>
      </c>
      <c r="P29" s="38" t="n">
        <v>15</v>
      </c>
      <c r="Q29" s="38" t="n">
        <v>15</v>
      </c>
      <c r="R29" s="38" t="n">
        <v>15</v>
      </c>
      <c r="S29" s="38" t="n">
        <v>15</v>
      </c>
      <c r="T29" s="38" t="n">
        <v>0</v>
      </c>
      <c r="U29" s="261" t="n">
        <v>14</v>
      </c>
      <c r="V29" s="38">
        <f>14+FB29</f>
        <v/>
      </c>
      <c r="W29" s="38" t="n">
        <v>44</v>
      </c>
      <c r="X29" s="38" t="n">
        <v>44</v>
      </c>
      <c r="Y29" s="38" t="n">
        <v>74</v>
      </c>
      <c r="Z29" s="38" t="n">
        <v>74</v>
      </c>
      <c r="AA29" s="38" t="n">
        <v>74</v>
      </c>
      <c r="AB29" s="38" t="n">
        <v>44</v>
      </c>
      <c r="AC29" s="38" t="n">
        <v>44</v>
      </c>
      <c r="AD29" s="38" t="n">
        <v>44</v>
      </c>
      <c r="AE29" s="38" t="n">
        <v>44</v>
      </c>
      <c r="AF29" s="38" t="n">
        <v>44</v>
      </c>
      <c r="AG29" s="38" t="n">
        <v>44</v>
      </c>
      <c r="AH29" s="38" t="n">
        <v>44</v>
      </c>
      <c r="AI29" s="38" t="n">
        <v>44</v>
      </c>
      <c r="AJ29" s="38" t="n">
        <v>44</v>
      </c>
      <c r="AK29" s="38" t="n">
        <v>44</v>
      </c>
      <c r="AL29" s="38" t="n">
        <v>44</v>
      </c>
      <c r="AM29" s="38" t="n">
        <v>44</v>
      </c>
      <c r="AN29" s="38" t="n">
        <v>44</v>
      </c>
      <c r="AO29" s="38" t="n">
        <v>44</v>
      </c>
      <c r="AP29" s="38" t="n">
        <v>44</v>
      </c>
      <c r="AQ29" s="38" t="n">
        <v>44</v>
      </c>
      <c r="AR29" s="38" t="n">
        <v>44</v>
      </c>
      <c r="AS29" s="38" t="n">
        <v>44</v>
      </c>
      <c r="AT29" s="38" t="n">
        <v>44</v>
      </c>
      <c r="AU29" s="38" t="n">
        <v>44</v>
      </c>
      <c r="AV29" s="38" t="n">
        <v>30</v>
      </c>
      <c r="AW29" s="38" t="n">
        <v>30</v>
      </c>
      <c r="AX29" s="38" t="n">
        <v>30</v>
      </c>
      <c r="AY29" s="38" t="n">
        <v>30</v>
      </c>
      <c r="AZ29" s="38" t="n">
        <v>30</v>
      </c>
      <c r="BA29" s="38" t="n">
        <v>30</v>
      </c>
      <c r="BB29" s="38" t="n">
        <v>30</v>
      </c>
      <c r="BC29" s="38" t="n">
        <v>30</v>
      </c>
      <c r="BD29" s="38" t="n">
        <v>30</v>
      </c>
      <c r="BE29" s="38" t="n">
        <v>30</v>
      </c>
      <c r="BF29" s="38" t="n">
        <v>30</v>
      </c>
      <c r="BG29" s="38" t="n">
        <v>30</v>
      </c>
      <c r="BH29" s="38" t="n">
        <v>30</v>
      </c>
      <c r="BI29" s="38" t="n">
        <v>30</v>
      </c>
      <c r="BJ29" s="38" t="n">
        <v>30</v>
      </c>
      <c r="BK29" s="38" t="n">
        <v>30</v>
      </c>
      <c r="BL29" s="38" t="n">
        <v>30</v>
      </c>
      <c r="BM29" s="38" t="n">
        <v>30</v>
      </c>
      <c r="BN29" s="38" t="n">
        <v>30</v>
      </c>
      <c r="BO29" s="38" t="n">
        <v>30</v>
      </c>
      <c r="BP29" s="38" t="n">
        <v>30</v>
      </c>
      <c r="BQ29" s="38" t="n">
        <v>30</v>
      </c>
      <c r="BR29" s="38" t="n">
        <v>30</v>
      </c>
      <c r="BS29" s="38" t="n">
        <v>30</v>
      </c>
      <c r="BT29" s="38" t="n"/>
      <c r="BU29" s="38" t="n"/>
      <c r="BV29" s="38" t="n"/>
      <c r="BW29" s="38" t="n">
        <v>30</v>
      </c>
      <c r="BX29" s="38" t="n">
        <v>30</v>
      </c>
      <c r="BY29" s="38" t="n">
        <v>28</v>
      </c>
      <c r="BZ29" s="38" t="n">
        <v>28</v>
      </c>
      <c r="CA29" s="38" t="n">
        <v>28</v>
      </c>
      <c r="CB29" s="154">
        <f>BZ29+IF(NOT(ISBLANK(OFFSET(CB29,0,6))),N(OFFSET(CB29,0,6)),N(OFFSET(CB29,0,7)))-CA29</f>
        <v/>
      </c>
      <c r="CC29" s="118" t="n"/>
      <c r="CD29" s="19" t="n"/>
      <c r="CE29" s="119" t="n"/>
      <c r="CF29" s="65" t="n"/>
      <c r="CG29" s="119" t="n"/>
      <c r="CH29" s="18" t="n">
        <v>0</v>
      </c>
      <c r="CI29" s="18" t="n">
        <v>0</v>
      </c>
      <c r="CJ29" s="18" t="n"/>
      <c r="CK29" s="18" t="n"/>
      <c r="CL29" s="18" t="n"/>
      <c r="CM29" s="18" t="n"/>
      <c r="CN29" s="18" t="n"/>
      <c r="CO29" s="418" t="n">
        <v>300</v>
      </c>
      <c r="CP29" s="18" t="n"/>
      <c r="CQ29" s="18" t="n"/>
      <c r="CR29" s="18" t="n"/>
      <c r="CS29" s="18" t="n"/>
      <c r="CT29" s="18" t="n"/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256" t="n"/>
      <c r="DN29" s="18" t="n"/>
      <c r="DO29" s="18" t="n"/>
      <c r="DP29" s="18" t="n"/>
      <c r="DQ29" s="18" t="n"/>
      <c r="DR29" s="18" t="n"/>
      <c r="DS29" s="18" t="n"/>
      <c r="DT29" s="18" t="n"/>
      <c r="DU29" s="18" t="n"/>
      <c r="DV29" s="18" t="n"/>
      <c r="DW29" s="18" t="n"/>
      <c r="DX29" s="18" t="n"/>
      <c r="DY29" s="18" t="n"/>
      <c r="DZ29" s="18" t="n"/>
      <c r="EA29" s="18" t="n"/>
      <c r="EB29" s="18" t="n"/>
      <c r="EC29" s="18" t="n"/>
      <c r="ED29" s="18" t="n"/>
      <c r="EE29" s="18" t="n"/>
      <c r="EF29" s="18" t="n"/>
      <c r="EG29" s="18" t="n"/>
      <c r="EH29" s="18" t="n"/>
      <c r="EI29" s="18" t="n"/>
      <c r="EJ29" s="18" t="n"/>
      <c r="EK29" s="18" t="n"/>
      <c r="EL29" s="18" t="n"/>
      <c r="EM29" s="18" t="n"/>
      <c r="EN29" s="18" t="n"/>
      <c r="EO29" s="18" t="n"/>
      <c r="EP29" s="18" t="n"/>
      <c r="EQ29" s="18" t="n"/>
      <c r="ER29" s="256" t="n"/>
      <c r="ES29" s="256" t="n"/>
      <c r="ET29" s="18" t="n"/>
      <c r="EU29" s="18" t="n"/>
      <c r="EV29" s="18" t="n"/>
      <c r="EW29" s="18" t="n"/>
      <c r="EX29" s="18" t="n"/>
      <c r="EY29" s="18" t="n"/>
      <c r="EZ29" s="256" t="n">
        <v>20</v>
      </c>
      <c r="FA29" s="18" t="n"/>
      <c r="FB29" s="18" t="n">
        <v>30</v>
      </c>
      <c r="FC29" s="18" t="n"/>
      <c r="FD29" s="18" t="n"/>
      <c r="FE29" s="18" t="n"/>
      <c r="FF29" s="256" t="inlineStr">
        <is>
          <t>25D. ER PG</t>
        </is>
      </c>
      <c r="FG29" s="18" t="n"/>
      <c r="FH29" s="18" t="n"/>
      <c r="FI29" s="18" t="n"/>
      <c r="FJ29" s="18" t="n"/>
      <c r="FK29" s="18" t="n"/>
      <c r="FL29" s="256" t="n"/>
      <c r="FM29" s="18" t="n"/>
      <c r="FN29" s="18" t="n"/>
      <c r="FO29" s="18" t="n"/>
      <c r="FP29" s="18" t="n"/>
      <c r="FQ29" s="18" t="n"/>
      <c r="FR29" s="18" t="n"/>
      <c r="FS29" s="18" t="n"/>
      <c r="FT29" s="18" t="n"/>
      <c r="FU29" s="18" t="n"/>
      <c r="FV29" s="18" t="n"/>
      <c r="FW29" s="18" t="n"/>
      <c r="FX29" s="18" t="n"/>
      <c r="FY29" s="18" t="n"/>
    </row>
    <row r="30" ht="18.75" customHeight="1">
      <c r="CB30" s="53" t="n"/>
      <c r="CD30" s="69" t="n"/>
      <c r="DL30" s="395" t="n"/>
      <c r="DM30" s="271" t="n"/>
      <c r="ES30" s="272" t="n"/>
      <c r="FF30" s="272" t="n"/>
      <c r="FL30" s="272" t="n"/>
    </row>
    <row r="31" ht="18.75" customFormat="1" customHeight="1" s="3">
      <c r="A31" s="32" t="inlineStr">
        <is>
          <t>DIVERSOS VENDÁVEIS BOTICÁRIO</t>
        </is>
      </c>
      <c r="B31" s="575" t="n"/>
      <c r="C31" s="575" t="n"/>
      <c r="D31" s="575" t="n"/>
      <c r="E31" s="642" t="n"/>
      <c r="F31" s="650" t="n">
        <v>45656</v>
      </c>
      <c r="G31" s="650" t="n">
        <v>45663</v>
      </c>
      <c r="H31" s="650" t="n">
        <v>45670</v>
      </c>
      <c r="I31" s="650" t="n">
        <v>45677</v>
      </c>
      <c r="J31" s="650" t="n">
        <v>45684</v>
      </c>
      <c r="K31" s="650" t="n">
        <v>45691</v>
      </c>
      <c r="L31" s="650" t="n">
        <v>45698</v>
      </c>
      <c r="M31" s="650" t="n">
        <v>45705</v>
      </c>
      <c r="N31" s="650" t="n">
        <v>45712</v>
      </c>
      <c r="O31" s="650" t="n">
        <v>45719</v>
      </c>
      <c r="P31" s="650" t="n">
        <v>45726</v>
      </c>
      <c r="Q31" s="650" t="n">
        <v>45733</v>
      </c>
      <c r="R31" s="650" t="n">
        <v>45740</v>
      </c>
      <c r="S31" s="650" t="n">
        <v>45747</v>
      </c>
      <c r="T31" s="650" t="n">
        <v>45754</v>
      </c>
      <c r="U31" s="650" t="n">
        <v>45761</v>
      </c>
      <c r="V31" s="650" t="n">
        <v>45768</v>
      </c>
      <c r="W31" s="650" t="n">
        <v>45775</v>
      </c>
      <c r="X31" s="650" t="n">
        <v>45782</v>
      </c>
      <c r="Y31" s="650" t="n">
        <v>45789</v>
      </c>
      <c r="Z31" s="650" t="n">
        <v>45796</v>
      </c>
      <c r="AA31" s="650" t="n">
        <v>45803</v>
      </c>
      <c r="AB31" s="650" t="n">
        <v>45810</v>
      </c>
      <c r="AC31" s="650" t="n">
        <v>45817</v>
      </c>
      <c r="AD31" s="650" t="n">
        <v>45824</v>
      </c>
      <c r="AE31" s="650" t="n">
        <v>45831</v>
      </c>
      <c r="AF31" s="650" t="n">
        <v>45838</v>
      </c>
      <c r="AG31" s="650" t="n">
        <v>45845</v>
      </c>
      <c r="AH31" s="650" t="n">
        <v>45852</v>
      </c>
      <c r="AI31" s="650" t="n">
        <v>45859</v>
      </c>
      <c r="AJ31" s="650" t="n">
        <v>45866</v>
      </c>
      <c r="AK31" s="650" t="n">
        <v>45873</v>
      </c>
      <c r="AL31" s="650" t="n">
        <v>45880</v>
      </c>
      <c r="AM31" s="650" t="n">
        <v>45887</v>
      </c>
      <c r="AN31" s="650" t="n">
        <v>45894</v>
      </c>
      <c r="AO31" s="650" t="n">
        <v>45901</v>
      </c>
      <c r="AP31" s="650" t="n">
        <v>45908</v>
      </c>
      <c r="AQ31" s="650" t="n">
        <v>45915</v>
      </c>
      <c r="AR31" s="650" t="n">
        <v>45922</v>
      </c>
      <c r="AS31" s="650" t="n">
        <v>45929</v>
      </c>
      <c r="AT31" s="650" t="n">
        <v>45936</v>
      </c>
      <c r="AU31" s="650" t="n">
        <v>45943</v>
      </c>
      <c r="AV31" s="650" t="n">
        <v>45950</v>
      </c>
      <c r="AW31" s="650" t="n">
        <v>45957</v>
      </c>
      <c r="AX31" s="650" t="n">
        <v>45964</v>
      </c>
      <c r="AY31" s="650" t="n">
        <v>45971</v>
      </c>
      <c r="AZ31" s="650" t="n">
        <v>45978</v>
      </c>
      <c r="BA31" s="650" t="n">
        <v>45985</v>
      </c>
      <c r="BB31" s="650" t="n">
        <v>45992</v>
      </c>
      <c r="BC31" s="650" t="n">
        <v>45999</v>
      </c>
      <c r="BD31" s="650" t="n">
        <v>46006</v>
      </c>
      <c r="BE31" s="650" t="n">
        <v>46013</v>
      </c>
      <c r="BF31" s="650" t="n">
        <v>46020</v>
      </c>
      <c r="BG31" s="650" t="n">
        <v>46027</v>
      </c>
      <c r="BH31" s="650" t="n">
        <v>46034</v>
      </c>
      <c r="BI31" s="650" t="n">
        <v>46041</v>
      </c>
      <c r="BJ31" s="650" t="n">
        <v>46048</v>
      </c>
      <c r="BK31" s="650" t="n">
        <v>46055</v>
      </c>
      <c r="BL31" s="650" t="n">
        <v>46062</v>
      </c>
      <c r="BM31" s="650" t="n">
        <v>46069</v>
      </c>
      <c r="BN31" s="650" t="n">
        <v>46076</v>
      </c>
      <c r="BO31" s="650" t="n">
        <v>46083</v>
      </c>
      <c r="BP31" s="650" t="n">
        <v>46090</v>
      </c>
      <c r="BQ31" s="650" t="n">
        <v>46097</v>
      </c>
      <c r="BR31" s="650" t="n">
        <v>46104</v>
      </c>
      <c r="BS31" s="650" t="n">
        <v>46111</v>
      </c>
      <c r="BT31" s="650" t="n">
        <v>46118</v>
      </c>
      <c r="BU31" s="650" t="n">
        <v>46125</v>
      </c>
      <c r="BV31" s="650" t="n">
        <v>46132</v>
      </c>
      <c r="BW31" s="650" t="n">
        <v>46139</v>
      </c>
      <c r="BX31" s="650" t="n">
        <v>46146</v>
      </c>
      <c r="BY31" s="650" t="n">
        <v>46154</v>
      </c>
      <c r="BZ31" s="650" t="n">
        <v>46160</v>
      </c>
      <c r="CA31" s="650" t="n">
        <v>46160</v>
      </c>
      <c r="CB31" s="652" t="inlineStr">
        <is>
          <t>USOU</t>
        </is>
      </c>
      <c r="CC31" s="6" t="n"/>
      <c r="CD31" s="35" t="inlineStr">
        <is>
          <t>Pend.</t>
        </is>
      </c>
      <c r="CE31" s="653" t="n"/>
      <c r="CF31" s="12" t="inlineStr">
        <is>
          <t>Novo Pedido</t>
        </is>
      </c>
      <c r="CG31" s="4" t="n"/>
      <c r="CH31" s="654" t="n">
        <v>46156</v>
      </c>
      <c r="CI31" s="654" t="n">
        <v>46149</v>
      </c>
      <c r="CJ31" s="654" t="n">
        <v>46114</v>
      </c>
      <c r="CK31" s="710" t="n">
        <v>46065</v>
      </c>
      <c r="CL31" s="654" t="n">
        <v>46092</v>
      </c>
      <c r="CM31" s="654" t="n">
        <v>46092</v>
      </c>
      <c r="CN31" s="654" t="n">
        <v>46084</v>
      </c>
      <c r="CO31" s="711" t="n">
        <v>46045</v>
      </c>
      <c r="CP31" s="654" t="n">
        <v>46071</v>
      </c>
      <c r="CQ31" s="654" t="n">
        <v>46043</v>
      </c>
      <c r="CR31" s="654" t="n">
        <v>46029</v>
      </c>
      <c r="CS31" s="654" t="n">
        <v>46024</v>
      </c>
      <c r="CT31" s="655" t="n">
        <v>46041</v>
      </c>
      <c r="CU31" s="654" t="n">
        <v>46029</v>
      </c>
      <c r="CV31" s="654" t="n">
        <v>46024</v>
      </c>
      <c r="CW31" s="654" t="n">
        <v>46007</v>
      </c>
      <c r="CX31" s="654" t="n">
        <v>46001</v>
      </c>
      <c r="CY31" s="654" t="n">
        <v>45994</v>
      </c>
      <c r="CZ31" s="654" t="n">
        <v>45986</v>
      </c>
      <c r="DA31" s="654" t="n">
        <v>45986</v>
      </c>
      <c r="DB31" s="654" t="n">
        <v>45980</v>
      </c>
      <c r="DC31" s="654" t="n">
        <v>45980</v>
      </c>
      <c r="DD31" s="654" t="n">
        <v>45973</v>
      </c>
      <c r="DE31" s="654" t="n">
        <v>45973</v>
      </c>
      <c r="DF31" s="654" t="n">
        <v>45965</v>
      </c>
      <c r="DG31" s="654" t="n">
        <v>45965</v>
      </c>
      <c r="DH31" s="654" t="n">
        <v>45960</v>
      </c>
      <c r="DI31" s="654" t="n">
        <v>45951</v>
      </c>
      <c r="DJ31" s="654" t="n">
        <v>45937</v>
      </c>
      <c r="DK31" s="654" t="n">
        <v>45931</v>
      </c>
      <c r="DL31" s="678" t="n">
        <v>45903</v>
      </c>
      <c r="DM31" s="688" t="n">
        <v>45931</v>
      </c>
      <c r="DN31" s="654" t="n">
        <v>45923</v>
      </c>
      <c r="DO31" s="654" t="n">
        <v>45909</v>
      </c>
      <c r="DP31" s="654" t="n">
        <v>45915</v>
      </c>
      <c r="DQ31" s="654" t="n">
        <v>45909</v>
      </c>
      <c r="DR31" s="654" t="n">
        <v>45903</v>
      </c>
      <c r="DS31" s="654" t="n">
        <v>45895</v>
      </c>
      <c r="DT31" s="654" t="n">
        <v>45895</v>
      </c>
      <c r="DU31" s="679" t="n">
        <v>45896</v>
      </c>
      <c r="DV31" s="654" t="n">
        <v>45888</v>
      </c>
      <c r="DW31" s="654" t="n">
        <v>45881</v>
      </c>
      <c r="DX31" s="654" t="n">
        <v>45881</v>
      </c>
      <c r="DY31" s="654" t="n">
        <v>45874</v>
      </c>
      <c r="DZ31" s="655" t="n">
        <v>45882</v>
      </c>
      <c r="EA31" s="655" t="n">
        <v>45881</v>
      </c>
      <c r="EB31" s="654" t="n">
        <v>45867</v>
      </c>
      <c r="EC31" s="654" t="n">
        <v>45860</v>
      </c>
      <c r="ED31" s="654" t="n">
        <v>45860</v>
      </c>
      <c r="EE31" s="655" t="n">
        <v>45860</v>
      </c>
      <c r="EF31" s="654" t="n">
        <v>45848</v>
      </c>
      <c r="EG31" s="681" t="n">
        <v>45853</v>
      </c>
      <c r="EH31" s="654" t="n">
        <v>45839</v>
      </c>
      <c r="EI31" s="654" t="n">
        <v>45825</v>
      </c>
      <c r="EJ31" s="681" t="n">
        <v>45791</v>
      </c>
      <c r="EK31" s="655" t="n">
        <v>45826</v>
      </c>
      <c r="EL31" s="654" t="n">
        <v>45813</v>
      </c>
      <c r="EM31" s="655" t="n">
        <v>45819</v>
      </c>
      <c r="EN31" s="654" t="n">
        <v>45805</v>
      </c>
      <c r="EO31" s="654" t="n">
        <v>45783</v>
      </c>
      <c r="EP31" s="655" t="n">
        <v>45807</v>
      </c>
      <c r="EQ31" s="654" t="n">
        <v>45790</v>
      </c>
      <c r="ER31" s="690" t="n">
        <v>45800</v>
      </c>
      <c r="ES31" s="650" t="n">
        <v>45799</v>
      </c>
      <c r="ET31" s="655" t="n">
        <v>45798</v>
      </c>
      <c r="EU31" s="654" t="n">
        <v>45783</v>
      </c>
      <c r="EV31" s="654" t="n">
        <v>45783</v>
      </c>
      <c r="EW31" s="654" t="n">
        <v>45775</v>
      </c>
      <c r="EX31" s="654" t="n">
        <v>45770</v>
      </c>
      <c r="EY31" s="654" t="n">
        <v>45743</v>
      </c>
      <c r="EZ31" s="683" t="n">
        <v>45735</v>
      </c>
      <c r="FA31" s="655" t="n">
        <v>45775</v>
      </c>
      <c r="FB31" s="654" t="n">
        <v>45756</v>
      </c>
      <c r="FC31" s="654" t="n">
        <v>45749</v>
      </c>
      <c r="FD31" s="654" t="n">
        <v>45743</v>
      </c>
      <c r="FE31" s="654" t="n">
        <v>45743</v>
      </c>
      <c r="FF31" s="650" t="n">
        <v>45741</v>
      </c>
      <c r="FG31" s="654" t="n">
        <v>45728</v>
      </c>
      <c r="FH31" s="654" t="n">
        <v>45728</v>
      </c>
      <c r="FI31" s="654" t="n">
        <v>45722</v>
      </c>
      <c r="FJ31" s="654" t="n">
        <v>45714</v>
      </c>
      <c r="FK31" s="654" t="n">
        <v>45706</v>
      </c>
      <c r="FL31" s="650" t="n">
        <v>45700</v>
      </c>
      <c r="FM31" s="654" t="n">
        <v>45699</v>
      </c>
      <c r="FN31" s="654" t="n">
        <v>45706</v>
      </c>
      <c r="FO31" s="654" t="n">
        <v>45693</v>
      </c>
      <c r="FP31" s="654" t="n">
        <v>45685</v>
      </c>
      <c r="FQ31" s="654" t="n">
        <v>45679</v>
      </c>
      <c r="FR31" s="654" t="n">
        <v>45660</v>
      </c>
      <c r="FS31" s="654" t="n">
        <v>45674</v>
      </c>
      <c r="FT31" s="655" t="n">
        <v>45672</v>
      </c>
      <c r="FU31" s="654" t="n">
        <v>45652</v>
      </c>
      <c r="FV31" s="655" t="n">
        <v>45670</v>
      </c>
      <c r="FW31" s="654" t="n">
        <v>45664</v>
      </c>
      <c r="FX31" s="654" t="n">
        <v>45660</v>
      </c>
      <c r="FY31" s="654" t="n">
        <v>45660</v>
      </c>
    </row>
    <row r="32" ht="18.75" customFormat="1" customHeight="1" s="3">
      <c r="A32" s="33" t="inlineStr">
        <is>
          <t>KIT PAPEL DE SEDA (20 c/ 25 un)</t>
        </is>
      </c>
      <c r="B32" s="9" t="n">
        <v>500</v>
      </c>
      <c r="C32" s="662" t="n">
        <v>99.26000000000001</v>
      </c>
      <c r="D32" s="329" t="n">
        <v>10</v>
      </c>
      <c r="E32" s="642" t="n"/>
      <c r="F32" s="38" t="n">
        <v>20</v>
      </c>
      <c r="G32" s="38" t="n">
        <v>20</v>
      </c>
      <c r="H32" s="38" t="n">
        <v>20</v>
      </c>
      <c r="I32" s="38" t="n">
        <v>20</v>
      </c>
      <c r="J32" s="38" t="n">
        <v>20</v>
      </c>
      <c r="K32" s="38" t="n">
        <v>20</v>
      </c>
      <c r="L32" s="38" t="n">
        <v>20</v>
      </c>
      <c r="M32" s="38" t="n">
        <v>20</v>
      </c>
      <c r="N32" s="38" t="n">
        <v>20</v>
      </c>
      <c r="O32" s="38" t="n">
        <v>20</v>
      </c>
      <c r="P32" s="38" t="n">
        <v>20</v>
      </c>
      <c r="Q32" s="38" t="n">
        <v>20</v>
      </c>
      <c r="R32" s="38" t="n">
        <v>20</v>
      </c>
      <c r="S32" s="38" t="n">
        <v>20</v>
      </c>
      <c r="T32" s="38" t="n">
        <v>20</v>
      </c>
      <c r="U32" s="38" t="n">
        <v>20</v>
      </c>
      <c r="V32" s="38" t="n">
        <v>20</v>
      </c>
      <c r="W32" s="38" t="n">
        <v>20</v>
      </c>
      <c r="X32" s="38" t="n">
        <v>20</v>
      </c>
      <c r="Y32" s="38" t="n">
        <v>20</v>
      </c>
      <c r="Z32" s="38" t="n">
        <v>20</v>
      </c>
      <c r="AA32" s="38" t="n">
        <v>20</v>
      </c>
      <c r="AB32" s="38" t="n">
        <v>20</v>
      </c>
      <c r="AC32" s="38" t="n">
        <v>20</v>
      </c>
      <c r="AD32" s="38" t="n">
        <v>20</v>
      </c>
      <c r="AE32" s="38" t="n">
        <v>20</v>
      </c>
      <c r="AF32" s="38" t="n">
        <v>20</v>
      </c>
      <c r="AG32" s="38" t="n">
        <v>20</v>
      </c>
      <c r="AH32" s="38" t="n">
        <v>20</v>
      </c>
      <c r="AI32" s="38" t="n">
        <v>40</v>
      </c>
      <c r="AJ32" s="38" t="n">
        <v>40</v>
      </c>
      <c r="AK32" s="38" t="n">
        <v>40</v>
      </c>
      <c r="AL32" s="38" t="n">
        <v>40</v>
      </c>
      <c r="AM32" s="38" t="n">
        <v>40</v>
      </c>
      <c r="AN32" s="38" t="n">
        <v>40</v>
      </c>
      <c r="AO32" s="38" t="n">
        <v>40</v>
      </c>
      <c r="AP32" s="38" t="n">
        <v>40</v>
      </c>
      <c r="AQ32" s="38" t="n">
        <v>40</v>
      </c>
      <c r="AR32" s="38" t="n">
        <v>40</v>
      </c>
      <c r="AS32" s="38" t="n">
        <v>40</v>
      </c>
      <c r="AT32" s="38" t="n">
        <v>40</v>
      </c>
      <c r="AU32" s="38" t="n">
        <v>40</v>
      </c>
      <c r="AV32" s="261" t="n">
        <v>20</v>
      </c>
      <c r="AW32" s="261" t="n">
        <v>20</v>
      </c>
      <c r="AX32" s="261" t="n">
        <v>20</v>
      </c>
      <c r="AY32" s="261" t="n">
        <v>20</v>
      </c>
      <c r="AZ32" s="38" t="n">
        <v>20</v>
      </c>
      <c r="BA32" s="38" t="n">
        <v>20</v>
      </c>
      <c r="BB32" s="38" t="n">
        <v>20</v>
      </c>
      <c r="BC32" s="38" t="n">
        <v>20</v>
      </c>
      <c r="BD32" s="38" t="n">
        <v>20</v>
      </c>
      <c r="BE32" s="38" t="n">
        <v>20</v>
      </c>
      <c r="BF32" s="38" t="n">
        <v>20</v>
      </c>
      <c r="BG32" s="38" t="n">
        <v>20</v>
      </c>
      <c r="BH32" s="38" t="n">
        <v>20</v>
      </c>
      <c r="BI32" s="38" t="n">
        <v>20</v>
      </c>
      <c r="BJ32" s="38" t="n">
        <v>20</v>
      </c>
      <c r="BK32" s="38" t="n">
        <v>20</v>
      </c>
      <c r="BL32" s="38" t="n">
        <v>19</v>
      </c>
      <c r="BM32" s="38" t="n">
        <v>19</v>
      </c>
      <c r="BN32" s="38" t="n">
        <v>19</v>
      </c>
      <c r="BO32" s="38" t="n">
        <v>19</v>
      </c>
      <c r="BP32" s="38" t="n">
        <v>19</v>
      </c>
      <c r="BQ32" s="38" t="n">
        <v>19</v>
      </c>
      <c r="BR32" s="261" t="n">
        <v>9</v>
      </c>
      <c r="BS32" s="38" t="n">
        <v>9</v>
      </c>
      <c r="BT32" s="38" t="n"/>
      <c r="BU32" s="38" t="n"/>
      <c r="BV32" s="38" t="n"/>
      <c r="BW32" s="38" t="n">
        <v>9</v>
      </c>
      <c r="BX32" s="38" t="n">
        <v>9</v>
      </c>
      <c r="BY32" s="38" t="n">
        <v>8</v>
      </c>
      <c r="BZ32" s="38" t="n">
        <v>8</v>
      </c>
      <c r="CA32" s="38" t="n">
        <v>8</v>
      </c>
      <c r="CB32" s="154">
        <f>BZ32+IF(NOT(ISBLANK(OFFSET(CB32,0,6))),N(OFFSET(CB32,0,6)),N(OFFSET(CB32,0,7)))-CA32</f>
        <v/>
      </c>
      <c r="CC32" s="6" t="n"/>
      <c r="CD32" s="19" t="n"/>
      <c r="CE32" s="4" t="n"/>
      <c r="CF32" s="65" t="n"/>
      <c r="CG32" s="4" t="n"/>
      <c r="CH32" s="18" t="n">
        <v>0</v>
      </c>
      <c r="CI32" s="18" t="n">
        <v>0</v>
      </c>
      <c r="CJ32" s="18" t="n"/>
      <c r="CK32" s="18" t="n"/>
      <c r="CL32" s="18" t="n"/>
      <c r="CM32" s="18" t="n"/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256" t="n"/>
      <c r="DM32" s="256" t="n"/>
      <c r="DN32" s="18" t="n"/>
      <c r="DO32" s="18" t="n"/>
      <c r="DP32" s="18" t="n"/>
      <c r="DQ32" s="18" t="n"/>
      <c r="DR32" s="18" t="n"/>
      <c r="DS32" s="18" t="n"/>
      <c r="DT32" s="18" t="n"/>
      <c r="DU32" s="18" t="n"/>
      <c r="DV32" s="18" t="n"/>
      <c r="DW32" s="18" t="n"/>
      <c r="DX32" s="18" t="n"/>
      <c r="DY32" s="18" t="n"/>
      <c r="DZ32" s="18" t="n"/>
      <c r="EA32" s="18" t="n"/>
      <c r="EB32" s="18" t="n"/>
      <c r="EC32" s="18" t="n"/>
      <c r="ED32" s="18" t="n"/>
      <c r="EE32" s="18" t="n"/>
      <c r="EF32" s="18" t="n"/>
      <c r="EG32" s="292" t="inlineStr">
        <is>
          <t>30 DE ER PG</t>
        </is>
      </c>
      <c r="EH32" s="18" t="n"/>
      <c r="EI32" s="18" t="n"/>
      <c r="EJ32" s="256" t="n"/>
      <c r="EK32" s="18" t="n"/>
      <c r="EL32" s="18" t="n"/>
      <c r="EM32" s="18" t="n"/>
      <c r="EN32" s="18" t="n"/>
      <c r="EO32" s="18" t="n"/>
      <c r="EP32" s="18" t="n"/>
      <c r="EQ32" s="18" t="n"/>
      <c r="ER32" s="256" t="n"/>
      <c r="ES32" s="256" t="n"/>
      <c r="ET32" s="18" t="n"/>
      <c r="EU32" s="18" t="n"/>
      <c r="EV32" s="18" t="n"/>
      <c r="EW32" s="18" t="n"/>
      <c r="EX32" s="18" t="n"/>
      <c r="EY32" s="18" t="n"/>
      <c r="EZ32" s="256" t="n">
        <v>10</v>
      </c>
      <c r="FA32" s="18" t="n"/>
      <c r="FB32" s="18" t="n"/>
      <c r="FC32" s="18" t="n"/>
      <c r="FD32" s="18" t="n"/>
      <c r="FE32" s="18" t="n"/>
      <c r="FF32" s="256" t="n"/>
      <c r="FG32" s="18" t="n"/>
      <c r="FH32" s="18" t="n"/>
      <c r="FI32" s="18" t="n"/>
      <c r="FJ32" s="18" t="n"/>
      <c r="FK32" s="18" t="n"/>
      <c r="FL32" s="256" t="n">
        <v>10</v>
      </c>
      <c r="FM32" s="18" t="n"/>
      <c r="FN32" s="18" t="n"/>
      <c r="FO32" s="18" t="n"/>
      <c r="FP32" s="18" t="n"/>
      <c r="FQ32" s="18" t="n"/>
      <c r="FR32" s="18" t="n"/>
      <c r="FS32" s="18" t="n"/>
      <c r="FT32" s="18" t="n"/>
      <c r="FU32" s="18" t="n"/>
      <c r="FV32" s="18" t="n"/>
      <c r="FW32" s="18" t="n"/>
      <c r="FX32" s="18" t="n"/>
      <c r="FY32" s="18" t="n"/>
    </row>
    <row r="33" ht="18.75" customFormat="1" customHeight="1" s="3">
      <c r="A33" s="33" t="inlineStr">
        <is>
          <t>KIT ETIQ (50 c/ 50 un)</t>
        </is>
      </c>
      <c r="B33" s="9" t="n">
        <v>2500</v>
      </c>
      <c r="C33" s="662" t="n">
        <v>69.20999999999999</v>
      </c>
      <c r="D33" s="329" t="n">
        <v>10</v>
      </c>
      <c r="E33" s="642" t="n"/>
      <c r="F33" s="38" t="n">
        <v>50</v>
      </c>
      <c r="G33" s="38" t="n">
        <v>50</v>
      </c>
      <c r="H33" s="38" t="n">
        <v>50</v>
      </c>
      <c r="I33" s="38" t="n">
        <v>50</v>
      </c>
      <c r="J33" s="38" t="n">
        <v>50</v>
      </c>
      <c r="K33" s="38" t="n">
        <v>50</v>
      </c>
      <c r="L33" s="38" t="n">
        <v>50</v>
      </c>
      <c r="M33" s="38" t="n">
        <v>50</v>
      </c>
      <c r="N33" s="38" t="n">
        <v>50</v>
      </c>
      <c r="O33" s="38" t="n">
        <v>50</v>
      </c>
      <c r="P33" s="38" t="n">
        <v>50</v>
      </c>
      <c r="Q33" s="38" t="n">
        <v>0</v>
      </c>
      <c r="R33" s="38" t="n">
        <v>0</v>
      </c>
      <c r="S33" s="38" t="n">
        <v>0</v>
      </c>
      <c r="T33" s="38" t="n">
        <v>50</v>
      </c>
      <c r="U33" s="38" t="n">
        <v>50</v>
      </c>
      <c r="V33" s="38" t="n">
        <v>50</v>
      </c>
      <c r="W33" s="38" t="n">
        <v>50</v>
      </c>
      <c r="X33" s="38" t="n">
        <v>50</v>
      </c>
      <c r="Y33" s="261" t="n">
        <v>0</v>
      </c>
      <c r="Z33" s="261" t="n">
        <v>0</v>
      </c>
      <c r="AA33" s="261" t="n">
        <v>0</v>
      </c>
      <c r="AB33" s="38" t="n">
        <v>100</v>
      </c>
      <c r="AC33" s="38" t="n">
        <v>100</v>
      </c>
      <c r="AD33" s="38" t="n">
        <v>100</v>
      </c>
      <c r="AE33" s="38" t="n">
        <v>100</v>
      </c>
      <c r="AF33" s="38" t="n">
        <v>100</v>
      </c>
      <c r="AG33" s="38" t="n">
        <v>100</v>
      </c>
      <c r="AH33" s="38" t="n">
        <v>100</v>
      </c>
      <c r="AI33" s="38" t="n">
        <v>100</v>
      </c>
      <c r="AJ33" s="38" t="n">
        <v>100</v>
      </c>
      <c r="AK33" s="38" t="n">
        <v>100</v>
      </c>
      <c r="AL33" s="38" t="n">
        <v>100</v>
      </c>
      <c r="AM33" s="38" t="n">
        <v>100</v>
      </c>
      <c r="AN33" s="38" t="n">
        <v>100</v>
      </c>
      <c r="AO33" s="38" t="n">
        <v>100</v>
      </c>
      <c r="AP33" s="38" t="n">
        <v>100</v>
      </c>
      <c r="AQ33" s="38" t="n">
        <v>100</v>
      </c>
      <c r="AR33" s="38" t="n">
        <v>100</v>
      </c>
      <c r="AS33" s="38" t="n">
        <v>100</v>
      </c>
      <c r="AT33" s="38" t="n">
        <v>100</v>
      </c>
      <c r="AU33" s="38" t="n">
        <v>100</v>
      </c>
      <c r="AV33" s="261" t="n">
        <v>60</v>
      </c>
      <c r="AW33" s="261" t="n">
        <v>60</v>
      </c>
      <c r="AX33" s="261" t="n">
        <v>60</v>
      </c>
      <c r="AY33" s="261" t="n">
        <v>60</v>
      </c>
      <c r="AZ33" s="38" t="n">
        <v>60</v>
      </c>
      <c r="BA33" s="38" t="n">
        <v>59</v>
      </c>
      <c r="BB33" s="38" t="n">
        <v>59</v>
      </c>
      <c r="BC33" s="38" t="n">
        <v>59</v>
      </c>
      <c r="BD33" s="38" t="n">
        <v>59</v>
      </c>
      <c r="BE33" s="38" t="n">
        <v>59</v>
      </c>
      <c r="BF33" s="38" t="n">
        <v>59</v>
      </c>
      <c r="BG33" s="38" t="n">
        <v>59</v>
      </c>
      <c r="BH33" s="38" t="n">
        <v>59</v>
      </c>
      <c r="BI33" s="38" t="n">
        <v>59</v>
      </c>
      <c r="BJ33" s="38" t="n">
        <v>9</v>
      </c>
      <c r="BK33" s="38" t="n">
        <v>9</v>
      </c>
      <c r="BL33" s="38" t="n">
        <v>9</v>
      </c>
      <c r="BM33" s="38" t="n">
        <v>9</v>
      </c>
      <c r="BN33" s="38" t="n">
        <v>9</v>
      </c>
      <c r="BO33" s="38" t="n">
        <v>9</v>
      </c>
      <c r="BP33" s="38" t="n">
        <v>9</v>
      </c>
      <c r="BQ33" s="38" t="n">
        <v>9</v>
      </c>
      <c r="BR33" s="38" t="n">
        <v>3</v>
      </c>
      <c r="BS33" s="38" t="n">
        <v>1</v>
      </c>
      <c r="BT33" s="38" t="n"/>
      <c r="BU33" s="38" t="n"/>
      <c r="BV33" s="38" t="n"/>
      <c r="BW33" s="38" t="n">
        <v>1</v>
      </c>
      <c r="BX33" s="38" t="n">
        <v>1</v>
      </c>
      <c r="BY33" s="38" t="n">
        <v>1</v>
      </c>
      <c r="BZ33" s="38" t="n">
        <v>1</v>
      </c>
      <c r="CA33" s="38" t="n">
        <v>1</v>
      </c>
      <c r="CB33" s="154">
        <f>BZ33+IF(NOT(ISBLANK(OFFSET(CB33,0,6))),N(OFFSET(CB33,0,6)),N(OFFSET(CB33,0,7)))-CA33</f>
        <v/>
      </c>
      <c r="CC33" s="6" t="n"/>
      <c r="CD33" s="19" t="n"/>
      <c r="CE33" s="4" t="n"/>
      <c r="CF33" s="65" t="n"/>
      <c r="CG33" s="4" t="n"/>
      <c r="CH33" s="18" t="n">
        <v>0</v>
      </c>
      <c r="CI33" s="18" t="n">
        <v>0</v>
      </c>
      <c r="CJ33" s="18" t="n"/>
      <c r="CK33" s="18" t="n"/>
      <c r="CL33" s="18" t="n"/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256" t="n">
        <v>100</v>
      </c>
      <c r="DM33" s="256" t="n"/>
      <c r="DN33" s="18" t="n"/>
      <c r="DO33" s="18" t="n"/>
      <c r="DP33" s="18" t="n"/>
      <c r="DQ33" s="18" t="n"/>
      <c r="DR33" s="18" t="n"/>
      <c r="DS33" s="18" t="n"/>
      <c r="DT33" s="18" t="n"/>
      <c r="DU33" s="18" t="n"/>
      <c r="DV33" s="18" t="n"/>
      <c r="DW33" s="18" t="n"/>
      <c r="DX33" s="18" t="n"/>
      <c r="DY33" s="18" t="n"/>
      <c r="DZ33" s="18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18" t="n"/>
      <c r="EP33" s="18" t="n"/>
      <c r="EQ33" s="18" t="n"/>
      <c r="ER33" s="312" t="inlineStr">
        <is>
          <t>05 DE ER PG</t>
        </is>
      </c>
      <c r="ES33" s="256" t="n"/>
      <c r="ET33" s="18" t="n"/>
      <c r="EU33" s="18" t="n"/>
      <c r="EV33" s="18" t="n"/>
      <c r="EW33" s="18" t="n"/>
      <c r="EX33" s="18" t="n"/>
      <c r="EY33" s="18" t="n"/>
      <c r="EZ33" s="256" t="n"/>
      <c r="FA33" s="18" t="n"/>
      <c r="FB33" s="18" t="n"/>
      <c r="FC33" s="18" t="n"/>
      <c r="FD33" s="18" t="n">
        <v>50</v>
      </c>
      <c r="FE33" s="18" t="n"/>
      <c r="FF33" s="256" t="n"/>
      <c r="FG33" s="18" t="n"/>
      <c r="FH33" s="18" t="n"/>
      <c r="FI33" s="18" t="n"/>
      <c r="FJ33" s="18" t="n"/>
      <c r="FK33" s="18" t="n"/>
      <c r="FL33" s="256" t="n"/>
      <c r="FM33" s="18" t="n"/>
      <c r="FN33" s="18" t="n"/>
      <c r="FO33" s="18" t="n"/>
      <c r="FP33" s="18" t="n"/>
      <c r="FQ33" s="18" t="n"/>
      <c r="FR33" s="18" t="n"/>
      <c r="FS33" s="18" t="n"/>
      <c r="FT33" s="18" t="n"/>
      <c r="FU33" s="18" t="n"/>
      <c r="FV33" s="18" t="n"/>
      <c r="FW33" s="18" t="n"/>
      <c r="FX33" s="18" t="n"/>
      <c r="FY33" s="18" t="n"/>
    </row>
    <row r="34" ht="18.75" customFormat="1" customHeight="1" s="3">
      <c r="A34" s="33" t="inlineStr">
        <is>
          <t>KIT TAGS  (21 c/ 50 un)</t>
        </is>
      </c>
      <c r="B34" s="9" t="n">
        <v>1050</v>
      </c>
      <c r="C34" s="662" t="n">
        <v>53.96</v>
      </c>
      <c r="D34" s="329" t="n">
        <v>10</v>
      </c>
      <c r="E34" s="2" t="n"/>
      <c r="F34" s="38" t="n">
        <v>21</v>
      </c>
      <c r="G34" s="38" t="n">
        <v>21</v>
      </c>
      <c r="H34" s="38" t="n">
        <v>21</v>
      </c>
      <c r="I34" s="38" t="n">
        <v>21</v>
      </c>
      <c r="J34" s="38" t="n">
        <v>21</v>
      </c>
      <c r="K34" s="38" t="n">
        <v>21</v>
      </c>
      <c r="L34" s="38" t="n">
        <v>21</v>
      </c>
      <c r="M34" s="38" t="n">
        <v>21</v>
      </c>
      <c r="N34" s="38" t="n">
        <v>21</v>
      </c>
      <c r="O34" s="38" t="n">
        <v>21</v>
      </c>
      <c r="P34" s="38" t="n">
        <v>21</v>
      </c>
      <c r="Q34" s="38" t="n">
        <v>0</v>
      </c>
      <c r="R34" s="38" t="n">
        <v>0</v>
      </c>
      <c r="S34" s="38" t="n">
        <v>0</v>
      </c>
      <c r="T34" s="38" t="n">
        <v>21</v>
      </c>
      <c r="U34" s="38" t="n">
        <v>21</v>
      </c>
      <c r="V34" s="38" t="n">
        <v>21</v>
      </c>
      <c r="W34" s="38" t="n">
        <v>21</v>
      </c>
      <c r="X34" s="38" t="n">
        <v>21</v>
      </c>
      <c r="Y34" s="261" t="n">
        <v>0</v>
      </c>
      <c r="Z34" s="261" t="n">
        <v>0</v>
      </c>
      <c r="AA34" s="261" t="n">
        <v>0</v>
      </c>
      <c r="AB34" s="38" t="n">
        <v>42</v>
      </c>
      <c r="AC34" s="38" t="n">
        <v>42</v>
      </c>
      <c r="AD34" s="38" t="n">
        <v>42</v>
      </c>
      <c r="AE34" s="38" t="n">
        <v>42</v>
      </c>
      <c r="AF34" s="38" t="n">
        <v>42</v>
      </c>
      <c r="AG34" s="38" t="n">
        <v>42</v>
      </c>
      <c r="AH34" s="38" t="n">
        <v>41</v>
      </c>
      <c r="AI34" s="38" t="n">
        <v>41</v>
      </c>
      <c r="AJ34" s="38" t="n">
        <v>41</v>
      </c>
      <c r="AK34" s="38" t="n">
        <v>41</v>
      </c>
      <c r="AL34" s="38" t="n">
        <v>41</v>
      </c>
      <c r="AM34" s="38" t="n">
        <v>41</v>
      </c>
      <c r="AN34" s="38" t="n">
        <v>41</v>
      </c>
      <c r="AO34" s="38" t="n">
        <v>41</v>
      </c>
      <c r="AP34" s="38" t="n">
        <v>41</v>
      </c>
      <c r="AQ34" s="38" t="n">
        <v>41</v>
      </c>
      <c r="AR34" s="38" t="n">
        <v>41</v>
      </c>
      <c r="AS34" s="38" t="n">
        <v>41</v>
      </c>
      <c r="AT34" s="38" t="n">
        <v>41</v>
      </c>
      <c r="AU34" s="38" t="n">
        <v>41</v>
      </c>
      <c r="AV34" s="261" t="n">
        <v>30</v>
      </c>
      <c r="AW34" s="261" t="n">
        <v>30</v>
      </c>
      <c r="AX34" s="261" t="n">
        <v>30</v>
      </c>
      <c r="AY34" s="261" t="n">
        <v>30</v>
      </c>
      <c r="AZ34" s="38" t="n">
        <v>30</v>
      </c>
      <c r="BA34" s="38" t="n">
        <v>30</v>
      </c>
      <c r="BB34" s="38" t="n">
        <v>29</v>
      </c>
      <c r="BC34" s="38" t="n">
        <v>29</v>
      </c>
      <c r="BD34" s="38" t="n">
        <v>29</v>
      </c>
      <c r="BE34" s="38" t="n">
        <v>29</v>
      </c>
      <c r="BF34" s="38" t="n">
        <v>29</v>
      </c>
      <c r="BG34" s="38" t="n">
        <v>29</v>
      </c>
      <c r="BH34" s="38" t="n">
        <v>29</v>
      </c>
      <c r="BI34" s="38" t="n">
        <v>29</v>
      </c>
      <c r="BJ34" s="38" t="n">
        <v>40</v>
      </c>
      <c r="BK34" s="38" t="n">
        <v>40</v>
      </c>
      <c r="BL34" s="38" t="n">
        <v>40</v>
      </c>
      <c r="BM34" s="38" t="n">
        <v>40</v>
      </c>
      <c r="BN34" s="38" t="n">
        <v>40</v>
      </c>
      <c r="BO34" s="38" t="n">
        <v>40</v>
      </c>
      <c r="BP34" s="38" t="n">
        <v>40</v>
      </c>
      <c r="BQ34" s="38" t="n">
        <v>40</v>
      </c>
      <c r="BR34" s="38" t="n">
        <v>40</v>
      </c>
      <c r="BS34" s="38" t="n">
        <v>40</v>
      </c>
      <c r="BT34" s="38" t="n"/>
      <c r="BU34" s="38" t="n"/>
      <c r="BV34" s="38" t="n"/>
      <c r="BW34" s="38" t="n">
        <v>38</v>
      </c>
      <c r="BX34" s="38" t="n">
        <v>38</v>
      </c>
      <c r="BY34" s="38" t="n">
        <v>38</v>
      </c>
      <c r="BZ34" s="38" t="n">
        <v>38</v>
      </c>
      <c r="CA34" s="38" t="n">
        <v>38</v>
      </c>
      <c r="CB34" s="154">
        <f>BZ34+IF(NOT(ISBLANK(OFFSET(CB34,0,6))),N(OFFSET(CB34,0,6)),N(OFFSET(CB34,0,7)))-CA34</f>
        <v/>
      </c>
      <c r="CC34" s="6" t="n"/>
      <c r="CD34" s="19" t="n"/>
      <c r="CE34" s="4" t="n"/>
      <c r="CF34" s="65" t="n"/>
      <c r="CG34" s="4" t="n"/>
      <c r="CH34" s="18" t="n">
        <v>0</v>
      </c>
      <c r="CI34" s="18" t="n">
        <v>0</v>
      </c>
      <c r="CJ34" s="18" t="n"/>
      <c r="CK34" s="18" t="n"/>
      <c r="CL34" s="18" t="n"/>
      <c r="CM34" s="18" t="n"/>
      <c r="CN34" s="18" t="n"/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8" t="n"/>
      <c r="DA34" s="18" t="n"/>
      <c r="DB34" s="18" t="n"/>
      <c r="DC34" s="18" t="n"/>
      <c r="DD34" s="18" t="n"/>
      <c r="DE34" s="18" t="n"/>
      <c r="DF34" s="18" t="n"/>
      <c r="DG34" s="18" t="n"/>
      <c r="DH34" s="18" t="n"/>
      <c r="DI34" s="18" t="n"/>
      <c r="DJ34" s="18" t="n"/>
      <c r="DK34" s="18" t="n"/>
      <c r="DL34" s="256" t="n"/>
      <c r="DM34" s="256" t="n"/>
      <c r="DN34" s="18" t="n"/>
      <c r="DO34" s="18" t="n"/>
      <c r="DP34" s="18" t="n"/>
      <c r="DQ34" s="18" t="n"/>
      <c r="DR34" s="18" t="n"/>
      <c r="DS34" s="18" t="n"/>
      <c r="DT34" s="18" t="n"/>
      <c r="DU34" s="18" t="n"/>
      <c r="DV34" s="18" t="n"/>
      <c r="DW34" s="18" t="n"/>
      <c r="DX34" s="18" t="n"/>
      <c r="DY34" s="18" t="n"/>
      <c r="DZ34" s="18" t="n"/>
      <c r="EA34" s="18" t="n"/>
      <c r="EB34" s="18" t="n"/>
      <c r="EC34" s="18" t="n"/>
      <c r="ED34" s="18" t="n"/>
      <c r="EE34" s="18" t="n"/>
      <c r="EF34" s="18" t="n"/>
      <c r="EG34" s="18" t="n"/>
      <c r="EH34" s="18" t="n"/>
      <c r="EI34" s="18" t="n"/>
      <c r="EJ34" s="18" t="n"/>
      <c r="EK34" s="18" t="n"/>
      <c r="EL34" s="18" t="n"/>
      <c r="EM34" s="18" t="n"/>
      <c r="EN34" s="18" t="n"/>
      <c r="EO34" s="18" t="n"/>
      <c r="EP34" s="18" t="n"/>
      <c r="EQ34" s="18" t="n"/>
      <c r="ER34" s="18" t="n"/>
      <c r="ES34" s="256" t="n"/>
      <c r="ET34" s="18" t="n"/>
      <c r="EU34" s="18" t="n"/>
      <c r="EV34" s="18" t="n"/>
      <c r="EW34" s="18" t="n"/>
      <c r="EX34" s="18" t="n"/>
      <c r="EY34" s="18" t="n"/>
      <c r="EZ34" s="18" t="n"/>
      <c r="FA34" s="18" t="n"/>
      <c r="FB34" s="18" t="n"/>
      <c r="FC34" s="18" t="n"/>
      <c r="FD34" s="18" t="n">
        <v>21</v>
      </c>
      <c r="FE34" s="18" t="n"/>
      <c r="FF34" s="256" t="n"/>
      <c r="FG34" s="18" t="n"/>
      <c r="FH34" s="18" t="n"/>
      <c r="FI34" s="18" t="n"/>
      <c r="FJ34" s="18" t="n"/>
      <c r="FK34" s="18" t="n"/>
      <c r="FL34" s="256" t="n"/>
      <c r="FM34" s="18" t="n"/>
      <c r="FN34" s="18" t="n"/>
      <c r="FO34" s="18" t="n"/>
      <c r="FP34" s="18" t="n"/>
      <c r="FQ34" s="18" t="n"/>
      <c r="FR34" s="18" t="n"/>
      <c r="FS34" s="18" t="n"/>
      <c r="FT34" s="18" t="n"/>
      <c r="FU34" s="18" t="n"/>
      <c r="FV34" s="18" t="n"/>
      <c r="FW34" s="18" t="n"/>
      <c r="FX34" s="18" t="n"/>
      <c r="FY34" s="18" t="n"/>
    </row>
    <row r="35" ht="18.75" customFormat="1" customHeight="1" s="3">
      <c r="A35" s="31" t="n"/>
      <c r="B35" s="2" t="n"/>
      <c r="C35" s="661" t="n"/>
      <c r="D35" s="398" t="n"/>
      <c r="E35" s="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00" t="n"/>
      <c r="Z35" s="400" t="n"/>
      <c r="AA35" s="400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CD35" s="26" t="n"/>
      <c r="CE35" s="4" t="n"/>
      <c r="CF35" s="108" t="n"/>
      <c r="CG35" s="4" t="n"/>
      <c r="CH35" s="17" t="n"/>
      <c r="CI35" s="17" t="n"/>
      <c r="CJ35" s="17" t="n"/>
      <c r="CK35" s="17" t="n"/>
      <c r="CL35" s="17" t="n"/>
      <c r="CM35" s="17" t="n"/>
      <c r="CN35" s="17" t="n"/>
      <c r="CO35" s="17" t="n"/>
      <c r="CP35" s="17" t="n"/>
      <c r="CQ35" s="17" t="n"/>
      <c r="CR35" s="17" t="n"/>
      <c r="CS35" s="17" t="n"/>
      <c r="CT35" s="17" t="n"/>
      <c r="CU35" s="17" t="n"/>
      <c r="CV35" s="17" t="n"/>
      <c r="CW35" s="17" t="n"/>
      <c r="CX35" s="17" t="n"/>
      <c r="CY35" s="17" t="n"/>
      <c r="CZ35" s="17" t="n"/>
      <c r="DA35" s="17" t="n"/>
      <c r="DB35" s="17" t="n"/>
      <c r="DC35" s="17" t="n"/>
      <c r="DD35" s="17" t="n"/>
      <c r="DE35" s="17" t="n"/>
      <c r="DF35" s="17" t="n"/>
      <c r="DG35" s="17" t="n"/>
      <c r="DH35" s="17" t="n"/>
      <c r="DI35" s="17" t="n"/>
      <c r="DJ35" s="17" t="n"/>
      <c r="DK35" s="17" t="n"/>
      <c r="DL35" s="256" t="n">
        <v>150</v>
      </c>
      <c r="DM35" s="271" t="n"/>
      <c r="DN35" s="17" t="n"/>
      <c r="DO35" s="1" t="n"/>
      <c r="DP35" s="1" t="n"/>
      <c r="DQ35" s="1" t="n"/>
      <c r="DR35" s="1" t="n"/>
      <c r="DS35" s="1" t="n"/>
      <c r="DT35" s="1" t="n"/>
      <c r="DU35" s="1" t="n"/>
      <c r="DV35" s="1" t="n"/>
      <c r="DW35" s="1" t="n"/>
      <c r="DX35" s="1" t="n"/>
      <c r="DY35" s="1" t="n"/>
      <c r="DZ35" s="1" t="n"/>
      <c r="EA35" s="1" t="n"/>
      <c r="EB35" s="1" t="n"/>
      <c r="EC35" s="1" t="n"/>
      <c r="ED35" s="1" t="n"/>
      <c r="EE35" s="1" t="n"/>
      <c r="EF35" s="1" t="n"/>
      <c r="EG35" s="1" t="n"/>
      <c r="EH35" s="1" t="n"/>
      <c r="EI35" s="1" t="n"/>
      <c r="EJ35" s="1" t="n"/>
      <c r="EK35" s="1" t="n"/>
      <c r="EL35" s="1" t="n"/>
      <c r="EM35" s="1" t="n"/>
      <c r="EN35" s="1" t="n"/>
      <c r="EO35" s="1" t="n"/>
      <c r="EP35" s="1" t="n"/>
      <c r="EQ35" s="1" t="n"/>
      <c r="ER35" s="1" t="n"/>
      <c r="ET35" s="1" t="n"/>
      <c r="EU35" s="1" t="n"/>
      <c r="EV35" s="1" t="n"/>
      <c r="EW35" s="1" t="n"/>
      <c r="EX35" s="1" t="n"/>
      <c r="EY35" s="1" t="n"/>
      <c r="EZ35" s="1" t="n"/>
      <c r="FA35" s="1" t="n"/>
      <c r="FB35" s="1" t="n"/>
      <c r="FC35" s="1" t="n"/>
      <c r="FD35" s="1" t="n"/>
      <c r="FE35" s="1" t="n"/>
      <c r="FG35" s="1" t="n"/>
      <c r="FH35" s="1" t="n"/>
      <c r="FI35" s="1" t="n"/>
      <c r="FJ35" s="1" t="n"/>
      <c r="FK35" s="1" t="n"/>
      <c r="FM35" s="1" t="n"/>
      <c r="FN35" s="1" t="n"/>
      <c r="FO35" s="1" t="n"/>
      <c r="FP35" s="1" t="n"/>
      <c r="FQ35" s="1" t="n"/>
      <c r="FR35" s="1" t="n"/>
      <c r="FS35" s="1" t="n"/>
      <c r="FT35" s="1" t="n"/>
      <c r="FU35" s="1" t="n"/>
      <c r="FV35" s="1" t="n"/>
      <c r="FW35" s="1" t="n"/>
      <c r="FX35" s="1" t="n"/>
      <c r="FY35" s="1" t="n"/>
    </row>
    <row r="36" ht="18.75" customFormat="1" customHeight="1" s="3">
      <c r="A36" s="32" t="inlineStr">
        <is>
          <t>CAIXAS BOTICÁRIO</t>
        </is>
      </c>
      <c r="B36" s="575" t="n"/>
      <c r="C36" s="575" t="n"/>
      <c r="D36" s="575" t="n"/>
      <c r="E36" s="2" t="n"/>
      <c r="F36" s="650" t="n">
        <v>45656</v>
      </c>
      <c r="G36" s="650" t="n">
        <v>45663</v>
      </c>
      <c r="H36" s="650" t="n">
        <v>45670</v>
      </c>
      <c r="I36" s="650" t="n">
        <v>45677</v>
      </c>
      <c r="J36" s="650" t="n">
        <v>45684</v>
      </c>
      <c r="K36" s="650" t="n">
        <v>45691</v>
      </c>
      <c r="L36" s="650" t="n">
        <v>45698</v>
      </c>
      <c r="M36" s="650" t="n">
        <v>45705</v>
      </c>
      <c r="N36" s="650" t="n">
        <v>45712</v>
      </c>
      <c r="O36" s="650" t="n">
        <v>45719</v>
      </c>
      <c r="P36" s="650" t="n">
        <v>45726</v>
      </c>
      <c r="Q36" s="650" t="n">
        <v>45733</v>
      </c>
      <c r="R36" s="650" t="n">
        <v>45740</v>
      </c>
      <c r="S36" s="650" t="n">
        <v>45747</v>
      </c>
      <c r="T36" s="650" t="n">
        <v>45754</v>
      </c>
      <c r="U36" s="650" t="n">
        <v>45761</v>
      </c>
      <c r="V36" s="650" t="n">
        <v>45768</v>
      </c>
      <c r="W36" s="650" t="n">
        <v>45775</v>
      </c>
      <c r="X36" s="650" t="n">
        <v>45782</v>
      </c>
      <c r="Y36" s="650" t="n">
        <v>45789</v>
      </c>
      <c r="Z36" s="650" t="n">
        <v>45796</v>
      </c>
      <c r="AA36" s="650" t="n">
        <v>45803</v>
      </c>
      <c r="AB36" s="650" t="n">
        <v>45810</v>
      </c>
      <c r="AC36" s="650" t="n">
        <v>45817</v>
      </c>
      <c r="AD36" s="650" t="n">
        <v>45824</v>
      </c>
      <c r="AE36" s="650" t="n">
        <v>45831</v>
      </c>
      <c r="AF36" s="650" t="n">
        <v>45838</v>
      </c>
      <c r="AG36" s="650" t="n">
        <v>45845</v>
      </c>
      <c r="AH36" s="650" t="n">
        <v>45852</v>
      </c>
      <c r="AI36" s="650" t="n">
        <v>45859</v>
      </c>
      <c r="AJ36" s="650" t="n">
        <v>45866</v>
      </c>
      <c r="AK36" s="650" t="n">
        <v>45873</v>
      </c>
      <c r="AL36" s="650" t="n">
        <v>45880</v>
      </c>
      <c r="AM36" s="650" t="n">
        <v>45887</v>
      </c>
      <c r="AN36" s="650" t="n">
        <v>45894</v>
      </c>
      <c r="AO36" s="650" t="n">
        <v>45901</v>
      </c>
      <c r="AP36" s="650" t="n">
        <v>45908</v>
      </c>
      <c r="AQ36" s="650" t="n">
        <v>45915</v>
      </c>
      <c r="AR36" s="650" t="n">
        <v>45922</v>
      </c>
      <c r="AS36" s="650" t="n">
        <v>45929</v>
      </c>
      <c r="AT36" s="650" t="n">
        <v>45936</v>
      </c>
      <c r="AU36" s="650" t="n">
        <v>45943</v>
      </c>
      <c r="AV36" s="650" t="n">
        <v>45950</v>
      </c>
      <c r="AW36" s="650" t="n">
        <v>45957</v>
      </c>
      <c r="AX36" s="650" t="n">
        <v>45964</v>
      </c>
      <c r="AY36" s="650" t="n">
        <v>45971</v>
      </c>
      <c r="AZ36" s="650" t="n">
        <v>45978</v>
      </c>
      <c r="BA36" s="650" t="n">
        <v>45985</v>
      </c>
      <c r="BB36" s="650" t="n">
        <v>45992</v>
      </c>
      <c r="BC36" s="650" t="n">
        <v>45999</v>
      </c>
      <c r="BD36" s="650" t="n">
        <v>46006</v>
      </c>
      <c r="BE36" s="650" t="n">
        <v>46013</v>
      </c>
      <c r="BF36" s="650" t="n">
        <v>46020</v>
      </c>
      <c r="BG36" s="650" t="n">
        <v>46027</v>
      </c>
      <c r="BH36" s="650" t="n">
        <v>46034</v>
      </c>
      <c r="BI36" s="650" t="n">
        <v>46041</v>
      </c>
      <c r="BJ36" s="650" t="n">
        <v>46048</v>
      </c>
      <c r="BK36" s="650" t="n">
        <v>46055</v>
      </c>
      <c r="BL36" s="650" t="n">
        <v>46062</v>
      </c>
      <c r="BM36" s="650" t="n">
        <v>46069</v>
      </c>
      <c r="BN36" s="650" t="n">
        <v>46076</v>
      </c>
      <c r="BO36" s="650" t="n">
        <v>46083</v>
      </c>
      <c r="BP36" s="650" t="n">
        <v>46090</v>
      </c>
      <c r="BQ36" s="650" t="n">
        <v>46097</v>
      </c>
      <c r="BR36" s="650" t="n">
        <v>46104</v>
      </c>
      <c r="BS36" s="650" t="n">
        <v>46111</v>
      </c>
      <c r="BT36" s="650" t="n">
        <v>46118</v>
      </c>
      <c r="BU36" s="650" t="n">
        <v>46125</v>
      </c>
      <c r="BV36" s="650" t="n">
        <v>46132</v>
      </c>
      <c r="BW36" s="650" t="n">
        <v>46139</v>
      </c>
      <c r="BX36" s="650" t="n">
        <v>46146</v>
      </c>
      <c r="BY36" s="650" t="n">
        <v>46154</v>
      </c>
      <c r="BZ36" s="650" t="n">
        <v>46160</v>
      </c>
      <c r="CA36" s="650" t="n">
        <v>46160</v>
      </c>
      <c r="CB36" s="652" t="inlineStr">
        <is>
          <t>USOU</t>
        </is>
      </c>
      <c r="CC36" s="6" t="n"/>
      <c r="CD36" s="35" t="inlineStr">
        <is>
          <t>Pend.</t>
        </is>
      </c>
      <c r="CE36" s="653" t="n"/>
      <c r="CF36" s="12" t="inlineStr">
        <is>
          <t>Novo Pedido</t>
        </is>
      </c>
      <c r="CG36" s="4" t="n"/>
      <c r="CH36" s="654" t="n">
        <v>46156</v>
      </c>
      <c r="CI36" s="654" t="n">
        <v>46149</v>
      </c>
      <c r="CJ36" s="654" t="n">
        <v>46114</v>
      </c>
      <c r="CK36" s="710" t="n">
        <v>46065</v>
      </c>
      <c r="CL36" s="654" t="n">
        <v>46092</v>
      </c>
      <c r="CM36" s="654" t="n">
        <v>46092</v>
      </c>
      <c r="CN36" s="654" t="n">
        <v>46084</v>
      </c>
      <c r="CO36" s="711" t="n">
        <v>46045</v>
      </c>
      <c r="CP36" s="654" t="n">
        <v>46071</v>
      </c>
      <c r="CQ36" s="654" t="n">
        <v>46043</v>
      </c>
      <c r="CR36" s="654" t="n">
        <v>46029</v>
      </c>
      <c r="CS36" s="654" t="n">
        <v>46024</v>
      </c>
      <c r="CT36" s="655" t="n">
        <v>46041</v>
      </c>
      <c r="CU36" s="654" t="n">
        <v>46029</v>
      </c>
      <c r="CV36" s="654" t="n">
        <v>46024</v>
      </c>
      <c r="CW36" s="654" t="n">
        <v>46007</v>
      </c>
      <c r="CX36" s="654" t="n">
        <v>46001</v>
      </c>
      <c r="CY36" s="654" t="n">
        <v>45994</v>
      </c>
      <c r="CZ36" s="654" t="n">
        <v>45986</v>
      </c>
      <c r="DA36" s="654" t="n">
        <v>45986</v>
      </c>
      <c r="DB36" s="654" t="n">
        <v>45980</v>
      </c>
      <c r="DC36" s="654" t="n">
        <v>45980</v>
      </c>
      <c r="DD36" s="654" t="n">
        <v>45973</v>
      </c>
      <c r="DE36" s="654" t="n">
        <v>45973</v>
      </c>
      <c r="DF36" s="654" t="n">
        <v>45965</v>
      </c>
      <c r="DG36" s="654" t="n">
        <v>45965</v>
      </c>
      <c r="DH36" s="654" t="n">
        <v>45960</v>
      </c>
      <c r="DI36" s="654" t="n">
        <v>45951</v>
      </c>
      <c r="DJ36" s="654" t="n">
        <v>45937</v>
      </c>
      <c r="DK36" s="654" t="n">
        <v>45931</v>
      </c>
      <c r="DL36" s="678" t="n">
        <v>45903</v>
      </c>
      <c r="DM36" s="688" t="n">
        <v>45931</v>
      </c>
      <c r="DN36" s="654" t="n">
        <v>45923</v>
      </c>
      <c r="DO36" s="18" t="n"/>
      <c r="DP36" s="18" t="n"/>
      <c r="DQ36" s="18" t="n"/>
      <c r="DR36" s="18" t="n"/>
      <c r="DS36" s="18" t="n"/>
      <c r="DT36" s="18" t="n"/>
      <c r="DU36" s="18" t="n"/>
      <c r="DV36" s="18" t="n"/>
      <c r="DW36" s="18" t="n"/>
      <c r="DX36" s="18" t="n"/>
      <c r="DY36" s="18" t="n"/>
      <c r="DZ36" s="18" t="n"/>
      <c r="EA36" s="18" t="n"/>
      <c r="EB36" s="18" t="n"/>
      <c r="EC36" s="18" t="n"/>
      <c r="ED36" s="18" t="n"/>
      <c r="EE36" s="18" t="n"/>
      <c r="EF36" s="18" t="n"/>
      <c r="EG36" s="18" t="n"/>
      <c r="EH36" s="18" t="n"/>
      <c r="EI36" s="18" t="n"/>
      <c r="EJ36" s="18" t="n"/>
      <c r="EK36" s="239" t="inlineStr">
        <is>
          <t>60 P/ ER PG</t>
        </is>
      </c>
      <c r="EL36" s="18" t="n"/>
      <c r="EM36" s="18" t="n"/>
      <c r="EN36" s="18" t="n"/>
      <c r="EO36" s="18" t="n"/>
      <c r="EP36" s="18" t="n"/>
      <c r="EQ36" s="18" t="n"/>
      <c r="ER36" s="18" t="n"/>
      <c r="ES36" s="292" t="inlineStr">
        <is>
          <t>30 P/ ER PG</t>
        </is>
      </c>
      <c r="ET36" s="18" t="n"/>
      <c r="EU36" s="18" t="n"/>
      <c r="EV36" s="18" t="n"/>
      <c r="EW36" s="18" t="n"/>
      <c r="EX36" s="18" t="n"/>
      <c r="EY36" s="18" t="n">
        <v>75</v>
      </c>
      <c r="EZ36" s="18" t="n"/>
      <c r="FA36" s="260" t="n"/>
      <c r="FB36" s="18" t="n"/>
      <c r="FC36" s="18" t="n"/>
      <c r="FD36" s="18" t="n"/>
      <c r="FE36" s="18" t="n"/>
      <c r="FF36" s="256" t="inlineStr">
        <is>
          <t>50 D. ERP</t>
        </is>
      </c>
      <c r="FG36" s="18" t="n"/>
      <c r="FH36" s="18" t="n">
        <v>75</v>
      </c>
      <c r="FI36" s="18" t="n"/>
      <c r="FJ36" s="18" t="n"/>
      <c r="FK36" s="18" t="n"/>
      <c r="FL36" s="256" t="n"/>
      <c r="FM36" s="18" t="n"/>
      <c r="FN36" s="18" t="n"/>
      <c r="FO36" s="18" t="n"/>
      <c r="FP36" s="18" t="n"/>
      <c r="FQ36" s="18" t="n"/>
      <c r="FR36" s="18" t="n"/>
      <c r="FS36" s="18" t="n"/>
      <c r="FT36" s="239" t="inlineStr">
        <is>
          <t>17 DE VDP</t>
        </is>
      </c>
      <c r="FU36" s="18" t="n"/>
      <c r="FV36" s="18" t="n"/>
      <c r="FW36" s="18" t="n"/>
      <c r="FX36" s="18" t="n"/>
      <c r="FY36" s="18" t="n"/>
    </row>
    <row r="37" ht="18.75" customFormat="1" customHeight="1" s="3">
      <c r="A37" s="33" t="inlineStr">
        <is>
          <t>KIT CAIXA P VERDE</t>
        </is>
      </c>
      <c r="B37" s="129" t="n">
        <v>75</v>
      </c>
      <c r="C37" s="665" t="n">
        <v>239.21</v>
      </c>
      <c r="D37" s="329" t="n">
        <v>15</v>
      </c>
      <c r="E37" s="2" t="n"/>
      <c r="F37" s="38" t="n">
        <v>13</v>
      </c>
      <c r="G37" s="38">
        <f>13+17</f>
        <v/>
      </c>
      <c r="H37" s="38" t="n">
        <v>30</v>
      </c>
      <c r="I37" s="38" t="n">
        <v>29</v>
      </c>
      <c r="J37" s="38" t="n">
        <v>28</v>
      </c>
      <c r="K37" s="38" t="n">
        <v>28</v>
      </c>
      <c r="L37" s="38" t="n">
        <v>28</v>
      </c>
      <c r="M37" s="38" t="n">
        <v>27</v>
      </c>
      <c r="N37" s="38" t="n">
        <v>26</v>
      </c>
      <c r="O37" s="38" t="n">
        <v>24</v>
      </c>
      <c r="P37" s="38" t="n">
        <v>17</v>
      </c>
      <c r="Q37" s="38">
        <f>13+FH36</f>
        <v/>
      </c>
      <c r="R37" s="38" t="n">
        <v>80</v>
      </c>
      <c r="S37" s="38" t="n">
        <v>79</v>
      </c>
      <c r="T37" s="38" t="n">
        <v>3</v>
      </c>
      <c r="U37" s="38" t="n">
        <v>2</v>
      </c>
      <c r="V37" s="38" t="n">
        <v>1</v>
      </c>
      <c r="W37" s="38" t="n">
        <v>1</v>
      </c>
      <c r="X37" s="38">
        <f>0+EY36</f>
        <v/>
      </c>
      <c r="Y37" s="38" t="n">
        <v>142</v>
      </c>
      <c r="Z37" s="38" t="n">
        <v>140</v>
      </c>
      <c r="AA37" s="38" t="n">
        <v>145</v>
      </c>
      <c r="AB37" s="38" t="n">
        <v>145</v>
      </c>
      <c r="AC37" s="38" t="n">
        <v>140</v>
      </c>
      <c r="AD37" s="38">
        <f>131-60</f>
        <v/>
      </c>
      <c r="AE37" s="38" t="n">
        <v>70</v>
      </c>
      <c r="AF37" s="38" t="n">
        <v>69</v>
      </c>
      <c r="AG37" s="38" t="n">
        <v>65</v>
      </c>
      <c r="AH37" s="38" t="n">
        <v>61</v>
      </c>
      <c r="AI37" s="38" t="n">
        <v>55</v>
      </c>
      <c r="AJ37" s="38" t="n">
        <v>53</v>
      </c>
      <c r="AK37" s="38" t="n">
        <v>53</v>
      </c>
      <c r="AL37" s="38" t="n">
        <v>45</v>
      </c>
      <c r="AM37" s="38" t="n">
        <v>43</v>
      </c>
      <c r="AN37" s="38" t="n">
        <v>43</v>
      </c>
      <c r="AO37" s="38" t="n">
        <v>43</v>
      </c>
      <c r="AP37" s="38" t="n">
        <v>39</v>
      </c>
      <c r="AQ37" s="38" t="n">
        <v>35</v>
      </c>
      <c r="AR37" s="38" t="n">
        <v>35</v>
      </c>
      <c r="AS37" s="38" t="n">
        <v>34</v>
      </c>
      <c r="AT37" s="38" t="n">
        <v>31</v>
      </c>
      <c r="AU37" s="38" t="n">
        <v>23</v>
      </c>
      <c r="AV37" s="261" t="n">
        <v>13</v>
      </c>
      <c r="AW37" s="261" t="n">
        <v>4</v>
      </c>
      <c r="AX37" s="261" t="n">
        <v>4</v>
      </c>
      <c r="AY37" s="261" t="n">
        <v>2</v>
      </c>
      <c r="AZ37" s="38" t="n">
        <v>2</v>
      </c>
      <c r="BA37" s="38" t="n">
        <v>2</v>
      </c>
      <c r="BB37" s="38" t="n">
        <v>2</v>
      </c>
      <c r="BC37" s="38" t="n">
        <v>2</v>
      </c>
      <c r="BD37" s="38" t="n">
        <v>1</v>
      </c>
      <c r="BE37" s="38" t="n">
        <v>0</v>
      </c>
      <c r="BF37" s="38" t="n">
        <v>0</v>
      </c>
      <c r="BG37" s="38" t="n">
        <v>0</v>
      </c>
      <c r="BH37" s="38" t="n">
        <v>0</v>
      </c>
      <c r="BI37" s="38" t="n">
        <v>0</v>
      </c>
      <c r="BJ37" s="38" t="n">
        <v>0</v>
      </c>
      <c r="BK37" s="38" t="n">
        <v>0</v>
      </c>
      <c r="BL37" s="38" t="n">
        <v>0</v>
      </c>
      <c r="BM37" s="38" t="n">
        <v>0</v>
      </c>
      <c r="BN37" s="38" t="n">
        <v>0</v>
      </c>
      <c r="BO37" s="38" t="n">
        <v>0</v>
      </c>
      <c r="BP37" s="38" t="n">
        <v>0</v>
      </c>
      <c r="BQ37" s="38" t="n">
        <v>0</v>
      </c>
      <c r="BR37" s="38" t="n">
        <v>0</v>
      </c>
      <c r="BS37" s="38" t="n">
        <v>0</v>
      </c>
      <c r="BT37" s="38" t="n"/>
      <c r="BU37" s="38" t="n"/>
      <c r="BV37" s="38" t="n"/>
      <c r="BW37" s="38" t="n">
        <v>0</v>
      </c>
      <c r="BX37" s="38" t="n">
        <v>0</v>
      </c>
      <c r="BY37" s="38" t="n">
        <v>0</v>
      </c>
      <c r="BZ37" s="38" t="n">
        <v>0</v>
      </c>
      <c r="CA37" s="38" t="n">
        <v>0</v>
      </c>
      <c r="CB37" s="154">
        <f>BZ37+IF(NOT(ISBLANK(OFFSET(CB37,0,6))),N(OFFSET(CB37,0,6)),N(OFFSET(CB37,0,7)))-CA37</f>
        <v/>
      </c>
      <c r="CC37" s="6" t="n"/>
      <c r="CD37" s="19" t="n"/>
      <c r="CE37" s="4" t="n"/>
      <c r="CF37" s="27" t="n"/>
      <c r="CG37" s="4" t="n"/>
      <c r="CH37" s="18" t="n">
        <v>0</v>
      </c>
      <c r="CI37" s="18" t="n">
        <v>0</v>
      </c>
      <c r="CJ37" s="18" t="n"/>
      <c r="CK37" s="18" t="n"/>
      <c r="CL37" s="18" t="n"/>
      <c r="CM37" s="18" t="n"/>
      <c r="CN37" s="18" t="n"/>
      <c r="CO37" s="18" t="n"/>
      <c r="CP37" s="18" t="n"/>
      <c r="CQ37" s="18" t="n"/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396" t="n"/>
      <c r="DM37" s="256" t="n"/>
      <c r="DN37" s="18" t="n"/>
      <c r="DO37" s="18" t="n"/>
      <c r="DP37" s="18" t="n"/>
      <c r="DQ37" s="18" t="n"/>
      <c r="DR37" s="18" t="n"/>
      <c r="DS37" s="18" t="n"/>
      <c r="DT37" s="18" t="n"/>
      <c r="DU37" s="18" t="n"/>
      <c r="DV37" s="18" t="n"/>
      <c r="DW37" s="18" t="n"/>
      <c r="DX37" s="18" t="n"/>
      <c r="DY37" s="18" t="n"/>
      <c r="DZ37" s="18" t="n"/>
      <c r="EA37" s="154" t="inlineStr">
        <is>
          <t>20 DE CDP</t>
        </is>
      </c>
      <c r="EB37" s="18" t="n"/>
      <c r="EC37" s="18" t="n"/>
      <c r="ED37" s="18" t="n"/>
      <c r="EE37" s="18" t="n"/>
      <c r="EF37" s="18" t="n"/>
      <c r="EG37" s="292" t="inlineStr">
        <is>
          <t>30 DE ER PG</t>
        </is>
      </c>
      <c r="EH37" s="18" t="n"/>
      <c r="EI37" s="18" t="n"/>
      <c r="EJ37" s="256" t="n"/>
      <c r="EK37" s="18" t="n"/>
      <c r="EL37" s="18" t="n"/>
      <c r="EM37" s="239" t="inlineStr">
        <is>
          <t>50 P/ ER PG</t>
        </is>
      </c>
      <c r="EN37" s="18" t="n"/>
      <c r="EO37" s="18" t="n"/>
      <c r="EP37" s="18" t="n"/>
      <c r="EQ37" s="18" t="n"/>
      <c r="ER37" s="312" t="inlineStr">
        <is>
          <t>20 DE ER PG</t>
        </is>
      </c>
      <c r="ES37" s="256" t="n"/>
      <c r="ET37" s="18" t="n"/>
      <c r="EU37" s="18" t="n"/>
      <c r="EV37" s="18" t="n"/>
      <c r="EW37" s="18" t="n"/>
      <c r="EX37" s="18" t="n"/>
      <c r="EY37" s="18" t="n"/>
      <c r="EZ37" s="256" t="n"/>
      <c r="FA37" s="18" t="n"/>
      <c r="FB37" s="18" t="n">
        <v>75</v>
      </c>
      <c r="FC37" s="18" t="n"/>
      <c r="FD37" s="18" t="n"/>
      <c r="FE37" s="18" t="n"/>
      <c r="FF37" s="256" t="inlineStr">
        <is>
          <t>50 D. ERP</t>
        </is>
      </c>
      <c r="FG37" s="18" t="n"/>
      <c r="FH37" s="18" t="n"/>
      <c r="FI37" s="18" t="n"/>
      <c r="FJ37" s="18" t="n">
        <v>75</v>
      </c>
      <c r="FK37" s="18" t="n"/>
      <c r="FL37" s="256" t="n"/>
      <c r="FM37" s="18" t="n"/>
      <c r="FN37" s="18" t="n"/>
      <c r="FO37" s="18" t="n"/>
      <c r="FP37" s="18" t="n"/>
      <c r="FQ37" s="18" t="n"/>
      <c r="FR37" s="18" t="n"/>
      <c r="FS37" s="18" t="n"/>
      <c r="FT37" s="18" t="n"/>
      <c r="FU37" s="18" t="n"/>
      <c r="FV37" s="18" t="n"/>
      <c r="FW37" s="18" t="n"/>
      <c r="FX37" s="18" t="n"/>
      <c r="FY37" s="18" t="n"/>
    </row>
    <row r="38" ht="18.75" customHeight="1">
      <c r="A38" s="33" t="inlineStr">
        <is>
          <t>KIT CAIXA M VERDE</t>
        </is>
      </c>
      <c r="B38" s="129" t="n">
        <v>75</v>
      </c>
      <c r="C38" s="662" t="n">
        <v>312.27</v>
      </c>
      <c r="D38" s="329" t="n">
        <v>20</v>
      </c>
      <c r="E38" s="2" t="n"/>
      <c r="F38" s="38" t="n">
        <v>30</v>
      </c>
      <c r="G38" s="38" t="n">
        <v>27</v>
      </c>
      <c r="H38" s="38" t="n">
        <v>25</v>
      </c>
      <c r="I38" s="38" t="n">
        <v>21</v>
      </c>
      <c r="J38" s="38" t="n">
        <v>19</v>
      </c>
      <c r="K38" s="38" t="n">
        <v>18</v>
      </c>
      <c r="L38" s="38" t="n">
        <v>10</v>
      </c>
      <c r="M38" s="38" t="n">
        <v>8</v>
      </c>
      <c r="N38" s="38" t="n">
        <v>5</v>
      </c>
      <c r="O38" s="38">
        <f>2+FJ37</f>
        <v/>
      </c>
      <c r="P38" s="38" t="n">
        <v>71</v>
      </c>
      <c r="Q38" s="38" t="n">
        <v>64</v>
      </c>
      <c r="R38" s="38" t="n">
        <v>57</v>
      </c>
      <c r="S38" s="38" t="n">
        <v>49</v>
      </c>
      <c r="T38" s="38" t="n">
        <v>2</v>
      </c>
      <c r="U38" s="38" t="n">
        <v>0</v>
      </c>
      <c r="V38" s="38">
        <f>0+FB37</f>
        <v/>
      </c>
      <c r="W38" s="38" t="n">
        <v>74</v>
      </c>
      <c r="X38" s="38" t="n">
        <v>70</v>
      </c>
      <c r="Y38" s="38" t="n">
        <v>126</v>
      </c>
      <c r="Z38" s="38" t="n">
        <v>121</v>
      </c>
      <c r="AA38" s="38" t="n">
        <v>116</v>
      </c>
      <c r="AB38" s="38" t="n">
        <v>115</v>
      </c>
      <c r="AC38" s="38">
        <f>51-50</f>
        <v/>
      </c>
      <c r="AD38" s="261" t="n">
        <v>50</v>
      </c>
      <c r="AE38" s="38" t="n">
        <v>164</v>
      </c>
      <c r="AF38" s="38" t="n">
        <v>163</v>
      </c>
      <c r="AG38" s="38">
        <f>155-115</f>
        <v/>
      </c>
      <c r="AH38" s="38" t="n">
        <v>37</v>
      </c>
      <c r="AI38" s="38" t="n">
        <v>29</v>
      </c>
      <c r="AJ38" s="38" t="n">
        <v>26</v>
      </c>
      <c r="AK38" s="38" t="n">
        <v>18</v>
      </c>
      <c r="AL38" s="38">
        <f>0+20</f>
        <v/>
      </c>
      <c r="AM38" s="38" t="n">
        <v>19</v>
      </c>
      <c r="AN38" s="38" t="n">
        <v>19</v>
      </c>
      <c r="AO38" s="38" t="n">
        <v>12</v>
      </c>
      <c r="AP38" s="38" t="n">
        <v>6</v>
      </c>
      <c r="AQ38" s="38" t="n">
        <v>3</v>
      </c>
      <c r="AR38" s="38" t="n">
        <v>3</v>
      </c>
      <c r="AS38" s="38" t="n">
        <v>1</v>
      </c>
      <c r="AT38" s="38" t="n">
        <v>0</v>
      </c>
      <c r="AU38" s="38" t="n">
        <v>0</v>
      </c>
      <c r="AV38" s="38" t="n">
        <v>0</v>
      </c>
      <c r="AW38" s="38" t="n">
        <v>0</v>
      </c>
      <c r="AX38" s="38" t="n">
        <v>0</v>
      </c>
      <c r="AY38" s="38" t="n">
        <v>0</v>
      </c>
      <c r="AZ38" s="38" t="n">
        <v>0</v>
      </c>
      <c r="BA38" s="38" t="n">
        <v>0</v>
      </c>
      <c r="BB38" s="38" t="n">
        <v>0</v>
      </c>
      <c r="BC38" s="38" t="n">
        <v>0</v>
      </c>
      <c r="BD38" s="38" t="n">
        <v>0</v>
      </c>
      <c r="BE38" s="38" t="n">
        <v>0</v>
      </c>
      <c r="BF38" s="38" t="n">
        <v>0</v>
      </c>
      <c r="BG38" s="38" t="n">
        <v>0</v>
      </c>
      <c r="BH38" s="38" t="n">
        <v>0</v>
      </c>
      <c r="BI38" s="38" t="n">
        <v>0</v>
      </c>
      <c r="BJ38" s="38" t="n">
        <v>0</v>
      </c>
      <c r="BK38" s="38" t="n">
        <v>0</v>
      </c>
      <c r="BL38" s="261" t="n">
        <v>17</v>
      </c>
      <c r="BM38" s="38" t="n">
        <v>13</v>
      </c>
      <c r="BN38" s="38" t="n">
        <v>10</v>
      </c>
      <c r="BO38" s="38" t="n">
        <v>10</v>
      </c>
      <c r="BP38" s="38" t="n">
        <v>10</v>
      </c>
      <c r="BQ38" s="38" t="n">
        <v>10</v>
      </c>
      <c r="BR38" s="38" t="n">
        <v>10</v>
      </c>
      <c r="BS38" s="38" t="n">
        <v>7</v>
      </c>
      <c r="BT38" s="38" t="n"/>
      <c r="BU38" s="38" t="n"/>
      <c r="BV38" s="38" t="n"/>
      <c r="BW38" s="38" t="n">
        <v>2</v>
      </c>
      <c r="BX38" s="38" t="n">
        <v>1</v>
      </c>
      <c r="BY38" s="38" t="n">
        <v>1</v>
      </c>
      <c r="BZ38" s="38" t="n">
        <v>0</v>
      </c>
      <c r="CA38" s="38" t="n">
        <v>0</v>
      </c>
      <c r="CB38" s="154">
        <f>BZ38+IF(NOT(ISBLANK(OFFSET(CB38,0,6))),N(OFFSET(CB38,0,6)),N(OFFSET(CB38,0,7)))-CA38</f>
        <v/>
      </c>
      <c r="CD38" s="19" t="n"/>
      <c r="CE38" s="5" t="n"/>
      <c r="CF38" s="27" t="n"/>
      <c r="CG38" s="5" t="n"/>
      <c r="CH38" s="18" t="n">
        <v>0</v>
      </c>
      <c r="CI38" s="18" t="n">
        <v>0</v>
      </c>
      <c r="CJ38" s="18" t="n"/>
      <c r="CK38" s="18" t="n"/>
      <c r="CL38" s="18" t="n"/>
      <c r="CM38" s="18" t="n"/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396" t="n"/>
      <c r="DM38" s="256" t="n"/>
      <c r="DN38" s="18" t="n"/>
      <c r="DO38" s="18" t="n"/>
      <c r="DP38" s="18" t="n"/>
      <c r="DQ38" s="18" t="n"/>
      <c r="DR38" s="18" t="n"/>
      <c r="DS38" s="18" t="n"/>
      <c r="DT38" s="18" t="n"/>
      <c r="DU38" s="18" t="n"/>
      <c r="DV38" s="18" t="n"/>
      <c r="DW38" s="18" t="n"/>
      <c r="DX38" s="18" t="n"/>
      <c r="DY38" s="18" t="n"/>
      <c r="DZ38" s="18" t="n"/>
      <c r="EA38" s="18" t="n"/>
      <c r="EB38" s="18" t="n"/>
      <c r="EC38" s="18" t="n"/>
      <c r="ED38" s="18" t="n"/>
      <c r="EE38" s="18" t="n"/>
      <c r="EF38" s="18" t="n"/>
      <c r="EG38" s="292" t="inlineStr">
        <is>
          <t>75 DE ER PG</t>
        </is>
      </c>
      <c r="EH38" s="18" t="n"/>
      <c r="EI38" s="18" t="n"/>
      <c r="EJ38" s="256" t="n"/>
      <c r="EK38" s="18" t="n"/>
      <c r="EL38" s="18" t="n"/>
      <c r="EM38" s="18" t="n"/>
      <c r="EN38" s="18" t="n"/>
      <c r="EO38" s="18" t="n"/>
      <c r="EP38" s="18" t="n"/>
      <c r="EQ38" s="18" t="n"/>
      <c r="ER38" s="312" t="inlineStr">
        <is>
          <t>20 DE ER PG</t>
        </is>
      </c>
      <c r="ES38" s="292" t="inlineStr">
        <is>
          <t>30 P/ ER PG</t>
        </is>
      </c>
      <c r="ET38" s="18" t="n"/>
      <c r="EU38" s="18" t="n"/>
      <c r="EV38" s="18" t="n"/>
      <c r="EW38" s="18" t="n"/>
      <c r="EX38" s="18" t="n"/>
      <c r="EY38" s="18" t="n"/>
      <c r="EZ38" s="256" t="n"/>
      <c r="FA38" s="260" t="n"/>
      <c r="FB38" s="18" t="n"/>
      <c r="FC38" s="18" t="n"/>
      <c r="FD38" s="18" t="n"/>
      <c r="FE38" s="18" t="n"/>
      <c r="FF38" s="256" t="inlineStr">
        <is>
          <t>100 D. ERP</t>
        </is>
      </c>
      <c r="FG38" s="18" t="n"/>
      <c r="FH38" s="18" t="n"/>
      <c r="FI38" s="18" t="n"/>
      <c r="FJ38" s="18" t="n"/>
      <c r="FK38" s="18" t="n"/>
      <c r="FL38" s="256" t="n"/>
      <c r="FM38" s="18" t="n"/>
      <c r="FN38" s="18" t="n"/>
      <c r="FO38" s="18" t="n"/>
      <c r="FP38" s="18" t="n"/>
      <c r="FQ38" s="18" t="n"/>
      <c r="FR38" s="18" t="n"/>
      <c r="FS38" s="18" t="n"/>
      <c r="FT38" s="239" t="inlineStr">
        <is>
          <t>15 DE VDP</t>
        </is>
      </c>
      <c r="FU38" s="18" t="n"/>
      <c r="FV38" s="18" t="n"/>
      <c r="FW38" s="18" t="n"/>
      <c r="FX38" s="18" t="n"/>
      <c r="FY38" s="18" t="n"/>
    </row>
    <row r="39" ht="18.75" customFormat="1" customHeight="1" s="3">
      <c r="A39" s="33" t="inlineStr">
        <is>
          <t>KIT CAIXA G VERDE</t>
        </is>
      </c>
      <c r="B39" s="129" t="n">
        <v>50</v>
      </c>
      <c r="C39" s="662" t="n">
        <v>367.65</v>
      </c>
      <c r="D39" s="329" t="n">
        <v>5</v>
      </c>
      <c r="E39" s="6" t="n"/>
      <c r="F39" s="38" t="n">
        <v>0</v>
      </c>
      <c r="G39" s="38">
        <f>0+15</f>
        <v/>
      </c>
      <c r="H39" s="38" t="n">
        <v>15</v>
      </c>
      <c r="I39" s="38" t="n">
        <v>15</v>
      </c>
      <c r="J39" s="38" t="n">
        <v>15</v>
      </c>
      <c r="K39" s="38" t="n">
        <v>15</v>
      </c>
      <c r="L39" s="38" t="n">
        <v>15</v>
      </c>
      <c r="M39" s="38" t="n">
        <v>15</v>
      </c>
      <c r="N39" s="38" t="n">
        <v>15</v>
      </c>
      <c r="O39" s="38" t="n">
        <v>15</v>
      </c>
      <c r="P39" s="38" t="n">
        <v>15</v>
      </c>
      <c r="Q39" s="38" t="n">
        <v>15</v>
      </c>
      <c r="R39" s="38" t="n">
        <v>15</v>
      </c>
      <c r="S39" s="38" t="n">
        <v>15</v>
      </c>
      <c r="T39" s="38" t="n">
        <v>15</v>
      </c>
      <c r="U39" s="38" t="n">
        <v>15</v>
      </c>
      <c r="V39" s="38" t="n">
        <v>15</v>
      </c>
      <c r="W39" s="38" t="n">
        <v>15</v>
      </c>
      <c r="X39" s="38" t="n">
        <v>15</v>
      </c>
      <c r="Y39" s="38" t="n">
        <v>15</v>
      </c>
      <c r="Z39" s="38" t="n">
        <v>15</v>
      </c>
      <c r="AA39" s="38" t="n">
        <v>15</v>
      </c>
      <c r="AB39" s="38" t="n">
        <v>15</v>
      </c>
      <c r="AC39" s="38" t="n">
        <v>15</v>
      </c>
      <c r="AD39" s="38" t="n">
        <v>15</v>
      </c>
      <c r="AE39" s="38" t="n">
        <v>15</v>
      </c>
      <c r="AF39" s="38" t="n">
        <v>15</v>
      </c>
      <c r="AG39" s="38" t="n">
        <v>15</v>
      </c>
      <c r="AH39" s="38" t="n">
        <v>15</v>
      </c>
      <c r="AI39" s="38" t="n">
        <v>15</v>
      </c>
      <c r="AJ39" s="38" t="n">
        <v>14</v>
      </c>
      <c r="AK39" s="38" t="n">
        <v>14</v>
      </c>
      <c r="AL39" s="38" t="n">
        <v>13</v>
      </c>
      <c r="AM39" s="38" t="n">
        <v>12</v>
      </c>
      <c r="AN39" s="38" t="n">
        <v>12</v>
      </c>
      <c r="AO39" s="38" t="n">
        <v>12</v>
      </c>
      <c r="AP39" s="38" t="n">
        <v>9</v>
      </c>
      <c r="AQ39" s="38" t="n">
        <v>9</v>
      </c>
      <c r="AR39" s="38" t="n">
        <v>7</v>
      </c>
      <c r="AS39" s="38" t="n">
        <v>7</v>
      </c>
      <c r="AT39" s="38" t="n">
        <v>4</v>
      </c>
      <c r="AU39" s="38" t="n">
        <v>0</v>
      </c>
      <c r="AV39" s="38" t="n">
        <v>0</v>
      </c>
      <c r="AW39" s="38" t="n">
        <v>0</v>
      </c>
      <c r="AX39" s="38" t="n">
        <v>0</v>
      </c>
      <c r="AY39" s="38" t="n">
        <v>0</v>
      </c>
      <c r="AZ39" s="38" t="n">
        <v>0</v>
      </c>
      <c r="BA39" s="38" t="n">
        <v>0</v>
      </c>
      <c r="BB39" s="38" t="n">
        <v>0</v>
      </c>
      <c r="BC39" s="38" t="n">
        <v>0</v>
      </c>
      <c r="BD39" s="38" t="n">
        <v>0</v>
      </c>
      <c r="BE39" s="38" t="n">
        <v>0</v>
      </c>
      <c r="BF39" s="38" t="n">
        <v>0</v>
      </c>
      <c r="BG39" s="38" t="n">
        <v>0</v>
      </c>
      <c r="BH39" s="38" t="n">
        <v>0</v>
      </c>
      <c r="BI39" s="38" t="n">
        <v>0</v>
      </c>
      <c r="BJ39" s="38" t="n">
        <v>0</v>
      </c>
      <c r="BK39" s="38" t="n">
        <v>0</v>
      </c>
      <c r="BL39" s="38" t="n">
        <v>0</v>
      </c>
      <c r="BM39" s="38" t="n">
        <v>0</v>
      </c>
      <c r="BN39" s="38" t="n">
        <v>0</v>
      </c>
      <c r="BO39" s="38" t="n">
        <v>0</v>
      </c>
      <c r="BP39" s="38" t="n">
        <v>0</v>
      </c>
      <c r="BQ39" s="38" t="n">
        <v>0</v>
      </c>
      <c r="BR39" s="38" t="n">
        <v>0</v>
      </c>
      <c r="BS39" s="38" t="n">
        <v>0</v>
      </c>
      <c r="BT39" s="38" t="n"/>
      <c r="BU39" s="38" t="n"/>
      <c r="BV39" s="38" t="n"/>
      <c r="BW39" s="38" t="n">
        <v>0</v>
      </c>
      <c r="BX39" s="38" t="n">
        <v>0</v>
      </c>
      <c r="BY39" s="38" t="n">
        <v>0</v>
      </c>
      <c r="BZ39" s="38" t="n">
        <v>0</v>
      </c>
      <c r="CA39" s="38" t="n">
        <v>0</v>
      </c>
      <c r="CB39" s="154">
        <f>BZ39+IF(NOT(ISBLANK(OFFSET(CB39,0,6))),N(OFFSET(CB39,0,6)),N(OFFSET(CB39,0,7)))-CA39</f>
        <v/>
      </c>
      <c r="CC39" s="6" t="n"/>
      <c r="CD39" s="19" t="n"/>
      <c r="CE39" s="5" t="n"/>
      <c r="CF39" s="27" t="n"/>
      <c r="CG39" s="5" t="n"/>
      <c r="CH39" s="18" t="n">
        <v>0</v>
      </c>
      <c r="CI39" s="18" t="n">
        <v>0</v>
      </c>
      <c r="CJ39" s="18" t="n"/>
      <c r="CK39" s="18" t="n"/>
      <c r="CL39" s="18" t="n"/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396" t="n"/>
      <c r="DM39" s="256" t="n"/>
      <c r="DN39" s="18" t="n"/>
      <c r="DU39" s="17" t="n"/>
      <c r="DZ39" s="17" t="n"/>
      <c r="EA39" s="17" t="n"/>
      <c r="EE39" s="17" t="n"/>
      <c r="EG39" s="17" t="n"/>
      <c r="EJ39" s="17" t="n"/>
      <c r="EK39" s="17" t="n"/>
      <c r="EM39" s="17" t="n"/>
      <c r="EP39" s="17" t="n"/>
      <c r="ER39" s="17" t="n"/>
      <c r="ET39" s="17" t="n"/>
      <c r="EZ39" s="17" t="n"/>
      <c r="FF39" s="256" t="inlineStr">
        <is>
          <t>50 D. ERP</t>
        </is>
      </c>
    </row>
    <row r="40" ht="18.75" customHeight="1">
      <c r="A40" s="31" t="n"/>
      <c r="B40" s="2" t="n"/>
      <c r="C40" s="661" t="n"/>
      <c r="D40" s="661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  <c r="AA40" s="4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4" t="n"/>
      <c r="AP40" s="4" t="n"/>
      <c r="AQ40" s="4" t="n"/>
      <c r="AR40" s="4" t="n"/>
      <c r="AS40" s="4" t="n"/>
      <c r="AT40" s="4" t="n"/>
      <c r="AU40" s="4" t="n"/>
      <c r="AV40" s="4" t="n"/>
      <c r="AW40" s="4" t="n"/>
      <c r="AX40" s="4" t="n"/>
      <c r="AY40" s="4" t="n"/>
      <c r="AZ40" s="4" t="n"/>
      <c r="BA40" s="4" t="n"/>
      <c r="BB40" s="4" t="n"/>
      <c r="BC40" s="4" t="n"/>
      <c r="BD40" s="4" t="n"/>
      <c r="BE40" s="4" t="n"/>
      <c r="BF40" s="4" t="n"/>
      <c r="BG40" s="4" t="n"/>
      <c r="BH40" s="4" t="n"/>
      <c r="BI40" s="4" t="n"/>
      <c r="BJ40" s="4" t="n"/>
      <c r="BK40" s="4" t="n"/>
      <c r="BL40" s="4" t="n"/>
      <c r="BM40" s="4" t="n"/>
      <c r="BN40" s="4" t="n"/>
      <c r="BO40" s="4" t="n"/>
      <c r="BP40" s="4" t="n"/>
      <c r="BQ40" s="4" t="n"/>
      <c r="BR40" s="4" t="n"/>
      <c r="BS40" s="4" t="n"/>
      <c r="BT40" s="4" t="n"/>
      <c r="BU40" s="4" t="n"/>
      <c r="BV40" s="4" t="n"/>
      <c r="BW40" s="4" t="n"/>
      <c r="BX40" s="4" t="n"/>
      <c r="BY40" s="4" t="n"/>
      <c r="BZ40" s="4" t="n"/>
      <c r="CA40" s="4" t="n"/>
      <c r="CD40" s="26" t="n"/>
      <c r="CE40" s="5" t="n"/>
      <c r="CF40" s="108" t="n"/>
      <c r="CG40" s="5" t="n"/>
      <c r="CH40" s="17" t="n"/>
      <c r="CI40" s="17" t="n"/>
      <c r="DL40" s="397" t="n"/>
      <c r="DM40" s="271" t="n"/>
      <c r="DO40" s="347" t="n"/>
      <c r="DP40" s="347" t="n"/>
      <c r="DQ40" s="347" t="n"/>
      <c r="DR40" s="347" t="n"/>
      <c r="DS40" s="347" t="n"/>
      <c r="DT40" s="347" t="n"/>
      <c r="DV40" s="347" t="n"/>
      <c r="DW40" s="347" t="n"/>
      <c r="DX40" s="347" t="n"/>
      <c r="DY40" s="347" t="n"/>
      <c r="EB40" s="347" t="n"/>
      <c r="EC40" s="347" t="n"/>
      <c r="ED40" s="347" t="n"/>
      <c r="EF40" s="347" t="n"/>
      <c r="EH40" s="347" t="n"/>
      <c r="EI40" s="347" t="n"/>
      <c r="EL40" s="347" t="n"/>
      <c r="EN40" s="347" t="n"/>
      <c r="EO40" s="347" t="n"/>
      <c r="EP40" s="17" t="n"/>
      <c r="EQ40" s="347" t="n"/>
      <c r="ER40" s="347" t="n"/>
      <c r="ES40" s="347" t="n"/>
      <c r="ET40" s="347" t="n"/>
      <c r="EZ40" s="17" t="n"/>
      <c r="FF40" s="271" t="n"/>
    </row>
    <row r="41" hidden="1" ht="18.75" customHeight="1">
      <c r="A41" s="32" t="inlineStr">
        <is>
          <t>SACOLAS OMNI BOTICÁRIO</t>
        </is>
      </c>
      <c r="B41" s="575" t="inlineStr">
        <is>
          <t>PC</t>
        </is>
      </c>
      <c r="C41" s="575" t="n"/>
      <c r="D41" s="575" t="inlineStr">
        <is>
          <t>Estoque Ideal</t>
        </is>
      </c>
      <c r="F41" s="650" t="n">
        <v>45656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/>
      <c r="BP41" s="650" t="n"/>
      <c r="BQ41" s="650" t="n"/>
      <c r="BR41" s="650" t="n"/>
      <c r="BS41" s="650" t="n"/>
      <c r="BT41" s="650" t="n"/>
      <c r="BU41" s="650" t="n"/>
      <c r="BV41" s="650" t="n"/>
      <c r="BW41" s="650" t="n"/>
      <c r="BX41" s="650" t="n"/>
      <c r="BY41" s="650" t="n"/>
      <c r="BZ41" s="650" t="n"/>
      <c r="CA41" s="650" t="n"/>
      <c r="CB41" s="652" t="inlineStr">
        <is>
          <t>USOU</t>
        </is>
      </c>
      <c r="CD41" s="35" t="inlineStr">
        <is>
          <t>Pend.</t>
        </is>
      </c>
      <c r="CF41" s="12" t="inlineStr">
        <is>
          <t>Novo Pedido</t>
        </is>
      </c>
      <c r="CH41" s="654" t="n"/>
      <c r="CI41" s="654" t="n"/>
      <c r="CJ41" s="654" t="n"/>
      <c r="CK41" s="654" t="n"/>
      <c r="CL41" s="654" t="n"/>
      <c r="CM41" s="654" t="n"/>
      <c r="CN41" s="654" t="n"/>
      <c r="CO41" s="654" t="n"/>
      <c r="CP41" s="654" t="n">
        <v>46071</v>
      </c>
      <c r="CQ41" s="654" t="n">
        <v>46043</v>
      </c>
      <c r="CR41" s="654" t="n">
        <v>46029</v>
      </c>
      <c r="CS41" s="654" t="n">
        <v>46024</v>
      </c>
      <c r="CT41" s="655" t="n">
        <v>46041</v>
      </c>
      <c r="CU41" s="654" t="n">
        <v>46029</v>
      </c>
      <c r="CV41" s="654" t="n">
        <v>46024</v>
      </c>
      <c r="CW41" s="654" t="n">
        <v>46007</v>
      </c>
      <c r="CX41" s="654" t="n">
        <v>46001</v>
      </c>
      <c r="CY41" s="654" t="n">
        <v>45994</v>
      </c>
      <c r="CZ41" s="654" t="n">
        <v>45986</v>
      </c>
      <c r="DA41" s="654" t="n">
        <v>45986</v>
      </c>
      <c r="DB41" s="654" t="n">
        <v>45980</v>
      </c>
      <c r="DC41" s="654" t="n">
        <v>45980</v>
      </c>
      <c r="DD41" s="654" t="n">
        <v>45973</v>
      </c>
      <c r="DE41" s="654" t="n">
        <v>45973</v>
      </c>
      <c r="DF41" s="654" t="n">
        <v>45965</v>
      </c>
      <c r="DG41" s="654" t="n">
        <v>45965</v>
      </c>
      <c r="DH41" s="654" t="n">
        <v>45960</v>
      </c>
      <c r="DI41" s="654" t="n">
        <v>45951</v>
      </c>
      <c r="DJ41" s="654" t="n">
        <v>45937</v>
      </c>
      <c r="DK41" s="654" t="n">
        <v>45931</v>
      </c>
      <c r="DL41" s="678" t="n">
        <v>45903</v>
      </c>
      <c r="DM41" s="688" t="n">
        <v>45931</v>
      </c>
      <c r="DN41" s="654" t="n">
        <v>45923</v>
      </c>
      <c r="DO41" s="18" t="n"/>
      <c r="DP41" s="18" t="n"/>
      <c r="DQ41" s="18" t="n"/>
      <c r="DR41" s="18" t="n"/>
      <c r="DS41" s="18" t="n"/>
      <c r="DT41" s="18" t="n"/>
      <c r="DU41" s="18" t="n"/>
      <c r="DV41" s="18" t="n"/>
      <c r="DW41" s="18" t="n"/>
      <c r="DX41" s="18" t="n"/>
      <c r="DY41" s="18" t="n"/>
      <c r="DZ41" s="154" t="inlineStr">
        <is>
          <t>50 P/ CD + 20 P/ ER PG</t>
        </is>
      </c>
      <c r="EA41" s="18" t="n"/>
      <c r="EB41" s="18" t="n"/>
      <c r="EC41" s="18" t="n"/>
      <c r="ED41" s="18" t="n"/>
      <c r="EE41" s="18" t="n"/>
      <c r="EF41" s="18" t="n"/>
      <c r="EG41" s="18" t="n"/>
      <c r="EH41" s="18" t="n"/>
      <c r="EI41" s="18" t="n">
        <v>25</v>
      </c>
      <c r="EJ41" s="18" t="n"/>
      <c r="EK41" s="18" t="n"/>
      <c r="EL41" s="18" t="n"/>
      <c r="EM41" s="18" t="n"/>
      <c r="EN41" s="18" t="n"/>
      <c r="EO41" s="18" t="n"/>
      <c r="EP41" s="18" t="n"/>
      <c r="EQ41" s="18" t="n"/>
      <c r="ER41" s="18" t="n"/>
      <c r="ES41" s="256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>
        <v>50</v>
      </c>
      <c r="FC41" s="18" t="n"/>
      <c r="FD41" s="18" t="n"/>
      <c r="FE41" s="18" t="n"/>
      <c r="FF41" s="256" t="n"/>
      <c r="FG41" s="18" t="n"/>
      <c r="FH41" s="18" t="n"/>
      <c r="FI41" s="18" t="n"/>
      <c r="FJ41" s="18" t="n"/>
      <c r="FK41" s="18" t="n"/>
      <c r="FL41" s="256" t="n"/>
      <c r="FM41" s="18" t="n"/>
      <c r="FN41" s="18" t="n"/>
      <c r="FO41" s="18" t="n"/>
      <c r="FP41" s="18" t="n"/>
      <c r="FQ41" s="18" t="n"/>
      <c r="FR41" s="18" t="n"/>
      <c r="FS41" s="18" t="n"/>
      <c r="FT41" s="18" t="n"/>
      <c r="FU41" s="18" t="n"/>
      <c r="FV41" s="18" t="n"/>
      <c r="FW41" s="18" t="n"/>
      <c r="FX41" s="18" t="n"/>
      <c r="FY41" s="18" t="n"/>
    </row>
    <row r="42" hidden="1" ht="18.75" customHeight="1">
      <c r="A42" s="33" t="inlineStr">
        <is>
          <t>KIT OVERBAG OMNI P</t>
        </is>
      </c>
      <c r="B42" s="9" t="n">
        <v>25</v>
      </c>
      <c r="C42" s="662" t="n">
        <v>41.75</v>
      </c>
      <c r="D42" s="329" t="n">
        <v>10</v>
      </c>
      <c r="F42" s="9" t="n">
        <v>50</v>
      </c>
      <c r="G42" s="9" t="n">
        <v>50</v>
      </c>
      <c r="H42" s="9" t="n">
        <v>50</v>
      </c>
      <c r="I42" s="9" t="n">
        <v>50</v>
      </c>
      <c r="J42" s="9" t="n">
        <v>50</v>
      </c>
      <c r="K42" s="9" t="n">
        <v>50</v>
      </c>
      <c r="L42" s="9" t="n">
        <v>50</v>
      </c>
      <c r="M42" s="9" t="n">
        <v>50</v>
      </c>
      <c r="N42" s="9" t="n">
        <v>50</v>
      </c>
      <c r="O42" s="9" t="n">
        <v>50</v>
      </c>
      <c r="P42" s="9" t="n">
        <v>50</v>
      </c>
      <c r="Q42" s="9" t="n">
        <v>15</v>
      </c>
      <c r="R42" s="9" t="n">
        <v>15</v>
      </c>
      <c r="S42" s="9" t="n">
        <v>15</v>
      </c>
      <c r="T42" s="9" t="n">
        <v>0</v>
      </c>
      <c r="U42" s="9" t="n">
        <v>0</v>
      </c>
      <c r="V42" s="9">
        <f>0+FB41</f>
        <v/>
      </c>
      <c r="W42" s="9" t="n">
        <v>50</v>
      </c>
      <c r="X42" s="9" t="n">
        <v>50</v>
      </c>
      <c r="Y42" s="190" t="n">
        <v>0</v>
      </c>
      <c r="Z42" s="190" t="n">
        <v>0</v>
      </c>
      <c r="AA42" s="190" t="n">
        <v>0</v>
      </c>
      <c r="AB42" s="190" t="n">
        <v>0</v>
      </c>
      <c r="AC42" s="9" t="n">
        <v>0</v>
      </c>
      <c r="AD42" s="9" t="n">
        <v>0</v>
      </c>
      <c r="AE42" s="9" t="n">
        <v>75</v>
      </c>
      <c r="AF42" s="9" t="n">
        <v>75</v>
      </c>
      <c r="AG42" s="9" t="n">
        <v>75</v>
      </c>
      <c r="AH42" s="190" t="n">
        <v>125</v>
      </c>
      <c r="AI42" s="38" t="n">
        <v>125</v>
      </c>
      <c r="AJ42" s="38" t="n">
        <v>125</v>
      </c>
      <c r="AK42" s="38" t="n">
        <v>125</v>
      </c>
      <c r="AL42" s="38">
        <f>125-50-20</f>
        <v/>
      </c>
      <c r="AM42" s="38" t="n">
        <v>55</v>
      </c>
      <c r="AN42" s="38" t="n">
        <v>55</v>
      </c>
      <c r="AO42" s="38" t="n">
        <v>55</v>
      </c>
      <c r="AP42" s="38" t="n">
        <v>55</v>
      </c>
      <c r="AQ42" s="38" t="n">
        <v>55</v>
      </c>
      <c r="AR42" s="38" t="n">
        <v>55</v>
      </c>
      <c r="AS42" s="38" t="n">
        <v>55</v>
      </c>
      <c r="AT42" s="38" t="n">
        <v>55</v>
      </c>
      <c r="AU42" s="38" t="n">
        <v>55</v>
      </c>
      <c r="AV42" s="261" t="n">
        <v>30</v>
      </c>
      <c r="AW42" s="261" t="n">
        <v>30</v>
      </c>
      <c r="AX42" s="261" t="n">
        <v>30</v>
      </c>
      <c r="AY42" s="261" t="n">
        <v>30</v>
      </c>
      <c r="AZ42" s="38" t="n">
        <v>30</v>
      </c>
      <c r="BA42" s="38" t="n">
        <v>30</v>
      </c>
      <c r="BB42" s="38" t="n">
        <v>30</v>
      </c>
      <c r="BC42" s="38" t="n">
        <v>30</v>
      </c>
      <c r="BD42" s="38" t="n">
        <v>30</v>
      </c>
      <c r="BE42" s="38" t="n">
        <v>30</v>
      </c>
      <c r="BF42" s="38" t="n">
        <v>30</v>
      </c>
      <c r="BG42" s="38" t="n">
        <v>30</v>
      </c>
      <c r="BH42" s="38" t="n">
        <v>30</v>
      </c>
      <c r="BI42" s="38" t="n">
        <v>30</v>
      </c>
      <c r="BJ42" s="38" t="n">
        <v>0</v>
      </c>
      <c r="BK42" s="38" t="n">
        <v>0</v>
      </c>
      <c r="BL42" s="38" t="n">
        <v>0</v>
      </c>
      <c r="BM42" s="38" t="n">
        <v>0</v>
      </c>
      <c r="BN42" s="38" t="n">
        <v>0</v>
      </c>
      <c r="BO42" s="38" t="n"/>
      <c r="BP42" s="38" t="n"/>
      <c r="BQ42" s="38" t="n"/>
      <c r="BR42" s="38" t="n"/>
      <c r="BS42" s="38" t="n"/>
      <c r="BT42" s="38" t="n"/>
      <c r="BU42" s="38" t="n"/>
      <c r="BV42" s="38" t="n"/>
      <c r="BW42" s="38" t="n"/>
      <c r="BX42" s="38" t="n"/>
      <c r="BY42" s="38" t="n"/>
      <c r="BZ42" s="38" t="n"/>
      <c r="CA42" s="38" t="n"/>
      <c r="CB42" s="156">
        <f>BZ42+IF(NOT(ISBLANK(OFFSET(CB42,0,6))),N(OFFSET(CB42,0,6)),N(OFFSET(CB42,0,7)))-CA42</f>
        <v/>
      </c>
      <c r="CD42" s="127" t="n"/>
      <c r="CF42" s="27" t="n"/>
      <c r="CH42" s="18" t="n">
        <v>0</v>
      </c>
      <c r="CI42" s="18" t="n">
        <v>0</v>
      </c>
      <c r="CJ42" s="18" t="n"/>
      <c r="CK42" s="18" t="n"/>
      <c r="CL42" s="18" t="n"/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256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256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18" t="n"/>
      <c r="FE42" s="18" t="n"/>
      <c r="FF42" s="256" t="n"/>
      <c r="FG42" s="18" t="n"/>
      <c r="FH42" s="18" t="n"/>
      <c r="FI42" s="18" t="n"/>
      <c r="FJ42" s="18" t="n"/>
      <c r="FK42" s="18" t="n"/>
      <c r="FL42" s="256" t="n"/>
      <c r="FM42" s="18" t="n"/>
      <c r="FN42" s="18" t="n"/>
      <c r="FO42" s="18" t="n"/>
      <c r="FP42" s="18" t="n"/>
      <c r="FQ42" s="18" t="n"/>
      <c r="FR42" s="18" t="n"/>
      <c r="FS42" s="18" t="n"/>
      <c r="FT42" s="18" t="n"/>
      <c r="FU42" s="18" t="n"/>
      <c r="FV42" s="18" t="n"/>
      <c r="FW42" s="18" t="n"/>
      <c r="FX42" s="18" t="n"/>
      <c r="FY42" s="18" t="n"/>
    </row>
    <row r="43" hidden="1" ht="18.75" customHeight="1">
      <c r="A43" s="33" t="inlineStr">
        <is>
          <t>KIT OVERBAG OMNI M</t>
        </is>
      </c>
      <c r="B43" s="9" t="n">
        <v>25</v>
      </c>
      <c r="C43" s="662" t="n">
        <v>57</v>
      </c>
      <c r="D43" s="329" t="n">
        <v>10</v>
      </c>
      <c r="F43" s="38" t="n">
        <v>50</v>
      </c>
      <c r="G43" s="38" t="n">
        <v>50</v>
      </c>
      <c r="H43" s="38" t="n">
        <v>50</v>
      </c>
      <c r="I43" s="38" t="n">
        <v>50</v>
      </c>
      <c r="J43" s="38" t="n">
        <v>50</v>
      </c>
      <c r="K43" s="38" t="n">
        <v>50</v>
      </c>
      <c r="L43" s="38" t="n">
        <v>50</v>
      </c>
      <c r="M43" s="38" t="n">
        <v>50</v>
      </c>
      <c r="N43" s="38" t="n">
        <v>50</v>
      </c>
      <c r="O43" s="38" t="n">
        <v>50</v>
      </c>
      <c r="P43" s="38" t="n">
        <v>50</v>
      </c>
      <c r="Q43" s="38" t="n">
        <v>50</v>
      </c>
      <c r="R43" s="38" t="n">
        <v>50</v>
      </c>
      <c r="S43" s="38" t="n">
        <v>50</v>
      </c>
      <c r="T43" s="38" t="n">
        <v>50</v>
      </c>
      <c r="U43" s="38" t="n">
        <v>50</v>
      </c>
      <c r="V43" s="38" t="n">
        <v>50</v>
      </c>
      <c r="W43" s="38" t="n">
        <v>50</v>
      </c>
      <c r="X43" s="38" t="n">
        <v>50</v>
      </c>
      <c r="Y43" s="38" t="n">
        <v>50</v>
      </c>
      <c r="Z43" s="38" t="n">
        <v>50</v>
      </c>
      <c r="AA43" s="38" t="n">
        <v>50</v>
      </c>
      <c r="AB43" s="38" t="n">
        <v>50</v>
      </c>
      <c r="AC43" s="38" t="n">
        <v>50</v>
      </c>
      <c r="AD43" s="38" t="n">
        <v>50</v>
      </c>
      <c r="AE43" s="38" t="n">
        <v>50</v>
      </c>
      <c r="AF43" s="38" t="n">
        <v>50</v>
      </c>
      <c r="AG43" s="38" t="n">
        <v>50</v>
      </c>
      <c r="AH43" s="38" t="n">
        <v>50</v>
      </c>
      <c r="AI43" s="38" t="n">
        <v>50</v>
      </c>
      <c r="AJ43" s="38" t="n">
        <v>50</v>
      </c>
      <c r="AK43" s="38" t="n">
        <v>50</v>
      </c>
      <c r="AL43" s="38" t="n">
        <v>50</v>
      </c>
      <c r="AM43" s="38" t="n">
        <v>50</v>
      </c>
      <c r="AN43" s="38" t="n">
        <v>50</v>
      </c>
      <c r="AO43" s="38" t="n">
        <v>50</v>
      </c>
      <c r="AP43" s="38" t="n">
        <v>50</v>
      </c>
      <c r="AQ43" s="38" t="n">
        <v>50</v>
      </c>
      <c r="AR43" s="38" t="n">
        <v>50</v>
      </c>
      <c r="AS43" s="38" t="n">
        <v>50</v>
      </c>
      <c r="AT43" s="38" t="n">
        <v>50</v>
      </c>
      <c r="AU43" s="38" t="n">
        <v>50</v>
      </c>
      <c r="AV43" s="261" t="n">
        <v>29</v>
      </c>
      <c r="AW43" s="261" t="n">
        <v>29</v>
      </c>
      <c r="AX43" s="261" t="n">
        <v>29</v>
      </c>
      <c r="AY43" s="261" t="n">
        <v>29</v>
      </c>
      <c r="AZ43" s="38" t="n">
        <v>29</v>
      </c>
      <c r="BA43" s="38" t="n">
        <v>29</v>
      </c>
      <c r="BB43" s="38" t="n">
        <v>29</v>
      </c>
      <c r="BC43" s="38" t="n">
        <v>29</v>
      </c>
      <c r="BD43" s="38" t="n">
        <v>29</v>
      </c>
      <c r="BE43" s="38" t="n">
        <v>29</v>
      </c>
      <c r="BF43" s="38" t="n">
        <v>29</v>
      </c>
      <c r="BG43" s="38" t="n">
        <v>29</v>
      </c>
      <c r="BH43" s="38" t="n">
        <v>29</v>
      </c>
      <c r="BI43" s="38" t="n">
        <v>29</v>
      </c>
      <c r="BJ43" s="38" t="n">
        <v>0</v>
      </c>
      <c r="BK43" s="38" t="n">
        <v>0</v>
      </c>
      <c r="BL43" s="38" t="n">
        <v>0</v>
      </c>
      <c r="BM43" s="38" t="n">
        <v>0</v>
      </c>
      <c r="BN43" s="38" t="n">
        <v>0</v>
      </c>
      <c r="BO43" s="38" t="n"/>
      <c r="BP43" s="38" t="n"/>
      <c r="BQ43" s="38" t="n"/>
      <c r="BR43" s="38" t="n"/>
      <c r="BS43" s="38" t="n"/>
      <c r="BT43" s="38" t="n"/>
      <c r="BU43" s="38" t="n"/>
      <c r="BV43" s="38" t="n"/>
      <c r="BW43" s="38" t="n"/>
      <c r="BX43" s="38" t="n"/>
      <c r="BY43" s="38" t="n"/>
      <c r="BZ43" s="38" t="n"/>
      <c r="CA43" s="38" t="n"/>
      <c r="CB43" s="156">
        <f>BZ43+IF(NOT(ISBLANK(OFFSET(CB43,0,6))),N(OFFSET(CB43,0,6)),N(OFFSET(CB43,0,7)))-CA43</f>
        <v/>
      </c>
      <c r="CD43" s="19" t="n"/>
      <c r="CF43" s="27" t="n"/>
      <c r="CH43" s="18" t="n">
        <v>0</v>
      </c>
      <c r="CI43" s="18" t="n">
        <v>0</v>
      </c>
      <c r="CJ43" s="18" t="n"/>
      <c r="CK43" s="18" t="n"/>
      <c r="CL43" s="18" t="n"/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256" t="n"/>
      <c r="DN43" s="18" t="n"/>
    </row>
    <row r="44" hidden="1" ht="18.75" customHeight="1">
      <c r="B44" s="53" t="n"/>
      <c r="C44" s="53" t="n"/>
      <c r="D44" s="53" t="n"/>
      <c r="CB44" s="53" t="n"/>
      <c r="CF44" s="6" t="n"/>
      <c r="DM44" s="271" t="n"/>
      <c r="DO44" s="654" t="n">
        <v>45909</v>
      </c>
      <c r="DP44" s="654" t="n">
        <v>45915</v>
      </c>
      <c r="DQ44" s="654" t="n">
        <v>45909</v>
      </c>
      <c r="DR44" s="654" t="n">
        <v>45903</v>
      </c>
      <c r="DS44" s="654" t="n">
        <v>45895</v>
      </c>
      <c r="DT44" s="654" t="n">
        <v>45895</v>
      </c>
      <c r="DU44" s="679" t="n">
        <v>45896</v>
      </c>
      <c r="DV44" s="654" t="n">
        <v>45888</v>
      </c>
      <c r="DW44" s="654" t="n">
        <v>45881</v>
      </c>
      <c r="DX44" s="654" t="n">
        <v>45881</v>
      </c>
      <c r="DY44" s="654" t="n">
        <v>45874</v>
      </c>
      <c r="DZ44" s="655" t="n">
        <v>45882</v>
      </c>
      <c r="EA44" s="655" t="n">
        <v>45881</v>
      </c>
      <c r="EB44" s="654" t="n">
        <v>45867</v>
      </c>
      <c r="EC44" s="654" t="n">
        <v>45860</v>
      </c>
      <c r="ED44" s="654" t="n">
        <v>45860</v>
      </c>
      <c r="EE44" s="655" t="n">
        <v>45860</v>
      </c>
      <c r="EF44" s="654" t="n">
        <v>45848</v>
      </c>
      <c r="EG44" s="681" t="n">
        <v>45853</v>
      </c>
      <c r="EH44" s="654" t="n">
        <v>45839</v>
      </c>
      <c r="EI44" s="654" t="n">
        <v>45825</v>
      </c>
      <c r="EJ44" s="681" t="n">
        <v>45791</v>
      </c>
      <c r="EK44" s="655" t="n">
        <v>45826</v>
      </c>
      <c r="EL44" s="654" t="n">
        <v>45813</v>
      </c>
      <c r="EM44" s="655" t="n">
        <v>45819</v>
      </c>
      <c r="EN44" s="654" t="n">
        <v>45805</v>
      </c>
      <c r="EO44" s="654" t="n">
        <v>45783</v>
      </c>
      <c r="EP44" s="655" t="n">
        <v>45807</v>
      </c>
      <c r="EQ44" s="654" t="n">
        <v>45790</v>
      </c>
      <c r="ER44" s="690" t="n">
        <v>45800</v>
      </c>
      <c r="ES44" s="650" t="n">
        <v>45799</v>
      </c>
      <c r="ET44" s="655" t="n">
        <v>45798</v>
      </c>
      <c r="EU44" s="654" t="n">
        <v>45783</v>
      </c>
      <c r="EV44" s="654" t="n">
        <v>45783</v>
      </c>
      <c r="EW44" s="654" t="n">
        <v>45775</v>
      </c>
      <c r="EX44" s="654" t="n">
        <v>45770</v>
      </c>
      <c r="EY44" s="654" t="n">
        <v>45743</v>
      </c>
      <c r="EZ44" s="683" t="n">
        <v>45735</v>
      </c>
      <c r="FA44" s="655" t="n">
        <v>45775</v>
      </c>
      <c r="FB44" s="654" t="n">
        <v>45756</v>
      </c>
      <c r="FC44" s="654" t="n">
        <v>45749</v>
      </c>
      <c r="FD44" s="654" t="n">
        <v>45743</v>
      </c>
      <c r="FE44" s="654" t="n">
        <v>45743</v>
      </c>
      <c r="FF44" s="650" t="n">
        <v>45741</v>
      </c>
      <c r="FG44" s="654" t="n">
        <v>45728</v>
      </c>
      <c r="FH44" s="654" t="n">
        <v>45728</v>
      </c>
      <c r="FI44" s="654" t="n">
        <v>45722</v>
      </c>
      <c r="FJ44" s="654" t="n">
        <v>45714</v>
      </c>
      <c r="FK44" s="654" t="n">
        <v>45706</v>
      </c>
      <c r="FL44" s="650" t="n">
        <v>45700</v>
      </c>
      <c r="FM44" s="654" t="n">
        <v>45699</v>
      </c>
      <c r="FN44" s="654" t="n">
        <v>45706</v>
      </c>
      <c r="FO44" s="654" t="n">
        <v>45693</v>
      </c>
      <c r="FP44" s="654" t="n">
        <v>45685</v>
      </c>
      <c r="FQ44" s="654" t="n">
        <v>45679</v>
      </c>
      <c r="FR44" s="654" t="n">
        <v>45660</v>
      </c>
      <c r="FS44" s="654" t="n">
        <v>45674</v>
      </c>
      <c r="FT44" s="655" t="n">
        <v>45672</v>
      </c>
      <c r="FU44" s="654" t="n">
        <v>45652</v>
      </c>
      <c r="FV44" s="655" t="n">
        <v>45670</v>
      </c>
      <c r="FW44" s="654" t="n">
        <v>45664</v>
      </c>
      <c r="FX44" s="654" t="n">
        <v>45660</v>
      </c>
      <c r="FY44" s="654" t="n">
        <v>45660</v>
      </c>
    </row>
    <row r="45" ht="18.75" customHeight="1">
      <c r="A45" s="586" t="inlineStr">
        <is>
          <t>SACOLAS/SACO/DIVERSOS OUI</t>
        </is>
      </c>
      <c r="B45" s="133" t="n"/>
      <c r="C45" s="133" t="n"/>
      <c r="D45" s="133" t="n"/>
      <c r="F45" s="650" t="n">
        <v>45656</v>
      </c>
      <c r="G45" s="650" t="n">
        <v>45663</v>
      </c>
      <c r="H45" s="650" t="n">
        <v>45670</v>
      </c>
      <c r="I45" s="650" t="n">
        <v>45677</v>
      </c>
      <c r="J45" s="650" t="n">
        <v>45684</v>
      </c>
      <c r="K45" s="650" t="n">
        <v>45691</v>
      </c>
      <c r="L45" s="650" t="n">
        <v>45698</v>
      </c>
      <c r="M45" s="650" t="n">
        <v>45705</v>
      </c>
      <c r="N45" s="650" t="n">
        <v>45712</v>
      </c>
      <c r="O45" s="650" t="n">
        <v>45719</v>
      </c>
      <c r="P45" s="650" t="n">
        <v>45726</v>
      </c>
      <c r="Q45" s="650" t="n">
        <v>45733</v>
      </c>
      <c r="R45" s="650" t="n">
        <v>45740</v>
      </c>
      <c r="S45" s="650" t="n">
        <v>45747</v>
      </c>
      <c r="T45" s="650" t="n">
        <v>45754</v>
      </c>
      <c r="U45" s="650" t="n">
        <v>45761</v>
      </c>
      <c r="V45" s="650" t="n">
        <v>45768</v>
      </c>
      <c r="W45" s="650" t="n">
        <v>45775</v>
      </c>
      <c r="X45" s="650" t="n">
        <v>45782</v>
      </c>
      <c r="Y45" s="650" t="n">
        <v>45789</v>
      </c>
      <c r="Z45" s="650" t="n">
        <v>45796</v>
      </c>
      <c r="AA45" s="650" t="n">
        <v>45803</v>
      </c>
      <c r="AB45" s="650" t="n">
        <v>45810</v>
      </c>
      <c r="AC45" s="650" t="n">
        <v>45817</v>
      </c>
      <c r="AD45" s="650" t="n">
        <v>45824</v>
      </c>
      <c r="AE45" s="650" t="n">
        <v>45831</v>
      </c>
      <c r="AF45" s="650" t="n">
        <v>45838</v>
      </c>
      <c r="AG45" s="650" t="n">
        <v>45845</v>
      </c>
      <c r="AH45" s="650" t="n">
        <v>45852</v>
      </c>
      <c r="AI45" s="650" t="n">
        <v>45859</v>
      </c>
      <c r="AJ45" s="650" t="n">
        <v>45866</v>
      </c>
      <c r="AK45" s="650" t="n">
        <v>45873</v>
      </c>
      <c r="AL45" s="650" t="n">
        <v>45880</v>
      </c>
      <c r="AM45" s="650" t="n">
        <v>45887</v>
      </c>
      <c r="AN45" s="650" t="n">
        <v>45894</v>
      </c>
      <c r="AO45" s="650" t="n">
        <v>45901</v>
      </c>
      <c r="AP45" s="650" t="n">
        <v>45908</v>
      </c>
      <c r="AQ45" s="650" t="n">
        <v>45915</v>
      </c>
      <c r="AR45" s="650" t="n">
        <v>45922</v>
      </c>
      <c r="AS45" s="650" t="n">
        <v>45929</v>
      </c>
      <c r="AT45" s="650" t="n">
        <v>45936</v>
      </c>
      <c r="AU45" s="650" t="n">
        <v>45943</v>
      </c>
      <c r="AV45" s="650" t="n">
        <v>45950</v>
      </c>
      <c r="AW45" s="650" t="n">
        <v>45957</v>
      </c>
      <c r="AX45" s="650" t="n">
        <v>45964</v>
      </c>
      <c r="AY45" s="650" t="n">
        <v>45971</v>
      </c>
      <c r="AZ45" s="650" t="n">
        <v>45978</v>
      </c>
      <c r="BA45" s="650" t="n">
        <v>45985</v>
      </c>
      <c r="BB45" s="650" t="n">
        <v>45992</v>
      </c>
      <c r="BC45" s="650" t="n">
        <v>45999</v>
      </c>
      <c r="BD45" s="650" t="n">
        <v>46006</v>
      </c>
      <c r="BE45" s="650" t="n">
        <v>46013</v>
      </c>
      <c r="BF45" s="650" t="n">
        <v>46020</v>
      </c>
      <c r="BG45" s="650" t="n">
        <v>46027</v>
      </c>
      <c r="BH45" s="650" t="n">
        <v>46034</v>
      </c>
      <c r="BI45" s="650" t="n">
        <v>46041</v>
      </c>
      <c r="BJ45" s="650" t="n">
        <v>46048</v>
      </c>
      <c r="BK45" s="650" t="n">
        <v>46055</v>
      </c>
      <c r="BL45" s="650" t="n">
        <v>46062</v>
      </c>
      <c r="BM45" s="650" t="n">
        <v>46069</v>
      </c>
      <c r="BN45" s="650" t="n">
        <v>46076</v>
      </c>
      <c r="BO45" s="650" t="n">
        <v>46083</v>
      </c>
      <c r="BP45" s="650" t="n">
        <v>46090</v>
      </c>
      <c r="BQ45" s="650" t="n">
        <v>46097</v>
      </c>
      <c r="BR45" s="650" t="n">
        <v>46104</v>
      </c>
      <c r="BS45" s="650" t="n">
        <v>46111</v>
      </c>
      <c r="BT45" s="650" t="n">
        <v>46118</v>
      </c>
      <c r="BU45" s="650" t="n">
        <v>46125</v>
      </c>
      <c r="BV45" s="650" t="n">
        <v>46132</v>
      </c>
      <c r="BW45" s="650" t="n">
        <v>46139</v>
      </c>
      <c r="BX45" s="650" t="n">
        <v>46146</v>
      </c>
      <c r="BY45" s="650" t="n">
        <v>46154</v>
      </c>
      <c r="BZ45" s="650" t="n">
        <v>46160</v>
      </c>
      <c r="CA45" s="650" t="n">
        <v>46160</v>
      </c>
      <c r="CB45" s="652" t="inlineStr">
        <is>
          <t>USOU</t>
        </is>
      </c>
      <c r="CD45" s="35" t="inlineStr">
        <is>
          <t>Pend.</t>
        </is>
      </c>
      <c r="CF45" s="12" t="inlineStr">
        <is>
          <t>Novo Pedido</t>
        </is>
      </c>
      <c r="CH45" s="654" t="n">
        <v>46156</v>
      </c>
      <c r="CI45" s="654" t="n">
        <v>46149</v>
      </c>
      <c r="CJ45" s="654" t="n">
        <v>46114</v>
      </c>
      <c r="CK45" s="710" t="n">
        <v>46065</v>
      </c>
      <c r="CL45" s="654" t="n">
        <v>46092</v>
      </c>
      <c r="CM45" s="654" t="n">
        <v>46092</v>
      </c>
      <c r="CN45" s="654" t="n">
        <v>46084</v>
      </c>
      <c r="CO45" s="711" t="n">
        <v>46045</v>
      </c>
      <c r="CP45" s="654" t="n">
        <v>46071</v>
      </c>
      <c r="CQ45" s="654" t="n">
        <v>46043</v>
      </c>
      <c r="CR45" s="654" t="n">
        <v>46029</v>
      </c>
      <c r="CS45" s="654" t="n">
        <v>46024</v>
      </c>
      <c r="CT45" s="655" t="n">
        <v>46041</v>
      </c>
      <c r="CU45" s="654" t="n">
        <v>46029</v>
      </c>
      <c r="CV45" s="654" t="n">
        <v>46024</v>
      </c>
      <c r="CW45" s="654" t="n">
        <v>46007</v>
      </c>
      <c r="CX45" s="654" t="n">
        <v>46001</v>
      </c>
      <c r="CY45" s="654" t="n">
        <v>45994</v>
      </c>
      <c r="CZ45" s="654" t="n">
        <v>45986</v>
      </c>
      <c r="DA45" s="654" t="n">
        <v>45986</v>
      </c>
      <c r="DB45" s="654" t="n">
        <v>45980</v>
      </c>
      <c r="DC45" s="654" t="n">
        <v>45980</v>
      </c>
      <c r="DD45" s="654" t="n">
        <v>45973</v>
      </c>
      <c r="DE45" s="654" t="n">
        <v>45973</v>
      </c>
      <c r="DF45" s="654" t="n">
        <v>45965</v>
      </c>
      <c r="DG45" s="654" t="n">
        <v>45965</v>
      </c>
      <c r="DH45" s="654" t="n">
        <v>45960</v>
      </c>
      <c r="DI45" s="654" t="n">
        <v>45951</v>
      </c>
      <c r="DJ45" s="654" t="n">
        <v>45937</v>
      </c>
      <c r="DK45" s="654" t="n">
        <v>45931</v>
      </c>
      <c r="DL45" s="678" t="n">
        <v>45903</v>
      </c>
      <c r="DM45" s="688" t="n">
        <v>45931</v>
      </c>
      <c r="DN45" s="654" t="n">
        <v>45923</v>
      </c>
      <c r="DO45" s="18" t="n"/>
      <c r="DP45" s="18" t="n"/>
      <c r="DQ45" s="18" t="n"/>
      <c r="DR45" s="18" t="n"/>
      <c r="DS45" s="18" t="n"/>
      <c r="DT45" s="18" t="n"/>
      <c r="DU45" s="18" t="n"/>
      <c r="DV45" s="18" t="n"/>
      <c r="DW45" s="18" t="n"/>
      <c r="DX45" s="18" t="n"/>
      <c r="DY45" s="18" t="n"/>
      <c r="DZ45" s="732" t="n"/>
      <c r="EA45" s="732" t="n"/>
      <c r="EB45" s="18" t="n"/>
      <c r="EC45" s="18" t="n"/>
      <c r="ED45" s="18" t="n"/>
      <c r="EE45" s="732" t="n"/>
      <c r="EF45" s="18" t="n"/>
      <c r="EG45" s="18" t="n"/>
      <c r="EH45" s="18" t="n"/>
      <c r="EI45" s="18" t="n"/>
      <c r="EJ45" s="18" t="n"/>
      <c r="EK45" s="732" t="n"/>
      <c r="EL45" s="18" t="n"/>
      <c r="EM45" s="732" t="n"/>
      <c r="EN45" s="18" t="n"/>
      <c r="EO45" s="18" t="n"/>
      <c r="EP45" s="732" t="n"/>
      <c r="EQ45" s="18" t="n"/>
      <c r="ER45" s="732" t="n"/>
      <c r="ES45" s="256" t="n"/>
      <c r="ET45" s="732" t="n"/>
      <c r="EU45" s="18" t="n"/>
      <c r="EV45" s="18" t="n"/>
      <c r="EW45" s="18" t="n"/>
      <c r="EX45" s="18" t="n"/>
      <c r="EY45" s="18" t="n"/>
      <c r="EZ45" s="732" t="n"/>
      <c r="FA45" s="18" t="n"/>
      <c r="FB45" s="18" t="n"/>
      <c r="FC45" s="18" t="n"/>
      <c r="FD45" s="18" t="n"/>
      <c r="FE45" s="18" t="n"/>
      <c r="FF45" s="256" t="n"/>
      <c r="FG45" s="18" t="n"/>
      <c r="FH45" s="18" t="n"/>
      <c r="FI45" s="18" t="n"/>
      <c r="FJ45" s="18" t="n"/>
      <c r="FK45" s="18" t="n"/>
      <c r="FL45" s="256" t="n"/>
      <c r="FM45" s="18" t="n"/>
      <c r="FN45" s="18" t="n"/>
      <c r="FO45" s="18" t="n"/>
      <c r="FP45" s="18" t="n"/>
      <c r="FQ45" s="18" t="n"/>
      <c r="FR45" s="18" t="n"/>
      <c r="FS45" s="18" t="n"/>
      <c r="FT45" s="18" t="n"/>
      <c r="FU45" s="18" t="n"/>
      <c r="FV45" s="18" t="n"/>
      <c r="FW45" s="18" t="n"/>
      <c r="FX45" s="18" t="n"/>
      <c r="FY45" s="18" t="n"/>
    </row>
    <row r="46" ht="18.75" customFormat="1" customHeight="1" s="3">
      <c r="A46" s="43" t="inlineStr">
        <is>
          <t>SACOLA P OUI</t>
        </is>
      </c>
      <c r="B46" s="36" t="n">
        <v>150</v>
      </c>
      <c r="C46" s="668" t="n">
        <v>469.25</v>
      </c>
      <c r="D46" s="329" t="n">
        <v>10</v>
      </c>
      <c r="F46" s="38" t="n">
        <v>30</v>
      </c>
      <c r="G46" s="38" t="n">
        <v>30</v>
      </c>
      <c r="H46" s="38" t="n">
        <v>30</v>
      </c>
      <c r="I46" s="38" t="n">
        <v>30</v>
      </c>
      <c r="J46" s="38" t="n">
        <v>30</v>
      </c>
      <c r="K46" s="38" t="n">
        <v>30</v>
      </c>
      <c r="L46" s="38" t="n">
        <v>30</v>
      </c>
      <c r="M46" s="38" t="n">
        <v>30</v>
      </c>
      <c r="N46" s="38" t="n">
        <v>30</v>
      </c>
      <c r="O46" s="38" t="n">
        <v>30</v>
      </c>
      <c r="P46" s="38" t="n">
        <v>30</v>
      </c>
      <c r="Q46" s="38" t="n">
        <v>30</v>
      </c>
      <c r="R46" s="38" t="n">
        <v>30</v>
      </c>
      <c r="S46" s="38" t="n">
        <v>30</v>
      </c>
      <c r="T46" s="38" t="n">
        <v>30</v>
      </c>
      <c r="U46" s="38" t="n">
        <v>30</v>
      </c>
      <c r="V46" s="38" t="n">
        <v>30</v>
      </c>
      <c r="W46" s="38" t="n">
        <v>30</v>
      </c>
      <c r="X46" s="38" t="n">
        <v>30</v>
      </c>
      <c r="Y46" s="38" t="n">
        <v>30</v>
      </c>
      <c r="Z46" s="38" t="n">
        <v>30</v>
      </c>
      <c r="AA46" s="38" t="n">
        <v>30</v>
      </c>
      <c r="AB46" s="261" t="n">
        <v>5</v>
      </c>
      <c r="AC46" s="261" t="n">
        <v>5</v>
      </c>
      <c r="AD46" s="38" t="n">
        <v>5</v>
      </c>
      <c r="AE46" s="38" t="n">
        <v>5</v>
      </c>
      <c r="AF46" s="38" t="n">
        <v>5</v>
      </c>
      <c r="AG46" s="38" t="n">
        <v>5</v>
      </c>
      <c r="AH46" s="261" t="n">
        <v>30</v>
      </c>
      <c r="AI46" s="38" t="n">
        <v>30</v>
      </c>
      <c r="AJ46" s="38" t="n">
        <v>30</v>
      </c>
      <c r="AK46" s="38" t="n">
        <v>30</v>
      </c>
      <c r="AL46" s="38" t="n">
        <v>30</v>
      </c>
      <c r="AM46" s="38" t="n">
        <v>30</v>
      </c>
      <c r="AN46" s="38" t="n">
        <v>30</v>
      </c>
      <c r="AO46" s="38" t="n">
        <v>30</v>
      </c>
      <c r="AP46" s="38" t="n">
        <v>30</v>
      </c>
      <c r="AQ46" s="38" t="n">
        <v>30</v>
      </c>
      <c r="AR46" s="38" t="n">
        <v>30</v>
      </c>
      <c r="AS46" s="38" t="n">
        <v>30</v>
      </c>
      <c r="AT46" s="38" t="n">
        <v>30</v>
      </c>
      <c r="AU46" s="38" t="n">
        <v>30</v>
      </c>
      <c r="AV46" s="38" t="n">
        <v>25</v>
      </c>
      <c r="AW46" s="38" t="n">
        <v>25</v>
      </c>
      <c r="AX46" s="38" t="n">
        <v>25</v>
      </c>
      <c r="AY46" s="38" t="n">
        <v>25</v>
      </c>
      <c r="AZ46" s="38" t="n">
        <v>25</v>
      </c>
      <c r="BA46" s="38" t="n">
        <v>25</v>
      </c>
      <c r="BB46" s="38" t="n">
        <v>25</v>
      </c>
      <c r="BC46" s="38" t="n">
        <v>25</v>
      </c>
      <c r="BD46" s="38" t="n">
        <v>25</v>
      </c>
      <c r="BE46" s="38" t="n">
        <v>25</v>
      </c>
      <c r="BF46" s="38" t="n">
        <v>25</v>
      </c>
      <c r="BG46" s="38" t="n">
        <v>25</v>
      </c>
      <c r="BH46" s="38" t="n">
        <v>25</v>
      </c>
      <c r="BI46" s="38" t="n">
        <v>25</v>
      </c>
      <c r="BJ46" s="38" t="n">
        <v>25</v>
      </c>
      <c r="BK46" s="38" t="n">
        <v>25</v>
      </c>
      <c r="BL46" s="38" t="n">
        <v>25</v>
      </c>
      <c r="BM46" s="38" t="n">
        <v>25</v>
      </c>
      <c r="BN46" s="38" t="n">
        <v>25</v>
      </c>
      <c r="BO46" s="38" t="n">
        <v>24</v>
      </c>
      <c r="BP46" s="38" t="n">
        <v>24</v>
      </c>
      <c r="BQ46" s="38" t="n">
        <v>24</v>
      </c>
      <c r="BR46" s="38" t="n">
        <v>24</v>
      </c>
      <c r="BS46" s="38" t="n">
        <v>24</v>
      </c>
      <c r="BT46" s="38" t="n"/>
      <c r="BU46" s="38" t="n"/>
      <c r="BV46" s="38" t="n"/>
      <c r="BW46" s="38" t="n">
        <v>23</v>
      </c>
      <c r="BX46" s="38" t="n">
        <v>23</v>
      </c>
      <c r="BY46" s="38" t="n">
        <v>23</v>
      </c>
      <c r="BZ46" s="38" t="n">
        <v>23</v>
      </c>
      <c r="CA46" s="38" t="n">
        <v>23</v>
      </c>
      <c r="CB46" s="154">
        <f>BZ46+IF(NOT(ISBLANK(OFFSET(CB46,0,6))),N(OFFSET(CB46,0,6)),N(OFFSET(CB46,0,7)))-CA46</f>
        <v/>
      </c>
      <c r="CC46" s="6" t="n"/>
      <c r="CD46" s="233" t="inlineStr">
        <is>
          <t>05 P/ ER MG</t>
        </is>
      </c>
      <c r="CE46" s="49" t="n"/>
      <c r="CF46" s="19" t="n"/>
      <c r="CG46" s="51" t="n"/>
      <c r="CH46" s="18" t="n">
        <v>0</v>
      </c>
      <c r="CI46" s="18" t="n">
        <v>0</v>
      </c>
      <c r="CJ46" s="18" t="n"/>
      <c r="CK46" s="18" t="n"/>
      <c r="CL46" s="18" t="n"/>
      <c r="CM46" s="18" t="n"/>
      <c r="CN46" s="18" t="n"/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256" t="n"/>
      <c r="DN46" s="18" t="n"/>
      <c r="DO46" s="18" t="n"/>
      <c r="DP46" s="18" t="n"/>
      <c r="DQ46" s="18" t="n"/>
      <c r="DR46" s="18" t="n"/>
      <c r="DS46" s="18" t="n"/>
      <c r="DT46" s="18" t="n"/>
      <c r="DU46" s="18" t="n"/>
      <c r="DV46" s="18" t="n"/>
      <c r="DW46" s="18" t="n"/>
      <c r="DX46" s="18" t="n"/>
      <c r="DY46" s="18" t="n"/>
      <c r="DZ46" s="18" t="n"/>
      <c r="EA46" s="18" t="n"/>
      <c r="EB46" s="18" t="n"/>
      <c r="EC46" s="18" t="n"/>
      <c r="ED46" s="18" t="n"/>
      <c r="EE46" s="18" t="n"/>
      <c r="EF46" s="18" t="n"/>
      <c r="EG46" s="18" t="n"/>
      <c r="EH46" s="18" t="n"/>
      <c r="EI46" s="18" t="n"/>
      <c r="EJ46" s="18" t="n"/>
      <c r="EK46" s="18" t="n"/>
      <c r="EL46" s="18" t="n"/>
      <c r="EM46" s="18" t="n"/>
      <c r="EN46" s="18" t="n"/>
      <c r="EO46" s="18" t="n"/>
      <c r="EP46" s="18" t="n"/>
      <c r="EQ46" s="18" t="n"/>
      <c r="ER46" s="18" t="n"/>
      <c r="ES46" s="256" t="n"/>
      <c r="ET46" s="18" t="n"/>
      <c r="EU46" s="18" t="n"/>
      <c r="EV46" s="18" t="n"/>
      <c r="EW46" s="18" t="n"/>
      <c r="EX46" s="18" t="n"/>
      <c r="EY46" s="18" t="n"/>
      <c r="EZ46" s="18" t="n"/>
      <c r="FA46" s="18" t="n"/>
      <c r="FB46" s="18" t="n"/>
      <c r="FC46" s="18" t="n"/>
      <c r="FD46" s="18" t="n"/>
      <c r="FE46" s="18" t="n"/>
      <c r="FF46" s="18" t="n"/>
      <c r="FG46" s="18" t="n"/>
      <c r="FH46" s="18" t="n"/>
      <c r="FI46" s="18" t="n"/>
      <c r="FJ46" s="18" t="n"/>
      <c r="FK46" s="18" t="n"/>
      <c r="FL46" s="18" t="n"/>
      <c r="FM46" s="256" t="n"/>
      <c r="FN46" s="18" t="n"/>
      <c r="FO46" s="18" t="n"/>
      <c r="FP46" s="18" t="n"/>
      <c r="FQ46" s="18" t="n"/>
      <c r="FR46" s="18" t="n"/>
      <c r="FS46" s="18" t="n"/>
      <c r="FT46" s="18" t="n"/>
      <c r="FU46" s="18" t="n"/>
      <c r="FV46" s="18" t="n"/>
      <c r="FW46" s="18" t="n"/>
      <c r="FX46" s="18" t="n"/>
      <c r="FY46" s="18" t="n"/>
    </row>
    <row r="47" ht="18.75" customFormat="1" customHeight="1" s="3">
      <c r="A47" s="43" t="inlineStr">
        <is>
          <t>SACOLA M OUI</t>
        </is>
      </c>
      <c r="B47" s="36" t="n">
        <v>100</v>
      </c>
      <c r="C47" s="668" t="n">
        <v>368.23</v>
      </c>
      <c r="D47" s="329" t="n">
        <v>10</v>
      </c>
      <c r="F47" s="38" t="n">
        <v>20</v>
      </c>
      <c r="G47" s="38" t="n">
        <v>20</v>
      </c>
      <c r="H47" s="38" t="n">
        <v>20</v>
      </c>
      <c r="I47" s="38" t="n">
        <v>20</v>
      </c>
      <c r="J47" s="38" t="n">
        <v>20</v>
      </c>
      <c r="K47" s="38" t="n">
        <v>20</v>
      </c>
      <c r="L47" s="38" t="n">
        <v>20</v>
      </c>
      <c r="M47" s="38" t="n">
        <v>20</v>
      </c>
      <c r="N47" s="38" t="n">
        <v>20</v>
      </c>
      <c r="O47" s="38" t="n">
        <v>20</v>
      </c>
      <c r="P47" s="38" t="n">
        <v>20</v>
      </c>
      <c r="Q47" s="38" t="n">
        <v>20</v>
      </c>
      <c r="R47" s="38" t="n">
        <v>20</v>
      </c>
      <c r="S47" s="38" t="n">
        <v>20</v>
      </c>
      <c r="T47" s="38" t="n">
        <v>20</v>
      </c>
      <c r="U47" s="38" t="n">
        <v>20</v>
      </c>
      <c r="V47" s="38" t="n">
        <v>20</v>
      </c>
      <c r="W47" s="38" t="n">
        <v>20</v>
      </c>
      <c r="X47" s="38" t="n">
        <v>20</v>
      </c>
      <c r="Y47" s="38" t="n">
        <v>20</v>
      </c>
      <c r="Z47" s="38" t="n">
        <v>20</v>
      </c>
      <c r="AA47" s="38" t="n">
        <v>20</v>
      </c>
      <c r="AB47" s="38" t="n">
        <v>20</v>
      </c>
      <c r="AC47" s="38" t="n">
        <v>20</v>
      </c>
      <c r="AD47" s="38" t="n">
        <v>20</v>
      </c>
      <c r="AE47" s="38" t="n">
        <v>20</v>
      </c>
      <c r="AF47" s="38" t="n">
        <v>20</v>
      </c>
      <c r="AG47" s="38" t="n">
        <v>20</v>
      </c>
      <c r="AH47" s="38" t="n">
        <v>20</v>
      </c>
      <c r="AI47" s="38" t="n">
        <v>20</v>
      </c>
      <c r="AJ47" s="38" t="n">
        <v>20</v>
      </c>
      <c r="AK47" s="38" t="n">
        <v>20</v>
      </c>
      <c r="AL47" s="38" t="n">
        <v>20</v>
      </c>
      <c r="AM47" s="38" t="n">
        <v>20</v>
      </c>
      <c r="AN47" s="38" t="n">
        <v>20</v>
      </c>
      <c r="AO47" s="38" t="n">
        <v>20</v>
      </c>
      <c r="AP47" s="38" t="n">
        <v>20</v>
      </c>
      <c r="AQ47" s="38" t="n">
        <v>20</v>
      </c>
      <c r="AR47" s="38" t="n">
        <v>20</v>
      </c>
      <c r="AS47" s="38" t="n">
        <v>20</v>
      </c>
      <c r="AT47" s="38" t="n">
        <v>20</v>
      </c>
      <c r="AU47" s="38" t="n">
        <v>19</v>
      </c>
      <c r="AV47" s="38" t="n">
        <v>14</v>
      </c>
      <c r="AW47" s="38" t="n">
        <v>14</v>
      </c>
      <c r="AX47" s="38" t="n">
        <v>14</v>
      </c>
      <c r="AY47" s="38" t="n">
        <v>14</v>
      </c>
      <c r="AZ47" s="38" t="n">
        <v>14</v>
      </c>
      <c r="BA47" s="38" t="n">
        <v>14</v>
      </c>
      <c r="BB47" s="38" t="n">
        <v>14</v>
      </c>
      <c r="BC47" s="38" t="n">
        <v>14</v>
      </c>
      <c r="BD47" s="38" t="n">
        <v>14</v>
      </c>
      <c r="BE47" s="38" t="n">
        <v>14</v>
      </c>
      <c r="BF47" s="38" t="n">
        <v>14</v>
      </c>
      <c r="BG47" s="38" t="n">
        <v>14</v>
      </c>
      <c r="BH47" s="38" t="n">
        <v>14</v>
      </c>
      <c r="BI47" s="38" t="n">
        <v>14</v>
      </c>
      <c r="BJ47" s="38" t="n">
        <v>14</v>
      </c>
      <c r="BK47" s="38" t="n">
        <v>14</v>
      </c>
      <c r="BL47" s="38" t="n">
        <v>14</v>
      </c>
      <c r="BM47" s="38" t="n">
        <v>14</v>
      </c>
      <c r="BN47" s="38" t="n">
        <v>13</v>
      </c>
      <c r="BO47" s="38" t="n">
        <v>13</v>
      </c>
      <c r="BP47" s="38" t="n">
        <v>13</v>
      </c>
      <c r="BQ47" s="38" t="n">
        <v>13</v>
      </c>
      <c r="BR47" s="38" t="n">
        <v>13</v>
      </c>
      <c r="BS47" s="38" t="n">
        <v>13</v>
      </c>
      <c r="BT47" s="38" t="n"/>
      <c r="BU47" s="38" t="n"/>
      <c r="BV47" s="38" t="n"/>
      <c r="BW47" s="38" t="n">
        <v>12</v>
      </c>
      <c r="BX47" s="38" t="n">
        <v>12</v>
      </c>
      <c r="BY47" s="38" t="n">
        <v>11</v>
      </c>
      <c r="BZ47" s="38" t="n">
        <v>11</v>
      </c>
      <c r="CA47" s="38" t="n">
        <v>11</v>
      </c>
      <c r="CB47" s="154">
        <f>BZ47+IF(NOT(ISBLANK(OFFSET(CB47,0,6))),N(OFFSET(CB47,0,6)),N(OFFSET(CB47,0,7)))-CA47</f>
        <v/>
      </c>
      <c r="CC47" s="6" t="n"/>
      <c r="CD47" s="233" t="inlineStr">
        <is>
          <t>05 P/ ER MG</t>
        </is>
      </c>
      <c r="CE47" s="49" t="n"/>
      <c r="CF47" s="19" t="n"/>
      <c r="CG47" s="49" t="n"/>
      <c r="CH47" s="18" t="n">
        <v>0</v>
      </c>
      <c r="CI47" s="18" t="n">
        <v>0</v>
      </c>
      <c r="CJ47" s="18" t="n"/>
      <c r="CK47" s="18" t="n"/>
      <c r="CL47" s="18" t="n"/>
      <c r="CM47" s="18" t="n"/>
      <c r="CN47" s="18" t="n"/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256" t="n"/>
      <c r="DN47" s="18" t="n"/>
      <c r="DO47" s="18" t="n"/>
      <c r="DP47" s="18" t="n"/>
      <c r="DQ47" s="18" t="n"/>
      <c r="DR47" s="18" t="n"/>
      <c r="DS47" s="18" t="n"/>
      <c r="DT47" s="18" t="n"/>
      <c r="DU47" s="18" t="n"/>
      <c r="DV47" s="18" t="n"/>
      <c r="DW47" s="18" t="n"/>
      <c r="DX47" s="18" t="n"/>
      <c r="DY47" s="18" t="n"/>
      <c r="DZ47" s="18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256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18" t="n"/>
      <c r="FE47" s="18" t="n"/>
      <c r="FF47" s="18" t="n"/>
      <c r="FG47" s="18" t="n"/>
      <c r="FH47" s="18" t="n"/>
      <c r="FI47" s="18" t="n"/>
      <c r="FJ47" s="18" t="n"/>
      <c r="FK47" s="18" t="n"/>
      <c r="FL47" s="18" t="n"/>
      <c r="FM47" s="256" t="n"/>
      <c r="FN47" s="18" t="n"/>
      <c r="FO47" s="18" t="n"/>
      <c r="FP47" s="18" t="n"/>
      <c r="FQ47" s="18" t="n"/>
      <c r="FR47" s="18" t="n"/>
      <c r="FS47" s="18" t="n"/>
      <c r="FT47" s="239" t="inlineStr">
        <is>
          <t>10 DE VDP</t>
        </is>
      </c>
      <c r="FU47" s="18" t="n"/>
      <c r="FV47" s="18" t="n"/>
      <c r="FW47" s="18" t="n"/>
      <c r="FX47" s="18" t="n"/>
      <c r="FY47" s="18" t="n"/>
    </row>
    <row r="48" ht="18.75" customHeight="1">
      <c r="A48" s="43" t="inlineStr">
        <is>
          <t>SACOLA G OUI</t>
        </is>
      </c>
      <c r="B48" s="36" t="n">
        <v>50</v>
      </c>
      <c r="C48" s="668" t="n">
        <v>257.98</v>
      </c>
      <c r="D48" s="329" t="n">
        <v>10</v>
      </c>
      <c r="F48" s="38" t="n">
        <v>3</v>
      </c>
      <c r="G48" s="38">
        <f>3+10</f>
        <v/>
      </c>
      <c r="H48" s="38" t="n">
        <v>13</v>
      </c>
      <c r="I48" s="38" t="n">
        <v>13</v>
      </c>
      <c r="J48" s="38" t="n">
        <v>13</v>
      </c>
      <c r="K48" s="38" t="n">
        <v>11</v>
      </c>
      <c r="L48" s="38" t="n">
        <v>11</v>
      </c>
      <c r="M48" s="38" t="n">
        <v>11</v>
      </c>
      <c r="N48" s="38" t="n">
        <v>11</v>
      </c>
      <c r="O48" s="38" t="n">
        <v>11</v>
      </c>
      <c r="P48" s="38" t="n">
        <v>11</v>
      </c>
      <c r="Q48" s="38" t="n">
        <v>11</v>
      </c>
      <c r="R48" s="38" t="n">
        <v>11</v>
      </c>
      <c r="S48" s="38" t="n">
        <v>11</v>
      </c>
      <c r="T48" s="38" t="n">
        <v>11</v>
      </c>
      <c r="U48" s="38" t="n">
        <v>11</v>
      </c>
      <c r="V48" s="38" t="n">
        <v>9</v>
      </c>
      <c r="W48" s="38" t="n">
        <v>9</v>
      </c>
      <c r="X48" s="38" t="n">
        <v>9</v>
      </c>
      <c r="Y48" s="38" t="n">
        <v>9</v>
      </c>
      <c r="Z48" s="38" t="n">
        <v>9</v>
      </c>
      <c r="AA48" s="38" t="n">
        <v>9</v>
      </c>
      <c r="AB48" s="38" t="n">
        <v>9</v>
      </c>
      <c r="AC48" s="38" t="n">
        <v>9</v>
      </c>
      <c r="AD48" s="38" t="n">
        <v>9</v>
      </c>
      <c r="AE48" s="38" t="n">
        <v>9</v>
      </c>
      <c r="AF48" s="38" t="n">
        <v>9</v>
      </c>
      <c r="AG48" s="38" t="n">
        <v>9</v>
      </c>
      <c r="AH48" s="38" t="n">
        <v>8</v>
      </c>
      <c r="AI48" s="38" t="n">
        <v>8</v>
      </c>
      <c r="AJ48" s="38" t="n">
        <v>8</v>
      </c>
      <c r="AK48" s="38" t="n">
        <v>8</v>
      </c>
      <c r="AL48" s="38" t="n">
        <v>8</v>
      </c>
      <c r="AM48" s="38" t="n">
        <v>1</v>
      </c>
      <c r="AN48" s="38" t="n">
        <v>1</v>
      </c>
      <c r="AO48" s="38" t="n">
        <v>1</v>
      </c>
      <c r="AP48" s="38" t="n">
        <v>1</v>
      </c>
      <c r="AQ48" s="38" t="n">
        <v>8</v>
      </c>
      <c r="AR48" s="38" t="n">
        <v>8</v>
      </c>
      <c r="AS48" s="38" t="n">
        <v>8</v>
      </c>
      <c r="AT48" s="38" t="n">
        <v>8</v>
      </c>
      <c r="AU48" s="38" t="n">
        <v>8</v>
      </c>
      <c r="AV48" s="38" t="n">
        <v>8</v>
      </c>
      <c r="AW48" s="38" t="n">
        <v>8</v>
      </c>
      <c r="AX48" s="38" t="n">
        <v>8</v>
      </c>
      <c r="AY48" s="38" t="n">
        <v>8</v>
      </c>
      <c r="AZ48" s="38" t="n">
        <v>8</v>
      </c>
      <c r="BA48" s="38" t="n">
        <v>8</v>
      </c>
      <c r="BB48" s="261" t="n">
        <v>18</v>
      </c>
      <c r="BC48" s="38" t="n">
        <v>18</v>
      </c>
      <c r="BD48" s="38" t="n">
        <v>18</v>
      </c>
      <c r="BE48" s="38" t="n">
        <v>18</v>
      </c>
      <c r="BF48" s="38" t="n">
        <v>18</v>
      </c>
      <c r="BG48" s="38" t="n">
        <v>18</v>
      </c>
      <c r="BH48" s="38" t="n">
        <v>18</v>
      </c>
      <c r="BI48" s="38" t="n">
        <v>18</v>
      </c>
      <c r="BJ48" s="38" t="n">
        <v>18</v>
      </c>
      <c r="BK48" s="38" t="n">
        <v>18</v>
      </c>
      <c r="BL48" s="38" t="n">
        <v>18</v>
      </c>
      <c r="BM48" s="38" t="n">
        <v>18</v>
      </c>
      <c r="BN48" s="38" t="n">
        <v>18</v>
      </c>
      <c r="BO48" s="38" t="n">
        <v>18</v>
      </c>
      <c r="BP48" s="38" t="n">
        <v>18</v>
      </c>
      <c r="BQ48" s="38" t="n">
        <v>18</v>
      </c>
      <c r="BR48" s="38" t="n">
        <v>18</v>
      </c>
      <c r="BS48" s="38" t="n">
        <v>18</v>
      </c>
      <c r="BT48" s="38" t="n"/>
      <c r="BU48" s="38" t="n"/>
      <c r="BV48" s="38" t="n"/>
      <c r="BW48" s="38" t="n">
        <v>18</v>
      </c>
      <c r="BX48" s="38" t="n">
        <v>18</v>
      </c>
      <c r="BY48" s="38" t="n">
        <v>18</v>
      </c>
      <c r="BZ48" s="38" t="n">
        <v>18</v>
      </c>
      <c r="CA48" s="38" t="n">
        <v>18</v>
      </c>
      <c r="CB48" s="154">
        <f>BZ48+IF(NOT(ISBLANK(OFFSET(CB48,0,6))),N(OFFSET(CB48,0,6)),N(OFFSET(CB48,0,7)))-CA48</f>
        <v/>
      </c>
      <c r="CC48" s="53" t="n"/>
      <c r="CD48" s="233" t="inlineStr">
        <is>
          <t>05 P/ ER MG</t>
        </is>
      </c>
      <c r="CF48" s="19" t="n"/>
      <c r="CH48" s="18" t="n">
        <v>0</v>
      </c>
      <c r="CI48" s="18" t="n">
        <v>0</v>
      </c>
      <c r="CJ48" s="18" t="n"/>
      <c r="CK48" s="18" t="n"/>
      <c r="CL48" s="18" t="n"/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256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256" t="n"/>
      <c r="ET48" s="18" t="n"/>
      <c r="EU48" s="18" t="n"/>
      <c r="EV48" s="18" t="n"/>
      <c r="EW48" s="18" t="n"/>
      <c r="EX48" s="18" t="n"/>
      <c r="EY48" s="18" t="n"/>
      <c r="EZ48" s="18" t="n"/>
      <c r="FA48" s="18" t="n"/>
      <c r="FB48" s="18" t="n"/>
      <c r="FC48" s="18" t="n"/>
      <c r="FD48" s="18" t="n"/>
      <c r="FE48" s="18" t="n"/>
      <c r="FF48" s="18" t="n"/>
      <c r="FG48" s="18" t="n"/>
      <c r="FH48" s="18" t="n"/>
      <c r="FI48" s="18" t="n"/>
      <c r="FJ48" s="18" t="n"/>
      <c r="FK48" s="18" t="n"/>
      <c r="FL48" s="18" t="n"/>
      <c r="FM48" s="256" t="n"/>
      <c r="FN48" s="18" t="n"/>
      <c r="FO48" s="18" t="n"/>
      <c r="FP48" s="18" t="n"/>
      <c r="FQ48" s="18" t="n"/>
      <c r="FR48" s="18" t="n"/>
      <c r="FS48" s="18" t="n"/>
      <c r="FT48" s="18" t="n"/>
      <c r="FU48" s="18" t="n"/>
      <c r="FV48" s="18" t="n"/>
      <c r="FW48" s="18" t="n"/>
      <c r="FX48" s="18" t="n"/>
      <c r="FY48" s="18" t="n"/>
    </row>
    <row r="49" ht="18.75" customHeight="1">
      <c r="A49" s="43" t="inlineStr">
        <is>
          <t>PAPEL DE SEDA OUI</t>
        </is>
      </c>
      <c r="B49" s="36" t="n">
        <v>500</v>
      </c>
      <c r="C49" s="668" t="n">
        <v>143.38</v>
      </c>
      <c r="D49" s="329" t="n">
        <v>1</v>
      </c>
      <c r="F49" s="38" t="n">
        <v>2</v>
      </c>
      <c r="G49" s="38" t="n">
        <v>2</v>
      </c>
      <c r="H49" s="38" t="n">
        <v>2</v>
      </c>
      <c r="I49" s="38" t="n">
        <v>2</v>
      </c>
      <c r="J49" s="38" t="n">
        <v>2</v>
      </c>
      <c r="K49" s="38" t="n">
        <v>2</v>
      </c>
      <c r="L49" s="38" t="n">
        <v>2</v>
      </c>
      <c r="M49" s="38" t="n">
        <v>2</v>
      </c>
      <c r="N49" s="38" t="n">
        <v>2</v>
      </c>
      <c r="O49" s="38" t="n">
        <v>2</v>
      </c>
      <c r="P49" s="38" t="n">
        <v>2</v>
      </c>
      <c r="Q49" s="38" t="n">
        <v>2</v>
      </c>
      <c r="R49" s="38" t="n">
        <v>2</v>
      </c>
      <c r="S49" s="38" t="n">
        <v>2</v>
      </c>
      <c r="T49" s="38" t="n">
        <v>2</v>
      </c>
      <c r="U49" s="38" t="n">
        <v>2</v>
      </c>
      <c r="V49" s="38" t="n">
        <v>2</v>
      </c>
      <c r="W49" s="38" t="n">
        <v>2</v>
      </c>
      <c r="X49" s="38" t="n">
        <v>2</v>
      </c>
      <c r="Y49" s="38" t="n">
        <v>1</v>
      </c>
      <c r="Z49" s="38" t="n">
        <v>1</v>
      </c>
      <c r="AA49" s="38" t="n">
        <v>1</v>
      </c>
      <c r="AB49" s="38" t="n">
        <v>1</v>
      </c>
      <c r="AC49" s="38" t="n">
        <v>1</v>
      </c>
      <c r="AD49" s="38" t="n">
        <v>1</v>
      </c>
      <c r="AE49" s="38" t="n">
        <v>1</v>
      </c>
      <c r="AF49" s="38" t="n">
        <v>1</v>
      </c>
      <c r="AG49" s="38" t="n">
        <v>1</v>
      </c>
      <c r="AH49" s="38" t="n">
        <v>1</v>
      </c>
      <c r="AI49" s="38" t="n">
        <v>1</v>
      </c>
      <c r="AJ49" s="38" t="n">
        <v>1</v>
      </c>
      <c r="AK49" s="38" t="n">
        <v>1</v>
      </c>
      <c r="AL49" s="38" t="n">
        <v>1</v>
      </c>
      <c r="AM49" s="38" t="n">
        <v>1</v>
      </c>
      <c r="AN49" s="38" t="n">
        <v>1</v>
      </c>
      <c r="AO49" s="38" t="n">
        <v>1</v>
      </c>
      <c r="AP49" s="38" t="n">
        <v>1</v>
      </c>
      <c r="AQ49" s="38" t="n">
        <v>1</v>
      </c>
      <c r="AR49" s="38" t="n">
        <v>1</v>
      </c>
      <c r="AS49" s="38" t="n">
        <v>1</v>
      </c>
      <c r="AT49" s="38" t="n">
        <v>1</v>
      </c>
      <c r="AU49" s="38" t="n">
        <v>1</v>
      </c>
      <c r="AV49" s="38" t="n">
        <v>1</v>
      </c>
      <c r="AW49" s="38" t="n">
        <v>1</v>
      </c>
      <c r="AX49" s="38" t="n">
        <v>1</v>
      </c>
      <c r="AY49" s="38" t="n">
        <v>1</v>
      </c>
      <c r="AZ49" s="38" t="n">
        <v>1</v>
      </c>
      <c r="BA49" s="38" t="n">
        <v>1</v>
      </c>
      <c r="BB49" s="38" t="n">
        <v>1</v>
      </c>
      <c r="BC49" s="38" t="n">
        <v>1</v>
      </c>
      <c r="BD49" s="38" t="n">
        <v>1</v>
      </c>
      <c r="BE49" s="38" t="n">
        <v>1</v>
      </c>
      <c r="BF49" s="38" t="n">
        <v>1</v>
      </c>
      <c r="BG49" s="38" t="n">
        <v>1</v>
      </c>
      <c r="BH49" s="38" t="n">
        <v>1</v>
      </c>
      <c r="BI49" s="38" t="n">
        <v>1</v>
      </c>
      <c r="BJ49" s="38" t="n">
        <v>0</v>
      </c>
      <c r="BK49" s="38" t="n">
        <v>0</v>
      </c>
      <c r="BL49" s="38" t="n">
        <v>0</v>
      </c>
      <c r="BM49" s="38" t="n">
        <v>0</v>
      </c>
      <c r="BN49" s="38" t="n">
        <v>0</v>
      </c>
      <c r="BO49" s="38" t="n">
        <v>0</v>
      </c>
      <c r="BP49" s="38" t="n">
        <v>0</v>
      </c>
      <c r="BQ49" s="38" t="n">
        <v>0</v>
      </c>
      <c r="BR49" s="38" t="n">
        <v>0</v>
      </c>
      <c r="BS49" s="38" t="n">
        <v>0</v>
      </c>
      <c r="BT49" s="38" t="n">
        <v>0</v>
      </c>
      <c r="BU49" s="38" t="n">
        <v>0</v>
      </c>
      <c r="BV49" s="38" t="n">
        <v>0</v>
      </c>
      <c r="BW49" s="38" t="n">
        <v>0</v>
      </c>
      <c r="BX49" s="38" t="n">
        <v>0</v>
      </c>
      <c r="BY49" s="38" t="n">
        <v>0</v>
      </c>
      <c r="BZ49" s="38" t="n"/>
      <c r="CA49" s="38" t="n"/>
      <c r="CB49" s="154">
        <f>BZ49+IF(NOT(ISBLANK(OFFSET(CB49,0,6))),N(OFFSET(CB49,0,6)),N(OFFSET(CB49,0,7)))-CA49</f>
        <v/>
      </c>
      <c r="CD49" s="19" t="n"/>
      <c r="CF49" s="27" t="n"/>
      <c r="CH49" s="18" t="n">
        <v>0</v>
      </c>
      <c r="CI49" s="18" t="n">
        <v>0</v>
      </c>
      <c r="CJ49" s="18" t="n"/>
      <c r="CK49" s="18" t="n"/>
      <c r="CL49" s="18" t="n"/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256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256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18" t="n"/>
      <c r="FE49" s="18" t="n"/>
      <c r="FF49" s="256" t="n"/>
      <c r="FG49" s="18" t="n"/>
      <c r="FH49" s="18" t="n"/>
      <c r="FI49" s="18" t="n"/>
      <c r="FJ49" s="18" t="n"/>
      <c r="FK49" s="18" t="n"/>
      <c r="FL49" s="256" t="n"/>
      <c r="FM49" s="18" t="n"/>
      <c r="FN49" s="18" t="n"/>
      <c r="FO49" s="18" t="n"/>
      <c r="FP49" s="18" t="n"/>
      <c r="FQ49" s="18" t="n"/>
      <c r="FR49" s="18" t="n"/>
      <c r="FS49" s="18" t="n"/>
      <c r="FT49" s="18" t="n"/>
      <c r="FU49" s="18" t="n"/>
      <c r="FV49" s="18" t="n"/>
      <c r="FW49" s="18" t="n"/>
      <c r="FX49" s="18" t="n">
        <v>2</v>
      </c>
      <c r="FY49" s="18" t="n"/>
    </row>
    <row r="50" ht="18.75" customHeight="1">
      <c r="A50" s="33" t="inlineStr">
        <is>
          <t>ETIQUETA OUI</t>
        </is>
      </c>
      <c r="B50" s="9" t="n">
        <v>1000</v>
      </c>
      <c r="C50" s="662" t="n">
        <v>187.49</v>
      </c>
      <c r="D50" s="329" t="n">
        <v>1</v>
      </c>
      <c r="E50" s="2" t="n"/>
      <c r="F50" s="38" t="n">
        <v>0</v>
      </c>
      <c r="G50" s="38" t="n">
        <v>0</v>
      </c>
      <c r="H50" s="38" t="n">
        <v>2</v>
      </c>
      <c r="I50" s="38" t="n">
        <v>2</v>
      </c>
      <c r="J50" s="38" t="n">
        <v>2</v>
      </c>
      <c r="K50" s="38" t="n">
        <v>2</v>
      </c>
      <c r="L50" s="38" t="n">
        <v>2</v>
      </c>
      <c r="M50" s="38" t="n">
        <v>2</v>
      </c>
      <c r="N50" s="38" t="n">
        <v>2</v>
      </c>
      <c r="O50" s="38" t="n">
        <v>2</v>
      </c>
      <c r="P50" s="38" t="n">
        <v>2</v>
      </c>
      <c r="Q50" s="38" t="n">
        <v>2</v>
      </c>
      <c r="R50" s="38" t="n">
        <v>2</v>
      </c>
      <c r="S50" s="38" t="n">
        <v>2</v>
      </c>
      <c r="T50" s="38" t="n">
        <v>2</v>
      </c>
      <c r="U50" s="38" t="n">
        <v>2</v>
      </c>
      <c r="V50" s="38" t="n">
        <v>2</v>
      </c>
      <c r="W50" s="38" t="n">
        <v>2</v>
      </c>
      <c r="X50" s="38" t="n">
        <v>2</v>
      </c>
      <c r="Y50" s="38" t="n">
        <v>2</v>
      </c>
      <c r="Z50" s="38" t="n">
        <v>2</v>
      </c>
      <c r="AA50" s="38" t="n">
        <v>2</v>
      </c>
      <c r="AB50" s="38" t="n">
        <v>2</v>
      </c>
      <c r="AC50" s="38" t="n">
        <v>2</v>
      </c>
      <c r="AD50" s="38" t="n">
        <v>2</v>
      </c>
      <c r="AE50" s="38" t="n">
        <v>2</v>
      </c>
      <c r="AF50" s="38" t="n">
        <v>2</v>
      </c>
      <c r="AG50" s="38" t="n">
        <v>2</v>
      </c>
      <c r="AH50" s="38" t="n">
        <v>2</v>
      </c>
      <c r="AI50" s="38" t="n">
        <v>1</v>
      </c>
      <c r="AJ50" s="38" t="n">
        <v>1</v>
      </c>
      <c r="AK50" s="38" t="n">
        <v>1</v>
      </c>
      <c r="AL50" s="38" t="n">
        <v>1</v>
      </c>
      <c r="AM50" s="38" t="n">
        <v>1</v>
      </c>
      <c r="AN50" s="38" t="n">
        <v>1</v>
      </c>
      <c r="AO50" s="38" t="n">
        <v>1</v>
      </c>
      <c r="AP50" s="38" t="n">
        <v>1</v>
      </c>
      <c r="AQ50" s="38" t="n">
        <v>1</v>
      </c>
      <c r="AR50" s="38" t="n">
        <v>1</v>
      </c>
      <c r="AS50" s="38" t="n">
        <v>1</v>
      </c>
      <c r="AT50" s="38" t="n">
        <v>1</v>
      </c>
      <c r="AU50" s="38" t="n">
        <v>1</v>
      </c>
      <c r="AV50" s="38" t="n">
        <v>1</v>
      </c>
      <c r="AW50" s="38" t="n">
        <v>1</v>
      </c>
      <c r="AX50" s="38" t="n">
        <v>1</v>
      </c>
      <c r="AY50" s="38" t="n">
        <v>1</v>
      </c>
      <c r="AZ50" s="38" t="n">
        <v>1</v>
      </c>
      <c r="BA50" s="38" t="n">
        <v>1</v>
      </c>
      <c r="BB50" s="38" t="n">
        <v>1</v>
      </c>
      <c r="BC50" s="38" t="n">
        <v>1</v>
      </c>
      <c r="BD50" s="38" t="n">
        <v>1</v>
      </c>
      <c r="BE50" s="38" t="n">
        <v>1</v>
      </c>
      <c r="BF50" s="38" t="n">
        <v>1</v>
      </c>
      <c r="BG50" s="38" t="n">
        <v>1</v>
      </c>
      <c r="BH50" s="38" t="n">
        <v>1</v>
      </c>
      <c r="BI50" s="38">
        <f>1+1</f>
        <v/>
      </c>
      <c r="BJ50" s="38" t="n">
        <v>0</v>
      </c>
      <c r="BK50" s="38" t="n">
        <v>0</v>
      </c>
      <c r="BL50" s="38" t="n">
        <v>0</v>
      </c>
      <c r="BM50" s="38" t="n">
        <v>0</v>
      </c>
      <c r="BN50" s="38" t="n">
        <v>0</v>
      </c>
      <c r="BO50" s="38" t="n">
        <v>0</v>
      </c>
      <c r="BP50" s="38" t="n">
        <v>0</v>
      </c>
      <c r="BQ50" s="38" t="n">
        <v>0</v>
      </c>
      <c r="BR50" s="38" t="n">
        <v>0</v>
      </c>
      <c r="BS50" s="38" t="n">
        <v>0</v>
      </c>
      <c r="BT50" s="38" t="n">
        <v>0</v>
      </c>
      <c r="BU50" s="38" t="n">
        <v>0</v>
      </c>
      <c r="BV50" s="38" t="n">
        <v>0</v>
      </c>
      <c r="BW50" s="38" t="n">
        <v>0</v>
      </c>
      <c r="BX50" s="38" t="n">
        <v>0</v>
      </c>
      <c r="BY50" s="38" t="n">
        <v>0</v>
      </c>
      <c r="BZ50" s="38" t="n"/>
      <c r="CA50" s="38" t="n"/>
      <c r="CB50" s="154">
        <f>BZ50+IF(NOT(ISBLANK(OFFSET(CB50,0,6))),N(OFFSET(CB50,0,6)),N(OFFSET(CB50,0,7)))-CA50</f>
        <v/>
      </c>
      <c r="CD50" s="128" t="n"/>
      <c r="CE50" s="4" t="n"/>
      <c r="CF50" s="27" t="n"/>
      <c r="CG50" s="4" t="n"/>
      <c r="CH50" s="18" t="n">
        <v>0</v>
      </c>
      <c r="CI50" s="18" t="n">
        <v>0</v>
      </c>
      <c r="CJ50" s="18" t="n"/>
      <c r="CK50" s="18" t="n"/>
      <c r="CL50" s="18" t="n"/>
      <c r="CM50" s="18" t="n"/>
      <c r="CN50" s="18" t="n"/>
      <c r="CO50" s="18" t="n"/>
      <c r="CP50" s="18" t="n"/>
      <c r="CQ50" s="18" t="n"/>
      <c r="CR50" s="18" t="n"/>
      <c r="CS50" s="18" t="n"/>
      <c r="CT50" s="154" t="inlineStr">
        <is>
          <t>1 DE ER MG</t>
        </is>
      </c>
      <c r="CU50" s="18" t="n"/>
      <c r="CV50" s="18" t="n"/>
      <c r="CW50" s="18" t="n"/>
      <c r="CX50" s="18" t="n"/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256" t="n"/>
      <c r="DN50" s="18" t="n"/>
      <c r="DO50" s="18" t="n"/>
      <c r="DP50" s="18" t="n"/>
      <c r="DQ50" s="18" t="n"/>
      <c r="DR50" s="18" t="n"/>
      <c r="DS50" s="18" t="n"/>
      <c r="DT50" s="18" t="n"/>
      <c r="DU50" s="18" t="n"/>
      <c r="DV50" s="18" t="n"/>
      <c r="DW50" s="18" t="n"/>
      <c r="DX50" s="18" t="n"/>
      <c r="DY50" s="18" t="n"/>
      <c r="DZ50" s="18" t="n"/>
      <c r="EA50" s="18" t="n"/>
      <c r="EB50" s="18" t="n"/>
      <c r="EC50" s="18" t="n"/>
      <c r="ED50" s="18" t="n"/>
      <c r="EE50" s="18" t="n"/>
      <c r="EF50" s="18" t="n"/>
      <c r="EG50" s="18" t="n"/>
      <c r="EH50" s="18" t="n"/>
      <c r="EI50" s="18" t="n"/>
      <c r="EJ50" s="18" t="n"/>
      <c r="EK50" s="18" t="n"/>
      <c r="EL50" s="18" t="n"/>
      <c r="EM50" s="18" t="n"/>
      <c r="EN50" s="18" t="n"/>
      <c r="EO50" s="18" t="n"/>
      <c r="EP50" s="18" t="n"/>
      <c r="EQ50" s="18" t="n"/>
      <c r="ER50" s="18" t="n"/>
      <c r="ES50" s="256" t="n"/>
      <c r="ET50" s="18" t="n"/>
      <c r="EU50" s="18" t="n"/>
      <c r="EV50" s="18" t="n"/>
      <c r="EW50" s="18" t="n"/>
      <c r="EX50" s="18" t="n"/>
      <c r="EY50" s="18" t="n"/>
      <c r="EZ50" s="18" t="n"/>
      <c r="FA50" s="18" t="n"/>
      <c r="FB50" s="18" t="n"/>
      <c r="FC50" s="18" t="n"/>
      <c r="FD50" s="18" t="n"/>
      <c r="FE50" s="18" t="n"/>
      <c r="FF50" s="256" t="n"/>
      <c r="FG50" s="18" t="n"/>
      <c r="FH50" s="18" t="n"/>
      <c r="FI50" s="18" t="n"/>
      <c r="FJ50" s="18" t="n"/>
      <c r="FK50" s="18" t="n"/>
      <c r="FL50" s="256" t="n"/>
      <c r="FM50" s="18" t="n"/>
      <c r="FN50" s="18" t="n"/>
      <c r="FO50" s="18" t="n"/>
      <c r="FP50" s="18" t="n"/>
      <c r="FQ50" s="18" t="n"/>
      <c r="FR50" s="18" t="n"/>
      <c r="FS50" s="18" t="n"/>
      <c r="FT50" s="18" t="n"/>
      <c r="FU50" s="18" t="n"/>
      <c r="FV50" s="18" t="n"/>
      <c r="FW50" s="18" t="n"/>
      <c r="FX50" s="18" t="n"/>
      <c r="FY50" s="18" t="n"/>
    </row>
    <row r="51" ht="18.75" customHeight="1">
      <c r="A51" s="33" t="inlineStr">
        <is>
          <t>LÂMINA OLFATIVA OUI</t>
        </is>
      </c>
      <c r="B51" s="9" t="n">
        <v>3000</v>
      </c>
      <c r="C51" s="662" t="n">
        <v>231.61</v>
      </c>
      <c r="D51" s="329" t="n">
        <v>1</v>
      </c>
      <c r="E51" s="2" t="n"/>
      <c r="F51" s="38" t="n">
        <v>2</v>
      </c>
      <c r="G51" s="38" t="n">
        <v>2</v>
      </c>
      <c r="H51" s="38" t="n">
        <v>2</v>
      </c>
      <c r="I51" s="38" t="n">
        <v>2</v>
      </c>
      <c r="J51" s="38" t="n">
        <v>2</v>
      </c>
      <c r="K51" s="38" t="n">
        <v>2</v>
      </c>
      <c r="L51" s="38" t="n">
        <v>2</v>
      </c>
      <c r="M51" s="38" t="n">
        <v>2</v>
      </c>
      <c r="N51" s="38" t="n">
        <v>2</v>
      </c>
      <c r="O51" s="38" t="n">
        <v>2</v>
      </c>
      <c r="P51" s="38" t="n">
        <v>2</v>
      </c>
      <c r="Q51" s="38" t="n">
        <v>3</v>
      </c>
      <c r="R51" s="38" t="n">
        <v>3</v>
      </c>
      <c r="S51" s="38" t="n">
        <v>3</v>
      </c>
      <c r="T51" s="38" t="n">
        <v>3</v>
      </c>
      <c r="U51" s="38" t="n">
        <v>3</v>
      </c>
      <c r="V51" s="38" t="n">
        <v>3</v>
      </c>
      <c r="W51" s="38" t="n">
        <v>2</v>
      </c>
      <c r="X51" s="38" t="n">
        <v>2</v>
      </c>
      <c r="Y51" s="38" t="n">
        <v>2</v>
      </c>
      <c r="Z51" s="38" t="n">
        <v>2</v>
      </c>
      <c r="AA51" s="38" t="n">
        <v>2</v>
      </c>
      <c r="AB51" s="38" t="n">
        <v>2</v>
      </c>
      <c r="AC51" s="38" t="n">
        <v>2</v>
      </c>
      <c r="AD51" s="38" t="n">
        <v>2</v>
      </c>
      <c r="AE51" s="38" t="n">
        <v>2</v>
      </c>
      <c r="AF51" s="38" t="n">
        <v>2</v>
      </c>
      <c r="AG51" s="38" t="n">
        <v>2</v>
      </c>
      <c r="AH51" s="38" t="n">
        <v>2</v>
      </c>
      <c r="AI51" s="38" t="n">
        <v>2</v>
      </c>
      <c r="AJ51" s="38" t="n">
        <v>2</v>
      </c>
      <c r="AK51" s="38" t="n">
        <v>2</v>
      </c>
      <c r="AL51" s="38" t="n">
        <v>2</v>
      </c>
      <c r="AM51" s="38" t="n">
        <v>2</v>
      </c>
      <c r="AN51" s="38" t="n">
        <v>2</v>
      </c>
      <c r="AO51" s="38" t="n">
        <v>2</v>
      </c>
      <c r="AP51" s="38" t="n">
        <v>2</v>
      </c>
      <c r="AQ51" s="38" t="n">
        <v>2</v>
      </c>
      <c r="AR51" s="38" t="n">
        <v>2</v>
      </c>
      <c r="AS51" s="38" t="n">
        <v>2</v>
      </c>
      <c r="AT51" s="38" t="n">
        <v>2</v>
      </c>
      <c r="AU51" s="38" t="n">
        <v>2</v>
      </c>
      <c r="AV51" s="38" t="n">
        <v>2</v>
      </c>
      <c r="AW51" s="38" t="n">
        <v>2</v>
      </c>
      <c r="AX51" s="38" t="n">
        <v>2</v>
      </c>
      <c r="AY51" s="38" t="n">
        <v>2</v>
      </c>
      <c r="AZ51" s="38" t="n">
        <v>2</v>
      </c>
      <c r="BA51" s="38" t="n">
        <v>2</v>
      </c>
      <c r="BB51" s="38" t="n">
        <v>2</v>
      </c>
      <c r="BC51" s="38" t="n">
        <v>2</v>
      </c>
      <c r="BD51" s="38" t="n">
        <v>2</v>
      </c>
      <c r="BE51" s="38" t="n">
        <v>2</v>
      </c>
      <c r="BF51" s="38" t="n">
        <v>2</v>
      </c>
      <c r="BG51" s="38" t="n">
        <v>2</v>
      </c>
      <c r="BH51" s="38" t="n">
        <v>2</v>
      </c>
      <c r="BI51" s="38">
        <f>2+1</f>
        <v/>
      </c>
      <c r="BJ51" s="38" t="n">
        <v>1</v>
      </c>
      <c r="BK51" s="38" t="n">
        <v>1</v>
      </c>
      <c r="BL51" s="38" t="n">
        <v>1</v>
      </c>
      <c r="BM51" s="38" t="n">
        <v>1</v>
      </c>
      <c r="BN51" s="38" t="n">
        <v>1</v>
      </c>
      <c r="BO51" s="38" t="n">
        <v>1</v>
      </c>
      <c r="BP51" s="38" t="n">
        <v>1</v>
      </c>
      <c r="BQ51" s="38" t="n">
        <v>1</v>
      </c>
      <c r="BR51" s="38" t="n">
        <v>1</v>
      </c>
      <c r="BS51" s="38" t="n">
        <v>1</v>
      </c>
      <c r="BT51" s="38" t="n">
        <v>1</v>
      </c>
      <c r="BU51" s="38" t="n">
        <v>1</v>
      </c>
      <c r="BV51" s="38" t="n">
        <v>1</v>
      </c>
      <c r="BW51" s="38" t="n">
        <v>1</v>
      </c>
      <c r="BX51" s="38" t="n">
        <v>1</v>
      </c>
      <c r="BY51" s="38" t="n">
        <v>1</v>
      </c>
      <c r="BZ51" s="38" t="n"/>
      <c r="CA51" s="38" t="n"/>
      <c r="CB51" s="154">
        <f>BZ51+IF(NOT(ISBLANK(OFFSET(CB51,0,6))),N(OFFSET(CB51,0,6)),N(OFFSET(CB51,0,7)))-CA51</f>
        <v/>
      </c>
      <c r="CD51" s="128" t="n"/>
      <c r="CE51" s="4" t="n"/>
      <c r="CF51" s="27" t="n"/>
      <c r="CG51" s="4" t="n"/>
      <c r="CH51" s="18" t="n">
        <v>0</v>
      </c>
      <c r="CI51" s="18" t="n">
        <v>0</v>
      </c>
      <c r="CJ51" s="18" t="n"/>
      <c r="CK51" s="18" t="n"/>
      <c r="CL51" s="18" t="n"/>
      <c r="CM51" s="18" t="n"/>
      <c r="CN51" s="18" t="n"/>
      <c r="CO51" s="18" t="n"/>
      <c r="CP51" s="18" t="n"/>
      <c r="CQ51" s="18" t="n"/>
      <c r="CR51" s="18" t="n"/>
      <c r="CS51" s="18" t="n"/>
      <c r="CT51" s="154" t="inlineStr">
        <is>
          <t>1 DE ER MG</t>
        </is>
      </c>
      <c r="CU51" s="18" t="n"/>
      <c r="CV51" s="18" t="n"/>
      <c r="CW51" s="18" t="n"/>
      <c r="CX51" s="18" t="n"/>
      <c r="CY51" s="18" t="n"/>
      <c r="CZ51" s="18" t="n"/>
      <c r="DA51" s="18" t="n"/>
      <c r="DB51" s="18" t="n"/>
      <c r="DC51" s="18" t="n"/>
      <c r="DD51" s="18" t="n"/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256" t="n"/>
      <c r="DN51" s="18" t="n"/>
      <c r="DO51" s="18" t="n"/>
      <c r="DP51" s="18" t="n"/>
      <c r="DQ51" s="18" t="n"/>
      <c r="DR51" s="18" t="n"/>
      <c r="DS51" s="18" t="n"/>
      <c r="DT51" s="18" t="n"/>
      <c r="DU51" s="18" t="n"/>
      <c r="DV51" s="18" t="n"/>
      <c r="DW51" s="18" t="n"/>
      <c r="DX51" s="18" t="n"/>
      <c r="DY51" s="18" t="n"/>
      <c r="DZ51" s="154" t="inlineStr">
        <is>
          <t>200 P/ CDP</t>
        </is>
      </c>
      <c r="EA51" s="18" t="n"/>
      <c r="EB51" s="18" t="n"/>
      <c r="EC51" s="18" t="n"/>
      <c r="ED51" s="18" t="n"/>
      <c r="EE51" s="18" t="n"/>
      <c r="EF51" s="18" t="n"/>
      <c r="EG51" s="18" t="n"/>
      <c r="EH51" s="18" t="n"/>
      <c r="EI51" s="18" t="n"/>
      <c r="EJ51" s="18" t="n"/>
      <c r="EK51" s="18" t="n"/>
      <c r="EL51" s="18" t="n"/>
      <c r="EM51" s="18" t="n"/>
      <c r="EN51" s="18" t="n"/>
      <c r="EO51" s="18" t="n"/>
      <c r="EP51" s="18" t="n"/>
      <c r="EQ51" s="18" t="n"/>
      <c r="ER51" s="18" t="n"/>
      <c r="ES51" s="256" t="n"/>
      <c r="ET51" s="18" t="n"/>
      <c r="EU51" s="18" t="n"/>
      <c r="EV51" s="18" t="n"/>
      <c r="EW51" s="18" t="n"/>
      <c r="EX51" s="18" t="n"/>
      <c r="EY51" s="18" t="n"/>
      <c r="EZ51" s="18" t="n"/>
      <c r="FA51" s="18" t="n"/>
      <c r="FB51" s="18" t="n"/>
      <c r="FC51" s="18" t="n"/>
      <c r="FD51" s="18" t="n"/>
      <c r="FE51" s="18" t="n"/>
      <c r="FF51" s="256" t="n"/>
      <c r="FG51" s="18" t="n"/>
      <c r="FH51" s="18" t="n"/>
      <c r="FI51" s="18" t="n"/>
      <c r="FJ51" s="18" t="n"/>
      <c r="FK51" s="18" t="n"/>
      <c r="FL51" s="256" t="n"/>
      <c r="FM51" s="18" t="n"/>
      <c r="FN51" s="18" t="n"/>
      <c r="FO51" s="18" t="n">
        <v>400</v>
      </c>
      <c r="FP51" s="18" t="n"/>
      <c r="FQ51" s="18" t="n"/>
      <c r="FR51" s="18" t="n"/>
      <c r="FS51" s="18" t="n"/>
      <c r="FT51" s="18" t="n"/>
      <c r="FU51" s="18" t="n"/>
      <c r="FV51" s="18" t="n"/>
      <c r="FW51" s="18" t="n"/>
      <c r="FX51" s="18" t="n">
        <v>400</v>
      </c>
      <c r="FY51" s="18" t="n"/>
    </row>
    <row r="52" ht="18.75" customHeight="1">
      <c r="A52" s="43" t="inlineStr">
        <is>
          <t>SACO M OUI (BRINDE)</t>
        </is>
      </c>
      <c r="B52" s="36" t="n">
        <v>200</v>
      </c>
      <c r="C52" s="662" t="n">
        <v>258.52</v>
      </c>
      <c r="D52" s="329" t="n">
        <v>50</v>
      </c>
      <c r="F52" s="38" t="n">
        <v>0</v>
      </c>
      <c r="G52" s="38" t="n">
        <v>0</v>
      </c>
      <c r="H52" s="38" t="n">
        <v>600</v>
      </c>
      <c r="I52" s="38" t="n">
        <v>600</v>
      </c>
      <c r="J52" s="38" t="n">
        <v>600</v>
      </c>
      <c r="K52" s="38" t="n">
        <v>600</v>
      </c>
      <c r="L52" s="38" t="n">
        <v>900</v>
      </c>
      <c r="M52" s="38" t="n">
        <v>800</v>
      </c>
      <c r="N52" s="38" t="n">
        <v>800</v>
      </c>
      <c r="O52" s="38" t="n">
        <v>800</v>
      </c>
      <c r="P52" s="38" t="n">
        <v>800</v>
      </c>
      <c r="Q52" s="38" t="n">
        <v>800</v>
      </c>
      <c r="R52" s="38" t="n">
        <v>800</v>
      </c>
      <c r="S52" s="38" t="n">
        <v>800</v>
      </c>
      <c r="T52" s="38" t="n">
        <v>800</v>
      </c>
      <c r="U52" s="38" t="n">
        <v>800</v>
      </c>
      <c r="V52" s="38" t="n">
        <v>800</v>
      </c>
      <c r="W52" s="38" t="n">
        <v>800</v>
      </c>
      <c r="X52" s="38" t="n">
        <v>800</v>
      </c>
      <c r="Y52" s="38" t="n">
        <v>800</v>
      </c>
      <c r="Z52" s="38" t="n">
        <v>800</v>
      </c>
      <c r="AA52" s="38" t="n">
        <v>800</v>
      </c>
      <c r="AB52" s="38" t="n">
        <v>800</v>
      </c>
      <c r="AC52" s="38" t="n">
        <v>800</v>
      </c>
      <c r="AD52" s="38" t="n">
        <v>800</v>
      </c>
      <c r="AE52" s="38" t="n">
        <v>800</v>
      </c>
      <c r="AF52" s="38" t="n">
        <v>800</v>
      </c>
      <c r="AG52" s="38" t="n">
        <v>800</v>
      </c>
      <c r="AH52" s="38" t="n">
        <v>800</v>
      </c>
      <c r="AI52" s="38" t="n">
        <v>800</v>
      </c>
      <c r="AJ52" s="38" t="n">
        <v>800</v>
      </c>
      <c r="AK52" s="38" t="n">
        <v>800</v>
      </c>
      <c r="AL52" s="38">
        <f>800-200</f>
        <v/>
      </c>
      <c r="AM52" s="38" t="n">
        <v>600</v>
      </c>
      <c r="AN52" s="38" t="n">
        <v>600</v>
      </c>
      <c r="AO52" s="38" t="n">
        <v>600</v>
      </c>
      <c r="AP52" s="38" t="n">
        <v>600</v>
      </c>
      <c r="AQ52" s="38" t="n">
        <v>600</v>
      </c>
      <c r="AR52" s="38" t="n">
        <v>600</v>
      </c>
      <c r="AS52" s="38" t="n">
        <v>600</v>
      </c>
      <c r="AT52" s="38" t="n">
        <v>600</v>
      </c>
      <c r="AU52" s="38" t="n">
        <v>600</v>
      </c>
      <c r="AV52" s="38" t="n">
        <v>600</v>
      </c>
      <c r="AW52" s="38" t="n">
        <v>600</v>
      </c>
      <c r="AX52" s="38" t="n">
        <v>600</v>
      </c>
      <c r="AY52" s="38" t="n">
        <v>600</v>
      </c>
      <c r="AZ52" s="261" t="n">
        <v>400</v>
      </c>
      <c r="BA52" s="38" t="n">
        <v>400</v>
      </c>
      <c r="BB52" s="38" t="n">
        <v>400</v>
      </c>
      <c r="BC52" s="38" t="n">
        <v>400</v>
      </c>
      <c r="BD52" s="38" t="n">
        <v>400</v>
      </c>
      <c r="BE52" s="38" t="n">
        <v>400</v>
      </c>
      <c r="BF52" s="38" t="n">
        <v>400</v>
      </c>
      <c r="BG52" s="38" t="n">
        <v>400</v>
      </c>
      <c r="BH52" s="38" t="n">
        <v>400</v>
      </c>
      <c r="BI52" s="38" t="n">
        <v>200</v>
      </c>
      <c r="BJ52" s="38" t="n">
        <v>200</v>
      </c>
      <c r="BK52" s="38" t="n">
        <v>200</v>
      </c>
      <c r="BL52" s="38" t="n">
        <v>200</v>
      </c>
      <c r="BM52" s="38" t="n">
        <v>200</v>
      </c>
      <c r="BN52" s="38" t="n">
        <v>200</v>
      </c>
      <c r="BO52" s="38" t="n">
        <v>200</v>
      </c>
      <c r="BP52" s="38" t="n">
        <v>200</v>
      </c>
      <c r="BQ52" s="38" t="n">
        <v>200</v>
      </c>
      <c r="BR52" s="38" t="n">
        <v>200</v>
      </c>
      <c r="BS52" s="38" t="n">
        <v>200</v>
      </c>
      <c r="BT52" s="38" t="n">
        <v>200</v>
      </c>
      <c r="BU52" s="38" t="n">
        <v>200</v>
      </c>
      <c r="BV52" s="38" t="n">
        <v>200</v>
      </c>
      <c r="BW52" s="38" t="n">
        <v>200</v>
      </c>
      <c r="BX52" s="38" t="n">
        <v>200</v>
      </c>
      <c r="BY52" s="38" t="n">
        <v>200</v>
      </c>
      <c r="BZ52" s="38" t="n"/>
      <c r="CA52" s="38" t="n"/>
      <c r="CB52" s="154">
        <f>BZ52+IF(NOT(ISBLANK(OFFSET(CB52,0,6))),N(OFFSET(CB52,0,6)),N(OFFSET(CB52,0,7)))-CA52</f>
        <v/>
      </c>
      <c r="CD52" s="485" t="inlineStr">
        <is>
          <t>100 P/ ER MG</t>
        </is>
      </c>
      <c r="CF52" s="301" t="n"/>
      <c r="CH52" s="18" t="n">
        <v>0</v>
      </c>
      <c r="CI52" s="18" t="n">
        <v>0</v>
      </c>
      <c r="CJ52" s="18" t="n"/>
      <c r="CK52" s="18" t="n"/>
      <c r="CL52" s="18" t="n"/>
      <c r="CM52" s="18" t="n"/>
      <c r="CN52" s="18" t="n"/>
      <c r="CO52" s="18" t="n"/>
      <c r="CP52" s="18" t="n"/>
      <c r="CQ52" s="18" t="n"/>
      <c r="CR52" s="18" t="n"/>
      <c r="CS52" s="18" t="n"/>
      <c r="CT52" s="18" t="n"/>
      <c r="CU52" s="18" t="n"/>
      <c r="CV52" s="18" t="n"/>
      <c r="CW52" s="18" t="n"/>
      <c r="CX52" s="18" t="n"/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238" t="n"/>
      <c r="DM52" s="256" t="n"/>
      <c r="DN52" s="18" t="n"/>
      <c r="ES52" s="723" t="n"/>
    </row>
    <row r="53" ht="18.75" customHeight="1">
      <c r="A53" s="6" t="n"/>
      <c r="CD53" s="69" t="n"/>
      <c r="DO53" s="654" t="n">
        <v>45909</v>
      </c>
      <c r="DP53" s="654" t="n">
        <v>45915</v>
      </c>
      <c r="DQ53" s="654" t="n">
        <v>45909</v>
      </c>
      <c r="DR53" s="654" t="n">
        <v>45903</v>
      </c>
      <c r="DS53" s="654" t="n">
        <v>45895</v>
      </c>
      <c r="DT53" s="654" t="n">
        <v>45895</v>
      </c>
      <c r="DU53" s="679" t="n">
        <v>45896</v>
      </c>
      <c r="DV53" s="654" t="n">
        <v>45888</v>
      </c>
      <c r="DW53" s="654" t="n">
        <v>45881</v>
      </c>
      <c r="DX53" s="654" t="n">
        <v>45881</v>
      </c>
      <c r="DY53" s="654" t="n">
        <v>45874</v>
      </c>
      <c r="DZ53" s="655" t="n">
        <v>45882</v>
      </c>
      <c r="EA53" s="655" t="n">
        <v>45881</v>
      </c>
      <c r="EB53" s="654" t="n">
        <v>45867</v>
      </c>
      <c r="EC53" s="654" t="n">
        <v>45860</v>
      </c>
      <c r="ED53" s="654" t="n">
        <v>45860</v>
      </c>
      <c r="EE53" s="655" t="n">
        <v>45860</v>
      </c>
      <c r="EF53" s="654" t="n">
        <v>45848</v>
      </c>
      <c r="EG53" s="681" t="n">
        <v>45853</v>
      </c>
      <c r="EH53" s="654" t="n">
        <v>45839</v>
      </c>
      <c r="EI53" s="654" t="n">
        <v>45825</v>
      </c>
      <c r="EJ53" s="681" t="n">
        <v>45791</v>
      </c>
      <c r="EK53" s="655" t="n">
        <v>45826</v>
      </c>
      <c r="EL53" s="654" t="n">
        <v>45813</v>
      </c>
      <c r="EM53" s="655" t="n">
        <v>45819</v>
      </c>
      <c r="EN53" s="654" t="n">
        <v>45805</v>
      </c>
      <c r="EO53" s="654" t="n">
        <v>45783</v>
      </c>
      <c r="EP53" s="655" t="n">
        <v>45807</v>
      </c>
      <c r="EQ53" s="654" t="n">
        <v>45790</v>
      </c>
      <c r="ER53" s="690" t="n">
        <v>45800</v>
      </c>
      <c r="ES53" s="650" t="n">
        <v>45799</v>
      </c>
      <c r="ET53" s="655" t="n">
        <v>45798</v>
      </c>
      <c r="EU53" s="654" t="n">
        <v>45783</v>
      </c>
      <c r="EV53" s="654" t="n">
        <v>45783</v>
      </c>
      <c r="EW53" s="654" t="n">
        <v>45775</v>
      </c>
      <c r="EX53" s="654" t="n">
        <v>45770</v>
      </c>
      <c r="EY53" s="654" t="n">
        <v>45743</v>
      </c>
      <c r="EZ53" s="683" t="n">
        <v>45735</v>
      </c>
      <c r="FA53" s="655" t="n">
        <v>45775</v>
      </c>
      <c r="FB53" s="654" t="n">
        <v>45756</v>
      </c>
      <c r="FC53" s="654" t="n">
        <v>45749</v>
      </c>
      <c r="FD53" s="654" t="n">
        <v>45743</v>
      </c>
      <c r="FE53" s="654" t="n">
        <v>45743</v>
      </c>
      <c r="FF53" s="650" t="n">
        <v>45741</v>
      </c>
      <c r="FG53" s="654" t="n">
        <v>45728</v>
      </c>
      <c r="FH53" s="654" t="n">
        <v>45728</v>
      </c>
      <c r="FI53" s="654" t="n">
        <v>45722</v>
      </c>
      <c r="FJ53" s="654" t="n">
        <v>45714</v>
      </c>
      <c r="FK53" s="654" t="n">
        <v>45706</v>
      </c>
      <c r="FL53" s="650" t="n">
        <v>45700</v>
      </c>
      <c r="FM53" s="654" t="n">
        <v>45699</v>
      </c>
      <c r="FN53" s="654" t="n">
        <v>45706</v>
      </c>
      <c r="FO53" s="654" t="n">
        <v>45693</v>
      </c>
      <c r="FP53" s="654" t="n">
        <v>45685</v>
      </c>
      <c r="FQ53" s="654" t="n">
        <v>45679</v>
      </c>
      <c r="FR53" s="654" t="n">
        <v>45660</v>
      </c>
      <c r="FS53" s="654" t="n">
        <v>45674</v>
      </c>
      <c r="FT53" s="655" t="n">
        <v>45672</v>
      </c>
      <c r="FU53" s="654" t="n">
        <v>45652</v>
      </c>
      <c r="FV53" s="655" t="n">
        <v>45670</v>
      </c>
      <c r="FW53" s="654" t="n">
        <v>45664</v>
      </c>
      <c r="FX53" s="654" t="n">
        <v>45660</v>
      </c>
      <c r="FY53" s="654" t="n">
        <v>45660</v>
      </c>
    </row>
    <row r="54" ht="18.75" customHeight="1">
      <c r="A54" s="586" t="inlineStr">
        <is>
          <t>CAIXAS OUI</t>
        </is>
      </c>
      <c r="B54" s="133" t="n"/>
      <c r="C54" s="133" t="n"/>
      <c r="D54" s="133" t="n"/>
      <c r="F54" s="650" t="n">
        <v>45656</v>
      </c>
      <c r="G54" s="650" t="n">
        <v>45663</v>
      </c>
      <c r="H54" s="650" t="n">
        <v>45670</v>
      </c>
      <c r="I54" s="650" t="n">
        <v>45677</v>
      </c>
      <c r="J54" s="650" t="n">
        <v>45684</v>
      </c>
      <c r="K54" s="650" t="n">
        <v>45691</v>
      </c>
      <c r="L54" s="650" t="n">
        <v>45698</v>
      </c>
      <c r="M54" s="650" t="n">
        <v>45705</v>
      </c>
      <c r="N54" s="650" t="n">
        <v>45712</v>
      </c>
      <c r="O54" s="650" t="n">
        <v>45719</v>
      </c>
      <c r="P54" s="650" t="n">
        <v>45726</v>
      </c>
      <c r="Q54" s="650" t="n">
        <v>45733</v>
      </c>
      <c r="R54" s="650" t="n">
        <v>45740</v>
      </c>
      <c r="S54" s="650" t="n">
        <v>45747</v>
      </c>
      <c r="T54" s="650" t="n">
        <v>45754</v>
      </c>
      <c r="U54" s="650" t="n">
        <v>45761</v>
      </c>
      <c r="V54" s="650" t="n">
        <v>45768</v>
      </c>
      <c r="W54" s="650" t="n">
        <v>45775</v>
      </c>
      <c r="X54" s="650" t="n">
        <v>45782</v>
      </c>
      <c r="Y54" s="650" t="n">
        <v>45789</v>
      </c>
      <c r="Z54" s="650" t="n">
        <v>45796</v>
      </c>
      <c r="AA54" s="650" t="n">
        <v>45803</v>
      </c>
      <c r="AB54" s="650" t="n">
        <v>45810</v>
      </c>
      <c r="AC54" s="650" t="n">
        <v>45817</v>
      </c>
      <c r="AD54" s="650" t="n">
        <v>45824</v>
      </c>
      <c r="AE54" s="650" t="n">
        <v>45831</v>
      </c>
      <c r="AF54" s="650" t="n">
        <v>45838</v>
      </c>
      <c r="AG54" s="650" t="n">
        <v>45845</v>
      </c>
      <c r="AH54" s="650" t="n">
        <v>45852</v>
      </c>
      <c r="AI54" s="650" t="n">
        <v>45859</v>
      </c>
      <c r="AJ54" s="650" t="n">
        <v>45866</v>
      </c>
      <c r="AK54" s="650" t="n">
        <v>45873</v>
      </c>
      <c r="AL54" s="650" t="n">
        <v>45880</v>
      </c>
      <c r="AM54" s="650" t="n">
        <v>45887</v>
      </c>
      <c r="AN54" s="650" t="n">
        <v>45894</v>
      </c>
      <c r="AO54" s="650" t="n">
        <v>45901</v>
      </c>
      <c r="AP54" s="650" t="n">
        <v>45908</v>
      </c>
      <c r="AQ54" s="650" t="n">
        <v>45915</v>
      </c>
      <c r="AR54" s="650" t="n">
        <v>45922</v>
      </c>
      <c r="AS54" s="650" t="n">
        <v>45929</v>
      </c>
      <c r="AT54" s="650" t="n">
        <v>45936</v>
      </c>
      <c r="AU54" s="650" t="n">
        <v>45943</v>
      </c>
      <c r="AV54" s="650" t="n">
        <v>45950</v>
      </c>
      <c r="AW54" s="650" t="n">
        <v>45957</v>
      </c>
      <c r="AX54" s="650" t="n">
        <v>45964</v>
      </c>
      <c r="AY54" s="650" t="n">
        <v>45971</v>
      </c>
      <c r="AZ54" s="650" t="n">
        <v>45978</v>
      </c>
      <c r="BA54" s="650" t="n">
        <v>45985</v>
      </c>
      <c r="BB54" s="650" t="n">
        <v>45992</v>
      </c>
      <c r="BC54" s="650" t="n">
        <v>45999</v>
      </c>
      <c r="BD54" s="650" t="n">
        <v>46006</v>
      </c>
      <c r="BE54" s="650" t="n">
        <v>46013</v>
      </c>
      <c r="BF54" s="650" t="n">
        <v>46020</v>
      </c>
      <c r="BG54" s="650" t="n">
        <v>46027</v>
      </c>
      <c r="BH54" s="650" t="n">
        <v>46034</v>
      </c>
      <c r="BI54" s="650" t="n">
        <v>46041</v>
      </c>
      <c r="BJ54" s="650" t="n">
        <v>46048</v>
      </c>
      <c r="BK54" s="650" t="n">
        <v>46055</v>
      </c>
      <c r="BL54" s="650" t="n">
        <v>46062</v>
      </c>
      <c r="BM54" s="650" t="n">
        <v>46069</v>
      </c>
      <c r="BN54" s="650" t="n">
        <v>46076</v>
      </c>
      <c r="BO54" s="650" t="n">
        <v>46083</v>
      </c>
      <c r="BP54" s="650" t="n">
        <v>46090</v>
      </c>
      <c r="BQ54" s="650" t="n">
        <v>46097</v>
      </c>
      <c r="BR54" s="650" t="n">
        <v>46104</v>
      </c>
      <c r="BS54" s="650" t="n">
        <v>46111</v>
      </c>
      <c r="BT54" s="650" t="n">
        <v>46118</v>
      </c>
      <c r="BU54" s="650" t="n">
        <v>46125</v>
      </c>
      <c r="BV54" s="650" t="n">
        <v>46132</v>
      </c>
      <c r="BW54" s="650" t="n">
        <v>46139</v>
      </c>
      <c r="BX54" s="650" t="n">
        <v>46146</v>
      </c>
      <c r="BY54" s="650" t="n">
        <v>46154</v>
      </c>
      <c r="BZ54" s="650" t="n">
        <v>46160</v>
      </c>
      <c r="CA54" s="650" t="n">
        <v>46160</v>
      </c>
      <c r="CB54" s="652" t="inlineStr">
        <is>
          <t>USOU</t>
        </is>
      </c>
      <c r="CD54" s="35" t="inlineStr">
        <is>
          <t>Pend.</t>
        </is>
      </c>
      <c r="CF54" s="12" t="inlineStr">
        <is>
          <t>Novo Pedido</t>
        </is>
      </c>
      <c r="CH54" s="654" t="n">
        <v>46156</v>
      </c>
      <c r="CI54" s="654" t="n">
        <v>46149</v>
      </c>
      <c r="CJ54" s="654" t="n">
        <v>46114</v>
      </c>
      <c r="CK54" s="710" t="n">
        <v>46065</v>
      </c>
      <c r="CL54" s="654" t="n">
        <v>46092</v>
      </c>
      <c r="CM54" s="654" t="n">
        <v>46092</v>
      </c>
      <c r="CN54" s="654" t="n">
        <v>46084</v>
      </c>
      <c r="CO54" s="711" t="n">
        <v>46045</v>
      </c>
      <c r="CP54" s="654" t="n">
        <v>46071</v>
      </c>
      <c r="CQ54" s="654" t="n">
        <v>46043</v>
      </c>
      <c r="CR54" s="654" t="n">
        <v>46029</v>
      </c>
      <c r="CS54" s="654" t="n">
        <v>46024</v>
      </c>
      <c r="CT54" s="655" t="n">
        <v>46041</v>
      </c>
      <c r="CU54" s="654" t="n">
        <v>46029</v>
      </c>
      <c r="CV54" s="654" t="n">
        <v>46024</v>
      </c>
      <c r="CW54" s="654" t="n">
        <v>46007</v>
      </c>
      <c r="CX54" s="654" t="n">
        <v>46001</v>
      </c>
      <c r="CY54" s="654" t="n">
        <v>45994</v>
      </c>
      <c r="CZ54" s="654" t="n">
        <v>45986</v>
      </c>
      <c r="DA54" s="654" t="n">
        <v>45986</v>
      </c>
      <c r="DB54" s="654" t="n">
        <v>45980</v>
      </c>
      <c r="DC54" s="654" t="n">
        <v>45980</v>
      </c>
      <c r="DD54" s="654" t="n">
        <v>45973</v>
      </c>
      <c r="DE54" s="654" t="n">
        <v>45973</v>
      </c>
      <c r="DF54" s="654" t="n">
        <v>45965</v>
      </c>
      <c r="DG54" s="654" t="n">
        <v>45965</v>
      </c>
      <c r="DH54" s="654" t="n">
        <v>45960</v>
      </c>
      <c r="DI54" s="654" t="n">
        <v>45951</v>
      </c>
      <c r="DJ54" s="654" t="n">
        <v>45937</v>
      </c>
      <c r="DK54" s="654" t="n">
        <v>45931</v>
      </c>
      <c r="DL54" s="678" t="n">
        <v>45903</v>
      </c>
      <c r="DM54" s="688" t="n">
        <v>45931</v>
      </c>
      <c r="DN54" s="654" t="n">
        <v>45923</v>
      </c>
      <c r="DO54" s="18" t="n"/>
      <c r="DP54" s="18" t="n"/>
      <c r="DQ54" s="18" t="n"/>
      <c r="DR54" s="18" t="n"/>
      <c r="DS54" s="18" t="n"/>
      <c r="DT54" s="18" t="n"/>
      <c r="DU54" s="18" t="n"/>
      <c r="DV54" s="18" t="n"/>
      <c r="DW54" s="18" t="n"/>
      <c r="DX54" s="18" t="n"/>
      <c r="DY54" s="18" t="n"/>
      <c r="DZ54" s="18" t="n"/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256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18" t="n"/>
      <c r="FC54" s="18" t="n"/>
      <c r="FD54" s="18" t="n"/>
      <c r="FE54" s="18" t="n"/>
      <c r="FF54" s="274" t="n"/>
      <c r="FG54" s="18" t="n"/>
      <c r="FH54" s="18" t="n"/>
      <c r="FI54" s="18" t="n"/>
      <c r="FJ54" s="18" t="n"/>
      <c r="FK54" s="18" t="n"/>
      <c r="FL54" s="274" t="n"/>
      <c r="FM54" s="18" t="n"/>
      <c r="FN54" s="18" t="n"/>
      <c r="FO54" s="18" t="n"/>
      <c r="FP54" s="18" t="n"/>
      <c r="FQ54" s="18" t="n"/>
      <c r="FR54" s="18" t="n"/>
      <c r="FS54" s="18" t="n"/>
      <c r="FT54" s="18" t="n"/>
      <c r="FU54" s="18" t="n"/>
      <c r="FV54" s="18" t="n"/>
      <c r="FW54" s="18" t="n"/>
      <c r="FX54" s="18" t="n"/>
      <c r="FY54" s="18" t="n"/>
    </row>
    <row r="55" ht="18.75" customHeight="1">
      <c r="A55" s="43" t="inlineStr">
        <is>
          <t>KIT CAIXA P OUI</t>
        </is>
      </c>
      <c r="B55" s="36" t="n">
        <v>100</v>
      </c>
      <c r="C55" s="668" t="n">
        <v>539.7</v>
      </c>
      <c r="D55" s="329" t="n">
        <v>10</v>
      </c>
      <c r="F55" s="38" t="n">
        <v>10</v>
      </c>
      <c r="G55" s="38" t="n">
        <v>10</v>
      </c>
      <c r="H55" s="38" t="n">
        <v>10</v>
      </c>
      <c r="I55" s="38" t="n">
        <v>10</v>
      </c>
      <c r="J55" s="38" t="n">
        <v>10</v>
      </c>
      <c r="K55" s="38" t="n">
        <v>10</v>
      </c>
      <c r="L55" s="38" t="n">
        <v>10</v>
      </c>
      <c r="M55" s="38" t="n">
        <v>10</v>
      </c>
      <c r="N55" s="38" t="n">
        <v>10</v>
      </c>
      <c r="O55" s="38" t="n">
        <v>10</v>
      </c>
      <c r="P55" s="38" t="n">
        <v>10</v>
      </c>
      <c r="Q55" s="38" t="n">
        <v>10</v>
      </c>
      <c r="R55" s="38" t="n">
        <v>10</v>
      </c>
      <c r="S55" s="38" t="n">
        <v>10</v>
      </c>
      <c r="T55" s="38" t="n">
        <v>10</v>
      </c>
      <c r="U55" s="38" t="n">
        <v>10</v>
      </c>
      <c r="V55" s="38" t="n">
        <v>10</v>
      </c>
      <c r="W55" s="38" t="n">
        <v>10</v>
      </c>
      <c r="X55" s="38" t="n">
        <v>10</v>
      </c>
      <c r="Y55" s="38" t="n">
        <v>10</v>
      </c>
      <c r="Z55" s="38" t="n">
        <v>10</v>
      </c>
      <c r="AA55" s="38" t="n">
        <v>10</v>
      </c>
      <c r="AB55" s="38" t="n">
        <v>9</v>
      </c>
      <c r="AC55" s="38" t="n">
        <v>9</v>
      </c>
      <c r="AD55" s="38" t="n">
        <v>9</v>
      </c>
      <c r="AE55" s="38" t="n">
        <v>9</v>
      </c>
      <c r="AF55" s="38" t="n">
        <v>9</v>
      </c>
      <c r="AG55" s="38" t="n">
        <v>9</v>
      </c>
      <c r="AH55" s="38" t="n">
        <v>8</v>
      </c>
      <c r="AI55" s="38" t="n">
        <v>8</v>
      </c>
      <c r="AJ55" s="38" t="n">
        <v>8</v>
      </c>
      <c r="AK55" s="38" t="n">
        <v>8</v>
      </c>
      <c r="AL55" s="38" t="n">
        <v>8</v>
      </c>
      <c r="AM55" s="38" t="n">
        <v>8</v>
      </c>
      <c r="AN55" s="38" t="n">
        <v>8</v>
      </c>
      <c r="AO55" s="38" t="n">
        <v>8</v>
      </c>
      <c r="AP55" s="38" t="n">
        <v>8</v>
      </c>
      <c r="AQ55" s="38" t="n">
        <v>8</v>
      </c>
      <c r="AR55" s="38" t="n">
        <v>8</v>
      </c>
      <c r="AS55" s="38" t="n">
        <v>8</v>
      </c>
      <c r="AT55" s="38" t="n">
        <v>8</v>
      </c>
      <c r="AU55" s="38" t="n">
        <v>8</v>
      </c>
      <c r="AV55" s="38" t="n">
        <v>8</v>
      </c>
      <c r="AW55" s="38" t="n">
        <v>8</v>
      </c>
      <c r="AX55" s="38" t="n">
        <v>8</v>
      </c>
      <c r="AY55" s="38" t="n">
        <v>8</v>
      </c>
      <c r="AZ55" s="38" t="n">
        <v>8</v>
      </c>
      <c r="BA55" s="38" t="n">
        <v>8</v>
      </c>
      <c r="BB55" s="261" t="n">
        <v>18</v>
      </c>
      <c r="BC55" s="38" t="n">
        <v>18</v>
      </c>
      <c r="BD55" s="38" t="n">
        <v>18</v>
      </c>
      <c r="BE55" s="38" t="n">
        <v>18</v>
      </c>
      <c r="BF55" s="38" t="n">
        <v>18</v>
      </c>
      <c r="BG55" s="38" t="n">
        <v>18</v>
      </c>
      <c r="BH55" s="38" t="n">
        <v>18</v>
      </c>
      <c r="BI55" s="38" t="n">
        <v>18</v>
      </c>
      <c r="BJ55" s="38" t="n">
        <v>18</v>
      </c>
      <c r="BK55" s="38" t="n">
        <v>18</v>
      </c>
      <c r="BL55" s="38" t="n">
        <v>18</v>
      </c>
      <c r="BM55" s="38" t="n">
        <v>18</v>
      </c>
      <c r="BN55" s="38" t="n">
        <v>17</v>
      </c>
      <c r="BO55" s="38" t="n">
        <v>17</v>
      </c>
      <c r="BP55" s="38" t="n">
        <v>17</v>
      </c>
      <c r="BQ55" s="38" t="n">
        <v>17</v>
      </c>
      <c r="BR55" s="38" t="n">
        <v>17</v>
      </c>
      <c r="BS55" s="38" t="n">
        <v>17</v>
      </c>
      <c r="BT55" s="38" t="n"/>
      <c r="BU55" s="38" t="n"/>
      <c r="BV55" s="38" t="n"/>
      <c r="BW55" s="38" t="n">
        <v>16</v>
      </c>
      <c r="BX55" s="38" t="n">
        <v>16</v>
      </c>
      <c r="BY55" s="38" t="n">
        <v>16</v>
      </c>
      <c r="BZ55" s="38" t="n">
        <v>16</v>
      </c>
      <c r="CA55" s="38" t="n">
        <v>16</v>
      </c>
      <c r="CB55" s="154">
        <f>BZ55+IF(NOT(ISBLANK(OFFSET(CB55,0,6))),N(OFFSET(CB55,0,6)),N(OFFSET(CB55,0,7)))-CA55</f>
        <v/>
      </c>
      <c r="CD55" s="19" t="n"/>
      <c r="CF55" s="19" t="n"/>
      <c r="CH55" s="18" t="n">
        <v>0</v>
      </c>
      <c r="CI55" s="18" t="n">
        <v>0</v>
      </c>
      <c r="CJ55" s="18" t="n"/>
      <c r="CK55" s="18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396" t="n"/>
      <c r="DM55" s="256" t="n"/>
      <c r="DN55" s="18" t="n"/>
      <c r="DO55" s="18" t="n"/>
      <c r="DP55" s="18" t="n"/>
      <c r="DQ55" s="18" t="n"/>
      <c r="DR55" s="18" t="n"/>
      <c r="DS55" s="18" t="n"/>
      <c r="DT55" s="18" t="n"/>
      <c r="DU55" s="18" t="n"/>
      <c r="DV55" s="18" t="n"/>
      <c r="DW55" s="18" t="n"/>
      <c r="DX55" s="18" t="n"/>
      <c r="DY55" s="18" t="n"/>
      <c r="DZ55" s="18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256" t="n"/>
      <c r="ET55" s="18" t="n"/>
      <c r="EU55" s="18" t="n"/>
      <c r="EV55" s="18" t="n"/>
      <c r="EW55" s="18" t="n"/>
      <c r="EX55" s="18" t="n"/>
      <c r="EY55" s="18" t="n"/>
      <c r="EZ55" s="18" t="n"/>
      <c r="FA55" s="239" t="inlineStr">
        <is>
          <t>20 DE ER PG</t>
        </is>
      </c>
      <c r="FB55" s="18" t="n"/>
      <c r="FC55" s="18" t="n"/>
      <c r="FD55" s="18" t="n"/>
      <c r="FE55" s="18" t="n"/>
      <c r="FF55" s="274" t="n"/>
      <c r="FG55" s="18" t="n"/>
      <c r="FH55" s="18" t="n"/>
      <c r="FI55" s="18" t="n"/>
      <c r="FJ55" s="18" t="n"/>
      <c r="FK55" s="18" t="n"/>
      <c r="FL55" s="274" t="n"/>
      <c r="FM55" s="18" t="n"/>
      <c r="FN55" s="18" t="n"/>
      <c r="FO55" s="18" t="n"/>
      <c r="FP55" s="18" t="n"/>
      <c r="FQ55" s="18" t="n"/>
      <c r="FR55" s="18" t="n"/>
      <c r="FS55" s="18" t="n"/>
      <c r="FT55" s="239" t="inlineStr">
        <is>
          <t>10 DE VDP</t>
        </is>
      </c>
      <c r="FU55" s="18" t="n"/>
      <c r="FV55" s="18" t="n"/>
      <c r="FW55" s="18" t="n"/>
      <c r="FX55" s="18" t="n"/>
      <c r="FY55" s="18" t="n"/>
    </row>
    <row r="56" ht="18.75" customHeight="1">
      <c r="A56" s="43" t="inlineStr">
        <is>
          <t>KIT CAIXA M OUI</t>
        </is>
      </c>
      <c r="B56" s="36" t="n">
        <v>100</v>
      </c>
      <c r="C56" s="668" t="n">
        <v>652.05</v>
      </c>
      <c r="D56" s="329" t="n">
        <v>15</v>
      </c>
      <c r="F56" s="38" t="n">
        <v>0</v>
      </c>
      <c r="G56" s="38">
        <f>0+10</f>
        <v/>
      </c>
      <c r="H56" s="38" t="n">
        <v>10</v>
      </c>
      <c r="I56" s="38" t="n">
        <v>10</v>
      </c>
      <c r="J56" s="38" t="n">
        <v>10</v>
      </c>
      <c r="K56" s="38" t="n">
        <v>8</v>
      </c>
      <c r="L56" s="38" t="n">
        <v>8</v>
      </c>
      <c r="M56" s="38" t="n">
        <v>8</v>
      </c>
      <c r="N56" s="38" t="n">
        <v>8</v>
      </c>
      <c r="O56" s="38" t="n">
        <v>8</v>
      </c>
      <c r="P56" s="38" t="n">
        <v>8</v>
      </c>
      <c r="Q56" s="38" t="n">
        <v>8</v>
      </c>
      <c r="R56" s="38" t="n">
        <v>8</v>
      </c>
      <c r="S56" s="38" t="n">
        <v>8</v>
      </c>
      <c r="T56" s="38" t="n">
        <v>8</v>
      </c>
      <c r="U56" s="38" t="n">
        <v>8</v>
      </c>
      <c r="V56" s="38" t="n">
        <v>3</v>
      </c>
      <c r="W56" s="38">
        <f>1+20</f>
        <v/>
      </c>
      <c r="X56" s="38" t="n">
        <v>16</v>
      </c>
      <c r="Y56" s="38" t="n">
        <v>25</v>
      </c>
      <c r="Z56" s="38" t="n">
        <v>19</v>
      </c>
      <c r="AA56" s="38" t="n">
        <v>19</v>
      </c>
      <c r="AB56" s="261" t="n">
        <v>27</v>
      </c>
      <c r="AC56" s="261" t="n">
        <v>27</v>
      </c>
      <c r="AD56" s="38" t="n">
        <v>24</v>
      </c>
      <c r="AE56" s="38" t="n">
        <v>24</v>
      </c>
      <c r="AF56" s="38" t="n">
        <v>24</v>
      </c>
      <c r="AG56" s="38" t="n">
        <v>25</v>
      </c>
      <c r="AH56" s="38" t="n">
        <v>25</v>
      </c>
      <c r="AI56" s="38" t="n">
        <v>25</v>
      </c>
      <c r="AJ56" s="38" t="n">
        <v>25</v>
      </c>
      <c r="AK56" s="38" t="n">
        <v>25</v>
      </c>
      <c r="AL56" s="38" t="n">
        <v>25</v>
      </c>
      <c r="AM56" s="38" t="n">
        <v>25</v>
      </c>
      <c r="AN56" s="38" t="n">
        <v>25</v>
      </c>
      <c r="AO56" s="38" t="n">
        <v>25</v>
      </c>
      <c r="AP56" s="38" t="n">
        <v>25</v>
      </c>
      <c r="AQ56" s="38" t="n">
        <v>25</v>
      </c>
      <c r="AR56" s="38" t="n">
        <v>25</v>
      </c>
      <c r="AS56" s="38" t="n">
        <v>25</v>
      </c>
      <c r="AT56" s="38" t="n">
        <v>24</v>
      </c>
      <c r="AU56" s="38" t="n">
        <v>24</v>
      </c>
      <c r="AV56" s="38" t="n">
        <v>21</v>
      </c>
      <c r="AW56" s="38" t="n">
        <v>21</v>
      </c>
      <c r="AX56" s="38" t="n">
        <v>21</v>
      </c>
      <c r="AY56" s="38" t="n">
        <v>21</v>
      </c>
      <c r="AZ56" s="38" t="n">
        <v>21</v>
      </c>
      <c r="BA56" s="38" t="n">
        <v>21</v>
      </c>
      <c r="BB56" s="38" t="n">
        <v>21</v>
      </c>
      <c r="BC56" s="38" t="n">
        <v>21</v>
      </c>
      <c r="BD56" s="38" t="n">
        <v>21</v>
      </c>
      <c r="BE56" s="38" t="n">
        <v>21</v>
      </c>
      <c r="BF56" s="38" t="n">
        <v>21</v>
      </c>
      <c r="BG56" s="38" t="n">
        <v>21</v>
      </c>
      <c r="BH56" s="38" t="n">
        <v>21</v>
      </c>
      <c r="BI56" s="38" t="n">
        <v>21</v>
      </c>
      <c r="BJ56" s="38" t="n">
        <v>21</v>
      </c>
      <c r="BK56" s="38" t="n">
        <v>21</v>
      </c>
      <c r="BL56" s="38" t="n">
        <v>21</v>
      </c>
      <c r="BM56" s="38" t="n">
        <v>21</v>
      </c>
      <c r="BN56" s="38" t="n">
        <v>21</v>
      </c>
      <c r="BO56" s="38" t="n">
        <v>21</v>
      </c>
      <c r="BP56" s="38" t="n">
        <v>21</v>
      </c>
      <c r="BQ56" s="38" t="n">
        <v>21</v>
      </c>
      <c r="BR56" s="38" t="n">
        <v>21</v>
      </c>
      <c r="BS56" s="38" t="n">
        <v>21</v>
      </c>
      <c r="BT56" s="38" t="n"/>
      <c r="BU56" s="38" t="n"/>
      <c r="BV56" s="38" t="n"/>
      <c r="BW56" s="38" t="n">
        <v>23</v>
      </c>
      <c r="BX56" s="38" t="n">
        <v>23</v>
      </c>
      <c r="BY56" s="38" t="n">
        <v>23</v>
      </c>
      <c r="BZ56" s="38" t="n">
        <v>23</v>
      </c>
      <c r="CA56" s="38" t="n">
        <v>23</v>
      </c>
      <c r="CB56" s="154">
        <f>BZ56+IF(NOT(ISBLANK(OFFSET(CB56,0,6))),N(OFFSET(CB56,0,6)),N(OFFSET(CB56,0,7)))-CA56</f>
        <v/>
      </c>
      <c r="CC56" s="53" t="n"/>
      <c r="CD56" s="19" t="n"/>
      <c r="CF56" s="27" t="n"/>
      <c r="CH56" s="18" t="n">
        <v>0</v>
      </c>
      <c r="CI56" s="18" t="n">
        <v>0</v>
      </c>
      <c r="CJ56" s="18" t="n"/>
      <c r="CK56" s="18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396" t="n"/>
      <c r="DM56" s="256" t="n"/>
      <c r="DN56" s="18" t="n"/>
      <c r="DO56" s="18" t="n"/>
      <c r="DP56" s="18" t="n"/>
      <c r="DQ56" s="18" t="n"/>
      <c r="DR56" s="18" t="n"/>
      <c r="DS56" s="18" t="n"/>
      <c r="DT56" s="18" t="n"/>
      <c r="DU56" s="18" t="n"/>
      <c r="DV56" s="18" t="n"/>
      <c r="DW56" s="18" t="n"/>
      <c r="DX56" s="18" t="n"/>
      <c r="DY56" s="18" t="n"/>
      <c r="DZ56" s="18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256" t="n"/>
      <c r="ET56" s="18" t="n"/>
      <c r="EU56" s="18" t="n"/>
      <c r="EV56" s="18" t="n"/>
      <c r="EW56" s="18" t="n"/>
      <c r="EX56" s="18" t="n"/>
      <c r="EY56" s="18" t="n"/>
      <c r="EZ56" s="18" t="n"/>
      <c r="FA56" s="18" t="n"/>
      <c r="FB56" s="18" t="n"/>
      <c r="FC56" s="18" t="n"/>
      <c r="FD56" s="18" t="n"/>
      <c r="FE56" s="18" t="n"/>
      <c r="FF56" s="274" t="n"/>
      <c r="FG56" s="18" t="n"/>
      <c r="FH56" s="18" t="n"/>
      <c r="FI56" s="18" t="n"/>
      <c r="FJ56" s="18" t="n"/>
      <c r="FK56" s="18" t="n"/>
      <c r="FL56" s="274" t="n"/>
      <c r="FM56" s="18" t="n"/>
      <c r="FN56" s="18" t="n"/>
      <c r="FO56" s="18" t="n"/>
      <c r="FP56" s="18" t="n"/>
      <c r="FQ56" s="18" t="n"/>
      <c r="FR56" s="18" t="n"/>
      <c r="FS56" s="18" t="n"/>
      <c r="FT56" s="18" t="n"/>
      <c r="FU56" s="18" t="n"/>
      <c r="FV56" s="18" t="n"/>
      <c r="FW56" s="18" t="n"/>
      <c r="FX56" s="18" t="n"/>
      <c r="FY56" s="18" t="n"/>
    </row>
    <row r="57" ht="18.75" customHeight="1">
      <c r="A57" s="43" t="inlineStr">
        <is>
          <t>KIT CAIXA G OUI</t>
        </is>
      </c>
      <c r="B57" s="36" t="n">
        <v>50</v>
      </c>
      <c r="C57" s="668" t="n">
        <v>567.53</v>
      </c>
      <c r="D57" s="329" t="n">
        <v>5</v>
      </c>
      <c r="F57" s="38" t="n">
        <v>10</v>
      </c>
      <c r="G57" s="38" t="n">
        <v>10</v>
      </c>
      <c r="H57" s="38" t="n">
        <v>10</v>
      </c>
      <c r="I57" s="38" t="n">
        <v>10</v>
      </c>
      <c r="J57" s="38" t="n">
        <v>10</v>
      </c>
      <c r="K57" s="38" t="n">
        <v>10</v>
      </c>
      <c r="L57" s="38" t="n">
        <v>10</v>
      </c>
      <c r="M57" s="38" t="n">
        <v>10</v>
      </c>
      <c r="N57" s="38" t="n">
        <v>10</v>
      </c>
      <c r="O57" s="38" t="n">
        <v>10</v>
      </c>
      <c r="P57" s="38" t="n">
        <v>10</v>
      </c>
      <c r="Q57" s="38" t="n">
        <v>10</v>
      </c>
      <c r="R57" s="38" t="n">
        <v>10</v>
      </c>
      <c r="S57" s="38" t="n">
        <v>10</v>
      </c>
      <c r="T57" s="38" t="n">
        <v>10</v>
      </c>
      <c r="U57" s="38" t="n">
        <v>10</v>
      </c>
      <c r="V57" s="38" t="n">
        <v>10</v>
      </c>
      <c r="W57" s="38" t="n">
        <v>10</v>
      </c>
      <c r="X57" s="38" t="n">
        <v>10</v>
      </c>
      <c r="Y57" s="38" t="n">
        <v>10</v>
      </c>
      <c r="Z57" s="38" t="n">
        <v>10</v>
      </c>
      <c r="AA57" s="38" t="n">
        <v>10</v>
      </c>
      <c r="AB57" s="38" t="n">
        <v>10</v>
      </c>
      <c r="AC57" s="38" t="n">
        <v>10</v>
      </c>
      <c r="AD57" s="38" t="n">
        <v>10</v>
      </c>
      <c r="AE57" s="38" t="n">
        <v>10</v>
      </c>
      <c r="AF57" s="38" t="n">
        <v>10</v>
      </c>
      <c r="AG57" s="38" t="n">
        <v>10</v>
      </c>
      <c r="AH57" s="38" t="n">
        <v>10</v>
      </c>
      <c r="AI57" s="38" t="n">
        <v>10</v>
      </c>
      <c r="AJ57" s="38" t="n">
        <v>10</v>
      </c>
      <c r="AK57" s="38" t="n">
        <v>10</v>
      </c>
      <c r="AL57" s="38" t="n">
        <v>10</v>
      </c>
      <c r="AM57" s="38" t="n">
        <v>10</v>
      </c>
      <c r="AN57" s="38" t="n">
        <v>10</v>
      </c>
      <c r="AO57" s="38" t="n">
        <v>10</v>
      </c>
      <c r="AP57" s="38" t="n">
        <v>10</v>
      </c>
      <c r="AQ57" s="38" t="n">
        <v>10</v>
      </c>
      <c r="AR57" s="38" t="n">
        <v>10</v>
      </c>
      <c r="AS57" s="38" t="n">
        <v>10</v>
      </c>
      <c r="AT57" s="38" t="n">
        <v>10</v>
      </c>
      <c r="AU57" s="38" t="n">
        <v>10</v>
      </c>
      <c r="AV57" s="38" t="n">
        <v>6</v>
      </c>
      <c r="AW57" s="38" t="n">
        <v>6</v>
      </c>
      <c r="AX57" s="38" t="n">
        <v>6</v>
      </c>
      <c r="AY57" s="38" t="n">
        <v>6</v>
      </c>
      <c r="AZ57" s="38" t="n">
        <v>6</v>
      </c>
      <c r="BA57" s="38" t="n">
        <v>6</v>
      </c>
      <c r="BB57" s="38" t="n">
        <v>6</v>
      </c>
      <c r="BC57" s="38" t="n">
        <v>6</v>
      </c>
      <c r="BD57" s="38" t="n">
        <v>6</v>
      </c>
      <c r="BE57" s="38" t="n">
        <v>6</v>
      </c>
      <c r="BF57" s="38" t="n">
        <v>6</v>
      </c>
      <c r="BG57" s="38" t="n">
        <v>6</v>
      </c>
      <c r="BH57" s="38" t="n">
        <v>6</v>
      </c>
      <c r="BI57" s="38" t="n">
        <v>6</v>
      </c>
      <c r="BJ57" s="38" t="n">
        <v>6</v>
      </c>
      <c r="BK57" s="38" t="n">
        <v>6</v>
      </c>
      <c r="BL57" s="38" t="n">
        <v>6</v>
      </c>
      <c r="BM57" s="38" t="n">
        <v>6</v>
      </c>
      <c r="BN57" s="38" t="n">
        <v>6</v>
      </c>
      <c r="BO57" s="38" t="n">
        <v>6</v>
      </c>
      <c r="BP57" s="38" t="n">
        <v>6</v>
      </c>
      <c r="BQ57" s="38" t="n">
        <v>6</v>
      </c>
      <c r="BR57" s="38" t="n">
        <v>6</v>
      </c>
      <c r="BS57" s="38" t="n">
        <v>6</v>
      </c>
      <c r="BT57" s="38" t="n"/>
      <c r="BU57" s="38" t="n"/>
      <c r="BV57" s="38" t="n"/>
      <c r="BW57" s="38" t="n">
        <v>6</v>
      </c>
      <c r="BX57" s="38" t="n">
        <v>6</v>
      </c>
      <c r="BY57" s="38" t="n">
        <v>6</v>
      </c>
      <c r="BZ57" s="38" t="n">
        <v>6</v>
      </c>
      <c r="CA57" s="38" t="n">
        <v>6</v>
      </c>
      <c r="CB57" s="154">
        <f>BZ57+IF(NOT(ISBLANK(OFFSET(CB57,0,6))),N(OFFSET(CB57,0,6)),N(OFFSET(CB57,0,7)))-CA57</f>
        <v/>
      </c>
      <c r="CD57" s="19" t="n"/>
      <c r="CF57" s="19" t="n"/>
      <c r="CH57" s="18" t="n">
        <v>0</v>
      </c>
      <c r="CI57" s="18" t="n">
        <v>0</v>
      </c>
      <c r="CJ57" s="18" t="n"/>
      <c r="CK57" s="18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396" t="n"/>
      <c r="DM57" s="256" t="n"/>
      <c r="DN57" s="18" t="n"/>
      <c r="DO57" s="17" t="n"/>
      <c r="DP57" s="17" t="n"/>
      <c r="DQ57" s="17" t="n"/>
      <c r="DR57" s="17" t="n"/>
      <c r="DS57" s="17" t="n"/>
      <c r="DT57" s="17" t="n"/>
      <c r="DU57" s="17" t="n"/>
      <c r="DV57" s="17" t="n"/>
      <c r="DW57" s="17" t="n"/>
      <c r="DX57" s="17" t="n"/>
      <c r="DY57" s="17" t="n"/>
      <c r="DZ57" s="17" t="n"/>
      <c r="EA57" s="17" t="n"/>
      <c r="EB57" s="17" t="n"/>
      <c r="EC57" s="17" t="n"/>
      <c r="ED57" s="17" t="n"/>
      <c r="EE57" s="17" t="n"/>
      <c r="EF57" s="17" t="n"/>
      <c r="EG57" s="17" t="n"/>
      <c r="EH57" s="17" t="n"/>
      <c r="EI57" s="17" t="n"/>
      <c r="EJ57" s="17" t="n"/>
      <c r="EK57" s="17" t="n"/>
      <c r="EL57" s="17" t="n"/>
      <c r="EM57" s="17" t="n"/>
      <c r="EN57" s="17" t="n"/>
      <c r="EO57" s="17" t="n"/>
      <c r="EP57" s="17" t="n"/>
      <c r="EQ57" s="17" t="n"/>
      <c r="ER57" s="17" t="n"/>
      <c r="ET57" s="17" t="n"/>
      <c r="EU57" s="17" t="n"/>
      <c r="EV57" s="17" t="n"/>
      <c r="EW57" s="17" t="n"/>
      <c r="EX57" s="17" t="n"/>
      <c r="EY57" s="17" t="n"/>
      <c r="EZ57" s="17" t="n"/>
      <c r="FA57" s="17" t="n"/>
      <c r="FB57" s="17" t="n"/>
      <c r="FC57" s="17" t="n"/>
      <c r="FD57" s="17" t="n"/>
      <c r="FE57" s="17" t="n"/>
      <c r="FG57" s="17" t="n"/>
      <c r="FH57" s="17" t="n"/>
      <c r="FI57" s="17" t="n"/>
      <c r="FJ57" s="17" t="n"/>
      <c r="FK57" s="17" t="n"/>
      <c r="FM57" s="17" t="n"/>
      <c r="FN57" s="17" t="n"/>
      <c r="FO57" s="17" t="n"/>
      <c r="FP57" s="17" t="n"/>
      <c r="FQ57" s="17" t="n"/>
      <c r="FR57" s="17" t="n"/>
      <c r="FS57" s="17" t="n"/>
      <c r="FT57" s="17" t="n"/>
      <c r="FU57" s="17" t="n"/>
      <c r="FV57" s="17" t="n"/>
      <c r="FW57" s="17" t="n"/>
      <c r="FX57" s="17" t="n"/>
      <c r="FY57" s="17" t="n"/>
    </row>
    <row r="58" ht="18.75" customHeight="1" thickBot="1">
      <c r="B58" s="53" t="n"/>
      <c r="C58" s="724" t="n"/>
      <c r="D58" s="72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  <c r="AA58" s="4" t="n"/>
      <c r="AB58" s="4" t="n"/>
      <c r="AC58" s="4" t="n"/>
      <c r="AD58" s="4" t="n"/>
      <c r="AE58" s="4" t="n"/>
      <c r="AF58" s="4" t="n"/>
      <c r="AG58" s="4" t="n"/>
      <c r="AH58" s="4" t="n"/>
      <c r="AI58" s="4" t="n"/>
      <c r="AJ58" s="4" t="n"/>
      <c r="AK58" s="4" t="n"/>
      <c r="AL58" s="4" t="n"/>
      <c r="AM58" s="4" t="n"/>
      <c r="AN58" s="4" t="n"/>
      <c r="AO58" s="4" t="n"/>
      <c r="AP58" s="4" t="n"/>
      <c r="AQ58" s="4" t="n"/>
      <c r="AR58" s="4" t="n"/>
      <c r="AS58" s="4" t="n"/>
      <c r="AT58" s="4" t="n"/>
      <c r="AU58" s="4" t="n"/>
      <c r="AV58" s="4" t="n"/>
      <c r="AW58" s="4" t="n"/>
      <c r="AX58" s="4" t="n"/>
      <c r="AY58" s="4" t="n"/>
      <c r="AZ58" s="4" t="n"/>
      <c r="BA58" s="4" t="n"/>
      <c r="BB58" s="4" t="n"/>
      <c r="BC58" s="4" t="n"/>
      <c r="BD58" s="4" t="n"/>
      <c r="BE58" s="4" t="n"/>
      <c r="BF58" s="4" t="n"/>
      <c r="BG58" s="4" t="n"/>
      <c r="BH58" s="4" t="n"/>
      <c r="BI58" s="4" t="n"/>
      <c r="BJ58" s="4" t="n"/>
      <c r="BK58" s="4" t="n"/>
      <c r="BL58" s="4" t="n"/>
      <c r="BM58" s="4" t="n"/>
      <c r="BN58" s="4" t="n"/>
      <c r="BO58" s="4" t="n"/>
      <c r="BP58" s="4" t="n"/>
      <c r="BQ58" s="4" t="n"/>
      <c r="BR58" s="4" t="n"/>
      <c r="BS58" s="4" t="n"/>
      <c r="BT58" s="4" t="n"/>
      <c r="BU58" s="4" t="n"/>
      <c r="BV58" s="4" t="n"/>
      <c r="BW58" s="4" t="n"/>
      <c r="BX58" s="4" t="n"/>
      <c r="BY58" s="4" t="n"/>
      <c r="BZ58" s="4" t="n"/>
      <c r="CA58" s="4" t="n"/>
      <c r="CB58" s="4" t="n"/>
      <c r="CD58" s="26" t="n"/>
      <c r="CF58" s="108" t="n"/>
      <c r="CH58" s="17" t="n"/>
      <c r="CI58" s="17" t="n"/>
      <c r="CJ58" s="17" t="n"/>
      <c r="CK58" s="17" t="n"/>
      <c r="CL58" s="17" t="n"/>
      <c r="CM58" s="17" t="n"/>
      <c r="CN58" s="17" t="n"/>
      <c r="CO58" s="17" t="n"/>
      <c r="CP58" s="17" t="n"/>
      <c r="CQ58" s="17" t="n"/>
      <c r="CR58" s="17" t="n"/>
      <c r="CS58" s="17" t="n"/>
      <c r="CT58" s="17" t="n"/>
      <c r="CU58" s="17" t="n"/>
      <c r="CV58" s="17" t="n"/>
      <c r="CW58" s="17" t="n"/>
      <c r="CX58" s="17" t="n"/>
      <c r="CY58" s="17" t="n"/>
      <c r="CZ58" s="17" t="n"/>
      <c r="DA58" s="17" t="n"/>
      <c r="DB58" s="17" t="n"/>
      <c r="DC58" s="17" t="n"/>
      <c r="DD58" s="17" t="n"/>
      <c r="DE58" s="17" t="n"/>
      <c r="DF58" s="17" t="n"/>
      <c r="DG58" s="17" t="n"/>
      <c r="DH58" s="17" t="n"/>
      <c r="DI58" s="17" t="n"/>
      <c r="DJ58" s="17" t="n"/>
      <c r="DK58" s="17" t="n"/>
      <c r="DM58" s="723" t="n"/>
      <c r="DN58" s="17" t="n"/>
      <c r="DO58" s="654" t="n">
        <v>45909</v>
      </c>
      <c r="DP58" s="654" t="n">
        <v>45915</v>
      </c>
      <c r="DQ58" s="654" t="n">
        <v>45909</v>
      </c>
      <c r="DR58" s="654" t="n">
        <v>45903</v>
      </c>
      <c r="DS58" s="654" t="n">
        <v>45895</v>
      </c>
      <c r="DT58" s="654" t="n">
        <v>45895</v>
      </c>
      <c r="DU58" s="679" t="n">
        <v>45896</v>
      </c>
      <c r="DV58" s="654" t="n">
        <v>45888</v>
      </c>
      <c r="DW58" s="654" t="n">
        <v>45881</v>
      </c>
      <c r="DX58" s="654" t="n">
        <v>45881</v>
      </c>
      <c r="DY58" s="654" t="n">
        <v>45874</v>
      </c>
      <c r="DZ58" s="655" t="n">
        <v>45882</v>
      </c>
      <c r="EA58" s="655" t="n">
        <v>45881</v>
      </c>
      <c r="EB58" s="654" t="n">
        <v>45867</v>
      </c>
      <c r="EC58" s="654" t="n">
        <v>45860</v>
      </c>
      <c r="ED58" s="654" t="n">
        <v>45860</v>
      </c>
      <c r="EE58" s="655" t="n">
        <v>45860</v>
      </c>
      <c r="EF58" s="654" t="n">
        <v>45848</v>
      </c>
      <c r="EG58" s="681" t="n">
        <v>45853</v>
      </c>
      <c r="EH58" s="654" t="n">
        <v>45839</v>
      </c>
      <c r="EI58" s="654" t="n">
        <v>45825</v>
      </c>
      <c r="EJ58" s="681" t="n">
        <v>45791</v>
      </c>
      <c r="EK58" s="655" t="n">
        <v>45826</v>
      </c>
      <c r="EL58" s="654" t="n">
        <v>45813</v>
      </c>
      <c r="EM58" s="655" t="n">
        <v>45819</v>
      </c>
      <c r="EN58" s="654" t="n">
        <v>45805</v>
      </c>
      <c r="EO58" s="654" t="n">
        <v>45783</v>
      </c>
      <c r="EP58" s="655" t="n">
        <v>45807</v>
      </c>
      <c r="EQ58" s="654" t="n">
        <v>45790</v>
      </c>
      <c r="ER58" s="690" t="n">
        <v>45800</v>
      </c>
      <c r="ES58" s="650" t="n">
        <v>45799</v>
      </c>
      <c r="ET58" s="655" t="n">
        <v>45798</v>
      </c>
      <c r="EU58" s="654" t="n">
        <v>45783</v>
      </c>
      <c r="EV58" s="654" t="n">
        <v>45783</v>
      </c>
      <c r="EW58" s="654" t="n">
        <v>45775</v>
      </c>
      <c r="EX58" s="654" t="n">
        <v>45770</v>
      </c>
      <c r="EY58" s="654" t="n">
        <v>45743</v>
      </c>
      <c r="EZ58" s="683" t="n">
        <v>45735</v>
      </c>
      <c r="FA58" s="655" t="n">
        <v>45775</v>
      </c>
      <c r="FB58" s="654" t="n">
        <v>45756</v>
      </c>
      <c r="FC58" s="654" t="n">
        <v>45749</v>
      </c>
      <c r="FD58" s="654" t="n">
        <v>45743</v>
      </c>
      <c r="FE58" s="654" t="n">
        <v>45743</v>
      </c>
      <c r="FF58" s="650" t="n">
        <v>45741</v>
      </c>
      <c r="FG58" s="654" t="n">
        <v>45728</v>
      </c>
      <c r="FH58" s="654" t="n">
        <v>45728</v>
      </c>
      <c r="FI58" s="654" t="n">
        <v>45722</v>
      </c>
      <c r="FJ58" s="654" t="n">
        <v>45714</v>
      </c>
      <c r="FK58" s="654" t="n">
        <v>45706</v>
      </c>
      <c r="FL58" s="650" t="n">
        <v>45700</v>
      </c>
      <c r="FM58" s="654" t="n">
        <v>45699</v>
      </c>
      <c r="FN58" s="654" t="n">
        <v>45706</v>
      </c>
      <c r="FO58" s="654" t="n">
        <v>45693</v>
      </c>
      <c r="FP58" s="654" t="n">
        <v>45685</v>
      </c>
      <c r="FQ58" s="654" t="n">
        <v>45679</v>
      </c>
      <c r="FR58" s="654" t="n">
        <v>45660</v>
      </c>
      <c r="FS58" s="654" t="n">
        <v>45674</v>
      </c>
      <c r="FT58" s="655" t="n">
        <v>45672</v>
      </c>
      <c r="FU58" s="654" t="n">
        <v>45652</v>
      </c>
      <c r="FV58" s="655" t="n">
        <v>45670</v>
      </c>
      <c r="FW58" s="654" t="n">
        <v>45664</v>
      </c>
      <c r="FX58" s="654" t="n">
        <v>45660</v>
      </c>
      <c r="FY58" s="654" t="n">
        <v>45660</v>
      </c>
    </row>
    <row r="59" ht="18.75" customHeight="1">
      <c r="A59" s="585" t="inlineStr">
        <is>
          <t>SACOLAS E CAIXAS QDB</t>
        </is>
      </c>
      <c r="B59" s="135" t="n"/>
      <c r="C59" s="135" t="n"/>
      <c r="D59" s="135" t="n"/>
      <c r="F59" s="650" t="n">
        <v>45656</v>
      </c>
      <c r="G59" s="650" t="n">
        <v>45663</v>
      </c>
      <c r="H59" s="650" t="n">
        <v>45670</v>
      </c>
      <c r="I59" s="650" t="n">
        <v>45677</v>
      </c>
      <c r="J59" s="650" t="n">
        <v>45684</v>
      </c>
      <c r="K59" s="650" t="n">
        <v>45691</v>
      </c>
      <c r="L59" s="650" t="n">
        <v>45698</v>
      </c>
      <c r="M59" s="650" t="n">
        <v>45705</v>
      </c>
      <c r="N59" s="650" t="n">
        <v>45712</v>
      </c>
      <c r="O59" s="650" t="n">
        <v>45719</v>
      </c>
      <c r="P59" s="650" t="n">
        <v>45726</v>
      </c>
      <c r="Q59" s="650" t="n">
        <v>45733</v>
      </c>
      <c r="R59" s="650" t="n">
        <v>45740</v>
      </c>
      <c r="S59" s="650" t="n">
        <v>45747</v>
      </c>
      <c r="T59" s="650" t="n">
        <v>45754</v>
      </c>
      <c r="U59" s="650" t="n">
        <v>45761</v>
      </c>
      <c r="V59" s="650" t="n">
        <v>45768</v>
      </c>
      <c r="W59" s="650" t="n">
        <v>45775</v>
      </c>
      <c r="X59" s="650" t="n">
        <v>45782</v>
      </c>
      <c r="Y59" s="650" t="n">
        <v>45789</v>
      </c>
      <c r="Z59" s="650" t="n">
        <v>45796</v>
      </c>
      <c r="AA59" s="650" t="n">
        <v>45803</v>
      </c>
      <c r="AB59" s="650" t="n">
        <v>45810</v>
      </c>
      <c r="AC59" s="650" t="n">
        <v>45817</v>
      </c>
      <c r="AD59" s="650" t="n">
        <v>45824</v>
      </c>
      <c r="AE59" s="650" t="n">
        <v>45831</v>
      </c>
      <c r="AF59" s="650" t="n">
        <v>45838</v>
      </c>
      <c r="AG59" s="650" t="n">
        <v>45845</v>
      </c>
      <c r="AH59" s="650" t="n">
        <v>45852</v>
      </c>
      <c r="AI59" s="650" t="n">
        <v>45859</v>
      </c>
      <c r="AJ59" s="650" t="n">
        <v>45866</v>
      </c>
      <c r="AK59" s="650" t="n">
        <v>45873</v>
      </c>
      <c r="AL59" s="650" t="n">
        <v>45880</v>
      </c>
      <c r="AM59" s="650" t="n">
        <v>45887</v>
      </c>
      <c r="AN59" s="650" t="n">
        <v>45894</v>
      </c>
      <c r="AO59" s="650" t="n">
        <v>45901</v>
      </c>
      <c r="AP59" s="650" t="n">
        <v>45908</v>
      </c>
      <c r="AQ59" s="650" t="n">
        <v>45915</v>
      </c>
      <c r="AR59" s="650" t="n">
        <v>45922</v>
      </c>
      <c r="AS59" s="650" t="n">
        <v>45929</v>
      </c>
      <c r="AT59" s="650" t="n">
        <v>45936</v>
      </c>
      <c r="AU59" s="650" t="n">
        <v>45943</v>
      </c>
      <c r="AV59" s="650" t="n">
        <v>45950</v>
      </c>
      <c r="AW59" s="650" t="n">
        <v>45957</v>
      </c>
      <c r="AX59" s="650" t="n">
        <v>45964</v>
      </c>
      <c r="AY59" s="650" t="n">
        <v>45971</v>
      </c>
      <c r="AZ59" s="650" t="n">
        <v>45978</v>
      </c>
      <c r="BA59" s="650" t="n">
        <v>45985</v>
      </c>
      <c r="BB59" s="650" t="n">
        <v>45992</v>
      </c>
      <c r="BC59" s="650" t="n">
        <v>45999</v>
      </c>
      <c r="BD59" s="650" t="n">
        <v>46006</v>
      </c>
      <c r="BE59" s="650" t="n">
        <v>46013</v>
      </c>
      <c r="BF59" s="650" t="n">
        <v>46020</v>
      </c>
      <c r="BG59" s="650" t="n">
        <v>46027</v>
      </c>
      <c r="BH59" s="650" t="n">
        <v>46034</v>
      </c>
      <c r="BI59" s="650" t="n">
        <v>46041</v>
      </c>
      <c r="BJ59" s="650" t="n">
        <v>46048</v>
      </c>
      <c r="BK59" s="650" t="n">
        <v>46055</v>
      </c>
      <c r="BL59" s="650" t="n">
        <v>46062</v>
      </c>
      <c r="BM59" s="650" t="n">
        <v>46069</v>
      </c>
      <c r="BN59" s="650" t="n">
        <v>46076</v>
      </c>
      <c r="BO59" s="650" t="n">
        <v>46083</v>
      </c>
      <c r="BP59" s="650" t="n">
        <v>46090</v>
      </c>
      <c r="BQ59" s="650" t="n">
        <v>46097</v>
      </c>
      <c r="BR59" s="650" t="n">
        <v>46104</v>
      </c>
      <c r="BS59" s="650" t="n">
        <v>46111</v>
      </c>
      <c r="BT59" s="650" t="n">
        <v>46118</v>
      </c>
      <c r="BU59" s="650" t="n">
        <v>46125</v>
      </c>
      <c r="BV59" s="650" t="n">
        <v>46132</v>
      </c>
      <c r="BW59" s="650" t="n">
        <v>46139</v>
      </c>
      <c r="BX59" s="650" t="n">
        <v>46146</v>
      </c>
      <c r="BY59" s="650" t="n">
        <v>46154</v>
      </c>
      <c r="BZ59" s="650" t="n">
        <v>46160</v>
      </c>
      <c r="CA59" s="650" t="n">
        <v>46160</v>
      </c>
      <c r="CB59" s="652" t="inlineStr">
        <is>
          <t>USOU</t>
        </is>
      </c>
      <c r="CD59" s="35" t="inlineStr">
        <is>
          <t>Pend.</t>
        </is>
      </c>
      <c r="CF59" s="12" t="inlineStr">
        <is>
          <t>Novo Pedido</t>
        </is>
      </c>
      <c r="CH59" s="654" t="n">
        <v>46156</v>
      </c>
      <c r="CI59" s="654" t="n">
        <v>46149</v>
      </c>
      <c r="CJ59" s="654" t="n">
        <v>46114</v>
      </c>
      <c r="CK59" s="710" t="n">
        <v>46065</v>
      </c>
      <c r="CL59" s="654" t="n">
        <v>46092</v>
      </c>
      <c r="CM59" s="654" t="n">
        <v>46092</v>
      </c>
      <c r="CN59" s="654" t="n">
        <v>46084</v>
      </c>
      <c r="CO59" s="711" t="n">
        <v>46045</v>
      </c>
      <c r="CP59" s="654" t="n">
        <v>46071</v>
      </c>
      <c r="CQ59" s="654" t="n">
        <v>46043</v>
      </c>
      <c r="CR59" s="654" t="n">
        <v>46029</v>
      </c>
      <c r="CS59" s="654" t="n">
        <v>46024</v>
      </c>
      <c r="CT59" s="655" t="n">
        <v>46041</v>
      </c>
      <c r="CU59" s="654" t="n">
        <v>46029</v>
      </c>
      <c r="CV59" s="654" t="n">
        <v>46024</v>
      </c>
      <c r="CW59" s="654" t="n">
        <v>46007</v>
      </c>
      <c r="CX59" s="654" t="n">
        <v>46001</v>
      </c>
      <c r="CY59" s="654" t="n">
        <v>45994</v>
      </c>
      <c r="CZ59" s="654" t="n">
        <v>45986</v>
      </c>
      <c r="DA59" s="654" t="n">
        <v>45986</v>
      </c>
      <c r="DB59" s="654" t="n">
        <v>45980</v>
      </c>
      <c r="DC59" s="654" t="n">
        <v>45980</v>
      </c>
      <c r="DD59" s="654" t="n">
        <v>45973</v>
      </c>
      <c r="DE59" s="654" t="n">
        <v>45973</v>
      </c>
      <c r="DF59" s="654" t="n">
        <v>45965</v>
      </c>
      <c r="DG59" s="654" t="n">
        <v>45965</v>
      </c>
      <c r="DH59" s="654" t="n">
        <v>45960</v>
      </c>
      <c r="DI59" s="654" t="n">
        <v>45951</v>
      </c>
      <c r="DJ59" s="654" t="n">
        <v>45937</v>
      </c>
      <c r="DK59" s="654" t="n">
        <v>45931</v>
      </c>
      <c r="DL59" s="678" t="n">
        <v>45903</v>
      </c>
      <c r="DM59" s="688" t="n">
        <v>45931</v>
      </c>
      <c r="DN59" s="654" t="n">
        <v>45923</v>
      </c>
      <c r="DO59" s="18" t="n"/>
      <c r="DP59" s="18" t="n"/>
      <c r="DQ59" s="18" t="n"/>
      <c r="DR59" s="18" t="n"/>
      <c r="DS59" s="18" t="n"/>
      <c r="DT59" s="18" t="n"/>
      <c r="DU59" s="18" t="n"/>
      <c r="DV59" s="18" t="n"/>
      <c r="DW59" s="18" t="n"/>
      <c r="DX59" s="18" t="n"/>
      <c r="DY59" s="18" t="n"/>
      <c r="DZ59" s="18" t="n"/>
      <c r="EA59" s="18" t="n"/>
      <c r="EB59" s="18" t="n"/>
      <c r="EC59" s="18" t="n"/>
      <c r="ED59" s="18" t="n"/>
      <c r="EE59" s="18" t="n"/>
      <c r="EF59" s="18" t="n"/>
      <c r="EG59" s="18" t="n"/>
      <c r="EH59" s="18" t="n"/>
      <c r="EI59" s="18" t="n"/>
      <c r="EJ59" s="18" t="n"/>
      <c r="EK59" s="18" t="n"/>
      <c r="EL59" s="18" t="n"/>
      <c r="EM59" s="18" t="n"/>
      <c r="EN59" s="18" t="n"/>
      <c r="EO59" s="18" t="n"/>
      <c r="EP59" s="18" t="n"/>
      <c r="EQ59" s="18" t="n"/>
      <c r="ER59" s="18" t="n"/>
      <c r="ES59" s="274" t="n"/>
      <c r="ET59" s="18" t="n"/>
      <c r="EU59" s="18" t="n">
        <v>600</v>
      </c>
      <c r="EV59" s="18" t="n"/>
      <c r="EW59" s="18" t="n"/>
      <c r="EX59" s="18" t="n"/>
      <c r="EY59" s="18" t="n"/>
      <c r="EZ59" s="18" t="n"/>
      <c r="FA59" s="18" t="n"/>
      <c r="FB59" s="18" t="n"/>
      <c r="FC59" s="18" t="n"/>
      <c r="FD59" s="18" t="n"/>
      <c r="FE59" s="18" t="n"/>
      <c r="FF59" s="275" t="n"/>
      <c r="FG59" s="18" t="n"/>
      <c r="FH59" s="18" t="n"/>
      <c r="FI59" s="18" t="n"/>
      <c r="FJ59" s="18" t="n"/>
      <c r="FK59" s="18" t="n"/>
      <c r="FL59" s="275" t="n"/>
      <c r="FM59" s="18" t="n"/>
      <c r="FN59" s="18" t="n">
        <v>300</v>
      </c>
      <c r="FO59" s="18" t="n"/>
      <c r="FP59" s="18" t="n"/>
      <c r="FQ59" s="18" t="n"/>
      <c r="FR59" s="18" t="n"/>
      <c r="FS59" s="18" t="n"/>
      <c r="FT59" s="18" t="n"/>
      <c r="FU59" s="18" t="n"/>
      <c r="FV59" s="18" t="n"/>
      <c r="FW59" s="18" t="n"/>
      <c r="FX59" s="18" t="n"/>
      <c r="FY59" s="18" t="n"/>
      <c r="GA59" s="733" t="inlineStr">
        <is>
          <t>Ñ FAZEMOS REPOSIÇÃO DE QDB</t>
        </is>
      </c>
      <c r="GB59" s="718" t="n"/>
    </row>
    <row r="60" ht="18.75" customHeight="1">
      <c r="A60" s="43" t="inlineStr">
        <is>
          <t>SACOLA P QDB</t>
        </is>
      </c>
      <c r="B60" s="149" t="n">
        <v>300</v>
      </c>
      <c r="C60" s="726" t="n">
        <v>178.29</v>
      </c>
      <c r="D60" s="329" t="n">
        <v>300</v>
      </c>
      <c r="F60" s="9" t="n">
        <v>300</v>
      </c>
      <c r="G60" s="9" t="n">
        <v>300</v>
      </c>
      <c r="H60" s="9" t="n">
        <v>300</v>
      </c>
      <c r="I60" s="9" t="n">
        <v>300</v>
      </c>
      <c r="J60" s="9" t="n">
        <v>300</v>
      </c>
      <c r="K60" s="9" t="n">
        <v>300</v>
      </c>
      <c r="L60" s="9" t="n">
        <v>300</v>
      </c>
      <c r="M60" s="9" t="n">
        <v>300</v>
      </c>
      <c r="N60" s="9">
        <f>300+FN59</f>
        <v/>
      </c>
      <c r="O60" s="9" t="n">
        <v>600</v>
      </c>
      <c r="P60" s="9" t="n">
        <v>600</v>
      </c>
      <c r="Q60" s="9" t="n">
        <v>600</v>
      </c>
      <c r="R60" s="9" t="n">
        <v>600</v>
      </c>
      <c r="S60" s="9" t="n">
        <v>600</v>
      </c>
      <c r="T60" s="9" t="n">
        <v>600</v>
      </c>
      <c r="U60" s="9" t="n">
        <v>600</v>
      </c>
      <c r="V60" s="9" t="n">
        <v>600</v>
      </c>
      <c r="W60" s="9" t="n">
        <v>600</v>
      </c>
      <c r="X60" s="9" t="n">
        <v>300</v>
      </c>
      <c r="Y60" s="9" t="n">
        <v>300</v>
      </c>
      <c r="Z60" s="9" t="n">
        <v>900</v>
      </c>
      <c r="AA60" s="9" t="n">
        <v>900</v>
      </c>
      <c r="AB60" s="9" t="n">
        <v>600</v>
      </c>
      <c r="AC60" s="9" t="n">
        <v>350</v>
      </c>
      <c r="AD60" s="9" t="n">
        <v>25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>
        <v>0</v>
      </c>
      <c r="AK60" s="9" t="n">
        <v>0</v>
      </c>
      <c r="AL60" s="9" t="n">
        <v>0</v>
      </c>
      <c r="AM60" s="9" t="n">
        <v>0</v>
      </c>
      <c r="AN60" s="9" t="n">
        <v>0</v>
      </c>
      <c r="AO60" s="9" t="n">
        <v>0</v>
      </c>
      <c r="AP60" s="9" t="n">
        <v>0</v>
      </c>
      <c r="AQ60" s="9" t="n">
        <v>0</v>
      </c>
      <c r="AR60" s="9" t="n">
        <v>0</v>
      </c>
      <c r="AS60" s="9" t="n">
        <v>0</v>
      </c>
      <c r="AT60" s="9" t="n">
        <v>0</v>
      </c>
      <c r="AU60" s="9" t="n">
        <v>0</v>
      </c>
      <c r="AV60" s="9" t="n">
        <v>0</v>
      </c>
      <c r="AW60" s="9" t="n">
        <v>0</v>
      </c>
      <c r="AX60" s="9" t="n">
        <v>0</v>
      </c>
      <c r="AY60" s="9" t="n">
        <v>0</v>
      </c>
      <c r="AZ60" s="9" t="n">
        <v>0</v>
      </c>
      <c r="BA60" s="9" t="n">
        <v>0</v>
      </c>
      <c r="BB60" s="9" t="n">
        <v>0</v>
      </c>
      <c r="BC60" s="9" t="n">
        <v>0</v>
      </c>
      <c r="BD60" s="9" t="n">
        <v>0</v>
      </c>
      <c r="BE60" s="9" t="n">
        <v>0</v>
      </c>
      <c r="BF60" s="9" t="n">
        <v>0</v>
      </c>
      <c r="BG60" s="9" t="n">
        <v>0</v>
      </c>
      <c r="BH60" s="9" t="n">
        <v>0</v>
      </c>
      <c r="BI60" s="9" t="n">
        <v>0</v>
      </c>
      <c r="BJ60" s="9" t="n">
        <v>0</v>
      </c>
      <c r="BK60" s="9" t="n">
        <v>0</v>
      </c>
      <c r="BL60" s="9" t="n">
        <v>0</v>
      </c>
      <c r="BM60" s="9" t="n">
        <v>0</v>
      </c>
      <c r="BN60" s="9" t="n">
        <v>0</v>
      </c>
      <c r="BO60" s="9" t="n">
        <v>0</v>
      </c>
      <c r="BP60" s="9" t="n">
        <v>0</v>
      </c>
      <c r="BQ60" s="9" t="n">
        <v>0</v>
      </c>
      <c r="BR60" s="9" t="n">
        <v>0</v>
      </c>
      <c r="BS60" s="9" t="n">
        <v>0</v>
      </c>
      <c r="BT60" s="9" t="n">
        <v>0</v>
      </c>
      <c r="BU60" s="9" t="n">
        <v>0</v>
      </c>
      <c r="BV60" s="9" t="n">
        <v>0</v>
      </c>
      <c r="BW60" s="9" t="n">
        <v>0</v>
      </c>
      <c r="BX60" s="9" t="n">
        <v>0</v>
      </c>
      <c r="BY60" s="9" t="n">
        <v>0</v>
      </c>
      <c r="BZ60" s="9" t="n"/>
      <c r="CA60" s="9" t="n"/>
      <c r="CB60" s="154">
        <f>BZ60+IF(NOT(ISBLANK(OFFSET(CB60,0,6))),N(OFFSET(CB60,0,6)),N(OFFSET(CB60,0,7)))-CA60</f>
        <v/>
      </c>
      <c r="CD60" s="317" t="n"/>
      <c r="CF60" s="65" t="n"/>
      <c r="CH60" s="18" t="n">
        <v>0</v>
      </c>
      <c r="CI60" s="18" t="n">
        <v>0</v>
      </c>
      <c r="CJ60" s="18" t="n"/>
      <c r="CK60" s="18" t="n"/>
      <c r="CL60" s="18" t="n"/>
      <c r="CM60" s="18" t="n"/>
      <c r="CN60" s="18" t="n"/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396" t="n"/>
      <c r="DM60" s="256" t="n"/>
      <c r="DN60" s="18" t="n"/>
      <c r="DO60" s="18" t="n"/>
      <c r="DP60" s="18" t="n"/>
      <c r="DQ60" s="18" t="n"/>
      <c r="DR60" s="18" t="n"/>
      <c r="DS60" s="18" t="n"/>
      <c r="DT60" s="18" t="n"/>
      <c r="DU60" s="18" t="n"/>
      <c r="DV60" s="18" t="n"/>
      <c r="DW60" s="18" t="n"/>
      <c r="DX60" s="18" t="n"/>
      <c r="DY60" s="18" t="n"/>
      <c r="DZ60" s="18" t="n"/>
      <c r="EA60" s="18" t="n"/>
      <c r="EB60" s="18" t="n"/>
      <c r="EC60" s="18" t="n"/>
      <c r="ED60" s="18" t="n"/>
      <c r="EE60" s="18" t="n"/>
      <c r="EF60" s="18" t="n"/>
      <c r="EG60" s="18" t="n"/>
      <c r="EH60" s="18" t="n"/>
      <c r="EI60" s="18" t="n"/>
      <c r="EJ60" s="18" t="n"/>
      <c r="EK60" s="18" t="n"/>
      <c r="EL60" s="18" t="n"/>
      <c r="EM60" s="18" t="n"/>
      <c r="EN60" s="18" t="n"/>
      <c r="EO60" s="18" t="n"/>
      <c r="EP60" s="18" t="n"/>
      <c r="EQ60" s="18" t="n"/>
      <c r="ER60" s="18" t="n"/>
      <c r="ES60" s="274" t="n"/>
      <c r="ET60" s="18" t="n"/>
      <c r="EU60" s="18" t="n">
        <v>600</v>
      </c>
      <c r="EV60" s="18" t="n"/>
      <c r="EW60" s="18" t="n"/>
      <c r="EX60" s="18" t="n"/>
      <c r="EY60" s="18" t="n"/>
      <c r="EZ60" s="18" t="n"/>
      <c r="FA60" s="18" t="n"/>
      <c r="FB60" s="18" t="n"/>
      <c r="FC60" s="18" t="n"/>
      <c r="FD60" s="18" t="n"/>
      <c r="FE60" s="18" t="n"/>
      <c r="FF60" s="256" t="n"/>
      <c r="FG60" s="18" t="n"/>
      <c r="FH60" s="18" t="n"/>
      <c r="FI60" s="18" t="n"/>
      <c r="FJ60" s="18" t="n"/>
      <c r="FK60" s="18" t="n"/>
      <c r="FL60" s="256" t="n"/>
      <c r="FM60" s="18" t="n"/>
      <c r="FN60" s="18" t="n"/>
      <c r="FO60" s="18" t="n"/>
      <c r="FP60" s="18" t="n"/>
      <c r="FQ60" s="18" t="n"/>
      <c r="FR60" s="18" t="n"/>
      <c r="FS60" s="18" t="n"/>
      <c r="FT60" s="18" t="n"/>
      <c r="FU60" s="18" t="n"/>
      <c r="FV60" s="18" t="n"/>
      <c r="FW60" s="18" t="n"/>
      <c r="FX60" s="18" t="n"/>
      <c r="FY60" s="18" t="n"/>
      <c r="GA60" s="719" t="n"/>
      <c r="GB60" s="720" t="n"/>
    </row>
    <row r="61" ht="18.75" customHeight="1">
      <c r="A61" s="43" t="inlineStr">
        <is>
          <t>SACOLA M  QDB</t>
        </is>
      </c>
      <c r="B61" s="149" t="n">
        <v>200</v>
      </c>
      <c r="C61" s="726" t="n">
        <v>183.98</v>
      </c>
      <c r="D61" s="329" t="n">
        <v>200</v>
      </c>
      <c r="F61" s="9" t="n">
        <v>200</v>
      </c>
      <c r="G61" s="9" t="n">
        <v>200</v>
      </c>
      <c r="H61" s="9" t="n">
        <v>200</v>
      </c>
      <c r="I61" s="9" t="n">
        <v>200</v>
      </c>
      <c r="J61" s="9" t="n">
        <v>200</v>
      </c>
      <c r="K61" s="9" t="n">
        <v>200</v>
      </c>
      <c r="L61" s="9" t="n">
        <v>200</v>
      </c>
      <c r="M61" s="9" t="n">
        <v>200</v>
      </c>
      <c r="N61" s="9" t="n">
        <v>200</v>
      </c>
      <c r="O61" s="9" t="n">
        <v>200</v>
      </c>
      <c r="P61" s="9" t="n">
        <v>200</v>
      </c>
      <c r="Q61" s="9" t="n">
        <v>200</v>
      </c>
      <c r="R61" s="9" t="n">
        <v>200</v>
      </c>
      <c r="S61" s="9" t="n">
        <v>200</v>
      </c>
      <c r="T61" s="9" t="n">
        <v>200</v>
      </c>
      <c r="U61" s="9" t="n">
        <v>200</v>
      </c>
      <c r="V61" s="9" t="n">
        <v>200</v>
      </c>
      <c r="W61" s="9" t="n">
        <v>200</v>
      </c>
      <c r="X61" s="9" t="n">
        <v>0</v>
      </c>
      <c r="Y61" s="9" t="n">
        <v>0</v>
      </c>
      <c r="Z61" s="9" t="n">
        <v>600</v>
      </c>
      <c r="AA61" s="9" t="n">
        <v>600</v>
      </c>
      <c r="AB61" s="9" t="n">
        <v>400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>
        <v>0</v>
      </c>
      <c r="AK61" s="9" t="n">
        <v>0</v>
      </c>
      <c r="AL61" s="9" t="n">
        <v>0</v>
      </c>
      <c r="AM61" s="9" t="n">
        <v>0</v>
      </c>
      <c r="AN61" s="9" t="n">
        <v>0</v>
      </c>
      <c r="AO61" s="9" t="n">
        <v>0</v>
      </c>
      <c r="AP61" s="9" t="n">
        <v>0</v>
      </c>
      <c r="AQ61" s="9" t="n">
        <v>0</v>
      </c>
      <c r="AR61" s="9" t="n">
        <v>0</v>
      </c>
      <c r="AS61" s="9" t="n">
        <v>0</v>
      </c>
      <c r="AT61" s="9" t="n">
        <v>0</v>
      </c>
      <c r="AU61" s="9" t="n">
        <v>0</v>
      </c>
      <c r="AV61" s="9" t="n">
        <v>0</v>
      </c>
      <c r="AW61" s="9" t="n">
        <v>0</v>
      </c>
      <c r="AX61" s="9" t="n">
        <v>0</v>
      </c>
      <c r="AY61" s="9" t="n">
        <v>0</v>
      </c>
      <c r="AZ61" s="9" t="n">
        <v>0</v>
      </c>
      <c r="BA61" s="9" t="n">
        <v>0</v>
      </c>
      <c r="BB61" s="9" t="n">
        <v>0</v>
      </c>
      <c r="BC61" s="9" t="n">
        <v>0</v>
      </c>
      <c r="BD61" s="9" t="n">
        <v>0</v>
      </c>
      <c r="BE61" s="9" t="n">
        <v>0</v>
      </c>
      <c r="BF61" s="9" t="n">
        <v>0</v>
      </c>
      <c r="BG61" s="9" t="n">
        <v>0</v>
      </c>
      <c r="BH61" s="9" t="n">
        <v>0</v>
      </c>
      <c r="BI61" s="9" t="n">
        <v>0</v>
      </c>
      <c r="BJ61" s="9" t="n">
        <v>0</v>
      </c>
      <c r="BK61" s="9" t="n">
        <v>0</v>
      </c>
      <c r="BL61" s="9" t="n">
        <v>0</v>
      </c>
      <c r="BM61" s="9" t="n">
        <v>0</v>
      </c>
      <c r="BN61" s="9" t="n">
        <v>0</v>
      </c>
      <c r="BO61" s="9" t="n">
        <v>0</v>
      </c>
      <c r="BP61" s="9" t="n">
        <v>0</v>
      </c>
      <c r="BQ61" s="9" t="n">
        <v>0</v>
      </c>
      <c r="BR61" s="9" t="n">
        <v>0</v>
      </c>
      <c r="BS61" s="9" t="n">
        <v>0</v>
      </c>
      <c r="BT61" s="9" t="n">
        <v>0</v>
      </c>
      <c r="BU61" s="9" t="n">
        <v>0</v>
      </c>
      <c r="BV61" s="9" t="n">
        <v>0</v>
      </c>
      <c r="BW61" s="9" t="n">
        <v>0</v>
      </c>
      <c r="BX61" s="9" t="n">
        <v>0</v>
      </c>
      <c r="BY61" s="9" t="n">
        <v>0</v>
      </c>
      <c r="BZ61" s="9" t="n"/>
      <c r="CA61" s="9" t="n"/>
      <c r="CB61" s="154">
        <f>BZ61+IF(NOT(ISBLANK(OFFSET(CB61,0,6))),N(OFFSET(CB61,0,6)),N(OFFSET(CB61,0,7)))-CA61</f>
        <v/>
      </c>
      <c r="CD61" s="317" t="n"/>
      <c r="CF61" s="65" t="n"/>
      <c r="CH61" s="18" t="n">
        <v>0</v>
      </c>
      <c r="CI61" s="18" t="n">
        <v>0</v>
      </c>
      <c r="CJ61" s="18" t="n"/>
      <c r="CK61" s="18" t="n"/>
      <c r="CL61" s="18" t="n"/>
      <c r="CM61" s="18" t="n"/>
      <c r="CN61" s="18" t="n"/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396" t="n"/>
      <c r="DM61" s="256" t="n"/>
      <c r="DN61" s="18" t="n"/>
      <c r="DO61" s="18" t="n"/>
      <c r="DP61" s="18" t="n"/>
      <c r="DQ61" s="18" t="n"/>
      <c r="DR61" s="18" t="n"/>
      <c r="DS61" s="18" t="n"/>
      <c r="DT61" s="18" t="n"/>
      <c r="DU61" s="18" t="n"/>
      <c r="DV61" s="18" t="n"/>
      <c r="DW61" s="18" t="n"/>
      <c r="DX61" s="18" t="n"/>
      <c r="DY61" s="18" t="n"/>
      <c r="DZ61" s="18" t="n"/>
      <c r="EA61" s="18" t="n"/>
      <c r="EB61" s="18" t="n"/>
      <c r="EC61" s="18" t="n"/>
      <c r="ED61" s="18" t="n"/>
      <c r="EE61" s="18" t="n"/>
      <c r="EF61" s="18" t="n"/>
      <c r="EG61" s="18" t="n"/>
      <c r="EH61" s="18" t="n"/>
      <c r="EI61" s="18" t="n"/>
      <c r="EJ61" s="18" t="n"/>
      <c r="EK61" s="18" t="n"/>
      <c r="EL61" s="18" t="n"/>
      <c r="EM61" s="18" t="n"/>
      <c r="EN61" s="18" t="n"/>
      <c r="EO61" s="18" t="n"/>
      <c r="EP61" s="18" t="n"/>
      <c r="EQ61" s="18" t="n"/>
      <c r="ER61" s="18" t="n"/>
      <c r="ES61" s="274" t="n"/>
      <c r="ET61" s="18" t="n"/>
      <c r="EU61" s="18" t="n"/>
      <c r="EV61" s="18" t="n"/>
      <c r="EW61" s="18" t="n"/>
      <c r="EX61" s="18" t="n"/>
      <c r="EY61" s="18" t="n"/>
      <c r="EZ61" s="18" t="n"/>
      <c r="FA61" s="18" t="n"/>
      <c r="FB61" s="18" t="n"/>
      <c r="FC61" s="18" t="n"/>
      <c r="FD61" s="18" t="n"/>
      <c r="FE61" s="18" t="n"/>
      <c r="FF61" s="256" t="n"/>
      <c r="FG61" s="18" t="n">
        <v>200</v>
      </c>
      <c r="FH61" s="18" t="n"/>
      <c r="FI61" s="18" t="n"/>
      <c r="FJ61" s="18" t="n"/>
      <c r="FK61" s="18" t="n"/>
      <c r="FL61" s="256" t="n"/>
      <c r="FM61" s="18" t="n"/>
      <c r="FN61" s="18" t="n"/>
      <c r="FO61" s="18" t="n"/>
      <c r="FP61" s="18" t="n"/>
      <c r="FQ61" s="18" t="n"/>
      <c r="FR61" s="18" t="n"/>
      <c r="FS61" s="18" t="n"/>
      <c r="FT61" s="18" t="n"/>
      <c r="FU61" s="18" t="n"/>
      <c r="FV61" s="18" t="n"/>
      <c r="FW61" s="18" t="n"/>
      <c r="FX61" s="18" t="n"/>
      <c r="FY61" s="18" t="n"/>
      <c r="GA61" s="719" t="n"/>
      <c r="GB61" s="720" t="n"/>
    </row>
    <row r="62" ht="18.75" customHeight="1">
      <c r="A62" s="43" t="inlineStr">
        <is>
          <t>SACOLA G  QDB</t>
        </is>
      </c>
      <c r="B62" s="149" t="n">
        <v>200</v>
      </c>
      <c r="C62" s="726" t="n">
        <v>241.86</v>
      </c>
      <c r="D62" s="329" t="n">
        <v>50</v>
      </c>
      <c r="F62" s="9" t="n">
        <v>200</v>
      </c>
      <c r="G62" s="9" t="n">
        <v>200</v>
      </c>
      <c r="H62" s="9" t="n">
        <v>200</v>
      </c>
      <c r="I62" s="9" t="n">
        <v>200</v>
      </c>
      <c r="J62" s="9" t="n">
        <v>200</v>
      </c>
      <c r="K62" s="9" t="n">
        <v>200</v>
      </c>
      <c r="L62" s="9" t="n">
        <v>150</v>
      </c>
      <c r="M62" s="9" t="n">
        <v>150</v>
      </c>
      <c r="N62" s="9" t="n">
        <v>100</v>
      </c>
      <c r="O62" s="9" t="n">
        <v>100</v>
      </c>
      <c r="P62" s="9" t="n">
        <v>100</v>
      </c>
      <c r="Q62" s="9" t="n">
        <v>101</v>
      </c>
      <c r="R62" s="9" t="n">
        <v>101</v>
      </c>
      <c r="S62" s="9" t="n">
        <v>201</v>
      </c>
      <c r="T62" s="9" t="n">
        <v>201</v>
      </c>
      <c r="U62" s="9" t="n">
        <v>200</v>
      </c>
      <c r="V62" s="9" t="n">
        <v>200</v>
      </c>
      <c r="W62" s="9" t="n">
        <v>200</v>
      </c>
      <c r="X62" s="9" t="n">
        <v>200</v>
      </c>
      <c r="Y62" s="9" t="n">
        <v>200</v>
      </c>
      <c r="Z62" s="9" t="n">
        <v>200</v>
      </c>
      <c r="AA62" s="9" t="n">
        <v>75</v>
      </c>
      <c r="AB62" s="9" t="n">
        <v>75</v>
      </c>
      <c r="AC62" s="9" t="n">
        <v>0</v>
      </c>
      <c r="AD62" s="9" t="n">
        <v>0</v>
      </c>
      <c r="AE62" s="9" t="n">
        <v>0</v>
      </c>
      <c r="AF62" s="9" t="n">
        <v>0</v>
      </c>
      <c r="AG62" s="9" t="n">
        <v>0</v>
      </c>
      <c r="AH62" s="9" t="n">
        <v>0</v>
      </c>
      <c r="AI62" s="9" t="n">
        <v>0</v>
      </c>
      <c r="AJ62" s="9" t="n">
        <v>0</v>
      </c>
      <c r="AK62" s="9" t="n">
        <v>0</v>
      </c>
      <c r="AL62" s="9" t="n">
        <v>0</v>
      </c>
      <c r="AM62" s="9" t="n">
        <v>0</v>
      </c>
      <c r="AN62" s="9" t="n">
        <v>0</v>
      </c>
      <c r="AO62" s="9" t="n">
        <v>0</v>
      </c>
      <c r="AP62" s="9" t="n">
        <v>0</v>
      </c>
      <c r="AQ62" s="9" t="n">
        <v>0</v>
      </c>
      <c r="AR62" s="9" t="n">
        <v>0</v>
      </c>
      <c r="AS62" s="9" t="n">
        <v>0</v>
      </c>
      <c r="AT62" s="9" t="n">
        <v>0</v>
      </c>
      <c r="AU62" s="9" t="n">
        <v>0</v>
      </c>
      <c r="AV62" s="9" t="n">
        <v>0</v>
      </c>
      <c r="AW62" s="9" t="n">
        <v>0</v>
      </c>
      <c r="AX62" s="9" t="n">
        <v>0</v>
      </c>
      <c r="AY62" s="9" t="n">
        <v>0</v>
      </c>
      <c r="AZ62" s="9" t="n">
        <v>0</v>
      </c>
      <c r="BA62" s="9" t="n">
        <v>0</v>
      </c>
      <c r="BB62" s="9" t="n">
        <v>0</v>
      </c>
      <c r="BC62" s="9" t="n">
        <v>0</v>
      </c>
      <c r="BD62" s="9" t="n">
        <v>0</v>
      </c>
      <c r="BE62" s="9" t="n">
        <v>0</v>
      </c>
      <c r="BF62" s="9" t="n">
        <v>0</v>
      </c>
      <c r="BG62" s="9" t="n">
        <v>0</v>
      </c>
      <c r="BH62" s="9" t="n">
        <v>0</v>
      </c>
      <c r="BI62" s="9" t="n">
        <v>0</v>
      </c>
      <c r="BJ62" s="9" t="n">
        <v>0</v>
      </c>
      <c r="BK62" s="9" t="n">
        <v>0</v>
      </c>
      <c r="BL62" s="9" t="n">
        <v>0</v>
      </c>
      <c r="BM62" s="9" t="n">
        <v>0</v>
      </c>
      <c r="BN62" s="9" t="n">
        <v>0</v>
      </c>
      <c r="BO62" s="9" t="n">
        <v>0</v>
      </c>
      <c r="BP62" s="9" t="n">
        <v>0</v>
      </c>
      <c r="BQ62" s="9" t="n">
        <v>0</v>
      </c>
      <c r="BR62" s="9" t="n">
        <v>0</v>
      </c>
      <c r="BS62" s="9" t="n">
        <v>0</v>
      </c>
      <c r="BT62" s="9" t="n">
        <v>0</v>
      </c>
      <c r="BU62" s="9" t="n">
        <v>0</v>
      </c>
      <c r="BV62" s="9" t="n">
        <v>0</v>
      </c>
      <c r="BW62" s="9" t="n">
        <v>0</v>
      </c>
      <c r="BX62" s="9" t="n">
        <v>0</v>
      </c>
      <c r="BY62" s="9" t="n">
        <v>0</v>
      </c>
      <c r="BZ62" s="9" t="n"/>
      <c r="CA62" s="9" t="n"/>
      <c r="CB62" s="154">
        <f>BZ62+IF(NOT(ISBLANK(OFFSET(CB62,0,6))),N(OFFSET(CB62,0,6)),N(OFFSET(CB62,0,7)))-CA62</f>
        <v/>
      </c>
      <c r="CD62" s="317" t="n"/>
      <c r="CF62" s="27" t="n"/>
      <c r="CH62" s="18" t="n">
        <v>0</v>
      </c>
      <c r="CI62" s="18" t="n">
        <v>0</v>
      </c>
      <c r="CJ62" s="18" t="n"/>
      <c r="CK62" s="18" t="n"/>
      <c r="CL62" s="18" t="n"/>
      <c r="CM62" s="18" t="n"/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8" t="n"/>
      <c r="DA62" s="18" t="n"/>
      <c r="DB62" s="18" t="n"/>
      <c r="DC62" s="18" t="n"/>
      <c r="DD62" s="18" t="n"/>
      <c r="DE62" s="18" t="n"/>
      <c r="DF62" s="18" t="n"/>
      <c r="DG62" s="18" t="n"/>
      <c r="DH62" s="18" t="n"/>
      <c r="DI62" s="18" t="n"/>
      <c r="DJ62" s="18" t="n"/>
      <c r="DK62" s="18" t="n"/>
      <c r="DL62" s="396" t="n"/>
      <c r="DM62" s="256" t="n"/>
      <c r="DN62" s="18" t="n"/>
      <c r="DO62" s="18" t="n"/>
      <c r="DP62" s="18" t="n"/>
      <c r="DQ62" s="18" t="n"/>
      <c r="DR62" s="18" t="n"/>
      <c r="DS62" s="18" t="n"/>
      <c r="DT62" s="18" t="n"/>
      <c r="DU62" s="18" t="n"/>
      <c r="DV62" s="18" t="n"/>
      <c r="DW62" s="18" t="n"/>
      <c r="DX62" s="18" t="n"/>
      <c r="DY62" s="18" t="n"/>
      <c r="DZ62" s="18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275" t="n"/>
      <c r="ET62" s="18" t="n"/>
      <c r="EU62" s="18" t="n"/>
      <c r="EV62" s="18" t="n"/>
      <c r="EW62" s="18" t="n"/>
      <c r="EX62" s="18" t="n"/>
      <c r="EY62" s="18" t="n"/>
      <c r="EZ62" s="18" t="n"/>
      <c r="FA62" s="18" t="n"/>
      <c r="FB62" s="18" t="n"/>
      <c r="FC62" s="18" t="n"/>
      <c r="FD62" s="18" t="n"/>
      <c r="FE62" s="18" t="n"/>
      <c r="FF62" s="276" t="n"/>
      <c r="FG62" s="18" t="n"/>
      <c r="FH62" s="18" t="n"/>
      <c r="FI62" s="18" t="n"/>
      <c r="FJ62" s="18" t="n"/>
      <c r="FK62" s="18" t="n"/>
      <c r="FL62" s="276" t="n"/>
      <c r="FM62" s="18" t="n"/>
      <c r="FN62" s="18" t="n"/>
      <c r="FO62" s="18" t="n"/>
      <c r="FP62" s="18" t="n"/>
      <c r="FQ62" s="18" t="n"/>
      <c r="FR62" s="18" t="n"/>
      <c r="FS62" s="18" t="n"/>
      <c r="FT62" s="18" t="n"/>
      <c r="FU62" s="18" t="n"/>
      <c r="FV62" s="18" t="n"/>
      <c r="FW62" s="18" t="n"/>
      <c r="FX62" s="18" t="n"/>
      <c r="FY62" s="18" t="n"/>
      <c r="GA62" s="719" t="n"/>
      <c r="GB62" s="720" t="n"/>
    </row>
    <row r="63" ht="18.75" customHeight="1">
      <c r="A63" s="43" t="inlineStr">
        <is>
          <t>PAPEL DE SEDA  QDB</t>
        </is>
      </c>
      <c r="B63" s="149" t="n">
        <v>100</v>
      </c>
      <c r="C63" s="726" t="n">
        <v>22.98</v>
      </c>
      <c r="D63" s="329" t="n">
        <v>1</v>
      </c>
      <c r="F63" s="9">
        <f>0+3</f>
        <v/>
      </c>
      <c r="G63" s="9" t="n">
        <v>3</v>
      </c>
      <c r="H63" s="9" t="n">
        <v>3</v>
      </c>
      <c r="I63" s="9" t="n">
        <v>3</v>
      </c>
      <c r="J63" s="9" t="n">
        <v>3</v>
      </c>
      <c r="K63" s="9" t="n">
        <v>3</v>
      </c>
      <c r="L63" s="9" t="n">
        <v>3</v>
      </c>
      <c r="M63" s="9" t="n">
        <v>3</v>
      </c>
      <c r="N63" s="9" t="n">
        <v>3</v>
      </c>
      <c r="O63" s="9" t="n">
        <v>3</v>
      </c>
      <c r="P63" s="9" t="n">
        <v>3</v>
      </c>
      <c r="Q63" s="9" t="n">
        <v>3</v>
      </c>
      <c r="R63" s="9" t="n">
        <v>3</v>
      </c>
      <c r="S63" s="9" t="n">
        <v>3</v>
      </c>
      <c r="T63" s="9" t="n">
        <v>3</v>
      </c>
      <c r="U63" s="9" t="n">
        <v>3</v>
      </c>
      <c r="V63" s="9" t="n">
        <v>3</v>
      </c>
      <c r="W63" s="9" t="n">
        <v>3</v>
      </c>
      <c r="X63" s="9" t="n">
        <v>3</v>
      </c>
      <c r="Y63" s="9" t="n">
        <v>3</v>
      </c>
      <c r="Z63" s="9" t="n">
        <v>3</v>
      </c>
      <c r="AA63" s="9" t="n">
        <v>3</v>
      </c>
      <c r="AB63" s="9" t="n">
        <v>3</v>
      </c>
      <c r="AC63" s="9" t="n">
        <v>3</v>
      </c>
      <c r="AD63" s="9" t="n">
        <v>3</v>
      </c>
      <c r="AE63" s="9" t="n">
        <v>3</v>
      </c>
      <c r="AF63" s="9" t="n">
        <v>3</v>
      </c>
      <c r="AG63" s="9" t="n">
        <v>3</v>
      </c>
      <c r="AH63" s="9" t="n">
        <v>3</v>
      </c>
      <c r="AI63" s="9" t="n">
        <v>3</v>
      </c>
      <c r="AJ63" s="9" t="n">
        <v>3</v>
      </c>
      <c r="AK63" s="9" t="n">
        <v>3</v>
      </c>
      <c r="AL63" s="9" t="n">
        <v>3</v>
      </c>
      <c r="AM63" s="9" t="n">
        <v>3</v>
      </c>
      <c r="AN63" s="9" t="n">
        <v>3</v>
      </c>
      <c r="AO63" s="9" t="n">
        <v>3</v>
      </c>
      <c r="AP63" s="9" t="n">
        <v>2</v>
      </c>
      <c r="AQ63" s="9" t="n">
        <v>2</v>
      </c>
      <c r="AR63" s="9" t="n">
        <v>2</v>
      </c>
      <c r="AS63" s="9" t="n">
        <v>2</v>
      </c>
      <c r="AT63" s="9" t="n">
        <v>2</v>
      </c>
      <c r="AU63" s="9" t="n">
        <v>2</v>
      </c>
      <c r="AV63" s="9" t="n">
        <v>2</v>
      </c>
      <c r="AW63" s="9" t="n">
        <v>2</v>
      </c>
      <c r="AX63" s="9" t="n">
        <v>2</v>
      </c>
      <c r="AY63" s="9" t="n">
        <v>2</v>
      </c>
      <c r="AZ63" s="9" t="n">
        <v>2</v>
      </c>
      <c r="BA63" s="9" t="n">
        <v>2</v>
      </c>
      <c r="BB63" s="9" t="n">
        <v>2</v>
      </c>
      <c r="BC63" s="9" t="n">
        <v>2</v>
      </c>
      <c r="BD63" s="9" t="n">
        <v>2</v>
      </c>
      <c r="BE63" s="9" t="n">
        <v>2</v>
      </c>
      <c r="BF63" s="9" t="n">
        <v>2</v>
      </c>
      <c r="BG63" s="9" t="n">
        <v>2</v>
      </c>
      <c r="BH63" s="9" t="n">
        <v>2</v>
      </c>
      <c r="BI63" s="9" t="n">
        <v>2</v>
      </c>
      <c r="BJ63" s="9" t="n">
        <v>0</v>
      </c>
      <c r="BK63" s="9" t="n">
        <v>0</v>
      </c>
      <c r="BL63" s="9" t="n">
        <v>0</v>
      </c>
      <c r="BM63" s="9" t="n">
        <v>0</v>
      </c>
      <c r="BN63" s="9" t="n">
        <v>0</v>
      </c>
      <c r="BO63" s="9" t="n">
        <v>0</v>
      </c>
      <c r="BP63" s="9" t="n">
        <v>0</v>
      </c>
      <c r="BQ63" s="9" t="n">
        <v>0</v>
      </c>
      <c r="BR63" s="9" t="n">
        <v>0</v>
      </c>
      <c r="BS63" s="9" t="n">
        <v>0</v>
      </c>
      <c r="BT63" s="9" t="n">
        <v>0</v>
      </c>
      <c r="BU63" s="9" t="n">
        <v>0</v>
      </c>
      <c r="BV63" s="9" t="n">
        <v>0</v>
      </c>
      <c r="BW63" s="9" t="n">
        <v>0</v>
      </c>
      <c r="BX63" s="9" t="n">
        <v>0</v>
      </c>
      <c r="BY63" s="9" t="n">
        <v>0</v>
      </c>
      <c r="BZ63" s="9" t="n"/>
      <c r="CA63" s="9" t="n"/>
      <c r="CB63" s="154">
        <f>BZ63+IF(NOT(ISBLANK(OFFSET(CB63,0,6))),N(OFFSET(CB63,0,6)),N(OFFSET(CB63,0,7)))-CA63</f>
        <v/>
      </c>
      <c r="CD63" s="317" t="n"/>
      <c r="CF63" s="19" t="n"/>
      <c r="CH63" s="18" t="n">
        <v>0</v>
      </c>
      <c r="CI63" s="18" t="n">
        <v>0</v>
      </c>
      <c r="CJ63" s="18" t="n"/>
      <c r="CK63" s="18" t="n"/>
      <c r="CL63" s="18" t="n"/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/>
      <c r="DD63" s="18" t="n"/>
      <c r="DE63" s="18" t="n"/>
      <c r="DF63" s="18" t="n"/>
      <c r="DG63" s="18" t="n"/>
      <c r="DH63" s="18" t="n"/>
      <c r="DI63" s="18" t="n"/>
      <c r="DJ63" s="18" t="n"/>
      <c r="DK63" s="18" t="n"/>
      <c r="DL63" s="396" t="n"/>
      <c r="DM63" s="256" t="n"/>
      <c r="DN63" s="18" t="n"/>
      <c r="DO63" s="18" t="n"/>
      <c r="DP63" s="18" t="n"/>
      <c r="DQ63" s="18" t="n"/>
      <c r="DR63" s="18" t="n"/>
      <c r="DS63" s="18" t="n"/>
      <c r="DT63" s="18" t="n"/>
      <c r="DU63" s="18" t="n"/>
      <c r="DV63" s="18" t="n"/>
      <c r="DW63" s="18" t="n"/>
      <c r="DX63" s="18" t="n"/>
      <c r="DY63" s="18" t="n"/>
      <c r="DZ63" s="18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275" t="n"/>
      <c r="ET63" s="18" t="n"/>
      <c r="EU63" s="18" t="n"/>
      <c r="EV63" s="18" t="n"/>
      <c r="EW63" s="18" t="n"/>
      <c r="EX63" s="18" t="n"/>
      <c r="EY63" s="18" t="n"/>
      <c r="EZ63" s="18" t="n"/>
      <c r="FA63" s="18" t="n"/>
      <c r="FB63" s="18" t="n"/>
      <c r="FC63" s="18" t="n"/>
      <c r="FD63" s="18" t="n"/>
      <c r="FE63" s="18" t="n"/>
      <c r="FF63" s="276" t="n"/>
      <c r="FG63" s="18" t="n"/>
      <c r="FH63" s="18" t="n"/>
      <c r="FI63" s="18" t="n"/>
      <c r="FJ63" s="18" t="n"/>
      <c r="FK63" s="18" t="n"/>
      <c r="FL63" s="276" t="n"/>
      <c r="FM63" s="18" t="n"/>
      <c r="FN63" s="18" t="n">
        <v>2</v>
      </c>
      <c r="FO63" s="18" t="n"/>
      <c r="FP63" s="18" t="n"/>
      <c r="FQ63" s="18" t="n"/>
      <c r="FR63" s="18" t="n"/>
      <c r="FS63" s="18" t="n"/>
      <c r="FT63" s="18" t="n"/>
      <c r="FU63" s="18" t="n"/>
      <c r="FV63" s="18" t="n"/>
      <c r="FW63" s="18" t="n"/>
      <c r="FX63" s="18" t="n"/>
      <c r="FY63" s="18" t="n"/>
      <c r="GA63" s="719" t="n"/>
      <c r="GB63" s="720" t="n"/>
    </row>
    <row r="64" ht="18.75" customHeight="1">
      <c r="A64" s="43" t="inlineStr">
        <is>
          <t>ETIQUETA QDB</t>
        </is>
      </c>
      <c r="B64" s="149" t="n">
        <v>1000</v>
      </c>
      <c r="C64" s="726" t="n">
        <v>7.75</v>
      </c>
      <c r="D64" s="329" t="n">
        <v>1</v>
      </c>
      <c r="F64" s="9">
        <f>0+1</f>
        <v/>
      </c>
      <c r="G64" s="9" t="n">
        <v>1</v>
      </c>
      <c r="H64" s="9" t="n">
        <v>1</v>
      </c>
      <c r="I64" s="9" t="n">
        <v>1</v>
      </c>
      <c r="J64" s="9" t="n">
        <v>1</v>
      </c>
      <c r="K64" s="9" t="n">
        <v>1</v>
      </c>
      <c r="L64" s="9" t="n">
        <v>1</v>
      </c>
      <c r="M64" s="9" t="n">
        <v>1</v>
      </c>
      <c r="N64" s="9">
        <f>1+FN63</f>
        <v/>
      </c>
      <c r="O64" s="9" t="n">
        <v>3</v>
      </c>
      <c r="P64" s="9" t="n">
        <v>3</v>
      </c>
      <c r="Q64" s="9" t="n">
        <v>3</v>
      </c>
      <c r="R64" s="9" t="n">
        <v>3</v>
      </c>
      <c r="S64" s="9" t="n">
        <v>3</v>
      </c>
      <c r="T64" s="9" t="n">
        <v>3</v>
      </c>
      <c r="U64" s="9" t="n">
        <v>3</v>
      </c>
      <c r="V64" s="9" t="n">
        <v>3</v>
      </c>
      <c r="W64" s="9" t="n">
        <v>3</v>
      </c>
      <c r="X64" s="9" t="n">
        <v>3</v>
      </c>
      <c r="Y64" s="9" t="n">
        <v>3</v>
      </c>
      <c r="Z64" s="9" t="n">
        <v>3</v>
      </c>
      <c r="AA64" s="9" t="n">
        <v>3</v>
      </c>
      <c r="AB64" s="9" t="n">
        <v>3</v>
      </c>
      <c r="AC64" s="9" t="n">
        <v>3</v>
      </c>
      <c r="AD64" s="9" t="n">
        <v>3</v>
      </c>
      <c r="AE64" s="9" t="n">
        <v>3</v>
      </c>
      <c r="AF64" s="9" t="n">
        <v>3</v>
      </c>
      <c r="AG64" s="9" t="n">
        <v>3</v>
      </c>
      <c r="AH64" s="9" t="n">
        <v>3</v>
      </c>
      <c r="AI64" s="9" t="n">
        <v>3</v>
      </c>
      <c r="AJ64" s="9" t="n">
        <v>3</v>
      </c>
      <c r="AK64" s="9" t="n">
        <v>3</v>
      </c>
      <c r="AL64" s="9" t="n">
        <v>3</v>
      </c>
      <c r="AM64" s="9" t="n">
        <v>3</v>
      </c>
      <c r="AN64" s="9" t="n">
        <v>3</v>
      </c>
      <c r="AO64" s="9" t="n">
        <v>3</v>
      </c>
      <c r="AP64" s="9" t="n">
        <v>3</v>
      </c>
      <c r="AQ64" s="9" t="n">
        <v>3</v>
      </c>
      <c r="AR64" s="9" t="n">
        <v>3</v>
      </c>
      <c r="AS64" s="9" t="n">
        <v>3</v>
      </c>
      <c r="AT64" s="9" t="n">
        <v>3</v>
      </c>
      <c r="AU64" s="9" t="n">
        <v>3</v>
      </c>
      <c r="AV64" s="9" t="n">
        <v>3</v>
      </c>
      <c r="AW64" s="9" t="n">
        <v>3</v>
      </c>
      <c r="AX64" s="9" t="n">
        <v>3</v>
      </c>
      <c r="AY64" s="9" t="n">
        <v>3</v>
      </c>
      <c r="AZ64" s="9" t="n">
        <v>3</v>
      </c>
      <c r="BA64" s="9" t="n">
        <v>3</v>
      </c>
      <c r="BB64" s="9" t="n">
        <v>3</v>
      </c>
      <c r="BC64" s="9" t="n">
        <v>2</v>
      </c>
      <c r="BD64" s="9" t="n">
        <v>2</v>
      </c>
      <c r="BE64" s="9" t="n">
        <v>2</v>
      </c>
      <c r="BF64" s="9" t="n">
        <v>2</v>
      </c>
      <c r="BG64" s="9" t="n">
        <v>2</v>
      </c>
      <c r="BH64" s="9" t="n">
        <v>2</v>
      </c>
      <c r="BI64" s="9">
        <f>2-1</f>
        <v/>
      </c>
      <c r="BJ64" s="9" t="n">
        <v>0</v>
      </c>
      <c r="BK64" s="9" t="n">
        <v>0</v>
      </c>
      <c r="BL64" s="9" t="n">
        <v>0</v>
      </c>
      <c r="BM64" s="9" t="n">
        <v>0</v>
      </c>
      <c r="BN64" s="9" t="n">
        <v>0</v>
      </c>
      <c r="BO64" s="9" t="n">
        <v>0</v>
      </c>
      <c r="BP64" s="9" t="n">
        <v>0</v>
      </c>
      <c r="BQ64" s="9" t="n">
        <v>0</v>
      </c>
      <c r="BR64" s="9" t="n">
        <v>0</v>
      </c>
      <c r="BS64" s="9" t="n">
        <v>0</v>
      </c>
      <c r="BT64" s="9" t="n">
        <v>0</v>
      </c>
      <c r="BU64" s="9" t="n">
        <v>0</v>
      </c>
      <c r="BV64" s="9" t="n">
        <v>0</v>
      </c>
      <c r="BW64" s="9" t="n">
        <v>0</v>
      </c>
      <c r="BX64" s="9" t="n">
        <v>0</v>
      </c>
      <c r="BY64" s="9" t="n">
        <v>0</v>
      </c>
      <c r="BZ64" s="9" t="n"/>
      <c r="CA64" s="9" t="n"/>
      <c r="CB64" s="154">
        <f>BZ64+IF(NOT(ISBLANK(OFFSET(CB64,0,6))),N(OFFSET(CB64,0,6)),N(OFFSET(CB64,0,7)))-CA64</f>
        <v/>
      </c>
      <c r="CD64" s="317" t="n"/>
      <c r="CF64" s="65" t="n"/>
      <c r="CH64" s="18" t="n">
        <v>0</v>
      </c>
      <c r="CI64" s="18" t="n">
        <v>0</v>
      </c>
      <c r="CJ64" s="18" t="n"/>
      <c r="CK64" s="18" t="n"/>
      <c r="CL64" s="18" t="n"/>
      <c r="CM64" s="18" t="n"/>
      <c r="CN64" s="18" t="n"/>
      <c r="CO64" s="18" t="n"/>
      <c r="CP64" s="18" t="n"/>
      <c r="CQ64" s="18" t="n"/>
      <c r="CR64" s="18" t="n"/>
      <c r="CS64" s="18" t="n"/>
      <c r="CT64" s="154" t="inlineStr">
        <is>
          <t>01 P/ ER MG</t>
        </is>
      </c>
      <c r="CU64" s="18" t="n"/>
      <c r="CV64" s="18" t="n"/>
      <c r="CW64" s="18" t="n"/>
      <c r="CX64" s="18" t="n"/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396" t="n"/>
      <c r="DM64" s="256" t="n"/>
      <c r="DN64" s="18" t="n"/>
      <c r="DO64" s="18" t="n"/>
      <c r="DP64" s="18" t="n"/>
      <c r="DQ64" s="18" t="n"/>
      <c r="DR64" s="18" t="n"/>
      <c r="DS64" s="18" t="n"/>
      <c r="DT64" s="18" t="n"/>
      <c r="DU64" s="18" t="n"/>
      <c r="DV64" s="18" t="n"/>
      <c r="DW64" s="18" t="n"/>
      <c r="DX64" s="18" t="n"/>
      <c r="DY64" s="18" t="n"/>
      <c r="DZ64" s="18" t="n"/>
      <c r="EA64" s="18" t="n"/>
      <c r="EB64" s="18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275" t="n"/>
      <c r="ET64" s="18" t="n"/>
      <c r="EU64" s="18" t="n"/>
      <c r="EV64" s="18" t="n"/>
      <c r="EW64" s="18" t="n"/>
      <c r="EX64" s="18" t="n"/>
      <c r="EY64" s="18" t="n"/>
      <c r="EZ64" s="18" t="n"/>
      <c r="FA64" s="18" t="n"/>
      <c r="FB64" s="18" t="n"/>
      <c r="FC64" s="18" t="n"/>
      <c r="FD64" s="18" t="n"/>
      <c r="FE64" s="18" t="n"/>
      <c r="FF64" s="279" t="n"/>
      <c r="FG64" s="18" t="n">
        <v>4</v>
      </c>
      <c r="FH64" s="18" t="n"/>
      <c r="FI64" s="18" t="n"/>
      <c r="FJ64" s="18" t="n"/>
      <c r="FK64" s="18" t="n"/>
      <c r="FL64" s="276" t="n"/>
      <c r="FM64" s="18" t="n"/>
      <c r="FN64" s="18" t="n">
        <v>2</v>
      </c>
      <c r="FO64" s="18" t="n"/>
      <c r="FP64" s="18" t="n"/>
      <c r="FQ64" s="18" t="n"/>
      <c r="FR64" s="18" t="n"/>
      <c r="FS64" s="18" t="n"/>
      <c r="FT64" s="18" t="n"/>
      <c r="FU64" s="18" t="n"/>
      <c r="FV64" s="18" t="n"/>
      <c r="FW64" s="18" t="n"/>
      <c r="FX64" s="18" t="n"/>
      <c r="FY64" s="18" t="n"/>
      <c r="GA64" s="719" t="n"/>
      <c r="GB64" s="720" t="n"/>
    </row>
    <row r="65" ht="18.75" customHeight="1">
      <c r="A65" s="43" t="inlineStr">
        <is>
          <t>TAG  QDB</t>
        </is>
      </c>
      <c r="B65" s="149" t="n">
        <v>300</v>
      </c>
      <c r="C65" s="726" t="n">
        <v>53.97</v>
      </c>
      <c r="D65" s="329" t="n">
        <v>1</v>
      </c>
      <c r="F65" s="9">
        <f>0+1</f>
        <v/>
      </c>
      <c r="G65" s="9" t="n">
        <v>1</v>
      </c>
      <c r="H65" s="9" t="n">
        <v>1</v>
      </c>
      <c r="I65" s="9" t="n">
        <v>1</v>
      </c>
      <c r="J65" s="9" t="n">
        <v>1</v>
      </c>
      <c r="K65" s="9" t="n">
        <v>1</v>
      </c>
      <c r="L65" s="9" t="n">
        <v>1</v>
      </c>
      <c r="M65" s="9" t="n">
        <v>1</v>
      </c>
      <c r="N65" s="9">
        <f>1+FN64</f>
        <v/>
      </c>
      <c r="O65" s="9" t="n">
        <v>3</v>
      </c>
      <c r="P65" s="9" t="n">
        <v>2</v>
      </c>
      <c r="Q65" s="9">
        <f>2+FG64</f>
        <v/>
      </c>
      <c r="R65" s="9" t="n">
        <v>6</v>
      </c>
      <c r="S65" s="9" t="n">
        <v>6</v>
      </c>
      <c r="T65" s="9" t="n">
        <v>6</v>
      </c>
      <c r="U65" s="9" t="n">
        <v>6</v>
      </c>
      <c r="V65" s="9" t="n">
        <v>6</v>
      </c>
      <c r="W65" s="9" t="n">
        <v>6</v>
      </c>
      <c r="X65" s="9" t="n">
        <v>6</v>
      </c>
      <c r="Y65" s="9" t="n">
        <v>6</v>
      </c>
      <c r="Z65" s="9" t="n">
        <v>6</v>
      </c>
      <c r="AA65" s="9" t="n">
        <v>6</v>
      </c>
      <c r="AB65" s="9" t="n">
        <v>6</v>
      </c>
      <c r="AC65" s="9" t="n">
        <v>6</v>
      </c>
      <c r="AD65" s="9" t="n">
        <v>6</v>
      </c>
      <c r="AE65" s="9" t="n">
        <v>6</v>
      </c>
      <c r="AF65" s="9" t="n">
        <v>6</v>
      </c>
      <c r="AG65" s="9" t="n">
        <v>6</v>
      </c>
      <c r="AH65" s="9" t="n">
        <v>6</v>
      </c>
      <c r="AI65" s="9" t="n">
        <v>6</v>
      </c>
      <c r="AJ65" s="9" t="n">
        <v>6</v>
      </c>
      <c r="AK65" s="9" t="n">
        <v>6</v>
      </c>
      <c r="AL65" s="9" t="n">
        <v>6</v>
      </c>
      <c r="AM65" s="9" t="n">
        <v>6</v>
      </c>
      <c r="AN65" s="9" t="n">
        <v>6</v>
      </c>
      <c r="AO65" s="9" t="n">
        <v>6</v>
      </c>
      <c r="AP65" s="9" t="n">
        <v>6</v>
      </c>
      <c r="AQ65" s="9" t="n">
        <v>6</v>
      </c>
      <c r="AR65" s="9" t="n">
        <v>6</v>
      </c>
      <c r="AS65" s="9" t="n">
        <v>6</v>
      </c>
      <c r="AT65" s="9" t="n">
        <v>6</v>
      </c>
      <c r="AU65" s="9" t="n">
        <v>6</v>
      </c>
      <c r="AV65" s="9" t="n">
        <v>6</v>
      </c>
      <c r="AW65" s="9" t="n">
        <v>6</v>
      </c>
      <c r="AX65" s="9" t="n">
        <v>6</v>
      </c>
      <c r="AY65" s="9" t="n">
        <v>6</v>
      </c>
      <c r="AZ65" s="9" t="n">
        <v>6</v>
      </c>
      <c r="BA65" s="9" t="n">
        <v>6</v>
      </c>
      <c r="BB65" s="9" t="n">
        <v>6</v>
      </c>
      <c r="BC65" s="9" t="n">
        <v>6</v>
      </c>
      <c r="BD65" s="9" t="n">
        <v>6</v>
      </c>
      <c r="BE65" s="9" t="n">
        <v>6</v>
      </c>
      <c r="BF65" s="9" t="n">
        <v>6</v>
      </c>
      <c r="BG65" s="9" t="n">
        <v>6</v>
      </c>
      <c r="BH65" s="9" t="n">
        <v>6</v>
      </c>
      <c r="BI65" s="9" t="n">
        <v>6</v>
      </c>
      <c r="BJ65" s="9" t="n">
        <v>0</v>
      </c>
      <c r="BK65" s="9" t="n">
        <v>0</v>
      </c>
      <c r="BL65" s="9" t="n">
        <v>0</v>
      </c>
      <c r="BM65" s="9" t="n">
        <v>0</v>
      </c>
      <c r="BN65" s="9" t="n">
        <v>0</v>
      </c>
      <c r="BO65" s="9" t="n">
        <v>0</v>
      </c>
      <c r="BP65" s="9" t="n">
        <v>0</v>
      </c>
      <c r="BQ65" s="9" t="n">
        <v>0</v>
      </c>
      <c r="BR65" s="9" t="n">
        <v>0</v>
      </c>
      <c r="BS65" s="9" t="n">
        <v>0</v>
      </c>
      <c r="BT65" s="9" t="n">
        <v>0</v>
      </c>
      <c r="BU65" s="9" t="n">
        <v>0</v>
      </c>
      <c r="BV65" s="9" t="n">
        <v>0</v>
      </c>
      <c r="BW65" s="9" t="n">
        <v>0</v>
      </c>
      <c r="BX65" s="9" t="n">
        <v>0</v>
      </c>
      <c r="BY65" s="9" t="n">
        <v>0</v>
      </c>
      <c r="BZ65" s="9" t="n"/>
      <c r="CA65" s="9" t="n"/>
      <c r="CB65" s="154">
        <f>BZ65+IF(NOT(ISBLANK(OFFSET(CB65,0,6))),N(OFFSET(CB65,0,6)),N(OFFSET(CB65,0,7)))-CA65</f>
        <v/>
      </c>
      <c r="CD65" s="317" t="n"/>
      <c r="CF65" s="65" t="n"/>
      <c r="CH65" s="18" t="n">
        <v>0</v>
      </c>
      <c r="CI65" s="18" t="n">
        <v>0</v>
      </c>
      <c r="CJ65" s="18" t="n"/>
      <c r="CK65" s="18" t="n"/>
      <c r="CL65" s="18" t="n"/>
      <c r="CM65" s="18" t="n"/>
      <c r="CN65" s="18" t="n"/>
      <c r="CO65" s="18" t="n"/>
      <c r="CP65" s="18" t="n"/>
      <c r="CQ65" s="18" t="n"/>
      <c r="CR65" s="18" t="n"/>
      <c r="CS65" s="18" t="n"/>
      <c r="CT65" s="256" t="n"/>
      <c r="CU65" s="18" t="n"/>
      <c r="CV65" s="18" t="n"/>
      <c r="CW65" s="18" t="n"/>
      <c r="CX65" s="18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396" t="n"/>
      <c r="DM65" s="256" t="n"/>
      <c r="DN65" s="18" t="n"/>
      <c r="DO65" s="18" t="n"/>
      <c r="DP65" s="18" t="n"/>
      <c r="DQ65" s="18" t="n"/>
      <c r="DR65" s="18" t="n"/>
      <c r="DS65" s="18" t="n"/>
      <c r="DT65" s="18" t="n"/>
      <c r="DU65" s="18" t="n"/>
      <c r="DV65" s="18" t="n"/>
      <c r="DW65" s="18" t="n"/>
      <c r="DX65" s="18" t="n"/>
      <c r="DY65" s="18" t="n"/>
      <c r="DZ65" s="18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256" t="n"/>
      <c r="ET65" s="18" t="n"/>
      <c r="EU65" s="18" t="n"/>
      <c r="EV65" s="18" t="n"/>
      <c r="EW65" s="18" t="n"/>
      <c r="EX65" s="278" t="n"/>
      <c r="EY65" s="278" t="n"/>
      <c r="EZ65" s="18" t="n"/>
      <c r="FA65" s="18" t="n"/>
      <c r="FB65" s="278" t="n"/>
      <c r="FC65" s="278" t="n"/>
      <c r="FD65" s="278" t="n"/>
      <c r="FE65" s="278" t="n"/>
      <c r="FF65" s="276" t="n"/>
      <c r="FG65" s="278" t="n"/>
      <c r="FH65" s="18" t="n"/>
      <c r="FI65" s="18" t="n"/>
      <c r="FJ65" s="18" t="n"/>
      <c r="FK65" s="18" t="n"/>
      <c r="FM65" s="18" t="n"/>
      <c r="FN65" s="18" t="n">
        <v>2</v>
      </c>
      <c r="FO65" s="18" t="n"/>
      <c r="FP65" s="18" t="n"/>
      <c r="FQ65" s="18" t="n"/>
      <c r="FR65" s="18" t="n"/>
      <c r="FS65" s="18" t="n"/>
      <c r="FT65" s="18" t="n"/>
      <c r="FU65" s="18" t="n"/>
      <c r="FV65" s="18" t="n"/>
      <c r="FW65" s="18" t="n"/>
      <c r="FX65" s="18" t="n"/>
      <c r="FY65" s="18" t="n"/>
      <c r="GA65" s="719" t="n"/>
      <c r="GB65" s="720" t="n"/>
    </row>
    <row r="66" ht="18.75" customHeight="1">
      <c r="A66" s="43" t="inlineStr">
        <is>
          <t>LÂMINA  QDB</t>
        </is>
      </c>
      <c r="B66" s="149" t="n">
        <v>3000</v>
      </c>
      <c r="C66" s="726" t="n">
        <v>213</v>
      </c>
      <c r="D66" s="329" t="n">
        <v>0</v>
      </c>
      <c r="F66" s="9">
        <f>1</f>
        <v/>
      </c>
      <c r="G66" s="9" t="n">
        <v>1</v>
      </c>
      <c r="H66" s="9" t="n">
        <v>1</v>
      </c>
      <c r="I66" s="9" t="n">
        <v>1</v>
      </c>
      <c r="J66" s="9" t="n">
        <v>1</v>
      </c>
      <c r="K66" s="9" t="n">
        <v>1</v>
      </c>
      <c r="L66" s="9" t="n">
        <v>1</v>
      </c>
      <c r="M66" s="9" t="n">
        <v>0</v>
      </c>
      <c r="N66" s="9">
        <f>0+FN65</f>
        <v/>
      </c>
      <c r="O66" s="9" t="n">
        <v>2</v>
      </c>
      <c r="P66" s="9" t="n">
        <v>2</v>
      </c>
      <c r="Q66" s="9" t="n">
        <v>2</v>
      </c>
      <c r="R66" s="9" t="n">
        <v>2</v>
      </c>
      <c r="S66" s="9" t="n">
        <v>2</v>
      </c>
      <c r="T66" s="9" t="n">
        <v>2</v>
      </c>
      <c r="U66" s="9" t="n">
        <v>2</v>
      </c>
      <c r="V66" s="9" t="n">
        <v>2</v>
      </c>
      <c r="W66" s="9" t="n">
        <v>2</v>
      </c>
      <c r="X66" s="9" t="n">
        <v>2</v>
      </c>
      <c r="Y66" s="9" t="n">
        <v>1</v>
      </c>
      <c r="Z66" s="9" t="n">
        <v>1</v>
      </c>
      <c r="AA66" s="9" t="n">
        <v>1</v>
      </c>
      <c r="AB66" s="9" t="n">
        <v>1</v>
      </c>
      <c r="AC66" s="9" t="n">
        <v>1</v>
      </c>
      <c r="AD66" s="9" t="n">
        <v>1</v>
      </c>
      <c r="AE66" s="9" t="n">
        <v>1</v>
      </c>
      <c r="AF66" s="9" t="n">
        <v>1</v>
      </c>
      <c r="AG66" s="9" t="n">
        <v>1</v>
      </c>
      <c r="AH66" s="9" t="n">
        <v>1</v>
      </c>
      <c r="AI66" s="9" t="n">
        <v>1</v>
      </c>
      <c r="AJ66" s="9" t="n">
        <v>1</v>
      </c>
      <c r="AK66" s="9" t="n">
        <v>1</v>
      </c>
      <c r="AL66" s="9" t="n">
        <v>1</v>
      </c>
      <c r="AM66" s="9" t="n">
        <v>1</v>
      </c>
      <c r="AN66" s="9" t="n">
        <v>1</v>
      </c>
      <c r="AO66" s="9" t="n">
        <v>1</v>
      </c>
      <c r="AP66" s="9" t="n">
        <v>1</v>
      </c>
      <c r="AQ66" s="9" t="n">
        <v>1</v>
      </c>
      <c r="AR66" s="9" t="n">
        <v>1</v>
      </c>
      <c r="AS66" s="9" t="n">
        <v>1</v>
      </c>
      <c r="AT66" s="9" t="n">
        <v>1</v>
      </c>
      <c r="AU66" s="9" t="n">
        <v>1</v>
      </c>
      <c r="AV66" s="9" t="n">
        <v>1</v>
      </c>
      <c r="AW66" s="9" t="n">
        <v>1</v>
      </c>
      <c r="AX66" s="9" t="n">
        <v>1</v>
      </c>
      <c r="AY66" s="9" t="n">
        <v>1</v>
      </c>
      <c r="AZ66" s="9" t="n">
        <v>1</v>
      </c>
      <c r="BA66" s="9" t="n">
        <v>1</v>
      </c>
      <c r="BB66" s="9" t="n">
        <v>1</v>
      </c>
      <c r="BC66" s="9" t="n">
        <v>1</v>
      </c>
      <c r="BD66" s="9" t="n">
        <v>1</v>
      </c>
      <c r="BE66" s="9" t="n">
        <v>1</v>
      </c>
      <c r="BF66" s="9" t="n">
        <v>1</v>
      </c>
      <c r="BG66" s="9" t="n">
        <v>1</v>
      </c>
      <c r="BH66" s="9" t="n">
        <v>1</v>
      </c>
      <c r="BI66" s="9">
        <f>2+1</f>
        <v/>
      </c>
      <c r="BJ66" s="9" t="n">
        <v>0</v>
      </c>
      <c r="BK66" s="9" t="n">
        <v>0</v>
      </c>
      <c r="BL66" s="9" t="n">
        <v>0</v>
      </c>
      <c r="BM66" s="9" t="n">
        <v>0</v>
      </c>
      <c r="BN66" s="9" t="n">
        <v>0</v>
      </c>
      <c r="BO66" s="9" t="n">
        <v>0</v>
      </c>
      <c r="BP66" s="9" t="n">
        <v>0</v>
      </c>
      <c r="BQ66" s="9" t="n">
        <v>0</v>
      </c>
      <c r="BR66" s="9" t="n">
        <v>0</v>
      </c>
      <c r="BS66" s="9" t="n">
        <v>0</v>
      </c>
      <c r="BT66" s="9" t="n">
        <v>0</v>
      </c>
      <c r="BU66" s="9" t="n">
        <v>0</v>
      </c>
      <c r="BV66" s="9" t="n">
        <v>0</v>
      </c>
      <c r="BW66" s="9" t="n">
        <v>0</v>
      </c>
      <c r="BX66" s="9" t="n">
        <v>0</v>
      </c>
      <c r="BY66" s="9" t="n">
        <v>0</v>
      </c>
      <c r="BZ66" s="9" t="n"/>
      <c r="CA66" s="9" t="n"/>
      <c r="CB66" s="154">
        <f>BZ66+IF(NOT(ISBLANK(OFFSET(CB66,0,6))),N(OFFSET(CB66,0,6)),N(OFFSET(CB66,0,7)))-CA66</f>
        <v/>
      </c>
      <c r="CC66" s="6" t="n"/>
      <c r="CD66" s="317" t="n"/>
      <c r="CE66" s="49" t="n"/>
      <c r="CF66" s="65" t="n"/>
      <c r="CG66" s="49" t="n"/>
      <c r="CH66" s="18" t="n">
        <v>0</v>
      </c>
      <c r="CI66" s="18" t="n">
        <v>0</v>
      </c>
      <c r="CJ66" s="18" t="n"/>
      <c r="CK66" s="18" t="n"/>
      <c r="CL66" s="18" t="n"/>
      <c r="CM66" s="18" t="n"/>
      <c r="CN66" s="18" t="n"/>
      <c r="CO66" s="18" t="n"/>
      <c r="CP66" s="18" t="n"/>
      <c r="CQ66" s="18" t="n"/>
      <c r="CR66" s="18" t="n"/>
      <c r="CS66" s="18" t="n"/>
      <c r="CT66" s="154" t="inlineStr">
        <is>
          <t>01 DE ER MG</t>
        </is>
      </c>
      <c r="CU66" s="18" t="n"/>
      <c r="CV66" s="18" t="n"/>
      <c r="CW66" s="18" t="n"/>
      <c r="CX66" s="18" t="n"/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396" t="n"/>
      <c r="DM66" s="256" t="n"/>
      <c r="DN66" s="18" t="n"/>
      <c r="DO66" s="18" t="n"/>
      <c r="DP66" s="18" t="n"/>
      <c r="DQ66" s="18" t="n"/>
      <c r="DR66" s="18" t="n"/>
      <c r="DS66" s="18" t="n"/>
      <c r="DT66" s="18" t="n"/>
      <c r="DU66" s="18" t="n"/>
      <c r="DV66" s="18" t="n"/>
      <c r="DW66" s="18" t="n"/>
      <c r="DX66" s="18" t="n"/>
      <c r="DY66" s="18" t="n"/>
      <c r="DZ66" s="260" t="n"/>
      <c r="EA66" s="260" t="n"/>
      <c r="EB66" s="18" t="n"/>
      <c r="EC66" s="18" t="n"/>
      <c r="ED66" s="18" t="n"/>
      <c r="EE66" s="260" t="n"/>
      <c r="EF66" s="18" t="n"/>
      <c r="EG66" s="18" t="n"/>
      <c r="EH66" s="18" t="n"/>
      <c r="EI66" s="18" t="n"/>
      <c r="EJ66" s="18" t="n"/>
      <c r="EK66" s="260" t="n"/>
      <c r="EL66" s="18" t="n"/>
      <c r="EM66" s="260" t="n"/>
      <c r="EN66" s="18" t="n"/>
      <c r="EO66" s="18" t="n"/>
      <c r="EP66" s="260" t="n"/>
      <c r="EQ66" s="18" t="n"/>
      <c r="ER66" s="260" t="n"/>
      <c r="ES66" s="256" t="n"/>
      <c r="ET66" s="260" t="n"/>
      <c r="EU66" s="18" t="n"/>
      <c r="EV66" s="18" t="n"/>
      <c r="EW66" s="18" t="n"/>
      <c r="EX66" s="18" t="n"/>
      <c r="EY66" s="18" t="n"/>
      <c r="EZ66" s="260" t="n"/>
      <c r="FA66" s="260" t="n"/>
      <c r="FB66" s="18" t="n"/>
      <c r="FC66" s="18" t="n"/>
      <c r="FD66" s="18" t="n"/>
      <c r="FE66" s="18" t="n"/>
      <c r="FF66" s="280" t="n"/>
      <c r="FG66" s="18" t="n"/>
      <c r="FH66" s="18" t="n"/>
      <c r="FI66" s="18" t="n"/>
      <c r="FJ66" s="18" t="n"/>
      <c r="FK66" s="18" t="n"/>
      <c r="FL66" s="274" t="n"/>
      <c r="FM66" s="18" t="n"/>
      <c r="FN66" s="18" t="n"/>
      <c r="FO66" s="18" t="n"/>
      <c r="FP66" s="18" t="n"/>
      <c r="FQ66" s="18" t="n"/>
      <c r="FR66" s="18" t="n"/>
      <c r="FS66" s="18" t="n"/>
      <c r="FT66" s="239" t="inlineStr">
        <is>
          <t>10 DE VDP</t>
        </is>
      </c>
      <c r="FU66" s="18" t="n"/>
      <c r="FV66" s="18" t="n"/>
      <c r="FW66" s="18" t="n"/>
      <c r="FX66" s="18" t="n"/>
      <c r="FY66" s="18" t="n"/>
      <c r="GA66" s="719" t="n"/>
      <c r="GB66" s="720" t="n"/>
    </row>
    <row r="67" ht="18.75" customHeight="1">
      <c r="A67" s="43" t="inlineStr">
        <is>
          <t>CAIXA P  QDB</t>
        </is>
      </c>
      <c r="B67" s="149" t="n">
        <v>150</v>
      </c>
      <c r="C67" s="726" t="n">
        <v>306</v>
      </c>
      <c r="D67" s="329" t="n">
        <v>10</v>
      </c>
      <c r="F67" s="9" t="n">
        <v>0</v>
      </c>
      <c r="G67" s="9">
        <f>0+10</f>
        <v/>
      </c>
      <c r="H67" s="9" t="n">
        <v>10</v>
      </c>
      <c r="I67" s="9" t="n">
        <v>10</v>
      </c>
      <c r="J67" s="9" t="n">
        <v>10</v>
      </c>
      <c r="K67" s="9" t="n">
        <v>10</v>
      </c>
      <c r="L67" s="9" t="n">
        <v>10</v>
      </c>
      <c r="M67" s="9" t="n">
        <v>10</v>
      </c>
      <c r="N67" s="9" t="n">
        <v>10</v>
      </c>
      <c r="O67" s="9" t="n">
        <v>10</v>
      </c>
      <c r="P67" s="9" t="n">
        <v>10</v>
      </c>
      <c r="Q67" s="9" t="n">
        <v>10</v>
      </c>
      <c r="R67" s="9" t="n">
        <v>10</v>
      </c>
      <c r="S67" s="9" t="n">
        <v>10</v>
      </c>
      <c r="T67" s="9" t="n">
        <v>10</v>
      </c>
      <c r="U67" s="9" t="n">
        <v>10</v>
      </c>
      <c r="V67" s="9" t="n">
        <v>10</v>
      </c>
      <c r="W67" s="9" t="n">
        <v>10</v>
      </c>
      <c r="X67" s="9" t="n">
        <v>10</v>
      </c>
      <c r="Y67" s="9" t="n">
        <v>10</v>
      </c>
      <c r="Z67" s="9" t="n">
        <v>10</v>
      </c>
      <c r="AA67" s="9" t="n">
        <v>3</v>
      </c>
      <c r="AB67" s="9" t="n">
        <v>0</v>
      </c>
      <c r="AC67" s="9" t="n">
        <v>0</v>
      </c>
      <c r="AD67" s="9" t="n">
        <v>0</v>
      </c>
      <c r="AE67" s="9" t="n">
        <v>0</v>
      </c>
      <c r="AF67" s="9" t="n">
        <v>0</v>
      </c>
      <c r="AG67" s="9" t="n">
        <v>0</v>
      </c>
      <c r="AH67" s="9" t="n">
        <v>0</v>
      </c>
      <c r="AI67" s="9" t="n">
        <v>0</v>
      </c>
      <c r="AJ67" s="9" t="n">
        <v>0</v>
      </c>
      <c r="AK67" s="9" t="n">
        <v>0</v>
      </c>
      <c r="AL67" s="9" t="n">
        <v>0</v>
      </c>
      <c r="AM67" s="9" t="n">
        <v>0</v>
      </c>
      <c r="AN67" s="9" t="n">
        <v>0</v>
      </c>
      <c r="AO67" s="9" t="n">
        <v>0</v>
      </c>
      <c r="AP67" s="9" t="n">
        <v>0</v>
      </c>
      <c r="AQ67" s="9" t="n">
        <v>0</v>
      </c>
      <c r="AR67" s="9" t="n">
        <v>0</v>
      </c>
      <c r="AS67" s="9" t="n">
        <v>0</v>
      </c>
      <c r="AT67" s="190" t="n">
        <v>15</v>
      </c>
      <c r="AU67" s="9" t="n">
        <v>15</v>
      </c>
      <c r="AV67" s="9" t="n">
        <v>15</v>
      </c>
      <c r="AW67" s="9" t="n">
        <v>15</v>
      </c>
      <c r="AX67" s="9" t="n">
        <v>15</v>
      </c>
      <c r="AY67" s="9" t="n">
        <v>15</v>
      </c>
      <c r="AZ67" s="9" t="n">
        <v>10</v>
      </c>
      <c r="BA67" s="9" t="n">
        <v>10</v>
      </c>
      <c r="BB67" s="9" t="n">
        <v>5</v>
      </c>
      <c r="BC67" s="9" t="n">
        <v>5</v>
      </c>
      <c r="BD67" s="9" t="n">
        <v>5</v>
      </c>
      <c r="BE67" s="9" t="n">
        <v>5</v>
      </c>
      <c r="BF67" s="9" t="n">
        <v>4</v>
      </c>
      <c r="BG67" s="9" t="n">
        <v>4</v>
      </c>
      <c r="BH67" s="9" t="n">
        <v>4</v>
      </c>
      <c r="BI67" s="9" t="n">
        <v>4</v>
      </c>
      <c r="BJ67" s="9" t="n">
        <v>4</v>
      </c>
      <c r="BK67" s="9" t="n">
        <v>4</v>
      </c>
      <c r="BL67" s="9" t="n">
        <v>4</v>
      </c>
      <c r="BM67" s="9" t="n">
        <v>4</v>
      </c>
      <c r="BN67" s="9" t="n">
        <v>4</v>
      </c>
      <c r="BO67" s="9" t="n">
        <v>4</v>
      </c>
      <c r="BP67" s="9" t="n">
        <v>4</v>
      </c>
      <c r="BQ67" s="9" t="n">
        <v>4</v>
      </c>
      <c r="BR67" s="9" t="n">
        <v>4</v>
      </c>
      <c r="BS67" s="9" t="n">
        <v>4</v>
      </c>
      <c r="BT67" s="9" t="n">
        <v>4</v>
      </c>
      <c r="BU67" s="9" t="n">
        <v>4</v>
      </c>
      <c r="BV67" s="9" t="n">
        <v>4</v>
      </c>
      <c r="BW67" s="9" t="n">
        <v>4</v>
      </c>
      <c r="BX67" s="9" t="n">
        <v>4</v>
      </c>
      <c r="BY67" s="9" t="n">
        <v>4</v>
      </c>
      <c r="BZ67" s="9" t="n">
        <v>4</v>
      </c>
      <c r="CA67" s="9" t="n">
        <v>4</v>
      </c>
      <c r="CB67" s="154">
        <f>BZ67+IF(NOT(ISBLANK(OFFSET(CB67,0,6))),N(OFFSET(CB67,0,6)),N(OFFSET(CB67,0,7)))-CA67</f>
        <v/>
      </c>
      <c r="CC67" s="6" t="n"/>
      <c r="CD67" s="317" t="n"/>
      <c r="CE67" s="49" t="n"/>
      <c r="CF67" s="19" t="n"/>
      <c r="CG67" s="49" t="n"/>
      <c r="CH67" s="18" t="n">
        <v>0</v>
      </c>
      <c r="CI67" s="18" t="n">
        <v>0</v>
      </c>
      <c r="CJ67" s="18" t="n"/>
      <c r="CK67" s="18" t="n"/>
      <c r="CL67" s="18" t="n"/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396" t="n"/>
      <c r="DM67" s="251" t="n"/>
      <c r="DN67" s="18" t="n"/>
      <c r="DO67" s="18" t="n"/>
      <c r="DP67" s="18" t="n"/>
      <c r="DQ67" s="18" t="n"/>
      <c r="DR67" s="18" t="n"/>
      <c r="DS67" s="18" t="n"/>
      <c r="DT67" s="18" t="n"/>
      <c r="DU67" s="18" t="n"/>
      <c r="DV67" s="18" t="n"/>
      <c r="DW67" s="18" t="n"/>
      <c r="DX67" s="18" t="n"/>
      <c r="DY67" s="18" t="n"/>
      <c r="DZ67" s="260" t="n"/>
      <c r="EA67" s="260" t="n"/>
      <c r="EB67" s="18" t="n"/>
      <c r="EC67" s="18" t="n"/>
      <c r="ED67" s="18" t="n"/>
      <c r="EE67" s="260" t="n"/>
      <c r="EF67" s="18" t="n"/>
      <c r="EG67" s="18" t="n"/>
      <c r="EH67" s="18" t="n"/>
      <c r="EI67" s="18" t="n"/>
      <c r="EJ67" s="18" t="n"/>
      <c r="EK67" s="260" t="n"/>
      <c r="EL67" s="18" t="n"/>
      <c r="EM67" s="260" t="n"/>
      <c r="EN67" s="18" t="n"/>
      <c r="EO67" s="18" t="n"/>
      <c r="EP67" s="260" t="n"/>
      <c r="EQ67" s="18" t="n"/>
      <c r="ER67" s="260" t="n"/>
      <c r="ES67" s="276" t="n"/>
      <c r="ET67" s="260" t="n"/>
      <c r="EU67" s="18" t="n"/>
      <c r="EV67" s="18" t="n"/>
      <c r="EW67" s="18" t="n"/>
      <c r="EX67" s="18" t="n"/>
      <c r="EY67" s="18" t="n"/>
      <c r="EZ67" s="260" t="n"/>
      <c r="FA67" s="18" t="n"/>
      <c r="FB67" s="18" t="n"/>
      <c r="FC67" s="18" t="n"/>
      <c r="FD67" s="18" t="n"/>
      <c r="FE67" s="18" t="n"/>
      <c r="FF67" s="274" t="n"/>
      <c r="FG67" s="18" t="n"/>
      <c r="FH67" s="18" t="n"/>
      <c r="FI67" s="18" t="n"/>
      <c r="FJ67" s="18" t="n"/>
      <c r="FK67" s="18" t="n"/>
      <c r="FL67" s="274" t="n"/>
      <c r="FM67" s="18" t="n"/>
      <c r="FN67" s="18" t="n"/>
      <c r="FO67" s="18" t="n"/>
      <c r="FP67" s="18" t="n"/>
      <c r="FQ67" s="18" t="n"/>
      <c r="FR67" s="18" t="n"/>
      <c r="FS67" s="18" t="n"/>
      <c r="FT67" s="18" t="n"/>
      <c r="FU67" s="18" t="n"/>
      <c r="FV67" s="18" t="n"/>
      <c r="FW67" s="18" t="n"/>
      <c r="FX67" s="18" t="n"/>
      <c r="FY67" s="18" t="n"/>
      <c r="GA67" s="719" t="n"/>
      <c r="GB67" s="720" t="n"/>
    </row>
    <row r="68" ht="18.75" customHeight="1">
      <c r="A68" s="43" t="inlineStr">
        <is>
          <t>CAIXA M  QDB</t>
        </is>
      </c>
      <c r="B68" s="149" t="n">
        <v>75</v>
      </c>
      <c r="C68" s="726" t="n">
        <v>216.38</v>
      </c>
      <c r="D68" s="329" t="n">
        <v>10</v>
      </c>
      <c r="F68" s="38" t="n">
        <v>25</v>
      </c>
      <c r="G68" s="38" t="n">
        <v>22</v>
      </c>
      <c r="H68" s="38" t="n">
        <v>19</v>
      </c>
      <c r="I68" s="38" t="n">
        <v>18</v>
      </c>
      <c r="J68" s="38" t="n">
        <v>18</v>
      </c>
      <c r="K68" s="38" t="n">
        <v>18</v>
      </c>
      <c r="L68" s="38" t="n">
        <v>18</v>
      </c>
      <c r="M68" s="38" t="n">
        <v>17</v>
      </c>
      <c r="N68" s="38" t="n">
        <v>17</v>
      </c>
      <c r="O68" s="38" t="n">
        <v>17</v>
      </c>
      <c r="P68" s="38" t="n">
        <v>17</v>
      </c>
      <c r="Q68" s="38" t="n">
        <v>17</v>
      </c>
      <c r="R68" s="38" t="n">
        <v>16</v>
      </c>
      <c r="S68" s="38" t="n">
        <v>16</v>
      </c>
      <c r="T68" s="38" t="n">
        <v>16</v>
      </c>
      <c r="U68" s="38" t="n">
        <v>16</v>
      </c>
      <c r="V68" s="38" t="n">
        <v>16</v>
      </c>
      <c r="W68" s="38" t="n">
        <v>16</v>
      </c>
      <c r="X68" s="38" t="n">
        <v>16</v>
      </c>
      <c r="Y68" s="38" t="n">
        <v>15</v>
      </c>
      <c r="Z68" s="38" t="n">
        <v>15</v>
      </c>
      <c r="AA68" s="38" t="n">
        <v>7</v>
      </c>
      <c r="AB68" s="38" t="n">
        <v>0</v>
      </c>
      <c r="AC68" s="38" t="n">
        <v>0</v>
      </c>
      <c r="AD68" s="38" t="n">
        <v>0</v>
      </c>
      <c r="AE68" s="38" t="n">
        <v>0</v>
      </c>
      <c r="AF68" s="38" t="n">
        <v>0</v>
      </c>
      <c r="AG68" s="38" t="n">
        <v>0</v>
      </c>
      <c r="AH68" s="38" t="n">
        <v>0</v>
      </c>
      <c r="AI68" s="38" t="n">
        <v>0</v>
      </c>
      <c r="AJ68" s="38" t="n">
        <v>0</v>
      </c>
      <c r="AK68" s="38" t="n">
        <v>0</v>
      </c>
      <c r="AL68" s="38" t="n">
        <v>0</v>
      </c>
      <c r="AM68" s="38" t="n">
        <v>0</v>
      </c>
      <c r="AN68" s="38" t="n">
        <v>0</v>
      </c>
      <c r="AO68" s="38" t="n">
        <v>0</v>
      </c>
      <c r="AP68" s="38" t="n">
        <v>0</v>
      </c>
      <c r="AQ68" s="38" t="n">
        <v>0</v>
      </c>
      <c r="AR68" s="38" t="n">
        <v>0</v>
      </c>
      <c r="AS68" s="38" t="n">
        <v>0</v>
      </c>
      <c r="AT68" s="38" t="n">
        <v>10</v>
      </c>
      <c r="AU68" s="38" t="n">
        <v>10</v>
      </c>
      <c r="AV68" s="38" t="n">
        <v>10</v>
      </c>
      <c r="AW68" s="38" t="n">
        <v>10</v>
      </c>
      <c r="AX68" s="38" t="n">
        <v>10</v>
      </c>
      <c r="AY68" s="38" t="n">
        <v>10</v>
      </c>
      <c r="AZ68" s="38" t="n">
        <v>10</v>
      </c>
      <c r="BA68" s="38" t="n">
        <v>10</v>
      </c>
      <c r="BB68" s="38" t="n">
        <v>9</v>
      </c>
      <c r="BC68" s="38" t="n">
        <v>8</v>
      </c>
      <c r="BD68" s="38" t="n">
        <v>8</v>
      </c>
      <c r="BE68" s="38" t="n">
        <v>8</v>
      </c>
      <c r="BF68" s="38" t="n">
        <v>10</v>
      </c>
      <c r="BG68" s="38" t="n">
        <v>10</v>
      </c>
      <c r="BH68" s="38" t="n">
        <v>10</v>
      </c>
      <c r="BI68" s="38" t="n">
        <v>10</v>
      </c>
      <c r="BJ68" s="38" t="n">
        <v>10</v>
      </c>
      <c r="BK68" s="38" t="n">
        <v>10</v>
      </c>
      <c r="BL68" s="38" t="n">
        <v>10</v>
      </c>
      <c r="BM68" s="38" t="n">
        <v>10</v>
      </c>
      <c r="BN68" s="38" t="n">
        <v>10</v>
      </c>
      <c r="BO68" s="38" t="n">
        <v>10</v>
      </c>
      <c r="BP68" s="38" t="n">
        <v>10</v>
      </c>
      <c r="BQ68" s="38" t="n">
        <v>10</v>
      </c>
      <c r="BR68" s="38" t="n">
        <v>10</v>
      </c>
      <c r="BS68" s="38" t="n">
        <v>10</v>
      </c>
      <c r="BT68" s="38" t="n">
        <v>10</v>
      </c>
      <c r="BU68" s="38" t="n">
        <v>10</v>
      </c>
      <c r="BV68" s="38" t="n">
        <v>10</v>
      </c>
      <c r="BW68" s="38" t="n">
        <v>10</v>
      </c>
      <c r="BX68" s="38" t="n">
        <v>10</v>
      </c>
      <c r="BY68" s="38" t="n">
        <v>10</v>
      </c>
      <c r="BZ68" s="38" t="n">
        <v>10</v>
      </c>
      <c r="CA68" s="38" t="n">
        <v>20</v>
      </c>
      <c r="CB68" s="154">
        <f>BZ68+IF(NOT(ISBLANK(OFFSET(CB68,0,6))),N(OFFSET(CB68,0,6)),N(OFFSET(CB68,0,7)))-CA68</f>
        <v/>
      </c>
      <c r="CC68" s="53" t="n"/>
      <c r="CD68" s="317" t="n"/>
      <c r="CE68" s="49" t="n"/>
      <c r="CF68" s="27" t="n"/>
      <c r="CG68" s="49" t="n"/>
      <c r="CH68" s="18" t="n">
        <v>0</v>
      </c>
      <c r="CI68" s="18" t="n">
        <v>0</v>
      </c>
      <c r="CJ68" s="18" t="n"/>
      <c r="CK68" s="18" t="n"/>
      <c r="CL68" s="18" t="n"/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396" t="n"/>
      <c r="DM68" s="256" t="n"/>
      <c r="DN68" s="18" t="n"/>
      <c r="DO68" s="18" t="n"/>
      <c r="DP68" s="18" t="n"/>
      <c r="DQ68" s="18" t="n"/>
      <c r="DR68" s="18" t="n"/>
      <c r="DS68" s="18" t="n"/>
      <c r="DT68" s="18" t="n"/>
      <c r="DU68" s="18" t="n"/>
      <c r="DV68" s="18" t="n"/>
      <c r="DW68" s="18" t="n"/>
      <c r="DX68" s="18" t="n"/>
      <c r="DY68" s="18" t="n"/>
      <c r="DZ68" s="260" t="n"/>
      <c r="EA68" s="260" t="n"/>
      <c r="EB68" s="18" t="n"/>
      <c r="EC68" s="18" t="n"/>
      <c r="ED68" s="18" t="n"/>
      <c r="EE68" s="260" t="n"/>
      <c r="EF68" s="18" t="n"/>
      <c r="EG68" s="18" t="n"/>
      <c r="EH68" s="18" t="n"/>
      <c r="EI68" s="18" t="n"/>
      <c r="EJ68" s="18" t="n"/>
      <c r="EK68" s="260" t="n"/>
      <c r="EL68" s="18" t="n"/>
      <c r="EM68" s="260" t="n"/>
      <c r="EN68" s="18" t="n"/>
      <c r="EO68" s="18" t="n"/>
      <c r="EP68" s="260" t="n"/>
      <c r="EQ68" s="18" t="n"/>
      <c r="ER68" s="260" t="n"/>
      <c r="ES68" s="276" t="n"/>
      <c r="ET68" s="260" t="n"/>
      <c r="EU68" s="18" t="n"/>
      <c r="EV68" s="18" t="n"/>
      <c r="EW68" s="18" t="n"/>
      <c r="EX68" s="18" t="n"/>
      <c r="EY68" s="18" t="n"/>
      <c r="EZ68" s="260" t="n"/>
      <c r="FA68" s="260" t="n"/>
      <c r="FB68" s="18" t="n"/>
      <c r="FC68" s="18" t="n"/>
      <c r="FD68" s="18" t="n"/>
      <c r="FE68" s="18" t="n"/>
      <c r="FF68" s="274" t="n"/>
      <c r="FG68" s="18" t="n"/>
      <c r="FH68" s="18" t="n"/>
      <c r="FI68" s="18" t="n"/>
      <c r="FJ68" s="18" t="n"/>
      <c r="FK68" s="18" t="n"/>
      <c r="FL68" s="274" t="n"/>
      <c r="FM68" s="18" t="n"/>
      <c r="FN68" s="18" t="n"/>
      <c r="FO68" s="18" t="n"/>
      <c r="FP68" s="18" t="n"/>
      <c r="FQ68" s="18" t="n"/>
      <c r="FR68" s="18" t="n"/>
      <c r="FS68" s="18" t="n"/>
      <c r="FT68" s="239" t="inlineStr">
        <is>
          <t>10 DE VDP</t>
        </is>
      </c>
      <c r="FU68" s="18" t="n"/>
      <c r="FV68" s="18" t="n"/>
      <c r="FW68" s="18" t="n"/>
      <c r="FX68" s="18" t="n"/>
      <c r="FY68" s="18" t="n"/>
      <c r="GA68" s="719" t="n"/>
      <c r="GB68" s="720" t="n"/>
    </row>
    <row r="69" ht="18.75" customHeight="1" thickBot="1">
      <c r="A69" s="43" t="inlineStr">
        <is>
          <t>CAIXA G  QDB</t>
        </is>
      </c>
      <c r="B69" s="149" t="n">
        <v>100</v>
      </c>
      <c r="C69" s="726" t="n">
        <v>306</v>
      </c>
      <c r="D69" s="329" t="n">
        <v>5</v>
      </c>
      <c r="F69" s="38" t="n">
        <v>0</v>
      </c>
      <c r="G69" s="38">
        <f>0+10</f>
        <v/>
      </c>
      <c r="H69" s="38" t="n">
        <v>10</v>
      </c>
      <c r="I69" s="38" t="n">
        <v>10</v>
      </c>
      <c r="J69" s="38" t="n">
        <v>10</v>
      </c>
      <c r="K69" s="38" t="n">
        <v>10</v>
      </c>
      <c r="L69" s="38" t="n">
        <v>10</v>
      </c>
      <c r="M69" s="38" t="n">
        <v>10</v>
      </c>
      <c r="N69" s="38" t="n">
        <v>10</v>
      </c>
      <c r="O69" s="38" t="n">
        <v>10</v>
      </c>
      <c r="P69" s="38" t="n">
        <v>10</v>
      </c>
      <c r="Q69" s="38" t="n">
        <v>10</v>
      </c>
      <c r="R69" s="38" t="n">
        <v>10</v>
      </c>
      <c r="S69" s="38" t="n">
        <v>10</v>
      </c>
      <c r="T69" s="38" t="n">
        <v>10</v>
      </c>
      <c r="U69" s="38" t="n">
        <v>10</v>
      </c>
      <c r="V69" s="38" t="n">
        <v>10</v>
      </c>
      <c r="W69" s="38" t="n">
        <v>10</v>
      </c>
      <c r="X69" s="38" t="n">
        <v>10</v>
      </c>
      <c r="Y69" s="38" t="n">
        <v>10</v>
      </c>
      <c r="Z69" s="38" t="n">
        <v>10</v>
      </c>
      <c r="AA69" s="38" t="n">
        <v>7</v>
      </c>
      <c r="AB69" s="38" t="n">
        <v>0</v>
      </c>
      <c r="AC69" s="38" t="n">
        <v>0</v>
      </c>
      <c r="AD69" s="38" t="n">
        <v>0</v>
      </c>
      <c r="AE69" s="38" t="n">
        <v>0</v>
      </c>
      <c r="AF69" s="38" t="n">
        <v>0</v>
      </c>
      <c r="AG69" s="38" t="n">
        <v>0</v>
      </c>
      <c r="AH69" s="38" t="n">
        <v>0</v>
      </c>
      <c r="AI69" s="38" t="n">
        <v>0</v>
      </c>
      <c r="AJ69" s="38" t="n">
        <v>0</v>
      </c>
      <c r="AK69" s="38" t="n">
        <v>0</v>
      </c>
      <c r="AL69" s="38" t="n">
        <v>0</v>
      </c>
      <c r="AM69" s="38" t="n">
        <v>0</v>
      </c>
      <c r="AN69" s="38" t="n">
        <v>0</v>
      </c>
      <c r="AO69" s="38" t="n">
        <v>0</v>
      </c>
      <c r="AP69" s="38" t="n">
        <v>0</v>
      </c>
      <c r="AQ69" s="38" t="n">
        <v>0</v>
      </c>
      <c r="AR69" s="38" t="n">
        <v>0</v>
      </c>
      <c r="AS69" s="38" t="n">
        <v>0</v>
      </c>
      <c r="AT69" s="38" t="n">
        <v>20</v>
      </c>
      <c r="AU69" s="38" t="n">
        <v>20</v>
      </c>
      <c r="AV69" s="38" t="n">
        <v>20</v>
      </c>
      <c r="AW69" s="38" t="n">
        <v>20</v>
      </c>
      <c r="AX69" s="38" t="n">
        <v>20</v>
      </c>
      <c r="AY69" s="38" t="n">
        <v>20</v>
      </c>
      <c r="AZ69" s="38" t="n">
        <v>20</v>
      </c>
      <c r="BA69" s="38" t="n">
        <v>20</v>
      </c>
      <c r="BB69" s="38" t="n">
        <v>20</v>
      </c>
      <c r="BC69" s="38" t="n">
        <v>20</v>
      </c>
      <c r="BD69" s="38" t="n">
        <v>20</v>
      </c>
      <c r="BE69" s="38" t="n">
        <v>20</v>
      </c>
      <c r="BF69" s="38" t="n">
        <v>20</v>
      </c>
      <c r="BG69" s="38" t="n">
        <v>20</v>
      </c>
      <c r="BH69" s="38" t="n">
        <v>20</v>
      </c>
      <c r="BI69" s="38" t="n">
        <v>20</v>
      </c>
      <c r="BJ69" s="38" t="n">
        <v>20</v>
      </c>
      <c r="BK69" s="38" t="n">
        <v>20</v>
      </c>
      <c r="BL69" s="38" t="n">
        <v>20</v>
      </c>
      <c r="BM69" s="38" t="n">
        <v>20</v>
      </c>
      <c r="BN69" s="38" t="n">
        <v>20</v>
      </c>
      <c r="BO69" s="38" t="n">
        <v>20</v>
      </c>
      <c r="BP69" s="38" t="n">
        <v>20</v>
      </c>
      <c r="BQ69" s="38" t="n">
        <v>20</v>
      </c>
      <c r="BR69" s="38" t="n">
        <v>20</v>
      </c>
      <c r="BS69" s="38" t="n">
        <v>20</v>
      </c>
      <c r="BT69" s="38" t="n">
        <v>20</v>
      </c>
      <c r="BU69" s="38" t="n">
        <v>20</v>
      </c>
      <c r="BV69" s="38" t="n">
        <v>20</v>
      </c>
      <c r="BW69" s="38" t="n">
        <v>20</v>
      </c>
      <c r="BX69" s="38" t="n">
        <v>20</v>
      </c>
      <c r="BY69" s="38" t="n">
        <v>20</v>
      </c>
      <c r="BZ69" s="38" t="n">
        <v>20</v>
      </c>
      <c r="CA69" s="38" t="n">
        <v>10</v>
      </c>
      <c r="CB69" s="154">
        <f>BZ69+IF(NOT(ISBLANK(OFFSET(CB69,0,6))),N(OFFSET(CB69,0,6)),N(OFFSET(CB69,0,7)))-CA69</f>
        <v/>
      </c>
      <c r="CC69" s="6" t="n"/>
      <c r="CD69" s="317" t="n"/>
      <c r="CE69" s="49" t="n"/>
      <c r="CF69" s="19" t="n"/>
      <c r="CG69" s="49" t="n"/>
      <c r="CH69" s="18" t="n">
        <v>0</v>
      </c>
      <c r="CI69" s="18" t="n">
        <v>0</v>
      </c>
      <c r="CJ69" s="18" t="n"/>
      <c r="CK69" s="18" t="n"/>
      <c r="CL69" s="18" t="n"/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396" t="n"/>
      <c r="DM69" s="251" t="n"/>
      <c r="DN69" s="18" t="n"/>
      <c r="ES69" s="268" t="n"/>
      <c r="GA69" s="721" t="n"/>
      <c r="GB69" s="722" t="n"/>
    </row>
    <row r="70" ht="18.75" customHeight="1">
      <c r="DM70" s="271" t="n"/>
      <c r="DO70" s="654" t="n">
        <v>45909</v>
      </c>
      <c r="DP70" s="654" t="n">
        <v>45915</v>
      </c>
      <c r="DQ70" s="654" t="n">
        <v>45909</v>
      </c>
      <c r="DR70" s="654" t="n">
        <v>45903</v>
      </c>
      <c r="DS70" s="654" t="n">
        <v>45895</v>
      </c>
      <c r="DT70" s="654" t="n">
        <v>45895</v>
      </c>
      <c r="DU70" s="679" t="n">
        <v>45896</v>
      </c>
      <c r="DV70" s="654" t="n">
        <v>45888</v>
      </c>
      <c r="DW70" s="654" t="n">
        <v>45881</v>
      </c>
      <c r="DX70" s="654" t="n">
        <v>45881</v>
      </c>
      <c r="DY70" s="654" t="n">
        <v>45874</v>
      </c>
      <c r="DZ70" s="655" t="n">
        <v>45882</v>
      </c>
      <c r="EA70" s="655" t="n">
        <v>45881</v>
      </c>
      <c r="EB70" s="654" t="n">
        <v>45867</v>
      </c>
      <c r="EC70" s="654" t="n">
        <v>45860</v>
      </c>
      <c r="ED70" s="654" t="n">
        <v>45860</v>
      </c>
      <c r="EE70" s="655" t="n">
        <v>45860</v>
      </c>
      <c r="EF70" s="654" t="n">
        <v>45848</v>
      </c>
      <c r="EG70" s="681" t="n">
        <v>45853</v>
      </c>
      <c r="EH70" s="654" t="n">
        <v>45839</v>
      </c>
      <c r="EI70" s="654" t="n">
        <v>45825</v>
      </c>
      <c r="EJ70" s="681" t="n">
        <v>45791</v>
      </c>
      <c r="EK70" s="655" t="n">
        <v>45826</v>
      </c>
      <c r="EL70" s="654" t="n">
        <v>45813</v>
      </c>
      <c r="EM70" s="655" t="n">
        <v>45819</v>
      </c>
      <c r="EN70" s="654" t="n">
        <v>45805</v>
      </c>
      <c r="EO70" s="654" t="n">
        <v>45783</v>
      </c>
      <c r="EP70" s="655" t="n">
        <v>45807</v>
      </c>
      <c r="EQ70" s="654" t="n">
        <v>45790</v>
      </c>
      <c r="ER70" s="690" t="n">
        <v>45800</v>
      </c>
      <c r="ES70" s="650" t="n">
        <v>45799</v>
      </c>
      <c r="ET70" s="655" t="n">
        <v>45798</v>
      </c>
      <c r="EU70" s="654" t="n">
        <v>45783</v>
      </c>
      <c r="EV70" s="654" t="n">
        <v>45783</v>
      </c>
      <c r="EW70" s="654" t="n">
        <v>45775</v>
      </c>
      <c r="EX70" s="654" t="n">
        <v>45770</v>
      </c>
      <c r="EY70" s="654" t="n">
        <v>45743</v>
      </c>
      <c r="EZ70" s="683" t="n">
        <v>45735</v>
      </c>
      <c r="FA70" s="655" t="n">
        <v>45775</v>
      </c>
      <c r="FB70" s="654" t="n">
        <v>45756</v>
      </c>
      <c r="FC70" s="654" t="n">
        <v>45749</v>
      </c>
      <c r="FD70" s="654" t="n">
        <v>45743</v>
      </c>
      <c r="FE70" s="654" t="n">
        <v>45743</v>
      </c>
      <c r="FF70" s="650" t="n">
        <v>45741</v>
      </c>
      <c r="FG70" s="654" t="n">
        <v>45728</v>
      </c>
      <c r="FH70" s="654" t="n">
        <v>45728</v>
      </c>
      <c r="FI70" s="654" t="n">
        <v>45722</v>
      </c>
      <c r="FJ70" s="654" t="n">
        <v>45714</v>
      </c>
      <c r="FK70" s="654" t="n">
        <v>45706</v>
      </c>
      <c r="FL70" s="650" t="n">
        <v>45700</v>
      </c>
      <c r="FM70" s="654" t="n">
        <v>45699</v>
      </c>
      <c r="FN70" s="654" t="n">
        <v>45706</v>
      </c>
      <c r="FO70" s="654" t="n">
        <v>45693</v>
      </c>
      <c r="FP70" s="654" t="n">
        <v>45685</v>
      </c>
      <c r="FQ70" s="654" t="n">
        <v>45679</v>
      </c>
      <c r="FR70" s="654" t="n">
        <v>45660</v>
      </c>
      <c r="FS70" s="654" t="n">
        <v>45674</v>
      </c>
      <c r="FT70" s="655" t="n">
        <v>45672</v>
      </c>
      <c r="FU70" s="654" t="n">
        <v>45652</v>
      </c>
      <c r="FV70" s="655" t="n">
        <v>45670</v>
      </c>
      <c r="FW70" s="654" t="n">
        <v>45664</v>
      </c>
      <c r="FX70" s="654" t="n">
        <v>45660</v>
      </c>
      <c r="FY70" s="654" t="n">
        <v>45660</v>
      </c>
    </row>
    <row r="71" ht="18.75" customHeight="1">
      <c r="A71" s="202" t="inlineStr">
        <is>
          <t>SACOLAS E CAIXAS EUDORA</t>
        </is>
      </c>
      <c r="B71" s="203" t="n"/>
      <c r="C71" s="203" t="n"/>
      <c r="D71" s="203" t="n"/>
      <c r="F71" s="650" t="n">
        <v>45656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2" t="inlineStr">
        <is>
          <t>USOU</t>
        </is>
      </c>
      <c r="CD71" s="35" t="inlineStr">
        <is>
          <t>Pend.</t>
        </is>
      </c>
      <c r="CF71" s="12" t="inlineStr">
        <is>
          <t>Novo Pedido</t>
        </is>
      </c>
      <c r="CH71" s="654" t="n">
        <v>46156</v>
      </c>
      <c r="CI71" s="654" t="n">
        <v>46149</v>
      </c>
      <c r="CJ71" s="654" t="n">
        <v>46114</v>
      </c>
      <c r="CK71" s="710" t="n">
        <v>46065</v>
      </c>
      <c r="CL71" s="654" t="n">
        <v>46092</v>
      </c>
      <c r="CM71" s="654" t="n">
        <v>46092</v>
      </c>
      <c r="CN71" s="654" t="n">
        <v>46084</v>
      </c>
      <c r="CO71" s="711" t="n">
        <v>46045</v>
      </c>
      <c r="CP71" s="654" t="n">
        <v>46071</v>
      </c>
      <c r="CQ71" s="654" t="n">
        <v>46043</v>
      </c>
      <c r="CR71" s="654" t="n">
        <v>46029</v>
      </c>
      <c r="CS71" s="654" t="n">
        <v>46024</v>
      </c>
      <c r="CT71" s="655" t="n">
        <v>46041</v>
      </c>
      <c r="CU71" s="654" t="n">
        <v>46029</v>
      </c>
      <c r="CV71" s="654" t="n">
        <v>46024</v>
      </c>
      <c r="CW71" s="654" t="n">
        <v>46007</v>
      </c>
      <c r="CX71" s="654" t="n">
        <v>46001</v>
      </c>
      <c r="CY71" s="654" t="n">
        <v>45994</v>
      </c>
      <c r="CZ71" s="654" t="n">
        <v>45986</v>
      </c>
      <c r="DA71" s="654" t="n">
        <v>45986</v>
      </c>
      <c r="DB71" s="654" t="n">
        <v>45980</v>
      </c>
      <c r="DC71" s="654" t="n">
        <v>45980</v>
      </c>
      <c r="DD71" s="654" t="n">
        <v>45973</v>
      </c>
      <c r="DE71" s="654" t="n">
        <v>45973</v>
      </c>
      <c r="DF71" s="654" t="n">
        <v>45965</v>
      </c>
      <c r="DG71" s="654" t="n">
        <v>45965</v>
      </c>
      <c r="DH71" s="654" t="n">
        <v>45960</v>
      </c>
      <c r="DI71" s="654" t="n">
        <v>45951</v>
      </c>
      <c r="DJ71" s="654" t="n">
        <v>45937</v>
      </c>
      <c r="DK71" s="654" t="n">
        <v>45931</v>
      </c>
      <c r="DL71" s="678" t="n">
        <v>45903</v>
      </c>
      <c r="DM71" s="688" t="n">
        <v>45931</v>
      </c>
      <c r="DN71" s="654" t="n">
        <v>45923</v>
      </c>
      <c r="DO71" s="18" t="n"/>
      <c r="DP71" s="18" t="n"/>
      <c r="DQ71" s="18" t="n"/>
      <c r="DR71" s="18" t="n">
        <v>200</v>
      </c>
      <c r="DS71" s="18" t="n"/>
      <c r="DT71" s="18" t="n"/>
      <c r="DU71" s="18" t="n"/>
      <c r="DV71" s="18" t="n">
        <v>600</v>
      </c>
      <c r="DW71" s="18" t="n">
        <v>200</v>
      </c>
      <c r="DX71" s="18" t="n"/>
      <c r="DY71" s="18" t="n">
        <v>400</v>
      </c>
      <c r="DZ71" s="18" t="n"/>
      <c r="EA71" s="18" t="n"/>
      <c r="EB71" s="18" t="n"/>
      <c r="EC71" s="18" t="n"/>
      <c r="ED71" s="18" t="n">
        <v>200</v>
      </c>
      <c r="EE71" s="18" t="n"/>
      <c r="EF71" s="18" t="n">
        <v>400</v>
      </c>
      <c r="EG71" s="18" t="n"/>
      <c r="EH71" s="18" t="n"/>
      <c r="EI71" s="18" t="n"/>
      <c r="EJ71" s="18" t="n"/>
      <c r="EK71" s="18" t="n"/>
      <c r="EL71" s="18" t="n">
        <v>200</v>
      </c>
      <c r="EM71" s="18" t="n"/>
      <c r="EN71" s="18" t="n">
        <v>400</v>
      </c>
      <c r="EO71" s="18" t="n"/>
      <c r="EP71" s="18" t="n"/>
      <c r="EQ71" s="18" t="n"/>
      <c r="ER71" s="18" t="n"/>
      <c r="ES71" s="274" t="n"/>
      <c r="ET71" s="18" t="n"/>
      <c r="EU71" s="18" t="n"/>
      <c r="EV71" s="18" t="n">
        <v>400</v>
      </c>
      <c r="EW71" s="18" t="n">
        <v>400</v>
      </c>
      <c r="EX71" s="18" t="n"/>
      <c r="EY71" s="18" t="n"/>
      <c r="EZ71" s="18" t="n"/>
      <c r="FA71" s="260" t="n"/>
      <c r="FB71" s="18" t="n">
        <v>200</v>
      </c>
      <c r="FC71" s="18" t="n"/>
      <c r="FD71" s="18" t="n"/>
      <c r="FE71" s="18" t="n"/>
      <c r="FF71" s="276" t="n"/>
      <c r="FG71" s="18" t="n"/>
      <c r="FH71" s="18" t="n"/>
      <c r="FI71" s="18" t="n"/>
      <c r="FJ71" s="18" t="n"/>
      <c r="FK71" s="18" t="n">
        <v>400</v>
      </c>
      <c r="FL71" s="276" t="n"/>
      <c r="FM71" s="18" t="n"/>
      <c r="FN71" s="18" t="n"/>
      <c r="FO71" s="18" t="n"/>
      <c r="FP71" s="18" t="n"/>
      <c r="FQ71" s="18" t="n"/>
      <c r="FR71" s="18" t="n"/>
      <c r="FS71" s="18" t="n"/>
      <c r="FT71" s="239" t="inlineStr">
        <is>
          <t>400 DE VDP</t>
        </is>
      </c>
      <c r="FU71" s="18" t="n"/>
      <c r="FV71" s="18" t="n"/>
      <c r="FW71" s="18" t="n">
        <v>200</v>
      </c>
      <c r="FX71" s="18" t="n"/>
      <c r="FY71" s="18" t="n">
        <v>600</v>
      </c>
    </row>
    <row r="72" ht="18.75" customHeight="1">
      <c r="A72" s="33" t="inlineStr">
        <is>
          <t>SACOLA P EUDORA</t>
        </is>
      </c>
      <c r="B72" s="9" t="n">
        <v>200</v>
      </c>
      <c r="C72" s="662" t="n">
        <v>183.24</v>
      </c>
      <c r="D72" s="329" t="n">
        <v>400</v>
      </c>
      <c r="F72" s="9" t="n">
        <v>0</v>
      </c>
      <c r="G72" s="9">
        <f>0+FY71+400</f>
        <v/>
      </c>
      <c r="H72" s="9" t="n">
        <v>1100</v>
      </c>
      <c r="I72" s="9" t="n">
        <v>1100</v>
      </c>
      <c r="J72" s="9" t="n">
        <v>1000</v>
      </c>
      <c r="K72" s="9" t="n">
        <v>975</v>
      </c>
      <c r="L72" s="9" t="n">
        <v>850</v>
      </c>
      <c r="M72" s="9" t="n">
        <v>650</v>
      </c>
      <c r="N72" s="9" t="n">
        <v>600</v>
      </c>
      <c r="O72" s="9" t="n">
        <v>900</v>
      </c>
      <c r="P72" s="9" t="n">
        <v>800</v>
      </c>
      <c r="Q72" s="9" t="n">
        <v>700</v>
      </c>
      <c r="R72" s="9" t="n">
        <v>600</v>
      </c>
      <c r="S72" s="9" t="n">
        <v>525</v>
      </c>
      <c r="T72" s="9" t="n">
        <v>425</v>
      </c>
      <c r="U72" s="9" t="n">
        <v>350</v>
      </c>
      <c r="V72" s="9" t="n">
        <v>475</v>
      </c>
      <c r="W72" s="9" t="n">
        <v>350</v>
      </c>
      <c r="X72" s="9" t="n">
        <v>100</v>
      </c>
      <c r="Y72" s="9" t="n">
        <v>700</v>
      </c>
      <c r="Z72" s="9" t="n">
        <v>400</v>
      </c>
      <c r="AA72" s="9" t="n">
        <v>200</v>
      </c>
      <c r="AB72" s="9" t="n">
        <v>400</v>
      </c>
      <c r="AC72" s="9" t="n">
        <v>900</v>
      </c>
      <c r="AD72" s="9" t="n">
        <v>875</v>
      </c>
      <c r="AE72" s="9" t="n">
        <v>800</v>
      </c>
      <c r="AF72" s="9" t="n">
        <v>600</v>
      </c>
      <c r="AG72" s="9" t="n">
        <v>350</v>
      </c>
      <c r="AH72" s="9" t="n">
        <v>200</v>
      </c>
      <c r="AI72" s="9" t="n">
        <v>450</v>
      </c>
      <c r="AJ72" s="9">
        <f>350+ED71</f>
        <v/>
      </c>
      <c r="AK72" s="9" t="n">
        <v>350</v>
      </c>
      <c r="AL72" s="9" t="n">
        <v>200</v>
      </c>
      <c r="AM72" s="9" t="n">
        <v>500</v>
      </c>
      <c r="AN72" s="9">
        <f>500+DV71+DW71</f>
        <v/>
      </c>
      <c r="AO72" s="9" t="n">
        <v>775</v>
      </c>
      <c r="AP72" s="9" t="n">
        <v>775</v>
      </c>
      <c r="AQ72" s="9">
        <f>475+DR71</f>
        <v/>
      </c>
      <c r="AR72" s="9" t="n">
        <v>525</v>
      </c>
      <c r="AS72" s="9" t="n">
        <v>350</v>
      </c>
      <c r="AT72" s="9" t="n">
        <v>0</v>
      </c>
      <c r="AU72" s="9">
        <f>0+DJ72</f>
        <v/>
      </c>
      <c r="AV72" s="9" t="n">
        <v>125</v>
      </c>
      <c r="AW72" s="9">
        <f>0+DI72</f>
        <v/>
      </c>
      <c r="AX72" s="9" t="n">
        <v>275</v>
      </c>
      <c r="AY72" s="9">
        <f>50+DG72</f>
        <v/>
      </c>
      <c r="AZ72" s="9">
        <f>325+DE72</f>
        <v/>
      </c>
      <c r="BA72" s="9" t="n">
        <v>475</v>
      </c>
      <c r="BB72" s="9">
        <f>50+DB72</f>
        <v/>
      </c>
      <c r="BC72" s="9">
        <f>150+CZ72</f>
        <v/>
      </c>
      <c r="BD72" s="9" t="n">
        <v>550</v>
      </c>
      <c r="BE72" s="9" t="n">
        <v>1150</v>
      </c>
      <c r="BF72" s="9" t="n">
        <v>900</v>
      </c>
      <c r="BG72" s="9" t="n">
        <v>700</v>
      </c>
      <c r="BH72" s="9" t="n">
        <v>450</v>
      </c>
      <c r="BI72" s="9">
        <f>450+800</f>
        <v/>
      </c>
      <c r="BJ72" s="9" t="n">
        <v>1275</v>
      </c>
      <c r="BK72" s="9" t="n">
        <v>1200</v>
      </c>
      <c r="BL72" s="9" t="n">
        <v>1125</v>
      </c>
      <c r="BM72" s="9" t="n">
        <v>1050</v>
      </c>
      <c r="BN72" s="9" t="n">
        <v>1000</v>
      </c>
      <c r="BO72" s="9" t="n">
        <v>825</v>
      </c>
      <c r="BP72" s="9" t="n">
        <v>700</v>
      </c>
      <c r="BQ72" s="9" t="n">
        <v>525</v>
      </c>
      <c r="BR72" s="9" t="n">
        <v>375</v>
      </c>
      <c r="BS72" s="9" t="n">
        <v>200</v>
      </c>
      <c r="BT72" s="9" t="n">
        <v>0</v>
      </c>
      <c r="BU72" s="9" t="n">
        <v>0</v>
      </c>
      <c r="BV72" s="9" t="n">
        <v>600</v>
      </c>
      <c r="BW72" s="9" t="n">
        <v>325</v>
      </c>
      <c r="BX72" s="9" t="n">
        <v>300</v>
      </c>
      <c r="BY72" s="9" t="n">
        <v>0</v>
      </c>
      <c r="BZ72" s="9" t="n"/>
      <c r="CA72" s="9" t="n"/>
      <c r="CB72" s="154">
        <f>BZ72+IF(NOT(ISBLANK(OFFSET(CB72,0,6))),N(OFFSET(CB72,0,6)),N(OFFSET(CB72,0,7)))-CA72</f>
        <v/>
      </c>
      <c r="CD72" s="425" t="inlineStr">
        <is>
          <t>400 DE ER PG</t>
        </is>
      </c>
      <c r="CF72" s="65" t="n"/>
      <c r="CH72" s="18" t="n">
        <v>0</v>
      </c>
      <c r="CI72" s="18" t="n">
        <v>0</v>
      </c>
      <c r="CJ72" s="18" t="n">
        <v>600</v>
      </c>
      <c r="CK72" s="18" t="n"/>
      <c r="CL72" s="18" t="n"/>
      <c r="CM72" s="18" t="n"/>
      <c r="CN72" s="18" t="n"/>
      <c r="CO72" s="18" t="n"/>
      <c r="CP72" s="18" t="n"/>
      <c r="CQ72" s="18" t="n"/>
      <c r="CR72" s="18" t="n">
        <v>400</v>
      </c>
      <c r="CS72" s="18" t="n"/>
      <c r="CT72" s="154" t="inlineStr">
        <is>
          <t>800 DE ER MG</t>
        </is>
      </c>
      <c r="CU72" s="18" t="n"/>
      <c r="CV72" s="18" t="n"/>
      <c r="CW72" s="18" t="n"/>
      <c r="CX72" s="18" t="n">
        <v>600</v>
      </c>
      <c r="CY72" s="18" t="n"/>
      <c r="CZ72" s="18" t="n">
        <v>400</v>
      </c>
      <c r="DA72" s="18" t="n"/>
      <c r="DB72" s="18" t="n">
        <v>400</v>
      </c>
      <c r="DC72" s="18" t="n"/>
      <c r="DD72" s="18" t="n"/>
      <c r="DE72" s="18" t="n">
        <v>400</v>
      </c>
      <c r="DF72" s="18" t="n"/>
      <c r="DG72" s="18" t="n">
        <v>400</v>
      </c>
      <c r="DH72" s="18" t="n"/>
      <c r="DI72" s="18" t="n">
        <v>400</v>
      </c>
      <c r="DJ72" s="18" t="n">
        <v>400</v>
      </c>
      <c r="DK72" s="18" t="n"/>
      <c r="DL72" s="396" t="n"/>
      <c r="DM72" s="256" t="n"/>
      <c r="DN72" s="18" t="n"/>
      <c r="DO72" s="18" t="n"/>
      <c r="DP72" s="18" t="n"/>
      <c r="DQ72" s="18" t="n"/>
      <c r="DR72" s="18" t="n">
        <v>200</v>
      </c>
      <c r="DS72" s="18" t="n"/>
      <c r="DT72" s="18" t="n">
        <v>400</v>
      </c>
      <c r="DU72" s="18" t="n"/>
      <c r="DV72" s="18" t="n">
        <v>200</v>
      </c>
      <c r="DW72" s="18" t="n">
        <v>200</v>
      </c>
      <c r="DX72" s="18" t="n"/>
      <c r="DY72" s="18" t="n"/>
      <c r="DZ72" s="18" t="n"/>
      <c r="EA72" s="18" t="n"/>
      <c r="EB72" s="18" t="n"/>
      <c r="EC72" s="18" t="n"/>
      <c r="ED72" s="18" t="n">
        <v>200</v>
      </c>
      <c r="EE72" s="18" t="n"/>
      <c r="EF72" s="18" t="n"/>
      <c r="EG72" s="18" t="n"/>
      <c r="EH72" s="18" t="n"/>
      <c r="EI72" s="18" t="n"/>
      <c r="EJ72" s="18" t="n"/>
      <c r="EK72" s="18" t="n"/>
      <c r="EL72" s="18" t="n"/>
      <c r="EM72" s="18" t="n"/>
      <c r="EN72" s="18" t="n"/>
      <c r="EO72" s="18" t="n"/>
      <c r="EP72" s="18" t="n"/>
      <c r="EQ72" s="18" t="n"/>
      <c r="ER72" s="18" t="n"/>
      <c r="ES72" s="274" t="n"/>
      <c r="ET72" s="18" t="n"/>
      <c r="EU72" s="18" t="n"/>
      <c r="EV72" s="18" t="n"/>
      <c r="EW72" s="18" t="n"/>
      <c r="EX72" s="18" t="n"/>
      <c r="EY72" s="18" t="n"/>
      <c r="EZ72" s="18" t="n"/>
      <c r="FA72" s="260" t="n"/>
      <c r="FB72" s="18" t="n"/>
      <c r="FC72" s="18" t="n"/>
      <c r="FD72" s="18" t="n"/>
      <c r="FE72" s="18" t="n">
        <v>400</v>
      </c>
      <c r="FF72" s="276" t="n"/>
      <c r="FG72" s="18" t="n"/>
      <c r="FH72" s="18" t="n"/>
      <c r="FI72" s="18" t="n"/>
      <c r="FJ72" s="18" t="n"/>
      <c r="FK72" s="18" t="n"/>
      <c r="FL72" s="276" t="n"/>
      <c r="FM72" s="18" t="n"/>
      <c r="FN72" s="18" t="n"/>
      <c r="FO72" s="18" t="n"/>
      <c r="FP72" s="18" t="n"/>
      <c r="FQ72" s="18" t="n"/>
      <c r="FR72" s="18" t="n"/>
      <c r="FS72" s="18" t="n"/>
      <c r="FT72" s="239" t="inlineStr">
        <is>
          <t>400 DE VDP</t>
        </is>
      </c>
      <c r="FU72" s="18" t="n"/>
      <c r="FV72" s="18" t="n"/>
      <c r="FW72" s="18" t="n">
        <v>200</v>
      </c>
      <c r="FX72" s="18" t="n"/>
      <c r="FY72" s="18" t="n">
        <v>200</v>
      </c>
    </row>
    <row r="73" ht="18.75" customHeight="1">
      <c r="A73" s="33" t="inlineStr">
        <is>
          <t>SACOLA M EUDORA</t>
        </is>
      </c>
      <c r="B73" s="9" t="n">
        <v>200</v>
      </c>
      <c r="C73" s="662" t="n">
        <v>240.83</v>
      </c>
      <c r="D73" s="329" t="n">
        <v>200</v>
      </c>
      <c r="F73" s="9" t="n">
        <v>100</v>
      </c>
      <c r="G73" s="9">
        <f>50+FY72+400</f>
        <v/>
      </c>
      <c r="H73" s="9" t="n">
        <v>825</v>
      </c>
      <c r="I73" s="9" t="n">
        <v>775</v>
      </c>
      <c r="J73" s="9" t="n">
        <v>600</v>
      </c>
      <c r="K73" s="9" t="n">
        <v>600</v>
      </c>
      <c r="L73" s="9" t="n">
        <v>600</v>
      </c>
      <c r="M73" s="9" t="n">
        <v>600</v>
      </c>
      <c r="N73" s="9" t="n">
        <v>600</v>
      </c>
      <c r="O73" s="9" t="n">
        <v>600</v>
      </c>
      <c r="P73" s="9" t="n">
        <v>500</v>
      </c>
      <c r="Q73" s="9" t="n">
        <v>500</v>
      </c>
      <c r="R73" s="9" t="n">
        <v>400</v>
      </c>
      <c r="S73" s="9">
        <f>400+FE72</f>
        <v/>
      </c>
      <c r="T73" s="9" t="n">
        <v>800</v>
      </c>
      <c r="U73" s="9" t="n">
        <v>800</v>
      </c>
      <c r="V73" s="9" t="n">
        <v>800</v>
      </c>
      <c r="W73" s="9" t="n">
        <v>800</v>
      </c>
      <c r="X73" s="9" t="n">
        <v>800</v>
      </c>
      <c r="Y73" s="9" t="n">
        <v>700</v>
      </c>
      <c r="Z73" s="9" t="n">
        <v>600</v>
      </c>
      <c r="AA73" s="9" t="n">
        <v>550</v>
      </c>
      <c r="AB73" s="9" t="n">
        <v>400</v>
      </c>
      <c r="AC73" s="9" t="n">
        <v>400</v>
      </c>
      <c r="AD73" s="9" t="n">
        <v>400</v>
      </c>
      <c r="AE73" s="9" t="n">
        <v>400</v>
      </c>
      <c r="AF73" s="9" t="n">
        <v>300</v>
      </c>
      <c r="AG73" s="9" t="n">
        <v>300</v>
      </c>
      <c r="AH73" s="9" t="n">
        <v>300</v>
      </c>
      <c r="AI73" s="9" t="n">
        <v>175</v>
      </c>
      <c r="AJ73" s="9">
        <f>150+ED72</f>
        <v/>
      </c>
      <c r="AK73" s="9" t="n">
        <v>300</v>
      </c>
      <c r="AL73" s="9" t="n">
        <v>200</v>
      </c>
      <c r="AM73" s="9" t="n">
        <v>125</v>
      </c>
      <c r="AN73" s="9" t="n">
        <v>400</v>
      </c>
      <c r="AO73" s="9">
        <f>400+DT72</f>
        <v/>
      </c>
      <c r="AP73" s="9" t="n">
        <v>800</v>
      </c>
      <c r="AQ73" s="9">
        <f>775+DR72</f>
        <v/>
      </c>
      <c r="AR73" s="9" t="n">
        <v>950</v>
      </c>
      <c r="AS73" s="9" t="n">
        <v>950</v>
      </c>
      <c r="AT73" s="9" t="n">
        <v>800</v>
      </c>
      <c r="AU73" s="9" t="n">
        <v>625</v>
      </c>
      <c r="AV73" s="9" t="n">
        <v>500</v>
      </c>
      <c r="AW73" s="9">
        <f>450+DI73</f>
        <v/>
      </c>
      <c r="AX73" s="9" t="n">
        <v>625</v>
      </c>
      <c r="AY73" s="9" t="n">
        <v>575</v>
      </c>
      <c r="AZ73" s="9" t="n">
        <v>525</v>
      </c>
      <c r="BA73" s="9" t="n">
        <v>525</v>
      </c>
      <c r="BB73" s="9" t="n">
        <v>450</v>
      </c>
      <c r="BC73" s="9" t="n">
        <v>425</v>
      </c>
      <c r="BD73" s="9" t="n">
        <v>300</v>
      </c>
      <c r="BE73" s="9" t="n">
        <v>700</v>
      </c>
      <c r="BF73" s="9" t="n">
        <v>650</v>
      </c>
      <c r="BG73" s="9" t="n">
        <v>650</v>
      </c>
      <c r="BH73" s="9" t="n">
        <v>625</v>
      </c>
      <c r="BI73" s="9" t="n">
        <v>575</v>
      </c>
      <c r="BJ73" s="9" t="n">
        <v>550</v>
      </c>
      <c r="BK73" s="9" t="n">
        <v>525</v>
      </c>
      <c r="BL73" s="9" t="n">
        <v>525</v>
      </c>
      <c r="BM73" s="9" t="n">
        <v>525</v>
      </c>
      <c r="BN73" s="9" t="n">
        <v>525</v>
      </c>
      <c r="BO73" s="9" t="n">
        <v>525</v>
      </c>
      <c r="BP73" s="9" t="n">
        <v>475</v>
      </c>
      <c r="BQ73" s="9" t="n">
        <v>400</v>
      </c>
      <c r="BR73" s="9" t="n">
        <v>400</v>
      </c>
      <c r="BS73" s="9" t="n">
        <v>400</v>
      </c>
      <c r="BT73" s="9" t="n">
        <v>340</v>
      </c>
      <c r="BU73" s="9" t="n">
        <v>300</v>
      </c>
      <c r="BV73" s="9" t="n">
        <v>200</v>
      </c>
      <c r="BW73" s="9" t="n">
        <v>25</v>
      </c>
      <c r="BX73" s="9" t="n">
        <v>0</v>
      </c>
      <c r="BY73" s="9" t="n">
        <v>0</v>
      </c>
      <c r="BZ73" s="9" t="n"/>
      <c r="CA73" s="9" t="n"/>
      <c r="CB73" s="154">
        <f>BZ73+IF(NOT(ISBLANK(OFFSET(CB73,0,6))),N(OFFSET(CB73,0,6)),N(OFFSET(CB73,0,7)))-CA73</f>
        <v/>
      </c>
      <c r="CD73" s="233" t="inlineStr">
        <is>
          <t>200 DE ER MG</t>
        </is>
      </c>
      <c r="CF73" s="65" t="n"/>
      <c r="CH73" s="18" t="n">
        <v>0</v>
      </c>
      <c r="CI73" s="18" t="n">
        <v>0</v>
      </c>
      <c r="CJ73" s="18" t="n"/>
      <c r="CK73" s="18" t="n"/>
      <c r="CL73" s="18" t="n"/>
      <c r="CM73" s="18" t="n"/>
      <c r="CN73" s="18" t="n"/>
      <c r="CO73" s="18" t="n"/>
      <c r="CP73" s="18" t="n"/>
      <c r="CQ73" s="18" t="n"/>
      <c r="CR73" s="18" t="n"/>
      <c r="CS73" s="18" t="n"/>
      <c r="CT73" s="256" t="n"/>
      <c r="CU73" s="18" t="n"/>
      <c r="CV73" s="18" t="n"/>
      <c r="CW73" s="18" t="n">
        <v>400</v>
      </c>
      <c r="CX73" s="18" t="n"/>
      <c r="CY73" s="18" t="n"/>
      <c r="CZ73" s="18" t="n"/>
      <c r="DA73" s="18" t="n"/>
      <c r="DB73" s="18" t="n"/>
      <c r="DC73" s="18" t="n"/>
      <c r="DD73" s="18" t="n"/>
      <c r="DE73" s="18" t="n"/>
      <c r="DF73" s="18" t="n"/>
      <c r="DG73" s="18" t="n"/>
      <c r="DH73" s="18" t="n"/>
      <c r="DI73" s="18" t="n">
        <v>200</v>
      </c>
      <c r="DJ73" s="18" t="n"/>
      <c r="DK73" s="18" t="n"/>
      <c r="DL73" s="396" t="n"/>
      <c r="DM73" s="256" t="n"/>
      <c r="DN73" s="18" t="n"/>
      <c r="DO73" s="18" t="n"/>
      <c r="DP73" s="18" t="n"/>
      <c r="DQ73" s="18" t="n"/>
      <c r="DR73" s="18" t="n"/>
      <c r="DS73" s="18" t="n"/>
      <c r="DT73" s="18" t="n"/>
      <c r="DU73" s="18" t="n"/>
      <c r="DV73" s="18" t="n"/>
      <c r="DW73" s="18" t="n"/>
      <c r="DX73" s="18" t="n"/>
      <c r="DY73" s="18" t="n"/>
      <c r="DZ73" s="18" t="n"/>
      <c r="EA73" s="18" t="n"/>
      <c r="EB73" s="18" t="n"/>
      <c r="EC73" s="18" t="n"/>
      <c r="ED73" s="18" t="n"/>
      <c r="EE73" s="18" t="n"/>
      <c r="EF73" s="18" t="n"/>
      <c r="EG73" s="18" t="n"/>
      <c r="EH73" s="18" t="n"/>
      <c r="EI73" s="18" t="n"/>
      <c r="EJ73" s="18" t="n"/>
      <c r="EK73" s="18" t="n"/>
      <c r="EL73" s="18" t="n"/>
      <c r="EM73" s="18" t="n"/>
      <c r="EN73" s="18" t="n"/>
      <c r="EO73" s="18" t="n"/>
      <c r="EP73" s="18" t="n"/>
      <c r="EQ73" s="18" t="n"/>
      <c r="ER73" s="18" t="n"/>
      <c r="ES73" s="274" t="n"/>
      <c r="ET73" s="18" t="n"/>
      <c r="EU73" s="18" t="n"/>
      <c r="EV73" s="18" t="n"/>
      <c r="EW73" s="18" t="n"/>
      <c r="EX73" s="18" t="n"/>
      <c r="EY73" s="18" t="n"/>
      <c r="EZ73" s="18" t="n"/>
      <c r="FA73" s="18" t="n"/>
      <c r="FB73" s="18" t="n"/>
      <c r="FC73" s="18" t="n"/>
      <c r="FD73" s="18" t="n"/>
      <c r="FE73" s="18" t="n"/>
      <c r="FF73" s="276" t="n"/>
      <c r="FG73" s="18" t="n"/>
      <c r="FH73" s="18" t="n"/>
      <c r="FI73" s="18" t="n"/>
      <c r="FJ73" s="18" t="n"/>
      <c r="FK73" s="18" t="n"/>
      <c r="FL73" s="276" t="n"/>
      <c r="FM73" s="18" t="n"/>
      <c r="FN73" s="18" t="n"/>
      <c r="FO73" s="18" t="n"/>
      <c r="FP73" s="18" t="n"/>
      <c r="FQ73" s="18" t="n"/>
      <c r="FR73" s="18" t="n"/>
      <c r="FS73" s="18" t="n"/>
      <c r="FT73" s="18" t="n"/>
      <c r="FU73" s="18" t="n"/>
      <c r="FV73" s="18" t="n"/>
      <c r="FW73" s="18" t="n"/>
      <c r="FX73" s="18" t="n"/>
      <c r="FY73" s="18" t="n"/>
    </row>
    <row r="74" ht="18.75" customHeight="1">
      <c r="A74" s="33" t="inlineStr">
        <is>
          <t>SACOLA G EUDORA</t>
        </is>
      </c>
      <c r="B74" s="9" t="n">
        <v>100</v>
      </c>
      <c r="C74" s="662" t="n">
        <v>175.13</v>
      </c>
      <c r="D74" s="329" t="n">
        <v>100</v>
      </c>
      <c r="F74" s="9" t="n">
        <v>200</v>
      </c>
      <c r="G74" s="9" t="n">
        <v>200</v>
      </c>
      <c r="H74" s="9" t="n">
        <v>200</v>
      </c>
      <c r="I74" s="9" t="n">
        <v>200</v>
      </c>
      <c r="J74" s="9" t="n">
        <v>200</v>
      </c>
      <c r="K74" s="9" t="n">
        <v>200</v>
      </c>
      <c r="L74" s="9" t="n">
        <v>200</v>
      </c>
      <c r="M74" s="9" t="n">
        <v>200</v>
      </c>
      <c r="N74" s="9" t="n">
        <v>200</v>
      </c>
      <c r="O74" s="9" t="n">
        <v>200</v>
      </c>
      <c r="P74" s="9" t="n">
        <v>200</v>
      </c>
      <c r="Q74" s="9" t="n">
        <v>200</v>
      </c>
      <c r="R74" s="9" t="n">
        <v>200</v>
      </c>
      <c r="S74" s="9" t="n">
        <v>200</v>
      </c>
      <c r="T74" s="9" t="n">
        <v>200</v>
      </c>
      <c r="U74" s="9" t="n">
        <v>200</v>
      </c>
      <c r="V74" s="9" t="n">
        <v>200</v>
      </c>
      <c r="W74" s="9" t="n">
        <v>200</v>
      </c>
      <c r="X74" s="9" t="n">
        <v>200</v>
      </c>
      <c r="Y74" s="9" t="n">
        <v>200</v>
      </c>
      <c r="Z74" s="9" t="n">
        <v>200</v>
      </c>
      <c r="AA74" s="9" t="n">
        <v>200</v>
      </c>
      <c r="AB74" s="9" t="n">
        <v>200</v>
      </c>
      <c r="AC74" s="9" t="n">
        <v>200</v>
      </c>
      <c r="AD74" s="9" t="n">
        <v>175</v>
      </c>
      <c r="AE74" s="9" t="n">
        <v>150</v>
      </c>
      <c r="AF74" s="9" t="n">
        <v>150</v>
      </c>
      <c r="AG74" s="9" t="n">
        <v>100</v>
      </c>
      <c r="AH74" s="9" t="n">
        <v>100</v>
      </c>
      <c r="AI74" s="9" t="n">
        <v>100</v>
      </c>
      <c r="AJ74" s="9" t="n">
        <v>100</v>
      </c>
      <c r="AK74" s="9" t="n">
        <v>100</v>
      </c>
      <c r="AL74" s="9" t="n">
        <v>100</v>
      </c>
      <c r="AM74" s="9" t="n">
        <v>100</v>
      </c>
      <c r="AN74" s="9" t="n">
        <v>75</v>
      </c>
      <c r="AO74" s="9" t="n">
        <v>75</v>
      </c>
      <c r="AP74" s="9" t="n">
        <v>75</v>
      </c>
      <c r="AQ74" s="9" t="n">
        <v>75</v>
      </c>
      <c r="AR74" s="9" t="n">
        <v>75</v>
      </c>
      <c r="AS74" s="9" t="n">
        <v>75</v>
      </c>
      <c r="AT74" s="9" t="n">
        <v>50</v>
      </c>
      <c r="AU74" s="9" t="n">
        <v>150</v>
      </c>
      <c r="AV74" s="9" t="n">
        <v>150</v>
      </c>
      <c r="AW74" s="9" t="n">
        <v>100</v>
      </c>
      <c r="AX74" s="9" t="n">
        <v>100</v>
      </c>
      <c r="AY74" s="9" t="n">
        <v>100</v>
      </c>
      <c r="AZ74" s="9" t="n">
        <v>100</v>
      </c>
      <c r="BA74" s="9" t="n">
        <v>100</v>
      </c>
      <c r="BB74" s="9" t="n">
        <v>100</v>
      </c>
      <c r="BC74" s="9" t="n">
        <v>100</v>
      </c>
      <c r="BD74" s="9" t="n">
        <v>100</v>
      </c>
      <c r="BE74" s="9" t="n">
        <v>200</v>
      </c>
      <c r="BF74" s="9" t="n">
        <v>200</v>
      </c>
      <c r="BG74" s="9" t="n">
        <v>200</v>
      </c>
      <c r="BH74" s="9" t="n">
        <v>200</v>
      </c>
      <c r="BI74" s="9" t="n">
        <v>200</v>
      </c>
      <c r="BJ74" s="9" t="n">
        <v>200</v>
      </c>
      <c r="BK74" s="9" t="n">
        <v>200</v>
      </c>
      <c r="BL74" s="9" t="n">
        <v>200</v>
      </c>
      <c r="BM74" s="9" t="n">
        <v>200</v>
      </c>
      <c r="BN74" s="9" t="n">
        <v>200</v>
      </c>
      <c r="BO74" s="9" t="n">
        <v>200</v>
      </c>
      <c r="BP74" s="9" t="n">
        <v>200</v>
      </c>
      <c r="BQ74" s="9" t="n">
        <v>175</v>
      </c>
      <c r="BR74" s="9" t="n">
        <v>150</v>
      </c>
      <c r="BS74" s="9" t="n">
        <v>150</v>
      </c>
      <c r="BT74" s="9" t="n">
        <v>176</v>
      </c>
      <c r="BU74" s="9" t="n">
        <v>170</v>
      </c>
      <c r="BV74" s="9" t="n">
        <v>150</v>
      </c>
      <c r="BW74" s="9" t="n">
        <v>125</v>
      </c>
      <c r="BX74" s="9" t="n">
        <v>100</v>
      </c>
      <c r="BY74" s="9" t="n">
        <v>0</v>
      </c>
      <c r="BZ74" s="9" t="n"/>
      <c r="CA74" s="9" t="n"/>
      <c r="CB74" s="154">
        <f>BZ74+IF(NOT(ISBLANK(OFFSET(CB74,0,6))),N(OFFSET(CB74,0,6)),N(OFFSET(CB74,0,7)))-CA74</f>
        <v/>
      </c>
      <c r="CD74" s="233" t="inlineStr">
        <is>
          <t>200 DE ER MG</t>
        </is>
      </c>
      <c r="CF74" s="65" t="n"/>
      <c r="CH74" s="18" t="n">
        <v>0</v>
      </c>
      <c r="CI74" s="18" t="n">
        <v>0</v>
      </c>
      <c r="CJ74" s="18" t="n"/>
      <c r="CK74" s="18" t="n"/>
      <c r="CL74" s="18" t="n"/>
      <c r="CM74" s="18" t="n"/>
      <c r="CN74" s="18" t="n"/>
      <c r="CO74" s="18" t="n"/>
      <c r="CP74" s="18" t="n"/>
      <c r="CQ74" s="18" t="n"/>
      <c r="CR74" s="18" t="n"/>
      <c r="CS74" s="18" t="n"/>
      <c r="CT74" s="256" t="n"/>
      <c r="CU74" s="18" t="n"/>
      <c r="CV74" s="18" t="n"/>
      <c r="CW74" s="18" t="n"/>
      <c r="CX74" s="18" t="n">
        <v>100</v>
      </c>
      <c r="CY74" s="18" t="n"/>
      <c r="CZ74" s="18" t="n"/>
      <c r="DA74" s="18" t="n"/>
      <c r="DB74" s="18" t="n"/>
      <c r="DC74" s="18" t="n"/>
      <c r="DD74" s="18" t="n"/>
      <c r="DE74" s="18" t="n"/>
      <c r="DF74" s="18" t="n"/>
      <c r="DG74" s="18" t="n"/>
      <c r="DH74" s="18" t="n"/>
      <c r="DI74" s="18" t="n"/>
      <c r="DJ74" s="18" t="n">
        <v>100</v>
      </c>
      <c r="DK74" s="18" t="n"/>
      <c r="DL74" s="396" t="n"/>
      <c r="DM74" s="256" t="n"/>
      <c r="DN74" s="18" t="n"/>
      <c r="DO74" s="18" t="n"/>
      <c r="DP74" s="18" t="n"/>
      <c r="DQ74" s="18" t="n"/>
      <c r="DR74" s="18" t="n"/>
      <c r="DS74" s="18" t="n"/>
      <c r="DT74" s="18" t="n"/>
      <c r="DU74" s="18" t="n"/>
      <c r="DV74" s="18" t="n"/>
      <c r="DW74" s="18" t="n"/>
      <c r="DX74" s="18" t="n"/>
      <c r="DY74" s="18" t="n"/>
      <c r="DZ74" s="18" t="n"/>
      <c r="EA74" s="18" t="n"/>
      <c r="EB74" s="18" t="n"/>
      <c r="EC74" s="18" t="n"/>
      <c r="ED74" s="18" t="n"/>
      <c r="EE74" s="18" t="n"/>
      <c r="EF74" s="18" t="n"/>
      <c r="EG74" s="18" t="n"/>
      <c r="EH74" s="18" t="n"/>
      <c r="EI74" s="18" t="n"/>
      <c r="EJ74" s="18" t="n"/>
      <c r="EK74" s="18" t="n"/>
      <c r="EL74" s="18" t="n"/>
      <c r="EM74" s="18" t="n"/>
      <c r="EN74" s="18" t="n"/>
      <c r="EO74" s="18" t="n"/>
      <c r="EP74" s="18" t="n"/>
      <c r="EQ74" s="18" t="n"/>
      <c r="ER74" s="18" t="n"/>
      <c r="ES74" s="276" t="n"/>
      <c r="ET74" s="18" t="n"/>
      <c r="EU74" s="18" t="n"/>
      <c r="EV74" s="18" t="n"/>
      <c r="EW74" s="18" t="n"/>
      <c r="EX74" s="18" t="n"/>
      <c r="EY74" s="18" t="n"/>
      <c r="EZ74" s="18" t="n"/>
      <c r="FA74" s="18" t="n"/>
      <c r="FB74" s="18" t="n">
        <v>2</v>
      </c>
      <c r="FC74" s="18" t="n"/>
      <c r="FD74" s="18" t="n"/>
      <c r="FE74" s="18" t="n"/>
      <c r="FF74" s="276" t="n"/>
      <c r="FG74" s="18" t="n"/>
      <c r="FH74" s="18" t="n"/>
      <c r="FI74" s="18" t="n"/>
      <c r="FJ74" s="18" t="n"/>
      <c r="FK74" s="18" t="n"/>
      <c r="FL74" s="276" t="n"/>
      <c r="FM74" s="18" t="n"/>
      <c r="FN74" s="18" t="n"/>
      <c r="FO74" s="18" t="n"/>
      <c r="FP74" s="18" t="n"/>
      <c r="FQ74" s="18" t="n"/>
      <c r="FR74" s="18" t="n"/>
      <c r="FS74" s="18" t="n"/>
      <c r="FT74" s="18" t="n"/>
      <c r="FU74" s="18" t="n"/>
      <c r="FV74" s="18" t="n"/>
      <c r="FW74" s="18" t="n"/>
      <c r="FX74" s="18" t="n"/>
      <c r="FY74" s="18" t="n"/>
    </row>
    <row r="75" ht="18.75" customHeight="1">
      <c r="A75" s="43" t="inlineStr">
        <is>
          <t>PAPEL DE SEDA EUDORA</t>
        </is>
      </c>
      <c r="B75" s="149" t="n">
        <v>200</v>
      </c>
      <c r="C75" s="726" t="n">
        <v>29.77</v>
      </c>
      <c r="D75" s="329" t="n">
        <v>1</v>
      </c>
      <c r="F75" s="9" t="n">
        <v>3</v>
      </c>
      <c r="G75" s="9" t="n">
        <v>3</v>
      </c>
      <c r="H75" s="9" t="n">
        <v>3</v>
      </c>
      <c r="I75" s="9" t="n">
        <v>3</v>
      </c>
      <c r="J75" s="9" t="n">
        <v>3</v>
      </c>
      <c r="K75" s="9" t="n">
        <v>3</v>
      </c>
      <c r="L75" s="9" t="n">
        <v>3</v>
      </c>
      <c r="M75" s="9" t="n">
        <v>3</v>
      </c>
      <c r="N75" s="9" t="n">
        <v>3</v>
      </c>
      <c r="O75" s="9" t="n">
        <v>3</v>
      </c>
      <c r="P75" s="9" t="n">
        <v>3</v>
      </c>
      <c r="Q75" s="9" t="n">
        <v>3</v>
      </c>
      <c r="R75" s="9" t="n">
        <v>3</v>
      </c>
      <c r="S75" s="9" t="n">
        <v>3</v>
      </c>
      <c r="T75" s="9" t="n">
        <v>2</v>
      </c>
      <c r="U75" s="9" t="n">
        <v>2</v>
      </c>
      <c r="V75" s="9" t="n">
        <v>4</v>
      </c>
      <c r="W75" s="9" t="n">
        <v>4</v>
      </c>
      <c r="X75" s="9" t="n">
        <v>4</v>
      </c>
      <c r="Y75" s="9" t="n">
        <v>3</v>
      </c>
      <c r="Z75" s="9" t="n">
        <v>3</v>
      </c>
      <c r="AA75" s="9" t="n">
        <v>3</v>
      </c>
      <c r="AB75" s="9" t="n">
        <v>3</v>
      </c>
      <c r="AC75" s="9" t="n">
        <v>3</v>
      </c>
      <c r="AD75" s="9" t="n">
        <v>3</v>
      </c>
      <c r="AE75" s="9" t="n">
        <v>3</v>
      </c>
      <c r="AF75" s="9" t="n">
        <v>3</v>
      </c>
      <c r="AG75" s="9" t="n">
        <v>3</v>
      </c>
      <c r="AH75" s="9" t="n">
        <v>4</v>
      </c>
      <c r="AI75" s="9" t="n">
        <v>4</v>
      </c>
      <c r="AJ75" s="9" t="n">
        <v>4</v>
      </c>
      <c r="AK75" s="9" t="n">
        <v>4</v>
      </c>
      <c r="AL75" s="9" t="n">
        <v>4</v>
      </c>
      <c r="AM75" s="9" t="n">
        <v>4</v>
      </c>
      <c r="AN75" s="9" t="n">
        <v>3</v>
      </c>
      <c r="AO75" s="9" t="n">
        <v>3</v>
      </c>
      <c r="AP75" s="9" t="n">
        <v>3</v>
      </c>
      <c r="AQ75" s="9" t="n">
        <v>3</v>
      </c>
      <c r="AR75" s="9" t="n">
        <v>3</v>
      </c>
      <c r="AS75" s="9" t="n">
        <v>3</v>
      </c>
      <c r="AT75" s="9" t="n">
        <v>3</v>
      </c>
      <c r="AU75" s="9" t="n">
        <v>3</v>
      </c>
      <c r="AV75" s="9" t="n">
        <v>3</v>
      </c>
      <c r="AW75" s="9" t="n">
        <v>3</v>
      </c>
      <c r="AX75" s="9" t="n">
        <v>3</v>
      </c>
      <c r="AY75" s="9" t="n">
        <v>3</v>
      </c>
      <c r="AZ75" s="9" t="n">
        <v>3</v>
      </c>
      <c r="BA75" s="9" t="n">
        <v>3</v>
      </c>
      <c r="BB75" s="9" t="n">
        <v>3</v>
      </c>
      <c r="BC75" s="9" t="n">
        <v>3</v>
      </c>
      <c r="BD75" s="9" t="n">
        <v>3</v>
      </c>
      <c r="BE75" s="9" t="n">
        <v>3</v>
      </c>
      <c r="BF75" s="9" t="n">
        <v>1</v>
      </c>
      <c r="BG75" s="9" t="n">
        <v>1</v>
      </c>
      <c r="BH75" s="9" t="n">
        <v>4</v>
      </c>
      <c r="BI75" s="9">
        <f>7+1</f>
        <v/>
      </c>
      <c r="BJ75" s="9" t="n">
        <v>3</v>
      </c>
      <c r="BK75" s="9" t="n">
        <v>3</v>
      </c>
      <c r="BL75" s="9" t="n">
        <v>3</v>
      </c>
      <c r="BM75" s="9" t="n">
        <v>2</v>
      </c>
      <c r="BN75" s="9" t="n">
        <v>2</v>
      </c>
      <c r="BO75" s="9" t="n">
        <v>1</v>
      </c>
      <c r="BP75" s="9" t="n">
        <v>1</v>
      </c>
      <c r="BQ75" s="9" t="n">
        <v>1</v>
      </c>
      <c r="BR75" s="9" t="n">
        <v>1</v>
      </c>
      <c r="BS75" s="9" t="n">
        <v>1</v>
      </c>
      <c r="BT75" s="9" t="n">
        <v>1</v>
      </c>
      <c r="BU75" s="9" t="n">
        <v>1</v>
      </c>
      <c r="BV75" s="9" t="n">
        <v>1</v>
      </c>
      <c r="BW75" s="9" t="n">
        <v>1</v>
      </c>
      <c r="BX75" s="9" t="n">
        <v>1</v>
      </c>
      <c r="BY75" s="9" t="n">
        <v>0</v>
      </c>
      <c r="BZ75" s="9" t="n"/>
      <c r="CA75" s="9" t="n"/>
      <c r="CB75" s="154">
        <f>BZ75+IF(NOT(ISBLANK(OFFSET(CB75,0,6))),N(OFFSET(CB75,0,6)),N(OFFSET(CB75,0,7)))-CA75</f>
        <v/>
      </c>
      <c r="CD75" s="19" t="n"/>
      <c r="CF75" s="27" t="n"/>
      <c r="CH75" s="18" t="n">
        <v>0</v>
      </c>
      <c r="CI75" s="18" t="n">
        <v>0</v>
      </c>
      <c r="CJ75" s="18" t="n"/>
      <c r="CK75" s="18" t="n"/>
      <c r="CL75" s="18" t="n"/>
      <c r="CM75" s="18" t="n"/>
      <c r="CN75" s="18" t="n"/>
      <c r="CO75" s="18" t="n"/>
      <c r="CP75" s="18" t="n"/>
      <c r="CQ75" s="18" t="n"/>
      <c r="CR75" s="18" t="n"/>
      <c r="CS75" s="18" t="n"/>
      <c r="CT75" s="154" t="inlineStr">
        <is>
          <t>01 DE ER MG</t>
        </is>
      </c>
      <c r="CU75" s="18" t="n"/>
      <c r="CV75" s="18" t="n"/>
      <c r="CW75" s="18" t="n"/>
      <c r="CX75" s="18" t="n"/>
      <c r="CY75" s="18" t="n"/>
      <c r="CZ75" s="18" t="n"/>
      <c r="DA75" s="18" t="n"/>
      <c r="DB75" s="18" t="n"/>
      <c r="DC75" s="18" t="n"/>
      <c r="DD75" s="18" t="n"/>
      <c r="DE75" s="18" t="n"/>
      <c r="DF75" s="18" t="n"/>
      <c r="DG75" s="18" t="n"/>
      <c r="DH75" s="18" t="n"/>
      <c r="DI75" s="18" t="n"/>
      <c r="DJ75" s="18" t="n"/>
      <c r="DK75" s="18" t="n"/>
      <c r="DL75" s="399" t="n"/>
      <c r="DM75" s="256" t="n"/>
      <c r="DN75" s="18" t="n"/>
      <c r="DO75" s="18" t="n"/>
      <c r="DP75" s="18" t="n"/>
      <c r="DQ75" s="18" t="n"/>
      <c r="DR75" s="18" t="n"/>
      <c r="DS75" s="18" t="n"/>
      <c r="DT75" s="18" t="n"/>
      <c r="DU75" s="18" t="n"/>
      <c r="DV75" s="18" t="n"/>
      <c r="DW75" s="18" t="n"/>
      <c r="DX75" s="18" t="n"/>
      <c r="DY75" s="18" t="n"/>
      <c r="DZ75" s="18" t="n"/>
      <c r="EA75" s="18" t="n"/>
      <c r="EB75" s="18" t="n"/>
      <c r="EC75" s="18" t="n"/>
      <c r="ED75" s="18" t="n"/>
      <c r="EE75" s="18" t="n"/>
      <c r="EF75" s="18" t="n"/>
      <c r="EG75" s="18" t="n"/>
      <c r="EH75" s="18" t="n"/>
      <c r="EI75" s="18" t="n"/>
      <c r="EJ75" s="18" t="n"/>
      <c r="EK75" s="18" t="n"/>
      <c r="EL75" s="18" t="n"/>
      <c r="EM75" s="18" t="n"/>
      <c r="EN75" s="18" t="n"/>
      <c r="EO75" s="18" t="n"/>
      <c r="EP75" s="18" t="n"/>
      <c r="EQ75" s="18" t="n"/>
      <c r="ER75" s="18" t="n"/>
      <c r="ES75" s="276" t="n"/>
      <c r="ET75" s="18" t="n"/>
      <c r="EU75" s="18" t="n"/>
      <c r="EV75" s="18" t="n"/>
      <c r="EW75" s="18" t="n"/>
      <c r="EX75" s="18" t="n"/>
      <c r="EY75" s="18" t="n"/>
      <c r="EZ75" s="18" t="n"/>
      <c r="FA75" s="18" t="n"/>
      <c r="FB75" s="18" t="n"/>
      <c r="FC75" s="18" t="n"/>
      <c r="FD75" s="18" t="n"/>
      <c r="FE75" s="18" t="n"/>
      <c r="FF75" s="276" t="n"/>
      <c r="FG75" s="18" t="n"/>
      <c r="FH75" s="18" t="n"/>
      <c r="FI75" s="18" t="n"/>
      <c r="FJ75" s="18" t="n"/>
      <c r="FK75" s="18" t="n"/>
      <c r="FL75" s="276" t="n"/>
      <c r="FM75" s="18" t="n"/>
      <c r="FN75" s="18" t="n"/>
      <c r="FO75" s="18" t="n"/>
      <c r="FP75" s="18" t="n"/>
      <c r="FQ75" s="18" t="n"/>
      <c r="FR75" s="18" t="n">
        <v>2</v>
      </c>
      <c r="FS75" s="18" t="n"/>
      <c r="FT75" s="18" t="n"/>
      <c r="FU75" s="18" t="n"/>
      <c r="FV75" s="18" t="n"/>
      <c r="FW75" s="18" t="n">
        <v>1</v>
      </c>
      <c r="FX75" s="18" t="n"/>
      <c r="FY75" s="18" t="n"/>
    </row>
    <row r="76" ht="18.75" customHeight="1">
      <c r="A76" s="43" t="inlineStr">
        <is>
          <t>ADESIVOS EUDORA</t>
        </is>
      </c>
      <c r="B76" s="149" t="n">
        <v>1000</v>
      </c>
      <c r="C76" s="726" t="n">
        <v>70</v>
      </c>
      <c r="D76" s="329" t="n">
        <v>1</v>
      </c>
      <c r="F76" s="9" t="n">
        <v>1</v>
      </c>
      <c r="G76" s="9" t="n">
        <v>1</v>
      </c>
      <c r="H76" s="9">
        <f>1+FW75</f>
        <v/>
      </c>
      <c r="I76" s="9" t="n">
        <v>1</v>
      </c>
      <c r="J76" s="9">
        <f>1+FR75</f>
        <v/>
      </c>
      <c r="K76" s="9" t="n">
        <v>3</v>
      </c>
      <c r="L76" s="9" t="n">
        <v>2</v>
      </c>
      <c r="M76" s="9" t="n">
        <v>2</v>
      </c>
      <c r="N76" s="9" t="n">
        <v>2</v>
      </c>
      <c r="O76" s="9" t="n">
        <v>2</v>
      </c>
      <c r="P76" s="9" t="n">
        <v>3</v>
      </c>
      <c r="Q76" s="9" t="n">
        <v>3</v>
      </c>
      <c r="R76" s="9" t="n">
        <v>3</v>
      </c>
      <c r="S76" s="9" t="n">
        <v>3</v>
      </c>
      <c r="T76" s="9" t="n">
        <v>3</v>
      </c>
      <c r="U76" s="9" t="n">
        <v>3</v>
      </c>
      <c r="V76" s="9" t="n">
        <v>3</v>
      </c>
      <c r="W76" s="9" t="n">
        <v>3</v>
      </c>
      <c r="X76" s="9" t="n">
        <v>3</v>
      </c>
      <c r="Y76" s="9" t="n">
        <v>3</v>
      </c>
      <c r="Z76" s="9" t="n">
        <v>3</v>
      </c>
      <c r="AA76" s="9" t="n">
        <v>3</v>
      </c>
      <c r="AB76" s="9" t="n">
        <v>3</v>
      </c>
      <c r="AC76" s="9" t="n">
        <v>3</v>
      </c>
      <c r="AD76" s="9" t="n">
        <v>3</v>
      </c>
      <c r="AE76" s="9" t="n">
        <v>3</v>
      </c>
      <c r="AF76" s="9" t="n">
        <v>3</v>
      </c>
      <c r="AG76" s="9" t="n">
        <v>3</v>
      </c>
      <c r="AH76" s="9" t="n">
        <v>3</v>
      </c>
      <c r="AI76" s="9" t="n">
        <v>3</v>
      </c>
      <c r="AJ76" s="9" t="n">
        <v>3</v>
      </c>
      <c r="AK76" s="9" t="n">
        <v>3</v>
      </c>
      <c r="AL76" s="9" t="n">
        <v>3</v>
      </c>
      <c r="AM76" s="9" t="n">
        <v>3</v>
      </c>
      <c r="AN76" s="9" t="n">
        <v>3</v>
      </c>
      <c r="AO76" s="9" t="n">
        <v>3</v>
      </c>
      <c r="AP76" s="9" t="n">
        <v>3</v>
      </c>
      <c r="AQ76" s="9" t="n">
        <v>3</v>
      </c>
      <c r="AR76" s="9" t="n">
        <v>3</v>
      </c>
      <c r="AS76" s="9" t="n">
        <v>3</v>
      </c>
      <c r="AT76" s="9" t="n">
        <v>3</v>
      </c>
      <c r="AU76" s="9" t="n">
        <v>3</v>
      </c>
      <c r="AV76" s="9" t="n">
        <v>3</v>
      </c>
      <c r="AW76" s="9" t="n">
        <v>3</v>
      </c>
      <c r="AX76" s="9" t="n">
        <v>3</v>
      </c>
      <c r="AY76" s="9" t="n">
        <v>3</v>
      </c>
      <c r="AZ76" s="9" t="n">
        <v>3</v>
      </c>
      <c r="BA76" s="9" t="n">
        <v>3</v>
      </c>
      <c r="BB76" s="9" t="n">
        <v>3</v>
      </c>
      <c r="BC76" s="9" t="n">
        <v>3</v>
      </c>
      <c r="BD76" s="9" t="n">
        <v>3</v>
      </c>
      <c r="BE76" s="9" t="n">
        <v>3</v>
      </c>
      <c r="BF76" s="9" t="n">
        <v>3</v>
      </c>
      <c r="BG76" s="9" t="n">
        <v>3</v>
      </c>
      <c r="BH76" s="9" t="n">
        <v>3</v>
      </c>
      <c r="BI76" s="9" t="n">
        <v>5</v>
      </c>
      <c r="BJ76" s="9" t="n">
        <v>2</v>
      </c>
      <c r="BK76" s="9" t="n">
        <v>2</v>
      </c>
      <c r="BL76" s="9" t="n">
        <v>2</v>
      </c>
      <c r="BM76" s="9" t="n">
        <v>2</v>
      </c>
      <c r="BN76" s="9" t="n">
        <v>2</v>
      </c>
      <c r="BO76" s="9" t="n">
        <v>2</v>
      </c>
      <c r="BP76" s="9" t="n">
        <v>1</v>
      </c>
      <c r="BQ76" s="9" t="n">
        <v>1</v>
      </c>
      <c r="BR76" s="9" t="n">
        <v>1</v>
      </c>
      <c r="BS76" s="9" t="n">
        <v>1</v>
      </c>
      <c r="BT76" s="9" t="n">
        <v>1</v>
      </c>
      <c r="BU76" s="9" t="n">
        <v>1</v>
      </c>
      <c r="BV76" s="9" t="n">
        <v>1</v>
      </c>
      <c r="BW76" s="9" t="n">
        <v>1</v>
      </c>
      <c r="BX76" s="9" t="n">
        <v>1</v>
      </c>
      <c r="BY76" s="9" t="n">
        <v>1</v>
      </c>
      <c r="BZ76" s="9" t="n"/>
      <c r="CA76" s="9" t="n"/>
      <c r="CB76" s="154">
        <f>BZ76+IF(NOT(ISBLANK(OFFSET(CB76,0,6))),N(OFFSET(CB76,0,6)),N(OFFSET(CB76,0,7)))-CA76</f>
        <v/>
      </c>
      <c r="CD76" s="19" t="n"/>
      <c r="CF76" s="27" t="n"/>
      <c r="CH76" s="18" t="n">
        <v>0</v>
      </c>
      <c r="CI76" s="18" t="n">
        <v>0</v>
      </c>
      <c r="CJ76" s="18" t="n"/>
      <c r="CK76" s="18" t="n"/>
      <c r="CL76" s="18" t="n"/>
      <c r="CM76" s="18" t="n"/>
      <c r="CN76" s="18" t="n"/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8" t="n"/>
      <c r="DA76" s="18" t="n"/>
      <c r="DB76" s="18" t="n"/>
      <c r="DC76" s="18" t="n"/>
      <c r="DD76" s="18" t="n"/>
      <c r="DE76" s="18" t="n"/>
      <c r="DF76" s="18" t="n"/>
      <c r="DG76" s="18" t="n"/>
      <c r="DH76" s="18" t="n"/>
      <c r="DI76" s="18" t="n"/>
      <c r="DJ76" s="18" t="n"/>
      <c r="DK76" s="18" t="n"/>
      <c r="DL76" s="342" t="n"/>
      <c r="DM76" s="256" t="n"/>
      <c r="DN76" s="18" t="n"/>
      <c r="DO76" s="18" t="n"/>
      <c r="DP76" s="18" t="n"/>
      <c r="DQ76" s="18" t="n"/>
      <c r="DR76" s="18" t="n"/>
      <c r="DS76" s="18" t="n"/>
      <c r="DT76" s="18" t="n"/>
      <c r="DU76" s="18" t="n"/>
      <c r="DV76" s="18" t="n"/>
      <c r="DW76" s="18" t="n"/>
      <c r="DX76" s="18" t="n"/>
      <c r="DY76" s="18" t="n"/>
      <c r="DZ76" s="18" t="n"/>
      <c r="EA76" s="18" t="n"/>
      <c r="EB76" s="18" t="n"/>
      <c r="EC76" s="18" t="n"/>
      <c r="ED76" s="18" t="n"/>
      <c r="EE76" s="18" t="n"/>
      <c r="EF76" s="18" t="n"/>
      <c r="EG76" s="18" t="n"/>
      <c r="EH76" s="18" t="n"/>
      <c r="EI76" s="18" t="n"/>
      <c r="EJ76" s="18" t="n"/>
      <c r="EK76" s="18" t="n"/>
      <c r="EL76" s="18" t="n"/>
      <c r="EM76" s="18" t="n"/>
      <c r="EN76" s="18" t="n"/>
      <c r="EO76" s="18" t="n"/>
      <c r="EP76" s="18" t="n"/>
      <c r="EQ76" s="18" t="n"/>
      <c r="ER76" s="18" t="n"/>
      <c r="ES76" s="276" t="n"/>
      <c r="ET76" s="18" t="n"/>
      <c r="EU76" s="18" t="n"/>
      <c r="EV76" s="18" t="n"/>
      <c r="EW76" s="18" t="n"/>
      <c r="EX76" s="18" t="n"/>
      <c r="EY76" s="18" t="n"/>
      <c r="EZ76" s="18" t="n"/>
      <c r="FA76" s="18" t="n"/>
      <c r="FB76" s="18" t="n"/>
      <c r="FC76" s="18" t="n"/>
      <c r="FD76" s="18" t="n"/>
      <c r="FE76" s="18" t="n"/>
      <c r="FF76" s="276" t="n"/>
      <c r="FG76" s="18" t="n"/>
      <c r="FH76" s="18" t="n"/>
      <c r="FI76" s="18" t="n"/>
      <c r="FJ76" s="18" t="n"/>
      <c r="FK76" s="18" t="n"/>
      <c r="FL76" s="276" t="n"/>
      <c r="FM76" s="18" t="n"/>
      <c r="FN76" s="18" t="n"/>
      <c r="FO76" s="18" t="n"/>
      <c r="FP76" s="18" t="n"/>
      <c r="FQ76" s="18" t="n"/>
      <c r="FR76" s="18" t="n"/>
      <c r="FS76" s="18" t="n"/>
      <c r="FT76" s="18" t="n"/>
      <c r="FU76" s="18" t="n"/>
      <c r="FV76" s="18" t="n"/>
      <c r="FW76" s="18" t="n"/>
      <c r="FX76" s="18" t="n"/>
      <c r="FY76" s="18" t="n"/>
    </row>
    <row r="77" ht="18.75" customHeight="1">
      <c r="A77" s="43" t="inlineStr">
        <is>
          <t>LÂMINA OLFATIVA EUDORA</t>
        </is>
      </c>
      <c r="B77" s="204" t="n">
        <v>2000</v>
      </c>
      <c r="C77" s="726" t="n">
        <v>71</v>
      </c>
      <c r="D77" s="329" t="n">
        <v>0</v>
      </c>
      <c r="F77" s="9" t="n">
        <v>0</v>
      </c>
      <c r="G77" s="9" t="n">
        <v>0</v>
      </c>
      <c r="H77" s="9" t="n">
        <v>0</v>
      </c>
      <c r="I77" s="9" t="n">
        <v>0</v>
      </c>
      <c r="J77" s="9" t="n">
        <v>0</v>
      </c>
      <c r="K77" s="9" t="n">
        <v>0</v>
      </c>
      <c r="L77" s="9" t="n">
        <v>0</v>
      </c>
      <c r="M77" s="9" t="n">
        <v>0</v>
      </c>
      <c r="N77" s="9" t="n">
        <v>0</v>
      </c>
      <c r="O77" s="9" t="n">
        <v>0</v>
      </c>
      <c r="P77" s="9" t="n">
        <v>0</v>
      </c>
      <c r="Q77" s="9" t="n">
        <v>0</v>
      </c>
      <c r="R77" s="9" t="n">
        <v>0</v>
      </c>
      <c r="S77" s="9" t="n">
        <v>0</v>
      </c>
      <c r="T77" s="9" t="n">
        <v>0</v>
      </c>
      <c r="U77" s="9" t="n">
        <v>0</v>
      </c>
      <c r="V77" s="9" t="n">
        <v>0</v>
      </c>
      <c r="W77" s="9" t="n">
        <v>0</v>
      </c>
      <c r="X77" s="9" t="n">
        <v>0</v>
      </c>
      <c r="Y77" s="9" t="n">
        <v>0</v>
      </c>
      <c r="Z77" s="9" t="n">
        <v>0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9" t="n">
        <v>0</v>
      </c>
      <c r="AP77" s="9" t="n">
        <v>0</v>
      </c>
      <c r="AQ77" s="9" t="n">
        <v>0</v>
      </c>
      <c r="AR77" s="9" t="n">
        <v>0</v>
      </c>
      <c r="AS77" s="9" t="n">
        <v>0</v>
      </c>
      <c r="AT77" s="9" t="n">
        <v>0</v>
      </c>
      <c r="AU77" s="9" t="n">
        <v>0</v>
      </c>
      <c r="AV77" s="9" t="n">
        <v>0</v>
      </c>
      <c r="AW77" s="9" t="n">
        <v>0</v>
      </c>
      <c r="AX77" s="9" t="n">
        <v>0</v>
      </c>
      <c r="AY77" s="9" t="n">
        <v>0</v>
      </c>
      <c r="AZ77" s="9" t="n">
        <v>0</v>
      </c>
      <c r="BA77" s="9" t="n">
        <v>0</v>
      </c>
      <c r="BB77" s="9" t="n">
        <v>0</v>
      </c>
      <c r="BC77" s="9" t="n">
        <v>0</v>
      </c>
      <c r="BD77" s="9" t="n">
        <v>0</v>
      </c>
      <c r="BE77" s="9" t="n">
        <v>0</v>
      </c>
      <c r="BF77" s="9" t="n">
        <v>0</v>
      </c>
      <c r="BG77" s="9" t="n">
        <v>0</v>
      </c>
      <c r="BH77" s="9" t="n">
        <v>0</v>
      </c>
      <c r="BI77" s="9" t="n">
        <v>0</v>
      </c>
      <c r="BJ77" s="9" t="n">
        <v>0</v>
      </c>
      <c r="BK77" s="9" t="n">
        <v>0</v>
      </c>
      <c r="BL77" s="9" t="n">
        <v>0</v>
      </c>
      <c r="BM77" s="9" t="n">
        <v>0</v>
      </c>
      <c r="BN77" s="9" t="n">
        <v>0</v>
      </c>
      <c r="BO77" s="9" t="n">
        <v>0</v>
      </c>
      <c r="BP77" s="9" t="n">
        <v>0</v>
      </c>
      <c r="BQ77" s="9" t="n">
        <v>0</v>
      </c>
      <c r="BR77" s="9" t="n">
        <v>0</v>
      </c>
      <c r="BS77" s="9" t="n">
        <v>0</v>
      </c>
      <c r="BT77" s="9" t="n">
        <v>0</v>
      </c>
      <c r="BU77" s="9" t="n">
        <v>0</v>
      </c>
      <c r="BV77" s="9" t="n">
        <v>0</v>
      </c>
      <c r="BW77" s="9" t="n">
        <v>0</v>
      </c>
      <c r="BX77" s="9" t="n">
        <v>0</v>
      </c>
      <c r="BY77" s="9" t="n">
        <v>0</v>
      </c>
      <c r="BZ77" s="9" t="n"/>
      <c r="CA77" s="9" t="n"/>
      <c r="CB77" s="154">
        <f>BZ77+IF(NOT(ISBLANK(OFFSET(CB77,0,6))),N(OFFSET(CB77,0,6)),N(OFFSET(CB77,0,7)))-CA77</f>
        <v/>
      </c>
      <c r="CD77" s="19" t="n"/>
      <c r="CF77" s="27" t="n"/>
      <c r="CH77" s="18" t="n">
        <v>0</v>
      </c>
      <c r="CI77" s="18" t="n">
        <v>0</v>
      </c>
      <c r="CJ77" s="18" t="n"/>
      <c r="CK77" s="18" t="n"/>
      <c r="CL77" s="18" t="n"/>
      <c r="CM77" s="18" t="n"/>
      <c r="CN77" s="18" t="n"/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342" t="n"/>
      <c r="DM77" s="256" t="n"/>
      <c r="DN77" s="18" t="n"/>
      <c r="DO77" s="18" t="n"/>
      <c r="DP77" s="18" t="n"/>
      <c r="DQ77" s="18" t="n"/>
      <c r="DR77" s="18" t="n"/>
      <c r="DS77" s="18" t="n"/>
      <c r="DT77" s="18" t="n"/>
      <c r="DU77" s="18" t="n"/>
      <c r="DV77" s="18" t="n"/>
      <c r="DW77" s="18" t="n"/>
      <c r="DX77" s="18" t="n"/>
      <c r="DY77" s="18" t="n"/>
      <c r="DZ77" s="18" t="n"/>
      <c r="EA77" s="18" t="n"/>
      <c r="EB77" s="18" t="n"/>
      <c r="EC77" s="18" t="n"/>
      <c r="ED77" s="18" t="n"/>
      <c r="EE77" s="18" t="n"/>
      <c r="EF77" s="18" t="n"/>
      <c r="EG77" s="18" t="n"/>
      <c r="EH77" s="18" t="n"/>
      <c r="EI77" s="18" t="n"/>
      <c r="EJ77" s="18" t="n"/>
      <c r="EK77" s="18" t="n"/>
      <c r="EL77" s="18" t="n"/>
      <c r="EM77" s="18" t="n"/>
      <c r="EN77" s="18" t="n"/>
      <c r="EO77" s="18" t="n"/>
      <c r="EP77" s="18" t="n"/>
      <c r="EQ77" s="18" t="n"/>
      <c r="ER77" s="18" t="n"/>
      <c r="ES77" s="276" t="n"/>
      <c r="ET77" s="18" t="n"/>
      <c r="EU77" s="18" t="n"/>
      <c r="EV77" s="18" t="n"/>
      <c r="EW77" s="18" t="n"/>
      <c r="EX77" s="18" t="n"/>
      <c r="EY77" s="18" t="n"/>
      <c r="EZ77" s="18" t="n"/>
      <c r="FA77" s="260" t="n"/>
      <c r="FB77" s="18" t="n"/>
      <c r="FC77" s="18" t="n"/>
      <c r="FD77" s="18" t="n"/>
      <c r="FE77" s="18" t="n"/>
      <c r="FF77" s="276" t="n"/>
      <c r="FG77" s="18" t="n"/>
      <c r="FH77" s="18" t="n"/>
      <c r="FI77" s="18" t="n"/>
      <c r="FJ77" s="18" t="n"/>
      <c r="FK77" s="18" t="n"/>
      <c r="FL77" s="276" t="n"/>
      <c r="FM77" s="18" t="n"/>
      <c r="FN77" s="18" t="n"/>
      <c r="FO77" s="18" t="n"/>
      <c r="FP77" s="18" t="n"/>
      <c r="FQ77" s="18" t="n"/>
      <c r="FR77" s="18" t="n"/>
      <c r="FS77" s="18" t="n"/>
      <c r="FT77" s="239" t="inlineStr">
        <is>
          <t>20 DE VDP</t>
        </is>
      </c>
      <c r="FU77" s="18" t="n"/>
      <c r="FV77" s="18" t="n"/>
      <c r="FW77" s="18" t="n"/>
      <c r="FX77" s="18" t="n"/>
      <c r="FY77" s="18" t="n"/>
    </row>
    <row r="78" ht="18.75" customHeight="1">
      <c r="A78" s="43" t="inlineStr">
        <is>
          <t>KIT SACOLA P EUDORA (C/ 10)</t>
        </is>
      </c>
      <c r="B78" s="149" t="n">
        <v>200</v>
      </c>
      <c r="C78" s="726" t="n">
        <v>184.13</v>
      </c>
      <c r="D78" s="329" t="n">
        <v>10</v>
      </c>
      <c r="F78" s="9" t="n">
        <v>5</v>
      </c>
      <c r="G78" s="9">
        <f>5+20</f>
        <v/>
      </c>
      <c r="H78" s="9" t="n">
        <v>25</v>
      </c>
      <c r="I78" s="9" t="n">
        <v>25</v>
      </c>
      <c r="J78" s="9" t="n">
        <v>25</v>
      </c>
      <c r="K78" s="9" t="n">
        <v>24</v>
      </c>
      <c r="L78" s="9" t="n">
        <v>24</v>
      </c>
      <c r="M78" s="9" t="n">
        <v>24</v>
      </c>
      <c r="N78" s="9" t="n">
        <v>24</v>
      </c>
      <c r="O78" s="9" t="n">
        <v>24</v>
      </c>
      <c r="P78" s="9" t="n">
        <v>24</v>
      </c>
      <c r="Q78" s="9" t="n">
        <v>24</v>
      </c>
      <c r="R78" s="9" t="n">
        <v>24</v>
      </c>
      <c r="S78" s="9" t="n">
        <v>24</v>
      </c>
      <c r="T78" s="9" t="n">
        <v>25</v>
      </c>
      <c r="U78" s="9" t="n">
        <v>25</v>
      </c>
      <c r="V78" s="9" t="n">
        <v>25</v>
      </c>
      <c r="W78" s="9" t="n">
        <v>25</v>
      </c>
      <c r="X78" s="9" t="n">
        <v>25</v>
      </c>
      <c r="Y78" s="9" t="n">
        <v>25</v>
      </c>
      <c r="Z78" s="9" t="n">
        <v>25</v>
      </c>
      <c r="AA78" s="9" t="n">
        <v>25</v>
      </c>
      <c r="AB78" s="9" t="n">
        <v>25</v>
      </c>
      <c r="AC78" s="9" t="n">
        <v>25</v>
      </c>
      <c r="AD78" s="9" t="n">
        <v>25</v>
      </c>
      <c r="AE78" s="9" t="n">
        <v>25</v>
      </c>
      <c r="AF78" s="9" t="n">
        <v>25</v>
      </c>
      <c r="AG78" s="9" t="n">
        <v>25</v>
      </c>
      <c r="AH78" s="190" t="n">
        <v>45</v>
      </c>
      <c r="AI78" s="9" t="n">
        <v>25</v>
      </c>
      <c r="AJ78" s="9" t="n">
        <v>25</v>
      </c>
      <c r="AK78" s="9" t="n">
        <v>25</v>
      </c>
      <c r="AL78" s="9" t="n">
        <v>25</v>
      </c>
      <c r="AM78" s="9" t="n">
        <v>25</v>
      </c>
      <c r="AN78" s="9" t="n">
        <v>25</v>
      </c>
      <c r="AO78" s="9" t="n">
        <v>25</v>
      </c>
      <c r="AP78" s="9" t="n">
        <v>25</v>
      </c>
      <c r="AQ78" s="9" t="n">
        <v>25</v>
      </c>
      <c r="AR78" s="9" t="n">
        <v>25</v>
      </c>
      <c r="AS78" s="9" t="n">
        <v>25</v>
      </c>
      <c r="AT78" s="9" t="n">
        <v>25</v>
      </c>
      <c r="AU78" s="9" t="n">
        <v>25</v>
      </c>
      <c r="AV78" s="9" t="n">
        <v>25</v>
      </c>
      <c r="AW78" s="9" t="n">
        <v>25</v>
      </c>
      <c r="AX78" s="9" t="n">
        <v>25</v>
      </c>
      <c r="AY78" s="9" t="n">
        <v>25</v>
      </c>
      <c r="AZ78" s="9" t="n">
        <v>25</v>
      </c>
      <c r="BA78" s="9" t="n">
        <v>25</v>
      </c>
      <c r="BB78" s="9" t="n">
        <v>25</v>
      </c>
      <c r="BC78" s="9" t="n">
        <v>25</v>
      </c>
      <c r="BD78" s="9" t="n">
        <v>25</v>
      </c>
      <c r="BE78" s="9" t="n">
        <v>25</v>
      </c>
      <c r="BF78" s="9" t="n">
        <v>25</v>
      </c>
      <c r="BG78" s="9" t="n">
        <v>25</v>
      </c>
      <c r="BH78" s="9" t="n">
        <v>25</v>
      </c>
      <c r="BI78" s="9" t="n">
        <v>25</v>
      </c>
      <c r="BJ78" s="9" t="n">
        <v>25</v>
      </c>
      <c r="BK78" s="9" t="n">
        <v>25</v>
      </c>
      <c r="BL78" s="9" t="n">
        <v>25</v>
      </c>
      <c r="BM78" s="9" t="n">
        <v>25</v>
      </c>
      <c r="BN78" s="9" t="n">
        <v>25</v>
      </c>
      <c r="BO78" s="9" t="n">
        <v>25</v>
      </c>
      <c r="BP78" s="9" t="n">
        <v>25</v>
      </c>
      <c r="BQ78" s="9" t="n">
        <v>25</v>
      </c>
      <c r="BR78" s="9" t="n">
        <v>25</v>
      </c>
      <c r="BS78" s="9" t="n">
        <v>25</v>
      </c>
      <c r="BT78" s="9" t="n">
        <v>25</v>
      </c>
      <c r="BU78" s="9" t="n">
        <v>25</v>
      </c>
      <c r="BV78" s="9" t="n">
        <v>25</v>
      </c>
      <c r="BW78" s="9" t="n">
        <v>24</v>
      </c>
      <c r="BX78" s="9" t="n">
        <v>24</v>
      </c>
      <c r="BY78" s="9" t="n">
        <v>24</v>
      </c>
      <c r="BZ78" s="9" t="n">
        <v>24</v>
      </c>
      <c r="CA78" s="9" t="n">
        <v>24</v>
      </c>
      <c r="CB78" s="154">
        <f>BZ78+IF(NOT(ISBLANK(OFFSET(CB78,0,6))),N(OFFSET(CB78,0,6)),N(OFFSET(CB78,0,7)))-CA78</f>
        <v/>
      </c>
      <c r="CD78" s="19" t="n"/>
      <c r="CF78" s="19" t="n"/>
      <c r="CH78" s="18" t="n">
        <v>0</v>
      </c>
      <c r="CI78" s="18" t="n">
        <v>0</v>
      </c>
      <c r="CJ78" s="18" t="n"/>
      <c r="CK78" s="18" t="n"/>
      <c r="CL78" s="18" t="n"/>
      <c r="CM78" s="18" t="n"/>
      <c r="CN78" s="18" t="n"/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342" t="n"/>
      <c r="DM78" s="256" t="n"/>
      <c r="DN78" s="18" t="n"/>
      <c r="DO78" s="18" t="n"/>
      <c r="DP78" s="18" t="n"/>
      <c r="DQ78" s="18" t="n"/>
      <c r="DR78" s="18" t="n"/>
      <c r="DS78" s="18" t="n"/>
      <c r="DT78" s="18" t="n"/>
      <c r="DU78" s="18" t="n"/>
      <c r="DV78" s="18" t="n"/>
      <c r="DW78" s="18" t="n"/>
      <c r="DX78" s="18" t="n"/>
      <c r="DY78" s="18" t="n"/>
      <c r="DZ78" s="18" t="n"/>
      <c r="EA78" s="18" t="n"/>
      <c r="EB78" s="18" t="n"/>
      <c r="EC78" s="18" t="n"/>
      <c r="ED78" s="18" t="n"/>
      <c r="EE78" s="18" t="n"/>
      <c r="EF78" s="18" t="n"/>
      <c r="EG78" s="18" t="n"/>
      <c r="EH78" s="18" t="n"/>
      <c r="EI78" s="18" t="n"/>
      <c r="EJ78" s="18" t="n"/>
      <c r="EK78" s="18" t="n"/>
      <c r="EL78" s="18" t="n"/>
      <c r="EM78" s="18" t="n"/>
      <c r="EN78" s="18" t="n"/>
      <c r="EO78" s="18" t="n"/>
      <c r="EP78" s="18" t="n"/>
      <c r="EQ78" s="18" t="n"/>
      <c r="ER78" s="18" t="n"/>
      <c r="ES78" s="276" t="n"/>
      <c r="ET78" s="18" t="n"/>
      <c r="EU78" s="18" t="n"/>
      <c r="EV78" s="18" t="n"/>
      <c r="EW78" s="18" t="n"/>
      <c r="EX78" s="18" t="n"/>
      <c r="EY78" s="18" t="n"/>
      <c r="EZ78" s="18" t="n"/>
      <c r="FA78" s="260" t="n"/>
      <c r="FB78" s="18" t="n">
        <v>30</v>
      </c>
      <c r="FC78" s="18" t="n"/>
      <c r="FD78" s="18" t="n"/>
      <c r="FE78" s="18" t="n"/>
      <c r="FF78" s="276" t="n"/>
      <c r="FG78" s="18" t="n"/>
      <c r="FH78" s="18" t="n"/>
      <c r="FI78" s="18" t="n"/>
      <c r="FJ78" s="18" t="n"/>
      <c r="FK78" s="18" t="n"/>
      <c r="FL78" s="276" t="n"/>
      <c r="FM78" s="18" t="n"/>
      <c r="FN78" s="18" t="n"/>
      <c r="FO78" s="18" t="n"/>
      <c r="FP78" s="18" t="n"/>
      <c r="FQ78" s="18" t="n"/>
      <c r="FR78" s="18" t="n"/>
      <c r="FS78" s="18" t="n"/>
      <c r="FT78" s="239" t="inlineStr">
        <is>
          <t>30 DE VDP</t>
        </is>
      </c>
      <c r="FU78" s="18" t="n"/>
      <c r="FV78" s="18" t="n"/>
      <c r="FW78" s="18" t="n"/>
      <c r="FX78" s="18" t="n"/>
      <c r="FY78" s="18" t="n"/>
    </row>
    <row r="79" ht="18.75" customHeight="1">
      <c r="A79" s="43" t="inlineStr">
        <is>
          <t>KIT SACOLA M EUDORA (C/ 10)</t>
        </is>
      </c>
      <c r="B79" s="149" t="n">
        <v>150</v>
      </c>
      <c r="C79" s="726" t="n">
        <v>181.4</v>
      </c>
      <c r="D79" s="329" t="n">
        <v>10</v>
      </c>
      <c r="F79" s="9" t="n">
        <v>2</v>
      </c>
      <c r="G79" s="9">
        <f>2+30</f>
        <v/>
      </c>
      <c r="H79" s="9" t="n">
        <v>30</v>
      </c>
      <c r="I79" s="9" t="n">
        <v>30</v>
      </c>
      <c r="J79" s="9" t="n">
        <v>30</v>
      </c>
      <c r="K79" s="9" t="n">
        <v>30</v>
      </c>
      <c r="L79" s="9" t="n">
        <v>30</v>
      </c>
      <c r="M79" s="9" t="n">
        <v>30</v>
      </c>
      <c r="N79" s="9" t="n">
        <v>30</v>
      </c>
      <c r="O79" s="9" t="n">
        <v>30</v>
      </c>
      <c r="P79" s="9" t="n">
        <v>30</v>
      </c>
      <c r="Q79" s="9" t="n">
        <v>30</v>
      </c>
      <c r="R79" s="9" t="n">
        <v>30</v>
      </c>
      <c r="S79" s="9" t="n">
        <v>30</v>
      </c>
      <c r="T79" s="9" t="n">
        <v>15</v>
      </c>
      <c r="U79" s="9" t="n">
        <v>15</v>
      </c>
      <c r="V79" s="9">
        <f>15+FB78</f>
        <v/>
      </c>
      <c r="W79" s="9" t="n">
        <v>45</v>
      </c>
      <c r="X79" s="9" t="n">
        <v>45</v>
      </c>
      <c r="Y79" s="9" t="n">
        <v>60</v>
      </c>
      <c r="Z79" s="9" t="n">
        <v>60</v>
      </c>
      <c r="AA79" s="9" t="n">
        <v>60</v>
      </c>
      <c r="AB79" s="9" t="n">
        <v>60</v>
      </c>
      <c r="AC79" s="9" t="n">
        <v>60</v>
      </c>
      <c r="AD79" s="9" t="n">
        <v>60</v>
      </c>
      <c r="AE79" s="9" t="n">
        <v>60</v>
      </c>
      <c r="AF79" s="9" t="n">
        <v>60</v>
      </c>
      <c r="AG79" s="9" t="n">
        <v>60</v>
      </c>
      <c r="AH79" s="9" t="n">
        <v>62</v>
      </c>
      <c r="AI79" s="9" t="n">
        <v>60</v>
      </c>
      <c r="AJ79" s="9" t="n">
        <v>60</v>
      </c>
      <c r="AK79" s="9" t="n">
        <v>60</v>
      </c>
      <c r="AL79" s="9" t="n">
        <v>60</v>
      </c>
      <c r="AM79" s="9" t="n">
        <v>60</v>
      </c>
      <c r="AN79" s="9" t="n">
        <v>60</v>
      </c>
      <c r="AO79" s="9" t="n">
        <v>60</v>
      </c>
      <c r="AP79" s="9" t="n">
        <v>60</v>
      </c>
      <c r="AQ79" s="9" t="n">
        <v>60</v>
      </c>
      <c r="AR79" s="9" t="n">
        <v>60</v>
      </c>
      <c r="AS79" s="9" t="n">
        <v>60</v>
      </c>
      <c r="AT79" s="9" t="n">
        <v>60</v>
      </c>
      <c r="AU79" s="9" t="n">
        <v>60</v>
      </c>
      <c r="AV79" s="9" t="n">
        <v>40</v>
      </c>
      <c r="AW79" s="9" t="n">
        <v>40</v>
      </c>
      <c r="AX79" s="9" t="n">
        <v>40</v>
      </c>
      <c r="AY79" s="9" t="n">
        <v>40</v>
      </c>
      <c r="AZ79" s="9" t="n">
        <v>40</v>
      </c>
      <c r="BA79" s="9" t="n">
        <v>40</v>
      </c>
      <c r="BB79" s="9" t="n">
        <v>40</v>
      </c>
      <c r="BC79" s="9" t="n">
        <v>40</v>
      </c>
      <c r="BD79" s="9" t="n">
        <v>40</v>
      </c>
      <c r="BE79" s="9" t="n">
        <v>40</v>
      </c>
      <c r="BF79" s="9" t="n">
        <v>40</v>
      </c>
      <c r="BG79" s="9" t="n">
        <v>40</v>
      </c>
      <c r="BH79" s="9" t="n">
        <v>40</v>
      </c>
      <c r="BI79" s="9" t="n">
        <v>40</v>
      </c>
      <c r="BJ79" s="9" t="n">
        <v>40</v>
      </c>
      <c r="BK79" s="9" t="n">
        <v>40</v>
      </c>
      <c r="BL79" s="9" t="n">
        <v>40</v>
      </c>
      <c r="BM79" s="9" t="n">
        <v>40</v>
      </c>
      <c r="BN79" s="9" t="n">
        <v>40</v>
      </c>
      <c r="BO79" s="9" t="n">
        <v>40</v>
      </c>
      <c r="BP79" s="9" t="n">
        <v>40</v>
      </c>
      <c r="BQ79" s="9" t="n">
        <v>40</v>
      </c>
      <c r="BR79" s="9" t="n">
        <v>40</v>
      </c>
      <c r="BS79" s="9" t="n">
        <v>40</v>
      </c>
      <c r="BT79" s="9" t="n">
        <v>40</v>
      </c>
      <c r="BU79" s="9" t="n">
        <v>40</v>
      </c>
      <c r="BV79" s="9" t="n">
        <v>40</v>
      </c>
      <c r="BW79" s="9" t="n">
        <v>40</v>
      </c>
      <c r="BX79" s="9" t="n">
        <v>40</v>
      </c>
      <c r="BY79" s="9" t="n">
        <v>40</v>
      </c>
      <c r="BZ79" s="9" t="n">
        <v>40</v>
      </c>
      <c r="CA79" s="9" t="n">
        <v>40</v>
      </c>
      <c r="CB79" s="154">
        <f>BZ79+IF(NOT(ISBLANK(OFFSET(CB79,0,6))),N(OFFSET(CB79,0,6)),N(OFFSET(CB79,0,7)))-CA79</f>
        <v/>
      </c>
      <c r="CD79" s="19" t="n"/>
      <c r="CF79" s="27" t="n"/>
      <c r="CH79" s="18" t="n">
        <v>0</v>
      </c>
      <c r="CI79" s="18" t="n">
        <v>0</v>
      </c>
      <c r="CJ79" s="18" t="n"/>
      <c r="CK79" s="18" t="n"/>
      <c r="CL79" s="18" t="n"/>
      <c r="CM79" s="18" t="n"/>
      <c r="CN79" s="18" t="n"/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342" t="n"/>
      <c r="DM79" s="256" t="n"/>
      <c r="DN79" s="18" t="n"/>
      <c r="DO79" s="18" t="n"/>
      <c r="DP79" s="18" t="n"/>
      <c r="DQ79" s="18" t="n"/>
      <c r="DR79" s="18" t="n"/>
      <c r="DS79" s="18" t="n"/>
      <c r="DT79" s="18" t="n"/>
      <c r="DU79" s="18" t="n"/>
      <c r="DV79" s="18" t="n"/>
      <c r="DW79" s="18" t="n"/>
      <c r="DX79" s="18" t="n"/>
      <c r="DY79" s="18" t="n"/>
      <c r="DZ79" s="18" t="n"/>
      <c r="EA79" s="18" t="n"/>
      <c r="EB79" s="18" t="n"/>
      <c r="EC79" s="18" t="n"/>
      <c r="ED79" s="18" t="n"/>
      <c r="EE79" s="18" t="n"/>
      <c r="EF79" s="18" t="n"/>
      <c r="EG79" s="18" t="n"/>
      <c r="EH79" s="18" t="n"/>
      <c r="EI79" s="18" t="n"/>
      <c r="EJ79" s="18" t="n"/>
      <c r="EK79" s="18" t="n"/>
      <c r="EL79" s="18" t="n"/>
      <c r="EM79" s="18" t="n"/>
      <c r="EN79" s="18" t="n"/>
      <c r="EO79" s="18" t="n"/>
      <c r="EP79" s="18" t="n"/>
      <c r="EQ79" s="18" t="n"/>
      <c r="ER79" s="18" t="n"/>
      <c r="ES79" s="276" t="n"/>
      <c r="ET79" s="18" t="n"/>
      <c r="EU79" s="18" t="n"/>
      <c r="EV79" s="18" t="n"/>
      <c r="EW79" s="18" t="n"/>
      <c r="EX79" s="18" t="n"/>
      <c r="EY79" s="18" t="n"/>
      <c r="EZ79" s="18" t="n"/>
      <c r="FA79" s="18" t="n"/>
      <c r="FB79" s="18" t="n"/>
      <c r="FC79" s="18" t="n"/>
      <c r="FD79" s="18" t="n"/>
      <c r="FE79" s="18" t="n"/>
      <c r="FF79" s="276" t="n"/>
      <c r="FG79" s="18" t="n"/>
      <c r="FH79" s="18" t="n"/>
      <c r="FI79" s="18" t="n"/>
      <c r="FJ79" s="18" t="n"/>
      <c r="FK79" s="18" t="n"/>
      <c r="FL79" s="276" t="n"/>
      <c r="FM79" s="18" t="n"/>
      <c r="FN79" s="18" t="n"/>
      <c r="FO79" s="18" t="n"/>
      <c r="FP79" s="18" t="n"/>
      <c r="FQ79" s="18" t="n"/>
      <c r="FR79" s="18" t="n"/>
      <c r="FS79" s="18" t="n"/>
      <c r="FT79" s="18" t="n"/>
      <c r="FU79" s="18" t="n"/>
      <c r="FV79" s="18" t="n"/>
      <c r="FW79" s="18" t="n"/>
      <c r="FX79" s="18" t="n"/>
      <c r="FY79" s="18" t="n"/>
    </row>
    <row r="80" ht="18.75" customHeight="1">
      <c r="A80" s="43" t="inlineStr">
        <is>
          <t>KIT SACOLA G EUDORA (C/ 10)</t>
        </is>
      </c>
      <c r="B80" s="149" t="inlineStr">
        <is>
          <t>-</t>
        </is>
      </c>
      <c r="C80" s="726" t="inlineStr">
        <is>
          <t>-</t>
        </is>
      </c>
      <c r="D80" s="329" t="n">
        <v>0</v>
      </c>
      <c r="F80" s="9" t="n">
        <v>0</v>
      </c>
      <c r="G80" s="9" t="n">
        <v>0</v>
      </c>
      <c r="H80" s="9" t="n">
        <v>0</v>
      </c>
      <c r="I80" s="9" t="n">
        <v>0</v>
      </c>
      <c r="J80" s="9" t="n">
        <v>0</v>
      </c>
      <c r="K80" s="9" t="n">
        <v>0</v>
      </c>
      <c r="L80" s="9" t="n">
        <v>0</v>
      </c>
      <c r="M80" s="9" t="n">
        <v>0</v>
      </c>
      <c r="N80" s="9" t="n">
        <v>0</v>
      </c>
      <c r="O80" s="9" t="n">
        <v>0</v>
      </c>
      <c r="P80" s="9" t="n">
        <v>0</v>
      </c>
      <c r="Q80" s="9" t="n">
        <v>0</v>
      </c>
      <c r="R80" s="9" t="n">
        <v>0</v>
      </c>
      <c r="S80" s="9" t="n">
        <v>0</v>
      </c>
      <c r="T80" s="9" t="n">
        <v>0</v>
      </c>
      <c r="U80" s="9" t="n">
        <v>0</v>
      </c>
      <c r="V80" s="9" t="n">
        <v>0</v>
      </c>
      <c r="W80" s="9" t="n">
        <v>0</v>
      </c>
      <c r="X80" s="9" t="n">
        <v>0</v>
      </c>
      <c r="Y80" s="9" t="n">
        <v>0</v>
      </c>
      <c r="Z80" s="9" t="n">
        <v>0</v>
      </c>
      <c r="AA80" s="9" t="n">
        <v>0</v>
      </c>
      <c r="AB80" s="9" t="n">
        <v>0</v>
      </c>
      <c r="AC80" s="9" t="n">
        <v>0</v>
      </c>
      <c r="AD80" s="9" t="n">
        <v>0</v>
      </c>
      <c r="AE80" s="9" t="n">
        <v>0</v>
      </c>
      <c r="AF80" s="9" t="n">
        <v>0</v>
      </c>
      <c r="AG80" s="9" t="n">
        <v>0</v>
      </c>
      <c r="AH80" s="9" t="n">
        <v>0</v>
      </c>
      <c r="AI80" s="9" t="n">
        <v>0</v>
      </c>
      <c r="AJ80" s="9" t="n">
        <v>0</v>
      </c>
      <c r="AK80" s="9" t="n">
        <v>0</v>
      </c>
      <c r="AL80" s="9" t="n">
        <v>0</v>
      </c>
      <c r="AM80" s="9" t="n">
        <v>0</v>
      </c>
      <c r="AN80" s="9" t="n">
        <v>0</v>
      </c>
      <c r="AO80" s="9" t="n">
        <v>0</v>
      </c>
      <c r="AP80" s="9" t="n">
        <v>0</v>
      </c>
      <c r="AQ80" s="9" t="n">
        <v>0</v>
      </c>
      <c r="AR80" s="9" t="n">
        <v>0</v>
      </c>
      <c r="AS80" s="9" t="n">
        <v>0</v>
      </c>
      <c r="AT80" s="9" t="n">
        <v>0</v>
      </c>
      <c r="AU80" s="9" t="n">
        <v>0</v>
      </c>
      <c r="AV80" s="9" t="n">
        <v>0</v>
      </c>
      <c r="AW80" s="9" t="n">
        <v>0</v>
      </c>
      <c r="AX80" s="9" t="n">
        <v>0</v>
      </c>
      <c r="AY80" s="9" t="n">
        <v>0</v>
      </c>
      <c r="AZ80" s="9" t="n">
        <v>0</v>
      </c>
      <c r="BA80" s="9" t="n">
        <v>0</v>
      </c>
      <c r="BB80" s="9" t="n">
        <v>0</v>
      </c>
      <c r="BC80" s="9" t="n">
        <v>0</v>
      </c>
      <c r="BD80" s="9" t="n">
        <v>0</v>
      </c>
      <c r="BE80" s="9" t="n">
        <v>0</v>
      </c>
      <c r="BF80" s="9" t="n">
        <v>0</v>
      </c>
      <c r="BG80" s="9" t="n">
        <v>0</v>
      </c>
      <c r="BH80" s="9" t="n">
        <v>0</v>
      </c>
      <c r="BI80" s="9" t="n">
        <v>0</v>
      </c>
      <c r="BJ80" s="9" t="n">
        <v>0</v>
      </c>
      <c r="BK80" s="9" t="n">
        <v>0</v>
      </c>
      <c r="BL80" s="9" t="n">
        <v>0</v>
      </c>
      <c r="BM80" s="9" t="n">
        <v>0</v>
      </c>
      <c r="BN80" s="9" t="n">
        <v>0</v>
      </c>
      <c r="BO80" s="9" t="n">
        <v>0</v>
      </c>
      <c r="BP80" s="9" t="n">
        <v>0</v>
      </c>
      <c r="BQ80" s="9" t="n">
        <v>0</v>
      </c>
      <c r="BR80" s="9" t="n">
        <v>0</v>
      </c>
      <c r="BS80" s="9" t="n">
        <v>0</v>
      </c>
      <c r="BT80" s="9" t="n">
        <v>0</v>
      </c>
      <c r="BU80" s="9" t="n">
        <v>0</v>
      </c>
      <c r="BV80" s="9" t="n">
        <v>0</v>
      </c>
      <c r="BW80" s="9" t="n">
        <v>0</v>
      </c>
      <c r="BX80" s="9" t="n">
        <v>0</v>
      </c>
      <c r="BY80" s="9" t="n">
        <v>0</v>
      </c>
      <c r="BZ80" s="9" t="n">
        <v>0</v>
      </c>
      <c r="CA80" s="9" t="n">
        <v>0</v>
      </c>
      <c r="CB80" s="154">
        <f>BZ80+IF(NOT(ISBLANK(OFFSET(CB80,0,6))),N(OFFSET(CB80,0,6)),N(OFFSET(CB80,0,7)))-CA80</f>
        <v/>
      </c>
      <c r="CD80" s="19" t="n"/>
      <c r="CF80" s="27" t="n"/>
      <c r="CH80" s="18" t="n">
        <v>0</v>
      </c>
      <c r="CI80" s="18" t="n">
        <v>0</v>
      </c>
      <c r="CJ80" s="18" t="n"/>
      <c r="CK80" s="18" t="n"/>
      <c r="CL80" s="18" t="n"/>
      <c r="CM80" s="18" t="n"/>
      <c r="CN80" s="18" t="n"/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399" t="n"/>
      <c r="DM80" s="256" t="n"/>
      <c r="DN80" s="18" t="n"/>
      <c r="DO80" s="18" t="n"/>
      <c r="DP80" s="18" t="n"/>
      <c r="DQ80" s="18" t="n"/>
      <c r="DR80" s="18" t="n"/>
      <c r="DS80" s="18" t="n"/>
      <c r="DT80" s="18" t="n"/>
      <c r="DU80" s="18" t="n"/>
      <c r="DV80" s="18" t="n"/>
      <c r="DW80" s="18" t="n"/>
      <c r="DX80" s="18" t="n"/>
      <c r="DY80" s="18" t="n"/>
      <c r="DZ80" s="18" t="n"/>
      <c r="EA80" s="18" t="n"/>
      <c r="EB80" s="18" t="n"/>
      <c r="EC80" s="18" t="n"/>
      <c r="ED80" s="18" t="n"/>
      <c r="EE80" s="18" t="n"/>
      <c r="EF80" s="18" t="n"/>
      <c r="EG80" s="18" t="n"/>
      <c r="EH80" s="18" t="n"/>
      <c r="EI80" s="18" t="n"/>
      <c r="EJ80" s="18" t="n"/>
      <c r="EK80" s="18" t="n"/>
      <c r="EL80" s="18" t="n"/>
      <c r="EM80" s="18" t="n"/>
      <c r="EN80" s="18" t="n"/>
      <c r="EO80" s="18" t="n"/>
      <c r="EP80" s="18" t="n"/>
      <c r="EQ80" s="18" t="n"/>
      <c r="ER80" s="18" t="n"/>
      <c r="ES80" s="276" t="n"/>
      <c r="ET80" s="260" t="n"/>
      <c r="EU80" s="18" t="n"/>
      <c r="EV80" s="18" t="n"/>
      <c r="EW80" s="18" t="n"/>
      <c r="EX80" s="18" t="n"/>
      <c r="EY80" s="18" t="n"/>
      <c r="EZ80" s="18" t="n"/>
      <c r="FA80" s="18" t="n"/>
      <c r="FB80" s="18" t="n"/>
      <c r="FC80" s="18" t="n"/>
      <c r="FD80" s="18" t="n"/>
      <c r="FE80" s="18" t="n"/>
      <c r="FF80" s="276" t="n"/>
      <c r="FG80" s="18" t="n"/>
      <c r="FH80" s="18" t="n"/>
      <c r="FI80" s="18" t="n"/>
      <c r="FJ80" s="18" t="n"/>
      <c r="FK80" s="18" t="n"/>
      <c r="FL80" s="276" t="n"/>
      <c r="FM80" s="18" t="n"/>
      <c r="FN80" s="18" t="n"/>
      <c r="FO80" s="18" t="n"/>
      <c r="FP80" s="18" t="n"/>
      <c r="FQ80" s="18" t="n"/>
      <c r="FR80" s="18" t="n"/>
      <c r="FS80" s="18" t="n"/>
      <c r="FT80" s="18" t="n"/>
      <c r="FU80" s="18" t="n"/>
      <c r="FV80" s="18" t="n"/>
      <c r="FW80" s="18" t="n"/>
      <c r="FX80" s="18" t="n"/>
      <c r="FY80" s="18" t="n"/>
    </row>
    <row r="81" ht="18.75" customHeight="1">
      <c r="A81" s="43" t="inlineStr">
        <is>
          <t>CAIXA P EUDORA</t>
        </is>
      </c>
      <c r="B81" s="149" t="n">
        <v>150</v>
      </c>
      <c r="C81" s="726" t="n">
        <v>400.5</v>
      </c>
      <c r="D81" s="329" t="n">
        <v>10</v>
      </c>
      <c r="F81" s="9" t="n">
        <v>30</v>
      </c>
      <c r="G81" s="9" t="n">
        <v>30</v>
      </c>
      <c r="H81" s="9" t="n">
        <v>30</v>
      </c>
      <c r="I81" s="9" t="n">
        <v>30</v>
      </c>
      <c r="J81" s="9" t="n">
        <v>30</v>
      </c>
      <c r="K81" s="9" t="n">
        <v>30</v>
      </c>
      <c r="L81" s="9" t="n">
        <v>30</v>
      </c>
      <c r="M81" s="9" t="n">
        <v>30</v>
      </c>
      <c r="N81" s="9" t="n">
        <v>30</v>
      </c>
      <c r="O81" s="9" t="n">
        <v>30</v>
      </c>
      <c r="P81" s="9" t="n">
        <v>30</v>
      </c>
      <c r="Q81" s="9" t="n">
        <v>30</v>
      </c>
      <c r="R81" s="9" t="n">
        <v>30</v>
      </c>
      <c r="S81" s="9" t="n">
        <v>27</v>
      </c>
      <c r="T81" s="9" t="n">
        <v>27</v>
      </c>
      <c r="U81" s="9" t="n">
        <v>27</v>
      </c>
      <c r="V81" s="9" t="n">
        <v>27</v>
      </c>
      <c r="W81" s="9" t="n">
        <v>27</v>
      </c>
      <c r="X81" s="9" t="n">
        <v>27</v>
      </c>
      <c r="Y81" s="9" t="n">
        <v>27</v>
      </c>
      <c r="Z81" s="9" t="n">
        <v>27</v>
      </c>
      <c r="AA81" s="9" t="n">
        <v>27</v>
      </c>
      <c r="AB81" s="9" t="n">
        <v>27</v>
      </c>
      <c r="AC81" s="9" t="n">
        <v>27</v>
      </c>
      <c r="AD81" s="9" t="n">
        <v>27</v>
      </c>
      <c r="AE81" s="9" t="n">
        <v>27</v>
      </c>
      <c r="AF81" s="9" t="n">
        <v>27</v>
      </c>
      <c r="AG81" s="9" t="n">
        <v>27</v>
      </c>
      <c r="AH81" s="9" t="n">
        <v>27</v>
      </c>
      <c r="AI81" s="9" t="n">
        <v>27</v>
      </c>
      <c r="AJ81" s="9" t="n">
        <v>27</v>
      </c>
      <c r="AK81" s="9" t="n">
        <v>27</v>
      </c>
      <c r="AL81" s="9" t="n">
        <v>24</v>
      </c>
      <c r="AM81" s="9" t="n">
        <v>0</v>
      </c>
      <c r="AN81" s="9" t="n">
        <v>0</v>
      </c>
      <c r="AO81" s="9" t="n">
        <v>0</v>
      </c>
      <c r="AP81" s="9" t="n">
        <v>0</v>
      </c>
      <c r="AQ81" s="9" t="n">
        <v>0</v>
      </c>
      <c r="AR81" s="9" t="n">
        <v>0</v>
      </c>
      <c r="AS81" s="9" t="n">
        <v>0</v>
      </c>
      <c r="AT81" s="9" t="n">
        <v>0</v>
      </c>
      <c r="AU81" s="9" t="n">
        <v>0</v>
      </c>
      <c r="AV81" s="9" t="n">
        <v>0</v>
      </c>
      <c r="AW81" s="9" t="n">
        <v>0</v>
      </c>
      <c r="AX81" s="9" t="n">
        <v>0</v>
      </c>
      <c r="AY81" s="9" t="n">
        <v>0</v>
      </c>
      <c r="AZ81" s="9" t="n">
        <v>0</v>
      </c>
      <c r="BA81" s="9" t="n">
        <v>0</v>
      </c>
      <c r="BB81" s="9" t="n">
        <v>0</v>
      </c>
      <c r="BC81" s="9" t="n">
        <v>0</v>
      </c>
      <c r="BD81" s="9" t="n">
        <v>0</v>
      </c>
      <c r="BE81" s="9" t="n">
        <v>0</v>
      </c>
      <c r="BF81" s="9" t="n">
        <v>0</v>
      </c>
      <c r="BG81" s="9" t="n">
        <v>0</v>
      </c>
      <c r="BH81" s="9" t="n">
        <v>0</v>
      </c>
      <c r="BI81" s="9" t="n">
        <v>0</v>
      </c>
      <c r="BJ81" s="9" t="n">
        <v>0</v>
      </c>
      <c r="BK81" s="9" t="n">
        <v>0</v>
      </c>
      <c r="BL81" s="9" t="n">
        <v>0</v>
      </c>
      <c r="BM81" s="9" t="n">
        <v>0</v>
      </c>
      <c r="BN81" s="9" t="n">
        <v>0</v>
      </c>
      <c r="BO81" s="9" t="n">
        <v>0</v>
      </c>
      <c r="BP81" s="9" t="n">
        <v>0</v>
      </c>
      <c r="BQ81" s="9" t="n">
        <v>0</v>
      </c>
      <c r="BR81" s="9" t="n">
        <v>0</v>
      </c>
      <c r="BS81" s="9" t="n">
        <v>0</v>
      </c>
      <c r="BT81" s="9" t="n">
        <v>0</v>
      </c>
      <c r="BU81" s="9" t="n">
        <v>0</v>
      </c>
      <c r="BV81" s="9" t="n">
        <v>0</v>
      </c>
      <c r="BW81" s="9" t="n">
        <v>0</v>
      </c>
      <c r="BX81" s="9" t="n">
        <v>0</v>
      </c>
      <c r="BY81" s="9" t="n">
        <v>0</v>
      </c>
      <c r="BZ81" s="9" t="n">
        <v>0</v>
      </c>
      <c r="CA81" s="9" t="n">
        <v>0</v>
      </c>
      <c r="CB81" s="154">
        <f>BZ81+IF(NOT(ISBLANK(OFFSET(CB81,0,6))),N(OFFSET(CB81,0,6)),N(OFFSET(CB81,0,7)))-CA81</f>
        <v/>
      </c>
      <c r="CD81" s="19" t="n"/>
      <c r="CF81" s="19" t="n"/>
      <c r="CH81" s="18" t="n">
        <v>0</v>
      </c>
      <c r="CI81" s="18" t="n">
        <v>0</v>
      </c>
      <c r="CJ81" s="18" t="n"/>
      <c r="CK81" s="18" t="n"/>
      <c r="CL81" s="18" t="n"/>
      <c r="CM81" s="18" t="n"/>
      <c r="CN81" s="18" t="n"/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/>
      <c r="DK81" s="18" t="n"/>
      <c r="DL81" s="399" t="n"/>
      <c r="DM81" s="256" t="n"/>
      <c r="DN81" s="18" t="n"/>
      <c r="DO81" s="18" t="n"/>
      <c r="DP81" s="18" t="n"/>
      <c r="DQ81" s="18" t="n"/>
      <c r="DR81" s="18" t="n"/>
      <c r="DS81" s="18" t="n"/>
      <c r="DT81" s="18" t="n"/>
      <c r="DU81" s="18" t="n"/>
      <c r="DV81" s="18" t="n"/>
      <c r="DW81" s="18" t="n"/>
      <c r="DX81" s="18" t="n"/>
      <c r="DY81" s="18" t="n"/>
      <c r="DZ81" s="18" t="n"/>
      <c r="EA81" s="18" t="n"/>
      <c r="EB81" s="18" t="n"/>
      <c r="EC81" s="18" t="n"/>
      <c r="ED81" s="18" t="n"/>
      <c r="EE81" s="18" t="n"/>
      <c r="EF81" s="18" t="n"/>
      <c r="EG81" s="18" t="n"/>
      <c r="EH81" s="18" t="n"/>
      <c r="EI81" s="18" t="n"/>
      <c r="EJ81" s="18" t="n"/>
      <c r="EK81" s="18" t="n"/>
      <c r="EL81" s="18" t="n"/>
      <c r="EM81" s="18" t="n"/>
      <c r="EN81" s="18" t="n"/>
      <c r="EO81" s="18" t="n"/>
      <c r="EP81" s="18" t="n"/>
      <c r="EQ81" s="18" t="n"/>
      <c r="ER81" s="18" t="n"/>
      <c r="ES81" s="276" t="n"/>
      <c r="ET81" s="18" t="n"/>
      <c r="EU81" s="18" t="n"/>
      <c r="EV81" s="18" t="n"/>
      <c r="EW81" s="18" t="n"/>
      <c r="EX81" s="18" t="n"/>
      <c r="EY81" s="18" t="n"/>
      <c r="EZ81" s="18" t="n"/>
      <c r="FA81" s="18" t="n"/>
      <c r="FB81" s="18" t="n"/>
      <c r="FC81" s="18" t="n"/>
      <c r="FD81" s="18" t="n"/>
      <c r="FE81" s="18" t="n"/>
      <c r="FF81" s="276" t="n"/>
      <c r="FG81" s="18" t="n"/>
      <c r="FH81" s="18" t="n"/>
      <c r="FI81" s="18" t="n"/>
      <c r="FJ81" s="18" t="n"/>
      <c r="FK81" s="18" t="n"/>
      <c r="FL81" s="276" t="n"/>
      <c r="FM81" s="18" t="n"/>
      <c r="FN81" s="18" t="n"/>
      <c r="FO81" s="18" t="n"/>
      <c r="FP81" s="18" t="n"/>
      <c r="FQ81" s="18" t="n"/>
      <c r="FR81" s="18" t="n"/>
      <c r="FS81" s="18" t="n"/>
      <c r="FT81" s="18" t="n"/>
      <c r="FU81" s="18" t="n"/>
      <c r="FV81" s="18" t="n"/>
      <c r="FW81" s="18" t="n"/>
      <c r="FX81" s="18" t="n"/>
      <c r="FY81" s="18" t="n"/>
    </row>
    <row r="82" ht="18.75" customHeight="1">
      <c r="A82" s="43" t="inlineStr">
        <is>
          <t>CAIXA M EUDORA</t>
        </is>
      </c>
      <c r="B82" s="149" t="n">
        <v>100</v>
      </c>
      <c r="C82" s="726" t="n">
        <v>365</v>
      </c>
      <c r="D82" s="329" t="n">
        <v>15</v>
      </c>
      <c r="F82" s="9" t="n">
        <v>30</v>
      </c>
      <c r="G82" s="9" t="n">
        <v>30</v>
      </c>
      <c r="H82" s="9" t="n">
        <v>30</v>
      </c>
      <c r="I82" s="9" t="n">
        <v>30</v>
      </c>
      <c r="J82" s="9" t="n">
        <v>30</v>
      </c>
      <c r="K82" s="9" t="n">
        <v>30</v>
      </c>
      <c r="L82" s="9" t="n">
        <v>27</v>
      </c>
      <c r="M82" s="9" t="n">
        <v>27</v>
      </c>
      <c r="N82" s="9" t="n">
        <v>27</v>
      </c>
      <c r="O82" s="9" t="n">
        <v>27</v>
      </c>
      <c r="P82" s="9" t="n">
        <v>21</v>
      </c>
      <c r="Q82" s="9" t="n">
        <v>21</v>
      </c>
      <c r="R82" s="9" t="n">
        <v>21</v>
      </c>
      <c r="S82" s="9" t="n">
        <v>20</v>
      </c>
      <c r="T82" s="9" t="n">
        <v>20</v>
      </c>
      <c r="U82" s="9" t="n">
        <v>20</v>
      </c>
      <c r="V82" s="9" t="n">
        <v>20</v>
      </c>
      <c r="W82" s="9" t="n">
        <v>20</v>
      </c>
      <c r="X82" s="9" t="n">
        <v>20</v>
      </c>
      <c r="Y82" s="9" t="n">
        <v>20</v>
      </c>
      <c r="Z82" s="9" t="n">
        <v>20</v>
      </c>
      <c r="AA82" s="9" t="n">
        <v>20</v>
      </c>
      <c r="AB82" s="9" t="n">
        <v>20</v>
      </c>
      <c r="AC82" s="9" t="n">
        <v>20</v>
      </c>
      <c r="AD82" s="9" t="n">
        <v>20</v>
      </c>
      <c r="AE82" s="9" t="n">
        <v>20</v>
      </c>
      <c r="AF82" s="9" t="n">
        <v>20</v>
      </c>
      <c r="AG82" s="9" t="n">
        <v>20</v>
      </c>
      <c r="AH82" s="9" t="n">
        <v>20</v>
      </c>
      <c r="AI82" s="9" t="n">
        <v>20</v>
      </c>
      <c r="AJ82" s="9" t="n">
        <v>20</v>
      </c>
      <c r="AK82" s="9" t="n">
        <v>20</v>
      </c>
      <c r="AL82" s="9" t="n">
        <v>20</v>
      </c>
      <c r="AM82" s="9" t="n">
        <v>20</v>
      </c>
      <c r="AN82" s="9" t="n">
        <v>20</v>
      </c>
      <c r="AO82" s="9" t="n">
        <v>19</v>
      </c>
      <c r="AP82" s="9" t="n">
        <v>19</v>
      </c>
      <c r="AQ82" s="9" t="n">
        <v>18</v>
      </c>
      <c r="AR82" s="9" t="n">
        <v>18</v>
      </c>
      <c r="AS82" s="9" t="n">
        <v>18</v>
      </c>
      <c r="AT82" s="9" t="n">
        <v>18</v>
      </c>
      <c r="AU82" s="9" t="n">
        <v>18</v>
      </c>
      <c r="AV82" s="9" t="n">
        <v>18</v>
      </c>
      <c r="AW82" s="9" t="n">
        <v>18</v>
      </c>
      <c r="AX82" s="9" t="n">
        <v>18</v>
      </c>
      <c r="AY82" s="9" t="n">
        <v>18</v>
      </c>
      <c r="AZ82" s="9" t="n">
        <v>18</v>
      </c>
      <c r="BA82" s="9" t="n">
        <v>18</v>
      </c>
      <c r="BB82" s="9" t="n">
        <v>18</v>
      </c>
      <c r="BC82" s="9" t="n">
        <v>18</v>
      </c>
      <c r="BD82" s="9" t="n">
        <v>18</v>
      </c>
      <c r="BE82" s="9" t="n">
        <v>16</v>
      </c>
      <c r="BF82" s="9" t="n">
        <v>16</v>
      </c>
      <c r="BG82" s="9" t="n">
        <v>16</v>
      </c>
      <c r="BH82" s="9" t="n">
        <v>15</v>
      </c>
      <c r="BI82" s="9" t="n">
        <v>15</v>
      </c>
      <c r="BJ82" s="9" t="n">
        <v>15</v>
      </c>
      <c r="BK82" s="9" t="n">
        <v>14</v>
      </c>
      <c r="BL82" s="9" t="n">
        <v>11</v>
      </c>
      <c r="BM82" s="9" t="n">
        <v>11</v>
      </c>
      <c r="BN82" s="9" t="n">
        <v>10</v>
      </c>
      <c r="BO82" s="9" t="n">
        <v>10</v>
      </c>
      <c r="BP82" s="9" t="n">
        <v>20</v>
      </c>
      <c r="BQ82" s="9" t="n">
        <v>5</v>
      </c>
      <c r="BR82" s="9" t="n">
        <v>5</v>
      </c>
      <c r="BS82" s="9" t="n">
        <v>5</v>
      </c>
      <c r="BT82" s="9" t="n">
        <v>5</v>
      </c>
      <c r="BU82" s="9" t="n">
        <v>5</v>
      </c>
      <c r="BV82" s="9" t="n">
        <v>5</v>
      </c>
      <c r="BW82" s="9" t="n">
        <v>3</v>
      </c>
      <c r="BX82" s="9" t="n">
        <v>3</v>
      </c>
      <c r="BY82" s="9" t="n">
        <v>3</v>
      </c>
      <c r="BZ82" s="9" t="n">
        <v>3</v>
      </c>
      <c r="CA82" s="9" t="n">
        <v>3</v>
      </c>
      <c r="CB82" s="154">
        <f>BZ82+IF(NOT(ISBLANK(OFFSET(CB82,0,6))),N(OFFSET(CB82,0,6)),N(OFFSET(CB82,0,7)))-CA82</f>
        <v/>
      </c>
      <c r="CD82" s="19" t="n"/>
      <c r="CF82" s="19" t="n"/>
      <c r="CH82" s="18" t="n">
        <v>0</v>
      </c>
      <c r="CI82" s="18" t="n">
        <v>0</v>
      </c>
      <c r="CJ82" s="18" t="n"/>
      <c r="CK82" s="18" t="n"/>
      <c r="CL82" s="18" t="n"/>
      <c r="CM82" s="18" t="n"/>
      <c r="CN82" s="18" t="n"/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399" t="n"/>
      <c r="DM82" s="256" t="n"/>
      <c r="DN82" s="18" t="n"/>
      <c r="DO82" s="18" t="n"/>
      <c r="DP82" s="18" t="n"/>
      <c r="DQ82" s="18" t="n"/>
      <c r="DR82" s="18" t="n"/>
      <c r="DS82" s="18" t="n"/>
      <c r="DT82" s="18" t="n"/>
      <c r="DU82" s="18" t="n"/>
      <c r="DV82" s="18" t="n"/>
      <c r="DW82" s="18" t="n"/>
      <c r="DX82" s="18" t="n"/>
      <c r="DY82" s="18" t="n"/>
      <c r="DZ82" s="18" t="n"/>
      <c r="EA82" s="18" t="n"/>
      <c r="EB82" s="18" t="n"/>
      <c r="EC82" s="18" t="n"/>
      <c r="ED82" s="18" t="n"/>
      <c r="EE82" s="18" t="n"/>
      <c r="EF82" s="18" t="n"/>
      <c r="EG82" s="18" t="n"/>
      <c r="EH82" s="18" t="n"/>
      <c r="EI82" s="18" t="n"/>
      <c r="EJ82" s="18" t="n"/>
      <c r="EK82" s="18" t="n"/>
      <c r="EL82" s="18" t="n"/>
      <c r="EM82" s="18" t="n"/>
      <c r="EN82" s="18" t="n"/>
      <c r="EO82" s="18" t="n"/>
      <c r="EP82" s="18" t="n"/>
      <c r="EQ82" s="18" t="n"/>
      <c r="ER82" s="18" t="n"/>
      <c r="ES82" s="276" t="n"/>
      <c r="ET82" s="18" t="n"/>
      <c r="EU82" s="18" t="n"/>
      <c r="EV82" s="18" t="n"/>
      <c r="EW82" s="18" t="n"/>
      <c r="EX82" s="18" t="n"/>
      <c r="EY82" s="18" t="n"/>
      <c r="EZ82" s="18" t="n"/>
      <c r="FA82" s="18" t="n"/>
      <c r="FB82" s="18" t="n"/>
      <c r="FC82" s="18" t="n"/>
      <c r="FD82" s="18" t="n"/>
      <c r="FE82" s="18" t="n"/>
      <c r="FF82" s="276" t="n"/>
      <c r="FG82" s="18" t="n"/>
      <c r="FH82" s="18" t="n"/>
      <c r="FI82" s="18" t="n"/>
      <c r="FJ82" s="18" t="n"/>
      <c r="FK82" s="18" t="n"/>
      <c r="FL82" s="276" t="n"/>
      <c r="FM82" s="18" t="n"/>
      <c r="FN82" s="18" t="n"/>
      <c r="FO82" s="18" t="n"/>
      <c r="FP82" s="18" t="n"/>
      <c r="FQ82" s="18" t="n"/>
      <c r="FR82" s="18" t="n"/>
      <c r="FS82" s="18" t="n"/>
      <c r="FT82" s="18" t="n"/>
      <c r="FU82" s="18" t="n"/>
      <c r="FV82" s="18" t="n"/>
      <c r="FW82" s="18" t="n"/>
      <c r="FX82" s="18" t="n"/>
      <c r="FY82" s="18" t="n"/>
    </row>
    <row r="83" ht="18.75" customHeight="1">
      <c r="A83" s="43" t="inlineStr">
        <is>
          <t>CAIXA G EUDORA</t>
        </is>
      </c>
      <c r="B83" s="149" t="n">
        <v>75</v>
      </c>
      <c r="C83" s="726" t="n">
        <v>438.75</v>
      </c>
      <c r="D83" s="329" t="n">
        <v>5</v>
      </c>
      <c r="F83" s="9" t="n">
        <v>15</v>
      </c>
      <c r="G83" s="9" t="n">
        <v>15</v>
      </c>
      <c r="H83" s="9" t="n">
        <v>15</v>
      </c>
      <c r="I83" s="9" t="n">
        <v>15</v>
      </c>
      <c r="J83" s="9" t="n">
        <v>15</v>
      </c>
      <c r="K83" s="9" t="n">
        <v>15</v>
      </c>
      <c r="L83" s="9" t="n">
        <v>15</v>
      </c>
      <c r="M83" s="9" t="n">
        <v>15</v>
      </c>
      <c r="N83" s="9" t="n">
        <v>15</v>
      </c>
      <c r="O83" s="9" t="n">
        <v>15</v>
      </c>
      <c r="P83" s="9" t="n">
        <v>15</v>
      </c>
      <c r="Q83" s="9" t="n">
        <v>15</v>
      </c>
      <c r="R83" s="9" t="n">
        <v>15</v>
      </c>
      <c r="S83" s="9" t="n">
        <v>15</v>
      </c>
      <c r="T83" s="9" t="n">
        <v>15</v>
      </c>
      <c r="U83" s="9" t="n">
        <v>15</v>
      </c>
      <c r="V83" s="9" t="n">
        <v>15</v>
      </c>
      <c r="W83" s="9" t="n">
        <v>15</v>
      </c>
      <c r="X83" s="9" t="n">
        <v>15</v>
      </c>
      <c r="Y83" s="9" t="n">
        <v>15</v>
      </c>
      <c r="Z83" s="9" t="n">
        <v>15</v>
      </c>
      <c r="AA83" s="9" t="n">
        <v>15</v>
      </c>
      <c r="AB83" s="9" t="n">
        <v>15</v>
      </c>
      <c r="AC83" s="9" t="n">
        <v>15</v>
      </c>
      <c r="AD83" s="9" t="n">
        <v>15</v>
      </c>
      <c r="AE83" s="9" t="n">
        <v>15</v>
      </c>
      <c r="AF83" s="9" t="n">
        <v>15</v>
      </c>
      <c r="AG83" s="9" t="n">
        <v>15</v>
      </c>
      <c r="AH83" s="9" t="n">
        <v>15</v>
      </c>
      <c r="AI83" s="9" t="n">
        <v>15</v>
      </c>
      <c r="AJ83" s="9" t="n">
        <v>15</v>
      </c>
      <c r="AK83" s="9" t="n">
        <v>15</v>
      </c>
      <c r="AL83" s="9" t="n">
        <v>15</v>
      </c>
      <c r="AM83" s="9" t="n">
        <v>15</v>
      </c>
      <c r="AN83" s="9" t="n">
        <v>15</v>
      </c>
      <c r="AO83" s="9" t="n">
        <v>15</v>
      </c>
      <c r="AP83" s="9" t="n">
        <v>15</v>
      </c>
      <c r="AQ83" s="9" t="n">
        <v>15</v>
      </c>
      <c r="AR83" s="9" t="n">
        <v>15</v>
      </c>
      <c r="AS83" s="9" t="n">
        <v>15</v>
      </c>
      <c r="AT83" s="9" t="n">
        <v>15</v>
      </c>
      <c r="AU83" s="9" t="n">
        <v>15</v>
      </c>
      <c r="AV83" s="9" t="n">
        <v>10</v>
      </c>
      <c r="AW83" s="9" t="n">
        <v>10</v>
      </c>
      <c r="AX83" s="9" t="n">
        <v>10</v>
      </c>
      <c r="AY83" s="9" t="n">
        <v>10</v>
      </c>
      <c r="AZ83" s="9" t="n">
        <v>10</v>
      </c>
      <c r="BA83" s="9" t="n">
        <v>10</v>
      </c>
      <c r="BB83" s="9" t="n">
        <v>10</v>
      </c>
      <c r="BC83" s="9" t="n">
        <v>10</v>
      </c>
      <c r="BD83" s="9" t="n">
        <v>10</v>
      </c>
      <c r="BE83" s="9" t="n">
        <v>10</v>
      </c>
      <c r="BF83" s="9" t="n">
        <v>10</v>
      </c>
      <c r="BG83" s="9" t="n">
        <v>10</v>
      </c>
      <c r="BH83" s="9" t="n">
        <v>10</v>
      </c>
      <c r="BI83" s="9" t="n">
        <v>10</v>
      </c>
      <c r="BJ83" s="9" t="n">
        <v>10</v>
      </c>
      <c r="BK83" s="9" t="n">
        <v>10</v>
      </c>
      <c r="BL83" s="9" t="n">
        <v>10</v>
      </c>
      <c r="BM83" s="9" t="n">
        <v>10</v>
      </c>
      <c r="BN83" s="9" t="n">
        <v>10</v>
      </c>
      <c r="BO83" s="9" t="n">
        <v>10</v>
      </c>
      <c r="BP83" s="9" t="n">
        <v>10</v>
      </c>
      <c r="BQ83" s="9" t="n">
        <v>10</v>
      </c>
      <c r="BR83" s="9" t="n">
        <v>10</v>
      </c>
      <c r="BS83" s="9" t="n">
        <v>9</v>
      </c>
      <c r="BT83" s="9" t="n">
        <v>9</v>
      </c>
      <c r="BU83" s="9" t="n">
        <v>9</v>
      </c>
      <c r="BV83" s="9" t="n">
        <v>9</v>
      </c>
      <c r="BW83" s="9" t="n">
        <v>9</v>
      </c>
      <c r="BX83" s="9" t="n">
        <v>9</v>
      </c>
      <c r="BY83" s="9" t="n">
        <v>9</v>
      </c>
      <c r="BZ83" s="9" t="n">
        <v>9</v>
      </c>
      <c r="CA83" s="9" t="n">
        <v>9</v>
      </c>
      <c r="CB83" s="154">
        <f>BZ83+IF(NOT(ISBLANK(OFFSET(CB83,0,6))),N(OFFSET(CB83,0,6)),N(OFFSET(CB83,0,7)))-CA83</f>
        <v/>
      </c>
      <c r="CD83" s="19" t="n"/>
      <c r="CF83" s="19" t="n"/>
      <c r="CH83" s="18" t="n">
        <v>0</v>
      </c>
      <c r="CI83" s="18" t="n">
        <v>0</v>
      </c>
      <c r="CJ83" s="18" t="n"/>
      <c r="CK83" s="18" t="n"/>
      <c r="CL83" s="18" t="n"/>
      <c r="CM83" s="18" t="n"/>
      <c r="CN83" s="18" t="n"/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399" t="n"/>
      <c r="DM83" s="256" t="n"/>
      <c r="DN83" s="18" t="n"/>
    </row>
    <row r="84">
      <c r="A84" s="31" t="n"/>
      <c r="B84" s="53" t="n"/>
      <c r="C84" s="53" t="n"/>
      <c r="E84" s="53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  <c r="AA84" s="4" t="n"/>
      <c r="AB84" s="4" t="n"/>
      <c r="AC84" s="4" t="n"/>
      <c r="AD84" s="4" t="n"/>
      <c r="AE84" s="4" t="n"/>
      <c r="AF84" s="4" t="n"/>
      <c r="AG84" s="4" t="n"/>
      <c r="AH84" s="4" t="n"/>
      <c r="AI84" s="4" t="n"/>
      <c r="AJ84" s="4" t="n"/>
      <c r="AK84" s="4" t="n"/>
      <c r="AL84" s="4" t="n"/>
      <c r="AM84" s="4" t="n"/>
      <c r="AN84" s="4" t="n"/>
      <c r="AO84" s="4" t="n"/>
      <c r="AP84" s="4" t="n"/>
      <c r="AQ84" s="4" t="n"/>
      <c r="AR84" s="4" t="n"/>
      <c r="AS84" s="4" t="n"/>
      <c r="AT84" s="4" t="n"/>
      <c r="AU84" s="4" t="n"/>
      <c r="AV84" s="4" t="n"/>
      <c r="AW84" s="4" t="n"/>
      <c r="AX84" s="4" t="n"/>
      <c r="AY84" s="4" t="n"/>
      <c r="AZ84" s="4" t="n"/>
      <c r="BA84" s="4" t="n"/>
      <c r="BB84" s="4" t="n"/>
      <c r="BC84" s="4" t="n"/>
      <c r="BD84" s="4" t="n"/>
      <c r="BE84" s="4" t="n"/>
      <c r="BF84" s="4" t="n"/>
      <c r="BG84" s="4" t="n"/>
      <c r="BH84" s="4" t="n"/>
      <c r="BI84" s="4" t="n"/>
      <c r="BJ84" s="4" t="n"/>
      <c r="BK84" s="4" t="n"/>
      <c r="BL84" s="4" t="n"/>
      <c r="BM84" s="4" t="n"/>
      <c r="BN84" s="4" t="n"/>
      <c r="BO84" s="4" t="n"/>
      <c r="BP84" s="4" t="n"/>
      <c r="BQ84" s="4" t="n"/>
      <c r="BR84" s="4" t="n"/>
      <c r="BS84" s="4" t="n"/>
      <c r="BT84" s="4" t="n"/>
      <c r="BU84" s="4" t="n"/>
      <c r="BV84" s="4" t="n"/>
      <c r="BW84" s="4" t="n"/>
      <c r="BX84" s="4" t="n"/>
      <c r="BY84" s="4" t="n"/>
      <c r="BZ84" s="4" t="n"/>
      <c r="CA84" s="4" t="n"/>
      <c r="CB84" s="53" t="n"/>
      <c r="CD84" s="69" t="n"/>
      <c r="DM84" s="271" t="n"/>
      <c r="FP84" s="314" t="n"/>
      <c r="FQ84" s="314" t="n"/>
      <c r="FT84" s="314" t="n"/>
    </row>
    <row r="85">
      <c r="A85" s="374" t="inlineStr">
        <is>
          <t>HARRY POTTER/25</t>
        </is>
      </c>
      <c r="B85" s="375" t="inlineStr">
        <is>
          <t>PC</t>
        </is>
      </c>
      <c r="C85" s="375" t="inlineStr">
        <is>
          <t>R$</t>
        </is>
      </c>
      <c r="D85" s="375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  <c r="AA85" s="4" t="n"/>
      <c r="AB85" s="4" t="n"/>
      <c r="AC85" s="4" t="n"/>
      <c r="AD85" s="4" t="n"/>
      <c r="AE85" s="4" t="n"/>
      <c r="AF85" s="4" t="n"/>
      <c r="AG85" s="4" t="n"/>
      <c r="AH85" s="4" t="n"/>
      <c r="AI85" s="4" t="n"/>
      <c r="AJ85" s="4" t="n"/>
      <c r="AK85" s="650" t="n">
        <v>45873</v>
      </c>
      <c r="AL85" s="650" t="n">
        <v>45880</v>
      </c>
      <c r="AM85" s="650" t="n">
        <v>45887</v>
      </c>
      <c r="AN85" s="650" t="n">
        <v>45894</v>
      </c>
      <c r="AO85" s="650" t="n">
        <v>45901</v>
      </c>
      <c r="AP85" s="650" t="n">
        <v>45908</v>
      </c>
      <c r="AQ85" s="650" t="n">
        <v>45915</v>
      </c>
      <c r="AR85" s="650" t="n">
        <v>45922</v>
      </c>
      <c r="AS85" s="650" t="n">
        <v>45929</v>
      </c>
      <c r="AT85" s="650" t="n">
        <v>45936</v>
      </c>
      <c r="AU85" s="650" t="n">
        <v>45943</v>
      </c>
      <c r="AV85" s="650" t="n">
        <v>45950</v>
      </c>
      <c r="AW85" s="650" t="n">
        <v>45957</v>
      </c>
      <c r="AX85" s="650" t="n">
        <v>45964</v>
      </c>
      <c r="AY85" s="650" t="n">
        <v>45971</v>
      </c>
      <c r="AZ85" s="650" t="n">
        <v>45978</v>
      </c>
      <c r="BA85" s="650" t="n">
        <v>45985</v>
      </c>
      <c r="BB85" s="650" t="n">
        <v>45992</v>
      </c>
      <c r="BC85" s="650" t="n">
        <v>45999</v>
      </c>
      <c r="BD85" s="650" t="n">
        <v>46006</v>
      </c>
      <c r="BE85" s="650" t="n">
        <v>46013</v>
      </c>
      <c r="BF85" s="650" t="n">
        <v>46020</v>
      </c>
      <c r="BG85" s="650" t="n">
        <v>46027</v>
      </c>
      <c r="BH85" s="650" t="n">
        <v>46034</v>
      </c>
      <c r="BI85" s="650" t="n">
        <v>46041</v>
      </c>
      <c r="BJ85" s="650" t="n">
        <v>46048</v>
      </c>
      <c r="BK85" s="650" t="n">
        <v>46055</v>
      </c>
      <c r="BL85" s="650" t="n">
        <v>46062</v>
      </c>
      <c r="BM85" s="650" t="n">
        <v>46069</v>
      </c>
      <c r="BN85" s="650" t="n">
        <v>46076</v>
      </c>
      <c r="BO85" s="650" t="n">
        <v>46083</v>
      </c>
      <c r="BP85" s="650" t="n">
        <v>46090</v>
      </c>
      <c r="BQ85" s="650" t="n">
        <v>46097</v>
      </c>
      <c r="BR85" s="650" t="n">
        <v>46104</v>
      </c>
      <c r="BS85" s="650" t="n">
        <v>46111</v>
      </c>
      <c r="BT85" s="650" t="n">
        <v>46118</v>
      </c>
      <c r="BU85" s="650" t="n">
        <v>46125</v>
      </c>
      <c r="BV85" s="650" t="n">
        <v>46132</v>
      </c>
      <c r="BW85" s="650" t="n">
        <v>46139</v>
      </c>
      <c r="BX85" s="650" t="n">
        <v>46146</v>
      </c>
      <c r="BY85" s="650" t="n">
        <v>46154</v>
      </c>
      <c r="BZ85" s="650" t="n">
        <v>46160</v>
      </c>
      <c r="CA85" s="650" t="n">
        <v>46160</v>
      </c>
      <c r="CB85" s="660" t="inlineStr">
        <is>
          <t>USOU</t>
        </is>
      </c>
      <c r="DM85" s="271" t="n"/>
      <c r="FP85" s="314" t="n"/>
      <c r="FQ85" s="314" t="n"/>
      <c r="FT85" s="314" t="n"/>
    </row>
    <row r="86">
      <c r="A86" s="33" t="inlineStr">
        <is>
          <t>SACOLA G HP/25</t>
        </is>
      </c>
      <c r="B86" s="9" t="n">
        <v>100</v>
      </c>
      <c r="C86" s="662" t="n">
        <v>316</v>
      </c>
      <c r="D86" s="32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  <c r="AA86" s="4" t="n"/>
      <c r="AB86" s="4" t="n"/>
      <c r="AC86" s="4" t="n"/>
      <c r="AD86" s="4" t="n"/>
      <c r="AE86" s="4" t="n"/>
      <c r="AF86" s="4" t="n"/>
      <c r="AG86" s="4" t="n"/>
      <c r="AH86" s="4" t="n"/>
      <c r="AI86" s="4" t="n"/>
      <c r="AJ86" s="4" t="n"/>
      <c r="AK86" s="38" t="n">
        <v>0</v>
      </c>
      <c r="AL86" s="38" t="n">
        <v>0</v>
      </c>
      <c r="AM86" s="38" t="n">
        <v>0</v>
      </c>
      <c r="AN86" s="38">
        <f>0+40</f>
        <v/>
      </c>
      <c r="AO86" s="38" t="n">
        <v>40</v>
      </c>
      <c r="AP86" s="38" t="n">
        <v>36</v>
      </c>
      <c r="AQ86" s="38" t="n">
        <v>24</v>
      </c>
      <c r="AR86" s="38" t="n"/>
      <c r="AS86" s="38" t="n"/>
      <c r="AT86" s="38" t="n"/>
      <c r="AU86" s="38" t="n"/>
      <c r="AV86" s="38" t="n"/>
      <c r="AW86" s="38" t="n"/>
      <c r="AX86" s="38" t="n"/>
      <c r="AY86" s="38" t="n"/>
      <c r="AZ86" s="38" t="n"/>
      <c r="BA86" s="38" t="n">
        <v>20</v>
      </c>
      <c r="BB86" s="38" t="n">
        <v>20</v>
      </c>
      <c r="BC86" s="38" t="n">
        <v>16</v>
      </c>
      <c r="BD86" s="38" t="n">
        <v>16</v>
      </c>
      <c r="BE86" s="38" t="n">
        <v>16</v>
      </c>
      <c r="BF86" s="38" t="n">
        <v>16</v>
      </c>
      <c r="BG86" s="38" t="n">
        <v>16</v>
      </c>
      <c r="BH86" s="38" t="n">
        <v>16</v>
      </c>
      <c r="BI86" s="38" t="n">
        <v>16</v>
      </c>
      <c r="BJ86" s="38" t="n">
        <v>16</v>
      </c>
      <c r="BK86" s="38" t="n">
        <v>16</v>
      </c>
      <c r="BL86" s="38" t="n">
        <v>16</v>
      </c>
      <c r="BM86" s="38" t="n">
        <v>16</v>
      </c>
      <c r="BN86" s="38" t="n">
        <v>16</v>
      </c>
      <c r="BO86" s="38" t="n">
        <v>16</v>
      </c>
      <c r="BP86" s="38" t="n">
        <v>16</v>
      </c>
      <c r="BQ86" s="38" t="n">
        <v>16</v>
      </c>
      <c r="BR86" s="38" t="n">
        <v>16</v>
      </c>
      <c r="BS86" s="38" t="n">
        <v>16</v>
      </c>
      <c r="BT86" s="38" t="n"/>
      <c r="BU86" s="38" t="n"/>
      <c r="BV86" s="38" t="n"/>
      <c r="BW86" s="38" t="n">
        <v>0</v>
      </c>
      <c r="BX86" s="38" t="n">
        <v>0</v>
      </c>
      <c r="BY86" s="38" t="n">
        <v>0</v>
      </c>
      <c r="BZ86" s="38" t="n">
        <v>0</v>
      </c>
      <c r="CA86" s="38" t="n"/>
      <c r="CB86" s="246">
        <f>BZ86+IF(NOT(ISBLANK(OFFSET(CB86,0,6))),N(OFFSET(CB86,0,6)),N(OFFSET(CB86,0,7)))-CA86</f>
        <v/>
      </c>
      <c r="DM86" s="271" t="n"/>
      <c r="FP86" s="314" t="n"/>
      <c r="FQ86" s="314" t="n"/>
      <c r="FT86" s="314" t="n"/>
    </row>
    <row r="87" hidden="1">
      <c r="A87" s="33" t="inlineStr">
        <is>
          <t>TAG HP/25</t>
        </is>
      </c>
      <c r="B87" s="9" t="n">
        <v>100</v>
      </c>
      <c r="C87" s="662" t="n">
        <v>41</v>
      </c>
      <c r="D87" s="32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  <c r="AA87" s="4" t="n"/>
      <c r="AB87" s="4" t="n"/>
      <c r="AC87" s="4" t="n"/>
      <c r="AD87" s="4" t="n"/>
      <c r="AE87" s="4" t="n"/>
      <c r="AF87" s="4" t="n"/>
      <c r="AG87" s="4" t="n"/>
      <c r="AH87" s="4" t="n"/>
      <c r="AI87" s="4" t="n"/>
      <c r="AJ87" s="4" t="n"/>
      <c r="AK87" s="38" t="n">
        <v>0</v>
      </c>
      <c r="AL87" s="38" t="n">
        <v>0</v>
      </c>
      <c r="AM87" s="38" t="n">
        <v>0</v>
      </c>
      <c r="AN87" s="38">
        <f>0+40</f>
        <v/>
      </c>
      <c r="AO87" s="38" t="n">
        <v>40</v>
      </c>
      <c r="AP87" s="38" t="n">
        <v>36</v>
      </c>
      <c r="AQ87" s="38" t="n">
        <v>26</v>
      </c>
      <c r="AR87" s="38" t="n"/>
      <c r="AS87" s="38" t="n"/>
      <c r="AT87" s="38" t="n"/>
      <c r="AU87" s="38" t="n"/>
      <c r="AV87" s="38" t="n"/>
      <c r="AW87" s="38" t="n"/>
      <c r="AX87" s="38" t="n"/>
      <c r="AY87" s="38" t="n"/>
      <c r="AZ87" s="38" t="n"/>
      <c r="BA87" s="38" t="n">
        <v>0</v>
      </c>
      <c r="BB87" s="38" t="n">
        <v>0</v>
      </c>
      <c r="BC87" s="38" t="n">
        <v>0</v>
      </c>
      <c r="BD87" s="38" t="n">
        <v>0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38" t="n"/>
      <c r="BM87" s="38" t="n">
        <v>20</v>
      </c>
      <c r="BN87" s="38" t="n"/>
      <c r="BO87" s="38" t="n"/>
      <c r="BP87" s="38" t="n"/>
      <c r="BQ87" s="38" t="n"/>
      <c r="BR87" s="38" t="n"/>
      <c r="BS87" s="38" t="n"/>
      <c r="BT87" s="38" t="n"/>
      <c r="BU87" s="38" t="n"/>
      <c r="BV87" s="38" t="n"/>
      <c r="BW87" s="38" t="n"/>
      <c r="BX87" s="38" t="n"/>
      <c r="BY87" s="38" t="n"/>
      <c r="BZ87" s="38" t="n"/>
      <c r="CA87" s="38" t="n"/>
      <c r="CB87" s="246">
        <f>BZ87+IF(NOT(ISBLANK(OFFSET(CB87,0,6))),N(OFFSET(CB87,0,6)),N(OFFSET(CB87,0,7)))-CA87</f>
        <v/>
      </c>
      <c r="DM87" s="271" t="n"/>
      <c r="FP87" s="314" t="n"/>
      <c r="FQ87" s="314" t="n"/>
      <c r="FT87" s="314" t="n"/>
    </row>
    <row r="88" ht="18.75" customHeight="1">
      <c r="A88" s="33" t="inlineStr">
        <is>
          <t>CARTUCHO P HP/25</t>
        </is>
      </c>
      <c r="B88" s="9" t="n">
        <v>150</v>
      </c>
      <c r="C88" s="662" t="n">
        <v>478.5</v>
      </c>
      <c r="D88" s="32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  <c r="AA88" s="4" t="n"/>
      <c r="AB88" s="4" t="n"/>
      <c r="AC88" s="4" t="n"/>
      <c r="AD88" s="4" t="n"/>
      <c r="AE88" s="4" t="n"/>
      <c r="AF88" s="4" t="n"/>
      <c r="AG88" s="4" t="n"/>
      <c r="AH88" s="4" t="n"/>
      <c r="AI88" s="4" t="n"/>
      <c r="AJ88" s="4" t="n"/>
      <c r="AK88" s="38" t="n">
        <v>0</v>
      </c>
      <c r="AL88" s="38" t="n">
        <v>0</v>
      </c>
      <c r="AM88" s="38" t="n">
        <v>0</v>
      </c>
      <c r="AN88" s="38">
        <f>0+25</f>
        <v/>
      </c>
      <c r="AO88" s="38" t="n">
        <v>25</v>
      </c>
      <c r="AP88" s="38" t="n">
        <v>24</v>
      </c>
      <c r="AQ88" s="38" t="n">
        <v>21</v>
      </c>
      <c r="AR88" s="38" t="n"/>
      <c r="AS88" s="38" t="n"/>
      <c r="AT88" s="38" t="n"/>
      <c r="AU88" s="38" t="n"/>
      <c r="AV88" s="38" t="n"/>
      <c r="AW88" s="38" t="n"/>
      <c r="AX88" s="38" t="n"/>
      <c r="AY88" s="38" t="n"/>
      <c r="AZ88" s="38" t="n"/>
      <c r="BA88" s="38" t="n">
        <v>20</v>
      </c>
      <c r="BB88" s="38" t="n">
        <v>20</v>
      </c>
      <c r="BC88" s="38" t="n">
        <v>20</v>
      </c>
      <c r="BD88" s="38" t="n">
        <v>20</v>
      </c>
      <c r="BE88" s="38" t="n">
        <v>20</v>
      </c>
      <c r="BF88" s="38" t="n">
        <v>20</v>
      </c>
      <c r="BG88" s="38" t="n">
        <v>20</v>
      </c>
      <c r="BH88" s="38" t="n">
        <v>20</v>
      </c>
      <c r="BI88" s="38" t="n">
        <v>20</v>
      </c>
      <c r="BJ88" s="38" t="n">
        <v>20</v>
      </c>
      <c r="BK88" s="38" t="n">
        <v>20</v>
      </c>
      <c r="BL88" s="38" t="n">
        <v>20</v>
      </c>
      <c r="BM88" s="38" t="n">
        <v>20</v>
      </c>
      <c r="BN88" s="38" t="n">
        <v>20</v>
      </c>
      <c r="BO88" s="38" t="n">
        <v>20</v>
      </c>
      <c r="BP88" s="38" t="n">
        <v>20</v>
      </c>
      <c r="BQ88" s="38" t="n">
        <v>20</v>
      </c>
      <c r="BR88" s="38" t="n">
        <v>20</v>
      </c>
      <c r="BS88" s="38" t="n">
        <v>20</v>
      </c>
      <c r="BT88" s="38" t="n"/>
      <c r="BU88" s="38" t="n"/>
      <c r="BV88" s="38" t="n"/>
      <c r="BW88" s="38" t="n">
        <v>10</v>
      </c>
      <c r="BX88" s="38" t="n">
        <v>10</v>
      </c>
      <c r="BY88" s="38" t="n">
        <v>10</v>
      </c>
      <c r="BZ88" s="38" t="n">
        <v>10</v>
      </c>
      <c r="CA88" s="38" t="n">
        <v>10</v>
      </c>
      <c r="CB88" s="246">
        <f>BZ88+IF(NOT(ISBLANK(OFFSET(CB88,0,6))),N(OFFSET(CB88,0,6)),N(OFFSET(CB88,0,7)))-CA88</f>
        <v/>
      </c>
      <c r="DM88" s="271" t="n"/>
    </row>
    <row r="89" ht="18.75" customHeight="1">
      <c r="A89" s="31" t="n"/>
      <c r="B89" s="53" t="n"/>
      <c r="C89" s="53" t="n"/>
      <c r="E89" s="53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  <c r="AA89" s="4" t="n"/>
      <c r="AB89" s="4" t="n"/>
      <c r="AC89" s="4" t="n"/>
      <c r="AD89" s="4" t="n"/>
      <c r="AE89" s="4" t="n"/>
      <c r="AF89" s="4" t="n"/>
      <c r="AG89" s="4" t="n"/>
      <c r="AH89" s="4" t="n"/>
      <c r="AI89" s="4" t="n"/>
      <c r="AJ89" s="4" t="n"/>
      <c r="AK89" s="4" t="n"/>
      <c r="AL89" s="4" t="n"/>
      <c r="AM89" s="4" t="n"/>
      <c r="AN89" s="4" t="n"/>
      <c r="AO89" s="4" t="n"/>
      <c r="AP89" s="4" t="n"/>
      <c r="AQ89" s="4" t="n"/>
      <c r="AR89" s="4" t="n"/>
      <c r="AS89" s="4" t="n"/>
      <c r="AT89" s="4" t="n"/>
      <c r="AU89" s="4" t="n"/>
      <c r="AV89" s="4" t="n"/>
      <c r="AW89" s="4" t="n"/>
      <c r="AX89" s="4" t="n"/>
      <c r="AY89" s="4" t="n"/>
      <c r="AZ89" s="4" t="n"/>
      <c r="BA89" s="4" t="n"/>
      <c r="BB89" s="4" t="n"/>
      <c r="BC89" s="4" t="n"/>
      <c r="BD89" s="4" t="n"/>
      <c r="BE89" s="4" t="n"/>
      <c r="BF89" s="4" t="n"/>
      <c r="BG89" s="4" t="n"/>
      <c r="BH89" s="4" t="n"/>
      <c r="BI89" s="4" t="n"/>
      <c r="BJ89" s="4" t="n"/>
      <c r="BK89" s="4" t="n"/>
      <c r="BL89" s="4" t="n"/>
      <c r="BM89" s="4" t="n"/>
      <c r="BN89" s="4" t="n"/>
      <c r="BO89" s="4" t="n"/>
      <c r="BP89" s="4" t="n"/>
      <c r="BQ89" s="4" t="n"/>
      <c r="BR89" s="4" t="n"/>
      <c r="BS89" s="4" t="n"/>
      <c r="BT89" s="4" t="n"/>
      <c r="BU89" s="4" t="n"/>
      <c r="BV89" s="4" t="n"/>
      <c r="BW89" s="4" t="n"/>
      <c r="BX89" s="4" t="n"/>
      <c r="BY89" s="4" t="n"/>
      <c r="BZ89" s="4" t="n"/>
      <c r="CA89" s="4" t="n"/>
      <c r="CB89" s="53" t="n"/>
      <c r="CD89" s="69" t="n"/>
      <c r="DM89" s="271" t="n"/>
    </row>
    <row r="90" ht="18.75" customHeight="1">
      <c r="A90" s="406" t="inlineStr">
        <is>
          <t>HOMEM ARANHA/25</t>
        </is>
      </c>
      <c r="B90" s="407" t="inlineStr">
        <is>
          <t>PC</t>
        </is>
      </c>
      <c r="C90" s="407" t="inlineStr">
        <is>
          <t>R$</t>
        </is>
      </c>
      <c r="D90" s="407" t="n"/>
      <c r="E90" s="53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  <c r="AA90" s="4" t="n"/>
      <c r="AB90" s="4" t="n"/>
      <c r="AC90" s="4" t="n"/>
      <c r="AD90" s="4" t="n"/>
      <c r="AE90" s="4" t="n"/>
      <c r="AF90" s="4" t="n"/>
      <c r="AG90" s="4" t="n"/>
      <c r="AH90" s="4" t="n"/>
      <c r="AI90" s="4" t="n"/>
      <c r="AJ90" s="4" t="n"/>
      <c r="AK90" s="4" t="n"/>
      <c r="AL90" s="4" t="n"/>
      <c r="AM90" s="4" t="n"/>
      <c r="AN90" s="4" t="n"/>
      <c r="AO90" s="4" t="n"/>
      <c r="AP90" s="4" t="n"/>
      <c r="AQ90" s="4" t="n"/>
      <c r="AR90" s="4" t="n"/>
      <c r="AS90" s="4" t="n"/>
      <c r="AT90" s="4" t="n"/>
      <c r="AU90" s="4" t="n"/>
      <c r="AV90" s="4" t="n"/>
      <c r="AW90" s="4" t="n"/>
      <c r="AX90" s="4" t="n"/>
      <c r="AY90" s="650" t="n">
        <v>45971</v>
      </c>
      <c r="AZ90" s="650" t="n">
        <v>45978</v>
      </c>
      <c r="BA90" s="650" t="n">
        <v>45985</v>
      </c>
      <c r="BB90" s="650" t="n">
        <v>45992</v>
      </c>
      <c r="BC90" s="650" t="n">
        <v>45999</v>
      </c>
      <c r="BD90" s="650" t="n">
        <v>46006</v>
      </c>
      <c r="BE90" s="650" t="n">
        <v>46013</v>
      </c>
      <c r="BF90" s="650" t="n">
        <v>46020</v>
      </c>
      <c r="BG90" s="650" t="n">
        <v>46027</v>
      </c>
      <c r="BH90" s="650" t="n">
        <v>46034</v>
      </c>
      <c r="BI90" s="650" t="n">
        <v>46041</v>
      </c>
      <c r="BJ90" s="650" t="n">
        <v>46048</v>
      </c>
      <c r="BK90" s="650" t="n">
        <v>46055</v>
      </c>
      <c r="BL90" s="650" t="n">
        <v>46062</v>
      </c>
      <c r="BM90" s="650" t="n">
        <v>46069</v>
      </c>
      <c r="BN90" s="650" t="n">
        <v>46076</v>
      </c>
      <c r="BO90" s="650" t="n">
        <v>46083</v>
      </c>
      <c r="BP90" s="650" t="n">
        <v>46090</v>
      </c>
      <c r="BQ90" s="650" t="n">
        <v>46097</v>
      </c>
      <c r="BR90" s="650" t="n">
        <v>46104</v>
      </c>
      <c r="BS90" s="650" t="n">
        <v>46111</v>
      </c>
      <c r="BT90" s="650" t="n">
        <v>46118</v>
      </c>
      <c r="BU90" s="650" t="n">
        <v>46125</v>
      </c>
      <c r="BV90" s="650" t="n">
        <v>46132</v>
      </c>
      <c r="BW90" s="650" t="n">
        <v>46139</v>
      </c>
      <c r="BX90" s="650" t="n">
        <v>46146</v>
      </c>
      <c r="BY90" s="650" t="n">
        <v>46154</v>
      </c>
      <c r="BZ90" s="650" t="n">
        <v>46160</v>
      </c>
      <c r="CA90" s="650" t="n">
        <v>46160</v>
      </c>
      <c r="CB90" s="660" t="inlineStr">
        <is>
          <t>USOU</t>
        </is>
      </c>
      <c r="CD90" s="69" t="n"/>
    </row>
    <row r="91" hidden="1" ht="18.75" customHeight="1">
      <c r="A91" s="33" t="inlineStr">
        <is>
          <t>SACOLA M</t>
        </is>
      </c>
      <c r="B91" s="9" t="n">
        <v>200</v>
      </c>
      <c r="C91" s="662" t="n">
        <v>479.2</v>
      </c>
      <c r="D91" s="329" t="n"/>
      <c r="E91" s="53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  <c r="AA91" s="4" t="n"/>
      <c r="AB91" s="4" t="n"/>
      <c r="AC91" s="4" t="n"/>
      <c r="AD91" s="4" t="n"/>
      <c r="AE91" s="4" t="n"/>
      <c r="AF91" s="4" t="n"/>
      <c r="AG91" s="4" t="n"/>
      <c r="AH91" s="4" t="n"/>
      <c r="AI91" s="4" t="n"/>
      <c r="AJ91" s="4" t="n"/>
      <c r="AK91" s="4" t="n"/>
      <c r="AL91" s="4" t="n"/>
      <c r="AM91" s="4" t="n"/>
      <c r="AN91" s="4" t="n"/>
      <c r="AO91" s="4" t="n"/>
      <c r="AP91" s="4" t="n"/>
      <c r="AQ91" s="4" t="n"/>
      <c r="AR91" s="4" t="n"/>
      <c r="AS91" s="4" t="n"/>
      <c r="AT91" s="4" t="n"/>
      <c r="AU91" s="4" t="n"/>
      <c r="AV91" s="4" t="n"/>
      <c r="AW91" s="4" t="n"/>
      <c r="AX91" s="4" t="n"/>
      <c r="AY91" s="38" t="n"/>
      <c r="AZ91" s="38" t="n"/>
      <c r="BA91" s="38" t="n">
        <v>0</v>
      </c>
      <c r="BB91" s="38" t="n">
        <v>0</v>
      </c>
      <c r="BC91" s="38" t="n">
        <v>0</v>
      </c>
      <c r="BD91" s="38" t="n">
        <v>0</v>
      </c>
      <c r="BE91" s="38" t="n">
        <v>0</v>
      </c>
      <c r="BF91" s="38" t="n">
        <v>0</v>
      </c>
      <c r="BG91" s="38" t="n">
        <v>0</v>
      </c>
      <c r="BH91" s="38" t="n">
        <v>0</v>
      </c>
      <c r="BI91" s="38" t="n">
        <v>0</v>
      </c>
      <c r="BJ91" s="38" t="n">
        <v>0</v>
      </c>
      <c r="BK91" s="38" t="n">
        <v>0</v>
      </c>
      <c r="BL91" s="38" t="n"/>
      <c r="BM91" s="38" t="n"/>
      <c r="BN91" s="38" t="n"/>
      <c r="BO91" s="38" t="n"/>
      <c r="BP91" s="38" t="n"/>
      <c r="BQ91" s="38" t="n"/>
      <c r="BR91" s="38" t="n"/>
      <c r="BS91" s="38" t="n"/>
      <c r="BT91" s="38" t="n"/>
      <c r="BU91" s="38" t="n"/>
      <c r="BV91" s="38" t="n"/>
      <c r="BW91" s="38" t="n"/>
      <c r="BX91" s="38" t="n"/>
      <c r="BY91" s="38" t="n"/>
      <c r="BZ91" s="38" t="n"/>
      <c r="CA91" s="38" t="n"/>
      <c r="CB91" s="246">
        <f>BZ91+IF(NOT(ISBLANK(OFFSET(CB91,0,6))),N(OFFSET(CB91,0,6)),N(OFFSET(CB91,0,7)))-CA91</f>
        <v/>
      </c>
      <c r="CD91" s="69" t="n"/>
    </row>
    <row r="92" ht="18.75" customHeight="1">
      <c r="A92" s="33" t="inlineStr">
        <is>
          <t>PAPEL DE SEDA</t>
        </is>
      </c>
      <c r="B92" s="9" t="n">
        <v>200</v>
      </c>
      <c r="C92" s="662" t="n">
        <v>45.47</v>
      </c>
      <c r="D92" s="329" t="n"/>
      <c r="E92" s="53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  <c r="AA92" s="4" t="n"/>
      <c r="AB92" s="4" t="n"/>
      <c r="AC92" s="4" t="n"/>
      <c r="AD92" s="4" t="n"/>
      <c r="AE92" s="4" t="n"/>
      <c r="AF92" s="4" t="n"/>
      <c r="AG92" s="4" t="n"/>
      <c r="AH92" s="4" t="n"/>
      <c r="AI92" s="4" t="n"/>
      <c r="AJ92" s="4" t="n"/>
      <c r="AK92" s="4" t="n"/>
      <c r="AL92" s="4" t="n"/>
      <c r="AM92" s="4" t="n"/>
      <c r="AN92" s="4" t="n"/>
      <c r="AO92" s="4" t="n"/>
      <c r="AP92" s="4" t="n"/>
      <c r="AQ92" s="4" t="n"/>
      <c r="AR92" s="4" t="n"/>
      <c r="AS92" s="4" t="n"/>
      <c r="AT92" s="4" t="n"/>
      <c r="AU92" s="4" t="n"/>
      <c r="AV92" s="4" t="n"/>
      <c r="AW92" s="4" t="n"/>
      <c r="AX92" s="4" t="n"/>
      <c r="AY92" s="38" t="n"/>
      <c r="AZ92" s="38" t="n"/>
      <c r="BA92" s="38" t="n">
        <v>20</v>
      </c>
      <c r="BB92" s="38" t="n">
        <v>20</v>
      </c>
      <c r="BC92" s="38" t="n">
        <v>20</v>
      </c>
      <c r="BD92" s="38" t="n">
        <v>20</v>
      </c>
      <c r="BE92" s="38" t="n">
        <v>20</v>
      </c>
      <c r="BF92" s="38" t="n">
        <v>20</v>
      </c>
      <c r="BG92" s="38" t="n">
        <v>20</v>
      </c>
      <c r="BH92" s="38" t="n">
        <v>20</v>
      </c>
      <c r="BI92" s="38" t="n">
        <v>20</v>
      </c>
      <c r="BJ92" s="38" t="n">
        <v>20</v>
      </c>
      <c r="BK92" s="38" t="n">
        <v>20</v>
      </c>
      <c r="BL92" s="38" t="n">
        <v>20</v>
      </c>
      <c r="BM92" s="38" t="n">
        <v>20</v>
      </c>
      <c r="BN92" s="38" t="n">
        <v>20</v>
      </c>
      <c r="BO92" s="38" t="n">
        <v>10</v>
      </c>
      <c r="BP92" s="38" t="n">
        <v>0</v>
      </c>
      <c r="BQ92" s="38" t="n">
        <v>0</v>
      </c>
      <c r="BR92" s="38" t="n">
        <v>0</v>
      </c>
      <c r="BS92" s="38" t="n">
        <v>0</v>
      </c>
      <c r="BT92" s="38" t="n">
        <v>0</v>
      </c>
      <c r="BU92" s="38" t="n">
        <v>0</v>
      </c>
      <c r="BV92" s="38" t="n">
        <v>0</v>
      </c>
      <c r="BW92" s="38" t="n">
        <v>0</v>
      </c>
      <c r="BX92" s="38" t="n">
        <v>0</v>
      </c>
      <c r="BY92" s="38" t="n">
        <v>0</v>
      </c>
      <c r="BZ92" s="38" t="n">
        <v>0</v>
      </c>
      <c r="CA92" s="38" t="n"/>
      <c r="CB92" s="246">
        <f>BZ92+IF(NOT(ISBLANK(OFFSET(CB92,0,6))),N(OFFSET(CB92,0,6)),N(OFFSET(CB92,0,7)))-CA92</f>
        <v/>
      </c>
      <c r="CD92" s="69" t="n"/>
    </row>
    <row r="93" ht="18.75" customHeight="1">
      <c r="A93" s="33" t="inlineStr">
        <is>
          <t>CAIXA M</t>
        </is>
      </c>
      <c r="B93" s="9" t="n">
        <v>100</v>
      </c>
      <c r="C93" s="662" t="n">
        <v>1490</v>
      </c>
      <c r="D93" s="329" t="n"/>
      <c r="E93" s="53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  <c r="AA93" s="4" t="n"/>
      <c r="AB93" s="4" t="n"/>
      <c r="AC93" s="4" t="n"/>
      <c r="AD93" s="4" t="n"/>
      <c r="AE93" s="4" t="n"/>
      <c r="AF93" s="4" t="n"/>
      <c r="AG93" s="4" t="n"/>
      <c r="AH93" s="4" t="n"/>
      <c r="AI93" s="4" t="n"/>
      <c r="AJ93" s="4" t="n"/>
      <c r="AK93" s="4" t="n"/>
      <c r="AL93" s="4" t="n"/>
      <c r="AM93" s="4" t="n"/>
      <c r="AN93" s="4" t="n"/>
      <c r="AO93" s="4" t="n"/>
      <c r="AP93" s="4" t="n"/>
      <c r="AQ93" s="4" t="n"/>
      <c r="AR93" s="4" t="n"/>
      <c r="AS93" s="4" t="n"/>
      <c r="AT93" s="4" t="n"/>
      <c r="AU93" s="4" t="n"/>
      <c r="AV93" s="4" t="n"/>
      <c r="AW93" s="4" t="n"/>
      <c r="AX93" s="4" t="n"/>
      <c r="AY93" s="38" t="n"/>
      <c r="AZ93" s="38" t="n"/>
      <c r="BA93" s="38" t="n">
        <v>14</v>
      </c>
      <c r="BB93" s="38" t="n">
        <v>14</v>
      </c>
      <c r="BC93" s="38" t="n">
        <v>14</v>
      </c>
      <c r="BD93" s="38" t="n">
        <v>14</v>
      </c>
      <c r="BE93" s="38" t="n">
        <v>14</v>
      </c>
      <c r="BF93" s="38" t="n">
        <v>14</v>
      </c>
      <c r="BG93" s="38" t="n">
        <v>14</v>
      </c>
      <c r="BH93" s="38" t="n">
        <v>14</v>
      </c>
      <c r="BI93" s="38" t="n">
        <v>14</v>
      </c>
      <c r="BJ93" s="38" t="n">
        <v>14</v>
      </c>
      <c r="BK93" s="38" t="n">
        <v>14</v>
      </c>
      <c r="BL93" s="38" t="n">
        <v>14</v>
      </c>
      <c r="BM93" s="38" t="n">
        <v>14</v>
      </c>
      <c r="BN93" s="38" t="n">
        <v>14</v>
      </c>
      <c r="BO93" s="38" t="n">
        <v>9</v>
      </c>
      <c r="BP93" s="38" t="n">
        <v>4</v>
      </c>
      <c r="BQ93" s="38" t="n">
        <v>0</v>
      </c>
      <c r="BR93" s="38" t="n">
        <v>0</v>
      </c>
      <c r="BS93" s="38" t="n">
        <v>0</v>
      </c>
      <c r="BT93" s="38" t="n">
        <v>0</v>
      </c>
      <c r="BU93" s="38" t="n">
        <v>0</v>
      </c>
      <c r="BV93" s="38" t="n">
        <v>0</v>
      </c>
      <c r="BW93" s="38" t="n">
        <v>0</v>
      </c>
      <c r="BX93" s="38" t="n">
        <v>0</v>
      </c>
      <c r="BY93" s="38" t="n">
        <v>0</v>
      </c>
      <c r="BZ93" s="38" t="n">
        <v>0</v>
      </c>
      <c r="CA93" s="38" t="n"/>
      <c r="CB93" s="246">
        <f>BZ93+IF(NOT(ISBLANK(OFFSET(CB93,0,6))),N(OFFSET(CB93,0,6)),N(OFFSET(CB93,0,7)))-CA93</f>
        <v/>
      </c>
      <c r="CD93" s="69" t="n"/>
    </row>
    <row r="94" ht="18.75" customHeight="1">
      <c r="E94" s="53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  <c r="AA94" s="4" t="n"/>
      <c r="AB94" s="4" t="n"/>
      <c r="AC94" s="4" t="n"/>
      <c r="AD94" s="4" t="n"/>
      <c r="AE94" s="4" t="n"/>
      <c r="AF94" s="4" t="n"/>
      <c r="AG94" s="4" t="n"/>
      <c r="AH94" s="4" t="n"/>
      <c r="AI94" s="4" t="n"/>
      <c r="AJ94" s="4" t="n"/>
      <c r="AK94" s="4" t="n"/>
      <c r="AL94" s="4" t="n"/>
      <c r="AM94" s="4" t="n"/>
      <c r="AN94" s="4" t="n"/>
      <c r="AO94" s="4" t="n"/>
      <c r="AP94" s="4" t="n"/>
      <c r="AQ94" s="4" t="n"/>
      <c r="AR94" s="4" t="n"/>
      <c r="AS94" s="4" t="n"/>
      <c r="AT94" s="4" t="n"/>
      <c r="AU94" s="4" t="n"/>
      <c r="AV94" s="4" t="n"/>
      <c r="AW94" s="4" t="n"/>
      <c r="AX94" s="4" t="n"/>
      <c r="AY94" s="4" t="n"/>
      <c r="AZ94" s="4" t="n"/>
      <c r="BA94" s="4" t="n"/>
      <c r="BB94" s="4" t="n"/>
      <c r="BC94" s="4" t="n"/>
      <c r="BD94" s="4" t="n"/>
      <c r="BE94" s="4" t="n"/>
      <c r="BF94" s="4" t="n"/>
      <c r="BG94" s="4" t="n"/>
      <c r="BH94" s="4" t="n"/>
      <c r="BI94" s="4" t="n"/>
      <c r="BJ94" s="4" t="n"/>
      <c r="BK94" s="4" t="n"/>
      <c r="BL94" s="4" t="n"/>
      <c r="BM94" s="4" t="n"/>
      <c r="BN94" s="4" t="n"/>
      <c r="BO94" s="4" t="n"/>
      <c r="BP94" s="4" t="n"/>
      <c r="BQ94" s="4" t="n"/>
      <c r="BR94" s="4" t="n"/>
      <c r="BS94" s="4" t="n"/>
      <c r="BT94" s="4" t="n"/>
      <c r="BU94" s="4" t="n"/>
      <c r="BV94" s="4" t="n"/>
      <c r="BW94" s="4" t="n"/>
      <c r="BX94" s="4" t="n"/>
      <c r="BY94" s="4" t="n"/>
      <c r="BZ94" s="4" t="n"/>
      <c r="CA94" s="4" t="n"/>
      <c r="CB94" s="53" t="n"/>
      <c r="CD94" s="69" t="n"/>
    </row>
    <row r="95" ht="18.75" customHeight="1">
      <c r="A95" s="408" t="inlineStr">
        <is>
          <t>EUDORA NATAL/25</t>
        </is>
      </c>
      <c r="B95" s="409" t="inlineStr">
        <is>
          <t>PC</t>
        </is>
      </c>
      <c r="C95" s="409" t="inlineStr">
        <is>
          <t>R$</t>
        </is>
      </c>
      <c r="D95" s="409" t="n"/>
      <c r="E95" s="53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  <c r="AA95" s="4" t="n"/>
      <c r="AB95" s="4" t="n"/>
      <c r="AC95" s="4" t="n"/>
      <c r="AD95" s="4" t="n"/>
      <c r="AE95" s="4" t="n"/>
      <c r="AF95" s="4" t="n"/>
      <c r="AG95" s="4" t="n"/>
      <c r="AH95" s="4" t="n"/>
      <c r="AI95" s="4" t="n"/>
      <c r="AJ95" s="4" t="n"/>
      <c r="AK95" s="4" t="n"/>
      <c r="AL95" s="4" t="n"/>
      <c r="AM95" s="4" t="n"/>
      <c r="AN95" s="4" t="n"/>
      <c r="AO95" s="4" t="n"/>
      <c r="AP95" s="4" t="n"/>
      <c r="AQ95" s="4" t="n"/>
      <c r="AR95" s="4" t="n"/>
      <c r="AS95" s="4" t="n"/>
      <c r="AT95" s="4" t="n"/>
      <c r="AU95" s="4" t="n"/>
      <c r="AV95" s="4" t="n"/>
      <c r="AW95" s="4" t="n"/>
      <c r="AX95" s="4" t="n"/>
      <c r="AY95" s="650" t="n">
        <v>45971</v>
      </c>
      <c r="AZ95" s="650" t="n">
        <v>45978</v>
      </c>
      <c r="BA95" s="650" t="n">
        <v>45985</v>
      </c>
      <c r="BB95" s="650" t="n">
        <v>45992</v>
      </c>
      <c r="BC95" s="650" t="n">
        <v>45999</v>
      </c>
      <c r="BD95" s="650" t="n">
        <v>46006</v>
      </c>
      <c r="BE95" s="650" t="n">
        <v>46013</v>
      </c>
      <c r="BF95" s="650" t="n">
        <v>46020</v>
      </c>
      <c r="BG95" s="650" t="n">
        <v>46027</v>
      </c>
      <c r="BH95" s="650" t="n">
        <v>46034</v>
      </c>
      <c r="BI95" s="650" t="n">
        <v>46041</v>
      </c>
      <c r="BJ95" s="650" t="n">
        <v>46048</v>
      </c>
      <c r="BK95" s="650" t="n">
        <v>46055</v>
      </c>
      <c r="BL95" s="650" t="n">
        <v>46062</v>
      </c>
      <c r="BM95" s="650" t="n">
        <v>46069</v>
      </c>
      <c r="BN95" s="650" t="n">
        <v>46076</v>
      </c>
      <c r="BO95" s="650" t="n">
        <v>46083</v>
      </c>
      <c r="BP95" s="650" t="n">
        <v>46090</v>
      </c>
      <c r="BQ95" s="650" t="n">
        <v>46097</v>
      </c>
      <c r="BR95" s="650" t="n">
        <v>46104</v>
      </c>
      <c r="BS95" s="650" t="n">
        <v>46111</v>
      </c>
      <c r="BT95" s="650" t="n">
        <v>46118</v>
      </c>
      <c r="BU95" s="650" t="n">
        <v>46125</v>
      </c>
      <c r="BV95" s="650" t="n">
        <v>46132</v>
      </c>
      <c r="BW95" s="650" t="n">
        <v>46139</v>
      </c>
      <c r="BX95" s="650" t="n">
        <v>46146</v>
      </c>
      <c r="BY95" s="650" t="n">
        <v>46154</v>
      </c>
      <c r="BZ95" s="650" t="n">
        <v>46160</v>
      </c>
      <c r="CA95" s="650" t="n">
        <v>46160</v>
      </c>
      <c r="CB95" s="660" t="inlineStr">
        <is>
          <t>USOU</t>
        </is>
      </c>
      <c r="CD95" s="69" t="n"/>
    </row>
    <row r="96" ht="18.75" customHeight="1">
      <c r="A96" s="33" t="inlineStr">
        <is>
          <t xml:space="preserve">SACOLA M </t>
        </is>
      </c>
      <c r="B96" s="9" t="n">
        <v>200</v>
      </c>
      <c r="C96" s="662" t="n">
        <v>336</v>
      </c>
      <c r="D96" s="329" t="n"/>
      <c r="E96" s="53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  <c r="AA96" s="4" t="n"/>
      <c r="AB96" s="4" t="n"/>
      <c r="AC96" s="4" t="n"/>
      <c r="AD96" s="4" t="n"/>
      <c r="AE96" s="4" t="n"/>
      <c r="AF96" s="4" t="n"/>
      <c r="AG96" s="4" t="n"/>
      <c r="AH96" s="4" t="n"/>
      <c r="AI96" s="4" t="n"/>
      <c r="AJ96" s="4" t="n"/>
      <c r="AK96" s="4" t="n"/>
      <c r="AL96" s="4" t="n"/>
      <c r="AM96" s="4" t="n"/>
      <c r="AN96" s="4" t="n"/>
      <c r="AO96" s="4" t="n"/>
      <c r="AP96" s="4" t="n"/>
      <c r="AQ96" s="4" t="n"/>
      <c r="AR96" s="4" t="n"/>
      <c r="AS96" s="4" t="n"/>
      <c r="AT96" s="4" t="n"/>
      <c r="AU96" s="4" t="n"/>
      <c r="AV96" s="4" t="n"/>
      <c r="AW96" s="4" t="n"/>
      <c r="AX96" s="4" t="n"/>
      <c r="AY96" s="38" t="n"/>
      <c r="AZ96" s="38" t="n"/>
      <c r="BA96" s="38" t="n">
        <v>137</v>
      </c>
      <c r="BB96" s="38" t="n">
        <v>127</v>
      </c>
      <c r="BC96" s="38" t="n">
        <v>76</v>
      </c>
      <c r="BD96" s="38" t="n">
        <v>48</v>
      </c>
      <c r="BE96" s="38" t="n">
        <v>24</v>
      </c>
      <c r="BF96" s="38" t="n">
        <v>6</v>
      </c>
      <c r="BG96" s="38" t="n">
        <v>6</v>
      </c>
      <c r="BH96" s="38" t="n">
        <v>6</v>
      </c>
      <c r="BI96" s="38" t="n">
        <v>6</v>
      </c>
      <c r="BJ96" s="38" t="n">
        <v>6</v>
      </c>
      <c r="BK96" s="38" t="n">
        <v>6</v>
      </c>
      <c r="BL96" s="38" t="n">
        <v>6</v>
      </c>
      <c r="BM96" s="38" t="n">
        <v>6</v>
      </c>
      <c r="BN96" s="38" t="n">
        <v>6</v>
      </c>
      <c r="BO96" s="38" t="n">
        <v>0</v>
      </c>
      <c r="BP96" s="38" t="n">
        <v>0</v>
      </c>
      <c r="BQ96" s="38" t="n">
        <v>0</v>
      </c>
      <c r="BR96" s="38" t="n">
        <v>0</v>
      </c>
      <c r="BS96" s="38" t="n">
        <v>0</v>
      </c>
      <c r="BT96" s="38" t="n">
        <v>0</v>
      </c>
      <c r="BU96" s="38" t="n">
        <v>0</v>
      </c>
      <c r="BV96" s="38" t="n">
        <v>0</v>
      </c>
      <c r="BW96" s="38" t="n">
        <v>0</v>
      </c>
      <c r="BX96" s="38" t="n">
        <v>0</v>
      </c>
      <c r="BY96" s="38" t="n">
        <v>0</v>
      </c>
      <c r="BZ96" s="38" t="n">
        <v>0</v>
      </c>
      <c r="CA96" s="38" t="n">
        <v>0</v>
      </c>
      <c r="CB96" s="246">
        <f>BZ96+IF(NOT(ISBLANK(OFFSET(CB96,0,6))),N(OFFSET(CB96,0,6)),N(OFFSET(CB96,0,7)))-CA96</f>
        <v/>
      </c>
      <c r="CD96" s="69" t="n"/>
    </row>
    <row r="97" hidden="1" ht="18.75" customHeight="1">
      <c r="A97" s="33" t="inlineStr">
        <is>
          <t>PAPEL DE SEDA</t>
        </is>
      </c>
      <c r="B97" s="9" t="n">
        <v>200</v>
      </c>
      <c r="C97" s="662" t="n">
        <v>54</v>
      </c>
      <c r="D97" s="329" t="n"/>
      <c r="E97" s="53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  <c r="AA97" s="4" t="n"/>
      <c r="AB97" s="4" t="n"/>
      <c r="AC97" s="4" t="n"/>
      <c r="AD97" s="4" t="n"/>
      <c r="AE97" s="4" t="n"/>
      <c r="AF97" s="4" t="n"/>
      <c r="AG97" s="4" t="n"/>
      <c r="AH97" s="4" t="n"/>
      <c r="AI97" s="4" t="n"/>
      <c r="AJ97" s="4" t="n"/>
      <c r="AK97" s="4" t="n"/>
      <c r="AL97" s="4" t="n"/>
      <c r="AM97" s="4" t="n"/>
      <c r="AN97" s="4" t="n"/>
      <c r="AO97" s="4" t="n"/>
      <c r="AP97" s="4" t="n"/>
      <c r="AQ97" s="4" t="n"/>
      <c r="AR97" s="4" t="n"/>
      <c r="AS97" s="4" t="n"/>
      <c r="AT97" s="4" t="n"/>
      <c r="AU97" s="4" t="n"/>
      <c r="AV97" s="4" t="n"/>
      <c r="AW97" s="4" t="n"/>
      <c r="AX97" s="4" t="n"/>
      <c r="AY97" s="38" t="n"/>
      <c r="AZ97" s="38" t="n"/>
      <c r="BA97" s="38" t="n">
        <v>0</v>
      </c>
      <c r="BB97" s="38" t="n">
        <v>0</v>
      </c>
      <c r="BC97" s="38" t="n">
        <v>0</v>
      </c>
      <c r="BD97" s="38" t="n">
        <v>0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>
        <v>0</v>
      </c>
      <c r="BK97" s="38" t="n"/>
      <c r="BL97" s="38" t="n"/>
      <c r="BM97" s="38" t="n"/>
      <c r="BN97" s="38" t="n"/>
      <c r="BO97" s="38" t="n"/>
      <c r="BP97" s="38" t="n"/>
      <c r="BQ97" s="38" t="n"/>
      <c r="BR97" s="38" t="n"/>
      <c r="BS97" s="38" t="n"/>
      <c r="BT97" s="38" t="n"/>
      <c r="BU97" s="38" t="n"/>
      <c r="BV97" s="38" t="n"/>
      <c r="BW97" s="38" t="n"/>
      <c r="BX97" s="38" t="n"/>
      <c r="BY97" s="38" t="n"/>
      <c r="BZ97" s="38" t="n"/>
      <c r="CA97" s="38" t="n"/>
      <c r="CB97" s="246">
        <f>BZ97+IF(NOT(ISBLANK(OFFSET(CB97,0,6))),N(OFFSET(CB97,0,6)),N(OFFSET(CB97,0,7)))-CA97</f>
        <v/>
      </c>
      <c r="CD97" s="69" t="n"/>
    </row>
    <row r="98" hidden="1" ht="18.75" customHeight="1">
      <c r="A98" s="33" t="inlineStr">
        <is>
          <t>KIT TAG 10 C/ 20</t>
        </is>
      </c>
      <c r="B98" s="9" t="n">
        <v>200</v>
      </c>
      <c r="C98" s="662" t="n">
        <v>40</v>
      </c>
      <c r="D98" s="329" t="n"/>
      <c r="E98" s="53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  <c r="AA98" s="4" t="n"/>
      <c r="AB98" s="4" t="n"/>
      <c r="AC98" s="4" t="n"/>
      <c r="AD98" s="4" t="n"/>
      <c r="AE98" s="4" t="n"/>
      <c r="AF98" s="4" t="n"/>
      <c r="AG98" s="4" t="n"/>
      <c r="AH98" s="4" t="n"/>
      <c r="AI98" s="4" t="n"/>
      <c r="AJ98" s="4" t="n"/>
      <c r="AK98" s="4" t="n"/>
      <c r="AL98" s="4" t="n"/>
      <c r="AM98" s="4" t="n"/>
      <c r="AN98" s="4" t="n"/>
      <c r="AO98" s="4" t="n"/>
      <c r="AP98" s="4" t="n"/>
      <c r="AQ98" s="4" t="n"/>
      <c r="AR98" s="4" t="n"/>
      <c r="AS98" s="4" t="n"/>
      <c r="AT98" s="4" t="n"/>
      <c r="AU98" s="4" t="n"/>
      <c r="AV98" s="4" t="n"/>
      <c r="AW98" s="4" t="n"/>
      <c r="AX98" s="4" t="n"/>
      <c r="AY98" s="38" t="n"/>
      <c r="AZ98" s="38" t="n"/>
      <c r="BA98" s="38" t="n">
        <v>0</v>
      </c>
      <c r="BB98" s="38" t="n">
        <v>0</v>
      </c>
      <c r="BC98" s="38" t="n">
        <v>0</v>
      </c>
      <c r="BD98" s="38" t="n">
        <v>0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>
        <v>0</v>
      </c>
      <c r="BK98" s="38" t="n"/>
      <c r="BL98" s="38" t="n"/>
      <c r="BM98" s="38" t="n"/>
      <c r="BN98" s="38" t="n"/>
      <c r="BO98" s="38" t="n"/>
      <c r="BP98" s="38" t="n"/>
      <c r="BQ98" s="38" t="n"/>
      <c r="BR98" s="38" t="n"/>
      <c r="BS98" s="38" t="n"/>
      <c r="BT98" s="38" t="n"/>
      <c r="BU98" s="38" t="n"/>
      <c r="BV98" s="38" t="n"/>
      <c r="BW98" s="38" t="n"/>
      <c r="BX98" s="38" t="n"/>
      <c r="BY98" s="38" t="n"/>
      <c r="BZ98" s="38" t="n"/>
      <c r="CA98" s="38" t="n"/>
      <c r="CB98" s="246">
        <f>BZ98+IF(NOT(ISBLANK(OFFSET(CB98,0,6))),N(OFFSET(CB98,0,6)),N(OFFSET(CB98,0,7)))-CA98</f>
        <v/>
      </c>
      <c r="CD98" s="69" t="n"/>
    </row>
    <row r="99" ht="18.75" customHeight="1">
      <c r="A99" s="238" t="inlineStr">
        <is>
          <t>CAIXA M</t>
        </is>
      </c>
      <c r="B99" s="36" t="n">
        <v>100</v>
      </c>
      <c r="C99" s="668" t="n">
        <v>904</v>
      </c>
      <c r="D99" s="36" t="n"/>
      <c r="E99" s="53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  <c r="AA99" s="4" t="n"/>
      <c r="AB99" s="4" t="n"/>
      <c r="AC99" s="4" t="n"/>
      <c r="AD99" s="4" t="n"/>
      <c r="AE99" s="4" t="n"/>
      <c r="AF99" s="4" t="n"/>
      <c r="AG99" s="4" t="n"/>
      <c r="AH99" s="4" t="n"/>
      <c r="AI99" s="4" t="n"/>
      <c r="AJ99" s="4" t="n"/>
      <c r="AK99" s="4" t="n"/>
      <c r="AL99" s="4" t="n"/>
      <c r="AM99" s="4" t="n"/>
      <c r="AN99" s="4" t="n"/>
      <c r="AO99" s="4" t="n"/>
      <c r="AP99" s="4" t="n"/>
      <c r="AQ99" s="4" t="n"/>
      <c r="AR99" s="4" t="n"/>
      <c r="AS99" s="4" t="n"/>
      <c r="AT99" s="4" t="n"/>
      <c r="AU99" s="4" t="n"/>
      <c r="AV99" s="4" t="n"/>
      <c r="AW99" s="4" t="n"/>
      <c r="AX99" s="4" t="n"/>
      <c r="AY99" s="38" t="n"/>
      <c r="AZ99" s="38" t="n"/>
      <c r="BA99" s="38" t="n">
        <v>12</v>
      </c>
      <c r="BB99" s="38" t="n">
        <v>12</v>
      </c>
      <c r="BC99" s="38" t="n">
        <v>10</v>
      </c>
      <c r="BD99" s="38" t="n">
        <v>10</v>
      </c>
      <c r="BE99" s="38" t="n">
        <v>9</v>
      </c>
      <c r="BF99" s="38" t="n">
        <v>0</v>
      </c>
      <c r="BG99" s="38" t="n">
        <v>0</v>
      </c>
      <c r="BH99" s="38" t="n">
        <v>0</v>
      </c>
      <c r="BI99" s="38" t="n">
        <v>0</v>
      </c>
      <c r="BJ99" s="38" t="n">
        <v>0</v>
      </c>
      <c r="BK99" s="38" t="n"/>
      <c r="BL99" s="38" t="n"/>
      <c r="BM99" s="38" t="n"/>
      <c r="BN99" s="38" t="n"/>
      <c r="BO99" s="38" t="n"/>
      <c r="BP99" s="38" t="n"/>
      <c r="BQ99" s="38" t="n"/>
      <c r="BR99" s="38" t="n"/>
      <c r="BS99" s="38" t="n"/>
      <c r="BT99" s="38" t="n"/>
      <c r="BU99" s="38" t="n"/>
      <c r="BV99" s="38" t="n"/>
      <c r="BW99" s="38" t="n">
        <v>0</v>
      </c>
      <c r="BX99" s="38" t="n">
        <v>0</v>
      </c>
      <c r="BY99" s="261" t="n">
        <v>27</v>
      </c>
      <c r="BZ99" s="261" t="n">
        <v>27</v>
      </c>
      <c r="CA99" s="261" t="n">
        <v>27</v>
      </c>
      <c r="CB99" s="246">
        <f>BZ99+IF(NOT(ISBLANK(OFFSET(CB99,0,6))),N(OFFSET(CB99,0,6)),N(OFFSET(CB99,0,7)))-CA99</f>
        <v/>
      </c>
      <c r="CD99" s="69" t="n"/>
    </row>
    <row r="100" hidden="1" ht="18.75" customHeight="1">
      <c r="A100" s="238" t="inlineStr">
        <is>
          <t>CARTUCHO P</t>
        </is>
      </c>
      <c r="B100" s="36" t="n">
        <v>200</v>
      </c>
      <c r="C100" s="668" t="n">
        <v>464</v>
      </c>
      <c r="D100" s="36" t="n"/>
      <c r="E100" s="53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  <c r="AA100" s="4" t="n"/>
      <c r="AB100" s="4" t="n"/>
      <c r="AC100" s="4" t="n"/>
      <c r="AD100" s="4" t="n"/>
      <c r="AE100" s="4" t="n"/>
      <c r="AF100" s="4" t="n"/>
      <c r="AG100" s="4" t="n"/>
      <c r="AH100" s="4" t="n"/>
      <c r="AI100" s="4" t="n"/>
      <c r="AJ100" s="4" t="n"/>
      <c r="AK100" s="4" t="n"/>
      <c r="AL100" s="4" t="n"/>
      <c r="AM100" s="4" t="n"/>
      <c r="AN100" s="4" t="n"/>
      <c r="AO100" s="4" t="n"/>
      <c r="AP100" s="4" t="n"/>
      <c r="AQ100" s="4" t="n"/>
      <c r="AR100" s="4" t="n"/>
      <c r="AS100" s="4" t="n"/>
      <c r="AT100" s="4" t="n"/>
      <c r="AU100" s="4" t="n"/>
      <c r="AV100" s="4" t="n"/>
      <c r="AW100" s="4" t="n"/>
      <c r="AX100" s="4" t="n"/>
      <c r="AY100" s="38" t="n"/>
      <c r="AZ100" s="38" t="n"/>
      <c r="BA100" s="38" t="n">
        <v>3</v>
      </c>
      <c r="BB100" s="38" t="n">
        <v>1</v>
      </c>
      <c r="BC100" s="38" t="n">
        <v>0</v>
      </c>
      <c r="BD100" s="38" t="n">
        <v>0</v>
      </c>
      <c r="BE100" s="38" t="n">
        <v>0</v>
      </c>
      <c r="BF100" s="38" t="n">
        <v>0</v>
      </c>
      <c r="BG100" s="38" t="n">
        <v>0</v>
      </c>
      <c r="BH100" s="38" t="n">
        <v>0</v>
      </c>
      <c r="BI100" s="38" t="n">
        <v>0</v>
      </c>
      <c r="BJ100" s="38" t="n">
        <v>0</v>
      </c>
      <c r="BK100" s="38" t="n"/>
      <c r="BL100" s="38" t="n"/>
      <c r="BM100" s="38" t="n"/>
      <c r="BN100" s="38" t="n"/>
      <c r="BO100" s="38" t="n"/>
      <c r="BP100" s="38" t="n"/>
      <c r="BQ100" s="38" t="n"/>
      <c r="BR100" s="38" t="n"/>
      <c r="BS100" s="38" t="n"/>
      <c r="BT100" s="38" t="n"/>
      <c r="BU100" s="38" t="n"/>
      <c r="BV100" s="38" t="n"/>
      <c r="BW100" s="38" t="n"/>
      <c r="BX100" s="38" t="n"/>
      <c r="BY100" s="38" t="n"/>
      <c r="BZ100" s="38" t="n"/>
      <c r="CA100" s="38" t="n"/>
      <c r="CB100" s="246">
        <f>BZ100+IF(NOT(ISBLANK(OFFSET(CB100,0,6))),N(OFFSET(CB100,0,6)),N(OFFSET(CB100,0,7)))-CA100</f>
        <v/>
      </c>
      <c r="CD100" s="69" t="n"/>
    </row>
    <row r="101" ht="18.75" customHeight="1">
      <c r="E101" s="53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  <c r="AA101" s="4" t="n"/>
      <c r="AB101" s="4" t="n"/>
      <c r="AC101" s="4" t="n"/>
      <c r="AD101" s="4" t="n"/>
      <c r="AE101" s="4" t="n"/>
      <c r="AF101" s="4" t="n"/>
      <c r="AG101" s="4" t="n"/>
      <c r="AH101" s="4" t="n"/>
      <c r="AI101" s="4" t="n"/>
      <c r="AJ101" s="4" t="n"/>
      <c r="AK101" s="4" t="n"/>
      <c r="AL101" s="4" t="n"/>
      <c r="AM101" s="4" t="n"/>
      <c r="AN101" s="4" t="n"/>
      <c r="AO101" s="4" t="n"/>
      <c r="AP101" s="4" t="n"/>
      <c r="AQ101" s="4" t="n"/>
      <c r="AR101" s="4" t="n"/>
      <c r="AS101" s="4" t="n"/>
      <c r="AT101" s="4" t="n"/>
      <c r="AU101" s="4" t="n"/>
      <c r="AV101" s="4" t="n"/>
      <c r="AW101" s="4" t="n"/>
      <c r="AX101" s="4" t="n"/>
      <c r="AY101" s="4" t="n"/>
      <c r="AZ101" s="4" t="n"/>
      <c r="BA101" s="4" t="n"/>
      <c r="BB101" s="4" t="n"/>
      <c r="BC101" s="4" t="n"/>
      <c r="BD101" s="4" t="n"/>
      <c r="BE101" s="4" t="n"/>
      <c r="BF101" s="4" t="n"/>
      <c r="BG101" s="4" t="n"/>
      <c r="BH101" s="4" t="n"/>
      <c r="BI101" s="4" t="n"/>
      <c r="BJ101" s="4" t="n"/>
      <c r="BK101" s="4" t="n"/>
      <c r="BL101" s="4" t="n"/>
      <c r="BM101" s="4" t="n"/>
      <c r="BN101" s="4" t="n"/>
      <c r="BO101" s="4" t="n"/>
      <c r="BP101" s="4" t="n"/>
      <c r="BQ101" s="4" t="n"/>
      <c r="BR101" s="4" t="n"/>
      <c r="BS101" s="4" t="n"/>
      <c r="BT101" s="4" t="n"/>
      <c r="BU101" s="4" t="n"/>
      <c r="BV101" s="4" t="n"/>
      <c r="BW101" s="4" t="n"/>
      <c r="BX101" s="4" t="n"/>
      <c r="BY101" s="4" t="n"/>
      <c r="BZ101" s="4" t="n"/>
      <c r="CA101" s="4" t="n"/>
      <c r="CB101" s="53" t="n"/>
      <c r="CD101" s="69" t="n"/>
    </row>
    <row r="102" hidden="1" ht="18.75" customHeight="1">
      <c r="A102" s="410" t="inlineStr">
        <is>
          <t>BOTICÁRIO NATAL/25</t>
        </is>
      </c>
      <c r="B102" s="357" t="inlineStr">
        <is>
          <t>PC</t>
        </is>
      </c>
      <c r="C102" s="357" t="inlineStr">
        <is>
          <t>R$</t>
        </is>
      </c>
      <c r="D102" s="357" t="n"/>
      <c r="E102" s="53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  <c r="AA102" s="4" t="n"/>
      <c r="AB102" s="4" t="n"/>
      <c r="AC102" s="4" t="n"/>
      <c r="AD102" s="4" t="n"/>
      <c r="AE102" s="4" t="n"/>
      <c r="AF102" s="4" t="n"/>
      <c r="AG102" s="4" t="n"/>
      <c r="AH102" s="4" t="n"/>
      <c r="AI102" s="4" t="n"/>
      <c r="AJ102" s="4" t="n"/>
      <c r="AK102" s="4" t="n"/>
      <c r="AL102" s="4" t="n"/>
      <c r="AM102" s="4" t="n"/>
      <c r="AN102" s="4" t="n"/>
      <c r="AO102" s="4" t="n"/>
      <c r="AP102" s="4" t="n"/>
      <c r="AQ102" s="4" t="n"/>
      <c r="AR102" s="4" t="n"/>
      <c r="AS102" s="4" t="n"/>
      <c r="AT102" s="4" t="n"/>
      <c r="AU102" s="4" t="n"/>
      <c r="AV102" s="4" t="n"/>
      <c r="AW102" s="4" t="n"/>
      <c r="AX102" s="4" t="n"/>
      <c r="AY102" s="650" t="n">
        <v>45971</v>
      </c>
      <c r="AZ102" s="650" t="n">
        <v>45978</v>
      </c>
      <c r="BA102" s="650" t="n">
        <v>45985</v>
      </c>
      <c r="BB102" s="650" t="n">
        <v>45992</v>
      </c>
      <c r="BC102" s="650" t="n">
        <v>45999</v>
      </c>
      <c r="BD102" s="650" t="n">
        <v>46006</v>
      </c>
      <c r="BE102" s="650" t="n">
        <v>46013</v>
      </c>
      <c r="BF102" s="650" t="n">
        <v>46020</v>
      </c>
      <c r="BG102" s="650" t="n">
        <v>46027</v>
      </c>
      <c r="BH102" s="650" t="n">
        <v>46034</v>
      </c>
      <c r="BI102" s="650" t="n">
        <v>46041</v>
      </c>
      <c r="BJ102" s="650" t="n"/>
      <c r="BK102" s="650" t="n"/>
      <c r="BL102" s="650" t="n"/>
      <c r="BM102" s="650" t="n"/>
      <c r="BN102" s="650" t="n"/>
      <c r="BO102" s="650" t="n"/>
      <c r="BP102" s="650" t="n"/>
      <c r="BQ102" s="650" t="n"/>
      <c r="BR102" s="650" t="n"/>
      <c r="BS102" s="650" t="n"/>
      <c r="BT102" s="650" t="n"/>
      <c r="BU102" s="650" t="n"/>
      <c r="BV102" s="650" t="n"/>
      <c r="BW102" s="650" t="n"/>
      <c r="BX102" s="650" t="n"/>
      <c r="BY102" s="650" t="n"/>
      <c r="BZ102" s="650" t="n"/>
      <c r="CA102" s="650" t="n"/>
      <c r="CB102" s="660" t="inlineStr">
        <is>
          <t>USOU</t>
        </is>
      </c>
      <c r="CD102" s="69" t="n"/>
    </row>
    <row r="103" hidden="1" ht="18.75" customHeight="1">
      <c r="A103" s="33" t="inlineStr">
        <is>
          <t>SACOLA P</t>
        </is>
      </c>
      <c r="B103" s="9" t="n">
        <v>200</v>
      </c>
      <c r="C103" s="662" t="n">
        <v>274.2</v>
      </c>
      <c r="D103" s="329" t="n"/>
      <c r="E103" s="53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  <c r="AA103" s="4" t="n"/>
      <c r="AB103" s="4" t="n"/>
      <c r="AC103" s="4" t="n"/>
      <c r="AD103" s="4" t="n"/>
      <c r="AE103" s="4" t="n"/>
      <c r="AF103" s="4" t="n"/>
      <c r="AG103" s="4" t="n"/>
      <c r="AH103" s="4" t="n"/>
      <c r="AI103" s="4" t="n"/>
      <c r="AJ103" s="4" t="n"/>
      <c r="AK103" s="4" t="n"/>
      <c r="AL103" s="4" t="n"/>
      <c r="AM103" s="4" t="n"/>
      <c r="AN103" s="4" t="n"/>
      <c r="AO103" s="4" t="n"/>
      <c r="AP103" s="4" t="n"/>
      <c r="AQ103" s="4" t="n"/>
      <c r="AR103" s="4" t="n"/>
      <c r="AS103" s="4" t="n"/>
      <c r="AT103" s="4" t="n"/>
      <c r="AU103" s="4" t="n"/>
      <c r="AV103" s="4" t="n"/>
      <c r="AW103" s="4" t="n"/>
      <c r="AX103" s="4" t="n"/>
      <c r="AY103" s="38" t="n"/>
      <c r="AZ103" s="38" t="n"/>
      <c r="BA103" s="38" t="n">
        <v>60</v>
      </c>
      <c r="BB103" s="38" t="n">
        <v>60</v>
      </c>
      <c r="BC103" s="38" t="n">
        <v>60</v>
      </c>
      <c r="BD103" s="38" t="n">
        <v>60</v>
      </c>
      <c r="BE103" s="38" t="n">
        <v>0</v>
      </c>
      <c r="BF103" s="38" t="n">
        <v>0</v>
      </c>
      <c r="BG103" s="38" t="n">
        <v>0</v>
      </c>
      <c r="BH103" s="38" t="n">
        <v>0</v>
      </c>
      <c r="BI103" s="38" t="n">
        <v>0</v>
      </c>
      <c r="BJ103" s="38" t="n"/>
      <c r="BK103" s="38" t="n"/>
      <c r="BL103" s="38" t="n"/>
      <c r="BM103" s="38" t="n"/>
      <c r="BN103" s="38" t="n"/>
      <c r="BO103" s="38" t="n"/>
      <c r="BP103" s="38" t="n"/>
      <c r="BQ103" s="38" t="n"/>
      <c r="BR103" s="38" t="n"/>
      <c r="BS103" s="38" t="n"/>
      <c r="BT103" s="38" t="n"/>
      <c r="BU103" s="38" t="n"/>
      <c r="BV103" s="38" t="n"/>
      <c r="BW103" s="38" t="n"/>
      <c r="BX103" s="38" t="n"/>
      <c r="BY103" s="38" t="n"/>
      <c r="BZ103" s="38" t="n"/>
      <c r="CA103" s="38" t="n"/>
      <c r="CB103" s="246">
        <f>BZ103+IF(NOT(ISBLANK(OFFSET(CB103,0,6))),N(OFFSET(CB103,0,6)),N(OFFSET(CB103,0,7)))-CA103</f>
        <v/>
      </c>
      <c r="CD103" s="69" t="n"/>
    </row>
    <row r="104" hidden="1" ht="18.75" customHeight="1">
      <c r="A104" s="33" t="inlineStr">
        <is>
          <t>SACOLA M</t>
        </is>
      </c>
      <c r="B104" s="9" t="n">
        <v>200</v>
      </c>
      <c r="C104" s="662" t="n">
        <v>347.8</v>
      </c>
      <c r="D104" s="329" t="n"/>
      <c r="E104" s="53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  <c r="AA104" s="4" t="n"/>
      <c r="AB104" s="4" t="n"/>
      <c r="AC104" s="4" t="n"/>
      <c r="AD104" s="4" t="n"/>
      <c r="AE104" s="4" t="n"/>
      <c r="AF104" s="4" t="n"/>
      <c r="AG104" s="4" t="n"/>
      <c r="AH104" s="4" t="n"/>
      <c r="AI104" s="4" t="n"/>
      <c r="AJ104" s="4" t="n"/>
      <c r="AK104" s="4" t="n"/>
      <c r="AL104" s="4" t="n"/>
      <c r="AM104" s="4" t="n"/>
      <c r="AN104" s="4" t="n"/>
      <c r="AO104" s="4" t="n"/>
      <c r="AP104" s="4" t="n"/>
      <c r="AQ104" s="4" t="n"/>
      <c r="AR104" s="4" t="n"/>
      <c r="AS104" s="4" t="n"/>
      <c r="AT104" s="4" t="n"/>
      <c r="AU104" s="4" t="n"/>
      <c r="AV104" s="4" t="n"/>
      <c r="AW104" s="4" t="n"/>
      <c r="AX104" s="4" t="n"/>
      <c r="AY104" s="38" t="n"/>
      <c r="AZ104" s="38" t="n"/>
      <c r="BA104" s="38" t="n">
        <v>60</v>
      </c>
      <c r="BB104" s="38" t="n">
        <v>60</v>
      </c>
      <c r="BC104" s="38" t="n">
        <v>60</v>
      </c>
      <c r="BD104" s="38" t="n">
        <v>58</v>
      </c>
      <c r="BE104" s="38" t="n">
        <v>0</v>
      </c>
      <c r="BF104" s="38" t="n">
        <v>0</v>
      </c>
      <c r="BG104" s="38" t="n">
        <v>0</v>
      </c>
      <c r="BH104" s="38" t="n">
        <v>0</v>
      </c>
      <c r="BI104" s="38" t="n">
        <v>0</v>
      </c>
      <c r="BJ104" s="38" t="n"/>
      <c r="BK104" s="38" t="n"/>
      <c r="BL104" s="38" t="n"/>
      <c r="BM104" s="38" t="n"/>
      <c r="BN104" s="38" t="n"/>
      <c r="BO104" s="38" t="n"/>
      <c r="BP104" s="38" t="n"/>
      <c r="BQ104" s="38" t="n"/>
      <c r="BR104" s="38" t="n"/>
      <c r="BS104" s="38" t="n"/>
      <c r="BT104" s="38" t="n"/>
      <c r="BU104" s="38" t="n"/>
      <c r="BV104" s="38" t="n"/>
      <c r="BW104" s="38" t="n"/>
      <c r="BX104" s="38" t="n"/>
      <c r="BY104" s="38" t="n"/>
      <c r="BZ104" s="38" t="n"/>
      <c r="CA104" s="38" t="n"/>
      <c r="CB104" s="246">
        <f>BZ104+IF(NOT(ISBLANK(OFFSET(CB104,0,6))),N(OFFSET(CB104,0,6)),N(OFFSET(CB104,0,7)))-CA104</f>
        <v/>
      </c>
      <c r="CD104" s="69" t="n"/>
    </row>
    <row r="105" hidden="1" ht="18.75" customHeight="1">
      <c r="A105" s="33" t="inlineStr">
        <is>
          <t>SACOLA G</t>
        </is>
      </c>
      <c r="B105" s="9" t="n">
        <v>100</v>
      </c>
      <c r="C105" s="662" t="n">
        <v>267</v>
      </c>
      <c r="D105" s="329" t="n"/>
      <c r="E105" s="53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  <c r="AA105" s="4" t="n"/>
      <c r="AB105" s="4" t="n"/>
      <c r="AC105" s="4" t="n"/>
      <c r="AD105" s="4" t="n"/>
      <c r="AE105" s="4" t="n"/>
      <c r="AF105" s="4" t="n"/>
      <c r="AG105" s="4" t="n"/>
      <c r="AH105" s="4" t="n"/>
      <c r="AI105" s="4" t="n"/>
      <c r="AJ105" s="4" t="n"/>
      <c r="AK105" s="4" t="n"/>
      <c r="AL105" s="4" t="n"/>
      <c r="AM105" s="4" t="n"/>
      <c r="AN105" s="4" t="n"/>
      <c r="AO105" s="4" t="n"/>
      <c r="AP105" s="4" t="n"/>
      <c r="AQ105" s="4" t="n"/>
      <c r="AR105" s="4" t="n"/>
      <c r="AS105" s="4" t="n"/>
      <c r="AT105" s="4" t="n"/>
      <c r="AU105" s="4" t="n"/>
      <c r="AV105" s="4" t="n"/>
      <c r="AW105" s="4" t="n"/>
      <c r="AX105" s="4" t="n"/>
      <c r="AY105" s="38" t="n"/>
      <c r="AZ105" s="38" t="n"/>
      <c r="BA105" s="38" t="n">
        <v>0</v>
      </c>
      <c r="BB105" s="38" t="n">
        <v>0</v>
      </c>
      <c r="BC105" s="38" t="n">
        <v>0</v>
      </c>
      <c r="BD105" s="38" t="n">
        <v>0</v>
      </c>
      <c r="BE105" s="38" t="n">
        <v>0</v>
      </c>
      <c r="BF105" s="38" t="n">
        <v>0</v>
      </c>
      <c r="BG105" s="38" t="n">
        <v>0</v>
      </c>
      <c r="BH105" s="38" t="n">
        <v>0</v>
      </c>
      <c r="BI105" s="38" t="n">
        <v>0</v>
      </c>
      <c r="BJ105" s="38" t="n"/>
      <c r="BK105" s="38" t="n"/>
      <c r="BL105" s="38" t="n"/>
      <c r="BM105" s="38" t="n"/>
      <c r="BN105" s="38" t="n"/>
      <c r="BO105" s="38" t="n"/>
      <c r="BP105" s="38" t="n"/>
      <c r="BQ105" s="38" t="n"/>
      <c r="BR105" s="38" t="n"/>
      <c r="BS105" s="38" t="n"/>
      <c r="BT105" s="38" t="n"/>
      <c r="BU105" s="38" t="n"/>
      <c r="BV105" s="38" t="n"/>
      <c r="BW105" s="38" t="n"/>
      <c r="BX105" s="38" t="n"/>
      <c r="BY105" s="38" t="n"/>
      <c r="BZ105" s="38" t="n"/>
      <c r="CA105" s="38" t="n"/>
      <c r="CB105" s="246">
        <f>BZ105+IF(NOT(ISBLANK(OFFSET(CB105,0,6))),N(OFFSET(CB105,0,6)),N(OFFSET(CB105,0,7)))-CA105</f>
        <v/>
      </c>
      <c r="CD105" s="69" t="n"/>
    </row>
    <row r="106" hidden="1" ht="18.75" customHeight="1">
      <c r="A106" s="238" t="inlineStr">
        <is>
          <t>KIT PAPEL DE SEDA 10 C/ 20</t>
        </is>
      </c>
      <c r="B106" s="36" t="n">
        <v>200</v>
      </c>
      <c r="C106" s="668" t="n">
        <v>44.4</v>
      </c>
      <c r="D106" s="36" t="n"/>
      <c r="E106" s="53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  <c r="AA106" s="4" t="n"/>
      <c r="AB106" s="4" t="n"/>
      <c r="AC106" s="4" t="n"/>
      <c r="AD106" s="4" t="n"/>
      <c r="AE106" s="4" t="n"/>
      <c r="AF106" s="4" t="n"/>
      <c r="AG106" s="4" t="n"/>
      <c r="AH106" s="4" t="n"/>
      <c r="AI106" s="4" t="n"/>
      <c r="AJ106" s="4" t="n"/>
      <c r="AK106" s="4" t="n"/>
      <c r="AL106" s="4" t="n"/>
      <c r="AM106" s="4" t="n"/>
      <c r="AN106" s="4" t="n"/>
      <c r="AO106" s="4" t="n"/>
      <c r="AP106" s="4" t="n"/>
      <c r="AQ106" s="4" t="n"/>
      <c r="AR106" s="4" t="n"/>
      <c r="AS106" s="4" t="n"/>
      <c r="AT106" s="4" t="n"/>
      <c r="AU106" s="4" t="n"/>
      <c r="AV106" s="4" t="n"/>
      <c r="AW106" s="4" t="n"/>
      <c r="AX106" s="4" t="n"/>
      <c r="AY106" s="38" t="n"/>
      <c r="AZ106" s="38" t="n"/>
      <c r="BA106" s="38" t="n">
        <v>100</v>
      </c>
      <c r="BB106" s="38" t="n">
        <v>80</v>
      </c>
      <c r="BC106" s="38" t="n">
        <v>80</v>
      </c>
      <c r="BD106" s="38" t="n">
        <v>60</v>
      </c>
      <c r="BE106" s="38" t="n">
        <v>0</v>
      </c>
      <c r="BF106" s="38" t="n">
        <v>0</v>
      </c>
      <c r="BG106" s="38" t="n">
        <v>0</v>
      </c>
      <c r="BH106" s="38" t="n">
        <v>0</v>
      </c>
      <c r="BI106" s="38" t="n">
        <v>0</v>
      </c>
      <c r="BJ106" s="38" t="n"/>
      <c r="BK106" s="38" t="n"/>
      <c r="BL106" s="38" t="n"/>
      <c r="BM106" s="38" t="n"/>
      <c r="BN106" s="38" t="n"/>
      <c r="BO106" s="38" t="n"/>
      <c r="BP106" s="38" t="n"/>
      <c r="BQ106" s="38" t="n"/>
      <c r="BR106" s="38" t="n"/>
      <c r="BS106" s="38" t="n"/>
      <c r="BT106" s="38" t="n"/>
      <c r="BU106" s="38" t="n"/>
      <c r="BV106" s="38" t="n"/>
      <c r="BW106" s="38" t="n"/>
      <c r="BX106" s="38" t="n"/>
      <c r="BY106" s="38" t="n"/>
      <c r="BZ106" s="38" t="n"/>
      <c r="CA106" s="38" t="n"/>
      <c r="CB106" s="246">
        <f>BZ106+IF(NOT(ISBLANK(OFFSET(CB106,0,6))),N(OFFSET(CB106,0,6)),N(OFFSET(CB106,0,7)))-CA106</f>
        <v/>
      </c>
      <c r="CD106" s="69" t="n"/>
    </row>
    <row r="107" hidden="1" ht="18.75" customHeight="1">
      <c r="A107" s="238" t="inlineStr">
        <is>
          <t>CAIXA P</t>
        </is>
      </c>
      <c r="B107" s="36" t="n">
        <v>150</v>
      </c>
      <c r="C107" s="668" t="n">
        <v>805.35</v>
      </c>
      <c r="D107" s="36" t="n"/>
      <c r="E107" s="53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  <c r="AA107" s="4" t="n"/>
      <c r="AB107" s="4" t="n"/>
      <c r="AC107" s="4" t="n"/>
      <c r="AD107" s="4" t="n"/>
      <c r="AE107" s="4" t="n"/>
      <c r="AF107" s="4" t="n"/>
      <c r="AG107" s="4" t="n"/>
      <c r="AH107" s="4" t="n"/>
      <c r="AI107" s="4" t="n"/>
      <c r="AJ107" s="4" t="n"/>
      <c r="AK107" s="4" t="n"/>
      <c r="AL107" s="4" t="n"/>
      <c r="AM107" s="4" t="n"/>
      <c r="AN107" s="4" t="n"/>
      <c r="AO107" s="4" t="n"/>
      <c r="AP107" s="4" t="n"/>
      <c r="AQ107" s="4" t="n"/>
      <c r="AR107" s="4" t="n"/>
      <c r="AS107" s="4" t="n"/>
      <c r="AT107" s="4" t="n"/>
      <c r="AU107" s="4" t="n"/>
      <c r="AV107" s="4" t="n"/>
      <c r="AW107" s="4" t="n"/>
      <c r="AX107" s="4" t="n"/>
      <c r="AY107" s="38" t="n"/>
      <c r="AZ107" s="38" t="n"/>
      <c r="BA107" s="38" t="n">
        <v>59</v>
      </c>
      <c r="BB107" s="38" t="n">
        <v>59</v>
      </c>
      <c r="BC107" s="38" t="n">
        <v>44</v>
      </c>
      <c r="BD107" s="38" t="n">
        <v>37</v>
      </c>
      <c r="BE107" s="38" t="n">
        <v>3</v>
      </c>
      <c r="BF107" s="38" t="n">
        <v>0</v>
      </c>
      <c r="BG107" s="38" t="n">
        <v>0</v>
      </c>
      <c r="BH107" s="38" t="n">
        <v>0</v>
      </c>
      <c r="BI107" s="38" t="n">
        <v>0</v>
      </c>
      <c r="BJ107" s="38" t="n"/>
      <c r="BK107" s="38" t="n"/>
      <c r="BL107" s="38" t="n"/>
      <c r="BM107" s="38" t="n"/>
      <c r="BN107" s="38" t="n"/>
      <c r="BO107" s="38" t="n"/>
      <c r="BP107" s="38" t="n"/>
      <c r="BQ107" s="38" t="n"/>
      <c r="BR107" s="38" t="n"/>
      <c r="BS107" s="38" t="n"/>
      <c r="BT107" s="38" t="n"/>
      <c r="BU107" s="38" t="n"/>
      <c r="BV107" s="38" t="n"/>
      <c r="BW107" s="38" t="n"/>
      <c r="BX107" s="38" t="n"/>
      <c r="BY107" s="38" t="n"/>
      <c r="BZ107" s="38" t="n"/>
      <c r="CA107" s="38" t="n"/>
      <c r="CB107" s="246">
        <f>BZ107+IF(NOT(ISBLANK(OFFSET(CB107,0,6))),N(OFFSET(CB107,0,6)),N(OFFSET(CB107,0,7)))-CA107</f>
        <v/>
      </c>
      <c r="CD107" s="69" t="n"/>
    </row>
    <row r="108" hidden="1" ht="18.75" customHeight="1">
      <c r="A108" s="238" t="inlineStr">
        <is>
          <t>CAIXA M</t>
        </is>
      </c>
      <c r="B108" s="36" t="n">
        <v>100</v>
      </c>
      <c r="C108" s="668" t="n">
        <v>792.2</v>
      </c>
      <c r="D108" s="36" t="n"/>
      <c r="E108" s="53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  <c r="AA108" s="4" t="n"/>
      <c r="AB108" s="4" t="n"/>
      <c r="AC108" s="4" t="n"/>
      <c r="AD108" s="4" t="n"/>
      <c r="AE108" s="4" t="n"/>
      <c r="AF108" s="4" t="n"/>
      <c r="AG108" s="4" t="n"/>
      <c r="AH108" s="4" t="n"/>
      <c r="AI108" s="4" t="n"/>
      <c r="AJ108" s="4" t="n"/>
      <c r="AK108" s="4" t="n"/>
      <c r="AL108" s="4" t="n"/>
      <c r="AM108" s="4" t="n"/>
      <c r="AN108" s="4" t="n"/>
      <c r="AO108" s="4" t="n"/>
      <c r="AP108" s="4" t="n"/>
      <c r="AQ108" s="4" t="n"/>
      <c r="AR108" s="4" t="n"/>
      <c r="AS108" s="4" t="n"/>
      <c r="AT108" s="4" t="n"/>
      <c r="AU108" s="4" t="n"/>
      <c r="AV108" s="4" t="n"/>
      <c r="AW108" s="4" t="n"/>
      <c r="AX108" s="4" t="n"/>
      <c r="AY108" s="38" t="n"/>
      <c r="AZ108" s="38" t="n"/>
      <c r="BA108" s="38" t="n">
        <v>90</v>
      </c>
      <c r="BB108" s="38" t="n">
        <v>88</v>
      </c>
      <c r="BC108" s="38" t="n">
        <v>77</v>
      </c>
      <c r="BD108" s="38" t="n">
        <v>71</v>
      </c>
      <c r="BE108" s="38" t="n">
        <v>5</v>
      </c>
      <c r="BF108" s="38" t="n">
        <v>0</v>
      </c>
      <c r="BG108" s="38" t="n">
        <v>0</v>
      </c>
      <c r="BH108" s="38" t="n">
        <v>0</v>
      </c>
      <c r="BI108" s="38" t="n">
        <v>0</v>
      </c>
      <c r="BJ108" s="38" t="n"/>
      <c r="BK108" s="38" t="n"/>
      <c r="BL108" s="38" t="n"/>
      <c r="BM108" s="38" t="n"/>
      <c r="BN108" s="38" t="n"/>
      <c r="BO108" s="38" t="n"/>
      <c r="BP108" s="38" t="n"/>
      <c r="BQ108" s="38" t="n"/>
      <c r="BR108" s="38" t="n"/>
      <c r="BS108" s="38" t="n"/>
      <c r="BT108" s="38" t="n"/>
      <c r="BU108" s="38" t="n"/>
      <c r="BV108" s="38" t="n"/>
      <c r="BW108" s="38" t="n"/>
      <c r="BX108" s="38" t="n"/>
      <c r="BY108" s="38" t="n"/>
      <c r="BZ108" s="38" t="n"/>
      <c r="CA108" s="38" t="n"/>
      <c r="CB108" s="246">
        <f>BZ108+IF(NOT(ISBLANK(OFFSET(CB108,0,6))),N(OFFSET(CB108,0,6)),N(OFFSET(CB108,0,7)))-CA108</f>
        <v/>
      </c>
      <c r="CD108" s="69" t="n"/>
    </row>
    <row r="109" hidden="1" ht="18.75" customHeight="1">
      <c r="A109" s="238" t="inlineStr">
        <is>
          <t>CARTUCHO P</t>
        </is>
      </c>
      <c r="B109" s="36" t="n">
        <v>200</v>
      </c>
      <c r="C109" s="668" t="n">
        <v>487.2</v>
      </c>
      <c r="D109" s="36" t="n"/>
      <c r="E109" s="53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  <c r="AA109" s="4" t="n"/>
      <c r="AB109" s="4" t="n"/>
      <c r="AC109" s="4" t="n"/>
      <c r="AD109" s="4" t="n"/>
      <c r="AE109" s="4" t="n"/>
      <c r="AF109" s="4" t="n"/>
      <c r="AG109" s="4" t="n"/>
      <c r="AH109" s="4" t="n"/>
      <c r="AI109" s="4" t="n"/>
      <c r="AJ109" s="4" t="n"/>
      <c r="AK109" s="4" t="n"/>
      <c r="AL109" s="4" t="n"/>
      <c r="AM109" s="4" t="n"/>
      <c r="AN109" s="4" t="n"/>
      <c r="AO109" s="4" t="n"/>
      <c r="AP109" s="4" t="n"/>
      <c r="AQ109" s="4" t="n"/>
      <c r="AR109" s="4" t="n"/>
      <c r="AS109" s="4" t="n"/>
      <c r="AT109" s="4" t="n"/>
      <c r="AU109" s="4" t="n"/>
      <c r="AV109" s="4" t="n"/>
      <c r="AW109" s="4" t="n"/>
      <c r="AX109" s="4" t="n"/>
      <c r="AY109" s="38" t="n"/>
      <c r="AZ109" s="38" t="n"/>
      <c r="BA109" s="38" t="n">
        <v>74</v>
      </c>
      <c r="BB109" s="38" t="n">
        <v>74</v>
      </c>
      <c r="BC109" s="38" t="n">
        <v>46</v>
      </c>
      <c r="BD109" s="38" t="n">
        <v>16</v>
      </c>
      <c r="BE109" s="38" t="n">
        <v>0</v>
      </c>
      <c r="BF109" s="38" t="n">
        <v>0</v>
      </c>
      <c r="BG109" s="38" t="n">
        <v>0</v>
      </c>
      <c r="BH109" s="38" t="n">
        <v>0</v>
      </c>
      <c r="BI109" s="38" t="n">
        <v>0</v>
      </c>
      <c r="BJ109" s="38" t="n"/>
      <c r="BK109" s="38" t="n"/>
      <c r="BL109" s="38" t="n"/>
      <c r="BM109" s="38" t="n"/>
      <c r="BN109" s="38" t="n"/>
      <c r="BO109" s="38" t="n"/>
      <c r="BP109" s="38" t="n"/>
      <c r="BQ109" s="38" t="n"/>
      <c r="BR109" s="38" t="n"/>
      <c r="BS109" s="38" t="n"/>
      <c r="BT109" s="38" t="n"/>
      <c r="BU109" s="38" t="n"/>
      <c r="BV109" s="38" t="n"/>
      <c r="BW109" s="38" t="n"/>
      <c r="BX109" s="38" t="n"/>
      <c r="BY109" s="38" t="n"/>
      <c r="BZ109" s="38" t="n"/>
      <c r="CA109" s="38" t="n"/>
      <c r="CB109" s="246">
        <f>BZ109+IF(NOT(ISBLANK(OFFSET(CB109,0,6))),N(OFFSET(CB109,0,6)),N(OFFSET(CB109,0,7)))-CA109</f>
        <v/>
      </c>
      <c r="CD109" s="69" t="n"/>
    </row>
    <row r="110" hidden="1" ht="18.75" customHeight="1">
      <c r="A110" s="238" t="inlineStr">
        <is>
          <t>CARTUCHO M</t>
        </is>
      </c>
      <c r="B110" s="36" t="n">
        <v>150</v>
      </c>
      <c r="C110" s="668" t="n">
        <v>460.35</v>
      </c>
      <c r="D110" s="36" t="n"/>
      <c r="E110" s="53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  <c r="AA110" s="4" t="n"/>
      <c r="AB110" s="4" t="n"/>
      <c r="AC110" s="4" t="n"/>
      <c r="AD110" s="4" t="n"/>
      <c r="AE110" s="4" t="n"/>
      <c r="AF110" s="4" t="n"/>
      <c r="AG110" s="4" t="n"/>
      <c r="AH110" s="4" t="n"/>
      <c r="AI110" s="4" t="n"/>
      <c r="AJ110" s="4" t="n"/>
      <c r="AK110" s="4" t="n"/>
      <c r="AL110" s="4" t="n"/>
      <c r="AM110" s="4" t="n"/>
      <c r="AN110" s="4" t="n"/>
      <c r="AO110" s="4" t="n"/>
      <c r="AP110" s="4" t="n"/>
      <c r="AQ110" s="4" t="n"/>
      <c r="AR110" s="4" t="n"/>
      <c r="AS110" s="4" t="n"/>
      <c r="AT110" s="4" t="n"/>
      <c r="AU110" s="4" t="n"/>
      <c r="AV110" s="4" t="n"/>
      <c r="AW110" s="4" t="n"/>
      <c r="AX110" s="4" t="n"/>
      <c r="AY110" s="38" t="n"/>
      <c r="AZ110" s="38" t="n"/>
      <c r="BA110" s="38" t="n">
        <v>128</v>
      </c>
      <c r="BB110" s="38" t="n">
        <v>126</v>
      </c>
      <c r="BC110" s="38" t="n">
        <v>109</v>
      </c>
      <c r="BD110" s="38" t="n">
        <v>98</v>
      </c>
      <c r="BE110" s="38" t="n">
        <v>0</v>
      </c>
      <c r="BF110" s="38" t="n">
        <v>0</v>
      </c>
      <c r="BG110" s="38" t="n">
        <v>0</v>
      </c>
      <c r="BH110" s="38" t="n">
        <v>0</v>
      </c>
      <c r="BI110" s="38" t="n">
        <v>0</v>
      </c>
      <c r="BJ110" s="38" t="n"/>
      <c r="BK110" s="38" t="n"/>
      <c r="BL110" s="38" t="n"/>
      <c r="BM110" s="38" t="n"/>
      <c r="BN110" s="38" t="n"/>
      <c r="BO110" s="38" t="n"/>
      <c r="BP110" s="38" t="n"/>
      <c r="BQ110" s="38" t="n"/>
      <c r="BR110" s="38" t="n"/>
      <c r="BS110" s="38" t="n"/>
      <c r="BT110" s="38" t="n"/>
      <c r="BU110" s="38" t="n"/>
      <c r="BV110" s="38" t="n"/>
      <c r="BW110" s="38" t="n"/>
      <c r="BX110" s="38" t="n"/>
      <c r="BY110" s="38" t="n"/>
      <c r="BZ110" s="38" t="n"/>
      <c r="CA110" s="38" t="n"/>
      <c r="CB110" s="246">
        <f>BZ110+IF(NOT(ISBLANK(OFFSET(CB110,0,6))),N(OFFSET(CB110,0,6)),N(OFFSET(CB110,0,7)))-CA110</f>
        <v/>
      </c>
      <c r="CD110" s="69" t="n"/>
    </row>
    <row r="111" hidden="1" ht="18.75" customHeight="1">
      <c r="A111" s="31" t="n"/>
      <c r="B111" s="53" t="n"/>
      <c r="C111" s="53" t="n"/>
      <c r="E111" s="53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  <c r="AA111" s="4" t="n"/>
      <c r="AB111" s="4" t="n"/>
      <c r="AC111" s="4" t="n"/>
      <c r="AD111" s="4" t="n"/>
      <c r="AE111" s="4" t="n"/>
      <c r="AF111" s="4" t="n"/>
      <c r="AG111" s="4" t="n"/>
      <c r="AH111" s="4" t="n"/>
      <c r="AI111" s="4" t="n"/>
      <c r="AJ111" s="4" t="n"/>
      <c r="AK111" s="4" t="n"/>
      <c r="AL111" s="4" t="n"/>
      <c r="AM111" s="4" t="n"/>
      <c r="AN111" s="4" t="n"/>
      <c r="AO111" s="4" t="n"/>
      <c r="AP111" s="4" t="n"/>
      <c r="AQ111" s="4" t="n"/>
      <c r="AR111" s="4" t="n"/>
      <c r="AS111" s="4" t="n"/>
      <c r="AT111" s="4" t="n"/>
      <c r="AU111" s="4" t="n"/>
      <c r="AV111" s="4" t="n"/>
      <c r="AW111" s="4" t="n"/>
      <c r="AX111" s="4" t="n"/>
      <c r="AY111" s="4" t="n"/>
      <c r="AZ111" s="4" t="n"/>
      <c r="BA111" s="4" t="n"/>
      <c r="BB111" s="4" t="n"/>
      <c r="BC111" s="4" t="n"/>
      <c r="BD111" s="4" t="n"/>
      <c r="BE111" s="4" t="n"/>
      <c r="BF111" s="4" t="n"/>
      <c r="BG111" s="4" t="n"/>
      <c r="BH111" s="4" t="n"/>
      <c r="BI111" s="4" t="n"/>
      <c r="BJ111" s="4" t="n"/>
      <c r="BK111" s="4" t="n"/>
      <c r="BL111" s="4" t="n"/>
      <c r="BM111" s="4" t="n"/>
      <c r="BN111" s="4" t="n"/>
      <c r="BO111" s="4" t="n"/>
      <c r="BP111" s="4" t="n"/>
      <c r="BQ111" s="4" t="n"/>
      <c r="BR111" s="4" t="n"/>
      <c r="BS111" s="4" t="n"/>
      <c r="BT111" s="4" t="n"/>
      <c r="BU111" s="4" t="n"/>
      <c r="BV111" s="4" t="n"/>
      <c r="BW111" s="4" t="n"/>
      <c r="BX111" s="4" t="n"/>
      <c r="BY111" s="4" t="n"/>
      <c r="BZ111" s="4" t="n"/>
      <c r="CA111" s="4" t="n"/>
      <c r="CB111" s="53" t="n"/>
      <c r="CD111" s="69" t="n"/>
      <c r="DL111" s="6" t="n"/>
    </row>
    <row r="112" ht="18.75" customHeight="1">
      <c r="A112" s="408" t="inlineStr">
        <is>
          <t>EUDORA MÃES/26</t>
        </is>
      </c>
      <c r="B112" s="409" t="inlineStr">
        <is>
          <t>PC</t>
        </is>
      </c>
      <c r="C112" s="409" t="inlineStr">
        <is>
          <t>R$</t>
        </is>
      </c>
      <c r="D112" s="409" t="n"/>
      <c r="E112" s="53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  <c r="AA112" s="4" t="n"/>
      <c r="AB112" s="4" t="n"/>
      <c r="AC112" s="4" t="n"/>
      <c r="AD112" s="4" t="n"/>
      <c r="AE112" s="4" t="n"/>
      <c r="AF112" s="4" t="n"/>
      <c r="AG112" s="4" t="n"/>
      <c r="AH112" s="4" t="n"/>
      <c r="AI112" s="4" t="n"/>
      <c r="AJ112" s="4" t="n"/>
      <c r="AK112" s="4" t="n"/>
      <c r="AL112" s="4" t="n"/>
      <c r="AM112" s="4" t="n"/>
      <c r="AN112" s="4" t="n"/>
      <c r="AO112" s="4" t="n"/>
      <c r="AP112" s="4" t="n"/>
      <c r="AQ112" s="4" t="n"/>
      <c r="AR112" s="4" t="n"/>
      <c r="AS112" s="4" t="n"/>
      <c r="AT112" s="4" t="n"/>
      <c r="AU112" s="4" t="n"/>
      <c r="AV112" s="4" t="n"/>
      <c r="AW112" s="4" t="n"/>
      <c r="AX112" s="4" t="n"/>
      <c r="AY112" s="4" t="n"/>
      <c r="AZ112" s="4" t="n"/>
      <c r="BA112" s="4" t="n"/>
      <c r="BB112" s="4" t="n"/>
      <c r="BC112" s="4" t="n"/>
      <c r="BD112" s="4" t="n"/>
      <c r="BE112" s="4" t="n"/>
      <c r="BF112" s="4" t="n"/>
      <c r="BG112" s="4" t="n"/>
      <c r="BH112" s="4" t="n"/>
      <c r="BI112" s="4" t="n"/>
      <c r="BJ112" s="4" t="n"/>
      <c r="BK112" s="4" t="n"/>
      <c r="BL112" s="4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60" t="inlineStr">
        <is>
          <t>USOU</t>
        </is>
      </c>
      <c r="CD112" s="69" t="n"/>
      <c r="DL112" s="6" t="n"/>
    </row>
    <row r="113" ht="18.75" customHeight="1">
      <c r="A113" s="33" t="inlineStr">
        <is>
          <t xml:space="preserve">SACOLA M </t>
        </is>
      </c>
      <c r="B113" s="9" t="n">
        <v>150</v>
      </c>
      <c r="C113" s="662" t="n"/>
      <c r="D113" s="329" t="n"/>
      <c r="E113" s="53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  <c r="AA113" s="4" t="n"/>
      <c r="AB113" s="4" t="n"/>
      <c r="AC113" s="4" t="n"/>
      <c r="AD113" s="4" t="n"/>
      <c r="AE113" s="4" t="n"/>
      <c r="AF113" s="4" t="n"/>
      <c r="AG113" s="4" t="n"/>
      <c r="AH113" s="4" t="n"/>
      <c r="AI113" s="4" t="n"/>
      <c r="AJ113" s="4" t="n"/>
      <c r="AK113" s="4" t="n"/>
      <c r="AL113" s="4" t="n"/>
      <c r="AM113" s="4" t="n"/>
      <c r="AN113" s="4" t="n"/>
      <c r="AO113" s="4" t="n"/>
      <c r="AP113" s="4" t="n"/>
      <c r="AQ113" s="4" t="n"/>
      <c r="AR113" s="4" t="n"/>
      <c r="AS113" s="4" t="n"/>
      <c r="AT113" s="4" t="n"/>
      <c r="AU113" s="4" t="n"/>
      <c r="AV113" s="4" t="n"/>
      <c r="AW113" s="4" t="n"/>
      <c r="AX113" s="4" t="n"/>
      <c r="AY113" s="4" t="n"/>
      <c r="AZ113" s="4" t="n"/>
      <c r="BA113" s="4" t="n"/>
      <c r="BB113" s="4" t="n"/>
      <c r="BC113" s="4" t="n"/>
      <c r="BD113" s="4" t="n"/>
      <c r="BE113" s="4" t="n"/>
      <c r="BF113" s="4" t="n"/>
      <c r="BG113" s="4" t="n"/>
      <c r="BH113" s="4" t="n"/>
      <c r="BI113" s="4" t="n"/>
      <c r="BJ113" s="4" t="n"/>
      <c r="BK113" s="4" t="n"/>
      <c r="BL113" s="4" t="n"/>
      <c r="BM113" s="38" t="n">
        <v>0</v>
      </c>
      <c r="BN113" s="38" t="n">
        <v>0</v>
      </c>
      <c r="BO113" s="38">
        <f>CO10</f>
        <v/>
      </c>
      <c r="BP113" s="38" t="n">
        <v>150</v>
      </c>
      <c r="BQ113" s="38" t="n">
        <v>150</v>
      </c>
      <c r="BR113" s="38" t="n">
        <v>150</v>
      </c>
      <c r="BS113" s="38" t="n">
        <v>150</v>
      </c>
      <c r="BT113" s="38" t="n">
        <v>150</v>
      </c>
      <c r="BU113" s="38" t="n">
        <v>150</v>
      </c>
      <c r="BV113" s="38" t="n">
        <v>150</v>
      </c>
      <c r="BW113" s="38" t="n">
        <v>450</v>
      </c>
      <c r="BX113" s="38" t="n">
        <v>450</v>
      </c>
      <c r="BY113" s="38" t="n">
        <v>300</v>
      </c>
      <c r="BZ113" s="38" t="n"/>
      <c r="CA113" s="38" t="n"/>
      <c r="CB113" s="246">
        <f>BZ113+IF(NOT(ISBLANK(OFFSET(CB113,0,6))),N(OFFSET(CB113,0,6)),N(OFFSET(CB113,0,7)))-CA113</f>
        <v/>
      </c>
      <c r="CD113" s="69" t="n"/>
      <c r="DL113" s="6" t="n"/>
    </row>
    <row r="114" ht="18.75" customHeight="1">
      <c r="A114" s="33" t="inlineStr">
        <is>
          <t>ADESIVO</t>
        </is>
      </c>
      <c r="B114" s="9" t="n">
        <v>1000</v>
      </c>
      <c r="C114" s="662" t="n"/>
      <c r="D114" s="329" t="n"/>
      <c r="E114" s="53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  <c r="AA114" s="4" t="n"/>
      <c r="AB114" s="4" t="n"/>
      <c r="AC114" s="4" t="n"/>
      <c r="AD114" s="4" t="n"/>
      <c r="AE114" s="4" t="n"/>
      <c r="AF114" s="4" t="n"/>
      <c r="AG114" s="4" t="n"/>
      <c r="AH114" s="4" t="n"/>
      <c r="AI114" s="4" t="n"/>
      <c r="AJ114" s="4" t="n"/>
      <c r="AK114" s="4" t="n"/>
      <c r="AL114" s="4" t="n"/>
      <c r="AM114" s="4" t="n"/>
      <c r="AN114" s="4" t="n"/>
      <c r="AO114" s="4" t="n"/>
      <c r="AP114" s="4" t="n"/>
      <c r="AQ114" s="4" t="n"/>
      <c r="AR114" s="4" t="n"/>
      <c r="AS114" s="4" t="n"/>
      <c r="AT114" s="4" t="n"/>
      <c r="AU114" s="4" t="n"/>
      <c r="AV114" s="4" t="n"/>
      <c r="AW114" s="4" t="n"/>
      <c r="AX114" s="4" t="n"/>
      <c r="AY114" s="4" t="n"/>
      <c r="AZ114" s="4" t="n"/>
      <c r="BA114" s="4" t="n"/>
      <c r="BB114" s="4" t="n"/>
      <c r="BC114" s="4" t="n"/>
      <c r="BD114" s="4" t="n"/>
      <c r="BE114" s="4" t="n"/>
      <c r="BF114" s="4" t="n"/>
      <c r="BG114" s="4" t="n"/>
      <c r="BH114" s="4" t="n"/>
      <c r="BI114" s="4" t="n"/>
      <c r="BJ114" s="4" t="n"/>
      <c r="BK114" s="4" t="n"/>
      <c r="BL114" s="4" t="n"/>
      <c r="BM114" s="38" t="n">
        <v>0</v>
      </c>
      <c r="BN114" s="38" t="n">
        <v>0</v>
      </c>
      <c r="BO114" s="38">
        <f>CO17</f>
        <v/>
      </c>
      <c r="BP114" s="38" t="n">
        <v>1</v>
      </c>
      <c r="BQ114" s="38" t="n">
        <v>1</v>
      </c>
      <c r="BR114" s="38" t="n">
        <v>1</v>
      </c>
      <c r="BS114" s="38" t="n">
        <v>1</v>
      </c>
      <c r="BT114" s="38" t="n">
        <v>0</v>
      </c>
      <c r="BU114" s="38" t="n">
        <v>0</v>
      </c>
      <c r="BV114" s="38" t="n">
        <v>0</v>
      </c>
      <c r="BW114" s="38" t="n">
        <v>0</v>
      </c>
      <c r="BX114" s="38" t="n">
        <v>0</v>
      </c>
      <c r="BY114" s="38" t="n">
        <v>0</v>
      </c>
      <c r="BZ114" s="38" t="n"/>
      <c r="CA114" s="38" t="n"/>
      <c r="CB114" s="246">
        <f>BZ114+IF(NOT(ISBLANK(OFFSET(CB114,0,6))),N(OFFSET(CB114,0,6)),N(OFFSET(CB114,0,7)))-CA114</f>
        <v/>
      </c>
      <c r="CD114" s="69" t="n"/>
      <c r="DL114" s="6" t="n"/>
    </row>
    <row r="115" ht="18.75" customHeight="1">
      <c r="A115" s="33" t="inlineStr">
        <is>
          <t>PAPEL DE SEDA</t>
        </is>
      </c>
      <c r="B115" s="9" t="n">
        <v>200</v>
      </c>
      <c r="C115" s="662" t="n"/>
      <c r="D115" s="329" t="n"/>
      <c r="E115" s="53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  <c r="AA115" s="4" t="n"/>
      <c r="AB115" s="4" t="n"/>
      <c r="AC115" s="4" t="n"/>
      <c r="AD115" s="4" t="n"/>
      <c r="AE115" s="4" t="n"/>
      <c r="AF115" s="4" t="n"/>
      <c r="AG115" s="4" t="n"/>
      <c r="AH115" s="4" t="n"/>
      <c r="AI115" s="4" t="n"/>
      <c r="AJ115" s="4" t="n"/>
      <c r="AK115" s="4" t="n"/>
      <c r="AL115" s="4" t="n"/>
      <c r="AM115" s="4" t="n"/>
      <c r="AN115" s="4" t="n"/>
      <c r="AO115" s="4" t="n"/>
      <c r="AP115" s="4" t="n"/>
      <c r="AQ115" s="4" t="n"/>
      <c r="AR115" s="4" t="n"/>
      <c r="AS115" s="4" t="n"/>
      <c r="AT115" s="4" t="n"/>
      <c r="AU115" s="4" t="n"/>
      <c r="AV115" s="4" t="n"/>
      <c r="AW115" s="4" t="n"/>
      <c r="AX115" s="4" t="n"/>
      <c r="AY115" s="4" t="n"/>
      <c r="AZ115" s="4" t="n"/>
      <c r="BA115" s="4" t="n"/>
      <c r="BB115" s="4" t="n"/>
      <c r="BC115" s="4" t="n"/>
      <c r="BD115" s="4" t="n"/>
      <c r="BE115" s="4" t="n"/>
      <c r="BF115" s="4" t="n"/>
      <c r="BG115" s="4" t="n"/>
      <c r="BH115" s="4" t="n"/>
      <c r="BI115" s="4" t="n"/>
      <c r="BJ115" s="4" t="n"/>
      <c r="BK115" s="4" t="n"/>
      <c r="BL115" s="4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 t="n">
        <v>0</v>
      </c>
      <c r="BS115" s="38" t="n">
        <v>0</v>
      </c>
      <c r="BT115" s="38" t="n">
        <v>0</v>
      </c>
      <c r="BU115" s="38" t="n">
        <v>0</v>
      </c>
      <c r="BV115" s="38" t="n">
        <v>0</v>
      </c>
      <c r="BW115" s="38" t="n">
        <v>0</v>
      </c>
      <c r="BX115" s="38" t="n">
        <v>0</v>
      </c>
      <c r="BY115" s="38" t="n">
        <v>0</v>
      </c>
      <c r="BZ115" s="38" t="n"/>
      <c r="CA115" s="38" t="n"/>
      <c r="CB115" s="246">
        <f>BZ115+IF(NOT(ISBLANK(OFFSET(CB115,0,6))),N(OFFSET(CB115,0,6)),N(OFFSET(CB115,0,7)))-CA115</f>
        <v/>
      </c>
      <c r="CD115" s="69" t="n"/>
      <c r="DL115" s="6" t="n"/>
    </row>
    <row r="116" ht="18.75" customHeight="1">
      <c r="A116" s="33" t="inlineStr">
        <is>
          <t>SACOLA M VENDA</t>
        </is>
      </c>
      <c r="B116" s="9" t="n">
        <v>150</v>
      </c>
      <c r="C116" s="662" t="n"/>
      <c r="D116" s="329" t="n"/>
      <c r="E116" s="53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  <c r="AA116" s="4" t="n"/>
      <c r="AB116" s="4" t="n"/>
      <c r="AC116" s="4" t="n"/>
      <c r="AD116" s="4" t="n"/>
      <c r="AE116" s="4" t="n"/>
      <c r="AF116" s="4" t="n"/>
      <c r="AG116" s="4" t="n"/>
      <c r="AH116" s="4" t="n"/>
      <c r="AI116" s="4" t="n"/>
      <c r="AJ116" s="4" t="n"/>
      <c r="AK116" s="4" t="n"/>
      <c r="AL116" s="4" t="n"/>
      <c r="AM116" s="4" t="n"/>
      <c r="AN116" s="4" t="n"/>
      <c r="AO116" s="4" t="n"/>
      <c r="AP116" s="4" t="n"/>
      <c r="AQ116" s="4" t="n"/>
      <c r="AR116" s="4" t="n"/>
      <c r="AS116" s="4" t="n"/>
      <c r="AT116" s="4" t="n"/>
      <c r="AU116" s="4" t="n"/>
      <c r="AV116" s="4" t="n"/>
      <c r="AW116" s="4" t="n"/>
      <c r="AX116" s="4" t="n"/>
      <c r="AY116" s="4" t="n"/>
      <c r="AZ116" s="4" t="n"/>
      <c r="BA116" s="4" t="n"/>
      <c r="BB116" s="4" t="n"/>
      <c r="BC116" s="4" t="n"/>
      <c r="BD116" s="4" t="n"/>
      <c r="BE116" s="4" t="n"/>
      <c r="BF116" s="4" t="n"/>
      <c r="BG116" s="4" t="n"/>
      <c r="BH116" s="4" t="n"/>
      <c r="BI116" s="4" t="n"/>
      <c r="BJ116" s="4" t="n"/>
      <c r="BK116" s="4" t="n"/>
      <c r="BL116" s="4" t="n"/>
      <c r="BM116" s="38" t="n">
        <v>0</v>
      </c>
      <c r="BN116" s="38" t="n">
        <v>0</v>
      </c>
      <c r="BO116" s="38">
        <f>CO29</f>
        <v/>
      </c>
      <c r="BP116" s="38" t="n">
        <v>300</v>
      </c>
      <c r="BQ116" s="38" t="n">
        <v>284</v>
      </c>
      <c r="BR116" s="38" t="n">
        <v>0</v>
      </c>
      <c r="BS116" s="38" t="n">
        <v>0</v>
      </c>
      <c r="BT116" s="38" t="n">
        <v>0</v>
      </c>
      <c r="BU116" s="38" t="n">
        <v>0</v>
      </c>
      <c r="BV116" s="38" t="n">
        <v>0</v>
      </c>
      <c r="BW116" s="38" t="n">
        <v>0</v>
      </c>
      <c r="BX116" s="38" t="n">
        <v>0</v>
      </c>
      <c r="BY116" s="38" t="n">
        <v>0</v>
      </c>
      <c r="BZ116" s="38" t="n">
        <v>0</v>
      </c>
      <c r="CA116" s="38" t="n">
        <v>0</v>
      </c>
      <c r="CB116" s="246">
        <f>BZ116+IF(NOT(ISBLANK(OFFSET(CB116,0,6))),N(OFFSET(CB116,0,6)),N(OFFSET(CB116,0,7)))-CA116</f>
        <v/>
      </c>
      <c r="CD116" s="69" t="n"/>
      <c r="DL116" s="6" t="n"/>
    </row>
    <row r="117" ht="18.75" customHeight="1">
      <c r="A117" s="33" t="inlineStr">
        <is>
          <t>KIT TAG 10 C/ 20</t>
        </is>
      </c>
      <c r="B117" s="9" t="n">
        <v>200</v>
      </c>
      <c r="C117" s="662" t="n"/>
      <c r="D117" s="329" t="n"/>
      <c r="E117" s="53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  <c r="AA117" s="4" t="n"/>
      <c r="AB117" s="4" t="n"/>
      <c r="AC117" s="4" t="n"/>
      <c r="AD117" s="4" t="n"/>
      <c r="AE117" s="4" t="n"/>
      <c r="AF117" s="4" t="n"/>
      <c r="AG117" s="4" t="n"/>
      <c r="AH117" s="4" t="n"/>
      <c r="AI117" s="4" t="n"/>
      <c r="AJ117" s="4" t="n"/>
      <c r="AK117" s="4" t="n"/>
      <c r="AL117" s="4" t="n"/>
      <c r="AM117" s="4" t="n"/>
      <c r="AN117" s="4" t="n"/>
      <c r="AO117" s="4" t="n"/>
      <c r="AP117" s="4" t="n"/>
      <c r="AQ117" s="4" t="n"/>
      <c r="AR117" s="4" t="n"/>
      <c r="AS117" s="4" t="n"/>
      <c r="AT117" s="4" t="n"/>
      <c r="AU117" s="4" t="n"/>
      <c r="AV117" s="4" t="n"/>
      <c r="AW117" s="4" t="n"/>
      <c r="AX117" s="4" t="n"/>
      <c r="AY117" s="4" t="n"/>
      <c r="AZ117" s="4" t="n"/>
      <c r="BA117" s="4" t="n"/>
      <c r="BB117" s="4" t="n"/>
      <c r="BC117" s="4" t="n"/>
      <c r="BD117" s="4" t="n"/>
      <c r="BE117" s="4" t="n"/>
      <c r="BF117" s="4" t="n"/>
      <c r="BG117" s="4" t="n"/>
      <c r="BH117" s="4" t="n"/>
      <c r="BI117" s="4" t="n"/>
      <c r="BJ117" s="4" t="n"/>
      <c r="BK117" s="4" t="n"/>
      <c r="BL117" s="4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0</v>
      </c>
      <c r="BV117" s="38" t="n">
        <v>0</v>
      </c>
      <c r="BW117" s="38" t="n">
        <v>0</v>
      </c>
      <c r="BX117" s="38" t="n">
        <v>0</v>
      </c>
      <c r="BY117" s="38" t="n">
        <v>0</v>
      </c>
      <c r="BZ117" s="38" t="n">
        <v>0</v>
      </c>
      <c r="CA117" s="38" t="n">
        <v>0</v>
      </c>
      <c r="CB117" s="246">
        <f>BZ117+IF(NOT(ISBLANK(OFFSET(CB117,0,6))),N(OFFSET(CB117,0,6)),N(OFFSET(CB117,0,7)))-CA117</f>
        <v/>
      </c>
      <c r="CD117" s="69" t="n"/>
      <c r="DL117" s="6" t="n"/>
    </row>
    <row r="118" ht="18.75" customHeight="1">
      <c r="A118" s="238" t="inlineStr">
        <is>
          <t>CAIXA M</t>
        </is>
      </c>
      <c r="B118" s="36" t="n">
        <v>100</v>
      </c>
      <c r="C118" s="668" t="n"/>
      <c r="D118" s="36" t="n"/>
      <c r="E118" s="53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  <c r="AA118" s="4" t="n"/>
      <c r="AB118" s="4" t="n"/>
      <c r="AC118" s="4" t="n"/>
      <c r="AD118" s="4" t="n"/>
      <c r="AE118" s="4" t="n"/>
      <c r="AF118" s="4" t="n"/>
      <c r="AG118" s="4" t="n"/>
      <c r="AH118" s="4" t="n"/>
      <c r="AI118" s="4" t="n"/>
      <c r="AJ118" s="4" t="n"/>
      <c r="AK118" s="4" t="n"/>
      <c r="AL118" s="4" t="n"/>
      <c r="AM118" s="4" t="n"/>
      <c r="AN118" s="4" t="n"/>
      <c r="AO118" s="4" t="n"/>
      <c r="AP118" s="4" t="n"/>
      <c r="AQ118" s="4" t="n"/>
      <c r="AR118" s="4" t="n"/>
      <c r="AS118" s="4" t="n"/>
      <c r="AT118" s="4" t="n"/>
      <c r="AU118" s="4" t="n"/>
      <c r="AV118" s="4" t="n"/>
      <c r="AW118" s="4" t="n"/>
      <c r="AX118" s="4" t="n"/>
      <c r="AY118" s="4" t="n"/>
      <c r="AZ118" s="4" t="n"/>
      <c r="BA118" s="4" t="n"/>
      <c r="BB118" s="4" t="n"/>
      <c r="BC118" s="4" t="n"/>
      <c r="BD118" s="4" t="n"/>
      <c r="BE118" s="4" t="n"/>
      <c r="BF118" s="4" t="n"/>
      <c r="BG118" s="4" t="n"/>
      <c r="BH118" s="4" t="n"/>
      <c r="BI118" s="4" t="n"/>
      <c r="BJ118" s="4" t="n"/>
      <c r="BK118" s="4" t="n"/>
      <c r="BL118" s="4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15</v>
      </c>
      <c r="BR118" s="38" t="n">
        <v>15</v>
      </c>
      <c r="BS118" s="38" t="n">
        <v>15</v>
      </c>
      <c r="BT118" s="38" t="n">
        <v>15</v>
      </c>
      <c r="BU118" s="38" t="n">
        <v>15</v>
      </c>
      <c r="BV118" s="38" t="n">
        <v>15</v>
      </c>
      <c r="BW118" s="38" t="n">
        <v>14</v>
      </c>
      <c r="BX118" s="38" t="n">
        <v>14</v>
      </c>
      <c r="BY118" s="38" t="n">
        <v>14</v>
      </c>
      <c r="BZ118" s="38" t="n">
        <v>14</v>
      </c>
      <c r="CA118" s="38" t="n">
        <v>14</v>
      </c>
      <c r="CB118" s="246">
        <f>BZ118+IF(NOT(ISBLANK(OFFSET(CB118,0,6))),N(OFFSET(CB118,0,6)),N(OFFSET(CB118,0,7)))-CA118</f>
        <v/>
      </c>
      <c r="CD118" s="69" t="n"/>
      <c r="DL118" s="6" t="n"/>
    </row>
    <row r="119" ht="18.75" customHeight="1">
      <c r="A119" s="238" t="inlineStr">
        <is>
          <t>CARTUCHO P</t>
        </is>
      </c>
      <c r="B119" s="36" t="n">
        <v>200</v>
      </c>
      <c r="C119" s="668" t="n"/>
      <c r="D119" s="36" t="n"/>
      <c r="E119" s="53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  <c r="AA119" s="4" t="n"/>
      <c r="AB119" s="4" t="n"/>
      <c r="AC119" s="4" t="n"/>
      <c r="AD119" s="4" t="n"/>
      <c r="AE119" s="4" t="n"/>
      <c r="AF119" s="4" t="n"/>
      <c r="AG119" s="4" t="n"/>
      <c r="AH119" s="4" t="n"/>
      <c r="AI119" s="4" t="n"/>
      <c r="AJ119" s="4" t="n"/>
      <c r="AK119" s="4" t="n"/>
      <c r="AL119" s="4" t="n"/>
      <c r="AM119" s="4" t="n"/>
      <c r="AN119" s="4" t="n"/>
      <c r="AO119" s="4" t="n"/>
      <c r="AP119" s="4" t="n"/>
      <c r="AQ119" s="4" t="n"/>
      <c r="AR119" s="4" t="n"/>
      <c r="AS119" s="4" t="n"/>
      <c r="AT119" s="4" t="n"/>
      <c r="AU119" s="4" t="n"/>
      <c r="AV119" s="4" t="n"/>
      <c r="AW119" s="4" t="n"/>
      <c r="AX119" s="4" t="n"/>
      <c r="AY119" s="4" t="n"/>
      <c r="AZ119" s="4" t="n"/>
      <c r="BA119" s="4" t="n"/>
      <c r="BB119" s="4" t="n"/>
      <c r="BC119" s="4" t="n"/>
      <c r="BD119" s="4" t="n"/>
      <c r="BE119" s="4" t="n"/>
      <c r="BF119" s="4" t="n"/>
      <c r="BG119" s="4" t="n"/>
      <c r="BH119" s="4" t="n"/>
      <c r="BI119" s="4" t="n"/>
      <c r="BJ119" s="4" t="n"/>
      <c r="BK119" s="4" t="n"/>
      <c r="BL119" s="4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 t="n">
        <v>0</v>
      </c>
      <c r="BS119" s="38" t="n">
        <v>0</v>
      </c>
      <c r="BT119" s="38" t="n">
        <v>0</v>
      </c>
      <c r="BU119" s="38" t="n">
        <v>0</v>
      </c>
      <c r="BV119" s="38" t="n">
        <v>0</v>
      </c>
      <c r="BW119" s="38" t="n">
        <v>0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246">
        <f>BZ119+IF(NOT(ISBLANK(OFFSET(CB119,0,6))),N(OFFSET(CB119,0,6)),N(OFFSET(CB119,0,7)))-CA119</f>
        <v/>
      </c>
      <c r="CD119" s="69" t="n"/>
      <c r="DL119" s="6" t="n"/>
    </row>
    <row r="120" ht="18.75" customHeight="1">
      <c r="E120" s="53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  <c r="AA120" s="4" t="n"/>
      <c r="AB120" s="4" t="n"/>
      <c r="AC120" s="4" t="n"/>
      <c r="AD120" s="4" t="n"/>
      <c r="AE120" s="4" t="n"/>
      <c r="AF120" s="4" t="n"/>
      <c r="AG120" s="4" t="n"/>
      <c r="AH120" s="4" t="n"/>
      <c r="AI120" s="4" t="n"/>
      <c r="AJ120" s="4" t="n"/>
      <c r="AK120" s="4" t="n"/>
      <c r="AL120" s="4" t="n"/>
      <c r="AM120" s="4" t="n"/>
      <c r="AN120" s="4" t="n"/>
      <c r="AO120" s="4" t="n"/>
      <c r="AP120" s="4" t="n"/>
      <c r="AQ120" s="4" t="n"/>
      <c r="AR120" s="4" t="n"/>
      <c r="AS120" s="4" t="n"/>
      <c r="AT120" s="4" t="n"/>
      <c r="AU120" s="4" t="n"/>
      <c r="AV120" s="4" t="n"/>
      <c r="AW120" s="4" t="n"/>
      <c r="AX120" s="4" t="n"/>
      <c r="AY120" s="4" t="n"/>
      <c r="AZ120" s="4" t="n"/>
      <c r="BA120" s="4" t="n"/>
      <c r="BB120" s="4" t="n"/>
      <c r="BC120" s="4" t="n"/>
      <c r="BD120" s="4" t="n"/>
      <c r="BE120" s="4" t="n"/>
      <c r="BF120" s="4" t="n"/>
      <c r="BG120" s="4" t="n"/>
      <c r="BH120" s="4" t="n"/>
      <c r="BI120" s="4" t="n"/>
      <c r="BJ120" s="4" t="n"/>
      <c r="BK120" s="4" t="n"/>
      <c r="BL120" s="4" t="n"/>
      <c r="CD120" s="69" t="n"/>
      <c r="DL120" s="6" t="n"/>
    </row>
    <row r="121" ht="18.75" customHeight="1">
      <c r="A121" s="410" t="inlineStr">
        <is>
          <t>BOTICÁRIO MÃES/26</t>
        </is>
      </c>
      <c r="B121" s="357" t="inlineStr">
        <is>
          <t>PC</t>
        </is>
      </c>
      <c r="C121" s="357" t="inlineStr">
        <is>
          <t>R$</t>
        </is>
      </c>
      <c r="D121" s="357" t="n"/>
      <c r="E121" s="53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  <c r="AA121" s="4" t="n"/>
      <c r="AB121" s="4" t="n"/>
      <c r="AC121" s="4" t="n"/>
      <c r="AD121" s="4" t="n"/>
      <c r="AE121" s="4" t="n"/>
      <c r="AF121" s="4" t="n"/>
      <c r="AG121" s="4" t="n"/>
      <c r="AH121" s="4" t="n"/>
      <c r="AI121" s="4" t="n"/>
      <c r="AJ121" s="4" t="n"/>
      <c r="AK121" s="4" t="n"/>
      <c r="AL121" s="4" t="n"/>
      <c r="AM121" s="4" t="n"/>
      <c r="AN121" s="4" t="n"/>
      <c r="AO121" s="4" t="n"/>
      <c r="AP121" s="4" t="n"/>
      <c r="AQ121" s="4" t="n"/>
      <c r="AR121" s="4" t="n"/>
      <c r="AS121" s="4" t="n"/>
      <c r="AT121" s="4" t="n"/>
      <c r="AU121" s="4" t="n"/>
      <c r="AV121" s="4" t="n"/>
      <c r="AW121" s="4" t="n"/>
      <c r="AX121" s="4" t="n"/>
      <c r="AY121" s="4" t="n"/>
      <c r="AZ121" s="4" t="n"/>
      <c r="BA121" s="4" t="n"/>
      <c r="BB121" s="4" t="n"/>
      <c r="BC121" s="4" t="n"/>
      <c r="BD121" s="4" t="n"/>
      <c r="BE121" s="4" t="n"/>
      <c r="BF121" s="4" t="n"/>
      <c r="BG121" s="4" t="n"/>
      <c r="BH121" s="4" t="n"/>
      <c r="BI121" s="4" t="n"/>
      <c r="BJ121" s="4" t="n"/>
      <c r="BK121" s="4" t="n"/>
      <c r="BL121" s="4" t="n"/>
      <c r="BM121" s="650" t="n">
        <v>46069</v>
      </c>
      <c r="BN121" s="650" t="n">
        <v>46076</v>
      </c>
      <c r="BO121" s="650" t="n">
        <v>46083</v>
      </c>
      <c r="BP121" s="650" t="n">
        <v>46090</v>
      </c>
      <c r="BQ121" s="650" t="n">
        <v>46097</v>
      </c>
      <c r="BR121" s="650" t="n">
        <v>46104</v>
      </c>
      <c r="BS121" s="650" t="n">
        <v>46111</v>
      </c>
      <c r="BT121" s="650" t="n">
        <v>46118</v>
      </c>
      <c r="BU121" s="650" t="n">
        <v>46125</v>
      </c>
      <c r="BV121" s="650" t="n">
        <v>46132</v>
      </c>
      <c r="BW121" s="650" t="n">
        <v>46139</v>
      </c>
      <c r="BX121" s="650" t="n">
        <v>46146</v>
      </c>
      <c r="BY121" s="650" t="n">
        <v>46154</v>
      </c>
      <c r="BZ121" s="650" t="n">
        <v>46160</v>
      </c>
      <c r="CA121" s="650" t="n">
        <v>46160</v>
      </c>
      <c r="CB121" s="660" t="inlineStr">
        <is>
          <t>USOU</t>
        </is>
      </c>
      <c r="CD121" s="69" t="n"/>
      <c r="DL121" s="6" t="n"/>
    </row>
    <row r="122" ht="18.75" customHeight="1">
      <c r="A122" s="33" t="inlineStr">
        <is>
          <t>SACOLA P</t>
        </is>
      </c>
      <c r="B122" s="9" t="n">
        <v>200</v>
      </c>
      <c r="C122" s="662" t="n"/>
      <c r="D122" s="329" t="n"/>
      <c r="E122" s="53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  <c r="AA122" s="4" t="n"/>
      <c r="AB122" s="4" t="n"/>
      <c r="AC122" s="4" t="n"/>
      <c r="AD122" s="4" t="n"/>
      <c r="AE122" s="4" t="n"/>
      <c r="AF122" s="4" t="n"/>
      <c r="AG122" s="4" t="n"/>
      <c r="AH122" s="4" t="n"/>
      <c r="AI122" s="4" t="n"/>
      <c r="AJ122" s="4" t="n"/>
      <c r="AK122" s="4" t="n"/>
      <c r="AL122" s="4" t="n"/>
      <c r="AM122" s="4" t="n"/>
      <c r="AN122" s="4" t="n"/>
      <c r="AO122" s="4" t="n"/>
      <c r="AP122" s="4" t="n"/>
      <c r="AQ122" s="4" t="n"/>
      <c r="AR122" s="4" t="n"/>
      <c r="AS122" s="4" t="n"/>
      <c r="AT122" s="4" t="n"/>
      <c r="AU122" s="4" t="n"/>
      <c r="AV122" s="4" t="n"/>
      <c r="AW122" s="4" t="n"/>
      <c r="AX122" s="4" t="n"/>
      <c r="AY122" s="4" t="n"/>
      <c r="AZ122" s="4" t="n"/>
      <c r="BA122" s="4" t="n"/>
      <c r="BB122" s="4" t="n"/>
      <c r="BC122" s="4" t="n"/>
      <c r="BD122" s="4" t="n"/>
      <c r="BE122" s="4" t="n"/>
      <c r="BF122" s="4" t="n"/>
      <c r="BG122" s="4" t="n"/>
      <c r="BH122" s="4" t="n"/>
      <c r="BI122" s="4" t="n"/>
      <c r="BJ122" s="4" t="n"/>
      <c r="BK122" s="4" t="n"/>
      <c r="BL122" s="4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 t="n">
        <v>0</v>
      </c>
      <c r="BS122" s="38">
        <f>CK9</f>
        <v/>
      </c>
      <c r="BT122" s="38" t="n">
        <v>2000</v>
      </c>
      <c r="BU122" s="38" t="n">
        <v>2000</v>
      </c>
      <c r="BV122" s="38" t="n">
        <v>2000</v>
      </c>
      <c r="BW122" s="38" t="n">
        <v>700</v>
      </c>
      <c r="BX122" s="38" t="n">
        <v>400</v>
      </c>
      <c r="BY122" s="38" t="n">
        <v>0</v>
      </c>
      <c r="BZ122" s="38" t="n"/>
      <c r="CA122" s="38" t="n"/>
      <c r="CB122" s="246">
        <f>BZ122+IF(NOT(ISBLANK(OFFSET(CB122,0,6))),N(OFFSET(CB122,0,6)),N(OFFSET(CB122,0,7)))-CA122</f>
        <v/>
      </c>
      <c r="CD122" s="69" t="n"/>
      <c r="DL122" s="6" t="n"/>
    </row>
    <row r="123" ht="18.75" customHeight="1">
      <c r="A123" s="33" t="inlineStr">
        <is>
          <t>SACOLA M</t>
        </is>
      </c>
      <c r="B123" s="9" t="n">
        <v>200</v>
      </c>
      <c r="C123" s="662" t="n"/>
      <c r="D123" s="329" t="n"/>
      <c r="E123" s="53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  <c r="AA123" s="4" t="n"/>
      <c r="AB123" s="4" t="n"/>
      <c r="AC123" s="4" t="n"/>
      <c r="AD123" s="4" t="n"/>
      <c r="AE123" s="4" t="n"/>
      <c r="AF123" s="4" t="n"/>
      <c r="AG123" s="4" t="n"/>
      <c r="AH123" s="4" t="n"/>
      <c r="AI123" s="4" t="n"/>
      <c r="AJ123" s="4" t="n"/>
      <c r="AK123" s="4" t="n"/>
      <c r="AL123" s="4" t="n"/>
      <c r="AM123" s="4" t="n"/>
      <c r="AN123" s="4" t="n"/>
      <c r="AO123" s="4" t="n"/>
      <c r="AP123" s="4" t="n"/>
      <c r="AQ123" s="4" t="n"/>
      <c r="AR123" s="4" t="n"/>
      <c r="AS123" s="4" t="n"/>
      <c r="AT123" s="4" t="n"/>
      <c r="AU123" s="4" t="n"/>
      <c r="AV123" s="4" t="n"/>
      <c r="AW123" s="4" t="n"/>
      <c r="AX123" s="4" t="n"/>
      <c r="AY123" s="4" t="n"/>
      <c r="AZ123" s="4" t="n"/>
      <c r="BA123" s="4" t="n"/>
      <c r="BB123" s="4" t="n"/>
      <c r="BC123" s="4" t="n"/>
      <c r="BD123" s="4" t="n"/>
      <c r="BE123" s="4" t="n"/>
      <c r="BF123" s="4" t="n"/>
      <c r="BG123" s="4" t="n"/>
      <c r="BH123" s="4" t="n"/>
      <c r="BI123" s="4" t="n"/>
      <c r="BJ123" s="4" t="n"/>
      <c r="BK123" s="4" t="n"/>
      <c r="BL123" s="4" t="n"/>
      <c r="BM123" s="38" t="n">
        <v>0</v>
      </c>
      <c r="BN123" s="38" t="n">
        <v>0</v>
      </c>
      <c r="BO123" s="38" t="n">
        <v>0</v>
      </c>
      <c r="BP123" s="38" t="n">
        <v>0</v>
      </c>
      <c r="BQ123" s="38" t="n">
        <v>0</v>
      </c>
      <c r="BR123" s="38" t="n">
        <v>0</v>
      </c>
      <c r="BS123" s="38">
        <f>CK10</f>
        <v/>
      </c>
      <c r="BT123" s="38" t="n">
        <v>600</v>
      </c>
      <c r="BU123" s="38" t="n">
        <v>600</v>
      </c>
      <c r="BV123" s="38" t="n">
        <v>600</v>
      </c>
      <c r="BW123" s="38" t="n">
        <v>600</v>
      </c>
      <c r="BX123" s="38" t="n">
        <v>225</v>
      </c>
      <c r="BY123" s="38" t="n">
        <v>0</v>
      </c>
      <c r="BZ123" s="38" t="n"/>
      <c r="CA123" s="38" t="n"/>
      <c r="CB123" s="246">
        <f>BZ123+IF(NOT(ISBLANK(OFFSET(CB123,0,6))),N(OFFSET(CB123,0,6)),N(OFFSET(CB123,0,7)))-CA123</f>
        <v/>
      </c>
      <c r="CD123" s="69" t="n"/>
      <c r="DL123" s="6" t="n"/>
    </row>
    <row r="124" ht="18.75" customHeight="1">
      <c r="A124" s="33" t="inlineStr">
        <is>
          <t>SACOLA G</t>
        </is>
      </c>
      <c r="B124" s="9" t="n">
        <v>100</v>
      </c>
      <c r="C124" s="662" t="n"/>
      <c r="D124" s="329" t="n"/>
      <c r="E124" s="53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  <c r="AA124" s="4" t="n"/>
      <c r="AB124" s="4" t="n"/>
      <c r="AC124" s="4" t="n"/>
      <c r="AD124" s="4" t="n"/>
      <c r="AE124" s="4" t="n"/>
      <c r="AF124" s="4" t="n"/>
      <c r="AG124" s="4" t="n"/>
      <c r="AH124" s="4" t="n"/>
      <c r="AI124" s="4" t="n"/>
      <c r="AJ124" s="4" t="n"/>
      <c r="AK124" s="4" t="n"/>
      <c r="AL124" s="4" t="n"/>
      <c r="AM124" s="4" t="n"/>
      <c r="AN124" s="4" t="n"/>
      <c r="AO124" s="4" t="n"/>
      <c r="AP124" s="4" t="n"/>
      <c r="AQ124" s="4" t="n"/>
      <c r="AR124" s="4" t="n"/>
      <c r="AS124" s="4" t="n"/>
      <c r="AT124" s="4" t="n"/>
      <c r="AU124" s="4" t="n"/>
      <c r="AV124" s="4" t="n"/>
      <c r="AW124" s="4" t="n"/>
      <c r="AX124" s="4" t="n"/>
      <c r="AY124" s="4" t="n"/>
      <c r="AZ124" s="4" t="n"/>
      <c r="BA124" s="4" t="n"/>
      <c r="BB124" s="4" t="n"/>
      <c r="BC124" s="4" t="n"/>
      <c r="BD124" s="4" t="n"/>
      <c r="BE124" s="4" t="n"/>
      <c r="BF124" s="4" t="n"/>
      <c r="BG124" s="4" t="n"/>
      <c r="BH124" s="4" t="n"/>
      <c r="BI124" s="4" t="n"/>
      <c r="BJ124" s="4" t="n"/>
      <c r="BK124" s="4" t="n"/>
      <c r="BL124" s="4" t="n"/>
      <c r="BM124" s="38" t="n">
        <v>0</v>
      </c>
      <c r="BN124" s="38" t="n">
        <v>0</v>
      </c>
      <c r="BO124" s="38" t="n">
        <v>0</v>
      </c>
      <c r="BP124" s="38" t="n">
        <v>0</v>
      </c>
      <c r="BQ124" s="38" t="n">
        <v>0</v>
      </c>
      <c r="BR124" s="38" t="n">
        <v>0</v>
      </c>
      <c r="BS124" s="38">
        <f>CK11</f>
        <v/>
      </c>
      <c r="BT124" s="38" t="n">
        <v>300</v>
      </c>
      <c r="BU124" s="38" t="n">
        <v>300</v>
      </c>
      <c r="BV124" s="38" t="n">
        <v>300</v>
      </c>
      <c r="BW124" s="38" t="n">
        <v>200</v>
      </c>
      <c r="BX124" s="38" t="n">
        <v>175</v>
      </c>
      <c r="BY124" s="38" t="n">
        <v>0</v>
      </c>
      <c r="BZ124" s="38" t="n"/>
      <c r="CA124" s="38" t="n"/>
      <c r="CB124" s="246">
        <f>BZ124+IF(NOT(ISBLANK(OFFSET(CB124,0,6))),N(OFFSET(CB124,0,6)),N(OFFSET(CB124,0,7)))-CA124</f>
        <v/>
      </c>
      <c r="CD124" s="69" t="n"/>
      <c r="DL124" s="6" t="n"/>
    </row>
    <row r="125" ht="18.75" customHeight="1">
      <c r="A125" s="33" t="inlineStr">
        <is>
          <t>SACOLA P VENDA</t>
        </is>
      </c>
      <c r="B125" s="9" t="n">
        <v>200</v>
      </c>
      <c r="C125" s="662" t="n"/>
      <c r="D125" s="329" t="n"/>
      <c r="E125" s="53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  <c r="AA125" s="4" t="n"/>
      <c r="AB125" s="4" t="n"/>
      <c r="AC125" s="4" t="n"/>
      <c r="AD125" s="4" t="n"/>
      <c r="AE125" s="4" t="n"/>
      <c r="AF125" s="4" t="n"/>
      <c r="AG125" s="4" t="n"/>
      <c r="AH125" s="4" t="n"/>
      <c r="AI125" s="4" t="n"/>
      <c r="AJ125" s="4" t="n"/>
      <c r="AK125" s="4" t="n"/>
      <c r="AL125" s="4" t="n"/>
      <c r="AM125" s="4" t="n"/>
      <c r="AN125" s="4" t="n"/>
      <c r="AO125" s="4" t="n"/>
      <c r="AP125" s="4" t="n"/>
      <c r="AQ125" s="4" t="n"/>
      <c r="AR125" s="4" t="n"/>
      <c r="AS125" s="4" t="n"/>
      <c r="AT125" s="4" t="n"/>
      <c r="AU125" s="4" t="n"/>
      <c r="AV125" s="4" t="n"/>
      <c r="AW125" s="4" t="n"/>
      <c r="AX125" s="4" t="n"/>
      <c r="AY125" s="4" t="n"/>
      <c r="AZ125" s="4" t="n"/>
      <c r="BA125" s="4" t="n"/>
      <c r="BB125" s="4" t="n"/>
      <c r="BC125" s="4" t="n"/>
      <c r="BD125" s="4" t="n"/>
      <c r="BE125" s="4" t="n"/>
      <c r="BF125" s="4" t="n"/>
      <c r="BG125" s="4" t="n"/>
      <c r="BH125" s="4" t="n"/>
      <c r="BI125" s="4" t="n"/>
      <c r="BJ125" s="4" t="n"/>
      <c r="BK125" s="4" t="n"/>
      <c r="BL125" s="4" t="n"/>
      <c r="BM125" s="38" t="n">
        <v>0</v>
      </c>
      <c r="BN125" s="38" t="n">
        <v>0</v>
      </c>
      <c r="BO125" s="38" t="n">
        <v>0</v>
      </c>
      <c r="BP125" s="38" t="n">
        <v>0</v>
      </c>
      <c r="BQ125" s="38" t="n">
        <v>0</v>
      </c>
      <c r="BR125" s="38" t="n">
        <v>0</v>
      </c>
      <c r="BS125" s="38" t="n">
        <v>0</v>
      </c>
      <c r="BT125" s="38" t="n"/>
      <c r="BU125" s="38" t="n"/>
      <c r="BV125" s="38" t="n"/>
      <c r="BW125" s="38" t="n">
        <v>100</v>
      </c>
      <c r="BX125" s="38" t="n">
        <v>100</v>
      </c>
      <c r="BY125" s="38" t="n">
        <v>80</v>
      </c>
      <c r="BZ125" s="38" t="n">
        <v>80</v>
      </c>
      <c r="CA125" s="38" t="n">
        <v>80</v>
      </c>
      <c r="CB125" s="246">
        <f>BZ125+IF(NOT(ISBLANK(OFFSET(CB125,0,6))),N(OFFSET(CB125,0,6)),N(OFFSET(CB125,0,7)))-CA125</f>
        <v/>
      </c>
      <c r="CD125" s="69" t="n"/>
      <c r="DL125" s="6" t="n"/>
    </row>
    <row r="126" ht="18.75" customHeight="1">
      <c r="A126" s="33" t="inlineStr">
        <is>
          <t>SACOLA M VENDA</t>
        </is>
      </c>
      <c r="B126" s="9" t="n">
        <v>200</v>
      </c>
      <c r="C126" s="662" t="n"/>
      <c r="D126" s="329" t="n"/>
      <c r="E126" s="53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  <c r="AA126" s="4" t="n"/>
      <c r="AB126" s="4" t="n"/>
      <c r="AC126" s="4" t="n"/>
      <c r="AD126" s="4" t="n"/>
      <c r="AE126" s="4" t="n"/>
      <c r="AF126" s="4" t="n"/>
      <c r="AG126" s="4" t="n"/>
      <c r="AH126" s="4" t="n"/>
      <c r="AI126" s="4" t="n"/>
      <c r="AJ126" s="4" t="n"/>
      <c r="AK126" s="4" t="n"/>
      <c r="AL126" s="4" t="n"/>
      <c r="AM126" s="4" t="n"/>
      <c r="AN126" s="4" t="n"/>
      <c r="AO126" s="4" t="n"/>
      <c r="AP126" s="4" t="n"/>
      <c r="AQ126" s="4" t="n"/>
      <c r="AR126" s="4" t="n"/>
      <c r="AS126" s="4" t="n"/>
      <c r="AT126" s="4" t="n"/>
      <c r="AU126" s="4" t="n"/>
      <c r="AV126" s="4" t="n"/>
      <c r="AW126" s="4" t="n"/>
      <c r="AX126" s="4" t="n"/>
      <c r="AY126" s="4" t="n"/>
      <c r="AZ126" s="4" t="n"/>
      <c r="BA126" s="4" t="n"/>
      <c r="BB126" s="4" t="n"/>
      <c r="BC126" s="4" t="n"/>
      <c r="BD126" s="4" t="n"/>
      <c r="BE126" s="4" t="n"/>
      <c r="BF126" s="4" t="n"/>
      <c r="BG126" s="4" t="n"/>
      <c r="BH126" s="4" t="n"/>
      <c r="BI126" s="4" t="n"/>
      <c r="BJ126" s="4" t="n"/>
      <c r="BK126" s="4" t="n"/>
      <c r="BL126" s="4" t="n"/>
      <c r="BM126" s="38" t="n">
        <v>0</v>
      </c>
      <c r="BN126" s="38" t="n">
        <v>0</v>
      </c>
      <c r="BO126" s="38" t="n">
        <v>0</v>
      </c>
      <c r="BP126" s="38" t="n">
        <v>0</v>
      </c>
      <c r="BQ126" s="38" t="n">
        <v>0</v>
      </c>
      <c r="BR126" s="38" t="n">
        <v>0</v>
      </c>
      <c r="BS126" s="38" t="n">
        <v>0</v>
      </c>
      <c r="BT126" s="38" t="n"/>
      <c r="BU126" s="38" t="n"/>
      <c r="BV126" s="38" t="n"/>
      <c r="BW126" s="38" t="n">
        <v>200</v>
      </c>
      <c r="BX126" s="38" t="n">
        <v>199</v>
      </c>
      <c r="BY126" s="38" t="n">
        <v>189</v>
      </c>
      <c r="BZ126" s="38" t="n">
        <v>189</v>
      </c>
      <c r="CA126" s="38" t="n">
        <v>189</v>
      </c>
      <c r="CB126" s="246">
        <f>BZ126+IF(NOT(ISBLANK(OFFSET(CB126,0,6))),N(OFFSET(CB126,0,6)),N(OFFSET(CB126,0,7)))-CA126</f>
        <v/>
      </c>
      <c r="CD126" s="69" t="n"/>
      <c r="DL126" s="6" t="n"/>
    </row>
    <row r="127" ht="18.75" customHeight="1">
      <c r="A127" s="33" t="inlineStr">
        <is>
          <t>SACOLA G VENDA</t>
        </is>
      </c>
      <c r="B127" s="9" t="n">
        <v>100</v>
      </c>
      <c r="C127" s="662" t="n"/>
      <c r="D127" s="329" t="n"/>
      <c r="E127" s="53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  <c r="AA127" s="4" t="n"/>
      <c r="AB127" s="4" t="n"/>
      <c r="AC127" s="4" t="n"/>
      <c r="AD127" s="4" t="n"/>
      <c r="AE127" s="4" t="n"/>
      <c r="AF127" s="4" t="n"/>
      <c r="AG127" s="4" t="n"/>
      <c r="AH127" s="4" t="n"/>
      <c r="AI127" s="4" t="n"/>
      <c r="AJ127" s="4" t="n"/>
      <c r="AK127" s="4" t="n"/>
      <c r="AL127" s="4" t="n"/>
      <c r="AM127" s="4" t="n"/>
      <c r="AN127" s="4" t="n"/>
      <c r="AO127" s="4" t="n"/>
      <c r="AP127" s="4" t="n"/>
      <c r="AQ127" s="4" t="n"/>
      <c r="AR127" s="4" t="n"/>
      <c r="AS127" s="4" t="n"/>
      <c r="AT127" s="4" t="n"/>
      <c r="AU127" s="4" t="n"/>
      <c r="AV127" s="4" t="n"/>
      <c r="AW127" s="4" t="n"/>
      <c r="AX127" s="4" t="n"/>
      <c r="AY127" s="4" t="n"/>
      <c r="AZ127" s="4" t="n"/>
      <c r="BA127" s="4" t="n"/>
      <c r="BB127" s="4" t="n"/>
      <c r="BC127" s="4" t="n"/>
      <c r="BD127" s="4" t="n"/>
      <c r="BE127" s="4" t="n"/>
      <c r="BF127" s="4" t="n"/>
      <c r="BG127" s="4" t="n"/>
      <c r="BH127" s="4" t="n"/>
      <c r="BI127" s="4" t="n"/>
      <c r="BJ127" s="4" t="n"/>
      <c r="BK127" s="4" t="n"/>
      <c r="BL127" s="4" t="n"/>
      <c r="BM127" s="38" t="n">
        <v>0</v>
      </c>
      <c r="BN127" s="38" t="n">
        <v>0</v>
      </c>
      <c r="BO127" s="38" t="n">
        <v>0</v>
      </c>
      <c r="BP127" s="38" t="n">
        <v>0</v>
      </c>
      <c r="BQ127" s="38" t="n">
        <v>0</v>
      </c>
      <c r="BR127" s="38" t="n">
        <v>0</v>
      </c>
      <c r="BS127" s="38" t="n">
        <v>0</v>
      </c>
      <c r="BT127" s="38" t="n"/>
      <c r="BU127" s="38" t="n"/>
      <c r="BV127" s="38" t="n"/>
      <c r="BW127" s="38" t="n">
        <v>50</v>
      </c>
      <c r="BX127" s="38" t="n">
        <v>50</v>
      </c>
      <c r="BY127" s="38" t="n">
        <v>0</v>
      </c>
      <c r="BZ127" s="38" t="n">
        <v>0</v>
      </c>
      <c r="CA127" s="38" t="n"/>
      <c r="CB127" s="246">
        <f>BZ127+IF(NOT(ISBLANK(OFFSET(CB127,0,6))),N(OFFSET(CB127,0,6)),N(OFFSET(CB127,0,7)))-CA127</f>
        <v/>
      </c>
      <c r="CD127" s="69" t="n"/>
      <c r="DL127" s="6" t="n"/>
    </row>
    <row r="128" ht="18.75" customHeight="1">
      <c r="A128" s="238" t="inlineStr">
        <is>
          <t>KIT PAPEL DE SEDA 10 C/ 20</t>
        </is>
      </c>
      <c r="B128" s="36" t="n">
        <v>200</v>
      </c>
      <c r="C128" s="668" t="n"/>
      <c r="D128" s="36" t="n"/>
      <c r="E128" s="53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  <c r="AA128" s="4" t="n"/>
      <c r="AB128" s="4" t="n"/>
      <c r="AC128" s="4" t="n"/>
      <c r="AD128" s="4" t="n"/>
      <c r="AE128" s="4" t="n"/>
      <c r="AF128" s="4" t="n"/>
      <c r="AG128" s="4" t="n"/>
      <c r="AH128" s="4" t="n"/>
      <c r="AI128" s="4" t="n"/>
      <c r="AJ128" s="4" t="n"/>
      <c r="AK128" s="4" t="n"/>
      <c r="AL128" s="4" t="n"/>
      <c r="AM128" s="4" t="n"/>
      <c r="AN128" s="4" t="n"/>
      <c r="AO128" s="4" t="n"/>
      <c r="AP128" s="4" t="n"/>
      <c r="AQ128" s="4" t="n"/>
      <c r="AR128" s="4" t="n"/>
      <c r="AS128" s="4" t="n"/>
      <c r="AT128" s="4" t="n"/>
      <c r="AU128" s="4" t="n"/>
      <c r="AV128" s="4" t="n"/>
      <c r="AW128" s="4" t="n"/>
      <c r="AX128" s="4" t="n"/>
      <c r="AY128" s="4" t="n"/>
      <c r="AZ128" s="4" t="n"/>
      <c r="BA128" s="4" t="n"/>
      <c r="BB128" s="4" t="n"/>
      <c r="BC128" s="4" t="n"/>
      <c r="BD128" s="4" t="n"/>
      <c r="BE128" s="4" t="n"/>
      <c r="BF128" s="4" t="n"/>
      <c r="BG128" s="4" t="n"/>
      <c r="BH128" s="4" t="n"/>
      <c r="BI128" s="4" t="n"/>
      <c r="BJ128" s="4" t="n"/>
      <c r="BK128" s="4" t="n"/>
      <c r="BL128" s="4" t="n"/>
      <c r="BM128" s="38" t="n">
        <v>0</v>
      </c>
      <c r="BN128" s="38" t="n">
        <v>0</v>
      </c>
      <c r="BO128" s="38" t="n">
        <v>0</v>
      </c>
      <c r="BP128" s="38" t="n">
        <v>0</v>
      </c>
      <c r="BQ128" s="38" t="n">
        <v>0</v>
      </c>
      <c r="BR128" s="38" t="n">
        <v>0</v>
      </c>
      <c r="BS128" s="38" t="n">
        <v>0</v>
      </c>
      <c r="BT128" s="38" t="n"/>
      <c r="BU128" s="38" t="n"/>
      <c r="BV128" s="38" t="n"/>
      <c r="BW128" s="38" t="n">
        <v>0</v>
      </c>
      <c r="BX128" s="38" t="n">
        <v>0</v>
      </c>
      <c r="BY128" s="38" t="n">
        <v>0</v>
      </c>
      <c r="BZ128" s="38" t="n">
        <v>0</v>
      </c>
      <c r="CA128" s="38" t="n">
        <v>0</v>
      </c>
      <c r="CB128" s="246">
        <f>BZ128+IF(NOT(ISBLANK(OFFSET(CB128,0,6))),N(OFFSET(CB128,0,6)),N(OFFSET(CB128,0,7)))-CA128</f>
        <v/>
      </c>
      <c r="CD128" s="69" t="n"/>
      <c r="DL128" s="6" t="n"/>
    </row>
    <row r="129" ht="18.75" customHeight="1">
      <c r="A129" s="238" t="inlineStr">
        <is>
          <t>CAIXA P</t>
        </is>
      </c>
      <c r="B129" s="36" t="n">
        <v>150</v>
      </c>
      <c r="C129" s="668" t="n"/>
      <c r="D129" s="36" t="n"/>
      <c r="E129" s="53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  <c r="AA129" s="4" t="n"/>
      <c r="AB129" s="4" t="n"/>
      <c r="AC129" s="4" t="n"/>
      <c r="AD129" s="4" t="n"/>
      <c r="AE129" s="4" t="n"/>
      <c r="AF129" s="4" t="n"/>
      <c r="AG129" s="4" t="n"/>
      <c r="AH129" s="4" t="n"/>
      <c r="AI129" s="4" t="n"/>
      <c r="AJ129" s="4" t="n"/>
      <c r="AK129" s="4" t="n"/>
      <c r="AL129" s="4" t="n"/>
      <c r="AM129" s="4" t="n"/>
      <c r="AN129" s="4" t="n"/>
      <c r="AO129" s="4" t="n"/>
      <c r="AP129" s="4" t="n"/>
      <c r="AQ129" s="4" t="n"/>
      <c r="AR129" s="4" t="n"/>
      <c r="AS129" s="4" t="n"/>
      <c r="AT129" s="4" t="n"/>
      <c r="AU129" s="4" t="n"/>
      <c r="AV129" s="4" t="n"/>
      <c r="AW129" s="4" t="n"/>
      <c r="AX129" s="4" t="n"/>
      <c r="AY129" s="4" t="n"/>
      <c r="AZ129" s="4" t="n"/>
      <c r="BA129" s="4" t="n"/>
      <c r="BB129" s="4" t="n"/>
      <c r="BC129" s="4" t="n"/>
      <c r="BD129" s="4" t="n"/>
      <c r="BE129" s="4" t="n"/>
      <c r="BF129" s="4" t="n"/>
      <c r="BG129" s="4" t="n"/>
      <c r="BH129" s="4" t="n"/>
      <c r="BI129" s="4" t="n"/>
      <c r="BJ129" s="4" t="n"/>
      <c r="BK129" s="4" t="n"/>
      <c r="BL129" s="4" t="n"/>
      <c r="BM129" s="38" t="n">
        <v>0</v>
      </c>
      <c r="BN129" s="38" t="n">
        <v>0</v>
      </c>
      <c r="BO129" s="38" t="n">
        <v>0</v>
      </c>
      <c r="BP129" s="38" t="n">
        <v>0</v>
      </c>
      <c r="BQ129" s="38" t="n">
        <v>0</v>
      </c>
      <c r="BR129" s="38" t="n">
        <v>0</v>
      </c>
      <c r="BS129" s="38" t="n">
        <v>0</v>
      </c>
      <c r="BT129" s="38" t="n"/>
      <c r="BU129" s="38" t="n"/>
      <c r="BV129" s="38" t="n"/>
      <c r="BW129" s="38" t="n">
        <v>14</v>
      </c>
      <c r="BX129" s="38" t="n">
        <v>1</v>
      </c>
      <c r="BY129" s="38" t="n">
        <v>1</v>
      </c>
      <c r="BZ129" s="38" t="n">
        <v>1</v>
      </c>
      <c r="CA129" s="38" t="n">
        <v>1</v>
      </c>
      <c r="CB129" s="246">
        <f>BZ129+IF(NOT(ISBLANK(OFFSET(CB129,0,6))),N(OFFSET(CB129,0,6)),N(OFFSET(CB129,0,7)))-CA129</f>
        <v/>
      </c>
      <c r="CD129" s="69" t="n"/>
      <c r="DL129" s="6" t="n"/>
    </row>
    <row r="130" ht="18.75" customHeight="1">
      <c r="A130" s="238" t="inlineStr">
        <is>
          <t>CAIXA M</t>
        </is>
      </c>
      <c r="B130" s="36" t="n">
        <v>100</v>
      </c>
      <c r="C130" s="668" t="n"/>
      <c r="D130" s="36" t="n"/>
      <c r="E130" s="53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  <c r="AA130" s="4" t="n"/>
      <c r="AB130" s="4" t="n"/>
      <c r="AC130" s="4" t="n"/>
      <c r="AD130" s="4" t="n"/>
      <c r="AE130" s="4" t="n"/>
      <c r="AF130" s="4" t="n"/>
      <c r="AG130" s="4" t="n"/>
      <c r="AH130" s="4" t="n"/>
      <c r="AI130" s="4" t="n"/>
      <c r="AJ130" s="4" t="n"/>
      <c r="AK130" s="4" t="n"/>
      <c r="AL130" s="4" t="n"/>
      <c r="AM130" s="4" t="n"/>
      <c r="AN130" s="4" t="n"/>
      <c r="AO130" s="4" t="n"/>
      <c r="AP130" s="4" t="n"/>
      <c r="AQ130" s="4" t="n"/>
      <c r="AR130" s="4" t="n"/>
      <c r="AS130" s="4" t="n"/>
      <c r="AT130" s="4" t="n"/>
      <c r="AU130" s="4" t="n"/>
      <c r="AV130" s="4" t="n"/>
      <c r="AW130" s="4" t="n"/>
      <c r="AX130" s="4" t="n"/>
      <c r="AY130" s="4" t="n"/>
      <c r="AZ130" s="4" t="n"/>
      <c r="BA130" s="4" t="n"/>
      <c r="BB130" s="4" t="n"/>
      <c r="BC130" s="4" t="n"/>
      <c r="BD130" s="4" t="n"/>
      <c r="BE130" s="4" t="n"/>
      <c r="BF130" s="4" t="n"/>
      <c r="BG130" s="4" t="n"/>
      <c r="BH130" s="4" t="n"/>
      <c r="BI130" s="4" t="n"/>
      <c r="BJ130" s="4" t="n"/>
      <c r="BK130" s="4" t="n"/>
      <c r="BL130" s="4" t="n"/>
      <c r="BM130" s="38" t="n">
        <v>0</v>
      </c>
      <c r="BN130" s="38" t="n">
        <v>0</v>
      </c>
      <c r="BO130" s="38" t="n">
        <v>0</v>
      </c>
      <c r="BP130" s="38" t="n">
        <v>0</v>
      </c>
      <c r="BQ130" s="38" t="n">
        <v>0</v>
      </c>
      <c r="BR130" s="38" t="n">
        <v>0</v>
      </c>
      <c r="BS130" s="38" t="n">
        <v>0</v>
      </c>
      <c r="BT130" s="38" t="n"/>
      <c r="BU130" s="38" t="n"/>
      <c r="BV130" s="38" t="n"/>
      <c r="BW130" s="38" t="n">
        <v>25</v>
      </c>
      <c r="BX130" s="38" t="n">
        <v>20</v>
      </c>
      <c r="BY130" s="38" t="n">
        <v>10</v>
      </c>
      <c r="BZ130" s="38" t="n">
        <v>10</v>
      </c>
      <c r="CA130" s="38" t="n">
        <v>10</v>
      </c>
      <c r="CB130" s="246">
        <f>BZ130+IF(NOT(ISBLANK(OFFSET(CB130,0,6))),N(OFFSET(CB130,0,6)),N(OFFSET(CB130,0,7)))-CA130</f>
        <v/>
      </c>
      <c r="CD130" s="69" t="n"/>
      <c r="DL130" s="6" t="n"/>
    </row>
    <row r="131" ht="18.75" customHeight="1">
      <c r="A131" s="238" t="inlineStr">
        <is>
          <t>CARTUCHO M</t>
        </is>
      </c>
      <c r="B131" s="36" t="n">
        <v>150</v>
      </c>
      <c r="C131" s="668" t="n"/>
      <c r="D131" s="36" t="n"/>
      <c r="E131" s="53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  <c r="AA131" s="4" t="n"/>
      <c r="AB131" s="4" t="n"/>
      <c r="AC131" s="4" t="n"/>
      <c r="AD131" s="4" t="n"/>
      <c r="AE131" s="4" t="n"/>
      <c r="AF131" s="4" t="n"/>
      <c r="AG131" s="4" t="n"/>
      <c r="AH131" s="4" t="n"/>
      <c r="AI131" s="4" t="n"/>
      <c r="AJ131" s="4" t="n"/>
      <c r="AK131" s="4" t="n"/>
      <c r="AL131" s="4" t="n"/>
      <c r="AM131" s="4" t="n"/>
      <c r="AN131" s="4" t="n"/>
      <c r="AO131" s="4" t="n"/>
      <c r="AP131" s="4" t="n"/>
      <c r="AQ131" s="4" t="n"/>
      <c r="AR131" s="4" t="n"/>
      <c r="AS131" s="4" t="n"/>
      <c r="AT131" s="4" t="n"/>
      <c r="AU131" s="4" t="n"/>
      <c r="AV131" s="4" t="n"/>
      <c r="AW131" s="4" t="n"/>
      <c r="AX131" s="4" t="n"/>
      <c r="AY131" s="4" t="n"/>
      <c r="AZ131" s="4" t="n"/>
      <c r="BA131" s="4" t="n"/>
      <c r="BB131" s="4" t="n"/>
      <c r="BC131" s="4" t="n"/>
      <c r="BD131" s="4" t="n"/>
      <c r="BE131" s="4" t="n"/>
      <c r="BF131" s="4" t="n"/>
      <c r="BG131" s="4" t="n"/>
      <c r="BH131" s="4" t="n"/>
      <c r="BI131" s="4" t="n"/>
      <c r="BJ131" s="4" t="n"/>
      <c r="BK131" s="4" t="n"/>
      <c r="BL131" s="4" t="n"/>
      <c r="BM131" s="38" t="n">
        <v>0</v>
      </c>
      <c r="BN131" s="38" t="n">
        <v>0</v>
      </c>
      <c r="BO131" s="38" t="n">
        <v>0</v>
      </c>
      <c r="BP131" s="38" t="n">
        <v>0</v>
      </c>
      <c r="BQ131" s="38" t="n">
        <v>0</v>
      </c>
      <c r="BR131" s="38" t="n">
        <v>0</v>
      </c>
      <c r="BS131" s="38" t="n">
        <v>0</v>
      </c>
      <c r="BT131" s="38" t="n"/>
      <c r="BU131" s="38" t="n"/>
      <c r="BV131" s="38" t="n"/>
      <c r="BW131" s="38" t="n">
        <v>0</v>
      </c>
      <c r="BX131" s="38" t="n">
        <v>0</v>
      </c>
      <c r="BY131" s="38" t="n">
        <v>0</v>
      </c>
      <c r="BZ131" s="38" t="n">
        <v>0</v>
      </c>
      <c r="CA131" s="38" t="n">
        <v>0</v>
      </c>
      <c r="CB131" s="246">
        <f>BZ131+IF(NOT(ISBLANK(OFFSET(CB131,0,6))),N(OFFSET(CB131,0,6)),N(OFFSET(CB131,0,7)))-CA131</f>
        <v/>
      </c>
      <c r="CD131" s="69" t="n"/>
      <c r="DL131" s="6" t="n"/>
    </row>
    <row r="132" ht="18.75" customHeight="1">
      <c r="A132" s="31" t="n"/>
      <c r="B132" s="53" t="n"/>
      <c r="C132" s="53" t="n"/>
      <c r="E132" s="53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  <c r="AA132" s="4" t="n"/>
      <c r="AB132" s="4" t="n"/>
      <c r="AC132" s="4" t="n"/>
      <c r="AD132" s="4" t="n"/>
      <c r="AE132" s="4" t="n"/>
      <c r="AF132" s="4" t="n"/>
      <c r="AG132" s="4" t="n"/>
      <c r="AH132" s="4" t="n"/>
      <c r="AI132" s="4" t="n"/>
      <c r="AJ132" s="4" t="n"/>
      <c r="AK132" s="4" t="n"/>
      <c r="AL132" s="4" t="n"/>
      <c r="AM132" s="4" t="n"/>
      <c r="AN132" s="4" t="n"/>
      <c r="AO132" s="4" t="n"/>
      <c r="AP132" s="4" t="n"/>
      <c r="AQ132" s="4" t="n"/>
      <c r="AR132" s="4" t="n"/>
      <c r="AS132" s="4" t="n"/>
      <c r="AT132" s="4" t="n"/>
      <c r="AU132" s="4" t="n"/>
      <c r="AV132" s="4" t="n"/>
      <c r="AW132" s="4" t="n"/>
      <c r="AX132" s="4" t="n"/>
      <c r="AY132" s="4" t="n"/>
      <c r="AZ132" s="4" t="n"/>
      <c r="BA132" s="4" t="n"/>
      <c r="BB132" s="4" t="n"/>
      <c r="BC132" s="4" t="n"/>
      <c r="BD132" s="4" t="n"/>
      <c r="BE132" s="4" t="n"/>
      <c r="BF132" s="4" t="n"/>
      <c r="BG132" s="4" t="n"/>
      <c r="BH132" s="4" t="n"/>
      <c r="BI132" s="4" t="n"/>
      <c r="BJ132" s="4" t="n"/>
      <c r="BK132" s="4" t="n"/>
      <c r="BL132" s="4" t="n"/>
      <c r="BM132" s="4" t="n"/>
      <c r="BN132" s="4" t="n"/>
      <c r="BO132" s="4" t="n"/>
      <c r="BP132" s="4" t="n"/>
      <c r="BQ132" s="4" t="n"/>
      <c r="BR132" s="4" t="n"/>
      <c r="BS132" s="4" t="n"/>
      <c r="BT132" s="4" t="n"/>
      <c r="BU132" s="4" t="n"/>
      <c r="BV132" s="4" t="n"/>
      <c r="BW132" s="4" t="n"/>
      <c r="BX132" s="4" t="n"/>
      <c r="BY132" s="4" t="n"/>
      <c r="BZ132" s="4" t="n"/>
      <c r="CA132" s="4" t="n"/>
      <c r="CB132" s="53" t="n"/>
      <c r="CD132" s="69" t="n"/>
      <c r="DL132" s="6" t="n"/>
    </row>
    <row r="133" ht="18.75" customHeight="1">
      <c r="A133" s="31" t="n"/>
      <c r="B133" s="53" t="n"/>
      <c r="C133" s="53" t="n"/>
      <c r="E133" s="53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  <c r="AA133" s="4" t="n"/>
      <c r="AB133" s="4" t="n"/>
      <c r="AC133" s="4" t="n"/>
      <c r="AD133" s="4" t="n"/>
      <c r="AE133" s="4" t="n"/>
      <c r="AF133" s="4" t="n"/>
      <c r="AG133" s="4" t="n"/>
      <c r="AH133" s="4" t="n"/>
      <c r="AI133" s="4" t="n"/>
      <c r="AJ133" s="4" t="n"/>
      <c r="AK133" s="4" t="n"/>
      <c r="AL133" s="4" t="n"/>
      <c r="AM133" s="4" t="n"/>
      <c r="AN133" s="4" t="n"/>
      <c r="AO133" s="4" t="n"/>
      <c r="AP133" s="4" t="n"/>
      <c r="AQ133" s="4" t="n"/>
      <c r="AR133" s="4" t="n"/>
      <c r="AS133" s="4" t="n"/>
      <c r="AT133" s="4" t="n"/>
      <c r="AU133" s="4" t="n"/>
      <c r="AV133" s="4" t="n"/>
      <c r="AW133" s="4" t="n"/>
      <c r="AX133" s="4" t="n"/>
      <c r="AY133" s="4" t="n"/>
      <c r="AZ133" s="4" t="n"/>
      <c r="BA133" s="4" t="n"/>
      <c r="BB133" s="4" t="n"/>
      <c r="BC133" s="4" t="n"/>
      <c r="BD133" s="4" t="n"/>
      <c r="BE133" s="4" t="n"/>
      <c r="BF133" s="4" t="n"/>
      <c r="BG133" s="4" t="n"/>
      <c r="BH133" s="4" t="n"/>
      <c r="BI133" s="4" t="n"/>
      <c r="BJ133" s="4" t="n"/>
      <c r="BK133" s="4" t="n"/>
      <c r="BL133" s="4" t="n"/>
      <c r="BM133" s="4" t="n"/>
      <c r="BN133" s="4" t="n"/>
      <c r="BO133" s="4" t="n"/>
      <c r="BP133" s="4" t="n"/>
      <c r="BQ133" s="4" t="n"/>
      <c r="BR133" s="4" t="n"/>
      <c r="BS133" s="4" t="n"/>
      <c r="BT133" s="4" t="n"/>
      <c r="BU133" s="4" t="n"/>
      <c r="BV133" s="4" t="n"/>
      <c r="BW133" s="4" t="n"/>
      <c r="BX133" s="4" t="n"/>
      <c r="BY133" s="4" t="n"/>
      <c r="BZ133" s="4" t="n"/>
      <c r="CA133" s="4" t="n"/>
      <c r="CB133" s="53" t="n"/>
      <c r="CD133" s="69" t="n"/>
      <c r="DM133" s="271" t="n"/>
    </row>
    <row r="134" ht="18.75" customHeight="1">
      <c r="A134" s="669" t="inlineStr">
        <is>
          <t>SOBRAS DATAS COMEMORATIVAS</t>
        </is>
      </c>
      <c r="B134" s="658" t="n"/>
      <c r="C134" s="670" t="n"/>
      <c r="DM134" s="271" t="n"/>
    </row>
    <row r="135" ht="18.75" customHeight="1">
      <c r="A135" s="146" t="inlineStr">
        <is>
          <t>ITENS</t>
        </is>
      </c>
      <c r="B135" s="146" t="n"/>
      <c r="C135" s="146" t="inlineStr">
        <is>
          <t>TEMOS EM ESTOQUE</t>
        </is>
      </c>
      <c r="DM135" s="271" t="n"/>
    </row>
    <row r="136" ht="18.75" customHeight="1">
      <c r="A136" s="193" t="n"/>
      <c r="B136" s="192" t="n"/>
      <c r="C136" s="171" t="n"/>
      <c r="DM136" s="271" t="n"/>
    </row>
    <row r="137" ht="18.75" customHeight="1">
      <c r="DM137" s="271" t="n"/>
    </row>
    <row r="138" ht="18.75" customHeight="1">
      <c r="DM138" s="271" t="n"/>
    </row>
    <row r="139" ht="18.75" customHeight="1">
      <c r="DM139" s="271" t="n"/>
    </row>
    <row r="140" ht="18.75" customHeight="1">
      <c r="DM140" s="271" t="n"/>
    </row>
    <row r="141" ht="18.75" customHeight="1">
      <c r="DM141" s="271" t="n"/>
    </row>
    <row r="142" ht="18.75" customHeight="1">
      <c r="DM142" s="271" t="n"/>
    </row>
    <row r="143" ht="18.75" customHeight="1">
      <c r="DM143" s="271" t="n"/>
    </row>
    <row r="144" ht="18.75" customHeight="1">
      <c r="DM144" s="271" t="n"/>
    </row>
    <row r="145" ht="18.75" customHeight="1">
      <c r="DM145" s="271" t="n"/>
    </row>
    <row r="146" ht="18.75" customHeight="1">
      <c r="DM146" s="271" t="n"/>
    </row>
    <row r="147" ht="18.75" customHeight="1">
      <c r="DM147" s="271" t="n"/>
    </row>
    <row r="148" ht="18.75" customHeight="1">
      <c r="DM148" s="271" t="n"/>
    </row>
    <row r="149" ht="18.75" customHeight="1">
      <c r="DM149" s="271" t="n"/>
    </row>
    <row r="150" ht="18.75" customHeight="1">
      <c r="DM150" s="271" t="n"/>
    </row>
    <row r="151" ht="18.75" customHeight="1">
      <c r="DM151" s="271" t="n"/>
    </row>
    <row r="152" ht="18.75" customHeight="1">
      <c r="DM152" s="314" t="n"/>
    </row>
    <row r="153" ht="18.75" customHeight="1">
      <c r="DM153" s="314" t="n"/>
    </row>
    <row r="154" ht="18.75" customHeight="1">
      <c r="DM154" s="271" t="n"/>
    </row>
    <row r="155" ht="18.75" customHeight="1">
      <c r="DM155" s="271" t="n"/>
    </row>
  </sheetData>
  <mergeCells count="9">
    <mergeCell ref="GA59:GB69"/>
    <mergeCell ref="A134:C134"/>
    <mergeCell ref="A5:A6"/>
    <mergeCell ref="B2:C2"/>
    <mergeCell ref="F5:BZ5"/>
    <mergeCell ref="B3:C3"/>
    <mergeCell ref="C5:C6"/>
    <mergeCell ref="B5:B6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portrait" paperSize="9" scale="66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Planilha14">
    <tabColor theme="9"/>
    <outlinePr summaryBelow="1" summaryRight="1"/>
    <pageSetUpPr fitToPage="1"/>
  </sheetPr>
  <dimension ref="A1:CB131"/>
  <sheetViews>
    <sheetView showGridLines="0" zoomScale="80" zoomScaleNormal="80" workbookViewId="0">
      <selection activeCell="AL1" sqref="AL1:AL1048576"/>
    </sheetView>
  </sheetViews>
  <sheetFormatPr baseColWidth="8" defaultColWidth="9.140625" defaultRowHeight="18.75" customHeight="1"/>
  <cols>
    <col width="43.42578125" customWidth="1" min="1" max="1"/>
    <col width="10.140625" customWidth="1" min="2" max="2"/>
    <col width="16.7109375" customWidth="1" min="3" max="3"/>
    <col width="1.5703125" customWidth="1" min="5" max="5"/>
    <col hidden="1" width="8.140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8.140625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width="13" customWidth="1" min="40" max="40"/>
    <col width="13" customWidth="1" min="41" max="41"/>
    <col width="8.85546875" customWidth="1" min="42" max="42"/>
    <col width="1.85546875" customWidth="1" min="43" max="43"/>
    <col width="31.85546875" customWidth="1" min="44" max="44"/>
    <col width="1.140625" customWidth="1" min="45" max="45"/>
    <col width="15.85546875" customWidth="1" min="46" max="46"/>
    <col width="1.28515625" customWidth="1" min="47" max="47"/>
    <col width="8.28515625" customWidth="1" min="48" max="48"/>
    <col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8.28515625" customWidth="1" min="56" max="56"/>
    <col hidden="1" width="13" customWidth="1" min="57" max="57"/>
    <col hidden="1" width="13" customWidth="1" min="58" max="58"/>
    <col hidden="1" width="13" customWidth="1" min="59" max="59"/>
    <col hidden="1" width="48.5703125" customWidth="1" min="60" max="60"/>
    <col hidden="1" width="8.28515625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4.42578125" customWidth="1" min="74" max="74"/>
    <col hidden="1" width="8.28515625" customWidth="1" min="75" max="75"/>
    <col hidden="1" width="17" customWidth="1" min="76" max="76"/>
    <col hidden="1" width="31.42578125" customWidth="1" min="77" max="77"/>
    <col width="2.85546875" customWidth="1" min="78" max="78"/>
    <col width="9.140625" customWidth="1" min="79" max="79"/>
    <col width="9.140625" customWidth="1" min="80" max="80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5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</row>
    <row r="2">
      <c r="A2" s="50" t="inlineStr">
        <is>
          <t>LOJA:</t>
        </is>
      </c>
      <c r="B2" s="639" t="inlineStr">
        <is>
          <t>ER MONGAGUÁ</t>
        </is>
      </c>
      <c r="C2" s="641" t="n"/>
      <c r="D2" s="77" t="n"/>
      <c r="AR2" s="49" t="n"/>
      <c r="AU2" s="6" t="n"/>
      <c r="AV2" s="49" t="n"/>
      <c r="AW2" s="49" t="n"/>
      <c r="AX2" s="49" t="n"/>
      <c r="AY2" s="49" t="n"/>
      <c r="AZ2" s="49" t="n"/>
      <c r="BA2" s="49" t="n"/>
      <c r="BB2" s="49" t="n"/>
      <c r="BC2" s="49" t="n"/>
      <c r="BD2" s="49" t="n"/>
      <c r="BE2" s="49" t="n"/>
      <c r="BF2" s="49" t="n"/>
      <c r="BG2" s="49" t="n"/>
      <c r="BH2" s="49" t="n"/>
      <c r="BI2" s="49" t="n"/>
      <c r="BJ2" s="49" t="n"/>
      <c r="BK2" s="49" t="n"/>
      <c r="BL2" s="49" t="n"/>
      <c r="BM2" s="49" t="n"/>
      <c r="BN2" s="49" t="n"/>
      <c r="BO2" s="49" t="n"/>
      <c r="BP2" s="49" t="n"/>
      <c r="BQ2" s="49" t="n"/>
      <c r="BR2" s="49" t="n"/>
      <c r="BS2" s="49" t="n"/>
      <c r="BT2" s="49" t="n"/>
      <c r="BU2" s="49" t="n"/>
      <c r="BV2" s="49" t="n"/>
      <c r="BW2" s="49" t="n"/>
      <c r="BX2" s="268" t="n"/>
      <c r="BY2" s="268" t="n"/>
    </row>
    <row r="3" ht="18.75" customHeight="1">
      <c r="A3" s="50" t="inlineStr">
        <is>
          <t>Responsável:</t>
        </is>
      </c>
      <c r="B3" s="253" t="inlineStr">
        <is>
          <t>RICHARD</t>
        </is>
      </c>
      <c r="C3" s="641" t="n"/>
      <c r="D3" s="5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75" t="n"/>
      <c r="AN3" s="675" t="n"/>
      <c r="AO3" s="675" t="n"/>
      <c r="AP3" s="642" t="n"/>
      <c r="AR3" s="49" t="n"/>
      <c r="AU3" s="6" t="n"/>
      <c r="AV3" s="49" t="n"/>
      <c r="AW3" s="49" t="n"/>
      <c r="BX3" s="314" t="n"/>
      <c r="BY3" s="314" t="n"/>
    </row>
    <row r="4" ht="29.25" customHeight="1">
      <c r="AR4" s="49" t="n"/>
      <c r="AU4" s="6" t="n"/>
      <c r="AV4" s="6" t="n"/>
      <c r="AW4" s="6" t="n"/>
      <c r="AX4" s="6" t="n"/>
      <c r="AY4" s="6" t="n"/>
      <c r="AZ4" s="6" t="n"/>
      <c r="BA4" s="6" t="n"/>
      <c r="BB4" s="6" t="n"/>
      <c r="BC4" s="6" t="n"/>
      <c r="BD4" s="6" t="n"/>
      <c r="BE4" s="6" t="n"/>
      <c r="BF4" s="6" t="n"/>
      <c r="BG4" s="6" t="n"/>
      <c r="BH4" s="6" t="n"/>
      <c r="BI4" s="6" t="n"/>
      <c r="BJ4" s="6" t="n"/>
      <c r="BK4" s="6" t="n"/>
      <c r="BL4" s="6" t="n"/>
      <c r="BM4" s="6" t="n"/>
      <c r="BN4" s="6" t="n"/>
      <c r="BO4" s="6" t="n"/>
      <c r="BP4" s="6" t="n"/>
      <c r="BQ4" s="6" t="n"/>
      <c r="BR4" s="6" t="n"/>
      <c r="BS4" s="6" t="n"/>
      <c r="BT4" s="6" t="n"/>
      <c r="BU4" s="6" t="n"/>
      <c r="BV4" s="6" t="n"/>
      <c r="BW4" s="6" t="n"/>
      <c r="BX4" s="269" t="n"/>
      <c r="BY4" s="269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510" t="n"/>
      <c r="AL5" s="510" t="n"/>
      <c r="AM5" s="510" t="n"/>
      <c r="AN5" s="510" t="n"/>
      <c r="AO5" s="510" t="n"/>
      <c r="AP5" s="153" t="n"/>
      <c r="AR5" s="35" t="inlineStr">
        <is>
          <t>Pendências</t>
        </is>
      </c>
      <c r="AS5" s="6" t="n"/>
      <c r="AT5" s="12" t="inlineStr">
        <is>
          <t>Novo Pedido</t>
        </is>
      </c>
      <c r="AU5" s="708" t="n">
        <v>46161.48288009835</v>
      </c>
      <c r="AV5" s="654" t="n">
        <v>46156</v>
      </c>
      <c r="AW5" s="654" t="n">
        <v>46149</v>
      </c>
      <c r="AX5" s="654" t="n">
        <v>46114</v>
      </c>
      <c r="AY5" s="654" t="n">
        <v>46099</v>
      </c>
      <c r="AZ5" s="710" t="n">
        <v>46065</v>
      </c>
      <c r="BA5" s="654" t="n">
        <v>46092</v>
      </c>
      <c r="BB5" s="711" t="n">
        <v>46045</v>
      </c>
      <c r="BC5" s="654" t="n">
        <v>46077</v>
      </c>
      <c r="BD5" s="654" t="n">
        <v>46071</v>
      </c>
      <c r="BE5" s="654" t="n">
        <v>46071</v>
      </c>
      <c r="BF5" s="654" t="n">
        <v>46056</v>
      </c>
      <c r="BG5" s="654" t="n">
        <v>46048</v>
      </c>
      <c r="BH5" s="655" t="inlineStr">
        <is>
          <t>TRANSF.</t>
        </is>
      </c>
      <c r="BI5" s="654" t="n">
        <v>46029</v>
      </c>
      <c r="BJ5" s="654" t="n">
        <v>46372</v>
      </c>
      <c r="BK5" s="654" t="n">
        <v>46382</v>
      </c>
      <c r="BL5" s="654" t="n">
        <v>46007</v>
      </c>
      <c r="BM5" s="654" t="n">
        <v>46017</v>
      </c>
      <c r="BN5" s="654" t="n">
        <v>46007</v>
      </c>
      <c r="BO5" s="654" t="n">
        <v>46001</v>
      </c>
      <c r="BP5" s="654" t="n">
        <v>46001</v>
      </c>
      <c r="BQ5" s="654" t="n">
        <v>45994</v>
      </c>
      <c r="BR5" s="654" t="n">
        <v>45986</v>
      </c>
      <c r="BS5" s="654" t="n">
        <v>45980</v>
      </c>
      <c r="BT5" s="654" t="n">
        <v>45980</v>
      </c>
      <c r="BU5" s="654" t="n">
        <v>45973</v>
      </c>
      <c r="BV5" s="655" t="inlineStr">
        <is>
          <t>TRANSF.</t>
        </is>
      </c>
      <c r="BW5" s="654" t="n">
        <v>45957</v>
      </c>
      <c r="BX5" s="732" t="n"/>
      <c r="BY5" s="655" t="inlineStr">
        <is>
          <t>TRANSF.</t>
        </is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45950</v>
      </c>
      <c r="G6" s="650" t="n">
        <v>45957</v>
      </c>
      <c r="H6" s="650" t="n">
        <v>45933</v>
      </c>
      <c r="I6" s="650" t="n">
        <v>45971</v>
      </c>
      <c r="J6" s="650" t="n">
        <v>45978</v>
      </c>
      <c r="K6" s="650" t="n">
        <v>45985</v>
      </c>
      <c r="L6" s="650" t="n">
        <v>45992</v>
      </c>
      <c r="M6" s="650" t="n">
        <v>45999</v>
      </c>
      <c r="N6" s="650" t="n">
        <v>46006</v>
      </c>
      <c r="O6" s="650" t="n">
        <v>46013</v>
      </c>
      <c r="P6" s="650" t="n">
        <v>46020</v>
      </c>
      <c r="Q6" s="650" t="n">
        <v>46027</v>
      </c>
      <c r="R6" s="650" t="n">
        <v>46034</v>
      </c>
      <c r="S6" s="650" t="n">
        <v>46041</v>
      </c>
      <c r="T6" s="650" t="n">
        <v>46048</v>
      </c>
      <c r="U6" s="650" t="n">
        <v>46055</v>
      </c>
      <c r="V6" s="650" t="n">
        <v>46062</v>
      </c>
      <c r="W6" s="650" t="n">
        <v>46069</v>
      </c>
      <c r="X6" s="650" t="n">
        <v>46076</v>
      </c>
      <c r="Y6" s="650" t="n">
        <v>46083</v>
      </c>
      <c r="Z6" s="650" t="n">
        <v>46090</v>
      </c>
      <c r="AA6" s="650" t="n">
        <v>46097</v>
      </c>
      <c r="AB6" s="650" t="n">
        <v>46104</v>
      </c>
      <c r="AC6" s="650" t="n">
        <v>46111</v>
      </c>
      <c r="AD6" s="650" t="n">
        <v>46118</v>
      </c>
      <c r="AE6" s="650" t="n">
        <v>46125</v>
      </c>
      <c r="AF6" s="650" t="n">
        <v>46132</v>
      </c>
      <c r="AG6" s="650" t="n">
        <v>46139</v>
      </c>
      <c r="AH6" s="650" t="n">
        <v>46146</v>
      </c>
      <c r="AI6" s="650" t="n">
        <v>46154</v>
      </c>
      <c r="AJ6" s="650" t="n">
        <v>46160</v>
      </c>
      <c r="AK6" s="650" t="n">
        <v>46160</v>
      </c>
      <c r="AL6" s="650" t="n">
        <v>46160</v>
      </c>
      <c r="AM6" s="651" t="n">
        <v>46161.48004409722</v>
      </c>
      <c r="AN6" s="651" t="n">
        <v>46161.48072211805</v>
      </c>
      <c r="AO6" s="651" t="n">
        <v>46161.48288076431</v>
      </c>
      <c r="AP6" s="652" t="inlineStr">
        <is>
          <t>USOU</t>
        </is>
      </c>
      <c r="AQ6" s="6" t="n"/>
      <c r="AR6" s="214" t="n">
        <v>46156</v>
      </c>
      <c r="AS6" s="653" t="n"/>
      <c r="AT6" s="656" t="n"/>
      <c r="AU6" s="654" t="n"/>
      <c r="AV6" s="654" t="n"/>
      <c r="AW6" s="654" t="n">
        <v>46154</v>
      </c>
      <c r="AX6" s="654" t="n">
        <v>46121</v>
      </c>
      <c r="AY6" s="654" t="n">
        <v>46106</v>
      </c>
      <c r="AZ6" s="710" t="n">
        <v>46104</v>
      </c>
      <c r="BA6" s="654" t="n">
        <v>46100</v>
      </c>
      <c r="BB6" s="711" t="n">
        <v>46087</v>
      </c>
      <c r="BC6" s="654" t="n">
        <v>46083</v>
      </c>
      <c r="BD6" s="654" t="n">
        <v>46080</v>
      </c>
      <c r="BE6" s="654" t="n">
        <v>46073</v>
      </c>
      <c r="BF6" s="654" t="n">
        <v>46059</v>
      </c>
      <c r="BG6" s="654" t="n">
        <v>46052</v>
      </c>
      <c r="BH6" s="655" t="n">
        <v>46041</v>
      </c>
      <c r="BI6" s="654" t="n">
        <v>46035</v>
      </c>
      <c r="BJ6" s="654" t="n">
        <v>46035</v>
      </c>
      <c r="BK6" s="654" t="n">
        <v>46031</v>
      </c>
      <c r="BL6" s="654" t="n">
        <v>46028</v>
      </c>
      <c r="BM6" s="654" t="n">
        <v>46027</v>
      </c>
      <c r="BN6" s="654" t="n">
        <v>46014</v>
      </c>
      <c r="BO6" s="654" t="n">
        <v>46014</v>
      </c>
      <c r="BP6" s="654" t="n">
        <v>46008</v>
      </c>
      <c r="BQ6" s="654" t="n">
        <v>46002</v>
      </c>
      <c r="BR6" s="654" t="n">
        <v>45994</v>
      </c>
      <c r="BS6" s="654" t="n">
        <v>45994</v>
      </c>
      <c r="BT6" s="654" t="n">
        <v>45987</v>
      </c>
      <c r="BU6" s="654" t="n">
        <v>45979</v>
      </c>
      <c r="BV6" s="655" t="n">
        <v>45967</v>
      </c>
      <c r="BW6" s="654" t="n">
        <v>45959</v>
      </c>
      <c r="BX6" s="732" t="n"/>
      <c r="BY6" s="655" t="n">
        <v>45950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6" t="n"/>
      <c r="AR7" s="575" t="n"/>
      <c r="AT7" s="22" t="n"/>
      <c r="AU7" s="575" t="n"/>
      <c r="AV7" s="575" t="n"/>
      <c r="AW7" s="575" t="n"/>
      <c r="AX7" s="575" t="n"/>
      <c r="AY7" s="575" t="n"/>
      <c r="AZ7" s="270" t="inlineStr">
        <is>
          <t>MÃES</t>
        </is>
      </c>
      <c r="BA7" s="575" t="n"/>
      <c r="BB7" s="270" t="inlineStr">
        <is>
          <t>MÃES</t>
        </is>
      </c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/>
      <c r="E8" s="6" t="n"/>
      <c r="F8" s="187" t="n">
        <v>0</v>
      </c>
      <c r="G8" s="187">
        <f>0+BT8</f>
        <v/>
      </c>
      <c r="H8" s="187" t="n">
        <v>300</v>
      </c>
      <c r="I8" s="187" t="n">
        <v>290</v>
      </c>
      <c r="J8" s="187" t="n">
        <v>290</v>
      </c>
      <c r="K8" s="187" t="n">
        <v>0</v>
      </c>
      <c r="L8" s="187" t="n">
        <v>0</v>
      </c>
      <c r="M8" s="187" t="n">
        <v>300</v>
      </c>
      <c r="N8" s="187">
        <f>300+BM8</f>
        <v/>
      </c>
      <c r="O8" s="187" t="n">
        <v>900</v>
      </c>
      <c r="P8" s="187" t="n">
        <v>900</v>
      </c>
      <c r="Q8" s="187">
        <f>600+BJ8</f>
        <v/>
      </c>
      <c r="R8" s="187" t="n">
        <v>300</v>
      </c>
      <c r="S8" s="187" t="n">
        <v>300</v>
      </c>
      <c r="T8" s="187" t="n">
        <v>300</v>
      </c>
      <c r="U8" s="187" t="n">
        <v>0</v>
      </c>
      <c r="V8" s="187" t="n">
        <v>600</v>
      </c>
      <c r="W8" s="187" t="n">
        <v>0</v>
      </c>
      <c r="X8" s="187" t="n">
        <v>300</v>
      </c>
      <c r="Y8" s="187">
        <f>300+AZ8</f>
        <v/>
      </c>
      <c r="Z8" s="187" t="n">
        <v>600</v>
      </c>
      <c r="AA8" s="187">
        <f>300+AX8</f>
        <v/>
      </c>
      <c r="AB8" s="187" t="n">
        <v>900</v>
      </c>
      <c r="AC8" s="187" t="n">
        <v>900</v>
      </c>
      <c r="AD8" s="187" t="n">
        <v>600</v>
      </c>
      <c r="AE8" s="187" t="n">
        <v>300</v>
      </c>
      <c r="AF8" s="187" t="n">
        <v>300</v>
      </c>
      <c r="AG8" s="187" t="n">
        <v>0</v>
      </c>
      <c r="AH8" s="187" t="n">
        <v>0</v>
      </c>
      <c r="AI8" s="187">
        <f>0+AT8</f>
        <v/>
      </c>
      <c r="AJ8" s="187" t="n"/>
      <c r="AK8" s="187" t="n"/>
      <c r="AL8" s="187" t="n"/>
      <c r="AM8" s="422" t="n"/>
      <c r="AN8" s="422" t="n"/>
      <c r="AO8" s="422" t="n"/>
      <c r="AP8" s="188">
        <f>AN8+IF(NOT(ISBLANK(OFFSET(AP8,0,6))),N(OFFSET(AP8,0,6)),N(OFFSET(AP8,0,7)))-AO8</f>
        <v/>
      </c>
      <c r="AQ8" s="6" t="n"/>
      <c r="AR8" s="19" t="n">
        <v>300</v>
      </c>
      <c r="AT8" s="27" t="n"/>
      <c r="AU8" s="110" t="n">
        <v>0</v>
      </c>
      <c r="AV8" s="179" t="n">
        <v>0</v>
      </c>
      <c r="AW8" s="179" t="n">
        <v>300</v>
      </c>
      <c r="AX8" s="179" t="n"/>
      <c r="AY8" s="179" t="n">
        <v>300</v>
      </c>
      <c r="AZ8" s="179" t="n"/>
      <c r="BA8" s="179" t="n">
        <v>300</v>
      </c>
      <c r="BB8" s="179" t="n"/>
      <c r="BC8" s="179" t="n">
        <v>600</v>
      </c>
      <c r="BD8" s="179" t="n"/>
      <c r="BE8" s="179" t="n">
        <v>600</v>
      </c>
      <c r="BF8" s="179" t="n">
        <v>600</v>
      </c>
      <c r="BG8" s="179" t="n"/>
      <c r="BH8" s="179" t="n"/>
      <c r="BI8" s="179" t="n"/>
      <c r="BJ8" s="179" t="n"/>
      <c r="BK8" s="179" t="n"/>
      <c r="BL8" s="179" t="n"/>
      <c r="BM8" s="179" t="n">
        <v>300</v>
      </c>
      <c r="BN8" s="179" t="n"/>
      <c r="BO8" s="179" t="n"/>
      <c r="BP8" s="179" t="n">
        <v>900</v>
      </c>
      <c r="BQ8" s="179" t="n"/>
      <c r="BR8" s="179" t="n">
        <v>600</v>
      </c>
      <c r="BS8" s="179" t="n"/>
      <c r="BT8" s="179" t="n"/>
      <c r="BU8" s="179" t="n"/>
      <c r="BV8" s="402" t="inlineStr">
        <is>
          <t>300 DE CDP</t>
        </is>
      </c>
      <c r="BW8" s="179" t="n">
        <v>300</v>
      </c>
      <c r="BX8" s="256" t="n"/>
      <c r="BY8" s="256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/>
      <c r="E9" s="6" t="n"/>
      <c r="F9" s="187" t="n">
        <v>0</v>
      </c>
      <c r="G9" s="187">
        <f>0+BT9</f>
        <v/>
      </c>
      <c r="H9" s="187" t="n">
        <v>600</v>
      </c>
      <c r="I9" s="187" t="n">
        <v>560</v>
      </c>
      <c r="J9" s="187">
        <f>360+BR9</f>
        <v/>
      </c>
      <c r="K9" s="187">
        <f>370+BQ9</f>
        <v/>
      </c>
      <c r="L9" s="187" t="n">
        <v>400</v>
      </c>
      <c r="M9" s="187">
        <f>400+BN9</f>
        <v/>
      </c>
      <c r="N9" s="187">
        <f>936+BM9</f>
        <v/>
      </c>
      <c r="O9" s="187" t="n">
        <v>2536</v>
      </c>
      <c r="P9" s="187" t="n">
        <v>2000</v>
      </c>
      <c r="Q9" s="187">
        <f>1400+BJ9</f>
        <v/>
      </c>
      <c r="R9" s="187" t="n">
        <v>1600</v>
      </c>
      <c r="S9" s="187">
        <f>1600-400</f>
        <v/>
      </c>
      <c r="T9" s="187" t="n">
        <v>400</v>
      </c>
      <c r="U9" s="187" t="n">
        <v>800</v>
      </c>
      <c r="V9" s="187" t="n">
        <v>600</v>
      </c>
      <c r="W9" s="187" t="n">
        <v>200</v>
      </c>
      <c r="X9" s="187" t="n">
        <v>1000</v>
      </c>
      <c r="Y9" s="187" t="n">
        <v>1000</v>
      </c>
      <c r="Z9" s="187" t="n">
        <v>600</v>
      </c>
      <c r="AA9" s="187">
        <f>400+AX9</f>
        <v/>
      </c>
      <c r="AB9" s="187" t="n">
        <v>800</v>
      </c>
      <c r="AC9" s="187" t="n">
        <v>0</v>
      </c>
      <c r="AD9" s="187" t="n">
        <v>0</v>
      </c>
      <c r="AE9" s="187" t="n">
        <v>600</v>
      </c>
      <c r="AF9" s="187" t="n">
        <v>600</v>
      </c>
      <c r="AG9" s="187" t="n">
        <v>600</v>
      </c>
      <c r="AH9" s="187" t="n">
        <v>400</v>
      </c>
      <c r="AI9" s="187" t="n">
        <v>0</v>
      </c>
      <c r="AJ9" s="187" t="n"/>
      <c r="AK9" s="187" t="n"/>
      <c r="AL9" s="187" t="n"/>
      <c r="AM9" s="422" t="n"/>
      <c r="AN9" s="422" t="n"/>
      <c r="AO9" s="422" t="n"/>
      <c r="AP9" s="188">
        <f>AN9+IF(NOT(ISBLANK(OFFSET(AP9,0,6))),N(OFFSET(AP9,0,6)),N(OFFSET(AP9,0,7)))-AO9</f>
        <v/>
      </c>
      <c r="AQ9" s="6" t="n"/>
      <c r="AR9" s="19" t="n">
        <v>400</v>
      </c>
      <c r="AT9" s="27" t="n"/>
      <c r="AU9" s="110" t="n">
        <v>0</v>
      </c>
      <c r="AV9" s="179" t="n">
        <v>0</v>
      </c>
      <c r="AW9" s="179" t="n">
        <v>0</v>
      </c>
      <c r="AX9" s="179" t="n">
        <v>800</v>
      </c>
      <c r="AY9" s="179" t="n"/>
      <c r="AZ9" s="403" t="n">
        <v>1000</v>
      </c>
      <c r="BA9" s="179" t="n">
        <v>600</v>
      </c>
      <c r="BB9" s="179" t="n"/>
      <c r="BC9" s="179" t="n"/>
      <c r="BD9" s="179" t="n"/>
      <c r="BE9" s="179" t="n">
        <v>800</v>
      </c>
      <c r="BF9" s="179" t="n"/>
      <c r="BG9" s="179" t="n">
        <v>600</v>
      </c>
      <c r="BH9" s="402" t="inlineStr">
        <is>
          <t>400 P/ MG</t>
        </is>
      </c>
      <c r="BI9" s="179" t="n">
        <v>600</v>
      </c>
      <c r="BJ9" s="179" t="n"/>
      <c r="BK9" s="179" t="n"/>
      <c r="BL9" s="179" t="n"/>
      <c r="BM9" s="179" t="n">
        <v>600</v>
      </c>
      <c r="BN9" s="179" t="n"/>
      <c r="BO9" s="179" t="n"/>
      <c r="BP9" s="179" t="n">
        <v>800</v>
      </c>
      <c r="BQ9" s="179" t="n">
        <v>600</v>
      </c>
      <c r="BR9" s="179" t="n">
        <v>400</v>
      </c>
      <c r="BS9" s="179" t="n"/>
      <c r="BT9" s="179" t="n">
        <v>600</v>
      </c>
      <c r="BU9" s="179" t="n">
        <v>200</v>
      </c>
      <c r="BV9" s="402" t="inlineStr">
        <is>
          <t>600 DE CDP</t>
        </is>
      </c>
      <c r="BW9" s="179" t="n">
        <v>600</v>
      </c>
      <c r="BX9" s="256" t="n"/>
      <c r="BY9" s="256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/>
      <c r="E10" s="6" t="n"/>
      <c r="F10" s="187" t="n">
        <v>0</v>
      </c>
      <c r="G10" s="187">
        <f>0+BT10</f>
        <v/>
      </c>
      <c r="H10" s="187" t="n">
        <v>400</v>
      </c>
      <c r="I10" s="187" t="n">
        <v>300</v>
      </c>
      <c r="J10" s="187">
        <f>300+BR10</f>
        <v/>
      </c>
      <c r="K10" s="187">
        <f>480+BQ10</f>
        <v/>
      </c>
      <c r="L10" s="187" t="n">
        <v>980</v>
      </c>
      <c r="M10" s="187" t="n">
        <v>964</v>
      </c>
      <c r="N10" s="187" t="n">
        <v>329</v>
      </c>
      <c r="O10" s="187" t="n">
        <v>929</v>
      </c>
      <c r="P10" s="187" t="n">
        <v>900</v>
      </c>
      <c r="Q10" s="187">
        <f>900+BJ10</f>
        <v/>
      </c>
      <c r="R10" s="187" t="n">
        <v>1650</v>
      </c>
      <c r="S10" s="187">
        <f>1650-800-200</f>
        <v/>
      </c>
      <c r="T10" s="187" t="n">
        <v>550</v>
      </c>
      <c r="U10" s="187" t="n">
        <v>556</v>
      </c>
      <c r="V10" s="187" t="n">
        <v>500</v>
      </c>
      <c r="W10" s="187" t="n">
        <v>400</v>
      </c>
      <c r="X10" s="187" t="n">
        <v>600</v>
      </c>
      <c r="Y10" s="187" t="n">
        <v>600</v>
      </c>
      <c r="Z10" s="187" t="n">
        <v>600</v>
      </c>
      <c r="AA10" s="187" t="n">
        <v>600</v>
      </c>
      <c r="AB10" s="187" t="n">
        <v>1000</v>
      </c>
      <c r="AC10" s="187" t="n">
        <v>400</v>
      </c>
      <c r="AD10" s="187" t="n">
        <v>200</v>
      </c>
      <c r="AE10" s="187" t="n">
        <v>1000</v>
      </c>
      <c r="AF10" s="187" t="n">
        <v>1400</v>
      </c>
      <c r="AG10" s="187" t="n">
        <v>1400</v>
      </c>
      <c r="AH10" s="187" t="n">
        <v>1200</v>
      </c>
      <c r="AI10" s="187" t="n">
        <v>800</v>
      </c>
      <c r="AJ10" s="187" t="n"/>
      <c r="AK10" s="187" t="n"/>
      <c r="AL10" s="187" t="n"/>
      <c r="AM10" s="422" t="n"/>
      <c r="AN10" s="422" t="n"/>
      <c r="AO10" s="422" t="n"/>
      <c r="AP10" s="188">
        <f>AN10+IF(NOT(ISBLANK(OFFSET(AP10,0,6))),N(OFFSET(AP10,0,6)),N(OFFSET(AP10,0,7)))-AO10</f>
        <v/>
      </c>
      <c r="AQ10" s="6" t="n"/>
      <c r="AR10" s="233" t="inlineStr">
        <is>
          <t>400 P/ ER PBE</t>
        </is>
      </c>
      <c r="AS10" s="4" t="n"/>
      <c r="AT10" s="27" t="n"/>
      <c r="AU10" s="18" t="n">
        <v>0</v>
      </c>
      <c r="AV10" s="18" t="n">
        <v>0</v>
      </c>
      <c r="AW10" s="18" t="n">
        <v>0</v>
      </c>
      <c r="AX10" s="18" t="n">
        <v>600</v>
      </c>
      <c r="AY10" s="18" t="n">
        <v>400</v>
      </c>
      <c r="AZ10" s="403" t="n">
        <v>400</v>
      </c>
      <c r="BA10" s="18" t="n"/>
      <c r="BB10" s="418" t="n">
        <v>150</v>
      </c>
      <c r="BC10" s="18" t="n"/>
      <c r="BD10" s="18" t="n"/>
      <c r="BE10" s="18" t="n">
        <v>200</v>
      </c>
      <c r="BF10" s="18" t="n"/>
      <c r="BG10" s="18" t="n"/>
      <c r="BH10" s="154" t="inlineStr">
        <is>
          <t>800 P/ MG + 200 P/ ER PBE</t>
        </is>
      </c>
      <c r="BI10" s="18" t="n">
        <v>400</v>
      </c>
      <c r="BJ10" s="18" t="n"/>
      <c r="BK10" s="18" t="n"/>
      <c r="BL10" s="18" t="n"/>
      <c r="BM10" s="18" t="n">
        <v>400</v>
      </c>
      <c r="BN10" s="18" t="n">
        <v>600</v>
      </c>
      <c r="BO10" s="18" t="n"/>
      <c r="BP10" s="18" t="n"/>
      <c r="BQ10" s="18" t="n"/>
      <c r="BR10" s="18" t="n"/>
      <c r="BS10" s="18" t="n"/>
      <c r="BT10" s="18" t="n">
        <v>400</v>
      </c>
      <c r="BU10" s="18" t="n">
        <v>200</v>
      </c>
      <c r="BV10" s="18" t="n"/>
      <c r="BW10" s="18" t="n">
        <v>400</v>
      </c>
      <c r="BX10" s="256" t="n"/>
      <c r="BY10" s="256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/>
      <c r="E11" s="6" t="n"/>
      <c r="F11" s="38" t="n">
        <v>0</v>
      </c>
      <c r="G11" s="38">
        <f>0+BT11</f>
        <v/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100</v>
      </c>
      <c r="M11" s="38" t="n">
        <v>100</v>
      </c>
      <c r="N11" s="38">
        <f>0+BM11</f>
        <v/>
      </c>
      <c r="O11" s="38" t="n">
        <v>300</v>
      </c>
      <c r="P11" s="38" t="n">
        <v>300</v>
      </c>
      <c r="Q11" s="38">
        <f>300+BJ11</f>
        <v/>
      </c>
      <c r="R11" s="38" t="n">
        <v>700</v>
      </c>
      <c r="S11" s="38">
        <f>700-200-300-100</f>
        <v/>
      </c>
      <c r="T11" s="38" t="n">
        <v>100</v>
      </c>
      <c r="U11" s="38" t="n">
        <v>200</v>
      </c>
      <c r="V11" s="38" t="n">
        <v>200</v>
      </c>
      <c r="W11" s="38" t="n">
        <v>200</v>
      </c>
      <c r="X11" s="38" t="n">
        <v>200</v>
      </c>
      <c r="Y11" s="38" t="n">
        <v>200</v>
      </c>
      <c r="Z11" s="38" t="n">
        <v>0</v>
      </c>
      <c r="AA11" s="38">
        <f>100+AX11</f>
        <v/>
      </c>
      <c r="AB11" s="38" t="n">
        <v>400</v>
      </c>
      <c r="AC11" s="38" t="n">
        <v>400</v>
      </c>
      <c r="AD11" s="38" t="n">
        <v>400</v>
      </c>
      <c r="AE11" s="38" t="n">
        <v>400</v>
      </c>
      <c r="AF11" s="38" t="n">
        <v>300</v>
      </c>
      <c r="AG11" s="38" t="n">
        <v>300</v>
      </c>
      <c r="AH11" s="38" t="n">
        <v>300</v>
      </c>
      <c r="AI11" s="38" t="n">
        <v>300</v>
      </c>
      <c r="AJ11" s="38" t="n"/>
      <c r="AK11" s="38" t="n"/>
      <c r="AL11" s="38" t="n"/>
      <c r="AM11" s="9" t="n"/>
      <c r="AN11" s="9" t="n"/>
      <c r="AO11" s="9" t="n"/>
      <c r="AP11" s="188">
        <f>AN11+IF(NOT(ISBLANK(OFFSET(AP11,0,6))),N(OFFSET(AP11,0,6)),N(OFFSET(AP11,0,7)))-AO11</f>
        <v/>
      </c>
      <c r="AQ11" s="6" t="n"/>
      <c r="AR11" s="233" t="inlineStr">
        <is>
          <t>100 P/ MG</t>
        </is>
      </c>
      <c r="AS11" s="4" t="n"/>
      <c r="AT11" s="65" t="n"/>
      <c r="AU11" s="18" t="n">
        <v>0</v>
      </c>
      <c r="AV11" s="18" t="n">
        <v>0</v>
      </c>
      <c r="AW11" s="18" t="n">
        <v>0</v>
      </c>
      <c r="AX11" s="18" t="n"/>
      <c r="AY11" s="18" t="n"/>
      <c r="AZ11" s="403" t="n">
        <v>100</v>
      </c>
      <c r="BA11" s="18" t="n">
        <v>300</v>
      </c>
      <c r="BB11" s="18" t="n"/>
      <c r="BC11" s="18" t="n"/>
      <c r="BD11" s="18" t="n"/>
      <c r="BE11" s="18" t="n"/>
      <c r="BF11" s="18" t="n"/>
      <c r="BG11" s="18" t="n"/>
      <c r="BH11" s="154" t="inlineStr">
        <is>
          <t>200 P/ ER PG + 300 P/ MG + 100 P/ ER PB</t>
        </is>
      </c>
      <c r="BI11" s="18" t="n"/>
      <c r="BJ11" s="18" t="n"/>
      <c r="BK11" s="18" t="n"/>
      <c r="BL11" s="18" t="n"/>
      <c r="BM11" s="18" t="n">
        <v>300</v>
      </c>
      <c r="BN11" s="18" t="n">
        <v>200</v>
      </c>
      <c r="BO11" s="18" t="n"/>
      <c r="BP11" s="18" t="n">
        <v>100</v>
      </c>
      <c r="BQ11" s="18" t="n"/>
      <c r="BR11" s="18" t="n"/>
      <c r="BS11" s="18" t="n"/>
      <c r="BT11" s="18" t="n"/>
      <c r="BU11" s="18" t="n"/>
      <c r="BV11" s="18" t="n"/>
      <c r="BW11" s="18" t="n">
        <v>100</v>
      </c>
      <c r="BX11" s="256" t="n"/>
      <c r="BY11" s="256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329" t="n"/>
      <c r="E12" s="6" t="n"/>
      <c r="F12" s="38" t="n">
        <v>0</v>
      </c>
      <c r="G12" s="38">
        <f>0+BT12</f>
        <v/>
      </c>
      <c r="H12" s="38" t="n">
        <v>200</v>
      </c>
      <c r="I12" s="38" t="n">
        <v>120</v>
      </c>
      <c r="J12" s="38">
        <f>60+BR12</f>
        <v/>
      </c>
      <c r="K12" s="38">
        <f>200+BQ12</f>
        <v/>
      </c>
      <c r="L12" s="38" t="n">
        <v>600</v>
      </c>
      <c r="M12" s="38" t="n">
        <v>550</v>
      </c>
      <c r="N12" s="38" t="n">
        <v>0</v>
      </c>
      <c r="O12" s="38" t="n">
        <v>0</v>
      </c>
      <c r="P12" s="38" t="n">
        <v>0</v>
      </c>
      <c r="Q12" s="261">
        <f>880+BI12</f>
        <v/>
      </c>
      <c r="R12" s="38" t="n">
        <v>880</v>
      </c>
      <c r="S12" s="38" t="n">
        <v>880</v>
      </c>
      <c r="T12" s="38" t="n">
        <v>560</v>
      </c>
      <c r="U12" s="38" t="n">
        <v>560</v>
      </c>
      <c r="V12" s="38" t="n">
        <v>500</v>
      </c>
      <c r="W12" s="38" t="n">
        <v>400</v>
      </c>
      <c r="X12" s="38" t="n">
        <v>400</v>
      </c>
      <c r="Y12" s="38" t="n">
        <v>400</v>
      </c>
      <c r="Z12" s="38" t="n">
        <v>200</v>
      </c>
      <c r="AA12" s="38">
        <f>100+AX12</f>
        <v/>
      </c>
      <c r="AB12" s="38" t="n">
        <v>600</v>
      </c>
      <c r="AC12" s="38" t="n">
        <v>600</v>
      </c>
      <c r="AD12" s="38" t="n">
        <v>600</v>
      </c>
      <c r="AE12" s="38" t="n">
        <v>400</v>
      </c>
      <c r="AF12" s="38" t="n">
        <v>200</v>
      </c>
      <c r="AG12" s="38" t="n">
        <v>200</v>
      </c>
      <c r="AH12" s="38" t="n">
        <v>0</v>
      </c>
      <c r="AI12" s="38">
        <f>0+AT12</f>
        <v/>
      </c>
      <c r="AJ12" s="38" t="n"/>
      <c r="AK12" s="38" t="n"/>
      <c r="AL12" s="38" t="n"/>
      <c r="AM12" s="9" t="n"/>
      <c r="AN12" s="9" t="n"/>
      <c r="AO12" s="9" t="n"/>
      <c r="AP12" s="188">
        <f>AN12+IF(NOT(ISBLANK(OFFSET(AP12,0,6))),N(OFFSET(AP12,0,6)),N(OFFSET(AP12,0,7)))-AO12</f>
        <v/>
      </c>
      <c r="AQ12" s="6" t="n"/>
      <c r="AR12" s="19" t="n"/>
      <c r="AS12" s="4" t="n"/>
      <c r="AT12" s="65" t="n"/>
      <c r="AU12" s="18" t="n">
        <v>0</v>
      </c>
      <c r="AV12" s="18" t="n">
        <v>0</v>
      </c>
      <c r="AW12" s="18" t="n">
        <v>200</v>
      </c>
      <c r="AX12" s="18" t="n"/>
      <c r="AY12" s="18" t="n">
        <v>200</v>
      </c>
      <c r="AZ12" s="18" t="n"/>
      <c r="BA12" s="18" t="n">
        <v>200</v>
      </c>
      <c r="BB12" s="18" t="n"/>
      <c r="BC12" s="18" t="n"/>
      <c r="BD12" s="18" t="n"/>
      <c r="BE12" s="18" t="n"/>
      <c r="BF12" s="18" t="n"/>
      <c r="BG12" s="18" t="n"/>
      <c r="BH12" s="18" t="n"/>
      <c r="BI12" s="18" t="n"/>
      <c r="BJ12" s="18" t="n"/>
      <c r="BK12" s="18" t="n"/>
      <c r="BL12" s="18" t="n">
        <v>600</v>
      </c>
      <c r="BM12" s="18" t="n"/>
      <c r="BN12" s="18" t="n"/>
      <c r="BO12" s="18" t="n"/>
      <c r="BP12" s="18" t="n"/>
      <c r="BQ12" s="18" t="n"/>
      <c r="BR12" s="18" t="n"/>
      <c r="BS12" s="18" t="n"/>
      <c r="BT12" s="18" t="n">
        <v>400</v>
      </c>
      <c r="BU12" s="18" t="n">
        <v>200</v>
      </c>
      <c r="BV12" s="18" t="n"/>
      <c r="BW12" s="18" t="n">
        <v>200</v>
      </c>
      <c r="BX12" s="256" t="n"/>
      <c r="BY12" s="256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329" t="n"/>
      <c r="E13" s="6" t="n"/>
      <c r="F13" s="38" t="n">
        <v>0</v>
      </c>
      <c r="G13" s="38">
        <f>0+BT13</f>
        <v/>
      </c>
      <c r="H13" s="38" t="n">
        <v>100</v>
      </c>
      <c r="I13" s="38" t="n">
        <v>40</v>
      </c>
      <c r="J13" s="38">
        <f>40+BR13</f>
        <v/>
      </c>
      <c r="K13" s="38">
        <f>100+BQ13</f>
        <v/>
      </c>
      <c r="L13" s="38" t="n">
        <v>100</v>
      </c>
      <c r="M13" s="38">
        <f>100+BN13</f>
        <v/>
      </c>
      <c r="N13" s="38" t="n">
        <v>0</v>
      </c>
      <c r="O13" s="38" t="n">
        <v>0</v>
      </c>
      <c r="P13" s="38" t="n">
        <v>0</v>
      </c>
      <c r="Q13" s="261" t="n">
        <v>300</v>
      </c>
      <c r="R13" s="38" t="n">
        <v>855</v>
      </c>
      <c r="S13" s="38">
        <f>855-500</f>
        <v/>
      </c>
      <c r="T13" s="38" t="n">
        <v>200</v>
      </c>
      <c r="U13" s="38" t="n">
        <v>100</v>
      </c>
      <c r="V13" s="38" t="n">
        <v>100</v>
      </c>
      <c r="W13" s="38" t="n">
        <v>0</v>
      </c>
      <c r="X13" s="38" t="n">
        <v>300</v>
      </c>
      <c r="Y13" s="38" t="n">
        <v>300</v>
      </c>
      <c r="Z13" s="38" t="n">
        <v>300</v>
      </c>
      <c r="AA13" s="38" t="n">
        <v>100</v>
      </c>
      <c r="AB13" s="38" t="n">
        <v>300</v>
      </c>
      <c r="AC13" s="38" t="n">
        <v>300</v>
      </c>
      <c r="AD13" s="38" t="n">
        <v>200</v>
      </c>
      <c r="AE13" s="38" t="n">
        <v>200</v>
      </c>
      <c r="AF13" s="38" t="n">
        <v>100</v>
      </c>
      <c r="AG13" s="38" t="n">
        <v>0</v>
      </c>
      <c r="AH13" s="38" t="n">
        <v>0</v>
      </c>
      <c r="AI13" s="38">
        <f>0+AT13</f>
        <v/>
      </c>
      <c r="AJ13" s="38" t="n"/>
      <c r="AK13" s="38" t="n"/>
      <c r="AL13" s="38" t="n"/>
      <c r="AM13" s="9" t="n"/>
      <c r="AN13" s="9" t="n"/>
      <c r="AO13" s="9" t="n"/>
      <c r="AP13" s="188">
        <f>AN13+IF(NOT(ISBLANK(OFFSET(AP13,0,6))),N(OFFSET(AP13,0,6)),N(OFFSET(AP13,0,7)))-AO13</f>
        <v/>
      </c>
      <c r="AQ13" s="6" t="n"/>
      <c r="AR13" s="19" t="n"/>
      <c r="AS13" s="4" t="n"/>
      <c r="AT13" s="65" t="n"/>
      <c r="AU13" s="18" t="n">
        <v>0</v>
      </c>
      <c r="AV13" s="18" t="n">
        <v>0</v>
      </c>
      <c r="AW13" s="18" t="n">
        <v>100</v>
      </c>
      <c r="AX13" s="18" t="n"/>
      <c r="AY13" s="18" t="n">
        <v>200</v>
      </c>
      <c r="AZ13" s="18" t="n"/>
      <c r="BA13" s="18" t="n"/>
      <c r="BB13" s="18" t="n"/>
      <c r="BC13" s="18" t="n"/>
      <c r="BD13" s="18" t="n"/>
      <c r="BE13" s="18" t="n">
        <v>200</v>
      </c>
      <c r="BF13" s="18" t="n">
        <v>100</v>
      </c>
      <c r="BG13" s="18" t="n"/>
      <c r="BH13" s="154" t="inlineStr">
        <is>
          <t>500 P/ ER PG</t>
        </is>
      </c>
      <c r="BI13" s="18" t="n"/>
      <c r="BJ13" s="18" t="n">
        <v>500</v>
      </c>
      <c r="BK13" s="18" t="n"/>
      <c r="BL13" s="18" t="n"/>
      <c r="BM13" s="18" t="n"/>
      <c r="BN13" s="18" t="n"/>
      <c r="BO13" s="18" t="n"/>
      <c r="BP13" s="18" t="n"/>
      <c r="BQ13" s="18" t="n">
        <v>300</v>
      </c>
      <c r="BR13" s="18" t="n"/>
      <c r="BS13" s="18" t="n"/>
      <c r="BT13" s="18" t="n">
        <v>200</v>
      </c>
      <c r="BU13" s="18" t="n">
        <v>100</v>
      </c>
      <c r="BV13" s="18" t="n"/>
      <c r="BW13" s="18" t="n">
        <v>100</v>
      </c>
      <c r="BX13" s="256" t="n"/>
      <c r="BY13" s="256" t="n"/>
    </row>
    <row r="14" ht="18.75" customHeight="1">
      <c r="AP14" s="53" t="n"/>
      <c r="AR14" s="69" t="n"/>
    </row>
    <row r="15" ht="18.75" customFormat="1" customHeight="1" s="3">
      <c r="A15" s="32" t="inlineStr">
        <is>
          <t>DIVERSOS DOADOS E. R. BOTICÁRIO</t>
        </is>
      </c>
      <c r="B15" s="575" t="inlineStr">
        <is>
          <t>PC</t>
        </is>
      </c>
      <c r="C15" s="575" t="inlineStr">
        <is>
          <t>R$</t>
        </is>
      </c>
      <c r="D15" s="575" t="inlineStr">
        <is>
          <t>Estoque Ideal</t>
        </is>
      </c>
      <c r="E15" s="642" t="n"/>
      <c r="F15" s="650" t="n">
        <v>45950</v>
      </c>
      <c r="G15" s="650" t="n">
        <v>45957</v>
      </c>
      <c r="H15" s="650" t="n">
        <v>45933</v>
      </c>
      <c r="I15" s="650" t="n">
        <v>45971</v>
      </c>
      <c r="J15" s="650" t="n">
        <v>45978</v>
      </c>
      <c r="K15" s="650" t="n">
        <v>45985</v>
      </c>
      <c r="L15" s="650" t="n">
        <v>45992</v>
      </c>
      <c r="M15" s="650" t="n">
        <v>45999</v>
      </c>
      <c r="N15" s="650" t="n">
        <v>46006</v>
      </c>
      <c r="O15" s="650" t="n">
        <v>46013</v>
      </c>
      <c r="P15" s="650" t="n">
        <v>46020</v>
      </c>
      <c r="Q15" s="650" t="n">
        <v>46027</v>
      </c>
      <c r="R15" s="650" t="n">
        <v>46034</v>
      </c>
      <c r="S15" s="650" t="n">
        <v>46041</v>
      </c>
      <c r="T15" s="650" t="n">
        <v>46048</v>
      </c>
      <c r="U15" s="650" t="n">
        <v>46055</v>
      </c>
      <c r="V15" s="650" t="n">
        <v>46062</v>
      </c>
      <c r="W15" s="650" t="n">
        <v>46069</v>
      </c>
      <c r="X15" s="650" t="n">
        <v>46076</v>
      </c>
      <c r="Y15" s="650" t="n">
        <v>46083</v>
      </c>
      <c r="Z15" s="650" t="n">
        <v>46090</v>
      </c>
      <c r="AA15" s="650" t="n">
        <v>46097</v>
      </c>
      <c r="AB15" s="650" t="n">
        <v>46104</v>
      </c>
      <c r="AC15" s="650" t="n">
        <v>46111</v>
      </c>
      <c r="AD15" s="650" t="n">
        <v>46118</v>
      </c>
      <c r="AE15" s="650" t="n">
        <v>46125</v>
      </c>
      <c r="AF15" s="650" t="n">
        <v>46132</v>
      </c>
      <c r="AG15" s="650" t="n">
        <v>46139</v>
      </c>
      <c r="AH15" s="650" t="n">
        <v>46146</v>
      </c>
      <c r="AI15" s="650" t="n">
        <v>46154</v>
      </c>
      <c r="AJ15" s="650" t="n">
        <v>46160</v>
      </c>
      <c r="AK15" s="650" t="n">
        <v>46160</v>
      </c>
      <c r="AL15" s="650" t="n">
        <v>46160</v>
      </c>
      <c r="AM15" s="651" t="n">
        <v>46161.48004409722</v>
      </c>
      <c r="AN15" s="651" t="n">
        <v>46161.48072211805</v>
      </c>
      <c r="AO15" s="651" t="n">
        <v>46161.48288076464</v>
      </c>
      <c r="AP15" s="652" t="inlineStr">
        <is>
          <t>USOU</t>
        </is>
      </c>
      <c r="AQ15" s="6" t="n"/>
      <c r="AR15" s="35" t="inlineStr">
        <is>
          <t>Pend.</t>
        </is>
      </c>
      <c r="AS15" s="653" t="n"/>
      <c r="AT15" s="12" t="inlineStr">
        <is>
          <t>Novo Pedido</t>
        </is>
      </c>
      <c r="AU15" s="716" t="n">
        <v>46161.48288009904</v>
      </c>
      <c r="AV15" s="654" t="n">
        <v>46156</v>
      </c>
      <c r="AW15" s="654" t="n">
        <v>46149</v>
      </c>
      <c r="AX15" s="654" t="n">
        <v>46114</v>
      </c>
      <c r="AY15" s="654" t="n">
        <v>46099</v>
      </c>
      <c r="AZ15" s="710" t="n">
        <v>46065</v>
      </c>
      <c r="BA15" s="654" t="n">
        <v>46092</v>
      </c>
      <c r="BB15" s="711" t="n">
        <v>46045</v>
      </c>
      <c r="BC15" s="654" t="n">
        <v>46077</v>
      </c>
      <c r="BD15" s="654" t="n">
        <v>46071</v>
      </c>
      <c r="BE15" s="654" t="n">
        <v>46071</v>
      </c>
      <c r="BF15" s="654" t="n">
        <v>46056</v>
      </c>
      <c r="BG15" s="654" t="n">
        <v>46048</v>
      </c>
      <c r="BH15" s="655" t="n">
        <v>46041</v>
      </c>
      <c r="BI15" s="654" t="n">
        <v>46029</v>
      </c>
      <c r="BJ15" s="654" t="n">
        <v>46372</v>
      </c>
      <c r="BK15" s="654" t="n">
        <v>46382</v>
      </c>
      <c r="BL15" s="654" t="n">
        <v>46007</v>
      </c>
      <c r="BM15" s="654" t="n">
        <v>46017</v>
      </c>
      <c r="BN15" s="654" t="n">
        <v>46007</v>
      </c>
      <c r="BO15" s="654" t="n">
        <v>46001</v>
      </c>
      <c r="BP15" s="654" t="n">
        <v>46001</v>
      </c>
      <c r="BQ15" s="654" t="n">
        <v>45994</v>
      </c>
      <c r="BR15" s="654" t="n">
        <v>45986</v>
      </c>
      <c r="BS15" s="654" t="n">
        <v>45980</v>
      </c>
      <c r="BT15" s="654" t="n">
        <v>45980</v>
      </c>
      <c r="BU15" s="654" t="n">
        <v>45973</v>
      </c>
      <c r="BV15" s="655" t="n">
        <v>45967</v>
      </c>
      <c r="BW15" s="654" t="n">
        <v>45957</v>
      </c>
      <c r="BX15" s="732" t="n"/>
      <c r="BY15" s="655" t="n">
        <v>45950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2" t="n">
        <v>99.26000000000001</v>
      </c>
      <c r="D16" s="329" t="n"/>
      <c r="E16" s="2" t="n"/>
      <c r="F16" s="38" t="n">
        <v>0</v>
      </c>
      <c r="G16" s="38">
        <f>0+BT16</f>
        <v/>
      </c>
      <c r="H16" s="38" t="n">
        <v>2</v>
      </c>
      <c r="I16" s="38" t="n">
        <v>2</v>
      </c>
      <c r="J16" s="38" t="n">
        <v>2</v>
      </c>
      <c r="K16" s="38" t="n">
        <v>0</v>
      </c>
      <c r="L16" s="38" t="n">
        <v>0</v>
      </c>
      <c r="M16" s="38">
        <f>3+BN16</f>
        <v/>
      </c>
      <c r="N16" s="38" t="n">
        <v>2</v>
      </c>
      <c r="O16" s="38" t="n">
        <v>7</v>
      </c>
      <c r="P16" s="38" t="n">
        <v>7</v>
      </c>
      <c r="Q16" s="38">
        <f>7+BJ16</f>
        <v/>
      </c>
      <c r="R16" s="38" t="n">
        <v>16</v>
      </c>
      <c r="S16" s="38">
        <f>16-13-3</f>
        <v/>
      </c>
      <c r="T16" s="38" t="n">
        <v>0</v>
      </c>
      <c r="U16" s="261" t="n">
        <v>2</v>
      </c>
      <c r="V16" s="38" t="n">
        <v>2</v>
      </c>
      <c r="W16" s="38" t="n">
        <v>2</v>
      </c>
      <c r="X16" s="38" t="n">
        <v>2</v>
      </c>
      <c r="Y16" s="38" t="n">
        <v>2</v>
      </c>
      <c r="Z16" s="38" t="n">
        <v>2</v>
      </c>
      <c r="AA16" s="38" t="n">
        <v>2</v>
      </c>
      <c r="AB16" s="38" t="n">
        <v>2</v>
      </c>
      <c r="AC16" s="38" t="n">
        <v>2</v>
      </c>
      <c r="AD16" s="38" t="n">
        <v>2</v>
      </c>
      <c r="AE16" s="38" t="n">
        <v>2</v>
      </c>
      <c r="AF16" s="38" t="n">
        <v>2</v>
      </c>
      <c r="AG16" s="38" t="n">
        <v>2</v>
      </c>
      <c r="AH16" s="38" t="n">
        <v>2</v>
      </c>
      <c r="AI16" s="38" t="n">
        <v>2</v>
      </c>
      <c r="AJ16" s="38" t="n"/>
      <c r="AK16" s="38" t="n"/>
      <c r="AL16" s="38" t="n"/>
      <c r="AM16" s="9" t="n"/>
      <c r="AN16" s="9" t="n"/>
      <c r="AO16" s="9" t="n"/>
      <c r="AP16" s="154">
        <f>AN16+IF(NOT(ISBLANK(OFFSET(AP16,0,6))),N(OFFSET(AP16,0,6)),N(OFFSET(AP16,0,7)))-AO16</f>
        <v/>
      </c>
      <c r="AQ16" s="6" t="n"/>
      <c r="AR16" s="19" t="n"/>
      <c r="AS16" s="4" t="n"/>
      <c r="AT16" s="65" t="n"/>
      <c r="AU16" s="18" t="n">
        <v>0</v>
      </c>
      <c r="AV16" s="18" t="n">
        <v>0</v>
      </c>
      <c r="AW16" s="18" t="n">
        <v>0</v>
      </c>
      <c r="AX16" s="18" t="n"/>
      <c r="AY16" s="18" t="n"/>
      <c r="AZ16" s="18" t="n"/>
      <c r="BA16" s="18" t="n"/>
      <c r="BB16" s="18" t="n"/>
      <c r="BC16" s="18" t="n"/>
      <c r="BD16" s="18" t="n"/>
      <c r="BE16" s="18" t="n"/>
      <c r="BF16" s="18" t="n"/>
      <c r="BG16" s="18" t="n"/>
      <c r="BH16" s="154" t="inlineStr">
        <is>
          <t>13 P/ MG + 3 P/ ER PB</t>
        </is>
      </c>
      <c r="BI16" s="18" t="n"/>
      <c r="BJ16" s="18" t="n"/>
      <c r="BK16" s="18" t="n"/>
      <c r="BL16" s="18" t="n"/>
      <c r="BM16" s="18" t="n">
        <v>7</v>
      </c>
      <c r="BN16" s="18" t="n">
        <v>5</v>
      </c>
      <c r="BO16" s="18" t="n"/>
      <c r="BP16" s="18" t="n"/>
      <c r="BQ16" s="18" t="n">
        <v>3</v>
      </c>
      <c r="BR16" s="18" t="n">
        <v>3</v>
      </c>
      <c r="BS16" s="18" t="n"/>
      <c r="BT16" s="18" t="n"/>
      <c r="BU16" s="18" t="n"/>
      <c r="BV16" s="18" t="n"/>
      <c r="BW16" s="18" t="n">
        <v>2</v>
      </c>
      <c r="BX16" s="256" t="n"/>
      <c r="BY16" s="256" t="n"/>
    </row>
    <row r="17" ht="18.75" customFormat="1" customHeight="1" s="3">
      <c r="A17" s="33" t="inlineStr">
        <is>
          <t>ETIQUETAS</t>
        </is>
      </c>
      <c r="B17" s="9" t="n">
        <v>2000</v>
      </c>
      <c r="C17" s="662" t="n">
        <v>55.36</v>
      </c>
      <c r="D17" s="329" t="n"/>
      <c r="E17" s="2" t="n"/>
      <c r="F17" s="38" t="n">
        <v>0</v>
      </c>
      <c r="G17" s="38">
        <f>0+BT17</f>
        <v/>
      </c>
      <c r="H17" s="38" t="n">
        <v>2</v>
      </c>
      <c r="I17" s="38" t="n">
        <v>0</v>
      </c>
      <c r="J17" s="38">
        <f>0+BR17</f>
        <v/>
      </c>
      <c r="K17" s="38">
        <f>0+BQ17</f>
        <v/>
      </c>
      <c r="L17" s="38" t="n">
        <v>0</v>
      </c>
      <c r="M17" s="38">
        <f>0+BN17</f>
        <v/>
      </c>
      <c r="N17" s="38" t="n">
        <v>1</v>
      </c>
      <c r="O17" s="38" t="n">
        <v>0</v>
      </c>
      <c r="P17" s="38" t="n">
        <v>0</v>
      </c>
      <c r="Q17" s="38">
        <f>0+BJ17</f>
        <v/>
      </c>
      <c r="R17" s="38" t="n">
        <v>0</v>
      </c>
      <c r="S17" s="38" t="n">
        <v>0</v>
      </c>
      <c r="T17" s="38" t="n">
        <v>0</v>
      </c>
      <c r="U17" s="38" t="n">
        <v>0</v>
      </c>
      <c r="V17" s="38" t="n">
        <v>0</v>
      </c>
      <c r="W17" s="38" t="n">
        <v>0</v>
      </c>
      <c r="X17" s="38" t="n">
        <v>0</v>
      </c>
      <c r="Y17" s="38" t="n">
        <v>0</v>
      </c>
      <c r="Z17" s="38" t="n">
        <v>0</v>
      </c>
      <c r="AA17" s="38" t="n">
        <v>0</v>
      </c>
      <c r="AB17" s="38" t="n">
        <v>0</v>
      </c>
      <c r="AC17" s="38" t="n">
        <v>0</v>
      </c>
      <c r="AD17" s="38" t="n">
        <v>0</v>
      </c>
      <c r="AE17" s="38" t="n">
        <v>0</v>
      </c>
      <c r="AF17" s="38" t="n">
        <v>0</v>
      </c>
      <c r="AG17" s="38" t="n">
        <v>0</v>
      </c>
      <c r="AH17" s="38" t="n">
        <v>0</v>
      </c>
      <c r="AI17" s="38" t="n">
        <v>0</v>
      </c>
      <c r="AJ17" s="38" t="n"/>
      <c r="AK17" s="38" t="n"/>
      <c r="AL17" s="38" t="n"/>
      <c r="AM17" s="9" t="n"/>
      <c r="AN17" s="9" t="n"/>
      <c r="AO17" s="9" t="n"/>
      <c r="AP17" s="154">
        <f>AN17+IF(NOT(ISBLANK(OFFSET(AP17,0,6))),N(OFFSET(AP17,0,6)),N(OFFSET(AP17,0,7)))-AO17</f>
        <v/>
      </c>
      <c r="AQ17" s="6" t="n"/>
      <c r="AR17" s="233" t="inlineStr">
        <is>
          <t>02 DE ER PG</t>
        </is>
      </c>
      <c r="AS17" s="4" t="n"/>
      <c r="AT17" s="65" t="n"/>
      <c r="AU17" s="18" t="n">
        <v>0</v>
      </c>
      <c r="AV17" s="18" t="n">
        <v>0</v>
      </c>
      <c r="AW17" s="18" t="n">
        <v>0</v>
      </c>
      <c r="AX17" s="18" t="n"/>
      <c r="AY17" s="18" t="n"/>
      <c r="AZ17" s="18" t="n"/>
      <c r="BA17" s="18" t="n"/>
      <c r="BB17" s="418" t="n">
        <v>1</v>
      </c>
      <c r="BC17" s="18" t="n"/>
      <c r="BD17" s="18" t="n"/>
      <c r="BE17" s="18" t="n"/>
      <c r="BF17" s="18" t="n"/>
      <c r="BG17" s="18" t="n"/>
      <c r="BH17" s="18" t="n"/>
      <c r="BI17" s="18" t="n"/>
      <c r="BJ17" s="18" t="n"/>
      <c r="BK17" s="18" t="n"/>
      <c r="BL17" s="18" t="n"/>
      <c r="BM17" s="18" t="n">
        <v>4</v>
      </c>
      <c r="BN17" s="18" t="n">
        <v>3</v>
      </c>
      <c r="BO17" s="18" t="n"/>
      <c r="BP17" s="18" t="n"/>
      <c r="BQ17" s="18" t="n">
        <v>3</v>
      </c>
      <c r="BR17" s="18" t="n">
        <v>2</v>
      </c>
      <c r="BS17" s="18" t="n"/>
      <c r="BT17" s="18" t="n">
        <v>3</v>
      </c>
      <c r="BU17" s="18" t="n">
        <v>2</v>
      </c>
      <c r="BV17" s="18" t="n"/>
      <c r="BW17" s="18" t="n">
        <v>2</v>
      </c>
      <c r="BX17" s="256" t="n"/>
      <c r="BY17" s="256" t="n"/>
    </row>
    <row r="18" ht="18.75" customFormat="1" customHeight="1" s="3">
      <c r="A18" s="33" t="inlineStr">
        <is>
          <t>TAG</t>
        </is>
      </c>
      <c r="B18" s="9" t="n">
        <v>200</v>
      </c>
      <c r="C18" s="662" t="n">
        <v>10.28</v>
      </c>
      <c r="D18" s="329" t="n"/>
      <c r="E18" s="2" t="n"/>
      <c r="F18" s="38" t="n">
        <v>0</v>
      </c>
      <c r="G18" s="38">
        <f>0+BT18</f>
        <v/>
      </c>
      <c r="H18" s="38" t="n">
        <v>1</v>
      </c>
      <c r="I18" s="38" t="n">
        <v>0</v>
      </c>
      <c r="J18" s="38" t="n">
        <v>0</v>
      </c>
      <c r="K18" s="38" t="n">
        <v>0</v>
      </c>
      <c r="L18" s="38" t="n">
        <v>0</v>
      </c>
      <c r="M18" s="38" t="n">
        <v>0</v>
      </c>
      <c r="N18" s="38" t="n">
        <v>0</v>
      </c>
      <c r="O18" s="38" t="n">
        <v>0</v>
      </c>
      <c r="P18" s="38" t="n">
        <v>0</v>
      </c>
      <c r="Q18" s="38" t="n">
        <v>0</v>
      </c>
      <c r="R18" s="38" t="n">
        <v>0</v>
      </c>
      <c r="S18" s="38" t="n">
        <v>0</v>
      </c>
      <c r="T18" s="38" t="n">
        <v>0</v>
      </c>
      <c r="U18" s="38" t="n">
        <v>0</v>
      </c>
      <c r="V18" s="38" t="n">
        <v>0</v>
      </c>
      <c r="W18" s="38" t="n">
        <v>0</v>
      </c>
      <c r="X18" s="38" t="n">
        <v>0</v>
      </c>
      <c r="Y18" s="38" t="n">
        <v>0</v>
      </c>
      <c r="Z18" s="38" t="n">
        <v>0</v>
      </c>
      <c r="AA18" s="38" t="n">
        <v>0</v>
      </c>
      <c r="AB18" s="38" t="n">
        <v>0</v>
      </c>
      <c r="AC18" s="38" t="n">
        <v>0</v>
      </c>
      <c r="AD18" s="38" t="n">
        <v>0</v>
      </c>
      <c r="AE18" s="38" t="n">
        <v>0</v>
      </c>
      <c r="AF18" s="38" t="n">
        <v>0</v>
      </c>
      <c r="AG18" s="38" t="n">
        <v>0</v>
      </c>
      <c r="AH18" s="38" t="n">
        <v>0</v>
      </c>
      <c r="AI18" s="38">
        <f>0+AT18</f>
        <v/>
      </c>
      <c r="AJ18" s="38" t="n"/>
      <c r="AK18" s="38" t="n"/>
      <c r="AL18" s="38" t="n"/>
      <c r="AM18" s="9" t="n"/>
      <c r="AN18" s="9" t="n"/>
      <c r="AO18" s="9" t="n"/>
      <c r="AP18" s="154">
        <f>AN18+IF(NOT(ISBLANK(OFFSET(AP18,0,6))),N(OFFSET(AP18,0,6)),N(OFFSET(AP18,0,7)))-AO18</f>
        <v/>
      </c>
      <c r="AQ18" s="6" t="n"/>
      <c r="AR18" s="19" t="n"/>
      <c r="AS18" s="4" t="n"/>
      <c r="AT18" s="65" t="n"/>
      <c r="AU18" s="18" t="n">
        <v>0</v>
      </c>
      <c r="AV18" s="18" t="n">
        <v>0</v>
      </c>
      <c r="AW18" s="18" t="n">
        <v>1</v>
      </c>
      <c r="AX18" s="18" t="n"/>
      <c r="AY18" s="18" t="n"/>
      <c r="AZ18" s="18" t="n"/>
      <c r="BA18" s="18" t="n"/>
      <c r="BB18" s="18" t="n"/>
      <c r="BC18" s="18" t="n"/>
      <c r="BD18" s="18" t="n"/>
      <c r="BE18" s="18" t="n"/>
      <c r="BF18" s="18" t="n"/>
      <c r="BG18" s="18" t="n"/>
      <c r="BH18" s="18" t="n"/>
      <c r="BI18" s="18" t="n"/>
      <c r="BJ18" s="18" t="n"/>
      <c r="BK18" s="18" t="n"/>
      <c r="BL18" s="18" t="n"/>
      <c r="BM18" s="18" t="n"/>
      <c r="BN18" s="18" t="n"/>
      <c r="BO18" s="18" t="n"/>
      <c r="BP18" s="18" t="n"/>
      <c r="BQ18" s="18" t="n"/>
      <c r="BR18" s="18" t="n"/>
      <c r="BS18" s="18" t="n"/>
      <c r="BT18" s="18" t="n"/>
      <c r="BU18" s="18" t="n"/>
      <c r="BV18" s="18" t="n"/>
      <c r="BW18" s="18" t="n">
        <v>1</v>
      </c>
      <c r="BX18" s="256" t="n"/>
      <c r="BY18" s="256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2" t="n">
        <v>71.8</v>
      </c>
      <c r="D19" s="329" t="n"/>
      <c r="E19" s="2" t="n"/>
      <c r="F19" s="38" t="n">
        <v>0</v>
      </c>
      <c r="G19" s="38">
        <f>0+BT19</f>
        <v/>
      </c>
      <c r="H19" s="38" t="n">
        <v>2</v>
      </c>
      <c r="I19" s="38" t="n">
        <v>0</v>
      </c>
      <c r="J19" s="38">
        <f>0+BR19</f>
        <v/>
      </c>
      <c r="K19" s="38">
        <f>2+BQ19</f>
        <v/>
      </c>
      <c r="L19" s="38" t="n">
        <v>2</v>
      </c>
      <c r="M19" s="38">
        <f>2+BN19</f>
        <v/>
      </c>
      <c r="N19" s="38" t="n">
        <v>4</v>
      </c>
      <c r="O19" s="38" t="n">
        <v>4</v>
      </c>
      <c r="P19" s="38" t="n">
        <v>4</v>
      </c>
      <c r="Q19" s="187">
        <f>1+BJ19</f>
        <v/>
      </c>
      <c r="R19" s="187" t="n">
        <v>10</v>
      </c>
      <c r="S19" s="187">
        <f>10-8</f>
        <v/>
      </c>
      <c r="T19" s="187" t="n">
        <v>1</v>
      </c>
      <c r="U19" s="187" t="n">
        <v>1</v>
      </c>
      <c r="V19" s="187" t="n">
        <v>1</v>
      </c>
      <c r="W19" s="187" t="n">
        <v>1</v>
      </c>
      <c r="X19" s="187" t="n">
        <v>1</v>
      </c>
      <c r="Y19" s="187" t="n">
        <v>1</v>
      </c>
      <c r="Z19" s="187" t="n">
        <v>1</v>
      </c>
      <c r="AA19" s="187" t="n">
        <v>1</v>
      </c>
      <c r="AB19" s="187" t="n">
        <v>1</v>
      </c>
      <c r="AC19" s="187" t="n">
        <v>1</v>
      </c>
      <c r="AD19" s="424" t="n">
        <v>4</v>
      </c>
      <c r="AE19" s="424" t="n">
        <v>4</v>
      </c>
      <c r="AF19" s="424" t="n">
        <v>4</v>
      </c>
      <c r="AG19" s="424" t="n">
        <v>4</v>
      </c>
      <c r="AH19" s="38" t="n">
        <v>4</v>
      </c>
      <c r="AI19" s="38" t="n">
        <v>4</v>
      </c>
      <c r="AJ19" s="38" t="n"/>
      <c r="AK19" s="38" t="n"/>
      <c r="AL19" s="38" t="n"/>
      <c r="AM19" s="9" t="n"/>
      <c r="AN19" s="9" t="n"/>
      <c r="AO19" s="9" t="n"/>
      <c r="AP19" s="188">
        <f>AN19+IF(NOT(ISBLANK(OFFSET(AP19,0,6))),N(OFFSET(AP19,0,6)),N(OFFSET(AP19,0,7)))-AO19</f>
        <v/>
      </c>
      <c r="AQ19" s="6" t="n"/>
      <c r="AR19" s="233" t="inlineStr">
        <is>
          <t>01 P/ ER PBE + 02 P/ MG</t>
        </is>
      </c>
      <c r="AS19" s="4" t="n"/>
      <c r="AT19" s="65" t="n"/>
      <c r="AU19" s="18" t="n">
        <v>0</v>
      </c>
      <c r="AV19" s="18" t="n">
        <v>0</v>
      </c>
      <c r="AW19" s="18" t="n">
        <v>0</v>
      </c>
      <c r="AX19" s="18" t="n"/>
      <c r="AY19" s="18" t="n"/>
      <c r="AZ19" s="18" t="n"/>
      <c r="BA19" s="18" t="n"/>
      <c r="BB19" s="18" t="n"/>
      <c r="BC19" s="18" t="n"/>
      <c r="BD19" s="18" t="n"/>
      <c r="BE19" s="18" t="n"/>
      <c r="BF19" s="18" t="n"/>
      <c r="BG19" s="18" t="n"/>
      <c r="BH19" s="154" t="inlineStr">
        <is>
          <t>08 P/ MG</t>
        </is>
      </c>
      <c r="BI19" s="18" t="n">
        <v>3</v>
      </c>
      <c r="BJ19" s="18" t="n"/>
      <c r="BK19" s="18" t="n"/>
      <c r="BL19" s="18" t="n"/>
      <c r="BM19" s="18" t="n">
        <v>2</v>
      </c>
      <c r="BN19" s="18" t="n"/>
      <c r="BO19" s="18" t="n"/>
      <c r="BP19" s="18" t="n"/>
      <c r="BQ19" s="18" t="n">
        <v>3</v>
      </c>
      <c r="BR19" s="18" t="n"/>
      <c r="BS19" s="18" t="n"/>
      <c r="BT19" s="18" t="n">
        <v>3</v>
      </c>
      <c r="BU19" s="18" t="n">
        <v>2</v>
      </c>
      <c r="BV19" s="18" t="n"/>
      <c r="BW19" s="18" t="n">
        <v>2</v>
      </c>
      <c r="BX19" s="256" t="n"/>
      <c r="BY19" s="256" t="n"/>
    </row>
    <row r="20" ht="18.75" customHeight="1">
      <c r="BX20" s="314" t="n"/>
      <c r="BY20" s="314" t="n"/>
    </row>
    <row r="21" ht="18.75" customFormat="1" customHeight="1" s="3">
      <c r="A21" s="32" t="inlineStr">
        <is>
          <t>SACOLAS BOTICÁRIO VENDIDAS</t>
        </is>
      </c>
      <c r="B21" s="575" t="inlineStr">
        <is>
          <t>PC</t>
        </is>
      </c>
      <c r="C21" s="575" t="inlineStr">
        <is>
          <t>R$</t>
        </is>
      </c>
      <c r="D21" s="575" t="inlineStr">
        <is>
          <t>Estoque Ideal</t>
        </is>
      </c>
      <c r="E21" s="642" t="n"/>
      <c r="F21" s="650" t="n">
        <v>45950</v>
      </c>
      <c r="G21" s="650" t="n">
        <v>45957</v>
      </c>
      <c r="H21" s="650" t="n">
        <v>45933</v>
      </c>
      <c r="I21" s="650" t="n">
        <v>45971</v>
      </c>
      <c r="J21" s="650" t="n">
        <v>45978</v>
      </c>
      <c r="K21" s="650" t="n">
        <v>45985</v>
      </c>
      <c r="L21" s="650" t="n">
        <v>45992</v>
      </c>
      <c r="M21" s="650" t="n">
        <v>45999</v>
      </c>
      <c r="N21" s="650" t="n">
        <v>46006</v>
      </c>
      <c r="O21" s="650" t="n">
        <v>46013</v>
      </c>
      <c r="P21" s="650" t="n">
        <v>46020</v>
      </c>
      <c r="Q21" s="650" t="n">
        <v>46027</v>
      </c>
      <c r="R21" s="650" t="n">
        <v>46034</v>
      </c>
      <c r="S21" s="650" t="n">
        <v>46041</v>
      </c>
      <c r="T21" s="650" t="n">
        <v>46048</v>
      </c>
      <c r="U21" s="650" t="n">
        <v>46055</v>
      </c>
      <c r="V21" s="650" t="n">
        <v>46062</v>
      </c>
      <c r="W21" s="650" t="n">
        <v>46069</v>
      </c>
      <c r="X21" s="650" t="n">
        <v>46076</v>
      </c>
      <c r="Y21" s="650" t="n">
        <v>46083</v>
      </c>
      <c r="Z21" s="650" t="n">
        <v>46090</v>
      </c>
      <c r="AA21" s="650" t="n">
        <v>46097</v>
      </c>
      <c r="AB21" s="650" t="n">
        <v>46104</v>
      </c>
      <c r="AC21" s="650" t="n">
        <v>46111</v>
      </c>
      <c r="AD21" s="650" t="n">
        <v>46118</v>
      </c>
      <c r="AE21" s="650" t="n">
        <v>46125</v>
      </c>
      <c r="AF21" s="650" t="n">
        <v>46132</v>
      </c>
      <c r="AG21" s="650" t="n">
        <v>46139</v>
      </c>
      <c r="AH21" s="650" t="n">
        <v>46146</v>
      </c>
      <c r="AI21" s="650" t="n">
        <v>46154</v>
      </c>
      <c r="AJ21" s="650" t="n">
        <v>46160</v>
      </c>
      <c r="AK21" s="650" t="n">
        <v>46160</v>
      </c>
      <c r="AL21" s="650" t="n">
        <v>46160</v>
      </c>
      <c r="AM21" s="651" t="n">
        <v>46161.48004409722</v>
      </c>
      <c r="AN21" s="651" t="n">
        <v>46161.48072211805</v>
      </c>
      <c r="AO21" s="651" t="n">
        <v>46161.4828807648</v>
      </c>
      <c r="AP21" s="652" t="inlineStr">
        <is>
          <t>USOU</t>
        </is>
      </c>
      <c r="AQ21" s="6" t="n"/>
      <c r="AR21" s="35" t="inlineStr">
        <is>
          <t>Pend.</t>
        </is>
      </c>
      <c r="AT21" s="12" t="inlineStr">
        <is>
          <t>Novo Pedido</t>
        </is>
      </c>
      <c r="AU21" s="708" t="n">
        <v>46161.48288009934</v>
      </c>
      <c r="AV21" s="654" t="n">
        <v>46156</v>
      </c>
      <c r="AW21" s="654" t="n">
        <v>46149</v>
      </c>
      <c r="AX21" s="654" t="n">
        <v>46114</v>
      </c>
      <c r="AY21" s="654" t="n">
        <v>46099</v>
      </c>
      <c r="AZ21" s="710" t="n">
        <v>46065</v>
      </c>
      <c r="BA21" s="654" t="n">
        <v>46092</v>
      </c>
      <c r="BB21" s="711" t="n">
        <v>46045</v>
      </c>
      <c r="BC21" s="654" t="n">
        <v>46077</v>
      </c>
      <c r="BD21" s="654" t="n">
        <v>46071</v>
      </c>
      <c r="BE21" s="654" t="n">
        <v>46071</v>
      </c>
      <c r="BF21" s="654" t="n">
        <v>46056</v>
      </c>
      <c r="BG21" s="654" t="n">
        <v>46048</v>
      </c>
      <c r="BH21" s="655" t="n">
        <v>46041</v>
      </c>
      <c r="BI21" s="654" t="n">
        <v>46029</v>
      </c>
      <c r="BJ21" s="654" t="n">
        <v>46372</v>
      </c>
      <c r="BK21" s="654" t="n">
        <v>46382</v>
      </c>
      <c r="BL21" s="654" t="n">
        <v>46007</v>
      </c>
      <c r="BM21" s="654" t="n">
        <v>46017</v>
      </c>
      <c r="BN21" s="654" t="n">
        <v>46007</v>
      </c>
      <c r="BO21" s="654" t="n">
        <v>46001</v>
      </c>
      <c r="BP21" s="654" t="n">
        <v>46001</v>
      </c>
      <c r="BQ21" s="654" t="n">
        <v>45994</v>
      </c>
      <c r="BR21" s="654" t="n">
        <v>45986</v>
      </c>
      <c r="BS21" s="654" t="n">
        <v>45980</v>
      </c>
      <c r="BT21" s="654" t="n">
        <v>45980</v>
      </c>
      <c r="BU21" s="654" t="n">
        <v>45973</v>
      </c>
      <c r="BV21" s="655" t="n">
        <v>45967</v>
      </c>
      <c r="BW21" s="654" t="n">
        <v>45957</v>
      </c>
      <c r="BX21" s="732" t="n"/>
      <c r="BY21" s="655" t="n">
        <v>45950</v>
      </c>
    </row>
    <row r="22" ht="18.75" customFormat="1" customHeight="1" s="3">
      <c r="A22" s="29" t="inlineStr">
        <is>
          <t>SACOLA PP VERDE</t>
        </is>
      </c>
      <c r="B22" s="9" t="n">
        <v>300</v>
      </c>
      <c r="C22" s="659" t="n">
        <v>187.12</v>
      </c>
      <c r="D22" s="329" t="n"/>
      <c r="E22" s="714" t="n"/>
      <c r="F22" s="38">
        <f>0+5+18</f>
        <v/>
      </c>
      <c r="G22" s="38" t="n">
        <v>23</v>
      </c>
      <c r="H22" s="38" t="n">
        <v>23</v>
      </c>
      <c r="I22" s="38" t="n">
        <v>22</v>
      </c>
      <c r="J22" s="38" t="n">
        <v>14</v>
      </c>
      <c r="K22" s="38" t="n">
        <v>14</v>
      </c>
      <c r="L22" s="38" t="n">
        <v>14</v>
      </c>
      <c r="M22" s="38" t="n">
        <v>14</v>
      </c>
      <c r="N22" s="38" t="n">
        <v>14</v>
      </c>
      <c r="O22" s="38" t="n">
        <v>14</v>
      </c>
      <c r="P22" s="38" t="n">
        <v>14</v>
      </c>
      <c r="Q22" s="38" t="n">
        <v>14</v>
      </c>
      <c r="R22" s="38" t="n">
        <v>14</v>
      </c>
      <c r="S22" s="38" t="n">
        <v>14</v>
      </c>
      <c r="T22" s="38" t="n">
        <v>14</v>
      </c>
      <c r="U22" s="261" t="n">
        <v>4</v>
      </c>
      <c r="V22" s="38" t="n">
        <v>4</v>
      </c>
      <c r="W22" s="38" t="n">
        <v>4</v>
      </c>
      <c r="X22" s="38" t="n">
        <v>4</v>
      </c>
      <c r="Y22" s="261" t="n">
        <v>0</v>
      </c>
      <c r="Z22" s="38" t="n">
        <v>0</v>
      </c>
      <c r="AA22" s="38" t="n">
        <v>0</v>
      </c>
      <c r="AB22" s="38" t="n">
        <v>0</v>
      </c>
      <c r="AC22" s="38" t="n">
        <v>0</v>
      </c>
      <c r="AD22" s="38" t="n">
        <v>0</v>
      </c>
      <c r="AE22" s="38" t="n">
        <v>0</v>
      </c>
      <c r="AF22" s="38" t="n">
        <v>0</v>
      </c>
      <c r="AG22" s="38" t="n">
        <v>200</v>
      </c>
      <c r="AH22" s="38" t="n">
        <v>200</v>
      </c>
      <c r="AI22" s="38" t="n">
        <v>200</v>
      </c>
      <c r="AJ22" s="261" t="n">
        <v>0</v>
      </c>
      <c r="AK22" s="261" t="n">
        <v>0</v>
      </c>
      <c r="AL22" s="261" t="n">
        <v>0</v>
      </c>
      <c r="AM22" s="190" t="n">
        <v>0</v>
      </c>
      <c r="AN22" s="190" t="n">
        <v>0</v>
      </c>
      <c r="AO22" s="190" t="n">
        <v>0</v>
      </c>
      <c r="AP22" s="154">
        <f>AN22+IF(NOT(ISBLANK(OFFSET(AP22,0,6))),N(OFFSET(AP22,0,6)),N(OFFSET(AP22,0,7)))-AO22</f>
        <v/>
      </c>
      <c r="AQ22" s="118" t="n"/>
      <c r="AR22" s="19" t="n"/>
      <c r="AS22" s="119" t="n"/>
      <c r="AT22" s="65" t="n"/>
      <c r="AU22" s="691" t="n">
        <v>0</v>
      </c>
      <c r="AV22" s="18" t="n">
        <v>0</v>
      </c>
      <c r="AW22" s="18" t="n">
        <v>0</v>
      </c>
      <c r="AX22" s="18" t="n"/>
      <c r="AY22" s="18" t="n"/>
      <c r="AZ22" s="18" t="n"/>
      <c r="BA22" s="18" t="n"/>
      <c r="BB22" s="18" t="n"/>
      <c r="BC22" s="18" t="n"/>
      <c r="BD22" s="18" t="n"/>
      <c r="BE22" s="18" t="n"/>
      <c r="BF22" s="18" t="n"/>
      <c r="BG22" s="18" t="n"/>
      <c r="BH22" s="18" t="n"/>
      <c r="BI22" s="18" t="n"/>
      <c r="BJ22" s="18" t="n"/>
      <c r="BK22" s="18" t="n"/>
      <c r="BL22" s="18" t="n"/>
      <c r="BM22" s="18" t="n"/>
      <c r="BN22" s="18" t="n"/>
      <c r="BO22" s="18" t="n"/>
      <c r="BP22" s="18" t="n"/>
      <c r="BQ22" s="18" t="n"/>
      <c r="BR22" s="18" t="n"/>
      <c r="BS22" s="18" t="n"/>
      <c r="BT22" s="18" t="n"/>
      <c r="BU22" s="18" t="n"/>
      <c r="BV22" s="18" t="n"/>
      <c r="BW22" s="18" t="n"/>
      <c r="BX22" s="256" t="n"/>
      <c r="BY22" s="154" t="inlineStr">
        <is>
          <t>05 DE ER PG + 18 DE ER PB</t>
        </is>
      </c>
    </row>
    <row r="23" ht="18.75" customFormat="1" customHeight="1" s="3">
      <c r="A23" s="29" t="inlineStr">
        <is>
          <t xml:space="preserve">SACOLA P VERDE </t>
        </is>
      </c>
      <c r="B23" s="9" t="n">
        <v>200</v>
      </c>
      <c r="C23" s="659" t="n">
        <v>193.08</v>
      </c>
      <c r="D23" s="329" t="n"/>
      <c r="E23" s="2" t="n"/>
      <c r="F23" s="38">
        <f>0+5+20</f>
        <v/>
      </c>
      <c r="G23" s="38" t="n">
        <v>25</v>
      </c>
      <c r="H23" s="38" t="n">
        <v>25</v>
      </c>
      <c r="I23" s="38" t="n">
        <v>21</v>
      </c>
      <c r="J23" s="38" t="n">
        <v>21</v>
      </c>
      <c r="K23" s="38" t="n">
        <v>21</v>
      </c>
      <c r="L23" s="38" t="n">
        <v>21</v>
      </c>
      <c r="M23" s="38" t="n">
        <v>21</v>
      </c>
      <c r="N23" s="38" t="n">
        <v>20</v>
      </c>
      <c r="O23" s="38" t="n">
        <v>20</v>
      </c>
      <c r="P23" s="38" t="n">
        <v>20</v>
      </c>
      <c r="Q23" s="38" t="n">
        <v>20</v>
      </c>
      <c r="R23" s="38" t="n">
        <v>20</v>
      </c>
      <c r="S23" s="38" t="n">
        <v>20</v>
      </c>
      <c r="T23" s="38" t="n">
        <v>20</v>
      </c>
      <c r="U23" s="38" t="n">
        <v>20</v>
      </c>
      <c r="V23" s="38" t="n">
        <v>20</v>
      </c>
      <c r="W23" s="38" t="n">
        <v>20</v>
      </c>
      <c r="X23" s="38" t="n">
        <v>20</v>
      </c>
      <c r="Y23" s="261" t="n">
        <v>0</v>
      </c>
      <c r="Z23" s="38" t="n">
        <v>0</v>
      </c>
      <c r="AA23" s="38" t="n">
        <v>0</v>
      </c>
      <c r="AB23" s="38" t="n">
        <v>0</v>
      </c>
      <c r="AC23" s="38" t="n">
        <v>0</v>
      </c>
      <c r="AD23" s="38" t="n">
        <v>0</v>
      </c>
      <c r="AE23" s="38" t="n">
        <v>0</v>
      </c>
      <c r="AF23" s="38" t="n">
        <v>0</v>
      </c>
      <c r="AG23" s="38" t="n">
        <v>200</v>
      </c>
      <c r="AH23" s="38" t="n">
        <v>200</v>
      </c>
      <c r="AI23" s="38" t="n">
        <v>200</v>
      </c>
      <c r="AJ23" s="38" t="n">
        <v>200</v>
      </c>
      <c r="AK23" s="38" t="n">
        <v>200</v>
      </c>
      <c r="AL23" s="38" t="n">
        <v>200</v>
      </c>
      <c r="AM23" s="9" t="n">
        <v>200</v>
      </c>
      <c r="AN23" s="9" t="n">
        <v>200</v>
      </c>
      <c r="AO23" s="9" t="n">
        <v>200</v>
      </c>
      <c r="AP23" s="154">
        <f>AN23+IF(NOT(ISBLANK(OFFSET(AP23,0,6))),N(OFFSET(AP23,0,6)),N(OFFSET(AP23,0,7)))-AO23</f>
        <v/>
      </c>
      <c r="AQ23" s="118" t="n"/>
      <c r="AR23" s="19" t="n"/>
      <c r="AS23" s="119" t="n"/>
      <c r="AT23" s="65" t="n"/>
      <c r="AU23" s="691" t="n">
        <v>0</v>
      </c>
      <c r="AV23" s="18" t="n">
        <v>0</v>
      </c>
      <c r="AW23" s="18" t="n">
        <v>0</v>
      </c>
      <c r="AX23" s="18" t="n"/>
      <c r="AY23" s="18" t="n"/>
      <c r="AZ23" s="18" t="n"/>
      <c r="BA23" s="18" t="n"/>
      <c r="BB23" s="18" t="n"/>
      <c r="BC23" s="18" t="n"/>
      <c r="BD23" s="18" t="n"/>
      <c r="BE23" s="18" t="n"/>
      <c r="BF23" s="18" t="n"/>
      <c r="BG23" s="18" t="n"/>
      <c r="BH23" s="18" t="n"/>
      <c r="BI23" s="18" t="n"/>
      <c r="BJ23" s="18" t="n"/>
      <c r="BK23" s="18" t="n"/>
      <c r="BL23" s="18" t="n"/>
      <c r="BM23" s="18" t="n"/>
      <c r="BN23" s="18" t="n"/>
      <c r="BO23" s="18" t="n"/>
      <c r="BP23" s="18" t="n"/>
      <c r="BQ23" s="18" t="n"/>
      <c r="BR23" s="18" t="n"/>
      <c r="BS23" s="18" t="n"/>
      <c r="BT23" s="18" t="n"/>
      <c r="BU23" s="18" t="n"/>
      <c r="BV23" s="18" t="n"/>
      <c r="BW23" s="18" t="n"/>
      <c r="BX23" s="256" t="n"/>
      <c r="BY23" s="154" t="inlineStr">
        <is>
          <t>05 DE ER PG + 20 DE ER PB</t>
        </is>
      </c>
    </row>
    <row r="24" ht="18.75" customFormat="1" customHeight="1" s="3">
      <c r="A24" s="29" t="inlineStr">
        <is>
          <t>SACOLA M VERDE</t>
        </is>
      </c>
      <c r="B24" s="9" t="n">
        <v>200</v>
      </c>
      <c r="C24" s="659" t="n">
        <v>253.83</v>
      </c>
      <c r="D24" s="329" t="n"/>
      <c r="E24" s="2" t="n"/>
      <c r="F24" s="38">
        <f>0+5+15</f>
        <v/>
      </c>
      <c r="G24" s="38" t="n">
        <v>20</v>
      </c>
      <c r="H24" s="38" t="n">
        <v>20</v>
      </c>
      <c r="I24" s="38" t="n">
        <v>20</v>
      </c>
      <c r="J24" s="38" t="n">
        <v>18</v>
      </c>
      <c r="K24" s="38" t="n">
        <v>18</v>
      </c>
      <c r="L24" s="38" t="n">
        <v>18</v>
      </c>
      <c r="M24" s="38" t="n">
        <v>18</v>
      </c>
      <c r="N24" s="38" t="n">
        <v>17</v>
      </c>
      <c r="O24" s="38" t="n">
        <v>17</v>
      </c>
      <c r="P24" s="38" t="n">
        <v>17</v>
      </c>
      <c r="Q24" s="38" t="n">
        <v>17</v>
      </c>
      <c r="R24" s="38" t="n">
        <v>17</v>
      </c>
      <c r="S24" s="38" t="n">
        <v>17</v>
      </c>
      <c r="T24" s="38" t="n">
        <v>17</v>
      </c>
      <c r="U24" s="38" t="n">
        <v>17</v>
      </c>
      <c r="V24" s="38" t="n">
        <v>17</v>
      </c>
      <c r="W24" s="38" t="n">
        <v>17</v>
      </c>
      <c r="X24" s="38" t="n">
        <v>17</v>
      </c>
      <c r="Y24" s="261" t="n">
        <v>0</v>
      </c>
      <c r="Z24" s="38" t="n">
        <v>0</v>
      </c>
      <c r="AA24" s="38" t="n">
        <v>0</v>
      </c>
      <c r="AB24" s="38" t="n">
        <v>0</v>
      </c>
      <c r="AC24" s="38" t="n">
        <v>0</v>
      </c>
      <c r="AD24" s="38" t="n">
        <v>0</v>
      </c>
      <c r="AE24" s="38" t="n">
        <v>0</v>
      </c>
      <c r="AF24" s="38" t="n">
        <v>0</v>
      </c>
      <c r="AG24" s="38" t="n">
        <v>200</v>
      </c>
      <c r="AH24" s="38" t="n">
        <v>200</v>
      </c>
      <c r="AI24" s="38" t="n">
        <v>200</v>
      </c>
      <c r="AJ24" s="38" t="n">
        <v>200</v>
      </c>
      <c r="AK24" s="38" t="n">
        <v>200</v>
      </c>
      <c r="AL24" s="38" t="n">
        <v>200</v>
      </c>
      <c r="AM24" s="9" t="n">
        <v>200</v>
      </c>
      <c r="AN24" s="9" t="n">
        <v>200</v>
      </c>
      <c r="AO24" s="9" t="n">
        <v>200</v>
      </c>
      <c r="AP24" s="154">
        <f>AN24+IF(NOT(ISBLANK(OFFSET(AP24,0,6))),N(OFFSET(AP24,0,6)),N(OFFSET(AP24,0,7)))-AO24</f>
        <v/>
      </c>
      <c r="AQ24" s="118" t="n"/>
      <c r="AR24" s="19" t="n"/>
      <c r="AS24" s="119" t="n"/>
      <c r="AT24" s="65" t="n"/>
      <c r="AU24" s="691" t="n">
        <v>0</v>
      </c>
      <c r="AV24" s="18" t="n">
        <v>0</v>
      </c>
      <c r="AW24" s="18" t="n">
        <v>0</v>
      </c>
      <c r="AX24" s="18" t="n"/>
      <c r="AY24" s="18" t="n"/>
      <c r="AZ24" s="18" t="n"/>
      <c r="BA24" s="18" t="n"/>
      <c r="BB24" s="18" t="n"/>
      <c r="BC24" s="18" t="n"/>
      <c r="BD24" s="18" t="n"/>
      <c r="BE24" s="18" t="n"/>
      <c r="BF24" s="18" t="n"/>
      <c r="BG24" s="18" t="n"/>
      <c r="BH24" s="18" t="n"/>
      <c r="BI24" s="18" t="n"/>
      <c r="BJ24" s="18" t="n"/>
      <c r="BK24" s="18" t="n"/>
      <c r="BL24" s="18" t="n"/>
      <c r="BM24" s="18" t="n"/>
      <c r="BN24" s="18" t="n"/>
      <c r="BO24" s="18" t="n"/>
      <c r="BP24" s="18" t="n"/>
      <c r="BQ24" s="18" t="n"/>
      <c r="BR24" s="18" t="n"/>
      <c r="BS24" s="18" t="n"/>
      <c r="BT24" s="18" t="n"/>
      <c r="BU24" s="18" t="n"/>
      <c r="BV24" s="18" t="n"/>
      <c r="BW24" s="18" t="n"/>
      <c r="BX24" s="256" t="n"/>
      <c r="BY24" s="154" t="inlineStr">
        <is>
          <t>05 DE ER PG + 15 DE ER PB</t>
        </is>
      </c>
    </row>
    <row r="25" ht="18.75" customHeight="1">
      <c r="AP25" s="53" t="n"/>
      <c r="AR25" s="69" t="n"/>
    </row>
    <row r="26" ht="18.75" customFormat="1" customHeight="1" s="3">
      <c r="A26" s="32" t="inlineStr">
        <is>
          <t>DIVERSOS VENDÁVEIS BOTICÁRIO</t>
        </is>
      </c>
      <c r="B26" s="575" t="inlineStr">
        <is>
          <t>PC</t>
        </is>
      </c>
      <c r="C26" s="575" t="inlineStr">
        <is>
          <t>R$</t>
        </is>
      </c>
      <c r="D26" s="575" t="inlineStr">
        <is>
          <t>Estoque Ideal</t>
        </is>
      </c>
      <c r="E26" s="642" t="n"/>
      <c r="F26" s="650" t="n">
        <v>45950</v>
      </c>
      <c r="G26" s="650" t="n">
        <v>45957</v>
      </c>
      <c r="H26" s="650" t="n">
        <v>45933</v>
      </c>
      <c r="I26" s="650" t="n">
        <v>45971</v>
      </c>
      <c r="J26" s="650" t="n">
        <v>45978</v>
      </c>
      <c r="K26" s="650" t="n">
        <v>45985</v>
      </c>
      <c r="L26" s="650" t="n">
        <v>45992</v>
      </c>
      <c r="M26" s="650" t="n">
        <v>45999</v>
      </c>
      <c r="N26" s="650" t="n">
        <v>46006</v>
      </c>
      <c r="O26" s="650" t="n">
        <v>46013</v>
      </c>
      <c r="P26" s="650" t="n">
        <v>46020</v>
      </c>
      <c r="Q26" s="650" t="n">
        <v>46027</v>
      </c>
      <c r="R26" s="650" t="n">
        <v>46034</v>
      </c>
      <c r="S26" s="650" t="n">
        <v>46041</v>
      </c>
      <c r="T26" s="650" t="n">
        <v>46048</v>
      </c>
      <c r="U26" s="650" t="n">
        <v>46055</v>
      </c>
      <c r="V26" s="650" t="n">
        <v>46062</v>
      </c>
      <c r="W26" s="650" t="n">
        <v>46069</v>
      </c>
      <c r="X26" s="650" t="n">
        <v>46076</v>
      </c>
      <c r="Y26" s="650" t="n">
        <v>46083</v>
      </c>
      <c r="Z26" s="650" t="n">
        <v>46090</v>
      </c>
      <c r="AA26" s="650" t="n">
        <v>46097</v>
      </c>
      <c r="AB26" s="650" t="n">
        <v>46104</v>
      </c>
      <c r="AC26" s="650" t="n">
        <v>46111</v>
      </c>
      <c r="AD26" s="650" t="n">
        <v>46118</v>
      </c>
      <c r="AE26" s="650" t="n">
        <v>46125</v>
      </c>
      <c r="AF26" s="650" t="n">
        <v>46132</v>
      </c>
      <c r="AG26" s="650" t="n">
        <v>46139</v>
      </c>
      <c r="AH26" s="650" t="n">
        <v>46146</v>
      </c>
      <c r="AI26" s="650" t="n">
        <v>46154</v>
      </c>
      <c r="AJ26" s="650" t="n">
        <v>46160</v>
      </c>
      <c r="AK26" s="650" t="n">
        <v>46160</v>
      </c>
      <c r="AL26" s="650" t="n">
        <v>46160</v>
      </c>
      <c r="AM26" s="651" t="n">
        <v>46161.48004409722</v>
      </c>
      <c r="AN26" s="651" t="n">
        <v>46161.48072211805</v>
      </c>
      <c r="AO26" s="651" t="n">
        <v>46161.48288076503</v>
      </c>
      <c r="AP26" s="652" t="inlineStr">
        <is>
          <t>USOU</t>
        </is>
      </c>
      <c r="AQ26" s="6" t="n"/>
      <c r="AR26" s="35" t="inlineStr">
        <is>
          <t>Pend.</t>
        </is>
      </c>
      <c r="AS26" s="653" t="n"/>
      <c r="AT26" s="12" t="inlineStr">
        <is>
          <t>Novo Pedido</t>
        </is>
      </c>
      <c r="AU26" s="716" t="n">
        <v>46161.48288009958</v>
      </c>
      <c r="AV26" s="654" t="n">
        <v>46156</v>
      </c>
      <c r="AW26" s="654" t="n">
        <v>46149</v>
      </c>
      <c r="AX26" s="654" t="n">
        <v>46114</v>
      </c>
      <c r="AY26" s="654" t="n">
        <v>46099</v>
      </c>
      <c r="AZ26" s="710" t="n">
        <v>46065</v>
      </c>
      <c r="BA26" s="654" t="n">
        <v>46092</v>
      </c>
      <c r="BB26" s="711" t="n">
        <v>46045</v>
      </c>
      <c r="BC26" s="654" t="n">
        <v>46077</v>
      </c>
      <c r="BD26" s="654" t="n">
        <v>46071</v>
      </c>
      <c r="BE26" s="654" t="n">
        <v>46071</v>
      </c>
      <c r="BF26" s="654" t="n">
        <v>46056</v>
      </c>
      <c r="BG26" s="654" t="n">
        <v>46048</v>
      </c>
      <c r="BH26" s="655" t="n">
        <v>46041</v>
      </c>
      <c r="BI26" s="654" t="n">
        <v>46029</v>
      </c>
      <c r="BJ26" s="654" t="n">
        <v>46372</v>
      </c>
      <c r="BK26" s="654" t="n">
        <v>46382</v>
      </c>
      <c r="BL26" s="654" t="n">
        <v>46007</v>
      </c>
      <c r="BM26" s="654" t="n">
        <v>46017</v>
      </c>
      <c r="BN26" s="654" t="n">
        <v>46007</v>
      </c>
      <c r="BO26" s="654" t="n">
        <v>46001</v>
      </c>
      <c r="BP26" s="654" t="n">
        <v>46001</v>
      </c>
      <c r="BQ26" s="654" t="n">
        <v>45994</v>
      </c>
      <c r="BR26" s="654" t="n">
        <v>45986</v>
      </c>
      <c r="BS26" s="654" t="n">
        <v>45980</v>
      </c>
      <c r="BT26" s="654" t="n">
        <v>45980</v>
      </c>
      <c r="BU26" s="654" t="n">
        <v>45973</v>
      </c>
      <c r="BV26" s="655" t="n">
        <v>45967</v>
      </c>
      <c r="BW26" s="654" t="n">
        <v>45957</v>
      </c>
      <c r="BX26" s="732" t="n"/>
      <c r="BY26" s="655" t="n">
        <v>45950</v>
      </c>
    </row>
    <row r="27" ht="18.75" customFormat="1" customHeight="1" s="3">
      <c r="A27" s="33" t="inlineStr">
        <is>
          <t>KIT PAPEL DE SEDA (20 c/ 25 un)</t>
        </is>
      </c>
      <c r="B27" s="9" t="n">
        <v>500</v>
      </c>
      <c r="C27" s="662" t="n">
        <v>99.26000000000001</v>
      </c>
      <c r="D27" s="329" t="n"/>
      <c r="E27" s="642" t="n"/>
      <c r="F27" s="38">
        <f>0+20+10</f>
        <v/>
      </c>
      <c r="G27" s="38" t="n">
        <v>30</v>
      </c>
      <c r="H27" s="38" t="n">
        <v>30</v>
      </c>
      <c r="I27" s="38" t="n">
        <v>29</v>
      </c>
      <c r="J27" s="38" t="n">
        <v>29</v>
      </c>
      <c r="K27" s="38" t="n">
        <v>29</v>
      </c>
      <c r="L27" s="38" t="n">
        <v>29</v>
      </c>
      <c r="M27" s="38" t="n">
        <v>29</v>
      </c>
      <c r="N27" s="38" t="n">
        <v>29</v>
      </c>
      <c r="O27" s="38" t="n">
        <v>29</v>
      </c>
      <c r="P27" s="38" t="n">
        <v>29</v>
      </c>
      <c r="Q27" s="38" t="n">
        <v>29</v>
      </c>
      <c r="R27" s="38" t="n">
        <v>29</v>
      </c>
      <c r="S27" s="38" t="n">
        <v>29</v>
      </c>
      <c r="T27" s="38" t="n">
        <v>29</v>
      </c>
      <c r="U27" s="38" t="n">
        <v>29</v>
      </c>
      <c r="V27" s="38" t="n">
        <v>29</v>
      </c>
      <c r="W27" s="38" t="n">
        <v>29</v>
      </c>
      <c r="X27" s="38" t="n">
        <v>29</v>
      </c>
      <c r="Y27" s="38" t="n">
        <v>10</v>
      </c>
      <c r="Z27" s="38" t="n">
        <v>10</v>
      </c>
      <c r="AA27" s="38" t="n">
        <v>10</v>
      </c>
      <c r="AB27" s="38" t="n">
        <v>9</v>
      </c>
      <c r="AC27" s="261" t="n">
        <v>19</v>
      </c>
      <c r="AD27" s="38" t="n"/>
      <c r="AE27" s="38" t="n"/>
      <c r="AF27" s="38" t="n"/>
      <c r="AG27" s="38" t="n">
        <v>12</v>
      </c>
      <c r="AH27" s="38" t="n">
        <v>12</v>
      </c>
      <c r="AI27" s="38" t="n">
        <v>12</v>
      </c>
      <c r="AJ27" s="38" t="n">
        <v>12</v>
      </c>
      <c r="AK27" s="38" t="n">
        <v>12</v>
      </c>
      <c r="AL27" s="38" t="n">
        <v>12</v>
      </c>
      <c r="AM27" s="9" t="n">
        <v>12</v>
      </c>
      <c r="AN27" s="9" t="n">
        <v>12</v>
      </c>
      <c r="AO27" s="9" t="n">
        <v>12</v>
      </c>
      <c r="AP27" s="154">
        <f>AN27+IF(NOT(ISBLANK(OFFSET(AP27,0,6))),N(OFFSET(AP27,0,6)),N(OFFSET(AP27,0,7)))-AO27</f>
        <v/>
      </c>
      <c r="AQ27" s="6" t="n"/>
      <c r="AR27" s="19" t="n"/>
      <c r="AS27" s="4" t="n"/>
      <c r="AT27" s="65" t="n"/>
      <c r="AU27" s="18" t="n">
        <v>0</v>
      </c>
      <c r="AV27" s="18" t="n">
        <v>0</v>
      </c>
      <c r="AW27" s="18" t="n">
        <v>0</v>
      </c>
      <c r="AX27" s="18" t="n"/>
      <c r="AY27" s="18" t="n"/>
      <c r="AZ27" s="18" t="n"/>
      <c r="BA27" s="18" t="n"/>
      <c r="BB27" s="18" t="n"/>
      <c r="BC27" s="18" t="n"/>
      <c r="BD27" s="18" t="n"/>
      <c r="BE27" s="18" t="n"/>
      <c r="BF27" s="18" t="n"/>
      <c r="BG27" s="18" t="n"/>
      <c r="BH27" s="18" t="n"/>
      <c r="BI27" s="18" t="n"/>
      <c r="BJ27" s="18" t="n"/>
      <c r="BK27" s="18" t="n"/>
      <c r="BL27" s="18" t="n"/>
      <c r="BM27" s="18" t="n"/>
      <c r="BN27" s="18" t="n"/>
      <c r="BO27" s="18" t="n"/>
      <c r="BP27" s="18" t="n"/>
      <c r="BQ27" s="18" t="n"/>
      <c r="BR27" s="18" t="n"/>
      <c r="BS27" s="18" t="n"/>
      <c r="BT27" s="18" t="n"/>
      <c r="BU27" s="18" t="n"/>
      <c r="BV27" s="18" t="n"/>
      <c r="BW27" s="18" t="n"/>
      <c r="BX27" s="256" t="n"/>
      <c r="BY27" s="154" t="inlineStr">
        <is>
          <t>20 DE ER PB + 10 DE ER PG</t>
        </is>
      </c>
    </row>
    <row r="28" ht="18.75" customFormat="1" customHeight="1" s="3">
      <c r="A28" s="33" t="inlineStr">
        <is>
          <t>KIT ETIQ (50 c/ 50 un)</t>
        </is>
      </c>
      <c r="B28" s="9" t="n">
        <v>2500</v>
      </c>
      <c r="C28" s="662" t="n">
        <v>69.20999999999999</v>
      </c>
      <c r="D28" s="329" t="n"/>
      <c r="E28" s="642" t="n"/>
      <c r="F28" s="38">
        <f>0+40</f>
        <v/>
      </c>
      <c r="G28" s="38" t="n">
        <v>40</v>
      </c>
      <c r="H28" s="38" t="n">
        <v>40</v>
      </c>
      <c r="I28" s="38" t="n">
        <v>40</v>
      </c>
      <c r="J28" s="38" t="n">
        <v>40</v>
      </c>
      <c r="K28" s="38" t="n">
        <v>39</v>
      </c>
      <c r="L28" s="38" t="n">
        <v>39</v>
      </c>
      <c r="M28" s="38" t="n">
        <v>39</v>
      </c>
      <c r="N28" s="38" t="n">
        <v>39</v>
      </c>
      <c r="O28" s="38" t="n">
        <v>39</v>
      </c>
      <c r="P28" s="38" t="n">
        <v>39</v>
      </c>
      <c r="Q28" s="38" t="n">
        <v>39</v>
      </c>
      <c r="R28" s="38" t="n">
        <v>39</v>
      </c>
      <c r="S28" s="38" t="n">
        <v>39</v>
      </c>
      <c r="T28" s="38" t="n">
        <v>39</v>
      </c>
      <c r="U28" s="38" t="n">
        <v>39</v>
      </c>
      <c r="V28" s="38" t="n">
        <v>39</v>
      </c>
      <c r="W28" s="38" t="n">
        <v>39</v>
      </c>
      <c r="X28" s="38" t="n">
        <v>39</v>
      </c>
      <c r="Y28" s="38" t="n">
        <v>0</v>
      </c>
      <c r="Z28" s="38" t="n">
        <v>0</v>
      </c>
      <c r="AA28" s="38" t="n">
        <v>0</v>
      </c>
      <c r="AB28" s="38" t="n">
        <v>0</v>
      </c>
      <c r="AC28" s="38" t="n">
        <v>0</v>
      </c>
      <c r="AD28" s="38" t="n"/>
      <c r="AE28" s="38" t="n"/>
      <c r="AF28" s="38" t="n"/>
      <c r="AG28" s="38" t="n">
        <v>33</v>
      </c>
      <c r="AH28" s="38" t="n">
        <v>33</v>
      </c>
      <c r="AI28" s="38" t="n">
        <v>33</v>
      </c>
      <c r="AJ28" s="38" t="n">
        <v>33</v>
      </c>
      <c r="AK28" s="38" t="n">
        <v>33</v>
      </c>
      <c r="AL28" s="38" t="n">
        <v>33</v>
      </c>
      <c r="AM28" s="9" t="n">
        <v>33</v>
      </c>
      <c r="AN28" s="9" t="n">
        <v>33</v>
      </c>
      <c r="AO28" s="9" t="n">
        <v>33</v>
      </c>
      <c r="AP28" s="154">
        <f>AN28+IF(NOT(ISBLANK(OFFSET(AP28,0,6))),N(OFFSET(AP28,0,6)),N(OFFSET(AP28,0,7)))-AO28</f>
        <v/>
      </c>
      <c r="AQ28" s="6" t="n"/>
      <c r="AR28" s="19" t="n"/>
      <c r="AS28" s="4" t="n"/>
      <c r="AT28" s="65" t="n"/>
      <c r="AU28" s="18" t="n">
        <v>0</v>
      </c>
      <c r="AV28" s="18" t="n">
        <v>0</v>
      </c>
      <c r="AW28" s="18" t="n">
        <v>0</v>
      </c>
      <c r="AX28" s="18" t="n"/>
      <c r="AY28" s="18" t="n"/>
      <c r="AZ28" s="18" t="n"/>
      <c r="BA28" s="18" t="n"/>
      <c r="BB28" s="18" t="n"/>
      <c r="BC28" s="18" t="n"/>
      <c r="BD28" s="18" t="n"/>
      <c r="BE28" s="18" t="n"/>
      <c r="BF28" s="18" t="n"/>
      <c r="BG28" s="18" t="n"/>
      <c r="BH28" s="18" t="n"/>
      <c r="BI28" s="18" t="n"/>
      <c r="BJ28" s="18" t="n"/>
      <c r="BK28" s="18" t="n"/>
      <c r="BL28" s="18" t="n"/>
      <c r="BM28" s="18" t="n"/>
      <c r="BN28" s="18" t="n"/>
      <c r="BO28" s="18" t="n"/>
      <c r="BP28" s="18" t="n"/>
      <c r="BQ28" s="18" t="n"/>
      <c r="BR28" s="18" t="n"/>
      <c r="BS28" s="18" t="n"/>
      <c r="BT28" s="18" t="n"/>
      <c r="BU28" s="18" t="n"/>
      <c r="BV28" s="18" t="n"/>
      <c r="BW28" s="18" t="n"/>
      <c r="BX28" s="256" t="n"/>
      <c r="BY28" s="154" t="inlineStr">
        <is>
          <t>40 DE ER PBE</t>
        </is>
      </c>
    </row>
    <row r="29" ht="18.75" customFormat="1" customHeight="1" s="3">
      <c r="A29" s="33" t="inlineStr">
        <is>
          <t>KIT TAGS  (21 c/ 50 un)</t>
        </is>
      </c>
      <c r="B29" s="9" t="n">
        <v>1050</v>
      </c>
      <c r="C29" s="662" t="n">
        <v>53.96</v>
      </c>
      <c r="D29" s="329" t="n"/>
      <c r="E29" s="2" t="n"/>
      <c r="F29" s="38">
        <f>0+10</f>
        <v/>
      </c>
      <c r="G29" s="38" t="n">
        <v>10</v>
      </c>
      <c r="H29" s="38" t="n">
        <v>10</v>
      </c>
      <c r="I29" s="38" t="n">
        <v>10</v>
      </c>
      <c r="J29" s="261" t="n">
        <v>20</v>
      </c>
      <c r="K29" s="38" t="n">
        <v>20</v>
      </c>
      <c r="L29" s="38" t="n">
        <v>20</v>
      </c>
      <c r="M29" s="38" t="n">
        <v>20</v>
      </c>
      <c r="N29" s="38" t="n">
        <v>10</v>
      </c>
      <c r="O29" s="38" t="n">
        <v>10</v>
      </c>
      <c r="P29" s="38" t="n">
        <v>10</v>
      </c>
      <c r="Q29" s="38" t="n">
        <v>10</v>
      </c>
      <c r="R29" s="38" t="n">
        <v>10</v>
      </c>
      <c r="S29" s="38" t="n">
        <v>10</v>
      </c>
      <c r="T29" s="38" t="n">
        <v>10</v>
      </c>
      <c r="U29" s="38" t="n">
        <v>10</v>
      </c>
      <c r="V29" s="38" t="n">
        <v>10</v>
      </c>
      <c r="W29" s="38" t="n">
        <v>10</v>
      </c>
      <c r="X29" s="38" t="n">
        <v>10</v>
      </c>
      <c r="Y29" s="38" t="n">
        <v>4</v>
      </c>
      <c r="Z29" s="38" t="n">
        <v>4</v>
      </c>
      <c r="AA29" s="38" t="n">
        <v>4</v>
      </c>
      <c r="AB29" s="38" t="n">
        <v>4</v>
      </c>
      <c r="AC29" s="261" t="n">
        <v>80</v>
      </c>
      <c r="AD29" s="38" t="n"/>
      <c r="AE29" s="38" t="n"/>
      <c r="AF29" s="38" t="n"/>
      <c r="AG29" s="38" t="n">
        <v>0</v>
      </c>
      <c r="AH29" s="38" t="n">
        <v>0</v>
      </c>
      <c r="AI29" s="38" t="n">
        <v>0</v>
      </c>
      <c r="AJ29" s="38" t="n">
        <v>0</v>
      </c>
      <c r="AK29" s="38" t="n">
        <v>0</v>
      </c>
      <c r="AL29" s="38" t="n">
        <v>0</v>
      </c>
      <c r="AM29" s="9" t="n">
        <v>0</v>
      </c>
      <c r="AN29" s="9" t="n">
        <v>0</v>
      </c>
      <c r="AO29" s="9" t="n">
        <v>0</v>
      </c>
      <c r="AP29" s="154">
        <f>AN29+IF(NOT(ISBLANK(OFFSET(AP29,0,6))),N(OFFSET(AP29,0,6)),N(OFFSET(AP29,0,7)))-AO29</f>
        <v/>
      </c>
      <c r="AQ29" s="6" t="n"/>
      <c r="AR29" s="19" t="n"/>
      <c r="AS29" s="4" t="n"/>
      <c r="AT29" s="65" t="n"/>
      <c r="AU29" s="18" t="n">
        <v>0</v>
      </c>
      <c r="AV29" s="18" t="n">
        <v>0</v>
      </c>
      <c r="AW29" s="18" t="n">
        <v>0</v>
      </c>
      <c r="AX29" s="18" t="n"/>
      <c r="AY29" s="18" t="n"/>
      <c r="AZ29" s="18" t="n"/>
      <c r="BA29" s="18" t="n"/>
      <c r="BB29" s="18" t="n"/>
      <c r="BC29" s="18" t="n"/>
      <c r="BD29" s="18" t="n"/>
      <c r="BE29" s="18" t="n"/>
      <c r="BF29" s="18" t="n"/>
      <c r="BG29" s="18" t="n"/>
      <c r="BH29" s="18" t="n"/>
      <c r="BI29" s="18" t="n"/>
      <c r="BJ29" s="18" t="n"/>
      <c r="BK29" s="18" t="n"/>
      <c r="BL29" s="18" t="n"/>
      <c r="BM29" s="18" t="n"/>
      <c r="BN29" s="18" t="n"/>
      <c r="BO29" s="18" t="n"/>
      <c r="BP29" s="18" t="n"/>
      <c r="BQ29" s="18" t="n"/>
      <c r="BR29" s="18" t="n"/>
      <c r="BS29" s="18" t="n"/>
      <c r="BT29" s="18" t="n"/>
      <c r="BU29" s="18" t="n"/>
      <c r="BV29" s="18" t="n"/>
      <c r="BW29" s="18" t="n"/>
      <c r="BX29" s="256" t="n"/>
      <c r="BY29" s="154" t="inlineStr">
        <is>
          <t>10 DE ER PBE</t>
        </is>
      </c>
    </row>
    <row r="30" ht="18.75" customFormat="1" customHeight="1" s="3">
      <c r="A30" s="31" t="n"/>
      <c r="AQ30" s="6" t="n"/>
      <c r="AR30" s="67" t="n"/>
      <c r="AU30" s="725" t="n"/>
      <c r="AV30" s="17" t="n"/>
      <c r="AW30" s="17" t="n"/>
      <c r="AX30" s="1" t="n"/>
      <c r="AY30" s="1" t="n"/>
      <c r="AZ30" s="1" t="n"/>
      <c r="BA30" s="1" t="n"/>
      <c r="BB30" s="1" t="n"/>
      <c r="BC30" s="1" t="n"/>
      <c r="BD30" s="1" t="n"/>
      <c r="BE30" s="1" t="n"/>
      <c r="BF30" s="1" t="n"/>
      <c r="BG30" s="1" t="n"/>
      <c r="BH30" s="1" t="n"/>
      <c r="BI30" s="1" t="n"/>
      <c r="BJ30" s="1" t="n"/>
      <c r="BK30" s="1" t="n"/>
      <c r="BL30" s="1" t="n"/>
      <c r="BM30" s="1" t="n"/>
      <c r="BN30" s="1" t="n"/>
      <c r="BO30" s="1" t="n"/>
      <c r="BP30" s="1" t="n"/>
      <c r="BQ30" s="1" t="n"/>
      <c r="BR30" s="1" t="n"/>
      <c r="BS30" s="1" t="n"/>
      <c r="BT30" s="1" t="n"/>
      <c r="BU30" s="1" t="n"/>
      <c r="BV30" s="1" t="n"/>
      <c r="BW30" s="1" t="n"/>
      <c r="BX30" s="1" t="n"/>
      <c r="BY30" s="1" t="n"/>
    </row>
    <row r="31" ht="18.75" customFormat="1" customHeight="1" s="3">
      <c r="A31" s="32" t="inlineStr">
        <is>
          <t>CAIXAS BOTICÁRIO</t>
        </is>
      </c>
      <c r="B31" s="575" t="inlineStr">
        <is>
          <t>PC</t>
        </is>
      </c>
      <c r="C31" s="575" t="inlineStr">
        <is>
          <t>R$</t>
        </is>
      </c>
      <c r="D31" s="575" t="inlineStr">
        <is>
          <t>Estoque Ideal</t>
        </is>
      </c>
      <c r="E31" s="2" t="n"/>
      <c r="F31" s="650" t="n">
        <v>45950</v>
      </c>
      <c r="G31" s="650" t="n">
        <v>45957</v>
      </c>
      <c r="H31" s="650" t="n">
        <v>45933</v>
      </c>
      <c r="I31" s="650" t="n">
        <v>45971</v>
      </c>
      <c r="J31" s="650" t="n">
        <v>45978</v>
      </c>
      <c r="K31" s="650" t="n">
        <v>45985</v>
      </c>
      <c r="L31" s="650" t="n">
        <v>45992</v>
      </c>
      <c r="M31" s="650" t="n">
        <v>45999</v>
      </c>
      <c r="N31" s="650" t="n">
        <v>46006</v>
      </c>
      <c r="O31" s="650" t="n">
        <v>46013</v>
      </c>
      <c r="P31" s="650" t="n">
        <v>46020</v>
      </c>
      <c r="Q31" s="650" t="n">
        <v>46027</v>
      </c>
      <c r="R31" s="650" t="n">
        <v>46034</v>
      </c>
      <c r="S31" s="650" t="n">
        <v>46041</v>
      </c>
      <c r="T31" s="650" t="n">
        <v>46048</v>
      </c>
      <c r="U31" s="650" t="n">
        <v>46055</v>
      </c>
      <c r="V31" s="650" t="n">
        <v>46062</v>
      </c>
      <c r="W31" s="650" t="n">
        <v>46069</v>
      </c>
      <c r="X31" s="650" t="n">
        <v>46076</v>
      </c>
      <c r="Y31" s="650" t="n">
        <v>46083</v>
      </c>
      <c r="Z31" s="650" t="n">
        <v>46090</v>
      </c>
      <c r="AA31" s="650" t="n">
        <v>46097</v>
      </c>
      <c r="AB31" s="650" t="n">
        <v>46104</v>
      </c>
      <c r="AC31" s="650" t="n">
        <v>46111</v>
      </c>
      <c r="AD31" s="650" t="n">
        <v>46118</v>
      </c>
      <c r="AE31" s="650" t="n">
        <v>46125</v>
      </c>
      <c r="AF31" s="650" t="n">
        <v>46132</v>
      </c>
      <c r="AG31" s="650" t="n">
        <v>46139</v>
      </c>
      <c r="AH31" s="650" t="n">
        <v>46146</v>
      </c>
      <c r="AI31" s="650" t="n">
        <v>46154</v>
      </c>
      <c r="AJ31" s="650" t="n">
        <v>46160</v>
      </c>
      <c r="AK31" s="650" t="n">
        <v>46160</v>
      </c>
      <c r="AL31" s="650" t="n">
        <v>46160</v>
      </c>
      <c r="AM31" s="651" t="n">
        <v>46161.48004409722</v>
      </c>
      <c r="AN31" s="651" t="n">
        <v>46161.48072211805</v>
      </c>
      <c r="AO31" s="651" t="n">
        <v>46161.48288076521</v>
      </c>
      <c r="AP31" s="652" t="inlineStr">
        <is>
          <t>USOU</t>
        </is>
      </c>
      <c r="AQ31" s="6" t="n"/>
      <c r="AR31" s="35" t="inlineStr">
        <is>
          <t>Pend.</t>
        </is>
      </c>
      <c r="AS31" s="653" t="n"/>
      <c r="AT31" s="12" t="inlineStr">
        <is>
          <t>Novo Pedido</t>
        </is>
      </c>
      <c r="AU31" s="716" t="n">
        <v>46161.48288009981</v>
      </c>
      <c r="AV31" s="654" t="n">
        <v>46156</v>
      </c>
      <c r="AW31" s="654" t="n">
        <v>46149</v>
      </c>
      <c r="AX31" s="654" t="n">
        <v>46114</v>
      </c>
      <c r="AY31" s="654" t="n">
        <v>46099</v>
      </c>
      <c r="AZ31" s="710" t="n">
        <v>46065</v>
      </c>
      <c r="BA31" s="654" t="n">
        <v>46092</v>
      </c>
      <c r="BB31" s="711" t="n">
        <v>46045</v>
      </c>
      <c r="BC31" s="654" t="n">
        <v>46077</v>
      </c>
      <c r="BD31" s="654" t="n">
        <v>46071</v>
      </c>
      <c r="BE31" s="654" t="n">
        <v>46071</v>
      </c>
      <c r="BF31" s="654" t="n">
        <v>46056</v>
      </c>
      <c r="BG31" s="654" t="n">
        <v>46048</v>
      </c>
      <c r="BH31" s="655" t="n">
        <v>46041</v>
      </c>
      <c r="BI31" s="654" t="n">
        <v>46029</v>
      </c>
      <c r="BJ31" s="654" t="n">
        <v>46372</v>
      </c>
      <c r="BK31" s="654" t="n">
        <v>46382</v>
      </c>
      <c r="BL31" s="654" t="n">
        <v>46007</v>
      </c>
      <c r="BM31" s="654" t="n">
        <v>46017</v>
      </c>
      <c r="BN31" s="654" t="n">
        <v>46007</v>
      </c>
      <c r="BO31" s="654" t="n">
        <v>46001</v>
      </c>
      <c r="BP31" s="654" t="n">
        <v>46001</v>
      </c>
      <c r="BQ31" s="654" t="n">
        <v>45994</v>
      </c>
      <c r="BR31" s="654" t="n">
        <v>45986</v>
      </c>
      <c r="BS31" s="654" t="n">
        <v>45980</v>
      </c>
      <c r="BT31" s="654" t="n">
        <v>45980</v>
      </c>
      <c r="BU31" s="654" t="n">
        <v>45973</v>
      </c>
      <c r="BV31" s="655" t="n">
        <v>45967</v>
      </c>
      <c r="BW31" s="654" t="n">
        <v>45957</v>
      </c>
      <c r="BX31" s="732" t="n"/>
      <c r="BY31" s="655" t="n">
        <v>45950</v>
      </c>
    </row>
    <row r="32" ht="18.75" customFormat="1" customHeight="1" s="3">
      <c r="A32" s="33" t="inlineStr">
        <is>
          <t>KIT CAIXA P VERDE</t>
        </is>
      </c>
      <c r="B32" s="129" t="n">
        <v>75</v>
      </c>
      <c r="C32" s="665" t="n">
        <v>239.21</v>
      </c>
      <c r="D32" s="329" t="n"/>
      <c r="E32" s="2" t="n"/>
      <c r="F32" s="38">
        <f>0+8</f>
        <v/>
      </c>
      <c r="G32" s="38" t="n">
        <v>8</v>
      </c>
      <c r="H32" s="38" t="n">
        <v>8</v>
      </c>
      <c r="I32" s="38" t="n">
        <v>8</v>
      </c>
      <c r="J32" s="38" t="n">
        <v>8</v>
      </c>
      <c r="K32" s="38" t="n">
        <v>8</v>
      </c>
      <c r="L32" s="38" t="n">
        <v>8</v>
      </c>
      <c r="M32" s="38" t="n">
        <v>8</v>
      </c>
      <c r="N32" s="38" t="n">
        <v>8</v>
      </c>
      <c r="O32" s="38" t="n">
        <v>2</v>
      </c>
      <c r="P32" s="38" t="n">
        <v>2</v>
      </c>
      <c r="Q32" s="38" t="n">
        <v>2</v>
      </c>
      <c r="R32" s="38" t="n">
        <v>2</v>
      </c>
      <c r="S32" s="38" t="n">
        <v>2</v>
      </c>
      <c r="T32" s="38" t="n">
        <v>2</v>
      </c>
      <c r="U32" s="38" t="n">
        <v>2</v>
      </c>
      <c r="V32" s="38" t="n">
        <v>2</v>
      </c>
      <c r="W32" s="38" t="n">
        <v>2</v>
      </c>
      <c r="X32" s="38" t="n">
        <v>2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>
        <v>0</v>
      </c>
      <c r="AI32" s="38" t="n">
        <v>0</v>
      </c>
      <c r="AJ32" s="38" t="n">
        <v>0</v>
      </c>
      <c r="AK32" s="38" t="n">
        <v>0</v>
      </c>
      <c r="AL32" s="38" t="n">
        <v>0</v>
      </c>
      <c r="AM32" s="9" t="n">
        <v>0</v>
      </c>
      <c r="AN32" s="9" t="n">
        <v>0</v>
      </c>
      <c r="AO32" s="9" t="n">
        <v>0</v>
      </c>
      <c r="AP32" s="154">
        <f>AN32+IF(NOT(ISBLANK(OFFSET(AP32,0,6))),N(OFFSET(AP32,0,6)),N(OFFSET(AP32,0,7)))-AO32</f>
        <v/>
      </c>
      <c r="AQ32" s="6" t="n"/>
      <c r="AR32" s="19" t="n"/>
      <c r="AS32" s="4" t="n"/>
      <c r="AT32" s="27" t="n"/>
      <c r="AU32" s="18" t="n">
        <v>0</v>
      </c>
      <c r="AV32" s="18" t="n">
        <v>0</v>
      </c>
      <c r="AW32" s="18" t="n">
        <v>0</v>
      </c>
      <c r="AX32" s="18" t="n"/>
      <c r="AY32" s="18" t="n"/>
      <c r="AZ32" s="18" t="n"/>
      <c r="BA32" s="18" t="n"/>
      <c r="BB32" s="18" t="n"/>
      <c r="BC32" s="18" t="n"/>
      <c r="BD32" s="18" t="n"/>
      <c r="BE32" s="18" t="n"/>
      <c r="BF32" s="18" t="n"/>
      <c r="BG32" s="18" t="n"/>
      <c r="BH32" s="18" t="n"/>
      <c r="BI32" s="18" t="n"/>
      <c r="BJ32" s="18" t="n"/>
      <c r="BK32" s="18" t="n"/>
      <c r="BL32" s="18" t="n"/>
      <c r="BM32" s="18" t="n"/>
      <c r="BN32" s="18" t="n"/>
      <c r="BO32" s="18" t="n"/>
      <c r="BP32" s="18" t="n"/>
      <c r="BQ32" s="18" t="n"/>
      <c r="BR32" s="18" t="n"/>
      <c r="BS32" s="18" t="n"/>
      <c r="BT32" s="18" t="n"/>
      <c r="BU32" s="18" t="n"/>
      <c r="BV32" s="18" t="n"/>
      <c r="BW32" s="18" t="n"/>
      <c r="BX32" s="256" t="n"/>
      <c r="BY32" s="154" t="inlineStr">
        <is>
          <t>08 DE ER PBE</t>
        </is>
      </c>
    </row>
    <row r="33" ht="18.75" customFormat="1" customHeight="1" s="3">
      <c r="A33" s="33" t="inlineStr">
        <is>
          <t>KIT CAIXA M VERDE</t>
        </is>
      </c>
      <c r="B33" s="129" t="n">
        <v>75</v>
      </c>
      <c r="C33" s="662" t="n">
        <v>312.27</v>
      </c>
      <c r="D33" s="329" t="n"/>
      <c r="E33" s="2" t="n"/>
      <c r="F33" s="38" t="n">
        <v>0</v>
      </c>
      <c r="G33" s="38" t="n">
        <v>0</v>
      </c>
      <c r="H33" s="38" t="n">
        <v>0</v>
      </c>
      <c r="I33" s="38" t="n">
        <v>0</v>
      </c>
      <c r="J33" s="38" t="n">
        <v>0</v>
      </c>
      <c r="K33" s="38" t="n">
        <v>0</v>
      </c>
      <c r="L33" s="38" t="n">
        <v>0</v>
      </c>
      <c r="M33" s="38" t="n">
        <v>0</v>
      </c>
      <c r="N33" s="38" t="n">
        <v>0</v>
      </c>
      <c r="O33" s="38" t="n">
        <v>0</v>
      </c>
      <c r="P33" s="38" t="n">
        <v>0</v>
      </c>
      <c r="Q33" s="38" t="n">
        <v>0</v>
      </c>
      <c r="R33" s="38" t="n">
        <v>0</v>
      </c>
      <c r="S33" s="38" t="n">
        <v>0</v>
      </c>
      <c r="T33" s="38" t="n">
        <v>0</v>
      </c>
      <c r="U33" s="38" t="n">
        <v>0</v>
      </c>
      <c r="V33" s="261" t="n">
        <v>20</v>
      </c>
      <c r="W33" s="38" t="n">
        <v>20</v>
      </c>
      <c r="X33" s="38" t="n">
        <v>20</v>
      </c>
      <c r="Y33" s="38" t="n">
        <v>7</v>
      </c>
      <c r="Z33" s="38" t="n">
        <v>1</v>
      </c>
      <c r="AA33" s="38" t="n">
        <v>1</v>
      </c>
      <c r="AB33" s="38" t="n">
        <v>0</v>
      </c>
      <c r="AC33" s="38" t="n">
        <v>0</v>
      </c>
      <c r="AD33" s="38" t="n">
        <v>0</v>
      </c>
      <c r="AE33" s="38" t="n">
        <v>0</v>
      </c>
      <c r="AF33" s="38" t="n">
        <v>0</v>
      </c>
      <c r="AG33" s="38" t="n">
        <v>0</v>
      </c>
      <c r="AH33" s="38" t="n">
        <v>0</v>
      </c>
      <c r="AI33" s="38" t="n">
        <v>0</v>
      </c>
      <c r="AJ33" s="38" t="n">
        <v>0</v>
      </c>
      <c r="AK33" s="38" t="n">
        <v>0</v>
      </c>
      <c r="AL33" s="38" t="n">
        <v>0</v>
      </c>
      <c r="AM33" s="9" t="n">
        <v>0</v>
      </c>
      <c r="AN33" s="9" t="n">
        <v>0</v>
      </c>
      <c r="AO33" s="9" t="n">
        <v>0</v>
      </c>
      <c r="AP33" s="154">
        <f>AN33+IF(NOT(ISBLANK(OFFSET(AP33,0,6))),N(OFFSET(AP33,0,6)),N(OFFSET(AP33,0,7)))-AO33</f>
        <v/>
      </c>
      <c r="AQ33" s="6" t="n"/>
      <c r="AR33" s="19" t="n"/>
      <c r="AS33" s="5" t="n"/>
      <c r="AT33" s="27" t="n"/>
      <c r="AU33" s="18" t="n">
        <v>0</v>
      </c>
      <c r="AV33" s="18" t="n">
        <v>0</v>
      </c>
      <c r="AW33" s="18" t="n">
        <v>0</v>
      </c>
      <c r="AX33" s="18" t="n"/>
      <c r="AY33" s="18" t="n"/>
      <c r="AZ33" s="18" t="n"/>
      <c r="BA33" s="18" t="n"/>
      <c r="BB33" s="18" t="n"/>
      <c r="BC33" s="18" t="n"/>
      <c r="BD33" s="18" t="n"/>
      <c r="BE33" s="18" t="n"/>
      <c r="BF33" s="18" t="n"/>
      <c r="BG33" s="18" t="n"/>
      <c r="BH33" s="18" t="n"/>
      <c r="BI33" s="18" t="n"/>
      <c r="BJ33" s="18" t="n"/>
      <c r="BK33" s="18" t="n"/>
      <c r="BL33" s="18" t="n"/>
      <c r="BM33" s="18" t="n"/>
      <c r="BN33" s="18" t="n"/>
      <c r="BO33" s="18" t="n"/>
      <c r="BP33" s="18" t="n"/>
      <c r="BQ33" s="18" t="n"/>
      <c r="BR33" s="18" t="n"/>
      <c r="BS33" s="18" t="n"/>
      <c r="BT33" s="18" t="n"/>
      <c r="BU33" s="18" t="n"/>
      <c r="BV33" s="18" t="n"/>
      <c r="BW33" s="18" t="n"/>
      <c r="BX33" s="256" t="n"/>
      <c r="BY33" s="256" t="n"/>
    </row>
    <row r="34" ht="18.75" customHeight="1">
      <c r="A34" s="33" t="inlineStr">
        <is>
          <t>KIT CAIXA G VERDE</t>
        </is>
      </c>
      <c r="B34" s="129" t="n">
        <v>50</v>
      </c>
      <c r="C34" s="662" t="n">
        <v>367.65</v>
      </c>
      <c r="D34" s="329" t="n"/>
      <c r="F34" s="38" t="n">
        <v>0</v>
      </c>
      <c r="G34" s="38" t="n">
        <v>0</v>
      </c>
      <c r="H34" s="38" t="n">
        <v>0</v>
      </c>
      <c r="I34" s="38" t="n">
        <v>0</v>
      </c>
      <c r="J34" s="38" t="n">
        <v>0</v>
      </c>
      <c r="K34" s="38" t="n">
        <v>0</v>
      </c>
      <c r="L34" s="38" t="n">
        <v>0</v>
      </c>
      <c r="M34" s="38" t="n">
        <v>0</v>
      </c>
      <c r="N34" s="38" t="n">
        <v>0</v>
      </c>
      <c r="O34" s="38" t="n">
        <v>0</v>
      </c>
      <c r="P34" s="38" t="n">
        <v>0</v>
      </c>
      <c r="Q34" s="38" t="n">
        <v>0</v>
      </c>
      <c r="R34" s="38" t="n">
        <v>0</v>
      </c>
      <c r="S34" s="38" t="n">
        <v>0</v>
      </c>
      <c r="T34" s="38" t="n">
        <v>0</v>
      </c>
      <c r="U34" s="38" t="n">
        <v>0</v>
      </c>
      <c r="V34" s="38" t="n">
        <v>0</v>
      </c>
      <c r="W34" s="38" t="n">
        <v>0</v>
      </c>
      <c r="X34" s="38" t="n">
        <v>0</v>
      </c>
      <c r="Y34" s="38" t="n">
        <v>0</v>
      </c>
      <c r="Z34" s="38" t="n">
        <v>0</v>
      </c>
      <c r="AA34" s="38" t="n">
        <v>0</v>
      </c>
      <c r="AB34" s="38" t="n">
        <v>0</v>
      </c>
      <c r="AC34" s="38" t="n">
        <v>0</v>
      </c>
      <c r="AD34" s="38" t="n">
        <v>0</v>
      </c>
      <c r="AE34" s="38" t="n">
        <v>0</v>
      </c>
      <c r="AF34" s="38" t="n">
        <v>0</v>
      </c>
      <c r="AG34" s="38" t="n">
        <v>0</v>
      </c>
      <c r="AH34" s="38" t="n">
        <v>0</v>
      </c>
      <c r="AI34" s="38" t="n">
        <v>0</v>
      </c>
      <c r="AJ34" s="38" t="n"/>
      <c r="AK34" s="38" t="n"/>
      <c r="AL34" s="38" t="n"/>
      <c r="AM34" s="9" t="n"/>
      <c r="AN34" s="9" t="n"/>
      <c r="AO34" s="9" t="n"/>
      <c r="AP34" s="154">
        <f>AN34+IF(NOT(ISBLANK(OFFSET(AP34,0,6))),N(OFFSET(AP34,0,6)),N(OFFSET(AP34,0,7)))-AO34</f>
        <v/>
      </c>
      <c r="AR34" s="19" t="n"/>
      <c r="AS34" s="5" t="n"/>
      <c r="AT34" s="27" t="n"/>
      <c r="AU34" s="18" t="n">
        <v>0</v>
      </c>
      <c r="AV34" s="18" t="n">
        <v>0</v>
      </c>
      <c r="AW34" s="18" t="n">
        <v>0</v>
      </c>
      <c r="AX34" s="18" t="n"/>
      <c r="AY34" s="18" t="n"/>
      <c r="AZ34" s="18" t="n"/>
      <c r="BA34" s="18" t="n"/>
      <c r="BB34" s="18" t="n"/>
      <c r="BC34" s="18" t="n"/>
      <c r="BD34" s="18" t="n"/>
      <c r="BE34" s="18" t="n"/>
      <c r="BF34" s="18" t="n"/>
      <c r="BG34" s="18" t="n"/>
      <c r="BH34" s="18" t="n"/>
      <c r="BI34" s="18" t="n"/>
      <c r="BJ34" s="18" t="n"/>
      <c r="BK34" s="18" t="n"/>
      <c r="BL34" s="18" t="n"/>
      <c r="BM34" s="18" t="n"/>
      <c r="BN34" s="18" t="n"/>
      <c r="BO34" s="18" t="n"/>
      <c r="BP34" s="18" t="n"/>
      <c r="BQ34" s="18" t="n"/>
      <c r="BR34" s="18" t="n"/>
      <c r="BS34" s="18" t="n"/>
      <c r="BT34" s="18" t="n"/>
      <c r="BU34" s="18" t="n"/>
      <c r="BV34" s="18" t="n"/>
      <c r="BW34" s="18" t="n"/>
      <c r="BX34" s="256" t="n"/>
      <c r="BY34" s="256" t="n"/>
    </row>
    <row r="35" ht="18.75" customFormat="1" customHeight="1" s="3">
      <c r="A35" s="31" t="n"/>
      <c r="B35" s="2" t="n"/>
      <c r="C35" s="661" t="n"/>
      <c r="D35" s="661" t="n"/>
      <c r="E35" s="6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2" t="n"/>
      <c r="AN35" s="2" t="n"/>
      <c r="AO35" s="2" t="n"/>
      <c r="AQ35" s="6" t="n"/>
      <c r="AR35" s="26" t="n"/>
      <c r="AS35" s="5" t="n"/>
      <c r="AT35" s="108" t="n"/>
      <c r="AU35" s="17" t="n"/>
      <c r="AV35" s="17" t="n"/>
      <c r="AW35" s="17" t="n"/>
      <c r="BX35" s="314" t="n"/>
      <c r="BY35" s="314" t="n"/>
    </row>
    <row r="36" hidden="1" ht="18.75" customHeight="1">
      <c r="A36" s="32" t="inlineStr">
        <is>
          <t>SACOLAS OMNI BOTICÁRIO</t>
        </is>
      </c>
      <c r="B36" s="575" t="inlineStr">
        <is>
          <t>PC</t>
        </is>
      </c>
      <c r="C36" s="575" t="inlineStr">
        <is>
          <t>R$</t>
        </is>
      </c>
      <c r="D36" s="575" t="inlineStr">
        <is>
          <t>Estoque Ideal</t>
        </is>
      </c>
      <c r="F36" s="650" t="n">
        <v>45950</v>
      </c>
      <c r="G36" s="650" t="n">
        <v>45957</v>
      </c>
      <c r="H36" s="650" t="n">
        <v>45933</v>
      </c>
      <c r="I36" s="650" t="n">
        <v>45971</v>
      </c>
      <c r="J36" s="650" t="n">
        <v>45978</v>
      </c>
      <c r="K36" s="650" t="n">
        <v>45985</v>
      </c>
      <c r="L36" s="650" t="n">
        <v>45992</v>
      </c>
      <c r="M36" s="650" t="n">
        <v>45999</v>
      </c>
      <c r="N36" s="650" t="n">
        <v>46006</v>
      </c>
      <c r="O36" s="650" t="n">
        <v>46013</v>
      </c>
      <c r="P36" s="650" t="n">
        <v>46020</v>
      </c>
      <c r="Q36" s="650" t="n">
        <v>46027</v>
      </c>
      <c r="R36" s="650" t="n">
        <v>46034</v>
      </c>
      <c r="S36" s="650" t="n">
        <v>46041</v>
      </c>
      <c r="T36" s="650" t="n">
        <v>46048</v>
      </c>
      <c r="U36" s="650" t="n">
        <v>46055</v>
      </c>
      <c r="V36" s="650" t="n">
        <v>46062</v>
      </c>
      <c r="W36" s="650" t="n">
        <v>46069</v>
      </c>
      <c r="X36" s="650" t="n">
        <v>46076</v>
      </c>
      <c r="Y36" s="650" t="n">
        <v>46083</v>
      </c>
      <c r="Z36" s="650" t="n">
        <v>46090</v>
      </c>
      <c r="AA36" s="650" t="n">
        <v>46097</v>
      </c>
      <c r="AB36" s="650" t="n">
        <v>46104</v>
      </c>
      <c r="AC36" s="650" t="n">
        <v>46111</v>
      </c>
      <c r="AD36" s="650" t="n">
        <v>46118</v>
      </c>
      <c r="AE36" s="650" t="n">
        <v>46125</v>
      </c>
      <c r="AF36" s="650" t="n">
        <v>46132</v>
      </c>
      <c r="AG36" s="650" t="n">
        <v>46139</v>
      </c>
      <c r="AH36" s="650" t="n">
        <v>46146</v>
      </c>
      <c r="AI36" s="650" t="n">
        <v>46154</v>
      </c>
      <c r="AJ36" s="650" t="n">
        <v>46160</v>
      </c>
      <c r="AK36" s="650" t="n">
        <v>46160</v>
      </c>
      <c r="AL36" s="650" t="n">
        <v>46160</v>
      </c>
      <c r="AM36" s="651" t="n">
        <v>46161.48004409722</v>
      </c>
      <c r="AN36" s="651" t="n">
        <v>46161.48072211805</v>
      </c>
      <c r="AO36" s="651" t="n">
        <v>46161.48288076535</v>
      </c>
      <c r="AP36" s="652" t="inlineStr">
        <is>
          <t>USOU</t>
        </is>
      </c>
      <c r="AR36" s="35" t="inlineStr">
        <is>
          <t>Pend.</t>
        </is>
      </c>
      <c r="AT36" s="12" t="inlineStr">
        <is>
          <t>Novo Pedido</t>
        </is>
      </c>
      <c r="AU36" s="654" t="n"/>
      <c r="AV36" s="654" t="n"/>
      <c r="AW36" s="654" t="n"/>
      <c r="AX36" s="654" t="n">
        <v>46114</v>
      </c>
      <c r="AY36" s="654" t="n">
        <v>46099</v>
      </c>
      <c r="AZ36" s="710" t="n">
        <v>46065</v>
      </c>
      <c r="BA36" s="654" t="n">
        <v>46092</v>
      </c>
      <c r="BB36" s="711" t="n">
        <v>46045</v>
      </c>
      <c r="BC36" s="654" t="n">
        <v>46077</v>
      </c>
      <c r="BD36" s="654" t="n">
        <v>46071</v>
      </c>
      <c r="BE36" s="654" t="n">
        <v>46071</v>
      </c>
      <c r="BF36" s="654" t="n">
        <v>46056</v>
      </c>
      <c r="BG36" s="654" t="n">
        <v>46048</v>
      </c>
      <c r="BH36" s="655" t="n">
        <v>46041</v>
      </c>
      <c r="BI36" s="654" t="n">
        <v>46029</v>
      </c>
      <c r="BJ36" s="654" t="n">
        <v>46372</v>
      </c>
      <c r="BK36" s="654" t="n">
        <v>46382</v>
      </c>
      <c r="BL36" s="654" t="n">
        <v>46007</v>
      </c>
      <c r="BM36" s="654" t="n">
        <v>46017</v>
      </c>
      <c r="BN36" s="654" t="n">
        <v>46007</v>
      </c>
      <c r="BO36" s="654" t="n">
        <v>46001</v>
      </c>
      <c r="BP36" s="654" t="n">
        <v>46001</v>
      </c>
      <c r="BQ36" s="654" t="n">
        <v>45994</v>
      </c>
      <c r="BR36" s="654" t="n">
        <v>45986</v>
      </c>
      <c r="BS36" s="654" t="n">
        <v>45980</v>
      </c>
      <c r="BT36" s="654" t="n">
        <v>45980</v>
      </c>
      <c r="BU36" s="654" t="n">
        <v>45973</v>
      </c>
      <c r="BV36" s="655" t="n">
        <v>45967</v>
      </c>
      <c r="BW36" s="654" t="n">
        <v>45957</v>
      </c>
      <c r="BX36" s="732" t="n"/>
      <c r="BY36" s="655" t="n">
        <v>45950</v>
      </c>
    </row>
    <row r="37" hidden="1" ht="18.75" customHeight="1">
      <c r="A37" s="33" t="inlineStr">
        <is>
          <t>KIT OVERBAG OMNI P</t>
        </is>
      </c>
      <c r="B37" s="9" t="n">
        <v>25</v>
      </c>
      <c r="C37" s="662" t="n">
        <v>41.75</v>
      </c>
      <c r="D37" s="329" t="n"/>
      <c r="F37" s="38">
        <f>0+25</f>
        <v/>
      </c>
      <c r="G37" s="38" t="n">
        <v>25</v>
      </c>
      <c r="H37" s="38" t="n">
        <v>25</v>
      </c>
      <c r="I37" s="38" t="n">
        <v>25</v>
      </c>
      <c r="J37" s="38" t="n">
        <v>24</v>
      </c>
      <c r="K37" s="38" t="n">
        <v>24</v>
      </c>
      <c r="L37" s="38" t="n">
        <v>24</v>
      </c>
      <c r="M37" s="38" t="n">
        <v>24</v>
      </c>
      <c r="N37" s="38" t="n">
        <v>24</v>
      </c>
      <c r="O37" s="38" t="n">
        <v>24</v>
      </c>
      <c r="P37" s="38" t="n">
        <v>24</v>
      </c>
      <c r="Q37" s="38" t="n">
        <v>24</v>
      </c>
      <c r="R37" s="38" t="n">
        <v>24</v>
      </c>
      <c r="S37" s="38" t="n">
        <v>24</v>
      </c>
      <c r="T37" s="38" t="n">
        <v>24</v>
      </c>
      <c r="U37" s="261" t="n">
        <v>0</v>
      </c>
      <c r="V37" s="38" t="n">
        <v>0</v>
      </c>
      <c r="W37" s="38" t="n">
        <v>0</v>
      </c>
      <c r="X37" s="38" t="n">
        <v>0</v>
      </c>
      <c r="Y37" s="38" t="n">
        <v>0</v>
      </c>
      <c r="Z37" s="38" t="n">
        <v>0</v>
      </c>
      <c r="AA37" s="38" t="n">
        <v>0</v>
      </c>
      <c r="AB37" s="38" t="n">
        <v>0</v>
      </c>
      <c r="AC37" s="38" t="n">
        <v>0</v>
      </c>
      <c r="AD37" s="38" t="n">
        <v>0</v>
      </c>
      <c r="AE37" s="38" t="n">
        <v>0</v>
      </c>
      <c r="AF37" s="38" t="n">
        <v>0</v>
      </c>
      <c r="AG37" s="38" t="n">
        <v>0</v>
      </c>
      <c r="AH37" s="38" t="n">
        <v>0</v>
      </c>
      <c r="AI37" s="38" t="n"/>
      <c r="AJ37" s="38" t="n"/>
      <c r="AK37" s="38" t="n"/>
      <c r="AL37" s="38" t="n"/>
      <c r="AM37" s="9" t="n"/>
      <c r="AN37" s="9" t="n"/>
      <c r="AO37" s="9" t="n"/>
      <c r="AP37" s="156">
        <f>AN37+IF(NOT(ISBLANK(OFFSET(AP37,0,6))),N(OFFSET(AP37,0,6)),N(OFFSET(AP37,0,7)))-AO37</f>
        <v/>
      </c>
      <c r="AR37" s="127" t="n"/>
      <c r="AT37" s="27" t="n"/>
      <c r="AU37" s="691" t="n"/>
      <c r="AV37" s="18" t="n"/>
      <c r="AW37" s="18" t="n">
        <v>0</v>
      </c>
      <c r="AX37" s="18" t="n"/>
      <c r="AY37" s="18" t="n"/>
      <c r="AZ37" s="18" t="n"/>
      <c r="BA37" s="18" t="n"/>
      <c r="BB37" s="18" t="n"/>
      <c r="BC37" s="18" t="n"/>
      <c r="BD37" s="18" t="n"/>
      <c r="BE37" s="18" t="n"/>
      <c r="BF37" s="18" t="n"/>
      <c r="BG37" s="18" t="n"/>
      <c r="BH37" s="18" t="n"/>
      <c r="BI37" s="18" t="n"/>
      <c r="BJ37" s="18" t="n"/>
      <c r="BK37" s="18" t="n"/>
      <c r="BL37" s="18" t="n"/>
      <c r="BM37" s="18" t="n"/>
      <c r="BN37" s="18" t="n"/>
      <c r="BO37" s="18" t="n"/>
      <c r="BP37" s="18" t="n"/>
      <c r="BQ37" s="18" t="n"/>
      <c r="BR37" s="18" t="n"/>
      <c r="BS37" s="18" t="n"/>
      <c r="BT37" s="18" t="n"/>
      <c r="BU37" s="18" t="n"/>
      <c r="BV37" s="18" t="n"/>
      <c r="BW37" s="18" t="n"/>
      <c r="BX37" s="256" t="n"/>
      <c r="BY37" s="154" t="inlineStr">
        <is>
          <t xml:space="preserve">25 DE ER PB </t>
        </is>
      </c>
    </row>
    <row r="38" hidden="1" ht="18.75" customHeight="1">
      <c r="A38" s="33" t="inlineStr">
        <is>
          <t>KIT OVERBAG OMNI M</t>
        </is>
      </c>
      <c r="B38" s="9" t="n">
        <v>25</v>
      </c>
      <c r="C38" s="662" t="n">
        <v>57</v>
      </c>
      <c r="D38" s="329" t="n"/>
      <c r="F38" s="38">
        <f>0+20+10</f>
        <v/>
      </c>
      <c r="G38" s="38" t="n">
        <v>30</v>
      </c>
      <c r="H38" s="38" t="n">
        <v>30</v>
      </c>
      <c r="I38" s="38" t="n">
        <v>30</v>
      </c>
      <c r="J38" s="38" t="n">
        <v>30</v>
      </c>
      <c r="K38" s="38" t="n">
        <v>31</v>
      </c>
      <c r="L38" s="38" t="n">
        <v>31</v>
      </c>
      <c r="M38" s="38" t="n">
        <v>31</v>
      </c>
      <c r="N38" s="38" t="n">
        <v>31</v>
      </c>
      <c r="O38" s="38" t="n">
        <v>31</v>
      </c>
      <c r="P38" s="38" t="n">
        <v>31</v>
      </c>
      <c r="Q38" s="38" t="n">
        <v>31</v>
      </c>
      <c r="R38" s="38" t="n">
        <v>31</v>
      </c>
      <c r="S38" s="38" t="n">
        <v>31</v>
      </c>
      <c r="T38" s="38" t="n">
        <v>31</v>
      </c>
      <c r="U38" s="261" t="n">
        <v>0</v>
      </c>
      <c r="V38" s="38" t="n">
        <v>0</v>
      </c>
      <c r="W38" s="38" t="n">
        <v>0</v>
      </c>
      <c r="X38" s="38" t="n">
        <v>0</v>
      </c>
      <c r="Y38" s="38" t="n">
        <v>0</v>
      </c>
      <c r="Z38" s="38" t="n">
        <v>0</v>
      </c>
      <c r="AA38" s="38" t="n">
        <v>0</v>
      </c>
      <c r="AB38" s="38" t="n">
        <v>0</v>
      </c>
      <c r="AC38" s="38" t="n">
        <v>0</v>
      </c>
      <c r="AD38" s="38" t="n">
        <v>0</v>
      </c>
      <c r="AE38" s="38" t="n">
        <v>0</v>
      </c>
      <c r="AF38" s="38" t="n">
        <v>0</v>
      </c>
      <c r="AG38" s="38" t="n">
        <v>0</v>
      </c>
      <c r="AH38" s="38" t="n">
        <v>0</v>
      </c>
      <c r="AI38" s="38" t="n"/>
      <c r="AJ38" s="38" t="n">
        <v>0</v>
      </c>
      <c r="AK38" s="38" t="n">
        <v>0</v>
      </c>
      <c r="AL38" s="38" t="n">
        <v>0</v>
      </c>
      <c r="AM38" s="9" t="n">
        <v>0</v>
      </c>
      <c r="AN38" s="9" t="n">
        <v>0</v>
      </c>
      <c r="AO38" s="9" t="n">
        <v>0</v>
      </c>
      <c r="AP38" s="156">
        <f>AN38+IF(NOT(ISBLANK(OFFSET(AP38,0,6))),N(OFFSET(AP38,0,6)),N(OFFSET(AP38,0,7)))-AO38</f>
        <v/>
      </c>
      <c r="AR38" s="19" t="n"/>
      <c r="AT38" s="27" t="n"/>
      <c r="AU38" s="691" t="n"/>
      <c r="AV38" s="18" t="n"/>
      <c r="AW38" s="18" t="n">
        <v>0</v>
      </c>
      <c r="AX38" s="18" t="n"/>
      <c r="AY38" s="18" t="n"/>
      <c r="AZ38" s="18" t="n"/>
      <c r="BA38" s="18" t="n"/>
      <c r="BB38" s="18" t="n"/>
      <c r="BC38" s="18" t="n"/>
      <c r="BD38" s="18" t="n"/>
      <c r="BE38" s="18" t="n"/>
      <c r="BF38" s="18" t="n"/>
      <c r="BG38" s="18" t="n"/>
      <c r="BH38" s="18" t="n"/>
      <c r="BI38" s="18" t="n"/>
      <c r="BJ38" s="18" t="n"/>
      <c r="BK38" s="18" t="n"/>
      <c r="BL38" s="18" t="n"/>
      <c r="BM38" s="18" t="n"/>
      <c r="BN38" s="18" t="n"/>
      <c r="BO38" s="18" t="n"/>
      <c r="BP38" s="18" t="n"/>
      <c r="BQ38" s="18" t="n"/>
      <c r="BR38" s="18" t="n"/>
      <c r="BS38" s="18" t="n"/>
      <c r="BT38" s="18" t="n"/>
      <c r="BU38" s="18" t="n"/>
      <c r="BV38" s="18" t="n"/>
      <c r="BW38" s="18" t="n"/>
      <c r="BX38" s="256" t="n"/>
      <c r="BY38" s="154" t="inlineStr">
        <is>
          <t>20 DE ER PB + 10 DE ER PG</t>
        </is>
      </c>
    </row>
    <row r="39" hidden="1" ht="18.75" customHeight="1">
      <c r="B39" s="53" t="n"/>
      <c r="C39" s="53" t="n"/>
      <c r="D39" s="53" t="n"/>
      <c r="AP39" s="53" t="n"/>
      <c r="AT39" s="6" t="n"/>
    </row>
    <row r="40" ht="18.75" customHeight="1">
      <c r="A40" s="586" t="inlineStr">
        <is>
          <t>SACOLAS/SACO/DIVERSOS OUI</t>
        </is>
      </c>
      <c r="B40" s="133" t="n"/>
      <c r="C40" s="133" t="n"/>
      <c r="D40" s="133" t="n"/>
      <c r="F40" s="650" t="n">
        <v>45950</v>
      </c>
      <c r="G40" s="650" t="n">
        <v>45957</v>
      </c>
      <c r="H40" s="650" t="n">
        <v>45933</v>
      </c>
      <c r="I40" s="650" t="n">
        <v>45971</v>
      </c>
      <c r="J40" s="650" t="n">
        <v>45978</v>
      </c>
      <c r="K40" s="650" t="n">
        <v>45985</v>
      </c>
      <c r="L40" s="650" t="n">
        <v>45992</v>
      </c>
      <c r="M40" s="650" t="n">
        <v>45999</v>
      </c>
      <c r="N40" s="650" t="n">
        <v>46006</v>
      </c>
      <c r="O40" s="650" t="n">
        <v>46013</v>
      </c>
      <c r="P40" s="650" t="n">
        <v>46020</v>
      </c>
      <c r="Q40" s="650" t="n">
        <v>46027</v>
      </c>
      <c r="R40" s="650" t="n">
        <v>46034</v>
      </c>
      <c r="S40" s="650" t="n">
        <v>46041</v>
      </c>
      <c r="T40" s="650" t="n">
        <v>46048</v>
      </c>
      <c r="U40" s="650" t="n">
        <v>46055</v>
      </c>
      <c r="V40" s="650" t="n">
        <v>46062</v>
      </c>
      <c r="W40" s="650" t="n">
        <v>46069</v>
      </c>
      <c r="X40" s="650" t="n">
        <v>46076</v>
      </c>
      <c r="Y40" s="650" t="n">
        <v>46083</v>
      </c>
      <c r="Z40" s="650" t="n">
        <v>46090</v>
      </c>
      <c r="AA40" s="650" t="n">
        <v>46097</v>
      </c>
      <c r="AB40" s="650" t="n">
        <v>46104</v>
      </c>
      <c r="AC40" s="650" t="n">
        <v>46111</v>
      </c>
      <c r="AD40" s="650" t="n">
        <v>46118</v>
      </c>
      <c r="AE40" s="650" t="n">
        <v>46125</v>
      </c>
      <c r="AF40" s="650" t="n">
        <v>46132</v>
      </c>
      <c r="AG40" s="650" t="n">
        <v>46139</v>
      </c>
      <c r="AH40" s="650" t="n">
        <v>46146</v>
      </c>
      <c r="AI40" s="650" t="n">
        <v>46154</v>
      </c>
      <c r="AJ40" s="650" t="n">
        <v>46160</v>
      </c>
      <c r="AK40" s="650" t="n">
        <v>46160</v>
      </c>
      <c r="AL40" s="650" t="n">
        <v>46160</v>
      </c>
      <c r="AM40" s="651" t="n">
        <v>46161.48004409722</v>
      </c>
      <c r="AN40" s="651" t="n">
        <v>46161.48072211805</v>
      </c>
      <c r="AO40" s="651" t="n">
        <v>46161.48288076545</v>
      </c>
      <c r="AP40" s="652" t="inlineStr">
        <is>
          <t>USOU</t>
        </is>
      </c>
      <c r="AR40" s="35" t="inlineStr">
        <is>
          <t>Pend.</t>
        </is>
      </c>
      <c r="AT40" s="12" t="inlineStr">
        <is>
          <t>Novo Pedido</t>
        </is>
      </c>
      <c r="AU40" s="708" t="n">
        <v>46161.48288010016</v>
      </c>
      <c r="AV40" s="654" t="n">
        <v>46156</v>
      </c>
      <c r="AW40" s="654" t="n">
        <v>46149</v>
      </c>
      <c r="AX40" s="654" t="n">
        <v>46114</v>
      </c>
      <c r="AY40" s="654" t="n">
        <v>46099</v>
      </c>
      <c r="AZ40" s="710" t="n">
        <v>46065</v>
      </c>
      <c r="BA40" s="654" t="n">
        <v>46092</v>
      </c>
      <c r="BB40" s="711" t="n">
        <v>46045</v>
      </c>
      <c r="BC40" s="654" t="n">
        <v>46077</v>
      </c>
      <c r="BD40" s="654" t="n">
        <v>46071</v>
      </c>
      <c r="BE40" s="654" t="n">
        <v>46071</v>
      </c>
      <c r="BF40" s="654" t="n">
        <v>46056</v>
      </c>
      <c r="BG40" s="654" t="n">
        <v>46048</v>
      </c>
      <c r="BH40" s="655" t="n">
        <v>46041</v>
      </c>
      <c r="BI40" s="654" t="n">
        <v>46029</v>
      </c>
      <c r="BJ40" s="654" t="n">
        <v>46372</v>
      </c>
      <c r="BK40" s="654" t="n">
        <v>46382</v>
      </c>
      <c r="BL40" s="654" t="n">
        <v>46007</v>
      </c>
      <c r="BM40" s="654" t="n">
        <v>46017</v>
      </c>
      <c r="BN40" s="654" t="n">
        <v>46007</v>
      </c>
      <c r="BO40" s="654" t="n">
        <v>46001</v>
      </c>
      <c r="BP40" s="654" t="n">
        <v>46001</v>
      </c>
      <c r="BQ40" s="654" t="n">
        <v>45994</v>
      </c>
      <c r="BR40" s="654" t="n">
        <v>45986</v>
      </c>
      <c r="BS40" s="654" t="n">
        <v>45980</v>
      </c>
      <c r="BT40" s="654" t="n">
        <v>45980</v>
      </c>
      <c r="BU40" s="654" t="n">
        <v>45973</v>
      </c>
      <c r="BV40" s="655" t="n">
        <v>45967</v>
      </c>
      <c r="BW40" s="654" t="n">
        <v>45957</v>
      </c>
      <c r="BX40" s="732" t="n"/>
      <c r="BY40" s="655" t="n">
        <v>45950</v>
      </c>
    </row>
    <row r="41" ht="18.75" customHeight="1">
      <c r="A41" s="43" t="inlineStr">
        <is>
          <t>SACOLA P OUI</t>
        </is>
      </c>
      <c r="B41" s="36" t="n">
        <v>150</v>
      </c>
      <c r="C41" s="668" t="n">
        <v>469.25</v>
      </c>
      <c r="D41" s="329" t="n"/>
      <c r="F41" s="38">
        <f>0+18+5</f>
        <v/>
      </c>
      <c r="G41" s="38" t="n">
        <v>23</v>
      </c>
      <c r="H41" s="38" t="n">
        <v>23</v>
      </c>
      <c r="I41" s="38" t="n">
        <v>23</v>
      </c>
      <c r="J41" s="38" t="n">
        <v>23</v>
      </c>
      <c r="K41" s="38" t="n">
        <v>23</v>
      </c>
      <c r="L41" s="38" t="n">
        <v>23</v>
      </c>
      <c r="M41" s="38" t="n">
        <v>23</v>
      </c>
      <c r="N41" s="38" t="n">
        <v>23</v>
      </c>
      <c r="O41" s="38" t="n">
        <v>23</v>
      </c>
      <c r="P41" s="38" t="n">
        <v>23</v>
      </c>
      <c r="Q41" s="38" t="n">
        <v>23</v>
      </c>
      <c r="R41" s="38" t="n">
        <v>23</v>
      </c>
      <c r="S41" s="38" t="n">
        <v>23</v>
      </c>
      <c r="T41" s="38" t="n">
        <v>23</v>
      </c>
      <c r="U41" s="261" t="n">
        <v>9</v>
      </c>
      <c r="V41" s="38" t="n">
        <v>9</v>
      </c>
      <c r="W41" s="38" t="n">
        <v>9</v>
      </c>
      <c r="X41" s="38" t="n">
        <v>9</v>
      </c>
      <c r="Y41" s="261" t="n">
        <v>0</v>
      </c>
      <c r="Z41" s="38" t="n">
        <v>0</v>
      </c>
      <c r="AA41" s="38" t="n">
        <v>0</v>
      </c>
      <c r="AB41" s="38" t="n">
        <v>0</v>
      </c>
      <c r="AC41" s="38" t="n">
        <v>0</v>
      </c>
      <c r="AD41" s="38" t="n">
        <v>0</v>
      </c>
      <c r="AE41" s="38" t="n">
        <v>0</v>
      </c>
      <c r="AF41" s="38" t="n">
        <v>0</v>
      </c>
      <c r="AG41" s="38" t="n">
        <v>0</v>
      </c>
      <c r="AH41" s="38" t="n">
        <v>0</v>
      </c>
      <c r="AI41" s="38" t="n">
        <v>0</v>
      </c>
      <c r="AJ41" s="38" t="n">
        <v>0</v>
      </c>
      <c r="AK41" s="38" t="n">
        <v>0</v>
      </c>
      <c r="AL41" s="38" t="n">
        <v>0</v>
      </c>
      <c r="AM41" s="9" t="n">
        <v>0</v>
      </c>
      <c r="AN41" s="9" t="n">
        <v>0</v>
      </c>
      <c r="AO41" s="9" t="n">
        <v>0</v>
      </c>
      <c r="AP41" s="154">
        <f>AN41+IF(NOT(ISBLANK(OFFSET(AP41,0,6))),N(OFFSET(AP41,0,6)),N(OFFSET(AP41,0,7)))-AO41</f>
        <v/>
      </c>
      <c r="AR41" s="233" t="inlineStr">
        <is>
          <t>05 DE ER PB</t>
        </is>
      </c>
      <c r="AT41" s="19" t="n"/>
      <c r="AU41" s="18" t="n">
        <v>0</v>
      </c>
      <c r="AV41" s="18" t="n">
        <v>0</v>
      </c>
      <c r="AW41" s="18" t="n">
        <v>0</v>
      </c>
      <c r="AX41" s="18" t="n"/>
      <c r="AY41" s="18" t="n"/>
      <c r="AZ41" s="18" t="n"/>
      <c r="BA41" s="18" t="n"/>
      <c r="BB41" s="18" t="n"/>
      <c r="BC41" s="18" t="n"/>
      <c r="BD41" s="18" t="n"/>
      <c r="BE41" s="18" t="n"/>
      <c r="BF41" s="18" t="n"/>
      <c r="BG41" s="18" t="n"/>
      <c r="BH41" s="18" t="n"/>
      <c r="BI41" s="18" t="n"/>
      <c r="BJ41" s="18" t="n"/>
      <c r="BK41" s="18" t="n"/>
      <c r="BL41" s="18" t="n"/>
      <c r="BM41" s="18" t="n"/>
      <c r="BN41" s="18" t="n"/>
      <c r="BO41" s="18" t="n"/>
      <c r="BP41" s="18" t="n"/>
      <c r="BQ41" s="18" t="n"/>
      <c r="BR41" s="18" t="n"/>
      <c r="BS41" s="18" t="n"/>
      <c r="BT41" s="18" t="n"/>
      <c r="BU41" s="18" t="n"/>
      <c r="BV41" s="18" t="n"/>
      <c r="BW41" s="18" t="n"/>
      <c r="BX41" s="256" t="n"/>
      <c r="BY41" s="154" t="inlineStr">
        <is>
          <t>18 DE ER PG + 05 DE ER PB</t>
        </is>
      </c>
    </row>
    <row r="42" ht="18.75" customFormat="1" customHeight="1" s="3">
      <c r="A42" s="43" t="inlineStr">
        <is>
          <t>SACOLA M OUI</t>
        </is>
      </c>
      <c r="B42" s="36" t="n">
        <v>100</v>
      </c>
      <c r="C42" s="668" t="n">
        <v>368.23</v>
      </c>
      <c r="D42" s="329" t="n"/>
      <c r="F42" s="38">
        <f>0+5</f>
        <v/>
      </c>
      <c r="G42" s="38" t="n">
        <v>5</v>
      </c>
      <c r="H42" s="38" t="n">
        <v>5</v>
      </c>
      <c r="I42" s="38" t="n">
        <v>4</v>
      </c>
      <c r="J42" s="38" t="n">
        <v>4</v>
      </c>
      <c r="K42" s="38" t="n">
        <v>3</v>
      </c>
      <c r="L42" s="38" t="n">
        <v>3</v>
      </c>
      <c r="M42" s="38" t="n">
        <v>3</v>
      </c>
      <c r="N42" s="38" t="n">
        <v>3</v>
      </c>
      <c r="O42" s="38" t="n">
        <v>3</v>
      </c>
      <c r="P42" s="38" t="n">
        <v>3</v>
      </c>
      <c r="Q42" s="38" t="n">
        <v>3</v>
      </c>
      <c r="R42" s="38" t="n">
        <v>3</v>
      </c>
      <c r="S42" s="38" t="n">
        <v>2</v>
      </c>
      <c r="T42" s="38" t="n">
        <v>2</v>
      </c>
      <c r="U42" s="38" t="n">
        <v>2</v>
      </c>
      <c r="V42" s="38" t="n">
        <v>2</v>
      </c>
      <c r="W42" s="38" t="n">
        <v>2</v>
      </c>
      <c r="X42" s="38" t="n">
        <v>2</v>
      </c>
      <c r="Y42" s="261" t="n">
        <v>0</v>
      </c>
      <c r="Z42" s="38" t="n">
        <v>0</v>
      </c>
      <c r="AA42" s="38" t="n">
        <v>0</v>
      </c>
      <c r="AB42" s="38" t="n">
        <v>0</v>
      </c>
      <c r="AC42" s="38" t="n">
        <v>0</v>
      </c>
      <c r="AD42" s="38" t="n">
        <v>0</v>
      </c>
      <c r="AE42" s="38" t="n">
        <v>0</v>
      </c>
      <c r="AF42" s="38" t="n">
        <v>0</v>
      </c>
      <c r="AG42" s="38" t="n">
        <v>0</v>
      </c>
      <c r="AH42" s="38" t="n">
        <v>0</v>
      </c>
      <c r="AI42" s="38" t="n">
        <v>0</v>
      </c>
      <c r="AJ42" s="38" t="n">
        <v>0</v>
      </c>
      <c r="AK42" s="38" t="n">
        <v>0</v>
      </c>
      <c r="AL42" s="38" t="n">
        <v>0</v>
      </c>
      <c r="AM42" s="9" t="n">
        <v>0</v>
      </c>
      <c r="AN42" s="9" t="n">
        <v>0</v>
      </c>
      <c r="AO42" s="9" t="n">
        <v>0</v>
      </c>
      <c r="AP42" s="154">
        <f>AN42+IF(NOT(ISBLANK(OFFSET(AP42,0,6))),N(OFFSET(AP42,0,6)),N(OFFSET(AP42,0,7)))-AO42</f>
        <v/>
      </c>
      <c r="AQ42" s="6" t="n"/>
      <c r="AR42" s="233" t="inlineStr">
        <is>
          <t>05 DE ER PB</t>
        </is>
      </c>
      <c r="AS42" s="49" t="n"/>
      <c r="AT42" s="19" t="n"/>
      <c r="AU42" s="18" t="n">
        <v>0</v>
      </c>
      <c r="AV42" s="18" t="n">
        <v>0</v>
      </c>
      <c r="AW42" s="18" t="n">
        <v>0</v>
      </c>
      <c r="AX42" s="18" t="n"/>
      <c r="AY42" s="18" t="n"/>
      <c r="AZ42" s="18" t="n"/>
      <c r="BA42" s="18" t="n"/>
      <c r="BB42" s="18" t="n"/>
      <c r="BC42" s="18" t="n"/>
      <c r="BD42" s="18" t="n"/>
      <c r="BE42" s="18" t="n"/>
      <c r="BF42" s="18" t="n"/>
      <c r="BG42" s="18" t="n"/>
      <c r="BH42" s="18" t="n"/>
      <c r="BI42" s="18" t="n"/>
      <c r="BJ42" s="18" t="n"/>
      <c r="BK42" s="18" t="n"/>
      <c r="BL42" s="18" t="n"/>
      <c r="BM42" s="18" t="n"/>
      <c r="BN42" s="18" t="n"/>
      <c r="BO42" s="18" t="n"/>
      <c r="BP42" s="18" t="n"/>
      <c r="BQ42" s="18" t="n"/>
      <c r="BR42" s="18" t="n"/>
      <c r="BS42" s="18" t="n"/>
      <c r="BT42" s="18" t="n"/>
      <c r="BU42" s="18" t="n"/>
      <c r="BV42" s="18" t="n"/>
      <c r="BW42" s="18" t="n"/>
      <c r="BX42" s="256" t="n"/>
      <c r="BY42" s="154" t="inlineStr">
        <is>
          <t>05 DE ER PBE</t>
        </is>
      </c>
    </row>
    <row r="43" ht="18.75" customFormat="1" customHeight="1" s="3">
      <c r="A43" s="43" t="inlineStr">
        <is>
          <t>SACOLA G OUI</t>
        </is>
      </c>
      <c r="B43" s="36" t="n">
        <v>50</v>
      </c>
      <c r="C43" s="668" t="n">
        <v>257.98</v>
      </c>
      <c r="D43" s="329" t="n"/>
      <c r="F43" s="38">
        <f>0+10</f>
        <v/>
      </c>
      <c r="G43" s="38" t="n">
        <v>10</v>
      </c>
      <c r="H43" s="38" t="n">
        <v>10</v>
      </c>
      <c r="I43" s="38" t="n">
        <v>10</v>
      </c>
      <c r="J43" s="38" t="n">
        <v>10</v>
      </c>
      <c r="K43" s="38" t="n">
        <v>10</v>
      </c>
      <c r="L43" s="38" t="n">
        <v>9</v>
      </c>
      <c r="M43" s="38" t="n">
        <v>8</v>
      </c>
      <c r="N43" s="38" t="n">
        <v>8</v>
      </c>
      <c r="O43" s="38" t="n">
        <v>8</v>
      </c>
      <c r="P43" s="38" t="n">
        <v>8</v>
      </c>
      <c r="Q43" s="38" t="n">
        <v>8</v>
      </c>
      <c r="R43" s="38" t="n">
        <v>8</v>
      </c>
      <c r="S43" s="38" t="n">
        <v>8</v>
      </c>
      <c r="T43" s="38" t="n">
        <v>8</v>
      </c>
      <c r="U43" s="261" t="n">
        <v>0</v>
      </c>
      <c r="V43" s="38" t="n">
        <v>0</v>
      </c>
      <c r="W43" s="38" t="n">
        <v>0</v>
      </c>
      <c r="X43" s="38" t="n">
        <v>0</v>
      </c>
      <c r="Y43" s="261" t="n">
        <v>0</v>
      </c>
      <c r="Z43" s="38" t="n">
        <v>0</v>
      </c>
      <c r="AA43" s="38" t="n">
        <v>0</v>
      </c>
      <c r="AB43" s="38" t="n">
        <v>0</v>
      </c>
      <c r="AC43" s="38" t="n">
        <v>0</v>
      </c>
      <c r="AD43" s="38" t="n">
        <v>0</v>
      </c>
      <c r="AE43" s="38" t="n">
        <v>0</v>
      </c>
      <c r="AF43" s="38" t="n">
        <v>0</v>
      </c>
      <c r="AG43" s="38" t="n">
        <v>0</v>
      </c>
      <c r="AH43" s="38" t="n">
        <v>0</v>
      </c>
      <c r="AI43" s="38" t="n">
        <v>0</v>
      </c>
      <c r="AJ43" s="38" t="n">
        <v>0</v>
      </c>
      <c r="AK43" s="38" t="n">
        <v>0</v>
      </c>
      <c r="AL43" s="38" t="n">
        <v>0</v>
      </c>
      <c r="AM43" s="9" t="n">
        <v>0</v>
      </c>
      <c r="AN43" s="9" t="n">
        <v>0</v>
      </c>
      <c r="AO43" s="9" t="n">
        <v>0</v>
      </c>
      <c r="AP43" s="154">
        <f>AN43+IF(NOT(ISBLANK(OFFSET(AP43,0,6))),N(OFFSET(AP43,0,6)),N(OFFSET(AP43,0,7)))-AO43</f>
        <v/>
      </c>
      <c r="AQ43" s="53" t="n"/>
      <c r="AR43" s="233" t="inlineStr">
        <is>
          <t>05 DE ER PB</t>
        </is>
      </c>
      <c r="AS43" s="49" t="n"/>
      <c r="AT43" s="19" t="n"/>
      <c r="AU43" s="18" t="n">
        <v>0</v>
      </c>
      <c r="AV43" s="18" t="n">
        <v>0</v>
      </c>
      <c r="AW43" s="18" t="n">
        <v>0</v>
      </c>
      <c r="AX43" s="18" t="n"/>
      <c r="AY43" s="18" t="n"/>
      <c r="AZ43" s="18" t="n"/>
      <c r="BA43" s="18" t="n"/>
      <c r="BB43" s="18" t="n"/>
      <c r="BC43" s="18" t="n"/>
      <c r="BD43" s="18" t="n"/>
      <c r="BE43" s="18" t="n"/>
      <c r="BF43" s="18" t="n"/>
      <c r="BG43" s="18" t="n"/>
      <c r="BH43" s="18" t="n"/>
      <c r="BI43" s="18" t="n"/>
      <c r="BJ43" s="18" t="n"/>
      <c r="BK43" s="18" t="n"/>
      <c r="BL43" s="18" t="n"/>
      <c r="BM43" s="18" t="n"/>
      <c r="BN43" s="18" t="n"/>
      <c r="BO43" s="18" t="n"/>
      <c r="BP43" s="18" t="n"/>
      <c r="BQ43" s="18" t="n"/>
      <c r="BR43" s="18" t="n"/>
      <c r="BS43" s="18" t="n"/>
      <c r="BT43" s="18" t="n"/>
      <c r="BU43" s="18" t="n"/>
      <c r="BV43" s="18" t="n"/>
      <c r="BW43" s="18" t="n"/>
      <c r="BX43" s="256" t="n"/>
      <c r="BY43" s="154" t="inlineStr">
        <is>
          <t>10 DE ER PG</t>
        </is>
      </c>
    </row>
    <row r="44" ht="18.75" customHeight="1">
      <c r="A44" s="43" t="inlineStr">
        <is>
          <t>PAPEL DE SEDA OUI</t>
        </is>
      </c>
      <c r="B44" s="36" t="n">
        <v>500</v>
      </c>
      <c r="C44" s="668" t="n">
        <v>143.38</v>
      </c>
      <c r="D44" s="329" t="n"/>
      <c r="F44" s="38" t="n">
        <v>0</v>
      </c>
      <c r="G44" s="38">
        <f>0+BT44</f>
        <v/>
      </c>
      <c r="H44" s="38" t="n">
        <v>1</v>
      </c>
      <c r="I44" s="38" t="n">
        <v>0</v>
      </c>
      <c r="J44" s="38">
        <f>0+BR44</f>
        <v/>
      </c>
      <c r="K44" s="38" t="n">
        <v>0</v>
      </c>
      <c r="L44" s="38" t="n">
        <v>0</v>
      </c>
      <c r="M44" s="38" t="n">
        <v>2</v>
      </c>
      <c r="N44" s="38" t="n">
        <v>1</v>
      </c>
      <c r="O44" s="38" t="n">
        <v>1</v>
      </c>
      <c r="P44" s="38" t="n">
        <v>1</v>
      </c>
      <c r="Q44" s="38" t="n">
        <v>1</v>
      </c>
      <c r="R44" s="38" t="n">
        <v>2</v>
      </c>
      <c r="S44" s="38" t="n">
        <v>2</v>
      </c>
      <c r="T44" s="38" t="n">
        <v>0</v>
      </c>
      <c r="U44" s="38" t="n">
        <v>0</v>
      </c>
      <c r="V44" s="38" t="n">
        <v>0</v>
      </c>
      <c r="W44" s="38" t="n">
        <v>0</v>
      </c>
      <c r="X44" s="38" t="n">
        <v>0</v>
      </c>
      <c r="Y44" s="38" t="n">
        <v>0</v>
      </c>
      <c r="Z44" s="38" t="n">
        <v>0</v>
      </c>
      <c r="AA44" s="38" t="n">
        <v>0</v>
      </c>
      <c r="AB44" s="38" t="n">
        <v>0</v>
      </c>
      <c r="AC44" s="38" t="n">
        <v>0</v>
      </c>
      <c r="AD44" s="38" t="n">
        <v>0</v>
      </c>
      <c r="AE44" s="38" t="n">
        <v>0</v>
      </c>
      <c r="AF44" s="38" t="n">
        <v>0</v>
      </c>
      <c r="AG44" s="38" t="n">
        <v>0</v>
      </c>
      <c r="AH44" s="38" t="n">
        <v>0</v>
      </c>
      <c r="AI44" s="38" t="n">
        <v>0</v>
      </c>
      <c r="AJ44" s="38" t="n"/>
      <c r="AK44" s="38" t="n"/>
      <c r="AL44" s="38" t="n"/>
      <c r="AM44" s="9" t="n"/>
      <c r="AN44" s="9" t="n"/>
      <c r="AO44" s="9" t="n"/>
      <c r="AP44" s="154">
        <f>AN44+IF(NOT(ISBLANK(OFFSET(AP44,0,6))),N(OFFSET(AP44,0,6)),N(OFFSET(AP44,0,7)))-AO44</f>
        <v/>
      </c>
      <c r="AR44" s="19" t="n"/>
      <c r="AT44" s="27" t="n"/>
      <c r="AU44" s="691" t="n">
        <v>0</v>
      </c>
      <c r="AV44" s="18" t="n">
        <v>0</v>
      </c>
      <c r="AW44" s="18" t="n">
        <v>0</v>
      </c>
      <c r="AX44" s="18" t="n"/>
      <c r="AY44" s="18" t="n"/>
      <c r="AZ44" s="18" t="n"/>
      <c r="BA44" s="18" t="n"/>
      <c r="BB44" s="18" t="n"/>
      <c r="BC44" s="18" t="n"/>
      <c r="BD44" s="18" t="n"/>
      <c r="BE44" s="18" t="n"/>
      <c r="BF44" s="18" t="n"/>
      <c r="BG44" s="18" t="n"/>
      <c r="BH44" s="18" t="n"/>
      <c r="BI44" s="18" t="n"/>
      <c r="BJ44" s="18" t="n"/>
      <c r="BK44" s="18" t="n"/>
      <c r="BL44" s="18" t="n"/>
      <c r="BM44" s="18" t="n"/>
      <c r="BN44" s="18" t="n"/>
      <c r="BO44" s="18" t="n"/>
      <c r="BP44" s="18" t="n"/>
      <c r="BQ44" s="18" t="n"/>
      <c r="BR44" s="18" t="n">
        <v>2</v>
      </c>
      <c r="BS44" s="18" t="n"/>
      <c r="BT44" s="18" t="n"/>
      <c r="BU44" s="18" t="n">
        <v>2</v>
      </c>
      <c r="BV44" s="18" t="n"/>
      <c r="BW44" s="18" t="n">
        <v>1</v>
      </c>
      <c r="BX44" s="256" t="n"/>
      <c r="BY44" s="256" t="n"/>
    </row>
    <row r="45" ht="18.75" customHeight="1">
      <c r="A45" s="33" t="inlineStr">
        <is>
          <t>ETIQUETA OUI</t>
        </is>
      </c>
      <c r="B45" s="9" t="n">
        <v>1000</v>
      </c>
      <c r="C45" s="662" t="n">
        <v>187.49</v>
      </c>
      <c r="D45" s="329" t="n"/>
      <c r="E45" s="2" t="n"/>
      <c r="F45" s="38" t="n">
        <v>0</v>
      </c>
      <c r="G45" s="38">
        <f>0+BT45</f>
        <v/>
      </c>
      <c r="H45" s="38" t="n">
        <v>1</v>
      </c>
      <c r="I45" s="38" t="n">
        <v>0</v>
      </c>
      <c r="J45" s="38">
        <f>0+BR45</f>
        <v/>
      </c>
      <c r="K45" s="38" t="n">
        <v>0</v>
      </c>
      <c r="L45" s="38" t="n">
        <v>0</v>
      </c>
      <c r="M45" s="38" t="n">
        <v>2</v>
      </c>
      <c r="N45" s="38" t="n">
        <v>1</v>
      </c>
      <c r="O45" s="38" t="n">
        <v>1</v>
      </c>
      <c r="P45" s="38" t="n">
        <v>1</v>
      </c>
      <c r="Q45" s="38" t="n">
        <v>1</v>
      </c>
      <c r="R45" s="38" t="n">
        <v>2</v>
      </c>
      <c r="S45" s="38">
        <f>2-1-1</f>
        <v/>
      </c>
      <c r="T45" s="38" t="n">
        <v>0</v>
      </c>
      <c r="U45" s="38" t="n">
        <v>0</v>
      </c>
      <c r="V45" s="38" t="n">
        <v>0</v>
      </c>
      <c r="W45" s="38" t="n">
        <v>0</v>
      </c>
      <c r="X45" s="38" t="n">
        <v>0</v>
      </c>
      <c r="Y45" s="38" t="n">
        <v>0</v>
      </c>
      <c r="Z45" s="38" t="n">
        <v>0</v>
      </c>
      <c r="AA45" s="38" t="n">
        <v>0</v>
      </c>
      <c r="AB45" s="38" t="n">
        <v>0</v>
      </c>
      <c r="AC45" s="38" t="n">
        <v>0</v>
      </c>
      <c r="AD45" s="38" t="n">
        <v>0</v>
      </c>
      <c r="AE45" s="38" t="n">
        <v>0</v>
      </c>
      <c r="AF45" s="38" t="n">
        <v>0</v>
      </c>
      <c r="AG45" s="38" t="n">
        <v>0</v>
      </c>
      <c r="AH45" s="38" t="n">
        <v>0</v>
      </c>
      <c r="AI45" s="38" t="n">
        <v>0</v>
      </c>
      <c r="AJ45" s="38" t="n"/>
      <c r="AK45" s="38" t="n"/>
      <c r="AL45" s="38" t="n"/>
      <c r="AM45" s="9" t="n"/>
      <c r="AN45" s="9" t="n"/>
      <c r="AO45" s="9" t="n"/>
      <c r="AP45" s="154">
        <f>AN45+IF(NOT(ISBLANK(OFFSET(AP45,0,6))),N(OFFSET(AP45,0,6)),N(OFFSET(AP45,0,7)))-AO45</f>
        <v/>
      </c>
      <c r="AR45" s="128" t="n"/>
      <c r="AS45" s="4" t="n"/>
      <c r="AT45" s="27" t="n"/>
      <c r="AU45" s="18" t="n">
        <v>0</v>
      </c>
      <c r="AV45" s="18" t="n">
        <v>0</v>
      </c>
      <c r="AW45" s="18" t="n">
        <v>0</v>
      </c>
      <c r="AX45" s="18" t="n"/>
      <c r="AY45" s="18" t="n"/>
      <c r="AZ45" s="18" t="n"/>
      <c r="BA45" s="18" t="n"/>
      <c r="BB45" s="18" t="n"/>
      <c r="BC45" s="18" t="n"/>
      <c r="BD45" s="18" t="n"/>
      <c r="BE45" s="18" t="n"/>
      <c r="BF45" s="18" t="n"/>
      <c r="BG45" s="18" t="n"/>
      <c r="BH45" s="154" t="inlineStr">
        <is>
          <t>01 P/ ER PG + 01 P/ ER PB</t>
        </is>
      </c>
      <c r="BI45" s="18" t="n"/>
      <c r="BJ45" s="18" t="n"/>
      <c r="BK45" s="18" t="n"/>
      <c r="BL45" s="18" t="n"/>
      <c r="BM45" s="18" t="n"/>
      <c r="BN45" s="18" t="n"/>
      <c r="BO45" s="18" t="n"/>
      <c r="BP45" s="18" t="n"/>
      <c r="BQ45" s="18" t="n"/>
      <c r="BR45" s="18" t="n">
        <v>2</v>
      </c>
      <c r="BS45" s="18" t="n"/>
      <c r="BT45" s="18" t="n"/>
      <c r="BU45" s="18" t="n">
        <v>2</v>
      </c>
      <c r="BV45" s="18" t="n"/>
      <c r="BW45" s="18" t="n">
        <v>1</v>
      </c>
      <c r="BX45" s="256" t="n"/>
      <c r="BY45" s="256" t="n"/>
    </row>
    <row r="46" ht="18.75" customHeight="1">
      <c r="A46" s="33" t="inlineStr">
        <is>
          <t>LÂMINA OLFATIVA OUI</t>
        </is>
      </c>
      <c r="B46" s="9" t="n">
        <v>3000</v>
      </c>
      <c r="C46" s="662" t="n">
        <v>231.61</v>
      </c>
      <c r="D46" s="329" t="n"/>
      <c r="E46" s="2" t="n"/>
      <c r="F46" s="38" t="n">
        <v>0</v>
      </c>
      <c r="G46" s="38" t="n">
        <v>0</v>
      </c>
      <c r="H46" s="38" t="n">
        <v>0</v>
      </c>
      <c r="I46" s="38" t="n">
        <v>0</v>
      </c>
      <c r="J46" s="38" t="n">
        <v>0</v>
      </c>
      <c r="K46" s="38" t="n">
        <v>0</v>
      </c>
      <c r="L46" s="38" t="n">
        <v>0</v>
      </c>
      <c r="M46" s="38" t="n">
        <v>4</v>
      </c>
      <c r="N46" s="38" t="n">
        <v>0</v>
      </c>
      <c r="O46" s="38" t="n">
        <v>0</v>
      </c>
      <c r="P46" s="38" t="n">
        <v>0</v>
      </c>
      <c r="Q46" s="38" t="n">
        <v>0</v>
      </c>
      <c r="R46" s="38" t="n">
        <v>4</v>
      </c>
      <c r="S46" s="38">
        <f>4-2-1</f>
        <v/>
      </c>
      <c r="T46" s="38" t="n">
        <v>1</v>
      </c>
      <c r="U46" s="38" t="n">
        <v>1</v>
      </c>
      <c r="V46" s="38" t="n">
        <v>1</v>
      </c>
      <c r="W46" s="38" t="n">
        <v>1</v>
      </c>
      <c r="X46" s="38" t="n">
        <v>1</v>
      </c>
      <c r="Y46" s="38" t="n">
        <v>1</v>
      </c>
      <c r="Z46" s="38" t="n">
        <v>1</v>
      </c>
      <c r="AA46" s="38" t="n">
        <v>1</v>
      </c>
      <c r="AB46" s="38" t="n">
        <v>1</v>
      </c>
      <c r="AC46" s="38" t="n">
        <v>1</v>
      </c>
      <c r="AD46" s="38" t="n">
        <v>1</v>
      </c>
      <c r="AE46" s="38" t="n">
        <v>1</v>
      </c>
      <c r="AF46" s="38" t="n">
        <v>1</v>
      </c>
      <c r="AG46" s="38" t="n">
        <v>1</v>
      </c>
      <c r="AH46" s="38" t="n">
        <v>1</v>
      </c>
      <c r="AI46" s="38" t="n">
        <v>1</v>
      </c>
      <c r="AJ46" s="38" t="n"/>
      <c r="AK46" s="38" t="n"/>
      <c r="AL46" s="38" t="n"/>
      <c r="AM46" s="9" t="n"/>
      <c r="AN46" s="9" t="n"/>
      <c r="AO46" s="9" t="n"/>
      <c r="AP46" s="154">
        <f>AN46+IF(NOT(ISBLANK(OFFSET(AP46,0,6))),N(OFFSET(AP46,0,6)),N(OFFSET(AP46,0,7)))-AO46</f>
        <v/>
      </c>
      <c r="AR46" s="128" t="n"/>
      <c r="AS46" s="4" t="n"/>
      <c r="AT46" s="27" t="n"/>
      <c r="AU46" s="18" t="n">
        <v>0</v>
      </c>
      <c r="AV46" s="18" t="n">
        <v>0</v>
      </c>
      <c r="AW46" s="18" t="n">
        <v>0</v>
      </c>
      <c r="AX46" s="18" t="n"/>
      <c r="AY46" s="18" t="n"/>
      <c r="AZ46" s="18" t="n"/>
      <c r="BA46" s="18" t="n"/>
      <c r="BB46" s="18" t="n"/>
      <c r="BC46" s="18" t="n"/>
      <c r="BD46" s="18" t="n"/>
      <c r="BE46" s="18" t="n"/>
      <c r="BF46" s="18" t="n"/>
      <c r="BG46" s="18" t="n"/>
      <c r="BH46" s="154" t="inlineStr">
        <is>
          <t>02 P/ ER PG + 01 P/ ER PB</t>
        </is>
      </c>
      <c r="BI46" s="18" t="n"/>
      <c r="BJ46" s="18" t="n"/>
      <c r="BK46" s="18" t="n"/>
      <c r="BL46" s="18" t="n"/>
      <c r="BM46" s="18" t="n"/>
      <c r="BN46" s="18" t="n"/>
      <c r="BO46" s="18" t="n"/>
      <c r="BP46" s="18" t="n"/>
      <c r="BQ46" s="18" t="n"/>
      <c r="BR46" s="18" t="n"/>
      <c r="BS46" s="18" t="n"/>
      <c r="BT46" s="18" t="n"/>
      <c r="BU46" s="18" t="n"/>
      <c r="BV46" s="18" t="n"/>
      <c r="BW46" s="18" t="n"/>
      <c r="BX46" s="256" t="n"/>
      <c r="BY46" s="256" t="n"/>
    </row>
    <row r="47" ht="18.75" customHeight="1">
      <c r="A47" s="43" t="inlineStr">
        <is>
          <t>SACO M OUI (BRINDE)</t>
        </is>
      </c>
      <c r="B47" s="36" t="n">
        <v>200</v>
      </c>
      <c r="C47" s="662" t="n">
        <v>258.52</v>
      </c>
      <c r="D47" s="329" t="n"/>
      <c r="F47" s="38" t="n">
        <v>0</v>
      </c>
      <c r="G47" s="38" t="n">
        <v>0</v>
      </c>
      <c r="H47" s="38" t="n">
        <v>0</v>
      </c>
      <c r="I47" s="38" t="n">
        <v>0</v>
      </c>
      <c r="J47" s="261" t="n">
        <v>200</v>
      </c>
      <c r="K47" s="38" t="n">
        <v>180</v>
      </c>
      <c r="L47" s="38" t="n">
        <v>180</v>
      </c>
      <c r="M47" s="38" t="n">
        <v>180</v>
      </c>
      <c r="N47" s="38" t="n">
        <v>160</v>
      </c>
      <c r="O47" s="38" t="n">
        <v>160</v>
      </c>
      <c r="P47" s="38" t="n">
        <v>160</v>
      </c>
      <c r="Q47" s="38" t="n">
        <v>120</v>
      </c>
      <c r="R47" s="38" t="n">
        <v>120</v>
      </c>
      <c r="S47" s="38" t="n">
        <v>120</v>
      </c>
      <c r="T47" s="38" t="n">
        <v>120</v>
      </c>
      <c r="U47" s="38" t="n">
        <v>120</v>
      </c>
      <c r="V47" s="38" t="n">
        <v>120</v>
      </c>
      <c r="W47" s="38" t="n">
        <v>120</v>
      </c>
      <c r="X47" s="38" t="n">
        <v>120</v>
      </c>
      <c r="Y47" s="38" t="n">
        <v>120</v>
      </c>
      <c r="Z47" s="38" t="n">
        <v>120</v>
      </c>
      <c r="AA47" s="38" t="n">
        <v>120</v>
      </c>
      <c r="AB47" s="38" t="n">
        <v>120</v>
      </c>
      <c r="AC47" s="38" t="n">
        <v>0</v>
      </c>
      <c r="AD47" s="38" t="n">
        <v>0</v>
      </c>
      <c r="AE47" s="38" t="n">
        <v>0</v>
      </c>
      <c r="AF47" s="38" t="n">
        <v>0</v>
      </c>
      <c r="AG47" s="38" t="n">
        <v>0</v>
      </c>
      <c r="AH47" s="38" t="n">
        <v>0</v>
      </c>
      <c r="AI47" s="38" t="n">
        <v>0</v>
      </c>
      <c r="AJ47" s="38" t="n"/>
      <c r="AK47" s="38" t="n"/>
      <c r="AL47" s="38" t="n"/>
      <c r="AM47" s="9" t="n"/>
      <c r="AN47" s="9" t="n"/>
      <c r="AO47" s="9" t="n"/>
      <c r="AP47" s="154">
        <f>AN47+IF(NOT(ISBLANK(OFFSET(AP47,0,6))),N(OFFSET(AP47,0,6)),N(OFFSET(AP47,0,7)))-AO47</f>
        <v/>
      </c>
      <c r="AR47" s="485" t="inlineStr">
        <is>
          <t>100 DE ER PBE</t>
        </is>
      </c>
      <c r="AT47" s="27" t="n"/>
      <c r="AU47" s="691" t="n">
        <v>0</v>
      </c>
      <c r="AV47" s="18" t="n">
        <v>0</v>
      </c>
      <c r="AW47" s="18" t="n">
        <v>0</v>
      </c>
      <c r="AX47" s="18" t="n"/>
      <c r="AY47" s="18" t="n"/>
      <c r="AZ47" s="18" t="n"/>
      <c r="BA47" s="18" t="n"/>
      <c r="BB47" s="18" t="n"/>
      <c r="BC47" s="18" t="n"/>
      <c r="BD47" s="18" t="n"/>
      <c r="BE47" s="18" t="n"/>
      <c r="BF47" s="18" t="n"/>
      <c r="BG47" s="18" t="n"/>
      <c r="BH47" s="18" t="n"/>
      <c r="BI47" s="18" t="n"/>
      <c r="BJ47" s="18" t="n"/>
      <c r="BK47" s="18" t="n"/>
      <c r="BL47" s="18" t="n"/>
      <c r="BM47" s="18" t="n"/>
      <c r="BN47" s="18" t="n"/>
      <c r="BO47" s="18" t="n"/>
      <c r="BP47" s="18" t="n"/>
      <c r="BQ47" s="18" t="n"/>
      <c r="BR47" s="18" t="n"/>
      <c r="BS47" s="18" t="n"/>
      <c r="BT47" s="18" t="n"/>
      <c r="BU47" s="18" t="n"/>
      <c r="BV47" s="18" t="n"/>
      <c r="BW47" s="18" t="n"/>
      <c r="BX47" s="256" t="n"/>
      <c r="BY47" s="256" t="n"/>
    </row>
    <row r="48" ht="18.75" customHeight="1">
      <c r="A48" s="6" t="n"/>
      <c r="AR48" s="69" t="n"/>
    </row>
    <row r="49" ht="18.75" customHeight="1">
      <c r="A49" s="586" t="inlineStr">
        <is>
          <t>CAIXAS OUI</t>
        </is>
      </c>
      <c r="B49" s="133" t="n"/>
      <c r="C49" s="133" t="n"/>
      <c r="D49" s="133" t="n"/>
      <c r="F49" s="650" t="n">
        <v>45950</v>
      </c>
      <c r="G49" s="650" t="n">
        <v>45957</v>
      </c>
      <c r="H49" s="650" t="n">
        <v>45933</v>
      </c>
      <c r="I49" s="650" t="n">
        <v>45971</v>
      </c>
      <c r="J49" s="650" t="n">
        <v>45978</v>
      </c>
      <c r="K49" s="650" t="n">
        <v>45985</v>
      </c>
      <c r="L49" s="650" t="n">
        <v>45992</v>
      </c>
      <c r="M49" s="650" t="n">
        <v>45999</v>
      </c>
      <c r="N49" s="650" t="n">
        <v>46006</v>
      </c>
      <c r="O49" s="650" t="n">
        <v>46013</v>
      </c>
      <c r="P49" s="650" t="n">
        <v>46020</v>
      </c>
      <c r="Q49" s="650" t="n">
        <v>46027</v>
      </c>
      <c r="R49" s="650" t="n">
        <v>46034</v>
      </c>
      <c r="S49" s="650" t="n">
        <v>46041</v>
      </c>
      <c r="T49" s="650" t="n">
        <v>46048</v>
      </c>
      <c r="U49" s="650" t="n">
        <v>46055</v>
      </c>
      <c r="V49" s="650" t="n">
        <v>46062</v>
      </c>
      <c r="W49" s="650" t="n">
        <v>46069</v>
      </c>
      <c r="X49" s="650" t="n">
        <v>46076</v>
      </c>
      <c r="Y49" s="650" t="n">
        <v>46083</v>
      </c>
      <c r="Z49" s="650" t="n">
        <v>46090</v>
      </c>
      <c r="AA49" s="650" t="n">
        <v>46097</v>
      </c>
      <c r="AB49" s="650" t="n">
        <v>46104</v>
      </c>
      <c r="AC49" s="650" t="n">
        <v>46111</v>
      </c>
      <c r="AD49" s="650" t="n">
        <v>46118</v>
      </c>
      <c r="AE49" s="650" t="n">
        <v>46125</v>
      </c>
      <c r="AF49" s="650" t="n">
        <v>46132</v>
      </c>
      <c r="AG49" s="650" t="n">
        <v>46139</v>
      </c>
      <c r="AH49" s="650" t="n">
        <v>46146</v>
      </c>
      <c r="AI49" s="650" t="n">
        <v>46154</v>
      </c>
      <c r="AJ49" s="650" t="n">
        <v>46160</v>
      </c>
      <c r="AK49" s="650" t="n">
        <v>46160</v>
      </c>
      <c r="AL49" s="650" t="n">
        <v>46160</v>
      </c>
      <c r="AM49" s="651" t="n">
        <v>46161.48004409722</v>
      </c>
      <c r="AN49" s="651" t="n">
        <v>46161.48072211805</v>
      </c>
      <c r="AO49" s="651" t="n">
        <v>46161.48288076562</v>
      </c>
      <c r="AP49" s="652" t="inlineStr">
        <is>
          <t>USOU</t>
        </is>
      </c>
      <c r="AR49" s="35" t="inlineStr">
        <is>
          <t>Pend.</t>
        </is>
      </c>
      <c r="AT49" s="12" t="inlineStr">
        <is>
          <t>Novo Pedido</t>
        </is>
      </c>
      <c r="AU49" s="708" t="n">
        <v>46161.48288010054</v>
      </c>
      <c r="AV49" s="654" t="n">
        <v>46156</v>
      </c>
      <c r="AW49" s="654" t="n">
        <v>46149</v>
      </c>
      <c r="AX49" s="654" t="n">
        <v>46114</v>
      </c>
      <c r="AY49" s="654" t="n">
        <v>46099</v>
      </c>
      <c r="AZ49" s="710" t="n">
        <v>46065</v>
      </c>
      <c r="BA49" s="654" t="n">
        <v>46092</v>
      </c>
      <c r="BB49" s="711" t="n">
        <v>46045</v>
      </c>
      <c r="BC49" s="654" t="n">
        <v>46077</v>
      </c>
      <c r="BD49" s="654" t="n">
        <v>46071</v>
      </c>
      <c r="BE49" s="654" t="n">
        <v>46071</v>
      </c>
      <c r="BF49" s="654" t="n">
        <v>46056</v>
      </c>
      <c r="BG49" s="654" t="n">
        <v>46048</v>
      </c>
      <c r="BH49" s="655" t="n">
        <v>46041</v>
      </c>
      <c r="BI49" s="654" t="n">
        <v>46029</v>
      </c>
      <c r="BJ49" s="654" t="n">
        <v>46372</v>
      </c>
      <c r="BK49" s="654" t="n">
        <v>46382</v>
      </c>
      <c r="BL49" s="654" t="n">
        <v>46007</v>
      </c>
      <c r="BM49" s="654" t="n">
        <v>46017</v>
      </c>
      <c r="BN49" s="654" t="n">
        <v>46007</v>
      </c>
      <c r="BO49" s="654" t="n">
        <v>46001</v>
      </c>
      <c r="BP49" s="654" t="n">
        <v>46001</v>
      </c>
      <c r="BQ49" s="654" t="n">
        <v>45994</v>
      </c>
      <c r="BR49" s="654" t="n">
        <v>45986</v>
      </c>
      <c r="BS49" s="654" t="n">
        <v>45980</v>
      </c>
      <c r="BT49" s="654" t="n">
        <v>45980</v>
      </c>
      <c r="BU49" s="654" t="n">
        <v>45973</v>
      </c>
      <c r="BV49" s="655" t="n">
        <v>45967</v>
      </c>
      <c r="BW49" s="654" t="n">
        <v>45957</v>
      </c>
      <c r="BX49" s="732" t="n"/>
      <c r="BY49" s="655" t="n">
        <v>45950</v>
      </c>
    </row>
    <row r="50" ht="18.75" customHeight="1">
      <c r="A50" s="43" t="inlineStr">
        <is>
          <t>KIT CAIXA P OUI</t>
        </is>
      </c>
      <c r="B50" s="36" t="n">
        <v>100</v>
      </c>
      <c r="C50" s="668" t="n">
        <v>539.7</v>
      </c>
      <c r="D50" s="329" t="n"/>
      <c r="F50" s="38">
        <f>0+12</f>
        <v/>
      </c>
      <c r="G50" s="38" t="n">
        <v>12</v>
      </c>
      <c r="H50" s="38" t="n">
        <v>12</v>
      </c>
      <c r="I50" s="38" t="n">
        <v>12</v>
      </c>
      <c r="J50" s="38" t="n">
        <v>12</v>
      </c>
      <c r="K50" s="38" t="n">
        <v>12</v>
      </c>
      <c r="L50" s="38" t="n">
        <v>12</v>
      </c>
      <c r="M50" s="38" t="n">
        <v>12</v>
      </c>
      <c r="N50" s="38" t="n">
        <v>12</v>
      </c>
      <c r="O50" s="38" t="n">
        <v>12</v>
      </c>
      <c r="P50" s="38" t="n">
        <v>12</v>
      </c>
      <c r="Q50" s="38" t="n">
        <v>12</v>
      </c>
      <c r="R50" s="38" t="n">
        <v>12</v>
      </c>
      <c r="S50" s="38" t="n">
        <v>12</v>
      </c>
      <c r="T50" s="38" t="n">
        <v>12</v>
      </c>
      <c r="U50" s="261" t="n">
        <v>5</v>
      </c>
      <c r="V50" s="38" t="n">
        <v>5</v>
      </c>
      <c r="W50" s="38" t="n">
        <v>5</v>
      </c>
      <c r="X50" s="38" t="n">
        <v>5</v>
      </c>
      <c r="Y50" s="38" t="n">
        <v>5</v>
      </c>
      <c r="Z50" s="38" t="n">
        <v>5</v>
      </c>
      <c r="AA50" s="38" t="n">
        <v>5</v>
      </c>
      <c r="AB50" s="38" t="n">
        <v>5</v>
      </c>
      <c r="AC50" s="38" t="n">
        <v>5</v>
      </c>
      <c r="AD50" s="38" t="n">
        <v>5</v>
      </c>
      <c r="AE50" s="38" t="n">
        <v>5</v>
      </c>
      <c r="AF50" s="38" t="n">
        <v>5</v>
      </c>
      <c r="AG50" s="38" t="n">
        <v>5</v>
      </c>
      <c r="AH50" s="38" t="n">
        <v>5</v>
      </c>
      <c r="AI50" s="38" t="n">
        <v>5</v>
      </c>
      <c r="AJ50" s="38" t="n">
        <v>5</v>
      </c>
      <c r="AK50" s="38" t="n">
        <v>5</v>
      </c>
      <c r="AL50" s="38" t="n">
        <v>5</v>
      </c>
      <c r="AM50" s="9" t="n">
        <v>5</v>
      </c>
      <c r="AN50" s="9" t="n">
        <v>5</v>
      </c>
      <c r="AO50" s="9" t="n">
        <v>5</v>
      </c>
      <c r="AP50" s="154">
        <f>AN50+IF(NOT(ISBLANK(OFFSET(AP50,0,6))),N(OFFSET(AP50,0,6)),N(OFFSET(AP50,0,7)))-AO50</f>
        <v/>
      </c>
      <c r="AR50" s="19" t="n"/>
      <c r="AT50" s="19" t="n"/>
      <c r="AU50" s="691" t="n">
        <v>0</v>
      </c>
      <c r="AV50" s="18" t="n">
        <v>0</v>
      </c>
      <c r="AW50" s="18" t="n">
        <v>0</v>
      </c>
      <c r="AX50" s="18" t="n"/>
      <c r="AY50" s="18" t="n"/>
      <c r="AZ50" s="18" t="n"/>
      <c r="BA50" s="18" t="n"/>
      <c r="BB50" s="18" t="n"/>
      <c r="BC50" s="18" t="n"/>
      <c r="BD50" s="18" t="n"/>
      <c r="BE50" s="18" t="n"/>
      <c r="BF50" s="18" t="n"/>
      <c r="BG50" s="18" t="n"/>
      <c r="BH50" s="18" t="n"/>
      <c r="BI50" s="18" t="n"/>
      <c r="BJ50" s="18" t="n"/>
      <c r="BK50" s="18" t="n"/>
      <c r="BL50" s="18" t="n"/>
      <c r="BM50" s="18" t="n"/>
      <c r="BN50" s="18" t="n"/>
      <c r="BO50" s="18" t="n"/>
      <c r="BP50" s="18" t="n"/>
      <c r="BQ50" s="18" t="n"/>
      <c r="BR50" s="18" t="n"/>
      <c r="BS50" s="18" t="n"/>
      <c r="BT50" s="18" t="n"/>
      <c r="BU50" s="18" t="n"/>
      <c r="BV50" s="18" t="n"/>
      <c r="BW50" s="18" t="n"/>
      <c r="BX50" s="256" t="n"/>
      <c r="BY50" s="154" t="inlineStr">
        <is>
          <t>12 DE ER PG</t>
        </is>
      </c>
    </row>
    <row r="51" ht="18.75" customHeight="1">
      <c r="A51" s="43" t="inlineStr">
        <is>
          <t>KIT CAIXA M OUI</t>
        </is>
      </c>
      <c r="B51" s="36" t="n">
        <v>100</v>
      </c>
      <c r="C51" s="668" t="n">
        <v>652.05</v>
      </c>
      <c r="D51" s="329" t="n"/>
      <c r="F51" s="38">
        <f>0+10</f>
        <v/>
      </c>
      <c r="G51" s="38" t="n">
        <v>10</v>
      </c>
      <c r="H51" s="38" t="n">
        <v>10</v>
      </c>
      <c r="I51" s="38" t="n">
        <v>10</v>
      </c>
      <c r="J51" s="38" t="n">
        <v>10</v>
      </c>
      <c r="K51" s="38" t="n">
        <v>10</v>
      </c>
      <c r="L51" s="38" t="n">
        <v>10</v>
      </c>
      <c r="M51" s="38" t="n">
        <v>10</v>
      </c>
      <c r="N51" s="38" t="n">
        <v>10</v>
      </c>
      <c r="O51" s="38" t="n">
        <v>10</v>
      </c>
      <c r="P51" s="38" t="n">
        <v>10</v>
      </c>
      <c r="Q51" s="38" t="n">
        <v>10</v>
      </c>
      <c r="R51" s="38" t="n">
        <v>10</v>
      </c>
      <c r="S51" s="38" t="n">
        <v>10</v>
      </c>
      <c r="T51" s="38" t="n">
        <v>10</v>
      </c>
      <c r="U51" s="261" t="n">
        <v>5</v>
      </c>
      <c r="V51" s="38" t="n">
        <v>5</v>
      </c>
      <c r="W51" s="38" t="n">
        <v>5</v>
      </c>
      <c r="X51" s="38" t="n">
        <v>5</v>
      </c>
      <c r="Y51" s="38" t="n">
        <v>4</v>
      </c>
      <c r="Z51" s="38" t="n">
        <v>4</v>
      </c>
      <c r="AA51" s="38" t="n">
        <v>4</v>
      </c>
      <c r="AB51" s="38" t="n">
        <v>3</v>
      </c>
      <c r="AC51" s="38" t="n">
        <v>3</v>
      </c>
      <c r="AD51" s="38" t="n">
        <v>3</v>
      </c>
      <c r="AE51" s="38" t="n">
        <v>3</v>
      </c>
      <c r="AF51" s="38" t="n">
        <v>3</v>
      </c>
      <c r="AG51" s="38" t="n">
        <v>3</v>
      </c>
      <c r="AH51" s="38" t="n">
        <v>3</v>
      </c>
      <c r="AI51" s="38" t="n">
        <v>2</v>
      </c>
      <c r="AJ51" s="38" t="n">
        <v>2</v>
      </c>
      <c r="AK51" s="38" t="n">
        <v>2</v>
      </c>
      <c r="AL51" s="38" t="n">
        <v>2</v>
      </c>
      <c r="AM51" s="9" t="n">
        <v>2</v>
      </c>
      <c r="AN51" s="9" t="n">
        <v>2</v>
      </c>
      <c r="AO51" s="9" t="n">
        <v>2</v>
      </c>
      <c r="AP51" s="154">
        <f>AN51+IF(NOT(ISBLANK(OFFSET(AP51,0,6))),N(OFFSET(AP51,0,6)),N(OFFSET(AP51,0,7)))-AO51</f>
        <v/>
      </c>
      <c r="AQ51" s="53" t="n"/>
      <c r="AR51" s="19" t="n"/>
      <c r="AT51" s="27" t="n"/>
      <c r="AU51" s="691" t="n">
        <v>0</v>
      </c>
      <c r="AV51" s="18" t="n">
        <v>0</v>
      </c>
      <c r="AW51" s="18" t="n">
        <v>0</v>
      </c>
      <c r="AX51" s="18" t="n"/>
      <c r="AY51" s="18" t="n"/>
      <c r="AZ51" s="18" t="n"/>
      <c r="BA51" s="18" t="n"/>
      <c r="BB51" s="18" t="n"/>
      <c r="BC51" s="18" t="n"/>
      <c r="BD51" s="18" t="n"/>
      <c r="BE51" s="18" t="n"/>
      <c r="BF51" s="18" t="n"/>
      <c r="BG51" s="18" t="n"/>
      <c r="BH51" s="18" t="n"/>
      <c r="BI51" s="18" t="n"/>
      <c r="BJ51" s="18" t="n"/>
      <c r="BK51" s="18" t="n"/>
      <c r="BL51" s="18" t="n"/>
      <c r="BM51" s="18" t="n"/>
      <c r="BN51" s="18" t="n"/>
      <c r="BO51" s="18" t="n"/>
      <c r="BP51" s="18" t="n"/>
      <c r="BQ51" s="18" t="n"/>
      <c r="BR51" s="18" t="n"/>
      <c r="BS51" s="18" t="n"/>
      <c r="BT51" s="18" t="n"/>
      <c r="BU51" s="18" t="n"/>
      <c r="BV51" s="18" t="n"/>
      <c r="BW51" s="18" t="n"/>
      <c r="BX51" s="256" t="n"/>
      <c r="BY51" s="154" t="inlineStr">
        <is>
          <t>10 DE ER PG</t>
        </is>
      </c>
    </row>
    <row r="52" ht="18.75" customHeight="1">
      <c r="A52" s="43" t="inlineStr">
        <is>
          <t>KIT CAIXA G OUI</t>
        </is>
      </c>
      <c r="B52" s="36" t="n">
        <v>50</v>
      </c>
      <c r="C52" s="668" t="n">
        <v>567.53</v>
      </c>
      <c r="D52" s="329" t="n"/>
      <c r="F52" s="38">
        <f>0+4</f>
        <v/>
      </c>
      <c r="G52" s="38" t="n">
        <v>4</v>
      </c>
      <c r="H52" s="38" t="n">
        <v>4</v>
      </c>
      <c r="I52" s="38" t="n">
        <v>4</v>
      </c>
      <c r="J52" s="38" t="n">
        <v>4</v>
      </c>
      <c r="K52" s="38" t="n">
        <v>4</v>
      </c>
      <c r="L52" s="38" t="n">
        <v>4</v>
      </c>
      <c r="M52" s="38" t="n">
        <v>4</v>
      </c>
      <c r="N52" s="38" t="n">
        <v>4</v>
      </c>
      <c r="O52" s="38" t="n">
        <v>4</v>
      </c>
      <c r="P52" s="38" t="n">
        <v>4</v>
      </c>
      <c r="Q52" s="38" t="n">
        <v>4</v>
      </c>
      <c r="R52" s="38" t="n">
        <v>4</v>
      </c>
      <c r="S52" s="38" t="n">
        <v>4</v>
      </c>
      <c r="T52" s="38" t="n">
        <v>4</v>
      </c>
      <c r="U52" s="38" t="n">
        <v>4</v>
      </c>
      <c r="V52" s="38" t="n">
        <v>4</v>
      </c>
      <c r="W52" s="38" t="n">
        <v>4</v>
      </c>
      <c r="X52" s="38" t="n">
        <v>4</v>
      </c>
      <c r="Y52" s="38" t="n">
        <v>3</v>
      </c>
      <c r="Z52" s="38" t="n">
        <v>2</v>
      </c>
      <c r="AA52" s="38" t="n">
        <v>2</v>
      </c>
      <c r="AB52" s="38" t="n">
        <v>2</v>
      </c>
      <c r="AC52" s="38" t="n">
        <v>2</v>
      </c>
      <c r="AD52" s="38" t="n">
        <v>3</v>
      </c>
      <c r="AE52" s="38" t="n">
        <v>3</v>
      </c>
      <c r="AF52" s="38" t="n">
        <v>3</v>
      </c>
      <c r="AG52" s="38" t="n">
        <v>3</v>
      </c>
      <c r="AH52" s="38" t="n">
        <v>3</v>
      </c>
      <c r="AI52" s="38" t="n">
        <v>3</v>
      </c>
      <c r="AJ52" s="38" t="n">
        <v>3</v>
      </c>
      <c r="AK52" s="38" t="n">
        <v>3</v>
      </c>
      <c r="AL52" s="38" t="n">
        <v>3</v>
      </c>
      <c r="AM52" s="9" t="n">
        <v>3</v>
      </c>
      <c r="AN52" s="9" t="n">
        <v>3</v>
      </c>
      <c r="AO52" s="9" t="n">
        <v>3</v>
      </c>
      <c r="AP52" s="154">
        <f>AN52+IF(NOT(ISBLANK(OFFSET(AP52,0,6))),N(OFFSET(AP52,0,6)),N(OFFSET(AP52,0,7)))-AO52</f>
        <v/>
      </c>
      <c r="AR52" s="19" t="n"/>
      <c r="AT52" s="19" t="n"/>
      <c r="AU52" s="691" t="n">
        <v>0</v>
      </c>
      <c r="AV52" s="18" t="n">
        <v>0</v>
      </c>
      <c r="AW52" s="18" t="n">
        <v>0</v>
      </c>
      <c r="AX52" s="18" t="n"/>
      <c r="AY52" s="18" t="n"/>
      <c r="AZ52" s="18" t="n"/>
      <c r="BA52" s="18" t="n"/>
      <c r="BB52" s="18" t="n"/>
      <c r="BC52" s="18" t="n"/>
      <c r="BD52" s="18" t="n"/>
      <c r="BE52" s="18" t="n"/>
      <c r="BF52" s="18" t="n"/>
      <c r="BG52" s="18" t="n"/>
      <c r="BH52" s="18" t="n"/>
      <c r="BI52" s="18" t="n"/>
      <c r="BJ52" s="18" t="n"/>
      <c r="BK52" s="18" t="n"/>
      <c r="BL52" s="18" t="n"/>
      <c r="BM52" s="18" t="n"/>
      <c r="BN52" s="18" t="n"/>
      <c r="BO52" s="18" t="n"/>
      <c r="BP52" s="18" t="n"/>
      <c r="BQ52" s="18" t="n"/>
      <c r="BR52" s="18" t="n"/>
      <c r="BS52" s="18" t="n"/>
      <c r="BT52" s="18" t="n"/>
      <c r="BU52" s="18" t="n"/>
      <c r="BV52" s="18" t="n"/>
      <c r="BW52" s="18" t="n"/>
      <c r="BX52" s="256" t="n"/>
      <c r="BY52" s="154" t="inlineStr">
        <is>
          <t>04 DE ER PBE</t>
        </is>
      </c>
    </row>
    <row r="53" ht="18.75" customHeight="1" thickBot="1">
      <c r="B53" s="53" t="n"/>
      <c r="C53" s="724" t="n"/>
      <c r="D53" s="72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  <c r="AA53" s="4" t="n"/>
      <c r="AB53" s="4" t="n"/>
      <c r="AC53" s="4" t="n"/>
      <c r="AD53" s="4" t="n"/>
      <c r="AE53" s="4" t="n"/>
      <c r="AF53" s="4" t="n"/>
      <c r="AG53" s="4" t="n"/>
      <c r="AH53" s="4" t="n"/>
      <c r="AI53" s="4" t="n"/>
      <c r="AJ53" s="4" t="n"/>
      <c r="AK53" s="4" t="n"/>
      <c r="AL53" s="4" t="n"/>
      <c r="AM53" s="2" t="n"/>
      <c r="AN53" s="2" t="n"/>
      <c r="AO53" s="2" t="n"/>
      <c r="AP53" s="4" t="n"/>
      <c r="AR53" s="26" t="n"/>
      <c r="AT53" s="108" t="n"/>
      <c r="AU53" s="725" t="n"/>
      <c r="AV53" s="17" t="n"/>
      <c r="AW53" s="17" t="n"/>
      <c r="AX53" s="17" t="n"/>
      <c r="AY53" s="17" t="n"/>
      <c r="AZ53" s="17" t="n"/>
      <c r="BA53" s="17" t="n"/>
      <c r="BB53" s="17" t="n"/>
      <c r="BC53" s="17" t="n"/>
      <c r="BD53" s="17" t="n"/>
      <c r="BE53" s="17" t="n"/>
      <c r="BF53" s="17" t="n"/>
      <c r="BG53" s="17" t="n"/>
      <c r="BH53" s="17" t="n"/>
      <c r="BI53" s="17" t="n"/>
      <c r="BJ53" s="17" t="n"/>
      <c r="BK53" s="17" t="n"/>
      <c r="BL53" s="17" t="n"/>
      <c r="BM53" s="17" t="n"/>
      <c r="BN53" s="17" t="n"/>
      <c r="BO53" s="17" t="n"/>
      <c r="BP53" s="17" t="n"/>
      <c r="BQ53" s="17" t="n"/>
      <c r="BR53" s="17" t="n"/>
      <c r="BS53" s="17" t="n"/>
      <c r="BT53" s="17" t="n"/>
      <c r="BU53" s="17" t="n"/>
      <c r="BV53" s="17" t="n"/>
      <c r="BW53" s="17" t="n"/>
      <c r="BX53" s="271" t="n"/>
      <c r="BY53" s="271" t="n"/>
    </row>
    <row r="54" ht="18.75" customHeight="1">
      <c r="A54" s="585" t="inlineStr">
        <is>
          <t>SACOLAS E CAIXAS QDB</t>
        </is>
      </c>
      <c r="B54" s="135" t="n"/>
      <c r="C54" s="135" t="n"/>
      <c r="D54" s="135" t="n"/>
      <c r="F54" s="650" t="n">
        <v>45950</v>
      </c>
      <c r="G54" s="650" t="n">
        <v>45957</v>
      </c>
      <c r="H54" s="650" t="n">
        <v>45933</v>
      </c>
      <c r="I54" s="650" t="n">
        <v>45971</v>
      </c>
      <c r="J54" s="650" t="n">
        <v>45978</v>
      </c>
      <c r="K54" s="650" t="n">
        <v>45985</v>
      </c>
      <c r="L54" s="650" t="n">
        <v>45992</v>
      </c>
      <c r="M54" s="650" t="n">
        <v>45999</v>
      </c>
      <c r="N54" s="650" t="n">
        <v>46006</v>
      </c>
      <c r="O54" s="650" t="n">
        <v>46013</v>
      </c>
      <c r="P54" s="650" t="n">
        <v>46020</v>
      </c>
      <c r="Q54" s="650" t="n">
        <v>46027</v>
      </c>
      <c r="R54" s="650" t="n">
        <v>46034</v>
      </c>
      <c r="S54" s="650" t="n">
        <v>46041</v>
      </c>
      <c r="T54" s="650" t="n">
        <v>46048</v>
      </c>
      <c r="U54" s="650" t="n">
        <v>46055</v>
      </c>
      <c r="V54" s="650" t="n">
        <v>46062</v>
      </c>
      <c r="W54" s="650" t="n">
        <v>46069</v>
      </c>
      <c r="X54" s="650" t="n">
        <v>46076</v>
      </c>
      <c r="Y54" s="650" t="n">
        <v>46083</v>
      </c>
      <c r="Z54" s="650" t="n">
        <v>46090</v>
      </c>
      <c r="AA54" s="650" t="n">
        <v>46097</v>
      </c>
      <c r="AB54" s="650" t="n">
        <v>46104</v>
      </c>
      <c r="AC54" s="650" t="n">
        <v>46111</v>
      </c>
      <c r="AD54" s="650" t="n">
        <v>46118</v>
      </c>
      <c r="AE54" s="650" t="n">
        <v>46125</v>
      </c>
      <c r="AF54" s="650" t="n">
        <v>46132</v>
      </c>
      <c r="AG54" s="650" t="n">
        <v>46139</v>
      </c>
      <c r="AH54" s="650" t="n">
        <v>46146</v>
      </c>
      <c r="AI54" s="650" t="n">
        <v>46154</v>
      </c>
      <c r="AJ54" s="650" t="n">
        <v>46160</v>
      </c>
      <c r="AK54" s="650" t="n">
        <v>46160</v>
      </c>
      <c r="AL54" s="650" t="n">
        <v>46160</v>
      </c>
      <c r="AM54" s="651" t="n">
        <v>46161.48004409722</v>
      </c>
      <c r="AN54" s="651" t="n">
        <v>46161.48072211805</v>
      </c>
      <c r="AO54" s="651" t="n">
        <v>46161.48288076581</v>
      </c>
      <c r="AP54" s="652" t="inlineStr">
        <is>
          <t>USOU</t>
        </is>
      </c>
      <c r="AR54" s="35" t="inlineStr">
        <is>
          <t>Pend.</t>
        </is>
      </c>
      <c r="AT54" s="12" t="inlineStr">
        <is>
          <t>Novo Pedido</t>
        </is>
      </c>
      <c r="AU54" s="708" t="n">
        <v>46161.48288010079</v>
      </c>
      <c r="AV54" s="654" t="n">
        <v>46156</v>
      </c>
      <c r="AW54" s="654" t="n">
        <v>46149</v>
      </c>
      <c r="AX54" s="654" t="n">
        <v>46114</v>
      </c>
      <c r="AY54" s="654" t="n">
        <v>46099</v>
      </c>
      <c r="AZ54" s="710" t="n">
        <v>46065</v>
      </c>
      <c r="BA54" s="654" t="n">
        <v>46092</v>
      </c>
      <c r="BB54" s="711" t="n">
        <v>46045</v>
      </c>
      <c r="BC54" s="654" t="n">
        <v>46077</v>
      </c>
      <c r="BD54" s="654" t="n">
        <v>46071</v>
      </c>
      <c r="BE54" s="654" t="n">
        <v>46071</v>
      </c>
      <c r="BF54" s="654" t="n">
        <v>46056</v>
      </c>
      <c r="BG54" s="654" t="n">
        <v>46048</v>
      </c>
      <c r="BH54" s="655" t="n">
        <v>46041</v>
      </c>
      <c r="BI54" s="654" t="n">
        <v>46029</v>
      </c>
      <c r="BJ54" s="654" t="n">
        <v>46372</v>
      </c>
      <c r="BK54" s="654" t="n">
        <v>46382</v>
      </c>
      <c r="BL54" s="654" t="n">
        <v>46007</v>
      </c>
      <c r="BM54" s="654" t="n">
        <v>46017</v>
      </c>
      <c r="BN54" s="654" t="n">
        <v>46007</v>
      </c>
      <c r="BO54" s="654" t="n">
        <v>46001</v>
      </c>
      <c r="BP54" s="654" t="n">
        <v>46001</v>
      </c>
      <c r="BQ54" s="654" t="n">
        <v>45994</v>
      </c>
      <c r="BR54" s="654" t="n">
        <v>45986</v>
      </c>
      <c r="BS54" s="654" t="n">
        <v>45980</v>
      </c>
      <c r="BT54" s="654" t="n">
        <v>45980</v>
      </c>
      <c r="BU54" s="654" t="n">
        <v>45973</v>
      </c>
      <c r="BV54" s="655" t="n">
        <v>45967</v>
      </c>
      <c r="BW54" s="654" t="n">
        <v>45957</v>
      </c>
      <c r="BX54" s="732" t="n"/>
      <c r="BY54" s="655" t="n">
        <v>45950</v>
      </c>
      <c r="BZ54" s="764" t="n"/>
      <c r="CB54" s="718" t="n"/>
    </row>
    <row r="55" ht="18.75" customHeight="1">
      <c r="A55" s="43" t="inlineStr">
        <is>
          <t>SACOLA P QDB</t>
        </is>
      </c>
      <c r="B55" s="149" t="n">
        <v>300</v>
      </c>
      <c r="C55" s="726" t="n">
        <v>178.29</v>
      </c>
      <c r="D55" s="329" t="n"/>
      <c r="F55" s="9" t="n">
        <v>0</v>
      </c>
      <c r="G55" s="9" t="n">
        <v>0</v>
      </c>
      <c r="H55" s="9" t="n">
        <v>0</v>
      </c>
      <c r="I55" s="9" t="n">
        <v>0</v>
      </c>
      <c r="J55" s="9" t="n">
        <v>0</v>
      </c>
      <c r="K55" s="9" t="n">
        <v>0</v>
      </c>
      <c r="L55" s="9" t="n">
        <v>0</v>
      </c>
      <c r="M55" s="9" t="n">
        <v>0</v>
      </c>
      <c r="N55" s="9" t="n">
        <v>0</v>
      </c>
      <c r="O55" s="9" t="n">
        <v>0</v>
      </c>
      <c r="P55" s="9" t="n">
        <v>0</v>
      </c>
      <c r="Q55" s="9" t="n">
        <v>0</v>
      </c>
      <c r="R55" s="9" t="n">
        <v>0</v>
      </c>
      <c r="S55" s="9" t="n">
        <v>0</v>
      </c>
      <c r="T55" s="9" t="n">
        <v>0</v>
      </c>
      <c r="U55" s="9" t="n">
        <v>0</v>
      </c>
      <c r="V55" s="9" t="n">
        <v>0</v>
      </c>
      <c r="W55" s="9" t="n">
        <v>0</v>
      </c>
      <c r="X55" s="9" t="n">
        <v>0</v>
      </c>
      <c r="Y55" s="9" t="n">
        <v>0</v>
      </c>
      <c r="Z55" s="9" t="n">
        <v>0</v>
      </c>
      <c r="AA55" s="9" t="n">
        <v>0</v>
      </c>
      <c r="AB55" s="9" t="n">
        <v>0</v>
      </c>
      <c r="AC55" s="9" t="n">
        <v>0</v>
      </c>
      <c r="AD55" s="9" t="n">
        <v>0</v>
      </c>
      <c r="AE55" s="9" t="n">
        <v>0</v>
      </c>
      <c r="AF55" s="9" t="n">
        <v>0</v>
      </c>
      <c r="AG55" s="9" t="n">
        <v>0</v>
      </c>
      <c r="AH55" s="9" t="n">
        <v>0</v>
      </c>
      <c r="AI55" s="9" t="n">
        <v>0</v>
      </c>
      <c r="AJ55" s="9" t="n"/>
      <c r="AK55" s="9" t="n"/>
      <c r="AL55" s="9" t="n"/>
      <c r="AM55" s="9" t="n"/>
      <c r="AN55" s="9" t="n"/>
      <c r="AO55" s="9" t="n"/>
      <c r="AP55" s="154">
        <f>AN55+IF(NOT(ISBLANK(OFFSET(AP55,0,6))),N(OFFSET(AP55,0,6)),N(OFFSET(AP55,0,7)))-AO55</f>
        <v/>
      </c>
      <c r="AR55" s="317" t="n"/>
      <c r="AT55" s="65" t="n"/>
      <c r="AU55" s="691" t="n">
        <v>0</v>
      </c>
      <c r="AV55" s="18" t="n">
        <v>0</v>
      </c>
      <c r="AW55" s="18" t="n">
        <v>0</v>
      </c>
      <c r="AX55" s="18" t="n"/>
      <c r="AY55" s="18" t="n"/>
      <c r="AZ55" s="18" t="n"/>
      <c r="BA55" s="18" t="n"/>
      <c r="BB55" s="18" t="n"/>
      <c r="BC55" s="18" t="n"/>
      <c r="BD55" s="18" t="n"/>
      <c r="BE55" s="18" t="n"/>
      <c r="BF55" s="18" t="n"/>
      <c r="BG55" s="18" t="n"/>
      <c r="BH55" s="18" t="n"/>
      <c r="BI55" s="18" t="n"/>
      <c r="BJ55" s="18" t="n"/>
      <c r="BK55" s="18" t="n"/>
      <c r="BL55" s="18" t="n"/>
      <c r="BM55" s="18" t="n"/>
      <c r="BN55" s="18" t="n"/>
      <c r="BO55" s="18" t="n"/>
      <c r="BP55" s="18" t="n"/>
      <c r="BQ55" s="18" t="n"/>
      <c r="BR55" s="18" t="n"/>
      <c r="BS55" s="18" t="n"/>
      <c r="BT55" s="18" t="n"/>
      <c r="BU55" s="18" t="n"/>
      <c r="BV55" s="18" t="n"/>
      <c r="BW55" s="18" t="n"/>
      <c r="BX55" s="256" t="n"/>
      <c r="BY55" s="762" t="n"/>
      <c r="BZ55" s="765" t="n"/>
      <c r="CB55" s="720" t="n"/>
    </row>
    <row r="56" ht="18.75" customHeight="1">
      <c r="A56" s="43" t="inlineStr">
        <is>
          <t>SACOLA M  QDB</t>
        </is>
      </c>
      <c r="B56" s="149" t="n">
        <v>200</v>
      </c>
      <c r="C56" s="726" t="n">
        <v>183.98</v>
      </c>
      <c r="D56" s="329" t="n"/>
      <c r="F56" s="9" t="n">
        <v>0</v>
      </c>
      <c r="G56" s="9" t="n">
        <v>0</v>
      </c>
      <c r="H56" s="9" t="n">
        <v>0</v>
      </c>
      <c r="I56" s="9" t="n">
        <v>0</v>
      </c>
      <c r="J56" s="9" t="n">
        <v>0</v>
      </c>
      <c r="K56" s="9" t="n">
        <v>0</v>
      </c>
      <c r="L56" s="9" t="n">
        <v>0</v>
      </c>
      <c r="M56" s="9" t="n">
        <v>0</v>
      </c>
      <c r="N56" s="9" t="n">
        <v>0</v>
      </c>
      <c r="O56" s="9" t="n">
        <v>0</v>
      </c>
      <c r="P56" s="9" t="n">
        <v>0</v>
      </c>
      <c r="Q56" s="9" t="n">
        <v>0</v>
      </c>
      <c r="R56" s="9" t="n">
        <v>200</v>
      </c>
      <c r="S56" s="9">
        <f>200-200</f>
        <v/>
      </c>
      <c r="T56" s="9" t="n">
        <v>0</v>
      </c>
      <c r="U56" s="9" t="n">
        <v>0</v>
      </c>
      <c r="V56" s="9" t="n">
        <v>0</v>
      </c>
      <c r="W56" s="9" t="n">
        <v>0</v>
      </c>
      <c r="X56" s="9" t="n">
        <v>0</v>
      </c>
      <c r="Y56" s="9" t="n">
        <v>0</v>
      </c>
      <c r="Z56" s="9" t="n">
        <v>0</v>
      </c>
      <c r="AA56" s="9" t="n">
        <v>0</v>
      </c>
      <c r="AB56" s="9" t="n">
        <v>0</v>
      </c>
      <c r="AC56" s="9" t="n">
        <v>0</v>
      </c>
      <c r="AD56" s="9" t="n">
        <v>0</v>
      </c>
      <c r="AE56" s="9" t="n">
        <v>0</v>
      </c>
      <c r="AF56" s="9" t="n">
        <v>0</v>
      </c>
      <c r="AG56" s="9" t="n">
        <v>0</v>
      </c>
      <c r="AH56" s="9" t="n">
        <v>0</v>
      </c>
      <c r="AI56" s="9" t="n">
        <v>0</v>
      </c>
      <c r="AJ56" s="9" t="n"/>
      <c r="AK56" s="9" t="n"/>
      <c r="AL56" s="9" t="n"/>
      <c r="AM56" s="9" t="n"/>
      <c r="AN56" s="9" t="n"/>
      <c r="AO56" s="9" t="n"/>
      <c r="AP56" s="154">
        <f>AN56+IF(NOT(ISBLANK(OFFSET(AP56,0,6))),N(OFFSET(AP56,0,6)),N(OFFSET(AP56,0,7)))-AO56</f>
        <v/>
      </c>
      <c r="AR56" s="317" t="n"/>
      <c r="AT56" s="65" t="n"/>
      <c r="AU56" s="691" t="n">
        <v>0</v>
      </c>
      <c r="AV56" s="18" t="n">
        <v>0</v>
      </c>
      <c r="AW56" s="18" t="n">
        <v>0</v>
      </c>
      <c r="AX56" s="18" t="n"/>
      <c r="AY56" s="18" t="n"/>
      <c r="AZ56" s="18" t="n"/>
      <c r="BA56" s="18" t="n"/>
      <c r="BB56" s="18" t="n"/>
      <c r="BC56" s="18" t="n"/>
      <c r="BD56" s="18" t="n"/>
      <c r="BE56" s="18" t="n"/>
      <c r="BF56" s="18" t="n"/>
      <c r="BG56" s="18" t="n"/>
      <c r="BH56" s="154" t="inlineStr">
        <is>
          <t>200 P/ ER PG</t>
        </is>
      </c>
      <c r="BI56" s="18" t="n"/>
      <c r="BJ56" s="18" t="n"/>
      <c r="BK56" s="18" t="n"/>
      <c r="BL56" s="18" t="n"/>
      <c r="BM56" s="18" t="n"/>
      <c r="BN56" s="18" t="n"/>
      <c r="BO56" s="18" t="n"/>
      <c r="BP56" s="18" t="n"/>
      <c r="BQ56" s="18" t="n"/>
      <c r="BR56" s="18" t="n"/>
      <c r="BS56" s="18" t="n"/>
      <c r="BT56" s="18" t="n"/>
      <c r="BU56" s="18" t="n"/>
      <c r="BV56" s="18" t="n"/>
      <c r="BW56" s="18" t="n"/>
      <c r="BX56" s="256" t="n"/>
      <c r="BY56" s="762" t="n"/>
      <c r="BZ56" s="765" t="n"/>
      <c r="CB56" s="720" t="n"/>
    </row>
    <row r="57" ht="18.75" customHeight="1">
      <c r="A57" s="43" t="inlineStr">
        <is>
          <t>SACOLA G  QDB</t>
        </is>
      </c>
      <c r="B57" s="149" t="n">
        <v>200</v>
      </c>
      <c r="C57" s="726" t="n">
        <v>241.86</v>
      </c>
      <c r="D57" s="329" t="n"/>
      <c r="F57" s="9" t="n">
        <v>0</v>
      </c>
      <c r="G57" s="9" t="n">
        <v>0</v>
      </c>
      <c r="H57" s="9" t="n">
        <v>0</v>
      </c>
      <c r="I57" s="9" t="n">
        <v>0</v>
      </c>
      <c r="J57" s="9" t="n">
        <v>0</v>
      </c>
      <c r="K57" s="9" t="n">
        <v>0</v>
      </c>
      <c r="L57" s="9" t="n">
        <v>0</v>
      </c>
      <c r="M57" s="9" t="n">
        <v>200</v>
      </c>
      <c r="N57" s="9" t="n">
        <v>0</v>
      </c>
      <c r="O57" s="9" t="n">
        <v>0</v>
      </c>
      <c r="P57" s="9" t="n">
        <v>0</v>
      </c>
      <c r="Q57" s="9" t="n">
        <v>0</v>
      </c>
      <c r="R57" s="9" t="n">
        <v>0</v>
      </c>
      <c r="S57" s="9" t="n">
        <v>0</v>
      </c>
      <c r="T57" s="9" t="n">
        <v>0</v>
      </c>
      <c r="U57" s="9" t="n">
        <v>0</v>
      </c>
      <c r="V57" s="9" t="n">
        <v>0</v>
      </c>
      <c r="W57" s="9" t="n">
        <v>0</v>
      </c>
      <c r="X57" s="9" t="n">
        <v>0</v>
      </c>
      <c r="Y57" s="9" t="n">
        <v>0</v>
      </c>
      <c r="Z57" s="9" t="n">
        <v>0</v>
      </c>
      <c r="AA57" s="9" t="n">
        <v>0</v>
      </c>
      <c r="AB57" s="9" t="n">
        <v>0</v>
      </c>
      <c r="AC57" s="9" t="n">
        <v>0</v>
      </c>
      <c r="AD57" s="9" t="n">
        <v>0</v>
      </c>
      <c r="AE57" s="9" t="n">
        <v>0</v>
      </c>
      <c r="AF57" s="9" t="n">
        <v>0</v>
      </c>
      <c r="AG57" s="9" t="n">
        <v>0</v>
      </c>
      <c r="AH57" s="9" t="n">
        <v>0</v>
      </c>
      <c r="AI57" s="9" t="n">
        <v>0</v>
      </c>
      <c r="AJ57" s="9" t="n"/>
      <c r="AK57" s="9" t="n"/>
      <c r="AL57" s="9" t="n"/>
      <c r="AM57" s="9" t="n"/>
      <c r="AN57" s="9" t="n"/>
      <c r="AO57" s="9" t="n"/>
      <c r="AP57" s="154">
        <f>AN57+IF(NOT(ISBLANK(OFFSET(AP57,0,6))),N(OFFSET(AP57,0,6)),N(OFFSET(AP57,0,7)))-AO57</f>
        <v/>
      </c>
      <c r="AR57" s="122" t="n"/>
      <c r="AT57" s="27" t="n"/>
      <c r="AU57" s="691" t="n">
        <v>0</v>
      </c>
      <c r="AV57" s="18" t="n">
        <v>0</v>
      </c>
      <c r="AW57" s="18" t="n">
        <v>0</v>
      </c>
      <c r="AX57" s="18" t="n"/>
      <c r="AY57" s="18" t="n"/>
      <c r="AZ57" s="18" t="n"/>
      <c r="BA57" s="18" t="n"/>
      <c r="BB57" s="18" t="n"/>
      <c r="BC57" s="18" t="n"/>
      <c r="BD57" s="18" t="n"/>
      <c r="BE57" s="18" t="n"/>
      <c r="BF57" s="18" t="n"/>
      <c r="BG57" s="18" t="n"/>
      <c r="BH57" s="18" t="n"/>
      <c r="BI57" s="18" t="n"/>
      <c r="BJ57" s="18" t="n"/>
      <c r="BK57" s="18" t="n"/>
      <c r="BL57" s="18" t="n"/>
      <c r="BM57" s="18" t="n"/>
      <c r="BN57" s="18" t="n"/>
      <c r="BO57" s="18" t="n"/>
      <c r="BP57" s="18" t="n"/>
      <c r="BQ57" s="18" t="n"/>
      <c r="BR57" s="18" t="n"/>
      <c r="BS57" s="18" t="n"/>
      <c r="BT57" s="18" t="n"/>
      <c r="BU57" s="18" t="n"/>
      <c r="BV57" s="18" t="n"/>
      <c r="BW57" s="18" t="n"/>
      <c r="BX57" s="256" t="n"/>
      <c r="BY57" s="762" t="n"/>
      <c r="BZ57" s="765" t="n"/>
      <c r="CB57" s="720" t="n"/>
    </row>
    <row r="58" ht="18.75" customHeight="1">
      <c r="A58" s="43" t="inlineStr">
        <is>
          <t>PAPEL DE SEDA  QDB</t>
        </is>
      </c>
      <c r="B58" s="149" t="n">
        <v>100</v>
      </c>
      <c r="C58" s="726" t="n">
        <v>22.98</v>
      </c>
      <c r="D58" s="329" t="n"/>
      <c r="F58" s="9" t="n">
        <v>0</v>
      </c>
      <c r="G58" s="9" t="n">
        <v>0</v>
      </c>
      <c r="H58" s="9" t="n">
        <v>0</v>
      </c>
      <c r="I58" s="9" t="n">
        <v>0</v>
      </c>
      <c r="J58" s="9" t="n">
        <v>0</v>
      </c>
      <c r="K58" s="9" t="n">
        <v>0</v>
      </c>
      <c r="L58" s="9" t="n">
        <v>0</v>
      </c>
      <c r="M58" s="9" t="n">
        <v>2</v>
      </c>
      <c r="N58" s="9" t="n">
        <v>0</v>
      </c>
      <c r="O58" s="9" t="n">
        <v>0</v>
      </c>
      <c r="P58" s="9" t="n">
        <v>0</v>
      </c>
      <c r="Q58" s="190" t="n">
        <v>2</v>
      </c>
      <c r="R58" s="9" t="n">
        <v>2</v>
      </c>
      <c r="S58" s="9" t="n">
        <v>2</v>
      </c>
      <c r="T58" s="9" t="n">
        <v>0</v>
      </c>
      <c r="U58" s="9" t="n">
        <v>0</v>
      </c>
      <c r="V58" s="9" t="n">
        <v>0</v>
      </c>
      <c r="W58" s="9" t="n">
        <v>0</v>
      </c>
      <c r="X58" s="9" t="n">
        <v>0</v>
      </c>
      <c r="Y58" s="9" t="n">
        <v>0</v>
      </c>
      <c r="Z58" s="9" t="n">
        <v>0</v>
      </c>
      <c r="AA58" s="9" t="n">
        <v>0</v>
      </c>
      <c r="AB58" s="9" t="n">
        <v>0</v>
      </c>
      <c r="AC58" s="9" t="n">
        <v>0</v>
      </c>
      <c r="AD58" s="9" t="n">
        <v>0</v>
      </c>
      <c r="AE58" s="9" t="n">
        <v>0</v>
      </c>
      <c r="AF58" s="9" t="n">
        <v>0</v>
      </c>
      <c r="AG58" s="9" t="n">
        <v>0</v>
      </c>
      <c r="AH58" s="9" t="n">
        <v>0</v>
      </c>
      <c r="AI58" s="9" t="n">
        <v>0</v>
      </c>
      <c r="AJ58" s="9" t="n"/>
      <c r="AK58" s="9" t="n"/>
      <c r="AL58" s="9" t="n"/>
      <c r="AM58" s="9" t="n"/>
      <c r="AN58" s="9" t="n"/>
      <c r="AO58" s="9" t="n"/>
      <c r="AP58" s="154">
        <f>AN58+IF(NOT(ISBLANK(OFFSET(AP58,0,6))),N(OFFSET(AP58,0,6)),N(OFFSET(AP58,0,7)))-AO58</f>
        <v/>
      </c>
      <c r="AR58" s="122" t="n"/>
      <c r="AT58" s="19" t="n"/>
      <c r="AU58" s="691" t="n">
        <v>0</v>
      </c>
      <c r="AV58" s="18" t="n">
        <v>0</v>
      </c>
      <c r="AW58" s="18" t="n">
        <v>0</v>
      </c>
      <c r="AX58" s="18" t="n"/>
      <c r="AY58" s="18" t="n"/>
      <c r="AZ58" s="18" t="n"/>
      <c r="BA58" s="18" t="n"/>
      <c r="BB58" s="18" t="n"/>
      <c r="BC58" s="18" t="n"/>
      <c r="BD58" s="18" t="n"/>
      <c r="BE58" s="18" t="n"/>
      <c r="BF58" s="18" t="n"/>
      <c r="BG58" s="18" t="n"/>
      <c r="BH58" s="18" t="n"/>
      <c r="BI58" s="18" t="n"/>
      <c r="BJ58" s="18" t="n"/>
      <c r="BK58" s="18" t="n"/>
      <c r="BL58" s="18" t="n"/>
      <c r="BM58" s="18" t="n"/>
      <c r="BN58" s="18" t="n"/>
      <c r="BO58" s="18" t="n"/>
      <c r="BP58" s="18" t="n"/>
      <c r="BQ58" s="18" t="n"/>
      <c r="BR58" s="18" t="n"/>
      <c r="BS58" s="18" t="n"/>
      <c r="BT58" s="18" t="n"/>
      <c r="BU58" s="18" t="n"/>
      <c r="BV58" s="18" t="n"/>
      <c r="BW58" s="18" t="n"/>
      <c r="BX58" s="256" t="n"/>
      <c r="BY58" s="762" t="n"/>
      <c r="BZ58" s="765" t="n"/>
      <c r="CB58" s="720" t="n"/>
    </row>
    <row r="59" ht="18.75" customHeight="1">
      <c r="A59" s="43" t="inlineStr">
        <is>
          <t>ETIQUETA QDB</t>
        </is>
      </c>
      <c r="B59" s="149" t="n">
        <v>1000</v>
      </c>
      <c r="C59" s="726" t="n">
        <v>7.75</v>
      </c>
      <c r="D59" s="329" t="n"/>
      <c r="F59" s="9" t="n">
        <v>0</v>
      </c>
      <c r="G59" s="9" t="n">
        <v>0</v>
      </c>
      <c r="H59" s="9" t="n">
        <v>0</v>
      </c>
      <c r="I59" s="9" t="n">
        <v>0</v>
      </c>
      <c r="J59" s="9" t="n">
        <v>0</v>
      </c>
      <c r="K59" s="9" t="n">
        <v>0</v>
      </c>
      <c r="L59" s="9" t="n">
        <v>0</v>
      </c>
      <c r="M59" s="9" t="n">
        <v>1</v>
      </c>
      <c r="N59" s="9" t="n">
        <v>0</v>
      </c>
      <c r="O59" s="9" t="n">
        <v>0</v>
      </c>
      <c r="P59" s="9" t="n">
        <v>0</v>
      </c>
      <c r="Q59" s="9" t="n">
        <v>0</v>
      </c>
      <c r="R59" s="9" t="n">
        <v>0</v>
      </c>
      <c r="S59" s="9" t="n">
        <v>0</v>
      </c>
      <c r="T59" s="9" t="n">
        <v>0</v>
      </c>
      <c r="U59" s="9" t="n">
        <v>0</v>
      </c>
      <c r="V59" s="9" t="n">
        <v>0</v>
      </c>
      <c r="W59" s="9" t="n">
        <v>0</v>
      </c>
      <c r="X59" s="9" t="n">
        <v>0</v>
      </c>
      <c r="Y59" s="9" t="n">
        <v>0</v>
      </c>
      <c r="Z59" s="9" t="n">
        <v>0</v>
      </c>
      <c r="AA59" s="9" t="n">
        <v>0</v>
      </c>
      <c r="AB59" s="9" t="n">
        <v>0</v>
      </c>
      <c r="AC59" s="9" t="n">
        <v>0</v>
      </c>
      <c r="AD59" s="9" t="n">
        <v>0</v>
      </c>
      <c r="AE59" s="9" t="n">
        <v>0</v>
      </c>
      <c r="AF59" s="9" t="n">
        <v>0</v>
      </c>
      <c r="AG59" s="9" t="n">
        <v>0</v>
      </c>
      <c r="AH59" s="9" t="n">
        <v>0</v>
      </c>
      <c r="AI59" s="9" t="n">
        <v>0</v>
      </c>
      <c r="AJ59" s="9" t="n"/>
      <c r="AK59" s="9" t="n"/>
      <c r="AL59" s="9" t="n"/>
      <c r="AM59" s="9" t="n"/>
      <c r="AN59" s="9" t="n"/>
      <c r="AO59" s="9" t="n"/>
      <c r="AP59" s="154">
        <f>AN59+IF(NOT(ISBLANK(OFFSET(AP59,0,6))),N(OFFSET(AP59,0,6)),N(OFFSET(AP59,0,7)))-AO59</f>
        <v/>
      </c>
      <c r="AR59" s="122" t="n"/>
      <c r="AT59" s="65" t="n"/>
      <c r="AU59" s="691" t="n">
        <v>0</v>
      </c>
      <c r="AV59" s="18" t="n">
        <v>0</v>
      </c>
      <c r="AW59" s="18" t="n">
        <v>0</v>
      </c>
      <c r="AX59" s="18" t="n"/>
      <c r="AY59" s="18" t="n"/>
      <c r="AZ59" s="18" t="n"/>
      <c r="BA59" s="18" t="n"/>
      <c r="BB59" s="18" t="n"/>
      <c r="BC59" s="18" t="n"/>
      <c r="BD59" s="18" t="n"/>
      <c r="BE59" s="18" t="n"/>
      <c r="BF59" s="18" t="n"/>
      <c r="BG59" s="18" t="n"/>
      <c r="BH59" s="18" t="n"/>
      <c r="BI59" s="18" t="n"/>
      <c r="BJ59" s="18" t="n"/>
      <c r="BK59" s="18" t="n"/>
      <c r="BL59" s="18" t="n"/>
      <c r="BM59" s="18" t="n"/>
      <c r="BN59" s="18" t="n"/>
      <c r="BO59" s="18" t="n"/>
      <c r="BP59" s="18" t="n"/>
      <c r="BQ59" s="18" t="n"/>
      <c r="BR59" s="18" t="n"/>
      <c r="BS59" s="18" t="n"/>
      <c r="BT59" s="18" t="n"/>
      <c r="BU59" s="18" t="n"/>
      <c r="BV59" s="18" t="n"/>
      <c r="BW59" s="18" t="n"/>
      <c r="BX59" s="256" t="n"/>
      <c r="BY59" s="762" t="n"/>
      <c r="BZ59" s="765" t="n"/>
      <c r="CB59" s="720" t="n"/>
    </row>
    <row r="60" ht="18.75" customHeight="1">
      <c r="A60" s="43" t="inlineStr">
        <is>
          <t>TAG  QDB</t>
        </is>
      </c>
      <c r="B60" s="149" t="n">
        <v>300</v>
      </c>
      <c r="C60" s="726" t="n">
        <v>53.97</v>
      </c>
      <c r="D60" s="329" t="n"/>
      <c r="F60" s="9" t="n">
        <v>0</v>
      </c>
      <c r="G60" s="9" t="n">
        <v>0</v>
      </c>
      <c r="H60" s="9" t="n">
        <v>0</v>
      </c>
      <c r="I60" s="9" t="n">
        <v>0</v>
      </c>
      <c r="J60" s="9" t="n">
        <v>0</v>
      </c>
      <c r="K60" s="9" t="n">
        <v>0</v>
      </c>
      <c r="L60" s="9" t="n">
        <v>0</v>
      </c>
      <c r="M60" s="9" t="n">
        <v>1</v>
      </c>
      <c r="N60" s="9" t="n">
        <v>0</v>
      </c>
      <c r="O60" s="9" t="n">
        <v>0</v>
      </c>
      <c r="P60" s="9" t="n">
        <v>0</v>
      </c>
      <c r="Q60" s="190" t="n">
        <v>3</v>
      </c>
      <c r="R60" s="9" t="n">
        <v>3</v>
      </c>
      <c r="S60" s="9" t="n">
        <v>3</v>
      </c>
      <c r="T60" s="9" t="n">
        <v>0</v>
      </c>
      <c r="U60" s="9" t="n">
        <v>0</v>
      </c>
      <c r="V60" s="9" t="n">
        <v>0</v>
      </c>
      <c r="W60" s="9" t="n">
        <v>0</v>
      </c>
      <c r="X60" s="9" t="n">
        <v>0</v>
      </c>
      <c r="Y60" s="9" t="n">
        <v>0</v>
      </c>
      <c r="Z60" s="9" t="n">
        <v>0</v>
      </c>
      <c r="AA60" s="9" t="n">
        <v>0</v>
      </c>
      <c r="AB60" s="9" t="n">
        <v>0</v>
      </c>
      <c r="AC60" s="9" t="n">
        <v>0</v>
      </c>
      <c r="AD60" s="9" t="n">
        <v>0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/>
      <c r="AK60" s="9" t="n"/>
      <c r="AL60" s="9" t="n"/>
      <c r="AM60" s="9" t="n"/>
      <c r="AN60" s="9" t="n"/>
      <c r="AO60" s="9" t="n"/>
      <c r="AP60" s="154">
        <f>AN60+IF(NOT(ISBLANK(OFFSET(AP60,0,6))),N(OFFSET(AP60,0,6)),N(OFFSET(AP60,0,7)))-AO60</f>
        <v/>
      </c>
      <c r="AR60" s="122" t="n"/>
      <c r="AT60" s="65" t="n"/>
      <c r="AU60" s="691" t="n">
        <v>0</v>
      </c>
      <c r="AV60" s="18" t="n">
        <v>0</v>
      </c>
      <c r="AW60" s="18" t="n">
        <v>0</v>
      </c>
      <c r="AX60" s="18" t="n"/>
      <c r="AY60" s="18" t="n"/>
      <c r="AZ60" s="18" t="n"/>
      <c r="BA60" s="18" t="n"/>
      <c r="BB60" s="18" t="n"/>
      <c r="BC60" s="18" t="n"/>
      <c r="BD60" s="18" t="n"/>
      <c r="BE60" s="18" t="n"/>
      <c r="BF60" s="18" t="n"/>
      <c r="BG60" s="18" t="n"/>
      <c r="BH60" s="18" t="n"/>
      <c r="BI60" s="18" t="n"/>
      <c r="BJ60" s="18" t="n"/>
      <c r="BK60" s="18" t="n"/>
      <c r="BL60" s="18" t="n"/>
      <c r="BM60" s="18" t="n"/>
      <c r="BN60" s="18" t="n"/>
      <c r="BO60" s="18" t="n"/>
      <c r="BP60" s="18" t="n"/>
      <c r="BQ60" s="18" t="n"/>
      <c r="BR60" s="18" t="n"/>
      <c r="BS60" s="18" t="n"/>
      <c r="BT60" s="18" t="n"/>
      <c r="BU60" s="18" t="n"/>
      <c r="BV60" s="18" t="n"/>
      <c r="BW60" s="18" t="n"/>
      <c r="BX60" s="256" t="n"/>
      <c r="BY60" s="762" t="n"/>
      <c r="BZ60" s="765" t="n"/>
      <c r="CB60" s="720" t="n"/>
    </row>
    <row r="61" ht="18.75" customHeight="1">
      <c r="A61" s="43" t="inlineStr">
        <is>
          <t>LÂMINA  QDB</t>
        </is>
      </c>
      <c r="B61" s="149" t="n">
        <v>3000</v>
      </c>
      <c r="C61" s="726" t="n">
        <v>213</v>
      </c>
      <c r="D61" s="329" t="n"/>
      <c r="F61" s="9" t="n">
        <v>0</v>
      </c>
      <c r="G61" s="9" t="n">
        <v>0</v>
      </c>
      <c r="H61" s="9" t="n">
        <v>0</v>
      </c>
      <c r="I61" s="9" t="n">
        <v>0</v>
      </c>
      <c r="J61" s="9" t="n">
        <v>0</v>
      </c>
      <c r="K61" s="9" t="n">
        <v>0</v>
      </c>
      <c r="L61" s="9" t="n">
        <v>0</v>
      </c>
      <c r="M61" s="9" t="n">
        <v>2</v>
      </c>
      <c r="N61" s="9" t="n">
        <v>0</v>
      </c>
      <c r="O61" s="9" t="n">
        <v>0</v>
      </c>
      <c r="P61" s="9" t="n">
        <v>0</v>
      </c>
      <c r="Q61" s="190" t="n">
        <v>3</v>
      </c>
      <c r="R61" s="9" t="n">
        <v>3</v>
      </c>
      <c r="S61" s="9">
        <f>3-1</f>
        <v/>
      </c>
      <c r="T61" s="9" t="n">
        <v>0</v>
      </c>
      <c r="U61" s="9" t="n">
        <v>0</v>
      </c>
      <c r="V61" s="9" t="n">
        <v>0</v>
      </c>
      <c r="W61" s="9" t="n">
        <v>0</v>
      </c>
      <c r="X61" s="9" t="n">
        <v>0</v>
      </c>
      <c r="Y61" s="9" t="n">
        <v>0</v>
      </c>
      <c r="Z61" s="9" t="n">
        <v>0</v>
      </c>
      <c r="AA61" s="9" t="n">
        <v>0</v>
      </c>
      <c r="AB61" s="9" t="n">
        <v>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/>
      <c r="AK61" s="9" t="n"/>
      <c r="AL61" s="9" t="n"/>
      <c r="AM61" s="9" t="n"/>
      <c r="AN61" s="9" t="n"/>
      <c r="AO61" s="9" t="n"/>
      <c r="AP61" s="154">
        <f>AN61+IF(NOT(ISBLANK(OFFSET(AP61,0,6))),N(OFFSET(AP61,0,6)),N(OFFSET(AP61,0,7)))-AO61</f>
        <v/>
      </c>
      <c r="AR61" s="122" t="n"/>
      <c r="AT61" s="65" t="n"/>
      <c r="AU61" s="691" t="n">
        <v>0</v>
      </c>
      <c r="AV61" s="18" t="n">
        <v>0</v>
      </c>
      <c r="AW61" s="18" t="n">
        <v>0</v>
      </c>
      <c r="AX61" s="18" t="n"/>
      <c r="AY61" s="18" t="n"/>
      <c r="AZ61" s="18" t="n"/>
      <c r="BA61" s="18" t="n"/>
      <c r="BB61" s="18" t="n"/>
      <c r="BC61" s="18" t="n"/>
      <c r="BD61" s="18" t="n"/>
      <c r="BE61" s="18" t="n"/>
      <c r="BF61" s="18" t="n"/>
      <c r="BG61" s="18" t="n"/>
      <c r="BH61" s="154" t="inlineStr">
        <is>
          <t>01 P/ ER PBE</t>
        </is>
      </c>
      <c r="BI61" s="18" t="n"/>
      <c r="BJ61" s="18" t="n"/>
      <c r="BK61" s="18" t="n"/>
      <c r="BL61" s="18" t="n"/>
      <c r="BM61" s="18" t="n"/>
      <c r="BN61" s="18" t="n"/>
      <c r="BO61" s="18" t="n"/>
      <c r="BP61" s="18" t="n"/>
      <c r="BQ61" s="18" t="n"/>
      <c r="BR61" s="18" t="n"/>
      <c r="BS61" s="18" t="n"/>
      <c r="BT61" s="18" t="n"/>
      <c r="BU61" s="18" t="n"/>
      <c r="BV61" s="18" t="n"/>
      <c r="BW61" s="18" t="n"/>
      <c r="BX61" s="256" t="n"/>
      <c r="BY61" s="762" t="n"/>
      <c r="BZ61" s="765" t="n"/>
      <c r="CB61" s="720" t="n"/>
    </row>
    <row r="62" ht="18.75" customHeight="1">
      <c r="A62" s="43" t="inlineStr">
        <is>
          <t>CAIXA P  QDB</t>
        </is>
      </c>
      <c r="B62" s="149" t="n">
        <v>150</v>
      </c>
      <c r="C62" s="726" t="n">
        <v>306</v>
      </c>
      <c r="D62" s="329" t="n"/>
      <c r="F62" s="9" t="n">
        <v>0</v>
      </c>
      <c r="G62" s="9" t="n">
        <v>0</v>
      </c>
      <c r="H62" s="9" t="n">
        <v>0</v>
      </c>
      <c r="I62" s="9" t="n">
        <v>0</v>
      </c>
      <c r="J62" s="9" t="n">
        <v>0</v>
      </c>
      <c r="K62" s="9" t="n">
        <v>0</v>
      </c>
      <c r="L62" s="9" t="n">
        <v>0</v>
      </c>
      <c r="M62" s="9" t="n">
        <v>5</v>
      </c>
      <c r="N62" s="9" t="n">
        <v>5</v>
      </c>
      <c r="O62" s="9" t="n">
        <v>5</v>
      </c>
      <c r="P62" s="9" t="n">
        <v>5</v>
      </c>
      <c r="Q62" s="9" t="n">
        <v>5</v>
      </c>
      <c r="R62" s="9" t="n">
        <v>5</v>
      </c>
      <c r="S62" s="9" t="n">
        <v>5</v>
      </c>
      <c r="T62" s="9" t="n">
        <v>5</v>
      </c>
      <c r="U62" s="9" t="n">
        <v>5</v>
      </c>
      <c r="V62" s="9" t="n">
        <v>5</v>
      </c>
      <c r="W62" s="9" t="n">
        <v>5</v>
      </c>
      <c r="X62" s="9" t="n">
        <v>5</v>
      </c>
      <c r="Y62" s="9" t="n">
        <v>5</v>
      </c>
      <c r="Z62" s="9" t="n">
        <v>5</v>
      </c>
      <c r="AA62" s="9" t="n">
        <v>5</v>
      </c>
      <c r="AB62" s="9" t="n">
        <v>5</v>
      </c>
      <c r="AC62" s="9" t="n">
        <v>5</v>
      </c>
      <c r="AD62" s="9" t="n">
        <v>5</v>
      </c>
      <c r="AE62" s="9" t="n">
        <v>5</v>
      </c>
      <c r="AF62" s="9" t="n">
        <v>5</v>
      </c>
      <c r="AG62" s="9" t="n">
        <v>5</v>
      </c>
      <c r="AH62" s="9" t="n">
        <v>5</v>
      </c>
      <c r="AI62" s="9" t="n">
        <v>5</v>
      </c>
      <c r="AJ62" s="9" t="n">
        <v>5</v>
      </c>
      <c r="AK62" s="9" t="n">
        <v>5</v>
      </c>
      <c r="AL62" s="9" t="n">
        <v>5</v>
      </c>
      <c r="AM62" s="9" t="n">
        <v>5</v>
      </c>
      <c r="AN62" s="9" t="n">
        <v>5</v>
      </c>
      <c r="AO62" s="9" t="n">
        <v>5</v>
      </c>
      <c r="AP62" s="154">
        <f>AN62+IF(NOT(ISBLANK(OFFSET(AP62,0,6))),N(OFFSET(AP62,0,6)),N(OFFSET(AP62,0,7)))-AO62</f>
        <v/>
      </c>
      <c r="AQ62" s="6" t="n"/>
      <c r="AR62" s="122" t="n"/>
      <c r="AS62" s="49" t="n"/>
      <c r="AT62" s="19" t="n"/>
      <c r="AU62" s="18" t="n">
        <v>0</v>
      </c>
      <c r="AV62" s="18" t="n">
        <v>0</v>
      </c>
      <c r="AW62" s="18" t="n">
        <v>0</v>
      </c>
      <c r="AX62" s="18" t="n"/>
      <c r="AY62" s="18" t="n"/>
      <c r="AZ62" s="18" t="n"/>
      <c r="BA62" s="18" t="n"/>
      <c r="BB62" s="18" t="n"/>
      <c r="BC62" s="18" t="n"/>
      <c r="BD62" s="18" t="n"/>
      <c r="BE62" s="18" t="n"/>
      <c r="BF62" s="18" t="n"/>
      <c r="BG62" s="18" t="n"/>
      <c r="BH62" s="18" t="n"/>
      <c r="BI62" s="18" t="n"/>
      <c r="BJ62" s="18" t="n"/>
      <c r="BK62" s="18" t="n"/>
      <c r="BL62" s="18" t="n"/>
      <c r="BM62" s="18" t="n"/>
      <c r="BN62" s="18" t="n"/>
      <c r="BO62" s="18" t="n"/>
      <c r="BP62" s="18" t="n"/>
      <c r="BQ62" s="18" t="n"/>
      <c r="BR62" s="18" t="n"/>
      <c r="BS62" s="18" t="n"/>
      <c r="BT62" s="18" t="n"/>
      <c r="BU62" s="18" t="n"/>
      <c r="BV62" s="18" t="n"/>
      <c r="BW62" s="18" t="n"/>
      <c r="BX62" s="256" t="n"/>
      <c r="BY62" s="762" t="n"/>
      <c r="BZ62" s="765" t="n"/>
      <c r="CB62" s="720" t="n"/>
    </row>
    <row r="63" ht="18.75" customHeight="1">
      <c r="A63" s="43" t="inlineStr">
        <is>
          <t>CAIXA M  QDB</t>
        </is>
      </c>
      <c r="B63" s="149" t="n">
        <v>75</v>
      </c>
      <c r="C63" s="726" t="n">
        <v>216.38</v>
      </c>
      <c r="D63" s="329" t="n"/>
      <c r="F63" s="38" t="n">
        <v>0</v>
      </c>
      <c r="G63" s="38" t="n">
        <v>0</v>
      </c>
      <c r="H63" s="38" t="n">
        <v>0</v>
      </c>
      <c r="I63" s="38" t="n">
        <v>0</v>
      </c>
      <c r="J63" s="38" t="n">
        <v>0</v>
      </c>
      <c r="K63" s="38" t="n">
        <v>0</v>
      </c>
      <c r="L63" s="38" t="n">
        <v>0</v>
      </c>
      <c r="M63" s="38" t="n">
        <v>0</v>
      </c>
      <c r="N63" s="38" t="n">
        <v>0</v>
      </c>
      <c r="O63" s="38" t="n">
        <v>0</v>
      </c>
      <c r="P63" s="38" t="n">
        <v>0</v>
      </c>
      <c r="Q63" s="38" t="n">
        <v>0</v>
      </c>
      <c r="R63" s="38" t="n">
        <v>0</v>
      </c>
      <c r="S63" s="38" t="n">
        <v>0</v>
      </c>
      <c r="T63" s="38" t="n">
        <v>0</v>
      </c>
      <c r="U63" s="38" t="n">
        <v>0</v>
      </c>
      <c r="V63" s="38" t="n">
        <v>0</v>
      </c>
      <c r="W63" s="38" t="n">
        <v>0</v>
      </c>
      <c r="X63" s="38" t="n">
        <v>0</v>
      </c>
      <c r="Y63" s="38" t="n">
        <v>0</v>
      </c>
      <c r="Z63" s="38" t="n">
        <v>0</v>
      </c>
      <c r="AA63" s="38" t="n">
        <v>0</v>
      </c>
      <c r="AB63" s="38" t="n">
        <v>0</v>
      </c>
      <c r="AC63" s="38" t="n">
        <v>0</v>
      </c>
      <c r="AD63" s="38" t="n">
        <v>0</v>
      </c>
      <c r="AE63" s="38" t="n">
        <v>0</v>
      </c>
      <c r="AF63" s="38" t="n">
        <v>0</v>
      </c>
      <c r="AG63" s="38" t="n">
        <v>0</v>
      </c>
      <c r="AH63" s="38" t="n">
        <v>0</v>
      </c>
      <c r="AI63" s="38" t="n">
        <v>0</v>
      </c>
      <c r="AJ63" s="38" t="n">
        <v>0</v>
      </c>
      <c r="AK63" s="38" t="n">
        <v>0</v>
      </c>
      <c r="AL63" s="38" t="n">
        <v>0</v>
      </c>
      <c r="AM63" s="9" t="n">
        <v>0</v>
      </c>
      <c r="AN63" s="9" t="n">
        <v>0</v>
      </c>
      <c r="AO63" s="9" t="n">
        <v>0</v>
      </c>
      <c r="AP63" s="154">
        <f>AN63+IF(NOT(ISBLANK(OFFSET(AP63,0,6))),N(OFFSET(AP63,0,6)),N(OFFSET(AP63,0,7)))-AO63</f>
        <v/>
      </c>
      <c r="AQ63" s="53" t="n"/>
      <c r="AR63" s="122" t="n"/>
      <c r="AS63" s="49" t="n"/>
      <c r="AT63" s="27" t="n"/>
      <c r="AU63" s="18" t="n">
        <v>0</v>
      </c>
      <c r="AV63" s="18" t="n">
        <v>0</v>
      </c>
      <c r="AW63" s="18" t="n">
        <v>0</v>
      </c>
      <c r="AX63" s="18" t="n"/>
      <c r="AY63" s="18" t="n"/>
      <c r="AZ63" s="18" t="n"/>
      <c r="BA63" s="18" t="n"/>
      <c r="BB63" s="18" t="n"/>
      <c r="BC63" s="18" t="n"/>
      <c r="BD63" s="18" t="n"/>
      <c r="BE63" s="18" t="n"/>
      <c r="BF63" s="18" t="n"/>
      <c r="BG63" s="18" t="n"/>
      <c r="BH63" s="18" t="n"/>
      <c r="BI63" s="18" t="n"/>
      <c r="BJ63" s="18" t="n"/>
      <c r="BK63" s="18" t="n"/>
      <c r="BL63" s="18" t="n"/>
      <c r="BM63" s="18" t="n"/>
      <c r="BN63" s="18" t="n"/>
      <c r="BO63" s="18" t="n"/>
      <c r="BP63" s="18" t="n"/>
      <c r="BQ63" s="18" t="n"/>
      <c r="BR63" s="18" t="n"/>
      <c r="BS63" s="18" t="n"/>
      <c r="BT63" s="18" t="n"/>
      <c r="BU63" s="18" t="n"/>
      <c r="BV63" s="18" t="n"/>
      <c r="BW63" s="18" t="n"/>
      <c r="BX63" s="256" t="n"/>
      <c r="BY63" s="762" t="n"/>
      <c r="BZ63" s="765" t="n"/>
      <c r="CB63" s="720" t="n"/>
    </row>
    <row r="64" ht="18.75" customHeight="1" thickBot="1">
      <c r="A64" s="43" t="inlineStr">
        <is>
          <t>CAIXA G  QDB</t>
        </is>
      </c>
      <c r="B64" s="149" t="n">
        <v>100</v>
      </c>
      <c r="C64" s="726" t="n">
        <v>306</v>
      </c>
      <c r="D64" s="329" t="n"/>
      <c r="F64" s="38" t="n">
        <v>0</v>
      </c>
      <c r="G64" s="38" t="n">
        <v>0</v>
      </c>
      <c r="H64" s="38" t="n">
        <v>0</v>
      </c>
      <c r="I64" s="38" t="n">
        <v>0</v>
      </c>
      <c r="J64" s="38" t="n">
        <v>0</v>
      </c>
      <c r="K64" s="38" t="n">
        <v>0</v>
      </c>
      <c r="L64" s="38" t="n">
        <v>0</v>
      </c>
      <c r="M64" s="38" t="n">
        <v>0</v>
      </c>
      <c r="N64" s="38" t="n">
        <v>0</v>
      </c>
      <c r="O64" s="38" t="n">
        <v>0</v>
      </c>
      <c r="P64" s="38" t="n">
        <v>0</v>
      </c>
      <c r="Q64" s="38" t="n">
        <v>0</v>
      </c>
      <c r="R64" s="38" t="n">
        <v>0</v>
      </c>
      <c r="S64" s="38" t="n">
        <v>0</v>
      </c>
      <c r="T64" s="38" t="n">
        <v>0</v>
      </c>
      <c r="U64" s="38" t="n">
        <v>0</v>
      </c>
      <c r="V64" s="38" t="n">
        <v>0</v>
      </c>
      <c r="W64" s="38" t="n">
        <v>0</v>
      </c>
      <c r="X64" s="38" t="n">
        <v>0</v>
      </c>
      <c r="Y64" s="38" t="n">
        <v>0</v>
      </c>
      <c r="Z64" s="38" t="n">
        <v>0</v>
      </c>
      <c r="AA64" s="38" t="n">
        <v>0</v>
      </c>
      <c r="AB64" s="38" t="n">
        <v>0</v>
      </c>
      <c r="AC64" s="38" t="n">
        <v>0</v>
      </c>
      <c r="AD64" s="38" t="n">
        <v>0</v>
      </c>
      <c r="AE64" s="38" t="n">
        <v>0</v>
      </c>
      <c r="AF64" s="38" t="n">
        <v>0</v>
      </c>
      <c r="AG64" s="38" t="n">
        <v>0</v>
      </c>
      <c r="AH64" s="38" t="n">
        <v>0</v>
      </c>
      <c r="AI64" s="38" t="n">
        <v>0</v>
      </c>
      <c r="AJ64" s="38" t="n">
        <v>0</v>
      </c>
      <c r="AK64" s="38" t="n">
        <v>0</v>
      </c>
      <c r="AL64" s="38" t="n">
        <v>0</v>
      </c>
      <c r="AM64" s="9" t="n">
        <v>0</v>
      </c>
      <c r="AN64" s="9" t="n">
        <v>0</v>
      </c>
      <c r="AO64" s="9" t="n">
        <v>0</v>
      </c>
      <c r="AP64" s="154">
        <f>AN64+IF(NOT(ISBLANK(OFFSET(AP64,0,6))),N(OFFSET(AP64,0,6)),N(OFFSET(AP64,0,7)))-AO64</f>
        <v/>
      </c>
      <c r="AQ64" s="6" t="n"/>
      <c r="AR64" s="122" t="n"/>
      <c r="AS64" s="49" t="n"/>
      <c r="AT64" s="19" t="n"/>
      <c r="AU64" s="18" t="n">
        <v>0</v>
      </c>
      <c r="AV64" s="18" t="n">
        <v>0</v>
      </c>
      <c r="AW64" s="18" t="n">
        <v>0</v>
      </c>
      <c r="AX64" s="18" t="n"/>
      <c r="AY64" s="18" t="n"/>
      <c r="AZ64" s="18" t="n"/>
      <c r="BA64" s="18" t="n"/>
      <c r="BB64" s="18" t="n"/>
      <c r="BC64" s="18" t="n"/>
      <c r="BD64" s="18" t="n"/>
      <c r="BE64" s="18" t="n"/>
      <c r="BF64" s="18" t="n"/>
      <c r="BG64" s="18" t="n"/>
      <c r="BH64" s="18" t="n"/>
      <c r="BI64" s="18" t="n"/>
      <c r="BJ64" s="18" t="n"/>
      <c r="BK64" s="18" t="n"/>
      <c r="BL64" s="18" t="n"/>
      <c r="BM64" s="18" t="n"/>
      <c r="BN64" s="18" t="n"/>
      <c r="BO64" s="18" t="n"/>
      <c r="BP64" s="18" t="n"/>
      <c r="BQ64" s="18" t="n"/>
      <c r="BR64" s="18" t="n"/>
      <c r="BS64" s="18" t="n"/>
      <c r="BT64" s="18" t="n"/>
      <c r="BU64" s="18" t="n"/>
      <c r="BV64" s="18" t="n"/>
      <c r="BW64" s="18" t="n"/>
      <c r="BX64" s="256" t="n"/>
      <c r="BY64" s="766" t="n"/>
      <c r="BZ64" s="748" t="n"/>
      <c r="CA64" s="763" t="n"/>
      <c r="CB64" s="722" t="n"/>
    </row>
    <row r="65" ht="18.75" customHeight="1">
      <c r="BX65" s="314" t="n"/>
      <c r="BY65" s="314" t="n"/>
    </row>
    <row r="66" ht="18.75" customHeight="1">
      <c r="A66" s="202" t="inlineStr">
        <is>
          <t>SACOLAS E CAIXAS EUDORA</t>
        </is>
      </c>
      <c r="B66" s="203" t="n"/>
      <c r="C66" s="203" t="n"/>
      <c r="D66" s="203" t="n"/>
      <c r="F66" s="650" t="n">
        <v>45950</v>
      </c>
      <c r="G66" s="650" t="n">
        <v>45957</v>
      </c>
      <c r="H66" s="650" t="n">
        <v>45933</v>
      </c>
      <c r="I66" s="650" t="n">
        <v>45971</v>
      </c>
      <c r="J66" s="650" t="n">
        <v>45978</v>
      </c>
      <c r="K66" s="650" t="n">
        <v>45985</v>
      </c>
      <c r="L66" s="650" t="n">
        <v>45992</v>
      </c>
      <c r="M66" s="650" t="n">
        <v>45999</v>
      </c>
      <c r="N66" s="650" t="n">
        <v>46006</v>
      </c>
      <c r="O66" s="650" t="n">
        <v>46013</v>
      </c>
      <c r="P66" s="650" t="n">
        <v>46020</v>
      </c>
      <c r="Q66" s="650" t="n">
        <v>46027</v>
      </c>
      <c r="R66" s="650" t="n">
        <v>46034</v>
      </c>
      <c r="S66" s="650" t="n">
        <v>46041</v>
      </c>
      <c r="T66" s="650" t="n">
        <v>46048</v>
      </c>
      <c r="U66" s="650" t="n">
        <v>46055</v>
      </c>
      <c r="V66" s="650" t="n">
        <v>46062</v>
      </c>
      <c r="W66" s="650" t="n">
        <v>46069</v>
      </c>
      <c r="X66" s="650" t="n">
        <v>46076</v>
      </c>
      <c r="Y66" s="650" t="n">
        <v>46083</v>
      </c>
      <c r="Z66" s="650" t="n">
        <v>46090</v>
      </c>
      <c r="AA66" s="650" t="n">
        <v>46097</v>
      </c>
      <c r="AB66" s="650" t="n">
        <v>46104</v>
      </c>
      <c r="AC66" s="650" t="n">
        <v>46111</v>
      </c>
      <c r="AD66" s="650" t="n">
        <v>46118</v>
      </c>
      <c r="AE66" s="650" t="n">
        <v>46125</v>
      </c>
      <c r="AF66" s="650" t="n">
        <v>46132</v>
      </c>
      <c r="AG66" s="650" t="n">
        <v>46139</v>
      </c>
      <c r="AH66" s="650" t="n">
        <v>46146</v>
      </c>
      <c r="AI66" s="650" t="n">
        <v>46154</v>
      </c>
      <c r="AJ66" s="650" t="n">
        <v>46160</v>
      </c>
      <c r="AK66" s="650" t="n">
        <v>46160</v>
      </c>
      <c r="AL66" s="650" t="n">
        <v>46160</v>
      </c>
      <c r="AM66" s="651" t="n">
        <v>46161.48004409722</v>
      </c>
      <c r="AN66" s="651" t="n">
        <v>46161.48072211805</v>
      </c>
      <c r="AO66" s="651" t="n">
        <v>46161.48288076603</v>
      </c>
      <c r="AP66" s="652" t="inlineStr">
        <is>
          <t>USOU</t>
        </is>
      </c>
      <c r="AR66" s="35" t="inlineStr">
        <is>
          <t>Pend.</t>
        </is>
      </c>
      <c r="AT66" s="12" t="inlineStr">
        <is>
          <t>Novo Pedido</t>
        </is>
      </c>
      <c r="AU66" s="708" t="n">
        <v>46161.48288010127</v>
      </c>
      <c r="AV66" s="654" t="n">
        <v>46156</v>
      </c>
      <c r="AW66" s="654" t="n">
        <v>46149</v>
      </c>
      <c r="AX66" s="654" t="n">
        <v>46114</v>
      </c>
      <c r="AY66" s="654" t="n">
        <v>46099</v>
      </c>
      <c r="AZ66" s="710" t="n">
        <v>46065</v>
      </c>
      <c r="BA66" s="654" t="n">
        <v>46092</v>
      </c>
      <c r="BB66" s="711" t="n">
        <v>46045</v>
      </c>
      <c r="BC66" s="654" t="n">
        <v>46077</v>
      </c>
      <c r="BD66" s="654" t="n">
        <v>46071</v>
      </c>
      <c r="BE66" s="654" t="n">
        <v>46071</v>
      </c>
      <c r="BF66" s="654" t="n">
        <v>46056</v>
      </c>
      <c r="BG66" s="654" t="n">
        <v>46048</v>
      </c>
      <c r="BH66" s="655" t="n">
        <v>46041</v>
      </c>
      <c r="BI66" s="654" t="n">
        <v>46029</v>
      </c>
      <c r="BJ66" s="654" t="n">
        <v>46372</v>
      </c>
      <c r="BK66" s="654" t="n">
        <v>46382</v>
      </c>
      <c r="BL66" s="654" t="n">
        <v>46007</v>
      </c>
      <c r="BM66" s="654" t="n">
        <v>46017</v>
      </c>
      <c r="BN66" s="654" t="n">
        <v>46007</v>
      </c>
      <c r="BO66" s="654" t="n">
        <v>46001</v>
      </c>
      <c r="BP66" s="654" t="n">
        <v>46001</v>
      </c>
      <c r="BQ66" s="654" t="n">
        <v>45994</v>
      </c>
      <c r="BR66" s="654" t="n">
        <v>45986</v>
      </c>
      <c r="BS66" s="654" t="n">
        <v>45980</v>
      </c>
      <c r="BT66" s="654" t="n">
        <v>45980</v>
      </c>
      <c r="BU66" s="654" t="n">
        <v>45973</v>
      </c>
      <c r="BV66" s="655" t="n">
        <v>45967</v>
      </c>
      <c r="BW66" s="654" t="n">
        <v>45957</v>
      </c>
      <c r="BX66" s="732" t="n"/>
      <c r="BY66" s="655" t="n">
        <v>45950</v>
      </c>
    </row>
    <row r="67" ht="18.75" customHeight="1">
      <c r="A67" s="33" t="inlineStr">
        <is>
          <t>SACOLA P EUDORA</t>
        </is>
      </c>
      <c r="B67" s="9" t="n">
        <v>200</v>
      </c>
      <c r="C67" s="662" t="n">
        <v>183.24</v>
      </c>
      <c r="D67" s="329" t="n"/>
      <c r="F67" s="9" t="n">
        <v>0</v>
      </c>
      <c r="G67" s="9">
        <f>0+BT67</f>
        <v/>
      </c>
      <c r="H67" s="9" t="n">
        <v>200</v>
      </c>
      <c r="I67" s="9" t="n">
        <v>50</v>
      </c>
      <c r="J67" s="9">
        <f>30+BR67</f>
        <v/>
      </c>
      <c r="K67" s="9" t="n">
        <v>260</v>
      </c>
      <c r="L67" s="9">
        <f>200+BP67+BO67</f>
        <v/>
      </c>
      <c r="M67" s="9" t="n">
        <v>1600</v>
      </c>
      <c r="N67" s="9">
        <f>821+BM67</f>
        <v/>
      </c>
      <c r="O67" s="9" t="n">
        <v>2421</v>
      </c>
      <c r="P67" s="9" t="n">
        <v>2000</v>
      </c>
      <c r="Q67" s="9" t="n">
        <v>1890</v>
      </c>
      <c r="R67" s="9" t="n">
        <v>1800</v>
      </c>
      <c r="S67" s="9">
        <f>2400-800-800</f>
        <v/>
      </c>
      <c r="T67" s="9" t="n">
        <v>719</v>
      </c>
      <c r="U67" s="9" t="n">
        <v>719</v>
      </c>
      <c r="V67" s="9" t="n">
        <v>600</v>
      </c>
      <c r="W67" s="9" t="n">
        <v>400</v>
      </c>
      <c r="X67" s="9" t="n">
        <v>200</v>
      </c>
      <c r="Y67" s="9" t="n">
        <v>600</v>
      </c>
      <c r="Z67" s="9" t="n">
        <v>600</v>
      </c>
      <c r="AA67" s="9" t="n">
        <v>200</v>
      </c>
      <c r="AB67" s="9" t="n">
        <v>800</v>
      </c>
      <c r="AC67" s="9" t="n">
        <v>800</v>
      </c>
      <c r="AD67" s="9" t="n">
        <v>200</v>
      </c>
      <c r="AE67" s="9" t="n">
        <v>200</v>
      </c>
      <c r="AF67" s="9" t="n">
        <v>400</v>
      </c>
      <c r="AG67" s="9" t="n">
        <v>0</v>
      </c>
      <c r="AH67" s="9" t="n">
        <v>0</v>
      </c>
      <c r="AI67" s="9">
        <f>0+AT67</f>
        <v/>
      </c>
      <c r="AJ67" s="9" t="n"/>
      <c r="AK67" s="9" t="n"/>
      <c r="AL67" s="9" t="n"/>
      <c r="AM67" s="9" t="n"/>
      <c r="AN67" s="9" t="n"/>
      <c r="AO67" s="9" t="n"/>
      <c r="AP67" s="154">
        <f>AN67+IF(NOT(ISBLANK(OFFSET(AP67,0,6))),N(OFFSET(AP67,0,6)),N(OFFSET(AP67,0,7)))-AO67</f>
        <v/>
      </c>
      <c r="AR67" s="127" t="n"/>
      <c r="AT67" s="65" t="n"/>
      <c r="AU67" s="691" t="n">
        <v>0</v>
      </c>
      <c r="AV67" s="18" t="n">
        <v>0</v>
      </c>
      <c r="AW67" s="18" t="n">
        <v>400</v>
      </c>
      <c r="AX67" s="18" t="n"/>
      <c r="AY67" s="18" t="n">
        <v>600</v>
      </c>
      <c r="AZ67" s="18" t="n"/>
      <c r="BA67" s="18" t="n"/>
      <c r="BB67" s="18" t="n"/>
      <c r="BC67" s="18" t="n"/>
      <c r="BD67" s="18" t="n">
        <v>400</v>
      </c>
      <c r="BE67" s="18" t="n"/>
      <c r="BF67" s="18" t="n"/>
      <c r="BG67" s="18" t="n"/>
      <c r="BH67" s="154" t="inlineStr">
        <is>
          <t>800 P/ ER PG + 800 P/ ER PBE</t>
        </is>
      </c>
      <c r="BI67" s="18" t="n"/>
      <c r="BJ67" s="18" t="n"/>
      <c r="BK67" s="18" t="n">
        <v>400</v>
      </c>
      <c r="BL67" s="18" t="n"/>
      <c r="BM67" s="18" t="n"/>
      <c r="BN67" s="18" t="n"/>
      <c r="BO67" s="18" t="n"/>
      <c r="BP67" s="18" t="n">
        <v>800</v>
      </c>
      <c r="BQ67" s="18" t="n">
        <v>400</v>
      </c>
      <c r="BR67" s="18" t="n">
        <v>400</v>
      </c>
      <c r="BS67" s="18" t="n">
        <v>600</v>
      </c>
      <c r="BT67" s="18" t="n"/>
      <c r="BU67" s="18" t="n">
        <v>400</v>
      </c>
      <c r="BV67" s="18" t="n"/>
      <c r="BW67" s="18" t="n">
        <v>200</v>
      </c>
      <c r="BX67" s="256" t="n"/>
      <c r="BY67" s="256" t="n"/>
    </row>
    <row r="68" ht="18.75" customHeight="1">
      <c r="A68" s="33" t="inlineStr">
        <is>
          <t>SACOLA M EUDORA</t>
        </is>
      </c>
      <c r="B68" s="9" t="n">
        <v>200</v>
      </c>
      <c r="C68" s="662" t="n">
        <v>240.83</v>
      </c>
      <c r="D68" s="329" t="n"/>
      <c r="F68" s="9" t="n">
        <v>0</v>
      </c>
      <c r="G68" s="9">
        <f>0+BT68</f>
        <v/>
      </c>
      <c r="H68" s="9" t="n">
        <v>200</v>
      </c>
      <c r="I68" s="9" t="n">
        <v>200</v>
      </c>
      <c r="J68" s="9" t="n">
        <v>200</v>
      </c>
      <c r="K68" s="9" t="n">
        <v>200</v>
      </c>
      <c r="L68" s="9">
        <f>200+BO68</f>
        <v/>
      </c>
      <c r="M68" s="9" t="n">
        <v>480</v>
      </c>
      <c r="N68" s="9">
        <f>295+BM68</f>
        <v/>
      </c>
      <c r="O68" s="9" t="n">
        <v>1495</v>
      </c>
      <c r="P68" s="9" t="n">
        <v>1200</v>
      </c>
      <c r="Q68" s="9" t="n">
        <v>1100</v>
      </c>
      <c r="R68" s="9" t="n">
        <v>1100</v>
      </c>
      <c r="S68" s="9">
        <f>1100-400</f>
        <v/>
      </c>
      <c r="T68" s="9" t="n">
        <v>600</v>
      </c>
      <c r="U68" s="9" t="n">
        <v>600</v>
      </c>
      <c r="V68" s="9" t="n">
        <v>600</v>
      </c>
      <c r="W68" s="9" t="n">
        <v>600</v>
      </c>
      <c r="X68" s="9" t="n">
        <v>600</v>
      </c>
      <c r="Y68" s="9" t="n">
        <v>600</v>
      </c>
      <c r="Z68" s="9" t="n">
        <v>600</v>
      </c>
      <c r="AA68" s="9" t="n">
        <v>600</v>
      </c>
      <c r="AB68" s="9" t="n">
        <v>600</v>
      </c>
      <c r="AC68" s="9" t="n">
        <v>600</v>
      </c>
      <c r="AD68" s="9" t="n">
        <v>1000</v>
      </c>
      <c r="AE68" s="9" t="n">
        <v>1000</v>
      </c>
      <c r="AF68" s="9" t="n">
        <v>800</v>
      </c>
      <c r="AG68" s="9" t="n">
        <v>600</v>
      </c>
      <c r="AH68" s="9" t="n">
        <v>600</v>
      </c>
      <c r="AI68" s="9" t="n">
        <v>600</v>
      </c>
      <c r="AJ68" s="9" t="n"/>
      <c r="AK68" s="9" t="n"/>
      <c r="AL68" s="9" t="n"/>
      <c r="AM68" s="9" t="n"/>
      <c r="AN68" s="9" t="n"/>
      <c r="AO68" s="9" t="n"/>
      <c r="AP68" s="154">
        <f>AN68+IF(NOT(ISBLANK(OFFSET(AP68,0,6))),N(OFFSET(AP68,0,6)),N(OFFSET(AP68,0,7)))-AO68</f>
        <v/>
      </c>
      <c r="AR68" s="425" t="inlineStr">
        <is>
          <t>200 P/ ER PBE</t>
        </is>
      </c>
      <c r="AT68" s="65" t="n"/>
      <c r="AU68" s="691" t="n">
        <v>0</v>
      </c>
      <c r="AV68" s="18" t="n">
        <v>0</v>
      </c>
      <c r="AW68" s="18" t="n">
        <v>0</v>
      </c>
      <c r="AX68" s="18" t="n"/>
      <c r="AY68" s="18" t="n"/>
      <c r="AZ68" s="18" t="n"/>
      <c r="BA68" s="18" t="n"/>
      <c r="BB68" s="18" t="n"/>
      <c r="BC68" s="18" t="n"/>
      <c r="BD68" s="18" t="n"/>
      <c r="BE68" s="18" t="n"/>
      <c r="BF68" s="18" t="n"/>
      <c r="BG68" s="18" t="n"/>
      <c r="BH68" s="154" t="inlineStr">
        <is>
          <t>400 P/ ER PG</t>
        </is>
      </c>
      <c r="BI68" s="18" t="n"/>
      <c r="BJ68" s="18" t="n"/>
      <c r="BK68" s="18" t="n">
        <v>200</v>
      </c>
      <c r="BL68" s="18" t="n"/>
      <c r="BM68" s="18" t="n"/>
      <c r="BN68" s="18" t="n"/>
      <c r="BO68" s="18" t="n"/>
      <c r="BP68" s="18" t="n">
        <v>600</v>
      </c>
      <c r="BQ68" s="18" t="n"/>
      <c r="BR68" s="18" t="n">
        <v>200</v>
      </c>
      <c r="BS68" s="18" t="n"/>
      <c r="BT68" s="18" t="n"/>
      <c r="BU68" s="18" t="n"/>
      <c r="BV68" s="18" t="n"/>
      <c r="BW68" s="18" t="n">
        <v>200</v>
      </c>
      <c r="BX68" s="256" t="n"/>
      <c r="BY68" s="256" t="n"/>
    </row>
    <row r="69" ht="18.75" customHeight="1">
      <c r="A69" s="33" t="inlineStr">
        <is>
          <t>SACOLA G EUDORA</t>
        </is>
      </c>
      <c r="B69" s="9" t="n">
        <v>100</v>
      </c>
      <c r="C69" s="662" t="n">
        <v>175.13</v>
      </c>
      <c r="D69" s="329" t="n"/>
      <c r="F69" s="9" t="n">
        <v>0</v>
      </c>
      <c r="G69" s="9" t="n">
        <v>0</v>
      </c>
      <c r="H69" s="9" t="n">
        <v>0</v>
      </c>
      <c r="I69" s="9" t="n">
        <v>0</v>
      </c>
      <c r="J69" s="9" t="n">
        <v>0</v>
      </c>
      <c r="K69" s="9" t="n">
        <v>0</v>
      </c>
      <c r="L69" s="9" t="n">
        <v>0</v>
      </c>
      <c r="M69" s="190" t="n">
        <v>100</v>
      </c>
      <c r="N69" s="9" t="n">
        <v>81</v>
      </c>
      <c r="O69" s="9" t="n">
        <v>181</v>
      </c>
      <c r="P69" s="9" t="n">
        <v>181</v>
      </c>
      <c r="Q69" s="9" t="n">
        <v>100</v>
      </c>
      <c r="R69" s="9" t="n">
        <v>300</v>
      </c>
      <c r="S69" s="9" t="n">
        <v>300</v>
      </c>
      <c r="T69" s="9" t="n">
        <v>200</v>
      </c>
      <c r="U69" s="9" t="n">
        <v>200</v>
      </c>
      <c r="V69" s="9" t="n">
        <v>200</v>
      </c>
      <c r="W69" s="9" t="n">
        <v>200</v>
      </c>
      <c r="X69" s="9" t="n">
        <v>200</v>
      </c>
      <c r="Y69" s="9" t="n">
        <v>300</v>
      </c>
      <c r="Z69" s="9" t="n">
        <v>300</v>
      </c>
      <c r="AA69" s="9" t="n">
        <v>300</v>
      </c>
      <c r="AB69" s="9" t="n">
        <v>300</v>
      </c>
      <c r="AC69" s="9" t="n">
        <v>300</v>
      </c>
      <c r="AD69" s="9" t="n">
        <v>300</v>
      </c>
      <c r="AE69" s="9" t="n">
        <v>300</v>
      </c>
      <c r="AF69" s="9" t="n">
        <v>300</v>
      </c>
      <c r="AG69" s="9" t="n">
        <v>300</v>
      </c>
      <c r="AH69" s="9" t="n">
        <v>300</v>
      </c>
      <c r="AI69" s="9" t="n">
        <v>300</v>
      </c>
      <c r="AJ69" s="9" t="n"/>
      <c r="AK69" s="9" t="n"/>
      <c r="AL69" s="9" t="n"/>
      <c r="AM69" s="9" t="n"/>
      <c r="AN69" s="9" t="n"/>
      <c r="AO69" s="9" t="n"/>
      <c r="AP69" s="154">
        <f>AN69+IF(NOT(ISBLANK(OFFSET(AP69,0,6))),N(OFFSET(AP69,0,6)),N(OFFSET(AP69,0,7)))-AO69</f>
        <v/>
      </c>
      <c r="AR69" s="233" t="inlineStr">
        <is>
          <t>200 P/ ER PBE</t>
        </is>
      </c>
      <c r="AT69" s="65" t="n"/>
      <c r="AU69" s="691" t="n">
        <v>0</v>
      </c>
      <c r="AV69" s="18" t="n">
        <v>0</v>
      </c>
      <c r="AW69" s="18" t="n">
        <v>0</v>
      </c>
      <c r="AX69" s="18" t="n"/>
      <c r="AY69" s="18" t="n"/>
      <c r="AZ69" s="18" t="n"/>
      <c r="BA69" s="18" t="n"/>
      <c r="BB69" s="18" t="n"/>
      <c r="BC69" s="18" t="n"/>
      <c r="BD69" s="18" t="n"/>
      <c r="BE69" s="18" t="n"/>
      <c r="BF69" s="18" t="n"/>
      <c r="BG69" s="18" t="n"/>
      <c r="BH69" s="18" t="n"/>
      <c r="BI69" s="18" t="n"/>
      <c r="BJ69" s="18" t="n"/>
      <c r="BK69" s="18" t="n">
        <v>200</v>
      </c>
      <c r="BL69" s="18" t="n"/>
      <c r="BM69" s="18" t="n"/>
      <c r="BN69" s="18" t="n"/>
      <c r="BO69" s="18" t="n">
        <v>100</v>
      </c>
      <c r="BP69" s="18" t="n"/>
      <c r="BQ69" s="18" t="n"/>
      <c r="BR69" s="18" t="n"/>
      <c r="BS69" s="18" t="n"/>
      <c r="BT69" s="18" t="n"/>
      <c r="BU69" s="18" t="n"/>
      <c r="BV69" s="18" t="n"/>
      <c r="BW69" s="18" t="n"/>
      <c r="BX69" s="256" t="n"/>
      <c r="BY69" s="256" t="n"/>
    </row>
    <row r="70" ht="18.75" customHeight="1">
      <c r="A70" s="43" t="inlineStr">
        <is>
          <t>PAPEL DE SEDA EUDORA</t>
        </is>
      </c>
      <c r="B70" s="149" t="n">
        <v>200</v>
      </c>
      <c r="C70" s="726" t="n">
        <v>29.77</v>
      </c>
      <c r="D70" s="329" t="n"/>
      <c r="F70" s="9" t="n">
        <v>0</v>
      </c>
      <c r="G70" s="9">
        <f>0+BT70</f>
        <v/>
      </c>
      <c r="H70" s="9" t="n">
        <v>2</v>
      </c>
      <c r="I70" s="9" t="n">
        <v>1</v>
      </c>
      <c r="J70" s="9">
        <f>1+BR70</f>
        <v/>
      </c>
      <c r="K70" s="9">
        <f>1+BQ70</f>
        <v/>
      </c>
      <c r="L70" s="9" t="n">
        <v>1</v>
      </c>
      <c r="M70" s="9" t="n">
        <v>1</v>
      </c>
      <c r="N70" s="9" t="n">
        <v>1</v>
      </c>
      <c r="O70" s="9" t="n">
        <v>1</v>
      </c>
      <c r="P70" s="9" t="n">
        <v>1</v>
      </c>
      <c r="Q70" s="9" t="n">
        <v>1</v>
      </c>
      <c r="R70" s="9" t="n">
        <v>5</v>
      </c>
      <c r="S70" s="9">
        <f>5-3-1</f>
        <v/>
      </c>
      <c r="T70" s="9" t="n">
        <v>1</v>
      </c>
      <c r="U70" s="9" t="n">
        <v>1</v>
      </c>
      <c r="V70" s="9" t="n">
        <v>1</v>
      </c>
      <c r="W70" s="9" t="n">
        <v>0</v>
      </c>
      <c r="X70" s="9" t="n">
        <v>0</v>
      </c>
      <c r="Y70" s="9" t="n">
        <v>0</v>
      </c>
      <c r="Z70" s="9" t="n">
        <v>0</v>
      </c>
      <c r="AA70" s="9" t="n">
        <v>0</v>
      </c>
      <c r="AB70" s="9" t="n">
        <v>0</v>
      </c>
      <c r="AC70" s="9" t="n">
        <v>0</v>
      </c>
      <c r="AD70" s="9" t="n">
        <v>0</v>
      </c>
      <c r="AE70" s="9" t="n">
        <v>0</v>
      </c>
      <c r="AF70" s="9" t="n">
        <v>0</v>
      </c>
      <c r="AG70" s="9" t="n">
        <v>0</v>
      </c>
      <c r="AH70" s="9" t="n">
        <v>0</v>
      </c>
      <c r="AI70" s="9" t="n">
        <v>0</v>
      </c>
      <c r="AJ70" s="9" t="n"/>
      <c r="AK70" s="9" t="n"/>
      <c r="AL70" s="9" t="n"/>
      <c r="AM70" s="9" t="n"/>
      <c r="AN70" s="9" t="n"/>
      <c r="AO70" s="9" t="n"/>
      <c r="AP70" s="154">
        <f>AN70+IF(NOT(ISBLANK(OFFSET(AP70,0,6))),N(OFFSET(AP70,0,6)),N(OFFSET(AP70,0,7)))-AO70</f>
        <v/>
      </c>
      <c r="AR70" s="19" t="n"/>
      <c r="AT70" s="27" t="n"/>
      <c r="AU70" s="691" t="n">
        <v>0</v>
      </c>
      <c r="AV70" s="18" t="n">
        <v>0</v>
      </c>
      <c r="AW70" s="18" t="n">
        <v>0</v>
      </c>
      <c r="AX70" s="18" t="n"/>
      <c r="AY70" s="18" t="n"/>
      <c r="AZ70" s="18" t="n"/>
      <c r="BA70" s="18" t="n"/>
      <c r="BB70" s="18" t="n"/>
      <c r="BC70" s="18" t="n"/>
      <c r="BD70" s="18" t="n"/>
      <c r="BE70" s="18" t="n"/>
      <c r="BF70" s="18" t="n"/>
      <c r="BG70" s="18" t="n"/>
      <c r="BH70" s="154" t="inlineStr">
        <is>
          <t>03 P/ ER PG + 01 P/ ER PBE</t>
        </is>
      </c>
      <c r="BI70" s="18" t="n"/>
      <c r="BJ70" s="18" t="n"/>
      <c r="BK70" s="18" t="n"/>
      <c r="BL70" s="18" t="n"/>
      <c r="BM70" s="18" t="n"/>
      <c r="BN70" s="18" t="n"/>
      <c r="BO70" s="18" t="n"/>
      <c r="BP70" s="18" t="n"/>
      <c r="BQ70" s="18" t="n"/>
      <c r="BR70" s="18" t="n">
        <v>1</v>
      </c>
      <c r="BS70" s="18" t="n"/>
      <c r="BT70" s="18" t="n">
        <v>2</v>
      </c>
      <c r="BU70" s="18" t="n">
        <v>1</v>
      </c>
      <c r="BV70" s="18" t="n"/>
      <c r="BW70" s="18" t="n">
        <v>2</v>
      </c>
      <c r="BX70" s="256" t="n"/>
      <c r="BY70" s="256" t="n"/>
    </row>
    <row r="71" ht="18.75" customHeight="1">
      <c r="A71" s="43" t="inlineStr">
        <is>
          <t>ADESIVOS EUDORA</t>
        </is>
      </c>
      <c r="B71" s="149" t="n">
        <v>1000</v>
      </c>
      <c r="C71" s="726" t="n">
        <v>70</v>
      </c>
      <c r="D71" s="329" t="n"/>
      <c r="F71" s="9" t="n">
        <v>0</v>
      </c>
      <c r="G71" s="9">
        <f>0+BT71</f>
        <v/>
      </c>
      <c r="H71" s="9" t="n">
        <v>2</v>
      </c>
      <c r="I71" s="9" t="n">
        <v>1</v>
      </c>
      <c r="J71" s="9">
        <f>1+BR71</f>
        <v/>
      </c>
      <c r="K71" s="9">
        <f>1+BQ71</f>
        <v/>
      </c>
      <c r="L71" s="9" t="n">
        <v>1</v>
      </c>
      <c r="M71" s="9" t="n">
        <v>1</v>
      </c>
      <c r="N71" s="9" t="n">
        <v>1</v>
      </c>
      <c r="O71" s="9" t="n">
        <v>1</v>
      </c>
      <c r="P71" s="9" t="n">
        <v>1</v>
      </c>
      <c r="Q71" s="9" t="n">
        <v>1</v>
      </c>
      <c r="R71" s="9" t="n">
        <v>5</v>
      </c>
      <c r="S71" s="9">
        <f>5-3</f>
        <v/>
      </c>
      <c r="T71" s="9" t="n">
        <v>2</v>
      </c>
      <c r="U71" s="9" t="n">
        <v>2</v>
      </c>
      <c r="V71" s="9" t="n">
        <v>2</v>
      </c>
      <c r="W71" s="9" t="n">
        <v>0</v>
      </c>
      <c r="X71" s="9" t="n">
        <v>0</v>
      </c>
      <c r="Y71" s="9" t="n">
        <v>0</v>
      </c>
      <c r="Z71" s="9" t="n">
        <v>0</v>
      </c>
      <c r="AA71" s="9" t="n">
        <v>0</v>
      </c>
      <c r="AB71" s="9" t="n">
        <v>0</v>
      </c>
      <c r="AC71" s="9" t="n">
        <v>0</v>
      </c>
      <c r="AD71" s="9" t="n">
        <v>0</v>
      </c>
      <c r="AE71" s="9" t="n">
        <v>0</v>
      </c>
      <c r="AF71" s="9" t="n">
        <v>0</v>
      </c>
      <c r="AG71" s="9" t="n">
        <v>0</v>
      </c>
      <c r="AH71" s="9" t="n">
        <v>0</v>
      </c>
      <c r="AI71" s="9" t="n">
        <v>0</v>
      </c>
      <c r="AJ71" s="9" t="n"/>
      <c r="AK71" s="9" t="n"/>
      <c r="AL71" s="9" t="n"/>
      <c r="AM71" s="9" t="n"/>
      <c r="AN71" s="9" t="n"/>
      <c r="AO71" s="9" t="n"/>
      <c r="AP71" s="154">
        <f>AN71+IF(NOT(ISBLANK(OFFSET(AP71,0,6))),N(OFFSET(AP71,0,6)),N(OFFSET(AP71,0,7)))-AO71</f>
        <v/>
      </c>
      <c r="AR71" s="19" t="n"/>
      <c r="AT71" s="27" t="n"/>
      <c r="AU71" s="691" t="n">
        <v>0</v>
      </c>
      <c r="AV71" s="18" t="n">
        <v>0</v>
      </c>
      <c r="AW71" s="18" t="n">
        <v>0</v>
      </c>
      <c r="AX71" s="18" t="n"/>
      <c r="AY71" s="18" t="n"/>
      <c r="AZ71" s="18" t="n"/>
      <c r="BA71" s="18" t="n"/>
      <c r="BB71" s="18" t="n"/>
      <c r="BC71" s="18" t="n"/>
      <c r="BD71" s="18" t="n"/>
      <c r="BE71" s="18" t="n"/>
      <c r="BF71" s="18" t="n"/>
      <c r="BG71" s="18" t="n"/>
      <c r="BH71" s="154" t="inlineStr">
        <is>
          <t>03 P/ ER PG</t>
        </is>
      </c>
      <c r="BI71" s="18" t="n"/>
      <c r="BJ71" s="18" t="n"/>
      <c r="BK71" s="18" t="n"/>
      <c r="BL71" s="18" t="n"/>
      <c r="BM71" s="18" t="n"/>
      <c r="BN71" s="18" t="n"/>
      <c r="BO71" s="18" t="n"/>
      <c r="BP71" s="18" t="n"/>
      <c r="BQ71" s="18" t="n"/>
      <c r="BR71" s="18" t="n">
        <v>1</v>
      </c>
      <c r="BS71" s="18" t="n"/>
      <c r="BT71" s="18" t="n">
        <v>2</v>
      </c>
      <c r="BU71" s="18" t="n">
        <v>1</v>
      </c>
      <c r="BV71" s="18" t="n"/>
      <c r="BW71" s="18" t="n">
        <v>2</v>
      </c>
      <c r="BX71" s="256" t="n"/>
      <c r="BY71" s="256" t="n"/>
    </row>
    <row r="72" ht="18.75" customHeight="1">
      <c r="A72" s="43" t="inlineStr">
        <is>
          <t>LÂMINA OLFATIVA EUDORA</t>
        </is>
      </c>
      <c r="B72" s="204" t="n">
        <v>2000</v>
      </c>
      <c r="C72" s="726" t="n">
        <v>71</v>
      </c>
      <c r="D72" s="329" t="n"/>
      <c r="F72" s="9" t="n">
        <v>0</v>
      </c>
      <c r="G72" s="9" t="n">
        <v>0</v>
      </c>
      <c r="H72" s="9" t="n">
        <v>0</v>
      </c>
      <c r="I72" s="9" t="n">
        <v>0</v>
      </c>
      <c r="J72" s="9" t="n">
        <v>0</v>
      </c>
      <c r="K72" s="9" t="n">
        <v>0</v>
      </c>
      <c r="L72" s="9" t="n">
        <v>0</v>
      </c>
      <c r="M72" s="9" t="n">
        <v>0</v>
      </c>
      <c r="N72" s="9" t="n">
        <v>0</v>
      </c>
      <c r="O72" s="9" t="n">
        <v>0</v>
      </c>
      <c r="P72" s="9" t="n">
        <v>0</v>
      </c>
      <c r="Q72" s="9" t="n">
        <v>0</v>
      </c>
      <c r="R72" s="9" t="n">
        <v>0</v>
      </c>
      <c r="S72" s="9" t="n">
        <v>0</v>
      </c>
      <c r="T72" s="9" t="n">
        <v>0</v>
      </c>
      <c r="U72" s="9" t="n">
        <v>0</v>
      </c>
      <c r="V72" s="9" t="n">
        <v>0</v>
      </c>
      <c r="W72" s="9" t="n">
        <v>0</v>
      </c>
      <c r="X72" s="9" t="n">
        <v>0</v>
      </c>
      <c r="Y72" s="9" t="n">
        <v>0</v>
      </c>
      <c r="Z72" s="9" t="n">
        <v>0</v>
      </c>
      <c r="AA72" s="9" t="n">
        <v>0</v>
      </c>
      <c r="AB72" s="9" t="n">
        <v>0</v>
      </c>
      <c r="AC72" s="9" t="n">
        <v>0</v>
      </c>
      <c r="AD72" s="9" t="n">
        <v>0</v>
      </c>
      <c r="AE72" s="9" t="n">
        <v>0</v>
      </c>
      <c r="AF72" s="9" t="n">
        <v>0</v>
      </c>
      <c r="AG72" s="9" t="n">
        <v>0</v>
      </c>
      <c r="AH72" s="9" t="n">
        <v>0</v>
      </c>
      <c r="AI72" s="9" t="n">
        <v>0</v>
      </c>
      <c r="AJ72" s="9" t="n"/>
      <c r="AK72" s="9" t="n"/>
      <c r="AL72" s="9" t="n"/>
      <c r="AM72" s="9" t="n"/>
      <c r="AN72" s="9" t="n"/>
      <c r="AO72" s="9" t="n"/>
      <c r="AP72" s="154">
        <f>AN72+IF(NOT(ISBLANK(OFFSET(AP72,0,6))),N(OFFSET(AP72,0,6)),N(OFFSET(AP72,0,7)))-AO72</f>
        <v/>
      </c>
      <c r="AR72" s="19" t="n"/>
      <c r="AT72" s="27" t="n"/>
      <c r="AU72" s="691" t="n">
        <v>0</v>
      </c>
      <c r="AV72" s="18" t="n">
        <v>0</v>
      </c>
      <c r="AW72" s="18" t="n">
        <v>0</v>
      </c>
      <c r="AX72" s="18" t="n"/>
      <c r="AY72" s="18" t="n"/>
      <c r="AZ72" s="18" t="n"/>
      <c r="BA72" s="18" t="n"/>
      <c r="BB72" s="18" t="n"/>
      <c r="BC72" s="18" t="n"/>
      <c r="BD72" s="18" t="n"/>
      <c r="BE72" s="18" t="n"/>
      <c r="BF72" s="18" t="n"/>
      <c r="BG72" s="18" t="n"/>
      <c r="BH72" s="18" t="n"/>
      <c r="BI72" s="18" t="n"/>
      <c r="BJ72" s="18" t="n"/>
      <c r="BK72" s="18" t="n"/>
      <c r="BL72" s="18" t="n"/>
      <c r="BM72" s="18" t="n"/>
      <c r="BN72" s="18" t="n"/>
      <c r="BO72" s="18" t="n"/>
      <c r="BP72" s="18" t="n"/>
      <c r="BQ72" s="18" t="n"/>
      <c r="BR72" s="18" t="n"/>
      <c r="BS72" s="18" t="n"/>
      <c r="BT72" s="18" t="n"/>
      <c r="BU72" s="18" t="n"/>
      <c r="BV72" s="18" t="n"/>
      <c r="BW72" s="18" t="n"/>
      <c r="BX72" s="256" t="n"/>
      <c r="BY72" s="256" t="n"/>
    </row>
    <row r="73" ht="18.75" customHeight="1">
      <c r="A73" s="43" t="inlineStr">
        <is>
          <t>KIT SACOLA P EUDORA (C/ 10)</t>
        </is>
      </c>
      <c r="B73" s="149" t="n">
        <v>200</v>
      </c>
      <c r="C73" s="726" t="n">
        <v>184.13</v>
      </c>
      <c r="D73" s="329" t="n"/>
      <c r="F73" s="9" t="n">
        <v>0</v>
      </c>
      <c r="G73" s="9" t="n">
        <v>0</v>
      </c>
      <c r="H73" s="9" t="n">
        <v>0</v>
      </c>
      <c r="I73" s="9" t="n">
        <v>0</v>
      </c>
      <c r="J73" s="9" t="n">
        <v>0</v>
      </c>
      <c r="K73" s="9" t="n">
        <v>0</v>
      </c>
      <c r="L73" s="9" t="n">
        <v>0</v>
      </c>
      <c r="M73" s="190" t="n">
        <v>20</v>
      </c>
      <c r="N73" s="9" t="n">
        <v>19</v>
      </c>
      <c r="O73" s="9" t="n">
        <v>19</v>
      </c>
      <c r="P73" s="9" t="n">
        <v>19</v>
      </c>
      <c r="Q73" s="9" t="n">
        <v>19</v>
      </c>
      <c r="R73" s="9" t="n">
        <v>19</v>
      </c>
      <c r="S73" s="9" t="n">
        <v>19</v>
      </c>
      <c r="T73" s="9" t="n">
        <v>19</v>
      </c>
      <c r="U73" s="190" t="n">
        <v>6</v>
      </c>
      <c r="V73" s="9" t="n">
        <v>6</v>
      </c>
      <c r="W73" s="9" t="n">
        <v>6</v>
      </c>
      <c r="X73" s="9" t="n">
        <v>6</v>
      </c>
      <c r="Y73" s="9" t="n">
        <v>7</v>
      </c>
      <c r="Z73" s="9" t="n">
        <v>7</v>
      </c>
      <c r="AA73" s="9" t="n">
        <v>7</v>
      </c>
      <c r="AB73" s="9" t="n">
        <v>7</v>
      </c>
      <c r="AC73" s="9" t="n">
        <v>7</v>
      </c>
      <c r="AD73" s="9" t="n">
        <v>0</v>
      </c>
      <c r="AE73" s="9" t="n">
        <v>0</v>
      </c>
      <c r="AF73" s="9" t="n">
        <v>0</v>
      </c>
      <c r="AG73" s="9" t="n">
        <v>0</v>
      </c>
      <c r="AH73" s="9" t="n">
        <v>0</v>
      </c>
      <c r="AI73" s="9" t="n">
        <v>0</v>
      </c>
      <c r="AJ73" s="9" t="n">
        <v>0</v>
      </c>
      <c r="AK73" s="9" t="n">
        <v>0</v>
      </c>
      <c r="AL73" s="9" t="n">
        <v>0</v>
      </c>
      <c r="AM73" s="9" t="n">
        <v>0</v>
      </c>
      <c r="AN73" s="9" t="n">
        <v>0</v>
      </c>
      <c r="AO73" s="9" t="n">
        <v>0</v>
      </c>
      <c r="AP73" s="154">
        <f>AN73+IF(NOT(ISBLANK(OFFSET(AP73,0,6))),N(OFFSET(AP73,0,6)),N(OFFSET(AP73,0,7)))-AO73</f>
        <v/>
      </c>
      <c r="AR73" s="233" t="inlineStr">
        <is>
          <t>05 DE CDP</t>
        </is>
      </c>
      <c r="AT73" s="19" t="n"/>
      <c r="AU73" s="691" t="n">
        <v>0</v>
      </c>
      <c r="AV73" s="18" t="n">
        <v>0</v>
      </c>
      <c r="AW73" s="18" t="n">
        <v>0</v>
      </c>
      <c r="AX73" s="18" t="n"/>
      <c r="AY73" s="18" t="n"/>
      <c r="AZ73" s="18" t="n"/>
      <c r="BA73" s="18" t="n"/>
      <c r="BB73" s="18" t="n"/>
      <c r="BC73" s="18" t="n"/>
      <c r="BD73" s="18" t="n"/>
      <c r="BE73" s="18" t="n"/>
      <c r="BF73" s="18" t="n"/>
      <c r="BG73" s="18" t="n"/>
      <c r="BH73" s="18" t="n"/>
      <c r="BI73" s="18" t="n"/>
      <c r="BJ73" s="18" t="n"/>
      <c r="BK73" s="18" t="n"/>
      <c r="BL73" s="18" t="n"/>
      <c r="BM73" s="18" t="n"/>
      <c r="BN73" s="18" t="n"/>
      <c r="BO73" s="18" t="n"/>
      <c r="BP73" s="18" t="n"/>
      <c r="BQ73" s="18" t="n"/>
      <c r="BR73" s="18" t="n"/>
      <c r="BS73" s="18" t="n"/>
      <c r="BT73" s="18" t="n"/>
      <c r="BU73" s="18" t="n"/>
      <c r="BV73" s="18" t="n"/>
      <c r="BW73" s="18" t="n"/>
      <c r="BX73" s="256" t="n"/>
      <c r="BY73" s="256" t="n"/>
    </row>
    <row r="74" ht="18.75" customHeight="1">
      <c r="A74" s="43" t="inlineStr">
        <is>
          <t>KIT SACOLA M EUDORA (C/ 10)</t>
        </is>
      </c>
      <c r="B74" s="149" t="n">
        <v>150</v>
      </c>
      <c r="C74" s="726" t="n">
        <v>181.4</v>
      </c>
      <c r="D74" s="329" t="n"/>
      <c r="F74" s="9">
        <f>0+30</f>
        <v/>
      </c>
      <c r="G74" s="9" t="n">
        <v>30</v>
      </c>
      <c r="H74" s="9" t="n">
        <v>30</v>
      </c>
      <c r="I74" s="9" t="n">
        <v>25</v>
      </c>
      <c r="J74" s="9" t="n">
        <v>19</v>
      </c>
      <c r="K74" s="9" t="n">
        <v>19</v>
      </c>
      <c r="L74" s="9" t="n">
        <v>19</v>
      </c>
      <c r="M74" s="9" t="n">
        <v>19</v>
      </c>
      <c r="N74" s="9" t="n">
        <v>19</v>
      </c>
      <c r="O74" s="9" t="n">
        <v>19</v>
      </c>
      <c r="P74" s="9" t="n">
        <v>19</v>
      </c>
      <c r="Q74" s="9" t="n">
        <v>19</v>
      </c>
      <c r="R74" s="9" t="n">
        <v>19</v>
      </c>
      <c r="S74" s="9" t="n">
        <v>19</v>
      </c>
      <c r="T74" s="9" t="n">
        <v>19</v>
      </c>
      <c r="U74" s="190" t="n">
        <v>0</v>
      </c>
      <c r="V74" s="9" t="n">
        <v>0</v>
      </c>
      <c r="W74" s="9" t="n">
        <v>0</v>
      </c>
      <c r="X74" s="9" t="n">
        <v>0</v>
      </c>
      <c r="Y74" s="9" t="n">
        <v>0</v>
      </c>
      <c r="Z74" s="9" t="n">
        <v>0</v>
      </c>
      <c r="AA74" s="9" t="n">
        <v>0</v>
      </c>
      <c r="AB74" s="9" t="n">
        <v>0</v>
      </c>
      <c r="AC74" s="9" t="n">
        <v>0</v>
      </c>
      <c r="AD74" s="9" t="n">
        <v>0</v>
      </c>
      <c r="AE74" s="9" t="n">
        <v>0</v>
      </c>
      <c r="AF74" s="9" t="n">
        <v>0</v>
      </c>
      <c r="AG74" s="9" t="n">
        <v>0</v>
      </c>
      <c r="AH74" s="9" t="n">
        <v>0</v>
      </c>
      <c r="AI74" s="9" t="n">
        <v>0</v>
      </c>
      <c r="AJ74" s="9" t="n">
        <v>0</v>
      </c>
      <c r="AK74" s="9" t="n">
        <v>0</v>
      </c>
      <c r="AL74" s="9" t="n">
        <v>0</v>
      </c>
      <c r="AM74" s="9" t="n">
        <v>0</v>
      </c>
      <c r="AN74" s="9" t="n">
        <v>0</v>
      </c>
      <c r="AO74" s="9" t="n">
        <v>0</v>
      </c>
      <c r="AP74" s="154">
        <f>AN74+IF(NOT(ISBLANK(OFFSET(AP74,0,6))),N(OFFSET(AP74,0,6)),N(OFFSET(AP74,0,7)))-AO74</f>
        <v/>
      </c>
      <c r="AR74" s="233" t="inlineStr">
        <is>
          <t>05 DE CDP</t>
        </is>
      </c>
      <c r="AT74" s="27" t="n"/>
      <c r="AU74" s="691" t="n">
        <v>0</v>
      </c>
      <c r="AV74" s="18" t="n">
        <v>0</v>
      </c>
      <c r="AW74" s="18" t="n">
        <v>0</v>
      </c>
      <c r="AX74" s="18" t="n"/>
      <c r="AY74" s="18" t="n"/>
      <c r="AZ74" s="18" t="n"/>
      <c r="BA74" s="18" t="n"/>
      <c r="BB74" s="18" t="n"/>
      <c r="BC74" s="18" t="n"/>
      <c r="BD74" s="18" t="n"/>
      <c r="BE74" s="18" t="n"/>
      <c r="BF74" s="18" t="n"/>
      <c r="BG74" s="18" t="n"/>
      <c r="BH74" s="18" t="n"/>
      <c r="BI74" s="18" t="n"/>
      <c r="BJ74" s="18" t="n"/>
      <c r="BK74" s="18" t="n"/>
      <c r="BL74" s="18" t="n"/>
      <c r="BM74" s="18" t="n"/>
      <c r="BN74" s="18" t="n"/>
      <c r="BO74" s="18" t="n"/>
      <c r="BP74" s="18" t="n"/>
      <c r="BQ74" s="18" t="n"/>
      <c r="BR74" s="18" t="n"/>
      <c r="BS74" s="18" t="n"/>
      <c r="BT74" s="18" t="n"/>
      <c r="BU74" s="18" t="n"/>
      <c r="BV74" s="18" t="n"/>
      <c r="BW74" s="18" t="n"/>
      <c r="BX74" s="256" t="n"/>
      <c r="BY74" s="154" t="inlineStr">
        <is>
          <t>30 DE ER PBE</t>
        </is>
      </c>
    </row>
    <row r="75" ht="18.75" customHeight="1">
      <c r="A75" s="43" t="inlineStr">
        <is>
          <t>KIT SACOLA G EUDORA (C/ 10)</t>
        </is>
      </c>
      <c r="B75" s="149" t="inlineStr">
        <is>
          <t>-</t>
        </is>
      </c>
      <c r="C75" s="726" t="inlineStr">
        <is>
          <t>-</t>
        </is>
      </c>
      <c r="D75" s="329" t="n"/>
      <c r="F75" s="9" t="n">
        <v>0</v>
      </c>
      <c r="G75" s="9" t="n">
        <v>0</v>
      </c>
      <c r="H75" s="9" t="n">
        <v>0</v>
      </c>
      <c r="I75" s="9" t="n">
        <v>0</v>
      </c>
      <c r="J75" s="9" t="n">
        <v>0</v>
      </c>
      <c r="K75" s="9" t="n">
        <v>0</v>
      </c>
      <c r="L75" s="9" t="n">
        <v>0</v>
      </c>
      <c r="M75" s="9" t="n">
        <v>0</v>
      </c>
      <c r="N75" s="9" t="n">
        <v>0</v>
      </c>
      <c r="O75" s="9" t="n">
        <v>0</v>
      </c>
      <c r="P75" s="9" t="n">
        <v>0</v>
      </c>
      <c r="Q75" s="9" t="n">
        <v>0</v>
      </c>
      <c r="R75" s="9" t="n">
        <v>0</v>
      </c>
      <c r="S75" s="9" t="n">
        <v>0</v>
      </c>
      <c r="T75" s="9" t="n">
        <v>0</v>
      </c>
      <c r="U75" s="9" t="n">
        <v>0</v>
      </c>
      <c r="V75" s="9" t="n">
        <v>0</v>
      </c>
      <c r="W75" s="9" t="n">
        <v>0</v>
      </c>
      <c r="X75" s="9" t="n">
        <v>0</v>
      </c>
      <c r="Y75" s="9" t="n">
        <v>0</v>
      </c>
      <c r="Z75" s="9" t="n">
        <v>0</v>
      </c>
      <c r="AA75" s="9" t="n">
        <v>0</v>
      </c>
      <c r="AB75" s="9" t="n">
        <v>0</v>
      </c>
      <c r="AC75" s="9" t="n">
        <v>0</v>
      </c>
      <c r="AD75" s="9" t="n">
        <v>0</v>
      </c>
      <c r="AE75" s="9" t="n">
        <v>0</v>
      </c>
      <c r="AF75" s="9" t="n">
        <v>0</v>
      </c>
      <c r="AG75" s="9" t="n">
        <v>0</v>
      </c>
      <c r="AH75" s="9" t="n">
        <v>0</v>
      </c>
      <c r="AI75" s="9" t="n">
        <v>0</v>
      </c>
      <c r="AJ75" s="9" t="n">
        <v>0</v>
      </c>
      <c r="AK75" s="9" t="n">
        <v>0</v>
      </c>
      <c r="AL75" s="9" t="n">
        <v>0</v>
      </c>
      <c r="AM75" s="9" t="n">
        <v>0</v>
      </c>
      <c r="AN75" s="9" t="n">
        <v>0</v>
      </c>
      <c r="AO75" s="9" t="n">
        <v>0</v>
      </c>
      <c r="AP75" s="154">
        <f>AN75+IF(NOT(ISBLANK(OFFSET(AP75,0,6))),N(OFFSET(AP75,0,6)),N(OFFSET(AP75,0,7)))-AO75</f>
        <v/>
      </c>
      <c r="AR75" s="233" t="inlineStr">
        <is>
          <t>05 DE CDP</t>
        </is>
      </c>
      <c r="AT75" s="27" t="n"/>
      <c r="AU75" s="691" t="n">
        <v>0</v>
      </c>
      <c r="AV75" s="18" t="n">
        <v>0</v>
      </c>
      <c r="AW75" s="18" t="n">
        <v>0</v>
      </c>
      <c r="AX75" s="18" t="n"/>
      <c r="AY75" s="18" t="n"/>
      <c r="AZ75" s="18" t="n"/>
      <c r="BA75" s="18" t="n"/>
      <c r="BB75" s="18" t="n"/>
      <c r="BC75" s="18" t="n"/>
      <c r="BD75" s="18" t="n"/>
      <c r="BE75" s="18" t="n"/>
      <c r="BF75" s="18" t="n"/>
      <c r="BG75" s="18" t="n"/>
      <c r="BH75" s="18" t="n"/>
      <c r="BI75" s="18" t="n"/>
      <c r="BJ75" s="18" t="n"/>
      <c r="BK75" s="18" t="n"/>
      <c r="BL75" s="18" t="n"/>
      <c r="BM75" s="18" t="n"/>
      <c r="BN75" s="18" t="n"/>
      <c r="BO75" s="18" t="n"/>
      <c r="BP75" s="18" t="n"/>
      <c r="BQ75" s="18" t="n"/>
      <c r="BR75" s="18" t="n"/>
      <c r="BS75" s="18" t="n"/>
      <c r="BT75" s="18" t="n"/>
      <c r="BU75" s="18" t="n"/>
      <c r="BV75" s="18" t="n"/>
      <c r="BW75" s="18" t="n"/>
      <c r="BX75" s="256" t="n"/>
      <c r="BY75" s="256" t="n"/>
    </row>
    <row r="76" ht="18.75" customHeight="1">
      <c r="A76" s="43" t="inlineStr">
        <is>
          <t>CAIXA P EUDORA</t>
        </is>
      </c>
      <c r="B76" s="149" t="n">
        <v>150</v>
      </c>
      <c r="C76" s="726" t="n">
        <v>400.5</v>
      </c>
      <c r="D76" s="329" t="n"/>
      <c r="F76" s="9">
        <f>0+20</f>
        <v/>
      </c>
      <c r="G76" s="9" t="n">
        <v>20</v>
      </c>
      <c r="H76" s="9" t="n">
        <v>20</v>
      </c>
      <c r="I76" s="9" t="n">
        <v>20</v>
      </c>
      <c r="J76" s="9" t="n">
        <v>20</v>
      </c>
      <c r="K76" s="9" t="n">
        <v>20</v>
      </c>
      <c r="L76" s="9" t="n">
        <v>20</v>
      </c>
      <c r="M76" s="9" t="n">
        <v>0</v>
      </c>
      <c r="N76" s="9" t="n">
        <v>2</v>
      </c>
      <c r="O76" s="9" t="n">
        <v>0</v>
      </c>
      <c r="P76" s="9" t="n">
        <v>0</v>
      </c>
      <c r="Q76" s="9" t="n">
        <v>0</v>
      </c>
      <c r="R76" s="9" t="n">
        <v>0</v>
      </c>
      <c r="S76" s="9" t="n">
        <v>0</v>
      </c>
      <c r="T76" s="9" t="n">
        <v>0</v>
      </c>
      <c r="U76" s="9" t="n">
        <v>1</v>
      </c>
      <c r="V76" s="9" t="n">
        <v>1</v>
      </c>
      <c r="W76" s="9" t="n">
        <v>1</v>
      </c>
      <c r="X76" s="9" t="n">
        <v>1</v>
      </c>
      <c r="Y76" s="9" t="n">
        <v>1</v>
      </c>
      <c r="Z76" s="9" t="n">
        <v>1</v>
      </c>
      <c r="AA76" s="9" t="n">
        <v>1</v>
      </c>
      <c r="AB76" s="9" t="n">
        <v>1</v>
      </c>
      <c r="AC76" s="9" t="n">
        <v>1</v>
      </c>
      <c r="AD76" s="9" t="n">
        <v>1</v>
      </c>
      <c r="AE76" s="9" t="n">
        <v>1</v>
      </c>
      <c r="AF76" s="9" t="n">
        <v>1</v>
      </c>
      <c r="AG76" s="9" t="n">
        <v>1</v>
      </c>
      <c r="AH76" s="9" t="n">
        <v>1</v>
      </c>
      <c r="AI76" s="9" t="n">
        <v>1</v>
      </c>
      <c r="AJ76" s="9" t="n">
        <v>1</v>
      </c>
      <c r="AK76" s="9" t="n">
        <v>1</v>
      </c>
      <c r="AL76" s="9" t="n">
        <v>1</v>
      </c>
      <c r="AM76" s="9" t="n">
        <v>1</v>
      </c>
      <c r="AN76" s="9" t="n">
        <v>1</v>
      </c>
      <c r="AO76" s="9" t="n">
        <v>1</v>
      </c>
      <c r="AP76" s="154">
        <f>AN76+IF(NOT(ISBLANK(OFFSET(AP76,0,6))),N(OFFSET(AP76,0,6)),N(OFFSET(AP76,0,7)))-AO76</f>
        <v/>
      </c>
      <c r="AR76" s="19" t="n"/>
      <c r="AT76" s="19" t="n"/>
      <c r="AU76" s="691" t="n">
        <v>0</v>
      </c>
      <c r="AV76" s="18" t="n">
        <v>0</v>
      </c>
      <c r="AW76" s="18" t="n">
        <v>0</v>
      </c>
      <c r="AX76" s="18" t="n"/>
      <c r="AY76" s="18" t="n"/>
      <c r="AZ76" s="18" t="n"/>
      <c r="BA76" s="18" t="n"/>
      <c r="BB76" s="18" t="n"/>
      <c r="BC76" s="18" t="n"/>
      <c r="BD76" s="18" t="n"/>
      <c r="BE76" s="18" t="n"/>
      <c r="BF76" s="18" t="n"/>
      <c r="BG76" s="18" t="n"/>
      <c r="BH76" s="18" t="n"/>
      <c r="BI76" s="18" t="n"/>
      <c r="BJ76" s="18" t="n"/>
      <c r="BK76" s="18" t="n"/>
      <c r="BL76" s="18" t="n"/>
      <c r="BM76" s="18" t="n"/>
      <c r="BN76" s="18" t="n"/>
      <c r="BO76" s="18" t="n"/>
      <c r="BP76" s="18" t="n"/>
      <c r="BQ76" s="18" t="n"/>
      <c r="BR76" s="18" t="n"/>
      <c r="BS76" s="18" t="n"/>
      <c r="BT76" s="18" t="n"/>
      <c r="BU76" s="18" t="n"/>
      <c r="BV76" s="18" t="n"/>
      <c r="BW76" s="18" t="n"/>
      <c r="BX76" s="256" t="n"/>
      <c r="BY76" s="154" t="inlineStr">
        <is>
          <t xml:space="preserve">20 DE ER PG </t>
        </is>
      </c>
    </row>
    <row r="77" ht="18.75" customHeight="1">
      <c r="A77" s="43" t="inlineStr">
        <is>
          <t>CAIXA M EUDORA</t>
        </is>
      </c>
      <c r="B77" s="149" t="n">
        <v>100</v>
      </c>
      <c r="C77" s="726" t="n">
        <v>365</v>
      </c>
      <c r="D77" s="329" t="n"/>
      <c r="F77" s="9">
        <f>0+20</f>
        <v/>
      </c>
      <c r="G77" s="9" t="n">
        <v>20</v>
      </c>
      <c r="H77" s="9" t="n">
        <v>20</v>
      </c>
      <c r="I77" s="9" t="n">
        <v>20</v>
      </c>
      <c r="J77" s="9" t="n">
        <v>20</v>
      </c>
      <c r="K77" s="9" t="n">
        <v>20</v>
      </c>
      <c r="L77" s="9" t="n">
        <v>20</v>
      </c>
      <c r="M77" s="9" t="n">
        <v>20</v>
      </c>
      <c r="N77" s="9" t="n">
        <v>20</v>
      </c>
      <c r="O77" s="9" t="n">
        <v>20</v>
      </c>
      <c r="P77" s="9" t="n">
        <v>20</v>
      </c>
      <c r="Q77" s="9" t="n">
        <v>20</v>
      </c>
      <c r="R77" s="9" t="n">
        <v>20</v>
      </c>
      <c r="S77" s="9" t="n">
        <v>20</v>
      </c>
      <c r="T77" s="9" t="n">
        <v>20</v>
      </c>
      <c r="U77" s="190" t="n">
        <v>1</v>
      </c>
      <c r="V77" s="9" t="n">
        <v>1</v>
      </c>
      <c r="W77" s="9" t="n">
        <v>1</v>
      </c>
      <c r="X77" s="9" t="n">
        <v>1</v>
      </c>
      <c r="Y77" s="9" t="n">
        <v>1</v>
      </c>
      <c r="Z77" s="9" t="n">
        <v>1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9" t="n">
        <v>0</v>
      </c>
      <c r="AP77" s="154">
        <f>AN77+IF(NOT(ISBLANK(OFFSET(AP77,0,6))),N(OFFSET(AP77,0,6)),N(OFFSET(AP77,0,7)))-AO77</f>
        <v/>
      </c>
      <c r="AR77" s="19" t="n"/>
      <c r="AT77" s="19" t="n"/>
      <c r="AU77" s="691" t="n">
        <v>0</v>
      </c>
      <c r="AV77" s="18" t="n">
        <v>0</v>
      </c>
      <c r="AW77" s="18" t="n">
        <v>0</v>
      </c>
      <c r="AX77" s="18" t="n"/>
      <c r="AY77" s="18" t="n"/>
      <c r="AZ77" s="18" t="n"/>
      <c r="BA77" s="18" t="n"/>
      <c r="BB77" s="18" t="n"/>
      <c r="BC77" s="18" t="n"/>
      <c r="BD77" s="18" t="n"/>
      <c r="BE77" s="18" t="n"/>
      <c r="BF77" s="18" t="n"/>
      <c r="BG77" s="18" t="n"/>
      <c r="BH77" s="18" t="n"/>
      <c r="BI77" s="18" t="n"/>
      <c r="BJ77" s="18" t="n"/>
      <c r="BK77" s="18" t="n"/>
      <c r="BL77" s="18" t="n"/>
      <c r="BM77" s="18" t="n"/>
      <c r="BN77" s="18" t="n"/>
      <c r="BO77" s="18" t="n"/>
      <c r="BP77" s="18" t="n"/>
      <c r="BQ77" s="18" t="n"/>
      <c r="BR77" s="18" t="n"/>
      <c r="BS77" s="18" t="n"/>
      <c r="BT77" s="18" t="n"/>
      <c r="BU77" s="18" t="n"/>
      <c r="BV77" s="18" t="n"/>
      <c r="BW77" s="18" t="n"/>
      <c r="BX77" s="256" t="n"/>
      <c r="BY77" s="154" t="inlineStr">
        <is>
          <t>20 DE ER PBE ( CÓD. 88796 )</t>
        </is>
      </c>
    </row>
    <row r="78" ht="18.75" customHeight="1">
      <c r="A78" s="43" t="inlineStr">
        <is>
          <t>CAIXA G EUDORA</t>
        </is>
      </c>
      <c r="B78" s="149" t="n">
        <v>75</v>
      </c>
      <c r="C78" s="726" t="n">
        <v>438.75</v>
      </c>
      <c r="D78" s="329" t="n"/>
      <c r="F78" s="9">
        <f>0+10+5</f>
        <v/>
      </c>
      <c r="G78" s="9" t="n">
        <v>15</v>
      </c>
      <c r="H78" s="9" t="n">
        <v>15</v>
      </c>
      <c r="I78" s="9" t="n">
        <v>15</v>
      </c>
      <c r="J78" s="9" t="n">
        <v>15</v>
      </c>
      <c r="K78" s="9" t="n">
        <v>15</v>
      </c>
      <c r="L78" s="9" t="n">
        <v>15</v>
      </c>
      <c r="M78" s="9" t="n">
        <v>15</v>
      </c>
      <c r="N78" s="9" t="n">
        <v>15</v>
      </c>
      <c r="O78" s="9" t="n">
        <v>15</v>
      </c>
      <c r="P78" s="9" t="n">
        <v>15</v>
      </c>
      <c r="Q78" s="9" t="n">
        <v>15</v>
      </c>
      <c r="R78" s="9" t="n">
        <v>15</v>
      </c>
      <c r="S78" s="9" t="n">
        <v>15</v>
      </c>
      <c r="T78" s="9" t="n">
        <v>15</v>
      </c>
      <c r="U78" s="9" t="n">
        <v>15</v>
      </c>
      <c r="V78" s="9" t="n">
        <v>15</v>
      </c>
      <c r="W78" s="9" t="n">
        <v>15</v>
      </c>
      <c r="X78" s="9" t="n">
        <v>15</v>
      </c>
      <c r="Y78" s="9" t="n">
        <v>15</v>
      </c>
      <c r="Z78" s="9" t="n">
        <v>15</v>
      </c>
      <c r="AA78" s="9" t="n">
        <v>15</v>
      </c>
      <c r="AB78" s="9" t="n">
        <v>15</v>
      </c>
      <c r="AC78" s="9" t="n">
        <v>15</v>
      </c>
      <c r="AD78" s="9" t="n">
        <v>15</v>
      </c>
      <c r="AE78" s="9" t="n">
        <v>15</v>
      </c>
      <c r="AF78" s="9" t="n">
        <v>15</v>
      </c>
      <c r="AG78" s="9" t="n">
        <v>15</v>
      </c>
      <c r="AH78" s="9" t="n">
        <v>15</v>
      </c>
      <c r="AI78" s="9" t="n">
        <v>15</v>
      </c>
      <c r="AJ78" s="9" t="n">
        <v>15</v>
      </c>
      <c r="AK78" s="9" t="n">
        <v>15</v>
      </c>
      <c r="AL78" s="9" t="n">
        <v>15</v>
      </c>
      <c r="AM78" s="9" t="n">
        <v>15</v>
      </c>
      <c r="AN78" s="9" t="n">
        <v>15</v>
      </c>
      <c r="AO78" s="9" t="n">
        <v>15</v>
      </c>
      <c r="AP78" s="154">
        <f>AN78+IF(NOT(ISBLANK(OFFSET(AP78,0,6))),N(OFFSET(AP78,0,6)),N(OFFSET(AP78,0,7)))-AO78</f>
        <v/>
      </c>
      <c r="AR78" s="19" t="n"/>
      <c r="AT78" s="19" t="n"/>
      <c r="AU78" s="691" t="n">
        <v>0</v>
      </c>
      <c r="AV78" s="18" t="n">
        <v>0</v>
      </c>
      <c r="AW78" s="18" t="n">
        <v>0</v>
      </c>
      <c r="AX78" s="18" t="n"/>
      <c r="AY78" s="18" t="n"/>
      <c r="AZ78" s="18" t="n"/>
      <c r="BA78" s="18" t="n"/>
      <c r="BB78" s="18" t="n"/>
      <c r="BC78" s="18" t="n"/>
      <c r="BD78" s="18" t="n"/>
      <c r="BE78" s="18" t="n"/>
      <c r="BF78" s="18" t="n"/>
      <c r="BG78" s="18" t="n"/>
      <c r="BH78" s="18" t="n"/>
      <c r="BI78" s="18" t="n"/>
      <c r="BJ78" s="18" t="n"/>
      <c r="BK78" s="18" t="n"/>
      <c r="BL78" s="18" t="n"/>
      <c r="BM78" s="18" t="n"/>
      <c r="BN78" s="18" t="n"/>
      <c r="BO78" s="18" t="n"/>
      <c r="BP78" s="18" t="n"/>
      <c r="BQ78" s="18" t="n"/>
      <c r="BR78" s="18" t="n"/>
      <c r="BS78" s="18" t="n"/>
      <c r="BT78" s="18" t="n"/>
      <c r="BU78" s="18" t="n"/>
      <c r="BV78" s="18" t="n"/>
      <c r="BW78" s="18" t="n"/>
      <c r="BX78" s="256" t="n"/>
      <c r="BY78" s="154" t="inlineStr">
        <is>
          <t>10 DE ER PG + 05 DE ER PB</t>
        </is>
      </c>
    </row>
    <row r="79" ht="18.75" customHeight="1">
      <c r="A79" s="31" t="n"/>
      <c r="B79" s="53" t="n"/>
      <c r="C79" s="53" t="n"/>
      <c r="E79" s="53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  <c r="AA79" s="4" t="n"/>
      <c r="AB79" s="4" t="n"/>
      <c r="AC79" s="4" t="n"/>
      <c r="AD79" s="4" t="n"/>
      <c r="AE79" s="4" t="n"/>
      <c r="AF79" s="4" t="n"/>
      <c r="AG79" s="4" t="n"/>
      <c r="AH79" s="4" t="n"/>
      <c r="AI79" s="4" t="n"/>
      <c r="AJ79" s="4" t="n"/>
      <c r="AK79" s="4" t="n"/>
      <c r="AL79" s="4" t="n"/>
      <c r="AM79" s="2" t="n"/>
      <c r="AN79" s="2" t="n"/>
      <c r="AO79" s="2" t="n"/>
      <c r="AP79" s="53" t="n"/>
      <c r="AR79" s="69" t="n"/>
    </row>
    <row r="80" hidden="1" ht="18.75" customHeight="1">
      <c r="A80" s="374" t="inlineStr">
        <is>
          <t>HARRY POTTER/25</t>
        </is>
      </c>
      <c r="B80" s="375" t="inlineStr">
        <is>
          <t>PC</t>
        </is>
      </c>
      <c r="C80" s="375" t="inlineStr">
        <is>
          <t>R$</t>
        </is>
      </c>
      <c r="D80" s="375" t="n"/>
      <c r="E80" s="53" t="n"/>
      <c r="F80" s="4" t="n"/>
      <c r="G80" s="4" t="n"/>
      <c r="H80" s="4" t="n"/>
      <c r="I80" s="650" t="n">
        <v>45971</v>
      </c>
      <c r="J80" s="650" t="n">
        <v>45978</v>
      </c>
      <c r="K80" s="650" t="n">
        <v>45985</v>
      </c>
      <c r="L80" s="650" t="n">
        <v>45992</v>
      </c>
      <c r="M80" s="650" t="n">
        <v>45999</v>
      </c>
      <c r="N80" s="650" t="n">
        <v>46006</v>
      </c>
      <c r="O80" s="650" t="n">
        <v>46013</v>
      </c>
      <c r="P80" s="650" t="n">
        <v>46020</v>
      </c>
      <c r="Q80" s="650" t="n">
        <v>46027</v>
      </c>
      <c r="R80" s="650" t="n">
        <v>46034</v>
      </c>
      <c r="S80" s="650" t="n">
        <v>46041</v>
      </c>
      <c r="T80" s="650" t="n">
        <v>46048</v>
      </c>
      <c r="U80" s="650" t="n"/>
      <c r="V80" s="650" t="n"/>
      <c r="W80" s="650" t="n"/>
      <c r="X80" s="650" t="n"/>
      <c r="Y80" s="650" t="n"/>
      <c r="Z80" s="650" t="n"/>
      <c r="AA80" s="650" t="n"/>
      <c r="AB80" s="650" t="n"/>
      <c r="AC80" s="650" t="n"/>
      <c r="AD80" s="650" t="n"/>
      <c r="AE80" s="650" t="n"/>
      <c r="AF80" s="650" t="n"/>
      <c r="AG80" s="650" t="n"/>
      <c r="AH80" s="650" t="n"/>
      <c r="AI80" s="650" t="n"/>
      <c r="AJ80" s="650" t="n"/>
      <c r="AK80" s="650" t="n"/>
      <c r="AL80" s="650" t="n"/>
      <c r="AM80" s="650" t="n"/>
      <c r="AN80" s="650" t="n"/>
      <c r="AO80" s="650" t="n"/>
      <c r="AP80" s="660" t="inlineStr">
        <is>
          <t>USOU</t>
        </is>
      </c>
      <c r="AR80" s="69" t="n"/>
    </row>
    <row r="81" hidden="1" ht="18.75" customHeight="1">
      <c r="A81" s="33" t="inlineStr">
        <is>
          <t>SACOLA G HP/25</t>
        </is>
      </c>
      <c r="B81" s="9" t="n">
        <v>100</v>
      </c>
      <c r="C81" s="662" t="n">
        <v>316</v>
      </c>
      <c r="D81" s="329" t="n"/>
      <c r="E81" s="53" t="n"/>
      <c r="F81" s="4" t="n"/>
      <c r="G81" s="4" t="n"/>
      <c r="H81" s="4" t="n"/>
      <c r="I81" s="38" t="n"/>
      <c r="J81" s="38" t="n"/>
      <c r="K81" s="38" t="n">
        <v>0</v>
      </c>
      <c r="L81" s="38" t="n">
        <v>0</v>
      </c>
      <c r="M81" s="38" t="n">
        <v>0</v>
      </c>
      <c r="N81" s="38" t="n">
        <v>0</v>
      </c>
      <c r="O81" s="38" t="n">
        <v>0</v>
      </c>
      <c r="P81" s="38" t="n">
        <v>0</v>
      </c>
      <c r="Q81" s="38" t="n">
        <v>0</v>
      </c>
      <c r="R81" s="38" t="n">
        <v>0</v>
      </c>
      <c r="S81" s="38" t="n">
        <v>0</v>
      </c>
      <c r="T81" s="38" t="n">
        <v>0</v>
      </c>
      <c r="U81" s="38" t="n"/>
      <c r="V81" s="38" t="n"/>
      <c r="W81" s="38" t="n"/>
      <c r="X81" s="38" t="n"/>
      <c r="Y81" s="38" t="n"/>
      <c r="Z81" s="38" t="n"/>
      <c r="AA81" s="38" t="n"/>
      <c r="AB81" s="38" t="n"/>
      <c r="AC81" s="38" t="n"/>
      <c r="AD81" s="38" t="n"/>
      <c r="AE81" s="38" t="n"/>
      <c r="AF81" s="38" t="n"/>
      <c r="AG81" s="38" t="n"/>
      <c r="AH81" s="38" t="n"/>
      <c r="AI81" s="38" t="n"/>
      <c r="AJ81" s="38" t="n"/>
      <c r="AK81" s="38" t="n"/>
      <c r="AL81" s="38" t="n"/>
      <c r="AM81" s="9" t="n"/>
      <c r="AN81" s="9" t="n"/>
      <c r="AO81" s="9" t="n"/>
      <c r="AP81" s="246" t="n">
        <v>0</v>
      </c>
      <c r="AR81" s="69" t="n"/>
    </row>
    <row r="82" hidden="1" ht="18.75" customHeight="1">
      <c r="A82" s="33" t="inlineStr">
        <is>
          <t>TAG HP/25</t>
        </is>
      </c>
      <c r="B82" s="9" t="n">
        <v>100</v>
      </c>
      <c r="C82" s="662" t="n">
        <v>41</v>
      </c>
      <c r="D82" s="329" t="n"/>
      <c r="E82" s="53" t="n"/>
      <c r="F82" s="4" t="n"/>
      <c r="G82" s="4" t="n"/>
      <c r="H82" s="4" t="n"/>
      <c r="I82" s="38" t="n"/>
      <c r="J82" s="38" t="n"/>
      <c r="K82" s="38" t="n">
        <v>0</v>
      </c>
      <c r="L82" s="38" t="n">
        <v>0</v>
      </c>
      <c r="M82" s="38" t="n">
        <v>0</v>
      </c>
      <c r="N82" s="38" t="n">
        <v>0</v>
      </c>
      <c r="O82" s="38" t="n">
        <v>0</v>
      </c>
      <c r="P82" s="38" t="n">
        <v>0</v>
      </c>
      <c r="Q82" s="38" t="n">
        <v>0</v>
      </c>
      <c r="R82" s="38" t="n">
        <v>0</v>
      </c>
      <c r="S82" s="38" t="n">
        <v>0</v>
      </c>
      <c r="T82" s="38" t="n">
        <v>0</v>
      </c>
      <c r="U82" s="38" t="n"/>
      <c r="V82" s="38" t="n"/>
      <c r="W82" s="38" t="n"/>
      <c r="X82" s="38" t="n"/>
      <c r="Y82" s="38" t="n"/>
      <c r="Z82" s="38" t="n"/>
      <c r="AA82" s="38" t="n"/>
      <c r="AB82" s="38" t="n"/>
      <c r="AC82" s="38" t="n"/>
      <c r="AD82" s="38" t="n"/>
      <c r="AE82" s="38" t="n"/>
      <c r="AF82" s="38" t="n"/>
      <c r="AG82" s="38" t="n"/>
      <c r="AH82" s="38" t="n"/>
      <c r="AI82" s="38" t="n"/>
      <c r="AJ82" s="38" t="n"/>
      <c r="AK82" s="38" t="n"/>
      <c r="AL82" s="38" t="n"/>
      <c r="AM82" s="9" t="n"/>
      <c r="AN82" s="9" t="n"/>
      <c r="AO82" s="9" t="n"/>
      <c r="AP82" s="246" t="n">
        <v>0</v>
      </c>
      <c r="AR82" s="69" t="n"/>
    </row>
    <row r="83" hidden="1" ht="18.75" customHeight="1">
      <c r="A83" s="33" t="inlineStr">
        <is>
          <t>CARTUCHO P HP/25</t>
        </is>
      </c>
      <c r="B83" s="9" t="n">
        <v>150</v>
      </c>
      <c r="C83" s="662" t="n">
        <v>478.5</v>
      </c>
      <c r="D83" s="329" t="n"/>
      <c r="E83" s="53" t="n"/>
      <c r="F83" s="4" t="n"/>
      <c r="G83" s="4" t="n"/>
      <c r="H83" s="4" t="n"/>
      <c r="I83" s="38" t="n"/>
      <c r="J83" s="38" t="n"/>
      <c r="K83" s="38" t="n">
        <v>0</v>
      </c>
      <c r="L83" s="38" t="n">
        <v>0</v>
      </c>
      <c r="M83" s="38" t="n">
        <v>0</v>
      </c>
      <c r="N83" s="38" t="n">
        <v>0</v>
      </c>
      <c r="O83" s="38" t="n">
        <v>0</v>
      </c>
      <c r="P83" s="38" t="n">
        <v>0</v>
      </c>
      <c r="Q83" s="38" t="n">
        <v>0</v>
      </c>
      <c r="R83" s="38" t="n">
        <v>0</v>
      </c>
      <c r="S83" s="38" t="n">
        <v>0</v>
      </c>
      <c r="T83" s="38" t="n">
        <v>0</v>
      </c>
      <c r="U83" s="38" t="n"/>
      <c r="V83" s="38" t="n"/>
      <c r="W83" s="38" t="n"/>
      <c r="X83" s="38" t="n"/>
      <c r="Y83" s="38" t="n"/>
      <c r="Z83" s="38" t="n"/>
      <c r="AA83" s="38" t="n"/>
      <c r="AB83" s="38" t="n"/>
      <c r="AC83" s="38" t="n"/>
      <c r="AD83" s="38" t="n"/>
      <c r="AE83" s="38" t="n"/>
      <c r="AF83" s="38" t="n"/>
      <c r="AG83" s="38" t="n"/>
      <c r="AH83" s="38" t="n"/>
      <c r="AI83" s="38" t="n"/>
      <c r="AJ83" s="38" t="n"/>
      <c r="AK83" s="38" t="n"/>
      <c r="AL83" s="38" t="n"/>
      <c r="AM83" s="9" t="n"/>
      <c r="AN83" s="9" t="n"/>
      <c r="AO83" s="9" t="n"/>
      <c r="AP83" s="246" t="n">
        <v>0</v>
      </c>
      <c r="AR83" s="69" t="n"/>
    </row>
    <row r="84" hidden="1" ht="18.75" customHeight="1">
      <c r="A84" s="31" t="n"/>
      <c r="B84" s="53" t="n"/>
      <c r="C84" s="53" t="n"/>
      <c r="E84" s="53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  <c r="AA84" s="4" t="n"/>
      <c r="AB84" s="4" t="n"/>
      <c r="AC84" s="4" t="n"/>
      <c r="AD84" s="4" t="n"/>
      <c r="AE84" s="4" t="n"/>
      <c r="AF84" s="4" t="n"/>
      <c r="AG84" s="4" t="n"/>
      <c r="AH84" s="4" t="n"/>
      <c r="AI84" s="4" t="n"/>
      <c r="AJ84" s="4" t="n"/>
      <c r="AK84" s="4" t="n"/>
      <c r="AL84" s="4" t="n"/>
      <c r="AM84" s="2" t="n"/>
      <c r="AN84" s="2" t="n"/>
      <c r="AO84" s="2" t="n"/>
      <c r="AP84" s="53" t="n"/>
      <c r="AR84" s="69" t="n"/>
    </row>
    <row r="85" ht="18.75" customHeight="1">
      <c r="A85" s="406" t="inlineStr">
        <is>
          <t>HOMEM ARANHA/25</t>
        </is>
      </c>
      <c r="B85" s="407" t="inlineStr">
        <is>
          <t>PC</t>
        </is>
      </c>
      <c r="C85" s="407" t="inlineStr">
        <is>
          <t>R$</t>
        </is>
      </c>
      <c r="D85" s="407" t="n"/>
      <c r="E85" s="53" t="n"/>
      <c r="F85" s="4" t="n"/>
      <c r="G85" s="4" t="n"/>
      <c r="H85" s="4" t="n"/>
      <c r="I85" s="650" t="n">
        <v>45971</v>
      </c>
      <c r="J85" s="650" t="n">
        <v>45978</v>
      </c>
      <c r="K85" s="650" t="n">
        <v>45985</v>
      </c>
      <c r="L85" s="650" t="n">
        <v>45992</v>
      </c>
      <c r="M85" s="650" t="n">
        <v>45999</v>
      </c>
      <c r="N85" s="650" t="n">
        <v>46006</v>
      </c>
      <c r="O85" s="650" t="n">
        <v>46013</v>
      </c>
      <c r="P85" s="650" t="n">
        <v>46020</v>
      </c>
      <c r="Q85" s="650" t="n">
        <v>46027</v>
      </c>
      <c r="R85" s="650" t="n">
        <v>46034</v>
      </c>
      <c r="S85" s="650" t="n">
        <v>46041</v>
      </c>
      <c r="T85" s="650" t="n">
        <v>46048</v>
      </c>
      <c r="U85" s="650" t="n">
        <v>46055</v>
      </c>
      <c r="V85" s="650" t="n">
        <v>46062</v>
      </c>
      <c r="W85" s="650" t="n">
        <v>46069</v>
      </c>
      <c r="X85" s="650" t="n">
        <v>46076</v>
      </c>
      <c r="Y85" s="650" t="n">
        <v>46083</v>
      </c>
      <c r="Z85" s="650" t="n">
        <v>46090</v>
      </c>
      <c r="AA85" s="650" t="n">
        <v>46097</v>
      </c>
      <c r="AB85" s="650" t="n">
        <v>46104</v>
      </c>
      <c r="AC85" s="650" t="n">
        <v>46111</v>
      </c>
      <c r="AD85" s="650" t="n">
        <v>46118</v>
      </c>
      <c r="AE85" s="650" t="n">
        <v>46125</v>
      </c>
      <c r="AF85" s="650" t="n">
        <v>46132</v>
      </c>
      <c r="AG85" s="650" t="n">
        <v>46139</v>
      </c>
      <c r="AH85" s="650" t="n">
        <v>46146</v>
      </c>
      <c r="AI85" s="650" t="n">
        <v>46154</v>
      </c>
      <c r="AJ85" s="650" t="n">
        <v>46160</v>
      </c>
      <c r="AK85" s="650" t="n">
        <v>46160</v>
      </c>
      <c r="AL85" s="650" t="n">
        <v>46160</v>
      </c>
      <c r="AM85" s="651" t="n">
        <v>46161.48004409722</v>
      </c>
      <c r="AN85" s="651" t="n">
        <v>46161.48072211805</v>
      </c>
      <c r="AO85" s="651" t="n">
        <v>46161.48288076633</v>
      </c>
      <c r="AP85" s="660" t="inlineStr">
        <is>
          <t>USOU</t>
        </is>
      </c>
      <c r="AR85" s="69" t="n"/>
    </row>
    <row r="86" hidden="1" ht="18.75" customHeight="1">
      <c r="A86" s="33" t="inlineStr">
        <is>
          <t>SACOLA M</t>
        </is>
      </c>
      <c r="B86" s="9" t="n">
        <v>200</v>
      </c>
      <c r="C86" s="662" t="n">
        <v>479.2</v>
      </c>
      <c r="D86" s="329" t="n"/>
      <c r="E86" s="53" t="n"/>
      <c r="F86" s="4" t="n"/>
      <c r="G86" s="4" t="n"/>
      <c r="H86" s="4" t="n"/>
      <c r="I86" s="38" t="n"/>
      <c r="J86" s="38" t="n"/>
      <c r="K86" s="38" t="n">
        <v>0</v>
      </c>
      <c r="L86" s="38" t="n">
        <v>0</v>
      </c>
      <c r="M86" s="38" t="n">
        <v>0</v>
      </c>
      <c r="N86" s="38" t="n">
        <v>0</v>
      </c>
      <c r="O86" s="38" t="n">
        <v>0</v>
      </c>
      <c r="P86" s="38" t="n">
        <v>0</v>
      </c>
      <c r="Q86" s="38" t="n">
        <v>0</v>
      </c>
      <c r="R86" s="38" t="n">
        <v>0</v>
      </c>
      <c r="S86" s="38" t="n">
        <v>0</v>
      </c>
      <c r="T86" s="38" t="n">
        <v>0</v>
      </c>
      <c r="U86" s="38" t="n">
        <v>0</v>
      </c>
      <c r="V86" s="38" t="n"/>
      <c r="W86" s="38" t="n"/>
      <c r="X86" s="38" t="n"/>
      <c r="Y86" s="38" t="n"/>
      <c r="Z86" s="38" t="n"/>
      <c r="AA86" s="38" t="n"/>
      <c r="AB86" s="38" t="n"/>
      <c r="AC86" s="38" t="n"/>
      <c r="AD86" s="38" t="n"/>
      <c r="AE86" s="38" t="n"/>
      <c r="AF86" s="38" t="n"/>
      <c r="AG86" s="38" t="n"/>
      <c r="AH86" s="38" t="n"/>
      <c r="AI86" s="38" t="n"/>
      <c r="AJ86" s="38" t="n"/>
      <c r="AK86" s="38" t="n"/>
      <c r="AL86" s="38" t="n"/>
      <c r="AM86" s="9" t="n"/>
      <c r="AN86" s="9" t="n"/>
      <c r="AO86" s="9" t="n"/>
      <c r="AP86" s="246">
        <f>AN86+IF(NOT(ISBLANK(OFFSET(AP86,0,6))),N(OFFSET(AP86,0,6)),N(OFFSET(AP86,0,7)))-AO86</f>
        <v/>
      </c>
      <c r="AR86" s="69" t="n"/>
    </row>
    <row r="87" ht="18.75" customHeight="1">
      <c r="A87" s="33" t="inlineStr">
        <is>
          <t>PAPEL DE SEDA</t>
        </is>
      </c>
      <c r="B87" s="9" t="n">
        <v>200</v>
      </c>
      <c r="C87" s="662" t="n">
        <v>45.47</v>
      </c>
      <c r="D87" s="329" t="n"/>
      <c r="E87" s="53" t="n"/>
      <c r="F87" s="4" t="n"/>
      <c r="G87" s="4" t="n"/>
      <c r="H87" s="4" t="n"/>
      <c r="I87" s="38" t="n"/>
      <c r="J87" s="38" t="n"/>
      <c r="K87" s="38" t="n">
        <v>20</v>
      </c>
      <c r="L87" s="38" t="n">
        <v>20</v>
      </c>
      <c r="M87" s="38" t="n">
        <v>20</v>
      </c>
      <c r="N87" s="38" t="n">
        <v>18</v>
      </c>
      <c r="O87" s="38" t="n">
        <v>18</v>
      </c>
      <c r="P87" s="38" t="n">
        <v>18</v>
      </c>
      <c r="Q87" s="38" t="n">
        <v>18</v>
      </c>
      <c r="R87" s="38" t="n">
        <v>18</v>
      </c>
      <c r="S87" s="38" t="n">
        <v>18</v>
      </c>
      <c r="T87" s="38" t="n">
        <v>18</v>
      </c>
      <c r="U87" s="38" t="n">
        <v>18</v>
      </c>
      <c r="V87" s="38" t="n">
        <v>18</v>
      </c>
      <c r="W87" s="38" t="n">
        <v>18</v>
      </c>
      <c r="X87" s="38" t="n">
        <v>18</v>
      </c>
      <c r="Y87" s="38" t="n">
        <v>18</v>
      </c>
      <c r="Z87" s="38" t="n">
        <v>18</v>
      </c>
      <c r="AA87" s="38" t="n">
        <v>18</v>
      </c>
      <c r="AB87" s="38" t="n">
        <v>18</v>
      </c>
      <c r="AC87" s="38" t="n">
        <v>0</v>
      </c>
      <c r="AD87" s="38" t="n">
        <v>0</v>
      </c>
      <c r="AE87" s="38" t="n">
        <v>0</v>
      </c>
      <c r="AF87" s="38" t="n">
        <v>0</v>
      </c>
      <c r="AG87" s="38" t="n">
        <v>0</v>
      </c>
      <c r="AH87" s="38" t="n">
        <v>0</v>
      </c>
      <c r="AI87" s="38" t="n">
        <v>0</v>
      </c>
      <c r="AJ87" s="38" t="n">
        <v>0</v>
      </c>
      <c r="AK87" s="38" t="n"/>
      <c r="AL87" s="38" t="n"/>
      <c r="AM87" s="9" t="n"/>
      <c r="AN87" s="9" t="n"/>
      <c r="AO87" s="9" t="n"/>
      <c r="AP87" s="246">
        <f>AN87+IF(NOT(ISBLANK(OFFSET(AP87,0,6))),N(OFFSET(AP87,0,6)),N(OFFSET(AP87,0,7)))-AO87</f>
        <v/>
      </c>
      <c r="AR87" s="69" t="n"/>
    </row>
    <row r="88" hidden="1" ht="18.75" customHeight="1">
      <c r="A88" s="33" t="inlineStr">
        <is>
          <t>CAIXA M</t>
        </is>
      </c>
      <c r="B88" s="9" t="n">
        <v>100</v>
      </c>
      <c r="C88" s="662" t="n">
        <v>1490</v>
      </c>
      <c r="D88" s="329" t="n"/>
      <c r="E88" s="53" t="n"/>
      <c r="F88" s="4" t="n"/>
      <c r="G88" s="4" t="n"/>
      <c r="H88" s="4" t="n"/>
      <c r="I88" s="38" t="n"/>
      <c r="J88" s="38" t="n"/>
      <c r="K88" s="38" t="n">
        <v>0</v>
      </c>
      <c r="L88" s="38" t="n">
        <v>0</v>
      </c>
      <c r="M88" s="38" t="n">
        <v>0</v>
      </c>
      <c r="N88" s="38" t="n">
        <v>0</v>
      </c>
      <c r="O88" s="38" t="n">
        <v>0</v>
      </c>
      <c r="P88" s="38" t="n">
        <v>0</v>
      </c>
      <c r="Q88" s="38" t="n">
        <v>0</v>
      </c>
      <c r="R88" s="38" t="n">
        <v>0</v>
      </c>
      <c r="S88" s="38" t="n">
        <v>0</v>
      </c>
      <c r="T88" s="38" t="n">
        <v>0</v>
      </c>
      <c r="U88" s="38" t="n">
        <v>0</v>
      </c>
      <c r="V88" s="38" t="n"/>
      <c r="W88" s="38" t="n"/>
      <c r="X88" s="38" t="n"/>
      <c r="Y88" s="38" t="n"/>
      <c r="Z88" s="38" t="n"/>
      <c r="AA88" s="38" t="n"/>
      <c r="AB88" s="38" t="n"/>
      <c r="AC88" s="38" t="n"/>
      <c r="AD88" s="38" t="n"/>
      <c r="AE88" s="38" t="n"/>
      <c r="AF88" s="38" t="n"/>
      <c r="AG88" s="38" t="n"/>
      <c r="AH88" s="38" t="n"/>
      <c r="AI88" s="38" t="n"/>
      <c r="AJ88" s="38" t="n"/>
      <c r="AK88" s="38" t="n"/>
      <c r="AL88" s="38" t="n"/>
      <c r="AM88" s="9" t="n"/>
      <c r="AN88" s="9" t="n"/>
      <c r="AO88" s="9" t="n"/>
      <c r="AP88" s="246">
        <f>AN88+IF(NOT(ISBLANK(OFFSET(AP88,0,6))),N(OFFSET(AP88,0,6)),N(OFFSET(AP88,0,7)))-AO88</f>
        <v/>
      </c>
      <c r="AR88" s="69" t="n"/>
    </row>
    <row r="89" ht="18.75" customHeight="1">
      <c r="E89" s="53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  <c r="AA89" s="4" t="n"/>
      <c r="AB89" s="4" t="n"/>
      <c r="AC89" s="4" t="n"/>
      <c r="AD89" s="4" t="n"/>
      <c r="AE89" s="4" t="n"/>
      <c r="AF89" s="4" t="n"/>
      <c r="AG89" s="4" t="n"/>
      <c r="AH89" s="4" t="n"/>
      <c r="AI89" s="4" t="n"/>
      <c r="AJ89" s="4" t="n"/>
      <c r="AK89" s="4" t="n"/>
      <c r="AL89" s="4" t="n"/>
      <c r="AM89" s="2" t="n"/>
      <c r="AN89" s="2" t="n"/>
      <c r="AO89" s="2" t="n"/>
      <c r="AP89" s="53" t="n"/>
      <c r="AR89" s="69" t="n"/>
    </row>
    <row r="90" ht="18.75" customHeight="1">
      <c r="A90" s="408" t="inlineStr">
        <is>
          <t>EUDORA NATAL/25</t>
        </is>
      </c>
      <c r="B90" s="409" t="inlineStr">
        <is>
          <t>PC</t>
        </is>
      </c>
      <c r="C90" s="409" t="inlineStr">
        <is>
          <t>R$</t>
        </is>
      </c>
      <c r="D90" s="409" t="n"/>
      <c r="E90" s="53" t="n"/>
      <c r="F90" s="4" t="n"/>
      <c r="G90" s="4" t="n"/>
      <c r="H90" s="4" t="n"/>
      <c r="I90" s="650" t="n">
        <v>45971</v>
      </c>
      <c r="J90" s="650" t="n">
        <v>45978</v>
      </c>
      <c r="K90" s="650" t="n">
        <v>45985</v>
      </c>
      <c r="L90" s="650" t="n">
        <v>45992</v>
      </c>
      <c r="M90" s="650" t="n">
        <v>45999</v>
      </c>
      <c r="N90" s="650" t="n">
        <v>46006</v>
      </c>
      <c r="O90" s="650" t="n">
        <v>46013</v>
      </c>
      <c r="P90" s="650" t="n">
        <v>46020</v>
      </c>
      <c r="Q90" s="650" t="n">
        <v>46027</v>
      </c>
      <c r="R90" s="650" t="n">
        <v>46034</v>
      </c>
      <c r="S90" s="650" t="n">
        <v>46041</v>
      </c>
      <c r="T90" s="650" t="n">
        <v>46048</v>
      </c>
      <c r="U90" s="650" t="n">
        <v>46055</v>
      </c>
      <c r="V90" s="650" t="n">
        <v>46062</v>
      </c>
      <c r="W90" s="650" t="n">
        <v>46069</v>
      </c>
      <c r="X90" s="650" t="n">
        <v>46076</v>
      </c>
      <c r="Y90" s="650" t="n">
        <v>46083</v>
      </c>
      <c r="Z90" s="650" t="n">
        <v>46090</v>
      </c>
      <c r="AA90" s="650" t="n">
        <v>46097</v>
      </c>
      <c r="AB90" s="650" t="n">
        <v>46104</v>
      </c>
      <c r="AC90" s="650" t="n">
        <v>46111</v>
      </c>
      <c r="AD90" s="650" t="n">
        <v>46118</v>
      </c>
      <c r="AE90" s="650" t="n">
        <v>46125</v>
      </c>
      <c r="AF90" s="650" t="n">
        <v>46132</v>
      </c>
      <c r="AG90" s="650" t="n">
        <v>46139</v>
      </c>
      <c r="AH90" s="650" t="n">
        <v>46146</v>
      </c>
      <c r="AI90" s="650" t="n">
        <v>46154</v>
      </c>
      <c r="AJ90" s="650" t="n">
        <v>46160</v>
      </c>
      <c r="AK90" s="650" t="n">
        <v>46160</v>
      </c>
      <c r="AL90" s="650" t="n">
        <v>46160</v>
      </c>
      <c r="AM90" s="651" t="n">
        <v>46161.48004409722</v>
      </c>
      <c r="AN90" s="651" t="n">
        <v>46161.48072211805</v>
      </c>
      <c r="AO90" s="651" t="n">
        <v>46161.48288076645</v>
      </c>
      <c r="AP90" s="660" t="inlineStr">
        <is>
          <t>USOU</t>
        </is>
      </c>
      <c r="AR90" s="69" t="n"/>
    </row>
    <row r="91" ht="18.75" customHeight="1">
      <c r="A91" s="33" t="inlineStr">
        <is>
          <t xml:space="preserve">SACOLA M </t>
        </is>
      </c>
      <c r="B91" s="9" t="n">
        <v>200</v>
      </c>
      <c r="C91" s="662" t="n">
        <v>336</v>
      </c>
      <c r="D91" s="329" t="n"/>
      <c r="E91" s="53" t="n"/>
      <c r="F91" s="4" t="n"/>
      <c r="G91" s="4" t="n"/>
      <c r="H91" s="4" t="n"/>
      <c r="I91" s="38" t="n"/>
      <c r="J91" s="38" t="n"/>
      <c r="K91" s="38" t="n">
        <v>70</v>
      </c>
      <c r="L91" s="38" t="n">
        <v>56</v>
      </c>
      <c r="M91" s="38" t="n">
        <v>47</v>
      </c>
      <c r="N91" s="38" t="n">
        <v>36</v>
      </c>
      <c r="O91" s="38" t="n">
        <v>28</v>
      </c>
      <c r="P91" s="38" t="n">
        <v>28</v>
      </c>
      <c r="Q91" s="38" t="n">
        <v>28</v>
      </c>
      <c r="R91" s="38" t="n">
        <v>28</v>
      </c>
      <c r="S91" s="38" t="n">
        <v>28</v>
      </c>
      <c r="T91" s="38" t="n">
        <v>28</v>
      </c>
      <c r="U91" s="38" t="n">
        <v>28</v>
      </c>
      <c r="V91" s="38" t="n">
        <v>28</v>
      </c>
      <c r="W91" s="38" t="n">
        <v>28</v>
      </c>
      <c r="X91" s="38" t="n">
        <v>28</v>
      </c>
      <c r="Y91" s="261" t="n">
        <v>0</v>
      </c>
      <c r="Z91" s="38" t="n">
        <v>0</v>
      </c>
      <c r="AA91" s="38" t="n">
        <v>0</v>
      </c>
      <c r="AB91" s="38" t="n">
        <v>0</v>
      </c>
      <c r="AC91" s="38" t="n">
        <v>0</v>
      </c>
      <c r="AD91" s="38" t="n">
        <v>0</v>
      </c>
      <c r="AE91" s="38" t="n">
        <v>0</v>
      </c>
      <c r="AF91" s="38" t="n">
        <v>0</v>
      </c>
      <c r="AG91" s="38" t="n">
        <v>0</v>
      </c>
      <c r="AH91" s="38" t="n">
        <v>0</v>
      </c>
      <c r="AI91" s="38" t="n">
        <v>0</v>
      </c>
      <c r="AJ91" s="38" t="n">
        <v>0</v>
      </c>
      <c r="AK91" s="38" t="n">
        <v>0</v>
      </c>
      <c r="AL91" s="38" t="n">
        <v>0</v>
      </c>
      <c r="AM91" s="9" t="n">
        <v>0</v>
      </c>
      <c r="AN91" s="9" t="n">
        <v>0</v>
      </c>
      <c r="AO91" s="9" t="n">
        <v>0</v>
      </c>
      <c r="AP91" s="246">
        <f>AN91+IF(NOT(ISBLANK(OFFSET(AP91,0,6))),N(OFFSET(AP91,0,6)),N(OFFSET(AP91,0,7)))-AO91</f>
        <v/>
      </c>
      <c r="AR91" s="69" t="n"/>
    </row>
    <row r="92" hidden="1" ht="18.75" customHeight="1">
      <c r="A92" s="33" t="inlineStr">
        <is>
          <t>PAPEL DE SEDA</t>
        </is>
      </c>
      <c r="B92" s="9" t="n">
        <v>200</v>
      </c>
      <c r="C92" s="662" t="n">
        <v>54</v>
      </c>
      <c r="D92" s="329" t="n"/>
      <c r="E92" s="53" t="n"/>
      <c r="F92" s="4" t="n"/>
      <c r="G92" s="4" t="n"/>
      <c r="H92" s="4" t="n"/>
      <c r="I92" s="38" t="n"/>
      <c r="J92" s="38" t="n"/>
      <c r="K92" s="38" t="n">
        <v>0</v>
      </c>
      <c r="L92" s="38" t="n">
        <v>0</v>
      </c>
      <c r="M92" s="38" t="n">
        <v>0</v>
      </c>
      <c r="N92" s="38" t="n">
        <v>0</v>
      </c>
      <c r="O92" s="38" t="n">
        <v>0</v>
      </c>
      <c r="P92" s="38" t="n">
        <v>0</v>
      </c>
      <c r="Q92" s="38" t="n">
        <v>0</v>
      </c>
      <c r="R92" s="38" t="n">
        <v>0</v>
      </c>
      <c r="S92" s="38" t="n">
        <v>0</v>
      </c>
      <c r="T92" s="38" t="n">
        <v>0</v>
      </c>
      <c r="U92" s="38" t="n">
        <v>0</v>
      </c>
      <c r="V92" s="38" t="n"/>
      <c r="W92" s="38" t="n"/>
      <c r="X92" s="38" t="n"/>
      <c r="Y92" s="261" t="n"/>
      <c r="Z92" s="38" t="n"/>
      <c r="AA92" s="38" t="n"/>
      <c r="AB92" s="38" t="n"/>
      <c r="AC92" s="38" t="n"/>
      <c r="AD92" s="38" t="n"/>
      <c r="AE92" s="38" t="n"/>
      <c r="AF92" s="38" t="n"/>
      <c r="AG92" s="38" t="n"/>
      <c r="AH92" s="38" t="n"/>
      <c r="AI92" s="38" t="n"/>
      <c r="AJ92" s="38" t="n"/>
      <c r="AK92" s="38" t="n"/>
      <c r="AL92" s="38" t="n"/>
      <c r="AM92" s="9" t="n"/>
      <c r="AN92" s="9" t="n"/>
      <c r="AO92" s="9" t="n"/>
      <c r="AP92" s="246">
        <f>AN92+IF(NOT(ISBLANK(OFFSET(AP92,0,6))),N(OFFSET(AP92,0,6)),N(OFFSET(AP92,0,7)))-AO92</f>
        <v/>
      </c>
      <c r="AR92" s="69" t="n"/>
    </row>
    <row r="93" hidden="1" ht="18.75" customHeight="1">
      <c r="A93" s="33" t="inlineStr">
        <is>
          <t>KIT TAG 10 C/ 20</t>
        </is>
      </c>
      <c r="B93" s="9" t="n">
        <v>200</v>
      </c>
      <c r="C93" s="662" t="n">
        <v>40</v>
      </c>
      <c r="D93" s="329" t="n"/>
      <c r="E93" s="53" t="n"/>
      <c r="F93" s="4" t="n"/>
      <c r="G93" s="4" t="n"/>
      <c r="H93" s="4" t="n"/>
      <c r="I93" s="38" t="n"/>
      <c r="J93" s="38" t="n"/>
      <c r="K93" s="38" t="n">
        <v>0</v>
      </c>
      <c r="L93" s="38" t="n">
        <v>0</v>
      </c>
      <c r="M93" s="38" t="n">
        <v>0</v>
      </c>
      <c r="N93" s="38" t="n">
        <v>0</v>
      </c>
      <c r="O93" s="38" t="n">
        <v>0</v>
      </c>
      <c r="P93" s="38" t="n">
        <v>0</v>
      </c>
      <c r="Q93" s="38" t="n">
        <v>0</v>
      </c>
      <c r="R93" s="38" t="n">
        <v>0</v>
      </c>
      <c r="S93" s="38" t="n">
        <v>0</v>
      </c>
      <c r="T93" s="38" t="n">
        <v>0</v>
      </c>
      <c r="U93" s="38" t="n">
        <v>0</v>
      </c>
      <c r="V93" s="38" t="n"/>
      <c r="W93" s="38" t="n"/>
      <c r="X93" s="38" t="n"/>
      <c r="Y93" s="261" t="n"/>
      <c r="Z93" s="38" t="n"/>
      <c r="AA93" s="38" t="n"/>
      <c r="AB93" s="38" t="n"/>
      <c r="AC93" s="38" t="n"/>
      <c r="AD93" s="38" t="n"/>
      <c r="AE93" s="38" t="n"/>
      <c r="AF93" s="38" t="n"/>
      <c r="AG93" s="38" t="n"/>
      <c r="AH93" s="38" t="n"/>
      <c r="AI93" s="38" t="n"/>
      <c r="AJ93" s="38" t="n"/>
      <c r="AK93" s="38" t="n"/>
      <c r="AL93" s="38" t="n"/>
      <c r="AM93" s="9" t="n"/>
      <c r="AN93" s="9" t="n"/>
      <c r="AO93" s="9" t="n"/>
      <c r="AP93" s="246">
        <f>AN93+IF(NOT(ISBLANK(OFFSET(AP93,0,6))),N(OFFSET(AP93,0,6)),N(OFFSET(AP93,0,7)))-AO93</f>
        <v/>
      </c>
      <c r="AR93" s="69" t="n"/>
    </row>
    <row r="94" ht="18.75" customHeight="1">
      <c r="A94" s="238" t="inlineStr">
        <is>
          <t>CAIXA M</t>
        </is>
      </c>
      <c r="B94" s="36" t="n">
        <v>100</v>
      </c>
      <c r="C94" s="668" t="n">
        <v>904</v>
      </c>
      <c r="D94" s="36" t="n"/>
      <c r="E94" s="53" t="n"/>
      <c r="F94" s="4" t="n"/>
      <c r="G94" s="4" t="n"/>
      <c r="H94" s="4" t="n"/>
      <c r="I94" s="38" t="n"/>
      <c r="J94" s="38" t="n"/>
      <c r="K94" s="38" t="n">
        <v>38</v>
      </c>
      <c r="L94" s="38" t="n">
        <v>38</v>
      </c>
      <c r="M94" s="38" t="n">
        <v>38</v>
      </c>
      <c r="N94" s="38" t="n">
        <v>38</v>
      </c>
      <c r="O94" s="38" t="n">
        <v>38</v>
      </c>
      <c r="P94" s="38" t="n">
        <v>38</v>
      </c>
      <c r="Q94" s="38" t="n">
        <v>38</v>
      </c>
      <c r="R94" s="38" t="n">
        <v>38</v>
      </c>
      <c r="S94" s="38" t="n">
        <v>38</v>
      </c>
      <c r="T94" s="38" t="n">
        <v>38</v>
      </c>
      <c r="U94" s="38" t="n">
        <v>38</v>
      </c>
      <c r="V94" s="38" t="n">
        <v>38</v>
      </c>
      <c r="W94" s="38" t="n">
        <v>38</v>
      </c>
      <c r="X94" s="38" t="n">
        <v>38</v>
      </c>
      <c r="Y94" s="261" t="n">
        <v>10</v>
      </c>
      <c r="Z94" s="38" t="n">
        <v>10</v>
      </c>
      <c r="AA94" s="38" t="n">
        <v>10</v>
      </c>
      <c r="AB94" s="38" t="n">
        <v>10</v>
      </c>
      <c r="AC94" s="38" t="n">
        <v>10</v>
      </c>
      <c r="AD94" s="38" t="n">
        <v>10</v>
      </c>
      <c r="AE94" s="38" t="n">
        <v>10</v>
      </c>
      <c r="AF94" s="38" t="n">
        <v>10</v>
      </c>
      <c r="AG94" s="38" t="n">
        <v>10</v>
      </c>
      <c r="AH94" s="38" t="n">
        <v>10</v>
      </c>
      <c r="AI94" s="38" t="n">
        <v>10</v>
      </c>
      <c r="AJ94" s="38" t="n">
        <v>10</v>
      </c>
      <c r="AK94" s="38" t="n">
        <v>10</v>
      </c>
      <c r="AL94" s="38" t="n">
        <v>10</v>
      </c>
      <c r="AM94" s="9" t="n">
        <v>10</v>
      </c>
      <c r="AN94" s="9" t="n">
        <v>10</v>
      </c>
      <c r="AO94" s="9" t="n">
        <v>10</v>
      </c>
      <c r="AP94" s="246">
        <f>AN94+IF(NOT(ISBLANK(OFFSET(AP94,0,6))),N(OFFSET(AP94,0,6)),N(OFFSET(AP94,0,7)))-AO94</f>
        <v/>
      </c>
      <c r="AR94" s="69" t="n"/>
    </row>
    <row r="95" ht="18.75" customHeight="1">
      <c r="A95" s="238" t="inlineStr">
        <is>
          <t>CARTUCHO P</t>
        </is>
      </c>
      <c r="B95" s="36" t="n">
        <v>200</v>
      </c>
      <c r="C95" s="668" t="n">
        <v>464</v>
      </c>
      <c r="D95" s="36" t="n"/>
      <c r="E95" s="53" t="n"/>
      <c r="F95" s="4" t="n"/>
      <c r="G95" s="4" t="n"/>
      <c r="H95" s="4" t="n"/>
      <c r="I95" s="38" t="n"/>
      <c r="J95" s="38" t="n"/>
      <c r="K95" s="38" t="n">
        <v>20</v>
      </c>
      <c r="L95" s="38" t="n">
        <v>20</v>
      </c>
      <c r="M95" s="38" t="n">
        <v>18</v>
      </c>
      <c r="N95" s="38" t="n">
        <v>18</v>
      </c>
      <c r="O95" s="38" t="n">
        <v>18</v>
      </c>
      <c r="P95" s="38" t="n">
        <v>18</v>
      </c>
      <c r="Q95" s="38" t="n">
        <v>18</v>
      </c>
      <c r="R95" s="38" t="n">
        <v>18</v>
      </c>
      <c r="S95" s="38" t="n">
        <v>18</v>
      </c>
      <c r="T95" s="38" t="n">
        <v>17</v>
      </c>
      <c r="U95" s="38" t="n">
        <v>17</v>
      </c>
      <c r="V95" s="38" t="n">
        <v>17</v>
      </c>
      <c r="W95" s="38" t="n">
        <v>17</v>
      </c>
      <c r="X95" s="38" t="n">
        <v>17</v>
      </c>
      <c r="Y95" s="38" t="n">
        <v>17</v>
      </c>
      <c r="Z95" s="38" t="n">
        <v>17</v>
      </c>
      <c r="AA95" s="38" t="n">
        <v>17</v>
      </c>
      <c r="AB95" s="38" t="n">
        <v>17</v>
      </c>
      <c r="AC95" s="38" t="n">
        <v>17</v>
      </c>
      <c r="AD95" s="38" t="n">
        <v>17</v>
      </c>
      <c r="AE95" s="38" t="n">
        <v>17</v>
      </c>
      <c r="AF95" s="38" t="n">
        <v>17</v>
      </c>
      <c r="AG95" s="38" t="n">
        <v>17</v>
      </c>
      <c r="AH95" s="38" t="n">
        <v>16</v>
      </c>
      <c r="AI95" s="38" t="n">
        <v>6</v>
      </c>
      <c r="AJ95" s="38" t="n">
        <v>6</v>
      </c>
      <c r="AK95" s="38" t="n">
        <v>6</v>
      </c>
      <c r="AL95" s="38" t="n">
        <v>6</v>
      </c>
      <c r="AM95" s="9" t="n">
        <v>6</v>
      </c>
      <c r="AN95" s="9" t="n">
        <v>6</v>
      </c>
      <c r="AO95" s="9" t="n">
        <v>6</v>
      </c>
      <c r="AP95" s="246">
        <f>AN95+IF(NOT(ISBLANK(OFFSET(AP95,0,6))),N(OFFSET(AP95,0,6)),N(OFFSET(AP95,0,7)))-AO95</f>
        <v/>
      </c>
      <c r="AR95" s="69" t="n"/>
    </row>
    <row r="96" ht="18.75" customHeight="1">
      <c r="E96" s="53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  <c r="AA96" s="4" t="n"/>
      <c r="AB96" s="4" t="n"/>
      <c r="AC96" s="4" t="n"/>
      <c r="AD96" s="4" t="n"/>
      <c r="AE96" s="4" t="n"/>
      <c r="AF96" s="4" t="n"/>
      <c r="AG96" s="4" t="n"/>
      <c r="AH96" s="4" t="n"/>
      <c r="AI96" s="4" t="n"/>
      <c r="AJ96" s="4" t="n"/>
      <c r="AK96" s="4" t="n"/>
      <c r="AL96" s="4" t="n"/>
      <c r="AM96" s="2" t="n"/>
      <c r="AN96" s="2" t="n"/>
      <c r="AO96" s="2" t="n"/>
      <c r="AP96" s="53" t="n"/>
      <c r="AR96" s="69" t="n"/>
    </row>
    <row r="97" ht="18.75" customHeight="1">
      <c r="A97" s="410" t="inlineStr">
        <is>
          <t>BOTICÁRIO NATAL/25</t>
        </is>
      </c>
      <c r="B97" s="357" t="inlineStr">
        <is>
          <t>PC</t>
        </is>
      </c>
      <c r="C97" s="357" t="inlineStr">
        <is>
          <t>R$</t>
        </is>
      </c>
      <c r="D97" s="357" t="n"/>
      <c r="E97" s="53" t="n"/>
      <c r="F97" s="4" t="n"/>
      <c r="G97" s="4" t="n"/>
      <c r="H97" s="4" t="n"/>
      <c r="I97" s="650" t="n">
        <v>45971</v>
      </c>
      <c r="J97" s="650" t="n">
        <v>45978</v>
      </c>
      <c r="K97" s="650" t="n">
        <v>45985</v>
      </c>
      <c r="L97" s="650" t="n">
        <v>45992</v>
      </c>
      <c r="M97" s="650" t="n">
        <v>45999</v>
      </c>
      <c r="N97" s="650" t="n">
        <v>46006</v>
      </c>
      <c r="O97" s="650" t="n">
        <v>46013</v>
      </c>
      <c r="P97" s="650" t="n">
        <v>46020</v>
      </c>
      <c r="Q97" s="650" t="n">
        <v>46027</v>
      </c>
      <c r="R97" s="650" t="n">
        <v>46034</v>
      </c>
      <c r="S97" s="650" t="n">
        <v>46041</v>
      </c>
      <c r="T97" s="650" t="n">
        <v>46048</v>
      </c>
      <c r="U97" s="650" t="n">
        <v>46055</v>
      </c>
      <c r="V97" s="650" t="n">
        <v>46062</v>
      </c>
      <c r="W97" s="650" t="n">
        <v>46069</v>
      </c>
      <c r="X97" s="650" t="n">
        <v>46076</v>
      </c>
      <c r="Y97" s="650" t="n">
        <v>46083</v>
      </c>
      <c r="Z97" s="650" t="n">
        <v>46090</v>
      </c>
      <c r="AA97" s="650" t="n">
        <v>46097</v>
      </c>
      <c r="AB97" s="650" t="n">
        <v>46104</v>
      </c>
      <c r="AC97" s="650" t="n">
        <v>46111</v>
      </c>
      <c r="AD97" s="650" t="n">
        <v>46118</v>
      </c>
      <c r="AE97" s="650" t="n">
        <v>46125</v>
      </c>
      <c r="AF97" s="650" t="n">
        <v>46132</v>
      </c>
      <c r="AG97" s="650" t="n">
        <v>46139</v>
      </c>
      <c r="AH97" s="650" t="n">
        <v>46146</v>
      </c>
      <c r="AI97" s="650" t="n">
        <v>46154</v>
      </c>
      <c r="AJ97" s="650" t="n">
        <v>46160</v>
      </c>
      <c r="AK97" s="650" t="n">
        <v>46160</v>
      </c>
      <c r="AL97" s="650" t="n">
        <v>46160</v>
      </c>
      <c r="AM97" s="651" t="n">
        <v>46161.48004409722</v>
      </c>
      <c r="AN97" s="651" t="n">
        <v>46161.48072211805</v>
      </c>
      <c r="AO97" s="651" t="n">
        <v>46161.48288076662</v>
      </c>
      <c r="AP97" s="660" t="inlineStr">
        <is>
          <t>USOU</t>
        </is>
      </c>
      <c r="AR97" s="69" t="n"/>
    </row>
    <row r="98" ht="18.75" customHeight="1">
      <c r="A98" s="33" t="inlineStr">
        <is>
          <t>SACOLA P</t>
        </is>
      </c>
      <c r="B98" s="9" t="n">
        <v>200</v>
      </c>
      <c r="C98" s="662" t="n">
        <v>274.2</v>
      </c>
      <c r="D98" s="329" t="n"/>
      <c r="E98" s="53" t="n"/>
      <c r="F98" s="4" t="n"/>
      <c r="G98" s="4" t="n"/>
      <c r="H98" s="4" t="n"/>
      <c r="I98" s="38" t="n"/>
      <c r="J98" s="38" t="n"/>
      <c r="K98" s="38" t="n">
        <v>0</v>
      </c>
      <c r="L98" s="38" t="n">
        <v>0</v>
      </c>
      <c r="M98" s="38" t="n">
        <v>0</v>
      </c>
      <c r="N98" s="38" t="n">
        <v>0</v>
      </c>
      <c r="O98" s="38" t="n">
        <v>0</v>
      </c>
      <c r="P98" s="38" t="n">
        <v>0</v>
      </c>
      <c r="Q98" s="38" t="n">
        <v>0</v>
      </c>
      <c r="R98" s="38" t="n">
        <v>0</v>
      </c>
      <c r="S98" s="38" t="n">
        <v>0</v>
      </c>
      <c r="T98" s="38" t="n">
        <v>0</v>
      </c>
      <c r="U98" s="38" t="n">
        <v>0</v>
      </c>
      <c r="V98" s="38" t="n">
        <v>0</v>
      </c>
      <c r="W98" s="38" t="n">
        <v>0</v>
      </c>
      <c r="X98" s="38" t="n">
        <v>0</v>
      </c>
      <c r="Y98" s="38" t="n">
        <v>0</v>
      </c>
      <c r="Z98" s="38" t="n">
        <v>0</v>
      </c>
      <c r="AA98" s="38" t="n">
        <v>0</v>
      </c>
      <c r="AB98" s="38" t="n">
        <v>0</v>
      </c>
      <c r="AC98" s="38" t="n">
        <v>0</v>
      </c>
      <c r="AD98" s="38" t="n">
        <v>0</v>
      </c>
      <c r="AE98" s="38" t="n">
        <v>0</v>
      </c>
      <c r="AF98" s="38" t="n">
        <v>0</v>
      </c>
      <c r="AG98" s="38" t="n">
        <v>0</v>
      </c>
      <c r="AH98" s="38" t="n">
        <v>0</v>
      </c>
      <c r="AI98" s="38" t="n">
        <v>0</v>
      </c>
      <c r="AJ98" s="38" t="n">
        <v>0</v>
      </c>
      <c r="AK98" s="38" t="n">
        <v>0</v>
      </c>
      <c r="AL98" s="38" t="n">
        <v>0</v>
      </c>
      <c r="AM98" s="9" t="n">
        <v>0</v>
      </c>
      <c r="AN98" s="9" t="n">
        <v>0</v>
      </c>
      <c r="AO98" s="9" t="n">
        <v>0</v>
      </c>
      <c r="AP98" s="246">
        <f>AN98+IF(NOT(ISBLANK(OFFSET(AP98,0,6))),N(OFFSET(AP98,0,6)),N(OFFSET(AP98,0,7)))-AO98</f>
        <v/>
      </c>
      <c r="AR98" s="69" t="n"/>
    </row>
    <row r="99" ht="18.75" customHeight="1">
      <c r="A99" s="33" t="inlineStr">
        <is>
          <t>SACOLA M</t>
        </is>
      </c>
      <c r="B99" s="9" t="n">
        <v>200</v>
      </c>
      <c r="C99" s="662" t="n">
        <v>347.8</v>
      </c>
      <c r="D99" s="329" t="n"/>
      <c r="E99" s="53" t="n"/>
      <c r="F99" s="4" t="n"/>
      <c r="G99" s="4" t="n"/>
      <c r="H99" s="4" t="n"/>
      <c r="I99" s="38" t="n"/>
      <c r="J99" s="38" t="n"/>
      <c r="K99" s="38" t="n">
        <v>0</v>
      </c>
      <c r="L99" s="38" t="n">
        <v>0</v>
      </c>
      <c r="M99" s="38" t="n">
        <v>0</v>
      </c>
      <c r="N99" s="38" t="n">
        <v>0</v>
      </c>
      <c r="O99" s="38" t="n">
        <v>0</v>
      </c>
      <c r="P99" s="38" t="n">
        <v>0</v>
      </c>
      <c r="Q99" s="38" t="n">
        <v>0</v>
      </c>
      <c r="R99" s="38" t="n">
        <v>0</v>
      </c>
      <c r="S99" s="38" t="n">
        <v>0</v>
      </c>
      <c r="T99" s="38" t="n">
        <v>0</v>
      </c>
      <c r="U99" s="38" t="n">
        <v>0</v>
      </c>
      <c r="V99" s="38" t="n">
        <v>0</v>
      </c>
      <c r="W99" s="38" t="n">
        <v>0</v>
      </c>
      <c r="X99" s="38" t="n">
        <v>0</v>
      </c>
      <c r="Y99" s="38" t="n">
        <v>0</v>
      </c>
      <c r="Z99" s="38" t="n">
        <v>0</v>
      </c>
      <c r="AA99" s="38" t="n">
        <v>0</v>
      </c>
      <c r="AB99" s="38" t="n">
        <v>0</v>
      </c>
      <c r="AC99" s="38" t="n">
        <v>0</v>
      </c>
      <c r="AD99" s="38" t="n">
        <v>0</v>
      </c>
      <c r="AE99" s="38" t="n">
        <v>0</v>
      </c>
      <c r="AF99" s="38" t="n">
        <v>0</v>
      </c>
      <c r="AG99" s="38" t="n">
        <v>0</v>
      </c>
      <c r="AH99" s="38" t="n">
        <v>0</v>
      </c>
      <c r="AI99" s="38" t="n">
        <v>0</v>
      </c>
      <c r="AJ99" s="38" t="n">
        <v>0</v>
      </c>
      <c r="AK99" s="38" t="n">
        <v>0</v>
      </c>
      <c r="AL99" s="38" t="n">
        <v>0</v>
      </c>
      <c r="AM99" s="9" t="n">
        <v>0</v>
      </c>
      <c r="AN99" s="9" t="n">
        <v>0</v>
      </c>
      <c r="AO99" s="9" t="n">
        <v>0</v>
      </c>
      <c r="AP99" s="246">
        <f>AN99+IF(NOT(ISBLANK(OFFSET(AP99,0,6))),N(OFFSET(AP99,0,6)),N(OFFSET(AP99,0,7)))-AO99</f>
        <v/>
      </c>
      <c r="AR99" s="69" t="n"/>
    </row>
    <row r="100" ht="18.75" customHeight="1">
      <c r="A100" s="33" t="inlineStr">
        <is>
          <t>SACOLA G</t>
        </is>
      </c>
      <c r="B100" s="9" t="n">
        <v>100</v>
      </c>
      <c r="C100" s="662" t="n">
        <v>267</v>
      </c>
      <c r="D100" s="329" t="n"/>
      <c r="E100" s="53" t="n"/>
      <c r="F100" s="4" t="n"/>
      <c r="G100" s="4" t="n"/>
      <c r="H100" s="4" t="n"/>
      <c r="I100" s="38" t="n"/>
      <c r="J100" s="38" t="n"/>
      <c r="K100" s="38" t="n">
        <v>0</v>
      </c>
      <c r="L100" s="38" t="n">
        <v>0</v>
      </c>
      <c r="M100" s="38" t="n">
        <v>0</v>
      </c>
      <c r="N100" s="38" t="n">
        <v>0</v>
      </c>
      <c r="O100" s="38" t="n">
        <v>0</v>
      </c>
      <c r="P100" s="38" t="n">
        <v>0</v>
      </c>
      <c r="Q100" s="38" t="n">
        <v>0</v>
      </c>
      <c r="R100" s="38" t="n">
        <v>0</v>
      </c>
      <c r="S100" s="38" t="n">
        <v>0</v>
      </c>
      <c r="T100" s="38" t="n">
        <v>0</v>
      </c>
      <c r="U100" s="38" t="n">
        <v>0</v>
      </c>
      <c r="V100" s="38" t="n">
        <v>0</v>
      </c>
      <c r="W100" s="38" t="n">
        <v>0</v>
      </c>
      <c r="X100" s="38" t="n">
        <v>0</v>
      </c>
      <c r="Y100" s="38" t="n">
        <v>0</v>
      </c>
      <c r="Z100" s="38" t="n">
        <v>0</v>
      </c>
      <c r="AA100" s="38" t="n">
        <v>0</v>
      </c>
      <c r="AB100" s="38" t="n">
        <v>0</v>
      </c>
      <c r="AC100" s="38" t="n">
        <v>0</v>
      </c>
      <c r="AD100" s="38" t="n">
        <v>0</v>
      </c>
      <c r="AE100" s="38" t="n">
        <v>0</v>
      </c>
      <c r="AF100" s="38" t="n">
        <v>0</v>
      </c>
      <c r="AG100" s="38" t="n">
        <v>0</v>
      </c>
      <c r="AH100" s="38" t="n">
        <v>0</v>
      </c>
      <c r="AI100" s="38" t="n">
        <v>0</v>
      </c>
      <c r="AJ100" s="38" t="n">
        <v>0</v>
      </c>
      <c r="AK100" s="38" t="n"/>
      <c r="AL100" s="38" t="n"/>
      <c r="AM100" s="9" t="n"/>
      <c r="AN100" s="9" t="n"/>
      <c r="AO100" s="9" t="n"/>
      <c r="AP100" s="246">
        <f>AN100+IF(NOT(ISBLANK(OFFSET(AP100,0,6))),N(OFFSET(AP100,0,6)),N(OFFSET(AP100,0,7)))-AO100</f>
        <v/>
      </c>
      <c r="AR100" s="69" t="n"/>
    </row>
    <row r="101" ht="18.75" customHeight="1">
      <c r="A101" s="238" t="inlineStr">
        <is>
          <t>KIT PAPEL DE SEDA 10 C/ 20</t>
        </is>
      </c>
      <c r="B101" s="36" t="n">
        <v>200</v>
      </c>
      <c r="C101" s="668" t="n">
        <v>44.4</v>
      </c>
      <c r="D101" s="36" t="n"/>
      <c r="E101" s="53" t="n"/>
      <c r="F101" s="4" t="n"/>
      <c r="G101" s="4" t="n"/>
      <c r="H101" s="4" t="n"/>
      <c r="I101" s="38" t="n"/>
      <c r="J101" s="38" t="n"/>
      <c r="K101" s="38" t="n">
        <v>60</v>
      </c>
      <c r="L101" s="38" t="n">
        <v>60</v>
      </c>
      <c r="M101" s="38" t="n">
        <v>60</v>
      </c>
      <c r="N101" s="38" t="n">
        <v>60</v>
      </c>
      <c r="O101" s="38" t="n">
        <v>60</v>
      </c>
      <c r="P101" s="38" t="n">
        <v>60</v>
      </c>
      <c r="Q101" s="38" t="n">
        <v>60</v>
      </c>
      <c r="R101" s="38" t="n">
        <v>60</v>
      </c>
      <c r="S101" s="38" t="n">
        <v>60</v>
      </c>
      <c r="T101" s="38" t="n">
        <v>60</v>
      </c>
      <c r="U101" s="261" t="n">
        <v>0</v>
      </c>
      <c r="V101" s="38" t="n">
        <v>0</v>
      </c>
      <c r="W101" s="38" t="n">
        <v>0</v>
      </c>
      <c r="X101" s="38" t="n">
        <v>0</v>
      </c>
      <c r="Y101" s="38" t="n">
        <v>0</v>
      </c>
      <c r="Z101" s="38" t="n">
        <v>0</v>
      </c>
      <c r="AA101" s="38" t="n">
        <v>0</v>
      </c>
      <c r="AB101" s="38" t="n">
        <v>0</v>
      </c>
      <c r="AC101" s="38" t="n">
        <v>0</v>
      </c>
      <c r="AD101" s="38" t="n">
        <v>0</v>
      </c>
      <c r="AE101" s="38" t="n">
        <v>0</v>
      </c>
      <c r="AF101" s="38" t="n">
        <v>0</v>
      </c>
      <c r="AG101" s="38" t="n">
        <v>0</v>
      </c>
      <c r="AH101" s="38" t="n">
        <v>0</v>
      </c>
      <c r="AI101" s="38" t="n">
        <v>0</v>
      </c>
      <c r="AJ101" s="38" t="n">
        <v>0</v>
      </c>
      <c r="AK101" s="38" t="n"/>
      <c r="AL101" s="38" t="n"/>
      <c r="AM101" s="9" t="n"/>
      <c r="AN101" s="9" t="n"/>
      <c r="AO101" s="9" t="n"/>
      <c r="AP101" s="246">
        <f>AN101+IF(NOT(ISBLANK(OFFSET(AP101,0,6))),N(OFFSET(AP101,0,6)),N(OFFSET(AP101,0,7)))-AO101</f>
        <v/>
      </c>
      <c r="AR101" s="69" t="n"/>
    </row>
    <row r="102" ht="18.75" customHeight="1">
      <c r="A102" s="238" t="inlineStr">
        <is>
          <t>CAIXA P</t>
        </is>
      </c>
      <c r="B102" s="36" t="n">
        <v>150</v>
      </c>
      <c r="C102" s="668" t="n">
        <v>805.35</v>
      </c>
      <c r="D102" s="36" t="n"/>
      <c r="E102" s="53" t="n"/>
      <c r="F102" s="4" t="n"/>
      <c r="G102" s="4" t="n"/>
      <c r="H102" s="4" t="n"/>
      <c r="I102" s="38" t="n"/>
      <c r="J102" s="38" t="n"/>
      <c r="K102" s="38" t="n">
        <v>0</v>
      </c>
      <c r="L102" s="38" t="n">
        <v>0</v>
      </c>
      <c r="M102" s="38" t="n">
        <v>0</v>
      </c>
      <c r="N102" s="38" t="n">
        <v>0</v>
      </c>
      <c r="O102" s="38" t="n">
        <v>0</v>
      </c>
      <c r="P102" s="38" t="n">
        <v>0</v>
      </c>
      <c r="Q102" s="38" t="n">
        <v>0</v>
      </c>
      <c r="R102" s="38" t="n">
        <v>0</v>
      </c>
      <c r="S102" s="38" t="n">
        <v>0</v>
      </c>
      <c r="T102" s="38" t="n">
        <v>0</v>
      </c>
      <c r="U102" s="38" t="n">
        <v>0</v>
      </c>
      <c r="V102" s="38" t="n">
        <v>0</v>
      </c>
      <c r="W102" s="38" t="n">
        <v>0</v>
      </c>
      <c r="X102" s="38" t="n">
        <v>0</v>
      </c>
      <c r="Y102" s="38" t="n">
        <v>0</v>
      </c>
      <c r="Z102" s="38" t="n">
        <v>0</v>
      </c>
      <c r="AA102" s="38" t="n">
        <v>0</v>
      </c>
      <c r="AB102" s="38" t="n">
        <v>0</v>
      </c>
      <c r="AC102" s="38" t="n">
        <v>0</v>
      </c>
      <c r="AD102" s="38" t="n">
        <v>0</v>
      </c>
      <c r="AE102" s="38" t="n">
        <v>0</v>
      </c>
      <c r="AF102" s="38" t="n">
        <v>0</v>
      </c>
      <c r="AG102" s="38" t="n">
        <v>0</v>
      </c>
      <c r="AH102" s="38" t="n">
        <v>0</v>
      </c>
      <c r="AI102" s="38" t="n">
        <v>0</v>
      </c>
      <c r="AJ102" s="38" t="n">
        <v>0</v>
      </c>
      <c r="AK102" s="38" t="n">
        <v>0</v>
      </c>
      <c r="AL102" s="38" t="n">
        <v>0</v>
      </c>
      <c r="AM102" s="9" t="n">
        <v>0</v>
      </c>
      <c r="AN102" s="9" t="n">
        <v>0</v>
      </c>
      <c r="AO102" s="9" t="n">
        <v>0</v>
      </c>
      <c r="AP102" s="246">
        <f>AN102+IF(NOT(ISBLANK(OFFSET(AP102,0,6))),N(OFFSET(AP102,0,6)),N(OFFSET(AP102,0,7)))-AO102</f>
        <v/>
      </c>
      <c r="AR102" s="69" t="n"/>
    </row>
    <row r="103" ht="18.75" customHeight="1">
      <c r="A103" s="238" t="inlineStr">
        <is>
          <t>CAIXA M</t>
        </is>
      </c>
      <c r="B103" s="36" t="n">
        <v>100</v>
      </c>
      <c r="C103" s="668" t="n">
        <v>792.2</v>
      </c>
      <c r="D103" s="36" t="n"/>
      <c r="E103" s="53" t="n"/>
      <c r="F103" s="4" t="n"/>
      <c r="G103" s="4" t="n"/>
      <c r="H103" s="4" t="n"/>
      <c r="I103" s="38" t="n"/>
      <c r="J103" s="38" t="n"/>
      <c r="K103" s="38" t="n">
        <v>0</v>
      </c>
      <c r="L103" s="38" t="n">
        <v>0</v>
      </c>
      <c r="M103" s="38" t="n">
        <v>0</v>
      </c>
      <c r="N103" s="261" t="n">
        <v>50</v>
      </c>
      <c r="O103" s="38" t="n">
        <v>3</v>
      </c>
      <c r="P103" s="38" t="n">
        <v>3</v>
      </c>
      <c r="Q103" s="38" t="n">
        <v>3</v>
      </c>
      <c r="R103" s="38" t="n">
        <v>3</v>
      </c>
      <c r="S103" s="38" t="n">
        <v>3</v>
      </c>
      <c r="T103" s="38" t="n">
        <v>3</v>
      </c>
      <c r="U103" s="38" t="n">
        <v>3</v>
      </c>
      <c r="V103" s="38" t="n">
        <v>3</v>
      </c>
      <c r="W103" s="38" t="n">
        <v>3</v>
      </c>
      <c r="X103" s="38" t="n">
        <v>3</v>
      </c>
      <c r="Y103" s="38" t="n">
        <v>3</v>
      </c>
      <c r="Z103" s="38" t="n">
        <v>3</v>
      </c>
      <c r="AA103" s="38" t="n">
        <v>3</v>
      </c>
      <c r="AB103" s="38" t="n">
        <v>3</v>
      </c>
      <c r="AC103" s="38" t="n">
        <v>3</v>
      </c>
      <c r="AD103" s="38" t="n">
        <v>3</v>
      </c>
      <c r="AE103" s="38" t="n">
        <v>3</v>
      </c>
      <c r="AF103" s="38" t="n">
        <v>3</v>
      </c>
      <c r="AG103" s="38" t="n">
        <v>3</v>
      </c>
      <c r="AH103" s="38" t="n">
        <v>3</v>
      </c>
      <c r="AI103" s="38" t="n">
        <v>3</v>
      </c>
      <c r="AJ103" s="38" t="n">
        <v>0</v>
      </c>
      <c r="AK103" s="38" t="n">
        <v>0</v>
      </c>
      <c r="AL103" s="38" t="n">
        <v>0</v>
      </c>
      <c r="AM103" s="9" t="n">
        <v>0</v>
      </c>
      <c r="AN103" s="9" t="n">
        <v>0</v>
      </c>
      <c r="AO103" s="9" t="n">
        <v>0</v>
      </c>
      <c r="AP103" s="246">
        <f>AN103+IF(NOT(ISBLANK(OFFSET(AP103,0,6))),N(OFFSET(AP103,0,6)),N(OFFSET(AP103,0,7)))-AO103</f>
        <v/>
      </c>
      <c r="AR103" s="69" t="n"/>
    </row>
    <row r="104" ht="18.75" customHeight="1">
      <c r="A104" s="238" t="inlineStr">
        <is>
          <t>CARTUCHO P</t>
        </is>
      </c>
      <c r="B104" s="36" t="n">
        <v>200</v>
      </c>
      <c r="C104" s="668" t="n">
        <v>487.2</v>
      </c>
      <c r="D104" s="36" t="n"/>
      <c r="E104" s="53" t="n"/>
      <c r="F104" s="4" t="n"/>
      <c r="G104" s="4" t="n"/>
      <c r="H104" s="4" t="n"/>
      <c r="I104" s="38" t="n"/>
      <c r="J104" s="38" t="n"/>
      <c r="K104" s="38" t="n">
        <v>48</v>
      </c>
      <c r="L104" s="38" t="n">
        <v>31</v>
      </c>
      <c r="M104" s="38" t="n">
        <v>14</v>
      </c>
      <c r="N104" s="261" t="n">
        <v>30</v>
      </c>
      <c r="O104" s="38" t="n">
        <v>9</v>
      </c>
      <c r="P104" s="38" t="n">
        <v>9</v>
      </c>
      <c r="Q104" s="38" t="n">
        <v>9</v>
      </c>
      <c r="R104" s="38" t="n">
        <v>9</v>
      </c>
      <c r="S104" s="38" t="n">
        <v>9</v>
      </c>
      <c r="T104" s="38" t="n">
        <v>9</v>
      </c>
      <c r="U104" s="38" t="n">
        <v>9</v>
      </c>
      <c r="V104" s="38" t="n">
        <v>9</v>
      </c>
      <c r="W104" s="38" t="n">
        <v>9</v>
      </c>
      <c r="X104" s="38" t="n">
        <v>9</v>
      </c>
      <c r="Y104" s="38" t="n">
        <v>9</v>
      </c>
      <c r="Z104" s="38" t="n">
        <v>9</v>
      </c>
      <c r="AA104" s="38" t="n">
        <v>9</v>
      </c>
      <c r="AB104" s="38" t="n">
        <v>9</v>
      </c>
      <c r="AC104" s="38" t="n">
        <v>9</v>
      </c>
      <c r="AD104" s="38" t="n">
        <v>9</v>
      </c>
      <c r="AE104" s="38" t="n">
        <v>9</v>
      </c>
      <c r="AF104" s="38" t="n">
        <v>9</v>
      </c>
      <c r="AG104" s="38" t="n">
        <v>9</v>
      </c>
      <c r="AH104" s="38" t="n">
        <v>9</v>
      </c>
      <c r="AI104" s="38" t="n">
        <v>9</v>
      </c>
      <c r="AJ104" s="38" t="n">
        <v>0</v>
      </c>
      <c r="AK104" s="38" t="n">
        <v>0</v>
      </c>
      <c r="AL104" s="38" t="n">
        <v>0</v>
      </c>
      <c r="AM104" s="9" t="n">
        <v>0</v>
      </c>
      <c r="AN104" s="9" t="n">
        <v>0</v>
      </c>
      <c r="AO104" s="9" t="n">
        <v>0</v>
      </c>
      <c r="AP104" s="246">
        <f>AN104+IF(NOT(ISBLANK(OFFSET(AP104,0,6))),N(OFFSET(AP104,0,6)),N(OFFSET(AP104,0,7)))-AO104</f>
        <v/>
      </c>
      <c r="AR104" s="69" t="n"/>
    </row>
    <row r="105" ht="18.75" customHeight="1">
      <c r="A105" s="238" t="inlineStr">
        <is>
          <t>CARTUCHO M</t>
        </is>
      </c>
      <c r="B105" s="36" t="n">
        <v>150</v>
      </c>
      <c r="C105" s="668" t="n">
        <v>460.35</v>
      </c>
      <c r="D105" s="36" t="n"/>
      <c r="E105" s="53" t="n"/>
      <c r="F105" s="4" t="n"/>
      <c r="G105" s="4" t="n"/>
      <c r="H105" s="4" t="n"/>
      <c r="I105" s="38" t="n"/>
      <c r="J105" s="38" t="n"/>
      <c r="K105" s="38" t="n">
        <v>0</v>
      </c>
      <c r="L105" s="38" t="n">
        <v>0</v>
      </c>
      <c r="M105" s="38" t="n">
        <v>0</v>
      </c>
      <c r="N105" s="261" t="n">
        <v>28</v>
      </c>
      <c r="O105" s="38" t="n">
        <v>0</v>
      </c>
      <c r="P105" s="38" t="n">
        <v>0</v>
      </c>
      <c r="Q105" s="38" t="n">
        <v>0</v>
      </c>
      <c r="R105" s="38" t="n">
        <v>0</v>
      </c>
      <c r="S105" s="38" t="n">
        <v>0</v>
      </c>
      <c r="T105" s="38" t="n">
        <v>0</v>
      </c>
      <c r="U105" s="38" t="n">
        <v>0</v>
      </c>
      <c r="V105" s="38" t="n">
        <v>0</v>
      </c>
      <c r="W105" s="38" t="n">
        <v>0</v>
      </c>
      <c r="X105" s="38" t="n">
        <v>0</v>
      </c>
      <c r="Y105" s="38" t="n">
        <v>0</v>
      </c>
      <c r="Z105" s="38" t="n">
        <v>0</v>
      </c>
      <c r="AA105" s="38" t="n">
        <v>0</v>
      </c>
      <c r="AB105" s="38" t="n">
        <v>0</v>
      </c>
      <c r="AC105" s="38" t="n">
        <v>0</v>
      </c>
      <c r="AD105" s="38" t="n">
        <v>0</v>
      </c>
      <c r="AE105" s="38" t="n">
        <v>0</v>
      </c>
      <c r="AF105" s="38" t="n">
        <v>0</v>
      </c>
      <c r="AG105" s="38" t="n">
        <v>0</v>
      </c>
      <c r="AH105" s="38" t="n">
        <v>0</v>
      </c>
      <c r="AI105" s="38" t="n">
        <v>0</v>
      </c>
      <c r="AJ105" s="38" t="n">
        <v>0</v>
      </c>
      <c r="AK105" s="38" t="n">
        <v>0</v>
      </c>
      <c r="AL105" s="38" t="n">
        <v>0</v>
      </c>
      <c r="AM105" s="9" t="n">
        <v>0</v>
      </c>
      <c r="AN105" s="9" t="n">
        <v>0</v>
      </c>
      <c r="AO105" s="9" t="n">
        <v>0</v>
      </c>
      <c r="AP105" s="246">
        <f>AN105+IF(NOT(ISBLANK(OFFSET(AP105,0,6))),N(OFFSET(AP105,0,6)),N(OFFSET(AP105,0,7)))-AO105</f>
        <v/>
      </c>
      <c r="AR105" s="69" t="n"/>
    </row>
    <row r="106" ht="18.75" customHeight="1">
      <c r="A106" s="31" t="n"/>
      <c r="B106" s="53" t="n"/>
      <c r="C106" s="53" t="n"/>
      <c r="E106" s="53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  <c r="AA106" s="4" t="n"/>
      <c r="AB106" s="4" t="n"/>
      <c r="AC106" s="4" t="n"/>
      <c r="AD106" s="4" t="n"/>
      <c r="AE106" s="4" t="n"/>
      <c r="AF106" s="4" t="n"/>
      <c r="AG106" s="4" t="n"/>
      <c r="AH106" s="4" t="n"/>
      <c r="AI106" s="4" t="n"/>
      <c r="AJ106" s="4" t="n"/>
      <c r="AK106" s="4" t="n"/>
      <c r="AL106" s="4" t="n"/>
      <c r="AM106" s="2" t="n"/>
      <c r="AN106" s="2" t="n"/>
      <c r="AO106" s="2" t="n"/>
      <c r="AP106" s="53" t="n"/>
      <c r="AR106" s="69" t="n"/>
    </row>
    <row r="107" ht="18.75" customHeight="1">
      <c r="A107" s="408" t="inlineStr">
        <is>
          <t>EUDORA MÃES/26</t>
        </is>
      </c>
      <c r="B107" s="409" t="inlineStr">
        <is>
          <t>PC</t>
        </is>
      </c>
      <c r="C107" s="409" t="inlineStr">
        <is>
          <t>R$</t>
        </is>
      </c>
      <c r="D107" s="409" t="n"/>
      <c r="E107" s="53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650" t="n">
        <v>46069</v>
      </c>
      <c r="X107" s="650" t="n">
        <v>46076</v>
      </c>
      <c r="Y107" s="650" t="n">
        <v>46083</v>
      </c>
      <c r="Z107" s="650" t="n">
        <v>46090</v>
      </c>
      <c r="AA107" s="650" t="n">
        <v>46097</v>
      </c>
      <c r="AB107" s="650" t="n">
        <v>46104</v>
      </c>
      <c r="AC107" s="650" t="n">
        <v>46111</v>
      </c>
      <c r="AD107" s="650" t="n">
        <v>46118</v>
      </c>
      <c r="AE107" s="650" t="n">
        <v>46125</v>
      </c>
      <c r="AF107" s="650" t="n">
        <v>46132</v>
      </c>
      <c r="AG107" s="650" t="n">
        <v>46139</v>
      </c>
      <c r="AH107" s="650" t="n">
        <v>46146</v>
      </c>
      <c r="AI107" s="650" t="n">
        <v>46154</v>
      </c>
      <c r="AJ107" s="650" t="n">
        <v>46160</v>
      </c>
      <c r="AK107" s="650" t="n">
        <v>46160</v>
      </c>
      <c r="AL107" s="650" t="n">
        <v>46160</v>
      </c>
      <c r="AM107" s="651" t="n">
        <v>46161.48004409722</v>
      </c>
      <c r="AN107" s="651" t="n">
        <v>46161.48072211805</v>
      </c>
      <c r="AO107" s="651" t="n">
        <v>46161.48288076677</v>
      </c>
      <c r="AP107" s="660" t="inlineStr">
        <is>
          <t>USOU</t>
        </is>
      </c>
      <c r="AR107" s="69" t="n"/>
    </row>
    <row r="108" ht="18.75" customHeight="1">
      <c r="A108" s="33" t="inlineStr">
        <is>
          <t xml:space="preserve">SACOLA M </t>
        </is>
      </c>
      <c r="B108" s="9" t="n">
        <v>150</v>
      </c>
      <c r="C108" s="662" t="n"/>
      <c r="D108" s="329" t="n"/>
      <c r="E108" s="53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38" t="n">
        <v>0</v>
      </c>
      <c r="X108" s="38" t="n">
        <v>0</v>
      </c>
      <c r="Y108" s="38">
        <f>AY10</f>
        <v/>
      </c>
      <c r="Z108" s="38" t="n">
        <v>0</v>
      </c>
      <c r="AA108" s="38" t="n">
        <v>0</v>
      </c>
      <c r="AB108" s="38" t="n">
        <v>0</v>
      </c>
      <c r="AC108" s="38" t="n">
        <v>0</v>
      </c>
      <c r="AD108" s="38" t="n">
        <v>0</v>
      </c>
      <c r="AE108" s="38" t="n">
        <v>0</v>
      </c>
      <c r="AF108" s="38" t="n">
        <v>0</v>
      </c>
      <c r="AG108" s="38" t="n">
        <v>0</v>
      </c>
      <c r="AH108" s="38" t="n">
        <v>0</v>
      </c>
      <c r="AI108" s="38" t="n">
        <v>0</v>
      </c>
      <c r="AJ108" s="38" t="n"/>
      <c r="AK108" s="38" t="n"/>
      <c r="AL108" s="38" t="n"/>
      <c r="AM108" s="9" t="n"/>
      <c r="AN108" s="9" t="n"/>
      <c r="AO108" s="9" t="n"/>
      <c r="AP108" s="246">
        <f>AN108+IF(NOT(ISBLANK(OFFSET(AP108,0,6))),N(OFFSET(AP108,0,6)),N(OFFSET(AP108,0,7)))-AO108</f>
        <v/>
      </c>
      <c r="AR108" s="69" t="n"/>
    </row>
    <row r="109" ht="18.75" customHeight="1">
      <c r="A109" s="33" t="inlineStr">
        <is>
          <t>ADESIVO</t>
        </is>
      </c>
      <c r="B109" s="9" t="n">
        <v>1000</v>
      </c>
      <c r="C109" s="662" t="n"/>
      <c r="D109" s="329" t="n"/>
      <c r="E109" s="53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38" t="n">
        <v>0</v>
      </c>
      <c r="X109" s="38" t="n">
        <v>0</v>
      </c>
      <c r="Y109" s="38">
        <f>AY17</f>
        <v/>
      </c>
      <c r="Z109" s="38" t="n">
        <v>0</v>
      </c>
      <c r="AA109" s="38" t="n">
        <v>0</v>
      </c>
      <c r="AB109" s="38" t="n">
        <v>0</v>
      </c>
      <c r="AC109" s="38" t="n">
        <v>0</v>
      </c>
      <c r="AD109" s="38" t="n">
        <v>0</v>
      </c>
      <c r="AE109" s="38" t="n">
        <v>0</v>
      </c>
      <c r="AF109" s="38" t="n">
        <v>0</v>
      </c>
      <c r="AG109" s="38" t="n">
        <v>0</v>
      </c>
      <c r="AH109" s="38" t="n">
        <v>0</v>
      </c>
      <c r="AI109" s="38" t="n">
        <v>0</v>
      </c>
      <c r="AJ109" s="38" t="n"/>
      <c r="AK109" s="38" t="n"/>
      <c r="AL109" s="38" t="n"/>
      <c r="AM109" s="9" t="n"/>
      <c r="AN109" s="9" t="n"/>
      <c r="AO109" s="9" t="n"/>
      <c r="AP109" s="246">
        <f>AN109+IF(NOT(ISBLANK(OFFSET(AP109,0,6))),N(OFFSET(AP109,0,6)),N(OFFSET(AP109,0,7)))-AO109</f>
        <v/>
      </c>
      <c r="AR109" s="69" t="n"/>
    </row>
    <row r="110" ht="18.75" customHeight="1">
      <c r="A110" s="33" t="inlineStr">
        <is>
          <t>PAPEL DE SEDA</t>
        </is>
      </c>
      <c r="B110" s="9" t="n">
        <v>200</v>
      </c>
      <c r="C110" s="662" t="n"/>
      <c r="D110" s="329" t="n"/>
      <c r="E110" s="53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38" t="n">
        <v>0</v>
      </c>
      <c r="X110" s="38" t="n">
        <v>0</v>
      </c>
      <c r="Y110" s="38" t="n">
        <v>0</v>
      </c>
      <c r="Z110" s="38" t="n">
        <v>0</v>
      </c>
      <c r="AA110" s="38" t="n">
        <v>0</v>
      </c>
      <c r="AB110" s="38" t="n">
        <v>0</v>
      </c>
      <c r="AC110" s="38" t="n">
        <v>0</v>
      </c>
      <c r="AD110" s="38" t="n">
        <v>0</v>
      </c>
      <c r="AE110" s="38" t="n">
        <v>0</v>
      </c>
      <c r="AF110" s="38" t="n">
        <v>0</v>
      </c>
      <c r="AG110" s="38" t="n">
        <v>0</v>
      </c>
      <c r="AH110" s="38" t="n">
        <v>0</v>
      </c>
      <c r="AI110" s="38" t="n">
        <v>0</v>
      </c>
      <c r="AJ110" s="38" t="n"/>
      <c r="AK110" s="38" t="n"/>
      <c r="AL110" s="38" t="n"/>
      <c r="AM110" s="9" t="n"/>
      <c r="AN110" s="9" t="n"/>
      <c r="AO110" s="9" t="n"/>
      <c r="AP110" s="246">
        <f>AN110+IF(NOT(ISBLANK(OFFSET(AP110,0,6))),N(OFFSET(AP110,0,6)),N(OFFSET(AP110,0,7)))-AO110</f>
        <v/>
      </c>
      <c r="AR110" s="69" t="n"/>
    </row>
    <row r="111" ht="18.75" customHeight="1">
      <c r="A111" s="33" t="inlineStr">
        <is>
          <t>SACOLA M VENDA</t>
        </is>
      </c>
      <c r="B111" s="9" t="n">
        <v>150</v>
      </c>
      <c r="C111" s="662" t="n"/>
      <c r="D111" s="329" t="n"/>
      <c r="E111" s="53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38" t="n">
        <v>0</v>
      </c>
      <c r="X111" s="38" t="n">
        <v>0</v>
      </c>
      <c r="Y111" s="38" t="n">
        <v>0</v>
      </c>
      <c r="Z111" s="38" t="n">
        <v>0</v>
      </c>
      <c r="AA111" s="261" t="n">
        <v>5</v>
      </c>
      <c r="AB111" s="38" t="n">
        <v>0</v>
      </c>
      <c r="AC111" s="38" t="n">
        <v>0</v>
      </c>
      <c r="AD111" s="38" t="n">
        <v>0</v>
      </c>
      <c r="AE111" s="38" t="n">
        <v>0</v>
      </c>
      <c r="AF111" s="38" t="n">
        <v>0</v>
      </c>
      <c r="AG111" s="38" t="n">
        <v>0</v>
      </c>
      <c r="AH111" s="38" t="n">
        <v>0</v>
      </c>
      <c r="AI111" s="38" t="n">
        <v>0</v>
      </c>
      <c r="AJ111" s="38" t="n">
        <v>0</v>
      </c>
      <c r="AK111" s="38" t="n">
        <v>0</v>
      </c>
      <c r="AL111" s="38" t="n">
        <v>0</v>
      </c>
      <c r="AM111" s="9" t="n">
        <v>0</v>
      </c>
      <c r="AN111" s="9" t="n">
        <v>0</v>
      </c>
      <c r="AO111" s="9" t="n">
        <v>0</v>
      </c>
      <c r="AP111" s="246">
        <f>AN111+IF(NOT(ISBLANK(OFFSET(AP111,0,6))),N(OFFSET(AP111,0,6)),N(OFFSET(AP111,0,7)))-AO111</f>
        <v/>
      </c>
      <c r="AR111" s="69" t="n"/>
    </row>
    <row r="112" ht="18.75" customHeight="1">
      <c r="A112" s="33" t="inlineStr">
        <is>
          <t>KIT TAG 10 C/ 20</t>
        </is>
      </c>
      <c r="B112" s="9" t="n">
        <v>200</v>
      </c>
      <c r="C112" s="662" t="n"/>
      <c r="D112" s="329" t="n"/>
      <c r="E112" s="53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38" t="n">
        <v>0</v>
      </c>
      <c r="X112" s="38" t="n">
        <v>0</v>
      </c>
      <c r="Y112" s="38" t="n">
        <v>0</v>
      </c>
      <c r="Z112" s="38" t="n">
        <v>0</v>
      </c>
      <c r="AA112" s="38" t="n">
        <v>0</v>
      </c>
      <c r="AB112" s="38" t="n">
        <v>0</v>
      </c>
      <c r="AC112" s="38" t="n">
        <v>0</v>
      </c>
      <c r="AD112" s="38" t="n">
        <v>0</v>
      </c>
      <c r="AE112" s="38" t="n">
        <v>0</v>
      </c>
      <c r="AF112" s="38" t="n">
        <v>0</v>
      </c>
      <c r="AG112" s="38" t="n">
        <v>0</v>
      </c>
      <c r="AH112" s="38" t="n">
        <v>0</v>
      </c>
      <c r="AI112" s="38" t="n">
        <v>0</v>
      </c>
      <c r="AJ112" s="38" t="n">
        <v>0</v>
      </c>
      <c r="AK112" s="38" t="n">
        <v>0</v>
      </c>
      <c r="AL112" s="38" t="n">
        <v>0</v>
      </c>
      <c r="AM112" s="9" t="n">
        <v>0</v>
      </c>
      <c r="AN112" s="9" t="n">
        <v>0</v>
      </c>
      <c r="AO112" s="9" t="n">
        <v>0</v>
      </c>
      <c r="AP112" s="246">
        <f>AN112+IF(NOT(ISBLANK(OFFSET(AP112,0,6))),N(OFFSET(AP112,0,6)),N(OFFSET(AP112,0,7)))-AO112</f>
        <v/>
      </c>
      <c r="AR112" s="69" t="n"/>
    </row>
    <row r="113" ht="18.75" customHeight="1">
      <c r="A113" s="238" t="inlineStr">
        <is>
          <t>CAIXA M</t>
        </is>
      </c>
      <c r="B113" s="36" t="n">
        <v>100</v>
      </c>
      <c r="C113" s="668" t="n"/>
      <c r="D113" s="36" t="n"/>
      <c r="E113" s="53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38" t="n">
        <v>0</v>
      </c>
      <c r="X113" s="38" t="n">
        <v>0</v>
      </c>
      <c r="Y113" s="38" t="n">
        <v>0</v>
      </c>
      <c r="Z113" s="38" t="n">
        <v>0</v>
      </c>
      <c r="AA113" s="261" t="n">
        <v>1</v>
      </c>
      <c r="AB113" s="38" t="n">
        <v>1</v>
      </c>
      <c r="AC113" s="38" t="n">
        <v>1</v>
      </c>
      <c r="AD113" s="38" t="n">
        <v>1</v>
      </c>
      <c r="AE113" s="38" t="n">
        <v>1</v>
      </c>
      <c r="AF113" s="38" t="n">
        <v>1</v>
      </c>
      <c r="AG113" s="38" t="n">
        <v>1</v>
      </c>
      <c r="AH113" s="38" t="n">
        <v>1</v>
      </c>
      <c r="AI113" s="38" t="n">
        <v>1</v>
      </c>
      <c r="AJ113" s="38" t="n">
        <v>0</v>
      </c>
      <c r="AK113" s="38" t="n">
        <v>0</v>
      </c>
      <c r="AL113" s="38" t="n">
        <v>0</v>
      </c>
      <c r="AM113" s="9" t="n">
        <v>0</v>
      </c>
      <c r="AN113" s="9" t="n">
        <v>0</v>
      </c>
      <c r="AO113" s="9" t="n">
        <v>0</v>
      </c>
      <c r="AP113" s="246">
        <f>AN113+IF(NOT(ISBLANK(OFFSET(AP113,0,6))),N(OFFSET(AP113,0,6)),N(OFFSET(AP113,0,7)))-AO113</f>
        <v/>
      </c>
      <c r="AR113" s="69" t="n"/>
    </row>
    <row r="114" ht="18.75" customHeight="1">
      <c r="A114" s="238" t="inlineStr">
        <is>
          <t>CARTUCHO P</t>
        </is>
      </c>
      <c r="B114" s="36" t="n">
        <v>200</v>
      </c>
      <c r="C114" s="668" t="n"/>
      <c r="D114" s="36" t="n"/>
      <c r="E114" s="53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38" t="n">
        <v>0</v>
      </c>
      <c r="X114" s="38" t="n">
        <v>0</v>
      </c>
      <c r="Y114" s="38" t="n">
        <v>0</v>
      </c>
      <c r="Z114" s="38" t="n">
        <v>0</v>
      </c>
      <c r="AA114" s="38" t="n">
        <v>0</v>
      </c>
      <c r="AB114" s="38" t="n">
        <v>0</v>
      </c>
      <c r="AC114" s="38" t="n">
        <v>0</v>
      </c>
      <c r="AD114" s="38" t="n">
        <v>0</v>
      </c>
      <c r="AE114" s="38" t="n">
        <v>0</v>
      </c>
      <c r="AF114" s="38" t="n">
        <v>0</v>
      </c>
      <c r="AG114" s="38" t="n">
        <v>0</v>
      </c>
      <c r="AH114" s="38" t="n">
        <v>0</v>
      </c>
      <c r="AI114" s="38" t="n">
        <v>0</v>
      </c>
      <c r="AJ114" s="38" t="n">
        <v>0</v>
      </c>
      <c r="AK114" s="38" t="n">
        <v>0</v>
      </c>
      <c r="AL114" s="38" t="n">
        <v>0</v>
      </c>
      <c r="AM114" s="9" t="n">
        <v>0</v>
      </c>
      <c r="AN114" s="9" t="n">
        <v>0</v>
      </c>
      <c r="AO114" s="9" t="n">
        <v>0</v>
      </c>
      <c r="AP114" s="246">
        <f>AN114+IF(NOT(ISBLANK(OFFSET(AP114,0,6))),N(OFFSET(AP114,0,6)),N(OFFSET(AP114,0,7)))-AO114</f>
        <v/>
      </c>
      <c r="AR114" s="69" t="n"/>
    </row>
    <row r="115" ht="18.75" customHeight="1">
      <c r="E115" s="53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AR115" s="69" t="n"/>
    </row>
    <row r="116" ht="18.75" customHeight="1">
      <c r="A116" s="410" t="inlineStr">
        <is>
          <t>BOTICÁRIO MÃES/26</t>
        </is>
      </c>
      <c r="B116" s="357" t="inlineStr">
        <is>
          <t>PC</t>
        </is>
      </c>
      <c r="C116" s="357" t="inlineStr">
        <is>
          <t>R$</t>
        </is>
      </c>
      <c r="D116" s="357" t="n"/>
      <c r="E116" s="53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650" t="n">
        <v>46069</v>
      </c>
      <c r="X116" s="650" t="n">
        <v>46076</v>
      </c>
      <c r="Y116" s="650" t="n">
        <v>46083</v>
      </c>
      <c r="Z116" s="650" t="n">
        <v>46090</v>
      </c>
      <c r="AA116" s="650" t="n">
        <v>46097</v>
      </c>
      <c r="AB116" s="650" t="n">
        <v>46104</v>
      </c>
      <c r="AC116" s="650" t="n">
        <v>46111</v>
      </c>
      <c r="AD116" s="650" t="n">
        <v>46118</v>
      </c>
      <c r="AE116" s="650" t="n">
        <v>46125</v>
      </c>
      <c r="AF116" s="650" t="n">
        <v>46132</v>
      </c>
      <c r="AG116" s="650" t="n">
        <v>46139</v>
      </c>
      <c r="AH116" s="650" t="n">
        <v>46146</v>
      </c>
      <c r="AI116" s="650" t="n">
        <v>46154</v>
      </c>
      <c r="AJ116" s="650" t="n">
        <v>46160</v>
      </c>
      <c r="AK116" s="650" t="n">
        <v>46160</v>
      </c>
      <c r="AL116" s="650" t="n">
        <v>46160</v>
      </c>
      <c r="AM116" s="651" t="n">
        <v>46161.48004409722</v>
      </c>
      <c r="AN116" s="651" t="n">
        <v>46161.48072211805</v>
      </c>
      <c r="AO116" s="651" t="n">
        <v>46161.48288076692</v>
      </c>
      <c r="AP116" s="660" t="inlineStr">
        <is>
          <t>USOU</t>
        </is>
      </c>
      <c r="AR116" s="413" t="inlineStr">
        <is>
          <t>TRANSFERÊNCIA</t>
        </is>
      </c>
    </row>
    <row r="117" ht="18.75" customHeight="1">
      <c r="A117" s="33" t="inlineStr">
        <is>
          <t>SACOLA P</t>
        </is>
      </c>
      <c r="B117" s="9" t="n">
        <v>200</v>
      </c>
      <c r="C117" s="662" t="n"/>
      <c r="D117" s="329" t="n"/>
      <c r="E117" s="53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38" t="n">
        <v>0</v>
      </c>
      <c r="X117" s="38" t="n">
        <v>0</v>
      </c>
      <c r="Y117" s="38" t="n">
        <v>0</v>
      </c>
      <c r="Z117" s="38" t="n">
        <v>0</v>
      </c>
      <c r="AA117" s="38" t="n">
        <v>0</v>
      </c>
      <c r="AB117" s="38">
        <f>AW9</f>
        <v/>
      </c>
      <c r="AC117" s="38" t="n">
        <v>1000</v>
      </c>
      <c r="AD117" s="38" t="n">
        <v>1000</v>
      </c>
      <c r="AE117" s="38" t="n">
        <v>1000</v>
      </c>
      <c r="AF117" s="38" t="n">
        <v>1000</v>
      </c>
      <c r="AG117" s="38" t="n">
        <v>600</v>
      </c>
      <c r="AH117" s="38" t="n">
        <v>600</v>
      </c>
      <c r="AI117" s="38" t="n">
        <v>400</v>
      </c>
      <c r="AJ117" s="38" t="n"/>
      <c r="AK117" s="38" t="n"/>
      <c r="AL117" s="38" t="n"/>
      <c r="AM117" s="9" t="n"/>
      <c r="AN117" s="9" t="n"/>
      <c r="AO117" s="9" t="n"/>
      <c r="AP117" s="246">
        <f>AN117+IF(NOT(ISBLANK(OFFSET(AP117,0,6))),N(OFFSET(AP117,0,6)),N(OFFSET(AP117,0,7)))-AO117</f>
        <v/>
      </c>
      <c r="AR117" s="127" t="n"/>
    </row>
    <row r="118" ht="18.75" customHeight="1">
      <c r="A118" s="33" t="inlineStr">
        <is>
          <t>SACOLA M</t>
        </is>
      </c>
      <c r="B118" s="9" t="n">
        <v>200</v>
      </c>
      <c r="C118" s="662" t="n"/>
      <c r="D118" s="329" t="n"/>
      <c r="E118" s="53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38" t="n">
        <v>0</v>
      </c>
      <c r="X118" s="38" t="n">
        <v>0</v>
      </c>
      <c r="Y118" s="38" t="n">
        <v>0</v>
      </c>
      <c r="Z118" s="38" t="n">
        <v>0</v>
      </c>
      <c r="AA118" s="38" t="n">
        <v>0</v>
      </c>
      <c r="AB118" s="38">
        <f>AW10</f>
        <v/>
      </c>
      <c r="AC118" s="38" t="n">
        <v>400</v>
      </c>
      <c r="AD118" s="261" t="n">
        <v>1000</v>
      </c>
      <c r="AE118" s="261" t="n">
        <v>1000</v>
      </c>
      <c r="AF118" s="38" t="n">
        <v>600</v>
      </c>
      <c r="AG118" s="38" t="n">
        <v>550</v>
      </c>
      <c r="AH118" s="38" t="n">
        <v>550</v>
      </c>
      <c r="AI118" s="261" t="n">
        <v>850</v>
      </c>
      <c r="AJ118" s="261" t="n"/>
      <c r="AK118" s="261" t="n"/>
      <c r="AL118" s="261" t="n"/>
      <c r="AM118" s="190" t="n"/>
      <c r="AN118" s="190" t="n"/>
      <c r="AO118" s="190" t="n"/>
      <c r="AP118" s="246">
        <f>AN118+IF(NOT(ISBLANK(OFFSET(AP118,0,6))),N(OFFSET(AP118,0,6)),N(OFFSET(AP118,0,7)))-AO118</f>
        <v/>
      </c>
      <c r="AR118" s="127" t="n"/>
    </row>
    <row r="119" ht="18.75" customHeight="1">
      <c r="A119" s="33" t="inlineStr">
        <is>
          <t>SACOLA G</t>
        </is>
      </c>
      <c r="B119" s="9" t="n">
        <v>100</v>
      </c>
      <c r="C119" s="662" t="n"/>
      <c r="D119" s="329" t="n"/>
      <c r="E119" s="53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38" t="n">
        <v>0</v>
      </c>
      <c r="X119" s="38" t="n">
        <v>0</v>
      </c>
      <c r="Y119" s="38" t="n">
        <v>0</v>
      </c>
      <c r="Z119" s="38" t="n">
        <v>0</v>
      </c>
      <c r="AA119" s="38" t="n">
        <v>0</v>
      </c>
      <c r="AB119" s="38">
        <f>AW11</f>
        <v/>
      </c>
      <c r="AC119" s="38" t="n">
        <v>100</v>
      </c>
      <c r="AD119" s="38" t="n">
        <v>100</v>
      </c>
      <c r="AE119" s="38" t="n">
        <v>100</v>
      </c>
      <c r="AF119" s="38" t="n">
        <v>100</v>
      </c>
      <c r="AG119" s="38" t="n">
        <v>100</v>
      </c>
      <c r="AH119" s="38" t="n">
        <v>0</v>
      </c>
      <c r="AI119" s="261" t="n">
        <v>300</v>
      </c>
      <c r="AJ119" s="261" t="n"/>
      <c r="AK119" s="261" t="n"/>
      <c r="AL119" s="261" t="n"/>
      <c r="AM119" s="190" t="n"/>
      <c r="AN119" s="190" t="n"/>
      <c r="AO119" s="190" t="n"/>
      <c r="AP119" s="246">
        <f>AN119+IF(NOT(ISBLANK(OFFSET(AP119,0,6))),N(OFFSET(AP119,0,6)),N(OFFSET(AP119,0,7)))-AO119</f>
        <v/>
      </c>
      <c r="AR119" s="425" t="inlineStr">
        <is>
          <t>300 DE ER PG</t>
        </is>
      </c>
    </row>
    <row r="120" ht="18.75" customHeight="1">
      <c r="A120" s="33" t="inlineStr">
        <is>
          <t>SACOLA P VENDA</t>
        </is>
      </c>
      <c r="B120" s="9" t="n">
        <v>200</v>
      </c>
      <c r="C120" s="662" t="n"/>
      <c r="D120" s="329" t="n"/>
      <c r="E120" s="53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38" t="n">
        <v>0</v>
      </c>
      <c r="X120" s="38" t="n">
        <v>0</v>
      </c>
      <c r="Y120" s="38" t="n">
        <v>0</v>
      </c>
      <c r="Z120" s="38" t="n">
        <v>0</v>
      </c>
      <c r="AA120" s="38" t="n">
        <v>0</v>
      </c>
      <c r="AB120" s="38" t="n">
        <v>0</v>
      </c>
      <c r="AC120" s="38" t="n">
        <v>0</v>
      </c>
      <c r="AD120" s="38" t="n"/>
      <c r="AE120" s="38" t="n"/>
      <c r="AF120" s="38" t="n"/>
      <c r="AG120" s="38" t="n">
        <v>200</v>
      </c>
      <c r="AH120" s="38" t="n">
        <v>195</v>
      </c>
      <c r="AI120" s="38" t="n">
        <v>183</v>
      </c>
      <c r="AJ120" s="38" t="n">
        <v>0</v>
      </c>
      <c r="AK120" s="38" t="n">
        <v>0</v>
      </c>
      <c r="AL120" s="38" t="n">
        <v>0</v>
      </c>
      <c r="AM120" s="9" t="n">
        <v>0</v>
      </c>
      <c r="AN120" s="9" t="n">
        <v>0</v>
      </c>
      <c r="AO120" s="9" t="n">
        <v>0</v>
      </c>
      <c r="AP120" s="246">
        <f>AN120+IF(NOT(ISBLANK(OFFSET(AP120,0,6))),N(OFFSET(AP120,0,6)),N(OFFSET(AP120,0,7)))-AO120</f>
        <v/>
      </c>
      <c r="AR120" s="69" t="n"/>
    </row>
    <row r="121" ht="18.75" customHeight="1">
      <c r="A121" s="33" t="inlineStr">
        <is>
          <t>SACOLA M VENDA</t>
        </is>
      </c>
      <c r="B121" s="9" t="n">
        <v>200</v>
      </c>
      <c r="C121" s="662" t="n"/>
      <c r="D121" s="329" t="n"/>
      <c r="E121" s="53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38" t="n">
        <v>0</v>
      </c>
      <c r="X121" s="38" t="n">
        <v>0</v>
      </c>
      <c r="Y121" s="38" t="n">
        <v>0</v>
      </c>
      <c r="Z121" s="38" t="n">
        <v>0</v>
      </c>
      <c r="AA121" s="38" t="n">
        <v>0</v>
      </c>
      <c r="AB121" s="38" t="n">
        <v>0</v>
      </c>
      <c r="AC121" s="38" t="n">
        <v>0</v>
      </c>
      <c r="AD121" s="38" t="n"/>
      <c r="AE121" s="38" t="n"/>
      <c r="AF121" s="38" t="n"/>
      <c r="AG121" s="38" t="n">
        <v>180</v>
      </c>
      <c r="AH121" s="38" t="n">
        <v>165</v>
      </c>
      <c r="AI121" s="38" t="n">
        <v>143</v>
      </c>
      <c r="AJ121" s="38" t="n">
        <v>0</v>
      </c>
      <c r="AK121" s="38" t="n">
        <v>0</v>
      </c>
      <c r="AL121" s="38" t="n">
        <v>0</v>
      </c>
      <c r="AM121" s="9" t="n">
        <v>0</v>
      </c>
      <c r="AN121" s="9" t="n">
        <v>0</v>
      </c>
      <c r="AO121" s="9" t="n">
        <v>0</v>
      </c>
      <c r="AP121" s="246">
        <f>AN121+IF(NOT(ISBLANK(OFFSET(AP121,0,6))),N(OFFSET(AP121,0,6)),N(OFFSET(AP121,0,7)))-AO121</f>
        <v/>
      </c>
      <c r="AR121" s="69" t="n"/>
    </row>
    <row r="122" ht="18.75" customHeight="1">
      <c r="A122" s="33" t="inlineStr">
        <is>
          <t>SACOLA G</t>
        </is>
      </c>
      <c r="B122" s="9" t="n">
        <v>100</v>
      </c>
      <c r="C122" s="662" t="n"/>
      <c r="D122" s="329" t="n"/>
      <c r="E122" s="53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38" t="n">
        <v>0</v>
      </c>
      <c r="X122" s="38" t="n">
        <v>0</v>
      </c>
      <c r="Y122" s="38" t="n">
        <v>0</v>
      </c>
      <c r="Z122" s="38" t="n">
        <v>0</v>
      </c>
      <c r="AA122" s="38" t="n">
        <v>0</v>
      </c>
      <c r="AB122" s="38" t="n">
        <v>0</v>
      </c>
      <c r="AC122" s="38" t="n">
        <v>0</v>
      </c>
      <c r="AD122" s="38" t="n"/>
      <c r="AE122" s="38" t="n"/>
      <c r="AF122" s="38" t="n"/>
      <c r="AG122" s="38" t="n">
        <v>0</v>
      </c>
      <c r="AH122" s="38" t="n">
        <v>0</v>
      </c>
      <c r="AI122" s="38" t="n">
        <v>0</v>
      </c>
      <c r="AJ122" s="38" t="n">
        <v>0</v>
      </c>
      <c r="AK122" s="38" t="n"/>
      <c r="AL122" s="38" t="n"/>
      <c r="AM122" s="9" t="n"/>
      <c r="AN122" s="9" t="n"/>
      <c r="AO122" s="9" t="n"/>
      <c r="AP122" s="246">
        <f>AN122+IF(NOT(ISBLANK(OFFSET(AP122,0,6))),N(OFFSET(AP122,0,6)),N(OFFSET(AP122,0,7)))-AO122</f>
        <v/>
      </c>
      <c r="AR122" s="69" t="n"/>
    </row>
    <row r="123" ht="18.75" customHeight="1">
      <c r="A123" s="238" t="inlineStr">
        <is>
          <t>KIT PAPEL DE SEDA 10 C/ 20</t>
        </is>
      </c>
      <c r="B123" s="36" t="n">
        <v>200</v>
      </c>
      <c r="C123" s="668" t="n"/>
      <c r="D123" s="36" t="n"/>
      <c r="E123" s="53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38" t="n">
        <v>0</v>
      </c>
      <c r="X123" s="38" t="n">
        <v>0</v>
      </c>
      <c r="Y123" s="38" t="n">
        <v>0</v>
      </c>
      <c r="Z123" s="38" t="n">
        <v>0</v>
      </c>
      <c r="AA123" s="38" t="n">
        <v>0</v>
      </c>
      <c r="AB123" s="38" t="n">
        <v>0</v>
      </c>
      <c r="AC123" s="38" t="n">
        <v>0</v>
      </c>
      <c r="AD123" s="38" t="n"/>
      <c r="AE123" s="38" t="n"/>
      <c r="AF123" s="38" t="n"/>
      <c r="AG123" s="38" t="n">
        <v>2</v>
      </c>
      <c r="AH123" s="38" t="n">
        <v>2</v>
      </c>
      <c r="AI123" s="38" t="n">
        <v>1</v>
      </c>
      <c r="AJ123" s="38" t="n">
        <v>1</v>
      </c>
      <c r="AK123" s="38" t="n">
        <v>1</v>
      </c>
      <c r="AL123" s="38" t="n">
        <v>1</v>
      </c>
      <c r="AM123" s="9" t="n">
        <v>1</v>
      </c>
      <c r="AN123" s="9" t="n">
        <v>1</v>
      </c>
      <c r="AO123" s="9" t="n">
        <v>1</v>
      </c>
      <c r="AP123" s="246">
        <f>AN123+IF(NOT(ISBLANK(OFFSET(AP123,0,6))),N(OFFSET(AP123,0,6)),N(OFFSET(AP123,0,7)))-AO123</f>
        <v/>
      </c>
      <c r="AR123" s="69" t="n"/>
    </row>
    <row r="124" ht="18.75" customHeight="1">
      <c r="A124" s="238" t="inlineStr">
        <is>
          <t>CAIXA P</t>
        </is>
      </c>
      <c r="B124" s="36" t="n">
        <v>150</v>
      </c>
      <c r="C124" s="668" t="n"/>
      <c r="D124" s="36" t="n"/>
      <c r="E124" s="53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38" t="n">
        <v>0</v>
      </c>
      <c r="X124" s="38" t="n">
        <v>0</v>
      </c>
      <c r="Y124" s="38" t="n">
        <v>0</v>
      </c>
      <c r="Z124" s="38" t="n">
        <v>0</v>
      </c>
      <c r="AA124" s="38" t="n">
        <v>0</v>
      </c>
      <c r="AB124" s="38" t="n">
        <v>0</v>
      </c>
      <c r="AC124" s="38" t="n">
        <v>0</v>
      </c>
      <c r="AD124" s="38" t="n"/>
      <c r="AE124" s="38" t="n"/>
      <c r="AF124" s="38" t="n"/>
      <c r="AG124" s="38" t="n">
        <v>22</v>
      </c>
      <c r="AH124" s="38" t="n">
        <v>8</v>
      </c>
      <c r="AI124" s="38" t="n">
        <v>6</v>
      </c>
      <c r="AJ124" s="38" t="n">
        <v>3</v>
      </c>
      <c r="AK124" s="38" t="n">
        <v>3</v>
      </c>
      <c r="AL124" s="38" t="n">
        <v>3</v>
      </c>
      <c r="AM124" s="9" t="n">
        <v>3</v>
      </c>
      <c r="AN124" s="9" t="n">
        <v>3</v>
      </c>
      <c r="AO124" s="9" t="n">
        <v>3</v>
      </c>
      <c r="AP124" s="246">
        <f>AN124+IF(NOT(ISBLANK(OFFSET(AP124,0,6))),N(OFFSET(AP124,0,6)),N(OFFSET(AP124,0,7)))-AO124</f>
        <v/>
      </c>
      <c r="AR124" s="69" t="n"/>
    </row>
    <row r="125" ht="18.75" customHeight="1">
      <c r="A125" s="238" t="inlineStr">
        <is>
          <t>CAIXA M</t>
        </is>
      </c>
      <c r="B125" s="36" t="n">
        <v>100</v>
      </c>
      <c r="C125" s="668" t="n"/>
      <c r="D125" s="36" t="n"/>
      <c r="E125" s="53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38" t="n">
        <v>0</v>
      </c>
      <c r="X125" s="38" t="n">
        <v>0</v>
      </c>
      <c r="Y125" s="38" t="n">
        <v>0</v>
      </c>
      <c r="Z125" s="38" t="n">
        <v>0</v>
      </c>
      <c r="AA125" s="38" t="n">
        <v>0</v>
      </c>
      <c r="AB125" s="38" t="n">
        <v>0</v>
      </c>
      <c r="AC125" s="38" t="n">
        <v>0</v>
      </c>
      <c r="AD125" s="38" t="n"/>
      <c r="AE125" s="38" t="n"/>
      <c r="AF125" s="38" t="n"/>
      <c r="AG125" s="38" t="n">
        <v>19</v>
      </c>
      <c r="AH125" s="38" t="n">
        <v>9</v>
      </c>
      <c r="AI125" s="38" t="n">
        <v>4</v>
      </c>
      <c r="AJ125" s="38" t="n">
        <v>3</v>
      </c>
      <c r="AK125" s="38" t="n">
        <v>3</v>
      </c>
      <c r="AL125" s="38" t="n">
        <v>3</v>
      </c>
      <c r="AM125" s="9" t="n">
        <v>3</v>
      </c>
      <c r="AN125" s="9" t="n">
        <v>3</v>
      </c>
      <c r="AO125" s="9" t="n">
        <v>3</v>
      </c>
      <c r="AP125" s="246">
        <f>AN125+IF(NOT(ISBLANK(OFFSET(AP125,0,6))),N(OFFSET(AP125,0,6)),N(OFFSET(AP125,0,7)))-AO125</f>
        <v/>
      </c>
      <c r="AR125" s="69" t="n"/>
    </row>
    <row r="126" ht="18.75" customHeight="1">
      <c r="A126" s="238" t="inlineStr">
        <is>
          <t>CARTUCHO M</t>
        </is>
      </c>
      <c r="B126" s="36" t="n">
        <v>150</v>
      </c>
      <c r="C126" s="668" t="n"/>
      <c r="D126" s="36" t="n"/>
      <c r="E126" s="53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38" t="n">
        <v>0</v>
      </c>
      <c r="X126" s="38" t="n">
        <v>0</v>
      </c>
      <c r="Y126" s="38" t="n">
        <v>0</v>
      </c>
      <c r="Z126" s="38" t="n">
        <v>0</v>
      </c>
      <c r="AA126" s="38" t="n">
        <v>0</v>
      </c>
      <c r="AB126" s="38" t="n">
        <v>0</v>
      </c>
      <c r="AC126" s="38" t="n">
        <v>0</v>
      </c>
      <c r="AD126" s="38" t="n"/>
      <c r="AE126" s="38" t="n"/>
      <c r="AF126" s="38" t="n"/>
      <c r="AG126" s="38" t="n">
        <v>0</v>
      </c>
      <c r="AH126" s="38" t="n">
        <v>0</v>
      </c>
      <c r="AI126" s="38" t="n">
        <v>0</v>
      </c>
      <c r="AJ126" s="38" t="n">
        <v>0</v>
      </c>
      <c r="AK126" s="38" t="n">
        <v>0</v>
      </c>
      <c r="AL126" s="38" t="n">
        <v>0</v>
      </c>
      <c r="AM126" s="9" t="n">
        <v>0</v>
      </c>
      <c r="AN126" s="9" t="n">
        <v>0</v>
      </c>
      <c r="AO126" s="9" t="n">
        <v>0</v>
      </c>
      <c r="AP126" s="246">
        <f>AN126+IF(NOT(ISBLANK(OFFSET(AP126,0,6))),N(OFFSET(AP126,0,6)),N(OFFSET(AP126,0,7)))-AO126</f>
        <v/>
      </c>
      <c r="AR126" s="69" t="n"/>
    </row>
    <row r="127" ht="18.75" customHeight="1">
      <c r="A127" s="31" t="n"/>
      <c r="B127" s="53" t="n"/>
      <c r="C127" s="53" t="n"/>
      <c r="E127" s="53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  <c r="AA127" s="4" t="n"/>
      <c r="AB127" s="4" t="n"/>
      <c r="AC127" s="4" t="n"/>
      <c r="AD127" s="4" t="n"/>
      <c r="AE127" s="4" t="n"/>
      <c r="AF127" s="4" t="n"/>
      <c r="AG127" s="4" t="n"/>
      <c r="AH127" s="4" t="n"/>
      <c r="AI127" s="4" t="n"/>
      <c r="AJ127" s="4" t="n"/>
      <c r="AK127" s="4" t="n"/>
      <c r="AL127" s="4" t="n"/>
      <c r="AM127" s="2" t="n"/>
      <c r="AN127" s="2" t="n"/>
      <c r="AO127" s="2" t="n"/>
      <c r="AP127" s="53" t="n"/>
      <c r="AR127" s="69" t="n"/>
    </row>
    <row r="128" ht="18.75" customHeight="1">
      <c r="A128" s="31" t="n"/>
      <c r="B128" s="53" t="n"/>
      <c r="C128" s="53" t="n"/>
      <c r="E128" s="53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  <c r="AA128" s="4" t="n"/>
      <c r="AB128" s="4" t="n"/>
      <c r="AC128" s="4" t="n"/>
      <c r="AD128" s="4" t="n"/>
      <c r="AE128" s="4" t="n"/>
      <c r="AF128" s="4" t="n"/>
      <c r="AG128" s="4" t="n"/>
      <c r="AH128" s="4" t="n"/>
      <c r="AI128" s="4" t="n"/>
      <c r="AJ128" s="4" t="n"/>
      <c r="AK128" s="4" t="n"/>
      <c r="AL128" s="4" t="n"/>
      <c r="AM128" s="2" t="n"/>
      <c r="AN128" s="2" t="n"/>
      <c r="AO128" s="2" t="n"/>
      <c r="AP128" s="53" t="n"/>
      <c r="AR128" s="69" t="n"/>
    </row>
    <row r="129" ht="18.75" customHeight="1">
      <c r="A129" s="669" t="inlineStr">
        <is>
          <t>SOBRAS DATAS COMEMORATIVAS</t>
        </is>
      </c>
      <c r="B129" s="658" t="n"/>
      <c r="C129" s="670" t="n"/>
    </row>
    <row r="130" ht="18.75" customHeight="1">
      <c r="A130" s="146" t="inlineStr">
        <is>
          <t>ITENS</t>
        </is>
      </c>
      <c r="B130" s="146" t="n"/>
      <c r="C130" s="146" t="inlineStr">
        <is>
          <t>TEMOS EM ESTOQUE</t>
        </is>
      </c>
      <c r="BX130" s="314" t="n"/>
      <c r="BY130" s="314" t="n"/>
    </row>
    <row r="131" ht="18.75" customHeight="1">
      <c r="A131" s="193" t="n"/>
      <c r="B131" s="192" t="n"/>
      <c r="C131" s="171" t="n"/>
    </row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</sheetData>
  <mergeCells count="9">
    <mergeCell ref="A5:A6"/>
    <mergeCell ref="B2:C2"/>
    <mergeCell ref="B3:C3"/>
    <mergeCell ref="F5:AJ5"/>
    <mergeCell ref="BX54:BY64"/>
    <mergeCell ref="D5:D6"/>
    <mergeCell ref="B5:B6"/>
    <mergeCell ref="A129:C129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portrait" paperSize="9" scale="57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Planilha32">
    <tabColor theme="9"/>
    <outlinePr summaryBelow="1" summaryRight="1"/>
    <pageSetUpPr fitToPage="1"/>
  </sheetPr>
  <dimension ref="A1:BX131"/>
  <sheetViews>
    <sheetView showGridLines="0" topLeftCell="A115" zoomScale="80" zoomScaleNormal="80" workbookViewId="0">
      <selection activeCell="AJ15" sqref="AJ15"/>
    </sheetView>
  </sheetViews>
  <sheetFormatPr baseColWidth="8" defaultColWidth="9.140625" defaultRowHeight="18.75" customHeight="1"/>
  <cols>
    <col width="43.42578125" customWidth="1" style="52" min="1" max="1"/>
    <col width="10.140625" customWidth="1" style="6" min="2" max="2"/>
    <col width="16.7109375" customWidth="1" style="6" min="3" max="4"/>
    <col width="1.5703125" customWidth="1" style="6" min="5" max="5"/>
    <col hidden="1" width="8.140625" customWidth="1" style="6" min="6" max="34"/>
    <col width="8.140625" customWidth="1" style="6" min="35" max="37"/>
    <col width="8.85546875" customWidth="1" style="6" min="38" max="38"/>
    <col width="1.85546875" customWidth="1" style="6" min="39" max="39"/>
    <col width="31.85546875" bestFit="1" customWidth="1" style="51" min="40" max="40"/>
    <col width="1.140625" customWidth="1" style="49" min="41" max="41"/>
    <col width="15.85546875" bestFit="1" customWidth="1" style="49" min="42" max="42"/>
    <col width="1.28515625" customWidth="1" style="49" min="43" max="43"/>
    <col width="8.28515625" customWidth="1" style="51" min="44" max="51"/>
    <col hidden="1" width="8.28515625" customWidth="1" style="51" min="52" max="55"/>
    <col hidden="1" width="48.5703125" customWidth="1" style="51" min="56" max="56"/>
    <col hidden="1" width="8.28515625" customWidth="1" style="51" min="57" max="69"/>
    <col hidden="1" width="14.42578125" customWidth="1" style="51" min="70" max="70"/>
    <col hidden="1" width="8.28515625" customWidth="1" style="51" min="71" max="71"/>
    <col hidden="1" width="17" customWidth="1" style="285" min="72" max="72"/>
    <col hidden="1" width="31.42578125" customWidth="1" style="285" min="73" max="73"/>
    <col width="2.85546875" customWidth="1" min="74" max="74"/>
    <col width="9.140625" customWidth="1" style="6" min="75" max="75"/>
    <col width="9.140625" customWidth="1" style="6" min="76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5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</row>
    <row r="2">
      <c r="A2" s="50" t="inlineStr">
        <is>
          <t>LOJA:</t>
        </is>
      </c>
      <c r="B2" s="639" t="inlineStr">
        <is>
          <t>ER MONGAGUÁ</t>
        </is>
      </c>
      <c r="C2" s="641" t="n"/>
      <c r="D2" s="77" t="n"/>
      <c r="AN2" s="49" t="n"/>
      <c r="AR2" s="49" t="n"/>
      <c r="AS2" s="49" t="n"/>
      <c r="AT2" s="49" t="n"/>
      <c r="AU2" s="49" t="n"/>
      <c r="AV2" s="49" t="n"/>
      <c r="AW2" s="49" t="n"/>
      <c r="AX2" s="49" t="n"/>
      <c r="AY2" s="49" t="n"/>
      <c r="AZ2" s="49" t="n"/>
      <c r="BA2" s="49" t="n"/>
      <c r="BB2" s="49" t="n"/>
      <c r="BC2" s="49" t="n"/>
      <c r="BD2" s="49" t="n"/>
      <c r="BE2" s="49" t="n"/>
      <c r="BF2" s="49" t="n"/>
      <c r="BG2" s="49" t="n"/>
      <c r="BH2" s="49" t="n"/>
      <c r="BI2" s="49" t="n"/>
      <c r="BJ2" s="49" t="n"/>
      <c r="BK2" s="49" t="n"/>
      <c r="BL2" s="49" t="n"/>
      <c r="BM2" s="49" t="n"/>
      <c r="BN2" s="49" t="n"/>
      <c r="BO2" s="49" t="n"/>
      <c r="BP2" s="49" t="n"/>
      <c r="BQ2" s="49" t="n"/>
      <c r="BR2" s="49" t="n"/>
      <c r="BS2" s="49" t="n"/>
      <c r="BT2" s="268" t="n"/>
      <c r="BU2" s="268" t="n"/>
    </row>
    <row r="3" ht="18.75" customHeight="1">
      <c r="A3" s="50" t="inlineStr">
        <is>
          <t>Responsável:</t>
        </is>
      </c>
      <c r="B3" s="253" t="inlineStr">
        <is>
          <t>RICHARD</t>
        </is>
      </c>
      <c r="C3" s="641" t="n"/>
      <c r="D3" s="5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N3" s="49" t="n"/>
      <c r="AR3" s="49" t="n"/>
      <c r="AS3" s="49" t="n"/>
      <c r="BT3" s="314" t="n"/>
      <c r="BU3" s="314" t="n"/>
    </row>
    <row r="4" ht="29.25" customHeight="1">
      <c r="AN4" s="49" t="n"/>
      <c r="AR4" s="6" t="n"/>
      <c r="AS4" s="6" t="n"/>
      <c r="AT4" s="6" t="n"/>
      <c r="AU4" s="6" t="n"/>
      <c r="AV4" s="6" t="n"/>
      <c r="AW4" s="6" t="n"/>
      <c r="AX4" s="6" t="n"/>
      <c r="AY4" s="6" t="n"/>
      <c r="AZ4" s="6" t="n"/>
      <c r="BA4" s="6" t="n"/>
      <c r="BB4" s="6" t="n"/>
      <c r="BC4" s="6" t="n"/>
      <c r="BD4" s="6" t="n"/>
      <c r="BE4" s="6" t="n"/>
      <c r="BF4" s="6" t="n"/>
      <c r="BG4" s="6" t="n"/>
      <c r="BH4" s="6" t="n"/>
      <c r="BI4" s="6" t="n"/>
      <c r="BJ4" s="6" t="n"/>
      <c r="BK4" s="6" t="n"/>
      <c r="BL4" s="6" t="n"/>
      <c r="BM4" s="6" t="n"/>
      <c r="BN4" s="6" t="n"/>
      <c r="BO4" s="6" t="n"/>
      <c r="BP4" s="6" t="n"/>
      <c r="BQ4" s="6" t="n"/>
      <c r="BR4" s="6" t="n"/>
      <c r="BS4" s="6" t="n"/>
      <c r="BT4" s="269" t="n"/>
      <c r="BU4" s="269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510" t="n"/>
      <c r="AL5" s="153" t="n"/>
      <c r="AN5" s="35" t="inlineStr">
        <is>
          <t>Pendências</t>
        </is>
      </c>
      <c r="AO5" s="6" t="n"/>
      <c r="AP5" s="12" t="inlineStr">
        <is>
          <t>Novo Pedido</t>
        </is>
      </c>
      <c r="AQ5" s="6" t="n"/>
      <c r="AR5" s="654" t="n">
        <v>46156</v>
      </c>
      <c r="AS5" s="654" t="n">
        <v>46149</v>
      </c>
      <c r="AT5" s="654" t="n">
        <v>46114</v>
      </c>
      <c r="AU5" s="654" t="n">
        <v>46099</v>
      </c>
      <c r="AV5" s="710" t="n">
        <v>46065</v>
      </c>
      <c r="AW5" s="654" t="n">
        <v>46092</v>
      </c>
      <c r="AX5" s="711" t="n">
        <v>46045</v>
      </c>
      <c r="AY5" s="654" t="n">
        <v>46077</v>
      </c>
      <c r="AZ5" s="654" t="n">
        <v>46071</v>
      </c>
      <c r="BA5" s="654" t="n">
        <v>46071</v>
      </c>
      <c r="BB5" s="654" t="n">
        <v>46056</v>
      </c>
      <c r="BC5" s="654" t="n">
        <v>46048</v>
      </c>
      <c r="BD5" s="655" t="inlineStr">
        <is>
          <t>TRANSF.</t>
        </is>
      </c>
      <c r="BE5" s="654" t="n">
        <v>46029</v>
      </c>
      <c r="BF5" s="654" t="n">
        <v>46372</v>
      </c>
      <c r="BG5" s="654" t="n">
        <v>46382</v>
      </c>
      <c r="BH5" s="654" t="n">
        <v>46007</v>
      </c>
      <c r="BI5" s="654" t="n">
        <v>46017</v>
      </c>
      <c r="BJ5" s="654" t="n">
        <v>46007</v>
      </c>
      <c r="BK5" s="654" t="n">
        <v>46001</v>
      </c>
      <c r="BL5" s="654" t="n">
        <v>46001</v>
      </c>
      <c r="BM5" s="654" t="n">
        <v>45994</v>
      </c>
      <c r="BN5" s="654" t="n">
        <v>45986</v>
      </c>
      <c r="BO5" s="654" t="n">
        <v>45980</v>
      </c>
      <c r="BP5" s="654" t="n">
        <v>45980</v>
      </c>
      <c r="BQ5" s="654" t="n">
        <v>45973</v>
      </c>
      <c r="BR5" s="655" t="inlineStr">
        <is>
          <t>TRANSF.</t>
        </is>
      </c>
      <c r="BS5" s="654" t="n">
        <v>45957</v>
      </c>
      <c r="BT5" s="732" t="n"/>
      <c r="BU5" s="655" t="inlineStr">
        <is>
          <t>TRANSF.</t>
        </is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45950</v>
      </c>
      <c r="G6" s="650" t="n">
        <v>45957</v>
      </c>
      <c r="H6" s="650" t="n">
        <v>45933</v>
      </c>
      <c r="I6" s="650" t="n">
        <v>45971</v>
      </c>
      <c r="J6" s="650" t="n">
        <v>45978</v>
      </c>
      <c r="K6" s="650" t="n">
        <v>45985</v>
      </c>
      <c r="L6" s="650" t="n">
        <v>45992</v>
      </c>
      <c r="M6" s="650" t="n">
        <v>45999</v>
      </c>
      <c r="N6" s="650" t="n">
        <v>46006</v>
      </c>
      <c r="O6" s="650" t="n">
        <v>46013</v>
      </c>
      <c r="P6" s="650" t="n">
        <v>46020</v>
      </c>
      <c r="Q6" s="650" t="n">
        <v>46027</v>
      </c>
      <c r="R6" s="650" t="n">
        <v>46034</v>
      </c>
      <c r="S6" s="650" t="n">
        <v>46041</v>
      </c>
      <c r="T6" s="650" t="n">
        <v>46048</v>
      </c>
      <c r="U6" s="650" t="n">
        <v>46055</v>
      </c>
      <c r="V6" s="650" t="n">
        <v>46062</v>
      </c>
      <c r="W6" s="650" t="n">
        <v>46069</v>
      </c>
      <c r="X6" s="650" t="n">
        <v>46076</v>
      </c>
      <c r="Y6" s="650" t="n">
        <v>46083</v>
      </c>
      <c r="Z6" s="650" t="n">
        <v>46090</v>
      </c>
      <c r="AA6" s="650" t="n">
        <v>46097</v>
      </c>
      <c r="AB6" s="650" t="n">
        <v>46104</v>
      </c>
      <c r="AC6" s="650" t="n">
        <v>46111</v>
      </c>
      <c r="AD6" s="650" t="n">
        <v>46118</v>
      </c>
      <c r="AE6" s="650" t="n">
        <v>46125</v>
      </c>
      <c r="AF6" s="650" t="n">
        <v>46132</v>
      </c>
      <c r="AG6" s="650" t="n">
        <v>46139</v>
      </c>
      <c r="AH6" s="650" t="n">
        <v>46146</v>
      </c>
      <c r="AI6" s="650" t="n">
        <v>46154</v>
      </c>
      <c r="AJ6" s="650" t="n">
        <v>46160</v>
      </c>
      <c r="AK6" s="650" t="n">
        <v>46160</v>
      </c>
      <c r="AL6" s="652" t="inlineStr">
        <is>
          <t>USOU</t>
        </is>
      </c>
      <c r="AM6" s="6" t="n"/>
      <c r="AN6" s="214" t="n">
        <v>46156</v>
      </c>
      <c r="AO6" s="653" t="n"/>
      <c r="AP6" s="656" t="n"/>
      <c r="AQ6" s="6" t="n"/>
      <c r="AR6" s="654" t="n"/>
      <c r="AS6" s="654" t="n">
        <v>46154</v>
      </c>
      <c r="AT6" s="654" t="n">
        <v>46121</v>
      </c>
      <c r="AU6" s="654" t="n">
        <v>46106</v>
      </c>
      <c r="AV6" s="710" t="n">
        <v>46104</v>
      </c>
      <c r="AW6" s="654" t="n">
        <v>46100</v>
      </c>
      <c r="AX6" s="711" t="n">
        <v>46087</v>
      </c>
      <c r="AY6" s="654" t="n">
        <v>46083</v>
      </c>
      <c r="AZ6" s="654" t="n">
        <v>46080</v>
      </c>
      <c r="BA6" s="654" t="n">
        <v>46073</v>
      </c>
      <c r="BB6" s="654" t="n">
        <v>46059</v>
      </c>
      <c r="BC6" s="654" t="n">
        <v>46052</v>
      </c>
      <c r="BD6" s="655" t="n">
        <v>46041</v>
      </c>
      <c r="BE6" s="654" t="n">
        <v>46035</v>
      </c>
      <c r="BF6" s="654" t="n">
        <v>46035</v>
      </c>
      <c r="BG6" s="654" t="n">
        <v>46031</v>
      </c>
      <c r="BH6" s="654" t="n">
        <v>46028</v>
      </c>
      <c r="BI6" s="654" t="n">
        <v>46027</v>
      </c>
      <c r="BJ6" s="654" t="n">
        <v>46014</v>
      </c>
      <c r="BK6" s="654" t="n">
        <v>46014</v>
      </c>
      <c r="BL6" s="654" t="n">
        <v>46008</v>
      </c>
      <c r="BM6" s="654" t="n">
        <v>46002</v>
      </c>
      <c r="BN6" s="654" t="n">
        <v>45994</v>
      </c>
      <c r="BO6" s="654" t="n">
        <v>45994</v>
      </c>
      <c r="BP6" s="654" t="n">
        <v>45987</v>
      </c>
      <c r="BQ6" s="654" t="n">
        <v>45979</v>
      </c>
      <c r="BR6" s="655" t="n">
        <v>45967</v>
      </c>
      <c r="BS6" s="654" t="n">
        <v>45959</v>
      </c>
      <c r="BT6" s="732" t="n"/>
      <c r="BU6" s="655" t="n">
        <v>45950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6" t="n"/>
      <c r="AN7" s="575" t="n"/>
      <c r="AP7" s="22" t="n"/>
      <c r="AQ7" s="6" t="n"/>
      <c r="AR7" s="575" t="n"/>
      <c r="AS7" s="575" t="n"/>
      <c r="AT7" s="575" t="n"/>
      <c r="AU7" s="575" t="n"/>
      <c r="AV7" s="270" t="inlineStr">
        <is>
          <t>MÃES</t>
        </is>
      </c>
      <c r="AW7" s="575" t="n"/>
      <c r="AX7" s="270" t="inlineStr">
        <is>
          <t>MÃES</t>
        </is>
      </c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/>
      <c r="E8" s="6" t="n"/>
      <c r="F8" s="187" t="n">
        <v>0</v>
      </c>
      <c r="G8" s="187">
        <f>0+BS8</f>
        <v/>
      </c>
      <c r="H8" s="187" t="n">
        <v>300</v>
      </c>
      <c r="I8" s="187" t="n">
        <v>290</v>
      </c>
      <c r="J8" s="187" t="n">
        <v>290</v>
      </c>
      <c r="K8" s="187" t="n">
        <v>0</v>
      </c>
      <c r="L8" s="187" t="n">
        <v>0</v>
      </c>
      <c r="M8" s="187" t="n">
        <v>300</v>
      </c>
      <c r="N8" s="187">
        <f>300+BL8</f>
        <v/>
      </c>
      <c r="O8" s="187" t="n">
        <v>900</v>
      </c>
      <c r="P8" s="187" t="n">
        <v>900</v>
      </c>
      <c r="Q8" s="187">
        <f>600+BI8</f>
        <v/>
      </c>
      <c r="R8" s="187" t="n">
        <v>300</v>
      </c>
      <c r="S8" s="187" t="n">
        <v>300</v>
      </c>
      <c r="T8" s="187" t="n">
        <v>300</v>
      </c>
      <c r="U8" s="187" t="n">
        <v>0</v>
      </c>
      <c r="V8" s="187" t="n">
        <v>600</v>
      </c>
      <c r="W8" s="187" t="n">
        <v>0</v>
      </c>
      <c r="X8" s="187" t="n">
        <v>300</v>
      </c>
      <c r="Y8" s="187">
        <f>300+AY8</f>
        <v/>
      </c>
      <c r="Z8" s="187" t="n">
        <v>600</v>
      </c>
      <c r="AA8" s="187">
        <f>300+AW8</f>
        <v/>
      </c>
      <c r="AB8" s="187" t="n">
        <v>900</v>
      </c>
      <c r="AC8" s="187" t="n">
        <v>900</v>
      </c>
      <c r="AD8" s="187" t="n">
        <v>600</v>
      </c>
      <c r="AE8" s="187" t="n">
        <v>300</v>
      </c>
      <c r="AF8" s="187" t="n">
        <v>300</v>
      </c>
      <c r="AG8" s="187" t="n">
        <v>0</v>
      </c>
      <c r="AH8" s="187" t="n">
        <v>0</v>
      </c>
      <c r="AI8" s="187">
        <f>0+AS8</f>
        <v/>
      </c>
      <c r="AJ8" s="187" t="n"/>
      <c r="AK8" s="187" t="n"/>
      <c r="AL8" s="188">
        <f>AJ8+IF(NOT(ISBLANK(OFFSET(AL8,0,6))),N(OFFSET(AL8,0,6)),N(OFFSET(AL8,0,7)))-AK8</f>
        <v/>
      </c>
      <c r="AM8" s="6" t="n"/>
      <c r="AN8" s="19" t="n">
        <v>300</v>
      </c>
      <c r="AP8" s="27" t="n"/>
      <c r="AR8" s="179" t="n">
        <v>0</v>
      </c>
      <c r="AS8" s="179" t="n">
        <v>300</v>
      </c>
      <c r="AT8" s="179" t="n"/>
      <c r="AU8" s="179" t="n">
        <v>300</v>
      </c>
      <c r="AV8" s="179" t="n"/>
      <c r="AW8" s="179" t="n">
        <v>300</v>
      </c>
      <c r="AX8" s="179" t="n"/>
      <c r="AY8" s="179" t="n">
        <v>600</v>
      </c>
      <c r="AZ8" s="179" t="n"/>
      <c r="BA8" s="179" t="n">
        <v>600</v>
      </c>
      <c r="BB8" s="179" t="n">
        <v>600</v>
      </c>
      <c r="BC8" s="179" t="n"/>
      <c r="BD8" s="179" t="n"/>
      <c r="BE8" s="179" t="n"/>
      <c r="BF8" s="179" t="n"/>
      <c r="BG8" s="179" t="n"/>
      <c r="BH8" s="179" t="n"/>
      <c r="BI8" s="179" t="n">
        <v>300</v>
      </c>
      <c r="BJ8" s="179" t="n"/>
      <c r="BK8" s="179" t="n"/>
      <c r="BL8" s="179" t="n">
        <v>900</v>
      </c>
      <c r="BM8" s="179" t="n"/>
      <c r="BN8" s="179" t="n">
        <v>600</v>
      </c>
      <c r="BO8" s="179" t="n"/>
      <c r="BP8" s="179" t="n"/>
      <c r="BQ8" s="179" t="n"/>
      <c r="BR8" s="402" t="inlineStr">
        <is>
          <t>300 DE CDP</t>
        </is>
      </c>
      <c r="BS8" s="179" t="n">
        <v>300</v>
      </c>
      <c r="BT8" s="256" t="n"/>
      <c r="BU8" s="256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/>
      <c r="E9" s="6" t="n"/>
      <c r="F9" s="187" t="n">
        <v>0</v>
      </c>
      <c r="G9" s="187">
        <f>0+BS9</f>
        <v/>
      </c>
      <c r="H9" s="187" t="n">
        <v>600</v>
      </c>
      <c r="I9" s="187" t="n">
        <v>560</v>
      </c>
      <c r="J9" s="187">
        <f>360+BQ9</f>
        <v/>
      </c>
      <c r="K9" s="187">
        <f>370+BP9</f>
        <v/>
      </c>
      <c r="L9" s="187" t="n">
        <v>400</v>
      </c>
      <c r="M9" s="187">
        <f>400+BM9</f>
        <v/>
      </c>
      <c r="N9" s="187">
        <f>936+BL9</f>
        <v/>
      </c>
      <c r="O9" s="187" t="n">
        <v>2536</v>
      </c>
      <c r="P9" s="187" t="n">
        <v>2000</v>
      </c>
      <c r="Q9" s="187">
        <f>1400+BI9</f>
        <v/>
      </c>
      <c r="R9" s="187" t="n">
        <v>1600</v>
      </c>
      <c r="S9" s="187">
        <f>1600-400</f>
        <v/>
      </c>
      <c r="T9" s="187" t="n">
        <v>400</v>
      </c>
      <c r="U9" s="187" t="n">
        <v>800</v>
      </c>
      <c r="V9" s="187" t="n">
        <v>600</v>
      </c>
      <c r="W9" s="187" t="n">
        <v>200</v>
      </c>
      <c r="X9" s="187" t="n">
        <v>1000</v>
      </c>
      <c r="Y9" s="187" t="n">
        <v>1000</v>
      </c>
      <c r="Z9" s="187" t="n">
        <v>600</v>
      </c>
      <c r="AA9" s="187">
        <f>400+AW9</f>
        <v/>
      </c>
      <c r="AB9" s="187" t="n">
        <v>800</v>
      </c>
      <c r="AC9" s="187" t="n">
        <v>0</v>
      </c>
      <c r="AD9" s="187" t="n">
        <v>0</v>
      </c>
      <c r="AE9" s="187" t="n">
        <v>600</v>
      </c>
      <c r="AF9" s="187" t="n">
        <v>600</v>
      </c>
      <c r="AG9" s="187" t="n">
        <v>600</v>
      </c>
      <c r="AH9" s="187" t="n">
        <v>400</v>
      </c>
      <c r="AI9" s="187" t="n">
        <v>0</v>
      </c>
      <c r="AJ9" s="187" t="n"/>
      <c r="AK9" s="187" t="n"/>
      <c r="AL9" s="188">
        <f>AJ9+IF(NOT(ISBLANK(OFFSET(AL9,0,6))),N(OFFSET(AL9,0,6)),N(OFFSET(AL9,0,7)))-AK9</f>
        <v/>
      </c>
      <c r="AM9" s="6" t="n"/>
      <c r="AN9" s="19" t="n">
        <v>400</v>
      </c>
      <c r="AP9" s="27" t="n"/>
      <c r="AR9" s="179" t="n">
        <v>0</v>
      </c>
      <c r="AS9" s="179" t="n">
        <v>0</v>
      </c>
      <c r="AT9" s="179" t="n">
        <v>800</v>
      </c>
      <c r="AU9" s="179" t="n"/>
      <c r="AV9" s="403" t="n">
        <v>1000</v>
      </c>
      <c r="AW9" s="179" t="n">
        <v>600</v>
      </c>
      <c r="AX9" s="179" t="n"/>
      <c r="AY9" s="179" t="n"/>
      <c r="AZ9" s="179" t="n"/>
      <c r="BA9" s="179" t="n">
        <v>800</v>
      </c>
      <c r="BB9" s="179" t="n"/>
      <c r="BC9" s="179" t="n">
        <v>600</v>
      </c>
      <c r="BD9" s="402" t="inlineStr">
        <is>
          <t>400 P/ MG</t>
        </is>
      </c>
      <c r="BE9" s="179" t="n">
        <v>600</v>
      </c>
      <c r="BF9" s="179" t="n"/>
      <c r="BG9" s="179" t="n"/>
      <c r="BH9" s="179" t="n"/>
      <c r="BI9" s="179" t="n">
        <v>600</v>
      </c>
      <c r="BJ9" s="179" t="n"/>
      <c r="BK9" s="179" t="n"/>
      <c r="BL9" s="179" t="n">
        <v>800</v>
      </c>
      <c r="BM9" s="179" t="n">
        <v>600</v>
      </c>
      <c r="BN9" s="179" t="n">
        <v>400</v>
      </c>
      <c r="BO9" s="179" t="n"/>
      <c r="BP9" s="179" t="n">
        <v>600</v>
      </c>
      <c r="BQ9" s="179" t="n">
        <v>200</v>
      </c>
      <c r="BR9" s="402" t="inlineStr">
        <is>
          <t>600 DE CDP</t>
        </is>
      </c>
      <c r="BS9" s="179" t="n">
        <v>600</v>
      </c>
      <c r="BT9" s="256" t="n"/>
      <c r="BU9" s="256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/>
      <c r="E10" s="6" t="n"/>
      <c r="F10" s="187" t="n">
        <v>0</v>
      </c>
      <c r="G10" s="187">
        <f>0+BS10</f>
        <v/>
      </c>
      <c r="H10" s="187" t="n">
        <v>400</v>
      </c>
      <c r="I10" s="187" t="n">
        <v>300</v>
      </c>
      <c r="J10" s="187">
        <f>300+BQ10</f>
        <v/>
      </c>
      <c r="K10" s="187">
        <f>480+BP10</f>
        <v/>
      </c>
      <c r="L10" s="187" t="n">
        <v>980</v>
      </c>
      <c r="M10" s="187" t="n">
        <v>964</v>
      </c>
      <c r="N10" s="187" t="n">
        <v>329</v>
      </c>
      <c r="O10" s="187" t="n">
        <v>929</v>
      </c>
      <c r="P10" s="187" t="n">
        <v>900</v>
      </c>
      <c r="Q10" s="187">
        <f>900+BI10</f>
        <v/>
      </c>
      <c r="R10" s="187" t="n">
        <v>1650</v>
      </c>
      <c r="S10" s="187">
        <f>1650-800-200</f>
        <v/>
      </c>
      <c r="T10" s="187" t="n">
        <v>550</v>
      </c>
      <c r="U10" s="187" t="n">
        <v>556</v>
      </c>
      <c r="V10" s="187" t="n">
        <v>500</v>
      </c>
      <c r="W10" s="187" t="n">
        <v>400</v>
      </c>
      <c r="X10" s="187" t="n">
        <v>600</v>
      </c>
      <c r="Y10" s="187" t="n">
        <v>600</v>
      </c>
      <c r="Z10" s="187" t="n">
        <v>600</v>
      </c>
      <c r="AA10" s="187" t="n">
        <v>600</v>
      </c>
      <c r="AB10" s="187" t="n">
        <v>1000</v>
      </c>
      <c r="AC10" s="187" t="n">
        <v>400</v>
      </c>
      <c r="AD10" s="187" t="n">
        <v>200</v>
      </c>
      <c r="AE10" s="187" t="n">
        <v>1000</v>
      </c>
      <c r="AF10" s="187" t="n">
        <v>1400</v>
      </c>
      <c r="AG10" s="187" t="n">
        <v>1400</v>
      </c>
      <c r="AH10" s="187" t="n">
        <v>1200</v>
      </c>
      <c r="AI10" s="187" t="n">
        <v>800</v>
      </c>
      <c r="AJ10" s="187" t="n"/>
      <c r="AK10" s="187" t="n"/>
      <c r="AL10" s="188">
        <f>AJ10+IF(NOT(ISBLANK(OFFSET(AL10,0,6))),N(OFFSET(AL10,0,6)),N(OFFSET(AL10,0,7)))-AK10</f>
        <v/>
      </c>
      <c r="AM10" s="6" t="n"/>
      <c r="AN10" s="233" t="inlineStr">
        <is>
          <t>400 P/ ER PBE</t>
        </is>
      </c>
      <c r="AO10" s="4" t="n"/>
      <c r="AP10" s="27" t="n"/>
      <c r="AQ10" s="4" t="n"/>
      <c r="AR10" s="18" t="n">
        <v>0</v>
      </c>
      <c r="AS10" s="18" t="n">
        <v>0</v>
      </c>
      <c r="AT10" s="18" t="n">
        <v>600</v>
      </c>
      <c r="AU10" s="18" t="n">
        <v>400</v>
      </c>
      <c r="AV10" s="403" t="n">
        <v>400</v>
      </c>
      <c r="AW10" s="18" t="n"/>
      <c r="AX10" s="418" t="n">
        <v>150</v>
      </c>
      <c r="AY10" s="18" t="n"/>
      <c r="AZ10" s="18" t="n"/>
      <c r="BA10" s="18" t="n">
        <v>200</v>
      </c>
      <c r="BB10" s="18" t="n"/>
      <c r="BC10" s="18" t="n"/>
      <c r="BD10" s="154" t="inlineStr">
        <is>
          <t>800 P/ MG + 200 P/ ER PBE</t>
        </is>
      </c>
      <c r="BE10" s="18" t="n">
        <v>400</v>
      </c>
      <c r="BF10" s="18" t="n"/>
      <c r="BG10" s="18" t="n"/>
      <c r="BH10" s="18" t="n"/>
      <c r="BI10" s="18" t="n">
        <v>400</v>
      </c>
      <c r="BJ10" s="18" t="n">
        <v>600</v>
      </c>
      <c r="BK10" s="18" t="n"/>
      <c r="BL10" s="18" t="n"/>
      <c r="BM10" s="18" t="n"/>
      <c r="BN10" s="18" t="n"/>
      <c r="BO10" s="18" t="n"/>
      <c r="BP10" s="18" t="n">
        <v>400</v>
      </c>
      <c r="BQ10" s="18" t="n">
        <v>200</v>
      </c>
      <c r="BR10" s="18" t="n"/>
      <c r="BS10" s="18" t="n">
        <v>400</v>
      </c>
      <c r="BT10" s="256" t="n"/>
      <c r="BU10" s="256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/>
      <c r="E11" s="6" t="n"/>
      <c r="F11" s="38" t="n">
        <v>0</v>
      </c>
      <c r="G11" s="38">
        <f>0+BS11</f>
        <v/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100</v>
      </c>
      <c r="M11" s="38" t="n">
        <v>100</v>
      </c>
      <c r="N11" s="38">
        <f>0+BL11</f>
        <v/>
      </c>
      <c r="O11" s="38" t="n">
        <v>300</v>
      </c>
      <c r="P11" s="38" t="n">
        <v>300</v>
      </c>
      <c r="Q11" s="38">
        <f>300+BI11</f>
        <v/>
      </c>
      <c r="R11" s="38" t="n">
        <v>700</v>
      </c>
      <c r="S11" s="38">
        <f>700-200-300-100</f>
        <v/>
      </c>
      <c r="T11" s="38" t="n">
        <v>100</v>
      </c>
      <c r="U11" s="38" t="n">
        <v>200</v>
      </c>
      <c r="V11" s="38" t="n">
        <v>200</v>
      </c>
      <c r="W11" s="38" t="n">
        <v>200</v>
      </c>
      <c r="X11" s="38" t="n">
        <v>200</v>
      </c>
      <c r="Y11" s="38" t="n">
        <v>200</v>
      </c>
      <c r="Z11" s="38" t="n">
        <v>0</v>
      </c>
      <c r="AA11" s="38">
        <f>100+AW11</f>
        <v/>
      </c>
      <c r="AB11" s="38" t="n">
        <v>400</v>
      </c>
      <c r="AC11" s="38" t="n">
        <v>400</v>
      </c>
      <c r="AD11" s="38" t="n">
        <v>400</v>
      </c>
      <c r="AE11" s="38" t="n">
        <v>400</v>
      </c>
      <c r="AF11" s="38" t="n">
        <v>300</v>
      </c>
      <c r="AG11" s="38" t="n">
        <v>300</v>
      </c>
      <c r="AH11" s="38" t="n">
        <v>300</v>
      </c>
      <c r="AI11" s="38" t="n">
        <v>300</v>
      </c>
      <c r="AJ11" s="38" t="n"/>
      <c r="AK11" s="38" t="n"/>
      <c r="AL11" s="188">
        <f>AJ11+IF(NOT(ISBLANK(OFFSET(AL11,0,6))),N(OFFSET(AL11,0,6)),N(OFFSET(AL11,0,7)))-AK11</f>
        <v/>
      </c>
      <c r="AM11" s="6" t="n"/>
      <c r="AN11" s="233" t="inlineStr">
        <is>
          <t>100 P/ MG</t>
        </is>
      </c>
      <c r="AO11" s="4" t="n"/>
      <c r="AP11" s="65" t="n"/>
      <c r="AQ11" s="4" t="n"/>
      <c r="AR11" s="18" t="n">
        <v>0</v>
      </c>
      <c r="AS11" s="18" t="n">
        <v>0</v>
      </c>
      <c r="AT11" s="18" t="n"/>
      <c r="AU11" s="18" t="n"/>
      <c r="AV11" s="403" t="n">
        <v>100</v>
      </c>
      <c r="AW11" s="18" t="n">
        <v>300</v>
      </c>
      <c r="AX11" s="18" t="n"/>
      <c r="AY11" s="18" t="n"/>
      <c r="AZ11" s="18" t="n"/>
      <c r="BA11" s="18" t="n"/>
      <c r="BB11" s="18" t="n"/>
      <c r="BC11" s="18" t="n"/>
      <c r="BD11" s="154" t="inlineStr">
        <is>
          <t>200 P/ ER PG + 300 P/ MG + 100 P/ ER PB</t>
        </is>
      </c>
      <c r="BE11" s="18" t="n"/>
      <c r="BF11" s="18" t="n"/>
      <c r="BG11" s="18" t="n"/>
      <c r="BH11" s="18" t="n"/>
      <c r="BI11" s="18" t="n">
        <v>300</v>
      </c>
      <c r="BJ11" s="18" t="n">
        <v>200</v>
      </c>
      <c r="BK11" s="18" t="n"/>
      <c r="BL11" s="18" t="n">
        <v>100</v>
      </c>
      <c r="BM11" s="18" t="n"/>
      <c r="BN11" s="18" t="n"/>
      <c r="BO11" s="18" t="n"/>
      <c r="BP11" s="18" t="n"/>
      <c r="BQ11" s="18" t="n"/>
      <c r="BR11" s="18" t="n"/>
      <c r="BS11" s="18" t="n">
        <v>100</v>
      </c>
      <c r="BT11" s="256" t="n"/>
      <c r="BU11" s="256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329" t="n"/>
      <c r="E12" s="6" t="n"/>
      <c r="F12" s="38" t="n">
        <v>0</v>
      </c>
      <c r="G12" s="38">
        <f>0+BS12</f>
        <v/>
      </c>
      <c r="H12" s="38" t="n">
        <v>200</v>
      </c>
      <c r="I12" s="38" t="n">
        <v>120</v>
      </c>
      <c r="J12" s="38">
        <f>60+BQ12</f>
        <v/>
      </c>
      <c r="K12" s="38">
        <f>200+BP12</f>
        <v/>
      </c>
      <c r="L12" s="38" t="n">
        <v>600</v>
      </c>
      <c r="M12" s="38" t="n">
        <v>550</v>
      </c>
      <c r="N12" s="38" t="n">
        <v>0</v>
      </c>
      <c r="O12" s="38" t="n">
        <v>0</v>
      </c>
      <c r="P12" s="38" t="n">
        <v>0</v>
      </c>
      <c r="Q12" s="261">
        <f>880+BH12</f>
        <v/>
      </c>
      <c r="R12" s="38" t="n">
        <v>880</v>
      </c>
      <c r="S12" s="38" t="n">
        <v>880</v>
      </c>
      <c r="T12" s="38" t="n">
        <v>560</v>
      </c>
      <c r="U12" s="38" t="n">
        <v>560</v>
      </c>
      <c r="V12" s="38" t="n">
        <v>500</v>
      </c>
      <c r="W12" s="38" t="n">
        <v>400</v>
      </c>
      <c r="X12" s="38" t="n">
        <v>400</v>
      </c>
      <c r="Y12" s="38" t="n">
        <v>400</v>
      </c>
      <c r="Z12" s="38" t="n">
        <v>200</v>
      </c>
      <c r="AA12" s="38">
        <f>100+AW12</f>
        <v/>
      </c>
      <c r="AB12" s="38" t="n">
        <v>600</v>
      </c>
      <c r="AC12" s="38" t="n">
        <v>600</v>
      </c>
      <c r="AD12" s="38" t="n">
        <v>600</v>
      </c>
      <c r="AE12" s="38" t="n">
        <v>400</v>
      </c>
      <c r="AF12" s="38" t="n">
        <v>200</v>
      </c>
      <c r="AG12" s="38" t="n">
        <v>200</v>
      </c>
      <c r="AH12" s="38" t="n">
        <v>0</v>
      </c>
      <c r="AI12" s="38">
        <f>0+AS12</f>
        <v/>
      </c>
      <c r="AJ12" s="38" t="n"/>
      <c r="AK12" s="38" t="n"/>
      <c r="AL12" s="188">
        <f>AJ12+IF(NOT(ISBLANK(OFFSET(AL12,0,6))),N(OFFSET(AL12,0,6)),N(OFFSET(AL12,0,7)))-AK12</f>
        <v/>
      </c>
      <c r="AM12" s="6" t="n"/>
      <c r="AN12" s="19" t="n"/>
      <c r="AO12" s="4" t="n"/>
      <c r="AP12" s="65" t="n"/>
      <c r="AQ12" s="4" t="n"/>
      <c r="AR12" s="18" t="n">
        <v>0</v>
      </c>
      <c r="AS12" s="18" t="n">
        <v>200</v>
      </c>
      <c r="AT12" s="18" t="n"/>
      <c r="AU12" s="18" t="n">
        <v>200</v>
      </c>
      <c r="AV12" s="18" t="n"/>
      <c r="AW12" s="18" t="n">
        <v>200</v>
      </c>
      <c r="AX12" s="18" t="n"/>
      <c r="AY12" s="18" t="n"/>
      <c r="AZ12" s="18" t="n"/>
      <c r="BA12" s="18" t="n"/>
      <c r="BB12" s="18" t="n"/>
      <c r="BC12" s="18" t="n"/>
      <c r="BD12" s="18" t="n"/>
      <c r="BE12" s="18" t="n"/>
      <c r="BF12" s="18" t="n"/>
      <c r="BG12" s="18" t="n"/>
      <c r="BH12" s="18" t="n">
        <v>600</v>
      </c>
      <c r="BI12" s="18" t="n"/>
      <c r="BJ12" s="18" t="n"/>
      <c r="BK12" s="18" t="n"/>
      <c r="BL12" s="18" t="n"/>
      <c r="BM12" s="18" t="n"/>
      <c r="BN12" s="18" t="n"/>
      <c r="BO12" s="18" t="n"/>
      <c r="BP12" s="18" t="n">
        <v>400</v>
      </c>
      <c r="BQ12" s="18" t="n">
        <v>200</v>
      </c>
      <c r="BR12" s="18" t="n"/>
      <c r="BS12" s="18" t="n">
        <v>200</v>
      </c>
      <c r="BT12" s="256" t="n"/>
      <c r="BU12" s="256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329" t="n"/>
      <c r="E13" s="6" t="n"/>
      <c r="F13" s="38" t="n">
        <v>0</v>
      </c>
      <c r="G13" s="38">
        <f>0+BS13</f>
        <v/>
      </c>
      <c r="H13" s="38" t="n">
        <v>100</v>
      </c>
      <c r="I13" s="38" t="n">
        <v>40</v>
      </c>
      <c r="J13" s="38">
        <f>40+BQ13</f>
        <v/>
      </c>
      <c r="K13" s="38">
        <f>100+BP13</f>
        <v/>
      </c>
      <c r="L13" s="38" t="n">
        <v>100</v>
      </c>
      <c r="M13" s="38">
        <f>100+BM13</f>
        <v/>
      </c>
      <c r="N13" s="38" t="n">
        <v>0</v>
      </c>
      <c r="O13" s="38" t="n">
        <v>0</v>
      </c>
      <c r="P13" s="38" t="n">
        <v>0</v>
      </c>
      <c r="Q13" s="261" t="n">
        <v>300</v>
      </c>
      <c r="R13" s="38" t="n">
        <v>855</v>
      </c>
      <c r="S13" s="38">
        <f>855-500</f>
        <v/>
      </c>
      <c r="T13" s="38" t="n">
        <v>200</v>
      </c>
      <c r="U13" s="38" t="n">
        <v>100</v>
      </c>
      <c r="V13" s="38" t="n">
        <v>100</v>
      </c>
      <c r="W13" s="38" t="n">
        <v>0</v>
      </c>
      <c r="X13" s="38" t="n">
        <v>300</v>
      </c>
      <c r="Y13" s="38" t="n">
        <v>300</v>
      </c>
      <c r="Z13" s="38" t="n">
        <v>300</v>
      </c>
      <c r="AA13" s="38" t="n">
        <v>100</v>
      </c>
      <c r="AB13" s="38" t="n">
        <v>300</v>
      </c>
      <c r="AC13" s="38" t="n">
        <v>300</v>
      </c>
      <c r="AD13" s="38" t="n">
        <v>200</v>
      </c>
      <c r="AE13" s="38" t="n">
        <v>200</v>
      </c>
      <c r="AF13" s="38" t="n">
        <v>100</v>
      </c>
      <c r="AG13" s="38" t="n">
        <v>0</v>
      </c>
      <c r="AH13" s="38" t="n">
        <v>0</v>
      </c>
      <c r="AI13" s="38">
        <f>0+AS13</f>
        <v/>
      </c>
      <c r="AJ13" s="38" t="n"/>
      <c r="AK13" s="38" t="n"/>
      <c r="AL13" s="188">
        <f>AJ13+IF(NOT(ISBLANK(OFFSET(AL13,0,6))),N(OFFSET(AL13,0,6)),N(OFFSET(AL13,0,7)))-AK13</f>
        <v/>
      </c>
      <c r="AM13" s="6" t="n"/>
      <c r="AN13" s="19" t="n"/>
      <c r="AO13" s="4" t="n"/>
      <c r="AP13" s="65" t="n"/>
      <c r="AQ13" s="4" t="n"/>
      <c r="AR13" s="18" t="n">
        <v>0</v>
      </c>
      <c r="AS13" s="18" t="n">
        <v>100</v>
      </c>
      <c r="AT13" s="18" t="n"/>
      <c r="AU13" s="18" t="n">
        <v>200</v>
      </c>
      <c r="AV13" s="18" t="n"/>
      <c r="AW13" s="18" t="n"/>
      <c r="AX13" s="18" t="n"/>
      <c r="AY13" s="18" t="n"/>
      <c r="AZ13" s="18" t="n"/>
      <c r="BA13" s="18" t="n">
        <v>200</v>
      </c>
      <c r="BB13" s="18" t="n">
        <v>100</v>
      </c>
      <c r="BC13" s="18" t="n"/>
      <c r="BD13" s="154" t="inlineStr">
        <is>
          <t>500 P/ ER PG</t>
        </is>
      </c>
      <c r="BE13" s="18" t="n"/>
      <c r="BF13" s="18" t="n">
        <v>500</v>
      </c>
      <c r="BG13" s="18" t="n"/>
      <c r="BH13" s="18" t="n"/>
      <c r="BI13" s="18" t="n"/>
      <c r="BJ13" s="18" t="n"/>
      <c r="BK13" s="18" t="n"/>
      <c r="BL13" s="18" t="n"/>
      <c r="BM13" s="18" t="n">
        <v>300</v>
      </c>
      <c r="BN13" s="18" t="n"/>
      <c r="BO13" s="18" t="n"/>
      <c r="BP13" s="18" t="n">
        <v>200</v>
      </c>
      <c r="BQ13" s="18" t="n">
        <v>100</v>
      </c>
      <c r="BR13" s="18" t="n"/>
      <c r="BS13" s="18" t="n">
        <v>100</v>
      </c>
      <c r="BT13" s="256" t="n"/>
      <c r="BU13" s="256" t="n"/>
    </row>
    <row r="14" ht="18.75" customHeight="1">
      <c r="AL14" s="53" t="n"/>
      <c r="AN14" s="69" t="n"/>
    </row>
    <row r="15" ht="18.75" customFormat="1" customHeight="1" s="3">
      <c r="A15" s="32" t="inlineStr">
        <is>
          <t>DIVERSOS DOADOS E. R. BOTICÁRIO</t>
        </is>
      </c>
      <c r="B15" s="575" t="inlineStr">
        <is>
          <t>PC</t>
        </is>
      </c>
      <c r="C15" s="575" t="inlineStr">
        <is>
          <t>R$</t>
        </is>
      </c>
      <c r="D15" s="575" t="inlineStr">
        <is>
          <t>Estoque Ideal</t>
        </is>
      </c>
      <c r="E15" s="642" t="n"/>
      <c r="F15" s="650" t="n">
        <v>45950</v>
      </c>
      <c r="G15" s="650" t="n">
        <v>45957</v>
      </c>
      <c r="H15" s="650" t="n">
        <v>45933</v>
      </c>
      <c r="I15" s="650" t="n">
        <v>45971</v>
      </c>
      <c r="J15" s="650" t="n">
        <v>45978</v>
      </c>
      <c r="K15" s="650" t="n">
        <v>45985</v>
      </c>
      <c r="L15" s="650" t="n">
        <v>45992</v>
      </c>
      <c r="M15" s="650" t="n">
        <v>45999</v>
      </c>
      <c r="N15" s="650" t="n">
        <v>46006</v>
      </c>
      <c r="O15" s="650" t="n">
        <v>46013</v>
      </c>
      <c r="P15" s="650" t="n">
        <v>46020</v>
      </c>
      <c r="Q15" s="650" t="n">
        <v>46027</v>
      </c>
      <c r="R15" s="650" t="n">
        <v>46034</v>
      </c>
      <c r="S15" s="650" t="n">
        <v>46041</v>
      </c>
      <c r="T15" s="650" t="n">
        <v>46048</v>
      </c>
      <c r="U15" s="650" t="n">
        <v>46055</v>
      </c>
      <c r="V15" s="650" t="n">
        <v>46062</v>
      </c>
      <c r="W15" s="650" t="n">
        <v>46069</v>
      </c>
      <c r="X15" s="650" t="n">
        <v>46076</v>
      </c>
      <c r="Y15" s="650" t="n">
        <v>46083</v>
      </c>
      <c r="Z15" s="650" t="n">
        <v>46090</v>
      </c>
      <c r="AA15" s="650" t="n">
        <v>46097</v>
      </c>
      <c r="AB15" s="650" t="n">
        <v>46104</v>
      </c>
      <c r="AC15" s="650" t="n">
        <v>46111</v>
      </c>
      <c r="AD15" s="650" t="n">
        <v>46118</v>
      </c>
      <c r="AE15" s="650" t="n">
        <v>46125</v>
      </c>
      <c r="AF15" s="650" t="n">
        <v>46132</v>
      </c>
      <c r="AG15" s="650" t="n">
        <v>46139</v>
      </c>
      <c r="AH15" s="650" t="n">
        <v>46146</v>
      </c>
      <c r="AI15" s="650" t="n">
        <v>46154</v>
      </c>
      <c r="AJ15" s="650" t="n">
        <v>46160</v>
      </c>
      <c r="AK15" s="650" t="n">
        <v>46160</v>
      </c>
      <c r="AL15" s="652" t="inlineStr">
        <is>
          <t>USOU</t>
        </is>
      </c>
      <c r="AM15" s="6" t="n"/>
      <c r="AN15" s="35" t="inlineStr">
        <is>
          <t>Pend.</t>
        </is>
      </c>
      <c r="AO15" s="653" t="n"/>
      <c r="AP15" s="12" t="inlineStr">
        <is>
          <t>Novo Pedido</t>
        </is>
      </c>
      <c r="AQ15" s="4" t="n"/>
      <c r="AR15" s="654" t="n">
        <v>46156</v>
      </c>
      <c r="AS15" s="654" t="n">
        <v>46149</v>
      </c>
      <c r="AT15" s="654" t="n">
        <v>46114</v>
      </c>
      <c r="AU15" s="654" t="n">
        <v>46099</v>
      </c>
      <c r="AV15" s="710" t="n">
        <v>46065</v>
      </c>
      <c r="AW15" s="654" t="n">
        <v>46092</v>
      </c>
      <c r="AX15" s="711" t="n">
        <v>46045</v>
      </c>
      <c r="AY15" s="654" t="n">
        <v>46077</v>
      </c>
      <c r="AZ15" s="654" t="n">
        <v>46071</v>
      </c>
      <c r="BA15" s="654" t="n">
        <v>46071</v>
      </c>
      <c r="BB15" s="654" t="n">
        <v>46056</v>
      </c>
      <c r="BC15" s="654" t="n">
        <v>46048</v>
      </c>
      <c r="BD15" s="655" t="n">
        <v>46041</v>
      </c>
      <c r="BE15" s="654" t="n">
        <v>46029</v>
      </c>
      <c r="BF15" s="654" t="n">
        <v>46372</v>
      </c>
      <c r="BG15" s="654" t="n">
        <v>46382</v>
      </c>
      <c r="BH15" s="654" t="n">
        <v>46007</v>
      </c>
      <c r="BI15" s="654" t="n">
        <v>46017</v>
      </c>
      <c r="BJ15" s="654" t="n">
        <v>46007</v>
      </c>
      <c r="BK15" s="654" t="n">
        <v>46001</v>
      </c>
      <c r="BL15" s="654" t="n">
        <v>46001</v>
      </c>
      <c r="BM15" s="654" t="n">
        <v>45994</v>
      </c>
      <c r="BN15" s="654" t="n">
        <v>45986</v>
      </c>
      <c r="BO15" s="654" t="n">
        <v>45980</v>
      </c>
      <c r="BP15" s="654" t="n">
        <v>45980</v>
      </c>
      <c r="BQ15" s="654" t="n">
        <v>45973</v>
      </c>
      <c r="BR15" s="655" t="n">
        <v>45967</v>
      </c>
      <c r="BS15" s="654" t="n">
        <v>45957</v>
      </c>
      <c r="BT15" s="732" t="n"/>
      <c r="BU15" s="655" t="n">
        <v>45950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2" t="n">
        <v>99.26000000000001</v>
      </c>
      <c r="D16" s="329" t="n"/>
      <c r="E16" s="2" t="n"/>
      <c r="F16" s="38" t="n">
        <v>0</v>
      </c>
      <c r="G16" s="38">
        <f>0+BS16</f>
        <v/>
      </c>
      <c r="H16" s="38" t="n">
        <v>2</v>
      </c>
      <c r="I16" s="38" t="n">
        <v>2</v>
      </c>
      <c r="J16" s="38" t="n">
        <v>2</v>
      </c>
      <c r="K16" s="38" t="n">
        <v>0</v>
      </c>
      <c r="L16" s="38" t="n">
        <v>0</v>
      </c>
      <c r="M16" s="38">
        <f>3+BM16</f>
        <v/>
      </c>
      <c r="N16" s="38" t="n">
        <v>2</v>
      </c>
      <c r="O16" s="38" t="n">
        <v>7</v>
      </c>
      <c r="P16" s="38" t="n">
        <v>7</v>
      </c>
      <c r="Q16" s="38">
        <f>7+BI16</f>
        <v/>
      </c>
      <c r="R16" s="38" t="n">
        <v>16</v>
      </c>
      <c r="S16" s="38">
        <f>16-13-3</f>
        <v/>
      </c>
      <c r="T16" s="38" t="n">
        <v>0</v>
      </c>
      <c r="U16" s="261" t="n">
        <v>2</v>
      </c>
      <c r="V16" s="38" t="n">
        <v>2</v>
      </c>
      <c r="W16" s="38" t="n">
        <v>2</v>
      </c>
      <c r="X16" s="38" t="n">
        <v>2</v>
      </c>
      <c r="Y16" s="38" t="n">
        <v>2</v>
      </c>
      <c r="Z16" s="38" t="n">
        <v>2</v>
      </c>
      <c r="AA16" s="38" t="n">
        <v>2</v>
      </c>
      <c r="AB16" s="38" t="n">
        <v>2</v>
      </c>
      <c r="AC16" s="38" t="n">
        <v>2</v>
      </c>
      <c r="AD16" s="38" t="n">
        <v>2</v>
      </c>
      <c r="AE16" s="38" t="n">
        <v>2</v>
      </c>
      <c r="AF16" s="38" t="n">
        <v>2</v>
      </c>
      <c r="AG16" s="38" t="n">
        <v>2</v>
      </c>
      <c r="AH16" s="38" t="n">
        <v>2</v>
      </c>
      <c r="AI16" s="38" t="n">
        <v>2</v>
      </c>
      <c r="AJ16" s="38" t="n"/>
      <c r="AK16" s="38" t="n"/>
      <c r="AL16" s="154">
        <f>AJ16+IF(NOT(ISBLANK(OFFSET(AL16,0,6))),N(OFFSET(AL16,0,6)),N(OFFSET(AL16,0,7)))-AK16</f>
        <v/>
      </c>
      <c r="AM16" s="6" t="n"/>
      <c r="AN16" s="19" t="n"/>
      <c r="AO16" s="4" t="n"/>
      <c r="AP16" s="65" t="n"/>
      <c r="AQ16" s="4" t="n"/>
      <c r="AR16" s="18" t="n">
        <v>0</v>
      </c>
      <c r="AS16" s="18" t="n">
        <v>0</v>
      </c>
      <c r="AT16" s="18" t="n"/>
      <c r="AU16" s="18" t="n"/>
      <c r="AV16" s="18" t="n"/>
      <c r="AW16" s="18" t="n"/>
      <c r="AX16" s="18" t="n"/>
      <c r="AY16" s="18" t="n"/>
      <c r="AZ16" s="18" t="n"/>
      <c r="BA16" s="18" t="n"/>
      <c r="BB16" s="18" t="n"/>
      <c r="BC16" s="18" t="n"/>
      <c r="BD16" s="154" t="inlineStr">
        <is>
          <t>13 P/ MG + 3 P/ ER PB</t>
        </is>
      </c>
      <c r="BE16" s="18" t="n"/>
      <c r="BF16" s="18" t="n"/>
      <c r="BG16" s="18" t="n"/>
      <c r="BH16" s="18" t="n"/>
      <c r="BI16" s="18" t="n">
        <v>7</v>
      </c>
      <c r="BJ16" s="18" t="n">
        <v>5</v>
      </c>
      <c r="BK16" s="18" t="n"/>
      <c r="BL16" s="18" t="n"/>
      <c r="BM16" s="18" t="n">
        <v>3</v>
      </c>
      <c r="BN16" s="18" t="n">
        <v>3</v>
      </c>
      <c r="BO16" s="18" t="n"/>
      <c r="BP16" s="18" t="n"/>
      <c r="BQ16" s="18" t="n"/>
      <c r="BR16" s="18" t="n"/>
      <c r="BS16" s="18" t="n">
        <v>2</v>
      </c>
      <c r="BT16" s="256" t="n"/>
      <c r="BU16" s="256" t="n"/>
    </row>
    <row r="17" ht="18.75" customFormat="1" customHeight="1" s="3">
      <c r="A17" s="33" t="inlineStr">
        <is>
          <t>ETIQUETAS</t>
        </is>
      </c>
      <c r="B17" s="9" t="n">
        <v>2000</v>
      </c>
      <c r="C17" s="662" t="n">
        <v>55.36</v>
      </c>
      <c r="D17" s="329" t="n"/>
      <c r="E17" s="2" t="n"/>
      <c r="F17" s="38" t="n">
        <v>0</v>
      </c>
      <c r="G17" s="38">
        <f>0+BS17</f>
        <v/>
      </c>
      <c r="H17" s="38" t="n">
        <v>2</v>
      </c>
      <c r="I17" s="38" t="n">
        <v>0</v>
      </c>
      <c r="J17" s="38">
        <f>0+BQ17</f>
        <v/>
      </c>
      <c r="K17" s="38">
        <f>0+BP17</f>
        <v/>
      </c>
      <c r="L17" s="38" t="n">
        <v>0</v>
      </c>
      <c r="M17" s="38">
        <f>0+BM17</f>
        <v/>
      </c>
      <c r="N17" s="38" t="n">
        <v>1</v>
      </c>
      <c r="O17" s="38" t="n">
        <v>0</v>
      </c>
      <c r="P17" s="38" t="n">
        <v>0</v>
      </c>
      <c r="Q17" s="38">
        <f>0+BI17</f>
        <v/>
      </c>
      <c r="R17" s="38" t="n">
        <v>0</v>
      </c>
      <c r="S17" s="38" t="n">
        <v>0</v>
      </c>
      <c r="T17" s="38" t="n">
        <v>0</v>
      </c>
      <c r="U17" s="38" t="n">
        <v>0</v>
      </c>
      <c r="V17" s="38" t="n">
        <v>0</v>
      </c>
      <c r="W17" s="38" t="n">
        <v>0</v>
      </c>
      <c r="X17" s="38" t="n">
        <v>0</v>
      </c>
      <c r="Y17" s="38" t="n">
        <v>0</v>
      </c>
      <c r="Z17" s="38" t="n">
        <v>0</v>
      </c>
      <c r="AA17" s="38" t="n">
        <v>0</v>
      </c>
      <c r="AB17" s="38" t="n">
        <v>0</v>
      </c>
      <c r="AC17" s="38" t="n">
        <v>0</v>
      </c>
      <c r="AD17" s="38" t="n">
        <v>0</v>
      </c>
      <c r="AE17" s="38" t="n">
        <v>0</v>
      </c>
      <c r="AF17" s="38" t="n">
        <v>0</v>
      </c>
      <c r="AG17" s="38" t="n">
        <v>0</v>
      </c>
      <c r="AH17" s="38" t="n">
        <v>0</v>
      </c>
      <c r="AI17" s="38" t="n">
        <v>0</v>
      </c>
      <c r="AJ17" s="38" t="n"/>
      <c r="AK17" s="38" t="n"/>
      <c r="AL17" s="154">
        <f>AJ17+IF(NOT(ISBLANK(OFFSET(AL17,0,6))),N(OFFSET(AL17,0,6)),N(OFFSET(AL17,0,7)))-AK17</f>
        <v/>
      </c>
      <c r="AM17" s="6" t="n"/>
      <c r="AN17" s="233" t="inlineStr">
        <is>
          <t>02 DE ER PG</t>
        </is>
      </c>
      <c r="AO17" s="4" t="n"/>
      <c r="AP17" s="65" t="n"/>
      <c r="AQ17" s="4" t="n"/>
      <c r="AR17" s="18" t="n">
        <v>0</v>
      </c>
      <c r="AS17" s="18" t="n">
        <v>0</v>
      </c>
      <c r="AT17" s="18" t="n"/>
      <c r="AU17" s="18" t="n"/>
      <c r="AV17" s="18" t="n"/>
      <c r="AW17" s="18" t="n"/>
      <c r="AX17" s="418" t="n">
        <v>1</v>
      </c>
      <c r="AY17" s="18" t="n"/>
      <c r="AZ17" s="18" t="n"/>
      <c r="BA17" s="18" t="n"/>
      <c r="BB17" s="18" t="n"/>
      <c r="BC17" s="18" t="n"/>
      <c r="BD17" s="18" t="n"/>
      <c r="BE17" s="18" t="n"/>
      <c r="BF17" s="18" t="n"/>
      <c r="BG17" s="18" t="n"/>
      <c r="BH17" s="18" t="n"/>
      <c r="BI17" s="18" t="n">
        <v>4</v>
      </c>
      <c r="BJ17" s="18" t="n">
        <v>3</v>
      </c>
      <c r="BK17" s="18" t="n"/>
      <c r="BL17" s="18" t="n"/>
      <c r="BM17" s="18" t="n">
        <v>3</v>
      </c>
      <c r="BN17" s="18" t="n">
        <v>2</v>
      </c>
      <c r="BO17" s="18" t="n"/>
      <c r="BP17" s="18" t="n">
        <v>3</v>
      </c>
      <c r="BQ17" s="18" t="n">
        <v>2</v>
      </c>
      <c r="BR17" s="18" t="n"/>
      <c r="BS17" s="18" t="n">
        <v>2</v>
      </c>
      <c r="BT17" s="256" t="n"/>
      <c r="BU17" s="256" t="n"/>
    </row>
    <row r="18" ht="18.75" customFormat="1" customHeight="1" s="3">
      <c r="A18" s="33" t="inlineStr">
        <is>
          <t>TAG</t>
        </is>
      </c>
      <c r="B18" s="9" t="n">
        <v>200</v>
      </c>
      <c r="C18" s="662" t="n">
        <v>10.28</v>
      </c>
      <c r="D18" s="329" t="n"/>
      <c r="E18" s="2" t="n"/>
      <c r="F18" s="38" t="n">
        <v>0</v>
      </c>
      <c r="G18" s="38">
        <f>0+BS18</f>
        <v/>
      </c>
      <c r="H18" s="38" t="n">
        <v>1</v>
      </c>
      <c r="I18" s="38" t="n">
        <v>0</v>
      </c>
      <c r="J18" s="38" t="n">
        <v>0</v>
      </c>
      <c r="K18" s="38" t="n">
        <v>0</v>
      </c>
      <c r="L18" s="38" t="n">
        <v>0</v>
      </c>
      <c r="M18" s="38" t="n">
        <v>0</v>
      </c>
      <c r="N18" s="38" t="n">
        <v>0</v>
      </c>
      <c r="O18" s="38" t="n">
        <v>0</v>
      </c>
      <c r="P18" s="38" t="n">
        <v>0</v>
      </c>
      <c r="Q18" s="38" t="n">
        <v>0</v>
      </c>
      <c r="R18" s="38" t="n">
        <v>0</v>
      </c>
      <c r="S18" s="38" t="n">
        <v>0</v>
      </c>
      <c r="T18" s="38" t="n">
        <v>0</v>
      </c>
      <c r="U18" s="38" t="n">
        <v>0</v>
      </c>
      <c r="V18" s="38" t="n">
        <v>0</v>
      </c>
      <c r="W18" s="38" t="n">
        <v>0</v>
      </c>
      <c r="X18" s="38" t="n">
        <v>0</v>
      </c>
      <c r="Y18" s="38" t="n">
        <v>0</v>
      </c>
      <c r="Z18" s="38" t="n">
        <v>0</v>
      </c>
      <c r="AA18" s="38" t="n">
        <v>0</v>
      </c>
      <c r="AB18" s="38" t="n">
        <v>0</v>
      </c>
      <c r="AC18" s="38" t="n">
        <v>0</v>
      </c>
      <c r="AD18" s="38" t="n">
        <v>0</v>
      </c>
      <c r="AE18" s="38" t="n">
        <v>0</v>
      </c>
      <c r="AF18" s="38" t="n">
        <v>0</v>
      </c>
      <c r="AG18" s="38" t="n">
        <v>0</v>
      </c>
      <c r="AH18" s="38" t="n">
        <v>0</v>
      </c>
      <c r="AI18" s="38">
        <f>0+AS18</f>
        <v/>
      </c>
      <c r="AJ18" s="38" t="n"/>
      <c r="AK18" s="38" t="n"/>
      <c r="AL18" s="154">
        <f>AJ18+IF(NOT(ISBLANK(OFFSET(AL18,0,6))),N(OFFSET(AL18,0,6)),N(OFFSET(AL18,0,7)))-AK18</f>
        <v/>
      </c>
      <c r="AM18" s="6" t="n"/>
      <c r="AN18" s="19" t="n"/>
      <c r="AO18" s="4" t="n"/>
      <c r="AP18" s="65" t="n"/>
      <c r="AQ18" s="4" t="n"/>
      <c r="AR18" s="18" t="n">
        <v>0</v>
      </c>
      <c r="AS18" s="18" t="n">
        <v>1</v>
      </c>
      <c r="AT18" s="18" t="n"/>
      <c r="AU18" s="18" t="n"/>
      <c r="AV18" s="18" t="n"/>
      <c r="AW18" s="18" t="n"/>
      <c r="AX18" s="18" t="n"/>
      <c r="AY18" s="18" t="n"/>
      <c r="AZ18" s="18" t="n"/>
      <c r="BA18" s="18" t="n"/>
      <c r="BB18" s="18" t="n"/>
      <c r="BC18" s="18" t="n"/>
      <c r="BD18" s="18" t="n"/>
      <c r="BE18" s="18" t="n"/>
      <c r="BF18" s="18" t="n"/>
      <c r="BG18" s="18" t="n"/>
      <c r="BH18" s="18" t="n"/>
      <c r="BI18" s="18" t="n"/>
      <c r="BJ18" s="18" t="n"/>
      <c r="BK18" s="18" t="n"/>
      <c r="BL18" s="18" t="n"/>
      <c r="BM18" s="18" t="n"/>
      <c r="BN18" s="18" t="n"/>
      <c r="BO18" s="18" t="n"/>
      <c r="BP18" s="18" t="n"/>
      <c r="BQ18" s="18" t="n"/>
      <c r="BR18" s="18" t="n"/>
      <c r="BS18" s="18" t="n">
        <v>1</v>
      </c>
      <c r="BT18" s="256" t="n"/>
      <c r="BU18" s="256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2" t="n">
        <v>71.8</v>
      </c>
      <c r="D19" s="329" t="n"/>
      <c r="E19" s="2" t="n"/>
      <c r="F19" s="38" t="n">
        <v>0</v>
      </c>
      <c r="G19" s="38">
        <f>0+BS19</f>
        <v/>
      </c>
      <c r="H19" s="38" t="n">
        <v>2</v>
      </c>
      <c r="I19" s="38" t="n">
        <v>0</v>
      </c>
      <c r="J19" s="38">
        <f>0+BQ19</f>
        <v/>
      </c>
      <c r="K19" s="38">
        <f>2+BP19</f>
        <v/>
      </c>
      <c r="L19" s="38" t="n">
        <v>2</v>
      </c>
      <c r="M19" s="38">
        <f>2+BM19</f>
        <v/>
      </c>
      <c r="N19" s="38" t="n">
        <v>4</v>
      </c>
      <c r="O19" s="38" t="n">
        <v>4</v>
      </c>
      <c r="P19" s="38" t="n">
        <v>4</v>
      </c>
      <c r="Q19" s="187">
        <f>1+BI19</f>
        <v/>
      </c>
      <c r="R19" s="187" t="n">
        <v>10</v>
      </c>
      <c r="S19" s="187">
        <f>10-8</f>
        <v/>
      </c>
      <c r="T19" s="187" t="n">
        <v>1</v>
      </c>
      <c r="U19" s="187" t="n">
        <v>1</v>
      </c>
      <c r="V19" s="187" t="n">
        <v>1</v>
      </c>
      <c r="W19" s="187" t="n">
        <v>1</v>
      </c>
      <c r="X19" s="187" t="n">
        <v>1</v>
      </c>
      <c r="Y19" s="187" t="n">
        <v>1</v>
      </c>
      <c r="Z19" s="187" t="n">
        <v>1</v>
      </c>
      <c r="AA19" s="187" t="n">
        <v>1</v>
      </c>
      <c r="AB19" s="187" t="n">
        <v>1</v>
      </c>
      <c r="AC19" s="187" t="n">
        <v>1</v>
      </c>
      <c r="AD19" s="424" t="n">
        <v>4</v>
      </c>
      <c r="AE19" s="424" t="n">
        <v>4</v>
      </c>
      <c r="AF19" s="424" t="n">
        <v>4</v>
      </c>
      <c r="AG19" s="424" t="n">
        <v>4</v>
      </c>
      <c r="AH19" s="38" t="n">
        <v>4</v>
      </c>
      <c r="AI19" s="38" t="n">
        <v>4</v>
      </c>
      <c r="AJ19" s="38" t="n"/>
      <c r="AK19" s="38" t="n"/>
      <c r="AL19" s="188">
        <f>AJ19+IF(NOT(ISBLANK(OFFSET(AL19,0,6))),N(OFFSET(AL19,0,6)),N(OFFSET(AL19,0,7)))-AK19</f>
        <v/>
      </c>
      <c r="AM19" s="6" t="n"/>
      <c r="AN19" s="233" t="inlineStr">
        <is>
          <t>01 P/ ER PBE + 02 P/ MG</t>
        </is>
      </c>
      <c r="AO19" s="4" t="n"/>
      <c r="AP19" s="65" t="n"/>
      <c r="AQ19" s="4" t="n"/>
      <c r="AR19" s="18" t="n">
        <v>0</v>
      </c>
      <c r="AS19" s="18" t="n">
        <v>0</v>
      </c>
      <c r="AT19" s="18" t="n"/>
      <c r="AU19" s="18" t="n"/>
      <c r="AV19" s="18" t="n"/>
      <c r="AW19" s="18" t="n"/>
      <c r="AX19" s="18" t="n"/>
      <c r="AY19" s="18" t="n"/>
      <c r="AZ19" s="18" t="n"/>
      <c r="BA19" s="18" t="n"/>
      <c r="BB19" s="18" t="n"/>
      <c r="BC19" s="18" t="n"/>
      <c r="BD19" s="154" t="inlineStr">
        <is>
          <t>08 P/ MG</t>
        </is>
      </c>
      <c r="BE19" s="18" t="n">
        <v>3</v>
      </c>
      <c r="BF19" s="18" t="n"/>
      <c r="BG19" s="18" t="n"/>
      <c r="BH19" s="18" t="n"/>
      <c r="BI19" s="18" t="n">
        <v>2</v>
      </c>
      <c r="BJ19" s="18" t="n"/>
      <c r="BK19" s="18" t="n"/>
      <c r="BL19" s="18" t="n"/>
      <c r="BM19" s="18" t="n">
        <v>3</v>
      </c>
      <c r="BN19" s="18" t="n"/>
      <c r="BO19" s="18" t="n"/>
      <c r="BP19" s="18" t="n">
        <v>3</v>
      </c>
      <c r="BQ19" s="18" t="n">
        <v>2</v>
      </c>
      <c r="BR19" s="18" t="n"/>
      <c r="BS19" s="18" t="n">
        <v>2</v>
      </c>
      <c r="BT19" s="256" t="n"/>
      <c r="BU19" s="256" t="n"/>
    </row>
    <row r="20" ht="18.75" customHeight="1">
      <c r="BT20" s="314" t="n"/>
      <c r="BU20" s="314" t="n"/>
    </row>
    <row r="21" ht="18.75" customFormat="1" customHeight="1" s="3">
      <c r="A21" s="32" t="inlineStr">
        <is>
          <t>SACOLAS BOTICÁRIO VENDIDAS</t>
        </is>
      </c>
      <c r="B21" s="575" t="inlineStr">
        <is>
          <t>PC</t>
        </is>
      </c>
      <c r="C21" s="575" t="inlineStr">
        <is>
          <t>R$</t>
        </is>
      </c>
      <c r="D21" s="575" t="inlineStr">
        <is>
          <t>Estoque Ideal</t>
        </is>
      </c>
      <c r="E21" s="642" t="n"/>
      <c r="F21" s="650" t="n">
        <v>45950</v>
      </c>
      <c r="G21" s="650" t="n">
        <v>45957</v>
      </c>
      <c r="H21" s="650" t="n">
        <v>45933</v>
      </c>
      <c r="I21" s="650" t="n">
        <v>45971</v>
      </c>
      <c r="J21" s="650" t="n">
        <v>45978</v>
      </c>
      <c r="K21" s="650" t="n">
        <v>45985</v>
      </c>
      <c r="L21" s="650" t="n">
        <v>45992</v>
      </c>
      <c r="M21" s="650" t="n">
        <v>45999</v>
      </c>
      <c r="N21" s="650" t="n">
        <v>46006</v>
      </c>
      <c r="O21" s="650" t="n">
        <v>46013</v>
      </c>
      <c r="P21" s="650" t="n">
        <v>46020</v>
      </c>
      <c r="Q21" s="650" t="n">
        <v>46027</v>
      </c>
      <c r="R21" s="650" t="n">
        <v>46034</v>
      </c>
      <c r="S21" s="650" t="n">
        <v>46041</v>
      </c>
      <c r="T21" s="650" t="n">
        <v>46048</v>
      </c>
      <c r="U21" s="650" t="n">
        <v>46055</v>
      </c>
      <c r="V21" s="650" t="n">
        <v>46062</v>
      </c>
      <c r="W21" s="650" t="n">
        <v>46069</v>
      </c>
      <c r="X21" s="650" t="n">
        <v>46076</v>
      </c>
      <c r="Y21" s="650" t="n">
        <v>46083</v>
      </c>
      <c r="Z21" s="650" t="n">
        <v>46090</v>
      </c>
      <c r="AA21" s="650" t="n">
        <v>46097</v>
      </c>
      <c r="AB21" s="650" t="n">
        <v>46104</v>
      </c>
      <c r="AC21" s="650" t="n">
        <v>46111</v>
      </c>
      <c r="AD21" s="650" t="n">
        <v>46118</v>
      </c>
      <c r="AE21" s="650" t="n">
        <v>46125</v>
      </c>
      <c r="AF21" s="650" t="n">
        <v>46132</v>
      </c>
      <c r="AG21" s="650" t="n">
        <v>46139</v>
      </c>
      <c r="AH21" s="650" t="n">
        <v>46146</v>
      </c>
      <c r="AI21" s="650" t="n">
        <v>46154</v>
      </c>
      <c r="AJ21" s="650" t="n">
        <v>46160</v>
      </c>
      <c r="AK21" s="650" t="n">
        <v>46160</v>
      </c>
      <c r="AL21" s="652" t="inlineStr">
        <is>
          <t>USOU</t>
        </is>
      </c>
      <c r="AM21" s="6" t="n"/>
      <c r="AN21" s="35" t="inlineStr">
        <is>
          <t>Pend.</t>
        </is>
      </c>
      <c r="AP21" s="12" t="inlineStr">
        <is>
          <t>Novo Pedido</t>
        </is>
      </c>
      <c r="AR21" s="654" t="n">
        <v>46156</v>
      </c>
      <c r="AS21" s="654" t="n">
        <v>46149</v>
      </c>
      <c r="AT21" s="654" t="n">
        <v>46114</v>
      </c>
      <c r="AU21" s="654" t="n">
        <v>46099</v>
      </c>
      <c r="AV21" s="710" t="n">
        <v>46065</v>
      </c>
      <c r="AW21" s="654" t="n">
        <v>46092</v>
      </c>
      <c r="AX21" s="711" t="n">
        <v>46045</v>
      </c>
      <c r="AY21" s="654" t="n">
        <v>46077</v>
      </c>
      <c r="AZ21" s="654" t="n">
        <v>46071</v>
      </c>
      <c r="BA21" s="654" t="n">
        <v>46071</v>
      </c>
      <c r="BB21" s="654" t="n">
        <v>46056</v>
      </c>
      <c r="BC21" s="654" t="n">
        <v>46048</v>
      </c>
      <c r="BD21" s="655" t="n">
        <v>46041</v>
      </c>
      <c r="BE21" s="654" t="n">
        <v>46029</v>
      </c>
      <c r="BF21" s="654" t="n">
        <v>46372</v>
      </c>
      <c r="BG21" s="654" t="n">
        <v>46382</v>
      </c>
      <c r="BH21" s="654" t="n">
        <v>46007</v>
      </c>
      <c r="BI21" s="654" t="n">
        <v>46017</v>
      </c>
      <c r="BJ21" s="654" t="n">
        <v>46007</v>
      </c>
      <c r="BK21" s="654" t="n">
        <v>46001</v>
      </c>
      <c r="BL21" s="654" t="n">
        <v>46001</v>
      </c>
      <c r="BM21" s="654" t="n">
        <v>45994</v>
      </c>
      <c r="BN21" s="654" t="n">
        <v>45986</v>
      </c>
      <c r="BO21" s="654" t="n">
        <v>45980</v>
      </c>
      <c r="BP21" s="654" t="n">
        <v>45980</v>
      </c>
      <c r="BQ21" s="654" t="n">
        <v>45973</v>
      </c>
      <c r="BR21" s="655" t="n">
        <v>45967</v>
      </c>
      <c r="BS21" s="654" t="n">
        <v>45957</v>
      </c>
      <c r="BT21" s="732" t="n"/>
      <c r="BU21" s="655" t="n">
        <v>45950</v>
      </c>
    </row>
    <row r="22" ht="18.75" customFormat="1" customHeight="1" s="3">
      <c r="A22" s="29" t="inlineStr">
        <is>
          <t>SACOLA PP VERDE</t>
        </is>
      </c>
      <c r="B22" s="9" t="n">
        <v>300</v>
      </c>
      <c r="C22" s="659" t="n">
        <v>187.12</v>
      </c>
      <c r="D22" s="329" t="n"/>
      <c r="E22" s="714" t="n"/>
      <c r="F22" s="38">
        <f>0+5+18</f>
        <v/>
      </c>
      <c r="G22" s="38" t="n">
        <v>23</v>
      </c>
      <c r="H22" s="38" t="n">
        <v>23</v>
      </c>
      <c r="I22" s="38" t="n">
        <v>22</v>
      </c>
      <c r="J22" s="38" t="n">
        <v>14</v>
      </c>
      <c r="K22" s="38" t="n">
        <v>14</v>
      </c>
      <c r="L22" s="38" t="n">
        <v>14</v>
      </c>
      <c r="M22" s="38" t="n">
        <v>14</v>
      </c>
      <c r="N22" s="38" t="n">
        <v>14</v>
      </c>
      <c r="O22" s="38" t="n">
        <v>14</v>
      </c>
      <c r="P22" s="38" t="n">
        <v>14</v>
      </c>
      <c r="Q22" s="38" t="n">
        <v>14</v>
      </c>
      <c r="R22" s="38" t="n">
        <v>14</v>
      </c>
      <c r="S22" s="38" t="n">
        <v>14</v>
      </c>
      <c r="T22" s="38" t="n">
        <v>14</v>
      </c>
      <c r="U22" s="261" t="n">
        <v>4</v>
      </c>
      <c r="V22" s="38" t="n">
        <v>4</v>
      </c>
      <c r="W22" s="38" t="n">
        <v>4</v>
      </c>
      <c r="X22" s="38" t="n">
        <v>4</v>
      </c>
      <c r="Y22" s="261" t="n">
        <v>0</v>
      </c>
      <c r="Z22" s="38" t="n">
        <v>0</v>
      </c>
      <c r="AA22" s="38" t="n">
        <v>0</v>
      </c>
      <c r="AB22" s="38" t="n">
        <v>0</v>
      </c>
      <c r="AC22" s="38" t="n">
        <v>0</v>
      </c>
      <c r="AD22" s="38" t="n">
        <v>0</v>
      </c>
      <c r="AE22" s="38" t="n">
        <v>0</v>
      </c>
      <c r="AF22" s="38" t="n">
        <v>0</v>
      </c>
      <c r="AG22" s="38" t="n">
        <v>200</v>
      </c>
      <c r="AH22" s="38" t="n">
        <v>200</v>
      </c>
      <c r="AI22" s="38" t="n">
        <v>200</v>
      </c>
      <c r="AJ22" s="261" t="n">
        <v>0</v>
      </c>
      <c r="AK22" s="261" t="n">
        <v>0</v>
      </c>
      <c r="AL22" s="154">
        <f>AJ22+IF(NOT(ISBLANK(OFFSET(AL22,0,6))),N(OFFSET(AL22,0,6)),N(OFFSET(AL22,0,7)))-AK22</f>
        <v/>
      </c>
      <c r="AM22" s="118" t="n"/>
      <c r="AN22" s="19" t="n"/>
      <c r="AO22" s="119" t="n"/>
      <c r="AP22" s="65" t="n"/>
      <c r="AQ22" s="119" t="n"/>
      <c r="AR22" s="18" t="n">
        <v>0</v>
      </c>
      <c r="AS22" s="18" t="n">
        <v>0</v>
      </c>
      <c r="AT22" s="18" t="n"/>
      <c r="AU22" s="18" t="n"/>
      <c r="AV22" s="18" t="n"/>
      <c r="AW22" s="18" t="n"/>
      <c r="AX22" s="18" t="n"/>
      <c r="AY22" s="18" t="n"/>
      <c r="AZ22" s="18" t="n"/>
      <c r="BA22" s="18" t="n"/>
      <c r="BB22" s="18" t="n"/>
      <c r="BC22" s="18" t="n"/>
      <c r="BD22" s="18" t="n"/>
      <c r="BE22" s="18" t="n"/>
      <c r="BF22" s="18" t="n"/>
      <c r="BG22" s="18" t="n"/>
      <c r="BH22" s="18" t="n"/>
      <c r="BI22" s="18" t="n"/>
      <c r="BJ22" s="18" t="n"/>
      <c r="BK22" s="18" t="n"/>
      <c r="BL22" s="18" t="n"/>
      <c r="BM22" s="18" t="n"/>
      <c r="BN22" s="18" t="n"/>
      <c r="BO22" s="18" t="n"/>
      <c r="BP22" s="18" t="n"/>
      <c r="BQ22" s="18" t="n"/>
      <c r="BR22" s="18" t="n"/>
      <c r="BS22" s="18" t="n"/>
      <c r="BT22" s="256" t="n"/>
      <c r="BU22" s="154" t="inlineStr">
        <is>
          <t>05 DE ER PG + 18 DE ER PB</t>
        </is>
      </c>
    </row>
    <row r="23" ht="18.75" customFormat="1" customHeight="1" s="3">
      <c r="A23" s="29" t="inlineStr">
        <is>
          <t xml:space="preserve">SACOLA P VERDE </t>
        </is>
      </c>
      <c r="B23" s="9" t="n">
        <v>200</v>
      </c>
      <c r="C23" s="659" t="n">
        <v>193.08</v>
      </c>
      <c r="D23" s="329" t="n"/>
      <c r="E23" s="2" t="n"/>
      <c r="F23" s="38">
        <f>0+5+20</f>
        <v/>
      </c>
      <c r="G23" s="38" t="n">
        <v>25</v>
      </c>
      <c r="H23" s="38" t="n">
        <v>25</v>
      </c>
      <c r="I23" s="38" t="n">
        <v>21</v>
      </c>
      <c r="J23" s="38" t="n">
        <v>21</v>
      </c>
      <c r="K23" s="38" t="n">
        <v>21</v>
      </c>
      <c r="L23" s="38" t="n">
        <v>21</v>
      </c>
      <c r="M23" s="38" t="n">
        <v>21</v>
      </c>
      <c r="N23" s="38" t="n">
        <v>20</v>
      </c>
      <c r="O23" s="38" t="n">
        <v>20</v>
      </c>
      <c r="P23" s="38" t="n">
        <v>20</v>
      </c>
      <c r="Q23" s="38" t="n">
        <v>20</v>
      </c>
      <c r="R23" s="38" t="n">
        <v>20</v>
      </c>
      <c r="S23" s="38" t="n">
        <v>20</v>
      </c>
      <c r="T23" s="38" t="n">
        <v>20</v>
      </c>
      <c r="U23" s="38" t="n">
        <v>20</v>
      </c>
      <c r="V23" s="38" t="n">
        <v>20</v>
      </c>
      <c r="W23" s="38" t="n">
        <v>20</v>
      </c>
      <c r="X23" s="38" t="n">
        <v>20</v>
      </c>
      <c r="Y23" s="261" t="n">
        <v>0</v>
      </c>
      <c r="Z23" s="38" t="n">
        <v>0</v>
      </c>
      <c r="AA23" s="38" t="n">
        <v>0</v>
      </c>
      <c r="AB23" s="38" t="n">
        <v>0</v>
      </c>
      <c r="AC23" s="38" t="n">
        <v>0</v>
      </c>
      <c r="AD23" s="38" t="n">
        <v>0</v>
      </c>
      <c r="AE23" s="38" t="n">
        <v>0</v>
      </c>
      <c r="AF23" s="38" t="n">
        <v>0</v>
      </c>
      <c r="AG23" s="38" t="n">
        <v>200</v>
      </c>
      <c r="AH23" s="38" t="n">
        <v>200</v>
      </c>
      <c r="AI23" s="38" t="n">
        <v>200</v>
      </c>
      <c r="AJ23" s="38" t="n">
        <v>200</v>
      </c>
      <c r="AK23" s="38" t="n">
        <v>200</v>
      </c>
      <c r="AL23" s="154">
        <f>AJ23+IF(NOT(ISBLANK(OFFSET(AL23,0,6))),N(OFFSET(AL23,0,6)),N(OFFSET(AL23,0,7)))-AK23</f>
        <v/>
      </c>
      <c r="AM23" s="118" t="n"/>
      <c r="AN23" s="19" t="n"/>
      <c r="AO23" s="119" t="n"/>
      <c r="AP23" s="65" t="n"/>
      <c r="AQ23" s="119" t="n"/>
      <c r="AR23" s="18" t="n">
        <v>0</v>
      </c>
      <c r="AS23" s="18" t="n">
        <v>0</v>
      </c>
      <c r="AT23" s="18" t="n"/>
      <c r="AU23" s="18" t="n"/>
      <c r="AV23" s="18" t="n"/>
      <c r="AW23" s="18" t="n"/>
      <c r="AX23" s="18" t="n"/>
      <c r="AY23" s="18" t="n"/>
      <c r="AZ23" s="18" t="n"/>
      <c r="BA23" s="18" t="n"/>
      <c r="BB23" s="18" t="n"/>
      <c r="BC23" s="18" t="n"/>
      <c r="BD23" s="18" t="n"/>
      <c r="BE23" s="18" t="n"/>
      <c r="BF23" s="18" t="n"/>
      <c r="BG23" s="18" t="n"/>
      <c r="BH23" s="18" t="n"/>
      <c r="BI23" s="18" t="n"/>
      <c r="BJ23" s="18" t="n"/>
      <c r="BK23" s="18" t="n"/>
      <c r="BL23" s="18" t="n"/>
      <c r="BM23" s="18" t="n"/>
      <c r="BN23" s="18" t="n"/>
      <c r="BO23" s="18" t="n"/>
      <c r="BP23" s="18" t="n"/>
      <c r="BQ23" s="18" t="n"/>
      <c r="BR23" s="18" t="n"/>
      <c r="BS23" s="18" t="n"/>
      <c r="BT23" s="256" t="n"/>
      <c r="BU23" s="154" t="inlineStr">
        <is>
          <t>05 DE ER PG + 20 DE ER PB</t>
        </is>
      </c>
    </row>
    <row r="24" ht="18.75" customFormat="1" customHeight="1" s="3">
      <c r="A24" s="29" t="inlineStr">
        <is>
          <t>SACOLA M VERDE</t>
        </is>
      </c>
      <c r="B24" s="9" t="n">
        <v>200</v>
      </c>
      <c r="C24" s="659" t="n">
        <v>253.83</v>
      </c>
      <c r="D24" s="329" t="n"/>
      <c r="E24" s="2" t="n"/>
      <c r="F24" s="38">
        <f>0+5+15</f>
        <v/>
      </c>
      <c r="G24" s="38" t="n">
        <v>20</v>
      </c>
      <c r="H24" s="38" t="n">
        <v>20</v>
      </c>
      <c r="I24" s="38" t="n">
        <v>20</v>
      </c>
      <c r="J24" s="38" t="n">
        <v>18</v>
      </c>
      <c r="K24" s="38" t="n">
        <v>18</v>
      </c>
      <c r="L24" s="38" t="n">
        <v>18</v>
      </c>
      <c r="M24" s="38" t="n">
        <v>18</v>
      </c>
      <c r="N24" s="38" t="n">
        <v>17</v>
      </c>
      <c r="O24" s="38" t="n">
        <v>17</v>
      </c>
      <c r="P24" s="38" t="n">
        <v>17</v>
      </c>
      <c r="Q24" s="38" t="n">
        <v>17</v>
      </c>
      <c r="R24" s="38" t="n">
        <v>17</v>
      </c>
      <c r="S24" s="38" t="n">
        <v>17</v>
      </c>
      <c r="T24" s="38" t="n">
        <v>17</v>
      </c>
      <c r="U24" s="38" t="n">
        <v>17</v>
      </c>
      <c r="V24" s="38" t="n">
        <v>17</v>
      </c>
      <c r="W24" s="38" t="n">
        <v>17</v>
      </c>
      <c r="X24" s="38" t="n">
        <v>17</v>
      </c>
      <c r="Y24" s="261" t="n">
        <v>0</v>
      </c>
      <c r="Z24" s="38" t="n">
        <v>0</v>
      </c>
      <c r="AA24" s="38" t="n">
        <v>0</v>
      </c>
      <c r="AB24" s="38" t="n">
        <v>0</v>
      </c>
      <c r="AC24" s="38" t="n">
        <v>0</v>
      </c>
      <c r="AD24" s="38" t="n">
        <v>0</v>
      </c>
      <c r="AE24" s="38" t="n">
        <v>0</v>
      </c>
      <c r="AF24" s="38" t="n">
        <v>0</v>
      </c>
      <c r="AG24" s="38" t="n">
        <v>200</v>
      </c>
      <c r="AH24" s="38" t="n">
        <v>200</v>
      </c>
      <c r="AI24" s="38" t="n">
        <v>200</v>
      </c>
      <c r="AJ24" s="38" t="n">
        <v>200</v>
      </c>
      <c r="AK24" s="38" t="n">
        <v>200</v>
      </c>
      <c r="AL24" s="154">
        <f>AJ24+IF(NOT(ISBLANK(OFFSET(AL24,0,6))),N(OFFSET(AL24,0,6)),N(OFFSET(AL24,0,7)))-AK24</f>
        <v/>
      </c>
      <c r="AM24" s="118" t="n"/>
      <c r="AN24" s="19" t="n"/>
      <c r="AO24" s="119" t="n"/>
      <c r="AP24" s="65" t="n"/>
      <c r="AQ24" s="119" t="n"/>
      <c r="AR24" s="18" t="n">
        <v>0</v>
      </c>
      <c r="AS24" s="18" t="n">
        <v>0</v>
      </c>
      <c r="AT24" s="18" t="n"/>
      <c r="AU24" s="18" t="n"/>
      <c r="AV24" s="18" t="n"/>
      <c r="AW24" s="18" t="n"/>
      <c r="AX24" s="18" t="n"/>
      <c r="AY24" s="18" t="n"/>
      <c r="AZ24" s="18" t="n"/>
      <c r="BA24" s="18" t="n"/>
      <c r="BB24" s="18" t="n"/>
      <c r="BC24" s="18" t="n"/>
      <c r="BD24" s="18" t="n"/>
      <c r="BE24" s="18" t="n"/>
      <c r="BF24" s="18" t="n"/>
      <c r="BG24" s="18" t="n"/>
      <c r="BH24" s="18" t="n"/>
      <c r="BI24" s="18" t="n"/>
      <c r="BJ24" s="18" t="n"/>
      <c r="BK24" s="18" t="n"/>
      <c r="BL24" s="18" t="n"/>
      <c r="BM24" s="18" t="n"/>
      <c r="BN24" s="18" t="n"/>
      <c r="BO24" s="18" t="n"/>
      <c r="BP24" s="18" t="n"/>
      <c r="BQ24" s="18" t="n"/>
      <c r="BR24" s="18" t="n"/>
      <c r="BS24" s="18" t="n"/>
      <c r="BT24" s="256" t="n"/>
      <c r="BU24" s="154" t="inlineStr">
        <is>
          <t>05 DE ER PG + 15 DE ER PB</t>
        </is>
      </c>
    </row>
    <row r="25" ht="18.75" customHeight="1">
      <c r="AL25" s="53" t="n"/>
      <c r="AN25" s="69" t="n"/>
    </row>
    <row r="26" ht="18.75" customFormat="1" customHeight="1" s="3">
      <c r="A26" s="32" t="inlineStr">
        <is>
          <t>DIVERSOS VENDÁVEIS BOTICÁRIO</t>
        </is>
      </c>
      <c r="B26" s="575" t="inlineStr">
        <is>
          <t>PC</t>
        </is>
      </c>
      <c r="C26" s="575" t="inlineStr">
        <is>
          <t>R$</t>
        </is>
      </c>
      <c r="D26" s="575" t="inlineStr">
        <is>
          <t>Estoque Ideal</t>
        </is>
      </c>
      <c r="E26" s="642" t="n"/>
      <c r="F26" s="650" t="n">
        <v>45950</v>
      </c>
      <c r="G26" s="650" t="n">
        <v>45957</v>
      </c>
      <c r="H26" s="650" t="n">
        <v>45933</v>
      </c>
      <c r="I26" s="650" t="n">
        <v>45971</v>
      </c>
      <c r="J26" s="650" t="n">
        <v>45978</v>
      </c>
      <c r="K26" s="650" t="n">
        <v>45985</v>
      </c>
      <c r="L26" s="650" t="n">
        <v>45992</v>
      </c>
      <c r="M26" s="650" t="n">
        <v>45999</v>
      </c>
      <c r="N26" s="650" t="n">
        <v>46006</v>
      </c>
      <c r="O26" s="650" t="n">
        <v>46013</v>
      </c>
      <c r="P26" s="650" t="n">
        <v>46020</v>
      </c>
      <c r="Q26" s="650" t="n">
        <v>46027</v>
      </c>
      <c r="R26" s="650" t="n">
        <v>46034</v>
      </c>
      <c r="S26" s="650" t="n">
        <v>46041</v>
      </c>
      <c r="T26" s="650" t="n">
        <v>46048</v>
      </c>
      <c r="U26" s="650" t="n">
        <v>46055</v>
      </c>
      <c r="V26" s="650" t="n">
        <v>46062</v>
      </c>
      <c r="W26" s="650" t="n">
        <v>46069</v>
      </c>
      <c r="X26" s="650" t="n">
        <v>46076</v>
      </c>
      <c r="Y26" s="650" t="n">
        <v>46083</v>
      </c>
      <c r="Z26" s="650" t="n">
        <v>46090</v>
      </c>
      <c r="AA26" s="650" t="n">
        <v>46097</v>
      </c>
      <c r="AB26" s="650" t="n">
        <v>46104</v>
      </c>
      <c r="AC26" s="650" t="n">
        <v>46111</v>
      </c>
      <c r="AD26" s="650" t="n">
        <v>46118</v>
      </c>
      <c r="AE26" s="650" t="n">
        <v>46125</v>
      </c>
      <c r="AF26" s="650" t="n">
        <v>46132</v>
      </c>
      <c r="AG26" s="650" t="n">
        <v>46139</v>
      </c>
      <c r="AH26" s="650" t="n">
        <v>46146</v>
      </c>
      <c r="AI26" s="650" t="n">
        <v>46154</v>
      </c>
      <c r="AJ26" s="650" t="n">
        <v>46160</v>
      </c>
      <c r="AK26" s="650" t="n">
        <v>46160</v>
      </c>
      <c r="AL26" s="652" t="inlineStr">
        <is>
          <t>USOU</t>
        </is>
      </c>
      <c r="AM26" s="6" t="n"/>
      <c r="AN26" s="35" t="inlineStr">
        <is>
          <t>Pend.</t>
        </is>
      </c>
      <c r="AO26" s="653" t="n"/>
      <c r="AP26" s="12" t="inlineStr">
        <is>
          <t>Novo Pedido</t>
        </is>
      </c>
      <c r="AQ26" s="4" t="n"/>
      <c r="AR26" s="654" t="n">
        <v>46156</v>
      </c>
      <c r="AS26" s="654" t="n">
        <v>46149</v>
      </c>
      <c r="AT26" s="654" t="n">
        <v>46114</v>
      </c>
      <c r="AU26" s="654" t="n">
        <v>46099</v>
      </c>
      <c r="AV26" s="710" t="n">
        <v>46065</v>
      </c>
      <c r="AW26" s="654" t="n">
        <v>46092</v>
      </c>
      <c r="AX26" s="711" t="n">
        <v>46045</v>
      </c>
      <c r="AY26" s="654" t="n">
        <v>46077</v>
      </c>
      <c r="AZ26" s="654" t="n">
        <v>46071</v>
      </c>
      <c r="BA26" s="654" t="n">
        <v>46071</v>
      </c>
      <c r="BB26" s="654" t="n">
        <v>46056</v>
      </c>
      <c r="BC26" s="654" t="n">
        <v>46048</v>
      </c>
      <c r="BD26" s="655" t="n">
        <v>46041</v>
      </c>
      <c r="BE26" s="654" t="n">
        <v>46029</v>
      </c>
      <c r="BF26" s="654" t="n">
        <v>46372</v>
      </c>
      <c r="BG26" s="654" t="n">
        <v>46382</v>
      </c>
      <c r="BH26" s="654" t="n">
        <v>46007</v>
      </c>
      <c r="BI26" s="654" t="n">
        <v>46017</v>
      </c>
      <c r="BJ26" s="654" t="n">
        <v>46007</v>
      </c>
      <c r="BK26" s="654" t="n">
        <v>46001</v>
      </c>
      <c r="BL26" s="654" t="n">
        <v>46001</v>
      </c>
      <c r="BM26" s="654" t="n">
        <v>45994</v>
      </c>
      <c r="BN26" s="654" t="n">
        <v>45986</v>
      </c>
      <c r="BO26" s="654" t="n">
        <v>45980</v>
      </c>
      <c r="BP26" s="654" t="n">
        <v>45980</v>
      </c>
      <c r="BQ26" s="654" t="n">
        <v>45973</v>
      </c>
      <c r="BR26" s="655" t="n">
        <v>45967</v>
      </c>
      <c r="BS26" s="654" t="n">
        <v>45957</v>
      </c>
      <c r="BT26" s="732" t="n"/>
      <c r="BU26" s="655" t="n">
        <v>45950</v>
      </c>
    </row>
    <row r="27" ht="18.75" customFormat="1" customHeight="1" s="3">
      <c r="A27" s="33" t="inlineStr">
        <is>
          <t>KIT PAPEL DE SEDA (20 c/ 25 un)</t>
        </is>
      </c>
      <c r="B27" s="9" t="n">
        <v>500</v>
      </c>
      <c r="C27" s="662" t="n">
        <v>99.26000000000001</v>
      </c>
      <c r="D27" s="329" t="n"/>
      <c r="E27" s="642" t="n"/>
      <c r="F27" s="38">
        <f>0+20+10</f>
        <v/>
      </c>
      <c r="G27" s="38" t="n">
        <v>30</v>
      </c>
      <c r="H27" s="38" t="n">
        <v>30</v>
      </c>
      <c r="I27" s="38" t="n">
        <v>29</v>
      </c>
      <c r="J27" s="38" t="n">
        <v>29</v>
      </c>
      <c r="K27" s="38" t="n">
        <v>29</v>
      </c>
      <c r="L27" s="38" t="n">
        <v>29</v>
      </c>
      <c r="M27" s="38" t="n">
        <v>29</v>
      </c>
      <c r="N27" s="38" t="n">
        <v>29</v>
      </c>
      <c r="O27" s="38" t="n">
        <v>29</v>
      </c>
      <c r="P27" s="38" t="n">
        <v>29</v>
      </c>
      <c r="Q27" s="38" t="n">
        <v>29</v>
      </c>
      <c r="R27" s="38" t="n">
        <v>29</v>
      </c>
      <c r="S27" s="38" t="n">
        <v>29</v>
      </c>
      <c r="T27" s="38" t="n">
        <v>29</v>
      </c>
      <c r="U27" s="38" t="n">
        <v>29</v>
      </c>
      <c r="V27" s="38" t="n">
        <v>29</v>
      </c>
      <c r="W27" s="38" t="n">
        <v>29</v>
      </c>
      <c r="X27" s="38" t="n">
        <v>29</v>
      </c>
      <c r="Y27" s="38" t="n">
        <v>10</v>
      </c>
      <c r="Z27" s="38" t="n">
        <v>10</v>
      </c>
      <c r="AA27" s="38" t="n">
        <v>10</v>
      </c>
      <c r="AB27" s="38" t="n">
        <v>9</v>
      </c>
      <c r="AC27" s="261" t="n">
        <v>19</v>
      </c>
      <c r="AD27" s="38" t="n"/>
      <c r="AE27" s="38" t="n"/>
      <c r="AF27" s="38" t="n"/>
      <c r="AG27" s="38" t="n">
        <v>12</v>
      </c>
      <c r="AH27" s="38" t="n">
        <v>12</v>
      </c>
      <c r="AI27" s="38" t="n">
        <v>12</v>
      </c>
      <c r="AJ27" s="38" t="n">
        <v>12</v>
      </c>
      <c r="AK27" s="38" t="n">
        <v>12</v>
      </c>
      <c r="AL27" s="154">
        <f>AJ27+IF(NOT(ISBLANK(OFFSET(AL27,0,6))),N(OFFSET(AL27,0,6)),N(OFFSET(AL27,0,7)))-AK27</f>
        <v/>
      </c>
      <c r="AM27" s="6" t="n"/>
      <c r="AN27" s="19" t="n"/>
      <c r="AO27" s="4" t="n"/>
      <c r="AP27" s="65" t="n"/>
      <c r="AQ27" s="4" t="n"/>
      <c r="AR27" s="18" t="n">
        <v>0</v>
      </c>
      <c r="AS27" s="18" t="n">
        <v>0</v>
      </c>
      <c r="AT27" s="18" t="n"/>
      <c r="AU27" s="18" t="n"/>
      <c r="AV27" s="18" t="n"/>
      <c r="AW27" s="18" t="n"/>
      <c r="AX27" s="18" t="n"/>
      <c r="AY27" s="18" t="n"/>
      <c r="AZ27" s="18" t="n"/>
      <c r="BA27" s="18" t="n"/>
      <c r="BB27" s="18" t="n"/>
      <c r="BC27" s="18" t="n"/>
      <c r="BD27" s="18" t="n"/>
      <c r="BE27" s="18" t="n"/>
      <c r="BF27" s="18" t="n"/>
      <c r="BG27" s="18" t="n"/>
      <c r="BH27" s="18" t="n"/>
      <c r="BI27" s="18" t="n"/>
      <c r="BJ27" s="18" t="n"/>
      <c r="BK27" s="18" t="n"/>
      <c r="BL27" s="18" t="n"/>
      <c r="BM27" s="18" t="n"/>
      <c r="BN27" s="18" t="n"/>
      <c r="BO27" s="18" t="n"/>
      <c r="BP27" s="18" t="n"/>
      <c r="BQ27" s="18" t="n"/>
      <c r="BR27" s="18" t="n"/>
      <c r="BS27" s="18" t="n"/>
      <c r="BT27" s="256" t="n"/>
      <c r="BU27" s="154" t="inlineStr">
        <is>
          <t>20 DE ER PB + 10 DE ER PG</t>
        </is>
      </c>
    </row>
    <row r="28" ht="18.75" customFormat="1" customHeight="1" s="3">
      <c r="A28" s="33" t="inlineStr">
        <is>
          <t>KIT ETIQ (50 c/ 50 un)</t>
        </is>
      </c>
      <c r="B28" s="9" t="n">
        <v>2500</v>
      </c>
      <c r="C28" s="662" t="n">
        <v>69.20999999999999</v>
      </c>
      <c r="D28" s="329" t="n"/>
      <c r="E28" s="642" t="n"/>
      <c r="F28" s="38">
        <f>0+40</f>
        <v/>
      </c>
      <c r="G28" s="38" t="n">
        <v>40</v>
      </c>
      <c r="H28" s="38" t="n">
        <v>40</v>
      </c>
      <c r="I28" s="38" t="n">
        <v>40</v>
      </c>
      <c r="J28" s="38" t="n">
        <v>40</v>
      </c>
      <c r="K28" s="38" t="n">
        <v>39</v>
      </c>
      <c r="L28" s="38" t="n">
        <v>39</v>
      </c>
      <c r="M28" s="38" t="n">
        <v>39</v>
      </c>
      <c r="N28" s="38" t="n">
        <v>39</v>
      </c>
      <c r="O28" s="38" t="n">
        <v>39</v>
      </c>
      <c r="P28" s="38" t="n">
        <v>39</v>
      </c>
      <c r="Q28" s="38" t="n">
        <v>39</v>
      </c>
      <c r="R28" s="38" t="n">
        <v>39</v>
      </c>
      <c r="S28" s="38" t="n">
        <v>39</v>
      </c>
      <c r="T28" s="38" t="n">
        <v>39</v>
      </c>
      <c r="U28" s="38" t="n">
        <v>39</v>
      </c>
      <c r="V28" s="38" t="n">
        <v>39</v>
      </c>
      <c r="W28" s="38" t="n">
        <v>39</v>
      </c>
      <c r="X28" s="38" t="n">
        <v>39</v>
      </c>
      <c r="Y28" s="38" t="n">
        <v>0</v>
      </c>
      <c r="Z28" s="38" t="n">
        <v>0</v>
      </c>
      <c r="AA28" s="38" t="n">
        <v>0</v>
      </c>
      <c r="AB28" s="38" t="n">
        <v>0</v>
      </c>
      <c r="AC28" s="38" t="n">
        <v>0</v>
      </c>
      <c r="AD28" s="38" t="n"/>
      <c r="AE28" s="38" t="n"/>
      <c r="AF28" s="38" t="n"/>
      <c r="AG28" s="38" t="n">
        <v>33</v>
      </c>
      <c r="AH28" s="38" t="n">
        <v>33</v>
      </c>
      <c r="AI28" s="38" t="n">
        <v>33</v>
      </c>
      <c r="AJ28" s="38" t="n">
        <v>33</v>
      </c>
      <c r="AK28" s="38" t="n">
        <v>33</v>
      </c>
      <c r="AL28" s="154">
        <f>AJ28+IF(NOT(ISBLANK(OFFSET(AL28,0,6))),N(OFFSET(AL28,0,6)),N(OFFSET(AL28,0,7)))-AK28</f>
        <v/>
      </c>
      <c r="AM28" s="6" t="n"/>
      <c r="AN28" s="19" t="n"/>
      <c r="AO28" s="4" t="n"/>
      <c r="AP28" s="65" t="n"/>
      <c r="AQ28" s="4" t="n"/>
      <c r="AR28" s="18" t="n">
        <v>0</v>
      </c>
      <c r="AS28" s="18" t="n">
        <v>0</v>
      </c>
      <c r="AT28" s="18" t="n"/>
      <c r="AU28" s="18" t="n"/>
      <c r="AV28" s="18" t="n"/>
      <c r="AW28" s="18" t="n"/>
      <c r="AX28" s="18" t="n"/>
      <c r="AY28" s="18" t="n"/>
      <c r="AZ28" s="18" t="n"/>
      <c r="BA28" s="18" t="n"/>
      <c r="BB28" s="18" t="n"/>
      <c r="BC28" s="18" t="n"/>
      <c r="BD28" s="18" t="n"/>
      <c r="BE28" s="18" t="n"/>
      <c r="BF28" s="18" t="n"/>
      <c r="BG28" s="18" t="n"/>
      <c r="BH28" s="18" t="n"/>
      <c r="BI28" s="18" t="n"/>
      <c r="BJ28" s="18" t="n"/>
      <c r="BK28" s="18" t="n"/>
      <c r="BL28" s="18" t="n"/>
      <c r="BM28" s="18" t="n"/>
      <c r="BN28" s="18" t="n"/>
      <c r="BO28" s="18" t="n"/>
      <c r="BP28" s="18" t="n"/>
      <c r="BQ28" s="18" t="n"/>
      <c r="BR28" s="18" t="n"/>
      <c r="BS28" s="18" t="n"/>
      <c r="BT28" s="256" t="n"/>
      <c r="BU28" s="154" t="inlineStr">
        <is>
          <t>40 DE ER PBE</t>
        </is>
      </c>
    </row>
    <row r="29" ht="18.75" customFormat="1" customHeight="1" s="3">
      <c r="A29" s="33" t="inlineStr">
        <is>
          <t>KIT TAGS  (21 c/ 50 un)</t>
        </is>
      </c>
      <c r="B29" s="9" t="n">
        <v>1050</v>
      </c>
      <c r="C29" s="662" t="n">
        <v>53.96</v>
      </c>
      <c r="D29" s="329" t="n"/>
      <c r="E29" s="2" t="n"/>
      <c r="F29" s="38">
        <f>0+10</f>
        <v/>
      </c>
      <c r="G29" s="38" t="n">
        <v>10</v>
      </c>
      <c r="H29" s="38" t="n">
        <v>10</v>
      </c>
      <c r="I29" s="38" t="n">
        <v>10</v>
      </c>
      <c r="J29" s="261" t="n">
        <v>20</v>
      </c>
      <c r="K29" s="38" t="n">
        <v>20</v>
      </c>
      <c r="L29" s="38" t="n">
        <v>20</v>
      </c>
      <c r="M29" s="38" t="n">
        <v>20</v>
      </c>
      <c r="N29" s="38" t="n">
        <v>10</v>
      </c>
      <c r="O29" s="38" t="n">
        <v>10</v>
      </c>
      <c r="P29" s="38" t="n">
        <v>10</v>
      </c>
      <c r="Q29" s="38" t="n">
        <v>10</v>
      </c>
      <c r="R29" s="38" t="n">
        <v>10</v>
      </c>
      <c r="S29" s="38" t="n">
        <v>10</v>
      </c>
      <c r="T29" s="38" t="n">
        <v>10</v>
      </c>
      <c r="U29" s="38" t="n">
        <v>10</v>
      </c>
      <c r="V29" s="38" t="n">
        <v>10</v>
      </c>
      <c r="W29" s="38" t="n">
        <v>10</v>
      </c>
      <c r="X29" s="38" t="n">
        <v>10</v>
      </c>
      <c r="Y29" s="38" t="n">
        <v>4</v>
      </c>
      <c r="Z29" s="38" t="n">
        <v>4</v>
      </c>
      <c r="AA29" s="38" t="n">
        <v>4</v>
      </c>
      <c r="AB29" s="38" t="n">
        <v>4</v>
      </c>
      <c r="AC29" s="261" t="n">
        <v>80</v>
      </c>
      <c r="AD29" s="38" t="n"/>
      <c r="AE29" s="38" t="n"/>
      <c r="AF29" s="38" t="n"/>
      <c r="AG29" s="38" t="n">
        <v>0</v>
      </c>
      <c r="AH29" s="38" t="n">
        <v>0</v>
      </c>
      <c r="AI29" s="38" t="n">
        <v>0</v>
      </c>
      <c r="AJ29" s="38" t="n">
        <v>0</v>
      </c>
      <c r="AK29" s="38" t="n">
        <v>0</v>
      </c>
      <c r="AL29" s="154">
        <f>AJ29+IF(NOT(ISBLANK(OFFSET(AL29,0,6))),N(OFFSET(AL29,0,6)),N(OFFSET(AL29,0,7)))-AK29</f>
        <v/>
      </c>
      <c r="AM29" s="6" t="n"/>
      <c r="AN29" s="19" t="n"/>
      <c r="AO29" s="4" t="n"/>
      <c r="AP29" s="65" t="n"/>
      <c r="AQ29" s="4" t="n"/>
      <c r="AR29" s="18" t="n">
        <v>0</v>
      </c>
      <c r="AS29" s="18" t="n">
        <v>0</v>
      </c>
      <c r="AT29" s="18" t="n"/>
      <c r="AU29" s="18" t="n"/>
      <c r="AV29" s="18" t="n"/>
      <c r="AW29" s="18" t="n"/>
      <c r="AX29" s="18" t="n"/>
      <c r="AY29" s="18" t="n"/>
      <c r="AZ29" s="18" t="n"/>
      <c r="BA29" s="18" t="n"/>
      <c r="BB29" s="18" t="n"/>
      <c r="BC29" s="18" t="n"/>
      <c r="BD29" s="18" t="n"/>
      <c r="BE29" s="18" t="n"/>
      <c r="BF29" s="18" t="n"/>
      <c r="BG29" s="18" t="n"/>
      <c r="BH29" s="18" t="n"/>
      <c r="BI29" s="18" t="n"/>
      <c r="BJ29" s="18" t="n"/>
      <c r="BK29" s="18" t="n"/>
      <c r="BL29" s="18" t="n"/>
      <c r="BM29" s="18" t="n"/>
      <c r="BN29" s="18" t="n"/>
      <c r="BO29" s="18" t="n"/>
      <c r="BP29" s="18" t="n"/>
      <c r="BQ29" s="18" t="n"/>
      <c r="BR29" s="18" t="n"/>
      <c r="BS29" s="18" t="n"/>
      <c r="BT29" s="256" t="n"/>
      <c r="BU29" s="154" t="inlineStr">
        <is>
          <t>10 DE ER PBE</t>
        </is>
      </c>
    </row>
    <row r="30" ht="18.75" customFormat="1" customHeight="1" s="3">
      <c r="A30" s="31" t="n"/>
      <c r="AM30" s="6" t="n"/>
      <c r="AN30" s="67" t="n"/>
      <c r="AR30" s="17" t="n"/>
      <c r="AS30" s="17" t="n"/>
      <c r="AT30" s="1" t="n"/>
      <c r="AU30" s="1" t="n"/>
      <c r="AV30" s="1" t="n"/>
      <c r="AW30" s="1" t="n"/>
      <c r="AX30" s="1" t="n"/>
      <c r="AY30" s="1" t="n"/>
      <c r="AZ30" s="1" t="n"/>
      <c r="BA30" s="1" t="n"/>
      <c r="BB30" s="1" t="n"/>
      <c r="BC30" s="1" t="n"/>
      <c r="BD30" s="1" t="n"/>
      <c r="BE30" s="1" t="n"/>
      <c r="BF30" s="1" t="n"/>
      <c r="BG30" s="1" t="n"/>
      <c r="BH30" s="1" t="n"/>
      <c r="BI30" s="1" t="n"/>
      <c r="BJ30" s="1" t="n"/>
      <c r="BK30" s="1" t="n"/>
      <c r="BL30" s="1" t="n"/>
      <c r="BM30" s="1" t="n"/>
      <c r="BN30" s="1" t="n"/>
      <c r="BO30" s="1" t="n"/>
      <c r="BP30" s="1" t="n"/>
      <c r="BQ30" s="1" t="n"/>
      <c r="BR30" s="1" t="n"/>
      <c r="BS30" s="1" t="n"/>
      <c r="BT30" s="1" t="n"/>
      <c r="BU30" s="1" t="n"/>
    </row>
    <row r="31" ht="18.75" customFormat="1" customHeight="1" s="3">
      <c r="A31" s="32" t="inlineStr">
        <is>
          <t>CAIXAS BOTICÁRIO</t>
        </is>
      </c>
      <c r="B31" s="575" t="inlineStr">
        <is>
          <t>PC</t>
        </is>
      </c>
      <c r="C31" s="575" t="inlineStr">
        <is>
          <t>R$</t>
        </is>
      </c>
      <c r="D31" s="575" t="inlineStr">
        <is>
          <t>Estoque Ideal</t>
        </is>
      </c>
      <c r="E31" s="2" t="n"/>
      <c r="F31" s="650" t="n">
        <v>45950</v>
      </c>
      <c r="G31" s="650" t="n">
        <v>45957</v>
      </c>
      <c r="H31" s="650" t="n">
        <v>45933</v>
      </c>
      <c r="I31" s="650" t="n">
        <v>45971</v>
      </c>
      <c r="J31" s="650" t="n">
        <v>45978</v>
      </c>
      <c r="K31" s="650" t="n">
        <v>45985</v>
      </c>
      <c r="L31" s="650" t="n">
        <v>45992</v>
      </c>
      <c r="M31" s="650" t="n">
        <v>45999</v>
      </c>
      <c r="N31" s="650" t="n">
        <v>46006</v>
      </c>
      <c r="O31" s="650" t="n">
        <v>46013</v>
      </c>
      <c r="P31" s="650" t="n">
        <v>46020</v>
      </c>
      <c r="Q31" s="650" t="n">
        <v>46027</v>
      </c>
      <c r="R31" s="650" t="n">
        <v>46034</v>
      </c>
      <c r="S31" s="650" t="n">
        <v>46041</v>
      </c>
      <c r="T31" s="650" t="n">
        <v>46048</v>
      </c>
      <c r="U31" s="650" t="n">
        <v>46055</v>
      </c>
      <c r="V31" s="650" t="n">
        <v>46062</v>
      </c>
      <c r="W31" s="650" t="n">
        <v>46069</v>
      </c>
      <c r="X31" s="650" t="n">
        <v>46076</v>
      </c>
      <c r="Y31" s="650" t="n">
        <v>46083</v>
      </c>
      <c r="Z31" s="650" t="n">
        <v>46090</v>
      </c>
      <c r="AA31" s="650" t="n">
        <v>46097</v>
      </c>
      <c r="AB31" s="650" t="n">
        <v>46104</v>
      </c>
      <c r="AC31" s="650" t="n">
        <v>46111</v>
      </c>
      <c r="AD31" s="650" t="n">
        <v>46118</v>
      </c>
      <c r="AE31" s="650" t="n">
        <v>46125</v>
      </c>
      <c r="AF31" s="650" t="n">
        <v>46132</v>
      </c>
      <c r="AG31" s="650" t="n">
        <v>46139</v>
      </c>
      <c r="AH31" s="650" t="n">
        <v>46146</v>
      </c>
      <c r="AI31" s="650" t="n">
        <v>46154</v>
      </c>
      <c r="AJ31" s="650" t="n">
        <v>46160</v>
      </c>
      <c r="AK31" s="650" t="n">
        <v>46160</v>
      </c>
      <c r="AL31" s="652" t="inlineStr">
        <is>
          <t>USOU</t>
        </is>
      </c>
      <c r="AM31" s="6" t="n"/>
      <c r="AN31" s="35" t="inlineStr">
        <is>
          <t>Pend.</t>
        </is>
      </c>
      <c r="AO31" s="653" t="n"/>
      <c r="AP31" s="12" t="inlineStr">
        <is>
          <t>Novo Pedido</t>
        </is>
      </c>
      <c r="AQ31" s="4" t="n"/>
      <c r="AR31" s="654" t="n">
        <v>46156</v>
      </c>
      <c r="AS31" s="654" t="n">
        <v>46149</v>
      </c>
      <c r="AT31" s="654" t="n">
        <v>46114</v>
      </c>
      <c r="AU31" s="654" t="n">
        <v>46099</v>
      </c>
      <c r="AV31" s="710" t="n">
        <v>46065</v>
      </c>
      <c r="AW31" s="654" t="n">
        <v>46092</v>
      </c>
      <c r="AX31" s="711" t="n">
        <v>46045</v>
      </c>
      <c r="AY31" s="654" t="n">
        <v>46077</v>
      </c>
      <c r="AZ31" s="654" t="n">
        <v>46071</v>
      </c>
      <c r="BA31" s="654" t="n">
        <v>46071</v>
      </c>
      <c r="BB31" s="654" t="n">
        <v>46056</v>
      </c>
      <c r="BC31" s="654" t="n">
        <v>46048</v>
      </c>
      <c r="BD31" s="655" t="n">
        <v>46041</v>
      </c>
      <c r="BE31" s="654" t="n">
        <v>46029</v>
      </c>
      <c r="BF31" s="654" t="n">
        <v>46372</v>
      </c>
      <c r="BG31" s="654" t="n">
        <v>46382</v>
      </c>
      <c r="BH31" s="654" t="n">
        <v>46007</v>
      </c>
      <c r="BI31" s="654" t="n">
        <v>46017</v>
      </c>
      <c r="BJ31" s="654" t="n">
        <v>46007</v>
      </c>
      <c r="BK31" s="654" t="n">
        <v>46001</v>
      </c>
      <c r="BL31" s="654" t="n">
        <v>46001</v>
      </c>
      <c r="BM31" s="654" t="n">
        <v>45994</v>
      </c>
      <c r="BN31" s="654" t="n">
        <v>45986</v>
      </c>
      <c r="BO31" s="654" t="n">
        <v>45980</v>
      </c>
      <c r="BP31" s="654" t="n">
        <v>45980</v>
      </c>
      <c r="BQ31" s="654" t="n">
        <v>45973</v>
      </c>
      <c r="BR31" s="655" t="n">
        <v>45967</v>
      </c>
      <c r="BS31" s="654" t="n">
        <v>45957</v>
      </c>
      <c r="BT31" s="732" t="n"/>
      <c r="BU31" s="655" t="n">
        <v>45950</v>
      </c>
    </row>
    <row r="32" ht="18.75" customFormat="1" customHeight="1" s="3">
      <c r="A32" s="33" t="inlineStr">
        <is>
          <t>KIT CAIXA P VERDE</t>
        </is>
      </c>
      <c r="B32" s="129" t="n">
        <v>75</v>
      </c>
      <c r="C32" s="665" t="n">
        <v>239.21</v>
      </c>
      <c r="D32" s="329" t="n"/>
      <c r="E32" s="2" t="n"/>
      <c r="F32" s="38">
        <f>0+8</f>
        <v/>
      </c>
      <c r="G32" s="38" t="n">
        <v>8</v>
      </c>
      <c r="H32" s="38" t="n">
        <v>8</v>
      </c>
      <c r="I32" s="38" t="n">
        <v>8</v>
      </c>
      <c r="J32" s="38" t="n">
        <v>8</v>
      </c>
      <c r="K32" s="38" t="n">
        <v>8</v>
      </c>
      <c r="L32" s="38" t="n">
        <v>8</v>
      </c>
      <c r="M32" s="38" t="n">
        <v>8</v>
      </c>
      <c r="N32" s="38" t="n">
        <v>8</v>
      </c>
      <c r="O32" s="38" t="n">
        <v>2</v>
      </c>
      <c r="P32" s="38" t="n">
        <v>2</v>
      </c>
      <c r="Q32" s="38" t="n">
        <v>2</v>
      </c>
      <c r="R32" s="38" t="n">
        <v>2</v>
      </c>
      <c r="S32" s="38" t="n">
        <v>2</v>
      </c>
      <c r="T32" s="38" t="n">
        <v>2</v>
      </c>
      <c r="U32" s="38" t="n">
        <v>2</v>
      </c>
      <c r="V32" s="38" t="n">
        <v>2</v>
      </c>
      <c r="W32" s="38" t="n">
        <v>2</v>
      </c>
      <c r="X32" s="38" t="n">
        <v>2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>
        <v>0</v>
      </c>
      <c r="AI32" s="38" t="n">
        <v>0</v>
      </c>
      <c r="AJ32" s="38" t="n">
        <v>0</v>
      </c>
      <c r="AK32" s="38" t="n">
        <v>0</v>
      </c>
      <c r="AL32" s="154">
        <f>AJ32+IF(NOT(ISBLANK(OFFSET(AL32,0,6))),N(OFFSET(AL32,0,6)),N(OFFSET(AL32,0,7)))-AK32</f>
        <v/>
      </c>
      <c r="AM32" s="6" t="n"/>
      <c r="AN32" s="19" t="n"/>
      <c r="AO32" s="4" t="n"/>
      <c r="AP32" s="27" t="n"/>
      <c r="AQ32" s="4" t="n"/>
      <c r="AR32" s="18" t="n">
        <v>0</v>
      </c>
      <c r="AS32" s="18" t="n">
        <v>0</v>
      </c>
      <c r="AT32" s="18" t="n"/>
      <c r="AU32" s="18" t="n"/>
      <c r="AV32" s="18" t="n"/>
      <c r="AW32" s="18" t="n"/>
      <c r="AX32" s="18" t="n"/>
      <c r="AY32" s="18" t="n"/>
      <c r="AZ32" s="18" t="n"/>
      <c r="BA32" s="18" t="n"/>
      <c r="BB32" s="18" t="n"/>
      <c r="BC32" s="18" t="n"/>
      <c r="BD32" s="18" t="n"/>
      <c r="BE32" s="18" t="n"/>
      <c r="BF32" s="18" t="n"/>
      <c r="BG32" s="18" t="n"/>
      <c r="BH32" s="18" t="n"/>
      <c r="BI32" s="18" t="n"/>
      <c r="BJ32" s="18" t="n"/>
      <c r="BK32" s="18" t="n"/>
      <c r="BL32" s="18" t="n"/>
      <c r="BM32" s="18" t="n"/>
      <c r="BN32" s="18" t="n"/>
      <c r="BO32" s="18" t="n"/>
      <c r="BP32" s="18" t="n"/>
      <c r="BQ32" s="18" t="n"/>
      <c r="BR32" s="18" t="n"/>
      <c r="BS32" s="18" t="n"/>
      <c r="BT32" s="256" t="n"/>
      <c r="BU32" s="154" t="inlineStr">
        <is>
          <t>08 DE ER PBE</t>
        </is>
      </c>
    </row>
    <row r="33" ht="18.75" customFormat="1" customHeight="1" s="3">
      <c r="A33" s="33" t="inlineStr">
        <is>
          <t>KIT CAIXA M VERDE</t>
        </is>
      </c>
      <c r="B33" s="129" t="n">
        <v>75</v>
      </c>
      <c r="C33" s="662" t="n">
        <v>312.27</v>
      </c>
      <c r="D33" s="329" t="n"/>
      <c r="E33" s="2" t="n"/>
      <c r="F33" s="38" t="n">
        <v>0</v>
      </c>
      <c r="G33" s="38" t="n">
        <v>0</v>
      </c>
      <c r="H33" s="38" t="n">
        <v>0</v>
      </c>
      <c r="I33" s="38" t="n">
        <v>0</v>
      </c>
      <c r="J33" s="38" t="n">
        <v>0</v>
      </c>
      <c r="K33" s="38" t="n">
        <v>0</v>
      </c>
      <c r="L33" s="38" t="n">
        <v>0</v>
      </c>
      <c r="M33" s="38" t="n">
        <v>0</v>
      </c>
      <c r="N33" s="38" t="n">
        <v>0</v>
      </c>
      <c r="O33" s="38" t="n">
        <v>0</v>
      </c>
      <c r="P33" s="38" t="n">
        <v>0</v>
      </c>
      <c r="Q33" s="38" t="n">
        <v>0</v>
      </c>
      <c r="R33" s="38" t="n">
        <v>0</v>
      </c>
      <c r="S33" s="38" t="n">
        <v>0</v>
      </c>
      <c r="T33" s="38" t="n">
        <v>0</v>
      </c>
      <c r="U33" s="38" t="n">
        <v>0</v>
      </c>
      <c r="V33" s="261" t="n">
        <v>20</v>
      </c>
      <c r="W33" s="38" t="n">
        <v>20</v>
      </c>
      <c r="X33" s="38" t="n">
        <v>20</v>
      </c>
      <c r="Y33" s="38" t="n">
        <v>7</v>
      </c>
      <c r="Z33" s="38" t="n">
        <v>1</v>
      </c>
      <c r="AA33" s="38" t="n">
        <v>1</v>
      </c>
      <c r="AB33" s="38" t="n">
        <v>0</v>
      </c>
      <c r="AC33" s="38" t="n">
        <v>0</v>
      </c>
      <c r="AD33" s="38" t="n">
        <v>0</v>
      </c>
      <c r="AE33" s="38" t="n">
        <v>0</v>
      </c>
      <c r="AF33" s="38" t="n">
        <v>0</v>
      </c>
      <c r="AG33" s="38" t="n">
        <v>0</v>
      </c>
      <c r="AH33" s="38" t="n">
        <v>0</v>
      </c>
      <c r="AI33" s="38" t="n">
        <v>0</v>
      </c>
      <c r="AJ33" s="38" t="n">
        <v>0</v>
      </c>
      <c r="AK33" s="38" t="n">
        <v>0</v>
      </c>
      <c r="AL33" s="154">
        <f>AJ33+IF(NOT(ISBLANK(OFFSET(AL33,0,6))),N(OFFSET(AL33,0,6)),N(OFFSET(AL33,0,7)))-AK33</f>
        <v/>
      </c>
      <c r="AM33" s="6" t="n"/>
      <c r="AN33" s="19" t="n"/>
      <c r="AO33" s="5" t="n"/>
      <c r="AP33" s="27" t="n"/>
      <c r="AQ33" s="5" t="n"/>
      <c r="AR33" s="18" t="n">
        <v>0</v>
      </c>
      <c r="AS33" s="18" t="n">
        <v>0</v>
      </c>
      <c r="AT33" s="18" t="n"/>
      <c r="AU33" s="18" t="n"/>
      <c r="AV33" s="18" t="n"/>
      <c r="AW33" s="18" t="n"/>
      <c r="AX33" s="18" t="n"/>
      <c r="AY33" s="18" t="n"/>
      <c r="AZ33" s="18" t="n"/>
      <c r="BA33" s="18" t="n"/>
      <c r="BB33" s="18" t="n"/>
      <c r="BC33" s="18" t="n"/>
      <c r="BD33" s="18" t="n"/>
      <c r="BE33" s="18" t="n"/>
      <c r="BF33" s="18" t="n"/>
      <c r="BG33" s="18" t="n"/>
      <c r="BH33" s="18" t="n"/>
      <c r="BI33" s="18" t="n"/>
      <c r="BJ33" s="18" t="n"/>
      <c r="BK33" s="18" t="n"/>
      <c r="BL33" s="18" t="n"/>
      <c r="BM33" s="18" t="n"/>
      <c r="BN33" s="18" t="n"/>
      <c r="BO33" s="18" t="n"/>
      <c r="BP33" s="18" t="n"/>
      <c r="BQ33" s="18" t="n"/>
      <c r="BR33" s="18" t="n"/>
      <c r="BS33" s="18" t="n"/>
      <c r="BT33" s="256" t="n"/>
      <c r="BU33" s="256" t="n"/>
    </row>
    <row r="34" ht="18.75" customHeight="1">
      <c r="A34" s="33" t="inlineStr">
        <is>
          <t>KIT CAIXA G VERDE</t>
        </is>
      </c>
      <c r="B34" s="129" t="n">
        <v>50</v>
      </c>
      <c r="C34" s="662" t="n">
        <v>367.65</v>
      </c>
      <c r="D34" s="329" t="n"/>
      <c r="F34" s="38" t="n">
        <v>0</v>
      </c>
      <c r="G34" s="38" t="n">
        <v>0</v>
      </c>
      <c r="H34" s="38" t="n">
        <v>0</v>
      </c>
      <c r="I34" s="38" t="n">
        <v>0</v>
      </c>
      <c r="J34" s="38" t="n">
        <v>0</v>
      </c>
      <c r="K34" s="38" t="n">
        <v>0</v>
      </c>
      <c r="L34" s="38" t="n">
        <v>0</v>
      </c>
      <c r="M34" s="38" t="n">
        <v>0</v>
      </c>
      <c r="N34" s="38" t="n">
        <v>0</v>
      </c>
      <c r="O34" s="38" t="n">
        <v>0</v>
      </c>
      <c r="P34" s="38" t="n">
        <v>0</v>
      </c>
      <c r="Q34" s="38" t="n">
        <v>0</v>
      </c>
      <c r="R34" s="38" t="n">
        <v>0</v>
      </c>
      <c r="S34" s="38" t="n">
        <v>0</v>
      </c>
      <c r="T34" s="38" t="n">
        <v>0</v>
      </c>
      <c r="U34" s="38" t="n">
        <v>0</v>
      </c>
      <c r="V34" s="38" t="n">
        <v>0</v>
      </c>
      <c r="W34" s="38" t="n">
        <v>0</v>
      </c>
      <c r="X34" s="38" t="n">
        <v>0</v>
      </c>
      <c r="Y34" s="38" t="n">
        <v>0</v>
      </c>
      <c r="Z34" s="38" t="n">
        <v>0</v>
      </c>
      <c r="AA34" s="38" t="n">
        <v>0</v>
      </c>
      <c r="AB34" s="38" t="n">
        <v>0</v>
      </c>
      <c r="AC34" s="38" t="n">
        <v>0</v>
      </c>
      <c r="AD34" s="38" t="n">
        <v>0</v>
      </c>
      <c r="AE34" s="38" t="n">
        <v>0</v>
      </c>
      <c r="AF34" s="38" t="n">
        <v>0</v>
      </c>
      <c r="AG34" s="38" t="n">
        <v>0</v>
      </c>
      <c r="AH34" s="38" t="n">
        <v>0</v>
      </c>
      <c r="AI34" s="38" t="n">
        <v>0</v>
      </c>
      <c r="AJ34" s="38" t="n"/>
      <c r="AK34" s="38" t="n"/>
      <c r="AL34" s="154">
        <f>AJ34+IF(NOT(ISBLANK(OFFSET(AL34,0,6))),N(OFFSET(AL34,0,6)),N(OFFSET(AL34,0,7)))-AK34</f>
        <v/>
      </c>
      <c r="AN34" s="19" t="n"/>
      <c r="AO34" s="5" t="n"/>
      <c r="AP34" s="27" t="n"/>
      <c r="AQ34" s="5" t="n"/>
      <c r="AR34" s="18" t="n">
        <v>0</v>
      </c>
      <c r="AS34" s="18" t="n">
        <v>0</v>
      </c>
      <c r="AT34" s="18" t="n"/>
      <c r="AU34" s="18" t="n"/>
      <c r="AV34" s="18" t="n"/>
      <c r="AW34" s="18" t="n"/>
      <c r="AX34" s="18" t="n"/>
      <c r="AY34" s="18" t="n"/>
      <c r="AZ34" s="18" t="n"/>
      <c r="BA34" s="18" t="n"/>
      <c r="BB34" s="18" t="n"/>
      <c r="BC34" s="18" t="n"/>
      <c r="BD34" s="18" t="n"/>
      <c r="BE34" s="18" t="n"/>
      <c r="BF34" s="18" t="n"/>
      <c r="BG34" s="18" t="n"/>
      <c r="BH34" s="18" t="n"/>
      <c r="BI34" s="18" t="n"/>
      <c r="BJ34" s="18" t="n"/>
      <c r="BK34" s="18" t="n"/>
      <c r="BL34" s="18" t="n"/>
      <c r="BM34" s="18" t="n"/>
      <c r="BN34" s="18" t="n"/>
      <c r="BO34" s="18" t="n"/>
      <c r="BP34" s="18" t="n"/>
      <c r="BQ34" s="18" t="n"/>
      <c r="BR34" s="18" t="n"/>
      <c r="BS34" s="18" t="n"/>
      <c r="BT34" s="256" t="n"/>
      <c r="BU34" s="256" t="n"/>
    </row>
    <row r="35" ht="18.75" customFormat="1" customHeight="1" s="3">
      <c r="A35" s="31" t="n"/>
      <c r="B35" s="2" t="n"/>
      <c r="C35" s="661" t="n"/>
      <c r="D35" s="661" t="n"/>
      <c r="E35" s="6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M35" s="6" t="n"/>
      <c r="AN35" s="26" t="n"/>
      <c r="AO35" s="5" t="n"/>
      <c r="AP35" s="108" t="n"/>
      <c r="AQ35" s="5" t="n"/>
      <c r="AR35" s="17" t="n"/>
      <c r="AS35" s="17" t="n"/>
      <c r="BT35" s="314" t="n"/>
      <c r="BU35" s="314" t="n"/>
    </row>
    <row r="36" hidden="1" ht="18.75" customHeight="1">
      <c r="A36" s="32" t="inlineStr">
        <is>
          <t>SACOLAS OMNI BOTICÁRIO</t>
        </is>
      </c>
      <c r="B36" s="575" t="inlineStr">
        <is>
          <t>PC</t>
        </is>
      </c>
      <c r="C36" s="575" t="inlineStr">
        <is>
          <t>R$</t>
        </is>
      </c>
      <c r="D36" s="575" t="inlineStr">
        <is>
          <t>Estoque Ideal</t>
        </is>
      </c>
      <c r="F36" s="650" t="n">
        <v>45950</v>
      </c>
      <c r="G36" s="650" t="n">
        <v>45957</v>
      </c>
      <c r="H36" s="650" t="n">
        <v>45933</v>
      </c>
      <c r="I36" s="650" t="n">
        <v>45971</v>
      </c>
      <c r="J36" s="650" t="n">
        <v>45978</v>
      </c>
      <c r="K36" s="650" t="n">
        <v>45985</v>
      </c>
      <c r="L36" s="650" t="n">
        <v>45992</v>
      </c>
      <c r="M36" s="650" t="n">
        <v>45999</v>
      </c>
      <c r="N36" s="650" t="n">
        <v>46006</v>
      </c>
      <c r="O36" s="650" t="n">
        <v>46013</v>
      </c>
      <c r="P36" s="650" t="n">
        <v>46020</v>
      </c>
      <c r="Q36" s="650" t="n">
        <v>46027</v>
      </c>
      <c r="R36" s="650" t="n">
        <v>46034</v>
      </c>
      <c r="S36" s="650" t="n">
        <v>46041</v>
      </c>
      <c r="T36" s="650" t="n">
        <v>46048</v>
      </c>
      <c r="U36" s="650" t="n">
        <v>46055</v>
      </c>
      <c r="V36" s="650" t="n">
        <v>46062</v>
      </c>
      <c r="W36" s="650" t="n">
        <v>46069</v>
      </c>
      <c r="X36" s="650" t="n">
        <v>46076</v>
      </c>
      <c r="Y36" s="650" t="n">
        <v>46083</v>
      </c>
      <c r="Z36" s="650" t="n">
        <v>46090</v>
      </c>
      <c r="AA36" s="650" t="n">
        <v>46097</v>
      </c>
      <c r="AB36" s="650" t="n">
        <v>46104</v>
      </c>
      <c r="AC36" s="650" t="n">
        <v>46111</v>
      </c>
      <c r="AD36" s="650" t="n">
        <v>46118</v>
      </c>
      <c r="AE36" s="650" t="n">
        <v>46125</v>
      </c>
      <c r="AF36" s="650" t="n">
        <v>46132</v>
      </c>
      <c r="AG36" s="650" t="n">
        <v>46139</v>
      </c>
      <c r="AH36" s="650" t="n">
        <v>46146</v>
      </c>
      <c r="AI36" s="650" t="n">
        <v>46154</v>
      </c>
      <c r="AJ36" s="650" t="n">
        <v>46160</v>
      </c>
      <c r="AK36" s="650" t="n">
        <v>46160</v>
      </c>
      <c r="AL36" s="652" t="inlineStr">
        <is>
          <t>USOU</t>
        </is>
      </c>
      <c r="AN36" s="35" t="inlineStr">
        <is>
          <t>Pend.</t>
        </is>
      </c>
      <c r="AP36" s="12" t="inlineStr">
        <is>
          <t>Novo Pedido</t>
        </is>
      </c>
      <c r="AR36" s="654" t="n"/>
      <c r="AS36" s="654" t="n"/>
      <c r="AT36" s="654" t="n">
        <v>46114</v>
      </c>
      <c r="AU36" s="654" t="n">
        <v>46099</v>
      </c>
      <c r="AV36" s="710" t="n">
        <v>46065</v>
      </c>
      <c r="AW36" s="654" t="n">
        <v>46092</v>
      </c>
      <c r="AX36" s="711" t="n">
        <v>46045</v>
      </c>
      <c r="AY36" s="654" t="n">
        <v>46077</v>
      </c>
      <c r="AZ36" s="654" t="n">
        <v>46071</v>
      </c>
      <c r="BA36" s="654" t="n">
        <v>46071</v>
      </c>
      <c r="BB36" s="654" t="n">
        <v>46056</v>
      </c>
      <c r="BC36" s="654" t="n">
        <v>46048</v>
      </c>
      <c r="BD36" s="655" t="n">
        <v>46041</v>
      </c>
      <c r="BE36" s="654" t="n">
        <v>46029</v>
      </c>
      <c r="BF36" s="654" t="n">
        <v>46372</v>
      </c>
      <c r="BG36" s="654" t="n">
        <v>46382</v>
      </c>
      <c r="BH36" s="654" t="n">
        <v>46007</v>
      </c>
      <c r="BI36" s="654" t="n">
        <v>46017</v>
      </c>
      <c r="BJ36" s="654" t="n">
        <v>46007</v>
      </c>
      <c r="BK36" s="654" t="n">
        <v>46001</v>
      </c>
      <c r="BL36" s="654" t="n">
        <v>46001</v>
      </c>
      <c r="BM36" s="654" t="n">
        <v>45994</v>
      </c>
      <c r="BN36" s="654" t="n">
        <v>45986</v>
      </c>
      <c r="BO36" s="654" t="n">
        <v>45980</v>
      </c>
      <c r="BP36" s="654" t="n">
        <v>45980</v>
      </c>
      <c r="BQ36" s="654" t="n">
        <v>45973</v>
      </c>
      <c r="BR36" s="655" t="n">
        <v>45967</v>
      </c>
      <c r="BS36" s="654" t="n">
        <v>45957</v>
      </c>
      <c r="BT36" s="732" t="n"/>
      <c r="BU36" s="655" t="n">
        <v>45950</v>
      </c>
    </row>
    <row r="37" hidden="1" ht="18.75" customHeight="1">
      <c r="A37" s="33" t="inlineStr">
        <is>
          <t>KIT OVERBAG OMNI P</t>
        </is>
      </c>
      <c r="B37" s="9" t="n">
        <v>25</v>
      </c>
      <c r="C37" s="662" t="n">
        <v>41.75</v>
      </c>
      <c r="D37" s="329" t="n"/>
      <c r="F37" s="38">
        <f>0+25</f>
        <v/>
      </c>
      <c r="G37" s="38" t="n">
        <v>25</v>
      </c>
      <c r="H37" s="38" t="n">
        <v>25</v>
      </c>
      <c r="I37" s="38" t="n">
        <v>25</v>
      </c>
      <c r="J37" s="38" t="n">
        <v>24</v>
      </c>
      <c r="K37" s="38" t="n">
        <v>24</v>
      </c>
      <c r="L37" s="38" t="n">
        <v>24</v>
      </c>
      <c r="M37" s="38" t="n">
        <v>24</v>
      </c>
      <c r="N37" s="38" t="n">
        <v>24</v>
      </c>
      <c r="O37" s="38" t="n">
        <v>24</v>
      </c>
      <c r="P37" s="38" t="n">
        <v>24</v>
      </c>
      <c r="Q37" s="38" t="n">
        <v>24</v>
      </c>
      <c r="R37" s="38" t="n">
        <v>24</v>
      </c>
      <c r="S37" s="38" t="n">
        <v>24</v>
      </c>
      <c r="T37" s="38" t="n">
        <v>24</v>
      </c>
      <c r="U37" s="261" t="n">
        <v>0</v>
      </c>
      <c r="V37" s="38" t="n">
        <v>0</v>
      </c>
      <c r="W37" s="38" t="n">
        <v>0</v>
      </c>
      <c r="X37" s="38" t="n">
        <v>0</v>
      </c>
      <c r="Y37" s="38" t="n">
        <v>0</v>
      </c>
      <c r="Z37" s="38" t="n">
        <v>0</v>
      </c>
      <c r="AA37" s="38" t="n">
        <v>0</v>
      </c>
      <c r="AB37" s="38" t="n">
        <v>0</v>
      </c>
      <c r="AC37" s="38" t="n">
        <v>0</v>
      </c>
      <c r="AD37" s="38" t="n">
        <v>0</v>
      </c>
      <c r="AE37" s="38" t="n">
        <v>0</v>
      </c>
      <c r="AF37" s="38" t="n">
        <v>0</v>
      </c>
      <c r="AG37" s="38" t="n">
        <v>0</v>
      </c>
      <c r="AH37" s="38" t="n">
        <v>0</v>
      </c>
      <c r="AI37" s="38" t="n"/>
      <c r="AJ37" s="38" t="n"/>
      <c r="AK37" s="38" t="n"/>
      <c r="AL37" s="156">
        <f>AJ37+IF(NOT(ISBLANK(OFFSET(AL37,0,6))),N(OFFSET(AL37,0,6)),N(OFFSET(AL37,0,7)))-AK37</f>
        <v/>
      </c>
      <c r="AN37" s="127" t="n"/>
      <c r="AP37" s="27" t="n"/>
      <c r="AR37" s="18" t="n"/>
      <c r="AS37" s="18" t="n">
        <v>0</v>
      </c>
      <c r="AT37" s="18" t="n"/>
      <c r="AU37" s="18" t="n"/>
      <c r="AV37" s="18" t="n"/>
      <c r="AW37" s="18" t="n"/>
      <c r="AX37" s="18" t="n"/>
      <c r="AY37" s="18" t="n"/>
      <c r="AZ37" s="18" t="n"/>
      <c r="BA37" s="18" t="n"/>
      <c r="BB37" s="18" t="n"/>
      <c r="BC37" s="18" t="n"/>
      <c r="BD37" s="18" t="n"/>
      <c r="BE37" s="18" t="n"/>
      <c r="BF37" s="18" t="n"/>
      <c r="BG37" s="18" t="n"/>
      <c r="BH37" s="18" t="n"/>
      <c r="BI37" s="18" t="n"/>
      <c r="BJ37" s="18" t="n"/>
      <c r="BK37" s="18" t="n"/>
      <c r="BL37" s="18" t="n"/>
      <c r="BM37" s="18" t="n"/>
      <c r="BN37" s="18" t="n"/>
      <c r="BO37" s="18" t="n"/>
      <c r="BP37" s="18" t="n"/>
      <c r="BQ37" s="18" t="n"/>
      <c r="BR37" s="18" t="n"/>
      <c r="BS37" s="18" t="n"/>
      <c r="BT37" s="256" t="n"/>
      <c r="BU37" s="154" t="inlineStr">
        <is>
          <t xml:space="preserve">25 DE ER PB </t>
        </is>
      </c>
    </row>
    <row r="38" hidden="1" ht="18.75" customHeight="1">
      <c r="A38" s="33" t="inlineStr">
        <is>
          <t>KIT OVERBAG OMNI M</t>
        </is>
      </c>
      <c r="B38" s="9" t="n">
        <v>25</v>
      </c>
      <c r="C38" s="662" t="n">
        <v>57</v>
      </c>
      <c r="D38" s="329" t="n"/>
      <c r="F38" s="38">
        <f>0+20+10</f>
        <v/>
      </c>
      <c r="G38" s="38" t="n">
        <v>30</v>
      </c>
      <c r="H38" s="38" t="n">
        <v>30</v>
      </c>
      <c r="I38" s="38" t="n">
        <v>30</v>
      </c>
      <c r="J38" s="38" t="n">
        <v>30</v>
      </c>
      <c r="K38" s="38" t="n">
        <v>31</v>
      </c>
      <c r="L38" s="38" t="n">
        <v>31</v>
      </c>
      <c r="M38" s="38" t="n">
        <v>31</v>
      </c>
      <c r="N38" s="38" t="n">
        <v>31</v>
      </c>
      <c r="O38" s="38" t="n">
        <v>31</v>
      </c>
      <c r="P38" s="38" t="n">
        <v>31</v>
      </c>
      <c r="Q38" s="38" t="n">
        <v>31</v>
      </c>
      <c r="R38" s="38" t="n">
        <v>31</v>
      </c>
      <c r="S38" s="38" t="n">
        <v>31</v>
      </c>
      <c r="T38" s="38" t="n">
        <v>31</v>
      </c>
      <c r="U38" s="261" t="n">
        <v>0</v>
      </c>
      <c r="V38" s="38" t="n">
        <v>0</v>
      </c>
      <c r="W38" s="38" t="n">
        <v>0</v>
      </c>
      <c r="X38" s="38" t="n">
        <v>0</v>
      </c>
      <c r="Y38" s="38" t="n">
        <v>0</v>
      </c>
      <c r="Z38" s="38" t="n">
        <v>0</v>
      </c>
      <c r="AA38" s="38" t="n">
        <v>0</v>
      </c>
      <c r="AB38" s="38" t="n">
        <v>0</v>
      </c>
      <c r="AC38" s="38" t="n">
        <v>0</v>
      </c>
      <c r="AD38" s="38" t="n">
        <v>0</v>
      </c>
      <c r="AE38" s="38" t="n">
        <v>0</v>
      </c>
      <c r="AF38" s="38" t="n">
        <v>0</v>
      </c>
      <c r="AG38" s="38" t="n">
        <v>0</v>
      </c>
      <c r="AH38" s="38" t="n">
        <v>0</v>
      </c>
      <c r="AI38" s="38" t="n"/>
      <c r="AJ38" s="38" t="n">
        <v>0</v>
      </c>
      <c r="AK38" s="38" t="n">
        <v>0</v>
      </c>
      <c r="AL38" s="156">
        <f>AJ38+IF(NOT(ISBLANK(OFFSET(AL38,0,6))),N(OFFSET(AL38,0,6)),N(OFFSET(AL38,0,7)))-AK38</f>
        <v/>
      </c>
      <c r="AN38" s="19" t="n"/>
      <c r="AP38" s="27" t="n"/>
      <c r="AR38" s="18" t="n"/>
      <c r="AS38" s="18" t="n">
        <v>0</v>
      </c>
      <c r="AT38" s="18" t="n"/>
      <c r="AU38" s="18" t="n"/>
      <c r="AV38" s="18" t="n"/>
      <c r="AW38" s="18" t="n"/>
      <c r="AX38" s="18" t="n"/>
      <c r="AY38" s="18" t="n"/>
      <c r="AZ38" s="18" t="n"/>
      <c r="BA38" s="18" t="n"/>
      <c r="BB38" s="18" t="n"/>
      <c r="BC38" s="18" t="n"/>
      <c r="BD38" s="18" t="n"/>
      <c r="BE38" s="18" t="n"/>
      <c r="BF38" s="18" t="n"/>
      <c r="BG38" s="18" t="n"/>
      <c r="BH38" s="18" t="n"/>
      <c r="BI38" s="18" t="n"/>
      <c r="BJ38" s="18" t="n"/>
      <c r="BK38" s="18" t="n"/>
      <c r="BL38" s="18" t="n"/>
      <c r="BM38" s="18" t="n"/>
      <c r="BN38" s="18" t="n"/>
      <c r="BO38" s="18" t="n"/>
      <c r="BP38" s="18" t="n"/>
      <c r="BQ38" s="18" t="n"/>
      <c r="BR38" s="18" t="n"/>
      <c r="BS38" s="18" t="n"/>
      <c r="BT38" s="256" t="n"/>
      <c r="BU38" s="154" t="inlineStr">
        <is>
          <t>20 DE ER PB + 10 DE ER PG</t>
        </is>
      </c>
    </row>
    <row r="39" hidden="1" ht="18.75" customHeight="1">
      <c r="B39" s="53" t="n"/>
      <c r="C39" s="53" t="n"/>
      <c r="D39" s="53" t="n"/>
      <c r="AL39" s="53" t="n"/>
      <c r="AP39" s="6" t="n"/>
    </row>
    <row r="40" ht="18.75" customHeight="1">
      <c r="A40" s="586" t="inlineStr">
        <is>
          <t>SACOLAS/SACO/DIVERSOS OUI</t>
        </is>
      </c>
      <c r="B40" s="133" t="n"/>
      <c r="C40" s="133" t="n"/>
      <c r="D40" s="133" t="n"/>
      <c r="F40" s="650" t="n">
        <v>45950</v>
      </c>
      <c r="G40" s="650" t="n">
        <v>45957</v>
      </c>
      <c r="H40" s="650" t="n">
        <v>45933</v>
      </c>
      <c r="I40" s="650" t="n">
        <v>45971</v>
      </c>
      <c r="J40" s="650" t="n">
        <v>45978</v>
      </c>
      <c r="K40" s="650" t="n">
        <v>45985</v>
      </c>
      <c r="L40" s="650" t="n">
        <v>45992</v>
      </c>
      <c r="M40" s="650" t="n">
        <v>45999</v>
      </c>
      <c r="N40" s="650" t="n">
        <v>46006</v>
      </c>
      <c r="O40" s="650" t="n">
        <v>46013</v>
      </c>
      <c r="P40" s="650" t="n">
        <v>46020</v>
      </c>
      <c r="Q40" s="650" t="n">
        <v>46027</v>
      </c>
      <c r="R40" s="650" t="n">
        <v>46034</v>
      </c>
      <c r="S40" s="650" t="n">
        <v>46041</v>
      </c>
      <c r="T40" s="650" t="n">
        <v>46048</v>
      </c>
      <c r="U40" s="650" t="n">
        <v>46055</v>
      </c>
      <c r="V40" s="650" t="n">
        <v>46062</v>
      </c>
      <c r="W40" s="650" t="n">
        <v>46069</v>
      </c>
      <c r="X40" s="650" t="n">
        <v>46076</v>
      </c>
      <c r="Y40" s="650" t="n">
        <v>46083</v>
      </c>
      <c r="Z40" s="650" t="n">
        <v>46090</v>
      </c>
      <c r="AA40" s="650" t="n">
        <v>46097</v>
      </c>
      <c r="AB40" s="650" t="n">
        <v>46104</v>
      </c>
      <c r="AC40" s="650" t="n">
        <v>46111</v>
      </c>
      <c r="AD40" s="650" t="n">
        <v>46118</v>
      </c>
      <c r="AE40" s="650" t="n">
        <v>46125</v>
      </c>
      <c r="AF40" s="650" t="n">
        <v>46132</v>
      </c>
      <c r="AG40" s="650" t="n">
        <v>46139</v>
      </c>
      <c r="AH40" s="650" t="n">
        <v>46146</v>
      </c>
      <c r="AI40" s="650" t="n">
        <v>46154</v>
      </c>
      <c r="AJ40" s="650" t="n">
        <v>46160</v>
      </c>
      <c r="AK40" s="650" t="n">
        <v>46160</v>
      </c>
      <c r="AL40" s="652" t="inlineStr">
        <is>
          <t>USOU</t>
        </is>
      </c>
      <c r="AN40" s="35" t="inlineStr">
        <is>
          <t>Pend.</t>
        </is>
      </c>
      <c r="AP40" s="12" t="inlineStr">
        <is>
          <t>Novo Pedido</t>
        </is>
      </c>
      <c r="AR40" s="654" t="n">
        <v>46156</v>
      </c>
      <c r="AS40" s="654" t="n">
        <v>46149</v>
      </c>
      <c r="AT40" s="654" t="n">
        <v>46114</v>
      </c>
      <c r="AU40" s="654" t="n">
        <v>46099</v>
      </c>
      <c r="AV40" s="710" t="n">
        <v>46065</v>
      </c>
      <c r="AW40" s="654" t="n">
        <v>46092</v>
      </c>
      <c r="AX40" s="711" t="n">
        <v>46045</v>
      </c>
      <c r="AY40" s="654" t="n">
        <v>46077</v>
      </c>
      <c r="AZ40" s="654" t="n">
        <v>46071</v>
      </c>
      <c r="BA40" s="654" t="n">
        <v>46071</v>
      </c>
      <c r="BB40" s="654" t="n">
        <v>46056</v>
      </c>
      <c r="BC40" s="654" t="n">
        <v>46048</v>
      </c>
      <c r="BD40" s="655" t="n">
        <v>46041</v>
      </c>
      <c r="BE40" s="654" t="n">
        <v>46029</v>
      </c>
      <c r="BF40" s="654" t="n">
        <v>46372</v>
      </c>
      <c r="BG40" s="654" t="n">
        <v>46382</v>
      </c>
      <c r="BH40" s="654" t="n">
        <v>46007</v>
      </c>
      <c r="BI40" s="654" t="n">
        <v>46017</v>
      </c>
      <c r="BJ40" s="654" t="n">
        <v>46007</v>
      </c>
      <c r="BK40" s="654" t="n">
        <v>46001</v>
      </c>
      <c r="BL40" s="654" t="n">
        <v>46001</v>
      </c>
      <c r="BM40" s="654" t="n">
        <v>45994</v>
      </c>
      <c r="BN40" s="654" t="n">
        <v>45986</v>
      </c>
      <c r="BO40" s="654" t="n">
        <v>45980</v>
      </c>
      <c r="BP40" s="654" t="n">
        <v>45980</v>
      </c>
      <c r="BQ40" s="654" t="n">
        <v>45973</v>
      </c>
      <c r="BR40" s="655" t="n">
        <v>45967</v>
      </c>
      <c r="BS40" s="654" t="n">
        <v>45957</v>
      </c>
      <c r="BT40" s="732" t="n"/>
      <c r="BU40" s="655" t="n">
        <v>45950</v>
      </c>
    </row>
    <row r="41" ht="18.75" customHeight="1">
      <c r="A41" s="43" t="inlineStr">
        <is>
          <t>SACOLA P OUI</t>
        </is>
      </c>
      <c r="B41" s="36" t="n">
        <v>150</v>
      </c>
      <c r="C41" s="668" t="n">
        <v>469.25</v>
      </c>
      <c r="D41" s="329" t="n"/>
      <c r="F41" s="38">
        <f>0+18+5</f>
        <v/>
      </c>
      <c r="G41" s="38" t="n">
        <v>23</v>
      </c>
      <c r="H41" s="38" t="n">
        <v>23</v>
      </c>
      <c r="I41" s="38" t="n">
        <v>23</v>
      </c>
      <c r="J41" s="38" t="n">
        <v>23</v>
      </c>
      <c r="K41" s="38" t="n">
        <v>23</v>
      </c>
      <c r="L41" s="38" t="n">
        <v>23</v>
      </c>
      <c r="M41" s="38" t="n">
        <v>23</v>
      </c>
      <c r="N41" s="38" t="n">
        <v>23</v>
      </c>
      <c r="O41" s="38" t="n">
        <v>23</v>
      </c>
      <c r="P41" s="38" t="n">
        <v>23</v>
      </c>
      <c r="Q41" s="38" t="n">
        <v>23</v>
      </c>
      <c r="R41" s="38" t="n">
        <v>23</v>
      </c>
      <c r="S41" s="38" t="n">
        <v>23</v>
      </c>
      <c r="T41" s="38" t="n">
        <v>23</v>
      </c>
      <c r="U41" s="261" t="n">
        <v>9</v>
      </c>
      <c r="V41" s="38" t="n">
        <v>9</v>
      </c>
      <c r="W41" s="38" t="n">
        <v>9</v>
      </c>
      <c r="X41" s="38" t="n">
        <v>9</v>
      </c>
      <c r="Y41" s="261" t="n">
        <v>0</v>
      </c>
      <c r="Z41" s="38" t="n">
        <v>0</v>
      </c>
      <c r="AA41" s="38" t="n">
        <v>0</v>
      </c>
      <c r="AB41" s="38" t="n">
        <v>0</v>
      </c>
      <c r="AC41" s="38" t="n">
        <v>0</v>
      </c>
      <c r="AD41" s="38" t="n">
        <v>0</v>
      </c>
      <c r="AE41" s="38" t="n">
        <v>0</v>
      </c>
      <c r="AF41" s="38" t="n">
        <v>0</v>
      </c>
      <c r="AG41" s="38" t="n">
        <v>0</v>
      </c>
      <c r="AH41" s="38" t="n">
        <v>0</v>
      </c>
      <c r="AI41" s="38" t="n">
        <v>0</v>
      </c>
      <c r="AJ41" s="38" t="n">
        <v>0</v>
      </c>
      <c r="AK41" s="38" t="n">
        <v>0</v>
      </c>
      <c r="AL41" s="154">
        <f>AJ41+IF(NOT(ISBLANK(OFFSET(AL41,0,6))),N(OFFSET(AL41,0,6)),N(OFFSET(AL41,0,7)))-AK41</f>
        <v/>
      </c>
      <c r="AN41" s="233" t="inlineStr">
        <is>
          <t>05 DE ER PB</t>
        </is>
      </c>
      <c r="AP41" s="19" t="n"/>
      <c r="AQ41" s="51" t="n"/>
      <c r="AR41" s="18" t="n">
        <v>0</v>
      </c>
      <c r="AS41" s="18" t="n">
        <v>0</v>
      </c>
      <c r="AT41" s="18" t="n"/>
      <c r="AU41" s="18" t="n"/>
      <c r="AV41" s="18" t="n"/>
      <c r="AW41" s="18" t="n"/>
      <c r="AX41" s="18" t="n"/>
      <c r="AY41" s="18" t="n"/>
      <c r="AZ41" s="18" t="n"/>
      <c r="BA41" s="18" t="n"/>
      <c r="BB41" s="18" t="n"/>
      <c r="BC41" s="18" t="n"/>
      <c r="BD41" s="18" t="n"/>
      <c r="BE41" s="18" t="n"/>
      <c r="BF41" s="18" t="n"/>
      <c r="BG41" s="18" t="n"/>
      <c r="BH41" s="18" t="n"/>
      <c r="BI41" s="18" t="n"/>
      <c r="BJ41" s="18" t="n"/>
      <c r="BK41" s="18" t="n"/>
      <c r="BL41" s="18" t="n"/>
      <c r="BM41" s="18" t="n"/>
      <c r="BN41" s="18" t="n"/>
      <c r="BO41" s="18" t="n"/>
      <c r="BP41" s="18" t="n"/>
      <c r="BQ41" s="18" t="n"/>
      <c r="BR41" s="18" t="n"/>
      <c r="BS41" s="18" t="n"/>
      <c r="BT41" s="256" t="n"/>
      <c r="BU41" s="154" t="inlineStr">
        <is>
          <t>18 DE ER PG + 05 DE ER PB</t>
        </is>
      </c>
    </row>
    <row r="42" ht="18.75" customFormat="1" customHeight="1" s="3">
      <c r="A42" s="43" t="inlineStr">
        <is>
          <t>SACOLA M OUI</t>
        </is>
      </c>
      <c r="B42" s="36" t="n">
        <v>100</v>
      </c>
      <c r="C42" s="668" t="n">
        <v>368.23</v>
      </c>
      <c r="D42" s="329" t="n"/>
      <c r="F42" s="38">
        <f>0+5</f>
        <v/>
      </c>
      <c r="G42" s="38" t="n">
        <v>5</v>
      </c>
      <c r="H42" s="38" t="n">
        <v>5</v>
      </c>
      <c r="I42" s="38" t="n">
        <v>4</v>
      </c>
      <c r="J42" s="38" t="n">
        <v>4</v>
      </c>
      <c r="K42" s="38" t="n">
        <v>3</v>
      </c>
      <c r="L42" s="38" t="n">
        <v>3</v>
      </c>
      <c r="M42" s="38" t="n">
        <v>3</v>
      </c>
      <c r="N42" s="38" t="n">
        <v>3</v>
      </c>
      <c r="O42" s="38" t="n">
        <v>3</v>
      </c>
      <c r="P42" s="38" t="n">
        <v>3</v>
      </c>
      <c r="Q42" s="38" t="n">
        <v>3</v>
      </c>
      <c r="R42" s="38" t="n">
        <v>3</v>
      </c>
      <c r="S42" s="38" t="n">
        <v>2</v>
      </c>
      <c r="T42" s="38" t="n">
        <v>2</v>
      </c>
      <c r="U42" s="38" t="n">
        <v>2</v>
      </c>
      <c r="V42" s="38" t="n">
        <v>2</v>
      </c>
      <c r="W42" s="38" t="n">
        <v>2</v>
      </c>
      <c r="X42" s="38" t="n">
        <v>2</v>
      </c>
      <c r="Y42" s="261" t="n">
        <v>0</v>
      </c>
      <c r="Z42" s="38" t="n">
        <v>0</v>
      </c>
      <c r="AA42" s="38" t="n">
        <v>0</v>
      </c>
      <c r="AB42" s="38" t="n">
        <v>0</v>
      </c>
      <c r="AC42" s="38" t="n">
        <v>0</v>
      </c>
      <c r="AD42" s="38" t="n">
        <v>0</v>
      </c>
      <c r="AE42" s="38" t="n">
        <v>0</v>
      </c>
      <c r="AF42" s="38" t="n">
        <v>0</v>
      </c>
      <c r="AG42" s="38" t="n">
        <v>0</v>
      </c>
      <c r="AH42" s="38" t="n">
        <v>0</v>
      </c>
      <c r="AI42" s="38" t="n">
        <v>0</v>
      </c>
      <c r="AJ42" s="38" t="n">
        <v>0</v>
      </c>
      <c r="AK42" s="38" t="n">
        <v>0</v>
      </c>
      <c r="AL42" s="154">
        <f>AJ42+IF(NOT(ISBLANK(OFFSET(AL42,0,6))),N(OFFSET(AL42,0,6)),N(OFFSET(AL42,0,7)))-AK42</f>
        <v/>
      </c>
      <c r="AM42" s="6" t="n"/>
      <c r="AN42" s="233" t="inlineStr">
        <is>
          <t>05 DE ER PB</t>
        </is>
      </c>
      <c r="AO42" s="49" t="n"/>
      <c r="AP42" s="19" t="n"/>
      <c r="AQ42" s="49" t="n"/>
      <c r="AR42" s="18" t="n">
        <v>0</v>
      </c>
      <c r="AS42" s="18" t="n">
        <v>0</v>
      </c>
      <c r="AT42" s="18" t="n"/>
      <c r="AU42" s="18" t="n"/>
      <c r="AV42" s="18" t="n"/>
      <c r="AW42" s="18" t="n"/>
      <c r="AX42" s="18" t="n"/>
      <c r="AY42" s="18" t="n"/>
      <c r="AZ42" s="18" t="n"/>
      <c r="BA42" s="18" t="n"/>
      <c r="BB42" s="18" t="n"/>
      <c r="BC42" s="18" t="n"/>
      <c r="BD42" s="18" t="n"/>
      <c r="BE42" s="18" t="n"/>
      <c r="BF42" s="18" t="n"/>
      <c r="BG42" s="18" t="n"/>
      <c r="BH42" s="18" t="n"/>
      <c r="BI42" s="18" t="n"/>
      <c r="BJ42" s="18" t="n"/>
      <c r="BK42" s="18" t="n"/>
      <c r="BL42" s="18" t="n"/>
      <c r="BM42" s="18" t="n"/>
      <c r="BN42" s="18" t="n"/>
      <c r="BO42" s="18" t="n"/>
      <c r="BP42" s="18" t="n"/>
      <c r="BQ42" s="18" t="n"/>
      <c r="BR42" s="18" t="n"/>
      <c r="BS42" s="18" t="n"/>
      <c r="BT42" s="256" t="n"/>
      <c r="BU42" s="154" t="inlineStr">
        <is>
          <t>05 DE ER PBE</t>
        </is>
      </c>
    </row>
    <row r="43" ht="18.75" customFormat="1" customHeight="1" s="3">
      <c r="A43" s="43" t="inlineStr">
        <is>
          <t>SACOLA G OUI</t>
        </is>
      </c>
      <c r="B43" s="36" t="n">
        <v>50</v>
      </c>
      <c r="C43" s="668" t="n">
        <v>257.98</v>
      </c>
      <c r="D43" s="329" t="n"/>
      <c r="F43" s="38">
        <f>0+10</f>
        <v/>
      </c>
      <c r="G43" s="38" t="n">
        <v>10</v>
      </c>
      <c r="H43" s="38" t="n">
        <v>10</v>
      </c>
      <c r="I43" s="38" t="n">
        <v>10</v>
      </c>
      <c r="J43" s="38" t="n">
        <v>10</v>
      </c>
      <c r="K43" s="38" t="n">
        <v>10</v>
      </c>
      <c r="L43" s="38" t="n">
        <v>9</v>
      </c>
      <c r="M43" s="38" t="n">
        <v>8</v>
      </c>
      <c r="N43" s="38" t="n">
        <v>8</v>
      </c>
      <c r="O43" s="38" t="n">
        <v>8</v>
      </c>
      <c r="P43" s="38" t="n">
        <v>8</v>
      </c>
      <c r="Q43" s="38" t="n">
        <v>8</v>
      </c>
      <c r="R43" s="38" t="n">
        <v>8</v>
      </c>
      <c r="S43" s="38" t="n">
        <v>8</v>
      </c>
      <c r="T43" s="38" t="n">
        <v>8</v>
      </c>
      <c r="U43" s="261" t="n">
        <v>0</v>
      </c>
      <c r="V43" s="38" t="n">
        <v>0</v>
      </c>
      <c r="W43" s="38" t="n">
        <v>0</v>
      </c>
      <c r="X43" s="38" t="n">
        <v>0</v>
      </c>
      <c r="Y43" s="261" t="n">
        <v>0</v>
      </c>
      <c r="Z43" s="38" t="n">
        <v>0</v>
      </c>
      <c r="AA43" s="38" t="n">
        <v>0</v>
      </c>
      <c r="AB43" s="38" t="n">
        <v>0</v>
      </c>
      <c r="AC43" s="38" t="n">
        <v>0</v>
      </c>
      <c r="AD43" s="38" t="n">
        <v>0</v>
      </c>
      <c r="AE43" s="38" t="n">
        <v>0</v>
      </c>
      <c r="AF43" s="38" t="n">
        <v>0</v>
      </c>
      <c r="AG43" s="38" t="n">
        <v>0</v>
      </c>
      <c r="AH43" s="38" t="n">
        <v>0</v>
      </c>
      <c r="AI43" s="38" t="n">
        <v>0</v>
      </c>
      <c r="AJ43" s="38" t="n">
        <v>0</v>
      </c>
      <c r="AK43" s="38" t="n">
        <v>0</v>
      </c>
      <c r="AL43" s="154">
        <f>AJ43+IF(NOT(ISBLANK(OFFSET(AL43,0,6))),N(OFFSET(AL43,0,6)),N(OFFSET(AL43,0,7)))-AK43</f>
        <v/>
      </c>
      <c r="AM43" s="53" t="n"/>
      <c r="AN43" s="233" t="inlineStr">
        <is>
          <t>05 DE ER PB</t>
        </is>
      </c>
      <c r="AO43" s="49" t="n"/>
      <c r="AP43" s="19" t="n"/>
      <c r="AQ43" s="49" t="n"/>
      <c r="AR43" s="18" t="n">
        <v>0</v>
      </c>
      <c r="AS43" s="18" t="n">
        <v>0</v>
      </c>
      <c r="AT43" s="18" t="n"/>
      <c r="AU43" s="18" t="n"/>
      <c r="AV43" s="18" t="n"/>
      <c r="AW43" s="18" t="n"/>
      <c r="AX43" s="18" t="n"/>
      <c r="AY43" s="18" t="n"/>
      <c r="AZ43" s="18" t="n"/>
      <c r="BA43" s="18" t="n"/>
      <c r="BB43" s="18" t="n"/>
      <c r="BC43" s="18" t="n"/>
      <c r="BD43" s="18" t="n"/>
      <c r="BE43" s="18" t="n"/>
      <c r="BF43" s="18" t="n"/>
      <c r="BG43" s="18" t="n"/>
      <c r="BH43" s="18" t="n"/>
      <c r="BI43" s="18" t="n"/>
      <c r="BJ43" s="18" t="n"/>
      <c r="BK43" s="18" t="n"/>
      <c r="BL43" s="18" t="n"/>
      <c r="BM43" s="18" t="n"/>
      <c r="BN43" s="18" t="n"/>
      <c r="BO43" s="18" t="n"/>
      <c r="BP43" s="18" t="n"/>
      <c r="BQ43" s="18" t="n"/>
      <c r="BR43" s="18" t="n"/>
      <c r="BS43" s="18" t="n"/>
      <c r="BT43" s="256" t="n"/>
      <c r="BU43" s="154" t="inlineStr">
        <is>
          <t>10 DE ER PG</t>
        </is>
      </c>
    </row>
    <row r="44" ht="18.75" customHeight="1">
      <c r="A44" s="43" t="inlineStr">
        <is>
          <t>PAPEL DE SEDA OUI</t>
        </is>
      </c>
      <c r="B44" s="36" t="n">
        <v>500</v>
      </c>
      <c r="C44" s="668" t="n">
        <v>143.38</v>
      </c>
      <c r="D44" s="329" t="n"/>
      <c r="F44" s="38" t="n">
        <v>0</v>
      </c>
      <c r="G44" s="38">
        <f>0+BS44</f>
        <v/>
      </c>
      <c r="H44" s="38" t="n">
        <v>1</v>
      </c>
      <c r="I44" s="38" t="n">
        <v>0</v>
      </c>
      <c r="J44" s="38">
        <f>0+BQ44</f>
        <v/>
      </c>
      <c r="K44" s="38" t="n">
        <v>0</v>
      </c>
      <c r="L44" s="38" t="n">
        <v>0</v>
      </c>
      <c r="M44" s="38" t="n">
        <v>2</v>
      </c>
      <c r="N44" s="38" t="n">
        <v>1</v>
      </c>
      <c r="O44" s="38" t="n">
        <v>1</v>
      </c>
      <c r="P44" s="38" t="n">
        <v>1</v>
      </c>
      <c r="Q44" s="38" t="n">
        <v>1</v>
      </c>
      <c r="R44" s="38" t="n">
        <v>2</v>
      </c>
      <c r="S44" s="38" t="n">
        <v>2</v>
      </c>
      <c r="T44" s="38" t="n">
        <v>0</v>
      </c>
      <c r="U44" s="38" t="n">
        <v>0</v>
      </c>
      <c r="V44" s="38" t="n">
        <v>0</v>
      </c>
      <c r="W44" s="38" t="n">
        <v>0</v>
      </c>
      <c r="X44" s="38" t="n">
        <v>0</v>
      </c>
      <c r="Y44" s="38" t="n">
        <v>0</v>
      </c>
      <c r="Z44" s="38" t="n">
        <v>0</v>
      </c>
      <c r="AA44" s="38" t="n">
        <v>0</v>
      </c>
      <c r="AB44" s="38" t="n">
        <v>0</v>
      </c>
      <c r="AC44" s="38" t="n">
        <v>0</v>
      </c>
      <c r="AD44" s="38" t="n">
        <v>0</v>
      </c>
      <c r="AE44" s="38" t="n">
        <v>0</v>
      </c>
      <c r="AF44" s="38" t="n">
        <v>0</v>
      </c>
      <c r="AG44" s="38" t="n">
        <v>0</v>
      </c>
      <c r="AH44" s="38" t="n">
        <v>0</v>
      </c>
      <c r="AI44" s="38" t="n">
        <v>0</v>
      </c>
      <c r="AJ44" s="38" t="n"/>
      <c r="AK44" s="38" t="n"/>
      <c r="AL44" s="154">
        <f>AJ44+IF(NOT(ISBLANK(OFFSET(AL44,0,6))),N(OFFSET(AL44,0,6)),N(OFFSET(AL44,0,7)))-AK44</f>
        <v/>
      </c>
      <c r="AN44" s="19" t="n"/>
      <c r="AP44" s="27" t="n"/>
      <c r="AR44" s="18" t="n">
        <v>0</v>
      </c>
      <c r="AS44" s="18" t="n">
        <v>0</v>
      </c>
      <c r="AT44" s="18" t="n"/>
      <c r="AU44" s="18" t="n"/>
      <c r="AV44" s="18" t="n"/>
      <c r="AW44" s="18" t="n"/>
      <c r="AX44" s="18" t="n"/>
      <c r="AY44" s="18" t="n"/>
      <c r="AZ44" s="18" t="n"/>
      <c r="BA44" s="18" t="n"/>
      <c r="BB44" s="18" t="n"/>
      <c r="BC44" s="18" t="n"/>
      <c r="BD44" s="18" t="n"/>
      <c r="BE44" s="18" t="n"/>
      <c r="BF44" s="18" t="n"/>
      <c r="BG44" s="18" t="n"/>
      <c r="BH44" s="18" t="n"/>
      <c r="BI44" s="18" t="n"/>
      <c r="BJ44" s="18" t="n"/>
      <c r="BK44" s="18" t="n"/>
      <c r="BL44" s="18" t="n"/>
      <c r="BM44" s="18" t="n"/>
      <c r="BN44" s="18" t="n">
        <v>2</v>
      </c>
      <c r="BO44" s="18" t="n"/>
      <c r="BP44" s="18" t="n"/>
      <c r="BQ44" s="18" t="n">
        <v>2</v>
      </c>
      <c r="BR44" s="18" t="n"/>
      <c r="BS44" s="18" t="n">
        <v>1</v>
      </c>
      <c r="BT44" s="256" t="n"/>
      <c r="BU44" s="256" t="n"/>
    </row>
    <row r="45" ht="18.75" customHeight="1">
      <c r="A45" s="33" t="inlineStr">
        <is>
          <t>ETIQUETA OUI</t>
        </is>
      </c>
      <c r="B45" s="9" t="n">
        <v>1000</v>
      </c>
      <c r="C45" s="662" t="n">
        <v>187.49</v>
      </c>
      <c r="D45" s="329" t="n"/>
      <c r="E45" s="2" t="n"/>
      <c r="F45" s="38" t="n">
        <v>0</v>
      </c>
      <c r="G45" s="38">
        <f>0+BS45</f>
        <v/>
      </c>
      <c r="H45" s="38" t="n">
        <v>1</v>
      </c>
      <c r="I45" s="38" t="n">
        <v>0</v>
      </c>
      <c r="J45" s="38">
        <f>0+BQ45</f>
        <v/>
      </c>
      <c r="K45" s="38" t="n">
        <v>0</v>
      </c>
      <c r="L45" s="38" t="n">
        <v>0</v>
      </c>
      <c r="M45" s="38" t="n">
        <v>2</v>
      </c>
      <c r="N45" s="38" t="n">
        <v>1</v>
      </c>
      <c r="O45" s="38" t="n">
        <v>1</v>
      </c>
      <c r="P45" s="38" t="n">
        <v>1</v>
      </c>
      <c r="Q45" s="38" t="n">
        <v>1</v>
      </c>
      <c r="R45" s="38" t="n">
        <v>2</v>
      </c>
      <c r="S45" s="38">
        <f>2-1-1</f>
        <v/>
      </c>
      <c r="T45" s="38" t="n">
        <v>0</v>
      </c>
      <c r="U45" s="38" t="n">
        <v>0</v>
      </c>
      <c r="V45" s="38" t="n">
        <v>0</v>
      </c>
      <c r="W45" s="38" t="n">
        <v>0</v>
      </c>
      <c r="X45" s="38" t="n">
        <v>0</v>
      </c>
      <c r="Y45" s="38" t="n">
        <v>0</v>
      </c>
      <c r="Z45" s="38" t="n">
        <v>0</v>
      </c>
      <c r="AA45" s="38" t="n">
        <v>0</v>
      </c>
      <c r="AB45" s="38" t="n">
        <v>0</v>
      </c>
      <c r="AC45" s="38" t="n">
        <v>0</v>
      </c>
      <c r="AD45" s="38" t="n">
        <v>0</v>
      </c>
      <c r="AE45" s="38" t="n">
        <v>0</v>
      </c>
      <c r="AF45" s="38" t="n">
        <v>0</v>
      </c>
      <c r="AG45" s="38" t="n">
        <v>0</v>
      </c>
      <c r="AH45" s="38" t="n">
        <v>0</v>
      </c>
      <c r="AI45" s="38" t="n">
        <v>0</v>
      </c>
      <c r="AJ45" s="38" t="n"/>
      <c r="AK45" s="38" t="n"/>
      <c r="AL45" s="154">
        <f>AJ45+IF(NOT(ISBLANK(OFFSET(AL45,0,6))),N(OFFSET(AL45,0,6)),N(OFFSET(AL45,0,7)))-AK45</f>
        <v/>
      </c>
      <c r="AN45" s="128" t="n"/>
      <c r="AO45" s="4" t="n"/>
      <c r="AP45" s="27" t="n"/>
      <c r="AQ45" s="4" t="n"/>
      <c r="AR45" s="18" t="n">
        <v>0</v>
      </c>
      <c r="AS45" s="18" t="n">
        <v>0</v>
      </c>
      <c r="AT45" s="18" t="n"/>
      <c r="AU45" s="18" t="n"/>
      <c r="AV45" s="18" t="n"/>
      <c r="AW45" s="18" t="n"/>
      <c r="AX45" s="18" t="n"/>
      <c r="AY45" s="18" t="n"/>
      <c r="AZ45" s="18" t="n"/>
      <c r="BA45" s="18" t="n"/>
      <c r="BB45" s="18" t="n"/>
      <c r="BC45" s="18" t="n"/>
      <c r="BD45" s="154" t="inlineStr">
        <is>
          <t>01 P/ ER PG + 01 P/ ER PB</t>
        </is>
      </c>
      <c r="BE45" s="18" t="n"/>
      <c r="BF45" s="18" t="n"/>
      <c r="BG45" s="18" t="n"/>
      <c r="BH45" s="18" t="n"/>
      <c r="BI45" s="18" t="n"/>
      <c r="BJ45" s="18" t="n"/>
      <c r="BK45" s="18" t="n"/>
      <c r="BL45" s="18" t="n"/>
      <c r="BM45" s="18" t="n"/>
      <c r="BN45" s="18" t="n">
        <v>2</v>
      </c>
      <c r="BO45" s="18" t="n"/>
      <c r="BP45" s="18" t="n"/>
      <c r="BQ45" s="18" t="n">
        <v>2</v>
      </c>
      <c r="BR45" s="18" t="n"/>
      <c r="BS45" s="18" t="n">
        <v>1</v>
      </c>
      <c r="BT45" s="256" t="n"/>
      <c r="BU45" s="256" t="n"/>
    </row>
    <row r="46" ht="18.75" customHeight="1">
      <c r="A46" s="33" t="inlineStr">
        <is>
          <t>LÂMINA OLFATIVA OUI</t>
        </is>
      </c>
      <c r="B46" s="9" t="n">
        <v>3000</v>
      </c>
      <c r="C46" s="662" t="n">
        <v>231.61</v>
      </c>
      <c r="D46" s="329" t="n"/>
      <c r="E46" s="2" t="n"/>
      <c r="F46" s="38" t="n">
        <v>0</v>
      </c>
      <c r="G46" s="38" t="n">
        <v>0</v>
      </c>
      <c r="H46" s="38" t="n">
        <v>0</v>
      </c>
      <c r="I46" s="38" t="n">
        <v>0</v>
      </c>
      <c r="J46" s="38" t="n">
        <v>0</v>
      </c>
      <c r="K46" s="38" t="n">
        <v>0</v>
      </c>
      <c r="L46" s="38" t="n">
        <v>0</v>
      </c>
      <c r="M46" s="38" t="n">
        <v>4</v>
      </c>
      <c r="N46" s="38" t="n">
        <v>0</v>
      </c>
      <c r="O46" s="38" t="n">
        <v>0</v>
      </c>
      <c r="P46" s="38" t="n">
        <v>0</v>
      </c>
      <c r="Q46" s="38" t="n">
        <v>0</v>
      </c>
      <c r="R46" s="38" t="n">
        <v>4</v>
      </c>
      <c r="S46" s="38">
        <f>4-2-1</f>
        <v/>
      </c>
      <c r="T46" s="38" t="n">
        <v>1</v>
      </c>
      <c r="U46" s="38" t="n">
        <v>1</v>
      </c>
      <c r="V46" s="38" t="n">
        <v>1</v>
      </c>
      <c r="W46" s="38" t="n">
        <v>1</v>
      </c>
      <c r="X46" s="38" t="n">
        <v>1</v>
      </c>
      <c r="Y46" s="38" t="n">
        <v>1</v>
      </c>
      <c r="Z46" s="38" t="n">
        <v>1</v>
      </c>
      <c r="AA46" s="38" t="n">
        <v>1</v>
      </c>
      <c r="AB46" s="38" t="n">
        <v>1</v>
      </c>
      <c r="AC46" s="38" t="n">
        <v>1</v>
      </c>
      <c r="AD46" s="38" t="n">
        <v>1</v>
      </c>
      <c r="AE46" s="38" t="n">
        <v>1</v>
      </c>
      <c r="AF46" s="38" t="n">
        <v>1</v>
      </c>
      <c r="AG46" s="38" t="n">
        <v>1</v>
      </c>
      <c r="AH46" s="38" t="n">
        <v>1</v>
      </c>
      <c r="AI46" s="38" t="n">
        <v>1</v>
      </c>
      <c r="AJ46" s="38" t="n"/>
      <c r="AK46" s="38" t="n"/>
      <c r="AL46" s="154">
        <f>AJ46+IF(NOT(ISBLANK(OFFSET(AL46,0,6))),N(OFFSET(AL46,0,6)),N(OFFSET(AL46,0,7)))-AK46</f>
        <v/>
      </c>
      <c r="AN46" s="128" t="n"/>
      <c r="AO46" s="4" t="n"/>
      <c r="AP46" s="27" t="n"/>
      <c r="AQ46" s="4" t="n"/>
      <c r="AR46" s="18" t="n">
        <v>0</v>
      </c>
      <c r="AS46" s="18" t="n">
        <v>0</v>
      </c>
      <c r="AT46" s="18" t="n"/>
      <c r="AU46" s="18" t="n"/>
      <c r="AV46" s="18" t="n"/>
      <c r="AW46" s="18" t="n"/>
      <c r="AX46" s="18" t="n"/>
      <c r="AY46" s="18" t="n"/>
      <c r="AZ46" s="18" t="n"/>
      <c r="BA46" s="18" t="n"/>
      <c r="BB46" s="18" t="n"/>
      <c r="BC46" s="18" t="n"/>
      <c r="BD46" s="154" t="inlineStr">
        <is>
          <t>02 P/ ER PG + 01 P/ ER PB</t>
        </is>
      </c>
      <c r="BE46" s="18" t="n"/>
      <c r="BF46" s="18" t="n"/>
      <c r="BG46" s="18" t="n"/>
      <c r="BH46" s="18" t="n"/>
      <c r="BI46" s="18" t="n"/>
      <c r="BJ46" s="18" t="n"/>
      <c r="BK46" s="18" t="n"/>
      <c r="BL46" s="18" t="n"/>
      <c r="BM46" s="18" t="n"/>
      <c r="BN46" s="18" t="n"/>
      <c r="BO46" s="18" t="n"/>
      <c r="BP46" s="18" t="n"/>
      <c r="BQ46" s="18" t="n"/>
      <c r="BR46" s="18" t="n"/>
      <c r="BS46" s="18" t="n"/>
      <c r="BT46" s="256" t="n"/>
      <c r="BU46" s="256" t="n"/>
    </row>
    <row r="47" ht="18.75" customHeight="1">
      <c r="A47" s="43" t="inlineStr">
        <is>
          <t>SACO M OUI (BRINDE)</t>
        </is>
      </c>
      <c r="B47" s="36" t="n">
        <v>200</v>
      </c>
      <c r="C47" s="662" t="n">
        <v>258.52</v>
      </c>
      <c r="D47" s="329" t="n"/>
      <c r="F47" s="38" t="n">
        <v>0</v>
      </c>
      <c r="G47" s="38" t="n">
        <v>0</v>
      </c>
      <c r="H47" s="38" t="n">
        <v>0</v>
      </c>
      <c r="I47" s="38" t="n">
        <v>0</v>
      </c>
      <c r="J47" s="261" t="n">
        <v>200</v>
      </c>
      <c r="K47" s="38" t="n">
        <v>180</v>
      </c>
      <c r="L47" s="38" t="n">
        <v>180</v>
      </c>
      <c r="M47" s="38" t="n">
        <v>180</v>
      </c>
      <c r="N47" s="38" t="n">
        <v>160</v>
      </c>
      <c r="O47" s="38" t="n">
        <v>160</v>
      </c>
      <c r="P47" s="38" t="n">
        <v>160</v>
      </c>
      <c r="Q47" s="38" t="n">
        <v>120</v>
      </c>
      <c r="R47" s="38" t="n">
        <v>120</v>
      </c>
      <c r="S47" s="38" t="n">
        <v>120</v>
      </c>
      <c r="T47" s="38" t="n">
        <v>120</v>
      </c>
      <c r="U47" s="38" t="n">
        <v>120</v>
      </c>
      <c r="V47" s="38" t="n">
        <v>120</v>
      </c>
      <c r="W47" s="38" t="n">
        <v>120</v>
      </c>
      <c r="X47" s="38" t="n">
        <v>120</v>
      </c>
      <c r="Y47" s="38" t="n">
        <v>120</v>
      </c>
      <c r="Z47" s="38" t="n">
        <v>120</v>
      </c>
      <c r="AA47" s="38" t="n">
        <v>120</v>
      </c>
      <c r="AB47" s="38" t="n">
        <v>120</v>
      </c>
      <c r="AC47" s="38" t="n">
        <v>0</v>
      </c>
      <c r="AD47" s="38" t="n">
        <v>0</v>
      </c>
      <c r="AE47" s="38" t="n">
        <v>0</v>
      </c>
      <c r="AF47" s="38" t="n">
        <v>0</v>
      </c>
      <c r="AG47" s="38" t="n">
        <v>0</v>
      </c>
      <c r="AH47" s="38" t="n">
        <v>0</v>
      </c>
      <c r="AI47" s="38" t="n">
        <v>0</v>
      </c>
      <c r="AJ47" s="38" t="n"/>
      <c r="AK47" s="38" t="n"/>
      <c r="AL47" s="154">
        <f>AJ47+IF(NOT(ISBLANK(OFFSET(AL47,0,6))),N(OFFSET(AL47,0,6)),N(OFFSET(AL47,0,7)))-AK47</f>
        <v/>
      </c>
      <c r="AN47" s="485" t="inlineStr">
        <is>
          <t>100 DE ER PBE</t>
        </is>
      </c>
      <c r="AP47" s="27" t="n"/>
      <c r="AR47" s="18" t="n">
        <v>0</v>
      </c>
      <c r="AS47" s="18" t="n">
        <v>0</v>
      </c>
      <c r="AT47" s="18" t="n"/>
      <c r="AU47" s="18" t="n"/>
      <c r="AV47" s="18" t="n"/>
      <c r="AW47" s="18" t="n"/>
      <c r="AX47" s="18" t="n"/>
      <c r="AY47" s="18" t="n"/>
      <c r="AZ47" s="18" t="n"/>
      <c r="BA47" s="18" t="n"/>
      <c r="BB47" s="18" t="n"/>
      <c r="BC47" s="18" t="n"/>
      <c r="BD47" s="18" t="n"/>
      <c r="BE47" s="18" t="n"/>
      <c r="BF47" s="18" t="n"/>
      <c r="BG47" s="18" t="n"/>
      <c r="BH47" s="18" t="n"/>
      <c r="BI47" s="18" t="n"/>
      <c r="BJ47" s="18" t="n"/>
      <c r="BK47" s="18" t="n"/>
      <c r="BL47" s="18" t="n"/>
      <c r="BM47" s="18" t="n"/>
      <c r="BN47" s="18" t="n"/>
      <c r="BO47" s="18" t="n"/>
      <c r="BP47" s="18" t="n"/>
      <c r="BQ47" s="18" t="n"/>
      <c r="BR47" s="18" t="n"/>
      <c r="BS47" s="18" t="n"/>
      <c r="BT47" s="256" t="n"/>
      <c r="BU47" s="256" t="n"/>
    </row>
    <row r="48" ht="18.75" customHeight="1">
      <c r="A48" s="6" t="n"/>
      <c r="AN48" s="69" t="n"/>
    </row>
    <row r="49" ht="18.75" customHeight="1">
      <c r="A49" s="586" t="inlineStr">
        <is>
          <t>CAIXAS OUI</t>
        </is>
      </c>
      <c r="B49" s="133" t="n"/>
      <c r="C49" s="133" t="n"/>
      <c r="D49" s="133" t="n"/>
      <c r="F49" s="650" t="n">
        <v>45950</v>
      </c>
      <c r="G49" s="650" t="n">
        <v>45957</v>
      </c>
      <c r="H49" s="650" t="n">
        <v>45933</v>
      </c>
      <c r="I49" s="650" t="n">
        <v>45971</v>
      </c>
      <c r="J49" s="650" t="n">
        <v>45978</v>
      </c>
      <c r="K49" s="650" t="n">
        <v>45985</v>
      </c>
      <c r="L49" s="650" t="n">
        <v>45992</v>
      </c>
      <c r="M49" s="650" t="n">
        <v>45999</v>
      </c>
      <c r="N49" s="650" t="n">
        <v>46006</v>
      </c>
      <c r="O49" s="650" t="n">
        <v>46013</v>
      </c>
      <c r="P49" s="650" t="n">
        <v>46020</v>
      </c>
      <c r="Q49" s="650" t="n">
        <v>46027</v>
      </c>
      <c r="R49" s="650" t="n">
        <v>46034</v>
      </c>
      <c r="S49" s="650" t="n">
        <v>46041</v>
      </c>
      <c r="T49" s="650" t="n">
        <v>46048</v>
      </c>
      <c r="U49" s="650" t="n">
        <v>46055</v>
      </c>
      <c r="V49" s="650" t="n">
        <v>46062</v>
      </c>
      <c r="W49" s="650" t="n">
        <v>46069</v>
      </c>
      <c r="X49" s="650" t="n">
        <v>46076</v>
      </c>
      <c r="Y49" s="650" t="n">
        <v>46083</v>
      </c>
      <c r="Z49" s="650" t="n">
        <v>46090</v>
      </c>
      <c r="AA49" s="650" t="n">
        <v>46097</v>
      </c>
      <c r="AB49" s="650" t="n">
        <v>46104</v>
      </c>
      <c r="AC49" s="650" t="n">
        <v>46111</v>
      </c>
      <c r="AD49" s="650" t="n">
        <v>46118</v>
      </c>
      <c r="AE49" s="650" t="n">
        <v>46125</v>
      </c>
      <c r="AF49" s="650" t="n">
        <v>46132</v>
      </c>
      <c r="AG49" s="650" t="n">
        <v>46139</v>
      </c>
      <c r="AH49" s="650" t="n">
        <v>46146</v>
      </c>
      <c r="AI49" s="650" t="n">
        <v>46154</v>
      </c>
      <c r="AJ49" s="650" t="n">
        <v>46160</v>
      </c>
      <c r="AK49" s="650" t="n">
        <v>46160</v>
      </c>
      <c r="AL49" s="652" t="inlineStr">
        <is>
          <t>USOU</t>
        </is>
      </c>
      <c r="AN49" s="35" t="inlineStr">
        <is>
          <t>Pend.</t>
        </is>
      </c>
      <c r="AP49" s="12" t="inlineStr">
        <is>
          <t>Novo Pedido</t>
        </is>
      </c>
      <c r="AR49" s="654" t="n">
        <v>46156</v>
      </c>
      <c r="AS49" s="654" t="n">
        <v>46149</v>
      </c>
      <c r="AT49" s="654" t="n">
        <v>46114</v>
      </c>
      <c r="AU49" s="654" t="n">
        <v>46099</v>
      </c>
      <c r="AV49" s="710" t="n">
        <v>46065</v>
      </c>
      <c r="AW49" s="654" t="n">
        <v>46092</v>
      </c>
      <c r="AX49" s="711" t="n">
        <v>46045</v>
      </c>
      <c r="AY49" s="654" t="n">
        <v>46077</v>
      </c>
      <c r="AZ49" s="654" t="n">
        <v>46071</v>
      </c>
      <c r="BA49" s="654" t="n">
        <v>46071</v>
      </c>
      <c r="BB49" s="654" t="n">
        <v>46056</v>
      </c>
      <c r="BC49" s="654" t="n">
        <v>46048</v>
      </c>
      <c r="BD49" s="655" t="n">
        <v>46041</v>
      </c>
      <c r="BE49" s="654" t="n">
        <v>46029</v>
      </c>
      <c r="BF49" s="654" t="n">
        <v>46372</v>
      </c>
      <c r="BG49" s="654" t="n">
        <v>46382</v>
      </c>
      <c r="BH49" s="654" t="n">
        <v>46007</v>
      </c>
      <c r="BI49" s="654" t="n">
        <v>46017</v>
      </c>
      <c r="BJ49" s="654" t="n">
        <v>46007</v>
      </c>
      <c r="BK49" s="654" t="n">
        <v>46001</v>
      </c>
      <c r="BL49" s="654" t="n">
        <v>46001</v>
      </c>
      <c r="BM49" s="654" t="n">
        <v>45994</v>
      </c>
      <c r="BN49" s="654" t="n">
        <v>45986</v>
      </c>
      <c r="BO49" s="654" t="n">
        <v>45980</v>
      </c>
      <c r="BP49" s="654" t="n">
        <v>45980</v>
      </c>
      <c r="BQ49" s="654" t="n">
        <v>45973</v>
      </c>
      <c r="BR49" s="655" t="n">
        <v>45967</v>
      </c>
      <c r="BS49" s="654" t="n">
        <v>45957</v>
      </c>
      <c r="BT49" s="732" t="n"/>
      <c r="BU49" s="655" t="n">
        <v>45950</v>
      </c>
    </row>
    <row r="50" ht="18.75" customHeight="1">
      <c r="A50" s="43" t="inlineStr">
        <is>
          <t>KIT CAIXA P OUI</t>
        </is>
      </c>
      <c r="B50" s="36" t="n">
        <v>100</v>
      </c>
      <c r="C50" s="668" t="n">
        <v>539.7</v>
      </c>
      <c r="D50" s="329" t="n"/>
      <c r="F50" s="38">
        <f>0+12</f>
        <v/>
      </c>
      <c r="G50" s="38" t="n">
        <v>12</v>
      </c>
      <c r="H50" s="38" t="n">
        <v>12</v>
      </c>
      <c r="I50" s="38" t="n">
        <v>12</v>
      </c>
      <c r="J50" s="38" t="n">
        <v>12</v>
      </c>
      <c r="K50" s="38" t="n">
        <v>12</v>
      </c>
      <c r="L50" s="38" t="n">
        <v>12</v>
      </c>
      <c r="M50" s="38" t="n">
        <v>12</v>
      </c>
      <c r="N50" s="38" t="n">
        <v>12</v>
      </c>
      <c r="O50" s="38" t="n">
        <v>12</v>
      </c>
      <c r="P50" s="38" t="n">
        <v>12</v>
      </c>
      <c r="Q50" s="38" t="n">
        <v>12</v>
      </c>
      <c r="R50" s="38" t="n">
        <v>12</v>
      </c>
      <c r="S50" s="38" t="n">
        <v>12</v>
      </c>
      <c r="T50" s="38" t="n">
        <v>12</v>
      </c>
      <c r="U50" s="261" t="n">
        <v>5</v>
      </c>
      <c r="V50" s="38" t="n">
        <v>5</v>
      </c>
      <c r="W50" s="38" t="n">
        <v>5</v>
      </c>
      <c r="X50" s="38" t="n">
        <v>5</v>
      </c>
      <c r="Y50" s="38" t="n">
        <v>5</v>
      </c>
      <c r="Z50" s="38" t="n">
        <v>5</v>
      </c>
      <c r="AA50" s="38" t="n">
        <v>5</v>
      </c>
      <c r="AB50" s="38" t="n">
        <v>5</v>
      </c>
      <c r="AC50" s="38" t="n">
        <v>5</v>
      </c>
      <c r="AD50" s="38" t="n">
        <v>5</v>
      </c>
      <c r="AE50" s="38" t="n">
        <v>5</v>
      </c>
      <c r="AF50" s="38" t="n">
        <v>5</v>
      </c>
      <c r="AG50" s="38" t="n">
        <v>5</v>
      </c>
      <c r="AH50" s="38" t="n">
        <v>5</v>
      </c>
      <c r="AI50" s="38" t="n">
        <v>5</v>
      </c>
      <c r="AJ50" s="38" t="n">
        <v>5</v>
      </c>
      <c r="AK50" s="38" t="n">
        <v>5</v>
      </c>
      <c r="AL50" s="154">
        <f>AJ50+IF(NOT(ISBLANK(OFFSET(AL50,0,6))),N(OFFSET(AL50,0,6)),N(OFFSET(AL50,0,7)))-AK50</f>
        <v/>
      </c>
      <c r="AN50" s="19" t="n"/>
      <c r="AP50" s="19" t="n"/>
      <c r="AR50" s="18" t="n">
        <v>0</v>
      </c>
      <c r="AS50" s="18" t="n">
        <v>0</v>
      </c>
      <c r="AT50" s="18" t="n"/>
      <c r="AU50" s="18" t="n"/>
      <c r="AV50" s="18" t="n"/>
      <c r="AW50" s="18" t="n"/>
      <c r="AX50" s="18" t="n"/>
      <c r="AY50" s="18" t="n"/>
      <c r="AZ50" s="18" t="n"/>
      <c r="BA50" s="18" t="n"/>
      <c r="BB50" s="18" t="n"/>
      <c r="BC50" s="18" t="n"/>
      <c r="BD50" s="18" t="n"/>
      <c r="BE50" s="18" t="n"/>
      <c r="BF50" s="18" t="n"/>
      <c r="BG50" s="18" t="n"/>
      <c r="BH50" s="18" t="n"/>
      <c r="BI50" s="18" t="n"/>
      <c r="BJ50" s="18" t="n"/>
      <c r="BK50" s="18" t="n"/>
      <c r="BL50" s="18" t="n"/>
      <c r="BM50" s="18" t="n"/>
      <c r="BN50" s="18" t="n"/>
      <c r="BO50" s="18" t="n"/>
      <c r="BP50" s="18" t="n"/>
      <c r="BQ50" s="18" t="n"/>
      <c r="BR50" s="18" t="n"/>
      <c r="BS50" s="18" t="n"/>
      <c r="BT50" s="256" t="n"/>
      <c r="BU50" s="154" t="inlineStr">
        <is>
          <t>12 DE ER PG</t>
        </is>
      </c>
    </row>
    <row r="51" ht="18.75" customHeight="1">
      <c r="A51" s="43" t="inlineStr">
        <is>
          <t>KIT CAIXA M OUI</t>
        </is>
      </c>
      <c r="B51" s="36" t="n">
        <v>100</v>
      </c>
      <c r="C51" s="668" t="n">
        <v>652.05</v>
      </c>
      <c r="D51" s="329" t="n"/>
      <c r="F51" s="38">
        <f>0+10</f>
        <v/>
      </c>
      <c r="G51" s="38" t="n">
        <v>10</v>
      </c>
      <c r="H51" s="38" t="n">
        <v>10</v>
      </c>
      <c r="I51" s="38" t="n">
        <v>10</v>
      </c>
      <c r="J51" s="38" t="n">
        <v>10</v>
      </c>
      <c r="K51" s="38" t="n">
        <v>10</v>
      </c>
      <c r="L51" s="38" t="n">
        <v>10</v>
      </c>
      <c r="M51" s="38" t="n">
        <v>10</v>
      </c>
      <c r="N51" s="38" t="n">
        <v>10</v>
      </c>
      <c r="O51" s="38" t="n">
        <v>10</v>
      </c>
      <c r="P51" s="38" t="n">
        <v>10</v>
      </c>
      <c r="Q51" s="38" t="n">
        <v>10</v>
      </c>
      <c r="R51" s="38" t="n">
        <v>10</v>
      </c>
      <c r="S51" s="38" t="n">
        <v>10</v>
      </c>
      <c r="T51" s="38" t="n">
        <v>10</v>
      </c>
      <c r="U51" s="261" t="n">
        <v>5</v>
      </c>
      <c r="V51" s="38" t="n">
        <v>5</v>
      </c>
      <c r="W51" s="38" t="n">
        <v>5</v>
      </c>
      <c r="X51" s="38" t="n">
        <v>5</v>
      </c>
      <c r="Y51" s="38" t="n">
        <v>4</v>
      </c>
      <c r="Z51" s="38" t="n">
        <v>4</v>
      </c>
      <c r="AA51" s="38" t="n">
        <v>4</v>
      </c>
      <c r="AB51" s="38" t="n">
        <v>3</v>
      </c>
      <c r="AC51" s="38" t="n">
        <v>3</v>
      </c>
      <c r="AD51" s="38" t="n">
        <v>3</v>
      </c>
      <c r="AE51" s="38" t="n">
        <v>3</v>
      </c>
      <c r="AF51" s="38" t="n">
        <v>3</v>
      </c>
      <c r="AG51" s="38" t="n">
        <v>3</v>
      </c>
      <c r="AH51" s="38" t="n">
        <v>3</v>
      </c>
      <c r="AI51" s="38" t="n">
        <v>2</v>
      </c>
      <c r="AJ51" s="38" t="n">
        <v>2</v>
      </c>
      <c r="AK51" s="38" t="n">
        <v>2</v>
      </c>
      <c r="AL51" s="154">
        <f>AJ51+IF(NOT(ISBLANK(OFFSET(AL51,0,6))),N(OFFSET(AL51,0,6)),N(OFFSET(AL51,0,7)))-AK51</f>
        <v/>
      </c>
      <c r="AM51" s="53" t="n"/>
      <c r="AN51" s="19" t="n"/>
      <c r="AP51" s="27" t="n"/>
      <c r="AR51" s="18" t="n">
        <v>0</v>
      </c>
      <c r="AS51" s="18" t="n">
        <v>0</v>
      </c>
      <c r="AT51" s="18" t="n"/>
      <c r="AU51" s="18" t="n"/>
      <c r="AV51" s="18" t="n"/>
      <c r="AW51" s="18" t="n"/>
      <c r="AX51" s="18" t="n"/>
      <c r="AY51" s="18" t="n"/>
      <c r="AZ51" s="18" t="n"/>
      <c r="BA51" s="18" t="n"/>
      <c r="BB51" s="18" t="n"/>
      <c r="BC51" s="18" t="n"/>
      <c r="BD51" s="18" t="n"/>
      <c r="BE51" s="18" t="n"/>
      <c r="BF51" s="18" t="n"/>
      <c r="BG51" s="18" t="n"/>
      <c r="BH51" s="18" t="n"/>
      <c r="BI51" s="18" t="n"/>
      <c r="BJ51" s="18" t="n"/>
      <c r="BK51" s="18" t="n"/>
      <c r="BL51" s="18" t="n"/>
      <c r="BM51" s="18" t="n"/>
      <c r="BN51" s="18" t="n"/>
      <c r="BO51" s="18" t="n"/>
      <c r="BP51" s="18" t="n"/>
      <c r="BQ51" s="18" t="n"/>
      <c r="BR51" s="18" t="n"/>
      <c r="BS51" s="18" t="n"/>
      <c r="BT51" s="256" t="n"/>
      <c r="BU51" s="154" t="inlineStr">
        <is>
          <t>10 DE ER PG</t>
        </is>
      </c>
    </row>
    <row r="52" ht="18.75" customHeight="1">
      <c r="A52" s="43" t="inlineStr">
        <is>
          <t>KIT CAIXA G OUI</t>
        </is>
      </c>
      <c r="B52" s="36" t="n">
        <v>50</v>
      </c>
      <c r="C52" s="668" t="n">
        <v>567.53</v>
      </c>
      <c r="D52" s="329" t="n"/>
      <c r="F52" s="38">
        <f>0+4</f>
        <v/>
      </c>
      <c r="G52" s="38" t="n">
        <v>4</v>
      </c>
      <c r="H52" s="38" t="n">
        <v>4</v>
      </c>
      <c r="I52" s="38" t="n">
        <v>4</v>
      </c>
      <c r="J52" s="38" t="n">
        <v>4</v>
      </c>
      <c r="K52" s="38" t="n">
        <v>4</v>
      </c>
      <c r="L52" s="38" t="n">
        <v>4</v>
      </c>
      <c r="M52" s="38" t="n">
        <v>4</v>
      </c>
      <c r="N52" s="38" t="n">
        <v>4</v>
      </c>
      <c r="O52" s="38" t="n">
        <v>4</v>
      </c>
      <c r="P52" s="38" t="n">
        <v>4</v>
      </c>
      <c r="Q52" s="38" t="n">
        <v>4</v>
      </c>
      <c r="R52" s="38" t="n">
        <v>4</v>
      </c>
      <c r="S52" s="38" t="n">
        <v>4</v>
      </c>
      <c r="T52" s="38" t="n">
        <v>4</v>
      </c>
      <c r="U52" s="38" t="n">
        <v>4</v>
      </c>
      <c r="V52" s="38" t="n">
        <v>4</v>
      </c>
      <c r="W52" s="38" t="n">
        <v>4</v>
      </c>
      <c r="X52" s="38" t="n">
        <v>4</v>
      </c>
      <c r="Y52" s="38" t="n">
        <v>3</v>
      </c>
      <c r="Z52" s="38" t="n">
        <v>2</v>
      </c>
      <c r="AA52" s="38" t="n">
        <v>2</v>
      </c>
      <c r="AB52" s="38" t="n">
        <v>2</v>
      </c>
      <c r="AC52" s="38" t="n">
        <v>2</v>
      </c>
      <c r="AD52" s="38" t="n">
        <v>3</v>
      </c>
      <c r="AE52" s="38" t="n">
        <v>3</v>
      </c>
      <c r="AF52" s="38" t="n">
        <v>3</v>
      </c>
      <c r="AG52" s="38" t="n">
        <v>3</v>
      </c>
      <c r="AH52" s="38" t="n">
        <v>3</v>
      </c>
      <c r="AI52" s="38" t="n">
        <v>3</v>
      </c>
      <c r="AJ52" s="38" t="n">
        <v>3</v>
      </c>
      <c r="AK52" s="38" t="n">
        <v>3</v>
      </c>
      <c r="AL52" s="154">
        <f>AJ52+IF(NOT(ISBLANK(OFFSET(AL52,0,6))),N(OFFSET(AL52,0,6)),N(OFFSET(AL52,0,7)))-AK52</f>
        <v/>
      </c>
      <c r="AN52" s="19" t="n"/>
      <c r="AP52" s="19" t="n"/>
      <c r="AR52" s="18" t="n">
        <v>0</v>
      </c>
      <c r="AS52" s="18" t="n">
        <v>0</v>
      </c>
      <c r="AT52" s="18" t="n"/>
      <c r="AU52" s="18" t="n"/>
      <c r="AV52" s="18" t="n"/>
      <c r="AW52" s="18" t="n"/>
      <c r="AX52" s="18" t="n"/>
      <c r="AY52" s="18" t="n"/>
      <c r="AZ52" s="18" t="n"/>
      <c r="BA52" s="18" t="n"/>
      <c r="BB52" s="18" t="n"/>
      <c r="BC52" s="18" t="n"/>
      <c r="BD52" s="18" t="n"/>
      <c r="BE52" s="18" t="n"/>
      <c r="BF52" s="18" t="n"/>
      <c r="BG52" s="18" t="n"/>
      <c r="BH52" s="18" t="n"/>
      <c r="BI52" s="18" t="n"/>
      <c r="BJ52" s="18" t="n"/>
      <c r="BK52" s="18" t="n"/>
      <c r="BL52" s="18" t="n"/>
      <c r="BM52" s="18" t="n"/>
      <c r="BN52" s="18" t="n"/>
      <c r="BO52" s="18" t="n"/>
      <c r="BP52" s="18" t="n"/>
      <c r="BQ52" s="18" t="n"/>
      <c r="BR52" s="18" t="n"/>
      <c r="BS52" s="18" t="n"/>
      <c r="BT52" s="256" t="n"/>
      <c r="BU52" s="154" t="inlineStr">
        <is>
          <t>04 DE ER PBE</t>
        </is>
      </c>
    </row>
    <row r="53" ht="18.75" customHeight="1" thickBot="1">
      <c r="B53" s="53" t="n"/>
      <c r="C53" s="724" t="n"/>
      <c r="D53" s="72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  <c r="AA53" s="4" t="n"/>
      <c r="AB53" s="4" t="n"/>
      <c r="AC53" s="4" t="n"/>
      <c r="AD53" s="4" t="n"/>
      <c r="AE53" s="4" t="n"/>
      <c r="AF53" s="4" t="n"/>
      <c r="AG53" s="4" t="n"/>
      <c r="AH53" s="4" t="n"/>
      <c r="AI53" s="4" t="n"/>
      <c r="AJ53" s="4" t="n"/>
      <c r="AK53" s="4" t="n"/>
      <c r="AL53" s="4" t="n"/>
      <c r="AN53" s="26" t="n"/>
      <c r="AP53" s="108" t="n"/>
      <c r="AR53" s="17" t="n"/>
      <c r="AS53" s="17" t="n"/>
      <c r="AT53" s="17" t="n"/>
      <c r="AU53" s="17" t="n"/>
      <c r="AV53" s="17" t="n"/>
      <c r="AW53" s="17" t="n"/>
      <c r="AX53" s="17" t="n"/>
      <c r="AY53" s="17" t="n"/>
      <c r="AZ53" s="17" t="n"/>
      <c r="BA53" s="17" t="n"/>
      <c r="BB53" s="17" t="n"/>
      <c r="BC53" s="17" t="n"/>
      <c r="BD53" s="17" t="n"/>
      <c r="BE53" s="17" t="n"/>
      <c r="BF53" s="17" t="n"/>
      <c r="BG53" s="17" t="n"/>
      <c r="BH53" s="17" t="n"/>
      <c r="BI53" s="17" t="n"/>
      <c r="BJ53" s="17" t="n"/>
      <c r="BK53" s="17" t="n"/>
      <c r="BL53" s="17" t="n"/>
      <c r="BM53" s="17" t="n"/>
      <c r="BN53" s="17" t="n"/>
      <c r="BO53" s="17" t="n"/>
      <c r="BP53" s="17" t="n"/>
      <c r="BQ53" s="17" t="n"/>
      <c r="BR53" s="17" t="n"/>
      <c r="BS53" s="17" t="n"/>
      <c r="BT53" s="271" t="n"/>
      <c r="BU53" s="271" t="n"/>
    </row>
    <row r="54" ht="18.75" customHeight="1">
      <c r="A54" s="585" t="inlineStr">
        <is>
          <t>SACOLAS E CAIXAS QDB</t>
        </is>
      </c>
      <c r="B54" s="135" t="n"/>
      <c r="C54" s="135" t="n"/>
      <c r="D54" s="135" t="n"/>
      <c r="F54" s="650" t="n">
        <v>45950</v>
      </c>
      <c r="G54" s="650" t="n">
        <v>45957</v>
      </c>
      <c r="H54" s="650" t="n">
        <v>45933</v>
      </c>
      <c r="I54" s="650" t="n">
        <v>45971</v>
      </c>
      <c r="J54" s="650" t="n">
        <v>45978</v>
      </c>
      <c r="K54" s="650" t="n">
        <v>45985</v>
      </c>
      <c r="L54" s="650" t="n">
        <v>45992</v>
      </c>
      <c r="M54" s="650" t="n">
        <v>45999</v>
      </c>
      <c r="N54" s="650" t="n">
        <v>46006</v>
      </c>
      <c r="O54" s="650" t="n">
        <v>46013</v>
      </c>
      <c r="P54" s="650" t="n">
        <v>46020</v>
      </c>
      <c r="Q54" s="650" t="n">
        <v>46027</v>
      </c>
      <c r="R54" s="650" t="n">
        <v>46034</v>
      </c>
      <c r="S54" s="650" t="n">
        <v>46041</v>
      </c>
      <c r="T54" s="650" t="n">
        <v>46048</v>
      </c>
      <c r="U54" s="650" t="n">
        <v>46055</v>
      </c>
      <c r="V54" s="650" t="n">
        <v>46062</v>
      </c>
      <c r="W54" s="650" t="n">
        <v>46069</v>
      </c>
      <c r="X54" s="650" t="n">
        <v>46076</v>
      </c>
      <c r="Y54" s="650" t="n">
        <v>46083</v>
      </c>
      <c r="Z54" s="650" t="n">
        <v>46090</v>
      </c>
      <c r="AA54" s="650" t="n">
        <v>46097</v>
      </c>
      <c r="AB54" s="650" t="n">
        <v>46104</v>
      </c>
      <c r="AC54" s="650" t="n">
        <v>46111</v>
      </c>
      <c r="AD54" s="650" t="n">
        <v>46118</v>
      </c>
      <c r="AE54" s="650" t="n">
        <v>46125</v>
      </c>
      <c r="AF54" s="650" t="n">
        <v>46132</v>
      </c>
      <c r="AG54" s="650" t="n">
        <v>46139</v>
      </c>
      <c r="AH54" s="650" t="n">
        <v>46146</v>
      </c>
      <c r="AI54" s="650" t="n">
        <v>46154</v>
      </c>
      <c r="AJ54" s="650" t="n">
        <v>46160</v>
      </c>
      <c r="AK54" s="650" t="n">
        <v>46160</v>
      </c>
      <c r="AL54" s="652" t="inlineStr">
        <is>
          <t>USOU</t>
        </is>
      </c>
      <c r="AN54" s="35" t="inlineStr">
        <is>
          <t>Pend.</t>
        </is>
      </c>
      <c r="AP54" s="12" t="inlineStr">
        <is>
          <t>Novo Pedido</t>
        </is>
      </c>
      <c r="AR54" s="654" t="n">
        <v>46156</v>
      </c>
      <c r="AS54" s="654" t="n">
        <v>46149</v>
      </c>
      <c r="AT54" s="654" t="n">
        <v>46114</v>
      </c>
      <c r="AU54" s="654" t="n">
        <v>46099</v>
      </c>
      <c r="AV54" s="710" t="n">
        <v>46065</v>
      </c>
      <c r="AW54" s="654" t="n">
        <v>46092</v>
      </c>
      <c r="AX54" s="711" t="n">
        <v>46045</v>
      </c>
      <c r="AY54" s="654" t="n">
        <v>46077</v>
      </c>
      <c r="AZ54" s="654" t="n">
        <v>46071</v>
      </c>
      <c r="BA54" s="654" t="n">
        <v>46071</v>
      </c>
      <c r="BB54" s="654" t="n">
        <v>46056</v>
      </c>
      <c r="BC54" s="654" t="n">
        <v>46048</v>
      </c>
      <c r="BD54" s="655" t="n">
        <v>46041</v>
      </c>
      <c r="BE54" s="654" t="n">
        <v>46029</v>
      </c>
      <c r="BF54" s="654" t="n">
        <v>46372</v>
      </c>
      <c r="BG54" s="654" t="n">
        <v>46382</v>
      </c>
      <c r="BH54" s="654" t="n">
        <v>46007</v>
      </c>
      <c r="BI54" s="654" t="n">
        <v>46017</v>
      </c>
      <c r="BJ54" s="654" t="n">
        <v>46007</v>
      </c>
      <c r="BK54" s="654" t="n">
        <v>46001</v>
      </c>
      <c r="BL54" s="654" t="n">
        <v>46001</v>
      </c>
      <c r="BM54" s="654" t="n">
        <v>45994</v>
      </c>
      <c r="BN54" s="654" t="n">
        <v>45986</v>
      </c>
      <c r="BO54" s="654" t="n">
        <v>45980</v>
      </c>
      <c r="BP54" s="654" t="n">
        <v>45980</v>
      </c>
      <c r="BQ54" s="654" t="n">
        <v>45973</v>
      </c>
      <c r="BR54" s="655" t="n">
        <v>45967</v>
      </c>
      <c r="BS54" s="654" t="n">
        <v>45957</v>
      </c>
      <c r="BT54" s="732" t="n"/>
      <c r="BU54" s="655" t="n">
        <v>45950</v>
      </c>
      <c r="BW54" s="733" t="inlineStr">
        <is>
          <t>Ñ FAZEMOS REPOSIÇÃO DE QDB</t>
        </is>
      </c>
      <c r="BX54" s="718" t="n"/>
    </row>
    <row r="55" ht="18.75" customHeight="1">
      <c r="A55" s="43" t="inlineStr">
        <is>
          <t>SACOLA P QDB</t>
        </is>
      </c>
      <c r="B55" s="149" t="n">
        <v>300</v>
      </c>
      <c r="C55" s="726" t="n">
        <v>178.29</v>
      </c>
      <c r="D55" s="329" t="n"/>
      <c r="F55" s="9" t="n">
        <v>0</v>
      </c>
      <c r="G55" s="9" t="n">
        <v>0</v>
      </c>
      <c r="H55" s="9" t="n">
        <v>0</v>
      </c>
      <c r="I55" s="9" t="n">
        <v>0</v>
      </c>
      <c r="J55" s="9" t="n">
        <v>0</v>
      </c>
      <c r="K55" s="9" t="n">
        <v>0</v>
      </c>
      <c r="L55" s="9" t="n">
        <v>0</v>
      </c>
      <c r="M55" s="9" t="n">
        <v>0</v>
      </c>
      <c r="N55" s="9" t="n">
        <v>0</v>
      </c>
      <c r="O55" s="9" t="n">
        <v>0</v>
      </c>
      <c r="P55" s="9" t="n">
        <v>0</v>
      </c>
      <c r="Q55" s="9" t="n">
        <v>0</v>
      </c>
      <c r="R55" s="9" t="n">
        <v>0</v>
      </c>
      <c r="S55" s="9" t="n">
        <v>0</v>
      </c>
      <c r="T55" s="9" t="n">
        <v>0</v>
      </c>
      <c r="U55" s="9" t="n">
        <v>0</v>
      </c>
      <c r="V55" s="9" t="n">
        <v>0</v>
      </c>
      <c r="W55" s="9" t="n">
        <v>0</v>
      </c>
      <c r="X55" s="9" t="n">
        <v>0</v>
      </c>
      <c r="Y55" s="9" t="n">
        <v>0</v>
      </c>
      <c r="Z55" s="9" t="n">
        <v>0</v>
      </c>
      <c r="AA55" s="9" t="n">
        <v>0</v>
      </c>
      <c r="AB55" s="9" t="n">
        <v>0</v>
      </c>
      <c r="AC55" s="9" t="n">
        <v>0</v>
      </c>
      <c r="AD55" s="9" t="n">
        <v>0</v>
      </c>
      <c r="AE55" s="9" t="n">
        <v>0</v>
      </c>
      <c r="AF55" s="9" t="n">
        <v>0</v>
      </c>
      <c r="AG55" s="9" t="n">
        <v>0</v>
      </c>
      <c r="AH55" s="9" t="n">
        <v>0</v>
      </c>
      <c r="AI55" s="9" t="n">
        <v>0</v>
      </c>
      <c r="AJ55" s="9" t="n"/>
      <c r="AK55" s="9" t="n"/>
      <c r="AL55" s="154">
        <f>AJ55+IF(NOT(ISBLANK(OFFSET(AL55,0,6))),N(OFFSET(AL55,0,6)),N(OFFSET(AL55,0,7)))-AK55</f>
        <v/>
      </c>
      <c r="AN55" s="317" t="n"/>
      <c r="AP55" s="65" t="n"/>
      <c r="AR55" s="18" t="n">
        <v>0</v>
      </c>
      <c r="AS55" s="18" t="n">
        <v>0</v>
      </c>
      <c r="AT55" s="18" t="n"/>
      <c r="AU55" s="18" t="n"/>
      <c r="AV55" s="18" t="n"/>
      <c r="AW55" s="18" t="n"/>
      <c r="AX55" s="18" t="n"/>
      <c r="AY55" s="18" t="n"/>
      <c r="AZ55" s="18" t="n"/>
      <c r="BA55" s="18" t="n"/>
      <c r="BB55" s="18" t="n"/>
      <c r="BC55" s="18" t="n"/>
      <c r="BD55" s="18" t="n"/>
      <c r="BE55" s="18" t="n"/>
      <c r="BF55" s="18" t="n"/>
      <c r="BG55" s="18" t="n"/>
      <c r="BH55" s="18" t="n"/>
      <c r="BI55" s="18" t="n"/>
      <c r="BJ55" s="18" t="n"/>
      <c r="BK55" s="18" t="n"/>
      <c r="BL55" s="18" t="n"/>
      <c r="BM55" s="18" t="n"/>
      <c r="BN55" s="18" t="n"/>
      <c r="BO55" s="18" t="n"/>
      <c r="BP55" s="18" t="n"/>
      <c r="BQ55" s="18" t="n"/>
      <c r="BR55" s="18" t="n"/>
      <c r="BS55" s="18" t="n"/>
      <c r="BT55" s="256" t="n"/>
      <c r="BU55" s="256" t="n"/>
      <c r="BW55" s="719" t="n"/>
      <c r="BX55" s="720" t="n"/>
    </row>
    <row r="56" ht="18.75" customHeight="1">
      <c r="A56" s="43" t="inlineStr">
        <is>
          <t>SACOLA M  QDB</t>
        </is>
      </c>
      <c r="B56" s="149" t="n">
        <v>200</v>
      </c>
      <c r="C56" s="726" t="n">
        <v>183.98</v>
      </c>
      <c r="D56" s="329" t="n"/>
      <c r="F56" s="9" t="n">
        <v>0</v>
      </c>
      <c r="G56" s="9" t="n">
        <v>0</v>
      </c>
      <c r="H56" s="9" t="n">
        <v>0</v>
      </c>
      <c r="I56" s="9" t="n">
        <v>0</v>
      </c>
      <c r="J56" s="9" t="n">
        <v>0</v>
      </c>
      <c r="K56" s="9" t="n">
        <v>0</v>
      </c>
      <c r="L56" s="9" t="n">
        <v>0</v>
      </c>
      <c r="M56" s="9" t="n">
        <v>0</v>
      </c>
      <c r="N56" s="9" t="n">
        <v>0</v>
      </c>
      <c r="O56" s="9" t="n">
        <v>0</v>
      </c>
      <c r="P56" s="9" t="n">
        <v>0</v>
      </c>
      <c r="Q56" s="9" t="n">
        <v>0</v>
      </c>
      <c r="R56" s="9" t="n">
        <v>200</v>
      </c>
      <c r="S56" s="9">
        <f>200-200</f>
        <v/>
      </c>
      <c r="T56" s="9" t="n">
        <v>0</v>
      </c>
      <c r="U56" s="9" t="n">
        <v>0</v>
      </c>
      <c r="V56" s="9" t="n">
        <v>0</v>
      </c>
      <c r="W56" s="9" t="n">
        <v>0</v>
      </c>
      <c r="X56" s="9" t="n">
        <v>0</v>
      </c>
      <c r="Y56" s="9" t="n">
        <v>0</v>
      </c>
      <c r="Z56" s="9" t="n">
        <v>0</v>
      </c>
      <c r="AA56" s="9" t="n">
        <v>0</v>
      </c>
      <c r="AB56" s="9" t="n">
        <v>0</v>
      </c>
      <c r="AC56" s="9" t="n">
        <v>0</v>
      </c>
      <c r="AD56" s="9" t="n">
        <v>0</v>
      </c>
      <c r="AE56" s="9" t="n">
        <v>0</v>
      </c>
      <c r="AF56" s="9" t="n">
        <v>0</v>
      </c>
      <c r="AG56" s="9" t="n">
        <v>0</v>
      </c>
      <c r="AH56" s="9" t="n">
        <v>0</v>
      </c>
      <c r="AI56" s="9" t="n">
        <v>0</v>
      </c>
      <c r="AJ56" s="9" t="n"/>
      <c r="AK56" s="9" t="n"/>
      <c r="AL56" s="154">
        <f>AJ56+IF(NOT(ISBLANK(OFFSET(AL56,0,6))),N(OFFSET(AL56,0,6)),N(OFFSET(AL56,0,7)))-AK56</f>
        <v/>
      </c>
      <c r="AN56" s="317" t="n"/>
      <c r="AP56" s="65" t="n"/>
      <c r="AR56" s="18" t="n">
        <v>0</v>
      </c>
      <c r="AS56" s="18" t="n">
        <v>0</v>
      </c>
      <c r="AT56" s="18" t="n"/>
      <c r="AU56" s="18" t="n"/>
      <c r="AV56" s="18" t="n"/>
      <c r="AW56" s="18" t="n"/>
      <c r="AX56" s="18" t="n"/>
      <c r="AY56" s="18" t="n"/>
      <c r="AZ56" s="18" t="n"/>
      <c r="BA56" s="18" t="n"/>
      <c r="BB56" s="18" t="n"/>
      <c r="BC56" s="18" t="n"/>
      <c r="BD56" s="154" t="inlineStr">
        <is>
          <t>200 P/ ER PG</t>
        </is>
      </c>
      <c r="BE56" s="18" t="n"/>
      <c r="BF56" s="18" t="n"/>
      <c r="BG56" s="18" t="n"/>
      <c r="BH56" s="18" t="n"/>
      <c r="BI56" s="18" t="n"/>
      <c r="BJ56" s="18" t="n"/>
      <c r="BK56" s="18" t="n"/>
      <c r="BL56" s="18" t="n"/>
      <c r="BM56" s="18" t="n"/>
      <c r="BN56" s="18" t="n"/>
      <c r="BO56" s="18" t="n"/>
      <c r="BP56" s="18" t="n"/>
      <c r="BQ56" s="18" t="n"/>
      <c r="BR56" s="18" t="n"/>
      <c r="BS56" s="18" t="n"/>
      <c r="BT56" s="256" t="n"/>
      <c r="BU56" s="256" t="n"/>
      <c r="BW56" s="719" t="n"/>
      <c r="BX56" s="720" t="n"/>
    </row>
    <row r="57" ht="18.75" customHeight="1">
      <c r="A57" s="43" t="inlineStr">
        <is>
          <t>SACOLA G  QDB</t>
        </is>
      </c>
      <c r="B57" s="149" t="n">
        <v>200</v>
      </c>
      <c r="C57" s="726" t="n">
        <v>241.86</v>
      </c>
      <c r="D57" s="329" t="n"/>
      <c r="F57" s="9" t="n">
        <v>0</v>
      </c>
      <c r="G57" s="9" t="n">
        <v>0</v>
      </c>
      <c r="H57" s="9" t="n">
        <v>0</v>
      </c>
      <c r="I57" s="9" t="n">
        <v>0</v>
      </c>
      <c r="J57" s="9" t="n">
        <v>0</v>
      </c>
      <c r="K57" s="9" t="n">
        <v>0</v>
      </c>
      <c r="L57" s="9" t="n">
        <v>0</v>
      </c>
      <c r="M57" s="9" t="n">
        <v>200</v>
      </c>
      <c r="N57" s="9" t="n">
        <v>0</v>
      </c>
      <c r="O57" s="9" t="n">
        <v>0</v>
      </c>
      <c r="P57" s="9" t="n">
        <v>0</v>
      </c>
      <c r="Q57" s="9" t="n">
        <v>0</v>
      </c>
      <c r="R57" s="9" t="n">
        <v>0</v>
      </c>
      <c r="S57" s="9" t="n">
        <v>0</v>
      </c>
      <c r="T57" s="9" t="n">
        <v>0</v>
      </c>
      <c r="U57" s="9" t="n">
        <v>0</v>
      </c>
      <c r="V57" s="9" t="n">
        <v>0</v>
      </c>
      <c r="W57" s="9" t="n">
        <v>0</v>
      </c>
      <c r="X57" s="9" t="n">
        <v>0</v>
      </c>
      <c r="Y57" s="9" t="n">
        <v>0</v>
      </c>
      <c r="Z57" s="9" t="n">
        <v>0</v>
      </c>
      <c r="AA57" s="9" t="n">
        <v>0</v>
      </c>
      <c r="AB57" s="9" t="n">
        <v>0</v>
      </c>
      <c r="AC57" s="9" t="n">
        <v>0</v>
      </c>
      <c r="AD57" s="9" t="n">
        <v>0</v>
      </c>
      <c r="AE57" s="9" t="n">
        <v>0</v>
      </c>
      <c r="AF57" s="9" t="n">
        <v>0</v>
      </c>
      <c r="AG57" s="9" t="n">
        <v>0</v>
      </c>
      <c r="AH57" s="9" t="n">
        <v>0</v>
      </c>
      <c r="AI57" s="9" t="n">
        <v>0</v>
      </c>
      <c r="AJ57" s="9" t="n"/>
      <c r="AK57" s="9" t="n"/>
      <c r="AL57" s="154">
        <f>AJ57+IF(NOT(ISBLANK(OFFSET(AL57,0,6))),N(OFFSET(AL57,0,6)),N(OFFSET(AL57,0,7)))-AK57</f>
        <v/>
      </c>
      <c r="AN57" s="122" t="n"/>
      <c r="AP57" s="27" t="n"/>
      <c r="AR57" s="18" t="n">
        <v>0</v>
      </c>
      <c r="AS57" s="18" t="n">
        <v>0</v>
      </c>
      <c r="AT57" s="18" t="n"/>
      <c r="AU57" s="18" t="n"/>
      <c r="AV57" s="18" t="n"/>
      <c r="AW57" s="18" t="n"/>
      <c r="AX57" s="18" t="n"/>
      <c r="AY57" s="18" t="n"/>
      <c r="AZ57" s="18" t="n"/>
      <c r="BA57" s="18" t="n"/>
      <c r="BB57" s="18" t="n"/>
      <c r="BC57" s="18" t="n"/>
      <c r="BD57" s="18" t="n"/>
      <c r="BE57" s="18" t="n"/>
      <c r="BF57" s="18" t="n"/>
      <c r="BG57" s="18" t="n"/>
      <c r="BH57" s="18" t="n"/>
      <c r="BI57" s="18" t="n"/>
      <c r="BJ57" s="18" t="n"/>
      <c r="BK57" s="18" t="n"/>
      <c r="BL57" s="18" t="n"/>
      <c r="BM57" s="18" t="n"/>
      <c r="BN57" s="18" t="n"/>
      <c r="BO57" s="18" t="n"/>
      <c r="BP57" s="18" t="n"/>
      <c r="BQ57" s="18" t="n"/>
      <c r="BR57" s="18" t="n"/>
      <c r="BS57" s="18" t="n"/>
      <c r="BT57" s="256" t="n"/>
      <c r="BU57" s="256" t="n"/>
      <c r="BW57" s="719" t="n"/>
      <c r="BX57" s="720" t="n"/>
    </row>
    <row r="58" ht="18.75" customHeight="1">
      <c r="A58" s="43" t="inlineStr">
        <is>
          <t>PAPEL DE SEDA  QDB</t>
        </is>
      </c>
      <c r="B58" s="149" t="n">
        <v>100</v>
      </c>
      <c r="C58" s="726" t="n">
        <v>22.98</v>
      </c>
      <c r="D58" s="329" t="n"/>
      <c r="F58" s="9" t="n">
        <v>0</v>
      </c>
      <c r="G58" s="9" t="n">
        <v>0</v>
      </c>
      <c r="H58" s="9" t="n">
        <v>0</v>
      </c>
      <c r="I58" s="9" t="n">
        <v>0</v>
      </c>
      <c r="J58" s="9" t="n">
        <v>0</v>
      </c>
      <c r="K58" s="9" t="n">
        <v>0</v>
      </c>
      <c r="L58" s="9" t="n">
        <v>0</v>
      </c>
      <c r="M58" s="9" t="n">
        <v>2</v>
      </c>
      <c r="N58" s="9" t="n">
        <v>0</v>
      </c>
      <c r="O58" s="9" t="n">
        <v>0</v>
      </c>
      <c r="P58" s="9" t="n">
        <v>0</v>
      </c>
      <c r="Q58" s="190" t="n">
        <v>2</v>
      </c>
      <c r="R58" s="9" t="n">
        <v>2</v>
      </c>
      <c r="S58" s="9" t="n">
        <v>2</v>
      </c>
      <c r="T58" s="9" t="n">
        <v>0</v>
      </c>
      <c r="U58" s="9" t="n">
        <v>0</v>
      </c>
      <c r="V58" s="9" t="n">
        <v>0</v>
      </c>
      <c r="W58" s="9" t="n">
        <v>0</v>
      </c>
      <c r="X58" s="9" t="n">
        <v>0</v>
      </c>
      <c r="Y58" s="9" t="n">
        <v>0</v>
      </c>
      <c r="Z58" s="9" t="n">
        <v>0</v>
      </c>
      <c r="AA58" s="9" t="n">
        <v>0</v>
      </c>
      <c r="AB58" s="9" t="n">
        <v>0</v>
      </c>
      <c r="AC58" s="9" t="n">
        <v>0</v>
      </c>
      <c r="AD58" s="9" t="n">
        <v>0</v>
      </c>
      <c r="AE58" s="9" t="n">
        <v>0</v>
      </c>
      <c r="AF58" s="9" t="n">
        <v>0</v>
      </c>
      <c r="AG58" s="9" t="n">
        <v>0</v>
      </c>
      <c r="AH58" s="9" t="n">
        <v>0</v>
      </c>
      <c r="AI58" s="9" t="n">
        <v>0</v>
      </c>
      <c r="AJ58" s="9" t="n"/>
      <c r="AK58" s="9" t="n"/>
      <c r="AL58" s="154">
        <f>AJ58+IF(NOT(ISBLANK(OFFSET(AL58,0,6))),N(OFFSET(AL58,0,6)),N(OFFSET(AL58,0,7)))-AK58</f>
        <v/>
      </c>
      <c r="AN58" s="122" t="n"/>
      <c r="AP58" s="19" t="n"/>
      <c r="AR58" s="18" t="n">
        <v>0</v>
      </c>
      <c r="AS58" s="18" t="n">
        <v>0</v>
      </c>
      <c r="AT58" s="18" t="n"/>
      <c r="AU58" s="18" t="n"/>
      <c r="AV58" s="18" t="n"/>
      <c r="AW58" s="18" t="n"/>
      <c r="AX58" s="18" t="n"/>
      <c r="AY58" s="18" t="n"/>
      <c r="AZ58" s="18" t="n"/>
      <c r="BA58" s="18" t="n"/>
      <c r="BB58" s="18" t="n"/>
      <c r="BC58" s="18" t="n"/>
      <c r="BD58" s="18" t="n"/>
      <c r="BE58" s="18" t="n"/>
      <c r="BF58" s="18" t="n"/>
      <c r="BG58" s="18" t="n"/>
      <c r="BH58" s="18" t="n"/>
      <c r="BI58" s="18" t="n"/>
      <c r="BJ58" s="18" t="n"/>
      <c r="BK58" s="18" t="n"/>
      <c r="BL58" s="18" t="n"/>
      <c r="BM58" s="18" t="n"/>
      <c r="BN58" s="18" t="n"/>
      <c r="BO58" s="18" t="n"/>
      <c r="BP58" s="18" t="n"/>
      <c r="BQ58" s="18" t="n"/>
      <c r="BR58" s="18" t="n"/>
      <c r="BS58" s="18" t="n"/>
      <c r="BT58" s="256" t="n"/>
      <c r="BU58" s="256" t="n"/>
      <c r="BW58" s="719" t="n"/>
      <c r="BX58" s="720" t="n"/>
    </row>
    <row r="59" ht="18.75" customHeight="1">
      <c r="A59" s="43" t="inlineStr">
        <is>
          <t>ETIQUETA QDB</t>
        </is>
      </c>
      <c r="B59" s="149" t="n">
        <v>1000</v>
      </c>
      <c r="C59" s="726" t="n">
        <v>7.75</v>
      </c>
      <c r="D59" s="329" t="n"/>
      <c r="F59" s="9" t="n">
        <v>0</v>
      </c>
      <c r="G59" s="9" t="n">
        <v>0</v>
      </c>
      <c r="H59" s="9" t="n">
        <v>0</v>
      </c>
      <c r="I59" s="9" t="n">
        <v>0</v>
      </c>
      <c r="J59" s="9" t="n">
        <v>0</v>
      </c>
      <c r="K59" s="9" t="n">
        <v>0</v>
      </c>
      <c r="L59" s="9" t="n">
        <v>0</v>
      </c>
      <c r="M59" s="9" t="n">
        <v>1</v>
      </c>
      <c r="N59" s="9" t="n">
        <v>0</v>
      </c>
      <c r="O59" s="9" t="n">
        <v>0</v>
      </c>
      <c r="P59" s="9" t="n">
        <v>0</v>
      </c>
      <c r="Q59" s="9" t="n">
        <v>0</v>
      </c>
      <c r="R59" s="9" t="n">
        <v>0</v>
      </c>
      <c r="S59" s="9" t="n">
        <v>0</v>
      </c>
      <c r="T59" s="9" t="n">
        <v>0</v>
      </c>
      <c r="U59" s="9" t="n">
        <v>0</v>
      </c>
      <c r="V59" s="9" t="n">
        <v>0</v>
      </c>
      <c r="W59" s="9" t="n">
        <v>0</v>
      </c>
      <c r="X59" s="9" t="n">
        <v>0</v>
      </c>
      <c r="Y59" s="9" t="n">
        <v>0</v>
      </c>
      <c r="Z59" s="9" t="n">
        <v>0</v>
      </c>
      <c r="AA59" s="9" t="n">
        <v>0</v>
      </c>
      <c r="AB59" s="9" t="n">
        <v>0</v>
      </c>
      <c r="AC59" s="9" t="n">
        <v>0</v>
      </c>
      <c r="AD59" s="9" t="n">
        <v>0</v>
      </c>
      <c r="AE59" s="9" t="n">
        <v>0</v>
      </c>
      <c r="AF59" s="9" t="n">
        <v>0</v>
      </c>
      <c r="AG59" s="9" t="n">
        <v>0</v>
      </c>
      <c r="AH59" s="9" t="n">
        <v>0</v>
      </c>
      <c r="AI59" s="9" t="n">
        <v>0</v>
      </c>
      <c r="AJ59" s="9" t="n"/>
      <c r="AK59" s="9" t="n"/>
      <c r="AL59" s="154">
        <f>AJ59+IF(NOT(ISBLANK(OFFSET(AL59,0,6))),N(OFFSET(AL59,0,6)),N(OFFSET(AL59,0,7)))-AK59</f>
        <v/>
      </c>
      <c r="AN59" s="122" t="n"/>
      <c r="AP59" s="65" t="n"/>
      <c r="AR59" s="18" t="n">
        <v>0</v>
      </c>
      <c r="AS59" s="18" t="n">
        <v>0</v>
      </c>
      <c r="AT59" s="18" t="n"/>
      <c r="AU59" s="18" t="n"/>
      <c r="AV59" s="18" t="n"/>
      <c r="AW59" s="18" t="n"/>
      <c r="AX59" s="18" t="n"/>
      <c r="AY59" s="18" t="n"/>
      <c r="AZ59" s="18" t="n"/>
      <c r="BA59" s="18" t="n"/>
      <c r="BB59" s="18" t="n"/>
      <c r="BC59" s="18" t="n"/>
      <c r="BD59" s="18" t="n"/>
      <c r="BE59" s="18" t="n"/>
      <c r="BF59" s="18" t="n"/>
      <c r="BG59" s="18" t="n"/>
      <c r="BH59" s="18" t="n"/>
      <c r="BI59" s="18" t="n"/>
      <c r="BJ59" s="18" t="n"/>
      <c r="BK59" s="18" t="n"/>
      <c r="BL59" s="18" t="n"/>
      <c r="BM59" s="18" t="n"/>
      <c r="BN59" s="18" t="n"/>
      <c r="BO59" s="18" t="n"/>
      <c r="BP59" s="18" t="n"/>
      <c r="BQ59" s="18" t="n"/>
      <c r="BR59" s="18" t="n"/>
      <c r="BS59" s="18" t="n"/>
      <c r="BT59" s="256" t="n"/>
      <c r="BU59" s="256" t="n"/>
      <c r="BW59" s="719" t="n"/>
      <c r="BX59" s="720" t="n"/>
    </row>
    <row r="60" ht="18.75" customHeight="1">
      <c r="A60" s="43" t="inlineStr">
        <is>
          <t>TAG  QDB</t>
        </is>
      </c>
      <c r="B60" s="149" t="n">
        <v>300</v>
      </c>
      <c r="C60" s="726" t="n">
        <v>53.97</v>
      </c>
      <c r="D60" s="329" t="n"/>
      <c r="F60" s="9" t="n">
        <v>0</v>
      </c>
      <c r="G60" s="9" t="n">
        <v>0</v>
      </c>
      <c r="H60" s="9" t="n">
        <v>0</v>
      </c>
      <c r="I60" s="9" t="n">
        <v>0</v>
      </c>
      <c r="J60" s="9" t="n">
        <v>0</v>
      </c>
      <c r="K60" s="9" t="n">
        <v>0</v>
      </c>
      <c r="L60" s="9" t="n">
        <v>0</v>
      </c>
      <c r="M60" s="9" t="n">
        <v>1</v>
      </c>
      <c r="N60" s="9" t="n">
        <v>0</v>
      </c>
      <c r="O60" s="9" t="n">
        <v>0</v>
      </c>
      <c r="P60" s="9" t="n">
        <v>0</v>
      </c>
      <c r="Q60" s="190" t="n">
        <v>3</v>
      </c>
      <c r="R60" s="9" t="n">
        <v>3</v>
      </c>
      <c r="S60" s="9" t="n">
        <v>3</v>
      </c>
      <c r="T60" s="9" t="n">
        <v>0</v>
      </c>
      <c r="U60" s="9" t="n">
        <v>0</v>
      </c>
      <c r="V60" s="9" t="n">
        <v>0</v>
      </c>
      <c r="W60" s="9" t="n">
        <v>0</v>
      </c>
      <c r="X60" s="9" t="n">
        <v>0</v>
      </c>
      <c r="Y60" s="9" t="n">
        <v>0</v>
      </c>
      <c r="Z60" s="9" t="n">
        <v>0</v>
      </c>
      <c r="AA60" s="9" t="n">
        <v>0</v>
      </c>
      <c r="AB60" s="9" t="n">
        <v>0</v>
      </c>
      <c r="AC60" s="9" t="n">
        <v>0</v>
      </c>
      <c r="AD60" s="9" t="n">
        <v>0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/>
      <c r="AK60" s="9" t="n"/>
      <c r="AL60" s="154">
        <f>AJ60+IF(NOT(ISBLANK(OFFSET(AL60,0,6))),N(OFFSET(AL60,0,6)),N(OFFSET(AL60,0,7)))-AK60</f>
        <v/>
      </c>
      <c r="AN60" s="122" t="n"/>
      <c r="AP60" s="65" t="n"/>
      <c r="AR60" s="18" t="n">
        <v>0</v>
      </c>
      <c r="AS60" s="18" t="n">
        <v>0</v>
      </c>
      <c r="AT60" s="18" t="n"/>
      <c r="AU60" s="18" t="n"/>
      <c r="AV60" s="18" t="n"/>
      <c r="AW60" s="18" t="n"/>
      <c r="AX60" s="18" t="n"/>
      <c r="AY60" s="18" t="n"/>
      <c r="AZ60" s="18" t="n"/>
      <c r="BA60" s="18" t="n"/>
      <c r="BB60" s="18" t="n"/>
      <c r="BC60" s="18" t="n"/>
      <c r="BD60" s="18" t="n"/>
      <c r="BE60" s="18" t="n"/>
      <c r="BF60" s="18" t="n"/>
      <c r="BG60" s="18" t="n"/>
      <c r="BH60" s="18" t="n"/>
      <c r="BI60" s="18" t="n"/>
      <c r="BJ60" s="18" t="n"/>
      <c r="BK60" s="18" t="n"/>
      <c r="BL60" s="18" t="n"/>
      <c r="BM60" s="18" t="n"/>
      <c r="BN60" s="18" t="n"/>
      <c r="BO60" s="18" t="n"/>
      <c r="BP60" s="18" t="n"/>
      <c r="BQ60" s="18" t="n"/>
      <c r="BR60" s="18" t="n"/>
      <c r="BS60" s="18" t="n"/>
      <c r="BT60" s="256" t="n"/>
      <c r="BU60" s="256" t="n"/>
      <c r="BW60" s="719" t="n"/>
      <c r="BX60" s="720" t="n"/>
    </row>
    <row r="61" ht="18.75" customHeight="1">
      <c r="A61" s="43" t="inlineStr">
        <is>
          <t>LÂMINA  QDB</t>
        </is>
      </c>
      <c r="B61" s="149" t="n">
        <v>3000</v>
      </c>
      <c r="C61" s="726" t="n">
        <v>213</v>
      </c>
      <c r="D61" s="329" t="n"/>
      <c r="F61" s="9" t="n">
        <v>0</v>
      </c>
      <c r="G61" s="9" t="n">
        <v>0</v>
      </c>
      <c r="H61" s="9" t="n">
        <v>0</v>
      </c>
      <c r="I61" s="9" t="n">
        <v>0</v>
      </c>
      <c r="J61" s="9" t="n">
        <v>0</v>
      </c>
      <c r="K61" s="9" t="n">
        <v>0</v>
      </c>
      <c r="L61" s="9" t="n">
        <v>0</v>
      </c>
      <c r="M61" s="9" t="n">
        <v>2</v>
      </c>
      <c r="N61" s="9" t="n">
        <v>0</v>
      </c>
      <c r="O61" s="9" t="n">
        <v>0</v>
      </c>
      <c r="P61" s="9" t="n">
        <v>0</v>
      </c>
      <c r="Q61" s="190" t="n">
        <v>3</v>
      </c>
      <c r="R61" s="9" t="n">
        <v>3</v>
      </c>
      <c r="S61" s="9">
        <f>3-1</f>
        <v/>
      </c>
      <c r="T61" s="9" t="n">
        <v>0</v>
      </c>
      <c r="U61" s="9" t="n">
        <v>0</v>
      </c>
      <c r="V61" s="9" t="n">
        <v>0</v>
      </c>
      <c r="W61" s="9" t="n">
        <v>0</v>
      </c>
      <c r="X61" s="9" t="n">
        <v>0</v>
      </c>
      <c r="Y61" s="9" t="n">
        <v>0</v>
      </c>
      <c r="Z61" s="9" t="n">
        <v>0</v>
      </c>
      <c r="AA61" s="9" t="n">
        <v>0</v>
      </c>
      <c r="AB61" s="9" t="n">
        <v>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/>
      <c r="AK61" s="9" t="n"/>
      <c r="AL61" s="154">
        <f>AJ61+IF(NOT(ISBLANK(OFFSET(AL61,0,6))),N(OFFSET(AL61,0,6)),N(OFFSET(AL61,0,7)))-AK61</f>
        <v/>
      </c>
      <c r="AN61" s="122" t="n"/>
      <c r="AP61" s="65" t="n"/>
      <c r="AR61" s="18" t="n">
        <v>0</v>
      </c>
      <c r="AS61" s="18" t="n">
        <v>0</v>
      </c>
      <c r="AT61" s="18" t="n"/>
      <c r="AU61" s="18" t="n"/>
      <c r="AV61" s="18" t="n"/>
      <c r="AW61" s="18" t="n"/>
      <c r="AX61" s="18" t="n"/>
      <c r="AY61" s="18" t="n"/>
      <c r="AZ61" s="18" t="n"/>
      <c r="BA61" s="18" t="n"/>
      <c r="BB61" s="18" t="n"/>
      <c r="BC61" s="18" t="n"/>
      <c r="BD61" s="154" t="inlineStr">
        <is>
          <t>01 P/ ER PBE</t>
        </is>
      </c>
      <c r="BE61" s="18" t="n"/>
      <c r="BF61" s="18" t="n"/>
      <c r="BG61" s="18" t="n"/>
      <c r="BH61" s="18" t="n"/>
      <c r="BI61" s="18" t="n"/>
      <c r="BJ61" s="18" t="n"/>
      <c r="BK61" s="18" t="n"/>
      <c r="BL61" s="18" t="n"/>
      <c r="BM61" s="18" t="n"/>
      <c r="BN61" s="18" t="n"/>
      <c r="BO61" s="18" t="n"/>
      <c r="BP61" s="18" t="n"/>
      <c r="BQ61" s="18" t="n"/>
      <c r="BR61" s="18" t="n"/>
      <c r="BS61" s="18" t="n"/>
      <c r="BT61" s="256" t="n"/>
      <c r="BU61" s="256" t="n"/>
      <c r="BW61" s="719" t="n"/>
      <c r="BX61" s="720" t="n"/>
    </row>
    <row r="62" ht="18.75" customHeight="1">
      <c r="A62" s="43" t="inlineStr">
        <is>
          <t>CAIXA P  QDB</t>
        </is>
      </c>
      <c r="B62" s="149" t="n">
        <v>150</v>
      </c>
      <c r="C62" s="726" t="n">
        <v>306</v>
      </c>
      <c r="D62" s="329" t="n"/>
      <c r="F62" s="9" t="n">
        <v>0</v>
      </c>
      <c r="G62" s="9" t="n">
        <v>0</v>
      </c>
      <c r="H62" s="9" t="n">
        <v>0</v>
      </c>
      <c r="I62" s="9" t="n">
        <v>0</v>
      </c>
      <c r="J62" s="9" t="n">
        <v>0</v>
      </c>
      <c r="K62" s="9" t="n">
        <v>0</v>
      </c>
      <c r="L62" s="9" t="n">
        <v>0</v>
      </c>
      <c r="M62" s="9" t="n">
        <v>5</v>
      </c>
      <c r="N62" s="9" t="n">
        <v>5</v>
      </c>
      <c r="O62" s="9" t="n">
        <v>5</v>
      </c>
      <c r="P62" s="9" t="n">
        <v>5</v>
      </c>
      <c r="Q62" s="9" t="n">
        <v>5</v>
      </c>
      <c r="R62" s="9" t="n">
        <v>5</v>
      </c>
      <c r="S62" s="9" t="n">
        <v>5</v>
      </c>
      <c r="T62" s="9" t="n">
        <v>5</v>
      </c>
      <c r="U62" s="9" t="n">
        <v>5</v>
      </c>
      <c r="V62" s="9" t="n">
        <v>5</v>
      </c>
      <c r="W62" s="9" t="n">
        <v>5</v>
      </c>
      <c r="X62" s="9" t="n">
        <v>5</v>
      </c>
      <c r="Y62" s="9" t="n">
        <v>5</v>
      </c>
      <c r="Z62" s="9" t="n">
        <v>5</v>
      </c>
      <c r="AA62" s="9" t="n">
        <v>5</v>
      </c>
      <c r="AB62" s="9" t="n">
        <v>5</v>
      </c>
      <c r="AC62" s="9" t="n">
        <v>5</v>
      </c>
      <c r="AD62" s="9" t="n">
        <v>5</v>
      </c>
      <c r="AE62" s="9" t="n">
        <v>5</v>
      </c>
      <c r="AF62" s="9" t="n">
        <v>5</v>
      </c>
      <c r="AG62" s="9" t="n">
        <v>5</v>
      </c>
      <c r="AH62" s="9" t="n">
        <v>5</v>
      </c>
      <c r="AI62" s="9" t="n">
        <v>5</v>
      </c>
      <c r="AJ62" s="9" t="n">
        <v>5</v>
      </c>
      <c r="AK62" s="9" t="n">
        <v>5</v>
      </c>
      <c r="AL62" s="154">
        <f>AJ62+IF(NOT(ISBLANK(OFFSET(AL62,0,6))),N(OFFSET(AL62,0,6)),N(OFFSET(AL62,0,7)))-AK62</f>
        <v/>
      </c>
      <c r="AM62" s="6" t="n"/>
      <c r="AN62" s="122" t="n"/>
      <c r="AO62" s="49" t="n"/>
      <c r="AP62" s="19" t="n"/>
      <c r="AQ62" s="49" t="n"/>
      <c r="AR62" s="18" t="n">
        <v>0</v>
      </c>
      <c r="AS62" s="18" t="n">
        <v>0</v>
      </c>
      <c r="AT62" s="18" t="n"/>
      <c r="AU62" s="18" t="n"/>
      <c r="AV62" s="18" t="n"/>
      <c r="AW62" s="18" t="n"/>
      <c r="AX62" s="18" t="n"/>
      <c r="AY62" s="18" t="n"/>
      <c r="AZ62" s="18" t="n"/>
      <c r="BA62" s="18" t="n"/>
      <c r="BB62" s="18" t="n"/>
      <c r="BC62" s="18" t="n"/>
      <c r="BD62" s="18" t="n"/>
      <c r="BE62" s="18" t="n"/>
      <c r="BF62" s="18" t="n"/>
      <c r="BG62" s="18" t="n"/>
      <c r="BH62" s="18" t="n"/>
      <c r="BI62" s="18" t="n"/>
      <c r="BJ62" s="18" t="n"/>
      <c r="BK62" s="18" t="n"/>
      <c r="BL62" s="18" t="n"/>
      <c r="BM62" s="18" t="n"/>
      <c r="BN62" s="18" t="n"/>
      <c r="BO62" s="18" t="n"/>
      <c r="BP62" s="18" t="n"/>
      <c r="BQ62" s="18" t="n"/>
      <c r="BR62" s="18" t="n"/>
      <c r="BS62" s="18" t="n"/>
      <c r="BT62" s="256" t="n"/>
      <c r="BU62" s="256" t="n"/>
      <c r="BW62" s="719" t="n"/>
      <c r="BX62" s="720" t="n"/>
    </row>
    <row r="63" ht="18.75" customHeight="1">
      <c r="A63" s="43" t="inlineStr">
        <is>
          <t>CAIXA M  QDB</t>
        </is>
      </c>
      <c r="B63" s="149" t="n">
        <v>75</v>
      </c>
      <c r="C63" s="726" t="n">
        <v>216.38</v>
      </c>
      <c r="D63" s="329" t="n"/>
      <c r="F63" s="38" t="n">
        <v>0</v>
      </c>
      <c r="G63" s="38" t="n">
        <v>0</v>
      </c>
      <c r="H63" s="38" t="n">
        <v>0</v>
      </c>
      <c r="I63" s="38" t="n">
        <v>0</v>
      </c>
      <c r="J63" s="38" t="n">
        <v>0</v>
      </c>
      <c r="K63" s="38" t="n">
        <v>0</v>
      </c>
      <c r="L63" s="38" t="n">
        <v>0</v>
      </c>
      <c r="M63" s="38" t="n">
        <v>0</v>
      </c>
      <c r="N63" s="38" t="n">
        <v>0</v>
      </c>
      <c r="O63" s="38" t="n">
        <v>0</v>
      </c>
      <c r="P63" s="38" t="n">
        <v>0</v>
      </c>
      <c r="Q63" s="38" t="n">
        <v>0</v>
      </c>
      <c r="R63" s="38" t="n">
        <v>0</v>
      </c>
      <c r="S63" s="38" t="n">
        <v>0</v>
      </c>
      <c r="T63" s="38" t="n">
        <v>0</v>
      </c>
      <c r="U63" s="38" t="n">
        <v>0</v>
      </c>
      <c r="V63" s="38" t="n">
        <v>0</v>
      </c>
      <c r="W63" s="38" t="n">
        <v>0</v>
      </c>
      <c r="X63" s="38" t="n">
        <v>0</v>
      </c>
      <c r="Y63" s="38" t="n">
        <v>0</v>
      </c>
      <c r="Z63" s="38" t="n">
        <v>0</v>
      </c>
      <c r="AA63" s="38" t="n">
        <v>0</v>
      </c>
      <c r="AB63" s="38" t="n">
        <v>0</v>
      </c>
      <c r="AC63" s="38" t="n">
        <v>0</v>
      </c>
      <c r="AD63" s="38" t="n">
        <v>0</v>
      </c>
      <c r="AE63" s="38" t="n">
        <v>0</v>
      </c>
      <c r="AF63" s="38" t="n">
        <v>0</v>
      </c>
      <c r="AG63" s="38" t="n">
        <v>0</v>
      </c>
      <c r="AH63" s="38" t="n">
        <v>0</v>
      </c>
      <c r="AI63" s="38" t="n">
        <v>0</v>
      </c>
      <c r="AJ63" s="38" t="n">
        <v>0</v>
      </c>
      <c r="AK63" s="38" t="n">
        <v>0</v>
      </c>
      <c r="AL63" s="154">
        <f>AJ63+IF(NOT(ISBLANK(OFFSET(AL63,0,6))),N(OFFSET(AL63,0,6)),N(OFFSET(AL63,0,7)))-AK63</f>
        <v/>
      </c>
      <c r="AM63" s="53" t="n"/>
      <c r="AN63" s="122" t="n"/>
      <c r="AO63" s="49" t="n"/>
      <c r="AP63" s="27" t="n"/>
      <c r="AQ63" s="49" t="n"/>
      <c r="AR63" s="18" t="n">
        <v>0</v>
      </c>
      <c r="AS63" s="18" t="n">
        <v>0</v>
      </c>
      <c r="AT63" s="18" t="n"/>
      <c r="AU63" s="18" t="n"/>
      <c r="AV63" s="18" t="n"/>
      <c r="AW63" s="18" t="n"/>
      <c r="AX63" s="18" t="n"/>
      <c r="AY63" s="18" t="n"/>
      <c r="AZ63" s="18" t="n"/>
      <c r="BA63" s="18" t="n"/>
      <c r="BB63" s="18" t="n"/>
      <c r="BC63" s="18" t="n"/>
      <c r="BD63" s="18" t="n"/>
      <c r="BE63" s="18" t="n"/>
      <c r="BF63" s="18" t="n"/>
      <c r="BG63" s="18" t="n"/>
      <c r="BH63" s="18" t="n"/>
      <c r="BI63" s="18" t="n"/>
      <c r="BJ63" s="18" t="n"/>
      <c r="BK63" s="18" t="n"/>
      <c r="BL63" s="18" t="n"/>
      <c r="BM63" s="18" t="n"/>
      <c r="BN63" s="18" t="n"/>
      <c r="BO63" s="18" t="n"/>
      <c r="BP63" s="18" t="n"/>
      <c r="BQ63" s="18" t="n"/>
      <c r="BR63" s="18" t="n"/>
      <c r="BS63" s="18" t="n"/>
      <c r="BT63" s="256" t="n"/>
      <c r="BU63" s="256" t="n"/>
      <c r="BW63" s="719" t="n"/>
      <c r="BX63" s="720" t="n"/>
    </row>
    <row r="64" ht="18.75" customHeight="1" thickBot="1">
      <c r="A64" s="43" t="inlineStr">
        <is>
          <t>CAIXA G  QDB</t>
        </is>
      </c>
      <c r="B64" s="149" t="n">
        <v>100</v>
      </c>
      <c r="C64" s="726" t="n">
        <v>306</v>
      </c>
      <c r="D64" s="329" t="n"/>
      <c r="F64" s="38" t="n">
        <v>0</v>
      </c>
      <c r="G64" s="38" t="n">
        <v>0</v>
      </c>
      <c r="H64" s="38" t="n">
        <v>0</v>
      </c>
      <c r="I64" s="38" t="n">
        <v>0</v>
      </c>
      <c r="J64" s="38" t="n">
        <v>0</v>
      </c>
      <c r="K64" s="38" t="n">
        <v>0</v>
      </c>
      <c r="L64" s="38" t="n">
        <v>0</v>
      </c>
      <c r="M64" s="38" t="n">
        <v>0</v>
      </c>
      <c r="N64" s="38" t="n">
        <v>0</v>
      </c>
      <c r="O64" s="38" t="n">
        <v>0</v>
      </c>
      <c r="P64" s="38" t="n">
        <v>0</v>
      </c>
      <c r="Q64" s="38" t="n">
        <v>0</v>
      </c>
      <c r="R64" s="38" t="n">
        <v>0</v>
      </c>
      <c r="S64" s="38" t="n">
        <v>0</v>
      </c>
      <c r="T64" s="38" t="n">
        <v>0</v>
      </c>
      <c r="U64" s="38" t="n">
        <v>0</v>
      </c>
      <c r="V64" s="38" t="n">
        <v>0</v>
      </c>
      <c r="W64" s="38" t="n">
        <v>0</v>
      </c>
      <c r="X64" s="38" t="n">
        <v>0</v>
      </c>
      <c r="Y64" s="38" t="n">
        <v>0</v>
      </c>
      <c r="Z64" s="38" t="n">
        <v>0</v>
      </c>
      <c r="AA64" s="38" t="n">
        <v>0</v>
      </c>
      <c r="AB64" s="38" t="n">
        <v>0</v>
      </c>
      <c r="AC64" s="38" t="n">
        <v>0</v>
      </c>
      <c r="AD64" s="38" t="n">
        <v>0</v>
      </c>
      <c r="AE64" s="38" t="n">
        <v>0</v>
      </c>
      <c r="AF64" s="38" t="n">
        <v>0</v>
      </c>
      <c r="AG64" s="38" t="n">
        <v>0</v>
      </c>
      <c r="AH64" s="38" t="n">
        <v>0</v>
      </c>
      <c r="AI64" s="38" t="n">
        <v>0</v>
      </c>
      <c r="AJ64" s="38" t="n">
        <v>0</v>
      </c>
      <c r="AK64" s="38" t="n">
        <v>0</v>
      </c>
      <c r="AL64" s="154">
        <f>AJ64+IF(NOT(ISBLANK(OFFSET(AL64,0,6))),N(OFFSET(AL64,0,6)),N(OFFSET(AL64,0,7)))-AK64</f>
        <v/>
      </c>
      <c r="AM64" s="6" t="n"/>
      <c r="AN64" s="122" t="n"/>
      <c r="AO64" s="49" t="n"/>
      <c r="AP64" s="19" t="n"/>
      <c r="AQ64" s="49" t="n"/>
      <c r="AR64" s="18" t="n">
        <v>0</v>
      </c>
      <c r="AS64" s="18" t="n">
        <v>0</v>
      </c>
      <c r="AT64" s="18" t="n"/>
      <c r="AU64" s="18" t="n"/>
      <c r="AV64" s="18" t="n"/>
      <c r="AW64" s="18" t="n"/>
      <c r="AX64" s="18" t="n"/>
      <c r="AY64" s="18" t="n"/>
      <c r="AZ64" s="18" t="n"/>
      <c r="BA64" s="18" t="n"/>
      <c r="BB64" s="18" t="n"/>
      <c r="BC64" s="18" t="n"/>
      <c r="BD64" s="18" t="n"/>
      <c r="BE64" s="18" t="n"/>
      <c r="BF64" s="18" t="n"/>
      <c r="BG64" s="18" t="n"/>
      <c r="BH64" s="18" t="n"/>
      <c r="BI64" s="18" t="n"/>
      <c r="BJ64" s="18" t="n"/>
      <c r="BK64" s="18" t="n"/>
      <c r="BL64" s="18" t="n"/>
      <c r="BM64" s="18" t="n"/>
      <c r="BN64" s="18" t="n"/>
      <c r="BO64" s="18" t="n"/>
      <c r="BP64" s="18" t="n"/>
      <c r="BQ64" s="18" t="n"/>
      <c r="BR64" s="18" t="n"/>
      <c r="BS64" s="18" t="n"/>
      <c r="BT64" s="256" t="n"/>
      <c r="BU64" s="256" t="n"/>
      <c r="BW64" s="721" t="n"/>
      <c r="BX64" s="722" t="n"/>
    </row>
    <row r="65" ht="18.75" customHeight="1">
      <c r="BT65" s="314" t="n"/>
      <c r="BU65" s="314" t="n"/>
    </row>
    <row r="66" ht="18.75" customHeight="1">
      <c r="A66" s="202" t="inlineStr">
        <is>
          <t>SACOLAS E CAIXAS EUDORA</t>
        </is>
      </c>
      <c r="B66" s="203" t="n"/>
      <c r="C66" s="203" t="n"/>
      <c r="D66" s="203" t="n"/>
      <c r="F66" s="650" t="n">
        <v>45950</v>
      </c>
      <c r="G66" s="650" t="n">
        <v>45957</v>
      </c>
      <c r="H66" s="650" t="n">
        <v>45933</v>
      </c>
      <c r="I66" s="650" t="n">
        <v>45971</v>
      </c>
      <c r="J66" s="650" t="n">
        <v>45978</v>
      </c>
      <c r="K66" s="650" t="n">
        <v>45985</v>
      </c>
      <c r="L66" s="650" t="n">
        <v>45992</v>
      </c>
      <c r="M66" s="650" t="n">
        <v>45999</v>
      </c>
      <c r="N66" s="650" t="n">
        <v>46006</v>
      </c>
      <c r="O66" s="650" t="n">
        <v>46013</v>
      </c>
      <c r="P66" s="650" t="n">
        <v>46020</v>
      </c>
      <c r="Q66" s="650" t="n">
        <v>46027</v>
      </c>
      <c r="R66" s="650" t="n">
        <v>46034</v>
      </c>
      <c r="S66" s="650" t="n">
        <v>46041</v>
      </c>
      <c r="T66" s="650" t="n">
        <v>46048</v>
      </c>
      <c r="U66" s="650" t="n">
        <v>46055</v>
      </c>
      <c r="V66" s="650" t="n">
        <v>46062</v>
      </c>
      <c r="W66" s="650" t="n">
        <v>46069</v>
      </c>
      <c r="X66" s="650" t="n">
        <v>46076</v>
      </c>
      <c r="Y66" s="650" t="n">
        <v>46083</v>
      </c>
      <c r="Z66" s="650" t="n">
        <v>46090</v>
      </c>
      <c r="AA66" s="650" t="n">
        <v>46097</v>
      </c>
      <c r="AB66" s="650" t="n">
        <v>46104</v>
      </c>
      <c r="AC66" s="650" t="n">
        <v>46111</v>
      </c>
      <c r="AD66" s="650" t="n">
        <v>46118</v>
      </c>
      <c r="AE66" s="650" t="n">
        <v>46125</v>
      </c>
      <c r="AF66" s="650" t="n">
        <v>46132</v>
      </c>
      <c r="AG66" s="650" t="n">
        <v>46139</v>
      </c>
      <c r="AH66" s="650" t="n">
        <v>46146</v>
      </c>
      <c r="AI66" s="650" t="n">
        <v>46154</v>
      </c>
      <c r="AJ66" s="650" t="n">
        <v>46160</v>
      </c>
      <c r="AK66" s="650" t="n">
        <v>46160</v>
      </c>
      <c r="AL66" s="652" t="inlineStr">
        <is>
          <t>USOU</t>
        </is>
      </c>
      <c r="AN66" s="35" t="inlineStr">
        <is>
          <t>Pend.</t>
        </is>
      </c>
      <c r="AP66" s="12" t="inlineStr">
        <is>
          <t>Novo Pedido</t>
        </is>
      </c>
      <c r="AR66" s="654" t="n">
        <v>46156</v>
      </c>
      <c r="AS66" s="654" t="n">
        <v>46149</v>
      </c>
      <c r="AT66" s="654" t="n">
        <v>46114</v>
      </c>
      <c r="AU66" s="654" t="n">
        <v>46099</v>
      </c>
      <c r="AV66" s="710" t="n">
        <v>46065</v>
      </c>
      <c r="AW66" s="654" t="n">
        <v>46092</v>
      </c>
      <c r="AX66" s="711" t="n">
        <v>46045</v>
      </c>
      <c r="AY66" s="654" t="n">
        <v>46077</v>
      </c>
      <c r="AZ66" s="654" t="n">
        <v>46071</v>
      </c>
      <c r="BA66" s="654" t="n">
        <v>46071</v>
      </c>
      <c r="BB66" s="654" t="n">
        <v>46056</v>
      </c>
      <c r="BC66" s="654" t="n">
        <v>46048</v>
      </c>
      <c r="BD66" s="655" t="n">
        <v>46041</v>
      </c>
      <c r="BE66" s="654" t="n">
        <v>46029</v>
      </c>
      <c r="BF66" s="654" t="n">
        <v>46372</v>
      </c>
      <c r="BG66" s="654" t="n">
        <v>46382</v>
      </c>
      <c r="BH66" s="654" t="n">
        <v>46007</v>
      </c>
      <c r="BI66" s="654" t="n">
        <v>46017</v>
      </c>
      <c r="BJ66" s="654" t="n">
        <v>46007</v>
      </c>
      <c r="BK66" s="654" t="n">
        <v>46001</v>
      </c>
      <c r="BL66" s="654" t="n">
        <v>46001</v>
      </c>
      <c r="BM66" s="654" t="n">
        <v>45994</v>
      </c>
      <c r="BN66" s="654" t="n">
        <v>45986</v>
      </c>
      <c r="BO66" s="654" t="n">
        <v>45980</v>
      </c>
      <c r="BP66" s="654" t="n">
        <v>45980</v>
      </c>
      <c r="BQ66" s="654" t="n">
        <v>45973</v>
      </c>
      <c r="BR66" s="655" t="n">
        <v>45967</v>
      </c>
      <c r="BS66" s="654" t="n">
        <v>45957</v>
      </c>
      <c r="BT66" s="732" t="n"/>
      <c r="BU66" s="655" t="n">
        <v>45950</v>
      </c>
    </row>
    <row r="67" ht="18.75" customHeight="1">
      <c r="A67" s="33" t="inlineStr">
        <is>
          <t>SACOLA P EUDORA</t>
        </is>
      </c>
      <c r="B67" s="9" t="n">
        <v>200</v>
      </c>
      <c r="C67" s="662" t="n">
        <v>183.24</v>
      </c>
      <c r="D67" s="329" t="n"/>
      <c r="F67" s="9" t="n">
        <v>0</v>
      </c>
      <c r="G67" s="9">
        <f>0+BS67</f>
        <v/>
      </c>
      <c r="H67" s="9" t="n">
        <v>200</v>
      </c>
      <c r="I67" s="9" t="n">
        <v>50</v>
      </c>
      <c r="J67" s="9">
        <f>30+BQ67</f>
        <v/>
      </c>
      <c r="K67" s="9" t="n">
        <v>260</v>
      </c>
      <c r="L67" s="9">
        <f>200+BO67+BN67</f>
        <v/>
      </c>
      <c r="M67" s="9" t="n">
        <v>1600</v>
      </c>
      <c r="N67" s="9">
        <f>821+BL67</f>
        <v/>
      </c>
      <c r="O67" s="9" t="n">
        <v>2421</v>
      </c>
      <c r="P67" s="9" t="n">
        <v>2000</v>
      </c>
      <c r="Q67" s="9" t="n">
        <v>1890</v>
      </c>
      <c r="R67" s="9" t="n">
        <v>1800</v>
      </c>
      <c r="S67" s="9">
        <f>2400-800-800</f>
        <v/>
      </c>
      <c r="T67" s="9" t="n">
        <v>719</v>
      </c>
      <c r="U67" s="9" t="n">
        <v>719</v>
      </c>
      <c r="V67" s="9" t="n">
        <v>600</v>
      </c>
      <c r="W67" s="9" t="n">
        <v>400</v>
      </c>
      <c r="X67" s="9" t="n">
        <v>200</v>
      </c>
      <c r="Y67" s="9" t="n">
        <v>600</v>
      </c>
      <c r="Z67" s="9" t="n">
        <v>600</v>
      </c>
      <c r="AA67" s="9" t="n">
        <v>200</v>
      </c>
      <c r="AB67" s="9" t="n">
        <v>800</v>
      </c>
      <c r="AC67" s="9" t="n">
        <v>800</v>
      </c>
      <c r="AD67" s="9" t="n">
        <v>200</v>
      </c>
      <c r="AE67" s="9" t="n">
        <v>200</v>
      </c>
      <c r="AF67" s="9" t="n">
        <v>400</v>
      </c>
      <c r="AG67" s="9" t="n">
        <v>0</v>
      </c>
      <c r="AH67" s="9" t="n">
        <v>0</v>
      </c>
      <c r="AI67" s="9">
        <f>0+AS67</f>
        <v/>
      </c>
      <c r="AJ67" s="9" t="n"/>
      <c r="AK67" s="9" t="n"/>
      <c r="AL67" s="154">
        <f>AJ67+IF(NOT(ISBLANK(OFFSET(AL67,0,6))),N(OFFSET(AL67,0,6)),N(OFFSET(AL67,0,7)))-AK67</f>
        <v/>
      </c>
      <c r="AN67" s="127" t="n"/>
      <c r="AP67" s="65" t="n"/>
      <c r="AR67" s="18" t="n">
        <v>0</v>
      </c>
      <c r="AS67" s="18" t="n">
        <v>400</v>
      </c>
      <c r="AT67" s="18" t="n"/>
      <c r="AU67" s="18" t="n">
        <v>600</v>
      </c>
      <c r="AV67" s="18" t="n"/>
      <c r="AW67" s="18" t="n"/>
      <c r="AX67" s="18" t="n"/>
      <c r="AY67" s="18" t="n"/>
      <c r="AZ67" s="18" t="n">
        <v>400</v>
      </c>
      <c r="BA67" s="18" t="n"/>
      <c r="BB67" s="18" t="n"/>
      <c r="BC67" s="18" t="n"/>
      <c r="BD67" s="154" t="inlineStr">
        <is>
          <t>800 P/ ER PG + 800 P/ ER PBE</t>
        </is>
      </c>
      <c r="BE67" s="18" t="n"/>
      <c r="BF67" s="18" t="n"/>
      <c r="BG67" s="18" t="n">
        <v>400</v>
      </c>
      <c r="BH67" s="18" t="n"/>
      <c r="BI67" s="18" t="n"/>
      <c r="BJ67" s="18" t="n"/>
      <c r="BK67" s="18" t="n"/>
      <c r="BL67" s="18" t="n">
        <v>800</v>
      </c>
      <c r="BM67" s="18" t="n">
        <v>400</v>
      </c>
      <c r="BN67" s="18" t="n">
        <v>400</v>
      </c>
      <c r="BO67" s="18" t="n">
        <v>600</v>
      </c>
      <c r="BP67" s="18" t="n"/>
      <c r="BQ67" s="18" t="n">
        <v>400</v>
      </c>
      <c r="BR67" s="18" t="n"/>
      <c r="BS67" s="18" t="n">
        <v>200</v>
      </c>
      <c r="BT67" s="256" t="n"/>
      <c r="BU67" s="256" t="n"/>
    </row>
    <row r="68" ht="18.75" customHeight="1">
      <c r="A68" s="33" t="inlineStr">
        <is>
          <t>SACOLA M EUDORA</t>
        </is>
      </c>
      <c r="B68" s="9" t="n">
        <v>200</v>
      </c>
      <c r="C68" s="662" t="n">
        <v>240.83</v>
      </c>
      <c r="D68" s="329" t="n"/>
      <c r="F68" s="9" t="n">
        <v>0</v>
      </c>
      <c r="G68" s="9">
        <f>0+BS68</f>
        <v/>
      </c>
      <c r="H68" s="9" t="n">
        <v>200</v>
      </c>
      <c r="I68" s="9" t="n">
        <v>200</v>
      </c>
      <c r="J68" s="9" t="n">
        <v>200</v>
      </c>
      <c r="K68" s="9" t="n">
        <v>200</v>
      </c>
      <c r="L68" s="9">
        <f>200+BN68</f>
        <v/>
      </c>
      <c r="M68" s="9" t="n">
        <v>480</v>
      </c>
      <c r="N68" s="9">
        <f>295+BL68</f>
        <v/>
      </c>
      <c r="O68" s="9" t="n">
        <v>1495</v>
      </c>
      <c r="P68" s="9" t="n">
        <v>1200</v>
      </c>
      <c r="Q68" s="9" t="n">
        <v>1100</v>
      </c>
      <c r="R68" s="9" t="n">
        <v>1100</v>
      </c>
      <c r="S68" s="9">
        <f>1100-400</f>
        <v/>
      </c>
      <c r="T68" s="9" t="n">
        <v>600</v>
      </c>
      <c r="U68" s="9" t="n">
        <v>600</v>
      </c>
      <c r="V68" s="9" t="n">
        <v>600</v>
      </c>
      <c r="W68" s="9" t="n">
        <v>600</v>
      </c>
      <c r="X68" s="9" t="n">
        <v>600</v>
      </c>
      <c r="Y68" s="9" t="n">
        <v>600</v>
      </c>
      <c r="Z68" s="9" t="n">
        <v>600</v>
      </c>
      <c r="AA68" s="9" t="n">
        <v>600</v>
      </c>
      <c r="AB68" s="9" t="n">
        <v>600</v>
      </c>
      <c r="AC68" s="9" t="n">
        <v>600</v>
      </c>
      <c r="AD68" s="9" t="n">
        <v>1000</v>
      </c>
      <c r="AE68" s="9" t="n">
        <v>1000</v>
      </c>
      <c r="AF68" s="9" t="n">
        <v>800</v>
      </c>
      <c r="AG68" s="9" t="n">
        <v>600</v>
      </c>
      <c r="AH68" s="9" t="n">
        <v>600</v>
      </c>
      <c r="AI68" s="9" t="n">
        <v>600</v>
      </c>
      <c r="AJ68" s="9" t="n"/>
      <c r="AK68" s="9" t="n"/>
      <c r="AL68" s="154">
        <f>AJ68+IF(NOT(ISBLANK(OFFSET(AL68,0,6))),N(OFFSET(AL68,0,6)),N(OFFSET(AL68,0,7)))-AK68</f>
        <v/>
      </c>
      <c r="AN68" s="425" t="inlineStr">
        <is>
          <t>200 P/ ER PBE</t>
        </is>
      </c>
      <c r="AP68" s="65" t="n"/>
      <c r="AR68" s="18" t="n">
        <v>0</v>
      </c>
      <c r="AS68" s="18" t="n">
        <v>0</v>
      </c>
      <c r="AT68" s="18" t="n"/>
      <c r="AU68" s="18" t="n"/>
      <c r="AV68" s="18" t="n"/>
      <c r="AW68" s="18" t="n"/>
      <c r="AX68" s="18" t="n"/>
      <c r="AY68" s="18" t="n"/>
      <c r="AZ68" s="18" t="n"/>
      <c r="BA68" s="18" t="n"/>
      <c r="BB68" s="18" t="n"/>
      <c r="BC68" s="18" t="n"/>
      <c r="BD68" s="154" t="inlineStr">
        <is>
          <t>400 P/ ER PG</t>
        </is>
      </c>
      <c r="BE68" s="18" t="n"/>
      <c r="BF68" s="18" t="n"/>
      <c r="BG68" s="18" t="n">
        <v>200</v>
      </c>
      <c r="BH68" s="18" t="n"/>
      <c r="BI68" s="18" t="n"/>
      <c r="BJ68" s="18" t="n"/>
      <c r="BK68" s="18" t="n"/>
      <c r="BL68" s="18" t="n">
        <v>600</v>
      </c>
      <c r="BM68" s="18" t="n"/>
      <c r="BN68" s="18" t="n">
        <v>200</v>
      </c>
      <c r="BO68" s="18" t="n"/>
      <c r="BP68" s="18" t="n"/>
      <c r="BQ68" s="18" t="n"/>
      <c r="BR68" s="18" t="n"/>
      <c r="BS68" s="18" t="n">
        <v>200</v>
      </c>
      <c r="BT68" s="256" t="n"/>
      <c r="BU68" s="256" t="n"/>
    </row>
    <row r="69" ht="18.75" customHeight="1">
      <c r="A69" s="33" t="inlineStr">
        <is>
          <t>SACOLA G EUDORA</t>
        </is>
      </c>
      <c r="B69" s="9" t="n">
        <v>100</v>
      </c>
      <c r="C69" s="662" t="n">
        <v>175.13</v>
      </c>
      <c r="D69" s="329" t="n"/>
      <c r="F69" s="9" t="n">
        <v>0</v>
      </c>
      <c r="G69" s="9" t="n">
        <v>0</v>
      </c>
      <c r="H69" s="9" t="n">
        <v>0</v>
      </c>
      <c r="I69" s="9" t="n">
        <v>0</v>
      </c>
      <c r="J69" s="9" t="n">
        <v>0</v>
      </c>
      <c r="K69" s="9" t="n">
        <v>0</v>
      </c>
      <c r="L69" s="9" t="n">
        <v>0</v>
      </c>
      <c r="M69" s="190" t="n">
        <v>100</v>
      </c>
      <c r="N69" s="9" t="n">
        <v>81</v>
      </c>
      <c r="O69" s="9" t="n">
        <v>181</v>
      </c>
      <c r="P69" s="9" t="n">
        <v>181</v>
      </c>
      <c r="Q69" s="9" t="n">
        <v>100</v>
      </c>
      <c r="R69" s="9" t="n">
        <v>300</v>
      </c>
      <c r="S69" s="9" t="n">
        <v>300</v>
      </c>
      <c r="T69" s="9" t="n">
        <v>200</v>
      </c>
      <c r="U69" s="9" t="n">
        <v>200</v>
      </c>
      <c r="V69" s="9" t="n">
        <v>200</v>
      </c>
      <c r="W69" s="9" t="n">
        <v>200</v>
      </c>
      <c r="X69" s="9" t="n">
        <v>200</v>
      </c>
      <c r="Y69" s="9" t="n">
        <v>300</v>
      </c>
      <c r="Z69" s="9" t="n">
        <v>300</v>
      </c>
      <c r="AA69" s="9" t="n">
        <v>300</v>
      </c>
      <c r="AB69" s="9" t="n">
        <v>300</v>
      </c>
      <c r="AC69" s="9" t="n">
        <v>300</v>
      </c>
      <c r="AD69" s="9" t="n">
        <v>300</v>
      </c>
      <c r="AE69" s="9" t="n">
        <v>300</v>
      </c>
      <c r="AF69" s="9" t="n">
        <v>300</v>
      </c>
      <c r="AG69" s="9" t="n">
        <v>300</v>
      </c>
      <c r="AH69" s="9" t="n">
        <v>300</v>
      </c>
      <c r="AI69" s="9" t="n">
        <v>300</v>
      </c>
      <c r="AJ69" s="9" t="n"/>
      <c r="AK69" s="9" t="n"/>
      <c r="AL69" s="154">
        <f>AJ69+IF(NOT(ISBLANK(OFFSET(AL69,0,6))),N(OFFSET(AL69,0,6)),N(OFFSET(AL69,0,7)))-AK69</f>
        <v/>
      </c>
      <c r="AN69" s="233" t="inlineStr">
        <is>
          <t>200 P/ ER PBE</t>
        </is>
      </c>
      <c r="AP69" s="65" t="n"/>
      <c r="AR69" s="18" t="n">
        <v>0</v>
      </c>
      <c r="AS69" s="18" t="n">
        <v>0</v>
      </c>
      <c r="AT69" s="18" t="n"/>
      <c r="AU69" s="18" t="n"/>
      <c r="AV69" s="18" t="n"/>
      <c r="AW69" s="18" t="n"/>
      <c r="AX69" s="18" t="n"/>
      <c r="AY69" s="18" t="n"/>
      <c r="AZ69" s="18" t="n"/>
      <c r="BA69" s="18" t="n"/>
      <c r="BB69" s="18" t="n"/>
      <c r="BC69" s="18" t="n"/>
      <c r="BD69" s="18" t="n"/>
      <c r="BE69" s="18" t="n"/>
      <c r="BF69" s="18" t="n"/>
      <c r="BG69" s="18" t="n">
        <v>200</v>
      </c>
      <c r="BH69" s="18" t="n"/>
      <c r="BI69" s="18" t="n"/>
      <c r="BJ69" s="18" t="n"/>
      <c r="BK69" s="18" t="n">
        <v>100</v>
      </c>
      <c r="BL69" s="18" t="n"/>
      <c r="BM69" s="18" t="n"/>
      <c r="BN69" s="18" t="n"/>
      <c r="BO69" s="18" t="n"/>
      <c r="BP69" s="18" t="n"/>
      <c r="BQ69" s="18" t="n"/>
      <c r="BR69" s="18" t="n"/>
      <c r="BS69" s="18" t="n"/>
      <c r="BT69" s="256" t="n"/>
      <c r="BU69" s="256" t="n"/>
    </row>
    <row r="70" ht="18.75" customHeight="1">
      <c r="A70" s="43" t="inlineStr">
        <is>
          <t>PAPEL DE SEDA EUDORA</t>
        </is>
      </c>
      <c r="B70" s="149" t="n">
        <v>200</v>
      </c>
      <c r="C70" s="726" t="n">
        <v>29.77</v>
      </c>
      <c r="D70" s="329" t="n"/>
      <c r="F70" s="9" t="n">
        <v>0</v>
      </c>
      <c r="G70" s="9">
        <f>0+BS70</f>
        <v/>
      </c>
      <c r="H70" s="9" t="n">
        <v>2</v>
      </c>
      <c r="I70" s="9" t="n">
        <v>1</v>
      </c>
      <c r="J70" s="9">
        <f>1+BQ70</f>
        <v/>
      </c>
      <c r="K70" s="9">
        <f>1+BP70</f>
        <v/>
      </c>
      <c r="L70" s="9" t="n">
        <v>1</v>
      </c>
      <c r="M70" s="9" t="n">
        <v>1</v>
      </c>
      <c r="N70" s="9" t="n">
        <v>1</v>
      </c>
      <c r="O70" s="9" t="n">
        <v>1</v>
      </c>
      <c r="P70" s="9" t="n">
        <v>1</v>
      </c>
      <c r="Q70" s="9" t="n">
        <v>1</v>
      </c>
      <c r="R70" s="9" t="n">
        <v>5</v>
      </c>
      <c r="S70" s="9">
        <f>5-3-1</f>
        <v/>
      </c>
      <c r="T70" s="9" t="n">
        <v>1</v>
      </c>
      <c r="U70" s="9" t="n">
        <v>1</v>
      </c>
      <c r="V70" s="9" t="n">
        <v>1</v>
      </c>
      <c r="W70" s="9" t="n">
        <v>0</v>
      </c>
      <c r="X70" s="9" t="n">
        <v>0</v>
      </c>
      <c r="Y70" s="9" t="n">
        <v>0</v>
      </c>
      <c r="Z70" s="9" t="n">
        <v>0</v>
      </c>
      <c r="AA70" s="9" t="n">
        <v>0</v>
      </c>
      <c r="AB70" s="9" t="n">
        <v>0</v>
      </c>
      <c r="AC70" s="9" t="n">
        <v>0</v>
      </c>
      <c r="AD70" s="9" t="n">
        <v>0</v>
      </c>
      <c r="AE70" s="9" t="n">
        <v>0</v>
      </c>
      <c r="AF70" s="9" t="n">
        <v>0</v>
      </c>
      <c r="AG70" s="9" t="n">
        <v>0</v>
      </c>
      <c r="AH70" s="9" t="n">
        <v>0</v>
      </c>
      <c r="AI70" s="9" t="n">
        <v>0</v>
      </c>
      <c r="AJ70" s="9" t="n"/>
      <c r="AK70" s="9" t="n"/>
      <c r="AL70" s="154">
        <f>AJ70+IF(NOT(ISBLANK(OFFSET(AL70,0,6))),N(OFFSET(AL70,0,6)),N(OFFSET(AL70,0,7)))-AK70</f>
        <v/>
      </c>
      <c r="AN70" s="19" t="n"/>
      <c r="AP70" s="27" t="n"/>
      <c r="AR70" s="18" t="n">
        <v>0</v>
      </c>
      <c r="AS70" s="18" t="n">
        <v>0</v>
      </c>
      <c r="AT70" s="18" t="n"/>
      <c r="AU70" s="18" t="n"/>
      <c r="AV70" s="18" t="n"/>
      <c r="AW70" s="18" t="n"/>
      <c r="AX70" s="18" t="n"/>
      <c r="AY70" s="18" t="n"/>
      <c r="AZ70" s="18" t="n"/>
      <c r="BA70" s="18" t="n"/>
      <c r="BB70" s="18" t="n"/>
      <c r="BC70" s="18" t="n"/>
      <c r="BD70" s="154" t="inlineStr">
        <is>
          <t>03 P/ ER PG + 01 P/ ER PBE</t>
        </is>
      </c>
      <c r="BE70" s="18" t="n"/>
      <c r="BF70" s="18" t="n"/>
      <c r="BG70" s="18" t="n"/>
      <c r="BH70" s="18" t="n"/>
      <c r="BI70" s="18" t="n"/>
      <c r="BJ70" s="18" t="n"/>
      <c r="BK70" s="18" t="n"/>
      <c r="BL70" s="18" t="n"/>
      <c r="BM70" s="18" t="n"/>
      <c r="BN70" s="18" t="n">
        <v>1</v>
      </c>
      <c r="BO70" s="18" t="n"/>
      <c r="BP70" s="18" t="n">
        <v>2</v>
      </c>
      <c r="BQ70" s="18" t="n">
        <v>1</v>
      </c>
      <c r="BR70" s="18" t="n"/>
      <c r="BS70" s="18" t="n">
        <v>2</v>
      </c>
      <c r="BT70" s="256" t="n"/>
      <c r="BU70" s="256" t="n"/>
    </row>
    <row r="71" ht="18.75" customHeight="1">
      <c r="A71" s="43" t="inlineStr">
        <is>
          <t>ADESIVOS EUDORA</t>
        </is>
      </c>
      <c r="B71" s="149" t="n">
        <v>1000</v>
      </c>
      <c r="C71" s="726" t="n">
        <v>70</v>
      </c>
      <c r="D71" s="329" t="n"/>
      <c r="F71" s="9" t="n">
        <v>0</v>
      </c>
      <c r="G71" s="9">
        <f>0+BS71</f>
        <v/>
      </c>
      <c r="H71" s="9" t="n">
        <v>2</v>
      </c>
      <c r="I71" s="9" t="n">
        <v>1</v>
      </c>
      <c r="J71" s="9">
        <f>1+BQ71</f>
        <v/>
      </c>
      <c r="K71" s="9">
        <f>1+BP71</f>
        <v/>
      </c>
      <c r="L71" s="9" t="n">
        <v>1</v>
      </c>
      <c r="M71" s="9" t="n">
        <v>1</v>
      </c>
      <c r="N71" s="9" t="n">
        <v>1</v>
      </c>
      <c r="O71" s="9" t="n">
        <v>1</v>
      </c>
      <c r="P71" s="9" t="n">
        <v>1</v>
      </c>
      <c r="Q71" s="9" t="n">
        <v>1</v>
      </c>
      <c r="R71" s="9" t="n">
        <v>5</v>
      </c>
      <c r="S71" s="9">
        <f>5-3</f>
        <v/>
      </c>
      <c r="T71" s="9" t="n">
        <v>2</v>
      </c>
      <c r="U71" s="9" t="n">
        <v>2</v>
      </c>
      <c r="V71" s="9" t="n">
        <v>2</v>
      </c>
      <c r="W71" s="9" t="n">
        <v>0</v>
      </c>
      <c r="X71" s="9" t="n">
        <v>0</v>
      </c>
      <c r="Y71" s="9" t="n">
        <v>0</v>
      </c>
      <c r="Z71" s="9" t="n">
        <v>0</v>
      </c>
      <c r="AA71" s="9" t="n">
        <v>0</v>
      </c>
      <c r="AB71" s="9" t="n">
        <v>0</v>
      </c>
      <c r="AC71" s="9" t="n">
        <v>0</v>
      </c>
      <c r="AD71" s="9" t="n">
        <v>0</v>
      </c>
      <c r="AE71" s="9" t="n">
        <v>0</v>
      </c>
      <c r="AF71" s="9" t="n">
        <v>0</v>
      </c>
      <c r="AG71" s="9" t="n">
        <v>0</v>
      </c>
      <c r="AH71" s="9" t="n">
        <v>0</v>
      </c>
      <c r="AI71" s="9" t="n">
        <v>0</v>
      </c>
      <c r="AJ71" s="9" t="n"/>
      <c r="AK71" s="9" t="n"/>
      <c r="AL71" s="154">
        <f>AJ71+IF(NOT(ISBLANK(OFFSET(AL71,0,6))),N(OFFSET(AL71,0,6)),N(OFFSET(AL71,0,7)))-AK71</f>
        <v/>
      </c>
      <c r="AN71" s="19" t="n"/>
      <c r="AP71" s="27" t="n"/>
      <c r="AR71" s="18" t="n">
        <v>0</v>
      </c>
      <c r="AS71" s="18" t="n">
        <v>0</v>
      </c>
      <c r="AT71" s="18" t="n"/>
      <c r="AU71" s="18" t="n"/>
      <c r="AV71" s="18" t="n"/>
      <c r="AW71" s="18" t="n"/>
      <c r="AX71" s="18" t="n"/>
      <c r="AY71" s="18" t="n"/>
      <c r="AZ71" s="18" t="n"/>
      <c r="BA71" s="18" t="n"/>
      <c r="BB71" s="18" t="n"/>
      <c r="BC71" s="18" t="n"/>
      <c r="BD71" s="154" t="inlineStr">
        <is>
          <t>03 P/ ER PG</t>
        </is>
      </c>
      <c r="BE71" s="18" t="n"/>
      <c r="BF71" s="18" t="n"/>
      <c r="BG71" s="18" t="n"/>
      <c r="BH71" s="18" t="n"/>
      <c r="BI71" s="18" t="n"/>
      <c r="BJ71" s="18" t="n"/>
      <c r="BK71" s="18" t="n"/>
      <c r="BL71" s="18" t="n"/>
      <c r="BM71" s="18" t="n"/>
      <c r="BN71" s="18" t="n">
        <v>1</v>
      </c>
      <c r="BO71" s="18" t="n"/>
      <c r="BP71" s="18" t="n">
        <v>2</v>
      </c>
      <c r="BQ71" s="18" t="n">
        <v>1</v>
      </c>
      <c r="BR71" s="18" t="n"/>
      <c r="BS71" s="18" t="n">
        <v>2</v>
      </c>
      <c r="BT71" s="256" t="n"/>
      <c r="BU71" s="256" t="n"/>
    </row>
    <row r="72" ht="18.75" customHeight="1">
      <c r="A72" s="43" t="inlineStr">
        <is>
          <t>LÂMINA OLFATIVA EUDORA</t>
        </is>
      </c>
      <c r="B72" s="204" t="n">
        <v>2000</v>
      </c>
      <c r="C72" s="726" t="n">
        <v>71</v>
      </c>
      <c r="D72" s="329" t="n"/>
      <c r="F72" s="9" t="n">
        <v>0</v>
      </c>
      <c r="G72" s="9" t="n">
        <v>0</v>
      </c>
      <c r="H72" s="9" t="n">
        <v>0</v>
      </c>
      <c r="I72" s="9" t="n">
        <v>0</v>
      </c>
      <c r="J72" s="9" t="n">
        <v>0</v>
      </c>
      <c r="K72" s="9" t="n">
        <v>0</v>
      </c>
      <c r="L72" s="9" t="n">
        <v>0</v>
      </c>
      <c r="M72" s="9" t="n">
        <v>0</v>
      </c>
      <c r="N72" s="9" t="n">
        <v>0</v>
      </c>
      <c r="O72" s="9" t="n">
        <v>0</v>
      </c>
      <c r="P72" s="9" t="n">
        <v>0</v>
      </c>
      <c r="Q72" s="9" t="n">
        <v>0</v>
      </c>
      <c r="R72" s="9" t="n">
        <v>0</v>
      </c>
      <c r="S72" s="9" t="n">
        <v>0</v>
      </c>
      <c r="T72" s="9" t="n">
        <v>0</v>
      </c>
      <c r="U72" s="9" t="n">
        <v>0</v>
      </c>
      <c r="V72" s="9" t="n">
        <v>0</v>
      </c>
      <c r="W72" s="9" t="n">
        <v>0</v>
      </c>
      <c r="X72" s="9" t="n">
        <v>0</v>
      </c>
      <c r="Y72" s="9" t="n">
        <v>0</v>
      </c>
      <c r="Z72" s="9" t="n">
        <v>0</v>
      </c>
      <c r="AA72" s="9" t="n">
        <v>0</v>
      </c>
      <c r="AB72" s="9" t="n">
        <v>0</v>
      </c>
      <c r="AC72" s="9" t="n">
        <v>0</v>
      </c>
      <c r="AD72" s="9" t="n">
        <v>0</v>
      </c>
      <c r="AE72" s="9" t="n">
        <v>0</v>
      </c>
      <c r="AF72" s="9" t="n">
        <v>0</v>
      </c>
      <c r="AG72" s="9" t="n">
        <v>0</v>
      </c>
      <c r="AH72" s="9" t="n">
        <v>0</v>
      </c>
      <c r="AI72" s="9" t="n">
        <v>0</v>
      </c>
      <c r="AJ72" s="9" t="n"/>
      <c r="AK72" s="9" t="n"/>
      <c r="AL72" s="154">
        <f>AJ72+IF(NOT(ISBLANK(OFFSET(AL72,0,6))),N(OFFSET(AL72,0,6)),N(OFFSET(AL72,0,7)))-AK72</f>
        <v/>
      </c>
      <c r="AN72" s="19" t="n"/>
      <c r="AP72" s="27" t="n"/>
      <c r="AR72" s="18" t="n">
        <v>0</v>
      </c>
      <c r="AS72" s="18" t="n">
        <v>0</v>
      </c>
      <c r="AT72" s="18" t="n"/>
      <c r="AU72" s="18" t="n"/>
      <c r="AV72" s="18" t="n"/>
      <c r="AW72" s="18" t="n"/>
      <c r="AX72" s="18" t="n"/>
      <c r="AY72" s="18" t="n"/>
      <c r="AZ72" s="18" t="n"/>
      <c r="BA72" s="18" t="n"/>
      <c r="BB72" s="18" t="n"/>
      <c r="BC72" s="18" t="n"/>
      <c r="BD72" s="18" t="n"/>
      <c r="BE72" s="18" t="n"/>
      <c r="BF72" s="18" t="n"/>
      <c r="BG72" s="18" t="n"/>
      <c r="BH72" s="18" t="n"/>
      <c r="BI72" s="18" t="n"/>
      <c r="BJ72" s="18" t="n"/>
      <c r="BK72" s="18" t="n"/>
      <c r="BL72" s="18" t="n"/>
      <c r="BM72" s="18" t="n"/>
      <c r="BN72" s="18" t="n"/>
      <c r="BO72" s="18" t="n"/>
      <c r="BP72" s="18" t="n"/>
      <c r="BQ72" s="18" t="n"/>
      <c r="BR72" s="18" t="n"/>
      <c r="BS72" s="18" t="n"/>
      <c r="BT72" s="256" t="n"/>
      <c r="BU72" s="256" t="n"/>
    </row>
    <row r="73" ht="18.75" customHeight="1">
      <c r="A73" s="43" t="inlineStr">
        <is>
          <t>KIT SACOLA P EUDORA (C/ 10)</t>
        </is>
      </c>
      <c r="B73" s="149" t="n">
        <v>200</v>
      </c>
      <c r="C73" s="726" t="n">
        <v>184.13</v>
      </c>
      <c r="D73" s="329" t="n"/>
      <c r="F73" s="9" t="n">
        <v>0</v>
      </c>
      <c r="G73" s="9" t="n">
        <v>0</v>
      </c>
      <c r="H73" s="9" t="n">
        <v>0</v>
      </c>
      <c r="I73" s="9" t="n">
        <v>0</v>
      </c>
      <c r="J73" s="9" t="n">
        <v>0</v>
      </c>
      <c r="K73" s="9" t="n">
        <v>0</v>
      </c>
      <c r="L73" s="9" t="n">
        <v>0</v>
      </c>
      <c r="M73" s="190" t="n">
        <v>20</v>
      </c>
      <c r="N73" s="9" t="n">
        <v>19</v>
      </c>
      <c r="O73" s="9" t="n">
        <v>19</v>
      </c>
      <c r="P73" s="9" t="n">
        <v>19</v>
      </c>
      <c r="Q73" s="9" t="n">
        <v>19</v>
      </c>
      <c r="R73" s="9" t="n">
        <v>19</v>
      </c>
      <c r="S73" s="9" t="n">
        <v>19</v>
      </c>
      <c r="T73" s="9" t="n">
        <v>19</v>
      </c>
      <c r="U73" s="190" t="n">
        <v>6</v>
      </c>
      <c r="V73" s="9" t="n">
        <v>6</v>
      </c>
      <c r="W73" s="9" t="n">
        <v>6</v>
      </c>
      <c r="X73" s="9" t="n">
        <v>6</v>
      </c>
      <c r="Y73" s="9" t="n">
        <v>7</v>
      </c>
      <c r="Z73" s="9" t="n">
        <v>7</v>
      </c>
      <c r="AA73" s="9" t="n">
        <v>7</v>
      </c>
      <c r="AB73" s="9" t="n">
        <v>7</v>
      </c>
      <c r="AC73" s="9" t="n">
        <v>7</v>
      </c>
      <c r="AD73" s="9" t="n">
        <v>0</v>
      </c>
      <c r="AE73" s="9" t="n">
        <v>0</v>
      </c>
      <c r="AF73" s="9" t="n">
        <v>0</v>
      </c>
      <c r="AG73" s="9" t="n">
        <v>0</v>
      </c>
      <c r="AH73" s="9" t="n">
        <v>0</v>
      </c>
      <c r="AI73" s="9" t="n">
        <v>0</v>
      </c>
      <c r="AJ73" s="9" t="n">
        <v>0</v>
      </c>
      <c r="AK73" s="9" t="n">
        <v>0</v>
      </c>
      <c r="AL73" s="154">
        <f>AJ73+IF(NOT(ISBLANK(OFFSET(AL73,0,6))),N(OFFSET(AL73,0,6)),N(OFFSET(AL73,0,7)))-AK73</f>
        <v/>
      </c>
      <c r="AN73" s="233" t="inlineStr">
        <is>
          <t>05 DE CDP</t>
        </is>
      </c>
      <c r="AP73" s="19" t="n"/>
      <c r="AR73" s="18" t="n">
        <v>0</v>
      </c>
      <c r="AS73" s="18" t="n">
        <v>0</v>
      </c>
      <c r="AT73" s="18" t="n"/>
      <c r="AU73" s="18" t="n"/>
      <c r="AV73" s="18" t="n"/>
      <c r="AW73" s="18" t="n"/>
      <c r="AX73" s="18" t="n"/>
      <c r="AY73" s="18" t="n"/>
      <c r="AZ73" s="18" t="n"/>
      <c r="BA73" s="18" t="n"/>
      <c r="BB73" s="18" t="n"/>
      <c r="BC73" s="18" t="n"/>
      <c r="BD73" s="18" t="n"/>
      <c r="BE73" s="18" t="n"/>
      <c r="BF73" s="18" t="n"/>
      <c r="BG73" s="18" t="n"/>
      <c r="BH73" s="18" t="n"/>
      <c r="BI73" s="18" t="n"/>
      <c r="BJ73" s="18" t="n"/>
      <c r="BK73" s="18" t="n"/>
      <c r="BL73" s="18" t="n"/>
      <c r="BM73" s="18" t="n"/>
      <c r="BN73" s="18" t="n"/>
      <c r="BO73" s="18" t="n"/>
      <c r="BP73" s="18" t="n"/>
      <c r="BQ73" s="18" t="n"/>
      <c r="BR73" s="18" t="n"/>
      <c r="BS73" s="18" t="n"/>
      <c r="BT73" s="256" t="n"/>
      <c r="BU73" s="256" t="n"/>
    </row>
    <row r="74" ht="18.75" customHeight="1">
      <c r="A74" s="43" t="inlineStr">
        <is>
          <t>KIT SACOLA M EUDORA (C/ 10)</t>
        </is>
      </c>
      <c r="B74" s="149" t="n">
        <v>150</v>
      </c>
      <c r="C74" s="726" t="n">
        <v>181.4</v>
      </c>
      <c r="D74" s="329" t="n"/>
      <c r="F74" s="9">
        <f>0+30</f>
        <v/>
      </c>
      <c r="G74" s="9" t="n">
        <v>30</v>
      </c>
      <c r="H74" s="9" t="n">
        <v>30</v>
      </c>
      <c r="I74" s="9" t="n">
        <v>25</v>
      </c>
      <c r="J74" s="9" t="n">
        <v>19</v>
      </c>
      <c r="K74" s="9" t="n">
        <v>19</v>
      </c>
      <c r="L74" s="9" t="n">
        <v>19</v>
      </c>
      <c r="M74" s="9" t="n">
        <v>19</v>
      </c>
      <c r="N74" s="9" t="n">
        <v>19</v>
      </c>
      <c r="O74" s="9" t="n">
        <v>19</v>
      </c>
      <c r="P74" s="9" t="n">
        <v>19</v>
      </c>
      <c r="Q74" s="9" t="n">
        <v>19</v>
      </c>
      <c r="R74" s="9" t="n">
        <v>19</v>
      </c>
      <c r="S74" s="9" t="n">
        <v>19</v>
      </c>
      <c r="T74" s="9" t="n">
        <v>19</v>
      </c>
      <c r="U74" s="190" t="n">
        <v>0</v>
      </c>
      <c r="V74" s="9" t="n">
        <v>0</v>
      </c>
      <c r="W74" s="9" t="n">
        <v>0</v>
      </c>
      <c r="X74" s="9" t="n">
        <v>0</v>
      </c>
      <c r="Y74" s="9" t="n">
        <v>0</v>
      </c>
      <c r="Z74" s="9" t="n">
        <v>0</v>
      </c>
      <c r="AA74" s="9" t="n">
        <v>0</v>
      </c>
      <c r="AB74" s="9" t="n">
        <v>0</v>
      </c>
      <c r="AC74" s="9" t="n">
        <v>0</v>
      </c>
      <c r="AD74" s="9" t="n">
        <v>0</v>
      </c>
      <c r="AE74" s="9" t="n">
        <v>0</v>
      </c>
      <c r="AF74" s="9" t="n">
        <v>0</v>
      </c>
      <c r="AG74" s="9" t="n">
        <v>0</v>
      </c>
      <c r="AH74" s="9" t="n">
        <v>0</v>
      </c>
      <c r="AI74" s="9" t="n">
        <v>0</v>
      </c>
      <c r="AJ74" s="9" t="n">
        <v>0</v>
      </c>
      <c r="AK74" s="9" t="n">
        <v>0</v>
      </c>
      <c r="AL74" s="154">
        <f>AJ74+IF(NOT(ISBLANK(OFFSET(AL74,0,6))),N(OFFSET(AL74,0,6)),N(OFFSET(AL74,0,7)))-AK74</f>
        <v/>
      </c>
      <c r="AN74" s="233" t="inlineStr">
        <is>
          <t>05 DE CDP</t>
        </is>
      </c>
      <c r="AP74" s="27" t="n"/>
      <c r="AR74" s="18" t="n">
        <v>0</v>
      </c>
      <c r="AS74" s="18" t="n">
        <v>0</v>
      </c>
      <c r="AT74" s="18" t="n"/>
      <c r="AU74" s="18" t="n"/>
      <c r="AV74" s="18" t="n"/>
      <c r="AW74" s="18" t="n"/>
      <c r="AX74" s="18" t="n"/>
      <c r="AY74" s="18" t="n"/>
      <c r="AZ74" s="18" t="n"/>
      <c r="BA74" s="18" t="n"/>
      <c r="BB74" s="18" t="n"/>
      <c r="BC74" s="18" t="n"/>
      <c r="BD74" s="18" t="n"/>
      <c r="BE74" s="18" t="n"/>
      <c r="BF74" s="18" t="n"/>
      <c r="BG74" s="18" t="n"/>
      <c r="BH74" s="18" t="n"/>
      <c r="BI74" s="18" t="n"/>
      <c r="BJ74" s="18" t="n"/>
      <c r="BK74" s="18" t="n"/>
      <c r="BL74" s="18" t="n"/>
      <c r="BM74" s="18" t="n"/>
      <c r="BN74" s="18" t="n"/>
      <c r="BO74" s="18" t="n"/>
      <c r="BP74" s="18" t="n"/>
      <c r="BQ74" s="18" t="n"/>
      <c r="BR74" s="18" t="n"/>
      <c r="BS74" s="18" t="n"/>
      <c r="BT74" s="256" t="n"/>
      <c r="BU74" s="154" t="inlineStr">
        <is>
          <t>30 DE ER PBE</t>
        </is>
      </c>
    </row>
    <row r="75" ht="18.75" customHeight="1">
      <c r="A75" s="43" t="inlineStr">
        <is>
          <t>KIT SACOLA G EUDORA (C/ 10)</t>
        </is>
      </c>
      <c r="B75" s="149" t="inlineStr">
        <is>
          <t>-</t>
        </is>
      </c>
      <c r="C75" s="726" t="inlineStr">
        <is>
          <t>-</t>
        </is>
      </c>
      <c r="D75" s="329" t="n"/>
      <c r="F75" s="9" t="n">
        <v>0</v>
      </c>
      <c r="G75" s="9" t="n">
        <v>0</v>
      </c>
      <c r="H75" s="9" t="n">
        <v>0</v>
      </c>
      <c r="I75" s="9" t="n">
        <v>0</v>
      </c>
      <c r="J75" s="9" t="n">
        <v>0</v>
      </c>
      <c r="K75" s="9" t="n">
        <v>0</v>
      </c>
      <c r="L75" s="9" t="n">
        <v>0</v>
      </c>
      <c r="M75" s="9" t="n">
        <v>0</v>
      </c>
      <c r="N75" s="9" t="n">
        <v>0</v>
      </c>
      <c r="O75" s="9" t="n">
        <v>0</v>
      </c>
      <c r="P75" s="9" t="n">
        <v>0</v>
      </c>
      <c r="Q75" s="9" t="n">
        <v>0</v>
      </c>
      <c r="R75" s="9" t="n">
        <v>0</v>
      </c>
      <c r="S75" s="9" t="n">
        <v>0</v>
      </c>
      <c r="T75" s="9" t="n">
        <v>0</v>
      </c>
      <c r="U75" s="9" t="n">
        <v>0</v>
      </c>
      <c r="V75" s="9" t="n">
        <v>0</v>
      </c>
      <c r="W75" s="9" t="n">
        <v>0</v>
      </c>
      <c r="X75" s="9" t="n">
        <v>0</v>
      </c>
      <c r="Y75" s="9" t="n">
        <v>0</v>
      </c>
      <c r="Z75" s="9" t="n">
        <v>0</v>
      </c>
      <c r="AA75" s="9" t="n">
        <v>0</v>
      </c>
      <c r="AB75" s="9" t="n">
        <v>0</v>
      </c>
      <c r="AC75" s="9" t="n">
        <v>0</v>
      </c>
      <c r="AD75" s="9" t="n">
        <v>0</v>
      </c>
      <c r="AE75" s="9" t="n">
        <v>0</v>
      </c>
      <c r="AF75" s="9" t="n">
        <v>0</v>
      </c>
      <c r="AG75" s="9" t="n">
        <v>0</v>
      </c>
      <c r="AH75" s="9" t="n">
        <v>0</v>
      </c>
      <c r="AI75" s="9" t="n">
        <v>0</v>
      </c>
      <c r="AJ75" s="9" t="n">
        <v>0</v>
      </c>
      <c r="AK75" s="9" t="n">
        <v>0</v>
      </c>
      <c r="AL75" s="154">
        <f>AJ75+IF(NOT(ISBLANK(OFFSET(AL75,0,6))),N(OFFSET(AL75,0,6)),N(OFFSET(AL75,0,7)))-AK75</f>
        <v/>
      </c>
      <c r="AN75" s="233" t="inlineStr">
        <is>
          <t>05 DE CDP</t>
        </is>
      </c>
      <c r="AP75" s="27" t="n"/>
      <c r="AR75" s="18" t="n">
        <v>0</v>
      </c>
      <c r="AS75" s="18" t="n">
        <v>0</v>
      </c>
      <c r="AT75" s="18" t="n"/>
      <c r="AU75" s="18" t="n"/>
      <c r="AV75" s="18" t="n"/>
      <c r="AW75" s="18" t="n"/>
      <c r="AX75" s="18" t="n"/>
      <c r="AY75" s="18" t="n"/>
      <c r="AZ75" s="18" t="n"/>
      <c r="BA75" s="18" t="n"/>
      <c r="BB75" s="18" t="n"/>
      <c r="BC75" s="18" t="n"/>
      <c r="BD75" s="18" t="n"/>
      <c r="BE75" s="18" t="n"/>
      <c r="BF75" s="18" t="n"/>
      <c r="BG75" s="18" t="n"/>
      <c r="BH75" s="18" t="n"/>
      <c r="BI75" s="18" t="n"/>
      <c r="BJ75" s="18" t="n"/>
      <c r="BK75" s="18" t="n"/>
      <c r="BL75" s="18" t="n"/>
      <c r="BM75" s="18" t="n"/>
      <c r="BN75" s="18" t="n"/>
      <c r="BO75" s="18" t="n"/>
      <c r="BP75" s="18" t="n"/>
      <c r="BQ75" s="18" t="n"/>
      <c r="BR75" s="18" t="n"/>
      <c r="BS75" s="18" t="n"/>
      <c r="BT75" s="256" t="n"/>
      <c r="BU75" s="256" t="n"/>
    </row>
    <row r="76" ht="18.75" customHeight="1">
      <c r="A76" s="43" t="inlineStr">
        <is>
          <t>CAIXA P EUDORA</t>
        </is>
      </c>
      <c r="B76" s="149" t="n">
        <v>150</v>
      </c>
      <c r="C76" s="726" t="n">
        <v>400.5</v>
      </c>
      <c r="D76" s="329" t="n"/>
      <c r="F76" s="9">
        <f>0+20</f>
        <v/>
      </c>
      <c r="G76" s="9" t="n">
        <v>20</v>
      </c>
      <c r="H76" s="9" t="n">
        <v>20</v>
      </c>
      <c r="I76" s="9" t="n">
        <v>20</v>
      </c>
      <c r="J76" s="9" t="n">
        <v>20</v>
      </c>
      <c r="K76" s="9" t="n">
        <v>20</v>
      </c>
      <c r="L76" s="9" t="n">
        <v>20</v>
      </c>
      <c r="M76" s="9" t="n">
        <v>0</v>
      </c>
      <c r="N76" s="9" t="n">
        <v>2</v>
      </c>
      <c r="O76" s="9" t="n">
        <v>0</v>
      </c>
      <c r="P76" s="9" t="n">
        <v>0</v>
      </c>
      <c r="Q76" s="9" t="n">
        <v>0</v>
      </c>
      <c r="R76" s="9" t="n">
        <v>0</v>
      </c>
      <c r="S76" s="9" t="n">
        <v>0</v>
      </c>
      <c r="T76" s="9" t="n">
        <v>0</v>
      </c>
      <c r="U76" s="9" t="n">
        <v>1</v>
      </c>
      <c r="V76" s="9" t="n">
        <v>1</v>
      </c>
      <c r="W76" s="9" t="n">
        <v>1</v>
      </c>
      <c r="X76" s="9" t="n">
        <v>1</v>
      </c>
      <c r="Y76" s="9" t="n">
        <v>1</v>
      </c>
      <c r="Z76" s="9" t="n">
        <v>1</v>
      </c>
      <c r="AA76" s="9" t="n">
        <v>1</v>
      </c>
      <c r="AB76" s="9" t="n">
        <v>1</v>
      </c>
      <c r="AC76" s="9" t="n">
        <v>1</v>
      </c>
      <c r="AD76" s="9" t="n">
        <v>1</v>
      </c>
      <c r="AE76" s="9" t="n">
        <v>1</v>
      </c>
      <c r="AF76" s="9" t="n">
        <v>1</v>
      </c>
      <c r="AG76" s="9" t="n">
        <v>1</v>
      </c>
      <c r="AH76" s="9" t="n">
        <v>1</v>
      </c>
      <c r="AI76" s="9" t="n">
        <v>1</v>
      </c>
      <c r="AJ76" s="9" t="n">
        <v>1</v>
      </c>
      <c r="AK76" s="9" t="n">
        <v>1</v>
      </c>
      <c r="AL76" s="154">
        <f>AJ76+IF(NOT(ISBLANK(OFFSET(AL76,0,6))),N(OFFSET(AL76,0,6)),N(OFFSET(AL76,0,7)))-AK76</f>
        <v/>
      </c>
      <c r="AN76" s="19" t="n"/>
      <c r="AP76" s="19" t="n"/>
      <c r="AR76" s="18" t="n">
        <v>0</v>
      </c>
      <c r="AS76" s="18" t="n">
        <v>0</v>
      </c>
      <c r="AT76" s="18" t="n"/>
      <c r="AU76" s="18" t="n"/>
      <c r="AV76" s="18" t="n"/>
      <c r="AW76" s="18" t="n"/>
      <c r="AX76" s="18" t="n"/>
      <c r="AY76" s="18" t="n"/>
      <c r="AZ76" s="18" t="n"/>
      <c r="BA76" s="18" t="n"/>
      <c r="BB76" s="18" t="n"/>
      <c r="BC76" s="18" t="n"/>
      <c r="BD76" s="18" t="n"/>
      <c r="BE76" s="18" t="n"/>
      <c r="BF76" s="18" t="n"/>
      <c r="BG76" s="18" t="n"/>
      <c r="BH76" s="18" t="n"/>
      <c r="BI76" s="18" t="n"/>
      <c r="BJ76" s="18" t="n"/>
      <c r="BK76" s="18" t="n"/>
      <c r="BL76" s="18" t="n"/>
      <c r="BM76" s="18" t="n"/>
      <c r="BN76" s="18" t="n"/>
      <c r="BO76" s="18" t="n"/>
      <c r="BP76" s="18" t="n"/>
      <c r="BQ76" s="18" t="n"/>
      <c r="BR76" s="18" t="n"/>
      <c r="BS76" s="18" t="n"/>
      <c r="BT76" s="256" t="n"/>
      <c r="BU76" s="154" t="inlineStr">
        <is>
          <t xml:space="preserve">20 DE ER PG </t>
        </is>
      </c>
    </row>
    <row r="77" ht="18.75" customHeight="1">
      <c r="A77" s="43" t="inlineStr">
        <is>
          <t>CAIXA M EUDORA</t>
        </is>
      </c>
      <c r="B77" s="149" t="n">
        <v>100</v>
      </c>
      <c r="C77" s="726" t="n">
        <v>365</v>
      </c>
      <c r="D77" s="329" t="n"/>
      <c r="F77" s="9">
        <f>0+20</f>
        <v/>
      </c>
      <c r="G77" s="9" t="n">
        <v>20</v>
      </c>
      <c r="H77" s="9" t="n">
        <v>20</v>
      </c>
      <c r="I77" s="9" t="n">
        <v>20</v>
      </c>
      <c r="J77" s="9" t="n">
        <v>20</v>
      </c>
      <c r="K77" s="9" t="n">
        <v>20</v>
      </c>
      <c r="L77" s="9" t="n">
        <v>20</v>
      </c>
      <c r="M77" s="9" t="n">
        <v>20</v>
      </c>
      <c r="N77" s="9" t="n">
        <v>20</v>
      </c>
      <c r="O77" s="9" t="n">
        <v>20</v>
      </c>
      <c r="P77" s="9" t="n">
        <v>20</v>
      </c>
      <c r="Q77" s="9" t="n">
        <v>20</v>
      </c>
      <c r="R77" s="9" t="n">
        <v>20</v>
      </c>
      <c r="S77" s="9" t="n">
        <v>20</v>
      </c>
      <c r="T77" s="9" t="n">
        <v>20</v>
      </c>
      <c r="U77" s="190" t="n">
        <v>1</v>
      </c>
      <c r="V77" s="9" t="n">
        <v>1</v>
      </c>
      <c r="W77" s="9" t="n">
        <v>1</v>
      </c>
      <c r="X77" s="9" t="n">
        <v>1</v>
      </c>
      <c r="Y77" s="9" t="n">
        <v>1</v>
      </c>
      <c r="Z77" s="9" t="n">
        <v>1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154">
        <f>AJ77+IF(NOT(ISBLANK(OFFSET(AL77,0,6))),N(OFFSET(AL77,0,6)),N(OFFSET(AL77,0,7)))-AK77</f>
        <v/>
      </c>
      <c r="AN77" s="19" t="n"/>
      <c r="AP77" s="19" t="n"/>
      <c r="AR77" s="18" t="n">
        <v>0</v>
      </c>
      <c r="AS77" s="18" t="n">
        <v>0</v>
      </c>
      <c r="AT77" s="18" t="n"/>
      <c r="AU77" s="18" t="n"/>
      <c r="AV77" s="18" t="n"/>
      <c r="AW77" s="18" t="n"/>
      <c r="AX77" s="18" t="n"/>
      <c r="AY77" s="18" t="n"/>
      <c r="AZ77" s="18" t="n"/>
      <c r="BA77" s="18" t="n"/>
      <c r="BB77" s="18" t="n"/>
      <c r="BC77" s="18" t="n"/>
      <c r="BD77" s="18" t="n"/>
      <c r="BE77" s="18" t="n"/>
      <c r="BF77" s="18" t="n"/>
      <c r="BG77" s="18" t="n"/>
      <c r="BH77" s="18" t="n"/>
      <c r="BI77" s="18" t="n"/>
      <c r="BJ77" s="18" t="n"/>
      <c r="BK77" s="18" t="n"/>
      <c r="BL77" s="18" t="n"/>
      <c r="BM77" s="18" t="n"/>
      <c r="BN77" s="18" t="n"/>
      <c r="BO77" s="18" t="n"/>
      <c r="BP77" s="18" t="n"/>
      <c r="BQ77" s="18" t="n"/>
      <c r="BR77" s="18" t="n"/>
      <c r="BS77" s="18" t="n"/>
      <c r="BT77" s="256" t="n"/>
      <c r="BU77" s="154" t="inlineStr">
        <is>
          <t>20 DE ER PBE ( CÓD. 88796 )</t>
        </is>
      </c>
    </row>
    <row r="78" ht="18.75" customHeight="1">
      <c r="A78" s="43" t="inlineStr">
        <is>
          <t>CAIXA G EUDORA</t>
        </is>
      </c>
      <c r="B78" s="149" t="n">
        <v>75</v>
      </c>
      <c r="C78" s="726" t="n">
        <v>438.75</v>
      </c>
      <c r="D78" s="329" t="n"/>
      <c r="F78" s="9">
        <f>0+10+5</f>
        <v/>
      </c>
      <c r="G78" s="9" t="n">
        <v>15</v>
      </c>
      <c r="H78" s="9" t="n">
        <v>15</v>
      </c>
      <c r="I78" s="9" t="n">
        <v>15</v>
      </c>
      <c r="J78" s="9" t="n">
        <v>15</v>
      </c>
      <c r="K78" s="9" t="n">
        <v>15</v>
      </c>
      <c r="L78" s="9" t="n">
        <v>15</v>
      </c>
      <c r="M78" s="9" t="n">
        <v>15</v>
      </c>
      <c r="N78" s="9" t="n">
        <v>15</v>
      </c>
      <c r="O78" s="9" t="n">
        <v>15</v>
      </c>
      <c r="P78" s="9" t="n">
        <v>15</v>
      </c>
      <c r="Q78" s="9" t="n">
        <v>15</v>
      </c>
      <c r="R78" s="9" t="n">
        <v>15</v>
      </c>
      <c r="S78" s="9" t="n">
        <v>15</v>
      </c>
      <c r="T78" s="9" t="n">
        <v>15</v>
      </c>
      <c r="U78" s="9" t="n">
        <v>15</v>
      </c>
      <c r="V78" s="9" t="n">
        <v>15</v>
      </c>
      <c r="W78" s="9" t="n">
        <v>15</v>
      </c>
      <c r="X78" s="9" t="n">
        <v>15</v>
      </c>
      <c r="Y78" s="9" t="n">
        <v>15</v>
      </c>
      <c r="Z78" s="9" t="n">
        <v>15</v>
      </c>
      <c r="AA78" s="9" t="n">
        <v>15</v>
      </c>
      <c r="AB78" s="9" t="n">
        <v>15</v>
      </c>
      <c r="AC78" s="9" t="n">
        <v>15</v>
      </c>
      <c r="AD78" s="9" t="n">
        <v>15</v>
      </c>
      <c r="AE78" s="9" t="n">
        <v>15</v>
      </c>
      <c r="AF78" s="9" t="n">
        <v>15</v>
      </c>
      <c r="AG78" s="9" t="n">
        <v>15</v>
      </c>
      <c r="AH78" s="9" t="n">
        <v>15</v>
      </c>
      <c r="AI78" s="9" t="n">
        <v>15</v>
      </c>
      <c r="AJ78" s="9" t="n">
        <v>15</v>
      </c>
      <c r="AK78" s="9" t="n">
        <v>15</v>
      </c>
      <c r="AL78" s="154">
        <f>AJ78+IF(NOT(ISBLANK(OFFSET(AL78,0,6))),N(OFFSET(AL78,0,6)),N(OFFSET(AL78,0,7)))-AK78</f>
        <v/>
      </c>
      <c r="AN78" s="19" t="n"/>
      <c r="AP78" s="19" t="n"/>
      <c r="AR78" s="18" t="n">
        <v>0</v>
      </c>
      <c r="AS78" s="18" t="n">
        <v>0</v>
      </c>
      <c r="AT78" s="18" t="n"/>
      <c r="AU78" s="18" t="n"/>
      <c r="AV78" s="18" t="n"/>
      <c r="AW78" s="18" t="n"/>
      <c r="AX78" s="18" t="n"/>
      <c r="AY78" s="18" t="n"/>
      <c r="AZ78" s="18" t="n"/>
      <c r="BA78" s="18" t="n"/>
      <c r="BB78" s="18" t="n"/>
      <c r="BC78" s="18" t="n"/>
      <c r="BD78" s="18" t="n"/>
      <c r="BE78" s="18" t="n"/>
      <c r="BF78" s="18" t="n"/>
      <c r="BG78" s="18" t="n"/>
      <c r="BH78" s="18" t="n"/>
      <c r="BI78" s="18" t="n"/>
      <c r="BJ78" s="18" t="n"/>
      <c r="BK78" s="18" t="n"/>
      <c r="BL78" s="18" t="n"/>
      <c r="BM78" s="18" t="n"/>
      <c r="BN78" s="18" t="n"/>
      <c r="BO78" s="18" t="n"/>
      <c r="BP78" s="18" t="n"/>
      <c r="BQ78" s="18" t="n"/>
      <c r="BR78" s="18" t="n"/>
      <c r="BS78" s="18" t="n"/>
      <c r="BT78" s="256" t="n"/>
      <c r="BU78" s="154" t="inlineStr">
        <is>
          <t>10 DE ER PG + 05 DE ER PB</t>
        </is>
      </c>
    </row>
    <row r="79" ht="18.75" customHeight="1">
      <c r="A79" s="31" t="n"/>
      <c r="B79" s="53" t="n"/>
      <c r="C79" s="53" t="n"/>
      <c r="E79" s="53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  <c r="AA79" s="4" t="n"/>
      <c r="AB79" s="4" t="n"/>
      <c r="AC79" s="4" t="n"/>
      <c r="AD79" s="4" t="n"/>
      <c r="AE79" s="4" t="n"/>
      <c r="AF79" s="4" t="n"/>
      <c r="AG79" s="4" t="n"/>
      <c r="AH79" s="4" t="n"/>
      <c r="AI79" s="4" t="n"/>
      <c r="AJ79" s="4" t="n"/>
      <c r="AK79" s="4" t="n"/>
      <c r="AL79" s="53" t="n"/>
      <c r="AN79" s="69" t="n"/>
    </row>
    <row r="80" hidden="1" ht="18.75" customHeight="1">
      <c r="A80" s="374" t="inlineStr">
        <is>
          <t>HARRY POTTER/25</t>
        </is>
      </c>
      <c r="B80" s="375" t="inlineStr">
        <is>
          <t>PC</t>
        </is>
      </c>
      <c r="C80" s="375" t="inlineStr">
        <is>
          <t>R$</t>
        </is>
      </c>
      <c r="D80" s="375" t="n"/>
      <c r="E80" s="53" t="n"/>
      <c r="F80" s="4" t="n"/>
      <c r="G80" s="4" t="n"/>
      <c r="H80" s="4" t="n"/>
      <c r="I80" s="650" t="n">
        <v>45971</v>
      </c>
      <c r="J80" s="650" t="n">
        <v>45978</v>
      </c>
      <c r="K80" s="650" t="n">
        <v>45985</v>
      </c>
      <c r="L80" s="650" t="n">
        <v>45992</v>
      </c>
      <c r="M80" s="650" t="n">
        <v>45999</v>
      </c>
      <c r="N80" s="650" t="n">
        <v>46006</v>
      </c>
      <c r="O80" s="650" t="n">
        <v>46013</v>
      </c>
      <c r="P80" s="650" t="n">
        <v>46020</v>
      </c>
      <c r="Q80" s="650" t="n">
        <v>46027</v>
      </c>
      <c r="R80" s="650" t="n">
        <v>46034</v>
      </c>
      <c r="S80" s="650" t="n">
        <v>46041</v>
      </c>
      <c r="T80" s="650" t="n">
        <v>46048</v>
      </c>
      <c r="U80" s="650" t="n"/>
      <c r="V80" s="650" t="n"/>
      <c r="W80" s="650" t="n"/>
      <c r="X80" s="650" t="n"/>
      <c r="Y80" s="650" t="n"/>
      <c r="Z80" s="650" t="n"/>
      <c r="AA80" s="650" t="n"/>
      <c r="AB80" s="650" t="n"/>
      <c r="AC80" s="650" t="n"/>
      <c r="AD80" s="650" t="n"/>
      <c r="AE80" s="650" t="n"/>
      <c r="AF80" s="650" t="n"/>
      <c r="AG80" s="650" t="n"/>
      <c r="AH80" s="650" t="n"/>
      <c r="AI80" s="650" t="n"/>
      <c r="AJ80" s="650" t="n"/>
      <c r="AK80" s="650" t="n"/>
      <c r="AL80" s="660" t="inlineStr">
        <is>
          <t>USOU</t>
        </is>
      </c>
      <c r="AN80" s="69" t="n"/>
    </row>
    <row r="81" hidden="1" ht="18.75" customHeight="1">
      <c r="A81" s="33" t="inlineStr">
        <is>
          <t>SACOLA G HP/25</t>
        </is>
      </c>
      <c r="B81" s="9" t="n">
        <v>100</v>
      </c>
      <c r="C81" s="662" t="n">
        <v>316</v>
      </c>
      <c r="D81" s="329" t="n"/>
      <c r="E81" s="53" t="n"/>
      <c r="F81" s="4" t="n"/>
      <c r="G81" s="4" t="n"/>
      <c r="H81" s="4" t="n"/>
      <c r="I81" s="38" t="n"/>
      <c r="J81" s="38" t="n"/>
      <c r="K81" s="38" t="n">
        <v>0</v>
      </c>
      <c r="L81" s="38" t="n">
        <v>0</v>
      </c>
      <c r="M81" s="38" t="n">
        <v>0</v>
      </c>
      <c r="N81" s="38" t="n">
        <v>0</v>
      </c>
      <c r="O81" s="38" t="n">
        <v>0</v>
      </c>
      <c r="P81" s="38" t="n">
        <v>0</v>
      </c>
      <c r="Q81" s="38" t="n">
        <v>0</v>
      </c>
      <c r="R81" s="38" t="n">
        <v>0</v>
      </c>
      <c r="S81" s="38" t="n">
        <v>0</v>
      </c>
      <c r="T81" s="38" t="n">
        <v>0</v>
      </c>
      <c r="U81" s="38" t="n"/>
      <c r="V81" s="38" t="n"/>
      <c r="W81" s="38" t="n"/>
      <c r="X81" s="38" t="n"/>
      <c r="Y81" s="38" t="n"/>
      <c r="Z81" s="38" t="n"/>
      <c r="AA81" s="38" t="n"/>
      <c r="AB81" s="38" t="n"/>
      <c r="AC81" s="38" t="n"/>
      <c r="AD81" s="38" t="n"/>
      <c r="AE81" s="38" t="n"/>
      <c r="AF81" s="38" t="n"/>
      <c r="AG81" s="38" t="n"/>
      <c r="AH81" s="38" t="n"/>
      <c r="AI81" s="38" t="n"/>
      <c r="AJ81" s="38" t="n"/>
      <c r="AK81" s="38" t="n"/>
      <c r="AL81" s="246" t="n">
        <v>0</v>
      </c>
      <c r="AN81" s="69" t="n"/>
    </row>
    <row r="82" hidden="1" ht="18.75" customHeight="1">
      <c r="A82" s="33" t="inlineStr">
        <is>
          <t>TAG HP/25</t>
        </is>
      </c>
      <c r="B82" s="9" t="n">
        <v>100</v>
      </c>
      <c r="C82" s="662" t="n">
        <v>41</v>
      </c>
      <c r="D82" s="329" t="n"/>
      <c r="E82" s="53" t="n"/>
      <c r="F82" s="4" t="n"/>
      <c r="G82" s="4" t="n"/>
      <c r="H82" s="4" t="n"/>
      <c r="I82" s="38" t="n"/>
      <c r="J82" s="38" t="n"/>
      <c r="K82" s="38" t="n">
        <v>0</v>
      </c>
      <c r="L82" s="38" t="n">
        <v>0</v>
      </c>
      <c r="M82" s="38" t="n">
        <v>0</v>
      </c>
      <c r="N82" s="38" t="n">
        <v>0</v>
      </c>
      <c r="O82" s="38" t="n">
        <v>0</v>
      </c>
      <c r="P82" s="38" t="n">
        <v>0</v>
      </c>
      <c r="Q82" s="38" t="n">
        <v>0</v>
      </c>
      <c r="R82" s="38" t="n">
        <v>0</v>
      </c>
      <c r="S82" s="38" t="n">
        <v>0</v>
      </c>
      <c r="T82" s="38" t="n">
        <v>0</v>
      </c>
      <c r="U82" s="38" t="n"/>
      <c r="V82" s="38" t="n"/>
      <c r="W82" s="38" t="n"/>
      <c r="X82" s="38" t="n"/>
      <c r="Y82" s="38" t="n"/>
      <c r="Z82" s="38" t="n"/>
      <c r="AA82" s="38" t="n"/>
      <c r="AB82" s="38" t="n"/>
      <c r="AC82" s="38" t="n"/>
      <c r="AD82" s="38" t="n"/>
      <c r="AE82" s="38" t="n"/>
      <c r="AF82" s="38" t="n"/>
      <c r="AG82" s="38" t="n"/>
      <c r="AH82" s="38" t="n"/>
      <c r="AI82" s="38" t="n"/>
      <c r="AJ82" s="38" t="n"/>
      <c r="AK82" s="38" t="n"/>
      <c r="AL82" s="246" t="n">
        <v>0</v>
      </c>
      <c r="AN82" s="69" t="n"/>
    </row>
    <row r="83" hidden="1" ht="18.75" customHeight="1">
      <c r="A83" s="33" t="inlineStr">
        <is>
          <t>CARTUCHO P HP/25</t>
        </is>
      </c>
      <c r="B83" s="9" t="n">
        <v>150</v>
      </c>
      <c r="C83" s="662" t="n">
        <v>478.5</v>
      </c>
      <c r="D83" s="329" t="n"/>
      <c r="E83" s="53" t="n"/>
      <c r="F83" s="4" t="n"/>
      <c r="G83" s="4" t="n"/>
      <c r="H83" s="4" t="n"/>
      <c r="I83" s="38" t="n"/>
      <c r="J83" s="38" t="n"/>
      <c r="K83" s="38" t="n">
        <v>0</v>
      </c>
      <c r="L83" s="38" t="n">
        <v>0</v>
      </c>
      <c r="M83" s="38" t="n">
        <v>0</v>
      </c>
      <c r="N83" s="38" t="n">
        <v>0</v>
      </c>
      <c r="O83" s="38" t="n">
        <v>0</v>
      </c>
      <c r="P83" s="38" t="n">
        <v>0</v>
      </c>
      <c r="Q83" s="38" t="n">
        <v>0</v>
      </c>
      <c r="R83" s="38" t="n">
        <v>0</v>
      </c>
      <c r="S83" s="38" t="n">
        <v>0</v>
      </c>
      <c r="T83" s="38" t="n">
        <v>0</v>
      </c>
      <c r="U83" s="38" t="n"/>
      <c r="V83" s="38" t="n"/>
      <c r="W83" s="38" t="n"/>
      <c r="X83" s="38" t="n"/>
      <c r="Y83" s="38" t="n"/>
      <c r="Z83" s="38" t="n"/>
      <c r="AA83" s="38" t="n"/>
      <c r="AB83" s="38" t="n"/>
      <c r="AC83" s="38" t="n"/>
      <c r="AD83" s="38" t="n"/>
      <c r="AE83" s="38" t="n"/>
      <c r="AF83" s="38" t="n"/>
      <c r="AG83" s="38" t="n"/>
      <c r="AH83" s="38" t="n"/>
      <c r="AI83" s="38" t="n"/>
      <c r="AJ83" s="38" t="n"/>
      <c r="AK83" s="38" t="n"/>
      <c r="AL83" s="246" t="n">
        <v>0</v>
      </c>
      <c r="AN83" s="69" t="n"/>
    </row>
    <row r="84" hidden="1" ht="18.75" customHeight="1">
      <c r="A84" s="31" t="n"/>
      <c r="B84" s="53" t="n"/>
      <c r="C84" s="53" t="n"/>
      <c r="E84" s="53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  <c r="AA84" s="4" t="n"/>
      <c r="AB84" s="4" t="n"/>
      <c r="AC84" s="4" t="n"/>
      <c r="AD84" s="4" t="n"/>
      <c r="AE84" s="4" t="n"/>
      <c r="AF84" s="4" t="n"/>
      <c r="AG84" s="4" t="n"/>
      <c r="AH84" s="4" t="n"/>
      <c r="AI84" s="4" t="n"/>
      <c r="AJ84" s="4" t="n"/>
      <c r="AK84" s="4" t="n"/>
      <c r="AL84" s="53" t="n"/>
      <c r="AN84" s="69" t="n"/>
    </row>
    <row r="85" ht="18.75" customHeight="1">
      <c r="A85" s="406" t="inlineStr">
        <is>
          <t>HOMEM ARANHA/25</t>
        </is>
      </c>
      <c r="B85" s="407" t="inlineStr">
        <is>
          <t>PC</t>
        </is>
      </c>
      <c r="C85" s="407" t="inlineStr">
        <is>
          <t>R$</t>
        </is>
      </c>
      <c r="D85" s="407" t="n"/>
      <c r="E85" s="53" t="n"/>
      <c r="F85" s="4" t="n"/>
      <c r="G85" s="4" t="n"/>
      <c r="H85" s="4" t="n"/>
      <c r="I85" s="650" t="n">
        <v>45971</v>
      </c>
      <c r="J85" s="650" t="n">
        <v>45978</v>
      </c>
      <c r="K85" s="650" t="n">
        <v>45985</v>
      </c>
      <c r="L85" s="650" t="n">
        <v>45992</v>
      </c>
      <c r="M85" s="650" t="n">
        <v>45999</v>
      </c>
      <c r="N85" s="650" t="n">
        <v>46006</v>
      </c>
      <c r="O85" s="650" t="n">
        <v>46013</v>
      </c>
      <c r="P85" s="650" t="n">
        <v>46020</v>
      </c>
      <c r="Q85" s="650" t="n">
        <v>46027</v>
      </c>
      <c r="R85" s="650" t="n">
        <v>46034</v>
      </c>
      <c r="S85" s="650" t="n">
        <v>46041</v>
      </c>
      <c r="T85" s="650" t="n">
        <v>46048</v>
      </c>
      <c r="U85" s="650" t="n">
        <v>46055</v>
      </c>
      <c r="V85" s="650" t="n">
        <v>46062</v>
      </c>
      <c r="W85" s="650" t="n">
        <v>46069</v>
      </c>
      <c r="X85" s="650" t="n">
        <v>46076</v>
      </c>
      <c r="Y85" s="650" t="n">
        <v>46083</v>
      </c>
      <c r="Z85" s="650" t="n">
        <v>46090</v>
      </c>
      <c r="AA85" s="650" t="n">
        <v>46097</v>
      </c>
      <c r="AB85" s="650" t="n">
        <v>46104</v>
      </c>
      <c r="AC85" s="650" t="n">
        <v>46111</v>
      </c>
      <c r="AD85" s="650" t="n">
        <v>46118</v>
      </c>
      <c r="AE85" s="650" t="n">
        <v>46125</v>
      </c>
      <c r="AF85" s="650" t="n">
        <v>46132</v>
      </c>
      <c r="AG85" s="650" t="n">
        <v>46139</v>
      </c>
      <c r="AH85" s="650" t="n">
        <v>46146</v>
      </c>
      <c r="AI85" s="650" t="n">
        <v>46154</v>
      </c>
      <c r="AJ85" s="650" t="n">
        <v>46160</v>
      </c>
      <c r="AK85" s="650" t="n">
        <v>46160</v>
      </c>
      <c r="AL85" s="660" t="inlineStr">
        <is>
          <t>USOU</t>
        </is>
      </c>
      <c r="AN85" s="69" t="n"/>
    </row>
    <row r="86" hidden="1" ht="18.75" customHeight="1">
      <c r="A86" s="33" t="inlineStr">
        <is>
          <t>SACOLA M</t>
        </is>
      </c>
      <c r="B86" s="9" t="n">
        <v>200</v>
      </c>
      <c r="C86" s="662" t="n">
        <v>479.2</v>
      </c>
      <c r="D86" s="329" t="n"/>
      <c r="E86" s="53" t="n"/>
      <c r="F86" s="4" t="n"/>
      <c r="G86" s="4" t="n"/>
      <c r="H86" s="4" t="n"/>
      <c r="I86" s="38" t="n"/>
      <c r="J86" s="38" t="n"/>
      <c r="K86" s="38" t="n">
        <v>0</v>
      </c>
      <c r="L86" s="38" t="n">
        <v>0</v>
      </c>
      <c r="M86" s="38" t="n">
        <v>0</v>
      </c>
      <c r="N86" s="38" t="n">
        <v>0</v>
      </c>
      <c r="O86" s="38" t="n">
        <v>0</v>
      </c>
      <c r="P86" s="38" t="n">
        <v>0</v>
      </c>
      <c r="Q86" s="38" t="n">
        <v>0</v>
      </c>
      <c r="R86" s="38" t="n">
        <v>0</v>
      </c>
      <c r="S86" s="38" t="n">
        <v>0</v>
      </c>
      <c r="T86" s="38" t="n">
        <v>0</v>
      </c>
      <c r="U86" s="38" t="n">
        <v>0</v>
      </c>
      <c r="V86" s="38" t="n"/>
      <c r="W86" s="38" t="n"/>
      <c r="X86" s="38" t="n"/>
      <c r="Y86" s="38" t="n"/>
      <c r="Z86" s="38" t="n"/>
      <c r="AA86" s="38" t="n"/>
      <c r="AB86" s="38" t="n"/>
      <c r="AC86" s="38" t="n"/>
      <c r="AD86" s="38" t="n"/>
      <c r="AE86" s="38" t="n"/>
      <c r="AF86" s="38" t="n"/>
      <c r="AG86" s="38" t="n"/>
      <c r="AH86" s="38" t="n"/>
      <c r="AI86" s="38" t="n"/>
      <c r="AJ86" s="38" t="n"/>
      <c r="AK86" s="38" t="n"/>
      <c r="AL86" s="246">
        <f>AJ86+IF(NOT(ISBLANK(OFFSET(AL86,0,6))),N(OFFSET(AL86,0,6)),N(OFFSET(AL86,0,7)))-AK86</f>
        <v/>
      </c>
      <c r="AN86" s="69" t="n"/>
    </row>
    <row r="87" ht="18.75" customHeight="1">
      <c r="A87" s="33" t="inlineStr">
        <is>
          <t>PAPEL DE SEDA</t>
        </is>
      </c>
      <c r="B87" s="9" t="n">
        <v>200</v>
      </c>
      <c r="C87" s="662" t="n">
        <v>45.47</v>
      </c>
      <c r="D87" s="329" t="n"/>
      <c r="E87" s="53" t="n"/>
      <c r="F87" s="4" t="n"/>
      <c r="G87" s="4" t="n"/>
      <c r="H87" s="4" t="n"/>
      <c r="I87" s="38" t="n"/>
      <c r="J87" s="38" t="n"/>
      <c r="K87" s="38" t="n">
        <v>20</v>
      </c>
      <c r="L87" s="38" t="n">
        <v>20</v>
      </c>
      <c r="M87" s="38" t="n">
        <v>20</v>
      </c>
      <c r="N87" s="38" t="n">
        <v>18</v>
      </c>
      <c r="O87" s="38" t="n">
        <v>18</v>
      </c>
      <c r="P87" s="38" t="n">
        <v>18</v>
      </c>
      <c r="Q87" s="38" t="n">
        <v>18</v>
      </c>
      <c r="R87" s="38" t="n">
        <v>18</v>
      </c>
      <c r="S87" s="38" t="n">
        <v>18</v>
      </c>
      <c r="T87" s="38" t="n">
        <v>18</v>
      </c>
      <c r="U87" s="38" t="n">
        <v>18</v>
      </c>
      <c r="V87" s="38" t="n">
        <v>18</v>
      </c>
      <c r="W87" s="38" t="n">
        <v>18</v>
      </c>
      <c r="X87" s="38" t="n">
        <v>18</v>
      </c>
      <c r="Y87" s="38" t="n">
        <v>18</v>
      </c>
      <c r="Z87" s="38" t="n">
        <v>18</v>
      </c>
      <c r="AA87" s="38" t="n">
        <v>18</v>
      </c>
      <c r="AB87" s="38" t="n">
        <v>18</v>
      </c>
      <c r="AC87" s="38" t="n">
        <v>0</v>
      </c>
      <c r="AD87" s="38" t="n">
        <v>0</v>
      </c>
      <c r="AE87" s="38" t="n">
        <v>0</v>
      </c>
      <c r="AF87" s="38" t="n">
        <v>0</v>
      </c>
      <c r="AG87" s="38" t="n">
        <v>0</v>
      </c>
      <c r="AH87" s="38" t="n">
        <v>0</v>
      </c>
      <c r="AI87" s="38" t="n">
        <v>0</v>
      </c>
      <c r="AJ87" s="38" t="n">
        <v>0</v>
      </c>
      <c r="AK87" s="38" t="n"/>
      <c r="AL87" s="246">
        <f>AJ87+IF(NOT(ISBLANK(OFFSET(AL87,0,6))),N(OFFSET(AL87,0,6)),N(OFFSET(AL87,0,7)))-AK87</f>
        <v/>
      </c>
      <c r="AN87" s="69" t="n"/>
    </row>
    <row r="88" hidden="1" ht="18.75" customHeight="1">
      <c r="A88" s="33" t="inlineStr">
        <is>
          <t>CAIXA M</t>
        </is>
      </c>
      <c r="B88" s="9" t="n">
        <v>100</v>
      </c>
      <c r="C88" s="662" t="n">
        <v>1490</v>
      </c>
      <c r="D88" s="329" t="n"/>
      <c r="E88" s="53" t="n"/>
      <c r="F88" s="4" t="n"/>
      <c r="G88" s="4" t="n"/>
      <c r="H88" s="4" t="n"/>
      <c r="I88" s="38" t="n"/>
      <c r="J88" s="38" t="n"/>
      <c r="K88" s="38" t="n">
        <v>0</v>
      </c>
      <c r="L88" s="38" t="n">
        <v>0</v>
      </c>
      <c r="M88" s="38" t="n">
        <v>0</v>
      </c>
      <c r="N88" s="38" t="n">
        <v>0</v>
      </c>
      <c r="O88" s="38" t="n">
        <v>0</v>
      </c>
      <c r="P88" s="38" t="n">
        <v>0</v>
      </c>
      <c r="Q88" s="38" t="n">
        <v>0</v>
      </c>
      <c r="R88" s="38" t="n">
        <v>0</v>
      </c>
      <c r="S88" s="38" t="n">
        <v>0</v>
      </c>
      <c r="T88" s="38" t="n">
        <v>0</v>
      </c>
      <c r="U88" s="38" t="n">
        <v>0</v>
      </c>
      <c r="V88" s="38" t="n"/>
      <c r="W88" s="38" t="n"/>
      <c r="X88" s="38" t="n"/>
      <c r="Y88" s="38" t="n"/>
      <c r="Z88" s="38" t="n"/>
      <c r="AA88" s="38" t="n"/>
      <c r="AB88" s="38" t="n"/>
      <c r="AC88" s="38" t="n"/>
      <c r="AD88" s="38" t="n"/>
      <c r="AE88" s="38" t="n"/>
      <c r="AF88" s="38" t="n"/>
      <c r="AG88" s="38" t="n"/>
      <c r="AH88" s="38" t="n"/>
      <c r="AI88" s="38" t="n"/>
      <c r="AJ88" s="38" t="n"/>
      <c r="AK88" s="38" t="n"/>
      <c r="AL88" s="246">
        <f>AJ88+IF(NOT(ISBLANK(OFFSET(AL88,0,6))),N(OFFSET(AL88,0,6)),N(OFFSET(AL88,0,7)))-AK88</f>
        <v/>
      </c>
      <c r="AN88" s="69" t="n"/>
    </row>
    <row r="89" ht="18.75" customHeight="1">
      <c r="E89" s="53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  <c r="AA89" s="4" t="n"/>
      <c r="AB89" s="4" t="n"/>
      <c r="AC89" s="4" t="n"/>
      <c r="AD89" s="4" t="n"/>
      <c r="AE89" s="4" t="n"/>
      <c r="AF89" s="4" t="n"/>
      <c r="AG89" s="4" t="n"/>
      <c r="AH89" s="4" t="n"/>
      <c r="AI89" s="4" t="n"/>
      <c r="AJ89" s="4" t="n"/>
      <c r="AK89" s="4" t="n"/>
      <c r="AL89" s="53" t="n"/>
      <c r="AN89" s="69" t="n"/>
    </row>
    <row r="90" ht="18.75" customHeight="1">
      <c r="A90" s="408" t="inlineStr">
        <is>
          <t>EUDORA NATAL/25</t>
        </is>
      </c>
      <c r="B90" s="409" t="inlineStr">
        <is>
          <t>PC</t>
        </is>
      </c>
      <c r="C90" s="409" t="inlineStr">
        <is>
          <t>R$</t>
        </is>
      </c>
      <c r="D90" s="409" t="n"/>
      <c r="E90" s="53" t="n"/>
      <c r="F90" s="4" t="n"/>
      <c r="G90" s="4" t="n"/>
      <c r="H90" s="4" t="n"/>
      <c r="I90" s="650" t="n">
        <v>45971</v>
      </c>
      <c r="J90" s="650" t="n">
        <v>45978</v>
      </c>
      <c r="K90" s="650" t="n">
        <v>45985</v>
      </c>
      <c r="L90" s="650" t="n">
        <v>45992</v>
      </c>
      <c r="M90" s="650" t="n">
        <v>45999</v>
      </c>
      <c r="N90" s="650" t="n">
        <v>46006</v>
      </c>
      <c r="O90" s="650" t="n">
        <v>46013</v>
      </c>
      <c r="P90" s="650" t="n">
        <v>46020</v>
      </c>
      <c r="Q90" s="650" t="n">
        <v>46027</v>
      </c>
      <c r="R90" s="650" t="n">
        <v>46034</v>
      </c>
      <c r="S90" s="650" t="n">
        <v>46041</v>
      </c>
      <c r="T90" s="650" t="n">
        <v>46048</v>
      </c>
      <c r="U90" s="650" t="n">
        <v>46055</v>
      </c>
      <c r="V90" s="650" t="n">
        <v>46062</v>
      </c>
      <c r="W90" s="650" t="n">
        <v>46069</v>
      </c>
      <c r="X90" s="650" t="n">
        <v>46076</v>
      </c>
      <c r="Y90" s="650" t="n">
        <v>46083</v>
      </c>
      <c r="Z90" s="650" t="n">
        <v>46090</v>
      </c>
      <c r="AA90" s="650" t="n">
        <v>46097</v>
      </c>
      <c r="AB90" s="650" t="n">
        <v>46104</v>
      </c>
      <c r="AC90" s="650" t="n">
        <v>46111</v>
      </c>
      <c r="AD90" s="650" t="n">
        <v>46118</v>
      </c>
      <c r="AE90" s="650" t="n">
        <v>46125</v>
      </c>
      <c r="AF90" s="650" t="n">
        <v>46132</v>
      </c>
      <c r="AG90" s="650" t="n">
        <v>46139</v>
      </c>
      <c r="AH90" s="650" t="n">
        <v>46146</v>
      </c>
      <c r="AI90" s="650" t="n">
        <v>46154</v>
      </c>
      <c r="AJ90" s="650" t="n">
        <v>46160</v>
      </c>
      <c r="AK90" s="650" t="n">
        <v>46160</v>
      </c>
      <c r="AL90" s="660" t="inlineStr">
        <is>
          <t>USOU</t>
        </is>
      </c>
      <c r="AN90" s="69" t="n"/>
    </row>
    <row r="91" ht="18.75" customHeight="1">
      <c r="A91" s="33" t="inlineStr">
        <is>
          <t xml:space="preserve">SACOLA M </t>
        </is>
      </c>
      <c r="B91" s="9" t="n">
        <v>200</v>
      </c>
      <c r="C91" s="662" t="n">
        <v>336</v>
      </c>
      <c r="D91" s="329" t="n"/>
      <c r="E91" s="53" t="n"/>
      <c r="F91" s="4" t="n"/>
      <c r="G91" s="4" t="n"/>
      <c r="H91" s="4" t="n"/>
      <c r="I91" s="38" t="n"/>
      <c r="J91" s="38" t="n"/>
      <c r="K91" s="38" t="n">
        <v>70</v>
      </c>
      <c r="L91" s="38" t="n">
        <v>56</v>
      </c>
      <c r="M91" s="38" t="n">
        <v>47</v>
      </c>
      <c r="N91" s="38" t="n">
        <v>36</v>
      </c>
      <c r="O91" s="38" t="n">
        <v>28</v>
      </c>
      <c r="P91" s="38" t="n">
        <v>28</v>
      </c>
      <c r="Q91" s="38" t="n">
        <v>28</v>
      </c>
      <c r="R91" s="38" t="n">
        <v>28</v>
      </c>
      <c r="S91" s="38" t="n">
        <v>28</v>
      </c>
      <c r="T91" s="38" t="n">
        <v>28</v>
      </c>
      <c r="U91" s="38" t="n">
        <v>28</v>
      </c>
      <c r="V91" s="38" t="n">
        <v>28</v>
      </c>
      <c r="W91" s="38" t="n">
        <v>28</v>
      </c>
      <c r="X91" s="38" t="n">
        <v>28</v>
      </c>
      <c r="Y91" s="261" t="n">
        <v>0</v>
      </c>
      <c r="Z91" s="38" t="n">
        <v>0</v>
      </c>
      <c r="AA91" s="38" t="n">
        <v>0</v>
      </c>
      <c r="AB91" s="38" t="n">
        <v>0</v>
      </c>
      <c r="AC91" s="38" t="n">
        <v>0</v>
      </c>
      <c r="AD91" s="38" t="n">
        <v>0</v>
      </c>
      <c r="AE91" s="38" t="n">
        <v>0</v>
      </c>
      <c r="AF91" s="38" t="n">
        <v>0</v>
      </c>
      <c r="AG91" s="38" t="n">
        <v>0</v>
      </c>
      <c r="AH91" s="38" t="n">
        <v>0</v>
      </c>
      <c r="AI91" s="38" t="n">
        <v>0</v>
      </c>
      <c r="AJ91" s="38" t="n">
        <v>0</v>
      </c>
      <c r="AK91" s="38" t="n">
        <v>0</v>
      </c>
      <c r="AL91" s="246">
        <f>AJ91+IF(NOT(ISBLANK(OFFSET(AL91,0,6))),N(OFFSET(AL91,0,6)),N(OFFSET(AL91,0,7)))-AK91</f>
        <v/>
      </c>
      <c r="AN91" s="69" t="n"/>
    </row>
    <row r="92" hidden="1" ht="18.75" customHeight="1">
      <c r="A92" s="33" t="inlineStr">
        <is>
          <t>PAPEL DE SEDA</t>
        </is>
      </c>
      <c r="B92" s="9" t="n">
        <v>200</v>
      </c>
      <c r="C92" s="662" t="n">
        <v>54</v>
      </c>
      <c r="D92" s="329" t="n"/>
      <c r="E92" s="53" t="n"/>
      <c r="F92" s="4" t="n"/>
      <c r="G92" s="4" t="n"/>
      <c r="H92" s="4" t="n"/>
      <c r="I92" s="38" t="n"/>
      <c r="J92" s="38" t="n"/>
      <c r="K92" s="38" t="n">
        <v>0</v>
      </c>
      <c r="L92" s="38" t="n">
        <v>0</v>
      </c>
      <c r="M92" s="38" t="n">
        <v>0</v>
      </c>
      <c r="N92" s="38" t="n">
        <v>0</v>
      </c>
      <c r="O92" s="38" t="n">
        <v>0</v>
      </c>
      <c r="P92" s="38" t="n">
        <v>0</v>
      </c>
      <c r="Q92" s="38" t="n">
        <v>0</v>
      </c>
      <c r="R92" s="38" t="n">
        <v>0</v>
      </c>
      <c r="S92" s="38" t="n">
        <v>0</v>
      </c>
      <c r="T92" s="38" t="n">
        <v>0</v>
      </c>
      <c r="U92" s="38" t="n">
        <v>0</v>
      </c>
      <c r="V92" s="38" t="n"/>
      <c r="W92" s="38" t="n"/>
      <c r="X92" s="38" t="n"/>
      <c r="Y92" s="261" t="n"/>
      <c r="Z92" s="38" t="n"/>
      <c r="AA92" s="38" t="n"/>
      <c r="AB92" s="38" t="n"/>
      <c r="AC92" s="38" t="n"/>
      <c r="AD92" s="38" t="n"/>
      <c r="AE92" s="38" t="n"/>
      <c r="AF92" s="38" t="n"/>
      <c r="AG92" s="38" t="n"/>
      <c r="AH92" s="38" t="n"/>
      <c r="AI92" s="38" t="n"/>
      <c r="AJ92" s="38" t="n"/>
      <c r="AK92" s="38" t="n"/>
      <c r="AL92" s="246">
        <f>AJ92+IF(NOT(ISBLANK(OFFSET(AL92,0,6))),N(OFFSET(AL92,0,6)),N(OFFSET(AL92,0,7)))-AK92</f>
        <v/>
      </c>
      <c r="AN92" s="69" t="n"/>
    </row>
    <row r="93" hidden="1" ht="18.75" customHeight="1">
      <c r="A93" s="33" t="inlineStr">
        <is>
          <t>KIT TAG 10 C/ 20</t>
        </is>
      </c>
      <c r="B93" s="9" t="n">
        <v>200</v>
      </c>
      <c r="C93" s="662" t="n">
        <v>40</v>
      </c>
      <c r="D93" s="329" t="n"/>
      <c r="E93" s="53" t="n"/>
      <c r="F93" s="4" t="n"/>
      <c r="G93" s="4" t="n"/>
      <c r="H93" s="4" t="n"/>
      <c r="I93" s="38" t="n"/>
      <c r="J93" s="38" t="n"/>
      <c r="K93" s="38" t="n">
        <v>0</v>
      </c>
      <c r="L93" s="38" t="n">
        <v>0</v>
      </c>
      <c r="M93" s="38" t="n">
        <v>0</v>
      </c>
      <c r="N93" s="38" t="n">
        <v>0</v>
      </c>
      <c r="O93" s="38" t="n">
        <v>0</v>
      </c>
      <c r="P93" s="38" t="n">
        <v>0</v>
      </c>
      <c r="Q93" s="38" t="n">
        <v>0</v>
      </c>
      <c r="R93" s="38" t="n">
        <v>0</v>
      </c>
      <c r="S93" s="38" t="n">
        <v>0</v>
      </c>
      <c r="T93" s="38" t="n">
        <v>0</v>
      </c>
      <c r="U93" s="38" t="n">
        <v>0</v>
      </c>
      <c r="V93" s="38" t="n"/>
      <c r="W93" s="38" t="n"/>
      <c r="X93" s="38" t="n"/>
      <c r="Y93" s="261" t="n"/>
      <c r="Z93" s="38" t="n"/>
      <c r="AA93" s="38" t="n"/>
      <c r="AB93" s="38" t="n"/>
      <c r="AC93" s="38" t="n"/>
      <c r="AD93" s="38" t="n"/>
      <c r="AE93" s="38" t="n"/>
      <c r="AF93" s="38" t="n"/>
      <c r="AG93" s="38" t="n"/>
      <c r="AH93" s="38" t="n"/>
      <c r="AI93" s="38" t="n"/>
      <c r="AJ93" s="38" t="n"/>
      <c r="AK93" s="38" t="n"/>
      <c r="AL93" s="246">
        <f>AJ93+IF(NOT(ISBLANK(OFFSET(AL93,0,6))),N(OFFSET(AL93,0,6)),N(OFFSET(AL93,0,7)))-AK93</f>
        <v/>
      </c>
      <c r="AN93" s="69" t="n"/>
    </row>
    <row r="94" ht="18.75" customHeight="1">
      <c r="A94" s="238" t="inlineStr">
        <is>
          <t>CAIXA M</t>
        </is>
      </c>
      <c r="B94" s="36" t="n">
        <v>100</v>
      </c>
      <c r="C94" s="668" t="n">
        <v>904</v>
      </c>
      <c r="D94" s="36" t="n"/>
      <c r="E94" s="53" t="n"/>
      <c r="F94" s="4" t="n"/>
      <c r="G94" s="4" t="n"/>
      <c r="H94" s="4" t="n"/>
      <c r="I94" s="38" t="n"/>
      <c r="J94" s="38" t="n"/>
      <c r="K94" s="38" t="n">
        <v>38</v>
      </c>
      <c r="L94" s="38" t="n">
        <v>38</v>
      </c>
      <c r="M94" s="38" t="n">
        <v>38</v>
      </c>
      <c r="N94" s="38" t="n">
        <v>38</v>
      </c>
      <c r="O94" s="38" t="n">
        <v>38</v>
      </c>
      <c r="P94" s="38" t="n">
        <v>38</v>
      </c>
      <c r="Q94" s="38" t="n">
        <v>38</v>
      </c>
      <c r="R94" s="38" t="n">
        <v>38</v>
      </c>
      <c r="S94" s="38" t="n">
        <v>38</v>
      </c>
      <c r="T94" s="38" t="n">
        <v>38</v>
      </c>
      <c r="U94" s="38" t="n">
        <v>38</v>
      </c>
      <c r="V94" s="38" t="n">
        <v>38</v>
      </c>
      <c r="W94" s="38" t="n">
        <v>38</v>
      </c>
      <c r="X94" s="38" t="n">
        <v>38</v>
      </c>
      <c r="Y94" s="261" t="n">
        <v>10</v>
      </c>
      <c r="Z94" s="38" t="n">
        <v>10</v>
      </c>
      <c r="AA94" s="38" t="n">
        <v>10</v>
      </c>
      <c r="AB94" s="38" t="n">
        <v>10</v>
      </c>
      <c r="AC94" s="38" t="n">
        <v>10</v>
      </c>
      <c r="AD94" s="38" t="n">
        <v>10</v>
      </c>
      <c r="AE94" s="38" t="n">
        <v>10</v>
      </c>
      <c r="AF94" s="38" t="n">
        <v>10</v>
      </c>
      <c r="AG94" s="38" t="n">
        <v>10</v>
      </c>
      <c r="AH94" s="38" t="n">
        <v>10</v>
      </c>
      <c r="AI94" s="38" t="n">
        <v>10</v>
      </c>
      <c r="AJ94" s="38" t="n">
        <v>10</v>
      </c>
      <c r="AK94" s="38" t="n">
        <v>10</v>
      </c>
      <c r="AL94" s="246">
        <f>AJ94+IF(NOT(ISBLANK(OFFSET(AL94,0,6))),N(OFFSET(AL94,0,6)),N(OFFSET(AL94,0,7)))-AK94</f>
        <v/>
      </c>
      <c r="AN94" s="69" t="n"/>
    </row>
    <row r="95" ht="18.75" customHeight="1">
      <c r="A95" s="238" t="inlineStr">
        <is>
          <t>CARTUCHO P</t>
        </is>
      </c>
      <c r="B95" s="36" t="n">
        <v>200</v>
      </c>
      <c r="C95" s="668" t="n">
        <v>464</v>
      </c>
      <c r="D95" s="36" t="n"/>
      <c r="E95" s="53" t="n"/>
      <c r="F95" s="4" t="n"/>
      <c r="G95" s="4" t="n"/>
      <c r="H95" s="4" t="n"/>
      <c r="I95" s="38" t="n"/>
      <c r="J95" s="38" t="n"/>
      <c r="K95" s="38" t="n">
        <v>20</v>
      </c>
      <c r="L95" s="38" t="n">
        <v>20</v>
      </c>
      <c r="M95" s="38" t="n">
        <v>18</v>
      </c>
      <c r="N95" s="38" t="n">
        <v>18</v>
      </c>
      <c r="O95" s="38" t="n">
        <v>18</v>
      </c>
      <c r="P95" s="38" t="n">
        <v>18</v>
      </c>
      <c r="Q95" s="38" t="n">
        <v>18</v>
      </c>
      <c r="R95" s="38" t="n">
        <v>18</v>
      </c>
      <c r="S95" s="38" t="n">
        <v>18</v>
      </c>
      <c r="T95" s="38" t="n">
        <v>17</v>
      </c>
      <c r="U95" s="38" t="n">
        <v>17</v>
      </c>
      <c r="V95" s="38" t="n">
        <v>17</v>
      </c>
      <c r="W95" s="38" t="n">
        <v>17</v>
      </c>
      <c r="X95" s="38" t="n">
        <v>17</v>
      </c>
      <c r="Y95" s="38" t="n">
        <v>17</v>
      </c>
      <c r="Z95" s="38" t="n">
        <v>17</v>
      </c>
      <c r="AA95" s="38" t="n">
        <v>17</v>
      </c>
      <c r="AB95" s="38" t="n">
        <v>17</v>
      </c>
      <c r="AC95" s="38" t="n">
        <v>17</v>
      </c>
      <c r="AD95" s="38" t="n">
        <v>17</v>
      </c>
      <c r="AE95" s="38" t="n">
        <v>17</v>
      </c>
      <c r="AF95" s="38" t="n">
        <v>17</v>
      </c>
      <c r="AG95" s="38" t="n">
        <v>17</v>
      </c>
      <c r="AH95" s="38" t="n">
        <v>16</v>
      </c>
      <c r="AI95" s="38" t="n">
        <v>6</v>
      </c>
      <c r="AJ95" s="38" t="n">
        <v>6</v>
      </c>
      <c r="AK95" s="38" t="n">
        <v>6</v>
      </c>
      <c r="AL95" s="246">
        <f>AJ95+IF(NOT(ISBLANK(OFFSET(AL95,0,6))),N(OFFSET(AL95,0,6)),N(OFFSET(AL95,0,7)))-AK95</f>
        <v/>
      </c>
      <c r="AN95" s="69" t="n"/>
    </row>
    <row r="96" ht="18.75" customHeight="1">
      <c r="E96" s="53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  <c r="AA96" s="4" t="n"/>
      <c r="AB96" s="4" t="n"/>
      <c r="AC96" s="4" t="n"/>
      <c r="AD96" s="4" t="n"/>
      <c r="AE96" s="4" t="n"/>
      <c r="AF96" s="4" t="n"/>
      <c r="AG96" s="4" t="n"/>
      <c r="AH96" s="4" t="n"/>
      <c r="AI96" s="4" t="n"/>
      <c r="AJ96" s="4" t="n"/>
      <c r="AK96" s="4" t="n"/>
      <c r="AL96" s="53" t="n"/>
      <c r="AN96" s="69" t="n"/>
    </row>
    <row r="97" ht="18.75" customHeight="1">
      <c r="A97" s="410" t="inlineStr">
        <is>
          <t>BOTICÁRIO NATAL/25</t>
        </is>
      </c>
      <c r="B97" s="357" t="inlineStr">
        <is>
          <t>PC</t>
        </is>
      </c>
      <c r="C97" s="357" t="inlineStr">
        <is>
          <t>R$</t>
        </is>
      </c>
      <c r="D97" s="357" t="n"/>
      <c r="E97" s="53" t="n"/>
      <c r="F97" s="4" t="n"/>
      <c r="G97" s="4" t="n"/>
      <c r="H97" s="4" t="n"/>
      <c r="I97" s="650" t="n">
        <v>45971</v>
      </c>
      <c r="J97" s="650" t="n">
        <v>45978</v>
      </c>
      <c r="K97" s="650" t="n">
        <v>45985</v>
      </c>
      <c r="L97" s="650" t="n">
        <v>45992</v>
      </c>
      <c r="M97" s="650" t="n">
        <v>45999</v>
      </c>
      <c r="N97" s="650" t="n">
        <v>46006</v>
      </c>
      <c r="O97" s="650" t="n">
        <v>46013</v>
      </c>
      <c r="P97" s="650" t="n">
        <v>46020</v>
      </c>
      <c r="Q97" s="650" t="n">
        <v>46027</v>
      </c>
      <c r="R97" s="650" t="n">
        <v>46034</v>
      </c>
      <c r="S97" s="650" t="n">
        <v>46041</v>
      </c>
      <c r="T97" s="650" t="n">
        <v>46048</v>
      </c>
      <c r="U97" s="650" t="n">
        <v>46055</v>
      </c>
      <c r="V97" s="650" t="n">
        <v>46062</v>
      </c>
      <c r="W97" s="650" t="n">
        <v>46069</v>
      </c>
      <c r="X97" s="650" t="n">
        <v>46076</v>
      </c>
      <c r="Y97" s="650" t="n">
        <v>46083</v>
      </c>
      <c r="Z97" s="650" t="n">
        <v>46090</v>
      </c>
      <c r="AA97" s="650" t="n">
        <v>46097</v>
      </c>
      <c r="AB97" s="650" t="n">
        <v>46104</v>
      </c>
      <c r="AC97" s="650" t="n">
        <v>46111</v>
      </c>
      <c r="AD97" s="650" t="n">
        <v>46118</v>
      </c>
      <c r="AE97" s="650" t="n">
        <v>46125</v>
      </c>
      <c r="AF97" s="650" t="n">
        <v>46132</v>
      </c>
      <c r="AG97" s="650" t="n">
        <v>46139</v>
      </c>
      <c r="AH97" s="650" t="n">
        <v>46146</v>
      </c>
      <c r="AI97" s="650" t="n">
        <v>46154</v>
      </c>
      <c r="AJ97" s="650" t="n">
        <v>46160</v>
      </c>
      <c r="AK97" s="650" t="n">
        <v>46160</v>
      </c>
      <c r="AL97" s="660" t="inlineStr">
        <is>
          <t>USOU</t>
        </is>
      </c>
      <c r="AN97" s="69" t="n"/>
    </row>
    <row r="98" ht="18.75" customHeight="1">
      <c r="A98" s="33" t="inlineStr">
        <is>
          <t>SACOLA P</t>
        </is>
      </c>
      <c r="B98" s="9" t="n">
        <v>200</v>
      </c>
      <c r="C98" s="662" t="n">
        <v>274.2</v>
      </c>
      <c r="D98" s="329" t="n"/>
      <c r="E98" s="53" t="n"/>
      <c r="F98" s="4" t="n"/>
      <c r="G98" s="4" t="n"/>
      <c r="H98" s="4" t="n"/>
      <c r="I98" s="38" t="n"/>
      <c r="J98" s="38" t="n"/>
      <c r="K98" s="38" t="n">
        <v>0</v>
      </c>
      <c r="L98" s="38" t="n">
        <v>0</v>
      </c>
      <c r="M98" s="38" t="n">
        <v>0</v>
      </c>
      <c r="N98" s="38" t="n">
        <v>0</v>
      </c>
      <c r="O98" s="38" t="n">
        <v>0</v>
      </c>
      <c r="P98" s="38" t="n">
        <v>0</v>
      </c>
      <c r="Q98" s="38" t="n">
        <v>0</v>
      </c>
      <c r="R98" s="38" t="n">
        <v>0</v>
      </c>
      <c r="S98" s="38" t="n">
        <v>0</v>
      </c>
      <c r="T98" s="38" t="n">
        <v>0</v>
      </c>
      <c r="U98" s="38" t="n">
        <v>0</v>
      </c>
      <c r="V98" s="38" t="n">
        <v>0</v>
      </c>
      <c r="W98" s="38" t="n">
        <v>0</v>
      </c>
      <c r="X98" s="38" t="n">
        <v>0</v>
      </c>
      <c r="Y98" s="38" t="n">
        <v>0</v>
      </c>
      <c r="Z98" s="38" t="n">
        <v>0</v>
      </c>
      <c r="AA98" s="38" t="n">
        <v>0</v>
      </c>
      <c r="AB98" s="38" t="n">
        <v>0</v>
      </c>
      <c r="AC98" s="38" t="n">
        <v>0</v>
      </c>
      <c r="AD98" s="38" t="n">
        <v>0</v>
      </c>
      <c r="AE98" s="38" t="n">
        <v>0</v>
      </c>
      <c r="AF98" s="38" t="n">
        <v>0</v>
      </c>
      <c r="AG98" s="38" t="n">
        <v>0</v>
      </c>
      <c r="AH98" s="38" t="n">
        <v>0</v>
      </c>
      <c r="AI98" s="38" t="n">
        <v>0</v>
      </c>
      <c r="AJ98" s="38" t="n">
        <v>0</v>
      </c>
      <c r="AK98" s="38" t="n">
        <v>0</v>
      </c>
      <c r="AL98" s="246">
        <f>AJ98+IF(NOT(ISBLANK(OFFSET(AL98,0,6))),N(OFFSET(AL98,0,6)),N(OFFSET(AL98,0,7)))-AK98</f>
        <v/>
      </c>
      <c r="AN98" s="69" t="n"/>
    </row>
    <row r="99" ht="18.75" customHeight="1">
      <c r="A99" s="33" t="inlineStr">
        <is>
          <t>SACOLA M</t>
        </is>
      </c>
      <c r="B99" s="9" t="n">
        <v>200</v>
      </c>
      <c r="C99" s="662" t="n">
        <v>347.8</v>
      </c>
      <c r="D99" s="329" t="n"/>
      <c r="E99" s="53" t="n"/>
      <c r="F99" s="4" t="n"/>
      <c r="G99" s="4" t="n"/>
      <c r="H99" s="4" t="n"/>
      <c r="I99" s="38" t="n"/>
      <c r="J99" s="38" t="n"/>
      <c r="K99" s="38" t="n">
        <v>0</v>
      </c>
      <c r="L99" s="38" t="n">
        <v>0</v>
      </c>
      <c r="M99" s="38" t="n">
        <v>0</v>
      </c>
      <c r="N99" s="38" t="n">
        <v>0</v>
      </c>
      <c r="O99" s="38" t="n">
        <v>0</v>
      </c>
      <c r="P99" s="38" t="n">
        <v>0</v>
      </c>
      <c r="Q99" s="38" t="n">
        <v>0</v>
      </c>
      <c r="R99" s="38" t="n">
        <v>0</v>
      </c>
      <c r="S99" s="38" t="n">
        <v>0</v>
      </c>
      <c r="T99" s="38" t="n">
        <v>0</v>
      </c>
      <c r="U99" s="38" t="n">
        <v>0</v>
      </c>
      <c r="V99" s="38" t="n">
        <v>0</v>
      </c>
      <c r="W99" s="38" t="n">
        <v>0</v>
      </c>
      <c r="X99" s="38" t="n">
        <v>0</v>
      </c>
      <c r="Y99" s="38" t="n">
        <v>0</v>
      </c>
      <c r="Z99" s="38" t="n">
        <v>0</v>
      </c>
      <c r="AA99" s="38" t="n">
        <v>0</v>
      </c>
      <c r="AB99" s="38" t="n">
        <v>0</v>
      </c>
      <c r="AC99" s="38" t="n">
        <v>0</v>
      </c>
      <c r="AD99" s="38" t="n">
        <v>0</v>
      </c>
      <c r="AE99" s="38" t="n">
        <v>0</v>
      </c>
      <c r="AF99" s="38" t="n">
        <v>0</v>
      </c>
      <c r="AG99" s="38" t="n">
        <v>0</v>
      </c>
      <c r="AH99" s="38" t="n">
        <v>0</v>
      </c>
      <c r="AI99" s="38" t="n">
        <v>0</v>
      </c>
      <c r="AJ99" s="38" t="n">
        <v>0</v>
      </c>
      <c r="AK99" s="38" t="n">
        <v>0</v>
      </c>
      <c r="AL99" s="246">
        <f>AJ99+IF(NOT(ISBLANK(OFFSET(AL99,0,6))),N(OFFSET(AL99,0,6)),N(OFFSET(AL99,0,7)))-AK99</f>
        <v/>
      </c>
      <c r="AN99" s="69" t="n"/>
    </row>
    <row r="100" ht="18.75" customHeight="1">
      <c r="A100" s="33" t="inlineStr">
        <is>
          <t>SACOLA G</t>
        </is>
      </c>
      <c r="B100" s="9" t="n">
        <v>100</v>
      </c>
      <c r="C100" s="662" t="n">
        <v>267</v>
      </c>
      <c r="D100" s="329" t="n"/>
      <c r="E100" s="53" t="n"/>
      <c r="F100" s="4" t="n"/>
      <c r="G100" s="4" t="n"/>
      <c r="H100" s="4" t="n"/>
      <c r="I100" s="38" t="n"/>
      <c r="J100" s="38" t="n"/>
      <c r="K100" s="38" t="n">
        <v>0</v>
      </c>
      <c r="L100" s="38" t="n">
        <v>0</v>
      </c>
      <c r="M100" s="38" t="n">
        <v>0</v>
      </c>
      <c r="N100" s="38" t="n">
        <v>0</v>
      </c>
      <c r="O100" s="38" t="n">
        <v>0</v>
      </c>
      <c r="P100" s="38" t="n">
        <v>0</v>
      </c>
      <c r="Q100" s="38" t="n">
        <v>0</v>
      </c>
      <c r="R100" s="38" t="n">
        <v>0</v>
      </c>
      <c r="S100" s="38" t="n">
        <v>0</v>
      </c>
      <c r="T100" s="38" t="n">
        <v>0</v>
      </c>
      <c r="U100" s="38" t="n">
        <v>0</v>
      </c>
      <c r="V100" s="38" t="n">
        <v>0</v>
      </c>
      <c r="W100" s="38" t="n">
        <v>0</v>
      </c>
      <c r="X100" s="38" t="n">
        <v>0</v>
      </c>
      <c r="Y100" s="38" t="n">
        <v>0</v>
      </c>
      <c r="Z100" s="38" t="n">
        <v>0</v>
      </c>
      <c r="AA100" s="38" t="n">
        <v>0</v>
      </c>
      <c r="AB100" s="38" t="n">
        <v>0</v>
      </c>
      <c r="AC100" s="38" t="n">
        <v>0</v>
      </c>
      <c r="AD100" s="38" t="n">
        <v>0</v>
      </c>
      <c r="AE100" s="38" t="n">
        <v>0</v>
      </c>
      <c r="AF100" s="38" t="n">
        <v>0</v>
      </c>
      <c r="AG100" s="38" t="n">
        <v>0</v>
      </c>
      <c r="AH100" s="38" t="n">
        <v>0</v>
      </c>
      <c r="AI100" s="38" t="n">
        <v>0</v>
      </c>
      <c r="AJ100" s="38" t="n">
        <v>0</v>
      </c>
      <c r="AK100" s="38" t="n"/>
      <c r="AL100" s="246">
        <f>AJ100+IF(NOT(ISBLANK(OFFSET(AL100,0,6))),N(OFFSET(AL100,0,6)),N(OFFSET(AL100,0,7)))-AK100</f>
        <v/>
      </c>
      <c r="AN100" s="69" t="n"/>
    </row>
    <row r="101" ht="18.75" customHeight="1">
      <c r="A101" s="238" t="inlineStr">
        <is>
          <t>KIT PAPEL DE SEDA 10 C/ 20</t>
        </is>
      </c>
      <c r="B101" s="36" t="n">
        <v>200</v>
      </c>
      <c r="C101" s="668" t="n">
        <v>44.4</v>
      </c>
      <c r="D101" s="36" t="n"/>
      <c r="E101" s="53" t="n"/>
      <c r="F101" s="4" t="n"/>
      <c r="G101" s="4" t="n"/>
      <c r="H101" s="4" t="n"/>
      <c r="I101" s="38" t="n"/>
      <c r="J101" s="38" t="n"/>
      <c r="K101" s="38" t="n">
        <v>60</v>
      </c>
      <c r="L101" s="38" t="n">
        <v>60</v>
      </c>
      <c r="M101" s="38" t="n">
        <v>60</v>
      </c>
      <c r="N101" s="38" t="n">
        <v>60</v>
      </c>
      <c r="O101" s="38" t="n">
        <v>60</v>
      </c>
      <c r="P101" s="38" t="n">
        <v>60</v>
      </c>
      <c r="Q101" s="38" t="n">
        <v>60</v>
      </c>
      <c r="R101" s="38" t="n">
        <v>60</v>
      </c>
      <c r="S101" s="38" t="n">
        <v>60</v>
      </c>
      <c r="T101" s="38" t="n">
        <v>60</v>
      </c>
      <c r="U101" s="261" t="n">
        <v>0</v>
      </c>
      <c r="V101" s="38" t="n">
        <v>0</v>
      </c>
      <c r="W101" s="38" t="n">
        <v>0</v>
      </c>
      <c r="X101" s="38" t="n">
        <v>0</v>
      </c>
      <c r="Y101" s="38" t="n">
        <v>0</v>
      </c>
      <c r="Z101" s="38" t="n">
        <v>0</v>
      </c>
      <c r="AA101" s="38" t="n">
        <v>0</v>
      </c>
      <c r="AB101" s="38" t="n">
        <v>0</v>
      </c>
      <c r="AC101" s="38" t="n">
        <v>0</v>
      </c>
      <c r="AD101" s="38" t="n">
        <v>0</v>
      </c>
      <c r="AE101" s="38" t="n">
        <v>0</v>
      </c>
      <c r="AF101" s="38" t="n">
        <v>0</v>
      </c>
      <c r="AG101" s="38" t="n">
        <v>0</v>
      </c>
      <c r="AH101" s="38" t="n">
        <v>0</v>
      </c>
      <c r="AI101" s="38" t="n">
        <v>0</v>
      </c>
      <c r="AJ101" s="38" t="n">
        <v>0</v>
      </c>
      <c r="AK101" s="38" t="n"/>
      <c r="AL101" s="246">
        <f>AJ101+IF(NOT(ISBLANK(OFFSET(AL101,0,6))),N(OFFSET(AL101,0,6)),N(OFFSET(AL101,0,7)))-AK101</f>
        <v/>
      </c>
      <c r="AN101" s="69" t="n"/>
    </row>
    <row r="102" ht="18.75" customHeight="1">
      <c r="A102" s="238" t="inlineStr">
        <is>
          <t>CAIXA P</t>
        </is>
      </c>
      <c r="B102" s="36" t="n">
        <v>150</v>
      </c>
      <c r="C102" s="668" t="n">
        <v>805.35</v>
      </c>
      <c r="D102" s="36" t="n"/>
      <c r="E102" s="53" t="n"/>
      <c r="F102" s="4" t="n"/>
      <c r="G102" s="4" t="n"/>
      <c r="H102" s="4" t="n"/>
      <c r="I102" s="38" t="n"/>
      <c r="J102" s="38" t="n"/>
      <c r="K102" s="38" t="n">
        <v>0</v>
      </c>
      <c r="L102" s="38" t="n">
        <v>0</v>
      </c>
      <c r="M102" s="38" t="n">
        <v>0</v>
      </c>
      <c r="N102" s="38" t="n">
        <v>0</v>
      </c>
      <c r="O102" s="38" t="n">
        <v>0</v>
      </c>
      <c r="P102" s="38" t="n">
        <v>0</v>
      </c>
      <c r="Q102" s="38" t="n">
        <v>0</v>
      </c>
      <c r="R102" s="38" t="n">
        <v>0</v>
      </c>
      <c r="S102" s="38" t="n">
        <v>0</v>
      </c>
      <c r="T102" s="38" t="n">
        <v>0</v>
      </c>
      <c r="U102" s="38" t="n">
        <v>0</v>
      </c>
      <c r="V102" s="38" t="n">
        <v>0</v>
      </c>
      <c r="W102" s="38" t="n">
        <v>0</v>
      </c>
      <c r="X102" s="38" t="n">
        <v>0</v>
      </c>
      <c r="Y102" s="38" t="n">
        <v>0</v>
      </c>
      <c r="Z102" s="38" t="n">
        <v>0</v>
      </c>
      <c r="AA102" s="38" t="n">
        <v>0</v>
      </c>
      <c r="AB102" s="38" t="n">
        <v>0</v>
      </c>
      <c r="AC102" s="38" t="n">
        <v>0</v>
      </c>
      <c r="AD102" s="38" t="n">
        <v>0</v>
      </c>
      <c r="AE102" s="38" t="n">
        <v>0</v>
      </c>
      <c r="AF102" s="38" t="n">
        <v>0</v>
      </c>
      <c r="AG102" s="38" t="n">
        <v>0</v>
      </c>
      <c r="AH102" s="38" t="n">
        <v>0</v>
      </c>
      <c r="AI102" s="38" t="n">
        <v>0</v>
      </c>
      <c r="AJ102" s="38" t="n">
        <v>0</v>
      </c>
      <c r="AK102" s="38" t="n">
        <v>0</v>
      </c>
      <c r="AL102" s="246">
        <f>AJ102+IF(NOT(ISBLANK(OFFSET(AL102,0,6))),N(OFFSET(AL102,0,6)),N(OFFSET(AL102,0,7)))-AK102</f>
        <v/>
      </c>
      <c r="AN102" s="69" t="n"/>
    </row>
    <row r="103" ht="18.75" customHeight="1">
      <c r="A103" s="238" t="inlineStr">
        <is>
          <t>CAIXA M</t>
        </is>
      </c>
      <c r="B103" s="36" t="n">
        <v>100</v>
      </c>
      <c r="C103" s="668" t="n">
        <v>792.2</v>
      </c>
      <c r="D103" s="36" t="n"/>
      <c r="E103" s="53" t="n"/>
      <c r="F103" s="4" t="n"/>
      <c r="G103" s="4" t="n"/>
      <c r="H103" s="4" t="n"/>
      <c r="I103" s="38" t="n"/>
      <c r="J103" s="38" t="n"/>
      <c r="K103" s="38" t="n">
        <v>0</v>
      </c>
      <c r="L103" s="38" t="n">
        <v>0</v>
      </c>
      <c r="M103" s="38" t="n">
        <v>0</v>
      </c>
      <c r="N103" s="261" t="n">
        <v>50</v>
      </c>
      <c r="O103" s="38" t="n">
        <v>3</v>
      </c>
      <c r="P103" s="38" t="n">
        <v>3</v>
      </c>
      <c r="Q103" s="38" t="n">
        <v>3</v>
      </c>
      <c r="R103" s="38" t="n">
        <v>3</v>
      </c>
      <c r="S103" s="38" t="n">
        <v>3</v>
      </c>
      <c r="T103" s="38" t="n">
        <v>3</v>
      </c>
      <c r="U103" s="38" t="n">
        <v>3</v>
      </c>
      <c r="V103" s="38" t="n">
        <v>3</v>
      </c>
      <c r="W103" s="38" t="n">
        <v>3</v>
      </c>
      <c r="X103" s="38" t="n">
        <v>3</v>
      </c>
      <c r="Y103" s="38" t="n">
        <v>3</v>
      </c>
      <c r="Z103" s="38" t="n">
        <v>3</v>
      </c>
      <c r="AA103" s="38" t="n">
        <v>3</v>
      </c>
      <c r="AB103" s="38" t="n">
        <v>3</v>
      </c>
      <c r="AC103" s="38" t="n">
        <v>3</v>
      </c>
      <c r="AD103" s="38" t="n">
        <v>3</v>
      </c>
      <c r="AE103" s="38" t="n">
        <v>3</v>
      </c>
      <c r="AF103" s="38" t="n">
        <v>3</v>
      </c>
      <c r="AG103" s="38" t="n">
        <v>3</v>
      </c>
      <c r="AH103" s="38" t="n">
        <v>3</v>
      </c>
      <c r="AI103" s="38" t="n">
        <v>3</v>
      </c>
      <c r="AJ103" s="38" t="n">
        <v>0</v>
      </c>
      <c r="AK103" s="38" t="n">
        <v>0</v>
      </c>
      <c r="AL103" s="246">
        <f>AJ103+IF(NOT(ISBLANK(OFFSET(AL103,0,6))),N(OFFSET(AL103,0,6)),N(OFFSET(AL103,0,7)))-AK103</f>
        <v/>
      </c>
      <c r="AN103" s="69" t="n"/>
    </row>
    <row r="104" ht="18.75" customHeight="1">
      <c r="A104" s="238" t="inlineStr">
        <is>
          <t>CARTUCHO P</t>
        </is>
      </c>
      <c r="B104" s="36" t="n">
        <v>200</v>
      </c>
      <c r="C104" s="668" t="n">
        <v>487.2</v>
      </c>
      <c r="D104" s="36" t="n"/>
      <c r="E104" s="53" t="n"/>
      <c r="F104" s="4" t="n"/>
      <c r="G104" s="4" t="n"/>
      <c r="H104" s="4" t="n"/>
      <c r="I104" s="38" t="n"/>
      <c r="J104" s="38" t="n"/>
      <c r="K104" s="38" t="n">
        <v>48</v>
      </c>
      <c r="L104" s="38" t="n">
        <v>31</v>
      </c>
      <c r="M104" s="38" t="n">
        <v>14</v>
      </c>
      <c r="N104" s="261" t="n">
        <v>30</v>
      </c>
      <c r="O104" s="38" t="n">
        <v>9</v>
      </c>
      <c r="P104" s="38" t="n">
        <v>9</v>
      </c>
      <c r="Q104" s="38" t="n">
        <v>9</v>
      </c>
      <c r="R104" s="38" t="n">
        <v>9</v>
      </c>
      <c r="S104" s="38" t="n">
        <v>9</v>
      </c>
      <c r="T104" s="38" t="n">
        <v>9</v>
      </c>
      <c r="U104" s="38" t="n">
        <v>9</v>
      </c>
      <c r="V104" s="38" t="n">
        <v>9</v>
      </c>
      <c r="W104" s="38" t="n">
        <v>9</v>
      </c>
      <c r="X104" s="38" t="n">
        <v>9</v>
      </c>
      <c r="Y104" s="38" t="n">
        <v>9</v>
      </c>
      <c r="Z104" s="38" t="n">
        <v>9</v>
      </c>
      <c r="AA104" s="38" t="n">
        <v>9</v>
      </c>
      <c r="AB104" s="38" t="n">
        <v>9</v>
      </c>
      <c r="AC104" s="38" t="n">
        <v>9</v>
      </c>
      <c r="AD104" s="38" t="n">
        <v>9</v>
      </c>
      <c r="AE104" s="38" t="n">
        <v>9</v>
      </c>
      <c r="AF104" s="38" t="n">
        <v>9</v>
      </c>
      <c r="AG104" s="38" t="n">
        <v>9</v>
      </c>
      <c r="AH104" s="38" t="n">
        <v>9</v>
      </c>
      <c r="AI104" s="38" t="n">
        <v>9</v>
      </c>
      <c r="AJ104" s="38" t="n">
        <v>0</v>
      </c>
      <c r="AK104" s="38" t="n">
        <v>0</v>
      </c>
      <c r="AL104" s="246">
        <f>AJ104+IF(NOT(ISBLANK(OFFSET(AL104,0,6))),N(OFFSET(AL104,0,6)),N(OFFSET(AL104,0,7)))-AK104</f>
        <v/>
      </c>
      <c r="AN104" s="69" t="n"/>
    </row>
    <row r="105" ht="18.75" customHeight="1">
      <c r="A105" s="238" t="inlineStr">
        <is>
          <t>CARTUCHO M</t>
        </is>
      </c>
      <c r="B105" s="36" t="n">
        <v>150</v>
      </c>
      <c r="C105" s="668" t="n">
        <v>460.35</v>
      </c>
      <c r="D105" s="36" t="n"/>
      <c r="E105" s="53" t="n"/>
      <c r="F105" s="4" t="n"/>
      <c r="G105" s="4" t="n"/>
      <c r="H105" s="4" t="n"/>
      <c r="I105" s="38" t="n"/>
      <c r="J105" s="38" t="n"/>
      <c r="K105" s="38" t="n">
        <v>0</v>
      </c>
      <c r="L105" s="38" t="n">
        <v>0</v>
      </c>
      <c r="M105" s="38" t="n">
        <v>0</v>
      </c>
      <c r="N105" s="261" t="n">
        <v>28</v>
      </c>
      <c r="O105" s="38" t="n">
        <v>0</v>
      </c>
      <c r="P105" s="38" t="n">
        <v>0</v>
      </c>
      <c r="Q105" s="38" t="n">
        <v>0</v>
      </c>
      <c r="R105" s="38" t="n">
        <v>0</v>
      </c>
      <c r="S105" s="38" t="n">
        <v>0</v>
      </c>
      <c r="T105" s="38" t="n">
        <v>0</v>
      </c>
      <c r="U105" s="38" t="n">
        <v>0</v>
      </c>
      <c r="V105" s="38" t="n">
        <v>0</v>
      </c>
      <c r="W105" s="38" t="n">
        <v>0</v>
      </c>
      <c r="X105" s="38" t="n">
        <v>0</v>
      </c>
      <c r="Y105" s="38" t="n">
        <v>0</v>
      </c>
      <c r="Z105" s="38" t="n">
        <v>0</v>
      </c>
      <c r="AA105" s="38" t="n">
        <v>0</v>
      </c>
      <c r="AB105" s="38" t="n">
        <v>0</v>
      </c>
      <c r="AC105" s="38" t="n">
        <v>0</v>
      </c>
      <c r="AD105" s="38" t="n">
        <v>0</v>
      </c>
      <c r="AE105" s="38" t="n">
        <v>0</v>
      </c>
      <c r="AF105" s="38" t="n">
        <v>0</v>
      </c>
      <c r="AG105" s="38" t="n">
        <v>0</v>
      </c>
      <c r="AH105" s="38" t="n">
        <v>0</v>
      </c>
      <c r="AI105" s="38" t="n">
        <v>0</v>
      </c>
      <c r="AJ105" s="38" t="n">
        <v>0</v>
      </c>
      <c r="AK105" s="38" t="n">
        <v>0</v>
      </c>
      <c r="AL105" s="246">
        <f>AJ105+IF(NOT(ISBLANK(OFFSET(AL105,0,6))),N(OFFSET(AL105,0,6)),N(OFFSET(AL105,0,7)))-AK105</f>
        <v/>
      </c>
      <c r="AN105" s="69" t="n"/>
    </row>
    <row r="106" ht="18.75" customHeight="1">
      <c r="A106" s="31" t="n"/>
      <c r="B106" s="53" t="n"/>
      <c r="C106" s="53" t="n"/>
      <c r="E106" s="53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  <c r="AA106" s="4" t="n"/>
      <c r="AB106" s="4" t="n"/>
      <c r="AC106" s="4" t="n"/>
      <c r="AD106" s="4" t="n"/>
      <c r="AE106" s="4" t="n"/>
      <c r="AF106" s="4" t="n"/>
      <c r="AG106" s="4" t="n"/>
      <c r="AH106" s="4" t="n"/>
      <c r="AI106" s="4" t="n"/>
      <c r="AJ106" s="4" t="n"/>
      <c r="AK106" s="4" t="n"/>
      <c r="AL106" s="53" t="n"/>
      <c r="AN106" s="69" t="n"/>
    </row>
    <row r="107" ht="18.75" customHeight="1">
      <c r="A107" s="408" t="inlineStr">
        <is>
          <t>EUDORA MÃES/26</t>
        </is>
      </c>
      <c r="B107" s="409" t="inlineStr">
        <is>
          <t>PC</t>
        </is>
      </c>
      <c r="C107" s="409" t="inlineStr">
        <is>
          <t>R$</t>
        </is>
      </c>
      <c r="D107" s="409" t="n"/>
      <c r="E107" s="53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650" t="n">
        <v>46069</v>
      </c>
      <c r="X107" s="650" t="n">
        <v>46076</v>
      </c>
      <c r="Y107" s="650" t="n">
        <v>46083</v>
      </c>
      <c r="Z107" s="650" t="n">
        <v>46090</v>
      </c>
      <c r="AA107" s="650" t="n">
        <v>46097</v>
      </c>
      <c r="AB107" s="650" t="n">
        <v>46104</v>
      </c>
      <c r="AC107" s="650" t="n">
        <v>46111</v>
      </c>
      <c r="AD107" s="650" t="n">
        <v>46118</v>
      </c>
      <c r="AE107" s="650" t="n">
        <v>46125</v>
      </c>
      <c r="AF107" s="650" t="n">
        <v>46132</v>
      </c>
      <c r="AG107" s="650" t="n">
        <v>46139</v>
      </c>
      <c r="AH107" s="650" t="n">
        <v>46146</v>
      </c>
      <c r="AI107" s="650" t="n">
        <v>46154</v>
      </c>
      <c r="AJ107" s="650" t="n">
        <v>46160</v>
      </c>
      <c r="AK107" s="650" t="n">
        <v>46160</v>
      </c>
      <c r="AL107" s="660" t="inlineStr">
        <is>
          <t>USOU</t>
        </is>
      </c>
      <c r="AN107" s="69" t="n"/>
    </row>
    <row r="108" ht="18.75" customHeight="1">
      <c r="A108" s="33" t="inlineStr">
        <is>
          <t xml:space="preserve">SACOLA M </t>
        </is>
      </c>
      <c r="B108" s="9" t="n">
        <v>150</v>
      </c>
      <c r="C108" s="662" t="n"/>
      <c r="D108" s="329" t="n"/>
      <c r="E108" s="53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38" t="n">
        <v>0</v>
      </c>
      <c r="X108" s="38" t="n">
        <v>0</v>
      </c>
      <c r="Y108" s="38">
        <f>AX10</f>
        <v/>
      </c>
      <c r="Z108" s="38" t="n">
        <v>0</v>
      </c>
      <c r="AA108" s="38" t="n">
        <v>0</v>
      </c>
      <c r="AB108" s="38" t="n">
        <v>0</v>
      </c>
      <c r="AC108" s="38" t="n">
        <v>0</v>
      </c>
      <c r="AD108" s="38" t="n">
        <v>0</v>
      </c>
      <c r="AE108" s="38" t="n">
        <v>0</v>
      </c>
      <c r="AF108" s="38" t="n">
        <v>0</v>
      </c>
      <c r="AG108" s="38" t="n">
        <v>0</v>
      </c>
      <c r="AH108" s="38" t="n">
        <v>0</v>
      </c>
      <c r="AI108" s="38" t="n">
        <v>0</v>
      </c>
      <c r="AJ108" s="38" t="n"/>
      <c r="AK108" s="38" t="n"/>
      <c r="AL108" s="246">
        <f>AJ108+IF(NOT(ISBLANK(OFFSET(AL108,0,6))),N(OFFSET(AL108,0,6)),N(OFFSET(AL108,0,7)))-AK108</f>
        <v/>
      </c>
      <c r="AN108" s="69" t="n"/>
    </row>
    <row r="109" ht="18.75" customHeight="1">
      <c r="A109" s="33" t="inlineStr">
        <is>
          <t>ADESIVO</t>
        </is>
      </c>
      <c r="B109" s="9" t="n">
        <v>1000</v>
      </c>
      <c r="C109" s="662" t="n"/>
      <c r="D109" s="329" t="n"/>
      <c r="E109" s="53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38" t="n">
        <v>0</v>
      </c>
      <c r="X109" s="38" t="n">
        <v>0</v>
      </c>
      <c r="Y109" s="38">
        <f>AX17</f>
        <v/>
      </c>
      <c r="Z109" s="38" t="n">
        <v>0</v>
      </c>
      <c r="AA109" s="38" t="n">
        <v>0</v>
      </c>
      <c r="AB109" s="38" t="n">
        <v>0</v>
      </c>
      <c r="AC109" s="38" t="n">
        <v>0</v>
      </c>
      <c r="AD109" s="38" t="n">
        <v>0</v>
      </c>
      <c r="AE109" s="38" t="n">
        <v>0</v>
      </c>
      <c r="AF109" s="38" t="n">
        <v>0</v>
      </c>
      <c r="AG109" s="38" t="n">
        <v>0</v>
      </c>
      <c r="AH109" s="38" t="n">
        <v>0</v>
      </c>
      <c r="AI109" s="38" t="n">
        <v>0</v>
      </c>
      <c r="AJ109" s="38" t="n"/>
      <c r="AK109" s="38" t="n"/>
      <c r="AL109" s="246">
        <f>AJ109+IF(NOT(ISBLANK(OFFSET(AL109,0,6))),N(OFFSET(AL109,0,6)),N(OFFSET(AL109,0,7)))-AK109</f>
        <v/>
      </c>
      <c r="AN109" s="69" t="n"/>
    </row>
    <row r="110" ht="18.75" customHeight="1">
      <c r="A110" s="33" t="inlineStr">
        <is>
          <t>PAPEL DE SEDA</t>
        </is>
      </c>
      <c r="B110" s="9" t="n">
        <v>200</v>
      </c>
      <c r="C110" s="662" t="n"/>
      <c r="D110" s="329" t="n"/>
      <c r="E110" s="53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38" t="n">
        <v>0</v>
      </c>
      <c r="X110" s="38" t="n">
        <v>0</v>
      </c>
      <c r="Y110" s="38" t="n">
        <v>0</v>
      </c>
      <c r="Z110" s="38" t="n">
        <v>0</v>
      </c>
      <c r="AA110" s="38" t="n">
        <v>0</v>
      </c>
      <c r="AB110" s="38" t="n">
        <v>0</v>
      </c>
      <c r="AC110" s="38" t="n">
        <v>0</v>
      </c>
      <c r="AD110" s="38" t="n">
        <v>0</v>
      </c>
      <c r="AE110" s="38" t="n">
        <v>0</v>
      </c>
      <c r="AF110" s="38" t="n">
        <v>0</v>
      </c>
      <c r="AG110" s="38" t="n">
        <v>0</v>
      </c>
      <c r="AH110" s="38" t="n">
        <v>0</v>
      </c>
      <c r="AI110" s="38" t="n">
        <v>0</v>
      </c>
      <c r="AJ110" s="38" t="n"/>
      <c r="AK110" s="38" t="n"/>
      <c r="AL110" s="246">
        <f>AJ110+IF(NOT(ISBLANK(OFFSET(AL110,0,6))),N(OFFSET(AL110,0,6)),N(OFFSET(AL110,0,7)))-AK110</f>
        <v/>
      </c>
      <c r="AN110" s="69" t="n"/>
    </row>
    <row r="111" ht="18.75" customHeight="1">
      <c r="A111" s="33" t="inlineStr">
        <is>
          <t>SACOLA M VENDA</t>
        </is>
      </c>
      <c r="B111" s="9" t="n">
        <v>150</v>
      </c>
      <c r="C111" s="662" t="n"/>
      <c r="D111" s="329" t="n"/>
      <c r="E111" s="53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38" t="n">
        <v>0</v>
      </c>
      <c r="X111" s="38" t="n">
        <v>0</v>
      </c>
      <c r="Y111" s="38" t="n">
        <v>0</v>
      </c>
      <c r="Z111" s="38" t="n">
        <v>0</v>
      </c>
      <c r="AA111" s="261" t="n">
        <v>5</v>
      </c>
      <c r="AB111" s="38" t="n">
        <v>0</v>
      </c>
      <c r="AC111" s="38" t="n">
        <v>0</v>
      </c>
      <c r="AD111" s="38" t="n">
        <v>0</v>
      </c>
      <c r="AE111" s="38" t="n">
        <v>0</v>
      </c>
      <c r="AF111" s="38" t="n">
        <v>0</v>
      </c>
      <c r="AG111" s="38" t="n">
        <v>0</v>
      </c>
      <c r="AH111" s="38" t="n">
        <v>0</v>
      </c>
      <c r="AI111" s="38" t="n">
        <v>0</v>
      </c>
      <c r="AJ111" s="38" t="n">
        <v>0</v>
      </c>
      <c r="AK111" s="38" t="n">
        <v>0</v>
      </c>
      <c r="AL111" s="246">
        <f>AJ111+IF(NOT(ISBLANK(OFFSET(AL111,0,6))),N(OFFSET(AL111,0,6)),N(OFFSET(AL111,0,7)))-AK111</f>
        <v/>
      </c>
      <c r="AN111" s="69" t="n"/>
    </row>
    <row r="112" ht="18.75" customHeight="1">
      <c r="A112" s="33" t="inlineStr">
        <is>
          <t>KIT TAG 10 C/ 20</t>
        </is>
      </c>
      <c r="B112" s="9" t="n">
        <v>200</v>
      </c>
      <c r="C112" s="662" t="n"/>
      <c r="D112" s="329" t="n"/>
      <c r="E112" s="53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38" t="n">
        <v>0</v>
      </c>
      <c r="X112" s="38" t="n">
        <v>0</v>
      </c>
      <c r="Y112" s="38" t="n">
        <v>0</v>
      </c>
      <c r="Z112" s="38" t="n">
        <v>0</v>
      </c>
      <c r="AA112" s="38" t="n">
        <v>0</v>
      </c>
      <c r="AB112" s="38" t="n">
        <v>0</v>
      </c>
      <c r="AC112" s="38" t="n">
        <v>0</v>
      </c>
      <c r="AD112" s="38" t="n">
        <v>0</v>
      </c>
      <c r="AE112" s="38" t="n">
        <v>0</v>
      </c>
      <c r="AF112" s="38" t="n">
        <v>0</v>
      </c>
      <c r="AG112" s="38" t="n">
        <v>0</v>
      </c>
      <c r="AH112" s="38" t="n">
        <v>0</v>
      </c>
      <c r="AI112" s="38" t="n">
        <v>0</v>
      </c>
      <c r="AJ112" s="38" t="n">
        <v>0</v>
      </c>
      <c r="AK112" s="38" t="n">
        <v>0</v>
      </c>
      <c r="AL112" s="246">
        <f>AJ112+IF(NOT(ISBLANK(OFFSET(AL112,0,6))),N(OFFSET(AL112,0,6)),N(OFFSET(AL112,0,7)))-AK112</f>
        <v/>
      </c>
      <c r="AN112" s="69" t="n"/>
    </row>
    <row r="113" ht="18.75" customHeight="1">
      <c r="A113" s="238" t="inlineStr">
        <is>
          <t>CAIXA M</t>
        </is>
      </c>
      <c r="B113" s="36" t="n">
        <v>100</v>
      </c>
      <c r="C113" s="668" t="n"/>
      <c r="D113" s="36" t="n"/>
      <c r="E113" s="53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38" t="n">
        <v>0</v>
      </c>
      <c r="X113" s="38" t="n">
        <v>0</v>
      </c>
      <c r="Y113" s="38" t="n">
        <v>0</v>
      </c>
      <c r="Z113" s="38" t="n">
        <v>0</v>
      </c>
      <c r="AA113" s="261" t="n">
        <v>1</v>
      </c>
      <c r="AB113" s="38" t="n">
        <v>1</v>
      </c>
      <c r="AC113" s="38" t="n">
        <v>1</v>
      </c>
      <c r="AD113" s="38" t="n">
        <v>1</v>
      </c>
      <c r="AE113" s="38" t="n">
        <v>1</v>
      </c>
      <c r="AF113" s="38" t="n">
        <v>1</v>
      </c>
      <c r="AG113" s="38" t="n">
        <v>1</v>
      </c>
      <c r="AH113" s="38" t="n">
        <v>1</v>
      </c>
      <c r="AI113" s="38" t="n">
        <v>1</v>
      </c>
      <c r="AJ113" s="38" t="n">
        <v>0</v>
      </c>
      <c r="AK113" s="38" t="n">
        <v>0</v>
      </c>
      <c r="AL113" s="246">
        <f>AJ113+IF(NOT(ISBLANK(OFFSET(AL113,0,6))),N(OFFSET(AL113,0,6)),N(OFFSET(AL113,0,7)))-AK113</f>
        <v/>
      </c>
      <c r="AN113" s="69" t="n"/>
    </row>
    <row r="114" ht="18.75" customHeight="1">
      <c r="A114" s="238" t="inlineStr">
        <is>
          <t>CARTUCHO P</t>
        </is>
      </c>
      <c r="B114" s="36" t="n">
        <v>200</v>
      </c>
      <c r="C114" s="668" t="n"/>
      <c r="D114" s="36" t="n"/>
      <c r="E114" s="53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38" t="n">
        <v>0</v>
      </c>
      <c r="X114" s="38" t="n">
        <v>0</v>
      </c>
      <c r="Y114" s="38" t="n">
        <v>0</v>
      </c>
      <c r="Z114" s="38" t="n">
        <v>0</v>
      </c>
      <c r="AA114" s="38" t="n">
        <v>0</v>
      </c>
      <c r="AB114" s="38" t="n">
        <v>0</v>
      </c>
      <c r="AC114" s="38" t="n">
        <v>0</v>
      </c>
      <c r="AD114" s="38" t="n">
        <v>0</v>
      </c>
      <c r="AE114" s="38" t="n">
        <v>0</v>
      </c>
      <c r="AF114" s="38" t="n">
        <v>0</v>
      </c>
      <c r="AG114" s="38" t="n">
        <v>0</v>
      </c>
      <c r="AH114" s="38" t="n">
        <v>0</v>
      </c>
      <c r="AI114" s="38" t="n">
        <v>0</v>
      </c>
      <c r="AJ114" s="38" t="n">
        <v>0</v>
      </c>
      <c r="AK114" s="38" t="n">
        <v>0</v>
      </c>
      <c r="AL114" s="246">
        <f>AJ114+IF(NOT(ISBLANK(OFFSET(AL114,0,6))),N(OFFSET(AL114,0,6)),N(OFFSET(AL114,0,7)))-AK114</f>
        <v/>
      </c>
      <c r="AN114" s="69" t="n"/>
    </row>
    <row r="115" ht="18.75" customHeight="1">
      <c r="E115" s="53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AN115" s="69" t="n"/>
    </row>
    <row r="116" ht="18.75" customHeight="1">
      <c r="A116" s="410" t="inlineStr">
        <is>
          <t>BOTICÁRIO MÃES/26</t>
        </is>
      </c>
      <c r="B116" s="357" t="inlineStr">
        <is>
          <t>PC</t>
        </is>
      </c>
      <c r="C116" s="357" t="inlineStr">
        <is>
          <t>R$</t>
        </is>
      </c>
      <c r="D116" s="357" t="n"/>
      <c r="E116" s="53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650" t="n">
        <v>46069</v>
      </c>
      <c r="X116" s="650" t="n">
        <v>46076</v>
      </c>
      <c r="Y116" s="650" t="n">
        <v>46083</v>
      </c>
      <c r="Z116" s="650" t="n">
        <v>46090</v>
      </c>
      <c r="AA116" s="650" t="n">
        <v>46097</v>
      </c>
      <c r="AB116" s="650" t="n">
        <v>46104</v>
      </c>
      <c r="AC116" s="650" t="n">
        <v>46111</v>
      </c>
      <c r="AD116" s="650" t="n">
        <v>46118</v>
      </c>
      <c r="AE116" s="650" t="n">
        <v>46125</v>
      </c>
      <c r="AF116" s="650" t="n">
        <v>46132</v>
      </c>
      <c r="AG116" s="650" t="n">
        <v>46139</v>
      </c>
      <c r="AH116" s="650" t="n">
        <v>46146</v>
      </c>
      <c r="AI116" s="650" t="n">
        <v>46154</v>
      </c>
      <c r="AJ116" s="650" t="n">
        <v>46160</v>
      </c>
      <c r="AK116" s="650" t="n">
        <v>46160</v>
      </c>
      <c r="AL116" s="660" t="inlineStr">
        <is>
          <t>USOU</t>
        </is>
      </c>
      <c r="AN116" s="413" t="inlineStr">
        <is>
          <t>TRANSFERÊNCIA</t>
        </is>
      </c>
    </row>
    <row r="117" ht="18.75" customHeight="1">
      <c r="A117" s="33" t="inlineStr">
        <is>
          <t>SACOLA P</t>
        </is>
      </c>
      <c r="B117" s="9" t="n">
        <v>200</v>
      </c>
      <c r="C117" s="662" t="n"/>
      <c r="D117" s="329" t="n"/>
      <c r="E117" s="53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38" t="n">
        <v>0</v>
      </c>
      <c r="X117" s="38" t="n">
        <v>0</v>
      </c>
      <c r="Y117" s="38" t="n">
        <v>0</v>
      </c>
      <c r="Z117" s="38" t="n">
        <v>0</v>
      </c>
      <c r="AA117" s="38" t="n">
        <v>0</v>
      </c>
      <c r="AB117" s="38">
        <f>AV9</f>
        <v/>
      </c>
      <c r="AC117" s="38" t="n">
        <v>1000</v>
      </c>
      <c r="AD117" s="38" t="n">
        <v>1000</v>
      </c>
      <c r="AE117" s="38" t="n">
        <v>1000</v>
      </c>
      <c r="AF117" s="38" t="n">
        <v>1000</v>
      </c>
      <c r="AG117" s="38" t="n">
        <v>600</v>
      </c>
      <c r="AH117" s="38" t="n">
        <v>600</v>
      </c>
      <c r="AI117" s="38" t="n">
        <v>400</v>
      </c>
      <c r="AJ117" s="38" t="n"/>
      <c r="AK117" s="38" t="n"/>
      <c r="AL117" s="246">
        <f>AJ117+IF(NOT(ISBLANK(OFFSET(AL117,0,6))),N(OFFSET(AL117,0,6)),N(OFFSET(AL117,0,7)))-AK117</f>
        <v/>
      </c>
      <c r="AN117" s="127" t="n"/>
    </row>
    <row r="118" ht="18.75" customHeight="1">
      <c r="A118" s="33" t="inlineStr">
        <is>
          <t>SACOLA M</t>
        </is>
      </c>
      <c r="B118" s="9" t="n">
        <v>200</v>
      </c>
      <c r="C118" s="662" t="n"/>
      <c r="D118" s="329" t="n"/>
      <c r="E118" s="53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38" t="n">
        <v>0</v>
      </c>
      <c r="X118" s="38" t="n">
        <v>0</v>
      </c>
      <c r="Y118" s="38" t="n">
        <v>0</v>
      </c>
      <c r="Z118" s="38" t="n">
        <v>0</v>
      </c>
      <c r="AA118" s="38" t="n">
        <v>0</v>
      </c>
      <c r="AB118" s="38">
        <f>AV10</f>
        <v/>
      </c>
      <c r="AC118" s="38" t="n">
        <v>400</v>
      </c>
      <c r="AD118" s="261" t="n">
        <v>1000</v>
      </c>
      <c r="AE118" s="261" t="n">
        <v>1000</v>
      </c>
      <c r="AF118" s="38" t="n">
        <v>600</v>
      </c>
      <c r="AG118" s="38" t="n">
        <v>550</v>
      </c>
      <c r="AH118" s="38" t="n">
        <v>550</v>
      </c>
      <c r="AI118" s="261" t="n">
        <v>850</v>
      </c>
      <c r="AJ118" s="261" t="n"/>
      <c r="AK118" s="261" t="n"/>
      <c r="AL118" s="246">
        <f>AJ118+IF(NOT(ISBLANK(OFFSET(AL118,0,6))),N(OFFSET(AL118,0,6)),N(OFFSET(AL118,0,7)))-AK118</f>
        <v/>
      </c>
      <c r="AN118" s="127" t="n"/>
    </row>
    <row r="119" ht="18.75" customHeight="1">
      <c r="A119" s="33" t="inlineStr">
        <is>
          <t>SACOLA G</t>
        </is>
      </c>
      <c r="B119" s="9" t="n">
        <v>100</v>
      </c>
      <c r="C119" s="662" t="n"/>
      <c r="D119" s="329" t="n"/>
      <c r="E119" s="53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38" t="n">
        <v>0</v>
      </c>
      <c r="X119" s="38" t="n">
        <v>0</v>
      </c>
      <c r="Y119" s="38" t="n">
        <v>0</v>
      </c>
      <c r="Z119" s="38" t="n">
        <v>0</v>
      </c>
      <c r="AA119" s="38" t="n">
        <v>0</v>
      </c>
      <c r="AB119" s="38">
        <f>AV11</f>
        <v/>
      </c>
      <c r="AC119" s="38" t="n">
        <v>100</v>
      </c>
      <c r="AD119" s="38" t="n">
        <v>100</v>
      </c>
      <c r="AE119" s="38" t="n">
        <v>100</v>
      </c>
      <c r="AF119" s="38" t="n">
        <v>100</v>
      </c>
      <c r="AG119" s="38" t="n">
        <v>100</v>
      </c>
      <c r="AH119" s="38" t="n">
        <v>0</v>
      </c>
      <c r="AI119" s="261" t="n">
        <v>300</v>
      </c>
      <c r="AJ119" s="261" t="n"/>
      <c r="AK119" s="261" t="n"/>
      <c r="AL119" s="246">
        <f>AJ119+IF(NOT(ISBLANK(OFFSET(AL119,0,6))),N(OFFSET(AL119,0,6)),N(OFFSET(AL119,0,7)))-AK119</f>
        <v/>
      </c>
      <c r="AN119" s="425" t="inlineStr">
        <is>
          <t>300 DE ER PG</t>
        </is>
      </c>
    </row>
    <row r="120" ht="18.75" customHeight="1">
      <c r="A120" s="33" t="inlineStr">
        <is>
          <t>SACOLA P VENDA</t>
        </is>
      </c>
      <c r="B120" s="9" t="n">
        <v>200</v>
      </c>
      <c r="C120" s="662" t="n"/>
      <c r="D120" s="329" t="n"/>
      <c r="E120" s="53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38" t="n">
        <v>0</v>
      </c>
      <c r="X120" s="38" t="n">
        <v>0</v>
      </c>
      <c r="Y120" s="38" t="n">
        <v>0</v>
      </c>
      <c r="Z120" s="38" t="n">
        <v>0</v>
      </c>
      <c r="AA120" s="38" t="n">
        <v>0</v>
      </c>
      <c r="AB120" s="38" t="n">
        <v>0</v>
      </c>
      <c r="AC120" s="38" t="n">
        <v>0</v>
      </c>
      <c r="AD120" s="38" t="n"/>
      <c r="AE120" s="38" t="n"/>
      <c r="AF120" s="38" t="n"/>
      <c r="AG120" s="38" t="n">
        <v>200</v>
      </c>
      <c r="AH120" s="38" t="n">
        <v>195</v>
      </c>
      <c r="AI120" s="38" t="n">
        <v>183</v>
      </c>
      <c r="AJ120" s="38" t="n">
        <v>0</v>
      </c>
      <c r="AK120" s="38" t="n">
        <v>0</v>
      </c>
      <c r="AL120" s="246">
        <f>AJ120+IF(NOT(ISBLANK(OFFSET(AL120,0,6))),N(OFFSET(AL120,0,6)),N(OFFSET(AL120,0,7)))-AK120</f>
        <v/>
      </c>
      <c r="AN120" s="69" t="n"/>
    </row>
    <row r="121" ht="18.75" customHeight="1">
      <c r="A121" s="33" t="inlineStr">
        <is>
          <t>SACOLA M VENDA</t>
        </is>
      </c>
      <c r="B121" s="9" t="n">
        <v>200</v>
      </c>
      <c r="C121" s="662" t="n"/>
      <c r="D121" s="329" t="n"/>
      <c r="E121" s="53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38" t="n">
        <v>0</v>
      </c>
      <c r="X121" s="38" t="n">
        <v>0</v>
      </c>
      <c r="Y121" s="38" t="n">
        <v>0</v>
      </c>
      <c r="Z121" s="38" t="n">
        <v>0</v>
      </c>
      <c r="AA121" s="38" t="n">
        <v>0</v>
      </c>
      <c r="AB121" s="38" t="n">
        <v>0</v>
      </c>
      <c r="AC121" s="38" t="n">
        <v>0</v>
      </c>
      <c r="AD121" s="38" t="n"/>
      <c r="AE121" s="38" t="n"/>
      <c r="AF121" s="38" t="n"/>
      <c r="AG121" s="38" t="n">
        <v>180</v>
      </c>
      <c r="AH121" s="38" t="n">
        <v>165</v>
      </c>
      <c r="AI121" s="38" t="n">
        <v>143</v>
      </c>
      <c r="AJ121" s="38" t="n">
        <v>0</v>
      </c>
      <c r="AK121" s="38" t="n">
        <v>0</v>
      </c>
      <c r="AL121" s="246">
        <f>AJ121+IF(NOT(ISBLANK(OFFSET(AL121,0,6))),N(OFFSET(AL121,0,6)),N(OFFSET(AL121,0,7)))-AK121</f>
        <v/>
      </c>
      <c r="AN121" s="69" t="n"/>
    </row>
    <row r="122" ht="18.75" customHeight="1">
      <c r="A122" s="33" t="inlineStr">
        <is>
          <t>SACOLA G</t>
        </is>
      </c>
      <c r="B122" s="9" t="n">
        <v>100</v>
      </c>
      <c r="C122" s="662" t="n"/>
      <c r="D122" s="329" t="n"/>
      <c r="E122" s="53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38" t="n">
        <v>0</v>
      </c>
      <c r="X122" s="38" t="n">
        <v>0</v>
      </c>
      <c r="Y122" s="38" t="n">
        <v>0</v>
      </c>
      <c r="Z122" s="38" t="n">
        <v>0</v>
      </c>
      <c r="AA122" s="38" t="n">
        <v>0</v>
      </c>
      <c r="AB122" s="38" t="n">
        <v>0</v>
      </c>
      <c r="AC122" s="38" t="n">
        <v>0</v>
      </c>
      <c r="AD122" s="38" t="n"/>
      <c r="AE122" s="38" t="n"/>
      <c r="AF122" s="38" t="n"/>
      <c r="AG122" s="38" t="n">
        <v>0</v>
      </c>
      <c r="AH122" s="38" t="n">
        <v>0</v>
      </c>
      <c r="AI122" s="38" t="n">
        <v>0</v>
      </c>
      <c r="AJ122" s="38" t="n">
        <v>0</v>
      </c>
      <c r="AK122" s="38" t="n"/>
      <c r="AL122" s="246">
        <f>AJ122+IF(NOT(ISBLANK(OFFSET(AL122,0,6))),N(OFFSET(AL122,0,6)),N(OFFSET(AL122,0,7)))-AK122</f>
        <v/>
      </c>
      <c r="AN122" s="69" t="n"/>
    </row>
    <row r="123" ht="18.75" customHeight="1">
      <c r="A123" s="238" t="inlineStr">
        <is>
          <t>KIT PAPEL DE SEDA 10 C/ 20</t>
        </is>
      </c>
      <c r="B123" s="36" t="n">
        <v>200</v>
      </c>
      <c r="C123" s="668" t="n"/>
      <c r="D123" s="36" t="n"/>
      <c r="E123" s="53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38" t="n">
        <v>0</v>
      </c>
      <c r="X123" s="38" t="n">
        <v>0</v>
      </c>
      <c r="Y123" s="38" t="n">
        <v>0</v>
      </c>
      <c r="Z123" s="38" t="n">
        <v>0</v>
      </c>
      <c r="AA123" s="38" t="n">
        <v>0</v>
      </c>
      <c r="AB123" s="38" t="n">
        <v>0</v>
      </c>
      <c r="AC123" s="38" t="n">
        <v>0</v>
      </c>
      <c r="AD123" s="38" t="n"/>
      <c r="AE123" s="38" t="n"/>
      <c r="AF123" s="38" t="n"/>
      <c r="AG123" s="38" t="n">
        <v>2</v>
      </c>
      <c r="AH123" s="38" t="n">
        <v>2</v>
      </c>
      <c r="AI123" s="38" t="n">
        <v>1</v>
      </c>
      <c r="AJ123" s="38" t="n">
        <v>1</v>
      </c>
      <c r="AK123" s="38" t="n">
        <v>1</v>
      </c>
      <c r="AL123" s="246">
        <f>AJ123+IF(NOT(ISBLANK(OFFSET(AL123,0,6))),N(OFFSET(AL123,0,6)),N(OFFSET(AL123,0,7)))-AK123</f>
        <v/>
      </c>
      <c r="AN123" s="69" t="n"/>
    </row>
    <row r="124" ht="18.75" customHeight="1">
      <c r="A124" s="238" t="inlineStr">
        <is>
          <t>CAIXA P</t>
        </is>
      </c>
      <c r="B124" s="36" t="n">
        <v>150</v>
      </c>
      <c r="C124" s="668" t="n"/>
      <c r="D124" s="36" t="n"/>
      <c r="E124" s="53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38" t="n">
        <v>0</v>
      </c>
      <c r="X124" s="38" t="n">
        <v>0</v>
      </c>
      <c r="Y124" s="38" t="n">
        <v>0</v>
      </c>
      <c r="Z124" s="38" t="n">
        <v>0</v>
      </c>
      <c r="AA124" s="38" t="n">
        <v>0</v>
      </c>
      <c r="AB124" s="38" t="n">
        <v>0</v>
      </c>
      <c r="AC124" s="38" t="n">
        <v>0</v>
      </c>
      <c r="AD124" s="38" t="n"/>
      <c r="AE124" s="38" t="n"/>
      <c r="AF124" s="38" t="n"/>
      <c r="AG124" s="38" t="n">
        <v>22</v>
      </c>
      <c r="AH124" s="38" t="n">
        <v>8</v>
      </c>
      <c r="AI124" s="38" t="n">
        <v>6</v>
      </c>
      <c r="AJ124" s="38" t="n">
        <v>3</v>
      </c>
      <c r="AK124" s="38" t="n">
        <v>3</v>
      </c>
      <c r="AL124" s="246">
        <f>AJ124+IF(NOT(ISBLANK(OFFSET(AL124,0,6))),N(OFFSET(AL124,0,6)),N(OFFSET(AL124,0,7)))-AK124</f>
        <v/>
      </c>
      <c r="AN124" s="69" t="n"/>
    </row>
    <row r="125" ht="18.75" customHeight="1">
      <c r="A125" s="238" t="inlineStr">
        <is>
          <t>CAIXA M</t>
        </is>
      </c>
      <c r="B125" s="36" t="n">
        <v>100</v>
      </c>
      <c r="C125" s="668" t="n"/>
      <c r="D125" s="36" t="n"/>
      <c r="E125" s="53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38" t="n">
        <v>0</v>
      </c>
      <c r="X125" s="38" t="n">
        <v>0</v>
      </c>
      <c r="Y125" s="38" t="n">
        <v>0</v>
      </c>
      <c r="Z125" s="38" t="n">
        <v>0</v>
      </c>
      <c r="AA125" s="38" t="n">
        <v>0</v>
      </c>
      <c r="AB125" s="38" t="n">
        <v>0</v>
      </c>
      <c r="AC125" s="38" t="n">
        <v>0</v>
      </c>
      <c r="AD125" s="38" t="n"/>
      <c r="AE125" s="38" t="n"/>
      <c r="AF125" s="38" t="n"/>
      <c r="AG125" s="38" t="n">
        <v>19</v>
      </c>
      <c r="AH125" s="38" t="n">
        <v>9</v>
      </c>
      <c r="AI125" s="38" t="n">
        <v>4</v>
      </c>
      <c r="AJ125" s="38" t="n">
        <v>3</v>
      </c>
      <c r="AK125" s="38" t="n">
        <v>3</v>
      </c>
      <c r="AL125" s="246">
        <f>AJ125+IF(NOT(ISBLANK(OFFSET(AL125,0,6))),N(OFFSET(AL125,0,6)),N(OFFSET(AL125,0,7)))-AK125</f>
        <v/>
      </c>
      <c r="AN125" s="69" t="n"/>
    </row>
    <row r="126" ht="18.75" customHeight="1">
      <c r="A126" s="238" t="inlineStr">
        <is>
          <t>CARTUCHO M</t>
        </is>
      </c>
      <c r="B126" s="36" t="n">
        <v>150</v>
      </c>
      <c r="C126" s="668" t="n"/>
      <c r="D126" s="36" t="n"/>
      <c r="E126" s="53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38" t="n">
        <v>0</v>
      </c>
      <c r="X126" s="38" t="n">
        <v>0</v>
      </c>
      <c r="Y126" s="38" t="n">
        <v>0</v>
      </c>
      <c r="Z126" s="38" t="n">
        <v>0</v>
      </c>
      <c r="AA126" s="38" t="n">
        <v>0</v>
      </c>
      <c r="AB126" s="38" t="n">
        <v>0</v>
      </c>
      <c r="AC126" s="38" t="n">
        <v>0</v>
      </c>
      <c r="AD126" s="38" t="n"/>
      <c r="AE126" s="38" t="n"/>
      <c r="AF126" s="38" t="n"/>
      <c r="AG126" s="38" t="n">
        <v>0</v>
      </c>
      <c r="AH126" s="38" t="n">
        <v>0</v>
      </c>
      <c r="AI126" s="38" t="n">
        <v>0</v>
      </c>
      <c r="AJ126" s="38" t="n">
        <v>0</v>
      </c>
      <c r="AK126" s="38" t="n">
        <v>0</v>
      </c>
      <c r="AL126" s="246">
        <f>AJ126+IF(NOT(ISBLANK(OFFSET(AL126,0,6))),N(OFFSET(AL126,0,6)),N(OFFSET(AL126,0,7)))-AK126</f>
        <v/>
      </c>
      <c r="AN126" s="69" t="n"/>
    </row>
    <row r="127" ht="18.75" customHeight="1">
      <c r="A127" s="31" t="n"/>
      <c r="B127" s="53" t="n"/>
      <c r="C127" s="53" t="n"/>
      <c r="E127" s="53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  <c r="AA127" s="4" t="n"/>
      <c r="AB127" s="4" t="n"/>
      <c r="AC127" s="4" t="n"/>
      <c r="AD127" s="4" t="n"/>
      <c r="AE127" s="4" t="n"/>
      <c r="AF127" s="4" t="n"/>
      <c r="AG127" s="4" t="n"/>
      <c r="AH127" s="4" t="n"/>
      <c r="AI127" s="4" t="n"/>
      <c r="AJ127" s="4" t="n"/>
      <c r="AK127" s="4" t="n"/>
      <c r="AL127" s="53" t="n"/>
      <c r="AN127" s="69" t="n"/>
    </row>
    <row r="128" ht="18.75" customHeight="1">
      <c r="A128" s="31" t="n"/>
      <c r="B128" s="53" t="n"/>
      <c r="C128" s="53" t="n"/>
      <c r="E128" s="53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  <c r="AA128" s="4" t="n"/>
      <c r="AB128" s="4" t="n"/>
      <c r="AC128" s="4" t="n"/>
      <c r="AD128" s="4" t="n"/>
      <c r="AE128" s="4" t="n"/>
      <c r="AF128" s="4" t="n"/>
      <c r="AG128" s="4" t="n"/>
      <c r="AH128" s="4" t="n"/>
      <c r="AI128" s="4" t="n"/>
      <c r="AJ128" s="4" t="n"/>
      <c r="AK128" s="4" t="n"/>
      <c r="AL128" s="53" t="n"/>
      <c r="AN128" s="69" t="n"/>
    </row>
    <row r="129" ht="18.75" customHeight="1">
      <c r="A129" s="669" t="inlineStr">
        <is>
          <t>SOBRAS DATAS COMEMORATIVAS</t>
        </is>
      </c>
      <c r="B129" s="658" t="n"/>
      <c r="C129" s="670" t="n"/>
    </row>
    <row r="130" ht="18.75" customHeight="1">
      <c r="A130" s="146" t="inlineStr">
        <is>
          <t>ITENS</t>
        </is>
      </c>
      <c r="B130" s="146" t="n"/>
      <c r="C130" s="146" t="inlineStr">
        <is>
          <t>TEMOS EM ESTOQUE</t>
        </is>
      </c>
      <c r="BT130" s="314" t="n"/>
      <c r="BU130" s="314" t="n"/>
    </row>
    <row r="131" ht="18.75" customHeight="1">
      <c r="A131" s="193" t="n"/>
      <c r="B131" s="192" t="n"/>
      <c r="C131" s="171" t="n"/>
    </row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</sheetData>
  <mergeCells count="9">
    <mergeCell ref="A5:A6"/>
    <mergeCell ref="B2:C2"/>
    <mergeCell ref="B3:C3"/>
    <mergeCell ref="F5:AJ5"/>
    <mergeCell ref="C5:C6"/>
    <mergeCell ref="BW54:BX64"/>
    <mergeCell ref="B5:B6"/>
    <mergeCell ref="A129:C129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portrait" paperSize="9" scale="57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Planilha1">
    <tabColor rgb="FF990099"/>
    <outlinePr summaryBelow="1" summaryRight="1"/>
    <pageSetUpPr/>
  </sheetPr>
  <dimension ref="A1:BM192"/>
  <sheetViews>
    <sheetView topLeftCell="A166" zoomScale="90" zoomScaleNormal="90" workbookViewId="0">
      <pane xSplit="1" topLeftCell="W1" activePane="topRight" state="frozen"/>
      <selection activeCell="A19" sqref="A19"/>
      <selection pane="topRight" activeCell="X188" sqref="X188"/>
    </sheetView>
  </sheetViews>
  <sheetFormatPr baseColWidth="8" defaultRowHeight="15"/>
  <cols>
    <col width="28.5703125" bestFit="1" customWidth="1" min="1" max="1"/>
    <col width="9.140625" customWidth="1" min="2" max="33"/>
  </cols>
  <sheetData>
    <row r="1" ht="18" customHeight="1">
      <c r="A1" s="532" t="inlineStr">
        <is>
          <t>GASTO DE SACOLAS E ITENS DOADOS 2026 - MENSAIS</t>
        </is>
      </c>
      <c r="B1" s="734" t="n"/>
      <c r="C1" s="734" t="n"/>
      <c r="D1" s="734" t="n"/>
      <c r="E1" s="734" t="n"/>
      <c r="F1" s="734" t="n"/>
      <c r="G1" s="734" t="n"/>
      <c r="H1" s="734" t="n"/>
      <c r="I1" s="734" t="n"/>
      <c r="J1" s="734" t="n"/>
      <c r="K1" s="734" t="n"/>
      <c r="L1" s="734" t="n"/>
      <c r="M1" s="734" t="n"/>
      <c r="N1" s="734" t="n"/>
      <c r="O1" s="734" t="n"/>
      <c r="P1" s="734" t="n"/>
      <c r="Q1" s="734" t="n"/>
      <c r="R1" s="734" t="n"/>
      <c r="S1" s="734" t="n"/>
      <c r="T1" s="734" t="n"/>
      <c r="U1" s="734" t="n"/>
      <c r="V1" s="734" t="n"/>
      <c r="W1" s="734" t="n"/>
      <c r="X1" s="734" t="n"/>
      <c r="Y1" s="734" t="n"/>
      <c r="Z1" s="734" t="n"/>
      <c r="AA1" s="734" t="n"/>
      <c r="AB1" s="734" t="n"/>
      <c r="AC1" s="734" t="n"/>
      <c r="AD1" s="734" t="n"/>
      <c r="AE1" s="734" t="n"/>
      <c r="AF1" s="734" t="n"/>
      <c r="AG1" s="734" t="n"/>
      <c r="AH1" s="734" t="n"/>
      <c r="AI1" s="734" t="n"/>
      <c r="AJ1" s="734" t="n"/>
      <c r="AK1" s="734" t="n"/>
      <c r="AL1" s="734" t="n"/>
      <c r="AM1" s="734" t="n"/>
      <c r="AN1" s="734" t="n"/>
      <c r="AO1" s="734" t="n"/>
      <c r="AP1" s="734" t="n"/>
      <c r="AQ1" s="734" t="n"/>
      <c r="AR1" s="734" t="n"/>
      <c r="AS1" s="734" t="n"/>
      <c r="AT1" s="734" t="n"/>
      <c r="AU1" s="734" t="n"/>
      <c r="AV1" s="734" t="n"/>
      <c r="AW1" s="734" t="n"/>
      <c r="AX1" s="734" t="n"/>
      <c r="AY1" s="734" t="n"/>
      <c r="AZ1" s="734" t="n"/>
      <c r="BA1" s="734" t="n"/>
      <c r="BB1" s="734" t="n"/>
      <c r="BC1" s="734" t="n"/>
      <c r="BD1" s="734" t="n"/>
      <c r="BE1" s="734" t="n"/>
      <c r="BF1" s="734" t="n"/>
      <c r="BG1" s="734" t="n"/>
      <c r="BH1" s="734" t="n"/>
      <c r="BI1" s="734" t="n"/>
      <c r="BJ1" s="734" t="n"/>
      <c r="BK1" s="734" t="n"/>
      <c r="BL1" s="734" t="n"/>
      <c r="BM1" s="734" t="n"/>
    </row>
    <row r="2" ht="18" customHeight="1">
      <c r="A2" s="735" t="inlineStr">
        <is>
          <t>PLAZA</t>
        </is>
      </c>
      <c r="B2" s="735" t="inlineStr">
        <is>
          <t>JANEIRO</t>
        </is>
      </c>
      <c r="C2" s="736" t="n"/>
      <c r="D2" s="736" t="n"/>
      <c r="E2" s="736" t="n"/>
      <c r="F2" s="737" t="n"/>
      <c r="G2" s="735" t="inlineStr">
        <is>
          <t>FEVEREIRO</t>
        </is>
      </c>
      <c r="H2" s="736" t="n"/>
      <c r="I2" s="736" t="n"/>
      <c r="J2" s="736" t="n"/>
      <c r="K2" s="737" t="n"/>
      <c r="L2" s="735" t="inlineStr">
        <is>
          <t>MARÇO</t>
        </is>
      </c>
      <c r="M2" s="736" t="n"/>
      <c r="N2" s="736" t="n"/>
      <c r="O2" s="736" t="n"/>
      <c r="P2" s="736" t="n"/>
      <c r="Q2" s="737" t="n"/>
      <c r="R2" s="735" t="inlineStr">
        <is>
          <t>ABRIL</t>
        </is>
      </c>
      <c r="S2" s="736" t="n"/>
      <c r="T2" s="736" t="n"/>
      <c r="U2" s="736" t="n"/>
      <c r="V2" s="737" t="n"/>
      <c r="W2" s="735" t="inlineStr">
        <is>
          <t>MAIO</t>
        </is>
      </c>
      <c r="X2" s="736" t="n"/>
      <c r="Y2" s="736" t="n"/>
      <c r="Z2" s="736" t="n"/>
      <c r="AA2" s="737" t="n"/>
      <c r="AB2" s="735" t="inlineStr">
        <is>
          <t>JUNHO</t>
        </is>
      </c>
      <c r="AC2" s="736" t="n"/>
      <c r="AD2" s="736" t="n"/>
      <c r="AE2" s="736" t="n"/>
      <c r="AF2" s="736" t="n"/>
      <c r="AG2" s="737" t="n"/>
      <c r="AH2" s="735" t="inlineStr">
        <is>
          <t>JULHO</t>
        </is>
      </c>
      <c r="AI2" s="736" t="n"/>
      <c r="AJ2" s="736" t="n"/>
      <c r="AK2" s="736" t="n"/>
      <c r="AL2" s="737" t="n"/>
      <c r="AM2" s="735" t="inlineStr">
        <is>
          <t>AGOSTO</t>
        </is>
      </c>
      <c r="AN2" s="736" t="n"/>
      <c r="AO2" s="736" t="n"/>
      <c r="AP2" s="736" t="n"/>
      <c r="AQ2" s="736" t="n"/>
      <c r="AR2" s="737" t="n"/>
      <c r="AS2" s="735" t="inlineStr">
        <is>
          <t>SETEMBRO</t>
        </is>
      </c>
      <c r="AT2" s="736" t="n"/>
      <c r="AU2" s="736" t="n"/>
      <c r="AV2" s="736" t="n"/>
      <c r="AW2" s="737" t="n"/>
      <c r="AX2" s="735" t="inlineStr">
        <is>
          <t>OUTUBRO</t>
        </is>
      </c>
      <c r="AY2" s="736" t="n"/>
      <c r="AZ2" s="736" t="n"/>
      <c r="BA2" s="736" t="n"/>
      <c r="BB2" s="737" t="n"/>
      <c r="BC2" s="735" t="inlineStr">
        <is>
          <t>NOVEMBRO</t>
        </is>
      </c>
      <c r="BD2" s="736" t="n"/>
      <c r="BE2" s="736" t="n"/>
      <c r="BF2" s="736" t="n"/>
      <c r="BG2" s="736" t="n"/>
      <c r="BH2" s="737" t="n"/>
      <c r="BI2" s="735" t="inlineStr">
        <is>
          <t>DEZEMBRO</t>
        </is>
      </c>
      <c r="BJ2" s="736" t="n"/>
      <c r="BK2" s="736" t="n"/>
      <c r="BL2" s="736" t="n"/>
      <c r="BM2" s="737" t="n"/>
    </row>
    <row r="3" ht="15.75" customHeight="1">
      <c r="A3" s="738" t="n"/>
      <c r="B3" s="78" t="n">
        <v>46027</v>
      </c>
      <c r="C3" s="78" t="n">
        <v>46034</v>
      </c>
      <c r="D3" s="78" t="n">
        <v>46041</v>
      </c>
      <c r="E3" s="78" t="n">
        <v>46048</v>
      </c>
      <c r="F3" s="85" t="inlineStr">
        <is>
          <t>USOU</t>
        </is>
      </c>
      <c r="G3" s="78" t="n">
        <v>46055</v>
      </c>
      <c r="H3" s="78" t="n">
        <v>46062</v>
      </c>
      <c r="I3" s="78" t="n">
        <v>46069</v>
      </c>
      <c r="J3" s="78" t="n">
        <v>46076</v>
      </c>
      <c r="K3" s="85" t="inlineStr">
        <is>
          <t>USOU</t>
        </is>
      </c>
      <c r="L3" s="78" t="n">
        <v>46083</v>
      </c>
      <c r="M3" s="78" t="n">
        <v>46090</v>
      </c>
      <c r="N3" s="78" t="n">
        <v>46097</v>
      </c>
      <c r="O3" s="78" t="n">
        <v>46104</v>
      </c>
      <c r="P3" s="78" t="n">
        <v>46111</v>
      </c>
      <c r="Q3" s="85" t="inlineStr">
        <is>
          <t>USOU</t>
        </is>
      </c>
      <c r="R3" s="78" t="n">
        <v>46118</v>
      </c>
      <c r="S3" s="78" t="n">
        <v>46125</v>
      </c>
      <c r="T3" s="78" t="n">
        <v>46132</v>
      </c>
      <c r="U3" s="78" t="n">
        <v>46139</v>
      </c>
      <c r="V3" s="85" t="inlineStr">
        <is>
          <t>USOU</t>
        </is>
      </c>
      <c r="W3" s="78" t="n">
        <v>46146</v>
      </c>
      <c r="X3" s="78" t="n">
        <v>46153</v>
      </c>
      <c r="Y3" s="78" t="n">
        <v>46160</v>
      </c>
      <c r="Z3" s="78" t="n">
        <v>46167</v>
      </c>
      <c r="AA3" s="85" t="inlineStr">
        <is>
          <t>USOU</t>
        </is>
      </c>
      <c r="AB3" s="78" t="n">
        <v>46174</v>
      </c>
      <c r="AC3" s="78" t="n">
        <v>46181</v>
      </c>
      <c r="AD3" s="78" t="n">
        <v>46188</v>
      </c>
      <c r="AE3" s="78" t="n">
        <v>46195</v>
      </c>
      <c r="AF3" s="78" t="n">
        <v>46202</v>
      </c>
      <c r="AG3" s="85" t="inlineStr">
        <is>
          <t>USOU</t>
        </is>
      </c>
      <c r="AH3" s="78" t="n">
        <v>46209</v>
      </c>
      <c r="AI3" s="78" t="n">
        <v>46216</v>
      </c>
      <c r="AJ3" s="78" t="n">
        <v>46223</v>
      </c>
      <c r="AK3" s="78" t="n">
        <v>46230</v>
      </c>
      <c r="AL3" s="85" t="inlineStr">
        <is>
          <t>USOU</t>
        </is>
      </c>
      <c r="AM3" s="78" t="n">
        <v>46237</v>
      </c>
      <c r="AN3" s="78" t="n">
        <v>46244</v>
      </c>
      <c r="AO3" s="78" t="n">
        <v>46251</v>
      </c>
      <c r="AP3" s="78" t="n">
        <v>46258</v>
      </c>
      <c r="AQ3" s="78" t="n">
        <v>46265</v>
      </c>
      <c r="AR3" s="85" t="inlineStr">
        <is>
          <t>USOU</t>
        </is>
      </c>
      <c r="AS3" s="78" t="n">
        <v>46272</v>
      </c>
      <c r="AT3" s="78" t="n">
        <v>46279</v>
      </c>
      <c r="AU3" s="78" t="n">
        <v>46286</v>
      </c>
      <c r="AV3" s="78" t="n">
        <v>46293</v>
      </c>
      <c r="AW3" s="85" t="inlineStr">
        <is>
          <t>USOU</t>
        </is>
      </c>
      <c r="AX3" s="78" t="n">
        <v>46300</v>
      </c>
      <c r="AY3" s="78" t="n">
        <v>46307</v>
      </c>
      <c r="AZ3" s="78" t="n">
        <v>46314</v>
      </c>
      <c r="BA3" s="78" t="n">
        <v>46321</v>
      </c>
      <c r="BB3" s="85" t="inlineStr">
        <is>
          <t>USOU</t>
        </is>
      </c>
      <c r="BC3" s="78" t="n">
        <v>46328</v>
      </c>
      <c r="BD3" s="78" t="n">
        <v>46335</v>
      </c>
      <c r="BE3" s="78" t="n">
        <v>46342</v>
      </c>
      <c r="BF3" s="78" t="n">
        <v>46349</v>
      </c>
      <c r="BG3" s="78" t="n">
        <v>46356</v>
      </c>
      <c r="BH3" s="85" t="inlineStr">
        <is>
          <t>USOU</t>
        </is>
      </c>
      <c r="BI3" s="78" t="n">
        <v>46363</v>
      </c>
      <c r="BJ3" s="78" t="n">
        <v>46370</v>
      </c>
      <c r="BK3" s="78" t="n">
        <v>46377</v>
      </c>
      <c r="BL3" s="78" t="n">
        <v>46384</v>
      </c>
      <c r="BM3" s="85" t="inlineStr">
        <is>
          <t>USOU</t>
        </is>
      </c>
    </row>
    <row r="4" ht="15.75" customHeight="1">
      <c r="A4" s="82" t="inlineStr">
        <is>
          <t>SACOLA PP VERDE</t>
        </is>
      </c>
      <c r="B4" s="80" t="n">
        <v>0</v>
      </c>
      <c r="C4" s="80" t="n">
        <v>300</v>
      </c>
      <c r="D4" s="80" t="n">
        <v>0</v>
      </c>
      <c r="E4" s="80" t="n">
        <v>0</v>
      </c>
      <c r="F4" s="81">
        <f>B4+C4+D4+E4</f>
        <v/>
      </c>
      <c r="G4" s="80" t="n">
        <v>300</v>
      </c>
      <c r="H4" s="80" t="n">
        <v>0</v>
      </c>
      <c r="I4" s="80" t="n">
        <v>300</v>
      </c>
      <c r="J4" s="80" t="n">
        <v>0</v>
      </c>
      <c r="K4" s="81">
        <f>G4+H4+I4+J4</f>
        <v/>
      </c>
      <c r="L4" s="80" t="n">
        <v>0</v>
      </c>
      <c r="M4" s="80" t="n">
        <v>0</v>
      </c>
      <c r="N4" s="80" t="n">
        <v>300</v>
      </c>
      <c r="O4" s="80" t="n">
        <v>0</v>
      </c>
      <c r="P4" s="80" t="n">
        <v>0</v>
      </c>
      <c r="Q4" s="81">
        <f>L4+M4+N4+O4+P4</f>
        <v/>
      </c>
      <c r="R4" s="80" t="n"/>
      <c r="S4" s="80" t="n"/>
      <c r="T4" s="80" t="n"/>
      <c r="U4" s="80" t="n"/>
      <c r="V4" s="81">
        <f>R4+S4+T4+U4</f>
        <v/>
      </c>
      <c r="W4" s="80" t="n">
        <v>0</v>
      </c>
      <c r="X4" s="80" t="n">
        <v>600</v>
      </c>
      <c r="Y4" s="80" t="n"/>
      <c r="Z4" s="80" t="n"/>
      <c r="AA4" s="81">
        <f>W4+X4+Y4+Z4</f>
        <v/>
      </c>
      <c r="AB4" s="80" t="n"/>
      <c r="AC4" s="80" t="n"/>
      <c r="AD4" s="80" t="n"/>
      <c r="AE4" s="80" t="n"/>
      <c r="AF4" s="80" t="n"/>
      <c r="AG4" s="81">
        <f>AB4+AC4+AD4+AE4+AF4</f>
        <v/>
      </c>
      <c r="AH4" s="80" t="n"/>
      <c r="AI4" s="80" t="n"/>
      <c r="AJ4" s="80" t="n"/>
      <c r="AK4" s="80" t="n"/>
      <c r="AL4" s="81">
        <f>AH4+AI4+AJ4+AK4</f>
        <v/>
      </c>
      <c r="AM4" s="80" t="n"/>
      <c r="AN4" s="80" t="n"/>
      <c r="AO4" s="80" t="n"/>
      <c r="AP4" s="80" t="n"/>
      <c r="AQ4" s="80" t="n"/>
      <c r="AR4" s="81">
        <f>AM4+AN4+AO4+AP4+AQ4</f>
        <v/>
      </c>
      <c r="AS4" s="80" t="n"/>
      <c r="AT4" s="80" t="n"/>
      <c r="AU4" s="80" t="n"/>
      <c r="AV4" s="80" t="n"/>
      <c r="AW4" s="81">
        <f>AS4+AT4+AU4+AV4</f>
        <v/>
      </c>
      <c r="AX4" s="80" t="n"/>
      <c r="AY4" s="80" t="n"/>
      <c r="AZ4" s="80" t="n"/>
      <c r="BA4" s="80" t="n"/>
      <c r="BB4" s="81">
        <f>AX4+AY4+AZ4+BA4</f>
        <v/>
      </c>
      <c r="BC4" s="80" t="n"/>
      <c r="BD4" s="80" t="n"/>
      <c r="BE4" s="80" t="n"/>
      <c r="BF4" s="80" t="n"/>
      <c r="BG4" s="80" t="n"/>
      <c r="BH4" s="81">
        <f>BC4+BD4+BE4+BF4+BG4</f>
        <v/>
      </c>
      <c r="BI4" s="80" t="n"/>
      <c r="BJ4" s="80" t="n"/>
      <c r="BK4" s="80" t="n"/>
      <c r="BL4" s="80" t="n"/>
      <c r="BM4" s="81">
        <f>BI4+BJ4+BK4+BL4</f>
        <v/>
      </c>
    </row>
    <row r="5" ht="15.75" customHeight="1">
      <c r="A5" s="82" t="inlineStr">
        <is>
          <t>SACOLA P VERDE</t>
        </is>
      </c>
      <c r="B5" s="80" t="n">
        <v>0</v>
      </c>
      <c r="C5" s="80" t="n">
        <v>400</v>
      </c>
      <c r="D5" s="80" t="n">
        <v>400</v>
      </c>
      <c r="E5" s="80" t="n">
        <v>1000</v>
      </c>
      <c r="F5" s="81">
        <f>B5+C5+D5+E5</f>
        <v/>
      </c>
      <c r="G5" s="80" t="n">
        <v>600</v>
      </c>
      <c r="H5" s="80" t="n">
        <v>1000</v>
      </c>
      <c r="I5" s="80" t="n">
        <v>200</v>
      </c>
      <c r="J5" s="80" t="n">
        <v>400</v>
      </c>
      <c r="K5" s="81">
        <f>G5+H5+I5+J5</f>
        <v/>
      </c>
      <c r="L5" s="80" t="n">
        <v>0</v>
      </c>
      <c r="M5" s="80" t="n">
        <v>1000</v>
      </c>
      <c r="N5" s="80" t="n">
        <v>400</v>
      </c>
      <c r="O5" s="80" t="n">
        <v>800</v>
      </c>
      <c r="P5" s="80" t="n">
        <v>200</v>
      </c>
      <c r="Q5" s="81">
        <f>L5+M5+N5+O5+P5</f>
        <v/>
      </c>
      <c r="R5" s="80" t="n"/>
      <c r="S5" s="80" t="n"/>
      <c r="T5" s="80" t="n"/>
      <c r="U5" s="80" t="n"/>
      <c r="V5" s="81">
        <f>R5+S5+T5+U5</f>
        <v/>
      </c>
      <c r="W5" s="80" t="n">
        <v>200</v>
      </c>
      <c r="X5" s="80" t="n">
        <v>0</v>
      </c>
      <c r="Y5" s="80" t="n"/>
      <c r="Z5" s="80" t="n"/>
      <c r="AA5" s="81">
        <f>W5+X5+Y5+Z5</f>
        <v/>
      </c>
      <c r="AB5" s="80" t="n"/>
      <c r="AC5" s="80" t="n"/>
      <c r="AD5" s="80" t="n"/>
      <c r="AE5" s="80" t="n"/>
      <c r="AF5" s="80" t="n"/>
      <c r="AG5" s="81">
        <f>AB5+AC5+AD5+AE5+AF5</f>
        <v/>
      </c>
      <c r="AH5" s="80" t="n"/>
      <c r="AI5" s="80" t="n"/>
      <c r="AJ5" s="80" t="n"/>
      <c r="AK5" s="80" t="n"/>
      <c r="AL5" s="81">
        <f>AH5+AI5+AJ5+AK5</f>
        <v/>
      </c>
      <c r="AM5" s="80" t="n"/>
      <c r="AN5" s="80" t="n"/>
      <c r="AO5" s="80" t="n"/>
      <c r="AP5" s="80" t="n"/>
      <c r="AQ5" s="80" t="n"/>
      <c r="AR5" s="81">
        <f>AM5+AN5+AO5+AP5+AQ5</f>
        <v/>
      </c>
      <c r="AS5" s="80" t="n"/>
      <c r="AT5" s="80" t="n"/>
      <c r="AU5" s="80" t="n"/>
      <c r="AV5" s="80" t="n"/>
      <c r="AW5" s="81">
        <f>AS5+AT5+AU5+AV5</f>
        <v/>
      </c>
      <c r="AX5" s="80" t="n"/>
      <c r="AY5" s="80" t="n"/>
      <c r="AZ5" s="80" t="n"/>
      <c r="BA5" s="80" t="n"/>
      <c r="BB5" s="81">
        <f>AX5+AY5+AZ5+BA5</f>
        <v/>
      </c>
      <c r="BC5" s="80" t="n"/>
      <c r="BD5" s="80" t="n"/>
      <c r="BE5" s="80" t="n"/>
      <c r="BF5" s="80" t="n"/>
      <c r="BG5" s="80" t="n"/>
      <c r="BH5" s="81">
        <f>BC5+BD5+BE5+BF5+BG5</f>
        <v/>
      </c>
      <c r="BI5" s="80" t="n"/>
      <c r="BJ5" s="80" t="n"/>
      <c r="BK5" s="80" t="n"/>
      <c r="BL5" s="80" t="n"/>
      <c r="BM5" s="81">
        <f>BI5+BJ5+BK5+BL5</f>
        <v/>
      </c>
    </row>
    <row r="6" ht="15.75" customHeight="1">
      <c r="A6" s="82" t="inlineStr">
        <is>
          <t>SACOLA M VERDE</t>
        </is>
      </c>
      <c r="B6" s="80" t="n">
        <v>0</v>
      </c>
      <c r="C6" s="80" t="n">
        <v>200</v>
      </c>
      <c r="D6" s="80" t="n">
        <v>600</v>
      </c>
      <c r="E6" s="80" t="n">
        <v>200</v>
      </c>
      <c r="F6" s="81">
        <f>B6+C6+D6+E6</f>
        <v/>
      </c>
      <c r="G6" s="80" t="n">
        <v>600</v>
      </c>
      <c r="H6" s="80" t="n">
        <v>600</v>
      </c>
      <c r="I6" s="80" t="n">
        <v>200</v>
      </c>
      <c r="J6" s="80" t="n">
        <v>0</v>
      </c>
      <c r="K6" s="81">
        <f>G6+H6+I6+J6</f>
        <v/>
      </c>
      <c r="L6" s="80" t="n">
        <v>400</v>
      </c>
      <c r="M6" s="80" t="n">
        <v>200</v>
      </c>
      <c r="N6" s="80" t="n">
        <v>400</v>
      </c>
      <c r="O6" s="80" t="n">
        <v>400</v>
      </c>
      <c r="P6" s="80" t="n">
        <v>400</v>
      </c>
      <c r="Q6" s="81">
        <f>L6+M6+N6+O6+P6</f>
        <v/>
      </c>
      <c r="R6" s="80" t="n"/>
      <c r="S6" s="80" t="n"/>
      <c r="T6" s="80" t="n"/>
      <c r="U6" s="80" t="n"/>
      <c r="V6" s="81">
        <f>R6+S6+T6+U6</f>
        <v/>
      </c>
      <c r="W6" s="80" t="n">
        <v>0</v>
      </c>
      <c r="X6" s="80" t="n">
        <v>0</v>
      </c>
      <c r="Y6" s="80" t="n"/>
      <c r="Z6" s="80" t="n"/>
      <c r="AA6" s="81">
        <f>W6+X6+Y6+Z6</f>
        <v/>
      </c>
      <c r="AB6" s="80" t="n"/>
      <c r="AC6" s="80" t="n"/>
      <c r="AD6" s="80" t="n"/>
      <c r="AE6" s="80" t="n"/>
      <c r="AF6" s="80" t="n"/>
      <c r="AG6" s="81">
        <f>AB6+AC6+AD6+AE6+AF6</f>
        <v/>
      </c>
      <c r="AH6" s="80" t="n"/>
      <c r="AI6" s="80" t="n"/>
      <c r="AJ6" s="80" t="n"/>
      <c r="AK6" s="80" t="n"/>
      <c r="AL6" s="81">
        <f>AH6+AI6+AJ6+AK6</f>
        <v/>
      </c>
      <c r="AM6" s="80" t="n"/>
      <c r="AN6" s="80" t="n"/>
      <c r="AO6" s="80" t="n"/>
      <c r="AP6" s="80" t="n"/>
      <c r="AQ6" s="80" t="n"/>
      <c r="AR6" s="81">
        <f>AM6+AN6+AO6+AP6+AQ6</f>
        <v/>
      </c>
      <c r="AS6" s="80" t="n"/>
      <c r="AT6" s="80" t="n"/>
      <c r="AU6" s="80" t="n"/>
      <c r="AV6" s="80" t="n"/>
      <c r="AW6" s="81">
        <f>AS6+AT6+AU6+AV6</f>
        <v/>
      </c>
      <c r="AX6" s="80" t="n"/>
      <c r="AY6" s="80" t="n"/>
      <c r="AZ6" s="80" t="n"/>
      <c r="BA6" s="80" t="n"/>
      <c r="BB6" s="81">
        <f>AX6+AY6+AZ6+BA6</f>
        <v/>
      </c>
      <c r="BC6" s="80" t="n"/>
      <c r="BD6" s="80" t="n"/>
      <c r="BE6" s="80" t="n"/>
      <c r="BF6" s="80" t="n"/>
      <c r="BG6" s="80" t="n"/>
      <c r="BH6" s="81">
        <f>BC6+BD6+BE6+BF6+BG6</f>
        <v/>
      </c>
      <c r="BI6" s="80" t="n"/>
      <c r="BJ6" s="80" t="n"/>
      <c r="BK6" s="80" t="n"/>
      <c r="BL6" s="80" t="n"/>
      <c r="BM6" s="81">
        <f>BI6+BJ6+BK6+BL6</f>
        <v/>
      </c>
    </row>
    <row r="7" ht="15.75" customHeight="1">
      <c r="A7" s="83" t="inlineStr">
        <is>
          <t>SACOLA G VERDE</t>
        </is>
      </c>
      <c r="B7" s="80" t="n">
        <v>100</v>
      </c>
      <c r="C7" s="80" t="n">
        <v>0</v>
      </c>
      <c r="D7" s="80" t="n">
        <v>0</v>
      </c>
      <c r="E7" s="80" t="n">
        <v>100</v>
      </c>
      <c r="F7" s="81">
        <f>B7+C7+D7+E7</f>
        <v/>
      </c>
      <c r="G7" s="80" t="n">
        <v>100</v>
      </c>
      <c r="H7" s="80" t="n">
        <v>100</v>
      </c>
      <c r="I7" s="80" t="n">
        <v>0</v>
      </c>
      <c r="J7" s="80" t="n">
        <v>0</v>
      </c>
      <c r="K7" s="81">
        <f>G7+H7+I7+J7</f>
        <v/>
      </c>
      <c r="L7" s="80" t="n">
        <v>0</v>
      </c>
      <c r="M7" s="80" t="n">
        <v>0</v>
      </c>
      <c r="N7" s="80" t="n">
        <v>0</v>
      </c>
      <c r="O7" s="80" t="n">
        <v>0</v>
      </c>
      <c r="P7" s="80" t="n">
        <v>0</v>
      </c>
      <c r="Q7" s="81">
        <f>L7+M7+N7+O7+P7</f>
        <v/>
      </c>
      <c r="R7" s="80" t="n"/>
      <c r="S7" s="80" t="n"/>
      <c r="T7" s="80" t="n"/>
      <c r="U7" s="80" t="n"/>
      <c r="V7" s="81">
        <f>R7+S7+T7+U7</f>
        <v/>
      </c>
      <c r="W7" s="80" t="n">
        <v>0</v>
      </c>
      <c r="X7" s="80" t="n">
        <v>100</v>
      </c>
      <c r="Y7" s="80" t="n"/>
      <c r="Z7" s="80" t="n"/>
      <c r="AA7" s="81">
        <f>W7+X7+Y7+Z7</f>
        <v/>
      </c>
      <c r="AB7" s="80" t="n"/>
      <c r="AC7" s="80" t="n"/>
      <c r="AD7" s="80" t="n"/>
      <c r="AE7" s="80" t="n"/>
      <c r="AF7" s="80" t="n"/>
      <c r="AG7" s="81">
        <f>AB7+AC7+AD7+AE7+AF7</f>
        <v/>
      </c>
      <c r="AH7" s="80" t="n"/>
      <c r="AI7" s="80" t="n"/>
      <c r="AJ7" s="80" t="n"/>
      <c r="AK7" s="80" t="n"/>
      <c r="AL7" s="81">
        <f>AH7+AI7+AJ7+AK7</f>
        <v/>
      </c>
      <c r="AM7" s="80" t="n"/>
      <c r="AN7" s="80" t="n"/>
      <c r="AO7" s="80" t="n"/>
      <c r="AP7" s="80" t="n"/>
      <c r="AQ7" s="80" t="n"/>
      <c r="AR7" s="81">
        <f>AM7+AN7+AO7+AP7+AQ7</f>
        <v/>
      </c>
      <c r="AS7" s="80" t="n"/>
      <c r="AT7" s="80" t="n"/>
      <c r="AU7" s="80" t="n"/>
      <c r="AV7" s="80" t="n"/>
      <c r="AW7" s="81">
        <f>AS7+AT7+AU7+AV7</f>
        <v/>
      </c>
      <c r="AX7" s="80" t="n"/>
      <c r="AY7" s="80" t="n"/>
      <c r="AZ7" s="80" t="n"/>
      <c r="BA7" s="80" t="n"/>
      <c r="BB7" s="81">
        <f>AX7+AY7+AZ7+BA7</f>
        <v/>
      </c>
      <c r="BC7" s="80" t="n"/>
      <c r="BD7" s="80" t="n"/>
      <c r="BE7" s="80" t="n"/>
      <c r="BF7" s="80" t="n"/>
      <c r="BG7" s="80" t="n"/>
      <c r="BH7" s="81">
        <f>BC7+BD7+BE7+BF7+BG7</f>
        <v/>
      </c>
      <c r="BI7" s="80" t="n"/>
      <c r="BJ7" s="80" t="n"/>
      <c r="BK7" s="80" t="n"/>
      <c r="BL7" s="80" t="n"/>
      <c r="BM7" s="81">
        <f>BI7+BJ7+BK7+BL7</f>
        <v/>
      </c>
    </row>
    <row r="8" ht="15.75" customHeight="1">
      <c r="A8" s="84" t="inlineStr">
        <is>
          <t xml:space="preserve">PAPEL DE SEDA </t>
        </is>
      </c>
      <c r="B8" s="80" t="n">
        <v>0</v>
      </c>
      <c r="C8" s="80" t="n">
        <v>4</v>
      </c>
      <c r="D8" s="80" t="n">
        <v>5</v>
      </c>
      <c r="E8" s="80" t="n">
        <v>3</v>
      </c>
      <c r="F8" s="81">
        <f>B8+C8+D8+E8</f>
        <v/>
      </c>
      <c r="G8" s="80" t="n">
        <v>3</v>
      </c>
      <c r="H8" s="80" t="n">
        <v>4</v>
      </c>
      <c r="I8" s="80" t="n">
        <v>3</v>
      </c>
      <c r="J8" s="80" t="n">
        <v>2</v>
      </c>
      <c r="K8" s="81">
        <f>G8+H8+I8+J8</f>
        <v/>
      </c>
      <c r="L8" s="80" t="n">
        <v>2</v>
      </c>
      <c r="M8" s="80" t="n">
        <v>5</v>
      </c>
      <c r="N8" s="80" t="n">
        <v>4</v>
      </c>
      <c r="O8" s="80" t="n">
        <v>5</v>
      </c>
      <c r="P8" s="80" t="n">
        <v>3</v>
      </c>
      <c r="Q8" s="81">
        <f>L8+M8+N8+O8+P8</f>
        <v/>
      </c>
      <c r="R8" s="80" t="n"/>
      <c r="S8" s="80" t="n"/>
      <c r="T8" s="80" t="n"/>
      <c r="U8" s="80" t="n"/>
      <c r="V8" s="81">
        <f>R8+S8+T8+U8</f>
        <v/>
      </c>
      <c r="W8" s="80" t="n">
        <v>1</v>
      </c>
      <c r="X8" s="80" t="n">
        <v>3</v>
      </c>
      <c r="Y8" s="80" t="n"/>
      <c r="Z8" s="80" t="n"/>
      <c r="AA8" s="81">
        <f>W8+X8+Y8+Z8</f>
        <v/>
      </c>
      <c r="AB8" s="80" t="n"/>
      <c r="AC8" s="80" t="n"/>
      <c r="AD8" s="80" t="n"/>
      <c r="AE8" s="80" t="n"/>
      <c r="AF8" s="80" t="n"/>
      <c r="AG8" s="81">
        <f>AB8+AC8+AD8+AE8+AF8</f>
        <v/>
      </c>
      <c r="AH8" s="80" t="n"/>
      <c r="AI8" s="80" t="n"/>
      <c r="AJ8" s="80" t="n"/>
      <c r="AK8" s="80" t="n"/>
      <c r="AL8" s="81">
        <f>AH8+AI8+AJ8+AK8</f>
        <v/>
      </c>
      <c r="AM8" s="80" t="n"/>
      <c r="AN8" s="80" t="n"/>
      <c r="AO8" s="80" t="n"/>
      <c r="AP8" s="80" t="n"/>
      <c r="AQ8" s="80" t="n"/>
      <c r="AR8" s="81">
        <f>AM8+AN8+AO8+AP8+AQ8</f>
        <v/>
      </c>
      <c r="AS8" s="80" t="n"/>
      <c r="AT8" s="80" t="n"/>
      <c r="AU8" s="80" t="n"/>
      <c r="AV8" s="80" t="n"/>
      <c r="AW8" s="81">
        <f>AS8+AT8+AU8+AV8</f>
        <v/>
      </c>
      <c r="AX8" s="80" t="n"/>
      <c r="AY8" s="80" t="n"/>
      <c r="AZ8" s="80" t="n"/>
      <c r="BA8" s="80" t="n"/>
      <c r="BB8" s="81">
        <f>AX8+AY8+AZ8+BA8</f>
        <v/>
      </c>
      <c r="BC8" s="80" t="n"/>
      <c r="BD8" s="80" t="n"/>
      <c r="BE8" s="80" t="n"/>
      <c r="BF8" s="80" t="n"/>
      <c r="BG8" s="80" t="n"/>
      <c r="BH8" s="81">
        <f>BC8+BD8+BE8+BF8+BG8</f>
        <v/>
      </c>
      <c r="BI8" s="80" t="n"/>
      <c r="BJ8" s="80" t="n"/>
      <c r="BK8" s="80" t="n"/>
      <c r="BL8" s="80" t="n"/>
      <c r="BM8" s="81">
        <f>BI8+BJ8+BK8+BL8</f>
        <v/>
      </c>
    </row>
    <row r="9" ht="15.75" customHeight="1">
      <c r="A9" s="84" t="inlineStr">
        <is>
          <t>ETIQUETAS</t>
        </is>
      </c>
      <c r="B9" s="80" t="n">
        <v>0</v>
      </c>
      <c r="C9" s="80" t="n">
        <v>0</v>
      </c>
      <c r="D9" s="80" t="n">
        <v>0</v>
      </c>
      <c r="E9" s="80" t="n">
        <v>0</v>
      </c>
      <c r="F9" s="81">
        <f>B9+C9+D9+E9</f>
        <v/>
      </c>
      <c r="G9" s="80" t="n">
        <v>0</v>
      </c>
      <c r="H9" s="80" t="n">
        <v>0</v>
      </c>
      <c r="I9" s="80" t="n">
        <v>0</v>
      </c>
      <c r="J9" s="80" t="n">
        <v>0</v>
      </c>
      <c r="K9" s="81">
        <f>G9+H9+I9+J9</f>
        <v/>
      </c>
      <c r="L9" s="80" t="n">
        <v>0</v>
      </c>
      <c r="M9" s="80" t="n">
        <v>2</v>
      </c>
      <c r="N9" s="80" t="n">
        <v>1</v>
      </c>
      <c r="O9" s="80" t="n">
        <v>1</v>
      </c>
      <c r="P9" s="80" t="n">
        <v>5</v>
      </c>
      <c r="Q9" s="81">
        <f>L9+M9+N9+O9+P9</f>
        <v/>
      </c>
      <c r="R9" s="80" t="n"/>
      <c r="S9" s="80" t="n"/>
      <c r="T9" s="80" t="n"/>
      <c r="U9" s="80" t="n"/>
      <c r="V9" s="81">
        <f>R9+S9+T9+U9</f>
        <v/>
      </c>
      <c r="W9" s="80" t="n">
        <v>1</v>
      </c>
      <c r="X9" s="80" t="n">
        <v>4</v>
      </c>
      <c r="Y9" s="80" t="n"/>
      <c r="Z9" s="80" t="n"/>
      <c r="AA9" s="81">
        <f>W9+X9+Y9+Z9</f>
        <v/>
      </c>
      <c r="AB9" s="80" t="n"/>
      <c r="AC9" s="80" t="n"/>
      <c r="AD9" s="80" t="n"/>
      <c r="AE9" s="80" t="n"/>
      <c r="AF9" s="80" t="n"/>
      <c r="AG9" s="81">
        <f>AB9+AC9+AD9+AE9+AF9</f>
        <v/>
      </c>
      <c r="AH9" s="80" t="n"/>
      <c r="AI9" s="80" t="n"/>
      <c r="AJ9" s="80" t="n"/>
      <c r="AK9" s="80" t="n"/>
      <c r="AL9" s="81">
        <f>AH9+AI9+AJ9+AK9</f>
        <v/>
      </c>
      <c r="AM9" s="80" t="n"/>
      <c r="AN9" s="80" t="n"/>
      <c r="AO9" s="80" t="n"/>
      <c r="AP9" s="80" t="n"/>
      <c r="AQ9" s="80" t="n"/>
      <c r="AR9" s="81">
        <f>AM9+AN9+AO9+AP9+AQ9</f>
        <v/>
      </c>
      <c r="AS9" s="80" t="n"/>
      <c r="AT9" s="80" t="n"/>
      <c r="AU9" s="80" t="n"/>
      <c r="AV9" s="80" t="n"/>
      <c r="AW9" s="81">
        <f>AS9+AT9+AU9+AV9</f>
        <v/>
      </c>
      <c r="AX9" s="80" t="n"/>
      <c r="AY9" s="80" t="n"/>
      <c r="AZ9" s="80" t="n"/>
      <c r="BA9" s="80" t="n"/>
      <c r="BB9" s="81">
        <f>AX9+AY9+AZ9+BA9</f>
        <v/>
      </c>
      <c r="BC9" s="80" t="n"/>
      <c r="BD9" s="80" t="n"/>
      <c r="BE9" s="80" t="n"/>
      <c r="BF9" s="80" t="n"/>
      <c r="BG9" s="80" t="n"/>
      <c r="BH9" s="81">
        <f>BC9+BD9+BE9+BF9+BG9</f>
        <v/>
      </c>
      <c r="BI9" s="80" t="n"/>
      <c r="BJ9" s="80" t="n"/>
      <c r="BK9" s="80" t="n"/>
      <c r="BL9" s="80" t="n"/>
      <c r="BM9" s="81">
        <f>BI9+BJ9+BK9+BL9</f>
        <v/>
      </c>
    </row>
    <row r="10" ht="15.75" customHeight="1">
      <c r="A10" s="84" t="inlineStr">
        <is>
          <t xml:space="preserve">TAGS </t>
        </is>
      </c>
      <c r="B10" s="80" t="n">
        <v>0</v>
      </c>
      <c r="C10" s="80" t="n">
        <v>1</v>
      </c>
      <c r="D10" s="80" t="n">
        <v>1</v>
      </c>
      <c r="E10" s="80" t="n">
        <v>0</v>
      </c>
      <c r="F10" s="81">
        <f>B10+C10+D10+E10</f>
        <v/>
      </c>
      <c r="G10" s="80" t="n">
        <v>1</v>
      </c>
      <c r="H10" s="80" t="n">
        <v>1</v>
      </c>
      <c r="I10" s="80" t="n">
        <v>2</v>
      </c>
      <c r="J10" s="80" t="n">
        <v>0</v>
      </c>
      <c r="K10" s="81">
        <f>G10+H10+I10+J10</f>
        <v/>
      </c>
      <c r="L10" s="80" t="n">
        <v>0</v>
      </c>
      <c r="M10" s="80" t="n">
        <v>2</v>
      </c>
      <c r="N10" s="80" t="n">
        <v>1</v>
      </c>
      <c r="O10" s="80" t="n">
        <v>0</v>
      </c>
      <c r="P10" s="80" t="n">
        <v>3</v>
      </c>
      <c r="Q10" s="81">
        <f>L10+M10+N10+O10+P10</f>
        <v/>
      </c>
      <c r="R10" s="80" t="n"/>
      <c r="S10" s="80" t="n"/>
      <c r="T10" s="80" t="n"/>
      <c r="U10" s="80" t="n"/>
      <c r="V10" s="81">
        <f>R10+S10+T10+U10</f>
        <v/>
      </c>
      <c r="W10" s="80" t="n">
        <v>2</v>
      </c>
      <c r="X10" s="80" t="n">
        <v>3</v>
      </c>
      <c r="Y10" s="80" t="n"/>
      <c r="Z10" s="80" t="n"/>
      <c r="AA10" s="81">
        <f>W10+X10+Y10+Z10</f>
        <v/>
      </c>
      <c r="AB10" s="80" t="n"/>
      <c r="AC10" s="80" t="n"/>
      <c r="AD10" s="80" t="n"/>
      <c r="AE10" s="80" t="n"/>
      <c r="AF10" s="80" t="n"/>
      <c r="AG10" s="81">
        <f>AB10+AC10+AD10+AE10+AF10</f>
        <v/>
      </c>
      <c r="AH10" s="80" t="n"/>
      <c r="AI10" s="80" t="n"/>
      <c r="AJ10" s="80" t="n"/>
      <c r="AK10" s="80" t="n"/>
      <c r="AL10" s="81">
        <f>AH10+AI10+AJ10+AK10</f>
        <v/>
      </c>
      <c r="AM10" s="80" t="n"/>
      <c r="AN10" s="80" t="n"/>
      <c r="AO10" s="80" t="n"/>
      <c r="AP10" s="80" t="n"/>
      <c r="AQ10" s="80" t="n"/>
      <c r="AR10" s="81">
        <f>AM10+AN10+AO10+AP10+AQ10</f>
        <v/>
      </c>
      <c r="AS10" s="80" t="n"/>
      <c r="AT10" s="80" t="n"/>
      <c r="AU10" s="80" t="n"/>
      <c r="AV10" s="80" t="n"/>
      <c r="AW10" s="81">
        <f>AS10+AT10+AU10+AV10</f>
        <v/>
      </c>
      <c r="AX10" s="80" t="n"/>
      <c r="AY10" s="80" t="n"/>
      <c r="AZ10" s="80" t="n"/>
      <c r="BA10" s="80" t="n"/>
      <c r="BB10" s="81">
        <f>AX10+AY10+AZ10+BA10</f>
        <v/>
      </c>
      <c r="BC10" s="80" t="n"/>
      <c r="BD10" s="80" t="n"/>
      <c r="BE10" s="80" t="n"/>
      <c r="BF10" s="80" t="n"/>
      <c r="BG10" s="80" t="n"/>
      <c r="BH10" s="81">
        <f>BC10+BD10+BE10+BF10+BG10</f>
        <v/>
      </c>
      <c r="BI10" s="80" t="n"/>
      <c r="BJ10" s="80" t="n"/>
      <c r="BK10" s="80" t="n"/>
      <c r="BL10" s="80" t="n"/>
      <c r="BM10" s="81">
        <f>BI10+BJ10+BK10+BL10</f>
        <v/>
      </c>
    </row>
    <row r="11" ht="15.75" customHeight="1">
      <c r="A11" s="84" t="inlineStr">
        <is>
          <t>LÂMINA OLFATIVA</t>
        </is>
      </c>
      <c r="B11" s="80" t="n">
        <v>0</v>
      </c>
      <c r="C11" s="80" t="n">
        <v>2</v>
      </c>
      <c r="D11" s="80" t="n">
        <v>0</v>
      </c>
      <c r="E11" s="80" t="n">
        <v>3</v>
      </c>
      <c r="F11" s="81">
        <f>B11+C11+D11+E11</f>
        <v/>
      </c>
      <c r="G11" s="80" t="n">
        <v>3</v>
      </c>
      <c r="H11" s="80" t="n">
        <v>1</v>
      </c>
      <c r="I11" s="80" t="n">
        <v>2</v>
      </c>
      <c r="J11" s="80" t="n">
        <v>1</v>
      </c>
      <c r="K11" s="81">
        <f>G11+H11+I11+J11</f>
        <v/>
      </c>
      <c r="L11" s="80" t="n">
        <v>2</v>
      </c>
      <c r="M11" s="80" t="n">
        <v>2</v>
      </c>
      <c r="N11" s="80" t="n">
        <v>2</v>
      </c>
      <c r="O11" s="80" t="n">
        <v>1</v>
      </c>
      <c r="P11" s="80" t="n">
        <v>1</v>
      </c>
      <c r="Q11" s="81">
        <f>L11+M11+N11+O11+P11</f>
        <v/>
      </c>
      <c r="R11" s="80" t="n"/>
      <c r="S11" s="80" t="n"/>
      <c r="T11" s="80" t="n"/>
      <c r="U11" s="80" t="n"/>
      <c r="V11" s="81">
        <f>R11+S11+T11+U11</f>
        <v/>
      </c>
      <c r="W11" s="80" t="n">
        <v>2</v>
      </c>
      <c r="X11" s="80" t="n">
        <v>5</v>
      </c>
      <c r="Y11" s="80" t="n"/>
      <c r="Z11" s="80" t="n"/>
      <c r="AA11" s="81">
        <f>W11+X11+Y11+Z11</f>
        <v/>
      </c>
      <c r="AB11" s="80" t="n"/>
      <c r="AC11" s="80" t="n"/>
      <c r="AD11" s="80" t="n"/>
      <c r="AE11" s="80" t="n"/>
      <c r="AF11" s="80" t="n"/>
      <c r="AG11" s="81">
        <f>AB11+AC11+AD11+AE11+AF11</f>
        <v/>
      </c>
      <c r="AH11" s="80" t="n"/>
      <c r="AI11" s="80" t="n"/>
      <c r="AJ11" s="80" t="n"/>
      <c r="AK11" s="80" t="n"/>
      <c r="AL11" s="81">
        <f>AH11+AI11+AJ11+AK11</f>
        <v/>
      </c>
      <c r="AM11" s="80" t="n"/>
      <c r="AN11" s="80" t="n"/>
      <c r="AO11" s="80" t="n"/>
      <c r="AP11" s="80" t="n"/>
      <c r="AQ11" s="80" t="n"/>
      <c r="AR11" s="81">
        <f>AM11+AN11+AO11+AP11+AQ11</f>
        <v/>
      </c>
      <c r="AS11" s="80" t="n"/>
      <c r="AT11" s="80" t="n"/>
      <c r="AU11" s="80" t="n"/>
      <c r="AV11" s="80" t="n"/>
      <c r="AW11" s="81">
        <f>AS11+AT11+AU11+AV11</f>
        <v/>
      </c>
      <c r="AX11" s="80" t="n"/>
      <c r="AY11" s="80" t="n"/>
      <c r="AZ11" s="80" t="n"/>
      <c r="BA11" s="80" t="n"/>
      <c r="BB11" s="81">
        <f>AX11+AY11+AZ11+BA11</f>
        <v/>
      </c>
      <c r="BC11" s="80" t="n"/>
      <c r="BD11" s="80" t="n"/>
      <c r="BE11" s="80" t="n"/>
      <c r="BF11" s="80" t="n"/>
      <c r="BG11" s="80" t="n"/>
      <c r="BH11" s="81">
        <f>BC11+BD11+BE11+BF11+BG11</f>
        <v/>
      </c>
      <c r="BI11" s="80" t="n"/>
      <c r="BJ11" s="80" t="n"/>
      <c r="BK11" s="80" t="n"/>
      <c r="BL11" s="80" t="n"/>
      <c r="BM11" s="81">
        <f>BI11+BJ11+BK11+BL11</f>
        <v/>
      </c>
    </row>
    <row r="12" ht="15.75" customHeight="1">
      <c r="A12" s="86" t="inlineStr">
        <is>
          <t>TOTAL DE SACOLAS</t>
        </is>
      </c>
      <c r="B12" s="87">
        <f>SUM(B4:B7)</f>
        <v/>
      </c>
      <c r="C12" s="87">
        <f>SUM(C4:C7)</f>
        <v/>
      </c>
      <c r="D12" s="87">
        <f>SUM(D4:D7)</f>
        <v/>
      </c>
      <c r="E12" s="87">
        <f>SUM(E4:E7)</f>
        <v/>
      </c>
      <c r="F12" s="87">
        <f>SUM(F4:F7)</f>
        <v/>
      </c>
      <c r="G12" s="87">
        <f>SUM(G4:G7)</f>
        <v/>
      </c>
      <c r="H12" s="87">
        <f>SUM(H4:H7)</f>
        <v/>
      </c>
      <c r="I12" s="87">
        <f>SUM(I4:I7)</f>
        <v/>
      </c>
      <c r="J12" s="87">
        <f>SUM(J4:J7)</f>
        <v/>
      </c>
      <c r="K12" s="87">
        <f>SUM(K4:K7)</f>
        <v/>
      </c>
      <c r="L12" s="87">
        <f>SUM(L4:L7)</f>
        <v/>
      </c>
      <c r="M12" s="87">
        <f>SUM(M4:M7)</f>
        <v/>
      </c>
      <c r="N12" s="87">
        <f>SUM(N4:N7)</f>
        <v/>
      </c>
      <c r="O12" s="87">
        <f>SUM(O4:O7)</f>
        <v/>
      </c>
      <c r="P12" s="87">
        <f>SUM(P4:P7)</f>
        <v/>
      </c>
      <c r="Q12" s="87">
        <f>SUM(Q4:Q7)</f>
        <v/>
      </c>
      <c r="R12" s="87">
        <f>SUM(R4:R7)</f>
        <v/>
      </c>
      <c r="S12" s="87">
        <f>SUM(S4:S7)</f>
        <v/>
      </c>
      <c r="T12" s="87">
        <f>SUM(T4:T7)</f>
        <v/>
      </c>
      <c r="U12" s="87">
        <f>SUM(U4:U7)</f>
        <v/>
      </c>
      <c r="V12" s="87">
        <f>SUM(V4:V7)</f>
        <v/>
      </c>
      <c r="W12" s="87">
        <f>SUM(W4:W7)</f>
        <v/>
      </c>
      <c r="X12" s="87">
        <f>SUM(X4:X7)</f>
        <v/>
      </c>
      <c r="Y12" s="87">
        <f>SUM(Y4:Y7)</f>
        <v/>
      </c>
      <c r="Z12" s="87">
        <f>SUM(Z4:Z7)</f>
        <v/>
      </c>
      <c r="AA12" s="87">
        <f>SUM(AA4:AA7)</f>
        <v/>
      </c>
      <c r="AB12" s="87">
        <f>SUM(AB4:AB7)</f>
        <v/>
      </c>
      <c r="AC12" s="87">
        <f>SUM(AC4:AC7)</f>
        <v/>
      </c>
      <c r="AD12" s="87">
        <f>SUM(AD4:AD7)</f>
        <v/>
      </c>
      <c r="AE12" s="87">
        <f>SUM(AE4:AE7)</f>
        <v/>
      </c>
      <c r="AF12" s="87">
        <f>SUM(AF4:AF7)</f>
        <v/>
      </c>
      <c r="AG12" s="87">
        <f>SUM(AG4:AG7)</f>
        <v/>
      </c>
      <c r="AH12" s="87">
        <f>SUM(AH4:AH7)</f>
        <v/>
      </c>
      <c r="AI12" s="87">
        <f>SUM(AI4:AI7)</f>
        <v/>
      </c>
      <c r="AJ12" s="87">
        <f>SUM(AJ4:AJ7)</f>
        <v/>
      </c>
      <c r="AK12" s="87">
        <f>SUM(AK4:AK7)</f>
        <v/>
      </c>
      <c r="AL12" s="87">
        <f>SUM(AL4:AL7)</f>
        <v/>
      </c>
      <c r="AM12" s="87">
        <f>SUM(AM4:AM7)</f>
        <v/>
      </c>
      <c r="AN12" s="87">
        <f>SUM(AN4:AN7)</f>
        <v/>
      </c>
      <c r="AO12" s="87">
        <f>SUM(AO4:AO7)</f>
        <v/>
      </c>
      <c r="AP12" s="87">
        <f>SUM(AP4:AP7)</f>
        <v/>
      </c>
      <c r="AQ12" s="87">
        <f>SUM(AQ4:AQ7)</f>
        <v/>
      </c>
      <c r="AR12" s="87">
        <f>SUM(AR4:AR7)</f>
        <v/>
      </c>
      <c r="AS12" s="87">
        <f>SUM(AS4:AS7)</f>
        <v/>
      </c>
      <c r="AT12" s="87">
        <f>SUM(AT4:AT7)</f>
        <v/>
      </c>
      <c r="AU12" s="87">
        <f>SUM(AU4:AU7)</f>
        <v/>
      </c>
      <c r="AV12" s="87">
        <f>SUM(AV4:AV7)</f>
        <v/>
      </c>
      <c r="AW12" s="87">
        <f>SUM(AW4:AW7)</f>
        <v/>
      </c>
      <c r="AX12" s="87">
        <f>SUM(AX4:AX7)</f>
        <v/>
      </c>
      <c r="AY12" s="87">
        <f>SUM(AY4:AY7)</f>
        <v/>
      </c>
      <c r="AZ12" s="87">
        <f>SUM(AZ4:AZ7)</f>
        <v/>
      </c>
      <c r="BA12" s="87">
        <f>SUM(BA4:BA7)</f>
        <v/>
      </c>
      <c r="BB12" s="87">
        <f>SUM(BB4:BB7)</f>
        <v/>
      </c>
      <c r="BC12" s="87">
        <f>SUM(BC4:BC7)</f>
        <v/>
      </c>
      <c r="BD12" s="87">
        <f>SUM(BD4:BD7)</f>
        <v/>
      </c>
      <c r="BE12" s="87">
        <f>SUM(BE4:BE7)</f>
        <v/>
      </c>
      <c r="BF12" s="87">
        <f>SUM(BF4:BF7)</f>
        <v/>
      </c>
      <c r="BG12" s="87">
        <f>SUM(BG4:BG7)</f>
        <v/>
      </c>
      <c r="BH12" s="87">
        <f>SUM(BH4:BH7)</f>
        <v/>
      </c>
      <c r="BI12" s="87">
        <f>SUM(BI4:BI7)</f>
        <v/>
      </c>
      <c r="BJ12" s="87">
        <f>SUM(BJ4:BJ7)</f>
        <v/>
      </c>
      <c r="BK12" s="87">
        <f>SUM(BK4:BK7)</f>
        <v/>
      </c>
      <c r="BL12" s="87">
        <f>SUM(BL4:BL7)</f>
        <v/>
      </c>
      <c r="BM12" s="87">
        <f>SUM(BM4:BM7)</f>
        <v/>
      </c>
    </row>
    <row r="14" ht="18" customHeight="1">
      <c r="A14" s="532" t="inlineStr">
        <is>
          <t>GASTO DE SACOLAS E ITENS DOADOS 2026 - MENSAIS</t>
        </is>
      </c>
      <c r="B14" s="734" t="n"/>
      <c r="C14" s="734" t="n"/>
      <c r="D14" s="734" t="n"/>
      <c r="E14" s="734" t="n"/>
      <c r="F14" s="734" t="n"/>
      <c r="G14" s="734" t="n"/>
      <c r="H14" s="734" t="n"/>
      <c r="I14" s="734" t="n"/>
      <c r="J14" s="734" t="n"/>
      <c r="K14" s="734" t="n"/>
      <c r="L14" s="734" t="n"/>
      <c r="M14" s="734" t="n"/>
      <c r="N14" s="734" t="n"/>
      <c r="O14" s="734" t="n"/>
      <c r="P14" s="734" t="n"/>
      <c r="Q14" s="734" t="n"/>
      <c r="R14" s="734" t="n"/>
      <c r="S14" s="734" t="n"/>
      <c r="T14" s="734" t="n"/>
      <c r="U14" s="734" t="n"/>
      <c r="V14" s="734" t="n"/>
      <c r="W14" s="734" t="n"/>
      <c r="X14" s="734" t="n"/>
      <c r="Y14" s="734" t="n"/>
      <c r="Z14" s="734" t="n"/>
      <c r="AA14" s="734" t="n"/>
      <c r="AB14" s="734" t="n"/>
      <c r="AC14" s="734" t="n"/>
      <c r="AD14" s="734" t="n"/>
      <c r="AE14" s="734" t="n"/>
      <c r="AF14" s="734" t="n"/>
      <c r="AG14" s="734" t="n"/>
      <c r="AH14" s="734" t="n"/>
      <c r="AI14" s="734" t="n"/>
      <c r="AJ14" s="734" t="n"/>
      <c r="AK14" s="734" t="n"/>
      <c r="AL14" s="734" t="n"/>
      <c r="AM14" s="734" t="n"/>
      <c r="AN14" s="734" t="n"/>
      <c r="AO14" s="734" t="n"/>
      <c r="AP14" s="734" t="n"/>
      <c r="AQ14" s="734" t="n"/>
      <c r="AR14" s="734" t="n"/>
      <c r="AS14" s="734" t="n"/>
      <c r="AT14" s="734" t="n"/>
      <c r="AU14" s="734" t="n"/>
      <c r="AV14" s="734" t="n"/>
      <c r="AW14" s="734" t="n"/>
      <c r="AX14" s="734" t="n"/>
      <c r="AY14" s="734" t="n"/>
      <c r="AZ14" s="734" t="n"/>
      <c r="BA14" s="734" t="n"/>
      <c r="BB14" s="734" t="n"/>
      <c r="BC14" s="734" t="n"/>
      <c r="BD14" s="734" t="n"/>
      <c r="BE14" s="734" t="n"/>
      <c r="BF14" s="734" t="n"/>
      <c r="BG14" s="734" t="n"/>
      <c r="BH14" s="734" t="n"/>
      <c r="BI14" s="734" t="n"/>
      <c r="BJ14" s="734" t="n"/>
      <c r="BK14" s="734" t="n"/>
      <c r="BL14" s="734" t="n"/>
      <c r="BM14" s="734" t="n"/>
    </row>
    <row r="15" ht="18" customHeight="1">
      <c r="A15" s="735" t="inlineStr">
        <is>
          <t>BOQUEIRÃO</t>
        </is>
      </c>
      <c r="B15" s="735" t="inlineStr">
        <is>
          <t>JANEIRO</t>
        </is>
      </c>
      <c r="C15" s="736" t="n"/>
      <c r="D15" s="736" t="n"/>
      <c r="E15" s="736" t="n"/>
      <c r="F15" s="737" t="n"/>
      <c r="G15" s="735" t="inlineStr">
        <is>
          <t>FEVEREIRO</t>
        </is>
      </c>
      <c r="H15" s="736" t="n"/>
      <c r="I15" s="736" t="n"/>
      <c r="J15" s="736" t="n"/>
      <c r="K15" s="737" t="n"/>
      <c r="L15" s="735" t="inlineStr">
        <is>
          <t>MARÇO</t>
        </is>
      </c>
      <c r="M15" s="736" t="n"/>
      <c r="N15" s="736" t="n"/>
      <c r="O15" s="736" t="n"/>
      <c r="P15" s="736" t="n"/>
      <c r="Q15" s="737" t="n"/>
      <c r="R15" s="735" t="inlineStr">
        <is>
          <t>ABRIL</t>
        </is>
      </c>
      <c r="S15" s="736" t="n"/>
      <c r="T15" s="736" t="n"/>
      <c r="U15" s="736" t="n"/>
      <c r="V15" s="737" t="n"/>
      <c r="W15" s="735" t="inlineStr">
        <is>
          <t>MAIO</t>
        </is>
      </c>
      <c r="X15" s="736" t="n"/>
      <c r="Y15" s="736" t="n"/>
      <c r="Z15" s="736" t="n"/>
      <c r="AA15" s="737" t="n"/>
      <c r="AB15" s="735" t="inlineStr">
        <is>
          <t>JUNHO</t>
        </is>
      </c>
      <c r="AC15" s="736" t="n"/>
      <c r="AD15" s="736" t="n"/>
      <c r="AE15" s="736" t="n"/>
      <c r="AF15" s="736" t="n"/>
      <c r="AG15" s="737" t="n"/>
      <c r="AH15" s="735" t="inlineStr">
        <is>
          <t>JULHO</t>
        </is>
      </c>
      <c r="AI15" s="736" t="n"/>
      <c r="AJ15" s="736" t="n"/>
      <c r="AK15" s="736" t="n"/>
      <c r="AL15" s="737" t="n"/>
      <c r="AM15" s="735" t="inlineStr">
        <is>
          <t>AGOSTO</t>
        </is>
      </c>
      <c r="AN15" s="736" t="n"/>
      <c r="AO15" s="736" t="n"/>
      <c r="AP15" s="736" t="n"/>
      <c r="AQ15" s="736" t="n"/>
      <c r="AR15" s="737" t="n"/>
      <c r="AS15" s="735" t="inlineStr">
        <is>
          <t>SETEMBRO</t>
        </is>
      </c>
      <c r="AT15" s="736" t="n"/>
      <c r="AU15" s="736" t="n"/>
      <c r="AV15" s="736" t="n"/>
      <c r="AW15" s="737" t="n"/>
      <c r="AX15" s="735" t="inlineStr">
        <is>
          <t>OUTUBRO</t>
        </is>
      </c>
      <c r="AY15" s="736" t="n"/>
      <c r="AZ15" s="736" t="n"/>
      <c r="BA15" s="736" t="n"/>
      <c r="BB15" s="737" t="n"/>
      <c r="BC15" s="735" t="inlineStr">
        <is>
          <t>NOVEMBRO</t>
        </is>
      </c>
      <c r="BD15" s="736" t="n"/>
      <c r="BE15" s="736" t="n"/>
      <c r="BF15" s="736" t="n"/>
      <c r="BG15" s="736" t="n"/>
      <c r="BH15" s="737" t="n"/>
      <c r="BI15" s="735" t="inlineStr">
        <is>
          <t>DEZEMBRO</t>
        </is>
      </c>
      <c r="BJ15" s="736" t="n"/>
      <c r="BK15" s="736" t="n"/>
      <c r="BL15" s="736" t="n"/>
      <c r="BM15" s="737" t="n"/>
    </row>
    <row r="16" ht="15.75" customHeight="1">
      <c r="A16" s="738" t="n"/>
      <c r="B16" s="78" t="n">
        <v>46027</v>
      </c>
      <c r="C16" s="78" t="n">
        <v>46034</v>
      </c>
      <c r="D16" s="78" t="n">
        <v>46041</v>
      </c>
      <c r="E16" s="78" t="n">
        <v>46048</v>
      </c>
      <c r="F16" s="85" t="inlineStr">
        <is>
          <t>USOU</t>
        </is>
      </c>
      <c r="G16" s="78" t="n">
        <v>46055</v>
      </c>
      <c r="H16" s="78" t="n">
        <v>46062</v>
      </c>
      <c r="I16" s="78" t="n">
        <v>46069</v>
      </c>
      <c r="J16" s="78" t="n">
        <v>46076</v>
      </c>
      <c r="K16" s="85" t="inlineStr">
        <is>
          <t>USOU</t>
        </is>
      </c>
      <c r="L16" s="78" t="n">
        <v>46083</v>
      </c>
      <c r="M16" s="78" t="n">
        <v>46090</v>
      </c>
      <c r="N16" s="78" t="n">
        <v>46097</v>
      </c>
      <c r="O16" s="78" t="n">
        <v>46104</v>
      </c>
      <c r="P16" s="78" t="n">
        <v>46111</v>
      </c>
      <c r="Q16" s="85" t="inlineStr">
        <is>
          <t>USOU</t>
        </is>
      </c>
      <c r="R16" s="78" t="n">
        <v>46118</v>
      </c>
      <c r="S16" s="78" t="n">
        <v>46125</v>
      </c>
      <c r="T16" s="78" t="n">
        <v>46132</v>
      </c>
      <c r="U16" s="78" t="n">
        <v>46139</v>
      </c>
      <c r="V16" s="85" t="inlineStr">
        <is>
          <t>USOU</t>
        </is>
      </c>
      <c r="W16" s="78" t="n">
        <v>46146</v>
      </c>
      <c r="X16" s="78" t="n">
        <v>46153</v>
      </c>
      <c r="Y16" s="78" t="n">
        <v>46160</v>
      </c>
      <c r="Z16" s="78" t="n">
        <v>46167</v>
      </c>
      <c r="AA16" s="85" t="inlineStr">
        <is>
          <t>USOU</t>
        </is>
      </c>
      <c r="AB16" s="78" t="n">
        <v>46174</v>
      </c>
      <c r="AC16" s="78" t="n">
        <v>46181</v>
      </c>
      <c r="AD16" s="78" t="n">
        <v>46188</v>
      </c>
      <c r="AE16" s="78" t="n">
        <v>46195</v>
      </c>
      <c r="AF16" s="78" t="n">
        <v>46202</v>
      </c>
      <c r="AG16" s="85" t="inlineStr">
        <is>
          <t>USOU</t>
        </is>
      </c>
      <c r="AH16" s="78" t="n">
        <v>46209</v>
      </c>
      <c r="AI16" s="78" t="n">
        <v>46216</v>
      </c>
      <c r="AJ16" s="78" t="n">
        <v>46223</v>
      </c>
      <c r="AK16" s="78" t="n">
        <v>46230</v>
      </c>
      <c r="AL16" s="85" t="inlineStr">
        <is>
          <t>USOU</t>
        </is>
      </c>
      <c r="AM16" s="78" t="n">
        <v>46237</v>
      </c>
      <c r="AN16" s="78" t="n">
        <v>46244</v>
      </c>
      <c r="AO16" s="78" t="n">
        <v>46251</v>
      </c>
      <c r="AP16" s="78" t="n">
        <v>46258</v>
      </c>
      <c r="AQ16" s="78" t="n">
        <v>46265</v>
      </c>
      <c r="AR16" s="85" t="inlineStr">
        <is>
          <t>USOU</t>
        </is>
      </c>
      <c r="AS16" s="78" t="n">
        <v>46272</v>
      </c>
      <c r="AT16" s="78" t="n">
        <v>46279</v>
      </c>
      <c r="AU16" s="78" t="n">
        <v>46286</v>
      </c>
      <c r="AV16" s="78" t="n">
        <v>46293</v>
      </c>
      <c r="AW16" s="85" t="inlineStr">
        <is>
          <t>USOU</t>
        </is>
      </c>
      <c r="AX16" s="78" t="n">
        <v>46300</v>
      </c>
      <c r="AY16" s="78" t="n">
        <v>46307</v>
      </c>
      <c r="AZ16" s="78" t="n">
        <v>46314</v>
      </c>
      <c r="BA16" s="78" t="n">
        <v>46321</v>
      </c>
      <c r="BB16" s="85" t="inlineStr">
        <is>
          <t>USOU</t>
        </is>
      </c>
      <c r="BC16" s="78" t="n">
        <v>46328</v>
      </c>
      <c r="BD16" s="78" t="n">
        <v>46335</v>
      </c>
      <c r="BE16" s="78" t="n">
        <v>46342</v>
      </c>
      <c r="BF16" s="78" t="n">
        <v>46349</v>
      </c>
      <c r="BG16" s="78" t="n">
        <v>46356</v>
      </c>
      <c r="BH16" s="85" t="inlineStr">
        <is>
          <t>USOU</t>
        </is>
      </c>
      <c r="BI16" s="78" t="n">
        <v>46363</v>
      </c>
      <c r="BJ16" s="78" t="n">
        <v>46370</v>
      </c>
      <c r="BK16" s="78" t="n">
        <v>46377</v>
      </c>
      <c r="BL16" s="78" t="n">
        <v>46384</v>
      </c>
      <c r="BM16" s="85" t="inlineStr">
        <is>
          <t>USOU</t>
        </is>
      </c>
    </row>
    <row r="17" ht="15.75" customHeight="1">
      <c r="A17" s="82" t="inlineStr">
        <is>
          <t>SACOLA PP VERDE</t>
        </is>
      </c>
      <c r="B17" s="80" t="n">
        <v>180</v>
      </c>
      <c r="C17" s="80" t="n">
        <v>80</v>
      </c>
      <c r="D17" s="80" t="n">
        <v>60</v>
      </c>
      <c r="E17" s="80" t="n">
        <v>0</v>
      </c>
      <c r="F17" s="81">
        <f>B17+C17+D17+E17</f>
        <v/>
      </c>
      <c r="G17" s="80" t="n">
        <v>0</v>
      </c>
      <c r="H17" s="80" t="n">
        <v>260</v>
      </c>
      <c r="I17" s="80" t="n">
        <v>40</v>
      </c>
      <c r="J17" s="80" t="n">
        <v>0</v>
      </c>
      <c r="K17" s="81">
        <f>G17+H17+I17+J17</f>
        <v/>
      </c>
      <c r="L17" s="80" t="n">
        <v>300</v>
      </c>
      <c r="M17" s="80" t="n">
        <v>0</v>
      </c>
      <c r="N17" s="80" t="n">
        <v>0</v>
      </c>
      <c r="O17" s="80" t="n">
        <v>0</v>
      </c>
      <c r="P17" s="80" t="n">
        <v>180</v>
      </c>
      <c r="Q17" s="81">
        <f>L17+M17+N17+O17+P17</f>
        <v/>
      </c>
      <c r="R17" s="80" t="n"/>
      <c r="S17" s="80" t="n"/>
      <c r="T17" s="80" t="n"/>
      <c r="U17" s="80" t="n"/>
      <c r="V17" s="81">
        <f>R17+S17+T17+U17</f>
        <v/>
      </c>
      <c r="W17" s="80" t="n">
        <v>440</v>
      </c>
      <c r="X17" s="80" t="n">
        <v>40</v>
      </c>
      <c r="Y17" s="80" t="n"/>
      <c r="Z17" s="80" t="n"/>
      <c r="AA17" s="81">
        <f>W17+X17+Y17+Z17</f>
        <v/>
      </c>
      <c r="AB17" s="80" t="n"/>
      <c r="AC17" s="80" t="n"/>
      <c r="AD17" s="80" t="n"/>
      <c r="AE17" s="80" t="n"/>
      <c r="AF17" s="80" t="n"/>
      <c r="AG17" s="81">
        <f>AB17+AC17+AD17+AE17+AF17</f>
        <v/>
      </c>
      <c r="AH17" s="80" t="n"/>
      <c r="AI17" s="80" t="n"/>
      <c r="AJ17" s="80" t="n"/>
      <c r="AK17" s="80" t="n"/>
      <c r="AL17" s="81">
        <f>AH17+AI17+AJ17+AK17</f>
        <v/>
      </c>
      <c r="AM17" s="80" t="n"/>
      <c r="AN17" s="80" t="n"/>
      <c r="AO17" s="80" t="n"/>
      <c r="AP17" s="80" t="n"/>
      <c r="AQ17" s="80" t="n"/>
      <c r="AR17" s="81">
        <f>AM17+AN17+AO17+AP17+AQ17</f>
        <v/>
      </c>
      <c r="AS17" s="80" t="n"/>
      <c r="AT17" s="80" t="n"/>
      <c r="AU17" s="80" t="n"/>
      <c r="AV17" s="80" t="n"/>
      <c r="AW17" s="81">
        <f>AS17+AT17+AU17+AV17</f>
        <v/>
      </c>
      <c r="AX17" s="80" t="n"/>
      <c r="AY17" s="80" t="n"/>
      <c r="AZ17" s="80" t="n"/>
      <c r="BA17" s="80" t="n"/>
      <c r="BB17" s="81">
        <f>AX17+AY17+AZ17+BA17</f>
        <v/>
      </c>
      <c r="BC17" s="80" t="n"/>
      <c r="BD17" s="80" t="n"/>
      <c r="BE17" s="80" t="n"/>
      <c r="BF17" s="80" t="n"/>
      <c r="BG17" s="80" t="n"/>
      <c r="BH17" s="81">
        <f>BC17+BD17+BE17+BF17+BG17</f>
        <v/>
      </c>
      <c r="BI17" s="80" t="n"/>
      <c r="BJ17" s="80" t="n"/>
      <c r="BK17" s="80" t="n"/>
      <c r="BL17" s="80" t="n"/>
      <c r="BM17" s="81">
        <f>BI17+BJ17+BK17+BL17</f>
        <v/>
      </c>
    </row>
    <row r="18" ht="15.75" customHeight="1">
      <c r="A18" s="82" t="inlineStr">
        <is>
          <t>SACOLA P VERDE</t>
        </is>
      </c>
      <c r="B18" s="80" t="n">
        <v>480</v>
      </c>
      <c r="C18" s="80" t="n">
        <v>200</v>
      </c>
      <c r="D18" s="80" t="n">
        <v>400</v>
      </c>
      <c r="E18" s="80" t="n">
        <v>200</v>
      </c>
      <c r="F18" s="81">
        <f>B18+C18+D18+E18</f>
        <v/>
      </c>
      <c r="G18" s="80" t="n">
        <v>140</v>
      </c>
      <c r="H18" s="80" t="n">
        <v>400</v>
      </c>
      <c r="I18" s="80" t="n">
        <v>260</v>
      </c>
      <c r="J18" s="80" t="n">
        <v>200</v>
      </c>
      <c r="K18" s="81">
        <f>G18+H18+I18+J18</f>
        <v/>
      </c>
      <c r="L18" s="80" t="n">
        <v>200</v>
      </c>
      <c r="M18" s="80" t="n">
        <v>200</v>
      </c>
      <c r="N18" s="80" t="n">
        <v>400</v>
      </c>
      <c r="O18" s="80" t="n">
        <v>400</v>
      </c>
      <c r="P18" s="80" t="n">
        <v>540</v>
      </c>
      <c r="Q18" s="81">
        <f>L18+M18+N18+O18+P18</f>
        <v/>
      </c>
      <c r="R18" s="80" t="n"/>
      <c r="S18" s="80" t="n"/>
      <c r="T18" s="80" t="n"/>
      <c r="U18" s="80" t="n"/>
      <c r="V18" s="81">
        <f>R18+S18+T18+U18</f>
        <v/>
      </c>
      <c r="W18" s="80" t="n">
        <v>0</v>
      </c>
      <c r="X18" s="80" t="n">
        <v>220</v>
      </c>
      <c r="Y18" s="80" t="n"/>
      <c r="Z18" s="80" t="n"/>
      <c r="AA18" s="81">
        <f>W18+X18+Y18+Z18</f>
        <v/>
      </c>
      <c r="AB18" s="80" t="n"/>
      <c r="AC18" s="80" t="n"/>
      <c r="AD18" s="80" t="n"/>
      <c r="AE18" s="80" t="n"/>
      <c r="AF18" s="80" t="n"/>
      <c r="AG18" s="81">
        <f>AB18+AC18+AD18+AE18+AF18</f>
        <v/>
      </c>
      <c r="AH18" s="80" t="n"/>
      <c r="AI18" s="80" t="n"/>
      <c r="AJ18" s="80" t="n"/>
      <c r="AK18" s="80" t="n"/>
      <c r="AL18" s="81">
        <f>AH18+AI18+AJ18+AK18</f>
        <v/>
      </c>
      <c r="AM18" s="80" t="n"/>
      <c r="AN18" s="80" t="n"/>
      <c r="AO18" s="80" t="n"/>
      <c r="AP18" s="80" t="n"/>
      <c r="AQ18" s="80" t="n"/>
      <c r="AR18" s="81">
        <f>AM18+AN18+AO18+AP18+AQ18</f>
        <v/>
      </c>
      <c r="AS18" s="80" t="n"/>
      <c r="AT18" s="80" t="n"/>
      <c r="AU18" s="80" t="n"/>
      <c r="AV18" s="80" t="n"/>
      <c r="AW18" s="81">
        <f>AS18+AT18+AU18+AV18</f>
        <v/>
      </c>
      <c r="AX18" s="80" t="n"/>
      <c r="AY18" s="80" t="n"/>
      <c r="AZ18" s="80" t="n"/>
      <c r="BA18" s="80" t="n"/>
      <c r="BB18" s="81">
        <f>AX18+AY18+AZ18+BA18</f>
        <v/>
      </c>
      <c r="BC18" s="80" t="n"/>
      <c r="BD18" s="80" t="n"/>
      <c r="BE18" s="80" t="n"/>
      <c r="BF18" s="80" t="n"/>
      <c r="BG18" s="80" t="n"/>
      <c r="BH18" s="81">
        <f>BC18+BD18+BE18+BF18+BG18</f>
        <v/>
      </c>
      <c r="BI18" s="80" t="n"/>
      <c r="BJ18" s="80" t="n"/>
      <c r="BK18" s="80" t="n"/>
      <c r="BL18" s="80" t="n"/>
      <c r="BM18" s="81">
        <f>BI18+BJ18+BK18+BL18</f>
        <v/>
      </c>
    </row>
    <row r="19" ht="15.75" customHeight="1">
      <c r="A19" s="82" t="inlineStr">
        <is>
          <t>SACOLA M VERDE</t>
        </is>
      </c>
      <c r="B19" s="80" t="n">
        <v>520</v>
      </c>
      <c r="C19" s="80" t="n">
        <v>200</v>
      </c>
      <c r="D19" s="80" t="n">
        <v>200</v>
      </c>
      <c r="E19" s="80" t="n">
        <v>140</v>
      </c>
      <c r="F19" s="81">
        <f>B19+C19+D19+E19</f>
        <v/>
      </c>
      <c r="G19" s="80" t="n">
        <v>140</v>
      </c>
      <c r="H19" s="80" t="n">
        <v>240</v>
      </c>
      <c r="I19" s="80" t="n">
        <v>80</v>
      </c>
      <c r="J19" s="80" t="n">
        <v>280</v>
      </c>
      <c r="K19" s="81">
        <f>G19+H19+I19+J19</f>
        <v/>
      </c>
      <c r="L19" s="80" t="n">
        <v>80</v>
      </c>
      <c r="M19" s="80" t="n">
        <v>240</v>
      </c>
      <c r="N19" s="80" t="n">
        <v>280</v>
      </c>
      <c r="O19" s="80" t="n">
        <v>120</v>
      </c>
      <c r="P19" s="80" t="n">
        <v>180</v>
      </c>
      <c r="Q19" s="81">
        <f>L19+M19+N19+O19+P19</f>
        <v/>
      </c>
      <c r="R19" s="80" t="n"/>
      <c r="S19" s="80" t="n"/>
      <c r="T19" s="80" t="n"/>
      <c r="U19" s="80" t="n"/>
      <c r="V19" s="81">
        <f>R19+S19+T19+U19</f>
        <v/>
      </c>
      <c r="W19" s="80" t="n">
        <v>20</v>
      </c>
      <c r="X19" s="80" t="n">
        <v>160</v>
      </c>
      <c r="Y19" s="80" t="n"/>
      <c r="Z19" s="80" t="n"/>
      <c r="AA19" s="81">
        <f>W19+X19+Y19+Z19</f>
        <v/>
      </c>
      <c r="AB19" s="80" t="n"/>
      <c r="AC19" s="80" t="n"/>
      <c r="AD19" s="80" t="n"/>
      <c r="AE19" s="80" t="n"/>
      <c r="AF19" s="80" t="n"/>
      <c r="AG19" s="81">
        <f>AB19+AC19+AD19+AE19+AF19</f>
        <v/>
      </c>
      <c r="AH19" s="80" t="n"/>
      <c r="AI19" s="80" t="n"/>
      <c r="AJ19" s="80" t="n"/>
      <c r="AK19" s="80" t="n"/>
      <c r="AL19" s="81">
        <f>AH19+AI19+AJ19+AK19</f>
        <v/>
      </c>
      <c r="AM19" s="80" t="n"/>
      <c r="AN19" s="80" t="n"/>
      <c r="AO19" s="80" t="n"/>
      <c r="AP19" s="80" t="n"/>
      <c r="AQ19" s="80" t="n"/>
      <c r="AR19" s="81">
        <f>AM19+AN19+AO19+AP19+AQ19</f>
        <v/>
      </c>
      <c r="AS19" s="80" t="n"/>
      <c r="AT19" s="80" t="n"/>
      <c r="AU19" s="80" t="n"/>
      <c r="AV19" s="80" t="n"/>
      <c r="AW19" s="81">
        <f>AS19+AT19+AU19+AV19</f>
        <v/>
      </c>
      <c r="AX19" s="80" t="n"/>
      <c r="AY19" s="80" t="n"/>
      <c r="AZ19" s="80" t="n"/>
      <c r="BA19" s="80" t="n"/>
      <c r="BB19" s="81">
        <f>AX19+AY19+AZ19+BA19</f>
        <v/>
      </c>
      <c r="BC19" s="80" t="n"/>
      <c r="BD19" s="80" t="n"/>
      <c r="BE19" s="80" t="n"/>
      <c r="BF19" s="80" t="n"/>
      <c r="BG19" s="80" t="n"/>
      <c r="BH19" s="81">
        <f>BC19+BD19+BE19+BF19+BG19</f>
        <v/>
      </c>
      <c r="BI19" s="80" t="n"/>
      <c r="BJ19" s="80" t="n"/>
      <c r="BK19" s="80" t="n"/>
      <c r="BL19" s="80" t="n"/>
      <c r="BM19" s="81">
        <f>BI19+BJ19+BK19+BL19</f>
        <v/>
      </c>
    </row>
    <row r="20" ht="15.75" customHeight="1">
      <c r="A20" s="83" t="inlineStr">
        <is>
          <t>SACOLA G VERDE</t>
        </is>
      </c>
      <c r="B20" s="80" t="n">
        <v>100</v>
      </c>
      <c r="C20" s="80" t="n">
        <v>0</v>
      </c>
      <c r="D20" s="80" t="n">
        <v>0</v>
      </c>
      <c r="E20" s="80" t="n">
        <v>0</v>
      </c>
      <c r="F20" s="81">
        <f>B20+C20+D20+E20</f>
        <v/>
      </c>
      <c r="G20" s="80" t="n">
        <v>0</v>
      </c>
      <c r="H20" s="80" t="n">
        <v>0</v>
      </c>
      <c r="I20" s="80" t="n">
        <v>0</v>
      </c>
      <c r="J20" s="80" t="n">
        <v>0</v>
      </c>
      <c r="K20" s="81">
        <f>G20+H20+I20+J20</f>
        <v/>
      </c>
      <c r="L20" s="80" t="n">
        <v>0</v>
      </c>
      <c r="M20" s="80" t="n">
        <v>0</v>
      </c>
      <c r="N20" s="80" t="n">
        <v>0</v>
      </c>
      <c r="O20" s="80" t="n">
        <v>100</v>
      </c>
      <c r="P20" s="80" t="n">
        <v>0</v>
      </c>
      <c r="Q20" s="81">
        <f>L20+M20+N20+O20+P20</f>
        <v/>
      </c>
      <c r="R20" s="80" t="n"/>
      <c r="S20" s="80" t="n"/>
      <c r="T20" s="80" t="n"/>
      <c r="U20" s="80" t="n"/>
      <c r="V20" s="81">
        <f>R20+S20+T20+U20</f>
        <v/>
      </c>
      <c r="W20" s="80" t="n">
        <v>0</v>
      </c>
      <c r="X20" s="80" t="n">
        <v>40</v>
      </c>
      <c r="Y20" s="80" t="n"/>
      <c r="Z20" s="80" t="n"/>
      <c r="AA20" s="81">
        <f>W20+X20+Y20+Z20</f>
        <v/>
      </c>
      <c r="AB20" s="80" t="n"/>
      <c r="AC20" s="80" t="n"/>
      <c r="AD20" s="80" t="n"/>
      <c r="AE20" s="80" t="n"/>
      <c r="AF20" s="80" t="n"/>
      <c r="AG20" s="81">
        <f>AB20+AC20+AD20+AE20+AF20</f>
        <v/>
      </c>
      <c r="AH20" s="80" t="n"/>
      <c r="AI20" s="80" t="n"/>
      <c r="AJ20" s="80" t="n"/>
      <c r="AK20" s="80" t="n"/>
      <c r="AL20" s="81">
        <f>AH20+AI20+AJ20+AK20</f>
        <v/>
      </c>
      <c r="AM20" s="80" t="n"/>
      <c r="AN20" s="80" t="n"/>
      <c r="AO20" s="80" t="n"/>
      <c r="AP20" s="80" t="n"/>
      <c r="AQ20" s="80" t="n"/>
      <c r="AR20" s="81">
        <f>AM20+AN20+AO20+AP20+AQ20</f>
        <v/>
      </c>
      <c r="AS20" s="80" t="n"/>
      <c r="AT20" s="80" t="n"/>
      <c r="AU20" s="80" t="n"/>
      <c r="AV20" s="80" t="n"/>
      <c r="AW20" s="81">
        <f>AS20+AT20+AU20+AV20</f>
        <v/>
      </c>
      <c r="AX20" s="80" t="n"/>
      <c r="AY20" s="80" t="n"/>
      <c r="AZ20" s="80" t="n"/>
      <c r="BA20" s="80" t="n"/>
      <c r="BB20" s="81">
        <f>AX20+AY20+AZ20+BA20</f>
        <v/>
      </c>
      <c r="BC20" s="80" t="n"/>
      <c r="BD20" s="80" t="n"/>
      <c r="BE20" s="80" t="n"/>
      <c r="BF20" s="80" t="n"/>
      <c r="BG20" s="80" t="n"/>
      <c r="BH20" s="81">
        <f>BC20+BD20+BE20+BF20+BG20</f>
        <v/>
      </c>
      <c r="BI20" s="80" t="n"/>
      <c r="BJ20" s="80" t="n"/>
      <c r="BK20" s="80" t="n"/>
      <c r="BL20" s="80" t="n"/>
      <c r="BM20" s="81">
        <f>BI20+BJ20+BK20+BL20</f>
        <v/>
      </c>
    </row>
    <row r="21" ht="15.75" customHeight="1">
      <c r="A21" s="84" t="inlineStr">
        <is>
          <t xml:space="preserve">PAPEL DE SEDA </t>
        </is>
      </c>
      <c r="B21" s="80" t="n">
        <v>0</v>
      </c>
      <c r="C21" s="80" t="n">
        <v>2</v>
      </c>
      <c r="D21" s="80" t="n">
        <v>2</v>
      </c>
      <c r="E21" s="80" t="n">
        <v>1</v>
      </c>
      <c r="F21" s="81">
        <f>B21+C21+D21+E21</f>
        <v/>
      </c>
      <c r="G21" s="80" t="n">
        <v>3</v>
      </c>
      <c r="H21" s="80" t="n">
        <v>1</v>
      </c>
      <c r="I21" s="80" t="n">
        <v>1</v>
      </c>
      <c r="J21" s="80" t="n">
        <v>3</v>
      </c>
      <c r="K21" s="81">
        <f>G21+H21+I21+J21</f>
        <v/>
      </c>
      <c r="L21" s="80" t="n">
        <v>1</v>
      </c>
      <c r="M21" s="80" t="n">
        <v>2</v>
      </c>
      <c r="N21" s="80" t="n">
        <v>2</v>
      </c>
      <c r="O21" s="80" t="n">
        <v>2</v>
      </c>
      <c r="P21" s="80" t="n">
        <v>4</v>
      </c>
      <c r="Q21" s="81">
        <f>L21+M21+N21+O21+P21</f>
        <v/>
      </c>
      <c r="R21" s="80" t="n"/>
      <c r="S21" s="80" t="n"/>
      <c r="T21" s="80" t="n"/>
      <c r="U21" s="80" t="n"/>
      <c r="V21" s="81">
        <f>R21+S21+T21+U21</f>
        <v/>
      </c>
      <c r="W21" s="80" t="n">
        <v>0</v>
      </c>
      <c r="X21" s="80" t="n">
        <v>2</v>
      </c>
      <c r="Y21" s="80" t="n"/>
      <c r="Z21" s="80" t="n"/>
      <c r="AA21" s="81">
        <f>W21+X21+Y21+Z21</f>
        <v/>
      </c>
      <c r="AB21" s="80" t="n"/>
      <c r="AC21" s="80" t="n"/>
      <c r="AD21" s="80" t="n"/>
      <c r="AE21" s="80" t="n"/>
      <c r="AF21" s="80" t="n"/>
      <c r="AG21" s="81">
        <f>AB21+AC21+AD21+AE21+AF21</f>
        <v/>
      </c>
      <c r="AH21" s="80" t="n"/>
      <c r="AI21" s="80" t="n"/>
      <c r="AJ21" s="80" t="n"/>
      <c r="AK21" s="80" t="n"/>
      <c r="AL21" s="81">
        <f>AH21+AI21+AJ21+AK21</f>
        <v/>
      </c>
      <c r="AM21" s="80" t="n"/>
      <c r="AN21" s="80" t="n"/>
      <c r="AO21" s="80" t="n"/>
      <c r="AP21" s="80" t="n"/>
      <c r="AQ21" s="80" t="n"/>
      <c r="AR21" s="81">
        <f>AM21+AN21+AO21+AP21+AQ21</f>
        <v/>
      </c>
      <c r="AS21" s="80" t="n"/>
      <c r="AT21" s="80" t="n"/>
      <c r="AU21" s="80" t="n"/>
      <c r="AV21" s="80" t="n"/>
      <c r="AW21" s="81">
        <f>AS21+AT21+AU21+AV21</f>
        <v/>
      </c>
      <c r="AX21" s="80" t="n"/>
      <c r="AY21" s="80" t="n"/>
      <c r="AZ21" s="80" t="n"/>
      <c r="BA21" s="80" t="n"/>
      <c r="BB21" s="81">
        <f>AX21+AY21+AZ21+BA21</f>
        <v/>
      </c>
      <c r="BC21" s="80" t="n"/>
      <c r="BD21" s="80" t="n"/>
      <c r="BE21" s="80" t="n"/>
      <c r="BF21" s="80" t="n"/>
      <c r="BG21" s="80" t="n"/>
      <c r="BH21" s="81">
        <f>BC21+BD21+BE21+BF21+BG21</f>
        <v/>
      </c>
      <c r="BI21" s="80" t="n"/>
      <c r="BJ21" s="80" t="n"/>
      <c r="BK21" s="80" t="n"/>
      <c r="BL21" s="80" t="n"/>
      <c r="BM21" s="81">
        <f>BI21+BJ21+BK21+BL21</f>
        <v/>
      </c>
    </row>
    <row r="22" ht="15.75" customHeight="1">
      <c r="A22" s="84" t="inlineStr">
        <is>
          <t>ETIQUETAS</t>
        </is>
      </c>
      <c r="B22" s="80" t="n">
        <v>1</v>
      </c>
      <c r="C22" s="80" t="n">
        <v>0</v>
      </c>
      <c r="D22" s="80" t="n">
        <v>0</v>
      </c>
      <c r="E22" s="80" t="n">
        <v>0</v>
      </c>
      <c r="F22" s="81">
        <f>B22+C22+D22+E22</f>
        <v/>
      </c>
      <c r="G22" s="80" t="n">
        <v>1</v>
      </c>
      <c r="H22" s="80" t="n">
        <v>0</v>
      </c>
      <c r="I22" s="80" t="n">
        <v>0</v>
      </c>
      <c r="J22" s="80" t="n">
        <v>0</v>
      </c>
      <c r="K22" s="81">
        <f>G22+H22+I22+J22</f>
        <v/>
      </c>
      <c r="L22" s="80" t="n">
        <v>0</v>
      </c>
      <c r="M22" s="80" t="n">
        <v>1</v>
      </c>
      <c r="N22" s="80" t="n">
        <v>2</v>
      </c>
      <c r="O22" s="80" t="n">
        <v>0</v>
      </c>
      <c r="P22" s="80" t="n">
        <v>0</v>
      </c>
      <c r="Q22" s="81">
        <f>L22+M22+N22+O22+P22</f>
        <v/>
      </c>
      <c r="R22" s="80" t="n"/>
      <c r="S22" s="80" t="n"/>
      <c r="T22" s="80" t="n"/>
      <c r="U22" s="80" t="n"/>
      <c r="V22" s="81">
        <f>R22+S22+T22+U22</f>
        <v/>
      </c>
      <c r="W22" s="80" t="n">
        <v>0</v>
      </c>
      <c r="X22" s="80" t="n">
        <v>1</v>
      </c>
      <c r="Y22" s="80" t="n"/>
      <c r="Z22" s="80" t="n"/>
      <c r="AA22" s="81">
        <f>W22+X22+Y22+Z22</f>
        <v/>
      </c>
      <c r="AB22" s="80" t="n"/>
      <c r="AC22" s="80" t="n"/>
      <c r="AD22" s="80" t="n"/>
      <c r="AE22" s="80" t="n"/>
      <c r="AF22" s="80" t="n"/>
      <c r="AG22" s="81">
        <f>AB22+AC22+AD22+AE22+AF22</f>
        <v/>
      </c>
      <c r="AH22" s="80" t="n"/>
      <c r="AI22" s="80" t="n"/>
      <c r="AJ22" s="80" t="n"/>
      <c r="AK22" s="80" t="n"/>
      <c r="AL22" s="81">
        <f>AH22+AI22+AJ22+AK22</f>
        <v/>
      </c>
      <c r="AM22" s="80" t="n"/>
      <c r="AN22" s="80" t="n"/>
      <c r="AO22" s="80" t="n"/>
      <c r="AP22" s="80" t="n"/>
      <c r="AQ22" s="80" t="n"/>
      <c r="AR22" s="81">
        <f>AM22+AN22+AO22+AP22+AQ22</f>
        <v/>
      </c>
      <c r="AS22" s="80" t="n"/>
      <c r="AT22" s="80" t="n"/>
      <c r="AU22" s="80" t="n"/>
      <c r="AV22" s="80" t="n"/>
      <c r="AW22" s="81">
        <f>AS22+AT22+AU22+AV22</f>
        <v/>
      </c>
      <c r="AX22" s="80" t="n"/>
      <c r="AY22" s="80" t="n"/>
      <c r="AZ22" s="80" t="n"/>
      <c r="BA22" s="80" t="n"/>
      <c r="BB22" s="81">
        <f>AX22+AY22+AZ22+BA22</f>
        <v/>
      </c>
      <c r="BC22" s="80" t="n"/>
      <c r="BD22" s="80" t="n"/>
      <c r="BE22" s="80" t="n"/>
      <c r="BF22" s="80" t="n"/>
      <c r="BG22" s="80" t="n"/>
      <c r="BH22" s="81">
        <f>BC22+BD22+BE22+BF22+BG22</f>
        <v/>
      </c>
      <c r="BI22" s="80" t="n"/>
      <c r="BJ22" s="80" t="n"/>
      <c r="BK22" s="80" t="n"/>
      <c r="BL22" s="80" t="n"/>
      <c r="BM22" s="81">
        <f>BI22+BJ22+BK22+BL22</f>
        <v/>
      </c>
    </row>
    <row r="23" ht="15.75" customHeight="1">
      <c r="A23" s="84" t="inlineStr">
        <is>
          <t xml:space="preserve">TAGS </t>
        </is>
      </c>
      <c r="B23" s="80" t="n">
        <v>2</v>
      </c>
      <c r="C23" s="80" t="n">
        <v>0</v>
      </c>
      <c r="D23" s="80" t="n">
        <v>0</v>
      </c>
      <c r="E23" s="80" t="n">
        <v>1</v>
      </c>
      <c r="F23" s="81">
        <f>B23+C23+D23+E23</f>
        <v/>
      </c>
      <c r="G23" s="80" t="n">
        <v>1</v>
      </c>
      <c r="H23" s="80" t="n">
        <v>1</v>
      </c>
      <c r="I23" s="80" t="n">
        <v>0</v>
      </c>
      <c r="J23" s="80" t="n">
        <v>1</v>
      </c>
      <c r="K23" s="81">
        <f>G23+H23+I23+J23</f>
        <v/>
      </c>
      <c r="L23" s="80" t="n">
        <v>1</v>
      </c>
      <c r="M23" s="80" t="n">
        <v>1</v>
      </c>
      <c r="N23" s="80" t="n">
        <v>1</v>
      </c>
      <c r="O23" s="80" t="n">
        <v>2</v>
      </c>
      <c r="P23" s="80" t="n">
        <v>1</v>
      </c>
      <c r="Q23" s="81">
        <f>L23+M23+N23+O23+P23</f>
        <v/>
      </c>
      <c r="R23" s="80" t="n"/>
      <c r="S23" s="80" t="n"/>
      <c r="T23" s="80" t="n"/>
      <c r="U23" s="80" t="n"/>
      <c r="V23" s="81">
        <f>R23+S23+T23+U23</f>
        <v/>
      </c>
      <c r="W23" s="80" t="n">
        <v>0</v>
      </c>
      <c r="X23" s="80" t="n">
        <v>2</v>
      </c>
      <c r="Y23" s="80" t="n"/>
      <c r="Z23" s="80" t="n"/>
      <c r="AA23" s="81">
        <f>W23+X23+Y23+Z23</f>
        <v/>
      </c>
      <c r="AB23" s="80" t="n"/>
      <c r="AC23" s="80" t="n"/>
      <c r="AD23" s="80" t="n"/>
      <c r="AE23" s="80" t="n"/>
      <c r="AF23" s="80" t="n"/>
      <c r="AG23" s="81">
        <f>AB23+AC23+AD23+AE23+AF23</f>
        <v/>
      </c>
      <c r="AH23" s="80" t="n"/>
      <c r="AI23" s="80" t="n"/>
      <c r="AJ23" s="80" t="n"/>
      <c r="AK23" s="80" t="n"/>
      <c r="AL23" s="81">
        <f>AH23+AI23+AJ23+AK23</f>
        <v/>
      </c>
      <c r="AM23" s="80" t="n"/>
      <c r="AN23" s="80" t="n"/>
      <c r="AO23" s="80" t="n"/>
      <c r="AP23" s="80" t="n"/>
      <c r="AQ23" s="80" t="n"/>
      <c r="AR23" s="81">
        <f>AM23+AN23+AO23+AP23+AQ23</f>
        <v/>
      </c>
      <c r="AS23" s="80" t="n"/>
      <c r="AT23" s="80" t="n"/>
      <c r="AU23" s="80" t="n"/>
      <c r="AV23" s="80" t="n"/>
      <c r="AW23" s="81">
        <f>AS23+AT23+AU23+AV23</f>
        <v/>
      </c>
      <c r="AX23" s="80" t="n"/>
      <c r="AY23" s="80" t="n"/>
      <c r="AZ23" s="80" t="n"/>
      <c r="BA23" s="80" t="n"/>
      <c r="BB23" s="81">
        <f>AX23+AY23+AZ23+BA23</f>
        <v/>
      </c>
      <c r="BC23" s="80" t="n"/>
      <c r="BD23" s="80" t="n"/>
      <c r="BE23" s="80" t="n"/>
      <c r="BF23" s="80" t="n"/>
      <c r="BG23" s="80" t="n"/>
      <c r="BH23" s="81">
        <f>BC23+BD23+BE23+BF23+BG23</f>
        <v/>
      </c>
      <c r="BI23" s="80" t="n"/>
      <c r="BJ23" s="80" t="n"/>
      <c r="BK23" s="80" t="n"/>
      <c r="BL23" s="80" t="n"/>
      <c r="BM23" s="81">
        <f>BI23+BJ23+BK23+BL23</f>
        <v/>
      </c>
    </row>
    <row r="24" ht="15.75" customHeight="1">
      <c r="A24" s="84" t="inlineStr">
        <is>
          <t>LÂMINA OLFATIVA</t>
        </is>
      </c>
      <c r="B24" s="80" t="n">
        <v>1</v>
      </c>
      <c r="C24" s="80" t="n">
        <v>0</v>
      </c>
      <c r="D24" s="80" t="n">
        <v>1</v>
      </c>
      <c r="E24" s="80" t="n">
        <v>0</v>
      </c>
      <c r="F24" s="81">
        <f>B24+C24+D24+E24</f>
        <v/>
      </c>
      <c r="G24" s="80" t="n">
        <v>1</v>
      </c>
      <c r="H24" s="80" t="n">
        <v>1</v>
      </c>
      <c r="I24" s="80" t="n">
        <v>0</v>
      </c>
      <c r="J24" s="80" t="n">
        <v>1</v>
      </c>
      <c r="K24" s="81">
        <f>G24+H24+I24+J24</f>
        <v/>
      </c>
      <c r="L24" s="80" t="n">
        <v>1</v>
      </c>
      <c r="M24" s="80" t="n">
        <v>0</v>
      </c>
      <c r="N24" s="80" t="n">
        <v>1</v>
      </c>
      <c r="O24" s="80" t="n">
        <v>1</v>
      </c>
      <c r="P24" s="80" t="n">
        <v>1</v>
      </c>
      <c r="Q24" s="81">
        <f>L24+M24+N24+O24+P24</f>
        <v/>
      </c>
      <c r="R24" s="80" t="n"/>
      <c r="S24" s="80" t="n"/>
      <c r="T24" s="80" t="n"/>
      <c r="U24" s="80" t="n"/>
      <c r="V24" s="81">
        <f>R24+S24+T24+U24</f>
        <v/>
      </c>
      <c r="W24" s="80" t="n">
        <v>0</v>
      </c>
      <c r="X24" s="80" t="n">
        <v>1</v>
      </c>
      <c r="Y24" s="80" t="n"/>
      <c r="Z24" s="80" t="n"/>
      <c r="AA24" s="81">
        <f>W24+X24+Y24+Z24</f>
        <v/>
      </c>
      <c r="AB24" s="80" t="n"/>
      <c r="AC24" s="80" t="n"/>
      <c r="AD24" s="80" t="n"/>
      <c r="AE24" s="80" t="n"/>
      <c r="AF24" s="80" t="n"/>
      <c r="AG24" s="81">
        <f>AB24+AC24+AD24+AE24+AF24</f>
        <v/>
      </c>
      <c r="AH24" s="80" t="n"/>
      <c r="AI24" s="80" t="n"/>
      <c r="AJ24" s="80" t="n"/>
      <c r="AK24" s="80" t="n"/>
      <c r="AL24" s="81">
        <f>AH24+AI24+AJ24+AK24</f>
        <v/>
      </c>
      <c r="AM24" s="80" t="n"/>
      <c r="AN24" s="80" t="n"/>
      <c r="AO24" s="80" t="n"/>
      <c r="AP24" s="80" t="n"/>
      <c r="AQ24" s="80" t="n"/>
      <c r="AR24" s="81">
        <f>AM24+AN24+AO24+AP24+AQ24</f>
        <v/>
      </c>
      <c r="AS24" s="80" t="n"/>
      <c r="AT24" s="80" t="n"/>
      <c r="AU24" s="80" t="n"/>
      <c r="AV24" s="80" t="n"/>
      <c r="AW24" s="81">
        <f>AS24+AT24+AU24+AV24</f>
        <v/>
      </c>
      <c r="AX24" s="80" t="n"/>
      <c r="AY24" s="80" t="n"/>
      <c r="AZ24" s="80" t="n"/>
      <c r="BA24" s="80" t="n"/>
      <c r="BB24" s="81">
        <f>AX24+AY24+AZ24+BA24</f>
        <v/>
      </c>
      <c r="BC24" s="80" t="n"/>
      <c r="BD24" s="80" t="n"/>
      <c r="BE24" s="80" t="n"/>
      <c r="BF24" s="80" t="n"/>
      <c r="BG24" s="80" t="n"/>
      <c r="BH24" s="81">
        <f>BC24+BD24+BE24+BF24+BG24</f>
        <v/>
      </c>
      <c r="BI24" s="80" t="n"/>
      <c r="BJ24" s="80" t="n"/>
      <c r="BK24" s="80" t="n"/>
      <c r="BL24" s="80" t="n"/>
      <c r="BM24" s="81">
        <f>BI24+BJ24+BK24+BL24</f>
        <v/>
      </c>
    </row>
    <row r="25" ht="15.75" customHeight="1">
      <c r="A25" s="86" t="inlineStr">
        <is>
          <t>TOTAL DE SACOLAS</t>
        </is>
      </c>
      <c r="B25" s="87">
        <f>SUM(B17:B20)</f>
        <v/>
      </c>
      <c r="C25" s="87">
        <f>SUM(C17:C20)</f>
        <v/>
      </c>
      <c r="D25" s="87">
        <f>SUM(D17:D20)</f>
        <v/>
      </c>
      <c r="E25" s="87">
        <f>SUM(E17:E20)</f>
        <v/>
      </c>
      <c r="F25" s="87">
        <f>SUM(F17:F20)</f>
        <v/>
      </c>
      <c r="G25" s="87">
        <f>SUM(G17:G20)</f>
        <v/>
      </c>
      <c r="H25" s="87">
        <f>SUM(H17:H20)</f>
        <v/>
      </c>
      <c r="I25" s="87">
        <f>SUM(I17:I20)</f>
        <v/>
      </c>
      <c r="J25" s="87">
        <f>SUM(J17:J20)</f>
        <v/>
      </c>
      <c r="K25" s="87">
        <f>SUM(K17:K20)</f>
        <v/>
      </c>
      <c r="L25" s="87">
        <f>SUM(L17:L20)</f>
        <v/>
      </c>
      <c r="M25" s="87">
        <f>SUM(M17:M20)</f>
        <v/>
      </c>
      <c r="N25" s="87">
        <f>SUM(N17:N20)</f>
        <v/>
      </c>
      <c r="O25" s="87">
        <f>SUM(O17:O20)</f>
        <v/>
      </c>
      <c r="P25" s="87">
        <f>SUM(P17:P20)</f>
        <v/>
      </c>
      <c r="Q25" s="87">
        <f>SUM(Q17:Q20)</f>
        <v/>
      </c>
      <c r="R25" s="87">
        <f>SUM(R17:R20)</f>
        <v/>
      </c>
      <c r="S25" s="87">
        <f>SUM(S17:S20)</f>
        <v/>
      </c>
      <c r="T25" s="87">
        <f>SUM(T17:T20)</f>
        <v/>
      </c>
      <c r="U25" s="87">
        <f>SUM(U17:U20)</f>
        <v/>
      </c>
      <c r="V25" s="87">
        <f>SUM(V17:V20)</f>
        <v/>
      </c>
      <c r="W25" s="87">
        <f>SUM(W17:W20)</f>
        <v/>
      </c>
      <c r="X25" s="87">
        <f>SUM(X17:X20)</f>
        <v/>
      </c>
      <c r="Y25" s="87">
        <f>SUM(Y17:Y20)</f>
        <v/>
      </c>
      <c r="Z25" s="87">
        <f>SUM(Z17:Z20)</f>
        <v/>
      </c>
      <c r="AA25" s="87">
        <f>SUM(AA17:AA20)</f>
        <v/>
      </c>
      <c r="AB25" s="87">
        <f>SUM(AB17:AB20)</f>
        <v/>
      </c>
      <c r="AC25" s="87">
        <f>SUM(AC17:AC20)</f>
        <v/>
      </c>
      <c r="AD25" s="87">
        <f>SUM(AD17:AD20)</f>
        <v/>
      </c>
      <c r="AE25" s="87">
        <f>SUM(AE17:AE20)</f>
        <v/>
      </c>
      <c r="AF25" s="87">
        <f>SUM(AF17:AF20)</f>
        <v/>
      </c>
      <c r="AG25" s="87">
        <f>SUM(AG17:AG20)</f>
        <v/>
      </c>
      <c r="AH25" s="87">
        <f>SUM(AH17:AH20)</f>
        <v/>
      </c>
      <c r="AI25" s="87">
        <f>SUM(AI17:AI20)</f>
        <v/>
      </c>
      <c r="AJ25" s="87">
        <f>SUM(AJ17:AJ20)</f>
        <v/>
      </c>
      <c r="AK25" s="87">
        <f>SUM(AK17:AK20)</f>
        <v/>
      </c>
      <c r="AL25" s="87">
        <f>SUM(AL17:AL20)</f>
        <v/>
      </c>
      <c r="AM25" s="87">
        <f>SUM(AM17:AM20)</f>
        <v/>
      </c>
      <c r="AN25" s="87">
        <f>SUM(AN17:AN20)</f>
        <v/>
      </c>
      <c r="AO25" s="87">
        <f>SUM(AO17:AO20)</f>
        <v/>
      </c>
      <c r="AP25" s="87">
        <f>SUM(AP17:AP20)</f>
        <v/>
      </c>
      <c r="AQ25" s="87">
        <f>SUM(AQ17:AQ20)</f>
        <v/>
      </c>
      <c r="AR25" s="87">
        <f>SUM(AR17:AR20)</f>
        <v/>
      </c>
      <c r="AS25" s="87">
        <f>SUM(AS17:AS20)</f>
        <v/>
      </c>
      <c r="AT25" s="87">
        <f>SUM(AT17:AT20)</f>
        <v/>
      </c>
      <c r="AU25" s="87">
        <f>SUM(AU17:AU20)</f>
        <v/>
      </c>
      <c r="AV25" s="87">
        <f>SUM(AV17:AV20)</f>
        <v/>
      </c>
      <c r="AW25" s="87">
        <f>SUM(AW17:AW20)</f>
        <v/>
      </c>
      <c r="AX25" s="87">
        <f>SUM(AX17:AX20)</f>
        <v/>
      </c>
      <c r="AY25" s="87">
        <f>SUM(AY17:AY20)</f>
        <v/>
      </c>
      <c r="AZ25" s="87">
        <f>SUM(AZ17:AZ20)</f>
        <v/>
      </c>
      <c r="BA25" s="87">
        <f>SUM(BA17:BA20)</f>
        <v/>
      </c>
      <c r="BB25" s="87">
        <f>SUM(BB17:BB20)</f>
        <v/>
      </c>
      <c r="BC25" s="87">
        <f>SUM(BC17:BC20)</f>
        <v/>
      </c>
      <c r="BD25" s="87">
        <f>SUM(BD17:BD20)</f>
        <v/>
      </c>
      <c r="BE25" s="87">
        <f>SUM(BE17:BE20)</f>
        <v/>
      </c>
      <c r="BF25" s="87">
        <f>SUM(BF17:BF20)</f>
        <v/>
      </c>
      <c r="BG25" s="87">
        <f>SUM(BG17:BG20)</f>
        <v/>
      </c>
      <c r="BH25" s="87">
        <f>SUM(BH17:BH20)</f>
        <v/>
      </c>
      <c r="BI25" s="87">
        <f>SUM(BI17:BI20)</f>
        <v/>
      </c>
      <c r="BJ25" s="87">
        <f>SUM(BJ17:BJ20)</f>
        <v/>
      </c>
      <c r="BK25" s="87">
        <f>SUM(BK17:BK20)</f>
        <v/>
      </c>
      <c r="BL25" s="87">
        <f>SUM(BL17:BL20)</f>
        <v/>
      </c>
      <c r="BM25" s="87">
        <f>SUM(BM17:BM20)</f>
        <v/>
      </c>
    </row>
    <row r="26" ht="15" customHeight="1"/>
    <row r="27" ht="18" customHeight="1">
      <c r="A27" s="532" t="inlineStr">
        <is>
          <t>GASTO DE SACOLAS E ITENS DOADOS 2026 - MENSAIS</t>
        </is>
      </c>
      <c r="B27" s="734" t="n"/>
      <c r="C27" s="734" t="n"/>
      <c r="D27" s="734" t="n"/>
      <c r="E27" s="734" t="n"/>
      <c r="F27" s="734" t="n"/>
      <c r="G27" s="734" t="n"/>
      <c r="H27" s="734" t="n"/>
      <c r="I27" s="734" t="n"/>
      <c r="J27" s="734" t="n"/>
      <c r="K27" s="734" t="n"/>
      <c r="L27" s="734" t="n"/>
      <c r="M27" s="734" t="n"/>
      <c r="N27" s="734" t="n"/>
      <c r="O27" s="734" t="n"/>
      <c r="P27" s="734" t="n"/>
      <c r="Q27" s="734" t="n"/>
      <c r="R27" s="734" t="n"/>
      <c r="S27" s="734" t="n"/>
      <c r="T27" s="734" t="n"/>
      <c r="U27" s="734" t="n"/>
      <c r="V27" s="734" t="n"/>
      <c r="W27" s="734" t="n"/>
      <c r="X27" s="734" t="n"/>
      <c r="Y27" s="734" t="n"/>
      <c r="Z27" s="734" t="n"/>
      <c r="AA27" s="734" t="n"/>
      <c r="AB27" s="734" t="n"/>
      <c r="AC27" s="734" t="n"/>
      <c r="AD27" s="734" t="n"/>
      <c r="AE27" s="734" t="n"/>
      <c r="AF27" s="734" t="n"/>
      <c r="AG27" s="734" t="n"/>
      <c r="AH27" s="734" t="n"/>
      <c r="AI27" s="734" t="n"/>
      <c r="AJ27" s="734" t="n"/>
      <c r="AK27" s="734" t="n"/>
      <c r="AL27" s="734" t="n"/>
      <c r="AM27" s="734" t="n"/>
      <c r="AN27" s="734" t="n"/>
      <c r="AO27" s="734" t="n"/>
      <c r="AP27" s="734" t="n"/>
      <c r="AQ27" s="734" t="n"/>
      <c r="AR27" s="734" t="n"/>
      <c r="AS27" s="734" t="n"/>
      <c r="AT27" s="734" t="n"/>
      <c r="AU27" s="734" t="n"/>
      <c r="AV27" s="734" t="n"/>
      <c r="AW27" s="734" t="n"/>
      <c r="AX27" s="734" t="n"/>
      <c r="AY27" s="734" t="n"/>
      <c r="AZ27" s="734" t="n"/>
      <c r="BA27" s="734" t="n"/>
      <c r="BB27" s="734" t="n"/>
      <c r="BC27" s="734" t="n"/>
      <c r="BD27" s="734" t="n"/>
      <c r="BE27" s="734" t="n"/>
      <c r="BF27" s="734" t="n"/>
      <c r="BG27" s="734" t="n"/>
      <c r="BH27" s="734" t="n"/>
      <c r="BI27" s="734" t="n"/>
      <c r="BJ27" s="734" t="n"/>
      <c r="BK27" s="734" t="n"/>
      <c r="BL27" s="734" t="n"/>
      <c r="BM27" s="734" t="n"/>
    </row>
    <row r="28" ht="18" customHeight="1">
      <c r="A28" s="735" t="inlineStr">
        <is>
          <t>TUPI</t>
        </is>
      </c>
      <c r="B28" s="735" t="inlineStr">
        <is>
          <t>JANEIRO</t>
        </is>
      </c>
      <c r="C28" s="736" t="n"/>
      <c r="D28" s="736" t="n"/>
      <c r="E28" s="736" t="n"/>
      <c r="F28" s="737" t="n"/>
      <c r="G28" s="735" t="inlineStr">
        <is>
          <t>FEVEREIRO</t>
        </is>
      </c>
      <c r="H28" s="736" t="n"/>
      <c r="I28" s="736" t="n"/>
      <c r="J28" s="736" t="n"/>
      <c r="K28" s="737" t="n"/>
      <c r="L28" s="735" t="inlineStr">
        <is>
          <t>MARÇO</t>
        </is>
      </c>
      <c r="M28" s="736" t="n"/>
      <c r="N28" s="736" t="n"/>
      <c r="O28" s="736" t="n"/>
      <c r="P28" s="736" t="n"/>
      <c r="Q28" s="737" t="n"/>
      <c r="R28" s="735" t="inlineStr">
        <is>
          <t>ABRIL</t>
        </is>
      </c>
      <c r="S28" s="736" t="n"/>
      <c r="T28" s="736" t="n"/>
      <c r="U28" s="736" t="n"/>
      <c r="V28" s="737" t="n"/>
      <c r="W28" s="735" t="inlineStr">
        <is>
          <t>MAIO</t>
        </is>
      </c>
      <c r="X28" s="736" t="n"/>
      <c r="Y28" s="736" t="n"/>
      <c r="Z28" s="736" t="n"/>
      <c r="AA28" s="737" t="n"/>
      <c r="AB28" s="735" t="inlineStr">
        <is>
          <t>JUNHO</t>
        </is>
      </c>
      <c r="AC28" s="736" t="n"/>
      <c r="AD28" s="736" t="n"/>
      <c r="AE28" s="736" t="n"/>
      <c r="AF28" s="736" t="n"/>
      <c r="AG28" s="737" t="n"/>
      <c r="AH28" s="735" t="inlineStr">
        <is>
          <t>JULHO</t>
        </is>
      </c>
      <c r="AI28" s="736" t="n"/>
      <c r="AJ28" s="736" t="n"/>
      <c r="AK28" s="736" t="n"/>
      <c r="AL28" s="737" t="n"/>
      <c r="AM28" s="735" t="inlineStr">
        <is>
          <t>AGOSTO</t>
        </is>
      </c>
      <c r="AN28" s="736" t="n"/>
      <c r="AO28" s="736" t="n"/>
      <c r="AP28" s="736" t="n"/>
      <c r="AQ28" s="736" t="n"/>
      <c r="AR28" s="737" t="n"/>
      <c r="AS28" s="735" t="inlineStr">
        <is>
          <t>SETEMBRO</t>
        </is>
      </c>
      <c r="AT28" s="736" t="n"/>
      <c r="AU28" s="736" t="n"/>
      <c r="AV28" s="736" t="n"/>
      <c r="AW28" s="737" t="n"/>
      <c r="AX28" s="735" t="inlineStr">
        <is>
          <t>OUTUBRO</t>
        </is>
      </c>
      <c r="AY28" s="736" t="n"/>
      <c r="AZ28" s="736" t="n"/>
      <c r="BA28" s="736" t="n"/>
      <c r="BB28" s="737" t="n"/>
      <c r="BC28" s="735" t="inlineStr">
        <is>
          <t>NOVEMBRO</t>
        </is>
      </c>
      <c r="BD28" s="736" t="n"/>
      <c r="BE28" s="736" t="n"/>
      <c r="BF28" s="736" t="n"/>
      <c r="BG28" s="736" t="n"/>
      <c r="BH28" s="737" t="n"/>
      <c r="BI28" s="735" t="inlineStr">
        <is>
          <t>DEZEMBRO</t>
        </is>
      </c>
      <c r="BJ28" s="736" t="n"/>
      <c r="BK28" s="736" t="n"/>
      <c r="BL28" s="736" t="n"/>
      <c r="BM28" s="737" t="n"/>
    </row>
    <row r="29" ht="15.75" customHeight="1">
      <c r="A29" s="738" t="n"/>
      <c r="B29" s="78" t="n">
        <v>46027</v>
      </c>
      <c r="C29" s="78" t="n">
        <v>46034</v>
      </c>
      <c r="D29" s="78" t="n">
        <v>46041</v>
      </c>
      <c r="E29" s="78" t="n">
        <v>46048</v>
      </c>
      <c r="F29" s="85" t="inlineStr">
        <is>
          <t>USOU</t>
        </is>
      </c>
      <c r="G29" s="78" t="n">
        <v>46055</v>
      </c>
      <c r="H29" s="78" t="n">
        <v>46062</v>
      </c>
      <c r="I29" s="78" t="n">
        <v>46069</v>
      </c>
      <c r="J29" s="78" t="n">
        <v>46076</v>
      </c>
      <c r="K29" s="85" t="inlineStr">
        <is>
          <t>USOU</t>
        </is>
      </c>
      <c r="L29" s="78" t="n">
        <v>46083</v>
      </c>
      <c r="M29" s="78" t="n">
        <v>46090</v>
      </c>
      <c r="N29" s="78" t="n">
        <v>46097</v>
      </c>
      <c r="O29" s="78" t="n">
        <v>46104</v>
      </c>
      <c r="P29" s="78" t="n">
        <v>46111</v>
      </c>
      <c r="Q29" s="85" t="inlineStr">
        <is>
          <t>USOU</t>
        </is>
      </c>
      <c r="R29" s="78" t="n">
        <v>46118</v>
      </c>
      <c r="S29" s="78" t="n">
        <v>46125</v>
      </c>
      <c r="T29" s="78" t="n">
        <v>46132</v>
      </c>
      <c r="U29" s="78" t="n">
        <v>46139</v>
      </c>
      <c r="V29" s="85" t="inlineStr">
        <is>
          <t>USOU</t>
        </is>
      </c>
      <c r="W29" s="78" t="n">
        <v>46146</v>
      </c>
      <c r="X29" s="78" t="n">
        <v>46153</v>
      </c>
      <c r="Y29" s="78" t="n">
        <v>46160</v>
      </c>
      <c r="Z29" s="78" t="n">
        <v>46167</v>
      </c>
      <c r="AA29" s="85" t="inlineStr">
        <is>
          <t>USOU</t>
        </is>
      </c>
      <c r="AB29" s="78" t="n">
        <v>46174</v>
      </c>
      <c r="AC29" s="78" t="n">
        <v>46181</v>
      </c>
      <c r="AD29" s="78" t="n">
        <v>46188</v>
      </c>
      <c r="AE29" s="78" t="n">
        <v>46195</v>
      </c>
      <c r="AF29" s="78" t="n">
        <v>46202</v>
      </c>
      <c r="AG29" s="85" t="inlineStr">
        <is>
          <t>USOU</t>
        </is>
      </c>
      <c r="AH29" s="78" t="n">
        <v>46209</v>
      </c>
      <c r="AI29" s="78" t="n">
        <v>46216</v>
      </c>
      <c r="AJ29" s="78" t="n">
        <v>46223</v>
      </c>
      <c r="AK29" s="78" t="n">
        <v>46230</v>
      </c>
      <c r="AL29" s="85" t="inlineStr">
        <is>
          <t>USOU</t>
        </is>
      </c>
      <c r="AM29" s="78" t="n">
        <v>46237</v>
      </c>
      <c r="AN29" s="78" t="n">
        <v>46244</v>
      </c>
      <c r="AO29" s="78" t="n">
        <v>46251</v>
      </c>
      <c r="AP29" s="78" t="n">
        <v>46258</v>
      </c>
      <c r="AQ29" s="78" t="n">
        <v>46265</v>
      </c>
      <c r="AR29" s="85" t="inlineStr">
        <is>
          <t>USOU</t>
        </is>
      </c>
      <c r="AS29" s="78" t="n">
        <v>46272</v>
      </c>
      <c r="AT29" s="78" t="n">
        <v>46279</v>
      </c>
      <c r="AU29" s="78" t="n">
        <v>46286</v>
      </c>
      <c r="AV29" s="78" t="n">
        <v>46293</v>
      </c>
      <c r="AW29" s="85" t="inlineStr">
        <is>
          <t>USOU</t>
        </is>
      </c>
      <c r="AX29" s="78" t="n">
        <v>46300</v>
      </c>
      <c r="AY29" s="78" t="n">
        <v>46307</v>
      </c>
      <c r="AZ29" s="78" t="n">
        <v>46314</v>
      </c>
      <c r="BA29" s="78" t="n">
        <v>46321</v>
      </c>
      <c r="BB29" s="85" t="inlineStr">
        <is>
          <t>USOU</t>
        </is>
      </c>
      <c r="BC29" s="78" t="n">
        <v>46328</v>
      </c>
      <c r="BD29" s="78" t="n">
        <v>46335</v>
      </c>
      <c r="BE29" s="78" t="n">
        <v>46342</v>
      </c>
      <c r="BF29" s="78" t="n">
        <v>46349</v>
      </c>
      <c r="BG29" s="78" t="n">
        <v>46356</v>
      </c>
      <c r="BH29" s="85" t="inlineStr">
        <is>
          <t>USOU</t>
        </is>
      </c>
      <c r="BI29" s="78" t="n">
        <v>46363</v>
      </c>
      <c r="BJ29" s="78" t="n">
        <v>46370</v>
      </c>
      <c r="BK29" s="78" t="n">
        <v>46377</v>
      </c>
      <c r="BL29" s="78" t="n">
        <v>46384</v>
      </c>
      <c r="BM29" s="85" t="inlineStr">
        <is>
          <t>USOU</t>
        </is>
      </c>
    </row>
    <row r="30" ht="15.75" customHeight="1">
      <c r="A30" s="82" t="inlineStr">
        <is>
          <t>SACOLA PP VERDE</t>
        </is>
      </c>
      <c r="B30" s="80" t="n">
        <v>460</v>
      </c>
      <c r="C30" s="80" t="n">
        <v>80</v>
      </c>
      <c r="D30" s="80" t="n">
        <v>140</v>
      </c>
      <c r="E30" s="80" t="n">
        <v>40</v>
      </c>
      <c r="F30" s="81">
        <f>B30+C30+D30+E30</f>
        <v/>
      </c>
      <c r="G30" s="80" t="n">
        <v>60</v>
      </c>
      <c r="H30" s="80" t="n">
        <v>160</v>
      </c>
      <c r="I30" s="80" t="n">
        <v>80</v>
      </c>
      <c r="J30" s="80" t="n">
        <v>100</v>
      </c>
      <c r="K30" s="81">
        <f>G30+H30+I30+J30</f>
        <v/>
      </c>
      <c r="L30" s="80" t="n">
        <v>60</v>
      </c>
      <c r="M30" s="80" t="n">
        <v>100</v>
      </c>
      <c r="N30" s="80" t="n">
        <v>100</v>
      </c>
      <c r="O30" s="80" t="n">
        <v>100</v>
      </c>
      <c r="P30" s="80" t="n">
        <v>0</v>
      </c>
      <c r="Q30" s="81">
        <f>L30+M30+N30+O30+P30</f>
        <v/>
      </c>
      <c r="R30" s="80" t="n"/>
      <c r="S30" s="80" t="n"/>
      <c r="T30" s="80" t="n"/>
      <c r="U30" s="80" t="n"/>
      <c r="V30" s="81">
        <f>R30+S30+T30+U30</f>
        <v/>
      </c>
      <c r="W30" s="80" t="n">
        <v>0</v>
      </c>
      <c r="X30" s="80" t="n">
        <v>80</v>
      </c>
      <c r="Y30" s="80" t="n"/>
      <c r="Z30" s="80" t="n"/>
      <c r="AA30" s="81">
        <f>W30+X30+Y30+Z30</f>
        <v/>
      </c>
      <c r="AB30" s="80" t="n"/>
      <c r="AC30" s="80" t="n"/>
      <c r="AD30" s="80" t="n"/>
      <c r="AE30" s="80" t="n"/>
      <c r="AF30" s="80" t="n"/>
      <c r="AG30" s="81">
        <f>AB30+AC30+AD30+AE30+AF30</f>
        <v/>
      </c>
      <c r="AH30" s="80" t="n"/>
      <c r="AI30" s="80" t="n"/>
      <c r="AJ30" s="80" t="n"/>
      <c r="AK30" s="80" t="n"/>
      <c r="AL30" s="81">
        <f>AH30+AI30+AJ30+AK30</f>
        <v/>
      </c>
      <c r="AM30" s="80" t="n"/>
      <c r="AN30" s="80" t="n"/>
      <c r="AO30" s="80" t="n"/>
      <c r="AP30" s="80" t="n"/>
      <c r="AQ30" s="80" t="n"/>
      <c r="AR30" s="81">
        <f>AM30+AN30+AO30+AP30+AQ30</f>
        <v/>
      </c>
      <c r="AS30" s="80" t="n"/>
      <c r="AT30" s="80" t="n"/>
      <c r="AU30" s="80" t="n"/>
      <c r="AV30" s="80" t="n"/>
      <c r="AW30" s="81">
        <f>AS30+AT30+AU30+AV30</f>
        <v/>
      </c>
      <c r="AX30" s="80" t="n"/>
      <c r="AY30" s="80" t="n"/>
      <c r="AZ30" s="80" t="n"/>
      <c r="BA30" s="80" t="n"/>
      <c r="BB30" s="81">
        <f>AX30+AY30+AZ30+BA30</f>
        <v/>
      </c>
      <c r="BC30" s="80" t="n"/>
      <c r="BD30" s="80" t="n"/>
      <c r="BE30" s="80" t="n"/>
      <c r="BF30" s="80" t="n"/>
      <c r="BG30" s="80" t="n"/>
      <c r="BH30" s="81">
        <f>BC30+BD30+BE30+BF30+BG30</f>
        <v/>
      </c>
      <c r="BI30" s="80" t="n"/>
      <c r="BJ30" s="80" t="n"/>
      <c r="BK30" s="80" t="n"/>
      <c r="BL30" s="80" t="n"/>
      <c r="BM30" s="81">
        <f>BI30+BJ30+BK30+BL30</f>
        <v/>
      </c>
    </row>
    <row r="31" ht="15.75" customHeight="1">
      <c r="A31" s="82" t="inlineStr">
        <is>
          <t>SACOLA P VERDE</t>
        </is>
      </c>
      <c r="B31" s="80" t="n">
        <v>1180</v>
      </c>
      <c r="C31" s="80" t="n">
        <v>260</v>
      </c>
      <c r="D31" s="80" t="n">
        <v>500</v>
      </c>
      <c r="E31" s="80" t="n">
        <v>0</v>
      </c>
      <c r="F31" s="81">
        <f>B31+C31+D31+E31</f>
        <v/>
      </c>
      <c r="G31" s="80" t="n">
        <v>320</v>
      </c>
      <c r="H31" s="80" t="n">
        <v>280</v>
      </c>
      <c r="I31" s="80" t="n">
        <v>240</v>
      </c>
      <c r="J31" s="80" t="n">
        <v>420</v>
      </c>
      <c r="K31" s="81">
        <f>G31+H31+I31+J31</f>
        <v/>
      </c>
      <c r="L31" s="80" t="n">
        <v>120</v>
      </c>
      <c r="M31" s="80" t="n">
        <v>380</v>
      </c>
      <c r="N31" s="80" t="n">
        <v>20</v>
      </c>
      <c r="O31" s="80" t="n">
        <v>60</v>
      </c>
      <c r="P31" s="80" t="n">
        <v>800</v>
      </c>
      <c r="Q31" s="81">
        <f>L31+M31+N31+O31+P31</f>
        <v/>
      </c>
      <c r="R31" s="80" t="n"/>
      <c r="S31" s="80" t="n"/>
      <c r="T31" s="80" t="n"/>
      <c r="U31" s="80" t="n"/>
      <c r="V31" s="81">
        <f>R31+S31+T31+U31</f>
        <v/>
      </c>
      <c r="W31" s="80" t="n">
        <v>0</v>
      </c>
      <c r="X31" s="80" t="n">
        <v>0</v>
      </c>
      <c r="Y31" s="80" t="n"/>
      <c r="Z31" s="80" t="n"/>
      <c r="AA31" s="81">
        <f>W31+X31+Y31+Z31</f>
        <v/>
      </c>
      <c r="AB31" s="80" t="n"/>
      <c r="AC31" s="80" t="n"/>
      <c r="AD31" s="80" t="n"/>
      <c r="AE31" s="80" t="n"/>
      <c r="AF31" s="80" t="n"/>
      <c r="AG31" s="81">
        <f>AB31+AC31+AD31+AE31+AF31</f>
        <v/>
      </c>
      <c r="AH31" s="80" t="n"/>
      <c r="AI31" s="80" t="n"/>
      <c r="AJ31" s="80" t="n"/>
      <c r="AK31" s="80" t="n"/>
      <c r="AL31" s="81">
        <f>AH31+AI31+AJ31+AK31</f>
        <v/>
      </c>
      <c r="AM31" s="80" t="n"/>
      <c r="AN31" s="80" t="n"/>
      <c r="AO31" s="80" t="n"/>
      <c r="AP31" s="80" t="n"/>
      <c r="AQ31" s="80" t="n"/>
      <c r="AR31" s="81">
        <f>AM31+AN31+AO31+AP31+AQ31</f>
        <v/>
      </c>
      <c r="AS31" s="80" t="n"/>
      <c r="AT31" s="80" t="n"/>
      <c r="AU31" s="80" t="n"/>
      <c r="AV31" s="80" t="n"/>
      <c r="AW31" s="81">
        <f>AS31+AT31+AU31+AV31</f>
        <v/>
      </c>
      <c r="AX31" s="80" t="n"/>
      <c r="AY31" s="80" t="n"/>
      <c r="AZ31" s="80" t="n"/>
      <c r="BA31" s="80" t="n"/>
      <c r="BB31" s="81">
        <f>AX31+AY31+AZ31+BA31</f>
        <v/>
      </c>
      <c r="BC31" s="80" t="n"/>
      <c r="BD31" s="80" t="n"/>
      <c r="BE31" s="80" t="n"/>
      <c r="BF31" s="80" t="n"/>
      <c r="BG31" s="80" t="n"/>
      <c r="BH31" s="81">
        <f>BC31+BD31+BE31+BF31+BG31</f>
        <v/>
      </c>
      <c r="BI31" s="80" t="n"/>
      <c r="BJ31" s="80" t="n"/>
      <c r="BK31" s="80" t="n"/>
      <c r="BL31" s="80" t="n"/>
      <c r="BM31" s="81">
        <f>BI31+BJ31+BK31+BL31</f>
        <v/>
      </c>
    </row>
    <row r="32" ht="15.75" customHeight="1">
      <c r="A32" s="82" t="inlineStr">
        <is>
          <t>SACOLA M VERDE</t>
        </is>
      </c>
      <c r="B32" s="80" t="n">
        <v>960</v>
      </c>
      <c r="C32" s="80" t="n">
        <v>80</v>
      </c>
      <c r="D32" s="80" t="n">
        <v>160</v>
      </c>
      <c r="E32" s="80" t="n">
        <v>180</v>
      </c>
      <c r="F32" s="81">
        <f>B32+C32+D32+E32</f>
        <v/>
      </c>
      <c r="G32" s="80" t="n">
        <v>60</v>
      </c>
      <c r="H32" s="80" t="n">
        <v>240</v>
      </c>
      <c r="I32" s="80" t="n">
        <v>80</v>
      </c>
      <c r="J32" s="80" t="n">
        <v>100</v>
      </c>
      <c r="K32" s="81">
        <f>G32+H32+I32+J32</f>
        <v/>
      </c>
      <c r="L32" s="80" t="n">
        <v>180</v>
      </c>
      <c r="M32" s="80" t="n">
        <v>60</v>
      </c>
      <c r="N32" s="80" t="n">
        <v>20</v>
      </c>
      <c r="O32" s="80" t="n">
        <v>220</v>
      </c>
      <c r="P32" s="80" t="n">
        <v>300</v>
      </c>
      <c r="Q32" s="81">
        <f>L32+M32+N32+O32+P32</f>
        <v/>
      </c>
      <c r="R32" s="80" t="n"/>
      <c r="S32" s="80" t="n"/>
      <c r="T32" s="80" t="n"/>
      <c r="U32" s="80" t="n"/>
      <c r="V32" s="81">
        <f>R32+S32+T32+U32</f>
        <v/>
      </c>
      <c r="W32" s="80" t="n">
        <v>200</v>
      </c>
      <c r="X32" s="80" t="n">
        <v>0</v>
      </c>
      <c r="Y32" s="80" t="n"/>
      <c r="Z32" s="80" t="n"/>
      <c r="AA32" s="81">
        <f>W32+X32+Y32+Z32</f>
        <v/>
      </c>
      <c r="AB32" s="80" t="n"/>
      <c r="AC32" s="80" t="n"/>
      <c r="AD32" s="80" t="n"/>
      <c r="AE32" s="80" t="n"/>
      <c r="AF32" s="80" t="n"/>
      <c r="AG32" s="81">
        <f>AB32+AC32+AD32+AE32+AF32</f>
        <v/>
      </c>
      <c r="AH32" s="80" t="n"/>
      <c r="AI32" s="80" t="n"/>
      <c r="AJ32" s="80" t="n"/>
      <c r="AK32" s="80" t="n"/>
      <c r="AL32" s="81">
        <f>AH32+AI32+AJ32+AK32</f>
        <v/>
      </c>
      <c r="AM32" s="80" t="n"/>
      <c r="AN32" s="80" t="n"/>
      <c r="AO32" s="80" t="n"/>
      <c r="AP32" s="80" t="n"/>
      <c r="AQ32" s="80" t="n"/>
      <c r="AR32" s="81">
        <f>AM32+AN32+AO32+AP32+AQ32</f>
        <v/>
      </c>
      <c r="AS32" s="80" t="n"/>
      <c r="AT32" s="80" t="n"/>
      <c r="AU32" s="80" t="n"/>
      <c r="AV32" s="80" t="n"/>
      <c r="AW32" s="81">
        <f>AS32+AT32+AU32+AV32</f>
        <v/>
      </c>
      <c r="AX32" s="80" t="n"/>
      <c r="AY32" s="80" t="n"/>
      <c r="AZ32" s="80" t="n"/>
      <c r="BA32" s="80" t="n"/>
      <c r="BB32" s="81">
        <f>AX32+AY32+AZ32+BA32</f>
        <v/>
      </c>
      <c r="BC32" s="80" t="n"/>
      <c r="BD32" s="80" t="n"/>
      <c r="BE32" s="80" t="n"/>
      <c r="BF32" s="80" t="n"/>
      <c r="BG32" s="80" t="n"/>
      <c r="BH32" s="81">
        <f>BC32+BD32+BE32+BF32+BG32</f>
        <v/>
      </c>
      <c r="BI32" s="80" t="n"/>
      <c r="BJ32" s="80" t="n"/>
      <c r="BK32" s="80" t="n"/>
      <c r="BL32" s="80" t="n"/>
      <c r="BM32" s="81">
        <f>BI32+BJ32+BK32+BL32</f>
        <v/>
      </c>
    </row>
    <row r="33" ht="15.75" customHeight="1">
      <c r="A33" s="83" t="inlineStr">
        <is>
          <t>SACOLA G VERDE</t>
        </is>
      </c>
      <c r="B33" s="80" t="n">
        <v>40</v>
      </c>
      <c r="C33" s="80" t="n">
        <v>0</v>
      </c>
      <c r="D33" s="80" t="n">
        <v>40</v>
      </c>
      <c r="E33" s="80" t="n">
        <v>0</v>
      </c>
      <c r="F33" s="81">
        <f>B33+C33+D33+E33</f>
        <v/>
      </c>
      <c r="G33" s="80" t="n">
        <v>0</v>
      </c>
      <c r="H33" s="80" t="n">
        <v>40</v>
      </c>
      <c r="I33" s="80" t="n">
        <v>0</v>
      </c>
      <c r="J33" s="80" t="n">
        <v>20</v>
      </c>
      <c r="K33" s="81">
        <f>G33+H33+I33+J33</f>
        <v/>
      </c>
      <c r="L33" s="80" t="n">
        <v>40</v>
      </c>
      <c r="M33" s="80" t="n">
        <v>40</v>
      </c>
      <c r="N33" s="80" t="n">
        <v>0</v>
      </c>
      <c r="O33" s="80" t="n">
        <v>0</v>
      </c>
      <c r="P33" s="80" t="n">
        <v>0</v>
      </c>
      <c r="Q33" s="81">
        <f>L33+M33+N33+O33+P33</f>
        <v/>
      </c>
      <c r="R33" s="80" t="n"/>
      <c r="S33" s="80" t="n"/>
      <c r="T33" s="80" t="n"/>
      <c r="U33" s="80" t="n"/>
      <c r="V33" s="81">
        <f>R33+S33+T33+U33</f>
        <v/>
      </c>
      <c r="W33" s="80" t="n">
        <v>0</v>
      </c>
      <c r="X33" s="80" t="n">
        <v>0</v>
      </c>
      <c r="Y33" s="80" t="n"/>
      <c r="Z33" s="80" t="n"/>
      <c r="AA33" s="81">
        <f>W33+X33+Y33+Z33</f>
        <v/>
      </c>
      <c r="AB33" s="80" t="n"/>
      <c r="AC33" s="80" t="n"/>
      <c r="AD33" s="80" t="n"/>
      <c r="AE33" s="80" t="n"/>
      <c r="AF33" s="80" t="n"/>
      <c r="AG33" s="81">
        <f>AB33+AC33+AD33+AE33+AF33</f>
        <v/>
      </c>
      <c r="AH33" s="80" t="n"/>
      <c r="AI33" s="80" t="n"/>
      <c r="AJ33" s="80" t="n"/>
      <c r="AK33" s="80" t="n"/>
      <c r="AL33" s="81">
        <f>AH33+AI33+AJ33+AK33</f>
        <v/>
      </c>
      <c r="AM33" s="80" t="n"/>
      <c r="AN33" s="80" t="n"/>
      <c r="AO33" s="80" t="n"/>
      <c r="AP33" s="80" t="n"/>
      <c r="AQ33" s="80" t="n"/>
      <c r="AR33" s="81">
        <f>AM33+AN33+AO33+AP33+AQ33</f>
        <v/>
      </c>
      <c r="AS33" s="80" t="n"/>
      <c r="AT33" s="80" t="n"/>
      <c r="AU33" s="80" t="n"/>
      <c r="AV33" s="80" t="n"/>
      <c r="AW33" s="81">
        <f>AS33+AT33+AU33+AV33</f>
        <v/>
      </c>
      <c r="AX33" s="80" t="n"/>
      <c r="AY33" s="80" t="n"/>
      <c r="AZ33" s="80" t="n"/>
      <c r="BA33" s="80" t="n"/>
      <c r="BB33" s="81">
        <f>AX33+AY33+AZ33+BA33</f>
        <v/>
      </c>
      <c r="BC33" s="80" t="n"/>
      <c r="BD33" s="80" t="n"/>
      <c r="BE33" s="80" t="n"/>
      <c r="BF33" s="80" t="n"/>
      <c r="BG33" s="80" t="n"/>
      <c r="BH33" s="81">
        <f>BC33+BD33+BE33+BF33+BG33</f>
        <v/>
      </c>
      <c r="BI33" s="80" t="n"/>
      <c r="BJ33" s="80" t="n"/>
      <c r="BK33" s="80" t="n"/>
      <c r="BL33" s="80" t="n"/>
      <c r="BM33" s="81">
        <f>BI33+BJ33+BK33+BL33</f>
        <v/>
      </c>
    </row>
    <row r="34" ht="15.75" customHeight="1">
      <c r="A34" s="84" t="inlineStr">
        <is>
          <t xml:space="preserve">PAPEL DE SEDA </t>
        </is>
      </c>
      <c r="B34" s="80" t="n">
        <v>3</v>
      </c>
      <c r="C34" s="80" t="n">
        <v>2</v>
      </c>
      <c r="D34" s="80" t="n">
        <v>4</v>
      </c>
      <c r="E34" s="80" t="n">
        <v>0</v>
      </c>
      <c r="F34" s="81">
        <f>B34+C34+D34+E34</f>
        <v/>
      </c>
      <c r="G34" s="80" t="n">
        <v>2</v>
      </c>
      <c r="H34" s="80" t="n">
        <v>2</v>
      </c>
      <c r="I34" s="80" t="n">
        <v>2</v>
      </c>
      <c r="J34" s="80" t="n">
        <v>1</v>
      </c>
      <c r="K34" s="81">
        <f>G34+H34+I34+J34</f>
        <v/>
      </c>
      <c r="L34" s="80" t="n">
        <v>2</v>
      </c>
      <c r="M34" s="80" t="n">
        <v>3</v>
      </c>
      <c r="N34" s="80" t="n">
        <v>1</v>
      </c>
      <c r="O34" s="80" t="n">
        <v>2</v>
      </c>
      <c r="P34" s="80" t="n">
        <v>2</v>
      </c>
      <c r="Q34" s="81">
        <f>L34+M34+N34+O34+P34</f>
        <v/>
      </c>
      <c r="R34" s="80" t="n"/>
      <c r="S34" s="80" t="n"/>
      <c r="T34" s="80" t="n"/>
      <c r="U34" s="80" t="n"/>
      <c r="V34" s="81">
        <f>R34+S34+T34+U34</f>
        <v/>
      </c>
      <c r="W34" s="80" t="n">
        <v>1</v>
      </c>
      <c r="X34" s="80" t="n">
        <v>2</v>
      </c>
      <c r="Y34" s="80" t="n"/>
      <c r="Z34" s="80" t="n"/>
      <c r="AA34" s="81">
        <f>W34+X34+Y34+Z34</f>
        <v/>
      </c>
      <c r="AB34" s="80" t="n"/>
      <c r="AC34" s="80" t="n"/>
      <c r="AD34" s="80" t="n"/>
      <c r="AE34" s="80" t="n"/>
      <c r="AF34" s="80" t="n"/>
      <c r="AG34" s="81">
        <f>AB34+AC34+AD34+AE34+AF34</f>
        <v/>
      </c>
      <c r="AH34" s="80" t="n"/>
      <c r="AI34" s="80" t="n"/>
      <c r="AJ34" s="80" t="n"/>
      <c r="AK34" s="80" t="n"/>
      <c r="AL34" s="81">
        <f>AH34+AI34+AJ34+AK34</f>
        <v/>
      </c>
      <c r="AM34" s="80" t="n"/>
      <c r="AN34" s="80" t="n"/>
      <c r="AO34" s="80" t="n"/>
      <c r="AP34" s="80" t="n"/>
      <c r="AQ34" s="80" t="n"/>
      <c r="AR34" s="81">
        <f>AM34+AN34+AO34+AP34+AQ34</f>
        <v/>
      </c>
      <c r="AS34" s="80" t="n"/>
      <c r="AT34" s="80" t="n"/>
      <c r="AU34" s="80" t="n"/>
      <c r="AV34" s="80" t="n"/>
      <c r="AW34" s="81">
        <f>AS34+AT34+AU34+AV34</f>
        <v/>
      </c>
      <c r="AX34" s="80" t="n"/>
      <c r="AY34" s="80" t="n"/>
      <c r="AZ34" s="80" t="n"/>
      <c r="BA34" s="80" t="n"/>
      <c r="BB34" s="81">
        <f>AX34+AY34+AZ34+BA34</f>
        <v/>
      </c>
      <c r="BC34" s="80" t="n"/>
      <c r="BD34" s="80" t="n"/>
      <c r="BE34" s="80" t="n"/>
      <c r="BF34" s="80" t="n"/>
      <c r="BG34" s="80" t="n"/>
      <c r="BH34" s="81">
        <f>BC34+BD34+BE34+BF34+BG34</f>
        <v/>
      </c>
      <c r="BI34" s="80" t="n"/>
      <c r="BJ34" s="80" t="n"/>
      <c r="BK34" s="80" t="n"/>
      <c r="BL34" s="80" t="n"/>
      <c r="BM34" s="81">
        <f>BI34+BJ34+BK34+BL34</f>
        <v/>
      </c>
    </row>
    <row r="35" ht="15.75" customHeight="1">
      <c r="A35" s="84" t="inlineStr">
        <is>
          <t>ETIQUETAS</t>
        </is>
      </c>
      <c r="B35" s="80" t="n">
        <v>0</v>
      </c>
      <c r="C35" s="80" t="n">
        <v>1</v>
      </c>
      <c r="D35" s="80" t="n">
        <v>0</v>
      </c>
      <c r="E35" s="80" t="n">
        <v>0</v>
      </c>
      <c r="F35" s="81">
        <f>B35+C35+D35+E35</f>
        <v/>
      </c>
      <c r="G35" s="80" t="n">
        <v>0</v>
      </c>
      <c r="H35" s="80" t="n">
        <v>0</v>
      </c>
      <c r="I35" s="80" t="n">
        <v>1</v>
      </c>
      <c r="J35" s="80" t="n">
        <v>0</v>
      </c>
      <c r="K35" s="81">
        <f>G35+H35+I35+J35</f>
        <v/>
      </c>
      <c r="L35" s="80" t="n">
        <v>0</v>
      </c>
      <c r="M35" s="80" t="n">
        <v>1</v>
      </c>
      <c r="N35" s="80" t="n">
        <v>0</v>
      </c>
      <c r="O35" s="80" t="n">
        <v>0</v>
      </c>
      <c r="P35" s="80" t="n">
        <v>0</v>
      </c>
      <c r="Q35" s="81">
        <f>L35+M35+N35+O35+P35</f>
        <v/>
      </c>
      <c r="R35" s="80" t="n"/>
      <c r="S35" s="80" t="n"/>
      <c r="T35" s="80" t="n"/>
      <c r="U35" s="80" t="n"/>
      <c r="V35" s="81">
        <f>R35+S35+T35+U35</f>
        <v/>
      </c>
      <c r="W35" s="80" t="n">
        <v>0</v>
      </c>
      <c r="X35" s="80" t="n">
        <v>0</v>
      </c>
      <c r="Y35" s="80" t="n"/>
      <c r="Z35" s="80" t="n"/>
      <c r="AA35" s="81">
        <f>W35+X35+Y35+Z35</f>
        <v/>
      </c>
      <c r="AB35" s="80" t="n"/>
      <c r="AC35" s="80" t="n"/>
      <c r="AD35" s="80" t="n"/>
      <c r="AE35" s="80" t="n"/>
      <c r="AF35" s="80" t="n"/>
      <c r="AG35" s="81">
        <f>AB35+AC35+AD35+AE35+AF35</f>
        <v/>
      </c>
      <c r="AH35" s="80" t="n"/>
      <c r="AI35" s="80" t="n"/>
      <c r="AJ35" s="80" t="n"/>
      <c r="AK35" s="80" t="n"/>
      <c r="AL35" s="81">
        <f>AH35+AI35+AJ35+AK35</f>
        <v/>
      </c>
      <c r="AM35" s="80" t="n"/>
      <c r="AN35" s="80" t="n"/>
      <c r="AO35" s="80" t="n"/>
      <c r="AP35" s="80" t="n"/>
      <c r="AQ35" s="80" t="n"/>
      <c r="AR35" s="81">
        <f>AM35+AN35+AO35+AP35+AQ35</f>
        <v/>
      </c>
      <c r="AS35" s="80" t="n"/>
      <c r="AT35" s="80" t="n"/>
      <c r="AU35" s="80" t="n"/>
      <c r="AV35" s="80" t="n"/>
      <c r="AW35" s="81">
        <f>AS35+AT35+AU35+AV35</f>
        <v/>
      </c>
      <c r="AX35" s="80" t="n"/>
      <c r="AY35" s="80" t="n"/>
      <c r="AZ35" s="80" t="n"/>
      <c r="BA35" s="80" t="n"/>
      <c r="BB35" s="81">
        <f>AX35+AY35+AZ35+BA35</f>
        <v/>
      </c>
      <c r="BC35" s="80" t="n"/>
      <c r="BD35" s="80" t="n"/>
      <c r="BE35" s="80" t="n"/>
      <c r="BF35" s="80" t="n"/>
      <c r="BG35" s="80" t="n"/>
      <c r="BH35" s="81">
        <f>BC35+BD35+BE35+BF35+BG35</f>
        <v/>
      </c>
      <c r="BI35" s="80" t="n"/>
      <c r="BJ35" s="80" t="n"/>
      <c r="BK35" s="80" t="n"/>
      <c r="BL35" s="80" t="n"/>
      <c r="BM35" s="81">
        <f>BI35+BJ35+BK35+BL35</f>
        <v/>
      </c>
    </row>
    <row r="36" ht="15.75" customHeight="1">
      <c r="A36" s="84" t="inlineStr">
        <is>
          <t xml:space="preserve">TAGS </t>
        </is>
      </c>
      <c r="B36" s="80" t="n">
        <v>0</v>
      </c>
      <c r="C36" s="80" t="n">
        <v>1</v>
      </c>
      <c r="D36" s="80" t="n">
        <v>1</v>
      </c>
      <c r="E36" s="80" t="n">
        <v>0</v>
      </c>
      <c r="F36" s="81">
        <f>B36+C36+D36+E36</f>
        <v/>
      </c>
      <c r="G36" s="80" t="n">
        <v>1</v>
      </c>
      <c r="H36" s="80" t="n">
        <v>1</v>
      </c>
      <c r="I36" s="80" t="n">
        <v>1</v>
      </c>
      <c r="J36" s="80" t="n">
        <v>1</v>
      </c>
      <c r="K36" s="81">
        <f>G36+H36+I36+J36</f>
        <v/>
      </c>
      <c r="L36" s="80" t="n">
        <v>0</v>
      </c>
      <c r="M36" s="80" t="n">
        <v>2</v>
      </c>
      <c r="N36" s="80" t="n">
        <v>2</v>
      </c>
      <c r="O36" s="80" t="n">
        <v>0</v>
      </c>
      <c r="P36" s="80" t="n">
        <v>0</v>
      </c>
      <c r="Q36" s="81">
        <f>L36+M36+N36+O36+P36</f>
        <v/>
      </c>
      <c r="R36" s="80" t="n"/>
      <c r="S36" s="80" t="n"/>
      <c r="T36" s="80" t="n"/>
      <c r="U36" s="80" t="n"/>
      <c r="V36" s="81">
        <f>R36+S36+T36+U36</f>
        <v/>
      </c>
      <c r="W36" s="80" t="n">
        <v>0</v>
      </c>
      <c r="X36" s="80" t="n">
        <v>3</v>
      </c>
      <c r="Y36" s="80" t="n"/>
      <c r="Z36" s="80" t="n"/>
      <c r="AA36" s="81">
        <f>W36+X36+Y36+Z36</f>
        <v/>
      </c>
      <c r="AB36" s="80" t="n"/>
      <c r="AC36" s="80" t="n"/>
      <c r="AD36" s="80" t="n"/>
      <c r="AE36" s="80" t="n"/>
      <c r="AF36" s="80" t="n"/>
      <c r="AG36" s="81">
        <f>AB36+AC36+AD36+AE36+AF36</f>
        <v/>
      </c>
      <c r="AH36" s="80" t="n"/>
      <c r="AI36" s="80" t="n"/>
      <c r="AJ36" s="80" t="n"/>
      <c r="AK36" s="80" t="n"/>
      <c r="AL36" s="81">
        <f>AH36+AI36+AJ36+AK36</f>
        <v/>
      </c>
      <c r="AM36" s="80" t="n"/>
      <c r="AN36" s="80" t="n"/>
      <c r="AO36" s="80" t="n"/>
      <c r="AP36" s="80" t="n"/>
      <c r="AQ36" s="80" t="n"/>
      <c r="AR36" s="81">
        <f>AM36+AN36+AO36+AP36+AQ36</f>
        <v/>
      </c>
      <c r="AS36" s="80" t="n"/>
      <c r="AT36" s="80" t="n"/>
      <c r="AU36" s="80" t="n"/>
      <c r="AV36" s="80" t="n"/>
      <c r="AW36" s="81">
        <f>AS36+AT36+AU36+AV36</f>
        <v/>
      </c>
      <c r="AX36" s="80" t="n"/>
      <c r="AY36" s="80" t="n"/>
      <c r="AZ36" s="80" t="n"/>
      <c r="BA36" s="80" t="n"/>
      <c r="BB36" s="81">
        <f>AX36+AY36+AZ36+BA36</f>
        <v/>
      </c>
      <c r="BC36" s="80" t="n"/>
      <c r="BD36" s="80" t="n"/>
      <c r="BE36" s="80" t="n"/>
      <c r="BF36" s="80" t="n"/>
      <c r="BG36" s="80" t="n"/>
      <c r="BH36" s="81">
        <f>BC36+BD36+BE36+BF36+BG36</f>
        <v/>
      </c>
      <c r="BI36" s="80" t="n"/>
      <c r="BJ36" s="80" t="n"/>
      <c r="BK36" s="80" t="n"/>
      <c r="BL36" s="80" t="n"/>
      <c r="BM36" s="81">
        <f>BI36+BJ36+BK36+BL36</f>
        <v/>
      </c>
    </row>
    <row r="37" ht="15.75" customHeight="1">
      <c r="A37" s="84" t="inlineStr">
        <is>
          <t>LÂMINA OLFATIVA</t>
        </is>
      </c>
      <c r="B37" s="80" t="n">
        <v>1</v>
      </c>
      <c r="C37" s="80" t="n">
        <v>2</v>
      </c>
      <c r="D37" s="80" t="n">
        <v>0</v>
      </c>
      <c r="E37" s="80" t="n">
        <v>0</v>
      </c>
      <c r="F37" s="81">
        <f>B37+C37+D37+E37</f>
        <v/>
      </c>
      <c r="G37" s="80" t="n">
        <v>1</v>
      </c>
      <c r="H37" s="80" t="n">
        <v>1</v>
      </c>
      <c r="I37" s="80" t="n">
        <v>0</v>
      </c>
      <c r="J37" s="80" t="n">
        <v>0</v>
      </c>
      <c r="K37" s="81">
        <f>G37+H37+I37+J37</f>
        <v/>
      </c>
      <c r="L37" s="80" t="n">
        <v>1</v>
      </c>
      <c r="M37" s="80" t="n">
        <v>1</v>
      </c>
      <c r="N37" s="80" t="n">
        <v>0</v>
      </c>
      <c r="O37" s="80" t="n">
        <v>1</v>
      </c>
      <c r="P37" s="80" t="n">
        <v>1</v>
      </c>
      <c r="Q37" s="81">
        <f>L37+M37+N37+O37+P37</f>
        <v/>
      </c>
      <c r="R37" s="80" t="n"/>
      <c r="S37" s="80" t="n"/>
      <c r="T37" s="80" t="n"/>
      <c r="U37" s="80" t="n"/>
      <c r="V37" s="81">
        <f>R37+S37+T37+U37</f>
        <v/>
      </c>
      <c r="W37" s="80" t="n">
        <v>1</v>
      </c>
      <c r="X37" s="80" t="n">
        <v>2</v>
      </c>
      <c r="Y37" s="80" t="n"/>
      <c r="Z37" s="80" t="n"/>
      <c r="AA37" s="81">
        <f>W37+X37+Y37+Z37</f>
        <v/>
      </c>
      <c r="AB37" s="80" t="n"/>
      <c r="AC37" s="80" t="n"/>
      <c r="AD37" s="80" t="n"/>
      <c r="AE37" s="80" t="n"/>
      <c r="AF37" s="80" t="n"/>
      <c r="AG37" s="81">
        <f>AB37+AC37+AD37+AE37+AF37</f>
        <v/>
      </c>
      <c r="AH37" s="80" t="n"/>
      <c r="AI37" s="80" t="n"/>
      <c r="AJ37" s="80" t="n"/>
      <c r="AK37" s="80" t="n"/>
      <c r="AL37" s="81">
        <f>AH37+AI37+AJ37+AK37</f>
        <v/>
      </c>
      <c r="AM37" s="80" t="n"/>
      <c r="AN37" s="80" t="n"/>
      <c r="AO37" s="80" t="n"/>
      <c r="AP37" s="80" t="n"/>
      <c r="AQ37" s="80" t="n"/>
      <c r="AR37" s="81">
        <f>AM37+AN37+AO37+AP37+AQ37</f>
        <v/>
      </c>
      <c r="AS37" s="80" t="n"/>
      <c r="AT37" s="80" t="n"/>
      <c r="AU37" s="80" t="n"/>
      <c r="AV37" s="80" t="n"/>
      <c r="AW37" s="81">
        <f>AS37+AT37+AU37+AV37</f>
        <v/>
      </c>
      <c r="AX37" s="80" t="n"/>
      <c r="AY37" s="80" t="n"/>
      <c r="AZ37" s="80" t="n"/>
      <c r="BA37" s="80" t="n"/>
      <c r="BB37" s="81">
        <f>AX37+AY37+AZ37+BA37</f>
        <v/>
      </c>
      <c r="BC37" s="80" t="n"/>
      <c r="BD37" s="80" t="n"/>
      <c r="BE37" s="80" t="n"/>
      <c r="BF37" s="80" t="n"/>
      <c r="BG37" s="80" t="n"/>
      <c r="BH37" s="81">
        <f>BC37+BD37+BE37+BF37+BG37</f>
        <v/>
      </c>
      <c r="BI37" s="80" t="n"/>
      <c r="BJ37" s="80" t="n"/>
      <c r="BK37" s="80" t="n"/>
      <c r="BL37" s="80" t="n"/>
      <c r="BM37" s="81">
        <f>BI37+BJ37+BK37+BL37</f>
        <v/>
      </c>
    </row>
    <row r="38" ht="15.75" customHeight="1">
      <c r="A38" s="86" t="inlineStr">
        <is>
          <t>TOTAL DE SACOLAS</t>
        </is>
      </c>
      <c r="B38" s="87">
        <f>SUM(B30:B33)</f>
        <v/>
      </c>
      <c r="C38" s="87">
        <f>SUM(C30:C33)</f>
        <v/>
      </c>
      <c r="D38" s="87">
        <f>SUM(D30:D33)</f>
        <v/>
      </c>
      <c r="E38" s="87">
        <f>SUM(E30:E33)</f>
        <v/>
      </c>
      <c r="F38" s="87">
        <f>SUM(F30:F33)</f>
        <v/>
      </c>
      <c r="G38" s="87">
        <f>SUM(G30:G33)</f>
        <v/>
      </c>
      <c r="H38" s="87">
        <f>SUM(H30:H33)</f>
        <v/>
      </c>
      <c r="I38" s="87">
        <f>SUM(I30:I33)</f>
        <v/>
      </c>
      <c r="J38" s="87">
        <f>SUM(J30:J33)</f>
        <v/>
      </c>
      <c r="K38" s="87">
        <f>SUM(K30:K33)</f>
        <v/>
      </c>
      <c r="L38" s="87">
        <f>SUM(L30:L33)</f>
        <v/>
      </c>
      <c r="M38" s="87">
        <f>SUM(M30:M33)</f>
        <v/>
      </c>
      <c r="N38" s="87">
        <f>SUM(N30:N33)</f>
        <v/>
      </c>
      <c r="O38" s="87">
        <f>SUM(O30:O33)</f>
        <v/>
      </c>
      <c r="P38" s="87">
        <f>SUM(P30:P33)</f>
        <v/>
      </c>
      <c r="Q38" s="87">
        <f>SUM(Q30:Q33)</f>
        <v/>
      </c>
      <c r="R38" s="87">
        <f>SUM(R30:R33)</f>
        <v/>
      </c>
      <c r="S38" s="87">
        <f>SUM(S30:S33)</f>
        <v/>
      </c>
      <c r="T38" s="87">
        <f>SUM(T30:T33)</f>
        <v/>
      </c>
      <c r="U38" s="87">
        <f>SUM(U30:U33)</f>
        <v/>
      </c>
      <c r="V38" s="87">
        <f>SUM(V30:V33)</f>
        <v/>
      </c>
      <c r="W38" s="87">
        <f>SUM(W30:W33)</f>
        <v/>
      </c>
      <c r="X38" s="87">
        <f>SUM(X30:X33)</f>
        <v/>
      </c>
      <c r="Y38" s="87">
        <f>SUM(Y30:Y33)</f>
        <v/>
      </c>
      <c r="Z38" s="87">
        <f>SUM(Z30:Z33)</f>
        <v/>
      </c>
      <c r="AA38" s="87">
        <f>SUM(AA30:AA33)</f>
        <v/>
      </c>
      <c r="AB38" s="87">
        <f>SUM(AB30:AB33)</f>
        <v/>
      </c>
      <c r="AC38" s="87">
        <f>SUM(AC30:AC33)</f>
        <v/>
      </c>
      <c r="AD38" s="87">
        <f>SUM(AD30:AD33)</f>
        <v/>
      </c>
      <c r="AE38" s="87">
        <f>SUM(AE30:AE33)</f>
        <v/>
      </c>
      <c r="AF38" s="87">
        <f>SUM(AF30:AF33)</f>
        <v/>
      </c>
      <c r="AG38" s="87">
        <f>SUM(AG30:AG33)</f>
        <v/>
      </c>
      <c r="AH38" s="87">
        <f>SUM(AH30:AH33)</f>
        <v/>
      </c>
      <c r="AI38" s="87">
        <f>SUM(AI30:AI33)</f>
        <v/>
      </c>
      <c r="AJ38" s="87">
        <f>SUM(AJ30:AJ33)</f>
        <v/>
      </c>
      <c r="AK38" s="87">
        <f>SUM(AK30:AK33)</f>
        <v/>
      </c>
      <c r="AL38" s="87">
        <f>SUM(AL30:AL33)</f>
        <v/>
      </c>
      <c r="AM38" s="87">
        <f>SUM(AM30:AM33)</f>
        <v/>
      </c>
      <c r="AN38" s="87">
        <f>SUM(AN30:AN33)</f>
        <v/>
      </c>
      <c r="AO38" s="87">
        <f>SUM(AO30:AO33)</f>
        <v/>
      </c>
      <c r="AP38" s="87">
        <f>SUM(AP30:AP33)</f>
        <v/>
      </c>
      <c r="AQ38" s="87">
        <f>SUM(AQ30:AQ33)</f>
        <v/>
      </c>
      <c r="AR38" s="87">
        <f>SUM(AR30:AR33)</f>
        <v/>
      </c>
      <c r="AS38" s="87">
        <f>SUM(AS30:AS33)</f>
        <v/>
      </c>
      <c r="AT38" s="87">
        <f>SUM(AT30:AT33)</f>
        <v/>
      </c>
      <c r="AU38" s="87">
        <f>SUM(AU30:AU33)</f>
        <v/>
      </c>
      <c r="AV38" s="87">
        <f>SUM(AV30:AV33)</f>
        <v/>
      </c>
      <c r="AW38" s="87">
        <f>SUM(AW30:AW33)</f>
        <v/>
      </c>
      <c r="AX38" s="87">
        <f>SUM(AX30:AX33)</f>
        <v/>
      </c>
      <c r="AY38" s="87">
        <f>SUM(AY30:AY33)</f>
        <v/>
      </c>
      <c r="AZ38" s="87">
        <f>SUM(AZ30:AZ33)</f>
        <v/>
      </c>
      <c r="BA38" s="87">
        <f>SUM(BA30:BA33)</f>
        <v/>
      </c>
      <c r="BB38" s="87">
        <f>SUM(BB30:BB33)</f>
        <v/>
      </c>
      <c r="BC38" s="87">
        <f>SUM(BC30:BC33)</f>
        <v/>
      </c>
      <c r="BD38" s="87">
        <f>SUM(BD30:BD33)</f>
        <v/>
      </c>
      <c r="BE38" s="87">
        <f>SUM(BE30:BE33)</f>
        <v/>
      </c>
      <c r="BF38" s="87">
        <f>SUM(BF30:BF33)</f>
        <v/>
      </c>
      <c r="BG38" s="87">
        <f>SUM(BG30:BG33)</f>
        <v/>
      </c>
      <c r="BH38" s="87">
        <f>SUM(BH30:BH33)</f>
        <v/>
      </c>
      <c r="BI38" s="87">
        <f>SUM(BI30:BI33)</f>
        <v/>
      </c>
      <c r="BJ38" s="87">
        <f>SUM(BJ30:BJ33)</f>
        <v/>
      </c>
      <c r="BK38" s="87">
        <f>SUM(BK30:BK33)</f>
        <v/>
      </c>
      <c r="BL38" s="87">
        <f>SUM(BL30:BL33)</f>
        <v/>
      </c>
      <c r="BM38" s="87">
        <f>SUM(BM30:BM33)</f>
        <v/>
      </c>
    </row>
    <row r="39" ht="15" customHeight="1"/>
    <row r="40" ht="18" customHeight="1">
      <c r="A40" s="532" t="inlineStr">
        <is>
          <t>GASTO DE SACOLAS E ITENS DOADOS 2026 - MENSAIS</t>
        </is>
      </c>
      <c r="B40" s="734" t="n"/>
      <c r="C40" s="734" t="n"/>
      <c r="D40" s="734" t="n"/>
      <c r="E40" s="734" t="n"/>
      <c r="F40" s="734" t="n"/>
      <c r="G40" s="734" t="n"/>
      <c r="H40" s="734" t="n"/>
      <c r="I40" s="734" t="n"/>
      <c r="J40" s="734" t="n"/>
      <c r="K40" s="734" t="n"/>
      <c r="L40" s="734" t="n"/>
      <c r="M40" s="734" t="n"/>
      <c r="N40" s="734" t="n"/>
      <c r="O40" s="734" t="n"/>
      <c r="P40" s="734" t="n"/>
      <c r="Q40" s="734" t="n"/>
      <c r="R40" s="734" t="n"/>
      <c r="S40" s="734" t="n"/>
      <c r="T40" s="734" t="n"/>
      <c r="U40" s="734" t="n"/>
      <c r="V40" s="734" t="n"/>
      <c r="W40" s="734" t="n"/>
      <c r="X40" s="734" t="n"/>
      <c r="Y40" s="734" t="n"/>
      <c r="Z40" s="734" t="n"/>
      <c r="AA40" s="734" t="n"/>
      <c r="AB40" s="734" t="n"/>
      <c r="AC40" s="734" t="n"/>
      <c r="AD40" s="734" t="n"/>
      <c r="AE40" s="734" t="n"/>
      <c r="AF40" s="734" t="n"/>
      <c r="AG40" s="734" t="n"/>
      <c r="AH40" s="734" t="n"/>
      <c r="AI40" s="734" t="n"/>
      <c r="AJ40" s="734" t="n"/>
      <c r="AK40" s="734" t="n"/>
      <c r="AL40" s="734" t="n"/>
      <c r="AM40" s="734" t="n"/>
      <c r="AN40" s="734" t="n"/>
      <c r="AO40" s="734" t="n"/>
      <c r="AP40" s="734" t="n"/>
      <c r="AQ40" s="734" t="n"/>
      <c r="AR40" s="734" t="n"/>
      <c r="AS40" s="734" t="n"/>
      <c r="AT40" s="734" t="n"/>
      <c r="AU40" s="734" t="n"/>
      <c r="AV40" s="734" t="n"/>
      <c r="AW40" s="734" t="n"/>
      <c r="AX40" s="734" t="n"/>
      <c r="AY40" s="734" t="n"/>
      <c r="AZ40" s="734" t="n"/>
      <c r="BA40" s="734" t="n"/>
      <c r="BB40" s="734" t="n"/>
      <c r="BC40" s="734" t="n"/>
      <c r="BD40" s="734" t="n"/>
      <c r="BE40" s="734" t="n"/>
      <c r="BF40" s="734" t="n"/>
      <c r="BG40" s="734" t="n"/>
      <c r="BH40" s="734" t="n"/>
      <c r="BI40" s="734" t="n"/>
      <c r="BJ40" s="734" t="n"/>
      <c r="BK40" s="734" t="n"/>
      <c r="BL40" s="734" t="n"/>
      <c r="BM40" s="734" t="n"/>
    </row>
    <row r="41" ht="18" customHeight="1">
      <c r="A41" s="735" t="inlineStr">
        <is>
          <t>PERUÍBE</t>
        </is>
      </c>
      <c r="B41" s="735" t="inlineStr">
        <is>
          <t>JANEIRO</t>
        </is>
      </c>
      <c r="C41" s="736" t="n"/>
      <c r="D41" s="736" t="n"/>
      <c r="E41" s="736" t="n"/>
      <c r="F41" s="737" t="n"/>
      <c r="G41" s="735" t="inlineStr">
        <is>
          <t>FEVEREIRO</t>
        </is>
      </c>
      <c r="H41" s="736" t="n"/>
      <c r="I41" s="736" t="n"/>
      <c r="J41" s="736" t="n"/>
      <c r="K41" s="737" t="n"/>
      <c r="L41" s="735" t="inlineStr">
        <is>
          <t>MARÇO</t>
        </is>
      </c>
      <c r="M41" s="736" t="n"/>
      <c r="N41" s="736" t="n"/>
      <c r="O41" s="736" t="n"/>
      <c r="P41" s="736" t="n"/>
      <c r="Q41" s="737" t="n"/>
      <c r="R41" s="735" t="inlineStr">
        <is>
          <t>ABRIL</t>
        </is>
      </c>
      <c r="S41" s="736" t="n"/>
      <c r="T41" s="736" t="n"/>
      <c r="U41" s="736" t="n"/>
      <c r="V41" s="737" t="n"/>
      <c r="W41" s="735" t="inlineStr">
        <is>
          <t>MAIO</t>
        </is>
      </c>
      <c r="X41" s="736" t="n"/>
      <c r="Y41" s="736" t="n"/>
      <c r="Z41" s="736" t="n"/>
      <c r="AA41" s="737" t="n"/>
      <c r="AB41" s="735" t="inlineStr">
        <is>
          <t>JUNHO</t>
        </is>
      </c>
      <c r="AC41" s="736" t="n"/>
      <c r="AD41" s="736" t="n"/>
      <c r="AE41" s="736" t="n"/>
      <c r="AF41" s="736" t="n"/>
      <c r="AG41" s="737" t="n"/>
      <c r="AH41" s="735" t="inlineStr">
        <is>
          <t>JULHO</t>
        </is>
      </c>
      <c r="AI41" s="736" t="n"/>
      <c r="AJ41" s="736" t="n"/>
      <c r="AK41" s="736" t="n"/>
      <c r="AL41" s="737" t="n"/>
      <c r="AM41" s="735" t="inlineStr">
        <is>
          <t>AGOSTO</t>
        </is>
      </c>
      <c r="AN41" s="736" t="n"/>
      <c r="AO41" s="736" t="n"/>
      <c r="AP41" s="736" t="n"/>
      <c r="AQ41" s="736" t="n"/>
      <c r="AR41" s="737" t="n"/>
      <c r="AS41" s="735" t="inlineStr">
        <is>
          <t>SETEMBRO</t>
        </is>
      </c>
      <c r="AT41" s="736" t="n"/>
      <c r="AU41" s="736" t="n"/>
      <c r="AV41" s="736" t="n"/>
      <c r="AW41" s="737" t="n"/>
      <c r="AX41" s="735" t="inlineStr">
        <is>
          <t>OUTUBRO</t>
        </is>
      </c>
      <c r="AY41" s="736" t="n"/>
      <c r="AZ41" s="736" t="n"/>
      <c r="BA41" s="736" t="n"/>
      <c r="BB41" s="737" t="n"/>
      <c r="BC41" s="735" t="inlineStr">
        <is>
          <t>NOVEMBRO</t>
        </is>
      </c>
      <c r="BD41" s="736" t="n"/>
      <c r="BE41" s="736" t="n"/>
      <c r="BF41" s="736" t="n"/>
      <c r="BG41" s="736" t="n"/>
      <c r="BH41" s="737" t="n"/>
      <c r="BI41" s="735" t="inlineStr">
        <is>
          <t>DEZEMBRO</t>
        </is>
      </c>
      <c r="BJ41" s="736" t="n"/>
      <c r="BK41" s="736" t="n"/>
      <c r="BL41" s="736" t="n"/>
      <c r="BM41" s="737" t="n"/>
    </row>
    <row r="42" ht="15.75" customHeight="1">
      <c r="A42" s="738" t="n"/>
      <c r="B42" s="78" t="n">
        <v>46027</v>
      </c>
      <c r="C42" s="78" t="n">
        <v>46034</v>
      </c>
      <c r="D42" s="78" t="n">
        <v>46041</v>
      </c>
      <c r="E42" s="78" t="n">
        <v>46048</v>
      </c>
      <c r="F42" s="85" t="inlineStr">
        <is>
          <t>USOU</t>
        </is>
      </c>
      <c r="G42" s="78" t="n">
        <v>46055</v>
      </c>
      <c r="H42" s="78" t="n">
        <v>46062</v>
      </c>
      <c r="I42" s="78" t="n">
        <v>46069</v>
      </c>
      <c r="J42" s="78" t="n">
        <v>46076</v>
      </c>
      <c r="K42" s="85" t="inlineStr">
        <is>
          <t>USOU</t>
        </is>
      </c>
      <c r="L42" s="78" t="n">
        <v>46083</v>
      </c>
      <c r="M42" s="78" t="n">
        <v>46090</v>
      </c>
      <c r="N42" s="78" t="n">
        <v>46097</v>
      </c>
      <c r="O42" s="78" t="n">
        <v>46104</v>
      </c>
      <c r="P42" s="78" t="n">
        <v>46111</v>
      </c>
      <c r="Q42" s="85" t="inlineStr">
        <is>
          <t>USOU</t>
        </is>
      </c>
      <c r="R42" s="78" t="n">
        <v>46118</v>
      </c>
      <c r="S42" s="78" t="n">
        <v>46125</v>
      </c>
      <c r="T42" s="78" t="n">
        <v>46132</v>
      </c>
      <c r="U42" s="78" t="n">
        <v>46139</v>
      </c>
      <c r="V42" s="85" t="inlineStr">
        <is>
          <t>USOU</t>
        </is>
      </c>
      <c r="W42" s="78" t="n">
        <v>46146</v>
      </c>
      <c r="X42" s="78" t="n">
        <v>46153</v>
      </c>
      <c r="Y42" s="78" t="n">
        <v>46160</v>
      </c>
      <c r="Z42" s="78" t="n">
        <v>46167</v>
      </c>
      <c r="AA42" s="85" t="inlineStr">
        <is>
          <t>USOU</t>
        </is>
      </c>
      <c r="AB42" s="78" t="n">
        <v>46174</v>
      </c>
      <c r="AC42" s="78" t="n">
        <v>46181</v>
      </c>
      <c r="AD42" s="78" t="n">
        <v>46188</v>
      </c>
      <c r="AE42" s="78" t="n">
        <v>46195</v>
      </c>
      <c r="AF42" s="78" t="n">
        <v>46202</v>
      </c>
      <c r="AG42" s="85" t="inlineStr">
        <is>
          <t>USOU</t>
        </is>
      </c>
      <c r="AH42" s="78" t="n">
        <v>46209</v>
      </c>
      <c r="AI42" s="78" t="n">
        <v>46216</v>
      </c>
      <c r="AJ42" s="78" t="n">
        <v>46223</v>
      </c>
      <c r="AK42" s="78" t="n">
        <v>46230</v>
      </c>
      <c r="AL42" s="85" t="inlineStr">
        <is>
          <t>USOU</t>
        </is>
      </c>
      <c r="AM42" s="78" t="n">
        <v>46237</v>
      </c>
      <c r="AN42" s="78" t="n">
        <v>46244</v>
      </c>
      <c r="AO42" s="78" t="n">
        <v>46251</v>
      </c>
      <c r="AP42" s="78" t="n">
        <v>46258</v>
      </c>
      <c r="AQ42" s="78" t="n">
        <v>46265</v>
      </c>
      <c r="AR42" s="85" t="inlineStr">
        <is>
          <t>USOU</t>
        </is>
      </c>
      <c r="AS42" s="78" t="n">
        <v>46272</v>
      </c>
      <c r="AT42" s="78" t="n">
        <v>46279</v>
      </c>
      <c r="AU42" s="78" t="n">
        <v>46286</v>
      </c>
      <c r="AV42" s="78" t="n">
        <v>46293</v>
      </c>
      <c r="AW42" s="85" t="inlineStr">
        <is>
          <t>USOU</t>
        </is>
      </c>
      <c r="AX42" s="78" t="n">
        <v>46300</v>
      </c>
      <c r="AY42" s="78" t="n">
        <v>46307</v>
      </c>
      <c r="AZ42" s="78" t="n">
        <v>46314</v>
      </c>
      <c r="BA42" s="78" t="n">
        <v>46321</v>
      </c>
      <c r="BB42" s="85" t="inlineStr">
        <is>
          <t>USOU</t>
        </is>
      </c>
      <c r="BC42" s="78" t="n">
        <v>46328</v>
      </c>
      <c r="BD42" s="78" t="n">
        <v>46335</v>
      </c>
      <c r="BE42" s="78" t="n">
        <v>46342</v>
      </c>
      <c r="BF42" s="78" t="n">
        <v>46349</v>
      </c>
      <c r="BG42" s="78" t="n">
        <v>46356</v>
      </c>
      <c r="BH42" s="85" t="inlineStr">
        <is>
          <t>USOU</t>
        </is>
      </c>
      <c r="BI42" s="78" t="n">
        <v>46363</v>
      </c>
      <c r="BJ42" s="78" t="n">
        <v>46370</v>
      </c>
      <c r="BK42" s="78" t="n">
        <v>46377</v>
      </c>
      <c r="BL42" s="78" t="n">
        <v>46384</v>
      </c>
      <c r="BM42" s="85" t="inlineStr">
        <is>
          <t>USOU</t>
        </is>
      </c>
    </row>
    <row r="43" ht="15.75" customHeight="1">
      <c r="A43" s="82" t="inlineStr">
        <is>
          <t>SACOLA PP VERDE</t>
        </is>
      </c>
      <c r="B43" s="80" t="n">
        <v>450</v>
      </c>
      <c r="C43" s="80" t="n">
        <v>0</v>
      </c>
      <c r="D43" s="80" t="n">
        <v>0</v>
      </c>
      <c r="E43" s="80" t="n">
        <v>0</v>
      </c>
      <c r="F43" s="81">
        <f>B43+C43+D43+E43</f>
        <v/>
      </c>
      <c r="G43" s="80" t="n">
        <v>10</v>
      </c>
      <c r="H43" s="80" t="n">
        <v>40</v>
      </c>
      <c r="I43" s="80" t="n">
        <v>200</v>
      </c>
      <c r="J43" s="80" t="n">
        <v>60</v>
      </c>
      <c r="K43" s="81">
        <f>G43+H43+I43+J43</f>
        <v/>
      </c>
      <c r="L43" s="80" t="n">
        <v>40</v>
      </c>
      <c r="M43" s="80" t="n">
        <v>250</v>
      </c>
      <c r="N43" s="80" t="n">
        <v>110</v>
      </c>
      <c r="O43" s="80" t="n">
        <v>80</v>
      </c>
      <c r="P43" s="80" t="n">
        <v>120</v>
      </c>
      <c r="Q43" s="81">
        <f>L43+M43+N43+O43+P43</f>
        <v/>
      </c>
      <c r="R43" s="80" t="n"/>
      <c r="S43" s="80" t="n"/>
      <c r="T43" s="80" t="n"/>
      <c r="U43" s="80" t="n"/>
      <c r="V43" s="81">
        <f>R43+S43+T43+U43</f>
        <v/>
      </c>
      <c r="W43" s="80" t="n">
        <v>140</v>
      </c>
      <c r="X43" s="80" t="n">
        <v>300</v>
      </c>
      <c r="Y43" s="80" t="n"/>
      <c r="Z43" s="80" t="n"/>
      <c r="AA43" s="81">
        <f>W43+X43+Y43+Z43</f>
        <v/>
      </c>
      <c r="AB43" s="80" t="n"/>
      <c r="AC43" s="80" t="n"/>
      <c r="AD43" s="80" t="n"/>
      <c r="AE43" s="80" t="n"/>
      <c r="AF43" s="80" t="n"/>
      <c r="AG43" s="81">
        <f>AB43+AC43+AD43+AE43+AF43</f>
        <v/>
      </c>
      <c r="AH43" s="80" t="n"/>
      <c r="AI43" s="80" t="n"/>
      <c r="AJ43" s="80" t="n"/>
      <c r="AK43" s="80" t="n"/>
      <c r="AL43" s="81">
        <f>AH43+AI43+AJ43+AK43</f>
        <v/>
      </c>
      <c r="AM43" s="80" t="n"/>
      <c r="AN43" s="80" t="n"/>
      <c r="AO43" s="80" t="n"/>
      <c r="AP43" s="80" t="n"/>
      <c r="AQ43" s="80" t="n"/>
      <c r="AR43" s="81">
        <f>AM43+AN43+AO43+AP43+AQ43</f>
        <v/>
      </c>
      <c r="AS43" s="80" t="n"/>
      <c r="AT43" s="80" t="n"/>
      <c r="AU43" s="80" t="n"/>
      <c r="AV43" s="80" t="n"/>
      <c r="AW43" s="81">
        <f>AS43+AT43+AU43+AV43</f>
        <v/>
      </c>
      <c r="AX43" s="80" t="n"/>
      <c r="AY43" s="80" t="n"/>
      <c r="AZ43" s="80" t="n"/>
      <c r="BA43" s="80" t="n"/>
      <c r="BB43" s="81">
        <f>AX43+AY43+AZ43+BA43</f>
        <v/>
      </c>
      <c r="BC43" s="80" t="n"/>
      <c r="BD43" s="80" t="n"/>
      <c r="BE43" s="80" t="n"/>
      <c r="BF43" s="80" t="n"/>
      <c r="BG43" s="80" t="n"/>
      <c r="BH43" s="81">
        <f>BC43+BD43+BE43+BF43+BG43</f>
        <v/>
      </c>
      <c r="BI43" s="80" t="n"/>
      <c r="BJ43" s="80" t="n"/>
      <c r="BK43" s="80" t="n"/>
      <c r="BL43" s="80" t="n"/>
      <c r="BM43" s="81">
        <f>BI43+BJ43+BK43+BL43</f>
        <v/>
      </c>
    </row>
    <row r="44" ht="15.75" customHeight="1">
      <c r="A44" s="82" t="inlineStr">
        <is>
          <t>SACOLA P VERDE</t>
        </is>
      </c>
      <c r="B44" s="80" t="n">
        <v>0</v>
      </c>
      <c r="C44" s="80" t="n">
        <v>600</v>
      </c>
      <c r="D44" s="80" t="n">
        <v>0</v>
      </c>
      <c r="E44" s="80" t="n">
        <v>520</v>
      </c>
      <c r="F44" s="81">
        <f>B44+C44+D44+E44</f>
        <v/>
      </c>
      <c r="G44" s="80" t="n">
        <v>105</v>
      </c>
      <c r="H44" s="80" t="n">
        <v>175</v>
      </c>
      <c r="I44" s="80" t="n">
        <v>500</v>
      </c>
      <c r="J44" s="80" t="n">
        <v>200</v>
      </c>
      <c r="K44" s="81">
        <f>G44+H44+I44+J44</f>
        <v/>
      </c>
      <c r="L44" s="80" t="n">
        <v>220</v>
      </c>
      <c r="M44" s="80" t="n">
        <v>280</v>
      </c>
      <c r="N44" s="80" t="n">
        <v>400</v>
      </c>
      <c r="O44" s="80" t="n">
        <v>200</v>
      </c>
      <c r="P44" s="80" t="n">
        <v>400</v>
      </c>
      <c r="Q44" s="81">
        <f>L44+M44+N44+O44+P44</f>
        <v/>
      </c>
      <c r="R44" s="80" t="n"/>
      <c r="S44" s="80" t="n"/>
      <c r="T44" s="80" t="n"/>
      <c r="U44" s="80" t="n"/>
      <c r="V44" s="81">
        <f>R44+S44+T44+U44</f>
        <v/>
      </c>
      <c r="W44" s="80" t="n">
        <v>50</v>
      </c>
      <c r="X44" s="80" t="n">
        <v>225</v>
      </c>
      <c r="Y44" s="80" t="n"/>
      <c r="Z44" s="80" t="n"/>
      <c r="AA44" s="81">
        <f>W44+X44+Y44+Z44</f>
        <v/>
      </c>
      <c r="AB44" s="80" t="n"/>
      <c r="AC44" s="80" t="n"/>
      <c r="AD44" s="80" t="n"/>
      <c r="AE44" s="80" t="n"/>
      <c r="AF44" s="80" t="n"/>
      <c r="AG44" s="81">
        <f>AB44+AC44+AD44+AE44+AF44</f>
        <v/>
      </c>
      <c r="AH44" s="80" t="n"/>
      <c r="AI44" s="80" t="n"/>
      <c r="AJ44" s="80" t="n"/>
      <c r="AK44" s="80" t="n"/>
      <c r="AL44" s="81">
        <f>AH44+AI44+AJ44+AK44</f>
        <v/>
      </c>
      <c r="AM44" s="80" t="n"/>
      <c r="AN44" s="80" t="n"/>
      <c r="AO44" s="80" t="n"/>
      <c r="AP44" s="80" t="n"/>
      <c r="AQ44" s="80" t="n"/>
      <c r="AR44" s="81">
        <f>AM44+AN44+AO44+AP44+AQ44</f>
        <v/>
      </c>
      <c r="AS44" s="80" t="n"/>
      <c r="AT44" s="80" t="n"/>
      <c r="AU44" s="80" t="n"/>
      <c r="AV44" s="80" t="n"/>
      <c r="AW44" s="81">
        <f>AS44+AT44+AU44+AV44</f>
        <v/>
      </c>
      <c r="AX44" s="80" t="n"/>
      <c r="AY44" s="80" t="n"/>
      <c r="AZ44" s="80" t="n"/>
      <c r="BA44" s="80" t="n"/>
      <c r="BB44" s="81">
        <f>AX44+AY44+AZ44+BA44</f>
        <v/>
      </c>
      <c r="BC44" s="80" t="n"/>
      <c r="BD44" s="80" t="n"/>
      <c r="BE44" s="80" t="n"/>
      <c r="BF44" s="80" t="n"/>
      <c r="BG44" s="80" t="n"/>
      <c r="BH44" s="81">
        <f>BC44+BD44+BE44+BF44+BG44</f>
        <v/>
      </c>
      <c r="BI44" s="80" t="n"/>
      <c r="BJ44" s="80" t="n"/>
      <c r="BK44" s="80" t="n"/>
      <c r="BL44" s="80" t="n"/>
      <c r="BM44" s="81">
        <f>BI44+BJ44+BK44+BL44</f>
        <v/>
      </c>
    </row>
    <row r="45" ht="15.75" customHeight="1">
      <c r="A45" s="82" t="inlineStr">
        <is>
          <t>SACOLA M VERDE</t>
        </is>
      </c>
      <c r="B45" s="80" t="n">
        <v>410</v>
      </c>
      <c r="C45" s="80" t="n">
        <v>190</v>
      </c>
      <c r="D45" s="80" t="n">
        <v>125</v>
      </c>
      <c r="E45" s="80" t="n">
        <v>200</v>
      </c>
      <c r="F45" s="81">
        <f>B45+C45+D45+E45</f>
        <v/>
      </c>
      <c r="G45" s="80" t="n">
        <v>55</v>
      </c>
      <c r="H45" s="80" t="n">
        <v>120</v>
      </c>
      <c r="I45" s="80" t="n">
        <v>150</v>
      </c>
      <c r="J45" s="80" t="n">
        <v>100</v>
      </c>
      <c r="K45" s="81">
        <f>G45+H45+I45+J45</f>
        <v/>
      </c>
      <c r="L45" s="80" t="n">
        <v>150</v>
      </c>
      <c r="M45" s="80" t="n">
        <v>200</v>
      </c>
      <c r="N45" s="80" t="n">
        <v>225</v>
      </c>
      <c r="O45" s="80" t="n">
        <v>75</v>
      </c>
      <c r="P45" s="80" t="n">
        <v>275</v>
      </c>
      <c r="Q45" s="81">
        <f>L45+M45+N45+O45+P45</f>
        <v/>
      </c>
      <c r="R45" s="80" t="n"/>
      <c r="S45" s="80" t="n"/>
      <c r="T45" s="80" t="n"/>
      <c r="U45" s="80" t="n"/>
      <c r="V45" s="81">
        <f>R45+S45+T45+U45</f>
        <v/>
      </c>
      <c r="W45" s="80" t="n">
        <v>0</v>
      </c>
      <c r="X45" s="80" t="n">
        <v>55</v>
      </c>
      <c r="Y45" s="80" t="n"/>
      <c r="Z45" s="80" t="n"/>
      <c r="AA45" s="81">
        <f>W45+X45+Y45+Z45</f>
        <v/>
      </c>
      <c r="AB45" s="80" t="n"/>
      <c r="AC45" s="80" t="n"/>
      <c r="AD45" s="80" t="n"/>
      <c r="AE45" s="80" t="n"/>
      <c r="AF45" s="80" t="n"/>
      <c r="AG45" s="81">
        <f>AB45+AC45+AD45+AE45+AF45</f>
        <v/>
      </c>
      <c r="AH45" s="80" t="n"/>
      <c r="AI45" s="80" t="n"/>
      <c r="AJ45" s="80" t="n"/>
      <c r="AK45" s="80" t="n"/>
      <c r="AL45" s="81">
        <f>AH45+AI45+AJ45+AK45</f>
        <v/>
      </c>
      <c r="AM45" s="80" t="n"/>
      <c r="AN45" s="80" t="n"/>
      <c r="AO45" s="80" t="n"/>
      <c r="AP45" s="80" t="n"/>
      <c r="AQ45" s="80" t="n"/>
      <c r="AR45" s="81">
        <f>AM45+AN45+AO45+AP45+AQ45</f>
        <v/>
      </c>
      <c r="AS45" s="80" t="n"/>
      <c r="AT45" s="80" t="n"/>
      <c r="AU45" s="80" t="n"/>
      <c r="AV45" s="80" t="n"/>
      <c r="AW45" s="81">
        <f>AS45+AT45+AU45+AV45</f>
        <v/>
      </c>
      <c r="AX45" s="80" t="n"/>
      <c r="AY45" s="80" t="n"/>
      <c r="AZ45" s="80" t="n"/>
      <c r="BA45" s="80" t="n"/>
      <c r="BB45" s="81">
        <f>AX45+AY45+AZ45+BA45</f>
        <v/>
      </c>
      <c r="BC45" s="80" t="n"/>
      <c r="BD45" s="80" t="n"/>
      <c r="BE45" s="80" t="n"/>
      <c r="BF45" s="80" t="n"/>
      <c r="BG45" s="80" t="n"/>
      <c r="BH45" s="81">
        <f>BC45+BD45+BE45+BF45+BG45</f>
        <v/>
      </c>
      <c r="BI45" s="80" t="n"/>
      <c r="BJ45" s="80" t="n"/>
      <c r="BK45" s="80" t="n"/>
      <c r="BL45" s="80" t="n"/>
      <c r="BM45" s="81">
        <f>BI45+BJ45+BK45+BL45</f>
        <v/>
      </c>
    </row>
    <row r="46" ht="15.75" customHeight="1">
      <c r="A46" s="83" t="inlineStr">
        <is>
          <t>SACOLA G VERDE</t>
        </is>
      </c>
      <c r="B46" s="80" t="n">
        <v>50</v>
      </c>
      <c r="C46" s="80" t="n">
        <v>0</v>
      </c>
      <c r="D46" s="80" t="n">
        <v>50</v>
      </c>
      <c r="E46" s="80" t="n">
        <v>0</v>
      </c>
      <c r="F46" s="81">
        <f>B46+C46+D46+E46</f>
        <v/>
      </c>
      <c r="G46" s="80" t="n">
        <v>0</v>
      </c>
      <c r="H46" s="80" t="n">
        <v>0</v>
      </c>
      <c r="I46" s="80" t="n">
        <v>0</v>
      </c>
      <c r="J46" s="80" t="n">
        <v>0</v>
      </c>
      <c r="K46" s="81">
        <f>G46+H46+I46+J46</f>
        <v/>
      </c>
      <c r="L46" s="80" t="n">
        <v>20</v>
      </c>
      <c r="M46" s="80" t="n">
        <v>30</v>
      </c>
      <c r="N46" s="80" t="n">
        <v>50</v>
      </c>
      <c r="O46" s="80" t="n">
        <v>0</v>
      </c>
      <c r="P46" s="80" t="n">
        <v>0</v>
      </c>
      <c r="Q46" s="81">
        <f>L46+M46+N46+O46+P46</f>
        <v/>
      </c>
      <c r="R46" s="80" t="n"/>
      <c r="S46" s="80" t="n"/>
      <c r="T46" s="80" t="n"/>
      <c r="U46" s="80" t="n"/>
      <c r="V46" s="81">
        <f>R46+S46+T46+U46</f>
        <v/>
      </c>
      <c r="W46" s="80" t="n">
        <v>50</v>
      </c>
      <c r="X46" s="80" t="n">
        <v>0</v>
      </c>
      <c r="Y46" s="80" t="n"/>
      <c r="Z46" s="80" t="n"/>
      <c r="AA46" s="81">
        <f>W46+X46+Y46+Z46</f>
        <v/>
      </c>
      <c r="AB46" s="80" t="n"/>
      <c r="AC46" s="80" t="n"/>
      <c r="AD46" s="80" t="n"/>
      <c r="AE46" s="80" t="n"/>
      <c r="AF46" s="80" t="n"/>
      <c r="AG46" s="81">
        <f>AB46+AC46+AD46+AE46+AF46</f>
        <v/>
      </c>
      <c r="AH46" s="80" t="n"/>
      <c r="AI46" s="80" t="n"/>
      <c r="AJ46" s="80" t="n"/>
      <c r="AK46" s="80" t="n"/>
      <c r="AL46" s="81">
        <f>AH46+AI46+AJ46+AK46</f>
        <v/>
      </c>
      <c r="AM46" s="80" t="n"/>
      <c r="AN46" s="80" t="n"/>
      <c r="AO46" s="80" t="n"/>
      <c r="AP46" s="80" t="n"/>
      <c r="AQ46" s="80" t="n"/>
      <c r="AR46" s="81">
        <f>AM46+AN46+AO46+AP46+AQ46</f>
        <v/>
      </c>
      <c r="AS46" s="80" t="n"/>
      <c r="AT46" s="80" t="n"/>
      <c r="AU46" s="80" t="n"/>
      <c r="AV46" s="80" t="n"/>
      <c r="AW46" s="81">
        <f>AS46+AT46+AU46+AV46</f>
        <v/>
      </c>
      <c r="AX46" s="80" t="n"/>
      <c r="AY46" s="80" t="n"/>
      <c r="AZ46" s="80" t="n"/>
      <c r="BA46" s="80" t="n"/>
      <c r="BB46" s="81">
        <f>AX46+AY46+AZ46+BA46</f>
        <v/>
      </c>
      <c r="BC46" s="80" t="n"/>
      <c r="BD46" s="80" t="n"/>
      <c r="BE46" s="80" t="n"/>
      <c r="BF46" s="80" t="n"/>
      <c r="BG46" s="80" t="n"/>
      <c r="BH46" s="81">
        <f>BC46+BD46+BE46+BF46+BG46</f>
        <v/>
      </c>
      <c r="BI46" s="80" t="n"/>
      <c r="BJ46" s="80" t="n"/>
      <c r="BK46" s="80" t="n"/>
      <c r="BL46" s="80" t="n"/>
      <c r="BM46" s="81">
        <f>BI46+BJ46+BK46+BL46</f>
        <v/>
      </c>
    </row>
    <row r="47" ht="15.75" customHeight="1">
      <c r="A47" s="84" t="inlineStr">
        <is>
          <t xml:space="preserve">PAPEL DE SEDA </t>
        </is>
      </c>
      <c r="B47" s="80" t="n">
        <v>2</v>
      </c>
      <c r="C47" s="80" t="n">
        <v>2</v>
      </c>
      <c r="D47" s="80" t="n">
        <v>1</v>
      </c>
      <c r="E47" s="80" t="n">
        <v>1</v>
      </c>
      <c r="F47" s="81">
        <f>B47+C47+D47+E47</f>
        <v/>
      </c>
      <c r="G47" s="80" t="n">
        <v>1</v>
      </c>
      <c r="H47" s="80" t="n">
        <v>2</v>
      </c>
      <c r="I47" s="80" t="n">
        <v>0</v>
      </c>
      <c r="J47" s="80" t="n">
        <v>1</v>
      </c>
      <c r="K47" s="81">
        <f>G47+H47+I47+J47</f>
        <v/>
      </c>
      <c r="L47" s="80" t="n">
        <v>2</v>
      </c>
      <c r="M47" s="80" t="n">
        <v>2</v>
      </c>
      <c r="N47" s="80" t="n">
        <v>2</v>
      </c>
      <c r="O47" s="80" t="n">
        <v>2</v>
      </c>
      <c r="P47" s="80" t="n">
        <v>1</v>
      </c>
      <c r="Q47" s="81">
        <f>L47+M47+N47+O47+P47</f>
        <v/>
      </c>
      <c r="R47" s="80" t="n"/>
      <c r="S47" s="80" t="n"/>
      <c r="T47" s="80" t="n"/>
      <c r="U47" s="80" t="n"/>
      <c r="V47" s="81">
        <f>R47+S47+T47+U47</f>
        <v/>
      </c>
      <c r="W47" s="80" t="n">
        <v>0</v>
      </c>
      <c r="X47" s="80" t="n">
        <v>0</v>
      </c>
      <c r="Y47" s="80" t="n"/>
      <c r="Z47" s="80" t="n"/>
      <c r="AA47" s="81">
        <f>W47+X47+Y47+Z47</f>
        <v/>
      </c>
      <c r="AB47" s="80" t="n"/>
      <c r="AC47" s="80" t="n"/>
      <c r="AD47" s="80" t="n"/>
      <c r="AE47" s="80" t="n"/>
      <c r="AF47" s="80" t="n"/>
      <c r="AG47" s="81">
        <f>AB47+AC47+AD47+AE47+AF47</f>
        <v/>
      </c>
      <c r="AH47" s="80" t="n"/>
      <c r="AI47" s="80" t="n"/>
      <c r="AJ47" s="80" t="n"/>
      <c r="AK47" s="80" t="n"/>
      <c r="AL47" s="81">
        <f>AH47+AI47+AJ47+AK47</f>
        <v/>
      </c>
      <c r="AM47" s="80" t="n"/>
      <c r="AN47" s="80" t="n"/>
      <c r="AO47" s="80" t="n"/>
      <c r="AP47" s="80" t="n"/>
      <c r="AQ47" s="80" t="n"/>
      <c r="AR47" s="81">
        <f>AM47+AN47+AO47+AP47+AQ47</f>
        <v/>
      </c>
      <c r="AS47" s="80" t="n"/>
      <c r="AT47" s="80" t="n"/>
      <c r="AU47" s="80" t="n"/>
      <c r="AV47" s="80" t="n"/>
      <c r="AW47" s="81">
        <f>AS47+AT47+AU47+AV47</f>
        <v/>
      </c>
      <c r="AX47" s="80" t="n"/>
      <c r="AY47" s="80" t="n"/>
      <c r="AZ47" s="80" t="n"/>
      <c r="BA47" s="80" t="n"/>
      <c r="BB47" s="81">
        <f>AX47+AY47+AZ47+BA47</f>
        <v/>
      </c>
      <c r="BC47" s="80" t="n"/>
      <c r="BD47" s="80" t="n"/>
      <c r="BE47" s="80" t="n"/>
      <c r="BF47" s="80" t="n"/>
      <c r="BG47" s="80" t="n"/>
      <c r="BH47" s="81">
        <f>BC47+BD47+BE47+BF47+BG47</f>
        <v/>
      </c>
      <c r="BI47" s="80" t="n"/>
      <c r="BJ47" s="80" t="n"/>
      <c r="BK47" s="80" t="n"/>
      <c r="BL47" s="80" t="n"/>
      <c r="BM47" s="81">
        <f>BI47+BJ47+BK47+BL47</f>
        <v/>
      </c>
    </row>
    <row r="48" ht="15.75" customHeight="1">
      <c r="A48" s="84" t="inlineStr">
        <is>
          <t>ETIQUETAS</t>
        </is>
      </c>
      <c r="B48" s="80" t="n">
        <v>0</v>
      </c>
      <c r="C48" s="80" t="n">
        <v>0</v>
      </c>
      <c r="D48" s="80" t="n">
        <v>0</v>
      </c>
      <c r="E48" s="80" t="n">
        <v>0</v>
      </c>
      <c r="F48" s="81">
        <f>B48+C48+D48+E48</f>
        <v/>
      </c>
      <c r="G48" s="80" t="n">
        <v>0</v>
      </c>
      <c r="H48" s="80" t="n">
        <v>0</v>
      </c>
      <c r="I48" s="80" t="n">
        <v>0</v>
      </c>
      <c r="J48" s="80" t="n">
        <v>0</v>
      </c>
      <c r="K48" s="81">
        <f>G48+H48+I48+J48</f>
        <v/>
      </c>
      <c r="L48" s="80" t="n">
        <v>0</v>
      </c>
      <c r="M48" s="80" t="n">
        <v>1</v>
      </c>
      <c r="N48" s="80" t="n">
        <v>0</v>
      </c>
      <c r="O48" s="80" t="n">
        <v>1</v>
      </c>
      <c r="P48" s="80" t="n">
        <v>0</v>
      </c>
      <c r="Q48" s="81">
        <f>L48+M48+N48+O48+P48</f>
        <v/>
      </c>
      <c r="R48" s="80" t="n"/>
      <c r="S48" s="80" t="n"/>
      <c r="T48" s="80" t="n"/>
      <c r="U48" s="80" t="n"/>
      <c r="V48" s="81">
        <f>R48+S48+T48+U48</f>
        <v/>
      </c>
      <c r="W48" s="80" t="n">
        <v>0</v>
      </c>
      <c r="X48" s="80" t="n">
        <v>1</v>
      </c>
      <c r="Y48" s="80" t="n"/>
      <c r="Z48" s="80" t="n"/>
      <c r="AA48" s="81">
        <f>W48+X48+Y48+Z48</f>
        <v/>
      </c>
      <c r="AB48" s="80" t="n"/>
      <c r="AC48" s="80" t="n"/>
      <c r="AD48" s="80" t="n"/>
      <c r="AE48" s="80" t="n"/>
      <c r="AF48" s="80" t="n"/>
      <c r="AG48" s="81">
        <f>AB48+AC48+AD48+AE48+AF48</f>
        <v/>
      </c>
      <c r="AH48" s="80" t="n"/>
      <c r="AI48" s="80" t="n"/>
      <c r="AJ48" s="80" t="n"/>
      <c r="AK48" s="80" t="n"/>
      <c r="AL48" s="81">
        <f>AH48+AI48+AJ48+AK48</f>
        <v/>
      </c>
      <c r="AM48" s="80" t="n"/>
      <c r="AN48" s="80" t="n"/>
      <c r="AO48" s="80" t="n"/>
      <c r="AP48" s="80" t="n"/>
      <c r="AQ48" s="80" t="n"/>
      <c r="AR48" s="81">
        <f>AM48+AN48+AO48+AP48+AQ48</f>
        <v/>
      </c>
      <c r="AS48" s="80" t="n"/>
      <c r="AT48" s="80" t="n"/>
      <c r="AU48" s="80" t="n"/>
      <c r="AV48" s="80" t="n"/>
      <c r="AW48" s="81">
        <f>AS48+AT48+AU48+AV48</f>
        <v/>
      </c>
      <c r="AX48" s="80" t="n"/>
      <c r="AY48" s="80" t="n"/>
      <c r="AZ48" s="80" t="n"/>
      <c r="BA48" s="80" t="n"/>
      <c r="BB48" s="81">
        <f>AX48+AY48+AZ48+BA48</f>
        <v/>
      </c>
      <c r="BC48" s="80" t="n"/>
      <c r="BD48" s="80" t="n"/>
      <c r="BE48" s="80" t="n"/>
      <c r="BF48" s="80" t="n"/>
      <c r="BG48" s="80" t="n"/>
      <c r="BH48" s="81">
        <f>BC48+BD48+BE48+BF48+BG48</f>
        <v/>
      </c>
      <c r="BI48" s="80" t="n"/>
      <c r="BJ48" s="80" t="n"/>
      <c r="BK48" s="80" t="n"/>
      <c r="BL48" s="80" t="n"/>
      <c r="BM48" s="81">
        <f>BI48+BJ48+BK48+BL48</f>
        <v/>
      </c>
    </row>
    <row r="49" ht="15.75" customHeight="1">
      <c r="A49" s="84" t="inlineStr">
        <is>
          <t xml:space="preserve">TAGS </t>
        </is>
      </c>
      <c r="B49" s="80" t="n">
        <v>1</v>
      </c>
      <c r="C49" s="80" t="n">
        <v>1</v>
      </c>
      <c r="D49" s="80" t="n">
        <v>0</v>
      </c>
      <c r="E49" s="80" t="n">
        <v>1</v>
      </c>
      <c r="F49" s="81">
        <f>B49+C49+D49+E49</f>
        <v/>
      </c>
      <c r="G49" s="80" t="n">
        <v>0</v>
      </c>
      <c r="H49" s="80" t="n">
        <v>2</v>
      </c>
      <c r="I49" s="80" t="n">
        <v>0</v>
      </c>
      <c r="J49" s="80" t="n">
        <v>0</v>
      </c>
      <c r="K49" s="81">
        <f>G49+H49+I49+J49</f>
        <v/>
      </c>
      <c r="L49" s="80" t="n">
        <v>1</v>
      </c>
      <c r="M49" s="80" t="n">
        <v>1</v>
      </c>
      <c r="N49" s="80" t="n">
        <v>1</v>
      </c>
      <c r="O49" s="80" t="n">
        <v>0</v>
      </c>
      <c r="P49" s="80" t="n">
        <v>0</v>
      </c>
      <c r="Q49" s="81">
        <f>L49+M49+N49+O49+P49</f>
        <v/>
      </c>
      <c r="R49" s="80" t="n"/>
      <c r="S49" s="80" t="n"/>
      <c r="T49" s="80" t="n"/>
      <c r="U49" s="80" t="n"/>
      <c r="V49" s="81">
        <f>R49+S49+T49+U49</f>
        <v/>
      </c>
      <c r="W49" s="80" t="n">
        <v>1</v>
      </c>
      <c r="X49" s="80" t="n">
        <v>1</v>
      </c>
      <c r="Y49" s="80" t="n"/>
      <c r="Z49" s="80" t="n"/>
      <c r="AA49" s="81">
        <f>W49+X49+Y49+Z49</f>
        <v/>
      </c>
      <c r="AB49" s="80" t="n"/>
      <c r="AC49" s="80" t="n"/>
      <c r="AD49" s="80" t="n"/>
      <c r="AE49" s="80" t="n"/>
      <c r="AF49" s="80" t="n"/>
      <c r="AG49" s="81">
        <f>AB49+AC49+AD49+AE49+AF49</f>
        <v/>
      </c>
      <c r="AH49" s="80" t="n"/>
      <c r="AI49" s="80" t="n"/>
      <c r="AJ49" s="80" t="n"/>
      <c r="AK49" s="80" t="n"/>
      <c r="AL49" s="81">
        <f>AH49+AI49+AJ49+AK49</f>
        <v/>
      </c>
      <c r="AM49" s="80" t="n"/>
      <c r="AN49" s="80" t="n"/>
      <c r="AO49" s="80" t="n"/>
      <c r="AP49" s="80" t="n"/>
      <c r="AQ49" s="80" t="n"/>
      <c r="AR49" s="81">
        <f>AM49+AN49+AO49+AP49+AQ49</f>
        <v/>
      </c>
      <c r="AS49" s="80" t="n"/>
      <c r="AT49" s="80" t="n"/>
      <c r="AU49" s="80" t="n"/>
      <c r="AV49" s="80" t="n"/>
      <c r="AW49" s="81">
        <f>AS49+AT49+AU49+AV49</f>
        <v/>
      </c>
      <c r="AX49" s="80" t="n"/>
      <c r="AY49" s="80" t="n"/>
      <c r="AZ49" s="80" t="n"/>
      <c r="BA49" s="80" t="n"/>
      <c r="BB49" s="81">
        <f>AX49+AY49+AZ49+BA49</f>
        <v/>
      </c>
      <c r="BC49" s="80" t="n"/>
      <c r="BD49" s="80" t="n"/>
      <c r="BE49" s="80" t="n"/>
      <c r="BF49" s="80" t="n"/>
      <c r="BG49" s="80" t="n"/>
      <c r="BH49" s="81">
        <f>BC49+BD49+BE49+BF49+BG49</f>
        <v/>
      </c>
      <c r="BI49" s="80" t="n"/>
      <c r="BJ49" s="80" t="n"/>
      <c r="BK49" s="80" t="n"/>
      <c r="BL49" s="80" t="n"/>
      <c r="BM49" s="81">
        <f>BI49+BJ49+BK49+BL49</f>
        <v/>
      </c>
    </row>
    <row r="50" ht="15.75" customHeight="1">
      <c r="A50" s="84" t="inlineStr">
        <is>
          <t>LÂMINA OLFATIVA</t>
        </is>
      </c>
      <c r="B50" s="80" t="n">
        <v>1</v>
      </c>
      <c r="C50" s="80" t="n">
        <v>1</v>
      </c>
      <c r="D50" s="80" t="n">
        <v>1</v>
      </c>
      <c r="E50" s="80" t="n">
        <v>1</v>
      </c>
      <c r="F50" s="81">
        <f>B50+C50+D50+E50</f>
        <v/>
      </c>
      <c r="G50" s="80" t="n">
        <v>1</v>
      </c>
      <c r="H50" s="80" t="n">
        <v>1</v>
      </c>
      <c r="I50" s="80" t="n">
        <v>0</v>
      </c>
      <c r="J50" s="80" t="n">
        <v>1</v>
      </c>
      <c r="K50" s="81">
        <f>G50+H50+I50+J50</f>
        <v/>
      </c>
      <c r="L50" s="80" t="n">
        <v>1</v>
      </c>
      <c r="M50" s="80" t="n">
        <v>1</v>
      </c>
      <c r="N50" s="80" t="n">
        <v>1</v>
      </c>
      <c r="O50" s="80" t="n">
        <v>1</v>
      </c>
      <c r="P50" s="80" t="n">
        <v>1</v>
      </c>
      <c r="Q50" s="81">
        <f>L50+M50+N50+O50+P50</f>
        <v/>
      </c>
      <c r="R50" s="80" t="n"/>
      <c r="S50" s="80" t="n"/>
      <c r="T50" s="80" t="n"/>
      <c r="U50" s="80" t="n"/>
      <c r="V50" s="81">
        <f>R50+S50+T50+U50</f>
        <v/>
      </c>
      <c r="W50" s="80" t="n">
        <v>1</v>
      </c>
      <c r="X50" s="80" t="n">
        <v>3</v>
      </c>
      <c r="Y50" s="80" t="n"/>
      <c r="Z50" s="80" t="n"/>
      <c r="AA50" s="81">
        <f>W50+X50+Y50+Z50</f>
        <v/>
      </c>
      <c r="AB50" s="80" t="n"/>
      <c r="AC50" s="80" t="n"/>
      <c r="AD50" s="80" t="n"/>
      <c r="AE50" s="80" t="n"/>
      <c r="AF50" s="80" t="n"/>
      <c r="AG50" s="81">
        <f>AB50+AC50+AD50+AE50+AF50</f>
        <v/>
      </c>
      <c r="AH50" s="80" t="n"/>
      <c r="AI50" s="80" t="n"/>
      <c r="AJ50" s="80" t="n"/>
      <c r="AK50" s="80" t="n"/>
      <c r="AL50" s="81">
        <f>AH50+AI50+AJ50+AK50</f>
        <v/>
      </c>
      <c r="AM50" s="80" t="n"/>
      <c r="AN50" s="80" t="n"/>
      <c r="AO50" s="80" t="n"/>
      <c r="AP50" s="80" t="n"/>
      <c r="AQ50" s="80" t="n"/>
      <c r="AR50" s="81">
        <f>AM50+AN50+AO50+AP50+AQ50</f>
        <v/>
      </c>
      <c r="AS50" s="80" t="n"/>
      <c r="AT50" s="80" t="n"/>
      <c r="AU50" s="80" t="n"/>
      <c r="AV50" s="80" t="n"/>
      <c r="AW50" s="81">
        <f>AS50+AT50+AU50+AV50</f>
        <v/>
      </c>
      <c r="AX50" s="80" t="n"/>
      <c r="AY50" s="80" t="n"/>
      <c r="AZ50" s="80" t="n"/>
      <c r="BA50" s="80" t="n"/>
      <c r="BB50" s="81">
        <f>AX50+AY50+AZ50+BA50</f>
        <v/>
      </c>
      <c r="BC50" s="80" t="n"/>
      <c r="BD50" s="80" t="n"/>
      <c r="BE50" s="80" t="n"/>
      <c r="BF50" s="80" t="n"/>
      <c r="BG50" s="80" t="n"/>
      <c r="BH50" s="81">
        <f>BC50+BD50+BE50+BF50+BG50</f>
        <v/>
      </c>
      <c r="BI50" s="80" t="n"/>
      <c r="BJ50" s="80" t="n"/>
      <c r="BK50" s="80" t="n"/>
      <c r="BL50" s="80" t="n"/>
      <c r="BM50" s="81">
        <f>BI50+BJ50+BK50+BL50</f>
        <v/>
      </c>
    </row>
    <row r="51" ht="15.75" customHeight="1">
      <c r="A51" s="86" t="inlineStr">
        <is>
          <t>TOTAL DE SACOLAS</t>
        </is>
      </c>
      <c r="B51" s="87">
        <f>SUM(B43:B46)</f>
        <v/>
      </c>
      <c r="C51" s="87">
        <f>SUM(C43:C46)</f>
        <v/>
      </c>
      <c r="D51" s="87">
        <f>SUM(D43:D46)</f>
        <v/>
      </c>
      <c r="E51" s="87">
        <f>SUM(E43:E46)</f>
        <v/>
      </c>
      <c r="F51" s="87">
        <f>SUM(F43:F46)</f>
        <v/>
      </c>
      <c r="G51" s="87">
        <f>SUM(G43:G46)</f>
        <v/>
      </c>
      <c r="H51" s="87">
        <f>SUM(H43:H46)</f>
        <v/>
      </c>
      <c r="I51" s="87">
        <f>SUM(I43:I46)</f>
        <v/>
      </c>
      <c r="J51" s="87">
        <f>SUM(J43:J46)</f>
        <v/>
      </c>
      <c r="K51" s="87">
        <f>SUM(K43:K46)</f>
        <v/>
      </c>
      <c r="L51" s="87">
        <f>SUM(L43:L46)</f>
        <v/>
      </c>
      <c r="M51" s="87">
        <f>SUM(M43:M46)</f>
        <v/>
      </c>
      <c r="N51" s="87">
        <f>SUM(N43:N46)</f>
        <v/>
      </c>
      <c r="O51" s="87">
        <f>SUM(O43:O46)</f>
        <v/>
      </c>
      <c r="P51" s="87">
        <f>SUM(P43:P46)</f>
        <v/>
      </c>
      <c r="Q51" s="87">
        <f>SUM(Q43:Q46)</f>
        <v/>
      </c>
      <c r="R51" s="87">
        <f>SUM(R43:R46)</f>
        <v/>
      </c>
      <c r="S51" s="87">
        <f>SUM(S43:S46)</f>
        <v/>
      </c>
      <c r="T51" s="87">
        <f>SUM(T43:T46)</f>
        <v/>
      </c>
      <c r="U51" s="87">
        <f>SUM(U43:U46)</f>
        <v/>
      </c>
      <c r="V51" s="87">
        <f>SUM(V43:V46)</f>
        <v/>
      </c>
      <c r="W51" s="87">
        <f>SUM(W43:W46)</f>
        <v/>
      </c>
      <c r="X51" s="87">
        <f>SUM(X43:X46)</f>
        <v/>
      </c>
      <c r="Y51" s="87">
        <f>SUM(Y43:Y46)</f>
        <v/>
      </c>
      <c r="Z51" s="87">
        <f>SUM(Z43:Z46)</f>
        <v/>
      </c>
      <c r="AA51" s="87">
        <f>SUM(AA43:AA46)</f>
        <v/>
      </c>
      <c r="AB51" s="87">
        <f>SUM(AB43:AB46)</f>
        <v/>
      </c>
      <c r="AC51" s="87">
        <f>SUM(AC43:AC46)</f>
        <v/>
      </c>
      <c r="AD51" s="87">
        <f>SUM(AD43:AD46)</f>
        <v/>
      </c>
      <c r="AE51" s="87">
        <f>SUM(AE43:AE46)</f>
        <v/>
      </c>
      <c r="AF51" s="87">
        <f>SUM(AF43:AF46)</f>
        <v/>
      </c>
      <c r="AG51" s="87">
        <f>SUM(AG43:AG46)</f>
        <v/>
      </c>
      <c r="AH51" s="87">
        <f>SUM(AH43:AH46)</f>
        <v/>
      </c>
      <c r="AI51" s="87">
        <f>SUM(AI43:AI46)</f>
        <v/>
      </c>
      <c r="AJ51" s="87">
        <f>SUM(AJ43:AJ46)</f>
        <v/>
      </c>
      <c r="AK51" s="87">
        <f>SUM(AK43:AK46)</f>
        <v/>
      </c>
      <c r="AL51" s="87">
        <f>SUM(AL43:AL46)</f>
        <v/>
      </c>
      <c r="AM51" s="87">
        <f>SUM(AM43:AM46)</f>
        <v/>
      </c>
      <c r="AN51" s="87">
        <f>SUM(AN43:AN46)</f>
        <v/>
      </c>
      <c r="AO51" s="87">
        <f>SUM(AO43:AO46)</f>
        <v/>
      </c>
      <c r="AP51" s="87">
        <f>SUM(AP43:AP46)</f>
        <v/>
      </c>
      <c r="AQ51" s="87">
        <f>SUM(AQ43:AQ46)</f>
        <v/>
      </c>
      <c r="AR51" s="87">
        <f>SUM(AR43:AR46)</f>
        <v/>
      </c>
      <c r="AS51" s="87">
        <f>SUM(AS43:AS46)</f>
        <v/>
      </c>
      <c r="AT51" s="87">
        <f>SUM(AT43:AT46)</f>
        <v/>
      </c>
      <c r="AU51" s="87">
        <f>SUM(AU43:AU46)</f>
        <v/>
      </c>
      <c r="AV51" s="87">
        <f>SUM(AV43:AV46)</f>
        <v/>
      </c>
      <c r="AW51" s="87">
        <f>SUM(AW43:AW46)</f>
        <v/>
      </c>
      <c r="AX51" s="87">
        <f>SUM(AX43:AX46)</f>
        <v/>
      </c>
      <c r="AY51" s="87">
        <f>SUM(AY43:AY46)</f>
        <v/>
      </c>
      <c r="AZ51" s="87">
        <f>SUM(AZ43:AZ46)</f>
        <v/>
      </c>
      <c r="BA51" s="87">
        <f>SUM(BA43:BA46)</f>
        <v/>
      </c>
      <c r="BB51" s="87">
        <f>SUM(BB43:BB46)</f>
        <v/>
      </c>
      <c r="BC51" s="87">
        <f>SUM(BC43:BC46)</f>
        <v/>
      </c>
      <c r="BD51" s="87">
        <f>SUM(BD43:BD46)</f>
        <v/>
      </c>
      <c r="BE51" s="87">
        <f>SUM(BE43:BE46)</f>
        <v/>
      </c>
      <c r="BF51" s="87">
        <f>SUM(BF43:BF46)</f>
        <v/>
      </c>
      <c r="BG51" s="87">
        <f>SUM(BG43:BG46)</f>
        <v/>
      </c>
      <c r="BH51" s="87">
        <f>SUM(BH43:BH46)</f>
        <v/>
      </c>
      <c r="BI51" s="87">
        <f>SUM(BI43:BI46)</f>
        <v/>
      </c>
      <c r="BJ51" s="87">
        <f>SUM(BJ43:BJ46)</f>
        <v/>
      </c>
      <c r="BK51" s="87">
        <f>SUM(BK43:BK46)</f>
        <v/>
      </c>
      <c r="BL51" s="87">
        <f>SUM(BL43:BL46)</f>
        <v/>
      </c>
      <c r="BM51" s="87">
        <f>SUM(BM43:BM46)</f>
        <v/>
      </c>
    </row>
    <row r="52" ht="15" customHeight="1"/>
    <row r="53" ht="18" customHeight="1">
      <c r="A53" s="532" t="inlineStr">
        <is>
          <t>GASTO DE SACOLAS E ITENS DOADOS 2026 - MENSAIS</t>
        </is>
      </c>
      <c r="B53" s="734" t="n"/>
      <c r="C53" s="734" t="n"/>
      <c r="D53" s="734" t="n"/>
      <c r="E53" s="734" t="n"/>
      <c r="F53" s="734" t="n"/>
      <c r="G53" s="734" t="n"/>
      <c r="H53" s="734" t="n"/>
      <c r="I53" s="734" t="n"/>
      <c r="J53" s="734" t="n"/>
      <c r="K53" s="734" t="n"/>
      <c r="L53" s="734" t="n"/>
      <c r="M53" s="734" t="n"/>
      <c r="N53" s="734" t="n"/>
      <c r="O53" s="734" t="n"/>
      <c r="P53" s="734" t="n"/>
      <c r="Q53" s="734" t="n"/>
      <c r="R53" s="734" t="n"/>
      <c r="S53" s="734" t="n"/>
      <c r="T53" s="734" t="n"/>
      <c r="U53" s="734" t="n"/>
      <c r="V53" s="734" t="n"/>
      <c r="W53" s="734" t="n"/>
      <c r="X53" s="734" t="n"/>
      <c r="Y53" s="734" t="n"/>
      <c r="Z53" s="734" t="n"/>
      <c r="AA53" s="734" t="n"/>
      <c r="AB53" s="734" t="n"/>
      <c r="AC53" s="734" t="n"/>
      <c r="AD53" s="734" t="n"/>
      <c r="AE53" s="734" t="n"/>
      <c r="AF53" s="734" t="n"/>
      <c r="AG53" s="734" t="n"/>
      <c r="AH53" s="734" t="n"/>
      <c r="AI53" s="734" t="n"/>
      <c r="AJ53" s="734" t="n"/>
      <c r="AK53" s="734" t="n"/>
      <c r="AL53" s="734" t="n"/>
      <c r="AM53" s="734" t="n"/>
      <c r="AN53" s="734" t="n"/>
      <c r="AO53" s="734" t="n"/>
      <c r="AP53" s="734" t="n"/>
      <c r="AQ53" s="734" t="n"/>
      <c r="AR53" s="734" t="n"/>
      <c r="AS53" s="734" t="n"/>
      <c r="AT53" s="734" t="n"/>
      <c r="AU53" s="734" t="n"/>
      <c r="AV53" s="734" t="n"/>
      <c r="AW53" s="734" t="n"/>
      <c r="AX53" s="734" t="n"/>
      <c r="AY53" s="734" t="n"/>
      <c r="AZ53" s="734" t="n"/>
      <c r="BA53" s="734" t="n"/>
      <c r="BB53" s="734" t="n"/>
      <c r="BC53" s="734" t="n"/>
      <c r="BD53" s="734" t="n"/>
      <c r="BE53" s="734" t="n"/>
      <c r="BF53" s="734" t="n"/>
      <c r="BG53" s="734" t="n"/>
      <c r="BH53" s="734" t="n"/>
      <c r="BI53" s="734" t="n"/>
      <c r="BJ53" s="734" t="n"/>
      <c r="BK53" s="734" t="n"/>
      <c r="BL53" s="734" t="n"/>
      <c r="BM53" s="734" t="n"/>
    </row>
    <row r="54" ht="18" customHeight="1">
      <c r="A54" s="735" t="inlineStr">
        <is>
          <t>MONGAGUÁ</t>
        </is>
      </c>
      <c r="B54" s="735" t="inlineStr">
        <is>
          <t>JANEIRO</t>
        </is>
      </c>
      <c r="C54" s="736" t="n"/>
      <c r="D54" s="736" t="n"/>
      <c r="E54" s="736" t="n"/>
      <c r="F54" s="737" t="n"/>
      <c r="G54" s="735" t="inlineStr">
        <is>
          <t>FEVEREIRO</t>
        </is>
      </c>
      <c r="H54" s="736" t="n"/>
      <c r="I54" s="736" t="n"/>
      <c r="J54" s="736" t="n"/>
      <c r="K54" s="737" t="n"/>
      <c r="L54" s="735" t="inlineStr">
        <is>
          <t>MARÇO</t>
        </is>
      </c>
      <c r="M54" s="736" t="n"/>
      <c r="N54" s="736" t="n"/>
      <c r="O54" s="736" t="n"/>
      <c r="P54" s="736" t="n"/>
      <c r="Q54" s="737" t="n"/>
      <c r="R54" s="735" t="inlineStr">
        <is>
          <t>ABRIL</t>
        </is>
      </c>
      <c r="S54" s="736" t="n"/>
      <c r="T54" s="736" t="n"/>
      <c r="U54" s="736" t="n"/>
      <c r="V54" s="737" t="n"/>
      <c r="W54" s="735" t="inlineStr">
        <is>
          <t>MAIO</t>
        </is>
      </c>
      <c r="X54" s="736" t="n"/>
      <c r="Y54" s="736" t="n"/>
      <c r="Z54" s="736" t="n"/>
      <c r="AA54" s="737" t="n"/>
      <c r="AB54" s="735" t="inlineStr">
        <is>
          <t>JUNHO</t>
        </is>
      </c>
      <c r="AC54" s="736" t="n"/>
      <c r="AD54" s="736" t="n"/>
      <c r="AE54" s="736" t="n"/>
      <c r="AF54" s="736" t="n"/>
      <c r="AG54" s="737" t="n"/>
      <c r="AH54" s="735" t="inlineStr">
        <is>
          <t>JULHO</t>
        </is>
      </c>
      <c r="AI54" s="736" t="n"/>
      <c r="AJ54" s="736" t="n"/>
      <c r="AK54" s="736" t="n"/>
      <c r="AL54" s="737" t="n"/>
      <c r="AM54" s="735" t="inlineStr">
        <is>
          <t>AGOSTO</t>
        </is>
      </c>
      <c r="AN54" s="736" t="n"/>
      <c r="AO54" s="736" t="n"/>
      <c r="AP54" s="736" t="n"/>
      <c r="AQ54" s="736" t="n"/>
      <c r="AR54" s="737" t="n"/>
      <c r="AS54" s="735" t="inlineStr">
        <is>
          <t>SETEMBRO</t>
        </is>
      </c>
      <c r="AT54" s="736" t="n"/>
      <c r="AU54" s="736" t="n"/>
      <c r="AV54" s="736" t="n"/>
      <c r="AW54" s="737" t="n"/>
      <c r="AX54" s="735" t="inlineStr">
        <is>
          <t>OUTUBRO</t>
        </is>
      </c>
      <c r="AY54" s="736" t="n"/>
      <c r="AZ54" s="736" t="n"/>
      <c r="BA54" s="736" t="n"/>
      <c r="BB54" s="737" t="n"/>
      <c r="BC54" s="735" t="inlineStr">
        <is>
          <t>NOVEMBRO</t>
        </is>
      </c>
      <c r="BD54" s="736" t="n"/>
      <c r="BE54" s="736" t="n"/>
      <c r="BF54" s="736" t="n"/>
      <c r="BG54" s="736" t="n"/>
      <c r="BH54" s="737" t="n"/>
      <c r="BI54" s="735" t="inlineStr">
        <is>
          <t>DEZEMBRO</t>
        </is>
      </c>
      <c r="BJ54" s="736" t="n"/>
      <c r="BK54" s="736" t="n"/>
      <c r="BL54" s="736" t="n"/>
      <c r="BM54" s="737" t="n"/>
    </row>
    <row r="55" ht="15.75" customHeight="1">
      <c r="A55" s="738" t="n"/>
      <c r="B55" s="78" t="n">
        <v>46027</v>
      </c>
      <c r="C55" s="78" t="n">
        <v>46034</v>
      </c>
      <c r="D55" s="78" t="n">
        <v>46041</v>
      </c>
      <c r="E55" s="78" t="n">
        <v>46048</v>
      </c>
      <c r="F55" s="85" t="inlineStr">
        <is>
          <t>USOU</t>
        </is>
      </c>
      <c r="G55" s="78" t="n">
        <v>46055</v>
      </c>
      <c r="H55" s="78" t="n">
        <v>46062</v>
      </c>
      <c r="I55" s="78" t="n">
        <v>46069</v>
      </c>
      <c r="J55" s="78" t="n">
        <v>46076</v>
      </c>
      <c r="K55" s="85" t="inlineStr">
        <is>
          <t>USOU</t>
        </is>
      </c>
      <c r="L55" s="78" t="n">
        <v>46083</v>
      </c>
      <c r="M55" s="78" t="n">
        <v>46090</v>
      </c>
      <c r="N55" s="78" t="n">
        <v>46097</v>
      </c>
      <c r="O55" s="78" t="n">
        <v>46104</v>
      </c>
      <c r="P55" s="78" t="n">
        <v>46111</v>
      </c>
      <c r="Q55" s="85" t="inlineStr">
        <is>
          <t>USOU</t>
        </is>
      </c>
      <c r="R55" s="78" t="n">
        <v>46118</v>
      </c>
      <c r="S55" s="78" t="n">
        <v>46125</v>
      </c>
      <c r="T55" s="78" t="n">
        <v>46132</v>
      </c>
      <c r="U55" s="78" t="n">
        <v>46139</v>
      </c>
      <c r="V55" s="85" t="inlineStr">
        <is>
          <t>USOU</t>
        </is>
      </c>
      <c r="W55" s="78" t="n">
        <v>46146</v>
      </c>
      <c r="X55" s="78" t="n">
        <v>46153</v>
      </c>
      <c r="Y55" s="78" t="n">
        <v>46160</v>
      </c>
      <c r="Z55" s="78" t="n">
        <v>46167</v>
      </c>
      <c r="AA55" s="85" t="inlineStr">
        <is>
          <t>USOU</t>
        </is>
      </c>
      <c r="AB55" s="78" t="n">
        <v>46174</v>
      </c>
      <c r="AC55" s="78" t="n">
        <v>46181</v>
      </c>
      <c r="AD55" s="78" t="n">
        <v>46188</v>
      </c>
      <c r="AE55" s="78" t="n">
        <v>46195</v>
      </c>
      <c r="AF55" s="78" t="n">
        <v>46202</v>
      </c>
      <c r="AG55" s="85" t="inlineStr">
        <is>
          <t>USOU</t>
        </is>
      </c>
      <c r="AH55" s="78" t="n">
        <v>46209</v>
      </c>
      <c r="AI55" s="78" t="n">
        <v>46216</v>
      </c>
      <c r="AJ55" s="78" t="n">
        <v>46223</v>
      </c>
      <c r="AK55" s="78" t="n">
        <v>46230</v>
      </c>
      <c r="AL55" s="85" t="inlineStr">
        <is>
          <t>USOU</t>
        </is>
      </c>
      <c r="AM55" s="78" t="n">
        <v>46237</v>
      </c>
      <c r="AN55" s="78" t="n">
        <v>46244</v>
      </c>
      <c r="AO55" s="78" t="n">
        <v>46251</v>
      </c>
      <c r="AP55" s="78" t="n">
        <v>46258</v>
      </c>
      <c r="AQ55" s="78" t="n">
        <v>46265</v>
      </c>
      <c r="AR55" s="85" t="inlineStr">
        <is>
          <t>USOU</t>
        </is>
      </c>
      <c r="AS55" s="78" t="n">
        <v>46272</v>
      </c>
      <c r="AT55" s="78" t="n">
        <v>46279</v>
      </c>
      <c r="AU55" s="78" t="n">
        <v>46286</v>
      </c>
      <c r="AV55" s="78" t="n">
        <v>46293</v>
      </c>
      <c r="AW55" s="85" t="inlineStr">
        <is>
          <t>USOU</t>
        </is>
      </c>
      <c r="AX55" s="78" t="n">
        <v>46300</v>
      </c>
      <c r="AY55" s="78" t="n">
        <v>46307</v>
      </c>
      <c r="AZ55" s="78" t="n">
        <v>46314</v>
      </c>
      <c r="BA55" s="78" t="n">
        <v>46321</v>
      </c>
      <c r="BB55" s="85" t="inlineStr">
        <is>
          <t>USOU</t>
        </is>
      </c>
      <c r="BC55" s="78" t="n">
        <v>46328</v>
      </c>
      <c r="BD55" s="78" t="n">
        <v>46335</v>
      </c>
      <c r="BE55" s="78" t="n">
        <v>46342</v>
      </c>
      <c r="BF55" s="78" t="n">
        <v>46349</v>
      </c>
      <c r="BG55" s="78" t="n">
        <v>46356</v>
      </c>
      <c r="BH55" s="85" t="inlineStr">
        <is>
          <t>USOU</t>
        </is>
      </c>
      <c r="BI55" s="78" t="n">
        <v>46363</v>
      </c>
      <c r="BJ55" s="78" t="n">
        <v>46370</v>
      </c>
      <c r="BK55" s="78" t="n">
        <v>46377</v>
      </c>
      <c r="BL55" s="78" t="n">
        <v>46384</v>
      </c>
      <c r="BM55" s="85" t="inlineStr">
        <is>
          <t>USOU</t>
        </is>
      </c>
    </row>
    <row r="56" ht="15.75" customHeight="1">
      <c r="A56" s="82" t="inlineStr">
        <is>
          <t>SACOLA PP VERDE</t>
        </is>
      </c>
      <c r="B56" s="80" t="n">
        <v>230</v>
      </c>
      <c r="C56" s="80" t="n">
        <v>40</v>
      </c>
      <c r="D56" s="80" t="n">
        <v>50</v>
      </c>
      <c r="E56" s="80" t="n">
        <v>90</v>
      </c>
      <c r="F56" s="81">
        <f>B56+C56+D56+E56</f>
        <v/>
      </c>
      <c r="G56" s="80" t="n">
        <v>30</v>
      </c>
      <c r="H56" s="80" t="n">
        <v>330</v>
      </c>
      <c r="I56" s="80" t="n">
        <v>10</v>
      </c>
      <c r="J56" s="80" t="n">
        <v>140</v>
      </c>
      <c r="K56" s="81">
        <f>G56+H56+I56+J56</f>
        <v/>
      </c>
      <c r="L56" s="80" t="n">
        <v>50</v>
      </c>
      <c r="M56" s="80" t="n">
        <v>50</v>
      </c>
      <c r="N56" s="80" t="n">
        <v>50</v>
      </c>
      <c r="O56" s="80" t="n">
        <v>10</v>
      </c>
      <c r="P56" s="80" t="n">
        <v>100</v>
      </c>
      <c r="Q56" s="81">
        <f>L56+M56+N56+O56+P56</f>
        <v/>
      </c>
      <c r="R56" s="80" t="n"/>
      <c r="S56" s="80" t="n"/>
      <c r="T56" s="80" t="n"/>
      <c r="U56" s="80" t="n"/>
      <c r="V56" s="81">
        <f>R56+S56+T56+U56</f>
        <v/>
      </c>
      <c r="W56" s="80" t="n">
        <v>30</v>
      </c>
      <c r="X56" s="80" t="n">
        <v>110</v>
      </c>
      <c r="Y56" s="80" t="n"/>
      <c r="Z56" s="80" t="n"/>
      <c r="AA56" s="81">
        <f>W56+X56+Y56+Z56</f>
        <v/>
      </c>
      <c r="AB56" s="80" t="n"/>
      <c r="AC56" s="80" t="n"/>
      <c r="AD56" s="80" t="n"/>
      <c r="AE56" s="80" t="n"/>
      <c r="AF56" s="80" t="n"/>
      <c r="AG56" s="81">
        <f>AB56+AC56+AD56+AE56+AF56</f>
        <v/>
      </c>
      <c r="AH56" s="80" t="n"/>
      <c r="AI56" s="80" t="n"/>
      <c r="AJ56" s="80" t="n"/>
      <c r="AK56" s="80" t="n"/>
      <c r="AL56" s="81">
        <f>AH56+AI56+AJ56+AK56</f>
        <v/>
      </c>
      <c r="AM56" s="80" t="n"/>
      <c r="AN56" s="80" t="n"/>
      <c r="AO56" s="80" t="n"/>
      <c r="AP56" s="80" t="n"/>
      <c r="AQ56" s="80" t="n"/>
      <c r="AR56" s="81">
        <f>AM56+AN56+AO56+AP56+AQ56</f>
        <v/>
      </c>
      <c r="AS56" s="80" t="n"/>
      <c r="AT56" s="80" t="n"/>
      <c r="AU56" s="80" t="n"/>
      <c r="AV56" s="80" t="n"/>
      <c r="AW56" s="81">
        <f>AS56+AT56+AU56+AV56</f>
        <v/>
      </c>
      <c r="AX56" s="80" t="n"/>
      <c r="AY56" s="80" t="n"/>
      <c r="AZ56" s="80" t="n"/>
      <c r="BA56" s="80" t="n"/>
      <c r="BB56" s="81">
        <f>AX56+AY56+AZ56+BA56</f>
        <v/>
      </c>
      <c r="BC56" s="80" t="n"/>
      <c r="BD56" s="80" t="n"/>
      <c r="BE56" s="80" t="n"/>
      <c r="BF56" s="80" t="n"/>
      <c r="BG56" s="80" t="n"/>
      <c r="BH56" s="81">
        <f>BC56+BD56+BE56+BF56+BG56</f>
        <v/>
      </c>
      <c r="BI56" s="80" t="n"/>
      <c r="BJ56" s="80" t="n"/>
      <c r="BK56" s="80" t="n"/>
      <c r="BL56" s="80" t="n"/>
      <c r="BM56" s="81">
        <f>BI56+BJ56+BK56+BL56</f>
        <v/>
      </c>
    </row>
    <row r="57" ht="15.75" customHeight="1">
      <c r="A57" s="82" t="inlineStr">
        <is>
          <t>SACOLA P VERDE</t>
        </is>
      </c>
      <c r="B57" s="80" t="n">
        <v>290</v>
      </c>
      <c r="C57" s="80" t="n">
        <v>180</v>
      </c>
      <c r="D57" s="80" t="n">
        <v>330</v>
      </c>
      <c r="E57" s="80" t="n">
        <v>50</v>
      </c>
      <c r="F57" s="81">
        <f>B57+C57+D57+E57</f>
        <v/>
      </c>
      <c r="G57" s="80" t="n">
        <v>60</v>
      </c>
      <c r="H57" s="80" t="n">
        <v>120</v>
      </c>
      <c r="I57" s="80" t="n">
        <v>310</v>
      </c>
      <c r="J57" s="80" t="n">
        <v>200</v>
      </c>
      <c r="K57" s="81">
        <f>G57+H57+I57+J57</f>
        <v/>
      </c>
      <c r="L57" s="80" t="n">
        <v>60</v>
      </c>
      <c r="M57" s="80" t="n">
        <v>250</v>
      </c>
      <c r="N57" s="80" t="n">
        <v>290</v>
      </c>
      <c r="O57" s="80" t="n">
        <v>190</v>
      </c>
      <c r="P57" s="80" t="n">
        <v>200</v>
      </c>
      <c r="Q57" s="81">
        <f>L57+M57+N57+O57+P57</f>
        <v/>
      </c>
      <c r="R57" s="80" t="n"/>
      <c r="S57" s="80" t="n"/>
      <c r="T57" s="80" t="n"/>
      <c r="U57" s="80" t="n"/>
      <c r="V57" s="81">
        <f>R57+S57+T57+U57</f>
        <v/>
      </c>
      <c r="W57" s="80" t="n">
        <v>0</v>
      </c>
      <c r="X57" s="80" t="n">
        <v>0</v>
      </c>
      <c r="Y57" s="80" t="n"/>
      <c r="Z57" s="80" t="n"/>
      <c r="AA57" s="81">
        <f>W57+X57+Y57+Z57</f>
        <v/>
      </c>
      <c r="AB57" s="80" t="n"/>
      <c r="AC57" s="80" t="n"/>
      <c r="AD57" s="80" t="n"/>
      <c r="AE57" s="80" t="n"/>
      <c r="AF57" s="80" t="n"/>
      <c r="AG57" s="81">
        <f>AB57+AC57+AD57+AE57+AF57</f>
        <v/>
      </c>
      <c r="AH57" s="80" t="n"/>
      <c r="AI57" s="80" t="n"/>
      <c r="AJ57" s="80" t="n"/>
      <c r="AK57" s="80" t="n"/>
      <c r="AL57" s="81">
        <f>AH57+AI57+AJ57+AK57</f>
        <v/>
      </c>
      <c r="AM57" s="80" t="n"/>
      <c r="AN57" s="80" t="n"/>
      <c r="AO57" s="80" t="n"/>
      <c r="AP57" s="80" t="n"/>
      <c r="AQ57" s="80" t="n"/>
      <c r="AR57" s="81">
        <f>AM57+AN57+AO57+AP57+AQ57</f>
        <v/>
      </c>
      <c r="AS57" s="80" t="n"/>
      <c r="AT57" s="80" t="n"/>
      <c r="AU57" s="80" t="n"/>
      <c r="AV57" s="80" t="n"/>
      <c r="AW57" s="81">
        <f>AS57+AT57+AU57+AV57</f>
        <v/>
      </c>
      <c r="AX57" s="80" t="n"/>
      <c r="AY57" s="80" t="n"/>
      <c r="AZ57" s="80" t="n"/>
      <c r="BA57" s="80" t="n"/>
      <c r="BB57" s="81">
        <f>AX57+AY57+AZ57+BA57</f>
        <v/>
      </c>
      <c r="BC57" s="80" t="n"/>
      <c r="BD57" s="80" t="n"/>
      <c r="BE57" s="80" t="n"/>
      <c r="BF57" s="80" t="n"/>
      <c r="BG57" s="80" t="n"/>
      <c r="BH57" s="81">
        <f>BC57+BD57+BE57+BF57+BG57</f>
        <v/>
      </c>
      <c r="BI57" s="80" t="n"/>
      <c r="BJ57" s="80" t="n"/>
      <c r="BK57" s="80" t="n"/>
      <c r="BL57" s="80" t="n"/>
      <c r="BM57" s="81">
        <f>BI57+BJ57+BK57+BL57</f>
        <v/>
      </c>
    </row>
    <row r="58" ht="15.75" customHeight="1">
      <c r="A58" s="82" t="inlineStr">
        <is>
          <t>SACOLA M VERDE</t>
        </is>
      </c>
      <c r="B58" s="80" t="n">
        <v>50</v>
      </c>
      <c r="C58" s="80" t="n">
        <v>0</v>
      </c>
      <c r="D58" s="80" t="n">
        <v>10</v>
      </c>
      <c r="E58" s="80" t="n">
        <v>0</v>
      </c>
      <c r="F58" s="81">
        <f>B58+C58+D58+E58</f>
        <v/>
      </c>
      <c r="G58" s="80" t="n">
        <v>40</v>
      </c>
      <c r="H58" s="80" t="n">
        <v>230</v>
      </c>
      <c r="I58" s="80" t="n">
        <v>0</v>
      </c>
      <c r="J58" s="80" t="n">
        <v>0</v>
      </c>
      <c r="K58" s="81">
        <f>G58+H58+I58+J58</f>
        <v/>
      </c>
      <c r="L58" s="80" t="n">
        <v>0</v>
      </c>
      <c r="M58" s="80" t="n">
        <v>170</v>
      </c>
      <c r="N58" s="80" t="n">
        <v>70</v>
      </c>
      <c r="O58" s="80" t="n">
        <v>120</v>
      </c>
      <c r="P58" s="80" t="n">
        <v>40</v>
      </c>
      <c r="Q58" s="81">
        <f>L58+M58+N58+O58+P58</f>
        <v/>
      </c>
      <c r="R58" s="80" t="n"/>
      <c r="S58" s="80" t="n"/>
      <c r="T58" s="80" t="n"/>
      <c r="U58" s="80" t="n"/>
      <c r="V58" s="81">
        <f>R58+S58+T58+U58</f>
        <v/>
      </c>
      <c r="W58" s="80" t="n">
        <v>0</v>
      </c>
      <c r="X58" s="80" t="n">
        <v>0</v>
      </c>
      <c r="Y58" s="80" t="n"/>
      <c r="Z58" s="80" t="n"/>
      <c r="AA58" s="81">
        <f>W58+X58+Y58+Z58</f>
        <v/>
      </c>
      <c r="AB58" s="80" t="n"/>
      <c r="AC58" s="80" t="n"/>
      <c r="AD58" s="80" t="n"/>
      <c r="AE58" s="80" t="n"/>
      <c r="AF58" s="80" t="n"/>
      <c r="AG58" s="81">
        <f>AB58+AC58+AD58+AE58+AF58</f>
        <v/>
      </c>
      <c r="AH58" s="80" t="n"/>
      <c r="AI58" s="80" t="n"/>
      <c r="AJ58" s="80" t="n"/>
      <c r="AK58" s="80" t="n"/>
      <c r="AL58" s="81">
        <f>AH58+AI58+AJ58+AK58</f>
        <v/>
      </c>
      <c r="AM58" s="80" t="n"/>
      <c r="AN58" s="80" t="n"/>
      <c r="AO58" s="80" t="n"/>
      <c r="AP58" s="80" t="n"/>
      <c r="AQ58" s="80" t="n"/>
      <c r="AR58" s="81">
        <f>AM58+AN58+AO58+AP58+AQ58</f>
        <v/>
      </c>
      <c r="AS58" s="80" t="n"/>
      <c r="AT58" s="80" t="n"/>
      <c r="AU58" s="80" t="n"/>
      <c r="AV58" s="80" t="n"/>
      <c r="AW58" s="81">
        <f>AS58+AT58+AU58+AV58</f>
        <v/>
      </c>
      <c r="AX58" s="80" t="n"/>
      <c r="AY58" s="80" t="n"/>
      <c r="AZ58" s="80" t="n"/>
      <c r="BA58" s="80" t="n"/>
      <c r="BB58" s="81">
        <f>AX58+AY58+AZ58+BA58</f>
        <v/>
      </c>
      <c r="BC58" s="80" t="n"/>
      <c r="BD58" s="80" t="n"/>
      <c r="BE58" s="80" t="n"/>
      <c r="BF58" s="80" t="n"/>
      <c r="BG58" s="80" t="n"/>
      <c r="BH58" s="81">
        <f>BC58+BD58+BE58+BF58+BG58</f>
        <v/>
      </c>
      <c r="BI58" s="80" t="n"/>
      <c r="BJ58" s="80" t="n"/>
      <c r="BK58" s="80" t="n"/>
      <c r="BL58" s="80" t="n"/>
      <c r="BM58" s="81">
        <f>BI58+BJ58+BK58+BL58</f>
        <v/>
      </c>
    </row>
    <row r="59" ht="15.75" customHeight="1">
      <c r="A59" s="83" t="inlineStr">
        <is>
          <t>SACOLA G VERDE</t>
        </is>
      </c>
      <c r="B59" s="80" t="n">
        <v>0</v>
      </c>
      <c r="C59" s="80" t="n">
        <v>0</v>
      </c>
      <c r="D59" s="80" t="n">
        <v>30</v>
      </c>
      <c r="E59" s="80" t="n">
        <v>0</v>
      </c>
      <c r="F59" s="81">
        <f>B59+C59+D59+E59</f>
        <v/>
      </c>
      <c r="G59" s="80" t="n">
        <v>0</v>
      </c>
      <c r="H59" s="80" t="n">
        <v>0</v>
      </c>
      <c r="I59" s="80" t="n">
        <v>0</v>
      </c>
      <c r="J59" s="80" t="n">
        <v>0</v>
      </c>
      <c r="K59" s="81">
        <f>G59+H59+I59+J59</f>
        <v/>
      </c>
      <c r="L59" s="80" t="n">
        <v>0</v>
      </c>
      <c r="M59" s="80" t="n">
        <v>0</v>
      </c>
      <c r="N59" s="80" t="n">
        <v>200</v>
      </c>
      <c r="O59" s="80" t="n">
        <v>0</v>
      </c>
      <c r="P59" s="80" t="n">
        <v>0</v>
      </c>
      <c r="Q59" s="81">
        <f>L59+M59+N59+O59+P59</f>
        <v/>
      </c>
      <c r="R59" s="80" t="n"/>
      <c r="S59" s="80" t="n"/>
      <c r="T59" s="80" t="n"/>
      <c r="U59" s="80" t="n"/>
      <c r="V59" s="81">
        <f>R59+S59+T59+U59</f>
        <v/>
      </c>
      <c r="W59" s="80" t="n">
        <v>0</v>
      </c>
      <c r="X59" s="80" t="n">
        <v>0</v>
      </c>
      <c r="Y59" s="80" t="n"/>
      <c r="Z59" s="80" t="n"/>
      <c r="AA59" s="81">
        <f>W59+X59+Y59+Z59</f>
        <v/>
      </c>
      <c r="AB59" s="80" t="n"/>
      <c r="AC59" s="80" t="n"/>
      <c r="AD59" s="80" t="n"/>
      <c r="AE59" s="80" t="n"/>
      <c r="AF59" s="80" t="n"/>
      <c r="AG59" s="81">
        <f>AB59+AC59+AD59+AE59+AF59</f>
        <v/>
      </c>
      <c r="AH59" s="80" t="n"/>
      <c r="AI59" s="80" t="n"/>
      <c r="AJ59" s="80" t="n"/>
      <c r="AK59" s="80" t="n"/>
      <c r="AL59" s="81">
        <f>AH59+AI59+AJ59+AK59</f>
        <v/>
      </c>
      <c r="AM59" s="80" t="n"/>
      <c r="AN59" s="80" t="n"/>
      <c r="AO59" s="80" t="n"/>
      <c r="AP59" s="80" t="n"/>
      <c r="AQ59" s="80" t="n"/>
      <c r="AR59" s="81">
        <f>AM59+AN59+AO59+AP59+AQ59</f>
        <v/>
      </c>
      <c r="AS59" s="80" t="n"/>
      <c r="AT59" s="80" t="n"/>
      <c r="AU59" s="80" t="n"/>
      <c r="AV59" s="80" t="n"/>
      <c r="AW59" s="81">
        <f>AS59+AT59+AU59+AV59</f>
        <v/>
      </c>
      <c r="AX59" s="80" t="n"/>
      <c r="AY59" s="80" t="n"/>
      <c r="AZ59" s="80" t="n"/>
      <c r="BA59" s="80" t="n"/>
      <c r="BB59" s="81">
        <f>AX59+AY59+AZ59+BA59</f>
        <v/>
      </c>
      <c r="BC59" s="80" t="n"/>
      <c r="BD59" s="80" t="n"/>
      <c r="BE59" s="80" t="n"/>
      <c r="BF59" s="80" t="n"/>
      <c r="BG59" s="80" t="n"/>
      <c r="BH59" s="81">
        <f>BC59+BD59+BE59+BF59+BG59</f>
        <v/>
      </c>
      <c r="BI59" s="80" t="n"/>
      <c r="BJ59" s="80" t="n"/>
      <c r="BK59" s="80" t="n"/>
      <c r="BL59" s="80" t="n"/>
      <c r="BM59" s="81">
        <f>BI59+BJ59+BK59+BL59</f>
        <v/>
      </c>
    </row>
    <row r="60" ht="15.75" customHeight="1">
      <c r="A60" s="84" t="inlineStr">
        <is>
          <t xml:space="preserve">PAPEL DE SEDA </t>
        </is>
      </c>
      <c r="B60" s="80" t="n">
        <v>1</v>
      </c>
      <c r="C60" s="80" t="n">
        <v>2</v>
      </c>
      <c r="D60" s="80" t="n">
        <v>2</v>
      </c>
      <c r="E60" s="80" t="n">
        <v>1</v>
      </c>
      <c r="F60" s="81">
        <f>B60+C60+D60+E60</f>
        <v/>
      </c>
      <c r="G60" s="80" t="n">
        <v>0</v>
      </c>
      <c r="H60" s="80" t="n">
        <v>0</v>
      </c>
      <c r="I60" s="80" t="n">
        <v>3</v>
      </c>
      <c r="J60" s="80" t="n">
        <v>0</v>
      </c>
      <c r="K60" s="81">
        <f>G60+H60+I60+J60</f>
        <v/>
      </c>
      <c r="L60" s="80" t="n">
        <v>3</v>
      </c>
      <c r="M60" s="80" t="n">
        <v>0</v>
      </c>
      <c r="N60" s="80" t="n">
        <v>2</v>
      </c>
      <c r="O60" s="80" t="n">
        <v>1</v>
      </c>
      <c r="P60" s="80" t="n">
        <v>0</v>
      </c>
      <c r="Q60" s="81">
        <f>L60+M60+N60+O60+P60</f>
        <v/>
      </c>
      <c r="R60" s="80" t="n"/>
      <c r="S60" s="80" t="n"/>
      <c r="T60" s="80" t="n"/>
      <c r="U60" s="80" t="n"/>
      <c r="V60" s="81">
        <f>R60+S60+T60+U60</f>
        <v/>
      </c>
      <c r="W60" s="80" t="n">
        <v>0</v>
      </c>
      <c r="X60" s="80" t="n">
        <v>4</v>
      </c>
      <c r="Y60" s="80" t="n"/>
      <c r="Z60" s="80" t="n"/>
      <c r="AA60" s="81">
        <f>W60+X60+Y60+Z60</f>
        <v/>
      </c>
      <c r="AB60" s="80" t="n"/>
      <c r="AC60" s="80" t="n"/>
      <c r="AD60" s="80" t="n"/>
      <c r="AE60" s="80" t="n"/>
      <c r="AF60" s="80" t="n"/>
      <c r="AG60" s="81">
        <f>AB60+AC60+AD60+AE60+AF60</f>
        <v/>
      </c>
      <c r="AH60" s="80" t="n"/>
      <c r="AI60" s="80" t="n"/>
      <c r="AJ60" s="80" t="n"/>
      <c r="AK60" s="80" t="n"/>
      <c r="AL60" s="81">
        <f>AH60+AI60+AJ60+AK60</f>
        <v/>
      </c>
      <c r="AM60" s="80" t="n"/>
      <c r="AN60" s="80" t="n"/>
      <c r="AO60" s="80" t="n"/>
      <c r="AP60" s="80" t="n"/>
      <c r="AQ60" s="80" t="n"/>
      <c r="AR60" s="81">
        <f>AM60+AN60+AO60+AP60+AQ60</f>
        <v/>
      </c>
      <c r="AS60" s="80" t="n"/>
      <c r="AT60" s="80" t="n"/>
      <c r="AU60" s="80" t="n"/>
      <c r="AV60" s="80" t="n"/>
      <c r="AW60" s="81">
        <f>AS60+AT60+AU60+AV60</f>
        <v/>
      </c>
      <c r="AX60" s="80" t="n"/>
      <c r="AY60" s="80" t="n"/>
      <c r="AZ60" s="80" t="n"/>
      <c r="BA60" s="80" t="n"/>
      <c r="BB60" s="81">
        <f>AX60+AY60+AZ60+BA60</f>
        <v/>
      </c>
      <c r="BC60" s="80" t="n"/>
      <c r="BD60" s="80" t="n"/>
      <c r="BE60" s="80" t="n"/>
      <c r="BF60" s="80" t="n"/>
      <c r="BG60" s="80" t="n"/>
      <c r="BH60" s="81">
        <f>BC60+BD60+BE60+BF60+BG60</f>
        <v/>
      </c>
      <c r="BI60" s="80" t="n"/>
      <c r="BJ60" s="80" t="n"/>
      <c r="BK60" s="80" t="n"/>
      <c r="BL60" s="80" t="n"/>
      <c r="BM60" s="81">
        <f>BI60+BJ60+BK60+BL60</f>
        <v/>
      </c>
    </row>
    <row r="61" ht="15.75" customHeight="1">
      <c r="A61" s="84" t="inlineStr">
        <is>
          <t>ETIQUETAS</t>
        </is>
      </c>
      <c r="B61" s="80" t="n">
        <v>0</v>
      </c>
      <c r="C61" s="80" t="n">
        <v>0</v>
      </c>
      <c r="D61" s="80" t="n">
        <v>0</v>
      </c>
      <c r="E61" s="80" t="n">
        <v>0</v>
      </c>
      <c r="F61" s="81">
        <f>B61+C61+D61+E61</f>
        <v/>
      </c>
      <c r="G61" s="80" t="n">
        <v>0</v>
      </c>
      <c r="H61" s="80" t="n">
        <v>0</v>
      </c>
      <c r="I61" s="80" t="n">
        <v>0</v>
      </c>
      <c r="J61" s="80" t="n">
        <v>0</v>
      </c>
      <c r="K61" s="81">
        <f>G61+H61+I61+J61</f>
        <v/>
      </c>
      <c r="L61" s="80" t="n">
        <v>0</v>
      </c>
      <c r="M61" s="80" t="n">
        <v>0</v>
      </c>
      <c r="N61" s="80" t="n">
        <v>0</v>
      </c>
      <c r="O61" s="80" t="n">
        <v>0</v>
      </c>
      <c r="P61" s="80" t="n">
        <v>0</v>
      </c>
      <c r="Q61" s="81">
        <f>L61+M61+N61+O61+P61</f>
        <v/>
      </c>
      <c r="R61" s="80" t="n"/>
      <c r="S61" s="80" t="n"/>
      <c r="T61" s="80" t="n"/>
      <c r="U61" s="80" t="n"/>
      <c r="V61" s="81">
        <f>R61+S61+T61+U61</f>
        <v/>
      </c>
      <c r="W61" s="80" t="n">
        <v>0</v>
      </c>
      <c r="X61" s="80" t="n">
        <v>2</v>
      </c>
      <c r="Y61" s="80" t="n"/>
      <c r="Z61" s="80" t="n"/>
      <c r="AA61" s="81">
        <f>W61+X61+Y61+Z61</f>
        <v/>
      </c>
      <c r="AB61" s="80" t="n"/>
      <c r="AC61" s="80" t="n"/>
      <c r="AD61" s="80" t="n"/>
      <c r="AE61" s="80" t="n"/>
      <c r="AF61" s="80" t="n"/>
      <c r="AG61" s="81">
        <f>AB61+AC61+AD61+AE61+AF61</f>
        <v/>
      </c>
      <c r="AH61" s="80" t="n"/>
      <c r="AI61" s="80" t="n"/>
      <c r="AJ61" s="80" t="n"/>
      <c r="AK61" s="80" t="n"/>
      <c r="AL61" s="81">
        <f>AH61+AI61+AJ61+AK61</f>
        <v/>
      </c>
      <c r="AM61" s="80" t="n"/>
      <c r="AN61" s="80" t="n"/>
      <c r="AO61" s="80" t="n"/>
      <c r="AP61" s="80" t="n"/>
      <c r="AQ61" s="80" t="n"/>
      <c r="AR61" s="81">
        <f>AM61+AN61+AO61+AP61+AQ61</f>
        <v/>
      </c>
      <c r="AS61" s="80" t="n"/>
      <c r="AT61" s="80" t="n"/>
      <c r="AU61" s="80" t="n"/>
      <c r="AV61" s="80" t="n"/>
      <c r="AW61" s="81">
        <f>AS61+AT61+AU61+AV61</f>
        <v/>
      </c>
      <c r="AX61" s="80" t="n"/>
      <c r="AY61" s="80" t="n"/>
      <c r="AZ61" s="80" t="n"/>
      <c r="BA61" s="80" t="n"/>
      <c r="BB61" s="81">
        <f>AX61+AY61+AZ61+BA61</f>
        <v/>
      </c>
      <c r="BC61" s="80" t="n"/>
      <c r="BD61" s="80" t="n"/>
      <c r="BE61" s="80" t="n"/>
      <c r="BF61" s="80" t="n"/>
      <c r="BG61" s="80" t="n"/>
      <c r="BH61" s="81">
        <f>BC61+BD61+BE61+BF61+BG61</f>
        <v/>
      </c>
      <c r="BI61" s="80" t="n"/>
      <c r="BJ61" s="80" t="n"/>
      <c r="BK61" s="80" t="n"/>
      <c r="BL61" s="80" t="n"/>
      <c r="BM61" s="81">
        <f>BI61+BJ61+BK61+BL61</f>
        <v/>
      </c>
    </row>
    <row r="62" ht="15.75" customHeight="1">
      <c r="A62" s="84" t="inlineStr">
        <is>
          <t xml:space="preserve">TAGS </t>
        </is>
      </c>
      <c r="B62" s="80" t="n">
        <v>0</v>
      </c>
      <c r="C62" s="80" t="n">
        <v>1</v>
      </c>
      <c r="D62" s="80" t="n">
        <v>0</v>
      </c>
      <c r="E62" s="80" t="n">
        <v>0</v>
      </c>
      <c r="F62" s="81">
        <f>B62+C62+D62+E62</f>
        <v/>
      </c>
      <c r="G62" s="80" t="n">
        <v>0</v>
      </c>
      <c r="H62" s="80" t="n">
        <v>0</v>
      </c>
      <c r="I62" s="80" t="n">
        <v>1</v>
      </c>
      <c r="J62" s="80" t="n">
        <v>0</v>
      </c>
      <c r="K62" s="81">
        <f>G62+H62+I62+J62</f>
        <v/>
      </c>
      <c r="L62" s="80" t="n">
        <v>1</v>
      </c>
      <c r="M62" s="80" t="n">
        <v>1</v>
      </c>
      <c r="N62" s="80" t="n">
        <v>1</v>
      </c>
      <c r="O62" s="80" t="n">
        <v>0</v>
      </c>
      <c r="P62" s="80" t="n">
        <v>1</v>
      </c>
      <c r="Q62" s="81">
        <f>L62+M62+N62+O62+P62</f>
        <v/>
      </c>
      <c r="R62" s="80" t="n"/>
      <c r="S62" s="80" t="n"/>
      <c r="T62" s="80" t="n"/>
      <c r="U62" s="80" t="n"/>
      <c r="V62" s="81">
        <f>R62+S62+T62+U62</f>
        <v/>
      </c>
      <c r="W62" s="80" t="n">
        <v>0</v>
      </c>
      <c r="X62" s="80" t="n">
        <v>0</v>
      </c>
      <c r="Y62" s="80" t="n"/>
      <c r="Z62" s="80" t="n"/>
      <c r="AA62" s="81">
        <f>W62+X62+Y62+Z62</f>
        <v/>
      </c>
      <c r="AB62" s="80" t="n"/>
      <c r="AC62" s="80" t="n"/>
      <c r="AD62" s="80" t="n"/>
      <c r="AE62" s="80" t="n"/>
      <c r="AF62" s="80" t="n"/>
      <c r="AG62" s="81">
        <f>AB62+AC62+AD62+AE62+AF62</f>
        <v/>
      </c>
      <c r="AH62" s="80" t="n"/>
      <c r="AI62" s="80" t="n"/>
      <c r="AJ62" s="80" t="n"/>
      <c r="AK62" s="80" t="n"/>
      <c r="AL62" s="81">
        <f>AH62+AI62+AJ62+AK62</f>
        <v/>
      </c>
      <c r="AM62" s="80" t="n"/>
      <c r="AN62" s="80" t="n"/>
      <c r="AO62" s="80" t="n"/>
      <c r="AP62" s="80" t="n"/>
      <c r="AQ62" s="80" t="n"/>
      <c r="AR62" s="81">
        <f>AM62+AN62+AO62+AP62+AQ62</f>
        <v/>
      </c>
      <c r="AS62" s="80" t="n"/>
      <c r="AT62" s="80" t="n"/>
      <c r="AU62" s="80" t="n"/>
      <c r="AV62" s="80" t="n"/>
      <c r="AW62" s="81">
        <f>AS62+AT62+AU62+AV62</f>
        <v/>
      </c>
      <c r="AX62" s="80" t="n"/>
      <c r="AY62" s="80" t="n"/>
      <c r="AZ62" s="80" t="n"/>
      <c r="BA62" s="80" t="n"/>
      <c r="BB62" s="81">
        <f>AX62+AY62+AZ62+BA62</f>
        <v/>
      </c>
      <c r="BC62" s="80" t="n"/>
      <c r="BD62" s="80" t="n"/>
      <c r="BE62" s="80" t="n"/>
      <c r="BF62" s="80" t="n"/>
      <c r="BG62" s="80" t="n"/>
      <c r="BH62" s="81">
        <f>BC62+BD62+BE62+BF62+BG62</f>
        <v/>
      </c>
      <c r="BI62" s="80" t="n"/>
      <c r="BJ62" s="80" t="n"/>
      <c r="BK62" s="80" t="n"/>
      <c r="BL62" s="80" t="n"/>
      <c r="BM62" s="81">
        <f>BI62+BJ62+BK62+BL62</f>
        <v/>
      </c>
    </row>
    <row r="63" ht="15.75" customHeight="1">
      <c r="A63" s="84" t="inlineStr">
        <is>
          <t>LÂMINA OLFATIVA</t>
        </is>
      </c>
      <c r="B63" s="80" t="n">
        <v>1</v>
      </c>
      <c r="C63" s="80" t="n">
        <v>0</v>
      </c>
      <c r="D63" s="80" t="n">
        <v>1</v>
      </c>
      <c r="E63" s="80" t="n">
        <v>1</v>
      </c>
      <c r="F63" s="81">
        <f>B63+C63+D63+E63</f>
        <v/>
      </c>
      <c r="G63" s="80" t="n">
        <v>0</v>
      </c>
      <c r="H63" s="80" t="n">
        <v>1</v>
      </c>
      <c r="I63" s="80" t="n">
        <v>0</v>
      </c>
      <c r="J63" s="80" t="n">
        <v>0</v>
      </c>
      <c r="K63" s="81">
        <f>G63+H63+I63+J63</f>
        <v/>
      </c>
      <c r="L63" s="80" t="n">
        <v>0</v>
      </c>
      <c r="M63" s="80" t="n">
        <v>1</v>
      </c>
      <c r="N63" s="80" t="n">
        <v>0</v>
      </c>
      <c r="O63" s="80" t="n">
        <v>1</v>
      </c>
      <c r="P63" s="80" t="n">
        <v>0</v>
      </c>
      <c r="Q63" s="81">
        <f>L63+M63+N63+O63+P63</f>
        <v/>
      </c>
      <c r="R63" s="80" t="n"/>
      <c r="S63" s="80" t="n"/>
      <c r="T63" s="80" t="n"/>
      <c r="U63" s="80" t="n"/>
      <c r="V63" s="81">
        <f>R63+S63+T63+U63</f>
        <v/>
      </c>
      <c r="W63" s="80" t="n">
        <v>0</v>
      </c>
      <c r="X63" s="80" t="n">
        <v>2</v>
      </c>
      <c r="Y63" s="80" t="n"/>
      <c r="Z63" s="80" t="n"/>
      <c r="AA63" s="81">
        <f>W63+X63+Y63+Z63</f>
        <v/>
      </c>
      <c r="AB63" s="80" t="n"/>
      <c r="AC63" s="80" t="n"/>
      <c r="AD63" s="80" t="n"/>
      <c r="AE63" s="80" t="n"/>
      <c r="AF63" s="80" t="n"/>
      <c r="AG63" s="81">
        <f>AB63+AC63+AD63+AE63+AF63</f>
        <v/>
      </c>
      <c r="AH63" s="80" t="n"/>
      <c r="AI63" s="80" t="n"/>
      <c r="AJ63" s="80" t="n"/>
      <c r="AK63" s="80" t="n"/>
      <c r="AL63" s="81">
        <f>AH63+AI63+AJ63+AK63</f>
        <v/>
      </c>
      <c r="AM63" s="80" t="n"/>
      <c r="AN63" s="80" t="n"/>
      <c r="AO63" s="80" t="n"/>
      <c r="AP63" s="80" t="n"/>
      <c r="AQ63" s="80" t="n"/>
      <c r="AR63" s="81">
        <f>AM63+AN63+AO63+AP63+AQ63</f>
        <v/>
      </c>
      <c r="AS63" s="80" t="n"/>
      <c r="AT63" s="80" t="n"/>
      <c r="AU63" s="80" t="n"/>
      <c r="AV63" s="80" t="n"/>
      <c r="AW63" s="81">
        <f>AS63+AT63+AU63+AV63</f>
        <v/>
      </c>
      <c r="AX63" s="80" t="n"/>
      <c r="AY63" s="80" t="n"/>
      <c r="AZ63" s="80" t="n"/>
      <c r="BA63" s="80" t="n"/>
      <c r="BB63" s="81">
        <f>AX63+AY63+AZ63+BA63</f>
        <v/>
      </c>
      <c r="BC63" s="80" t="n"/>
      <c r="BD63" s="80" t="n"/>
      <c r="BE63" s="80" t="n"/>
      <c r="BF63" s="80" t="n"/>
      <c r="BG63" s="80" t="n"/>
      <c r="BH63" s="81">
        <f>BC63+BD63+BE63+BF63+BG63</f>
        <v/>
      </c>
      <c r="BI63" s="80" t="n"/>
      <c r="BJ63" s="80" t="n"/>
      <c r="BK63" s="80" t="n"/>
      <c r="BL63" s="80" t="n"/>
      <c r="BM63" s="81">
        <f>BI63+BJ63+BK63+BL63</f>
        <v/>
      </c>
    </row>
    <row r="64" ht="15.75" customHeight="1">
      <c r="A64" s="86" t="inlineStr">
        <is>
          <t>TOTAL DE SACOLAS</t>
        </is>
      </c>
      <c r="B64" s="87">
        <f>SUM(B56:B59)</f>
        <v/>
      </c>
      <c r="C64" s="87">
        <f>SUM(C56:C59)</f>
        <v/>
      </c>
      <c r="D64" s="87">
        <f>SUM(D56:D59)</f>
        <v/>
      </c>
      <c r="E64" s="87">
        <f>SUM(E56:E59)</f>
        <v/>
      </c>
      <c r="F64" s="87">
        <f>SUM(F56:F59)</f>
        <v/>
      </c>
      <c r="G64" s="87">
        <f>SUM(G56:G59)</f>
        <v/>
      </c>
      <c r="H64" s="87">
        <f>SUM(H56:H59)</f>
        <v/>
      </c>
      <c r="I64" s="87">
        <f>SUM(I56:I59)</f>
        <v/>
      </c>
      <c r="J64" s="87">
        <f>SUM(J56:J59)</f>
        <v/>
      </c>
      <c r="K64" s="87">
        <f>SUM(K56:K59)</f>
        <v/>
      </c>
      <c r="L64" s="87">
        <f>SUM(L56:L59)</f>
        <v/>
      </c>
      <c r="M64" s="87">
        <f>SUM(M56:M59)</f>
        <v/>
      </c>
      <c r="N64" s="87">
        <f>SUM(N56:N59)</f>
        <v/>
      </c>
      <c r="O64" s="87">
        <f>SUM(O56:O59)</f>
        <v/>
      </c>
      <c r="P64" s="87">
        <f>SUM(P56:P59)</f>
        <v/>
      </c>
      <c r="Q64" s="87">
        <f>SUM(Q56:Q59)</f>
        <v/>
      </c>
      <c r="R64" s="87">
        <f>SUM(R56:R59)</f>
        <v/>
      </c>
      <c r="S64" s="87">
        <f>SUM(S56:S59)</f>
        <v/>
      </c>
      <c r="T64" s="87">
        <f>SUM(T56:T59)</f>
        <v/>
      </c>
      <c r="U64" s="87">
        <f>SUM(U56:U59)</f>
        <v/>
      </c>
      <c r="V64" s="87">
        <f>SUM(V56:V59)</f>
        <v/>
      </c>
      <c r="W64" s="87">
        <f>SUM(W56:W59)</f>
        <v/>
      </c>
      <c r="X64" s="87">
        <f>SUM(X56:X59)</f>
        <v/>
      </c>
      <c r="Y64" s="87">
        <f>SUM(Y56:Y59)</f>
        <v/>
      </c>
      <c r="Z64" s="87">
        <f>SUM(Z56:Z59)</f>
        <v/>
      </c>
      <c r="AA64" s="87">
        <f>SUM(AA56:AA59)</f>
        <v/>
      </c>
      <c r="AB64" s="87">
        <f>SUM(AB56:AB59)</f>
        <v/>
      </c>
      <c r="AC64" s="87">
        <f>SUM(AC56:AC59)</f>
        <v/>
      </c>
      <c r="AD64" s="87">
        <f>SUM(AD56:AD59)</f>
        <v/>
      </c>
      <c r="AE64" s="87">
        <f>SUM(AE56:AE59)</f>
        <v/>
      </c>
      <c r="AF64" s="87">
        <f>SUM(AF56:AF59)</f>
        <v/>
      </c>
      <c r="AG64" s="87">
        <f>SUM(AG56:AG59)</f>
        <v/>
      </c>
      <c r="AH64" s="87">
        <f>SUM(AH56:AH59)</f>
        <v/>
      </c>
      <c r="AI64" s="87">
        <f>SUM(AI56:AI59)</f>
        <v/>
      </c>
      <c r="AJ64" s="87">
        <f>SUM(AJ56:AJ59)</f>
        <v/>
      </c>
      <c r="AK64" s="87">
        <f>SUM(AK56:AK59)</f>
        <v/>
      </c>
      <c r="AL64" s="87">
        <f>SUM(AL56:AL59)</f>
        <v/>
      </c>
      <c r="AM64" s="87">
        <f>SUM(AM56:AM59)</f>
        <v/>
      </c>
      <c r="AN64" s="87">
        <f>SUM(AN56:AN59)</f>
        <v/>
      </c>
      <c r="AO64" s="87">
        <f>SUM(AO56:AO59)</f>
        <v/>
      </c>
      <c r="AP64" s="87">
        <f>SUM(AP56:AP59)</f>
        <v/>
      </c>
      <c r="AQ64" s="87">
        <f>SUM(AQ56:AQ59)</f>
        <v/>
      </c>
      <c r="AR64" s="87">
        <f>SUM(AR56:AR59)</f>
        <v/>
      </c>
      <c r="AS64" s="87">
        <f>SUM(AS56:AS59)</f>
        <v/>
      </c>
      <c r="AT64" s="87">
        <f>SUM(AT56:AT59)</f>
        <v/>
      </c>
      <c r="AU64" s="87">
        <f>SUM(AU56:AU59)</f>
        <v/>
      </c>
      <c r="AV64" s="87">
        <f>SUM(AV56:AV59)</f>
        <v/>
      </c>
      <c r="AW64" s="87">
        <f>SUM(AW56:AW59)</f>
        <v/>
      </c>
      <c r="AX64" s="87">
        <f>SUM(AX56:AX59)</f>
        <v/>
      </c>
      <c r="AY64" s="87">
        <f>SUM(AY56:AY59)</f>
        <v/>
      </c>
      <c r="AZ64" s="87">
        <f>SUM(AZ56:AZ59)</f>
        <v/>
      </c>
      <c r="BA64" s="87">
        <f>SUM(BA56:BA59)</f>
        <v/>
      </c>
      <c r="BB64" s="87">
        <f>SUM(BB56:BB59)</f>
        <v/>
      </c>
      <c r="BC64" s="87">
        <f>SUM(BC56:BC59)</f>
        <v/>
      </c>
      <c r="BD64" s="87">
        <f>SUM(BD56:BD59)</f>
        <v/>
      </c>
      <c r="BE64" s="87">
        <f>SUM(BE56:BE59)</f>
        <v/>
      </c>
      <c r="BF64" s="87">
        <f>SUM(BF56:BF59)</f>
        <v/>
      </c>
      <c r="BG64" s="87">
        <f>SUM(BG56:BG59)</f>
        <v/>
      </c>
      <c r="BH64" s="87">
        <f>SUM(BH56:BH59)</f>
        <v/>
      </c>
      <c r="BI64" s="87">
        <f>SUM(BI56:BI59)</f>
        <v/>
      </c>
      <c r="BJ64" s="87">
        <f>SUM(BJ56:BJ59)</f>
        <v/>
      </c>
      <c r="BK64" s="87">
        <f>SUM(BK56:BK59)</f>
        <v/>
      </c>
      <c r="BL64" s="87">
        <f>SUM(BL56:BL59)</f>
        <v/>
      </c>
      <c r="BM64" s="87">
        <f>SUM(BM56:BM59)</f>
        <v/>
      </c>
    </row>
    <row r="65" ht="15.75" customHeight="1"/>
    <row r="66" ht="18" customHeight="1">
      <c r="A66" s="532" t="inlineStr">
        <is>
          <t>GASTO DE SACOLAS E ITENS DOADOS 2026 - MENSAIS</t>
        </is>
      </c>
      <c r="B66" s="734" t="n"/>
      <c r="C66" s="734" t="n"/>
      <c r="D66" s="734" t="n"/>
      <c r="E66" s="734" t="n"/>
      <c r="F66" s="734" t="n"/>
      <c r="G66" s="734" t="n"/>
      <c r="H66" s="734" t="n"/>
      <c r="I66" s="734" t="n"/>
      <c r="J66" s="734" t="n"/>
      <c r="K66" s="734" t="n"/>
      <c r="L66" s="734" t="n"/>
      <c r="M66" s="734" t="n"/>
      <c r="N66" s="734" t="n"/>
      <c r="O66" s="734" t="n"/>
      <c r="P66" s="734" t="n"/>
      <c r="Q66" s="734" t="n"/>
      <c r="R66" s="734" t="n"/>
      <c r="S66" s="734" t="n"/>
      <c r="T66" s="734" t="n"/>
      <c r="U66" s="734" t="n"/>
      <c r="V66" s="734" t="n"/>
      <c r="W66" s="734" t="n"/>
      <c r="X66" s="734" t="n"/>
      <c r="Y66" s="734" t="n"/>
      <c r="Z66" s="734" t="n"/>
      <c r="AA66" s="734" t="n"/>
      <c r="AB66" s="734" t="n"/>
      <c r="AC66" s="734" t="n"/>
      <c r="AD66" s="734" t="n"/>
      <c r="AE66" s="734" t="n"/>
      <c r="AF66" s="734" t="n"/>
      <c r="AG66" s="734" t="n"/>
      <c r="AH66" s="734" t="n"/>
      <c r="AI66" s="734" t="n"/>
      <c r="AJ66" s="734" t="n"/>
      <c r="AK66" s="734" t="n"/>
      <c r="AL66" s="734" t="n"/>
      <c r="AM66" s="734" t="n"/>
      <c r="AN66" s="734" t="n"/>
      <c r="AO66" s="734" t="n"/>
      <c r="AP66" s="734" t="n"/>
      <c r="AQ66" s="734" t="n"/>
      <c r="AR66" s="734" t="n"/>
      <c r="AS66" s="734" t="n"/>
      <c r="AT66" s="734" t="n"/>
      <c r="AU66" s="734" t="n"/>
      <c r="AV66" s="734" t="n"/>
      <c r="AW66" s="734" t="n"/>
      <c r="AX66" s="734" t="n"/>
      <c r="AY66" s="734" t="n"/>
      <c r="AZ66" s="734" t="n"/>
      <c r="BA66" s="734" t="n"/>
      <c r="BB66" s="734" t="n"/>
      <c r="BC66" s="734" t="n"/>
      <c r="BD66" s="734" t="n"/>
      <c r="BE66" s="734" t="n"/>
      <c r="BF66" s="734" t="n"/>
      <c r="BG66" s="734" t="n"/>
      <c r="BH66" s="734" t="n"/>
      <c r="BI66" s="734" t="n"/>
      <c r="BJ66" s="734" t="n"/>
      <c r="BK66" s="734" t="n"/>
      <c r="BL66" s="734" t="n"/>
      <c r="BM66" s="734" t="n"/>
    </row>
    <row r="67" ht="18" customHeight="1">
      <c r="A67" s="735" t="inlineStr">
        <is>
          <t>ATACADÃO</t>
        </is>
      </c>
      <c r="B67" s="735" t="inlineStr">
        <is>
          <t>JANEIRO</t>
        </is>
      </c>
      <c r="C67" s="736" t="n"/>
      <c r="D67" s="736" t="n"/>
      <c r="E67" s="736" t="n"/>
      <c r="F67" s="737" t="n"/>
      <c r="G67" s="735" t="inlineStr">
        <is>
          <t>FEVEREIRO</t>
        </is>
      </c>
      <c r="H67" s="736" t="n"/>
      <c r="I67" s="736" t="n"/>
      <c r="J67" s="736" t="n"/>
      <c r="K67" s="737" t="n"/>
      <c r="L67" s="735" t="inlineStr">
        <is>
          <t>MARÇO</t>
        </is>
      </c>
      <c r="M67" s="736" t="n"/>
      <c r="N67" s="736" t="n"/>
      <c r="O67" s="736" t="n"/>
      <c r="P67" s="736" t="n"/>
      <c r="Q67" s="737" t="n"/>
      <c r="R67" s="735" t="inlineStr">
        <is>
          <t>ABRIL</t>
        </is>
      </c>
      <c r="S67" s="736" t="n"/>
      <c r="T67" s="736" t="n"/>
      <c r="U67" s="736" t="n"/>
      <c r="V67" s="737" t="n"/>
      <c r="W67" s="735" t="inlineStr">
        <is>
          <t>MAIO</t>
        </is>
      </c>
      <c r="X67" s="736" t="n"/>
      <c r="Y67" s="736" t="n"/>
      <c r="Z67" s="736" t="n"/>
      <c r="AA67" s="737" t="n"/>
      <c r="AB67" s="735" t="inlineStr">
        <is>
          <t>JUNHO</t>
        </is>
      </c>
      <c r="AC67" s="736" t="n"/>
      <c r="AD67" s="736" t="n"/>
      <c r="AE67" s="736" t="n"/>
      <c r="AF67" s="736" t="n"/>
      <c r="AG67" s="737" t="n"/>
      <c r="AH67" s="735" t="inlineStr">
        <is>
          <t>JULHO</t>
        </is>
      </c>
      <c r="AI67" s="736" t="n"/>
      <c r="AJ67" s="736" t="n"/>
      <c r="AK67" s="736" t="n"/>
      <c r="AL67" s="737" t="n"/>
      <c r="AM67" s="735" t="inlineStr">
        <is>
          <t>AGOSTO</t>
        </is>
      </c>
      <c r="AN67" s="736" t="n"/>
      <c r="AO67" s="736" t="n"/>
      <c r="AP67" s="736" t="n"/>
      <c r="AQ67" s="736" t="n"/>
      <c r="AR67" s="737" t="n"/>
      <c r="AS67" s="735" t="inlineStr">
        <is>
          <t>SETEMBRO</t>
        </is>
      </c>
      <c r="AT67" s="736" t="n"/>
      <c r="AU67" s="736" t="n"/>
      <c r="AV67" s="736" t="n"/>
      <c r="AW67" s="737" t="n"/>
      <c r="AX67" s="735" t="inlineStr">
        <is>
          <t>OUTUBRO</t>
        </is>
      </c>
      <c r="AY67" s="736" t="n"/>
      <c r="AZ67" s="736" t="n"/>
      <c r="BA67" s="736" t="n"/>
      <c r="BB67" s="737" t="n"/>
      <c r="BC67" s="735" t="inlineStr">
        <is>
          <t>NOVEMBRO</t>
        </is>
      </c>
      <c r="BD67" s="736" t="n"/>
      <c r="BE67" s="736" t="n"/>
      <c r="BF67" s="736" t="n"/>
      <c r="BG67" s="736" t="n"/>
      <c r="BH67" s="737" t="n"/>
      <c r="BI67" s="735" t="inlineStr">
        <is>
          <t>DEZEMBRO</t>
        </is>
      </c>
      <c r="BJ67" s="736" t="n"/>
      <c r="BK67" s="736" t="n"/>
      <c r="BL67" s="736" t="n"/>
      <c r="BM67" s="737" t="n"/>
    </row>
    <row r="68" ht="15.75" customHeight="1">
      <c r="A68" s="738" t="n"/>
      <c r="B68" s="78" t="n">
        <v>46027</v>
      </c>
      <c r="C68" s="78" t="n">
        <v>46034</v>
      </c>
      <c r="D68" s="78" t="n">
        <v>46041</v>
      </c>
      <c r="E68" s="78" t="n">
        <v>46048</v>
      </c>
      <c r="F68" s="85" t="inlineStr">
        <is>
          <t>USOU</t>
        </is>
      </c>
      <c r="G68" s="78" t="n">
        <v>46055</v>
      </c>
      <c r="H68" s="78" t="n">
        <v>46062</v>
      </c>
      <c r="I68" s="78" t="n">
        <v>46069</v>
      </c>
      <c r="J68" s="78" t="n">
        <v>46076</v>
      </c>
      <c r="K68" s="85" t="inlineStr">
        <is>
          <t>USOU</t>
        </is>
      </c>
      <c r="L68" s="78" t="n">
        <v>46083</v>
      </c>
      <c r="M68" s="78" t="n">
        <v>46090</v>
      </c>
      <c r="N68" s="78" t="n">
        <v>46097</v>
      </c>
      <c r="O68" s="78" t="n">
        <v>46104</v>
      </c>
      <c r="P68" s="78" t="n">
        <v>46111</v>
      </c>
      <c r="Q68" s="85" t="inlineStr">
        <is>
          <t>USOU</t>
        </is>
      </c>
      <c r="R68" s="78" t="n">
        <v>46118</v>
      </c>
      <c r="S68" s="78" t="n">
        <v>46125</v>
      </c>
      <c r="T68" s="78" t="n">
        <v>46132</v>
      </c>
      <c r="U68" s="78" t="n">
        <v>46139</v>
      </c>
      <c r="V68" s="85" t="inlineStr">
        <is>
          <t>USOU</t>
        </is>
      </c>
      <c r="W68" s="78" t="n">
        <v>46146</v>
      </c>
      <c r="X68" s="78" t="n">
        <v>46153</v>
      </c>
      <c r="Y68" s="78" t="n">
        <v>46160</v>
      </c>
      <c r="Z68" s="78" t="n">
        <v>46167</v>
      </c>
      <c r="AA68" s="85" t="inlineStr">
        <is>
          <t>USOU</t>
        </is>
      </c>
      <c r="AB68" s="78" t="n">
        <v>46174</v>
      </c>
      <c r="AC68" s="78" t="n">
        <v>46181</v>
      </c>
      <c r="AD68" s="78" t="n">
        <v>46188</v>
      </c>
      <c r="AE68" s="78" t="n">
        <v>46195</v>
      </c>
      <c r="AF68" s="78" t="n">
        <v>46202</v>
      </c>
      <c r="AG68" s="85" t="inlineStr">
        <is>
          <t>USOU</t>
        </is>
      </c>
      <c r="AH68" s="78" t="n">
        <v>46209</v>
      </c>
      <c r="AI68" s="78" t="n">
        <v>46216</v>
      </c>
      <c r="AJ68" s="78" t="n">
        <v>46223</v>
      </c>
      <c r="AK68" s="78" t="n">
        <v>46230</v>
      </c>
      <c r="AL68" s="85" t="inlineStr">
        <is>
          <t>USOU</t>
        </is>
      </c>
      <c r="AM68" s="78" t="n">
        <v>46237</v>
      </c>
      <c r="AN68" s="78" t="n">
        <v>46244</v>
      </c>
      <c r="AO68" s="78" t="n">
        <v>46251</v>
      </c>
      <c r="AP68" s="78" t="n">
        <v>46258</v>
      </c>
      <c r="AQ68" s="78" t="n">
        <v>46265</v>
      </c>
      <c r="AR68" s="85" t="inlineStr">
        <is>
          <t>USOU</t>
        </is>
      </c>
      <c r="AS68" s="78" t="n">
        <v>46272</v>
      </c>
      <c r="AT68" s="78" t="n">
        <v>46279</v>
      </c>
      <c r="AU68" s="78" t="n">
        <v>46286</v>
      </c>
      <c r="AV68" s="78" t="n">
        <v>46293</v>
      </c>
      <c r="AW68" s="85" t="inlineStr">
        <is>
          <t>USOU</t>
        </is>
      </c>
      <c r="AX68" s="78" t="n">
        <v>46300</v>
      </c>
      <c r="AY68" s="78" t="n">
        <v>46307</v>
      </c>
      <c r="AZ68" s="78" t="n">
        <v>46314</v>
      </c>
      <c r="BA68" s="78" t="n">
        <v>46321</v>
      </c>
      <c r="BB68" s="85" t="inlineStr">
        <is>
          <t>USOU</t>
        </is>
      </c>
      <c r="BC68" s="78" t="n">
        <v>46328</v>
      </c>
      <c r="BD68" s="78" t="n">
        <v>46335</v>
      </c>
      <c r="BE68" s="78" t="n">
        <v>46342</v>
      </c>
      <c r="BF68" s="78" t="n">
        <v>46349</v>
      </c>
      <c r="BG68" s="78" t="n">
        <v>46356</v>
      </c>
      <c r="BH68" s="85" t="inlineStr">
        <is>
          <t>USOU</t>
        </is>
      </c>
      <c r="BI68" s="78" t="n">
        <v>46363</v>
      </c>
      <c r="BJ68" s="78" t="n">
        <v>46370</v>
      </c>
      <c r="BK68" s="78" t="n">
        <v>46377</v>
      </c>
      <c r="BL68" s="78" t="n">
        <v>46384</v>
      </c>
      <c r="BM68" s="85" t="inlineStr">
        <is>
          <t>USOU</t>
        </is>
      </c>
    </row>
    <row r="69" ht="15.75" customHeight="1">
      <c r="A69" s="82" t="inlineStr">
        <is>
          <t>SACOLA PP VERDE</t>
        </is>
      </c>
      <c r="B69" s="80" t="n">
        <v>0</v>
      </c>
      <c r="C69" s="80" t="n">
        <v>40</v>
      </c>
      <c r="D69" s="80" t="n">
        <v>40</v>
      </c>
      <c r="E69" s="80" t="n">
        <v>60</v>
      </c>
      <c r="F69" s="81">
        <f>B69+C69+D69+E69</f>
        <v/>
      </c>
      <c r="G69" s="80" t="n">
        <v>0</v>
      </c>
      <c r="H69" s="80" t="n">
        <v>40</v>
      </c>
      <c r="I69" s="80" t="n">
        <v>40</v>
      </c>
      <c r="J69" s="80" t="n">
        <v>20</v>
      </c>
      <c r="K69" s="81">
        <f>G69+H69+I69+J69</f>
        <v/>
      </c>
      <c r="L69" s="80" t="n">
        <v>60</v>
      </c>
      <c r="M69" s="80" t="n">
        <v>0</v>
      </c>
      <c r="N69" s="80" t="n">
        <v>60</v>
      </c>
      <c r="O69" s="80" t="n">
        <v>20</v>
      </c>
      <c r="P69" s="80" t="n">
        <v>100</v>
      </c>
      <c r="Q69" s="81">
        <f>L69+M69+N69+O69+P69</f>
        <v/>
      </c>
      <c r="R69" s="80" t="n"/>
      <c r="S69" s="80" t="n"/>
      <c r="T69" s="80" t="n"/>
      <c r="U69" s="80" t="n"/>
      <c r="V69" s="81">
        <f>R69+S69+T69+U69</f>
        <v/>
      </c>
      <c r="W69" s="80" t="n">
        <v>0</v>
      </c>
      <c r="X69" s="80" t="n">
        <v>280</v>
      </c>
      <c r="Y69" s="80" t="n"/>
      <c r="Z69" s="80" t="n"/>
      <c r="AA69" s="81">
        <f>W69+X69+Y69+Z69</f>
        <v/>
      </c>
      <c r="AB69" s="80" t="n"/>
      <c r="AC69" s="80" t="n"/>
      <c r="AD69" s="80" t="n"/>
      <c r="AE69" s="80" t="n"/>
      <c r="AF69" s="80" t="n"/>
      <c r="AG69" s="81">
        <f>AB69+AC69+AD69+AE69+AF69</f>
        <v/>
      </c>
      <c r="AH69" s="80" t="n"/>
      <c r="AI69" s="80" t="n"/>
      <c r="AJ69" s="80" t="n"/>
      <c r="AK69" s="80" t="n"/>
      <c r="AL69" s="81">
        <f>AH69+AI69+AJ69+AK69</f>
        <v/>
      </c>
      <c r="AM69" s="80" t="n"/>
      <c r="AN69" s="80" t="n"/>
      <c r="AO69" s="80" t="n"/>
      <c r="AP69" s="80" t="n"/>
      <c r="AQ69" s="80" t="n"/>
      <c r="AR69" s="81">
        <f>AM69+AN69+AO69+AP69+AQ69</f>
        <v/>
      </c>
      <c r="AS69" s="80" t="n"/>
      <c r="AT69" s="80" t="n"/>
      <c r="AU69" s="80" t="n"/>
      <c r="AV69" s="80" t="n"/>
      <c r="AW69" s="81">
        <f>AS69+AT69+AU69+AV69</f>
        <v/>
      </c>
      <c r="AX69" s="80" t="n"/>
      <c r="AY69" s="80" t="n"/>
      <c r="AZ69" s="80" t="n"/>
      <c r="BA69" s="80" t="n"/>
      <c r="BB69" s="81">
        <f>AX69+AY69+AZ69+BA69</f>
        <v/>
      </c>
      <c r="BC69" s="80" t="n"/>
      <c r="BD69" s="80" t="n"/>
      <c r="BE69" s="80" t="n"/>
      <c r="BF69" s="80" t="n"/>
      <c r="BG69" s="80" t="n"/>
      <c r="BH69" s="81">
        <f>BC69+BD69+BE69+BF69+BG69</f>
        <v/>
      </c>
      <c r="BI69" s="80" t="n"/>
      <c r="BJ69" s="80" t="n"/>
      <c r="BK69" s="80" t="n"/>
      <c r="BL69" s="80" t="n"/>
      <c r="BM69" s="81">
        <f>BI69+BJ69+BK69+BL69</f>
        <v/>
      </c>
    </row>
    <row r="70" ht="15.75" customHeight="1">
      <c r="A70" s="82" t="inlineStr">
        <is>
          <t>SACOLA P VERDE</t>
        </is>
      </c>
      <c r="B70" s="80" t="n">
        <v>100</v>
      </c>
      <c r="C70" s="80" t="n">
        <v>340</v>
      </c>
      <c r="D70" s="80" t="n">
        <v>100</v>
      </c>
      <c r="E70" s="80" t="n">
        <v>140</v>
      </c>
      <c r="F70" s="81">
        <f>B70+C70+D70+E70</f>
        <v/>
      </c>
      <c r="G70" s="80" t="n">
        <v>0</v>
      </c>
      <c r="H70" s="80" t="n">
        <v>120</v>
      </c>
      <c r="I70" s="80" t="n">
        <v>120</v>
      </c>
      <c r="J70" s="80" t="n">
        <v>80</v>
      </c>
      <c r="K70" s="81">
        <f>G70+H70+I70+J70</f>
        <v/>
      </c>
      <c r="L70" s="80" t="n">
        <v>40</v>
      </c>
      <c r="M70" s="80" t="n">
        <v>400</v>
      </c>
      <c r="N70" s="80" t="n">
        <v>60</v>
      </c>
      <c r="O70" s="80" t="n">
        <v>200</v>
      </c>
      <c r="P70" s="80" t="n">
        <v>120</v>
      </c>
      <c r="Q70" s="81">
        <f>L70+M70+N70+O70+P70</f>
        <v/>
      </c>
      <c r="R70" s="80" t="n"/>
      <c r="S70" s="80" t="n"/>
      <c r="T70" s="80" t="n"/>
      <c r="U70" s="80" t="n"/>
      <c r="V70" s="81">
        <f>R70+S70+T70+U70</f>
        <v/>
      </c>
      <c r="W70" s="80" t="n">
        <v>0</v>
      </c>
      <c r="X70" s="80" t="n">
        <v>0</v>
      </c>
      <c r="Y70" s="80" t="n"/>
      <c r="Z70" s="80" t="n"/>
      <c r="AA70" s="81">
        <f>W70+X70+Y70+Z70</f>
        <v/>
      </c>
      <c r="AB70" s="80" t="n"/>
      <c r="AC70" s="80" t="n"/>
      <c r="AD70" s="80" t="n"/>
      <c r="AE70" s="80" t="n"/>
      <c r="AF70" s="80" t="n"/>
      <c r="AG70" s="81">
        <f>AB70+AC70+AD70+AE70+AF70</f>
        <v/>
      </c>
      <c r="AH70" s="80" t="n"/>
      <c r="AI70" s="80" t="n"/>
      <c r="AJ70" s="80" t="n"/>
      <c r="AK70" s="80" t="n"/>
      <c r="AL70" s="81">
        <f>AH70+AI70+AJ70+AK70</f>
        <v/>
      </c>
      <c r="AM70" s="80" t="n"/>
      <c r="AN70" s="80" t="n"/>
      <c r="AO70" s="80" t="n"/>
      <c r="AP70" s="80" t="n"/>
      <c r="AQ70" s="80" t="n"/>
      <c r="AR70" s="81">
        <f>AM70+AN70+AO70+AP70+AQ70</f>
        <v/>
      </c>
      <c r="AS70" s="80" t="n"/>
      <c r="AT70" s="80" t="n"/>
      <c r="AU70" s="80" t="n"/>
      <c r="AV70" s="80" t="n"/>
      <c r="AW70" s="81">
        <f>AS70+AT70+AU70+AV70</f>
        <v/>
      </c>
      <c r="AX70" s="80" t="n"/>
      <c r="AY70" s="80" t="n"/>
      <c r="AZ70" s="80" t="n"/>
      <c r="BA70" s="80" t="n"/>
      <c r="BB70" s="81">
        <f>AX70+AY70+AZ70+BA70</f>
        <v/>
      </c>
      <c r="BC70" s="80" t="n"/>
      <c r="BD70" s="80" t="n"/>
      <c r="BE70" s="80" t="n"/>
      <c r="BF70" s="80" t="n"/>
      <c r="BG70" s="80" t="n"/>
      <c r="BH70" s="81">
        <f>BC70+BD70+BE70+BF70+BG70</f>
        <v/>
      </c>
      <c r="BI70" s="80" t="n"/>
      <c r="BJ70" s="80" t="n"/>
      <c r="BK70" s="80" t="n"/>
      <c r="BL70" s="80" t="n"/>
      <c r="BM70" s="81">
        <f>BI70+BJ70+BK70+BL70</f>
        <v/>
      </c>
    </row>
    <row r="71" ht="15.75" customHeight="1">
      <c r="A71" s="82" t="inlineStr">
        <is>
          <t>SACOLA M VERDE</t>
        </is>
      </c>
      <c r="B71" s="80" t="n">
        <v>0</v>
      </c>
      <c r="C71" s="80" t="n">
        <v>40</v>
      </c>
      <c r="D71" s="80" t="n">
        <v>100</v>
      </c>
      <c r="E71" s="80" t="n">
        <v>0</v>
      </c>
      <c r="F71" s="81">
        <f>B71+C71+D71+E71</f>
        <v/>
      </c>
      <c r="G71" s="80" t="n">
        <v>0</v>
      </c>
      <c r="H71" s="80" t="n">
        <v>0</v>
      </c>
      <c r="I71" s="80" t="n">
        <v>0</v>
      </c>
      <c r="J71" s="80" t="n">
        <v>20</v>
      </c>
      <c r="K71" s="81">
        <f>G71+H71+I71+J71</f>
        <v/>
      </c>
      <c r="L71" s="80" t="n">
        <v>0</v>
      </c>
      <c r="M71" s="80" t="n">
        <v>80</v>
      </c>
      <c r="N71" s="80" t="n">
        <v>20</v>
      </c>
      <c r="O71" s="80" t="n">
        <v>80</v>
      </c>
      <c r="P71" s="80" t="n">
        <v>0</v>
      </c>
      <c r="Q71" s="81">
        <f>L71+M71+N71+O71+P71</f>
        <v/>
      </c>
      <c r="R71" s="80" t="n"/>
      <c r="S71" s="80" t="n"/>
      <c r="T71" s="80" t="n"/>
      <c r="U71" s="80" t="n"/>
      <c r="V71" s="81">
        <f>R71+S71+T71+U71</f>
        <v/>
      </c>
      <c r="W71" s="80" t="n">
        <v>0</v>
      </c>
      <c r="X71" s="80" t="n">
        <v>20</v>
      </c>
      <c r="Y71" s="80" t="n"/>
      <c r="Z71" s="80" t="n"/>
      <c r="AA71" s="81">
        <f>W71+X71+Y71+Z71</f>
        <v/>
      </c>
      <c r="AB71" s="80" t="n"/>
      <c r="AC71" s="80" t="n"/>
      <c r="AD71" s="80" t="n"/>
      <c r="AE71" s="80" t="n"/>
      <c r="AF71" s="80" t="n"/>
      <c r="AG71" s="81">
        <f>AB71+AC71+AD71+AE71+AF71</f>
        <v/>
      </c>
      <c r="AH71" s="80" t="n"/>
      <c r="AI71" s="80" t="n"/>
      <c r="AJ71" s="80" t="n"/>
      <c r="AK71" s="80" t="n"/>
      <c r="AL71" s="81">
        <f>AH71+AI71+AJ71+AK71</f>
        <v/>
      </c>
      <c r="AM71" s="80" t="n"/>
      <c r="AN71" s="80" t="n"/>
      <c r="AO71" s="80" t="n"/>
      <c r="AP71" s="80" t="n"/>
      <c r="AQ71" s="80" t="n"/>
      <c r="AR71" s="81">
        <f>AM71+AN71+AO71+AP71+AQ71</f>
        <v/>
      </c>
      <c r="AS71" s="80" t="n"/>
      <c r="AT71" s="80" t="n"/>
      <c r="AU71" s="80" t="n"/>
      <c r="AV71" s="80" t="n"/>
      <c r="AW71" s="81">
        <f>AS71+AT71+AU71+AV71</f>
        <v/>
      </c>
      <c r="AX71" s="80" t="n"/>
      <c r="AY71" s="80" t="n"/>
      <c r="AZ71" s="80" t="n"/>
      <c r="BA71" s="80" t="n"/>
      <c r="BB71" s="81">
        <f>AX71+AY71+AZ71+BA71</f>
        <v/>
      </c>
      <c r="BC71" s="80" t="n"/>
      <c r="BD71" s="80" t="n"/>
      <c r="BE71" s="80" t="n"/>
      <c r="BF71" s="80" t="n"/>
      <c r="BG71" s="80" t="n"/>
      <c r="BH71" s="81">
        <f>BC71+BD71+BE71+BF71+BG71</f>
        <v/>
      </c>
      <c r="BI71" s="80" t="n"/>
      <c r="BJ71" s="80" t="n"/>
      <c r="BK71" s="80" t="n"/>
      <c r="BL71" s="80" t="n"/>
      <c r="BM71" s="81">
        <f>BI71+BJ71+BK71+BL71</f>
        <v/>
      </c>
    </row>
    <row r="72" ht="15.75" customHeight="1">
      <c r="A72" s="83" t="inlineStr">
        <is>
          <t>SACOLA G VERDE</t>
        </is>
      </c>
      <c r="B72" s="80" t="n">
        <v>0</v>
      </c>
      <c r="C72" s="80" t="n">
        <v>0</v>
      </c>
      <c r="D72" s="80" t="n">
        <v>0</v>
      </c>
      <c r="E72" s="80" t="n">
        <v>0</v>
      </c>
      <c r="F72" s="81">
        <f>B72+C72+D72+E72</f>
        <v/>
      </c>
      <c r="G72" s="80" t="n">
        <v>0</v>
      </c>
      <c r="H72" s="80" t="n">
        <v>0</v>
      </c>
      <c r="I72" s="80" t="n">
        <v>0</v>
      </c>
      <c r="J72" s="80" t="n">
        <v>0</v>
      </c>
      <c r="K72" s="81">
        <f>G72+H72+I72+J72</f>
        <v/>
      </c>
      <c r="L72" s="80" t="n">
        <v>0</v>
      </c>
      <c r="M72" s="80" t="n">
        <v>0</v>
      </c>
      <c r="N72" s="80" t="n">
        <v>20</v>
      </c>
      <c r="O72" s="80" t="n">
        <v>0</v>
      </c>
      <c r="P72" s="80" t="n">
        <v>0</v>
      </c>
      <c r="Q72" s="81">
        <f>L72+M72+N72+O72+P72</f>
        <v/>
      </c>
      <c r="R72" s="80" t="n"/>
      <c r="S72" s="80" t="n"/>
      <c r="T72" s="80" t="n"/>
      <c r="U72" s="80" t="n"/>
      <c r="V72" s="81">
        <f>R72+S72+T72+U72</f>
        <v/>
      </c>
      <c r="W72" s="80" t="n">
        <v>0</v>
      </c>
      <c r="X72" s="80" t="n">
        <v>0</v>
      </c>
      <c r="Y72" s="80" t="n"/>
      <c r="Z72" s="80" t="n"/>
      <c r="AA72" s="81">
        <f>W72+X72+Y72+Z72</f>
        <v/>
      </c>
      <c r="AB72" s="80" t="n"/>
      <c r="AC72" s="80" t="n"/>
      <c r="AD72" s="80" t="n"/>
      <c r="AE72" s="80" t="n"/>
      <c r="AF72" s="80" t="n"/>
      <c r="AG72" s="81">
        <f>AB72+AC72+AD72+AE72+AF72</f>
        <v/>
      </c>
      <c r="AH72" s="80" t="n"/>
      <c r="AI72" s="80" t="n"/>
      <c r="AJ72" s="80" t="n"/>
      <c r="AK72" s="80" t="n"/>
      <c r="AL72" s="81">
        <f>AH72+AI72+AJ72+AK72</f>
        <v/>
      </c>
      <c r="AM72" s="80" t="n"/>
      <c r="AN72" s="80" t="n"/>
      <c r="AO72" s="80" t="n"/>
      <c r="AP72" s="80" t="n"/>
      <c r="AQ72" s="80" t="n"/>
      <c r="AR72" s="81">
        <f>AM72+AN72+AO72+AP72+AQ72</f>
        <v/>
      </c>
      <c r="AS72" s="80" t="n"/>
      <c r="AT72" s="80" t="n"/>
      <c r="AU72" s="80" t="n"/>
      <c r="AV72" s="80" t="n"/>
      <c r="AW72" s="81">
        <f>AS72+AT72+AU72+AV72</f>
        <v/>
      </c>
      <c r="AX72" s="80" t="n"/>
      <c r="AY72" s="80" t="n"/>
      <c r="AZ72" s="80" t="n"/>
      <c r="BA72" s="80" t="n"/>
      <c r="BB72" s="81">
        <f>AX72+AY72+AZ72+BA72</f>
        <v/>
      </c>
      <c r="BC72" s="80" t="n"/>
      <c r="BD72" s="80" t="n"/>
      <c r="BE72" s="80" t="n"/>
      <c r="BF72" s="80" t="n"/>
      <c r="BG72" s="80" t="n"/>
      <c r="BH72" s="81">
        <f>BC72+BD72+BE72+BF72+BG72</f>
        <v/>
      </c>
      <c r="BI72" s="80" t="n"/>
      <c r="BJ72" s="80" t="n"/>
      <c r="BK72" s="80" t="n"/>
      <c r="BL72" s="80" t="n"/>
      <c r="BM72" s="81">
        <f>BI72+BJ72+BK72+BL72</f>
        <v/>
      </c>
    </row>
    <row r="73" ht="15.75" customHeight="1">
      <c r="A73" s="84" t="inlineStr">
        <is>
          <t xml:space="preserve">PAPEL DE SEDA </t>
        </is>
      </c>
      <c r="B73" s="80" t="n">
        <v>1</v>
      </c>
      <c r="C73" s="80" t="n">
        <v>0</v>
      </c>
      <c r="D73" s="80" t="n">
        <v>0</v>
      </c>
      <c r="E73" s="80" t="n">
        <v>0</v>
      </c>
      <c r="F73" s="81">
        <f>B73+C73+D73+E73</f>
        <v/>
      </c>
      <c r="G73" s="80" t="n">
        <v>0</v>
      </c>
      <c r="H73" s="80" t="n">
        <v>1</v>
      </c>
      <c r="I73" s="80" t="n">
        <v>1</v>
      </c>
      <c r="J73" s="80" t="n">
        <v>1</v>
      </c>
      <c r="K73" s="81">
        <f>G73+H73+I73+J73</f>
        <v/>
      </c>
      <c r="L73" s="80" t="n">
        <v>0</v>
      </c>
      <c r="M73" s="80" t="n">
        <v>1</v>
      </c>
      <c r="N73" s="80" t="n">
        <v>1</v>
      </c>
      <c r="O73" s="80" t="n">
        <v>0</v>
      </c>
      <c r="P73" s="80" t="n">
        <v>1</v>
      </c>
      <c r="Q73" s="81">
        <f>L73+M73+N73+O73+P73</f>
        <v/>
      </c>
      <c r="R73" s="80" t="n"/>
      <c r="S73" s="80" t="n"/>
      <c r="T73" s="80" t="n"/>
      <c r="U73" s="80" t="n"/>
      <c r="V73" s="81">
        <f>R73+S73+T73+U73</f>
        <v/>
      </c>
      <c r="W73" s="80" t="n">
        <v>0</v>
      </c>
      <c r="X73" s="80" t="n">
        <v>1</v>
      </c>
      <c r="Y73" s="80" t="n"/>
      <c r="Z73" s="80" t="n"/>
      <c r="AA73" s="81">
        <f>W73+X73+Y73+Z73</f>
        <v/>
      </c>
      <c r="AB73" s="80" t="n"/>
      <c r="AC73" s="80" t="n"/>
      <c r="AD73" s="80" t="n"/>
      <c r="AE73" s="80" t="n"/>
      <c r="AF73" s="80" t="n"/>
      <c r="AG73" s="81">
        <f>AB73+AC73+AD73+AE73+AF73</f>
        <v/>
      </c>
      <c r="AH73" s="80" t="n"/>
      <c r="AI73" s="80" t="n"/>
      <c r="AJ73" s="80" t="n"/>
      <c r="AK73" s="80" t="n"/>
      <c r="AL73" s="81">
        <f>AH73+AI73+AJ73+AK73</f>
        <v/>
      </c>
      <c r="AM73" s="80" t="n"/>
      <c r="AN73" s="80" t="n"/>
      <c r="AO73" s="80" t="n"/>
      <c r="AP73" s="80" t="n"/>
      <c r="AQ73" s="80" t="n"/>
      <c r="AR73" s="81">
        <f>AM73+AN73+AO73+AP73+AQ73</f>
        <v/>
      </c>
      <c r="AS73" s="80" t="n"/>
      <c r="AT73" s="80" t="n"/>
      <c r="AU73" s="80" t="n"/>
      <c r="AV73" s="80" t="n"/>
      <c r="AW73" s="81">
        <f>AS73+AT73+AU73+AV73</f>
        <v/>
      </c>
      <c r="AX73" s="80" t="n"/>
      <c r="AY73" s="80" t="n"/>
      <c r="AZ73" s="80" t="n"/>
      <c r="BA73" s="80" t="n"/>
      <c r="BB73" s="81">
        <f>AX73+AY73+AZ73+BA73</f>
        <v/>
      </c>
      <c r="BC73" s="80" t="n"/>
      <c r="BD73" s="80" t="n"/>
      <c r="BE73" s="80" t="n"/>
      <c r="BF73" s="80" t="n"/>
      <c r="BG73" s="80" t="n"/>
      <c r="BH73" s="81">
        <f>BC73+BD73+BE73+BF73+BG73</f>
        <v/>
      </c>
      <c r="BI73" s="80" t="n"/>
      <c r="BJ73" s="80" t="n"/>
      <c r="BK73" s="80" t="n"/>
      <c r="BL73" s="80" t="n"/>
      <c r="BM73" s="81">
        <f>BI73+BJ73+BK73+BL73</f>
        <v/>
      </c>
    </row>
    <row r="74" ht="15.75" customHeight="1">
      <c r="A74" s="84" t="inlineStr">
        <is>
          <t>ETIQUETAS</t>
        </is>
      </c>
      <c r="B74" s="80" t="n">
        <v>0</v>
      </c>
      <c r="C74" s="80" t="n">
        <v>0</v>
      </c>
      <c r="D74" s="80" t="n">
        <v>0</v>
      </c>
      <c r="E74" s="80" t="n">
        <v>1</v>
      </c>
      <c r="F74" s="81">
        <f>B74+C74+D74+E74</f>
        <v/>
      </c>
      <c r="G74" s="80" t="n">
        <v>0</v>
      </c>
      <c r="H74" s="80" t="n">
        <v>0</v>
      </c>
      <c r="I74" s="80" t="n">
        <v>0</v>
      </c>
      <c r="J74" s="80" t="n">
        <v>1</v>
      </c>
      <c r="K74" s="81">
        <f>G74+H74+I74+J74</f>
        <v/>
      </c>
      <c r="L74" s="80" t="n">
        <v>0</v>
      </c>
      <c r="M74" s="80" t="n">
        <v>0</v>
      </c>
      <c r="N74" s="80" t="n">
        <v>0</v>
      </c>
      <c r="O74" s="80" t="n">
        <v>0</v>
      </c>
      <c r="P74" s="80" t="n">
        <v>0</v>
      </c>
      <c r="Q74" s="81">
        <f>L74+M74+N74+O74+P74</f>
        <v/>
      </c>
      <c r="R74" s="80" t="n"/>
      <c r="S74" s="80" t="n"/>
      <c r="T74" s="80" t="n"/>
      <c r="U74" s="80" t="n"/>
      <c r="V74" s="81">
        <f>R74+S74+T74+U74</f>
        <v/>
      </c>
      <c r="W74" s="80" t="n">
        <v>0</v>
      </c>
      <c r="X74" s="80" t="n">
        <v>0</v>
      </c>
      <c r="Y74" s="80" t="n"/>
      <c r="Z74" s="80" t="n"/>
      <c r="AA74" s="81">
        <f>W74+X74+Y74+Z74</f>
        <v/>
      </c>
      <c r="AB74" s="80" t="n"/>
      <c r="AC74" s="80" t="n"/>
      <c r="AD74" s="80" t="n"/>
      <c r="AE74" s="80" t="n"/>
      <c r="AF74" s="80" t="n"/>
      <c r="AG74" s="81">
        <f>AB74+AC74+AD74+AE74+AF74</f>
        <v/>
      </c>
      <c r="AH74" s="80" t="n"/>
      <c r="AI74" s="80" t="n"/>
      <c r="AJ74" s="80" t="n"/>
      <c r="AK74" s="80" t="n"/>
      <c r="AL74" s="81">
        <f>AH74+AI74+AJ74+AK74</f>
        <v/>
      </c>
      <c r="AM74" s="80" t="n"/>
      <c r="AN74" s="80" t="n"/>
      <c r="AO74" s="80" t="n"/>
      <c r="AP74" s="80" t="n"/>
      <c r="AQ74" s="80" t="n"/>
      <c r="AR74" s="81">
        <f>AM74+AN74+AO74+AP74+AQ74</f>
        <v/>
      </c>
      <c r="AS74" s="80" t="n"/>
      <c r="AT74" s="80" t="n"/>
      <c r="AU74" s="80" t="n"/>
      <c r="AV74" s="80" t="n"/>
      <c r="AW74" s="81">
        <f>AS74+AT74+AU74+AV74</f>
        <v/>
      </c>
      <c r="AX74" s="80" t="n"/>
      <c r="AY74" s="80" t="n"/>
      <c r="AZ74" s="80" t="n"/>
      <c r="BA74" s="80" t="n"/>
      <c r="BB74" s="81">
        <f>AX74+AY74+AZ74+BA74</f>
        <v/>
      </c>
      <c r="BC74" s="80" t="n"/>
      <c r="BD74" s="80" t="n"/>
      <c r="BE74" s="80" t="n"/>
      <c r="BF74" s="80" t="n"/>
      <c r="BG74" s="80" t="n"/>
      <c r="BH74" s="81">
        <f>BC74+BD74+BE74+BF74+BG74</f>
        <v/>
      </c>
      <c r="BI74" s="80" t="n"/>
      <c r="BJ74" s="80" t="n"/>
      <c r="BK74" s="80" t="n"/>
      <c r="BL74" s="80" t="n"/>
      <c r="BM74" s="81">
        <f>BI74+BJ74+BK74+BL74</f>
        <v/>
      </c>
    </row>
    <row r="75" ht="15.75" customHeight="1">
      <c r="A75" s="84" t="inlineStr">
        <is>
          <t xml:space="preserve">TAGS </t>
        </is>
      </c>
      <c r="B75" s="80" t="n">
        <v>0</v>
      </c>
      <c r="C75" s="80" t="n">
        <v>0</v>
      </c>
      <c r="D75" s="80" t="n">
        <v>0</v>
      </c>
      <c r="E75" s="80" t="n">
        <v>0</v>
      </c>
      <c r="F75" s="81">
        <f>B75+C75+D75+E75</f>
        <v/>
      </c>
      <c r="G75" s="80" t="n">
        <v>0</v>
      </c>
      <c r="H75" s="80" t="n">
        <v>0</v>
      </c>
      <c r="I75" s="80" t="n">
        <v>0</v>
      </c>
      <c r="J75" s="80" t="n">
        <v>0</v>
      </c>
      <c r="K75" s="81">
        <f>G75+H75+I75+J75</f>
        <v/>
      </c>
      <c r="L75" s="80" t="n">
        <v>0</v>
      </c>
      <c r="M75" s="80" t="n">
        <v>0</v>
      </c>
      <c r="N75" s="80" t="n">
        <v>4</v>
      </c>
      <c r="O75" s="80" t="n">
        <v>0</v>
      </c>
      <c r="P75" s="80" t="n">
        <v>0</v>
      </c>
      <c r="Q75" s="81">
        <f>L75+M75+N75+O75+P75</f>
        <v/>
      </c>
      <c r="R75" s="80" t="n"/>
      <c r="S75" s="80" t="n"/>
      <c r="T75" s="80" t="n"/>
      <c r="U75" s="80" t="n"/>
      <c r="V75" s="81">
        <f>R75+S75+T75+U75</f>
        <v/>
      </c>
      <c r="W75" s="80" t="n">
        <v>2</v>
      </c>
      <c r="X75" s="80" t="n">
        <v>1</v>
      </c>
      <c r="Y75" s="80" t="n"/>
      <c r="Z75" s="80" t="n"/>
      <c r="AA75" s="81">
        <f>W75+X75+Y75+Z75</f>
        <v/>
      </c>
      <c r="AB75" s="80" t="n"/>
      <c r="AC75" s="80" t="n"/>
      <c r="AD75" s="80" t="n"/>
      <c r="AE75" s="80" t="n"/>
      <c r="AF75" s="80" t="n"/>
      <c r="AG75" s="81">
        <f>AB75+AC75+AD75+AE75+AF75</f>
        <v/>
      </c>
      <c r="AH75" s="80" t="n"/>
      <c r="AI75" s="80" t="n"/>
      <c r="AJ75" s="80" t="n"/>
      <c r="AK75" s="80" t="n"/>
      <c r="AL75" s="81">
        <f>AH75+AI75+AJ75+AK75</f>
        <v/>
      </c>
      <c r="AM75" s="80" t="n"/>
      <c r="AN75" s="80" t="n"/>
      <c r="AO75" s="80" t="n"/>
      <c r="AP75" s="80" t="n"/>
      <c r="AQ75" s="80" t="n"/>
      <c r="AR75" s="81">
        <f>AM75+AN75+AO75+AP75+AQ75</f>
        <v/>
      </c>
      <c r="AS75" s="80" t="n"/>
      <c r="AT75" s="80" t="n"/>
      <c r="AU75" s="80" t="n"/>
      <c r="AV75" s="80" t="n"/>
      <c r="AW75" s="81">
        <f>AS75+AT75+AU75+AV75</f>
        <v/>
      </c>
      <c r="AX75" s="80" t="n"/>
      <c r="AY75" s="80" t="n"/>
      <c r="AZ75" s="80" t="n"/>
      <c r="BA75" s="80" t="n"/>
      <c r="BB75" s="81">
        <f>AX75+AY75+AZ75+BA75</f>
        <v/>
      </c>
      <c r="BC75" s="80" t="n"/>
      <c r="BD75" s="80" t="n"/>
      <c r="BE75" s="80" t="n"/>
      <c r="BF75" s="80" t="n"/>
      <c r="BG75" s="80" t="n"/>
      <c r="BH75" s="81">
        <f>BC75+BD75+BE75+BF75+BG75</f>
        <v/>
      </c>
      <c r="BI75" s="80" t="n"/>
      <c r="BJ75" s="80" t="n"/>
      <c r="BK75" s="80" t="n"/>
      <c r="BL75" s="80" t="n"/>
      <c r="BM75" s="81">
        <f>BI75+BJ75+BK75+BL75</f>
        <v/>
      </c>
    </row>
    <row r="76" ht="15.75" customHeight="1">
      <c r="A76" s="84" t="inlineStr">
        <is>
          <t>LÂMINA OLFATIVA</t>
        </is>
      </c>
      <c r="B76" s="80" t="n">
        <v>0</v>
      </c>
      <c r="C76" s="80" t="n">
        <v>0</v>
      </c>
      <c r="D76" s="80" t="n">
        <v>2</v>
      </c>
      <c r="E76" s="80" t="n">
        <v>0</v>
      </c>
      <c r="F76" s="81">
        <f>B76+C76+D76+E76</f>
        <v/>
      </c>
      <c r="G76" s="80" t="n">
        <v>0</v>
      </c>
      <c r="H76" s="80" t="n">
        <v>0</v>
      </c>
      <c r="I76" s="80" t="n">
        <v>0</v>
      </c>
      <c r="J76" s="80" t="n">
        <v>0</v>
      </c>
      <c r="K76" s="81">
        <f>G76+H76+I76+J76</f>
        <v/>
      </c>
      <c r="L76" s="80" t="n">
        <v>0</v>
      </c>
      <c r="M76" s="80" t="n">
        <v>1</v>
      </c>
      <c r="N76" s="80" t="n">
        <v>1</v>
      </c>
      <c r="O76" s="80" t="n">
        <v>0</v>
      </c>
      <c r="P76" s="80" t="n">
        <v>0</v>
      </c>
      <c r="Q76" s="81">
        <f>L76+M76+N76+O76+P76</f>
        <v/>
      </c>
      <c r="R76" s="80" t="n"/>
      <c r="S76" s="80" t="n"/>
      <c r="T76" s="80" t="n"/>
      <c r="U76" s="80" t="n"/>
      <c r="V76" s="81">
        <f>R76+S76+T76+U76</f>
        <v/>
      </c>
      <c r="W76" s="80" t="n">
        <v>1</v>
      </c>
      <c r="X76" s="80" t="n">
        <v>0</v>
      </c>
      <c r="Y76" s="80" t="n"/>
      <c r="Z76" s="80" t="n"/>
      <c r="AA76" s="81">
        <f>W76+X76+Y76+Z76</f>
        <v/>
      </c>
      <c r="AB76" s="80" t="n"/>
      <c r="AC76" s="80" t="n"/>
      <c r="AD76" s="80" t="n"/>
      <c r="AE76" s="80" t="n"/>
      <c r="AF76" s="80" t="n"/>
      <c r="AG76" s="81">
        <f>AB76+AC76+AD76+AE76+AF76</f>
        <v/>
      </c>
      <c r="AH76" s="80" t="n"/>
      <c r="AI76" s="80" t="n"/>
      <c r="AJ76" s="80" t="n"/>
      <c r="AK76" s="80" t="n"/>
      <c r="AL76" s="81">
        <f>AH76+AI76+AJ76+AK76</f>
        <v/>
      </c>
      <c r="AM76" s="80" t="n"/>
      <c r="AN76" s="80" t="n"/>
      <c r="AO76" s="80" t="n"/>
      <c r="AP76" s="80" t="n"/>
      <c r="AQ76" s="80" t="n"/>
      <c r="AR76" s="81">
        <f>AM76+AN76+AO76+AP76+AQ76</f>
        <v/>
      </c>
      <c r="AS76" s="80" t="n"/>
      <c r="AT76" s="80" t="n"/>
      <c r="AU76" s="80" t="n"/>
      <c r="AV76" s="80" t="n"/>
      <c r="AW76" s="81">
        <f>AS76+AT76+AU76+AV76</f>
        <v/>
      </c>
      <c r="AX76" s="80" t="n"/>
      <c r="AY76" s="80" t="n"/>
      <c r="AZ76" s="80" t="n"/>
      <c r="BA76" s="80" t="n"/>
      <c r="BB76" s="81">
        <f>AX76+AY76+AZ76+BA76</f>
        <v/>
      </c>
      <c r="BC76" s="80" t="n"/>
      <c r="BD76" s="80" t="n"/>
      <c r="BE76" s="80" t="n"/>
      <c r="BF76" s="80" t="n"/>
      <c r="BG76" s="80" t="n"/>
      <c r="BH76" s="81">
        <f>BC76+BD76+BE76+BF76+BG76</f>
        <v/>
      </c>
      <c r="BI76" s="80" t="n"/>
      <c r="BJ76" s="80" t="n"/>
      <c r="BK76" s="80" t="n"/>
      <c r="BL76" s="80" t="n"/>
      <c r="BM76" s="81">
        <f>BI76+BJ76+BK76+BL76</f>
        <v/>
      </c>
    </row>
    <row r="77" ht="15.75" customHeight="1">
      <c r="A77" s="86" t="inlineStr">
        <is>
          <t>TOTAL DE SACOLAS</t>
        </is>
      </c>
      <c r="B77" s="87">
        <f>SUM(B69:B72)</f>
        <v/>
      </c>
      <c r="C77" s="87">
        <f>SUM(C69:C72)</f>
        <v/>
      </c>
      <c r="D77" s="87">
        <f>SUM(D69:D72)</f>
        <v/>
      </c>
      <c r="E77" s="87">
        <f>SUM(E69:E72)</f>
        <v/>
      </c>
      <c r="F77" s="87">
        <f>SUM(F69:F72)</f>
        <v/>
      </c>
      <c r="G77" s="87">
        <f>SUM(G69:G72)</f>
        <v/>
      </c>
      <c r="H77" s="87">
        <f>SUM(H69:H72)</f>
        <v/>
      </c>
      <c r="I77" s="87">
        <f>SUM(I69:I72)</f>
        <v/>
      </c>
      <c r="J77" s="87">
        <f>SUM(J69:J72)</f>
        <v/>
      </c>
      <c r="K77" s="87">
        <f>SUM(K69:K72)</f>
        <v/>
      </c>
      <c r="L77" s="87">
        <f>SUM(L69:L72)</f>
        <v/>
      </c>
      <c r="M77" s="87">
        <f>SUM(M69:M72)</f>
        <v/>
      </c>
      <c r="N77" s="87">
        <f>SUM(N69:N72)</f>
        <v/>
      </c>
      <c r="O77" s="87">
        <f>SUM(O69:O72)</f>
        <v/>
      </c>
      <c r="P77" s="87">
        <f>SUM(P69:P72)</f>
        <v/>
      </c>
      <c r="Q77" s="87">
        <f>SUM(Q69:Q72)</f>
        <v/>
      </c>
      <c r="R77" s="87">
        <f>SUM(R69:R72)</f>
        <v/>
      </c>
      <c r="S77" s="87">
        <f>SUM(S69:S72)</f>
        <v/>
      </c>
      <c r="T77" s="87">
        <f>SUM(T69:T72)</f>
        <v/>
      </c>
      <c r="U77" s="87">
        <f>SUM(U69:U72)</f>
        <v/>
      </c>
      <c r="V77" s="87">
        <f>SUM(V69:V72)</f>
        <v/>
      </c>
      <c r="W77" s="87">
        <f>SUM(W69:W72)</f>
        <v/>
      </c>
      <c r="X77" s="87">
        <f>SUM(X69:X72)</f>
        <v/>
      </c>
      <c r="Y77" s="87">
        <f>SUM(Y69:Y72)</f>
        <v/>
      </c>
      <c r="Z77" s="87">
        <f>SUM(Z69:Z72)</f>
        <v/>
      </c>
      <c r="AA77" s="87">
        <f>SUM(AA69:AA72)</f>
        <v/>
      </c>
      <c r="AB77" s="87">
        <f>SUM(AB69:AB72)</f>
        <v/>
      </c>
      <c r="AC77" s="87">
        <f>SUM(AC69:AC72)</f>
        <v/>
      </c>
      <c r="AD77" s="87">
        <f>SUM(AD69:AD72)</f>
        <v/>
      </c>
      <c r="AE77" s="87">
        <f>SUM(AE69:AE72)</f>
        <v/>
      </c>
      <c r="AF77" s="87">
        <f>SUM(AF69:AF72)</f>
        <v/>
      </c>
      <c r="AG77" s="87">
        <f>SUM(AG69:AG72)</f>
        <v/>
      </c>
      <c r="AH77" s="87">
        <f>SUM(AH69:AH72)</f>
        <v/>
      </c>
      <c r="AI77" s="87">
        <f>SUM(AI69:AI72)</f>
        <v/>
      </c>
      <c r="AJ77" s="87">
        <f>SUM(AJ69:AJ72)</f>
        <v/>
      </c>
      <c r="AK77" s="87">
        <f>SUM(AK69:AK72)</f>
        <v/>
      </c>
      <c r="AL77" s="87">
        <f>SUM(AL69:AL72)</f>
        <v/>
      </c>
      <c r="AM77" s="87">
        <f>SUM(AM69:AM72)</f>
        <v/>
      </c>
      <c r="AN77" s="87">
        <f>SUM(AN69:AN72)</f>
        <v/>
      </c>
      <c r="AO77" s="87">
        <f>SUM(AO69:AO72)</f>
        <v/>
      </c>
      <c r="AP77" s="87">
        <f>SUM(AP69:AP72)</f>
        <v/>
      </c>
      <c r="AQ77" s="87">
        <f>SUM(AQ69:AQ72)</f>
        <v/>
      </c>
      <c r="AR77" s="87">
        <f>SUM(AR69:AR72)</f>
        <v/>
      </c>
      <c r="AS77" s="87">
        <f>SUM(AS69:AS72)</f>
        <v/>
      </c>
      <c r="AT77" s="87">
        <f>SUM(AT69:AT72)</f>
        <v/>
      </c>
      <c r="AU77" s="87">
        <f>SUM(AU69:AU72)</f>
        <v/>
      </c>
      <c r="AV77" s="87">
        <f>SUM(AV69:AV72)</f>
        <v/>
      </c>
      <c r="AW77" s="87">
        <f>SUM(AW69:AW72)</f>
        <v/>
      </c>
      <c r="AX77" s="87">
        <f>SUM(AX69:AX72)</f>
        <v/>
      </c>
      <c r="AY77" s="87">
        <f>SUM(AY69:AY72)</f>
        <v/>
      </c>
      <c r="AZ77" s="87">
        <f>SUM(AZ69:AZ72)</f>
        <v/>
      </c>
      <c r="BA77" s="87">
        <f>SUM(BA69:BA72)</f>
        <v/>
      </c>
      <c r="BB77" s="87">
        <f>SUM(BB69:BB72)</f>
        <v/>
      </c>
      <c r="BC77" s="87">
        <f>SUM(BC69:BC72)</f>
        <v/>
      </c>
      <c r="BD77" s="87">
        <f>SUM(BD69:BD72)</f>
        <v/>
      </c>
      <c r="BE77" s="87">
        <f>SUM(BE69:BE72)</f>
        <v/>
      </c>
      <c r="BF77" s="87">
        <f>SUM(BF69:BF72)</f>
        <v/>
      </c>
      <c r="BG77" s="87">
        <f>SUM(BG69:BG72)</f>
        <v/>
      </c>
      <c r="BH77" s="87">
        <f>SUM(BH69:BH72)</f>
        <v/>
      </c>
      <c r="BI77" s="87">
        <f>SUM(BI69:BI72)</f>
        <v/>
      </c>
      <c r="BJ77" s="87">
        <f>SUM(BJ69:BJ72)</f>
        <v/>
      </c>
      <c r="BK77" s="87">
        <f>SUM(BK69:BK72)</f>
        <v/>
      </c>
      <c r="BL77" s="87">
        <f>SUM(BL69:BL72)</f>
        <v/>
      </c>
      <c r="BM77" s="87">
        <f>SUM(BM69:BM72)</f>
        <v/>
      </c>
    </row>
    <row r="78" ht="15" customHeight="1"/>
    <row r="79" ht="18" customHeight="1">
      <c r="A79" s="532" t="inlineStr">
        <is>
          <t>GASTO DE SACOLAS E ITENS DOADOS 2026 - MENSAIS</t>
        </is>
      </c>
      <c r="B79" s="734" t="n"/>
      <c r="C79" s="734" t="n"/>
      <c r="D79" s="734" t="n"/>
      <c r="E79" s="734" t="n"/>
      <c r="F79" s="734" t="n"/>
      <c r="G79" s="734" t="n"/>
      <c r="H79" s="734" t="n"/>
      <c r="I79" s="734" t="n"/>
      <c r="J79" s="734" t="n"/>
      <c r="K79" s="734" t="n"/>
      <c r="L79" s="734" t="n"/>
      <c r="M79" s="734" t="n"/>
      <c r="N79" s="734" t="n"/>
      <c r="O79" s="734" t="n"/>
      <c r="P79" s="734" t="n"/>
      <c r="Q79" s="734" t="n"/>
      <c r="R79" s="734" t="n"/>
      <c r="S79" s="734" t="n"/>
      <c r="T79" s="734" t="n"/>
      <c r="U79" s="734" t="n"/>
      <c r="V79" s="734" t="n"/>
      <c r="W79" s="734" t="n"/>
      <c r="X79" s="734" t="n"/>
      <c r="Y79" s="734" t="n"/>
      <c r="Z79" s="734" t="n"/>
      <c r="AA79" s="734" t="n"/>
      <c r="AB79" s="734" t="n"/>
      <c r="AC79" s="734" t="n"/>
      <c r="AD79" s="734" t="n"/>
      <c r="AE79" s="734" t="n"/>
      <c r="AF79" s="734" t="n"/>
      <c r="AG79" s="734" t="n"/>
      <c r="AH79" s="734" t="n"/>
      <c r="AI79" s="734" t="n"/>
      <c r="AJ79" s="734" t="n"/>
      <c r="AK79" s="734" t="n"/>
      <c r="AL79" s="734" t="n"/>
      <c r="AM79" s="734" t="n"/>
      <c r="AN79" s="734" t="n"/>
      <c r="AO79" s="734" t="n"/>
      <c r="AP79" s="734" t="n"/>
      <c r="AQ79" s="734" t="n"/>
      <c r="AR79" s="734" t="n"/>
      <c r="AS79" s="734" t="n"/>
      <c r="AT79" s="734" t="n"/>
      <c r="AU79" s="734" t="n"/>
      <c r="AV79" s="734" t="n"/>
      <c r="AW79" s="734" t="n"/>
      <c r="AX79" s="734" t="n"/>
      <c r="AY79" s="734" t="n"/>
      <c r="AZ79" s="734" t="n"/>
      <c r="BA79" s="734" t="n"/>
      <c r="BB79" s="734" t="n"/>
      <c r="BC79" s="734" t="n"/>
      <c r="BD79" s="734" t="n"/>
      <c r="BE79" s="734" t="n"/>
      <c r="BF79" s="734" t="n"/>
      <c r="BG79" s="734" t="n"/>
      <c r="BH79" s="734" t="n"/>
      <c r="BI79" s="734" t="n"/>
      <c r="BJ79" s="734" t="n"/>
      <c r="BK79" s="734" t="n"/>
      <c r="BL79" s="734" t="n"/>
      <c r="BM79" s="734" t="n"/>
    </row>
    <row r="80" ht="18" customHeight="1">
      <c r="A80" s="739" t="inlineStr">
        <is>
          <t>CD PRAIA</t>
        </is>
      </c>
      <c r="B80" s="536" t="inlineStr">
        <is>
          <t>JANEIRO</t>
        </is>
      </c>
      <c r="C80" s="736" t="n"/>
      <c r="D80" s="736" t="n"/>
      <c r="E80" s="736" t="n"/>
      <c r="F80" s="537" t="inlineStr">
        <is>
          <t>FEVEREIRO</t>
        </is>
      </c>
      <c r="G80" s="736" t="n"/>
      <c r="H80" s="736" t="n"/>
      <c r="I80" s="736" t="n"/>
      <c r="J80" s="736" t="n"/>
      <c r="K80" s="538" t="n"/>
      <c r="L80" s="735" t="inlineStr">
        <is>
          <t>MARÇO</t>
        </is>
      </c>
      <c r="M80" s="736" t="n"/>
      <c r="N80" s="736" t="n"/>
      <c r="O80" s="736" t="n"/>
      <c r="P80" s="736" t="n"/>
      <c r="Q80" s="737" t="n"/>
      <c r="R80" s="735" t="inlineStr">
        <is>
          <t>ABRIL</t>
        </is>
      </c>
      <c r="S80" s="736" t="n"/>
      <c r="T80" s="736" t="n"/>
      <c r="U80" s="736" t="n"/>
      <c r="V80" s="737" t="n"/>
      <c r="W80" s="735" t="inlineStr">
        <is>
          <t>MAIO</t>
        </is>
      </c>
      <c r="X80" s="736" t="n"/>
      <c r="Y80" s="736" t="n"/>
      <c r="Z80" s="736" t="n"/>
      <c r="AA80" s="737" t="n"/>
      <c r="AB80" s="735" t="inlineStr">
        <is>
          <t>JUNHO</t>
        </is>
      </c>
      <c r="AC80" s="736" t="n"/>
      <c r="AD80" s="736" t="n"/>
      <c r="AE80" s="736" t="n"/>
      <c r="AF80" s="736" t="n"/>
      <c r="AG80" s="737" t="n"/>
      <c r="AH80" s="735" t="inlineStr">
        <is>
          <t>JULHO</t>
        </is>
      </c>
      <c r="AI80" s="736" t="n"/>
      <c r="AJ80" s="736" t="n"/>
      <c r="AK80" s="736" t="n"/>
      <c r="AL80" s="737" t="n"/>
      <c r="AM80" s="735" t="inlineStr">
        <is>
          <t>AGOSTO</t>
        </is>
      </c>
      <c r="AN80" s="736" t="n"/>
      <c r="AO80" s="736" t="n"/>
      <c r="AP80" s="736" t="n"/>
      <c r="AQ80" s="736" t="n"/>
      <c r="AR80" s="737" t="n"/>
      <c r="AS80" s="735" t="inlineStr">
        <is>
          <t>SETEMBRO</t>
        </is>
      </c>
      <c r="AT80" s="736" t="n"/>
      <c r="AU80" s="736" t="n"/>
      <c r="AV80" s="736" t="n"/>
      <c r="AW80" s="737" t="n"/>
      <c r="AX80" s="735" t="inlineStr">
        <is>
          <t>OUTUBRO</t>
        </is>
      </c>
      <c r="AY80" s="736" t="n"/>
      <c r="AZ80" s="736" t="n"/>
      <c r="BA80" s="736" t="n"/>
      <c r="BB80" s="737" t="n"/>
      <c r="BC80" s="735" t="inlineStr">
        <is>
          <t>NOVEMBRO</t>
        </is>
      </c>
      <c r="BD80" s="736" t="n"/>
      <c r="BE80" s="736" t="n"/>
      <c r="BF80" s="736" t="n"/>
      <c r="BG80" s="736" t="n"/>
      <c r="BH80" s="737" t="n"/>
      <c r="BI80" s="735" t="inlineStr">
        <is>
          <t>DEZEMBRO</t>
        </is>
      </c>
      <c r="BJ80" s="736" t="n"/>
      <c r="BK80" s="736" t="n"/>
      <c r="BL80" s="736" t="n"/>
      <c r="BM80" s="737" t="n"/>
    </row>
    <row r="81" ht="15.75" customHeight="1">
      <c r="A81" s="740" t="n"/>
      <c r="B81" s="78" t="n">
        <v>46027</v>
      </c>
      <c r="C81" s="78" t="n">
        <v>46034</v>
      </c>
      <c r="D81" s="78" t="n">
        <v>46041</v>
      </c>
      <c r="E81" s="78" t="n">
        <v>46048</v>
      </c>
      <c r="F81" s="85" t="inlineStr">
        <is>
          <t>USOU</t>
        </is>
      </c>
      <c r="G81" s="78" t="n">
        <v>46055</v>
      </c>
      <c r="H81" s="78" t="n">
        <v>46062</v>
      </c>
      <c r="I81" s="78" t="n">
        <v>46069</v>
      </c>
      <c r="J81" s="78" t="n">
        <v>46076</v>
      </c>
      <c r="K81" s="85" t="inlineStr">
        <is>
          <t>USOU</t>
        </is>
      </c>
      <c r="L81" s="78" t="n">
        <v>46083</v>
      </c>
      <c r="M81" s="78" t="n">
        <v>46090</v>
      </c>
      <c r="N81" s="78" t="n">
        <v>46097</v>
      </c>
      <c r="O81" s="78" t="n">
        <v>46104</v>
      </c>
      <c r="P81" s="78" t="n">
        <v>46111</v>
      </c>
      <c r="Q81" s="85" t="inlineStr">
        <is>
          <t>USOU</t>
        </is>
      </c>
      <c r="R81" s="78" t="n">
        <v>46118</v>
      </c>
      <c r="S81" s="78" t="n">
        <v>46125</v>
      </c>
      <c r="T81" s="78" t="n">
        <v>46132</v>
      </c>
      <c r="U81" s="78" t="n">
        <v>46139</v>
      </c>
      <c r="V81" s="85" t="inlineStr">
        <is>
          <t>USOU</t>
        </is>
      </c>
      <c r="W81" s="78" t="n">
        <v>46146</v>
      </c>
      <c r="X81" s="78" t="n">
        <v>46153</v>
      </c>
      <c r="Y81" s="78" t="n">
        <v>46160</v>
      </c>
      <c r="Z81" s="78" t="n">
        <v>46167</v>
      </c>
      <c r="AA81" s="85" t="inlineStr">
        <is>
          <t>USOU</t>
        </is>
      </c>
      <c r="AB81" s="78" t="n">
        <v>46174</v>
      </c>
      <c r="AC81" s="78" t="n">
        <v>46181</v>
      </c>
      <c r="AD81" s="78" t="n">
        <v>46188</v>
      </c>
      <c r="AE81" s="78" t="n">
        <v>46195</v>
      </c>
      <c r="AF81" s="78" t="n">
        <v>46202</v>
      </c>
      <c r="AG81" s="85" t="inlineStr">
        <is>
          <t>USOU</t>
        </is>
      </c>
      <c r="AH81" s="78" t="n">
        <v>46209</v>
      </c>
      <c r="AI81" s="78" t="n">
        <v>46216</v>
      </c>
      <c r="AJ81" s="78" t="n">
        <v>46223</v>
      </c>
      <c r="AK81" s="78" t="n">
        <v>46230</v>
      </c>
      <c r="AL81" s="85" t="inlineStr">
        <is>
          <t>USOU</t>
        </is>
      </c>
      <c r="AM81" s="78" t="n">
        <v>46237</v>
      </c>
      <c r="AN81" s="78" t="n">
        <v>46244</v>
      </c>
      <c r="AO81" s="78" t="n">
        <v>46251</v>
      </c>
      <c r="AP81" s="78" t="n">
        <v>46258</v>
      </c>
      <c r="AQ81" s="78" t="n">
        <v>46265</v>
      </c>
      <c r="AR81" s="85" t="inlineStr">
        <is>
          <t>USOU</t>
        </is>
      </c>
      <c r="AS81" s="78" t="n">
        <v>46272</v>
      </c>
      <c r="AT81" s="78" t="n">
        <v>46279</v>
      </c>
      <c r="AU81" s="78" t="n">
        <v>46286</v>
      </c>
      <c r="AV81" s="78" t="n">
        <v>46293</v>
      </c>
      <c r="AW81" s="85" t="inlineStr">
        <is>
          <t>USOU</t>
        </is>
      </c>
      <c r="AX81" s="78" t="n">
        <v>46300</v>
      </c>
      <c r="AY81" s="78" t="n">
        <v>46307</v>
      </c>
      <c r="AZ81" s="78" t="n">
        <v>46314</v>
      </c>
      <c r="BA81" s="78" t="n">
        <v>46321</v>
      </c>
      <c r="BB81" s="85" t="inlineStr">
        <is>
          <t>USOU</t>
        </is>
      </c>
      <c r="BC81" s="78" t="n">
        <v>46328</v>
      </c>
      <c r="BD81" s="78" t="n">
        <v>46335</v>
      </c>
      <c r="BE81" s="78" t="n">
        <v>46342</v>
      </c>
      <c r="BF81" s="78" t="n">
        <v>46349</v>
      </c>
      <c r="BG81" s="78" t="n">
        <v>46356</v>
      </c>
      <c r="BH81" s="85" t="inlineStr">
        <is>
          <t>USOU</t>
        </is>
      </c>
      <c r="BI81" s="78" t="n">
        <v>46363</v>
      </c>
      <c r="BJ81" s="78" t="n">
        <v>46370</v>
      </c>
      <c r="BK81" s="78" t="n">
        <v>46377</v>
      </c>
      <c r="BL81" s="78" t="n">
        <v>46384</v>
      </c>
      <c r="BM81" s="85" t="inlineStr">
        <is>
          <t>USOU</t>
        </is>
      </c>
    </row>
    <row r="82" ht="15.75" customHeight="1">
      <c r="A82" s="131" t="inlineStr">
        <is>
          <t>SACOLA PP VERDE</t>
        </is>
      </c>
      <c r="B82" s="80" t="n">
        <v>300</v>
      </c>
      <c r="C82" s="80" t="n">
        <v>0</v>
      </c>
      <c r="D82" s="80" t="n">
        <v>0</v>
      </c>
      <c r="E82" s="80" t="n">
        <v>300</v>
      </c>
      <c r="F82" s="81">
        <f>B82+C82+D82+E82</f>
        <v/>
      </c>
      <c r="G82" s="80" t="n">
        <v>0</v>
      </c>
      <c r="H82" s="80" t="n">
        <v>0</v>
      </c>
      <c r="I82" s="80" t="n">
        <v>600</v>
      </c>
      <c r="J82" s="80" t="n">
        <v>0</v>
      </c>
      <c r="K82" s="81">
        <f>G82+H82+I82+J82</f>
        <v/>
      </c>
      <c r="L82" s="80" t="n">
        <v>0</v>
      </c>
      <c r="M82" s="80" t="n">
        <v>0</v>
      </c>
      <c r="N82" s="80" t="n">
        <v>300</v>
      </c>
      <c r="O82" s="80" t="n">
        <v>0</v>
      </c>
      <c r="P82" s="80" t="n">
        <v>300</v>
      </c>
      <c r="Q82" s="81">
        <f>L82+M82+N82+O82+P82</f>
        <v/>
      </c>
      <c r="R82" s="80" t="n"/>
      <c r="S82" s="80" t="n"/>
      <c r="T82" s="80" t="n"/>
      <c r="U82" s="80" t="n"/>
      <c r="V82" s="81">
        <f>R82+S82+T82+U82</f>
        <v/>
      </c>
      <c r="W82" s="80" t="n">
        <v>1800</v>
      </c>
      <c r="X82" s="80" t="n">
        <v>300</v>
      </c>
      <c r="Y82" s="80" t="n"/>
      <c r="Z82" s="80" t="n"/>
      <c r="AA82" s="81">
        <f>W82+X82+Y82+Z82</f>
        <v/>
      </c>
      <c r="AB82" s="80" t="n"/>
      <c r="AC82" s="80" t="n"/>
      <c r="AD82" s="80" t="n"/>
      <c r="AE82" s="80" t="n"/>
      <c r="AF82" s="80" t="n"/>
      <c r="AG82" s="81">
        <f>AB82+AC82+AD82+AE82+AF82</f>
        <v/>
      </c>
      <c r="AH82" s="80" t="n"/>
      <c r="AI82" s="80" t="n"/>
      <c r="AJ82" s="80" t="n"/>
      <c r="AK82" s="80" t="n"/>
      <c r="AL82" s="81">
        <f>AH82+AI82+AJ82+AK82</f>
        <v/>
      </c>
      <c r="AM82" s="80" t="n"/>
      <c r="AN82" s="80" t="n"/>
      <c r="AO82" s="80" t="n"/>
      <c r="AP82" s="80" t="n"/>
      <c r="AQ82" s="80" t="n"/>
      <c r="AR82" s="81">
        <f>AM82+AN82+AO82+AP82+AQ82</f>
        <v/>
      </c>
      <c r="AS82" s="80" t="n"/>
      <c r="AT82" s="80" t="n"/>
      <c r="AU82" s="80" t="n"/>
      <c r="AV82" s="80" t="n"/>
      <c r="AW82" s="81">
        <f>AS82+AT82+AU82+AV82</f>
        <v/>
      </c>
      <c r="AX82" s="80" t="n"/>
      <c r="AY82" s="80" t="n"/>
      <c r="AZ82" s="80" t="n"/>
      <c r="BA82" s="80" t="n"/>
      <c r="BB82" s="81">
        <f>AX82+AY82+AZ82+BA82</f>
        <v/>
      </c>
      <c r="BC82" s="80" t="n"/>
      <c r="BD82" s="80" t="n"/>
      <c r="BE82" s="80" t="n"/>
      <c r="BF82" s="80" t="n"/>
      <c r="BG82" s="80" t="n"/>
      <c r="BH82" s="81">
        <f>BC82+BD82+BE82+BF82+BG82</f>
        <v/>
      </c>
      <c r="BI82" s="80" t="n"/>
      <c r="BJ82" s="80" t="n"/>
      <c r="BK82" s="80" t="n"/>
      <c r="BL82" s="80" t="n"/>
      <c r="BM82" s="81">
        <f>BI82+BJ82+BK82+BL82</f>
        <v/>
      </c>
    </row>
    <row r="83" ht="15.75" customHeight="1">
      <c r="A83" s="82" t="inlineStr">
        <is>
          <t>SACOLA P VERDE</t>
        </is>
      </c>
      <c r="B83" s="80" t="n">
        <v>1200</v>
      </c>
      <c r="C83" s="80" t="n">
        <v>1000</v>
      </c>
      <c r="D83" s="80" t="n">
        <v>2200</v>
      </c>
      <c r="E83" s="80" t="n">
        <v>1600</v>
      </c>
      <c r="F83" s="81">
        <f>B83+C83+D83+E83</f>
        <v/>
      </c>
      <c r="G83" s="80" t="n">
        <v>1200</v>
      </c>
      <c r="H83" s="80" t="n">
        <v>1000</v>
      </c>
      <c r="I83" s="80" t="n">
        <v>1800</v>
      </c>
      <c r="J83" s="80" t="n">
        <v>1400</v>
      </c>
      <c r="K83" s="81">
        <f>G83+H83+I83+J83</f>
        <v/>
      </c>
      <c r="L83" s="80" t="n">
        <v>1000</v>
      </c>
      <c r="M83" s="80" t="n">
        <v>800</v>
      </c>
      <c r="N83" s="80" t="n">
        <v>1800</v>
      </c>
      <c r="O83" s="80" t="n">
        <v>800</v>
      </c>
      <c r="P83" s="80" t="n">
        <v>2600</v>
      </c>
      <c r="Q83" s="81">
        <f>L83+M83+N83+O83+P83</f>
        <v/>
      </c>
      <c r="R83" s="80" t="n"/>
      <c r="S83" s="80" t="n"/>
      <c r="T83" s="80" t="n"/>
      <c r="U83" s="80" t="n"/>
      <c r="V83" s="81">
        <f>R83+S83+T83+U83</f>
        <v/>
      </c>
      <c r="W83" s="80" t="n">
        <v>2200</v>
      </c>
      <c r="X83" s="80" t="n">
        <v>200</v>
      </c>
      <c r="Y83" s="80" t="n"/>
      <c r="Z83" s="80" t="n"/>
      <c r="AA83" s="81">
        <f>W83+X83+Y83+Z83</f>
        <v/>
      </c>
      <c r="AB83" s="80" t="n"/>
      <c r="AC83" s="80" t="n"/>
      <c r="AD83" s="80" t="n"/>
      <c r="AE83" s="80" t="n"/>
      <c r="AF83" s="80" t="n"/>
      <c r="AG83" s="81">
        <f>AB83+AC83+AD83+AE83+AF83</f>
        <v/>
      </c>
      <c r="AH83" s="80" t="n"/>
      <c r="AI83" s="80" t="n"/>
      <c r="AJ83" s="80" t="n"/>
      <c r="AK83" s="80" t="n"/>
      <c r="AL83" s="81">
        <f>AH83+AI83+AJ83+AK83</f>
        <v/>
      </c>
      <c r="AM83" s="80" t="n"/>
      <c r="AN83" s="80" t="n"/>
      <c r="AO83" s="80" t="n"/>
      <c r="AP83" s="80" t="n"/>
      <c r="AQ83" s="80" t="n"/>
      <c r="AR83" s="81">
        <f>AM83+AN83+AO83+AP83+AQ83</f>
        <v/>
      </c>
      <c r="AS83" s="80" t="n"/>
      <c r="AT83" s="80" t="n"/>
      <c r="AU83" s="80" t="n"/>
      <c r="AV83" s="80" t="n"/>
      <c r="AW83" s="81">
        <f>AS83+AT83+AU83+AV83</f>
        <v/>
      </c>
      <c r="AX83" s="80" t="n"/>
      <c r="AY83" s="80" t="n"/>
      <c r="AZ83" s="80" t="n"/>
      <c r="BA83" s="80" t="n"/>
      <c r="BB83" s="81">
        <f>AX83+AY83+AZ83+BA83</f>
        <v/>
      </c>
      <c r="BC83" s="80" t="n"/>
      <c r="BD83" s="80" t="n"/>
      <c r="BE83" s="80" t="n"/>
      <c r="BF83" s="80" t="n"/>
      <c r="BG83" s="80" t="n"/>
      <c r="BH83" s="81">
        <f>BC83+BD83+BE83+BF83+BG83</f>
        <v/>
      </c>
      <c r="BI83" s="80" t="n"/>
      <c r="BJ83" s="80" t="n"/>
      <c r="BK83" s="80" t="n"/>
      <c r="BL83" s="80" t="n"/>
      <c r="BM83" s="81">
        <f>BI83+BJ83+BK83+BL83</f>
        <v/>
      </c>
    </row>
    <row r="84" ht="15.75" customHeight="1">
      <c r="A84" s="82" t="inlineStr">
        <is>
          <t>SACOLA M VERDE</t>
        </is>
      </c>
      <c r="B84" s="80" t="n">
        <v>200</v>
      </c>
      <c r="C84" s="80" t="n">
        <v>0</v>
      </c>
      <c r="D84" s="80" t="n">
        <v>200</v>
      </c>
      <c r="E84" s="80" t="n">
        <v>0</v>
      </c>
      <c r="F84" s="81">
        <f>B84+C84+D84+E84</f>
        <v/>
      </c>
      <c r="G84" s="80" t="n">
        <v>0</v>
      </c>
      <c r="H84" s="80" t="n">
        <v>0</v>
      </c>
      <c r="I84" s="80" t="n">
        <v>0</v>
      </c>
      <c r="J84" s="80" t="n">
        <v>2200</v>
      </c>
      <c r="K84" s="81">
        <f>G84+H84+I84+J84</f>
        <v/>
      </c>
      <c r="L84" s="80" t="n">
        <v>200</v>
      </c>
      <c r="M84" s="80" t="n">
        <v>400</v>
      </c>
      <c r="N84" s="80" t="n">
        <v>400</v>
      </c>
      <c r="O84" s="80" t="n">
        <v>0</v>
      </c>
      <c r="P84" s="80" t="n">
        <v>200</v>
      </c>
      <c r="Q84" s="81">
        <f>L84+M84+N84+O84+P84</f>
        <v/>
      </c>
      <c r="R84" s="80" t="n"/>
      <c r="S84" s="80" t="n"/>
      <c r="T84" s="80" t="n"/>
      <c r="U84" s="80" t="n"/>
      <c r="V84" s="81">
        <f>R84+S84+T84+U84</f>
        <v/>
      </c>
      <c r="W84" s="80" t="n">
        <v>200</v>
      </c>
      <c r="X84" s="80" t="n">
        <v>600</v>
      </c>
      <c r="Y84" s="80" t="n"/>
      <c r="Z84" s="80" t="n"/>
      <c r="AA84" s="81">
        <f>W84+X84+Y84+Z84</f>
        <v/>
      </c>
      <c r="AB84" s="80" t="n"/>
      <c r="AC84" s="80" t="n"/>
      <c r="AD84" s="80" t="n"/>
      <c r="AE84" s="80" t="n"/>
      <c r="AF84" s="80" t="n"/>
      <c r="AG84" s="81">
        <f>AB84+AC84+AD84+AE84+AF84</f>
        <v/>
      </c>
      <c r="AH84" s="80" t="n"/>
      <c r="AI84" s="80" t="n"/>
      <c r="AJ84" s="80" t="n"/>
      <c r="AK84" s="80" t="n"/>
      <c r="AL84" s="81">
        <f>AH84+AI84+AJ84+AK84</f>
        <v/>
      </c>
      <c r="AM84" s="80" t="n"/>
      <c r="AN84" s="80" t="n"/>
      <c r="AO84" s="80" t="n"/>
      <c r="AP84" s="80" t="n"/>
      <c r="AQ84" s="80" t="n"/>
      <c r="AR84" s="81">
        <f>AM84+AN84+AO84+AP84+AQ84</f>
        <v/>
      </c>
      <c r="AS84" s="80" t="n"/>
      <c r="AT84" s="80" t="n"/>
      <c r="AU84" s="80" t="n"/>
      <c r="AV84" s="80" t="n"/>
      <c r="AW84" s="81">
        <f>AS84+AT84+AU84+AV84</f>
        <v/>
      </c>
      <c r="AX84" s="80" t="n"/>
      <c r="AY84" s="80" t="n"/>
      <c r="AZ84" s="80" t="n"/>
      <c r="BA84" s="80" t="n"/>
      <c r="BB84" s="81">
        <f>AX84+AY84+AZ84+BA84</f>
        <v/>
      </c>
      <c r="BC84" s="80" t="n"/>
      <c r="BD84" s="80" t="n"/>
      <c r="BE84" s="80" t="n"/>
      <c r="BF84" s="80" t="n"/>
      <c r="BG84" s="80" t="n"/>
      <c r="BH84" s="81">
        <f>BC84+BD84+BE84+BF84+BG84</f>
        <v/>
      </c>
      <c r="BI84" s="80" t="n"/>
      <c r="BJ84" s="80" t="n"/>
      <c r="BK84" s="80" t="n"/>
      <c r="BL84" s="80" t="n"/>
      <c r="BM84" s="81">
        <f>BI84+BJ84+BK84+BL84</f>
        <v/>
      </c>
    </row>
    <row r="85" ht="15.75" customHeight="1">
      <c r="A85" s="83" t="inlineStr">
        <is>
          <t>SACOLA G VERDE</t>
        </is>
      </c>
      <c r="B85" s="80" t="n">
        <v>100</v>
      </c>
      <c r="C85" s="80" t="n">
        <v>0</v>
      </c>
      <c r="D85" s="80" t="n">
        <v>0</v>
      </c>
      <c r="E85" s="80" t="n">
        <v>0</v>
      </c>
      <c r="F85" s="81">
        <f>B85+C85+D85+E85</f>
        <v/>
      </c>
      <c r="G85" s="80" t="n">
        <v>0</v>
      </c>
      <c r="H85" s="80" t="n">
        <v>0</v>
      </c>
      <c r="I85" s="80" t="n">
        <v>300</v>
      </c>
      <c r="J85" s="80" t="n">
        <v>300</v>
      </c>
      <c r="K85" s="81">
        <f>G85+H85+I85+J85</f>
        <v/>
      </c>
      <c r="L85" s="80" t="n">
        <v>300</v>
      </c>
      <c r="M85" s="80" t="n">
        <v>300</v>
      </c>
      <c r="N85" s="80" t="n">
        <v>200</v>
      </c>
      <c r="O85" s="80" t="n">
        <v>100</v>
      </c>
      <c r="P85" s="80" t="n">
        <v>100</v>
      </c>
      <c r="Q85" s="81">
        <f>L85+M85+N85+O85+P85</f>
        <v/>
      </c>
      <c r="R85" s="80" t="n"/>
      <c r="S85" s="80" t="n"/>
      <c r="T85" s="80" t="n"/>
      <c r="U85" s="80" t="n"/>
      <c r="V85" s="81">
        <f>R85+S85+T85+U85</f>
        <v/>
      </c>
      <c r="W85" s="80" t="n">
        <v>300</v>
      </c>
      <c r="X85" s="80" t="n">
        <v>200</v>
      </c>
      <c r="Y85" s="80" t="n"/>
      <c r="Z85" s="80" t="n"/>
      <c r="AA85" s="81">
        <f>W85+X85+Y85+Z85</f>
        <v/>
      </c>
      <c r="AB85" s="80" t="n"/>
      <c r="AC85" s="80" t="n"/>
      <c r="AD85" s="80" t="n"/>
      <c r="AE85" s="80" t="n"/>
      <c r="AF85" s="80" t="n"/>
      <c r="AG85" s="81">
        <f>AB85+AC85+AD85+AE85+AF85</f>
        <v/>
      </c>
      <c r="AH85" s="80" t="n"/>
      <c r="AI85" s="80" t="n"/>
      <c r="AJ85" s="80" t="n"/>
      <c r="AK85" s="80" t="n"/>
      <c r="AL85" s="81">
        <f>AH85+AI85+AJ85+AK85</f>
        <v/>
      </c>
      <c r="AM85" s="80" t="n"/>
      <c r="AN85" s="80" t="n"/>
      <c r="AO85" s="80" t="n"/>
      <c r="AP85" s="80" t="n"/>
      <c r="AQ85" s="80" t="n"/>
      <c r="AR85" s="81">
        <f>AM85+AN85+AO85+AP85+AQ85</f>
        <v/>
      </c>
      <c r="AS85" s="80" t="n"/>
      <c r="AT85" s="80" t="n"/>
      <c r="AU85" s="80" t="n"/>
      <c r="AV85" s="80" t="n"/>
      <c r="AW85" s="81">
        <f>AS85+AT85+AU85+AV85</f>
        <v/>
      </c>
      <c r="AX85" s="80" t="n"/>
      <c r="AY85" s="80" t="n"/>
      <c r="AZ85" s="80" t="n"/>
      <c r="BA85" s="80" t="n"/>
      <c r="BB85" s="81">
        <f>AX85+AY85+AZ85+BA85</f>
        <v/>
      </c>
      <c r="BC85" s="80" t="n"/>
      <c r="BD85" s="80" t="n"/>
      <c r="BE85" s="80" t="n"/>
      <c r="BF85" s="80" t="n"/>
      <c r="BG85" s="80" t="n"/>
      <c r="BH85" s="81">
        <f>BC85+BD85+BE85+BF85+BG85</f>
        <v/>
      </c>
      <c r="BI85" s="80" t="n"/>
      <c r="BJ85" s="80" t="n"/>
      <c r="BK85" s="80" t="n"/>
      <c r="BL85" s="80" t="n"/>
      <c r="BM85" s="81">
        <f>BI85+BJ85+BK85+BL85</f>
        <v/>
      </c>
    </row>
    <row r="86" ht="15.75" customHeight="1">
      <c r="A86" s="84" t="inlineStr">
        <is>
          <t>SACO M OUI (BRINDE)</t>
        </is>
      </c>
      <c r="B86" s="80" t="n">
        <v>0</v>
      </c>
      <c r="C86" s="80" t="n">
        <v>0</v>
      </c>
      <c r="D86" s="80" t="n">
        <v>0</v>
      </c>
      <c r="E86" s="80" t="n">
        <v>0</v>
      </c>
      <c r="F86" s="81">
        <f>B86+C86+D86+E86</f>
        <v/>
      </c>
      <c r="G86" s="80" t="n">
        <v>0</v>
      </c>
      <c r="H86" s="80" t="n">
        <v>0</v>
      </c>
      <c r="I86" s="80" t="n">
        <v>0</v>
      </c>
      <c r="J86" s="80" t="n">
        <v>0</v>
      </c>
      <c r="K86" s="81">
        <f>G86+H86+I86+J86</f>
        <v/>
      </c>
      <c r="L86" s="80" t="n">
        <v>0</v>
      </c>
      <c r="M86" s="80" t="n">
        <v>0</v>
      </c>
      <c r="N86" s="80" t="n">
        <v>0</v>
      </c>
      <c r="O86" s="80" t="n">
        <v>0</v>
      </c>
      <c r="P86" s="80" t="n">
        <v>0</v>
      </c>
      <c r="Q86" s="81">
        <f>L86+M86+N86+O86+P86</f>
        <v/>
      </c>
      <c r="R86" s="80" t="n"/>
      <c r="S86" s="80" t="n"/>
      <c r="T86" s="80" t="n"/>
      <c r="U86" s="80" t="n"/>
      <c r="V86" s="81">
        <f>R86+S86+T86+U86</f>
        <v/>
      </c>
      <c r="W86" s="80" t="n">
        <v>200</v>
      </c>
      <c r="X86" s="80" t="n">
        <v>0</v>
      </c>
      <c r="Y86" s="80" t="n"/>
      <c r="Z86" s="80" t="n"/>
      <c r="AA86" s="81">
        <f>W86+X86+Y86+Z86</f>
        <v/>
      </c>
      <c r="AB86" s="80" t="n"/>
      <c r="AC86" s="80" t="n"/>
      <c r="AD86" s="80" t="n"/>
      <c r="AE86" s="80" t="n"/>
      <c r="AF86" s="80" t="n"/>
      <c r="AG86" s="81">
        <f>AB86+AC86+AD86+AE86+AF86</f>
        <v/>
      </c>
      <c r="AH86" s="80" t="n"/>
      <c r="AI86" s="80" t="n"/>
      <c r="AJ86" s="80" t="n"/>
      <c r="AK86" s="80" t="n"/>
      <c r="AL86" s="81">
        <f>AH86+AI86+AJ86+AK86</f>
        <v/>
      </c>
      <c r="AM86" s="80" t="n"/>
      <c r="AN86" s="80" t="n"/>
      <c r="AO86" s="80" t="n"/>
      <c r="AP86" s="80" t="n"/>
      <c r="AQ86" s="80" t="n"/>
      <c r="AR86" s="81">
        <f>AM86+AN86+AO86+AP86+AQ86</f>
        <v/>
      </c>
      <c r="AS86" s="80" t="n"/>
      <c r="AT86" s="80" t="n"/>
      <c r="AU86" s="80" t="n"/>
      <c r="AV86" s="80" t="n"/>
      <c r="AW86" s="81">
        <f>AS86+AT86+AU86+AV86</f>
        <v/>
      </c>
      <c r="AX86" s="80" t="n"/>
      <c r="AY86" s="80" t="n"/>
      <c r="AZ86" s="80" t="n"/>
      <c r="BA86" s="80" t="n"/>
      <c r="BB86" s="81">
        <f>AX86+AY86+AZ86+BA86</f>
        <v/>
      </c>
      <c r="BC86" s="80" t="n"/>
      <c r="BD86" s="80" t="n"/>
      <c r="BE86" s="80" t="n"/>
      <c r="BF86" s="80" t="n"/>
      <c r="BG86" s="80" t="n"/>
      <c r="BH86" s="81">
        <f>BC86+BD86+BE86+BF86+BG86</f>
        <v/>
      </c>
      <c r="BI86" s="80" t="n"/>
      <c r="BJ86" s="80" t="n"/>
      <c r="BK86" s="80" t="n"/>
      <c r="BL86" s="80" t="n"/>
      <c r="BM86" s="81">
        <f>BI86+BJ86+BK86+BL86</f>
        <v/>
      </c>
    </row>
    <row r="87" ht="15.75" customHeight="1">
      <c r="A87" s="84" t="inlineStr">
        <is>
          <t>SACOLA P QDB</t>
        </is>
      </c>
      <c r="B87" s="151" t="n">
        <v>0</v>
      </c>
      <c r="C87" s="80" t="n">
        <v>0</v>
      </c>
      <c r="D87" s="80" t="n">
        <v>0</v>
      </c>
      <c r="E87" s="80" t="n">
        <v>0</v>
      </c>
      <c r="F87" s="81">
        <f>B87+C87+D87+E87</f>
        <v/>
      </c>
      <c r="G87" s="80" t="n">
        <v>0</v>
      </c>
      <c r="H87" s="80" t="n">
        <v>0</v>
      </c>
      <c r="I87" s="80" t="n">
        <v>0</v>
      </c>
      <c r="J87" s="80" t="n">
        <v>0</v>
      </c>
      <c r="K87" s="81">
        <f>G87+H87+I87+J87</f>
        <v/>
      </c>
      <c r="L87" s="80" t="n">
        <v>0</v>
      </c>
      <c r="M87" s="80" t="n">
        <v>0</v>
      </c>
      <c r="N87" s="80" t="n">
        <v>0</v>
      </c>
      <c r="O87" s="80" t="n">
        <v>0</v>
      </c>
      <c r="P87" s="80" t="n">
        <v>0</v>
      </c>
      <c r="Q87" s="81">
        <f>L87+M87+N87+O87+P87</f>
        <v/>
      </c>
      <c r="R87" s="80" t="n"/>
      <c r="S87" s="80" t="n"/>
      <c r="T87" s="80" t="n"/>
      <c r="U87" s="80" t="n"/>
      <c r="V87" s="81">
        <f>R87+S87+T87+U87</f>
        <v/>
      </c>
      <c r="W87" s="80" t="n">
        <v>0</v>
      </c>
      <c r="X87" s="80" t="n">
        <v>0</v>
      </c>
      <c r="Y87" s="80" t="n"/>
      <c r="Z87" s="80" t="n"/>
      <c r="AA87" s="81">
        <f>W87+X87+Y87+Z87</f>
        <v/>
      </c>
      <c r="AB87" s="80" t="n"/>
      <c r="AC87" s="80" t="n"/>
      <c r="AD87" s="80" t="n"/>
      <c r="AE87" s="80" t="n"/>
      <c r="AF87" s="80" t="n"/>
      <c r="AG87" s="81">
        <f>AB87+AC87+AD87+AE87+AF87</f>
        <v/>
      </c>
      <c r="AH87" s="80" t="n"/>
      <c r="AI87" s="80" t="n"/>
      <c r="AJ87" s="80" t="n"/>
      <c r="AK87" s="80" t="n"/>
      <c r="AL87" s="81">
        <f>AH87+AI87+AJ87+AK87</f>
        <v/>
      </c>
      <c r="AM87" s="80" t="n"/>
      <c r="AN87" s="80" t="n"/>
      <c r="AO87" s="80" t="n"/>
      <c r="AP87" s="80" t="n"/>
      <c r="AQ87" s="80" t="n"/>
      <c r="AR87" s="81">
        <f>AM87+AN87+AO87+AP87+AQ87</f>
        <v/>
      </c>
      <c r="AS87" s="80" t="n"/>
      <c r="AT87" s="80" t="n"/>
      <c r="AU87" s="80" t="n"/>
      <c r="AV87" s="80" t="n"/>
      <c r="AW87" s="81">
        <f>AS87+AT87+AU87+AV87</f>
        <v/>
      </c>
      <c r="AX87" s="80" t="n"/>
      <c r="AY87" s="80" t="n"/>
      <c r="AZ87" s="80" t="n"/>
      <c r="BA87" s="80" t="n"/>
      <c r="BB87" s="81">
        <f>AX87+AY87+AZ87+BA87</f>
        <v/>
      </c>
      <c r="BC87" s="80" t="n"/>
      <c r="BD87" s="80" t="n"/>
      <c r="BE87" s="80" t="n"/>
      <c r="BF87" s="80" t="n"/>
      <c r="BG87" s="80" t="n"/>
      <c r="BH87" s="81">
        <f>BC87+BD87+BE87+BF87+BG87</f>
        <v/>
      </c>
      <c r="BI87" s="80" t="n"/>
      <c r="BJ87" s="80" t="n"/>
      <c r="BK87" s="80" t="n"/>
      <c r="BL87" s="80" t="n"/>
      <c r="BM87" s="81">
        <f>BI87+BJ87+BK87+BL87</f>
        <v/>
      </c>
    </row>
    <row r="88" ht="15.75" customHeight="1">
      <c r="A88" s="84" t="inlineStr">
        <is>
          <t>SACOLA M QDB</t>
        </is>
      </c>
      <c r="B88" s="151" t="n">
        <v>0</v>
      </c>
      <c r="C88" s="80" t="n">
        <v>0</v>
      </c>
      <c r="D88" s="80" t="n">
        <v>0</v>
      </c>
      <c r="E88" s="80" t="n">
        <v>0</v>
      </c>
      <c r="F88" s="81">
        <f>B88+C88+D88+E88</f>
        <v/>
      </c>
      <c r="G88" s="80" t="n">
        <v>0</v>
      </c>
      <c r="H88" s="80" t="n">
        <v>0</v>
      </c>
      <c r="I88" s="80" t="n">
        <v>0</v>
      </c>
      <c r="J88" s="80" t="n">
        <v>0</v>
      </c>
      <c r="K88" s="81">
        <f>G88+H88+I88+J88</f>
        <v/>
      </c>
      <c r="L88" s="80" t="n">
        <v>0</v>
      </c>
      <c r="M88" s="80" t="n">
        <v>0</v>
      </c>
      <c r="N88" s="80" t="n">
        <v>0</v>
      </c>
      <c r="O88" s="80" t="n">
        <v>0</v>
      </c>
      <c r="P88" s="80" t="n">
        <v>0</v>
      </c>
      <c r="Q88" s="81">
        <f>L88+M88+N88+O88+P88</f>
        <v/>
      </c>
      <c r="R88" s="80" t="n"/>
      <c r="S88" s="80" t="n"/>
      <c r="T88" s="80" t="n"/>
      <c r="U88" s="80" t="n"/>
      <c r="V88" s="81">
        <f>R88+S88+T88+U88</f>
        <v/>
      </c>
      <c r="W88" s="80" t="n">
        <v>0</v>
      </c>
      <c r="X88" s="80" t="n">
        <v>0</v>
      </c>
      <c r="Y88" s="80" t="n"/>
      <c r="Z88" s="80" t="n"/>
      <c r="AA88" s="81">
        <f>W88+X88+Y88+Z88</f>
        <v/>
      </c>
      <c r="AB88" s="80" t="n"/>
      <c r="AC88" s="80" t="n"/>
      <c r="AD88" s="80" t="n"/>
      <c r="AE88" s="80" t="n"/>
      <c r="AF88" s="80" t="n"/>
      <c r="AG88" s="81">
        <f>AB88+AC88+AD88+AE88+AF88</f>
        <v/>
      </c>
      <c r="AH88" s="80" t="n"/>
      <c r="AI88" s="80" t="n"/>
      <c r="AJ88" s="80" t="n"/>
      <c r="AK88" s="80" t="n"/>
      <c r="AL88" s="81">
        <f>AH88+AI88+AJ88+AK88</f>
        <v/>
      </c>
      <c r="AM88" s="80" t="n"/>
      <c r="AN88" s="80" t="n"/>
      <c r="AO88" s="80" t="n"/>
      <c r="AP88" s="80" t="n"/>
      <c r="AQ88" s="80" t="n"/>
      <c r="AR88" s="81">
        <f>AM88+AN88+AO88+AP88+AQ88</f>
        <v/>
      </c>
      <c r="AS88" s="80" t="n"/>
      <c r="AT88" s="80" t="n"/>
      <c r="AU88" s="80" t="n"/>
      <c r="AV88" s="80" t="n"/>
      <c r="AW88" s="81">
        <f>AS88+AT88+AU88+AV88</f>
        <v/>
      </c>
      <c r="AX88" s="80" t="n"/>
      <c r="AY88" s="80" t="n"/>
      <c r="AZ88" s="80" t="n"/>
      <c r="BA88" s="80" t="n"/>
      <c r="BB88" s="81">
        <f>AX88+AY88+AZ88+BA88</f>
        <v/>
      </c>
      <c r="BC88" s="80" t="n"/>
      <c r="BD88" s="80" t="n"/>
      <c r="BE88" s="80" t="n"/>
      <c r="BF88" s="80" t="n"/>
      <c r="BG88" s="80" t="n"/>
      <c r="BH88" s="81">
        <f>BC88+BD88+BE88+BF88+BG88</f>
        <v/>
      </c>
      <c r="BI88" s="80" t="n"/>
      <c r="BJ88" s="80" t="n"/>
      <c r="BK88" s="80" t="n"/>
      <c r="BL88" s="80" t="n"/>
      <c r="BM88" s="81">
        <f>BI88+BJ88+BK88+BL88</f>
        <v/>
      </c>
    </row>
    <row r="89" ht="15.75" customHeight="1">
      <c r="A89" s="84" t="inlineStr">
        <is>
          <t>SACOLA G QDB</t>
        </is>
      </c>
      <c r="B89" s="151" t="n">
        <v>0</v>
      </c>
      <c r="C89" s="80" t="n">
        <v>0</v>
      </c>
      <c r="D89" s="80" t="n">
        <v>0</v>
      </c>
      <c r="E89" s="80" t="n">
        <v>0</v>
      </c>
      <c r="F89" s="81">
        <f>B89+C89+D89+E89</f>
        <v/>
      </c>
      <c r="G89" s="80" t="n">
        <v>0</v>
      </c>
      <c r="H89" s="80" t="n">
        <v>0</v>
      </c>
      <c r="I89" s="80" t="n">
        <v>0</v>
      </c>
      <c r="J89" s="80" t="n">
        <v>0</v>
      </c>
      <c r="K89" s="81">
        <f>G89+H89+I89+J89</f>
        <v/>
      </c>
      <c r="L89" s="80" t="n">
        <v>0</v>
      </c>
      <c r="M89" s="80" t="n">
        <v>0</v>
      </c>
      <c r="N89" s="80" t="n">
        <v>0</v>
      </c>
      <c r="O89" s="80" t="n">
        <v>0</v>
      </c>
      <c r="P89" s="80" t="n">
        <v>0</v>
      </c>
      <c r="Q89" s="81">
        <f>L89+M89+N89+O89+P89</f>
        <v/>
      </c>
      <c r="R89" s="80" t="n"/>
      <c r="S89" s="80" t="n"/>
      <c r="T89" s="80" t="n"/>
      <c r="U89" s="80" t="n"/>
      <c r="V89" s="81">
        <f>R89+S89+T89+U89</f>
        <v/>
      </c>
      <c r="W89" s="80" t="n">
        <v>0</v>
      </c>
      <c r="X89" s="80" t="n">
        <v>0</v>
      </c>
      <c r="Y89" s="80" t="n"/>
      <c r="Z89" s="80" t="n"/>
      <c r="AA89" s="81">
        <f>W89+X89+Y89+Z89</f>
        <v/>
      </c>
      <c r="AB89" s="80" t="n"/>
      <c r="AC89" s="80" t="n"/>
      <c r="AD89" s="80" t="n"/>
      <c r="AE89" s="80" t="n"/>
      <c r="AF89" s="80" t="n"/>
      <c r="AG89" s="81">
        <f>AB89+AC89+AD89+AE89+AF89</f>
        <v/>
      </c>
      <c r="AH89" s="80" t="n"/>
      <c r="AI89" s="80" t="n"/>
      <c r="AJ89" s="80" t="n"/>
      <c r="AK89" s="80" t="n"/>
      <c r="AL89" s="81">
        <f>AH89+AI89+AJ89+AK89</f>
        <v/>
      </c>
      <c r="AM89" s="80" t="n"/>
      <c r="AN89" s="80" t="n"/>
      <c r="AO89" s="80" t="n"/>
      <c r="AP89" s="80" t="n"/>
      <c r="AQ89" s="80" t="n"/>
      <c r="AR89" s="81">
        <f>AM89+AN89+AO89+AP89+AQ89</f>
        <v/>
      </c>
      <c r="AS89" s="80" t="n"/>
      <c r="AT89" s="80" t="n"/>
      <c r="AU89" s="80" t="n"/>
      <c r="AV89" s="80" t="n"/>
      <c r="AW89" s="81">
        <f>AS89+AT89+AU89+AV89</f>
        <v/>
      </c>
      <c r="AX89" s="80" t="n"/>
      <c r="AY89" s="80" t="n"/>
      <c r="AZ89" s="80" t="n"/>
      <c r="BA89" s="80" t="n"/>
      <c r="BB89" s="81">
        <f>AX89+AY89+AZ89+BA89</f>
        <v/>
      </c>
      <c r="BC89" s="80" t="n"/>
      <c r="BD89" s="80" t="n"/>
      <c r="BE89" s="80" t="n"/>
      <c r="BF89" s="80" t="n"/>
      <c r="BG89" s="80" t="n"/>
      <c r="BH89" s="81">
        <f>BC89+BD89+BE89+BF89+BG89</f>
        <v/>
      </c>
      <c r="BI89" s="80" t="n"/>
      <c r="BJ89" s="80" t="n"/>
      <c r="BK89" s="80" t="n"/>
      <c r="BL89" s="80" t="n"/>
      <c r="BM89" s="81">
        <f>BI89+BJ89+BK89+BL89</f>
        <v/>
      </c>
    </row>
    <row r="90" ht="15" customHeight="1">
      <c r="A90" s="84" t="inlineStr">
        <is>
          <t>SACOLA P EUDORA</t>
        </is>
      </c>
      <c r="B90" s="151" t="n">
        <v>200</v>
      </c>
      <c r="C90" s="151" t="n">
        <v>800</v>
      </c>
      <c r="D90" s="151" t="n">
        <v>600</v>
      </c>
      <c r="E90" s="151" t="n">
        <v>400</v>
      </c>
      <c r="F90" s="81">
        <f>B90+C90+D90+E90</f>
        <v/>
      </c>
      <c r="G90" s="151" t="n">
        <v>1000</v>
      </c>
      <c r="H90" s="151" t="n">
        <v>400</v>
      </c>
      <c r="I90" s="151" t="n">
        <v>1200</v>
      </c>
      <c r="J90" s="151" t="n">
        <v>600</v>
      </c>
      <c r="K90" s="81">
        <f>G90+H90+I90+J90</f>
        <v/>
      </c>
      <c r="L90" s="151" t="n">
        <v>600</v>
      </c>
      <c r="M90" s="151" t="n">
        <v>200</v>
      </c>
      <c r="N90" s="151" t="n">
        <v>800</v>
      </c>
      <c r="O90" s="151" t="n">
        <v>600</v>
      </c>
      <c r="P90" s="151" t="n">
        <v>400</v>
      </c>
      <c r="Q90" s="81">
        <f>L90+M90+N90+O90+P90</f>
        <v/>
      </c>
      <c r="R90" s="151" t="n"/>
      <c r="S90" s="151" t="n"/>
      <c r="T90" s="151" t="n"/>
      <c r="U90" s="151" t="n"/>
      <c r="V90" s="81">
        <f>R90+S90+T90+U90</f>
        <v/>
      </c>
      <c r="W90" s="151" t="n">
        <v>800</v>
      </c>
      <c r="X90" s="151" t="n">
        <v>0</v>
      </c>
      <c r="Y90" s="151" t="n"/>
      <c r="Z90" s="151" t="n"/>
      <c r="AA90" s="81">
        <f>W90+X90+Y90+Z90</f>
        <v/>
      </c>
      <c r="AB90" s="151" t="n"/>
      <c r="AC90" s="151" t="n"/>
      <c r="AD90" s="151" t="n"/>
      <c r="AE90" s="151" t="n"/>
      <c r="AF90" s="151" t="n"/>
      <c r="AG90" s="81">
        <f>AB90+AC90+AD90+AE90+AF90</f>
        <v/>
      </c>
      <c r="AH90" s="151" t="n"/>
      <c r="AI90" s="151" t="n"/>
      <c r="AJ90" s="151" t="n"/>
      <c r="AK90" s="151" t="n"/>
      <c r="AL90" s="81">
        <f>AH90+AI90+AJ90+AK90</f>
        <v/>
      </c>
      <c r="AM90" s="80" t="n"/>
      <c r="AN90" s="80" t="n"/>
      <c r="AO90" s="80" t="n"/>
      <c r="AP90" s="80" t="n"/>
      <c r="AQ90" s="80" t="n"/>
      <c r="AR90" s="81">
        <f>AM90+AN90+AO90+AP90+AQ90</f>
        <v/>
      </c>
      <c r="AS90" s="80" t="n"/>
      <c r="AT90" s="80" t="n"/>
      <c r="AU90" s="80" t="n"/>
      <c r="AV90" s="80" t="n"/>
      <c r="AW90" s="81">
        <f>AS90+AT90+AU90+AV90</f>
        <v/>
      </c>
      <c r="AX90" s="80" t="n"/>
      <c r="AY90" s="80" t="n"/>
      <c r="AZ90" s="80" t="n"/>
      <c r="BA90" s="80" t="n"/>
      <c r="BB90" s="81">
        <f>AX90+AY90+AZ90+BA90</f>
        <v/>
      </c>
      <c r="BC90" s="80" t="n"/>
      <c r="BD90" s="80" t="n"/>
      <c r="BE90" s="80" t="n"/>
      <c r="BF90" s="80" t="n"/>
      <c r="BG90" s="80" t="n"/>
      <c r="BH90" s="81">
        <f>BC90+BD90+BE90+BF90+BG90</f>
        <v/>
      </c>
      <c r="BI90" s="80" t="n"/>
      <c r="BJ90" s="80" t="n"/>
      <c r="BK90" s="80" t="n"/>
      <c r="BL90" s="80" t="n"/>
      <c r="BM90" s="81">
        <f>BI90+BJ90+BK90+BL90</f>
        <v/>
      </c>
    </row>
    <row r="91" ht="15.75" customHeight="1">
      <c r="A91" s="84" t="inlineStr">
        <is>
          <t>SACOLA M EUDORA</t>
        </is>
      </c>
      <c r="B91" s="151" t="n">
        <v>0</v>
      </c>
      <c r="C91" s="151" t="n">
        <v>200</v>
      </c>
      <c r="D91" s="151" t="n">
        <v>200</v>
      </c>
      <c r="E91" s="151" t="n">
        <v>0</v>
      </c>
      <c r="F91" s="81">
        <f>B91+C91+D91+E91</f>
        <v/>
      </c>
      <c r="G91" s="151" t="n">
        <v>0</v>
      </c>
      <c r="H91" s="151" t="n">
        <v>0</v>
      </c>
      <c r="I91" s="151" t="n">
        <v>200</v>
      </c>
      <c r="J91" s="151" t="n">
        <v>0</v>
      </c>
      <c r="K91" s="81">
        <f>G91+H91+I91+J91</f>
        <v/>
      </c>
      <c r="L91" s="151" t="n">
        <v>200</v>
      </c>
      <c r="M91" s="151" t="n">
        <v>0</v>
      </c>
      <c r="N91" s="151" t="n">
        <v>0</v>
      </c>
      <c r="O91" s="151" t="n">
        <v>0</v>
      </c>
      <c r="P91" s="151" t="n">
        <v>200</v>
      </c>
      <c r="Q91" s="81">
        <f>L91+M91+N91+O91+P91</f>
        <v/>
      </c>
      <c r="R91" s="151" t="n"/>
      <c r="S91" s="151" t="n"/>
      <c r="T91" s="151" t="n"/>
      <c r="U91" s="151" t="n"/>
      <c r="V91" s="81">
        <f>R91+S91+T91+U91</f>
        <v/>
      </c>
      <c r="W91" s="151" t="n">
        <v>200</v>
      </c>
      <c r="X91" s="151" t="n">
        <v>0</v>
      </c>
      <c r="Y91" s="151" t="n"/>
      <c r="Z91" s="151" t="n"/>
      <c r="AA91" s="81">
        <f>W91+X91+Y91+Z91</f>
        <v/>
      </c>
      <c r="AB91" s="151" t="n"/>
      <c r="AC91" s="151" t="n"/>
      <c r="AD91" s="151" t="n"/>
      <c r="AE91" s="151" t="n"/>
      <c r="AF91" s="151" t="n"/>
      <c r="AG91" s="81">
        <f>AB91+AC91+AD91+AE91+AF91</f>
        <v/>
      </c>
      <c r="AH91" s="151" t="n"/>
      <c r="AI91" s="151" t="n"/>
      <c r="AJ91" s="151" t="n"/>
      <c r="AK91" s="151" t="n"/>
      <c r="AL91" s="81">
        <f>AH91+AI91+AJ91+AK91</f>
        <v/>
      </c>
      <c r="AM91" s="80" t="n"/>
      <c r="AN91" s="80" t="n"/>
      <c r="AO91" s="80" t="n"/>
      <c r="AP91" s="80" t="n"/>
      <c r="AQ91" s="80" t="n"/>
      <c r="AR91" s="81">
        <f>AM91+AN91+AO91+AP91+AQ91</f>
        <v/>
      </c>
      <c r="AS91" s="80" t="n"/>
      <c r="AT91" s="80" t="n"/>
      <c r="AU91" s="80" t="n"/>
      <c r="AV91" s="80" t="n"/>
      <c r="AW91" s="81">
        <f>AS91+AT91+AU91+AV91</f>
        <v/>
      </c>
      <c r="AX91" s="80" t="n"/>
      <c r="AY91" s="80" t="n"/>
      <c r="AZ91" s="80" t="n"/>
      <c r="BA91" s="80" t="n"/>
      <c r="BB91" s="81">
        <f>AX91+AY91+AZ91+BA91</f>
        <v/>
      </c>
      <c r="BC91" s="80" t="n"/>
      <c r="BD91" s="80" t="n"/>
      <c r="BE91" s="80" t="n"/>
      <c r="BF91" s="80" t="n"/>
      <c r="BG91" s="80" t="n"/>
      <c r="BH91" s="81">
        <f>BC91+BD91+BE91+BF91+BG91</f>
        <v/>
      </c>
      <c r="BI91" s="80" t="n"/>
      <c r="BJ91" s="80" t="n"/>
      <c r="BK91" s="80" t="n"/>
      <c r="BL91" s="80" t="n"/>
      <c r="BM91" s="81">
        <f>BI91+BJ91+BK91+BL91</f>
        <v/>
      </c>
    </row>
    <row r="92" ht="15.75" customHeight="1">
      <c r="A92" s="84" t="inlineStr">
        <is>
          <t>SACOLA G EUDORA</t>
        </is>
      </c>
      <c r="B92" s="151" t="n">
        <v>0</v>
      </c>
      <c r="C92" s="151" t="n">
        <v>0</v>
      </c>
      <c r="D92" s="151" t="n">
        <v>0</v>
      </c>
      <c r="E92" s="151" t="n">
        <v>0</v>
      </c>
      <c r="F92" s="81">
        <f>B92+C92+D92+E92</f>
        <v/>
      </c>
      <c r="G92" s="151" t="n">
        <v>0</v>
      </c>
      <c r="H92" s="151" t="n">
        <v>0</v>
      </c>
      <c r="I92" s="151" t="n">
        <v>100</v>
      </c>
      <c r="J92" s="151" t="n">
        <v>0</v>
      </c>
      <c r="K92" s="81">
        <f>G92+H92+I92+J92</f>
        <v/>
      </c>
      <c r="L92" s="151" t="n">
        <v>0</v>
      </c>
      <c r="M92" s="151" t="n">
        <v>0</v>
      </c>
      <c r="N92" s="151" t="n">
        <v>0</v>
      </c>
      <c r="O92" s="151" t="n">
        <v>100</v>
      </c>
      <c r="P92" s="151" t="n">
        <v>0</v>
      </c>
      <c r="Q92" s="81">
        <f>L92+M92+N92+O92+P92</f>
        <v/>
      </c>
      <c r="R92" s="151" t="n"/>
      <c r="S92" s="151" t="n"/>
      <c r="T92" s="151" t="n"/>
      <c r="U92" s="151" t="n"/>
      <c r="V92" s="81">
        <f>R92+S92+T92+U92</f>
        <v/>
      </c>
      <c r="W92" s="151" t="n">
        <v>0</v>
      </c>
      <c r="X92" s="151" t="n">
        <v>0</v>
      </c>
      <c r="Y92" s="151" t="n"/>
      <c r="Z92" s="151" t="n"/>
      <c r="AA92" s="81">
        <f>W92+X92+Y92+Z92</f>
        <v/>
      </c>
      <c r="AB92" s="151" t="n"/>
      <c r="AC92" s="151" t="n"/>
      <c r="AD92" s="151" t="n"/>
      <c r="AE92" s="151" t="n"/>
      <c r="AF92" s="151" t="n"/>
      <c r="AG92" s="81">
        <f>AB92+AC92+AD92+AE92+AF92</f>
        <v/>
      </c>
      <c r="AH92" s="151" t="n"/>
      <c r="AI92" s="151" t="n"/>
      <c r="AJ92" s="151" t="n"/>
      <c r="AK92" s="151" t="n"/>
      <c r="AL92" s="81">
        <f>AH92+AI92+AJ92+AK92</f>
        <v/>
      </c>
      <c r="AM92" s="80" t="n"/>
      <c r="AN92" s="80" t="n"/>
      <c r="AO92" s="80" t="n"/>
      <c r="AP92" s="80" t="n"/>
      <c r="AQ92" s="80" t="n"/>
      <c r="AR92" s="81">
        <f>AM92+AN92+AO92+AP92+AQ92</f>
        <v/>
      </c>
      <c r="AS92" s="80" t="n"/>
      <c r="AT92" s="80" t="n"/>
      <c r="AU92" s="80" t="n"/>
      <c r="AV92" s="80" t="n"/>
      <c r="AW92" s="81">
        <f>AS92+AT92+AU92+AV92</f>
        <v/>
      </c>
      <c r="AX92" s="80" t="n"/>
      <c r="AY92" s="80" t="n"/>
      <c r="AZ92" s="80" t="n"/>
      <c r="BA92" s="80" t="n"/>
      <c r="BB92" s="81">
        <f>AX92+AY92+AZ92+BA92</f>
        <v/>
      </c>
      <c r="BC92" s="80" t="n"/>
      <c r="BD92" s="80" t="n"/>
      <c r="BE92" s="80" t="n"/>
      <c r="BF92" s="80" t="n"/>
      <c r="BG92" s="80" t="n"/>
      <c r="BH92" s="81">
        <f>BC92+BD92+BE92+BF92+BG92</f>
        <v/>
      </c>
      <c r="BI92" s="80" t="n"/>
      <c r="BJ92" s="80" t="n"/>
      <c r="BK92" s="80" t="n"/>
      <c r="BL92" s="80" t="n"/>
      <c r="BM92" s="81">
        <f>BI92+BJ92+BK92+BL92</f>
        <v/>
      </c>
    </row>
    <row r="93" ht="15.75" customHeight="1">
      <c r="A93" s="84" t="inlineStr">
        <is>
          <t>CAIXA OMNI P</t>
        </is>
      </c>
      <c r="B93" s="80" t="n">
        <v>100</v>
      </c>
      <c r="C93" s="80" t="n">
        <v>450</v>
      </c>
      <c r="D93" s="80" t="n">
        <v>625</v>
      </c>
      <c r="E93" s="80" t="n">
        <v>375</v>
      </c>
      <c r="F93" s="81">
        <f>B93+C93+D93+E93</f>
        <v/>
      </c>
      <c r="G93" s="80" t="n">
        <v>425</v>
      </c>
      <c r="H93" s="80" t="n">
        <v>475</v>
      </c>
      <c r="I93" s="80" t="n">
        <v>725</v>
      </c>
      <c r="J93" s="80" t="n">
        <v>200</v>
      </c>
      <c r="K93" s="81">
        <f>G93+H93+I93+J93</f>
        <v/>
      </c>
      <c r="L93" s="80" t="n">
        <v>525</v>
      </c>
      <c r="M93" s="80" t="n">
        <v>300</v>
      </c>
      <c r="N93" s="80" t="n">
        <v>675</v>
      </c>
      <c r="O93" s="80" t="n">
        <v>100</v>
      </c>
      <c r="P93" s="80" t="n">
        <v>450</v>
      </c>
      <c r="Q93" s="81">
        <f>L93+M93+N93+O93+P93</f>
        <v/>
      </c>
      <c r="R93" s="80" t="n"/>
      <c r="S93" s="80" t="n"/>
      <c r="T93" s="80" t="n"/>
      <c r="U93" s="80" t="n"/>
      <c r="V93" s="81">
        <f>R93+S93+T93+U93</f>
        <v/>
      </c>
      <c r="W93" s="80" t="n">
        <v>675</v>
      </c>
      <c r="X93" s="80" t="n">
        <v>325</v>
      </c>
      <c r="Y93" s="80" t="n"/>
      <c r="Z93" s="80" t="n"/>
      <c r="AA93" s="81">
        <f>W93+X93+Y93+Z93</f>
        <v/>
      </c>
      <c r="AB93" s="80" t="n"/>
      <c r="AC93" s="80" t="n"/>
      <c r="AD93" s="80" t="n"/>
      <c r="AE93" s="80" t="n"/>
      <c r="AF93" s="80" t="n"/>
      <c r="AG93" s="81">
        <f>AB93+AC93+AD93+AE93+AF93</f>
        <v/>
      </c>
      <c r="AH93" s="80" t="n"/>
      <c r="AI93" s="80" t="n"/>
      <c r="AJ93" s="80" t="n"/>
      <c r="AK93" s="80" t="n"/>
      <c r="AL93" s="81">
        <f>AH93+AI93+AJ93+AK93</f>
        <v/>
      </c>
      <c r="AM93" s="80" t="n"/>
      <c r="AN93" s="80" t="n"/>
      <c r="AO93" s="80" t="n"/>
      <c r="AP93" s="80" t="n"/>
      <c r="AQ93" s="80" t="n"/>
      <c r="AR93" s="81">
        <f>AM93+AN93+AO93+AP93+AQ93</f>
        <v/>
      </c>
      <c r="AS93" s="80" t="n"/>
      <c r="AT93" s="80" t="n"/>
      <c r="AU93" s="80" t="n"/>
      <c r="AV93" s="80" t="n"/>
      <c r="AW93" s="81">
        <f>AS93+AT93+AU93+AV93</f>
        <v/>
      </c>
      <c r="AX93" s="80" t="n"/>
      <c r="AY93" s="80" t="n"/>
      <c r="AZ93" s="80" t="n"/>
      <c r="BA93" s="80" t="n"/>
      <c r="BB93" s="81">
        <f>AX93+AY93+AZ93+BA93</f>
        <v/>
      </c>
      <c r="BC93" s="80" t="n"/>
      <c r="BD93" s="80" t="n"/>
      <c r="BE93" s="80" t="n"/>
      <c r="BF93" s="80" t="n"/>
      <c r="BG93" s="80" t="n"/>
      <c r="BH93" s="81">
        <f>BC93+BD93+BE93+BF93+BG93</f>
        <v/>
      </c>
      <c r="BI93" s="80" t="n"/>
      <c r="BJ93" s="80" t="n"/>
      <c r="BK93" s="80" t="n"/>
      <c r="BL93" s="80" t="n"/>
      <c r="BM93" s="81">
        <f>BI93+BJ93+BK93+BL93</f>
        <v/>
      </c>
    </row>
    <row r="94" ht="15.75" customHeight="1">
      <c r="A94" s="84" t="inlineStr">
        <is>
          <t>CAIXA OMNI M</t>
        </is>
      </c>
      <c r="B94" s="80" t="n">
        <v>125</v>
      </c>
      <c r="C94" s="80" t="n">
        <v>275</v>
      </c>
      <c r="D94" s="80" t="n">
        <v>325</v>
      </c>
      <c r="E94" s="80" t="n">
        <v>200</v>
      </c>
      <c r="F94" s="81">
        <f>B94+C94+D94+E94</f>
        <v/>
      </c>
      <c r="G94" s="80" t="n">
        <v>250</v>
      </c>
      <c r="H94" s="80" t="n">
        <v>225</v>
      </c>
      <c r="I94" s="80" t="n">
        <v>325</v>
      </c>
      <c r="J94" s="80" t="n">
        <v>100</v>
      </c>
      <c r="K94" s="81">
        <f>G94+H94+I94+J94</f>
        <v/>
      </c>
      <c r="L94" s="80" t="n">
        <v>250</v>
      </c>
      <c r="M94" s="80" t="n">
        <v>125</v>
      </c>
      <c r="N94" s="80" t="n">
        <v>325</v>
      </c>
      <c r="O94" s="80" t="n">
        <v>175</v>
      </c>
      <c r="P94" s="80" t="n">
        <v>300</v>
      </c>
      <c r="Q94" s="81">
        <f>L94+M94+N94+O94+P94</f>
        <v/>
      </c>
      <c r="R94" s="80" t="n"/>
      <c r="S94" s="80" t="n"/>
      <c r="T94" s="80" t="n"/>
      <c r="U94" s="80" t="n"/>
      <c r="V94" s="81">
        <f>R94+S94+T94+U94</f>
        <v/>
      </c>
      <c r="W94" s="80" t="n">
        <v>525</v>
      </c>
      <c r="X94" s="80" t="n">
        <v>250</v>
      </c>
      <c r="Y94" s="80" t="n"/>
      <c r="Z94" s="80" t="n"/>
      <c r="AA94" s="81">
        <f>W94+X94+Y94+Z94</f>
        <v/>
      </c>
      <c r="AB94" s="80" t="n"/>
      <c r="AC94" s="80" t="n"/>
      <c r="AD94" s="80" t="n"/>
      <c r="AE94" s="80" t="n"/>
      <c r="AF94" s="80" t="n"/>
      <c r="AG94" s="81">
        <f>AB94+AC94+AD94+AE94+AF94</f>
        <v/>
      </c>
      <c r="AH94" s="80" t="n"/>
      <c r="AI94" s="80" t="n"/>
      <c r="AJ94" s="80" t="n"/>
      <c r="AK94" s="80" t="n"/>
      <c r="AL94" s="81">
        <f>AH94+AI94+AJ94+AK94</f>
        <v/>
      </c>
      <c r="AM94" s="80" t="n"/>
      <c r="AN94" s="80" t="n"/>
      <c r="AO94" s="80" t="n"/>
      <c r="AP94" s="80" t="n"/>
      <c r="AQ94" s="80" t="n"/>
      <c r="AR94" s="81">
        <f>AM94+AN94+AO94+AP94+AQ94</f>
        <v/>
      </c>
      <c r="AS94" s="80" t="n"/>
      <c r="AT94" s="80" t="n"/>
      <c r="AU94" s="80" t="n"/>
      <c r="AV94" s="80" t="n"/>
      <c r="AW94" s="81">
        <f>AS94+AT94+AU94+AV94</f>
        <v/>
      </c>
      <c r="AX94" s="80" t="n"/>
      <c r="AY94" s="80" t="n"/>
      <c r="AZ94" s="80" t="n"/>
      <c r="BA94" s="80" t="n"/>
      <c r="BB94" s="81">
        <f>AX94+AY94+AZ94+BA94</f>
        <v/>
      </c>
      <c r="BC94" s="80" t="n"/>
      <c r="BD94" s="80" t="n"/>
      <c r="BE94" s="80" t="n"/>
      <c r="BF94" s="80" t="n"/>
      <c r="BG94" s="80" t="n"/>
      <c r="BH94" s="81">
        <f>BC94+BD94+BE94+BF94+BG94</f>
        <v/>
      </c>
      <c r="BI94" s="80" t="n"/>
      <c r="BJ94" s="80" t="n"/>
      <c r="BK94" s="80" t="n"/>
      <c r="BL94" s="80" t="n"/>
      <c r="BM94" s="81">
        <f>BI94+BJ94+BK94+BL94</f>
        <v/>
      </c>
    </row>
    <row r="95" ht="15.75" customHeight="1">
      <c r="A95" s="84" t="inlineStr">
        <is>
          <t>CAIXA OMNI G</t>
        </is>
      </c>
      <c r="B95" s="80" t="n">
        <v>25</v>
      </c>
      <c r="C95" s="80" t="n">
        <v>25</v>
      </c>
      <c r="D95" s="80" t="n">
        <v>100</v>
      </c>
      <c r="E95" s="80" t="n">
        <v>25</v>
      </c>
      <c r="F95" s="81">
        <f>B95+C95+D95+E95</f>
        <v/>
      </c>
      <c r="G95" s="80" t="n">
        <v>0</v>
      </c>
      <c r="H95" s="80" t="n">
        <v>25</v>
      </c>
      <c r="I95" s="80" t="n">
        <v>75</v>
      </c>
      <c r="J95" s="80" t="n">
        <v>0</v>
      </c>
      <c r="K95" s="81">
        <f>G95+H95+I95+J95</f>
        <v/>
      </c>
      <c r="L95" s="80" t="n">
        <v>75</v>
      </c>
      <c r="M95" s="80" t="n">
        <v>25</v>
      </c>
      <c r="N95" s="80" t="n">
        <v>100</v>
      </c>
      <c r="O95" s="80" t="n">
        <v>50</v>
      </c>
      <c r="P95" s="80" t="n">
        <v>100</v>
      </c>
      <c r="Q95" s="81">
        <f>L95+M95+N95+O95+P95</f>
        <v/>
      </c>
      <c r="R95" s="80" t="n"/>
      <c r="S95" s="80" t="n"/>
      <c r="T95" s="80" t="n"/>
      <c r="U95" s="80" t="n"/>
      <c r="V95" s="81">
        <f>R95+S95+T95+U95</f>
        <v/>
      </c>
      <c r="W95" s="80" t="n">
        <v>50</v>
      </c>
      <c r="X95" s="80" t="n">
        <v>100</v>
      </c>
      <c r="Y95" s="80" t="n"/>
      <c r="Z95" s="80" t="n"/>
      <c r="AA95" s="81">
        <f>W95+X95+Y95+Z95</f>
        <v/>
      </c>
      <c r="AB95" s="80" t="n"/>
      <c r="AC95" s="80" t="n"/>
      <c r="AD95" s="80" t="n"/>
      <c r="AE95" s="80" t="n"/>
      <c r="AF95" s="80" t="n"/>
      <c r="AG95" s="81">
        <f>AB95+AC95+AD95+AE95+AF95</f>
        <v/>
      </c>
      <c r="AH95" s="80" t="n"/>
      <c r="AI95" s="80" t="n"/>
      <c r="AJ95" s="80" t="n"/>
      <c r="AK95" s="80" t="n"/>
      <c r="AL95" s="81">
        <f>AH95+AI95+AJ95+AK95</f>
        <v/>
      </c>
      <c r="AM95" s="80" t="n"/>
      <c r="AN95" s="80" t="n"/>
      <c r="AO95" s="80" t="n"/>
      <c r="AP95" s="80" t="n"/>
      <c r="AQ95" s="80" t="n"/>
      <c r="AR95" s="81">
        <f>AM95+AN95+AO95+AP95+AQ95</f>
        <v/>
      </c>
      <c r="AS95" s="80" t="n"/>
      <c r="AT95" s="80" t="n"/>
      <c r="AU95" s="80" t="n"/>
      <c r="AV95" s="80" t="n"/>
      <c r="AW95" s="81">
        <f>AS95+AT95+AU95+AV95</f>
        <v/>
      </c>
      <c r="AX95" s="80" t="n"/>
      <c r="AY95" s="80" t="n"/>
      <c r="AZ95" s="80" t="n"/>
      <c r="BA95" s="80" t="n"/>
      <c r="BB95" s="81">
        <f>AX95+AY95+AZ95+BA95</f>
        <v/>
      </c>
      <c r="BC95" s="80" t="n"/>
      <c r="BD95" s="80" t="n"/>
      <c r="BE95" s="80" t="n"/>
      <c r="BF95" s="80" t="n"/>
      <c r="BG95" s="80" t="n"/>
      <c r="BH95" s="81">
        <f>BC95+BD95+BE95+BF95+BG95</f>
        <v/>
      </c>
      <c r="BI95" s="80" t="n"/>
      <c r="BJ95" s="80" t="n"/>
      <c r="BK95" s="80" t="n"/>
      <c r="BL95" s="80" t="n"/>
      <c r="BM95" s="81">
        <f>BI95+BJ95+BK95+BL95</f>
        <v/>
      </c>
    </row>
    <row r="96" ht="15.75" customHeight="1">
      <c r="A96" s="86" t="inlineStr">
        <is>
          <t>TOTAL DE SACOLAS</t>
        </is>
      </c>
      <c r="B96" s="87">
        <f>SUM(B82:B85)</f>
        <v/>
      </c>
      <c r="C96" s="87">
        <f>SUM(C82:C85)</f>
        <v/>
      </c>
      <c r="D96" s="87">
        <f>SUM(D82:D85)</f>
        <v/>
      </c>
      <c r="E96" s="87">
        <f>SUM(E82:E85)</f>
        <v/>
      </c>
      <c r="F96" s="87">
        <f>F82+F83+F84+F85+F87+F88+F89+F90+F91+F92</f>
        <v/>
      </c>
      <c r="G96" s="87">
        <f>SUM(G82:G85)</f>
        <v/>
      </c>
      <c r="H96" s="87">
        <f>SUM(H82:H85)</f>
        <v/>
      </c>
      <c r="I96" s="87">
        <f>SUM(I82:I85)</f>
        <v/>
      </c>
      <c r="J96" s="87">
        <f>SUM(J82:J85)</f>
        <v/>
      </c>
      <c r="K96" s="87">
        <f>K82+K83+K84+K85+K87+K88+K89+K90+K91+K92</f>
        <v/>
      </c>
      <c r="L96" s="87">
        <f>SUM(L82:L85)</f>
        <v/>
      </c>
      <c r="M96" s="87">
        <f>SUM(M82:M85)</f>
        <v/>
      </c>
      <c r="N96" s="87">
        <f>SUM(N82:N85)</f>
        <v/>
      </c>
      <c r="O96" s="87">
        <f>SUM(O82:O85)</f>
        <v/>
      </c>
      <c r="P96" s="87">
        <f>SUM(P82:P85)</f>
        <v/>
      </c>
      <c r="Q96" s="87">
        <f>Q82+Q83+Q84+Q85+Q87+Q88+Q89+Q90+Q91+Q92</f>
        <v/>
      </c>
      <c r="R96" s="87">
        <f>SUM(R82:R85)</f>
        <v/>
      </c>
      <c r="S96" s="87">
        <f>SUM(S82:S85)</f>
        <v/>
      </c>
      <c r="T96" s="87">
        <f>SUM(T82:T85)</f>
        <v/>
      </c>
      <c r="U96" s="87">
        <f>SUM(U82:U85)</f>
        <v/>
      </c>
      <c r="V96" s="87">
        <f>V82+V83+V84+V85+V87+V88+V89</f>
        <v/>
      </c>
      <c r="W96" s="87">
        <f>SUM(W82:W85)</f>
        <v/>
      </c>
      <c r="X96" s="87">
        <f>SUM(X82:X85)</f>
        <v/>
      </c>
      <c r="Y96" s="87">
        <f>SUM(Y82:Y85)</f>
        <v/>
      </c>
      <c r="Z96" s="87">
        <f>SUM(Z82:Z85)</f>
        <v/>
      </c>
      <c r="AA96" s="87">
        <f>AA82+AA83+AA84+AA85+AA87+AA88+AA89+AA90+AA91+AA92</f>
        <v/>
      </c>
      <c r="AB96" s="87">
        <f>SUM(AB82:AB85)</f>
        <v/>
      </c>
      <c r="AC96" s="87">
        <f>SUM(AC82:AC85)</f>
        <v/>
      </c>
      <c r="AD96" s="87">
        <f>SUM(AD82:AD85)</f>
        <v/>
      </c>
      <c r="AE96" s="87">
        <f>SUM(AE82:AE85)</f>
        <v/>
      </c>
      <c r="AF96" s="87">
        <f>SUM(AF82:AF85)</f>
        <v/>
      </c>
      <c r="AG96" s="87">
        <f>AG82+AG83+AG84+AG85+AG87+AG88+AG89+AG90+AG91+AG92</f>
        <v/>
      </c>
      <c r="AH96" s="87">
        <f>SUM(AH82:AH85)</f>
        <v/>
      </c>
      <c r="AI96" s="87">
        <f>SUM(AI82:AI85)</f>
        <v/>
      </c>
      <c r="AJ96" s="87">
        <f>SUM(AJ82:AJ85)</f>
        <v/>
      </c>
      <c r="AK96" s="87">
        <f>SUM(AK82:AK85)</f>
        <v/>
      </c>
      <c r="AL96" s="87">
        <f>AL82+AL83+AL84+AL85+AL87+AL88+AL89+AL90+AL91+AL92</f>
        <v/>
      </c>
      <c r="AM96" s="87">
        <f>SUM(AM82:AM85)</f>
        <v/>
      </c>
      <c r="AN96" s="87">
        <f>SUM(AN82:AN85)</f>
        <v/>
      </c>
      <c r="AO96" s="87">
        <f>SUM(AO82:AO85)</f>
        <v/>
      </c>
      <c r="AP96" s="87">
        <f>SUM(AP82:AP85)</f>
        <v/>
      </c>
      <c r="AQ96" s="87">
        <f>SUM(AQ82:AQ85)</f>
        <v/>
      </c>
      <c r="AR96" s="87">
        <f>AR82+AR83+AR84+AR85+AR87+AR88+AR89+AR90+AR91+AR92</f>
        <v/>
      </c>
      <c r="AS96" s="87">
        <f>SUM(AS82:AS85)</f>
        <v/>
      </c>
      <c r="AT96" s="87">
        <f>SUM(AT82:AT85)</f>
        <v/>
      </c>
      <c r="AU96" s="87">
        <f>SUM(AU82:AU85)</f>
        <v/>
      </c>
      <c r="AV96" s="87">
        <f>SUM(AV82:AV85)</f>
        <v/>
      </c>
      <c r="AW96" s="87">
        <f>AW82+AW83+AW84+AW85+AW87+AW88+AW89+AW90+AW91+AW92</f>
        <v/>
      </c>
      <c r="AX96" s="87">
        <f>SUM(AX82:AX85)</f>
        <v/>
      </c>
      <c r="AY96" s="87">
        <f>SUM(AY82:AY85)</f>
        <v/>
      </c>
      <c r="AZ96" s="87">
        <f>SUM(AZ82:AZ85)</f>
        <v/>
      </c>
      <c r="BA96" s="87">
        <f>SUM(BA82:BA85)</f>
        <v/>
      </c>
      <c r="BB96" s="87">
        <f>BB82+BB83+BB84+BB85+BB87+BB88+BB89+BB90+BB91+BB92</f>
        <v/>
      </c>
      <c r="BC96" s="87">
        <f>SUM(BC82:BC85)</f>
        <v/>
      </c>
      <c r="BD96" s="87">
        <f>SUM(BD82:BD85)</f>
        <v/>
      </c>
      <c r="BE96" s="87">
        <f>SUM(BE82:BE85)</f>
        <v/>
      </c>
      <c r="BF96" s="87">
        <f>SUM(BF82:BF85)</f>
        <v/>
      </c>
      <c r="BG96" s="87">
        <f>SUM(BG82:BG85)</f>
        <v/>
      </c>
      <c r="BH96" s="87">
        <f>BH82+BH83+BH84+BH85+BH87+BH88+BH89+BH90+BH91+BH92</f>
        <v/>
      </c>
      <c r="BI96" s="87">
        <f>SUM(BI82:BI85)</f>
        <v/>
      </c>
      <c r="BJ96" s="87">
        <f>SUM(BJ82:BJ85)</f>
        <v/>
      </c>
      <c r="BK96" s="87">
        <f>SUM(BK82:BK85)</f>
        <v/>
      </c>
      <c r="BL96" s="87">
        <f>SUM(BL82:BL85)</f>
        <v/>
      </c>
      <c r="BM96" s="87">
        <f>BM82+BM83+BM84+BM85+BM87+BM88+BM89+BM90+BM91+BM92</f>
        <v/>
      </c>
    </row>
    <row r="97" ht="15.75" customHeight="1"/>
    <row r="98" ht="15.75" customHeight="1">
      <c r="A98" s="532" t="inlineStr">
        <is>
          <t>GASTO DE SACOLAS E ITENS DOADOS 2026 - MENSAIS</t>
        </is>
      </c>
      <c r="B98" s="734" t="n"/>
      <c r="C98" s="734" t="n"/>
      <c r="D98" s="734" t="n"/>
      <c r="E98" s="734" t="n"/>
      <c r="F98" s="734" t="n"/>
      <c r="G98" s="734" t="n"/>
      <c r="H98" s="734" t="n"/>
      <c r="I98" s="734" t="n"/>
      <c r="J98" s="734" t="n"/>
      <c r="K98" s="734" t="n"/>
      <c r="L98" s="734" t="n"/>
      <c r="M98" s="734" t="n"/>
      <c r="N98" s="734" t="n"/>
      <c r="O98" s="734" t="n"/>
      <c r="P98" s="734" t="n"/>
      <c r="Q98" s="734" t="n"/>
      <c r="R98" s="734" t="n"/>
      <c r="S98" s="734" t="n"/>
      <c r="T98" s="734" t="n"/>
      <c r="U98" s="734" t="n"/>
      <c r="V98" s="734" t="n"/>
      <c r="W98" s="734" t="n"/>
      <c r="X98" s="734" t="n"/>
      <c r="Y98" s="734" t="n"/>
      <c r="Z98" s="734" t="n"/>
      <c r="AA98" s="734" t="n"/>
      <c r="AB98" s="734" t="n"/>
      <c r="AC98" s="734" t="n"/>
      <c r="AD98" s="734" t="n"/>
      <c r="AE98" s="734" t="n"/>
      <c r="AF98" s="734" t="n"/>
      <c r="AG98" s="734" t="n"/>
      <c r="AH98" s="734" t="n"/>
      <c r="AI98" s="734" t="n"/>
      <c r="AJ98" s="734" t="n"/>
      <c r="AK98" s="734" t="n"/>
      <c r="AL98" s="734" t="n"/>
      <c r="AM98" s="734" t="n"/>
      <c r="AN98" s="734" t="n"/>
      <c r="AO98" s="734" t="n"/>
      <c r="AP98" s="734" t="n"/>
      <c r="AQ98" s="734" t="n"/>
      <c r="AR98" s="734" t="n"/>
      <c r="AS98" s="734" t="n"/>
      <c r="AT98" s="734" t="n"/>
      <c r="AU98" s="734" t="n"/>
      <c r="AV98" s="734" t="n"/>
      <c r="AW98" s="734" t="n"/>
      <c r="AX98" s="734" t="n"/>
      <c r="AY98" s="734" t="n"/>
      <c r="AZ98" s="734" t="n"/>
      <c r="BA98" s="734" t="n"/>
      <c r="BB98" s="734" t="n"/>
      <c r="BC98" s="734" t="n"/>
      <c r="BD98" s="734" t="n"/>
      <c r="BE98" s="734" t="n"/>
      <c r="BF98" s="734" t="n"/>
      <c r="BG98" s="734" t="n"/>
      <c r="BH98" s="734" t="n"/>
      <c r="BI98" s="734" t="n"/>
      <c r="BJ98" s="734" t="n"/>
      <c r="BK98" s="734" t="n"/>
      <c r="BL98" s="734" t="n"/>
      <c r="BM98" s="734" t="n"/>
    </row>
    <row r="99" ht="15.75" customHeight="1">
      <c r="A99" s="739" t="inlineStr">
        <is>
          <t>ER PRAIA</t>
        </is>
      </c>
      <c r="B99" s="536" t="inlineStr">
        <is>
          <t>JANEIRO</t>
        </is>
      </c>
      <c r="C99" s="736" t="n"/>
      <c r="D99" s="736" t="n"/>
      <c r="E99" s="736" t="n"/>
      <c r="F99" s="537" t="inlineStr">
        <is>
          <t>FEVEREIRO</t>
        </is>
      </c>
      <c r="G99" s="736" t="n"/>
      <c r="H99" s="736" t="n"/>
      <c r="I99" s="736" t="n"/>
      <c r="J99" s="736" t="n"/>
      <c r="K99" s="538" t="n"/>
      <c r="L99" s="735" t="inlineStr">
        <is>
          <t>MARÇO</t>
        </is>
      </c>
      <c r="M99" s="736" t="n"/>
      <c r="N99" s="736" t="n"/>
      <c r="O99" s="736" t="n"/>
      <c r="P99" s="736" t="n"/>
      <c r="Q99" s="737" t="n"/>
      <c r="R99" s="735" t="inlineStr">
        <is>
          <t>ABRIL</t>
        </is>
      </c>
      <c r="S99" s="736" t="n"/>
      <c r="T99" s="736" t="n"/>
      <c r="U99" s="736" t="n"/>
      <c r="V99" s="737" t="n"/>
      <c r="W99" s="735" t="inlineStr">
        <is>
          <t>MAIO</t>
        </is>
      </c>
      <c r="X99" s="736" t="n"/>
      <c r="Y99" s="736" t="n"/>
      <c r="Z99" s="736" t="n"/>
      <c r="AA99" s="737" t="n"/>
      <c r="AB99" s="735" t="inlineStr">
        <is>
          <t>JUNHO</t>
        </is>
      </c>
      <c r="AC99" s="736" t="n"/>
      <c r="AD99" s="736" t="n"/>
      <c r="AE99" s="736" t="n"/>
      <c r="AF99" s="736" t="n"/>
      <c r="AG99" s="737" t="n"/>
      <c r="AH99" s="735" t="inlineStr">
        <is>
          <t>JULHO</t>
        </is>
      </c>
      <c r="AI99" s="736" t="n"/>
      <c r="AJ99" s="736" t="n"/>
      <c r="AK99" s="736" t="n"/>
      <c r="AL99" s="737" t="n"/>
      <c r="AM99" s="735" t="inlineStr">
        <is>
          <t>AGOSTO</t>
        </is>
      </c>
      <c r="AN99" s="736" t="n"/>
      <c r="AO99" s="736" t="n"/>
      <c r="AP99" s="736" t="n"/>
      <c r="AQ99" s="736" t="n"/>
      <c r="AR99" s="737" t="n"/>
      <c r="AS99" s="735" t="inlineStr">
        <is>
          <t>SETEMBRO</t>
        </is>
      </c>
      <c r="AT99" s="736" t="n"/>
      <c r="AU99" s="736" t="n"/>
      <c r="AV99" s="736" t="n"/>
      <c r="AW99" s="737" t="n"/>
      <c r="AX99" s="735" t="inlineStr">
        <is>
          <t>OUTUBRO</t>
        </is>
      </c>
      <c r="AY99" s="736" t="n"/>
      <c r="AZ99" s="736" t="n"/>
      <c r="BA99" s="736" t="n"/>
      <c r="BB99" s="737" t="n"/>
      <c r="BC99" s="735" t="inlineStr">
        <is>
          <t>NOVEMBRO</t>
        </is>
      </c>
      <c r="BD99" s="736" t="n"/>
      <c r="BE99" s="736" t="n"/>
      <c r="BF99" s="736" t="n"/>
      <c r="BG99" s="736" t="n"/>
      <c r="BH99" s="737" t="n"/>
      <c r="BI99" s="735" t="inlineStr">
        <is>
          <t>DEZEMBRO</t>
        </is>
      </c>
      <c r="BJ99" s="736" t="n"/>
      <c r="BK99" s="736" t="n"/>
      <c r="BL99" s="736" t="n"/>
      <c r="BM99" s="737" t="n"/>
    </row>
    <row r="100" ht="15.75" customHeight="1">
      <c r="A100" s="740" t="n"/>
      <c r="B100" s="78" t="n">
        <v>46027</v>
      </c>
      <c r="C100" s="78" t="n">
        <v>46034</v>
      </c>
      <c r="D100" s="78" t="n">
        <v>46041</v>
      </c>
      <c r="E100" s="78" t="n">
        <v>46048</v>
      </c>
      <c r="F100" s="85" t="inlineStr">
        <is>
          <t>USOU</t>
        </is>
      </c>
      <c r="G100" s="78" t="n">
        <v>46055</v>
      </c>
      <c r="H100" s="78" t="n">
        <v>46062</v>
      </c>
      <c r="I100" s="78" t="n">
        <v>46069</v>
      </c>
      <c r="J100" s="78" t="n">
        <v>46076</v>
      </c>
      <c r="K100" s="85" t="inlineStr">
        <is>
          <t>USOU</t>
        </is>
      </c>
      <c r="L100" s="78" t="n">
        <v>46083</v>
      </c>
      <c r="M100" s="78" t="n">
        <v>46090</v>
      </c>
      <c r="N100" s="78" t="n">
        <v>46097</v>
      </c>
      <c r="O100" s="78" t="n">
        <v>46104</v>
      </c>
      <c r="P100" s="78" t="n">
        <v>46111</v>
      </c>
      <c r="Q100" s="85" t="inlineStr">
        <is>
          <t>USOU</t>
        </is>
      </c>
      <c r="R100" s="78" t="n">
        <v>46118</v>
      </c>
      <c r="S100" s="78" t="n">
        <v>46125</v>
      </c>
      <c r="T100" s="78" t="n">
        <v>46132</v>
      </c>
      <c r="U100" s="78" t="n">
        <v>46139</v>
      </c>
      <c r="V100" s="85" t="inlineStr">
        <is>
          <t>USOU</t>
        </is>
      </c>
      <c r="W100" s="78" t="n">
        <v>46146</v>
      </c>
      <c r="X100" s="78" t="n">
        <v>46153</v>
      </c>
      <c r="Y100" s="78" t="n">
        <v>46160</v>
      </c>
      <c r="Z100" s="78" t="n">
        <v>46167</v>
      </c>
      <c r="AA100" s="85" t="inlineStr">
        <is>
          <t>USOU</t>
        </is>
      </c>
      <c r="AB100" s="78" t="n">
        <v>46174</v>
      </c>
      <c r="AC100" s="78" t="n">
        <v>46181</v>
      </c>
      <c r="AD100" s="78" t="n">
        <v>46188</v>
      </c>
      <c r="AE100" s="78" t="n">
        <v>46195</v>
      </c>
      <c r="AF100" s="78" t="n">
        <v>46202</v>
      </c>
      <c r="AG100" s="85" t="inlineStr">
        <is>
          <t>USOU</t>
        </is>
      </c>
      <c r="AH100" s="78" t="n">
        <v>46209</v>
      </c>
      <c r="AI100" s="78" t="n">
        <v>46216</v>
      </c>
      <c r="AJ100" s="78" t="n">
        <v>46223</v>
      </c>
      <c r="AK100" s="78" t="n">
        <v>46230</v>
      </c>
      <c r="AL100" s="85" t="inlineStr">
        <is>
          <t>USOU</t>
        </is>
      </c>
      <c r="AM100" s="78" t="n">
        <v>46237</v>
      </c>
      <c r="AN100" s="78" t="n">
        <v>46244</v>
      </c>
      <c r="AO100" s="78" t="n">
        <v>46251</v>
      </c>
      <c r="AP100" s="78" t="n">
        <v>46258</v>
      </c>
      <c r="AQ100" s="78" t="n">
        <v>46265</v>
      </c>
      <c r="AR100" s="85" t="inlineStr">
        <is>
          <t>USOU</t>
        </is>
      </c>
      <c r="AS100" s="78" t="n">
        <v>46272</v>
      </c>
      <c r="AT100" s="78" t="n">
        <v>46279</v>
      </c>
      <c r="AU100" s="78" t="n">
        <v>46286</v>
      </c>
      <c r="AV100" s="78" t="n">
        <v>46293</v>
      </c>
      <c r="AW100" s="85" t="inlineStr">
        <is>
          <t>USOU</t>
        </is>
      </c>
      <c r="AX100" s="78" t="n">
        <v>46300</v>
      </c>
      <c r="AY100" s="78" t="n">
        <v>46307</v>
      </c>
      <c r="AZ100" s="78" t="n">
        <v>46314</v>
      </c>
      <c r="BA100" s="78" t="n">
        <v>46321</v>
      </c>
      <c r="BB100" s="85" t="inlineStr">
        <is>
          <t>USOU</t>
        </is>
      </c>
      <c r="BC100" s="78" t="n">
        <v>46328</v>
      </c>
      <c r="BD100" s="78" t="n">
        <v>46335</v>
      </c>
      <c r="BE100" s="78" t="n">
        <v>46342</v>
      </c>
      <c r="BF100" s="78" t="n">
        <v>46349</v>
      </c>
      <c r="BG100" s="78" t="n">
        <v>46356</v>
      </c>
      <c r="BH100" s="85" t="inlineStr">
        <is>
          <t>USOU</t>
        </is>
      </c>
      <c r="BI100" s="78" t="n">
        <v>46363</v>
      </c>
      <c r="BJ100" s="78" t="n">
        <v>46370</v>
      </c>
      <c r="BK100" s="78" t="n">
        <v>46377</v>
      </c>
      <c r="BL100" s="78" t="n">
        <v>46384</v>
      </c>
      <c r="BM100" s="85" t="inlineStr">
        <is>
          <t>USOU</t>
        </is>
      </c>
    </row>
    <row r="101" ht="15.75" customHeight="1">
      <c r="A101" s="131" t="inlineStr">
        <is>
          <t>SACOLA PP VERDE</t>
        </is>
      </c>
      <c r="B101" s="80" t="n">
        <v>0</v>
      </c>
      <c r="C101" s="80" t="n">
        <v>1200</v>
      </c>
      <c r="D101" s="80" t="n">
        <v>600</v>
      </c>
      <c r="E101" s="80" t="n">
        <v>1200</v>
      </c>
      <c r="F101" s="81">
        <f>B101+C101+D101+E101</f>
        <v/>
      </c>
      <c r="G101" s="80" t="n">
        <v>0</v>
      </c>
      <c r="H101" s="80" t="n">
        <v>1200</v>
      </c>
      <c r="I101" s="80" t="n">
        <v>1200</v>
      </c>
      <c r="J101" s="80" t="n">
        <v>0</v>
      </c>
      <c r="K101" s="81">
        <f>G101+H101+I101+J101</f>
        <v/>
      </c>
      <c r="L101" s="80" t="n">
        <v>1200</v>
      </c>
      <c r="M101" s="80" t="n">
        <v>300</v>
      </c>
      <c r="N101" s="80" t="n">
        <v>1800</v>
      </c>
      <c r="O101" s="80" t="n">
        <v>300</v>
      </c>
      <c r="P101" s="80" t="n">
        <v>900</v>
      </c>
      <c r="Q101" s="81">
        <f>L101+M101+N101+O101+P101</f>
        <v/>
      </c>
      <c r="R101" s="80" t="n"/>
      <c r="S101" s="80" t="n"/>
      <c r="T101" s="80" t="n"/>
      <c r="U101" s="80" t="n"/>
      <c r="V101" s="81">
        <f>R101+S101+T101+U101</f>
        <v/>
      </c>
      <c r="W101" s="80" t="n">
        <v>300</v>
      </c>
      <c r="X101" s="80" t="n">
        <v>0</v>
      </c>
      <c r="Y101" s="80" t="n"/>
      <c r="Z101" s="80" t="n"/>
      <c r="AA101" s="81">
        <f>W101+X101+Y101+Z101</f>
        <v/>
      </c>
      <c r="AB101" s="80" t="n"/>
      <c r="AC101" s="80" t="n"/>
      <c r="AD101" s="80" t="n"/>
      <c r="AE101" s="80" t="n"/>
      <c r="AF101" s="80" t="n"/>
      <c r="AG101" s="81">
        <f>AB101+AC101+AD101+AE101+AF101</f>
        <v/>
      </c>
      <c r="AH101" s="80" t="n"/>
      <c r="AI101" s="80" t="n"/>
      <c r="AJ101" s="80" t="n"/>
      <c r="AK101" s="80" t="n"/>
      <c r="AL101" s="81">
        <f>AH101+AI101+AJ101+AK101</f>
        <v/>
      </c>
      <c r="AM101" s="80" t="n"/>
      <c r="AN101" s="80" t="n"/>
      <c r="AO101" s="80" t="n"/>
      <c r="AP101" s="80" t="n"/>
      <c r="AQ101" s="80" t="n"/>
      <c r="AR101" s="81">
        <f>AM101+AN101+AO101+AP101+AQ101</f>
        <v/>
      </c>
      <c r="AS101" s="80" t="n"/>
      <c r="AT101" s="80" t="n"/>
      <c r="AU101" s="80" t="n"/>
      <c r="AV101" s="80" t="n"/>
      <c r="AW101" s="81">
        <f>AS101+AT101+AU101+AV101</f>
        <v/>
      </c>
      <c r="AX101" s="80" t="n"/>
      <c r="AY101" s="80" t="n"/>
      <c r="AZ101" s="80" t="n"/>
      <c r="BA101" s="80" t="n"/>
      <c r="BB101" s="81">
        <f>AX101+AY101+AZ101+BA101</f>
        <v/>
      </c>
      <c r="BC101" s="80" t="n"/>
      <c r="BD101" s="80" t="n"/>
      <c r="BE101" s="80" t="n"/>
      <c r="BF101" s="80" t="n"/>
      <c r="BG101" s="80" t="n"/>
      <c r="BH101" s="81">
        <f>BC101+BD101+BE101+BF101+BG101</f>
        <v/>
      </c>
      <c r="BI101" s="80" t="n"/>
      <c r="BJ101" s="80" t="n"/>
      <c r="BK101" s="80" t="n"/>
      <c r="BL101" s="80" t="n"/>
      <c r="BM101" s="81">
        <f>BI101+BJ101+BK101+BL101</f>
        <v/>
      </c>
    </row>
    <row r="102" ht="15.75" customHeight="1">
      <c r="A102" s="82" t="inlineStr">
        <is>
          <t>SACOLA P VERDE</t>
        </is>
      </c>
      <c r="B102" s="80" t="n">
        <v>600</v>
      </c>
      <c r="C102" s="80" t="n">
        <v>2000</v>
      </c>
      <c r="D102" s="80" t="n">
        <v>2400</v>
      </c>
      <c r="E102" s="80" t="n">
        <v>1800</v>
      </c>
      <c r="F102" s="81">
        <f>B102+C102+D102+E102</f>
        <v/>
      </c>
      <c r="G102" s="80" t="n">
        <v>1800</v>
      </c>
      <c r="H102" s="80" t="n">
        <v>2000</v>
      </c>
      <c r="I102" s="80" t="n">
        <v>3000</v>
      </c>
      <c r="J102" s="80" t="n">
        <v>600</v>
      </c>
      <c r="K102" s="81">
        <f>G102+H102+I102+J102</f>
        <v/>
      </c>
      <c r="L102" s="80" t="n">
        <v>2000</v>
      </c>
      <c r="M102" s="80" t="n">
        <v>3000</v>
      </c>
      <c r="N102" s="80" t="n">
        <v>2800</v>
      </c>
      <c r="O102" s="80" t="n">
        <v>2400</v>
      </c>
      <c r="P102" s="80" t="n">
        <v>1600</v>
      </c>
      <c r="Q102" s="81">
        <f>L102+M102+N102+O102+P102</f>
        <v/>
      </c>
      <c r="R102" s="80" t="n"/>
      <c r="S102" s="80" t="n"/>
      <c r="T102" s="80" t="n"/>
      <c r="U102" s="80" t="n"/>
      <c r="V102" s="81">
        <f>R102+S102+T102+U102</f>
        <v/>
      </c>
      <c r="W102" s="80" t="n">
        <v>200</v>
      </c>
      <c r="X102" s="80" t="n">
        <v>400</v>
      </c>
      <c r="Y102" s="80" t="n"/>
      <c r="Z102" s="80" t="n"/>
      <c r="AA102" s="81">
        <f>W102+X102+Y102+Z102</f>
        <v/>
      </c>
      <c r="AB102" s="80" t="n"/>
      <c r="AC102" s="80" t="n"/>
      <c r="AD102" s="80" t="n"/>
      <c r="AE102" s="80" t="n"/>
      <c r="AF102" s="80" t="n"/>
      <c r="AG102" s="81">
        <f>AB102+AC102+AD102+AE102+AF102</f>
        <v/>
      </c>
      <c r="AH102" s="80" t="n"/>
      <c r="AI102" s="80" t="n"/>
      <c r="AJ102" s="80" t="n"/>
      <c r="AK102" s="80" t="n"/>
      <c r="AL102" s="81">
        <f>AH102+AI102+AJ102+AK102</f>
        <v/>
      </c>
      <c r="AM102" s="80" t="n"/>
      <c r="AN102" s="80" t="n"/>
      <c r="AO102" s="80" t="n"/>
      <c r="AP102" s="80" t="n"/>
      <c r="AQ102" s="80" t="n"/>
      <c r="AR102" s="81">
        <f>AM102+AN102+AO102+AP102+AQ102</f>
        <v/>
      </c>
      <c r="AS102" s="80" t="n"/>
      <c r="AT102" s="80" t="n"/>
      <c r="AU102" s="80" t="n"/>
      <c r="AV102" s="80" t="n"/>
      <c r="AW102" s="81">
        <f>AS102+AT102+AU102+AV102</f>
        <v/>
      </c>
      <c r="AX102" s="80" t="n"/>
      <c r="AY102" s="80" t="n"/>
      <c r="AZ102" s="80" t="n"/>
      <c r="BA102" s="80" t="n"/>
      <c r="BB102" s="81">
        <f>AX102+AY102+AZ102+BA102</f>
        <v/>
      </c>
      <c r="BC102" s="80" t="n"/>
      <c r="BD102" s="80" t="n"/>
      <c r="BE102" s="80" t="n"/>
      <c r="BF102" s="80" t="n"/>
      <c r="BG102" s="80" t="n"/>
      <c r="BH102" s="81">
        <f>BC102+BD102+BE102+BF102+BG102</f>
        <v/>
      </c>
      <c r="BI102" s="80" t="n"/>
      <c r="BJ102" s="80" t="n"/>
      <c r="BK102" s="80" t="n"/>
      <c r="BL102" s="80" t="n"/>
      <c r="BM102" s="81">
        <f>BI102+BJ102+BK102+BL102</f>
        <v/>
      </c>
    </row>
    <row r="103" ht="15.75" customHeight="1">
      <c r="A103" s="82" t="inlineStr">
        <is>
          <t>SACOLA M VERDE</t>
        </is>
      </c>
      <c r="B103" s="80" t="n">
        <v>0</v>
      </c>
      <c r="C103" s="80" t="n">
        <v>400</v>
      </c>
      <c r="D103" s="80" t="n">
        <v>0</v>
      </c>
      <c r="E103" s="80" t="n">
        <v>200</v>
      </c>
      <c r="F103" s="81">
        <f>B103+C103+D103+E103</f>
        <v/>
      </c>
      <c r="G103" s="80" t="n">
        <v>0</v>
      </c>
      <c r="H103" s="80" t="n">
        <v>0</v>
      </c>
      <c r="I103" s="80" t="n">
        <v>0</v>
      </c>
      <c r="J103" s="80" t="n">
        <v>0</v>
      </c>
      <c r="K103" s="81">
        <f>G103+H103+I103+J103</f>
        <v/>
      </c>
      <c r="L103" s="80" t="n">
        <v>1000</v>
      </c>
      <c r="M103" s="80" t="n">
        <v>200</v>
      </c>
      <c r="N103" s="80" t="n">
        <v>800</v>
      </c>
      <c r="O103" s="80" t="n">
        <v>400</v>
      </c>
      <c r="P103" s="80" t="n">
        <v>200</v>
      </c>
      <c r="Q103" s="81">
        <f>L103+M103+N103+O103+P103</f>
        <v/>
      </c>
      <c r="R103" s="80" t="n"/>
      <c r="S103" s="80" t="n"/>
      <c r="T103" s="80" t="n"/>
      <c r="U103" s="80" t="n"/>
      <c r="V103" s="81">
        <f>R103+S103+T103+U103</f>
        <v/>
      </c>
      <c r="W103" s="80" t="n">
        <v>400</v>
      </c>
      <c r="X103" s="80" t="n">
        <v>0</v>
      </c>
      <c r="Y103" s="80" t="n"/>
      <c r="Z103" s="80" t="n"/>
      <c r="AA103" s="81">
        <f>W103+X103+Y103+Z103</f>
        <v/>
      </c>
      <c r="AB103" s="80" t="n"/>
      <c r="AC103" s="80" t="n"/>
      <c r="AD103" s="80" t="n"/>
      <c r="AE103" s="80" t="n"/>
      <c r="AF103" s="80" t="n"/>
      <c r="AG103" s="81">
        <f>AB103+AC103+AD103+AE103+AF103</f>
        <v/>
      </c>
      <c r="AH103" s="80" t="n"/>
      <c r="AI103" s="80" t="n"/>
      <c r="AJ103" s="80" t="n"/>
      <c r="AK103" s="80" t="n"/>
      <c r="AL103" s="81">
        <f>AH103+AI103+AJ103+AK103</f>
        <v/>
      </c>
      <c r="AM103" s="80" t="n"/>
      <c r="AN103" s="80" t="n"/>
      <c r="AO103" s="80" t="n"/>
      <c r="AP103" s="80" t="n"/>
      <c r="AQ103" s="80" t="n"/>
      <c r="AR103" s="81">
        <f>AM103+AN103+AO103+AP103+AQ103</f>
        <v/>
      </c>
      <c r="AS103" s="80" t="n"/>
      <c r="AT103" s="80" t="n"/>
      <c r="AU103" s="80" t="n"/>
      <c r="AV103" s="80" t="n"/>
      <c r="AW103" s="81">
        <f>AS103+AT103+AU103+AV103</f>
        <v/>
      </c>
      <c r="AX103" s="80" t="n"/>
      <c r="AY103" s="80" t="n"/>
      <c r="AZ103" s="80" t="n"/>
      <c r="BA103" s="80" t="n"/>
      <c r="BB103" s="81">
        <f>AX103+AY103+AZ103+BA103</f>
        <v/>
      </c>
      <c r="BC103" s="80" t="n"/>
      <c r="BD103" s="80" t="n"/>
      <c r="BE103" s="80" t="n"/>
      <c r="BF103" s="80" t="n"/>
      <c r="BG103" s="80" t="n"/>
      <c r="BH103" s="81">
        <f>BC103+BD103+BE103+BF103+BG103</f>
        <v/>
      </c>
      <c r="BI103" s="80" t="n"/>
      <c r="BJ103" s="80" t="n"/>
      <c r="BK103" s="80" t="n"/>
      <c r="BL103" s="80" t="n"/>
      <c r="BM103" s="81">
        <f>BI103+BJ103+BK103+BL103</f>
        <v/>
      </c>
    </row>
    <row r="104" ht="15.75" customHeight="1">
      <c r="A104" s="83" t="inlineStr">
        <is>
          <t>SACOLA G VERDE</t>
        </is>
      </c>
      <c r="B104" s="80" t="n">
        <v>0</v>
      </c>
      <c r="C104" s="80" t="n">
        <v>0</v>
      </c>
      <c r="D104" s="80" t="n">
        <v>0</v>
      </c>
      <c r="E104" s="80" t="n">
        <v>0</v>
      </c>
      <c r="F104" s="81">
        <f>B104+C104+D104+E104</f>
        <v/>
      </c>
      <c r="G104" s="80" t="n">
        <v>0</v>
      </c>
      <c r="H104" s="80" t="n">
        <v>0</v>
      </c>
      <c r="I104" s="80" t="n">
        <v>100</v>
      </c>
      <c r="J104" s="80" t="n">
        <v>200</v>
      </c>
      <c r="K104" s="81">
        <f>G104+H104+I104+J104</f>
        <v/>
      </c>
      <c r="L104" s="80" t="n">
        <v>0</v>
      </c>
      <c r="M104" s="80" t="n">
        <v>1200</v>
      </c>
      <c r="N104" s="80" t="n">
        <v>300</v>
      </c>
      <c r="O104" s="80" t="n">
        <v>100</v>
      </c>
      <c r="P104" s="80" t="n">
        <v>100</v>
      </c>
      <c r="Q104" s="81">
        <f>L104+M104+N104+O104+P104</f>
        <v/>
      </c>
      <c r="R104" s="80" t="n"/>
      <c r="S104" s="80" t="n"/>
      <c r="T104" s="80" t="n"/>
      <c r="U104" s="80" t="n"/>
      <c r="V104" s="81">
        <f>R104+S104+T104+U104</f>
        <v/>
      </c>
      <c r="W104" s="80" t="n">
        <v>500</v>
      </c>
      <c r="X104" s="80" t="n">
        <v>700</v>
      </c>
      <c r="Y104" s="80" t="n"/>
      <c r="Z104" s="80" t="n"/>
      <c r="AA104" s="81">
        <f>W104+X104+Y104+Z104</f>
        <v/>
      </c>
      <c r="AB104" s="80" t="n"/>
      <c r="AC104" s="80" t="n"/>
      <c r="AD104" s="80" t="n"/>
      <c r="AE104" s="80" t="n"/>
      <c r="AF104" s="80" t="n"/>
      <c r="AG104" s="81">
        <f>AB104+AC104+AD104+AE104+AF104</f>
        <v/>
      </c>
      <c r="AH104" s="80" t="n"/>
      <c r="AI104" s="80" t="n"/>
      <c r="AJ104" s="80" t="n"/>
      <c r="AK104" s="80" t="n"/>
      <c r="AL104" s="81">
        <f>AH104+AI104+AJ104+AK104</f>
        <v/>
      </c>
      <c r="AM104" s="80" t="n"/>
      <c r="AN104" s="80" t="n"/>
      <c r="AO104" s="80" t="n"/>
      <c r="AP104" s="80" t="n"/>
      <c r="AQ104" s="80" t="n"/>
      <c r="AR104" s="81">
        <f>AM104+AN104+AO104+AP104+AQ104</f>
        <v/>
      </c>
      <c r="AS104" s="80" t="n"/>
      <c r="AT104" s="80" t="n"/>
      <c r="AU104" s="80" t="n"/>
      <c r="AV104" s="80" t="n"/>
      <c r="AW104" s="81">
        <f>AS104+AT104+AU104+AV104</f>
        <v/>
      </c>
      <c r="AX104" s="80" t="n"/>
      <c r="AY104" s="80" t="n"/>
      <c r="AZ104" s="80" t="n"/>
      <c r="BA104" s="80" t="n"/>
      <c r="BB104" s="81">
        <f>AX104+AY104+AZ104+BA104</f>
        <v/>
      </c>
      <c r="BC104" s="80" t="n"/>
      <c r="BD104" s="80" t="n"/>
      <c r="BE104" s="80" t="n"/>
      <c r="BF104" s="80" t="n"/>
      <c r="BG104" s="80" t="n"/>
      <c r="BH104" s="81">
        <f>BC104+BD104+BE104+BF104+BG104</f>
        <v/>
      </c>
      <c r="BI104" s="80" t="n"/>
      <c r="BJ104" s="80" t="n"/>
      <c r="BK104" s="80" t="n"/>
      <c r="BL104" s="80" t="n"/>
      <c r="BM104" s="81">
        <f>BI104+BJ104+BK104+BL104</f>
        <v/>
      </c>
    </row>
    <row r="105" ht="15.75" customHeight="1">
      <c r="A105" s="213" t="inlineStr">
        <is>
          <t>SACOLA KRAFT M PARDA</t>
        </is>
      </c>
      <c r="B105" s="151" t="n">
        <v>0</v>
      </c>
      <c r="C105" s="80" t="n">
        <v>600</v>
      </c>
      <c r="D105" s="80" t="n">
        <v>200</v>
      </c>
      <c r="E105" s="80" t="n">
        <v>0</v>
      </c>
      <c r="F105" s="81">
        <f>B105+C105+D105+E105</f>
        <v/>
      </c>
      <c r="G105" s="80" t="n">
        <v>600</v>
      </c>
      <c r="H105" s="80" t="n">
        <v>400</v>
      </c>
      <c r="I105" s="80" t="n">
        <v>400</v>
      </c>
      <c r="J105" s="80" t="n">
        <v>200</v>
      </c>
      <c r="K105" s="81">
        <f>G105+H105+I105+J105</f>
        <v/>
      </c>
      <c r="L105" s="80" t="n">
        <v>200</v>
      </c>
      <c r="M105" s="80" t="n">
        <v>800</v>
      </c>
      <c r="N105" s="80" t="n">
        <v>400</v>
      </c>
      <c r="O105" s="80" t="n">
        <v>0</v>
      </c>
      <c r="P105" s="80" t="n">
        <v>600</v>
      </c>
      <c r="Q105" s="81">
        <f>L105+M105+N105+O105+P105</f>
        <v/>
      </c>
      <c r="R105" s="80" t="n"/>
      <c r="S105" s="80" t="n"/>
      <c r="T105" s="80" t="n"/>
      <c r="U105" s="80" t="n"/>
      <c r="V105" s="81">
        <f>R105+S105+T105+U105</f>
        <v/>
      </c>
      <c r="W105" s="80" t="n">
        <v>400</v>
      </c>
      <c r="X105" s="80" t="n">
        <v>0</v>
      </c>
      <c r="Y105" s="80" t="n"/>
      <c r="Z105" s="80" t="n"/>
      <c r="AA105" s="81">
        <f>W105+X105+Y105+Z105</f>
        <v/>
      </c>
      <c r="AB105" s="80" t="n"/>
      <c r="AC105" s="80" t="n"/>
      <c r="AD105" s="80" t="n"/>
      <c r="AE105" s="80" t="n"/>
      <c r="AF105" s="80" t="n"/>
      <c r="AG105" s="81">
        <f>AB105+AC105+AD105+AE105+AF105</f>
        <v/>
      </c>
      <c r="AH105" s="80" t="n"/>
      <c r="AI105" s="80" t="n"/>
      <c r="AJ105" s="80" t="n"/>
      <c r="AK105" s="80" t="n"/>
      <c r="AL105" s="81">
        <f>AH105+AI105+AJ105+AK105</f>
        <v/>
      </c>
      <c r="AM105" s="80" t="n"/>
      <c r="AN105" s="80" t="n"/>
      <c r="AO105" s="80" t="n"/>
      <c r="AP105" s="80" t="n"/>
      <c r="AQ105" s="80" t="n"/>
      <c r="AR105" s="81">
        <f>AM105+AN105+AO105+AP105+AQ105</f>
        <v/>
      </c>
      <c r="AS105" s="80" t="n"/>
      <c r="AT105" s="80" t="n"/>
      <c r="AU105" s="80" t="n"/>
      <c r="AV105" s="80" t="n"/>
      <c r="AW105" s="81">
        <f>AS105+AT105+AU105+AV105</f>
        <v/>
      </c>
      <c r="AX105" s="80" t="n"/>
      <c r="AY105" s="80" t="n"/>
      <c r="AZ105" s="80" t="n"/>
      <c r="BA105" s="80" t="n"/>
      <c r="BB105" s="81">
        <f>AX105+AY105+AZ105+BA105</f>
        <v/>
      </c>
      <c r="BC105" s="80" t="n"/>
      <c r="BD105" s="80" t="n"/>
      <c r="BE105" s="80" t="n"/>
      <c r="BF105" s="80" t="n"/>
      <c r="BG105" s="80" t="n"/>
      <c r="BH105" s="81">
        <f>BC105+BD105+BE105+BF105+BG105</f>
        <v/>
      </c>
      <c r="BI105" s="80" t="n"/>
      <c r="BJ105" s="80" t="n"/>
      <c r="BK105" s="80" t="n"/>
      <c r="BL105" s="80" t="n"/>
      <c r="BM105" s="81">
        <f>BI105+BJ105+BK105+BL105</f>
        <v/>
      </c>
    </row>
    <row r="106" ht="15.75" customHeight="1">
      <c r="A106" s="213" t="inlineStr">
        <is>
          <t>SACOLA KRAFT G PARDA</t>
        </is>
      </c>
      <c r="B106" s="151" t="n">
        <v>200</v>
      </c>
      <c r="C106" s="80" t="n">
        <v>100</v>
      </c>
      <c r="D106" s="80" t="n">
        <v>0</v>
      </c>
      <c r="E106" s="80" t="n">
        <v>300</v>
      </c>
      <c r="F106" s="81">
        <f>B106+C106+D106+E106</f>
        <v/>
      </c>
      <c r="G106" s="80" t="n">
        <v>0</v>
      </c>
      <c r="H106" s="80" t="n">
        <v>100</v>
      </c>
      <c r="I106" s="80" t="n">
        <v>100</v>
      </c>
      <c r="J106" s="80" t="n">
        <v>200</v>
      </c>
      <c r="K106" s="81">
        <f>G106+H106+I106+J106</f>
        <v/>
      </c>
      <c r="L106" s="80" t="n">
        <v>100</v>
      </c>
      <c r="M106" s="80" t="n">
        <v>300</v>
      </c>
      <c r="N106" s="80" t="n">
        <v>200</v>
      </c>
      <c r="O106" s="80" t="n">
        <v>300</v>
      </c>
      <c r="P106" s="80" t="n">
        <v>0</v>
      </c>
      <c r="Q106" s="81">
        <f>L106+M106+N106+O106+P106</f>
        <v/>
      </c>
      <c r="R106" s="80" t="n"/>
      <c r="S106" s="80" t="n"/>
      <c r="T106" s="80" t="n"/>
      <c r="U106" s="80" t="n"/>
      <c r="V106" s="81">
        <f>R106+S106+T106+U106</f>
        <v/>
      </c>
      <c r="W106" s="80" t="n">
        <v>200</v>
      </c>
      <c r="X106" s="80" t="n">
        <v>0</v>
      </c>
      <c r="Y106" s="80" t="n"/>
      <c r="Z106" s="80" t="n"/>
      <c r="AA106" s="81">
        <f>W106+X106+Y106+Z106</f>
        <v/>
      </c>
      <c r="AB106" s="80" t="n"/>
      <c r="AC106" s="80" t="n"/>
      <c r="AD106" s="80" t="n"/>
      <c r="AE106" s="80" t="n"/>
      <c r="AF106" s="80" t="n"/>
      <c r="AG106" s="81">
        <f>AB106+AC106+AD106+AE106+AF106</f>
        <v/>
      </c>
      <c r="AH106" s="80" t="n"/>
      <c r="AI106" s="80" t="n"/>
      <c r="AJ106" s="80" t="n"/>
      <c r="AK106" s="80" t="n"/>
      <c r="AL106" s="81">
        <f>AH106+AI106+AJ106+AK106</f>
        <v/>
      </c>
      <c r="AM106" s="80" t="n"/>
      <c r="AN106" s="80" t="n"/>
      <c r="AO106" s="80" t="n"/>
      <c r="AP106" s="80" t="n"/>
      <c r="AQ106" s="80" t="n"/>
      <c r="AR106" s="81">
        <f>AM106+AN106+AO106+AP106+AQ106</f>
        <v/>
      </c>
      <c r="AS106" s="80" t="n"/>
      <c r="AT106" s="80" t="n"/>
      <c r="AU106" s="80" t="n"/>
      <c r="AV106" s="80" t="n"/>
      <c r="AW106" s="81">
        <f>AS106+AT106+AU106+AV106</f>
        <v/>
      </c>
      <c r="AX106" s="80" t="n"/>
      <c r="AY106" s="80" t="n"/>
      <c r="AZ106" s="80" t="n"/>
      <c r="BA106" s="80" t="n"/>
      <c r="BB106" s="81">
        <f>AX106+AY106+AZ106+BA106</f>
        <v/>
      </c>
      <c r="BC106" s="80" t="n"/>
      <c r="BD106" s="80" t="n"/>
      <c r="BE106" s="80" t="n"/>
      <c r="BF106" s="80" t="n"/>
      <c r="BG106" s="80" t="n"/>
      <c r="BH106" s="81">
        <f>BC106+BD106+BE106+BF106+BG106</f>
        <v/>
      </c>
      <c r="BI106" s="80" t="n"/>
      <c r="BJ106" s="80" t="n"/>
      <c r="BK106" s="80" t="n"/>
      <c r="BL106" s="80" t="n"/>
      <c r="BM106" s="81">
        <f>BI106+BJ106+BK106+BL106</f>
        <v/>
      </c>
    </row>
    <row r="107" ht="15.75" customHeight="1">
      <c r="A107" s="84" t="inlineStr">
        <is>
          <t>PAPEL DE SEDA</t>
        </is>
      </c>
      <c r="B107" s="151" t="n">
        <v>3</v>
      </c>
      <c r="C107" s="80" t="n">
        <v>1</v>
      </c>
      <c r="D107" s="80" t="n">
        <v>0</v>
      </c>
      <c r="E107" s="80" t="n">
        <v>0</v>
      </c>
      <c r="F107" s="81">
        <f>B107+C107+D107+E107</f>
        <v/>
      </c>
      <c r="G107" s="80" t="n">
        <v>2</v>
      </c>
      <c r="H107" s="80" t="n">
        <v>1</v>
      </c>
      <c r="I107" s="80" t="n">
        <v>0</v>
      </c>
      <c r="J107" s="80" t="n">
        <v>0</v>
      </c>
      <c r="K107" s="81">
        <f>G107+H107+I107+J107</f>
        <v/>
      </c>
      <c r="L107" s="80" t="n">
        <v>0</v>
      </c>
      <c r="M107" s="80" t="n">
        <v>2</v>
      </c>
      <c r="N107" s="80" t="n">
        <v>0</v>
      </c>
      <c r="O107" s="80" t="n">
        <v>3</v>
      </c>
      <c r="P107" s="80" t="n">
        <v>0</v>
      </c>
      <c r="Q107" s="81">
        <f>L107+M107+N107+O107+P107</f>
        <v/>
      </c>
      <c r="R107" s="80" t="n"/>
      <c r="S107" s="80" t="n"/>
      <c r="T107" s="80" t="n"/>
      <c r="U107" s="80" t="n"/>
      <c r="V107" s="81">
        <f>R107+S107+T107+U107</f>
        <v/>
      </c>
      <c r="W107" s="80" t="n">
        <v>6</v>
      </c>
      <c r="X107" s="80" t="n">
        <v>3</v>
      </c>
      <c r="Y107" s="80" t="n"/>
      <c r="Z107" s="80" t="n"/>
      <c r="AA107" s="81">
        <f>W107+X107+Y107+Z107</f>
        <v/>
      </c>
      <c r="AB107" s="80" t="n"/>
      <c r="AC107" s="80" t="n"/>
      <c r="AD107" s="80" t="n"/>
      <c r="AE107" s="80" t="n"/>
      <c r="AF107" s="80" t="n"/>
      <c r="AG107" s="81">
        <f>AB107+AC107+AD107+AE107+AF107</f>
        <v/>
      </c>
      <c r="AH107" s="80" t="n"/>
      <c r="AI107" s="80" t="n"/>
      <c r="AJ107" s="80" t="n"/>
      <c r="AK107" s="80" t="n"/>
      <c r="AL107" s="81">
        <f>AH107+AI107+AJ107+AK107</f>
        <v/>
      </c>
      <c r="AM107" s="80" t="n"/>
      <c r="AN107" s="80" t="n"/>
      <c r="AO107" s="80" t="n"/>
      <c r="AP107" s="80" t="n"/>
      <c r="AQ107" s="80" t="n"/>
      <c r="AR107" s="81">
        <f>AM107+AN107+AO107+AP107+AQ107</f>
        <v/>
      </c>
      <c r="AS107" s="80" t="n"/>
      <c r="AT107" s="80" t="n"/>
      <c r="AU107" s="80" t="n"/>
      <c r="AV107" s="80" t="n"/>
      <c r="AW107" s="81">
        <f>AS107+AT107+AU107+AV107</f>
        <v/>
      </c>
      <c r="AX107" s="80" t="n"/>
      <c r="AY107" s="80" t="n"/>
      <c r="AZ107" s="80" t="n"/>
      <c r="BA107" s="80" t="n"/>
      <c r="BB107" s="81">
        <f>AX107+AY107+AZ107+BA107</f>
        <v/>
      </c>
      <c r="BC107" s="80" t="n"/>
      <c r="BD107" s="80" t="n"/>
      <c r="BE107" s="80" t="n"/>
      <c r="BF107" s="80" t="n"/>
      <c r="BG107" s="80" t="n"/>
      <c r="BH107" s="81">
        <f>BC107+BD107+BE107+BF107+BG107</f>
        <v/>
      </c>
      <c r="BI107" s="80" t="n"/>
      <c r="BJ107" s="80" t="n"/>
      <c r="BK107" s="80" t="n"/>
      <c r="BL107" s="80" t="n"/>
      <c r="BM107" s="81">
        <f>BI107+BJ107+BK107+BL107</f>
        <v/>
      </c>
    </row>
    <row r="108" ht="15.75" customHeight="1">
      <c r="A108" s="84" t="inlineStr">
        <is>
          <t>ETIQUETA</t>
        </is>
      </c>
      <c r="B108" s="151" t="n">
        <v>0</v>
      </c>
      <c r="C108" s="80" t="n">
        <v>0</v>
      </c>
      <c r="D108" s="80" t="n">
        <v>0</v>
      </c>
      <c r="E108" s="80" t="n">
        <v>0</v>
      </c>
      <c r="F108" s="81">
        <f>B108+C108+D108+E108</f>
        <v/>
      </c>
      <c r="G108" s="80" t="n">
        <v>0</v>
      </c>
      <c r="H108" s="80" t="n">
        <v>0</v>
      </c>
      <c r="I108" s="80" t="n">
        <v>4</v>
      </c>
      <c r="J108" s="80" t="n">
        <v>0</v>
      </c>
      <c r="K108" s="81">
        <f>G108+H108+I108+J108</f>
        <v/>
      </c>
      <c r="L108" s="80" t="n">
        <v>0</v>
      </c>
      <c r="M108" s="80" t="n">
        <v>0</v>
      </c>
      <c r="N108" s="80" t="n">
        <v>0</v>
      </c>
      <c r="O108" s="80" t="n">
        <v>0</v>
      </c>
      <c r="P108" s="80" t="n">
        <v>0</v>
      </c>
      <c r="Q108" s="81">
        <f>L108+M108+N108+O108+P108</f>
        <v/>
      </c>
      <c r="R108" s="80" t="n"/>
      <c r="S108" s="80" t="n"/>
      <c r="T108" s="80" t="n"/>
      <c r="U108" s="80" t="n"/>
      <c r="V108" s="81">
        <f>R108+S108+T108+U108</f>
        <v/>
      </c>
      <c r="W108" s="80" t="n">
        <v>0</v>
      </c>
      <c r="X108" s="80" t="n">
        <v>0</v>
      </c>
      <c r="Y108" s="80" t="n"/>
      <c r="Z108" s="80" t="n"/>
      <c r="AA108" s="81">
        <f>W108+X108+Y108+Z108</f>
        <v/>
      </c>
      <c r="AB108" s="80" t="n"/>
      <c r="AC108" s="80" t="n"/>
      <c r="AD108" s="80" t="n"/>
      <c r="AE108" s="80" t="n"/>
      <c r="AF108" s="80" t="n"/>
      <c r="AG108" s="81">
        <f>AB108+AC108+AD108+AE108+AF108</f>
        <v/>
      </c>
      <c r="AH108" s="80" t="n"/>
      <c r="AI108" s="80" t="n"/>
      <c r="AJ108" s="80" t="n"/>
      <c r="AK108" s="80" t="n"/>
      <c r="AL108" s="81">
        <f>AH108+AI108+AJ108+AK108</f>
        <v/>
      </c>
      <c r="AM108" s="80" t="n"/>
      <c r="AN108" s="80" t="n"/>
      <c r="AO108" s="80" t="n"/>
      <c r="AP108" s="80" t="n"/>
      <c r="AQ108" s="80" t="n"/>
      <c r="AR108" s="81">
        <f>AM108+AN108+AO108+AP108+AQ108</f>
        <v/>
      </c>
      <c r="AS108" s="80" t="n"/>
      <c r="AT108" s="80" t="n"/>
      <c r="AU108" s="80" t="n"/>
      <c r="AV108" s="80" t="n"/>
      <c r="AW108" s="81">
        <f>AS108+AT108+AU108+AV108</f>
        <v/>
      </c>
      <c r="AX108" s="80" t="n"/>
      <c r="AY108" s="80" t="n"/>
      <c r="AZ108" s="80" t="n"/>
      <c r="BA108" s="80" t="n"/>
      <c r="BB108" s="81">
        <f>AX108+AY108+AZ108+BA108</f>
        <v/>
      </c>
      <c r="BC108" s="80" t="n"/>
      <c r="BD108" s="80" t="n"/>
      <c r="BE108" s="80" t="n"/>
      <c r="BF108" s="80" t="n"/>
      <c r="BG108" s="80" t="n"/>
      <c r="BH108" s="81">
        <f>BC108+BD108+BE108+BF108+BG108</f>
        <v/>
      </c>
      <c r="BI108" s="80" t="n"/>
      <c r="BJ108" s="80" t="n"/>
      <c r="BK108" s="80" t="n"/>
      <c r="BL108" s="80" t="n"/>
      <c r="BM108" s="81">
        <f>BI108+BJ108+BK108+BL108</f>
        <v/>
      </c>
    </row>
    <row r="109" ht="15.75" customHeight="1">
      <c r="A109" s="84" t="inlineStr">
        <is>
          <t>TAG</t>
        </is>
      </c>
      <c r="B109" s="151" t="n">
        <v>0</v>
      </c>
      <c r="C109" s="80" t="n">
        <v>0</v>
      </c>
      <c r="D109" s="80" t="n">
        <v>0</v>
      </c>
      <c r="E109" s="80" t="n">
        <v>0</v>
      </c>
      <c r="F109" s="81">
        <f>B109+C109+D109+E109</f>
        <v/>
      </c>
      <c r="G109" s="80" t="n">
        <v>0</v>
      </c>
      <c r="H109" s="80" t="n">
        <v>13</v>
      </c>
      <c r="I109" s="80" t="n">
        <v>0</v>
      </c>
      <c r="J109" s="80" t="n">
        <v>0</v>
      </c>
      <c r="K109" s="81">
        <f>G109+H109+I109+J109</f>
        <v/>
      </c>
      <c r="L109" s="80" t="n">
        <v>0</v>
      </c>
      <c r="M109" s="80" t="n">
        <v>0</v>
      </c>
      <c r="N109" s="80" t="n">
        <v>0</v>
      </c>
      <c r="O109" s="80" t="n">
        <v>0</v>
      </c>
      <c r="P109" s="80" t="n">
        <v>0</v>
      </c>
      <c r="Q109" s="81">
        <f>L109+M109+N109+O109+P109</f>
        <v/>
      </c>
      <c r="R109" s="80" t="n"/>
      <c r="S109" s="80" t="n"/>
      <c r="T109" s="80" t="n"/>
      <c r="U109" s="80" t="n"/>
      <c r="V109" s="81">
        <f>R109+S109+T109+U109</f>
        <v/>
      </c>
      <c r="W109" s="80" t="n">
        <v>2</v>
      </c>
      <c r="X109" s="80" t="n">
        <v>2</v>
      </c>
      <c r="Y109" s="80" t="n"/>
      <c r="Z109" s="80" t="n"/>
      <c r="AA109" s="81">
        <f>W109+X109+Y109+Z109</f>
        <v/>
      </c>
      <c r="AB109" s="80" t="n"/>
      <c r="AC109" s="80" t="n"/>
      <c r="AD109" s="80" t="n"/>
      <c r="AE109" s="80" t="n"/>
      <c r="AF109" s="80" t="n"/>
      <c r="AG109" s="81">
        <f>AB109+AC109+AD109+AE109+AF109</f>
        <v/>
      </c>
      <c r="AH109" s="80" t="n"/>
      <c r="AI109" s="80" t="n"/>
      <c r="AJ109" s="80" t="n"/>
      <c r="AK109" s="80" t="n"/>
      <c r="AL109" s="81">
        <f>AH109+AI109+AJ109+AK109</f>
        <v/>
      </c>
      <c r="AM109" s="80" t="n"/>
      <c r="AN109" s="80" t="n"/>
      <c r="AO109" s="80" t="n"/>
      <c r="AP109" s="80" t="n"/>
      <c r="AQ109" s="80" t="n"/>
      <c r="AR109" s="81">
        <f>AM109+AN109+AO109+AP109+AQ109</f>
        <v/>
      </c>
      <c r="AS109" s="80" t="n"/>
      <c r="AT109" s="80" t="n"/>
      <c r="AU109" s="80" t="n"/>
      <c r="AV109" s="80" t="n"/>
      <c r="AW109" s="81">
        <f>AS109+AT109+AU109+AV109</f>
        <v/>
      </c>
      <c r="AX109" s="80" t="n"/>
      <c r="AY109" s="80" t="n"/>
      <c r="AZ109" s="80" t="n"/>
      <c r="BA109" s="80" t="n"/>
      <c r="BB109" s="81">
        <f>AX109+AY109+AZ109+BA109</f>
        <v/>
      </c>
      <c r="BC109" s="80" t="n"/>
      <c r="BD109" s="80" t="n"/>
      <c r="BE109" s="80" t="n"/>
      <c r="BF109" s="80" t="n"/>
      <c r="BG109" s="80" t="n"/>
      <c r="BH109" s="81">
        <f>BC109+BD109+BE109+BF109+BG109</f>
        <v/>
      </c>
      <c r="BI109" s="80" t="n"/>
      <c r="BJ109" s="80" t="n"/>
      <c r="BK109" s="80" t="n"/>
      <c r="BL109" s="80" t="n"/>
      <c r="BM109" s="81">
        <f>BI109+BJ109+BK109+BL109</f>
        <v/>
      </c>
    </row>
    <row r="110" ht="15.75" customHeight="1">
      <c r="A110" s="84" t="inlineStr">
        <is>
          <t>LÂMINA</t>
        </is>
      </c>
      <c r="B110" s="151" t="n">
        <v>4</v>
      </c>
      <c r="C110" s="80" t="n">
        <v>0</v>
      </c>
      <c r="D110" s="80" t="n">
        <v>4</v>
      </c>
      <c r="E110" s="80" t="n">
        <v>0</v>
      </c>
      <c r="F110" s="81">
        <f>B110+C110+D110+E110</f>
        <v/>
      </c>
      <c r="G110" s="80" t="n">
        <v>2</v>
      </c>
      <c r="H110" s="80" t="n">
        <v>0</v>
      </c>
      <c r="I110" s="80" t="n">
        <v>0</v>
      </c>
      <c r="J110" s="80" t="n">
        <v>0</v>
      </c>
      <c r="K110" s="81">
        <f>G110+H110+I110+J110</f>
        <v/>
      </c>
      <c r="L110" s="80" t="n">
        <v>0</v>
      </c>
      <c r="M110" s="80" t="n">
        <v>0</v>
      </c>
      <c r="N110" s="80" t="n">
        <v>0</v>
      </c>
      <c r="O110" s="80" t="n">
        <v>1</v>
      </c>
      <c r="P110" s="80" t="n">
        <v>0</v>
      </c>
      <c r="Q110" s="81">
        <f>L110+M110+N110+O110+P110</f>
        <v/>
      </c>
      <c r="R110" s="80" t="n"/>
      <c r="S110" s="80" t="n"/>
      <c r="T110" s="80" t="n"/>
      <c r="U110" s="80" t="n"/>
      <c r="V110" s="81">
        <f>R110+S110+T110+U110</f>
        <v/>
      </c>
      <c r="W110" s="80" t="n">
        <v>1</v>
      </c>
      <c r="X110" s="80" t="n">
        <v>0</v>
      </c>
      <c r="Y110" s="80" t="n"/>
      <c r="Z110" s="80" t="n"/>
      <c r="AA110" s="81">
        <f>W110+X110+Y110+Z110</f>
        <v/>
      </c>
      <c r="AB110" s="80" t="n"/>
      <c r="AC110" s="80" t="n"/>
      <c r="AD110" s="80" t="n"/>
      <c r="AE110" s="80" t="n"/>
      <c r="AF110" s="80" t="n"/>
      <c r="AG110" s="81">
        <f>AB110+AC110+AD110+AE110+AF110</f>
        <v/>
      </c>
      <c r="AH110" s="80" t="n"/>
      <c r="AI110" s="80" t="n"/>
      <c r="AJ110" s="80" t="n"/>
      <c r="AK110" s="80" t="n"/>
      <c r="AL110" s="81">
        <f>AH110+AI110+AJ110+AK110</f>
        <v/>
      </c>
      <c r="AM110" s="80" t="n"/>
      <c r="AN110" s="80" t="n"/>
      <c r="AO110" s="80" t="n"/>
      <c r="AP110" s="80" t="n"/>
      <c r="AQ110" s="80" t="n"/>
      <c r="AR110" s="81">
        <f>AM110+AN110+AO110+AP110+AQ110</f>
        <v/>
      </c>
      <c r="AS110" s="80" t="n"/>
      <c r="AT110" s="80" t="n"/>
      <c r="AU110" s="80" t="n"/>
      <c r="AV110" s="80" t="n"/>
      <c r="AW110" s="81">
        <f>AS110+AT110+AU110+AV110</f>
        <v/>
      </c>
      <c r="AX110" s="80" t="n"/>
      <c r="AY110" s="80" t="n"/>
      <c r="AZ110" s="80" t="n"/>
      <c r="BA110" s="80" t="n"/>
      <c r="BB110" s="81">
        <f>AX110+AY110+AZ110+BA110</f>
        <v/>
      </c>
      <c r="BC110" s="80" t="n"/>
      <c r="BD110" s="80" t="n"/>
      <c r="BE110" s="80" t="n"/>
      <c r="BF110" s="80" t="n"/>
      <c r="BG110" s="80" t="n"/>
      <c r="BH110" s="81">
        <f>BC110+BD110+BE110+BF110+BG110</f>
        <v/>
      </c>
      <c r="BI110" s="80" t="n"/>
      <c r="BJ110" s="80" t="n"/>
      <c r="BK110" s="80" t="n"/>
      <c r="BL110" s="80" t="n"/>
      <c r="BM110" s="81">
        <f>BI110+BJ110+BK110+BL110</f>
        <v/>
      </c>
    </row>
    <row r="111" ht="15.75" customHeight="1">
      <c r="A111" s="84" t="inlineStr">
        <is>
          <t>PAPEL DE SEDA OUI</t>
        </is>
      </c>
      <c r="B111" s="151" t="n">
        <v>0</v>
      </c>
      <c r="C111" s="80" t="n">
        <v>0</v>
      </c>
      <c r="D111" s="80" t="n">
        <v>0</v>
      </c>
      <c r="E111" s="80" t="n">
        <v>1</v>
      </c>
      <c r="F111" s="81">
        <f>B111+C111+D111+E111</f>
        <v/>
      </c>
      <c r="G111" s="80" t="n">
        <v>0</v>
      </c>
      <c r="H111" s="80" t="n">
        <v>2</v>
      </c>
      <c r="I111" s="80" t="n">
        <v>0</v>
      </c>
      <c r="J111" s="80" t="n">
        <v>0</v>
      </c>
      <c r="K111" s="81">
        <f>G111+H111+I111+J111</f>
        <v/>
      </c>
      <c r="L111" s="80" t="n">
        <v>0</v>
      </c>
      <c r="M111" s="80" t="n">
        <v>0</v>
      </c>
      <c r="N111" s="80" t="n">
        <v>0</v>
      </c>
      <c r="O111" s="80" t="n">
        <v>0</v>
      </c>
      <c r="P111" s="80" t="n">
        <v>0</v>
      </c>
      <c r="Q111" s="81">
        <f>L111+M111+N111+O111+P111</f>
        <v/>
      </c>
      <c r="R111" s="80" t="n"/>
      <c r="S111" s="80" t="n"/>
      <c r="T111" s="80" t="n"/>
      <c r="U111" s="80" t="n"/>
      <c r="V111" s="81">
        <f>R111+S111+T111+U111</f>
        <v/>
      </c>
      <c r="W111" s="80" t="n">
        <v>0</v>
      </c>
      <c r="X111" s="80" t="n">
        <v>0</v>
      </c>
      <c r="Y111" s="80" t="n"/>
      <c r="Z111" s="80" t="n"/>
      <c r="AA111" s="81">
        <f>W111+X111+Y111+Z111</f>
        <v/>
      </c>
      <c r="AB111" s="80" t="n"/>
      <c r="AC111" s="80" t="n"/>
      <c r="AD111" s="80" t="n"/>
      <c r="AE111" s="80" t="n"/>
      <c r="AF111" s="80" t="n"/>
      <c r="AG111" s="81">
        <f>AB111+AC111+AD111+AE111+AF111</f>
        <v/>
      </c>
      <c r="AH111" s="80" t="n"/>
      <c r="AI111" s="80" t="n"/>
      <c r="AJ111" s="80" t="n"/>
      <c r="AK111" s="80" t="n"/>
      <c r="AL111" s="81">
        <f>AH111+AI111+AJ111+AK111</f>
        <v/>
      </c>
      <c r="AM111" s="80" t="n"/>
      <c r="AN111" s="80" t="n"/>
      <c r="AO111" s="80" t="n"/>
      <c r="AP111" s="80" t="n"/>
      <c r="AQ111" s="80" t="n"/>
      <c r="AR111" s="81">
        <f>AM111+AN111+AO111+AP111+AQ111</f>
        <v/>
      </c>
      <c r="AS111" s="80" t="n"/>
      <c r="AT111" s="80" t="n"/>
      <c r="AU111" s="80" t="n"/>
      <c r="AV111" s="80" t="n"/>
      <c r="AW111" s="81">
        <f>AS111+AT111+AU111+AV111</f>
        <v/>
      </c>
      <c r="AX111" s="80" t="n"/>
      <c r="AY111" s="80" t="n"/>
      <c r="AZ111" s="80" t="n"/>
      <c r="BA111" s="80" t="n"/>
      <c r="BB111" s="81">
        <f>AX111+AY111+AZ111+BA111</f>
        <v/>
      </c>
      <c r="BC111" s="80" t="n"/>
      <c r="BD111" s="80" t="n"/>
      <c r="BE111" s="80" t="n"/>
      <c r="BF111" s="80" t="n"/>
      <c r="BG111" s="80" t="n"/>
      <c r="BH111" s="81">
        <f>BC111+BD111+BE111+BF111+BG111</f>
        <v/>
      </c>
      <c r="BI111" s="80" t="n"/>
      <c r="BJ111" s="80" t="n"/>
      <c r="BK111" s="80" t="n"/>
      <c r="BL111" s="80" t="n"/>
      <c r="BM111" s="81">
        <f>BI111+BJ111+BK111+BL111</f>
        <v/>
      </c>
    </row>
    <row r="112" ht="15.75" customHeight="1">
      <c r="A112" s="84" t="inlineStr">
        <is>
          <t>ETIQUETA OUI</t>
        </is>
      </c>
      <c r="B112" s="151" t="n">
        <v>0</v>
      </c>
      <c r="C112" s="80" t="n">
        <v>0</v>
      </c>
      <c r="D112" s="80" t="n">
        <v>0</v>
      </c>
      <c r="E112" s="80" t="n">
        <v>2</v>
      </c>
      <c r="F112" s="81">
        <f>B112+C112+D112+E112</f>
        <v/>
      </c>
      <c r="G112" s="80" t="n">
        <v>0</v>
      </c>
      <c r="H112" s="80" t="n">
        <v>0</v>
      </c>
      <c r="I112" s="80" t="n">
        <v>0</v>
      </c>
      <c r="J112" s="80" t="n">
        <v>0</v>
      </c>
      <c r="K112" s="81">
        <f>G112+H112+I112+J112</f>
        <v/>
      </c>
      <c r="L112" s="80" t="n">
        <v>2</v>
      </c>
      <c r="M112" s="80" t="n">
        <v>0</v>
      </c>
      <c r="N112" s="80" t="n">
        <v>0</v>
      </c>
      <c r="O112" s="80" t="n">
        <v>0</v>
      </c>
      <c r="P112" s="80" t="n">
        <v>0</v>
      </c>
      <c r="Q112" s="81">
        <f>L112+M112+N112+O112+P112</f>
        <v/>
      </c>
      <c r="R112" s="80" t="n"/>
      <c r="S112" s="80" t="n"/>
      <c r="T112" s="80" t="n"/>
      <c r="U112" s="80" t="n"/>
      <c r="V112" s="81">
        <f>R112+S112+T112+U112</f>
        <v/>
      </c>
      <c r="W112" s="80" t="n">
        <v>0</v>
      </c>
      <c r="X112" s="80" t="n">
        <v>0</v>
      </c>
      <c r="Y112" s="80" t="n"/>
      <c r="Z112" s="80" t="n"/>
      <c r="AA112" s="81">
        <f>W112+X112+Y112+Z112</f>
        <v/>
      </c>
      <c r="AB112" s="80" t="n"/>
      <c r="AC112" s="80" t="n"/>
      <c r="AD112" s="80" t="n"/>
      <c r="AE112" s="80" t="n"/>
      <c r="AF112" s="80" t="n"/>
      <c r="AG112" s="81">
        <f>AB112+AC112+AD112+AE112+AF112</f>
        <v/>
      </c>
      <c r="AH112" s="80" t="n"/>
      <c r="AI112" s="80" t="n"/>
      <c r="AJ112" s="80" t="n"/>
      <c r="AK112" s="80" t="n"/>
      <c r="AL112" s="81">
        <f>AH112+AI112+AJ112+AK112</f>
        <v/>
      </c>
      <c r="AM112" s="80" t="n"/>
      <c r="AN112" s="80" t="n"/>
      <c r="AO112" s="80" t="n"/>
      <c r="AP112" s="80" t="n"/>
      <c r="AQ112" s="80" t="n"/>
      <c r="AR112" s="81">
        <f>AM112+AN112+AO112+AP112+AQ112</f>
        <v/>
      </c>
      <c r="AS112" s="80" t="n"/>
      <c r="AT112" s="80" t="n"/>
      <c r="AU112" s="80" t="n"/>
      <c r="AV112" s="80" t="n"/>
      <c r="AW112" s="81">
        <f>AS112+AT112+AU112+AV112</f>
        <v/>
      </c>
      <c r="AX112" s="80" t="n"/>
      <c r="AY112" s="80" t="n"/>
      <c r="AZ112" s="80" t="n"/>
      <c r="BA112" s="80" t="n"/>
      <c r="BB112" s="81">
        <f>AX112+AY112+AZ112+BA112</f>
        <v/>
      </c>
      <c r="BC112" s="80" t="n"/>
      <c r="BD112" s="80" t="n"/>
      <c r="BE112" s="80" t="n"/>
      <c r="BF112" s="80" t="n"/>
      <c r="BG112" s="80" t="n"/>
      <c r="BH112" s="81">
        <f>BC112+BD112+BE112+BF112+BG112</f>
        <v/>
      </c>
      <c r="BI112" s="80" t="n"/>
      <c r="BJ112" s="80" t="n"/>
      <c r="BK112" s="80" t="n"/>
      <c r="BL112" s="80" t="n"/>
      <c r="BM112" s="81">
        <f>BI112+BJ112+BK112+BL112</f>
        <v/>
      </c>
    </row>
    <row r="113" ht="15.75" customHeight="1">
      <c r="A113" s="84" t="inlineStr">
        <is>
          <t>LÂMINA OLFATIVA OUI</t>
        </is>
      </c>
      <c r="B113" s="151" t="n">
        <v>0</v>
      </c>
      <c r="C113" s="80" t="n">
        <v>0</v>
      </c>
      <c r="D113" s="80" t="n">
        <v>0</v>
      </c>
      <c r="E113" s="80" t="n">
        <v>0</v>
      </c>
      <c r="F113" s="81">
        <f>B113+C113+D113+E113</f>
        <v/>
      </c>
      <c r="G113" s="80" t="n">
        <v>0</v>
      </c>
      <c r="H113" s="80" t="n">
        <v>0</v>
      </c>
      <c r="I113" s="80" t="n">
        <v>0</v>
      </c>
      <c r="J113" s="80" t="n">
        <v>0</v>
      </c>
      <c r="K113" s="81">
        <f>G113+H113+I113+J113</f>
        <v/>
      </c>
      <c r="L113" s="80" t="n">
        <v>0</v>
      </c>
      <c r="M113" s="80" t="n">
        <v>0</v>
      </c>
      <c r="N113" s="80" t="n">
        <v>0</v>
      </c>
      <c r="O113" s="80" t="n">
        <v>0</v>
      </c>
      <c r="P113" s="80" t="n">
        <v>2</v>
      </c>
      <c r="Q113" s="81">
        <f>L113+M113+N113+O113+P113</f>
        <v/>
      </c>
      <c r="R113" s="80" t="n"/>
      <c r="S113" s="80" t="n"/>
      <c r="T113" s="80" t="n"/>
      <c r="U113" s="80" t="n"/>
      <c r="V113" s="81">
        <f>R113+S113+T113+U113</f>
        <v/>
      </c>
      <c r="W113" s="80" t="n">
        <v>1</v>
      </c>
      <c r="X113" s="80" t="n">
        <v>1</v>
      </c>
      <c r="Y113" s="80" t="n"/>
      <c r="Z113" s="80" t="n"/>
      <c r="AA113" s="81">
        <f>W113+X113+Y113+Z113</f>
        <v/>
      </c>
      <c r="AB113" s="80" t="n"/>
      <c r="AC113" s="80" t="n"/>
      <c r="AD113" s="80" t="n"/>
      <c r="AE113" s="80" t="n"/>
      <c r="AF113" s="80" t="n"/>
      <c r="AG113" s="81">
        <f>AB113+AC113+AD113+AE113+AF113</f>
        <v/>
      </c>
      <c r="AH113" s="80" t="n"/>
      <c r="AI113" s="80" t="n"/>
      <c r="AJ113" s="80" t="n"/>
      <c r="AK113" s="80" t="n"/>
      <c r="AL113" s="81">
        <f>AH113+AI113+AJ113+AK113</f>
        <v/>
      </c>
      <c r="AM113" s="80" t="n"/>
      <c r="AN113" s="80" t="n"/>
      <c r="AO113" s="80" t="n"/>
      <c r="AP113" s="80" t="n"/>
      <c r="AQ113" s="80" t="n"/>
      <c r="AR113" s="81">
        <f>AM113+AN113+AO113+AP113+AQ113</f>
        <v/>
      </c>
      <c r="AS113" s="80" t="n"/>
      <c r="AT113" s="80" t="n"/>
      <c r="AU113" s="80" t="n"/>
      <c r="AV113" s="80" t="n"/>
      <c r="AW113" s="81">
        <f>AS113+AT113+AU113+AV113</f>
        <v/>
      </c>
      <c r="AX113" s="80" t="n"/>
      <c r="AY113" s="80" t="n"/>
      <c r="AZ113" s="80" t="n"/>
      <c r="BA113" s="80" t="n"/>
      <c r="BB113" s="81">
        <f>AX113+AY113+AZ113+BA113</f>
        <v/>
      </c>
      <c r="BC113" s="80" t="n"/>
      <c r="BD113" s="80" t="n"/>
      <c r="BE113" s="80" t="n"/>
      <c r="BF113" s="80" t="n"/>
      <c r="BG113" s="80" t="n"/>
      <c r="BH113" s="81">
        <f>BC113+BD113+BE113+BF113+BG113</f>
        <v/>
      </c>
      <c r="BI113" s="80" t="n"/>
      <c r="BJ113" s="80" t="n"/>
      <c r="BK113" s="80" t="n"/>
      <c r="BL113" s="80" t="n"/>
      <c r="BM113" s="81">
        <f>BI113+BJ113+BK113+BL113</f>
        <v/>
      </c>
    </row>
    <row r="114" ht="15.75" customHeight="1">
      <c r="A114" s="84" t="inlineStr">
        <is>
          <t>SACO M OUI (BRINDE)</t>
        </is>
      </c>
      <c r="B114" s="80" t="n">
        <v>0</v>
      </c>
      <c r="C114" s="80" t="n">
        <v>0</v>
      </c>
      <c r="D114" s="80" t="n">
        <v>200</v>
      </c>
      <c r="E114" s="80" t="n">
        <v>0</v>
      </c>
      <c r="F114" s="81">
        <f>B114+C114+D114+E114</f>
        <v/>
      </c>
      <c r="G114" s="80" t="n">
        <v>0</v>
      </c>
      <c r="H114" s="80" t="n">
        <v>0</v>
      </c>
      <c r="I114" s="80" t="n">
        <v>0</v>
      </c>
      <c r="J114" s="80" t="n">
        <v>0</v>
      </c>
      <c r="K114" s="81">
        <f>G114+H114+I114+J114</f>
        <v/>
      </c>
      <c r="L114" s="80" t="n">
        <v>200</v>
      </c>
      <c r="M114" s="80" t="n">
        <v>0</v>
      </c>
      <c r="N114" s="80" t="n">
        <v>0</v>
      </c>
      <c r="O114" s="80" t="n">
        <v>0</v>
      </c>
      <c r="P114" s="80" t="n">
        <v>0</v>
      </c>
      <c r="Q114" s="81">
        <f>L114+M114+N114+O114+P114</f>
        <v/>
      </c>
      <c r="R114" s="80" t="n"/>
      <c r="S114" s="80" t="n"/>
      <c r="T114" s="80" t="n"/>
      <c r="U114" s="80" t="n"/>
      <c r="V114" s="81">
        <f>R114+S114+T114+U114</f>
        <v/>
      </c>
      <c r="W114" s="80" t="n">
        <v>0</v>
      </c>
      <c r="X114" s="80" t="n">
        <v>0</v>
      </c>
      <c r="Y114" s="80" t="n"/>
      <c r="Z114" s="80" t="n"/>
      <c r="AA114" s="81">
        <f>W114+X114+Y114+Z114</f>
        <v/>
      </c>
      <c r="AB114" s="80" t="n"/>
      <c r="AC114" s="80" t="n"/>
      <c r="AD114" s="80" t="n"/>
      <c r="AE114" s="80" t="n"/>
      <c r="AF114" s="80" t="n"/>
      <c r="AG114" s="81">
        <f>AB114+AC114+AD114+AE114+AF114</f>
        <v/>
      </c>
      <c r="AH114" s="80" t="n"/>
      <c r="AI114" s="80" t="n"/>
      <c r="AJ114" s="80" t="n"/>
      <c r="AK114" s="80" t="n"/>
      <c r="AL114" s="81">
        <f>AH114+AI114+AJ114+AK114</f>
        <v/>
      </c>
      <c r="AM114" s="80" t="n"/>
      <c r="AN114" s="80" t="n"/>
      <c r="AO114" s="80" t="n"/>
      <c r="AP114" s="80" t="n"/>
      <c r="AQ114" s="80" t="n"/>
      <c r="AR114" s="81">
        <f>AM114+AN114+AO114+AP114+AQ114</f>
        <v/>
      </c>
      <c r="AS114" s="80" t="n"/>
      <c r="AT114" s="80" t="n"/>
      <c r="AU114" s="80" t="n"/>
      <c r="AV114" s="80" t="n"/>
      <c r="AW114" s="81">
        <f>AS114+AT114+AU114+AV114</f>
        <v/>
      </c>
      <c r="AX114" s="80" t="n"/>
      <c r="AY114" s="80" t="n"/>
      <c r="AZ114" s="80" t="n"/>
      <c r="BA114" s="80" t="n"/>
      <c r="BB114" s="81">
        <f>AX114+AY114+AZ114+BA114</f>
        <v/>
      </c>
      <c r="BC114" s="80" t="n"/>
      <c r="BD114" s="80" t="n"/>
      <c r="BE114" s="80" t="n"/>
      <c r="BF114" s="80" t="n"/>
      <c r="BG114" s="80" t="n"/>
      <c r="BH114" s="81">
        <f>BC114+BD114+BE114+BF114+BG114</f>
        <v/>
      </c>
      <c r="BI114" s="80" t="n"/>
      <c r="BJ114" s="80" t="n"/>
      <c r="BK114" s="80" t="n"/>
      <c r="BL114" s="80" t="n"/>
      <c r="BM114" s="81">
        <f>BI114+BJ114+BK114+BL114</f>
        <v/>
      </c>
    </row>
    <row r="115" ht="15.75" customHeight="1">
      <c r="A115" s="84" t="inlineStr">
        <is>
          <t>SACOLA P QDB</t>
        </is>
      </c>
      <c r="B115" s="151" t="n">
        <v>0</v>
      </c>
      <c r="C115" s="80" t="n">
        <v>0</v>
      </c>
      <c r="D115" s="80" t="n">
        <v>0</v>
      </c>
      <c r="E115" s="80" t="n">
        <v>0</v>
      </c>
      <c r="F115" s="81">
        <f>B115+C115+D115+E115</f>
        <v/>
      </c>
      <c r="G115" s="80" t="n">
        <v>0</v>
      </c>
      <c r="H115" s="80" t="n">
        <v>0</v>
      </c>
      <c r="I115" s="80" t="n">
        <v>0</v>
      </c>
      <c r="J115" s="80" t="n">
        <v>0</v>
      </c>
      <c r="K115" s="81">
        <f>G115+H115+I115+J115</f>
        <v/>
      </c>
      <c r="L115" s="80" t="n">
        <v>0</v>
      </c>
      <c r="M115" s="80" t="n">
        <v>0</v>
      </c>
      <c r="N115" s="80" t="n">
        <v>0</v>
      </c>
      <c r="O115" s="80" t="n">
        <v>0</v>
      </c>
      <c r="P115" s="80" t="n">
        <v>0</v>
      </c>
      <c r="Q115" s="81">
        <f>L115+M115+N115+O115+P115</f>
        <v/>
      </c>
      <c r="R115" s="80" t="n"/>
      <c r="S115" s="80" t="n"/>
      <c r="T115" s="80" t="n"/>
      <c r="U115" s="80" t="n"/>
      <c r="V115" s="81">
        <f>R115+S115+T115+U115</f>
        <v/>
      </c>
      <c r="W115" s="80" t="n">
        <v>0</v>
      </c>
      <c r="X115" s="80" t="n">
        <v>0</v>
      </c>
      <c r="Y115" s="80" t="n"/>
      <c r="Z115" s="80" t="n"/>
      <c r="AA115" s="81">
        <f>W115+X115+Y115+Z115</f>
        <v/>
      </c>
      <c r="AB115" s="80" t="n"/>
      <c r="AC115" s="80" t="n"/>
      <c r="AD115" s="80" t="n"/>
      <c r="AE115" s="80" t="n"/>
      <c r="AF115" s="80" t="n"/>
      <c r="AG115" s="81">
        <f>AB115+AC115+AD115+AE115+AF115</f>
        <v/>
      </c>
      <c r="AH115" s="80" t="n"/>
      <c r="AI115" s="80" t="n"/>
      <c r="AJ115" s="80" t="n"/>
      <c r="AK115" s="80" t="n"/>
      <c r="AL115" s="81">
        <f>AH115+AI115+AJ115+AK115</f>
        <v/>
      </c>
      <c r="AM115" s="80" t="n"/>
      <c r="AN115" s="80" t="n"/>
      <c r="AO115" s="80" t="n"/>
      <c r="AP115" s="80" t="n"/>
      <c r="AQ115" s="80" t="n"/>
      <c r="AR115" s="81">
        <f>AM115+AN115+AO115+AP115+AQ115</f>
        <v/>
      </c>
      <c r="AS115" s="80" t="n"/>
      <c r="AT115" s="80" t="n"/>
      <c r="AU115" s="80" t="n"/>
      <c r="AV115" s="80" t="n"/>
      <c r="AW115" s="81">
        <f>AS115+AT115+AU115+AV115</f>
        <v/>
      </c>
      <c r="AX115" s="80" t="n"/>
      <c r="AY115" s="80" t="n"/>
      <c r="AZ115" s="80" t="n"/>
      <c r="BA115" s="80" t="n"/>
      <c r="BB115" s="81">
        <f>AX115+AY115+AZ115+BA115</f>
        <v/>
      </c>
      <c r="BC115" s="80" t="n"/>
      <c r="BD115" s="80" t="n"/>
      <c r="BE115" s="80" t="n"/>
      <c r="BF115" s="80" t="n"/>
      <c r="BG115" s="80" t="n"/>
      <c r="BH115" s="81">
        <f>BC115+BD115+BE115+BF115+BG115</f>
        <v/>
      </c>
      <c r="BI115" s="80" t="n"/>
      <c r="BJ115" s="80" t="n"/>
      <c r="BK115" s="80" t="n"/>
      <c r="BL115" s="80" t="n"/>
      <c r="BM115" s="81">
        <f>BI115+BJ115+BK115+BL115</f>
        <v/>
      </c>
    </row>
    <row r="116" ht="15.75" customHeight="1">
      <c r="A116" s="84" t="inlineStr">
        <is>
          <t>SACOLA M QDB</t>
        </is>
      </c>
      <c r="B116" s="151" t="n">
        <v>0</v>
      </c>
      <c r="C116" s="80" t="n">
        <v>0</v>
      </c>
      <c r="D116" s="80" t="n">
        <v>0</v>
      </c>
      <c r="E116" s="80" t="n">
        <v>0</v>
      </c>
      <c r="F116" s="81">
        <f>B116+C116+D116+E116</f>
        <v/>
      </c>
      <c r="G116" s="80" t="n">
        <v>0</v>
      </c>
      <c r="H116" s="80" t="n">
        <v>0</v>
      </c>
      <c r="I116" s="80" t="n">
        <v>0</v>
      </c>
      <c r="J116" s="80" t="n">
        <v>0</v>
      </c>
      <c r="K116" s="81">
        <f>G116+H116+I116+J116</f>
        <v/>
      </c>
      <c r="L116" s="80" t="n">
        <v>0</v>
      </c>
      <c r="M116" s="80" t="n">
        <v>0</v>
      </c>
      <c r="N116" s="80" t="n">
        <v>0</v>
      </c>
      <c r="O116" s="80" t="n">
        <v>0</v>
      </c>
      <c r="P116" s="80" t="n">
        <v>0</v>
      </c>
      <c r="Q116" s="81">
        <f>L116+M116+N116+O116+P116</f>
        <v/>
      </c>
      <c r="R116" s="80" t="n"/>
      <c r="S116" s="80" t="n"/>
      <c r="T116" s="80" t="n"/>
      <c r="U116" s="80" t="n"/>
      <c r="V116" s="81">
        <f>R116+S116+T116+U116</f>
        <v/>
      </c>
      <c r="W116" s="80" t="n">
        <v>0</v>
      </c>
      <c r="X116" s="80" t="n">
        <v>0</v>
      </c>
      <c r="Y116" s="80" t="n"/>
      <c r="Z116" s="80" t="n"/>
      <c r="AA116" s="81">
        <f>W116+X116+Y116+Z116</f>
        <v/>
      </c>
      <c r="AB116" s="80" t="n"/>
      <c r="AC116" s="80" t="n"/>
      <c r="AD116" s="80" t="n"/>
      <c r="AE116" s="80" t="n"/>
      <c r="AF116" s="80" t="n"/>
      <c r="AG116" s="81">
        <f>AB116+AC116+AD116+AE116+AF116</f>
        <v/>
      </c>
      <c r="AH116" s="80" t="n"/>
      <c r="AI116" s="80" t="n"/>
      <c r="AJ116" s="80" t="n"/>
      <c r="AK116" s="80" t="n"/>
      <c r="AL116" s="81">
        <f>AH116+AI116+AJ116+AK116</f>
        <v/>
      </c>
      <c r="AM116" s="80" t="n"/>
      <c r="AN116" s="80" t="n"/>
      <c r="AO116" s="80" t="n"/>
      <c r="AP116" s="80" t="n"/>
      <c r="AQ116" s="80" t="n"/>
      <c r="AR116" s="81">
        <f>AM116+AN116+AO116+AP116+AQ116</f>
        <v/>
      </c>
      <c r="AS116" s="80" t="n"/>
      <c r="AT116" s="80" t="n"/>
      <c r="AU116" s="80" t="n"/>
      <c r="AV116" s="80" t="n"/>
      <c r="AW116" s="81">
        <f>AS116+AT116+AU116+AV116</f>
        <v/>
      </c>
      <c r="AX116" s="80" t="n"/>
      <c r="AY116" s="80" t="n"/>
      <c r="AZ116" s="80" t="n"/>
      <c r="BA116" s="80" t="n"/>
      <c r="BB116" s="81">
        <f>AX116+AY116+AZ116+BA116</f>
        <v/>
      </c>
      <c r="BC116" s="80" t="n"/>
      <c r="BD116" s="80" t="n"/>
      <c r="BE116" s="80" t="n"/>
      <c r="BF116" s="80" t="n"/>
      <c r="BG116" s="80" t="n"/>
      <c r="BH116" s="81">
        <f>BC116+BD116+BE116+BF116+BG116</f>
        <v/>
      </c>
      <c r="BI116" s="80" t="n"/>
      <c r="BJ116" s="80" t="n"/>
      <c r="BK116" s="80" t="n"/>
      <c r="BL116" s="80" t="n"/>
      <c r="BM116" s="81">
        <f>BI116+BJ116+BK116+BL116</f>
        <v/>
      </c>
    </row>
    <row r="117" ht="15.75" customHeight="1">
      <c r="A117" s="84" t="inlineStr">
        <is>
          <t>SACOLA G QDB</t>
        </is>
      </c>
      <c r="B117" s="151" t="n">
        <v>0</v>
      </c>
      <c r="C117" s="80" t="n">
        <v>0</v>
      </c>
      <c r="D117" s="80" t="n">
        <v>0</v>
      </c>
      <c r="E117" s="80" t="n">
        <v>0</v>
      </c>
      <c r="F117" s="81">
        <f>B117+C117+D117+E117</f>
        <v/>
      </c>
      <c r="G117" s="80" t="n">
        <v>0</v>
      </c>
      <c r="H117" s="80" t="n">
        <v>0</v>
      </c>
      <c r="I117" s="80" t="n">
        <v>0</v>
      </c>
      <c r="J117" s="80" t="n">
        <v>0</v>
      </c>
      <c r="K117" s="81">
        <f>G117+H117+I117+J117</f>
        <v/>
      </c>
      <c r="L117" s="80" t="n">
        <v>0</v>
      </c>
      <c r="M117" s="80" t="n">
        <v>200</v>
      </c>
      <c r="N117" s="80" t="n">
        <v>0</v>
      </c>
      <c r="O117" s="80" t="n">
        <v>0</v>
      </c>
      <c r="P117" s="80" t="n">
        <v>0</v>
      </c>
      <c r="Q117" s="81">
        <f>L117+M117+N117+O117+P117</f>
        <v/>
      </c>
      <c r="R117" s="80" t="n"/>
      <c r="S117" s="80" t="n"/>
      <c r="T117" s="80" t="n"/>
      <c r="U117" s="80" t="n"/>
      <c r="V117" s="81">
        <f>R117+S117+T117+U117</f>
        <v/>
      </c>
      <c r="W117" s="80" t="n">
        <v>0</v>
      </c>
      <c r="X117" s="80" t="n">
        <v>0</v>
      </c>
      <c r="Y117" s="80" t="n"/>
      <c r="Z117" s="80" t="n"/>
      <c r="AA117" s="81">
        <f>W117+X117+Y117+Z117</f>
        <v/>
      </c>
      <c r="AB117" s="80" t="n"/>
      <c r="AC117" s="80" t="n"/>
      <c r="AD117" s="80" t="n"/>
      <c r="AE117" s="80" t="n"/>
      <c r="AF117" s="80" t="n"/>
      <c r="AG117" s="81">
        <f>AB117+AC117+AD117+AE117+AF117</f>
        <v/>
      </c>
      <c r="AH117" s="80" t="n"/>
      <c r="AI117" s="80" t="n"/>
      <c r="AJ117" s="80" t="n"/>
      <c r="AK117" s="80" t="n"/>
      <c r="AL117" s="81">
        <f>AH117+AI117+AJ117+AK117</f>
        <v/>
      </c>
      <c r="AM117" s="80" t="n"/>
      <c r="AN117" s="80" t="n"/>
      <c r="AO117" s="80" t="n"/>
      <c r="AP117" s="80" t="n"/>
      <c r="AQ117" s="80" t="n"/>
      <c r="AR117" s="81">
        <f>AM117+AN117+AO117+AP117+AQ117</f>
        <v/>
      </c>
      <c r="AS117" s="80" t="n"/>
      <c r="AT117" s="80" t="n"/>
      <c r="AU117" s="80" t="n"/>
      <c r="AV117" s="80" t="n"/>
      <c r="AW117" s="81">
        <f>AS117+AT117+AU117+AV117</f>
        <v/>
      </c>
      <c r="AX117" s="80" t="n"/>
      <c r="AY117" s="80" t="n"/>
      <c r="AZ117" s="80" t="n"/>
      <c r="BA117" s="80" t="n"/>
      <c r="BB117" s="81">
        <f>AX117+AY117+AZ117+BA117</f>
        <v/>
      </c>
      <c r="BC117" s="80" t="n"/>
      <c r="BD117" s="80" t="n"/>
      <c r="BE117" s="80" t="n"/>
      <c r="BF117" s="80" t="n"/>
      <c r="BG117" s="80" t="n"/>
      <c r="BH117" s="81">
        <f>BC117+BD117+BE117+BF117+BG117</f>
        <v/>
      </c>
      <c r="BI117" s="80" t="n"/>
      <c r="BJ117" s="80" t="n"/>
      <c r="BK117" s="80" t="n"/>
      <c r="BL117" s="80" t="n"/>
      <c r="BM117" s="81">
        <f>BI117+BJ117+BK117+BL117</f>
        <v/>
      </c>
    </row>
    <row r="118" ht="15.75" customHeight="1">
      <c r="A118" s="84" t="inlineStr">
        <is>
          <t>PAPEL DE SEDA QDB</t>
        </is>
      </c>
      <c r="B118" s="151" t="n">
        <v>0</v>
      </c>
      <c r="C118" s="151" t="n">
        <v>0</v>
      </c>
      <c r="D118" s="151" t="n">
        <v>0</v>
      </c>
      <c r="E118" s="151" t="n">
        <v>3</v>
      </c>
      <c r="F118" s="81">
        <f>B118+C118+D118+E118</f>
        <v/>
      </c>
      <c r="G118" s="151" t="n">
        <v>0</v>
      </c>
      <c r="H118" s="151" t="n">
        <v>0</v>
      </c>
      <c r="I118" s="151" t="n">
        <v>0</v>
      </c>
      <c r="J118" s="151" t="n">
        <v>0</v>
      </c>
      <c r="K118" s="81">
        <f>G118+H118+I118+J118</f>
        <v/>
      </c>
      <c r="L118" s="151" t="n">
        <v>0</v>
      </c>
      <c r="M118" s="151" t="n">
        <v>0</v>
      </c>
      <c r="N118" s="151" t="n">
        <v>0</v>
      </c>
      <c r="O118" s="151" t="n">
        <v>0</v>
      </c>
      <c r="P118" s="151" t="n">
        <v>0</v>
      </c>
      <c r="Q118" s="81">
        <f>L118+M118+N118+O118+P118</f>
        <v/>
      </c>
      <c r="R118" s="151" t="n"/>
      <c r="S118" s="151" t="n"/>
      <c r="T118" s="151" t="n"/>
      <c r="U118" s="151" t="n"/>
      <c r="V118" s="81">
        <f>R118+S118+T118+U118</f>
        <v/>
      </c>
      <c r="W118" s="151" t="n">
        <v>0</v>
      </c>
      <c r="X118" s="151" t="n">
        <v>0</v>
      </c>
      <c r="Y118" s="151" t="n"/>
      <c r="Z118" s="151" t="n"/>
      <c r="AA118" s="81">
        <f>W118+X118+Y118+Z118</f>
        <v/>
      </c>
      <c r="AB118" s="151" t="n"/>
      <c r="AC118" s="151" t="n"/>
      <c r="AD118" s="151" t="n"/>
      <c r="AE118" s="151" t="n"/>
      <c r="AF118" s="151" t="n"/>
      <c r="AG118" s="81">
        <f>AB118+AC118+AD118+AE118+AF118</f>
        <v/>
      </c>
      <c r="AH118" s="151" t="n"/>
      <c r="AI118" s="151" t="n"/>
      <c r="AJ118" s="151" t="n"/>
      <c r="AK118" s="151" t="n"/>
      <c r="AL118" s="81">
        <f>AH118+AI118+AJ118+AK118</f>
        <v/>
      </c>
      <c r="AM118" s="80" t="n"/>
      <c r="AN118" s="80" t="n"/>
      <c r="AO118" s="80" t="n"/>
      <c r="AP118" s="80" t="n"/>
      <c r="AQ118" s="80" t="n"/>
      <c r="AR118" s="81">
        <f>AM118+AN118+AO118+AP118+AQ118</f>
        <v/>
      </c>
      <c r="AS118" s="80" t="n"/>
      <c r="AT118" s="80" t="n"/>
      <c r="AU118" s="80" t="n"/>
      <c r="AV118" s="80" t="n"/>
      <c r="AW118" s="81">
        <f>AS118+AT118+AU118+AV118</f>
        <v/>
      </c>
      <c r="AX118" s="80" t="n"/>
      <c r="AY118" s="80" t="n"/>
      <c r="AZ118" s="80" t="n"/>
      <c r="BA118" s="80" t="n"/>
      <c r="BB118" s="81">
        <f>AX118+AY118+AZ118+BA118</f>
        <v/>
      </c>
      <c r="BC118" s="80" t="n"/>
      <c r="BD118" s="80" t="n"/>
      <c r="BE118" s="80" t="n"/>
      <c r="BF118" s="80" t="n"/>
      <c r="BG118" s="80" t="n"/>
      <c r="BH118" s="81">
        <f>BC118+BD118+BE118+BF118+BG118</f>
        <v/>
      </c>
      <c r="BI118" s="80" t="n"/>
      <c r="BJ118" s="80" t="n"/>
      <c r="BK118" s="80" t="n"/>
      <c r="BL118" s="80" t="n"/>
      <c r="BM118" s="81">
        <f>BI118+BJ118+BK118+BL118</f>
        <v/>
      </c>
    </row>
    <row r="119" ht="15.75" customHeight="1">
      <c r="A119" s="84" t="inlineStr">
        <is>
          <t>ETIQUETA QDB</t>
        </is>
      </c>
      <c r="B119" s="151" t="n">
        <v>0</v>
      </c>
      <c r="C119" s="151" t="n">
        <v>0</v>
      </c>
      <c r="D119" s="151" t="n">
        <v>0</v>
      </c>
      <c r="E119" s="151" t="n">
        <v>2</v>
      </c>
      <c r="F119" s="81">
        <f>B119+C119+D119+E119</f>
        <v/>
      </c>
      <c r="G119" s="151" t="n">
        <v>0</v>
      </c>
      <c r="H119" s="151" t="n">
        <v>0</v>
      </c>
      <c r="I119" s="151" t="n">
        <v>0</v>
      </c>
      <c r="J119" s="151" t="n">
        <v>0</v>
      </c>
      <c r="K119" s="81">
        <f>G119+H119+I119+J119</f>
        <v/>
      </c>
      <c r="L119" s="151" t="n">
        <v>0</v>
      </c>
      <c r="M119" s="151" t="n">
        <v>0</v>
      </c>
      <c r="N119" s="151" t="n">
        <v>0</v>
      </c>
      <c r="O119" s="151" t="n">
        <v>0</v>
      </c>
      <c r="P119" s="151" t="n">
        <v>0</v>
      </c>
      <c r="Q119" s="81">
        <f>L119+M119+N119+O119+P119</f>
        <v/>
      </c>
      <c r="R119" s="151" t="n"/>
      <c r="S119" s="151" t="n"/>
      <c r="T119" s="151" t="n"/>
      <c r="U119" s="151" t="n"/>
      <c r="V119" s="81">
        <f>R119+S119+T119+U119</f>
        <v/>
      </c>
      <c r="W119" s="151" t="n">
        <v>0</v>
      </c>
      <c r="X119" s="151" t="n">
        <v>0</v>
      </c>
      <c r="Y119" s="151" t="n"/>
      <c r="Z119" s="151" t="n"/>
      <c r="AA119" s="81">
        <f>W119+X119+Y119+Z119</f>
        <v/>
      </c>
      <c r="AB119" s="151" t="n"/>
      <c r="AC119" s="151" t="n"/>
      <c r="AD119" s="151" t="n"/>
      <c r="AE119" s="151" t="n"/>
      <c r="AF119" s="151" t="n"/>
      <c r="AG119" s="81">
        <f>AB119+AC119+AD119+AE119+AF119</f>
        <v/>
      </c>
      <c r="AH119" s="151" t="n"/>
      <c r="AI119" s="151" t="n"/>
      <c r="AJ119" s="151" t="n"/>
      <c r="AK119" s="151" t="n"/>
      <c r="AL119" s="81">
        <f>AH119+AI119+AJ119+AK119</f>
        <v/>
      </c>
      <c r="AM119" s="80" t="n"/>
      <c r="AN119" s="80" t="n"/>
      <c r="AO119" s="80" t="n"/>
      <c r="AP119" s="80" t="n"/>
      <c r="AQ119" s="80" t="n"/>
      <c r="AR119" s="81">
        <f>AM119+AN119+AO119+AP119+AQ119</f>
        <v/>
      </c>
      <c r="AS119" s="80" t="n"/>
      <c r="AT119" s="80" t="n"/>
      <c r="AU119" s="80" t="n"/>
      <c r="AV119" s="80" t="n"/>
      <c r="AW119" s="81">
        <f>AS119+AT119+AU119+AV119</f>
        <v/>
      </c>
      <c r="AX119" s="80" t="n"/>
      <c r="AY119" s="80" t="n"/>
      <c r="AZ119" s="80" t="n"/>
      <c r="BA119" s="80" t="n"/>
      <c r="BB119" s="81">
        <f>AX119+AY119+AZ119+BA119</f>
        <v/>
      </c>
      <c r="BC119" s="80" t="n"/>
      <c r="BD119" s="80" t="n"/>
      <c r="BE119" s="80" t="n"/>
      <c r="BF119" s="80" t="n"/>
      <c r="BG119" s="80" t="n"/>
      <c r="BH119" s="81">
        <f>BC119+BD119+BE119+BF119+BG119</f>
        <v/>
      </c>
      <c r="BI119" s="80" t="n"/>
      <c r="BJ119" s="80" t="n"/>
      <c r="BK119" s="80" t="n"/>
      <c r="BL119" s="80" t="n"/>
      <c r="BM119" s="81">
        <f>BI119+BJ119+BK119+BL119</f>
        <v/>
      </c>
    </row>
    <row r="120" ht="15.75" customHeight="1">
      <c r="A120" s="84" t="inlineStr">
        <is>
          <t>TAG QDB</t>
        </is>
      </c>
      <c r="B120" s="151" t="n">
        <v>0</v>
      </c>
      <c r="C120" s="151" t="n">
        <v>0</v>
      </c>
      <c r="D120" s="151" t="n">
        <v>0</v>
      </c>
      <c r="E120" s="151" t="n">
        <v>0</v>
      </c>
      <c r="F120" s="81">
        <f>B120+C120+D120+E120</f>
        <v/>
      </c>
      <c r="G120" s="151" t="n">
        <v>1</v>
      </c>
      <c r="H120" s="151" t="n">
        <v>6</v>
      </c>
      <c r="I120" s="151" t="n">
        <v>4</v>
      </c>
      <c r="J120" s="151" t="n">
        <v>7</v>
      </c>
      <c r="K120" s="81">
        <f>G120+H120+I120+J120</f>
        <v/>
      </c>
      <c r="L120" s="151" t="n">
        <v>0</v>
      </c>
      <c r="M120" s="151" t="n">
        <v>0</v>
      </c>
      <c r="N120" s="151" t="n">
        <v>0</v>
      </c>
      <c r="O120" s="151" t="n">
        <v>0</v>
      </c>
      <c r="P120" s="151" t="n">
        <v>0</v>
      </c>
      <c r="Q120" s="81">
        <f>L120+M120+N120+O120+P120</f>
        <v/>
      </c>
      <c r="R120" s="151" t="n"/>
      <c r="S120" s="151" t="n"/>
      <c r="T120" s="151" t="n"/>
      <c r="U120" s="151" t="n"/>
      <c r="V120" s="81">
        <f>R120+S120+T120+U120</f>
        <v/>
      </c>
      <c r="W120" s="151" t="n">
        <v>0</v>
      </c>
      <c r="X120" s="151" t="n">
        <v>0</v>
      </c>
      <c r="Y120" s="151" t="n"/>
      <c r="Z120" s="151" t="n"/>
      <c r="AA120" s="81">
        <f>W120+X120+Y120+Z120</f>
        <v/>
      </c>
      <c r="AB120" s="151" t="n"/>
      <c r="AC120" s="151" t="n"/>
      <c r="AD120" s="151" t="n"/>
      <c r="AE120" s="151" t="n"/>
      <c r="AF120" s="151" t="n"/>
      <c r="AG120" s="81">
        <f>AB120+AC120+AD120+AE120+AF120</f>
        <v/>
      </c>
      <c r="AH120" s="151" t="n"/>
      <c r="AI120" s="151" t="n"/>
      <c r="AJ120" s="151" t="n"/>
      <c r="AK120" s="151" t="n"/>
      <c r="AL120" s="81">
        <f>AH120+AI120+AJ120+AK120</f>
        <v/>
      </c>
      <c r="AM120" s="80" t="n"/>
      <c r="AN120" s="80" t="n"/>
      <c r="AO120" s="80" t="n"/>
      <c r="AP120" s="80" t="n"/>
      <c r="AQ120" s="80" t="n"/>
      <c r="AR120" s="81">
        <f>AM120+AN120+AO120+AP120+AQ120</f>
        <v/>
      </c>
      <c r="AS120" s="80" t="n"/>
      <c r="AT120" s="80" t="n"/>
      <c r="AU120" s="80" t="n"/>
      <c r="AV120" s="80" t="n"/>
      <c r="AW120" s="81">
        <f>AS120+AT120+AU120+AV120</f>
        <v/>
      </c>
      <c r="AX120" s="80" t="n"/>
      <c r="AY120" s="80" t="n"/>
      <c r="AZ120" s="80" t="n"/>
      <c r="BA120" s="80" t="n"/>
      <c r="BB120" s="81">
        <f>AX120+AY120+AZ120+BA120</f>
        <v/>
      </c>
      <c r="BC120" s="80" t="n"/>
      <c r="BD120" s="80" t="n"/>
      <c r="BE120" s="80" t="n"/>
      <c r="BF120" s="80" t="n"/>
      <c r="BG120" s="80" t="n"/>
      <c r="BH120" s="81">
        <f>BC120+BD120+BE120+BF120+BG120</f>
        <v/>
      </c>
      <c r="BI120" s="80" t="n"/>
      <c r="BJ120" s="80" t="n"/>
      <c r="BK120" s="80" t="n"/>
      <c r="BL120" s="80" t="n"/>
      <c r="BM120" s="81">
        <f>BI120+BJ120+BK120+BL120</f>
        <v/>
      </c>
    </row>
    <row r="121" ht="15.75" customHeight="1">
      <c r="A121" s="84" t="inlineStr">
        <is>
          <t>LÂMINA OLFATIVA QDB</t>
        </is>
      </c>
      <c r="B121" s="151" t="n">
        <v>0</v>
      </c>
      <c r="C121" s="151" t="n">
        <v>1</v>
      </c>
      <c r="D121" s="151" t="n">
        <v>0</v>
      </c>
      <c r="E121" s="151" t="n">
        <v>2</v>
      </c>
      <c r="F121" s="81">
        <f>B121+C121+D121+E121</f>
        <v/>
      </c>
      <c r="G121" s="151" t="n">
        <v>1</v>
      </c>
      <c r="H121" s="151" t="n">
        <v>0</v>
      </c>
      <c r="I121" s="151" t="n">
        <v>0</v>
      </c>
      <c r="J121" s="151" t="n">
        <v>5</v>
      </c>
      <c r="K121" s="81">
        <f>G121+H121+I121+J121</f>
        <v/>
      </c>
      <c r="L121" s="151" t="n">
        <v>0</v>
      </c>
      <c r="M121" s="151" t="n">
        <v>0</v>
      </c>
      <c r="N121" s="151" t="n">
        <v>0</v>
      </c>
      <c r="O121" s="151" t="n">
        <v>0</v>
      </c>
      <c r="P121" s="151" t="n">
        <v>0</v>
      </c>
      <c r="Q121" s="81">
        <f>L121+M121+N121+O121+P121</f>
        <v/>
      </c>
      <c r="R121" s="151" t="n"/>
      <c r="S121" s="151" t="n"/>
      <c r="T121" s="151" t="n"/>
      <c r="U121" s="151" t="n"/>
      <c r="V121" s="81">
        <f>R121+S121+T121+U121</f>
        <v/>
      </c>
      <c r="W121" s="151" t="n">
        <v>0</v>
      </c>
      <c r="X121" s="151" t="n">
        <v>0</v>
      </c>
      <c r="Y121" s="151" t="n"/>
      <c r="Z121" s="151" t="n"/>
      <c r="AA121" s="81">
        <f>W121+X121+Y121+Z121</f>
        <v/>
      </c>
      <c r="AB121" s="151" t="n"/>
      <c r="AC121" s="151" t="n"/>
      <c r="AD121" s="151" t="n"/>
      <c r="AE121" s="151" t="n"/>
      <c r="AF121" s="151" t="n"/>
      <c r="AG121" s="81">
        <f>AB121+AC121+AD121+AE121+AF121</f>
        <v/>
      </c>
      <c r="AH121" s="151" t="n"/>
      <c r="AI121" s="151" t="n"/>
      <c r="AJ121" s="151" t="n"/>
      <c r="AK121" s="151" t="n"/>
      <c r="AL121" s="81">
        <f>AH121+AI121+AJ121+AK121</f>
        <v/>
      </c>
      <c r="AM121" s="80" t="n"/>
      <c r="AN121" s="80" t="n"/>
      <c r="AO121" s="80" t="n"/>
      <c r="AP121" s="80" t="n"/>
      <c r="AQ121" s="80" t="n"/>
      <c r="AR121" s="81">
        <f>AM121+AN121+AO121+AP121+AQ121</f>
        <v/>
      </c>
      <c r="AS121" s="80" t="n"/>
      <c r="AT121" s="80" t="n"/>
      <c r="AU121" s="80" t="n"/>
      <c r="AV121" s="80" t="n"/>
      <c r="AW121" s="81">
        <f>AS121+AT121+AU121+AV121</f>
        <v/>
      </c>
      <c r="AX121" s="80" t="n"/>
      <c r="AY121" s="80" t="n"/>
      <c r="AZ121" s="80" t="n"/>
      <c r="BA121" s="80" t="n"/>
      <c r="BB121" s="81">
        <f>AX121+AY121+AZ121+BA121</f>
        <v/>
      </c>
      <c r="BC121" s="80" t="n"/>
      <c r="BD121" s="80" t="n"/>
      <c r="BE121" s="80" t="n"/>
      <c r="BF121" s="80" t="n"/>
      <c r="BG121" s="80" t="n"/>
      <c r="BH121" s="81">
        <f>BC121+BD121+BE121+BF121+BG121</f>
        <v/>
      </c>
      <c r="BI121" s="80" t="n"/>
      <c r="BJ121" s="80" t="n"/>
      <c r="BK121" s="80" t="n"/>
      <c r="BL121" s="80" t="n"/>
      <c r="BM121" s="81">
        <f>BI121+BJ121+BK121+BL121</f>
        <v/>
      </c>
    </row>
    <row r="122" ht="15.75" customHeight="1">
      <c r="A122" s="84" t="inlineStr">
        <is>
          <t>SACOLA P EUDORA</t>
        </is>
      </c>
      <c r="B122" s="151" t="n">
        <v>0</v>
      </c>
      <c r="C122" s="151" t="n">
        <v>200</v>
      </c>
      <c r="D122" s="151" t="n">
        <v>0</v>
      </c>
      <c r="E122" s="151" t="n">
        <v>400</v>
      </c>
      <c r="F122" s="81">
        <f>B122+C122+D122+E122</f>
        <v/>
      </c>
      <c r="G122" s="151" t="n">
        <v>0</v>
      </c>
      <c r="H122" s="151" t="n">
        <v>200</v>
      </c>
      <c r="I122" s="151" t="n">
        <v>200</v>
      </c>
      <c r="J122" s="151" t="n">
        <v>0</v>
      </c>
      <c r="K122" s="81">
        <f>G122+H122+I122+J122</f>
        <v/>
      </c>
      <c r="L122" s="151" t="n">
        <v>200</v>
      </c>
      <c r="M122" s="151" t="n">
        <v>200</v>
      </c>
      <c r="N122" s="151" t="n">
        <v>200</v>
      </c>
      <c r="O122" s="151" t="n">
        <v>400</v>
      </c>
      <c r="P122" s="151" t="n">
        <v>400</v>
      </c>
      <c r="Q122" s="81">
        <f>L122+M122+N122+O122+P122</f>
        <v/>
      </c>
      <c r="R122" s="151" t="n"/>
      <c r="S122" s="151" t="n"/>
      <c r="T122" s="151" t="n"/>
      <c r="U122" s="151" t="n"/>
      <c r="V122" s="81">
        <f>R122+S122+T122+U122</f>
        <v/>
      </c>
      <c r="W122" s="151" t="n">
        <v>200</v>
      </c>
      <c r="X122" s="151" t="n">
        <v>200</v>
      </c>
      <c r="Y122" s="151" t="n"/>
      <c r="Z122" s="151" t="n"/>
      <c r="AA122" s="81">
        <f>W122+X122+Y122+Z122</f>
        <v/>
      </c>
      <c r="AB122" s="151" t="n"/>
      <c r="AC122" s="151" t="n"/>
      <c r="AD122" s="151" t="n"/>
      <c r="AE122" s="151" t="n"/>
      <c r="AF122" s="151" t="n"/>
      <c r="AG122" s="81">
        <f>AB122+AC122+AD122+AE122+AF122</f>
        <v/>
      </c>
      <c r="AH122" s="151" t="n"/>
      <c r="AI122" s="151" t="n"/>
      <c r="AJ122" s="151" t="n"/>
      <c r="AK122" s="151" t="n"/>
      <c r="AL122" s="81">
        <f>AH122+AI122+AJ122+AK122</f>
        <v/>
      </c>
      <c r="AM122" s="80" t="n"/>
      <c r="AN122" s="80" t="n"/>
      <c r="AO122" s="80" t="n"/>
      <c r="AP122" s="80" t="n"/>
      <c r="AQ122" s="80" t="n"/>
      <c r="AR122" s="81">
        <f>AM122+AN122+AO122+AP122+AQ122</f>
        <v/>
      </c>
      <c r="AS122" s="80" t="n"/>
      <c r="AT122" s="80" t="n"/>
      <c r="AU122" s="80" t="n"/>
      <c r="AV122" s="80" t="n"/>
      <c r="AW122" s="81">
        <f>AS122+AT122+AU122+AV122</f>
        <v/>
      </c>
      <c r="AX122" s="80" t="n"/>
      <c r="AY122" s="80" t="n"/>
      <c r="AZ122" s="80" t="n"/>
      <c r="BA122" s="80" t="n"/>
      <c r="BB122" s="81">
        <f>AX122+AY122+AZ122+BA122</f>
        <v/>
      </c>
      <c r="BC122" s="80" t="n"/>
      <c r="BD122" s="80" t="n"/>
      <c r="BE122" s="80" t="n"/>
      <c r="BF122" s="80" t="n"/>
      <c r="BG122" s="80" t="n"/>
      <c r="BH122" s="81">
        <f>BC122+BD122+BE122+BF122+BG122</f>
        <v/>
      </c>
      <c r="BI122" s="80" t="n"/>
      <c r="BJ122" s="80" t="n"/>
      <c r="BK122" s="80" t="n"/>
      <c r="BL122" s="80" t="n"/>
      <c r="BM122" s="81">
        <f>BI122+BJ122+BK122+BL122</f>
        <v/>
      </c>
    </row>
    <row r="123" ht="15.75" customHeight="1">
      <c r="A123" s="84" t="inlineStr">
        <is>
          <t>SACOLA M EUDORA</t>
        </is>
      </c>
      <c r="B123" s="151" t="n">
        <v>0</v>
      </c>
      <c r="C123" s="151" t="n">
        <v>0</v>
      </c>
      <c r="D123" s="151" t="n">
        <v>0</v>
      </c>
      <c r="E123" s="151" t="n">
        <v>0</v>
      </c>
      <c r="F123" s="81">
        <f>B123+C123+D123+E123</f>
        <v/>
      </c>
      <c r="G123" s="151" t="n">
        <v>0</v>
      </c>
      <c r="H123" s="151" t="n">
        <v>0</v>
      </c>
      <c r="I123" s="151" t="n">
        <v>200</v>
      </c>
      <c r="J123" s="151" t="n">
        <v>0</v>
      </c>
      <c r="K123" s="81">
        <f>G123+H123+I123+J123</f>
        <v/>
      </c>
      <c r="L123" s="151" t="n">
        <v>200</v>
      </c>
      <c r="M123" s="151" t="n">
        <v>200</v>
      </c>
      <c r="N123" s="151" t="n">
        <v>0</v>
      </c>
      <c r="O123" s="151" t="n">
        <v>400</v>
      </c>
      <c r="P123" s="151" t="n">
        <v>200</v>
      </c>
      <c r="Q123" s="81">
        <f>L123+M123+N123+O123+P123</f>
        <v/>
      </c>
      <c r="R123" s="151" t="n"/>
      <c r="S123" s="151" t="n"/>
      <c r="T123" s="151" t="n"/>
      <c r="U123" s="151" t="n"/>
      <c r="V123" s="81">
        <f>R123+S123+T123+U123</f>
        <v/>
      </c>
      <c r="W123" s="151" t="n">
        <v>0</v>
      </c>
      <c r="X123" s="151" t="n">
        <v>200</v>
      </c>
      <c r="Y123" s="151" t="n"/>
      <c r="Z123" s="151" t="n"/>
      <c r="AA123" s="81">
        <f>W123+X123+Y123+Z123</f>
        <v/>
      </c>
      <c r="AB123" s="151" t="n"/>
      <c r="AC123" s="151" t="n"/>
      <c r="AD123" s="151" t="n"/>
      <c r="AE123" s="151" t="n"/>
      <c r="AF123" s="151" t="n"/>
      <c r="AG123" s="81">
        <f>AB123+AC123+AD123+AE123+AF123</f>
        <v/>
      </c>
      <c r="AH123" s="151" t="n"/>
      <c r="AI123" s="151" t="n"/>
      <c r="AJ123" s="151" t="n"/>
      <c r="AK123" s="151" t="n"/>
      <c r="AL123" s="81">
        <f>AH123+AI123+AJ123+AK123</f>
        <v/>
      </c>
      <c r="AM123" s="80" t="n"/>
      <c r="AN123" s="80" t="n"/>
      <c r="AO123" s="80" t="n"/>
      <c r="AP123" s="80" t="n"/>
      <c r="AQ123" s="80" t="n"/>
      <c r="AR123" s="81">
        <f>AM123+AN123+AO123+AP123+AQ123</f>
        <v/>
      </c>
      <c r="AS123" s="80" t="n"/>
      <c r="AT123" s="80" t="n"/>
      <c r="AU123" s="80" t="n"/>
      <c r="AV123" s="80" t="n"/>
      <c r="AW123" s="81">
        <f>AS123+AT123+AU123+AV123</f>
        <v/>
      </c>
      <c r="AX123" s="80" t="n"/>
      <c r="AY123" s="80" t="n"/>
      <c r="AZ123" s="80" t="n"/>
      <c r="BA123" s="80" t="n"/>
      <c r="BB123" s="81">
        <f>AX123+AY123+AZ123+BA123</f>
        <v/>
      </c>
      <c r="BC123" s="80" t="n"/>
      <c r="BD123" s="80" t="n"/>
      <c r="BE123" s="80" t="n"/>
      <c r="BF123" s="80" t="n"/>
      <c r="BG123" s="80" t="n"/>
      <c r="BH123" s="81">
        <f>BC123+BD123+BE123+BF123+BG123</f>
        <v/>
      </c>
      <c r="BI123" s="80" t="n"/>
      <c r="BJ123" s="80" t="n"/>
      <c r="BK123" s="80" t="n"/>
      <c r="BL123" s="80" t="n"/>
      <c r="BM123" s="81">
        <f>BI123+BJ123+BK123+BL123</f>
        <v/>
      </c>
    </row>
    <row r="124" ht="15.75" customHeight="1">
      <c r="A124" s="84" t="inlineStr">
        <is>
          <t>SACOLA G EUDORA</t>
        </is>
      </c>
      <c r="B124" s="151" t="n">
        <v>0</v>
      </c>
      <c r="C124" s="151" t="n">
        <v>0</v>
      </c>
      <c r="D124" s="151" t="n">
        <v>0</v>
      </c>
      <c r="E124" s="151" t="n">
        <v>0</v>
      </c>
      <c r="F124" s="81">
        <f>B124+C124+D124+E124</f>
        <v/>
      </c>
      <c r="G124" s="151" t="n">
        <v>0</v>
      </c>
      <c r="H124" s="151" t="n">
        <v>0</v>
      </c>
      <c r="I124" s="151" t="n">
        <v>100</v>
      </c>
      <c r="J124" s="151" t="n">
        <v>0</v>
      </c>
      <c r="K124" s="81">
        <f>G124+H124+I124+J124</f>
        <v/>
      </c>
      <c r="L124" s="151" t="n">
        <v>100</v>
      </c>
      <c r="M124" s="151" t="n">
        <v>0</v>
      </c>
      <c r="N124" s="151" t="n">
        <v>0</v>
      </c>
      <c r="O124" s="151" t="n">
        <v>100</v>
      </c>
      <c r="P124" s="151" t="n">
        <v>100</v>
      </c>
      <c r="Q124" s="81">
        <f>L124+M124+N124+O124+P124</f>
        <v/>
      </c>
      <c r="R124" s="151" t="n"/>
      <c r="S124" s="151" t="n"/>
      <c r="T124" s="151" t="n"/>
      <c r="U124" s="151" t="n"/>
      <c r="V124" s="81">
        <f>R124+S124+T124+U124</f>
        <v/>
      </c>
      <c r="W124" s="151" t="n">
        <v>0</v>
      </c>
      <c r="X124" s="151" t="n">
        <v>0</v>
      </c>
      <c r="Y124" s="151" t="n"/>
      <c r="Z124" s="151" t="n"/>
      <c r="AA124" s="81">
        <f>W124+X124+Y124+Z124</f>
        <v/>
      </c>
      <c r="AB124" s="151" t="n"/>
      <c r="AC124" s="151" t="n"/>
      <c r="AD124" s="151" t="n"/>
      <c r="AE124" s="151" t="n"/>
      <c r="AF124" s="151" t="n"/>
      <c r="AG124" s="81">
        <f>AB124+AC124+AD124+AE124+AF124</f>
        <v/>
      </c>
      <c r="AH124" s="151" t="n"/>
      <c r="AI124" s="151" t="n"/>
      <c r="AJ124" s="151" t="n"/>
      <c r="AK124" s="151" t="n"/>
      <c r="AL124" s="81">
        <f>AH124+AI124+AJ124+AK124</f>
        <v/>
      </c>
      <c r="AM124" s="80" t="n"/>
      <c r="AN124" s="80" t="n"/>
      <c r="AO124" s="80" t="n"/>
      <c r="AP124" s="80" t="n"/>
      <c r="AQ124" s="80" t="n"/>
      <c r="AR124" s="81">
        <f>AM124+AN124+AO124+AP124+AQ124</f>
        <v/>
      </c>
      <c r="AS124" s="80" t="n"/>
      <c r="AT124" s="80" t="n"/>
      <c r="AU124" s="80" t="n"/>
      <c r="AV124" s="80" t="n"/>
      <c r="AW124" s="81">
        <f>AS124+AT124+AU124+AV124</f>
        <v/>
      </c>
      <c r="AX124" s="80" t="n"/>
      <c r="AY124" s="80" t="n"/>
      <c r="AZ124" s="80" t="n"/>
      <c r="BA124" s="80" t="n"/>
      <c r="BB124" s="81">
        <f>AX124+AY124+AZ124+BA124</f>
        <v/>
      </c>
      <c r="BC124" s="80" t="n"/>
      <c r="BD124" s="80" t="n"/>
      <c r="BE124" s="80" t="n"/>
      <c r="BF124" s="80" t="n"/>
      <c r="BG124" s="80" t="n"/>
      <c r="BH124" s="81">
        <f>BC124+BD124+BE124+BF124+BG124</f>
        <v/>
      </c>
      <c r="BI124" s="80" t="n"/>
      <c r="BJ124" s="80" t="n"/>
      <c r="BK124" s="80" t="n"/>
      <c r="BL124" s="80" t="n"/>
      <c r="BM124" s="81">
        <f>BI124+BJ124+BK124+BL124</f>
        <v/>
      </c>
    </row>
    <row r="125" ht="15.75" customHeight="1">
      <c r="A125" s="207" t="inlineStr">
        <is>
          <t>PAPEL DE SEDA EUDORA</t>
        </is>
      </c>
      <c r="B125" s="151" t="n">
        <v>0</v>
      </c>
      <c r="C125" s="151" t="n">
        <v>0</v>
      </c>
      <c r="D125" s="151" t="n">
        <v>6</v>
      </c>
      <c r="E125" s="151" t="n">
        <v>0</v>
      </c>
      <c r="F125" s="81">
        <f>B125+C125+D125+E125</f>
        <v/>
      </c>
      <c r="G125" s="151" t="n">
        <v>0</v>
      </c>
      <c r="H125" s="151" t="n">
        <v>0</v>
      </c>
      <c r="I125" s="151" t="n">
        <v>0</v>
      </c>
      <c r="J125" s="151" t="n">
        <v>0</v>
      </c>
      <c r="K125" s="81">
        <f>G125+H125+I125+J125</f>
        <v/>
      </c>
      <c r="L125" s="151" t="n">
        <v>0</v>
      </c>
      <c r="M125" s="151" t="n">
        <v>0</v>
      </c>
      <c r="N125" s="151" t="n">
        <v>1</v>
      </c>
      <c r="O125" s="151" t="n">
        <v>4</v>
      </c>
      <c r="P125" s="151" t="n">
        <v>0</v>
      </c>
      <c r="Q125" s="81">
        <f>L125+M125+N125+O125+P125</f>
        <v/>
      </c>
      <c r="R125" s="151" t="n"/>
      <c r="S125" s="151" t="n"/>
      <c r="T125" s="151" t="n"/>
      <c r="U125" s="151" t="n"/>
      <c r="V125" s="81">
        <f>R125+S125+T125+U125</f>
        <v/>
      </c>
      <c r="W125" s="151" t="n">
        <v>2</v>
      </c>
      <c r="X125" s="151" t="n">
        <v>0</v>
      </c>
      <c r="Y125" s="151" t="n"/>
      <c r="Z125" s="151" t="n"/>
      <c r="AA125" s="81">
        <f>W125+X125+Y125+Z125</f>
        <v/>
      </c>
      <c r="AB125" s="151" t="n"/>
      <c r="AC125" s="151" t="n"/>
      <c r="AD125" s="151" t="n"/>
      <c r="AE125" s="151" t="n"/>
      <c r="AF125" s="151" t="n"/>
      <c r="AG125" s="81">
        <f>AB125+AC125+AD125+AE125+AF125</f>
        <v/>
      </c>
      <c r="AH125" s="151" t="n"/>
      <c r="AI125" s="151" t="n"/>
      <c r="AJ125" s="151" t="n"/>
      <c r="AK125" s="151" t="n"/>
      <c r="AL125" s="81">
        <f>AH125+AI125+AJ125+AK125</f>
        <v/>
      </c>
      <c r="AM125" s="80" t="n"/>
      <c r="AN125" s="80" t="n"/>
      <c r="AO125" s="80" t="n"/>
      <c r="AP125" s="80" t="n"/>
      <c r="AQ125" s="80" t="n"/>
      <c r="AR125" s="81">
        <f>AM125+AN125+AO125+AP125+AQ125</f>
        <v/>
      </c>
      <c r="AS125" s="80" t="n"/>
      <c r="AT125" s="80" t="n"/>
      <c r="AU125" s="80" t="n"/>
      <c r="AV125" s="80" t="n"/>
      <c r="AW125" s="81">
        <f>AS125+AT125+AU125+AV125</f>
        <v/>
      </c>
      <c r="AX125" s="80" t="n"/>
      <c r="AY125" s="80" t="n"/>
      <c r="AZ125" s="80" t="n"/>
      <c r="BA125" s="80" t="n"/>
      <c r="BB125" s="81">
        <f>AX125+AY125+AZ125+BA125</f>
        <v/>
      </c>
      <c r="BC125" s="80" t="n"/>
      <c r="BD125" s="80" t="n"/>
      <c r="BE125" s="80" t="n"/>
      <c r="BF125" s="80" t="n"/>
      <c r="BG125" s="80" t="n"/>
      <c r="BH125" s="81">
        <f>BC125+BD125+BE125+BF125+BG125</f>
        <v/>
      </c>
      <c r="BI125" s="80" t="n"/>
      <c r="BJ125" s="80" t="n"/>
      <c r="BK125" s="80" t="n"/>
      <c r="BL125" s="80" t="n"/>
      <c r="BM125" s="81">
        <f>BI125+BJ125+BK125+BL125</f>
        <v/>
      </c>
    </row>
    <row r="126" ht="15.75" customHeight="1">
      <c r="A126" s="207" t="inlineStr">
        <is>
          <t>ADESIVOS EUDORA</t>
        </is>
      </c>
      <c r="B126" s="151" t="n">
        <v>0</v>
      </c>
      <c r="C126" s="151" t="n">
        <v>0</v>
      </c>
      <c r="D126" s="151" t="n">
        <v>0</v>
      </c>
      <c r="E126" s="151" t="n">
        <v>1</v>
      </c>
      <c r="F126" s="81">
        <f>B126+C126+D126+E126</f>
        <v/>
      </c>
      <c r="G126" s="151" t="n">
        <v>0</v>
      </c>
      <c r="H126" s="151" t="n">
        <v>1</v>
      </c>
      <c r="I126" s="151" t="n">
        <v>1</v>
      </c>
      <c r="J126" s="151" t="n">
        <v>0</v>
      </c>
      <c r="K126" s="81">
        <f>G126+H126+I126+J126</f>
        <v/>
      </c>
      <c r="L126" s="151" t="n">
        <v>0</v>
      </c>
      <c r="M126" s="151" t="n">
        <v>0</v>
      </c>
      <c r="N126" s="151" t="n">
        <v>0</v>
      </c>
      <c r="O126" s="151" t="n">
        <v>3</v>
      </c>
      <c r="P126" s="151" t="n">
        <v>0</v>
      </c>
      <c r="Q126" s="81">
        <f>L126+M126+N126+O126+P126</f>
        <v/>
      </c>
      <c r="R126" s="151" t="n"/>
      <c r="S126" s="151" t="n"/>
      <c r="T126" s="151" t="n"/>
      <c r="U126" s="151" t="n"/>
      <c r="V126" s="81">
        <f>R126+S126+T126+U126</f>
        <v/>
      </c>
      <c r="W126" s="151" t="n">
        <v>0</v>
      </c>
      <c r="X126" s="151" t="n">
        <v>0</v>
      </c>
      <c r="Y126" s="151" t="n"/>
      <c r="Z126" s="151" t="n"/>
      <c r="AA126" s="81">
        <f>W126+X126+Y126+Z126</f>
        <v/>
      </c>
      <c r="AB126" s="151" t="n"/>
      <c r="AC126" s="151" t="n"/>
      <c r="AD126" s="151" t="n"/>
      <c r="AE126" s="151" t="n"/>
      <c r="AF126" s="151" t="n"/>
      <c r="AG126" s="81">
        <f>AB126+AC126+AD126+AE126+AF126</f>
        <v/>
      </c>
      <c r="AH126" s="151" t="n"/>
      <c r="AI126" s="151" t="n"/>
      <c r="AJ126" s="151" t="n"/>
      <c r="AK126" s="151" t="n"/>
      <c r="AL126" s="81">
        <f>AH126+AI126+AJ126+AK126</f>
        <v/>
      </c>
      <c r="AM126" s="80" t="n"/>
      <c r="AN126" s="80" t="n"/>
      <c r="AO126" s="80" t="n"/>
      <c r="AP126" s="80" t="n"/>
      <c r="AQ126" s="80" t="n"/>
      <c r="AR126" s="81">
        <f>AM126+AN126+AO126+AP126+AQ126</f>
        <v/>
      </c>
      <c r="AS126" s="80" t="n"/>
      <c r="AT126" s="80" t="n"/>
      <c r="AU126" s="80" t="n"/>
      <c r="AV126" s="80" t="n"/>
      <c r="AW126" s="81">
        <f>AS126+AT126+AU126+AV126</f>
        <v/>
      </c>
      <c r="AX126" s="80" t="n"/>
      <c r="AY126" s="80" t="n"/>
      <c r="AZ126" s="80" t="n"/>
      <c r="BA126" s="80" t="n"/>
      <c r="BB126" s="81">
        <f>AX126+AY126+AZ126+BA126</f>
        <v/>
      </c>
      <c r="BC126" s="80" t="n"/>
      <c r="BD126" s="80" t="n"/>
      <c r="BE126" s="80" t="n"/>
      <c r="BF126" s="80" t="n"/>
      <c r="BG126" s="80" t="n"/>
      <c r="BH126" s="81">
        <f>BC126+BD126+BE126+BF126+BG126</f>
        <v/>
      </c>
      <c r="BI126" s="80" t="n"/>
      <c r="BJ126" s="80" t="n"/>
      <c r="BK126" s="80" t="n"/>
      <c r="BL126" s="80" t="n"/>
      <c r="BM126" s="81">
        <f>BI126+BJ126+BK126+BL126</f>
        <v/>
      </c>
    </row>
    <row r="127" ht="15.75" customHeight="1">
      <c r="A127" s="84" t="inlineStr">
        <is>
          <t>LÂMINA OLFATIVA EUDORA</t>
        </is>
      </c>
      <c r="B127" s="151" t="n">
        <v>0</v>
      </c>
      <c r="C127" s="151" t="n">
        <v>0</v>
      </c>
      <c r="D127" s="151" t="n">
        <v>0</v>
      </c>
      <c r="E127" s="151" t="n">
        <v>0</v>
      </c>
      <c r="F127" s="81">
        <f>B127+C127+D127+E127</f>
        <v/>
      </c>
      <c r="G127" s="151" t="n">
        <v>0</v>
      </c>
      <c r="H127" s="151" t="n">
        <v>0</v>
      </c>
      <c r="I127" s="151" t="n">
        <v>0</v>
      </c>
      <c r="J127" s="151" t="n">
        <v>0</v>
      </c>
      <c r="K127" s="81">
        <f>G127+H127+I127+J127</f>
        <v/>
      </c>
      <c r="L127" s="151" t="n">
        <v>0</v>
      </c>
      <c r="M127" s="151" t="n">
        <v>0</v>
      </c>
      <c r="N127" s="151" t="n">
        <v>0</v>
      </c>
      <c r="O127" s="151" t="n">
        <v>0</v>
      </c>
      <c r="P127" s="151" t="n">
        <v>0</v>
      </c>
      <c r="Q127" s="81">
        <f>L127+M127+N127+O127+P127</f>
        <v/>
      </c>
      <c r="R127" s="151" t="n"/>
      <c r="S127" s="151" t="n"/>
      <c r="T127" s="151" t="n"/>
      <c r="U127" s="151" t="n"/>
      <c r="V127" s="81">
        <f>R127+S127+T127+U127</f>
        <v/>
      </c>
      <c r="W127" s="151" t="n">
        <v>0</v>
      </c>
      <c r="X127" s="151" t="n">
        <v>0</v>
      </c>
      <c r="Y127" s="151" t="n"/>
      <c r="Z127" s="151" t="n"/>
      <c r="AA127" s="81">
        <f>W127+X127+Y127+Z127</f>
        <v/>
      </c>
      <c r="AB127" s="151" t="n"/>
      <c r="AC127" s="151" t="n"/>
      <c r="AD127" s="151" t="n"/>
      <c r="AE127" s="151" t="n"/>
      <c r="AF127" s="151" t="n"/>
      <c r="AG127" s="81">
        <f>AB127+AC127+AD127+AE127+AF127</f>
        <v/>
      </c>
      <c r="AH127" s="151" t="n"/>
      <c r="AI127" s="151" t="n"/>
      <c r="AJ127" s="151" t="n"/>
      <c r="AK127" s="151" t="n"/>
      <c r="AL127" s="81">
        <f>AH127+AI127+AJ127+AK127</f>
        <v/>
      </c>
      <c r="AM127" s="80" t="n"/>
      <c r="AN127" s="80" t="n"/>
      <c r="AO127" s="80" t="n"/>
      <c r="AP127" s="80" t="n"/>
      <c r="AQ127" s="80" t="n"/>
      <c r="AR127" s="81">
        <f>AM127+AN127+AO127+AP127+AQ127</f>
        <v/>
      </c>
      <c r="AS127" s="80" t="n"/>
      <c r="AT127" s="80" t="n"/>
      <c r="AU127" s="80" t="n"/>
      <c r="AV127" s="80" t="n"/>
      <c r="AW127" s="81">
        <f>AS127+AT127+AU127+AV127</f>
        <v/>
      </c>
      <c r="AX127" s="80" t="n"/>
      <c r="AY127" s="80" t="n"/>
      <c r="AZ127" s="80" t="n"/>
      <c r="BA127" s="80" t="n"/>
      <c r="BB127" s="81">
        <f>AX127+AY127+AZ127+BA127</f>
        <v/>
      </c>
      <c r="BC127" s="80" t="n"/>
      <c r="BD127" s="80" t="n"/>
      <c r="BE127" s="80" t="n"/>
      <c r="BF127" s="80" t="n"/>
      <c r="BG127" s="80" t="n"/>
      <c r="BH127" s="81">
        <f>BC127+BD127+BE127+BF127+BG127</f>
        <v/>
      </c>
      <c r="BI127" s="80" t="n"/>
      <c r="BJ127" s="80" t="n"/>
      <c r="BK127" s="80" t="n"/>
      <c r="BL127" s="80" t="n"/>
      <c r="BM127" s="81">
        <f>BI127+BJ127+BK127+BL127</f>
        <v/>
      </c>
    </row>
    <row r="128" ht="15.75" customHeight="1">
      <c r="A128" s="86" t="inlineStr">
        <is>
          <t>TOTAL DE SACOLAS</t>
        </is>
      </c>
      <c r="B128" s="87">
        <f>SUM(B101:B104)</f>
        <v/>
      </c>
      <c r="C128" s="87">
        <f>SUM(C101:C104)</f>
        <v/>
      </c>
      <c r="D128" s="87">
        <f>SUM(D101:D104)</f>
        <v/>
      </c>
      <c r="E128" s="87">
        <f>SUM(E101:E104)</f>
        <v/>
      </c>
      <c r="F128" s="87">
        <f>F101+F102+F103+F104+F115+F116+F117+F122+F123+F124</f>
        <v/>
      </c>
      <c r="G128" s="87">
        <f>SUM(G101:G104)</f>
        <v/>
      </c>
      <c r="H128" s="87">
        <f>SUM(H101:H104)</f>
        <v/>
      </c>
      <c r="I128" s="87">
        <f>SUM(I101:I104)</f>
        <v/>
      </c>
      <c r="J128" s="87">
        <f>SUM(J101:J104)</f>
        <v/>
      </c>
      <c r="K128" s="87">
        <f>K101+K102+K103+K104+K115+K116+K117+K122+K123+K124</f>
        <v/>
      </c>
      <c r="L128" s="87">
        <f>SUM(L101:L104)</f>
        <v/>
      </c>
      <c r="M128" s="87">
        <f>SUM(M101:M104)</f>
        <v/>
      </c>
      <c r="N128" s="87">
        <f>SUM(N101:N104)</f>
        <v/>
      </c>
      <c r="O128" s="87">
        <f>SUM(O101:O104)</f>
        <v/>
      </c>
      <c r="P128" s="87">
        <f>SUM(P101:P104)</f>
        <v/>
      </c>
      <c r="Q128" s="87">
        <f>Q101+Q102+Q103+Q104+Q115+Q116+Q117+Q122+Q123+Q124</f>
        <v/>
      </c>
      <c r="R128" s="87">
        <f>SUM(R101:R104)</f>
        <v/>
      </c>
      <c r="S128" s="87">
        <f>SUM(S101:S104)</f>
        <v/>
      </c>
      <c r="T128" s="87">
        <f>SUM(T101:T104)</f>
        <v/>
      </c>
      <c r="U128" s="87">
        <f>SUM(U101:U104)</f>
        <v/>
      </c>
      <c r="V128" s="87">
        <f>V101+V102+V103+V104+V115+V116+V117+V122+V123+V124</f>
        <v/>
      </c>
      <c r="W128" s="87">
        <f>SUM(W101:W104)</f>
        <v/>
      </c>
      <c r="X128" s="87">
        <f>SUM(X101:X104)</f>
        <v/>
      </c>
      <c r="Y128" s="87">
        <f>SUM(Y101:Y104)</f>
        <v/>
      </c>
      <c r="Z128" s="87">
        <f>SUM(Z101:Z104)</f>
        <v/>
      </c>
      <c r="AA128" s="87">
        <f>AA101+AA102+AA103+AA104+AA115+AA116+AA117+AA122+AA123+AA124</f>
        <v/>
      </c>
      <c r="AB128" s="87">
        <f>SUM(AB101:AB104)</f>
        <v/>
      </c>
      <c r="AC128" s="87">
        <f>SUM(AC101:AC104)</f>
        <v/>
      </c>
      <c r="AD128" s="87">
        <f>SUM(AD101:AD104)</f>
        <v/>
      </c>
      <c r="AE128" s="87">
        <f>SUM(AE101:AE104)</f>
        <v/>
      </c>
      <c r="AF128" s="87">
        <f>SUM(AF101:AF104)</f>
        <v/>
      </c>
      <c r="AG128" s="87">
        <f>AG101+AG102+AG103+AG104+AG115+AG116+AG117+AG122+AG123+AG124</f>
        <v/>
      </c>
      <c r="AH128" s="87">
        <f>SUM(AH101:AH104)</f>
        <v/>
      </c>
      <c r="AI128" s="87">
        <f>SUM(AI101:AI104)</f>
        <v/>
      </c>
      <c r="AJ128" s="87">
        <f>SUM(AJ101:AJ104)</f>
        <v/>
      </c>
      <c r="AK128" s="87">
        <f>SUM(AK101:AK104)</f>
        <v/>
      </c>
      <c r="AL128" s="87">
        <f>AL101+AL102+AL103+AL104+AL115+AL116+AL117+AL122+AL123+AL124</f>
        <v/>
      </c>
      <c r="AM128" s="87">
        <f>SUM(AM101:AM104)</f>
        <v/>
      </c>
      <c r="AN128" s="87">
        <f>SUM(AN101:AN104)</f>
        <v/>
      </c>
      <c r="AO128" s="87">
        <f>SUM(AO101:AO104)</f>
        <v/>
      </c>
      <c r="AP128" s="87">
        <f>SUM(AP101:AP104)</f>
        <v/>
      </c>
      <c r="AQ128" s="87">
        <f>SUM(AQ101:AQ104)</f>
        <v/>
      </c>
      <c r="AR128" s="87">
        <f>AR101+AR102+AR103+AR104+AR115+AR116+AR117+AR122+AR123+AR124</f>
        <v/>
      </c>
      <c r="AS128" s="87">
        <f>SUM(AS101:AS104)</f>
        <v/>
      </c>
      <c r="AT128" s="87">
        <f>SUM(AT101:AT104)</f>
        <v/>
      </c>
      <c r="AU128" s="87">
        <f>SUM(AU101:AU104)</f>
        <v/>
      </c>
      <c r="AV128" s="87">
        <f>SUM(AV101:AV104)</f>
        <v/>
      </c>
      <c r="AW128" s="87">
        <f>AW101+AW102+AW103+AW104+AW115+AW116+AW117+AW122+AW123+AW124</f>
        <v/>
      </c>
      <c r="AX128" s="87">
        <f>SUM(AX101:AX104)</f>
        <v/>
      </c>
      <c r="AY128" s="87">
        <f>SUM(AY101:AY104)</f>
        <v/>
      </c>
      <c r="AZ128" s="87">
        <f>SUM(AZ101:AZ104)</f>
        <v/>
      </c>
      <c r="BA128" s="87">
        <f>SUM(BA101:BA104)</f>
        <v/>
      </c>
      <c r="BB128" s="87">
        <f>BB101+BB102+BB103+BB104+BB115+BB116+BB117+BB122+BB123+BB124</f>
        <v/>
      </c>
      <c r="BC128" s="87">
        <f>SUM(BC101:BC104)</f>
        <v/>
      </c>
      <c r="BD128" s="87">
        <f>SUM(BD101:BD104)</f>
        <v/>
      </c>
      <c r="BE128" s="87">
        <f>SUM(BE101:BE104)</f>
        <v/>
      </c>
      <c r="BF128" s="87">
        <f>SUM(BF101:BF104)</f>
        <v/>
      </c>
      <c r="BG128" s="87">
        <f>SUM(BG101:BG104)</f>
        <v/>
      </c>
      <c r="BH128" s="87">
        <f>BH101+BH102+BH103+BH104+BH115+BH116+BH117+BH122+BH123+BH124</f>
        <v/>
      </c>
      <c r="BI128" s="87">
        <f>SUM(BI101:BI104)</f>
        <v/>
      </c>
      <c r="BJ128" s="87">
        <f>SUM(BJ101:BJ104)</f>
        <v/>
      </c>
      <c r="BK128" s="87">
        <f>SUM(BK101:BK104)</f>
        <v/>
      </c>
      <c r="BL128" s="87">
        <f>SUM(BL101:BL104)</f>
        <v/>
      </c>
      <c r="BM128" s="87">
        <f>BM101+BM102+BM103+BM104+BM115+BM116+BM117+BM122+BM123+BM124</f>
        <v/>
      </c>
    </row>
    <row r="129" ht="15.75" customHeight="1"/>
    <row r="130" ht="15.75" customHeight="1">
      <c r="A130" s="532" t="inlineStr">
        <is>
          <t>GASTO DE SACOLAS E ITENS DOADOS 2026 - MENSAIS</t>
        </is>
      </c>
      <c r="B130" s="734" t="n"/>
      <c r="C130" s="734" t="n"/>
      <c r="D130" s="734" t="n"/>
      <c r="E130" s="734" t="n"/>
      <c r="F130" s="734" t="n"/>
      <c r="G130" s="734" t="n"/>
      <c r="H130" s="734" t="n"/>
      <c r="I130" s="734" t="n"/>
      <c r="J130" s="734" t="n"/>
      <c r="K130" s="734" t="n"/>
      <c r="L130" s="734" t="n"/>
      <c r="M130" s="734" t="n"/>
      <c r="N130" s="734" t="n"/>
      <c r="O130" s="734" t="n"/>
      <c r="P130" s="734" t="n"/>
      <c r="Q130" s="734" t="n"/>
      <c r="R130" s="734" t="n"/>
      <c r="S130" s="734" t="n"/>
      <c r="T130" s="734" t="n"/>
      <c r="U130" s="734" t="n"/>
      <c r="V130" s="734" t="n"/>
      <c r="W130" s="734" t="n"/>
      <c r="X130" s="734" t="n"/>
      <c r="Y130" s="734" t="n"/>
      <c r="Z130" s="734" t="n"/>
      <c r="AA130" s="734" t="n"/>
      <c r="AB130" s="734" t="n"/>
      <c r="AC130" s="734" t="n"/>
      <c r="AD130" s="734" t="n"/>
      <c r="AE130" s="734" t="n"/>
      <c r="AF130" s="734" t="n"/>
      <c r="AG130" s="734" t="n"/>
      <c r="AH130" s="734" t="n"/>
      <c r="AI130" s="734" t="n"/>
      <c r="AJ130" s="734" t="n"/>
      <c r="AK130" s="734" t="n"/>
      <c r="AL130" s="734" t="n"/>
      <c r="AM130" s="734" t="n"/>
      <c r="AN130" s="734" t="n"/>
      <c r="AO130" s="734" t="n"/>
      <c r="AP130" s="734" t="n"/>
      <c r="AQ130" s="734" t="n"/>
      <c r="AR130" s="734" t="n"/>
      <c r="AS130" s="734" t="n"/>
      <c r="AT130" s="734" t="n"/>
      <c r="AU130" s="734" t="n"/>
      <c r="AV130" s="734" t="n"/>
      <c r="AW130" s="734" t="n"/>
      <c r="AX130" s="734" t="n"/>
      <c r="AY130" s="734" t="n"/>
      <c r="AZ130" s="734" t="n"/>
      <c r="BA130" s="734" t="n"/>
      <c r="BB130" s="734" t="n"/>
      <c r="BC130" s="734" t="n"/>
      <c r="BD130" s="734" t="n"/>
      <c r="BE130" s="734" t="n"/>
      <c r="BF130" s="734" t="n"/>
      <c r="BG130" s="734" t="n"/>
      <c r="BH130" s="734" t="n"/>
      <c r="BI130" s="734" t="n"/>
      <c r="BJ130" s="734" t="n"/>
      <c r="BK130" s="734" t="n"/>
      <c r="BL130" s="734" t="n"/>
      <c r="BM130" s="734" t="n"/>
    </row>
    <row r="131" ht="15.75" customHeight="1">
      <c r="A131" s="739" t="inlineStr">
        <is>
          <t>ER PERUÍBE</t>
        </is>
      </c>
      <c r="B131" s="536" t="inlineStr">
        <is>
          <t>JANEIRO</t>
        </is>
      </c>
      <c r="C131" s="736" t="n"/>
      <c r="D131" s="736" t="n"/>
      <c r="E131" s="736" t="n"/>
      <c r="F131" s="537" t="inlineStr">
        <is>
          <t>FEVEREIRO</t>
        </is>
      </c>
      <c r="G131" s="736" t="n"/>
      <c r="H131" s="736" t="n"/>
      <c r="I131" s="736" t="n"/>
      <c r="J131" s="736" t="n"/>
      <c r="K131" s="538" t="n"/>
      <c r="L131" s="735" t="inlineStr">
        <is>
          <t>MARÇO</t>
        </is>
      </c>
      <c r="M131" s="736" t="n"/>
      <c r="N131" s="736" t="n"/>
      <c r="O131" s="736" t="n"/>
      <c r="P131" s="736" t="n"/>
      <c r="Q131" s="737" t="n"/>
      <c r="R131" s="735" t="inlineStr">
        <is>
          <t>ABRIL</t>
        </is>
      </c>
      <c r="S131" s="736" t="n"/>
      <c r="T131" s="736" t="n"/>
      <c r="U131" s="736" t="n"/>
      <c r="V131" s="737" t="n"/>
      <c r="W131" s="735" t="inlineStr">
        <is>
          <t>MAIO</t>
        </is>
      </c>
      <c r="X131" s="736" t="n"/>
      <c r="Y131" s="736" t="n"/>
      <c r="Z131" s="736" t="n"/>
      <c r="AA131" s="737" t="n"/>
      <c r="AB131" s="735" t="inlineStr">
        <is>
          <t>JUNHO</t>
        </is>
      </c>
      <c r="AC131" s="736" t="n"/>
      <c r="AD131" s="736" t="n"/>
      <c r="AE131" s="736" t="n"/>
      <c r="AF131" s="736" t="n"/>
      <c r="AG131" s="737" t="n"/>
      <c r="AH131" s="735" t="inlineStr">
        <is>
          <t>JULHO</t>
        </is>
      </c>
      <c r="AI131" s="736" t="n"/>
      <c r="AJ131" s="736" t="n"/>
      <c r="AK131" s="736" t="n"/>
      <c r="AL131" s="737" t="n"/>
      <c r="AM131" s="735" t="inlineStr">
        <is>
          <t>AGOSTO</t>
        </is>
      </c>
      <c r="AN131" s="736" t="n"/>
      <c r="AO131" s="736" t="n"/>
      <c r="AP131" s="736" t="n"/>
      <c r="AQ131" s="736" t="n"/>
      <c r="AR131" s="737" t="n"/>
      <c r="AS131" s="735" t="inlineStr">
        <is>
          <t>SETEMBRO</t>
        </is>
      </c>
      <c r="AT131" s="736" t="n"/>
      <c r="AU131" s="736" t="n"/>
      <c r="AV131" s="736" t="n"/>
      <c r="AW131" s="737" t="n"/>
      <c r="AX131" s="735" t="inlineStr">
        <is>
          <t>OUTUBRO</t>
        </is>
      </c>
      <c r="AY131" s="736" t="n"/>
      <c r="AZ131" s="736" t="n"/>
      <c r="BA131" s="736" t="n"/>
      <c r="BB131" s="737" t="n"/>
      <c r="BC131" s="735" t="inlineStr">
        <is>
          <t>NOVEMBRO</t>
        </is>
      </c>
      <c r="BD131" s="736" t="n"/>
      <c r="BE131" s="736" t="n"/>
      <c r="BF131" s="736" t="n"/>
      <c r="BG131" s="736" t="n"/>
      <c r="BH131" s="737" t="n"/>
      <c r="BI131" s="735" t="inlineStr">
        <is>
          <t>DEZEMBRO</t>
        </is>
      </c>
      <c r="BJ131" s="736" t="n"/>
      <c r="BK131" s="736" t="n"/>
      <c r="BL131" s="736" t="n"/>
      <c r="BM131" s="737" t="n"/>
    </row>
    <row r="132" ht="15.75" customHeight="1">
      <c r="A132" s="740" t="n"/>
      <c r="B132" s="78" t="n">
        <v>46027</v>
      </c>
      <c r="C132" s="78" t="n">
        <v>46034</v>
      </c>
      <c r="D132" s="78" t="n">
        <v>46041</v>
      </c>
      <c r="E132" s="78" t="n">
        <v>46048</v>
      </c>
      <c r="F132" s="85" t="inlineStr">
        <is>
          <t>USOU</t>
        </is>
      </c>
      <c r="G132" s="78" t="n">
        <v>46055</v>
      </c>
      <c r="H132" s="78" t="n">
        <v>46062</v>
      </c>
      <c r="I132" s="78" t="n">
        <v>46069</v>
      </c>
      <c r="J132" s="78" t="n">
        <v>46076</v>
      </c>
      <c r="K132" s="85" t="inlineStr">
        <is>
          <t>USOU</t>
        </is>
      </c>
      <c r="L132" s="78" t="n">
        <v>46083</v>
      </c>
      <c r="M132" s="78" t="n">
        <v>46090</v>
      </c>
      <c r="N132" s="78" t="n">
        <v>46097</v>
      </c>
      <c r="O132" s="78" t="n">
        <v>46104</v>
      </c>
      <c r="P132" s="78" t="n">
        <v>46111</v>
      </c>
      <c r="Q132" s="85" t="inlineStr">
        <is>
          <t>USOU</t>
        </is>
      </c>
      <c r="R132" s="78" t="n">
        <v>46118</v>
      </c>
      <c r="S132" s="78" t="n">
        <v>46125</v>
      </c>
      <c r="T132" s="78" t="n">
        <v>46132</v>
      </c>
      <c r="U132" s="78" t="n">
        <v>46139</v>
      </c>
      <c r="V132" s="85" t="inlineStr">
        <is>
          <t>USOU</t>
        </is>
      </c>
      <c r="W132" s="78" t="n">
        <v>46146</v>
      </c>
      <c r="X132" s="78" t="n">
        <v>46153</v>
      </c>
      <c r="Y132" s="78" t="n">
        <v>46160</v>
      </c>
      <c r="Z132" s="78" t="n">
        <v>46167</v>
      </c>
      <c r="AA132" s="85" t="inlineStr">
        <is>
          <t>USOU</t>
        </is>
      </c>
      <c r="AB132" s="78" t="n">
        <v>46174</v>
      </c>
      <c r="AC132" s="78" t="n">
        <v>46181</v>
      </c>
      <c r="AD132" s="78" t="n">
        <v>46188</v>
      </c>
      <c r="AE132" s="78" t="n">
        <v>46195</v>
      </c>
      <c r="AF132" s="78" t="n">
        <v>46202</v>
      </c>
      <c r="AG132" s="85" t="inlineStr">
        <is>
          <t>USOU</t>
        </is>
      </c>
      <c r="AH132" s="78" t="n">
        <v>46209</v>
      </c>
      <c r="AI132" s="78" t="n">
        <v>46216</v>
      </c>
      <c r="AJ132" s="78" t="n">
        <v>46223</v>
      </c>
      <c r="AK132" s="78" t="n">
        <v>46230</v>
      </c>
      <c r="AL132" s="85" t="inlineStr">
        <is>
          <t>USOU</t>
        </is>
      </c>
      <c r="AM132" s="78" t="n">
        <v>46237</v>
      </c>
      <c r="AN132" s="78" t="n">
        <v>46244</v>
      </c>
      <c r="AO132" s="78" t="n">
        <v>46251</v>
      </c>
      <c r="AP132" s="78" t="n">
        <v>46258</v>
      </c>
      <c r="AQ132" s="78" t="n">
        <v>46265</v>
      </c>
      <c r="AR132" s="85" t="inlineStr">
        <is>
          <t>USOU</t>
        </is>
      </c>
      <c r="AS132" s="78" t="n">
        <v>46272</v>
      </c>
      <c r="AT132" s="78" t="n">
        <v>46279</v>
      </c>
      <c r="AU132" s="78" t="n">
        <v>46286</v>
      </c>
      <c r="AV132" s="78" t="n">
        <v>46293</v>
      </c>
      <c r="AW132" s="85" t="inlineStr">
        <is>
          <t>USOU</t>
        </is>
      </c>
      <c r="AX132" s="78" t="n">
        <v>46300</v>
      </c>
      <c r="AY132" s="78" t="n">
        <v>46307</v>
      </c>
      <c r="AZ132" s="78" t="n">
        <v>46314</v>
      </c>
      <c r="BA132" s="78" t="n">
        <v>46321</v>
      </c>
      <c r="BB132" s="85" t="inlineStr">
        <is>
          <t>USOU</t>
        </is>
      </c>
      <c r="BC132" s="78" t="n">
        <v>46328</v>
      </c>
      <c r="BD132" s="78" t="n">
        <v>46335</v>
      </c>
      <c r="BE132" s="78" t="n">
        <v>46342</v>
      </c>
      <c r="BF132" s="78" t="n">
        <v>46349</v>
      </c>
      <c r="BG132" s="78" t="n">
        <v>46356</v>
      </c>
      <c r="BH132" s="85" t="inlineStr">
        <is>
          <t>USOU</t>
        </is>
      </c>
      <c r="BI132" s="78" t="n">
        <v>46363</v>
      </c>
      <c r="BJ132" s="78" t="n">
        <v>46370</v>
      </c>
      <c r="BK132" s="78" t="n">
        <v>46377</v>
      </c>
      <c r="BL132" s="78" t="n">
        <v>46384</v>
      </c>
      <c r="BM132" s="85" t="inlineStr">
        <is>
          <t>USOU</t>
        </is>
      </c>
    </row>
    <row r="133" ht="15.75" customHeight="1">
      <c r="A133" s="131" t="inlineStr">
        <is>
          <t>SACOLA PP VERDE</t>
        </is>
      </c>
      <c r="B133" s="80" t="n">
        <v>325</v>
      </c>
      <c r="C133" s="80" t="n">
        <v>450</v>
      </c>
      <c r="D133" s="80" t="n">
        <v>325</v>
      </c>
      <c r="E133" s="80" t="n">
        <v>325</v>
      </c>
      <c r="F133" s="81">
        <f>B133+C133+D133+E133</f>
        <v/>
      </c>
      <c r="G133" s="80" t="n">
        <v>450</v>
      </c>
      <c r="H133" s="80" t="n">
        <v>250</v>
      </c>
      <c r="I133" s="80" t="n">
        <v>0</v>
      </c>
      <c r="J133" s="80" t="n">
        <v>0</v>
      </c>
      <c r="K133" s="81">
        <f>G133+H133+I133+J133</f>
        <v/>
      </c>
      <c r="L133" s="80" t="n">
        <v>400</v>
      </c>
      <c r="M133" s="80" t="n">
        <v>400</v>
      </c>
      <c r="N133" s="80" t="n">
        <v>400</v>
      </c>
      <c r="O133" s="80" t="n">
        <v>175</v>
      </c>
      <c r="P133" s="80" t="n">
        <v>425</v>
      </c>
      <c r="Q133" s="81">
        <f>L133+M133+N133+O133+P133</f>
        <v/>
      </c>
      <c r="R133" s="80" t="n"/>
      <c r="S133" s="80" t="n"/>
      <c r="T133" s="80" t="n"/>
      <c r="U133" s="80" t="n"/>
      <c r="V133" s="81">
        <f>R133+S133+T133+U133</f>
        <v/>
      </c>
      <c r="W133" s="80" t="n">
        <v>0</v>
      </c>
      <c r="X133" s="80" t="n">
        <v>0</v>
      </c>
      <c r="Y133" s="80" t="n"/>
      <c r="Z133" s="80" t="n"/>
      <c r="AA133" s="81">
        <f>W133+X133+Y133+Z133</f>
        <v/>
      </c>
      <c r="AB133" s="80" t="n"/>
      <c r="AC133" s="80" t="n"/>
      <c r="AD133" s="80" t="n"/>
      <c r="AE133" s="80" t="n"/>
      <c r="AF133" s="80" t="n"/>
      <c r="AG133" s="81">
        <f>AB133+AC133+AD133+AE133+AF133</f>
        <v/>
      </c>
      <c r="AH133" s="80" t="n"/>
      <c r="AI133" s="80" t="n"/>
      <c r="AJ133" s="80" t="n"/>
      <c r="AK133" s="80" t="n"/>
      <c r="AL133" s="81">
        <f>AH133+AI133+AJ133+AK133</f>
        <v/>
      </c>
      <c r="AM133" s="80" t="n"/>
      <c r="AN133" s="80" t="n"/>
      <c r="AO133" s="80" t="n"/>
      <c r="AP133" s="80" t="n"/>
      <c r="AQ133" s="80" t="n"/>
      <c r="AR133" s="81">
        <f>AM133+AN133+AO133+AP133+AQ133</f>
        <v/>
      </c>
      <c r="AS133" s="80" t="n"/>
      <c r="AT133" s="80" t="n"/>
      <c r="AU133" s="80" t="n"/>
      <c r="AV133" s="80" t="n"/>
      <c r="AW133" s="81">
        <f>AS133+AT133+AU133+AV133</f>
        <v/>
      </c>
      <c r="AX133" s="80" t="n"/>
      <c r="AY133" s="80" t="n"/>
      <c r="AZ133" s="80" t="n"/>
      <c r="BA133" s="80" t="n"/>
      <c r="BB133" s="81">
        <f>AX133+AY133+AZ133+BA133</f>
        <v/>
      </c>
      <c r="BC133" s="80" t="n"/>
      <c r="BD133" s="80" t="n"/>
      <c r="BE133" s="80" t="n"/>
      <c r="BF133" s="80" t="n"/>
      <c r="BG133" s="80" t="n"/>
      <c r="BH133" s="81">
        <f>BC133+BD133+BE133+BF133+BG133</f>
        <v/>
      </c>
      <c r="BI133" s="80" t="n"/>
      <c r="BJ133" s="80" t="n"/>
      <c r="BK133" s="80" t="n"/>
      <c r="BL133" s="80" t="n"/>
      <c r="BM133" s="81">
        <f>BI133+BJ133+BK133+BL133</f>
        <v/>
      </c>
    </row>
    <row r="134" ht="15.75" customHeight="1">
      <c r="A134" s="82" t="inlineStr">
        <is>
          <t>SACOLA P VERDE</t>
        </is>
      </c>
      <c r="B134" s="80" t="n">
        <v>50</v>
      </c>
      <c r="C134" s="80" t="n">
        <v>500</v>
      </c>
      <c r="D134" s="80" t="n">
        <v>700</v>
      </c>
      <c r="E134" s="80" t="n">
        <v>250</v>
      </c>
      <c r="F134" s="81">
        <f>B134+C134+D134+E134</f>
        <v/>
      </c>
      <c r="G134" s="80" t="n">
        <v>1075</v>
      </c>
      <c r="H134" s="80" t="n">
        <v>225</v>
      </c>
      <c r="I134" s="80" t="n">
        <v>350</v>
      </c>
      <c r="J134" s="80" t="n">
        <v>350</v>
      </c>
      <c r="K134" s="81">
        <f>G134+H134+I134+J134</f>
        <v/>
      </c>
      <c r="L134" s="80" t="n">
        <v>375</v>
      </c>
      <c r="M134" s="80" t="n">
        <v>475</v>
      </c>
      <c r="N134" s="80" t="n">
        <v>550</v>
      </c>
      <c r="O134" s="80" t="n">
        <v>250</v>
      </c>
      <c r="P134" s="80" t="n">
        <v>400</v>
      </c>
      <c r="Q134" s="81">
        <f>L134+M134+N134+O134+P134</f>
        <v/>
      </c>
      <c r="R134" s="80" t="n"/>
      <c r="S134" s="80" t="n"/>
      <c r="T134" s="80" t="n"/>
      <c r="U134" s="80" t="n"/>
      <c r="V134" s="81">
        <f>R134+S134+T134+U134</f>
        <v/>
      </c>
      <c r="W134" s="80" t="n">
        <v>400</v>
      </c>
      <c r="X134" s="80" t="n">
        <v>400</v>
      </c>
      <c r="Y134" s="80" t="n"/>
      <c r="Z134" s="80" t="n"/>
      <c r="AA134" s="81">
        <f>W134+X134+Y134+Z134</f>
        <v/>
      </c>
      <c r="AB134" s="80" t="n"/>
      <c r="AC134" s="80" t="n"/>
      <c r="AD134" s="80" t="n"/>
      <c r="AE134" s="80" t="n"/>
      <c r="AF134" s="80" t="n"/>
      <c r="AG134" s="81">
        <f>AB134+AC134+AD134+AE134+AF134</f>
        <v/>
      </c>
      <c r="AH134" s="80" t="n"/>
      <c r="AI134" s="80" t="n"/>
      <c r="AJ134" s="80" t="n"/>
      <c r="AK134" s="80" t="n"/>
      <c r="AL134" s="81">
        <f>AH134+AI134+AJ134+AK134</f>
        <v/>
      </c>
      <c r="AM134" s="80" t="n"/>
      <c r="AN134" s="80" t="n"/>
      <c r="AO134" s="80" t="n"/>
      <c r="AP134" s="80" t="n"/>
      <c r="AQ134" s="80" t="n"/>
      <c r="AR134" s="81">
        <f>AM134+AN134+AO134+AP134+AQ134</f>
        <v/>
      </c>
      <c r="AS134" s="80" t="n"/>
      <c r="AT134" s="80" t="n"/>
      <c r="AU134" s="80" t="n"/>
      <c r="AV134" s="80" t="n"/>
      <c r="AW134" s="81">
        <f>AS134+AT134+AU134+AV134</f>
        <v/>
      </c>
      <c r="AX134" s="80" t="n"/>
      <c r="AY134" s="80" t="n"/>
      <c r="AZ134" s="80" t="n"/>
      <c r="BA134" s="80" t="n"/>
      <c r="BB134" s="81">
        <f>AX134+AY134+AZ134+BA134</f>
        <v/>
      </c>
      <c r="BC134" s="80" t="n"/>
      <c r="BD134" s="80" t="n"/>
      <c r="BE134" s="80" t="n"/>
      <c r="BF134" s="80" t="n"/>
      <c r="BG134" s="80" t="n"/>
      <c r="BH134" s="81">
        <f>BC134+BD134+BE134+BF134+BG134</f>
        <v/>
      </c>
      <c r="BI134" s="80" t="n"/>
      <c r="BJ134" s="80" t="n"/>
      <c r="BK134" s="80" t="n"/>
      <c r="BL134" s="80" t="n"/>
      <c r="BM134" s="81">
        <f>BI134+BJ134+BK134+BL134</f>
        <v/>
      </c>
    </row>
    <row r="135" ht="15.75" customHeight="1">
      <c r="A135" s="82" t="inlineStr">
        <is>
          <t>SACOLA M VERDE</t>
        </is>
      </c>
      <c r="B135" s="80" t="n">
        <v>25</v>
      </c>
      <c r="C135" s="80" t="n">
        <v>25</v>
      </c>
      <c r="D135" s="80" t="n">
        <v>25</v>
      </c>
      <c r="E135" s="80" t="n">
        <v>25</v>
      </c>
      <c r="F135" s="81">
        <f>B135+C135+D135+E135</f>
        <v/>
      </c>
      <c r="G135" s="80" t="n">
        <v>50</v>
      </c>
      <c r="H135" s="80" t="n">
        <v>75</v>
      </c>
      <c r="I135" s="80" t="n">
        <v>125</v>
      </c>
      <c r="J135" s="80" t="n">
        <v>0</v>
      </c>
      <c r="K135" s="81">
        <f>G135+H135+I135+J135</f>
        <v/>
      </c>
      <c r="L135" s="80" t="n">
        <v>75</v>
      </c>
      <c r="M135" s="80" t="n">
        <v>325</v>
      </c>
      <c r="N135" s="80" t="n">
        <v>75</v>
      </c>
      <c r="O135" s="80" t="n">
        <v>150</v>
      </c>
      <c r="P135" s="80" t="n">
        <v>50</v>
      </c>
      <c r="Q135" s="81">
        <f>L135+M135+N135+O135+P135</f>
        <v/>
      </c>
      <c r="R135" s="80" t="n"/>
      <c r="S135" s="80" t="n"/>
      <c r="T135" s="80" t="n"/>
      <c r="U135" s="80" t="n"/>
      <c r="V135" s="81">
        <f>R135+S135+T135+U135</f>
        <v/>
      </c>
      <c r="W135" s="80" t="n">
        <v>75</v>
      </c>
      <c r="X135" s="80" t="n">
        <v>125</v>
      </c>
      <c r="Y135" s="80" t="n"/>
      <c r="Z135" s="80" t="n"/>
      <c r="AA135" s="81">
        <f>W135+X135+Y135+Z135</f>
        <v/>
      </c>
      <c r="AB135" s="80" t="n"/>
      <c r="AC135" s="80" t="n"/>
      <c r="AD135" s="80" t="n"/>
      <c r="AE135" s="80" t="n"/>
      <c r="AF135" s="80" t="n"/>
      <c r="AG135" s="81">
        <f>AB135+AC135+AD135+AE135+AF135</f>
        <v/>
      </c>
      <c r="AH135" s="80" t="n"/>
      <c r="AI135" s="80" t="n"/>
      <c r="AJ135" s="80" t="n"/>
      <c r="AK135" s="80" t="n"/>
      <c r="AL135" s="81">
        <f>AH135+AI135+AJ135+AK135</f>
        <v/>
      </c>
      <c r="AM135" s="80" t="n"/>
      <c r="AN135" s="80" t="n"/>
      <c r="AO135" s="80" t="n"/>
      <c r="AP135" s="80" t="n"/>
      <c r="AQ135" s="80" t="n"/>
      <c r="AR135" s="81">
        <f>AM135+AN135+AO135+AP135+AQ135</f>
        <v/>
      </c>
      <c r="AS135" s="80" t="n"/>
      <c r="AT135" s="80" t="n"/>
      <c r="AU135" s="80" t="n"/>
      <c r="AV135" s="80" t="n"/>
      <c r="AW135" s="81">
        <f>AS135+AT135+AU135+AV135</f>
        <v/>
      </c>
      <c r="AX135" s="80" t="n"/>
      <c r="AY135" s="80" t="n"/>
      <c r="AZ135" s="80" t="n"/>
      <c r="BA135" s="80" t="n"/>
      <c r="BB135" s="81">
        <f>AX135+AY135+AZ135+BA135</f>
        <v/>
      </c>
      <c r="BC135" s="80" t="n"/>
      <c r="BD135" s="80" t="n"/>
      <c r="BE135" s="80" t="n"/>
      <c r="BF135" s="80" t="n"/>
      <c r="BG135" s="80" t="n"/>
      <c r="BH135" s="81">
        <f>BC135+BD135+BE135+BF135+BG135</f>
        <v/>
      </c>
      <c r="BI135" s="80" t="n"/>
      <c r="BJ135" s="80" t="n"/>
      <c r="BK135" s="80" t="n"/>
      <c r="BL135" s="80" t="n"/>
      <c r="BM135" s="81">
        <f>BI135+BJ135+BK135+BL135</f>
        <v/>
      </c>
    </row>
    <row r="136" ht="15.75" customHeight="1">
      <c r="A136" s="83" t="inlineStr">
        <is>
          <t>SACOLA G VERDE</t>
        </is>
      </c>
      <c r="B136" s="80" t="n">
        <v>0</v>
      </c>
      <c r="C136" s="80" t="n">
        <v>0</v>
      </c>
      <c r="D136" s="80" t="n">
        <v>0</v>
      </c>
      <c r="E136" s="80" t="n">
        <v>650</v>
      </c>
      <c r="F136" s="81">
        <f>B136+C136+D136+E136</f>
        <v/>
      </c>
      <c r="G136" s="80" t="n">
        <v>0</v>
      </c>
      <c r="H136" s="80" t="n">
        <v>25</v>
      </c>
      <c r="I136" s="80" t="n">
        <v>0</v>
      </c>
      <c r="J136" s="80" t="n">
        <v>0</v>
      </c>
      <c r="K136" s="81">
        <f>G136+H136+I136+J136</f>
        <v/>
      </c>
      <c r="L136" s="80" t="n">
        <v>50</v>
      </c>
      <c r="M136" s="80" t="n">
        <v>0</v>
      </c>
      <c r="N136" s="80" t="n">
        <v>50</v>
      </c>
      <c r="O136" s="80" t="n">
        <v>25</v>
      </c>
      <c r="P136" s="80" t="n">
        <v>0</v>
      </c>
      <c r="Q136" s="81">
        <f>L136+M136+N136+O136+P136</f>
        <v/>
      </c>
      <c r="R136" s="80" t="n"/>
      <c r="S136" s="80" t="n"/>
      <c r="T136" s="80" t="n"/>
      <c r="U136" s="80" t="n"/>
      <c r="V136" s="81">
        <f>R136+S136+T136+U136</f>
        <v/>
      </c>
      <c r="W136" s="80" t="n">
        <v>0</v>
      </c>
      <c r="X136" s="80" t="n">
        <v>175</v>
      </c>
      <c r="Y136" s="80" t="n"/>
      <c r="Z136" s="80" t="n"/>
      <c r="AA136" s="81">
        <f>W136+X136+Y136+Z136</f>
        <v/>
      </c>
      <c r="AB136" s="80" t="n"/>
      <c r="AC136" s="80" t="n"/>
      <c r="AD136" s="80" t="n"/>
      <c r="AE136" s="80" t="n"/>
      <c r="AF136" s="80" t="n"/>
      <c r="AG136" s="81">
        <f>AB136+AC136+AD136+AE136+AF136</f>
        <v/>
      </c>
      <c r="AH136" s="80" t="n"/>
      <c r="AI136" s="80" t="n"/>
      <c r="AJ136" s="80" t="n"/>
      <c r="AK136" s="80" t="n"/>
      <c r="AL136" s="81">
        <f>AH136+AI136+AJ136+AK136</f>
        <v/>
      </c>
      <c r="AM136" s="80" t="n"/>
      <c r="AN136" s="80" t="n"/>
      <c r="AO136" s="80" t="n"/>
      <c r="AP136" s="80" t="n"/>
      <c r="AQ136" s="80" t="n"/>
      <c r="AR136" s="81">
        <f>AM136+AN136+AO136+AP136+AQ136</f>
        <v/>
      </c>
      <c r="AS136" s="80" t="n"/>
      <c r="AT136" s="80" t="n"/>
      <c r="AU136" s="80" t="n"/>
      <c r="AV136" s="80" t="n"/>
      <c r="AW136" s="81">
        <f>AS136+AT136+AU136+AV136</f>
        <v/>
      </c>
      <c r="AX136" s="80" t="n"/>
      <c r="AY136" s="80" t="n"/>
      <c r="AZ136" s="80" t="n"/>
      <c r="BA136" s="80" t="n"/>
      <c r="BB136" s="81">
        <f>AX136+AY136+AZ136+BA136</f>
        <v/>
      </c>
      <c r="BC136" s="80" t="n"/>
      <c r="BD136" s="80" t="n"/>
      <c r="BE136" s="80" t="n"/>
      <c r="BF136" s="80" t="n"/>
      <c r="BG136" s="80" t="n"/>
      <c r="BH136" s="81">
        <f>BC136+BD136+BE136+BF136+BG136</f>
        <v/>
      </c>
      <c r="BI136" s="80" t="n"/>
      <c r="BJ136" s="80" t="n"/>
      <c r="BK136" s="80" t="n"/>
      <c r="BL136" s="80" t="n"/>
      <c r="BM136" s="81">
        <f>BI136+BJ136+BK136+BL136</f>
        <v/>
      </c>
    </row>
    <row r="137" ht="15.75" customHeight="1">
      <c r="A137" s="213" t="inlineStr">
        <is>
          <t>SACOLA KRAFT M PARDA</t>
        </is>
      </c>
      <c r="B137" s="151" t="n">
        <v>150</v>
      </c>
      <c r="C137" s="80" t="n">
        <v>0</v>
      </c>
      <c r="D137" s="80" t="n">
        <v>125</v>
      </c>
      <c r="E137" s="80" t="n">
        <v>100</v>
      </c>
      <c r="F137" s="81">
        <f>B137+C137+D137+E137</f>
        <v/>
      </c>
      <c r="G137" s="80" t="n">
        <v>50</v>
      </c>
      <c r="H137" s="80" t="n">
        <v>150</v>
      </c>
      <c r="I137" s="80" t="n">
        <v>150</v>
      </c>
      <c r="J137" s="80" t="n">
        <v>0</v>
      </c>
      <c r="K137" s="81">
        <f>G137+H137+I137+J137</f>
        <v/>
      </c>
      <c r="L137" s="80" t="n">
        <v>50</v>
      </c>
      <c r="M137" s="80" t="n">
        <v>100</v>
      </c>
      <c r="N137" s="80" t="n">
        <v>125</v>
      </c>
      <c r="O137" s="80" t="n">
        <v>50</v>
      </c>
      <c r="P137" s="80" t="n">
        <v>150</v>
      </c>
      <c r="Q137" s="81">
        <f>L137+M137+N137+O137+P137</f>
        <v/>
      </c>
      <c r="R137" s="80" t="n"/>
      <c r="S137" s="80" t="n"/>
      <c r="T137" s="80" t="n"/>
      <c r="U137" s="80" t="n"/>
      <c r="V137" s="81">
        <f>R137+S137+T137+U137</f>
        <v/>
      </c>
      <c r="W137" s="80" t="n">
        <v>0</v>
      </c>
      <c r="X137" s="80" t="n">
        <v>50</v>
      </c>
      <c r="Y137" s="80" t="n"/>
      <c r="Z137" s="80" t="n"/>
      <c r="AA137" s="81">
        <f>W137+X137+Y137+Z137</f>
        <v/>
      </c>
      <c r="AB137" s="80" t="n"/>
      <c r="AC137" s="80" t="n"/>
      <c r="AD137" s="80" t="n"/>
      <c r="AE137" s="80" t="n"/>
      <c r="AF137" s="80" t="n"/>
      <c r="AG137" s="81">
        <f>AB137+AC137+AD137+AE137+AF137</f>
        <v/>
      </c>
      <c r="AH137" s="80" t="n"/>
      <c r="AI137" s="80" t="n"/>
      <c r="AJ137" s="80" t="n"/>
      <c r="AK137" s="80" t="n"/>
      <c r="AL137" s="81">
        <f>AH137+AI137+AJ137+AK137</f>
        <v/>
      </c>
      <c r="AM137" s="80" t="n"/>
      <c r="AN137" s="80" t="n"/>
      <c r="AO137" s="80" t="n"/>
      <c r="AP137" s="80" t="n"/>
      <c r="AQ137" s="80" t="n"/>
      <c r="AR137" s="81">
        <f>AM137+AN137+AO137+AP137+AQ137</f>
        <v/>
      </c>
      <c r="AS137" s="80" t="n"/>
      <c r="AT137" s="80" t="n"/>
      <c r="AU137" s="80" t="n"/>
      <c r="AV137" s="80" t="n"/>
      <c r="AW137" s="81">
        <f>AS137+AT137+AU137+AV137</f>
        <v/>
      </c>
      <c r="AX137" s="80" t="n"/>
      <c r="AY137" s="80" t="n"/>
      <c r="AZ137" s="80" t="n"/>
      <c r="BA137" s="80" t="n"/>
      <c r="BB137" s="81">
        <f>AX137+AY137+AZ137+BA137</f>
        <v/>
      </c>
      <c r="BC137" s="80" t="n"/>
      <c r="BD137" s="80" t="n"/>
      <c r="BE137" s="80" t="n"/>
      <c r="BF137" s="80" t="n"/>
      <c r="BG137" s="80" t="n"/>
      <c r="BH137" s="81">
        <f>BC137+BD137+BE137+BF137+BG137</f>
        <v/>
      </c>
      <c r="BI137" s="80" t="n"/>
      <c r="BJ137" s="80" t="n"/>
      <c r="BK137" s="80" t="n"/>
      <c r="BL137" s="80" t="n"/>
      <c r="BM137" s="81">
        <f>BI137+BJ137+BK137+BL137</f>
        <v/>
      </c>
    </row>
    <row r="138" ht="15.75" customHeight="1">
      <c r="A138" s="213" t="inlineStr">
        <is>
          <t>SACOLA KRAFT G PARDA</t>
        </is>
      </c>
      <c r="B138" s="151" t="n">
        <v>75</v>
      </c>
      <c r="C138" s="80" t="n">
        <v>50</v>
      </c>
      <c r="D138" s="80" t="n">
        <v>0</v>
      </c>
      <c r="E138" s="80" t="n">
        <v>75</v>
      </c>
      <c r="F138" s="81">
        <f>B138+C138+D138+E138</f>
        <v/>
      </c>
      <c r="G138" s="80" t="n">
        <v>75</v>
      </c>
      <c r="H138" s="80" t="n">
        <v>75</v>
      </c>
      <c r="I138" s="80" t="n">
        <v>25</v>
      </c>
      <c r="J138" s="80" t="n">
        <v>50</v>
      </c>
      <c r="K138" s="81">
        <f>G138+H138+I138+J138</f>
        <v/>
      </c>
      <c r="L138" s="80" t="n">
        <v>25</v>
      </c>
      <c r="M138" s="80" t="n">
        <v>75</v>
      </c>
      <c r="N138" s="80" t="n">
        <v>50</v>
      </c>
      <c r="O138" s="80" t="n">
        <v>0</v>
      </c>
      <c r="P138" s="80" t="n">
        <v>50</v>
      </c>
      <c r="Q138" s="81">
        <f>L138+M138+N138+O138+P138</f>
        <v/>
      </c>
      <c r="R138" s="80" t="n"/>
      <c r="S138" s="80" t="n"/>
      <c r="T138" s="80" t="n"/>
      <c r="U138" s="80" t="n"/>
      <c r="V138" s="81">
        <f>R138+S138+T138+U138</f>
        <v/>
      </c>
      <c r="W138" s="80" t="n">
        <v>0</v>
      </c>
      <c r="X138" s="80" t="n">
        <v>150</v>
      </c>
      <c r="Y138" s="80" t="n"/>
      <c r="Z138" s="80" t="n"/>
      <c r="AA138" s="81">
        <f>W138+X138+Y138+Z138</f>
        <v/>
      </c>
      <c r="AB138" s="80" t="n"/>
      <c r="AC138" s="80" t="n"/>
      <c r="AD138" s="80" t="n"/>
      <c r="AE138" s="80" t="n"/>
      <c r="AF138" s="80" t="n"/>
      <c r="AG138" s="81">
        <f>AB138+AC138+AD138+AE138+AF138</f>
        <v/>
      </c>
      <c r="AH138" s="80" t="n"/>
      <c r="AI138" s="80" t="n"/>
      <c r="AJ138" s="80" t="n"/>
      <c r="AK138" s="80" t="n"/>
      <c r="AL138" s="81">
        <f>AH138+AI138+AJ138+AK138</f>
        <v/>
      </c>
      <c r="AM138" s="80" t="n"/>
      <c r="AN138" s="80" t="n"/>
      <c r="AO138" s="80" t="n"/>
      <c r="AP138" s="80" t="n"/>
      <c r="AQ138" s="80" t="n"/>
      <c r="AR138" s="81">
        <f>AM138+AN138+AO138+AP138+AQ138</f>
        <v/>
      </c>
      <c r="AS138" s="80" t="n"/>
      <c r="AT138" s="80" t="n"/>
      <c r="AU138" s="80" t="n"/>
      <c r="AV138" s="80" t="n"/>
      <c r="AW138" s="81">
        <f>AS138+AT138+AU138+AV138</f>
        <v/>
      </c>
      <c r="AX138" s="80" t="n"/>
      <c r="AY138" s="80" t="n"/>
      <c r="AZ138" s="80" t="n"/>
      <c r="BA138" s="80" t="n"/>
      <c r="BB138" s="81">
        <f>AX138+AY138+AZ138+BA138</f>
        <v/>
      </c>
      <c r="BC138" s="80" t="n"/>
      <c r="BD138" s="80" t="n"/>
      <c r="BE138" s="80" t="n"/>
      <c r="BF138" s="80" t="n"/>
      <c r="BG138" s="80" t="n"/>
      <c r="BH138" s="81">
        <f>BC138+BD138+BE138+BF138+BG138</f>
        <v/>
      </c>
      <c r="BI138" s="80" t="n"/>
      <c r="BJ138" s="80" t="n"/>
      <c r="BK138" s="80" t="n"/>
      <c r="BL138" s="80" t="n"/>
      <c r="BM138" s="81">
        <f>BI138+BJ138+BK138+BL138</f>
        <v/>
      </c>
    </row>
    <row r="139" ht="15.75" customHeight="1">
      <c r="A139" s="84" t="inlineStr">
        <is>
          <t>PAPEL DE SEDA</t>
        </is>
      </c>
      <c r="B139" s="151" t="n">
        <v>0</v>
      </c>
      <c r="C139" s="80" t="n">
        <v>0</v>
      </c>
      <c r="D139" s="80" t="n">
        <v>0</v>
      </c>
      <c r="E139" s="80" t="n">
        <v>5</v>
      </c>
      <c r="F139" s="81">
        <f>B139+C139+D139+E139</f>
        <v/>
      </c>
      <c r="G139" s="80" t="n">
        <v>0</v>
      </c>
      <c r="H139" s="80" t="n">
        <v>0</v>
      </c>
      <c r="I139" s="80" t="n">
        <v>0</v>
      </c>
      <c r="J139" s="80" t="n">
        <v>0</v>
      </c>
      <c r="K139" s="81">
        <f>G139+H139+I139+J139</f>
        <v/>
      </c>
      <c r="L139" s="80" t="n">
        <v>0</v>
      </c>
      <c r="M139" s="80" t="n">
        <v>0</v>
      </c>
      <c r="N139" s="80" t="n">
        <v>0</v>
      </c>
      <c r="O139" s="80" t="n">
        <v>0</v>
      </c>
      <c r="P139" s="80" t="n">
        <v>0</v>
      </c>
      <c r="Q139" s="81">
        <f>L139+M139+N139+O139+P139</f>
        <v/>
      </c>
      <c r="R139" s="80" t="n"/>
      <c r="S139" s="80" t="n"/>
      <c r="T139" s="80" t="n"/>
      <c r="U139" s="80" t="n"/>
      <c r="V139" s="81">
        <f>R139+S139+T139+U139</f>
        <v/>
      </c>
      <c r="W139" s="80" t="n">
        <v>0</v>
      </c>
      <c r="X139" s="80" t="n">
        <v>0</v>
      </c>
      <c r="Y139" s="80" t="n"/>
      <c r="Z139" s="80" t="n"/>
      <c r="AA139" s="81">
        <f>W139+X139+Y139+Z139</f>
        <v/>
      </c>
      <c r="AB139" s="80" t="n"/>
      <c r="AC139" s="80" t="n"/>
      <c r="AD139" s="80" t="n"/>
      <c r="AE139" s="80" t="n"/>
      <c r="AF139" s="80" t="n"/>
      <c r="AG139" s="81">
        <f>AB139+AC139+AD139+AE139+AF139</f>
        <v/>
      </c>
      <c r="AH139" s="80" t="n"/>
      <c r="AI139" s="80" t="n"/>
      <c r="AJ139" s="80" t="n"/>
      <c r="AK139" s="80" t="n"/>
      <c r="AL139" s="81">
        <f>AH139+AI139+AJ139+AK139</f>
        <v/>
      </c>
      <c r="AM139" s="80" t="n"/>
      <c r="AN139" s="80" t="n"/>
      <c r="AO139" s="80" t="n"/>
      <c r="AP139" s="80" t="n"/>
      <c r="AQ139" s="80" t="n"/>
      <c r="AR139" s="81">
        <f>AM139+AN139+AO139+AP139+AQ139</f>
        <v/>
      </c>
      <c r="AS139" s="80" t="n"/>
      <c r="AT139" s="80" t="n"/>
      <c r="AU139" s="80" t="n"/>
      <c r="AV139" s="80" t="n"/>
      <c r="AW139" s="81">
        <f>AS139+AT139+AU139+AV139</f>
        <v/>
      </c>
      <c r="AX139" s="80" t="n"/>
      <c r="AY139" s="80" t="n"/>
      <c r="AZ139" s="80" t="n"/>
      <c r="BA139" s="80" t="n"/>
      <c r="BB139" s="81">
        <f>AX139+AY139+AZ139+BA139</f>
        <v/>
      </c>
      <c r="BC139" s="80" t="n"/>
      <c r="BD139" s="80" t="n"/>
      <c r="BE139" s="80" t="n"/>
      <c r="BF139" s="80" t="n"/>
      <c r="BG139" s="80" t="n"/>
      <c r="BH139" s="81">
        <f>BC139+BD139+BE139+BF139+BG139</f>
        <v/>
      </c>
      <c r="BI139" s="80" t="n"/>
      <c r="BJ139" s="80" t="n"/>
      <c r="BK139" s="80" t="n"/>
      <c r="BL139" s="80" t="n"/>
      <c r="BM139" s="81">
        <f>BI139+BJ139+BK139+BL139</f>
        <v/>
      </c>
    </row>
    <row r="140" ht="15.75" customHeight="1">
      <c r="A140" s="84" t="inlineStr">
        <is>
          <t>ETIQUETA</t>
        </is>
      </c>
      <c r="B140" s="151" t="n">
        <v>0</v>
      </c>
      <c r="C140" s="80" t="n">
        <v>1</v>
      </c>
      <c r="D140" s="80" t="n">
        <v>0</v>
      </c>
      <c r="E140" s="80" t="n">
        <v>0</v>
      </c>
      <c r="F140" s="81">
        <f>B140+C140+D140+E140</f>
        <v/>
      </c>
      <c r="G140" s="80" t="n">
        <v>0</v>
      </c>
      <c r="H140" s="80" t="n">
        <v>0</v>
      </c>
      <c r="I140" s="80" t="n">
        <v>0</v>
      </c>
      <c r="J140" s="80" t="n">
        <v>0</v>
      </c>
      <c r="K140" s="81">
        <f>G140+H140+I140+J140</f>
        <v/>
      </c>
      <c r="L140" s="80" t="n">
        <v>0</v>
      </c>
      <c r="M140" s="80" t="n">
        <v>0</v>
      </c>
      <c r="N140" s="80" t="n">
        <v>0</v>
      </c>
      <c r="O140" s="80" t="n">
        <v>0</v>
      </c>
      <c r="P140" s="80" t="n">
        <v>0</v>
      </c>
      <c r="Q140" s="81">
        <f>L140+M140+N140+O140+P140</f>
        <v/>
      </c>
      <c r="R140" s="80" t="n"/>
      <c r="S140" s="80" t="n"/>
      <c r="T140" s="80" t="n"/>
      <c r="U140" s="80" t="n"/>
      <c r="V140" s="81">
        <f>R140+S140+T140+U140</f>
        <v/>
      </c>
      <c r="W140" s="80" t="n">
        <v>0</v>
      </c>
      <c r="X140" s="80" t="n">
        <v>0</v>
      </c>
      <c r="Y140" s="80" t="n"/>
      <c r="Z140" s="80" t="n"/>
      <c r="AA140" s="81">
        <f>W140+X140+Y140+Z140</f>
        <v/>
      </c>
      <c r="AB140" s="80" t="n"/>
      <c r="AC140" s="80" t="n"/>
      <c r="AD140" s="80" t="n"/>
      <c r="AE140" s="80" t="n"/>
      <c r="AF140" s="80" t="n"/>
      <c r="AG140" s="81">
        <f>AB140+AC140+AD140+AE140+AF140</f>
        <v/>
      </c>
      <c r="AH140" s="80" t="n"/>
      <c r="AI140" s="80" t="n"/>
      <c r="AJ140" s="80" t="n"/>
      <c r="AK140" s="80" t="n"/>
      <c r="AL140" s="81">
        <f>AH140+AI140+AJ140+AK140</f>
        <v/>
      </c>
      <c r="AM140" s="80" t="n"/>
      <c r="AN140" s="80" t="n"/>
      <c r="AO140" s="80" t="n"/>
      <c r="AP140" s="80" t="n"/>
      <c r="AQ140" s="80" t="n"/>
      <c r="AR140" s="81">
        <f>AM140+AN140+AO140+AP140+AQ140</f>
        <v/>
      </c>
      <c r="AS140" s="80" t="n"/>
      <c r="AT140" s="80" t="n"/>
      <c r="AU140" s="80" t="n"/>
      <c r="AV140" s="80" t="n"/>
      <c r="AW140" s="81">
        <f>AS140+AT140+AU140+AV140</f>
        <v/>
      </c>
      <c r="AX140" s="80" t="n"/>
      <c r="AY140" s="80" t="n"/>
      <c r="AZ140" s="80" t="n"/>
      <c r="BA140" s="80" t="n"/>
      <c r="BB140" s="81">
        <f>AX140+AY140+AZ140+BA140</f>
        <v/>
      </c>
      <c r="BC140" s="80" t="n"/>
      <c r="BD140" s="80" t="n"/>
      <c r="BE140" s="80" t="n"/>
      <c r="BF140" s="80" t="n"/>
      <c r="BG140" s="80" t="n"/>
      <c r="BH140" s="81">
        <f>BC140+BD140+BE140+BF140+BG140</f>
        <v/>
      </c>
      <c r="BI140" s="80" t="n"/>
      <c r="BJ140" s="80" t="n"/>
      <c r="BK140" s="80" t="n"/>
      <c r="BL140" s="80" t="n"/>
      <c r="BM140" s="81">
        <f>BI140+BJ140+BK140+BL140</f>
        <v/>
      </c>
    </row>
    <row r="141" ht="15.75" customHeight="1">
      <c r="A141" s="84" t="inlineStr">
        <is>
          <t>TAG</t>
        </is>
      </c>
      <c r="B141" s="151" t="n">
        <v>0</v>
      </c>
      <c r="C141" s="80" t="n">
        <v>0</v>
      </c>
      <c r="D141" s="80" t="n">
        <v>0</v>
      </c>
      <c r="E141" s="80" t="n">
        <v>0</v>
      </c>
      <c r="F141" s="81">
        <f>B141+C141+D141+E141</f>
        <v/>
      </c>
      <c r="G141" s="80" t="n">
        <v>0</v>
      </c>
      <c r="H141" s="80" t="n">
        <v>0</v>
      </c>
      <c r="I141" s="80" t="n">
        <v>0</v>
      </c>
      <c r="J141" s="80" t="n">
        <v>0</v>
      </c>
      <c r="K141" s="81">
        <f>G141+H141+I141+J141</f>
        <v/>
      </c>
      <c r="L141" s="80" t="n">
        <v>1</v>
      </c>
      <c r="M141" s="80" t="n">
        <v>0</v>
      </c>
      <c r="N141" s="80" t="n">
        <v>0</v>
      </c>
      <c r="O141" s="80" t="n">
        <v>0</v>
      </c>
      <c r="P141" s="80" t="n">
        <v>0</v>
      </c>
      <c r="Q141" s="81">
        <f>L141+M141+N141+O141+P141</f>
        <v/>
      </c>
      <c r="R141" s="80" t="n"/>
      <c r="S141" s="80" t="n"/>
      <c r="T141" s="80" t="n"/>
      <c r="U141" s="80" t="n"/>
      <c r="V141" s="81">
        <f>R141+S141+T141+U141</f>
        <v/>
      </c>
      <c r="W141" s="80" t="n">
        <v>0</v>
      </c>
      <c r="X141" s="80" t="n">
        <v>0</v>
      </c>
      <c r="Y141" s="80" t="n"/>
      <c r="Z141" s="80" t="n"/>
      <c r="AA141" s="81">
        <f>W141+X141+Y141+Z141</f>
        <v/>
      </c>
      <c r="AB141" s="80" t="n"/>
      <c r="AC141" s="80" t="n"/>
      <c r="AD141" s="80" t="n"/>
      <c r="AE141" s="80" t="n"/>
      <c r="AF141" s="80" t="n"/>
      <c r="AG141" s="81">
        <f>AB141+AC141+AD141+AE141+AF141</f>
        <v/>
      </c>
      <c r="AH141" s="80" t="n"/>
      <c r="AI141" s="80" t="n"/>
      <c r="AJ141" s="80" t="n"/>
      <c r="AK141" s="80" t="n"/>
      <c r="AL141" s="81">
        <f>AH141+AI141+AJ141+AK141</f>
        <v/>
      </c>
      <c r="AM141" s="80" t="n"/>
      <c r="AN141" s="80" t="n"/>
      <c r="AO141" s="80" t="n"/>
      <c r="AP141" s="80" t="n"/>
      <c r="AQ141" s="80" t="n"/>
      <c r="AR141" s="81">
        <f>AM141+AN141+AO141+AP141+AQ141</f>
        <v/>
      </c>
      <c r="AS141" s="80" t="n"/>
      <c r="AT141" s="80" t="n"/>
      <c r="AU141" s="80" t="n"/>
      <c r="AV141" s="80" t="n"/>
      <c r="AW141" s="81">
        <f>AS141+AT141+AU141+AV141</f>
        <v/>
      </c>
      <c r="AX141" s="80" t="n"/>
      <c r="AY141" s="80" t="n"/>
      <c r="AZ141" s="80" t="n"/>
      <c r="BA141" s="80" t="n"/>
      <c r="BB141" s="81">
        <f>AX141+AY141+AZ141+BA141</f>
        <v/>
      </c>
      <c r="BC141" s="80" t="n"/>
      <c r="BD141" s="80" t="n"/>
      <c r="BE141" s="80" t="n"/>
      <c r="BF141" s="80" t="n"/>
      <c r="BG141" s="80" t="n"/>
      <c r="BH141" s="81">
        <f>BC141+BD141+BE141+BF141+BG141</f>
        <v/>
      </c>
      <c r="BI141" s="80" t="n"/>
      <c r="BJ141" s="80" t="n"/>
      <c r="BK141" s="80" t="n"/>
      <c r="BL141" s="80" t="n"/>
      <c r="BM141" s="81">
        <f>BI141+BJ141+BK141+BL141</f>
        <v/>
      </c>
    </row>
    <row r="142" ht="15.75" customHeight="1">
      <c r="A142" s="84" t="inlineStr">
        <is>
          <t>LÂMINA</t>
        </is>
      </c>
      <c r="B142" s="151" t="n">
        <v>0</v>
      </c>
      <c r="C142" s="80" t="n">
        <v>0</v>
      </c>
      <c r="D142" s="80" t="n">
        <v>0</v>
      </c>
      <c r="E142" s="80" t="n">
        <v>0</v>
      </c>
      <c r="F142" s="81">
        <f>B142+C142+D142+E142</f>
        <v/>
      </c>
      <c r="G142" s="80" t="n">
        <v>0</v>
      </c>
      <c r="H142" s="80" t="n">
        <v>0</v>
      </c>
      <c r="I142" s="80" t="n">
        <v>0</v>
      </c>
      <c r="J142" s="80" t="n">
        <v>1</v>
      </c>
      <c r="K142" s="81">
        <f>G142+H142+I142+J142</f>
        <v/>
      </c>
      <c r="L142" s="80" t="n">
        <v>0</v>
      </c>
      <c r="M142" s="80" t="n">
        <v>0</v>
      </c>
      <c r="N142" s="80" t="n">
        <v>0</v>
      </c>
      <c r="O142" s="80" t="n">
        <v>1</v>
      </c>
      <c r="P142" s="80" t="n">
        <v>0</v>
      </c>
      <c r="Q142" s="81">
        <f>L142+M142+N142+O142+P142</f>
        <v/>
      </c>
      <c r="R142" s="80" t="n"/>
      <c r="S142" s="80" t="n"/>
      <c r="T142" s="80" t="n"/>
      <c r="U142" s="80" t="n"/>
      <c r="V142" s="81">
        <f>R142+S142+T142+U142</f>
        <v/>
      </c>
      <c r="W142" s="80" t="n">
        <v>0</v>
      </c>
      <c r="X142" s="80" t="n">
        <v>0</v>
      </c>
      <c r="Y142" s="80" t="n"/>
      <c r="Z142" s="80" t="n"/>
      <c r="AA142" s="81">
        <f>W142+X142+Y142+Z142</f>
        <v/>
      </c>
      <c r="AB142" s="80" t="n"/>
      <c r="AC142" s="80" t="n"/>
      <c r="AD142" s="80" t="n"/>
      <c r="AE142" s="80" t="n"/>
      <c r="AF142" s="80" t="n"/>
      <c r="AG142" s="81">
        <f>AB142+AC142+AD142+AE142+AF142</f>
        <v/>
      </c>
      <c r="AH142" s="80" t="n"/>
      <c r="AI142" s="80" t="n"/>
      <c r="AJ142" s="80" t="n"/>
      <c r="AK142" s="80" t="n"/>
      <c r="AL142" s="81">
        <f>AH142+AI142+AJ142+AK142</f>
        <v/>
      </c>
      <c r="AM142" s="80" t="n"/>
      <c r="AN142" s="80" t="n"/>
      <c r="AO142" s="80" t="n"/>
      <c r="AP142" s="80" t="n"/>
      <c r="AQ142" s="80" t="n"/>
      <c r="AR142" s="81">
        <f>AM142+AN142+AO142+AP142+AQ142</f>
        <v/>
      </c>
      <c r="AS142" s="80" t="n"/>
      <c r="AT142" s="80" t="n"/>
      <c r="AU142" s="80" t="n"/>
      <c r="AV142" s="80" t="n"/>
      <c r="AW142" s="81">
        <f>AS142+AT142+AU142+AV142</f>
        <v/>
      </c>
      <c r="AX142" s="80" t="n"/>
      <c r="AY142" s="80" t="n"/>
      <c r="AZ142" s="80" t="n"/>
      <c r="BA142" s="80" t="n"/>
      <c r="BB142" s="81">
        <f>AX142+AY142+AZ142+BA142</f>
        <v/>
      </c>
      <c r="BC142" s="80" t="n"/>
      <c r="BD142" s="80" t="n"/>
      <c r="BE142" s="80" t="n"/>
      <c r="BF142" s="80" t="n"/>
      <c r="BG142" s="80" t="n"/>
      <c r="BH142" s="81">
        <f>BC142+BD142+BE142+BF142+BG142</f>
        <v/>
      </c>
      <c r="BI142" s="80" t="n"/>
      <c r="BJ142" s="80" t="n"/>
      <c r="BK142" s="80" t="n"/>
      <c r="BL142" s="80" t="n"/>
      <c r="BM142" s="81">
        <f>BI142+BJ142+BK142+BL142</f>
        <v/>
      </c>
    </row>
    <row r="143" ht="15.75" customHeight="1">
      <c r="A143" s="84" t="inlineStr">
        <is>
          <t>PAPEL DE SEDA OUI</t>
        </is>
      </c>
      <c r="B143" s="151" t="n">
        <v>0</v>
      </c>
      <c r="C143" s="80" t="n">
        <v>0</v>
      </c>
      <c r="D143" s="80" t="n">
        <v>0</v>
      </c>
      <c r="E143" s="80" t="n">
        <v>1</v>
      </c>
      <c r="F143" s="81">
        <f>B143+C143+D143+E143</f>
        <v/>
      </c>
      <c r="G143" s="80" t="n">
        <v>0</v>
      </c>
      <c r="H143" s="80" t="n">
        <v>0</v>
      </c>
      <c r="I143" s="80" t="n">
        <v>0</v>
      </c>
      <c r="J143" s="80" t="n">
        <v>0</v>
      </c>
      <c r="K143" s="81">
        <f>G143+H143+I143+J143</f>
        <v/>
      </c>
      <c r="L143" s="80" t="n">
        <v>0</v>
      </c>
      <c r="M143" s="80" t="n">
        <v>0</v>
      </c>
      <c r="N143" s="80" t="n">
        <v>0</v>
      </c>
      <c r="O143" s="80" t="n">
        <v>0</v>
      </c>
      <c r="P143" s="80" t="n">
        <v>0</v>
      </c>
      <c r="Q143" s="81">
        <f>L143+M143+N143+O143+P143</f>
        <v/>
      </c>
      <c r="R143" s="80" t="n"/>
      <c r="S143" s="80" t="n"/>
      <c r="T143" s="80" t="n"/>
      <c r="U143" s="80" t="n"/>
      <c r="V143" s="81">
        <f>R143+S143+T143+U143</f>
        <v/>
      </c>
      <c r="W143" s="80" t="n">
        <v>0</v>
      </c>
      <c r="X143" s="80" t="n">
        <v>0</v>
      </c>
      <c r="Y143" s="80" t="n"/>
      <c r="Z143" s="80" t="n"/>
      <c r="AA143" s="81">
        <f>W143+X143+Y143+Z143</f>
        <v/>
      </c>
      <c r="AB143" s="80" t="n"/>
      <c r="AC143" s="80" t="n"/>
      <c r="AD143" s="80" t="n"/>
      <c r="AE143" s="80" t="n"/>
      <c r="AF143" s="80" t="n"/>
      <c r="AG143" s="81">
        <f>AB143+AC143+AD143+AE143+AF143</f>
        <v/>
      </c>
      <c r="AH143" s="80" t="n"/>
      <c r="AI143" s="80" t="n"/>
      <c r="AJ143" s="80" t="n"/>
      <c r="AK143" s="80" t="n"/>
      <c r="AL143" s="81">
        <f>AH143+AI143+AJ143+AK143</f>
        <v/>
      </c>
      <c r="AM143" s="80" t="n"/>
      <c r="AN143" s="80" t="n"/>
      <c r="AO143" s="80" t="n"/>
      <c r="AP143" s="80" t="n"/>
      <c r="AQ143" s="80" t="n"/>
      <c r="AR143" s="81">
        <f>AM143+AN143+AO143+AP143+AQ143</f>
        <v/>
      </c>
      <c r="AS143" s="80" t="n"/>
      <c r="AT143" s="80" t="n"/>
      <c r="AU143" s="80" t="n"/>
      <c r="AV143" s="80" t="n"/>
      <c r="AW143" s="81">
        <f>AS143+AT143+AU143+AV143</f>
        <v/>
      </c>
      <c r="AX143" s="80" t="n"/>
      <c r="AY143" s="80" t="n"/>
      <c r="AZ143" s="80" t="n"/>
      <c r="BA143" s="80" t="n"/>
      <c r="BB143" s="81">
        <f>AX143+AY143+AZ143+BA143</f>
        <v/>
      </c>
      <c r="BC143" s="80" t="n"/>
      <c r="BD143" s="80" t="n"/>
      <c r="BE143" s="80" t="n"/>
      <c r="BF143" s="80" t="n"/>
      <c r="BG143" s="80" t="n"/>
      <c r="BH143" s="81">
        <f>BC143+BD143+BE143+BF143+BG143</f>
        <v/>
      </c>
      <c r="BI143" s="80" t="n"/>
      <c r="BJ143" s="80" t="n"/>
      <c r="BK143" s="80" t="n"/>
      <c r="BL143" s="80" t="n"/>
      <c r="BM143" s="81">
        <f>BI143+BJ143+BK143+BL143</f>
        <v/>
      </c>
    </row>
    <row r="144" ht="15.75" customHeight="1">
      <c r="A144" s="84" t="inlineStr">
        <is>
          <t>ETIQUETA OUI</t>
        </is>
      </c>
      <c r="B144" s="151" t="n">
        <v>0</v>
      </c>
      <c r="C144" s="80" t="n">
        <v>0</v>
      </c>
      <c r="D144" s="80" t="n">
        <v>0</v>
      </c>
      <c r="E144" s="80" t="n">
        <v>2</v>
      </c>
      <c r="F144" s="81">
        <f>B144+C144+D144+E144</f>
        <v/>
      </c>
      <c r="G144" s="80" t="n">
        <v>0</v>
      </c>
      <c r="H144" s="80" t="n">
        <v>0</v>
      </c>
      <c r="I144" s="80" t="n">
        <v>0</v>
      </c>
      <c r="J144" s="80" t="n">
        <v>0</v>
      </c>
      <c r="K144" s="81">
        <f>G144+H144+I144+J144</f>
        <v/>
      </c>
      <c r="L144" s="80" t="n">
        <v>0</v>
      </c>
      <c r="M144" s="80" t="n">
        <v>0</v>
      </c>
      <c r="N144" s="80" t="n">
        <v>0</v>
      </c>
      <c r="O144" s="80" t="n">
        <v>0</v>
      </c>
      <c r="P144" s="80" t="n">
        <v>0</v>
      </c>
      <c r="Q144" s="81">
        <f>L144+M144+N144+O144+P144</f>
        <v/>
      </c>
      <c r="R144" s="80" t="n"/>
      <c r="S144" s="80" t="n"/>
      <c r="T144" s="80" t="n"/>
      <c r="U144" s="80" t="n"/>
      <c r="V144" s="81">
        <f>R144+S144+T144+U144</f>
        <v/>
      </c>
      <c r="W144" s="80" t="n">
        <v>0</v>
      </c>
      <c r="X144" s="80" t="n">
        <v>0</v>
      </c>
      <c r="Y144" s="80" t="n"/>
      <c r="Z144" s="80" t="n"/>
      <c r="AA144" s="81">
        <f>W144+X144+Y144+Z144</f>
        <v/>
      </c>
      <c r="AB144" s="80" t="n"/>
      <c r="AC144" s="80" t="n"/>
      <c r="AD144" s="80" t="n"/>
      <c r="AE144" s="80" t="n"/>
      <c r="AF144" s="80" t="n"/>
      <c r="AG144" s="81">
        <f>AB144+AC144+AD144+AE144+AF144</f>
        <v/>
      </c>
      <c r="AH144" s="80" t="n"/>
      <c r="AI144" s="80" t="n"/>
      <c r="AJ144" s="80" t="n"/>
      <c r="AK144" s="80" t="n"/>
      <c r="AL144" s="81">
        <f>AH144+AI144+AJ144+AK144</f>
        <v/>
      </c>
      <c r="AM144" s="80" t="n"/>
      <c r="AN144" s="80" t="n"/>
      <c r="AO144" s="80" t="n"/>
      <c r="AP144" s="80" t="n"/>
      <c r="AQ144" s="80" t="n"/>
      <c r="AR144" s="81">
        <f>AM144+AN144+AO144+AP144+AQ144</f>
        <v/>
      </c>
      <c r="AS144" s="80" t="n"/>
      <c r="AT144" s="80" t="n"/>
      <c r="AU144" s="80" t="n"/>
      <c r="AV144" s="80" t="n"/>
      <c r="AW144" s="81">
        <f>AS144+AT144+AU144+AV144</f>
        <v/>
      </c>
      <c r="AX144" s="80" t="n"/>
      <c r="AY144" s="80" t="n"/>
      <c r="AZ144" s="80" t="n"/>
      <c r="BA144" s="80" t="n"/>
      <c r="BB144" s="81">
        <f>AX144+AY144+AZ144+BA144</f>
        <v/>
      </c>
      <c r="BC144" s="80" t="n"/>
      <c r="BD144" s="80" t="n"/>
      <c r="BE144" s="80" t="n"/>
      <c r="BF144" s="80" t="n"/>
      <c r="BG144" s="80" t="n"/>
      <c r="BH144" s="81">
        <f>BC144+BD144+BE144+BF144+BG144</f>
        <v/>
      </c>
      <c r="BI144" s="80" t="n"/>
      <c r="BJ144" s="80" t="n"/>
      <c r="BK144" s="80" t="n"/>
      <c r="BL144" s="80" t="n"/>
      <c r="BM144" s="81">
        <f>BI144+BJ144+BK144+BL144</f>
        <v/>
      </c>
    </row>
    <row r="145" ht="15.75" customHeight="1">
      <c r="A145" s="84" t="inlineStr">
        <is>
          <t>LÂMINA OLFATIVA OUI</t>
        </is>
      </c>
      <c r="B145" s="151" t="n">
        <v>0</v>
      </c>
      <c r="C145" s="80" t="n">
        <v>0</v>
      </c>
      <c r="D145" s="80" t="n">
        <v>0</v>
      </c>
      <c r="E145" s="80" t="n">
        <v>2</v>
      </c>
      <c r="F145" s="81">
        <f>B145+C145+D145+E145</f>
        <v/>
      </c>
      <c r="G145" s="80" t="n">
        <v>0</v>
      </c>
      <c r="H145" s="80" t="n">
        <v>0</v>
      </c>
      <c r="I145" s="80" t="n">
        <v>0</v>
      </c>
      <c r="J145" s="80" t="n">
        <v>0</v>
      </c>
      <c r="K145" s="81">
        <f>G145+H145+I145+J145</f>
        <v/>
      </c>
      <c r="L145" s="80" t="n">
        <v>0</v>
      </c>
      <c r="M145" s="80" t="n">
        <v>0</v>
      </c>
      <c r="N145" s="80" t="n">
        <v>0</v>
      </c>
      <c r="O145" s="80" t="n">
        <v>0</v>
      </c>
      <c r="P145" s="80" t="n">
        <v>0</v>
      </c>
      <c r="Q145" s="81">
        <f>L145+M145+N145+O145+P145</f>
        <v/>
      </c>
      <c r="R145" s="80" t="n"/>
      <c r="S145" s="80" t="n"/>
      <c r="T145" s="80" t="n"/>
      <c r="U145" s="80" t="n"/>
      <c r="V145" s="81">
        <f>R145+S145+T145+U145</f>
        <v/>
      </c>
      <c r="W145" s="80" t="n">
        <v>0</v>
      </c>
      <c r="X145" s="80" t="n">
        <v>0</v>
      </c>
      <c r="Y145" s="80" t="n"/>
      <c r="Z145" s="80" t="n"/>
      <c r="AA145" s="81">
        <f>W145+X145+Y145+Z145</f>
        <v/>
      </c>
      <c r="AB145" s="80" t="n"/>
      <c r="AC145" s="80" t="n"/>
      <c r="AD145" s="80" t="n"/>
      <c r="AE145" s="80" t="n"/>
      <c r="AF145" s="80" t="n"/>
      <c r="AG145" s="81">
        <f>AB145+AC145+AD145+AE145+AF145</f>
        <v/>
      </c>
      <c r="AH145" s="80" t="n"/>
      <c r="AI145" s="80" t="n"/>
      <c r="AJ145" s="80" t="n"/>
      <c r="AK145" s="80" t="n"/>
      <c r="AL145" s="81">
        <f>AH145+AI145+AJ145+AK145</f>
        <v/>
      </c>
      <c r="AM145" s="80" t="n"/>
      <c r="AN145" s="80" t="n"/>
      <c r="AO145" s="80" t="n"/>
      <c r="AP145" s="80" t="n"/>
      <c r="AQ145" s="80" t="n"/>
      <c r="AR145" s="81">
        <f>AM145+AN145+AO145+AP145+AQ145</f>
        <v/>
      </c>
      <c r="AS145" s="80" t="n"/>
      <c r="AT145" s="80" t="n"/>
      <c r="AU145" s="80" t="n"/>
      <c r="AV145" s="80" t="n"/>
      <c r="AW145" s="81">
        <f>AS145+AT145+AU145+AV145</f>
        <v/>
      </c>
      <c r="AX145" s="80" t="n"/>
      <c r="AY145" s="80" t="n"/>
      <c r="AZ145" s="80" t="n"/>
      <c r="BA145" s="80" t="n"/>
      <c r="BB145" s="81">
        <f>AX145+AY145+AZ145+BA145</f>
        <v/>
      </c>
      <c r="BC145" s="80" t="n"/>
      <c r="BD145" s="80" t="n"/>
      <c r="BE145" s="80" t="n"/>
      <c r="BF145" s="80" t="n"/>
      <c r="BG145" s="80" t="n"/>
      <c r="BH145" s="81">
        <f>BC145+BD145+BE145+BF145+BG145</f>
        <v/>
      </c>
      <c r="BI145" s="80" t="n"/>
      <c r="BJ145" s="80" t="n"/>
      <c r="BK145" s="80" t="n"/>
      <c r="BL145" s="80" t="n"/>
      <c r="BM145" s="81">
        <f>BI145+BJ145+BK145+BL145</f>
        <v/>
      </c>
    </row>
    <row r="146" ht="15.75" customHeight="1">
      <c r="A146" s="84" t="inlineStr">
        <is>
          <t>SACO M OUI (BRINDE)</t>
        </is>
      </c>
      <c r="B146" s="80" t="n">
        <v>0</v>
      </c>
      <c r="C146" s="80" t="n">
        <v>0</v>
      </c>
      <c r="D146" s="80" t="n">
        <v>200</v>
      </c>
      <c r="E146" s="80" t="n">
        <v>0</v>
      </c>
      <c r="F146" s="81">
        <f>B146+C146+D146+E146</f>
        <v/>
      </c>
      <c r="G146" s="80" t="n">
        <v>0</v>
      </c>
      <c r="H146" s="80" t="n">
        <v>0</v>
      </c>
      <c r="I146" s="80" t="n">
        <v>0</v>
      </c>
      <c r="J146" s="80" t="n">
        <v>0</v>
      </c>
      <c r="K146" s="81">
        <f>G146+H146+I146+J146</f>
        <v/>
      </c>
      <c r="L146" s="80" t="n">
        <v>0</v>
      </c>
      <c r="M146" s="80" t="n">
        <v>0</v>
      </c>
      <c r="N146" s="80" t="n">
        <v>0</v>
      </c>
      <c r="O146" s="80" t="n">
        <v>0</v>
      </c>
      <c r="P146" s="80" t="n">
        <v>0</v>
      </c>
      <c r="Q146" s="81">
        <f>L146+M146+N146+O146+P146</f>
        <v/>
      </c>
      <c r="R146" s="80" t="n"/>
      <c r="S146" s="80" t="n"/>
      <c r="T146" s="80" t="n"/>
      <c r="U146" s="80" t="n"/>
      <c r="V146" s="81">
        <f>R146+S146+T146+U146</f>
        <v/>
      </c>
      <c r="W146" s="80" t="n">
        <v>0</v>
      </c>
      <c r="X146" s="80" t="n">
        <v>0</v>
      </c>
      <c r="Y146" s="80" t="n"/>
      <c r="Z146" s="80" t="n"/>
      <c r="AA146" s="81">
        <f>W146+X146+Y146+Z146</f>
        <v/>
      </c>
      <c r="AB146" s="80" t="n"/>
      <c r="AC146" s="80" t="n"/>
      <c r="AD146" s="80" t="n"/>
      <c r="AE146" s="80" t="n"/>
      <c r="AF146" s="80" t="n"/>
      <c r="AG146" s="81">
        <f>AB146+AC146+AD146+AE146+AF146</f>
        <v/>
      </c>
      <c r="AH146" s="80" t="n"/>
      <c r="AI146" s="80" t="n"/>
      <c r="AJ146" s="80" t="n"/>
      <c r="AK146" s="80" t="n"/>
      <c r="AL146" s="81">
        <f>AH146+AI146+AJ146+AK146</f>
        <v/>
      </c>
      <c r="AM146" s="80" t="n"/>
      <c r="AN146" s="80" t="n"/>
      <c r="AO146" s="80" t="n"/>
      <c r="AP146" s="80" t="n"/>
      <c r="AQ146" s="80" t="n"/>
      <c r="AR146" s="81">
        <f>AM146+AN146+AO146+AP146+AQ146</f>
        <v/>
      </c>
      <c r="AS146" s="80" t="n"/>
      <c r="AT146" s="80" t="n"/>
      <c r="AU146" s="80" t="n"/>
      <c r="AV146" s="80" t="n"/>
      <c r="AW146" s="81">
        <f>AS146+AT146+AU146+AV146</f>
        <v/>
      </c>
      <c r="AX146" s="80" t="n"/>
      <c r="AY146" s="80" t="n"/>
      <c r="AZ146" s="80" t="n"/>
      <c r="BA146" s="80" t="n"/>
      <c r="BB146" s="81">
        <f>AX146+AY146+AZ146+BA146</f>
        <v/>
      </c>
      <c r="BC146" s="80" t="n"/>
      <c r="BD146" s="80" t="n"/>
      <c r="BE146" s="80" t="n"/>
      <c r="BF146" s="80" t="n"/>
      <c r="BG146" s="80" t="n"/>
      <c r="BH146" s="81">
        <f>BC146+BD146+BE146+BF146+BG146</f>
        <v/>
      </c>
      <c r="BI146" s="80" t="n"/>
      <c r="BJ146" s="80" t="n"/>
      <c r="BK146" s="80" t="n"/>
      <c r="BL146" s="80" t="n"/>
      <c r="BM146" s="81">
        <f>BI146+BJ146+BK146+BL146</f>
        <v/>
      </c>
    </row>
    <row r="147" ht="15.75" customHeight="1">
      <c r="A147" s="84" t="inlineStr">
        <is>
          <t>SACOLA P QDB</t>
        </is>
      </c>
      <c r="B147" s="151" t="n">
        <v>0</v>
      </c>
      <c r="C147" s="80" t="n">
        <v>0</v>
      </c>
      <c r="D147" s="80" t="n">
        <v>0</v>
      </c>
      <c r="E147" s="80" t="n">
        <v>0</v>
      </c>
      <c r="F147" s="81">
        <f>B147+C147+D147+E147</f>
        <v/>
      </c>
      <c r="G147" s="80" t="n">
        <v>0</v>
      </c>
      <c r="H147" s="80" t="n">
        <v>0</v>
      </c>
      <c r="I147" s="80" t="n">
        <v>0</v>
      </c>
      <c r="J147" s="80" t="n">
        <v>0</v>
      </c>
      <c r="K147" s="81">
        <f>G147+H147+I147+J147</f>
        <v/>
      </c>
      <c r="L147" s="80" t="n">
        <v>0</v>
      </c>
      <c r="M147" s="80" t="n">
        <v>0</v>
      </c>
      <c r="N147" s="80" t="n">
        <v>0</v>
      </c>
      <c r="O147" s="80" t="n">
        <v>0</v>
      </c>
      <c r="P147" s="80" t="n">
        <v>0</v>
      </c>
      <c r="Q147" s="81">
        <f>L147+M147+N147+O147+P147</f>
        <v/>
      </c>
      <c r="R147" s="80" t="n"/>
      <c r="S147" s="80" t="n"/>
      <c r="T147" s="80" t="n"/>
      <c r="U147" s="80" t="n"/>
      <c r="V147" s="81">
        <f>R147+S147+T147+U147</f>
        <v/>
      </c>
      <c r="W147" s="80" t="n">
        <v>0</v>
      </c>
      <c r="X147" s="80" t="n">
        <v>0</v>
      </c>
      <c r="Y147" s="80" t="n"/>
      <c r="Z147" s="80" t="n"/>
      <c r="AA147" s="81">
        <f>W147+X147+Y147+Z147</f>
        <v/>
      </c>
      <c r="AB147" s="80" t="n"/>
      <c r="AC147" s="80" t="n"/>
      <c r="AD147" s="80" t="n"/>
      <c r="AE147" s="80" t="n"/>
      <c r="AF147" s="80" t="n"/>
      <c r="AG147" s="81">
        <f>AB147+AC147+AD147+AE147+AF147</f>
        <v/>
      </c>
      <c r="AH147" s="80" t="n"/>
      <c r="AI147" s="80" t="n"/>
      <c r="AJ147" s="80" t="n"/>
      <c r="AK147" s="80" t="n"/>
      <c r="AL147" s="81">
        <f>AH147+AI147+AJ147+AK147</f>
        <v/>
      </c>
      <c r="AM147" s="80" t="n"/>
      <c r="AN147" s="80" t="n"/>
      <c r="AO147" s="80" t="n"/>
      <c r="AP147" s="80" t="n"/>
      <c r="AQ147" s="80" t="n"/>
      <c r="AR147" s="81">
        <f>AM147+AN147+AO147+AP147+AQ147</f>
        <v/>
      </c>
      <c r="AS147" s="80" t="n"/>
      <c r="AT147" s="80" t="n"/>
      <c r="AU147" s="80" t="n"/>
      <c r="AV147" s="80" t="n"/>
      <c r="AW147" s="81">
        <f>AS147+AT147+AU147+AV147</f>
        <v/>
      </c>
      <c r="AX147" s="80" t="n"/>
      <c r="AY147" s="80" t="n"/>
      <c r="AZ147" s="80" t="n"/>
      <c r="BA147" s="80" t="n"/>
      <c r="BB147" s="81">
        <f>AX147+AY147+AZ147+BA147</f>
        <v/>
      </c>
      <c r="BC147" s="80" t="n"/>
      <c r="BD147" s="80" t="n"/>
      <c r="BE147" s="80" t="n"/>
      <c r="BF147" s="80" t="n"/>
      <c r="BG147" s="80" t="n"/>
      <c r="BH147" s="81">
        <f>BC147+BD147+BE147+BF147+BG147</f>
        <v/>
      </c>
      <c r="BI147" s="80" t="n"/>
      <c r="BJ147" s="80" t="n"/>
      <c r="BK147" s="80" t="n"/>
      <c r="BL147" s="80" t="n"/>
      <c r="BM147" s="81">
        <f>BI147+BJ147+BK147+BL147</f>
        <v/>
      </c>
    </row>
    <row r="148" ht="15.75" customHeight="1">
      <c r="A148" s="84" t="inlineStr">
        <is>
          <t>SACOLA M QDB</t>
        </is>
      </c>
      <c r="B148" s="151" t="n">
        <v>0</v>
      </c>
      <c r="C148" s="80" t="n">
        <v>0</v>
      </c>
      <c r="D148" s="80" t="n">
        <v>0</v>
      </c>
      <c r="E148" s="80" t="n">
        <v>0</v>
      </c>
      <c r="F148" s="81">
        <f>B148+C148+D148+E148</f>
        <v/>
      </c>
      <c r="G148" s="80" t="n">
        <v>0</v>
      </c>
      <c r="H148" s="80" t="n">
        <v>0</v>
      </c>
      <c r="I148" s="80" t="n">
        <v>0</v>
      </c>
      <c r="J148" s="80" t="n">
        <v>0</v>
      </c>
      <c r="K148" s="81">
        <f>G148+H148+I148+J148</f>
        <v/>
      </c>
      <c r="L148" s="80" t="n">
        <v>0</v>
      </c>
      <c r="M148" s="80" t="n">
        <v>0</v>
      </c>
      <c r="N148" s="80" t="n">
        <v>0</v>
      </c>
      <c r="O148" s="80" t="n">
        <v>0</v>
      </c>
      <c r="P148" s="80" t="n">
        <v>0</v>
      </c>
      <c r="Q148" s="81">
        <f>L148+M148+N148+O148+P148</f>
        <v/>
      </c>
      <c r="R148" s="80" t="n"/>
      <c r="S148" s="80" t="n"/>
      <c r="T148" s="80" t="n"/>
      <c r="U148" s="80" t="n"/>
      <c r="V148" s="81">
        <f>R148+S148+T148+U148</f>
        <v/>
      </c>
      <c r="W148" s="80" t="n">
        <v>0</v>
      </c>
      <c r="X148" s="80" t="n">
        <v>0</v>
      </c>
      <c r="Y148" s="80" t="n"/>
      <c r="Z148" s="80" t="n"/>
      <c r="AA148" s="81">
        <f>W148+X148+Y148+Z148</f>
        <v/>
      </c>
      <c r="AB148" s="80" t="n"/>
      <c r="AC148" s="80" t="n"/>
      <c r="AD148" s="80" t="n"/>
      <c r="AE148" s="80" t="n"/>
      <c r="AF148" s="80" t="n"/>
      <c r="AG148" s="81">
        <f>AB148+AC148+AD148+AE148+AF148</f>
        <v/>
      </c>
      <c r="AH148" s="80" t="n"/>
      <c r="AI148" s="80" t="n"/>
      <c r="AJ148" s="80" t="n"/>
      <c r="AK148" s="80" t="n"/>
      <c r="AL148" s="81">
        <f>AH148+AI148+AJ148+AK148</f>
        <v/>
      </c>
      <c r="AM148" s="80" t="n"/>
      <c r="AN148" s="80" t="n"/>
      <c r="AO148" s="80" t="n"/>
      <c r="AP148" s="80" t="n"/>
      <c r="AQ148" s="80" t="n"/>
      <c r="AR148" s="81">
        <f>AM148+AN148+AO148+AP148+AQ148</f>
        <v/>
      </c>
      <c r="AS148" s="80" t="n"/>
      <c r="AT148" s="80" t="n"/>
      <c r="AU148" s="80" t="n"/>
      <c r="AV148" s="80" t="n"/>
      <c r="AW148" s="81">
        <f>AS148+AT148+AU148+AV148</f>
        <v/>
      </c>
      <c r="AX148" s="80" t="n"/>
      <c r="AY148" s="80" t="n"/>
      <c r="AZ148" s="80" t="n"/>
      <c r="BA148" s="80" t="n"/>
      <c r="BB148" s="81">
        <f>AX148+AY148+AZ148+BA148</f>
        <v/>
      </c>
      <c r="BC148" s="80" t="n"/>
      <c r="BD148" s="80" t="n"/>
      <c r="BE148" s="80" t="n"/>
      <c r="BF148" s="80" t="n"/>
      <c r="BG148" s="80" t="n"/>
      <c r="BH148" s="81">
        <f>BC148+BD148+BE148+BF148+BG148</f>
        <v/>
      </c>
      <c r="BI148" s="80" t="n"/>
      <c r="BJ148" s="80" t="n"/>
      <c r="BK148" s="80" t="n"/>
      <c r="BL148" s="80" t="n"/>
      <c r="BM148" s="81">
        <f>BI148+BJ148+BK148+BL148</f>
        <v/>
      </c>
    </row>
    <row r="149" ht="15.75" customHeight="1">
      <c r="A149" s="84" t="inlineStr">
        <is>
          <t>SACOLA G QDB</t>
        </is>
      </c>
      <c r="B149" s="151" t="n">
        <v>0</v>
      </c>
      <c r="C149" s="80" t="n">
        <v>0</v>
      </c>
      <c r="D149" s="80" t="n">
        <v>0</v>
      </c>
      <c r="E149" s="80" t="n">
        <v>0</v>
      </c>
      <c r="F149" s="81">
        <f>B149+C149+D149+E149</f>
        <v/>
      </c>
      <c r="G149" s="80" t="n">
        <v>0</v>
      </c>
      <c r="H149" s="80" t="n">
        <v>0</v>
      </c>
      <c r="I149" s="80" t="n">
        <v>0</v>
      </c>
      <c r="J149" s="80" t="n">
        <v>0</v>
      </c>
      <c r="K149" s="81">
        <f>G149+H149+I149+J149</f>
        <v/>
      </c>
      <c r="L149" s="80" t="n">
        <v>0</v>
      </c>
      <c r="M149" s="80" t="n">
        <v>0</v>
      </c>
      <c r="N149" s="80" t="n">
        <v>0</v>
      </c>
      <c r="O149" s="80" t="n">
        <v>0</v>
      </c>
      <c r="P149" s="80" t="n">
        <v>0</v>
      </c>
      <c r="Q149" s="81">
        <f>L149+M149+N149+O149+P149</f>
        <v/>
      </c>
      <c r="R149" s="80" t="n"/>
      <c r="S149" s="80" t="n"/>
      <c r="T149" s="80" t="n"/>
      <c r="U149" s="80" t="n"/>
      <c r="V149" s="81">
        <f>R149+S149+T149+U149</f>
        <v/>
      </c>
      <c r="W149" s="80" t="n">
        <v>0</v>
      </c>
      <c r="X149" s="80" t="n">
        <v>0</v>
      </c>
      <c r="Y149" s="80" t="n"/>
      <c r="Z149" s="80" t="n"/>
      <c r="AA149" s="81">
        <f>W149+X149+Y149+Z149</f>
        <v/>
      </c>
      <c r="AB149" s="80" t="n"/>
      <c r="AC149" s="80" t="n"/>
      <c r="AD149" s="80" t="n"/>
      <c r="AE149" s="80" t="n"/>
      <c r="AF149" s="80" t="n"/>
      <c r="AG149" s="81">
        <f>AB149+AC149+AD149+AE149+AF149</f>
        <v/>
      </c>
      <c r="AH149" s="80" t="n"/>
      <c r="AI149" s="80" t="n"/>
      <c r="AJ149" s="80" t="n"/>
      <c r="AK149" s="80" t="n"/>
      <c r="AL149" s="81">
        <f>AH149+AI149+AJ149+AK149</f>
        <v/>
      </c>
      <c r="AM149" s="80" t="n"/>
      <c r="AN149" s="80" t="n"/>
      <c r="AO149" s="80" t="n"/>
      <c r="AP149" s="80" t="n"/>
      <c r="AQ149" s="80" t="n"/>
      <c r="AR149" s="81">
        <f>AM149+AN149+AO149+AP149+AQ149</f>
        <v/>
      </c>
      <c r="AS149" s="80" t="n"/>
      <c r="AT149" s="80" t="n"/>
      <c r="AU149" s="80" t="n"/>
      <c r="AV149" s="80" t="n"/>
      <c r="AW149" s="81">
        <f>AS149+AT149+AU149+AV149</f>
        <v/>
      </c>
      <c r="AX149" s="80" t="n"/>
      <c r="AY149" s="80" t="n"/>
      <c r="AZ149" s="80" t="n"/>
      <c r="BA149" s="80" t="n"/>
      <c r="BB149" s="81">
        <f>AX149+AY149+AZ149+BA149</f>
        <v/>
      </c>
      <c r="BC149" s="80" t="n"/>
      <c r="BD149" s="80" t="n"/>
      <c r="BE149" s="80" t="n"/>
      <c r="BF149" s="80" t="n"/>
      <c r="BG149" s="80" t="n"/>
      <c r="BH149" s="81">
        <f>BC149+BD149+BE149+BF149+BG149</f>
        <v/>
      </c>
      <c r="BI149" s="80" t="n"/>
      <c r="BJ149" s="80" t="n"/>
      <c r="BK149" s="80" t="n"/>
      <c r="BL149" s="80" t="n"/>
      <c r="BM149" s="81">
        <f>BI149+BJ149+BK149+BL149</f>
        <v/>
      </c>
    </row>
    <row r="150" ht="15.75" customHeight="1">
      <c r="A150" s="84" t="inlineStr">
        <is>
          <t>PAPEL DE SEDA QDB</t>
        </is>
      </c>
      <c r="B150" s="151" t="n">
        <v>0</v>
      </c>
      <c r="C150" s="151" t="n">
        <v>0</v>
      </c>
      <c r="D150" s="151" t="n">
        <v>0</v>
      </c>
      <c r="E150" s="151" t="n">
        <v>2</v>
      </c>
      <c r="F150" s="81">
        <f>B150+C150+D150+E150</f>
        <v/>
      </c>
      <c r="G150" s="151" t="n">
        <v>0</v>
      </c>
      <c r="H150" s="151" t="n">
        <v>0</v>
      </c>
      <c r="I150" s="151" t="n">
        <v>0</v>
      </c>
      <c r="J150" s="151" t="n">
        <v>0</v>
      </c>
      <c r="K150" s="81">
        <f>G150+H150+I150+J150</f>
        <v/>
      </c>
      <c r="L150" s="151" t="n">
        <v>0</v>
      </c>
      <c r="M150" s="151" t="n">
        <v>0</v>
      </c>
      <c r="N150" s="151" t="n">
        <v>0</v>
      </c>
      <c r="O150" s="151" t="n">
        <v>0</v>
      </c>
      <c r="P150" s="151" t="n">
        <v>0</v>
      </c>
      <c r="Q150" s="81">
        <f>L150+M150+N150+O150+P150</f>
        <v/>
      </c>
      <c r="R150" s="151" t="n"/>
      <c r="S150" s="151" t="n"/>
      <c r="T150" s="151" t="n"/>
      <c r="U150" s="151" t="n"/>
      <c r="V150" s="81">
        <f>R150+S150+T150+U150</f>
        <v/>
      </c>
      <c r="W150" s="151" t="n">
        <v>0</v>
      </c>
      <c r="X150" s="151" t="n">
        <v>0</v>
      </c>
      <c r="Y150" s="151" t="n"/>
      <c r="Z150" s="151" t="n"/>
      <c r="AA150" s="81">
        <f>W150+X150+Y150+Z150</f>
        <v/>
      </c>
      <c r="AB150" s="151" t="n"/>
      <c r="AC150" s="151" t="n"/>
      <c r="AD150" s="151" t="n"/>
      <c r="AE150" s="151" t="n"/>
      <c r="AF150" s="151" t="n"/>
      <c r="AG150" s="81">
        <f>AB150+AC150+AD150+AE150+AF150</f>
        <v/>
      </c>
      <c r="AH150" s="151" t="n"/>
      <c r="AI150" s="151" t="n"/>
      <c r="AJ150" s="151" t="n"/>
      <c r="AK150" s="151" t="n"/>
      <c r="AL150" s="81">
        <f>AH150+AI150+AJ150+AK150</f>
        <v/>
      </c>
      <c r="AM150" s="80" t="n"/>
      <c r="AN150" s="80" t="n"/>
      <c r="AO150" s="80" t="n"/>
      <c r="AP150" s="80" t="n"/>
      <c r="AQ150" s="80" t="n"/>
      <c r="AR150" s="81">
        <f>AM150+AN150+AO150+AP150+AQ150</f>
        <v/>
      </c>
      <c r="AS150" s="80" t="n"/>
      <c r="AT150" s="80" t="n"/>
      <c r="AU150" s="80" t="n"/>
      <c r="AV150" s="80" t="n"/>
      <c r="AW150" s="81">
        <f>AS150+AT150+AU150+AV150</f>
        <v/>
      </c>
      <c r="AX150" s="80" t="n"/>
      <c r="AY150" s="80" t="n"/>
      <c r="AZ150" s="80" t="n"/>
      <c r="BA150" s="80" t="n"/>
      <c r="BB150" s="81">
        <f>AX150+AY150+AZ150+BA150</f>
        <v/>
      </c>
      <c r="BC150" s="80" t="n"/>
      <c r="BD150" s="80" t="n"/>
      <c r="BE150" s="80" t="n"/>
      <c r="BF150" s="80" t="n"/>
      <c r="BG150" s="80" t="n"/>
      <c r="BH150" s="81">
        <f>BC150+BD150+BE150+BF150+BG150</f>
        <v/>
      </c>
      <c r="BI150" s="80" t="n"/>
      <c r="BJ150" s="80" t="n"/>
      <c r="BK150" s="80" t="n"/>
      <c r="BL150" s="80" t="n"/>
      <c r="BM150" s="81">
        <f>BI150+BJ150+BK150+BL150</f>
        <v/>
      </c>
    </row>
    <row r="151" ht="15.75" customHeight="1">
      <c r="A151" s="84" t="inlineStr">
        <is>
          <t>ETIQUETA QDB</t>
        </is>
      </c>
      <c r="B151" s="151" t="n">
        <v>0</v>
      </c>
      <c r="C151" s="151" t="n">
        <v>0</v>
      </c>
      <c r="D151" s="151" t="n">
        <v>0</v>
      </c>
      <c r="E151" s="151" t="n">
        <v>1</v>
      </c>
      <c r="F151" s="81">
        <f>B151+C151+D151+E151</f>
        <v/>
      </c>
      <c r="G151" s="151" t="n">
        <v>0</v>
      </c>
      <c r="H151" s="151" t="n">
        <v>0</v>
      </c>
      <c r="I151" s="151" t="n">
        <v>0</v>
      </c>
      <c r="J151" s="151" t="n">
        <v>0</v>
      </c>
      <c r="K151" s="81">
        <f>G151+H151+I151+J151</f>
        <v/>
      </c>
      <c r="L151" s="151" t="n">
        <v>0</v>
      </c>
      <c r="M151" s="151" t="n">
        <v>0</v>
      </c>
      <c r="N151" s="151" t="n">
        <v>0</v>
      </c>
      <c r="O151" s="151" t="n">
        <v>0</v>
      </c>
      <c r="P151" s="151" t="n">
        <v>0</v>
      </c>
      <c r="Q151" s="81">
        <f>L151+M151+N151+O151+P151</f>
        <v/>
      </c>
      <c r="R151" s="151" t="n"/>
      <c r="S151" s="151" t="n"/>
      <c r="T151" s="151" t="n"/>
      <c r="U151" s="151" t="n"/>
      <c r="V151" s="81">
        <f>R151+S151+T151+U151</f>
        <v/>
      </c>
      <c r="W151" s="151" t="n">
        <v>0</v>
      </c>
      <c r="X151" s="151" t="n">
        <v>0</v>
      </c>
      <c r="Y151" s="151" t="n"/>
      <c r="Z151" s="151" t="n"/>
      <c r="AA151" s="81">
        <f>W151+X151+Y151+Z151</f>
        <v/>
      </c>
      <c r="AB151" s="151" t="n"/>
      <c r="AC151" s="151" t="n"/>
      <c r="AD151" s="151" t="n"/>
      <c r="AE151" s="151" t="n"/>
      <c r="AF151" s="151" t="n"/>
      <c r="AG151" s="81">
        <f>AB151+AC151+AD151+AE151+AF151</f>
        <v/>
      </c>
      <c r="AH151" s="151" t="n"/>
      <c r="AI151" s="151" t="n"/>
      <c r="AJ151" s="151" t="n"/>
      <c r="AK151" s="151" t="n"/>
      <c r="AL151" s="81">
        <f>AH151+AI151+AJ151+AK151</f>
        <v/>
      </c>
      <c r="AM151" s="80" t="n"/>
      <c r="AN151" s="80" t="n"/>
      <c r="AO151" s="80" t="n"/>
      <c r="AP151" s="80" t="n"/>
      <c r="AQ151" s="80" t="n"/>
      <c r="AR151" s="81">
        <f>AM151+AN151+AO151+AP151+AQ151</f>
        <v/>
      </c>
      <c r="AS151" s="80" t="n"/>
      <c r="AT151" s="80" t="n"/>
      <c r="AU151" s="80" t="n"/>
      <c r="AV151" s="80" t="n"/>
      <c r="AW151" s="81">
        <f>AS151+AT151+AU151+AV151</f>
        <v/>
      </c>
      <c r="AX151" s="80" t="n"/>
      <c r="AY151" s="80" t="n"/>
      <c r="AZ151" s="80" t="n"/>
      <c r="BA151" s="80" t="n"/>
      <c r="BB151" s="81">
        <f>AX151+AY151+AZ151+BA151</f>
        <v/>
      </c>
      <c r="BC151" s="80" t="n"/>
      <c r="BD151" s="80" t="n"/>
      <c r="BE151" s="80" t="n"/>
      <c r="BF151" s="80" t="n"/>
      <c r="BG151" s="80" t="n"/>
      <c r="BH151" s="81">
        <f>BC151+BD151+BE151+BF151+BG151</f>
        <v/>
      </c>
      <c r="BI151" s="80" t="n"/>
      <c r="BJ151" s="80" t="n"/>
      <c r="BK151" s="80" t="n"/>
      <c r="BL151" s="80" t="n"/>
      <c r="BM151" s="81">
        <f>BI151+BJ151+BK151+BL151</f>
        <v/>
      </c>
    </row>
    <row r="152" ht="15.75" customHeight="1">
      <c r="A152" s="84" t="inlineStr">
        <is>
          <t>TAG QDB</t>
        </is>
      </c>
      <c r="B152" s="151" t="n">
        <v>0</v>
      </c>
      <c r="C152" s="151" t="n">
        <v>0</v>
      </c>
      <c r="D152" s="151" t="n">
        <v>0</v>
      </c>
      <c r="E152" s="151" t="n">
        <v>6</v>
      </c>
      <c r="F152" s="81">
        <f>B152+C152+D152+E152</f>
        <v/>
      </c>
      <c r="G152" s="151" t="n">
        <v>0</v>
      </c>
      <c r="H152" s="151" t="n">
        <v>0</v>
      </c>
      <c r="I152" s="151" t="n">
        <v>0</v>
      </c>
      <c r="J152" s="151" t="n">
        <v>0</v>
      </c>
      <c r="K152" s="81">
        <f>G152+H152+I152+J152</f>
        <v/>
      </c>
      <c r="L152" s="151" t="n">
        <v>0</v>
      </c>
      <c r="M152" s="151" t="n">
        <v>0</v>
      </c>
      <c r="N152" s="151" t="n">
        <v>0</v>
      </c>
      <c r="O152" s="151" t="n">
        <v>0</v>
      </c>
      <c r="P152" s="151" t="n">
        <v>0</v>
      </c>
      <c r="Q152" s="81">
        <f>L152+M152+N152+O152+P152</f>
        <v/>
      </c>
      <c r="R152" s="151" t="n"/>
      <c r="S152" s="151" t="n"/>
      <c r="T152" s="151" t="n"/>
      <c r="U152" s="151" t="n"/>
      <c r="V152" s="81">
        <f>R152+S152+T152+U152</f>
        <v/>
      </c>
      <c r="W152" s="151" t="n">
        <v>0</v>
      </c>
      <c r="X152" s="151" t="n">
        <v>0</v>
      </c>
      <c r="Y152" s="151" t="n"/>
      <c r="Z152" s="151" t="n"/>
      <c r="AA152" s="81">
        <f>W152+X152+Y152+Z152</f>
        <v/>
      </c>
      <c r="AB152" s="151" t="n"/>
      <c r="AC152" s="151" t="n"/>
      <c r="AD152" s="151" t="n"/>
      <c r="AE152" s="151" t="n"/>
      <c r="AF152" s="151" t="n"/>
      <c r="AG152" s="81">
        <f>AB152+AC152+AD152+AE152+AF152</f>
        <v/>
      </c>
      <c r="AH152" s="151" t="n"/>
      <c r="AI152" s="151" t="n"/>
      <c r="AJ152" s="151" t="n"/>
      <c r="AK152" s="151" t="n"/>
      <c r="AL152" s="81">
        <f>AH152+AI152+AJ152+AK152</f>
        <v/>
      </c>
      <c r="AM152" s="80" t="n"/>
      <c r="AN152" s="80" t="n"/>
      <c r="AO152" s="80" t="n"/>
      <c r="AP152" s="80" t="n"/>
      <c r="AQ152" s="80" t="n"/>
      <c r="AR152" s="81">
        <f>AM152+AN152+AO152+AP152+AQ152</f>
        <v/>
      </c>
      <c r="AS152" s="80" t="n"/>
      <c r="AT152" s="80" t="n"/>
      <c r="AU152" s="80" t="n"/>
      <c r="AV152" s="80" t="n"/>
      <c r="AW152" s="81">
        <f>AS152+AT152+AU152+AV152</f>
        <v/>
      </c>
      <c r="AX152" s="80" t="n"/>
      <c r="AY152" s="80" t="n"/>
      <c r="AZ152" s="80" t="n"/>
      <c r="BA152" s="80" t="n"/>
      <c r="BB152" s="81">
        <f>AX152+AY152+AZ152+BA152</f>
        <v/>
      </c>
      <c r="BC152" s="80" t="n"/>
      <c r="BD152" s="80" t="n"/>
      <c r="BE152" s="80" t="n"/>
      <c r="BF152" s="80" t="n"/>
      <c r="BG152" s="80" t="n"/>
      <c r="BH152" s="81">
        <f>BC152+BD152+BE152+BF152+BG152</f>
        <v/>
      </c>
      <c r="BI152" s="80" t="n"/>
      <c r="BJ152" s="80" t="n"/>
      <c r="BK152" s="80" t="n"/>
      <c r="BL152" s="80" t="n"/>
      <c r="BM152" s="81">
        <f>BI152+BJ152+BK152+BL152</f>
        <v/>
      </c>
    </row>
    <row r="153" ht="15.75" customHeight="1">
      <c r="A153" s="84" t="inlineStr">
        <is>
          <t>LÂMINA OLFATIVA QDB</t>
        </is>
      </c>
      <c r="B153" s="151" t="n">
        <v>0</v>
      </c>
      <c r="C153" s="151" t="n">
        <v>0</v>
      </c>
      <c r="D153" s="151" t="n">
        <v>0</v>
      </c>
      <c r="E153" s="151" t="n">
        <v>3</v>
      </c>
      <c r="F153" s="81">
        <f>B153+C153+D153+E153</f>
        <v/>
      </c>
      <c r="G153" s="151" t="n">
        <v>0</v>
      </c>
      <c r="H153" s="151" t="n">
        <v>0</v>
      </c>
      <c r="I153" s="151" t="n">
        <v>0</v>
      </c>
      <c r="J153" s="151" t="n">
        <v>0</v>
      </c>
      <c r="K153" s="81">
        <f>G153+H153+I153+J153</f>
        <v/>
      </c>
      <c r="L153" s="151" t="n">
        <v>0</v>
      </c>
      <c r="M153" s="151" t="n">
        <v>0</v>
      </c>
      <c r="N153" s="151" t="n">
        <v>0</v>
      </c>
      <c r="O153" s="151" t="n">
        <v>0</v>
      </c>
      <c r="P153" s="151" t="n">
        <v>0</v>
      </c>
      <c r="Q153" s="81">
        <f>L153+M153+N153+O153+P153</f>
        <v/>
      </c>
      <c r="R153" s="151" t="n"/>
      <c r="S153" s="151" t="n"/>
      <c r="T153" s="151" t="n"/>
      <c r="U153" s="151" t="n"/>
      <c r="V153" s="81">
        <f>R153+S153+T153+U153</f>
        <v/>
      </c>
      <c r="W153" s="151" t="n">
        <v>0</v>
      </c>
      <c r="X153" s="151" t="n">
        <v>0</v>
      </c>
      <c r="Y153" s="151" t="n"/>
      <c r="Z153" s="151" t="n"/>
      <c r="AA153" s="81">
        <f>W153+X153+Y153+Z153</f>
        <v/>
      </c>
      <c r="AB153" s="151" t="n"/>
      <c r="AC153" s="151" t="n"/>
      <c r="AD153" s="151" t="n"/>
      <c r="AE153" s="151" t="n"/>
      <c r="AF153" s="151" t="n"/>
      <c r="AG153" s="81">
        <f>AB153+AC153+AD153+AE153+AF153</f>
        <v/>
      </c>
      <c r="AH153" s="151" t="n"/>
      <c r="AI153" s="151" t="n"/>
      <c r="AJ153" s="151" t="n"/>
      <c r="AK153" s="151" t="n"/>
      <c r="AL153" s="81">
        <f>AH153+AI153+AJ153+AK153</f>
        <v/>
      </c>
      <c r="AM153" s="80" t="n"/>
      <c r="AN153" s="80" t="n"/>
      <c r="AO153" s="80" t="n"/>
      <c r="AP153" s="80" t="n"/>
      <c r="AQ153" s="80" t="n"/>
      <c r="AR153" s="81">
        <f>AM153+AN153+AO153+AP153+AQ153</f>
        <v/>
      </c>
      <c r="AS153" s="80" t="n"/>
      <c r="AT153" s="80" t="n"/>
      <c r="AU153" s="80" t="n"/>
      <c r="AV153" s="80" t="n"/>
      <c r="AW153" s="81">
        <f>AS153+AT153+AU153+AV153</f>
        <v/>
      </c>
      <c r="AX153" s="80" t="n"/>
      <c r="AY153" s="80" t="n"/>
      <c r="AZ153" s="80" t="n"/>
      <c r="BA153" s="80" t="n"/>
      <c r="BB153" s="81">
        <f>AX153+AY153+AZ153+BA153</f>
        <v/>
      </c>
      <c r="BC153" s="80" t="n"/>
      <c r="BD153" s="80" t="n"/>
      <c r="BE153" s="80" t="n"/>
      <c r="BF153" s="80" t="n"/>
      <c r="BG153" s="80" t="n"/>
      <c r="BH153" s="81">
        <f>BC153+BD153+BE153+BF153+BG153</f>
        <v/>
      </c>
      <c r="BI153" s="80" t="n"/>
      <c r="BJ153" s="80" t="n"/>
      <c r="BK153" s="80" t="n"/>
      <c r="BL153" s="80" t="n"/>
      <c r="BM153" s="81">
        <f>BI153+BJ153+BK153+BL153</f>
        <v/>
      </c>
    </row>
    <row r="154" ht="15.75" customHeight="1">
      <c r="A154" s="84" t="inlineStr">
        <is>
          <t>SACOLA P EUDORA</t>
        </is>
      </c>
      <c r="B154" s="151" t="n">
        <v>200</v>
      </c>
      <c r="C154" s="151" t="n">
        <v>250</v>
      </c>
      <c r="D154" s="151" t="n">
        <v>0</v>
      </c>
      <c r="E154" s="151" t="n">
        <v>375</v>
      </c>
      <c r="F154" s="81">
        <f>B154+C154+D154+E154</f>
        <v/>
      </c>
      <c r="G154" s="151" t="n">
        <v>75</v>
      </c>
      <c r="H154" s="151" t="n">
        <v>75</v>
      </c>
      <c r="I154" s="151" t="n">
        <v>75</v>
      </c>
      <c r="J154" s="151" t="n">
        <v>50</v>
      </c>
      <c r="K154" s="81">
        <f>G154+H154+I154+J154</f>
        <v/>
      </c>
      <c r="L154" s="151" t="n">
        <v>175</v>
      </c>
      <c r="M154" s="151" t="n">
        <v>125</v>
      </c>
      <c r="N154" s="151" t="n">
        <v>175</v>
      </c>
      <c r="O154" s="151" t="n">
        <v>150</v>
      </c>
      <c r="P154" s="151" t="n">
        <v>175</v>
      </c>
      <c r="Q154" s="81">
        <f>L154+M154+N154+O154+P154</f>
        <v/>
      </c>
      <c r="R154" s="151" t="n"/>
      <c r="S154" s="151" t="n"/>
      <c r="T154" s="151" t="n"/>
      <c r="U154" s="151" t="n"/>
      <c r="V154" s="81">
        <f>R154+S154+T154+U154</f>
        <v/>
      </c>
      <c r="W154" s="151" t="n">
        <v>25</v>
      </c>
      <c r="X154" s="151" t="n">
        <v>300</v>
      </c>
      <c r="Y154" s="151" t="n"/>
      <c r="Z154" s="151" t="n"/>
      <c r="AA154" s="81">
        <f>W154+X154+Y154+Z154</f>
        <v/>
      </c>
      <c r="AB154" s="151" t="n"/>
      <c r="AC154" s="151" t="n"/>
      <c r="AD154" s="151" t="n"/>
      <c r="AE154" s="151" t="n"/>
      <c r="AF154" s="151" t="n"/>
      <c r="AG154" s="81">
        <f>AB154+AC154+AD154+AE154+AF154</f>
        <v/>
      </c>
      <c r="AH154" s="151" t="n"/>
      <c r="AI154" s="151" t="n"/>
      <c r="AJ154" s="151" t="n"/>
      <c r="AK154" s="151" t="n"/>
      <c r="AL154" s="81">
        <f>AH154+AI154+AJ154+AK154</f>
        <v/>
      </c>
      <c r="AM154" s="80" t="n"/>
      <c r="AN154" s="80" t="n"/>
      <c r="AO154" s="80" t="n"/>
      <c r="AP154" s="80" t="n"/>
      <c r="AQ154" s="80" t="n"/>
      <c r="AR154" s="81">
        <f>AM154+AN154+AO154+AP154+AQ154</f>
        <v/>
      </c>
      <c r="AS154" s="80" t="n"/>
      <c r="AT154" s="80" t="n"/>
      <c r="AU154" s="80" t="n"/>
      <c r="AV154" s="80" t="n"/>
      <c r="AW154" s="81">
        <f>AS154+AT154+AU154+AV154</f>
        <v/>
      </c>
      <c r="AX154" s="80" t="n"/>
      <c r="AY154" s="80" t="n"/>
      <c r="AZ154" s="80" t="n"/>
      <c r="BA154" s="80" t="n"/>
      <c r="BB154" s="81">
        <f>AX154+AY154+AZ154+BA154</f>
        <v/>
      </c>
      <c r="BC154" s="80" t="n"/>
      <c r="BD154" s="80" t="n"/>
      <c r="BE154" s="80" t="n"/>
      <c r="BF154" s="80" t="n"/>
      <c r="BG154" s="80" t="n"/>
      <c r="BH154" s="81">
        <f>BC154+BD154+BE154+BF154+BG154</f>
        <v/>
      </c>
      <c r="BI154" s="80" t="n"/>
      <c r="BJ154" s="80" t="n"/>
      <c r="BK154" s="80" t="n"/>
      <c r="BL154" s="80" t="n"/>
      <c r="BM154" s="81">
        <f>BI154+BJ154+BK154+BL154</f>
        <v/>
      </c>
    </row>
    <row r="155" ht="15.75" customHeight="1">
      <c r="A155" s="84" t="inlineStr">
        <is>
          <t>SACOLA M EUDORA</t>
        </is>
      </c>
      <c r="B155" s="151" t="n">
        <v>0</v>
      </c>
      <c r="C155" s="151" t="n">
        <v>25</v>
      </c>
      <c r="D155" s="151" t="n">
        <v>50</v>
      </c>
      <c r="E155" s="151" t="n">
        <v>25</v>
      </c>
      <c r="F155" s="81">
        <f>B155+C155+D155+E155</f>
        <v/>
      </c>
      <c r="G155" s="151" t="n">
        <v>25</v>
      </c>
      <c r="H155" s="151" t="n">
        <v>0</v>
      </c>
      <c r="I155" s="151" t="n">
        <v>0</v>
      </c>
      <c r="J155" s="151" t="n">
        <v>0</v>
      </c>
      <c r="K155" s="81">
        <f>G155+H155+I155+J155</f>
        <v/>
      </c>
      <c r="L155" s="151" t="n">
        <v>0</v>
      </c>
      <c r="M155" s="151" t="n">
        <v>50</v>
      </c>
      <c r="N155" s="151" t="n">
        <v>75</v>
      </c>
      <c r="O155" s="151" t="n">
        <v>0</v>
      </c>
      <c r="P155" s="151" t="n">
        <v>0</v>
      </c>
      <c r="Q155" s="81">
        <f>L155+M155+N155+O155+P155</f>
        <v/>
      </c>
      <c r="R155" s="151" t="n"/>
      <c r="S155" s="151" t="n"/>
      <c r="T155" s="151" t="n"/>
      <c r="U155" s="151" t="n"/>
      <c r="V155" s="81">
        <f>R155+S155+T155+U155</f>
        <v/>
      </c>
      <c r="W155" s="151" t="n">
        <v>25</v>
      </c>
      <c r="X155" s="151" t="n">
        <v>0</v>
      </c>
      <c r="Y155" s="151" t="n"/>
      <c r="Z155" s="151" t="n"/>
      <c r="AA155" s="81">
        <f>W155+X155+Y155+Z155</f>
        <v/>
      </c>
      <c r="AB155" s="151" t="n"/>
      <c r="AC155" s="151" t="n"/>
      <c r="AD155" s="151" t="n"/>
      <c r="AE155" s="151" t="n"/>
      <c r="AF155" s="151" t="n"/>
      <c r="AG155" s="81">
        <f>AB155+AC155+AD155+AE155+AF155</f>
        <v/>
      </c>
      <c r="AH155" s="151" t="n"/>
      <c r="AI155" s="151" t="n"/>
      <c r="AJ155" s="151" t="n"/>
      <c r="AK155" s="151" t="n"/>
      <c r="AL155" s="81">
        <f>AH155+AI155+AJ155+AK155</f>
        <v/>
      </c>
      <c r="AM155" s="80" t="n"/>
      <c r="AN155" s="80" t="n"/>
      <c r="AO155" s="80" t="n"/>
      <c r="AP155" s="80" t="n"/>
      <c r="AQ155" s="80" t="n"/>
      <c r="AR155" s="81">
        <f>AM155+AN155+AO155+AP155+AQ155</f>
        <v/>
      </c>
      <c r="AS155" s="80" t="n"/>
      <c r="AT155" s="80" t="n"/>
      <c r="AU155" s="80" t="n"/>
      <c r="AV155" s="80" t="n"/>
      <c r="AW155" s="81">
        <f>AS155+AT155+AU155+AV155</f>
        <v/>
      </c>
      <c r="AX155" s="80" t="n"/>
      <c r="AY155" s="80" t="n"/>
      <c r="AZ155" s="80" t="n"/>
      <c r="BA155" s="80" t="n"/>
      <c r="BB155" s="81">
        <f>AX155+AY155+AZ155+BA155</f>
        <v/>
      </c>
      <c r="BC155" s="80" t="n"/>
      <c r="BD155" s="80" t="n"/>
      <c r="BE155" s="80" t="n"/>
      <c r="BF155" s="80" t="n"/>
      <c r="BG155" s="80" t="n"/>
      <c r="BH155" s="81">
        <f>BC155+BD155+BE155+BF155+BG155</f>
        <v/>
      </c>
      <c r="BI155" s="80" t="n"/>
      <c r="BJ155" s="80" t="n"/>
      <c r="BK155" s="80" t="n"/>
      <c r="BL155" s="80" t="n"/>
      <c r="BM155" s="81">
        <f>BI155+BJ155+BK155+BL155</f>
        <v/>
      </c>
    </row>
    <row r="156" ht="15.75" customHeight="1">
      <c r="A156" s="84" t="inlineStr">
        <is>
          <t>SACOLA G EUDORA</t>
        </is>
      </c>
      <c r="B156" s="151" t="n">
        <v>0</v>
      </c>
      <c r="C156" s="151" t="n">
        <v>0</v>
      </c>
      <c r="D156" s="151" t="n">
        <v>0</v>
      </c>
      <c r="E156" s="151" t="n">
        <v>0</v>
      </c>
      <c r="F156" s="81">
        <f>B156+C156+D156+E156</f>
        <v/>
      </c>
      <c r="G156" s="151" t="n">
        <v>0</v>
      </c>
      <c r="H156" s="151" t="n">
        <v>0</v>
      </c>
      <c r="I156" s="151" t="n">
        <v>0</v>
      </c>
      <c r="J156" s="151" t="n">
        <v>0</v>
      </c>
      <c r="K156" s="81">
        <f>G156+H156+I156+J156</f>
        <v/>
      </c>
      <c r="L156" s="151" t="n">
        <v>0</v>
      </c>
      <c r="M156" s="151" t="n">
        <v>0</v>
      </c>
      <c r="N156" s="151" t="n">
        <v>25</v>
      </c>
      <c r="O156" s="151" t="n">
        <v>25</v>
      </c>
      <c r="P156" s="151" t="n">
        <v>0</v>
      </c>
      <c r="Q156" s="81">
        <f>L156+M156+N156+O156+P156</f>
        <v/>
      </c>
      <c r="R156" s="151" t="n"/>
      <c r="S156" s="151" t="n"/>
      <c r="T156" s="151" t="n"/>
      <c r="U156" s="151" t="n"/>
      <c r="V156" s="81">
        <f>R156+S156+T156+U156</f>
        <v/>
      </c>
      <c r="W156" s="151" t="n">
        <v>25</v>
      </c>
      <c r="X156" s="151" t="n">
        <v>100</v>
      </c>
      <c r="Y156" s="151" t="n"/>
      <c r="Z156" s="151" t="n"/>
      <c r="AA156" s="81">
        <f>W156+X156+Y156+Z156</f>
        <v/>
      </c>
      <c r="AB156" s="151" t="n"/>
      <c r="AC156" s="151" t="n"/>
      <c r="AD156" s="151" t="n"/>
      <c r="AE156" s="151" t="n"/>
      <c r="AF156" s="151" t="n"/>
      <c r="AG156" s="81">
        <f>AB156+AC156+AD156+AE156+AF156</f>
        <v/>
      </c>
      <c r="AH156" s="151" t="n"/>
      <c r="AI156" s="151" t="n"/>
      <c r="AJ156" s="151" t="n"/>
      <c r="AK156" s="151" t="n"/>
      <c r="AL156" s="81">
        <f>AH156+AI156+AJ156+AK156</f>
        <v/>
      </c>
      <c r="AM156" s="80" t="n"/>
      <c r="AN156" s="80" t="n"/>
      <c r="AO156" s="80" t="n"/>
      <c r="AP156" s="80" t="n"/>
      <c r="AQ156" s="80" t="n"/>
      <c r="AR156" s="81">
        <f>AM156+AN156+AO156+AP156+AQ156</f>
        <v/>
      </c>
      <c r="AS156" s="80" t="n"/>
      <c r="AT156" s="80" t="n"/>
      <c r="AU156" s="80" t="n"/>
      <c r="AV156" s="80" t="n"/>
      <c r="AW156" s="81">
        <f>AS156+AT156+AU156+AV156</f>
        <v/>
      </c>
      <c r="AX156" s="80" t="n"/>
      <c r="AY156" s="80" t="n"/>
      <c r="AZ156" s="80" t="n"/>
      <c r="BA156" s="80" t="n"/>
      <c r="BB156" s="81">
        <f>AX156+AY156+AZ156+BA156</f>
        <v/>
      </c>
      <c r="BC156" s="80" t="n"/>
      <c r="BD156" s="80" t="n"/>
      <c r="BE156" s="80" t="n"/>
      <c r="BF156" s="80" t="n"/>
      <c r="BG156" s="80" t="n"/>
      <c r="BH156" s="81">
        <f>BC156+BD156+BE156+BF156+BG156</f>
        <v/>
      </c>
      <c r="BI156" s="80" t="n"/>
      <c r="BJ156" s="80" t="n"/>
      <c r="BK156" s="80" t="n"/>
      <c r="BL156" s="80" t="n"/>
      <c r="BM156" s="81">
        <f>BI156+BJ156+BK156+BL156</f>
        <v/>
      </c>
    </row>
    <row r="157" ht="15.75" customHeight="1">
      <c r="A157" s="207" t="inlineStr">
        <is>
          <t>PAPEL DE SEDA EUDORA</t>
        </is>
      </c>
      <c r="B157" s="151" t="n">
        <v>0</v>
      </c>
      <c r="C157" s="151" t="n">
        <v>0</v>
      </c>
      <c r="D157" s="151" t="n">
        <v>0</v>
      </c>
      <c r="E157" s="151" t="n">
        <v>5</v>
      </c>
      <c r="F157" s="81">
        <f>B157+C157+D157+E157</f>
        <v/>
      </c>
      <c r="G157" s="151" t="n">
        <v>0</v>
      </c>
      <c r="H157" s="151" t="n">
        <v>0</v>
      </c>
      <c r="I157" s="151" t="n">
        <v>1</v>
      </c>
      <c r="J157" s="151" t="n">
        <v>0</v>
      </c>
      <c r="K157" s="81">
        <f>G157+H157+I157+J157</f>
        <v/>
      </c>
      <c r="L157" s="151" t="n">
        <v>1</v>
      </c>
      <c r="M157" s="151" t="n">
        <v>0</v>
      </c>
      <c r="N157" s="151" t="n">
        <v>0</v>
      </c>
      <c r="O157" s="151" t="n">
        <v>0</v>
      </c>
      <c r="P157" s="151" t="n">
        <v>0</v>
      </c>
      <c r="Q157" s="81">
        <f>L157+M157+N157+O157+P157</f>
        <v/>
      </c>
      <c r="R157" s="151" t="n"/>
      <c r="S157" s="151" t="n"/>
      <c r="T157" s="151" t="n"/>
      <c r="U157" s="151" t="n"/>
      <c r="V157" s="81">
        <f>R157+S157+T157+U157</f>
        <v/>
      </c>
      <c r="W157" s="151" t="n">
        <v>0</v>
      </c>
      <c r="X157" s="151" t="n">
        <v>1</v>
      </c>
      <c r="Y157" s="151" t="n"/>
      <c r="Z157" s="151" t="n"/>
      <c r="AA157" s="81">
        <f>W157+X157+Y157+Z157</f>
        <v/>
      </c>
      <c r="AB157" s="151" t="n"/>
      <c r="AC157" s="151" t="n"/>
      <c r="AD157" s="151" t="n"/>
      <c r="AE157" s="151" t="n"/>
      <c r="AF157" s="151" t="n"/>
      <c r="AG157" s="81">
        <f>AB157+AC157+AD157+AE157+AF157</f>
        <v/>
      </c>
      <c r="AH157" s="151" t="n"/>
      <c r="AI157" s="151" t="n"/>
      <c r="AJ157" s="151" t="n"/>
      <c r="AK157" s="151" t="n"/>
      <c r="AL157" s="81">
        <f>AH157+AI157+AJ157+AK157</f>
        <v/>
      </c>
      <c r="AM157" s="80" t="n"/>
      <c r="AN157" s="80" t="n"/>
      <c r="AO157" s="80" t="n"/>
      <c r="AP157" s="80" t="n"/>
      <c r="AQ157" s="80" t="n"/>
      <c r="AR157" s="81">
        <f>AM157+AN157+AO157+AP157+AQ157</f>
        <v/>
      </c>
      <c r="AS157" s="80" t="n"/>
      <c r="AT157" s="80" t="n"/>
      <c r="AU157" s="80" t="n"/>
      <c r="AV157" s="80" t="n"/>
      <c r="AW157" s="81">
        <f>AS157+AT157+AU157+AV157</f>
        <v/>
      </c>
      <c r="AX157" s="80" t="n"/>
      <c r="AY157" s="80" t="n"/>
      <c r="AZ157" s="80" t="n"/>
      <c r="BA157" s="80" t="n"/>
      <c r="BB157" s="81">
        <f>AX157+AY157+AZ157+BA157</f>
        <v/>
      </c>
      <c r="BC157" s="80" t="n"/>
      <c r="BD157" s="80" t="n"/>
      <c r="BE157" s="80" t="n"/>
      <c r="BF157" s="80" t="n"/>
      <c r="BG157" s="80" t="n"/>
      <c r="BH157" s="81">
        <f>BC157+BD157+BE157+BF157+BG157</f>
        <v/>
      </c>
      <c r="BI157" s="80" t="n"/>
      <c r="BJ157" s="80" t="n"/>
      <c r="BK157" s="80" t="n"/>
      <c r="BL157" s="80" t="n"/>
      <c r="BM157" s="81">
        <f>BI157+BJ157+BK157+BL157</f>
        <v/>
      </c>
    </row>
    <row r="158" ht="15.75" customHeight="1">
      <c r="A158" s="207" t="inlineStr">
        <is>
          <t>ADESIVOS EUDORA</t>
        </is>
      </c>
      <c r="B158" s="151" t="n">
        <v>0</v>
      </c>
      <c r="C158" s="151" t="n">
        <v>0</v>
      </c>
      <c r="D158" s="151" t="n">
        <v>0</v>
      </c>
      <c r="E158" s="151" t="n">
        <v>3</v>
      </c>
      <c r="F158" s="81">
        <f>B158+C158+D158+E158</f>
        <v/>
      </c>
      <c r="G158" s="151" t="n">
        <v>0</v>
      </c>
      <c r="H158" s="151" t="n">
        <v>0</v>
      </c>
      <c r="I158" s="151" t="n">
        <v>0</v>
      </c>
      <c r="J158" s="151" t="n">
        <v>0</v>
      </c>
      <c r="K158" s="81">
        <f>G158+H158+I158+J158</f>
        <v/>
      </c>
      <c r="L158" s="151" t="n">
        <v>0</v>
      </c>
      <c r="M158" s="151" t="n">
        <v>1</v>
      </c>
      <c r="N158" s="151" t="n">
        <v>0</v>
      </c>
      <c r="O158" s="151" t="n">
        <v>0</v>
      </c>
      <c r="P158" s="151" t="n">
        <v>0</v>
      </c>
      <c r="Q158" s="81">
        <f>L158+M158+N158+O158+P158</f>
        <v/>
      </c>
      <c r="R158" s="151" t="n"/>
      <c r="S158" s="151" t="n"/>
      <c r="T158" s="151" t="n"/>
      <c r="U158" s="151" t="n"/>
      <c r="V158" s="81">
        <f>R158+S158+T158+U158</f>
        <v/>
      </c>
      <c r="W158" s="151" t="n">
        <v>0</v>
      </c>
      <c r="X158" s="151" t="n">
        <v>0</v>
      </c>
      <c r="Y158" s="151" t="n"/>
      <c r="Z158" s="151" t="n"/>
      <c r="AA158" s="81">
        <f>W158+X158+Y158+Z158</f>
        <v/>
      </c>
      <c r="AB158" s="151" t="n"/>
      <c r="AC158" s="151" t="n"/>
      <c r="AD158" s="151" t="n"/>
      <c r="AE158" s="151" t="n"/>
      <c r="AF158" s="151" t="n"/>
      <c r="AG158" s="81">
        <f>AB158+AC158+AD158+AE158+AF158</f>
        <v/>
      </c>
      <c r="AH158" s="151" t="n"/>
      <c r="AI158" s="151" t="n"/>
      <c r="AJ158" s="151" t="n"/>
      <c r="AK158" s="151" t="n"/>
      <c r="AL158" s="81">
        <f>AH158+AI158+AJ158+AK158</f>
        <v/>
      </c>
      <c r="AM158" s="80" t="n"/>
      <c r="AN158" s="80" t="n"/>
      <c r="AO158" s="80" t="n"/>
      <c r="AP158" s="80" t="n"/>
      <c r="AQ158" s="80" t="n"/>
      <c r="AR158" s="81">
        <f>AM158+AN158+AO158+AP158+AQ158</f>
        <v/>
      </c>
      <c r="AS158" s="80" t="n"/>
      <c r="AT158" s="80" t="n"/>
      <c r="AU158" s="80" t="n"/>
      <c r="AV158" s="80" t="n"/>
      <c r="AW158" s="81">
        <f>AS158+AT158+AU158+AV158</f>
        <v/>
      </c>
      <c r="AX158" s="80" t="n"/>
      <c r="AY158" s="80" t="n"/>
      <c r="AZ158" s="80" t="n"/>
      <c r="BA158" s="80" t="n"/>
      <c r="BB158" s="81">
        <f>AX158+AY158+AZ158+BA158</f>
        <v/>
      </c>
      <c r="BC158" s="80" t="n"/>
      <c r="BD158" s="80" t="n"/>
      <c r="BE158" s="80" t="n"/>
      <c r="BF158" s="80" t="n"/>
      <c r="BG158" s="80" t="n"/>
      <c r="BH158" s="81">
        <f>BC158+BD158+BE158+BF158+BG158</f>
        <v/>
      </c>
      <c r="BI158" s="80" t="n"/>
      <c r="BJ158" s="80" t="n"/>
      <c r="BK158" s="80" t="n"/>
      <c r="BL158" s="80" t="n"/>
      <c r="BM158" s="81">
        <f>BI158+BJ158+BK158+BL158</f>
        <v/>
      </c>
    </row>
    <row r="159" ht="15.75" customHeight="1">
      <c r="A159" s="84" t="inlineStr">
        <is>
          <t>LÂMINA OLFATIVA EUDORA</t>
        </is>
      </c>
      <c r="B159" s="151" t="n">
        <v>0</v>
      </c>
      <c r="C159" s="151" t="n">
        <v>0</v>
      </c>
      <c r="D159" s="151" t="n">
        <v>0</v>
      </c>
      <c r="E159" s="151" t="n">
        <v>0</v>
      </c>
      <c r="F159" s="81">
        <f>B159+C159+D159+E159</f>
        <v/>
      </c>
      <c r="G159" s="151" t="n">
        <v>0</v>
      </c>
      <c r="H159" s="151" t="n">
        <v>0</v>
      </c>
      <c r="I159" s="151" t="n">
        <v>0</v>
      </c>
      <c r="J159" s="151" t="n">
        <v>0</v>
      </c>
      <c r="K159" s="81">
        <f>G159+H159+I159+J159</f>
        <v/>
      </c>
      <c r="L159" s="151" t="n">
        <v>0</v>
      </c>
      <c r="M159" s="151" t="n">
        <v>0</v>
      </c>
      <c r="N159" s="151" t="n">
        <v>0</v>
      </c>
      <c r="O159" s="151" t="n">
        <v>0</v>
      </c>
      <c r="P159" s="151" t="n">
        <v>0</v>
      </c>
      <c r="Q159" s="81">
        <f>L159+M159+N159+O159+P159</f>
        <v/>
      </c>
      <c r="R159" s="151" t="n"/>
      <c r="S159" s="151" t="n"/>
      <c r="T159" s="151" t="n"/>
      <c r="U159" s="151" t="n"/>
      <c r="V159" s="81">
        <f>R159+S159+T159+U159</f>
        <v/>
      </c>
      <c r="W159" s="151" t="n">
        <v>0</v>
      </c>
      <c r="X159" s="151" t="n">
        <v>0</v>
      </c>
      <c r="Y159" s="151" t="n"/>
      <c r="Z159" s="151" t="n"/>
      <c r="AA159" s="81">
        <f>W159+X159+Y159+Z159</f>
        <v/>
      </c>
      <c r="AB159" s="151" t="n"/>
      <c r="AC159" s="151" t="n"/>
      <c r="AD159" s="151" t="n"/>
      <c r="AE159" s="151" t="n"/>
      <c r="AF159" s="151" t="n"/>
      <c r="AG159" s="81">
        <f>AB159+AC159+AD159+AE159+AF159</f>
        <v/>
      </c>
      <c r="AH159" s="151" t="n"/>
      <c r="AI159" s="151" t="n"/>
      <c r="AJ159" s="151" t="n"/>
      <c r="AK159" s="151" t="n"/>
      <c r="AL159" s="81">
        <f>AH159+AI159+AJ159+AK159</f>
        <v/>
      </c>
      <c r="AM159" s="80" t="n"/>
      <c r="AN159" s="80" t="n"/>
      <c r="AO159" s="80" t="n"/>
      <c r="AP159" s="80" t="n"/>
      <c r="AQ159" s="80" t="n"/>
      <c r="AR159" s="81">
        <f>AM159+AN159+AO159+AP159+AQ159</f>
        <v/>
      </c>
      <c r="AS159" s="80" t="n"/>
      <c r="AT159" s="80" t="n"/>
      <c r="AU159" s="80" t="n"/>
      <c r="AV159" s="80" t="n"/>
      <c r="AW159" s="81">
        <f>AS159+AT159+AU159+AV159</f>
        <v/>
      </c>
      <c r="AX159" s="80" t="n"/>
      <c r="AY159" s="80" t="n"/>
      <c r="AZ159" s="80" t="n"/>
      <c r="BA159" s="80" t="n"/>
      <c r="BB159" s="81">
        <f>AX159+AY159+AZ159+BA159</f>
        <v/>
      </c>
      <c r="BC159" s="80" t="n"/>
      <c r="BD159" s="80" t="n"/>
      <c r="BE159" s="80" t="n"/>
      <c r="BF159" s="80" t="n"/>
      <c r="BG159" s="80" t="n"/>
      <c r="BH159" s="81">
        <f>BC159+BD159+BE159+BF159+BG159</f>
        <v/>
      </c>
      <c r="BI159" s="80" t="n"/>
      <c r="BJ159" s="80" t="n"/>
      <c r="BK159" s="80" t="n"/>
      <c r="BL159" s="80" t="n"/>
      <c r="BM159" s="81">
        <f>BI159+BJ159+BK159+BL159</f>
        <v/>
      </c>
    </row>
    <row r="160" ht="15.75" customHeight="1">
      <c r="A160" s="86" t="inlineStr">
        <is>
          <t>TOTAL DE SACOLAS</t>
        </is>
      </c>
      <c r="B160" s="87">
        <f>SUM(B133:B136)</f>
        <v/>
      </c>
      <c r="C160" s="87">
        <f>SUM(C133:C136)</f>
        <v/>
      </c>
      <c r="D160" s="87">
        <f>SUM(D133:D136)</f>
        <v/>
      </c>
      <c r="E160" s="87">
        <f>SUM(E133:E136)</f>
        <v/>
      </c>
      <c r="F160" s="87">
        <f>F133+F134+F135+F136+F147+F148+F149+F154+F155+F156</f>
        <v/>
      </c>
      <c r="G160" s="87">
        <f>SUM(G133:G136)</f>
        <v/>
      </c>
      <c r="H160" s="87">
        <f>SUM(H133:H136)</f>
        <v/>
      </c>
      <c r="I160" s="87">
        <f>SUM(I133:I136)</f>
        <v/>
      </c>
      <c r="J160" s="87">
        <f>SUM(J133:J136)</f>
        <v/>
      </c>
      <c r="K160" s="87">
        <f>K133+K134+K135+K136+K147+K148+K149+K154+K155+K156</f>
        <v/>
      </c>
      <c r="L160" s="87">
        <f>SUM(L133:L136)</f>
        <v/>
      </c>
      <c r="M160" s="87">
        <f>SUM(M133:M136)</f>
        <v/>
      </c>
      <c r="N160" s="87">
        <f>SUM(N133:N136)</f>
        <v/>
      </c>
      <c r="O160" s="87">
        <f>SUM(O133:O136)</f>
        <v/>
      </c>
      <c r="P160" s="87">
        <f>SUM(P133:P136)</f>
        <v/>
      </c>
      <c r="Q160" s="87">
        <f>Q133+Q134+Q135+Q136+Q147+Q148+Q149+Q154+Q155+Q156</f>
        <v/>
      </c>
      <c r="R160" s="87">
        <f>SUM(R133:R136)</f>
        <v/>
      </c>
      <c r="S160" s="87">
        <f>SUM(S133:S136)</f>
        <v/>
      </c>
      <c r="T160" s="87">
        <f>SUM(T133:T136)</f>
        <v/>
      </c>
      <c r="U160" s="87">
        <f>SUM(U133:U136)</f>
        <v/>
      </c>
      <c r="V160" s="87">
        <f>V133+V134+V135+V136+V147+V148+V149+V154+V155+V156</f>
        <v/>
      </c>
      <c r="W160" s="87">
        <f>SUM(W133:W136)</f>
        <v/>
      </c>
      <c r="X160" s="87">
        <f>SUM(X133:X136)</f>
        <v/>
      </c>
      <c r="Y160" s="87">
        <f>SUM(Y133:Y136)</f>
        <v/>
      </c>
      <c r="Z160" s="87">
        <f>SUM(Z133:Z136)</f>
        <v/>
      </c>
      <c r="AA160" s="87">
        <f>AA133+AA134+AA135+AA136+AA147+AA148+AA149+AA154+AA155+AA156</f>
        <v/>
      </c>
      <c r="AB160" s="87">
        <f>SUM(AB133:AB136)</f>
        <v/>
      </c>
      <c r="AC160" s="87">
        <f>SUM(AC133:AC136)</f>
        <v/>
      </c>
      <c r="AD160" s="87">
        <f>SUM(AD133:AD136)</f>
        <v/>
      </c>
      <c r="AE160" s="87">
        <f>SUM(AE133:AE136)</f>
        <v/>
      </c>
      <c r="AF160" s="87">
        <f>SUM(AF133:AF136)</f>
        <v/>
      </c>
      <c r="AG160" s="87">
        <f>AG133+AG134+AG135+AG136+AG147+AG148+AG149+AG154+AG155+AG156</f>
        <v/>
      </c>
      <c r="AH160" s="87">
        <f>SUM(AH133:AH136)</f>
        <v/>
      </c>
      <c r="AI160" s="87">
        <f>SUM(AI133:AI136)</f>
        <v/>
      </c>
      <c r="AJ160" s="87">
        <f>SUM(AJ133:AJ136)</f>
        <v/>
      </c>
      <c r="AK160" s="87">
        <f>SUM(AK133:AK136)</f>
        <v/>
      </c>
      <c r="AL160" s="87">
        <f>AL133+AL134+AL135+AL136+AL147+AL148+AL149+AL154+AL155+AL156</f>
        <v/>
      </c>
      <c r="AM160" s="87">
        <f>SUM(AM133:AM136)</f>
        <v/>
      </c>
      <c r="AN160" s="87">
        <f>SUM(AN133:AN136)</f>
        <v/>
      </c>
      <c r="AO160" s="87">
        <f>SUM(AO133:AO136)</f>
        <v/>
      </c>
      <c r="AP160" s="87">
        <f>SUM(AP133:AP136)</f>
        <v/>
      </c>
      <c r="AQ160" s="87">
        <f>SUM(AQ133:AQ136)</f>
        <v/>
      </c>
      <c r="AR160" s="87">
        <f>AR133+AR134+AR135+AR136+AR147+AR148+AR149+AR154+AR155+AR156</f>
        <v/>
      </c>
      <c r="AS160" s="87">
        <f>SUM(AS133:AS136)</f>
        <v/>
      </c>
      <c r="AT160" s="87">
        <f>SUM(AT133:AT136)</f>
        <v/>
      </c>
      <c r="AU160" s="87">
        <f>SUM(AU133:AU136)</f>
        <v/>
      </c>
      <c r="AV160" s="87">
        <f>SUM(AV133:AV136)</f>
        <v/>
      </c>
      <c r="AW160" s="87">
        <f>AW133+AW134+AW135+AW136+AW147+AW148+AW149+AW154+AW155+AW156</f>
        <v/>
      </c>
      <c r="AX160" s="87">
        <f>SUM(AX133:AX136)</f>
        <v/>
      </c>
      <c r="AY160" s="87">
        <f>SUM(AY133:AY136)</f>
        <v/>
      </c>
      <c r="AZ160" s="87">
        <f>SUM(AZ133:AZ136)</f>
        <v/>
      </c>
      <c r="BA160" s="87">
        <f>SUM(BA133:BA136)</f>
        <v/>
      </c>
      <c r="BB160" s="87">
        <f>BB133+BB134+BB135+BB136+BB147+BB148+BB149+BB154+BB155+BB156</f>
        <v/>
      </c>
      <c r="BC160" s="87">
        <f>SUM(BC133:BC136)</f>
        <v/>
      </c>
      <c r="BD160" s="87">
        <f>SUM(BD133:BD136)</f>
        <v/>
      </c>
      <c r="BE160" s="87">
        <f>SUM(BE133:BE136)</f>
        <v/>
      </c>
      <c r="BF160" s="87">
        <f>SUM(BF133:BF136)</f>
        <v/>
      </c>
      <c r="BG160" s="87">
        <f>SUM(BG133:BG136)</f>
        <v/>
      </c>
      <c r="BH160" s="87">
        <f>BH133+BH134+BH135+BH136+BH147+BH148+BH149+BH154+BH155+BH156</f>
        <v/>
      </c>
      <c r="BI160" s="87">
        <f>SUM(BI133:BI136)</f>
        <v/>
      </c>
      <c r="BJ160" s="87">
        <f>SUM(BJ133:BJ136)</f>
        <v/>
      </c>
      <c r="BK160" s="87">
        <f>SUM(BK133:BK136)</f>
        <v/>
      </c>
      <c r="BL160" s="87">
        <f>SUM(BL133:BL136)</f>
        <v/>
      </c>
      <c r="BM160" s="87">
        <f>BM133+BM134+BM135+BM136+BM147+BM148+BM149+BM154+BM155+BM156</f>
        <v/>
      </c>
    </row>
    <row r="162" ht="15.75" customHeight="1">
      <c r="A162" s="532" t="inlineStr">
        <is>
          <t>GASTO DE SACOLAS E ITENS DOADOS 2026 - MENSAIS</t>
        </is>
      </c>
      <c r="B162" s="734" t="n"/>
      <c r="C162" s="734" t="n"/>
      <c r="D162" s="734" t="n"/>
      <c r="E162" s="734" t="n"/>
      <c r="F162" s="734" t="n"/>
      <c r="G162" s="734" t="n"/>
      <c r="H162" s="734" t="n"/>
      <c r="I162" s="734" t="n"/>
      <c r="J162" s="734" t="n"/>
      <c r="K162" s="734" t="n"/>
      <c r="L162" s="734" t="n"/>
      <c r="M162" s="734" t="n"/>
      <c r="N162" s="734" t="n"/>
      <c r="O162" s="734" t="n"/>
      <c r="P162" s="734" t="n"/>
      <c r="Q162" s="734" t="n"/>
      <c r="R162" s="734" t="n"/>
      <c r="S162" s="734" t="n"/>
      <c r="T162" s="734" t="n"/>
      <c r="U162" s="734" t="n"/>
      <c r="V162" s="734" t="n"/>
      <c r="W162" s="734" t="n"/>
      <c r="X162" s="734" t="n"/>
      <c r="Y162" s="734" t="n"/>
      <c r="Z162" s="734" t="n"/>
      <c r="AA162" s="734" t="n"/>
      <c r="AB162" s="734" t="n"/>
      <c r="AC162" s="734" t="n"/>
      <c r="AD162" s="734" t="n"/>
      <c r="AE162" s="734" t="n"/>
      <c r="AF162" s="734" t="n"/>
      <c r="AG162" s="734" t="n"/>
      <c r="AH162" s="734" t="n"/>
      <c r="AI162" s="734" t="n"/>
      <c r="AJ162" s="734" t="n"/>
      <c r="AK162" s="734" t="n"/>
      <c r="AL162" s="734" t="n"/>
      <c r="AM162" s="734" t="n"/>
      <c r="AN162" s="734" t="n"/>
      <c r="AO162" s="734" t="n"/>
      <c r="AP162" s="734" t="n"/>
      <c r="AQ162" s="734" t="n"/>
      <c r="AR162" s="734" t="n"/>
      <c r="AS162" s="734" t="n"/>
      <c r="AT162" s="734" t="n"/>
      <c r="AU162" s="734" t="n"/>
      <c r="AV162" s="734" t="n"/>
      <c r="AW162" s="734" t="n"/>
      <c r="AX162" s="734" t="n"/>
      <c r="AY162" s="734" t="n"/>
      <c r="AZ162" s="734" t="n"/>
      <c r="BA162" s="734" t="n"/>
      <c r="BB162" s="734" t="n"/>
      <c r="BC162" s="734" t="n"/>
      <c r="BD162" s="734" t="n"/>
      <c r="BE162" s="734" t="n"/>
      <c r="BF162" s="734" t="n"/>
      <c r="BG162" s="734" t="n"/>
      <c r="BH162" s="734" t="n"/>
      <c r="BI162" s="734" t="n"/>
      <c r="BJ162" s="734" t="n"/>
      <c r="BK162" s="734" t="n"/>
      <c r="BL162" s="734" t="n"/>
      <c r="BM162" s="734" t="n"/>
    </row>
    <row r="163" ht="15.75" customHeight="1">
      <c r="A163" s="739" t="inlineStr">
        <is>
          <t>ER MONGAGUÁ</t>
        </is>
      </c>
      <c r="B163" s="536" t="inlineStr">
        <is>
          <t>JANEIRO</t>
        </is>
      </c>
      <c r="C163" s="736" t="n"/>
      <c r="D163" s="736" t="n"/>
      <c r="E163" s="736" t="n"/>
      <c r="F163" s="537" t="inlineStr">
        <is>
          <t>FEVEREIRO</t>
        </is>
      </c>
      <c r="G163" s="736" t="n"/>
      <c r="H163" s="736" t="n"/>
      <c r="I163" s="736" t="n"/>
      <c r="J163" s="736" t="n"/>
      <c r="K163" s="538" t="n"/>
      <c r="L163" s="735" t="inlineStr">
        <is>
          <t>MARÇO</t>
        </is>
      </c>
      <c r="M163" s="736" t="n"/>
      <c r="N163" s="736" t="n"/>
      <c r="O163" s="736" t="n"/>
      <c r="P163" s="736" t="n"/>
      <c r="Q163" s="737" t="n"/>
      <c r="R163" s="735" t="inlineStr">
        <is>
          <t>ABRIL</t>
        </is>
      </c>
      <c r="S163" s="736" t="n"/>
      <c r="T163" s="736" t="n"/>
      <c r="U163" s="736" t="n"/>
      <c r="V163" s="737" t="n"/>
      <c r="W163" s="735" t="inlineStr">
        <is>
          <t>MAIO</t>
        </is>
      </c>
      <c r="X163" s="736" t="n"/>
      <c r="Y163" s="736" t="n"/>
      <c r="Z163" s="736" t="n"/>
      <c r="AA163" s="737" t="n"/>
      <c r="AB163" s="735" t="inlineStr">
        <is>
          <t>JUNHO</t>
        </is>
      </c>
      <c r="AC163" s="736" t="n"/>
      <c r="AD163" s="736" t="n"/>
      <c r="AE163" s="736" t="n"/>
      <c r="AF163" s="736" t="n"/>
      <c r="AG163" s="737" t="n"/>
      <c r="AH163" s="735" t="inlineStr">
        <is>
          <t>JULHO</t>
        </is>
      </c>
      <c r="AI163" s="736" t="n"/>
      <c r="AJ163" s="736" t="n"/>
      <c r="AK163" s="736" t="n"/>
      <c r="AL163" s="737" t="n"/>
      <c r="AM163" s="735" t="inlineStr">
        <is>
          <t>AGOSTO</t>
        </is>
      </c>
      <c r="AN163" s="736" t="n"/>
      <c r="AO163" s="736" t="n"/>
      <c r="AP163" s="736" t="n"/>
      <c r="AQ163" s="736" t="n"/>
      <c r="AR163" s="737" t="n"/>
      <c r="AS163" s="735" t="inlineStr">
        <is>
          <t>SETEMBRO</t>
        </is>
      </c>
      <c r="AT163" s="736" t="n"/>
      <c r="AU163" s="736" t="n"/>
      <c r="AV163" s="736" t="n"/>
      <c r="AW163" s="737" t="n"/>
      <c r="AX163" s="735" t="inlineStr">
        <is>
          <t>OUTUBRO</t>
        </is>
      </c>
      <c r="AY163" s="736" t="n"/>
      <c r="AZ163" s="736" t="n"/>
      <c r="BA163" s="736" t="n"/>
      <c r="BB163" s="737" t="n"/>
      <c r="BC163" s="735" t="inlineStr">
        <is>
          <t>NOVEMBRO</t>
        </is>
      </c>
      <c r="BD163" s="736" t="n"/>
      <c r="BE163" s="736" t="n"/>
      <c r="BF163" s="736" t="n"/>
      <c r="BG163" s="736" t="n"/>
      <c r="BH163" s="737" t="n"/>
      <c r="BI163" s="735" t="inlineStr">
        <is>
          <t>DEZEMBRO</t>
        </is>
      </c>
      <c r="BJ163" s="736" t="n"/>
      <c r="BK163" s="736" t="n"/>
      <c r="BL163" s="736" t="n"/>
      <c r="BM163" s="737" t="n"/>
    </row>
    <row r="164" ht="15.75" customHeight="1">
      <c r="A164" s="740" t="n"/>
      <c r="B164" s="78" t="n">
        <v>46027</v>
      </c>
      <c r="C164" s="78" t="n">
        <v>46034</v>
      </c>
      <c r="D164" s="78" t="n">
        <v>46041</v>
      </c>
      <c r="E164" s="78" t="n">
        <v>46048</v>
      </c>
      <c r="F164" s="85" t="inlineStr">
        <is>
          <t>USOU</t>
        </is>
      </c>
      <c r="G164" s="78" t="n">
        <v>46055</v>
      </c>
      <c r="H164" s="78" t="n">
        <v>46062</v>
      </c>
      <c r="I164" s="78" t="n">
        <v>46069</v>
      </c>
      <c r="J164" s="78" t="n">
        <v>46076</v>
      </c>
      <c r="K164" s="85" t="inlineStr">
        <is>
          <t>USOU</t>
        </is>
      </c>
      <c r="L164" s="78" t="n">
        <v>46083</v>
      </c>
      <c r="M164" s="78" t="n">
        <v>46090</v>
      </c>
      <c r="N164" s="78" t="n">
        <v>46097</v>
      </c>
      <c r="O164" s="78" t="n">
        <v>46104</v>
      </c>
      <c r="P164" s="78" t="n">
        <v>46111</v>
      </c>
      <c r="Q164" s="85" t="inlineStr">
        <is>
          <t>USOU</t>
        </is>
      </c>
      <c r="R164" s="78" t="n">
        <v>46118</v>
      </c>
      <c r="S164" s="78" t="n">
        <v>46125</v>
      </c>
      <c r="T164" s="78" t="n">
        <v>46132</v>
      </c>
      <c r="U164" s="78" t="n">
        <v>46139</v>
      </c>
      <c r="V164" s="85" t="inlineStr">
        <is>
          <t>USOU</t>
        </is>
      </c>
      <c r="W164" s="78" t="n">
        <v>46146</v>
      </c>
      <c r="X164" s="78" t="n">
        <v>46153</v>
      </c>
      <c r="Y164" s="78" t="n">
        <v>46160</v>
      </c>
      <c r="Z164" s="78" t="n">
        <v>46167</v>
      </c>
      <c r="AA164" s="85" t="inlineStr">
        <is>
          <t>USOU</t>
        </is>
      </c>
      <c r="AB164" s="78" t="n">
        <v>46174</v>
      </c>
      <c r="AC164" s="78" t="n">
        <v>46181</v>
      </c>
      <c r="AD164" s="78" t="n">
        <v>46188</v>
      </c>
      <c r="AE164" s="78" t="n">
        <v>46195</v>
      </c>
      <c r="AF164" s="78" t="n">
        <v>46202</v>
      </c>
      <c r="AG164" s="85" t="inlineStr">
        <is>
          <t>USOU</t>
        </is>
      </c>
      <c r="AH164" s="78" t="n">
        <v>46209</v>
      </c>
      <c r="AI164" s="78" t="n">
        <v>46216</v>
      </c>
      <c r="AJ164" s="78" t="n">
        <v>46223</v>
      </c>
      <c r="AK164" s="78" t="n">
        <v>46230</v>
      </c>
      <c r="AL164" s="85" t="inlineStr">
        <is>
          <t>USOU</t>
        </is>
      </c>
      <c r="AM164" s="78" t="n">
        <v>46237</v>
      </c>
      <c r="AN164" s="78" t="n">
        <v>46244</v>
      </c>
      <c r="AO164" s="78" t="n">
        <v>46251</v>
      </c>
      <c r="AP164" s="78" t="n">
        <v>46258</v>
      </c>
      <c r="AQ164" s="78" t="n">
        <v>46265</v>
      </c>
      <c r="AR164" s="85" t="inlineStr">
        <is>
          <t>USOU</t>
        </is>
      </c>
      <c r="AS164" s="78" t="n">
        <v>46272</v>
      </c>
      <c r="AT164" s="78" t="n">
        <v>46279</v>
      </c>
      <c r="AU164" s="78" t="n">
        <v>46286</v>
      </c>
      <c r="AV164" s="78" t="n">
        <v>46293</v>
      </c>
      <c r="AW164" s="85" t="inlineStr">
        <is>
          <t>USOU</t>
        </is>
      </c>
      <c r="AX164" s="78" t="n">
        <v>46300</v>
      </c>
      <c r="AY164" s="78" t="n">
        <v>46307</v>
      </c>
      <c r="AZ164" s="78" t="n">
        <v>46314</v>
      </c>
      <c r="BA164" s="78" t="n">
        <v>46321</v>
      </c>
      <c r="BB164" s="85" t="inlineStr">
        <is>
          <t>USOU</t>
        </is>
      </c>
      <c r="BC164" s="78" t="n">
        <v>46328</v>
      </c>
      <c r="BD164" s="78" t="n">
        <v>46335</v>
      </c>
      <c r="BE164" s="78" t="n">
        <v>46342</v>
      </c>
      <c r="BF164" s="78" t="n">
        <v>46349</v>
      </c>
      <c r="BG164" s="78" t="n">
        <v>46356</v>
      </c>
      <c r="BH164" s="85" t="inlineStr">
        <is>
          <t>USOU</t>
        </is>
      </c>
      <c r="BI164" s="78" t="n">
        <v>46363</v>
      </c>
      <c r="BJ164" s="78" t="n">
        <v>46370</v>
      </c>
      <c r="BK164" s="78" t="n">
        <v>46377</v>
      </c>
      <c r="BL164" s="78" t="n">
        <v>46384</v>
      </c>
      <c r="BM164" s="85" t="inlineStr">
        <is>
          <t>USOU</t>
        </is>
      </c>
    </row>
    <row r="165" ht="15.75" customHeight="1">
      <c r="A165" s="131" t="inlineStr">
        <is>
          <t>SACOLA PP VERDE</t>
        </is>
      </c>
      <c r="B165" s="80" t="n">
        <v>300</v>
      </c>
      <c r="C165" s="80" t="n">
        <v>600</v>
      </c>
      <c r="D165" s="80" t="n"/>
      <c r="E165" s="80" t="n">
        <v>0</v>
      </c>
      <c r="F165" s="81">
        <f>B165+C165+D165+E165</f>
        <v/>
      </c>
      <c r="G165" s="80" t="n">
        <v>300</v>
      </c>
      <c r="H165" s="80" t="n"/>
      <c r="I165" s="80" t="n">
        <v>600</v>
      </c>
      <c r="J165" s="80" t="n">
        <v>300</v>
      </c>
      <c r="K165" s="81">
        <f>G165+H165+I165+J165</f>
        <v/>
      </c>
      <c r="L165" s="80" t="n">
        <v>0</v>
      </c>
      <c r="M165" s="80" t="n">
        <v>300</v>
      </c>
      <c r="N165" s="80" t="n">
        <v>300</v>
      </c>
      <c r="O165" s="80" t="n">
        <v>0</v>
      </c>
      <c r="P165" s="80" t="n">
        <v>0</v>
      </c>
      <c r="Q165" s="81">
        <f>L165+M165+N165+O165+P165</f>
        <v/>
      </c>
      <c r="R165" s="80" t="n"/>
      <c r="S165" s="80" t="n"/>
      <c r="T165" s="80" t="n"/>
      <c r="U165" s="80" t="n"/>
      <c r="V165" s="81">
        <f>R165+S165+T165+U165</f>
        <v/>
      </c>
      <c r="W165" s="80" t="n">
        <v>0</v>
      </c>
      <c r="X165" s="80" t="n">
        <v>0</v>
      </c>
      <c r="Y165" s="80" t="n"/>
      <c r="Z165" s="80" t="n"/>
      <c r="AA165" s="81">
        <f>W165+X165+Y165+Z165</f>
        <v/>
      </c>
      <c r="AB165" s="80" t="n"/>
      <c r="AC165" s="80" t="n"/>
      <c r="AD165" s="80" t="n"/>
      <c r="AE165" s="80" t="n"/>
      <c r="AF165" s="80" t="n"/>
      <c r="AG165" s="81">
        <f>AB165+AC165+AD165+AE165+AF165</f>
        <v/>
      </c>
      <c r="AH165" s="80" t="n"/>
      <c r="AI165" s="80" t="n"/>
      <c r="AJ165" s="80" t="n"/>
      <c r="AK165" s="80" t="n"/>
      <c r="AL165" s="81">
        <f>AH165+AI165+AJ165+AK165</f>
        <v/>
      </c>
      <c r="AM165" s="80" t="n"/>
      <c r="AN165" s="80" t="n"/>
      <c r="AO165" s="80" t="n"/>
      <c r="AP165" s="80" t="n"/>
      <c r="AQ165" s="80" t="n"/>
      <c r="AR165" s="81">
        <f>AM165+AN165+AO165+AP165+AQ165</f>
        <v/>
      </c>
      <c r="AS165" s="80" t="n"/>
      <c r="AT165" s="80" t="n"/>
      <c r="AU165" s="80" t="n"/>
      <c r="AV165" s="80" t="n"/>
      <c r="AW165" s="81">
        <f>AS165+AT165+AU165+AV165</f>
        <v/>
      </c>
      <c r="AX165" s="80" t="n"/>
      <c r="AY165" s="80" t="n"/>
      <c r="AZ165" s="80" t="n"/>
      <c r="BA165" s="80" t="n"/>
      <c r="BB165" s="81">
        <f>AX165+AY165+AZ165+BA165</f>
        <v/>
      </c>
      <c r="BC165" s="80" t="n"/>
      <c r="BD165" s="80" t="n"/>
      <c r="BE165" s="80" t="n"/>
      <c r="BF165" s="80" t="n"/>
      <c r="BG165" s="80" t="n"/>
      <c r="BH165" s="81">
        <f>BC165+BD165+BE165+BF165+BG165</f>
        <v/>
      </c>
      <c r="BI165" s="80" t="n"/>
      <c r="BJ165" s="80" t="n"/>
      <c r="BK165" s="80" t="n"/>
      <c r="BL165" s="80" t="n"/>
      <c r="BM165" s="81">
        <f>BI165+BJ165+BK165+BL165</f>
        <v/>
      </c>
    </row>
    <row r="166" ht="15.75" customHeight="1">
      <c r="A166" s="82" t="inlineStr">
        <is>
          <t>SACOLA P VERDE</t>
        </is>
      </c>
      <c r="B166" s="80" t="n">
        <v>600</v>
      </c>
      <c r="C166" s="80" t="n">
        <v>400</v>
      </c>
      <c r="D166" s="80" t="n"/>
      <c r="E166" s="80" t="n">
        <v>800</v>
      </c>
      <c r="F166" s="81">
        <f>B166+C166+D166+E166</f>
        <v/>
      </c>
      <c r="G166" s="80" t="n">
        <v>200</v>
      </c>
      <c r="H166" s="80" t="n"/>
      <c r="I166" s="80" t="n">
        <v>400</v>
      </c>
      <c r="J166" s="80" t="n">
        <v>0</v>
      </c>
      <c r="K166" s="81">
        <f>G166+H166+I166+J166</f>
        <v/>
      </c>
      <c r="L166" s="80" t="n">
        <v>0</v>
      </c>
      <c r="M166" s="80" t="n">
        <v>400</v>
      </c>
      <c r="N166" s="80" t="n">
        <v>200</v>
      </c>
      <c r="O166" s="80" t="n">
        <v>200</v>
      </c>
      <c r="P166" s="80" t="n">
        <v>800</v>
      </c>
      <c r="Q166" s="81">
        <f>L166+M166+N166+O166+P166</f>
        <v/>
      </c>
      <c r="R166" s="80" t="n"/>
      <c r="S166" s="80" t="n"/>
      <c r="T166" s="80" t="n"/>
      <c r="U166" s="80" t="n"/>
      <c r="V166" s="81">
        <f>R166+S166+T166+U166</f>
        <v/>
      </c>
      <c r="W166" s="80" t="n">
        <v>200</v>
      </c>
      <c r="X166" s="80" t="n">
        <v>400</v>
      </c>
      <c r="Y166" s="80" t="n"/>
      <c r="Z166" s="80" t="n"/>
      <c r="AA166" s="81">
        <f>W166+X166+Y166+Z166</f>
        <v/>
      </c>
      <c r="AB166" s="80" t="n"/>
      <c r="AC166" s="80" t="n"/>
      <c r="AD166" s="80" t="n"/>
      <c r="AE166" s="80" t="n"/>
      <c r="AF166" s="80" t="n"/>
      <c r="AG166" s="81">
        <f>AB166+AC166+AD166+AE166+AF166</f>
        <v/>
      </c>
      <c r="AH166" s="80" t="n"/>
      <c r="AI166" s="80" t="n"/>
      <c r="AJ166" s="80" t="n"/>
      <c r="AK166" s="80" t="n"/>
      <c r="AL166" s="81">
        <f>AH166+AI166+AJ166+AK166</f>
        <v/>
      </c>
      <c r="AM166" s="80" t="n"/>
      <c r="AN166" s="80" t="n"/>
      <c r="AO166" s="80" t="n"/>
      <c r="AP166" s="80" t="n"/>
      <c r="AQ166" s="80" t="n"/>
      <c r="AR166" s="81">
        <f>AM166+AN166+AO166+AP166+AQ166</f>
        <v/>
      </c>
      <c r="AS166" s="80" t="n"/>
      <c r="AT166" s="80" t="n"/>
      <c r="AU166" s="80" t="n"/>
      <c r="AV166" s="80" t="n"/>
      <c r="AW166" s="81">
        <f>AS166+AT166+AU166+AV166</f>
        <v/>
      </c>
      <c r="AX166" s="80" t="n"/>
      <c r="AY166" s="80" t="n"/>
      <c r="AZ166" s="80" t="n"/>
      <c r="BA166" s="80" t="n"/>
      <c r="BB166" s="81">
        <f>AX166+AY166+AZ166+BA166</f>
        <v/>
      </c>
      <c r="BC166" s="80" t="n"/>
      <c r="BD166" s="80" t="n"/>
      <c r="BE166" s="80" t="n"/>
      <c r="BF166" s="80" t="n"/>
      <c r="BG166" s="80" t="n"/>
      <c r="BH166" s="81">
        <f>BC166+BD166+BE166+BF166+BG166</f>
        <v/>
      </c>
      <c r="BI166" s="80" t="n"/>
      <c r="BJ166" s="80" t="n"/>
      <c r="BK166" s="80" t="n"/>
      <c r="BL166" s="80" t="n"/>
      <c r="BM166" s="81">
        <f>BI166+BJ166+BK166+BL166</f>
        <v/>
      </c>
    </row>
    <row r="167" ht="15.75" customHeight="1">
      <c r="A167" s="82" t="inlineStr">
        <is>
          <t>SACOLA M VERDE</t>
        </is>
      </c>
      <c r="B167" s="80" t="n">
        <v>0</v>
      </c>
      <c r="C167" s="80" t="n">
        <v>0</v>
      </c>
      <c r="D167" s="80" t="n"/>
      <c r="E167" s="80" t="n">
        <v>100</v>
      </c>
      <c r="F167" s="81">
        <f>B167+C167+D167+E167</f>
        <v/>
      </c>
      <c r="G167" s="80" t="n">
        <v>0</v>
      </c>
      <c r="H167" s="80" t="n"/>
      <c r="I167" s="80" t="n">
        <v>100</v>
      </c>
      <c r="J167" s="80" t="n">
        <v>0</v>
      </c>
      <c r="K167" s="81">
        <f>G167+H167+I167+J167</f>
        <v/>
      </c>
      <c r="L167" s="80" t="n">
        <v>0</v>
      </c>
      <c r="M167" s="80" t="n">
        <v>0</v>
      </c>
      <c r="N167" s="80" t="n">
        <v>0</v>
      </c>
      <c r="O167" s="80" t="n">
        <v>0</v>
      </c>
      <c r="P167" s="80" t="n">
        <v>600</v>
      </c>
      <c r="Q167" s="81">
        <f>L167+M167+N167+O167+P167</f>
        <v/>
      </c>
      <c r="R167" s="80" t="n"/>
      <c r="S167" s="80" t="n"/>
      <c r="T167" s="80" t="n"/>
      <c r="U167" s="80" t="n"/>
      <c r="V167" s="81">
        <f>R167+S167+T167+U167</f>
        <v/>
      </c>
      <c r="W167" s="80" t="n">
        <v>200</v>
      </c>
      <c r="X167" s="80" t="n">
        <v>400</v>
      </c>
      <c r="Y167" s="80" t="n"/>
      <c r="Z167" s="80" t="n"/>
      <c r="AA167" s="81">
        <f>W167+X167+Y167+Z167</f>
        <v/>
      </c>
      <c r="AB167" s="80" t="n"/>
      <c r="AC167" s="80" t="n"/>
      <c r="AD167" s="80" t="n"/>
      <c r="AE167" s="80" t="n"/>
      <c r="AF167" s="80" t="n"/>
      <c r="AG167" s="81">
        <f>AB167+AC167+AD167+AE167+AF167</f>
        <v/>
      </c>
      <c r="AH167" s="80" t="n"/>
      <c r="AI167" s="80" t="n"/>
      <c r="AJ167" s="80" t="n"/>
      <c r="AK167" s="80" t="n"/>
      <c r="AL167" s="81">
        <f>AH167+AI167+AJ167+AK167</f>
        <v/>
      </c>
      <c r="AM167" s="80" t="n"/>
      <c r="AN167" s="80" t="n"/>
      <c r="AO167" s="80" t="n"/>
      <c r="AP167" s="80" t="n"/>
      <c r="AQ167" s="80" t="n"/>
      <c r="AR167" s="81">
        <f>AM167+AN167+AO167+AP167+AQ167</f>
        <v/>
      </c>
      <c r="AS167" s="80" t="n"/>
      <c r="AT167" s="80" t="n"/>
      <c r="AU167" s="80" t="n"/>
      <c r="AV167" s="80" t="n"/>
      <c r="AW167" s="81">
        <f>AS167+AT167+AU167+AV167</f>
        <v/>
      </c>
      <c r="AX167" s="80" t="n"/>
      <c r="AY167" s="80" t="n"/>
      <c r="AZ167" s="80" t="n"/>
      <c r="BA167" s="80" t="n"/>
      <c r="BB167" s="81">
        <f>AX167+AY167+AZ167+BA167</f>
        <v/>
      </c>
      <c r="BC167" s="80" t="n"/>
      <c r="BD167" s="80" t="n"/>
      <c r="BE167" s="80" t="n"/>
      <c r="BF167" s="80" t="n"/>
      <c r="BG167" s="80" t="n"/>
      <c r="BH167" s="81">
        <f>BC167+BD167+BE167+BF167+BG167</f>
        <v/>
      </c>
      <c r="BI167" s="80" t="n"/>
      <c r="BJ167" s="80" t="n"/>
      <c r="BK167" s="80" t="n"/>
      <c r="BL167" s="80" t="n"/>
      <c r="BM167" s="81">
        <f>BI167+BJ167+BK167+BL167</f>
        <v/>
      </c>
    </row>
    <row r="168" ht="15.75" customHeight="1">
      <c r="A168" s="83" t="inlineStr">
        <is>
          <t>SACOLA G VERDE</t>
        </is>
      </c>
      <c r="B168" s="80" t="n">
        <v>0</v>
      </c>
      <c r="C168" s="80" t="n">
        <v>0</v>
      </c>
      <c r="D168" s="80" t="n"/>
      <c r="E168" s="80" t="n">
        <v>0</v>
      </c>
      <c r="F168" s="81">
        <f>B168+C168+D168+E168</f>
        <v/>
      </c>
      <c r="G168" s="80" t="n">
        <v>0</v>
      </c>
      <c r="H168" s="80" t="n"/>
      <c r="I168" s="80" t="n">
        <v>0</v>
      </c>
      <c r="J168" s="80" t="n">
        <v>0</v>
      </c>
      <c r="K168" s="81">
        <f>G168+H168+I168+J168</f>
        <v/>
      </c>
      <c r="L168" s="80" t="n">
        <v>0</v>
      </c>
      <c r="M168" s="80" t="n">
        <v>100</v>
      </c>
      <c r="N168" s="80" t="n">
        <v>0</v>
      </c>
      <c r="O168" s="80" t="n">
        <v>0</v>
      </c>
      <c r="P168" s="80" t="n">
        <v>0</v>
      </c>
      <c r="Q168" s="81">
        <f>L168+M168+N168+O168+P168</f>
        <v/>
      </c>
      <c r="R168" s="80" t="n"/>
      <c r="S168" s="80" t="n"/>
      <c r="T168" s="80" t="n"/>
      <c r="U168" s="80" t="n"/>
      <c r="V168" s="81">
        <f>R168+S168+T168+U168</f>
        <v/>
      </c>
      <c r="W168" s="80" t="n">
        <v>0</v>
      </c>
      <c r="X168" s="80" t="n">
        <v>0</v>
      </c>
      <c r="Y168" s="80" t="n"/>
      <c r="Z168" s="80" t="n"/>
      <c r="AA168" s="81">
        <f>W168+X168+Y168+Z168</f>
        <v/>
      </c>
      <c r="AB168" s="80" t="n"/>
      <c r="AC168" s="80" t="n"/>
      <c r="AD168" s="80" t="n"/>
      <c r="AE168" s="80" t="n"/>
      <c r="AF168" s="80" t="n"/>
      <c r="AG168" s="81">
        <f>AB168+AC168+AD168+AE168+AF168</f>
        <v/>
      </c>
      <c r="AH168" s="80" t="n"/>
      <c r="AI168" s="80" t="n"/>
      <c r="AJ168" s="80" t="n"/>
      <c r="AK168" s="80" t="n"/>
      <c r="AL168" s="81">
        <f>AH168+AI168+AJ168+AK168</f>
        <v/>
      </c>
      <c r="AM168" s="80" t="n"/>
      <c r="AN168" s="80" t="n"/>
      <c r="AO168" s="80" t="n"/>
      <c r="AP168" s="80" t="n"/>
      <c r="AQ168" s="80" t="n"/>
      <c r="AR168" s="81">
        <f>AM168+AN168+AO168+AP168+AQ168</f>
        <v/>
      </c>
      <c r="AS168" s="80" t="n"/>
      <c r="AT168" s="80" t="n"/>
      <c r="AU168" s="80" t="n"/>
      <c r="AV168" s="80" t="n"/>
      <c r="AW168" s="81">
        <f>AS168+AT168+AU168+AV168</f>
        <v/>
      </c>
      <c r="AX168" s="80" t="n"/>
      <c r="AY168" s="80" t="n"/>
      <c r="AZ168" s="80" t="n"/>
      <c r="BA168" s="80" t="n"/>
      <c r="BB168" s="81">
        <f>AX168+AY168+AZ168+BA168</f>
        <v/>
      </c>
      <c r="BC168" s="80" t="n"/>
      <c r="BD168" s="80" t="n"/>
      <c r="BE168" s="80" t="n"/>
      <c r="BF168" s="80" t="n"/>
      <c r="BG168" s="80" t="n"/>
      <c r="BH168" s="81">
        <f>BC168+BD168+BE168+BF168+BG168</f>
        <v/>
      </c>
      <c r="BI168" s="80" t="n"/>
      <c r="BJ168" s="80" t="n"/>
      <c r="BK168" s="80" t="n"/>
      <c r="BL168" s="80" t="n"/>
      <c r="BM168" s="81">
        <f>BI168+BJ168+BK168+BL168</f>
        <v/>
      </c>
    </row>
    <row r="169" ht="15.75" customHeight="1">
      <c r="A169" s="213" t="inlineStr">
        <is>
          <t>SACOLA KRAFT M PARDA</t>
        </is>
      </c>
      <c r="B169" s="151" t="n">
        <v>0</v>
      </c>
      <c r="C169" s="80" t="n">
        <v>600</v>
      </c>
      <c r="D169" s="80" t="n"/>
      <c r="E169" s="80" t="n">
        <v>320</v>
      </c>
      <c r="F169" s="81">
        <f>B169+C169+D169+E169</f>
        <v/>
      </c>
      <c r="G169" s="80" t="n">
        <v>0</v>
      </c>
      <c r="H169" s="80" t="n"/>
      <c r="I169" s="80" t="n">
        <v>100</v>
      </c>
      <c r="J169" s="80" t="n">
        <v>0</v>
      </c>
      <c r="K169" s="81">
        <f>G169+H169+I169+J169</f>
        <v/>
      </c>
      <c r="L169" s="80" t="n">
        <v>0</v>
      </c>
      <c r="M169" s="80" t="n">
        <v>200</v>
      </c>
      <c r="N169" s="80" t="n">
        <v>0</v>
      </c>
      <c r="O169" s="80" t="n">
        <v>0</v>
      </c>
      <c r="P169" s="80" t="n">
        <v>0</v>
      </c>
      <c r="Q169" s="81">
        <f>L169+M169+N169+O169+P169</f>
        <v/>
      </c>
      <c r="R169" s="80" t="n"/>
      <c r="S169" s="80" t="n"/>
      <c r="T169" s="80" t="n"/>
      <c r="U169" s="80" t="n"/>
      <c r="V169" s="81">
        <f>R169+S169+T169+U169</f>
        <v/>
      </c>
      <c r="W169" s="80" t="n">
        <v>200</v>
      </c>
      <c r="X169" s="80" t="n">
        <v>0</v>
      </c>
      <c r="Y169" s="80" t="n"/>
      <c r="Z169" s="80" t="n"/>
      <c r="AA169" s="81">
        <f>W169+X169+Y169+Z169</f>
        <v/>
      </c>
      <c r="AB169" s="80" t="n"/>
      <c r="AC169" s="80" t="n"/>
      <c r="AD169" s="80" t="n"/>
      <c r="AE169" s="80" t="n"/>
      <c r="AF169" s="80" t="n"/>
      <c r="AG169" s="81">
        <f>AB169+AC169+AD169+AE169+AF169</f>
        <v/>
      </c>
      <c r="AH169" s="80" t="n"/>
      <c r="AI169" s="80" t="n"/>
      <c r="AJ169" s="80" t="n"/>
      <c r="AK169" s="80" t="n"/>
      <c r="AL169" s="81">
        <f>AH169+AI169+AJ169+AK169</f>
        <v/>
      </c>
      <c r="AM169" s="80" t="n"/>
      <c r="AN169" s="80" t="n"/>
      <c r="AO169" s="80" t="n"/>
      <c r="AP169" s="80" t="n"/>
      <c r="AQ169" s="80" t="n"/>
      <c r="AR169" s="81">
        <f>AM169+AN169+AO169+AP169+AQ169</f>
        <v/>
      </c>
      <c r="AS169" s="80" t="n"/>
      <c r="AT169" s="80" t="n"/>
      <c r="AU169" s="80" t="n"/>
      <c r="AV169" s="80" t="n"/>
      <c r="AW169" s="81">
        <f>AS169+AT169+AU169+AV169</f>
        <v/>
      </c>
      <c r="AX169" s="80" t="n"/>
      <c r="AY169" s="80" t="n"/>
      <c r="AZ169" s="80" t="n"/>
      <c r="BA169" s="80" t="n"/>
      <c r="BB169" s="81">
        <f>AX169+AY169+AZ169+BA169</f>
        <v/>
      </c>
      <c r="BC169" s="80" t="n"/>
      <c r="BD169" s="80" t="n"/>
      <c r="BE169" s="80" t="n"/>
      <c r="BF169" s="80" t="n"/>
      <c r="BG169" s="80" t="n"/>
      <c r="BH169" s="81">
        <f>BC169+BD169+BE169+BF169+BG169</f>
        <v/>
      </c>
      <c r="BI169" s="80" t="n"/>
      <c r="BJ169" s="80" t="n"/>
      <c r="BK169" s="80" t="n"/>
      <c r="BL169" s="80" t="n"/>
      <c r="BM169" s="81">
        <f>BI169+BJ169+BK169+BL169</f>
        <v/>
      </c>
    </row>
    <row r="170" ht="15.75" customHeight="1">
      <c r="A170" s="213" t="inlineStr">
        <is>
          <t>SACOLA KRAFT G PARDA</t>
        </is>
      </c>
      <c r="B170" s="151" t="n">
        <v>0</v>
      </c>
      <c r="C170" s="80" t="n">
        <v>0</v>
      </c>
      <c r="D170" s="80" t="n"/>
      <c r="E170" s="80" t="n">
        <v>155</v>
      </c>
      <c r="F170" s="81">
        <f>B170+C170+D170+E170</f>
        <v/>
      </c>
      <c r="G170" s="80" t="n">
        <v>100</v>
      </c>
      <c r="H170" s="80" t="n"/>
      <c r="I170" s="80" t="n">
        <v>0</v>
      </c>
      <c r="J170" s="80" t="n">
        <v>0</v>
      </c>
      <c r="K170" s="81">
        <f>G170+H170+I170+J170</f>
        <v/>
      </c>
      <c r="L170" s="80" t="n">
        <v>0</v>
      </c>
      <c r="M170" s="80" t="n">
        <v>0</v>
      </c>
      <c r="N170" s="80" t="n">
        <v>200</v>
      </c>
      <c r="O170" s="80" t="n">
        <v>0</v>
      </c>
      <c r="P170" s="80" t="n">
        <v>0</v>
      </c>
      <c r="Q170" s="81">
        <f>L170+M170+N170+O170+P170</f>
        <v/>
      </c>
      <c r="R170" s="80" t="n"/>
      <c r="S170" s="80" t="n"/>
      <c r="T170" s="80" t="n"/>
      <c r="U170" s="80" t="n"/>
      <c r="V170" s="81">
        <f>R170+S170+T170+U170</f>
        <v/>
      </c>
      <c r="W170" s="80" t="n">
        <v>0</v>
      </c>
      <c r="X170" s="80" t="n">
        <v>0</v>
      </c>
      <c r="Y170" s="80" t="n"/>
      <c r="Z170" s="80" t="n"/>
      <c r="AA170" s="81">
        <f>W170+X170+Y170+Z170</f>
        <v/>
      </c>
      <c r="AB170" s="80" t="n"/>
      <c r="AC170" s="80" t="n"/>
      <c r="AD170" s="80" t="n"/>
      <c r="AE170" s="80" t="n"/>
      <c r="AF170" s="80" t="n"/>
      <c r="AG170" s="81">
        <f>AB170+AC170+AD170+AE170+AF170</f>
        <v/>
      </c>
      <c r="AH170" s="80" t="n"/>
      <c r="AI170" s="80" t="n"/>
      <c r="AJ170" s="80" t="n"/>
      <c r="AK170" s="80" t="n"/>
      <c r="AL170" s="81">
        <f>AH170+AI170+AJ170+AK170</f>
        <v/>
      </c>
      <c r="AM170" s="80" t="n"/>
      <c r="AN170" s="80" t="n"/>
      <c r="AO170" s="80" t="n"/>
      <c r="AP170" s="80" t="n"/>
      <c r="AQ170" s="80" t="n"/>
      <c r="AR170" s="81">
        <f>AM170+AN170+AO170+AP170+AQ170</f>
        <v/>
      </c>
      <c r="AS170" s="80" t="n"/>
      <c r="AT170" s="80" t="n"/>
      <c r="AU170" s="80" t="n"/>
      <c r="AV170" s="80" t="n"/>
      <c r="AW170" s="81">
        <f>AS170+AT170+AU170+AV170</f>
        <v/>
      </c>
      <c r="AX170" s="80" t="n"/>
      <c r="AY170" s="80" t="n"/>
      <c r="AZ170" s="80" t="n"/>
      <c r="BA170" s="80" t="n"/>
      <c r="BB170" s="81">
        <f>AX170+AY170+AZ170+BA170</f>
        <v/>
      </c>
      <c r="BC170" s="80" t="n"/>
      <c r="BD170" s="80" t="n"/>
      <c r="BE170" s="80" t="n"/>
      <c r="BF170" s="80" t="n"/>
      <c r="BG170" s="80" t="n"/>
      <c r="BH170" s="81">
        <f>BC170+BD170+BE170+BF170+BG170</f>
        <v/>
      </c>
      <c r="BI170" s="80" t="n"/>
      <c r="BJ170" s="80" t="n"/>
      <c r="BK170" s="80" t="n"/>
      <c r="BL170" s="80" t="n"/>
      <c r="BM170" s="81">
        <f>BI170+BJ170+BK170+BL170</f>
        <v/>
      </c>
    </row>
    <row r="171" ht="15.75" customHeight="1">
      <c r="A171" s="84" t="inlineStr">
        <is>
          <t>PAPEL DE SEDA</t>
        </is>
      </c>
      <c r="B171" s="151" t="n">
        <v>0</v>
      </c>
      <c r="C171" s="80" t="n">
        <v>0</v>
      </c>
      <c r="D171" s="80" t="n"/>
      <c r="E171" s="80" t="n">
        <v>0</v>
      </c>
      <c r="F171" s="81">
        <f>B171+C171+D171+E171</f>
        <v/>
      </c>
      <c r="G171" s="80" t="n">
        <v>0</v>
      </c>
      <c r="H171" s="80" t="n"/>
      <c r="I171" s="80" t="n">
        <v>0</v>
      </c>
      <c r="J171" s="80" t="n">
        <v>0</v>
      </c>
      <c r="K171" s="81">
        <f>G171+H171+I171+J171</f>
        <v/>
      </c>
      <c r="L171" s="80" t="n">
        <v>0</v>
      </c>
      <c r="M171" s="80" t="n">
        <v>0</v>
      </c>
      <c r="N171" s="80" t="n">
        <v>0</v>
      </c>
      <c r="O171" s="80" t="n">
        <v>0</v>
      </c>
      <c r="P171" s="80" t="n">
        <v>0</v>
      </c>
      <c r="Q171" s="81">
        <f>L171+M171+N171+O171+P171</f>
        <v/>
      </c>
      <c r="R171" s="80" t="n"/>
      <c r="S171" s="80" t="n"/>
      <c r="T171" s="80" t="n"/>
      <c r="U171" s="80" t="n"/>
      <c r="V171" s="81">
        <f>R171+S171+T171+U171</f>
        <v/>
      </c>
      <c r="W171" s="80" t="n">
        <v>0</v>
      </c>
      <c r="X171" s="80" t="n">
        <v>0</v>
      </c>
      <c r="Y171" s="80" t="n"/>
      <c r="Z171" s="80" t="n"/>
      <c r="AA171" s="81">
        <f>W171+X171+Y171+Z171</f>
        <v/>
      </c>
      <c r="AB171" s="80" t="n"/>
      <c r="AC171" s="80" t="n"/>
      <c r="AD171" s="80" t="n"/>
      <c r="AE171" s="80" t="n"/>
      <c r="AF171" s="80" t="n"/>
      <c r="AG171" s="81">
        <f>AB171+AC171+AD171+AE171+AF171</f>
        <v/>
      </c>
      <c r="AH171" s="80" t="n"/>
      <c r="AI171" s="80" t="n"/>
      <c r="AJ171" s="80" t="n"/>
      <c r="AK171" s="80" t="n"/>
      <c r="AL171" s="81">
        <f>AH171+AI171+AJ171+AK171</f>
        <v/>
      </c>
      <c r="AM171" s="80" t="n"/>
      <c r="AN171" s="80" t="n"/>
      <c r="AO171" s="80" t="n"/>
      <c r="AP171" s="80" t="n"/>
      <c r="AQ171" s="80" t="n"/>
      <c r="AR171" s="81">
        <f>AM171+AN171+AO171+AP171+AQ171</f>
        <v/>
      </c>
      <c r="AS171" s="80" t="n"/>
      <c r="AT171" s="80" t="n"/>
      <c r="AU171" s="80" t="n"/>
      <c r="AV171" s="80" t="n"/>
      <c r="AW171" s="81">
        <f>AS171+AT171+AU171+AV171</f>
        <v/>
      </c>
      <c r="AX171" s="80" t="n"/>
      <c r="AY171" s="80" t="n"/>
      <c r="AZ171" s="80" t="n"/>
      <c r="BA171" s="80" t="n"/>
      <c r="BB171" s="81">
        <f>AX171+AY171+AZ171+BA171</f>
        <v/>
      </c>
      <c r="BC171" s="80" t="n"/>
      <c r="BD171" s="80" t="n"/>
      <c r="BE171" s="80" t="n"/>
      <c r="BF171" s="80" t="n"/>
      <c r="BG171" s="80" t="n"/>
      <c r="BH171" s="81">
        <f>BC171+BD171+BE171+BF171+BG171</f>
        <v/>
      </c>
      <c r="BI171" s="80" t="n"/>
      <c r="BJ171" s="80" t="n"/>
      <c r="BK171" s="80" t="n"/>
      <c r="BL171" s="80" t="n"/>
      <c r="BM171" s="81">
        <f>BI171+BJ171+BK171+BL171</f>
        <v/>
      </c>
    </row>
    <row r="172" ht="15.75" customHeight="1">
      <c r="A172" s="84" t="inlineStr">
        <is>
          <t>ETIQUETA</t>
        </is>
      </c>
      <c r="B172" s="151" t="n">
        <v>0</v>
      </c>
      <c r="C172" s="80" t="n">
        <v>4</v>
      </c>
      <c r="D172" s="80" t="n"/>
      <c r="E172" s="80" t="n">
        <v>0</v>
      </c>
      <c r="F172" s="81">
        <f>B172+C172+D172+E172</f>
        <v/>
      </c>
      <c r="G172" s="80" t="n">
        <v>0</v>
      </c>
      <c r="H172" s="80" t="n"/>
      <c r="I172" s="80" t="n">
        <v>0</v>
      </c>
      <c r="J172" s="80" t="n">
        <v>0</v>
      </c>
      <c r="K172" s="81">
        <f>G172+H172+I172+J172</f>
        <v/>
      </c>
      <c r="L172" s="80" t="n">
        <v>0</v>
      </c>
      <c r="M172" s="80" t="n">
        <v>0</v>
      </c>
      <c r="N172" s="80" t="n">
        <v>0</v>
      </c>
      <c r="O172" s="80" t="n">
        <v>0</v>
      </c>
      <c r="P172" s="80" t="n">
        <v>0</v>
      </c>
      <c r="Q172" s="81">
        <f>L172+M172+N172+O172+P172</f>
        <v/>
      </c>
      <c r="R172" s="80" t="n"/>
      <c r="S172" s="80" t="n"/>
      <c r="T172" s="80" t="n"/>
      <c r="U172" s="80" t="n"/>
      <c r="V172" s="81">
        <f>R172+S172+T172+U172</f>
        <v/>
      </c>
      <c r="W172" s="80" t="n">
        <v>0</v>
      </c>
      <c r="X172" s="80" t="n">
        <v>0</v>
      </c>
      <c r="Y172" s="80" t="n"/>
      <c r="Z172" s="80" t="n"/>
      <c r="AA172" s="81">
        <f>W172+X172+Y172+Z172</f>
        <v/>
      </c>
      <c r="AB172" s="80" t="n"/>
      <c r="AC172" s="80" t="n"/>
      <c r="AD172" s="80" t="n"/>
      <c r="AE172" s="80" t="n"/>
      <c r="AF172" s="80" t="n"/>
      <c r="AG172" s="81">
        <f>AB172+AC172+AD172+AE172+AF172</f>
        <v/>
      </c>
      <c r="AH172" s="80" t="n"/>
      <c r="AI172" s="80" t="n"/>
      <c r="AJ172" s="80" t="n"/>
      <c r="AK172" s="80" t="n"/>
      <c r="AL172" s="81">
        <f>AH172+AI172+AJ172+AK172</f>
        <v/>
      </c>
      <c r="AM172" s="80" t="n"/>
      <c r="AN172" s="80" t="n"/>
      <c r="AO172" s="80" t="n"/>
      <c r="AP172" s="80" t="n"/>
      <c r="AQ172" s="80" t="n"/>
      <c r="AR172" s="81">
        <f>AM172+AN172+AO172+AP172+AQ172</f>
        <v/>
      </c>
      <c r="AS172" s="80" t="n"/>
      <c r="AT172" s="80" t="n"/>
      <c r="AU172" s="80" t="n"/>
      <c r="AV172" s="80" t="n"/>
      <c r="AW172" s="81">
        <f>AS172+AT172+AU172+AV172</f>
        <v/>
      </c>
      <c r="AX172" s="80" t="n"/>
      <c r="AY172" s="80" t="n"/>
      <c r="AZ172" s="80" t="n"/>
      <c r="BA172" s="80" t="n"/>
      <c r="BB172" s="81">
        <f>AX172+AY172+AZ172+BA172</f>
        <v/>
      </c>
      <c r="BC172" s="80" t="n"/>
      <c r="BD172" s="80" t="n"/>
      <c r="BE172" s="80" t="n"/>
      <c r="BF172" s="80" t="n"/>
      <c r="BG172" s="80" t="n"/>
      <c r="BH172" s="81">
        <f>BC172+BD172+BE172+BF172+BG172</f>
        <v/>
      </c>
      <c r="BI172" s="80" t="n"/>
      <c r="BJ172" s="80" t="n"/>
      <c r="BK172" s="80" t="n"/>
      <c r="BL172" s="80" t="n"/>
      <c r="BM172" s="81">
        <f>BI172+BJ172+BK172+BL172</f>
        <v/>
      </c>
    </row>
    <row r="173" ht="15.75" customHeight="1">
      <c r="A173" s="84" t="inlineStr">
        <is>
          <t>TAG</t>
        </is>
      </c>
      <c r="B173" s="151" t="n">
        <v>0</v>
      </c>
      <c r="C173" s="80" t="n">
        <v>0</v>
      </c>
      <c r="D173" s="80" t="n"/>
      <c r="E173" s="80" t="n">
        <v>0</v>
      </c>
      <c r="F173" s="81">
        <f>B173+C173+D173+E173</f>
        <v/>
      </c>
      <c r="G173" s="80" t="n">
        <v>0</v>
      </c>
      <c r="H173" s="80" t="n"/>
      <c r="I173" s="80" t="n">
        <v>0</v>
      </c>
      <c r="J173" s="80" t="n">
        <v>0</v>
      </c>
      <c r="K173" s="81">
        <f>G173+H173+I173+J173</f>
        <v/>
      </c>
      <c r="L173" s="80" t="n">
        <v>0</v>
      </c>
      <c r="M173" s="80" t="n">
        <v>0</v>
      </c>
      <c r="N173" s="80" t="n">
        <v>0</v>
      </c>
      <c r="O173" s="80" t="n">
        <v>0</v>
      </c>
      <c r="P173" s="80" t="n">
        <v>0</v>
      </c>
      <c r="Q173" s="81">
        <f>L173+M173+N173+O173+P173</f>
        <v/>
      </c>
      <c r="R173" s="80" t="n"/>
      <c r="S173" s="80" t="n"/>
      <c r="T173" s="80" t="n"/>
      <c r="U173" s="80" t="n"/>
      <c r="V173" s="81">
        <f>R173+S173+T173+U173</f>
        <v/>
      </c>
      <c r="W173" s="80" t="n">
        <v>0</v>
      </c>
      <c r="X173" s="80" t="n">
        <v>0</v>
      </c>
      <c r="Y173" s="80" t="n"/>
      <c r="Z173" s="80" t="n"/>
      <c r="AA173" s="81">
        <f>W173+X173+Y173+Z173</f>
        <v/>
      </c>
      <c r="AB173" s="80" t="n"/>
      <c r="AC173" s="80" t="n"/>
      <c r="AD173" s="80" t="n"/>
      <c r="AE173" s="80" t="n"/>
      <c r="AF173" s="80" t="n"/>
      <c r="AG173" s="81">
        <f>AB173+AC173+AD173+AE173+AF173</f>
        <v/>
      </c>
      <c r="AH173" s="80" t="n"/>
      <c r="AI173" s="80" t="n"/>
      <c r="AJ173" s="80" t="n"/>
      <c r="AK173" s="80" t="n"/>
      <c r="AL173" s="81">
        <f>AH173+AI173+AJ173+AK173</f>
        <v/>
      </c>
      <c r="AM173" s="80" t="n"/>
      <c r="AN173" s="80" t="n"/>
      <c r="AO173" s="80" t="n"/>
      <c r="AP173" s="80" t="n"/>
      <c r="AQ173" s="80" t="n"/>
      <c r="AR173" s="81">
        <f>AM173+AN173+AO173+AP173+AQ173</f>
        <v/>
      </c>
      <c r="AS173" s="80" t="n"/>
      <c r="AT173" s="80" t="n"/>
      <c r="AU173" s="80" t="n"/>
      <c r="AV173" s="80" t="n"/>
      <c r="AW173" s="81">
        <f>AS173+AT173+AU173+AV173</f>
        <v/>
      </c>
      <c r="AX173" s="80" t="n"/>
      <c r="AY173" s="80" t="n"/>
      <c r="AZ173" s="80" t="n"/>
      <c r="BA173" s="80" t="n"/>
      <c r="BB173" s="81">
        <f>AX173+AY173+AZ173+BA173</f>
        <v/>
      </c>
      <c r="BC173" s="80" t="n"/>
      <c r="BD173" s="80" t="n"/>
      <c r="BE173" s="80" t="n"/>
      <c r="BF173" s="80" t="n"/>
      <c r="BG173" s="80" t="n"/>
      <c r="BH173" s="81">
        <f>BC173+BD173+BE173+BF173+BG173</f>
        <v/>
      </c>
      <c r="BI173" s="80" t="n"/>
      <c r="BJ173" s="80" t="n"/>
      <c r="BK173" s="80" t="n"/>
      <c r="BL173" s="80" t="n"/>
      <c r="BM173" s="81">
        <f>BI173+BJ173+BK173+BL173</f>
        <v/>
      </c>
    </row>
    <row r="174" ht="15.75" customHeight="1">
      <c r="A174" s="84" t="inlineStr">
        <is>
          <t>LÂMINA</t>
        </is>
      </c>
      <c r="B174" s="151" t="n">
        <v>3</v>
      </c>
      <c r="C174" s="80" t="n">
        <v>0</v>
      </c>
      <c r="D174" s="80" t="n"/>
      <c r="E174" s="80" t="n">
        <v>1</v>
      </c>
      <c r="F174" s="81">
        <f>B174+C174+D174+E174</f>
        <v/>
      </c>
      <c r="G174" s="80" t="n">
        <v>0</v>
      </c>
      <c r="H174" s="80" t="n"/>
      <c r="I174" s="80" t="n">
        <v>0</v>
      </c>
      <c r="J174" s="80" t="n">
        <v>0</v>
      </c>
      <c r="K174" s="81">
        <f>G174+H174+I174+J174</f>
        <v/>
      </c>
      <c r="L174" s="80" t="n">
        <v>0</v>
      </c>
      <c r="M174" s="80" t="n">
        <v>0</v>
      </c>
      <c r="N174" s="80" t="n">
        <v>0</v>
      </c>
      <c r="O174" s="80" t="n">
        <v>0</v>
      </c>
      <c r="P174" s="80" t="n">
        <v>0</v>
      </c>
      <c r="Q174" s="81">
        <f>L174+M174+N174+O174+P174</f>
        <v/>
      </c>
      <c r="R174" s="80" t="n"/>
      <c r="S174" s="80" t="n"/>
      <c r="T174" s="80" t="n"/>
      <c r="U174" s="80" t="n"/>
      <c r="V174" s="81">
        <f>R174+S174+T174+U174</f>
        <v/>
      </c>
      <c r="W174" s="80" t="n">
        <v>0</v>
      </c>
      <c r="X174" s="80" t="n">
        <v>0</v>
      </c>
      <c r="Y174" s="80" t="n"/>
      <c r="Z174" s="80" t="n"/>
      <c r="AA174" s="81">
        <f>W174+X174+Y174+Z174</f>
        <v/>
      </c>
      <c r="AB174" s="80" t="n"/>
      <c r="AC174" s="80" t="n"/>
      <c r="AD174" s="80" t="n"/>
      <c r="AE174" s="80" t="n"/>
      <c r="AF174" s="80" t="n"/>
      <c r="AG174" s="81">
        <f>AB174+AC174+AD174+AE174+AF174</f>
        <v/>
      </c>
      <c r="AH174" s="80" t="n"/>
      <c r="AI174" s="80" t="n"/>
      <c r="AJ174" s="80" t="n"/>
      <c r="AK174" s="80" t="n"/>
      <c r="AL174" s="81">
        <f>AH174+AI174+AJ174+AK174</f>
        <v/>
      </c>
      <c r="AM174" s="80" t="n"/>
      <c r="AN174" s="80" t="n"/>
      <c r="AO174" s="80" t="n"/>
      <c r="AP174" s="80" t="n"/>
      <c r="AQ174" s="80" t="n"/>
      <c r="AR174" s="81">
        <f>AM174+AN174+AO174+AP174+AQ174</f>
        <v/>
      </c>
      <c r="AS174" s="80" t="n"/>
      <c r="AT174" s="80" t="n"/>
      <c r="AU174" s="80" t="n"/>
      <c r="AV174" s="80" t="n"/>
      <c r="AW174" s="81">
        <f>AS174+AT174+AU174+AV174</f>
        <v/>
      </c>
      <c r="AX174" s="80" t="n"/>
      <c r="AY174" s="80" t="n"/>
      <c r="AZ174" s="80" t="n"/>
      <c r="BA174" s="80" t="n"/>
      <c r="BB174" s="81">
        <f>AX174+AY174+AZ174+BA174</f>
        <v/>
      </c>
      <c r="BC174" s="80" t="n"/>
      <c r="BD174" s="80" t="n"/>
      <c r="BE174" s="80" t="n"/>
      <c r="BF174" s="80" t="n"/>
      <c r="BG174" s="80" t="n"/>
      <c r="BH174" s="81">
        <f>BC174+BD174+BE174+BF174+BG174</f>
        <v/>
      </c>
      <c r="BI174" s="80" t="n"/>
      <c r="BJ174" s="80" t="n"/>
      <c r="BK174" s="80" t="n"/>
      <c r="BL174" s="80" t="n"/>
      <c r="BM174" s="81">
        <f>BI174+BJ174+BK174+BL174</f>
        <v/>
      </c>
    </row>
    <row r="175" ht="15.75" customHeight="1">
      <c r="A175" s="84" t="inlineStr">
        <is>
          <t>PAPEL DE SEDA OUI</t>
        </is>
      </c>
      <c r="B175" s="151" t="n">
        <v>0</v>
      </c>
      <c r="C175" s="80" t="n">
        <v>0</v>
      </c>
      <c r="D175" s="80" t="n"/>
      <c r="E175" s="80" t="n">
        <v>2</v>
      </c>
      <c r="F175" s="81">
        <f>B175+C175+D175+E175</f>
        <v/>
      </c>
      <c r="G175" s="80" t="n">
        <v>0</v>
      </c>
      <c r="H175" s="80" t="n"/>
      <c r="I175" s="80" t="n">
        <v>0</v>
      </c>
      <c r="J175" s="80" t="n">
        <v>0</v>
      </c>
      <c r="K175" s="81">
        <f>G175+H175+I175+J175</f>
        <v/>
      </c>
      <c r="L175" s="80" t="n">
        <v>0</v>
      </c>
      <c r="M175" s="80" t="n">
        <v>0</v>
      </c>
      <c r="N175" s="80" t="n">
        <v>0</v>
      </c>
      <c r="O175" s="80" t="n">
        <v>0</v>
      </c>
      <c r="P175" s="80" t="n">
        <v>0</v>
      </c>
      <c r="Q175" s="81">
        <f>L175+M175+N175+O175+P175</f>
        <v/>
      </c>
      <c r="R175" s="80" t="n"/>
      <c r="S175" s="80" t="n"/>
      <c r="T175" s="80" t="n"/>
      <c r="U175" s="80" t="n"/>
      <c r="V175" s="81">
        <f>R175+S175+T175+U175</f>
        <v/>
      </c>
      <c r="W175" s="80" t="n">
        <v>0</v>
      </c>
      <c r="X175" s="80" t="n">
        <v>0</v>
      </c>
      <c r="Y175" s="80" t="n"/>
      <c r="Z175" s="80" t="n"/>
      <c r="AA175" s="81">
        <f>W175+X175+Y175+Z175</f>
        <v/>
      </c>
      <c r="AB175" s="80" t="n"/>
      <c r="AC175" s="80" t="n"/>
      <c r="AD175" s="80" t="n"/>
      <c r="AE175" s="80" t="n"/>
      <c r="AF175" s="80" t="n"/>
      <c r="AG175" s="81">
        <f>AB175+AC175+AD175+AE175+AF175</f>
        <v/>
      </c>
      <c r="AH175" s="80" t="n"/>
      <c r="AI175" s="80" t="n"/>
      <c r="AJ175" s="80" t="n"/>
      <c r="AK175" s="80" t="n"/>
      <c r="AL175" s="81">
        <f>AH175+AI175+AJ175+AK175</f>
        <v/>
      </c>
      <c r="AM175" s="80" t="n"/>
      <c r="AN175" s="80" t="n"/>
      <c r="AO175" s="80" t="n"/>
      <c r="AP175" s="80" t="n"/>
      <c r="AQ175" s="80" t="n"/>
      <c r="AR175" s="81">
        <f>AM175+AN175+AO175+AP175+AQ175</f>
        <v/>
      </c>
      <c r="AS175" s="80" t="n"/>
      <c r="AT175" s="80" t="n"/>
      <c r="AU175" s="80" t="n"/>
      <c r="AV175" s="80" t="n"/>
      <c r="AW175" s="81">
        <f>AS175+AT175+AU175+AV175</f>
        <v/>
      </c>
      <c r="AX175" s="80" t="n"/>
      <c r="AY175" s="80" t="n"/>
      <c r="AZ175" s="80" t="n"/>
      <c r="BA175" s="80" t="n"/>
      <c r="BB175" s="81">
        <f>AX175+AY175+AZ175+BA175</f>
        <v/>
      </c>
      <c r="BC175" s="80" t="n"/>
      <c r="BD175" s="80" t="n"/>
      <c r="BE175" s="80" t="n"/>
      <c r="BF175" s="80" t="n"/>
      <c r="BG175" s="80" t="n"/>
      <c r="BH175" s="81">
        <f>BC175+BD175+BE175+BF175+BG175</f>
        <v/>
      </c>
      <c r="BI175" s="80" t="n"/>
      <c r="BJ175" s="80" t="n"/>
      <c r="BK175" s="80" t="n"/>
      <c r="BL175" s="80" t="n"/>
      <c r="BM175" s="81">
        <f>BI175+BJ175+BK175+BL175</f>
        <v/>
      </c>
    </row>
    <row r="176" ht="15.75" customHeight="1">
      <c r="A176" s="84" t="inlineStr">
        <is>
          <t>ETIQUETA OUI</t>
        </is>
      </c>
      <c r="B176" s="151" t="n">
        <v>0</v>
      </c>
      <c r="C176" s="80" t="n">
        <v>0</v>
      </c>
      <c r="D176" s="80" t="n"/>
      <c r="E176" s="80" t="n">
        <v>0</v>
      </c>
      <c r="F176" s="81">
        <f>B176+C176+D176+E176</f>
        <v/>
      </c>
      <c r="G176" s="80" t="n">
        <v>0</v>
      </c>
      <c r="H176" s="80" t="n"/>
      <c r="I176" s="80" t="n">
        <v>0</v>
      </c>
      <c r="J176" s="80" t="n">
        <v>0</v>
      </c>
      <c r="K176" s="81">
        <f>G176+H176+I176+J176</f>
        <v/>
      </c>
      <c r="L176" s="80" t="n">
        <v>0</v>
      </c>
      <c r="M176" s="80" t="n">
        <v>0</v>
      </c>
      <c r="N176" s="80" t="n">
        <v>0</v>
      </c>
      <c r="O176" s="80" t="n">
        <v>0</v>
      </c>
      <c r="P176" s="80" t="n">
        <v>0</v>
      </c>
      <c r="Q176" s="81">
        <f>L176+M176+N176+O176+P176</f>
        <v/>
      </c>
      <c r="R176" s="80" t="n"/>
      <c r="S176" s="80" t="n"/>
      <c r="T176" s="80" t="n"/>
      <c r="U176" s="80" t="n"/>
      <c r="V176" s="81">
        <f>R176+S176+T176+U176</f>
        <v/>
      </c>
      <c r="W176" s="80" t="n">
        <v>0</v>
      </c>
      <c r="X176" s="80" t="n">
        <v>0</v>
      </c>
      <c r="Y176" s="80" t="n"/>
      <c r="Z176" s="80" t="n"/>
      <c r="AA176" s="81">
        <f>W176+X176+Y176+Z176</f>
        <v/>
      </c>
      <c r="AB176" s="80" t="n"/>
      <c r="AC176" s="80" t="n"/>
      <c r="AD176" s="80" t="n"/>
      <c r="AE176" s="80" t="n"/>
      <c r="AF176" s="80" t="n"/>
      <c r="AG176" s="81">
        <f>AB176+AC176+AD176+AE176+AF176</f>
        <v/>
      </c>
      <c r="AH176" s="80" t="n"/>
      <c r="AI176" s="80" t="n"/>
      <c r="AJ176" s="80" t="n"/>
      <c r="AK176" s="80" t="n"/>
      <c r="AL176" s="81">
        <f>AH176+AI176+AJ176+AK176</f>
        <v/>
      </c>
      <c r="AM176" s="80" t="n"/>
      <c r="AN176" s="80" t="n"/>
      <c r="AO176" s="80" t="n"/>
      <c r="AP176" s="80" t="n"/>
      <c r="AQ176" s="80" t="n"/>
      <c r="AR176" s="81">
        <f>AM176+AN176+AO176+AP176+AQ176</f>
        <v/>
      </c>
      <c r="AS176" s="80" t="n"/>
      <c r="AT176" s="80" t="n"/>
      <c r="AU176" s="80" t="n"/>
      <c r="AV176" s="80" t="n"/>
      <c r="AW176" s="81">
        <f>AS176+AT176+AU176+AV176</f>
        <v/>
      </c>
      <c r="AX176" s="80" t="n"/>
      <c r="AY176" s="80" t="n"/>
      <c r="AZ176" s="80" t="n"/>
      <c r="BA176" s="80" t="n"/>
      <c r="BB176" s="81">
        <f>AX176+AY176+AZ176+BA176</f>
        <v/>
      </c>
      <c r="BC176" s="80" t="n"/>
      <c r="BD176" s="80" t="n"/>
      <c r="BE176" s="80" t="n"/>
      <c r="BF176" s="80" t="n"/>
      <c r="BG176" s="80" t="n"/>
      <c r="BH176" s="81">
        <f>BC176+BD176+BE176+BF176+BG176</f>
        <v/>
      </c>
      <c r="BI176" s="80" t="n"/>
      <c r="BJ176" s="80" t="n"/>
      <c r="BK176" s="80" t="n"/>
      <c r="BL176" s="80" t="n"/>
      <c r="BM176" s="81">
        <f>BI176+BJ176+BK176+BL176</f>
        <v/>
      </c>
    </row>
    <row r="177" ht="15.75" customHeight="1">
      <c r="A177" s="84" t="inlineStr">
        <is>
          <t>LÂMINA OLFATIVA OUI</t>
        </is>
      </c>
      <c r="B177" s="151" t="n">
        <v>0</v>
      </c>
      <c r="C177" s="80" t="n">
        <v>0</v>
      </c>
      <c r="D177" s="80" t="n"/>
      <c r="E177" s="80" t="n">
        <v>0</v>
      </c>
      <c r="F177" s="81">
        <f>B177+C177+D177+E177</f>
        <v/>
      </c>
      <c r="G177" s="80" t="n">
        <v>0</v>
      </c>
      <c r="H177" s="80" t="n"/>
      <c r="I177" s="80" t="n">
        <v>0</v>
      </c>
      <c r="J177" s="80" t="n">
        <v>0</v>
      </c>
      <c r="K177" s="81">
        <f>G177+H177+I177+J177</f>
        <v/>
      </c>
      <c r="L177" s="80" t="n">
        <v>0</v>
      </c>
      <c r="M177" s="80" t="n">
        <v>0</v>
      </c>
      <c r="N177" s="80" t="n">
        <v>0</v>
      </c>
      <c r="O177" s="80" t="n">
        <v>0</v>
      </c>
      <c r="P177" s="80" t="n">
        <v>0</v>
      </c>
      <c r="Q177" s="81">
        <f>L177+M177+N177+O177+P177</f>
        <v/>
      </c>
      <c r="R177" s="80" t="n"/>
      <c r="S177" s="80" t="n"/>
      <c r="T177" s="80" t="n"/>
      <c r="U177" s="80" t="n"/>
      <c r="V177" s="81">
        <f>R177+S177+T177+U177</f>
        <v/>
      </c>
      <c r="W177" s="80" t="n">
        <v>0</v>
      </c>
      <c r="X177" s="80" t="n">
        <v>0</v>
      </c>
      <c r="Y177" s="80" t="n"/>
      <c r="Z177" s="80" t="n"/>
      <c r="AA177" s="81">
        <f>W177+X177+Y177+Z177</f>
        <v/>
      </c>
      <c r="AB177" s="80" t="n"/>
      <c r="AC177" s="80" t="n"/>
      <c r="AD177" s="80" t="n"/>
      <c r="AE177" s="80" t="n"/>
      <c r="AF177" s="80" t="n"/>
      <c r="AG177" s="81">
        <f>AB177+AC177+AD177+AE177+AF177</f>
        <v/>
      </c>
      <c r="AH177" s="80" t="n"/>
      <c r="AI177" s="80" t="n"/>
      <c r="AJ177" s="80" t="n"/>
      <c r="AK177" s="80" t="n"/>
      <c r="AL177" s="81">
        <f>AH177+AI177+AJ177+AK177</f>
        <v/>
      </c>
      <c r="AM177" s="80" t="n"/>
      <c r="AN177" s="80" t="n"/>
      <c r="AO177" s="80" t="n"/>
      <c r="AP177" s="80" t="n"/>
      <c r="AQ177" s="80" t="n"/>
      <c r="AR177" s="81">
        <f>AM177+AN177+AO177+AP177+AQ177</f>
        <v/>
      </c>
      <c r="AS177" s="80" t="n"/>
      <c r="AT177" s="80" t="n"/>
      <c r="AU177" s="80" t="n"/>
      <c r="AV177" s="80" t="n"/>
      <c r="AW177" s="81">
        <f>AS177+AT177+AU177+AV177</f>
        <v/>
      </c>
      <c r="AX177" s="80" t="n"/>
      <c r="AY177" s="80" t="n"/>
      <c r="AZ177" s="80" t="n"/>
      <c r="BA177" s="80" t="n"/>
      <c r="BB177" s="81">
        <f>AX177+AY177+AZ177+BA177</f>
        <v/>
      </c>
      <c r="BC177" s="80" t="n"/>
      <c r="BD177" s="80" t="n"/>
      <c r="BE177" s="80" t="n"/>
      <c r="BF177" s="80" t="n"/>
      <c r="BG177" s="80" t="n"/>
      <c r="BH177" s="81">
        <f>BC177+BD177+BE177+BF177+BG177</f>
        <v/>
      </c>
      <c r="BI177" s="80" t="n"/>
      <c r="BJ177" s="80" t="n"/>
      <c r="BK177" s="80" t="n"/>
      <c r="BL177" s="80" t="n"/>
      <c r="BM177" s="81">
        <f>BI177+BJ177+BK177+BL177</f>
        <v/>
      </c>
    </row>
    <row r="178" ht="15.75" customHeight="1">
      <c r="A178" s="84" t="inlineStr">
        <is>
          <t>SACO M OUI (BRINDE)</t>
        </is>
      </c>
      <c r="B178" s="80" t="n">
        <v>40</v>
      </c>
      <c r="C178" s="80" t="n">
        <v>0</v>
      </c>
      <c r="D178" s="80" t="n"/>
      <c r="E178" s="80" t="n">
        <v>0</v>
      </c>
      <c r="F178" s="81">
        <f>B178+C178+D178+E178</f>
        <v/>
      </c>
      <c r="G178" s="80" t="n">
        <v>0</v>
      </c>
      <c r="H178" s="80" t="n"/>
      <c r="I178" s="80" t="n">
        <v>0</v>
      </c>
      <c r="J178" s="80" t="n">
        <v>0</v>
      </c>
      <c r="K178" s="81">
        <f>G178+H178+I178+J178</f>
        <v/>
      </c>
      <c r="L178" s="80" t="n">
        <v>0</v>
      </c>
      <c r="M178" s="80" t="n">
        <v>0</v>
      </c>
      <c r="N178" s="80" t="n">
        <v>0</v>
      </c>
      <c r="O178" s="80" t="n">
        <v>0</v>
      </c>
      <c r="P178" s="80" t="n">
        <v>120</v>
      </c>
      <c r="Q178" s="81">
        <f>L178+M178+N178+O178+P178</f>
        <v/>
      </c>
      <c r="R178" s="80" t="n"/>
      <c r="S178" s="80" t="n"/>
      <c r="T178" s="80" t="n"/>
      <c r="U178" s="80" t="n"/>
      <c r="V178" s="81">
        <f>R178+S178+T178+U178</f>
        <v/>
      </c>
      <c r="W178" s="80" t="n">
        <v>0</v>
      </c>
      <c r="X178" s="80" t="n">
        <v>0</v>
      </c>
      <c r="Y178" s="80" t="n"/>
      <c r="Z178" s="80" t="n"/>
      <c r="AA178" s="81">
        <f>W178+X178+Y178+Z178</f>
        <v/>
      </c>
      <c r="AB178" s="80" t="n"/>
      <c r="AC178" s="80" t="n"/>
      <c r="AD178" s="80" t="n"/>
      <c r="AE178" s="80" t="n"/>
      <c r="AF178" s="80" t="n"/>
      <c r="AG178" s="81">
        <f>AB178+AC178+AD178+AE178+AF178</f>
        <v/>
      </c>
      <c r="AH178" s="80" t="n"/>
      <c r="AI178" s="80" t="n"/>
      <c r="AJ178" s="80" t="n"/>
      <c r="AK178" s="80" t="n"/>
      <c r="AL178" s="81">
        <f>AH178+AI178+AJ178+AK178</f>
        <v/>
      </c>
      <c r="AM178" s="80" t="n"/>
      <c r="AN178" s="80" t="n"/>
      <c r="AO178" s="80" t="n"/>
      <c r="AP178" s="80" t="n"/>
      <c r="AQ178" s="80" t="n"/>
      <c r="AR178" s="81">
        <f>AM178+AN178+AO178+AP178+AQ178</f>
        <v/>
      </c>
      <c r="AS178" s="80" t="n"/>
      <c r="AT178" s="80" t="n"/>
      <c r="AU178" s="80" t="n"/>
      <c r="AV178" s="80" t="n"/>
      <c r="AW178" s="81">
        <f>AS178+AT178+AU178+AV178</f>
        <v/>
      </c>
      <c r="AX178" s="80" t="n"/>
      <c r="AY178" s="80" t="n"/>
      <c r="AZ178" s="80" t="n"/>
      <c r="BA178" s="80" t="n"/>
      <c r="BB178" s="81">
        <f>AX178+AY178+AZ178+BA178</f>
        <v/>
      </c>
      <c r="BC178" s="80" t="n"/>
      <c r="BD178" s="80" t="n"/>
      <c r="BE178" s="80" t="n"/>
      <c r="BF178" s="80" t="n"/>
      <c r="BG178" s="80" t="n"/>
      <c r="BH178" s="81">
        <f>BC178+BD178+BE178+BF178+BG178</f>
        <v/>
      </c>
      <c r="BI178" s="80" t="n"/>
      <c r="BJ178" s="80" t="n"/>
      <c r="BK178" s="80" t="n"/>
      <c r="BL178" s="80" t="n"/>
      <c r="BM178" s="81">
        <f>BI178+BJ178+BK178+BL178</f>
        <v/>
      </c>
    </row>
    <row r="179" ht="15.75" customHeight="1">
      <c r="A179" s="84" t="inlineStr">
        <is>
          <t>SACOLA P QDB</t>
        </is>
      </c>
      <c r="B179" s="151" t="n">
        <v>0</v>
      </c>
      <c r="C179" s="80" t="n">
        <v>0</v>
      </c>
      <c r="D179" s="80" t="n"/>
      <c r="E179" s="80" t="n">
        <v>0</v>
      </c>
      <c r="F179" s="81">
        <f>B179+C179+D179+E179</f>
        <v/>
      </c>
      <c r="G179" s="80" t="n">
        <v>0</v>
      </c>
      <c r="H179" s="80" t="n"/>
      <c r="I179" s="80" t="n">
        <v>0</v>
      </c>
      <c r="J179" s="80" t="n">
        <v>0</v>
      </c>
      <c r="K179" s="81">
        <f>G179+H179+I179+J179</f>
        <v/>
      </c>
      <c r="L179" s="80" t="n">
        <v>0</v>
      </c>
      <c r="M179" s="80" t="n">
        <v>0</v>
      </c>
      <c r="N179" s="80" t="n">
        <v>0</v>
      </c>
      <c r="O179" s="80" t="n">
        <v>0</v>
      </c>
      <c r="P179" s="80" t="n">
        <v>0</v>
      </c>
      <c r="Q179" s="81">
        <f>L179+M179+N179+O179+P179</f>
        <v/>
      </c>
      <c r="R179" s="80" t="n"/>
      <c r="S179" s="80" t="n"/>
      <c r="T179" s="80" t="n"/>
      <c r="U179" s="80" t="n"/>
      <c r="V179" s="81">
        <f>R179+S179+T179+U179</f>
        <v/>
      </c>
      <c r="W179" s="80" t="n">
        <v>0</v>
      </c>
      <c r="X179" s="80" t="n">
        <v>0</v>
      </c>
      <c r="Y179" s="80" t="n"/>
      <c r="Z179" s="80" t="n"/>
      <c r="AA179" s="81">
        <f>W179+X179+Y179+Z179</f>
        <v/>
      </c>
      <c r="AB179" s="80" t="n"/>
      <c r="AC179" s="80" t="n"/>
      <c r="AD179" s="80" t="n"/>
      <c r="AE179" s="80" t="n"/>
      <c r="AF179" s="80" t="n"/>
      <c r="AG179" s="81">
        <f>AB179+AC179+AD179+AE179+AF179</f>
        <v/>
      </c>
      <c r="AH179" s="80" t="n"/>
      <c r="AI179" s="80" t="n"/>
      <c r="AJ179" s="80" t="n"/>
      <c r="AK179" s="80" t="n"/>
      <c r="AL179" s="81">
        <f>AH179+AI179+AJ179+AK179</f>
        <v/>
      </c>
      <c r="AM179" s="80" t="n"/>
      <c r="AN179" s="80" t="n"/>
      <c r="AO179" s="80" t="n"/>
      <c r="AP179" s="80" t="n"/>
      <c r="AQ179" s="80" t="n"/>
      <c r="AR179" s="81">
        <f>AM179+AN179+AO179+AP179+AQ179</f>
        <v/>
      </c>
      <c r="AS179" s="80" t="n"/>
      <c r="AT179" s="80" t="n"/>
      <c r="AU179" s="80" t="n"/>
      <c r="AV179" s="80" t="n"/>
      <c r="AW179" s="81">
        <f>AS179+AT179+AU179+AV179</f>
        <v/>
      </c>
      <c r="AX179" s="80" t="n"/>
      <c r="AY179" s="80" t="n"/>
      <c r="AZ179" s="80" t="n"/>
      <c r="BA179" s="80" t="n"/>
      <c r="BB179" s="81">
        <f>AX179+AY179+AZ179+BA179</f>
        <v/>
      </c>
      <c r="BC179" s="80" t="n"/>
      <c r="BD179" s="80" t="n"/>
      <c r="BE179" s="80" t="n"/>
      <c r="BF179" s="80" t="n"/>
      <c r="BG179" s="80" t="n"/>
      <c r="BH179" s="81">
        <f>BC179+BD179+BE179+BF179+BG179</f>
        <v/>
      </c>
      <c r="BI179" s="80" t="n"/>
      <c r="BJ179" s="80" t="n"/>
      <c r="BK179" s="80" t="n"/>
      <c r="BL179" s="80" t="n"/>
      <c r="BM179" s="81">
        <f>BI179+BJ179+BK179+BL179</f>
        <v/>
      </c>
    </row>
    <row r="180" ht="15.75" customHeight="1">
      <c r="A180" s="84" t="inlineStr">
        <is>
          <t>SACOLA M QDB</t>
        </is>
      </c>
      <c r="B180" s="151" t="n">
        <v>0</v>
      </c>
      <c r="C180" s="80" t="n">
        <v>0</v>
      </c>
      <c r="D180" s="80" t="n"/>
      <c r="E180" s="80" t="n">
        <v>0</v>
      </c>
      <c r="F180" s="81">
        <f>B180+C180+D180+E180</f>
        <v/>
      </c>
      <c r="G180" s="80" t="n">
        <v>0</v>
      </c>
      <c r="H180" s="80" t="n"/>
      <c r="I180" s="80" t="n">
        <v>0</v>
      </c>
      <c r="J180" s="80" t="n">
        <v>0</v>
      </c>
      <c r="K180" s="81">
        <f>G180+H180+I180+J180</f>
        <v/>
      </c>
      <c r="L180" s="80" t="n">
        <v>0</v>
      </c>
      <c r="M180" s="80" t="n">
        <v>0</v>
      </c>
      <c r="N180" s="80" t="n">
        <v>0</v>
      </c>
      <c r="O180" s="80" t="n">
        <v>0</v>
      </c>
      <c r="P180" s="80" t="n">
        <v>0</v>
      </c>
      <c r="Q180" s="81">
        <f>L180+M180+N180+O180+P180</f>
        <v/>
      </c>
      <c r="R180" s="80" t="n"/>
      <c r="S180" s="80" t="n"/>
      <c r="T180" s="80" t="n"/>
      <c r="U180" s="80" t="n"/>
      <c r="V180" s="81">
        <f>R180+S180+T180+U180</f>
        <v/>
      </c>
      <c r="W180" s="80" t="n">
        <v>0</v>
      </c>
      <c r="X180" s="80" t="n">
        <v>0</v>
      </c>
      <c r="Y180" s="80" t="n"/>
      <c r="Z180" s="80" t="n"/>
      <c r="AA180" s="81">
        <f>W180+X180+Y180+Z180</f>
        <v/>
      </c>
      <c r="AB180" s="80" t="n"/>
      <c r="AC180" s="80" t="n"/>
      <c r="AD180" s="80" t="n"/>
      <c r="AE180" s="80" t="n"/>
      <c r="AF180" s="80" t="n"/>
      <c r="AG180" s="81">
        <f>AB180+AC180+AD180+AE180+AF180</f>
        <v/>
      </c>
      <c r="AH180" s="80" t="n"/>
      <c r="AI180" s="80" t="n"/>
      <c r="AJ180" s="80" t="n"/>
      <c r="AK180" s="80" t="n"/>
      <c r="AL180" s="81">
        <f>AH180+AI180+AJ180+AK180</f>
        <v/>
      </c>
      <c r="AM180" s="80" t="n"/>
      <c r="AN180" s="80" t="n"/>
      <c r="AO180" s="80" t="n"/>
      <c r="AP180" s="80" t="n"/>
      <c r="AQ180" s="80" t="n"/>
      <c r="AR180" s="81">
        <f>AM180+AN180+AO180+AP180+AQ180</f>
        <v/>
      </c>
      <c r="AS180" s="80" t="n"/>
      <c r="AT180" s="80" t="n"/>
      <c r="AU180" s="80" t="n"/>
      <c r="AV180" s="80" t="n"/>
      <c r="AW180" s="81">
        <f>AS180+AT180+AU180+AV180</f>
        <v/>
      </c>
      <c r="AX180" s="80" t="n"/>
      <c r="AY180" s="80" t="n"/>
      <c r="AZ180" s="80" t="n"/>
      <c r="BA180" s="80" t="n"/>
      <c r="BB180" s="81">
        <f>AX180+AY180+AZ180+BA180</f>
        <v/>
      </c>
      <c r="BC180" s="80" t="n"/>
      <c r="BD180" s="80" t="n"/>
      <c r="BE180" s="80" t="n"/>
      <c r="BF180" s="80" t="n"/>
      <c r="BG180" s="80" t="n"/>
      <c r="BH180" s="81">
        <f>BC180+BD180+BE180+BF180+BG180</f>
        <v/>
      </c>
      <c r="BI180" s="80" t="n"/>
      <c r="BJ180" s="80" t="n"/>
      <c r="BK180" s="80" t="n"/>
      <c r="BL180" s="80" t="n"/>
      <c r="BM180" s="81">
        <f>BI180+BJ180+BK180+BL180</f>
        <v/>
      </c>
    </row>
    <row r="181" ht="15.75" customHeight="1">
      <c r="A181" s="84" t="inlineStr">
        <is>
          <t>SACOLA G QDB</t>
        </is>
      </c>
      <c r="B181" s="151" t="n">
        <v>0</v>
      </c>
      <c r="C181" s="80" t="n">
        <v>0</v>
      </c>
      <c r="D181" s="80" t="n"/>
      <c r="E181" s="80" t="n">
        <v>0</v>
      </c>
      <c r="F181" s="81">
        <f>B181+C181+D181+E181</f>
        <v/>
      </c>
      <c r="G181" s="80" t="n">
        <v>0</v>
      </c>
      <c r="H181" s="80" t="n"/>
      <c r="I181" s="80" t="n">
        <v>0</v>
      </c>
      <c r="J181" s="80" t="n">
        <v>0</v>
      </c>
      <c r="K181" s="81">
        <f>G181+H181+I181+J181</f>
        <v/>
      </c>
      <c r="L181" s="80" t="n">
        <v>0</v>
      </c>
      <c r="M181" s="80" t="n">
        <v>0</v>
      </c>
      <c r="N181" s="80" t="n">
        <v>0</v>
      </c>
      <c r="O181" s="80" t="n">
        <v>0</v>
      </c>
      <c r="P181" s="80" t="n">
        <v>0</v>
      </c>
      <c r="Q181" s="81">
        <f>L181+M181+N181+O181+P181</f>
        <v/>
      </c>
      <c r="R181" s="80" t="n"/>
      <c r="S181" s="80" t="n"/>
      <c r="T181" s="80" t="n"/>
      <c r="U181" s="80" t="n"/>
      <c r="V181" s="81">
        <f>R181+S181+T181+U181</f>
        <v/>
      </c>
      <c r="W181" s="80" t="n">
        <v>0</v>
      </c>
      <c r="X181" s="80" t="n">
        <v>0</v>
      </c>
      <c r="Y181" s="80" t="n"/>
      <c r="Z181" s="80" t="n"/>
      <c r="AA181" s="81">
        <f>W181+X181+Y181+Z181</f>
        <v/>
      </c>
      <c r="AB181" s="80" t="n"/>
      <c r="AC181" s="80" t="n"/>
      <c r="AD181" s="80" t="n"/>
      <c r="AE181" s="80" t="n"/>
      <c r="AF181" s="80" t="n"/>
      <c r="AG181" s="81">
        <f>AB181+AC181+AD181+AE181+AF181</f>
        <v/>
      </c>
      <c r="AH181" s="80" t="n"/>
      <c r="AI181" s="80" t="n"/>
      <c r="AJ181" s="80" t="n"/>
      <c r="AK181" s="80" t="n"/>
      <c r="AL181" s="81">
        <f>AH181+AI181+AJ181+AK181</f>
        <v/>
      </c>
      <c r="AM181" s="80" t="n"/>
      <c r="AN181" s="80" t="n"/>
      <c r="AO181" s="80" t="n"/>
      <c r="AP181" s="80" t="n"/>
      <c r="AQ181" s="80" t="n"/>
      <c r="AR181" s="81">
        <f>AM181+AN181+AO181+AP181+AQ181</f>
        <v/>
      </c>
      <c r="AS181" s="80" t="n"/>
      <c r="AT181" s="80" t="n"/>
      <c r="AU181" s="80" t="n"/>
      <c r="AV181" s="80" t="n"/>
      <c r="AW181" s="81">
        <f>AS181+AT181+AU181+AV181</f>
        <v/>
      </c>
      <c r="AX181" s="80" t="n"/>
      <c r="AY181" s="80" t="n"/>
      <c r="AZ181" s="80" t="n"/>
      <c r="BA181" s="80" t="n"/>
      <c r="BB181" s="81">
        <f>AX181+AY181+AZ181+BA181</f>
        <v/>
      </c>
      <c r="BC181" s="80" t="n"/>
      <c r="BD181" s="80" t="n"/>
      <c r="BE181" s="80" t="n"/>
      <c r="BF181" s="80" t="n"/>
      <c r="BG181" s="80" t="n"/>
      <c r="BH181" s="81">
        <f>BC181+BD181+BE181+BF181+BG181</f>
        <v/>
      </c>
      <c r="BI181" s="80" t="n"/>
      <c r="BJ181" s="80" t="n"/>
      <c r="BK181" s="80" t="n"/>
      <c r="BL181" s="80" t="n"/>
      <c r="BM181" s="81">
        <f>BI181+BJ181+BK181+BL181</f>
        <v/>
      </c>
    </row>
    <row r="182" ht="15.75" customHeight="1">
      <c r="A182" s="84" t="inlineStr">
        <is>
          <t>PAPEL DE SEDA QDB</t>
        </is>
      </c>
      <c r="B182" s="151" t="n">
        <v>0</v>
      </c>
      <c r="C182" s="151" t="n">
        <v>0</v>
      </c>
      <c r="D182" s="151" t="n"/>
      <c r="E182" s="151" t="n">
        <v>2</v>
      </c>
      <c r="F182" s="81">
        <f>B182+C182+D182+E182</f>
        <v/>
      </c>
      <c r="G182" s="151" t="n">
        <v>0</v>
      </c>
      <c r="H182" s="151" t="n"/>
      <c r="I182" s="151" t="n">
        <v>0</v>
      </c>
      <c r="J182" s="151" t="n">
        <v>0</v>
      </c>
      <c r="K182" s="81">
        <f>G182+H182+I182+J182</f>
        <v/>
      </c>
      <c r="L182" s="151" t="n">
        <v>0</v>
      </c>
      <c r="M182" s="151" t="n">
        <v>0</v>
      </c>
      <c r="N182" s="151" t="n">
        <v>0</v>
      </c>
      <c r="O182" s="151" t="n">
        <v>0</v>
      </c>
      <c r="P182" s="151" t="n">
        <v>0</v>
      </c>
      <c r="Q182" s="81">
        <f>L182+M182+N182+O182+P182</f>
        <v/>
      </c>
      <c r="R182" s="151" t="n"/>
      <c r="S182" s="151" t="n"/>
      <c r="T182" s="151" t="n"/>
      <c r="U182" s="151" t="n"/>
      <c r="V182" s="81">
        <f>R182+S182+T182+U182</f>
        <v/>
      </c>
      <c r="W182" s="151" t="n">
        <v>0</v>
      </c>
      <c r="X182" s="151" t="n">
        <v>0</v>
      </c>
      <c r="Y182" s="151" t="n"/>
      <c r="Z182" s="151" t="n"/>
      <c r="AA182" s="81">
        <f>W182+X182+Y182+Z182</f>
        <v/>
      </c>
      <c r="AB182" s="151" t="n"/>
      <c r="AC182" s="151" t="n"/>
      <c r="AD182" s="151" t="n"/>
      <c r="AE182" s="151" t="n"/>
      <c r="AF182" s="151" t="n"/>
      <c r="AG182" s="81">
        <f>AB182+AC182+AD182+AE182+AF182</f>
        <v/>
      </c>
      <c r="AH182" s="151" t="n"/>
      <c r="AI182" s="151" t="n"/>
      <c r="AJ182" s="151" t="n"/>
      <c r="AK182" s="151" t="n"/>
      <c r="AL182" s="81">
        <f>AH182+AI182+AJ182+AK182</f>
        <v/>
      </c>
      <c r="AM182" s="80" t="n"/>
      <c r="AN182" s="80" t="n"/>
      <c r="AO182" s="80" t="n"/>
      <c r="AP182" s="80" t="n"/>
      <c r="AQ182" s="80" t="n"/>
      <c r="AR182" s="81">
        <f>AM182+AN182+AO182+AP182+AQ182</f>
        <v/>
      </c>
      <c r="AS182" s="80" t="n"/>
      <c r="AT182" s="80" t="n"/>
      <c r="AU182" s="80" t="n"/>
      <c r="AV182" s="80" t="n"/>
      <c r="AW182" s="81">
        <f>AS182+AT182+AU182+AV182</f>
        <v/>
      </c>
      <c r="AX182" s="80" t="n"/>
      <c r="AY182" s="80" t="n"/>
      <c r="AZ182" s="80" t="n"/>
      <c r="BA182" s="80" t="n"/>
      <c r="BB182" s="81">
        <f>AX182+AY182+AZ182+BA182</f>
        <v/>
      </c>
      <c r="BC182" s="80" t="n"/>
      <c r="BD182" s="80" t="n"/>
      <c r="BE182" s="80" t="n"/>
      <c r="BF182" s="80" t="n"/>
      <c r="BG182" s="80" t="n"/>
      <c r="BH182" s="81">
        <f>BC182+BD182+BE182+BF182+BG182</f>
        <v/>
      </c>
      <c r="BI182" s="80" t="n"/>
      <c r="BJ182" s="80" t="n"/>
      <c r="BK182" s="80" t="n"/>
      <c r="BL182" s="80" t="n"/>
      <c r="BM182" s="81">
        <f>BI182+BJ182+BK182+BL182</f>
        <v/>
      </c>
    </row>
    <row r="183" ht="15.75" customHeight="1">
      <c r="A183" s="84" t="inlineStr">
        <is>
          <t>ETIQUETA QDB</t>
        </is>
      </c>
      <c r="B183" s="151" t="n">
        <v>0</v>
      </c>
      <c r="C183" s="151" t="n">
        <v>0</v>
      </c>
      <c r="D183" s="151" t="n"/>
      <c r="E183" s="151" t="n">
        <v>0</v>
      </c>
      <c r="F183" s="81">
        <f>B183+C183+D183+E183</f>
        <v/>
      </c>
      <c r="G183" s="151" t="n">
        <v>0</v>
      </c>
      <c r="H183" s="151" t="n"/>
      <c r="I183" s="151" t="n">
        <v>0</v>
      </c>
      <c r="J183" s="151" t="n">
        <v>0</v>
      </c>
      <c r="K183" s="81">
        <f>G183+H183+I183+J183</f>
        <v/>
      </c>
      <c r="L183" s="151" t="n">
        <v>0</v>
      </c>
      <c r="M183" s="151" t="n">
        <v>0</v>
      </c>
      <c r="N183" s="151" t="n">
        <v>0</v>
      </c>
      <c r="O183" s="151" t="n">
        <v>0</v>
      </c>
      <c r="P183" s="151" t="n">
        <v>0</v>
      </c>
      <c r="Q183" s="81">
        <f>L183+M183+N183+O183+P183</f>
        <v/>
      </c>
      <c r="R183" s="151" t="n"/>
      <c r="S183" s="151" t="n"/>
      <c r="T183" s="151" t="n"/>
      <c r="U183" s="151" t="n"/>
      <c r="V183" s="81">
        <f>R183+S183+T183+U183</f>
        <v/>
      </c>
      <c r="W183" s="151" t="n">
        <v>0</v>
      </c>
      <c r="X183" s="151" t="n">
        <v>0</v>
      </c>
      <c r="Y183" s="151" t="n"/>
      <c r="Z183" s="151" t="n"/>
      <c r="AA183" s="81">
        <f>W183+X183+Y183+Z183</f>
        <v/>
      </c>
      <c r="AB183" s="151" t="n"/>
      <c r="AC183" s="151" t="n"/>
      <c r="AD183" s="151" t="n"/>
      <c r="AE183" s="151" t="n"/>
      <c r="AF183" s="151" t="n"/>
      <c r="AG183" s="81">
        <f>AB183+AC183+AD183+AE183+AF183</f>
        <v/>
      </c>
      <c r="AH183" s="151" t="n"/>
      <c r="AI183" s="151" t="n"/>
      <c r="AJ183" s="151" t="n"/>
      <c r="AK183" s="151" t="n"/>
      <c r="AL183" s="81">
        <f>AH183+AI183+AJ183+AK183</f>
        <v/>
      </c>
      <c r="AM183" s="80" t="n"/>
      <c r="AN183" s="80" t="n"/>
      <c r="AO183" s="80" t="n"/>
      <c r="AP183" s="80" t="n"/>
      <c r="AQ183" s="80" t="n"/>
      <c r="AR183" s="81">
        <f>AM183+AN183+AO183+AP183+AQ183</f>
        <v/>
      </c>
      <c r="AS183" s="80" t="n"/>
      <c r="AT183" s="80" t="n"/>
      <c r="AU183" s="80" t="n"/>
      <c r="AV183" s="80" t="n"/>
      <c r="AW183" s="81">
        <f>AS183+AT183+AU183+AV183</f>
        <v/>
      </c>
      <c r="AX183" s="80" t="n"/>
      <c r="AY183" s="80" t="n"/>
      <c r="AZ183" s="80" t="n"/>
      <c r="BA183" s="80" t="n"/>
      <c r="BB183" s="81">
        <f>AX183+AY183+AZ183+BA183</f>
        <v/>
      </c>
      <c r="BC183" s="80" t="n"/>
      <c r="BD183" s="80" t="n"/>
      <c r="BE183" s="80" t="n"/>
      <c r="BF183" s="80" t="n"/>
      <c r="BG183" s="80" t="n"/>
      <c r="BH183" s="81">
        <f>BC183+BD183+BE183+BF183+BG183</f>
        <v/>
      </c>
      <c r="BI183" s="80" t="n"/>
      <c r="BJ183" s="80" t="n"/>
      <c r="BK183" s="80" t="n"/>
      <c r="BL183" s="80" t="n"/>
      <c r="BM183" s="81">
        <f>BI183+BJ183+BK183+BL183</f>
        <v/>
      </c>
    </row>
    <row r="184" ht="15.75" customHeight="1">
      <c r="A184" s="84" t="inlineStr">
        <is>
          <t>TAG QDB</t>
        </is>
      </c>
      <c r="B184" s="151" t="n">
        <v>0</v>
      </c>
      <c r="C184" s="151" t="n">
        <v>0</v>
      </c>
      <c r="D184" s="151" t="n"/>
      <c r="E184" s="151" t="n">
        <v>3</v>
      </c>
      <c r="F184" s="81">
        <f>B184+C184+D184+E184</f>
        <v/>
      </c>
      <c r="G184" s="151" t="n">
        <v>0</v>
      </c>
      <c r="H184" s="151" t="n"/>
      <c r="I184" s="151" t="n">
        <v>0</v>
      </c>
      <c r="J184" s="151" t="n">
        <v>0</v>
      </c>
      <c r="K184" s="81">
        <f>G184+H184+I184+J184</f>
        <v/>
      </c>
      <c r="L184" s="151" t="n">
        <v>0</v>
      </c>
      <c r="M184" s="151" t="n">
        <v>0</v>
      </c>
      <c r="N184" s="151" t="n">
        <v>0</v>
      </c>
      <c r="O184" s="151" t="n">
        <v>0</v>
      </c>
      <c r="P184" s="151" t="n">
        <v>0</v>
      </c>
      <c r="Q184" s="81">
        <f>L184+M184+N184+O184+P184</f>
        <v/>
      </c>
      <c r="R184" s="151" t="n"/>
      <c r="S184" s="151" t="n"/>
      <c r="T184" s="151" t="n"/>
      <c r="U184" s="151" t="n"/>
      <c r="V184" s="81">
        <f>R184+S184+T184+U184</f>
        <v/>
      </c>
      <c r="W184" s="151" t="n">
        <v>0</v>
      </c>
      <c r="X184" s="151" t="n">
        <v>0</v>
      </c>
      <c r="Y184" s="151" t="n"/>
      <c r="Z184" s="151" t="n"/>
      <c r="AA184" s="81">
        <f>W184+X184+Y184+Z184</f>
        <v/>
      </c>
      <c r="AB184" s="151" t="n"/>
      <c r="AC184" s="151" t="n"/>
      <c r="AD184" s="151" t="n"/>
      <c r="AE184" s="151" t="n"/>
      <c r="AF184" s="151" t="n"/>
      <c r="AG184" s="81">
        <f>AB184+AC184+AD184+AE184+AF184</f>
        <v/>
      </c>
      <c r="AH184" s="151" t="n"/>
      <c r="AI184" s="151" t="n"/>
      <c r="AJ184" s="151" t="n"/>
      <c r="AK184" s="151" t="n"/>
      <c r="AL184" s="81">
        <f>AH184+AI184+AJ184+AK184</f>
        <v/>
      </c>
      <c r="AM184" s="80" t="n"/>
      <c r="AN184" s="80" t="n"/>
      <c r="AO184" s="80" t="n"/>
      <c r="AP184" s="80" t="n"/>
      <c r="AQ184" s="80" t="n"/>
      <c r="AR184" s="81">
        <f>AM184+AN184+AO184+AP184+AQ184</f>
        <v/>
      </c>
      <c r="AS184" s="80" t="n"/>
      <c r="AT184" s="80" t="n"/>
      <c r="AU184" s="80" t="n"/>
      <c r="AV184" s="80" t="n"/>
      <c r="AW184" s="81">
        <f>AS184+AT184+AU184+AV184</f>
        <v/>
      </c>
      <c r="AX184" s="80" t="n"/>
      <c r="AY184" s="80" t="n"/>
      <c r="AZ184" s="80" t="n"/>
      <c r="BA184" s="80" t="n"/>
      <c r="BB184" s="81">
        <f>AX184+AY184+AZ184+BA184</f>
        <v/>
      </c>
      <c r="BC184" s="80" t="n"/>
      <c r="BD184" s="80" t="n"/>
      <c r="BE184" s="80" t="n"/>
      <c r="BF184" s="80" t="n"/>
      <c r="BG184" s="80" t="n"/>
      <c r="BH184" s="81">
        <f>BC184+BD184+BE184+BF184+BG184</f>
        <v/>
      </c>
      <c r="BI184" s="80" t="n"/>
      <c r="BJ184" s="80" t="n"/>
      <c r="BK184" s="80" t="n"/>
      <c r="BL184" s="80" t="n"/>
      <c r="BM184" s="81">
        <f>BI184+BJ184+BK184+BL184</f>
        <v/>
      </c>
    </row>
    <row r="185" ht="15.75" customHeight="1">
      <c r="A185" s="84" t="inlineStr">
        <is>
          <t>LÂMINA OLFATIVA QDB</t>
        </is>
      </c>
      <c r="B185" s="151" t="n">
        <v>0</v>
      </c>
      <c r="C185" s="151" t="n">
        <v>0</v>
      </c>
      <c r="D185" s="151" t="n"/>
      <c r="E185" s="151" t="n">
        <v>2</v>
      </c>
      <c r="F185" s="81">
        <f>B185+C185+D185+E185</f>
        <v/>
      </c>
      <c r="G185" s="151" t="n">
        <v>0</v>
      </c>
      <c r="H185" s="151" t="n"/>
      <c r="I185" s="151" t="n">
        <v>0</v>
      </c>
      <c r="J185" s="151" t="n">
        <v>0</v>
      </c>
      <c r="K185" s="81">
        <f>G185+H185+I185+J185</f>
        <v/>
      </c>
      <c r="L185" s="151" t="n">
        <v>0</v>
      </c>
      <c r="M185" s="151" t="n">
        <v>0</v>
      </c>
      <c r="N185" s="151" t="n">
        <v>0</v>
      </c>
      <c r="O185" s="151" t="n">
        <v>0</v>
      </c>
      <c r="P185" s="151" t="n">
        <v>0</v>
      </c>
      <c r="Q185" s="81">
        <f>L185+M185+N185+O185+P185</f>
        <v/>
      </c>
      <c r="R185" s="151" t="n"/>
      <c r="S185" s="151" t="n"/>
      <c r="T185" s="151" t="n"/>
      <c r="U185" s="151" t="n"/>
      <c r="V185" s="81">
        <f>R185+S185+T185+U185</f>
        <v/>
      </c>
      <c r="W185" s="151" t="n">
        <v>0</v>
      </c>
      <c r="X185" s="151" t="n">
        <v>0</v>
      </c>
      <c r="Y185" s="151" t="n"/>
      <c r="Z185" s="151" t="n"/>
      <c r="AA185" s="81">
        <f>W185+X185+Y185+Z185</f>
        <v/>
      </c>
      <c r="AB185" s="151" t="n"/>
      <c r="AC185" s="151" t="n"/>
      <c r="AD185" s="151" t="n"/>
      <c r="AE185" s="151" t="n"/>
      <c r="AF185" s="151" t="n"/>
      <c r="AG185" s="81">
        <f>AB185+AC185+AD185+AE185+AF185</f>
        <v/>
      </c>
      <c r="AH185" s="151" t="n"/>
      <c r="AI185" s="151" t="n"/>
      <c r="AJ185" s="151" t="n"/>
      <c r="AK185" s="151" t="n"/>
      <c r="AL185" s="81">
        <f>AH185+AI185+AJ185+AK185</f>
        <v/>
      </c>
      <c r="AM185" s="80" t="n"/>
      <c r="AN185" s="80" t="n"/>
      <c r="AO185" s="80" t="n"/>
      <c r="AP185" s="80" t="n"/>
      <c r="AQ185" s="80" t="n"/>
      <c r="AR185" s="81">
        <f>AM185+AN185+AO185+AP185+AQ185</f>
        <v/>
      </c>
      <c r="AS185" s="80" t="n"/>
      <c r="AT185" s="80" t="n"/>
      <c r="AU185" s="80" t="n"/>
      <c r="AV185" s="80" t="n"/>
      <c r="AW185" s="81">
        <f>AS185+AT185+AU185+AV185</f>
        <v/>
      </c>
      <c r="AX185" s="80" t="n"/>
      <c r="AY185" s="80" t="n"/>
      <c r="AZ185" s="80" t="n"/>
      <c r="BA185" s="80" t="n"/>
      <c r="BB185" s="81">
        <f>AX185+AY185+AZ185+BA185</f>
        <v/>
      </c>
      <c r="BC185" s="80" t="n"/>
      <c r="BD185" s="80" t="n"/>
      <c r="BE185" s="80" t="n"/>
      <c r="BF185" s="80" t="n"/>
      <c r="BG185" s="80" t="n"/>
      <c r="BH185" s="81">
        <f>BC185+BD185+BE185+BF185+BG185</f>
        <v/>
      </c>
      <c r="BI185" s="80" t="n"/>
      <c r="BJ185" s="80" t="n"/>
      <c r="BK185" s="80" t="n"/>
      <c r="BL185" s="80" t="n"/>
      <c r="BM185" s="81">
        <f>BI185+BJ185+BK185+BL185</f>
        <v/>
      </c>
    </row>
    <row r="186" ht="15.75" customHeight="1">
      <c r="A186" s="84" t="inlineStr">
        <is>
          <t>SACOLA P EUDORA</t>
        </is>
      </c>
      <c r="B186" s="151" t="n">
        <v>0</v>
      </c>
      <c r="C186" s="151" t="n">
        <v>0</v>
      </c>
      <c r="D186" s="151" t="n"/>
      <c r="E186" s="151" t="n">
        <v>81</v>
      </c>
      <c r="F186" s="81">
        <f>B186+C186+D186+E186</f>
        <v/>
      </c>
      <c r="G186" s="151" t="n">
        <v>0</v>
      </c>
      <c r="H186" s="151" t="n"/>
      <c r="I186" s="151" t="n">
        <v>200</v>
      </c>
      <c r="J186" s="151" t="n">
        <v>0</v>
      </c>
      <c r="K186" s="81">
        <f>G186+H186+I186+J186</f>
        <v/>
      </c>
      <c r="L186" s="151" t="n">
        <v>0</v>
      </c>
      <c r="M186" s="151" t="n">
        <v>0</v>
      </c>
      <c r="N186" s="151" t="n">
        <v>400</v>
      </c>
      <c r="O186" s="151" t="n">
        <v>0</v>
      </c>
      <c r="P186" s="151" t="n">
        <v>0</v>
      </c>
      <c r="Q186" s="81">
        <f>L186+M186+N186+O186+P186</f>
        <v/>
      </c>
      <c r="R186" s="151" t="n"/>
      <c r="S186" s="151" t="n"/>
      <c r="T186" s="151" t="n"/>
      <c r="U186" s="151" t="n"/>
      <c r="V186" s="81">
        <f>R186+S186+T186+U186</f>
        <v/>
      </c>
      <c r="W186" s="151" t="n">
        <v>0</v>
      </c>
      <c r="X186" s="151" t="n">
        <v>0</v>
      </c>
      <c r="Y186" s="151" t="n"/>
      <c r="Z186" s="151" t="n"/>
      <c r="AA186" s="81">
        <f>W186+X186+Y186+Z186</f>
        <v/>
      </c>
      <c r="AB186" s="151" t="n"/>
      <c r="AC186" s="151" t="n"/>
      <c r="AD186" s="151" t="n"/>
      <c r="AE186" s="151" t="n"/>
      <c r="AF186" s="151" t="n"/>
      <c r="AG186" s="81">
        <f>AB186+AC186+AD186+AE186+AF186</f>
        <v/>
      </c>
      <c r="AH186" s="151" t="n"/>
      <c r="AI186" s="151" t="n"/>
      <c r="AJ186" s="151" t="n"/>
      <c r="AK186" s="151" t="n"/>
      <c r="AL186" s="81">
        <f>AH186+AI186+AJ186+AK186</f>
        <v/>
      </c>
      <c r="AM186" s="80" t="n"/>
      <c r="AN186" s="80" t="n"/>
      <c r="AO186" s="80" t="n"/>
      <c r="AP186" s="80" t="n"/>
      <c r="AQ186" s="80" t="n"/>
      <c r="AR186" s="81">
        <f>AM186+AN186+AO186+AP186+AQ186</f>
        <v/>
      </c>
      <c r="AS186" s="80" t="n"/>
      <c r="AT186" s="80" t="n"/>
      <c r="AU186" s="80" t="n"/>
      <c r="AV186" s="80" t="n"/>
      <c r="AW186" s="81">
        <f>AS186+AT186+AU186+AV186</f>
        <v/>
      </c>
      <c r="AX186" s="80" t="n"/>
      <c r="AY186" s="80" t="n"/>
      <c r="AZ186" s="80" t="n"/>
      <c r="BA186" s="80" t="n"/>
      <c r="BB186" s="81">
        <f>AX186+AY186+AZ186+BA186</f>
        <v/>
      </c>
      <c r="BC186" s="80" t="n"/>
      <c r="BD186" s="80" t="n"/>
      <c r="BE186" s="80" t="n"/>
      <c r="BF186" s="80" t="n"/>
      <c r="BG186" s="80" t="n"/>
      <c r="BH186" s="81">
        <f>BC186+BD186+BE186+BF186+BG186</f>
        <v/>
      </c>
      <c r="BI186" s="80" t="n"/>
      <c r="BJ186" s="80" t="n"/>
      <c r="BK186" s="80" t="n"/>
      <c r="BL186" s="80" t="n"/>
      <c r="BM186" s="81">
        <f>BI186+BJ186+BK186+BL186</f>
        <v/>
      </c>
    </row>
    <row r="187" ht="15.75" customHeight="1">
      <c r="A187" s="84" t="inlineStr">
        <is>
          <t>SACOLA M EUDORA</t>
        </is>
      </c>
      <c r="B187" s="151" t="n">
        <v>100</v>
      </c>
      <c r="C187" s="151" t="n">
        <v>200</v>
      </c>
      <c r="D187" s="151" t="n"/>
      <c r="E187" s="151" t="n">
        <v>100</v>
      </c>
      <c r="F187" s="81">
        <f>B187+C187+D187+E187</f>
        <v/>
      </c>
      <c r="G187" s="151" t="n">
        <v>0</v>
      </c>
      <c r="H187" s="151" t="n"/>
      <c r="I187" s="151" t="n">
        <v>0</v>
      </c>
      <c r="J187" s="151" t="n">
        <v>0</v>
      </c>
      <c r="K187" s="81">
        <f>G187+H187+I187+J187</f>
        <v/>
      </c>
      <c r="L187" s="151" t="n">
        <v>0</v>
      </c>
      <c r="M187" s="151" t="n">
        <v>0</v>
      </c>
      <c r="N187" s="151" t="n">
        <v>0</v>
      </c>
      <c r="O187" s="151" t="n">
        <v>0</v>
      </c>
      <c r="P187" s="151" t="n">
        <v>0</v>
      </c>
      <c r="Q187" s="81">
        <f>L187+M187+N187+O187+P187</f>
        <v/>
      </c>
      <c r="R187" s="151" t="n"/>
      <c r="S187" s="151" t="n"/>
      <c r="T187" s="151" t="n"/>
      <c r="U187" s="151" t="n"/>
      <c r="V187" s="81">
        <f>R187+S187+T187+U187</f>
        <v/>
      </c>
      <c r="W187" s="151" t="n">
        <v>0</v>
      </c>
      <c r="X187" s="151" t="n">
        <v>0</v>
      </c>
      <c r="Y187" s="151" t="n"/>
      <c r="Z187" s="151" t="n"/>
      <c r="AA187" s="81">
        <f>W187+X187+Y187+Z187</f>
        <v/>
      </c>
      <c r="AB187" s="151" t="n"/>
      <c r="AC187" s="151" t="n"/>
      <c r="AD187" s="151" t="n"/>
      <c r="AE187" s="151" t="n"/>
      <c r="AF187" s="151" t="n"/>
      <c r="AG187" s="81">
        <f>AB187+AC187+AD187+AE187+AF187</f>
        <v/>
      </c>
      <c r="AH187" s="151" t="n"/>
      <c r="AI187" s="151" t="n"/>
      <c r="AJ187" s="151" t="n"/>
      <c r="AK187" s="151" t="n"/>
      <c r="AL187" s="81">
        <f>AH187+AI187+AJ187+AK187</f>
        <v/>
      </c>
      <c r="AM187" s="80" t="n"/>
      <c r="AN187" s="80" t="n"/>
      <c r="AO187" s="80" t="n"/>
      <c r="AP187" s="80" t="n"/>
      <c r="AQ187" s="80" t="n"/>
      <c r="AR187" s="81">
        <f>AM187+AN187+AO187+AP187+AQ187</f>
        <v/>
      </c>
      <c r="AS187" s="80" t="n"/>
      <c r="AT187" s="80" t="n"/>
      <c r="AU187" s="80" t="n"/>
      <c r="AV187" s="80" t="n"/>
      <c r="AW187" s="81">
        <f>AS187+AT187+AU187+AV187</f>
        <v/>
      </c>
      <c r="AX187" s="80" t="n"/>
      <c r="AY187" s="80" t="n"/>
      <c r="AZ187" s="80" t="n"/>
      <c r="BA187" s="80" t="n"/>
      <c r="BB187" s="81">
        <f>AX187+AY187+AZ187+BA187</f>
        <v/>
      </c>
      <c r="BC187" s="80" t="n"/>
      <c r="BD187" s="80" t="n"/>
      <c r="BE187" s="80" t="n"/>
      <c r="BF187" s="80" t="n"/>
      <c r="BG187" s="80" t="n"/>
      <c r="BH187" s="81">
        <f>BC187+BD187+BE187+BF187+BG187</f>
        <v/>
      </c>
      <c r="BI187" s="80" t="n"/>
      <c r="BJ187" s="80" t="n"/>
      <c r="BK187" s="80" t="n"/>
      <c r="BL187" s="80" t="n"/>
      <c r="BM187" s="81">
        <f>BI187+BJ187+BK187+BL187</f>
        <v/>
      </c>
    </row>
    <row r="188" ht="15.75" customHeight="1">
      <c r="A188" s="84" t="inlineStr">
        <is>
          <t>SACOLA G EUDORA</t>
        </is>
      </c>
      <c r="B188" s="151" t="n">
        <v>81</v>
      </c>
      <c r="C188" s="151" t="n">
        <v>0</v>
      </c>
      <c r="D188" s="151" t="n"/>
      <c r="E188" s="151" t="n">
        <v>0</v>
      </c>
      <c r="F188" s="81">
        <f>B188+C188+D188+E188</f>
        <v/>
      </c>
      <c r="G188" s="151" t="n">
        <v>0</v>
      </c>
      <c r="H188" s="151" t="n"/>
      <c r="I188" s="151" t="n">
        <v>0</v>
      </c>
      <c r="J188" s="151" t="n">
        <v>0</v>
      </c>
      <c r="K188" s="81">
        <f>G188+H188+I188+J188</f>
        <v/>
      </c>
      <c r="L188" s="151" t="n">
        <v>0</v>
      </c>
      <c r="M188" s="151" t="n">
        <v>0</v>
      </c>
      <c r="N188" s="151" t="n">
        <v>0</v>
      </c>
      <c r="O188" s="151" t="n">
        <v>0</v>
      </c>
      <c r="P188" s="151" t="n">
        <v>0</v>
      </c>
      <c r="Q188" s="81">
        <f>L188+M188+N188+O188+P188</f>
        <v/>
      </c>
      <c r="R188" s="151" t="n"/>
      <c r="S188" s="151" t="n"/>
      <c r="T188" s="151" t="n"/>
      <c r="U188" s="151" t="n"/>
      <c r="V188" s="81">
        <f>R188+S188+T188+U188</f>
        <v/>
      </c>
      <c r="W188" s="151" t="n">
        <v>0</v>
      </c>
      <c r="X188" s="151" t="n">
        <v>0</v>
      </c>
      <c r="Y188" s="151" t="n"/>
      <c r="Z188" s="151" t="n"/>
      <c r="AA188" s="81">
        <f>W188+X188+Y188+Z188</f>
        <v/>
      </c>
      <c r="AB188" s="151" t="n"/>
      <c r="AC188" s="151" t="n"/>
      <c r="AD188" s="151" t="n"/>
      <c r="AE188" s="151" t="n"/>
      <c r="AF188" s="151" t="n"/>
      <c r="AG188" s="81">
        <f>AB188+AC188+AD188+AE188+AF188</f>
        <v/>
      </c>
      <c r="AH188" s="151" t="n"/>
      <c r="AI188" s="151" t="n"/>
      <c r="AJ188" s="151" t="n"/>
      <c r="AK188" s="151" t="n"/>
      <c r="AL188" s="81">
        <f>AH188+AI188+AJ188+AK188</f>
        <v/>
      </c>
      <c r="AM188" s="80" t="n"/>
      <c r="AN188" s="80" t="n"/>
      <c r="AO188" s="80" t="n"/>
      <c r="AP188" s="80" t="n"/>
      <c r="AQ188" s="80" t="n"/>
      <c r="AR188" s="81">
        <f>AM188+AN188+AO188+AP188+AQ188</f>
        <v/>
      </c>
      <c r="AS188" s="80" t="n"/>
      <c r="AT188" s="80" t="n"/>
      <c r="AU188" s="80" t="n"/>
      <c r="AV188" s="80" t="n"/>
      <c r="AW188" s="81">
        <f>AS188+AT188+AU188+AV188</f>
        <v/>
      </c>
      <c r="AX188" s="80" t="n"/>
      <c r="AY188" s="80" t="n"/>
      <c r="AZ188" s="80" t="n"/>
      <c r="BA188" s="80" t="n"/>
      <c r="BB188" s="81">
        <f>AX188+AY188+AZ188+BA188</f>
        <v/>
      </c>
      <c r="BC188" s="80" t="n"/>
      <c r="BD188" s="80" t="n"/>
      <c r="BE188" s="80" t="n"/>
      <c r="BF188" s="80" t="n"/>
      <c r="BG188" s="80" t="n"/>
      <c r="BH188" s="81">
        <f>BC188+BD188+BE188+BF188+BG188</f>
        <v/>
      </c>
      <c r="BI188" s="80" t="n"/>
      <c r="BJ188" s="80" t="n"/>
      <c r="BK188" s="80" t="n"/>
      <c r="BL188" s="80" t="n"/>
      <c r="BM188" s="81">
        <f>BI188+BJ188+BK188+BL188</f>
        <v/>
      </c>
    </row>
    <row r="189" ht="15.75" customHeight="1">
      <c r="A189" s="207" t="inlineStr">
        <is>
          <t>PAPEL DE SEDA EUDORA</t>
        </is>
      </c>
      <c r="B189" s="151" t="n">
        <v>0</v>
      </c>
      <c r="C189" s="151" t="n">
        <v>0</v>
      </c>
      <c r="D189" s="151" t="n"/>
      <c r="E189" s="151" t="n">
        <v>0</v>
      </c>
      <c r="F189" s="81">
        <f>B189+C189+D189+E189</f>
        <v/>
      </c>
      <c r="G189" s="151" t="n">
        <v>0</v>
      </c>
      <c r="H189" s="151" t="n"/>
      <c r="I189" s="151" t="n">
        <v>1</v>
      </c>
      <c r="J189" s="151" t="n">
        <v>0</v>
      </c>
      <c r="K189" s="81">
        <f>G189+H189+I189+J189</f>
        <v/>
      </c>
      <c r="L189" s="151" t="n">
        <v>0</v>
      </c>
      <c r="M189" s="151" t="n">
        <v>0</v>
      </c>
      <c r="N189" s="151" t="n">
        <v>0</v>
      </c>
      <c r="O189" s="151" t="n">
        <v>0</v>
      </c>
      <c r="P189" s="151" t="n">
        <v>0</v>
      </c>
      <c r="Q189" s="81">
        <f>L189+M189+N189+O189+P189</f>
        <v/>
      </c>
      <c r="R189" s="151" t="n"/>
      <c r="S189" s="151" t="n"/>
      <c r="T189" s="151" t="n"/>
      <c r="U189" s="151" t="n"/>
      <c r="V189" s="81">
        <f>R189+S189+T189+U189</f>
        <v/>
      </c>
      <c r="W189" s="151" t="n">
        <v>0</v>
      </c>
      <c r="X189" s="151" t="n">
        <v>0</v>
      </c>
      <c r="Y189" s="151" t="n"/>
      <c r="Z189" s="151" t="n"/>
      <c r="AA189" s="81">
        <f>W189+X189+Y189+Z189</f>
        <v/>
      </c>
      <c r="AB189" s="151" t="n"/>
      <c r="AC189" s="151" t="n"/>
      <c r="AD189" s="151" t="n"/>
      <c r="AE189" s="151" t="n"/>
      <c r="AF189" s="151" t="n"/>
      <c r="AG189" s="81">
        <f>AB189+AC189+AD189+AE189+AF189</f>
        <v/>
      </c>
      <c r="AH189" s="151" t="n"/>
      <c r="AI189" s="151" t="n"/>
      <c r="AJ189" s="151" t="n"/>
      <c r="AK189" s="151" t="n"/>
      <c r="AL189" s="81">
        <f>AH189+AI189+AJ189+AK189</f>
        <v/>
      </c>
      <c r="AM189" s="80" t="n"/>
      <c r="AN189" s="80" t="n"/>
      <c r="AO189" s="80" t="n"/>
      <c r="AP189" s="80" t="n"/>
      <c r="AQ189" s="80" t="n"/>
      <c r="AR189" s="81">
        <f>AM189+AN189+AO189+AP189+AQ189</f>
        <v/>
      </c>
      <c r="AS189" s="80" t="n"/>
      <c r="AT189" s="80" t="n"/>
      <c r="AU189" s="80" t="n"/>
      <c r="AV189" s="80" t="n"/>
      <c r="AW189" s="81">
        <f>AS189+AT189+AU189+AV189</f>
        <v/>
      </c>
      <c r="AX189" s="80" t="n"/>
      <c r="AY189" s="80" t="n"/>
      <c r="AZ189" s="80" t="n"/>
      <c r="BA189" s="80" t="n"/>
      <c r="BB189" s="81">
        <f>AX189+AY189+AZ189+BA189</f>
        <v/>
      </c>
      <c r="BC189" s="80" t="n"/>
      <c r="BD189" s="80" t="n"/>
      <c r="BE189" s="80" t="n"/>
      <c r="BF189" s="80" t="n"/>
      <c r="BG189" s="80" t="n"/>
      <c r="BH189" s="81">
        <f>BC189+BD189+BE189+BF189+BG189</f>
        <v/>
      </c>
      <c r="BI189" s="80" t="n"/>
      <c r="BJ189" s="80" t="n"/>
      <c r="BK189" s="80" t="n"/>
      <c r="BL189" s="80" t="n"/>
      <c r="BM189" s="81">
        <f>BI189+BJ189+BK189+BL189</f>
        <v/>
      </c>
    </row>
    <row r="190" ht="15.75" customHeight="1">
      <c r="A190" s="207" t="inlineStr">
        <is>
          <t>ADESIVOS EUDORA</t>
        </is>
      </c>
      <c r="B190" s="151" t="n">
        <v>0</v>
      </c>
      <c r="C190" s="151" t="n">
        <v>0</v>
      </c>
      <c r="D190" s="151" t="n"/>
      <c r="E190" s="151" t="n">
        <v>0</v>
      </c>
      <c r="F190" s="81">
        <f>B190+C190+D190+E190</f>
        <v/>
      </c>
      <c r="G190" s="151" t="n">
        <v>0</v>
      </c>
      <c r="H190" s="151" t="n"/>
      <c r="I190" s="151" t="n">
        <v>2</v>
      </c>
      <c r="J190" s="151" t="n">
        <v>0</v>
      </c>
      <c r="K190" s="81">
        <f>G190+H190+I190+J190</f>
        <v/>
      </c>
      <c r="L190" s="151" t="n">
        <v>0</v>
      </c>
      <c r="M190" s="151" t="n">
        <v>0</v>
      </c>
      <c r="N190" s="151" t="n">
        <v>0</v>
      </c>
      <c r="O190" s="151" t="n">
        <v>0</v>
      </c>
      <c r="P190" s="151" t="n">
        <v>0</v>
      </c>
      <c r="Q190" s="81">
        <f>L190+M190+N190+O190+P190</f>
        <v/>
      </c>
      <c r="R190" s="151" t="n"/>
      <c r="S190" s="151" t="n"/>
      <c r="T190" s="151" t="n"/>
      <c r="U190" s="151" t="n"/>
      <c r="V190" s="81">
        <f>R190+S190+T190+U190</f>
        <v/>
      </c>
      <c r="W190" s="151" t="n">
        <v>0</v>
      </c>
      <c r="X190" s="151" t="n">
        <v>0</v>
      </c>
      <c r="Y190" s="151" t="n"/>
      <c r="Z190" s="151" t="n"/>
      <c r="AA190" s="81">
        <f>W190+X190+Y190+Z190</f>
        <v/>
      </c>
      <c r="AB190" s="151" t="n"/>
      <c r="AC190" s="151" t="n"/>
      <c r="AD190" s="151" t="n"/>
      <c r="AE190" s="151" t="n"/>
      <c r="AF190" s="151" t="n"/>
      <c r="AG190" s="81">
        <f>AB190+AC190+AD190+AE190+AF190</f>
        <v/>
      </c>
      <c r="AH190" s="151" t="n"/>
      <c r="AI190" s="151" t="n"/>
      <c r="AJ190" s="151" t="n"/>
      <c r="AK190" s="151" t="n"/>
      <c r="AL190" s="81">
        <f>AH190+AI190+AJ190+AK190</f>
        <v/>
      </c>
      <c r="AM190" s="80" t="n"/>
      <c r="AN190" s="80" t="n"/>
      <c r="AO190" s="80" t="n"/>
      <c r="AP190" s="80" t="n"/>
      <c r="AQ190" s="80" t="n"/>
      <c r="AR190" s="81">
        <f>AM190+AN190+AO190+AP190+AQ190</f>
        <v/>
      </c>
      <c r="AS190" s="80" t="n"/>
      <c r="AT190" s="80" t="n"/>
      <c r="AU190" s="80" t="n"/>
      <c r="AV190" s="80" t="n"/>
      <c r="AW190" s="81">
        <f>AS190+AT190+AU190+AV190</f>
        <v/>
      </c>
      <c r="AX190" s="80" t="n"/>
      <c r="AY190" s="80" t="n"/>
      <c r="AZ190" s="80" t="n"/>
      <c r="BA190" s="80" t="n"/>
      <c r="BB190" s="81">
        <f>AX190+AY190+AZ190+BA190</f>
        <v/>
      </c>
      <c r="BC190" s="80" t="n"/>
      <c r="BD190" s="80" t="n"/>
      <c r="BE190" s="80" t="n"/>
      <c r="BF190" s="80" t="n"/>
      <c r="BG190" s="80" t="n"/>
      <c r="BH190" s="81">
        <f>BC190+BD190+BE190+BF190+BG190</f>
        <v/>
      </c>
      <c r="BI190" s="80" t="n"/>
      <c r="BJ190" s="80" t="n"/>
      <c r="BK190" s="80" t="n"/>
      <c r="BL190" s="80" t="n"/>
      <c r="BM190" s="81">
        <f>BI190+BJ190+BK190+BL190</f>
        <v/>
      </c>
    </row>
    <row r="191" ht="15.75" customHeight="1">
      <c r="A191" s="84" t="inlineStr">
        <is>
          <t>LÂMINA OLFATIVA EUDORA</t>
        </is>
      </c>
      <c r="B191" s="151" t="n">
        <v>0</v>
      </c>
      <c r="C191" s="151" t="n">
        <v>0</v>
      </c>
      <c r="D191" s="151" t="n"/>
      <c r="E191" s="151" t="n">
        <v>0</v>
      </c>
      <c r="F191" s="81">
        <f>B191+C191+D191+E191</f>
        <v/>
      </c>
      <c r="G191" s="151" t="n">
        <v>0</v>
      </c>
      <c r="H191" s="151" t="n"/>
      <c r="I191" s="151" t="n">
        <v>0</v>
      </c>
      <c r="J191" s="151" t="n">
        <v>0</v>
      </c>
      <c r="K191" s="81">
        <f>G191+H191+I191+J191</f>
        <v/>
      </c>
      <c r="L191" s="151" t="n">
        <v>0</v>
      </c>
      <c r="M191" s="151" t="n">
        <v>0</v>
      </c>
      <c r="N191" s="151" t="n">
        <v>0</v>
      </c>
      <c r="O191" s="151" t="n">
        <v>0</v>
      </c>
      <c r="P191" s="151" t="n">
        <v>0</v>
      </c>
      <c r="Q191" s="81">
        <f>L191+M191+N191+O191+P191</f>
        <v/>
      </c>
      <c r="R191" s="151" t="n"/>
      <c r="S191" s="151" t="n"/>
      <c r="T191" s="151" t="n"/>
      <c r="U191" s="151" t="n"/>
      <c r="V191" s="81">
        <f>R191+S191+T191+U191</f>
        <v/>
      </c>
      <c r="W191" s="151" t="n">
        <v>0</v>
      </c>
      <c r="X191" s="151" t="n">
        <v>0</v>
      </c>
      <c r="Y191" s="151" t="n"/>
      <c r="Z191" s="151" t="n"/>
      <c r="AA191" s="81">
        <f>W191+X191+Y191+Z191</f>
        <v/>
      </c>
      <c r="AB191" s="151" t="n"/>
      <c r="AC191" s="151" t="n"/>
      <c r="AD191" s="151" t="n"/>
      <c r="AE191" s="151" t="n"/>
      <c r="AF191" s="151" t="n"/>
      <c r="AG191" s="81">
        <f>AB191+AC191+AD191+AE191+AF191</f>
        <v/>
      </c>
      <c r="AH191" s="151" t="n"/>
      <c r="AI191" s="151" t="n"/>
      <c r="AJ191" s="151" t="n"/>
      <c r="AK191" s="151" t="n"/>
      <c r="AL191" s="81">
        <f>AH191+AI191+AJ191+AK191</f>
        <v/>
      </c>
      <c r="AM191" s="80" t="n"/>
      <c r="AN191" s="80" t="n"/>
      <c r="AO191" s="80" t="n"/>
      <c r="AP191" s="80" t="n"/>
      <c r="AQ191" s="80" t="n"/>
      <c r="AR191" s="81">
        <f>AM191+AN191+AO191+AP191+AQ191</f>
        <v/>
      </c>
      <c r="AS191" s="80" t="n"/>
      <c r="AT191" s="80" t="n"/>
      <c r="AU191" s="80" t="n"/>
      <c r="AV191" s="80" t="n"/>
      <c r="AW191" s="81">
        <f>AS191+AT191+AU191+AV191</f>
        <v/>
      </c>
      <c r="AX191" s="80" t="n"/>
      <c r="AY191" s="80" t="n"/>
      <c r="AZ191" s="80" t="n"/>
      <c r="BA191" s="80" t="n"/>
      <c r="BB191" s="81">
        <f>AX191+AY191+AZ191+BA191</f>
        <v/>
      </c>
      <c r="BC191" s="80" t="n"/>
      <c r="BD191" s="80" t="n"/>
      <c r="BE191" s="80" t="n"/>
      <c r="BF191" s="80" t="n"/>
      <c r="BG191" s="80" t="n"/>
      <c r="BH191" s="81">
        <f>BC191+BD191+BE191+BF191+BG191</f>
        <v/>
      </c>
      <c r="BI191" s="80" t="n"/>
      <c r="BJ191" s="80" t="n"/>
      <c r="BK191" s="80" t="n"/>
      <c r="BL191" s="80" t="n"/>
      <c r="BM191" s="81">
        <f>BI191+BJ191+BK191+BL191</f>
        <v/>
      </c>
    </row>
    <row r="192" ht="15.75" customHeight="1">
      <c r="A192" s="86" t="inlineStr">
        <is>
          <t>TOTAL DE SACOLAS</t>
        </is>
      </c>
      <c r="B192" s="87">
        <f>SUM(B165:B168)</f>
        <v/>
      </c>
      <c r="C192" s="87">
        <f>SUM(C165:C168)</f>
        <v/>
      </c>
      <c r="D192" s="87">
        <f>SUM(D165:D168)</f>
        <v/>
      </c>
      <c r="E192" s="87">
        <f>SUM(E165:E168)</f>
        <v/>
      </c>
      <c r="F192" s="87">
        <f>F165+F166+F167+F168+F179+F180+F181+F186+F187+F188</f>
        <v/>
      </c>
      <c r="G192" s="87">
        <f>SUM(G165:G168)</f>
        <v/>
      </c>
      <c r="H192" s="87">
        <f>SUM(H165:H168)</f>
        <v/>
      </c>
      <c r="I192" s="87">
        <f>SUM(I165:I168)</f>
        <v/>
      </c>
      <c r="J192" s="87">
        <f>SUM(J165:J168)</f>
        <v/>
      </c>
      <c r="K192" s="87">
        <f>K165+K166+K167+K168+K179+K180+K181+K186+K187+K188</f>
        <v/>
      </c>
      <c r="L192" s="87">
        <f>SUM(L165:L168)</f>
        <v/>
      </c>
      <c r="M192" s="87">
        <f>SUM(M165:M168)</f>
        <v/>
      </c>
      <c r="N192" s="87">
        <f>SUM(N165:N168)</f>
        <v/>
      </c>
      <c r="O192" s="87">
        <f>SUM(O165:O168)</f>
        <v/>
      </c>
      <c r="P192" s="87">
        <f>SUM(P165:P168)</f>
        <v/>
      </c>
      <c r="Q192" s="87">
        <f>Q165+Q166+Q167+Q168+Q179+Q180+Q181+Q186+Q187+Q188</f>
        <v/>
      </c>
      <c r="R192" s="87">
        <f>SUM(R165:R168)</f>
        <v/>
      </c>
      <c r="S192" s="87">
        <f>SUM(S165:S168)</f>
        <v/>
      </c>
      <c r="T192" s="87">
        <f>SUM(T165:T168)</f>
        <v/>
      </c>
      <c r="U192" s="87">
        <f>SUM(U165:U168)</f>
        <v/>
      </c>
      <c r="V192" s="87">
        <f>V165+V166+V167+V168+V179+V180+V181+V186+V187+V188</f>
        <v/>
      </c>
      <c r="W192" s="87">
        <f>SUM(W165:W168)</f>
        <v/>
      </c>
      <c r="X192" s="87">
        <f>SUM(X165:X168)</f>
        <v/>
      </c>
      <c r="Y192" s="87">
        <f>SUM(Y165:Y168)</f>
        <v/>
      </c>
      <c r="Z192" s="87">
        <f>SUM(Z165:Z168)</f>
        <v/>
      </c>
      <c r="AA192" s="87">
        <f>AA165+AA166+AA167+AA168+AA179+AA180+AA181+AA186+AA187+AA188</f>
        <v/>
      </c>
      <c r="AB192" s="87">
        <f>SUM(AB165:AB168)</f>
        <v/>
      </c>
      <c r="AC192" s="87">
        <f>SUM(AC165:AC168)</f>
        <v/>
      </c>
      <c r="AD192" s="87">
        <f>SUM(AD165:AD168)</f>
        <v/>
      </c>
      <c r="AE192" s="87">
        <f>SUM(AE165:AE168)</f>
        <v/>
      </c>
      <c r="AF192" s="87">
        <f>SUM(AF165:AF168)</f>
        <v/>
      </c>
      <c r="AG192" s="87">
        <f>AG165+AG166+AG167+AG168+AG179+AG180+AG181+AG186+AG187+AG188</f>
        <v/>
      </c>
      <c r="AH192" s="87">
        <f>SUM(AH165:AH168)</f>
        <v/>
      </c>
      <c r="AI192" s="87">
        <f>SUM(AI165:AI168)</f>
        <v/>
      </c>
      <c r="AJ192" s="87">
        <f>SUM(AJ165:AJ168)</f>
        <v/>
      </c>
      <c r="AK192" s="87">
        <f>SUM(AK165:AK168)</f>
        <v/>
      </c>
      <c r="AL192" s="87">
        <f>AL165+AL166+AL167+AL168+AL179+AL180+AL181+AL186+AL187+AL188</f>
        <v/>
      </c>
      <c r="AM192" s="87">
        <f>SUM(AM165:AM168)</f>
        <v/>
      </c>
      <c r="AN192" s="87">
        <f>SUM(AN165:AN168)</f>
        <v/>
      </c>
      <c r="AO192" s="87">
        <f>SUM(AO165:AO168)</f>
        <v/>
      </c>
      <c r="AP192" s="87">
        <f>SUM(AP165:AP168)</f>
        <v/>
      </c>
      <c r="AQ192" s="87">
        <f>SUM(AQ165:AQ168)</f>
        <v/>
      </c>
      <c r="AR192" s="87">
        <f>AR165+AR166+AR167+AR168+AR179+AR180+AR181+AR186+AR187+AR188</f>
        <v/>
      </c>
      <c r="AS192" s="87">
        <f>SUM(AS165:AS168)</f>
        <v/>
      </c>
      <c r="AT192" s="87">
        <f>SUM(AT165:AT168)</f>
        <v/>
      </c>
      <c r="AU192" s="87">
        <f>SUM(AU165:AU168)</f>
        <v/>
      </c>
      <c r="AV192" s="87">
        <f>SUM(AV165:AV168)</f>
        <v/>
      </c>
      <c r="AW192" s="87">
        <f>AW165+AW166+AW167+AW168+AW179+AW180+AW181+AW186+AW187+AW188</f>
        <v/>
      </c>
      <c r="AX192" s="87">
        <f>SUM(AX165:AX168)</f>
        <v/>
      </c>
      <c r="AY192" s="87">
        <f>SUM(AY165:AY168)</f>
        <v/>
      </c>
      <c r="AZ192" s="87">
        <f>SUM(AZ165:AZ168)</f>
        <v/>
      </c>
      <c r="BA192" s="87">
        <f>SUM(BA165:BA168)</f>
        <v/>
      </c>
      <c r="BB192" s="87">
        <f>BB165+BB166+BB167+BB168+BB179+BB180+BB181+BB186+BB187+BB188</f>
        <v/>
      </c>
      <c r="BC192" s="87">
        <f>SUM(BC165:BC168)</f>
        <v/>
      </c>
      <c r="BD192" s="87">
        <f>SUM(BD165:BD168)</f>
        <v/>
      </c>
      <c r="BE192" s="87">
        <f>SUM(BE165:BE168)</f>
        <v/>
      </c>
      <c r="BF192" s="87">
        <f>SUM(BF165:BF168)</f>
        <v/>
      </c>
      <c r="BG192" s="87">
        <f>SUM(BG165:BG168)</f>
        <v/>
      </c>
      <c r="BH192" s="87">
        <f>BH165+BH166+BH167+BH168+BH179+BH180+BH181+BH186+BH187+BH188</f>
        <v/>
      </c>
      <c r="BI192" s="87">
        <f>SUM(BI165:BI168)</f>
        <v/>
      </c>
      <c r="BJ192" s="87">
        <f>SUM(BJ165:BJ168)</f>
        <v/>
      </c>
      <c r="BK192" s="87">
        <f>SUM(BK165:BK168)</f>
        <v/>
      </c>
      <c r="BL192" s="87">
        <f>SUM(BL165:BL168)</f>
        <v/>
      </c>
      <c r="BM192" s="87">
        <f>BM165+BM166+BM167+BM168+BM179+BM180+BM181+BM186+BM187+BM188</f>
        <v/>
      </c>
    </row>
  </sheetData>
  <mergeCells count="140">
    <mergeCell ref="AX131:BB131"/>
    <mergeCell ref="L15:Q15"/>
    <mergeCell ref="AS163:AW163"/>
    <mergeCell ref="AM67:AR67"/>
    <mergeCell ref="G67:K67"/>
    <mergeCell ref="F99:J99"/>
    <mergeCell ref="BI67:BM67"/>
    <mergeCell ref="B163:E163"/>
    <mergeCell ref="L54:Q54"/>
    <mergeCell ref="B2:F2"/>
    <mergeCell ref="L41:Q41"/>
    <mergeCell ref="R99:V99"/>
    <mergeCell ref="A130:BM130"/>
    <mergeCell ref="BC67:BH67"/>
    <mergeCell ref="A99:A100"/>
    <mergeCell ref="A2:A3"/>
    <mergeCell ref="R163:V163"/>
    <mergeCell ref="L99:Q99"/>
    <mergeCell ref="AM15:AR15"/>
    <mergeCell ref="A163:A164"/>
    <mergeCell ref="G15:K15"/>
    <mergeCell ref="B28:F28"/>
    <mergeCell ref="AB28:AG28"/>
    <mergeCell ref="BI15:BM15"/>
    <mergeCell ref="AX28:BB28"/>
    <mergeCell ref="A66:BM66"/>
    <mergeCell ref="BC15:BH15"/>
    <mergeCell ref="L67:Q67"/>
    <mergeCell ref="BI41:BM41"/>
    <mergeCell ref="W2:AA2"/>
    <mergeCell ref="B15:F15"/>
    <mergeCell ref="L28:Q28"/>
    <mergeCell ref="AX67:BB67"/>
    <mergeCell ref="AM131:AR131"/>
    <mergeCell ref="AH28:AL28"/>
    <mergeCell ref="AH80:AL80"/>
    <mergeCell ref="BI131:BM131"/>
    <mergeCell ref="B54:F54"/>
    <mergeCell ref="G2:K2"/>
    <mergeCell ref="W99:AA99"/>
    <mergeCell ref="BI2:BM2"/>
    <mergeCell ref="A54:A55"/>
    <mergeCell ref="BC163:BH163"/>
    <mergeCell ref="AX80:BB80"/>
    <mergeCell ref="W163:AA163"/>
    <mergeCell ref="AS131:AW131"/>
    <mergeCell ref="A40:BM40"/>
    <mergeCell ref="G28:K28"/>
    <mergeCell ref="BI28:BM28"/>
    <mergeCell ref="AH131:AL131"/>
    <mergeCell ref="F163:J163"/>
    <mergeCell ref="W28:AA28"/>
    <mergeCell ref="AX41:BB41"/>
    <mergeCell ref="B131:E131"/>
    <mergeCell ref="AS99:AW99"/>
    <mergeCell ref="A131:A132"/>
    <mergeCell ref="BC28:BH28"/>
    <mergeCell ref="AM80:AR80"/>
    <mergeCell ref="BI80:BM80"/>
    <mergeCell ref="R131:V131"/>
    <mergeCell ref="L2:Q2"/>
    <mergeCell ref="A27:BM27"/>
    <mergeCell ref="BC99:BH99"/>
    <mergeCell ref="AH2:AL2"/>
    <mergeCell ref="G54:K54"/>
    <mergeCell ref="AM28:AR28"/>
    <mergeCell ref="BC80:BH80"/>
    <mergeCell ref="AB163:AG163"/>
    <mergeCell ref="G41:K41"/>
    <mergeCell ref="BI54:BM54"/>
    <mergeCell ref="AS15:AW15"/>
    <mergeCell ref="AS80:AW80"/>
    <mergeCell ref="BC54:BH54"/>
    <mergeCell ref="A41:A42"/>
    <mergeCell ref="L163:Q163"/>
    <mergeCell ref="B80:E80"/>
    <mergeCell ref="AS54:AW54"/>
    <mergeCell ref="AS41:AW41"/>
    <mergeCell ref="A80:A81"/>
    <mergeCell ref="AX99:BB99"/>
    <mergeCell ref="AB67:AG67"/>
    <mergeCell ref="AM54:AR54"/>
    <mergeCell ref="R15:V15"/>
    <mergeCell ref="R80:V80"/>
    <mergeCell ref="AM99:AR99"/>
    <mergeCell ref="AX163:BB163"/>
    <mergeCell ref="A98:BM98"/>
    <mergeCell ref="BC131:BH131"/>
    <mergeCell ref="BI99:BM99"/>
    <mergeCell ref="W131:AA131"/>
    <mergeCell ref="A79:BM79"/>
    <mergeCell ref="L80:Q80"/>
    <mergeCell ref="A162:BM162"/>
    <mergeCell ref="AH15:AL15"/>
    <mergeCell ref="R41:V41"/>
    <mergeCell ref="AS67:AW67"/>
    <mergeCell ref="F131:J131"/>
    <mergeCell ref="AM2:AR2"/>
    <mergeCell ref="AS28:AW28"/>
    <mergeCell ref="BC2:BH2"/>
    <mergeCell ref="AH54:AL54"/>
    <mergeCell ref="AB54:AG54"/>
    <mergeCell ref="AH41:AL41"/>
    <mergeCell ref="R2:V2"/>
    <mergeCell ref="AB41:AG41"/>
    <mergeCell ref="AH99:AL99"/>
    <mergeCell ref="A67:A68"/>
    <mergeCell ref="AX54:BB54"/>
    <mergeCell ref="B99:E99"/>
    <mergeCell ref="AH163:AL163"/>
    <mergeCell ref="AB99:AG99"/>
    <mergeCell ref="A53:BM53"/>
    <mergeCell ref="R67:V67"/>
    <mergeCell ref="AB131:AG131"/>
    <mergeCell ref="W15:AA15"/>
    <mergeCell ref="R28:V28"/>
    <mergeCell ref="W80:AA80"/>
    <mergeCell ref="AB2:AG2"/>
    <mergeCell ref="AX2:BB2"/>
    <mergeCell ref="AH67:AL67"/>
    <mergeCell ref="F80:J80"/>
    <mergeCell ref="W54:AA54"/>
    <mergeCell ref="B67:F67"/>
    <mergeCell ref="W41:AA41"/>
    <mergeCell ref="A1:BM1"/>
    <mergeCell ref="AS2:AW2"/>
    <mergeCell ref="R54:V54"/>
    <mergeCell ref="AM41:AR41"/>
    <mergeCell ref="AM163:AR163"/>
    <mergeCell ref="L131:Q131"/>
    <mergeCell ref="AB15:AG15"/>
    <mergeCell ref="BI163:BM163"/>
    <mergeCell ref="AB80:AG80"/>
    <mergeCell ref="A28:A29"/>
    <mergeCell ref="AX15:BB15"/>
    <mergeCell ref="A15:A16"/>
    <mergeCell ref="W67:AA67"/>
    <mergeCell ref="BC41:BH41"/>
    <mergeCell ref="B41:F41"/>
    <mergeCell ref="A14:BM14"/>
  </mergeCells>
  <pageMargins left="0.511811024" right="0.511811024" top="0.787401575" bottom="0.787401575" header="0.31496062" footer="0.31496062"/>
  <pageSetup orientation="portrait" paperSize="9"/>
</worksheet>
</file>

<file path=xl/worksheets/sheet26.xml><?xml version="1.0" encoding="utf-8"?>
<worksheet xmlns="http://schemas.openxmlformats.org/spreadsheetml/2006/main">
  <sheetPr codeName="Planilha2">
    <tabColor rgb="FFFF0000"/>
    <outlinePr summaryBelow="1" summaryRight="1"/>
    <pageSetUpPr/>
  </sheetPr>
  <dimension ref="A1:S102"/>
  <sheetViews>
    <sheetView topLeftCell="A70" zoomScale="85" zoomScaleNormal="85" workbookViewId="0">
      <selection activeCell="U64" sqref="U64"/>
    </sheetView>
  </sheetViews>
  <sheetFormatPr baseColWidth="8" defaultRowHeight="15"/>
  <cols>
    <col width="31.42578125" customWidth="1" min="1" max="1"/>
    <col width="10" customWidth="1" min="6" max="6"/>
  </cols>
  <sheetData>
    <row r="1" ht="18" customHeight="1">
      <c r="A1" s="545" t="inlineStr">
        <is>
          <t>GASTO DE SACOLAS E ITENS DOADOS NATAL/2022 - MENSAIS</t>
        </is>
      </c>
    </row>
    <row r="2" ht="18" customHeight="1">
      <c r="A2" s="741" t="inlineStr">
        <is>
          <t>PLAZA</t>
        </is>
      </c>
      <c r="B2" s="741" t="inlineStr">
        <is>
          <t>DEZEMBRO</t>
        </is>
      </c>
      <c r="C2" s="736" t="n"/>
      <c r="D2" s="736" t="n"/>
      <c r="E2" s="736" t="n"/>
      <c r="F2" s="737" t="n"/>
      <c r="G2" s="741" t="inlineStr">
        <is>
          <t>JANEIRO</t>
        </is>
      </c>
      <c r="H2" s="736" t="n"/>
      <c r="I2" s="736" t="n"/>
      <c r="J2" s="736" t="n"/>
      <c r="K2" s="736" t="n"/>
      <c r="L2" s="737" t="n"/>
      <c r="M2" s="741" t="inlineStr">
        <is>
          <t>FEVEREIRO</t>
        </is>
      </c>
      <c r="N2" s="736" t="n"/>
      <c r="O2" s="736" t="n"/>
      <c r="P2" s="736" t="n"/>
      <c r="Q2" s="737" t="n"/>
      <c r="R2" s="741" t="inlineStr">
        <is>
          <t>MARÇO</t>
        </is>
      </c>
      <c r="S2" s="737" t="n"/>
    </row>
    <row r="3" ht="15.75" customHeight="1">
      <c r="A3" s="738" t="n"/>
      <c r="B3" s="90" t="n">
        <v>44900</v>
      </c>
      <c r="C3" s="90" t="n">
        <v>44907</v>
      </c>
      <c r="D3" s="90" t="n">
        <v>44914</v>
      </c>
      <c r="E3" s="90" t="n">
        <v>44921</v>
      </c>
      <c r="F3" s="91" t="inlineStr">
        <is>
          <t>USOU</t>
        </is>
      </c>
      <c r="G3" s="90" t="n">
        <v>44563</v>
      </c>
      <c r="H3" s="90" t="n">
        <v>44570</v>
      </c>
      <c r="I3" s="90" t="n">
        <v>44577</v>
      </c>
      <c r="J3" s="90" t="n">
        <v>44584</v>
      </c>
      <c r="K3" s="90" t="n">
        <v>44591</v>
      </c>
      <c r="L3" s="91" t="inlineStr">
        <is>
          <t>USOU</t>
        </is>
      </c>
      <c r="M3" s="90" t="n">
        <v>44598</v>
      </c>
      <c r="N3" s="90" t="n">
        <v>44605</v>
      </c>
      <c r="O3" s="90" t="n">
        <v>44612</v>
      </c>
      <c r="P3" s="90" t="n">
        <v>44619</v>
      </c>
      <c r="Q3" s="91" t="inlineStr">
        <is>
          <t>USOU</t>
        </is>
      </c>
      <c r="R3" s="90" t="n">
        <v>44626</v>
      </c>
      <c r="S3" s="91" t="inlineStr">
        <is>
          <t>USOU</t>
        </is>
      </c>
    </row>
    <row r="4" ht="15.75" customHeight="1">
      <c r="A4" s="79" t="inlineStr">
        <is>
          <t>SACOLA PP NATAL</t>
        </is>
      </c>
      <c r="B4" s="92" t="n">
        <v>600</v>
      </c>
      <c r="C4" s="80" t="n">
        <v>0</v>
      </c>
      <c r="D4" s="80" t="n">
        <v>300</v>
      </c>
      <c r="E4" s="80" t="n">
        <v>600</v>
      </c>
      <c r="F4" s="104">
        <f>B4+C4+D4+E4</f>
        <v/>
      </c>
      <c r="G4" s="80" t="n">
        <v>0</v>
      </c>
      <c r="H4" s="80" t="n">
        <v>0</v>
      </c>
      <c r="I4" s="80" t="n">
        <v>0</v>
      </c>
      <c r="J4" s="80" t="n">
        <v>0</v>
      </c>
      <c r="K4" s="80" t="n">
        <v>0</v>
      </c>
      <c r="L4" s="93">
        <f>G4+H4+I4+J4+K4</f>
        <v/>
      </c>
      <c r="M4" s="80" t="n">
        <v>0</v>
      </c>
      <c r="N4" s="80" t="n">
        <v>0</v>
      </c>
      <c r="O4" s="80" t="n">
        <v>0</v>
      </c>
      <c r="P4" s="80" t="n">
        <v>0</v>
      </c>
      <c r="Q4" s="93">
        <f>M4+N4+O4+P4</f>
        <v/>
      </c>
      <c r="R4" s="80" t="n">
        <v>0</v>
      </c>
      <c r="S4" s="93" t="n"/>
    </row>
    <row r="5" ht="15.75" customHeight="1">
      <c r="A5" s="82" t="inlineStr">
        <is>
          <t>SACOLA P NATAL</t>
        </is>
      </c>
      <c r="B5" s="80" t="n">
        <v>800</v>
      </c>
      <c r="C5" s="80" t="n">
        <v>600</v>
      </c>
      <c r="D5" s="80" t="n">
        <v>600</v>
      </c>
      <c r="E5" s="80" t="n">
        <v>800</v>
      </c>
      <c r="F5" s="93">
        <f>B5+C5+D5+E5</f>
        <v/>
      </c>
      <c r="G5" s="80" t="n">
        <v>0</v>
      </c>
      <c r="H5" s="80" t="n">
        <v>0</v>
      </c>
      <c r="I5" s="80" t="n">
        <v>0</v>
      </c>
      <c r="J5" s="80" t="n">
        <v>0</v>
      </c>
      <c r="K5" s="80" t="n">
        <v>0</v>
      </c>
      <c r="L5" s="93">
        <f>G5+H5+I5+J5+K5</f>
        <v/>
      </c>
      <c r="M5" s="80" t="n">
        <v>0</v>
      </c>
      <c r="N5" s="80" t="n">
        <v>0</v>
      </c>
      <c r="O5" s="80" t="n">
        <v>0</v>
      </c>
      <c r="P5" s="80" t="n">
        <v>0</v>
      </c>
      <c r="Q5" s="93">
        <f>M5+N5+O5+P5</f>
        <v/>
      </c>
      <c r="R5" s="80" t="n">
        <v>0</v>
      </c>
      <c r="S5" s="93" t="n"/>
    </row>
    <row r="6" ht="15.75" customHeight="1">
      <c r="A6" s="82" t="inlineStr">
        <is>
          <t>SACOLA M NATAL</t>
        </is>
      </c>
      <c r="B6" s="80" t="n">
        <v>600</v>
      </c>
      <c r="C6" s="80" t="n">
        <v>600</v>
      </c>
      <c r="D6" s="80" t="n">
        <v>800</v>
      </c>
      <c r="E6" s="80" t="n">
        <v>600</v>
      </c>
      <c r="F6" s="93">
        <f>B6+C6+D6+E6</f>
        <v/>
      </c>
      <c r="G6" s="80" t="n">
        <v>0</v>
      </c>
      <c r="H6" s="80" t="n">
        <v>0</v>
      </c>
      <c r="I6" s="80" t="n">
        <v>0</v>
      </c>
      <c r="J6" s="80" t="n">
        <v>0</v>
      </c>
      <c r="K6" s="80" t="n">
        <v>0</v>
      </c>
      <c r="L6" s="93">
        <f>G6+H6+I6+J6+K6</f>
        <v/>
      </c>
      <c r="M6" s="80" t="n">
        <v>0</v>
      </c>
      <c r="N6" s="80" t="n">
        <v>0</v>
      </c>
      <c r="O6" s="80" t="n">
        <v>0</v>
      </c>
      <c r="P6" s="80" t="n">
        <v>0</v>
      </c>
      <c r="Q6" s="93">
        <f>M6+N6+O6+P6</f>
        <v/>
      </c>
      <c r="R6" s="80" t="n">
        <v>0</v>
      </c>
      <c r="S6" s="93" t="n"/>
    </row>
    <row r="7" ht="15.75" customHeight="1">
      <c r="A7" s="82" t="inlineStr">
        <is>
          <t>SACOLA G NATAL</t>
        </is>
      </c>
      <c r="B7" s="80" t="n">
        <v>200</v>
      </c>
      <c r="C7" s="80" t="n">
        <v>100</v>
      </c>
      <c r="D7" s="80" t="n">
        <v>100</v>
      </c>
      <c r="E7" s="80" t="n">
        <v>300</v>
      </c>
      <c r="F7" s="93">
        <f>B7+C7+D7+E7</f>
        <v/>
      </c>
      <c r="G7" s="80" t="n">
        <v>500</v>
      </c>
      <c r="H7" s="80" t="n">
        <v>0</v>
      </c>
      <c r="I7" s="80" t="n">
        <v>0</v>
      </c>
      <c r="J7" s="80" t="n">
        <v>0</v>
      </c>
      <c r="K7" s="80" t="n">
        <v>0</v>
      </c>
      <c r="L7" s="93">
        <f>G7+H7+I7+J7+K7</f>
        <v/>
      </c>
      <c r="M7" s="80" t="n">
        <v>0</v>
      </c>
      <c r="N7" s="80" t="n">
        <v>0</v>
      </c>
      <c r="O7" s="80" t="n">
        <v>0</v>
      </c>
      <c r="P7" s="80" t="n">
        <v>0</v>
      </c>
      <c r="Q7" s="93">
        <f>M7+N7+O7+P7</f>
        <v/>
      </c>
      <c r="R7" s="80" t="n">
        <v>0</v>
      </c>
      <c r="S7" s="93" t="n"/>
    </row>
    <row r="8" ht="15.75" customHeight="1">
      <c r="A8" s="83" t="inlineStr">
        <is>
          <t>AMARRADINHO P NATAL</t>
        </is>
      </c>
      <c r="B8" s="80" t="n">
        <v>70</v>
      </c>
      <c r="C8" s="80" t="n">
        <v>40</v>
      </c>
      <c r="D8" s="80" t="n">
        <v>50</v>
      </c>
      <c r="E8" s="80" t="n">
        <v>40</v>
      </c>
      <c r="F8" s="93">
        <f>B8+C8+D8+E8</f>
        <v/>
      </c>
      <c r="G8" s="80" t="n">
        <v>0</v>
      </c>
      <c r="H8" s="80" t="n">
        <v>0</v>
      </c>
      <c r="I8" s="80" t="n">
        <v>0</v>
      </c>
      <c r="J8" s="80" t="n">
        <v>0</v>
      </c>
      <c r="K8" s="80" t="n">
        <v>0</v>
      </c>
      <c r="L8" s="93">
        <f>G8+H8+I8+J8+K8</f>
        <v/>
      </c>
      <c r="M8" s="80" t="n">
        <v>0</v>
      </c>
      <c r="N8" s="80" t="n">
        <v>0</v>
      </c>
      <c r="O8" s="80" t="n">
        <v>0</v>
      </c>
      <c r="P8" s="80" t="n">
        <v>0</v>
      </c>
      <c r="Q8" s="93">
        <f>M8+N8+O8+P8</f>
        <v/>
      </c>
      <c r="R8" s="80" t="n">
        <v>0</v>
      </c>
      <c r="S8" s="93" t="n"/>
    </row>
    <row r="9" ht="15.75" customHeight="1">
      <c r="A9" s="84" t="inlineStr">
        <is>
          <t>AMARRADINHO M NATAL</t>
        </is>
      </c>
      <c r="B9" s="80" t="n">
        <v>55</v>
      </c>
      <c r="C9" s="80" t="n">
        <v>35</v>
      </c>
      <c r="D9" s="80" t="n">
        <v>30</v>
      </c>
      <c r="E9" s="80" t="n">
        <v>30</v>
      </c>
      <c r="F9" s="93">
        <f>B9+C9+D9+E9</f>
        <v/>
      </c>
      <c r="G9" s="80" t="n">
        <v>0</v>
      </c>
      <c r="H9" s="80" t="n">
        <v>0</v>
      </c>
      <c r="I9" s="80" t="n">
        <v>0</v>
      </c>
      <c r="J9" s="80" t="n">
        <v>0</v>
      </c>
      <c r="K9" s="80" t="n">
        <v>0</v>
      </c>
      <c r="L9" s="93">
        <f>G9+H9+I9+J9+K9</f>
        <v/>
      </c>
      <c r="M9" s="80" t="n">
        <v>0</v>
      </c>
      <c r="N9" s="80" t="n">
        <v>0</v>
      </c>
      <c r="O9" s="80" t="n">
        <v>0</v>
      </c>
      <c r="P9" s="80" t="n">
        <v>0</v>
      </c>
      <c r="Q9" s="93">
        <f>M9+N9+O9+P9</f>
        <v/>
      </c>
      <c r="R9" s="80" t="n">
        <v>0</v>
      </c>
      <c r="S9" s="93" t="n"/>
    </row>
    <row r="10" ht="15.75" customHeight="1">
      <c r="A10" s="84" t="inlineStr">
        <is>
          <t>PAPEL DE SEDA NATAL</t>
        </is>
      </c>
      <c r="B10" s="80" t="n">
        <v>3</v>
      </c>
      <c r="C10" s="80" t="n">
        <v>4</v>
      </c>
      <c r="D10" s="80" t="n">
        <v>13</v>
      </c>
      <c r="E10" s="80" t="n">
        <v>4</v>
      </c>
      <c r="F10" s="93">
        <f>B10+C10+D10+E10</f>
        <v/>
      </c>
      <c r="G10" s="80" t="n">
        <v>0</v>
      </c>
      <c r="H10" s="80" t="n">
        <v>0</v>
      </c>
      <c r="I10" s="80" t="n">
        <v>1</v>
      </c>
      <c r="J10" s="80" t="n">
        <v>1</v>
      </c>
      <c r="K10" s="80" t="n">
        <v>0</v>
      </c>
      <c r="L10" s="93">
        <f>G10+H10+I10+J10+K10</f>
        <v/>
      </c>
      <c r="M10" s="80" t="n">
        <v>1</v>
      </c>
      <c r="N10" s="80" t="n">
        <v>0</v>
      </c>
      <c r="O10" s="80" t="n">
        <v>1</v>
      </c>
      <c r="P10" s="80" t="n">
        <v>0</v>
      </c>
      <c r="Q10" s="93">
        <f>M10+N10+O10+P10</f>
        <v/>
      </c>
      <c r="R10" s="80" t="n">
        <v>0</v>
      </c>
      <c r="S10" s="93" t="n"/>
    </row>
    <row r="11" ht="15.75" customHeight="1">
      <c r="A11" s="84" t="inlineStr">
        <is>
          <t>TAG NATAL</t>
        </is>
      </c>
      <c r="B11" s="80" t="n">
        <v>4</v>
      </c>
      <c r="C11" s="80" t="n">
        <v>2</v>
      </c>
      <c r="D11" s="80" t="n">
        <v>6</v>
      </c>
      <c r="E11" s="80" t="n">
        <v>8</v>
      </c>
      <c r="F11" s="93">
        <f>B11+C11+D11+E11</f>
        <v/>
      </c>
      <c r="G11" s="80" t="n">
        <v>0</v>
      </c>
      <c r="H11" s="80" t="n">
        <v>0</v>
      </c>
      <c r="I11" s="80" t="n">
        <v>0</v>
      </c>
      <c r="J11" s="80" t="n">
        <v>0</v>
      </c>
      <c r="K11" s="80" t="n">
        <v>0</v>
      </c>
      <c r="L11" s="93">
        <f>G11+H11+I11+J11+K11</f>
        <v/>
      </c>
      <c r="M11" s="80" t="n">
        <v>0</v>
      </c>
      <c r="N11" s="80" t="n">
        <v>0</v>
      </c>
      <c r="O11" s="80" t="n">
        <v>0</v>
      </c>
      <c r="P11" s="80" t="n">
        <v>0</v>
      </c>
      <c r="Q11" s="93">
        <f>M11+N11+O11+P11</f>
        <v/>
      </c>
      <c r="R11" s="80" t="n">
        <v>0</v>
      </c>
      <c r="S11" s="93" t="n"/>
    </row>
    <row r="12" ht="15.75" customHeight="1">
      <c r="A12" s="84" t="inlineStr">
        <is>
          <t>ADESIVOS NATAL</t>
        </is>
      </c>
      <c r="B12" s="80" t="n">
        <v>0</v>
      </c>
      <c r="C12" s="80" t="n">
        <v>300</v>
      </c>
      <c r="D12" s="80" t="n">
        <v>0</v>
      </c>
      <c r="E12" s="80" t="n">
        <v>0</v>
      </c>
      <c r="F12" s="93">
        <f>B12+C12+D12+E12</f>
        <v/>
      </c>
      <c r="G12" s="80" t="n">
        <v>0</v>
      </c>
      <c r="H12" s="80" t="n">
        <v>0</v>
      </c>
      <c r="I12" s="80" t="n">
        <v>0</v>
      </c>
      <c r="J12" s="80" t="n">
        <v>0</v>
      </c>
      <c r="K12" s="80" t="n">
        <v>0</v>
      </c>
      <c r="L12" s="93">
        <f>G12+H12+I12+J12+K12</f>
        <v/>
      </c>
      <c r="M12" s="80" t="n">
        <v>0</v>
      </c>
      <c r="N12" s="80" t="n">
        <v>0</v>
      </c>
      <c r="O12" s="80" t="n">
        <v>0</v>
      </c>
      <c r="P12" s="80" t="n">
        <v>0</v>
      </c>
      <c r="Q12" s="93">
        <f>M12+N12+O12+P12</f>
        <v/>
      </c>
      <c r="R12" s="80" t="n">
        <v>0</v>
      </c>
      <c r="S12" s="93" t="n"/>
    </row>
    <row r="13" ht="15.75" customHeight="1">
      <c r="A13" s="94" t="inlineStr">
        <is>
          <t>TOTAL DE SACOLAS</t>
        </is>
      </c>
      <c r="B13" s="95">
        <f>SUM(B4:B7)</f>
        <v/>
      </c>
      <c r="C13" s="95">
        <f>SUM(C4:C7)</f>
        <v/>
      </c>
      <c r="D13" s="95">
        <f>SUM(D4:D7)</f>
        <v/>
      </c>
      <c r="E13" s="95">
        <f>SUM(E4:E7)</f>
        <v/>
      </c>
      <c r="F13" s="95">
        <f>SUM(F4:F7)</f>
        <v/>
      </c>
      <c r="G13" s="95">
        <f>SUM(G4:G8)</f>
        <v/>
      </c>
      <c r="H13" s="95">
        <f>SUM(H4:H8)</f>
        <v/>
      </c>
      <c r="I13" s="95">
        <f>SUM(I4:I8)</f>
        <v/>
      </c>
      <c r="J13" s="95">
        <f>SUM(J4:J8)</f>
        <v/>
      </c>
      <c r="K13" s="95">
        <f>SUM(K4:K8)</f>
        <v/>
      </c>
      <c r="L13" s="95">
        <f>SUM(L4:L8)</f>
        <v/>
      </c>
      <c r="M13" s="95">
        <f>SUM(M4:M8)</f>
        <v/>
      </c>
      <c r="N13" s="95">
        <f>SUM(N4:N8)</f>
        <v/>
      </c>
      <c r="O13" s="95">
        <f>SUM(O4:O8)</f>
        <v/>
      </c>
      <c r="P13" s="95">
        <f>SUM(P4:P8)</f>
        <v/>
      </c>
      <c r="Q13" s="95">
        <f>SUM(Q4:Q8)</f>
        <v/>
      </c>
      <c r="R13" s="95">
        <f>SUM(R4:R8)</f>
        <v/>
      </c>
      <c r="S13" s="95">
        <f>SUM(S4:S8)</f>
        <v/>
      </c>
    </row>
    <row r="15" ht="18" customHeight="1">
      <c r="A15" s="545" t="inlineStr">
        <is>
          <t>GASTO DE SACOLAS E ITENS DOADOS NATAL/2022 - MENSAIS</t>
        </is>
      </c>
    </row>
    <row r="16" ht="18" customHeight="1">
      <c r="A16" s="741" t="inlineStr">
        <is>
          <t>BOQUEIRÃO</t>
        </is>
      </c>
      <c r="B16" s="741" t="inlineStr">
        <is>
          <t>DEZEMBRO</t>
        </is>
      </c>
      <c r="C16" s="736" t="n"/>
      <c r="D16" s="736" t="n"/>
      <c r="E16" s="736" t="n"/>
      <c r="F16" s="737" t="n"/>
      <c r="G16" s="741" t="inlineStr">
        <is>
          <t>JANEIRO</t>
        </is>
      </c>
      <c r="H16" s="736" t="n"/>
      <c r="I16" s="736" t="n"/>
      <c r="J16" s="736" t="n"/>
      <c r="K16" s="736" t="n"/>
      <c r="L16" s="737" t="n"/>
      <c r="M16" s="741" t="inlineStr">
        <is>
          <t>FEVEREIRO</t>
        </is>
      </c>
      <c r="N16" s="736" t="n"/>
      <c r="O16" s="736" t="n"/>
      <c r="P16" s="736" t="n"/>
      <c r="Q16" s="737" t="n"/>
      <c r="R16" s="741" t="inlineStr">
        <is>
          <t>MARÇO</t>
        </is>
      </c>
      <c r="S16" s="737" t="n"/>
    </row>
    <row r="17" ht="15.75" customHeight="1">
      <c r="A17" s="738" t="n"/>
      <c r="B17" s="90" t="n">
        <v>44900</v>
      </c>
      <c r="C17" s="90" t="n">
        <v>44907</v>
      </c>
      <c r="D17" s="90" t="n">
        <v>44914</v>
      </c>
      <c r="E17" s="90" t="n">
        <v>44921</v>
      </c>
      <c r="F17" s="91" t="inlineStr">
        <is>
          <t>USOU</t>
        </is>
      </c>
      <c r="G17" s="90" t="n">
        <v>44563</v>
      </c>
      <c r="H17" s="90" t="n">
        <v>44570</v>
      </c>
      <c r="I17" s="90" t="n">
        <v>44577</v>
      </c>
      <c r="J17" s="90" t="n">
        <v>44584</v>
      </c>
      <c r="K17" s="90" t="n">
        <v>44591</v>
      </c>
      <c r="L17" s="91" t="inlineStr">
        <is>
          <t>USOU</t>
        </is>
      </c>
      <c r="M17" s="90" t="n">
        <v>44598</v>
      </c>
      <c r="N17" s="90" t="n">
        <v>44605</v>
      </c>
      <c r="O17" s="90" t="n">
        <v>44612</v>
      </c>
      <c r="P17" s="90" t="n">
        <v>44619</v>
      </c>
      <c r="Q17" s="91" t="inlineStr">
        <is>
          <t>USOU</t>
        </is>
      </c>
      <c r="R17" s="90" t="n">
        <v>44626</v>
      </c>
      <c r="S17" s="91" t="inlineStr">
        <is>
          <t>USOU</t>
        </is>
      </c>
    </row>
    <row r="18" ht="15.75" customHeight="1">
      <c r="A18" s="79" t="inlineStr">
        <is>
          <t>SACOLA PP NATAL</t>
        </is>
      </c>
      <c r="B18" s="92" t="n">
        <v>120</v>
      </c>
      <c r="C18" s="80" t="n">
        <v>120</v>
      </c>
      <c r="D18" s="80" t="n">
        <v>60</v>
      </c>
      <c r="E18" s="80" t="n">
        <v>560</v>
      </c>
      <c r="F18" s="93">
        <f>B18+C18+D18+E18</f>
        <v/>
      </c>
      <c r="G18" s="80" t="n">
        <v>200</v>
      </c>
      <c r="H18" s="80" t="n">
        <v>140</v>
      </c>
      <c r="I18" s="80" t="n">
        <v>0</v>
      </c>
      <c r="J18" s="80" t="n">
        <v>0</v>
      </c>
      <c r="K18" s="80" t="n">
        <v>0</v>
      </c>
      <c r="L18" s="93">
        <f>G18+H18+I18+J18+K18</f>
        <v/>
      </c>
      <c r="M18" s="80" t="n">
        <v>0</v>
      </c>
      <c r="N18" s="80" t="n">
        <v>0</v>
      </c>
      <c r="O18" s="80" t="n">
        <v>0</v>
      </c>
      <c r="P18" s="80" t="n">
        <v>0</v>
      </c>
      <c r="Q18" s="93">
        <f>M18+N18+O18+P18</f>
        <v/>
      </c>
      <c r="R18" s="80" t="n">
        <v>0</v>
      </c>
      <c r="S18" s="93" t="n"/>
    </row>
    <row r="19" ht="15.75" customHeight="1">
      <c r="A19" s="82" t="inlineStr">
        <is>
          <t>SACOLA P NATAL</t>
        </is>
      </c>
      <c r="B19" s="80" t="n">
        <v>320</v>
      </c>
      <c r="C19" s="80" t="n">
        <v>180</v>
      </c>
      <c r="D19" s="80" t="n">
        <v>500</v>
      </c>
      <c r="E19" s="80" t="n">
        <v>600</v>
      </c>
      <c r="F19" s="93">
        <f>B19+C19+D19+E19</f>
        <v/>
      </c>
      <c r="G19" s="80" t="n">
        <v>0</v>
      </c>
      <c r="H19" s="80" t="n">
        <v>0</v>
      </c>
      <c r="I19" s="80" t="n">
        <v>0</v>
      </c>
      <c r="J19" s="80" t="n">
        <v>0</v>
      </c>
      <c r="K19" s="80" t="n">
        <v>0</v>
      </c>
      <c r="L19" s="93">
        <f>G19+H19+I19+J19+K19</f>
        <v/>
      </c>
      <c r="M19" s="80" t="n">
        <v>0</v>
      </c>
      <c r="N19" s="80" t="n">
        <v>0</v>
      </c>
      <c r="O19" s="80" t="n">
        <v>0</v>
      </c>
      <c r="P19" s="80" t="n">
        <v>0</v>
      </c>
      <c r="Q19" s="93">
        <f>M19+N19+O19+P19</f>
        <v/>
      </c>
      <c r="R19" s="80" t="n">
        <v>0</v>
      </c>
      <c r="S19" s="93" t="n"/>
    </row>
    <row r="20" ht="15.75" customHeight="1">
      <c r="A20" s="82" t="inlineStr">
        <is>
          <t>SACOLA M NATAL</t>
        </is>
      </c>
      <c r="B20" s="80" t="n">
        <v>200</v>
      </c>
      <c r="C20" s="80" t="n">
        <v>200</v>
      </c>
      <c r="D20" s="80" t="n">
        <v>200</v>
      </c>
      <c r="E20" s="80" t="n">
        <v>600</v>
      </c>
      <c r="F20" s="93">
        <f>B20+C20+D20+E20</f>
        <v/>
      </c>
      <c r="G20" s="80" t="n">
        <v>0</v>
      </c>
      <c r="H20" s="80" t="n">
        <v>0</v>
      </c>
      <c r="I20" s="80" t="n">
        <v>0</v>
      </c>
      <c r="J20" s="80" t="n">
        <v>0</v>
      </c>
      <c r="K20" s="80" t="n">
        <v>0</v>
      </c>
      <c r="L20" s="93">
        <f>G20+H20+I20+J20+K20</f>
        <v/>
      </c>
      <c r="M20" s="80" t="n">
        <v>0</v>
      </c>
      <c r="N20" s="80" t="n">
        <v>0</v>
      </c>
      <c r="O20" s="80" t="n">
        <v>0</v>
      </c>
      <c r="P20" s="80" t="n">
        <v>0</v>
      </c>
      <c r="Q20" s="93">
        <f>M20+N20+O20+P20</f>
        <v/>
      </c>
      <c r="R20" s="80" t="n">
        <v>0</v>
      </c>
      <c r="S20" s="93" t="n"/>
    </row>
    <row r="21" ht="15.75" customHeight="1">
      <c r="A21" s="82" t="inlineStr">
        <is>
          <t>SACOLA G NATAL</t>
        </is>
      </c>
      <c r="B21" s="80" t="n">
        <v>80</v>
      </c>
      <c r="C21" s="80" t="n">
        <v>20</v>
      </c>
      <c r="D21" s="80" t="n">
        <v>100</v>
      </c>
      <c r="E21" s="80" t="n">
        <v>400</v>
      </c>
      <c r="F21" s="93">
        <f>B21+C21+D21+E21</f>
        <v/>
      </c>
      <c r="G21" s="80" t="n">
        <v>0</v>
      </c>
      <c r="H21" s="80" t="n">
        <v>0</v>
      </c>
      <c r="I21" s="80" t="n">
        <v>0</v>
      </c>
      <c r="J21" s="80" t="n">
        <v>0</v>
      </c>
      <c r="K21" s="80" t="n">
        <v>0</v>
      </c>
      <c r="L21" s="93">
        <f>G21+H21+I21+J21+K21</f>
        <v/>
      </c>
      <c r="M21" s="80" t="n">
        <v>0</v>
      </c>
      <c r="N21" s="80" t="n">
        <v>0</v>
      </c>
      <c r="O21" s="80" t="n">
        <v>0</v>
      </c>
      <c r="P21" s="80" t="n">
        <v>0</v>
      </c>
      <c r="Q21" s="93">
        <f>M21+N21+O21+P21</f>
        <v/>
      </c>
      <c r="R21" s="80" t="n">
        <v>0</v>
      </c>
      <c r="S21" s="93" t="n"/>
    </row>
    <row r="22" ht="15.75" customHeight="1">
      <c r="A22" s="83" t="inlineStr">
        <is>
          <t>AMARRADINHO P NATAL</t>
        </is>
      </c>
      <c r="B22" s="80" t="n">
        <v>10</v>
      </c>
      <c r="C22" s="80" t="n">
        <v>40</v>
      </c>
      <c r="D22" s="80" t="n">
        <v>0</v>
      </c>
      <c r="E22" s="80" t="n">
        <v>100</v>
      </c>
      <c r="F22" s="93">
        <f>B22+C22+D22+E22</f>
        <v/>
      </c>
      <c r="G22" s="80" t="n">
        <v>0</v>
      </c>
      <c r="H22" s="80" t="n">
        <v>0</v>
      </c>
      <c r="I22" s="80" t="n">
        <v>0</v>
      </c>
      <c r="J22" s="80" t="n">
        <v>0</v>
      </c>
      <c r="K22" s="80" t="n">
        <v>0</v>
      </c>
      <c r="L22" s="93">
        <f>G22+H22+I22+J22+K22</f>
        <v/>
      </c>
      <c r="M22" s="80" t="n">
        <v>0</v>
      </c>
      <c r="N22" s="80" t="n">
        <v>0</v>
      </c>
      <c r="O22" s="80" t="n">
        <v>0</v>
      </c>
      <c r="P22" s="80" t="n">
        <v>0</v>
      </c>
      <c r="Q22" s="93">
        <f>M22+N22+O22+P22</f>
        <v/>
      </c>
      <c r="R22" s="80" t="n">
        <v>0</v>
      </c>
      <c r="S22" s="93" t="n"/>
    </row>
    <row r="23" ht="15.75" customHeight="1">
      <c r="A23" s="84" t="inlineStr">
        <is>
          <t>AMARRADINHO M NATAL</t>
        </is>
      </c>
      <c r="B23" s="80" t="n">
        <v>10</v>
      </c>
      <c r="C23" s="80" t="n">
        <v>40</v>
      </c>
      <c r="D23" s="80" t="n">
        <v>0</v>
      </c>
      <c r="E23" s="80" t="n">
        <v>50</v>
      </c>
      <c r="F23" s="93">
        <f>B23+C23+D23+E23</f>
        <v/>
      </c>
      <c r="G23" s="80" t="n">
        <v>0</v>
      </c>
      <c r="H23" s="80" t="n">
        <v>0</v>
      </c>
      <c r="I23" s="80" t="n">
        <v>0</v>
      </c>
      <c r="J23" s="80" t="n">
        <v>0</v>
      </c>
      <c r="K23" s="80" t="n">
        <v>0</v>
      </c>
      <c r="L23" s="93">
        <f>G23+H23+I23+J23+K23</f>
        <v/>
      </c>
      <c r="M23" s="80" t="n">
        <v>0</v>
      </c>
      <c r="N23" s="80" t="n">
        <v>0</v>
      </c>
      <c r="O23" s="80" t="n">
        <v>0</v>
      </c>
      <c r="P23" s="80" t="n">
        <v>0</v>
      </c>
      <c r="Q23" s="93">
        <f>M23+N23+O23+P23</f>
        <v/>
      </c>
      <c r="R23" s="80" t="n">
        <v>0</v>
      </c>
      <c r="S23" s="93" t="n"/>
    </row>
    <row r="24" ht="15.75" customHeight="1">
      <c r="A24" s="84" t="inlineStr">
        <is>
          <t>PAPEL DE SEDA NATAL</t>
        </is>
      </c>
      <c r="B24" s="80" t="n">
        <v>2</v>
      </c>
      <c r="C24" s="80" t="n">
        <v>3</v>
      </c>
      <c r="D24" s="80" t="n">
        <v>5</v>
      </c>
      <c r="E24" s="80" t="n">
        <v>5</v>
      </c>
      <c r="F24" s="93">
        <f>B24+C24+D24+E24</f>
        <v/>
      </c>
      <c r="G24" s="80" t="n">
        <v>0</v>
      </c>
      <c r="H24" s="80" t="n">
        <v>0</v>
      </c>
      <c r="I24" s="80" t="n">
        <v>0</v>
      </c>
      <c r="J24" s="80" t="n">
        <v>0</v>
      </c>
      <c r="K24" s="80" t="n">
        <v>0</v>
      </c>
      <c r="L24" s="93">
        <f>G24+H24+I24+J24+K24</f>
        <v/>
      </c>
      <c r="M24" s="80" t="n">
        <v>0</v>
      </c>
      <c r="N24" s="80" t="n">
        <v>0</v>
      </c>
      <c r="O24" s="80" t="n">
        <v>0</v>
      </c>
      <c r="P24" s="80" t="n">
        <v>0</v>
      </c>
      <c r="Q24" s="93">
        <f>M24+N24+O24+P24</f>
        <v/>
      </c>
      <c r="R24" s="80" t="n">
        <v>0</v>
      </c>
      <c r="S24" s="93" t="n"/>
    </row>
    <row r="25" ht="15.75" customHeight="1">
      <c r="A25" s="84" t="inlineStr">
        <is>
          <t>TAG NATAL</t>
        </is>
      </c>
      <c r="B25" s="80" t="n">
        <v>2</v>
      </c>
      <c r="C25" s="80" t="n">
        <v>1</v>
      </c>
      <c r="D25" s="80" t="n">
        <v>3</v>
      </c>
      <c r="E25" s="80" t="n">
        <v>4</v>
      </c>
      <c r="F25" s="93">
        <f>B25+C25+D25+E25</f>
        <v/>
      </c>
      <c r="G25" s="80" t="n">
        <v>0</v>
      </c>
      <c r="H25" s="80" t="n">
        <v>0</v>
      </c>
      <c r="I25" s="80" t="n">
        <v>0</v>
      </c>
      <c r="J25" s="80" t="n">
        <v>0</v>
      </c>
      <c r="K25" s="80" t="n">
        <v>0</v>
      </c>
      <c r="L25" s="93">
        <f>G25+H25+I25+J25+K25</f>
        <v/>
      </c>
      <c r="M25" s="80" t="n">
        <v>0</v>
      </c>
      <c r="N25" s="80" t="n">
        <v>0</v>
      </c>
      <c r="O25" s="80" t="n">
        <v>0</v>
      </c>
      <c r="P25" s="80" t="n">
        <v>0</v>
      </c>
      <c r="Q25" s="93">
        <f>M25+N25+O25+P25</f>
        <v/>
      </c>
      <c r="R25" s="80" t="n">
        <v>0</v>
      </c>
      <c r="S25" s="93" t="n"/>
    </row>
    <row r="26" ht="15.75" customHeight="1">
      <c r="A26" s="84" t="inlineStr">
        <is>
          <t>ADESIVOS NATAL</t>
        </is>
      </c>
      <c r="B26" s="80" t="n">
        <v>20</v>
      </c>
      <c r="C26" s="80" t="n">
        <v>0</v>
      </c>
      <c r="D26" s="80" t="n">
        <v>130</v>
      </c>
      <c r="E26" s="80" t="n">
        <v>0</v>
      </c>
      <c r="F26" s="93">
        <f>B26+C26+D26+E26</f>
        <v/>
      </c>
      <c r="G26" s="80" t="n">
        <v>0</v>
      </c>
      <c r="H26" s="80" t="n">
        <v>0</v>
      </c>
      <c r="I26" s="80" t="n">
        <v>0</v>
      </c>
      <c r="J26" s="80" t="n">
        <v>0</v>
      </c>
      <c r="K26" s="80" t="n">
        <v>0</v>
      </c>
      <c r="L26" s="93">
        <f>G26+H26+I26+J26+K26</f>
        <v/>
      </c>
      <c r="M26" s="80" t="n">
        <v>0</v>
      </c>
      <c r="N26" s="80" t="n">
        <v>0</v>
      </c>
      <c r="O26" s="80" t="n">
        <v>0</v>
      </c>
      <c r="P26" s="80" t="n">
        <v>0</v>
      </c>
      <c r="Q26" s="93">
        <f>M26+N26+O26+P26</f>
        <v/>
      </c>
      <c r="R26" s="80" t="n">
        <v>0</v>
      </c>
      <c r="S26" s="93" t="n"/>
    </row>
    <row r="27" ht="15.75" customHeight="1">
      <c r="A27" s="94" t="inlineStr">
        <is>
          <t>TOTAL DE SACOLAS</t>
        </is>
      </c>
      <c r="B27" s="95">
        <f>SUM(B18:B21)</f>
        <v/>
      </c>
      <c r="C27" s="95">
        <f>SUM(C18:C21)</f>
        <v/>
      </c>
      <c r="D27" s="95">
        <f>SUM(D18:D21)</f>
        <v/>
      </c>
      <c r="E27" s="95">
        <f>SUM(E18:E21)</f>
        <v/>
      </c>
      <c r="F27" s="95">
        <f>SUM(F18:F21)</f>
        <v/>
      </c>
      <c r="G27" s="95">
        <f>SUM(G18:G22)</f>
        <v/>
      </c>
      <c r="H27" s="95">
        <f>SUM(H18:H22)</f>
        <v/>
      </c>
      <c r="I27" s="95">
        <f>SUM(I18:I22)</f>
        <v/>
      </c>
      <c r="J27" s="95">
        <f>SUM(J18:J22)</f>
        <v/>
      </c>
      <c r="K27" s="95">
        <f>SUM(K18:K22)</f>
        <v/>
      </c>
      <c r="L27" s="95">
        <f>SUM(L18:L22)</f>
        <v/>
      </c>
      <c r="M27" s="95">
        <f>SUM(M18:M22)</f>
        <v/>
      </c>
      <c r="N27" s="95">
        <f>SUM(N18:N22)</f>
        <v/>
      </c>
      <c r="O27" s="95">
        <f>SUM(O18:O22)</f>
        <v/>
      </c>
      <c r="P27" s="95">
        <f>SUM(P18:P22)</f>
        <v/>
      </c>
      <c r="Q27" s="95">
        <f>SUM(Q18:Q22)</f>
        <v/>
      </c>
      <c r="R27" s="95">
        <f>SUM(R18:R22)</f>
        <v/>
      </c>
      <c r="S27" s="95">
        <f>SUM(S18:S22)</f>
        <v/>
      </c>
    </row>
    <row r="28" ht="15.75" customHeight="1">
      <c r="A28" s="98" t="n"/>
      <c r="B28" s="99" t="n"/>
      <c r="C28" s="99" t="n"/>
      <c r="D28" s="99" t="n"/>
      <c r="E28" s="99" t="n"/>
      <c r="F28" s="99" t="n"/>
      <c r="G28" s="99" t="n"/>
      <c r="H28" s="99" t="n"/>
      <c r="I28" s="99" t="n"/>
      <c r="J28" s="99" t="n"/>
      <c r="K28" s="99" t="n"/>
      <c r="L28" s="99" t="n"/>
      <c r="M28" s="99" t="n"/>
      <c r="N28" s="99" t="n"/>
      <c r="O28" s="99" t="n"/>
      <c r="P28" s="99" t="n"/>
      <c r="Q28" s="99" t="n"/>
      <c r="R28" s="99" t="n"/>
      <c r="S28" s="99" t="n"/>
    </row>
    <row r="29" ht="15.75" customHeight="1">
      <c r="A29" s="545" t="inlineStr">
        <is>
          <t>GASTO DE SACOLAS E ITENS DOADOS NATAL/2022 - MENSAIS</t>
        </is>
      </c>
    </row>
    <row r="30" ht="15.75" customHeight="1">
      <c r="A30" s="741" t="inlineStr">
        <is>
          <t>TUPI</t>
        </is>
      </c>
      <c r="B30" s="741" t="inlineStr">
        <is>
          <t>DEZEMBRO</t>
        </is>
      </c>
      <c r="C30" s="736" t="n"/>
      <c r="D30" s="736" t="n"/>
      <c r="E30" s="736" t="n"/>
      <c r="F30" s="737" t="n"/>
      <c r="G30" s="741" t="inlineStr">
        <is>
          <t>JANEIRO</t>
        </is>
      </c>
      <c r="H30" s="736" t="n"/>
      <c r="I30" s="736" t="n"/>
      <c r="J30" s="736" t="n"/>
      <c r="K30" s="736" t="n"/>
      <c r="L30" s="737" t="n"/>
      <c r="M30" s="741" t="inlineStr">
        <is>
          <t>FEVEREIRO</t>
        </is>
      </c>
      <c r="N30" s="736" t="n"/>
      <c r="O30" s="736" t="n"/>
      <c r="P30" s="736" t="n"/>
      <c r="Q30" s="737" t="n"/>
      <c r="R30" s="741" t="inlineStr">
        <is>
          <t>MARÇO</t>
        </is>
      </c>
      <c r="S30" s="737" t="n"/>
    </row>
    <row r="31" ht="15.75" customHeight="1">
      <c r="A31" s="738" t="n"/>
      <c r="B31" s="90" t="n">
        <v>44900</v>
      </c>
      <c r="C31" s="90" t="n">
        <v>44907</v>
      </c>
      <c r="D31" s="90" t="n">
        <v>44914</v>
      </c>
      <c r="E31" s="90" t="n">
        <v>44921</v>
      </c>
      <c r="F31" s="91" t="inlineStr">
        <is>
          <t>USOU</t>
        </is>
      </c>
      <c r="G31" s="90" t="n">
        <v>44563</v>
      </c>
      <c r="H31" s="90" t="n">
        <v>44570</v>
      </c>
      <c r="I31" s="90" t="n">
        <v>44577</v>
      </c>
      <c r="J31" s="90" t="n">
        <v>44584</v>
      </c>
      <c r="K31" s="90" t="n">
        <v>44591</v>
      </c>
      <c r="L31" s="91" t="inlineStr">
        <is>
          <t>USOU</t>
        </is>
      </c>
      <c r="M31" s="90" t="n">
        <v>44598</v>
      </c>
      <c r="N31" s="90" t="n">
        <v>44605</v>
      </c>
      <c r="O31" s="90" t="n">
        <v>44612</v>
      </c>
      <c r="P31" s="90" t="n">
        <v>44619</v>
      </c>
      <c r="Q31" s="91" t="inlineStr">
        <is>
          <t>USOU</t>
        </is>
      </c>
      <c r="R31" s="90" t="n">
        <v>44626</v>
      </c>
      <c r="S31" s="91" t="inlineStr">
        <is>
          <t>USOU</t>
        </is>
      </c>
    </row>
    <row r="32" ht="15.75" customHeight="1">
      <c r="A32" s="79" t="inlineStr">
        <is>
          <t>SACOLA PP NATAL</t>
        </is>
      </c>
      <c r="B32" s="92" t="n">
        <v>1200</v>
      </c>
      <c r="C32" s="80" t="n">
        <v>0</v>
      </c>
      <c r="D32" s="80" t="n">
        <v>360</v>
      </c>
      <c r="E32" s="80" t="n">
        <v>280</v>
      </c>
      <c r="F32" s="93">
        <f>B32+C32+D32+E32</f>
        <v/>
      </c>
      <c r="G32" s="80" t="n">
        <v>100</v>
      </c>
      <c r="H32" s="80" t="n">
        <v>140</v>
      </c>
      <c r="I32" s="80" t="n">
        <v>0</v>
      </c>
      <c r="J32" s="80" t="n">
        <v>0</v>
      </c>
      <c r="K32" s="80" t="n">
        <v>0</v>
      </c>
      <c r="L32" s="93">
        <f>G32+H32+I32+J32+K32</f>
        <v/>
      </c>
      <c r="M32" s="80" t="n">
        <v>0</v>
      </c>
      <c r="N32" s="80" t="n">
        <v>0</v>
      </c>
      <c r="O32" s="80" t="n">
        <v>0</v>
      </c>
      <c r="P32" s="80" t="n">
        <v>0</v>
      </c>
      <c r="Q32" s="93">
        <f>M32+N32+O32+P32</f>
        <v/>
      </c>
      <c r="R32" s="80" t="n">
        <v>0</v>
      </c>
      <c r="S32" s="93" t="n"/>
    </row>
    <row r="33" ht="18" customHeight="1">
      <c r="A33" s="82" t="inlineStr">
        <is>
          <t>SACOLA P NATAL</t>
        </is>
      </c>
      <c r="B33" s="80" t="n">
        <v>120</v>
      </c>
      <c r="C33" s="80" t="n">
        <v>200</v>
      </c>
      <c r="D33" s="80" t="n">
        <v>260</v>
      </c>
      <c r="E33" s="80" t="n">
        <v>620</v>
      </c>
      <c r="F33" s="93">
        <f>B33+C33+D33+E33</f>
        <v/>
      </c>
      <c r="G33" s="80" t="n">
        <v>0</v>
      </c>
      <c r="H33" s="80" t="n">
        <v>0</v>
      </c>
      <c r="I33" s="80" t="n">
        <v>0</v>
      </c>
      <c r="J33" s="80" t="n">
        <v>0</v>
      </c>
      <c r="K33" s="80" t="n">
        <v>0</v>
      </c>
      <c r="L33" s="93">
        <f>G33+H33+I33+J33+K33</f>
        <v/>
      </c>
      <c r="M33" s="80" t="n">
        <v>0</v>
      </c>
      <c r="N33" s="80" t="n">
        <v>0</v>
      </c>
      <c r="O33" s="80" t="n">
        <v>0</v>
      </c>
      <c r="P33" s="80" t="n">
        <v>0</v>
      </c>
      <c r="Q33" s="93">
        <f>M33+N33+O33+P33</f>
        <v/>
      </c>
      <c r="R33" s="80" t="n">
        <v>0</v>
      </c>
      <c r="S33" s="93" t="n"/>
    </row>
    <row r="34" ht="18" customHeight="1">
      <c r="A34" s="82" t="inlineStr">
        <is>
          <t>SACOLA M NATAL</t>
        </is>
      </c>
      <c r="B34" s="80" t="n">
        <v>320</v>
      </c>
      <c r="C34" s="80" t="n">
        <v>60</v>
      </c>
      <c r="D34" s="80" t="n">
        <v>180</v>
      </c>
      <c r="E34" s="80" t="n">
        <v>740</v>
      </c>
      <c r="F34" s="93">
        <f>B34+C34+D34+E34</f>
        <v/>
      </c>
      <c r="G34" s="80" t="n">
        <v>100</v>
      </c>
      <c r="H34" s="80" t="n">
        <v>0</v>
      </c>
      <c r="I34" s="80" t="n">
        <v>0</v>
      </c>
      <c r="J34" s="80" t="n">
        <v>0</v>
      </c>
      <c r="K34" s="80" t="n">
        <v>0</v>
      </c>
      <c r="L34" s="93">
        <f>G34+H34+I34+J34+K34</f>
        <v/>
      </c>
      <c r="M34" s="80" t="n">
        <v>0</v>
      </c>
      <c r="N34" s="80" t="n">
        <v>0</v>
      </c>
      <c r="O34" s="80" t="n">
        <v>0</v>
      </c>
      <c r="P34" s="80" t="n">
        <v>0</v>
      </c>
      <c r="Q34" s="93">
        <f>M34+N34+O34+P34</f>
        <v/>
      </c>
      <c r="R34" s="80" t="n">
        <v>0</v>
      </c>
      <c r="S34" s="93" t="n"/>
    </row>
    <row r="35" ht="15.75" customHeight="1">
      <c r="A35" s="82" t="inlineStr">
        <is>
          <t>SACOLA G NATAL</t>
        </is>
      </c>
      <c r="B35" s="80" t="n">
        <v>100</v>
      </c>
      <c r="C35" s="80" t="n">
        <v>0</v>
      </c>
      <c r="D35" s="80" t="n">
        <v>100</v>
      </c>
      <c r="E35" s="80" t="n">
        <v>40</v>
      </c>
      <c r="F35" s="93">
        <f>B35+C35+D35+E35</f>
        <v/>
      </c>
      <c r="G35" s="80" t="n">
        <v>20</v>
      </c>
      <c r="H35" s="80" t="n">
        <v>0</v>
      </c>
      <c r="I35" s="80" t="n">
        <v>0</v>
      </c>
      <c r="J35" s="80" t="n">
        <v>0</v>
      </c>
      <c r="K35" s="80" t="n">
        <v>0</v>
      </c>
      <c r="L35" s="93">
        <f>G35+H35+I35+J35+K35</f>
        <v/>
      </c>
      <c r="M35" s="80" t="n">
        <v>0</v>
      </c>
      <c r="N35" s="80" t="n">
        <v>0</v>
      </c>
      <c r="O35" s="80" t="n">
        <v>40</v>
      </c>
      <c r="P35" s="80" t="n">
        <v>0</v>
      </c>
      <c r="Q35" s="93">
        <f>M35+N35+O35+P35</f>
        <v/>
      </c>
      <c r="R35" s="80" t="n">
        <v>0</v>
      </c>
      <c r="S35" s="93" t="n"/>
    </row>
    <row r="36" ht="15.75" customHeight="1">
      <c r="A36" s="83" t="inlineStr">
        <is>
          <t>AMARRADINHO P NATAL</t>
        </is>
      </c>
      <c r="B36" s="80" t="n">
        <v>20</v>
      </c>
      <c r="C36" s="80" t="n">
        <v>0</v>
      </c>
      <c r="D36" s="80" t="n">
        <v>80</v>
      </c>
      <c r="E36" s="80" t="n">
        <v>100</v>
      </c>
      <c r="F36" s="93">
        <f>B36+C36+D36+E36</f>
        <v/>
      </c>
      <c r="G36" s="80" t="n">
        <v>0</v>
      </c>
      <c r="H36" s="80" t="n">
        <v>0</v>
      </c>
      <c r="I36" s="80" t="n">
        <v>0</v>
      </c>
      <c r="J36" s="80" t="n">
        <v>0</v>
      </c>
      <c r="K36" s="80" t="n">
        <v>0</v>
      </c>
      <c r="L36" s="93">
        <f>G36+H36+I36+J36+K36</f>
        <v/>
      </c>
      <c r="M36" s="80" t="n">
        <v>0</v>
      </c>
      <c r="N36" s="80" t="n">
        <v>0</v>
      </c>
      <c r="O36" s="80" t="n">
        <v>0</v>
      </c>
      <c r="P36" s="80" t="n">
        <v>0</v>
      </c>
      <c r="Q36" s="93">
        <f>M36+N36+O36+P36</f>
        <v/>
      </c>
      <c r="R36" s="80" t="n">
        <v>0</v>
      </c>
      <c r="S36" s="93" t="n"/>
    </row>
    <row r="37" ht="15.75" customHeight="1">
      <c r="A37" s="84" t="inlineStr">
        <is>
          <t>AMARRADINHO M NATAL</t>
        </is>
      </c>
      <c r="B37" s="80" t="n">
        <v>30</v>
      </c>
      <c r="C37" s="80" t="n">
        <v>0</v>
      </c>
      <c r="D37" s="80" t="n">
        <v>40</v>
      </c>
      <c r="E37" s="80" t="n">
        <v>80</v>
      </c>
      <c r="F37" s="93">
        <f>B37+C37+D37+E37</f>
        <v/>
      </c>
      <c r="G37" s="80" t="n">
        <v>0</v>
      </c>
      <c r="H37" s="80" t="n">
        <v>0</v>
      </c>
      <c r="I37" s="80" t="n">
        <v>0</v>
      </c>
      <c r="J37" s="80" t="n">
        <v>0</v>
      </c>
      <c r="K37" s="80" t="n">
        <v>0</v>
      </c>
      <c r="L37" s="93">
        <f>G37+H37+I37+J37+K37</f>
        <v/>
      </c>
      <c r="M37" s="80" t="n">
        <v>0</v>
      </c>
      <c r="N37" s="80" t="n">
        <v>0</v>
      </c>
      <c r="O37" s="80" t="n">
        <v>0</v>
      </c>
      <c r="P37" s="80" t="n">
        <v>0</v>
      </c>
      <c r="Q37" s="93">
        <f>M37+N37+O37+P37</f>
        <v/>
      </c>
      <c r="R37" s="80" t="n">
        <v>0</v>
      </c>
      <c r="S37" s="93" t="n"/>
    </row>
    <row r="38" ht="15.75" customHeight="1">
      <c r="A38" s="84" t="inlineStr">
        <is>
          <t>PAPEL DE SEDA NATAL</t>
        </is>
      </c>
      <c r="B38" s="80" t="n">
        <v>3</v>
      </c>
      <c r="C38" s="80" t="n">
        <v>0</v>
      </c>
      <c r="D38" s="80" t="n">
        <v>6</v>
      </c>
      <c r="E38" s="80" t="n">
        <v>6</v>
      </c>
      <c r="F38" s="93">
        <f>B38+C38+D38+E38</f>
        <v/>
      </c>
      <c r="G38" s="80" t="n">
        <v>0</v>
      </c>
      <c r="H38" s="80" t="n">
        <v>0</v>
      </c>
      <c r="I38" s="80" t="n">
        <v>0</v>
      </c>
      <c r="J38" s="80" t="n">
        <v>0</v>
      </c>
      <c r="K38" s="80" t="n">
        <v>0</v>
      </c>
      <c r="L38" s="93">
        <f>G38+H38+I38+J38+K38</f>
        <v/>
      </c>
      <c r="M38" s="80" t="n">
        <v>0</v>
      </c>
      <c r="N38" s="80" t="n">
        <v>0</v>
      </c>
      <c r="O38" s="80" t="n">
        <v>0</v>
      </c>
      <c r="P38" s="80" t="n">
        <v>0</v>
      </c>
      <c r="Q38" s="93">
        <f>M38+N38+O38+P38</f>
        <v/>
      </c>
      <c r="R38" s="80" t="n">
        <v>0</v>
      </c>
      <c r="S38" s="93" t="n"/>
    </row>
    <row r="39" ht="15.75" customHeight="1">
      <c r="A39" s="84" t="inlineStr">
        <is>
          <t>TAG NATAL</t>
        </is>
      </c>
      <c r="B39" s="80" t="n">
        <v>1</v>
      </c>
      <c r="C39" s="80" t="n">
        <v>0</v>
      </c>
      <c r="D39" s="80" t="n">
        <v>3</v>
      </c>
      <c r="E39" s="80" t="n">
        <v>6</v>
      </c>
      <c r="F39" s="93">
        <f>B39+C39+D39+E39</f>
        <v/>
      </c>
      <c r="G39" s="80" t="n">
        <v>0</v>
      </c>
      <c r="H39" s="80" t="n">
        <v>0</v>
      </c>
      <c r="I39" s="80" t="n">
        <v>0</v>
      </c>
      <c r="J39" s="80" t="n">
        <v>0</v>
      </c>
      <c r="K39" s="80" t="n">
        <v>0</v>
      </c>
      <c r="L39" s="93">
        <f>G39+H39+I39+J39+K39</f>
        <v/>
      </c>
      <c r="M39" s="80" t="n">
        <v>0</v>
      </c>
      <c r="N39" s="80" t="n">
        <v>0</v>
      </c>
      <c r="O39" s="80" t="n">
        <v>0</v>
      </c>
      <c r="P39" s="80" t="n">
        <v>0</v>
      </c>
      <c r="Q39" s="93">
        <f>M39+N39+O39+P39</f>
        <v/>
      </c>
      <c r="R39" s="80" t="n">
        <v>0</v>
      </c>
      <c r="S39" s="93" t="n"/>
    </row>
    <row r="40" ht="15.75" customHeight="1">
      <c r="A40" s="84" t="inlineStr">
        <is>
          <t>ADESIVOS NATAL</t>
        </is>
      </c>
      <c r="B40" s="80" t="n">
        <v>110</v>
      </c>
      <c r="C40" s="80" t="n">
        <v>0</v>
      </c>
      <c r="D40" s="80" t="n">
        <v>20</v>
      </c>
      <c r="E40" s="80" t="n">
        <v>20</v>
      </c>
      <c r="F40" s="93">
        <f>B40+C40+D40+E40</f>
        <v/>
      </c>
      <c r="G40" s="80" t="n">
        <v>0</v>
      </c>
      <c r="H40" s="80" t="n">
        <v>0</v>
      </c>
      <c r="I40" s="80" t="n">
        <v>0</v>
      </c>
      <c r="J40" s="80" t="n">
        <v>0</v>
      </c>
      <c r="K40" s="80" t="n">
        <v>0</v>
      </c>
      <c r="L40" s="93">
        <f>G40+H40+I40+J40+K40</f>
        <v/>
      </c>
      <c r="M40" s="80" t="n">
        <v>0</v>
      </c>
      <c r="N40" s="80" t="n">
        <v>0</v>
      </c>
      <c r="O40" s="80" t="n">
        <v>0</v>
      </c>
      <c r="P40" s="80" t="n">
        <v>0</v>
      </c>
      <c r="Q40" s="93">
        <f>M40+N40+O40+P40</f>
        <v/>
      </c>
      <c r="R40" s="80" t="n">
        <v>0</v>
      </c>
      <c r="S40" s="93" t="n"/>
    </row>
    <row r="41" ht="15.75" customHeight="1">
      <c r="A41" s="94" t="inlineStr">
        <is>
          <t>TOTAL DE SACOLAS</t>
        </is>
      </c>
      <c r="B41" s="95">
        <f>SUM(B32:B35)</f>
        <v/>
      </c>
      <c r="C41" s="95">
        <f>SUM(C32:C35)</f>
        <v/>
      </c>
      <c r="D41" s="95">
        <f>SUM(D32:D35)</f>
        <v/>
      </c>
      <c r="E41" s="95">
        <f>SUM(E32:E35)</f>
        <v/>
      </c>
      <c r="F41" s="95">
        <f>SUM(F32:F35)</f>
        <v/>
      </c>
      <c r="G41" s="95">
        <f>SUM(G32:G36)</f>
        <v/>
      </c>
      <c r="H41" s="95">
        <f>SUM(H32:H36)</f>
        <v/>
      </c>
      <c r="I41" s="95">
        <f>SUM(I32:I36)</f>
        <v/>
      </c>
      <c r="J41" s="95">
        <f>SUM(J32:J36)</f>
        <v/>
      </c>
      <c r="K41" s="95">
        <f>SUM(K32:K36)</f>
        <v/>
      </c>
      <c r="L41" s="95">
        <f>SUM(L32:L36)</f>
        <v/>
      </c>
      <c r="M41" s="95">
        <f>SUM(M32:M36)</f>
        <v/>
      </c>
      <c r="N41" s="95">
        <f>SUM(N32:N36)</f>
        <v/>
      </c>
      <c r="O41" s="95">
        <f>SUM(O32:O36)</f>
        <v/>
      </c>
      <c r="P41" s="95">
        <f>SUM(P32:P36)</f>
        <v/>
      </c>
      <c r="Q41" s="95">
        <f>SUM(Q32:Q36)</f>
        <v/>
      </c>
      <c r="R41" s="95">
        <f>SUM(R32:R36)</f>
        <v/>
      </c>
      <c r="S41" s="95">
        <f>SUM(S32:S36)</f>
        <v/>
      </c>
    </row>
    <row r="42" ht="15.75" customHeight="1">
      <c r="A42" s="98" t="n"/>
      <c r="B42" s="99" t="n"/>
      <c r="C42" s="99" t="n"/>
      <c r="D42" s="99" t="n"/>
      <c r="E42" s="99" t="n"/>
      <c r="F42" s="99" t="n"/>
      <c r="G42" s="99" t="n"/>
      <c r="H42" s="99" t="n"/>
      <c r="I42" s="99" t="n"/>
      <c r="J42" s="99" t="n"/>
      <c r="K42" s="99" t="n"/>
      <c r="L42" s="99" t="n"/>
      <c r="M42" s="99" t="n"/>
      <c r="N42" s="99" t="n"/>
      <c r="O42" s="99" t="n"/>
      <c r="P42" s="99" t="n"/>
      <c r="Q42" s="99" t="n"/>
      <c r="R42" s="99" t="n"/>
      <c r="S42" s="99" t="n"/>
    </row>
    <row r="43" ht="15.75" customHeight="1">
      <c r="A43" s="545" t="inlineStr">
        <is>
          <t>GASTO DE SACOLAS E ITENS DOADOS NATAL/2022 - MENSAIS</t>
        </is>
      </c>
    </row>
    <row r="44" ht="15.75" customHeight="1">
      <c r="A44" s="741" t="inlineStr">
        <is>
          <t>PERUÍBE</t>
        </is>
      </c>
      <c r="B44" s="741" t="inlineStr">
        <is>
          <t>DEZEMBRO</t>
        </is>
      </c>
      <c r="C44" s="736" t="n"/>
      <c r="D44" s="736" t="n"/>
      <c r="E44" s="736" t="n"/>
      <c r="F44" s="737" t="n"/>
      <c r="G44" s="741" t="inlineStr">
        <is>
          <t>JANEIRO</t>
        </is>
      </c>
      <c r="H44" s="736" t="n"/>
      <c r="I44" s="736" t="n"/>
      <c r="J44" s="736" t="n"/>
      <c r="K44" s="736" t="n"/>
      <c r="L44" s="737" t="n"/>
      <c r="M44" s="741" t="inlineStr">
        <is>
          <t>FEVEREIRO</t>
        </is>
      </c>
      <c r="N44" s="736" t="n"/>
      <c r="O44" s="736" t="n"/>
      <c r="P44" s="736" t="n"/>
      <c r="Q44" s="737" t="n"/>
      <c r="R44" s="741" t="inlineStr">
        <is>
          <t>MARÇO</t>
        </is>
      </c>
      <c r="S44" s="737" t="n"/>
    </row>
    <row r="45" ht="15.75" customHeight="1">
      <c r="A45" s="738" t="n"/>
      <c r="B45" s="90" t="n">
        <v>44900</v>
      </c>
      <c r="C45" s="90" t="n">
        <v>44907</v>
      </c>
      <c r="D45" s="90" t="n">
        <v>44914</v>
      </c>
      <c r="E45" s="90" t="n">
        <v>44921</v>
      </c>
      <c r="F45" s="91" t="inlineStr">
        <is>
          <t>USOU</t>
        </is>
      </c>
      <c r="G45" s="90" t="n">
        <v>44563</v>
      </c>
      <c r="H45" s="90" t="n">
        <v>44570</v>
      </c>
      <c r="I45" s="90" t="n">
        <v>44577</v>
      </c>
      <c r="J45" s="90" t="n">
        <v>44584</v>
      </c>
      <c r="K45" s="90" t="n">
        <v>44591</v>
      </c>
      <c r="L45" s="91" t="inlineStr">
        <is>
          <t>USOU</t>
        </is>
      </c>
      <c r="M45" s="90" t="n">
        <v>44598</v>
      </c>
      <c r="N45" s="90" t="n">
        <v>44605</v>
      </c>
      <c r="O45" s="90" t="n">
        <v>44612</v>
      </c>
      <c r="P45" s="90" t="n">
        <v>44619</v>
      </c>
      <c r="Q45" s="91" t="inlineStr">
        <is>
          <t>USOU</t>
        </is>
      </c>
      <c r="R45" s="90" t="n">
        <v>44626</v>
      </c>
      <c r="S45" s="91" t="inlineStr">
        <is>
          <t>USOU</t>
        </is>
      </c>
    </row>
    <row r="46" ht="15.75" customHeight="1">
      <c r="A46" s="79" t="inlineStr">
        <is>
          <t>SACOLA PP NATAL</t>
        </is>
      </c>
      <c r="B46" s="92" t="n">
        <v>300</v>
      </c>
      <c r="C46" s="80" t="n">
        <v>0</v>
      </c>
      <c r="D46" s="80" t="n">
        <v>300</v>
      </c>
      <c r="E46" s="80" t="n">
        <v>600</v>
      </c>
      <c r="F46" s="93">
        <f>B46+C46+D46+E46</f>
        <v/>
      </c>
      <c r="G46" s="80" t="n">
        <v>0</v>
      </c>
      <c r="H46" s="80" t="n">
        <v>0</v>
      </c>
      <c r="I46" s="80" t="n">
        <v>0</v>
      </c>
      <c r="J46" s="80" t="n">
        <v>0</v>
      </c>
      <c r="K46" s="80" t="n">
        <v>0</v>
      </c>
      <c r="L46" s="93">
        <f>G46+H46+I46+J46+K46</f>
        <v/>
      </c>
      <c r="M46" s="80" t="n">
        <v>0</v>
      </c>
      <c r="N46" s="80" t="n">
        <v>0</v>
      </c>
      <c r="O46" s="80" t="n">
        <v>0</v>
      </c>
      <c r="P46" s="80" t="n">
        <v>0</v>
      </c>
      <c r="Q46" s="93">
        <f>M46+N46+O46+P46</f>
        <v/>
      </c>
      <c r="R46" s="80" t="n">
        <v>0</v>
      </c>
      <c r="S46" s="93" t="n"/>
    </row>
    <row r="47" ht="15.75" customHeight="1">
      <c r="A47" s="82" t="inlineStr">
        <is>
          <t>SACOLA P NATAL</t>
        </is>
      </c>
      <c r="B47" s="80" t="n">
        <v>200</v>
      </c>
      <c r="C47" s="80" t="n">
        <v>200</v>
      </c>
      <c r="D47" s="80" t="n">
        <v>200</v>
      </c>
      <c r="E47" s="80" t="n">
        <v>1000</v>
      </c>
      <c r="F47" s="93">
        <f>B47+C47+D47+E47</f>
        <v/>
      </c>
      <c r="G47" s="80" t="n">
        <v>0</v>
      </c>
      <c r="H47" s="80" t="n">
        <v>0</v>
      </c>
      <c r="I47" s="80" t="n">
        <v>0</v>
      </c>
      <c r="J47" s="80" t="n">
        <v>0</v>
      </c>
      <c r="K47" s="80" t="n">
        <v>0</v>
      </c>
      <c r="L47" s="93">
        <f>G47+H47+I47+J47+K47</f>
        <v/>
      </c>
      <c r="M47" s="80" t="n">
        <v>0</v>
      </c>
      <c r="N47" s="80" t="n">
        <v>0</v>
      </c>
      <c r="O47" s="80" t="n">
        <v>0</v>
      </c>
      <c r="P47" s="80" t="n">
        <v>0</v>
      </c>
      <c r="Q47" s="93">
        <f>M47+N47+O47+P47</f>
        <v/>
      </c>
      <c r="R47" s="80" t="n">
        <v>0</v>
      </c>
      <c r="S47" s="93" t="n"/>
    </row>
    <row r="48" ht="15.75" customHeight="1">
      <c r="A48" s="82" t="inlineStr">
        <is>
          <t>SACOLA M NATAL</t>
        </is>
      </c>
      <c r="B48" s="80" t="n">
        <v>200</v>
      </c>
      <c r="C48" s="80" t="n">
        <v>200</v>
      </c>
      <c r="D48" s="80" t="n">
        <v>400</v>
      </c>
      <c r="E48" s="80" t="n">
        <v>800</v>
      </c>
      <c r="F48" s="93">
        <f>B48+C48+D48+E48</f>
        <v/>
      </c>
      <c r="G48" s="80" t="n">
        <v>0</v>
      </c>
      <c r="H48" s="80" t="n">
        <v>0</v>
      </c>
      <c r="I48" s="80" t="n">
        <v>0</v>
      </c>
      <c r="J48" s="80" t="n">
        <v>0</v>
      </c>
      <c r="K48" s="80" t="n">
        <v>0</v>
      </c>
      <c r="L48" s="93">
        <f>G48+H48+I48+J48+K48</f>
        <v/>
      </c>
      <c r="M48" s="80" t="n">
        <v>0</v>
      </c>
      <c r="N48" s="80" t="n">
        <v>0</v>
      </c>
      <c r="O48" s="80" t="n">
        <v>0</v>
      </c>
      <c r="P48" s="80" t="n">
        <v>0</v>
      </c>
      <c r="Q48" s="93">
        <f>M48+N48+O48+P48</f>
        <v/>
      </c>
      <c r="R48" s="80" t="n">
        <v>0</v>
      </c>
      <c r="S48" s="93" t="n"/>
    </row>
    <row r="49" ht="15.75" customHeight="1">
      <c r="A49" s="82" t="inlineStr">
        <is>
          <t>SACOLA G NATAL</t>
        </is>
      </c>
      <c r="B49" s="80" t="n">
        <v>100</v>
      </c>
      <c r="C49" s="80" t="n">
        <v>0</v>
      </c>
      <c r="D49" s="80" t="n">
        <v>0</v>
      </c>
      <c r="E49" s="80" t="n">
        <v>100</v>
      </c>
      <c r="F49" s="93">
        <f>B49+C49+D49+E49</f>
        <v/>
      </c>
      <c r="G49" s="80" t="n">
        <v>0</v>
      </c>
      <c r="H49" s="80" t="n">
        <v>100</v>
      </c>
      <c r="I49" s="80" t="n">
        <v>0</v>
      </c>
      <c r="J49" s="80" t="n">
        <v>0</v>
      </c>
      <c r="K49" s="80" t="n">
        <v>0</v>
      </c>
      <c r="L49" s="93">
        <f>G49+H49+I49+J49+K49</f>
        <v/>
      </c>
      <c r="M49" s="80" t="n">
        <v>0</v>
      </c>
      <c r="N49" s="80" t="n">
        <v>0</v>
      </c>
      <c r="O49" s="80" t="n">
        <v>0</v>
      </c>
      <c r="P49" s="80" t="n">
        <v>0</v>
      </c>
      <c r="Q49" s="93">
        <f>M49+N49+O49+P49</f>
        <v/>
      </c>
      <c r="R49" s="80" t="n">
        <v>0</v>
      </c>
      <c r="S49" s="93" t="n"/>
    </row>
    <row r="50" ht="15.75" customHeight="1">
      <c r="A50" s="83" t="inlineStr">
        <is>
          <t>AMARRADINHO P NATAL</t>
        </is>
      </c>
      <c r="B50" s="80" t="n">
        <v>0</v>
      </c>
      <c r="C50" s="80" t="n">
        <v>0</v>
      </c>
      <c r="D50" s="80" t="n">
        <v>200</v>
      </c>
      <c r="E50" s="80" t="n">
        <v>0</v>
      </c>
      <c r="F50" s="93">
        <f>B50+C50+D50+E50</f>
        <v/>
      </c>
      <c r="G50" s="80" t="n">
        <v>0</v>
      </c>
      <c r="H50" s="80" t="n">
        <v>0</v>
      </c>
      <c r="I50" s="80" t="n">
        <v>0</v>
      </c>
      <c r="J50" s="80" t="n">
        <v>0</v>
      </c>
      <c r="K50" s="80" t="n">
        <v>0</v>
      </c>
      <c r="L50" s="93">
        <f>G50+H50+I50+J50+K50</f>
        <v/>
      </c>
      <c r="M50" s="80" t="n">
        <v>0</v>
      </c>
      <c r="N50" s="80" t="n">
        <v>0</v>
      </c>
      <c r="O50" s="80" t="n">
        <v>0</v>
      </c>
      <c r="P50" s="80" t="n">
        <v>0</v>
      </c>
      <c r="Q50" s="93">
        <f>M50+N50+O50+P50</f>
        <v/>
      </c>
      <c r="R50" s="80" t="n">
        <v>0</v>
      </c>
      <c r="S50" s="93" t="n"/>
    </row>
    <row r="51" ht="18" customHeight="1">
      <c r="A51" s="84" t="inlineStr">
        <is>
          <t>AMARRADINHO M NATAL</t>
        </is>
      </c>
      <c r="B51" s="80" t="n">
        <v>0</v>
      </c>
      <c r="C51" s="80" t="n">
        <v>0</v>
      </c>
      <c r="D51" s="80" t="n">
        <v>150</v>
      </c>
      <c r="E51" s="80" t="n">
        <v>0</v>
      </c>
      <c r="F51" s="93">
        <f>B51+C51+D51+E51</f>
        <v/>
      </c>
      <c r="G51" s="80" t="n">
        <v>0</v>
      </c>
      <c r="H51" s="80" t="n">
        <v>0</v>
      </c>
      <c r="I51" s="80" t="n">
        <v>0</v>
      </c>
      <c r="J51" s="80" t="n">
        <v>0</v>
      </c>
      <c r="K51" s="80" t="n">
        <v>0</v>
      </c>
      <c r="L51" s="93">
        <f>G51+H51+I51+J51+K51</f>
        <v/>
      </c>
      <c r="M51" s="80" t="n">
        <v>0</v>
      </c>
      <c r="N51" s="80" t="n">
        <v>0</v>
      </c>
      <c r="O51" s="80" t="n">
        <v>0</v>
      </c>
      <c r="P51" s="80" t="n">
        <v>0</v>
      </c>
      <c r="Q51" s="93">
        <f>M51+N51+O51+P51</f>
        <v/>
      </c>
      <c r="R51" s="80" t="n">
        <v>0</v>
      </c>
      <c r="S51" s="93" t="n"/>
    </row>
    <row r="52" ht="18" customHeight="1">
      <c r="A52" s="84" t="inlineStr">
        <is>
          <t>PAPEL DE SEDA NATAL</t>
        </is>
      </c>
      <c r="B52" s="80" t="n">
        <v>1</v>
      </c>
      <c r="C52" s="80" t="n">
        <v>0</v>
      </c>
      <c r="D52" s="80" t="n">
        <v>7</v>
      </c>
      <c r="E52" s="80" t="n">
        <v>6</v>
      </c>
      <c r="F52" s="93">
        <f>B52+C52+D52+E52</f>
        <v/>
      </c>
      <c r="G52" s="80" t="n">
        <v>0</v>
      </c>
      <c r="H52" s="80" t="n">
        <v>0</v>
      </c>
      <c r="I52" s="80" t="n">
        <v>0</v>
      </c>
      <c r="J52" s="80" t="n">
        <v>0</v>
      </c>
      <c r="K52" s="80" t="n">
        <v>0</v>
      </c>
      <c r="L52" s="93">
        <f>G52+H52+I52+J52+K52</f>
        <v/>
      </c>
      <c r="M52" s="80" t="n">
        <v>0</v>
      </c>
      <c r="N52" s="80" t="n">
        <v>0</v>
      </c>
      <c r="O52" s="80" t="n">
        <v>0</v>
      </c>
      <c r="P52" s="80" t="n">
        <v>0</v>
      </c>
      <c r="Q52" s="93">
        <f>M52+N52+O52+P52</f>
        <v/>
      </c>
      <c r="R52" s="80" t="n">
        <v>0</v>
      </c>
      <c r="S52" s="93" t="n"/>
    </row>
    <row r="53" ht="15.75" customHeight="1">
      <c r="A53" s="84" t="inlineStr">
        <is>
          <t>TAG NATAL</t>
        </is>
      </c>
      <c r="B53" s="80" t="n">
        <v>1</v>
      </c>
      <c r="C53" s="80" t="n">
        <v>2</v>
      </c>
      <c r="D53" s="80" t="n">
        <v>2</v>
      </c>
      <c r="E53" s="80" t="n">
        <v>5</v>
      </c>
      <c r="F53" s="93">
        <f>B53+C53+D53+E53</f>
        <v/>
      </c>
      <c r="G53" s="80" t="n">
        <v>0</v>
      </c>
      <c r="H53" s="80" t="n">
        <v>0</v>
      </c>
      <c r="I53" s="80" t="n">
        <v>0</v>
      </c>
      <c r="J53" s="80" t="n">
        <v>0</v>
      </c>
      <c r="K53" s="80" t="n">
        <v>0</v>
      </c>
      <c r="L53" s="93">
        <f>G53+H53+I53+J53+K53</f>
        <v/>
      </c>
      <c r="M53" s="80" t="n">
        <v>0</v>
      </c>
      <c r="N53" s="80" t="n">
        <v>0</v>
      </c>
      <c r="O53" s="80" t="n">
        <v>0</v>
      </c>
      <c r="P53" s="80" t="n">
        <v>0</v>
      </c>
      <c r="Q53" s="93">
        <f>M53+N53+O53+P53</f>
        <v/>
      </c>
      <c r="R53" s="80" t="n">
        <v>0</v>
      </c>
      <c r="S53" s="93" t="n"/>
    </row>
    <row r="54" ht="15.75" customHeight="1">
      <c r="A54" s="84" t="inlineStr">
        <is>
          <t>ADESIVOS NATAL</t>
        </is>
      </c>
      <c r="B54" s="80" t="n">
        <v>0</v>
      </c>
      <c r="C54" s="80" t="n">
        <v>0</v>
      </c>
      <c r="D54" s="80" t="n">
        <v>150</v>
      </c>
      <c r="E54" s="80" t="n">
        <v>0</v>
      </c>
      <c r="F54" s="93">
        <f>B54+C54+D54+E54</f>
        <v/>
      </c>
      <c r="G54" s="80" t="n">
        <v>0</v>
      </c>
      <c r="H54" s="80" t="n">
        <v>0</v>
      </c>
      <c r="I54" s="80" t="n">
        <v>0</v>
      </c>
      <c r="J54" s="80" t="n">
        <v>0</v>
      </c>
      <c r="K54" s="80" t="n">
        <v>0</v>
      </c>
      <c r="L54" s="93">
        <f>G54+H54+I54+J54+K54</f>
        <v/>
      </c>
      <c r="M54" s="80" t="n">
        <v>0</v>
      </c>
      <c r="N54" s="80" t="n">
        <v>0</v>
      </c>
      <c r="O54" s="80" t="n">
        <v>0</v>
      </c>
      <c r="P54" s="80" t="n">
        <v>0</v>
      </c>
      <c r="Q54" s="93">
        <f>M54+N54+O54+P54</f>
        <v/>
      </c>
      <c r="R54" s="80" t="n">
        <v>0</v>
      </c>
      <c r="S54" s="93" t="n"/>
    </row>
    <row r="55" ht="15.75" customHeight="1">
      <c r="A55" s="94" t="inlineStr">
        <is>
          <t>TOTAL DE SACOLAS</t>
        </is>
      </c>
      <c r="B55" s="95">
        <f>SUM(B46:B49)</f>
        <v/>
      </c>
      <c r="C55" s="95">
        <f>SUM(C46:C49)</f>
        <v/>
      </c>
      <c r="D55" s="95">
        <f>SUM(D46:D49)</f>
        <v/>
      </c>
      <c r="E55" s="95">
        <f>SUM(E46:E49)</f>
        <v/>
      </c>
      <c r="F55" s="95">
        <f>SUM(F46:F49)</f>
        <v/>
      </c>
      <c r="G55" s="95">
        <f>SUM(G46:G50)</f>
        <v/>
      </c>
      <c r="H55" s="95">
        <f>SUM(H46:H50)</f>
        <v/>
      </c>
      <c r="I55" s="95">
        <f>SUM(I46:I50)</f>
        <v/>
      </c>
      <c r="J55" s="95">
        <f>SUM(J46:J50)</f>
        <v/>
      </c>
      <c r="K55" s="95">
        <f>SUM(K46:K50)</f>
        <v/>
      </c>
      <c r="L55" s="95">
        <f>SUM(L46:L50)</f>
        <v/>
      </c>
      <c r="M55" s="95">
        <f>SUM(M46:M50)</f>
        <v/>
      </c>
      <c r="N55" s="95">
        <f>SUM(N46:N50)</f>
        <v/>
      </c>
      <c r="O55" s="95">
        <f>SUM(O46:O50)</f>
        <v/>
      </c>
      <c r="P55" s="95">
        <f>SUM(P46:P50)</f>
        <v/>
      </c>
      <c r="Q55" s="95">
        <f>SUM(Q46:Q50)</f>
        <v/>
      </c>
      <c r="R55" s="95">
        <f>SUM(R46:R50)</f>
        <v/>
      </c>
      <c r="S55" s="95">
        <f>SUM(S46:S50)</f>
        <v/>
      </c>
    </row>
    <row r="56" ht="15.75" customHeight="1">
      <c r="A56" s="98" t="n"/>
      <c r="B56" s="99" t="n"/>
      <c r="C56" s="99" t="n"/>
      <c r="D56" s="99" t="n"/>
      <c r="E56" s="99" t="n"/>
      <c r="F56" s="99" t="n"/>
      <c r="G56" s="99" t="n"/>
      <c r="H56" s="99" t="n"/>
      <c r="I56" s="99" t="n"/>
      <c r="J56" s="99" t="n"/>
      <c r="K56" s="99" t="n"/>
      <c r="L56" s="99" t="n"/>
      <c r="M56" s="99" t="n"/>
      <c r="N56" s="99" t="n"/>
      <c r="O56" s="99" t="n"/>
      <c r="P56" s="99" t="n"/>
      <c r="Q56" s="99" t="n"/>
      <c r="R56" s="99" t="n"/>
      <c r="S56" s="99" t="n"/>
    </row>
    <row r="57" ht="15.75" customHeight="1">
      <c r="A57" s="545" t="inlineStr">
        <is>
          <t>GASTO DE SACOLAS E ITENS DOADOS NATAL/2022 - MENSAIS</t>
        </is>
      </c>
    </row>
    <row r="58" ht="15.75" customHeight="1">
      <c r="A58" s="741" t="inlineStr">
        <is>
          <t>MONGAGUÁ</t>
        </is>
      </c>
      <c r="B58" s="741" t="inlineStr">
        <is>
          <t>DEZEMBRO</t>
        </is>
      </c>
      <c r="C58" s="736" t="n"/>
      <c r="D58" s="736" t="n"/>
      <c r="E58" s="736" t="n"/>
      <c r="F58" s="737" t="n"/>
      <c r="G58" s="741" t="inlineStr">
        <is>
          <t>JANEIRO</t>
        </is>
      </c>
      <c r="H58" s="736" t="n"/>
      <c r="I58" s="736" t="n"/>
      <c r="J58" s="736" t="n"/>
      <c r="K58" s="736" t="n"/>
      <c r="L58" s="737" t="n"/>
      <c r="M58" s="741" t="inlineStr">
        <is>
          <t>FEVEREIRO</t>
        </is>
      </c>
      <c r="N58" s="736" t="n"/>
      <c r="O58" s="736" t="n"/>
      <c r="P58" s="736" t="n"/>
      <c r="Q58" s="737" t="n"/>
      <c r="R58" s="741" t="inlineStr">
        <is>
          <t>MARÇO</t>
        </is>
      </c>
      <c r="S58" s="737" t="n"/>
    </row>
    <row r="59" ht="15.75" customHeight="1">
      <c r="A59" s="738" t="n"/>
      <c r="B59" s="90" t="n">
        <v>44900</v>
      </c>
      <c r="C59" s="90" t="n">
        <v>44907</v>
      </c>
      <c r="D59" s="90" t="n">
        <v>44914</v>
      </c>
      <c r="E59" s="90" t="n">
        <v>44921</v>
      </c>
      <c r="F59" s="91" t="inlineStr">
        <is>
          <t>USOU</t>
        </is>
      </c>
      <c r="G59" s="90" t="n">
        <v>44563</v>
      </c>
      <c r="H59" s="90" t="n">
        <v>44570</v>
      </c>
      <c r="I59" s="90" t="n">
        <v>44577</v>
      </c>
      <c r="J59" s="90" t="n">
        <v>44584</v>
      </c>
      <c r="K59" s="90" t="n">
        <v>44591</v>
      </c>
      <c r="L59" s="91" t="inlineStr">
        <is>
          <t>USOU</t>
        </is>
      </c>
      <c r="M59" s="90" t="n">
        <v>44598</v>
      </c>
      <c r="N59" s="90" t="n">
        <v>44605</v>
      </c>
      <c r="O59" s="90" t="n">
        <v>44612</v>
      </c>
      <c r="P59" s="90" t="n">
        <v>44619</v>
      </c>
      <c r="Q59" s="91" t="inlineStr">
        <is>
          <t>USOU</t>
        </is>
      </c>
      <c r="R59" s="90" t="n">
        <v>44626</v>
      </c>
      <c r="S59" s="91" t="inlineStr">
        <is>
          <t>USOU</t>
        </is>
      </c>
    </row>
    <row r="60" ht="15.75" customHeight="1">
      <c r="A60" s="79" t="inlineStr">
        <is>
          <t>SACOLA PP NATAL</t>
        </is>
      </c>
      <c r="B60" s="92" t="n">
        <v>120</v>
      </c>
      <c r="C60" s="80" t="n">
        <v>10</v>
      </c>
      <c r="D60" s="80" t="n">
        <v>80</v>
      </c>
      <c r="E60" s="80" t="n">
        <v>320</v>
      </c>
      <c r="F60" s="93">
        <f>B60+C60+D60+E60</f>
        <v/>
      </c>
      <c r="G60" s="80" t="n">
        <v>70</v>
      </c>
      <c r="H60" s="80" t="n">
        <v>120</v>
      </c>
      <c r="I60" s="80" t="n">
        <v>50</v>
      </c>
      <c r="J60" s="80" t="n">
        <v>90</v>
      </c>
      <c r="K60" s="80" t="n">
        <v>40</v>
      </c>
      <c r="L60" s="93">
        <f>G60+H60+I60+J60+K60</f>
        <v/>
      </c>
      <c r="M60" s="80" t="n">
        <v>0</v>
      </c>
      <c r="N60" s="80" t="n">
        <v>0</v>
      </c>
      <c r="O60" s="80" t="n">
        <v>0</v>
      </c>
      <c r="P60" s="80" t="n">
        <v>0</v>
      </c>
      <c r="Q60" s="93">
        <f>M60+N60+O60+P60</f>
        <v/>
      </c>
      <c r="R60" s="80" t="n">
        <v>0</v>
      </c>
      <c r="S60" s="93" t="n"/>
    </row>
    <row r="61" ht="15.75" customHeight="1">
      <c r="A61" s="82" t="inlineStr">
        <is>
          <t>SACOLA P NATAL</t>
        </is>
      </c>
      <c r="B61" s="80" t="n">
        <v>140</v>
      </c>
      <c r="C61" s="80" t="n">
        <v>250</v>
      </c>
      <c r="D61" s="80" t="n">
        <v>370</v>
      </c>
      <c r="E61" s="80" t="n">
        <v>240</v>
      </c>
      <c r="F61" s="93">
        <f>B61+C61+D61+E61</f>
        <v/>
      </c>
      <c r="G61" s="80" t="n">
        <v>0</v>
      </c>
      <c r="H61" s="80" t="n">
        <v>0</v>
      </c>
      <c r="I61" s="80" t="n">
        <v>0</v>
      </c>
      <c r="J61" s="80" t="n">
        <v>0</v>
      </c>
      <c r="K61" s="80" t="n">
        <v>0</v>
      </c>
      <c r="L61" s="93">
        <f>G61+H61+I61+J61+K61</f>
        <v/>
      </c>
      <c r="M61" s="80" t="n">
        <v>0</v>
      </c>
      <c r="N61" s="80" t="n">
        <v>0</v>
      </c>
      <c r="O61" s="80" t="n">
        <v>0</v>
      </c>
      <c r="P61" s="80" t="n">
        <v>0</v>
      </c>
      <c r="Q61" s="93">
        <f>M61+N61+O61+P61</f>
        <v/>
      </c>
      <c r="R61" s="80" t="n">
        <v>0</v>
      </c>
      <c r="S61" s="93" t="n"/>
    </row>
    <row r="62" ht="15.75" customHeight="1">
      <c r="A62" s="82" t="inlineStr">
        <is>
          <t>SACOLA M NATAL</t>
        </is>
      </c>
      <c r="B62" s="80" t="n">
        <v>80</v>
      </c>
      <c r="C62" s="80" t="n">
        <v>120</v>
      </c>
      <c r="D62" s="80" t="n">
        <v>310</v>
      </c>
      <c r="E62" s="80" t="n">
        <v>200</v>
      </c>
      <c r="F62" s="93">
        <f>B62+C62+D62+E62</f>
        <v/>
      </c>
      <c r="G62" s="80" t="n">
        <v>290</v>
      </c>
      <c r="H62" s="80" t="n">
        <v>0</v>
      </c>
      <c r="I62" s="80" t="n">
        <v>0</v>
      </c>
      <c r="J62" s="80" t="n">
        <v>0</v>
      </c>
      <c r="K62" s="80" t="n">
        <v>0</v>
      </c>
      <c r="L62" s="93">
        <f>G62+H62+I62+J62+K62</f>
        <v/>
      </c>
      <c r="M62" s="80" t="n">
        <v>0</v>
      </c>
      <c r="N62" s="80" t="n">
        <v>0</v>
      </c>
      <c r="O62" s="80" t="n">
        <v>0</v>
      </c>
      <c r="P62" s="80" t="n">
        <v>0</v>
      </c>
      <c r="Q62" s="93">
        <f>M62+N62+O62+P62</f>
        <v/>
      </c>
      <c r="R62" s="80" t="n">
        <v>0</v>
      </c>
      <c r="S62" s="93" t="n"/>
    </row>
    <row r="63" ht="15.75" customHeight="1">
      <c r="A63" s="82" t="inlineStr">
        <is>
          <t>SACOLA G NATAL</t>
        </is>
      </c>
      <c r="B63" s="80" t="n">
        <v>60</v>
      </c>
      <c r="C63" s="80" t="n">
        <v>0</v>
      </c>
      <c r="D63" s="80" t="n">
        <v>60</v>
      </c>
      <c r="E63" s="80" t="n">
        <v>180</v>
      </c>
      <c r="F63" s="93">
        <f>B63+C63+D63+E63</f>
        <v/>
      </c>
      <c r="G63" s="80" t="n">
        <v>0</v>
      </c>
      <c r="H63" s="80" t="n">
        <v>30</v>
      </c>
      <c r="I63" s="80" t="n">
        <v>10</v>
      </c>
      <c r="J63" s="80" t="n">
        <v>0</v>
      </c>
      <c r="K63" s="80" t="n">
        <v>10</v>
      </c>
      <c r="L63" s="93">
        <f>G63+H63+I63+J63+K63</f>
        <v/>
      </c>
      <c r="M63" s="80" t="n">
        <v>0</v>
      </c>
      <c r="N63" s="80" t="n">
        <v>0</v>
      </c>
      <c r="O63" s="80" t="n">
        <v>0</v>
      </c>
      <c r="P63" s="80" t="n">
        <v>0</v>
      </c>
      <c r="Q63" s="93">
        <f>M63+N63+O63+P63</f>
        <v/>
      </c>
      <c r="R63" s="80" t="n">
        <v>0</v>
      </c>
      <c r="S63" s="93" t="n"/>
    </row>
    <row r="64" ht="15.75" customHeight="1">
      <c r="A64" s="83" t="inlineStr">
        <is>
          <t>AMARRADINHO P NATAL</t>
        </is>
      </c>
      <c r="B64" s="80" t="n">
        <v>10</v>
      </c>
      <c r="C64" s="80" t="n">
        <v>18</v>
      </c>
      <c r="D64" s="80" t="n">
        <v>5</v>
      </c>
      <c r="E64" s="80" t="n">
        <v>26</v>
      </c>
      <c r="F64" s="93">
        <f>B64+C64+D64+E64</f>
        <v/>
      </c>
      <c r="G64" s="80" t="n">
        <v>61</v>
      </c>
      <c r="H64" s="80" t="n">
        <v>80</v>
      </c>
      <c r="I64" s="80" t="n">
        <v>0</v>
      </c>
      <c r="J64" s="80" t="n">
        <v>0</v>
      </c>
      <c r="K64" s="80" t="n">
        <v>0</v>
      </c>
      <c r="L64" s="93">
        <f>G64+H64+I64+J64+K64</f>
        <v/>
      </c>
      <c r="M64" s="80" t="n">
        <v>0</v>
      </c>
      <c r="N64" s="80" t="n">
        <v>0</v>
      </c>
      <c r="O64" s="80" t="n">
        <v>0</v>
      </c>
      <c r="P64" s="80" t="n">
        <v>0</v>
      </c>
      <c r="Q64" s="93">
        <f>M64+N64+O64+P64</f>
        <v/>
      </c>
      <c r="R64" s="80" t="n">
        <v>0</v>
      </c>
      <c r="S64" s="93" t="n"/>
    </row>
    <row r="65" ht="15.75" customHeight="1">
      <c r="A65" s="84" t="inlineStr">
        <is>
          <t>AMARRADINHO M NATAL</t>
        </is>
      </c>
      <c r="B65" s="80" t="n">
        <v>9</v>
      </c>
      <c r="C65" s="80" t="n">
        <v>7</v>
      </c>
      <c r="D65" s="80" t="n">
        <v>2</v>
      </c>
      <c r="E65" s="80" t="n">
        <v>24</v>
      </c>
      <c r="F65" s="93">
        <f>B65+C65+D65+E65</f>
        <v/>
      </c>
      <c r="G65" s="80" t="n">
        <v>48</v>
      </c>
      <c r="H65" s="80" t="n">
        <v>60</v>
      </c>
      <c r="I65" s="80" t="n">
        <v>0</v>
      </c>
      <c r="J65" s="80" t="n">
        <v>0</v>
      </c>
      <c r="K65" s="80" t="n">
        <v>0</v>
      </c>
      <c r="L65" s="93">
        <f>G65+H65+I65+J65+K65</f>
        <v/>
      </c>
      <c r="M65" s="80" t="n">
        <v>0</v>
      </c>
      <c r="N65" s="80" t="n">
        <v>0</v>
      </c>
      <c r="O65" s="80" t="n">
        <v>0</v>
      </c>
      <c r="P65" s="80" t="n">
        <v>0</v>
      </c>
      <c r="Q65" s="93">
        <f>M65+N65+O65+P65</f>
        <v/>
      </c>
      <c r="R65" s="80" t="n">
        <v>0</v>
      </c>
      <c r="S65" s="93" t="n"/>
    </row>
    <row r="66" ht="15.75" customHeight="1">
      <c r="A66" s="84" t="inlineStr">
        <is>
          <t>PAPEL DE SEDA NATAL</t>
        </is>
      </c>
      <c r="B66" s="80" t="n">
        <v>2</v>
      </c>
      <c r="C66" s="80" t="n">
        <v>2</v>
      </c>
      <c r="D66" s="80" t="n">
        <v>5</v>
      </c>
      <c r="E66" s="80" t="n">
        <v>3</v>
      </c>
      <c r="F66" s="93">
        <f>B66+C66+D66+E66</f>
        <v/>
      </c>
      <c r="G66" s="80" t="n">
        <v>0</v>
      </c>
      <c r="H66" s="80" t="n">
        <v>0</v>
      </c>
      <c r="I66" s="80" t="n">
        <v>0</v>
      </c>
      <c r="J66" s="80" t="n">
        <v>0</v>
      </c>
      <c r="K66" s="80" t="n">
        <v>0</v>
      </c>
      <c r="L66" s="93">
        <f>G66+H66+I66+J66+K66</f>
        <v/>
      </c>
      <c r="M66" s="80" t="n">
        <v>0</v>
      </c>
      <c r="N66" s="80" t="n">
        <v>0</v>
      </c>
      <c r="O66" s="80" t="n">
        <v>0</v>
      </c>
      <c r="P66" s="80" t="n">
        <v>0</v>
      </c>
      <c r="Q66" s="93">
        <f>M66+N66+O66+P66</f>
        <v/>
      </c>
      <c r="R66" s="80" t="n">
        <v>0</v>
      </c>
      <c r="S66" s="93" t="n"/>
    </row>
    <row r="67" ht="15.75" customHeight="1">
      <c r="A67" s="84" t="inlineStr">
        <is>
          <t>TAG NATAL</t>
        </is>
      </c>
      <c r="B67" s="80" t="n">
        <v>1</v>
      </c>
      <c r="C67" s="80" t="n">
        <v>1</v>
      </c>
      <c r="D67" s="80" t="n">
        <v>4</v>
      </c>
      <c r="E67" s="80" t="n">
        <v>4</v>
      </c>
      <c r="F67" s="93">
        <f>B67+C67+D67+E67</f>
        <v/>
      </c>
      <c r="G67" s="80" t="n">
        <v>0</v>
      </c>
      <c r="H67" s="80" t="n">
        <v>0</v>
      </c>
      <c r="I67" s="80" t="n">
        <v>0</v>
      </c>
      <c r="J67" s="80" t="n">
        <v>0</v>
      </c>
      <c r="K67" s="80" t="n">
        <v>0</v>
      </c>
      <c r="L67" s="93">
        <f>G67+H67+I67+J67+K67</f>
        <v/>
      </c>
      <c r="M67" s="80" t="n">
        <v>0</v>
      </c>
      <c r="N67" s="80" t="n">
        <v>0</v>
      </c>
      <c r="O67" s="80" t="n">
        <v>0</v>
      </c>
      <c r="P67" s="80" t="n">
        <v>0</v>
      </c>
      <c r="Q67" s="93">
        <f>M67+N67+O67+P67</f>
        <v/>
      </c>
      <c r="R67" s="80" t="n">
        <v>0</v>
      </c>
      <c r="S67" s="93" t="n"/>
    </row>
    <row r="68" ht="15.75" customHeight="1">
      <c r="A68" s="84" t="inlineStr">
        <is>
          <t>ADESIVOS NATAL</t>
        </is>
      </c>
      <c r="B68" s="80" t="n">
        <v>27</v>
      </c>
      <c r="C68" s="80" t="n">
        <v>90</v>
      </c>
      <c r="D68" s="80" t="n">
        <v>33</v>
      </c>
      <c r="E68" s="80" t="n">
        <v>0</v>
      </c>
      <c r="F68" s="93">
        <f>B68+C68+D68+E68</f>
        <v/>
      </c>
      <c r="G68" s="80" t="n">
        <v>0</v>
      </c>
      <c r="H68" s="80" t="n">
        <v>0</v>
      </c>
      <c r="I68" s="80" t="n">
        <v>0</v>
      </c>
      <c r="J68" s="80" t="n">
        <v>0</v>
      </c>
      <c r="K68" s="80" t="n">
        <v>0</v>
      </c>
      <c r="L68" s="93">
        <f>G68+H68+I68+J68+K68</f>
        <v/>
      </c>
      <c r="M68" s="80" t="n">
        <v>0</v>
      </c>
      <c r="N68" s="80" t="n">
        <v>0</v>
      </c>
      <c r="O68" s="80" t="n">
        <v>0</v>
      </c>
      <c r="P68" s="80" t="n">
        <v>0</v>
      </c>
      <c r="Q68" s="93">
        <f>M68+N68+O68+P68</f>
        <v/>
      </c>
      <c r="R68" s="80" t="n">
        <v>0</v>
      </c>
      <c r="S68" s="93" t="n"/>
    </row>
    <row r="69" ht="18" customHeight="1">
      <c r="A69" s="94" t="inlineStr">
        <is>
          <t>TOTAL DE SACOLAS</t>
        </is>
      </c>
      <c r="B69" s="95">
        <f>SUM(B60:B63)</f>
        <v/>
      </c>
      <c r="C69" s="95">
        <f>SUM(C60:C63)</f>
        <v/>
      </c>
      <c r="D69" s="95">
        <f>SUM(D60:D63)</f>
        <v/>
      </c>
      <c r="E69" s="95">
        <f>SUM(E60:E63)</f>
        <v/>
      </c>
      <c r="F69" s="95">
        <f>SUM(F60:F63)</f>
        <v/>
      </c>
      <c r="G69" s="95">
        <f>SUM(G60:G64)</f>
        <v/>
      </c>
      <c r="H69" s="95">
        <f>SUM(H60:H64)</f>
        <v/>
      </c>
      <c r="I69" s="95">
        <f>SUM(I60:I64)</f>
        <v/>
      </c>
      <c r="J69" s="95">
        <f>SUM(J60:J64)</f>
        <v/>
      </c>
      <c r="K69" s="95">
        <f>SUM(K60:K64)</f>
        <v/>
      </c>
      <c r="L69" s="95">
        <f>SUM(L60:L64)</f>
        <v/>
      </c>
      <c r="M69" s="95">
        <f>SUM(M60:M64)</f>
        <v/>
      </c>
      <c r="N69" s="95">
        <f>SUM(N60:N64)</f>
        <v/>
      </c>
      <c r="O69" s="95">
        <f>SUM(O60:O64)</f>
        <v/>
      </c>
      <c r="P69" s="95">
        <f>SUM(P60:P64)</f>
        <v/>
      </c>
      <c r="Q69" s="95">
        <f>SUM(Q60:Q64)</f>
        <v/>
      </c>
      <c r="R69" s="95">
        <f>SUM(R60:R64)</f>
        <v/>
      </c>
      <c r="S69" s="95">
        <f>SUM(S60:S64)</f>
        <v/>
      </c>
    </row>
    <row r="70" ht="18" customHeight="1">
      <c r="A70" s="102" t="n"/>
      <c r="B70" s="102" t="n"/>
      <c r="C70" s="102" t="n"/>
      <c r="D70" s="102" t="n"/>
      <c r="E70" s="102" t="n"/>
      <c r="F70" s="102" t="n"/>
      <c r="G70" s="102" t="n"/>
      <c r="H70" s="102" t="n"/>
      <c r="I70" s="102" t="n"/>
      <c r="J70" s="102" t="n"/>
      <c r="K70" s="102" t="n"/>
      <c r="L70" s="102" t="n"/>
      <c r="M70" s="102" t="n"/>
      <c r="N70" s="102" t="n"/>
      <c r="O70" s="102" t="n"/>
      <c r="P70" s="102" t="n"/>
      <c r="Q70" s="102" t="n"/>
      <c r="R70" s="102" t="n"/>
      <c r="S70" s="102" t="n"/>
    </row>
    <row r="71" ht="15.75" customHeight="1">
      <c r="A71" s="545" t="inlineStr">
        <is>
          <t>GASTO DE SACOLAS E ITENS DOADOS NATAL/2022 - MENSAIS</t>
        </is>
      </c>
    </row>
    <row r="72" ht="15.75" customHeight="1">
      <c r="A72" s="741" t="inlineStr">
        <is>
          <t>VD PRAIA</t>
        </is>
      </c>
      <c r="B72" s="741" t="inlineStr">
        <is>
          <t>DEZEMBRO</t>
        </is>
      </c>
      <c r="C72" s="736" t="n"/>
      <c r="D72" s="736" t="n"/>
      <c r="E72" s="736" t="n"/>
      <c r="F72" s="737" t="n"/>
      <c r="G72" s="741" t="inlineStr">
        <is>
          <t>JANEIRO</t>
        </is>
      </c>
      <c r="H72" s="736" t="n"/>
      <c r="I72" s="736" t="n"/>
      <c r="J72" s="736" t="n"/>
      <c r="K72" s="736" t="n"/>
      <c r="L72" s="737" t="n"/>
      <c r="M72" s="741" t="inlineStr">
        <is>
          <t>FEVEREIRO</t>
        </is>
      </c>
      <c r="N72" s="736" t="n"/>
      <c r="O72" s="736" t="n"/>
      <c r="P72" s="736" t="n"/>
      <c r="Q72" s="737" t="n"/>
      <c r="R72" s="741" t="inlineStr">
        <is>
          <t>MARÇO</t>
        </is>
      </c>
      <c r="S72" s="737" t="n"/>
    </row>
    <row r="73" ht="15.75" customHeight="1">
      <c r="A73" s="738" t="n"/>
      <c r="B73" s="90" t="n">
        <v>44900</v>
      </c>
      <c r="C73" s="90" t="n">
        <v>44907</v>
      </c>
      <c r="D73" s="90" t="n">
        <v>44914</v>
      </c>
      <c r="E73" s="90" t="n">
        <v>44921</v>
      </c>
      <c r="F73" s="91" t="inlineStr">
        <is>
          <t>USOU</t>
        </is>
      </c>
      <c r="G73" s="90" t="n">
        <v>44563</v>
      </c>
      <c r="H73" s="90" t="n">
        <v>44570</v>
      </c>
      <c r="I73" s="90" t="n">
        <v>44577</v>
      </c>
      <c r="J73" s="90" t="n">
        <v>44584</v>
      </c>
      <c r="K73" s="90" t="n">
        <v>44591</v>
      </c>
      <c r="L73" s="91" t="inlineStr">
        <is>
          <t>USOU</t>
        </is>
      </c>
      <c r="M73" s="90" t="n">
        <v>44598</v>
      </c>
      <c r="N73" s="90" t="n">
        <v>44605</v>
      </c>
      <c r="O73" s="90" t="n">
        <v>44612</v>
      </c>
      <c r="P73" s="90" t="n">
        <v>44619</v>
      </c>
      <c r="Q73" s="91" t="inlineStr">
        <is>
          <t>USOU</t>
        </is>
      </c>
      <c r="R73" s="90" t="n">
        <v>44626</v>
      </c>
      <c r="S73" s="91" t="inlineStr">
        <is>
          <t>USOU</t>
        </is>
      </c>
    </row>
    <row r="74" ht="15.75" customHeight="1">
      <c r="A74" s="79" t="inlineStr">
        <is>
          <t>SACOLA PP NATAL</t>
        </is>
      </c>
      <c r="B74" s="92" t="n">
        <v>0</v>
      </c>
      <c r="C74" s="80" t="n">
        <v>1200</v>
      </c>
      <c r="D74" s="80" t="n">
        <v>0</v>
      </c>
      <c r="E74" s="80" t="n">
        <v>0</v>
      </c>
      <c r="F74" s="93">
        <f>B74+C74+D74+E74</f>
        <v/>
      </c>
      <c r="G74" s="80" t="n">
        <v>0</v>
      </c>
      <c r="H74" s="80" t="n">
        <v>0</v>
      </c>
      <c r="I74" s="80" t="n">
        <v>0</v>
      </c>
      <c r="J74" s="80" t="n">
        <v>0</v>
      </c>
      <c r="K74" s="80" t="n">
        <v>0</v>
      </c>
      <c r="L74" s="93">
        <f>G74+H74+I74+J74+K74</f>
        <v/>
      </c>
      <c r="M74" s="80" t="n">
        <v>0</v>
      </c>
      <c r="N74" s="80" t="n">
        <v>0</v>
      </c>
      <c r="O74" s="80" t="n">
        <v>0</v>
      </c>
      <c r="P74" s="80" t="n">
        <v>0</v>
      </c>
      <c r="Q74" s="93">
        <f>M74+N74+O74+P74</f>
        <v/>
      </c>
      <c r="R74" s="80" t="n">
        <v>0</v>
      </c>
      <c r="S74" s="93" t="n"/>
    </row>
    <row r="75" ht="15.75" customHeight="1">
      <c r="A75" s="82" t="inlineStr">
        <is>
          <t>SACOLA P NATAL</t>
        </is>
      </c>
      <c r="B75" s="80" t="n">
        <v>600</v>
      </c>
      <c r="C75" s="80" t="n">
        <v>800</v>
      </c>
      <c r="D75" s="80" t="n">
        <v>400</v>
      </c>
      <c r="E75" s="80" t="n">
        <v>0</v>
      </c>
      <c r="F75" s="93">
        <f>B75+C75+D75+E75</f>
        <v/>
      </c>
      <c r="G75" s="80" t="n">
        <v>0</v>
      </c>
      <c r="H75" s="80" t="n">
        <v>0</v>
      </c>
      <c r="I75" s="80" t="n">
        <v>0</v>
      </c>
      <c r="J75" s="80" t="n">
        <v>0</v>
      </c>
      <c r="K75" s="80" t="n">
        <v>0</v>
      </c>
      <c r="L75" s="93">
        <f>G75+H75+I75+J75+K75</f>
        <v/>
      </c>
      <c r="M75" s="80" t="n">
        <v>0</v>
      </c>
      <c r="N75" s="80" t="n">
        <v>0</v>
      </c>
      <c r="O75" s="80" t="n">
        <v>0</v>
      </c>
      <c r="P75" s="80" t="n">
        <v>0</v>
      </c>
      <c r="Q75" s="93">
        <f>M75+N75+O75+P75</f>
        <v/>
      </c>
      <c r="R75" s="80" t="n">
        <v>0</v>
      </c>
      <c r="S75" s="93" t="n"/>
    </row>
    <row r="76" ht="15.75" customHeight="1">
      <c r="A76" s="82" t="inlineStr">
        <is>
          <t>SACOLA M NATAL</t>
        </is>
      </c>
      <c r="B76" s="80" t="n">
        <v>800</v>
      </c>
      <c r="C76" s="80" t="n">
        <v>200</v>
      </c>
      <c r="D76" s="80" t="n">
        <v>200</v>
      </c>
      <c r="E76" s="80" t="n">
        <v>200</v>
      </c>
      <c r="F76" s="93">
        <f>B76+C76+D76+E76</f>
        <v/>
      </c>
      <c r="G76" s="80" t="n">
        <v>0</v>
      </c>
      <c r="H76" s="80" t="n">
        <v>0</v>
      </c>
      <c r="I76" s="80" t="n">
        <v>0</v>
      </c>
      <c r="J76" s="80" t="n">
        <v>0</v>
      </c>
      <c r="K76" s="80" t="n">
        <v>0</v>
      </c>
      <c r="L76" s="93">
        <f>G76+H76+I76+J76+K76</f>
        <v/>
      </c>
      <c r="M76" s="80" t="n">
        <v>0</v>
      </c>
      <c r="N76" s="80" t="n">
        <v>0</v>
      </c>
      <c r="O76" s="80" t="n">
        <v>0</v>
      </c>
      <c r="P76" s="80" t="n">
        <v>0</v>
      </c>
      <c r="Q76" s="93">
        <f>M76+N76+O76+P76</f>
        <v/>
      </c>
      <c r="R76" s="80" t="n">
        <v>0</v>
      </c>
      <c r="S76" s="93" t="n"/>
    </row>
    <row r="77" ht="15.75" customHeight="1">
      <c r="A77" s="82" t="inlineStr">
        <is>
          <t>SACOLA G NATAL</t>
        </is>
      </c>
      <c r="B77" s="80" t="n">
        <v>200</v>
      </c>
      <c r="C77" s="80" t="n">
        <v>100</v>
      </c>
      <c r="D77" s="80" t="n">
        <v>100</v>
      </c>
      <c r="E77" s="80" t="n">
        <v>300</v>
      </c>
      <c r="F77" s="93">
        <f>B77+C77+D77+E77</f>
        <v/>
      </c>
      <c r="G77" s="80" t="n">
        <v>1000</v>
      </c>
      <c r="H77" s="80" t="n">
        <v>0</v>
      </c>
      <c r="I77" s="80" t="n">
        <v>0</v>
      </c>
      <c r="J77" s="80" t="n">
        <v>0</v>
      </c>
      <c r="K77" s="80" t="n">
        <v>100</v>
      </c>
      <c r="L77" s="93">
        <f>G77+H77+I77+J77+K77</f>
        <v/>
      </c>
      <c r="M77" s="80" t="n">
        <v>100</v>
      </c>
      <c r="N77" s="80" t="n">
        <v>100</v>
      </c>
      <c r="O77" s="80" t="n">
        <v>500</v>
      </c>
      <c r="P77" s="80" t="n">
        <v>100</v>
      </c>
      <c r="Q77" s="93">
        <f>M77+N77+O77+P77</f>
        <v/>
      </c>
      <c r="R77" s="80" t="n">
        <v>150</v>
      </c>
      <c r="S77" s="93" t="n"/>
    </row>
    <row r="78" ht="15.75" customHeight="1">
      <c r="A78" s="83" t="inlineStr">
        <is>
          <t>CARTUCHO P NATAL/2022</t>
        </is>
      </c>
      <c r="B78" s="80" t="n">
        <v>282</v>
      </c>
      <c r="C78" s="80" t="n">
        <v>42</v>
      </c>
      <c r="D78" s="80" t="n">
        <v>62</v>
      </c>
      <c r="E78" s="80" t="n">
        <v>4</v>
      </c>
      <c r="F78" s="93">
        <f>B78+C78+D78+E78</f>
        <v/>
      </c>
      <c r="G78" s="80" t="n">
        <v>0</v>
      </c>
      <c r="H78" s="80" t="n">
        <v>0</v>
      </c>
      <c r="I78" s="80" t="n">
        <v>0</v>
      </c>
      <c r="J78" s="80" t="n">
        <v>0</v>
      </c>
      <c r="K78" s="80" t="n">
        <v>0</v>
      </c>
      <c r="L78" s="93">
        <f>G78+H78+I78+J78+K78</f>
        <v/>
      </c>
      <c r="M78" s="80" t="n">
        <v>0</v>
      </c>
      <c r="N78" s="80" t="n">
        <v>0</v>
      </c>
      <c r="O78" s="80" t="n">
        <v>0</v>
      </c>
      <c r="P78" s="80" t="n">
        <v>0</v>
      </c>
      <c r="Q78" s="93">
        <f>M78+N78+O78+P78</f>
        <v/>
      </c>
      <c r="R78" s="80" t="n">
        <v>0</v>
      </c>
      <c r="S78" s="93" t="n"/>
    </row>
    <row r="79" ht="15.75" customHeight="1">
      <c r="A79" s="84" t="inlineStr">
        <is>
          <t>CARTUCHO M NATAL/2022</t>
        </is>
      </c>
      <c r="B79" s="80" t="n">
        <v>300</v>
      </c>
      <c r="C79" s="80" t="n">
        <v>0</v>
      </c>
      <c r="D79" s="80" t="n">
        <v>0</v>
      </c>
      <c r="E79" s="80" t="n">
        <v>0</v>
      </c>
      <c r="F79" s="93">
        <f>B79+C79+D79+E79</f>
        <v/>
      </c>
      <c r="G79" s="80" t="n">
        <v>0</v>
      </c>
      <c r="H79" s="80" t="n">
        <v>0</v>
      </c>
      <c r="I79" s="80" t="n">
        <v>0</v>
      </c>
      <c r="J79" s="80" t="n">
        <v>0</v>
      </c>
      <c r="K79" s="80" t="n">
        <v>0</v>
      </c>
      <c r="L79" s="93">
        <f>G79+H79+I79+J79+K79</f>
        <v/>
      </c>
      <c r="M79" s="80" t="n">
        <v>0</v>
      </c>
      <c r="N79" s="80" t="n">
        <v>0</v>
      </c>
      <c r="O79" s="80" t="n">
        <v>0</v>
      </c>
      <c r="P79" s="80" t="n">
        <v>0</v>
      </c>
      <c r="Q79" s="93">
        <f>M79+N79+O79+P79</f>
        <v/>
      </c>
      <c r="R79" s="80" t="n">
        <v>0</v>
      </c>
      <c r="S79" s="93" t="n"/>
    </row>
    <row r="80" ht="15.75" customHeight="1">
      <c r="A80" s="84" t="inlineStr">
        <is>
          <t>PAPEL DE SEDA NATAL/2022</t>
        </is>
      </c>
      <c r="B80" s="80" t="n">
        <v>0</v>
      </c>
      <c r="C80" s="80" t="n">
        <v>0</v>
      </c>
      <c r="D80" s="80" t="n">
        <v>0</v>
      </c>
      <c r="E80" s="80" t="n">
        <v>2</v>
      </c>
      <c r="F80" s="93">
        <f>B80+C80+D80+E80</f>
        <v/>
      </c>
      <c r="G80" s="80" t="n">
        <v>0</v>
      </c>
      <c r="H80" s="80" t="n">
        <v>0</v>
      </c>
      <c r="I80" s="80" t="n">
        <v>0</v>
      </c>
      <c r="J80" s="80" t="n">
        <v>0</v>
      </c>
      <c r="K80" s="80" t="n">
        <v>0</v>
      </c>
      <c r="L80" s="93">
        <f>G80+H80+I80+J80+K80</f>
        <v/>
      </c>
      <c r="M80" s="80" t="n">
        <v>0</v>
      </c>
      <c r="N80" s="80" t="n">
        <v>0</v>
      </c>
      <c r="O80" s="80" t="n">
        <v>0</v>
      </c>
      <c r="P80" s="80" t="n">
        <v>0</v>
      </c>
      <c r="Q80" s="93">
        <f>M80+N80+O80+P80</f>
        <v/>
      </c>
      <c r="R80" s="80" t="n">
        <v>0</v>
      </c>
      <c r="S80" s="93" t="n"/>
    </row>
    <row r="81" ht="15.75" customHeight="1">
      <c r="A81" s="84" t="inlineStr">
        <is>
          <t>TAG NATAL/2022</t>
        </is>
      </c>
      <c r="B81" s="80" t="n">
        <v>0</v>
      </c>
      <c r="C81" s="80" t="n">
        <v>0</v>
      </c>
      <c r="D81" s="80" t="n">
        <v>0</v>
      </c>
      <c r="E81" s="80" t="n">
        <v>16</v>
      </c>
      <c r="F81" s="93">
        <f>B81+C81+D81+E81</f>
        <v/>
      </c>
      <c r="G81" s="80" t="n">
        <v>0</v>
      </c>
      <c r="H81" s="80" t="n">
        <v>0</v>
      </c>
      <c r="I81" s="80" t="n">
        <v>0</v>
      </c>
      <c r="J81" s="80" t="n">
        <v>0</v>
      </c>
      <c r="K81" s="80" t="n">
        <v>0</v>
      </c>
      <c r="L81" s="93">
        <f>G81+H81+I81+J81+K81</f>
        <v/>
      </c>
      <c r="M81" s="80" t="n">
        <v>0</v>
      </c>
      <c r="N81" s="80" t="n">
        <v>0</v>
      </c>
      <c r="O81" s="80" t="n">
        <v>0</v>
      </c>
      <c r="P81" s="80" t="n">
        <v>0</v>
      </c>
      <c r="Q81" s="93">
        <f>M81+N81+O81+P81</f>
        <v/>
      </c>
      <c r="R81" s="80" t="n">
        <v>0</v>
      </c>
      <c r="S81" s="93" t="n"/>
    </row>
    <row r="82" ht="15.75" customHeight="1">
      <c r="A82" s="84" t="inlineStr">
        <is>
          <t>KIT PAPEL DE SEDA NATAL/2022</t>
        </is>
      </c>
      <c r="B82" s="80" t="n">
        <v>54</v>
      </c>
      <c r="C82" s="80" t="n">
        <v>0</v>
      </c>
      <c r="D82" s="80" t="n">
        <v>0</v>
      </c>
      <c r="E82" s="80" t="n">
        <v>4</v>
      </c>
      <c r="F82" s="93">
        <f>B82+C82+D82+E82</f>
        <v/>
      </c>
      <c r="G82" s="80" t="n">
        <v>0</v>
      </c>
      <c r="H82" s="80" t="n">
        <v>0</v>
      </c>
      <c r="I82" s="80" t="n">
        <v>0</v>
      </c>
      <c r="J82" s="80" t="n">
        <v>0</v>
      </c>
      <c r="K82" s="80" t="n">
        <v>0</v>
      </c>
      <c r="L82" s="93">
        <f>G82+H82+I82+J82+K82</f>
        <v/>
      </c>
      <c r="M82" s="80" t="n">
        <v>0</v>
      </c>
      <c r="N82" s="80" t="n">
        <v>0</v>
      </c>
      <c r="O82" s="80" t="n">
        <v>0</v>
      </c>
      <c r="P82" s="80" t="n">
        <v>0</v>
      </c>
      <c r="Q82" s="93">
        <f>M82+N82+O82+P82</f>
        <v/>
      </c>
      <c r="R82" s="80" t="n">
        <v>0</v>
      </c>
      <c r="S82" s="93" t="n"/>
    </row>
    <row r="83" ht="15.75" customHeight="1">
      <c r="A83" s="103" t="inlineStr">
        <is>
          <t>PAPEL DE SEDA NATAL/2021</t>
        </is>
      </c>
      <c r="B83" s="80" t="n">
        <v>0</v>
      </c>
      <c r="C83" s="80" t="n">
        <v>0</v>
      </c>
      <c r="D83" s="80" t="n">
        <v>0</v>
      </c>
      <c r="E83" s="80" t="n">
        <v>0</v>
      </c>
      <c r="F83" s="93">
        <f>B83+C83+D83+E83</f>
        <v/>
      </c>
      <c r="G83" s="80" t="n">
        <v>0</v>
      </c>
      <c r="H83" s="80" t="n">
        <v>0</v>
      </c>
      <c r="I83" s="80" t="n">
        <v>0</v>
      </c>
      <c r="J83" s="80" t="n">
        <v>0</v>
      </c>
      <c r="K83" s="80" t="n">
        <v>0</v>
      </c>
      <c r="L83" s="93">
        <f>G83+H83+I83+J83+K83</f>
        <v/>
      </c>
      <c r="M83" s="80" t="n">
        <v>0</v>
      </c>
      <c r="N83" s="80" t="n">
        <v>0</v>
      </c>
      <c r="O83" s="80" t="n">
        <v>0</v>
      </c>
      <c r="P83" s="80" t="n">
        <v>0</v>
      </c>
      <c r="Q83" s="93">
        <f>M83+N83+O83+P83</f>
        <v/>
      </c>
      <c r="R83" s="80" t="n">
        <v>0</v>
      </c>
      <c r="S83" s="93" t="n"/>
    </row>
    <row r="84" ht="15.75" customHeight="1">
      <c r="A84" s="103" t="inlineStr">
        <is>
          <t>TAG NATAL/2021</t>
        </is>
      </c>
      <c r="B84" s="80" t="n">
        <v>0</v>
      </c>
      <c r="C84" s="80" t="n">
        <v>0</v>
      </c>
      <c r="D84" s="80" t="n">
        <v>0</v>
      </c>
      <c r="E84" s="80" t="n">
        <v>0</v>
      </c>
      <c r="F84" s="93">
        <f>B84+C84+D84+E84</f>
        <v/>
      </c>
      <c r="G84" s="80" t="n">
        <v>0</v>
      </c>
      <c r="H84" s="80" t="n">
        <v>0</v>
      </c>
      <c r="I84" s="80" t="n">
        <v>0</v>
      </c>
      <c r="J84" s="80" t="n">
        <v>0</v>
      </c>
      <c r="K84" s="80" t="n">
        <v>0</v>
      </c>
      <c r="L84" s="93">
        <f>G84+H84+I84+J84+K84</f>
        <v/>
      </c>
      <c r="M84" s="80" t="n">
        <v>0</v>
      </c>
      <c r="N84" s="80" t="n">
        <v>0</v>
      </c>
      <c r="O84" s="80" t="n">
        <v>0</v>
      </c>
      <c r="P84" s="80" t="n">
        <v>0</v>
      </c>
      <c r="Q84" s="93">
        <f>M84+N84+O84+P84</f>
        <v/>
      </c>
      <c r="R84" s="80" t="n">
        <v>0</v>
      </c>
      <c r="S84" s="93" t="n"/>
    </row>
    <row r="85" ht="15.75" customHeight="1">
      <c r="A85" s="103" t="inlineStr">
        <is>
          <t>KIT PAPEL DE SEDA NATAL/2021</t>
        </is>
      </c>
      <c r="B85" s="80" t="n">
        <v>16</v>
      </c>
      <c r="C85" s="80" t="n">
        <v>0</v>
      </c>
      <c r="D85" s="80" t="n">
        <v>0</v>
      </c>
      <c r="E85" s="80" t="n">
        <v>0</v>
      </c>
      <c r="F85" s="93">
        <f>B85+C85+D85+E85</f>
        <v/>
      </c>
      <c r="G85" s="80" t="n">
        <v>0</v>
      </c>
      <c r="H85" s="80" t="n">
        <v>0</v>
      </c>
      <c r="I85" s="80" t="n">
        <v>0</v>
      </c>
      <c r="J85" s="80" t="n">
        <v>0</v>
      </c>
      <c r="K85" s="80" t="n">
        <v>0</v>
      </c>
      <c r="L85" s="93">
        <f>G85+H85+I85+J85+K85</f>
        <v/>
      </c>
      <c r="M85" s="80" t="n">
        <v>0</v>
      </c>
      <c r="N85" s="80" t="n">
        <v>0</v>
      </c>
      <c r="O85" s="80" t="n">
        <v>0</v>
      </c>
      <c r="P85" s="80" t="n">
        <v>0</v>
      </c>
      <c r="Q85" s="93">
        <f>M85+N85+O85+P85</f>
        <v/>
      </c>
      <c r="R85" s="80" t="n">
        <v>0</v>
      </c>
      <c r="S85" s="93" t="n"/>
    </row>
    <row r="86" ht="15.75" customHeight="1">
      <c r="A86" s="94" t="inlineStr">
        <is>
          <t>TOTAL DE SACOLAS</t>
        </is>
      </c>
      <c r="B86" s="95">
        <f>SUM(B74:B77)</f>
        <v/>
      </c>
      <c r="C86" s="95">
        <f>SUM(C74:C77)</f>
        <v/>
      </c>
      <c r="D86" s="95">
        <f>SUM(D74:D77)</f>
        <v/>
      </c>
      <c r="E86" s="95">
        <f>SUM(E74:E77)</f>
        <v/>
      </c>
      <c r="F86" s="95">
        <f>SUM(F74:F77)</f>
        <v/>
      </c>
      <c r="G86" s="95">
        <f>SUM(G74:G78)</f>
        <v/>
      </c>
      <c r="H86" s="95">
        <f>SUM(H74:H78)</f>
        <v/>
      </c>
      <c r="I86" s="95">
        <f>SUM(I74:I78)</f>
        <v/>
      </c>
      <c r="J86" s="95">
        <f>SUM(J74:J78)</f>
        <v/>
      </c>
      <c r="K86" s="95">
        <f>SUM(K74:K78)</f>
        <v/>
      </c>
      <c r="L86" s="95">
        <f>SUM(L74:L78)</f>
        <v/>
      </c>
      <c r="M86" s="95">
        <f>SUM(M74:M78)</f>
        <v/>
      </c>
      <c r="N86" s="95">
        <f>SUM(N74:N78)</f>
        <v/>
      </c>
      <c r="O86" s="95">
        <f>SUM(O74:O78)</f>
        <v/>
      </c>
      <c r="P86" s="95">
        <f>SUM(P74:P78)</f>
        <v/>
      </c>
      <c r="Q86" s="95">
        <f>SUM(Q74:Q78)</f>
        <v/>
      </c>
      <c r="R86" s="95">
        <f>SUM(R74:R78)</f>
        <v/>
      </c>
      <c r="S86" s="95">
        <f>SUM(S74:S78)</f>
        <v/>
      </c>
    </row>
    <row r="87" ht="15.75" customHeight="1">
      <c r="A87" s="100" t="n"/>
      <c r="B87" s="101" t="n"/>
      <c r="C87" s="101" t="n"/>
      <c r="D87" s="101" t="n"/>
      <c r="E87" s="101" t="n"/>
      <c r="F87" s="101" t="n"/>
      <c r="G87" s="101" t="n"/>
      <c r="H87" s="101" t="n"/>
      <c r="I87" s="101" t="n"/>
      <c r="J87" s="101" t="n"/>
      <c r="K87" s="101" t="n"/>
      <c r="L87" s="101" t="n"/>
      <c r="M87" s="101" t="n"/>
      <c r="N87" s="101" t="n"/>
      <c r="O87" s="101" t="n"/>
      <c r="P87" s="101" t="n"/>
      <c r="Q87" s="101" t="n"/>
      <c r="R87" s="101" t="n"/>
      <c r="S87" s="101" t="n"/>
    </row>
    <row r="89" ht="18" customHeight="1">
      <c r="A89" s="102" t="n"/>
      <c r="B89" s="102" t="n"/>
      <c r="C89" s="102" t="n"/>
      <c r="D89" s="102" t="n"/>
      <c r="E89" s="102" t="n"/>
      <c r="F89" s="102" t="n"/>
      <c r="G89" s="102" t="n"/>
      <c r="H89" s="102" t="n"/>
      <c r="I89" s="102" t="n"/>
      <c r="J89" s="102" t="n"/>
      <c r="K89" s="102" t="n"/>
      <c r="L89" s="102" t="n"/>
      <c r="M89" s="102" t="n"/>
      <c r="N89" s="102" t="n"/>
      <c r="O89" s="102" t="n"/>
      <c r="P89" s="102" t="n"/>
      <c r="Q89" s="102" t="n"/>
      <c r="R89" s="102" t="n"/>
      <c r="S89" s="102" t="n"/>
    </row>
    <row r="90" ht="18" customHeight="1">
      <c r="A90" s="102" t="n"/>
      <c r="B90" s="102" t="n"/>
      <c r="C90" s="102" t="n"/>
      <c r="D90" s="102" t="n"/>
      <c r="E90" s="102" t="n"/>
      <c r="F90" s="102" t="n"/>
      <c r="G90" s="102" t="n"/>
      <c r="H90" s="102" t="n"/>
      <c r="I90" s="102" t="n"/>
      <c r="J90" s="102" t="n"/>
      <c r="K90" s="102" t="n"/>
      <c r="L90" s="102" t="n"/>
      <c r="M90" s="102" t="n"/>
      <c r="N90" s="102" t="n"/>
      <c r="O90" s="102" t="n"/>
      <c r="P90" s="102" t="n"/>
      <c r="Q90" s="102" t="n"/>
      <c r="R90" s="102" t="n"/>
      <c r="S90" s="102" t="n"/>
    </row>
    <row r="91" ht="15.75" customHeight="1">
      <c r="A91" s="102" t="n"/>
      <c r="B91" s="96" t="n"/>
      <c r="C91" s="96" t="n"/>
      <c r="D91" s="96" t="n"/>
      <c r="E91" s="96" t="n"/>
      <c r="F91" s="97" t="n"/>
      <c r="G91" s="96" t="n"/>
      <c r="H91" s="96" t="n"/>
      <c r="I91" s="96" t="n"/>
      <c r="J91" s="96" t="n"/>
      <c r="K91" s="96" t="n"/>
      <c r="L91" s="97" t="n"/>
      <c r="M91" s="96" t="n"/>
      <c r="N91" s="96" t="n"/>
      <c r="O91" s="96" t="n"/>
      <c r="P91" s="96" t="n"/>
      <c r="Q91" s="97" t="n"/>
      <c r="R91" s="96" t="n"/>
      <c r="S91" s="97" t="n"/>
    </row>
    <row r="92" ht="15.75" customHeight="1">
      <c r="A92" s="98" t="n"/>
      <c r="B92" s="99" t="n"/>
      <c r="C92" s="99" t="n"/>
      <c r="D92" s="99" t="n"/>
      <c r="E92" s="99" t="n"/>
      <c r="F92" s="99" t="n"/>
      <c r="G92" s="99" t="n"/>
      <c r="H92" s="99" t="n"/>
      <c r="I92" s="99" t="n"/>
      <c r="J92" s="99" t="n"/>
      <c r="K92" s="99" t="n"/>
      <c r="L92" s="99" t="n"/>
      <c r="M92" s="99" t="n"/>
      <c r="N92" s="99" t="n"/>
      <c r="O92" s="99" t="n"/>
      <c r="P92" s="99" t="n"/>
      <c r="Q92" s="99" t="n"/>
      <c r="R92" s="99" t="n"/>
      <c r="S92" s="99" t="n"/>
    </row>
    <row r="93" ht="15.75" customHeight="1">
      <c r="A93" s="98" t="n"/>
      <c r="B93" s="99" t="n"/>
      <c r="C93" s="99" t="n"/>
      <c r="D93" s="99" t="n"/>
      <c r="E93" s="99" t="n"/>
      <c r="F93" s="99" t="n"/>
      <c r="G93" s="99" t="n"/>
      <c r="H93" s="99" t="n"/>
      <c r="I93" s="99" t="n"/>
      <c r="J93" s="99" t="n"/>
      <c r="K93" s="99" t="n"/>
      <c r="L93" s="99" t="n"/>
      <c r="M93" s="99" t="n"/>
      <c r="N93" s="99" t="n"/>
      <c r="O93" s="99" t="n"/>
      <c r="P93" s="99" t="n"/>
      <c r="Q93" s="99" t="n"/>
      <c r="R93" s="99" t="n"/>
      <c r="S93" s="99" t="n"/>
    </row>
    <row r="94" ht="15.75" customHeight="1">
      <c r="A94" s="98" t="n"/>
      <c r="B94" s="99" t="n"/>
      <c r="C94" s="99" t="n"/>
      <c r="D94" s="99" t="n"/>
      <c r="E94" s="99" t="n"/>
      <c r="F94" s="99" t="n"/>
      <c r="G94" s="99" t="n"/>
      <c r="H94" s="99" t="n"/>
      <c r="I94" s="99" t="n"/>
      <c r="J94" s="99" t="n"/>
      <c r="K94" s="99" t="n"/>
      <c r="L94" s="99" t="n"/>
      <c r="M94" s="99" t="n"/>
      <c r="N94" s="99" t="n"/>
      <c r="O94" s="99" t="n"/>
      <c r="P94" s="99" t="n"/>
      <c r="Q94" s="99" t="n"/>
      <c r="R94" s="99" t="n"/>
      <c r="S94" s="99" t="n"/>
    </row>
    <row r="95" ht="15.75" customHeight="1">
      <c r="A95" s="98" t="n"/>
      <c r="B95" s="99" t="n"/>
      <c r="C95" s="99" t="n"/>
      <c r="D95" s="99" t="n"/>
      <c r="E95" s="99" t="n"/>
      <c r="F95" s="99" t="n"/>
      <c r="G95" s="99" t="n"/>
      <c r="H95" s="99" t="n"/>
      <c r="I95" s="99" t="n"/>
      <c r="J95" s="99" t="n"/>
      <c r="K95" s="99" t="n"/>
      <c r="L95" s="99" t="n"/>
      <c r="M95" s="99" t="n"/>
      <c r="N95" s="99" t="n"/>
      <c r="O95" s="99" t="n"/>
      <c r="P95" s="99" t="n"/>
      <c r="Q95" s="99" t="n"/>
      <c r="R95" s="99" t="n"/>
      <c r="S95" s="99" t="n"/>
    </row>
    <row r="96" ht="15.75" customHeight="1">
      <c r="A96" s="98" t="n"/>
      <c r="B96" s="99" t="n"/>
      <c r="C96" s="99" t="n"/>
      <c r="D96" s="99" t="n"/>
      <c r="E96" s="99" t="n"/>
      <c r="F96" s="99" t="n"/>
      <c r="G96" s="99" t="n"/>
      <c r="H96" s="99" t="n"/>
      <c r="I96" s="99" t="n"/>
      <c r="J96" s="99" t="n"/>
      <c r="K96" s="99" t="n"/>
      <c r="L96" s="99" t="n"/>
      <c r="M96" s="99" t="n"/>
      <c r="N96" s="99" t="n"/>
      <c r="O96" s="99" t="n"/>
      <c r="P96" s="99" t="n"/>
      <c r="Q96" s="99" t="n"/>
      <c r="R96" s="99" t="n"/>
      <c r="S96" s="99" t="n"/>
    </row>
    <row r="97" ht="15.75" customHeight="1">
      <c r="A97" s="98" t="n"/>
      <c r="B97" s="99" t="n"/>
      <c r="C97" s="99" t="n"/>
      <c r="D97" s="99" t="n"/>
      <c r="E97" s="99" t="n"/>
      <c r="F97" s="99" t="n"/>
      <c r="G97" s="99" t="n"/>
      <c r="H97" s="99" t="n"/>
      <c r="I97" s="99" t="n"/>
      <c r="J97" s="99" t="n"/>
      <c r="K97" s="99" t="n"/>
      <c r="L97" s="99" t="n"/>
      <c r="M97" s="99" t="n"/>
      <c r="N97" s="99" t="n"/>
      <c r="O97" s="99" t="n"/>
      <c r="P97" s="99" t="n"/>
      <c r="Q97" s="99" t="n"/>
      <c r="R97" s="99" t="n"/>
      <c r="S97" s="99" t="n"/>
    </row>
    <row r="98" ht="15.75" customHeight="1">
      <c r="A98" s="98" t="n"/>
      <c r="B98" s="99" t="n"/>
      <c r="C98" s="99" t="n"/>
      <c r="D98" s="99" t="n"/>
      <c r="E98" s="99" t="n"/>
      <c r="F98" s="99" t="n"/>
      <c r="G98" s="99" t="n"/>
      <c r="H98" s="99" t="n"/>
      <c r="I98" s="99" t="n"/>
      <c r="J98" s="99" t="n"/>
      <c r="K98" s="99" t="n"/>
      <c r="L98" s="99" t="n"/>
      <c r="M98" s="99" t="n"/>
      <c r="N98" s="99" t="n"/>
      <c r="O98" s="99" t="n"/>
      <c r="P98" s="99" t="n"/>
      <c r="Q98" s="99" t="n"/>
      <c r="R98" s="99" t="n"/>
      <c r="S98" s="99" t="n"/>
    </row>
    <row r="99" ht="15.75" customHeight="1">
      <c r="A99" s="98" t="n"/>
      <c r="B99" s="99" t="n"/>
      <c r="C99" s="99" t="n"/>
      <c r="D99" s="99" t="n"/>
      <c r="E99" s="99" t="n"/>
      <c r="F99" s="99" t="n"/>
      <c r="G99" s="99" t="n"/>
      <c r="H99" s="99" t="n"/>
      <c r="I99" s="99" t="n"/>
      <c r="J99" s="99" t="n"/>
      <c r="K99" s="99" t="n"/>
      <c r="L99" s="99" t="n"/>
      <c r="M99" s="99" t="n"/>
      <c r="N99" s="99" t="n"/>
      <c r="O99" s="99" t="n"/>
      <c r="P99" s="99" t="n"/>
      <c r="Q99" s="99" t="n"/>
      <c r="R99" s="99" t="n"/>
      <c r="S99" s="99" t="n"/>
    </row>
    <row r="100" ht="15.75" customHeight="1">
      <c r="A100" s="98" t="n"/>
      <c r="B100" s="99" t="n"/>
      <c r="C100" s="99" t="n"/>
      <c r="D100" s="99" t="n"/>
      <c r="E100" s="99" t="n"/>
      <c r="F100" s="99" t="n"/>
      <c r="G100" s="99" t="n"/>
      <c r="H100" s="99" t="n"/>
      <c r="I100" s="99" t="n"/>
      <c r="J100" s="99" t="n"/>
      <c r="K100" s="99" t="n"/>
      <c r="L100" s="99" t="n"/>
      <c r="M100" s="99" t="n"/>
      <c r="N100" s="99" t="n"/>
      <c r="O100" s="99" t="n"/>
      <c r="P100" s="99" t="n"/>
      <c r="Q100" s="99" t="n"/>
      <c r="R100" s="99" t="n"/>
      <c r="S100" s="99" t="n"/>
    </row>
    <row r="101" ht="15.75" customHeight="1">
      <c r="A101" s="98" t="n"/>
      <c r="B101" s="99" t="n"/>
      <c r="C101" s="99" t="n"/>
      <c r="D101" s="99" t="n"/>
      <c r="E101" s="99" t="n"/>
      <c r="F101" s="99" t="n"/>
      <c r="G101" s="99" t="n"/>
      <c r="H101" s="99" t="n"/>
      <c r="I101" s="99" t="n"/>
      <c r="J101" s="99" t="n"/>
      <c r="K101" s="99" t="n"/>
      <c r="L101" s="99" t="n"/>
      <c r="M101" s="99" t="n"/>
      <c r="N101" s="99" t="n"/>
      <c r="O101" s="99" t="n"/>
      <c r="P101" s="99" t="n"/>
      <c r="Q101" s="99" t="n"/>
      <c r="R101" s="99" t="n"/>
      <c r="S101" s="99" t="n"/>
    </row>
    <row r="102" ht="15.75" customHeight="1">
      <c r="A102" s="100" t="n"/>
      <c r="B102" s="101" t="n"/>
      <c r="C102" s="101" t="n"/>
      <c r="D102" s="101" t="n"/>
      <c r="E102" s="101" t="n"/>
      <c r="F102" s="101" t="n"/>
      <c r="G102" s="101" t="n"/>
      <c r="H102" s="101" t="n"/>
      <c r="I102" s="101" t="n"/>
      <c r="J102" s="101" t="n"/>
      <c r="K102" s="101" t="n"/>
      <c r="L102" s="101" t="n"/>
      <c r="M102" s="101" t="n"/>
      <c r="N102" s="101" t="n"/>
      <c r="O102" s="101" t="n"/>
      <c r="P102" s="101" t="n"/>
      <c r="Q102" s="101" t="n"/>
      <c r="R102" s="101" t="n"/>
      <c r="S102" s="101" t="n"/>
    </row>
  </sheetData>
  <mergeCells count="36">
    <mergeCell ref="M58:Q58"/>
    <mergeCell ref="A71:S71"/>
    <mergeCell ref="R44:S44"/>
    <mergeCell ref="B16:F16"/>
    <mergeCell ref="B72:F72"/>
    <mergeCell ref="M44:Q44"/>
    <mergeCell ref="A16:A17"/>
    <mergeCell ref="B58:F58"/>
    <mergeCell ref="A29:S29"/>
    <mergeCell ref="G30:L30"/>
    <mergeCell ref="A43:S43"/>
    <mergeCell ref="R16:S16"/>
    <mergeCell ref="M2:Q2"/>
    <mergeCell ref="B2:F2"/>
    <mergeCell ref="R30:S30"/>
    <mergeCell ref="G58:L58"/>
    <mergeCell ref="A2:A3"/>
    <mergeCell ref="A15:S15"/>
    <mergeCell ref="B44:F44"/>
    <mergeCell ref="M16:Q16"/>
    <mergeCell ref="G16:L16"/>
    <mergeCell ref="M30:Q30"/>
    <mergeCell ref="G44:L44"/>
    <mergeCell ref="A1:S1"/>
    <mergeCell ref="A72:A73"/>
    <mergeCell ref="G72:L72"/>
    <mergeCell ref="A44:A45"/>
    <mergeCell ref="B30:F30"/>
    <mergeCell ref="R72:S72"/>
    <mergeCell ref="G2:L2"/>
    <mergeCell ref="R2:S2"/>
    <mergeCell ref="M72:Q72"/>
    <mergeCell ref="R58:S58"/>
    <mergeCell ref="A58:A59"/>
    <mergeCell ref="A57:S57"/>
    <mergeCell ref="A30:A31"/>
  </mergeCells>
  <pageMargins left="0.511811024" right="0.511811024" top="0.787401575" bottom="0.787401575" header="0.31496062" footer="0.31496062"/>
  <pageSetup orientation="portrait" paperSize="9"/>
</worksheet>
</file>

<file path=xl/worksheets/sheet27.xml><?xml version="1.0" encoding="utf-8"?>
<worksheet xmlns="http://schemas.openxmlformats.org/spreadsheetml/2006/main">
  <sheetPr codeName="Planilha4">
    <tabColor rgb="FFFFCCFF"/>
    <outlinePr summaryBelow="1" summaryRight="1"/>
    <pageSetUpPr/>
  </sheetPr>
  <dimension ref="A1:S98"/>
  <sheetViews>
    <sheetView topLeftCell="A94" zoomScaleNormal="100" workbookViewId="0">
      <pane xSplit="1" topLeftCell="C1" activePane="topRight" state="frozen"/>
      <selection pane="topRight" activeCell="N117" sqref="N117"/>
    </sheetView>
  </sheetViews>
  <sheetFormatPr baseColWidth="8" defaultRowHeight="15"/>
  <cols>
    <col width="32.85546875" customWidth="1" min="1" max="1"/>
    <col width="17.5703125" bestFit="1" customWidth="1" min="15" max="16"/>
    <col width="14.42578125" bestFit="1" customWidth="1" min="17" max="17"/>
    <col width="7.5703125" customWidth="1" min="18" max="18"/>
    <col width="10.85546875" bestFit="1" customWidth="1" min="19" max="19"/>
  </cols>
  <sheetData>
    <row r="1" ht="18" customHeight="1">
      <c r="A1" s="547" t="inlineStr">
        <is>
          <t>GASTO DE SACOLAS E ITENS DOADOS MÃES/2025 - MENSAIS</t>
        </is>
      </c>
      <c r="B1" s="742" t="n"/>
      <c r="C1" s="742" t="n"/>
      <c r="D1" s="742" t="n"/>
      <c r="E1" s="742" t="n"/>
      <c r="F1" s="742" t="n"/>
      <c r="G1" s="742" t="n"/>
      <c r="H1" s="742" t="n"/>
      <c r="I1" s="742" t="n"/>
      <c r="J1" s="742" t="n"/>
      <c r="K1" s="742" t="n"/>
      <c r="L1" s="742" t="n"/>
      <c r="M1" s="742" t="n"/>
      <c r="N1" s="742" t="n"/>
      <c r="O1" s="742" t="n"/>
      <c r="P1" s="743" t="n"/>
      <c r="R1" s="744" t="inlineStr">
        <is>
          <t>INÍCIO UTILIZAÇÃO</t>
        </is>
      </c>
      <c r="S1" s="670" t="n"/>
    </row>
    <row r="2" ht="18" customHeight="1">
      <c r="A2" s="547" t="inlineStr">
        <is>
          <t>PLAZA</t>
        </is>
      </c>
      <c r="B2" s="547" t="inlineStr">
        <is>
          <t>MARÇO</t>
        </is>
      </c>
      <c r="C2" s="742" t="n"/>
      <c r="D2" s="743" t="n"/>
      <c r="E2" s="547" t="inlineStr">
        <is>
          <t>ABRIL</t>
        </is>
      </c>
      <c r="F2" s="742" t="n"/>
      <c r="G2" s="742" t="n"/>
      <c r="H2" s="742" t="n"/>
      <c r="I2" s="743" t="n"/>
      <c r="J2" s="547" t="inlineStr">
        <is>
          <t>MAIO</t>
        </is>
      </c>
      <c r="K2" s="742" t="n"/>
      <c r="L2" s="742" t="n"/>
      <c r="M2" s="742" t="n"/>
      <c r="N2" s="743" t="n"/>
      <c r="O2" s="551" t="inlineStr">
        <is>
          <t>USOU ATÉ MÃES</t>
        </is>
      </c>
      <c r="P2" s="551" t="inlineStr">
        <is>
          <t>TOTAL GERAL</t>
        </is>
      </c>
      <c r="R2" s="298" t="inlineStr">
        <is>
          <t>LOJA</t>
        </is>
      </c>
      <c r="S2" s="299" t="n">
        <v>45761</v>
      </c>
    </row>
    <row r="3" ht="15.75" customHeight="1">
      <c r="A3" s="745" t="n"/>
      <c r="B3" s="295" t="n">
        <v>45740</v>
      </c>
      <c r="C3" s="295" t="n">
        <v>45747</v>
      </c>
      <c r="D3" s="551" t="inlineStr">
        <is>
          <t>USOU</t>
        </is>
      </c>
      <c r="E3" s="295" t="n">
        <v>45754</v>
      </c>
      <c r="F3" s="295" t="n">
        <v>45761</v>
      </c>
      <c r="G3" s="295" t="n">
        <v>45768</v>
      </c>
      <c r="H3" s="295" t="n">
        <v>45775</v>
      </c>
      <c r="I3" s="551" t="inlineStr">
        <is>
          <t>USOU</t>
        </is>
      </c>
      <c r="J3" s="295" t="n">
        <v>45782</v>
      </c>
      <c r="K3" s="295" t="n">
        <v>45789</v>
      </c>
      <c r="L3" s="295" t="n">
        <v>45796</v>
      </c>
      <c r="M3" s="295" t="n">
        <v>45803</v>
      </c>
      <c r="N3" s="551" t="inlineStr">
        <is>
          <t>USOU</t>
        </is>
      </c>
      <c r="O3" s="745" t="n"/>
      <c r="P3" s="745" t="n"/>
      <c r="R3" s="298" t="inlineStr">
        <is>
          <t>VD</t>
        </is>
      </c>
      <c r="S3" s="299" t="n">
        <v>45740</v>
      </c>
    </row>
    <row r="4" ht="15.75" customHeight="1">
      <c r="A4" s="181" t="inlineStr">
        <is>
          <t>SACOLA P</t>
        </is>
      </c>
      <c r="B4" s="80" t="n"/>
      <c r="C4" s="80" t="n"/>
      <c r="D4" s="183">
        <f>B4+C4</f>
        <v/>
      </c>
      <c r="E4" s="80" t="n"/>
      <c r="F4" s="80" t="n">
        <v>600</v>
      </c>
      <c r="G4" s="80" t="n">
        <v>200</v>
      </c>
      <c r="H4" s="80" t="n">
        <v>400</v>
      </c>
      <c r="I4" s="183">
        <f>E4+F4+G4+H4</f>
        <v/>
      </c>
      <c r="J4" s="80" t="n">
        <v>600</v>
      </c>
      <c r="K4" s="80" t="n">
        <v>1400</v>
      </c>
      <c r="L4" s="80" t="n">
        <v>0</v>
      </c>
      <c r="M4" s="80" t="n">
        <v>800</v>
      </c>
      <c r="N4" s="183">
        <f>J4+K4+L4+M4</f>
        <v/>
      </c>
      <c r="O4" s="195">
        <f>B4+C4+E4+F4+G4+H4+J4+K4</f>
        <v/>
      </c>
      <c r="P4" s="296">
        <f>D4+I4+N4</f>
        <v/>
      </c>
    </row>
    <row r="5" ht="15.75" customHeight="1">
      <c r="A5" s="181" t="inlineStr">
        <is>
          <t>SACOLA M</t>
        </is>
      </c>
      <c r="B5" s="80" t="n"/>
      <c r="C5" s="80" t="n"/>
      <c r="D5" s="183">
        <f>B5+C5</f>
        <v/>
      </c>
      <c r="E5" s="80" t="n"/>
      <c r="F5" s="80" t="n">
        <v>400</v>
      </c>
      <c r="G5" s="80" t="n">
        <v>600</v>
      </c>
      <c r="H5" s="80" t="n">
        <v>200</v>
      </c>
      <c r="I5" s="183">
        <f>E5+F5+G5+H5</f>
        <v/>
      </c>
      <c r="J5" s="80" t="n">
        <v>600</v>
      </c>
      <c r="K5" s="80" t="n">
        <v>200</v>
      </c>
      <c r="L5" s="80" t="n">
        <v>0</v>
      </c>
      <c r="M5" s="80" t="n">
        <v>0</v>
      </c>
      <c r="N5" s="183">
        <f>J5+K5+L5+M5</f>
        <v/>
      </c>
      <c r="O5" s="195">
        <f>B5+C5+E5+F5+G5+H5+J5+K5</f>
        <v/>
      </c>
      <c r="P5" s="296">
        <f>D5+I5+N5</f>
        <v/>
      </c>
    </row>
    <row r="6" ht="15.75" customHeight="1">
      <c r="A6" s="181" t="inlineStr">
        <is>
          <t>SACOLA G</t>
        </is>
      </c>
      <c r="B6" s="80" t="n"/>
      <c r="C6" s="80" t="n"/>
      <c r="D6" s="183">
        <f>B6+C6</f>
        <v/>
      </c>
      <c r="E6" s="80" t="n"/>
      <c r="F6" s="80" t="n">
        <v>100</v>
      </c>
      <c r="G6" s="80" t="n">
        <v>100</v>
      </c>
      <c r="H6" s="80" t="n">
        <v>100</v>
      </c>
      <c r="I6" s="183">
        <f>E6+F6+G6+H6</f>
        <v/>
      </c>
      <c r="J6" s="80" t="n">
        <v>0</v>
      </c>
      <c r="K6" s="80" t="n">
        <v>100</v>
      </c>
      <c r="L6" s="80" t="n">
        <v>0</v>
      </c>
      <c r="M6" s="80" t="n">
        <v>100</v>
      </c>
      <c r="N6" s="183">
        <f>J6+K6+L6+M6</f>
        <v/>
      </c>
      <c r="O6" s="195">
        <f>B6+C6+E6+F6+G6+H6+J6+K6</f>
        <v/>
      </c>
      <c r="P6" s="296">
        <f>D6+I6+N6</f>
        <v/>
      </c>
    </row>
    <row r="7" ht="15.75" customHeight="1">
      <c r="A7" s="106" t="inlineStr">
        <is>
          <t xml:space="preserve">PAPEL DE SEDA </t>
        </is>
      </c>
      <c r="B7" s="80" t="n"/>
      <c r="C7" s="80" t="n"/>
      <c r="D7" s="183">
        <f>B7+C7</f>
        <v/>
      </c>
      <c r="E7" s="80" t="n"/>
      <c r="F7" s="80" t="n">
        <v>2</v>
      </c>
      <c r="G7" s="80" t="n">
        <v>6</v>
      </c>
      <c r="H7" s="80" t="n">
        <v>2</v>
      </c>
      <c r="I7" s="183">
        <f>E7+F7+G7+H7</f>
        <v/>
      </c>
      <c r="J7" s="80" t="n">
        <v>6</v>
      </c>
      <c r="K7" s="80" t="n">
        <v>4</v>
      </c>
      <c r="L7" s="80" t="n">
        <v>0</v>
      </c>
      <c r="M7" s="80" t="n">
        <v>0</v>
      </c>
      <c r="N7" s="183">
        <f>J7+K7+L7+M7</f>
        <v/>
      </c>
      <c r="O7" s="195">
        <f>B7+C7+E7+F7+G7+H7+J7+K7</f>
        <v/>
      </c>
      <c r="P7" s="296">
        <f>D7+I7+N7</f>
        <v/>
      </c>
    </row>
    <row r="8" ht="15.75" customHeight="1">
      <c r="A8" s="106" t="inlineStr">
        <is>
          <t>ADESIVOS</t>
        </is>
      </c>
      <c r="B8" s="80" t="n"/>
      <c r="C8" s="80" t="n"/>
      <c r="D8" s="183">
        <f>B8+C8</f>
        <v/>
      </c>
      <c r="E8" s="80" t="n"/>
      <c r="F8" s="80" t="n">
        <v>0</v>
      </c>
      <c r="G8" s="80" t="n">
        <v>1</v>
      </c>
      <c r="H8" s="80" t="n">
        <v>0</v>
      </c>
      <c r="I8" s="183">
        <f>E8+F8+G8+H8</f>
        <v/>
      </c>
      <c r="J8" s="80" t="n">
        <v>1</v>
      </c>
      <c r="K8" s="80" t="n">
        <v>0</v>
      </c>
      <c r="L8" s="80" t="n">
        <v>0</v>
      </c>
      <c r="M8" s="80" t="n">
        <v>0</v>
      </c>
      <c r="N8" s="183">
        <f>J8+K8+L8+M8</f>
        <v/>
      </c>
      <c r="O8" s="195">
        <f>B8+C8+E8+F8+G8+H8+J8+K8</f>
        <v/>
      </c>
      <c r="P8" s="296">
        <f>D8+I8+N8</f>
        <v/>
      </c>
    </row>
    <row r="9" ht="15.75" customHeight="1">
      <c r="A9" s="106" t="inlineStr">
        <is>
          <t xml:space="preserve">TAGS </t>
        </is>
      </c>
      <c r="B9" s="80" t="n"/>
      <c r="C9" s="80" t="n"/>
      <c r="D9" s="183">
        <f>B9+C9</f>
        <v/>
      </c>
      <c r="E9" s="80" t="n"/>
      <c r="F9" s="80" t="n">
        <v>0</v>
      </c>
      <c r="G9" s="80" t="n">
        <v>0</v>
      </c>
      <c r="H9" s="80" t="n">
        <v>0</v>
      </c>
      <c r="I9" s="183">
        <f>E9+F9+G9+H9</f>
        <v/>
      </c>
      <c r="J9" s="80" t="n">
        <v>0</v>
      </c>
      <c r="K9" s="80" t="n">
        <v>2</v>
      </c>
      <c r="L9" s="80" t="n">
        <v>0</v>
      </c>
      <c r="M9" s="80" t="n">
        <v>0</v>
      </c>
      <c r="N9" s="183">
        <f>J9+K9+L9+M9</f>
        <v/>
      </c>
      <c r="O9" s="195">
        <f>B9+C9+E9+F9+G9+H9+J9+K9</f>
        <v/>
      </c>
      <c r="P9" s="296">
        <f>D9+I9+N9</f>
        <v/>
      </c>
    </row>
    <row r="10" ht="15.75" customHeight="1">
      <c r="A10" s="94" t="inlineStr">
        <is>
          <t>TOTAL DE SACOLAS</t>
        </is>
      </c>
      <c r="B10" s="95">
        <f>B4+B5+B6</f>
        <v/>
      </c>
      <c r="C10" s="95">
        <f>C4+C5+C6</f>
        <v/>
      </c>
      <c r="D10" s="95">
        <f>D4+D5+D6</f>
        <v/>
      </c>
      <c r="E10" s="95">
        <f>E4+E5+E6</f>
        <v/>
      </c>
      <c r="F10" s="95">
        <f>F4+F5+F6</f>
        <v/>
      </c>
      <c r="G10" s="95">
        <f>G4+G5+G6</f>
        <v/>
      </c>
      <c r="H10" s="95">
        <f>H4+H5+H6</f>
        <v/>
      </c>
      <c r="I10" s="95">
        <f>I4+I5+I6</f>
        <v/>
      </c>
      <c r="J10" s="95">
        <f>J4+J5+J6</f>
        <v/>
      </c>
      <c r="K10" s="95">
        <f>K4+K5+K6</f>
        <v/>
      </c>
      <c r="L10" s="95">
        <f>L4+L5+L6</f>
        <v/>
      </c>
      <c r="M10" s="95">
        <f>M4+M5+M6</f>
        <v/>
      </c>
      <c r="N10" s="95">
        <f>N4+N5+N6</f>
        <v/>
      </c>
      <c r="O10" s="297">
        <f>O4+O5+O6</f>
        <v/>
      </c>
      <c r="P10" s="297">
        <f>P4+P5+P6</f>
        <v/>
      </c>
    </row>
    <row r="12" ht="15.75" customHeight="1">
      <c r="A12" s="547" t="inlineStr">
        <is>
          <t>GASTO DE SACOLAS E ITENS DOADOS MÃES/2025 - MENSAIS</t>
        </is>
      </c>
      <c r="B12" s="742" t="n"/>
      <c r="C12" s="742" t="n"/>
      <c r="D12" s="742" t="n"/>
      <c r="E12" s="742" t="n"/>
      <c r="F12" s="742" t="n"/>
      <c r="G12" s="742" t="n"/>
      <c r="H12" s="742" t="n"/>
      <c r="I12" s="742" t="n"/>
      <c r="J12" s="742" t="n"/>
      <c r="K12" s="742" t="n"/>
      <c r="L12" s="742" t="n"/>
      <c r="M12" s="742" t="n"/>
      <c r="N12" s="742" t="n"/>
      <c r="O12" s="742" t="n"/>
      <c r="P12" s="743" t="n"/>
    </row>
    <row r="13" ht="18" customHeight="1">
      <c r="A13" s="547" t="inlineStr">
        <is>
          <t>BOQUEIRÃO</t>
        </is>
      </c>
      <c r="B13" s="547" t="inlineStr">
        <is>
          <t>MARÇO</t>
        </is>
      </c>
      <c r="C13" s="742" t="n"/>
      <c r="D13" s="743" t="n"/>
      <c r="E13" s="547" t="inlineStr">
        <is>
          <t>ABRIL</t>
        </is>
      </c>
      <c r="F13" s="742" t="n"/>
      <c r="G13" s="742" t="n"/>
      <c r="H13" s="742" t="n"/>
      <c r="I13" s="743" t="n"/>
      <c r="J13" s="547" t="inlineStr">
        <is>
          <t>MAIO</t>
        </is>
      </c>
      <c r="K13" s="742" t="n"/>
      <c r="L13" s="742" t="n"/>
      <c r="M13" s="742" t="n"/>
      <c r="N13" s="743" t="n"/>
      <c r="O13" s="551" t="inlineStr">
        <is>
          <t>USOU ATÉ MÃES</t>
        </is>
      </c>
      <c r="P13" s="551" t="inlineStr">
        <is>
          <t>TOTAL GERAL</t>
        </is>
      </c>
    </row>
    <row r="14" ht="18" customHeight="1">
      <c r="A14" s="745" t="n"/>
      <c r="B14" s="295" t="n">
        <v>45740</v>
      </c>
      <c r="C14" s="295" t="n">
        <v>45747</v>
      </c>
      <c r="D14" s="551" t="inlineStr">
        <is>
          <t>USOU</t>
        </is>
      </c>
      <c r="E14" s="295" t="n">
        <v>45754</v>
      </c>
      <c r="F14" s="295" t="n">
        <v>45761</v>
      </c>
      <c r="G14" s="295" t="n">
        <v>45768</v>
      </c>
      <c r="H14" s="295" t="n">
        <v>45775</v>
      </c>
      <c r="I14" s="551" t="inlineStr">
        <is>
          <t>USOU</t>
        </is>
      </c>
      <c r="J14" s="295" t="n">
        <v>45782</v>
      </c>
      <c r="K14" s="295" t="n">
        <v>45789</v>
      </c>
      <c r="L14" s="295" t="n">
        <v>45796</v>
      </c>
      <c r="M14" s="295" t="n">
        <v>45803</v>
      </c>
      <c r="N14" s="551" t="inlineStr">
        <is>
          <t>USOU</t>
        </is>
      </c>
      <c r="O14" s="745" t="n"/>
      <c r="P14" s="745" t="n"/>
    </row>
    <row r="15" ht="15.75" customHeight="1">
      <c r="A15" s="181" t="inlineStr">
        <is>
          <t>SACOLA P</t>
        </is>
      </c>
      <c r="B15" s="80" t="n"/>
      <c r="C15" s="80" t="n"/>
      <c r="D15" s="183">
        <f>B15+C15</f>
        <v/>
      </c>
      <c r="E15" s="80" t="n"/>
      <c r="F15" s="80" t="n">
        <v>0</v>
      </c>
      <c r="G15" s="80" t="n">
        <v>200</v>
      </c>
      <c r="H15" s="80" t="n">
        <v>200</v>
      </c>
      <c r="I15" s="183">
        <f>E15+F15+G15+H15</f>
        <v/>
      </c>
      <c r="J15" s="80" t="n">
        <v>560</v>
      </c>
      <c r="K15" s="80" t="n">
        <v>460</v>
      </c>
      <c r="L15" s="80" t="n">
        <v>360</v>
      </c>
      <c r="M15" s="80" t="n">
        <v>20</v>
      </c>
      <c r="N15" s="183">
        <f>J15+K15+L15+M15</f>
        <v/>
      </c>
      <c r="O15" s="195">
        <f>B15+C15+E15+F15+G15+H15+J15+K15</f>
        <v/>
      </c>
      <c r="P15" s="296">
        <f>D15+I15+N15</f>
        <v/>
      </c>
    </row>
    <row r="16" ht="15.75" customHeight="1">
      <c r="A16" s="181" t="inlineStr">
        <is>
          <t>SACOLA M</t>
        </is>
      </c>
      <c r="B16" s="80" t="n"/>
      <c r="C16" s="80" t="n"/>
      <c r="D16" s="183">
        <f>B16+C16</f>
        <v/>
      </c>
      <c r="E16" s="80" t="n"/>
      <c r="F16" s="80" t="n">
        <v>0</v>
      </c>
      <c r="G16" s="80" t="n">
        <v>140</v>
      </c>
      <c r="H16" s="80" t="n">
        <v>60</v>
      </c>
      <c r="I16" s="183">
        <f>E16+F16+G16+H16</f>
        <v/>
      </c>
      <c r="J16" s="80" t="n">
        <v>180</v>
      </c>
      <c r="K16" s="80" t="n">
        <v>620</v>
      </c>
      <c r="L16" s="80" t="n">
        <v>0</v>
      </c>
      <c r="M16" s="80" t="n">
        <v>0</v>
      </c>
      <c r="N16" s="183">
        <f>J16+K16+L16+M16</f>
        <v/>
      </c>
      <c r="O16" s="195">
        <f>B16+C16+E16+F16+G16+H16+J16+K16</f>
        <v/>
      </c>
      <c r="P16" s="296">
        <f>D16+I16+N16</f>
        <v/>
      </c>
    </row>
    <row r="17" ht="15.75" customHeight="1">
      <c r="A17" s="181" t="inlineStr">
        <is>
          <t>SACOLA G</t>
        </is>
      </c>
      <c r="B17" s="80" t="n"/>
      <c r="C17" s="80" t="n"/>
      <c r="D17" s="183">
        <f>B17+C17</f>
        <v/>
      </c>
      <c r="E17" s="80" t="n"/>
      <c r="F17" s="80" t="n">
        <v>0</v>
      </c>
      <c r="G17" s="80" t="n">
        <v>100</v>
      </c>
      <c r="H17" s="80" t="n">
        <v>100</v>
      </c>
      <c r="I17" s="183">
        <f>E17+F17+G17+H17</f>
        <v/>
      </c>
      <c r="J17" s="80" t="n">
        <v>0</v>
      </c>
      <c r="K17" s="80" t="n">
        <v>0</v>
      </c>
      <c r="L17" s="80" t="n">
        <v>0</v>
      </c>
      <c r="M17" s="80" t="n">
        <v>0</v>
      </c>
      <c r="N17" s="183">
        <f>J17+K17+L17+M17</f>
        <v/>
      </c>
      <c r="O17" s="195">
        <f>B17+C17+E17+F17+G17+H17+J17+K17</f>
        <v/>
      </c>
      <c r="P17" s="296">
        <f>D17+I17+N17</f>
        <v/>
      </c>
    </row>
    <row r="18" ht="15.75" customHeight="1">
      <c r="A18" s="106" t="inlineStr">
        <is>
          <t xml:space="preserve">PAPEL DE SEDA </t>
        </is>
      </c>
      <c r="B18" s="80" t="n"/>
      <c r="C18" s="80" t="n"/>
      <c r="D18" s="183">
        <f>B18+C18</f>
        <v/>
      </c>
      <c r="E18" s="80" t="n"/>
      <c r="F18" s="80" t="n">
        <v>0</v>
      </c>
      <c r="G18" s="80" t="n">
        <v>6</v>
      </c>
      <c r="H18" s="80" t="n">
        <v>0</v>
      </c>
      <c r="I18" s="183">
        <f>E18+F18+G18+H18</f>
        <v/>
      </c>
      <c r="J18" s="80" t="n">
        <v>0</v>
      </c>
      <c r="K18" s="80" t="n">
        <v>4</v>
      </c>
      <c r="L18" s="80" t="n">
        <v>0</v>
      </c>
      <c r="M18" s="80" t="n">
        <v>0</v>
      </c>
      <c r="N18" s="183">
        <f>J18+K18+L18+M18</f>
        <v/>
      </c>
      <c r="O18" s="195">
        <f>B18+C18+E18+F18+G18+H18+J18+K18</f>
        <v/>
      </c>
      <c r="P18" s="296">
        <f>D18+I18+N18</f>
        <v/>
      </c>
    </row>
    <row r="19" ht="15.75" customHeight="1">
      <c r="A19" s="106" t="inlineStr">
        <is>
          <t>ADESIVOS</t>
        </is>
      </c>
      <c r="B19" s="80" t="n"/>
      <c r="C19" s="80" t="n"/>
      <c r="D19" s="183">
        <f>B19+C19</f>
        <v/>
      </c>
      <c r="E19" s="80" t="n"/>
      <c r="F19" s="80" t="n">
        <v>0</v>
      </c>
      <c r="G19" s="80" t="n">
        <v>0</v>
      </c>
      <c r="H19" s="80" t="n">
        <v>1</v>
      </c>
      <c r="I19" s="183">
        <f>E19+F19+G19+H19</f>
        <v/>
      </c>
      <c r="J19" s="80" t="n">
        <v>0</v>
      </c>
      <c r="K19" s="80" t="n">
        <v>0</v>
      </c>
      <c r="L19" s="80" t="n">
        <v>0</v>
      </c>
      <c r="M19" s="80" t="n">
        <v>0</v>
      </c>
      <c r="N19" s="183">
        <f>J19+K19+L19+M19</f>
        <v/>
      </c>
      <c r="O19" s="195">
        <f>B19+C19+E19+F19+G19+H19+J19+K19</f>
        <v/>
      </c>
      <c r="P19" s="296">
        <f>D19+I19+N19</f>
        <v/>
      </c>
    </row>
    <row r="20" ht="15.75" customHeight="1">
      <c r="A20" s="106" t="inlineStr">
        <is>
          <t xml:space="preserve">TAGS </t>
        </is>
      </c>
      <c r="B20" s="80" t="n"/>
      <c r="C20" s="80" t="n"/>
      <c r="D20" s="183">
        <f>B20+C20</f>
        <v/>
      </c>
      <c r="E20" s="80" t="n"/>
      <c r="F20" s="80" t="n">
        <v>0</v>
      </c>
      <c r="G20" s="80" t="n">
        <v>1</v>
      </c>
      <c r="H20" s="80" t="n">
        <v>1</v>
      </c>
      <c r="I20" s="183">
        <f>E20+F20+G20+H20</f>
        <v/>
      </c>
      <c r="J20" s="80" t="n">
        <v>0</v>
      </c>
      <c r="K20" s="80" t="n">
        <v>0</v>
      </c>
      <c r="L20" s="80" t="n">
        <v>0</v>
      </c>
      <c r="M20" s="80" t="n">
        <v>0</v>
      </c>
      <c r="N20" s="183">
        <f>J20+K20+L20+M20</f>
        <v/>
      </c>
      <c r="O20" s="195">
        <f>B20+C20+E20+F20+G20+H20+J20+K20</f>
        <v/>
      </c>
      <c r="P20" s="296">
        <f>D20+I20+N20</f>
        <v/>
      </c>
    </row>
    <row r="21" ht="15.75" customHeight="1">
      <c r="A21" s="94" t="inlineStr">
        <is>
          <t>TOTAL DE SACOLAS</t>
        </is>
      </c>
      <c r="B21" s="95">
        <f>B15+B16+B17</f>
        <v/>
      </c>
      <c r="C21" s="95">
        <f>C15+C16+C17</f>
        <v/>
      </c>
      <c r="D21" s="95">
        <f>D15+D16+D17</f>
        <v/>
      </c>
      <c r="E21" s="95">
        <f>E15+E16+E17</f>
        <v/>
      </c>
      <c r="F21" s="95">
        <f>F15+F16+F17</f>
        <v/>
      </c>
      <c r="G21" s="95">
        <f>G15+G16+G17</f>
        <v/>
      </c>
      <c r="H21" s="95">
        <f>H15+H16+H17</f>
        <v/>
      </c>
      <c r="I21" s="95">
        <f>I15+I16+I17</f>
        <v/>
      </c>
      <c r="J21" s="95">
        <f>J15+J16+J17</f>
        <v/>
      </c>
      <c r="K21" s="95">
        <f>K15+K16+K17</f>
        <v/>
      </c>
      <c r="L21" s="95">
        <f>L15+L16+L17</f>
        <v/>
      </c>
      <c r="M21" s="95">
        <f>M15+M16+M17</f>
        <v/>
      </c>
      <c r="N21" s="95">
        <f>N15+N16+N17</f>
        <v/>
      </c>
      <c r="O21" s="297">
        <f>O15+O16+O17</f>
        <v/>
      </c>
      <c r="P21" s="297">
        <f>P15+P16+P17</f>
        <v/>
      </c>
    </row>
    <row r="23" ht="15.75" customHeight="1">
      <c r="A23" s="547" t="inlineStr">
        <is>
          <t>GASTO DE SACOLAS E ITENS DOADOS MÃES/2025 - MENSAIS</t>
        </is>
      </c>
      <c r="B23" s="742" t="n"/>
      <c r="C23" s="742" t="n"/>
      <c r="D23" s="742" t="n"/>
      <c r="E23" s="742" t="n"/>
      <c r="F23" s="742" t="n"/>
      <c r="G23" s="742" t="n"/>
      <c r="H23" s="742" t="n"/>
      <c r="I23" s="742" t="n"/>
      <c r="J23" s="742" t="n"/>
      <c r="K23" s="742" t="n"/>
      <c r="L23" s="742" t="n"/>
      <c r="M23" s="742" t="n"/>
      <c r="N23" s="742" t="n"/>
      <c r="O23" s="742" t="n"/>
      <c r="P23" s="743" t="n"/>
    </row>
    <row r="24" ht="15.75" customHeight="1">
      <c r="A24" s="547" t="inlineStr">
        <is>
          <t>TUPI</t>
        </is>
      </c>
      <c r="B24" s="547" t="inlineStr">
        <is>
          <t>MARÇO</t>
        </is>
      </c>
      <c r="C24" s="742" t="n"/>
      <c r="D24" s="743" t="n"/>
      <c r="E24" s="547" t="inlineStr">
        <is>
          <t>ABRIL</t>
        </is>
      </c>
      <c r="F24" s="742" t="n"/>
      <c r="G24" s="742" t="n"/>
      <c r="H24" s="742" t="n"/>
      <c r="I24" s="743" t="n"/>
      <c r="J24" s="547" t="inlineStr">
        <is>
          <t>MAIO</t>
        </is>
      </c>
      <c r="K24" s="742" t="n"/>
      <c r="L24" s="742" t="n"/>
      <c r="M24" s="742" t="n"/>
      <c r="N24" s="743" t="n"/>
      <c r="O24" s="551" t="inlineStr">
        <is>
          <t>USOU ATÉ MÃES</t>
        </is>
      </c>
      <c r="P24" s="551" t="inlineStr">
        <is>
          <t>TOTAL GERAL</t>
        </is>
      </c>
    </row>
    <row r="25" ht="15.75" customHeight="1">
      <c r="A25" s="745" t="n"/>
      <c r="B25" s="295" t="n">
        <v>45740</v>
      </c>
      <c r="C25" s="295" t="n">
        <v>45747</v>
      </c>
      <c r="D25" s="551" t="inlineStr">
        <is>
          <t>USOU</t>
        </is>
      </c>
      <c r="E25" s="295" t="n">
        <v>45754</v>
      </c>
      <c r="F25" s="295" t="n">
        <v>45761</v>
      </c>
      <c r="G25" s="295" t="n">
        <v>45768</v>
      </c>
      <c r="H25" s="295" t="n">
        <v>45775</v>
      </c>
      <c r="I25" s="551" t="inlineStr">
        <is>
          <t>USOU</t>
        </is>
      </c>
      <c r="J25" s="295" t="n">
        <v>45782</v>
      </c>
      <c r="K25" s="295" t="n">
        <v>45789</v>
      </c>
      <c r="L25" s="295" t="n">
        <v>45796</v>
      </c>
      <c r="M25" s="295" t="n">
        <v>45803</v>
      </c>
      <c r="N25" s="551" t="inlineStr">
        <is>
          <t>USOU</t>
        </is>
      </c>
      <c r="O25" s="745" t="n"/>
      <c r="P25" s="745" t="n"/>
    </row>
    <row r="26" ht="15.75" customHeight="1">
      <c r="A26" s="181" t="inlineStr">
        <is>
          <t>SACOLA P</t>
        </is>
      </c>
      <c r="B26" s="80" t="n"/>
      <c r="C26" s="80" t="n"/>
      <c r="D26" s="183">
        <f>B26+C26</f>
        <v/>
      </c>
      <c r="E26" s="80" t="n"/>
      <c r="F26" s="80" t="n">
        <v>400</v>
      </c>
      <c r="G26" s="80" t="n">
        <v>60</v>
      </c>
      <c r="H26" s="80" t="n">
        <v>260</v>
      </c>
      <c r="I26" s="183">
        <f>E26+F26+G26+H26</f>
        <v/>
      </c>
      <c r="J26" s="80" t="n">
        <v>400</v>
      </c>
      <c r="K26" s="80" t="n">
        <v>480</v>
      </c>
      <c r="L26" s="80" t="n">
        <v>0</v>
      </c>
      <c r="M26" s="80" t="n">
        <v>0</v>
      </c>
      <c r="N26" s="183">
        <f>J26+K26+L26+M26</f>
        <v/>
      </c>
      <c r="O26" s="195">
        <f>B26+C26+E26+F26+G26+H26+J26+K26</f>
        <v/>
      </c>
      <c r="P26" s="296">
        <f>D26+I26+N26</f>
        <v/>
      </c>
    </row>
    <row r="27" ht="15.75" customHeight="1">
      <c r="A27" s="181" t="inlineStr">
        <is>
          <t>SACOLA M</t>
        </is>
      </c>
      <c r="B27" s="80" t="n"/>
      <c r="C27" s="80" t="n"/>
      <c r="D27" s="183">
        <f>B27+C27</f>
        <v/>
      </c>
      <c r="E27" s="80" t="n"/>
      <c r="F27" s="80" t="n">
        <v>140</v>
      </c>
      <c r="G27" s="80" t="n">
        <v>80</v>
      </c>
      <c r="H27" s="80" t="n">
        <v>100</v>
      </c>
      <c r="I27" s="183">
        <f>E27+F27+G27+H27</f>
        <v/>
      </c>
      <c r="J27" s="80" t="n">
        <v>200</v>
      </c>
      <c r="K27" s="80" t="n">
        <v>480</v>
      </c>
      <c r="L27" s="80" t="n">
        <v>0</v>
      </c>
      <c r="M27" s="80" t="n">
        <v>0</v>
      </c>
      <c r="N27" s="183">
        <f>J27+K27+L27+M27</f>
        <v/>
      </c>
      <c r="O27" s="195">
        <f>B27+C27+E27+F27+G27+H27+J27+K27</f>
        <v/>
      </c>
      <c r="P27" s="296">
        <f>D27+I27+N27</f>
        <v/>
      </c>
    </row>
    <row r="28" ht="15.75" customHeight="1">
      <c r="A28" s="181" t="inlineStr">
        <is>
          <t>SACOLA G</t>
        </is>
      </c>
      <c r="B28" s="80" t="n"/>
      <c r="C28" s="80" t="n"/>
      <c r="D28" s="183">
        <f>B28+C28</f>
        <v/>
      </c>
      <c r="E28" s="80" t="n"/>
      <c r="F28" s="80" t="n">
        <v>100</v>
      </c>
      <c r="G28" s="80" t="n">
        <v>20</v>
      </c>
      <c r="H28" s="80" t="n">
        <v>40</v>
      </c>
      <c r="I28" s="183">
        <f>E28+F28+G28+H28</f>
        <v/>
      </c>
      <c r="J28" s="80" t="n">
        <v>0</v>
      </c>
      <c r="K28" s="80" t="n">
        <v>40</v>
      </c>
      <c r="L28" s="80" t="n">
        <v>0</v>
      </c>
      <c r="M28" s="80" t="n">
        <v>0</v>
      </c>
      <c r="N28" s="183">
        <f>J28+K28+L28+M28</f>
        <v/>
      </c>
      <c r="O28" s="195">
        <f>B28+C28+E28+F28+G28+H28+J28+K28</f>
        <v/>
      </c>
      <c r="P28" s="296">
        <f>D28+I28+N28</f>
        <v/>
      </c>
    </row>
    <row r="29" ht="15.75" customHeight="1">
      <c r="A29" s="106" t="inlineStr">
        <is>
          <t xml:space="preserve">PAPEL DE SEDA </t>
        </is>
      </c>
      <c r="B29" s="80" t="n"/>
      <c r="C29" s="80" t="n"/>
      <c r="D29" s="183">
        <f>B29+C29</f>
        <v/>
      </c>
      <c r="E29" s="80" t="n"/>
      <c r="F29" s="80" t="n">
        <v>0</v>
      </c>
      <c r="G29" s="80" t="n">
        <v>1</v>
      </c>
      <c r="H29" s="80" t="n">
        <v>3</v>
      </c>
      <c r="I29" s="183">
        <f>E29+F29+G29+H29</f>
        <v/>
      </c>
      <c r="J29" s="80" t="n">
        <v>2</v>
      </c>
      <c r="K29" s="80" t="n">
        <v>4</v>
      </c>
      <c r="L29" s="80" t="n">
        <v>0</v>
      </c>
      <c r="M29" s="80" t="n">
        <v>0</v>
      </c>
      <c r="N29" s="183">
        <f>J29+K29+L29+M29</f>
        <v/>
      </c>
      <c r="O29" s="195">
        <f>B29+C29+E29+F29+G29+H29+J29+K29</f>
        <v/>
      </c>
      <c r="P29" s="296">
        <f>D29+I29+N29</f>
        <v/>
      </c>
    </row>
    <row r="30" ht="15.75" customHeight="1">
      <c r="A30" s="106" t="inlineStr">
        <is>
          <t>ADESIVOS</t>
        </is>
      </c>
      <c r="B30" s="80" t="n"/>
      <c r="C30" s="80" t="n"/>
      <c r="D30" s="183">
        <f>B30+C30</f>
        <v/>
      </c>
      <c r="E30" s="80" t="n"/>
      <c r="F30" s="80" t="n">
        <v>1</v>
      </c>
      <c r="G30" s="80" t="n">
        <v>0</v>
      </c>
      <c r="H30" s="80" t="n">
        <v>0</v>
      </c>
      <c r="I30" s="183">
        <f>E30+F30+G30+H30</f>
        <v/>
      </c>
      <c r="J30" s="80" t="n">
        <v>0</v>
      </c>
      <c r="K30" s="80" t="n">
        <v>0</v>
      </c>
      <c r="L30" s="80" t="n">
        <v>0</v>
      </c>
      <c r="M30" s="80" t="n">
        <v>0</v>
      </c>
      <c r="N30" s="183">
        <f>J30+K30+L30+M30</f>
        <v/>
      </c>
      <c r="O30" s="195">
        <f>B30+C30+E30+F30+G30+H30+J30+K30</f>
        <v/>
      </c>
      <c r="P30" s="296">
        <f>D30+I30+N30</f>
        <v/>
      </c>
    </row>
    <row r="31" ht="15.75" customHeight="1">
      <c r="A31" s="106" t="inlineStr">
        <is>
          <t xml:space="preserve">TAGS </t>
        </is>
      </c>
      <c r="B31" s="80" t="n"/>
      <c r="C31" s="80" t="n"/>
      <c r="D31" s="183">
        <f>B31+C31</f>
        <v/>
      </c>
      <c r="E31" s="80" t="n"/>
      <c r="F31" s="80" t="n">
        <v>1</v>
      </c>
      <c r="G31" s="80" t="n">
        <v>1</v>
      </c>
      <c r="H31" s="80" t="n">
        <v>0</v>
      </c>
      <c r="I31" s="183">
        <f>E31+F31+G31+H31</f>
        <v/>
      </c>
      <c r="J31" s="80" t="n">
        <v>0</v>
      </c>
      <c r="K31" s="80" t="n">
        <v>0</v>
      </c>
      <c r="L31" s="80" t="n">
        <v>0</v>
      </c>
      <c r="M31" s="80" t="n">
        <v>0</v>
      </c>
      <c r="N31" s="183">
        <f>J31+K31+L31+M31</f>
        <v/>
      </c>
      <c r="O31" s="195">
        <f>B31+C31+E31+F31+G31+H31+J31+K31</f>
        <v/>
      </c>
      <c r="P31" s="296">
        <f>D31+I31+N31</f>
        <v/>
      </c>
    </row>
    <row r="32" ht="15.75" customHeight="1">
      <c r="A32" s="94" t="inlineStr">
        <is>
          <t>TOTAL DE SACOLAS</t>
        </is>
      </c>
      <c r="B32" s="95">
        <f>B26+B27+B28</f>
        <v/>
      </c>
      <c r="C32" s="95">
        <f>C26+C27+C28</f>
        <v/>
      </c>
      <c r="D32" s="95">
        <f>D26+D27+D28</f>
        <v/>
      </c>
      <c r="E32" s="95">
        <f>E26+E27+E28</f>
        <v/>
      </c>
      <c r="F32" s="95">
        <f>F26+F27+F28</f>
        <v/>
      </c>
      <c r="G32" s="95">
        <f>G26+G27+G28</f>
        <v/>
      </c>
      <c r="H32" s="95">
        <f>H26+H27+H28</f>
        <v/>
      </c>
      <c r="I32" s="95">
        <f>I26+I27+I28</f>
        <v/>
      </c>
      <c r="J32" s="95">
        <f>J26+J27+J28</f>
        <v/>
      </c>
      <c r="K32" s="95">
        <f>K26+K27+K28</f>
        <v/>
      </c>
      <c r="L32" s="95">
        <f>L26+L27+L28</f>
        <v/>
      </c>
      <c r="M32" s="95">
        <f>M26+M27+M28</f>
        <v/>
      </c>
      <c r="N32" s="95">
        <f>N26+N27+N28</f>
        <v/>
      </c>
      <c r="O32" s="297">
        <f>O26+O27+O28</f>
        <v/>
      </c>
      <c r="P32" s="297">
        <f>P26+P27+P28</f>
        <v/>
      </c>
    </row>
    <row r="34" ht="15.75" customHeight="1">
      <c r="A34" s="547" t="inlineStr">
        <is>
          <t>GASTO DE SACOLAS E ITENS DOADOS MÃES/2025 - MENSAIS</t>
        </is>
      </c>
      <c r="B34" s="742" t="n"/>
      <c r="C34" s="742" t="n"/>
      <c r="D34" s="742" t="n"/>
      <c r="E34" s="742" t="n"/>
      <c r="F34" s="742" t="n"/>
      <c r="G34" s="742" t="n"/>
      <c r="H34" s="742" t="n"/>
      <c r="I34" s="742" t="n"/>
      <c r="J34" s="742" t="n"/>
      <c r="K34" s="742" t="n"/>
      <c r="L34" s="742" t="n"/>
      <c r="M34" s="742" t="n"/>
      <c r="N34" s="742" t="n"/>
      <c r="O34" s="742" t="n"/>
      <c r="P34" s="743" t="n"/>
    </row>
    <row r="35" ht="15.75" customHeight="1">
      <c r="A35" s="547" t="inlineStr">
        <is>
          <t>PERUÍBE</t>
        </is>
      </c>
      <c r="B35" s="547" t="inlineStr">
        <is>
          <t>MARÇO</t>
        </is>
      </c>
      <c r="C35" s="742" t="n"/>
      <c r="D35" s="743" t="n"/>
      <c r="E35" s="547" t="inlineStr">
        <is>
          <t>ABRIL</t>
        </is>
      </c>
      <c r="F35" s="742" t="n"/>
      <c r="G35" s="742" t="n"/>
      <c r="H35" s="742" t="n"/>
      <c r="I35" s="743" t="n"/>
      <c r="J35" s="547" t="inlineStr">
        <is>
          <t>MAIO</t>
        </is>
      </c>
      <c r="K35" s="742" t="n"/>
      <c r="L35" s="742" t="n"/>
      <c r="M35" s="742" t="n"/>
      <c r="N35" s="743" t="n"/>
      <c r="O35" s="551" t="inlineStr">
        <is>
          <t>USOU ATÉ MÃES</t>
        </is>
      </c>
      <c r="P35" s="551" t="inlineStr">
        <is>
          <t>TOTAL GERAL</t>
        </is>
      </c>
    </row>
    <row r="36" ht="15.75" customHeight="1">
      <c r="A36" s="745" t="n"/>
      <c r="B36" s="295" t="n">
        <v>45740</v>
      </c>
      <c r="C36" s="295" t="n">
        <v>45747</v>
      </c>
      <c r="D36" s="551" t="inlineStr">
        <is>
          <t>USOU</t>
        </is>
      </c>
      <c r="E36" s="295" t="n">
        <v>45754</v>
      </c>
      <c r="F36" s="295" t="n">
        <v>45761</v>
      </c>
      <c r="G36" s="295" t="n">
        <v>45768</v>
      </c>
      <c r="H36" s="295" t="n">
        <v>45775</v>
      </c>
      <c r="I36" s="551" t="inlineStr">
        <is>
          <t>USOU</t>
        </is>
      </c>
      <c r="J36" s="295" t="n">
        <v>45782</v>
      </c>
      <c r="K36" s="295" t="n">
        <v>45789</v>
      </c>
      <c r="L36" s="295" t="n">
        <v>45796</v>
      </c>
      <c r="M36" s="295" t="n">
        <v>45803</v>
      </c>
      <c r="N36" s="551" t="inlineStr">
        <is>
          <t>USOU</t>
        </is>
      </c>
      <c r="O36" s="745" t="n"/>
      <c r="P36" s="745" t="n"/>
    </row>
    <row r="37" ht="15.75" customHeight="1">
      <c r="A37" s="181" t="inlineStr">
        <is>
          <t>SACOLA P</t>
        </is>
      </c>
      <c r="B37" s="80" t="n"/>
      <c r="C37" s="80" t="n"/>
      <c r="D37" s="183">
        <f>B37+C37</f>
        <v/>
      </c>
      <c r="E37" s="80" t="n"/>
      <c r="F37" s="80" t="n">
        <v>500</v>
      </c>
      <c r="G37" s="80" t="n">
        <v>75</v>
      </c>
      <c r="H37" s="80" t="n">
        <v>200</v>
      </c>
      <c r="I37" s="183">
        <f>E37+F37+G37+H37</f>
        <v/>
      </c>
      <c r="J37" s="80" t="n">
        <v>225</v>
      </c>
      <c r="K37" s="80" t="n">
        <v>200</v>
      </c>
      <c r="L37" s="80" t="n">
        <v>600</v>
      </c>
      <c r="M37" s="80" t="n">
        <v>0</v>
      </c>
      <c r="N37" s="183">
        <f>J37+K37+L37+M37</f>
        <v/>
      </c>
      <c r="O37" s="195">
        <f>B37+C37+E37+F37+G37+H37+J37+K37</f>
        <v/>
      </c>
      <c r="P37" s="296">
        <f>D37+I37+N37</f>
        <v/>
      </c>
    </row>
    <row r="38" ht="15.75" customHeight="1">
      <c r="A38" s="181" t="inlineStr">
        <is>
          <t>SACOLA M</t>
        </is>
      </c>
      <c r="B38" s="80" t="n"/>
      <c r="C38" s="80" t="n"/>
      <c r="D38" s="183">
        <f>B38+C38</f>
        <v/>
      </c>
      <c r="E38" s="80" t="n"/>
      <c r="F38" s="80" t="n">
        <v>200</v>
      </c>
      <c r="G38" s="80" t="n">
        <v>50</v>
      </c>
      <c r="H38" s="80" t="n">
        <v>0</v>
      </c>
      <c r="I38" s="183">
        <f>E38+F38+G38+H38</f>
        <v/>
      </c>
      <c r="J38" s="80" t="n">
        <v>250</v>
      </c>
      <c r="K38" s="80" t="n">
        <v>500</v>
      </c>
      <c r="L38" s="80" t="n">
        <v>700</v>
      </c>
      <c r="M38" s="80" t="n">
        <v>100</v>
      </c>
      <c r="N38" s="183">
        <f>J38+K38+L38+M38</f>
        <v/>
      </c>
      <c r="O38" s="195">
        <f>B38+C38+E38+F38+G38+H38+J38+K38</f>
        <v/>
      </c>
      <c r="P38" s="296">
        <f>D38+I38+N38</f>
        <v/>
      </c>
    </row>
    <row r="39" ht="15.75" customHeight="1">
      <c r="A39" s="181" t="inlineStr">
        <is>
          <t>SACOLA G</t>
        </is>
      </c>
      <c r="B39" s="80" t="n"/>
      <c r="C39" s="80" t="n"/>
      <c r="D39" s="183">
        <f>B39+C39</f>
        <v/>
      </c>
      <c r="E39" s="80" t="n"/>
      <c r="F39" s="80" t="n">
        <v>75</v>
      </c>
      <c r="G39" s="80" t="n">
        <v>5</v>
      </c>
      <c r="H39" s="80" t="n">
        <v>0</v>
      </c>
      <c r="I39" s="183">
        <f>E39+F39+G39+H39</f>
        <v/>
      </c>
      <c r="J39" s="80" t="n">
        <v>0</v>
      </c>
      <c r="K39" s="80" t="n">
        <v>120</v>
      </c>
      <c r="L39" s="80" t="n">
        <v>180</v>
      </c>
      <c r="M39" s="80" t="n">
        <v>20</v>
      </c>
      <c r="N39" s="183">
        <f>J39+K39+L39+M39</f>
        <v/>
      </c>
      <c r="O39" s="195">
        <f>B39+C39+E39+F39+G39+H39+J39+K39</f>
        <v/>
      </c>
      <c r="P39" s="296">
        <f>D39+I39+N39</f>
        <v/>
      </c>
    </row>
    <row r="40" ht="15.75" customHeight="1">
      <c r="A40" s="106" t="inlineStr">
        <is>
          <t xml:space="preserve">PAPEL DE SEDA </t>
        </is>
      </c>
      <c r="B40" s="80" t="n"/>
      <c r="C40" s="80" t="n"/>
      <c r="D40" s="183">
        <f>B40+C40</f>
        <v/>
      </c>
      <c r="E40" s="80" t="n"/>
      <c r="F40" s="80" t="n">
        <v>1</v>
      </c>
      <c r="G40" s="80" t="n">
        <v>1</v>
      </c>
      <c r="H40" s="80" t="n">
        <v>1</v>
      </c>
      <c r="I40" s="183">
        <f>E40+F40+G40+H40</f>
        <v/>
      </c>
      <c r="J40" s="80" t="n">
        <v>2</v>
      </c>
      <c r="K40" s="80" t="n">
        <v>5</v>
      </c>
      <c r="L40" s="80" t="n">
        <v>0</v>
      </c>
      <c r="M40" s="80" t="n">
        <v>0</v>
      </c>
      <c r="N40" s="183">
        <f>J40+K40+L40+M40</f>
        <v/>
      </c>
      <c r="O40" s="195">
        <f>B40+C40+E40+F40+G40+H40+J40+K40</f>
        <v/>
      </c>
      <c r="P40" s="296">
        <f>D40+I40+N40</f>
        <v/>
      </c>
    </row>
    <row r="41" ht="15.75" customHeight="1">
      <c r="A41" s="106" t="inlineStr">
        <is>
          <t>ADESIVOS</t>
        </is>
      </c>
      <c r="B41" s="80" t="n"/>
      <c r="C41" s="80" t="n"/>
      <c r="D41" s="183">
        <f>B41+C41</f>
        <v/>
      </c>
      <c r="E41" s="80" t="n"/>
      <c r="F41" s="80" t="n">
        <v>0</v>
      </c>
      <c r="G41" s="80" t="n">
        <v>0</v>
      </c>
      <c r="H41" s="80" t="n">
        <v>1</v>
      </c>
      <c r="I41" s="183">
        <f>E41+F41+G41+H41</f>
        <v/>
      </c>
      <c r="J41" s="80" t="n">
        <v>0</v>
      </c>
      <c r="K41" s="80" t="n">
        <v>0</v>
      </c>
      <c r="L41" s="80" t="n">
        <v>0</v>
      </c>
      <c r="M41" s="80" t="n">
        <v>0</v>
      </c>
      <c r="N41" s="183">
        <f>J41+K41+L41+M41</f>
        <v/>
      </c>
      <c r="O41" s="195">
        <f>B41+C41+E41+F41+G41+H41+J41+K41</f>
        <v/>
      </c>
      <c r="P41" s="296">
        <f>D41+I41+N41</f>
        <v/>
      </c>
    </row>
    <row r="42" ht="15.75" customHeight="1">
      <c r="A42" s="106" t="inlineStr">
        <is>
          <t xml:space="preserve">TAGS </t>
        </is>
      </c>
      <c r="B42" s="80" t="n"/>
      <c r="C42" s="80" t="n"/>
      <c r="D42" s="183">
        <f>B42+C42</f>
        <v/>
      </c>
      <c r="E42" s="80" t="n"/>
      <c r="F42" s="80" t="n">
        <v>0</v>
      </c>
      <c r="G42" s="80" t="n">
        <v>1</v>
      </c>
      <c r="H42" s="80" t="n">
        <v>0</v>
      </c>
      <c r="I42" s="183">
        <f>E42+F42+G42+H42</f>
        <v/>
      </c>
      <c r="J42" s="80" t="n">
        <v>0</v>
      </c>
      <c r="K42" s="80" t="n">
        <v>1</v>
      </c>
      <c r="L42" s="80" t="n">
        <v>0</v>
      </c>
      <c r="M42" s="80" t="n">
        <v>0</v>
      </c>
      <c r="N42" s="183">
        <f>J42+K42+L42+M42</f>
        <v/>
      </c>
      <c r="O42" s="195">
        <f>B42+C42+E42+F42+G42+H42+J42+K42</f>
        <v/>
      </c>
      <c r="P42" s="296">
        <f>D42+I42+N42</f>
        <v/>
      </c>
    </row>
    <row r="43" ht="15.75" customHeight="1">
      <c r="A43" s="94" t="inlineStr">
        <is>
          <t>TOTAL DE SACOLAS</t>
        </is>
      </c>
      <c r="B43" s="95">
        <f>B37+B38+B39</f>
        <v/>
      </c>
      <c r="C43" s="95">
        <f>C37+C38+C39</f>
        <v/>
      </c>
      <c r="D43" s="95">
        <f>D37+D38+D39</f>
        <v/>
      </c>
      <c r="E43" s="95">
        <f>E37+E38+E39</f>
        <v/>
      </c>
      <c r="F43" s="95">
        <f>F37+F38+F39</f>
        <v/>
      </c>
      <c r="G43" s="95">
        <f>G37+G38+G39</f>
        <v/>
      </c>
      <c r="H43" s="95">
        <f>H37+H38+H39</f>
        <v/>
      </c>
      <c r="I43" s="95">
        <f>I37+I38+I39</f>
        <v/>
      </c>
      <c r="J43" s="95">
        <f>J37+J38+J39</f>
        <v/>
      </c>
      <c r="K43" s="95">
        <f>K37+K38+K39</f>
        <v/>
      </c>
      <c r="L43" s="95">
        <f>L37+L38+L39</f>
        <v/>
      </c>
      <c r="M43" s="95">
        <f>M37+M38+M39</f>
        <v/>
      </c>
      <c r="N43" s="95">
        <f>N37+N38+N39</f>
        <v/>
      </c>
      <c r="O43" s="297">
        <f>O37+O38+O39</f>
        <v/>
      </c>
      <c r="P43" s="297">
        <f>P37+P38+P39</f>
        <v/>
      </c>
    </row>
    <row r="45" ht="15.75" customHeight="1">
      <c r="A45" s="547" t="inlineStr">
        <is>
          <t>GASTO DE SACOLAS E ITENS DOADOS MÃES/2025 - MENSAIS</t>
        </is>
      </c>
      <c r="B45" s="742" t="n"/>
      <c r="C45" s="742" t="n"/>
      <c r="D45" s="742" t="n"/>
      <c r="E45" s="742" t="n"/>
      <c r="F45" s="742" t="n"/>
      <c r="G45" s="742" t="n"/>
      <c r="H45" s="742" t="n"/>
      <c r="I45" s="742" t="n"/>
      <c r="J45" s="742" t="n"/>
      <c r="K45" s="742" t="n"/>
      <c r="L45" s="742" t="n"/>
      <c r="M45" s="742" t="n"/>
      <c r="N45" s="742" t="n"/>
      <c r="O45" s="742" t="n"/>
      <c r="P45" s="743" t="n"/>
    </row>
    <row r="46" ht="15.75" customHeight="1">
      <c r="A46" s="547" t="inlineStr">
        <is>
          <t>MONGAGUÁ</t>
        </is>
      </c>
      <c r="B46" s="547" t="inlineStr">
        <is>
          <t>MARÇO</t>
        </is>
      </c>
      <c r="C46" s="742" t="n"/>
      <c r="D46" s="743" t="n"/>
      <c r="E46" s="547" t="inlineStr">
        <is>
          <t>ABRIL</t>
        </is>
      </c>
      <c r="F46" s="742" t="n"/>
      <c r="G46" s="742" t="n"/>
      <c r="H46" s="742" t="n"/>
      <c r="I46" s="743" t="n"/>
      <c r="J46" s="547" t="inlineStr">
        <is>
          <t>MAIO</t>
        </is>
      </c>
      <c r="K46" s="742" t="n"/>
      <c r="L46" s="742" t="n"/>
      <c r="M46" s="742" t="n"/>
      <c r="N46" s="743" t="n"/>
      <c r="O46" s="551" t="inlineStr">
        <is>
          <t>USOU ATÉ MÃES</t>
        </is>
      </c>
      <c r="P46" s="551" t="inlineStr">
        <is>
          <t>TOTAL GERAL</t>
        </is>
      </c>
    </row>
    <row r="47" ht="15.75" customHeight="1">
      <c r="A47" s="745" t="n"/>
      <c r="B47" s="295" t="n">
        <v>45740</v>
      </c>
      <c r="C47" s="295" t="n">
        <v>45747</v>
      </c>
      <c r="D47" s="551" t="inlineStr">
        <is>
          <t>USOU</t>
        </is>
      </c>
      <c r="E47" s="295" t="n">
        <v>45754</v>
      </c>
      <c r="F47" s="295" t="n">
        <v>45761</v>
      </c>
      <c r="G47" s="295" t="n">
        <v>45768</v>
      </c>
      <c r="H47" s="295" t="n">
        <v>45775</v>
      </c>
      <c r="I47" s="551" t="inlineStr">
        <is>
          <t>USOU</t>
        </is>
      </c>
      <c r="J47" s="295" t="n">
        <v>45782</v>
      </c>
      <c r="K47" s="295" t="n">
        <v>45789</v>
      </c>
      <c r="L47" s="295" t="n">
        <v>45796</v>
      </c>
      <c r="M47" s="295" t="n">
        <v>45803</v>
      </c>
      <c r="N47" s="551" t="inlineStr">
        <is>
          <t>USOU</t>
        </is>
      </c>
      <c r="O47" s="745" t="n"/>
      <c r="P47" s="745" t="n"/>
    </row>
    <row r="48" ht="15.75" customHeight="1">
      <c r="A48" s="181" t="inlineStr">
        <is>
          <t>SACOLA P</t>
        </is>
      </c>
      <c r="B48" s="80" t="n"/>
      <c r="C48" s="80" t="n"/>
      <c r="D48" s="183">
        <f>B48+C48</f>
        <v/>
      </c>
      <c r="E48" s="80" t="n"/>
      <c r="F48" s="80" t="n">
        <v>80</v>
      </c>
      <c r="G48" s="80" t="n">
        <v>20</v>
      </c>
      <c r="H48" s="80" t="n">
        <v>170</v>
      </c>
      <c r="I48" s="183">
        <f>E48+F48+G48+H48</f>
        <v/>
      </c>
      <c r="J48" s="80" t="n">
        <v>160</v>
      </c>
      <c r="K48" s="80" t="n">
        <v>570</v>
      </c>
      <c r="L48" s="80" t="n">
        <v>0</v>
      </c>
      <c r="M48" s="80" t="n">
        <v>0</v>
      </c>
      <c r="N48" s="183">
        <f>J48+K48+L48+M48</f>
        <v/>
      </c>
      <c r="O48" s="195">
        <f>B48+C48+E48+F48+G48+H48+J48+K48</f>
        <v/>
      </c>
      <c r="P48" s="296">
        <f>D48+I48+N48</f>
        <v/>
      </c>
    </row>
    <row r="49" ht="15.75" customHeight="1">
      <c r="A49" s="181" t="inlineStr">
        <is>
          <t>SACOLA M</t>
        </is>
      </c>
      <c r="B49" s="80" t="n"/>
      <c r="C49" s="80" t="n"/>
      <c r="D49" s="183">
        <f>B49+C49</f>
        <v/>
      </c>
      <c r="E49" s="80" t="n"/>
      <c r="F49" s="80" t="n">
        <v>30</v>
      </c>
      <c r="G49" s="80" t="n">
        <v>120</v>
      </c>
      <c r="H49" s="80" t="n">
        <v>70</v>
      </c>
      <c r="I49" s="183">
        <f>E49+F49+G49+H49</f>
        <v/>
      </c>
      <c r="J49" s="80" t="n">
        <v>150</v>
      </c>
      <c r="K49" s="80" t="n">
        <v>230</v>
      </c>
      <c r="L49" s="80" t="n">
        <v>0</v>
      </c>
      <c r="M49" s="80" t="n">
        <v>0</v>
      </c>
      <c r="N49" s="183">
        <f>J49+K49+L49+M49</f>
        <v/>
      </c>
      <c r="O49" s="195">
        <f>B49+C49+E49+F49+G49+H49+J49+K49</f>
        <v/>
      </c>
      <c r="P49" s="296">
        <f>D49+I49+N49</f>
        <v/>
      </c>
    </row>
    <row r="50" ht="15.75" customHeight="1">
      <c r="A50" s="181" t="inlineStr">
        <is>
          <t>SACOLA G</t>
        </is>
      </c>
      <c r="B50" s="80" t="n"/>
      <c r="C50" s="80" t="n"/>
      <c r="D50" s="183">
        <f>B50+C50</f>
        <v/>
      </c>
      <c r="E50" s="80" t="n"/>
      <c r="F50" s="80" t="n">
        <v>0</v>
      </c>
      <c r="G50" s="80" t="n">
        <v>60</v>
      </c>
      <c r="H50" s="80" t="n">
        <v>20</v>
      </c>
      <c r="I50" s="183">
        <f>E50+F50+G50+H50</f>
        <v/>
      </c>
      <c r="J50" s="80" t="n">
        <v>20</v>
      </c>
      <c r="K50" s="80" t="n">
        <v>0</v>
      </c>
      <c r="L50" s="80" t="n">
        <v>0</v>
      </c>
      <c r="M50" s="80" t="n">
        <v>0</v>
      </c>
      <c r="N50" s="183">
        <f>J50+K50+L50+M50</f>
        <v/>
      </c>
      <c r="O50" s="195">
        <f>B50+C50+E50+F50+G50+H50+J50+K50</f>
        <v/>
      </c>
      <c r="P50" s="296">
        <f>D50+I50+N50</f>
        <v/>
      </c>
    </row>
    <row r="51" ht="15.75" customHeight="1">
      <c r="A51" s="106" t="inlineStr">
        <is>
          <t xml:space="preserve">PAPEL DE SEDA </t>
        </is>
      </c>
      <c r="B51" s="80" t="n"/>
      <c r="C51" s="80" t="n"/>
      <c r="D51" s="183">
        <f>B51+C51</f>
        <v/>
      </c>
      <c r="E51" s="80" t="n"/>
      <c r="F51" s="80" t="n">
        <v>2</v>
      </c>
      <c r="G51" s="80" t="n">
        <v>2</v>
      </c>
      <c r="H51" s="80" t="n">
        <v>0</v>
      </c>
      <c r="I51" s="183">
        <f>E51+F51+G51+H51</f>
        <v/>
      </c>
      <c r="J51" s="80" t="n">
        <v>2</v>
      </c>
      <c r="K51" s="80" t="n">
        <v>2</v>
      </c>
      <c r="L51" s="80" t="n">
        <v>0</v>
      </c>
      <c r="M51" s="80" t="n">
        <v>0</v>
      </c>
      <c r="N51" s="183">
        <f>J51+K51+L51+M51</f>
        <v/>
      </c>
      <c r="O51" s="195">
        <f>B51+C51+E51+F51+G51+H51+J51+K51</f>
        <v/>
      </c>
      <c r="P51" s="296">
        <f>D51+I51+N51</f>
        <v/>
      </c>
    </row>
    <row r="52" ht="15.75" customHeight="1">
      <c r="A52" s="106" t="inlineStr">
        <is>
          <t>ADESIVOS</t>
        </is>
      </c>
      <c r="B52" s="80" t="n"/>
      <c r="C52" s="80" t="n"/>
      <c r="D52" s="183">
        <f>B52+C52</f>
        <v/>
      </c>
      <c r="E52" s="80" t="n"/>
      <c r="F52" s="80" t="n">
        <v>0</v>
      </c>
      <c r="G52" s="80" t="n">
        <v>0</v>
      </c>
      <c r="H52" s="80" t="n">
        <v>0</v>
      </c>
      <c r="I52" s="183">
        <f>E52+F52+G52+H52</f>
        <v/>
      </c>
      <c r="J52" s="80" t="n">
        <v>75</v>
      </c>
      <c r="K52" s="80" t="n">
        <v>75</v>
      </c>
      <c r="L52" s="80" t="n">
        <v>0</v>
      </c>
      <c r="M52" s="80" t="n">
        <v>0</v>
      </c>
      <c r="N52" s="183">
        <f>J52+K52+L52+M52</f>
        <v/>
      </c>
      <c r="O52" s="195">
        <f>B52+C52+E52+F52+G52+H52+J52+K52</f>
        <v/>
      </c>
      <c r="P52" s="296">
        <f>D52+I52+N52</f>
        <v/>
      </c>
    </row>
    <row r="53" ht="15.75" customHeight="1">
      <c r="A53" s="106" t="inlineStr">
        <is>
          <t xml:space="preserve">TAGS </t>
        </is>
      </c>
      <c r="B53" s="80" t="n"/>
      <c r="C53" s="80" t="n"/>
      <c r="D53" s="183">
        <f>B53+C53</f>
        <v/>
      </c>
      <c r="E53" s="80" t="n"/>
      <c r="F53" s="80" t="n">
        <v>0</v>
      </c>
      <c r="G53" s="80" t="n">
        <v>0</v>
      </c>
      <c r="H53" s="80" t="n">
        <v>0</v>
      </c>
      <c r="I53" s="183">
        <f>E53+F53+G53+H53</f>
        <v/>
      </c>
      <c r="J53" s="80" t="n">
        <v>0</v>
      </c>
      <c r="K53" s="80" t="n">
        <v>1</v>
      </c>
      <c r="L53" s="80" t="n">
        <v>0</v>
      </c>
      <c r="M53" s="80" t="n">
        <v>0</v>
      </c>
      <c r="N53" s="183">
        <f>J53+K53+L53+M53</f>
        <v/>
      </c>
      <c r="O53" s="195">
        <f>B53+C53+E53+F53+G53+H53+J53+K53</f>
        <v/>
      </c>
      <c r="P53" s="296">
        <f>D53+I53+N53</f>
        <v/>
      </c>
    </row>
    <row r="54" ht="15.75" customHeight="1">
      <c r="A54" s="94" t="inlineStr">
        <is>
          <t>TOTAL DE SACOLAS</t>
        </is>
      </c>
      <c r="B54" s="95">
        <f>B48+B49+B50</f>
        <v/>
      </c>
      <c r="C54" s="95">
        <f>C48+C49+C50</f>
        <v/>
      </c>
      <c r="D54" s="95">
        <f>D48+D49+D50</f>
        <v/>
      </c>
      <c r="E54" s="95">
        <f>E48+E49+E50</f>
        <v/>
      </c>
      <c r="F54" s="95">
        <f>F48+F49+F50</f>
        <v/>
      </c>
      <c r="G54" s="95">
        <f>G48+G49+G50</f>
        <v/>
      </c>
      <c r="H54" s="95">
        <f>H48+H49+H50</f>
        <v/>
      </c>
      <c r="I54" s="95">
        <f>I48+I49+I50</f>
        <v/>
      </c>
      <c r="J54" s="95">
        <f>J48+J49+J50</f>
        <v/>
      </c>
      <c r="K54" s="95">
        <f>K48+K49+K50</f>
        <v/>
      </c>
      <c r="L54" s="95">
        <f>L48+L49+L50</f>
        <v/>
      </c>
      <c r="M54" s="95">
        <f>M48+M49+M50</f>
        <v/>
      </c>
      <c r="N54" s="95">
        <f>N48+N49+N50</f>
        <v/>
      </c>
      <c r="O54" s="297">
        <f>O48+O49+O50</f>
        <v/>
      </c>
      <c r="P54" s="297">
        <f>P48+P49+P50</f>
        <v/>
      </c>
    </row>
    <row r="56" ht="15.75" customHeight="1">
      <c r="A56" s="547" t="inlineStr">
        <is>
          <t>GASTO DE SACOLAS E ITENS DOADOS MÃES/2025 - MENSAIS</t>
        </is>
      </c>
      <c r="B56" s="742" t="n"/>
      <c r="C56" s="742" t="n"/>
      <c r="D56" s="742" t="n"/>
      <c r="E56" s="742" t="n"/>
      <c r="F56" s="742" t="n"/>
      <c r="G56" s="742" t="n"/>
      <c r="H56" s="742" t="n"/>
      <c r="I56" s="742" t="n"/>
      <c r="J56" s="742" t="n"/>
      <c r="K56" s="742" t="n"/>
      <c r="L56" s="742" t="n"/>
      <c r="M56" s="742" t="n"/>
      <c r="N56" s="742" t="n"/>
      <c r="O56" s="742" t="n"/>
      <c r="P56" s="743" t="n"/>
    </row>
    <row r="57" ht="15.75" customHeight="1">
      <c r="A57" s="547" t="inlineStr">
        <is>
          <t>ATACADÃO</t>
        </is>
      </c>
      <c r="B57" s="547" t="inlineStr">
        <is>
          <t>MARÇO</t>
        </is>
      </c>
      <c r="C57" s="742" t="n"/>
      <c r="D57" s="743" t="n"/>
      <c r="E57" s="547" t="inlineStr">
        <is>
          <t>ABRIL</t>
        </is>
      </c>
      <c r="F57" s="742" t="n"/>
      <c r="G57" s="742" t="n"/>
      <c r="H57" s="742" t="n"/>
      <c r="I57" s="743" t="n"/>
      <c r="J57" s="547" t="inlineStr">
        <is>
          <t>MAIO</t>
        </is>
      </c>
      <c r="K57" s="742" t="n"/>
      <c r="L57" s="742" t="n"/>
      <c r="M57" s="742" t="n"/>
      <c r="N57" s="743" t="n"/>
      <c r="O57" s="551" t="inlineStr">
        <is>
          <t>USOU ATÉ MÃES</t>
        </is>
      </c>
      <c r="P57" s="551" t="inlineStr">
        <is>
          <t>TOTAL GERAL</t>
        </is>
      </c>
    </row>
    <row r="58" ht="15.75" customHeight="1">
      <c r="A58" s="745" t="n"/>
      <c r="B58" s="295" t="n">
        <v>45740</v>
      </c>
      <c r="C58" s="295" t="n">
        <v>45747</v>
      </c>
      <c r="D58" s="551" t="inlineStr">
        <is>
          <t>USOU</t>
        </is>
      </c>
      <c r="E58" s="295" t="n">
        <v>45754</v>
      </c>
      <c r="F58" s="295" t="n">
        <v>45761</v>
      </c>
      <c r="G58" s="295" t="n">
        <v>45768</v>
      </c>
      <c r="H58" s="295" t="n">
        <v>45775</v>
      </c>
      <c r="I58" s="551" t="inlineStr">
        <is>
          <t>USOU</t>
        </is>
      </c>
      <c r="J58" s="295" t="n">
        <v>45782</v>
      </c>
      <c r="K58" s="295" t="n">
        <v>45789</v>
      </c>
      <c r="L58" s="295" t="n">
        <v>45796</v>
      </c>
      <c r="M58" s="295" t="n">
        <v>45803</v>
      </c>
      <c r="N58" s="551" t="inlineStr">
        <is>
          <t>USOU</t>
        </is>
      </c>
      <c r="O58" s="745" t="n"/>
      <c r="P58" s="745" t="n"/>
    </row>
    <row r="59" ht="15.75" customHeight="1">
      <c r="A59" s="181" t="inlineStr">
        <is>
          <t>SACOLA P</t>
        </is>
      </c>
      <c r="B59" s="80" t="n"/>
      <c r="C59" s="80" t="n"/>
      <c r="D59" s="183">
        <f>B59+C59</f>
        <v/>
      </c>
      <c r="E59" s="80" t="n"/>
      <c r="F59" s="80" t="n">
        <v>0</v>
      </c>
      <c r="G59" s="80" t="n">
        <v>200</v>
      </c>
      <c r="H59" s="80" t="n">
        <v>0</v>
      </c>
      <c r="I59" s="183">
        <f>E59+F59+G59+H59</f>
        <v/>
      </c>
      <c r="J59" s="80" t="n">
        <v>0</v>
      </c>
      <c r="K59" s="80" t="n">
        <v>0</v>
      </c>
      <c r="L59" s="80" t="n">
        <v>0</v>
      </c>
      <c r="M59" s="80" t="n">
        <v>0</v>
      </c>
      <c r="N59" s="183">
        <f>J59+K59+L59+M59</f>
        <v/>
      </c>
      <c r="O59" s="195">
        <f>B59+C59+E59+F59+G59+H59+J59+K59</f>
        <v/>
      </c>
      <c r="P59" s="296">
        <f>D59+I59+N59</f>
        <v/>
      </c>
    </row>
    <row r="60" ht="15.75" customHeight="1">
      <c r="A60" s="181" t="inlineStr">
        <is>
          <t>SACOLA M</t>
        </is>
      </c>
      <c r="B60" s="80" t="n"/>
      <c r="C60" s="80" t="n"/>
      <c r="D60" s="183">
        <f>B60+C60</f>
        <v/>
      </c>
      <c r="E60" s="80" t="n"/>
      <c r="F60" s="80" t="n">
        <v>0</v>
      </c>
      <c r="G60" s="80" t="n">
        <v>180</v>
      </c>
      <c r="H60" s="80" t="n">
        <v>20</v>
      </c>
      <c r="I60" s="183">
        <f>E60+F60+G60+H60</f>
        <v/>
      </c>
      <c r="J60" s="80" t="n">
        <v>0</v>
      </c>
      <c r="K60" s="80" t="n">
        <v>0</v>
      </c>
      <c r="L60" s="80" t="n">
        <v>0</v>
      </c>
      <c r="M60" s="80" t="n">
        <v>0</v>
      </c>
      <c r="N60" s="183">
        <f>J60+K60+L60+M60</f>
        <v/>
      </c>
      <c r="O60" s="195">
        <f>B60+C60+E60+F60+G60+H60+J60+K60</f>
        <v/>
      </c>
      <c r="P60" s="296">
        <f>D60+I60+N60</f>
        <v/>
      </c>
    </row>
    <row r="61" ht="15.75" customHeight="1">
      <c r="A61" s="181" t="inlineStr">
        <is>
          <t>SACOLA G</t>
        </is>
      </c>
      <c r="B61" s="80" t="n"/>
      <c r="C61" s="80" t="n"/>
      <c r="D61" s="183">
        <f>B61+C61</f>
        <v/>
      </c>
      <c r="E61" s="80" t="n"/>
      <c r="F61" s="80" t="n">
        <v>0</v>
      </c>
      <c r="G61" s="80" t="n">
        <v>10</v>
      </c>
      <c r="H61" s="80" t="n">
        <v>10</v>
      </c>
      <c r="I61" s="183">
        <f>E61+F61+G61+H61</f>
        <v/>
      </c>
      <c r="J61" s="80" t="n">
        <v>20</v>
      </c>
      <c r="K61" s="80" t="n">
        <v>34</v>
      </c>
      <c r="L61" s="80" t="n">
        <v>0</v>
      </c>
      <c r="M61" s="80" t="n">
        <v>0</v>
      </c>
      <c r="N61" s="183">
        <f>J61+K61+L61+M61</f>
        <v/>
      </c>
      <c r="O61" s="195">
        <f>B61+C61+E61+F61+G61+H61+J61+K61</f>
        <v/>
      </c>
      <c r="P61" s="296">
        <f>D61+I61+N61</f>
        <v/>
      </c>
    </row>
    <row r="62" ht="15.75" customHeight="1">
      <c r="A62" s="106" t="inlineStr">
        <is>
          <t xml:space="preserve">PAPEL DE SEDA </t>
        </is>
      </c>
      <c r="B62" s="80" t="n"/>
      <c r="C62" s="80" t="n"/>
      <c r="D62" s="183">
        <f>B62+C62</f>
        <v/>
      </c>
      <c r="E62" s="80" t="n"/>
      <c r="F62" s="80" t="n">
        <v>0</v>
      </c>
      <c r="G62" s="80" t="n">
        <v>2</v>
      </c>
      <c r="H62" s="80" t="n">
        <v>0</v>
      </c>
      <c r="I62" s="183">
        <f>E62+F62+G62+H62</f>
        <v/>
      </c>
      <c r="J62" s="80" t="n">
        <v>0</v>
      </c>
      <c r="K62" s="80" t="n">
        <v>0</v>
      </c>
      <c r="L62" s="80" t="n">
        <v>0</v>
      </c>
      <c r="M62" s="80" t="n">
        <v>0</v>
      </c>
      <c r="N62" s="183">
        <f>J62+K62+L62+M62</f>
        <v/>
      </c>
      <c r="O62" s="195">
        <f>B62+C62+E62+F62+G62+H62+J62+K62</f>
        <v/>
      </c>
      <c r="P62" s="296">
        <f>D62+I62+N62</f>
        <v/>
      </c>
    </row>
    <row r="63" ht="15.75" customHeight="1">
      <c r="A63" s="106" t="inlineStr">
        <is>
          <t>ADESIVOS</t>
        </is>
      </c>
      <c r="B63" s="80" t="n"/>
      <c r="C63" s="80" t="n"/>
      <c r="D63" s="183">
        <f>B63+C63</f>
        <v/>
      </c>
      <c r="E63" s="80" t="n"/>
      <c r="F63" s="80" t="n">
        <v>0</v>
      </c>
      <c r="G63" s="80" t="n">
        <v>0</v>
      </c>
      <c r="H63" s="80" t="n">
        <v>0</v>
      </c>
      <c r="I63" s="183">
        <f>E63+F63+G63+H63</f>
        <v/>
      </c>
      <c r="J63" s="80" t="n">
        <v>0</v>
      </c>
      <c r="K63" s="80" t="n">
        <v>0</v>
      </c>
      <c r="L63" s="80" t="n">
        <v>0</v>
      </c>
      <c r="M63" s="80" t="n">
        <v>0</v>
      </c>
      <c r="N63" s="183">
        <f>J63+K63+L63+M63</f>
        <v/>
      </c>
      <c r="O63" s="195">
        <f>B63+C63+E63+F63+G63+H63+J63+K63</f>
        <v/>
      </c>
      <c r="P63" s="296">
        <f>D63+I63+N63</f>
        <v/>
      </c>
    </row>
    <row r="64" ht="15.75" customHeight="1">
      <c r="A64" s="106" t="inlineStr">
        <is>
          <t xml:space="preserve">TAGS </t>
        </is>
      </c>
      <c r="B64" s="80" t="n"/>
      <c r="C64" s="80" t="n"/>
      <c r="D64" s="183">
        <f>B64+C64</f>
        <v/>
      </c>
      <c r="E64" s="80" t="n"/>
      <c r="F64" s="80" t="n">
        <v>0</v>
      </c>
      <c r="G64" s="80" t="n">
        <v>1</v>
      </c>
      <c r="H64" s="80" t="n">
        <v>0</v>
      </c>
      <c r="I64" s="183">
        <f>E64+F64+G64+H64</f>
        <v/>
      </c>
      <c r="J64" s="80" t="n">
        <v>0</v>
      </c>
      <c r="K64" s="80" t="n">
        <v>0</v>
      </c>
      <c r="L64" s="80" t="n">
        <v>0</v>
      </c>
      <c r="M64" s="80" t="n">
        <v>0</v>
      </c>
      <c r="N64" s="183">
        <f>J64+K64+L64+M64</f>
        <v/>
      </c>
      <c r="O64" s="195">
        <f>B64+C64+E64+F64+G64+H64+J64+K64</f>
        <v/>
      </c>
      <c r="P64" s="296">
        <f>D64+I64+N64</f>
        <v/>
      </c>
    </row>
    <row r="65" ht="15.75" customHeight="1">
      <c r="A65" s="94" t="inlineStr">
        <is>
          <t>TOTAL DE SACOLAS</t>
        </is>
      </c>
      <c r="B65" s="95">
        <f>B59+B60+B61</f>
        <v/>
      </c>
      <c r="C65" s="95">
        <f>C59+C60+C61</f>
        <v/>
      </c>
      <c r="D65" s="95">
        <f>D59+D60+D61</f>
        <v/>
      </c>
      <c r="E65" s="95">
        <f>E59+E60+E61</f>
        <v/>
      </c>
      <c r="F65" s="95">
        <f>F59+F60+F61</f>
        <v/>
      </c>
      <c r="G65" s="95">
        <f>G59+G60+G61</f>
        <v/>
      </c>
      <c r="H65" s="95">
        <f>H59+H60+H61</f>
        <v/>
      </c>
      <c r="I65" s="95">
        <f>I59+I60+I61</f>
        <v/>
      </c>
      <c r="J65" s="95">
        <f>J59+J60+J61</f>
        <v/>
      </c>
      <c r="K65" s="95">
        <f>K59+K60+K61</f>
        <v/>
      </c>
      <c r="L65" s="95">
        <f>L59+L60+L61</f>
        <v/>
      </c>
      <c r="M65" s="95">
        <f>M59+M60+M61</f>
        <v/>
      </c>
      <c r="N65" s="95">
        <f>N59+N60+N61</f>
        <v/>
      </c>
      <c r="O65" s="297">
        <f>O59+O60+O61</f>
        <v/>
      </c>
      <c r="P65" s="297">
        <f>P59+P60+P61</f>
        <v/>
      </c>
    </row>
    <row r="67" ht="15.75" customHeight="1">
      <c r="A67" s="547" t="inlineStr">
        <is>
          <t>GASTO DE SACOLAS E ITENS DOADOS MÃES/2025 - MENSAIS</t>
        </is>
      </c>
      <c r="B67" s="742" t="n"/>
      <c r="C67" s="742" t="n"/>
      <c r="D67" s="742" t="n"/>
      <c r="E67" s="742" t="n"/>
      <c r="F67" s="742" t="n"/>
      <c r="G67" s="742" t="n"/>
      <c r="H67" s="742" t="n"/>
      <c r="I67" s="742" t="n"/>
      <c r="J67" s="742" t="n"/>
      <c r="K67" s="742" t="n"/>
      <c r="L67" s="742" t="n"/>
      <c r="M67" s="742" t="n"/>
      <c r="N67" s="742" t="n"/>
      <c r="O67" s="742" t="n"/>
      <c r="P67" s="743" t="n"/>
    </row>
    <row r="68" ht="15.75" customHeight="1">
      <c r="A68" s="547" t="inlineStr">
        <is>
          <t>CD PRAIA</t>
        </is>
      </c>
      <c r="B68" s="547" t="inlineStr">
        <is>
          <t>MARÇO</t>
        </is>
      </c>
      <c r="C68" s="742" t="n"/>
      <c r="D68" s="743" t="n"/>
      <c r="E68" s="547" t="inlineStr">
        <is>
          <t>ABRIL</t>
        </is>
      </c>
      <c r="F68" s="742" t="n"/>
      <c r="G68" s="742" t="n"/>
      <c r="H68" s="742" t="n"/>
      <c r="I68" s="743" t="n"/>
      <c r="J68" s="547" t="inlineStr">
        <is>
          <t>MAIO</t>
        </is>
      </c>
      <c r="K68" s="742" t="n"/>
      <c r="L68" s="742" t="n"/>
      <c r="M68" s="742" t="n"/>
      <c r="N68" s="743" t="n"/>
      <c r="O68" s="551" t="inlineStr">
        <is>
          <t>USOU ATÉ MÃES</t>
        </is>
      </c>
      <c r="P68" s="551" t="inlineStr">
        <is>
          <t>TOTAL GERAL</t>
        </is>
      </c>
    </row>
    <row r="69" ht="15.75" customHeight="1">
      <c r="A69" s="745" t="n"/>
      <c r="B69" s="295" t="n">
        <v>45740</v>
      </c>
      <c r="C69" s="295" t="n">
        <v>45747</v>
      </c>
      <c r="D69" s="551" t="inlineStr">
        <is>
          <t>USOU</t>
        </is>
      </c>
      <c r="E69" s="295" t="n">
        <v>45754</v>
      </c>
      <c r="F69" s="295" t="n">
        <v>45761</v>
      </c>
      <c r="G69" s="295" t="n">
        <v>45768</v>
      </c>
      <c r="H69" s="295" t="n">
        <v>45775</v>
      </c>
      <c r="I69" s="551" t="inlineStr">
        <is>
          <t>USOU</t>
        </is>
      </c>
      <c r="J69" s="295" t="n">
        <v>45782</v>
      </c>
      <c r="K69" s="295" t="n">
        <v>45789</v>
      </c>
      <c r="L69" s="295" t="n">
        <v>45796</v>
      </c>
      <c r="M69" s="295" t="n">
        <v>45803</v>
      </c>
      <c r="N69" s="551" t="inlineStr">
        <is>
          <t>USOU</t>
        </is>
      </c>
      <c r="O69" s="745" t="n"/>
      <c r="P69" s="745" t="n"/>
    </row>
    <row r="70" ht="15.75" customHeight="1">
      <c r="A70" s="181" t="inlineStr">
        <is>
          <t>SACOLA P</t>
        </is>
      </c>
      <c r="B70" s="80" t="n"/>
      <c r="C70" s="80" t="n"/>
      <c r="D70" s="183">
        <f>B70+C70</f>
        <v/>
      </c>
      <c r="E70" s="80" t="n"/>
      <c r="F70" s="80" t="n">
        <v>0</v>
      </c>
      <c r="G70" s="80" t="n">
        <v>1200</v>
      </c>
      <c r="H70" s="80" t="n">
        <v>1000</v>
      </c>
      <c r="I70" s="183">
        <f>E70+F70+G70+H70</f>
        <v/>
      </c>
      <c r="J70" s="80" t="n">
        <v>800</v>
      </c>
      <c r="K70" s="80" t="n">
        <v>800</v>
      </c>
      <c r="L70" s="80" t="n">
        <v>200</v>
      </c>
      <c r="M70" s="80" t="n">
        <v>0</v>
      </c>
      <c r="N70" s="183">
        <f>J70+K70+L70+M70</f>
        <v/>
      </c>
      <c r="O70" s="195">
        <f>B70+C70+E70+F70+G70+H70+J70+K70</f>
        <v/>
      </c>
      <c r="P70" s="296">
        <f>D70+I70+N70</f>
        <v/>
      </c>
    </row>
    <row r="71" ht="15.75" customHeight="1">
      <c r="A71" s="181" t="inlineStr">
        <is>
          <t>SACOLA M</t>
        </is>
      </c>
      <c r="B71" s="80" t="n"/>
      <c r="C71" s="80" t="n"/>
      <c r="D71" s="183">
        <f>B71+C71</f>
        <v/>
      </c>
      <c r="E71" s="80" t="n"/>
      <c r="F71" s="80" t="n">
        <v>0</v>
      </c>
      <c r="G71" s="80" t="n">
        <v>0</v>
      </c>
      <c r="H71" s="80" t="n">
        <v>0</v>
      </c>
      <c r="I71" s="183">
        <f>E71+F71+G71+H71</f>
        <v/>
      </c>
      <c r="J71" s="80" t="n">
        <v>0</v>
      </c>
      <c r="K71" s="80" t="n">
        <v>0</v>
      </c>
      <c r="L71" s="80" t="n">
        <v>0</v>
      </c>
      <c r="M71" s="80" t="n">
        <v>0</v>
      </c>
      <c r="N71" s="183">
        <f>J71+K71+L71+M71</f>
        <v/>
      </c>
      <c r="O71" s="195">
        <f>B71+C71+E71+F71+G71+H71+J71+K71</f>
        <v/>
      </c>
      <c r="P71" s="296">
        <f>D71+I71+N71</f>
        <v/>
      </c>
    </row>
    <row r="72" ht="15.75" customHeight="1">
      <c r="A72" s="181" t="inlineStr">
        <is>
          <t>SACOLA G</t>
        </is>
      </c>
      <c r="B72" s="80" t="n"/>
      <c r="C72" s="80" t="n"/>
      <c r="D72" s="183">
        <f>B72+C72</f>
        <v/>
      </c>
      <c r="E72" s="80" t="n"/>
      <c r="F72" s="80" t="n">
        <v>0</v>
      </c>
      <c r="G72" s="80" t="n">
        <v>0</v>
      </c>
      <c r="H72" s="80" t="n">
        <v>0</v>
      </c>
      <c r="I72" s="183">
        <f>E72+F72+G72+H72</f>
        <v/>
      </c>
      <c r="J72" s="80" t="n">
        <v>0</v>
      </c>
      <c r="K72" s="80" t="n">
        <v>0</v>
      </c>
      <c r="L72" s="80" t="n">
        <v>0</v>
      </c>
      <c r="M72" s="80" t="n">
        <v>0</v>
      </c>
      <c r="N72" s="183">
        <f>J72+K72+L72+M72</f>
        <v/>
      </c>
      <c r="O72" s="195">
        <f>B72+C72+E72+F72+G72+H72+J72+K72</f>
        <v/>
      </c>
      <c r="P72" s="296">
        <f>D72+I72+N72</f>
        <v/>
      </c>
    </row>
    <row r="73" ht="15.75" customHeight="1">
      <c r="A73" s="106" t="inlineStr">
        <is>
          <t xml:space="preserve">PAPEL DE SEDA </t>
        </is>
      </c>
      <c r="B73" s="80" t="n"/>
      <c r="C73" s="80" t="n"/>
      <c r="D73" s="183">
        <f>B73+C73</f>
        <v/>
      </c>
      <c r="E73" s="80" t="n"/>
      <c r="F73" s="80" t="n">
        <v>0</v>
      </c>
      <c r="G73" s="80" t="n">
        <v>0</v>
      </c>
      <c r="H73" s="80" t="n">
        <v>0</v>
      </c>
      <c r="I73" s="183">
        <f>E73+F73+G73+H73</f>
        <v/>
      </c>
      <c r="J73" s="80" t="n">
        <v>0</v>
      </c>
      <c r="K73" s="80" t="n">
        <v>0</v>
      </c>
      <c r="L73" s="80" t="n">
        <v>0</v>
      </c>
      <c r="M73" s="80" t="n">
        <v>0</v>
      </c>
      <c r="N73" s="183">
        <f>J73+K73+L73+M73</f>
        <v/>
      </c>
      <c r="O73" s="195">
        <f>B73+C73+E73+F73+G73+H73+J73+K73</f>
        <v/>
      </c>
      <c r="P73" s="296">
        <f>D73+I73+N73</f>
        <v/>
      </c>
    </row>
    <row r="74" ht="15.75" customHeight="1">
      <c r="A74" s="106" t="inlineStr">
        <is>
          <t>ADESIVOS</t>
        </is>
      </c>
      <c r="B74" s="80" t="n"/>
      <c r="C74" s="80" t="n"/>
      <c r="D74" s="183">
        <f>B74+C74</f>
        <v/>
      </c>
      <c r="E74" s="80" t="n"/>
      <c r="F74" s="80" t="n">
        <v>0</v>
      </c>
      <c r="G74" s="80" t="n">
        <v>0</v>
      </c>
      <c r="H74" s="80" t="n">
        <v>0</v>
      </c>
      <c r="I74" s="183">
        <f>E74+F74+G74+H74</f>
        <v/>
      </c>
      <c r="J74" s="80" t="n">
        <v>0</v>
      </c>
      <c r="K74" s="80" t="n">
        <v>0</v>
      </c>
      <c r="L74" s="80" t="n">
        <v>0</v>
      </c>
      <c r="M74" s="80" t="n">
        <v>0</v>
      </c>
      <c r="N74" s="183">
        <f>J74+K74+L74+M74</f>
        <v/>
      </c>
      <c r="O74" s="195">
        <f>B74+C74+E74+F74+G74+H74+J74+K74</f>
        <v/>
      </c>
      <c r="P74" s="296">
        <f>D74+I74+N74</f>
        <v/>
      </c>
    </row>
    <row r="75" ht="15.75" customHeight="1">
      <c r="A75" s="106" t="inlineStr">
        <is>
          <t xml:space="preserve">TAGS </t>
        </is>
      </c>
      <c r="B75" s="80" t="n"/>
      <c r="C75" s="80" t="n"/>
      <c r="D75" s="183">
        <f>B75+C75</f>
        <v/>
      </c>
      <c r="E75" s="80" t="n"/>
      <c r="F75" s="80" t="n">
        <v>0</v>
      </c>
      <c r="G75" s="80" t="n">
        <v>0</v>
      </c>
      <c r="H75" s="80" t="n">
        <v>0</v>
      </c>
      <c r="I75" s="183">
        <f>E75+F75+G75+H75</f>
        <v/>
      </c>
      <c r="J75" s="80" t="n">
        <v>0</v>
      </c>
      <c r="K75" s="80" t="n">
        <v>0</v>
      </c>
      <c r="L75" s="80" t="n">
        <v>0</v>
      </c>
      <c r="M75" s="80" t="n">
        <v>0</v>
      </c>
      <c r="N75" s="183">
        <f>J75+K75+L75+M75</f>
        <v/>
      </c>
      <c r="O75" s="195">
        <f>B75+C75+E75+F75+G75+H75+J75+K75</f>
        <v/>
      </c>
      <c r="P75" s="296">
        <f>D75+I75+N75</f>
        <v/>
      </c>
    </row>
    <row r="76" ht="15.75" customHeight="1">
      <c r="A76" s="94" t="inlineStr">
        <is>
          <t>TOTAL DE SACOLAS</t>
        </is>
      </c>
      <c r="B76" s="95">
        <f>B70+B71+B72</f>
        <v/>
      </c>
      <c r="C76" s="95">
        <f>C70+C71+C72</f>
        <v/>
      </c>
      <c r="D76" s="95">
        <f>D70+D71+D72</f>
        <v/>
      </c>
      <c r="E76" s="95">
        <f>E70+E71+E72</f>
        <v/>
      </c>
      <c r="F76" s="95">
        <f>F70+F71+F72</f>
        <v/>
      </c>
      <c r="G76" s="95">
        <f>G70+G71+G72</f>
        <v/>
      </c>
      <c r="H76" s="95">
        <f>H70+H71+H72</f>
        <v/>
      </c>
      <c r="I76" s="95">
        <f>I70+I71+I72</f>
        <v/>
      </c>
      <c r="J76" s="95">
        <f>J70+J71+J72</f>
        <v/>
      </c>
      <c r="K76" s="95">
        <f>K70+K71+K72</f>
        <v/>
      </c>
      <c r="L76" s="95">
        <f>L70+L71+L72</f>
        <v/>
      </c>
      <c r="M76" s="95">
        <f>M70+M71+M72</f>
        <v/>
      </c>
      <c r="N76" s="95">
        <f>N70+N71+N72</f>
        <v/>
      </c>
      <c r="O76" s="297">
        <f>O70+O71+O72</f>
        <v/>
      </c>
      <c r="P76" s="297">
        <f>P70+P71+P72</f>
        <v/>
      </c>
    </row>
    <row r="78" ht="15.75" customHeight="1">
      <c r="A78" s="547" t="inlineStr">
        <is>
          <t>GASTO DE SACOLAS E ITENS DOADOS MÃES/2025 - MENSAIS</t>
        </is>
      </c>
      <c r="B78" s="742" t="n"/>
      <c r="C78" s="742" t="n"/>
      <c r="D78" s="742" t="n"/>
      <c r="E78" s="742" t="n"/>
      <c r="F78" s="742" t="n"/>
      <c r="G78" s="742" t="n"/>
      <c r="H78" s="742" t="n"/>
      <c r="I78" s="742" t="n"/>
      <c r="J78" s="742" t="n"/>
      <c r="K78" s="742" t="n"/>
      <c r="L78" s="742" t="n"/>
      <c r="M78" s="742" t="n"/>
      <c r="N78" s="742" t="n"/>
      <c r="O78" s="742" t="n"/>
      <c r="P78" s="743" t="n"/>
    </row>
    <row r="79" ht="15.75" customHeight="1">
      <c r="A79" s="547" t="inlineStr">
        <is>
          <t>ER PRAIA</t>
        </is>
      </c>
      <c r="B79" s="547" t="inlineStr">
        <is>
          <t>MARÇO</t>
        </is>
      </c>
      <c r="C79" s="742" t="n"/>
      <c r="D79" s="743" t="n"/>
      <c r="E79" s="547" t="inlineStr">
        <is>
          <t>ABRIL</t>
        </is>
      </c>
      <c r="F79" s="742" t="n"/>
      <c r="G79" s="742" t="n"/>
      <c r="H79" s="742" t="n"/>
      <c r="I79" s="743" t="n"/>
      <c r="J79" s="547" t="inlineStr">
        <is>
          <t>MAIO</t>
        </is>
      </c>
      <c r="K79" s="742" t="n"/>
      <c r="L79" s="742" t="n"/>
      <c r="M79" s="742" t="n"/>
      <c r="N79" s="743" t="n"/>
      <c r="O79" s="551" t="inlineStr">
        <is>
          <t>USOU ATÉ MÃES</t>
        </is>
      </c>
      <c r="P79" s="551" t="inlineStr">
        <is>
          <t>TOTAL GERAL</t>
        </is>
      </c>
    </row>
    <row r="80" ht="15.75" customHeight="1">
      <c r="A80" s="745" t="n"/>
      <c r="B80" s="295" t="n">
        <v>45740</v>
      </c>
      <c r="C80" s="295" t="n">
        <v>45747</v>
      </c>
      <c r="D80" s="551" t="inlineStr">
        <is>
          <t>USOU</t>
        </is>
      </c>
      <c r="E80" s="295" t="n">
        <v>45754</v>
      </c>
      <c r="F80" s="295" t="n">
        <v>45761</v>
      </c>
      <c r="G80" s="295" t="n">
        <v>45768</v>
      </c>
      <c r="H80" s="295" t="n">
        <v>45775</v>
      </c>
      <c r="I80" s="551" t="inlineStr">
        <is>
          <t>USOU</t>
        </is>
      </c>
      <c r="J80" s="295" t="n">
        <v>45782</v>
      </c>
      <c r="K80" s="295" t="n">
        <v>45789</v>
      </c>
      <c r="L80" s="295" t="n">
        <v>45796</v>
      </c>
      <c r="M80" s="295" t="n">
        <v>45803</v>
      </c>
      <c r="N80" s="551" t="inlineStr">
        <is>
          <t>USOU</t>
        </is>
      </c>
      <c r="O80" s="745" t="n"/>
      <c r="P80" s="745" t="n"/>
    </row>
    <row r="81" ht="15.75" customHeight="1">
      <c r="A81" s="181" t="inlineStr">
        <is>
          <t>SACOLA P</t>
        </is>
      </c>
      <c r="B81" s="80" t="n"/>
      <c r="C81" s="80" t="n"/>
      <c r="D81" s="183">
        <f>B81+C81</f>
        <v/>
      </c>
      <c r="E81" s="80" t="n"/>
      <c r="F81" s="80" t="n">
        <v>0</v>
      </c>
      <c r="G81" s="80" t="n">
        <v>1400</v>
      </c>
      <c r="H81" s="80" t="n">
        <v>800</v>
      </c>
      <c r="I81" s="183">
        <f>E81+F81+G81+H81</f>
        <v/>
      </c>
      <c r="J81" s="80" t="n">
        <v>0</v>
      </c>
      <c r="K81" s="80" t="n">
        <v>0</v>
      </c>
      <c r="L81" s="80" t="n">
        <v>0</v>
      </c>
      <c r="M81" s="80" t="n">
        <v>0</v>
      </c>
      <c r="N81" s="183">
        <f>J81+K81+L81+M81</f>
        <v/>
      </c>
      <c r="O81" s="195">
        <f>B81+C81+E81+F81+G81+H81+J81+K81</f>
        <v/>
      </c>
      <c r="P81" s="296">
        <f>D81+I81+N81</f>
        <v/>
      </c>
    </row>
    <row r="82" ht="15.75" customHeight="1">
      <c r="A82" s="181" t="inlineStr">
        <is>
          <t>SACOLA M</t>
        </is>
      </c>
      <c r="B82" s="80" t="n"/>
      <c r="C82" s="80" t="n"/>
      <c r="D82" s="183">
        <f>B82+C82</f>
        <v/>
      </c>
      <c r="E82" s="80" t="n"/>
      <c r="F82" s="80" t="n">
        <v>0</v>
      </c>
      <c r="G82" s="80" t="n">
        <v>200</v>
      </c>
      <c r="H82" s="80" t="n">
        <v>200</v>
      </c>
      <c r="I82" s="183">
        <f>E82+F82+G82+H82</f>
        <v/>
      </c>
      <c r="J82" s="80" t="n">
        <v>0</v>
      </c>
      <c r="K82" s="80" t="n">
        <v>0</v>
      </c>
      <c r="L82" s="80" t="n">
        <v>0</v>
      </c>
      <c r="M82" s="80" t="n">
        <v>0</v>
      </c>
      <c r="N82" s="183">
        <f>J82+K82+L82+M82</f>
        <v/>
      </c>
      <c r="O82" s="195">
        <f>B82+C82+E82+F82+G82+H82+J82+K82</f>
        <v/>
      </c>
      <c r="P82" s="296">
        <f>D82+I82+N82</f>
        <v/>
      </c>
    </row>
    <row r="83" ht="15.75" customHeight="1">
      <c r="A83" s="181" t="inlineStr">
        <is>
          <t>SACOLA G</t>
        </is>
      </c>
      <c r="B83" s="80" t="n"/>
      <c r="C83" s="80" t="n"/>
      <c r="D83" s="183">
        <f>B83+C83</f>
        <v/>
      </c>
      <c r="E83" s="80" t="n"/>
      <c r="F83" s="80" t="n">
        <v>0</v>
      </c>
      <c r="G83" s="80" t="n">
        <v>200</v>
      </c>
      <c r="H83" s="80" t="n">
        <v>100</v>
      </c>
      <c r="I83" s="183">
        <f>E83+F83+G83+H83</f>
        <v/>
      </c>
      <c r="J83" s="80" t="n">
        <v>0</v>
      </c>
      <c r="K83" s="80" t="n">
        <v>0</v>
      </c>
      <c r="L83" s="80" t="n">
        <v>0</v>
      </c>
      <c r="M83" s="80" t="n">
        <v>0</v>
      </c>
      <c r="N83" s="183">
        <f>J83+K83+L83+M83</f>
        <v/>
      </c>
      <c r="O83" s="195">
        <f>B83+C83+E83+F83+G83+H83+J83+K83</f>
        <v/>
      </c>
      <c r="P83" s="296">
        <f>D83+I83+N83</f>
        <v/>
      </c>
    </row>
    <row r="84" ht="15.75" customHeight="1">
      <c r="A84" s="106" t="inlineStr">
        <is>
          <t xml:space="preserve">PAPEL DE SEDA </t>
        </is>
      </c>
      <c r="B84" s="80" t="n"/>
      <c r="C84" s="80" t="n"/>
      <c r="D84" s="183">
        <f>B84+C84</f>
        <v/>
      </c>
      <c r="E84" s="80" t="n"/>
      <c r="F84" s="80" t="n">
        <v>0</v>
      </c>
      <c r="G84" s="80" t="n">
        <v>0</v>
      </c>
      <c r="H84" s="80" t="n">
        <v>0</v>
      </c>
      <c r="I84" s="183">
        <f>E84+F84+G84+H84</f>
        <v/>
      </c>
      <c r="J84" s="80" t="n">
        <v>0</v>
      </c>
      <c r="K84" s="80" t="n">
        <v>4</v>
      </c>
      <c r="L84" s="80" t="n">
        <v>0</v>
      </c>
      <c r="M84" s="80" t="n">
        <v>0</v>
      </c>
      <c r="N84" s="183">
        <f>J84+K84+L84+M84</f>
        <v/>
      </c>
      <c r="O84" s="195">
        <f>B84+C84+E84+F84+G84+H84+J84+K84</f>
        <v/>
      </c>
      <c r="P84" s="296">
        <f>D84+I84+N84</f>
        <v/>
      </c>
    </row>
    <row r="85" ht="15.75" customHeight="1">
      <c r="A85" s="106" t="inlineStr">
        <is>
          <t>ADESIVOS</t>
        </is>
      </c>
      <c r="B85" s="80" t="n"/>
      <c r="C85" s="80" t="n"/>
      <c r="D85" s="183">
        <f>B85+C85</f>
        <v/>
      </c>
      <c r="E85" s="80" t="n"/>
      <c r="F85" s="80" t="n">
        <v>0</v>
      </c>
      <c r="G85" s="80" t="n">
        <v>0</v>
      </c>
      <c r="H85" s="80" t="n">
        <v>0</v>
      </c>
      <c r="I85" s="183">
        <f>E85+F85+G85+H85</f>
        <v/>
      </c>
      <c r="J85" s="80" t="n">
        <v>0</v>
      </c>
      <c r="K85" s="80" t="n">
        <v>0</v>
      </c>
      <c r="L85" s="80" t="n">
        <v>0</v>
      </c>
      <c r="M85" s="80" t="n">
        <v>0</v>
      </c>
      <c r="N85" s="183">
        <f>J85+K85+L85+M85</f>
        <v/>
      </c>
      <c r="O85" s="195">
        <f>B85+C85+E85+F85+G85+H85+J85+K85</f>
        <v/>
      </c>
      <c r="P85" s="296">
        <f>D85+I85+N85</f>
        <v/>
      </c>
    </row>
    <row r="86" ht="15.75" customHeight="1">
      <c r="A86" s="106" t="inlineStr">
        <is>
          <t xml:space="preserve">TAGS </t>
        </is>
      </c>
      <c r="B86" s="80" t="n"/>
      <c r="C86" s="80" t="n"/>
      <c r="D86" s="183">
        <f>B86+C86</f>
        <v/>
      </c>
      <c r="E86" s="80" t="n"/>
      <c r="F86" s="80" t="n">
        <v>0</v>
      </c>
      <c r="G86" s="80" t="n">
        <v>0</v>
      </c>
      <c r="H86" s="80" t="n">
        <v>0</v>
      </c>
      <c r="I86" s="183">
        <f>E86+F86+G86+H86</f>
        <v/>
      </c>
      <c r="J86" s="80" t="n">
        <v>0</v>
      </c>
      <c r="K86" s="80" t="n">
        <v>5</v>
      </c>
      <c r="L86" s="80" t="n">
        <v>0</v>
      </c>
      <c r="M86" s="80" t="n">
        <v>0</v>
      </c>
      <c r="N86" s="183">
        <f>J86+K86+L86+M86</f>
        <v/>
      </c>
      <c r="O86" s="195">
        <f>B86+C86+E86+F86+G86+H86+J86+K86</f>
        <v/>
      </c>
      <c r="P86" s="296">
        <f>D86+I86+N86</f>
        <v/>
      </c>
    </row>
    <row r="87" ht="15.75" customHeight="1">
      <c r="A87" s="94" t="inlineStr">
        <is>
          <t>TOTAL DE SACOLAS</t>
        </is>
      </c>
      <c r="B87" s="95">
        <f>B81+B82+B83</f>
        <v/>
      </c>
      <c r="C87" s="95">
        <f>C81+C82+C83</f>
        <v/>
      </c>
      <c r="D87" s="95">
        <f>D81+D82+D83</f>
        <v/>
      </c>
      <c r="E87" s="95">
        <f>E81+E82+E83</f>
        <v/>
      </c>
      <c r="F87" s="95">
        <f>F81+F82+F83</f>
        <v/>
      </c>
      <c r="G87" s="95">
        <f>G81+G82+G83</f>
        <v/>
      </c>
      <c r="H87" s="95">
        <f>H81+H82+H83</f>
        <v/>
      </c>
      <c r="I87" s="95">
        <f>I81+I82+I83</f>
        <v/>
      </c>
      <c r="J87" s="95">
        <f>J81+J82+J83</f>
        <v/>
      </c>
      <c r="K87" s="95">
        <f>K81+K82+K83</f>
        <v/>
      </c>
      <c r="L87" s="95">
        <f>L81+L82+L83</f>
        <v/>
      </c>
      <c r="M87" s="95">
        <f>M81+M82+M83</f>
        <v/>
      </c>
      <c r="N87" s="95">
        <f>N81+N82+N83</f>
        <v/>
      </c>
      <c r="O87" s="297">
        <f>O81+O82+O83</f>
        <v/>
      </c>
      <c r="P87" s="297">
        <f>P81+P82+P83</f>
        <v/>
      </c>
    </row>
    <row r="89" ht="15.75" customHeight="1">
      <c r="A89" s="547" t="inlineStr">
        <is>
          <t>GASTO DE SACOLAS E ITENS DOADOS MÃES/2025 - MENSAIS</t>
        </is>
      </c>
      <c r="B89" s="742" t="n"/>
      <c r="C89" s="742" t="n"/>
      <c r="D89" s="742" t="n"/>
      <c r="E89" s="742" t="n"/>
      <c r="F89" s="742" t="n"/>
      <c r="G89" s="742" t="n"/>
      <c r="H89" s="742" t="n"/>
      <c r="I89" s="742" t="n"/>
      <c r="J89" s="742" t="n"/>
      <c r="K89" s="742" t="n"/>
      <c r="L89" s="742" t="n"/>
      <c r="M89" s="742" t="n"/>
      <c r="N89" s="742" t="n"/>
      <c r="O89" s="742" t="n"/>
      <c r="P89" s="743" t="n"/>
    </row>
    <row r="90" ht="15.75" customHeight="1">
      <c r="A90" s="547" t="inlineStr">
        <is>
          <t>ER PERUÍBE</t>
        </is>
      </c>
      <c r="B90" s="547" t="inlineStr">
        <is>
          <t>MARÇO</t>
        </is>
      </c>
      <c r="C90" s="742" t="n"/>
      <c r="D90" s="743" t="n"/>
      <c r="E90" s="547" t="inlineStr">
        <is>
          <t>ABRIL</t>
        </is>
      </c>
      <c r="F90" s="742" t="n"/>
      <c r="G90" s="742" t="n"/>
      <c r="H90" s="742" t="n"/>
      <c r="I90" s="743" t="n"/>
      <c r="J90" s="547" t="inlineStr">
        <is>
          <t>MAIO</t>
        </is>
      </c>
      <c r="K90" s="742" t="n"/>
      <c r="L90" s="742" t="n"/>
      <c r="M90" s="742" t="n"/>
      <c r="N90" s="743" t="n"/>
      <c r="O90" s="551" t="inlineStr">
        <is>
          <t>USOU ATÉ MÃES</t>
        </is>
      </c>
      <c r="P90" s="551" t="inlineStr">
        <is>
          <t>TOTAL GERAL</t>
        </is>
      </c>
    </row>
    <row r="91" ht="15.75" customHeight="1">
      <c r="A91" s="745" t="n"/>
      <c r="B91" s="295" t="n">
        <v>45740</v>
      </c>
      <c r="C91" s="295" t="n">
        <v>45747</v>
      </c>
      <c r="D91" s="551" t="inlineStr">
        <is>
          <t>USOU</t>
        </is>
      </c>
      <c r="E91" s="295" t="n">
        <v>45754</v>
      </c>
      <c r="F91" s="295" t="n">
        <v>45761</v>
      </c>
      <c r="G91" s="295" t="n">
        <v>45768</v>
      </c>
      <c r="H91" s="295" t="n">
        <v>45775</v>
      </c>
      <c r="I91" s="551" t="inlineStr">
        <is>
          <t>USOU</t>
        </is>
      </c>
      <c r="J91" s="295" t="n">
        <v>45782</v>
      </c>
      <c r="K91" s="295" t="n">
        <v>45789</v>
      </c>
      <c r="L91" s="295" t="n">
        <v>45796</v>
      </c>
      <c r="M91" s="295" t="n">
        <v>45803</v>
      </c>
      <c r="N91" s="551" t="inlineStr">
        <is>
          <t>USOU</t>
        </is>
      </c>
      <c r="O91" s="745" t="n"/>
      <c r="P91" s="745" t="n"/>
    </row>
    <row r="92" ht="15.75" customHeight="1">
      <c r="A92" s="181" t="inlineStr">
        <is>
          <t>SACOLA P</t>
        </is>
      </c>
      <c r="B92" s="80" t="n"/>
      <c r="C92" s="80" t="n"/>
      <c r="D92" s="183">
        <f>B92+C92</f>
        <v/>
      </c>
      <c r="E92" s="80" t="n"/>
      <c r="F92" s="80" t="n">
        <v>0</v>
      </c>
      <c r="G92" s="80" t="n">
        <v>0</v>
      </c>
      <c r="H92" s="80" t="n">
        <v>0</v>
      </c>
      <c r="I92" s="183">
        <f>E92+F92+G92+H92</f>
        <v/>
      </c>
      <c r="J92" s="80" t="n">
        <v>0</v>
      </c>
      <c r="K92" s="80" t="n">
        <v>25</v>
      </c>
      <c r="L92" s="80" t="n">
        <v>0</v>
      </c>
      <c r="M92" s="80" t="n">
        <v>775</v>
      </c>
      <c r="N92" s="183">
        <f>J92+K92+L92+M92</f>
        <v/>
      </c>
      <c r="O92" s="195">
        <f>B92+C92+E92+F92+G92+H92+J92+K92</f>
        <v/>
      </c>
      <c r="P92" s="296">
        <f>D92+I92+N92</f>
        <v/>
      </c>
    </row>
    <row r="93" ht="15.75" customHeight="1">
      <c r="A93" s="181" t="inlineStr">
        <is>
          <t>SACOLA M</t>
        </is>
      </c>
      <c r="B93" s="80" t="n"/>
      <c r="C93" s="80" t="n"/>
      <c r="D93" s="183">
        <f>B93+C93</f>
        <v/>
      </c>
      <c r="E93" s="80" t="n"/>
      <c r="F93" s="80" t="n">
        <v>0</v>
      </c>
      <c r="G93" s="80" t="n">
        <v>0</v>
      </c>
      <c r="H93" s="80" t="n">
        <v>0</v>
      </c>
      <c r="I93" s="183">
        <f>E93+F93+G93+H93</f>
        <v/>
      </c>
      <c r="J93" s="80" t="n">
        <v>175</v>
      </c>
      <c r="K93" s="80" t="n">
        <v>125</v>
      </c>
      <c r="L93" s="80" t="n">
        <v>0</v>
      </c>
      <c r="M93" s="80" t="n">
        <v>0</v>
      </c>
      <c r="N93" s="183">
        <f>J93+K93+L93+M93</f>
        <v/>
      </c>
      <c r="O93" s="195">
        <f>B93+C93+E93+F93+G93+H93+J93+K93</f>
        <v/>
      </c>
      <c r="P93" s="296">
        <f>D93+I93+N93</f>
        <v/>
      </c>
    </row>
    <row r="94" ht="15.75" customHeight="1">
      <c r="A94" s="181" t="inlineStr">
        <is>
          <t>SACOLA G</t>
        </is>
      </c>
      <c r="B94" s="80" t="n"/>
      <c r="C94" s="80" t="n"/>
      <c r="D94" s="183">
        <f>B94+C94</f>
        <v/>
      </c>
      <c r="E94" s="80" t="n"/>
      <c r="F94" s="80" t="n">
        <v>0</v>
      </c>
      <c r="G94" s="80" t="n">
        <v>0</v>
      </c>
      <c r="H94" s="80" t="n">
        <v>0</v>
      </c>
      <c r="I94" s="183">
        <f>E94+F94+G94+H94</f>
        <v/>
      </c>
      <c r="J94" s="80" t="n">
        <v>0</v>
      </c>
      <c r="K94" s="80" t="n">
        <v>50</v>
      </c>
      <c r="L94" s="80" t="n">
        <v>25</v>
      </c>
      <c r="M94" s="80" t="n">
        <v>0</v>
      </c>
      <c r="N94" s="183">
        <f>J94+K94+L94+M94</f>
        <v/>
      </c>
      <c r="O94" s="195">
        <f>B94+C94+E94+F94+G94+H94+J94+K94</f>
        <v/>
      </c>
      <c r="P94" s="296">
        <f>D94+I94+N94</f>
        <v/>
      </c>
    </row>
    <row r="95" ht="15.75" customHeight="1">
      <c r="A95" s="106" t="inlineStr">
        <is>
          <t xml:space="preserve">PAPEL DE SEDA </t>
        </is>
      </c>
      <c r="B95" s="80" t="n"/>
      <c r="C95" s="80" t="n"/>
      <c r="D95" s="183">
        <f>B95+C95</f>
        <v/>
      </c>
      <c r="E95" s="80" t="n"/>
      <c r="F95" s="80" t="n">
        <v>0</v>
      </c>
      <c r="G95" s="80" t="n">
        <v>0</v>
      </c>
      <c r="H95" s="80" t="n">
        <v>0</v>
      </c>
      <c r="I95" s="183">
        <f>E95+F95+G95+H95</f>
        <v/>
      </c>
      <c r="J95" s="80" t="n">
        <v>0</v>
      </c>
      <c r="K95" s="80" t="n">
        <v>0</v>
      </c>
      <c r="L95" s="80" t="n">
        <v>0</v>
      </c>
      <c r="M95" s="80" t="n">
        <v>0</v>
      </c>
      <c r="N95" s="183">
        <f>J95+K95+L95+M95</f>
        <v/>
      </c>
      <c r="O95" s="195">
        <f>B95+C95+E95+F95+G95+H95+J95+K95</f>
        <v/>
      </c>
      <c r="P95" s="296">
        <f>D95+I95+N95</f>
        <v/>
      </c>
    </row>
    <row r="96" ht="15.75" customHeight="1">
      <c r="A96" s="106" t="inlineStr">
        <is>
          <t>ADESIVOS</t>
        </is>
      </c>
      <c r="B96" s="80" t="n"/>
      <c r="C96" s="80" t="n"/>
      <c r="D96" s="183">
        <f>B96+C96</f>
        <v/>
      </c>
      <c r="E96" s="80" t="n"/>
      <c r="F96" s="80" t="n">
        <v>0</v>
      </c>
      <c r="G96" s="80" t="n">
        <v>0</v>
      </c>
      <c r="H96" s="80" t="n">
        <v>0</v>
      </c>
      <c r="I96" s="183">
        <f>E96+F96+G96+H96</f>
        <v/>
      </c>
      <c r="J96" s="80" t="n">
        <v>0</v>
      </c>
      <c r="K96" s="80" t="n">
        <v>0</v>
      </c>
      <c r="L96" s="80" t="n">
        <v>0</v>
      </c>
      <c r="M96" s="80" t="n">
        <v>0</v>
      </c>
      <c r="N96" s="183">
        <f>J96+K96+L96+M96</f>
        <v/>
      </c>
      <c r="O96" s="195">
        <f>B96+C96+E96+F96+G96+H96+J96+K96</f>
        <v/>
      </c>
      <c r="P96" s="296">
        <f>D96+I96+N96</f>
        <v/>
      </c>
    </row>
    <row r="97" ht="15.75" customHeight="1">
      <c r="A97" s="106" t="inlineStr">
        <is>
          <t xml:space="preserve">TAGS </t>
        </is>
      </c>
      <c r="B97" s="80" t="n"/>
      <c r="C97" s="80" t="n"/>
      <c r="D97" s="183">
        <f>B97+C97</f>
        <v/>
      </c>
      <c r="E97" s="80" t="n"/>
      <c r="F97" s="80" t="n">
        <v>0</v>
      </c>
      <c r="G97" s="80" t="n">
        <v>0</v>
      </c>
      <c r="H97" s="80" t="n">
        <v>0</v>
      </c>
      <c r="I97" s="183">
        <f>E97+F97+G97+H97</f>
        <v/>
      </c>
      <c r="J97" s="80" t="n">
        <v>0</v>
      </c>
      <c r="K97" s="80" t="n">
        <v>0</v>
      </c>
      <c r="L97" s="80" t="n">
        <v>0</v>
      </c>
      <c r="M97" s="80" t="n">
        <v>0</v>
      </c>
      <c r="N97" s="183">
        <f>J97+K97+L97+M97</f>
        <v/>
      </c>
      <c r="O97" s="195">
        <f>B97+C97+E97+F97+G97+H97+J97+K97</f>
        <v/>
      </c>
      <c r="P97" s="296">
        <f>D97+I97+N97</f>
        <v/>
      </c>
    </row>
    <row r="98" ht="15.75" customHeight="1">
      <c r="A98" s="94" t="inlineStr">
        <is>
          <t>TOTAL DE SACOLAS</t>
        </is>
      </c>
      <c r="B98" s="95">
        <f>B92+B93+B94</f>
        <v/>
      </c>
      <c r="C98" s="95">
        <f>C92+C93+C94</f>
        <v/>
      </c>
      <c r="D98" s="95">
        <f>D92+D93+D94</f>
        <v/>
      </c>
      <c r="E98" s="95">
        <f>E92+E93+E94</f>
        <v/>
      </c>
      <c r="F98" s="95">
        <f>F92+F93+F94</f>
        <v/>
      </c>
      <c r="G98" s="95">
        <f>G92+G93+G94</f>
        <v/>
      </c>
      <c r="H98" s="95">
        <f>H92+H93+H94</f>
        <v/>
      </c>
      <c r="I98" s="95">
        <f>I92+I93+I94</f>
        <v/>
      </c>
      <c r="J98" s="95">
        <f>J92+J93+J94</f>
        <v/>
      </c>
      <c r="K98" s="95">
        <f>K92+K93+K94</f>
        <v/>
      </c>
      <c r="L98" s="95">
        <f>L92+L93+L94</f>
        <v/>
      </c>
      <c r="M98" s="95">
        <f>M92+M93+M94</f>
        <v/>
      </c>
      <c r="N98" s="95">
        <f>N92+N93+N94</f>
        <v/>
      </c>
      <c r="O98" s="297">
        <f>O92+O93+O94</f>
        <v/>
      </c>
      <c r="P98" s="297">
        <f>P92+P93+P94</f>
        <v/>
      </c>
    </row>
  </sheetData>
  <mergeCells count="64">
    <mergeCell ref="P35:P36"/>
    <mergeCell ref="A79:A80"/>
    <mergeCell ref="A24:A25"/>
    <mergeCell ref="E68:I68"/>
    <mergeCell ref="B57:D57"/>
    <mergeCell ref="A23:P23"/>
    <mergeCell ref="E24:I24"/>
    <mergeCell ref="O24:O25"/>
    <mergeCell ref="B13:D13"/>
    <mergeCell ref="J57:N57"/>
    <mergeCell ref="P90:P91"/>
    <mergeCell ref="J13:N13"/>
    <mergeCell ref="P46:P47"/>
    <mergeCell ref="P2:P3"/>
    <mergeCell ref="A90:A91"/>
    <mergeCell ref="E79:I79"/>
    <mergeCell ref="O35:O36"/>
    <mergeCell ref="E35:I35"/>
    <mergeCell ref="J68:N68"/>
    <mergeCell ref="A67:P67"/>
    <mergeCell ref="J24:N24"/>
    <mergeCell ref="E13:I13"/>
    <mergeCell ref="A46:A47"/>
    <mergeCell ref="A34:P34"/>
    <mergeCell ref="B68:D68"/>
    <mergeCell ref="A2:A3"/>
    <mergeCell ref="R1:S1"/>
    <mergeCell ref="J79:N79"/>
    <mergeCell ref="B24:D24"/>
    <mergeCell ref="J35:N35"/>
    <mergeCell ref="P57:P58"/>
    <mergeCell ref="A57:A58"/>
    <mergeCell ref="E90:I90"/>
    <mergeCell ref="P13:P14"/>
    <mergeCell ref="B79:D79"/>
    <mergeCell ref="O79:O80"/>
    <mergeCell ref="A45:P45"/>
    <mergeCell ref="E46:I46"/>
    <mergeCell ref="B35:D35"/>
    <mergeCell ref="A1:P1"/>
    <mergeCell ref="O46:O47"/>
    <mergeCell ref="E2:I2"/>
    <mergeCell ref="A13:A14"/>
    <mergeCell ref="O2:O3"/>
    <mergeCell ref="A78:P78"/>
    <mergeCell ref="P68:P69"/>
    <mergeCell ref="P24:P25"/>
    <mergeCell ref="A68:A69"/>
    <mergeCell ref="O57:O58"/>
    <mergeCell ref="B90:D90"/>
    <mergeCell ref="A35:A36"/>
    <mergeCell ref="E57:I57"/>
    <mergeCell ref="J90:N90"/>
    <mergeCell ref="A89:P89"/>
    <mergeCell ref="O13:O14"/>
    <mergeCell ref="B46:D46"/>
    <mergeCell ref="A56:P56"/>
    <mergeCell ref="J46:N46"/>
    <mergeCell ref="P79:P80"/>
    <mergeCell ref="J2:N2"/>
    <mergeCell ref="A12:P12"/>
    <mergeCell ref="O90:O91"/>
    <mergeCell ref="O68:O69"/>
    <mergeCell ref="B2:D2"/>
  </mergeCells>
  <pageMargins left="0.511811024" right="0.511811024" top="0.787401575" bottom="0.787401575" header="0.31496062" footer="0.31496062"/>
</worksheet>
</file>

<file path=xl/worksheets/sheet28.xml><?xml version="1.0" encoding="utf-8"?>
<worksheet xmlns="http://schemas.openxmlformats.org/spreadsheetml/2006/main">
  <sheetPr codeName="Planilha15">
    <tabColor rgb="FFFF0000"/>
    <outlinePr summaryBelow="1" summaryRight="1"/>
    <pageSetUpPr/>
  </sheetPr>
  <dimension ref="A1:K80"/>
  <sheetViews>
    <sheetView topLeftCell="A55" zoomScale="85" zoomScaleNormal="85" workbookViewId="0">
      <selection activeCell="M82" sqref="M82"/>
    </sheetView>
  </sheetViews>
  <sheetFormatPr baseColWidth="8" defaultRowHeight="15"/>
  <cols>
    <col width="32.85546875" customWidth="1" min="1" max="1"/>
    <col width="11.140625" customWidth="1" min="2" max="2"/>
    <col width="9.7109375" bestFit="1" customWidth="1" min="3" max="3"/>
    <col width="15.140625" customWidth="1" min="10" max="10"/>
    <col width="17.5703125" bestFit="1" customWidth="1" min="19" max="19"/>
    <col width="14.42578125" bestFit="1" customWidth="1" min="20" max="20"/>
  </cols>
  <sheetData>
    <row r="1" ht="18" customHeight="1">
      <c r="A1" s="558" t="inlineStr">
        <is>
          <t>GASTO DE SACOLAS E ITENS DOADOS NAMORADOS/2025 - MENSAIS</t>
        </is>
      </c>
      <c r="B1" s="658" t="n"/>
      <c r="C1" s="658" t="n"/>
      <c r="D1" s="658" t="n"/>
      <c r="E1" s="658" t="n"/>
      <c r="F1" s="658" t="n"/>
      <c r="G1" s="658" t="n"/>
      <c r="H1" s="658" t="n"/>
      <c r="I1" s="658" t="n"/>
      <c r="J1" s="658" t="n"/>
      <c r="K1" s="670" t="n"/>
    </row>
    <row r="2" ht="18" customHeight="1">
      <c r="A2" s="558" t="inlineStr">
        <is>
          <t>PLAZA</t>
        </is>
      </c>
      <c r="B2" s="558" t="inlineStr">
        <is>
          <t>MAIO</t>
        </is>
      </c>
      <c r="C2" s="746" t="inlineStr">
        <is>
          <t>JUNHO</t>
        </is>
      </c>
      <c r="D2" s="747" t="n"/>
      <c r="E2" s="747" t="n"/>
      <c r="F2" s="747" t="n"/>
      <c r="G2" s="747" t="n"/>
      <c r="H2" s="747" t="n"/>
      <c r="I2" s="748" t="n"/>
      <c r="J2" s="559" t="inlineStr">
        <is>
          <t>USOU ATÉ NAMORADOS</t>
        </is>
      </c>
      <c r="K2" s="559" t="inlineStr">
        <is>
          <t>TOTAL GERAL</t>
        </is>
      </c>
    </row>
    <row r="3" ht="15.75" customHeight="1">
      <c r="A3" s="649" t="n"/>
      <c r="B3" s="307" t="n">
        <v>45803</v>
      </c>
      <c r="C3" s="559" t="inlineStr">
        <is>
          <t>USOU</t>
        </is>
      </c>
      <c r="D3" s="307" t="n">
        <v>45810</v>
      </c>
      <c r="E3" s="307" t="n">
        <v>45817</v>
      </c>
      <c r="F3" s="307" t="n">
        <v>45824</v>
      </c>
      <c r="G3" s="307" t="n">
        <v>45831</v>
      </c>
      <c r="H3" s="307" t="n">
        <v>45838</v>
      </c>
      <c r="I3" s="559" t="inlineStr">
        <is>
          <t>USOU</t>
        </is>
      </c>
      <c r="J3" s="649" t="n"/>
      <c r="K3" s="649" t="n"/>
    </row>
    <row r="4" ht="15.75" customHeight="1">
      <c r="A4" s="181" t="inlineStr">
        <is>
          <t>SACOLA M</t>
        </is>
      </c>
      <c r="B4" s="340" t="n">
        <v>400</v>
      </c>
      <c r="C4" s="183">
        <f>B4</f>
        <v/>
      </c>
      <c r="D4" s="182" t="n">
        <v>400</v>
      </c>
      <c r="E4" s="182" t="n">
        <v>400</v>
      </c>
      <c r="F4" s="182" t="n">
        <v>0</v>
      </c>
      <c r="G4" s="182" t="n">
        <v>0</v>
      </c>
      <c r="H4" s="182" t="n">
        <v>0</v>
      </c>
      <c r="I4" s="183">
        <f>D4+E4+F4+G4+H4</f>
        <v/>
      </c>
      <c r="J4" s="309">
        <f>B4+D4+E4+F4</f>
        <v/>
      </c>
      <c r="K4" s="186">
        <f>I4</f>
        <v/>
      </c>
    </row>
    <row r="5" ht="15.75" customHeight="1">
      <c r="A5" s="181" t="inlineStr">
        <is>
          <t>SACOLA G</t>
        </is>
      </c>
      <c r="B5" s="340" t="n">
        <v>0</v>
      </c>
      <c r="C5" s="183">
        <f>B5</f>
        <v/>
      </c>
      <c r="D5" s="80" t="n">
        <v>0</v>
      </c>
      <c r="E5" s="80" t="n">
        <v>100</v>
      </c>
      <c r="F5" s="182" t="n">
        <v>0</v>
      </c>
      <c r="G5" s="182" t="n">
        <v>0</v>
      </c>
      <c r="H5" s="182" t="n">
        <v>0</v>
      </c>
      <c r="I5" s="183">
        <f>D5+E5+F5+G5+H5</f>
        <v/>
      </c>
      <c r="J5" s="309">
        <f>B5+D5+E5+F5</f>
        <v/>
      </c>
      <c r="K5" s="186">
        <f>I5</f>
        <v/>
      </c>
    </row>
    <row r="6" ht="15.75" customHeight="1">
      <c r="A6" s="106" t="inlineStr">
        <is>
          <t>PAPEL DE SEDA</t>
        </is>
      </c>
      <c r="B6" s="341" t="n">
        <v>2</v>
      </c>
      <c r="C6" s="183">
        <f>B6</f>
        <v/>
      </c>
      <c r="D6" s="80" t="n">
        <v>1</v>
      </c>
      <c r="E6" s="80" t="n">
        <v>1</v>
      </c>
      <c r="F6" s="182" t="n">
        <v>0</v>
      </c>
      <c r="G6" s="182" t="n">
        <v>0</v>
      </c>
      <c r="H6" s="182" t="n">
        <v>0</v>
      </c>
      <c r="I6" s="183">
        <f>D6+E6+F6+G6+H6</f>
        <v/>
      </c>
      <c r="J6" s="309">
        <f>B6+D6+E6+F6</f>
        <v/>
      </c>
      <c r="K6" s="186">
        <f>I6</f>
        <v/>
      </c>
    </row>
    <row r="7" ht="15.75" customHeight="1">
      <c r="A7" s="106" t="inlineStr">
        <is>
          <t xml:space="preserve">TAGS </t>
        </is>
      </c>
      <c r="B7" s="341" t="n">
        <v>0</v>
      </c>
      <c r="C7" s="183">
        <f>B7</f>
        <v/>
      </c>
      <c r="D7" s="80" t="n">
        <v>1</v>
      </c>
      <c r="E7" s="80" t="n">
        <v>1</v>
      </c>
      <c r="F7" s="182" t="n">
        <v>1</v>
      </c>
      <c r="G7" s="182" t="n">
        <v>0</v>
      </c>
      <c r="H7" s="182" t="n">
        <v>0</v>
      </c>
      <c r="I7" s="183">
        <f>D7+E7+F7+G7+H7</f>
        <v/>
      </c>
      <c r="J7" s="309">
        <f>B7+D7+E7+F7</f>
        <v/>
      </c>
      <c r="K7" s="186">
        <f>I7</f>
        <v/>
      </c>
    </row>
    <row r="8" ht="15.75" customHeight="1">
      <c r="A8" s="94" t="inlineStr">
        <is>
          <t>TOTAL DE SACOLAS</t>
        </is>
      </c>
      <c r="B8" s="302">
        <f>B4+B5</f>
        <v/>
      </c>
      <c r="C8" s="95">
        <f>C4+C5</f>
        <v/>
      </c>
      <c r="D8" s="95">
        <f>D4+D5</f>
        <v/>
      </c>
      <c r="E8" s="95">
        <f>E4+E5</f>
        <v/>
      </c>
      <c r="F8" s="95">
        <f>F4+F5</f>
        <v/>
      </c>
      <c r="G8" s="95">
        <f>G4+G5</f>
        <v/>
      </c>
      <c r="H8" s="95">
        <f>H4+H5</f>
        <v/>
      </c>
      <c r="I8" s="95">
        <f>I4+I5</f>
        <v/>
      </c>
      <c r="J8" s="186">
        <f>J4+J5</f>
        <v/>
      </c>
      <c r="K8" s="186">
        <f>K4+K5</f>
        <v/>
      </c>
    </row>
    <row r="10" ht="15.75" customHeight="1">
      <c r="A10" s="554" t="inlineStr">
        <is>
          <t>GASTO DE SACOLAS E ITENS DOADOS NAMORADOS/2025 - MENSAIS</t>
        </is>
      </c>
      <c r="B10" s="742" t="n"/>
      <c r="C10" s="742" t="n"/>
      <c r="D10" s="742" t="n"/>
      <c r="E10" s="742" t="n"/>
      <c r="F10" s="742" t="n"/>
      <c r="G10" s="742" t="n"/>
      <c r="H10" s="742" t="n"/>
      <c r="I10" s="742" t="n"/>
      <c r="J10" s="742" t="n"/>
      <c r="K10" s="742" t="n"/>
    </row>
    <row r="11" ht="15.75" customHeight="1">
      <c r="A11" s="556" t="inlineStr">
        <is>
          <t>BOQUEIRÃO</t>
        </is>
      </c>
      <c r="B11" s="556" t="inlineStr">
        <is>
          <t>MAIO</t>
        </is>
      </c>
      <c r="C11" s="556" t="n"/>
      <c r="D11" s="556" t="inlineStr">
        <is>
          <t>JUNHO</t>
        </is>
      </c>
      <c r="E11" s="742" t="n"/>
      <c r="F11" s="742" t="n"/>
      <c r="G11" s="742" t="n"/>
      <c r="H11" s="742" t="n"/>
      <c r="I11" s="743" t="n"/>
      <c r="J11" s="557" t="inlineStr">
        <is>
          <t>USOU ATÉ NAMORADOS</t>
        </is>
      </c>
      <c r="K11" s="557" t="inlineStr">
        <is>
          <t>TOTAL GERAL</t>
        </is>
      </c>
    </row>
    <row r="12" ht="15.75" customHeight="1">
      <c r="A12" s="745" t="n"/>
      <c r="B12" s="305" t="n">
        <v>45803</v>
      </c>
      <c r="C12" s="557" t="inlineStr">
        <is>
          <t>USOU</t>
        </is>
      </c>
      <c r="D12" s="305" t="n">
        <v>45810</v>
      </c>
      <c r="E12" s="305" t="n">
        <v>45817</v>
      </c>
      <c r="F12" s="305" t="n">
        <v>45824</v>
      </c>
      <c r="G12" s="305" t="n">
        <v>45831</v>
      </c>
      <c r="H12" s="305" t="n">
        <v>45838</v>
      </c>
      <c r="I12" s="557" t="inlineStr">
        <is>
          <t>USOU</t>
        </is>
      </c>
      <c r="J12" s="745" t="n"/>
      <c r="K12" s="745" t="n"/>
    </row>
    <row r="13" ht="15.75" customHeight="1">
      <c r="A13" s="181" t="inlineStr">
        <is>
          <t>SACOLA M</t>
        </is>
      </c>
      <c r="B13" s="340" t="n">
        <v>0</v>
      </c>
      <c r="C13" s="183">
        <f>B13</f>
        <v/>
      </c>
      <c r="D13" s="80" t="n">
        <v>0</v>
      </c>
      <c r="E13" s="80" t="n">
        <v>200</v>
      </c>
      <c r="F13" s="182" t="n">
        <v>540</v>
      </c>
      <c r="G13" s="182" t="n">
        <v>20</v>
      </c>
      <c r="H13" s="182" t="n">
        <v>0</v>
      </c>
      <c r="I13" s="183">
        <f>D13+E13+F13+G13+H13</f>
        <v/>
      </c>
      <c r="J13" s="184">
        <f>B13+D13+E13+F13</f>
        <v/>
      </c>
      <c r="K13" s="185">
        <f>I13</f>
        <v/>
      </c>
    </row>
    <row r="14" ht="18" customHeight="1">
      <c r="A14" s="181" t="inlineStr">
        <is>
          <t>SACOLA G</t>
        </is>
      </c>
      <c r="B14" s="340" t="n">
        <v>0</v>
      </c>
      <c r="C14" s="183">
        <f>B14</f>
        <v/>
      </c>
      <c r="D14" s="80" t="n">
        <v>0</v>
      </c>
      <c r="E14" s="80" t="n">
        <v>0</v>
      </c>
      <c r="F14" s="182" t="n">
        <v>50</v>
      </c>
      <c r="G14" s="182" t="n">
        <v>0</v>
      </c>
      <c r="H14" s="182" t="n">
        <v>0</v>
      </c>
      <c r="I14" s="183">
        <f>D14+E14+F14+G14+H14</f>
        <v/>
      </c>
      <c r="J14" s="184">
        <f>B14+D14+E14+F14</f>
        <v/>
      </c>
      <c r="K14" s="185">
        <f>I14</f>
        <v/>
      </c>
    </row>
    <row r="15" ht="18" customHeight="1">
      <c r="A15" s="106" t="inlineStr">
        <is>
          <t>PAPEL DE SEDA</t>
        </is>
      </c>
      <c r="B15" s="341" t="n">
        <v>0</v>
      </c>
      <c r="C15" s="183">
        <f>B15</f>
        <v/>
      </c>
      <c r="D15" s="80" t="n">
        <v>1</v>
      </c>
      <c r="E15" s="80" t="n">
        <v>0</v>
      </c>
      <c r="F15" s="182" t="n">
        <v>0</v>
      </c>
      <c r="G15" s="182" t="n">
        <v>0</v>
      </c>
      <c r="H15" s="182" t="n">
        <v>0</v>
      </c>
      <c r="I15" s="183">
        <f>D15+E15+F15+G15+H15</f>
        <v/>
      </c>
      <c r="J15" s="184">
        <f>B15+D15+E15+F15</f>
        <v/>
      </c>
      <c r="K15" s="185">
        <f>I15</f>
        <v/>
      </c>
    </row>
    <row r="16" ht="15.75" customHeight="1">
      <c r="A16" s="106" t="inlineStr">
        <is>
          <t xml:space="preserve">TAGS </t>
        </is>
      </c>
      <c r="B16" s="341" t="n">
        <v>0</v>
      </c>
      <c r="C16" s="183">
        <f>B16</f>
        <v/>
      </c>
      <c r="D16" s="80" t="n">
        <v>0</v>
      </c>
      <c r="E16" s="80" t="n">
        <v>1</v>
      </c>
      <c r="F16" s="182" t="n">
        <v>1</v>
      </c>
      <c r="G16" s="182" t="n">
        <v>0</v>
      </c>
      <c r="H16" s="182" t="n">
        <v>0</v>
      </c>
      <c r="I16" s="183">
        <f>D16+E16+F16+G16+H16</f>
        <v/>
      </c>
      <c r="J16" s="184">
        <f>B16+D16+E16+F16</f>
        <v/>
      </c>
      <c r="K16" s="185">
        <f>I16</f>
        <v/>
      </c>
    </row>
    <row r="17" ht="15.75" customHeight="1">
      <c r="A17" s="94" t="inlineStr">
        <is>
          <t>TOTAL DE SACOLAS</t>
        </is>
      </c>
      <c r="B17" s="302">
        <f>B13+B14</f>
        <v/>
      </c>
      <c r="C17" s="95">
        <f>C13+C14</f>
        <v/>
      </c>
      <c r="D17" s="95">
        <f>D13+D14</f>
        <v/>
      </c>
      <c r="E17" s="95">
        <f>E13+E14</f>
        <v/>
      </c>
      <c r="F17" s="95">
        <f>F13+F14</f>
        <v/>
      </c>
      <c r="G17" s="95">
        <f>G13+G14</f>
        <v/>
      </c>
      <c r="H17" s="95">
        <f>H13+H14</f>
        <v/>
      </c>
      <c r="I17" s="95">
        <f>I13+I14</f>
        <v/>
      </c>
      <c r="J17" s="186">
        <f>J13+J14</f>
        <v/>
      </c>
      <c r="K17" s="186">
        <f>K13+K14</f>
        <v/>
      </c>
    </row>
    <row r="19" ht="15.75" customHeight="1">
      <c r="A19" s="554" t="inlineStr">
        <is>
          <t>GASTO DE SACOLAS E ITENS DOADOS NAMORADOS/2025 - MENSAIS</t>
        </is>
      </c>
      <c r="B19" s="742" t="n"/>
      <c r="C19" s="742" t="n"/>
      <c r="D19" s="742" t="n"/>
      <c r="E19" s="742" t="n"/>
      <c r="F19" s="742" t="n"/>
      <c r="G19" s="742" t="n"/>
      <c r="H19" s="742" t="n"/>
      <c r="I19" s="742" t="n"/>
      <c r="J19" s="742" t="n"/>
      <c r="K19" s="742" t="n"/>
    </row>
    <row r="20" ht="15.75" customHeight="1">
      <c r="A20" s="556" t="inlineStr">
        <is>
          <t>TUPI</t>
        </is>
      </c>
      <c r="B20" s="556" t="inlineStr">
        <is>
          <t>MAIO</t>
        </is>
      </c>
      <c r="C20" s="556" t="n"/>
      <c r="D20" s="556" t="inlineStr">
        <is>
          <t>JUNHO</t>
        </is>
      </c>
      <c r="E20" s="742" t="n"/>
      <c r="F20" s="742" t="n"/>
      <c r="G20" s="742" t="n"/>
      <c r="H20" s="742" t="n"/>
      <c r="I20" s="743" t="n"/>
      <c r="J20" s="557" t="inlineStr">
        <is>
          <t>USOU ATÉ NAMORADOS</t>
        </is>
      </c>
      <c r="K20" s="557" t="inlineStr">
        <is>
          <t>TOTAL GERAL</t>
        </is>
      </c>
    </row>
    <row r="21" ht="15.75" customHeight="1">
      <c r="A21" s="745" t="n"/>
      <c r="B21" s="305" t="n">
        <v>45803</v>
      </c>
      <c r="C21" s="557" t="inlineStr">
        <is>
          <t>USOU</t>
        </is>
      </c>
      <c r="D21" s="305" t="n">
        <v>45810</v>
      </c>
      <c r="E21" s="305" t="n">
        <v>45817</v>
      </c>
      <c r="F21" s="305" t="n">
        <v>45824</v>
      </c>
      <c r="G21" s="305" t="n">
        <v>45831</v>
      </c>
      <c r="H21" s="305" t="n">
        <v>45838</v>
      </c>
      <c r="I21" s="557" t="inlineStr">
        <is>
          <t>USOU</t>
        </is>
      </c>
      <c r="J21" s="745" t="n"/>
      <c r="K21" s="745" t="n"/>
    </row>
    <row r="22" ht="15.75" customHeight="1">
      <c r="A22" s="181" t="inlineStr">
        <is>
          <t>SACOLA M</t>
        </is>
      </c>
      <c r="B22" s="340" t="n">
        <v>0</v>
      </c>
      <c r="C22" s="183">
        <f>B22</f>
        <v/>
      </c>
      <c r="D22" s="80" t="n">
        <v>0</v>
      </c>
      <c r="E22" s="80" t="n">
        <v>240</v>
      </c>
      <c r="F22" s="182" t="n">
        <v>340</v>
      </c>
      <c r="G22" s="182" t="n">
        <v>140</v>
      </c>
      <c r="H22" s="182" t="n">
        <v>40</v>
      </c>
      <c r="I22" s="183">
        <f>D22+E22+F22+G22+H22</f>
        <v/>
      </c>
      <c r="J22" s="184">
        <f>B22+D22+E22+F22</f>
        <v/>
      </c>
      <c r="K22" s="185">
        <f>I22</f>
        <v/>
      </c>
    </row>
    <row r="23" ht="15.75" customHeight="1">
      <c r="A23" s="181" t="inlineStr">
        <is>
          <t>SACOLA G</t>
        </is>
      </c>
      <c r="B23" s="340" t="n">
        <v>0</v>
      </c>
      <c r="C23" s="183">
        <f>B23</f>
        <v/>
      </c>
      <c r="D23" s="80" t="n">
        <v>0</v>
      </c>
      <c r="E23" s="80" t="n">
        <v>0</v>
      </c>
      <c r="F23" s="182" t="n">
        <v>50</v>
      </c>
      <c r="G23" s="182" t="n">
        <v>50</v>
      </c>
      <c r="H23" s="182" t="n">
        <v>0</v>
      </c>
      <c r="I23" s="183">
        <f>D23+E23+F23+G23+H23</f>
        <v/>
      </c>
      <c r="J23" s="184">
        <f>B23+D23+E23+F23</f>
        <v/>
      </c>
      <c r="K23" s="185">
        <f>I23</f>
        <v/>
      </c>
    </row>
    <row r="24" ht="15.75" customHeight="1">
      <c r="A24" s="106" t="inlineStr">
        <is>
          <t>PAPEL DE SEDA</t>
        </is>
      </c>
      <c r="B24" s="341" t="n">
        <v>1</v>
      </c>
      <c r="C24" s="183">
        <f>B24</f>
        <v/>
      </c>
      <c r="D24" s="80" t="n">
        <v>0</v>
      </c>
      <c r="E24" s="80" t="n">
        <v>0</v>
      </c>
      <c r="F24" s="182" t="n">
        <v>0</v>
      </c>
      <c r="G24" s="182" t="n">
        <v>0</v>
      </c>
      <c r="H24" s="182" t="n">
        <v>0</v>
      </c>
      <c r="I24" s="183">
        <f>D24+E24+F24+G24+H24</f>
        <v/>
      </c>
      <c r="J24" s="184">
        <f>B24+D24+E24+F24</f>
        <v/>
      </c>
      <c r="K24" s="185">
        <f>I24</f>
        <v/>
      </c>
    </row>
    <row r="25" ht="15.75" customHeight="1">
      <c r="A25" s="106" t="inlineStr">
        <is>
          <t xml:space="preserve">TAGS </t>
        </is>
      </c>
      <c r="B25" s="341" t="n">
        <v>0</v>
      </c>
      <c r="C25" s="183">
        <f>B25</f>
        <v/>
      </c>
      <c r="D25" s="80" t="n">
        <v>0</v>
      </c>
      <c r="E25" s="80" t="n">
        <v>1</v>
      </c>
      <c r="F25" s="182" t="n">
        <v>0</v>
      </c>
      <c r="G25" s="182" t="n">
        <v>1</v>
      </c>
      <c r="H25" s="182" t="n">
        <v>0</v>
      </c>
      <c r="I25" s="183">
        <f>D25+E25+F25+G25+H25</f>
        <v/>
      </c>
      <c r="J25" s="184">
        <f>B25+D25+E25+F25</f>
        <v/>
      </c>
      <c r="K25" s="185">
        <f>I25</f>
        <v/>
      </c>
    </row>
    <row r="26" ht="15.75" customHeight="1">
      <c r="A26" s="94" t="inlineStr">
        <is>
          <t>TOTAL DE SACOLAS</t>
        </is>
      </c>
      <c r="B26" s="302">
        <f>B22+B23</f>
        <v/>
      </c>
      <c r="C26" s="95">
        <f>C22+C23</f>
        <v/>
      </c>
      <c r="D26" s="95">
        <f>D22+D23</f>
        <v/>
      </c>
      <c r="E26" s="95">
        <f>E22+E23</f>
        <v/>
      </c>
      <c r="F26" s="95">
        <f>F22+F23</f>
        <v/>
      </c>
      <c r="G26" s="95">
        <f>G22+G23</f>
        <v/>
      </c>
      <c r="H26" s="95">
        <f>H22+H23</f>
        <v/>
      </c>
      <c r="I26" s="95">
        <f>I22+I23</f>
        <v/>
      </c>
      <c r="J26" s="186">
        <f>J22+J23</f>
        <v/>
      </c>
      <c r="K26" s="186">
        <f>K22+K23</f>
        <v/>
      </c>
    </row>
    <row r="28" ht="15.75" customHeight="1">
      <c r="A28" s="554" t="inlineStr">
        <is>
          <t>GASTO DE SACOLAS E ITENS DOADOS NAMORADOS/2025 - MENSAIS</t>
        </is>
      </c>
      <c r="B28" s="742" t="n"/>
      <c r="C28" s="742" t="n"/>
      <c r="D28" s="742" t="n"/>
      <c r="E28" s="742" t="n"/>
      <c r="F28" s="742" t="n"/>
      <c r="G28" s="742" t="n"/>
      <c r="H28" s="742" t="n"/>
      <c r="I28" s="742" t="n"/>
      <c r="J28" s="742" t="n"/>
      <c r="K28" s="742" t="n"/>
    </row>
    <row r="29" ht="15.75" customHeight="1">
      <c r="A29" s="556" t="inlineStr">
        <is>
          <t>PERUÍBE</t>
        </is>
      </c>
      <c r="B29" s="556" t="inlineStr">
        <is>
          <t>MAIO</t>
        </is>
      </c>
      <c r="C29" s="556" t="n"/>
      <c r="D29" s="556" t="inlineStr">
        <is>
          <t>JUNHO</t>
        </is>
      </c>
      <c r="E29" s="742" t="n"/>
      <c r="F29" s="742" t="n"/>
      <c r="G29" s="742" t="n"/>
      <c r="H29" s="742" t="n"/>
      <c r="I29" s="743" t="n"/>
      <c r="J29" s="557" t="inlineStr">
        <is>
          <t>USOU ATÉ NAMORADOS</t>
        </is>
      </c>
      <c r="K29" s="557" t="inlineStr">
        <is>
          <t>TOTAL GERAL</t>
        </is>
      </c>
    </row>
    <row r="30" ht="15.75" customHeight="1">
      <c r="A30" s="745" t="n"/>
      <c r="B30" s="305" t="n">
        <v>45803</v>
      </c>
      <c r="C30" s="557" t="inlineStr">
        <is>
          <t>USOU</t>
        </is>
      </c>
      <c r="D30" s="305" t="n">
        <v>45810</v>
      </c>
      <c r="E30" s="305" t="n">
        <v>45817</v>
      </c>
      <c r="F30" s="305" t="n">
        <v>45824</v>
      </c>
      <c r="G30" s="305" t="n">
        <v>45831</v>
      </c>
      <c r="H30" s="305" t="n">
        <v>45838</v>
      </c>
      <c r="I30" s="557" t="inlineStr">
        <is>
          <t>USOU</t>
        </is>
      </c>
      <c r="J30" s="745" t="n"/>
      <c r="K30" s="745" t="n"/>
    </row>
    <row r="31" ht="15.75" customHeight="1">
      <c r="A31" s="181" t="inlineStr">
        <is>
          <t>SACOLA M</t>
        </is>
      </c>
      <c r="B31" s="340" t="n">
        <v>0</v>
      </c>
      <c r="C31" s="183">
        <f>B31</f>
        <v/>
      </c>
      <c r="D31" s="80" t="n">
        <v>200</v>
      </c>
      <c r="E31" s="80" t="n">
        <v>600</v>
      </c>
      <c r="F31" s="182" t="n">
        <v>0</v>
      </c>
      <c r="G31" s="182" t="n">
        <v>0</v>
      </c>
      <c r="H31" s="182" t="n">
        <v>0</v>
      </c>
      <c r="I31" s="183">
        <f>D31+E31+F31+G31+H31</f>
        <v/>
      </c>
      <c r="J31" s="184">
        <f>B31+D31+E31+F31</f>
        <v/>
      </c>
      <c r="K31" s="185">
        <f>I31</f>
        <v/>
      </c>
    </row>
    <row r="32" ht="15.75" customHeight="1">
      <c r="A32" s="181" t="inlineStr">
        <is>
          <t>SACOLA G</t>
        </is>
      </c>
      <c r="B32" s="340" t="n">
        <v>0</v>
      </c>
      <c r="C32" s="183">
        <f>B32</f>
        <v/>
      </c>
      <c r="D32" s="80" t="n">
        <v>0</v>
      </c>
      <c r="E32" s="80" t="n">
        <v>0</v>
      </c>
      <c r="F32" s="182" t="n">
        <v>100</v>
      </c>
      <c r="G32" s="182" t="n">
        <v>0</v>
      </c>
      <c r="H32" s="182" t="n">
        <v>0</v>
      </c>
      <c r="I32" s="183">
        <f>D32+E32+F32+G32+H32</f>
        <v/>
      </c>
      <c r="J32" s="184">
        <f>B32+D32+E32+F32</f>
        <v/>
      </c>
      <c r="K32" s="185">
        <f>I32</f>
        <v/>
      </c>
    </row>
    <row r="33" ht="15.75" customHeight="1">
      <c r="A33" s="106" t="inlineStr">
        <is>
          <t>PAPEL DE SEDA</t>
        </is>
      </c>
      <c r="B33" s="341" t="n">
        <v>0</v>
      </c>
      <c r="C33" s="183">
        <f>B33</f>
        <v/>
      </c>
      <c r="D33" s="80" t="n">
        <v>0</v>
      </c>
      <c r="E33" s="80" t="n">
        <v>1</v>
      </c>
      <c r="F33" s="182" t="n">
        <v>1</v>
      </c>
      <c r="G33" s="182" t="n">
        <v>0</v>
      </c>
      <c r="H33" s="182" t="n">
        <v>0</v>
      </c>
      <c r="I33" s="183">
        <f>D33+E33+F33+G33+H33</f>
        <v/>
      </c>
      <c r="J33" s="184">
        <f>B33+D33+E33+F33</f>
        <v/>
      </c>
      <c r="K33" s="185">
        <f>I33</f>
        <v/>
      </c>
    </row>
    <row r="34" ht="15.75" customHeight="1">
      <c r="A34" s="106" t="inlineStr">
        <is>
          <t xml:space="preserve">TAGS </t>
        </is>
      </c>
      <c r="B34" s="341" t="n">
        <v>0</v>
      </c>
      <c r="C34" s="183">
        <f>B34</f>
        <v/>
      </c>
      <c r="D34" s="80" t="n">
        <v>1</v>
      </c>
      <c r="E34" s="80" t="n">
        <v>0</v>
      </c>
      <c r="F34" s="182" t="n">
        <v>1</v>
      </c>
      <c r="G34" s="182" t="n">
        <v>0</v>
      </c>
      <c r="H34" s="182" t="n">
        <v>0</v>
      </c>
      <c r="I34" s="183">
        <f>D34+E34+F34+G34+H34</f>
        <v/>
      </c>
      <c r="J34" s="184">
        <f>B34+D34+E34+F34</f>
        <v/>
      </c>
      <c r="K34" s="185">
        <f>I34</f>
        <v/>
      </c>
    </row>
    <row r="35" ht="15.75" customHeight="1">
      <c r="A35" s="94" t="inlineStr">
        <is>
          <t>TOTAL DE SACOLAS</t>
        </is>
      </c>
      <c r="B35" s="302">
        <f>B31+B32</f>
        <v/>
      </c>
      <c r="C35" s="95">
        <f>C31+C32</f>
        <v/>
      </c>
      <c r="D35" s="95">
        <f>D31+D32</f>
        <v/>
      </c>
      <c r="E35" s="95">
        <f>E31+E32</f>
        <v/>
      </c>
      <c r="F35" s="95">
        <f>F31+F32</f>
        <v/>
      </c>
      <c r="G35" s="95">
        <f>G31+G32</f>
        <v/>
      </c>
      <c r="H35" s="95">
        <f>H31+H32</f>
        <v/>
      </c>
      <c r="I35" s="95">
        <f>I31+I32</f>
        <v/>
      </c>
      <c r="J35" s="186">
        <f>J31+J32</f>
        <v/>
      </c>
      <c r="K35" s="186">
        <f>K31+K32</f>
        <v/>
      </c>
    </row>
    <row r="37" ht="15.75" customHeight="1">
      <c r="A37" s="554" t="inlineStr">
        <is>
          <t>GASTO DE SACOLAS E ITENS DOADOS NAMORADOS/2025 - MENSAIS</t>
        </is>
      </c>
      <c r="B37" s="742" t="n"/>
      <c r="C37" s="742" t="n"/>
      <c r="D37" s="742" t="n"/>
      <c r="E37" s="742" t="n"/>
      <c r="F37" s="742" t="n"/>
      <c r="G37" s="742" t="n"/>
      <c r="H37" s="742" t="n"/>
      <c r="I37" s="742" t="n"/>
      <c r="J37" s="742" t="n"/>
      <c r="K37" s="742" t="n"/>
    </row>
    <row r="38" ht="15.75" customHeight="1">
      <c r="A38" s="556" t="inlineStr">
        <is>
          <t>MONGAGUÁ</t>
        </is>
      </c>
      <c r="B38" s="556" t="inlineStr">
        <is>
          <t>MAIO</t>
        </is>
      </c>
      <c r="C38" s="556" t="n"/>
      <c r="D38" s="556" t="inlineStr">
        <is>
          <t>JUNHO</t>
        </is>
      </c>
      <c r="E38" s="742" t="n"/>
      <c r="F38" s="742" t="n"/>
      <c r="G38" s="742" t="n"/>
      <c r="H38" s="742" t="n"/>
      <c r="I38" s="743" t="n"/>
      <c r="J38" s="557" t="inlineStr">
        <is>
          <t>USOU ATÉ NAMORADOS</t>
        </is>
      </c>
      <c r="K38" s="557" t="inlineStr">
        <is>
          <t>TOTAL GERAL</t>
        </is>
      </c>
    </row>
    <row r="39" ht="15.75" customHeight="1">
      <c r="A39" s="745" t="n"/>
      <c r="B39" s="305" t="n">
        <v>45803</v>
      </c>
      <c r="C39" s="557" t="inlineStr">
        <is>
          <t>USOU</t>
        </is>
      </c>
      <c r="D39" s="305" t="n">
        <v>45810</v>
      </c>
      <c r="E39" s="305" t="n">
        <v>45817</v>
      </c>
      <c r="F39" s="305" t="n">
        <v>45824</v>
      </c>
      <c r="G39" s="305" t="n">
        <v>45831</v>
      </c>
      <c r="H39" s="305" t="n">
        <v>45838</v>
      </c>
      <c r="I39" s="557" t="inlineStr">
        <is>
          <t>USOU</t>
        </is>
      </c>
      <c r="J39" s="745" t="n"/>
      <c r="K39" s="745" t="n"/>
    </row>
    <row r="40" ht="15.75" customHeight="1">
      <c r="A40" s="181" t="inlineStr">
        <is>
          <t>SACOLA M</t>
        </is>
      </c>
      <c r="B40" s="340" t="n">
        <v>0</v>
      </c>
      <c r="C40" s="183">
        <f>B40</f>
        <v/>
      </c>
      <c r="D40" s="80" t="n">
        <v>20</v>
      </c>
      <c r="E40" s="80" t="n">
        <v>40</v>
      </c>
      <c r="F40" s="182" t="n">
        <v>340</v>
      </c>
      <c r="G40" s="182" t="n">
        <v>0</v>
      </c>
      <c r="H40" s="182" t="n">
        <v>0</v>
      </c>
      <c r="I40" s="183">
        <f>D40+E40+F40+G40+H40</f>
        <v/>
      </c>
      <c r="J40" s="184">
        <f>B40+D40+E40+F40</f>
        <v/>
      </c>
      <c r="K40" s="185">
        <f>I40</f>
        <v/>
      </c>
    </row>
    <row r="41" ht="15.75" customHeight="1">
      <c r="A41" s="181" t="inlineStr">
        <is>
          <t>SACOLA G</t>
        </is>
      </c>
      <c r="B41" s="340" t="n">
        <v>0</v>
      </c>
      <c r="C41" s="183">
        <f>B41</f>
        <v/>
      </c>
      <c r="D41" s="80" t="n">
        <v>0</v>
      </c>
      <c r="E41" s="80" t="n">
        <v>50</v>
      </c>
      <c r="F41" s="182" t="n">
        <v>0</v>
      </c>
      <c r="G41" s="182" t="n">
        <v>0</v>
      </c>
      <c r="H41" s="182" t="n">
        <v>0</v>
      </c>
      <c r="I41" s="183">
        <f>D41+E41+F41+G41+H41</f>
        <v/>
      </c>
      <c r="J41" s="184">
        <f>B41+D41+E41+F41</f>
        <v/>
      </c>
      <c r="K41" s="185">
        <f>I41</f>
        <v/>
      </c>
    </row>
    <row r="42" ht="15.75" customHeight="1">
      <c r="A42" s="106" t="inlineStr">
        <is>
          <t>PAPEL DE SEDA</t>
        </is>
      </c>
      <c r="B42" s="341" t="n">
        <v>0</v>
      </c>
      <c r="C42" s="183">
        <f>B42</f>
        <v/>
      </c>
      <c r="D42" s="80" t="n">
        <v>0</v>
      </c>
      <c r="E42" s="80" t="n">
        <v>0</v>
      </c>
      <c r="F42" s="182" t="n">
        <v>2</v>
      </c>
      <c r="G42" s="182" t="n">
        <v>0</v>
      </c>
      <c r="H42" s="182" t="n">
        <v>0</v>
      </c>
      <c r="I42" s="183">
        <f>D42+E42+F42+G42+H42</f>
        <v/>
      </c>
      <c r="J42" s="184">
        <f>B42+D42+E42+F42</f>
        <v/>
      </c>
      <c r="K42" s="185">
        <f>I42</f>
        <v/>
      </c>
    </row>
    <row r="43" ht="15.75" customHeight="1">
      <c r="A43" s="106" t="inlineStr">
        <is>
          <t xml:space="preserve">TAGS </t>
        </is>
      </c>
      <c r="B43" s="341" t="n">
        <v>0</v>
      </c>
      <c r="C43" s="183">
        <f>B43</f>
        <v/>
      </c>
      <c r="D43" s="80" t="n">
        <v>0</v>
      </c>
      <c r="E43" s="80" t="n">
        <v>0</v>
      </c>
      <c r="F43" s="182" t="n">
        <v>1</v>
      </c>
      <c r="G43" s="182" t="n">
        <v>0</v>
      </c>
      <c r="H43" s="182" t="n">
        <v>0</v>
      </c>
      <c r="I43" s="183">
        <f>D43+E43+F43+G43+H43</f>
        <v/>
      </c>
      <c r="J43" s="184">
        <f>B43+D43+E43+F43</f>
        <v/>
      </c>
      <c r="K43" s="185">
        <f>I43</f>
        <v/>
      </c>
    </row>
    <row r="44" ht="15.75" customHeight="1">
      <c r="A44" s="94" t="inlineStr">
        <is>
          <t>TOTAL DE SACOLAS</t>
        </is>
      </c>
      <c r="B44" s="302">
        <f>B40+B41</f>
        <v/>
      </c>
      <c r="C44" s="95">
        <f>C40+C41</f>
        <v/>
      </c>
      <c r="D44" s="95">
        <f>D40+D41</f>
        <v/>
      </c>
      <c r="E44" s="95">
        <f>E40+E41</f>
        <v/>
      </c>
      <c r="F44" s="95">
        <f>F40+F41</f>
        <v/>
      </c>
      <c r="G44" s="95">
        <f>G40+G41</f>
        <v/>
      </c>
      <c r="H44" s="95">
        <f>H40+H41</f>
        <v/>
      </c>
      <c r="I44" s="95">
        <f>I40+I41</f>
        <v/>
      </c>
      <c r="J44" s="186">
        <f>J40+J41</f>
        <v/>
      </c>
      <c r="K44" s="186">
        <f>K40+K41</f>
        <v/>
      </c>
    </row>
    <row r="46" ht="15.75" customHeight="1">
      <c r="A46" s="554" t="inlineStr">
        <is>
          <t>GASTO DE SACOLAS E ITENS DOADOS NAMORADOS/2025 - MENSAIS</t>
        </is>
      </c>
      <c r="B46" s="742" t="n"/>
      <c r="C46" s="742" t="n"/>
      <c r="D46" s="742" t="n"/>
      <c r="E46" s="742" t="n"/>
      <c r="F46" s="742" t="n"/>
      <c r="G46" s="742" t="n"/>
      <c r="H46" s="742" t="n"/>
      <c r="I46" s="742" t="n"/>
      <c r="J46" s="742" t="n"/>
      <c r="K46" s="742" t="n"/>
    </row>
    <row r="47" ht="15.75" customHeight="1">
      <c r="A47" s="556" t="inlineStr">
        <is>
          <t>ATACADÃO</t>
        </is>
      </c>
      <c r="B47" s="556" t="inlineStr">
        <is>
          <t>MAIO</t>
        </is>
      </c>
      <c r="C47" s="556" t="n"/>
      <c r="D47" s="556" t="inlineStr">
        <is>
          <t>JUNHO</t>
        </is>
      </c>
      <c r="E47" s="742" t="n"/>
      <c r="F47" s="742" t="n"/>
      <c r="G47" s="742" t="n"/>
      <c r="H47" s="742" t="n"/>
      <c r="I47" s="743" t="n"/>
      <c r="J47" s="557" t="inlineStr">
        <is>
          <t>USOU ATÉ NAMORADOS</t>
        </is>
      </c>
      <c r="K47" s="557" t="inlineStr">
        <is>
          <t>TOTAL GERAL</t>
        </is>
      </c>
    </row>
    <row r="48" ht="15.75" customHeight="1">
      <c r="A48" s="745" t="n"/>
      <c r="B48" s="305" t="n">
        <v>45803</v>
      </c>
      <c r="C48" s="557" t="inlineStr">
        <is>
          <t>USOU</t>
        </is>
      </c>
      <c r="D48" s="305" t="n">
        <v>45810</v>
      </c>
      <c r="E48" s="305" t="n">
        <v>45817</v>
      </c>
      <c r="F48" s="305" t="n">
        <v>45824</v>
      </c>
      <c r="G48" s="305" t="n">
        <v>45831</v>
      </c>
      <c r="H48" s="305" t="n">
        <v>45838</v>
      </c>
      <c r="I48" s="557" t="inlineStr">
        <is>
          <t>USOU</t>
        </is>
      </c>
      <c r="J48" s="745" t="n"/>
      <c r="K48" s="745" t="n"/>
    </row>
    <row r="49" ht="15.75" customHeight="1">
      <c r="A49" s="181" t="inlineStr">
        <is>
          <t>SACOLA M</t>
        </is>
      </c>
      <c r="B49" s="340" t="n">
        <v>0</v>
      </c>
      <c r="C49" s="183">
        <f>B49</f>
        <v/>
      </c>
      <c r="D49" s="80" t="n">
        <v>140</v>
      </c>
      <c r="E49" s="80" t="n">
        <v>60</v>
      </c>
      <c r="F49" s="182" t="n">
        <v>0</v>
      </c>
      <c r="G49" s="182" t="n">
        <v>0</v>
      </c>
      <c r="H49" s="182" t="n">
        <v>0</v>
      </c>
      <c r="I49" s="183">
        <f>D49+E49+F49+G49+H49</f>
        <v/>
      </c>
      <c r="J49" s="184">
        <f>B49+D49+E49+F49</f>
        <v/>
      </c>
      <c r="K49" s="185">
        <f>I49</f>
        <v/>
      </c>
    </row>
    <row r="50" ht="15.75" customHeight="1">
      <c r="A50" s="181" t="inlineStr">
        <is>
          <t>SACOLA G</t>
        </is>
      </c>
      <c r="B50" s="340" t="n">
        <v>0</v>
      </c>
      <c r="C50" s="183">
        <f>B50</f>
        <v/>
      </c>
      <c r="D50" s="80" t="n">
        <v>25</v>
      </c>
      <c r="E50" s="80" t="n">
        <v>0</v>
      </c>
      <c r="F50" s="182" t="n">
        <v>0</v>
      </c>
      <c r="G50" s="182" t="n">
        <v>25</v>
      </c>
      <c r="H50" s="182" t="n">
        <v>0</v>
      </c>
      <c r="I50" s="183">
        <f>D50+E50+F50+G50+H50</f>
        <v/>
      </c>
      <c r="J50" s="184">
        <f>B50+D50+E50+F50</f>
        <v/>
      </c>
      <c r="K50" s="185">
        <f>I50</f>
        <v/>
      </c>
    </row>
    <row r="51" ht="15.75" customHeight="1">
      <c r="A51" s="106" t="inlineStr">
        <is>
          <t>PAPEL DE SEDA</t>
        </is>
      </c>
      <c r="B51" s="341" t="n">
        <v>0</v>
      </c>
      <c r="C51" s="183">
        <f>B51</f>
        <v/>
      </c>
      <c r="D51" s="80" t="n">
        <v>1</v>
      </c>
      <c r="E51" s="80" t="n">
        <v>0</v>
      </c>
      <c r="F51" s="182" t="n">
        <v>0</v>
      </c>
      <c r="G51" s="182" t="n">
        <v>0</v>
      </c>
      <c r="H51" s="182" t="n">
        <v>0</v>
      </c>
      <c r="I51" s="183">
        <f>D51+E51+F51+G51+H51</f>
        <v/>
      </c>
      <c r="J51" s="184">
        <f>B51+D51+E51+F51</f>
        <v/>
      </c>
      <c r="K51" s="185">
        <f>I51</f>
        <v/>
      </c>
    </row>
    <row r="52" ht="15.75" customHeight="1">
      <c r="A52" s="106" t="inlineStr">
        <is>
          <t xml:space="preserve">TAGS </t>
        </is>
      </c>
      <c r="B52" s="341" t="n">
        <v>0</v>
      </c>
      <c r="C52" s="183">
        <f>B52</f>
        <v/>
      </c>
      <c r="D52" s="80" t="n">
        <v>1</v>
      </c>
      <c r="E52" s="80" t="n">
        <v>0</v>
      </c>
      <c r="F52" s="182" t="n">
        <v>0</v>
      </c>
      <c r="G52" s="182" t="n">
        <v>0</v>
      </c>
      <c r="H52" s="182" t="n">
        <v>0</v>
      </c>
      <c r="I52" s="183">
        <f>D52+E52+F52+G52+H52</f>
        <v/>
      </c>
      <c r="J52" s="184">
        <f>B52+D52+E52+F52</f>
        <v/>
      </c>
      <c r="K52" s="185">
        <f>I52</f>
        <v/>
      </c>
    </row>
    <row r="53" ht="15.75" customHeight="1">
      <c r="A53" s="94" t="inlineStr">
        <is>
          <t>TOTAL DE SACOLAS</t>
        </is>
      </c>
      <c r="B53" s="302">
        <f>B49+B50</f>
        <v/>
      </c>
      <c r="C53" s="95">
        <f>C49+C50</f>
        <v/>
      </c>
      <c r="D53" s="95">
        <f>D49+D50</f>
        <v/>
      </c>
      <c r="E53" s="95">
        <f>E49+E50</f>
        <v/>
      </c>
      <c r="F53" s="95">
        <f>F49+F50</f>
        <v/>
      </c>
      <c r="G53" s="95">
        <f>G49+G50</f>
        <v/>
      </c>
      <c r="H53" s="95">
        <f>H49+H50</f>
        <v/>
      </c>
      <c r="I53" s="95">
        <f>I49+I50</f>
        <v/>
      </c>
      <c r="J53" s="186">
        <f>J49+J50</f>
        <v/>
      </c>
      <c r="K53" s="186">
        <f>K49+K50</f>
        <v/>
      </c>
    </row>
    <row r="55" ht="15.75" customHeight="1">
      <c r="A55" s="554" t="inlineStr">
        <is>
          <t>GASTO DE SACOLAS E ITENS DOADOS NAMORADOS/2025 - MENSAIS</t>
        </is>
      </c>
      <c r="B55" s="742" t="n"/>
      <c r="C55" s="742" t="n"/>
      <c r="D55" s="742" t="n"/>
      <c r="E55" s="742" t="n"/>
      <c r="F55" s="742" t="n"/>
      <c r="G55" s="742" t="n"/>
      <c r="H55" s="742" t="n"/>
      <c r="I55" s="742" t="n"/>
      <c r="J55" s="742" t="n"/>
      <c r="K55" s="742" t="n"/>
    </row>
    <row r="56" ht="15.75" customHeight="1">
      <c r="A56" s="556" t="inlineStr">
        <is>
          <t>CD PRAIA</t>
        </is>
      </c>
      <c r="B56" s="556" t="inlineStr">
        <is>
          <t>MAIO</t>
        </is>
      </c>
      <c r="C56" s="556" t="n"/>
      <c r="D56" s="556" t="inlineStr">
        <is>
          <t>JUNHO</t>
        </is>
      </c>
      <c r="E56" s="742" t="n"/>
      <c r="F56" s="742" t="n"/>
      <c r="G56" s="742" t="n"/>
      <c r="H56" s="742" t="n"/>
      <c r="I56" s="743" t="n"/>
      <c r="J56" s="557" t="inlineStr">
        <is>
          <t>USOU ATÉ NAMORADOS</t>
        </is>
      </c>
      <c r="K56" s="557" t="inlineStr">
        <is>
          <t>TOTAL GERAL</t>
        </is>
      </c>
    </row>
    <row r="57" ht="15.75" customHeight="1">
      <c r="A57" s="745" t="n"/>
      <c r="B57" s="305" t="n">
        <v>45803</v>
      </c>
      <c r="C57" s="557" t="inlineStr">
        <is>
          <t>USOU</t>
        </is>
      </c>
      <c r="D57" s="305" t="n">
        <v>45810</v>
      </c>
      <c r="E57" s="305" t="n">
        <v>45817</v>
      </c>
      <c r="F57" s="305" t="n">
        <v>45824</v>
      </c>
      <c r="G57" s="305" t="n">
        <v>45831</v>
      </c>
      <c r="H57" s="305" t="n">
        <v>45838</v>
      </c>
      <c r="I57" s="557" t="inlineStr">
        <is>
          <t>USOU</t>
        </is>
      </c>
      <c r="J57" s="745" t="n"/>
      <c r="K57" s="745" t="n"/>
    </row>
    <row r="58" ht="15.75" customHeight="1">
      <c r="A58" s="181" t="inlineStr">
        <is>
          <t>SACOLA M</t>
        </is>
      </c>
      <c r="B58" s="340" t="n">
        <v>0</v>
      </c>
      <c r="C58" s="183">
        <f>B58</f>
        <v/>
      </c>
      <c r="D58" s="80" t="n">
        <v>0</v>
      </c>
      <c r="E58" s="80" t="n">
        <v>0</v>
      </c>
      <c r="F58" s="182" t="n">
        <v>0</v>
      </c>
      <c r="G58" s="182" t="n">
        <v>0</v>
      </c>
      <c r="H58" s="182" t="n">
        <v>178</v>
      </c>
      <c r="I58" s="183">
        <f>D58+E58+F58+G58+H58</f>
        <v/>
      </c>
      <c r="J58" s="184">
        <f>B58+D58+E58+F58</f>
        <v/>
      </c>
      <c r="K58" s="185">
        <f>I58</f>
        <v/>
      </c>
    </row>
    <row r="59" ht="15.75" customHeight="1">
      <c r="A59" s="181" t="inlineStr">
        <is>
          <t>SACOLA G</t>
        </is>
      </c>
      <c r="B59" s="340" t="n">
        <v>0</v>
      </c>
      <c r="C59" s="183">
        <f>B59</f>
        <v/>
      </c>
      <c r="D59" s="80" t="n">
        <v>0</v>
      </c>
      <c r="E59" s="80" t="n">
        <v>0</v>
      </c>
      <c r="F59" s="182" t="n">
        <v>0</v>
      </c>
      <c r="G59" s="182" t="n">
        <v>0</v>
      </c>
      <c r="H59" s="182" t="n">
        <v>100</v>
      </c>
      <c r="I59" s="183">
        <f>D59+E59+F59+G59+H59</f>
        <v/>
      </c>
      <c r="J59" s="184">
        <f>B59+D59+E59+F59</f>
        <v/>
      </c>
      <c r="K59" s="185">
        <f>I59</f>
        <v/>
      </c>
    </row>
    <row r="60" ht="15.75" customHeight="1">
      <c r="A60" s="106" t="inlineStr">
        <is>
          <t>PAPEL DE SEDA</t>
        </is>
      </c>
      <c r="B60" s="341" t="n">
        <v>0</v>
      </c>
      <c r="C60" s="183">
        <f>B60</f>
        <v/>
      </c>
      <c r="D60" s="80" t="n">
        <v>0</v>
      </c>
      <c r="E60" s="80" t="n">
        <v>0</v>
      </c>
      <c r="F60" s="182" t="n">
        <v>0</v>
      </c>
      <c r="G60" s="182" t="n">
        <v>0</v>
      </c>
      <c r="H60" s="182" t="n">
        <v>0</v>
      </c>
      <c r="I60" s="183">
        <f>D60+E60+F60+G60+H60</f>
        <v/>
      </c>
      <c r="J60" s="184">
        <f>B60+D60+E60+F60</f>
        <v/>
      </c>
      <c r="K60" s="185">
        <f>I60</f>
        <v/>
      </c>
    </row>
    <row r="61" ht="15.75" customHeight="1">
      <c r="A61" s="106" t="inlineStr">
        <is>
          <t xml:space="preserve">TAGS </t>
        </is>
      </c>
      <c r="B61" s="341" t="n">
        <v>0</v>
      </c>
      <c r="C61" s="183">
        <f>B61</f>
        <v/>
      </c>
      <c r="D61" s="80" t="n">
        <v>0</v>
      </c>
      <c r="E61" s="80" t="n">
        <v>0</v>
      </c>
      <c r="F61" s="182" t="n">
        <v>0</v>
      </c>
      <c r="G61" s="182" t="n">
        <v>0</v>
      </c>
      <c r="H61" s="182" t="n">
        <v>0</v>
      </c>
      <c r="I61" s="183">
        <f>D61+E61+F61+G61+H61</f>
        <v/>
      </c>
      <c r="J61" s="184">
        <f>B61+D61+E61+F61</f>
        <v/>
      </c>
      <c r="K61" s="185">
        <f>I61</f>
        <v/>
      </c>
    </row>
    <row r="62" ht="15.75" customHeight="1">
      <c r="A62" s="94" t="inlineStr">
        <is>
          <t>TOTAL DE SACOLAS</t>
        </is>
      </c>
      <c r="B62" s="302">
        <f>B58+B59</f>
        <v/>
      </c>
      <c r="C62" s="95">
        <f>C58+C59</f>
        <v/>
      </c>
      <c r="D62" s="95">
        <f>D58+D59</f>
        <v/>
      </c>
      <c r="E62" s="95">
        <f>E58+E59</f>
        <v/>
      </c>
      <c r="F62" s="95">
        <f>F58+F59</f>
        <v/>
      </c>
      <c r="G62" s="95">
        <f>G58+G59</f>
        <v/>
      </c>
      <c r="H62" s="95">
        <f>H58+H59</f>
        <v/>
      </c>
      <c r="I62" s="95">
        <f>I58+I59</f>
        <v/>
      </c>
      <c r="J62" s="186">
        <f>J58+J59</f>
        <v/>
      </c>
      <c r="K62" s="186">
        <f>K58+K59</f>
        <v/>
      </c>
    </row>
    <row r="64" ht="15.75" customHeight="1">
      <c r="A64" s="554" t="inlineStr">
        <is>
          <t>GASTO DE SACOLAS E ITENS DOADOS NAMORADOS/2025 - MENSAIS</t>
        </is>
      </c>
      <c r="B64" s="742" t="n"/>
      <c r="C64" s="742" t="n"/>
      <c r="D64" s="742" t="n"/>
      <c r="E64" s="742" t="n"/>
      <c r="F64" s="742" t="n"/>
      <c r="G64" s="742" t="n"/>
      <c r="H64" s="742" t="n"/>
      <c r="I64" s="742" t="n"/>
      <c r="J64" s="742" t="n"/>
      <c r="K64" s="742" t="n"/>
    </row>
    <row r="65" ht="15.75" customHeight="1">
      <c r="A65" s="556" t="inlineStr">
        <is>
          <t>ER BOQUEIRÃO</t>
        </is>
      </c>
      <c r="B65" s="556" t="inlineStr">
        <is>
          <t>MAIO</t>
        </is>
      </c>
      <c r="C65" s="556" t="n"/>
      <c r="D65" s="556" t="inlineStr">
        <is>
          <t>JUNHO</t>
        </is>
      </c>
      <c r="E65" s="742" t="n"/>
      <c r="F65" s="742" t="n"/>
      <c r="G65" s="742" t="n"/>
      <c r="H65" s="742" t="n"/>
      <c r="I65" s="743" t="n"/>
      <c r="J65" s="557" t="inlineStr">
        <is>
          <t>USOU ATÉ NAMORADOS</t>
        </is>
      </c>
      <c r="K65" s="557" t="inlineStr">
        <is>
          <t>TOTAL GERAL</t>
        </is>
      </c>
    </row>
    <row r="66" ht="15.75" customHeight="1">
      <c r="A66" s="745" t="n"/>
      <c r="B66" s="305" t="n">
        <v>45803</v>
      </c>
      <c r="C66" s="557" t="inlineStr">
        <is>
          <t>USOU</t>
        </is>
      </c>
      <c r="D66" s="305" t="n">
        <v>45810</v>
      </c>
      <c r="E66" s="305" t="n">
        <v>45817</v>
      </c>
      <c r="F66" s="305" t="n">
        <v>45824</v>
      </c>
      <c r="G66" s="305" t="n">
        <v>45831</v>
      </c>
      <c r="H66" s="305" t="n">
        <v>45838</v>
      </c>
      <c r="I66" s="557" t="inlineStr">
        <is>
          <t>USOU</t>
        </is>
      </c>
      <c r="J66" s="745" t="n"/>
      <c r="K66" s="745" t="n"/>
    </row>
    <row r="67" ht="15.75" customHeight="1">
      <c r="A67" s="181" t="inlineStr">
        <is>
          <t>SACOLA M</t>
        </is>
      </c>
      <c r="B67" s="340" t="n">
        <v>0</v>
      </c>
      <c r="C67" s="183">
        <f>B67</f>
        <v/>
      </c>
      <c r="D67" s="80" t="n">
        <v>100</v>
      </c>
      <c r="E67" s="80" t="n">
        <v>200</v>
      </c>
      <c r="F67" s="182" t="n">
        <v>0</v>
      </c>
      <c r="G67" s="182" t="n">
        <v>0</v>
      </c>
      <c r="H67" s="182" t="n">
        <v>0</v>
      </c>
      <c r="I67" s="183">
        <f>D67+E67+F67+G67+H67</f>
        <v/>
      </c>
      <c r="J67" s="184">
        <f>B67+D67+E67+F67</f>
        <v/>
      </c>
      <c r="K67" s="185">
        <f>I67</f>
        <v/>
      </c>
    </row>
    <row r="68" ht="15.75" customHeight="1">
      <c r="A68" s="181" t="inlineStr">
        <is>
          <t>SACOLA G</t>
        </is>
      </c>
      <c r="B68" s="340" t="n">
        <v>0</v>
      </c>
      <c r="C68" s="183">
        <f>B68</f>
        <v/>
      </c>
      <c r="D68" s="80" t="n">
        <v>60</v>
      </c>
      <c r="E68" s="80" t="n">
        <v>100</v>
      </c>
      <c r="F68" s="182" t="n">
        <v>0</v>
      </c>
      <c r="G68" s="182" t="n">
        <v>0</v>
      </c>
      <c r="H68" s="182" t="n">
        <v>0</v>
      </c>
      <c r="I68" s="183">
        <f>D68+E68+F68+G68+H68</f>
        <v/>
      </c>
      <c r="J68" s="184">
        <f>B68+D68+E68+F68</f>
        <v/>
      </c>
      <c r="K68" s="185">
        <f>I68</f>
        <v/>
      </c>
    </row>
    <row r="69" ht="15.75" customHeight="1">
      <c r="A69" s="106" t="inlineStr">
        <is>
          <t>PAPEL DE SEDA</t>
        </is>
      </c>
      <c r="B69" s="341" t="n">
        <v>0</v>
      </c>
      <c r="C69" s="183">
        <f>B69</f>
        <v/>
      </c>
      <c r="D69" s="80" t="n">
        <v>0</v>
      </c>
      <c r="E69" s="80" t="n">
        <v>0</v>
      </c>
      <c r="F69" s="182" t="n">
        <v>0</v>
      </c>
      <c r="G69" s="182" t="n">
        <v>0</v>
      </c>
      <c r="H69" s="182" t="n">
        <v>0</v>
      </c>
      <c r="I69" s="183">
        <f>D69+E69+F69+G69+H69</f>
        <v/>
      </c>
      <c r="J69" s="184">
        <f>B69+D69+E69+F69</f>
        <v/>
      </c>
      <c r="K69" s="185">
        <f>I69</f>
        <v/>
      </c>
    </row>
    <row r="70" ht="15.75" customHeight="1">
      <c r="A70" s="106" t="inlineStr">
        <is>
          <t xml:space="preserve">TAGS </t>
        </is>
      </c>
      <c r="B70" s="341" t="n">
        <v>0</v>
      </c>
      <c r="C70" s="183">
        <f>B70</f>
        <v/>
      </c>
      <c r="D70" s="80" t="n">
        <v>0</v>
      </c>
      <c r="E70" s="80" t="n">
        <v>0</v>
      </c>
      <c r="F70" s="182" t="n">
        <v>0</v>
      </c>
      <c r="G70" s="182" t="n">
        <v>0</v>
      </c>
      <c r="H70" s="182" t="n">
        <v>0</v>
      </c>
      <c r="I70" s="183">
        <f>D70+E70+F70+G70+H70</f>
        <v/>
      </c>
      <c r="J70" s="184">
        <f>B70+D70+E70+F70</f>
        <v/>
      </c>
      <c r="K70" s="185">
        <f>I70</f>
        <v/>
      </c>
    </row>
    <row r="71" ht="15.75" customHeight="1">
      <c r="A71" s="94" t="inlineStr">
        <is>
          <t>TOTAL DE SACOLAS</t>
        </is>
      </c>
      <c r="B71" s="302">
        <f>B67+B68</f>
        <v/>
      </c>
      <c r="C71" s="95">
        <f>C67+C68</f>
        <v/>
      </c>
      <c r="D71" s="95">
        <f>D67+D68</f>
        <v/>
      </c>
      <c r="E71" s="95">
        <f>E67+E68</f>
        <v/>
      </c>
      <c r="F71" s="95">
        <f>F67+F68</f>
        <v/>
      </c>
      <c r="G71" s="95">
        <f>G67+G68</f>
        <v/>
      </c>
      <c r="H71" s="95">
        <f>H67+H68</f>
        <v/>
      </c>
      <c r="I71" s="95">
        <f>I67+I68</f>
        <v/>
      </c>
      <c r="J71" s="186">
        <f>J67+J68</f>
        <v/>
      </c>
      <c r="K71" s="186">
        <f>K67+K68</f>
        <v/>
      </c>
    </row>
    <row r="73" ht="15.75" customHeight="1">
      <c r="A73" s="554" t="inlineStr">
        <is>
          <t>GASTO DE SACOLAS E ITENS DOADOS NAMORADOS/2025 - MENSAIS</t>
        </is>
      </c>
      <c r="B73" s="742" t="n"/>
      <c r="C73" s="742" t="n"/>
      <c r="D73" s="742" t="n"/>
      <c r="E73" s="742" t="n"/>
      <c r="F73" s="742" t="n"/>
      <c r="G73" s="742" t="n"/>
      <c r="H73" s="742" t="n"/>
      <c r="I73" s="742" t="n"/>
      <c r="J73" s="742" t="n"/>
      <c r="K73" s="742" t="n"/>
    </row>
    <row r="74" ht="15.75" customHeight="1">
      <c r="A74" s="556" t="inlineStr">
        <is>
          <t>ER PERUÍBE</t>
        </is>
      </c>
      <c r="B74" s="556" t="inlineStr">
        <is>
          <t>MAIO</t>
        </is>
      </c>
      <c r="C74" s="556" t="n"/>
      <c r="D74" s="556" t="inlineStr">
        <is>
          <t>JUNHO</t>
        </is>
      </c>
      <c r="E74" s="742" t="n"/>
      <c r="F74" s="742" t="n"/>
      <c r="G74" s="742" t="n"/>
      <c r="H74" s="742" t="n"/>
      <c r="I74" s="743" t="n"/>
      <c r="J74" s="557" t="inlineStr">
        <is>
          <t>USOU ATÉ NAMORADOS</t>
        </is>
      </c>
      <c r="K74" s="557" t="inlineStr">
        <is>
          <t>TOTAL GERAL</t>
        </is>
      </c>
    </row>
    <row r="75" ht="15.75" customHeight="1">
      <c r="A75" s="745" t="n"/>
      <c r="B75" s="305" t="n">
        <v>45803</v>
      </c>
      <c r="C75" s="557" t="inlineStr">
        <is>
          <t>USOU</t>
        </is>
      </c>
      <c r="D75" s="305" t="n">
        <v>45810</v>
      </c>
      <c r="E75" s="305" t="n">
        <v>45817</v>
      </c>
      <c r="F75" s="305" t="n">
        <v>45824</v>
      </c>
      <c r="G75" s="305" t="n">
        <v>45831</v>
      </c>
      <c r="H75" s="305" t="n">
        <v>45838</v>
      </c>
      <c r="I75" s="557" t="inlineStr">
        <is>
          <t>USOU</t>
        </is>
      </c>
      <c r="J75" s="745" t="n"/>
      <c r="K75" s="745" t="n"/>
    </row>
    <row r="76" ht="15.75" customHeight="1">
      <c r="A76" s="181" t="inlineStr">
        <is>
          <t>SACOLA M</t>
        </is>
      </c>
      <c r="B76" s="340" t="n">
        <v>0</v>
      </c>
      <c r="C76" s="183">
        <f>B76</f>
        <v/>
      </c>
      <c r="D76" s="80" t="n">
        <v>70</v>
      </c>
      <c r="E76" s="80" t="n">
        <v>25</v>
      </c>
      <c r="F76" s="182" t="n">
        <v>75</v>
      </c>
      <c r="G76" s="182" t="n">
        <v>0</v>
      </c>
      <c r="H76" s="182" t="n">
        <v>0</v>
      </c>
      <c r="I76" s="183">
        <f>D76+E76+F76+G76+H76</f>
        <v/>
      </c>
      <c r="J76" s="184">
        <f>B76+D76+E76+F76</f>
        <v/>
      </c>
      <c r="K76" s="185">
        <f>I76</f>
        <v/>
      </c>
    </row>
    <row r="77" ht="15.75" customHeight="1">
      <c r="A77" s="181" t="inlineStr">
        <is>
          <t>SACOLA G</t>
        </is>
      </c>
      <c r="B77" s="340" t="n">
        <v>0</v>
      </c>
      <c r="C77" s="183">
        <f>B77</f>
        <v/>
      </c>
      <c r="D77" s="80" t="n">
        <v>0</v>
      </c>
      <c r="E77" s="80" t="n">
        <v>5</v>
      </c>
      <c r="F77" s="182" t="n">
        <v>25</v>
      </c>
      <c r="G77" s="182" t="n">
        <v>0</v>
      </c>
      <c r="H77" s="182" t="n">
        <v>50</v>
      </c>
      <c r="I77" s="183">
        <f>D77+E77+F77+G77+H77</f>
        <v/>
      </c>
      <c r="J77" s="184">
        <f>B77+D77+E77+F77</f>
        <v/>
      </c>
      <c r="K77" s="185">
        <f>I77</f>
        <v/>
      </c>
    </row>
    <row r="78" ht="15.75" customHeight="1">
      <c r="A78" s="106" t="inlineStr">
        <is>
          <t>PAPEL DE SEDA</t>
        </is>
      </c>
      <c r="B78" s="341" t="n">
        <v>0</v>
      </c>
      <c r="C78" s="183">
        <f>B78</f>
        <v/>
      </c>
      <c r="D78" s="80" t="n">
        <v>0</v>
      </c>
      <c r="E78" s="80" t="n">
        <v>0</v>
      </c>
      <c r="F78" s="182" t="n">
        <v>0</v>
      </c>
      <c r="G78" s="182" t="n">
        <v>0</v>
      </c>
      <c r="H78" s="182" t="n">
        <v>0</v>
      </c>
      <c r="I78" s="183">
        <f>D78+E78+F78+G78+H78</f>
        <v/>
      </c>
      <c r="J78" s="184">
        <f>B78+D78+E78+F78</f>
        <v/>
      </c>
      <c r="K78" s="185">
        <f>I78</f>
        <v/>
      </c>
    </row>
    <row r="79" ht="15.75" customHeight="1">
      <c r="A79" s="106" t="inlineStr">
        <is>
          <t xml:space="preserve">TAGS </t>
        </is>
      </c>
      <c r="B79" s="341" t="n">
        <v>0</v>
      </c>
      <c r="C79" s="183">
        <f>B79</f>
        <v/>
      </c>
      <c r="D79" s="80" t="n">
        <v>0</v>
      </c>
      <c r="E79" s="80" t="n">
        <v>0</v>
      </c>
      <c r="F79" s="182" t="n">
        <v>0</v>
      </c>
      <c r="G79" s="182" t="n">
        <v>0</v>
      </c>
      <c r="H79" s="182" t="n">
        <v>0</v>
      </c>
      <c r="I79" s="183">
        <f>D79+E79+F79+G79+H79</f>
        <v/>
      </c>
      <c r="J79" s="184">
        <f>B79+D79+E79+F79</f>
        <v/>
      </c>
      <c r="K79" s="185">
        <f>I79</f>
        <v/>
      </c>
    </row>
    <row r="80" ht="15.75" customHeight="1">
      <c r="A80" s="94" t="inlineStr">
        <is>
          <t>TOTAL DE SACOLAS</t>
        </is>
      </c>
      <c r="B80" s="302">
        <f>B76+B77</f>
        <v/>
      </c>
      <c r="C80" s="95">
        <f>C76+C77</f>
        <v/>
      </c>
      <c r="D80" s="95">
        <f>D76+D77</f>
        <v/>
      </c>
      <c r="E80" s="95">
        <f>E76+E77</f>
        <v/>
      </c>
      <c r="F80" s="95">
        <f>F76+F77</f>
        <v/>
      </c>
      <c r="G80" s="95">
        <f>G76+G77</f>
        <v/>
      </c>
      <c r="H80" s="95">
        <f>H76+H77</f>
        <v/>
      </c>
      <c r="I80" s="95">
        <f>I76+I77</f>
        <v/>
      </c>
      <c r="J80" s="186">
        <f>J76+J77</f>
        <v/>
      </c>
      <c r="K80" s="186">
        <f>K76+K77</f>
        <v/>
      </c>
    </row>
  </sheetData>
  <mergeCells count="45">
    <mergeCell ref="D11:I11"/>
    <mergeCell ref="A64:K64"/>
    <mergeCell ref="J38:J39"/>
    <mergeCell ref="A73:K73"/>
    <mergeCell ref="J74:J75"/>
    <mergeCell ref="A1:K1"/>
    <mergeCell ref="J11:J12"/>
    <mergeCell ref="J65:J66"/>
    <mergeCell ref="D47:I47"/>
    <mergeCell ref="A65:A66"/>
    <mergeCell ref="K11:K12"/>
    <mergeCell ref="A74:A75"/>
    <mergeCell ref="A56:A57"/>
    <mergeCell ref="K56:K57"/>
    <mergeCell ref="K47:K48"/>
    <mergeCell ref="D56:I56"/>
    <mergeCell ref="J20:J21"/>
    <mergeCell ref="A2:A3"/>
    <mergeCell ref="A46:K46"/>
    <mergeCell ref="D74:I74"/>
    <mergeCell ref="K2:K3"/>
    <mergeCell ref="A37:K37"/>
    <mergeCell ref="D38:I38"/>
    <mergeCell ref="D29:I29"/>
    <mergeCell ref="A55:K55"/>
    <mergeCell ref="J56:J57"/>
    <mergeCell ref="J47:J48"/>
    <mergeCell ref="K20:K21"/>
    <mergeCell ref="A29:A30"/>
    <mergeCell ref="A47:A48"/>
    <mergeCell ref="A20:A21"/>
    <mergeCell ref="K38:K39"/>
    <mergeCell ref="D20:I20"/>
    <mergeCell ref="J2:J3"/>
    <mergeCell ref="A38:A39"/>
    <mergeCell ref="K65:K66"/>
    <mergeCell ref="A19:K19"/>
    <mergeCell ref="D65:I65"/>
    <mergeCell ref="K74:K75"/>
    <mergeCell ref="A10:K10"/>
    <mergeCell ref="A28:K28"/>
    <mergeCell ref="C2:I2"/>
    <mergeCell ref="J29:J30"/>
    <mergeCell ref="K29:K30"/>
    <mergeCell ref="A11:A12"/>
  </mergeCells>
  <pageMargins left="0.511811024" right="0.511811024" top="0.787401575" bottom="0.787401575" header="0.31496062" footer="0.31496062"/>
</worksheet>
</file>

<file path=xl/worksheets/sheet29.xml><?xml version="1.0" encoding="utf-8"?>
<worksheet xmlns="http://schemas.openxmlformats.org/spreadsheetml/2006/main">
  <sheetPr codeName="Planilha16">
    <tabColor theme="9" tint="-0.499984740745262"/>
    <outlinePr summaryBelow="1" summaryRight="1"/>
    <pageSetUpPr/>
  </sheetPr>
  <dimension ref="A1:K80"/>
  <sheetViews>
    <sheetView zoomScale="85" zoomScaleNormal="85" workbookViewId="0">
      <pane xSplit="1" topLeftCell="B1" activePane="topRight" state="frozen"/>
      <selection pane="topRight" activeCell="O21" sqref="O21"/>
    </sheetView>
  </sheetViews>
  <sheetFormatPr baseColWidth="8" defaultRowHeight="15"/>
  <cols>
    <col width="32.85546875" customWidth="1" min="1" max="1"/>
    <col width="17.5703125" bestFit="1" customWidth="1" min="10" max="10"/>
    <col width="14.42578125" bestFit="1" customWidth="1" min="11" max="11"/>
  </cols>
  <sheetData>
    <row r="1" ht="18" customHeight="1">
      <c r="A1" s="749" t="inlineStr">
        <is>
          <t>GASTO DE SACOLAS E ITENS DOADOS PAIS/2025 - MENSAIS</t>
        </is>
      </c>
      <c r="B1" s="750" t="n"/>
      <c r="C1" s="750" t="n"/>
      <c r="D1" s="750" t="n"/>
      <c r="E1" s="750" t="n"/>
      <c r="F1" s="750" t="n"/>
      <c r="G1" s="750" t="n"/>
      <c r="H1" s="750" t="n"/>
      <c r="I1" s="750" t="n"/>
      <c r="J1" s="750" t="n"/>
      <c r="K1" s="751" t="n"/>
    </row>
    <row r="2" ht="18" customHeight="1">
      <c r="A2" s="566" t="inlineStr">
        <is>
          <t>PLAZA</t>
        </is>
      </c>
      <c r="B2" s="752" t="inlineStr">
        <is>
          <t>JULHO</t>
        </is>
      </c>
      <c r="C2" s="658" t="n"/>
      <c r="D2" s="670" t="n"/>
      <c r="E2" s="752" t="inlineStr">
        <is>
          <t>AGOSTO</t>
        </is>
      </c>
      <c r="F2" s="658" t="n"/>
      <c r="G2" s="658" t="n"/>
      <c r="H2" s="658" t="n"/>
      <c r="I2" s="670" t="n"/>
      <c r="J2" s="571" t="inlineStr">
        <is>
          <t>USOU ATÉ PAIS</t>
        </is>
      </c>
      <c r="K2" s="573" t="inlineStr">
        <is>
          <t>TOTAL GERAL</t>
        </is>
      </c>
    </row>
    <row r="3" ht="15.75" customHeight="1">
      <c r="A3" s="753" t="n"/>
      <c r="B3" s="197" t="n">
        <v>45859</v>
      </c>
      <c r="C3" s="197" t="n">
        <v>45866</v>
      </c>
      <c r="D3" s="201" t="inlineStr">
        <is>
          <t>USOU</t>
        </is>
      </c>
      <c r="E3" s="197" t="n">
        <v>45873</v>
      </c>
      <c r="F3" s="198" t="n">
        <v>45880</v>
      </c>
      <c r="G3" s="198" t="n">
        <v>45887</v>
      </c>
      <c r="H3" s="197" t="n">
        <v>45894</v>
      </c>
      <c r="I3" s="199" t="inlineStr">
        <is>
          <t>USOU</t>
        </is>
      </c>
      <c r="J3" s="754" t="n"/>
      <c r="K3" s="755" t="n"/>
    </row>
    <row r="4" ht="15.75" customHeight="1">
      <c r="A4" s="181" t="inlineStr">
        <is>
          <t>SACOLA M</t>
        </is>
      </c>
      <c r="B4" s="80" t="n">
        <v>0</v>
      </c>
      <c r="C4" s="80" t="n">
        <v>600</v>
      </c>
      <c r="D4" s="183">
        <f>B4+C4</f>
        <v/>
      </c>
      <c r="E4" s="80" t="n">
        <v>1000</v>
      </c>
      <c r="F4" s="80" t="n">
        <v>400</v>
      </c>
      <c r="G4" s="80" t="n">
        <v>0</v>
      </c>
      <c r="H4" s="80" t="n">
        <v>0</v>
      </c>
      <c r="I4" s="183">
        <f>E4+F4+G4+H4</f>
        <v/>
      </c>
      <c r="J4" s="195">
        <f>E4+F4</f>
        <v/>
      </c>
      <c r="K4" s="194">
        <f>D4+I4</f>
        <v/>
      </c>
    </row>
    <row r="5" ht="15.75" customHeight="1">
      <c r="A5" s="106" t="inlineStr">
        <is>
          <t xml:space="preserve">PAPEL DE SEDA </t>
        </is>
      </c>
      <c r="B5" s="80" t="n">
        <v>400</v>
      </c>
      <c r="C5" s="80" t="n">
        <v>400</v>
      </c>
      <c r="D5" s="183">
        <f>B5+C5</f>
        <v/>
      </c>
      <c r="E5" s="80" t="n">
        <v>300</v>
      </c>
      <c r="F5" s="80" t="n">
        <v>900</v>
      </c>
      <c r="G5" s="80" t="n">
        <v>0</v>
      </c>
      <c r="H5" s="80" t="n">
        <v>0</v>
      </c>
      <c r="I5" s="183">
        <f>E5+F5+G5+H5</f>
        <v/>
      </c>
      <c r="J5" s="195">
        <f>E5+F5</f>
        <v/>
      </c>
      <c r="K5" s="194">
        <f>D5+I5</f>
        <v/>
      </c>
    </row>
    <row r="6" ht="15.75" customHeight="1">
      <c r="A6" s="106" t="inlineStr">
        <is>
          <t xml:space="preserve">TAGS </t>
        </is>
      </c>
      <c r="B6" s="80" t="n">
        <v>0</v>
      </c>
      <c r="C6" s="80" t="n">
        <v>0</v>
      </c>
      <c r="D6" s="183">
        <f>B6+C6</f>
        <v/>
      </c>
      <c r="E6" s="80" t="n">
        <v>0</v>
      </c>
      <c r="F6" s="80" t="n">
        <v>1150</v>
      </c>
      <c r="G6" s="80" t="n">
        <v>50</v>
      </c>
      <c r="H6" s="80" t="n">
        <v>0</v>
      </c>
      <c r="I6" s="183">
        <f>E6+F6+G6+H6</f>
        <v/>
      </c>
      <c r="J6" s="195">
        <f>E6+F6</f>
        <v/>
      </c>
      <c r="K6" s="194">
        <f>D6+I6</f>
        <v/>
      </c>
    </row>
    <row r="7" ht="15.75" customHeight="1">
      <c r="A7" s="106" t="inlineStr">
        <is>
          <t>ADESIVOS</t>
        </is>
      </c>
      <c r="B7" s="80" t="n">
        <v>0</v>
      </c>
      <c r="C7" s="80" t="n">
        <v>0</v>
      </c>
      <c r="D7" s="183">
        <f>B7+C7</f>
        <v/>
      </c>
      <c r="E7" s="80" t="n">
        <v>0</v>
      </c>
      <c r="F7" s="80" t="n">
        <v>100</v>
      </c>
      <c r="G7" s="80" t="n">
        <v>0</v>
      </c>
      <c r="H7" s="80" t="n">
        <v>0</v>
      </c>
      <c r="I7" s="183">
        <f>E7+F7+G7+H7</f>
        <v/>
      </c>
      <c r="J7" s="195">
        <f>E7+F7</f>
        <v/>
      </c>
      <c r="K7" s="194">
        <f>D7+I7</f>
        <v/>
      </c>
    </row>
    <row r="8" ht="15.75" customHeight="1">
      <c r="A8" s="94" t="inlineStr">
        <is>
          <t>TOTAL DE SACOLAS</t>
        </is>
      </c>
      <c r="B8" s="95">
        <f>B4</f>
        <v/>
      </c>
      <c r="C8" s="95">
        <f>C4</f>
        <v/>
      </c>
      <c r="D8" s="95">
        <f>D4</f>
        <v/>
      </c>
      <c r="E8" s="95">
        <f>E4</f>
        <v/>
      </c>
      <c r="F8" s="95">
        <f>F4</f>
        <v/>
      </c>
      <c r="G8" s="95">
        <f>G4</f>
        <v/>
      </c>
      <c r="H8" s="95">
        <f>H4</f>
        <v/>
      </c>
      <c r="I8" s="95">
        <f>I4</f>
        <v/>
      </c>
      <c r="J8" s="200">
        <f>J4</f>
        <v/>
      </c>
      <c r="K8" s="196">
        <f>D4+I4</f>
        <v/>
      </c>
    </row>
    <row r="10" ht="18" customHeight="1">
      <c r="A10" s="749" t="inlineStr">
        <is>
          <t>GASTO DE SACOLAS E ITENS DOADOS PAIS/2025 - MENSAIS</t>
        </is>
      </c>
      <c r="B10" s="750" t="n"/>
      <c r="C10" s="750" t="n"/>
      <c r="D10" s="750" t="n"/>
      <c r="E10" s="750" t="n"/>
      <c r="F10" s="750" t="n"/>
      <c r="G10" s="750" t="n"/>
      <c r="H10" s="750" t="n"/>
      <c r="I10" s="750" t="n"/>
      <c r="J10" s="750" t="n"/>
      <c r="K10" s="751" t="n"/>
    </row>
    <row r="11" ht="18" customHeight="1">
      <c r="A11" s="566" t="inlineStr">
        <is>
          <t>BOQUEIRÃO</t>
        </is>
      </c>
      <c r="B11" s="752" t="inlineStr">
        <is>
          <t>JULHO</t>
        </is>
      </c>
      <c r="C11" s="658" t="n"/>
      <c r="D11" s="670" t="n"/>
      <c r="E11" s="752" t="inlineStr">
        <is>
          <t>AGOSTO</t>
        </is>
      </c>
      <c r="F11" s="658" t="n"/>
      <c r="G11" s="658" t="n"/>
      <c r="H11" s="658" t="n"/>
      <c r="I11" s="670" t="n"/>
      <c r="J11" s="571" t="inlineStr">
        <is>
          <t>USOU ATÉ PAIS</t>
        </is>
      </c>
      <c r="K11" s="573" t="inlineStr">
        <is>
          <t>TOTAL GERAL</t>
        </is>
      </c>
    </row>
    <row r="12" ht="15.75" customHeight="1">
      <c r="A12" s="753" t="n"/>
      <c r="B12" s="197" t="n">
        <v>45859</v>
      </c>
      <c r="C12" s="197" t="n">
        <v>45866</v>
      </c>
      <c r="D12" s="201" t="inlineStr">
        <is>
          <t>USOU</t>
        </is>
      </c>
      <c r="E12" s="197" t="n">
        <v>45873</v>
      </c>
      <c r="F12" s="198" t="n">
        <v>45880</v>
      </c>
      <c r="G12" s="198" t="n">
        <v>45887</v>
      </c>
      <c r="H12" s="197" t="n">
        <v>45894</v>
      </c>
      <c r="I12" s="199" t="inlineStr">
        <is>
          <t>USOU</t>
        </is>
      </c>
      <c r="J12" s="754" t="n"/>
      <c r="K12" s="755" t="n"/>
    </row>
    <row r="13" ht="15.75" customHeight="1">
      <c r="A13" s="181" t="inlineStr">
        <is>
          <t>SACOLA M</t>
        </is>
      </c>
      <c r="B13" s="80" t="n">
        <v>0</v>
      </c>
      <c r="C13" s="80" t="n">
        <v>180</v>
      </c>
      <c r="D13" s="183">
        <f>B13+C13</f>
        <v/>
      </c>
      <c r="E13" s="80" t="n">
        <v>220</v>
      </c>
      <c r="F13" s="80" t="n">
        <v>340</v>
      </c>
      <c r="G13" s="80" t="n">
        <v>60</v>
      </c>
      <c r="H13" s="80" t="n"/>
      <c r="I13" s="183">
        <f>E13+F13+G13+H13</f>
        <v/>
      </c>
      <c r="J13" s="195">
        <f>E13+F13</f>
        <v/>
      </c>
      <c r="K13" s="194">
        <f>D13+I13</f>
        <v/>
      </c>
    </row>
    <row r="14" ht="15.75" customHeight="1">
      <c r="A14" s="106" t="inlineStr">
        <is>
          <t xml:space="preserve">PAPEL DE SEDA </t>
        </is>
      </c>
      <c r="B14" s="80" t="n">
        <v>200</v>
      </c>
      <c r="C14" s="80" t="n">
        <v>200</v>
      </c>
      <c r="D14" s="183">
        <f>B14+C14</f>
        <v/>
      </c>
      <c r="E14" s="80" t="n">
        <v>0</v>
      </c>
      <c r="F14" s="80" t="n">
        <v>600</v>
      </c>
      <c r="G14" s="80" t="n">
        <v>0</v>
      </c>
      <c r="H14" s="80" t="n"/>
      <c r="I14" s="183">
        <f>E14+F14+G14+H14</f>
        <v/>
      </c>
      <c r="J14" s="195">
        <f>E14+F14</f>
        <v/>
      </c>
      <c r="K14" s="194">
        <f>D14+I14</f>
        <v/>
      </c>
    </row>
    <row r="15" ht="15.75" customHeight="1">
      <c r="A15" s="106" t="inlineStr">
        <is>
          <t xml:space="preserve">TAGS </t>
        </is>
      </c>
      <c r="B15" s="80" t="n">
        <v>0</v>
      </c>
      <c r="C15" s="80" t="n">
        <v>0</v>
      </c>
      <c r="D15" s="183">
        <f>B15+C15</f>
        <v/>
      </c>
      <c r="E15" s="80" t="n">
        <v>300</v>
      </c>
      <c r="F15" s="80" t="n">
        <v>0</v>
      </c>
      <c r="G15" s="80" t="n">
        <v>0</v>
      </c>
      <c r="H15" s="80" t="n"/>
      <c r="I15" s="183">
        <f>E15+F15+G15+H15</f>
        <v/>
      </c>
      <c r="J15" s="195">
        <f>E15+F15</f>
        <v/>
      </c>
      <c r="K15" s="194">
        <f>D15+I15</f>
        <v/>
      </c>
    </row>
    <row r="16" ht="15.75" customHeight="1">
      <c r="A16" s="106" t="inlineStr">
        <is>
          <t>ADESIVOS</t>
        </is>
      </c>
      <c r="B16" s="80" t="n">
        <v>0</v>
      </c>
      <c r="C16" s="80" t="n">
        <v>0</v>
      </c>
      <c r="D16" s="183">
        <f>B16+C16</f>
        <v/>
      </c>
      <c r="E16" s="80" t="n">
        <v>0</v>
      </c>
      <c r="F16" s="80" t="n">
        <v>0</v>
      </c>
      <c r="G16" s="80" t="n">
        <v>0</v>
      </c>
      <c r="H16" s="80" t="n"/>
      <c r="I16" s="183">
        <f>E16+F16+G16+H16</f>
        <v/>
      </c>
      <c r="J16" s="195">
        <f>E16+F16</f>
        <v/>
      </c>
      <c r="K16" s="194">
        <f>D16+I16</f>
        <v/>
      </c>
    </row>
    <row r="17" ht="15.75" customHeight="1">
      <c r="A17" s="94" t="inlineStr">
        <is>
          <t>TOTAL DE SACOLAS</t>
        </is>
      </c>
      <c r="B17" s="95">
        <f>B13</f>
        <v/>
      </c>
      <c r="C17" s="95">
        <f>C13</f>
        <v/>
      </c>
      <c r="D17" s="95">
        <f>D13</f>
        <v/>
      </c>
      <c r="E17" s="95">
        <f>E13</f>
        <v/>
      </c>
      <c r="F17" s="95">
        <f>F13</f>
        <v/>
      </c>
      <c r="G17" s="95">
        <f>G13</f>
        <v/>
      </c>
      <c r="H17" s="95">
        <f>H13</f>
        <v/>
      </c>
      <c r="I17" s="95">
        <f>I13</f>
        <v/>
      </c>
      <c r="J17" s="200">
        <f>J13</f>
        <v/>
      </c>
      <c r="K17" s="196">
        <f>D13+I13</f>
        <v/>
      </c>
    </row>
    <row r="19" ht="15.75" customHeight="1">
      <c r="A19" s="749" t="inlineStr">
        <is>
          <t>GASTO DE SACOLAS E ITENS DOADOS PAIS/2025 - MENSAIS</t>
        </is>
      </c>
      <c r="B19" s="750" t="n"/>
      <c r="C19" s="750" t="n"/>
      <c r="D19" s="750" t="n"/>
      <c r="E19" s="750" t="n"/>
      <c r="F19" s="750" t="n"/>
      <c r="G19" s="750" t="n"/>
      <c r="H19" s="750" t="n"/>
      <c r="I19" s="750" t="n"/>
      <c r="J19" s="750" t="n"/>
      <c r="K19" s="751" t="n"/>
    </row>
    <row r="20" ht="15.75" customHeight="1">
      <c r="A20" s="566" t="inlineStr">
        <is>
          <t>TUPI</t>
        </is>
      </c>
      <c r="B20" s="752" t="inlineStr">
        <is>
          <t>JULHO</t>
        </is>
      </c>
      <c r="C20" s="658" t="n"/>
      <c r="D20" s="670" t="n"/>
      <c r="E20" s="752" t="inlineStr">
        <is>
          <t>AGOSTO</t>
        </is>
      </c>
      <c r="F20" s="658" t="n"/>
      <c r="G20" s="658" t="n"/>
      <c r="H20" s="658" t="n"/>
      <c r="I20" s="670" t="n"/>
      <c r="J20" s="571" t="inlineStr">
        <is>
          <t>USOU ATÉ PAIS</t>
        </is>
      </c>
      <c r="K20" s="573" t="inlineStr">
        <is>
          <t>TOTAL GERAL</t>
        </is>
      </c>
    </row>
    <row r="21" ht="15.75" customHeight="1">
      <c r="A21" s="753" t="n"/>
      <c r="B21" s="197" t="n">
        <v>45859</v>
      </c>
      <c r="C21" s="197" t="n">
        <v>45866</v>
      </c>
      <c r="D21" s="201" t="inlineStr">
        <is>
          <t>USOU</t>
        </is>
      </c>
      <c r="E21" s="197" t="n">
        <v>45873</v>
      </c>
      <c r="F21" s="198" t="n">
        <v>45880</v>
      </c>
      <c r="G21" s="198" t="n">
        <v>45887</v>
      </c>
      <c r="H21" s="197" t="n">
        <v>45894</v>
      </c>
      <c r="I21" s="199" t="inlineStr">
        <is>
          <t>USOU</t>
        </is>
      </c>
      <c r="J21" s="754" t="n"/>
      <c r="K21" s="755" t="n"/>
    </row>
    <row r="22" ht="15.75" customHeight="1">
      <c r="A22" s="181" t="inlineStr">
        <is>
          <t>SACOLA M</t>
        </is>
      </c>
      <c r="B22" s="80" t="n">
        <v>0</v>
      </c>
      <c r="C22" s="80" t="n">
        <v>120</v>
      </c>
      <c r="D22" s="183">
        <f>B22+C22</f>
        <v/>
      </c>
      <c r="E22" s="80" t="n">
        <v>120</v>
      </c>
      <c r="F22" s="80" t="n">
        <v>480</v>
      </c>
      <c r="G22" s="80" t="n">
        <v>40</v>
      </c>
      <c r="H22" s="80" t="n"/>
      <c r="I22" s="183">
        <f>E22+F22+G22+H22</f>
        <v/>
      </c>
      <c r="J22" s="195">
        <f>E22+F22</f>
        <v/>
      </c>
      <c r="K22" s="194">
        <f>D22+I22</f>
        <v/>
      </c>
    </row>
    <row r="23" ht="15.75" customHeight="1">
      <c r="A23" s="106" t="inlineStr">
        <is>
          <t xml:space="preserve">PAPEL DE SEDA </t>
        </is>
      </c>
      <c r="B23" s="80" t="n">
        <v>200</v>
      </c>
      <c r="C23" s="80" t="n">
        <v>0</v>
      </c>
      <c r="D23" s="183">
        <f>B23+C23</f>
        <v/>
      </c>
      <c r="E23" s="80" t="n">
        <v>200</v>
      </c>
      <c r="F23" s="80" t="n">
        <v>600</v>
      </c>
      <c r="G23" s="80" t="n">
        <v>0</v>
      </c>
      <c r="H23" s="80" t="n"/>
      <c r="I23" s="183">
        <f>E23+F23+G23+H23</f>
        <v/>
      </c>
      <c r="J23" s="195">
        <f>E23+F23</f>
        <v/>
      </c>
      <c r="K23" s="194">
        <f>D23+I23</f>
        <v/>
      </c>
    </row>
    <row r="24" ht="15.75" customHeight="1">
      <c r="A24" s="106" t="inlineStr">
        <is>
          <t xml:space="preserve">TAGS </t>
        </is>
      </c>
      <c r="B24" s="80" t="n">
        <v>0</v>
      </c>
      <c r="C24" s="80" t="n">
        <v>0</v>
      </c>
      <c r="D24" s="183">
        <f>B24+C24</f>
        <v/>
      </c>
      <c r="E24" s="80" t="n">
        <v>300</v>
      </c>
      <c r="F24" s="80" t="n">
        <v>300</v>
      </c>
      <c r="G24" s="80" t="n">
        <v>0</v>
      </c>
      <c r="H24" s="80" t="n"/>
      <c r="I24" s="183">
        <f>E24+F24+G24+H24</f>
        <v/>
      </c>
      <c r="J24" s="195">
        <f>E24+F24</f>
        <v/>
      </c>
      <c r="K24" s="194">
        <f>D24+I24</f>
        <v/>
      </c>
    </row>
    <row r="25" ht="15.75" customHeight="1">
      <c r="A25" s="106" t="inlineStr">
        <is>
          <t>ADESIVOS</t>
        </is>
      </c>
      <c r="B25" s="80" t="n">
        <v>0</v>
      </c>
      <c r="C25" s="80" t="n">
        <v>0</v>
      </c>
      <c r="D25" s="183">
        <f>B25+C25</f>
        <v/>
      </c>
      <c r="E25" s="80" t="n">
        <v>0</v>
      </c>
      <c r="F25" s="80" t="n">
        <v>0</v>
      </c>
      <c r="G25" s="80" t="n">
        <v>0</v>
      </c>
      <c r="H25" s="80" t="n"/>
      <c r="I25" s="183">
        <f>E25+F25+G25+H25</f>
        <v/>
      </c>
      <c r="J25" s="195">
        <f>E25+F25</f>
        <v/>
      </c>
      <c r="K25" s="194">
        <f>D25+I25</f>
        <v/>
      </c>
    </row>
    <row r="26" ht="15.75" customHeight="1">
      <c r="A26" s="94" t="inlineStr">
        <is>
          <t>TOTAL DE SACOLAS</t>
        </is>
      </c>
      <c r="B26" s="95">
        <f>B22</f>
        <v/>
      </c>
      <c r="C26" s="95">
        <f>C22</f>
        <v/>
      </c>
      <c r="D26" s="95">
        <f>D22</f>
        <v/>
      </c>
      <c r="E26" s="95">
        <f>E22</f>
        <v/>
      </c>
      <c r="F26" s="95">
        <f>F22</f>
        <v/>
      </c>
      <c r="G26" s="95">
        <f>G22</f>
        <v/>
      </c>
      <c r="H26" s="95">
        <f>H22</f>
        <v/>
      </c>
      <c r="I26" s="95">
        <f>I22</f>
        <v/>
      </c>
      <c r="J26" s="200">
        <f>J22</f>
        <v/>
      </c>
      <c r="K26" s="196">
        <f>D22+I22</f>
        <v/>
      </c>
    </row>
    <row r="28" ht="15.75" customHeight="1">
      <c r="A28" s="749" t="inlineStr">
        <is>
          <t>GASTO DE SACOLAS E ITENS DOADOS PAIS/2025 - MENSAIS</t>
        </is>
      </c>
      <c r="B28" s="750" t="n"/>
      <c r="C28" s="750" t="n"/>
      <c r="D28" s="750" t="n"/>
      <c r="E28" s="750" t="n"/>
      <c r="F28" s="750" t="n"/>
      <c r="G28" s="750" t="n"/>
      <c r="H28" s="750" t="n"/>
      <c r="I28" s="750" t="n"/>
      <c r="J28" s="750" t="n"/>
      <c r="K28" s="751" t="n"/>
    </row>
    <row r="29" ht="15.75" customHeight="1">
      <c r="A29" s="566" t="inlineStr">
        <is>
          <t>PERUÍBE</t>
        </is>
      </c>
      <c r="B29" s="752" t="inlineStr">
        <is>
          <t>JULHO</t>
        </is>
      </c>
      <c r="C29" s="658" t="n"/>
      <c r="D29" s="670" t="n"/>
      <c r="E29" s="752" t="inlineStr">
        <is>
          <t>AGOSTO</t>
        </is>
      </c>
      <c r="F29" s="658" t="n"/>
      <c r="G29" s="658" t="n"/>
      <c r="H29" s="658" t="n"/>
      <c r="I29" s="670" t="n"/>
      <c r="J29" s="571" t="inlineStr">
        <is>
          <t>USOU ATÉ PAIS</t>
        </is>
      </c>
      <c r="K29" s="573" t="inlineStr">
        <is>
          <t>TOTAL GERAL</t>
        </is>
      </c>
    </row>
    <row r="30" ht="15.75" customHeight="1">
      <c r="A30" s="753" t="n"/>
      <c r="B30" s="197" t="n">
        <v>45859</v>
      </c>
      <c r="C30" s="197" t="n">
        <v>45866</v>
      </c>
      <c r="D30" s="201" t="inlineStr">
        <is>
          <t>USOU</t>
        </is>
      </c>
      <c r="E30" s="197" t="n">
        <v>45873</v>
      </c>
      <c r="F30" s="198" t="n">
        <v>45880</v>
      </c>
      <c r="G30" s="198" t="n">
        <v>45887</v>
      </c>
      <c r="H30" s="197" t="n">
        <v>45894</v>
      </c>
      <c r="I30" s="199" t="inlineStr">
        <is>
          <t>USOU</t>
        </is>
      </c>
      <c r="J30" s="754" t="n"/>
      <c r="K30" s="755" t="n"/>
    </row>
    <row r="31" ht="15.75" customHeight="1">
      <c r="A31" s="181" t="inlineStr">
        <is>
          <t>SACOLA M</t>
        </is>
      </c>
      <c r="B31" s="80" t="n">
        <v>0</v>
      </c>
      <c r="C31" s="80" t="n">
        <v>200</v>
      </c>
      <c r="D31" s="183">
        <f>B31+C31</f>
        <v/>
      </c>
      <c r="E31" s="80" t="n">
        <v>400</v>
      </c>
      <c r="F31" s="80" t="n">
        <v>0</v>
      </c>
      <c r="G31" s="80" t="n">
        <v>0</v>
      </c>
      <c r="H31" s="80" t="n">
        <v>0</v>
      </c>
      <c r="I31" s="183">
        <f>E31+F31+G31+H31</f>
        <v/>
      </c>
      <c r="J31" s="195">
        <f>E31+F31</f>
        <v/>
      </c>
      <c r="K31" s="194">
        <f>D31+I31</f>
        <v/>
      </c>
    </row>
    <row r="32" ht="15.75" customHeight="1">
      <c r="A32" s="106" t="inlineStr">
        <is>
          <t xml:space="preserve">PAPEL DE SEDA </t>
        </is>
      </c>
      <c r="B32" s="80" t="n">
        <v>0</v>
      </c>
      <c r="C32" s="80" t="n">
        <v>200</v>
      </c>
      <c r="D32" s="183">
        <f>B32+C32</f>
        <v/>
      </c>
      <c r="E32" s="80" t="n">
        <v>400</v>
      </c>
      <c r="F32" s="80" t="n">
        <v>400</v>
      </c>
      <c r="G32" s="80" t="n">
        <v>0</v>
      </c>
      <c r="H32" s="80" t="n">
        <v>0</v>
      </c>
      <c r="I32" s="183">
        <f>E32+F32+G32+H32</f>
        <v/>
      </c>
      <c r="J32" s="195">
        <f>E32+F32</f>
        <v/>
      </c>
      <c r="K32" s="194">
        <f>D32+I32</f>
        <v/>
      </c>
    </row>
    <row r="33" ht="15.75" customHeight="1">
      <c r="A33" s="106" t="inlineStr">
        <is>
          <t xml:space="preserve">TAGS </t>
        </is>
      </c>
      <c r="B33" s="80" t="n">
        <v>0</v>
      </c>
      <c r="C33" s="80" t="n">
        <v>0</v>
      </c>
      <c r="D33" s="183">
        <f>B33+C33</f>
        <v/>
      </c>
      <c r="E33" s="80" t="n">
        <v>300</v>
      </c>
      <c r="F33" s="80" t="n">
        <v>0</v>
      </c>
      <c r="G33" s="80" t="n">
        <v>0</v>
      </c>
      <c r="H33" s="80" t="n">
        <v>0</v>
      </c>
      <c r="I33" s="183">
        <f>E33+F33+G33+H33</f>
        <v/>
      </c>
      <c r="J33" s="195">
        <f>E33+F33</f>
        <v/>
      </c>
      <c r="K33" s="194">
        <f>D33+I33</f>
        <v/>
      </c>
    </row>
    <row r="34" ht="15.75" customHeight="1">
      <c r="A34" s="106" t="inlineStr">
        <is>
          <t>ADESIVOS</t>
        </is>
      </c>
      <c r="B34" s="80" t="n">
        <v>0</v>
      </c>
      <c r="C34" s="80" t="n">
        <v>0</v>
      </c>
      <c r="D34" s="183">
        <f>B34+C34</f>
        <v/>
      </c>
      <c r="E34" s="80" t="n">
        <v>0</v>
      </c>
      <c r="F34" s="80" t="n">
        <v>0</v>
      </c>
      <c r="G34" s="80" t="n">
        <v>0</v>
      </c>
      <c r="H34" s="80" t="n">
        <v>0</v>
      </c>
      <c r="I34" s="183">
        <f>E34+F34+G34+H34</f>
        <v/>
      </c>
      <c r="J34" s="195">
        <f>E34+F34</f>
        <v/>
      </c>
      <c r="K34" s="194">
        <f>D34+I34</f>
        <v/>
      </c>
    </row>
    <row r="35" ht="15.75" customHeight="1">
      <c r="A35" s="94" t="inlineStr">
        <is>
          <t>TOTAL DE SACOLAS</t>
        </is>
      </c>
      <c r="B35" s="95">
        <f>B31</f>
        <v/>
      </c>
      <c r="C35" s="95">
        <f>C31</f>
        <v/>
      </c>
      <c r="D35" s="95">
        <f>D31</f>
        <v/>
      </c>
      <c r="E35" s="95">
        <f>E31</f>
        <v/>
      </c>
      <c r="F35" s="95">
        <f>F31</f>
        <v/>
      </c>
      <c r="G35" s="95">
        <f>G31</f>
        <v/>
      </c>
      <c r="H35" s="95">
        <f>H31</f>
        <v/>
      </c>
      <c r="I35" s="95">
        <f>I31</f>
        <v/>
      </c>
      <c r="J35" s="200">
        <f>J31</f>
        <v/>
      </c>
      <c r="K35" s="196">
        <f>D31+I31</f>
        <v/>
      </c>
    </row>
    <row r="37" ht="15.75" customHeight="1">
      <c r="A37" s="749" t="inlineStr">
        <is>
          <t>GASTO DE SACOLAS E ITENS DOADOS PAIS/2025 - MENSAIS</t>
        </is>
      </c>
      <c r="B37" s="750" t="n"/>
      <c r="C37" s="750" t="n"/>
      <c r="D37" s="750" t="n"/>
      <c r="E37" s="750" t="n"/>
      <c r="F37" s="750" t="n"/>
      <c r="G37" s="750" t="n"/>
      <c r="H37" s="750" t="n"/>
      <c r="I37" s="750" t="n"/>
      <c r="J37" s="750" t="n"/>
      <c r="K37" s="751" t="n"/>
    </row>
    <row r="38" ht="15.75" customHeight="1">
      <c r="A38" s="566" t="inlineStr">
        <is>
          <t>MONGAGUÁ</t>
        </is>
      </c>
      <c r="B38" s="752" t="inlineStr">
        <is>
          <t>JULHO</t>
        </is>
      </c>
      <c r="C38" s="658" t="n"/>
      <c r="D38" s="670" t="n"/>
      <c r="E38" s="752" t="inlineStr">
        <is>
          <t>AGOSTO</t>
        </is>
      </c>
      <c r="F38" s="658" t="n"/>
      <c r="G38" s="658" t="n"/>
      <c r="H38" s="658" t="n"/>
      <c r="I38" s="670" t="n"/>
      <c r="J38" s="571" t="inlineStr">
        <is>
          <t>USOU ATÉ PAIS</t>
        </is>
      </c>
      <c r="K38" s="573" t="inlineStr">
        <is>
          <t>TOTAL GERAL</t>
        </is>
      </c>
    </row>
    <row r="39" ht="15.75" customHeight="1">
      <c r="A39" s="753" t="n"/>
      <c r="B39" s="197" t="n">
        <v>45859</v>
      </c>
      <c r="C39" s="197" t="n">
        <v>45866</v>
      </c>
      <c r="D39" s="201" t="inlineStr">
        <is>
          <t>USOU</t>
        </is>
      </c>
      <c r="E39" s="197" t="n">
        <v>45873</v>
      </c>
      <c r="F39" s="198" t="n">
        <v>45880</v>
      </c>
      <c r="G39" s="198" t="n">
        <v>45887</v>
      </c>
      <c r="H39" s="197" t="n">
        <v>45894</v>
      </c>
      <c r="I39" s="199" t="inlineStr">
        <is>
          <t>USOU</t>
        </is>
      </c>
      <c r="J39" s="754" t="n"/>
      <c r="K39" s="755" t="n"/>
    </row>
    <row r="40" ht="15.75" customHeight="1">
      <c r="A40" s="181" t="inlineStr">
        <is>
          <t>SACOLA M</t>
        </is>
      </c>
      <c r="B40" s="80" t="n">
        <v>0</v>
      </c>
      <c r="C40" s="80" t="n">
        <v>20</v>
      </c>
      <c r="D40" s="183">
        <f>B40+C40</f>
        <v/>
      </c>
      <c r="E40" s="80" t="n">
        <v>90</v>
      </c>
      <c r="F40" s="80" t="n">
        <v>290</v>
      </c>
      <c r="G40" s="80" t="n">
        <v>0</v>
      </c>
      <c r="H40" s="80" t="n">
        <v>0</v>
      </c>
      <c r="I40" s="183">
        <f>E40+F40+G40+H40</f>
        <v/>
      </c>
      <c r="J40" s="195">
        <f>E40+F40</f>
        <v/>
      </c>
      <c r="K40" s="194">
        <f>D40+I40</f>
        <v/>
      </c>
    </row>
    <row r="41" ht="15.75" customHeight="1">
      <c r="A41" s="106" t="inlineStr">
        <is>
          <t xml:space="preserve">PAPEL DE SEDA </t>
        </is>
      </c>
      <c r="B41" s="80" t="n">
        <v>0</v>
      </c>
      <c r="C41" s="80" t="n">
        <v>200</v>
      </c>
      <c r="D41" s="183">
        <f>B41+C41</f>
        <v/>
      </c>
      <c r="E41" s="80" t="n">
        <v>200</v>
      </c>
      <c r="F41" s="80" t="n">
        <v>600</v>
      </c>
      <c r="G41" s="80" t="n">
        <v>0</v>
      </c>
      <c r="H41" s="80" t="n">
        <v>0</v>
      </c>
      <c r="I41" s="183">
        <f>E41+F41+G41+H41</f>
        <v/>
      </c>
      <c r="J41" s="195">
        <f>E41+F41</f>
        <v/>
      </c>
      <c r="K41" s="194">
        <f>D41+I41</f>
        <v/>
      </c>
    </row>
    <row r="42" ht="15.75" customHeight="1">
      <c r="A42" s="106" t="inlineStr">
        <is>
          <t xml:space="preserve">TAGS </t>
        </is>
      </c>
      <c r="B42" s="80" t="n">
        <v>0</v>
      </c>
      <c r="C42" s="80" t="n">
        <v>0</v>
      </c>
      <c r="D42" s="183">
        <f>B42+C42</f>
        <v/>
      </c>
      <c r="E42" s="80" t="n">
        <v>100</v>
      </c>
      <c r="F42" s="80" t="n">
        <v>210</v>
      </c>
      <c r="G42" s="80" t="n">
        <v>0</v>
      </c>
      <c r="H42" s="80" t="n">
        <v>0</v>
      </c>
      <c r="I42" s="183">
        <f>E42+F42+G42+H42</f>
        <v/>
      </c>
      <c r="J42" s="195">
        <f>E42+F42</f>
        <v/>
      </c>
      <c r="K42" s="194">
        <f>D42+I42</f>
        <v/>
      </c>
    </row>
    <row r="43" ht="15.75" customHeight="1">
      <c r="A43" s="106" t="inlineStr">
        <is>
          <t>ADESIVOS</t>
        </is>
      </c>
      <c r="B43" s="80" t="n">
        <v>0</v>
      </c>
      <c r="C43" s="80" t="n">
        <v>0</v>
      </c>
      <c r="D43" s="183">
        <f>B43+C43</f>
        <v/>
      </c>
      <c r="E43" s="80" t="n">
        <v>0</v>
      </c>
      <c r="F43" s="80" t="n">
        <v>0</v>
      </c>
      <c r="G43" s="80" t="n">
        <v>0</v>
      </c>
      <c r="H43" s="80" t="n">
        <v>0</v>
      </c>
      <c r="I43" s="183">
        <f>E43+F43+G43+H43</f>
        <v/>
      </c>
      <c r="J43" s="195">
        <f>E43+F43</f>
        <v/>
      </c>
      <c r="K43" s="194">
        <f>D43+I43</f>
        <v/>
      </c>
    </row>
    <row r="44" ht="15.75" customHeight="1">
      <c r="A44" s="94" t="inlineStr">
        <is>
          <t>TOTAL DE SACOLAS</t>
        </is>
      </c>
      <c r="B44" s="95">
        <f>B40</f>
        <v/>
      </c>
      <c r="C44" s="95">
        <f>C40</f>
        <v/>
      </c>
      <c r="D44" s="95">
        <f>D40</f>
        <v/>
      </c>
      <c r="E44" s="95">
        <f>E40</f>
        <v/>
      </c>
      <c r="F44" s="95">
        <f>F40</f>
        <v/>
      </c>
      <c r="G44" s="95">
        <f>G40</f>
        <v/>
      </c>
      <c r="H44" s="95">
        <f>H40</f>
        <v/>
      </c>
      <c r="I44" s="95">
        <f>I40</f>
        <v/>
      </c>
      <c r="J44" s="200">
        <f>J40</f>
        <v/>
      </c>
      <c r="K44" s="196">
        <f>D40+I40</f>
        <v/>
      </c>
    </row>
    <row r="46" ht="15.75" customHeight="1">
      <c r="A46" s="749" t="inlineStr">
        <is>
          <t>GASTO DE SACOLAS E ITENS DOADOS PAIS/2025 - MENSAIS</t>
        </is>
      </c>
      <c r="B46" s="750" t="n"/>
      <c r="C46" s="750" t="n"/>
      <c r="D46" s="750" t="n"/>
      <c r="E46" s="750" t="n"/>
      <c r="F46" s="750" t="n"/>
      <c r="G46" s="750" t="n"/>
      <c r="H46" s="750" t="n"/>
      <c r="I46" s="750" t="n"/>
      <c r="J46" s="750" t="n"/>
      <c r="K46" s="751" t="n"/>
    </row>
    <row r="47" ht="15.75" customHeight="1">
      <c r="A47" s="566" t="inlineStr">
        <is>
          <t>ATACADÃO</t>
        </is>
      </c>
      <c r="B47" s="752" t="inlineStr">
        <is>
          <t>JULHO</t>
        </is>
      </c>
      <c r="C47" s="658" t="n"/>
      <c r="D47" s="670" t="n"/>
      <c r="E47" s="752" t="inlineStr">
        <is>
          <t>AGOSTO</t>
        </is>
      </c>
      <c r="F47" s="658" t="n"/>
      <c r="G47" s="658" t="n"/>
      <c r="H47" s="658" t="n"/>
      <c r="I47" s="670" t="n"/>
      <c r="J47" s="571" t="inlineStr">
        <is>
          <t>USOU ATÉ PAIS</t>
        </is>
      </c>
      <c r="K47" s="573" t="inlineStr">
        <is>
          <t>TOTAL GERAL</t>
        </is>
      </c>
    </row>
    <row r="48" ht="15.75" customHeight="1">
      <c r="A48" s="753" t="n"/>
      <c r="B48" s="197" t="n">
        <v>45859</v>
      </c>
      <c r="C48" s="197" t="n">
        <v>45866</v>
      </c>
      <c r="D48" s="201" t="inlineStr">
        <is>
          <t>USOU</t>
        </is>
      </c>
      <c r="E48" s="197" t="n">
        <v>45873</v>
      </c>
      <c r="F48" s="198" t="n">
        <v>45880</v>
      </c>
      <c r="G48" s="198" t="n">
        <v>45887</v>
      </c>
      <c r="H48" s="197" t="n">
        <v>45894</v>
      </c>
      <c r="I48" s="199" t="inlineStr">
        <is>
          <t>USOU</t>
        </is>
      </c>
      <c r="J48" s="754" t="n"/>
      <c r="K48" s="755" t="n"/>
    </row>
    <row r="49" ht="15.75" customHeight="1">
      <c r="A49" s="181" t="inlineStr">
        <is>
          <t>SACOLA M</t>
        </is>
      </c>
      <c r="B49" s="80" t="n">
        <v>0</v>
      </c>
      <c r="C49" s="80" t="n">
        <v>0</v>
      </c>
      <c r="D49" s="183">
        <f>B49+C49</f>
        <v/>
      </c>
      <c r="E49" s="80" t="n">
        <v>0</v>
      </c>
      <c r="F49" s="80" t="n">
        <v>200</v>
      </c>
      <c r="G49" s="80" t="n">
        <v>0</v>
      </c>
      <c r="H49" s="80" t="n">
        <v>0</v>
      </c>
      <c r="I49" s="183">
        <f>E49+F49+G49+H49</f>
        <v/>
      </c>
      <c r="J49" s="195">
        <f>E49+F49</f>
        <v/>
      </c>
      <c r="K49" s="194">
        <f>D49+I49</f>
        <v/>
      </c>
    </row>
    <row r="50" ht="15.75" customHeight="1">
      <c r="A50" s="106" t="inlineStr">
        <is>
          <t xml:space="preserve">PAPEL DE SEDA </t>
        </is>
      </c>
      <c r="B50" s="80" t="n">
        <v>0</v>
      </c>
      <c r="C50" s="80" t="n">
        <v>0</v>
      </c>
      <c r="D50" s="183">
        <f>B50+C50</f>
        <v/>
      </c>
      <c r="E50" s="80" t="n">
        <v>0</v>
      </c>
      <c r="F50" s="80" t="n">
        <v>200</v>
      </c>
      <c r="G50" s="80" t="n">
        <v>0</v>
      </c>
      <c r="H50" s="80" t="n">
        <v>0</v>
      </c>
      <c r="I50" s="183">
        <f>E50+F50+G50+H50</f>
        <v/>
      </c>
      <c r="J50" s="195">
        <f>E50+F50</f>
        <v/>
      </c>
      <c r="K50" s="194">
        <f>D50+I50</f>
        <v/>
      </c>
    </row>
    <row r="51" ht="15.75" customHeight="1">
      <c r="A51" s="106" t="inlineStr">
        <is>
          <t xml:space="preserve">TAGS </t>
        </is>
      </c>
      <c r="B51" s="80" t="n">
        <v>0</v>
      </c>
      <c r="C51" s="80" t="n">
        <v>0</v>
      </c>
      <c r="D51" s="183">
        <f>B51+C51</f>
        <v/>
      </c>
      <c r="E51" s="80" t="n">
        <v>0</v>
      </c>
      <c r="F51" s="80" t="n">
        <v>0</v>
      </c>
      <c r="G51" s="80" t="n">
        <v>0</v>
      </c>
      <c r="H51" s="80" t="n">
        <v>0</v>
      </c>
      <c r="I51" s="183">
        <f>E51+F51+G51+H51</f>
        <v/>
      </c>
      <c r="J51" s="195">
        <f>E51+F51</f>
        <v/>
      </c>
      <c r="K51" s="194">
        <f>D51+I51</f>
        <v/>
      </c>
    </row>
    <row r="52" ht="15.75" customHeight="1">
      <c r="A52" s="106" t="inlineStr">
        <is>
          <t>ADESIVOS</t>
        </is>
      </c>
      <c r="B52" s="80" t="n">
        <v>0</v>
      </c>
      <c r="C52" s="80" t="n">
        <v>0</v>
      </c>
      <c r="D52" s="183">
        <f>B52+C52</f>
        <v/>
      </c>
      <c r="E52" s="80" t="n">
        <v>0</v>
      </c>
      <c r="F52" s="80" t="n">
        <v>0</v>
      </c>
      <c r="G52" s="80" t="n">
        <v>0</v>
      </c>
      <c r="H52" s="80" t="n">
        <v>0</v>
      </c>
      <c r="I52" s="183">
        <f>E52+F52+G52+H52</f>
        <v/>
      </c>
      <c r="J52" s="195">
        <f>E52+F52</f>
        <v/>
      </c>
      <c r="K52" s="194">
        <f>D52+I52</f>
        <v/>
      </c>
    </row>
    <row r="53" ht="15.75" customHeight="1">
      <c r="A53" s="94" t="inlineStr">
        <is>
          <t>TOTAL DE SACOLAS</t>
        </is>
      </c>
      <c r="B53" s="95">
        <f>B49</f>
        <v/>
      </c>
      <c r="C53" s="95">
        <f>C49</f>
        <v/>
      </c>
      <c r="D53" s="95">
        <f>D49</f>
        <v/>
      </c>
      <c r="E53" s="95">
        <f>E49</f>
        <v/>
      </c>
      <c r="F53" s="95">
        <f>F49</f>
        <v/>
      </c>
      <c r="G53" s="95">
        <f>G49</f>
        <v/>
      </c>
      <c r="H53" s="95">
        <f>H49</f>
        <v/>
      </c>
      <c r="I53" s="95">
        <f>I49</f>
        <v/>
      </c>
      <c r="J53" s="200">
        <f>J49</f>
        <v/>
      </c>
      <c r="K53" s="196">
        <f>D49+I49</f>
        <v/>
      </c>
    </row>
    <row r="55" ht="15.75" customHeight="1">
      <c r="A55" s="749" t="inlineStr">
        <is>
          <t>GASTO DE SACOLAS E ITENS DOADOS PAIS/2025 - MENSAIS</t>
        </is>
      </c>
      <c r="B55" s="750" t="n"/>
      <c r="C55" s="750" t="n"/>
      <c r="D55" s="750" t="n"/>
      <c r="E55" s="750" t="n"/>
      <c r="F55" s="750" t="n"/>
      <c r="G55" s="750" t="n"/>
      <c r="H55" s="750" t="n"/>
      <c r="I55" s="750" t="n"/>
      <c r="J55" s="750" t="n"/>
      <c r="K55" s="751" t="n"/>
    </row>
    <row r="56" ht="15.75" customHeight="1">
      <c r="A56" s="566" t="inlineStr">
        <is>
          <t>CD PRAIA</t>
        </is>
      </c>
      <c r="B56" s="752" t="inlineStr">
        <is>
          <t>JULHO</t>
        </is>
      </c>
      <c r="C56" s="658" t="n"/>
      <c r="D56" s="670" t="n"/>
      <c r="E56" s="752" t="inlineStr">
        <is>
          <t>AGOSTO</t>
        </is>
      </c>
      <c r="F56" s="658" t="n"/>
      <c r="G56" s="658" t="n"/>
      <c r="H56" s="658" t="n"/>
      <c r="I56" s="670" t="n"/>
      <c r="J56" s="571" t="inlineStr">
        <is>
          <t>USOU ATÉ PAIS</t>
        </is>
      </c>
      <c r="K56" s="573" t="inlineStr">
        <is>
          <t>TOTAL GERAL</t>
        </is>
      </c>
    </row>
    <row r="57" ht="15.75" customHeight="1">
      <c r="A57" s="753" t="n"/>
      <c r="B57" s="197" t="n">
        <v>45859</v>
      </c>
      <c r="C57" s="197" t="n">
        <v>45866</v>
      </c>
      <c r="D57" s="201" t="inlineStr">
        <is>
          <t>USOU</t>
        </is>
      </c>
      <c r="E57" s="197" t="n">
        <v>45873</v>
      </c>
      <c r="F57" s="198" t="n">
        <v>45880</v>
      </c>
      <c r="G57" s="198" t="n">
        <v>45887</v>
      </c>
      <c r="H57" s="197" t="n">
        <v>45894</v>
      </c>
      <c r="I57" s="199" t="inlineStr">
        <is>
          <t>USOU</t>
        </is>
      </c>
      <c r="J57" s="754" t="n"/>
      <c r="K57" s="755" t="n"/>
    </row>
    <row r="58" ht="15.75" customHeight="1">
      <c r="A58" s="181" t="inlineStr">
        <is>
          <t>SACOLA M</t>
        </is>
      </c>
      <c r="B58" s="80" t="n">
        <v>0</v>
      </c>
      <c r="C58" s="80" t="n">
        <v>0</v>
      </c>
      <c r="D58" s="183">
        <f>B58+C58</f>
        <v/>
      </c>
      <c r="E58" s="80" t="n">
        <v>800</v>
      </c>
      <c r="F58" s="80" t="n">
        <v>800</v>
      </c>
      <c r="G58" s="80" t="n">
        <v>0</v>
      </c>
      <c r="H58" s="80" t="n">
        <v>0</v>
      </c>
      <c r="I58" s="183">
        <f>E58+F58+G58+H58</f>
        <v/>
      </c>
      <c r="J58" s="195">
        <f>E58+F58</f>
        <v/>
      </c>
      <c r="K58" s="194">
        <f>D58+I58</f>
        <v/>
      </c>
    </row>
    <row r="59" ht="15.75" customHeight="1">
      <c r="A59" s="106" t="inlineStr">
        <is>
          <t xml:space="preserve">PAPEL DE SEDA </t>
        </is>
      </c>
      <c r="B59" s="80" t="n">
        <v>0</v>
      </c>
      <c r="C59" s="80" t="n">
        <v>0</v>
      </c>
      <c r="D59" s="183">
        <f>B59+C59</f>
        <v/>
      </c>
      <c r="E59" s="80" t="n">
        <v>0</v>
      </c>
      <c r="F59" s="80" t="n">
        <v>0</v>
      </c>
      <c r="G59" s="80" t="n">
        <v>0</v>
      </c>
      <c r="H59" s="80" t="n">
        <v>0</v>
      </c>
      <c r="I59" s="183">
        <f>E59+F59+G59+H59</f>
        <v/>
      </c>
      <c r="J59" s="195">
        <f>E59+F59</f>
        <v/>
      </c>
      <c r="K59" s="194">
        <f>D59+I59</f>
        <v/>
      </c>
    </row>
    <row r="60" ht="15.75" customHeight="1">
      <c r="A60" s="106" t="inlineStr">
        <is>
          <t xml:space="preserve">TAGS </t>
        </is>
      </c>
      <c r="B60" s="80" t="n">
        <v>0</v>
      </c>
      <c r="C60" s="80" t="n">
        <v>0</v>
      </c>
      <c r="D60" s="183">
        <f>B60+C60</f>
        <v/>
      </c>
      <c r="E60" s="80" t="n">
        <v>0</v>
      </c>
      <c r="F60" s="80" t="n">
        <v>0</v>
      </c>
      <c r="G60" s="80" t="n">
        <v>0</v>
      </c>
      <c r="H60" s="80" t="n">
        <v>0</v>
      </c>
      <c r="I60" s="183">
        <f>E60+F60+G60+H60</f>
        <v/>
      </c>
      <c r="J60" s="195">
        <f>E60+F60</f>
        <v/>
      </c>
      <c r="K60" s="194">
        <f>D60+I60</f>
        <v/>
      </c>
    </row>
    <row r="61" ht="15.75" customHeight="1">
      <c r="A61" s="106" t="inlineStr">
        <is>
          <t>ADESIVOS</t>
        </is>
      </c>
      <c r="B61" s="80" t="n">
        <v>0</v>
      </c>
      <c r="C61" s="80" t="n">
        <v>0</v>
      </c>
      <c r="D61" s="183">
        <f>B61+C61</f>
        <v/>
      </c>
      <c r="E61" s="80" t="n">
        <v>0</v>
      </c>
      <c r="F61" s="80" t="n">
        <v>0</v>
      </c>
      <c r="G61" s="80" t="n">
        <v>0</v>
      </c>
      <c r="H61" s="80" t="n">
        <v>0</v>
      </c>
      <c r="I61" s="183">
        <f>E61+F61+G61+H61</f>
        <v/>
      </c>
      <c r="J61" s="195">
        <f>E61+F61</f>
        <v/>
      </c>
      <c r="K61" s="194">
        <f>D61+I61</f>
        <v/>
      </c>
    </row>
    <row r="62" ht="15.75" customHeight="1">
      <c r="A62" s="94" t="inlineStr">
        <is>
          <t>TOTAL DE SACOLAS</t>
        </is>
      </c>
      <c r="B62" s="95">
        <f>B58</f>
        <v/>
      </c>
      <c r="C62" s="95">
        <f>C58</f>
        <v/>
      </c>
      <c r="D62" s="95">
        <f>D58</f>
        <v/>
      </c>
      <c r="E62" s="95">
        <f>E58</f>
        <v/>
      </c>
      <c r="F62" s="95">
        <f>F58</f>
        <v/>
      </c>
      <c r="G62" s="95">
        <f>G58</f>
        <v/>
      </c>
      <c r="H62" s="95">
        <f>H58</f>
        <v/>
      </c>
      <c r="I62" s="95">
        <f>I58</f>
        <v/>
      </c>
      <c r="J62" s="200">
        <f>J58</f>
        <v/>
      </c>
      <c r="K62" s="196">
        <f>D58+I58</f>
        <v/>
      </c>
    </row>
    <row r="64" ht="15.75" customHeight="1">
      <c r="A64" s="749" t="inlineStr">
        <is>
          <t>GASTO DE SACOLAS E ITENS DOADOS PAIS/2025 - MENSAIS</t>
        </is>
      </c>
      <c r="B64" s="750" t="n"/>
      <c r="C64" s="750" t="n"/>
      <c r="D64" s="750" t="n"/>
      <c r="E64" s="750" t="n"/>
      <c r="F64" s="750" t="n"/>
      <c r="G64" s="750" t="n"/>
      <c r="H64" s="750" t="n"/>
      <c r="I64" s="750" t="n"/>
      <c r="J64" s="750" t="n"/>
      <c r="K64" s="751" t="n"/>
    </row>
    <row r="65" ht="15.75" customHeight="1">
      <c r="A65" s="566" t="inlineStr">
        <is>
          <t>ER BOQUEIRÃO</t>
        </is>
      </c>
      <c r="B65" s="752" t="inlineStr">
        <is>
          <t>JULHO</t>
        </is>
      </c>
      <c r="C65" s="658" t="n"/>
      <c r="D65" s="670" t="n"/>
      <c r="E65" s="752" t="inlineStr">
        <is>
          <t>AGOSTO</t>
        </is>
      </c>
      <c r="F65" s="658" t="n"/>
      <c r="G65" s="658" t="n"/>
      <c r="H65" s="658" t="n"/>
      <c r="I65" s="670" t="n"/>
      <c r="J65" s="571" t="inlineStr">
        <is>
          <t>USOU ATÉ PAIS</t>
        </is>
      </c>
      <c r="K65" s="573" t="inlineStr">
        <is>
          <t>TOTAL GERAL</t>
        </is>
      </c>
    </row>
    <row r="66" ht="15.75" customHeight="1">
      <c r="A66" s="753" t="n"/>
      <c r="B66" s="197" t="n">
        <v>45859</v>
      </c>
      <c r="C66" s="197" t="n">
        <v>45866</v>
      </c>
      <c r="D66" s="201" t="inlineStr">
        <is>
          <t>USOU</t>
        </is>
      </c>
      <c r="E66" s="197" t="n">
        <v>45873</v>
      </c>
      <c r="F66" s="198" t="n">
        <v>45880</v>
      </c>
      <c r="G66" s="198" t="n">
        <v>45887</v>
      </c>
      <c r="H66" s="197" t="n">
        <v>45894</v>
      </c>
      <c r="I66" s="199" t="inlineStr">
        <is>
          <t>USOU</t>
        </is>
      </c>
      <c r="J66" s="754" t="n"/>
      <c r="K66" s="755" t="n"/>
    </row>
    <row r="67" ht="15.75" customHeight="1">
      <c r="A67" s="181" t="inlineStr">
        <is>
          <t>SACOLA M</t>
        </is>
      </c>
      <c r="B67" s="80" t="n">
        <v>0</v>
      </c>
      <c r="C67" s="80" t="n">
        <v>200</v>
      </c>
      <c r="D67" s="183">
        <f>B67+C67</f>
        <v/>
      </c>
      <c r="E67" s="80" t="n">
        <v>0</v>
      </c>
      <c r="F67" s="80" t="n">
        <v>1000</v>
      </c>
      <c r="G67" s="80" t="n">
        <v>0</v>
      </c>
      <c r="H67" s="80" t="n">
        <v>0</v>
      </c>
      <c r="I67" s="183">
        <f>E67+F67+G67+H67</f>
        <v/>
      </c>
      <c r="J67" s="195">
        <f>E67+F67</f>
        <v/>
      </c>
      <c r="K67" s="194">
        <f>D67+I67</f>
        <v/>
      </c>
    </row>
    <row r="68" ht="15.75" customHeight="1">
      <c r="A68" s="106" t="inlineStr">
        <is>
          <t xml:space="preserve">PAPEL DE SEDA </t>
        </is>
      </c>
      <c r="B68" s="80" t="n">
        <v>0</v>
      </c>
      <c r="C68" s="80" t="n">
        <v>0</v>
      </c>
      <c r="D68" s="183">
        <f>B68+C68</f>
        <v/>
      </c>
      <c r="E68" s="80" t="n">
        <v>0</v>
      </c>
      <c r="F68" s="80" t="n">
        <v>0</v>
      </c>
      <c r="G68" s="80" t="n">
        <v>0</v>
      </c>
      <c r="H68" s="80" t="n">
        <v>0</v>
      </c>
      <c r="I68" s="183">
        <f>E68+F68+G68+H68</f>
        <v/>
      </c>
      <c r="J68" s="195">
        <f>E68+F68</f>
        <v/>
      </c>
      <c r="K68" s="194">
        <f>D68+I68</f>
        <v/>
      </c>
    </row>
    <row r="69" ht="15.75" customHeight="1">
      <c r="A69" s="106" t="inlineStr">
        <is>
          <t xml:space="preserve">TAGS </t>
        </is>
      </c>
      <c r="B69" s="80" t="n">
        <v>0</v>
      </c>
      <c r="C69" s="80" t="n">
        <v>0</v>
      </c>
      <c r="D69" s="183">
        <f>B69+C69</f>
        <v/>
      </c>
      <c r="E69" s="80" t="n">
        <v>0</v>
      </c>
      <c r="F69" s="80" t="n">
        <v>0</v>
      </c>
      <c r="G69" s="80" t="n">
        <v>0</v>
      </c>
      <c r="H69" s="80" t="n">
        <v>0</v>
      </c>
      <c r="I69" s="183">
        <f>E69+F69+G69+H69</f>
        <v/>
      </c>
      <c r="J69" s="195">
        <f>E69+F69</f>
        <v/>
      </c>
      <c r="K69" s="194">
        <f>D69+I69</f>
        <v/>
      </c>
    </row>
    <row r="70" ht="15.75" customHeight="1">
      <c r="A70" s="106" t="inlineStr">
        <is>
          <t>ADESIVOS</t>
        </is>
      </c>
      <c r="B70" s="80" t="n">
        <v>0</v>
      </c>
      <c r="C70" s="80" t="n">
        <v>0</v>
      </c>
      <c r="D70" s="183">
        <f>B70+C70</f>
        <v/>
      </c>
      <c r="E70" s="80" t="n">
        <v>0</v>
      </c>
      <c r="F70" s="80" t="n">
        <v>0</v>
      </c>
      <c r="G70" s="80" t="n">
        <v>0</v>
      </c>
      <c r="H70" s="80" t="n">
        <v>0</v>
      </c>
      <c r="I70" s="183">
        <f>E70+F70+G70+H70</f>
        <v/>
      </c>
      <c r="J70" s="195">
        <f>E70+F70</f>
        <v/>
      </c>
      <c r="K70" s="194">
        <f>D70+I70</f>
        <v/>
      </c>
    </row>
    <row r="71" ht="15.75" customHeight="1">
      <c r="A71" s="94" t="inlineStr">
        <is>
          <t>TOTAL DE SACOLAS</t>
        </is>
      </c>
      <c r="B71" s="95">
        <f>B67</f>
        <v/>
      </c>
      <c r="C71" s="95">
        <f>C67</f>
        <v/>
      </c>
      <c r="D71" s="95">
        <f>D67</f>
        <v/>
      </c>
      <c r="E71" s="95">
        <f>E67</f>
        <v/>
      </c>
      <c r="F71" s="95">
        <f>F67</f>
        <v/>
      </c>
      <c r="G71" s="95">
        <f>G67</f>
        <v/>
      </c>
      <c r="H71" s="95">
        <f>H67</f>
        <v/>
      </c>
      <c r="I71" s="95">
        <f>I67</f>
        <v/>
      </c>
      <c r="J71" s="200">
        <f>J67</f>
        <v/>
      </c>
      <c r="K71" s="196">
        <f>D67+I67</f>
        <v/>
      </c>
    </row>
    <row r="73" ht="15.75" customHeight="1">
      <c r="A73" s="749" t="inlineStr">
        <is>
          <t>GASTO DE SACOLAS E ITENS DOADOS PAIS/2025 - MENSAIS</t>
        </is>
      </c>
      <c r="B73" s="750" t="n"/>
      <c r="C73" s="750" t="n"/>
      <c r="D73" s="750" t="n"/>
      <c r="E73" s="750" t="n"/>
      <c r="F73" s="750" t="n"/>
      <c r="G73" s="750" t="n"/>
      <c r="H73" s="750" t="n"/>
      <c r="I73" s="750" t="n"/>
      <c r="J73" s="750" t="n"/>
      <c r="K73" s="751" t="n"/>
    </row>
    <row r="74" ht="15.75" customHeight="1">
      <c r="A74" s="566" t="inlineStr">
        <is>
          <t>ER PERUÍBE</t>
        </is>
      </c>
      <c r="B74" s="752" t="inlineStr">
        <is>
          <t>JULHO</t>
        </is>
      </c>
      <c r="C74" s="658" t="n"/>
      <c r="D74" s="670" t="n"/>
      <c r="E74" s="752" t="inlineStr">
        <is>
          <t>AGOSTO</t>
        </is>
      </c>
      <c r="F74" s="658" t="n"/>
      <c r="G74" s="658" t="n"/>
      <c r="H74" s="658" t="n"/>
      <c r="I74" s="670" t="n"/>
      <c r="J74" s="571" t="inlineStr">
        <is>
          <t>USOU ATÉ PAIS</t>
        </is>
      </c>
      <c r="K74" s="573" t="inlineStr">
        <is>
          <t>TOTAL GERAL</t>
        </is>
      </c>
    </row>
    <row r="75" ht="15.75" customHeight="1">
      <c r="A75" s="753" t="n"/>
      <c r="B75" s="197" t="n">
        <v>45859</v>
      </c>
      <c r="C75" s="197" t="n">
        <v>45866</v>
      </c>
      <c r="D75" s="201" t="inlineStr">
        <is>
          <t>USOU</t>
        </is>
      </c>
      <c r="E75" s="197" t="n">
        <v>45873</v>
      </c>
      <c r="F75" s="198" t="n">
        <v>45880</v>
      </c>
      <c r="G75" s="198" t="n">
        <v>45887</v>
      </c>
      <c r="H75" s="197" t="n">
        <v>45894</v>
      </c>
      <c r="I75" s="199" t="inlineStr">
        <is>
          <t>USOU</t>
        </is>
      </c>
      <c r="J75" s="754" t="n"/>
      <c r="K75" s="755" t="n"/>
    </row>
    <row r="76" ht="15.75" customHeight="1">
      <c r="A76" s="181" t="inlineStr">
        <is>
          <t>SACOLA M</t>
        </is>
      </c>
      <c r="B76" s="80" t="n">
        <v>0</v>
      </c>
      <c r="C76" s="80" t="n">
        <v>80</v>
      </c>
      <c r="D76" s="183">
        <f>B76+C76</f>
        <v/>
      </c>
      <c r="E76" s="80" t="n">
        <v>95</v>
      </c>
      <c r="F76" s="80" t="n">
        <v>225</v>
      </c>
      <c r="G76" s="80" t="n">
        <v>0</v>
      </c>
      <c r="H76" s="80" t="n">
        <v>0</v>
      </c>
      <c r="I76" s="183">
        <f>E76+F76+G76+H76</f>
        <v/>
      </c>
      <c r="J76" s="195">
        <f>E76+F76</f>
        <v/>
      </c>
      <c r="K76" s="194">
        <f>D76+I76</f>
        <v/>
      </c>
    </row>
    <row r="77" ht="15.75" customHeight="1">
      <c r="A77" s="106" t="inlineStr">
        <is>
          <t xml:space="preserve">PAPEL DE SEDA </t>
        </is>
      </c>
      <c r="B77" s="80" t="n">
        <v>0</v>
      </c>
      <c r="C77" s="80" t="n">
        <v>0</v>
      </c>
      <c r="D77" s="183">
        <f>B77+C77</f>
        <v/>
      </c>
      <c r="E77" s="80" t="n">
        <v>0</v>
      </c>
      <c r="F77" s="80" t="n">
        <v>0</v>
      </c>
      <c r="G77" s="80" t="n">
        <v>0</v>
      </c>
      <c r="H77" s="80" t="n">
        <v>0</v>
      </c>
      <c r="I77" s="183">
        <f>E77+F77+G77+H77</f>
        <v/>
      </c>
      <c r="J77" s="195">
        <f>E77+F77</f>
        <v/>
      </c>
      <c r="K77" s="194">
        <f>D77+I77</f>
        <v/>
      </c>
    </row>
    <row r="78" ht="15.75" customHeight="1">
      <c r="A78" s="106" t="inlineStr">
        <is>
          <t xml:space="preserve">TAGS </t>
        </is>
      </c>
      <c r="B78" s="80" t="n">
        <v>0</v>
      </c>
      <c r="C78" s="80" t="n">
        <v>0</v>
      </c>
      <c r="D78" s="183">
        <f>B78+C78</f>
        <v/>
      </c>
      <c r="E78" s="80" t="n">
        <v>0</v>
      </c>
      <c r="F78" s="80" t="n">
        <v>0</v>
      </c>
      <c r="G78" s="80" t="n">
        <v>0</v>
      </c>
      <c r="H78" s="80" t="n">
        <v>0</v>
      </c>
      <c r="I78" s="183">
        <f>E78+F78+G78+H78</f>
        <v/>
      </c>
      <c r="J78" s="195">
        <f>E78+F78</f>
        <v/>
      </c>
      <c r="K78" s="194">
        <f>D78+I78</f>
        <v/>
      </c>
    </row>
    <row r="79" ht="15.75" customHeight="1">
      <c r="A79" s="106" t="inlineStr">
        <is>
          <t>ADESIVOS</t>
        </is>
      </c>
      <c r="B79" s="80" t="n">
        <v>0</v>
      </c>
      <c r="C79" s="80" t="n">
        <v>0</v>
      </c>
      <c r="D79" s="183">
        <f>B79+C79</f>
        <v/>
      </c>
      <c r="E79" s="80" t="n">
        <v>0</v>
      </c>
      <c r="F79" s="80" t="n">
        <v>0</v>
      </c>
      <c r="G79" s="80" t="n">
        <v>0</v>
      </c>
      <c r="H79" s="80" t="n">
        <v>0</v>
      </c>
      <c r="I79" s="183">
        <f>E79+F79+G79+H79</f>
        <v/>
      </c>
      <c r="J79" s="195">
        <f>E79+F79</f>
        <v/>
      </c>
      <c r="K79" s="194">
        <f>D79+I79</f>
        <v/>
      </c>
    </row>
    <row r="80" ht="15.75" customHeight="1">
      <c r="A80" s="94" t="inlineStr">
        <is>
          <t>TOTAL DE SACOLAS</t>
        </is>
      </c>
      <c r="B80" s="95">
        <f>B76</f>
        <v/>
      </c>
      <c r="C80" s="95">
        <f>C76</f>
        <v/>
      </c>
      <c r="D80" s="95">
        <f>D76</f>
        <v/>
      </c>
      <c r="E80" s="95">
        <f>E76</f>
        <v/>
      </c>
      <c r="F80" s="95">
        <f>F76</f>
        <v/>
      </c>
      <c r="G80" s="95">
        <f>G76</f>
        <v/>
      </c>
      <c r="H80" s="95">
        <f>H76</f>
        <v/>
      </c>
      <c r="I80" s="95">
        <f>I76</f>
        <v/>
      </c>
      <c r="J80" s="200">
        <f>J76</f>
        <v/>
      </c>
      <c r="K80" s="196">
        <f>D76+I76</f>
        <v/>
      </c>
    </row>
  </sheetData>
  <mergeCells count="54">
    <mergeCell ref="B11:D11"/>
    <mergeCell ref="A64:K64"/>
    <mergeCell ref="J38:J39"/>
    <mergeCell ref="A73:K73"/>
    <mergeCell ref="J74:J75"/>
    <mergeCell ref="B29:D29"/>
    <mergeCell ref="A1:K1"/>
    <mergeCell ref="B38:D38"/>
    <mergeCell ref="J11:J12"/>
    <mergeCell ref="J65:J66"/>
    <mergeCell ref="A65:A66"/>
    <mergeCell ref="E29:I29"/>
    <mergeCell ref="K11:K12"/>
    <mergeCell ref="A74:A75"/>
    <mergeCell ref="E20:I20"/>
    <mergeCell ref="A56:A57"/>
    <mergeCell ref="K56:K57"/>
    <mergeCell ref="E38:I38"/>
    <mergeCell ref="K47:K48"/>
    <mergeCell ref="J20:J21"/>
    <mergeCell ref="B74:D74"/>
    <mergeCell ref="B65:D65"/>
    <mergeCell ref="A2:A3"/>
    <mergeCell ref="A46:K46"/>
    <mergeCell ref="A37:K37"/>
    <mergeCell ref="K2:K3"/>
    <mergeCell ref="B20:D20"/>
    <mergeCell ref="E74:I74"/>
    <mergeCell ref="E65:I65"/>
    <mergeCell ref="K29:K30"/>
    <mergeCell ref="J56:J57"/>
    <mergeCell ref="A55:K55"/>
    <mergeCell ref="K20:K21"/>
    <mergeCell ref="J47:J48"/>
    <mergeCell ref="E2:I2"/>
    <mergeCell ref="A47:A48"/>
    <mergeCell ref="A29:A30"/>
    <mergeCell ref="E11:I11"/>
    <mergeCell ref="A20:A21"/>
    <mergeCell ref="K38:K39"/>
    <mergeCell ref="A11:A12"/>
    <mergeCell ref="J2:J3"/>
    <mergeCell ref="B47:D47"/>
    <mergeCell ref="A38:A39"/>
    <mergeCell ref="K65:K66"/>
    <mergeCell ref="A19:K19"/>
    <mergeCell ref="K74:K75"/>
    <mergeCell ref="B56:D56"/>
    <mergeCell ref="A10:K10"/>
    <mergeCell ref="A28:K28"/>
    <mergeCell ref="J29:J30"/>
    <mergeCell ref="E47:I47"/>
    <mergeCell ref="B2:D2"/>
    <mergeCell ref="E56:I56"/>
  </mergeCells>
  <pageMargins left="0.511811024" right="0.511811024" top="0.787401575" bottom="0.787401575" header="0.31496062" footer="0.31496062"/>
</worksheet>
</file>

<file path=xl/worksheets/sheet30.xml><?xml version="1.0" encoding="utf-8"?>
<worksheet xmlns="http://schemas.openxmlformats.org/spreadsheetml/2006/main">
  <sheetPr codeName="Planilha10">
    <tabColor theme="4"/>
    <outlinePr summaryBelow="1" summaryRight="1"/>
    <pageSetUpPr fitToPage="1"/>
  </sheetPr>
  <dimension ref="A1:K59"/>
  <sheetViews>
    <sheetView topLeftCell="A2" zoomScale="70" zoomScaleNormal="70" workbookViewId="0">
      <selection activeCell="P54" sqref="P54"/>
    </sheetView>
  </sheetViews>
  <sheetFormatPr baseColWidth="8" defaultRowHeight="15"/>
  <cols>
    <col width="40.140625" customWidth="1" min="1" max="1"/>
    <col width="15.140625" bestFit="1" customWidth="1" min="2" max="2"/>
    <col width="17.5703125" bestFit="1" customWidth="1" min="3" max="3"/>
    <col width="18.42578125" bestFit="1" customWidth="1" min="4" max="4"/>
    <col width="19" customWidth="1" min="5" max="5"/>
    <col width="13.7109375" customWidth="1" min="6" max="6"/>
    <col width="17.85546875" customWidth="1" min="7" max="7"/>
    <col width="15.140625" bestFit="1" customWidth="1" min="8" max="8"/>
    <col width="17.5703125" bestFit="1" customWidth="1" min="9" max="9"/>
    <col width="17.28515625" customWidth="1" min="10" max="10"/>
    <col width="21" customWidth="1" min="11" max="11"/>
  </cols>
  <sheetData>
    <row r="1" ht="21.75" customHeight="1">
      <c r="A1" s="6" t="n"/>
      <c r="B1" s="6" t="n"/>
      <c r="C1" s="6" t="n"/>
      <c r="D1" s="6" t="n"/>
      <c r="E1" s="6" t="n"/>
      <c r="F1" s="6" t="n"/>
      <c r="G1" s="6" t="n"/>
      <c r="H1" s="6" t="n"/>
      <c r="I1" s="6" t="n"/>
      <c r="J1" s="6" t="n"/>
    </row>
    <row r="2" ht="21.75" customHeight="1">
      <c r="A2" s="6" t="n"/>
      <c r="B2" s="6" t="n"/>
      <c r="C2" s="6" t="n"/>
      <c r="D2" s="6" t="n"/>
      <c r="E2" s="6" t="n"/>
      <c r="F2" s="6" t="n"/>
      <c r="G2" s="6" t="n"/>
      <c r="H2" s="6" t="n"/>
      <c r="I2" s="6" t="n"/>
      <c r="J2" s="6" t="n"/>
    </row>
    <row r="3" ht="21.75" customHeight="1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</row>
    <row r="4" ht="18.75" customHeight="1">
      <c r="A4" s="145" t="inlineStr">
        <is>
          <t>LOJAS</t>
        </is>
      </c>
      <c r="B4" s="236" t="inlineStr">
        <is>
          <t>MG</t>
        </is>
      </c>
      <c r="C4" s="236" t="inlineStr">
        <is>
          <t>BQ</t>
        </is>
      </c>
      <c r="D4" s="236" t="inlineStr">
        <is>
          <t>PL</t>
        </is>
      </c>
      <c r="E4" s="236" t="inlineStr">
        <is>
          <t>TP</t>
        </is>
      </c>
      <c r="F4" s="236" t="inlineStr">
        <is>
          <t>PB</t>
        </is>
      </c>
      <c r="G4" s="236" t="inlineStr">
        <is>
          <t>ATC</t>
        </is>
      </c>
      <c r="H4" s="6" t="n"/>
      <c r="I4" s="6" t="n"/>
      <c r="J4" s="6" t="n"/>
    </row>
    <row r="5" ht="21" customHeight="1">
      <c r="A5" s="32" t="inlineStr">
        <is>
          <t>SACOLAS PP</t>
        </is>
      </c>
      <c r="B5" s="237" t="n">
        <v>11733</v>
      </c>
      <c r="C5" s="237" t="n">
        <v>11734</v>
      </c>
      <c r="D5" s="237" t="n">
        <v>12973</v>
      </c>
      <c r="E5" s="237" t="n">
        <v>14462</v>
      </c>
      <c r="F5" s="237" t="n">
        <v>5418</v>
      </c>
      <c r="G5" s="237" t="n">
        <v>23012</v>
      </c>
      <c r="H5" s="6" t="n"/>
      <c r="I5" s="6" t="n"/>
      <c r="J5" s="6" t="n"/>
    </row>
    <row r="6" ht="19.5" customHeight="1">
      <c r="A6" s="162" t="inlineStr">
        <is>
          <t>SACOLA PP VERDE</t>
        </is>
      </c>
      <c r="B6" s="137">
        <f>'MG 11733'!CH8</f>
        <v/>
      </c>
      <c r="C6" s="137">
        <f>'BOQ 11734'!CH8</f>
        <v/>
      </c>
      <c r="D6" s="138">
        <f>' PL 12973'!BH8</f>
        <v/>
      </c>
      <c r="E6" s="138">
        <f>'TP 14462'!CH8</f>
        <v/>
      </c>
      <c r="F6" s="138">
        <f>'PB 5418'!CG8</f>
        <v/>
      </c>
      <c r="G6" s="138">
        <f>'ATC - 23012'!CG8</f>
        <v/>
      </c>
      <c r="H6" s="6" t="n"/>
      <c r="I6" s="6" t="n"/>
      <c r="J6" s="6" t="n"/>
    </row>
    <row r="7" ht="19.5" customHeight="1">
      <c r="A7" s="136" t="inlineStr">
        <is>
          <t>SACOLA P VERDE</t>
        </is>
      </c>
      <c r="B7" s="138">
        <f>'MG 11733'!CH9</f>
        <v/>
      </c>
      <c r="C7" s="137">
        <f>'BOQ 11734'!CH9</f>
        <v/>
      </c>
      <c r="D7" s="138">
        <f>' PL 12973'!BH9</f>
        <v/>
      </c>
      <c r="E7" s="138">
        <f>'TP 14462'!CH9</f>
        <v/>
      </c>
      <c r="F7" s="138">
        <f>'PB 5418'!CG9</f>
        <v/>
      </c>
      <c r="G7" s="138">
        <f>'ATC - 23012'!CG9</f>
        <v/>
      </c>
      <c r="H7" s="6" t="n"/>
      <c r="I7" s="6" t="n"/>
      <c r="J7" s="6" t="n"/>
    </row>
    <row r="8" ht="19.5" customHeight="1">
      <c r="A8" s="136" t="inlineStr">
        <is>
          <t>SACOLA M VERDE</t>
        </is>
      </c>
      <c r="B8" s="138">
        <f>'MG 11733'!CH10</f>
        <v/>
      </c>
      <c r="C8" s="137">
        <f>'BOQ 11734'!CH10</f>
        <v/>
      </c>
      <c r="D8" s="138">
        <f>' PL 12973'!BH10</f>
        <v/>
      </c>
      <c r="E8" s="138">
        <f>'TP 14462'!CH10</f>
        <v/>
      </c>
      <c r="F8" s="138">
        <f>'PB 5418'!CG10</f>
        <v/>
      </c>
      <c r="G8" s="138">
        <f>'ATC - 23012'!CG10</f>
        <v/>
      </c>
      <c r="H8" s="6" t="n"/>
      <c r="I8" s="6" t="n"/>
      <c r="J8" s="6" t="n"/>
    </row>
    <row r="9" ht="19.5" customHeight="1">
      <c r="A9" s="139" t="inlineStr">
        <is>
          <t>SACOLA G VERDE</t>
        </is>
      </c>
      <c r="B9" s="138">
        <f>'MG 11733'!CH11</f>
        <v/>
      </c>
      <c r="C9" s="137">
        <f>'BOQ 11734'!CH11</f>
        <v/>
      </c>
      <c r="D9" s="138">
        <f>' PL 12973'!BH11</f>
        <v/>
      </c>
      <c r="E9" s="138">
        <f>'TP 14462'!CH11</f>
        <v/>
      </c>
      <c r="F9" s="138">
        <f>'PB 5418'!CG11</f>
        <v/>
      </c>
      <c r="G9" s="138">
        <f>'ATC - 23012'!CG11</f>
        <v/>
      </c>
      <c r="H9" s="6" t="n"/>
      <c r="I9" s="6" t="n"/>
      <c r="J9" s="6" t="n"/>
    </row>
    <row r="10" ht="19.5" customHeight="1">
      <c r="A10" s="140" t="inlineStr">
        <is>
          <t>CAIXAS LOJAS</t>
        </is>
      </c>
      <c r="B10" s="141" t="n"/>
      <c r="C10" s="141" t="n"/>
      <c r="D10" s="141" t="n"/>
      <c r="E10" s="141" t="n"/>
      <c r="F10" s="142" t="n"/>
      <c r="G10" s="230" t="n"/>
      <c r="H10" s="6" t="n"/>
      <c r="I10" s="6" t="n"/>
      <c r="J10" s="6" t="n"/>
    </row>
    <row r="11" ht="19.5" customHeight="1">
      <c r="A11" s="143" t="inlineStr">
        <is>
          <t>CAIXA P VERDE</t>
        </is>
      </c>
      <c r="B11" s="138">
        <f>'MG 11733'!CH20</f>
        <v/>
      </c>
      <c r="C11" s="138">
        <f>'BOQ 11734'!CH20</f>
        <v/>
      </c>
      <c r="D11" s="138">
        <f>' PL 12973'!BH20</f>
        <v/>
      </c>
      <c r="E11" s="138">
        <f>'TP 14462'!CH20</f>
        <v/>
      </c>
      <c r="F11" s="138">
        <f>'PB 5418'!CG20</f>
        <v/>
      </c>
      <c r="G11" s="138">
        <f>'ATC - 23012'!CG20</f>
        <v/>
      </c>
      <c r="H11" s="6" t="n"/>
      <c r="I11" s="6" t="n"/>
      <c r="J11" s="6" t="n"/>
    </row>
    <row r="12" ht="19.5" customHeight="1">
      <c r="A12" s="143" t="inlineStr">
        <is>
          <t>CAIXA M VERDE</t>
        </is>
      </c>
      <c r="B12" s="138">
        <f>'MG 11733'!CH21</f>
        <v/>
      </c>
      <c r="C12" s="138">
        <f>'BOQ 11734'!CH21</f>
        <v/>
      </c>
      <c r="D12" s="138">
        <f>' PL 12973'!BH21</f>
        <v/>
      </c>
      <c r="E12" s="138">
        <f>'TP 14462'!CH21</f>
        <v/>
      </c>
      <c r="F12" s="138">
        <f>'PB 5418'!CG21</f>
        <v/>
      </c>
      <c r="G12" s="138">
        <f>'ATC - 23012'!CG21</f>
        <v/>
      </c>
      <c r="H12" s="6" t="n"/>
      <c r="I12" s="6" t="n"/>
      <c r="J12" s="6" t="n"/>
    </row>
    <row r="13" ht="19.5" customHeight="1">
      <c r="A13" s="144" t="inlineStr">
        <is>
          <t>CAIXA G VERDE</t>
        </is>
      </c>
      <c r="B13" s="138">
        <f>'MG 11733'!CH22</f>
        <v/>
      </c>
      <c r="C13" s="138">
        <f>'BOQ 11734'!CH22</f>
        <v/>
      </c>
      <c r="D13" s="138">
        <f>' PL 12973'!BH22</f>
        <v/>
      </c>
      <c r="E13" s="138">
        <f>'TP 14462'!CH22</f>
        <v/>
      </c>
      <c r="F13" s="138">
        <f>'PB 5418'!CG22</f>
        <v/>
      </c>
      <c r="G13" s="138">
        <f>'ATC - 23012'!CG22</f>
        <v/>
      </c>
      <c r="H13" s="6" t="n"/>
      <c r="I13" s="6" t="n"/>
      <c r="J13" s="6" t="n"/>
    </row>
    <row r="14" ht="19.5" customHeight="1">
      <c r="A14" s="140" t="inlineStr">
        <is>
          <t>DIVERSOS P/ LOJA</t>
        </is>
      </c>
      <c r="B14" s="141" t="n"/>
      <c r="C14" s="141" t="n"/>
      <c r="D14" s="141" t="n"/>
      <c r="E14" s="141" t="n"/>
      <c r="F14" s="142" t="n"/>
      <c r="G14" s="230" t="n"/>
      <c r="H14" s="6" t="n"/>
      <c r="I14" s="6" t="n"/>
      <c r="J14" s="6" t="n"/>
    </row>
    <row r="15" ht="19.5" customHeight="1">
      <c r="A15" s="143" t="inlineStr">
        <is>
          <t xml:space="preserve">ETIQUETAS ROLO 35X35 </t>
        </is>
      </c>
      <c r="B15" s="138">
        <f>'MG 11733'!CH15</f>
        <v/>
      </c>
      <c r="C15" s="138">
        <f>'BOQ 11734'!CH15</f>
        <v/>
      </c>
      <c r="D15" s="138">
        <f>' PL 12973'!BH15</f>
        <v/>
      </c>
      <c r="E15" s="138">
        <f>'TP 14462'!CH15</f>
        <v/>
      </c>
      <c r="F15" s="138">
        <f>'PB 5418'!CG15</f>
        <v/>
      </c>
      <c r="G15" s="138">
        <f>'ATC - 23012'!CG15</f>
        <v/>
      </c>
      <c r="H15" s="6" t="n"/>
      <c r="I15" s="6" t="n"/>
      <c r="J15" s="6" t="n"/>
    </row>
    <row r="16" ht="19.5" customHeight="1">
      <c r="A16" s="143" t="inlineStr">
        <is>
          <t>LÂMINA OLFATIVA</t>
        </is>
      </c>
      <c r="B16" s="138">
        <f>'MG 11733'!CH17</f>
        <v/>
      </c>
      <c r="C16" s="138">
        <f>'BOQ 11734'!CH17</f>
        <v/>
      </c>
      <c r="D16" s="138">
        <f>' PL 12973'!BH17</f>
        <v/>
      </c>
      <c r="E16" s="138">
        <f>'TP 14462'!CH17</f>
        <v/>
      </c>
      <c r="F16" s="138">
        <f>'PB 5418'!CG17</f>
        <v/>
      </c>
      <c r="G16" s="138">
        <f>'ATC - 23012'!CG17</f>
        <v/>
      </c>
      <c r="H16" s="235" t="n"/>
      <c r="I16" s="235" t="n"/>
      <c r="J16" s="6" t="n"/>
    </row>
    <row r="17" ht="19.5" customHeight="1">
      <c r="A17" s="143" t="inlineStr">
        <is>
          <t xml:space="preserve">PAPEL DE SEDA </t>
        </is>
      </c>
      <c r="B17" s="138">
        <f>'MG 11733'!CH14</f>
        <v/>
      </c>
      <c r="C17" s="138">
        <f>'BOQ 11734'!CH14</f>
        <v/>
      </c>
      <c r="D17" s="138">
        <f>' PL 12973'!BH14</f>
        <v/>
      </c>
      <c r="E17" s="138">
        <f>'TP 14462'!CH14</f>
        <v/>
      </c>
      <c r="F17" s="138">
        <f>'PB 5418'!CG14</f>
        <v/>
      </c>
      <c r="G17" s="138">
        <f>'ATC - 23012'!CG14</f>
        <v/>
      </c>
      <c r="H17" s="235" t="n"/>
      <c r="I17" s="235" t="n"/>
      <c r="J17" s="6" t="n"/>
    </row>
    <row r="18" ht="19.5" customHeight="1">
      <c r="A18" s="143" t="inlineStr">
        <is>
          <t xml:space="preserve">TAGS </t>
        </is>
      </c>
      <c r="B18" s="137">
        <f>'MG 11733'!CH16</f>
        <v/>
      </c>
      <c r="C18" s="137">
        <f>'BOQ 11734'!CH16</f>
        <v/>
      </c>
      <c r="D18" s="137">
        <f>' PL 12973'!BH16</f>
        <v/>
      </c>
      <c r="E18" s="137">
        <f>'TP 14462'!CH16</f>
        <v/>
      </c>
      <c r="F18" s="137">
        <f>'PB 5418'!CG16</f>
        <v/>
      </c>
      <c r="G18" s="137">
        <f>'ATC - 23012'!CG16</f>
        <v/>
      </c>
      <c r="H18" s="235" t="n"/>
      <c r="I18" s="235" t="n"/>
      <c r="J18" s="6" t="n"/>
    </row>
    <row r="19" ht="19.5" customHeight="1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</row>
    <row r="20" ht="19.5" customHeight="1">
      <c r="A20" s="575" t="inlineStr">
        <is>
          <t>VDS</t>
        </is>
      </c>
      <c r="B20" s="575" t="inlineStr">
        <is>
          <t>CDP - 14356</t>
        </is>
      </c>
      <c r="C20" s="575" t="inlineStr">
        <is>
          <t>ER BQ - 23614</t>
        </is>
      </c>
      <c r="D20" s="575" t="inlineStr">
        <is>
          <t>ER PBE - 23343</t>
        </is>
      </c>
      <c r="E20" s="575" t="inlineStr">
        <is>
          <t>ER MG - 24119</t>
        </is>
      </c>
      <c r="F20" s="575" t="inlineStr">
        <is>
          <t>VDS</t>
        </is>
      </c>
      <c r="G20" s="670" t="n"/>
      <c r="H20" s="575" t="inlineStr">
        <is>
          <t>CDP - 14356</t>
        </is>
      </c>
      <c r="I20" s="575" t="inlineStr">
        <is>
          <t>ER BQ - 23614</t>
        </is>
      </c>
      <c r="J20" s="575" t="inlineStr">
        <is>
          <t>ER PBE - 23343</t>
        </is>
      </c>
      <c r="K20" s="575" t="inlineStr">
        <is>
          <t>ER MG - 24119</t>
        </is>
      </c>
    </row>
    <row r="21" ht="21.75" customHeight="1">
      <c r="A21" s="159">
        <f>'CDP - 24790'!A8</f>
        <v/>
      </c>
      <c r="B21" s="160">
        <f>'CDP - 24790'!CH8</f>
        <v/>
      </c>
      <c r="C21" s="160">
        <f>'ER BOQ - 23614'!CH8</f>
        <v/>
      </c>
      <c r="D21" s="160">
        <f>'ER PBE - 23343'!CG8</f>
        <v/>
      </c>
      <c r="E21" s="160">
        <f>'ER MG - 24119'!AQ8</f>
        <v/>
      </c>
      <c r="F21" s="583" t="inlineStr">
        <is>
          <t>SACOLAS OUI</t>
        </is>
      </c>
      <c r="G21" s="748" t="n"/>
      <c r="H21" s="161" t="n"/>
      <c r="I21" s="161" t="n"/>
      <c r="J21" s="161" t="n"/>
      <c r="K21" s="161" t="n"/>
    </row>
    <row r="22" ht="21.75" customHeight="1">
      <c r="A22" s="29">
        <f>'CDP - 24790'!A9</f>
        <v/>
      </c>
      <c r="B22" s="160">
        <f>'CDP - 24790'!CH9</f>
        <v/>
      </c>
      <c r="C22" s="160">
        <f>'ER BOQ - 23614'!CH9</f>
        <v/>
      </c>
      <c r="D22" s="160">
        <f>'ER PBE - 23343'!CG9</f>
        <v/>
      </c>
      <c r="E22" s="160">
        <f>'ER MG - 24119'!AQ9</f>
        <v/>
      </c>
      <c r="F22" s="584" t="inlineStr">
        <is>
          <t>SACOLAS P OUI</t>
        </is>
      </c>
      <c r="G22" s="670" t="n"/>
      <c r="H22" s="9">
        <f>'CDP - 24790'!CH42</f>
        <v/>
      </c>
      <c r="I22" s="160">
        <f>'ER BOQ - 23614'!CH46</f>
        <v/>
      </c>
      <c r="J22" s="160">
        <f>'ER PBE - 23343'!CG46</f>
        <v/>
      </c>
      <c r="K22" s="160">
        <f>'ER MG - 24119'!AQ41</f>
        <v/>
      </c>
    </row>
    <row r="23" ht="21.75" customHeight="1">
      <c r="A23" s="29">
        <f>'CDP - 24790'!A10</f>
        <v/>
      </c>
      <c r="B23" s="160">
        <f>'CDP - 24790'!CH10</f>
        <v/>
      </c>
      <c r="C23" s="160">
        <f>'ER BOQ - 23614'!CH10</f>
        <v/>
      </c>
      <c r="D23" s="160">
        <f>'ER PBE - 23343'!CG10</f>
        <v/>
      </c>
      <c r="E23" s="160">
        <f>'ER MG - 24119'!AQ10</f>
        <v/>
      </c>
      <c r="F23" s="584" t="inlineStr">
        <is>
          <t>SACOLAS M OUI</t>
        </is>
      </c>
      <c r="G23" s="670" t="n"/>
      <c r="H23" s="9">
        <f>'CDP - 24790'!CH43</f>
        <v/>
      </c>
      <c r="I23" s="160">
        <f>'ER BOQ - 23614'!CH47</f>
        <v/>
      </c>
      <c r="J23" s="160">
        <f>'ER PBE - 23343'!CG47</f>
        <v/>
      </c>
      <c r="K23" s="160">
        <f>'ER MG - 24119'!AQ42</f>
        <v/>
      </c>
    </row>
    <row r="24" ht="21.75" customHeight="1">
      <c r="A24" s="29">
        <f>'CDP - 24790'!A11</f>
        <v/>
      </c>
      <c r="B24" s="160">
        <f>'CDP - 24790'!CH11</f>
        <v/>
      </c>
      <c r="C24" s="160">
        <f>'ER BOQ - 23614'!CH11</f>
        <v/>
      </c>
      <c r="D24" s="160">
        <f>'ER PBE - 23343'!CG11</f>
        <v/>
      </c>
      <c r="E24" s="160">
        <f>'ER MG - 24119'!AQ11</f>
        <v/>
      </c>
      <c r="F24" s="584" t="inlineStr">
        <is>
          <t>SACOLAS G OUI</t>
        </is>
      </c>
      <c r="G24" s="670" t="n"/>
      <c r="H24" s="9">
        <f>'CDP - 24790'!CH44</f>
        <v/>
      </c>
      <c r="I24" s="160">
        <f>'ER BOQ - 23614'!CH48</f>
        <v/>
      </c>
      <c r="J24" s="160">
        <f>'ER PBE - 23343'!CG48</f>
        <v/>
      </c>
      <c r="K24" s="160">
        <f>'ER MG - 24119'!AQ43</f>
        <v/>
      </c>
    </row>
    <row r="25" ht="21.75" customHeight="1">
      <c r="A25" s="29">
        <f>'CDP - 24790'!A12</f>
        <v/>
      </c>
      <c r="B25" s="160">
        <f>'CDP - 24790'!CH12</f>
        <v/>
      </c>
      <c r="C25" s="160">
        <f>'ER BOQ - 23614'!CH12</f>
        <v/>
      </c>
      <c r="D25" s="160">
        <f>'ER PBE - 23343'!CG12</f>
        <v/>
      </c>
      <c r="E25" s="160">
        <f>'ER MG - 24119'!AQ12</f>
        <v/>
      </c>
      <c r="F25" s="586" t="inlineStr">
        <is>
          <t>CAIXAS OUI</t>
        </is>
      </c>
      <c r="G25" s="670" t="n"/>
      <c r="H25" s="586" t="n"/>
      <c r="I25" s="586" t="n"/>
      <c r="J25" s="586" t="n"/>
      <c r="K25" s="586" t="n"/>
    </row>
    <row r="26" ht="21.75" customHeight="1">
      <c r="A26" s="29">
        <f>'CDP - 24790'!A13</f>
        <v/>
      </c>
      <c r="B26" s="160">
        <f>'CDP - 24790'!CH13</f>
        <v/>
      </c>
      <c r="C26" s="160">
        <f>'ER BOQ - 23614'!CH13</f>
        <v/>
      </c>
      <c r="D26" s="160">
        <f>'ER PBE - 23343'!CG13</f>
        <v/>
      </c>
      <c r="E26" s="160">
        <f>'ER MG - 24119'!AQ13</f>
        <v/>
      </c>
      <c r="F26" s="584" t="inlineStr">
        <is>
          <t>KIT CAIXA P OUI</t>
        </is>
      </c>
      <c r="G26" s="238" t="n"/>
      <c r="H26" s="9">
        <f>'CDP - 24790'!CH48</f>
        <v/>
      </c>
      <c r="I26" s="160">
        <f>'ER BOQ - 23614'!CH55</f>
        <v/>
      </c>
      <c r="J26" s="160">
        <f>'ER PBE - 23343'!CG55</f>
        <v/>
      </c>
      <c r="K26" s="160">
        <f>'ER MG - 24119'!AQ50</f>
        <v/>
      </c>
    </row>
    <row r="27" ht="21.75" customHeight="1">
      <c r="A27" s="6" t="n"/>
      <c r="B27" s="6" t="n"/>
      <c r="C27" s="6" t="n"/>
      <c r="D27" s="6" t="n"/>
      <c r="E27" s="6" t="n"/>
      <c r="F27" s="584" t="inlineStr">
        <is>
          <t>KIT CAIXA M OUI</t>
        </is>
      </c>
      <c r="G27" s="238" t="n"/>
      <c r="H27" s="9">
        <f>'CDP - 24790'!CH49</f>
        <v/>
      </c>
      <c r="I27" s="160">
        <f>'ER BOQ - 23614'!CH56</f>
        <v/>
      </c>
      <c r="J27" s="160">
        <f>'ER PBE - 23343'!CG56</f>
        <v/>
      </c>
      <c r="K27" s="160">
        <f>'ER MG - 24119'!AQ51</f>
        <v/>
      </c>
    </row>
    <row r="28" ht="21.75" customHeight="1">
      <c r="A28" s="157" t="inlineStr">
        <is>
          <t>KIT SACOLAS BOTI</t>
        </is>
      </c>
      <c r="B28" s="575" t="inlineStr">
        <is>
          <t>CDP - 14356</t>
        </is>
      </c>
      <c r="C28" s="575" t="inlineStr">
        <is>
          <t>ER BQ - 23614</t>
        </is>
      </c>
      <c r="D28" s="575" t="inlineStr">
        <is>
          <t>ER PBE - 23343</t>
        </is>
      </c>
      <c r="E28" s="575" t="inlineStr">
        <is>
          <t>ER MG - 24119</t>
        </is>
      </c>
      <c r="F28" s="584" t="inlineStr">
        <is>
          <t>KIT CAIXA G OUI</t>
        </is>
      </c>
      <c r="G28" s="238" t="n"/>
      <c r="H28" s="9">
        <f>'CDP - 24790'!CH50</f>
        <v/>
      </c>
      <c r="I28" s="160">
        <f>'ER BOQ - 23614'!CH57</f>
        <v/>
      </c>
      <c r="J28" s="160">
        <f>'ER PBE - 23343'!CG57</f>
        <v/>
      </c>
      <c r="K28" s="160">
        <f>'ER MG - 24119'!AQ52</f>
        <v/>
      </c>
    </row>
    <row r="29" ht="21.75" customHeight="1">
      <c r="A29" s="121">
        <f>'CDP - 24790'!A16</f>
        <v/>
      </c>
      <c r="B29" s="37">
        <f>'CDP - 24790'!CH21</f>
        <v/>
      </c>
      <c r="C29" s="37">
        <f>'ER BOQ - 23614'!CH27</f>
        <v/>
      </c>
      <c r="D29" s="160">
        <f>'ER PBE - 23343'!CG27</f>
        <v/>
      </c>
      <c r="E29" s="160">
        <f>'ER MG - 24119'!AQ22</f>
        <v/>
      </c>
      <c r="F29" s="586" t="inlineStr">
        <is>
          <t>DIVERSOS OUI</t>
        </is>
      </c>
      <c r="G29" s="670" t="n"/>
      <c r="H29" s="586" t="n"/>
      <c r="I29" s="586" t="n"/>
      <c r="J29" s="586" t="n"/>
      <c r="K29" s="586" t="n"/>
    </row>
    <row r="30" ht="21.75" customHeight="1">
      <c r="A30" s="121">
        <f>'CDP - 24790'!A17</f>
        <v/>
      </c>
      <c r="B30" s="37">
        <f>'CDP - 24790'!CH22</f>
        <v/>
      </c>
      <c r="C30" s="37">
        <f>'ER BOQ - 23614'!CH28</f>
        <v/>
      </c>
      <c r="D30" s="160">
        <f>'ER PBE - 23343'!CG28</f>
        <v/>
      </c>
      <c r="E30" s="160">
        <f>'ER MG - 24119'!AQ23</f>
        <v/>
      </c>
      <c r="F30" s="43" t="inlineStr">
        <is>
          <t>PAPEL DE SEDA OUI</t>
        </is>
      </c>
      <c r="G30" s="670" t="n"/>
      <c r="H30" s="9" t="n"/>
      <c r="I30" s="160">
        <f>'ER BOQ - 23614'!CH49</f>
        <v/>
      </c>
      <c r="J30" s="160">
        <f>'ER PBE - 23343'!CG49</f>
        <v/>
      </c>
      <c r="K30" s="160">
        <f>'ER MG - 24119'!AQ44</f>
        <v/>
      </c>
    </row>
    <row r="31" ht="21.75" customHeight="1">
      <c r="A31" s="121">
        <f>'CDP - 24790'!A18</f>
        <v/>
      </c>
      <c r="B31" s="37">
        <f>'CDP - 24790'!CH23</f>
        <v/>
      </c>
      <c r="C31" s="37">
        <f>'ER BOQ - 23614'!CH29</f>
        <v/>
      </c>
      <c r="D31" s="160">
        <f>'ER PBE - 23343'!CG29</f>
        <v/>
      </c>
      <c r="E31" s="160">
        <f>'ER MG - 24119'!AQ24</f>
        <v/>
      </c>
      <c r="F31" s="43" t="inlineStr">
        <is>
          <t>ETIQUETA OUI</t>
        </is>
      </c>
      <c r="G31" s="670" t="n"/>
      <c r="H31" s="158" t="n"/>
      <c r="I31" s="160">
        <f>'ER BOQ - 23614'!CH50</f>
        <v/>
      </c>
      <c r="J31" s="160">
        <f>'ER PBE - 23343'!CG50</f>
        <v/>
      </c>
      <c r="K31" s="160">
        <f>'ER MG - 24119'!AQ45</f>
        <v/>
      </c>
    </row>
    <row r="32" ht="21.75" customHeight="1">
      <c r="A32" s="6" t="n"/>
      <c r="B32" s="6" t="n"/>
      <c r="C32" s="6" t="n"/>
      <c r="D32" s="6" t="n"/>
      <c r="E32" s="6" t="n"/>
      <c r="F32" s="43" t="inlineStr">
        <is>
          <t>LÂMINA OUI</t>
        </is>
      </c>
      <c r="G32" s="670" t="n"/>
      <c r="H32" s="158" t="n"/>
      <c r="I32" s="160">
        <f>'ER BOQ - 23614'!CH51</f>
        <v/>
      </c>
      <c r="J32" s="160">
        <f>'ER PBE - 23343'!CG51</f>
        <v/>
      </c>
      <c r="K32" s="160">
        <f>'ER MG - 24119'!AQ46</f>
        <v/>
      </c>
    </row>
    <row r="33" ht="21.75" customHeight="1">
      <c r="A33" s="40" t="inlineStr">
        <is>
          <t>CAIXAS VDS</t>
        </is>
      </c>
      <c r="B33" s="575" t="inlineStr">
        <is>
          <t>CDP - 14356</t>
        </is>
      </c>
      <c r="C33" s="575" t="inlineStr">
        <is>
          <t>ER BQ - 23614</t>
        </is>
      </c>
      <c r="D33" s="575" t="inlineStr">
        <is>
          <t>ER PBE - 23343</t>
        </is>
      </c>
      <c r="E33" s="575" t="inlineStr">
        <is>
          <t>ER MG - 24119</t>
        </is>
      </c>
      <c r="F33" s="43">
        <f>'CDP - 24790'!A45</f>
        <v/>
      </c>
      <c r="G33" s="670" t="n"/>
      <c r="H33" s="158">
        <f>'CDP - 24790'!CH45</f>
        <v/>
      </c>
      <c r="I33" s="160">
        <f>'ER BOQ - 23614'!CH52</f>
        <v/>
      </c>
      <c r="J33" s="160">
        <f>'ER PBE - 23343'!CG52</f>
        <v/>
      </c>
      <c r="K33" s="160">
        <f>'ER MG - 24119'!AQ47</f>
        <v/>
      </c>
    </row>
    <row r="34" ht="21.75" customHeight="1">
      <c r="A34" s="584" t="inlineStr">
        <is>
          <t>KIT CAIXA P VERDE</t>
        </is>
      </c>
      <c r="B34" s="37">
        <f>'CDP - 24790'!CH31</f>
        <v/>
      </c>
      <c r="C34" s="37">
        <f>'ER BOQ - 23614'!CH37</f>
        <v/>
      </c>
      <c r="D34" s="160">
        <f>'ER PBE - 23343'!CG37</f>
        <v/>
      </c>
      <c r="E34" s="160">
        <f>'ER MG - 24119'!AQ32</f>
        <v/>
      </c>
      <c r="F34" s="6" t="n"/>
      <c r="G34" s="6" t="n"/>
      <c r="H34" s="6" t="n"/>
      <c r="I34" s="6" t="n"/>
      <c r="J34" s="6" t="n"/>
    </row>
    <row r="35" ht="21.75" customHeight="1">
      <c r="A35" s="584" t="inlineStr">
        <is>
          <t>KIT CAIXA M VERDE - VD</t>
        </is>
      </c>
      <c r="B35" s="37">
        <f>'CDP - 24790'!CH32</f>
        <v/>
      </c>
      <c r="C35" s="37">
        <f>'ER BOQ - 23614'!CH38</f>
        <v/>
      </c>
      <c r="D35" s="160">
        <f>'ER PBE - 23343'!CG38</f>
        <v/>
      </c>
      <c r="E35" s="160">
        <f>'ER MG - 24119'!AQ33</f>
        <v/>
      </c>
      <c r="F35" s="585" t="inlineStr">
        <is>
          <t>SACOLAS QDB</t>
        </is>
      </c>
      <c r="G35" s="670" t="n"/>
      <c r="H35" s="135" t="inlineStr">
        <is>
          <t>CDP - 14356</t>
        </is>
      </c>
      <c r="I35" s="135" t="inlineStr">
        <is>
          <t>ER BQ - 23614</t>
        </is>
      </c>
      <c r="J35" s="135" t="inlineStr">
        <is>
          <t>ER PBE - 23343</t>
        </is>
      </c>
      <c r="K35" s="135" t="inlineStr">
        <is>
          <t>ER MG - 24119</t>
        </is>
      </c>
    </row>
    <row r="36" ht="21.75" customHeight="1">
      <c r="A36" s="584" t="inlineStr">
        <is>
          <t>KIT CAIXA G VERDE - VD</t>
        </is>
      </c>
      <c r="B36" s="37">
        <f>'CDP - 24790'!CH33</f>
        <v/>
      </c>
      <c r="C36" s="37">
        <f>'ER BOQ - 23614'!CH39</f>
        <v/>
      </c>
      <c r="D36" s="160">
        <f>'ER PBE - 23343'!CG39</f>
        <v/>
      </c>
      <c r="E36" s="160">
        <f>'ER MG - 24119'!AQ34</f>
        <v/>
      </c>
      <c r="F36" s="582">
        <f>'CDP - 24790'!A53</f>
        <v/>
      </c>
      <c r="G36" s="670" t="n"/>
      <c r="H36" s="158">
        <f>'CDP - 24790'!CH53</f>
        <v/>
      </c>
      <c r="I36" s="158">
        <f>'ER BOQ - 23614'!CH60</f>
        <v/>
      </c>
      <c r="J36" s="160">
        <f>'ER PBE - 23343'!CG60</f>
        <v/>
      </c>
      <c r="K36" s="160">
        <f>'ER PBE - 23343'!CH60</f>
        <v/>
      </c>
    </row>
    <row r="37" ht="21.75" customHeight="1">
      <c r="A37" s="6" t="n"/>
      <c r="B37" s="6" t="n"/>
      <c r="C37" s="6" t="n"/>
      <c r="D37" s="6" t="n"/>
      <c r="E37" s="6" t="n"/>
      <c r="F37" s="582">
        <f>'CDP - 24790'!A54</f>
        <v/>
      </c>
      <c r="G37" s="670" t="n"/>
      <c r="H37" s="158">
        <f>'CDP - 24790'!CH54</f>
        <v/>
      </c>
      <c r="I37" s="158">
        <f>'ER BOQ - 23614'!CH61</f>
        <v/>
      </c>
      <c r="J37" s="160">
        <f>'ER PBE - 23343'!CG61</f>
        <v/>
      </c>
      <c r="K37" s="160">
        <f>'ER PBE - 23343'!CH61</f>
        <v/>
      </c>
    </row>
    <row r="38" ht="21.75" customHeight="1">
      <c r="A38" s="32" t="inlineStr">
        <is>
          <t>DIVERSOS BOTICÁRIO</t>
        </is>
      </c>
      <c r="B38" s="575" t="inlineStr">
        <is>
          <t>CDP - 14356</t>
        </is>
      </c>
      <c r="C38" s="575" t="inlineStr">
        <is>
          <t>ER BQ - 23614</t>
        </is>
      </c>
      <c r="D38" s="575" t="inlineStr">
        <is>
          <t>ER PBE - 23343</t>
        </is>
      </c>
      <c r="E38" s="575" t="inlineStr">
        <is>
          <t>ER MG - 24119</t>
        </is>
      </c>
      <c r="F38" s="582">
        <f>'CDP - 24790'!A55</f>
        <v/>
      </c>
      <c r="G38" s="670" t="n"/>
      <c r="H38" s="158">
        <f>'CDP - 24790'!CH55</f>
        <v/>
      </c>
      <c r="I38" s="158">
        <f>'ER BOQ - 23614'!CH62</f>
        <v/>
      </c>
      <c r="J38" s="160">
        <f>'ER PBE - 23343'!CG62</f>
        <v/>
      </c>
      <c r="K38" s="160">
        <f>'ER PBE - 23343'!CH62</f>
        <v/>
      </c>
    </row>
    <row r="39" ht="21.75" customHeight="1">
      <c r="A39" s="33" t="inlineStr">
        <is>
          <t>PAPEL SEDA</t>
        </is>
      </c>
      <c r="B39" s="9" t="n"/>
      <c r="C39" s="9">
        <f>'ER BOQ - 23614'!CH16</f>
        <v/>
      </c>
      <c r="D39" s="160">
        <f>'ER PBE - 23343'!CG16</f>
        <v/>
      </c>
      <c r="E39" s="160">
        <f>'ER MG - 24119'!AQ16</f>
        <v/>
      </c>
      <c r="F39" s="582" t="inlineStr">
        <is>
          <t>PAPEL DE SEDA QDB</t>
        </is>
      </c>
      <c r="G39" s="670" t="n"/>
      <c r="H39" s="158" t="n">
        <v>0</v>
      </c>
      <c r="I39" s="158">
        <f>'ER BOQ - 23614'!CH63</f>
        <v/>
      </c>
      <c r="J39" s="160">
        <f>'ER PBE - 23343'!CG63</f>
        <v/>
      </c>
      <c r="K39" s="160">
        <f>'ER PBE - 23343'!CH63</f>
        <v/>
      </c>
    </row>
    <row r="40" ht="21.75" customHeight="1">
      <c r="A40" s="33" t="inlineStr">
        <is>
          <t>ETIQUETAS</t>
        </is>
      </c>
      <c r="B40" s="9" t="n"/>
      <c r="C40" s="9">
        <f>'ER BOQ - 23614'!CH17</f>
        <v/>
      </c>
      <c r="D40" s="160">
        <f>'ER PBE - 23343'!CG17</f>
        <v/>
      </c>
      <c r="E40" s="160">
        <f>'ER MG - 24119'!AQ17</f>
        <v/>
      </c>
      <c r="F40" s="582" t="inlineStr">
        <is>
          <t>ETIQUETA QDB</t>
        </is>
      </c>
      <c r="G40" s="670" t="n"/>
      <c r="H40" s="158" t="n">
        <v>0</v>
      </c>
      <c r="I40" s="158">
        <f>'ER BOQ - 23614'!CH64</f>
        <v/>
      </c>
      <c r="J40" s="160">
        <f>'ER PBE - 23343'!CG64</f>
        <v/>
      </c>
      <c r="K40" s="160">
        <f>'ER PBE - 23343'!CH64</f>
        <v/>
      </c>
    </row>
    <row r="41" ht="21.75" customHeight="1">
      <c r="A41" s="33" t="inlineStr">
        <is>
          <t>TAG</t>
        </is>
      </c>
      <c r="B41" s="9" t="n"/>
      <c r="C41" s="9">
        <f>'ER BOQ - 23614'!CH18</f>
        <v/>
      </c>
      <c r="D41" s="160">
        <f>'ER PBE - 23343'!CG18</f>
        <v/>
      </c>
      <c r="E41" s="160">
        <f>'ER MG - 24119'!AQ18</f>
        <v/>
      </c>
      <c r="F41" s="582" t="inlineStr">
        <is>
          <t>TAG QDB</t>
        </is>
      </c>
      <c r="G41" s="670" t="n"/>
      <c r="H41" s="158" t="n">
        <v>0</v>
      </c>
      <c r="I41" s="158">
        <f>'ER BOQ - 23614'!CH65</f>
        <v/>
      </c>
      <c r="J41" s="160">
        <f>'ER PBE - 23343'!CG65</f>
        <v/>
      </c>
      <c r="K41" s="160">
        <f>'ER PBE - 23343'!CH65</f>
        <v/>
      </c>
    </row>
    <row r="42" ht="21.75" customHeight="1">
      <c r="A42" s="33" t="inlineStr">
        <is>
          <t>LÂMINA OLFATIVA</t>
        </is>
      </c>
      <c r="B42" s="9" t="n"/>
      <c r="C42" s="9">
        <f>'ER BOQ - 23614'!CH19</f>
        <v/>
      </c>
      <c r="D42" s="160">
        <f>'ER PBE - 23343'!CG19</f>
        <v/>
      </c>
      <c r="E42" s="160">
        <f>'ER MG - 24119'!AQ19</f>
        <v/>
      </c>
      <c r="F42" s="582" t="inlineStr">
        <is>
          <t>LÂMINA QDB</t>
        </is>
      </c>
      <c r="G42" s="670" t="n"/>
      <c r="H42" s="158" t="n">
        <v>0</v>
      </c>
      <c r="I42" s="158">
        <f>'ER BOQ - 23614'!CH66</f>
        <v/>
      </c>
      <c r="J42" s="160">
        <f>'ER PBE - 23343'!CG66</f>
        <v/>
      </c>
      <c r="K42" s="160">
        <f>'ER PBE - 23343'!CH66</f>
        <v/>
      </c>
    </row>
    <row r="43" ht="21.75" customHeight="1">
      <c r="A43" s="6" t="n"/>
      <c r="B43" s="6" t="n"/>
      <c r="C43" s="6" t="n"/>
      <c r="D43" s="6" t="n"/>
      <c r="E43" s="6" t="n"/>
      <c r="F43" s="582">
        <f>'CDP - 24790'!A56</f>
        <v/>
      </c>
      <c r="G43" s="670" t="n"/>
      <c r="H43" s="158">
        <f>'CDP - 24790'!CH56</f>
        <v/>
      </c>
      <c r="I43" s="158">
        <f>'ER BOQ - 23614'!CH67</f>
        <v/>
      </c>
      <c r="J43" s="160">
        <f>'ER PBE - 23343'!CG67</f>
        <v/>
      </c>
      <c r="K43" s="160">
        <f>'ER PBE - 23343'!CH67</f>
        <v/>
      </c>
    </row>
    <row r="44" ht="21.75" customHeight="1">
      <c r="A44" s="32" t="inlineStr">
        <is>
          <t>DIVERSOS VENDÁVEIS</t>
        </is>
      </c>
      <c r="B44" s="575" t="inlineStr">
        <is>
          <t>CDP - 14356</t>
        </is>
      </c>
      <c r="C44" s="575" t="inlineStr">
        <is>
          <t>ER BQ - 23614</t>
        </is>
      </c>
      <c r="D44" s="575" t="inlineStr">
        <is>
          <t>ER PBE - 23343</t>
        </is>
      </c>
      <c r="E44" s="575" t="inlineStr">
        <is>
          <t>ER MG - 24119</t>
        </is>
      </c>
      <c r="F44" s="582">
        <f>'CDP - 24790'!A57</f>
        <v/>
      </c>
      <c r="G44" s="670" t="n"/>
      <c r="H44" s="158">
        <f>'CDP - 24790'!CH57</f>
        <v/>
      </c>
      <c r="I44" s="158">
        <f>'ER BOQ - 23614'!CH68</f>
        <v/>
      </c>
      <c r="J44" s="160">
        <f>'ER PBE - 23343'!CG68</f>
        <v/>
      </c>
      <c r="K44" s="160">
        <f>'ER PBE - 23343'!CH68</f>
        <v/>
      </c>
    </row>
    <row r="45" ht="21.75" customHeight="1">
      <c r="A45" s="584" t="inlineStr">
        <is>
          <t>KIT ETIQUETAS 50 C/ 50</t>
        </is>
      </c>
      <c r="B45" s="37">
        <f>'CDP - 24790'!CH27</f>
        <v/>
      </c>
      <c r="C45" s="37">
        <f>'ER BOQ - 23614'!CH33</f>
        <v/>
      </c>
      <c r="D45" s="160">
        <f>'ER PBE - 23343'!CG33</f>
        <v/>
      </c>
      <c r="E45" s="160">
        <f>'ER MG - 24119'!AQ27</f>
        <v/>
      </c>
      <c r="F45" s="582">
        <f>'CDP - 24790'!A58</f>
        <v/>
      </c>
      <c r="G45" s="670" t="n"/>
      <c r="H45" s="158">
        <f>'CDP - 24790'!CH58</f>
        <v/>
      </c>
      <c r="I45" s="158">
        <f>'ER BOQ - 23614'!CH69</f>
        <v/>
      </c>
      <c r="J45" s="160">
        <f>'ER PBE - 23343'!CG69</f>
        <v/>
      </c>
      <c r="K45" s="160">
        <f>'ER PBE - 23343'!CH69</f>
        <v/>
      </c>
    </row>
    <row r="46" ht="21.75" customHeight="1">
      <c r="A46" s="584" t="inlineStr">
        <is>
          <t>KIT PAPEL DE SEDA 20 C/ 25</t>
        </is>
      </c>
      <c r="B46" s="37">
        <f>'CDP - 24790'!CH26</f>
        <v/>
      </c>
      <c r="C46" s="37">
        <f>'ER BOQ - 23614'!CH32</f>
        <v/>
      </c>
      <c r="D46" s="160">
        <f>'ER PBE - 23343'!CG32</f>
        <v/>
      </c>
      <c r="E46" s="160">
        <f>'ER MG - 24119'!AQ28</f>
        <v/>
      </c>
      <c r="F46" s="6" t="n"/>
      <c r="G46" s="6" t="n"/>
      <c r="H46" s="6" t="n"/>
      <c r="I46" s="6" t="n"/>
      <c r="J46" s="6" t="n"/>
    </row>
    <row r="47" ht="21.75" customHeight="1">
      <c r="A47" s="584" t="inlineStr">
        <is>
          <t>KIT TAGS 21 C/ 50</t>
        </is>
      </c>
      <c r="B47" s="37">
        <f>'CDP - 24790'!CH28</f>
        <v/>
      </c>
      <c r="C47" s="37">
        <f>'ER BOQ - 23614'!CH34</f>
        <v/>
      </c>
      <c r="D47" s="160">
        <f>'ER PBE - 23343'!CG34</f>
        <v/>
      </c>
      <c r="E47" s="160">
        <f>'ER MG - 24119'!AQ29</f>
        <v/>
      </c>
      <c r="F47" s="203" t="inlineStr">
        <is>
          <t>SACOLAS E CAIXAS EUDORA</t>
        </is>
      </c>
      <c r="G47" s="670" t="n"/>
      <c r="H47" s="203" t="inlineStr">
        <is>
          <t>CDP - 14356</t>
        </is>
      </c>
      <c r="I47" s="203" t="inlineStr">
        <is>
          <t>ER BQ - 23614</t>
        </is>
      </c>
      <c r="J47" s="203" t="inlineStr">
        <is>
          <t>ER PBE - 23343</t>
        </is>
      </c>
      <c r="K47" s="203" t="inlineStr">
        <is>
          <t>ER MG - 24119</t>
        </is>
      </c>
    </row>
    <row r="48" ht="18.75" customHeight="1">
      <c r="A48" s="6" t="n"/>
      <c r="B48" s="6" t="n"/>
      <c r="C48" s="6" t="n"/>
      <c r="D48" s="6" t="n"/>
      <c r="E48" s="6" t="n"/>
      <c r="F48" s="238" t="inlineStr">
        <is>
          <t>SACOLA P EUDORA</t>
        </is>
      </c>
      <c r="G48" s="670" t="n"/>
      <c r="H48" s="37">
        <f>'CDP - 24790'!CH61</f>
        <v/>
      </c>
      <c r="I48" s="158">
        <f>'ER BOQ - 23614'!CH72</f>
        <v/>
      </c>
      <c r="J48" s="160">
        <f>'ER PBE - 23343'!CG72</f>
        <v/>
      </c>
      <c r="K48" s="160">
        <f>'ER MG - 24119'!AQ67</f>
        <v/>
      </c>
    </row>
    <row r="49" ht="18.75" customHeight="1">
      <c r="A49" s="32">
        <f>'CDP - 24790'!A37</f>
        <v/>
      </c>
      <c r="B49" s="575" t="inlineStr">
        <is>
          <t>CDP - 14356</t>
        </is>
      </c>
      <c r="C49" s="575" t="inlineStr">
        <is>
          <t>ER BQ - 23614</t>
        </is>
      </c>
      <c r="D49" s="575" t="inlineStr">
        <is>
          <t>ER PBE - 23343</t>
        </is>
      </c>
      <c r="E49" s="575" t="inlineStr">
        <is>
          <t>ER MG - 24119</t>
        </is>
      </c>
      <c r="F49" s="238" t="inlineStr">
        <is>
          <t>SACOLA M EUDORA</t>
        </is>
      </c>
      <c r="G49" s="670" t="n"/>
      <c r="H49" s="37">
        <f>'CDP - 24790'!CH62</f>
        <v/>
      </c>
      <c r="I49" s="158">
        <f>'ER BOQ - 23614'!CH73</f>
        <v/>
      </c>
      <c r="J49" s="160">
        <f>'ER PBE - 23343'!CG73</f>
        <v/>
      </c>
      <c r="K49" s="160">
        <f>'ER MG - 24119'!AQ68</f>
        <v/>
      </c>
    </row>
    <row r="50" ht="18.75" customHeight="1">
      <c r="A50" s="33">
        <f>'CDP - 24790'!A38</f>
        <v/>
      </c>
      <c r="B50" s="9">
        <f>'CDP - 24790'!CH38</f>
        <v/>
      </c>
      <c r="C50" s="9">
        <f>'ER BOQ - 23614'!CH42</f>
        <v/>
      </c>
      <c r="D50" s="160">
        <f>'ER PBE - 23343'!CG42</f>
        <v/>
      </c>
      <c r="E50" s="160" t="n">
        <v>0</v>
      </c>
      <c r="F50" s="238" t="inlineStr">
        <is>
          <t>SACOLA G EUDORA</t>
        </is>
      </c>
      <c r="G50" s="670" t="n"/>
      <c r="H50" s="37">
        <f>'CDP - 24790'!CH63</f>
        <v/>
      </c>
      <c r="I50" s="158">
        <f>'ER BOQ - 23614'!CH74</f>
        <v/>
      </c>
      <c r="J50" s="160">
        <f>'ER PBE - 23343'!CG74</f>
        <v/>
      </c>
      <c r="K50" s="160">
        <f>'ER MG - 24119'!AQ69</f>
        <v/>
      </c>
    </row>
    <row r="51" ht="18.75" customHeight="1">
      <c r="A51" s="33">
        <f>'CDP - 24790'!A39</f>
        <v/>
      </c>
      <c r="B51" s="9">
        <f>'CDP - 24790'!CH39</f>
        <v/>
      </c>
      <c r="C51" s="9">
        <f>'ER BOQ - 23614'!CH43</f>
        <v/>
      </c>
      <c r="D51" s="9">
        <f>'ER PBE - 23343'!CG43</f>
        <v/>
      </c>
      <c r="E51" s="160" t="n">
        <v>0</v>
      </c>
      <c r="F51" s="238" t="inlineStr">
        <is>
          <t>PAPEL DE SEDA EUDORA</t>
        </is>
      </c>
      <c r="G51" s="670" t="n"/>
      <c r="H51" s="37" t="n">
        <v>0</v>
      </c>
      <c r="I51" s="158">
        <f>'ER BOQ - 23614'!CH75</f>
        <v/>
      </c>
      <c r="J51" s="160">
        <f>'ER PBE - 23343'!CG75</f>
        <v/>
      </c>
      <c r="K51" s="160">
        <f>'ER MG - 24119'!AQ70</f>
        <v/>
      </c>
    </row>
    <row r="52" ht="18.75" customHeight="1">
      <c r="A52" s="6" t="n"/>
      <c r="B52" s="6" t="n"/>
      <c r="C52" s="6" t="n"/>
      <c r="D52" s="6" t="n"/>
      <c r="E52" s="6" t="n"/>
      <c r="F52" s="238" t="inlineStr">
        <is>
          <t>ADESIVOS EUDORA</t>
        </is>
      </c>
      <c r="G52" s="670" t="n"/>
      <c r="H52" s="37" t="n">
        <v>0</v>
      </c>
      <c r="I52" s="158">
        <f>'ER BOQ - 23614'!CH76</f>
        <v/>
      </c>
      <c r="J52" s="160">
        <f>'ER PBE - 23343'!CG76</f>
        <v/>
      </c>
      <c r="K52" s="160">
        <f>'ER MG - 24119'!AQ71</f>
        <v/>
      </c>
    </row>
    <row r="53" ht="18.75" customHeight="1">
      <c r="A53" s="32" t="inlineStr">
        <is>
          <t>CAIXAS PAPELÃO OMNI (ANTILHAS)</t>
        </is>
      </c>
      <c r="B53" s="575" t="inlineStr">
        <is>
          <t>CDP - 14356</t>
        </is>
      </c>
      <c r="C53" s="575" t="inlineStr">
        <is>
          <t>ER BQ - 23614</t>
        </is>
      </c>
      <c r="D53" s="575" t="inlineStr">
        <is>
          <t>ER PBE - 23343</t>
        </is>
      </c>
      <c r="E53" s="575" t="inlineStr">
        <is>
          <t>ER MG - 24119</t>
        </is>
      </c>
      <c r="F53" s="238" t="inlineStr">
        <is>
          <t>LÂMINA  EUDORA</t>
        </is>
      </c>
      <c r="G53" s="670" t="n"/>
      <c r="H53" s="37" t="n">
        <v>0</v>
      </c>
      <c r="I53" s="158">
        <f>'ER BOQ - 23614'!CH77</f>
        <v/>
      </c>
      <c r="J53" s="160">
        <f>'ER PBE - 23343'!CG77</f>
        <v/>
      </c>
      <c r="K53" s="160">
        <f>'ER MG - 24119'!AQ72</f>
        <v/>
      </c>
    </row>
    <row r="54" ht="18.75" customHeight="1">
      <c r="A54" s="33" t="inlineStr">
        <is>
          <t>CAIXA OMNI P</t>
        </is>
      </c>
      <c r="B54" s="9">
        <f>'CDP - 24790'!CH72</f>
        <v/>
      </c>
      <c r="C54" s="160" t="n">
        <v>0</v>
      </c>
      <c r="D54" s="160" t="n">
        <v>0</v>
      </c>
      <c r="E54" s="160" t="n">
        <v>0</v>
      </c>
      <c r="F54" s="238" t="inlineStr">
        <is>
          <t>KIT SACOLA P EUDORA</t>
        </is>
      </c>
      <c r="G54" s="670" t="n"/>
      <c r="H54" s="37">
        <f>'CDP - 24790'!CH64</f>
        <v/>
      </c>
      <c r="I54" s="158">
        <f>'ER BOQ - 23614'!CH78</f>
        <v/>
      </c>
      <c r="J54" s="160">
        <f>'ER PBE - 23343'!CG78</f>
        <v/>
      </c>
      <c r="K54" s="160">
        <f>'ER MG - 24119'!AQ73</f>
        <v/>
      </c>
    </row>
    <row r="55" ht="18.75" customHeight="1">
      <c r="A55" s="33" t="inlineStr">
        <is>
          <t>CAIXA OMNI M</t>
        </is>
      </c>
      <c r="B55" s="9">
        <f>'CDP - 24790'!CH73</f>
        <v/>
      </c>
      <c r="C55" s="160" t="n">
        <v>0</v>
      </c>
      <c r="D55" s="160" t="n">
        <v>0</v>
      </c>
      <c r="E55" s="160" t="n">
        <v>0</v>
      </c>
      <c r="F55" s="238" t="inlineStr">
        <is>
          <t>KIT SACOLA M EUDORA</t>
        </is>
      </c>
      <c r="G55" s="670" t="n"/>
      <c r="H55" s="37">
        <f>'CDP - 24790'!CH65</f>
        <v/>
      </c>
      <c r="I55" s="158">
        <f>'ER BOQ - 23614'!CH79</f>
        <v/>
      </c>
      <c r="J55" s="160">
        <f>'ER PBE - 23343'!CG79</f>
        <v/>
      </c>
      <c r="K55" s="160">
        <f>'ER MG - 24119'!AQ74</f>
        <v/>
      </c>
    </row>
    <row r="56" ht="18.75" customHeight="1">
      <c r="A56" s="33" t="inlineStr">
        <is>
          <t>CAIXA OMNI G</t>
        </is>
      </c>
      <c r="B56" s="9">
        <f>'CDP - 24790'!CH74</f>
        <v/>
      </c>
      <c r="C56" s="160" t="n">
        <v>0</v>
      </c>
      <c r="D56" s="160" t="n">
        <v>0</v>
      </c>
      <c r="E56" s="160" t="n">
        <v>0</v>
      </c>
      <c r="F56" s="238" t="inlineStr">
        <is>
          <t>KIT SACOLA G EUDORA</t>
        </is>
      </c>
      <c r="G56" s="670" t="n"/>
      <c r="H56" s="37">
        <f>'CDP - 24790'!CH66</f>
        <v/>
      </c>
      <c r="I56" s="158">
        <f>'ER BOQ - 23614'!CH80</f>
        <v/>
      </c>
      <c r="J56" s="160">
        <f>'ER PBE - 23343'!CG80</f>
        <v/>
      </c>
      <c r="K56" s="160">
        <f>'ER MG - 24119'!AQ75</f>
        <v/>
      </c>
    </row>
    <row r="57" ht="18.75" customHeight="1">
      <c r="A57" s="6" t="n"/>
      <c r="B57" s="6" t="n"/>
      <c r="C57" s="6" t="n"/>
      <c r="D57" s="6" t="n"/>
      <c r="E57" s="6" t="n"/>
      <c r="F57" s="238" t="inlineStr">
        <is>
          <t>KIT CAIXA P EUDORA</t>
        </is>
      </c>
      <c r="G57" s="670" t="n"/>
      <c r="H57" s="37">
        <f>'CDP - 24790'!CH67</f>
        <v/>
      </c>
      <c r="I57" s="158">
        <f>'ER BOQ - 23614'!CH81</f>
        <v/>
      </c>
      <c r="J57" s="160">
        <f>'ER PBE - 23343'!CG81</f>
        <v/>
      </c>
      <c r="K57" s="160">
        <f>'ER MG - 24119'!AQ76</f>
        <v/>
      </c>
    </row>
    <row r="58" ht="18.75" customHeight="1">
      <c r="A58" s="6" t="n"/>
      <c r="B58" s="6" t="n"/>
      <c r="C58" s="6" t="n"/>
      <c r="D58" s="6" t="n"/>
      <c r="E58" s="6" t="n"/>
      <c r="F58" s="238" t="inlineStr">
        <is>
          <t>KIT CAIXA M EUDORA</t>
        </is>
      </c>
      <c r="G58" s="670" t="n"/>
      <c r="H58" s="37">
        <f>'CDP - 24790'!CH68</f>
        <v/>
      </c>
      <c r="I58" s="158">
        <f>'ER BOQ - 23614'!CH82</f>
        <v/>
      </c>
      <c r="J58" s="160">
        <f>'ER PBE - 23343'!CG82</f>
        <v/>
      </c>
      <c r="K58" s="160">
        <f>'ER MG - 24119'!AQ77</f>
        <v/>
      </c>
    </row>
    <row r="59" ht="18.75" customHeight="1">
      <c r="A59" s="6" t="n"/>
      <c r="B59" s="6" t="n"/>
      <c r="C59" s="6" t="n"/>
      <c r="D59" s="6" t="n"/>
      <c r="E59" s="6" t="n"/>
      <c r="F59" s="238" t="inlineStr">
        <is>
          <t>KIT CAIXA G EUDORA</t>
        </is>
      </c>
      <c r="G59" s="670" t="n"/>
      <c r="H59" s="37">
        <f>'CDP - 24790'!CH69</f>
        <v/>
      </c>
      <c r="I59" s="158">
        <f>'ER BOQ - 23614'!CH83</f>
        <v/>
      </c>
      <c r="J59" s="160">
        <f>'ER PBE - 23343'!CG83</f>
        <v/>
      </c>
      <c r="K59" s="160">
        <f>'ER MG - 24119'!AQ78</f>
        <v/>
      </c>
    </row>
  </sheetData>
  <mergeCells count="35">
    <mergeCell ref="F29:G29"/>
    <mergeCell ref="F54:G54"/>
    <mergeCell ref="F25:G25"/>
    <mergeCell ref="F40:G40"/>
    <mergeCell ref="F21:G21"/>
    <mergeCell ref="F59:G59"/>
    <mergeCell ref="F55:G55"/>
    <mergeCell ref="F24:G24"/>
    <mergeCell ref="F30:G30"/>
    <mergeCell ref="F51:G51"/>
    <mergeCell ref="F20:G20"/>
    <mergeCell ref="F33:G33"/>
    <mergeCell ref="F45:G45"/>
    <mergeCell ref="F36:G36"/>
    <mergeCell ref="F42:G42"/>
    <mergeCell ref="F32:G32"/>
    <mergeCell ref="F50:G50"/>
    <mergeCell ref="F41:G41"/>
    <mergeCell ref="F35:G35"/>
    <mergeCell ref="F47:G47"/>
    <mergeCell ref="F38:G38"/>
    <mergeCell ref="F23:G23"/>
    <mergeCell ref="F31:G31"/>
    <mergeCell ref="F22:G22"/>
    <mergeCell ref="F58:G58"/>
    <mergeCell ref="F56:G56"/>
    <mergeCell ref="F52:G52"/>
    <mergeCell ref="F43:G43"/>
    <mergeCell ref="F37:G37"/>
    <mergeCell ref="F39:G39"/>
    <mergeCell ref="F48:G48"/>
    <mergeCell ref="F49:G49"/>
    <mergeCell ref="F44:G44"/>
    <mergeCell ref="F57:G57"/>
    <mergeCell ref="F53:G53"/>
  </mergeCells>
  <conditionalFormatting sqref="B54:B56">
    <cfRule type="cellIs" priority="52" operator="greaterThan" dxfId="0">
      <formula>0</formula>
    </cfRule>
  </conditionalFormatting>
  <conditionalFormatting sqref="B21:D26">
    <cfRule type="cellIs" priority="47" operator="greaterThan" dxfId="0">
      <formula>0</formula>
    </cfRule>
  </conditionalFormatting>
  <conditionalFormatting sqref="B29:D31">
    <cfRule type="cellIs" priority="29" operator="greaterThan" dxfId="0">
      <formula>0</formula>
    </cfRule>
  </conditionalFormatting>
  <conditionalFormatting sqref="B34:D36">
    <cfRule type="cellIs" priority="28" operator="greaterThan" dxfId="0">
      <formula>0</formula>
    </cfRule>
  </conditionalFormatting>
  <conditionalFormatting sqref="B39:D42">
    <cfRule type="cellIs" priority="27" operator="greaterThan" dxfId="0">
      <formula>0</formula>
    </cfRule>
  </conditionalFormatting>
  <conditionalFormatting sqref="B45:D47">
    <cfRule type="cellIs" priority="26" operator="greaterThan" dxfId="0">
      <formula>0</formula>
    </cfRule>
  </conditionalFormatting>
  <conditionalFormatting sqref="B50:D51">
    <cfRule type="cellIs" priority="25" operator="greaterThan" dxfId="0">
      <formula>0</formula>
    </cfRule>
  </conditionalFormatting>
  <conditionalFormatting sqref="B6:G15 B16:I18">
    <cfRule type="cellIs" priority="68" operator="greaterThan" dxfId="0">
      <formula>0</formula>
    </cfRule>
  </conditionalFormatting>
  <conditionalFormatting sqref="H21:J33">
    <cfRule type="cellIs" priority="17" operator="greaterThan" dxfId="0">
      <formula>0</formula>
    </cfRule>
  </conditionalFormatting>
  <conditionalFormatting sqref="H36:J45">
    <cfRule type="cellIs" priority="16" operator="greaterThan" dxfId="0">
      <formula>0</formula>
    </cfRule>
  </conditionalFormatting>
  <conditionalFormatting sqref="H48:J59">
    <cfRule type="cellIs" priority="15" operator="greaterThan" dxfId="0">
      <formula>0</formula>
    </cfRule>
  </conditionalFormatting>
  <conditionalFormatting sqref="E21:E26">
    <cfRule type="cellIs" priority="14" operator="greaterThan" dxfId="0">
      <formula>0</formula>
    </cfRule>
  </conditionalFormatting>
  <conditionalFormatting sqref="E29:E31">
    <cfRule type="cellIs" priority="13" operator="greaterThan" dxfId="0">
      <formula>0</formula>
    </cfRule>
  </conditionalFormatting>
  <conditionalFormatting sqref="E34:E36">
    <cfRule type="cellIs" priority="12" operator="greaterThan" dxfId="0">
      <formula>0</formula>
    </cfRule>
  </conditionalFormatting>
  <conditionalFormatting sqref="E39:E42">
    <cfRule type="cellIs" priority="11" operator="greaterThan" dxfId="0">
      <formula>0</formula>
    </cfRule>
  </conditionalFormatting>
  <conditionalFormatting sqref="E45:E47">
    <cfRule type="cellIs" priority="10" operator="greaterThan" dxfId="0">
      <formula>0</formula>
    </cfRule>
  </conditionalFormatting>
  <conditionalFormatting sqref="E50:E51">
    <cfRule type="cellIs" priority="9" operator="greaterThan" dxfId="0">
      <formula>0</formula>
    </cfRule>
  </conditionalFormatting>
  <conditionalFormatting sqref="E54:E56">
    <cfRule type="cellIs" priority="8" operator="greaterThan" dxfId="0">
      <formula>0</formula>
    </cfRule>
  </conditionalFormatting>
  <conditionalFormatting sqref="C54:C56">
    <cfRule type="cellIs" priority="7" operator="greaterThan" dxfId="0">
      <formula>0</formula>
    </cfRule>
  </conditionalFormatting>
  <conditionalFormatting sqref="D54:D56">
    <cfRule type="cellIs" priority="5" operator="greaterThan" dxfId="0">
      <formula>0</formula>
    </cfRule>
  </conditionalFormatting>
  <conditionalFormatting sqref="K21:K33">
    <cfRule type="cellIs" priority="4" operator="greaterThan" dxfId="0">
      <formula>0</formula>
    </cfRule>
  </conditionalFormatting>
  <conditionalFormatting sqref="K36:K45">
    <cfRule type="cellIs" priority="3" operator="greaterThan" dxfId="0">
      <formula>0</formula>
    </cfRule>
  </conditionalFormatting>
  <conditionalFormatting sqref="K48:K59">
    <cfRule type="cellIs" priority="1" operator="greaterThan" dxfId="0">
      <formula>0</formula>
    </cfRule>
  </conditionalFormatting>
  <printOptions horizontalCentered="1"/>
  <pageMargins left="0.25" right="0.25" top="0.75" bottom="0.75" header="0.3" footer="0.3"/>
  <pageSetup orientation="portrait" paperSize="9" scale="65"/>
</worksheet>
</file>

<file path=xl/worksheets/sheet31.xml><?xml version="1.0" encoding="utf-8"?>
<worksheet xmlns="http://schemas.openxmlformats.org/spreadsheetml/2006/main">
  <sheetPr codeName="Planilha33">
    <tabColor theme="4"/>
    <outlinePr summaryBelow="1" summaryRight="1"/>
    <pageSetUpPr fitToPage="1"/>
  </sheetPr>
  <dimension ref="A1:K59"/>
  <sheetViews>
    <sheetView topLeftCell="A2" zoomScale="70" zoomScaleNormal="70" workbookViewId="0">
      <selection activeCell="P54" sqref="P54"/>
    </sheetView>
  </sheetViews>
  <sheetFormatPr baseColWidth="8" defaultRowHeight="15"/>
  <cols>
    <col width="40.140625" customWidth="1" min="1" max="1"/>
    <col width="15.140625" bestFit="1" customWidth="1" min="2" max="2"/>
    <col width="17.5703125" bestFit="1" customWidth="1" min="3" max="3"/>
    <col width="18.42578125" bestFit="1" customWidth="1" min="4" max="4"/>
    <col width="19" customWidth="1" min="5" max="5"/>
    <col width="13.7109375" customWidth="1" min="6" max="6"/>
    <col width="17.85546875" customWidth="1" min="7" max="7"/>
    <col width="15.140625" bestFit="1" customWidth="1" min="8" max="8"/>
    <col width="17.5703125" bestFit="1" customWidth="1" min="9" max="9"/>
    <col width="17.28515625" customWidth="1" min="10" max="10"/>
    <col width="21" customWidth="1" min="11" max="11"/>
  </cols>
  <sheetData>
    <row r="1" ht="21.75" customHeight="1">
      <c r="A1" s="6" t="n"/>
      <c r="B1" s="6" t="n"/>
      <c r="C1" s="6" t="n"/>
      <c r="D1" s="6" t="n"/>
      <c r="E1" s="6" t="n"/>
      <c r="F1" s="6" t="n"/>
      <c r="G1" s="6" t="n"/>
      <c r="H1" s="6" t="n"/>
      <c r="I1" s="6" t="n"/>
      <c r="J1" s="6" t="n"/>
    </row>
    <row r="2" ht="21.75" customHeight="1">
      <c r="A2" s="6" t="n"/>
      <c r="B2" s="6" t="n"/>
      <c r="C2" s="6" t="n"/>
      <c r="D2" s="6" t="n"/>
      <c r="E2" s="6" t="n"/>
      <c r="F2" s="6" t="n"/>
      <c r="G2" s="6" t="n"/>
      <c r="H2" s="6" t="n"/>
      <c r="I2" s="6" t="n"/>
      <c r="J2" s="6" t="n"/>
    </row>
    <row r="3" ht="21.75" customHeight="1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</row>
    <row r="4" ht="18.75" customHeight="1">
      <c r="A4" s="145" t="inlineStr">
        <is>
          <t>LOJAS</t>
        </is>
      </c>
      <c r="B4" s="236" t="inlineStr">
        <is>
          <t>MG</t>
        </is>
      </c>
      <c r="C4" s="236" t="inlineStr">
        <is>
          <t>BQ</t>
        </is>
      </c>
      <c r="D4" s="236" t="inlineStr">
        <is>
          <t>PL</t>
        </is>
      </c>
      <c r="E4" s="236" t="inlineStr">
        <is>
          <t>TP</t>
        </is>
      </c>
      <c r="F4" s="236" t="inlineStr">
        <is>
          <t>PB</t>
        </is>
      </c>
      <c r="G4" s="236" t="inlineStr">
        <is>
          <t>ATC</t>
        </is>
      </c>
      <c r="H4" s="6" t="n"/>
      <c r="I4" s="6" t="n"/>
      <c r="J4" s="6" t="n"/>
    </row>
    <row r="5" ht="21" customHeight="1">
      <c r="A5" s="32" t="inlineStr">
        <is>
          <t>SACOLAS PP</t>
        </is>
      </c>
      <c r="B5" s="237" t="n">
        <v>11733</v>
      </c>
      <c r="C5" s="237" t="n">
        <v>11734</v>
      </c>
      <c r="D5" s="237" t="n">
        <v>12973</v>
      </c>
      <c r="E5" s="237" t="n">
        <v>14462</v>
      </c>
      <c r="F5" s="237" t="n">
        <v>5418</v>
      </c>
      <c r="G5" s="237" t="n">
        <v>23012</v>
      </c>
      <c r="H5" s="6" t="n"/>
      <c r="I5" s="6" t="n"/>
      <c r="J5" s="6" t="n"/>
    </row>
    <row r="6" ht="19.5" customHeight="1">
      <c r="A6" s="162" t="inlineStr">
        <is>
          <t>SACOLA PP VERDE</t>
        </is>
      </c>
      <c r="B6" s="137">
        <f>'MG 11733'!CH8</f>
        <v/>
      </c>
      <c r="C6" s="137">
        <f>'BOQ 11734'!CH8</f>
        <v/>
      </c>
      <c r="D6" s="138">
        <f>' PL 12973'!BH8</f>
        <v/>
      </c>
      <c r="E6" s="138">
        <f>'TP 14462'!CH8</f>
        <v/>
      </c>
      <c r="F6" s="138">
        <f>'PB 5418'!CG8</f>
        <v/>
      </c>
      <c r="G6" s="138">
        <f>'ATC - 23012'!CG8</f>
        <v/>
      </c>
      <c r="H6" s="6" t="n"/>
      <c r="I6" s="6" t="n"/>
      <c r="J6" s="6" t="n"/>
    </row>
    <row r="7" ht="19.5" customHeight="1">
      <c r="A7" s="136" t="inlineStr">
        <is>
          <t>SACOLA P VERDE</t>
        </is>
      </c>
      <c r="B7" s="138">
        <f>'MG 11733'!CH9</f>
        <v/>
      </c>
      <c r="C7" s="137">
        <f>'BOQ 11734'!CH9</f>
        <v/>
      </c>
      <c r="D7" s="138">
        <f>' PL 12973'!BH9</f>
        <v/>
      </c>
      <c r="E7" s="138">
        <f>'TP 14462'!CH9</f>
        <v/>
      </c>
      <c r="F7" s="138">
        <f>'PB 5418'!CG9</f>
        <v/>
      </c>
      <c r="G7" s="138">
        <f>'ATC - 23012'!CG9</f>
        <v/>
      </c>
      <c r="H7" s="6" t="n"/>
      <c r="I7" s="6" t="n"/>
      <c r="J7" s="6" t="n"/>
    </row>
    <row r="8" ht="19.5" customHeight="1">
      <c r="A8" s="136" t="inlineStr">
        <is>
          <t>SACOLA M VERDE</t>
        </is>
      </c>
      <c r="B8" s="138">
        <f>'MG 11733'!CH10</f>
        <v/>
      </c>
      <c r="C8" s="137">
        <f>'BOQ 11734'!CH10</f>
        <v/>
      </c>
      <c r="D8" s="138">
        <f>' PL 12973'!BH10</f>
        <v/>
      </c>
      <c r="E8" s="138">
        <f>'TP 14462'!CH10</f>
        <v/>
      </c>
      <c r="F8" s="138">
        <f>'PB 5418'!CG10</f>
        <v/>
      </c>
      <c r="G8" s="138">
        <f>'ATC - 23012'!CG10</f>
        <v/>
      </c>
      <c r="H8" s="6" t="n"/>
      <c r="I8" s="6" t="n"/>
      <c r="J8" s="6" t="n"/>
    </row>
    <row r="9" ht="19.5" customHeight="1">
      <c r="A9" s="139" t="inlineStr">
        <is>
          <t>SACOLA G VERDE</t>
        </is>
      </c>
      <c r="B9" s="138">
        <f>'MG 11733'!CH11</f>
        <v/>
      </c>
      <c r="C9" s="137">
        <f>'BOQ 11734'!CH11</f>
        <v/>
      </c>
      <c r="D9" s="138">
        <f>' PL 12973'!BH11</f>
        <v/>
      </c>
      <c r="E9" s="138">
        <f>'TP 14462'!CH11</f>
        <v/>
      </c>
      <c r="F9" s="138">
        <f>'PB 5418'!CG11</f>
        <v/>
      </c>
      <c r="G9" s="138">
        <f>'ATC - 23012'!CG11</f>
        <v/>
      </c>
      <c r="H9" s="6" t="n"/>
      <c r="I9" s="6" t="n"/>
      <c r="J9" s="6" t="n"/>
    </row>
    <row r="10" ht="19.5" customHeight="1">
      <c r="A10" s="140" t="inlineStr">
        <is>
          <t>CAIXAS LOJAS</t>
        </is>
      </c>
      <c r="B10" s="141" t="n"/>
      <c r="C10" s="141" t="n"/>
      <c r="D10" s="141" t="n"/>
      <c r="E10" s="141" t="n"/>
      <c r="F10" s="142" t="n"/>
      <c r="G10" s="230" t="n"/>
      <c r="H10" s="6" t="n"/>
      <c r="I10" s="6" t="n"/>
      <c r="J10" s="6" t="n"/>
    </row>
    <row r="11" ht="19.5" customHeight="1">
      <c r="A11" s="143" t="inlineStr">
        <is>
          <t>CAIXA P VERDE</t>
        </is>
      </c>
      <c r="B11" s="138">
        <f>'MG 11733'!CH20</f>
        <v/>
      </c>
      <c r="C11" s="138">
        <f>'BOQ 11734'!CH20</f>
        <v/>
      </c>
      <c r="D11" s="138">
        <f>' PL 12973'!BH20</f>
        <v/>
      </c>
      <c r="E11" s="138">
        <f>'TP 14462'!CH20</f>
        <v/>
      </c>
      <c r="F11" s="138">
        <f>'PB 5418'!CG20</f>
        <v/>
      </c>
      <c r="G11" s="138">
        <f>'ATC - 23012'!CG20</f>
        <v/>
      </c>
      <c r="H11" s="6" t="n"/>
      <c r="I11" s="6" t="n"/>
      <c r="J11" s="6" t="n"/>
    </row>
    <row r="12" ht="19.5" customHeight="1">
      <c r="A12" s="143" t="inlineStr">
        <is>
          <t>CAIXA M VERDE</t>
        </is>
      </c>
      <c r="B12" s="138">
        <f>'MG 11733'!CH21</f>
        <v/>
      </c>
      <c r="C12" s="138">
        <f>'BOQ 11734'!CH21</f>
        <v/>
      </c>
      <c r="D12" s="138">
        <f>' PL 12973'!BH21</f>
        <v/>
      </c>
      <c r="E12" s="138">
        <f>'TP 14462'!CH21</f>
        <v/>
      </c>
      <c r="F12" s="138">
        <f>'PB 5418'!CG21</f>
        <v/>
      </c>
      <c r="G12" s="138">
        <f>'ATC - 23012'!CG21</f>
        <v/>
      </c>
      <c r="H12" s="6" t="n"/>
      <c r="I12" s="6" t="n"/>
      <c r="J12" s="6" t="n"/>
    </row>
    <row r="13" ht="19.5" customHeight="1">
      <c r="A13" s="144" t="inlineStr">
        <is>
          <t>CAIXA G VERDE</t>
        </is>
      </c>
      <c r="B13" s="138">
        <f>'MG 11733'!CH22</f>
        <v/>
      </c>
      <c r="C13" s="138">
        <f>'BOQ 11734'!CH22</f>
        <v/>
      </c>
      <c r="D13" s="138">
        <f>' PL 12973'!BH22</f>
        <v/>
      </c>
      <c r="E13" s="138">
        <f>'TP 14462'!CH22</f>
        <v/>
      </c>
      <c r="F13" s="138">
        <f>'PB 5418'!CG22</f>
        <v/>
      </c>
      <c r="G13" s="138">
        <f>'ATC - 23012'!CG22</f>
        <v/>
      </c>
      <c r="H13" s="6" t="n"/>
      <c r="I13" s="6" t="n"/>
      <c r="J13" s="6" t="n"/>
    </row>
    <row r="14" ht="19.5" customHeight="1">
      <c r="A14" s="140" t="inlineStr">
        <is>
          <t>DIVERSOS P/ LOJA</t>
        </is>
      </c>
      <c r="B14" s="141" t="n"/>
      <c r="C14" s="141" t="n"/>
      <c r="D14" s="141" t="n"/>
      <c r="E14" s="141" t="n"/>
      <c r="F14" s="142" t="n"/>
      <c r="G14" s="230" t="n"/>
      <c r="H14" s="6" t="n"/>
      <c r="I14" s="6" t="n"/>
      <c r="J14" s="6" t="n"/>
    </row>
    <row r="15" ht="19.5" customHeight="1">
      <c r="A15" s="143" t="inlineStr">
        <is>
          <t xml:space="preserve">ETIQUETAS ROLO 35X35 </t>
        </is>
      </c>
      <c r="B15" s="138">
        <f>'MG 11733'!CH15</f>
        <v/>
      </c>
      <c r="C15" s="138">
        <f>'BOQ 11734'!CH15</f>
        <v/>
      </c>
      <c r="D15" s="138">
        <f>' PL 12973'!BH15</f>
        <v/>
      </c>
      <c r="E15" s="138">
        <f>'TP 14462'!CH15</f>
        <v/>
      </c>
      <c r="F15" s="138">
        <f>'PB 5418'!CG15</f>
        <v/>
      </c>
      <c r="G15" s="138">
        <f>'ATC - 23012'!CG15</f>
        <v/>
      </c>
      <c r="H15" s="6" t="n"/>
      <c r="I15" s="6" t="n"/>
      <c r="J15" s="6" t="n"/>
    </row>
    <row r="16" ht="19.5" customHeight="1">
      <c r="A16" s="143" t="inlineStr">
        <is>
          <t>LÂMINA OLFATIVA</t>
        </is>
      </c>
      <c r="B16" s="138">
        <f>'MG 11733'!CH17</f>
        <v/>
      </c>
      <c r="C16" s="138">
        <f>'BOQ 11734'!CH17</f>
        <v/>
      </c>
      <c r="D16" s="138">
        <f>' PL 12973'!BH17</f>
        <v/>
      </c>
      <c r="E16" s="138">
        <f>'TP 14462'!CH17</f>
        <v/>
      </c>
      <c r="F16" s="138">
        <f>'PB 5418'!CG17</f>
        <v/>
      </c>
      <c r="G16" s="138">
        <f>'ATC - 23012'!CG17</f>
        <v/>
      </c>
      <c r="H16" s="235" t="n"/>
      <c r="I16" s="235" t="n"/>
      <c r="J16" s="6" t="n"/>
    </row>
    <row r="17" ht="19.5" customHeight="1">
      <c r="A17" s="143" t="inlineStr">
        <is>
          <t xml:space="preserve">PAPEL DE SEDA </t>
        </is>
      </c>
      <c r="B17" s="138">
        <f>'MG 11733'!CH14</f>
        <v/>
      </c>
      <c r="C17" s="138">
        <f>'BOQ 11734'!CH14</f>
        <v/>
      </c>
      <c r="D17" s="138">
        <f>' PL 12973'!BH14</f>
        <v/>
      </c>
      <c r="E17" s="138">
        <f>'TP 14462'!CH14</f>
        <v/>
      </c>
      <c r="F17" s="138">
        <f>'PB 5418'!CG14</f>
        <v/>
      </c>
      <c r="G17" s="138">
        <f>'ATC - 23012'!CG14</f>
        <v/>
      </c>
      <c r="H17" s="235" t="n"/>
      <c r="I17" s="235" t="n"/>
      <c r="J17" s="6" t="n"/>
    </row>
    <row r="18" ht="19.5" customHeight="1">
      <c r="A18" s="143" t="inlineStr">
        <is>
          <t xml:space="preserve">TAGS </t>
        </is>
      </c>
      <c r="B18" s="137">
        <f>'MG 11733'!CH16</f>
        <v/>
      </c>
      <c r="C18" s="137">
        <f>'BOQ 11734'!CH16</f>
        <v/>
      </c>
      <c r="D18" s="137">
        <f>' PL 12973'!BH16</f>
        <v/>
      </c>
      <c r="E18" s="137">
        <f>'TP 14462'!CH16</f>
        <v/>
      </c>
      <c r="F18" s="137">
        <f>'PB 5418'!CG16</f>
        <v/>
      </c>
      <c r="G18" s="137">
        <f>'ATC - 23012'!CG16</f>
        <v/>
      </c>
      <c r="H18" s="235" t="n"/>
      <c r="I18" s="235" t="n"/>
      <c r="J18" s="6" t="n"/>
    </row>
    <row r="19" ht="19.5" customHeight="1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</row>
    <row r="20" ht="19.5" customHeight="1">
      <c r="A20" s="575" t="inlineStr">
        <is>
          <t>VDS</t>
        </is>
      </c>
      <c r="B20" s="575" t="inlineStr">
        <is>
          <t>CDP - 14356</t>
        </is>
      </c>
      <c r="C20" s="575" t="inlineStr">
        <is>
          <t>ER BQ - 23614</t>
        </is>
      </c>
      <c r="D20" s="575" t="inlineStr">
        <is>
          <t>ER PBE - 23343</t>
        </is>
      </c>
      <c r="E20" s="575" t="inlineStr">
        <is>
          <t>ER MG - 24119</t>
        </is>
      </c>
      <c r="F20" s="575" t="inlineStr">
        <is>
          <t>VDS</t>
        </is>
      </c>
      <c r="G20" s="670" t="n"/>
      <c r="H20" s="575" t="inlineStr">
        <is>
          <t>CDP - 14356</t>
        </is>
      </c>
      <c r="I20" s="575" t="inlineStr">
        <is>
          <t>ER BQ - 23614</t>
        </is>
      </c>
      <c r="J20" s="575" t="inlineStr">
        <is>
          <t>ER PBE - 23343</t>
        </is>
      </c>
      <c r="K20" s="575" t="inlineStr">
        <is>
          <t>ER MG - 24119</t>
        </is>
      </c>
    </row>
    <row r="21" ht="21.75" customHeight="1">
      <c r="A21" s="159">
        <f>'CDP - 24790'!A8</f>
        <v/>
      </c>
      <c r="B21" s="160">
        <f>'CDP - 24790'!CH8</f>
        <v/>
      </c>
      <c r="C21" s="160">
        <f>'ER BOQ - 23614'!CH8</f>
        <v/>
      </c>
      <c r="D21" s="160">
        <f>'ER PBE - 23343'!CG8</f>
        <v/>
      </c>
      <c r="E21" s="160">
        <f>'ER MG - 24119'!AQ8</f>
        <v/>
      </c>
      <c r="F21" s="583" t="inlineStr">
        <is>
          <t>SACOLAS OUI</t>
        </is>
      </c>
      <c r="G21" s="748" t="n"/>
      <c r="H21" s="161" t="n"/>
      <c r="I21" s="161" t="n"/>
      <c r="J21" s="161" t="n"/>
      <c r="K21" s="161" t="n"/>
    </row>
    <row r="22" ht="21.75" customHeight="1">
      <c r="A22" s="29">
        <f>'CDP - 24790'!A9</f>
        <v/>
      </c>
      <c r="B22" s="160">
        <f>'CDP - 24790'!CH9</f>
        <v/>
      </c>
      <c r="C22" s="160">
        <f>'ER BOQ - 23614'!CH9</f>
        <v/>
      </c>
      <c r="D22" s="160">
        <f>'ER PBE - 23343'!CG9</f>
        <v/>
      </c>
      <c r="E22" s="160">
        <f>'ER MG - 24119'!AQ9</f>
        <v/>
      </c>
      <c r="F22" s="584" t="inlineStr">
        <is>
          <t>SACOLAS P OUI</t>
        </is>
      </c>
      <c r="G22" s="670" t="n"/>
      <c r="H22" s="9">
        <f>'CDP - 24790'!CH42</f>
        <v/>
      </c>
      <c r="I22" s="160">
        <f>'ER BOQ - 23614'!CH46</f>
        <v/>
      </c>
      <c r="J22" s="160">
        <f>'ER PBE - 23343'!CG46</f>
        <v/>
      </c>
      <c r="K22" s="160">
        <f>'ER MG - 24119'!AQ41</f>
        <v/>
      </c>
    </row>
    <row r="23" ht="21.75" customHeight="1">
      <c r="A23" s="29">
        <f>'CDP - 24790'!A10</f>
        <v/>
      </c>
      <c r="B23" s="160">
        <f>'CDP - 24790'!CH10</f>
        <v/>
      </c>
      <c r="C23" s="160">
        <f>'ER BOQ - 23614'!CH10</f>
        <v/>
      </c>
      <c r="D23" s="160">
        <f>'ER PBE - 23343'!CG10</f>
        <v/>
      </c>
      <c r="E23" s="160">
        <f>'ER MG - 24119'!AQ10</f>
        <v/>
      </c>
      <c r="F23" s="584" t="inlineStr">
        <is>
          <t>SACOLAS M OUI</t>
        </is>
      </c>
      <c r="G23" s="670" t="n"/>
      <c r="H23" s="9">
        <f>'CDP - 24790'!CH43</f>
        <v/>
      </c>
      <c r="I23" s="160">
        <f>'ER BOQ - 23614'!CH47</f>
        <v/>
      </c>
      <c r="J23" s="160">
        <f>'ER PBE - 23343'!CG47</f>
        <v/>
      </c>
      <c r="K23" s="160">
        <f>'ER MG - 24119'!AQ42</f>
        <v/>
      </c>
    </row>
    <row r="24" ht="21.75" customHeight="1">
      <c r="A24" s="29">
        <f>'CDP - 24790'!A11</f>
        <v/>
      </c>
      <c r="B24" s="160">
        <f>'CDP - 24790'!CH11</f>
        <v/>
      </c>
      <c r="C24" s="160">
        <f>'ER BOQ - 23614'!CH11</f>
        <v/>
      </c>
      <c r="D24" s="160">
        <f>'ER PBE - 23343'!CG11</f>
        <v/>
      </c>
      <c r="E24" s="160">
        <f>'ER MG - 24119'!AQ11</f>
        <v/>
      </c>
      <c r="F24" s="584" t="inlineStr">
        <is>
          <t>SACOLAS G OUI</t>
        </is>
      </c>
      <c r="G24" s="670" t="n"/>
      <c r="H24" s="9">
        <f>'CDP - 24790'!CH44</f>
        <v/>
      </c>
      <c r="I24" s="160">
        <f>'ER BOQ - 23614'!CH48</f>
        <v/>
      </c>
      <c r="J24" s="160">
        <f>'ER PBE - 23343'!CG48</f>
        <v/>
      </c>
      <c r="K24" s="160">
        <f>'ER MG - 24119'!AQ43</f>
        <v/>
      </c>
    </row>
    <row r="25" ht="21.75" customHeight="1">
      <c r="A25" s="29">
        <f>'CDP - 24790'!A12</f>
        <v/>
      </c>
      <c r="B25" s="160">
        <f>'CDP - 24790'!CH12</f>
        <v/>
      </c>
      <c r="C25" s="160">
        <f>'ER BOQ - 23614'!CH12</f>
        <v/>
      </c>
      <c r="D25" s="160">
        <f>'ER PBE - 23343'!CG12</f>
        <v/>
      </c>
      <c r="E25" s="160">
        <f>'ER MG - 24119'!AQ12</f>
        <v/>
      </c>
      <c r="F25" s="586" t="inlineStr">
        <is>
          <t>CAIXAS OUI</t>
        </is>
      </c>
      <c r="G25" s="670" t="n"/>
      <c r="H25" s="586" t="n"/>
      <c r="I25" s="586" t="n"/>
      <c r="J25" s="586" t="n"/>
      <c r="K25" s="586" t="n"/>
    </row>
    <row r="26" ht="21.75" customHeight="1">
      <c r="A26" s="29">
        <f>'CDP - 24790'!A13</f>
        <v/>
      </c>
      <c r="B26" s="160">
        <f>'CDP - 24790'!CH13</f>
        <v/>
      </c>
      <c r="C26" s="160">
        <f>'ER BOQ - 23614'!CH13</f>
        <v/>
      </c>
      <c r="D26" s="160">
        <f>'ER PBE - 23343'!CG13</f>
        <v/>
      </c>
      <c r="E26" s="160">
        <f>'ER MG - 24119'!AQ13</f>
        <v/>
      </c>
      <c r="F26" s="584" t="inlineStr">
        <is>
          <t>KIT CAIXA P OUI</t>
        </is>
      </c>
      <c r="G26" s="238" t="n"/>
      <c r="H26" s="9">
        <f>'CDP - 24790'!CH48</f>
        <v/>
      </c>
      <c r="I26" s="160">
        <f>'ER BOQ - 23614'!CH55</f>
        <v/>
      </c>
      <c r="J26" s="160">
        <f>'ER PBE - 23343'!CG55</f>
        <v/>
      </c>
      <c r="K26" s="160">
        <f>'ER MG - 24119'!AQ50</f>
        <v/>
      </c>
    </row>
    <row r="27" ht="21.75" customHeight="1">
      <c r="A27" s="6" t="n"/>
      <c r="B27" s="6" t="n"/>
      <c r="C27" s="6" t="n"/>
      <c r="D27" s="6" t="n"/>
      <c r="E27" s="6" t="n"/>
      <c r="F27" s="584" t="inlineStr">
        <is>
          <t>KIT CAIXA M OUI</t>
        </is>
      </c>
      <c r="G27" s="238" t="n"/>
      <c r="H27" s="9">
        <f>'CDP - 24790'!CH49</f>
        <v/>
      </c>
      <c r="I27" s="160">
        <f>'ER BOQ - 23614'!CH56</f>
        <v/>
      </c>
      <c r="J27" s="160">
        <f>'ER PBE - 23343'!CG56</f>
        <v/>
      </c>
      <c r="K27" s="160">
        <f>'ER MG - 24119'!AQ51</f>
        <v/>
      </c>
    </row>
    <row r="28" ht="21.75" customHeight="1">
      <c r="A28" s="157" t="inlineStr">
        <is>
          <t>KIT SACOLAS BOTI</t>
        </is>
      </c>
      <c r="B28" s="575" t="inlineStr">
        <is>
          <t>CDP - 14356</t>
        </is>
      </c>
      <c r="C28" s="575" t="inlineStr">
        <is>
          <t>ER BQ - 23614</t>
        </is>
      </c>
      <c r="D28" s="575" t="inlineStr">
        <is>
          <t>ER PBE - 23343</t>
        </is>
      </c>
      <c r="E28" s="575" t="inlineStr">
        <is>
          <t>ER MG - 24119</t>
        </is>
      </c>
      <c r="F28" s="584" t="inlineStr">
        <is>
          <t>KIT CAIXA G OUI</t>
        </is>
      </c>
      <c r="G28" s="238" t="n"/>
      <c r="H28" s="9">
        <f>'CDP - 24790'!CH50</f>
        <v/>
      </c>
      <c r="I28" s="160">
        <f>'ER BOQ - 23614'!CH57</f>
        <v/>
      </c>
      <c r="J28" s="160">
        <f>'ER PBE - 23343'!CG57</f>
        <v/>
      </c>
      <c r="K28" s="160">
        <f>'ER MG - 24119'!AQ52</f>
        <v/>
      </c>
    </row>
    <row r="29" ht="21.75" customHeight="1">
      <c r="A29" s="121">
        <f>'CDP - 24790'!A16</f>
        <v/>
      </c>
      <c r="B29" s="37">
        <f>'CDP - 24790'!CH21</f>
        <v/>
      </c>
      <c r="C29" s="37">
        <f>'ER BOQ - 23614'!CH27</f>
        <v/>
      </c>
      <c r="D29" s="160">
        <f>'ER PBE - 23343'!CG27</f>
        <v/>
      </c>
      <c r="E29" s="160">
        <f>'ER MG - 24119'!AQ22</f>
        <v/>
      </c>
      <c r="F29" s="586" t="inlineStr">
        <is>
          <t>DIVERSOS OUI</t>
        </is>
      </c>
      <c r="G29" s="670" t="n"/>
      <c r="H29" s="586" t="n"/>
      <c r="I29" s="586" t="n"/>
      <c r="J29" s="586" t="n"/>
      <c r="K29" s="586" t="n"/>
    </row>
    <row r="30" ht="21.75" customHeight="1">
      <c r="A30" s="121">
        <f>'CDP - 24790'!A17</f>
        <v/>
      </c>
      <c r="B30" s="37">
        <f>'CDP - 24790'!CH22</f>
        <v/>
      </c>
      <c r="C30" s="37">
        <f>'ER BOQ - 23614'!CH28</f>
        <v/>
      </c>
      <c r="D30" s="160">
        <f>'ER PBE - 23343'!CG28</f>
        <v/>
      </c>
      <c r="E30" s="160">
        <f>'ER MG - 24119'!AQ23</f>
        <v/>
      </c>
      <c r="F30" s="43" t="inlineStr">
        <is>
          <t>PAPEL DE SEDA OUI</t>
        </is>
      </c>
      <c r="G30" s="670" t="n"/>
      <c r="H30" s="9" t="n"/>
      <c r="I30" s="160">
        <f>'ER BOQ - 23614'!CH49</f>
        <v/>
      </c>
      <c r="J30" s="160">
        <f>'ER PBE - 23343'!CG49</f>
        <v/>
      </c>
      <c r="K30" s="160">
        <f>'ER MG - 24119'!AQ44</f>
        <v/>
      </c>
    </row>
    <row r="31" ht="21.75" customHeight="1">
      <c r="A31" s="121">
        <f>'CDP - 24790'!A18</f>
        <v/>
      </c>
      <c r="B31" s="37">
        <f>'CDP - 24790'!CH23</f>
        <v/>
      </c>
      <c r="C31" s="37">
        <f>'ER BOQ - 23614'!CH29</f>
        <v/>
      </c>
      <c r="D31" s="160">
        <f>'ER PBE - 23343'!CG29</f>
        <v/>
      </c>
      <c r="E31" s="160">
        <f>'ER MG - 24119'!AQ24</f>
        <v/>
      </c>
      <c r="F31" s="43" t="inlineStr">
        <is>
          <t>ETIQUETA OUI</t>
        </is>
      </c>
      <c r="G31" s="670" t="n"/>
      <c r="H31" s="158" t="n"/>
      <c r="I31" s="160">
        <f>'ER BOQ - 23614'!CH50</f>
        <v/>
      </c>
      <c r="J31" s="160">
        <f>'ER PBE - 23343'!CG50</f>
        <v/>
      </c>
      <c r="K31" s="160">
        <f>'ER MG - 24119'!AQ45</f>
        <v/>
      </c>
    </row>
    <row r="32" ht="21.75" customHeight="1">
      <c r="A32" s="6" t="n"/>
      <c r="B32" s="6" t="n"/>
      <c r="C32" s="6" t="n"/>
      <c r="D32" s="6" t="n"/>
      <c r="E32" s="6" t="n"/>
      <c r="F32" s="43" t="inlineStr">
        <is>
          <t>LÂMINA OUI</t>
        </is>
      </c>
      <c r="G32" s="670" t="n"/>
      <c r="H32" s="158" t="n"/>
      <c r="I32" s="160">
        <f>'ER BOQ - 23614'!CH51</f>
        <v/>
      </c>
      <c r="J32" s="160">
        <f>'ER PBE - 23343'!CG51</f>
        <v/>
      </c>
      <c r="K32" s="160">
        <f>'ER MG - 24119'!AQ46</f>
        <v/>
      </c>
    </row>
    <row r="33" ht="21.75" customHeight="1">
      <c r="A33" s="40" t="inlineStr">
        <is>
          <t>CAIXAS VDS</t>
        </is>
      </c>
      <c r="B33" s="575" t="inlineStr">
        <is>
          <t>CDP - 14356</t>
        </is>
      </c>
      <c r="C33" s="575" t="inlineStr">
        <is>
          <t>ER BQ - 23614</t>
        </is>
      </c>
      <c r="D33" s="575" t="inlineStr">
        <is>
          <t>ER PBE - 23343</t>
        </is>
      </c>
      <c r="E33" s="575" t="inlineStr">
        <is>
          <t>ER MG - 24119</t>
        </is>
      </c>
      <c r="F33" s="43">
        <f>'CDP - 24790'!A45</f>
        <v/>
      </c>
      <c r="G33" s="670" t="n"/>
      <c r="H33" s="158">
        <f>'CDP - 24790'!CH45</f>
        <v/>
      </c>
      <c r="I33" s="160">
        <f>'ER BOQ - 23614'!CH52</f>
        <v/>
      </c>
      <c r="J33" s="160">
        <f>'ER PBE - 23343'!CG52</f>
        <v/>
      </c>
      <c r="K33" s="160">
        <f>'ER MG - 24119'!AQ47</f>
        <v/>
      </c>
    </row>
    <row r="34" ht="21.75" customHeight="1">
      <c r="A34" s="584" t="inlineStr">
        <is>
          <t>KIT CAIXA P VERDE</t>
        </is>
      </c>
      <c r="B34" s="37">
        <f>'CDP - 24790'!CH31</f>
        <v/>
      </c>
      <c r="C34" s="37">
        <f>'ER BOQ - 23614'!CH37</f>
        <v/>
      </c>
      <c r="D34" s="160">
        <f>'ER PBE - 23343'!CG37</f>
        <v/>
      </c>
      <c r="E34" s="160">
        <f>'ER MG - 24119'!AQ32</f>
        <v/>
      </c>
      <c r="F34" s="6" t="n"/>
      <c r="G34" s="6" t="n"/>
      <c r="H34" s="6" t="n"/>
      <c r="I34" s="6" t="n"/>
      <c r="J34" s="6" t="n"/>
    </row>
    <row r="35" ht="21.75" customHeight="1">
      <c r="A35" s="584" t="inlineStr">
        <is>
          <t>KIT CAIXA M VERDE - VD</t>
        </is>
      </c>
      <c r="B35" s="37">
        <f>'CDP - 24790'!CH32</f>
        <v/>
      </c>
      <c r="C35" s="37">
        <f>'ER BOQ - 23614'!CH38</f>
        <v/>
      </c>
      <c r="D35" s="160">
        <f>'ER PBE - 23343'!CG38</f>
        <v/>
      </c>
      <c r="E35" s="160">
        <f>'ER MG - 24119'!AQ33</f>
        <v/>
      </c>
      <c r="F35" s="585" t="inlineStr">
        <is>
          <t>SACOLAS QDB</t>
        </is>
      </c>
      <c r="G35" s="670" t="n"/>
      <c r="H35" s="135" t="inlineStr">
        <is>
          <t>CDP - 14356</t>
        </is>
      </c>
      <c r="I35" s="135" t="inlineStr">
        <is>
          <t>ER BQ - 23614</t>
        </is>
      </c>
      <c r="J35" s="135" t="inlineStr">
        <is>
          <t>ER PBE - 23343</t>
        </is>
      </c>
      <c r="K35" s="135" t="inlineStr">
        <is>
          <t>ER MG - 24119</t>
        </is>
      </c>
    </row>
    <row r="36" ht="21.75" customHeight="1">
      <c r="A36" s="584" t="inlineStr">
        <is>
          <t>KIT CAIXA G VERDE - VD</t>
        </is>
      </c>
      <c r="B36" s="37">
        <f>'CDP - 24790'!CH33</f>
        <v/>
      </c>
      <c r="C36" s="37">
        <f>'ER BOQ - 23614'!CH39</f>
        <v/>
      </c>
      <c r="D36" s="160">
        <f>'ER PBE - 23343'!CG39</f>
        <v/>
      </c>
      <c r="E36" s="160">
        <f>'ER MG - 24119'!AQ34</f>
        <v/>
      </c>
      <c r="F36" s="582">
        <f>'CDP - 24790'!A53</f>
        <v/>
      </c>
      <c r="G36" s="670" t="n"/>
      <c r="H36" s="158">
        <f>'CDP - 24790'!CH53</f>
        <v/>
      </c>
      <c r="I36" s="158">
        <f>'ER BOQ - 23614'!CH60</f>
        <v/>
      </c>
      <c r="J36" s="160">
        <f>'ER PBE - 23343'!CG60</f>
        <v/>
      </c>
      <c r="K36" s="160">
        <f>'ER PBE - 23343'!CH60</f>
        <v/>
      </c>
    </row>
    <row r="37" ht="21.75" customHeight="1">
      <c r="A37" s="6" t="n"/>
      <c r="B37" s="6" t="n"/>
      <c r="C37" s="6" t="n"/>
      <c r="D37" s="6" t="n"/>
      <c r="E37" s="6" t="n"/>
      <c r="F37" s="582">
        <f>'CDP - 24790'!A54</f>
        <v/>
      </c>
      <c r="G37" s="670" t="n"/>
      <c r="H37" s="158">
        <f>'CDP - 24790'!CH54</f>
        <v/>
      </c>
      <c r="I37" s="158">
        <f>'ER BOQ - 23614'!CH61</f>
        <v/>
      </c>
      <c r="J37" s="160">
        <f>'ER PBE - 23343'!CG61</f>
        <v/>
      </c>
      <c r="K37" s="160">
        <f>'ER PBE - 23343'!CH61</f>
        <v/>
      </c>
    </row>
    <row r="38" ht="21.75" customHeight="1">
      <c r="A38" s="32" t="inlineStr">
        <is>
          <t>DIVERSOS BOTICÁRIO</t>
        </is>
      </c>
      <c r="B38" s="575" t="inlineStr">
        <is>
          <t>CDP - 14356</t>
        </is>
      </c>
      <c r="C38" s="575" t="inlineStr">
        <is>
          <t>ER BQ - 23614</t>
        </is>
      </c>
      <c r="D38" s="575" t="inlineStr">
        <is>
          <t>ER PBE - 23343</t>
        </is>
      </c>
      <c r="E38" s="575" t="inlineStr">
        <is>
          <t>ER MG - 24119</t>
        </is>
      </c>
      <c r="F38" s="582">
        <f>'CDP - 24790'!A55</f>
        <v/>
      </c>
      <c r="G38" s="670" t="n"/>
      <c r="H38" s="158">
        <f>'CDP - 24790'!CH55</f>
        <v/>
      </c>
      <c r="I38" s="158">
        <f>'ER BOQ - 23614'!CH62</f>
        <v/>
      </c>
      <c r="J38" s="160">
        <f>'ER PBE - 23343'!CG62</f>
        <v/>
      </c>
      <c r="K38" s="160">
        <f>'ER PBE - 23343'!CH62</f>
        <v/>
      </c>
    </row>
    <row r="39" ht="21.75" customHeight="1">
      <c r="A39" s="33" t="inlineStr">
        <is>
          <t>PAPEL SEDA</t>
        </is>
      </c>
      <c r="B39" s="9" t="n"/>
      <c r="C39" s="9">
        <f>'ER BOQ - 23614'!CH16</f>
        <v/>
      </c>
      <c r="D39" s="160">
        <f>'ER PBE - 23343'!CG16</f>
        <v/>
      </c>
      <c r="E39" s="160">
        <f>'ER MG - 24119'!AQ16</f>
        <v/>
      </c>
      <c r="F39" s="582" t="inlineStr">
        <is>
          <t>PAPEL DE SEDA QDB</t>
        </is>
      </c>
      <c r="G39" s="670" t="n"/>
      <c r="H39" s="158" t="n">
        <v>0</v>
      </c>
      <c r="I39" s="158">
        <f>'ER BOQ - 23614'!CH63</f>
        <v/>
      </c>
      <c r="J39" s="160">
        <f>'ER PBE - 23343'!CG63</f>
        <v/>
      </c>
      <c r="K39" s="160">
        <f>'ER PBE - 23343'!CH63</f>
        <v/>
      </c>
    </row>
    <row r="40" ht="21.75" customHeight="1">
      <c r="A40" s="33" t="inlineStr">
        <is>
          <t>ETIQUETAS</t>
        </is>
      </c>
      <c r="B40" s="9" t="n"/>
      <c r="C40" s="9">
        <f>'ER BOQ - 23614'!CH17</f>
        <v/>
      </c>
      <c r="D40" s="160">
        <f>'ER PBE - 23343'!CG17</f>
        <v/>
      </c>
      <c r="E40" s="160">
        <f>'ER MG - 24119'!AQ17</f>
        <v/>
      </c>
      <c r="F40" s="582" t="inlineStr">
        <is>
          <t>ETIQUETA QDB</t>
        </is>
      </c>
      <c r="G40" s="670" t="n"/>
      <c r="H40" s="158" t="n">
        <v>0</v>
      </c>
      <c r="I40" s="158">
        <f>'ER BOQ - 23614'!CH64</f>
        <v/>
      </c>
      <c r="J40" s="160">
        <f>'ER PBE - 23343'!CG64</f>
        <v/>
      </c>
      <c r="K40" s="160">
        <f>'ER PBE - 23343'!CH64</f>
        <v/>
      </c>
    </row>
    <row r="41" ht="21.75" customHeight="1">
      <c r="A41" s="33" t="inlineStr">
        <is>
          <t>TAG</t>
        </is>
      </c>
      <c r="B41" s="9" t="n"/>
      <c r="C41" s="9">
        <f>'ER BOQ - 23614'!CH18</f>
        <v/>
      </c>
      <c r="D41" s="160">
        <f>'ER PBE - 23343'!CG18</f>
        <v/>
      </c>
      <c r="E41" s="160">
        <f>'ER MG - 24119'!AQ18</f>
        <v/>
      </c>
      <c r="F41" s="582" t="inlineStr">
        <is>
          <t>TAG QDB</t>
        </is>
      </c>
      <c r="G41" s="670" t="n"/>
      <c r="H41" s="158" t="n">
        <v>0</v>
      </c>
      <c r="I41" s="158">
        <f>'ER BOQ - 23614'!CH65</f>
        <v/>
      </c>
      <c r="J41" s="160">
        <f>'ER PBE - 23343'!CG65</f>
        <v/>
      </c>
      <c r="K41" s="160">
        <f>'ER PBE - 23343'!CH65</f>
        <v/>
      </c>
    </row>
    <row r="42" ht="21.75" customHeight="1">
      <c r="A42" s="33" t="inlineStr">
        <is>
          <t>LÂMINA OLFATIVA</t>
        </is>
      </c>
      <c r="B42" s="9" t="n"/>
      <c r="C42" s="9">
        <f>'ER BOQ - 23614'!CH19</f>
        <v/>
      </c>
      <c r="D42" s="160">
        <f>'ER PBE - 23343'!CG19</f>
        <v/>
      </c>
      <c r="E42" s="160">
        <f>'ER MG - 24119'!AQ19</f>
        <v/>
      </c>
      <c r="F42" s="582" t="inlineStr">
        <is>
          <t>LÂMINA QDB</t>
        </is>
      </c>
      <c r="G42" s="670" t="n"/>
      <c r="H42" s="158" t="n">
        <v>0</v>
      </c>
      <c r="I42" s="158">
        <f>'ER BOQ - 23614'!CH66</f>
        <v/>
      </c>
      <c r="J42" s="160">
        <f>'ER PBE - 23343'!CG66</f>
        <v/>
      </c>
      <c r="K42" s="160">
        <f>'ER PBE - 23343'!CH66</f>
        <v/>
      </c>
    </row>
    <row r="43" ht="21.75" customHeight="1">
      <c r="A43" s="6" t="n"/>
      <c r="B43" s="6" t="n"/>
      <c r="C43" s="6" t="n"/>
      <c r="D43" s="6" t="n"/>
      <c r="E43" s="6" t="n"/>
      <c r="F43" s="582">
        <f>'CDP - 24790'!A56</f>
        <v/>
      </c>
      <c r="G43" s="670" t="n"/>
      <c r="H43" s="158">
        <f>'CDP - 24790'!CH56</f>
        <v/>
      </c>
      <c r="I43" s="158">
        <f>'ER BOQ - 23614'!CH67</f>
        <v/>
      </c>
      <c r="J43" s="160">
        <f>'ER PBE - 23343'!CG67</f>
        <v/>
      </c>
      <c r="K43" s="160">
        <f>'ER PBE - 23343'!CH67</f>
        <v/>
      </c>
    </row>
    <row r="44" ht="21.75" customHeight="1">
      <c r="A44" s="32" t="inlineStr">
        <is>
          <t>DIVERSOS VENDÁVEIS</t>
        </is>
      </c>
      <c r="B44" s="575" t="inlineStr">
        <is>
          <t>CDP - 14356</t>
        </is>
      </c>
      <c r="C44" s="575" t="inlineStr">
        <is>
          <t>ER BQ - 23614</t>
        </is>
      </c>
      <c r="D44" s="575" t="inlineStr">
        <is>
          <t>ER PBE - 23343</t>
        </is>
      </c>
      <c r="E44" s="575" t="inlineStr">
        <is>
          <t>ER MG - 24119</t>
        </is>
      </c>
      <c r="F44" s="582">
        <f>'CDP - 24790'!A57</f>
        <v/>
      </c>
      <c r="G44" s="670" t="n"/>
      <c r="H44" s="158">
        <f>'CDP - 24790'!CH57</f>
        <v/>
      </c>
      <c r="I44" s="158">
        <f>'ER BOQ - 23614'!CH68</f>
        <v/>
      </c>
      <c r="J44" s="160">
        <f>'ER PBE - 23343'!CG68</f>
        <v/>
      </c>
      <c r="K44" s="160">
        <f>'ER PBE - 23343'!CH68</f>
        <v/>
      </c>
    </row>
    <row r="45" ht="21.75" customHeight="1">
      <c r="A45" s="584" t="inlineStr">
        <is>
          <t>KIT ETIQUETAS 50 C/ 50</t>
        </is>
      </c>
      <c r="B45" s="37">
        <f>'CDP - 24790'!CH27</f>
        <v/>
      </c>
      <c r="C45" s="37">
        <f>'ER BOQ - 23614'!CH33</f>
        <v/>
      </c>
      <c r="D45" s="160">
        <f>'ER PBE - 23343'!CG33</f>
        <v/>
      </c>
      <c r="E45" s="160">
        <f>'ER MG - 24119'!AQ27</f>
        <v/>
      </c>
      <c r="F45" s="582">
        <f>'CDP - 24790'!A58</f>
        <v/>
      </c>
      <c r="G45" s="670" t="n"/>
      <c r="H45" s="158">
        <f>'CDP - 24790'!CH58</f>
        <v/>
      </c>
      <c r="I45" s="158">
        <f>'ER BOQ - 23614'!CH69</f>
        <v/>
      </c>
      <c r="J45" s="160">
        <f>'ER PBE - 23343'!CG69</f>
        <v/>
      </c>
      <c r="K45" s="160">
        <f>'ER PBE - 23343'!CH69</f>
        <v/>
      </c>
    </row>
    <row r="46" ht="21.75" customHeight="1">
      <c r="A46" s="584" t="inlineStr">
        <is>
          <t>KIT PAPEL DE SEDA 20 C/ 25</t>
        </is>
      </c>
      <c r="B46" s="37">
        <f>'CDP - 24790'!CH26</f>
        <v/>
      </c>
      <c r="C46" s="37">
        <f>'ER BOQ - 23614'!CH32</f>
        <v/>
      </c>
      <c r="D46" s="160">
        <f>'ER PBE - 23343'!CG32</f>
        <v/>
      </c>
      <c r="E46" s="160">
        <f>'ER MG - 24119'!AQ28</f>
        <v/>
      </c>
      <c r="F46" s="6" t="n"/>
      <c r="G46" s="6" t="n"/>
      <c r="H46" s="6" t="n"/>
      <c r="I46" s="6" t="n"/>
      <c r="J46" s="6" t="n"/>
    </row>
    <row r="47" ht="21.75" customHeight="1">
      <c r="A47" s="584" t="inlineStr">
        <is>
          <t>KIT TAGS 21 C/ 50</t>
        </is>
      </c>
      <c r="B47" s="37">
        <f>'CDP - 24790'!CH28</f>
        <v/>
      </c>
      <c r="C47" s="37">
        <f>'ER BOQ - 23614'!CH34</f>
        <v/>
      </c>
      <c r="D47" s="160">
        <f>'ER PBE - 23343'!CG34</f>
        <v/>
      </c>
      <c r="E47" s="160">
        <f>'ER MG - 24119'!AQ29</f>
        <v/>
      </c>
      <c r="F47" s="203" t="inlineStr">
        <is>
          <t>SACOLAS E CAIXAS EUDORA</t>
        </is>
      </c>
      <c r="G47" s="670" t="n"/>
      <c r="H47" s="203" t="inlineStr">
        <is>
          <t>CDP - 14356</t>
        </is>
      </c>
      <c r="I47" s="203" t="inlineStr">
        <is>
          <t>ER BQ - 23614</t>
        </is>
      </c>
      <c r="J47" s="203" t="inlineStr">
        <is>
          <t>ER PBE - 23343</t>
        </is>
      </c>
      <c r="K47" s="203" t="inlineStr">
        <is>
          <t>ER MG - 24119</t>
        </is>
      </c>
    </row>
    <row r="48" ht="18.75" customHeight="1">
      <c r="A48" s="6" t="n"/>
      <c r="B48" s="6" t="n"/>
      <c r="C48" s="6" t="n"/>
      <c r="D48" s="6" t="n"/>
      <c r="E48" s="6" t="n"/>
      <c r="F48" s="238" t="inlineStr">
        <is>
          <t>SACOLA P EUDORA</t>
        </is>
      </c>
      <c r="G48" s="670" t="n"/>
      <c r="H48" s="37">
        <f>'CDP - 24790'!CH61</f>
        <v/>
      </c>
      <c r="I48" s="158">
        <f>'ER BOQ - 23614'!CH72</f>
        <v/>
      </c>
      <c r="J48" s="160">
        <f>'ER PBE - 23343'!CG72</f>
        <v/>
      </c>
      <c r="K48" s="160">
        <f>'ER MG - 24119'!AQ67</f>
        <v/>
      </c>
    </row>
    <row r="49" ht="18.75" customHeight="1">
      <c r="A49" s="32">
        <f>'CDP - 24790'!A37</f>
        <v/>
      </c>
      <c r="B49" s="575" t="inlineStr">
        <is>
          <t>CDP - 14356</t>
        </is>
      </c>
      <c r="C49" s="575" t="inlineStr">
        <is>
          <t>ER BQ - 23614</t>
        </is>
      </c>
      <c r="D49" s="575" t="inlineStr">
        <is>
          <t>ER PBE - 23343</t>
        </is>
      </c>
      <c r="E49" s="575" t="inlineStr">
        <is>
          <t>ER MG - 24119</t>
        </is>
      </c>
      <c r="F49" s="238" t="inlineStr">
        <is>
          <t>SACOLA M EUDORA</t>
        </is>
      </c>
      <c r="G49" s="670" t="n"/>
      <c r="H49" s="37">
        <f>'CDP - 24790'!CH62</f>
        <v/>
      </c>
      <c r="I49" s="158">
        <f>'ER BOQ - 23614'!CH73</f>
        <v/>
      </c>
      <c r="J49" s="160">
        <f>'ER PBE - 23343'!CG73</f>
        <v/>
      </c>
      <c r="K49" s="160">
        <f>'ER MG - 24119'!AQ68</f>
        <v/>
      </c>
    </row>
    <row r="50" ht="18.75" customHeight="1">
      <c r="A50" s="33">
        <f>'CDP - 24790'!A38</f>
        <v/>
      </c>
      <c r="B50" s="9">
        <f>'CDP - 24790'!CH38</f>
        <v/>
      </c>
      <c r="C50" s="9">
        <f>'ER BOQ - 23614'!CH42</f>
        <v/>
      </c>
      <c r="D50" s="160">
        <f>'ER PBE - 23343'!CG42</f>
        <v/>
      </c>
      <c r="E50" s="160" t="n">
        <v>0</v>
      </c>
      <c r="F50" s="238" t="inlineStr">
        <is>
          <t>SACOLA G EUDORA</t>
        </is>
      </c>
      <c r="G50" s="670" t="n"/>
      <c r="H50" s="37">
        <f>'CDP - 24790'!CH63</f>
        <v/>
      </c>
      <c r="I50" s="158">
        <f>'ER BOQ - 23614'!CH74</f>
        <v/>
      </c>
      <c r="J50" s="160">
        <f>'ER PBE - 23343'!CG74</f>
        <v/>
      </c>
      <c r="K50" s="160">
        <f>'ER MG - 24119'!AQ69</f>
        <v/>
      </c>
    </row>
    <row r="51" ht="18.75" customHeight="1">
      <c r="A51" s="33">
        <f>'CDP - 24790'!A39</f>
        <v/>
      </c>
      <c r="B51" s="9">
        <f>'CDP - 24790'!CH39</f>
        <v/>
      </c>
      <c r="C51" s="9">
        <f>'ER BOQ - 23614'!CH43</f>
        <v/>
      </c>
      <c r="D51" s="9">
        <f>'ER PBE - 23343'!CG43</f>
        <v/>
      </c>
      <c r="E51" s="160" t="n">
        <v>0</v>
      </c>
      <c r="F51" s="238" t="inlineStr">
        <is>
          <t>PAPEL DE SEDA EUDORA</t>
        </is>
      </c>
      <c r="G51" s="670" t="n"/>
      <c r="H51" s="37" t="n">
        <v>0</v>
      </c>
      <c r="I51" s="158">
        <f>'ER BOQ - 23614'!CH75</f>
        <v/>
      </c>
      <c r="J51" s="160">
        <f>'ER PBE - 23343'!CG75</f>
        <v/>
      </c>
      <c r="K51" s="160">
        <f>'ER MG - 24119'!AQ70</f>
        <v/>
      </c>
    </row>
    <row r="52" ht="18.75" customHeight="1">
      <c r="A52" s="6" t="n"/>
      <c r="B52" s="6" t="n"/>
      <c r="C52" s="6" t="n"/>
      <c r="D52" s="6" t="n"/>
      <c r="E52" s="6" t="n"/>
      <c r="F52" s="238" t="inlineStr">
        <is>
          <t>ADESIVOS EUDORA</t>
        </is>
      </c>
      <c r="G52" s="670" t="n"/>
      <c r="H52" s="37" t="n">
        <v>0</v>
      </c>
      <c r="I52" s="158">
        <f>'ER BOQ - 23614'!CH76</f>
        <v/>
      </c>
      <c r="J52" s="160">
        <f>'ER PBE - 23343'!CG76</f>
        <v/>
      </c>
      <c r="K52" s="160">
        <f>'ER MG - 24119'!AQ71</f>
        <v/>
      </c>
    </row>
    <row r="53" ht="18.75" customHeight="1">
      <c r="A53" s="32" t="inlineStr">
        <is>
          <t>CAIXAS PAPELÃO OMNI (ANTILHAS)</t>
        </is>
      </c>
      <c r="B53" s="575" t="inlineStr">
        <is>
          <t>CDP - 14356</t>
        </is>
      </c>
      <c r="C53" s="575" t="inlineStr">
        <is>
          <t>ER BQ - 23614</t>
        </is>
      </c>
      <c r="D53" s="575" t="inlineStr">
        <is>
          <t>ER PBE - 23343</t>
        </is>
      </c>
      <c r="E53" s="575" t="inlineStr">
        <is>
          <t>ER MG - 24119</t>
        </is>
      </c>
      <c r="F53" s="238" t="inlineStr">
        <is>
          <t>LÂMINA  EUDORA</t>
        </is>
      </c>
      <c r="G53" s="670" t="n"/>
      <c r="H53" s="37" t="n">
        <v>0</v>
      </c>
      <c r="I53" s="158">
        <f>'ER BOQ - 23614'!CH77</f>
        <v/>
      </c>
      <c r="J53" s="160">
        <f>'ER PBE - 23343'!CG77</f>
        <v/>
      </c>
      <c r="K53" s="160">
        <f>'ER MG - 24119'!AQ72</f>
        <v/>
      </c>
    </row>
    <row r="54" ht="18.75" customHeight="1">
      <c r="A54" s="33" t="inlineStr">
        <is>
          <t>CAIXA OMNI P</t>
        </is>
      </c>
      <c r="B54" s="9">
        <f>'CDP - 24790'!CH72</f>
        <v/>
      </c>
      <c r="C54" s="160" t="n">
        <v>0</v>
      </c>
      <c r="D54" s="160" t="n">
        <v>0</v>
      </c>
      <c r="E54" s="160" t="n">
        <v>0</v>
      </c>
      <c r="F54" s="238" t="inlineStr">
        <is>
          <t>KIT SACOLA P EUDORA</t>
        </is>
      </c>
      <c r="G54" s="670" t="n"/>
      <c r="H54" s="37">
        <f>'CDP - 24790'!CH64</f>
        <v/>
      </c>
      <c r="I54" s="158">
        <f>'ER BOQ - 23614'!CH78</f>
        <v/>
      </c>
      <c r="J54" s="160">
        <f>'ER PBE - 23343'!CG78</f>
        <v/>
      </c>
      <c r="K54" s="160">
        <f>'ER MG - 24119'!AQ73</f>
        <v/>
      </c>
    </row>
    <row r="55" ht="18.75" customHeight="1">
      <c r="A55" s="33" t="inlineStr">
        <is>
          <t>CAIXA OMNI M</t>
        </is>
      </c>
      <c r="B55" s="9">
        <f>'CDP - 24790'!CH73</f>
        <v/>
      </c>
      <c r="C55" s="160" t="n">
        <v>0</v>
      </c>
      <c r="D55" s="160" t="n">
        <v>0</v>
      </c>
      <c r="E55" s="160" t="n">
        <v>0</v>
      </c>
      <c r="F55" s="238" t="inlineStr">
        <is>
          <t>KIT SACOLA M EUDORA</t>
        </is>
      </c>
      <c r="G55" s="670" t="n"/>
      <c r="H55" s="37">
        <f>'CDP - 24790'!CH65</f>
        <v/>
      </c>
      <c r="I55" s="158">
        <f>'ER BOQ - 23614'!CH79</f>
        <v/>
      </c>
      <c r="J55" s="160">
        <f>'ER PBE - 23343'!CG79</f>
        <v/>
      </c>
      <c r="K55" s="160">
        <f>'ER MG - 24119'!AQ74</f>
        <v/>
      </c>
    </row>
    <row r="56" ht="18.75" customHeight="1">
      <c r="A56" s="33" t="inlineStr">
        <is>
          <t>CAIXA OMNI G</t>
        </is>
      </c>
      <c r="B56" s="9">
        <f>'CDP - 24790'!CH74</f>
        <v/>
      </c>
      <c r="C56" s="160" t="n">
        <v>0</v>
      </c>
      <c r="D56" s="160" t="n">
        <v>0</v>
      </c>
      <c r="E56" s="160" t="n">
        <v>0</v>
      </c>
      <c r="F56" s="238" t="inlineStr">
        <is>
          <t>KIT SACOLA G EUDORA</t>
        </is>
      </c>
      <c r="G56" s="670" t="n"/>
      <c r="H56" s="37">
        <f>'CDP - 24790'!CH66</f>
        <v/>
      </c>
      <c r="I56" s="158">
        <f>'ER BOQ - 23614'!CH80</f>
        <v/>
      </c>
      <c r="J56" s="160">
        <f>'ER PBE - 23343'!CG80</f>
        <v/>
      </c>
      <c r="K56" s="160">
        <f>'ER MG - 24119'!AQ75</f>
        <v/>
      </c>
    </row>
    <row r="57" ht="18.75" customHeight="1">
      <c r="A57" s="6" t="n"/>
      <c r="B57" s="6" t="n"/>
      <c r="C57" s="6" t="n"/>
      <c r="D57" s="6" t="n"/>
      <c r="E57" s="6" t="n"/>
      <c r="F57" s="238" t="inlineStr">
        <is>
          <t>KIT CAIXA P EUDORA</t>
        </is>
      </c>
      <c r="G57" s="670" t="n"/>
      <c r="H57" s="37">
        <f>'CDP - 24790'!CH67</f>
        <v/>
      </c>
      <c r="I57" s="158">
        <f>'ER BOQ - 23614'!CH81</f>
        <v/>
      </c>
      <c r="J57" s="160">
        <f>'ER PBE - 23343'!CG81</f>
        <v/>
      </c>
      <c r="K57" s="160">
        <f>'ER MG - 24119'!AQ76</f>
        <v/>
      </c>
    </row>
    <row r="58" ht="18.75" customHeight="1">
      <c r="A58" s="6" t="n"/>
      <c r="B58" s="6" t="n"/>
      <c r="C58" s="6" t="n"/>
      <c r="D58" s="6" t="n"/>
      <c r="E58" s="6" t="n"/>
      <c r="F58" s="238" t="inlineStr">
        <is>
          <t>KIT CAIXA M EUDORA</t>
        </is>
      </c>
      <c r="G58" s="670" t="n"/>
      <c r="H58" s="37">
        <f>'CDP - 24790'!CH68</f>
        <v/>
      </c>
      <c r="I58" s="158">
        <f>'ER BOQ - 23614'!CH82</f>
        <v/>
      </c>
      <c r="J58" s="160">
        <f>'ER PBE - 23343'!CG82</f>
        <v/>
      </c>
      <c r="K58" s="160">
        <f>'ER MG - 24119'!AQ77</f>
        <v/>
      </c>
    </row>
    <row r="59" ht="18.75" customHeight="1">
      <c r="A59" s="6" t="n"/>
      <c r="B59" s="6" t="n"/>
      <c r="C59" s="6" t="n"/>
      <c r="D59" s="6" t="n"/>
      <c r="E59" s="6" t="n"/>
      <c r="F59" s="238" t="inlineStr">
        <is>
          <t>KIT CAIXA G EUDORA</t>
        </is>
      </c>
      <c r="G59" s="670" t="n"/>
      <c r="H59" s="37">
        <f>'CDP - 24790'!CH69</f>
        <v/>
      </c>
      <c r="I59" s="158">
        <f>'ER BOQ - 23614'!CH83</f>
        <v/>
      </c>
      <c r="J59" s="160">
        <f>'ER PBE - 23343'!CG83</f>
        <v/>
      </c>
      <c r="K59" s="160">
        <f>'ER MG - 24119'!AQ78</f>
        <v/>
      </c>
    </row>
  </sheetData>
  <mergeCells count="35">
    <mergeCell ref="F29:G29"/>
    <mergeCell ref="F54:G54"/>
    <mergeCell ref="F25:G25"/>
    <mergeCell ref="F40:G40"/>
    <mergeCell ref="F21:G21"/>
    <mergeCell ref="F59:G59"/>
    <mergeCell ref="F55:G55"/>
    <mergeCell ref="F24:G24"/>
    <mergeCell ref="F30:G30"/>
    <mergeCell ref="F51:G51"/>
    <mergeCell ref="F20:G20"/>
    <mergeCell ref="F33:G33"/>
    <mergeCell ref="F45:G45"/>
    <mergeCell ref="F36:G36"/>
    <mergeCell ref="F42:G42"/>
    <mergeCell ref="F32:G32"/>
    <mergeCell ref="F50:G50"/>
    <mergeCell ref="F41:G41"/>
    <mergeCell ref="F35:G35"/>
    <mergeCell ref="F47:G47"/>
    <mergeCell ref="F38:G38"/>
    <mergeCell ref="F23:G23"/>
    <mergeCell ref="F31:G31"/>
    <mergeCell ref="F22:G22"/>
    <mergeCell ref="F56:G56"/>
    <mergeCell ref="F58:G58"/>
    <mergeCell ref="F52:G52"/>
    <mergeCell ref="F43:G43"/>
    <mergeCell ref="F37:G37"/>
    <mergeCell ref="F39:G39"/>
    <mergeCell ref="F48:G48"/>
    <mergeCell ref="F49:G49"/>
    <mergeCell ref="F44:G44"/>
    <mergeCell ref="F57:G57"/>
    <mergeCell ref="F53:G53"/>
  </mergeCells>
  <conditionalFormatting sqref="B54:B56">
    <cfRule type="cellIs" priority="22" operator="greaterThan" dxfId="0">
      <formula>0</formula>
    </cfRule>
  </conditionalFormatting>
  <conditionalFormatting sqref="B21:D26">
    <cfRule type="cellIs" priority="21" operator="greaterThan" dxfId="0">
      <formula>0</formula>
    </cfRule>
  </conditionalFormatting>
  <conditionalFormatting sqref="B29:D31">
    <cfRule type="cellIs" priority="20" operator="greaterThan" dxfId="0">
      <formula>0</formula>
    </cfRule>
  </conditionalFormatting>
  <conditionalFormatting sqref="B34:D36">
    <cfRule type="cellIs" priority="19" operator="greaterThan" dxfId="0">
      <formula>0</formula>
    </cfRule>
  </conditionalFormatting>
  <conditionalFormatting sqref="B39:D42">
    <cfRule type="cellIs" priority="18" operator="greaterThan" dxfId="0">
      <formula>0</formula>
    </cfRule>
  </conditionalFormatting>
  <conditionalFormatting sqref="B45:D47">
    <cfRule type="cellIs" priority="17" operator="greaterThan" dxfId="0">
      <formula>0</formula>
    </cfRule>
  </conditionalFormatting>
  <conditionalFormatting sqref="B50:D51">
    <cfRule type="cellIs" priority="16" operator="greaterThan" dxfId="0">
      <formula>0</formula>
    </cfRule>
  </conditionalFormatting>
  <conditionalFormatting sqref="B6:G15 B16:I18">
    <cfRule type="cellIs" priority="23" operator="greaterThan" dxfId="0">
      <formula>0</formula>
    </cfRule>
  </conditionalFormatting>
  <conditionalFormatting sqref="H21:J33">
    <cfRule type="cellIs" priority="15" operator="greaterThan" dxfId="0">
      <formula>0</formula>
    </cfRule>
  </conditionalFormatting>
  <conditionalFormatting sqref="H36:J45">
    <cfRule type="cellIs" priority="14" operator="greaterThan" dxfId="0">
      <formula>0</formula>
    </cfRule>
  </conditionalFormatting>
  <conditionalFormatting sqref="H48:J59">
    <cfRule type="cellIs" priority="13" operator="greaterThan" dxfId="0">
      <formula>0</formula>
    </cfRule>
  </conditionalFormatting>
  <conditionalFormatting sqref="E21:E26">
    <cfRule type="cellIs" priority="12" operator="greaterThan" dxfId="0">
      <formula>0</formula>
    </cfRule>
  </conditionalFormatting>
  <conditionalFormatting sqref="E29:E31">
    <cfRule type="cellIs" priority="11" operator="greaterThan" dxfId="0">
      <formula>0</formula>
    </cfRule>
  </conditionalFormatting>
  <conditionalFormatting sqref="E34:E36">
    <cfRule type="cellIs" priority="10" operator="greaterThan" dxfId="0">
      <formula>0</formula>
    </cfRule>
  </conditionalFormatting>
  <conditionalFormatting sqref="E39:E42">
    <cfRule type="cellIs" priority="9" operator="greaterThan" dxfId="0">
      <formula>0</formula>
    </cfRule>
  </conditionalFormatting>
  <conditionalFormatting sqref="E45:E47">
    <cfRule type="cellIs" priority="8" operator="greaterThan" dxfId="0">
      <formula>0</formula>
    </cfRule>
  </conditionalFormatting>
  <conditionalFormatting sqref="E50:E51">
    <cfRule type="cellIs" priority="7" operator="greaterThan" dxfId="0">
      <formula>0</formula>
    </cfRule>
  </conditionalFormatting>
  <conditionalFormatting sqref="E54:E56">
    <cfRule type="cellIs" priority="6" operator="greaterThan" dxfId="0">
      <formula>0</formula>
    </cfRule>
  </conditionalFormatting>
  <conditionalFormatting sqref="C54:C56">
    <cfRule type="cellIs" priority="5" operator="greaterThan" dxfId="0">
      <formula>0</formula>
    </cfRule>
  </conditionalFormatting>
  <conditionalFormatting sqref="D54:D56">
    <cfRule type="cellIs" priority="4" operator="greaterThan" dxfId="0">
      <formula>0</formula>
    </cfRule>
  </conditionalFormatting>
  <conditionalFormatting sqref="K21:K33">
    <cfRule type="cellIs" priority="3" operator="greaterThan" dxfId="0">
      <formula>0</formula>
    </cfRule>
  </conditionalFormatting>
  <conditionalFormatting sqref="K36:K45">
    <cfRule type="cellIs" priority="2" operator="greaterThan" dxfId="0">
      <formula>0</formula>
    </cfRule>
  </conditionalFormatting>
  <conditionalFormatting sqref="K48:K59">
    <cfRule type="cellIs" priority="1" operator="greaterThan" dxfId="0">
      <formula>0</formula>
    </cfRule>
  </conditionalFormatting>
  <printOptions horizontalCentered="1"/>
  <pageMargins left="0.25" right="0.25" top="0.75" bottom="0.75" header="0.3" footer="0.3"/>
  <pageSetup orientation="portrait" paperSize="9" scale="65"/>
</worksheet>
</file>

<file path=xl/worksheets/sheet32.xml><?xml version="1.0" encoding="utf-8"?>
<worksheet xmlns="http://schemas.openxmlformats.org/spreadsheetml/2006/main">
  <sheetPr codeName="Planilha17">
    <tabColor rgb="FFCC99FF"/>
    <outlinePr summaryBelow="1" summaryRight="1"/>
    <pageSetUpPr/>
  </sheetPr>
  <dimension ref="A1:K71"/>
  <sheetViews>
    <sheetView zoomScale="85" zoomScaleNormal="85" workbookViewId="0">
      <pane xSplit="1" topLeftCell="B1" activePane="topRight" state="frozen"/>
      <selection pane="topRight" activeCell="M22" sqref="M22"/>
    </sheetView>
  </sheetViews>
  <sheetFormatPr baseColWidth="8" defaultRowHeight="15"/>
  <cols>
    <col width="32.85546875" customWidth="1" min="1" max="1"/>
    <col width="17.5703125" bestFit="1" customWidth="1" min="10" max="10"/>
    <col width="14.42578125" bestFit="1" customWidth="1" min="11" max="11"/>
  </cols>
  <sheetData>
    <row r="1" ht="18" customHeight="1">
      <c r="A1" s="756" t="inlineStr">
        <is>
          <t>GASTO DE SACOLAS E ITENS DOADOS HOMEM ARANHA/25 - MENSAIS</t>
        </is>
      </c>
      <c r="B1" s="658" t="n"/>
      <c r="C1" s="658" t="n"/>
      <c r="D1" s="658" t="n"/>
      <c r="E1" s="658" t="n"/>
      <c r="F1" s="658" t="n"/>
      <c r="G1" s="658" t="n"/>
      <c r="H1" s="658" t="n"/>
      <c r="I1" s="658" t="n"/>
      <c r="J1" s="658" t="n"/>
      <c r="K1" s="670" t="n"/>
    </row>
    <row r="2" ht="18" customHeight="1">
      <c r="A2" s="756" t="inlineStr">
        <is>
          <t>PLAZA</t>
        </is>
      </c>
      <c r="B2" s="756" t="inlineStr">
        <is>
          <t>SETEMBRO</t>
        </is>
      </c>
      <c r="C2" s="658" t="n"/>
      <c r="D2" s="670" t="n"/>
      <c r="E2" s="756" t="inlineStr">
        <is>
          <t>OUTUBRO</t>
        </is>
      </c>
      <c r="F2" s="658" t="n"/>
      <c r="G2" s="658" t="n"/>
      <c r="H2" s="658" t="n"/>
      <c r="I2" s="670" t="n"/>
      <c r="J2" s="757" t="inlineStr">
        <is>
          <t>USOU ATÉ CRIANÇAS</t>
        </is>
      </c>
      <c r="K2" s="757" t="inlineStr">
        <is>
          <t>TOTAL GERAL</t>
        </is>
      </c>
    </row>
    <row r="3" ht="15.75" customHeight="1">
      <c r="A3" s="649" t="n"/>
      <c r="B3" s="379" t="n">
        <v>45922</v>
      </c>
      <c r="C3" s="379" t="n">
        <v>45929</v>
      </c>
      <c r="D3" s="380" t="inlineStr">
        <is>
          <t>USOU</t>
        </is>
      </c>
      <c r="E3" s="379" t="n">
        <v>45936</v>
      </c>
      <c r="F3" s="381" t="n">
        <v>45943</v>
      </c>
      <c r="G3" s="381" t="n">
        <v>45950</v>
      </c>
      <c r="H3" s="379" t="n">
        <v>45957</v>
      </c>
      <c r="I3" s="382" t="inlineStr">
        <is>
          <t>USOU</t>
        </is>
      </c>
      <c r="J3" s="649" t="n"/>
      <c r="K3" s="649" t="n"/>
    </row>
    <row r="4" ht="15.75" customHeight="1">
      <c r="A4" s="181" t="inlineStr">
        <is>
          <t>SACOLA M</t>
        </is>
      </c>
      <c r="B4" s="80" t="n">
        <v>0</v>
      </c>
      <c r="C4" s="80" t="n"/>
      <c r="D4" s="183">
        <f>B4+C4</f>
        <v/>
      </c>
      <c r="E4" s="80" t="n"/>
      <c r="F4" s="80" t="n"/>
      <c r="G4" s="80" t="n"/>
      <c r="H4" s="80" t="n"/>
      <c r="I4" s="183">
        <f>E4+F4+G4+H4</f>
        <v/>
      </c>
      <c r="J4" s="383">
        <f>B4+C4+E4+F4</f>
        <v/>
      </c>
      <c r="K4" s="384">
        <f>D4+I4</f>
        <v/>
      </c>
    </row>
    <row r="5" ht="15.75" customHeight="1">
      <c r="A5" s="181" t="inlineStr">
        <is>
          <t>PAPEL DE SEDA</t>
        </is>
      </c>
      <c r="B5" s="80" t="n">
        <v>0</v>
      </c>
      <c r="C5" s="80" t="n"/>
      <c r="D5" s="183">
        <f>B5+C5</f>
        <v/>
      </c>
      <c r="E5" s="80" t="n"/>
      <c r="F5" s="80" t="n"/>
      <c r="G5" s="80" t="n"/>
      <c r="H5" s="80" t="n"/>
      <c r="I5" s="183">
        <f>E5+F5+G5+H5</f>
        <v/>
      </c>
      <c r="J5" s="383">
        <f>B5+C5+E5+F5</f>
        <v/>
      </c>
      <c r="K5" s="384">
        <f>D5+I5</f>
        <v/>
      </c>
    </row>
    <row r="6" ht="15.75" customHeight="1">
      <c r="A6" s="106" t="inlineStr">
        <is>
          <t xml:space="preserve">TAGS </t>
        </is>
      </c>
      <c r="B6" s="80" t="n">
        <v>0</v>
      </c>
      <c r="C6" s="80" t="n"/>
      <c r="D6" s="183">
        <f>B6+C6</f>
        <v/>
      </c>
      <c r="E6" s="80" t="n"/>
      <c r="F6" s="80" t="n"/>
      <c r="G6" s="80" t="n"/>
      <c r="H6" s="80" t="n"/>
      <c r="I6" s="183">
        <f>E6+F6+G6+H6</f>
        <v/>
      </c>
      <c r="J6" s="383">
        <f>B6+C6+E6+F6</f>
        <v/>
      </c>
      <c r="K6" s="384">
        <f>D6+I6</f>
        <v/>
      </c>
    </row>
    <row r="7" ht="15.75" customHeight="1">
      <c r="A7" s="94" t="inlineStr">
        <is>
          <t>TOTAL DE SACOLAS</t>
        </is>
      </c>
      <c r="B7" s="95">
        <f>B4</f>
        <v/>
      </c>
      <c r="C7" s="95">
        <f>C4</f>
        <v/>
      </c>
      <c r="D7" s="95">
        <f>D4</f>
        <v/>
      </c>
      <c r="E7" s="95">
        <f>E4</f>
        <v/>
      </c>
      <c r="F7" s="95">
        <f>F4</f>
        <v/>
      </c>
      <c r="G7" s="95">
        <f>G4</f>
        <v/>
      </c>
      <c r="H7" s="95">
        <f>H4</f>
        <v/>
      </c>
      <c r="I7" s="95">
        <f>I4</f>
        <v/>
      </c>
      <c r="J7" s="385">
        <f>J4</f>
        <v/>
      </c>
      <c r="K7" s="386">
        <f>D4+I4</f>
        <v/>
      </c>
    </row>
    <row r="9" ht="18" customHeight="1">
      <c r="A9" s="756" t="inlineStr">
        <is>
          <t>GASTO DE SACOLAS E ITENS DOADOS HOMEM ARANHA/25 - MENSAIS</t>
        </is>
      </c>
      <c r="B9" s="658" t="n"/>
      <c r="C9" s="658" t="n"/>
      <c r="D9" s="658" t="n"/>
      <c r="E9" s="658" t="n"/>
      <c r="F9" s="658" t="n"/>
      <c r="G9" s="658" t="n"/>
      <c r="H9" s="658" t="n"/>
      <c r="I9" s="658" t="n"/>
      <c r="J9" s="658" t="n"/>
      <c r="K9" s="670" t="n"/>
    </row>
    <row r="10" ht="18" customHeight="1">
      <c r="A10" s="756" t="inlineStr">
        <is>
          <t>BOQUEIRÃO</t>
        </is>
      </c>
      <c r="B10" s="756" t="inlineStr">
        <is>
          <t>SETEMBRO</t>
        </is>
      </c>
      <c r="C10" s="658" t="n"/>
      <c r="D10" s="670" t="n"/>
      <c r="E10" s="756" t="inlineStr">
        <is>
          <t>OUTUBRO</t>
        </is>
      </c>
      <c r="F10" s="658" t="n"/>
      <c r="G10" s="658" t="n"/>
      <c r="H10" s="658" t="n"/>
      <c r="I10" s="670" t="n"/>
      <c r="J10" s="757" t="inlineStr">
        <is>
          <t>USOU ATÉ CRIANÇAS</t>
        </is>
      </c>
      <c r="K10" s="757" t="inlineStr">
        <is>
          <t>TOTAL GERAL</t>
        </is>
      </c>
    </row>
    <row r="11" ht="15.75" customHeight="1">
      <c r="A11" s="649" t="n"/>
      <c r="B11" s="379" t="n">
        <v>45922</v>
      </c>
      <c r="C11" s="379" t="n">
        <v>45929</v>
      </c>
      <c r="D11" s="380" t="inlineStr">
        <is>
          <t>USOU</t>
        </is>
      </c>
      <c r="E11" s="379" t="n">
        <v>45936</v>
      </c>
      <c r="F11" s="381" t="n">
        <v>45943</v>
      </c>
      <c r="G11" s="381" t="n">
        <v>45950</v>
      </c>
      <c r="H11" s="379" t="n">
        <v>45957</v>
      </c>
      <c r="I11" s="382" t="inlineStr">
        <is>
          <t>USOU</t>
        </is>
      </c>
      <c r="J11" s="649" t="n"/>
      <c r="K11" s="649" t="n"/>
    </row>
    <row r="12" ht="15.75" customHeight="1">
      <c r="A12" s="181" t="inlineStr">
        <is>
          <t>SACOLA M</t>
        </is>
      </c>
      <c r="B12" s="80" t="n">
        <v>0</v>
      </c>
      <c r="C12" s="80" t="n"/>
      <c r="D12" s="183">
        <f>B12+C12</f>
        <v/>
      </c>
      <c r="E12" s="80" t="n"/>
      <c r="F12" s="80" t="n"/>
      <c r="G12" s="80" t="n"/>
      <c r="H12" s="80" t="n"/>
      <c r="I12" s="183">
        <f>E12+F12+G12+H12</f>
        <v/>
      </c>
      <c r="J12" s="383">
        <f>B12+C12+E12+F12</f>
        <v/>
      </c>
      <c r="K12" s="384">
        <f>D12+I12</f>
        <v/>
      </c>
    </row>
    <row r="13" ht="15.75" customHeight="1">
      <c r="A13" s="181" t="inlineStr">
        <is>
          <t>PAPEL DE SEDA</t>
        </is>
      </c>
      <c r="B13" s="80" t="n">
        <v>0</v>
      </c>
      <c r="C13" s="80" t="n"/>
      <c r="D13" s="183">
        <f>B13+C13</f>
        <v/>
      </c>
      <c r="E13" s="80" t="n"/>
      <c r="F13" s="80" t="n"/>
      <c r="G13" s="80" t="n"/>
      <c r="H13" s="80" t="n"/>
      <c r="I13" s="183">
        <f>E13+F13+G13+H13</f>
        <v/>
      </c>
      <c r="J13" s="383">
        <f>B13+C13+E13+F13</f>
        <v/>
      </c>
      <c r="K13" s="384">
        <f>D13+I13</f>
        <v/>
      </c>
    </row>
    <row r="14" ht="15.75" customHeight="1">
      <c r="A14" s="106" t="inlineStr">
        <is>
          <t xml:space="preserve">TAGS </t>
        </is>
      </c>
      <c r="B14" s="80" t="n">
        <v>0</v>
      </c>
      <c r="C14" s="80" t="n"/>
      <c r="D14" s="183">
        <f>B14+C14</f>
        <v/>
      </c>
      <c r="E14" s="80" t="n"/>
      <c r="F14" s="80" t="n"/>
      <c r="G14" s="80" t="n"/>
      <c r="H14" s="80" t="n"/>
      <c r="I14" s="183">
        <f>E14+F14+G14+H14</f>
        <v/>
      </c>
      <c r="J14" s="383">
        <f>B14+C14+E14+F14</f>
        <v/>
      </c>
      <c r="K14" s="384">
        <f>D14+I14</f>
        <v/>
      </c>
    </row>
    <row r="15" ht="15.75" customHeight="1">
      <c r="A15" s="94" t="inlineStr">
        <is>
          <t>TOTAL DE SACOLAS</t>
        </is>
      </c>
      <c r="B15" s="95">
        <f>B12</f>
        <v/>
      </c>
      <c r="C15" s="95">
        <f>C12</f>
        <v/>
      </c>
      <c r="D15" s="95">
        <f>D12</f>
        <v/>
      </c>
      <c r="E15" s="95">
        <f>E12</f>
        <v/>
      </c>
      <c r="F15" s="95">
        <f>F12</f>
        <v/>
      </c>
      <c r="G15" s="95">
        <f>G12</f>
        <v/>
      </c>
      <c r="H15" s="95">
        <f>H12</f>
        <v/>
      </c>
      <c r="I15" s="95">
        <f>I12</f>
        <v/>
      </c>
      <c r="J15" s="385">
        <f>J12</f>
        <v/>
      </c>
      <c r="K15" s="386">
        <f>D12+I12</f>
        <v/>
      </c>
    </row>
    <row r="17" ht="15.75" customHeight="1">
      <c r="A17" s="756" t="inlineStr">
        <is>
          <t>GASTO DE SACOLAS E ITENS DOADOS HOMEM ARANHA/25 - MENSAIS</t>
        </is>
      </c>
      <c r="B17" s="658" t="n"/>
      <c r="C17" s="658" t="n"/>
      <c r="D17" s="658" t="n"/>
      <c r="E17" s="658" t="n"/>
      <c r="F17" s="658" t="n"/>
      <c r="G17" s="658" t="n"/>
      <c r="H17" s="658" t="n"/>
      <c r="I17" s="658" t="n"/>
      <c r="J17" s="658" t="n"/>
      <c r="K17" s="670" t="n"/>
    </row>
    <row r="18" ht="15.75" customHeight="1">
      <c r="A18" s="756" t="inlineStr">
        <is>
          <t>TUPI</t>
        </is>
      </c>
      <c r="B18" s="756" t="inlineStr">
        <is>
          <t>SETEMBRO</t>
        </is>
      </c>
      <c r="C18" s="658" t="n"/>
      <c r="D18" s="670" t="n"/>
      <c r="E18" s="756" t="inlineStr">
        <is>
          <t>OUTUBRO</t>
        </is>
      </c>
      <c r="F18" s="658" t="n"/>
      <c r="G18" s="658" t="n"/>
      <c r="H18" s="658" t="n"/>
      <c r="I18" s="670" t="n"/>
      <c r="J18" s="757" t="inlineStr">
        <is>
          <t>USOU ATÉ CRIANÇAS</t>
        </is>
      </c>
      <c r="K18" s="757" t="inlineStr">
        <is>
          <t>TOTAL GERAL</t>
        </is>
      </c>
    </row>
    <row r="19" ht="15.75" customHeight="1">
      <c r="A19" s="649" t="n"/>
      <c r="B19" s="379" t="n">
        <v>45922</v>
      </c>
      <c r="C19" s="379" t="n">
        <v>45929</v>
      </c>
      <c r="D19" s="380" t="inlineStr">
        <is>
          <t>USOU</t>
        </is>
      </c>
      <c r="E19" s="379" t="n">
        <v>45936</v>
      </c>
      <c r="F19" s="381" t="n">
        <v>45943</v>
      </c>
      <c r="G19" s="381" t="n">
        <v>45950</v>
      </c>
      <c r="H19" s="379" t="n">
        <v>45957</v>
      </c>
      <c r="I19" s="382" t="inlineStr">
        <is>
          <t>USOU</t>
        </is>
      </c>
      <c r="J19" s="649" t="n"/>
      <c r="K19" s="649" t="n"/>
    </row>
    <row r="20" ht="15.75" customHeight="1">
      <c r="A20" s="181" t="inlineStr">
        <is>
          <t>SACOLA M</t>
        </is>
      </c>
      <c r="B20" s="80" t="n">
        <v>0</v>
      </c>
      <c r="C20" s="80" t="n"/>
      <c r="D20" s="183">
        <f>B20+C20</f>
        <v/>
      </c>
      <c r="E20" s="80" t="n"/>
      <c r="F20" s="80" t="n"/>
      <c r="G20" s="80" t="n"/>
      <c r="H20" s="80" t="n"/>
      <c r="I20" s="183">
        <f>E20+F20+G20+H20</f>
        <v/>
      </c>
      <c r="J20" s="383">
        <f>B20+C20+E20+F20</f>
        <v/>
      </c>
      <c r="K20" s="384">
        <f>D20+I20</f>
        <v/>
      </c>
    </row>
    <row r="21" ht="15.75" customHeight="1">
      <c r="A21" s="181" t="inlineStr">
        <is>
          <t>PAPEL DE SEDA</t>
        </is>
      </c>
      <c r="B21" s="80" t="n">
        <v>0</v>
      </c>
      <c r="C21" s="80" t="n"/>
      <c r="D21" s="183">
        <f>B21+C21</f>
        <v/>
      </c>
      <c r="E21" s="80" t="n"/>
      <c r="F21" s="80" t="n"/>
      <c r="G21" s="80" t="n"/>
      <c r="H21" s="80" t="n"/>
      <c r="I21" s="183">
        <f>E21+F21+G21+H21</f>
        <v/>
      </c>
      <c r="J21" s="383">
        <f>B21+C21+E21+F21</f>
        <v/>
      </c>
      <c r="K21" s="384">
        <f>D21+I21</f>
        <v/>
      </c>
    </row>
    <row r="22" ht="15.75" customHeight="1">
      <c r="A22" s="106" t="inlineStr">
        <is>
          <t xml:space="preserve">TAGS </t>
        </is>
      </c>
      <c r="B22" s="80" t="n">
        <v>0</v>
      </c>
      <c r="C22" s="80" t="n"/>
      <c r="D22" s="183">
        <f>B22+C22</f>
        <v/>
      </c>
      <c r="E22" s="80" t="n"/>
      <c r="F22" s="80" t="n"/>
      <c r="G22" s="80" t="n"/>
      <c r="H22" s="80" t="n"/>
      <c r="I22" s="183">
        <f>E22+F22+G22+H22</f>
        <v/>
      </c>
      <c r="J22" s="383">
        <f>B22+C22+E22+F22</f>
        <v/>
      </c>
      <c r="K22" s="384">
        <f>D22+I22</f>
        <v/>
      </c>
    </row>
    <row r="23" ht="15.75" customHeight="1">
      <c r="A23" s="94" t="inlineStr">
        <is>
          <t>TOTAL DE SACOLAS</t>
        </is>
      </c>
      <c r="B23" s="95">
        <f>B20</f>
        <v/>
      </c>
      <c r="C23" s="95">
        <f>C20</f>
        <v/>
      </c>
      <c r="D23" s="95">
        <f>D20</f>
        <v/>
      </c>
      <c r="E23" s="95">
        <f>E20</f>
        <v/>
      </c>
      <c r="F23" s="95">
        <f>F20</f>
        <v/>
      </c>
      <c r="G23" s="95">
        <f>G20</f>
        <v/>
      </c>
      <c r="H23" s="95">
        <f>H20</f>
        <v/>
      </c>
      <c r="I23" s="95">
        <f>I20</f>
        <v/>
      </c>
      <c r="J23" s="385">
        <f>J20</f>
        <v/>
      </c>
      <c r="K23" s="386">
        <f>D20+I20</f>
        <v/>
      </c>
    </row>
    <row r="25" ht="15.75" customHeight="1">
      <c r="A25" s="756" t="inlineStr">
        <is>
          <t>GASTO DE SACOLAS E ITENS DOADOS HOMEM ARANHA/25 - MENSAIS</t>
        </is>
      </c>
      <c r="B25" s="658" t="n"/>
      <c r="C25" s="658" t="n"/>
      <c r="D25" s="658" t="n"/>
      <c r="E25" s="658" t="n"/>
      <c r="F25" s="658" t="n"/>
      <c r="G25" s="658" t="n"/>
      <c r="H25" s="658" t="n"/>
      <c r="I25" s="658" t="n"/>
      <c r="J25" s="658" t="n"/>
      <c r="K25" s="670" t="n"/>
    </row>
    <row r="26" ht="15.75" customHeight="1">
      <c r="A26" s="756" t="inlineStr">
        <is>
          <t>PERUÍBE</t>
        </is>
      </c>
      <c r="B26" s="756" t="inlineStr">
        <is>
          <t>SETEMBRO</t>
        </is>
      </c>
      <c r="C26" s="658" t="n"/>
      <c r="D26" s="670" t="n"/>
      <c r="E26" s="756" t="inlineStr">
        <is>
          <t>OUTUBRO</t>
        </is>
      </c>
      <c r="F26" s="658" t="n"/>
      <c r="G26" s="658" t="n"/>
      <c r="H26" s="658" t="n"/>
      <c r="I26" s="670" t="n"/>
      <c r="J26" s="757" t="inlineStr">
        <is>
          <t>USOU ATÉ CRIANÇAS</t>
        </is>
      </c>
      <c r="K26" s="757" t="inlineStr">
        <is>
          <t>TOTAL GERAL</t>
        </is>
      </c>
    </row>
    <row r="27" ht="15.75" customHeight="1">
      <c r="A27" s="649" t="n"/>
      <c r="B27" s="379" t="n">
        <v>45922</v>
      </c>
      <c r="C27" s="379" t="n">
        <v>45929</v>
      </c>
      <c r="D27" s="380" t="inlineStr">
        <is>
          <t>USOU</t>
        </is>
      </c>
      <c r="E27" s="379" t="n">
        <v>45936</v>
      </c>
      <c r="F27" s="381" t="n">
        <v>45943</v>
      </c>
      <c r="G27" s="381" t="n">
        <v>45950</v>
      </c>
      <c r="H27" s="379" t="n">
        <v>45957</v>
      </c>
      <c r="I27" s="382" t="inlineStr">
        <is>
          <t>USOU</t>
        </is>
      </c>
      <c r="J27" s="649" t="n"/>
      <c r="K27" s="649" t="n"/>
    </row>
    <row r="28" ht="15.75" customHeight="1">
      <c r="A28" s="181" t="inlineStr">
        <is>
          <t>SACOLA M</t>
        </is>
      </c>
      <c r="B28" s="80" t="n">
        <v>0</v>
      </c>
      <c r="C28" s="80" t="n"/>
      <c r="D28" s="183">
        <f>B28+C28</f>
        <v/>
      </c>
      <c r="E28" s="80" t="n"/>
      <c r="F28" s="80" t="n"/>
      <c r="G28" s="80" t="n"/>
      <c r="H28" s="80" t="n"/>
      <c r="I28" s="183">
        <f>E28+F28+G28+H28</f>
        <v/>
      </c>
      <c r="J28" s="383">
        <f>B28+C28+E28+F28</f>
        <v/>
      </c>
      <c r="K28" s="384">
        <f>D28+I28</f>
        <v/>
      </c>
    </row>
    <row r="29" ht="15.75" customHeight="1">
      <c r="A29" s="181" t="inlineStr">
        <is>
          <t>PAPEL DE SEDA</t>
        </is>
      </c>
      <c r="B29" s="80" t="n">
        <v>0</v>
      </c>
      <c r="C29" s="80" t="n"/>
      <c r="D29" s="183">
        <f>B29+C29</f>
        <v/>
      </c>
      <c r="E29" s="80" t="n"/>
      <c r="F29" s="80" t="n"/>
      <c r="G29" s="80" t="n"/>
      <c r="H29" s="80" t="n"/>
      <c r="I29" s="183">
        <f>E29+F29+G29+H29</f>
        <v/>
      </c>
      <c r="J29" s="383">
        <f>B29+C29+E29+F29</f>
        <v/>
      </c>
      <c r="K29" s="384">
        <f>D29+I29</f>
        <v/>
      </c>
    </row>
    <row r="30" ht="15.75" customHeight="1">
      <c r="A30" s="106" t="inlineStr">
        <is>
          <t xml:space="preserve">TAGS </t>
        </is>
      </c>
      <c r="B30" s="80" t="n">
        <v>0</v>
      </c>
      <c r="C30" s="80" t="n"/>
      <c r="D30" s="183">
        <f>B30+C30</f>
        <v/>
      </c>
      <c r="E30" s="80" t="n"/>
      <c r="F30" s="80" t="n"/>
      <c r="G30" s="80" t="n"/>
      <c r="H30" s="80" t="n"/>
      <c r="I30" s="183">
        <f>E30+F30+G30+H30</f>
        <v/>
      </c>
      <c r="J30" s="383">
        <f>B30+C30+E30+F30</f>
        <v/>
      </c>
      <c r="K30" s="384">
        <f>D30+I30</f>
        <v/>
      </c>
    </row>
    <row r="31" ht="15.75" customHeight="1">
      <c r="A31" s="94" t="inlineStr">
        <is>
          <t>TOTAL DE SACOLAS</t>
        </is>
      </c>
      <c r="B31" s="95">
        <f>B28</f>
        <v/>
      </c>
      <c r="C31" s="95">
        <f>C28</f>
        <v/>
      </c>
      <c r="D31" s="95">
        <f>D28</f>
        <v/>
      </c>
      <c r="E31" s="95">
        <f>E28</f>
        <v/>
      </c>
      <c r="F31" s="95">
        <f>F28</f>
        <v/>
      </c>
      <c r="G31" s="95">
        <f>G28</f>
        <v/>
      </c>
      <c r="H31" s="95">
        <f>H28</f>
        <v/>
      </c>
      <c r="I31" s="95">
        <f>I28</f>
        <v/>
      </c>
      <c r="J31" s="385">
        <f>J28</f>
        <v/>
      </c>
      <c r="K31" s="386">
        <f>D28+I28</f>
        <v/>
      </c>
    </row>
    <row r="33" ht="15.75" customHeight="1">
      <c r="A33" s="756" t="inlineStr">
        <is>
          <t>GASTO DE SACOLAS E ITENS DOADOS HOMEM ARANHA/25 - MENSAIS</t>
        </is>
      </c>
      <c r="B33" s="658" t="n"/>
      <c r="C33" s="658" t="n"/>
      <c r="D33" s="658" t="n"/>
      <c r="E33" s="658" t="n"/>
      <c r="F33" s="658" t="n"/>
      <c r="G33" s="658" t="n"/>
      <c r="H33" s="658" t="n"/>
      <c r="I33" s="658" t="n"/>
      <c r="J33" s="658" t="n"/>
      <c r="K33" s="670" t="n"/>
    </row>
    <row r="34" ht="15.75" customHeight="1">
      <c r="A34" s="756" t="inlineStr">
        <is>
          <t>MONGAGUÁ</t>
        </is>
      </c>
      <c r="B34" s="756" t="inlineStr">
        <is>
          <t>SETEMBRO</t>
        </is>
      </c>
      <c r="C34" s="658" t="n"/>
      <c r="D34" s="670" t="n"/>
      <c r="E34" s="756" t="inlineStr">
        <is>
          <t>OUTUBRO</t>
        </is>
      </c>
      <c r="F34" s="658" t="n"/>
      <c r="G34" s="658" t="n"/>
      <c r="H34" s="658" t="n"/>
      <c r="I34" s="670" t="n"/>
      <c r="J34" s="757" t="inlineStr">
        <is>
          <t>USOU ATÉ CRIANÇAS</t>
        </is>
      </c>
      <c r="K34" s="757" t="inlineStr">
        <is>
          <t>TOTAL GERAL</t>
        </is>
      </c>
    </row>
    <row r="35" ht="15.75" customHeight="1">
      <c r="A35" s="649" t="n"/>
      <c r="B35" s="379" t="n">
        <v>45922</v>
      </c>
      <c r="C35" s="379" t="n">
        <v>45929</v>
      </c>
      <c r="D35" s="380" t="inlineStr">
        <is>
          <t>USOU</t>
        </is>
      </c>
      <c r="E35" s="379" t="n">
        <v>45936</v>
      </c>
      <c r="F35" s="381" t="n">
        <v>45943</v>
      </c>
      <c r="G35" s="381" t="n">
        <v>45950</v>
      </c>
      <c r="H35" s="379" t="n">
        <v>45957</v>
      </c>
      <c r="I35" s="382" t="inlineStr">
        <is>
          <t>USOU</t>
        </is>
      </c>
      <c r="J35" s="649" t="n"/>
      <c r="K35" s="649" t="n"/>
    </row>
    <row r="36" ht="15.75" customHeight="1">
      <c r="A36" s="181" t="inlineStr">
        <is>
          <t>SACOLA M</t>
        </is>
      </c>
      <c r="B36" s="80" t="n">
        <v>0</v>
      </c>
      <c r="C36" s="80" t="n"/>
      <c r="D36" s="183">
        <f>B36+C36</f>
        <v/>
      </c>
      <c r="E36" s="80" t="n"/>
      <c r="F36" s="80" t="n"/>
      <c r="G36" s="80" t="n"/>
      <c r="H36" s="80" t="n"/>
      <c r="I36" s="183">
        <f>E36+F36+G36+H36</f>
        <v/>
      </c>
      <c r="J36" s="383">
        <f>B36+C36+E36+F36</f>
        <v/>
      </c>
      <c r="K36" s="384">
        <f>D36+I36</f>
        <v/>
      </c>
    </row>
    <row r="37" ht="15.75" customHeight="1">
      <c r="A37" s="181" t="inlineStr">
        <is>
          <t>PAPEL DE SEDA</t>
        </is>
      </c>
      <c r="B37" s="80" t="n">
        <v>0</v>
      </c>
      <c r="C37" s="80" t="n"/>
      <c r="D37" s="183">
        <f>B37+C37</f>
        <v/>
      </c>
      <c r="E37" s="80" t="n"/>
      <c r="F37" s="80" t="n"/>
      <c r="G37" s="80" t="n"/>
      <c r="H37" s="80" t="n"/>
      <c r="I37" s="183">
        <f>E37+F37+G37+H37</f>
        <v/>
      </c>
      <c r="J37" s="383">
        <f>B37+C37+E37+F37</f>
        <v/>
      </c>
      <c r="K37" s="384">
        <f>D37+I37</f>
        <v/>
      </c>
    </row>
    <row r="38" ht="15.75" customHeight="1">
      <c r="A38" s="106" t="inlineStr">
        <is>
          <t xml:space="preserve">TAGS </t>
        </is>
      </c>
      <c r="B38" s="80" t="n">
        <v>0</v>
      </c>
      <c r="C38" s="80" t="n"/>
      <c r="D38" s="183">
        <f>B38+C38</f>
        <v/>
      </c>
      <c r="E38" s="80" t="n"/>
      <c r="F38" s="80" t="n"/>
      <c r="G38" s="80" t="n"/>
      <c r="H38" s="80" t="n"/>
      <c r="I38" s="183">
        <f>E38+F38+G38+H38</f>
        <v/>
      </c>
      <c r="J38" s="383">
        <f>B38+C38+E38+F38</f>
        <v/>
      </c>
      <c r="K38" s="384">
        <f>D38+I38</f>
        <v/>
      </c>
    </row>
    <row r="39" ht="15.75" customHeight="1">
      <c r="A39" s="94" t="inlineStr">
        <is>
          <t>TOTAL DE SACOLAS</t>
        </is>
      </c>
      <c r="B39" s="95">
        <f>B36</f>
        <v/>
      </c>
      <c r="C39" s="95">
        <f>C36</f>
        <v/>
      </c>
      <c r="D39" s="95">
        <f>D36</f>
        <v/>
      </c>
      <c r="E39" s="95">
        <f>E36</f>
        <v/>
      </c>
      <c r="F39" s="95">
        <f>F36</f>
        <v/>
      </c>
      <c r="G39" s="95">
        <f>G36</f>
        <v/>
      </c>
      <c r="H39" s="95">
        <f>H36</f>
        <v/>
      </c>
      <c r="I39" s="95">
        <f>I36</f>
        <v/>
      </c>
      <c r="J39" s="385">
        <f>J36</f>
        <v/>
      </c>
      <c r="K39" s="386">
        <f>D36+I36</f>
        <v/>
      </c>
    </row>
    <row r="41" ht="15.75" customHeight="1">
      <c r="A41" s="756" t="inlineStr">
        <is>
          <t>GASTO DE SACOLAS E ITENS DOADOS HOMEM ARANHA/25 - MENSAIS</t>
        </is>
      </c>
      <c r="B41" s="658" t="n"/>
      <c r="C41" s="658" t="n"/>
      <c r="D41" s="658" t="n"/>
      <c r="E41" s="658" t="n"/>
      <c r="F41" s="658" t="n"/>
      <c r="G41" s="658" t="n"/>
      <c r="H41" s="658" t="n"/>
      <c r="I41" s="658" t="n"/>
      <c r="J41" s="658" t="n"/>
      <c r="K41" s="670" t="n"/>
    </row>
    <row r="42" ht="15.75" customHeight="1">
      <c r="A42" s="756" t="inlineStr">
        <is>
          <t>ATACADÃO</t>
        </is>
      </c>
      <c r="B42" s="756" t="inlineStr">
        <is>
          <t>SETEMBRO</t>
        </is>
      </c>
      <c r="C42" s="658" t="n"/>
      <c r="D42" s="670" t="n"/>
      <c r="E42" s="756" t="inlineStr">
        <is>
          <t>OUTUBRO</t>
        </is>
      </c>
      <c r="F42" s="658" t="n"/>
      <c r="G42" s="658" t="n"/>
      <c r="H42" s="658" t="n"/>
      <c r="I42" s="670" t="n"/>
      <c r="J42" s="757" t="inlineStr">
        <is>
          <t>USOU ATÉ CRIANÇAS</t>
        </is>
      </c>
      <c r="K42" s="757" t="inlineStr">
        <is>
          <t>TOTAL GERAL</t>
        </is>
      </c>
    </row>
    <row r="43" ht="15.75" customHeight="1">
      <c r="A43" s="649" t="n"/>
      <c r="B43" s="379" t="n">
        <v>45922</v>
      </c>
      <c r="C43" s="379" t="n">
        <v>45929</v>
      </c>
      <c r="D43" s="380" t="inlineStr">
        <is>
          <t>USOU</t>
        </is>
      </c>
      <c r="E43" s="379" t="n">
        <v>45936</v>
      </c>
      <c r="F43" s="381" t="n">
        <v>45943</v>
      </c>
      <c r="G43" s="381" t="n">
        <v>45950</v>
      </c>
      <c r="H43" s="379" t="n">
        <v>45957</v>
      </c>
      <c r="I43" s="382" t="inlineStr">
        <is>
          <t>USOU</t>
        </is>
      </c>
      <c r="J43" s="649" t="n"/>
      <c r="K43" s="649" t="n"/>
    </row>
    <row r="44" ht="15.75" customHeight="1">
      <c r="A44" s="181" t="inlineStr">
        <is>
          <t>SACOLA M</t>
        </is>
      </c>
      <c r="B44" s="80" t="n">
        <v>0</v>
      </c>
      <c r="C44" s="80" t="n"/>
      <c r="D44" s="183">
        <f>B44+C44</f>
        <v/>
      </c>
      <c r="E44" s="80" t="n"/>
      <c r="F44" s="80" t="n"/>
      <c r="G44" s="80" t="n"/>
      <c r="H44" s="80" t="n"/>
      <c r="I44" s="183">
        <f>E44+F44+G44+H44</f>
        <v/>
      </c>
      <c r="J44" s="383">
        <f>B44+C44+E44+F44</f>
        <v/>
      </c>
      <c r="K44" s="384">
        <f>D44+I44</f>
        <v/>
      </c>
    </row>
    <row r="45" ht="15.75" customHeight="1">
      <c r="A45" s="181" t="inlineStr">
        <is>
          <t>PAPEL DE SEDA</t>
        </is>
      </c>
      <c r="B45" s="80" t="n">
        <v>0</v>
      </c>
      <c r="C45" s="80" t="n"/>
      <c r="D45" s="183">
        <f>B45+C45</f>
        <v/>
      </c>
      <c r="E45" s="80" t="n"/>
      <c r="F45" s="80" t="n"/>
      <c r="G45" s="80" t="n"/>
      <c r="H45" s="80" t="n"/>
      <c r="I45" s="183">
        <f>E45+F45+G45+H45</f>
        <v/>
      </c>
      <c r="J45" s="383">
        <f>B45+C45+E45+F45</f>
        <v/>
      </c>
      <c r="K45" s="384">
        <f>D45+I45</f>
        <v/>
      </c>
    </row>
    <row r="46" ht="15.75" customHeight="1">
      <c r="A46" s="106" t="inlineStr">
        <is>
          <t xml:space="preserve">TAGS </t>
        </is>
      </c>
      <c r="B46" s="80" t="n">
        <v>0</v>
      </c>
      <c r="C46" s="80" t="n"/>
      <c r="D46" s="183">
        <f>B46+C46</f>
        <v/>
      </c>
      <c r="E46" s="80" t="n"/>
      <c r="F46" s="80" t="n"/>
      <c r="G46" s="80" t="n"/>
      <c r="H46" s="80" t="n"/>
      <c r="I46" s="183">
        <f>E46+F46+G46+H46</f>
        <v/>
      </c>
      <c r="J46" s="383">
        <f>B46+C46+E46+F46</f>
        <v/>
      </c>
      <c r="K46" s="384">
        <f>D46+I46</f>
        <v/>
      </c>
    </row>
    <row r="47" ht="15.75" customHeight="1">
      <c r="A47" s="94" t="inlineStr">
        <is>
          <t>TOTAL DE SACOLAS</t>
        </is>
      </c>
      <c r="B47" s="95">
        <f>B44</f>
        <v/>
      </c>
      <c r="C47" s="95">
        <f>C44</f>
        <v/>
      </c>
      <c r="D47" s="95">
        <f>D44</f>
        <v/>
      </c>
      <c r="E47" s="95">
        <f>E44</f>
        <v/>
      </c>
      <c r="F47" s="95">
        <f>F44</f>
        <v/>
      </c>
      <c r="G47" s="95">
        <f>G44</f>
        <v/>
      </c>
      <c r="H47" s="95">
        <f>H44</f>
        <v/>
      </c>
      <c r="I47" s="95">
        <f>I44</f>
        <v/>
      </c>
      <c r="J47" s="385">
        <f>J44</f>
        <v/>
      </c>
      <c r="K47" s="386">
        <f>D44+I44</f>
        <v/>
      </c>
    </row>
    <row r="49" ht="15.75" customHeight="1">
      <c r="A49" s="756" t="inlineStr">
        <is>
          <t>GASTO DE SACOLAS E ITENS DOADOS HOMEM ARANHA/25 - MENSAIS</t>
        </is>
      </c>
      <c r="B49" s="658" t="n"/>
      <c r="C49" s="658" t="n"/>
      <c r="D49" s="658" t="n"/>
      <c r="E49" s="658" t="n"/>
      <c r="F49" s="658" t="n"/>
      <c r="G49" s="658" t="n"/>
      <c r="H49" s="658" t="n"/>
      <c r="I49" s="658" t="n"/>
      <c r="J49" s="658" t="n"/>
      <c r="K49" s="670" t="n"/>
    </row>
    <row r="50" ht="15.75" customHeight="1">
      <c r="A50" s="756" t="inlineStr">
        <is>
          <t>CD PRAIA</t>
        </is>
      </c>
      <c r="B50" s="756" t="inlineStr">
        <is>
          <t>SETEMBRO</t>
        </is>
      </c>
      <c r="C50" s="658" t="n"/>
      <c r="D50" s="670" t="n"/>
      <c r="E50" s="756" t="inlineStr">
        <is>
          <t>OUTUBRO</t>
        </is>
      </c>
      <c r="F50" s="658" t="n"/>
      <c r="G50" s="658" t="n"/>
      <c r="H50" s="658" t="n"/>
      <c r="I50" s="670" t="n"/>
      <c r="J50" s="757" t="inlineStr">
        <is>
          <t>USOU ATÉ CRIANÇAS</t>
        </is>
      </c>
      <c r="K50" s="757" t="inlineStr">
        <is>
          <t>TOTAL GERAL</t>
        </is>
      </c>
    </row>
    <row r="51" ht="15.75" customHeight="1">
      <c r="A51" s="649" t="n"/>
      <c r="B51" s="379" t="n">
        <v>45922</v>
      </c>
      <c r="C51" s="379" t="n">
        <v>45929</v>
      </c>
      <c r="D51" s="380" t="inlineStr">
        <is>
          <t>USOU</t>
        </is>
      </c>
      <c r="E51" s="379" t="n">
        <v>45936</v>
      </c>
      <c r="F51" s="381" t="n">
        <v>45943</v>
      </c>
      <c r="G51" s="381" t="n">
        <v>45950</v>
      </c>
      <c r="H51" s="379" t="n">
        <v>45957</v>
      </c>
      <c r="I51" s="382" t="inlineStr">
        <is>
          <t>USOU</t>
        </is>
      </c>
      <c r="J51" s="649" t="n"/>
      <c r="K51" s="649" t="n"/>
    </row>
    <row r="52" ht="15.75" customHeight="1">
      <c r="A52" s="181" t="inlineStr">
        <is>
          <t>SACOLA M</t>
        </is>
      </c>
      <c r="B52" s="80" t="n">
        <v>0</v>
      </c>
      <c r="C52" s="80" t="n"/>
      <c r="D52" s="183">
        <f>B52+C52</f>
        <v/>
      </c>
      <c r="E52" s="80" t="n"/>
      <c r="F52" s="80" t="n"/>
      <c r="G52" s="80" t="n"/>
      <c r="H52" s="80" t="n"/>
      <c r="I52" s="183">
        <f>E52+F52+G52+H52</f>
        <v/>
      </c>
      <c r="J52" s="383">
        <f>B52+C52+E52+F52</f>
        <v/>
      </c>
      <c r="K52" s="384">
        <f>D52+I52</f>
        <v/>
      </c>
    </row>
    <row r="53" ht="15.75" customHeight="1">
      <c r="A53" s="181" t="inlineStr">
        <is>
          <t>PAPEL DE SEDA</t>
        </is>
      </c>
      <c r="B53" s="80" t="n">
        <v>0</v>
      </c>
      <c r="C53" s="80" t="n"/>
      <c r="D53" s="183">
        <f>B53+C53</f>
        <v/>
      </c>
      <c r="E53" s="80" t="n"/>
      <c r="F53" s="80" t="n"/>
      <c r="G53" s="80" t="n"/>
      <c r="H53" s="80" t="n"/>
      <c r="I53" s="183">
        <f>E53+F53+G53+H53</f>
        <v/>
      </c>
      <c r="J53" s="383">
        <f>B53+C53+E53+F53</f>
        <v/>
      </c>
      <c r="K53" s="384">
        <f>D53+I53</f>
        <v/>
      </c>
    </row>
    <row r="54" ht="15.75" customHeight="1">
      <c r="A54" s="106" t="inlineStr">
        <is>
          <t xml:space="preserve">TAGS </t>
        </is>
      </c>
      <c r="B54" s="80" t="n">
        <v>0</v>
      </c>
      <c r="C54" s="80" t="n"/>
      <c r="D54" s="183">
        <f>B54+C54</f>
        <v/>
      </c>
      <c r="E54" s="80" t="n"/>
      <c r="F54" s="80" t="n"/>
      <c r="G54" s="80" t="n"/>
      <c r="H54" s="80" t="n"/>
      <c r="I54" s="183">
        <f>E54+F54+G54+H54</f>
        <v/>
      </c>
      <c r="J54" s="383">
        <f>B54+C54+E54+F54</f>
        <v/>
      </c>
      <c r="K54" s="384">
        <f>D54+I54</f>
        <v/>
      </c>
    </row>
    <row r="55" ht="15.75" customHeight="1">
      <c r="A55" s="94" t="inlineStr">
        <is>
          <t>TOTAL DE SACOLAS</t>
        </is>
      </c>
      <c r="B55" s="95">
        <f>B52</f>
        <v/>
      </c>
      <c r="C55" s="95">
        <f>C52</f>
        <v/>
      </c>
      <c r="D55" s="95">
        <f>D52</f>
        <v/>
      </c>
      <c r="E55" s="95">
        <f>E52</f>
        <v/>
      </c>
      <c r="F55" s="95">
        <f>F52</f>
        <v/>
      </c>
      <c r="G55" s="95">
        <f>G52</f>
        <v/>
      </c>
      <c r="H55" s="95">
        <f>H52</f>
        <v/>
      </c>
      <c r="I55" s="95">
        <f>I52</f>
        <v/>
      </c>
      <c r="J55" s="385">
        <f>J52</f>
        <v/>
      </c>
      <c r="K55" s="386">
        <f>D52+I52</f>
        <v/>
      </c>
    </row>
    <row r="57" ht="15.75" customHeight="1">
      <c r="A57" s="756" t="inlineStr">
        <is>
          <t>GASTO DE SACOLAS E ITENS DOADOS HOMEM ARANHA/25 - MENSAIS</t>
        </is>
      </c>
      <c r="B57" s="658" t="n"/>
      <c r="C57" s="658" t="n"/>
      <c r="D57" s="658" t="n"/>
      <c r="E57" s="658" t="n"/>
      <c r="F57" s="658" t="n"/>
      <c r="G57" s="658" t="n"/>
      <c r="H57" s="658" t="n"/>
      <c r="I57" s="658" t="n"/>
      <c r="J57" s="658" t="n"/>
      <c r="K57" s="670" t="n"/>
    </row>
    <row r="58" ht="15.75" customHeight="1">
      <c r="A58" s="756" t="inlineStr">
        <is>
          <t>ER PRAIA</t>
        </is>
      </c>
      <c r="B58" s="756" t="inlineStr">
        <is>
          <t>SETEMBRO</t>
        </is>
      </c>
      <c r="C58" s="658" t="n"/>
      <c r="D58" s="670" t="n"/>
      <c r="E58" s="756" t="inlineStr">
        <is>
          <t>OUTUBRO</t>
        </is>
      </c>
      <c r="F58" s="658" t="n"/>
      <c r="G58" s="658" t="n"/>
      <c r="H58" s="658" t="n"/>
      <c r="I58" s="670" t="n"/>
      <c r="J58" s="757" t="inlineStr">
        <is>
          <t>USOU ATÉ CRIANÇAS</t>
        </is>
      </c>
      <c r="K58" s="757" t="inlineStr">
        <is>
          <t>TOTAL GERAL</t>
        </is>
      </c>
    </row>
    <row r="59" ht="15.75" customHeight="1">
      <c r="A59" s="649" t="n"/>
      <c r="B59" s="379" t="n">
        <v>45922</v>
      </c>
      <c r="C59" s="379" t="n">
        <v>45929</v>
      </c>
      <c r="D59" s="380" t="inlineStr">
        <is>
          <t>USOU</t>
        </is>
      </c>
      <c r="E59" s="379" t="n">
        <v>45936</v>
      </c>
      <c r="F59" s="381" t="n">
        <v>45943</v>
      </c>
      <c r="G59" s="381" t="n">
        <v>45950</v>
      </c>
      <c r="H59" s="379" t="n">
        <v>45957</v>
      </c>
      <c r="I59" s="382" t="inlineStr">
        <is>
          <t>USOU</t>
        </is>
      </c>
      <c r="J59" s="649" t="n"/>
      <c r="K59" s="649" t="n"/>
    </row>
    <row r="60" ht="15.75" customHeight="1">
      <c r="A60" s="181" t="inlineStr">
        <is>
          <t>SACOLA M</t>
        </is>
      </c>
      <c r="B60" s="80" t="n">
        <v>0</v>
      </c>
      <c r="C60" s="80" t="n"/>
      <c r="D60" s="183">
        <f>B60+C60</f>
        <v/>
      </c>
      <c r="E60" s="80" t="n"/>
      <c r="F60" s="80" t="n"/>
      <c r="G60" s="80" t="n"/>
      <c r="H60" s="80" t="n"/>
      <c r="I60" s="183">
        <f>E60+F60+G60+H60</f>
        <v/>
      </c>
      <c r="J60" s="383">
        <f>B60+C60+E60+F60</f>
        <v/>
      </c>
      <c r="K60" s="384">
        <f>D60+I60</f>
        <v/>
      </c>
    </row>
    <row r="61" ht="15.75" customHeight="1">
      <c r="A61" s="181" t="inlineStr">
        <is>
          <t>PAPEL DE SEDA</t>
        </is>
      </c>
      <c r="B61" s="80" t="n">
        <v>0</v>
      </c>
      <c r="C61" s="80" t="n"/>
      <c r="D61" s="183">
        <f>B61+C61</f>
        <v/>
      </c>
      <c r="E61" s="80" t="n"/>
      <c r="F61" s="80" t="n"/>
      <c r="G61" s="80" t="n"/>
      <c r="H61" s="80" t="n"/>
      <c r="I61" s="183">
        <f>E61+F61+G61+H61</f>
        <v/>
      </c>
      <c r="J61" s="383">
        <f>B61+C61+E61+F61</f>
        <v/>
      </c>
      <c r="K61" s="384">
        <f>D61+I61</f>
        <v/>
      </c>
    </row>
    <row r="62" ht="15.75" customHeight="1">
      <c r="A62" s="106" t="inlineStr">
        <is>
          <t xml:space="preserve">TAGS </t>
        </is>
      </c>
      <c r="B62" s="80" t="n">
        <v>0</v>
      </c>
      <c r="C62" s="80" t="n"/>
      <c r="D62" s="183">
        <f>B62+C62</f>
        <v/>
      </c>
      <c r="E62" s="80" t="n"/>
      <c r="F62" s="80" t="n"/>
      <c r="G62" s="80" t="n"/>
      <c r="H62" s="80" t="n"/>
      <c r="I62" s="183">
        <f>E62+F62+G62+H62</f>
        <v/>
      </c>
      <c r="J62" s="383">
        <f>B62+C62+E62+F62</f>
        <v/>
      </c>
      <c r="K62" s="384">
        <f>D62+I62</f>
        <v/>
      </c>
    </row>
    <row r="63" ht="15.75" customHeight="1">
      <c r="A63" s="94" t="inlineStr">
        <is>
          <t>TOTAL DE SACOLAS</t>
        </is>
      </c>
      <c r="B63" s="95">
        <f>B60</f>
        <v/>
      </c>
      <c r="C63" s="95">
        <f>C60</f>
        <v/>
      </c>
      <c r="D63" s="95">
        <f>D60</f>
        <v/>
      </c>
      <c r="E63" s="95">
        <f>E60</f>
        <v/>
      </c>
      <c r="F63" s="95">
        <f>F60</f>
        <v/>
      </c>
      <c r="G63" s="95">
        <f>G60</f>
        <v/>
      </c>
      <c r="H63" s="95">
        <f>H60</f>
        <v/>
      </c>
      <c r="I63" s="95">
        <f>I60</f>
        <v/>
      </c>
      <c r="J63" s="385">
        <f>J60</f>
        <v/>
      </c>
      <c r="K63" s="386">
        <f>D60+I60</f>
        <v/>
      </c>
    </row>
    <row r="65" ht="15.75" customHeight="1">
      <c r="A65" s="756" t="inlineStr">
        <is>
          <t>GASTO DE SACOLAS E ITENS DOADOS HOMEM ARANHA/25 - MENSAIS</t>
        </is>
      </c>
      <c r="B65" s="658" t="n"/>
      <c r="C65" s="658" t="n"/>
      <c r="D65" s="658" t="n"/>
      <c r="E65" s="658" t="n"/>
      <c r="F65" s="658" t="n"/>
      <c r="G65" s="658" t="n"/>
      <c r="H65" s="658" t="n"/>
      <c r="I65" s="658" t="n"/>
      <c r="J65" s="658" t="n"/>
      <c r="K65" s="670" t="n"/>
    </row>
    <row r="66" ht="15.75" customHeight="1">
      <c r="A66" s="756" t="inlineStr">
        <is>
          <t>ER PERUÍBE</t>
        </is>
      </c>
      <c r="B66" s="756" t="inlineStr">
        <is>
          <t>SETEMBRO</t>
        </is>
      </c>
      <c r="C66" s="658" t="n"/>
      <c r="D66" s="670" t="n"/>
      <c r="E66" s="756" t="inlineStr">
        <is>
          <t>OUTUBRO</t>
        </is>
      </c>
      <c r="F66" s="658" t="n"/>
      <c r="G66" s="658" t="n"/>
      <c r="H66" s="658" t="n"/>
      <c r="I66" s="670" t="n"/>
      <c r="J66" s="757" t="inlineStr">
        <is>
          <t>USOU ATÉ CRIANÇAS</t>
        </is>
      </c>
      <c r="K66" s="757" t="inlineStr">
        <is>
          <t>TOTAL GERAL</t>
        </is>
      </c>
    </row>
    <row r="67" ht="15.75" customHeight="1">
      <c r="A67" s="649" t="n"/>
      <c r="B67" s="379" t="n">
        <v>45922</v>
      </c>
      <c r="C67" s="379" t="n">
        <v>45929</v>
      </c>
      <c r="D67" s="380" t="inlineStr">
        <is>
          <t>USOU</t>
        </is>
      </c>
      <c r="E67" s="379" t="n">
        <v>45936</v>
      </c>
      <c r="F67" s="381" t="n">
        <v>45943</v>
      </c>
      <c r="G67" s="381" t="n">
        <v>45950</v>
      </c>
      <c r="H67" s="379" t="n">
        <v>45957</v>
      </c>
      <c r="I67" s="382" t="inlineStr">
        <is>
          <t>USOU</t>
        </is>
      </c>
      <c r="J67" s="649" t="n"/>
      <c r="K67" s="649" t="n"/>
    </row>
    <row r="68" ht="15.75" customHeight="1">
      <c r="A68" s="181" t="inlineStr">
        <is>
          <t>SACOLA M</t>
        </is>
      </c>
      <c r="B68" s="80" t="n">
        <v>0</v>
      </c>
      <c r="C68" s="80" t="n"/>
      <c r="D68" s="183">
        <f>B68+C68</f>
        <v/>
      </c>
      <c r="E68" s="80" t="n"/>
      <c r="F68" s="80" t="n"/>
      <c r="G68" s="80" t="n"/>
      <c r="H68" s="80" t="n"/>
      <c r="I68" s="183">
        <f>E68+F68+G68+H68</f>
        <v/>
      </c>
      <c r="J68" s="383">
        <f>B68+C68+E68+F68</f>
        <v/>
      </c>
      <c r="K68" s="384">
        <f>D68+I68</f>
        <v/>
      </c>
    </row>
    <row r="69" ht="15.75" customHeight="1">
      <c r="A69" s="181" t="inlineStr">
        <is>
          <t>PAPEL DE SEDA</t>
        </is>
      </c>
      <c r="B69" s="80" t="n">
        <v>0</v>
      </c>
      <c r="C69" s="80" t="n"/>
      <c r="D69" s="183">
        <f>B69+C69</f>
        <v/>
      </c>
      <c r="E69" s="80" t="n"/>
      <c r="F69" s="80" t="n"/>
      <c r="G69" s="80" t="n"/>
      <c r="H69" s="80" t="n"/>
      <c r="I69" s="183">
        <f>E69+F69+G69+H69</f>
        <v/>
      </c>
      <c r="J69" s="383">
        <f>B69+C69+E69+F69</f>
        <v/>
      </c>
      <c r="K69" s="384">
        <f>D69+I69</f>
        <v/>
      </c>
    </row>
    <row r="70" ht="15.75" customHeight="1">
      <c r="A70" s="106" t="inlineStr">
        <is>
          <t xml:space="preserve">TAGS </t>
        </is>
      </c>
      <c r="B70" s="80" t="n">
        <v>0</v>
      </c>
      <c r="C70" s="80" t="n"/>
      <c r="D70" s="183">
        <f>B70+C70</f>
        <v/>
      </c>
      <c r="E70" s="80" t="n"/>
      <c r="F70" s="80" t="n"/>
      <c r="G70" s="80" t="n"/>
      <c r="H70" s="80" t="n"/>
      <c r="I70" s="183">
        <f>E70+F70+G70+H70</f>
        <v/>
      </c>
      <c r="J70" s="383">
        <f>B70+C70+E70+F70</f>
        <v/>
      </c>
      <c r="K70" s="384">
        <f>D70+I70</f>
        <v/>
      </c>
    </row>
    <row r="71" ht="15.75" customHeight="1">
      <c r="A71" s="94" t="inlineStr">
        <is>
          <t>TOTAL DE SACOLAS</t>
        </is>
      </c>
      <c r="B71" s="95">
        <f>B68</f>
        <v/>
      </c>
      <c r="C71" s="95">
        <f>C68</f>
        <v/>
      </c>
      <c r="D71" s="95">
        <f>D68</f>
        <v/>
      </c>
      <c r="E71" s="95">
        <f>E68</f>
        <v/>
      </c>
      <c r="F71" s="95">
        <f>F68</f>
        <v/>
      </c>
      <c r="G71" s="95">
        <f>G68</f>
        <v/>
      </c>
      <c r="H71" s="95">
        <f>H68</f>
        <v/>
      </c>
      <c r="I71" s="95">
        <f>I68</f>
        <v/>
      </c>
      <c r="J71" s="385">
        <f>J68</f>
        <v/>
      </c>
      <c r="K71" s="386">
        <f>D68+I68</f>
        <v/>
      </c>
    </row>
  </sheetData>
  <mergeCells count="54">
    <mergeCell ref="B42:D42"/>
    <mergeCell ref="E50:I50"/>
    <mergeCell ref="K26:K27"/>
    <mergeCell ref="E42:I42"/>
    <mergeCell ref="J34:J35"/>
    <mergeCell ref="A49:K49"/>
    <mergeCell ref="A50:A51"/>
    <mergeCell ref="A1:K1"/>
    <mergeCell ref="A66:A67"/>
    <mergeCell ref="K50:K51"/>
    <mergeCell ref="B34:D34"/>
    <mergeCell ref="B10:D10"/>
    <mergeCell ref="A26:A27"/>
    <mergeCell ref="A25:K25"/>
    <mergeCell ref="E10:I10"/>
    <mergeCell ref="A41:K41"/>
    <mergeCell ref="A65:K65"/>
    <mergeCell ref="A2:A3"/>
    <mergeCell ref="A18:A19"/>
    <mergeCell ref="K2:K3"/>
    <mergeCell ref="K18:K19"/>
    <mergeCell ref="J26:J27"/>
    <mergeCell ref="K58:K59"/>
    <mergeCell ref="E34:I34"/>
    <mergeCell ref="J66:J67"/>
    <mergeCell ref="J18:J19"/>
    <mergeCell ref="A42:A43"/>
    <mergeCell ref="E2:I2"/>
    <mergeCell ref="B50:D50"/>
    <mergeCell ref="A33:K33"/>
    <mergeCell ref="K42:K43"/>
    <mergeCell ref="B26:D26"/>
    <mergeCell ref="J50:J51"/>
    <mergeCell ref="A57:K57"/>
    <mergeCell ref="K66:K67"/>
    <mergeCell ref="A10:A11"/>
    <mergeCell ref="E18:I18"/>
    <mergeCell ref="A17:K17"/>
    <mergeCell ref="E26:I26"/>
    <mergeCell ref="K34:K35"/>
    <mergeCell ref="K10:K11"/>
    <mergeCell ref="J2:J3"/>
    <mergeCell ref="J58:J59"/>
    <mergeCell ref="A9:K9"/>
    <mergeCell ref="B66:D66"/>
    <mergeCell ref="A34:A35"/>
    <mergeCell ref="J42:J43"/>
    <mergeCell ref="B18:D18"/>
    <mergeCell ref="B58:D58"/>
    <mergeCell ref="E66:I66"/>
    <mergeCell ref="A58:A59"/>
    <mergeCell ref="B2:D2"/>
    <mergeCell ref="E58:I5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3.xml><?xml version="1.0" encoding="utf-8"?>
<worksheet xmlns="http://schemas.openxmlformats.org/spreadsheetml/2006/main">
  <sheetPr codeName="Planilha18">
    <tabColor theme="9" tint="-0.499984740745262"/>
    <outlinePr summaryBelow="1" summaryRight="1"/>
    <pageSetUpPr/>
  </sheetPr>
  <dimension ref="A1:R59"/>
  <sheetViews>
    <sheetView topLeftCell="A37" zoomScale="85" zoomScaleNormal="85" workbookViewId="0">
      <selection activeCell="U60" sqref="U60"/>
    </sheetView>
  </sheetViews>
  <sheetFormatPr baseColWidth="8" defaultRowHeight="15"/>
  <cols>
    <col width="32.85546875" customWidth="1" min="1" max="1"/>
    <col width="9.5703125" customWidth="1" min="2" max="5"/>
    <col width="9.7109375" bestFit="1" customWidth="1" min="6" max="6"/>
    <col width="9" customWidth="1" min="9" max="9"/>
    <col width="10.7109375" customWidth="1" min="13" max="13"/>
    <col width="10" customWidth="1" min="14" max="14"/>
    <col width="9.5703125" customWidth="1" min="15" max="15"/>
    <col width="11.85546875" customWidth="1" min="18" max="18"/>
    <col width="10.85546875" bestFit="1" customWidth="1" min="23" max="23"/>
  </cols>
  <sheetData>
    <row r="1" ht="18" customHeight="1">
      <c r="A1" s="758" t="inlineStr">
        <is>
          <t>GASTO DE SACOLAS E ITENS DOADOS NATAL/2025 - MENSAIS</t>
        </is>
      </c>
      <c r="B1" s="750" t="n"/>
      <c r="C1" s="750" t="n"/>
      <c r="D1" s="750" t="n"/>
      <c r="E1" s="750" t="n"/>
      <c r="F1" s="750" t="n"/>
      <c r="G1" s="750" t="n"/>
      <c r="H1" s="750" t="n"/>
      <c r="I1" s="750" t="n"/>
      <c r="J1" s="750" t="n"/>
      <c r="K1" s="750" t="n"/>
      <c r="L1" s="750" t="n"/>
      <c r="M1" s="750" t="n"/>
      <c r="N1" s="751" t="n"/>
      <c r="P1" s="759" t="inlineStr">
        <is>
          <t>INÍCIO UTILIZAÇÃO</t>
        </is>
      </c>
      <c r="Q1" s="670" t="n"/>
    </row>
    <row r="2" ht="18" customHeight="1">
      <c r="A2" s="599" t="inlineStr">
        <is>
          <t>PLAZA</t>
        </is>
      </c>
      <c r="B2" s="760" t="inlineStr">
        <is>
          <t>NOVEMBRO</t>
        </is>
      </c>
      <c r="C2" s="658" t="n"/>
      <c r="D2" s="658" t="n"/>
      <c r="E2" s="658" t="n"/>
      <c r="F2" s="670" t="n"/>
      <c r="G2" s="760" t="inlineStr">
        <is>
          <t>DEZEMBRO</t>
        </is>
      </c>
      <c r="H2" s="658" t="n"/>
      <c r="I2" s="658" t="n"/>
      <c r="J2" s="658" t="n"/>
      <c r="K2" s="658" t="n"/>
      <c r="L2" s="670" t="n"/>
      <c r="M2" s="605" t="inlineStr">
        <is>
          <t>USOU ATÉ NATAL</t>
        </is>
      </c>
      <c r="N2" s="607" t="inlineStr">
        <is>
          <t>TOTAL GERAL</t>
        </is>
      </c>
      <c r="P2" s="219" t="inlineStr">
        <is>
          <t>VD</t>
        </is>
      </c>
      <c r="Q2" s="761" t="n">
        <v>45964</v>
      </c>
      <c r="R2" s="604" t="inlineStr">
        <is>
          <t>CICLO 16</t>
        </is>
      </c>
    </row>
    <row r="3" ht="15.75" customHeight="1">
      <c r="A3" s="753" t="n"/>
      <c r="B3" s="225" t="n">
        <v>45964</v>
      </c>
      <c r="C3" s="226" t="n">
        <v>45971</v>
      </c>
      <c r="D3" s="226" t="n">
        <v>45978</v>
      </c>
      <c r="E3" s="225" t="n">
        <v>45985</v>
      </c>
      <c r="F3" s="227" t="inlineStr">
        <is>
          <t>USOU</t>
        </is>
      </c>
      <c r="G3" s="225" t="n">
        <v>45992</v>
      </c>
      <c r="H3" s="226" t="n">
        <v>45999</v>
      </c>
      <c r="I3" s="226" t="n">
        <v>46006</v>
      </c>
      <c r="J3" s="226" t="n">
        <v>46013</v>
      </c>
      <c r="K3" s="225" t="n">
        <v>46020</v>
      </c>
      <c r="L3" s="227" t="inlineStr">
        <is>
          <t>USOU</t>
        </is>
      </c>
      <c r="M3" s="754" t="n"/>
      <c r="N3" s="755" t="n"/>
      <c r="P3" s="219" t="inlineStr">
        <is>
          <t>LOJA</t>
        </is>
      </c>
      <c r="Q3" s="761" t="n">
        <v>45964</v>
      </c>
      <c r="R3" s="762" t="n"/>
    </row>
    <row r="4" ht="15.75" customHeight="1">
      <c r="A4" s="181" t="inlineStr">
        <is>
          <t>SACOLA P</t>
        </is>
      </c>
      <c r="B4" s="80" t="n">
        <v>200</v>
      </c>
      <c r="C4" s="80" t="n">
        <v>1000</v>
      </c>
      <c r="D4" s="80" t="n">
        <v>400</v>
      </c>
      <c r="E4" s="80" t="n">
        <v>800</v>
      </c>
      <c r="F4" s="183">
        <f>B4+C4+D4+E4</f>
        <v/>
      </c>
      <c r="G4" s="80" t="n">
        <v>1000</v>
      </c>
      <c r="H4" s="80" t="n">
        <v>0</v>
      </c>
      <c r="I4" s="80" t="n">
        <v>0</v>
      </c>
      <c r="J4" s="80" t="n"/>
      <c r="K4" s="80" t="n"/>
      <c r="L4" s="183">
        <f>G4+H4+I4+J4+K4</f>
        <v/>
      </c>
      <c r="M4" s="401">
        <f>B4+C4+D4+E4+G4+H4+I4+J4</f>
        <v/>
      </c>
      <c r="N4" s="228">
        <f>F4+L4</f>
        <v/>
      </c>
    </row>
    <row r="5" ht="15.75" customHeight="1">
      <c r="A5" s="181" t="inlineStr">
        <is>
          <t>SACOLA M</t>
        </is>
      </c>
      <c r="B5" s="80" t="n">
        <v>0</v>
      </c>
      <c r="C5" s="80" t="n">
        <v>800</v>
      </c>
      <c r="D5" s="80" t="n">
        <v>200</v>
      </c>
      <c r="E5" s="80" t="n">
        <v>600</v>
      </c>
      <c r="F5" s="183">
        <f>B5+C5+D5+E5</f>
        <v/>
      </c>
      <c r="G5" s="80" t="n">
        <v>400</v>
      </c>
      <c r="H5" s="80" t="n">
        <v>200</v>
      </c>
      <c r="I5" s="80" t="n">
        <v>1200</v>
      </c>
      <c r="J5" s="80" t="n"/>
      <c r="K5" s="80" t="n"/>
      <c r="L5" s="183">
        <f>G5+H5+I5+J5+K5</f>
        <v/>
      </c>
      <c r="M5" s="401">
        <f>B5+C5+D5+E5+G5+H5+I5+J5</f>
        <v/>
      </c>
      <c r="N5" s="228">
        <f>F5+L5</f>
        <v/>
      </c>
    </row>
    <row r="6" ht="15.75" customHeight="1">
      <c r="A6" s="181" t="inlineStr">
        <is>
          <t>SACOLA G</t>
        </is>
      </c>
      <c r="B6" s="80" t="n">
        <v>0</v>
      </c>
      <c r="C6" s="80" t="n">
        <v>200</v>
      </c>
      <c r="D6" s="80" t="n">
        <v>100</v>
      </c>
      <c r="E6" s="80" t="n">
        <v>100</v>
      </c>
      <c r="F6" s="183">
        <f>B6+C6+D6+E6</f>
        <v/>
      </c>
      <c r="G6" s="80" t="n">
        <v>0</v>
      </c>
      <c r="H6" s="80" t="n">
        <v>0</v>
      </c>
      <c r="I6" s="80" t="n">
        <v>200</v>
      </c>
      <c r="J6" s="80" t="n"/>
      <c r="K6" s="80" t="n"/>
      <c r="L6" s="183">
        <f>G6+H6+I6+J6+K6</f>
        <v/>
      </c>
      <c r="M6" s="401">
        <f>B6+C6+D6+E6+G6+H6+I6+J6</f>
        <v/>
      </c>
      <c r="N6" s="228">
        <f>F6+L6</f>
        <v/>
      </c>
    </row>
    <row r="7" ht="15.75" customHeight="1">
      <c r="A7" s="106" t="inlineStr">
        <is>
          <t xml:space="preserve">PAPEL DE SEDA </t>
        </is>
      </c>
      <c r="B7" s="80" t="n">
        <v>0</v>
      </c>
      <c r="C7" s="80" t="n">
        <v>7</v>
      </c>
      <c r="D7" s="80" t="n">
        <v>4</v>
      </c>
      <c r="E7" s="80" t="n">
        <v>3</v>
      </c>
      <c r="F7" s="183">
        <f>B7+C7+D7+E7</f>
        <v/>
      </c>
      <c r="G7" s="80" t="n">
        <v>5</v>
      </c>
      <c r="H7" s="80" t="n">
        <v>8</v>
      </c>
      <c r="I7" s="80" t="n">
        <v>8</v>
      </c>
      <c r="J7" s="80" t="n"/>
      <c r="K7" s="80" t="n"/>
      <c r="L7" s="183">
        <f>G7+H7+I7+J7+K7</f>
        <v/>
      </c>
      <c r="M7" s="401">
        <f>B7+C7+D7+E7+G7+H7+I7+J7</f>
        <v/>
      </c>
      <c r="N7" s="228">
        <f>F7+L7</f>
        <v/>
      </c>
    </row>
    <row r="8" ht="15.75" customHeight="1">
      <c r="A8" s="106" t="inlineStr">
        <is>
          <t xml:space="preserve">TAGS </t>
        </is>
      </c>
      <c r="B8" s="80" t="n">
        <v>0</v>
      </c>
      <c r="C8" s="80" t="n">
        <v>3</v>
      </c>
      <c r="D8" s="80" t="n">
        <v>0</v>
      </c>
      <c r="E8" s="80" t="n">
        <v>4</v>
      </c>
      <c r="F8" s="183">
        <f>B8+C8+D8+E8</f>
        <v/>
      </c>
      <c r="G8" s="80" t="n">
        <v>0</v>
      </c>
      <c r="H8" s="80" t="n">
        <v>6</v>
      </c>
      <c r="I8" s="80" t="n">
        <v>6</v>
      </c>
      <c r="J8" s="80" t="n"/>
      <c r="K8" s="80" t="n"/>
      <c r="L8" s="183">
        <f>G8+H8+I8+J8+K8</f>
        <v/>
      </c>
      <c r="M8" s="401">
        <f>B8+C8+D8+E8+G8+H8+I8+J8</f>
        <v/>
      </c>
      <c r="N8" s="228">
        <f>F8+L8</f>
        <v/>
      </c>
    </row>
    <row r="9" ht="15.75" customHeight="1">
      <c r="A9" s="94" t="inlineStr">
        <is>
          <t>TOTAL DE SACOLAS</t>
        </is>
      </c>
      <c r="B9" s="95">
        <f>B4+B5+B6</f>
        <v/>
      </c>
      <c r="C9" s="95">
        <f>C4+C5+C6</f>
        <v/>
      </c>
      <c r="D9" s="95">
        <f>D4+D5+D6</f>
        <v/>
      </c>
      <c r="E9" s="95">
        <f>E4+E5+E6</f>
        <v/>
      </c>
      <c r="F9" s="95">
        <f>F4+F5+F6</f>
        <v/>
      </c>
      <c r="G9" s="95">
        <f>G4+G5+G6</f>
        <v/>
      </c>
      <c r="H9" s="95">
        <f>H4+H5+H6</f>
        <v/>
      </c>
      <c r="I9" s="95">
        <f>I4+I5+I6</f>
        <v/>
      </c>
      <c r="J9" s="95">
        <f>J4+J5+J6</f>
        <v/>
      </c>
      <c r="K9" s="95">
        <f>K4+K5+K6</f>
        <v/>
      </c>
      <c r="L9" s="221">
        <f>L4+L5+L6</f>
        <v/>
      </c>
      <c r="M9" s="229">
        <f>M4+M5+M6</f>
        <v/>
      </c>
      <c r="N9" s="229">
        <f>N4+N5+N6</f>
        <v/>
      </c>
    </row>
    <row r="11" ht="15.75" customHeight="1">
      <c r="A11" s="758" t="inlineStr">
        <is>
          <t>GASTO DE SACOLAS E ITENS DOADOS NATAL/2025 - MENSAIS</t>
        </is>
      </c>
      <c r="B11" s="750" t="n"/>
      <c r="C11" s="750" t="n"/>
      <c r="D11" s="750" t="n"/>
      <c r="E11" s="750" t="n"/>
      <c r="F11" s="750" t="n"/>
      <c r="G11" s="750" t="n"/>
      <c r="H11" s="750" t="n"/>
      <c r="I11" s="750" t="n"/>
      <c r="J11" s="750" t="n"/>
      <c r="K11" s="750" t="n"/>
      <c r="L11" s="750" t="n"/>
      <c r="M11" s="750" t="n"/>
      <c r="N11" s="751" t="n"/>
    </row>
    <row r="12" ht="15.75" customHeight="1">
      <c r="A12" s="599" t="inlineStr">
        <is>
          <t>BOQUEIRÃO</t>
        </is>
      </c>
      <c r="B12" s="760" t="inlineStr">
        <is>
          <t>NOVEMBRO</t>
        </is>
      </c>
      <c r="C12" s="658" t="n"/>
      <c r="D12" s="658" t="n"/>
      <c r="E12" s="658" t="n"/>
      <c r="F12" s="670" t="n"/>
      <c r="G12" s="760" t="inlineStr">
        <is>
          <t>DEZEMBRO</t>
        </is>
      </c>
      <c r="H12" s="658" t="n"/>
      <c r="I12" s="658" t="n"/>
      <c r="J12" s="658" t="n"/>
      <c r="K12" s="658" t="n"/>
      <c r="L12" s="670" t="n"/>
      <c r="M12" s="605" t="inlineStr">
        <is>
          <t>USOU ATÉ NATAL</t>
        </is>
      </c>
      <c r="N12" s="607" t="inlineStr">
        <is>
          <t>TOTAL GERAL</t>
        </is>
      </c>
    </row>
    <row r="13" ht="18" customHeight="1">
      <c r="A13" s="753" t="n"/>
      <c r="B13" s="225" t="n">
        <v>45964</v>
      </c>
      <c r="C13" s="226" t="n">
        <v>45971</v>
      </c>
      <c r="D13" s="226" t="n">
        <v>45978</v>
      </c>
      <c r="E13" s="225" t="n">
        <v>45985</v>
      </c>
      <c r="F13" s="227" t="inlineStr">
        <is>
          <t>USOU</t>
        </is>
      </c>
      <c r="G13" s="225" t="n">
        <v>45992</v>
      </c>
      <c r="H13" s="226" t="n">
        <v>45999</v>
      </c>
      <c r="I13" s="226" t="n">
        <v>46006</v>
      </c>
      <c r="J13" s="226" t="n">
        <v>46013</v>
      </c>
      <c r="K13" s="225" t="n">
        <v>46020</v>
      </c>
      <c r="L13" s="227" t="inlineStr">
        <is>
          <t>USOU</t>
        </is>
      </c>
      <c r="M13" s="754" t="n"/>
      <c r="N13" s="755" t="n"/>
    </row>
    <row r="14" ht="15.75" customHeight="1">
      <c r="A14" s="181" t="inlineStr">
        <is>
          <t>SACOLA P</t>
        </is>
      </c>
      <c r="B14" s="80" t="n">
        <v>0</v>
      </c>
      <c r="C14" s="80" t="n">
        <v>400</v>
      </c>
      <c r="D14" s="80" t="n">
        <v>400</v>
      </c>
      <c r="E14" s="80" t="n">
        <v>300</v>
      </c>
      <c r="F14" s="183">
        <f>B14+C14+D14+E14</f>
        <v/>
      </c>
      <c r="G14" s="80" t="n">
        <v>420</v>
      </c>
      <c r="H14" s="80" t="n">
        <v>0</v>
      </c>
      <c r="I14" s="80" t="n">
        <v>480</v>
      </c>
      <c r="J14" s="80" t="n"/>
      <c r="K14" s="80" t="n"/>
      <c r="L14" s="183">
        <f>G14+H14+I14+J14+K14</f>
        <v/>
      </c>
      <c r="M14" s="401">
        <f>B14+C14+D14+E14+G14+H14+I14+J14</f>
        <v/>
      </c>
      <c r="N14" s="228">
        <f>F14+L14</f>
        <v/>
      </c>
    </row>
    <row r="15" ht="15.75" customHeight="1">
      <c r="A15" s="181" t="inlineStr">
        <is>
          <t>SACOLA M</t>
        </is>
      </c>
      <c r="B15" s="80" t="n">
        <v>0</v>
      </c>
      <c r="C15" s="80" t="n">
        <v>200</v>
      </c>
      <c r="D15" s="80" t="n">
        <v>400</v>
      </c>
      <c r="E15" s="80" t="n">
        <v>0</v>
      </c>
      <c r="F15" s="183">
        <f>B15+C15+D15+E15</f>
        <v/>
      </c>
      <c r="G15" s="80" t="n">
        <v>400</v>
      </c>
      <c r="H15" s="80" t="n">
        <v>300</v>
      </c>
      <c r="I15" s="80" t="n">
        <v>280</v>
      </c>
      <c r="J15" s="80" t="n"/>
      <c r="K15" s="80" t="n"/>
      <c r="L15" s="183">
        <f>G15+H15+I15+J15+K15</f>
        <v/>
      </c>
      <c r="M15" s="401">
        <f>B15+C15+D15+E15+G15+H15+I15+J15</f>
        <v/>
      </c>
      <c r="N15" s="228">
        <f>F15+L15</f>
        <v/>
      </c>
    </row>
    <row r="16" ht="15.75" customHeight="1">
      <c r="A16" s="181" t="inlineStr">
        <is>
          <t>SACOLA G</t>
        </is>
      </c>
      <c r="B16" s="80" t="n">
        <v>0</v>
      </c>
      <c r="C16" s="80" t="n">
        <v>100</v>
      </c>
      <c r="D16" s="80" t="n">
        <v>0</v>
      </c>
      <c r="E16" s="80" t="n">
        <v>100</v>
      </c>
      <c r="F16" s="183">
        <f>B16+C16+D16+E16</f>
        <v/>
      </c>
      <c r="G16" s="80" t="n">
        <v>40</v>
      </c>
      <c r="H16" s="80" t="n">
        <v>60</v>
      </c>
      <c r="I16" s="80" t="n">
        <v>105</v>
      </c>
      <c r="J16" s="80" t="n"/>
      <c r="K16" s="80" t="n"/>
      <c r="L16" s="183">
        <f>G16+H16+I16+J16+K16</f>
        <v/>
      </c>
      <c r="M16" s="401">
        <f>B16+C16+D16+E16+G16+H16+I16+J16</f>
        <v/>
      </c>
      <c r="N16" s="228">
        <f>F16+L16</f>
        <v/>
      </c>
    </row>
    <row r="17" ht="15.75" customHeight="1">
      <c r="A17" s="106" t="inlineStr">
        <is>
          <t xml:space="preserve">PAPEL DE SEDA </t>
        </is>
      </c>
      <c r="B17" s="80" t="n">
        <v>1</v>
      </c>
      <c r="C17" s="80" t="n">
        <v>0</v>
      </c>
      <c r="D17" s="80" t="n">
        <v>4</v>
      </c>
      <c r="E17" s="80" t="n">
        <v>2</v>
      </c>
      <c r="F17" s="183">
        <f>B17+C17+D17+E17</f>
        <v/>
      </c>
      <c r="G17" s="80" t="n">
        <v>1</v>
      </c>
      <c r="H17" s="80" t="n">
        <v>5</v>
      </c>
      <c r="I17" s="80" t="n">
        <v>2</v>
      </c>
      <c r="J17" s="80" t="n"/>
      <c r="K17" s="80" t="n"/>
      <c r="L17" s="183">
        <f>G17+H17+I17+J17+K17</f>
        <v/>
      </c>
      <c r="M17" s="401">
        <f>B17+C17+D17+E17+G17+H17+I17+J17</f>
        <v/>
      </c>
      <c r="N17" s="228">
        <f>F17+L17</f>
        <v/>
      </c>
    </row>
    <row r="18" ht="15.75" customHeight="1">
      <c r="A18" s="106" t="inlineStr">
        <is>
          <t xml:space="preserve">TAGS </t>
        </is>
      </c>
      <c r="B18" s="80" t="n">
        <v>0</v>
      </c>
      <c r="C18" s="80" t="n">
        <v>0</v>
      </c>
      <c r="D18" s="80" t="n">
        <v>1</v>
      </c>
      <c r="E18" s="80" t="n">
        <v>1</v>
      </c>
      <c r="F18" s="183">
        <f>B18+C18+D18+E18</f>
        <v/>
      </c>
      <c r="G18" s="80" t="n">
        <v>0</v>
      </c>
      <c r="H18" s="80" t="n">
        <v>1</v>
      </c>
      <c r="I18" s="80" t="n">
        <v>2</v>
      </c>
      <c r="J18" s="80" t="n"/>
      <c r="K18" s="80" t="n"/>
      <c r="L18" s="183">
        <f>G18+H18+I18+J18+K18</f>
        <v/>
      </c>
      <c r="M18" s="401">
        <f>B18+C18+D18+E18+G18+H18+I18+J18</f>
        <v/>
      </c>
      <c r="N18" s="228">
        <f>F18+L18</f>
        <v/>
      </c>
    </row>
    <row r="19" ht="15.75" customHeight="1">
      <c r="A19" s="94" t="inlineStr">
        <is>
          <t>TOTAL DE SACOLAS</t>
        </is>
      </c>
      <c r="B19" s="95">
        <f>B14+B15+B16</f>
        <v/>
      </c>
      <c r="C19" s="95">
        <f>C14+C15+C16</f>
        <v/>
      </c>
      <c r="D19" s="95">
        <f>D14+D15+D16</f>
        <v/>
      </c>
      <c r="E19" s="95">
        <f>E14+E15+E16</f>
        <v/>
      </c>
      <c r="F19" s="95">
        <f>F14+F15+F16</f>
        <v/>
      </c>
      <c r="G19" s="95">
        <f>G14+G15+G16</f>
        <v/>
      </c>
      <c r="H19" s="95">
        <f>H14+H15+H16</f>
        <v/>
      </c>
      <c r="I19" s="95">
        <f>I14+I15+I16</f>
        <v/>
      </c>
      <c r="J19" s="95">
        <f>J14+J15+J16</f>
        <v/>
      </c>
      <c r="K19" s="95">
        <f>K14+K15+K16</f>
        <v/>
      </c>
      <c r="L19" s="221">
        <f>L14+L15+L16</f>
        <v/>
      </c>
      <c r="M19" s="229">
        <f>M14+M15+M16</f>
        <v/>
      </c>
      <c r="N19" s="229">
        <f>N14+N15+N16</f>
        <v/>
      </c>
    </row>
    <row r="21" ht="15.75" customHeight="1">
      <c r="A21" s="758" t="inlineStr">
        <is>
          <t>GASTO DE SACOLAS E ITENS DOADOS NATAL/2025 - MENSAIS</t>
        </is>
      </c>
      <c r="B21" s="750" t="n"/>
      <c r="C21" s="750" t="n"/>
      <c r="D21" s="750" t="n"/>
      <c r="E21" s="750" t="n"/>
      <c r="F21" s="750" t="n"/>
      <c r="G21" s="750" t="n"/>
      <c r="H21" s="750" t="n"/>
      <c r="I21" s="750" t="n"/>
      <c r="J21" s="750" t="n"/>
      <c r="K21" s="750" t="n"/>
      <c r="L21" s="750" t="n"/>
      <c r="M21" s="750" t="n"/>
      <c r="N21" s="751" t="n"/>
    </row>
    <row r="22" ht="15.75" customHeight="1">
      <c r="A22" s="599" t="inlineStr">
        <is>
          <t>TUPI</t>
        </is>
      </c>
      <c r="B22" s="760" t="inlineStr">
        <is>
          <t>NOVEMBRO</t>
        </is>
      </c>
      <c r="C22" s="658" t="n"/>
      <c r="D22" s="658" t="n"/>
      <c r="E22" s="658" t="n"/>
      <c r="F22" s="670" t="n"/>
      <c r="G22" s="760" t="inlineStr">
        <is>
          <t>DEZEMBRO</t>
        </is>
      </c>
      <c r="H22" s="658" t="n"/>
      <c r="I22" s="658" t="n"/>
      <c r="J22" s="658" t="n"/>
      <c r="K22" s="658" t="n"/>
      <c r="L22" s="670" t="n"/>
      <c r="M22" s="605" t="inlineStr">
        <is>
          <t>USOU ATÉ NATAL</t>
        </is>
      </c>
      <c r="N22" s="607" t="inlineStr">
        <is>
          <t>TOTAL GERAL</t>
        </is>
      </c>
    </row>
    <row r="23" ht="15.75" customHeight="1">
      <c r="A23" s="753" t="n"/>
      <c r="B23" s="225" t="n">
        <v>45964</v>
      </c>
      <c r="C23" s="226" t="n">
        <v>45971</v>
      </c>
      <c r="D23" s="226" t="n">
        <v>45978</v>
      </c>
      <c r="E23" s="225" t="n">
        <v>45985</v>
      </c>
      <c r="F23" s="227" t="inlineStr">
        <is>
          <t>USOU</t>
        </is>
      </c>
      <c r="G23" s="225" t="n">
        <v>45992</v>
      </c>
      <c r="H23" s="226" t="n">
        <v>45999</v>
      </c>
      <c r="I23" s="226" t="n">
        <v>46006</v>
      </c>
      <c r="J23" s="226" t="n">
        <v>46013</v>
      </c>
      <c r="K23" s="225" t="n">
        <v>46020</v>
      </c>
      <c r="L23" s="227" t="inlineStr">
        <is>
          <t>USOU</t>
        </is>
      </c>
      <c r="M23" s="754" t="n"/>
      <c r="N23" s="755" t="n"/>
    </row>
    <row r="24" ht="15.75" customHeight="1">
      <c r="A24" s="181" t="inlineStr">
        <is>
          <t>SACOLA P</t>
        </is>
      </c>
      <c r="B24" s="80" t="n">
        <v>0</v>
      </c>
      <c r="C24" s="80" t="n">
        <v>540</v>
      </c>
      <c r="D24" s="80" t="n">
        <v>240</v>
      </c>
      <c r="E24" s="80" t="n">
        <v>360</v>
      </c>
      <c r="F24" s="183">
        <f>B24+C24+D24+E24</f>
        <v/>
      </c>
      <c r="G24" s="80" t="n">
        <v>200</v>
      </c>
      <c r="H24" s="80" t="n">
        <v>540</v>
      </c>
      <c r="I24" s="80" t="n">
        <v>120</v>
      </c>
      <c r="J24" s="80" t="n"/>
      <c r="K24" s="80" t="n"/>
      <c r="L24" s="183">
        <f>G24+H24+I24+J24+K24</f>
        <v/>
      </c>
      <c r="M24" s="401">
        <f>B24+C24+D24+E24+G24+H24+I24+J24</f>
        <v/>
      </c>
      <c r="N24" s="228">
        <f>F24+L24</f>
        <v/>
      </c>
    </row>
    <row r="25" ht="15.75" customHeight="1">
      <c r="A25" s="181" t="inlineStr">
        <is>
          <t>SACOLA M</t>
        </is>
      </c>
      <c r="B25" s="80" t="n">
        <v>0</v>
      </c>
      <c r="C25" s="80" t="n">
        <v>340</v>
      </c>
      <c r="D25" s="80" t="n">
        <v>80</v>
      </c>
      <c r="E25" s="80" t="n">
        <v>280</v>
      </c>
      <c r="F25" s="183">
        <f>B25+C25+D25+E25</f>
        <v/>
      </c>
      <c r="G25" s="80" t="n">
        <v>440</v>
      </c>
      <c r="H25" s="80" t="n">
        <v>60</v>
      </c>
      <c r="I25" s="80" t="n">
        <v>60</v>
      </c>
      <c r="J25" s="80" t="n"/>
      <c r="K25" s="80" t="n"/>
      <c r="L25" s="183">
        <f>G25+H25+I25+J25+K25</f>
        <v/>
      </c>
      <c r="M25" s="401">
        <f>B25+C25+D25+E25+G25+H25+I25+J25</f>
        <v/>
      </c>
      <c r="N25" s="228">
        <f>F25+L25</f>
        <v/>
      </c>
    </row>
    <row r="26" ht="15.75" customHeight="1">
      <c r="A26" s="181" t="inlineStr">
        <is>
          <t>SACOLA G</t>
        </is>
      </c>
      <c r="B26" s="80" t="n">
        <v>0</v>
      </c>
      <c r="C26" s="80" t="n">
        <v>80</v>
      </c>
      <c r="D26" s="80" t="n">
        <v>20</v>
      </c>
      <c r="E26" s="80" t="n">
        <v>40</v>
      </c>
      <c r="F26" s="183">
        <f>B26+C26+D26+E26</f>
        <v/>
      </c>
      <c r="G26" s="80" t="n">
        <v>20</v>
      </c>
      <c r="H26" s="80" t="n">
        <v>0</v>
      </c>
      <c r="I26" s="80" t="n">
        <v>60</v>
      </c>
      <c r="J26" s="80" t="n"/>
      <c r="K26" s="80" t="n"/>
      <c r="L26" s="183">
        <f>G26+H26+I26+J26+K26</f>
        <v/>
      </c>
      <c r="M26" s="401">
        <f>B26+C26+D26+E26+G26+H26+I26+J26</f>
        <v/>
      </c>
      <c r="N26" s="228">
        <f>F26+L26</f>
        <v/>
      </c>
    </row>
    <row r="27" ht="15.75" customHeight="1">
      <c r="A27" s="106" t="inlineStr">
        <is>
          <t xml:space="preserve">PAPEL DE SEDA </t>
        </is>
      </c>
      <c r="B27" s="80" t="n">
        <v>2</v>
      </c>
      <c r="C27" s="80" t="n">
        <v>2</v>
      </c>
      <c r="D27" s="80" t="n">
        <v>0</v>
      </c>
      <c r="E27" s="80" t="n">
        <v>2</v>
      </c>
      <c r="F27" s="183">
        <f>B27+C27+D27+E27</f>
        <v/>
      </c>
      <c r="G27" s="80" t="n">
        <v>2</v>
      </c>
      <c r="H27" s="80" t="n">
        <v>3</v>
      </c>
      <c r="I27" s="80" t="n">
        <v>3</v>
      </c>
      <c r="J27" s="80" t="n"/>
      <c r="K27" s="80" t="n"/>
      <c r="L27" s="183">
        <f>G27+H27+I27+J27+K27</f>
        <v/>
      </c>
      <c r="M27" s="401">
        <f>B27+C27+D27+E27+G27+H27+I27+J27</f>
        <v/>
      </c>
      <c r="N27" s="228">
        <f>F27+L27</f>
        <v/>
      </c>
    </row>
    <row r="28" ht="15.75" customHeight="1">
      <c r="A28" s="106" t="inlineStr">
        <is>
          <t xml:space="preserve">TAGS </t>
        </is>
      </c>
      <c r="B28" s="80" t="n">
        <v>0</v>
      </c>
      <c r="C28" s="80" t="n">
        <v>0</v>
      </c>
      <c r="D28" s="80" t="n">
        <v>1</v>
      </c>
      <c r="E28" s="80" t="n">
        <v>0</v>
      </c>
      <c r="F28" s="183">
        <f>B28+C28+D28+E28</f>
        <v/>
      </c>
      <c r="G28" s="80" t="n">
        <v>0</v>
      </c>
      <c r="H28" s="80" t="n">
        <v>0</v>
      </c>
      <c r="I28" s="80" t="n">
        <v>0</v>
      </c>
      <c r="J28" s="80" t="n"/>
      <c r="K28" s="80" t="n"/>
      <c r="L28" s="183">
        <f>G28+H28+I28+J28+K28</f>
        <v/>
      </c>
      <c r="M28" s="401">
        <f>B28+C28+D28+E28+G28+H28+I28+J28</f>
        <v/>
      </c>
      <c r="N28" s="228">
        <f>F28+L28</f>
        <v/>
      </c>
    </row>
    <row r="29" ht="15.75" customHeight="1">
      <c r="A29" s="94" t="inlineStr">
        <is>
          <t>TOTAL DE SACOLAS</t>
        </is>
      </c>
      <c r="B29" s="95">
        <f>B24+B25+B26</f>
        <v/>
      </c>
      <c r="C29" s="95">
        <f>C24+C25+C26</f>
        <v/>
      </c>
      <c r="D29" s="95">
        <f>D24+D25+D26</f>
        <v/>
      </c>
      <c r="E29" s="95">
        <f>E24+E25+E26</f>
        <v/>
      </c>
      <c r="F29" s="95">
        <f>F24+F25+F26</f>
        <v/>
      </c>
      <c r="G29" s="95">
        <f>G24+G25+G26</f>
        <v/>
      </c>
      <c r="H29" s="95">
        <f>H24+H25+H26</f>
        <v/>
      </c>
      <c r="I29" s="95">
        <f>I24+I25+I26</f>
        <v/>
      </c>
      <c r="J29" s="95">
        <f>J24+J25+J26</f>
        <v/>
      </c>
      <c r="K29" s="95">
        <f>K24+K25+K26</f>
        <v/>
      </c>
      <c r="L29" s="221">
        <f>L24+L25+L26</f>
        <v/>
      </c>
      <c r="M29" s="229">
        <f>M24+M25+M26</f>
        <v/>
      </c>
      <c r="N29" s="229">
        <f>N24+N25+N26</f>
        <v/>
      </c>
    </row>
    <row r="31" ht="15.75" customHeight="1">
      <c r="A31" s="758" t="inlineStr">
        <is>
          <t>GASTO DE SACOLAS E ITENS DOADOS NATAL/2025 - MENSAIS</t>
        </is>
      </c>
      <c r="B31" s="750" t="n"/>
      <c r="C31" s="750" t="n"/>
      <c r="D31" s="750" t="n"/>
      <c r="E31" s="750" t="n"/>
      <c r="F31" s="750" t="n"/>
      <c r="G31" s="750" t="n"/>
      <c r="H31" s="750" t="n"/>
      <c r="I31" s="750" t="n"/>
      <c r="J31" s="750" t="n"/>
      <c r="K31" s="750" t="n"/>
      <c r="L31" s="750" t="n"/>
      <c r="M31" s="750" t="n"/>
      <c r="N31" s="751" t="n"/>
    </row>
    <row r="32" ht="15.75" customHeight="1">
      <c r="A32" s="599" t="inlineStr">
        <is>
          <t>PERUÍBE</t>
        </is>
      </c>
      <c r="B32" s="760" t="inlineStr">
        <is>
          <t>NOVEMBRO</t>
        </is>
      </c>
      <c r="C32" s="658" t="n"/>
      <c r="D32" s="658" t="n"/>
      <c r="E32" s="658" t="n"/>
      <c r="F32" s="670" t="n"/>
      <c r="G32" s="760" t="inlineStr">
        <is>
          <t>DEZEMBRO</t>
        </is>
      </c>
      <c r="H32" s="658" t="n"/>
      <c r="I32" s="658" t="n"/>
      <c r="J32" s="658" t="n"/>
      <c r="K32" s="658" t="n"/>
      <c r="L32" s="670" t="n"/>
      <c r="M32" s="605" t="inlineStr">
        <is>
          <t>USOU ATÉ NATAL</t>
        </is>
      </c>
      <c r="N32" s="607" t="inlineStr">
        <is>
          <t>TOTAL GERAL</t>
        </is>
      </c>
    </row>
    <row r="33" ht="15.75" customHeight="1">
      <c r="A33" s="753" t="n"/>
      <c r="B33" s="225" t="n">
        <v>45964</v>
      </c>
      <c r="C33" s="226" t="n">
        <v>45971</v>
      </c>
      <c r="D33" s="226" t="n">
        <v>45978</v>
      </c>
      <c r="E33" s="225" t="n">
        <v>45985</v>
      </c>
      <c r="F33" s="227" t="inlineStr">
        <is>
          <t>USOU</t>
        </is>
      </c>
      <c r="G33" s="225" t="n">
        <v>45992</v>
      </c>
      <c r="H33" s="226" t="n">
        <v>45999</v>
      </c>
      <c r="I33" s="226" t="n">
        <v>46006</v>
      </c>
      <c r="J33" s="226" t="n">
        <v>46013</v>
      </c>
      <c r="K33" s="225" t="n">
        <v>46020</v>
      </c>
      <c r="L33" s="227" t="inlineStr">
        <is>
          <t>USOU</t>
        </is>
      </c>
      <c r="M33" s="754" t="n"/>
      <c r="N33" s="755" t="n"/>
    </row>
    <row r="34" ht="15.75" customHeight="1">
      <c r="A34" s="181" t="inlineStr">
        <is>
          <t>SACOLA P</t>
        </is>
      </c>
      <c r="B34" s="80" t="n">
        <v>0</v>
      </c>
      <c r="C34" s="80" t="n">
        <v>600</v>
      </c>
      <c r="D34" s="80" t="n">
        <v>400</v>
      </c>
      <c r="E34" s="80" t="n">
        <v>400</v>
      </c>
      <c r="F34" s="183">
        <f>B34+C34+D34+E34</f>
        <v/>
      </c>
      <c r="G34" s="80" t="n">
        <v>280</v>
      </c>
      <c r="H34" s="80" t="n">
        <v>120</v>
      </c>
      <c r="I34" s="80" t="n">
        <v>0</v>
      </c>
      <c r="J34" s="80" t="n"/>
      <c r="K34" s="80" t="n"/>
      <c r="L34" s="183">
        <f>G34+H34+I34+J34+K34</f>
        <v/>
      </c>
      <c r="M34" s="401">
        <f>B34+C34+D34+E34+G34+H34+I34+J34</f>
        <v/>
      </c>
      <c r="N34" s="228">
        <f>F34+L34</f>
        <v/>
      </c>
    </row>
    <row r="35" ht="15.75" customHeight="1">
      <c r="A35" s="181" t="inlineStr">
        <is>
          <t>SACOLA M</t>
        </is>
      </c>
      <c r="B35" s="80" t="n">
        <v>0</v>
      </c>
      <c r="C35" s="80" t="n">
        <v>200</v>
      </c>
      <c r="D35" s="80" t="n">
        <v>200</v>
      </c>
      <c r="E35" s="80" t="n">
        <v>200</v>
      </c>
      <c r="F35" s="183">
        <f>B35+C35+D35+E35</f>
        <v/>
      </c>
      <c r="G35" s="80" t="n">
        <v>0</v>
      </c>
      <c r="H35" s="80" t="n">
        <v>600</v>
      </c>
      <c r="I35" s="80" t="n">
        <v>0</v>
      </c>
      <c r="J35" s="80" t="n"/>
      <c r="K35" s="80" t="n"/>
      <c r="L35" s="183">
        <f>G35+H35+I35+J35+K35</f>
        <v/>
      </c>
      <c r="M35" s="401">
        <f>B35+C35+D35+E35+G35+H35+I35+J35</f>
        <v/>
      </c>
      <c r="N35" s="228">
        <f>F35+L35</f>
        <v/>
      </c>
    </row>
    <row r="36" ht="15.75" customHeight="1">
      <c r="A36" s="181" t="inlineStr">
        <is>
          <t>SACOLA G</t>
        </is>
      </c>
      <c r="B36" s="80" t="n">
        <v>0</v>
      </c>
      <c r="C36" s="80" t="n">
        <v>35</v>
      </c>
      <c r="D36" s="80" t="n">
        <v>15</v>
      </c>
      <c r="E36" s="80" t="n">
        <v>0</v>
      </c>
      <c r="F36" s="183">
        <f>B36+C36+D36+E36</f>
        <v/>
      </c>
      <c r="G36" s="80" t="n">
        <v>50</v>
      </c>
      <c r="H36" s="80" t="n">
        <v>66</v>
      </c>
      <c r="I36" s="80" t="n">
        <v>0</v>
      </c>
      <c r="J36" s="80" t="n"/>
      <c r="K36" s="80" t="n"/>
      <c r="L36" s="183">
        <f>G36+H36+I36+J36+K36</f>
        <v/>
      </c>
      <c r="M36" s="401">
        <f>B36+C36+D36+E36+G36+H36+I36+J36</f>
        <v/>
      </c>
      <c r="N36" s="228">
        <f>F36+L36</f>
        <v/>
      </c>
    </row>
    <row r="37" ht="15.75" customHeight="1">
      <c r="A37" s="106" t="inlineStr">
        <is>
          <t xml:space="preserve">PAPEL DE SEDA </t>
        </is>
      </c>
      <c r="B37" s="80" t="n">
        <v>0</v>
      </c>
      <c r="C37" s="80" t="n">
        <v>3</v>
      </c>
      <c r="D37" s="80" t="n">
        <v>0</v>
      </c>
      <c r="E37" s="80" t="n">
        <v>2</v>
      </c>
      <c r="F37" s="183">
        <f>B37+C37+D37+E37</f>
        <v/>
      </c>
      <c r="G37" s="80" t="n">
        <v>2</v>
      </c>
      <c r="H37" s="80" t="n">
        <v>3</v>
      </c>
      <c r="I37" s="80" t="n">
        <v>0</v>
      </c>
      <c r="J37" s="80" t="n"/>
      <c r="K37" s="80" t="n"/>
      <c r="L37" s="183">
        <f>G37+H37+I37+J37+K37</f>
        <v/>
      </c>
      <c r="M37" s="401">
        <f>B37+C37+D37+E37+G37+H37+I37+J37</f>
        <v/>
      </c>
      <c r="N37" s="228">
        <f>F37+L37</f>
        <v/>
      </c>
    </row>
    <row r="38" ht="15.75" customHeight="1">
      <c r="A38" s="106" t="inlineStr">
        <is>
          <t xml:space="preserve">TAGS </t>
        </is>
      </c>
      <c r="B38" s="80" t="n">
        <v>0</v>
      </c>
      <c r="C38" s="80" t="n">
        <v>1</v>
      </c>
      <c r="D38" s="80" t="n">
        <v>0</v>
      </c>
      <c r="E38" s="80" t="n">
        <v>1</v>
      </c>
      <c r="F38" s="183">
        <f>B38+C38+D38+E38</f>
        <v/>
      </c>
      <c r="G38" s="80" t="n">
        <v>0</v>
      </c>
      <c r="H38" s="80" t="n">
        <v>1</v>
      </c>
      <c r="I38" s="80" t="n">
        <v>0</v>
      </c>
      <c r="J38" s="80" t="n"/>
      <c r="K38" s="80" t="n"/>
      <c r="L38" s="183">
        <f>G38+H38+I38+J38+K38</f>
        <v/>
      </c>
      <c r="M38" s="401">
        <f>B38+C38+D38+E38+G38+H38+I38+J38</f>
        <v/>
      </c>
      <c r="N38" s="228">
        <f>F38+L38</f>
        <v/>
      </c>
    </row>
    <row r="39" ht="15.75" customHeight="1">
      <c r="A39" s="94" t="inlineStr">
        <is>
          <t>TOTAL DE SACOLAS</t>
        </is>
      </c>
      <c r="B39" s="95">
        <f>B34+B35+B36</f>
        <v/>
      </c>
      <c r="C39" s="95">
        <f>C34+C35+C36</f>
        <v/>
      </c>
      <c r="D39" s="95">
        <f>D34+D35+D36</f>
        <v/>
      </c>
      <c r="E39" s="95">
        <f>E34+E35+E36</f>
        <v/>
      </c>
      <c r="F39" s="95">
        <f>F34+F35+F36</f>
        <v/>
      </c>
      <c r="G39" s="95">
        <f>G34+G35+G36</f>
        <v/>
      </c>
      <c r="H39" s="95">
        <f>H34+H35+H36</f>
        <v/>
      </c>
      <c r="I39" s="95">
        <f>I34+I35+I36</f>
        <v/>
      </c>
      <c r="J39" s="95">
        <f>J34+J35+J36</f>
        <v/>
      </c>
      <c r="K39" s="95">
        <f>K34+K35+K36</f>
        <v/>
      </c>
      <c r="L39" s="221">
        <f>L34+L35+L36</f>
        <v/>
      </c>
      <c r="M39" s="229">
        <f>M34+M35+M36</f>
        <v/>
      </c>
      <c r="N39" s="229">
        <f>N34+N35+N36</f>
        <v/>
      </c>
    </row>
    <row r="41" ht="15.75" customHeight="1">
      <c r="A41" s="758" t="inlineStr">
        <is>
          <t>GASTO DE SACOLAS E ITENS DOADOS NATAL/2025 - MENSAIS</t>
        </is>
      </c>
      <c r="B41" s="750" t="n"/>
      <c r="C41" s="750" t="n"/>
      <c r="D41" s="750" t="n"/>
      <c r="E41" s="750" t="n"/>
      <c r="F41" s="750" t="n"/>
      <c r="G41" s="750" t="n"/>
      <c r="H41" s="750" t="n"/>
      <c r="I41" s="750" t="n"/>
      <c r="J41" s="750" t="n"/>
      <c r="K41" s="750" t="n"/>
      <c r="L41" s="750" t="n"/>
      <c r="M41" s="750" t="n"/>
      <c r="N41" s="751" t="n"/>
    </row>
    <row r="42" ht="15.75" customHeight="1">
      <c r="A42" s="599" t="inlineStr">
        <is>
          <t>MONGAGUÁ</t>
        </is>
      </c>
      <c r="B42" s="760" t="inlineStr">
        <is>
          <t>NOVEMBRO</t>
        </is>
      </c>
      <c r="C42" s="658" t="n"/>
      <c r="D42" s="658" t="n"/>
      <c r="E42" s="658" t="n"/>
      <c r="F42" s="670" t="n"/>
      <c r="G42" s="760" t="inlineStr">
        <is>
          <t>DEZEMBRO</t>
        </is>
      </c>
      <c r="H42" s="658" t="n"/>
      <c r="I42" s="658" t="n"/>
      <c r="J42" s="658" t="n"/>
      <c r="K42" s="658" t="n"/>
      <c r="L42" s="670" t="n"/>
      <c r="M42" s="605" t="inlineStr">
        <is>
          <t>USOU ATÉ NATAL</t>
        </is>
      </c>
      <c r="N42" s="607" t="inlineStr">
        <is>
          <t>TOTAL GERAL</t>
        </is>
      </c>
    </row>
    <row r="43" ht="15.75" customHeight="1">
      <c r="A43" s="753" t="n"/>
      <c r="B43" s="225" t="n">
        <v>45964</v>
      </c>
      <c r="C43" s="226" t="n">
        <v>45971</v>
      </c>
      <c r="D43" s="226" t="n">
        <v>45978</v>
      </c>
      <c r="E43" s="225" t="n">
        <v>45985</v>
      </c>
      <c r="F43" s="227" t="inlineStr">
        <is>
          <t>USOU</t>
        </is>
      </c>
      <c r="G43" s="225" t="n">
        <v>45992</v>
      </c>
      <c r="H43" s="226" t="n">
        <v>45999</v>
      </c>
      <c r="I43" s="226" t="n">
        <v>46006</v>
      </c>
      <c r="J43" s="226" t="n">
        <v>46013</v>
      </c>
      <c r="K43" s="225" t="n">
        <v>46020</v>
      </c>
      <c r="L43" s="227" t="inlineStr">
        <is>
          <t>USOU</t>
        </is>
      </c>
      <c r="M43" s="754" t="n"/>
      <c r="N43" s="755" t="n"/>
    </row>
    <row r="44" ht="15.75" customHeight="1">
      <c r="A44" s="181" t="inlineStr">
        <is>
          <t>SACOLA P</t>
        </is>
      </c>
      <c r="B44" s="80" t="n">
        <v>80</v>
      </c>
      <c r="C44" s="80" t="n">
        <v>40</v>
      </c>
      <c r="D44" s="80" t="n">
        <v>320</v>
      </c>
      <c r="E44" s="80" t="n">
        <v>380</v>
      </c>
      <c r="F44" s="183">
        <f>B44+C44+D44+E44</f>
        <v/>
      </c>
      <c r="G44" s="80" t="n">
        <v>380</v>
      </c>
      <c r="H44" s="80" t="n">
        <v>0</v>
      </c>
      <c r="I44" s="80" t="n">
        <v>400</v>
      </c>
      <c r="J44" s="80" t="n"/>
      <c r="K44" s="80" t="n"/>
      <c r="L44" s="183">
        <f>G44+H44+I44+J44+K44</f>
        <v/>
      </c>
      <c r="M44" s="401">
        <f>B44+C44+D44+E44+G44+H44+I44+J44</f>
        <v/>
      </c>
      <c r="N44" s="228">
        <f>F44+L44</f>
        <v/>
      </c>
    </row>
    <row r="45" ht="15.75" customHeight="1">
      <c r="A45" s="181" t="inlineStr">
        <is>
          <t>SACOLA M</t>
        </is>
      </c>
      <c r="B45" s="80" t="n">
        <v>60</v>
      </c>
      <c r="C45" s="80" t="n">
        <v>90</v>
      </c>
      <c r="D45" s="80" t="n">
        <v>140</v>
      </c>
      <c r="E45" s="80" t="n">
        <v>80</v>
      </c>
      <c r="F45" s="183">
        <f>B45+C45+D45+E45</f>
        <v/>
      </c>
      <c r="G45" s="80" t="n">
        <v>180</v>
      </c>
      <c r="H45" s="80" t="n">
        <v>0</v>
      </c>
      <c r="I45" s="80" t="n">
        <v>50</v>
      </c>
      <c r="J45" s="80" t="n"/>
      <c r="K45" s="80" t="n"/>
      <c r="L45" s="183">
        <f>G45+H45+I45+J45+K45</f>
        <v/>
      </c>
      <c r="M45" s="401">
        <f>B45+C45+D45+E45+G45+H45+I45+J45</f>
        <v/>
      </c>
      <c r="N45" s="228">
        <f>F45+L45</f>
        <v/>
      </c>
    </row>
    <row r="46" ht="15.75" customHeight="1">
      <c r="A46" s="181" t="inlineStr">
        <is>
          <t>SACOLA G</t>
        </is>
      </c>
      <c r="B46" s="80" t="n">
        <v>0</v>
      </c>
      <c r="C46" s="80" t="n">
        <v>0</v>
      </c>
      <c r="D46" s="80" t="n">
        <v>0</v>
      </c>
      <c r="E46" s="80" t="n">
        <v>0</v>
      </c>
      <c r="F46" s="183">
        <f>B46+C46+D46+E46</f>
        <v/>
      </c>
      <c r="G46" s="80" t="n">
        <v>0</v>
      </c>
      <c r="H46" s="80" t="n">
        <v>0</v>
      </c>
      <c r="I46" s="80" t="n">
        <v>50</v>
      </c>
      <c r="J46" s="80" t="n"/>
      <c r="K46" s="80" t="n"/>
      <c r="L46" s="183">
        <f>G46+H46+I46+J46+K46</f>
        <v/>
      </c>
      <c r="M46" s="401">
        <f>B46+C46+D46+E46+G46+H46+I46+J46</f>
        <v/>
      </c>
      <c r="N46" s="228">
        <f>F46+L46</f>
        <v/>
      </c>
    </row>
    <row r="47" ht="15.75" customHeight="1">
      <c r="A47" s="106" t="inlineStr">
        <is>
          <t xml:space="preserve">PAPEL DE SEDA </t>
        </is>
      </c>
      <c r="B47" s="80" t="n">
        <v>0</v>
      </c>
      <c r="C47" s="80" t="n">
        <v>0</v>
      </c>
      <c r="D47" s="80" t="n">
        <v>0</v>
      </c>
      <c r="E47" s="80" t="n">
        <v>0</v>
      </c>
      <c r="F47" s="183">
        <f>B47+C47+D47+E47</f>
        <v/>
      </c>
      <c r="G47" s="80" t="n">
        <v>3</v>
      </c>
      <c r="H47" s="80" t="n">
        <v>0</v>
      </c>
      <c r="I47" s="80" t="n">
        <v>2</v>
      </c>
      <c r="J47" s="80" t="n"/>
      <c r="K47" s="80" t="n"/>
      <c r="L47" s="183">
        <f>G47+H47+I47+J47+K47</f>
        <v/>
      </c>
      <c r="M47" s="401">
        <f>B47+C47+D47+E47+G47+H47+I47+J47</f>
        <v/>
      </c>
      <c r="N47" s="228">
        <f>F47+L47</f>
        <v/>
      </c>
    </row>
    <row r="48" ht="15.75" customHeight="1">
      <c r="A48" s="106" t="inlineStr">
        <is>
          <t xml:space="preserve">TAGS </t>
        </is>
      </c>
      <c r="B48" s="80" t="n">
        <v>0</v>
      </c>
      <c r="C48" s="80" t="n">
        <v>0</v>
      </c>
      <c r="D48" s="80" t="n">
        <v>0</v>
      </c>
      <c r="E48" s="80" t="n">
        <v>0</v>
      </c>
      <c r="F48" s="183">
        <f>B48+C48+D48+E48</f>
        <v/>
      </c>
      <c r="G48" s="80" t="n">
        <v>1</v>
      </c>
      <c r="H48" s="80" t="n">
        <v>0</v>
      </c>
      <c r="I48" s="80" t="n">
        <v>4</v>
      </c>
      <c r="J48" s="80" t="n"/>
      <c r="K48" s="80" t="n"/>
      <c r="L48" s="183">
        <f>G48+H48+I48+J48+K48</f>
        <v/>
      </c>
      <c r="M48" s="401">
        <f>B48+C48+D48+E48+G48+H48+I48+J48</f>
        <v/>
      </c>
      <c r="N48" s="228">
        <f>F48+L48</f>
        <v/>
      </c>
    </row>
    <row r="49" ht="15.75" customHeight="1">
      <c r="A49" s="94" t="inlineStr">
        <is>
          <t>TOTAL DE SACOLAS</t>
        </is>
      </c>
      <c r="B49" s="95">
        <f>B44+B45+B46</f>
        <v/>
      </c>
      <c r="C49" s="95">
        <f>C44+C45+C46</f>
        <v/>
      </c>
      <c r="D49" s="95">
        <f>D44+D45+D46</f>
        <v/>
      </c>
      <c r="E49" s="95">
        <f>E44+E45+E46</f>
        <v/>
      </c>
      <c r="F49" s="95">
        <f>F44+F45+F46</f>
        <v/>
      </c>
      <c r="G49" s="95">
        <f>G44+G45+G46</f>
        <v/>
      </c>
      <c r="H49" s="95">
        <f>H44+H45+H46</f>
        <v/>
      </c>
      <c r="I49" s="95">
        <f>I44+I45+I46</f>
        <v/>
      </c>
      <c r="J49" s="95">
        <f>J44+J45+J46</f>
        <v/>
      </c>
      <c r="K49" s="95">
        <f>K44+K45+K46</f>
        <v/>
      </c>
      <c r="L49" s="221">
        <f>L44+L45+L46</f>
        <v/>
      </c>
      <c r="M49" s="229">
        <f>M44+M45+M46</f>
        <v/>
      </c>
      <c r="N49" s="229">
        <f>N44+N45+N46</f>
        <v/>
      </c>
    </row>
    <row r="50" ht="15.75" customHeight="1"/>
    <row r="51" ht="15.75" customHeight="1">
      <c r="A51" s="758" t="inlineStr">
        <is>
          <t>GASTO DE SACOLAS E ITENS DOADOS NATAL/2025 - MENSAIS</t>
        </is>
      </c>
      <c r="B51" s="750" t="n"/>
      <c r="C51" s="750" t="n"/>
      <c r="D51" s="750" t="n"/>
      <c r="E51" s="750" t="n"/>
      <c r="F51" s="750" t="n"/>
      <c r="G51" s="750" t="n"/>
      <c r="H51" s="750" t="n"/>
      <c r="I51" s="750" t="n"/>
      <c r="J51" s="750" t="n"/>
      <c r="K51" s="750" t="n"/>
      <c r="L51" s="750" t="n"/>
      <c r="M51" s="750" t="n"/>
      <c r="N51" s="751" t="n"/>
    </row>
    <row r="52" ht="15.75" customHeight="1">
      <c r="A52" s="599" t="inlineStr">
        <is>
          <t>ATACADÃO</t>
        </is>
      </c>
      <c r="B52" s="760" t="inlineStr">
        <is>
          <t>NOVEMBRO</t>
        </is>
      </c>
      <c r="C52" s="658" t="n"/>
      <c r="D52" s="658" t="n"/>
      <c r="E52" s="658" t="n"/>
      <c r="F52" s="670" t="n"/>
      <c r="G52" s="760" t="inlineStr">
        <is>
          <t>DEZEMBRO</t>
        </is>
      </c>
      <c r="H52" s="658" t="n"/>
      <c r="I52" s="658" t="n"/>
      <c r="J52" s="658" t="n"/>
      <c r="K52" s="658" t="n"/>
      <c r="L52" s="670" t="n"/>
      <c r="M52" s="605" t="inlineStr">
        <is>
          <t>USOU ATÉ NATAL</t>
        </is>
      </c>
      <c r="N52" s="607" t="inlineStr">
        <is>
          <t>TOTAL GERAL</t>
        </is>
      </c>
    </row>
    <row r="53" ht="15.75" customHeight="1">
      <c r="A53" s="753" t="n"/>
      <c r="B53" s="225" t="n">
        <v>45964</v>
      </c>
      <c r="C53" s="226" t="n">
        <v>45971</v>
      </c>
      <c r="D53" s="226" t="n">
        <v>45978</v>
      </c>
      <c r="E53" s="225" t="n">
        <v>45985</v>
      </c>
      <c r="F53" s="227" t="inlineStr">
        <is>
          <t>USOU</t>
        </is>
      </c>
      <c r="G53" s="225" t="n">
        <v>45992</v>
      </c>
      <c r="H53" s="226" t="n">
        <v>45999</v>
      </c>
      <c r="I53" s="226" t="n">
        <v>46006</v>
      </c>
      <c r="J53" s="226" t="n">
        <v>46013</v>
      </c>
      <c r="K53" s="225" t="n">
        <v>46020</v>
      </c>
      <c r="L53" s="227" t="inlineStr">
        <is>
          <t>USOU</t>
        </is>
      </c>
      <c r="M53" s="754" t="n"/>
      <c r="N53" s="755" t="n"/>
    </row>
    <row r="54" ht="15.75" customHeight="1">
      <c r="A54" s="181" t="inlineStr">
        <is>
          <t>SACOLA P</t>
        </is>
      </c>
      <c r="B54" s="80" t="n">
        <v>200</v>
      </c>
      <c r="C54" s="80" t="n">
        <v>50</v>
      </c>
      <c r="D54" s="80" t="n">
        <v>170</v>
      </c>
      <c r="E54" s="80" t="n">
        <v>260</v>
      </c>
      <c r="F54" s="183">
        <f>B54+C54+D54+E54</f>
        <v/>
      </c>
      <c r="G54" s="80" t="n">
        <v>120</v>
      </c>
      <c r="H54" s="80" t="n">
        <v>0</v>
      </c>
      <c r="I54" s="80" t="n">
        <v>0</v>
      </c>
      <c r="J54" s="80" t="n"/>
      <c r="K54" s="80" t="n"/>
      <c r="L54" s="183">
        <f>G54+H54+I54+J54+K54</f>
        <v/>
      </c>
      <c r="M54" s="401">
        <f>B54+C54+D54+E54+G54+H54+I54+J54</f>
        <v/>
      </c>
      <c r="N54" s="228">
        <f>F54+L54</f>
        <v/>
      </c>
    </row>
    <row r="55" ht="15.75" customHeight="1">
      <c r="A55" s="181" t="inlineStr">
        <is>
          <t>SACOLA M</t>
        </is>
      </c>
      <c r="B55" s="80" t="n">
        <v>0</v>
      </c>
      <c r="C55" s="80" t="n">
        <v>40</v>
      </c>
      <c r="D55" s="80" t="n">
        <v>160</v>
      </c>
      <c r="E55" s="80" t="n">
        <v>0</v>
      </c>
      <c r="F55" s="183">
        <f>B55+C55+D55+E55</f>
        <v/>
      </c>
      <c r="G55" s="80" t="n">
        <v>0</v>
      </c>
      <c r="H55" s="80" t="n">
        <v>0</v>
      </c>
      <c r="I55" s="80" t="n">
        <v>0</v>
      </c>
      <c r="J55" s="80" t="n"/>
      <c r="K55" s="80" t="n"/>
      <c r="L55" s="183">
        <f>G55+H55+I55+J55+K55</f>
        <v/>
      </c>
      <c r="M55" s="401">
        <f>B55+C55+D55+E55+G55+H55+I55+J55</f>
        <v/>
      </c>
      <c r="N55" s="228">
        <f>F55+L55</f>
        <v/>
      </c>
    </row>
    <row r="56" ht="15.75" customHeight="1">
      <c r="A56" s="181" t="inlineStr">
        <is>
          <t>SACOLA G</t>
        </is>
      </c>
      <c r="B56" s="80" t="n">
        <v>0</v>
      </c>
      <c r="C56" s="80" t="n">
        <v>0</v>
      </c>
      <c r="D56" s="80" t="n">
        <v>0</v>
      </c>
      <c r="E56" s="80" t="n">
        <v>100</v>
      </c>
      <c r="F56" s="183">
        <f>B56+C56+D56+E56</f>
        <v/>
      </c>
      <c r="G56" s="80" t="n">
        <v>0</v>
      </c>
      <c r="H56" s="80" t="n">
        <v>0</v>
      </c>
      <c r="I56" s="80" t="n">
        <v>0</v>
      </c>
      <c r="J56" s="80" t="n"/>
      <c r="K56" s="80" t="n"/>
      <c r="L56" s="183">
        <f>G56+H56+I56+J56+K56</f>
        <v/>
      </c>
      <c r="M56" s="401">
        <f>B56+C56+D56+E56+G56+H56+I56+J56</f>
        <v/>
      </c>
      <c r="N56" s="228">
        <f>F56+L56</f>
        <v/>
      </c>
    </row>
    <row r="57" ht="15.75" customHeight="1">
      <c r="A57" s="106" t="inlineStr">
        <is>
          <t xml:space="preserve">PAPEL DE SEDA </t>
        </is>
      </c>
      <c r="B57" s="80" t="n">
        <v>0</v>
      </c>
      <c r="C57" s="80" t="n">
        <v>0</v>
      </c>
      <c r="D57" s="80" t="n">
        <v>1</v>
      </c>
      <c r="E57" s="80" t="n">
        <v>1</v>
      </c>
      <c r="F57" s="183">
        <f>B57+C57+D57+E57</f>
        <v/>
      </c>
      <c r="G57" s="80" t="n">
        <v>1</v>
      </c>
      <c r="H57" s="80" t="n">
        <v>0</v>
      </c>
      <c r="I57" s="80" t="n">
        <v>0</v>
      </c>
      <c r="J57" s="80" t="n"/>
      <c r="K57" s="80" t="n"/>
      <c r="L57" s="183">
        <f>G57+H57+I57+J57+K57</f>
        <v/>
      </c>
      <c r="M57" s="401">
        <f>B57+C57+D57+E57+G57+H57+I57+J57</f>
        <v/>
      </c>
      <c r="N57" s="228">
        <f>F57+L57</f>
        <v/>
      </c>
    </row>
    <row r="58" ht="15.75" customHeight="1">
      <c r="A58" s="106" t="inlineStr">
        <is>
          <t xml:space="preserve">TAGS </t>
        </is>
      </c>
      <c r="B58" s="80" t="n">
        <v>0</v>
      </c>
      <c r="C58" s="80" t="n">
        <v>0</v>
      </c>
      <c r="D58" s="80" t="n">
        <v>2</v>
      </c>
      <c r="E58" s="80" t="n">
        <v>0</v>
      </c>
      <c r="F58" s="183">
        <f>B58+C58+D58+E58</f>
        <v/>
      </c>
      <c r="G58" s="80" t="n">
        <v>1</v>
      </c>
      <c r="H58" s="80" t="n">
        <v>0</v>
      </c>
      <c r="I58" s="80" t="n">
        <v>0</v>
      </c>
      <c r="J58" s="80" t="n"/>
      <c r="K58" s="80" t="n"/>
      <c r="L58" s="183">
        <f>G58+H58+I58+J58+K58</f>
        <v/>
      </c>
      <c r="M58" s="401">
        <f>B58+C58+D58+E58+G58+H58+I58+J58</f>
        <v/>
      </c>
      <c r="N58" s="228">
        <f>F58+L58</f>
        <v/>
      </c>
    </row>
    <row r="59" ht="15.75" customHeight="1">
      <c r="A59" s="94" t="inlineStr">
        <is>
          <t>TOTAL DE SACOLAS</t>
        </is>
      </c>
      <c r="B59" s="95">
        <f>B54+B55+B56</f>
        <v/>
      </c>
      <c r="C59" s="95">
        <f>C54+C55+C56</f>
        <v/>
      </c>
      <c r="D59" s="95">
        <f>D54+D55+D56</f>
        <v/>
      </c>
      <c r="E59" s="95">
        <f>E54+E55+E56</f>
        <v/>
      </c>
      <c r="F59" s="95">
        <f>F54+F55+F56</f>
        <v/>
      </c>
      <c r="G59" s="95">
        <f>G54+G55+G56</f>
        <v/>
      </c>
      <c r="H59" s="95">
        <f>H54+H55+H56</f>
        <v/>
      </c>
      <c r="I59" s="95">
        <f>I54+I55+I56</f>
        <v/>
      </c>
      <c r="J59" s="95">
        <f>J54+J55+J56</f>
        <v/>
      </c>
      <c r="K59" s="95">
        <f>K54+K55+K56</f>
        <v/>
      </c>
      <c r="L59" s="221">
        <f>L54+L55+L56</f>
        <v/>
      </c>
      <c r="M59" s="229">
        <f>M54+M55+M56</f>
        <v/>
      </c>
      <c r="N59" s="229">
        <f>N54+N55+N56</f>
        <v/>
      </c>
    </row>
    <row r="62" ht="15.75" customHeight="1"/>
    <row r="70" ht="15.75" customHeight="1"/>
    <row r="74" ht="15.75" customHeight="1"/>
    <row r="85" ht="15.75" customHeight="1"/>
    <row r="96" ht="15.75" customHeight="1"/>
    <row r="97" ht="18.75" customHeight="1"/>
    <row r="98" ht="18.75" customHeight="1"/>
    <row r="100" ht="15.75" customHeight="1"/>
    <row r="105" ht="15.75" customHeight="1"/>
    <row r="116" ht="15.75" customHeight="1"/>
    <row r="131" ht="15.75" customHeight="1"/>
    <row r="143" ht="15.75" customHeight="1"/>
  </sheetData>
  <mergeCells count="38">
    <mergeCell ref="N32:N33"/>
    <mergeCell ref="A31:N31"/>
    <mergeCell ref="N22:N23"/>
    <mergeCell ref="N12:N13"/>
    <mergeCell ref="P1:Q1"/>
    <mergeCell ref="M2:M3"/>
    <mergeCell ref="A51:N51"/>
    <mergeCell ref="B22:F22"/>
    <mergeCell ref="N2:N3"/>
    <mergeCell ref="A11:N11"/>
    <mergeCell ref="A1:N1"/>
    <mergeCell ref="B52:F52"/>
    <mergeCell ref="B12:F12"/>
    <mergeCell ref="N52:N53"/>
    <mergeCell ref="M22:M23"/>
    <mergeCell ref="B2:F2"/>
    <mergeCell ref="A12:A13"/>
    <mergeCell ref="B42:F42"/>
    <mergeCell ref="M12:M13"/>
    <mergeCell ref="A41:N41"/>
    <mergeCell ref="N42:N43"/>
    <mergeCell ref="A2:A3"/>
    <mergeCell ref="A32:A33"/>
    <mergeCell ref="M32:M33"/>
    <mergeCell ref="A22:A23"/>
    <mergeCell ref="G32:L32"/>
    <mergeCell ref="A42:A43"/>
    <mergeCell ref="A21:N21"/>
    <mergeCell ref="G22:L22"/>
    <mergeCell ref="M42:M43"/>
    <mergeCell ref="R2:R3"/>
    <mergeCell ref="G12:L12"/>
    <mergeCell ref="G52:L52"/>
    <mergeCell ref="G2:L2"/>
    <mergeCell ref="A52:A53"/>
    <mergeCell ref="G42:L42"/>
    <mergeCell ref="M52:M53"/>
    <mergeCell ref="B32:F32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Bruno Parronchi</dc:creator>
  <dcterms:created xsi:type="dcterms:W3CDTF">2019-03-11T11:12:00Z</dcterms:created>
  <dcterms:modified xsi:type="dcterms:W3CDTF">2026-05-19T14:35:20Z</dcterms:modified>
  <cp:lastModifiedBy>Marcus Vinicius</cp:lastModifiedBy>
  <cp:lastPrinted>2026-05-14T18:07:03Z</cp:lastPrinted>
</cp:coreProperties>
</file>